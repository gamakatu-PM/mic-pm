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사용법" sheetId="1" state="visible" r:id="rId1"/>
    <sheet name="0.자가진단" sheetId="2" state="visible" r:id="rId2"/>
    <sheet name="5.이번주_갈곳" sheetId="3" state="visible" r:id="rId3"/>
    <sheet name="1.산군_붙여넣기" sheetId="4" state="visible" r:id="rId4"/>
    <sheet name="3.설계사" sheetId="5" state="visible" r:id="rId5"/>
    <sheet name="3b.시공사" sheetId="6" state="visible" r:id="rId6"/>
    <sheet name="4.방문기록" sheetId="7" state="visible" r:id="rId7"/>
    <sheet name="7.문안" sheetId="8" state="visible" r:id="rId8"/>
    <sheet name="업체_메모" sheetId="9" state="visible" r:id="rId9"/>
    <sheet name="현장_조사" sheetId="10" state="visible" r:id="rId10"/>
    <sheet name="2.현장" sheetId="11" state="visible" r:id="rId11"/>
    <sheet name="6.본전계산" sheetId="12" state="visible" r:id="rId12"/>
    <sheet name="설정" sheetId="13" state="visible" r:id="rId13"/>
  </sheets>
  <definedNames>
    <definedName name="_xlnm._FilterDatabase" localSheetId="10" hidden="1">'2.현장'!$A$1:$AD$1001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0" fillId="4" borderId="0" applyAlignment="1" pivotButton="0" quotePrefix="0" xfId="0">
      <alignment vertical="top" wrapText="1"/>
    </xf>
    <xf numFmtId="164" fontId="0" fillId="4" borderId="0" pivotButton="0" quotePrefix="0" xfId="0"/>
    <xf numFmtId="3" fontId="0" fillId="4" borderId="0" pivotButton="0" quotePrefix="0" xfId="0"/>
    <xf numFmtId="3" fontId="0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시트 3번 「영업판」 v2 (2026-09-27) — 산군 + 설계사 영업 전용</t>
        </is>
      </c>
    </row>
    <row r="3">
      <c r="A3" s="2" t="inlineStr">
        <is>
          <t>■ 프로님 손은 1번 : 매주 월요일 산군 엑셀을 받아 「1.산군_붙여넣기」 탭 A1 칸을 누르고 통째로 붙여넣기(전체 덮어쓰기). 여러 조건으로 받으면 아래로 이어 붙여도 됩니다(같은 주소+현장명은 아래 줄이 이김).</t>
        </is>
      </c>
    </row>
    <row r="4">
      <c r="A4" s="2" t="inlineStr">
        <is>
          <t xml:space="preserve">   → 2.현장(★△✕ 판정) · 3.설계사 · 3b.시공사 · 5.이번주_갈곳 · 7.문안 · 6.본전계산 이 저절로 바뀝니다.</t>
        </is>
      </c>
    </row>
    <row r="5">
      <c r="A5" s="2" t="inlineStr">
        <is>
          <t>■ 처음 한 번만 : 「설정」 탭 B4~B15 에 산군 엑셀 1행의 열 이름을 똑같이 적기. 지금은 9/14 산군 화면 캡처의 열 이름입니다. 「0.자가진단」 1번이 「통과」 면 끝.</t>
        </is>
      </c>
    </row>
    <row r="6">
      <c r="A6" s="2" t="inlineStr">
        <is>
          <t>■ 지금 1번 탭에 들어 있는 11줄 = 2026-09-14 산군 캡처 실제 자료(드라이브 산군/산군_관심현장 v1). 설계사 이름 2곳은 캡처에서 잘려 「…」 로 끝납니다.</t>
        </is>
      </c>
    </row>
    <row r="7">
      <c r="A7" s="2" t="inlineStr">
        <is>
          <t>■ 다녀오시면 : 「4.방문기록」 에 한 줄(날짜·업체·결과). 결과를 「관심 없음」 으로 고르면 갈 곳 목록에서 빠집니다. 설계사·시공사 모두 여기에 적습니다.</t>
        </is>
      </c>
    </row>
    <row r="8">
      <c r="A8" s="2" t="inlineStr">
        <is>
          <t>■ 담당자·전화 : 「업체_메모」 에 한 줄. 웹검색으로 찾은 대표전화는 출처와 함께 미리 넣어 두었습니다(확신도 칸 확인).</t>
        </is>
      </c>
    </row>
    <row r="9">
      <c r="A9" s="2" t="inlineStr">
        <is>
          <t>■ 현장 뉴스 : 「현장_조사」 탭 = 발주처·시공사·객실 수·최신 상황(웹검색, 출처 포함). 객실 수는 7.문안에 자동으로 들어갑니다.</t>
        </is>
      </c>
    </row>
    <row r="10">
      <c r="A10" s="2" t="inlineStr">
        <is>
          <t>■ 전화·메일 문안 : 「7.문안」 B3 에서 업체를 고르면(비우면 5번 1순위) 전화 첫마디·문자·메일·감사 문자가 채워집니다.</t>
        </is>
      </c>
    </row>
    <row r="11">
      <c r="A11" s="2" t="inlineStr">
        <is>
          <t>■ 판정 : ✕ = 용도 아님 또는 연면적 미달 / △ = 허가→착공 표류 또는 ★ 기준 미만 / ★ = 나머지. 기준 숫자는 설정 탭.</t>
        </is>
      </c>
    </row>
    <row r="12">
      <c r="A12" s="2" t="inlineStr">
        <is>
          <t>■ 누구를 만나나 : 허가·설계 단계 → 설계사무소 / 착공 이후 → 시공사(설계사도 최근 착공이면 점수 있음) / 마감·준공 → 늦음.</t>
        </is>
      </c>
    </row>
    <row r="13">
      <c r="A13" s="2" t="inlineStr">
        <is>
          <t>■ 순위 점수 가중치는 전부 「설정」 탭 노란 칸입니다. 노란 칸 = 프로님 입력 / 초록 칸 = 자동(건드리지 않음).</t>
        </is>
      </c>
    </row>
    <row r="14">
      <c r="A14" s="2" t="inlineStr">
        <is>
          <t>■ 이 시트는 회의록·견적·공정·수금과 섞지 않습니다. 기존 레이더·도구 47번과도 따로입니다(계획서 9절).</t>
        </is>
      </c>
    </row>
    <row r="15">
      <c r="A15" s="2" t="inlineStr">
        <is>
          <t>■ 바꿀 때는 덮어쓰지 않고 새 판으로 냅니다. 변경 이력은 「0.자가진단」 아래.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70" customWidth="1" min="3" max="3"/>
    <col width="50" customWidth="1" min="4" max="4"/>
  </cols>
  <sheetData>
    <row r="1">
      <c r="A1" s="1" t="inlineStr">
        <is>
          <t>자가진단 — 전부 「통과」 면 정상 (v2)</t>
        </is>
      </c>
    </row>
    <row r="3">
      <c r="A3" s="3" t="inlineStr">
        <is>
          <t>번호</t>
        </is>
      </c>
      <c r="B3" s="3" t="inlineStr">
        <is>
          <t>검사</t>
        </is>
      </c>
      <c r="C3" s="3" t="inlineStr">
        <is>
          <t>값</t>
        </is>
      </c>
      <c r="D3" s="3" t="inlineStr">
        <is>
          <t>판정</t>
        </is>
      </c>
    </row>
    <row r="4">
      <c r="A4" t="n">
        <v>1</v>
      </c>
      <c r="B4" t="inlineStr">
        <is>
          <t>필수 열 6개(주소·현장명·연면적·용도·설계사·단계) 중 찾은 수</t>
        </is>
      </c>
      <c r="C4">
        <f>N(설정!$C$4&lt;&gt;"")+N(설정!$C$5&lt;&gt;"")+N(설정!$C$6&lt;&gt;"")+N(설정!$C$7&lt;&gt;"")+N(설정!$C$9&lt;&gt;"")+N(설정!$C$13&lt;&gt;"")</f>
        <v/>
      </c>
      <c r="D4">
        <f>IF(C4=6,"통과","실패 — 설정 B4~B15 를 산군 엑셀 1행과 맞추기")</f>
        <v/>
      </c>
    </row>
    <row r="5">
      <c r="A5" t="n">
        <v>2</v>
      </c>
      <c r="B5" t="inlineStr">
        <is>
          <t>붙여넣은 줄 수(1행 제외)</t>
        </is>
      </c>
      <c r="C5">
        <f>MAX(COUNTA('1.산군_붙여넣기'!B:B)-1,0)</f>
        <v/>
      </c>
      <c r="D5">
        <f>IF(C5&lt;=1000,"통과","실패 — 1000줄 넘음, 아래는 안 읽힘")</f>
        <v/>
      </c>
    </row>
    <row r="6">
      <c r="A6" t="n">
        <v>3</v>
      </c>
      <c r="B6" t="inlineStr">
        <is>
          <t>읽은 현장 줄</t>
        </is>
      </c>
      <c r="C6">
        <f>COUNTIF('2.현장'!O2:O1001,TRUE)</f>
        <v/>
      </c>
      <c r="D6">
        <f>IF(C6=C5,"통과","확인 — 빈 줄·제목줄 섞임")</f>
        <v/>
      </c>
    </row>
    <row r="7">
      <c r="A7" t="n">
        <v>4</v>
      </c>
      <c r="B7" t="inlineStr">
        <is>
          <t>중복 뺀 현장</t>
        </is>
      </c>
      <c r="C7">
        <f>COUNTIF('2.현장'!Q2:Q1001,TRUE)</f>
        <v/>
      </c>
      <c r="D7">
        <f>"참고"</f>
        <v/>
      </c>
    </row>
    <row r="8">
      <c r="A8" t="n">
        <v>5</v>
      </c>
      <c r="B8" t="inlineStr">
        <is>
          <t>★ + △ + ✕ = 중복 뺀 현장</t>
        </is>
      </c>
      <c r="C8">
        <f>COUNTIF('2.현장'!AA2:AA1001,"★")+COUNTIF('2.현장'!AA2:AA1001,"△")+COUNTIF('2.현장'!AA2:AA1001,"✕")</f>
        <v/>
      </c>
      <c r="D8">
        <f>IF(C8=C7,"통과","실패")</f>
        <v/>
      </c>
    </row>
    <row r="9">
      <c r="A9" t="n">
        <v>6</v>
      </c>
      <c r="B9" t="inlineStr">
        <is>
          <t>대상(용도·면적 맞음) = ★ + △</t>
        </is>
      </c>
      <c r="C9">
        <f>COUNTIF('2.현장'!T2:T1001,TRUE)</f>
        <v/>
      </c>
      <c r="D9">
        <f>IF(C9=COUNTIF('2.현장'!AA2:AA1001,"★")+COUNTIF('2.현장'!AA2:AA1001,"△"),"통과","실패")</f>
        <v/>
      </c>
    </row>
    <row r="10">
      <c r="A10" t="n">
        <v>7</v>
      </c>
      <c r="B10" t="inlineStr">
        <is>
          <t>설계사행 + 시공사행 + 늦음 = 대상</t>
        </is>
      </c>
      <c r="C10">
        <f>COUNTIF('2.현장'!U2:U1001,"설계사")+COUNTIF('2.현장'!U2:U1001,"시공사")+COUNTIF('2.현장'!U2:U1001,"늦음")</f>
        <v/>
      </c>
      <c r="D10">
        <f>IF(C10=C9,"통과","실패 — 설정 단계 행선지 확인")</f>
        <v/>
      </c>
    </row>
    <row r="11">
      <c r="A11" t="n">
        <v>8</v>
      </c>
      <c r="B11" t="inlineStr">
        <is>
          <t>설계사무소 수 = 번호 최댓값</t>
        </is>
      </c>
      <c r="C11">
        <f>COUNTIF('3.설계사'!B4:B303,"?*")</f>
        <v/>
      </c>
      <c r="D11">
        <f>IF(C11=MAX('2.현장'!W2:W1001),IF(C11&lt;300,"통과","실패 — 300곳 넘음"),"실패")</f>
        <v/>
      </c>
    </row>
    <row r="12">
      <c r="A12" t="n">
        <v>9</v>
      </c>
      <c r="B12" t="inlineStr">
        <is>
          <t>시공사 수 = 번호 최댓값</t>
        </is>
      </c>
      <c r="C12">
        <f>COUNTIF('3b.시공사'!B4:B203,"?*")</f>
        <v/>
      </c>
      <c r="D12">
        <f>IF(C12=MAX('2.현장'!AD2:AD1001),IF(C12&lt;200,"통과","실패 — 200곳 넘음"),"실패")</f>
        <v/>
      </c>
    </row>
    <row r="13">
      <c r="A13" t="n">
        <v>10</v>
      </c>
      <c r="B13" t="inlineStr">
        <is>
          <t>설계사 이름 빈 대상 현장</t>
        </is>
      </c>
      <c r="C13">
        <f>COUNTIFS('2.현장'!T2:T1001,TRUE,'2.현장'!V2:V1001,"")</f>
        <v/>
      </c>
      <c r="D13">
        <f>IF(C13=0,"통과","확인 — 산군에 설계사 없는 현장(2.현장 필터)")</f>
        <v/>
      </c>
    </row>
    <row r="14">
      <c r="A14" t="n">
        <v>11</v>
      </c>
      <c r="B14" t="inlineStr">
        <is>
          <t>방문기록 중 목록에 없는 업체</t>
        </is>
      </c>
      <c r="C14">
        <f>SUM('4.방문기록'!J3:J502)</f>
        <v/>
      </c>
      <c r="D14">
        <f>IF(C14=0,"통과","확인 — 이름이 3·3b번 탭과 다름")</f>
        <v/>
      </c>
    </row>
    <row r="15">
      <c r="A15" t="n">
        <v>12</v>
      </c>
      <c r="B15" t="inlineStr">
        <is>
          <t>점수 가중치 빈칸</t>
        </is>
      </c>
      <c r="C15">
        <f>COUNTBLANK(설정!B31:B39)</f>
        <v/>
      </c>
      <c r="D15">
        <f>IF(C15=0,"통과","실패 — 설정 가중치 칸을 채우기")</f>
        <v/>
      </c>
    </row>
    <row r="16">
      <c r="A16" t="n">
        <v>13</v>
      </c>
      <c r="B16" t="inlineStr">
        <is>
          <t>잘린 이름(…) 남음</t>
        </is>
      </c>
      <c r="C16">
        <f>COUNTIF('2.현장'!G2:G1001,"*…*")</f>
        <v/>
      </c>
      <c r="D16">
        <f>IF(C16=0,"통과","알림 — 캡처에서 잘린 설계사 이름. 엑셀 다운로드로 바꾸면 사라짐")</f>
        <v/>
      </c>
    </row>
    <row r="19">
      <c r="A19" s="4" t="inlineStr">
        <is>
          <t>변경 이력</t>
        </is>
      </c>
    </row>
    <row r="20">
      <c r="A20" s="3" t="inlineStr">
        <is>
          <t>날짜</t>
        </is>
      </c>
      <c r="B20" s="3" t="inlineStr">
        <is>
          <t>판</t>
        </is>
      </c>
      <c r="C20" s="3" t="inlineStr">
        <is>
          <t>내용</t>
        </is>
      </c>
      <c r="D20" s="3" t="inlineStr">
        <is>
          <t>이전 값</t>
        </is>
      </c>
    </row>
    <row r="21">
      <c r="A21" t="inlineStr">
        <is>
          <t>2026-09-27</t>
        </is>
      </c>
      <c r="B21" t="inlineStr">
        <is>
          <t>v1</t>
        </is>
      </c>
      <c r="C21" t="inlineStr">
        <is>
          <t>최초 작성 — 11개 탭. 계획서 v1 구조 그대로. [예시] 가짜 7줄.</t>
        </is>
      </c>
      <c r="D21" t="inlineStr">
        <is>
          <t>없음</t>
        </is>
      </c>
    </row>
    <row r="22">
      <c r="A22" t="inlineStr">
        <is>
          <t>2026-09-27</t>
        </is>
      </c>
      <c r="B22" t="inlineStr">
        <is>
          <t>v2</t>
        </is>
      </c>
      <c r="C22" t="inlineStr">
        <is>
          <t>B: 1번 탭 예시 → 9/14 산군 캡처 실제 11줄 / 설정 열 이름 → 캡처 열 이름</t>
        </is>
      </c>
      <c r="D22" t="inlineStr">
        <is>
          <t>예시 열 이름(현장주소·건물명·주용도·설계사…)</t>
        </is>
      </c>
    </row>
    <row r="23">
      <c r="A23" t="inlineStr">
        <is>
          <t>2026-09-27</t>
        </is>
      </c>
      <c r="B23" t="inlineStr">
        <is>
          <t>v2</t>
        </is>
      </c>
      <c r="C23" t="inlineStr">
        <is>
          <t>B: 순위 점수 고정값 → 설정 탭 가중치 입력칸 9개 / 착공 현장도 설계사 점수(최근 착공 6, 오래된 착공 2)</t>
        </is>
      </c>
      <c r="D23" t="inlineStr">
        <is>
          <t>설계단계 수×10 + 안가봄 30 + 경과/2 + 면적/1000 (착공 현장은 0점)</t>
        </is>
      </c>
    </row>
    <row r="24">
      <c r="A24" t="inlineStr">
        <is>
          <t>2026-09-27</t>
        </is>
      </c>
      <c r="B24" t="inlineStr">
        <is>
          <t>v2</t>
        </is>
      </c>
      <c r="C24" t="inlineStr">
        <is>
          <t>A: ★△✕ 판정 · 3b.시공사 · 현장_조사 · 업체_메모(설계사_메모 확장, 확신도·출처 칸) · 자가진단 13항목</t>
        </is>
      </c>
      <c r="D24" t="inlineStr">
        <is>
          <t>—</t>
        </is>
      </c>
    </row>
    <row r="25">
      <c r="A25" t="inlineStr">
        <is>
          <t>2026-09-27</t>
        </is>
      </c>
      <c r="B25" t="inlineStr">
        <is>
          <t>v2</t>
        </is>
      </c>
      <c r="C25" t="inlineStr">
        <is>
          <t>B: 설계사_메모 → 업체_메모(시공사도 같이) / 방문기록 「설계사무소」 → 「업체」</t>
        </is>
      </c>
      <c r="D25" t="inlineStr">
        <is>
          <t>설계사_메모</t>
        </is>
      </c>
    </row>
  </sheetData>
  <conditionalFormatting sqref="D4:D16">
    <cfRule type="expression" priority="1" dxfId="0">
      <formula>LEFT(D4,2)="통과"</formula>
    </cfRule>
    <cfRule type="expression" priority="2" dxfId="1">
      <formula>LEFT(D4,2)="실패"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32" customWidth="1" min="3" max="3"/>
    <col width="28" customWidth="1" min="4" max="4"/>
    <col width="14" customWidth="1" min="5" max="5"/>
    <col width="10" customWidth="1" min="6" max="6"/>
    <col width="9" customWidth="1" min="7" max="7"/>
    <col width="10" customWidth="1" min="8" max="8"/>
    <col width="14" customWidth="1" min="9" max="9"/>
    <col width="70" customWidth="1" min="10" max="10"/>
    <col hidden="1" width="13" customWidth="1" min="11" max="11"/>
  </cols>
  <sheetData>
    <row r="1">
      <c r="A1" s="1">
        <f>"이번 주 찾아갈 설계사무소 "&amp;COUNT('3.설계사'!U4:U303)&amp;"곳 · 지역: "&amp;IF(설정!$B$21="","전국",설정!$B$21)&amp;" · 기준일 "&amp;TEXT(설정!$B$24,"yyyy-mm-dd")</f>
        <v/>
      </c>
    </row>
    <row r="2">
      <c r="A2" t="inlineStr">
        <is>
          <t>순서 : ①7일 안 약속 ②현장점수(설계단계&gt;최근 착공&gt;오래된 착공, ★ 가산) + 안 가본 곳 ③오래 안 간 곳. 관심 없음·최근 방문은 빠짐. 가중치·지역은 설정 탭.</t>
        </is>
      </c>
    </row>
    <row r="3">
      <c r="A3" s="3" t="inlineStr">
        <is>
          <t>순위</t>
        </is>
      </c>
      <c r="B3" s="3" t="inlineStr">
        <is>
          <t>설계사무소</t>
        </is>
      </c>
      <c r="C3" s="3" t="inlineStr">
        <is>
          <t>왜 가야 하나</t>
        </is>
      </c>
      <c r="D3" s="3" t="inlineStr">
        <is>
          <t>대표 현장</t>
        </is>
      </c>
      <c r="E3" s="3" t="inlineStr">
        <is>
          <t>지역</t>
        </is>
      </c>
      <c r="F3" s="3" t="inlineStr">
        <is>
          <t>최대 연면적</t>
        </is>
      </c>
      <c r="G3" s="3" t="inlineStr">
        <is>
          <t>객실 수(조사)</t>
        </is>
      </c>
      <c r="H3" s="3" t="inlineStr">
        <is>
          <t>담당자</t>
        </is>
      </c>
      <c r="I3" s="3" t="inlineStr">
        <is>
          <t>전화</t>
        </is>
      </c>
      <c r="J3" s="3" t="inlineStr">
        <is>
          <t>전화 첫마디(복사)</t>
        </is>
      </c>
      <c r="K3" s="3" t="inlineStr">
        <is>
          <t>_행</t>
        </is>
      </c>
    </row>
    <row r="4">
      <c r="A4">
        <f>IF(K4="","",1)</f>
        <v/>
      </c>
      <c r="B4">
        <f>IF(K4="","",INDEX('3.설계사'!$B$4:$B$303,K4))</f>
        <v/>
      </c>
      <c r="C4" s="2">
        <f>IF(K4="","",IF(INDEX('3.설계사'!$T$4:$T$303,K4)&gt;=설정!$B$39,"약속 "&amp;TEXT(INDEX('3.설계사'!$Q$4:$Q$303,K4),"m/d")&amp;" · ",IF(INDEX('3.설계사'!$O$4:$O$303,K4)="","아직 안 가봄 · ","마지막 방문 "&amp;INDEX('3.설계사'!$P$4:$P$303,K4)&amp;"일 전 · "))&amp;IF(INDEX('3.설계사'!$D$4:$D$303,K4)&gt;0,"설계단계 "&amp;INDEX('3.설계사'!$D$4:$D$303,K4)&amp;"건 ","")&amp;IF(INDEX('3.설계사'!$E$4:$E$303,K4)&gt;0,"착공 "&amp;INDEX('3.설계사'!$E$4:$E$303,K4)&amp;"건 ","")&amp;IF(INDEX('3.설계사'!$F$4:$F$303,K4)&gt;0,"★"&amp;INDEX('3.설계사'!$F$4:$F$303,K4),""))</f>
        <v/>
      </c>
      <c r="D4">
        <f>IF(K4="","",INDEX('3.설계사'!$K$4:$K$303,K4))</f>
        <v/>
      </c>
      <c r="E4">
        <f>IF(K4="","",INDEX('3.설계사'!$L$4:$L$303,K4))</f>
        <v/>
      </c>
      <c r="F4" s="5">
        <f>IF(K4="","",INDEX('3.설계사'!$H$4:$H$303,K4))</f>
        <v/>
      </c>
      <c r="G4">
        <f>IF(K4="","",IFERROR(IF(VLOOKUP(D4,현장_조사!$A$3:$J$202,5,FALSE)&amp;""="","",VLOOKUP(D4,현장_조사!$A$3:$J$202,5,FALSE)&amp;IF(VLOOKUP(D4,현장_조사!$A$3:$J$202,8,FALSE)="확정",""," ("&amp;VLOOKUP(D4,현장_조사!$A$3:$J$202,8,FALSE)&amp;")")),""))</f>
        <v/>
      </c>
      <c r="H4">
        <f>IF(K4="","",INDEX('3.설계사'!$M$4:$M$303,K4))</f>
        <v/>
      </c>
      <c r="I4">
        <f>IF(K4="","",INDEX('3.설계사'!$N$4:$N$303,K4))</f>
        <v/>
      </c>
      <c r="J4" s="2">
        <f>IF(K4="","","한국마이크로닉 배성윤 차장입니다. "&amp;D4&amp;IF(INDEX('3.설계사'!$D$4:$D$303,K4)&gt;0,"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4">
        <f>IFERROR(MATCH(1,'3.설계사'!$U$4:$U$303,0),"")</f>
        <v/>
      </c>
    </row>
    <row r="5">
      <c r="A5">
        <f>IF(K5="","",2)</f>
        <v/>
      </c>
      <c r="B5">
        <f>IF(K5="","",INDEX('3.설계사'!$B$4:$B$303,K5))</f>
        <v/>
      </c>
      <c r="C5" s="2">
        <f>IF(K5="","",IF(INDEX('3.설계사'!$T$4:$T$303,K5)&gt;=설정!$B$39,"약속 "&amp;TEXT(INDEX('3.설계사'!$Q$4:$Q$303,K5),"m/d")&amp;" · ",IF(INDEX('3.설계사'!$O$4:$O$303,K5)="","아직 안 가봄 · ","마지막 방문 "&amp;INDEX('3.설계사'!$P$4:$P$303,K5)&amp;"일 전 · "))&amp;IF(INDEX('3.설계사'!$D$4:$D$303,K5)&gt;0,"설계단계 "&amp;INDEX('3.설계사'!$D$4:$D$303,K5)&amp;"건 ","")&amp;IF(INDEX('3.설계사'!$E$4:$E$303,K5)&gt;0,"착공 "&amp;INDEX('3.설계사'!$E$4:$E$303,K5)&amp;"건 ","")&amp;IF(INDEX('3.설계사'!$F$4:$F$303,K5)&gt;0,"★"&amp;INDEX('3.설계사'!$F$4:$F$303,K5),""))</f>
        <v/>
      </c>
      <c r="D5">
        <f>IF(K5="","",INDEX('3.설계사'!$K$4:$K$303,K5))</f>
        <v/>
      </c>
      <c r="E5">
        <f>IF(K5="","",INDEX('3.설계사'!$L$4:$L$303,K5))</f>
        <v/>
      </c>
      <c r="F5" s="5">
        <f>IF(K5="","",INDEX('3.설계사'!$H$4:$H$303,K5))</f>
        <v/>
      </c>
      <c r="G5">
        <f>IF(K5="","",IFERROR(IF(VLOOKUP(D5,현장_조사!$A$3:$J$202,5,FALSE)&amp;""="","",VLOOKUP(D5,현장_조사!$A$3:$J$202,5,FALSE)&amp;IF(VLOOKUP(D5,현장_조사!$A$3:$J$202,8,FALSE)="확정",""," ("&amp;VLOOKUP(D5,현장_조사!$A$3:$J$202,8,FALSE)&amp;")")),""))</f>
        <v/>
      </c>
      <c r="H5">
        <f>IF(K5="","",INDEX('3.설계사'!$M$4:$M$303,K5))</f>
        <v/>
      </c>
      <c r="I5">
        <f>IF(K5="","",INDEX('3.설계사'!$N$4:$N$303,K5))</f>
        <v/>
      </c>
      <c r="J5" s="2">
        <f>IF(K5="","","한국마이크로닉 배성윤 차장입니다. "&amp;D5&amp;IF(INDEX('3.설계사'!$D$4:$D$303,K5)&gt;0,"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5">
        <f>IFERROR(MATCH(2,'3.설계사'!$U$4:$U$303,0),"")</f>
        <v/>
      </c>
    </row>
    <row r="6">
      <c r="A6">
        <f>IF(K6="","",3)</f>
        <v/>
      </c>
      <c r="B6">
        <f>IF(K6="","",INDEX('3.설계사'!$B$4:$B$303,K6))</f>
        <v/>
      </c>
      <c r="C6" s="2">
        <f>IF(K6="","",IF(INDEX('3.설계사'!$T$4:$T$303,K6)&gt;=설정!$B$39,"약속 "&amp;TEXT(INDEX('3.설계사'!$Q$4:$Q$303,K6),"m/d")&amp;" · ",IF(INDEX('3.설계사'!$O$4:$O$303,K6)="","아직 안 가봄 · ","마지막 방문 "&amp;INDEX('3.설계사'!$P$4:$P$303,K6)&amp;"일 전 · "))&amp;IF(INDEX('3.설계사'!$D$4:$D$303,K6)&gt;0,"설계단계 "&amp;INDEX('3.설계사'!$D$4:$D$303,K6)&amp;"건 ","")&amp;IF(INDEX('3.설계사'!$E$4:$E$303,K6)&gt;0,"착공 "&amp;INDEX('3.설계사'!$E$4:$E$303,K6)&amp;"건 ","")&amp;IF(INDEX('3.설계사'!$F$4:$F$303,K6)&gt;0,"★"&amp;INDEX('3.설계사'!$F$4:$F$303,K6),""))</f>
        <v/>
      </c>
      <c r="D6">
        <f>IF(K6="","",INDEX('3.설계사'!$K$4:$K$303,K6))</f>
        <v/>
      </c>
      <c r="E6">
        <f>IF(K6="","",INDEX('3.설계사'!$L$4:$L$303,K6))</f>
        <v/>
      </c>
      <c r="F6" s="5">
        <f>IF(K6="","",INDEX('3.설계사'!$H$4:$H$303,K6))</f>
        <v/>
      </c>
      <c r="G6">
        <f>IF(K6="","",IFERROR(IF(VLOOKUP(D6,현장_조사!$A$3:$J$202,5,FALSE)&amp;""="","",VLOOKUP(D6,현장_조사!$A$3:$J$202,5,FALSE)&amp;IF(VLOOKUP(D6,현장_조사!$A$3:$J$202,8,FALSE)="확정",""," ("&amp;VLOOKUP(D6,현장_조사!$A$3:$J$202,8,FALSE)&amp;")")),""))</f>
        <v/>
      </c>
      <c r="H6">
        <f>IF(K6="","",INDEX('3.설계사'!$M$4:$M$303,K6))</f>
        <v/>
      </c>
      <c r="I6">
        <f>IF(K6="","",INDEX('3.설계사'!$N$4:$N$303,K6))</f>
        <v/>
      </c>
      <c r="J6" s="2">
        <f>IF(K6="","","한국마이크로닉 배성윤 차장입니다. "&amp;D6&amp;IF(INDEX('3.설계사'!$D$4:$D$303,K6)&gt;0,"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6">
        <f>IFERROR(MATCH(3,'3.설계사'!$U$4:$U$303,0),"")</f>
        <v/>
      </c>
    </row>
    <row r="7">
      <c r="A7">
        <f>IF(K7="","",4)</f>
        <v/>
      </c>
      <c r="B7">
        <f>IF(K7="","",INDEX('3.설계사'!$B$4:$B$303,K7))</f>
        <v/>
      </c>
      <c r="C7" s="2">
        <f>IF(K7="","",IF(INDEX('3.설계사'!$T$4:$T$303,K7)&gt;=설정!$B$39,"약속 "&amp;TEXT(INDEX('3.설계사'!$Q$4:$Q$303,K7),"m/d")&amp;" · ",IF(INDEX('3.설계사'!$O$4:$O$303,K7)="","아직 안 가봄 · ","마지막 방문 "&amp;INDEX('3.설계사'!$P$4:$P$303,K7)&amp;"일 전 · "))&amp;IF(INDEX('3.설계사'!$D$4:$D$303,K7)&gt;0,"설계단계 "&amp;INDEX('3.설계사'!$D$4:$D$303,K7)&amp;"건 ","")&amp;IF(INDEX('3.설계사'!$E$4:$E$303,K7)&gt;0,"착공 "&amp;INDEX('3.설계사'!$E$4:$E$303,K7)&amp;"건 ","")&amp;IF(INDEX('3.설계사'!$F$4:$F$303,K7)&gt;0,"★"&amp;INDEX('3.설계사'!$F$4:$F$303,K7),""))</f>
        <v/>
      </c>
      <c r="D7">
        <f>IF(K7="","",INDEX('3.설계사'!$K$4:$K$303,K7))</f>
        <v/>
      </c>
      <c r="E7">
        <f>IF(K7="","",INDEX('3.설계사'!$L$4:$L$303,K7))</f>
        <v/>
      </c>
      <c r="F7" s="5">
        <f>IF(K7="","",INDEX('3.설계사'!$H$4:$H$303,K7))</f>
        <v/>
      </c>
      <c r="G7">
        <f>IF(K7="","",IFERROR(IF(VLOOKUP(D7,현장_조사!$A$3:$J$202,5,FALSE)&amp;""="","",VLOOKUP(D7,현장_조사!$A$3:$J$202,5,FALSE)&amp;IF(VLOOKUP(D7,현장_조사!$A$3:$J$202,8,FALSE)="확정",""," ("&amp;VLOOKUP(D7,현장_조사!$A$3:$J$202,8,FALSE)&amp;")")),""))</f>
        <v/>
      </c>
      <c r="H7">
        <f>IF(K7="","",INDEX('3.설계사'!$M$4:$M$303,K7))</f>
        <v/>
      </c>
      <c r="I7">
        <f>IF(K7="","",INDEX('3.설계사'!$N$4:$N$303,K7))</f>
        <v/>
      </c>
      <c r="J7" s="2">
        <f>IF(K7="","","한국마이크로닉 배성윤 차장입니다. "&amp;D7&amp;IF(INDEX('3.설계사'!$D$4:$D$303,K7)&gt;0,"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7">
        <f>IFERROR(MATCH(4,'3.설계사'!$U$4:$U$303,0),"")</f>
        <v/>
      </c>
    </row>
    <row r="8">
      <c r="A8">
        <f>IF(K8="","",5)</f>
        <v/>
      </c>
      <c r="B8">
        <f>IF(K8="","",INDEX('3.설계사'!$B$4:$B$303,K8))</f>
        <v/>
      </c>
      <c r="C8" s="2">
        <f>IF(K8="","",IF(INDEX('3.설계사'!$T$4:$T$303,K8)&gt;=설정!$B$39,"약속 "&amp;TEXT(INDEX('3.설계사'!$Q$4:$Q$303,K8),"m/d")&amp;" · ",IF(INDEX('3.설계사'!$O$4:$O$303,K8)="","아직 안 가봄 · ","마지막 방문 "&amp;INDEX('3.설계사'!$P$4:$P$303,K8)&amp;"일 전 · "))&amp;IF(INDEX('3.설계사'!$D$4:$D$303,K8)&gt;0,"설계단계 "&amp;INDEX('3.설계사'!$D$4:$D$303,K8)&amp;"건 ","")&amp;IF(INDEX('3.설계사'!$E$4:$E$303,K8)&gt;0,"착공 "&amp;INDEX('3.설계사'!$E$4:$E$303,K8)&amp;"건 ","")&amp;IF(INDEX('3.설계사'!$F$4:$F$303,K8)&gt;0,"★"&amp;INDEX('3.설계사'!$F$4:$F$303,K8),""))</f>
        <v/>
      </c>
      <c r="D8">
        <f>IF(K8="","",INDEX('3.설계사'!$K$4:$K$303,K8))</f>
        <v/>
      </c>
      <c r="E8">
        <f>IF(K8="","",INDEX('3.설계사'!$L$4:$L$303,K8))</f>
        <v/>
      </c>
      <c r="F8" s="5">
        <f>IF(K8="","",INDEX('3.설계사'!$H$4:$H$303,K8))</f>
        <v/>
      </c>
      <c r="G8">
        <f>IF(K8="","",IFERROR(IF(VLOOKUP(D8,현장_조사!$A$3:$J$202,5,FALSE)&amp;""="","",VLOOKUP(D8,현장_조사!$A$3:$J$202,5,FALSE)&amp;IF(VLOOKUP(D8,현장_조사!$A$3:$J$202,8,FALSE)="확정",""," ("&amp;VLOOKUP(D8,현장_조사!$A$3:$J$202,8,FALSE)&amp;")")),""))</f>
        <v/>
      </c>
      <c r="H8">
        <f>IF(K8="","",INDEX('3.설계사'!$M$4:$M$303,K8))</f>
        <v/>
      </c>
      <c r="I8">
        <f>IF(K8="","",INDEX('3.설계사'!$N$4:$N$303,K8))</f>
        <v/>
      </c>
      <c r="J8" s="2">
        <f>IF(K8="","","한국마이크로닉 배성윤 차장입니다. "&amp;D8&amp;IF(INDEX('3.설계사'!$D$4:$D$303,K8)&gt;0,"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8">
        <f>IFERROR(MATCH(5,'3.설계사'!$U$4:$U$303,0),"")</f>
        <v/>
      </c>
    </row>
    <row r="9">
      <c r="A9">
        <f>IF(K9="","",6)</f>
        <v/>
      </c>
      <c r="B9">
        <f>IF(K9="","",INDEX('3.설계사'!$B$4:$B$303,K9))</f>
        <v/>
      </c>
      <c r="C9" s="2">
        <f>IF(K9="","",IF(INDEX('3.설계사'!$T$4:$T$303,K9)&gt;=설정!$B$39,"약속 "&amp;TEXT(INDEX('3.설계사'!$Q$4:$Q$303,K9),"m/d")&amp;" · ",IF(INDEX('3.설계사'!$O$4:$O$303,K9)="","아직 안 가봄 · ","마지막 방문 "&amp;INDEX('3.설계사'!$P$4:$P$303,K9)&amp;"일 전 · "))&amp;IF(INDEX('3.설계사'!$D$4:$D$303,K9)&gt;0,"설계단계 "&amp;INDEX('3.설계사'!$D$4:$D$303,K9)&amp;"건 ","")&amp;IF(INDEX('3.설계사'!$E$4:$E$303,K9)&gt;0,"착공 "&amp;INDEX('3.설계사'!$E$4:$E$303,K9)&amp;"건 ","")&amp;IF(INDEX('3.설계사'!$F$4:$F$303,K9)&gt;0,"★"&amp;INDEX('3.설계사'!$F$4:$F$303,K9),""))</f>
        <v/>
      </c>
      <c r="D9">
        <f>IF(K9="","",INDEX('3.설계사'!$K$4:$K$303,K9))</f>
        <v/>
      </c>
      <c r="E9">
        <f>IF(K9="","",INDEX('3.설계사'!$L$4:$L$303,K9))</f>
        <v/>
      </c>
      <c r="F9" s="5">
        <f>IF(K9="","",INDEX('3.설계사'!$H$4:$H$303,K9))</f>
        <v/>
      </c>
      <c r="G9">
        <f>IF(K9="","",IFERROR(IF(VLOOKUP(D9,현장_조사!$A$3:$J$202,5,FALSE)&amp;""="","",VLOOKUP(D9,현장_조사!$A$3:$J$202,5,FALSE)&amp;IF(VLOOKUP(D9,현장_조사!$A$3:$J$202,8,FALSE)="확정",""," ("&amp;VLOOKUP(D9,현장_조사!$A$3:$J$202,8,FALSE)&amp;")")),""))</f>
        <v/>
      </c>
      <c r="H9">
        <f>IF(K9="","",INDEX('3.설계사'!$M$4:$M$303,K9))</f>
        <v/>
      </c>
      <c r="I9">
        <f>IF(K9="","",INDEX('3.설계사'!$N$4:$N$303,K9))</f>
        <v/>
      </c>
      <c r="J9" s="2">
        <f>IF(K9="","","한국마이크로닉 배성윤 차장입니다. "&amp;D9&amp;IF(INDEX('3.설계사'!$D$4:$D$303,K9)&gt;0,"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9">
        <f>IFERROR(MATCH(6,'3.설계사'!$U$4:$U$303,0),"")</f>
        <v/>
      </c>
    </row>
    <row r="10">
      <c r="A10">
        <f>IF(K10="","",7)</f>
        <v/>
      </c>
      <c r="B10">
        <f>IF(K10="","",INDEX('3.설계사'!$B$4:$B$303,K10))</f>
        <v/>
      </c>
      <c r="C10" s="2">
        <f>IF(K10="","",IF(INDEX('3.설계사'!$T$4:$T$303,K10)&gt;=설정!$B$39,"약속 "&amp;TEXT(INDEX('3.설계사'!$Q$4:$Q$303,K10),"m/d")&amp;" · ",IF(INDEX('3.설계사'!$O$4:$O$303,K10)="","아직 안 가봄 · ","마지막 방문 "&amp;INDEX('3.설계사'!$P$4:$P$303,K10)&amp;"일 전 · "))&amp;IF(INDEX('3.설계사'!$D$4:$D$303,K10)&gt;0,"설계단계 "&amp;INDEX('3.설계사'!$D$4:$D$303,K10)&amp;"건 ","")&amp;IF(INDEX('3.설계사'!$E$4:$E$303,K10)&gt;0,"착공 "&amp;INDEX('3.설계사'!$E$4:$E$303,K10)&amp;"건 ","")&amp;IF(INDEX('3.설계사'!$F$4:$F$303,K10)&gt;0,"★"&amp;INDEX('3.설계사'!$F$4:$F$303,K10),""))</f>
        <v/>
      </c>
      <c r="D10">
        <f>IF(K10="","",INDEX('3.설계사'!$K$4:$K$303,K10))</f>
        <v/>
      </c>
      <c r="E10">
        <f>IF(K10="","",INDEX('3.설계사'!$L$4:$L$303,K10))</f>
        <v/>
      </c>
      <c r="F10" s="5">
        <f>IF(K10="","",INDEX('3.설계사'!$H$4:$H$303,K10))</f>
        <v/>
      </c>
      <c r="G10">
        <f>IF(K10="","",IFERROR(IF(VLOOKUP(D10,현장_조사!$A$3:$J$202,5,FALSE)&amp;""="","",VLOOKUP(D10,현장_조사!$A$3:$J$202,5,FALSE)&amp;IF(VLOOKUP(D10,현장_조사!$A$3:$J$202,8,FALSE)="확정",""," ("&amp;VLOOKUP(D10,현장_조사!$A$3:$J$202,8,FALSE)&amp;")")),""))</f>
        <v/>
      </c>
      <c r="H10">
        <f>IF(K10="","",INDEX('3.설계사'!$M$4:$M$303,K10))</f>
        <v/>
      </c>
      <c r="I10">
        <f>IF(K10="","",INDEX('3.설계사'!$N$4:$N$303,K10))</f>
        <v/>
      </c>
      <c r="J10" s="2">
        <f>IF(K10="","","한국마이크로닉 배성윤 차장입니다. "&amp;D10&amp;IF(INDEX('3.설계사'!$D$4:$D$303,K10)&gt;0,"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0">
        <f>IFERROR(MATCH(7,'3.설계사'!$U$4:$U$303,0),"")</f>
        <v/>
      </c>
    </row>
    <row r="11">
      <c r="A11">
        <f>IF(K11="","",8)</f>
        <v/>
      </c>
      <c r="B11">
        <f>IF(K11="","",INDEX('3.설계사'!$B$4:$B$303,K11))</f>
        <v/>
      </c>
      <c r="C11" s="2">
        <f>IF(K11="","",IF(INDEX('3.설계사'!$T$4:$T$303,K11)&gt;=설정!$B$39,"약속 "&amp;TEXT(INDEX('3.설계사'!$Q$4:$Q$303,K11),"m/d")&amp;" · ",IF(INDEX('3.설계사'!$O$4:$O$303,K11)="","아직 안 가봄 · ","마지막 방문 "&amp;INDEX('3.설계사'!$P$4:$P$303,K11)&amp;"일 전 · "))&amp;IF(INDEX('3.설계사'!$D$4:$D$303,K11)&gt;0,"설계단계 "&amp;INDEX('3.설계사'!$D$4:$D$303,K11)&amp;"건 ","")&amp;IF(INDEX('3.설계사'!$E$4:$E$303,K11)&gt;0,"착공 "&amp;INDEX('3.설계사'!$E$4:$E$303,K11)&amp;"건 ","")&amp;IF(INDEX('3.설계사'!$F$4:$F$303,K11)&gt;0,"★"&amp;INDEX('3.설계사'!$F$4:$F$303,K11),""))</f>
        <v/>
      </c>
      <c r="D11">
        <f>IF(K11="","",INDEX('3.설계사'!$K$4:$K$303,K11))</f>
        <v/>
      </c>
      <c r="E11">
        <f>IF(K11="","",INDEX('3.설계사'!$L$4:$L$303,K11))</f>
        <v/>
      </c>
      <c r="F11" s="5">
        <f>IF(K11="","",INDEX('3.설계사'!$H$4:$H$303,K11))</f>
        <v/>
      </c>
      <c r="G11">
        <f>IF(K11="","",IFERROR(IF(VLOOKUP(D11,현장_조사!$A$3:$J$202,5,FALSE)&amp;""="","",VLOOKUP(D11,현장_조사!$A$3:$J$202,5,FALSE)&amp;IF(VLOOKUP(D11,현장_조사!$A$3:$J$202,8,FALSE)="확정",""," ("&amp;VLOOKUP(D11,현장_조사!$A$3:$J$202,8,FALSE)&amp;")")),""))</f>
        <v/>
      </c>
      <c r="H11">
        <f>IF(K11="","",INDEX('3.설계사'!$M$4:$M$303,K11))</f>
        <v/>
      </c>
      <c r="I11">
        <f>IF(K11="","",INDEX('3.설계사'!$N$4:$N$303,K11))</f>
        <v/>
      </c>
      <c r="J11" s="2">
        <f>IF(K11="","","한국마이크로닉 배성윤 차장입니다. "&amp;D11&amp;IF(INDEX('3.설계사'!$D$4:$D$303,K11)&gt;0,"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1">
        <f>IFERROR(MATCH(8,'3.설계사'!$U$4:$U$303,0),"")</f>
        <v/>
      </c>
    </row>
    <row r="12">
      <c r="A12">
        <f>IF(K12="","",9)</f>
        <v/>
      </c>
      <c r="B12">
        <f>IF(K12="","",INDEX('3.설계사'!$B$4:$B$303,K12))</f>
        <v/>
      </c>
      <c r="C12" s="2">
        <f>IF(K12="","",IF(INDEX('3.설계사'!$T$4:$T$303,K12)&gt;=설정!$B$39,"약속 "&amp;TEXT(INDEX('3.설계사'!$Q$4:$Q$303,K12),"m/d")&amp;" · ",IF(INDEX('3.설계사'!$O$4:$O$303,K12)="","아직 안 가봄 · ","마지막 방문 "&amp;INDEX('3.설계사'!$P$4:$P$303,K12)&amp;"일 전 · "))&amp;IF(INDEX('3.설계사'!$D$4:$D$303,K12)&gt;0,"설계단계 "&amp;INDEX('3.설계사'!$D$4:$D$303,K12)&amp;"건 ","")&amp;IF(INDEX('3.설계사'!$E$4:$E$303,K12)&gt;0,"착공 "&amp;INDEX('3.설계사'!$E$4:$E$303,K12)&amp;"건 ","")&amp;IF(INDEX('3.설계사'!$F$4:$F$303,K12)&gt;0,"★"&amp;INDEX('3.설계사'!$F$4:$F$303,K12),""))</f>
        <v/>
      </c>
      <c r="D12">
        <f>IF(K12="","",INDEX('3.설계사'!$K$4:$K$303,K12))</f>
        <v/>
      </c>
      <c r="E12">
        <f>IF(K12="","",INDEX('3.설계사'!$L$4:$L$303,K12))</f>
        <v/>
      </c>
      <c r="F12" s="5">
        <f>IF(K12="","",INDEX('3.설계사'!$H$4:$H$303,K12))</f>
        <v/>
      </c>
      <c r="G12">
        <f>IF(K12="","",IFERROR(IF(VLOOKUP(D12,현장_조사!$A$3:$J$202,5,FALSE)&amp;""="","",VLOOKUP(D12,현장_조사!$A$3:$J$202,5,FALSE)&amp;IF(VLOOKUP(D12,현장_조사!$A$3:$J$202,8,FALSE)="확정",""," ("&amp;VLOOKUP(D12,현장_조사!$A$3:$J$202,8,FALSE)&amp;")")),""))</f>
        <v/>
      </c>
      <c r="H12">
        <f>IF(K12="","",INDEX('3.설계사'!$M$4:$M$303,K12))</f>
        <v/>
      </c>
      <c r="I12">
        <f>IF(K12="","",INDEX('3.설계사'!$N$4:$N$303,K12))</f>
        <v/>
      </c>
      <c r="J12" s="2">
        <f>IF(K12="","","한국마이크로닉 배성윤 차장입니다. "&amp;D12&amp;IF(INDEX('3.설계사'!$D$4:$D$303,K12)&gt;0,"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2">
        <f>IFERROR(MATCH(9,'3.설계사'!$U$4:$U$303,0),"")</f>
        <v/>
      </c>
    </row>
    <row r="13">
      <c r="A13">
        <f>IF(K13="","",10)</f>
        <v/>
      </c>
      <c r="B13">
        <f>IF(K13="","",INDEX('3.설계사'!$B$4:$B$303,K13))</f>
        <v/>
      </c>
      <c r="C13" s="2">
        <f>IF(K13="","",IF(INDEX('3.설계사'!$T$4:$T$303,K13)&gt;=설정!$B$39,"약속 "&amp;TEXT(INDEX('3.설계사'!$Q$4:$Q$303,K13),"m/d")&amp;" · ",IF(INDEX('3.설계사'!$O$4:$O$303,K13)="","아직 안 가봄 · ","마지막 방문 "&amp;INDEX('3.설계사'!$P$4:$P$303,K13)&amp;"일 전 · "))&amp;IF(INDEX('3.설계사'!$D$4:$D$303,K13)&gt;0,"설계단계 "&amp;INDEX('3.설계사'!$D$4:$D$303,K13)&amp;"건 ","")&amp;IF(INDEX('3.설계사'!$E$4:$E$303,K13)&gt;0,"착공 "&amp;INDEX('3.설계사'!$E$4:$E$303,K13)&amp;"건 ","")&amp;IF(INDEX('3.설계사'!$F$4:$F$303,K13)&gt;0,"★"&amp;INDEX('3.설계사'!$F$4:$F$303,K13),""))</f>
        <v/>
      </c>
      <c r="D13">
        <f>IF(K13="","",INDEX('3.설계사'!$K$4:$K$303,K13))</f>
        <v/>
      </c>
      <c r="E13">
        <f>IF(K13="","",INDEX('3.설계사'!$L$4:$L$303,K13))</f>
        <v/>
      </c>
      <c r="F13" s="5">
        <f>IF(K13="","",INDEX('3.설계사'!$H$4:$H$303,K13))</f>
        <v/>
      </c>
      <c r="G13">
        <f>IF(K13="","",IFERROR(IF(VLOOKUP(D13,현장_조사!$A$3:$J$202,5,FALSE)&amp;""="","",VLOOKUP(D13,현장_조사!$A$3:$J$202,5,FALSE)&amp;IF(VLOOKUP(D13,현장_조사!$A$3:$J$202,8,FALSE)="확정",""," ("&amp;VLOOKUP(D13,현장_조사!$A$3:$J$202,8,FALSE)&amp;")")),""))</f>
        <v/>
      </c>
      <c r="H13">
        <f>IF(K13="","",INDEX('3.설계사'!$M$4:$M$303,K13))</f>
        <v/>
      </c>
      <c r="I13">
        <f>IF(K13="","",INDEX('3.설계사'!$N$4:$N$303,K13))</f>
        <v/>
      </c>
      <c r="J13" s="2">
        <f>IF(K13="","","한국마이크로닉 배성윤 차장입니다. "&amp;D13&amp;IF(INDEX('3.설계사'!$D$4:$D$303,K13)&gt;0,"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3">
        <f>IFERROR(MATCH(10,'3.설계사'!$U$4:$U$303,0),"")</f>
        <v/>
      </c>
    </row>
    <row r="14">
      <c r="A14">
        <f>IF(K14="","",11)</f>
        <v/>
      </c>
      <c r="B14">
        <f>IF(K14="","",INDEX('3.설계사'!$B$4:$B$303,K14))</f>
        <v/>
      </c>
      <c r="C14" s="2">
        <f>IF(K14="","",IF(INDEX('3.설계사'!$T$4:$T$303,K14)&gt;=설정!$B$39,"약속 "&amp;TEXT(INDEX('3.설계사'!$Q$4:$Q$303,K14),"m/d")&amp;" · ",IF(INDEX('3.설계사'!$O$4:$O$303,K14)="","아직 안 가봄 · ","마지막 방문 "&amp;INDEX('3.설계사'!$P$4:$P$303,K14)&amp;"일 전 · "))&amp;IF(INDEX('3.설계사'!$D$4:$D$303,K14)&gt;0,"설계단계 "&amp;INDEX('3.설계사'!$D$4:$D$303,K14)&amp;"건 ","")&amp;IF(INDEX('3.설계사'!$E$4:$E$303,K14)&gt;0,"착공 "&amp;INDEX('3.설계사'!$E$4:$E$303,K14)&amp;"건 ","")&amp;IF(INDEX('3.설계사'!$F$4:$F$303,K14)&gt;0,"★"&amp;INDEX('3.설계사'!$F$4:$F$303,K14),""))</f>
        <v/>
      </c>
      <c r="D14">
        <f>IF(K14="","",INDEX('3.설계사'!$K$4:$K$303,K14))</f>
        <v/>
      </c>
      <c r="E14">
        <f>IF(K14="","",INDEX('3.설계사'!$L$4:$L$303,K14))</f>
        <v/>
      </c>
      <c r="F14" s="5">
        <f>IF(K14="","",INDEX('3.설계사'!$H$4:$H$303,K14))</f>
        <v/>
      </c>
      <c r="G14">
        <f>IF(K14="","",IFERROR(IF(VLOOKUP(D14,현장_조사!$A$3:$J$202,5,FALSE)&amp;""="","",VLOOKUP(D14,현장_조사!$A$3:$J$202,5,FALSE)&amp;IF(VLOOKUP(D14,현장_조사!$A$3:$J$202,8,FALSE)="확정",""," ("&amp;VLOOKUP(D14,현장_조사!$A$3:$J$202,8,FALSE)&amp;")")),""))</f>
        <v/>
      </c>
      <c r="H14">
        <f>IF(K14="","",INDEX('3.설계사'!$M$4:$M$303,K14))</f>
        <v/>
      </c>
      <c r="I14">
        <f>IF(K14="","",INDEX('3.설계사'!$N$4:$N$303,K14))</f>
        <v/>
      </c>
      <c r="J14" s="2">
        <f>IF(K14="","","한국마이크로닉 배성윤 차장입니다. "&amp;D14&amp;IF(INDEX('3.설계사'!$D$4:$D$303,K14)&gt;0,"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4">
        <f>IFERROR(MATCH(11,'3.설계사'!$U$4:$U$303,0),"")</f>
        <v/>
      </c>
    </row>
    <row r="15">
      <c r="A15">
        <f>IF(K15="","",12)</f>
        <v/>
      </c>
      <c r="B15">
        <f>IF(K15="","",INDEX('3.설계사'!$B$4:$B$303,K15))</f>
        <v/>
      </c>
      <c r="C15" s="2">
        <f>IF(K15="","",IF(INDEX('3.설계사'!$T$4:$T$303,K15)&gt;=설정!$B$39,"약속 "&amp;TEXT(INDEX('3.설계사'!$Q$4:$Q$303,K15),"m/d")&amp;" · ",IF(INDEX('3.설계사'!$O$4:$O$303,K15)="","아직 안 가봄 · ","마지막 방문 "&amp;INDEX('3.설계사'!$P$4:$P$303,K15)&amp;"일 전 · "))&amp;IF(INDEX('3.설계사'!$D$4:$D$303,K15)&gt;0,"설계단계 "&amp;INDEX('3.설계사'!$D$4:$D$303,K15)&amp;"건 ","")&amp;IF(INDEX('3.설계사'!$E$4:$E$303,K15)&gt;0,"착공 "&amp;INDEX('3.설계사'!$E$4:$E$303,K15)&amp;"건 ","")&amp;IF(INDEX('3.설계사'!$F$4:$F$303,K15)&gt;0,"★"&amp;INDEX('3.설계사'!$F$4:$F$303,K15),""))</f>
        <v/>
      </c>
      <c r="D15">
        <f>IF(K15="","",INDEX('3.설계사'!$K$4:$K$303,K15))</f>
        <v/>
      </c>
      <c r="E15">
        <f>IF(K15="","",INDEX('3.설계사'!$L$4:$L$303,K15))</f>
        <v/>
      </c>
      <c r="F15" s="5">
        <f>IF(K15="","",INDEX('3.설계사'!$H$4:$H$303,K15))</f>
        <v/>
      </c>
      <c r="G15">
        <f>IF(K15="","",IFERROR(IF(VLOOKUP(D15,현장_조사!$A$3:$J$202,5,FALSE)&amp;""="","",VLOOKUP(D15,현장_조사!$A$3:$J$202,5,FALSE)&amp;IF(VLOOKUP(D15,현장_조사!$A$3:$J$202,8,FALSE)="확정",""," ("&amp;VLOOKUP(D15,현장_조사!$A$3:$J$202,8,FALSE)&amp;")")),""))</f>
        <v/>
      </c>
      <c r="H15">
        <f>IF(K15="","",INDEX('3.설계사'!$M$4:$M$303,K15))</f>
        <v/>
      </c>
      <c r="I15">
        <f>IF(K15="","",INDEX('3.설계사'!$N$4:$N$303,K15))</f>
        <v/>
      </c>
      <c r="J15" s="2">
        <f>IF(K15="","","한국마이크로닉 배성윤 차장입니다. "&amp;D15&amp;IF(INDEX('3.설계사'!$D$4:$D$303,K15)&gt;0,"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5">
        <f>IFERROR(MATCH(12,'3.설계사'!$U$4:$U$303,0),"")</f>
        <v/>
      </c>
    </row>
    <row r="16">
      <c r="A16">
        <f>IF(K16="","",13)</f>
        <v/>
      </c>
      <c r="B16">
        <f>IF(K16="","",INDEX('3.설계사'!$B$4:$B$303,K16))</f>
        <v/>
      </c>
      <c r="C16" s="2">
        <f>IF(K16="","",IF(INDEX('3.설계사'!$T$4:$T$303,K16)&gt;=설정!$B$39,"약속 "&amp;TEXT(INDEX('3.설계사'!$Q$4:$Q$303,K16),"m/d")&amp;" · ",IF(INDEX('3.설계사'!$O$4:$O$303,K16)="","아직 안 가봄 · ","마지막 방문 "&amp;INDEX('3.설계사'!$P$4:$P$303,K16)&amp;"일 전 · "))&amp;IF(INDEX('3.설계사'!$D$4:$D$303,K16)&gt;0,"설계단계 "&amp;INDEX('3.설계사'!$D$4:$D$303,K16)&amp;"건 ","")&amp;IF(INDEX('3.설계사'!$E$4:$E$303,K16)&gt;0,"착공 "&amp;INDEX('3.설계사'!$E$4:$E$303,K16)&amp;"건 ","")&amp;IF(INDEX('3.설계사'!$F$4:$F$303,K16)&gt;0,"★"&amp;INDEX('3.설계사'!$F$4:$F$303,K16),""))</f>
        <v/>
      </c>
      <c r="D16">
        <f>IF(K16="","",INDEX('3.설계사'!$K$4:$K$303,K16))</f>
        <v/>
      </c>
      <c r="E16">
        <f>IF(K16="","",INDEX('3.설계사'!$L$4:$L$303,K16))</f>
        <v/>
      </c>
      <c r="F16" s="5">
        <f>IF(K16="","",INDEX('3.설계사'!$H$4:$H$303,K16))</f>
        <v/>
      </c>
      <c r="G16">
        <f>IF(K16="","",IFERROR(IF(VLOOKUP(D16,현장_조사!$A$3:$J$202,5,FALSE)&amp;""="","",VLOOKUP(D16,현장_조사!$A$3:$J$202,5,FALSE)&amp;IF(VLOOKUP(D16,현장_조사!$A$3:$J$202,8,FALSE)="확정",""," ("&amp;VLOOKUP(D16,현장_조사!$A$3:$J$202,8,FALSE)&amp;")")),""))</f>
        <v/>
      </c>
      <c r="H16">
        <f>IF(K16="","",INDEX('3.설계사'!$M$4:$M$303,K16))</f>
        <v/>
      </c>
      <c r="I16">
        <f>IF(K16="","",INDEX('3.설계사'!$N$4:$N$303,K16))</f>
        <v/>
      </c>
      <c r="J16" s="2">
        <f>IF(K16="","","한국마이크로닉 배성윤 차장입니다. "&amp;D16&amp;IF(INDEX('3.설계사'!$D$4:$D$303,K16)&gt;0,"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6">
        <f>IFERROR(MATCH(13,'3.설계사'!$U$4:$U$303,0),"")</f>
        <v/>
      </c>
    </row>
    <row r="17">
      <c r="A17">
        <f>IF(K17="","",14)</f>
        <v/>
      </c>
      <c r="B17">
        <f>IF(K17="","",INDEX('3.설계사'!$B$4:$B$303,K17))</f>
        <v/>
      </c>
      <c r="C17" s="2">
        <f>IF(K17="","",IF(INDEX('3.설계사'!$T$4:$T$303,K17)&gt;=설정!$B$39,"약속 "&amp;TEXT(INDEX('3.설계사'!$Q$4:$Q$303,K17),"m/d")&amp;" · ",IF(INDEX('3.설계사'!$O$4:$O$303,K17)="","아직 안 가봄 · ","마지막 방문 "&amp;INDEX('3.설계사'!$P$4:$P$303,K17)&amp;"일 전 · "))&amp;IF(INDEX('3.설계사'!$D$4:$D$303,K17)&gt;0,"설계단계 "&amp;INDEX('3.설계사'!$D$4:$D$303,K17)&amp;"건 ","")&amp;IF(INDEX('3.설계사'!$E$4:$E$303,K17)&gt;0,"착공 "&amp;INDEX('3.설계사'!$E$4:$E$303,K17)&amp;"건 ","")&amp;IF(INDEX('3.설계사'!$F$4:$F$303,K17)&gt;0,"★"&amp;INDEX('3.설계사'!$F$4:$F$303,K17),""))</f>
        <v/>
      </c>
      <c r="D17">
        <f>IF(K17="","",INDEX('3.설계사'!$K$4:$K$303,K17))</f>
        <v/>
      </c>
      <c r="E17">
        <f>IF(K17="","",INDEX('3.설계사'!$L$4:$L$303,K17))</f>
        <v/>
      </c>
      <c r="F17" s="5">
        <f>IF(K17="","",INDEX('3.설계사'!$H$4:$H$303,K17))</f>
        <v/>
      </c>
      <c r="G17">
        <f>IF(K17="","",IFERROR(IF(VLOOKUP(D17,현장_조사!$A$3:$J$202,5,FALSE)&amp;""="","",VLOOKUP(D17,현장_조사!$A$3:$J$202,5,FALSE)&amp;IF(VLOOKUP(D17,현장_조사!$A$3:$J$202,8,FALSE)="확정",""," ("&amp;VLOOKUP(D17,현장_조사!$A$3:$J$202,8,FALSE)&amp;")")),""))</f>
        <v/>
      </c>
      <c r="H17">
        <f>IF(K17="","",INDEX('3.설계사'!$M$4:$M$303,K17))</f>
        <v/>
      </c>
      <c r="I17">
        <f>IF(K17="","",INDEX('3.설계사'!$N$4:$N$303,K17))</f>
        <v/>
      </c>
      <c r="J17" s="2">
        <f>IF(K17="","","한국마이크로닉 배성윤 차장입니다. "&amp;D17&amp;IF(INDEX('3.설계사'!$D$4:$D$303,K17)&gt;0,"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7">
        <f>IFERROR(MATCH(14,'3.설계사'!$U$4:$U$303,0),"")</f>
        <v/>
      </c>
    </row>
    <row r="18">
      <c r="A18">
        <f>IF(K18="","",15)</f>
        <v/>
      </c>
      <c r="B18">
        <f>IF(K18="","",INDEX('3.설계사'!$B$4:$B$303,K18))</f>
        <v/>
      </c>
      <c r="C18" s="2">
        <f>IF(K18="","",IF(INDEX('3.설계사'!$T$4:$T$303,K18)&gt;=설정!$B$39,"약속 "&amp;TEXT(INDEX('3.설계사'!$Q$4:$Q$303,K18),"m/d")&amp;" · ",IF(INDEX('3.설계사'!$O$4:$O$303,K18)="","아직 안 가봄 · ","마지막 방문 "&amp;INDEX('3.설계사'!$P$4:$P$303,K18)&amp;"일 전 · "))&amp;IF(INDEX('3.설계사'!$D$4:$D$303,K18)&gt;0,"설계단계 "&amp;INDEX('3.설계사'!$D$4:$D$303,K18)&amp;"건 ","")&amp;IF(INDEX('3.설계사'!$E$4:$E$303,K18)&gt;0,"착공 "&amp;INDEX('3.설계사'!$E$4:$E$303,K18)&amp;"건 ","")&amp;IF(INDEX('3.설계사'!$F$4:$F$303,K18)&gt;0,"★"&amp;INDEX('3.설계사'!$F$4:$F$303,K18),""))</f>
        <v/>
      </c>
      <c r="D18">
        <f>IF(K18="","",INDEX('3.설계사'!$K$4:$K$303,K18))</f>
        <v/>
      </c>
      <c r="E18">
        <f>IF(K18="","",INDEX('3.설계사'!$L$4:$L$303,K18))</f>
        <v/>
      </c>
      <c r="F18" s="5">
        <f>IF(K18="","",INDEX('3.설계사'!$H$4:$H$303,K18))</f>
        <v/>
      </c>
      <c r="G18">
        <f>IF(K18="","",IFERROR(IF(VLOOKUP(D18,현장_조사!$A$3:$J$202,5,FALSE)&amp;""="","",VLOOKUP(D18,현장_조사!$A$3:$J$202,5,FALSE)&amp;IF(VLOOKUP(D18,현장_조사!$A$3:$J$202,8,FALSE)="확정",""," ("&amp;VLOOKUP(D18,현장_조사!$A$3:$J$202,8,FALSE)&amp;")")),""))</f>
        <v/>
      </c>
      <c r="H18">
        <f>IF(K18="","",INDEX('3.설계사'!$M$4:$M$303,K18))</f>
        <v/>
      </c>
      <c r="I18">
        <f>IF(K18="","",INDEX('3.설계사'!$N$4:$N$303,K18))</f>
        <v/>
      </c>
      <c r="J18" s="2">
        <f>IF(K18="","","한국마이크로닉 배성윤 차장입니다. "&amp;D18&amp;IF(INDEX('3.설계사'!$D$4:$D$303,K18)&gt;0,"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8">
        <f>IFERROR(MATCH(15,'3.설계사'!$U$4:$U$303,0),"")</f>
        <v/>
      </c>
    </row>
    <row r="19">
      <c r="A19">
        <f>IF(K19="","",16)</f>
        <v/>
      </c>
      <c r="B19">
        <f>IF(K19="","",INDEX('3.설계사'!$B$4:$B$303,K19))</f>
        <v/>
      </c>
      <c r="C19" s="2">
        <f>IF(K19="","",IF(INDEX('3.설계사'!$T$4:$T$303,K19)&gt;=설정!$B$39,"약속 "&amp;TEXT(INDEX('3.설계사'!$Q$4:$Q$303,K19),"m/d")&amp;" · ",IF(INDEX('3.설계사'!$O$4:$O$303,K19)="","아직 안 가봄 · ","마지막 방문 "&amp;INDEX('3.설계사'!$P$4:$P$303,K19)&amp;"일 전 · "))&amp;IF(INDEX('3.설계사'!$D$4:$D$303,K19)&gt;0,"설계단계 "&amp;INDEX('3.설계사'!$D$4:$D$303,K19)&amp;"건 ","")&amp;IF(INDEX('3.설계사'!$E$4:$E$303,K19)&gt;0,"착공 "&amp;INDEX('3.설계사'!$E$4:$E$303,K19)&amp;"건 ","")&amp;IF(INDEX('3.설계사'!$F$4:$F$303,K19)&gt;0,"★"&amp;INDEX('3.설계사'!$F$4:$F$303,K19),""))</f>
        <v/>
      </c>
      <c r="D19">
        <f>IF(K19="","",INDEX('3.설계사'!$K$4:$K$303,K19))</f>
        <v/>
      </c>
      <c r="E19">
        <f>IF(K19="","",INDEX('3.설계사'!$L$4:$L$303,K19))</f>
        <v/>
      </c>
      <c r="F19" s="5">
        <f>IF(K19="","",INDEX('3.설계사'!$H$4:$H$303,K19))</f>
        <v/>
      </c>
      <c r="G19">
        <f>IF(K19="","",IFERROR(IF(VLOOKUP(D19,현장_조사!$A$3:$J$202,5,FALSE)&amp;""="","",VLOOKUP(D19,현장_조사!$A$3:$J$202,5,FALSE)&amp;IF(VLOOKUP(D19,현장_조사!$A$3:$J$202,8,FALSE)="확정",""," ("&amp;VLOOKUP(D19,현장_조사!$A$3:$J$202,8,FALSE)&amp;")")),""))</f>
        <v/>
      </c>
      <c r="H19">
        <f>IF(K19="","",INDEX('3.설계사'!$M$4:$M$303,K19))</f>
        <v/>
      </c>
      <c r="I19">
        <f>IF(K19="","",INDEX('3.설계사'!$N$4:$N$303,K19))</f>
        <v/>
      </c>
      <c r="J19" s="2">
        <f>IF(K19="","","한국마이크로닉 배성윤 차장입니다. "&amp;D19&amp;IF(INDEX('3.설계사'!$D$4:$D$303,K19)&gt;0,"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19">
        <f>IFERROR(MATCH(16,'3.설계사'!$U$4:$U$303,0),"")</f>
        <v/>
      </c>
    </row>
    <row r="20">
      <c r="A20">
        <f>IF(K20="","",17)</f>
        <v/>
      </c>
      <c r="B20">
        <f>IF(K20="","",INDEX('3.설계사'!$B$4:$B$303,K20))</f>
        <v/>
      </c>
      <c r="C20" s="2">
        <f>IF(K20="","",IF(INDEX('3.설계사'!$T$4:$T$303,K20)&gt;=설정!$B$39,"약속 "&amp;TEXT(INDEX('3.설계사'!$Q$4:$Q$303,K20),"m/d")&amp;" · ",IF(INDEX('3.설계사'!$O$4:$O$303,K20)="","아직 안 가봄 · ","마지막 방문 "&amp;INDEX('3.설계사'!$P$4:$P$303,K20)&amp;"일 전 · "))&amp;IF(INDEX('3.설계사'!$D$4:$D$303,K20)&gt;0,"설계단계 "&amp;INDEX('3.설계사'!$D$4:$D$303,K20)&amp;"건 ","")&amp;IF(INDEX('3.설계사'!$E$4:$E$303,K20)&gt;0,"착공 "&amp;INDEX('3.설계사'!$E$4:$E$303,K20)&amp;"건 ","")&amp;IF(INDEX('3.설계사'!$F$4:$F$303,K20)&gt;0,"★"&amp;INDEX('3.설계사'!$F$4:$F$303,K20),""))</f>
        <v/>
      </c>
      <c r="D20">
        <f>IF(K20="","",INDEX('3.설계사'!$K$4:$K$303,K20))</f>
        <v/>
      </c>
      <c r="E20">
        <f>IF(K20="","",INDEX('3.설계사'!$L$4:$L$303,K20))</f>
        <v/>
      </c>
      <c r="F20" s="5">
        <f>IF(K20="","",INDEX('3.설계사'!$H$4:$H$303,K20))</f>
        <v/>
      </c>
      <c r="G20">
        <f>IF(K20="","",IFERROR(IF(VLOOKUP(D20,현장_조사!$A$3:$J$202,5,FALSE)&amp;""="","",VLOOKUP(D20,현장_조사!$A$3:$J$202,5,FALSE)&amp;IF(VLOOKUP(D20,현장_조사!$A$3:$J$202,8,FALSE)="확정",""," ("&amp;VLOOKUP(D20,현장_조사!$A$3:$J$202,8,FALSE)&amp;")")),""))</f>
        <v/>
      </c>
      <c r="H20">
        <f>IF(K20="","",INDEX('3.설계사'!$M$4:$M$303,K20))</f>
        <v/>
      </c>
      <c r="I20">
        <f>IF(K20="","",INDEX('3.설계사'!$N$4:$N$303,K20))</f>
        <v/>
      </c>
      <c r="J20" s="2">
        <f>IF(K20="","","한국마이크로닉 배성윤 차장입니다. "&amp;D20&amp;IF(INDEX('3.설계사'!$D$4:$D$303,K20)&gt;0,"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0">
        <f>IFERROR(MATCH(17,'3.설계사'!$U$4:$U$303,0),"")</f>
        <v/>
      </c>
    </row>
    <row r="21">
      <c r="A21">
        <f>IF(K21="","",18)</f>
        <v/>
      </c>
      <c r="B21">
        <f>IF(K21="","",INDEX('3.설계사'!$B$4:$B$303,K21))</f>
        <v/>
      </c>
      <c r="C21" s="2">
        <f>IF(K21="","",IF(INDEX('3.설계사'!$T$4:$T$303,K21)&gt;=설정!$B$39,"약속 "&amp;TEXT(INDEX('3.설계사'!$Q$4:$Q$303,K21),"m/d")&amp;" · ",IF(INDEX('3.설계사'!$O$4:$O$303,K21)="","아직 안 가봄 · ","마지막 방문 "&amp;INDEX('3.설계사'!$P$4:$P$303,K21)&amp;"일 전 · "))&amp;IF(INDEX('3.설계사'!$D$4:$D$303,K21)&gt;0,"설계단계 "&amp;INDEX('3.설계사'!$D$4:$D$303,K21)&amp;"건 ","")&amp;IF(INDEX('3.설계사'!$E$4:$E$303,K21)&gt;0,"착공 "&amp;INDEX('3.설계사'!$E$4:$E$303,K21)&amp;"건 ","")&amp;IF(INDEX('3.설계사'!$F$4:$F$303,K21)&gt;0,"★"&amp;INDEX('3.설계사'!$F$4:$F$303,K21),""))</f>
        <v/>
      </c>
      <c r="D21">
        <f>IF(K21="","",INDEX('3.설계사'!$K$4:$K$303,K21))</f>
        <v/>
      </c>
      <c r="E21">
        <f>IF(K21="","",INDEX('3.설계사'!$L$4:$L$303,K21))</f>
        <v/>
      </c>
      <c r="F21" s="5">
        <f>IF(K21="","",INDEX('3.설계사'!$H$4:$H$303,K21))</f>
        <v/>
      </c>
      <c r="G21">
        <f>IF(K21="","",IFERROR(IF(VLOOKUP(D21,현장_조사!$A$3:$J$202,5,FALSE)&amp;""="","",VLOOKUP(D21,현장_조사!$A$3:$J$202,5,FALSE)&amp;IF(VLOOKUP(D21,현장_조사!$A$3:$J$202,8,FALSE)="확정",""," ("&amp;VLOOKUP(D21,현장_조사!$A$3:$J$202,8,FALSE)&amp;")")),""))</f>
        <v/>
      </c>
      <c r="H21">
        <f>IF(K21="","",INDEX('3.설계사'!$M$4:$M$303,K21))</f>
        <v/>
      </c>
      <c r="I21">
        <f>IF(K21="","",INDEX('3.설계사'!$N$4:$N$303,K21))</f>
        <v/>
      </c>
      <c r="J21" s="2">
        <f>IF(K21="","","한국마이크로닉 배성윤 차장입니다. "&amp;D21&amp;IF(INDEX('3.설계사'!$D$4:$D$303,K21)&gt;0,"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1">
        <f>IFERROR(MATCH(18,'3.설계사'!$U$4:$U$303,0),"")</f>
        <v/>
      </c>
    </row>
    <row r="22">
      <c r="A22">
        <f>IF(K22="","",19)</f>
        <v/>
      </c>
      <c r="B22">
        <f>IF(K22="","",INDEX('3.설계사'!$B$4:$B$303,K22))</f>
        <v/>
      </c>
      <c r="C22" s="2">
        <f>IF(K22="","",IF(INDEX('3.설계사'!$T$4:$T$303,K22)&gt;=설정!$B$39,"약속 "&amp;TEXT(INDEX('3.설계사'!$Q$4:$Q$303,K22),"m/d")&amp;" · ",IF(INDEX('3.설계사'!$O$4:$O$303,K22)="","아직 안 가봄 · ","마지막 방문 "&amp;INDEX('3.설계사'!$P$4:$P$303,K22)&amp;"일 전 · "))&amp;IF(INDEX('3.설계사'!$D$4:$D$303,K22)&gt;0,"설계단계 "&amp;INDEX('3.설계사'!$D$4:$D$303,K22)&amp;"건 ","")&amp;IF(INDEX('3.설계사'!$E$4:$E$303,K22)&gt;0,"착공 "&amp;INDEX('3.설계사'!$E$4:$E$303,K22)&amp;"건 ","")&amp;IF(INDEX('3.설계사'!$F$4:$F$303,K22)&gt;0,"★"&amp;INDEX('3.설계사'!$F$4:$F$303,K22),""))</f>
        <v/>
      </c>
      <c r="D22">
        <f>IF(K22="","",INDEX('3.설계사'!$K$4:$K$303,K22))</f>
        <v/>
      </c>
      <c r="E22">
        <f>IF(K22="","",INDEX('3.설계사'!$L$4:$L$303,K22))</f>
        <v/>
      </c>
      <c r="F22" s="5">
        <f>IF(K22="","",INDEX('3.설계사'!$H$4:$H$303,K22))</f>
        <v/>
      </c>
      <c r="G22">
        <f>IF(K22="","",IFERROR(IF(VLOOKUP(D22,현장_조사!$A$3:$J$202,5,FALSE)&amp;""="","",VLOOKUP(D22,현장_조사!$A$3:$J$202,5,FALSE)&amp;IF(VLOOKUP(D22,현장_조사!$A$3:$J$202,8,FALSE)="확정",""," ("&amp;VLOOKUP(D22,현장_조사!$A$3:$J$202,8,FALSE)&amp;")")),""))</f>
        <v/>
      </c>
      <c r="H22">
        <f>IF(K22="","",INDEX('3.설계사'!$M$4:$M$303,K22))</f>
        <v/>
      </c>
      <c r="I22">
        <f>IF(K22="","",INDEX('3.설계사'!$N$4:$N$303,K22))</f>
        <v/>
      </c>
      <c r="J22" s="2">
        <f>IF(K22="","","한국마이크로닉 배성윤 차장입니다. "&amp;D22&amp;IF(INDEX('3.설계사'!$D$4:$D$303,K22)&gt;0,"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2">
        <f>IFERROR(MATCH(19,'3.설계사'!$U$4:$U$303,0),"")</f>
        <v/>
      </c>
    </row>
    <row r="23">
      <c r="A23">
        <f>IF(K23="","",20)</f>
        <v/>
      </c>
      <c r="B23">
        <f>IF(K23="","",INDEX('3.설계사'!$B$4:$B$303,K23))</f>
        <v/>
      </c>
      <c r="C23" s="2">
        <f>IF(K23="","",IF(INDEX('3.설계사'!$T$4:$T$303,K23)&gt;=설정!$B$39,"약속 "&amp;TEXT(INDEX('3.설계사'!$Q$4:$Q$303,K23),"m/d")&amp;" · ",IF(INDEX('3.설계사'!$O$4:$O$303,K23)="","아직 안 가봄 · ","마지막 방문 "&amp;INDEX('3.설계사'!$P$4:$P$303,K23)&amp;"일 전 · "))&amp;IF(INDEX('3.설계사'!$D$4:$D$303,K23)&gt;0,"설계단계 "&amp;INDEX('3.설계사'!$D$4:$D$303,K23)&amp;"건 ","")&amp;IF(INDEX('3.설계사'!$E$4:$E$303,K23)&gt;0,"착공 "&amp;INDEX('3.설계사'!$E$4:$E$303,K23)&amp;"건 ","")&amp;IF(INDEX('3.설계사'!$F$4:$F$303,K23)&gt;0,"★"&amp;INDEX('3.설계사'!$F$4:$F$303,K23),""))</f>
        <v/>
      </c>
      <c r="D23">
        <f>IF(K23="","",INDEX('3.설계사'!$K$4:$K$303,K23))</f>
        <v/>
      </c>
      <c r="E23">
        <f>IF(K23="","",INDEX('3.설계사'!$L$4:$L$303,K23))</f>
        <v/>
      </c>
      <c r="F23" s="5">
        <f>IF(K23="","",INDEX('3.설계사'!$H$4:$H$303,K23))</f>
        <v/>
      </c>
      <c r="G23">
        <f>IF(K23="","",IFERROR(IF(VLOOKUP(D23,현장_조사!$A$3:$J$202,5,FALSE)&amp;""="","",VLOOKUP(D23,현장_조사!$A$3:$J$202,5,FALSE)&amp;IF(VLOOKUP(D23,현장_조사!$A$3:$J$202,8,FALSE)="확정",""," ("&amp;VLOOKUP(D23,현장_조사!$A$3:$J$202,8,FALSE)&amp;")")),""))</f>
        <v/>
      </c>
      <c r="H23">
        <f>IF(K23="","",INDEX('3.설계사'!$M$4:$M$303,K23))</f>
        <v/>
      </c>
      <c r="I23">
        <f>IF(K23="","",INDEX('3.설계사'!$N$4:$N$303,K23))</f>
        <v/>
      </c>
      <c r="J23" s="2">
        <f>IF(K23="","","한국마이크로닉 배성윤 차장입니다. "&amp;D23&amp;IF(INDEX('3.설계사'!$D$4:$D$303,K23)&gt;0,"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3">
        <f>IFERROR(MATCH(20,'3.설계사'!$U$4:$U$303,0),"")</f>
        <v/>
      </c>
    </row>
    <row r="24">
      <c r="A24">
        <f>IF(K24="","",21)</f>
        <v/>
      </c>
      <c r="B24">
        <f>IF(K24="","",INDEX('3.설계사'!$B$4:$B$303,K24))</f>
        <v/>
      </c>
      <c r="C24" s="2">
        <f>IF(K24="","",IF(INDEX('3.설계사'!$T$4:$T$303,K24)&gt;=설정!$B$39,"약속 "&amp;TEXT(INDEX('3.설계사'!$Q$4:$Q$303,K24),"m/d")&amp;" · ",IF(INDEX('3.설계사'!$O$4:$O$303,K24)="","아직 안 가봄 · ","마지막 방문 "&amp;INDEX('3.설계사'!$P$4:$P$303,K24)&amp;"일 전 · "))&amp;IF(INDEX('3.설계사'!$D$4:$D$303,K24)&gt;0,"설계단계 "&amp;INDEX('3.설계사'!$D$4:$D$303,K24)&amp;"건 ","")&amp;IF(INDEX('3.설계사'!$E$4:$E$303,K24)&gt;0,"착공 "&amp;INDEX('3.설계사'!$E$4:$E$303,K24)&amp;"건 ","")&amp;IF(INDEX('3.설계사'!$F$4:$F$303,K24)&gt;0,"★"&amp;INDEX('3.설계사'!$F$4:$F$303,K24),""))</f>
        <v/>
      </c>
      <c r="D24">
        <f>IF(K24="","",INDEX('3.설계사'!$K$4:$K$303,K24))</f>
        <v/>
      </c>
      <c r="E24">
        <f>IF(K24="","",INDEX('3.설계사'!$L$4:$L$303,K24))</f>
        <v/>
      </c>
      <c r="F24" s="5">
        <f>IF(K24="","",INDEX('3.설계사'!$H$4:$H$303,K24))</f>
        <v/>
      </c>
      <c r="G24">
        <f>IF(K24="","",IFERROR(IF(VLOOKUP(D24,현장_조사!$A$3:$J$202,5,FALSE)&amp;""="","",VLOOKUP(D24,현장_조사!$A$3:$J$202,5,FALSE)&amp;IF(VLOOKUP(D24,현장_조사!$A$3:$J$202,8,FALSE)="확정",""," ("&amp;VLOOKUP(D24,현장_조사!$A$3:$J$202,8,FALSE)&amp;")")),""))</f>
        <v/>
      </c>
      <c r="H24">
        <f>IF(K24="","",INDEX('3.설계사'!$M$4:$M$303,K24))</f>
        <v/>
      </c>
      <c r="I24">
        <f>IF(K24="","",INDEX('3.설계사'!$N$4:$N$303,K24))</f>
        <v/>
      </c>
      <c r="J24" s="2">
        <f>IF(K24="","","한국마이크로닉 배성윤 차장입니다. "&amp;D24&amp;IF(INDEX('3.설계사'!$D$4:$D$303,K24)&gt;0,"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4">
        <f>IFERROR(MATCH(21,'3.설계사'!$U$4:$U$303,0),"")</f>
        <v/>
      </c>
    </row>
    <row r="25">
      <c r="A25">
        <f>IF(K25="","",22)</f>
        <v/>
      </c>
      <c r="B25">
        <f>IF(K25="","",INDEX('3.설계사'!$B$4:$B$303,K25))</f>
        <v/>
      </c>
      <c r="C25" s="2">
        <f>IF(K25="","",IF(INDEX('3.설계사'!$T$4:$T$303,K25)&gt;=설정!$B$39,"약속 "&amp;TEXT(INDEX('3.설계사'!$Q$4:$Q$303,K25),"m/d")&amp;" · ",IF(INDEX('3.설계사'!$O$4:$O$303,K25)="","아직 안 가봄 · ","마지막 방문 "&amp;INDEX('3.설계사'!$P$4:$P$303,K25)&amp;"일 전 · "))&amp;IF(INDEX('3.설계사'!$D$4:$D$303,K25)&gt;0,"설계단계 "&amp;INDEX('3.설계사'!$D$4:$D$303,K25)&amp;"건 ","")&amp;IF(INDEX('3.설계사'!$E$4:$E$303,K25)&gt;0,"착공 "&amp;INDEX('3.설계사'!$E$4:$E$303,K25)&amp;"건 ","")&amp;IF(INDEX('3.설계사'!$F$4:$F$303,K25)&gt;0,"★"&amp;INDEX('3.설계사'!$F$4:$F$303,K25),""))</f>
        <v/>
      </c>
      <c r="D25">
        <f>IF(K25="","",INDEX('3.설계사'!$K$4:$K$303,K25))</f>
        <v/>
      </c>
      <c r="E25">
        <f>IF(K25="","",INDEX('3.설계사'!$L$4:$L$303,K25))</f>
        <v/>
      </c>
      <c r="F25" s="5">
        <f>IF(K25="","",INDEX('3.설계사'!$H$4:$H$303,K25))</f>
        <v/>
      </c>
      <c r="G25">
        <f>IF(K25="","",IFERROR(IF(VLOOKUP(D25,현장_조사!$A$3:$J$202,5,FALSE)&amp;""="","",VLOOKUP(D25,현장_조사!$A$3:$J$202,5,FALSE)&amp;IF(VLOOKUP(D25,현장_조사!$A$3:$J$202,8,FALSE)="확정",""," ("&amp;VLOOKUP(D25,현장_조사!$A$3:$J$202,8,FALSE)&amp;")")),""))</f>
        <v/>
      </c>
      <c r="H25">
        <f>IF(K25="","",INDEX('3.설계사'!$M$4:$M$303,K25))</f>
        <v/>
      </c>
      <c r="I25">
        <f>IF(K25="","",INDEX('3.설계사'!$N$4:$N$303,K25))</f>
        <v/>
      </c>
      <c r="J25" s="2">
        <f>IF(K25="","","한국마이크로닉 배성윤 차장입니다. "&amp;D25&amp;IF(INDEX('3.설계사'!$D$4:$D$303,K25)&gt;0,"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5">
        <f>IFERROR(MATCH(22,'3.설계사'!$U$4:$U$303,0),"")</f>
        <v/>
      </c>
    </row>
    <row r="26">
      <c r="A26">
        <f>IF(K26="","",23)</f>
        <v/>
      </c>
      <c r="B26">
        <f>IF(K26="","",INDEX('3.설계사'!$B$4:$B$303,K26))</f>
        <v/>
      </c>
      <c r="C26" s="2">
        <f>IF(K26="","",IF(INDEX('3.설계사'!$T$4:$T$303,K26)&gt;=설정!$B$39,"약속 "&amp;TEXT(INDEX('3.설계사'!$Q$4:$Q$303,K26),"m/d")&amp;" · ",IF(INDEX('3.설계사'!$O$4:$O$303,K26)="","아직 안 가봄 · ","마지막 방문 "&amp;INDEX('3.설계사'!$P$4:$P$303,K26)&amp;"일 전 · "))&amp;IF(INDEX('3.설계사'!$D$4:$D$303,K26)&gt;0,"설계단계 "&amp;INDEX('3.설계사'!$D$4:$D$303,K26)&amp;"건 ","")&amp;IF(INDEX('3.설계사'!$E$4:$E$303,K26)&gt;0,"착공 "&amp;INDEX('3.설계사'!$E$4:$E$303,K26)&amp;"건 ","")&amp;IF(INDEX('3.설계사'!$F$4:$F$303,K26)&gt;0,"★"&amp;INDEX('3.설계사'!$F$4:$F$303,K26),""))</f>
        <v/>
      </c>
      <c r="D26">
        <f>IF(K26="","",INDEX('3.설계사'!$K$4:$K$303,K26))</f>
        <v/>
      </c>
      <c r="E26">
        <f>IF(K26="","",INDEX('3.설계사'!$L$4:$L$303,K26))</f>
        <v/>
      </c>
      <c r="F26" s="5">
        <f>IF(K26="","",INDEX('3.설계사'!$H$4:$H$303,K26))</f>
        <v/>
      </c>
      <c r="G26">
        <f>IF(K26="","",IFERROR(IF(VLOOKUP(D26,현장_조사!$A$3:$J$202,5,FALSE)&amp;""="","",VLOOKUP(D26,현장_조사!$A$3:$J$202,5,FALSE)&amp;IF(VLOOKUP(D26,현장_조사!$A$3:$J$202,8,FALSE)="확정",""," ("&amp;VLOOKUP(D26,현장_조사!$A$3:$J$202,8,FALSE)&amp;")")),""))</f>
        <v/>
      </c>
      <c r="H26">
        <f>IF(K26="","",INDEX('3.설계사'!$M$4:$M$303,K26))</f>
        <v/>
      </c>
      <c r="I26">
        <f>IF(K26="","",INDEX('3.설계사'!$N$4:$N$303,K26))</f>
        <v/>
      </c>
      <c r="J26" s="2">
        <f>IF(K26="","","한국마이크로닉 배성윤 차장입니다. "&amp;D26&amp;IF(INDEX('3.설계사'!$D$4:$D$303,K26)&gt;0,"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6">
        <f>IFERROR(MATCH(23,'3.설계사'!$U$4:$U$303,0),"")</f>
        <v/>
      </c>
    </row>
    <row r="27">
      <c r="A27">
        <f>IF(K27="","",24)</f>
        <v/>
      </c>
      <c r="B27">
        <f>IF(K27="","",INDEX('3.설계사'!$B$4:$B$303,K27))</f>
        <v/>
      </c>
      <c r="C27" s="2">
        <f>IF(K27="","",IF(INDEX('3.설계사'!$T$4:$T$303,K27)&gt;=설정!$B$39,"약속 "&amp;TEXT(INDEX('3.설계사'!$Q$4:$Q$303,K27),"m/d")&amp;" · ",IF(INDEX('3.설계사'!$O$4:$O$303,K27)="","아직 안 가봄 · ","마지막 방문 "&amp;INDEX('3.설계사'!$P$4:$P$303,K27)&amp;"일 전 · "))&amp;IF(INDEX('3.설계사'!$D$4:$D$303,K27)&gt;0,"설계단계 "&amp;INDEX('3.설계사'!$D$4:$D$303,K27)&amp;"건 ","")&amp;IF(INDEX('3.설계사'!$E$4:$E$303,K27)&gt;0,"착공 "&amp;INDEX('3.설계사'!$E$4:$E$303,K27)&amp;"건 ","")&amp;IF(INDEX('3.설계사'!$F$4:$F$303,K27)&gt;0,"★"&amp;INDEX('3.설계사'!$F$4:$F$303,K27),""))</f>
        <v/>
      </c>
      <c r="D27">
        <f>IF(K27="","",INDEX('3.설계사'!$K$4:$K$303,K27))</f>
        <v/>
      </c>
      <c r="E27">
        <f>IF(K27="","",INDEX('3.설계사'!$L$4:$L$303,K27))</f>
        <v/>
      </c>
      <c r="F27" s="5">
        <f>IF(K27="","",INDEX('3.설계사'!$H$4:$H$303,K27))</f>
        <v/>
      </c>
      <c r="G27">
        <f>IF(K27="","",IFERROR(IF(VLOOKUP(D27,현장_조사!$A$3:$J$202,5,FALSE)&amp;""="","",VLOOKUP(D27,현장_조사!$A$3:$J$202,5,FALSE)&amp;IF(VLOOKUP(D27,현장_조사!$A$3:$J$202,8,FALSE)="확정",""," ("&amp;VLOOKUP(D27,현장_조사!$A$3:$J$202,8,FALSE)&amp;")")),""))</f>
        <v/>
      </c>
      <c r="H27">
        <f>IF(K27="","",INDEX('3.설계사'!$M$4:$M$303,K27))</f>
        <v/>
      </c>
      <c r="I27">
        <f>IF(K27="","",INDEX('3.설계사'!$N$4:$N$303,K27))</f>
        <v/>
      </c>
      <c r="J27" s="2">
        <f>IF(K27="","","한국마이크로닉 배성윤 차장입니다. "&amp;D27&amp;IF(INDEX('3.설계사'!$D$4:$D$303,K27)&gt;0,"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7">
        <f>IFERROR(MATCH(24,'3.설계사'!$U$4:$U$303,0),"")</f>
        <v/>
      </c>
    </row>
    <row r="28">
      <c r="A28">
        <f>IF(K28="","",25)</f>
        <v/>
      </c>
      <c r="B28">
        <f>IF(K28="","",INDEX('3.설계사'!$B$4:$B$303,K28))</f>
        <v/>
      </c>
      <c r="C28" s="2">
        <f>IF(K28="","",IF(INDEX('3.설계사'!$T$4:$T$303,K28)&gt;=설정!$B$39,"약속 "&amp;TEXT(INDEX('3.설계사'!$Q$4:$Q$303,K28),"m/d")&amp;" · ",IF(INDEX('3.설계사'!$O$4:$O$303,K28)="","아직 안 가봄 · ","마지막 방문 "&amp;INDEX('3.설계사'!$P$4:$P$303,K28)&amp;"일 전 · "))&amp;IF(INDEX('3.설계사'!$D$4:$D$303,K28)&gt;0,"설계단계 "&amp;INDEX('3.설계사'!$D$4:$D$303,K28)&amp;"건 ","")&amp;IF(INDEX('3.설계사'!$E$4:$E$303,K28)&gt;0,"착공 "&amp;INDEX('3.설계사'!$E$4:$E$303,K28)&amp;"건 ","")&amp;IF(INDEX('3.설계사'!$F$4:$F$303,K28)&gt;0,"★"&amp;INDEX('3.설계사'!$F$4:$F$303,K28),""))</f>
        <v/>
      </c>
      <c r="D28">
        <f>IF(K28="","",INDEX('3.설계사'!$K$4:$K$303,K28))</f>
        <v/>
      </c>
      <c r="E28">
        <f>IF(K28="","",INDEX('3.설계사'!$L$4:$L$303,K28))</f>
        <v/>
      </c>
      <c r="F28" s="5">
        <f>IF(K28="","",INDEX('3.설계사'!$H$4:$H$303,K28))</f>
        <v/>
      </c>
      <c r="G28">
        <f>IF(K28="","",IFERROR(IF(VLOOKUP(D28,현장_조사!$A$3:$J$202,5,FALSE)&amp;""="","",VLOOKUP(D28,현장_조사!$A$3:$J$202,5,FALSE)&amp;IF(VLOOKUP(D28,현장_조사!$A$3:$J$202,8,FALSE)="확정",""," ("&amp;VLOOKUP(D28,현장_조사!$A$3:$J$202,8,FALSE)&amp;")")),""))</f>
        <v/>
      </c>
      <c r="H28">
        <f>IF(K28="","",INDEX('3.설계사'!$M$4:$M$303,K28))</f>
        <v/>
      </c>
      <c r="I28">
        <f>IF(K28="","",INDEX('3.설계사'!$N$4:$N$303,K28))</f>
        <v/>
      </c>
      <c r="J28" s="2">
        <f>IF(K28="","","한국마이크로닉 배성윤 차장입니다. "&amp;D28&amp;IF(INDEX('3.설계사'!$D$4:$D$303,K28)&gt;0,"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8">
        <f>IFERROR(MATCH(25,'3.설계사'!$U$4:$U$303,0),"")</f>
        <v/>
      </c>
    </row>
    <row r="29">
      <c r="A29">
        <f>IF(K29="","",26)</f>
        <v/>
      </c>
      <c r="B29">
        <f>IF(K29="","",INDEX('3.설계사'!$B$4:$B$303,K29))</f>
        <v/>
      </c>
      <c r="C29" s="2">
        <f>IF(K29="","",IF(INDEX('3.설계사'!$T$4:$T$303,K29)&gt;=설정!$B$39,"약속 "&amp;TEXT(INDEX('3.설계사'!$Q$4:$Q$303,K29),"m/d")&amp;" · ",IF(INDEX('3.설계사'!$O$4:$O$303,K29)="","아직 안 가봄 · ","마지막 방문 "&amp;INDEX('3.설계사'!$P$4:$P$303,K29)&amp;"일 전 · "))&amp;IF(INDEX('3.설계사'!$D$4:$D$303,K29)&gt;0,"설계단계 "&amp;INDEX('3.설계사'!$D$4:$D$303,K29)&amp;"건 ","")&amp;IF(INDEX('3.설계사'!$E$4:$E$303,K29)&gt;0,"착공 "&amp;INDEX('3.설계사'!$E$4:$E$303,K29)&amp;"건 ","")&amp;IF(INDEX('3.설계사'!$F$4:$F$303,K29)&gt;0,"★"&amp;INDEX('3.설계사'!$F$4:$F$303,K29),""))</f>
        <v/>
      </c>
      <c r="D29">
        <f>IF(K29="","",INDEX('3.설계사'!$K$4:$K$303,K29))</f>
        <v/>
      </c>
      <c r="E29">
        <f>IF(K29="","",INDEX('3.설계사'!$L$4:$L$303,K29))</f>
        <v/>
      </c>
      <c r="F29" s="5">
        <f>IF(K29="","",INDEX('3.설계사'!$H$4:$H$303,K29))</f>
        <v/>
      </c>
      <c r="G29">
        <f>IF(K29="","",IFERROR(IF(VLOOKUP(D29,현장_조사!$A$3:$J$202,5,FALSE)&amp;""="","",VLOOKUP(D29,현장_조사!$A$3:$J$202,5,FALSE)&amp;IF(VLOOKUP(D29,현장_조사!$A$3:$J$202,8,FALSE)="확정",""," ("&amp;VLOOKUP(D29,현장_조사!$A$3:$J$202,8,FALSE)&amp;")")),""))</f>
        <v/>
      </c>
      <c r="H29">
        <f>IF(K29="","",INDEX('3.설계사'!$M$4:$M$303,K29))</f>
        <v/>
      </c>
      <c r="I29">
        <f>IF(K29="","",INDEX('3.설계사'!$N$4:$N$303,K29))</f>
        <v/>
      </c>
      <c r="J29" s="2">
        <f>IF(K29="","","한국마이크로닉 배성윤 차장입니다. "&amp;D29&amp;IF(INDEX('3.설계사'!$D$4:$D$303,K29)&gt;0,"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29">
        <f>IFERROR(MATCH(26,'3.설계사'!$U$4:$U$303,0),"")</f>
        <v/>
      </c>
    </row>
    <row r="30">
      <c r="A30">
        <f>IF(K30="","",27)</f>
        <v/>
      </c>
      <c r="B30">
        <f>IF(K30="","",INDEX('3.설계사'!$B$4:$B$303,K30))</f>
        <v/>
      </c>
      <c r="C30" s="2">
        <f>IF(K30="","",IF(INDEX('3.설계사'!$T$4:$T$303,K30)&gt;=설정!$B$39,"약속 "&amp;TEXT(INDEX('3.설계사'!$Q$4:$Q$303,K30),"m/d")&amp;" · ",IF(INDEX('3.설계사'!$O$4:$O$303,K30)="","아직 안 가봄 · ","마지막 방문 "&amp;INDEX('3.설계사'!$P$4:$P$303,K30)&amp;"일 전 · "))&amp;IF(INDEX('3.설계사'!$D$4:$D$303,K30)&gt;0,"설계단계 "&amp;INDEX('3.설계사'!$D$4:$D$303,K30)&amp;"건 ","")&amp;IF(INDEX('3.설계사'!$E$4:$E$303,K30)&gt;0,"착공 "&amp;INDEX('3.설계사'!$E$4:$E$303,K30)&amp;"건 ","")&amp;IF(INDEX('3.설계사'!$F$4:$F$303,K30)&gt;0,"★"&amp;INDEX('3.설계사'!$F$4:$F$303,K30),""))</f>
        <v/>
      </c>
      <c r="D30">
        <f>IF(K30="","",INDEX('3.설계사'!$K$4:$K$303,K30))</f>
        <v/>
      </c>
      <c r="E30">
        <f>IF(K30="","",INDEX('3.설계사'!$L$4:$L$303,K30))</f>
        <v/>
      </c>
      <c r="F30" s="5">
        <f>IF(K30="","",INDEX('3.설계사'!$H$4:$H$303,K30))</f>
        <v/>
      </c>
      <c r="G30">
        <f>IF(K30="","",IFERROR(IF(VLOOKUP(D30,현장_조사!$A$3:$J$202,5,FALSE)&amp;""="","",VLOOKUP(D30,현장_조사!$A$3:$J$202,5,FALSE)&amp;IF(VLOOKUP(D30,현장_조사!$A$3:$J$202,8,FALSE)="확정",""," ("&amp;VLOOKUP(D30,현장_조사!$A$3:$J$202,8,FALSE)&amp;")")),""))</f>
        <v/>
      </c>
      <c r="H30">
        <f>IF(K30="","",INDEX('3.설계사'!$M$4:$M$303,K30))</f>
        <v/>
      </c>
      <c r="I30">
        <f>IF(K30="","",INDEX('3.설계사'!$N$4:$N$303,K30))</f>
        <v/>
      </c>
      <c r="J30" s="2">
        <f>IF(K30="","","한국마이크로닉 배성윤 차장입니다. "&amp;D30&amp;IF(INDEX('3.설계사'!$D$4:$D$303,K30)&gt;0,"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30">
        <f>IFERROR(MATCH(27,'3.설계사'!$U$4:$U$303,0),"")</f>
        <v/>
      </c>
    </row>
    <row r="31">
      <c r="A31">
        <f>IF(K31="","",28)</f>
        <v/>
      </c>
      <c r="B31">
        <f>IF(K31="","",INDEX('3.설계사'!$B$4:$B$303,K31))</f>
        <v/>
      </c>
      <c r="C31" s="2">
        <f>IF(K31="","",IF(INDEX('3.설계사'!$T$4:$T$303,K31)&gt;=설정!$B$39,"약속 "&amp;TEXT(INDEX('3.설계사'!$Q$4:$Q$303,K31),"m/d")&amp;" · ",IF(INDEX('3.설계사'!$O$4:$O$303,K31)="","아직 안 가봄 · ","마지막 방문 "&amp;INDEX('3.설계사'!$P$4:$P$303,K31)&amp;"일 전 · "))&amp;IF(INDEX('3.설계사'!$D$4:$D$303,K31)&gt;0,"설계단계 "&amp;INDEX('3.설계사'!$D$4:$D$303,K31)&amp;"건 ","")&amp;IF(INDEX('3.설계사'!$E$4:$E$303,K31)&gt;0,"착공 "&amp;INDEX('3.설계사'!$E$4:$E$303,K31)&amp;"건 ","")&amp;IF(INDEX('3.설계사'!$F$4:$F$303,K31)&gt;0,"★"&amp;INDEX('3.설계사'!$F$4:$F$303,K31),""))</f>
        <v/>
      </c>
      <c r="D31">
        <f>IF(K31="","",INDEX('3.설계사'!$K$4:$K$303,K31))</f>
        <v/>
      </c>
      <c r="E31">
        <f>IF(K31="","",INDEX('3.설계사'!$L$4:$L$303,K31))</f>
        <v/>
      </c>
      <c r="F31" s="5">
        <f>IF(K31="","",INDEX('3.설계사'!$H$4:$H$303,K31))</f>
        <v/>
      </c>
      <c r="G31">
        <f>IF(K31="","",IFERROR(IF(VLOOKUP(D31,현장_조사!$A$3:$J$202,5,FALSE)&amp;""="","",VLOOKUP(D31,현장_조사!$A$3:$J$202,5,FALSE)&amp;IF(VLOOKUP(D31,현장_조사!$A$3:$J$202,8,FALSE)="확정",""," ("&amp;VLOOKUP(D31,현장_조사!$A$3:$J$202,8,FALSE)&amp;")")),""))</f>
        <v/>
      </c>
      <c r="H31">
        <f>IF(K31="","",INDEX('3.설계사'!$M$4:$M$303,K31))</f>
        <v/>
      </c>
      <c r="I31">
        <f>IF(K31="","",INDEX('3.설계사'!$N$4:$N$303,K31))</f>
        <v/>
      </c>
      <c r="J31" s="2">
        <f>IF(K31="","","한국마이크로닉 배성윤 차장입니다. "&amp;D31&amp;IF(INDEX('3.설계사'!$D$4:$D$303,K31)&gt;0,"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31">
        <f>IFERROR(MATCH(28,'3.설계사'!$U$4:$U$303,0),"")</f>
        <v/>
      </c>
    </row>
    <row r="32">
      <c r="A32">
        <f>IF(K32="","",29)</f>
        <v/>
      </c>
      <c r="B32">
        <f>IF(K32="","",INDEX('3.설계사'!$B$4:$B$303,K32))</f>
        <v/>
      </c>
      <c r="C32" s="2">
        <f>IF(K32="","",IF(INDEX('3.설계사'!$T$4:$T$303,K32)&gt;=설정!$B$39,"약속 "&amp;TEXT(INDEX('3.설계사'!$Q$4:$Q$303,K32),"m/d")&amp;" · ",IF(INDEX('3.설계사'!$O$4:$O$303,K32)="","아직 안 가봄 · ","마지막 방문 "&amp;INDEX('3.설계사'!$P$4:$P$303,K32)&amp;"일 전 · "))&amp;IF(INDEX('3.설계사'!$D$4:$D$303,K32)&gt;0,"설계단계 "&amp;INDEX('3.설계사'!$D$4:$D$303,K32)&amp;"건 ","")&amp;IF(INDEX('3.설계사'!$E$4:$E$303,K32)&gt;0,"착공 "&amp;INDEX('3.설계사'!$E$4:$E$303,K32)&amp;"건 ","")&amp;IF(INDEX('3.설계사'!$F$4:$F$303,K32)&gt;0,"★"&amp;INDEX('3.설계사'!$F$4:$F$303,K32),""))</f>
        <v/>
      </c>
      <c r="D32">
        <f>IF(K32="","",INDEX('3.설계사'!$K$4:$K$303,K32))</f>
        <v/>
      </c>
      <c r="E32">
        <f>IF(K32="","",INDEX('3.설계사'!$L$4:$L$303,K32))</f>
        <v/>
      </c>
      <c r="F32" s="5">
        <f>IF(K32="","",INDEX('3.설계사'!$H$4:$H$303,K32))</f>
        <v/>
      </c>
      <c r="G32">
        <f>IF(K32="","",IFERROR(IF(VLOOKUP(D32,현장_조사!$A$3:$J$202,5,FALSE)&amp;""="","",VLOOKUP(D32,현장_조사!$A$3:$J$202,5,FALSE)&amp;IF(VLOOKUP(D32,현장_조사!$A$3:$J$202,8,FALSE)="확정",""," ("&amp;VLOOKUP(D32,현장_조사!$A$3:$J$202,8,FALSE)&amp;")")),""))</f>
        <v/>
      </c>
      <c r="H32">
        <f>IF(K32="","",INDEX('3.설계사'!$M$4:$M$303,K32))</f>
        <v/>
      </c>
      <c r="I32">
        <f>IF(K32="","",INDEX('3.설계사'!$N$4:$N$303,K32))</f>
        <v/>
      </c>
      <c r="J32" s="2">
        <f>IF(K32="","","한국마이크로닉 배성윤 차장입니다. "&amp;D32&amp;IF(INDEX('3.설계사'!$D$4:$D$303,K32)&gt;0,"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32">
        <f>IFERROR(MATCH(29,'3.설계사'!$U$4:$U$303,0),"")</f>
        <v/>
      </c>
    </row>
    <row r="33">
      <c r="A33">
        <f>IF(K33="","",30)</f>
        <v/>
      </c>
      <c r="B33">
        <f>IF(K33="","",INDEX('3.설계사'!$B$4:$B$303,K33))</f>
        <v/>
      </c>
      <c r="C33" s="2">
        <f>IF(K33="","",IF(INDEX('3.설계사'!$T$4:$T$303,K33)&gt;=설정!$B$39,"약속 "&amp;TEXT(INDEX('3.설계사'!$Q$4:$Q$303,K33),"m/d")&amp;" · ",IF(INDEX('3.설계사'!$O$4:$O$303,K33)="","아직 안 가봄 · ","마지막 방문 "&amp;INDEX('3.설계사'!$P$4:$P$303,K33)&amp;"일 전 · "))&amp;IF(INDEX('3.설계사'!$D$4:$D$303,K33)&gt;0,"설계단계 "&amp;INDEX('3.설계사'!$D$4:$D$303,K33)&amp;"건 ","")&amp;IF(INDEX('3.설계사'!$E$4:$E$303,K33)&gt;0,"착공 "&amp;INDEX('3.설계사'!$E$4:$E$303,K33)&amp;"건 ","")&amp;IF(INDEX('3.설계사'!$F$4:$F$303,K33)&gt;0,"★"&amp;INDEX('3.설계사'!$F$4:$F$303,K33),""))</f>
        <v/>
      </c>
      <c r="D33">
        <f>IF(K33="","",INDEX('3.설계사'!$K$4:$K$303,K33))</f>
        <v/>
      </c>
      <c r="E33">
        <f>IF(K33="","",INDEX('3.설계사'!$L$4:$L$303,K33))</f>
        <v/>
      </c>
      <c r="F33" s="5">
        <f>IF(K33="","",INDEX('3.설계사'!$H$4:$H$303,K33))</f>
        <v/>
      </c>
      <c r="G33">
        <f>IF(K33="","",IFERROR(IF(VLOOKUP(D33,현장_조사!$A$3:$J$202,5,FALSE)&amp;""="","",VLOOKUP(D33,현장_조사!$A$3:$J$202,5,FALSE)&amp;IF(VLOOKUP(D33,현장_조사!$A$3:$J$202,8,FALSE)="확정",""," ("&amp;VLOOKUP(D33,현장_조사!$A$3:$J$202,8,FALSE)&amp;")")),""))</f>
        <v/>
      </c>
      <c r="H33">
        <f>IF(K33="","",INDEX('3.설계사'!$M$4:$M$303,K33))</f>
        <v/>
      </c>
      <c r="I33">
        <f>IF(K33="","",INDEX('3.설계사'!$N$4:$N$303,K33))</f>
        <v/>
      </c>
      <c r="J33" s="2">
        <f>IF(K33="","","한국마이크로닉 배성윤 차장입니다. "&amp;D33&amp;IF(INDEX('3.설계사'!$D$4:$D$303,K33)&gt;0," 설계 진행하고 계신"," 설계하신")&amp;" 걸로 알고 연락드렸습니다. 호텔 객실관리(키센서·온도조절기·조명 제어) 도면과 특기시방서를 무상으로 지원해 드리고 있어서, 이번 주에 10분만 찾아뵈어도 될까요?")</f>
        <v/>
      </c>
      <c r="K33">
        <f>IFERROR(MATCH(30,'3.설계사'!$U$4:$U$303,0),"")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6" customWidth="1" min="4" max="4"/>
    <col width="6" customWidth="1" min="5" max="5"/>
    <col width="12" customWidth="1" min="6" max="6"/>
    <col width="12" customWidth="1" min="7" max="7"/>
    <col width="22" customWidth="1" min="8" max="8"/>
    <col width="14" customWidth="1" min="9" max="9"/>
    <col width="10" customWidth="1" min="10" max="10"/>
    <col width="6" customWidth="1" min="11" max="11"/>
    <col width="9" customWidth="1" min="12" max="12"/>
    <col width="14" customWidth="1" min="13" max="13"/>
  </cols>
  <sheetData>
    <row r="1">
      <c r="A1" s="4" t="inlineStr">
        <is>
          <t>No</t>
        </is>
      </c>
      <c r="B1" s="4" t="inlineStr">
        <is>
          <t>현장명</t>
        </is>
      </c>
      <c r="C1" s="4" t="inlineStr">
        <is>
          <t>소재지</t>
        </is>
      </c>
      <c r="D1" s="4" t="inlineStr">
        <is>
          <t>공종</t>
        </is>
      </c>
      <c r="E1" s="4" t="inlineStr">
        <is>
          <t>단계</t>
        </is>
      </c>
      <c r="F1" s="4" t="inlineStr">
        <is>
          <t>날짜1(추정:허가일)</t>
        </is>
      </c>
      <c r="G1" s="4" t="inlineStr">
        <is>
          <t>날짜2(추정:착공일)</t>
        </is>
      </c>
      <c r="H1" s="4" t="inlineStr">
        <is>
          <t>건축설계</t>
        </is>
      </c>
      <c r="I1" s="4" t="inlineStr">
        <is>
          <t>열J(미확인)</t>
        </is>
      </c>
      <c r="J1" s="4" t="inlineStr">
        <is>
          <t>용도</t>
        </is>
      </c>
      <c r="K1" s="4" t="inlineStr">
        <is>
          <t>구분</t>
        </is>
      </c>
      <c r="L1" s="4" t="inlineStr">
        <is>
          <t>연면적㎡</t>
        </is>
      </c>
      <c r="M1" s="4" t="inlineStr">
        <is>
          <t>구조</t>
        </is>
      </c>
    </row>
    <row r="2">
      <c r="A2" t="n">
        <v>1</v>
      </c>
      <c r="B2" t="inlineStr">
        <is>
          <t>길상면 선두리 976-7 생활숙박시설</t>
        </is>
      </c>
      <c r="C2" t="inlineStr">
        <is>
          <t>인천광역시 강화군 길상면 선두리 976-7</t>
        </is>
      </c>
      <c r="D2" t="inlineStr">
        <is>
          <t>건축</t>
        </is>
      </c>
      <c r="E2" t="inlineStr">
        <is>
          <t>착공</t>
        </is>
      </c>
      <c r="F2" t="inlineStr">
        <is>
          <t>2026-06-23</t>
        </is>
      </c>
      <c r="G2" t="inlineStr">
        <is>
          <t>2026-07-02</t>
        </is>
      </c>
      <c r="H2" t="inlineStr"/>
      <c r="I2" t="inlineStr"/>
      <c r="J2" t="inlineStr">
        <is>
          <t>숙박시설</t>
        </is>
      </c>
      <c r="K2" t="inlineStr">
        <is>
          <t>신축</t>
        </is>
      </c>
      <c r="L2" t="n">
        <v>460</v>
      </c>
      <c r="M2" t="inlineStr">
        <is>
          <t>경량철골구조</t>
        </is>
      </c>
    </row>
    <row r="3">
      <c r="A3" t="n">
        <v>2</v>
      </c>
      <c r="B3" t="inlineStr">
        <is>
          <t>범방동 1898-7 생활숙박시설</t>
        </is>
      </c>
      <c r="C3" t="inlineStr">
        <is>
          <t>부산광역시 강서구 범방동 1898-7번지</t>
        </is>
      </c>
      <c r="D3" t="inlineStr">
        <is>
          <t>건축</t>
        </is>
      </c>
      <c r="E3" t="inlineStr">
        <is>
          <t>착공</t>
        </is>
      </c>
      <c r="F3" t="inlineStr">
        <is>
          <t>2022-04-15</t>
        </is>
      </c>
      <c r="G3" t="inlineStr">
        <is>
          <t>2025-10-31</t>
        </is>
      </c>
      <c r="H3" t="inlineStr"/>
      <c r="I3" t="inlineStr"/>
      <c r="J3" t="inlineStr">
        <is>
          <t>숙박시설</t>
        </is>
      </c>
      <c r="K3" t="inlineStr">
        <is>
          <t>신축</t>
        </is>
      </c>
      <c r="L3" t="n">
        <v>22409</v>
      </c>
      <c r="M3" t="inlineStr"/>
    </row>
    <row r="4">
      <c r="A4" t="n">
        <v>3</v>
      </c>
      <c r="B4" t="inlineStr">
        <is>
          <t>대소면 성본리 115-5 숙박시설</t>
        </is>
      </c>
      <c r="C4" t="inlineStr">
        <is>
          <t>충청북도 음성군 대소면 성본리 산115-5</t>
        </is>
      </c>
      <c r="D4" t="inlineStr">
        <is>
          <t>건축</t>
        </is>
      </c>
      <c r="E4" t="inlineStr">
        <is>
          <t>착공</t>
        </is>
      </c>
      <c r="F4" t="inlineStr">
        <is>
          <t>2023-09-14</t>
        </is>
      </c>
      <c r="G4" t="inlineStr">
        <is>
          <t>2026-09-14</t>
        </is>
      </c>
      <c r="H4" t="inlineStr">
        <is>
          <t>태건축사사무소</t>
        </is>
      </c>
      <c r="I4" t="inlineStr"/>
      <c r="J4" t="inlineStr">
        <is>
          <t>숙박시설</t>
        </is>
      </c>
      <c r="K4" t="inlineStr">
        <is>
          <t>신축</t>
        </is>
      </c>
      <c r="L4" t="n">
        <v>2596</v>
      </c>
      <c r="M4" t="inlineStr">
        <is>
          <t>철근콘크리트구조</t>
        </is>
      </c>
    </row>
    <row r="5">
      <c r="A5" t="n">
        <v>4</v>
      </c>
      <c r="B5" t="inlineStr">
        <is>
          <t>조양동 1558-3 생활숙박시설</t>
        </is>
      </c>
      <c r="C5" t="inlineStr">
        <is>
          <t>강원특별자치도 속초시 조양동 1558-3번지</t>
        </is>
      </c>
      <c r="D5" t="inlineStr">
        <is>
          <t>건축</t>
        </is>
      </c>
      <c r="E5" t="inlineStr">
        <is>
          <t>착공</t>
        </is>
      </c>
      <c r="F5" t="inlineStr">
        <is>
          <t>2023-09-27</t>
        </is>
      </c>
      <c r="G5" t="inlineStr">
        <is>
          <t>2026-09-14</t>
        </is>
      </c>
      <c r="H5" t="inlineStr">
        <is>
          <t>(주)파인드건축사사무소</t>
        </is>
      </c>
      <c r="I5" t="inlineStr"/>
      <c r="J5" t="inlineStr">
        <is>
          <t>숙박시설</t>
        </is>
      </c>
      <c r="K5" t="inlineStr">
        <is>
          <t>신축</t>
        </is>
      </c>
      <c r="L5" t="n">
        <v>14868</v>
      </c>
      <c r="M5" t="inlineStr">
        <is>
          <t>철근콘크리트구조</t>
        </is>
      </c>
    </row>
    <row r="6">
      <c r="A6" t="n">
        <v>5</v>
      </c>
      <c r="B6" t="inlineStr">
        <is>
          <t>명동2가 95-1 생활숙박시설 신축공사</t>
        </is>
      </c>
      <c r="C6" t="inlineStr">
        <is>
          <t>서울특별시 중구 남대문로 64 (명동2가)</t>
        </is>
      </c>
      <c r="D6" t="inlineStr">
        <is>
          <t>건축</t>
        </is>
      </c>
      <c r="E6" t="inlineStr">
        <is>
          <t>착공</t>
        </is>
      </c>
      <c r="F6" t="inlineStr">
        <is>
          <t>2023-08-18</t>
        </is>
      </c>
      <c r="G6" t="inlineStr">
        <is>
          <t>2026-08-17</t>
        </is>
      </c>
      <c r="H6" t="inlineStr">
        <is>
          <t>(주)야촌건축사사무소</t>
        </is>
      </c>
      <c r="I6" t="inlineStr">
        <is>
          <t>(주)시경개발</t>
        </is>
      </c>
      <c r="J6" t="inlineStr">
        <is>
          <t>숙박시설</t>
        </is>
      </c>
      <c r="K6" t="inlineStr">
        <is>
          <t>신축</t>
        </is>
      </c>
      <c r="L6" t="n">
        <v>6095</v>
      </c>
      <c r="M6" t="inlineStr">
        <is>
          <t>철근콘크리트구조</t>
        </is>
      </c>
    </row>
    <row r="7">
      <c r="A7" t="n">
        <v>6</v>
      </c>
      <c r="B7" t="inlineStr">
        <is>
          <t>부산시 중구 남포동3가 생활형숙박시설</t>
        </is>
      </c>
      <c r="C7" t="inlineStr">
        <is>
          <t>부산광역시 중구 남포길 16 (남포동3가)</t>
        </is>
      </c>
      <c r="D7" t="inlineStr">
        <is>
          <t>건축</t>
        </is>
      </c>
      <c r="E7" t="inlineStr">
        <is>
          <t>착공</t>
        </is>
      </c>
      <c r="F7" t="inlineStr">
        <is>
          <t>2023-07-31</t>
        </is>
      </c>
      <c r="G7" t="inlineStr">
        <is>
          <t>2026-07-31</t>
        </is>
      </c>
      <c r="H7" t="inlineStr">
        <is>
          <t>(주)상지이앤에이건축…</t>
        </is>
      </c>
      <c r="I7" t="inlineStr">
        <is>
          <t>(주)평광이앤씨</t>
        </is>
      </c>
      <c r="J7" t="inlineStr">
        <is>
          <t>숙박시설</t>
        </is>
      </c>
      <c r="K7" t="inlineStr">
        <is>
          <t>신축</t>
        </is>
      </c>
      <c r="L7" t="n">
        <v>14453</v>
      </c>
      <c r="M7" t="inlineStr">
        <is>
          <t>철근콘크리트구조</t>
        </is>
      </c>
    </row>
    <row r="8">
      <c r="A8" t="n">
        <v>7</v>
      </c>
      <c r="B8" t="inlineStr">
        <is>
          <t>와룡동 37 관광숙박시설</t>
        </is>
      </c>
      <c r="C8" t="inlineStr">
        <is>
          <t>서울특별시 종로구 와룡동 37번지</t>
        </is>
      </c>
      <c r="D8" t="inlineStr">
        <is>
          <t>건축</t>
        </is>
      </c>
      <c r="E8" t="inlineStr">
        <is>
          <t>착공</t>
        </is>
      </c>
      <c r="F8" t="inlineStr">
        <is>
          <t>2026-04-01</t>
        </is>
      </c>
      <c r="G8" t="inlineStr">
        <is>
          <t>2026-07-30</t>
        </is>
      </c>
      <c r="H8" t="inlineStr">
        <is>
          <t>오파드건축연구소</t>
        </is>
      </c>
      <c r="I8" t="inlineStr"/>
      <c r="J8" t="inlineStr">
        <is>
          <t>숙박시설</t>
        </is>
      </c>
      <c r="K8" t="inlineStr">
        <is>
          <t>신축</t>
        </is>
      </c>
      <c r="L8" t="n">
        <v>301</v>
      </c>
      <c r="M8" t="inlineStr">
        <is>
          <t>철근콘크리트구조</t>
        </is>
      </c>
    </row>
    <row r="9">
      <c r="A9" t="n">
        <v>8</v>
      </c>
      <c r="B9" t="inlineStr">
        <is>
          <t>경서동 경서3구역 11블록 2로트 숙박시설</t>
        </is>
      </c>
      <c r="C9" t="inlineStr">
        <is>
          <t>인천광역시 서구 경서동 블록</t>
        </is>
      </c>
      <c r="D9" t="inlineStr">
        <is>
          <t>건축</t>
        </is>
      </c>
      <c r="E9" t="inlineStr">
        <is>
          <t>착공</t>
        </is>
      </c>
      <c r="F9" t="inlineStr">
        <is>
          <t>2022-07-20</t>
        </is>
      </c>
      <c r="G9" t="inlineStr">
        <is>
          <t>2026-07-23</t>
        </is>
      </c>
      <c r="H9" t="inlineStr">
        <is>
          <t>건축사무소 고강</t>
        </is>
      </c>
      <c r="I9" t="inlineStr"/>
      <c r="J9" t="inlineStr">
        <is>
          <t>숙박시설</t>
        </is>
      </c>
      <c r="K9" t="inlineStr">
        <is>
          <t>신축</t>
        </is>
      </c>
      <c r="L9" t="n">
        <v>1995</v>
      </c>
      <c r="M9" t="inlineStr">
        <is>
          <t>철근콘크리트구조</t>
        </is>
      </c>
    </row>
    <row r="10">
      <c r="A10" t="n">
        <v>9</v>
      </c>
      <c r="B10" t="inlineStr">
        <is>
          <t>종로5가 193-17,3번지 관광숙박시설</t>
        </is>
      </c>
      <c r="C10" t="inlineStr">
        <is>
          <t>서울특별시 종로구 종로 228 (종로5가)</t>
        </is>
      </c>
      <c r="D10" t="inlineStr">
        <is>
          <t>건축</t>
        </is>
      </c>
      <c r="E10" t="inlineStr">
        <is>
          <t>착공</t>
        </is>
      </c>
      <c r="F10" t="inlineStr">
        <is>
          <t>2026-01-29</t>
        </is>
      </c>
      <c r="G10" t="inlineStr">
        <is>
          <t>2026-07-15</t>
        </is>
      </c>
      <c r="H10" t="inlineStr">
        <is>
          <t>(주)아이디어키텍…</t>
        </is>
      </c>
      <c r="I10" t="inlineStr">
        <is>
          <t>태재연구재단</t>
        </is>
      </c>
      <c r="J10" t="inlineStr">
        <is>
          <t>숙박시설</t>
        </is>
      </c>
      <c r="K10" t="inlineStr">
        <is>
          <t>신축</t>
        </is>
      </c>
      <c r="L10" t="n">
        <v>4482</v>
      </c>
      <c r="M10" t="inlineStr">
        <is>
          <t>철근콘크리트구조</t>
        </is>
      </c>
    </row>
    <row r="11">
      <c r="A11" t="n">
        <v>10</v>
      </c>
      <c r="B11" t="inlineStr">
        <is>
          <t>부전동 숙박시설</t>
        </is>
      </c>
      <c r="C11" t="inlineStr">
        <is>
          <t>부산광역시 부산진구 중앙대로680번가길</t>
        </is>
      </c>
      <c r="D11" t="inlineStr">
        <is>
          <t>건축</t>
        </is>
      </c>
      <c r="E11" t="inlineStr">
        <is>
          <t>착공</t>
        </is>
      </c>
      <c r="F11" t="inlineStr">
        <is>
          <t>2025-10-20</t>
        </is>
      </c>
      <c r="G11" t="inlineStr">
        <is>
          <t>2026-07-06</t>
        </is>
      </c>
      <c r="H11" t="inlineStr">
        <is>
          <t>이진건축사사무소</t>
        </is>
      </c>
      <c r="I11" t="inlineStr"/>
      <c r="J11" t="inlineStr">
        <is>
          <t>숙박시설</t>
        </is>
      </c>
      <c r="K11" t="inlineStr">
        <is>
          <t>신축</t>
        </is>
      </c>
      <c r="L11" t="n">
        <v>2000</v>
      </c>
      <c r="M11" t="inlineStr">
        <is>
          <t>철근콘크리트구조</t>
        </is>
      </c>
    </row>
    <row r="12">
      <c r="A12" t="n">
        <v>11</v>
      </c>
      <c r="B12" t="inlineStr">
        <is>
          <t>서면 중방대리 106 일반숙박시설</t>
        </is>
      </c>
      <c r="C12" t="inlineStr">
        <is>
          <t>강원특별자치도 홍천군 서면 고두개길 112</t>
        </is>
      </c>
      <c r="D12" t="inlineStr">
        <is>
          <t>건축</t>
        </is>
      </c>
      <c r="E12" t="inlineStr">
        <is>
          <t>착공</t>
        </is>
      </c>
      <c r="F12" t="inlineStr">
        <is>
          <t>2024-08-08</t>
        </is>
      </c>
      <c r="G12" t="inlineStr">
        <is>
          <t>2026-06-30</t>
        </is>
      </c>
      <c r="H12" t="inlineStr">
        <is>
          <t>(주)세움건축사사무소</t>
        </is>
      </c>
      <c r="I12" t="inlineStr"/>
      <c r="J12" t="inlineStr">
        <is>
          <t>숙박시설</t>
        </is>
      </c>
      <c r="K12" t="inlineStr">
        <is>
          <t>신축</t>
        </is>
      </c>
      <c r="L12" t="n">
        <v>97</v>
      </c>
      <c r="M12" t="inlineStr">
        <is>
          <t>일반목구조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7" customWidth="1" min="4" max="4"/>
    <col width="7" customWidth="1" min="5" max="5"/>
    <col width="6" customWidth="1" min="6" max="6"/>
    <col width="7" customWidth="1" min="7" max="7"/>
    <col width="10" customWidth="1" min="8" max="8"/>
    <col width="11" customWidth="1" min="9" max="9"/>
    <col width="11" customWidth="1" min="10" max="10"/>
    <col width="26" customWidth="1" min="11" max="11"/>
    <col width="14" customWidth="1" min="12" max="12"/>
    <col width="10" customWidth="1" min="13" max="13"/>
    <col width="14" customWidth="1" min="14" max="14"/>
    <col width="11" customWidth="1" min="15" max="15"/>
    <col width="6" customWidth="1" min="16" max="16"/>
    <col width="11" customWidth="1" min="17" max="17"/>
    <col width="12" customWidth="1" min="18" max="18"/>
    <col width="10" customWidth="1" min="19" max="19"/>
    <col width="8" customWidth="1" min="20" max="20"/>
    <col width="6" customWidth="1" min="21" max="21"/>
  </cols>
  <sheetData>
    <row r="1">
      <c r="A1" s="1" t="inlineStr">
        <is>
          <t>설계사무소별 모음 (자동) — 산군 대상 현장을 설계사무소 이름으로 묶음</t>
        </is>
      </c>
    </row>
    <row r="2">
      <c r="A2">
        <f>"설계사무소 "&amp;COUNTIF(B4:B303,"?*")&amp;"곳 · 대상 현장 "&amp;COUNTIF('2.현장'!T2:T1001,TRUE)&amp;"건 · ★ "&amp;COUNTIFS('2.현장'!AA2:AA1001,"★")&amp;"건"</f>
        <v/>
      </c>
    </row>
    <row r="3">
      <c r="A3" s="3" t="inlineStr">
        <is>
          <t>번호</t>
        </is>
      </c>
      <c r="B3" s="3" t="inlineStr">
        <is>
          <t>설계사무소</t>
        </is>
      </c>
      <c r="C3" s="3" t="inlineStr">
        <is>
          <t>대상 현장</t>
        </is>
      </c>
      <c r="D3" s="3" t="inlineStr">
        <is>
          <t>설계단계</t>
        </is>
      </c>
      <c r="E3" s="3" t="inlineStr">
        <is>
          <t>시공단계</t>
        </is>
      </c>
      <c r="F3" s="3" t="inlineStr">
        <is>
          <t>★ 수</t>
        </is>
      </c>
      <c r="G3" s="3" t="inlineStr">
        <is>
          <t>현장점수</t>
        </is>
      </c>
      <c r="H3" s="3" t="inlineStr">
        <is>
          <t>최대 연면적</t>
        </is>
      </c>
      <c r="I3" s="3" t="inlineStr">
        <is>
          <t>최근 허가일</t>
        </is>
      </c>
      <c r="J3" s="3" t="inlineStr">
        <is>
          <t>최근 착공일</t>
        </is>
      </c>
      <c r="K3" s="3" t="inlineStr">
        <is>
          <t>대표 현장</t>
        </is>
      </c>
      <c r="L3" s="3" t="inlineStr">
        <is>
          <t>지역</t>
        </is>
      </c>
      <c r="M3" s="3" t="inlineStr">
        <is>
          <t>담당자</t>
        </is>
      </c>
      <c r="N3" s="3" t="inlineStr">
        <is>
          <t>전화</t>
        </is>
      </c>
      <c r="O3" s="3" t="inlineStr">
        <is>
          <t>마지막 방문</t>
        </is>
      </c>
      <c r="P3" s="3" t="inlineStr">
        <is>
          <t>경과일</t>
        </is>
      </c>
      <c r="Q3" s="3" t="inlineStr">
        <is>
          <t>다음 약속</t>
        </is>
      </c>
      <c r="R3" s="3" t="inlineStr">
        <is>
          <t>최근 결과</t>
        </is>
      </c>
      <c r="S3" s="3" t="inlineStr">
        <is>
          <t>상태</t>
        </is>
      </c>
      <c r="T3" s="3" t="inlineStr">
        <is>
          <t>우선점수</t>
        </is>
      </c>
      <c r="U3" s="3" t="inlineStr">
        <is>
          <t>순위</t>
        </is>
      </c>
    </row>
    <row r="4">
      <c r="A4">
        <f>IF(B4="","",1)</f>
        <v/>
      </c>
      <c r="B4">
        <f>IFERROR(INDEX('2.현장'!$V$2:$V$1001,MATCH(1,'2.현장'!$W$2:$W$1001,0)),"")</f>
        <v/>
      </c>
      <c r="C4">
        <f>IF(B4="","",COUNTIFS('2.현장'!$V$2:$V$1001,B4,'2.현장'!$T$2:$T$1001,TRUE))</f>
        <v/>
      </c>
      <c r="D4">
        <f>IF(B4="","",COUNTIFS('2.현장'!$V$2:$V$1001,B4,'2.현장'!$U$2:$U$1001,"설계사"))</f>
        <v/>
      </c>
      <c r="E4">
        <f>IF(B4="","",COUNTIFS('2.현장'!$V$2:$V$1001,B4,'2.현장'!$U$2:$U$1001,"시공사"))</f>
        <v/>
      </c>
      <c r="F4">
        <f>IF(B4="","",COUNTIFS('2.현장'!$V$2:$V$1001,B4,'2.현장'!$T$2:$T$1001,TRUE,'2.현장'!$AA$2:$AA$1001,"★"))</f>
        <v/>
      </c>
      <c r="G4" s="6">
        <f>IF(B4="","",SUMIFS('2.현장'!$AB$2:$AB$1001,'2.현장'!$V$2:$V$1001,B4,'2.현장'!$T$2:$T$1001,TRUE))</f>
        <v/>
      </c>
      <c r="H4" s="5">
        <f>IF(B4="","",_xlfn.MAXIFS('2.현장'!$D$2:$D$1001,'2.현장'!$V$2:$V$1001,B4,'2.현장'!$T$2:$T$1001,TRUE))</f>
        <v/>
      </c>
      <c r="I4" s="7">
        <f>IF(B4="","",IF(_xlfn.MAXIFS('2.현장'!$L$2:$L$1001,'2.현장'!$V$2:$V$1001,B4,'2.현장'!$T$2:$T$1001,TRUE)=0,"",_xlfn.MAXIFS('2.현장'!$L$2:$L$1001,'2.현장'!$V$2:$V$1001,B4,'2.현장'!$T$2:$T$1001,TRUE)))</f>
        <v/>
      </c>
      <c r="J4" s="7">
        <f>IF(B4="","",IF(_xlfn.MAXIFS('2.현장'!$M$2:$M$1001,'2.현장'!$V$2:$V$1001,B4,'2.현장'!$T$2:$T$1001,TRUE)=0,"",_xlfn.MAXIFS('2.현장'!$M$2:$M$1001,'2.현장'!$V$2:$V$1001,B4,'2.현장'!$T$2:$T$1001,TRUE)))</f>
        <v/>
      </c>
      <c r="K4">
        <f>IF(B4="","",IFERROR(INDEX('2.현장'!$C$2:$C$1001,IFERROR(MATCH(B4&amp;"|설계사",'2.현장'!$Z$2:$Z$1001,0),IFERROR(MATCH(B4&amp;"|시공사",'2.현장'!$Z$2:$Z$1001,0),MATCH(B4&amp;"|늦음",'2.현장'!$Z$2:$Z$1001,0)))),""))</f>
        <v/>
      </c>
      <c r="L4">
        <f>IF(B4="","",IFERROR(INDEX('2.현장'!$N$2:$N$1001,IFERROR(MATCH(B4&amp;"|설계사",'2.현장'!$Z$2:$Z$1001,0),IFERROR(MATCH(B4&amp;"|시공사",'2.현장'!$Z$2:$Z$1001,0),MATCH(B4&amp;"|늦음",'2.현장'!$Z$2:$Z$1001,0)))),""))</f>
        <v/>
      </c>
      <c r="M4">
        <f>IF(B4="","",IFERROR(VLOOKUP(B4,업체_메모!$A$3:$I$302,2,FALSE)&amp;"",""))</f>
        <v/>
      </c>
      <c r="N4">
        <f>IF(B4="","",IFERROR(VLOOKUP(B4,업체_메모!$A$3:$I$302,4,FALSE)&amp;"",""))</f>
        <v/>
      </c>
      <c r="O4" s="7">
        <f>IF(B4="","",IF(COUNTIF('4.방문기록'!$B$3:$B$502,B4)=0,"",_xlfn.MAXIFS('4.방문기록'!$A$3:$A$502,'4.방문기록'!$B$3:$B$502,B4)))</f>
        <v/>
      </c>
      <c r="P4">
        <f>IF(O4="","",설정!$B$24-O4)</f>
        <v/>
      </c>
      <c r="Q4" s="7">
        <f>IF(B4="","",IF(_xlfn.MAXIFS('4.방문기록'!$F$3:$F$502,'4.방문기록'!$B$3:$B$502,B4)=0,"",_xlfn.MAXIFS('4.방문기록'!$F$3:$F$502,'4.방문기록'!$B$3:$B$502,B4)))</f>
        <v/>
      </c>
      <c r="R4">
        <f>IF(O4="","",IFERROR(INDEX('4.방문기록'!$H$3:$H$502,MATCH(B4&amp;"|"&amp;(O4*1),'4.방문기록'!$I$3:$I$502,0))&amp;"",""))</f>
        <v/>
      </c>
      <c r="S4">
        <f>IF(B4="","",IF(R4="관심 없음","제외",IF(O4="","안 가봄",IF(P4&gt;=설정!$B$20,P4&amp;"일 지남","최근 방문"))))</f>
        <v/>
      </c>
      <c r="T4" s="8">
        <f>IF(B4="","",IF(S4="제외","",IF(AND(설정!$B$21&lt;&gt;"",L4&lt;&gt;설정!$B$21),"",IF(AND(Q4&lt;&gt;"",Q4&gt;N(O4),Q4&lt;=설정!$B$24+7),설정!$B$39+7-(Q4-설정!$B$24),IF(AND(G4&gt;0,OR(S4="안 가봄",RIGHT(S4,2)="지남")),G4+IF(O4="",설정!$B$36,MIN(P4,60)*설정!$B$37)+MIN(N(H4)/1000*설정!$B$38,20),"")))))</f>
        <v/>
      </c>
      <c r="U4">
        <f>IF(T4="","",COUNTIF(T$4:T$303,"&gt;"&amp;T4)+COUNTIF(T$4:T4,T4))</f>
        <v/>
      </c>
    </row>
    <row r="5">
      <c r="A5">
        <f>IF(B5="","",2)</f>
        <v/>
      </c>
      <c r="B5">
        <f>IFERROR(INDEX('2.현장'!$V$2:$V$1001,MATCH(2,'2.현장'!$W$2:$W$1001,0)),"")</f>
        <v/>
      </c>
      <c r="C5">
        <f>IF(B5="","",COUNTIFS('2.현장'!$V$2:$V$1001,B5,'2.현장'!$T$2:$T$1001,TRUE))</f>
        <v/>
      </c>
      <c r="D5">
        <f>IF(B5="","",COUNTIFS('2.현장'!$V$2:$V$1001,B5,'2.현장'!$U$2:$U$1001,"설계사"))</f>
        <v/>
      </c>
      <c r="E5">
        <f>IF(B5="","",COUNTIFS('2.현장'!$V$2:$V$1001,B5,'2.현장'!$U$2:$U$1001,"시공사"))</f>
        <v/>
      </c>
      <c r="F5">
        <f>IF(B5="","",COUNTIFS('2.현장'!$V$2:$V$1001,B5,'2.현장'!$T$2:$T$1001,TRUE,'2.현장'!$AA$2:$AA$1001,"★"))</f>
        <v/>
      </c>
      <c r="G5" s="6">
        <f>IF(B5="","",SUMIFS('2.현장'!$AB$2:$AB$1001,'2.현장'!$V$2:$V$1001,B5,'2.현장'!$T$2:$T$1001,TRUE))</f>
        <v/>
      </c>
      <c r="H5" s="5">
        <f>IF(B5="","",_xlfn.MAXIFS('2.현장'!$D$2:$D$1001,'2.현장'!$V$2:$V$1001,B5,'2.현장'!$T$2:$T$1001,TRUE))</f>
        <v/>
      </c>
      <c r="I5" s="7">
        <f>IF(B5="","",IF(_xlfn.MAXIFS('2.현장'!$L$2:$L$1001,'2.현장'!$V$2:$V$1001,B5,'2.현장'!$T$2:$T$1001,TRUE)=0,"",_xlfn.MAXIFS('2.현장'!$L$2:$L$1001,'2.현장'!$V$2:$V$1001,B5,'2.현장'!$T$2:$T$1001,TRUE)))</f>
        <v/>
      </c>
      <c r="J5" s="7">
        <f>IF(B5="","",IF(_xlfn.MAXIFS('2.현장'!$M$2:$M$1001,'2.현장'!$V$2:$V$1001,B5,'2.현장'!$T$2:$T$1001,TRUE)=0,"",_xlfn.MAXIFS('2.현장'!$M$2:$M$1001,'2.현장'!$V$2:$V$1001,B5,'2.현장'!$T$2:$T$1001,TRUE)))</f>
        <v/>
      </c>
      <c r="K5">
        <f>IF(B5="","",IFERROR(INDEX('2.현장'!$C$2:$C$1001,IFERROR(MATCH(B5&amp;"|설계사",'2.현장'!$Z$2:$Z$1001,0),IFERROR(MATCH(B5&amp;"|시공사",'2.현장'!$Z$2:$Z$1001,0),MATCH(B5&amp;"|늦음",'2.현장'!$Z$2:$Z$1001,0)))),""))</f>
        <v/>
      </c>
      <c r="L5">
        <f>IF(B5="","",IFERROR(INDEX('2.현장'!$N$2:$N$1001,IFERROR(MATCH(B5&amp;"|설계사",'2.현장'!$Z$2:$Z$1001,0),IFERROR(MATCH(B5&amp;"|시공사",'2.현장'!$Z$2:$Z$1001,0),MATCH(B5&amp;"|늦음",'2.현장'!$Z$2:$Z$1001,0)))),""))</f>
        <v/>
      </c>
      <c r="M5">
        <f>IF(B5="","",IFERROR(VLOOKUP(B5,업체_메모!$A$3:$I$302,2,FALSE)&amp;"",""))</f>
        <v/>
      </c>
      <c r="N5">
        <f>IF(B5="","",IFERROR(VLOOKUP(B5,업체_메모!$A$3:$I$302,4,FALSE)&amp;"",""))</f>
        <v/>
      </c>
      <c r="O5" s="7">
        <f>IF(B5="","",IF(COUNTIF('4.방문기록'!$B$3:$B$502,B5)=0,"",_xlfn.MAXIFS('4.방문기록'!$A$3:$A$502,'4.방문기록'!$B$3:$B$502,B5)))</f>
        <v/>
      </c>
      <c r="P5">
        <f>IF(O5="","",설정!$B$24-O5)</f>
        <v/>
      </c>
      <c r="Q5" s="7">
        <f>IF(B5="","",IF(_xlfn.MAXIFS('4.방문기록'!$F$3:$F$502,'4.방문기록'!$B$3:$B$502,B5)=0,"",_xlfn.MAXIFS('4.방문기록'!$F$3:$F$502,'4.방문기록'!$B$3:$B$502,B5)))</f>
        <v/>
      </c>
      <c r="R5">
        <f>IF(O5="","",IFERROR(INDEX('4.방문기록'!$H$3:$H$502,MATCH(B5&amp;"|"&amp;(O5*1),'4.방문기록'!$I$3:$I$502,0))&amp;"",""))</f>
        <v/>
      </c>
      <c r="S5">
        <f>IF(B5="","",IF(R5="관심 없음","제외",IF(O5="","안 가봄",IF(P5&gt;=설정!$B$20,P5&amp;"일 지남","최근 방문"))))</f>
        <v/>
      </c>
      <c r="T5" s="8">
        <f>IF(B5="","",IF(S5="제외","",IF(AND(설정!$B$21&lt;&gt;"",L5&lt;&gt;설정!$B$21),"",IF(AND(Q5&lt;&gt;"",Q5&gt;N(O5),Q5&lt;=설정!$B$24+7),설정!$B$39+7-(Q5-설정!$B$24),IF(AND(G5&gt;0,OR(S5="안 가봄",RIGHT(S5,2)="지남")),G5+IF(O5="",설정!$B$36,MIN(P5,60)*설정!$B$37)+MIN(N(H5)/1000*설정!$B$38,20),"")))))</f>
        <v/>
      </c>
      <c r="U5">
        <f>IF(T5="","",COUNTIF(T$4:T$303,"&gt;"&amp;T5)+COUNTIF(T$4:T5,T5))</f>
        <v/>
      </c>
    </row>
    <row r="6">
      <c r="A6">
        <f>IF(B6="","",3)</f>
        <v/>
      </c>
      <c r="B6">
        <f>IFERROR(INDEX('2.현장'!$V$2:$V$1001,MATCH(3,'2.현장'!$W$2:$W$1001,0)),"")</f>
        <v/>
      </c>
      <c r="C6">
        <f>IF(B6="","",COUNTIFS('2.현장'!$V$2:$V$1001,B6,'2.현장'!$T$2:$T$1001,TRUE))</f>
        <v/>
      </c>
      <c r="D6">
        <f>IF(B6="","",COUNTIFS('2.현장'!$V$2:$V$1001,B6,'2.현장'!$U$2:$U$1001,"설계사"))</f>
        <v/>
      </c>
      <c r="E6">
        <f>IF(B6="","",COUNTIFS('2.현장'!$V$2:$V$1001,B6,'2.현장'!$U$2:$U$1001,"시공사"))</f>
        <v/>
      </c>
      <c r="F6">
        <f>IF(B6="","",COUNTIFS('2.현장'!$V$2:$V$1001,B6,'2.현장'!$T$2:$T$1001,TRUE,'2.현장'!$AA$2:$AA$1001,"★"))</f>
        <v/>
      </c>
      <c r="G6" s="6">
        <f>IF(B6="","",SUMIFS('2.현장'!$AB$2:$AB$1001,'2.현장'!$V$2:$V$1001,B6,'2.현장'!$T$2:$T$1001,TRUE))</f>
        <v/>
      </c>
      <c r="H6" s="5">
        <f>IF(B6="","",_xlfn.MAXIFS('2.현장'!$D$2:$D$1001,'2.현장'!$V$2:$V$1001,B6,'2.현장'!$T$2:$T$1001,TRUE))</f>
        <v/>
      </c>
      <c r="I6" s="7">
        <f>IF(B6="","",IF(_xlfn.MAXIFS('2.현장'!$L$2:$L$1001,'2.현장'!$V$2:$V$1001,B6,'2.현장'!$T$2:$T$1001,TRUE)=0,"",_xlfn.MAXIFS('2.현장'!$L$2:$L$1001,'2.현장'!$V$2:$V$1001,B6,'2.현장'!$T$2:$T$1001,TRUE)))</f>
        <v/>
      </c>
      <c r="J6" s="7">
        <f>IF(B6="","",IF(_xlfn.MAXIFS('2.현장'!$M$2:$M$1001,'2.현장'!$V$2:$V$1001,B6,'2.현장'!$T$2:$T$1001,TRUE)=0,"",_xlfn.MAXIFS('2.현장'!$M$2:$M$1001,'2.현장'!$V$2:$V$1001,B6,'2.현장'!$T$2:$T$1001,TRUE)))</f>
        <v/>
      </c>
      <c r="K6">
        <f>IF(B6="","",IFERROR(INDEX('2.현장'!$C$2:$C$1001,IFERROR(MATCH(B6&amp;"|설계사",'2.현장'!$Z$2:$Z$1001,0),IFERROR(MATCH(B6&amp;"|시공사",'2.현장'!$Z$2:$Z$1001,0),MATCH(B6&amp;"|늦음",'2.현장'!$Z$2:$Z$1001,0)))),""))</f>
        <v/>
      </c>
      <c r="L6">
        <f>IF(B6="","",IFERROR(INDEX('2.현장'!$N$2:$N$1001,IFERROR(MATCH(B6&amp;"|설계사",'2.현장'!$Z$2:$Z$1001,0),IFERROR(MATCH(B6&amp;"|시공사",'2.현장'!$Z$2:$Z$1001,0),MATCH(B6&amp;"|늦음",'2.현장'!$Z$2:$Z$1001,0)))),""))</f>
        <v/>
      </c>
      <c r="M6">
        <f>IF(B6="","",IFERROR(VLOOKUP(B6,업체_메모!$A$3:$I$302,2,FALSE)&amp;"",""))</f>
        <v/>
      </c>
      <c r="N6">
        <f>IF(B6="","",IFERROR(VLOOKUP(B6,업체_메모!$A$3:$I$302,4,FALSE)&amp;"",""))</f>
        <v/>
      </c>
      <c r="O6" s="7">
        <f>IF(B6="","",IF(COUNTIF('4.방문기록'!$B$3:$B$502,B6)=0,"",_xlfn.MAXIFS('4.방문기록'!$A$3:$A$502,'4.방문기록'!$B$3:$B$502,B6)))</f>
        <v/>
      </c>
      <c r="P6">
        <f>IF(O6="","",설정!$B$24-O6)</f>
        <v/>
      </c>
      <c r="Q6" s="7">
        <f>IF(B6="","",IF(_xlfn.MAXIFS('4.방문기록'!$F$3:$F$502,'4.방문기록'!$B$3:$B$502,B6)=0,"",_xlfn.MAXIFS('4.방문기록'!$F$3:$F$502,'4.방문기록'!$B$3:$B$502,B6)))</f>
        <v/>
      </c>
      <c r="R6">
        <f>IF(O6="","",IFERROR(INDEX('4.방문기록'!$H$3:$H$502,MATCH(B6&amp;"|"&amp;(O6*1),'4.방문기록'!$I$3:$I$502,0))&amp;"",""))</f>
        <v/>
      </c>
      <c r="S6">
        <f>IF(B6="","",IF(R6="관심 없음","제외",IF(O6="","안 가봄",IF(P6&gt;=설정!$B$20,P6&amp;"일 지남","최근 방문"))))</f>
        <v/>
      </c>
      <c r="T6" s="8">
        <f>IF(B6="","",IF(S6="제외","",IF(AND(설정!$B$21&lt;&gt;"",L6&lt;&gt;설정!$B$21),"",IF(AND(Q6&lt;&gt;"",Q6&gt;N(O6),Q6&lt;=설정!$B$24+7),설정!$B$39+7-(Q6-설정!$B$24),IF(AND(G6&gt;0,OR(S6="안 가봄",RIGHT(S6,2)="지남")),G6+IF(O6="",설정!$B$36,MIN(P6,60)*설정!$B$37)+MIN(N(H6)/1000*설정!$B$38,20),"")))))</f>
        <v/>
      </c>
      <c r="U6">
        <f>IF(T6="","",COUNTIF(T$4:T$303,"&gt;"&amp;T6)+COUNTIF(T$4:T6,T6))</f>
        <v/>
      </c>
    </row>
    <row r="7">
      <c r="A7">
        <f>IF(B7="","",4)</f>
        <v/>
      </c>
      <c r="B7">
        <f>IFERROR(INDEX('2.현장'!$V$2:$V$1001,MATCH(4,'2.현장'!$W$2:$W$1001,0)),"")</f>
        <v/>
      </c>
      <c r="C7">
        <f>IF(B7="","",COUNTIFS('2.현장'!$V$2:$V$1001,B7,'2.현장'!$T$2:$T$1001,TRUE))</f>
        <v/>
      </c>
      <c r="D7">
        <f>IF(B7="","",COUNTIFS('2.현장'!$V$2:$V$1001,B7,'2.현장'!$U$2:$U$1001,"설계사"))</f>
        <v/>
      </c>
      <c r="E7">
        <f>IF(B7="","",COUNTIFS('2.현장'!$V$2:$V$1001,B7,'2.현장'!$U$2:$U$1001,"시공사"))</f>
        <v/>
      </c>
      <c r="F7">
        <f>IF(B7="","",COUNTIFS('2.현장'!$V$2:$V$1001,B7,'2.현장'!$T$2:$T$1001,TRUE,'2.현장'!$AA$2:$AA$1001,"★"))</f>
        <v/>
      </c>
      <c r="G7" s="6">
        <f>IF(B7="","",SUMIFS('2.현장'!$AB$2:$AB$1001,'2.현장'!$V$2:$V$1001,B7,'2.현장'!$T$2:$T$1001,TRUE))</f>
        <v/>
      </c>
      <c r="H7" s="5">
        <f>IF(B7="","",_xlfn.MAXIFS('2.현장'!$D$2:$D$1001,'2.현장'!$V$2:$V$1001,B7,'2.현장'!$T$2:$T$1001,TRUE))</f>
        <v/>
      </c>
      <c r="I7" s="7">
        <f>IF(B7="","",IF(_xlfn.MAXIFS('2.현장'!$L$2:$L$1001,'2.현장'!$V$2:$V$1001,B7,'2.현장'!$T$2:$T$1001,TRUE)=0,"",_xlfn.MAXIFS('2.현장'!$L$2:$L$1001,'2.현장'!$V$2:$V$1001,B7,'2.현장'!$T$2:$T$1001,TRUE)))</f>
        <v/>
      </c>
      <c r="J7" s="7">
        <f>IF(B7="","",IF(_xlfn.MAXIFS('2.현장'!$M$2:$M$1001,'2.현장'!$V$2:$V$1001,B7,'2.현장'!$T$2:$T$1001,TRUE)=0,"",_xlfn.MAXIFS('2.현장'!$M$2:$M$1001,'2.현장'!$V$2:$V$1001,B7,'2.현장'!$T$2:$T$1001,TRUE)))</f>
        <v/>
      </c>
      <c r="K7">
        <f>IF(B7="","",IFERROR(INDEX('2.현장'!$C$2:$C$1001,IFERROR(MATCH(B7&amp;"|설계사",'2.현장'!$Z$2:$Z$1001,0),IFERROR(MATCH(B7&amp;"|시공사",'2.현장'!$Z$2:$Z$1001,0),MATCH(B7&amp;"|늦음",'2.현장'!$Z$2:$Z$1001,0)))),""))</f>
        <v/>
      </c>
      <c r="L7">
        <f>IF(B7="","",IFERROR(INDEX('2.현장'!$N$2:$N$1001,IFERROR(MATCH(B7&amp;"|설계사",'2.현장'!$Z$2:$Z$1001,0),IFERROR(MATCH(B7&amp;"|시공사",'2.현장'!$Z$2:$Z$1001,0),MATCH(B7&amp;"|늦음",'2.현장'!$Z$2:$Z$1001,0)))),""))</f>
        <v/>
      </c>
      <c r="M7">
        <f>IF(B7="","",IFERROR(VLOOKUP(B7,업체_메모!$A$3:$I$302,2,FALSE)&amp;"",""))</f>
        <v/>
      </c>
      <c r="N7">
        <f>IF(B7="","",IFERROR(VLOOKUP(B7,업체_메모!$A$3:$I$302,4,FALSE)&amp;"",""))</f>
        <v/>
      </c>
      <c r="O7" s="7">
        <f>IF(B7="","",IF(COUNTIF('4.방문기록'!$B$3:$B$502,B7)=0,"",_xlfn.MAXIFS('4.방문기록'!$A$3:$A$502,'4.방문기록'!$B$3:$B$502,B7)))</f>
        <v/>
      </c>
      <c r="P7">
        <f>IF(O7="","",설정!$B$24-O7)</f>
        <v/>
      </c>
      <c r="Q7" s="7">
        <f>IF(B7="","",IF(_xlfn.MAXIFS('4.방문기록'!$F$3:$F$502,'4.방문기록'!$B$3:$B$502,B7)=0,"",_xlfn.MAXIFS('4.방문기록'!$F$3:$F$502,'4.방문기록'!$B$3:$B$502,B7)))</f>
        <v/>
      </c>
      <c r="R7">
        <f>IF(O7="","",IFERROR(INDEX('4.방문기록'!$H$3:$H$502,MATCH(B7&amp;"|"&amp;(O7*1),'4.방문기록'!$I$3:$I$502,0))&amp;"",""))</f>
        <v/>
      </c>
      <c r="S7">
        <f>IF(B7="","",IF(R7="관심 없음","제외",IF(O7="","안 가봄",IF(P7&gt;=설정!$B$20,P7&amp;"일 지남","최근 방문"))))</f>
        <v/>
      </c>
      <c r="T7" s="8">
        <f>IF(B7="","",IF(S7="제외","",IF(AND(설정!$B$21&lt;&gt;"",L7&lt;&gt;설정!$B$21),"",IF(AND(Q7&lt;&gt;"",Q7&gt;N(O7),Q7&lt;=설정!$B$24+7),설정!$B$39+7-(Q7-설정!$B$24),IF(AND(G7&gt;0,OR(S7="안 가봄",RIGHT(S7,2)="지남")),G7+IF(O7="",설정!$B$36,MIN(P7,60)*설정!$B$37)+MIN(N(H7)/1000*설정!$B$38,20),"")))))</f>
        <v/>
      </c>
      <c r="U7">
        <f>IF(T7="","",COUNTIF(T$4:T$303,"&gt;"&amp;T7)+COUNTIF(T$4:T7,T7))</f>
        <v/>
      </c>
    </row>
    <row r="8">
      <c r="A8">
        <f>IF(B8="","",5)</f>
        <v/>
      </c>
      <c r="B8">
        <f>IFERROR(INDEX('2.현장'!$V$2:$V$1001,MATCH(5,'2.현장'!$W$2:$W$1001,0)),"")</f>
        <v/>
      </c>
      <c r="C8">
        <f>IF(B8="","",COUNTIFS('2.현장'!$V$2:$V$1001,B8,'2.현장'!$T$2:$T$1001,TRUE))</f>
        <v/>
      </c>
      <c r="D8">
        <f>IF(B8="","",COUNTIFS('2.현장'!$V$2:$V$1001,B8,'2.현장'!$U$2:$U$1001,"설계사"))</f>
        <v/>
      </c>
      <c r="E8">
        <f>IF(B8="","",COUNTIFS('2.현장'!$V$2:$V$1001,B8,'2.현장'!$U$2:$U$1001,"시공사"))</f>
        <v/>
      </c>
      <c r="F8">
        <f>IF(B8="","",COUNTIFS('2.현장'!$V$2:$V$1001,B8,'2.현장'!$T$2:$T$1001,TRUE,'2.현장'!$AA$2:$AA$1001,"★"))</f>
        <v/>
      </c>
      <c r="G8" s="6">
        <f>IF(B8="","",SUMIFS('2.현장'!$AB$2:$AB$1001,'2.현장'!$V$2:$V$1001,B8,'2.현장'!$T$2:$T$1001,TRUE))</f>
        <v/>
      </c>
      <c r="H8" s="5">
        <f>IF(B8="","",_xlfn.MAXIFS('2.현장'!$D$2:$D$1001,'2.현장'!$V$2:$V$1001,B8,'2.현장'!$T$2:$T$1001,TRUE))</f>
        <v/>
      </c>
      <c r="I8" s="7">
        <f>IF(B8="","",IF(_xlfn.MAXIFS('2.현장'!$L$2:$L$1001,'2.현장'!$V$2:$V$1001,B8,'2.현장'!$T$2:$T$1001,TRUE)=0,"",_xlfn.MAXIFS('2.현장'!$L$2:$L$1001,'2.현장'!$V$2:$V$1001,B8,'2.현장'!$T$2:$T$1001,TRUE)))</f>
        <v/>
      </c>
      <c r="J8" s="7">
        <f>IF(B8="","",IF(_xlfn.MAXIFS('2.현장'!$M$2:$M$1001,'2.현장'!$V$2:$V$1001,B8,'2.현장'!$T$2:$T$1001,TRUE)=0,"",_xlfn.MAXIFS('2.현장'!$M$2:$M$1001,'2.현장'!$V$2:$V$1001,B8,'2.현장'!$T$2:$T$1001,TRUE)))</f>
        <v/>
      </c>
      <c r="K8">
        <f>IF(B8="","",IFERROR(INDEX('2.현장'!$C$2:$C$1001,IFERROR(MATCH(B8&amp;"|설계사",'2.현장'!$Z$2:$Z$1001,0),IFERROR(MATCH(B8&amp;"|시공사",'2.현장'!$Z$2:$Z$1001,0),MATCH(B8&amp;"|늦음",'2.현장'!$Z$2:$Z$1001,0)))),""))</f>
        <v/>
      </c>
      <c r="L8">
        <f>IF(B8="","",IFERROR(INDEX('2.현장'!$N$2:$N$1001,IFERROR(MATCH(B8&amp;"|설계사",'2.현장'!$Z$2:$Z$1001,0),IFERROR(MATCH(B8&amp;"|시공사",'2.현장'!$Z$2:$Z$1001,0),MATCH(B8&amp;"|늦음",'2.현장'!$Z$2:$Z$1001,0)))),""))</f>
        <v/>
      </c>
      <c r="M8">
        <f>IF(B8="","",IFERROR(VLOOKUP(B8,업체_메모!$A$3:$I$302,2,FALSE)&amp;"",""))</f>
        <v/>
      </c>
      <c r="N8">
        <f>IF(B8="","",IFERROR(VLOOKUP(B8,업체_메모!$A$3:$I$302,4,FALSE)&amp;"",""))</f>
        <v/>
      </c>
      <c r="O8" s="7">
        <f>IF(B8="","",IF(COUNTIF('4.방문기록'!$B$3:$B$502,B8)=0,"",_xlfn.MAXIFS('4.방문기록'!$A$3:$A$502,'4.방문기록'!$B$3:$B$502,B8)))</f>
        <v/>
      </c>
      <c r="P8">
        <f>IF(O8="","",설정!$B$24-O8)</f>
        <v/>
      </c>
      <c r="Q8" s="7">
        <f>IF(B8="","",IF(_xlfn.MAXIFS('4.방문기록'!$F$3:$F$502,'4.방문기록'!$B$3:$B$502,B8)=0,"",_xlfn.MAXIFS('4.방문기록'!$F$3:$F$502,'4.방문기록'!$B$3:$B$502,B8)))</f>
        <v/>
      </c>
      <c r="R8">
        <f>IF(O8="","",IFERROR(INDEX('4.방문기록'!$H$3:$H$502,MATCH(B8&amp;"|"&amp;(O8*1),'4.방문기록'!$I$3:$I$502,0))&amp;"",""))</f>
        <v/>
      </c>
      <c r="S8">
        <f>IF(B8="","",IF(R8="관심 없음","제외",IF(O8="","안 가봄",IF(P8&gt;=설정!$B$20,P8&amp;"일 지남","최근 방문"))))</f>
        <v/>
      </c>
      <c r="T8" s="8">
        <f>IF(B8="","",IF(S8="제외","",IF(AND(설정!$B$21&lt;&gt;"",L8&lt;&gt;설정!$B$21),"",IF(AND(Q8&lt;&gt;"",Q8&gt;N(O8),Q8&lt;=설정!$B$24+7),설정!$B$39+7-(Q8-설정!$B$24),IF(AND(G8&gt;0,OR(S8="안 가봄",RIGHT(S8,2)="지남")),G8+IF(O8="",설정!$B$36,MIN(P8,60)*설정!$B$37)+MIN(N(H8)/1000*설정!$B$38,20),"")))))</f>
        <v/>
      </c>
      <c r="U8">
        <f>IF(T8="","",COUNTIF(T$4:T$303,"&gt;"&amp;T8)+COUNTIF(T$4:T8,T8))</f>
        <v/>
      </c>
    </row>
    <row r="9">
      <c r="A9">
        <f>IF(B9="","",6)</f>
        <v/>
      </c>
      <c r="B9">
        <f>IFERROR(INDEX('2.현장'!$V$2:$V$1001,MATCH(6,'2.현장'!$W$2:$W$1001,0)),"")</f>
        <v/>
      </c>
      <c r="C9">
        <f>IF(B9="","",COUNTIFS('2.현장'!$V$2:$V$1001,B9,'2.현장'!$T$2:$T$1001,TRUE))</f>
        <v/>
      </c>
      <c r="D9">
        <f>IF(B9="","",COUNTIFS('2.현장'!$V$2:$V$1001,B9,'2.현장'!$U$2:$U$1001,"설계사"))</f>
        <v/>
      </c>
      <c r="E9">
        <f>IF(B9="","",COUNTIFS('2.현장'!$V$2:$V$1001,B9,'2.현장'!$U$2:$U$1001,"시공사"))</f>
        <v/>
      </c>
      <c r="F9">
        <f>IF(B9="","",COUNTIFS('2.현장'!$V$2:$V$1001,B9,'2.현장'!$T$2:$T$1001,TRUE,'2.현장'!$AA$2:$AA$1001,"★"))</f>
        <v/>
      </c>
      <c r="G9" s="6">
        <f>IF(B9="","",SUMIFS('2.현장'!$AB$2:$AB$1001,'2.현장'!$V$2:$V$1001,B9,'2.현장'!$T$2:$T$1001,TRUE))</f>
        <v/>
      </c>
      <c r="H9" s="5">
        <f>IF(B9="","",_xlfn.MAXIFS('2.현장'!$D$2:$D$1001,'2.현장'!$V$2:$V$1001,B9,'2.현장'!$T$2:$T$1001,TRUE))</f>
        <v/>
      </c>
      <c r="I9" s="7">
        <f>IF(B9="","",IF(_xlfn.MAXIFS('2.현장'!$L$2:$L$1001,'2.현장'!$V$2:$V$1001,B9,'2.현장'!$T$2:$T$1001,TRUE)=0,"",_xlfn.MAXIFS('2.현장'!$L$2:$L$1001,'2.현장'!$V$2:$V$1001,B9,'2.현장'!$T$2:$T$1001,TRUE)))</f>
        <v/>
      </c>
      <c r="J9" s="7">
        <f>IF(B9="","",IF(_xlfn.MAXIFS('2.현장'!$M$2:$M$1001,'2.현장'!$V$2:$V$1001,B9,'2.현장'!$T$2:$T$1001,TRUE)=0,"",_xlfn.MAXIFS('2.현장'!$M$2:$M$1001,'2.현장'!$V$2:$V$1001,B9,'2.현장'!$T$2:$T$1001,TRUE)))</f>
        <v/>
      </c>
      <c r="K9">
        <f>IF(B9="","",IFERROR(INDEX('2.현장'!$C$2:$C$1001,IFERROR(MATCH(B9&amp;"|설계사",'2.현장'!$Z$2:$Z$1001,0),IFERROR(MATCH(B9&amp;"|시공사",'2.현장'!$Z$2:$Z$1001,0),MATCH(B9&amp;"|늦음",'2.현장'!$Z$2:$Z$1001,0)))),""))</f>
        <v/>
      </c>
      <c r="L9">
        <f>IF(B9="","",IFERROR(INDEX('2.현장'!$N$2:$N$1001,IFERROR(MATCH(B9&amp;"|설계사",'2.현장'!$Z$2:$Z$1001,0),IFERROR(MATCH(B9&amp;"|시공사",'2.현장'!$Z$2:$Z$1001,0),MATCH(B9&amp;"|늦음",'2.현장'!$Z$2:$Z$1001,0)))),""))</f>
        <v/>
      </c>
      <c r="M9">
        <f>IF(B9="","",IFERROR(VLOOKUP(B9,업체_메모!$A$3:$I$302,2,FALSE)&amp;"",""))</f>
        <v/>
      </c>
      <c r="N9">
        <f>IF(B9="","",IFERROR(VLOOKUP(B9,업체_메모!$A$3:$I$302,4,FALSE)&amp;"",""))</f>
        <v/>
      </c>
      <c r="O9" s="7">
        <f>IF(B9="","",IF(COUNTIF('4.방문기록'!$B$3:$B$502,B9)=0,"",_xlfn.MAXIFS('4.방문기록'!$A$3:$A$502,'4.방문기록'!$B$3:$B$502,B9)))</f>
        <v/>
      </c>
      <c r="P9">
        <f>IF(O9="","",설정!$B$24-O9)</f>
        <v/>
      </c>
      <c r="Q9" s="7">
        <f>IF(B9="","",IF(_xlfn.MAXIFS('4.방문기록'!$F$3:$F$502,'4.방문기록'!$B$3:$B$502,B9)=0,"",_xlfn.MAXIFS('4.방문기록'!$F$3:$F$502,'4.방문기록'!$B$3:$B$502,B9)))</f>
        <v/>
      </c>
      <c r="R9">
        <f>IF(O9="","",IFERROR(INDEX('4.방문기록'!$H$3:$H$502,MATCH(B9&amp;"|"&amp;(O9*1),'4.방문기록'!$I$3:$I$502,0))&amp;"",""))</f>
        <v/>
      </c>
      <c r="S9">
        <f>IF(B9="","",IF(R9="관심 없음","제외",IF(O9="","안 가봄",IF(P9&gt;=설정!$B$20,P9&amp;"일 지남","최근 방문"))))</f>
        <v/>
      </c>
      <c r="T9" s="8">
        <f>IF(B9="","",IF(S9="제외","",IF(AND(설정!$B$21&lt;&gt;"",L9&lt;&gt;설정!$B$21),"",IF(AND(Q9&lt;&gt;"",Q9&gt;N(O9),Q9&lt;=설정!$B$24+7),설정!$B$39+7-(Q9-설정!$B$24),IF(AND(G9&gt;0,OR(S9="안 가봄",RIGHT(S9,2)="지남")),G9+IF(O9="",설정!$B$36,MIN(P9,60)*설정!$B$37)+MIN(N(H9)/1000*설정!$B$38,20),"")))))</f>
        <v/>
      </c>
      <c r="U9">
        <f>IF(T9="","",COUNTIF(T$4:T$303,"&gt;"&amp;T9)+COUNTIF(T$4:T9,T9))</f>
        <v/>
      </c>
    </row>
    <row r="10">
      <c r="A10">
        <f>IF(B10="","",7)</f>
        <v/>
      </c>
      <c r="B10">
        <f>IFERROR(INDEX('2.현장'!$V$2:$V$1001,MATCH(7,'2.현장'!$W$2:$W$1001,0)),"")</f>
        <v/>
      </c>
      <c r="C10">
        <f>IF(B10="","",COUNTIFS('2.현장'!$V$2:$V$1001,B10,'2.현장'!$T$2:$T$1001,TRUE))</f>
        <v/>
      </c>
      <c r="D10">
        <f>IF(B10="","",COUNTIFS('2.현장'!$V$2:$V$1001,B10,'2.현장'!$U$2:$U$1001,"설계사"))</f>
        <v/>
      </c>
      <c r="E10">
        <f>IF(B10="","",COUNTIFS('2.현장'!$V$2:$V$1001,B10,'2.현장'!$U$2:$U$1001,"시공사"))</f>
        <v/>
      </c>
      <c r="F10">
        <f>IF(B10="","",COUNTIFS('2.현장'!$V$2:$V$1001,B10,'2.현장'!$T$2:$T$1001,TRUE,'2.현장'!$AA$2:$AA$1001,"★"))</f>
        <v/>
      </c>
      <c r="G10" s="6">
        <f>IF(B10="","",SUMIFS('2.현장'!$AB$2:$AB$1001,'2.현장'!$V$2:$V$1001,B10,'2.현장'!$T$2:$T$1001,TRUE))</f>
        <v/>
      </c>
      <c r="H10" s="5">
        <f>IF(B10="","",_xlfn.MAXIFS('2.현장'!$D$2:$D$1001,'2.현장'!$V$2:$V$1001,B10,'2.현장'!$T$2:$T$1001,TRUE))</f>
        <v/>
      </c>
      <c r="I10" s="7">
        <f>IF(B10="","",IF(_xlfn.MAXIFS('2.현장'!$L$2:$L$1001,'2.현장'!$V$2:$V$1001,B10,'2.현장'!$T$2:$T$1001,TRUE)=0,"",_xlfn.MAXIFS('2.현장'!$L$2:$L$1001,'2.현장'!$V$2:$V$1001,B10,'2.현장'!$T$2:$T$1001,TRUE)))</f>
        <v/>
      </c>
      <c r="J10" s="7">
        <f>IF(B10="","",IF(_xlfn.MAXIFS('2.현장'!$M$2:$M$1001,'2.현장'!$V$2:$V$1001,B10,'2.현장'!$T$2:$T$1001,TRUE)=0,"",_xlfn.MAXIFS('2.현장'!$M$2:$M$1001,'2.현장'!$V$2:$V$1001,B10,'2.현장'!$T$2:$T$1001,TRUE)))</f>
        <v/>
      </c>
      <c r="K10">
        <f>IF(B10="","",IFERROR(INDEX('2.현장'!$C$2:$C$1001,IFERROR(MATCH(B10&amp;"|설계사",'2.현장'!$Z$2:$Z$1001,0),IFERROR(MATCH(B10&amp;"|시공사",'2.현장'!$Z$2:$Z$1001,0),MATCH(B10&amp;"|늦음",'2.현장'!$Z$2:$Z$1001,0)))),""))</f>
        <v/>
      </c>
      <c r="L10">
        <f>IF(B10="","",IFERROR(INDEX('2.현장'!$N$2:$N$1001,IFERROR(MATCH(B10&amp;"|설계사",'2.현장'!$Z$2:$Z$1001,0),IFERROR(MATCH(B10&amp;"|시공사",'2.현장'!$Z$2:$Z$1001,0),MATCH(B10&amp;"|늦음",'2.현장'!$Z$2:$Z$1001,0)))),""))</f>
        <v/>
      </c>
      <c r="M10">
        <f>IF(B10="","",IFERROR(VLOOKUP(B10,업체_메모!$A$3:$I$302,2,FALSE)&amp;"",""))</f>
        <v/>
      </c>
      <c r="N10">
        <f>IF(B10="","",IFERROR(VLOOKUP(B10,업체_메모!$A$3:$I$302,4,FALSE)&amp;"",""))</f>
        <v/>
      </c>
      <c r="O10" s="7">
        <f>IF(B10="","",IF(COUNTIF('4.방문기록'!$B$3:$B$502,B10)=0,"",_xlfn.MAXIFS('4.방문기록'!$A$3:$A$502,'4.방문기록'!$B$3:$B$502,B10)))</f>
        <v/>
      </c>
      <c r="P10">
        <f>IF(O10="","",설정!$B$24-O10)</f>
        <v/>
      </c>
      <c r="Q10" s="7">
        <f>IF(B10="","",IF(_xlfn.MAXIFS('4.방문기록'!$F$3:$F$502,'4.방문기록'!$B$3:$B$502,B10)=0,"",_xlfn.MAXIFS('4.방문기록'!$F$3:$F$502,'4.방문기록'!$B$3:$B$502,B10)))</f>
        <v/>
      </c>
      <c r="R10">
        <f>IF(O10="","",IFERROR(INDEX('4.방문기록'!$H$3:$H$502,MATCH(B10&amp;"|"&amp;(O10*1),'4.방문기록'!$I$3:$I$502,0))&amp;"",""))</f>
        <v/>
      </c>
      <c r="S10">
        <f>IF(B10="","",IF(R10="관심 없음","제외",IF(O10="","안 가봄",IF(P10&gt;=설정!$B$20,P10&amp;"일 지남","최근 방문"))))</f>
        <v/>
      </c>
      <c r="T10" s="8">
        <f>IF(B10="","",IF(S10="제외","",IF(AND(설정!$B$21&lt;&gt;"",L10&lt;&gt;설정!$B$21),"",IF(AND(Q10&lt;&gt;"",Q10&gt;N(O10),Q10&lt;=설정!$B$24+7),설정!$B$39+7-(Q10-설정!$B$24),IF(AND(G10&gt;0,OR(S10="안 가봄",RIGHT(S10,2)="지남")),G10+IF(O10="",설정!$B$36,MIN(P10,60)*설정!$B$37)+MIN(N(H10)/1000*설정!$B$38,20),"")))))</f>
        <v/>
      </c>
      <c r="U10">
        <f>IF(T10="","",COUNTIF(T$4:T$303,"&gt;"&amp;T10)+COUNTIF(T$4:T10,T10))</f>
        <v/>
      </c>
    </row>
    <row r="11">
      <c r="A11">
        <f>IF(B11="","",8)</f>
        <v/>
      </c>
      <c r="B11">
        <f>IFERROR(INDEX('2.현장'!$V$2:$V$1001,MATCH(8,'2.현장'!$W$2:$W$1001,0)),"")</f>
        <v/>
      </c>
      <c r="C11">
        <f>IF(B11="","",COUNTIFS('2.현장'!$V$2:$V$1001,B11,'2.현장'!$T$2:$T$1001,TRUE))</f>
        <v/>
      </c>
      <c r="D11">
        <f>IF(B11="","",COUNTIFS('2.현장'!$V$2:$V$1001,B11,'2.현장'!$U$2:$U$1001,"설계사"))</f>
        <v/>
      </c>
      <c r="E11">
        <f>IF(B11="","",COUNTIFS('2.현장'!$V$2:$V$1001,B11,'2.현장'!$U$2:$U$1001,"시공사"))</f>
        <v/>
      </c>
      <c r="F11">
        <f>IF(B11="","",COUNTIFS('2.현장'!$V$2:$V$1001,B11,'2.현장'!$T$2:$T$1001,TRUE,'2.현장'!$AA$2:$AA$1001,"★"))</f>
        <v/>
      </c>
      <c r="G11" s="6">
        <f>IF(B11="","",SUMIFS('2.현장'!$AB$2:$AB$1001,'2.현장'!$V$2:$V$1001,B11,'2.현장'!$T$2:$T$1001,TRUE))</f>
        <v/>
      </c>
      <c r="H11" s="5">
        <f>IF(B11="","",_xlfn.MAXIFS('2.현장'!$D$2:$D$1001,'2.현장'!$V$2:$V$1001,B11,'2.현장'!$T$2:$T$1001,TRUE))</f>
        <v/>
      </c>
      <c r="I11" s="7">
        <f>IF(B11="","",IF(_xlfn.MAXIFS('2.현장'!$L$2:$L$1001,'2.현장'!$V$2:$V$1001,B11,'2.현장'!$T$2:$T$1001,TRUE)=0,"",_xlfn.MAXIFS('2.현장'!$L$2:$L$1001,'2.현장'!$V$2:$V$1001,B11,'2.현장'!$T$2:$T$1001,TRUE)))</f>
        <v/>
      </c>
      <c r="J11" s="7">
        <f>IF(B11="","",IF(_xlfn.MAXIFS('2.현장'!$M$2:$M$1001,'2.현장'!$V$2:$V$1001,B11,'2.현장'!$T$2:$T$1001,TRUE)=0,"",_xlfn.MAXIFS('2.현장'!$M$2:$M$1001,'2.현장'!$V$2:$V$1001,B11,'2.현장'!$T$2:$T$1001,TRUE)))</f>
        <v/>
      </c>
      <c r="K11">
        <f>IF(B11="","",IFERROR(INDEX('2.현장'!$C$2:$C$1001,IFERROR(MATCH(B11&amp;"|설계사",'2.현장'!$Z$2:$Z$1001,0),IFERROR(MATCH(B11&amp;"|시공사",'2.현장'!$Z$2:$Z$1001,0),MATCH(B11&amp;"|늦음",'2.현장'!$Z$2:$Z$1001,0)))),""))</f>
        <v/>
      </c>
      <c r="L11">
        <f>IF(B11="","",IFERROR(INDEX('2.현장'!$N$2:$N$1001,IFERROR(MATCH(B11&amp;"|설계사",'2.현장'!$Z$2:$Z$1001,0),IFERROR(MATCH(B11&amp;"|시공사",'2.현장'!$Z$2:$Z$1001,0),MATCH(B11&amp;"|늦음",'2.현장'!$Z$2:$Z$1001,0)))),""))</f>
        <v/>
      </c>
      <c r="M11">
        <f>IF(B11="","",IFERROR(VLOOKUP(B11,업체_메모!$A$3:$I$302,2,FALSE)&amp;"",""))</f>
        <v/>
      </c>
      <c r="N11">
        <f>IF(B11="","",IFERROR(VLOOKUP(B11,업체_메모!$A$3:$I$302,4,FALSE)&amp;"",""))</f>
        <v/>
      </c>
      <c r="O11" s="7">
        <f>IF(B11="","",IF(COUNTIF('4.방문기록'!$B$3:$B$502,B11)=0,"",_xlfn.MAXIFS('4.방문기록'!$A$3:$A$502,'4.방문기록'!$B$3:$B$502,B11)))</f>
        <v/>
      </c>
      <c r="P11">
        <f>IF(O11="","",설정!$B$24-O11)</f>
        <v/>
      </c>
      <c r="Q11" s="7">
        <f>IF(B11="","",IF(_xlfn.MAXIFS('4.방문기록'!$F$3:$F$502,'4.방문기록'!$B$3:$B$502,B11)=0,"",_xlfn.MAXIFS('4.방문기록'!$F$3:$F$502,'4.방문기록'!$B$3:$B$502,B11)))</f>
        <v/>
      </c>
      <c r="R11">
        <f>IF(O11="","",IFERROR(INDEX('4.방문기록'!$H$3:$H$502,MATCH(B11&amp;"|"&amp;(O11*1),'4.방문기록'!$I$3:$I$502,0))&amp;"",""))</f>
        <v/>
      </c>
      <c r="S11">
        <f>IF(B11="","",IF(R11="관심 없음","제외",IF(O11="","안 가봄",IF(P11&gt;=설정!$B$20,P11&amp;"일 지남","최근 방문"))))</f>
        <v/>
      </c>
      <c r="T11" s="8">
        <f>IF(B11="","",IF(S11="제외","",IF(AND(설정!$B$21&lt;&gt;"",L11&lt;&gt;설정!$B$21),"",IF(AND(Q11&lt;&gt;"",Q11&gt;N(O11),Q11&lt;=설정!$B$24+7),설정!$B$39+7-(Q11-설정!$B$24),IF(AND(G11&gt;0,OR(S11="안 가봄",RIGHT(S11,2)="지남")),G11+IF(O11="",설정!$B$36,MIN(P11,60)*설정!$B$37)+MIN(N(H11)/1000*설정!$B$38,20),"")))))</f>
        <v/>
      </c>
      <c r="U11">
        <f>IF(T11="","",COUNTIF(T$4:T$303,"&gt;"&amp;T11)+COUNTIF(T$4:T11,T11))</f>
        <v/>
      </c>
    </row>
    <row r="12">
      <c r="A12">
        <f>IF(B12="","",9)</f>
        <v/>
      </c>
      <c r="B12">
        <f>IFERROR(INDEX('2.현장'!$V$2:$V$1001,MATCH(9,'2.현장'!$W$2:$W$1001,0)),"")</f>
        <v/>
      </c>
      <c r="C12">
        <f>IF(B12="","",COUNTIFS('2.현장'!$V$2:$V$1001,B12,'2.현장'!$T$2:$T$1001,TRUE))</f>
        <v/>
      </c>
      <c r="D12">
        <f>IF(B12="","",COUNTIFS('2.현장'!$V$2:$V$1001,B12,'2.현장'!$U$2:$U$1001,"설계사"))</f>
        <v/>
      </c>
      <c r="E12">
        <f>IF(B12="","",COUNTIFS('2.현장'!$V$2:$V$1001,B12,'2.현장'!$U$2:$U$1001,"시공사"))</f>
        <v/>
      </c>
      <c r="F12">
        <f>IF(B12="","",COUNTIFS('2.현장'!$V$2:$V$1001,B12,'2.현장'!$T$2:$T$1001,TRUE,'2.현장'!$AA$2:$AA$1001,"★"))</f>
        <v/>
      </c>
      <c r="G12" s="6">
        <f>IF(B12="","",SUMIFS('2.현장'!$AB$2:$AB$1001,'2.현장'!$V$2:$V$1001,B12,'2.현장'!$T$2:$T$1001,TRUE))</f>
        <v/>
      </c>
      <c r="H12" s="5">
        <f>IF(B12="","",_xlfn.MAXIFS('2.현장'!$D$2:$D$1001,'2.현장'!$V$2:$V$1001,B12,'2.현장'!$T$2:$T$1001,TRUE))</f>
        <v/>
      </c>
      <c r="I12" s="7">
        <f>IF(B12="","",IF(_xlfn.MAXIFS('2.현장'!$L$2:$L$1001,'2.현장'!$V$2:$V$1001,B12,'2.현장'!$T$2:$T$1001,TRUE)=0,"",_xlfn.MAXIFS('2.현장'!$L$2:$L$1001,'2.현장'!$V$2:$V$1001,B12,'2.현장'!$T$2:$T$1001,TRUE)))</f>
        <v/>
      </c>
      <c r="J12" s="7">
        <f>IF(B12="","",IF(_xlfn.MAXIFS('2.현장'!$M$2:$M$1001,'2.현장'!$V$2:$V$1001,B12,'2.현장'!$T$2:$T$1001,TRUE)=0,"",_xlfn.MAXIFS('2.현장'!$M$2:$M$1001,'2.현장'!$V$2:$V$1001,B12,'2.현장'!$T$2:$T$1001,TRUE)))</f>
        <v/>
      </c>
      <c r="K12">
        <f>IF(B12="","",IFERROR(INDEX('2.현장'!$C$2:$C$1001,IFERROR(MATCH(B12&amp;"|설계사",'2.현장'!$Z$2:$Z$1001,0),IFERROR(MATCH(B12&amp;"|시공사",'2.현장'!$Z$2:$Z$1001,0),MATCH(B12&amp;"|늦음",'2.현장'!$Z$2:$Z$1001,0)))),""))</f>
        <v/>
      </c>
      <c r="L12">
        <f>IF(B12="","",IFERROR(INDEX('2.현장'!$N$2:$N$1001,IFERROR(MATCH(B12&amp;"|설계사",'2.현장'!$Z$2:$Z$1001,0),IFERROR(MATCH(B12&amp;"|시공사",'2.현장'!$Z$2:$Z$1001,0),MATCH(B12&amp;"|늦음",'2.현장'!$Z$2:$Z$1001,0)))),""))</f>
        <v/>
      </c>
      <c r="M12">
        <f>IF(B12="","",IFERROR(VLOOKUP(B12,업체_메모!$A$3:$I$302,2,FALSE)&amp;"",""))</f>
        <v/>
      </c>
      <c r="N12">
        <f>IF(B12="","",IFERROR(VLOOKUP(B12,업체_메모!$A$3:$I$302,4,FALSE)&amp;"",""))</f>
        <v/>
      </c>
      <c r="O12" s="7">
        <f>IF(B12="","",IF(COUNTIF('4.방문기록'!$B$3:$B$502,B12)=0,"",_xlfn.MAXIFS('4.방문기록'!$A$3:$A$502,'4.방문기록'!$B$3:$B$502,B12)))</f>
        <v/>
      </c>
      <c r="P12">
        <f>IF(O12="","",설정!$B$24-O12)</f>
        <v/>
      </c>
      <c r="Q12" s="7">
        <f>IF(B12="","",IF(_xlfn.MAXIFS('4.방문기록'!$F$3:$F$502,'4.방문기록'!$B$3:$B$502,B12)=0,"",_xlfn.MAXIFS('4.방문기록'!$F$3:$F$502,'4.방문기록'!$B$3:$B$502,B12)))</f>
        <v/>
      </c>
      <c r="R12">
        <f>IF(O12="","",IFERROR(INDEX('4.방문기록'!$H$3:$H$502,MATCH(B12&amp;"|"&amp;(O12*1),'4.방문기록'!$I$3:$I$502,0))&amp;"",""))</f>
        <v/>
      </c>
      <c r="S12">
        <f>IF(B12="","",IF(R12="관심 없음","제외",IF(O12="","안 가봄",IF(P12&gt;=설정!$B$20,P12&amp;"일 지남","최근 방문"))))</f>
        <v/>
      </c>
      <c r="T12" s="8">
        <f>IF(B12="","",IF(S12="제외","",IF(AND(설정!$B$21&lt;&gt;"",L12&lt;&gt;설정!$B$21),"",IF(AND(Q12&lt;&gt;"",Q12&gt;N(O12),Q12&lt;=설정!$B$24+7),설정!$B$39+7-(Q12-설정!$B$24),IF(AND(G12&gt;0,OR(S12="안 가봄",RIGHT(S12,2)="지남")),G12+IF(O12="",설정!$B$36,MIN(P12,60)*설정!$B$37)+MIN(N(H12)/1000*설정!$B$38,20),"")))))</f>
        <v/>
      </c>
      <c r="U12">
        <f>IF(T12="","",COUNTIF(T$4:T$303,"&gt;"&amp;T12)+COUNTIF(T$4:T12,T12))</f>
        <v/>
      </c>
    </row>
    <row r="13">
      <c r="A13">
        <f>IF(B13="","",10)</f>
        <v/>
      </c>
      <c r="B13">
        <f>IFERROR(INDEX('2.현장'!$V$2:$V$1001,MATCH(10,'2.현장'!$W$2:$W$1001,0)),"")</f>
        <v/>
      </c>
      <c r="C13">
        <f>IF(B13="","",COUNTIFS('2.현장'!$V$2:$V$1001,B13,'2.현장'!$T$2:$T$1001,TRUE))</f>
        <v/>
      </c>
      <c r="D13">
        <f>IF(B13="","",COUNTIFS('2.현장'!$V$2:$V$1001,B13,'2.현장'!$U$2:$U$1001,"설계사"))</f>
        <v/>
      </c>
      <c r="E13">
        <f>IF(B13="","",COUNTIFS('2.현장'!$V$2:$V$1001,B13,'2.현장'!$U$2:$U$1001,"시공사"))</f>
        <v/>
      </c>
      <c r="F13">
        <f>IF(B13="","",COUNTIFS('2.현장'!$V$2:$V$1001,B13,'2.현장'!$T$2:$T$1001,TRUE,'2.현장'!$AA$2:$AA$1001,"★"))</f>
        <v/>
      </c>
      <c r="G13" s="6">
        <f>IF(B13="","",SUMIFS('2.현장'!$AB$2:$AB$1001,'2.현장'!$V$2:$V$1001,B13,'2.현장'!$T$2:$T$1001,TRUE))</f>
        <v/>
      </c>
      <c r="H13" s="5">
        <f>IF(B13="","",_xlfn.MAXIFS('2.현장'!$D$2:$D$1001,'2.현장'!$V$2:$V$1001,B13,'2.현장'!$T$2:$T$1001,TRUE))</f>
        <v/>
      </c>
      <c r="I13" s="7">
        <f>IF(B13="","",IF(_xlfn.MAXIFS('2.현장'!$L$2:$L$1001,'2.현장'!$V$2:$V$1001,B13,'2.현장'!$T$2:$T$1001,TRUE)=0,"",_xlfn.MAXIFS('2.현장'!$L$2:$L$1001,'2.현장'!$V$2:$V$1001,B13,'2.현장'!$T$2:$T$1001,TRUE)))</f>
        <v/>
      </c>
      <c r="J13" s="7">
        <f>IF(B13="","",IF(_xlfn.MAXIFS('2.현장'!$M$2:$M$1001,'2.현장'!$V$2:$V$1001,B13,'2.현장'!$T$2:$T$1001,TRUE)=0,"",_xlfn.MAXIFS('2.현장'!$M$2:$M$1001,'2.현장'!$V$2:$V$1001,B13,'2.현장'!$T$2:$T$1001,TRUE)))</f>
        <v/>
      </c>
      <c r="K13">
        <f>IF(B13="","",IFERROR(INDEX('2.현장'!$C$2:$C$1001,IFERROR(MATCH(B13&amp;"|설계사",'2.현장'!$Z$2:$Z$1001,0),IFERROR(MATCH(B13&amp;"|시공사",'2.현장'!$Z$2:$Z$1001,0),MATCH(B13&amp;"|늦음",'2.현장'!$Z$2:$Z$1001,0)))),""))</f>
        <v/>
      </c>
      <c r="L13">
        <f>IF(B13="","",IFERROR(INDEX('2.현장'!$N$2:$N$1001,IFERROR(MATCH(B13&amp;"|설계사",'2.현장'!$Z$2:$Z$1001,0),IFERROR(MATCH(B13&amp;"|시공사",'2.현장'!$Z$2:$Z$1001,0),MATCH(B13&amp;"|늦음",'2.현장'!$Z$2:$Z$1001,0)))),""))</f>
        <v/>
      </c>
      <c r="M13">
        <f>IF(B13="","",IFERROR(VLOOKUP(B13,업체_메모!$A$3:$I$302,2,FALSE)&amp;"",""))</f>
        <v/>
      </c>
      <c r="N13">
        <f>IF(B13="","",IFERROR(VLOOKUP(B13,업체_메모!$A$3:$I$302,4,FALSE)&amp;"",""))</f>
        <v/>
      </c>
      <c r="O13" s="7">
        <f>IF(B13="","",IF(COUNTIF('4.방문기록'!$B$3:$B$502,B13)=0,"",_xlfn.MAXIFS('4.방문기록'!$A$3:$A$502,'4.방문기록'!$B$3:$B$502,B13)))</f>
        <v/>
      </c>
      <c r="P13">
        <f>IF(O13="","",설정!$B$24-O13)</f>
        <v/>
      </c>
      <c r="Q13" s="7">
        <f>IF(B13="","",IF(_xlfn.MAXIFS('4.방문기록'!$F$3:$F$502,'4.방문기록'!$B$3:$B$502,B13)=0,"",_xlfn.MAXIFS('4.방문기록'!$F$3:$F$502,'4.방문기록'!$B$3:$B$502,B13)))</f>
        <v/>
      </c>
      <c r="R13">
        <f>IF(O13="","",IFERROR(INDEX('4.방문기록'!$H$3:$H$502,MATCH(B13&amp;"|"&amp;(O13*1),'4.방문기록'!$I$3:$I$502,0))&amp;"",""))</f>
        <v/>
      </c>
      <c r="S13">
        <f>IF(B13="","",IF(R13="관심 없음","제외",IF(O13="","안 가봄",IF(P13&gt;=설정!$B$20,P13&amp;"일 지남","최근 방문"))))</f>
        <v/>
      </c>
      <c r="T13" s="8">
        <f>IF(B13="","",IF(S13="제외","",IF(AND(설정!$B$21&lt;&gt;"",L13&lt;&gt;설정!$B$21),"",IF(AND(Q13&lt;&gt;"",Q13&gt;N(O13),Q13&lt;=설정!$B$24+7),설정!$B$39+7-(Q13-설정!$B$24),IF(AND(G13&gt;0,OR(S13="안 가봄",RIGHT(S13,2)="지남")),G13+IF(O13="",설정!$B$36,MIN(P13,60)*설정!$B$37)+MIN(N(H13)/1000*설정!$B$38,20),"")))))</f>
        <v/>
      </c>
      <c r="U13">
        <f>IF(T13="","",COUNTIF(T$4:T$303,"&gt;"&amp;T13)+COUNTIF(T$4:T13,T13))</f>
        <v/>
      </c>
    </row>
    <row r="14">
      <c r="A14">
        <f>IF(B14="","",11)</f>
        <v/>
      </c>
      <c r="B14">
        <f>IFERROR(INDEX('2.현장'!$V$2:$V$1001,MATCH(11,'2.현장'!$W$2:$W$1001,0)),"")</f>
        <v/>
      </c>
      <c r="C14">
        <f>IF(B14="","",COUNTIFS('2.현장'!$V$2:$V$1001,B14,'2.현장'!$T$2:$T$1001,TRUE))</f>
        <v/>
      </c>
      <c r="D14">
        <f>IF(B14="","",COUNTIFS('2.현장'!$V$2:$V$1001,B14,'2.현장'!$U$2:$U$1001,"설계사"))</f>
        <v/>
      </c>
      <c r="E14">
        <f>IF(B14="","",COUNTIFS('2.현장'!$V$2:$V$1001,B14,'2.현장'!$U$2:$U$1001,"시공사"))</f>
        <v/>
      </c>
      <c r="F14">
        <f>IF(B14="","",COUNTIFS('2.현장'!$V$2:$V$1001,B14,'2.현장'!$T$2:$T$1001,TRUE,'2.현장'!$AA$2:$AA$1001,"★"))</f>
        <v/>
      </c>
      <c r="G14" s="6">
        <f>IF(B14="","",SUMIFS('2.현장'!$AB$2:$AB$1001,'2.현장'!$V$2:$V$1001,B14,'2.현장'!$T$2:$T$1001,TRUE))</f>
        <v/>
      </c>
      <c r="H14" s="5">
        <f>IF(B14="","",_xlfn.MAXIFS('2.현장'!$D$2:$D$1001,'2.현장'!$V$2:$V$1001,B14,'2.현장'!$T$2:$T$1001,TRUE))</f>
        <v/>
      </c>
      <c r="I14" s="7">
        <f>IF(B14="","",IF(_xlfn.MAXIFS('2.현장'!$L$2:$L$1001,'2.현장'!$V$2:$V$1001,B14,'2.현장'!$T$2:$T$1001,TRUE)=0,"",_xlfn.MAXIFS('2.현장'!$L$2:$L$1001,'2.현장'!$V$2:$V$1001,B14,'2.현장'!$T$2:$T$1001,TRUE)))</f>
        <v/>
      </c>
      <c r="J14" s="7">
        <f>IF(B14="","",IF(_xlfn.MAXIFS('2.현장'!$M$2:$M$1001,'2.현장'!$V$2:$V$1001,B14,'2.현장'!$T$2:$T$1001,TRUE)=0,"",_xlfn.MAXIFS('2.현장'!$M$2:$M$1001,'2.현장'!$V$2:$V$1001,B14,'2.현장'!$T$2:$T$1001,TRUE)))</f>
        <v/>
      </c>
      <c r="K14">
        <f>IF(B14="","",IFERROR(INDEX('2.현장'!$C$2:$C$1001,IFERROR(MATCH(B14&amp;"|설계사",'2.현장'!$Z$2:$Z$1001,0),IFERROR(MATCH(B14&amp;"|시공사",'2.현장'!$Z$2:$Z$1001,0),MATCH(B14&amp;"|늦음",'2.현장'!$Z$2:$Z$1001,0)))),""))</f>
        <v/>
      </c>
      <c r="L14">
        <f>IF(B14="","",IFERROR(INDEX('2.현장'!$N$2:$N$1001,IFERROR(MATCH(B14&amp;"|설계사",'2.현장'!$Z$2:$Z$1001,0),IFERROR(MATCH(B14&amp;"|시공사",'2.현장'!$Z$2:$Z$1001,0),MATCH(B14&amp;"|늦음",'2.현장'!$Z$2:$Z$1001,0)))),""))</f>
        <v/>
      </c>
      <c r="M14">
        <f>IF(B14="","",IFERROR(VLOOKUP(B14,업체_메모!$A$3:$I$302,2,FALSE)&amp;"",""))</f>
        <v/>
      </c>
      <c r="N14">
        <f>IF(B14="","",IFERROR(VLOOKUP(B14,업체_메모!$A$3:$I$302,4,FALSE)&amp;"",""))</f>
        <v/>
      </c>
      <c r="O14" s="7">
        <f>IF(B14="","",IF(COUNTIF('4.방문기록'!$B$3:$B$502,B14)=0,"",_xlfn.MAXIFS('4.방문기록'!$A$3:$A$502,'4.방문기록'!$B$3:$B$502,B14)))</f>
        <v/>
      </c>
      <c r="P14">
        <f>IF(O14="","",설정!$B$24-O14)</f>
        <v/>
      </c>
      <c r="Q14" s="7">
        <f>IF(B14="","",IF(_xlfn.MAXIFS('4.방문기록'!$F$3:$F$502,'4.방문기록'!$B$3:$B$502,B14)=0,"",_xlfn.MAXIFS('4.방문기록'!$F$3:$F$502,'4.방문기록'!$B$3:$B$502,B14)))</f>
        <v/>
      </c>
      <c r="R14">
        <f>IF(O14="","",IFERROR(INDEX('4.방문기록'!$H$3:$H$502,MATCH(B14&amp;"|"&amp;(O14*1),'4.방문기록'!$I$3:$I$502,0))&amp;"",""))</f>
        <v/>
      </c>
      <c r="S14">
        <f>IF(B14="","",IF(R14="관심 없음","제외",IF(O14="","안 가봄",IF(P14&gt;=설정!$B$20,P14&amp;"일 지남","최근 방문"))))</f>
        <v/>
      </c>
      <c r="T14" s="8">
        <f>IF(B14="","",IF(S14="제외","",IF(AND(설정!$B$21&lt;&gt;"",L14&lt;&gt;설정!$B$21),"",IF(AND(Q14&lt;&gt;"",Q14&gt;N(O14),Q14&lt;=설정!$B$24+7),설정!$B$39+7-(Q14-설정!$B$24),IF(AND(G14&gt;0,OR(S14="안 가봄",RIGHT(S14,2)="지남")),G14+IF(O14="",설정!$B$36,MIN(P14,60)*설정!$B$37)+MIN(N(H14)/1000*설정!$B$38,20),"")))))</f>
        <v/>
      </c>
      <c r="U14">
        <f>IF(T14="","",COUNTIF(T$4:T$303,"&gt;"&amp;T14)+COUNTIF(T$4:T14,T14))</f>
        <v/>
      </c>
    </row>
    <row r="15">
      <c r="A15">
        <f>IF(B15="","",12)</f>
        <v/>
      </c>
      <c r="B15">
        <f>IFERROR(INDEX('2.현장'!$V$2:$V$1001,MATCH(12,'2.현장'!$W$2:$W$1001,0)),"")</f>
        <v/>
      </c>
      <c r="C15">
        <f>IF(B15="","",COUNTIFS('2.현장'!$V$2:$V$1001,B15,'2.현장'!$T$2:$T$1001,TRUE))</f>
        <v/>
      </c>
      <c r="D15">
        <f>IF(B15="","",COUNTIFS('2.현장'!$V$2:$V$1001,B15,'2.현장'!$U$2:$U$1001,"설계사"))</f>
        <v/>
      </c>
      <c r="E15">
        <f>IF(B15="","",COUNTIFS('2.현장'!$V$2:$V$1001,B15,'2.현장'!$U$2:$U$1001,"시공사"))</f>
        <v/>
      </c>
      <c r="F15">
        <f>IF(B15="","",COUNTIFS('2.현장'!$V$2:$V$1001,B15,'2.현장'!$T$2:$T$1001,TRUE,'2.현장'!$AA$2:$AA$1001,"★"))</f>
        <v/>
      </c>
      <c r="G15" s="6">
        <f>IF(B15="","",SUMIFS('2.현장'!$AB$2:$AB$1001,'2.현장'!$V$2:$V$1001,B15,'2.현장'!$T$2:$T$1001,TRUE))</f>
        <v/>
      </c>
      <c r="H15" s="5">
        <f>IF(B15="","",_xlfn.MAXIFS('2.현장'!$D$2:$D$1001,'2.현장'!$V$2:$V$1001,B15,'2.현장'!$T$2:$T$1001,TRUE))</f>
        <v/>
      </c>
      <c r="I15" s="7">
        <f>IF(B15="","",IF(_xlfn.MAXIFS('2.현장'!$L$2:$L$1001,'2.현장'!$V$2:$V$1001,B15,'2.현장'!$T$2:$T$1001,TRUE)=0,"",_xlfn.MAXIFS('2.현장'!$L$2:$L$1001,'2.현장'!$V$2:$V$1001,B15,'2.현장'!$T$2:$T$1001,TRUE)))</f>
        <v/>
      </c>
      <c r="J15" s="7">
        <f>IF(B15="","",IF(_xlfn.MAXIFS('2.현장'!$M$2:$M$1001,'2.현장'!$V$2:$V$1001,B15,'2.현장'!$T$2:$T$1001,TRUE)=0,"",_xlfn.MAXIFS('2.현장'!$M$2:$M$1001,'2.현장'!$V$2:$V$1001,B15,'2.현장'!$T$2:$T$1001,TRUE)))</f>
        <v/>
      </c>
      <c r="K15">
        <f>IF(B15="","",IFERROR(INDEX('2.현장'!$C$2:$C$1001,IFERROR(MATCH(B15&amp;"|설계사",'2.현장'!$Z$2:$Z$1001,0),IFERROR(MATCH(B15&amp;"|시공사",'2.현장'!$Z$2:$Z$1001,0),MATCH(B15&amp;"|늦음",'2.현장'!$Z$2:$Z$1001,0)))),""))</f>
        <v/>
      </c>
      <c r="L15">
        <f>IF(B15="","",IFERROR(INDEX('2.현장'!$N$2:$N$1001,IFERROR(MATCH(B15&amp;"|설계사",'2.현장'!$Z$2:$Z$1001,0),IFERROR(MATCH(B15&amp;"|시공사",'2.현장'!$Z$2:$Z$1001,0),MATCH(B15&amp;"|늦음",'2.현장'!$Z$2:$Z$1001,0)))),""))</f>
        <v/>
      </c>
      <c r="M15">
        <f>IF(B15="","",IFERROR(VLOOKUP(B15,업체_메모!$A$3:$I$302,2,FALSE)&amp;"",""))</f>
        <v/>
      </c>
      <c r="N15">
        <f>IF(B15="","",IFERROR(VLOOKUP(B15,업체_메모!$A$3:$I$302,4,FALSE)&amp;"",""))</f>
        <v/>
      </c>
      <c r="O15" s="7">
        <f>IF(B15="","",IF(COUNTIF('4.방문기록'!$B$3:$B$502,B15)=0,"",_xlfn.MAXIFS('4.방문기록'!$A$3:$A$502,'4.방문기록'!$B$3:$B$502,B15)))</f>
        <v/>
      </c>
      <c r="P15">
        <f>IF(O15="","",설정!$B$24-O15)</f>
        <v/>
      </c>
      <c r="Q15" s="7">
        <f>IF(B15="","",IF(_xlfn.MAXIFS('4.방문기록'!$F$3:$F$502,'4.방문기록'!$B$3:$B$502,B15)=0,"",_xlfn.MAXIFS('4.방문기록'!$F$3:$F$502,'4.방문기록'!$B$3:$B$502,B15)))</f>
        <v/>
      </c>
      <c r="R15">
        <f>IF(O15="","",IFERROR(INDEX('4.방문기록'!$H$3:$H$502,MATCH(B15&amp;"|"&amp;(O15*1),'4.방문기록'!$I$3:$I$502,0))&amp;"",""))</f>
        <v/>
      </c>
      <c r="S15">
        <f>IF(B15="","",IF(R15="관심 없음","제외",IF(O15="","안 가봄",IF(P15&gt;=설정!$B$20,P15&amp;"일 지남","최근 방문"))))</f>
        <v/>
      </c>
      <c r="T15" s="8">
        <f>IF(B15="","",IF(S15="제외","",IF(AND(설정!$B$21&lt;&gt;"",L15&lt;&gt;설정!$B$21),"",IF(AND(Q15&lt;&gt;"",Q15&gt;N(O15),Q15&lt;=설정!$B$24+7),설정!$B$39+7-(Q15-설정!$B$24),IF(AND(G15&gt;0,OR(S15="안 가봄",RIGHT(S15,2)="지남")),G15+IF(O15="",설정!$B$36,MIN(P15,60)*설정!$B$37)+MIN(N(H15)/1000*설정!$B$38,20),"")))))</f>
        <v/>
      </c>
      <c r="U15">
        <f>IF(T15="","",COUNTIF(T$4:T$303,"&gt;"&amp;T15)+COUNTIF(T$4:T15,T15))</f>
        <v/>
      </c>
    </row>
    <row r="16">
      <c r="A16">
        <f>IF(B16="","",13)</f>
        <v/>
      </c>
      <c r="B16">
        <f>IFERROR(INDEX('2.현장'!$V$2:$V$1001,MATCH(13,'2.현장'!$W$2:$W$1001,0)),"")</f>
        <v/>
      </c>
      <c r="C16">
        <f>IF(B16="","",COUNTIFS('2.현장'!$V$2:$V$1001,B16,'2.현장'!$T$2:$T$1001,TRUE))</f>
        <v/>
      </c>
      <c r="D16">
        <f>IF(B16="","",COUNTIFS('2.현장'!$V$2:$V$1001,B16,'2.현장'!$U$2:$U$1001,"설계사"))</f>
        <v/>
      </c>
      <c r="E16">
        <f>IF(B16="","",COUNTIFS('2.현장'!$V$2:$V$1001,B16,'2.현장'!$U$2:$U$1001,"시공사"))</f>
        <v/>
      </c>
      <c r="F16">
        <f>IF(B16="","",COUNTIFS('2.현장'!$V$2:$V$1001,B16,'2.현장'!$T$2:$T$1001,TRUE,'2.현장'!$AA$2:$AA$1001,"★"))</f>
        <v/>
      </c>
      <c r="G16" s="6">
        <f>IF(B16="","",SUMIFS('2.현장'!$AB$2:$AB$1001,'2.현장'!$V$2:$V$1001,B16,'2.현장'!$T$2:$T$1001,TRUE))</f>
        <v/>
      </c>
      <c r="H16" s="5">
        <f>IF(B16="","",_xlfn.MAXIFS('2.현장'!$D$2:$D$1001,'2.현장'!$V$2:$V$1001,B16,'2.현장'!$T$2:$T$1001,TRUE))</f>
        <v/>
      </c>
      <c r="I16" s="7">
        <f>IF(B16="","",IF(_xlfn.MAXIFS('2.현장'!$L$2:$L$1001,'2.현장'!$V$2:$V$1001,B16,'2.현장'!$T$2:$T$1001,TRUE)=0,"",_xlfn.MAXIFS('2.현장'!$L$2:$L$1001,'2.현장'!$V$2:$V$1001,B16,'2.현장'!$T$2:$T$1001,TRUE)))</f>
        <v/>
      </c>
      <c r="J16" s="7">
        <f>IF(B16="","",IF(_xlfn.MAXIFS('2.현장'!$M$2:$M$1001,'2.현장'!$V$2:$V$1001,B16,'2.현장'!$T$2:$T$1001,TRUE)=0,"",_xlfn.MAXIFS('2.현장'!$M$2:$M$1001,'2.현장'!$V$2:$V$1001,B16,'2.현장'!$T$2:$T$1001,TRUE)))</f>
        <v/>
      </c>
      <c r="K16">
        <f>IF(B16="","",IFERROR(INDEX('2.현장'!$C$2:$C$1001,IFERROR(MATCH(B16&amp;"|설계사",'2.현장'!$Z$2:$Z$1001,0),IFERROR(MATCH(B16&amp;"|시공사",'2.현장'!$Z$2:$Z$1001,0),MATCH(B16&amp;"|늦음",'2.현장'!$Z$2:$Z$1001,0)))),""))</f>
        <v/>
      </c>
      <c r="L16">
        <f>IF(B16="","",IFERROR(INDEX('2.현장'!$N$2:$N$1001,IFERROR(MATCH(B16&amp;"|설계사",'2.현장'!$Z$2:$Z$1001,0),IFERROR(MATCH(B16&amp;"|시공사",'2.현장'!$Z$2:$Z$1001,0),MATCH(B16&amp;"|늦음",'2.현장'!$Z$2:$Z$1001,0)))),""))</f>
        <v/>
      </c>
      <c r="M16">
        <f>IF(B16="","",IFERROR(VLOOKUP(B16,업체_메모!$A$3:$I$302,2,FALSE)&amp;"",""))</f>
        <v/>
      </c>
      <c r="N16">
        <f>IF(B16="","",IFERROR(VLOOKUP(B16,업체_메모!$A$3:$I$302,4,FALSE)&amp;"",""))</f>
        <v/>
      </c>
      <c r="O16" s="7">
        <f>IF(B16="","",IF(COUNTIF('4.방문기록'!$B$3:$B$502,B16)=0,"",_xlfn.MAXIFS('4.방문기록'!$A$3:$A$502,'4.방문기록'!$B$3:$B$502,B16)))</f>
        <v/>
      </c>
      <c r="P16">
        <f>IF(O16="","",설정!$B$24-O16)</f>
        <v/>
      </c>
      <c r="Q16" s="7">
        <f>IF(B16="","",IF(_xlfn.MAXIFS('4.방문기록'!$F$3:$F$502,'4.방문기록'!$B$3:$B$502,B16)=0,"",_xlfn.MAXIFS('4.방문기록'!$F$3:$F$502,'4.방문기록'!$B$3:$B$502,B16)))</f>
        <v/>
      </c>
      <c r="R16">
        <f>IF(O16="","",IFERROR(INDEX('4.방문기록'!$H$3:$H$502,MATCH(B16&amp;"|"&amp;(O16*1),'4.방문기록'!$I$3:$I$502,0))&amp;"",""))</f>
        <v/>
      </c>
      <c r="S16">
        <f>IF(B16="","",IF(R16="관심 없음","제외",IF(O16="","안 가봄",IF(P16&gt;=설정!$B$20,P16&amp;"일 지남","최근 방문"))))</f>
        <v/>
      </c>
      <c r="T16" s="8">
        <f>IF(B16="","",IF(S16="제외","",IF(AND(설정!$B$21&lt;&gt;"",L16&lt;&gt;설정!$B$21),"",IF(AND(Q16&lt;&gt;"",Q16&gt;N(O16),Q16&lt;=설정!$B$24+7),설정!$B$39+7-(Q16-설정!$B$24),IF(AND(G16&gt;0,OR(S16="안 가봄",RIGHT(S16,2)="지남")),G16+IF(O16="",설정!$B$36,MIN(P16,60)*설정!$B$37)+MIN(N(H16)/1000*설정!$B$38,20),"")))))</f>
        <v/>
      </c>
      <c r="U16">
        <f>IF(T16="","",COUNTIF(T$4:T$303,"&gt;"&amp;T16)+COUNTIF(T$4:T16,T16))</f>
        <v/>
      </c>
    </row>
    <row r="17">
      <c r="A17">
        <f>IF(B17="","",14)</f>
        <v/>
      </c>
      <c r="B17">
        <f>IFERROR(INDEX('2.현장'!$V$2:$V$1001,MATCH(14,'2.현장'!$W$2:$W$1001,0)),"")</f>
        <v/>
      </c>
      <c r="C17">
        <f>IF(B17="","",COUNTIFS('2.현장'!$V$2:$V$1001,B17,'2.현장'!$T$2:$T$1001,TRUE))</f>
        <v/>
      </c>
      <c r="D17">
        <f>IF(B17="","",COUNTIFS('2.현장'!$V$2:$V$1001,B17,'2.현장'!$U$2:$U$1001,"설계사"))</f>
        <v/>
      </c>
      <c r="E17">
        <f>IF(B17="","",COUNTIFS('2.현장'!$V$2:$V$1001,B17,'2.현장'!$U$2:$U$1001,"시공사"))</f>
        <v/>
      </c>
      <c r="F17">
        <f>IF(B17="","",COUNTIFS('2.현장'!$V$2:$V$1001,B17,'2.현장'!$T$2:$T$1001,TRUE,'2.현장'!$AA$2:$AA$1001,"★"))</f>
        <v/>
      </c>
      <c r="G17" s="6">
        <f>IF(B17="","",SUMIFS('2.현장'!$AB$2:$AB$1001,'2.현장'!$V$2:$V$1001,B17,'2.현장'!$T$2:$T$1001,TRUE))</f>
        <v/>
      </c>
      <c r="H17" s="5">
        <f>IF(B17="","",_xlfn.MAXIFS('2.현장'!$D$2:$D$1001,'2.현장'!$V$2:$V$1001,B17,'2.현장'!$T$2:$T$1001,TRUE))</f>
        <v/>
      </c>
      <c r="I17" s="7">
        <f>IF(B17="","",IF(_xlfn.MAXIFS('2.현장'!$L$2:$L$1001,'2.현장'!$V$2:$V$1001,B17,'2.현장'!$T$2:$T$1001,TRUE)=0,"",_xlfn.MAXIFS('2.현장'!$L$2:$L$1001,'2.현장'!$V$2:$V$1001,B17,'2.현장'!$T$2:$T$1001,TRUE)))</f>
        <v/>
      </c>
      <c r="J17" s="7">
        <f>IF(B17="","",IF(_xlfn.MAXIFS('2.현장'!$M$2:$M$1001,'2.현장'!$V$2:$V$1001,B17,'2.현장'!$T$2:$T$1001,TRUE)=0,"",_xlfn.MAXIFS('2.현장'!$M$2:$M$1001,'2.현장'!$V$2:$V$1001,B17,'2.현장'!$T$2:$T$1001,TRUE)))</f>
        <v/>
      </c>
      <c r="K17">
        <f>IF(B17="","",IFERROR(INDEX('2.현장'!$C$2:$C$1001,IFERROR(MATCH(B17&amp;"|설계사",'2.현장'!$Z$2:$Z$1001,0),IFERROR(MATCH(B17&amp;"|시공사",'2.현장'!$Z$2:$Z$1001,0),MATCH(B17&amp;"|늦음",'2.현장'!$Z$2:$Z$1001,0)))),""))</f>
        <v/>
      </c>
      <c r="L17">
        <f>IF(B17="","",IFERROR(INDEX('2.현장'!$N$2:$N$1001,IFERROR(MATCH(B17&amp;"|설계사",'2.현장'!$Z$2:$Z$1001,0),IFERROR(MATCH(B17&amp;"|시공사",'2.현장'!$Z$2:$Z$1001,0),MATCH(B17&amp;"|늦음",'2.현장'!$Z$2:$Z$1001,0)))),""))</f>
        <v/>
      </c>
      <c r="M17">
        <f>IF(B17="","",IFERROR(VLOOKUP(B17,업체_메모!$A$3:$I$302,2,FALSE)&amp;"",""))</f>
        <v/>
      </c>
      <c r="N17">
        <f>IF(B17="","",IFERROR(VLOOKUP(B17,업체_메모!$A$3:$I$302,4,FALSE)&amp;"",""))</f>
        <v/>
      </c>
      <c r="O17" s="7">
        <f>IF(B17="","",IF(COUNTIF('4.방문기록'!$B$3:$B$502,B17)=0,"",_xlfn.MAXIFS('4.방문기록'!$A$3:$A$502,'4.방문기록'!$B$3:$B$502,B17)))</f>
        <v/>
      </c>
      <c r="P17">
        <f>IF(O17="","",설정!$B$24-O17)</f>
        <v/>
      </c>
      <c r="Q17" s="7">
        <f>IF(B17="","",IF(_xlfn.MAXIFS('4.방문기록'!$F$3:$F$502,'4.방문기록'!$B$3:$B$502,B17)=0,"",_xlfn.MAXIFS('4.방문기록'!$F$3:$F$502,'4.방문기록'!$B$3:$B$502,B17)))</f>
        <v/>
      </c>
      <c r="R17">
        <f>IF(O17="","",IFERROR(INDEX('4.방문기록'!$H$3:$H$502,MATCH(B17&amp;"|"&amp;(O17*1),'4.방문기록'!$I$3:$I$502,0))&amp;"",""))</f>
        <v/>
      </c>
      <c r="S17">
        <f>IF(B17="","",IF(R17="관심 없음","제외",IF(O17="","안 가봄",IF(P17&gt;=설정!$B$20,P17&amp;"일 지남","최근 방문"))))</f>
        <v/>
      </c>
      <c r="T17" s="8">
        <f>IF(B17="","",IF(S17="제외","",IF(AND(설정!$B$21&lt;&gt;"",L17&lt;&gt;설정!$B$21),"",IF(AND(Q17&lt;&gt;"",Q17&gt;N(O17),Q17&lt;=설정!$B$24+7),설정!$B$39+7-(Q17-설정!$B$24),IF(AND(G17&gt;0,OR(S17="안 가봄",RIGHT(S17,2)="지남")),G17+IF(O17="",설정!$B$36,MIN(P17,60)*설정!$B$37)+MIN(N(H17)/1000*설정!$B$38,20),"")))))</f>
        <v/>
      </c>
      <c r="U17">
        <f>IF(T17="","",COUNTIF(T$4:T$303,"&gt;"&amp;T17)+COUNTIF(T$4:T17,T17))</f>
        <v/>
      </c>
    </row>
    <row r="18">
      <c r="A18">
        <f>IF(B18="","",15)</f>
        <v/>
      </c>
      <c r="B18">
        <f>IFERROR(INDEX('2.현장'!$V$2:$V$1001,MATCH(15,'2.현장'!$W$2:$W$1001,0)),"")</f>
        <v/>
      </c>
      <c r="C18">
        <f>IF(B18="","",COUNTIFS('2.현장'!$V$2:$V$1001,B18,'2.현장'!$T$2:$T$1001,TRUE))</f>
        <v/>
      </c>
      <c r="D18">
        <f>IF(B18="","",COUNTIFS('2.현장'!$V$2:$V$1001,B18,'2.현장'!$U$2:$U$1001,"설계사"))</f>
        <v/>
      </c>
      <c r="E18">
        <f>IF(B18="","",COUNTIFS('2.현장'!$V$2:$V$1001,B18,'2.현장'!$U$2:$U$1001,"시공사"))</f>
        <v/>
      </c>
      <c r="F18">
        <f>IF(B18="","",COUNTIFS('2.현장'!$V$2:$V$1001,B18,'2.현장'!$T$2:$T$1001,TRUE,'2.현장'!$AA$2:$AA$1001,"★"))</f>
        <v/>
      </c>
      <c r="G18" s="6">
        <f>IF(B18="","",SUMIFS('2.현장'!$AB$2:$AB$1001,'2.현장'!$V$2:$V$1001,B18,'2.현장'!$T$2:$T$1001,TRUE))</f>
        <v/>
      </c>
      <c r="H18" s="5">
        <f>IF(B18="","",_xlfn.MAXIFS('2.현장'!$D$2:$D$1001,'2.현장'!$V$2:$V$1001,B18,'2.현장'!$T$2:$T$1001,TRUE))</f>
        <v/>
      </c>
      <c r="I18" s="7">
        <f>IF(B18="","",IF(_xlfn.MAXIFS('2.현장'!$L$2:$L$1001,'2.현장'!$V$2:$V$1001,B18,'2.현장'!$T$2:$T$1001,TRUE)=0,"",_xlfn.MAXIFS('2.현장'!$L$2:$L$1001,'2.현장'!$V$2:$V$1001,B18,'2.현장'!$T$2:$T$1001,TRUE)))</f>
        <v/>
      </c>
      <c r="J18" s="7">
        <f>IF(B18="","",IF(_xlfn.MAXIFS('2.현장'!$M$2:$M$1001,'2.현장'!$V$2:$V$1001,B18,'2.현장'!$T$2:$T$1001,TRUE)=0,"",_xlfn.MAXIFS('2.현장'!$M$2:$M$1001,'2.현장'!$V$2:$V$1001,B18,'2.현장'!$T$2:$T$1001,TRUE)))</f>
        <v/>
      </c>
      <c r="K18">
        <f>IF(B18="","",IFERROR(INDEX('2.현장'!$C$2:$C$1001,IFERROR(MATCH(B18&amp;"|설계사",'2.현장'!$Z$2:$Z$1001,0),IFERROR(MATCH(B18&amp;"|시공사",'2.현장'!$Z$2:$Z$1001,0),MATCH(B18&amp;"|늦음",'2.현장'!$Z$2:$Z$1001,0)))),""))</f>
        <v/>
      </c>
      <c r="L18">
        <f>IF(B18="","",IFERROR(INDEX('2.현장'!$N$2:$N$1001,IFERROR(MATCH(B18&amp;"|설계사",'2.현장'!$Z$2:$Z$1001,0),IFERROR(MATCH(B18&amp;"|시공사",'2.현장'!$Z$2:$Z$1001,0),MATCH(B18&amp;"|늦음",'2.현장'!$Z$2:$Z$1001,0)))),""))</f>
        <v/>
      </c>
      <c r="M18">
        <f>IF(B18="","",IFERROR(VLOOKUP(B18,업체_메모!$A$3:$I$302,2,FALSE)&amp;"",""))</f>
        <v/>
      </c>
      <c r="N18">
        <f>IF(B18="","",IFERROR(VLOOKUP(B18,업체_메모!$A$3:$I$302,4,FALSE)&amp;"",""))</f>
        <v/>
      </c>
      <c r="O18" s="7">
        <f>IF(B18="","",IF(COUNTIF('4.방문기록'!$B$3:$B$502,B18)=0,"",_xlfn.MAXIFS('4.방문기록'!$A$3:$A$502,'4.방문기록'!$B$3:$B$502,B18)))</f>
        <v/>
      </c>
      <c r="P18">
        <f>IF(O18="","",설정!$B$24-O18)</f>
        <v/>
      </c>
      <c r="Q18" s="7">
        <f>IF(B18="","",IF(_xlfn.MAXIFS('4.방문기록'!$F$3:$F$502,'4.방문기록'!$B$3:$B$502,B18)=0,"",_xlfn.MAXIFS('4.방문기록'!$F$3:$F$502,'4.방문기록'!$B$3:$B$502,B18)))</f>
        <v/>
      </c>
      <c r="R18">
        <f>IF(O18="","",IFERROR(INDEX('4.방문기록'!$H$3:$H$502,MATCH(B18&amp;"|"&amp;(O18*1),'4.방문기록'!$I$3:$I$502,0))&amp;"",""))</f>
        <v/>
      </c>
      <c r="S18">
        <f>IF(B18="","",IF(R18="관심 없음","제외",IF(O18="","안 가봄",IF(P18&gt;=설정!$B$20,P18&amp;"일 지남","최근 방문"))))</f>
        <v/>
      </c>
      <c r="T18" s="8">
        <f>IF(B18="","",IF(S18="제외","",IF(AND(설정!$B$21&lt;&gt;"",L18&lt;&gt;설정!$B$21),"",IF(AND(Q18&lt;&gt;"",Q18&gt;N(O18),Q18&lt;=설정!$B$24+7),설정!$B$39+7-(Q18-설정!$B$24),IF(AND(G18&gt;0,OR(S18="안 가봄",RIGHT(S18,2)="지남")),G18+IF(O18="",설정!$B$36,MIN(P18,60)*설정!$B$37)+MIN(N(H18)/1000*설정!$B$38,20),"")))))</f>
        <v/>
      </c>
      <c r="U18">
        <f>IF(T18="","",COUNTIF(T$4:T$303,"&gt;"&amp;T18)+COUNTIF(T$4:T18,T18))</f>
        <v/>
      </c>
    </row>
    <row r="19">
      <c r="A19">
        <f>IF(B19="","",16)</f>
        <v/>
      </c>
      <c r="B19">
        <f>IFERROR(INDEX('2.현장'!$V$2:$V$1001,MATCH(16,'2.현장'!$W$2:$W$1001,0)),"")</f>
        <v/>
      </c>
      <c r="C19">
        <f>IF(B19="","",COUNTIFS('2.현장'!$V$2:$V$1001,B19,'2.현장'!$T$2:$T$1001,TRUE))</f>
        <v/>
      </c>
      <c r="D19">
        <f>IF(B19="","",COUNTIFS('2.현장'!$V$2:$V$1001,B19,'2.현장'!$U$2:$U$1001,"설계사"))</f>
        <v/>
      </c>
      <c r="E19">
        <f>IF(B19="","",COUNTIFS('2.현장'!$V$2:$V$1001,B19,'2.현장'!$U$2:$U$1001,"시공사"))</f>
        <v/>
      </c>
      <c r="F19">
        <f>IF(B19="","",COUNTIFS('2.현장'!$V$2:$V$1001,B19,'2.현장'!$T$2:$T$1001,TRUE,'2.현장'!$AA$2:$AA$1001,"★"))</f>
        <v/>
      </c>
      <c r="G19" s="6">
        <f>IF(B19="","",SUMIFS('2.현장'!$AB$2:$AB$1001,'2.현장'!$V$2:$V$1001,B19,'2.현장'!$T$2:$T$1001,TRUE))</f>
        <v/>
      </c>
      <c r="H19" s="5">
        <f>IF(B19="","",_xlfn.MAXIFS('2.현장'!$D$2:$D$1001,'2.현장'!$V$2:$V$1001,B19,'2.현장'!$T$2:$T$1001,TRUE))</f>
        <v/>
      </c>
      <c r="I19" s="7">
        <f>IF(B19="","",IF(_xlfn.MAXIFS('2.현장'!$L$2:$L$1001,'2.현장'!$V$2:$V$1001,B19,'2.현장'!$T$2:$T$1001,TRUE)=0,"",_xlfn.MAXIFS('2.현장'!$L$2:$L$1001,'2.현장'!$V$2:$V$1001,B19,'2.현장'!$T$2:$T$1001,TRUE)))</f>
        <v/>
      </c>
      <c r="J19" s="7">
        <f>IF(B19="","",IF(_xlfn.MAXIFS('2.현장'!$M$2:$M$1001,'2.현장'!$V$2:$V$1001,B19,'2.현장'!$T$2:$T$1001,TRUE)=0,"",_xlfn.MAXIFS('2.현장'!$M$2:$M$1001,'2.현장'!$V$2:$V$1001,B19,'2.현장'!$T$2:$T$1001,TRUE)))</f>
        <v/>
      </c>
      <c r="K19">
        <f>IF(B19="","",IFERROR(INDEX('2.현장'!$C$2:$C$1001,IFERROR(MATCH(B19&amp;"|설계사",'2.현장'!$Z$2:$Z$1001,0),IFERROR(MATCH(B19&amp;"|시공사",'2.현장'!$Z$2:$Z$1001,0),MATCH(B19&amp;"|늦음",'2.현장'!$Z$2:$Z$1001,0)))),""))</f>
        <v/>
      </c>
      <c r="L19">
        <f>IF(B19="","",IFERROR(INDEX('2.현장'!$N$2:$N$1001,IFERROR(MATCH(B19&amp;"|설계사",'2.현장'!$Z$2:$Z$1001,0),IFERROR(MATCH(B19&amp;"|시공사",'2.현장'!$Z$2:$Z$1001,0),MATCH(B19&amp;"|늦음",'2.현장'!$Z$2:$Z$1001,0)))),""))</f>
        <v/>
      </c>
      <c r="M19">
        <f>IF(B19="","",IFERROR(VLOOKUP(B19,업체_메모!$A$3:$I$302,2,FALSE)&amp;"",""))</f>
        <v/>
      </c>
      <c r="N19">
        <f>IF(B19="","",IFERROR(VLOOKUP(B19,업체_메모!$A$3:$I$302,4,FALSE)&amp;"",""))</f>
        <v/>
      </c>
      <c r="O19" s="7">
        <f>IF(B19="","",IF(COUNTIF('4.방문기록'!$B$3:$B$502,B19)=0,"",_xlfn.MAXIFS('4.방문기록'!$A$3:$A$502,'4.방문기록'!$B$3:$B$502,B19)))</f>
        <v/>
      </c>
      <c r="P19">
        <f>IF(O19="","",설정!$B$24-O19)</f>
        <v/>
      </c>
      <c r="Q19" s="7">
        <f>IF(B19="","",IF(_xlfn.MAXIFS('4.방문기록'!$F$3:$F$502,'4.방문기록'!$B$3:$B$502,B19)=0,"",_xlfn.MAXIFS('4.방문기록'!$F$3:$F$502,'4.방문기록'!$B$3:$B$502,B19)))</f>
        <v/>
      </c>
      <c r="R19">
        <f>IF(O19="","",IFERROR(INDEX('4.방문기록'!$H$3:$H$502,MATCH(B19&amp;"|"&amp;(O19*1),'4.방문기록'!$I$3:$I$502,0))&amp;"",""))</f>
        <v/>
      </c>
      <c r="S19">
        <f>IF(B19="","",IF(R19="관심 없음","제외",IF(O19="","안 가봄",IF(P19&gt;=설정!$B$20,P19&amp;"일 지남","최근 방문"))))</f>
        <v/>
      </c>
      <c r="T19" s="8">
        <f>IF(B19="","",IF(S19="제외","",IF(AND(설정!$B$21&lt;&gt;"",L19&lt;&gt;설정!$B$21),"",IF(AND(Q19&lt;&gt;"",Q19&gt;N(O19),Q19&lt;=설정!$B$24+7),설정!$B$39+7-(Q19-설정!$B$24),IF(AND(G19&gt;0,OR(S19="안 가봄",RIGHT(S19,2)="지남")),G19+IF(O19="",설정!$B$36,MIN(P19,60)*설정!$B$37)+MIN(N(H19)/1000*설정!$B$38,20),"")))))</f>
        <v/>
      </c>
      <c r="U19">
        <f>IF(T19="","",COUNTIF(T$4:T$303,"&gt;"&amp;T19)+COUNTIF(T$4:T19,T19))</f>
        <v/>
      </c>
    </row>
    <row r="20">
      <c r="A20">
        <f>IF(B20="","",17)</f>
        <v/>
      </c>
      <c r="B20">
        <f>IFERROR(INDEX('2.현장'!$V$2:$V$1001,MATCH(17,'2.현장'!$W$2:$W$1001,0)),"")</f>
        <v/>
      </c>
      <c r="C20">
        <f>IF(B20="","",COUNTIFS('2.현장'!$V$2:$V$1001,B20,'2.현장'!$T$2:$T$1001,TRUE))</f>
        <v/>
      </c>
      <c r="D20">
        <f>IF(B20="","",COUNTIFS('2.현장'!$V$2:$V$1001,B20,'2.현장'!$U$2:$U$1001,"설계사"))</f>
        <v/>
      </c>
      <c r="E20">
        <f>IF(B20="","",COUNTIFS('2.현장'!$V$2:$V$1001,B20,'2.현장'!$U$2:$U$1001,"시공사"))</f>
        <v/>
      </c>
      <c r="F20">
        <f>IF(B20="","",COUNTIFS('2.현장'!$V$2:$V$1001,B20,'2.현장'!$T$2:$T$1001,TRUE,'2.현장'!$AA$2:$AA$1001,"★"))</f>
        <v/>
      </c>
      <c r="G20" s="6">
        <f>IF(B20="","",SUMIFS('2.현장'!$AB$2:$AB$1001,'2.현장'!$V$2:$V$1001,B20,'2.현장'!$T$2:$T$1001,TRUE))</f>
        <v/>
      </c>
      <c r="H20" s="5">
        <f>IF(B20="","",_xlfn.MAXIFS('2.현장'!$D$2:$D$1001,'2.현장'!$V$2:$V$1001,B20,'2.현장'!$T$2:$T$1001,TRUE))</f>
        <v/>
      </c>
      <c r="I20" s="7">
        <f>IF(B20="","",IF(_xlfn.MAXIFS('2.현장'!$L$2:$L$1001,'2.현장'!$V$2:$V$1001,B20,'2.현장'!$T$2:$T$1001,TRUE)=0,"",_xlfn.MAXIFS('2.현장'!$L$2:$L$1001,'2.현장'!$V$2:$V$1001,B20,'2.현장'!$T$2:$T$1001,TRUE)))</f>
        <v/>
      </c>
      <c r="J20" s="7">
        <f>IF(B20="","",IF(_xlfn.MAXIFS('2.현장'!$M$2:$M$1001,'2.현장'!$V$2:$V$1001,B20,'2.현장'!$T$2:$T$1001,TRUE)=0,"",_xlfn.MAXIFS('2.현장'!$M$2:$M$1001,'2.현장'!$V$2:$V$1001,B20,'2.현장'!$T$2:$T$1001,TRUE)))</f>
        <v/>
      </c>
      <c r="K20">
        <f>IF(B20="","",IFERROR(INDEX('2.현장'!$C$2:$C$1001,IFERROR(MATCH(B20&amp;"|설계사",'2.현장'!$Z$2:$Z$1001,0),IFERROR(MATCH(B20&amp;"|시공사",'2.현장'!$Z$2:$Z$1001,0),MATCH(B20&amp;"|늦음",'2.현장'!$Z$2:$Z$1001,0)))),""))</f>
        <v/>
      </c>
      <c r="L20">
        <f>IF(B20="","",IFERROR(INDEX('2.현장'!$N$2:$N$1001,IFERROR(MATCH(B20&amp;"|설계사",'2.현장'!$Z$2:$Z$1001,0),IFERROR(MATCH(B20&amp;"|시공사",'2.현장'!$Z$2:$Z$1001,0),MATCH(B20&amp;"|늦음",'2.현장'!$Z$2:$Z$1001,0)))),""))</f>
        <v/>
      </c>
      <c r="M20">
        <f>IF(B20="","",IFERROR(VLOOKUP(B20,업체_메모!$A$3:$I$302,2,FALSE)&amp;"",""))</f>
        <v/>
      </c>
      <c r="N20">
        <f>IF(B20="","",IFERROR(VLOOKUP(B20,업체_메모!$A$3:$I$302,4,FALSE)&amp;"",""))</f>
        <v/>
      </c>
      <c r="O20" s="7">
        <f>IF(B20="","",IF(COUNTIF('4.방문기록'!$B$3:$B$502,B20)=0,"",_xlfn.MAXIFS('4.방문기록'!$A$3:$A$502,'4.방문기록'!$B$3:$B$502,B20)))</f>
        <v/>
      </c>
      <c r="P20">
        <f>IF(O20="","",설정!$B$24-O20)</f>
        <v/>
      </c>
      <c r="Q20" s="7">
        <f>IF(B20="","",IF(_xlfn.MAXIFS('4.방문기록'!$F$3:$F$502,'4.방문기록'!$B$3:$B$502,B20)=0,"",_xlfn.MAXIFS('4.방문기록'!$F$3:$F$502,'4.방문기록'!$B$3:$B$502,B20)))</f>
        <v/>
      </c>
      <c r="R20">
        <f>IF(O20="","",IFERROR(INDEX('4.방문기록'!$H$3:$H$502,MATCH(B20&amp;"|"&amp;(O20*1),'4.방문기록'!$I$3:$I$502,0))&amp;"",""))</f>
        <v/>
      </c>
      <c r="S20">
        <f>IF(B20="","",IF(R20="관심 없음","제외",IF(O20="","안 가봄",IF(P20&gt;=설정!$B$20,P20&amp;"일 지남","최근 방문"))))</f>
        <v/>
      </c>
      <c r="T20" s="8">
        <f>IF(B20="","",IF(S20="제외","",IF(AND(설정!$B$21&lt;&gt;"",L20&lt;&gt;설정!$B$21),"",IF(AND(Q20&lt;&gt;"",Q20&gt;N(O20),Q20&lt;=설정!$B$24+7),설정!$B$39+7-(Q20-설정!$B$24),IF(AND(G20&gt;0,OR(S20="안 가봄",RIGHT(S20,2)="지남")),G20+IF(O20="",설정!$B$36,MIN(P20,60)*설정!$B$37)+MIN(N(H20)/1000*설정!$B$38,20),"")))))</f>
        <v/>
      </c>
      <c r="U20">
        <f>IF(T20="","",COUNTIF(T$4:T$303,"&gt;"&amp;T20)+COUNTIF(T$4:T20,T20))</f>
        <v/>
      </c>
    </row>
    <row r="21">
      <c r="A21">
        <f>IF(B21="","",18)</f>
        <v/>
      </c>
      <c r="B21">
        <f>IFERROR(INDEX('2.현장'!$V$2:$V$1001,MATCH(18,'2.현장'!$W$2:$W$1001,0)),"")</f>
        <v/>
      </c>
      <c r="C21">
        <f>IF(B21="","",COUNTIFS('2.현장'!$V$2:$V$1001,B21,'2.현장'!$T$2:$T$1001,TRUE))</f>
        <v/>
      </c>
      <c r="D21">
        <f>IF(B21="","",COUNTIFS('2.현장'!$V$2:$V$1001,B21,'2.현장'!$U$2:$U$1001,"설계사"))</f>
        <v/>
      </c>
      <c r="E21">
        <f>IF(B21="","",COUNTIFS('2.현장'!$V$2:$V$1001,B21,'2.현장'!$U$2:$U$1001,"시공사"))</f>
        <v/>
      </c>
      <c r="F21">
        <f>IF(B21="","",COUNTIFS('2.현장'!$V$2:$V$1001,B21,'2.현장'!$T$2:$T$1001,TRUE,'2.현장'!$AA$2:$AA$1001,"★"))</f>
        <v/>
      </c>
      <c r="G21" s="6">
        <f>IF(B21="","",SUMIFS('2.현장'!$AB$2:$AB$1001,'2.현장'!$V$2:$V$1001,B21,'2.현장'!$T$2:$T$1001,TRUE))</f>
        <v/>
      </c>
      <c r="H21" s="5">
        <f>IF(B21="","",_xlfn.MAXIFS('2.현장'!$D$2:$D$1001,'2.현장'!$V$2:$V$1001,B21,'2.현장'!$T$2:$T$1001,TRUE))</f>
        <v/>
      </c>
      <c r="I21" s="7">
        <f>IF(B21="","",IF(_xlfn.MAXIFS('2.현장'!$L$2:$L$1001,'2.현장'!$V$2:$V$1001,B21,'2.현장'!$T$2:$T$1001,TRUE)=0,"",_xlfn.MAXIFS('2.현장'!$L$2:$L$1001,'2.현장'!$V$2:$V$1001,B21,'2.현장'!$T$2:$T$1001,TRUE)))</f>
        <v/>
      </c>
      <c r="J21" s="7">
        <f>IF(B21="","",IF(_xlfn.MAXIFS('2.현장'!$M$2:$M$1001,'2.현장'!$V$2:$V$1001,B21,'2.현장'!$T$2:$T$1001,TRUE)=0,"",_xlfn.MAXIFS('2.현장'!$M$2:$M$1001,'2.현장'!$V$2:$V$1001,B21,'2.현장'!$T$2:$T$1001,TRUE)))</f>
        <v/>
      </c>
      <c r="K21">
        <f>IF(B21="","",IFERROR(INDEX('2.현장'!$C$2:$C$1001,IFERROR(MATCH(B21&amp;"|설계사",'2.현장'!$Z$2:$Z$1001,0),IFERROR(MATCH(B21&amp;"|시공사",'2.현장'!$Z$2:$Z$1001,0),MATCH(B21&amp;"|늦음",'2.현장'!$Z$2:$Z$1001,0)))),""))</f>
        <v/>
      </c>
      <c r="L21">
        <f>IF(B21="","",IFERROR(INDEX('2.현장'!$N$2:$N$1001,IFERROR(MATCH(B21&amp;"|설계사",'2.현장'!$Z$2:$Z$1001,0),IFERROR(MATCH(B21&amp;"|시공사",'2.현장'!$Z$2:$Z$1001,0),MATCH(B21&amp;"|늦음",'2.현장'!$Z$2:$Z$1001,0)))),""))</f>
        <v/>
      </c>
      <c r="M21">
        <f>IF(B21="","",IFERROR(VLOOKUP(B21,업체_메모!$A$3:$I$302,2,FALSE)&amp;"",""))</f>
        <v/>
      </c>
      <c r="N21">
        <f>IF(B21="","",IFERROR(VLOOKUP(B21,업체_메모!$A$3:$I$302,4,FALSE)&amp;"",""))</f>
        <v/>
      </c>
      <c r="O21" s="7">
        <f>IF(B21="","",IF(COUNTIF('4.방문기록'!$B$3:$B$502,B21)=0,"",_xlfn.MAXIFS('4.방문기록'!$A$3:$A$502,'4.방문기록'!$B$3:$B$502,B21)))</f>
        <v/>
      </c>
      <c r="P21">
        <f>IF(O21="","",설정!$B$24-O21)</f>
        <v/>
      </c>
      <c r="Q21" s="7">
        <f>IF(B21="","",IF(_xlfn.MAXIFS('4.방문기록'!$F$3:$F$502,'4.방문기록'!$B$3:$B$502,B21)=0,"",_xlfn.MAXIFS('4.방문기록'!$F$3:$F$502,'4.방문기록'!$B$3:$B$502,B21)))</f>
        <v/>
      </c>
      <c r="R21">
        <f>IF(O21="","",IFERROR(INDEX('4.방문기록'!$H$3:$H$502,MATCH(B21&amp;"|"&amp;(O21*1),'4.방문기록'!$I$3:$I$502,0))&amp;"",""))</f>
        <v/>
      </c>
      <c r="S21">
        <f>IF(B21="","",IF(R21="관심 없음","제외",IF(O21="","안 가봄",IF(P21&gt;=설정!$B$20,P21&amp;"일 지남","최근 방문"))))</f>
        <v/>
      </c>
      <c r="T21" s="8">
        <f>IF(B21="","",IF(S21="제외","",IF(AND(설정!$B$21&lt;&gt;"",L21&lt;&gt;설정!$B$21),"",IF(AND(Q21&lt;&gt;"",Q21&gt;N(O21),Q21&lt;=설정!$B$24+7),설정!$B$39+7-(Q21-설정!$B$24),IF(AND(G21&gt;0,OR(S21="안 가봄",RIGHT(S21,2)="지남")),G21+IF(O21="",설정!$B$36,MIN(P21,60)*설정!$B$37)+MIN(N(H21)/1000*설정!$B$38,20),"")))))</f>
        <v/>
      </c>
      <c r="U21">
        <f>IF(T21="","",COUNTIF(T$4:T$303,"&gt;"&amp;T21)+COUNTIF(T$4:T21,T21))</f>
        <v/>
      </c>
    </row>
    <row r="22">
      <c r="A22">
        <f>IF(B22="","",19)</f>
        <v/>
      </c>
      <c r="B22">
        <f>IFERROR(INDEX('2.현장'!$V$2:$V$1001,MATCH(19,'2.현장'!$W$2:$W$1001,0)),"")</f>
        <v/>
      </c>
      <c r="C22">
        <f>IF(B22="","",COUNTIFS('2.현장'!$V$2:$V$1001,B22,'2.현장'!$T$2:$T$1001,TRUE))</f>
        <v/>
      </c>
      <c r="D22">
        <f>IF(B22="","",COUNTIFS('2.현장'!$V$2:$V$1001,B22,'2.현장'!$U$2:$U$1001,"설계사"))</f>
        <v/>
      </c>
      <c r="E22">
        <f>IF(B22="","",COUNTIFS('2.현장'!$V$2:$V$1001,B22,'2.현장'!$U$2:$U$1001,"시공사"))</f>
        <v/>
      </c>
      <c r="F22">
        <f>IF(B22="","",COUNTIFS('2.현장'!$V$2:$V$1001,B22,'2.현장'!$T$2:$T$1001,TRUE,'2.현장'!$AA$2:$AA$1001,"★"))</f>
        <v/>
      </c>
      <c r="G22" s="6">
        <f>IF(B22="","",SUMIFS('2.현장'!$AB$2:$AB$1001,'2.현장'!$V$2:$V$1001,B22,'2.현장'!$T$2:$T$1001,TRUE))</f>
        <v/>
      </c>
      <c r="H22" s="5">
        <f>IF(B22="","",_xlfn.MAXIFS('2.현장'!$D$2:$D$1001,'2.현장'!$V$2:$V$1001,B22,'2.현장'!$T$2:$T$1001,TRUE))</f>
        <v/>
      </c>
      <c r="I22" s="7">
        <f>IF(B22="","",IF(_xlfn.MAXIFS('2.현장'!$L$2:$L$1001,'2.현장'!$V$2:$V$1001,B22,'2.현장'!$T$2:$T$1001,TRUE)=0,"",_xlfn.MAXIFS('2.현장'!$L$2:$L$1001,'2.현장'!$V$2:$V$1001,B22,'2.현장'!$T$2:$T$1001,TRUE)))</f>
        <v/>
      </c>
      <c r="J22" s="7">
        <f>IF(B22="","",IF(_xlfn.MAXIFS('2.현장'!$M$2:$M$1001,'2.현장'!$V$2:$V$1001,B22,'2.현장'!$T$2:$T$1001,TRUE)=0,"",_xlfn.MAXIFS('2.현장'!$M$2:$M$1001,'2.현장'!$V$2:$V$1001,B22,'2.현장'!$T$2:$T$1001,TRUE)))</f>
        <v/>
      </c>
      <c r="K22">
        <f>IF(B22="","",IFERROR(INDEX('2.현장'!$C$2:$C$1001,IFERROR(MATCH(B22&amp;"|설계사",'2.현장'!$Z$2:$Z$1001,0),IFERROR(MATCH(B22&amp;"|시공사",'2.현장'!$Z$2:$Z$1001,0),MATCH(B22&amp;"|늦음",'2.현장'!$Z$2:$Z$1001,0)))),""))</f>
        <v/>
      </c>
      <c r="L22">
        <f>IF(B22="","",IFERROR(INDEX('2.현장'!$N$2:$N$1001,IFERROR(MATCH(B22&amp;"|설계사",'2.현장'!$Z$2:$Z$1001,0),IFERROR(MATCH(B22&amp;"|시공사",'2.현장'!$Z$2:$Z$1001,0),MATCH(B22&amp;"|늦음",'2.현장'!$Z$2:$Z$1001,0)))),""))</f>
        <v/>
      </c>
      <c r="M22">
        <f>IF(B22="","",IFERROR(VLOOKUP(B22,업체_메모!$A$3:$I$302,2,FALSE)&amp;"",""))</f>
        <v/>
      </c>
      <c r="N22">
        <f>IF(B22="","",IFERROR(VLOOKUP(B22,업체_메모!$A$3:$I$302,4,FALSE)&amp;"",""))</f>
        <v/>
      </c>
      <c r="O22" s="7">
        <f>IF(B22="","",IF(COUNTIF('4.방문기록'!$B$3:$B$502,B22)=0,"",_xlfn.MAXIFS('4.방문기록'!$A$3:$A$502,'4.방문기록'!$B$3:$B$502,B22)))</f>
        <v/>
      </c>
      <c r="P22">
        <f>IF(O22="","",설정!$B$24-O22)</f>
        <v/>
      </c>
      <c r="Q22" s="7">
        <f>IF(B22="","",IF(_xlfn.MAXIFS('4.방문기록'!$F$3:$F$502,'4.방문기록'!$B$3:$B$502,B22)=0,"",_xlfn.MAXIFS('4.방문기록'!$F$3:$F$502,'4.방문기록'!$B$3:$B$502,B22)))</f>
        <v/>
      </c>
      <c r="R22">
        <f>IF(O22="","",IFERROR(INDEX('4.방문기록'!$H$3:$H$502,MATCH(B22&amp;"|"&amp;(O22*1),'4.방문기록'!$I$3:$I$502,0))&amp;"",""))</f>
        <v/>
      </c>
      <c r="S22">
        <f>IF(B22="","",IF(R22="관심 없음","제외",IF(O22="","안 가봄",IF(P22&gt;=설정!$B$20,P22&amp;"일 지남","최근 방문"))))</f>
        <v/>
      </c>
      <c r="T22" s="8">
        <f>IF(B22="","",IF(S22="제외","",IF(AND(설정!$B$21&lt;&gt;"",L22&lt;&gt;설정!$B$21),"",IF(AND(Q22&lt;&gt;"",Q22&gt;N(O22),Q22&lt;=설정!$B$24+7),설정!$B$39+7-(Q22-설정!$B$24),IF(AND(G22&gt;0,OR(S22="안 가봄",RIGHT(S22,2)="지남")),G22+IF(O22="",설정!$B$36,MIN(P22,60)*설정!$B$37)+MIN(N(H22)/1000*설정!$B$38,20),"")))))</f>
        <v/>
      </c>
      <c r="U22">
        <f>IF(T22="","",COUNTIF(T$4:T$303,"&gt;"&amp;T22)+COUNTIF(T$4:T22,T22))</f>
        <v/>
      </c>
    </row>
    <row r="23">
      <c r="A23">
        <f>IF(B23="","",20)</f>
        <v/>
      </c>
      <c r="B23">
        <f>IFERROR(INDEX('2.현장'!$V$2:$V$1001,MATCH(20,'2.현장'!$W$2:$W$1001,0)),"")</f>
        <v/>
      </c>
      <c r="C23">
        <f>IF(B23="","",COUNTIFS('2.현장'!$V$2:$V$1001,B23,'2.현장'!$T$2:$T$1001,TRUE))</f>
        <v/>
      </c>
      <c r="D23">
        <f>IF(B23="","",COUNTIFS('2.현장'!$V$2:$V$1001,B23,'2.현장'!$U$2:$U$1001,"설계사"))</f>
        <v/>
      </c>
      <c r="E23">
        <f>IF(B23="","",COUNTIFS('2.현장'!$V$2:$V$1001,B23,'2.현장'!$U$2:$U$1001,"시공사"))</f>
        <v/>
      </c>
      <c r="F23">
        <f>IF(B23="","",COUNTIFS('2.현장'!$V$2:$V$1001,B23,'2.현장'!$T$2:$T$1001,TRUE,'2.현장'!$AA$2:$AA$1001,"★"))</f>
        <v/>
      </c>
      <c r="G23" s="6">
        <f>IF(B23="","",SUMIFS('2.현장'!$AB$2:$AB$1001,'2.현장'!$V$2:$V$1001,B23,'2.현장'!$T$2:$T$1001,TRUE))</f>
        <v/>
      </c>
      <c r="H23" s="5">
        <f>IF(B23="","",_xlfn.MAXIFS('2.현장'!$D$2:$D$1001,'2.현장'!$V$2:$V$1001,B23,'2.현장'!$T$2:$T$1001,TRUE))</f>
        <v/>
      </c>
      <c r="I23" s="7">
        <f>IF(B23="","",IF(_xlfn.MAXIFS('2.현장'!$L$2:$L$1001,'2.현장'!$V$2:$V$1001,B23,'2.현장'!$T$2:$T$1001,TRUE)=0,"",_xlfn.MAXIFS('2.현장'!$L$2:$L$1001,'2.현장'!$V$2:$V$1001,B23,'2.현장'!$T$2:$T$1001,TRUE)))</f>
        <v/>
      </c>
      <c r="J23" s="7">
        <f>IF(B23="","",IF(_xlfn.MAXIFS('2.현장'!$M$2:$M$1001,'2.현장'!$V$2:$V$1001,B23,'2.현장'!$T$2:$T$1001,TRUE)=0,"",_xlfn.MAXIFS('2.현장'!$M$2:$M$1001,'2.현장'!$V$2:$V$1001,B23,'2.현장'!$T$2:$T$1001,TRUE)))</f>
        <v/>
      </c>
      <c r="K23">
        <f>IF(B23="","",IFERROR(INDEX('2.현장'!$C$2:$C$1001,IFERROR(MATCH(B23&amp;"|설계사",'2.현장'!$Z$2:$Z$1001,0),IFERROR(MATCH(B23&amp;"|시공사",'2.현장'!$Z$2:$Z$1001,0),MATCH(B23&amp;"|늦음",'2.현장'!$Z$2:$Z$1001,0)))),""))</f>
        <v/>
      </c>
      <c r="L23">
        <f>IF(B23="","",IFERROR(INDEX('2.현장'!$N$2:$N$1001,IFERROR(MATCH(B23&amp;"|설계사",'2.현장'!$Z$2:$Z$1001,0),IFERROR(MATCH(B23&amp;"|시공사",'2.현장'!$Z$2:$Z$1001,0),MATCH(B23&amp;"|늦음",'2.현장'!$Z$2:$Z$1001,0)))),""))</f>
        <v/>
      </c>
      <c r="M23">
        <f>IF(B23="","",IFERROR(VLOOKUP(B23,업체_메모!$A$3:$I$302,2,FALSE)&amp;"",""))</f>
        <v/>
      </c>
      <c r="N23">
        <f>IF(B23="","",IFERROR(VLOOKUP(B23,업체_메모!$A$3:$I$302,4,FALSE)&amp;"",""))</f>
        <v/>
      </c>
      <c r="O23" s="7">
        <f>IF(B23="","",IF(COUNTIF('4.방문기록'!$B$3:$B$502,B23)=0,"",_xlfn.MAXIFS('4.방문기록'!$A$3:$A$502,'4.방문기록'!$B$3:$B$502,B23)))</f>
        <v/>
      </c>
      <c r="P23">
        <f>IF(O23="","",설정!$B$24-O23)</f>
        <v/>
      </c>
      <c r="Q23" s="7">
        <f>IF(B23="","",IF(_xlfn.MAXIFS('4.방문기록'!$F$3:$F$502,'4.방문기록'!$B$3:$B$502,B23)=0,"",_xlfn.MAXIFS('4.방문기록'!$F$3:$F$502,'4.방문기록'!$B$3:$B$502,B23)))</f>
        <v/>
      </c>
      <c r="R23">
        <f>IF(O23="","",IFERROR(INDEX('4.방문기록'!$H$3:$H$502,MATCH(B23&amp;"|"&amp;(O23*1),'4.방문기록'!$I$3:$I$502,0))&amp;"",""))</f>
        <v/>
      </c>
      <c r="S23">
        <f>IF(B23="","",IF(R23="관심 없음","제외",IF(O23="","안 가봄",IF(P23&gt;=설정!$B$20,P23&amp;"일 지남","최근 방문"))))</f>
        <v/>
      </c>
      <c r="T23" s="8">
        <f>IF(B23="","",IF(S23="제외","",IF(AND(설정!$B$21&lt;&gt;"",L23&lt;&gt;설정!$B$21),"",IF(AND(Q23&lt;&gt;"",Q23&gt;N(O23),Q23&lt;=설정!$B$24+7),설정!$B$39+7-(Q23-설정!$B$24),IF(AND(G23&gt;0,OR(S23="안 가봄",RIGHT(S23,2)="지남")),G23+IF(O23="",설정!$B$36,MIN(P23,60)*설정!$B$37)+MIN(N(H23)/1000*설정!$B$38,20),"")))))</f>
        <v/>
      </c>
      <c r="U23">
        <f>IF(T23="","",COUNTIF(T$4:T$303,"&gt;"&amp;T23)+COUNTIF(T$4:T23,T23))</f>
        <v/>
      </c>
    </row>
    <row r="24">
      <c r="A24">
        <f>IF(B24="","",21)</f>
        <v/>
      </c>
      <c r="B24">
        <f>IFERROR(INDEX('2.현장'!$V$2:$V$1001,MATCH(21,'2.현장'!$W$2:$W$1001,0)),"")</f>
        <v/>
      </c>
      <c r="C24">
        <f>IF(B24="","",COUNTIFS('2.현장'!$V$2:$V$1001,B24,'2.현장'!$T$2:$T$1001,TRUE))</f>
        <v/>
      </c>
      <c r="D24">
        <f>IF(B24="","",COUNTIFS('2.현장'!$V$2:$V$1001,B24,'2.현장'!$U$2:$U$1001,"설계사"))</f>
        <v/>
      </c>
      <c r="E24">
        <f>IF(B24="","",COUNTIFS('2.현장'!$V$2:$V$1001,B24,'2.현장'!$U$2:$U$1001,"시공사"))</f>
        <v/>
      </c>
      <c r="F24">
        <f>IF(B24="","",COUNTIFS('2.현장'!$V$2:$V$1001,B24,'2.현장'!$T$2:$T$1001,TRUE,'2.현장'!$AA$2:$AA$1001,"★"))</f>
        <v/>
      </c>
      <c r="G24" s="6">
        <f>IF(B24="","",SUMIFS('2.현장'!$AB$2:$AB$1001,'2.현장'!$V$2:$V$1001,B24,'2.현장'!$T$2:$T$1001,TRUE))</f>
        <v/>
      </c>
      <c r="H24" s="5">
        <f>IF(B24="","",_xlfn.MAXIFS('2.현장'!$D$2:$D$1001,'2.현장'!$V$2:$V$1001,B24,'2.현장'!$T$2:$T$1001,TRUE))</f>
        <v/>
      </c>
      <c r="I24" s="7">
        <f>IF(B24="","",IF(_xlfn.MAXIFS('2.현장'!$L$2:$L$1001,'2.현장'!$V$2:$V$1001,B24,'2.현장'!$T$2:$T$1001,TRUE)=0,"",_xlfn.MAXIFS('2.현장'!$L$2:$L$1001,'2.현장'!$V$2:$V$1001,B24,'2.현장'!$T$2:$T$1001,TRUE)))</f>
        <v/>
      </c>
      <c r="J24" s="7">
        <f>IF(B24="","",IF(_xlfn.MAXIFS('2.현장'!$M$2:$M$1001,'2.현장'!$V$2:$V$1001,B24,'2.현장'!$T$2:$T$1001,TRUE)=0,"",_xlfn.MAXIFS('2.현장'!$M$2:$M$1001,'2.현장'!$V$2:$V$1001,B24,'2.현장'!$T$2:$T$1001,TRUE)))</f>
        <v/>
      </c>
      <c r="K24">
        <f>IF(B24="","",IFERROR(INDEX('2.현장'!$C$2:$C$1001,IFERROR(MATCH(B24&amp;"|설계사",'2.현장'!$Z$2:$Z$1001,0),IFERROR(MATCH(B24&amp;"|시공사",'2.현장'!$Z$2:$Z$1001,0),MATCH(B24&amp;"|늦음",'2.현장'!$Z$2:$Z$1001,0)))),""))</f>
        <v/>
      </c>
      <c r="L24">
        <f>IF(B24="","",IFERROR(INDEX('2.현장'!$N$2:$N$1001,IFERROR(MATCH(B24&amp;"|설계사",'2.현장'!$Z$2:$Z$1001,0),IFERROR(MATCH(B24&amp;"|시공사",'2.현장'!$Z$2:$Z$1001,0),MATCH(B24&amp;"|늦음",'2.현장'!$Z$2:$Z$1001,0)))),""))</f>
        <v/>
      </c>
      <c r="M24">
        <f>IF(B24="","",IFERROR(VLOOKUP(B24,업체_메모!$A$3:$I$302,2,FALSE)&amp;"",""))</f>
        <v/>
      </c>
      <c r="N24">
        <f>IF(B24="","",IFERROR(VLOOKUP(B24,업체_메모!$A$3:$I$302,4,FALSE)&amp;"",""))</f>
        <v/>
      </c>
      <c r="O24" s="7">
        <f>IF(B24="","",IF(COUNTIF('4.방문기록'!$B$3:$B$502,B24)=0,"",_xlfn.MAXIFS('4.방문기록'!$A$3:$A$502,'4.방문기록'!$B$3:$B$502,B24)))</f>
        <v/>
      </c>
      <c r="P24">
        <f>IF(O24="","",설정!$B$24-O24)</f>
        <v/>
      </c>
      <c r="Q24" s="7">
        <f>IF(B24="","",IF(_xlfn.MAXIFS('4.방문기록'!$F$3:$F$502,'4.방문기록'!$B$3:$B$502,B24)=0,"",_xlfn.MAXIFS('4.방문기록'!$F$3:$F$502,'4.방문기록'!$B$3:$B$502,B24)))</f>
        <v/>
      </c>
      <c r="R24">
        <f>IF(O24="","",IFERROR(INDEX('4.방문기록'!$H$3:$H$502,MATCH(B24&amp;"|"&amp;(O24*1),'4.방문기록'!$I$3:$I$502,0))&amp;"",""))</f>
        <v/>
      </c>
      <c r="S24">
        <f>IF(B24="","",IF(R24="관심 없음","제외",IF(O24="","안 가봄",IF(P24&gt;=설정!$B$20,P24&amp;"일 지남","최근 방문"))))</f>
        <v/>
      </c>
      <c r="T24" s="8">
        <f>IF(B24="","",IF(S24="제외","",IF(AND(설정!$B$21&lt;&gt;"",L24&lt;&gt;설정!$B$21),"",IF(AND(Q24&lt;&gt;"",Q24&gt;N(O24),Q24&lt;=설정!$B$24+7),설정!$B$39+7-(Q24-설정!$B$24),IF(AND(G24&gt;0,OR(S24="안 가봄",RIGHT(S24,2)="지남")),G24+IF(O24="",설정!$B$36,MIN(P24,60)*설정!$B$37)+MIN(N(H24)/1000*설정!$B$38,20),"")))))</f>
        <v/>
      </c>
      <c r="U24">
        <f>IF(T24="","",COUNTIF(T$4:T$303,"&gt;"&amp;T24)+COUNTIF(T$4:T24,T24))</f>
        <v/>
      </c>
    </row>
    <row r="25">
      <c r="A25">
        <f>IF(B25="","",22)</f>
        <v/>
      </c>
      <c r="B25">
        <f>IFERROR(INDEX('2.현장'!$V$2:$V$1001,MATCH(22,'2.현장'!$W$2:$W$1001,0)),"")</f>
        <v/>
      </c>
      <c r="C25">
        <f>IF(B25="","",COUNTIFS('2.현장'!$V$2:$V$1001,B25,'2.현장'!$T$2:$T$1001,TRUE))</f>
        <v/>
      </c>
      <c r="D25">
        <f>IF(B25="","",COUNTIFS('2.현장'!$V$2:$V$1001,B25,'2.현장'!$U$2:$U$1001,"설계사"))</f>
        <v/>
      </c>
      <c r="E25">
        <f>IF(B25="","",COUNTIFS('2.현장'!$V$2:$V$1001,B25,'2.현장'!$U$2:$U$1001,"시공사"))</f>
        <v/>
      </c>
      <c r="F25">
        <f>IF(B25="","",COUNTIFS('2.현장'!$V$2:$V$1001,B25,'2.현장'!$T$2:$T$1001,TRUE,'2.현장'!$AA$2:$AA$1001,"★"))</f>
        <v/>
      </c>
      <c r="G25" s="6">
        <f>IF(B25="","",SUMIFS('2.현장'!$AB$2:$AB$1001,'2.현장'!$V$2:$V$1001,B25,'2.현장'!$T$2:$T$1001,TRUE))</f>
        <v/>
      </c>
      <c r="H25" s="5">
        <f>IF(B25="","",_xlfn.MAXIFS('2.현장'!$D$2:$D$1001,'2.현장'!$V$2:$V$1001,B25,'2.현장'!$T$2:$T$1001,TRUE))</f>
        <v/>
      </c>
      <c r="I25" s="7">
        <f>IF(B25="","",IF(_xlfn.MAXIFS('2.현장'!$L$2:$L$1001,'2.현장'!$V$2:$V$1001,B25,'2.현장'!$T$2:$T$1001,TRUE)=0,"",_xlfn.MAXIFS('2.현장'!$L$2:$L$1001,'2.현장'!$V$2:$V$1001,B25,'2.현장'!$T$2:$T$1001,TRUE)))</f>
        <v/>
      </c>
      <c r="J25" s="7">
        <f>IF(B25="","",IF(_xlfn.MAXIFS('2.현장'!$M$2:$M$1001,'2.현장'!$V$2:$V$1001,B25,'2.현장'!$T$2:$T$1001,TRUE)=0,"",_xlfn.MAXIFS('2.현장'!$M$2:$M$1001,'2.현장'!$V$2:$V$1001,B25,'2.현장'!$T$2:$T$1001,TRUE)))</f>
        <v/>
      </c>
      <c r="K25">
        <f>IF(B25="","",IFERROR(INDEX('2.현장'!$C$2:$C$1001,IFERROR(MATCH(B25&amp;"|설계사",'2.현장'!$Z$2:$Z$1001,0),IFERROR(MATCH(B25&amp;"|시공사",'2.현장'!$Z$2:$Z$1001,0),MATCH(B25&amp;"|늦음",'2.현장'!$Z$2:$Z$1001,0)))),""))</f>
        <v/>
      </c>
      <c r="L25">
        <f>IF(B25="","",IFERROR(INDEX('2.현장'!$N$2:$N$1001,IFERROR(MATCH(B25&amp;"|설계사",'2.현장'!$Z$2:$Z$1001,0),IFERROR(MATCH(B25&amp;"|시공사",'2.현장'!$Z$2:$Z$1001,0),MATCH(B25&amp;"|늦음",'2.현장'!$Z$2:$Z$1001,0)))),""))</f>
        <v/>
      </c>
      <c r="M25">
        <f>IF(B25="","",IFERROR(VLOOKUP(B25,업체_메모!$A$3:$I$302,2,FALSE)&amp;"",""))</f>
        <v/>
      </c>
      <c r="N25">
        <f>IF(B25="","",IFERROR(VLOOKUP(B25,업체_메모!$A$3:$I$302,4,FALSE)&amp;"",""))</f>
        <v/>
      </c>
      <c r="O25" s="7">
        <f>IF(B25="","",IF(COUNTIF('4.방문기록'!$B$3:$B$502,B25)=0,"",_xlfn.MAXIFS('4.방문기록'!$A$3:$A$502,'4.방문기록'!$B$3:$B$502,B25)))</f>
        <v/>
      </c>
      <c r="P25">
        <f>IF(O25="","",설정!$B$24-O25)</f>
        <v/>
      </c>
      <c r="Q25" s="7">
        <f>IF(B25="","",IF(_xlfn.MAXIFS('4.방문기록'!$F$3:$F$502,'4.방문기록'!$B$3:$B$502,B25)=0,"",_xlfn.MAXIFS('4.방문기록'!$F$3:$F$502,'4.방문기록'!$B$3:$B$502,B25)))</f>
        <v/>
      </c>
      <c r="R25">
        <f>IF(O25="","",IFERROR(INDEX('4.방문기록'!$H$3:$H$502,MATCH(B25&amp;"|"&amp;(O25*1),'4.방문기록'!$I$3:$I$502,0))&amp;"",""))</f>
        <v/>
      </c>
      <c r="S25">
        <f>IF(B25="","",IF(R25="관심 없음","제외",IF(O25="","안 가봄",IF(P25&gt;=설정!$B$20,P25&amp;"일 지남","최근 방문"))))</f>
        <v/>
      </c>
      <c r="T25" s="8">
        <f>IF(B25="","",IF(S25="제외","",IF(AND(설정!$B$21&lt;&gt;"",L25&lt;&gt;설정!$B$21),"",IF(AND(Q25&lt;&gt;"",Q25&gt;N(O25),Q25&lt;=설정!$B$24+7),설정!$B$39+7-(Q25-설정!$B$24),IF(AND(G25&gt;0,OR(S25="안 가봄",RIGHT(S25,2)="지남")),G25+IF(O25="",설정!$B$36,MIN(P25,60)*설정!$B$37)+MIN(N(H25)/1000*설정!$B$38,20),"")))))</f>
        <v/>
      </c>
      <c r="U25">
        <f>IF(T25="","",COUNTIF(T$4:T$303,"&gt;"&amp;T25)+COUNTIF(T$4:T25,T25))</f>
        <v/>
      </c>
    </row>
    <row r="26">
      <c r="A26">
        <f>IF(B26="","",23)</f>
        <v/>
      </c>
      <c r="B26">
        <f>IFERROR(INDEX('2.현장'!$V$2:$V$1001,MATCH(23,'2.현장'!$W$2:$W$1001,0)),"")</f>
        <v/>
      </c>
      <c r="C26">
        <f>IF(B26="","",COUNTIFS('2.현장'!$V$2:$V$1001,B26,'2.현장'!$T$2:$T$1001,TRUE))</f>
        <v/>
      </c>
      <c r="D26">
        <f>IF(B26="","",COUNTIFS('2.현장'!$V$2:$V$1001,B26,'2.현장'!$U$2:$U$1001,"설계사"))</f>
        <v/>
      </c>
      <c r="E26">
        <f>IF(B26="","",COUNTIFS('2.현장'!$V$2:$V$1001,B26,'2.현장'!$U$2:$U$1001,"시공사"))</f>
        <v/>
      </c>
      <c r="F26">
        <f>IF(B26="","",COUNTIFS('2.현장'!$V$2:$V$1001,B26,'2.현장'!$T$2:$T$1001,TRUE,'2.현장'!$AA$2:$AA$1001,"★"))</f>
        <v/>
      </c>
      <c r="G26" s="6">
        <f>IF(B26="","",SUMIFS('2.현장'!$AB$2:$AB$1001,'2.현장'!$V$2:$V$1001,B26,'2.현장'!$T$2:$T$1001,TRUE))</f>
        <v/>
      </c>
      <c r="H26" s="5">
        <f>IF(B26="","",_xlfn.MAXIFS('2.현장'!$D$2:$D$1001,'2.현장'!$V$2:$V$1001,B26,'2.현장'!$T$2:$T$1001,TRUE))</f>
        <v/>
      </c>
      <c r="I26" s="7">
        <f>IF(B26="","",IF(_xlfn.MAXIFS('2.현장'!$L$2:$L$1001,'2.현장'!$V$2:$V$1001,B26,'2.현장'!$T$2:$T$1001,TRUE)=0,"",_xlfn.MAXIFS('2.현장'!$L$2:$L$1001,'2.현장'!$V$2:$V$1001,B26,'2.현장'!$T$2:$T$1001,TRUE)))</f>
        <v/>
      </c>
      <c r="J26" s="7">
        <f>IF(B26="","",IF(_xlfn.MAXIFS('2.현장'!$M$2:$M$1001,'2.현장'!$V$2:$V$1001,B26,'2.현장'!$T$2:$T$1001,TRUE)=0,"",_xlfn.MAXIFS('2.현장'!$M$2:$M$1001,'2.현장'!$V$2:$V$1001,B26,'2.현장'!$T$2:$T$1001,TRUE)))</f>
        <v/>
      </c>
      <c r="K26">
        <f>IF(B26="","",IFERROR(INDEX('2.현장'!$C$2:$C$1001,IFERROR(MATCH(B26&amp;"|설계사",'2.현장'!$Z$2:$Z$1001,0),IFERROR(MATCH(B26&amp;"|시공사",'2.현장'!$Z$2:$Z$1001,0),MATCH(B26&amp;"|늦음",'2.현장'!$Z$2:$Z$1001,0)))),""))</f>
        <v/>
      </c>
      <c r="L26">
        <f>IF(B26="","",IFERROR(INDEX('2.현장'!$N$2:$N$1001,IFERROR(MATCH(B26&amp;"|설계사",'2.현장'!$Z$2:$Z$1001,0),IFERROR(MATCH(B26&amp;"|시공사",'2.현장'!$Z$2:$Z$1001,0),MATCH(B26&amp;"|늦음",'2.현장'!$Z$2:$Z$1001,0)))),""))</f>
        <v/>
      </c>
      <c r="M26">
        <f>IF(B26="","",IFERROR(VLOOKUP(B26,업체_메모!$A$3:$I$302,2,FALSE)&amp;"",""))</f>
        <v/>
      </c>
      <c r="N26">
        <f>IF(B26="","",IFERROR(VLOOKUP(B26,업체_메모!$A$3:$I$302,4,FALSE)&amp;"",""))</f>
        <v/>
      </c>
      <c r="O26" s="7">
        <f>IF(B26="","",IF(COUNTIF('4.방문기록'!$B$3:$B$502,B26)=0,"",_xlfn.MAXIFS('4.방문기록'!$A$3:$A$502,'4.방문기록'!$B$3:$B$502,B26)))</f>
        <v/>
      </c>
      <c r="P26">
        <f>IF(O26="","",설정!$B$24-O26)</f>
        <v/>
      </c>
      <c r="Q26" s="7">
        <f>IF(B26="","",IF(_xlfn.MAXIFS('4.방문기록'!$F$3:$F$502,'4.방문기록'!$B$3:$B$502,B26)=0,"",_xlfn.MAXIFS('4.방문기록'!$F$3:$F$502,'4.방문기록'!$B$3:$B$502,B26)))</f>
        <v/>
      </c>
      <c r="R26">
        <f>IF(O26="","",IFERROR(INDEX('4.방문기록'!$H$3:$H$502,MATCH(B26&amp;"|"&amp;(O26*1),'4.방문기록'!$I$3:$I$502,0))&amp;"",""))</f>
        <v/>
      </c>
      <c r="S26">
        <f>IF(B26="","",IF(R26="관심 없음","제외",IF(O26="","안 가봄",IF(P26&gt;=설정!$B$20,P26&amp;"일 지남","최근 방문"))))</f>
        <v/>
      </c>
      <c r="T26" s="8">
        <f>IF(B26="","",IF(S26="제외","",IF(AND(설정!$B$21&lt;&gt;"",L26&lt;&gt;설정!$B$21),"",IF(AND(Q26&lt;&gt;"",Q26&gt;N(O26),Q26&lt;=설정!$B$24+7),설정!$B$39+7-(Q26-설정!$B$24),IF(AND(G26&gt;0,OR(S26="안 가봄",RIGHT(S26,2)="지남")),G26+IF(O26="",설정!$B$36,MIN(P26,60)*설정!$B$37)+MIN(N(H26)/1000*설정!$B$38,20),"")))))</f>
        <v/>
      </c>
      <c r="U26">
        <f>IF(T26="","",COUNTIF(T$4:T$303,"&gt;"&amp;T26)+COUNTIF(T$4:T26,T26))</f>
        <v/>
      </c>
    </row>
    <row r="27">
      <c r="A27">
        <f>IF(B27="","",24)</f>
        <v/>
      </c>
      <c r="B27">
        <f>IFERROR(INDEX('2.현장'!$V$2:$V$1001,MATCH(24,'2.현장'!$W$2:$W$1001,0)),"")</f>
        <v/>
      </c>
      <c r="C27">
        <f>IF(B27="","",COUNTIFS('2.현장'!$V$2:$V$1001,B27,'2.현장'!$T$2:$T$1001,TRUE))</f>
        <v/>
      </c>
      <c r="D27">
        <f>IF(B27="","",COUNTIFS('2.현장'!$V$2:$V$1001,B27,'2.현장'!$U$2:$U$1001,"설계사"))</f>
        <v/>
      </c>
      <c r="E27">
        <f>IF(B27="","",COUNTIFS('2.현장'!$V$2:$V$1001,B27,'2.현장'!$U$2:$U$1001,"시공사"))</f>
        <v/>
      </c>
      <c r="F27">
        <f>IF(B27="","",COUNTIFS('2.현장'!$V$2:$V$1001,B27,'2.현장'!$T$2:$T$1001,TRUE,'2.현장'!$AA$2:$AA$1001,"★"))</f>
        <v/>
      </c>
      <c r="G27" s="6">
        <f>IF(B27="","",SUMIFS('2.현장'!$AB$2:$AB$1001,'2.현장'!$V$2:$V$1001,B27,'2.현장'!$T$2:$T$1001,TRUE))</f>
        <v/>
      </c>
      <c r="H27" s="5">
        <f>IF(B27="","",_xlfn.MAXIFS('2.현장'!$D$2:$D$1001,'2.현장'!$V$2:$V$1001,B27,'2.현장'!$T$2:$T$1001,TRUE))</f>
        <v/>
      </c>
      <c r="I27" s="7">
        <f>IF(B27="","",IF(_xlfn.MAXIFS('2.현장'!$L$2:$L$1001,'2.현장'!$V$2:$V$1001,B27,'2.현장'!$T$2:$T$1001,TRUE)=0,"",_xlfn.MAXIFS('2.현장'!$L$2:$L$1001,'2.현장'!$V$2:$V$1001,B27,'2.현장'!$T$2:$T$1001,TRUE)))</f>
        <v/>
      </c>
      <c r="J27" s="7">
        <f>IF(B27="","",IF(_xlfn.MAXIFS('2.현장'!$M$2:$M$1001,'2.현장'!$V$2:$V$1001,B27,'2.현장'!$T$2:$T$1001,TRUE)=0,"",_xlfn.MAXIFS('2.현장'!$M$2:$M$1001,'2.현장'!$V$2:$V$1001,B27,'2.현장'!$T$2:$T$1001,TRUE)))</f>
        <v/>
      </c>
      <c r="K27">
        <f>IF(B27="","",IFERROR(INDEX('2.현장'!$C$2:$C$1001,IFERROR(MATCH(B27&amp;"|설계사",'2.현장'!$Z$2:$Z$1001,0),IFERROR(MATCH(B27&amp;"|시공사",'2.현장'!$Z$2:$Z$1001,0),MATCH(B27&amp;"|늦음",'2.현장'!$Z$2:$Z$1001,0)))),""))</f>
        <v/>
      </c>
      <c r="L27">
        <f>IF(B27="","",IFERROR(INDEX('2.현장'!$N$2:$N$1001,IFERROR(MATCH(B27&amp;"|설계사",'2.현장'!$Z$2:$Z$1001,0),IFERROR(MATCH(B27&amp;"|시공사",'2.현장'!$Z$2:$Z$1001,0),MATCH(B27&amp;"|늦음",'2.현장'!$Z$2:$Z$1001,0)))),""))</f>
        <v/>
      </c>
      <c r="M27">
        <f>IF(B27="","",IFERROR(VLOOKUP(B27,업체_메모!$A$3:$I$302,2,FALSE)&amp;"",""))</f>
        <v/>
      </c>
      <c r="N27">
        <f>IF(B27="","",IFERROR(VLOOKUP(B27,업체_메모!$A$3:$I$302,4,FALSE)&amp;"",""))</f>
        <v/>
      </c>
      <c r="O27" s="7">
        <f>IF(B27="","",IF(COUNTIF('4.방문기록'!$B$3:$B$502,B27)=0,"",_xlfn.MAXIFS('4.방문기록'!$A$3:$A$502,'4.방문기록'!$B$3:$B$502,B27)))</f>
        <v/>
      </c>
      <c r="P27">
        <f>IF(O27="","",설정!$B$24-O27)</f>
        <v/>
      </c>
      <c r="Q27" s="7">
        <f>IF(B27="","",IF(_xlfn.MAXIFS('4.방문기록'!$F$3:$F$502,'4.방문기록'!$B$3:$B$502,B27)=0,"",_xlfn.MAXIFS('4.방문기록'!$F$3:$F$502,'4.방문기록'!$B$3:$B$502,B27)))</f>
        <v/>
      </c>
      <c r="R27">
        <f>IF(O27="","",IFERROR(INDEX('4.방문기록'!$H$3:$H$502,MATCH(B27&amp;"|"&amp;(O27*1),'4.방문기록'!$I$3:$I$502,0))&amp;"",""))</f>
        <v/>
      </c>
      <c r="S27">
        <f>IF(B27="","",IF(R27="관심 없음","제외",IF(O27="","안 가봄",IF(P27&gt;=설정!$B$20,P27&amp;"일 지남","최근 방문"))))</f>
        <v/>
      </c>
      <c r="T27" s="8">
        <f>IF(B27="","",IF(S27="제외","",IF(AND(설정!$B$21&lt;&gt;"",L27&lt;&gt;설정!$B$21),"",IF(AND(Q27&lt;&gt;"",Q27&gt;N(O27),Q27&lt;=설정!$B$24+7),설정!$B$39+7-(Q27-설정!$B$24),IF(AND(G27&gt;0,OR(S27="안 가봄",RIGHT(S27,2)="지남")),G27+IF(O27="",설정!$B$36,MIN(P27,60)*설정!$B$37)+MIN(N(H27)/1000*설정!$B$38,20),"")))))</f>
        <v/>
      </c>
      <c r="U27">
        <f>IF(T27="","",COUNTIF(T$4:T$303,"&gt;"&amp;T27)+COUNTIF(T$4:T27,T27))</f>
        <v/>
      </c>
    </row>
    <row r="28">
      <c r="A28">
        <f>IF(B28="","",25)</f>
        <v/>
      </c>
      <c r="B28">
        <f>IFERROR(INDEX('2.현장'!$V$2:$V$1001,MATCH(25,'2.현장'!$W$2:$W$1001,0)),"")</f>
        <v/>
      </c>
      <c r="C28">
        <f>IF(B28="","",COUNTIFS('2.현장'!$V$2:$V$1001,B28,'2.현장'!$T$2:$T$1001,TRUE))</f>
        <v/>
      </c>
      <c r="D28">
        <f>IF(B28="","",COUNTIFS('2.현장'!$V$2:$V$1001,B28,'2.현장'!$U$2:$U$1001,"설계사"))</f>
        <v/>
      </c>
      <c r="E28">
        <f>IF(B28="","",COUNTIFS('2.현장'!$V$2:$V$1001,B28,'2.현장'!$U$2:$U$1001,"시공사"))</f>
        <v/>
      </c>
      <c r="F28">
        <f>IF(B28="","",COUNTIFS('2.현장'!$V$2:$V$1001,B28,'2.현장'!$T$2:$T$1001,TRUE,'2.현장'!$AA$2:$AA$1001,"★"))</f>
        <v/>
      </c>
      <c r="G28" s="6">
        <f>IF(B28="","",SUMIFS('2.현장'!$AB$2:$AB$1001,'2.현장'!$V$2:$V$1001,B28,'2.현장'!$T$2:$T$1001,TRUE))</f>
        <v/>
      </c>
      <c r="H28" s="5">
        <f>IF(B28="","",_xlfn.MAXIFS('2.현장'!$D$2:$D$1001,'2.현장'!$V$2:$V$1001,B28,'2.현장'!$T$2:$T$1001,TRUE))</f>
        <v/>
      </c>
      <c r="I28" s="7">
        <f>IF(B28="","",IF(_xlfn.MAXIFS('2.현장'!$L$2:$L$1001,'2.현장'!$V$2:$V$1001,B28,'2.현장'!$T$2:$T$1001,TRUE)=0,"",_xlfn.MAXIFS('2.현장'!$L$2:$L$1001,'2.현장'!$V$2:$V$1001,B28,'2.현장'!$T$2:$T$1001,TRUE)))</f>
        <v/>
      </c>
      <c r="J28" s="7">
        <f>IF(B28="","",IF(_xlfn.MAXIFS('2.현장'!$M$2:$M$1001,'2.현장'!$V$2:$V$1001,B28,'2.현장'!$T$2:$T$1001,TRUE)=0,"",_xlfn.MAXIFS('2.현장'!$M$2:$M$1001,'2.현장'!$V$2:$V$1001,B28,'2.현장'!$T$2:$T$1001,TRUE)))</f>
        <v/>
      </c>
      <c r="K28">
        <f>IF(B28="","",IFERROR(INDEX('2.현장'!$C$2:$C$1001,IFERROR(MATCH(B28&amp;"|설계사",'2.현장'!$Z$2:$Z$1001,0),IFERROR(MATCH(B28&amp;"|시공사",'2.현장'!$Z$2:$Z$1001,0),MATCH(B28&amp;"|늦음",'2.현장'!$Z$2:$Z$1001,0)))),""))</f>
        <v/>
      </c>
      <c r="L28">
        <f>IF(B28="","",IFERROR(INDEX('2.현장'!$N$2:$N$1001,IFERROR(MATCH(B28&amp;"|설계사",'2.현장'!$Z$2:$Z$1001,0),IFERROR(MATCH(B28&amp;"|시공사",'2.현장'!$Z$2:$Z$1001,0),MATCH(B28&amp;"|늦음",'2.현장'!$Z$2:$Z$1001,0)))),""))</f>
        <v/>
      </c>
      <c r="M28">
        <f>IF(B28="","",IFERROR(VLOOKUP(B28,업체_메모!$A$3:$I$302,2,FALSE)&amp;"",""))</f>
        <v/>
      </c>
      <c r="N28">
        <f>IF(B28="","",IFERROR(VLOOKUP(B28,업체_메모!$A$3:$I$302,4,FALSE)&amp;"",""))</f>
        <v/>
      </c>
      <c r="O28" s="7">
        <f>IF(B28="","",IF(COUNTIF('4.방문기록'!$B$3:$B$502,B28)=0,"",_xlfn.MAXIFS('4.방문기록'!$A$3:$A$502,'4.방문기록'!$B$3:$B$502,B28)))</f>
        <v/>
      </c>
      <c r="P28">
        <f>IF(O28="","",설정!$B$24-O28)</f>
        <v/>
      </c>
      <c r="Q28" s="7">
        <f>IF(B28="","",IF(_xlfn.MAXIFS('4.방문기록'!$F$3:$F$502,'4.방문기록'!$B$3:$B$502,B28)=0,"",_xlfn.MAXIFS('4.방문기록'!$F$3:$F$502,'4.방문기록'!$B$3:$B$502,B28)))</f>
        <v/>
      </c>
      <c r="R28">
        <f>IF(O28="","",IFERROR(INDEX('4.방문기록'!$H$3:$H$502,MATCH(B28&amp;"|"&amp;(O28*1),'4.방문기록'!$I$3:$I$502,0))&amp;"",""))</f>
        <v/>
      </c>
      <c r="S28">
        <f>IF(B28="","",IF(R28="관심 없음","제외",IF(O28="","안 가봄",IF(P28&gt;=설정!$B$20,P28&amp;"일 지남","최근 방문"))))</f>
        <v/>
      </c>
      <c r="T28" s="8">
        <f>IF(B28="","",IF(S28="제외","",IF(AND(설정!$B$21&lt;&gt;"",L28&lt;&gt;설정!$B$21),"",IF(AND(Q28&lt;&gt;"",Q28&gt;N(O28),Q28&lt;=설정!$B$24+7),설정!$B$39+7-(Q28-설정!$B$24),IF(AND(G28&gt;0,OR(S28="안 가봄",RIGHT(S28,2)="지남")),G28+IF(O28="",설정!$B$36,MIN(P28,60)*설정!$B$37)+MIN(N(H28)/1000*설정!$B$38,20),"")))))</f>
        <v/>
      </c>
      <c r="U28">
        <f>IF(T28="","",COUNTIF(T$4:T$303,"&gt;"&amp;T28)+COUNTIF(T$4:T28,T28))</f>
        <v/>
      </c>
    </row>
    <row r="29">
      <c r="A29">
        <f>IF(B29="","",26)</f>
        <v/>
      </c>
      <c r="B29">
        <f>IFERROR(INDEX('2.현장'!$V$2:$V$1001,MATCH(26,'2.현장'!$W$2:$W$1001,0)),"")</f>
        <v/>
      </c>
      <c r="C29">
        <f>IF(B29="","",COUNTIFS('2.현장'!$V$2:$V$1001,B29,'2.현장'!$T$2:$T$1001,TRUE))</f>
        <v/>
      </c>
      <c r="D29">
        <f>IF(B29="","",COUNTIFS('2.현장'!$V$2:$V$1001,B29,'2.현장'!$U$2:$U$1001,"설계사"))</f>
        <v/>
      </c>
      <c r="E29">
        <f>IF(B29="","",COUNTIFS('2.현장'!$V$2:$V$1001,B29,'2.현장'!$U$2:$U$1001,"시공사"))</f>
        <v/>
      </c>
      <c r="F29">
        <f>IF(B29="","",COUNTIFS('2.현장'!$V$2:$V$1001,B29,'2.현장'!$T$2:$T$1001,TRUE,'2.현장'!$AA$2:$AA$1001,"★"))</f>
        <v/>
      </c>
      <c r="G29" s="6">
        <f>IF(B29="","",SUMIFS('2.현장'!$AB$2:$AB$1001,'2.현장'!$V$2:$V$1001,B29,'2.현장'!$T$2:$T$1001,TRUE))</f>
        <v/>
      </c>
      <c r="H29" s="5">
        <f>IF(B29="","",_xlfn.MAXIFS('2.현장'!$D$2:$D$1001,'2.현장'!$V$2:$V$1001,B29,'2.현장'!$T$2:$T$1001,TRUE))</f>
        <v/>
      </c>
      <c r="I29" s="7">
        <f>IF(B29="","",IF(_xlfn.MAXIFS('2.현장'!$L$2:$L$1001,'2.현장'!$V$2:$V$1001,B29,'2.현장'!$T$2:$T$1001,TRUE)=0,"",_xlfn.MAXIFS('2.현장'!$L$2:$L$1001,'2.현장'!$V$2:$V$1001,B29,'2.현장'!$T$2:$T$1001,TRUE)))</f>
        <v/>
      </c>
      <c r="J29" s="7">
        <f>IF(B29="","",IF(_xlfn.MAXIFS('2.현장'!$M$2:$M$1001,'2.현장'!$V$2:$V$1001,B29,'2.현장'!$T$2:$T$1001,TRUE)=0,"",_xlfn.MAXIFS('2.현장'!$M$2:$M$1001,'2.현장'!$V$2:$V$1001,B29,'2.현장'!$T$2:$T$1001,TRUE)))</f>
        <v/>
      </c>
      <c r="K29">
        <f>IF(B29="","",IFERROR(INDEX('2.현장'!$C$2:$C$1001,IFERROR(MATCH(B29&amp;"|설계사",'2.현장'!$Z$2:$Z$1001,0),IFERROR(MATCH(B29&amp;"|시공사",'2.현장'!$Z$2:$Z$1001,0),MATCH(B29&amp;"|늦음",'2.현장'!$Z$2:$Z$1001,0)))),""))</f>
        <v/>
      </c>
      <c r="L29">
        <f>IF(B29="","",IFERROR(INDEX('2.현장'!$N$2:$N$1001,IFERROR(MATCH(B29&amp;"|설계사",'2.현장'!$Z$2:$Z$1001,0),IFERROR(MATCH(B29&amp;"|시공사",'2.현장'!$Z$2:$Z$1001,0),MATCH(B29&amp;"|늦음",'2.현장'!$Z$2:$Z$1001,0)))),""))</f>
        <v/>
      </c>
      <c r="M29">
        <f>IF(B29="","",IFERROR(VLOOKUP(B29,업체_메모!$A$3:$I$302,2,FALSE)&amp;"",""))</f>
        <v/>
      </c>
      <c r="N29">
        <f>IF(B29="","",IFERROR(VLOOKUP(B29,업체_메모!$A$3:$I$302,4,FALSE)&amp;"",""))</f>
        <v/>
      </c>
      <c r="O29" s="7">
        <f>IF(B29="","",IF(COUNTIF('4.방문기록'!$B$3:$B$502,B29)=0,"",_xlfn.MAXIFS('4.방문기록'!$A$3:$A$502,'4.방문기록'!$B$3:$B$502,B29)))</f>
        <v/>
      </c>
      <c r="P29">
        <f>IF(O29="","",설정!$B$24-O29)</f>
        <v/>
      </c>
      <c r="Q29" s="7">
        <f>IF(B29="","",IF(_xlfn.MAXIFS('4.방문기록'!$F$3:$F$502,'4.방문기록'!$B$3:$B$502,B29)=0,"",_xlfn.MAXIFS('4.방문기록'!$F$3:$F$502,'4.방문기록'!$B$3:$B$502,B29)))</f>
        <v/>
      </c>
      <c r="R29">
        <f>IF(O29="","",IFERROR(INDEX('4.방문기록'!$H$3:$H$502,MATCH(B29&amp;"|"&amp;(O29*1),'4.방문기록'!$I$3:$I$502,0))&amp;"",""))</f>
        <v/>
      </c>
      <c r="S29">
        <f>IF(B29="","",IF(R29="관심 없음","제외",IF(O29="","안 가봄",IF(P29&gt;=설정!$B$20,P29&amp;"일 지남","최근 방문"))))</f>
        <v/>
      </c>
      <c r="T29" s="8">
        <f>IF(B29="","",IF(S29="제외","",IF(AND(설정!$B$21&lt;&gt;"",L29&lt;&gt;설정!$B$21),"",IF(AND(Q29&lt;&gt;"",Q29&gt;N(O29),Q29&lt;=설정!$B$24+7),설정!$B$39+7-(Q29-설정!$B$24),IF(AND(G29&gt;0,OR(S29="안 가봄",RIGHT(S29,2)="지남")),G29+IF(O29="",설정!$B$36,MIN(P29,60)*설정!$B$37)+MIN(N(H29)/1000*설정!$B$38,20),"")))))</f>
        <v/>
      </c>
      <c r="U29">
        <f>IF(T29="","",COUNTIF(T$4:T$303,"&gt;"&amp;T29)+COUNTIF(T$4:T29,T29))</f>
        <v/>
      </c>
    </row>
    <row r="30">
      <c r="A30">
        <f>IF(B30="","",27)</f>
        <v/>
      </c>
      <c r="B30">
        <f>IFERROR(INDEX('2.현장'!$V$2:$V$1001,MATCH(27,'2.현장'!$W$2:$W$1001,0)),"")</f>
        <v/>
      </c>
      <c r="C30">
        <f>IF(B30="","",COUNTIFS('2.현장'!$V$2:$V$1001,B30,'2.현장'!$T$2:$T$1001,TRUE))</f>
        <v/>
      </c>
      <c r="D30">
        <f>IF(B30="","",COUNTIFS('2.현장'!$V$2:$V$1001,B30,'2.현장'!$U$2:$U$1001,"설계사"))</f>
        <v/>
      </c>
      <c r="E30">
        <f>IF(B30="","",COUNTIFS('2.현장'!$V$2:$V$1001,B30,'2.현장'!$U$2:$U$1001,"시공사"))</f>
        <v/>
      </c>
      <c r="F30">
        <f>IF(B30="","",COUNTIFS('2.현장'!$V$2:$V$1001,B30,'2.현장'!$T$2:$T$1001,TRUE,'2.현장'!$AA$2:$AA$1001,"★"))</f>
        <v/>
      </c>
      <c r="G30" s="6">
        <f>IF(B30="","",SUMIFS('2.현장'!$AB$2:$AB$1001,'2.현장'!$V$2:$V$1001,B30,'2.현장'!$T$2:$T$1001,TRUE))</f>
        <v/>
      </c>
      <c r="H30" s="5">
        <f>IF(B30="","",_xlfn.MAXIFS('2.현장'!$D$2:$D$1001,'2.현장'!$V$2:$V$1001,B30,'2.현장'!$T$2:$T$1001,TRUE))</f>
        <v/>
      </c>
      <c r="I30" s="7">
        <f>IF(B30="","",IF(_xlfn.MAXIFS('2.현장'!$L$2:$L$1001,'2.현장'!$V$2:$V$1001,B30,'2.현장'!$T$2:$T$1001,TRUE)=0,"",_xlfn.MAXIFS('2.현장'!$L$2:$L$1001,'2.현장'!$V$2:$V$1001,B30,'2.현장'!$T$2:$T$1001,TRUE)))</f>
        <v/>
      </c>
      <c r="J30" s="7">
        <f>IF(B30="","",IF(_xlfn.MAXIFS('2.현장'!$M$2:$M$1001,'2.현장'!$V$2:$V$1001,B30,'2.현장'!$T$2:$T$1001,TRUE)=0,"",_xlfn.MAXIFS('2.현장'!$M$2:$M$1001,'2.현장'!$V$2:$V$1001,B30,'2.현장'!$T$2:$T$1001,TRUE)))</f>
        <v/>
      </c>
      <c r="K30">
        <f>IF(B30="","",IFERROR(INDEX('2.현장'!$C$2:$C$1001,IFERROR(MATCH(B30&amp;"|설계사",'2.현장'!$Z$2:$Z$1001,0),IFERROR(MATCH(B30&amp;"|시공사",'2.현장'!$Z$2:$Z$1001,0),MATCH(B30&amp;"|늦음",'2.현장'!$Z$2:$Z$1001,0)))),""))</f>
        <v/>
      </c>
      <c r="L30">
        <f>IF(B30="","",IFERROR(INDEX('2.현장'!$N$2:$N$1001,IFERROR(MATCH(B30&amp;"|설계사",'2.현장'!$Z$2:$Z$1001,0),IFERROR(MATCH(B30&amp;"|시공사",'2.현장'!$Z$2:$Z$1001,0),MATCH(B30&amp;"|늦음",'2.현장'!$Z$2:$Z$1001,0)))),""))</f>
        <v/>
      </c>
      <c r="M30">
        <f>IF(B30="","",IFERROR(VLOOKUP(B30,업체_메모!$A$3:$I$302,2,FALSE)&amp;"",""))</f>
        <v/>
      </c>
      <c r="N30">
        <f>IF(B30="","",IFERROR(VLOOKUP(B30,업체_메모!$A$3:$I$302,4,FALSE)&amp;"",""))</f>
        <v/>
      </c>
      <c r="O30" s="7">
        <f>IF(B30="","",IF(COUNTIF('4.방문기록'!$B$3:$B$502,B30)=0,"",_xlfn.MAXIFS('4.방문기록'!$A$3:$A$502,'4.방문기록'!$B$3:$B$502,B30)))</f>
        <v/>
      </c>
      <c r="P30">
        <f>IF(O30="","",설정!$B$24-O30)</f>
        <v/>
      </c>
      <c r="Q30" s="7">
        <f>IF(B30="","",IF(_xlfn.MAXIFS('4.방문기록'!$F$3:$F$502,'4.방문기록'!$B$3:$B$502,B30)=0,"",_xlfn.MAXIFS('4.방문기록'!$F$3:$F$502,'4.방문기록'!$B$3:$B$502,B30)))</f>
        <v/>
      </c>
      <c r="R30">
        <f>IF(O30="","",IFERROR(INDEX('4.방문기록'!$H$3:$H$502,MATCH(B30&amp;"|"&amp;(O30*1),'4.방문기록'!$I$3:$I$502,0))&amp;"",""))</f>
        <v/>
      </c>
      <c r="S30">
        <f>IF(B30="","",IF(R30="관심 없음","제외",IF(O30="","안 가봄",IF(P30&gt;=설정!$B$20,P30&amp;"일 지남","최근 방문"))))</f>
        <v/>
      </c>
      <c r="T30" s="8">
        <f>IF(B30="","",IF(S30="제외","",IF(AND(설정!$B$21&lt;&gt;"",L30&lt;&gt;설정!$B$21),"",IF(AND(Q30&lt;&gt;"",Q30&gt;N(O30),Q30&lt;=설정!$B$24+7),설정!$B$39+7-(Q30-설정!$B$24),IF(AND(G30&gt;0,OR(S30="안 가봄",RIGHT(S30,2)="지남")),G30+IF(O30="",설정!$B$36,MIN(P30,60)*설정!$B$37)+MIN(N(H30)/1000*설정!$B$38,20),"")))))</f>
        <v/>
      </c>
      <c r="U30">
        <f>IF(T30="","",COUNTIF(T$4:T$303,"&gt;"&amp;T30)+COUNTIF(T$4:T30,T30))</f>
        <v/>
      </c>
    </row>
    <row r="31">
      <c r="A31">
        <f>IF(B31="","",28)</f>
        <v/>
      </c>
      <c r="B31">
        <f>IFERROR(INDEX('2.현장'!$V$2:$V$1001,MATCH(28,'2.현장'!$W$2:$W$1001,0)),"")</f>
        <v/>
      </c>
      <c r="C31">
        <f>IF(B31="","",COUNTIFS('2.현장'!$V$2:$V$1001,B31,'2.현장'!$T$2:$T$1001,TRUE))</f>
        <v/>
      </c>
      <c r="D31">
        <f>IF(B31="","",COUNTIFS('2.현장'!$V$2:$V$1001,B31,'2.현장'!$U$2:$U$1001,"설계사"))</f>
        <v/>
      </c>
      <c r="E31">
        <f>IF(B31="","",COUNTIFS('2.현장'!$V$2:$V$1001,B31,'2.현장'!$U$2:$U$1001,"시공사"))</f>
        <v/>
      </c>
      <c r="F31">
        <f>IF(B31="","",COUNTIFS('2.현장'!$V$2:$V$1001,B31,'2.현장'!$T$2:$T$1001,TRUE,'2.현장'!$AA$2:$AA$1001,"★"))</f>
        <v/>
      </c>
      <c r="G31" s="6">
        <f>IF(B31="","",SUMIFS('2.현장'!$AB$2:$AB$1001,'2.현장'!$V$2:$V$1001,B31,'2.현장'!$T$2:$T$1001,TRUE))</f>
        <v/>
      </c>
      <c r="H31" s="5">
        <f>IF(B31="","",_xlfn.MAXIFS('2.현장'!$D$2:$D$1001,'2.현장'!$V$2:$V$1001,B31,'2.현장'!$T$2:$T$1001,TRUE))</f>
        <v/>
      </c>
      <c r="I31" s="7">
        <f>IF(B31="","",IF(_xlfn.MAXIFS('2.현장'!$L$2:$L$1001,'2.현장'!$V$2:$V$1001,B31,'2.현장'!$T$2:$T$1001,TRUE)=0,"",_xlfn.MAXIFS('2.현장'!$L$2:$L$1001,'2.현장'!$V$2:$V$1001,B31,'2.현장'!$T$2:$T$1001,TRUE)))</f>
        <v/>
      </c>
      <c r="J31" s="7">
        <f>IF(B31="","",IF(_xlfn.MAXIFS('2.현장'!$M$2:$M$1001,'2.현장'!$V$2:$V$1001,B31,'2.현장'!$T$2:$T$1001,TRUE)=0,"",_xlfn.MAXIFS('2.현장'!$M$2:$M$1001,'2.현장'!$V$2:$V$1001,B31,'2.현장'!$T$2:$T$1001,TRUE)))</f>
        <v/>
      </c>
      <c r="K31">
        <f>IF(B31="","",IFERROR(INDEX('2.현장'!$C$2:$C$1001,IFERROR(MATCH(B31&amp;"|설계사",'2.현장'!$Z$2:$Z$1001,0),IFERROR(MATCH(B31&amp;"|시공사",'2.현장'!$Z$2:$Z$1001,0),MATCH(B31&amp;"|늦음",'2.현장'!$Z$2:$Z$1001,0)))),""))</f>
        <v/>
      </c>
      <c r="L31">
        <f>IF(B31="","",IFERROR(INDEX('2.현장'!$N$2:$N$1001,IFERROR(MATCH(B31&amp;"|설계사",'2.현장'!$Z$2:$Z$1001,0),IFERROR(MATCH(B31&amp;"|시공사",'2.현장'!$Z$2:$Z$1001,0),MATCH(B31&amp;"|늦음",'2.현장'!$Z$2:$Z$1001,0)))),""))</f>
        <v/>
      </c>
      <c r="M31">
        <f>IF(B31="","",IFERROR(VLOOKUP(B31,업체_메모!$A$3:$I$302,2,FALSE)&amp;"",""))</f>
        <v/>
      </c>
      <c r="N31">
        <f>IF(B31="","",IFERROR(VLOOKUP(B31,업체_메모!$A$3:$I$302,4,FALSE)&amp;"",""))</f>
        <v/>
      </c>
      <c r="O31" s="7">
        <f>IF(B31="","",IF(COUNTIF('4.방문기록'!$B$3:$B$502,B31)=0,"",_xlfn.MAXIFS('4.방문기록'!$A$3:$A$502,'4.방문기록'!$B$3:$B$502,B31)))</f>
        <v/>
      </c>
      <c r="P31">
        <f>IF(O31="","",설정!$B$24-O31)</f>
        <v/>
      </c>
      <c r="Q31" s="7">
        <f>IF(B31="","",IF(_xlfn.MAXIFS('4.방문기록'!$F$3:$F$502,'4.방문기록'!$B$3:$B$502,B31)=0,"",_xlfn.MAXIFS('4.방문기록'!$F$3:$F$502,'4.방문기록'!$B$3:$B$502,B31)))</f>
        <v/>
      </c>
      <c r="R31">
        <f>IF(O31="","",IFERROR(INDEX('4.방문기록'!$H$3:$H$502,MATCH(B31&amp;"|"&amp;(O31*1),'4.방문기록'!$I$3:$I$502,0))&amp;"",""))</f>
        <v/>
      </c>
      <c r="S31">
        <f>IF(B31="","",IF(R31="관심 없음","제외",IF(O31="","안 가봄",IF(P31&gt;=설정!$B$20,P31&amp;"일 지남","최근 방문"))))</f>
        <v/>
      </c>
      <c r="T31" s="8">
        <f>IF(B31="","",IF(S31="제외","",IF(AND(설정!$B$21&lt;&gt;"",L31&lt;&gt;설정!$B$21),"",IF(AND(Q31&lt;&gt;"",Q31&gt;N(O31),Q31&lt;=설정!$B$24+7),설정!$B$39+7-(Q31-설정!$B$24),IF(AND(G31&gt;0,OR(S31="안 가봄",RIGHT(S31,2)="지남")),G31+IF(O31="",설정!$B$36,MIN(P31,60)*설정!$B$37)+MIN(N(H31)/1000*설정!$B$38,20),"")))))</f>
        <v/>
      </c>
      <c r="U31">
        <f>IF(T31="","",COUNTIF(T$4:T$303,"&gt;"&amp;T31)+COUNTIF(T$4:T31,T31))</f>
        <v/>
      </c>
    </row>
    <row r="32">
      <c r="A32">
        <f>IF(B32="","",29)</f>
        <v/>
      </c>
      <c r="B32">
        <f>IFERROR(INDEX('2.현장'!$V$2:$V$1001,MATCH(29,'2.현장'!$W$2:$W$1001,0)),"")</f>
        <v/>
      </c>
      <c r="C32">
        <f>IF(B32="","",COUNTIFS('2.현장'!$V$2:$V$1001,B32,'2.현장'!$T$2:$T$1001,TRUE))</f>
        <v/>
      </c>
      <c r="D32">
        <f>IF(B32="","",COUNTIFS('2.현장'!$V$2:$V$1001,B32,'2.현장'!$U$2:$U$1001,"설계사"))</f>
        <v/>
      </c>
      <c r="E32">
        <f>IF(B32="","",COUNTIFS('2.현장'!$V$2:$V$1001,B32,'2.현장'!$U$2:$U$1001,"시공사"))</f>
        <v/>
      </c>
      <c r="F32">
        <f>IF(B32="","",COUNTIFS('2.현장'!$V$2:$V$1001,B32,'2.현장'!$T$2:$T$1001,TRUE,'2.현장'!$AA$2:$AA$1001,"★"))</f>
        <v/>
      </c>
      <c r="G32" s="6">
        <f>IF(B32="","",SUMIFS('2.현장'!$AB$2:$AB$1001,'2.현장'!$V$2:$V$1001,B32,'2.현장'!$T$2:$T$1001,TRUE))</f>
        <v/>
      </c>
      <c r="H32" s="5">
        <f>IF(B32="","",_xlfn.MAXIFS('2.현장'!$D$2:$D$1001,'2.현장'!$V$2:$V$1001,B32,'2.현장'!$T$2:$T$1001,TRUE))</f>
        <v/>
      </c>
      <c r="I32" s="7">
        <f>IF(B32="","",IF(_xlfn.MAXIFS('2.현장'!$L$2:$L$1001,'2.현장'!$V$2:$V$1001,B32,'2.현장'!$T$2:$T$1001,TRUE)=0,"",_xlfn.MAXIFS('2.현장'!$L$2:$L$1001,'2.현장'!$V$2:$V$1001,B32,'2.현장'!$T$2:$T$1001,TRUE)))</f>
        <v/>
      </c>
      <c r="J32" s="7">
        <f>IF(B32="","",IF(_xlfn.MAXIFS('2.현장'!$M$2:$M$1001,'2.현장'!$V$2:$V$1001,B32,'2.현장'!$T$2:$T$1001,TRUE)=0,"",_xlfn.MAXIFS('2.현장'!$M$2:$M$1001,'2.현장'!$V$2:$V$1001,B32,'2.현장'!$T$2:$T$1001,TRUE)))</f>
        <v/>
      </c>
      <c r="K32">
        <f>IF(B32="","",IFERROR(INDEX('2.현장'!$C$2:$C$1001,IFERROR(MATCH(B32&amp;"|설계사",'2.현장'!$Z$2:$Z$1001,0),IFERROR(MATCH(B32&amp;"|시공사",'2.현장'!$Z$2:$Z$1001,0),MATCH(B32&amp;"|늦음",'2.현장'!$Z$2:$Z$1001,0)))),""))</f>
        <v/>
      </c>
      <c r="L32">
        <f>IF(B32="","",IFERROR(INDEX('2.현장'!$N$2:$N$1001,IFERROR(MATCH(B32&amp;"|설계사",'2.현장'!$Z$2:$Z$1001,0),IFERROR(MATCH(B32&amp;"|시공사",'2.현장'!$Z$2:$Z$1001,0),MATCH(B32&amp;"|늦음",'2.현장'!$Z$2:$Z$1001,0)))),""))</f>
        <v/>
      </c>
      <c r="M32">
        <f>IF(B32="","",IFERROR(VLOOKUP(B32,업체_메모!$A$3:$I$302,2,FALSE)&amp;"",""))</f>
        <v/>
      </c>
      <c r="N32">
        <f>IF(B32="","",IFERROR(VLOOKUP(B32,업체_메모!$A$3:$I$302,4,FALSE)&amp;"",""))</f>
        <v/>
      </c>
      <c r="O32" s="7">
        <f>IF(B32="","",IF(COUNTIF('4.방문기록'!$B$3:$B$502,B32)=0,"",_xlfn.MAXIFS('4.방문기록'!$A$3:$A$502,'4.방문기록'!$B$3:$B$502,B32)))</f>
        <v/>
      </c>
      <c r="P32">
        <f>IF(O32="","",설정!$B$24-O32)</f>
        <v/>
      </c>
      <c r="Q32" s="7">
        <f>IF(B32="","",IF(_xlfn.MAXIFS('4.방문기록'!$F$3:$F$502,'4.방문기록'!$B$3:$B$502,B32)=0,"",_xlfn.MAXIFS('4.방문기록'!$F$3:$F$502,'4.방문기록'!$B$3:$B$502,B32)))</f>
        <v/>
      </c>
      <c r="R32">
        <f>IF(O32="","",IFERROR(INDEX('4.방문기록'!$H$3:$H$502,MATCH(B32&amp;"|"&amp;(O32*1),'4.방문기록'!$I$3:$I$502,0))&amp;"",""))</f>
        <v/>
      </c>
      <c r="S32">
        <f>IF(B32="","",IF(R32="관심 없음","제외",IF(O32="","안 가봄",IF(P32&gt;=설정!$B$20,P32&amp;"일 지남","최근 방문"))))</f>
        <v/>
      </c>
      <c r="T32" s="8">
        <f>IF(B32="","",IF(S32="제외","",IF(AND(설정!$B$21&lt;&gt;"",L32&lt;&gt;설정!$B$21),"",IF(AND(Q32&lt;&gt;"",Q32&gt;N(O32),Q32&lt;=설정!$B$24+7),설정!$B$39+7-(Q32-설정!$B$24),IF(AND(G32&gt;0,OR(S32="안 가봄",RIGHT(S32,2)="지남")),G32+IF(O32="",설정!$B$36,MIN(P32,60)*설정!$B$37)+MIN(N(H32)/1000*설정!$B$38,20),"")))))</f>
        <v/>
      </c>
      <c r="U32">
        <f>IF(T32="","",COUNTIF(T$4:T$303,"&gt;"&amp;T32)+COUNTIF(T$4:T32,T32))</f>
        <v/>
      </c>
    </row>
    <row r="33">
      <c r="A33">
        <f>IF(B33="","",30)</f>
        <v/>
      </c>
      <c r="B33">
        <f>IFERROR(INDEX('2.현장'!$V$2:$V$1001,MATCH(30,'2.현장'!$W$2:$W$1001,0)),"")</f>
        <v/>
      </c>
      <c r="C33">
        <f>IF(B33="","",COUNTIFS('2.현장'!$V$2:$V$1001,B33,'2.현장'!$T$2:$T$1001,TRUE))</f>
        <v/>
      </c>
      <c r="D33">
        <f>IF(B33="","",COUNTIFS('2.현장'!$V$2:$V$1001,B33,'2.현장'!$U$2:$U$1001,"설계사"))</f>
        <v/>
      </c>
      <c r="E33">
        <f>IF(B33="","",COUNTIFS('2.현장'!$V$2:$V$1001,B33,'2.현장'!$U$2:$U$1001,"시공사"))</f>
        <v/>
      </c>
      <c r="F33">
        <f>IF(B33="","",COUNTIFS('2.현장'!$V$2:$V$1001,B33,'2.현장'!$T$2:$T$1001,TRUE,'2.현장'!$AA$2:$AA$1001,"★"))</f>
        <v/>
      </c>
      <c r="G33" s="6">
        <f>IF(B33="","",SUMIFS('2.현장'!$AB$2:$AB$1001,'2.현장'!$V$2:$V$1001,B33,'2.현장'!$T$2:$T$1001,TRUE))</f>
        <v/>
      </c>
      <c r="H33" s="5">
        <f>IF(B33="","",_xlfn.MAXIFS('2.현장'!$D$2:$D$1001,'2.현장'!$V$2:$V$1001,B33,'2.현장'!$T$2:$T$1001,TRUE))</f>
        <v/>
      </c>
      <c r="I33" s="7">
        <f>IF(B33="","",IF(_xlfn.MAXIFS('2.현장'!$L$2:$L$1001,'2.현장'!$V$2:$V$1001,B33,'2.현장'!$T$2:$T$1001,TRUE)=0,"",_xlfn.MAXIFS('2.현장'!$L$2:$L$1001,'2.현장'!$V$2:$V$1001,B33,'2.현장'!$T$2:$T$1001,TRUE)))</f>
        <v/>
      </c>
      <c r="J33" s="7">
        <f>IF(B33="","",IF(_xlfn.MAXIFS('2.현장'!$M$2:$M$1001,'2.현장'!$V$2:$V$1001,B33,'2.현장'!$T$2:$T$1001,TRUE)=0,"",_xlfn.MAXIFS('2.현장'!$M$2:$M$1001,'2.현장'!$V$2:$V$1001,B33,'2.현장'!$T$2:$T$1001,TRUE)))</f>
        <v/>
      </c>
      <c r="K33">
        <f>IF(B33="","",IFERROR(INDEX('2.현장'!$C$2:$C$1001,IFERROR(MATCH(B33&amp;"|설계사",'2.현장'!$Z$2:$Z$1001,0),IFERROR(MATCH(B33&amp;"|시공사",'2.현장'!$Z$2:$Z$1001,0),MATCH(B33&amp;"|늦음",'2.현장'!$Z$2:$Z$1001,0)))),""))</f>
        <v/>
      </c>
      <c r="L33">
        <f>IF(B33="","",IFERROR(INDEX('2.현장'!$N$2:$N$1001,IFERROR(MATCH(B33&amp;"|설계사",'2.현장'!$Z$2:$Z$1001,0),IFERROR(MATCH(B33&amp;"|시공사",'2.현장'!$Z$2:$Z$1001,0),MATCH(B33&amp;"|늦음",'2.현장'!$Z$2:$Z$1001,0)))),""))</f>
        <v/>
      </c>
      <c r="M33">
        <f>IF(B33="","",IFERROR(VLOOKUP(B33,업체_메모!$A$3:$I$302,2,FALSE)&amp;"",""))</f>
        <v/>
      </c>
      <c r="N33">
        <f>IF(B33="","",IFERROR(VLOOKUP(B33,업체_메모!$A$3:$I$302,4,FALSE)&amp;"",""))</f>
        <v/>
      </c>
      <c r="O33" s="7">
        <f>IF(B33="","",IF(COUNTIF('4.방문기록'!$B$3:$B$502,B33)=0,"",_xlfn.MAXIFS('4.방문기록'!$A$3:$A$502,'4.방문기록'!$B$3:$B$502,B33)))</f>
        <v/>
      </c>
      <c r="P33">
        <f>IF(O33="","",설정!$B$24-O33)</f>
        <v/>
      </c>
      <c r="Q33" s="7">
        <f>IF(B33="","",IF(_xlfn.MAXIFS('4.방문기록'!$F$3:$F$502,'4.방문기록'!$B$3:$B$502,B33)=0,"",_xlfn.MAXIFS('4.방문기록'!$F$3:$F$502,'4.방문기록'!$B$3:$B$502,B33)))</f>
        <v/>
      </c>
      <c r="R33">
        <f>IF(O33="","",IFERROR(INDEX('4.방문기록'!$H$3:$H$502,MATCH(B33&amp;"|"&amp;(O33*1),'4.방문기록'!$I$3:$I$502,0))&amp;"",""))</f>
        <v/>
      </c>
      <c r="S33">
        <f>IF(B33="","",IF(R33="관심 없음","제외",IF(O33="","안 가봄",IF(P33&gt;=설정!$B$20,P33&amp;"일 지남","최근 방문"))))</f>
        <v/>
      </c>
      <c r="T33" s="8">
        <f>IF(B33="","",IF(S33="제외","",IF(AND(설정!$B$21&lt;&gt;"",L33&lt;&gt;설정!$B$21),"",IF(AND(Q33&lt;&gt;"",Q33&gt;N(O33),Q33&lt;=설정!$B$24+7),설정!$B$39+7-(Q33-설정!$B$24),IF(AND(G33&gt;0,OR(S33="안 가봄",RIGHT(S33,2)="지남")),G33+IF(O33="",설정!$B$36,MIN(P33,60)*설정!$B$37)+MIN(N(H33)/1000*설정!$B$38,20),"")))))</f>
        <v/>
      </c>
      <c r="U33">
        <f>IF(T33="","",COUNTIF(T$4:T$303,"&gt;"&amp;T33)+COUNTIF(T$4:T33,T33))</f>
        <v/>
      </c>
    </row>
    <row r="34">
      <c r="A34">
        <f>IF(B34="","",31)</f>
        <v/>
      </c>
      <c r="B34">
        <f>IFERROR(INDEX('2.현장'!$V$2:$V$1001,MATCH(31,'2.현장'!$W$2:$W$1001,0)),"")</f>
        <v/>
      </c>
      <c r="C34">
        <f>IF(B34="","",COUNTIFS('2.현장'!$V$2:$V$1001,B34,'2.현장'!$T$2:$T$1001,TRUE))</f>
        <v/>
      </c>
      <c r="D34">
        <f>IF(B34="","",COUNTIFS('2.현장'!$V$2:$V$1001,B34,'2.현장'!$U$2:$U$1001,"설계사"))</f>
        <v/>
      </c>
      <c r="E34">
        <f>IF(B34="","",COUNTIFS('2.현장'!$V$2:$V$1001,B34,'2.현장'!$U$2:$U$1001,"시공사"))</f>
        <v/>
      </c>
      <c r="F34">
        <f>IF(B34="","",COUNTIFS('2.현장'!$V$2:$V$1001,B34,'2.현장'!$T$2:$T$1001,TRUE,'2.현장'!$AA$2:$AA$1001,"★"))</f>
        <v/>
      </c>
      <c r="G34" s="6">
        <f>IF(B34="","",SUMIFS('2.현장'!$AB$2:$AB$1001,'2.현장'!$V$2:$V$1001,B34,'2.현장'!$T$2:$T$1001,TRUE))</f>
        <v/>
      </c>
      <c r="H34" s="5">
        <f>IF(B34="","",_xlfn.MAXIFS('2.현장'!$D$2:$D$1001,'2.현장'!$V$2:$V$1001,B34,'2.현장'!$T$2:$T$1001,TRUE))</f>
        <v/>
      </c>
      <c r="I34" s="7">
        <f>IF(B34="","",IF(_xlfn.MAXIFS('2.현장'!$L$2:$L$1001,'2.현장'!$V$2:$V$1001,B34,'2.현장'!$T$2:$T$1001,TRUE)=0,"",_xlfn.MAXIFS('2.현장'!$L$2:$L$1001,'2.현장'!$V$2:$V$1001,B34,'2.현장'!$T$2:$T$1001,TRUE)))</f>
        <v/>
      </c>
      <c r="J34" s="7">
        <f>IF(B34="","",IF(_xlfn.MAXIFS('2.현장'!$M$2:$M$1001,'2.현장'!$V$2:$V$1001,B34,'2.현장'!$T$2:$T$1001,TRUE)=0,"",_xlfn.MAXIFS('2.현장'!$M$2:$M$1001,'2.현장'!$V$2:$V$1001,B34,'2.현장'!$T$2:$T$1001,TRUE)))</f>
        <v/>
      </c>
      <c r="K34">
        <f>IF(B34="","",IFERROR(INDEX('2.현장'!$C$2:$C$1001,IFERROR(MATCH(B34&amp;"|설계사",'2.현장'!$Z$2:$Z$1001,0),IFERROR(MATCH(B34&amp;"|시공사",'2.현장'!$Z$2:$Z$1001,0),MATCH(B34&amp;"|늦음",'2.현장'!$Z$2:$Z$1001,0)))),""))</f>
        <v/>
      </c>
      <c r="L34">
        <f>IF(B34="","",IFERROR(INDEX('2.현장'!$N$2:$N$1001,IFERROR(MATCH(B34&amp;"|설계사",'2.현장'!$Z$2:$Z$1001,0),IFERROR(MATCH(B34&amp;"|시공사",'2.현장'!$Z$2:$Z$1001,0),MATCH(B34&amp;"|늦음",'2.현장'!$Z$2:$Z$1001,0)))),""))</f>
        <v/>
      </c>
      <c r="M34">
        <f>IF(B34="","",IFERROR(VLOOKUP(B34,업체_메모!$A$3:$I$302,2,FALSE)&amp;"",""))</f>
        <v/>
      </c>
      <c r="N34">
        <f>IF(B34="","",IFERROR(VLOOKUP(B34,업체_메모!$A$3:$I$302,4,FALSE)&amp;"",""))</f>
        <v/>
      </c>
      <c r="O34" s="7">
        <f>IF(B34="","",IF(COUNTIF('4.방문기록'!$B$3:$B$502,B34)=0,"",_xlfn.MAXIFS('4.방문기록'!$A$3:$A$502,'4.방문기록'!$B$3:$B$502,B34)))</f>
        <v/>
      </c>
      <c r="P34">
        <f>IF(O34="","",설정!$B$24-O34)</f>
        <v/>
      </c>
      <c r="Q34" s="7">
        <f>IF(B34="","",IF(_xlfn.MAXIFS('4.방문기록'!$F$3:$F$502,'4.방문기록'!$B$3:$B$502,B34)=0,"",_xlfn.MAXIFS('4.방문기록'!$F$3:$F$502,'4.방문기록'!$B$3:$B$502,B34)))</f>
        <v/>
      </c>
      <c r="R34">
        <f>IF(O34="","",IFERROR(INDEX('4.방문기록'!$H$3:$H$502,MATCH(B34&amp;"|"&amp;(O34*1),'4.방문기록'!$I$3:$I$502,0))&amp;"",""))</f>
        <v/>
      </c>
      <c r="S34">
        <f>IF(B34="","",IF(R34="관심 없음","제외",IF(O34="","안 가봄",IF(P34&gt;=설정!$B$20,P34&amp;"일 지남","최근 방문"))))</f>
        <v/>
      </c>
      <c r="T34" s="8">
        <f>IF(B34="","",IF(S34="제외","",IF(AND(설정!$B$21&lt;&gt;"",L34&lt;&gt;설정!$B$21),"",IF(AND(Q34&lt;&gt;"",Q34&gt;N(O34),Q34&lt;=설정!$B$24+7),설정!$B$39+7-(Q34-설정!$B$24),IF(AND(G34&gt;0,OR(S34="안 가봄",RIGHT(S34,2)="지남")),G34+IF(O34="",설정!$B$36,MIN(P34,60)*설정!$B$37)+MIN(N(H34)/1000*설정!$B$38,20),"")))))</f>
        <v/>
      </c>
      <c r="U34">
        <f>IF(T34="","",COUNTIF(T$4:T$303,"&gt;"&amp;T34)+COUNTIF(T$4:T34,T34))</f>
        <v/>
      </c>
    </row>
    <row r="35">
      <c r="A35">
        <f>IF(B35="","",32)</f>
        <v/>
      </c>
      <c r="B35">
        <f>IFERROR(INDEX('2.현장'!$V$2:$V$1001,MATCH(32,'2.현장'!$W$2:$W$1001,0)),"")</f>
        <v/>
      </c>
      <c r="C35">
        <f>IF(B35="","",COUNTIFS('2.현장'!$V$2:$V$1001,B35,'2.현장'!$T$2:$T$1001,TRUE))</f>
        <v/>
      </c>
      <c r="D35">
        <f>IF(B35="","",COUNTIFS('2.현장'!$V$2:$V$1001,B35,'2.현장'!$U$2:$U$1001,"설계사"))</f>
        <v/>
      </c>
      <c r="E35">
        <f>IF(B35="","",COUNTIFS('2.현장'!$V$2:$V$1001,B35,'2.현장'!$U$2:$U$1001,"시공사"))</f>
        <v/>
      </c>
      <c r="F35">
        <f>IF(B35="","",COUNTIFS('2.현장'!$V$2:$V$1001,B35,'2.현장'!$T$2:$T$1001,TRUE,'2.현장'!$AA$2:$AA$1001,"★"))</f>
        <v/>
      </c>
      <c r="G35" s="6">
        <f>IF(B35="","",SUMIFS('2.현장'!$AB$2:$AB$1001,'2.현장'!$V$2:$V$1001,B35,'2.현장'!$T$2:$T$1001,TRUE))</f>
        <v/>
      </c>
      <c r="H35" s="5">
        <f>IF(B35="","",_xlfn.MAXIFS('2.현장'!$D$2:$D$1001,'2.현장'!$V$2:$V$1001,B35,'2.현장'!$T$2:$T$1001,TRUE))</f>
        <v/>
      </c>
      <c r="I35" s="7">
        <f>IF(B35="","",IF(_xlfn.MAXIFS('2.현장'!$L$2:$L$1001,'2.현장'!$V$2:$V$1001,B35,'2.현장'!$T$2:$T$1001,TRUE)=0,"",_xlfn.MAXIFS('2.현장'!$L$2:$L$1001,'2.현장'!$V$2:$V$1001,B35,'2.현장'!$T$2:$T$1001,TRUE)))</f>
        <v/>
      </c>
      <c r="J35" s="7">
        <f>IF(B35="","",IF(_xlfn.MAXIFS('2.현장'!$M$2:$M$1001,'2.현장'!$V$2:$V$1001,B35,'2.현장'!$T$2:$T$1001,TRUE)=0,"",_xlfn.MAXIFS('2.현장'!$M$2:$M$1001,'2.현장'!$V$2:$V$1001,B35,'2.현장'!$T$2:$T$1001,TRUE)))</f>
        <v/>
      </c>
      <c r="K35">
        <f>IF(B35="","",IFERROR(INDEX('2.현장'!$C$2:$C$1001,IFERROR(MATCH(B35&amp;"|설계사",'2.현장'!$Z$2:$Z$1001,0),IFERROR(MATCH(B35&amp;"|시공사",'2.현장'!$Z$2:$Z$1001,0),MATCH(B35&amp;"|늦음",'2.현장'!$Z$2:$Z$1001,0)))),""))</f>
        <v/>
      </c>
      <c r="L35">
        <f>IF(B35="","",IFERROR(INDEX('2.현장'!$N$2:$N$1001,IFERROR(MATCH(B35&amp;"|설계사",'2.현장'!$Z$2:$Z$1001,0),IFERROR(MATCH(B35&amp;"|시공사",'2.현장'!$Z$2:$Z$1001,0),MATCH(B35&amp;"|늦음",'2.현장'!$Z$2:$Z$1001,0)))),""))</f>
        <v/>
      </c>
      <c r="M35">
        <f>IF(B35="","",IFERROR(VLOOKUP(B35,업체_메모!$A$3:$I$302,2,FALSE)&amp;"",""))</f>
        <v/>
      </c>
      <c r="N35">
        <f>IF(B35="","",IFERROR(VLOOKUP(B35,업체_메모!$A$3:$I$302,4,FALSE)&amp;"",""))</f>
        <v/>
      </c>
      <c r="O35" s="7">
        <f>IF(B35="","",IF(COUNTIF('4.방문기록'!$B$3:$B$502,B35)=0,"",_xlfn.MAXIFS('4.방문기록'!$A$3:$A$502,'4.방문기록'!$B$3:$B$502,B35)))</f>
        <v/>
      </c>
      <c r="P35">
        <f>IF(O35="","",설정!$B$24-O35)</f>
        <v/>
      </c>
      <c r="Q35" s="7">
        <f>IF(B35="","",IF(_xlfn.MAXIFS('4.방문기록'!$F$3:$F$502,'4.방문기록'!$B$3:$B$502,B35)=0,"",_xlfn.MAXIFS('4.방문기록'!$F$3:$F$502,'4.방문기록'!$B$3:$B$502,B35)))</f>
        <v/>
      </c>
      <c r="R35">
        <f>IF(O35="","",IFERROR(INDEX('4.방문기록'!$H$3:$H$502,MATCH(B35&amp;"|"&amp;(O35*1),'4.방문기록'!$I$3:$I$502,0))&amp;"",""))</f>
        <v/>
      </c>
      <c r="S35">
        <f>IF(B35="","",IF(R35="관심 없음","제외",IF(O35="","안 가봄",IF(P35&gt;=설정!$B$20,P35&amp;"일 지남","최근 방문"))))</f>
        <v/>
      </c>
      <c r="T35" s="8">
        <f>IF(B35="","",IF(S35="제외","",IF(AND(설정!$B$21&lt;&gt;"",L35&lt;&gt;설정!$B$21),"",IF(AND(Q35&lt;&gt;"",Q35&gt;N(O35),Q35&lt;=설정!$B$24+7),설정!$B$39+7-(Q35-설정!$B$24),IF(AND(G35&gt;0,OR(S35="안 가봄",RIGHT(S35,2)="지남")),G35+IF(O35="",설정!$B$36,MIN(P35,60)*설정!$B$37)+MIN(N(H35)/1000*설정!$B$38,20),"")))))</f>
        <v/>
      </c>
      <c r="U35">
        <f>IF(T35="","",COUNTIF(T$4:T$303,"&gt;"&amp;T35)+COUNTIF(T$4:T35,T35))</f>
        <v/>
      </c>
    </row>
    <row r="36">
      <c r="A36">
        <f>IF(B36="","",33)</f>
        <v/>
      </c>
      <c r="B36">
        <f>IFERROR(INDEX('2.현장'!$V$2:$V$1001,MATCH(33,'2.현장'!$W$2:$W$1001,0)),"")</f>
        <v/>
      </c>
      <c r="C36">
        <f>IF(B36="","",COUNTIFS('2.현장'!$V$2:$V$1001,B36,'2.현장'!$T$2:$T$1001,TRUE))</f>
        <v/>
      </c>
      <c r="D36">
        <f>IF(B36="","",COUNTIFS('2.현장'!$V$2:$V$1001,B36,'2.현장'!$U$2:$U$1001,"설계사"))</f>
        <v/>
      </c>
      <c r="E36">
        <f>IF(B36="","",COUNTIFS('2.현장'!$V$2:$V$1001,B36,'2.현장'!$U$2:$U$1001,"시공사"))</f>
        <v/>
      </c>
      <c r="F36">
        <f>IF(B36="","",COUNTIFS('2.현장'!$V$2:$V$1001,B36,'2.현장'!$T$2:$T$1001,TRUE,'2.현장'!$AA$2:$AA$1001,"★"))</f>
        <v/>
      </c>
      <c r="G36" s="6">
        <f>IF(B36="","",SUMIFS('2.현장'!$AB$2:$AB$1001,'2.현장'!$V$2:$V$1001,B36,'2.현장'!$T$2:$T$1001,TRUE))</f>
        <v/>
      </c>
      <c r="H36" s="5">
        <f>IF(B36="","",_xlfn.MAXIFS('2.현장'!$D$2:$D$1001,'2.현장'!$V$2:$V$1001,B36,'2.현장'!$T$2:$T$1001,TRUE))</f>
        <v/>
      </c>
      <c r="I36" s="7">
        <f>IF(B36="","",IF(_xlfn.MAXIFS('2.현장'!$L$2:$L$1001,'2.현장'!$V$2:$V$1001,B36,'2.현장'!$T$2:$T$1001,TRUE)=0,"",_xlfn.MAXIFS('2.현장'!$L$2:$L$1001,'2.현장'!$V$2:$V$1001,B36,'2.현장'!$T$2:$T$1001,TRUE)))</f>
        <v/>
      </c>
      <c r="J36" s="7">
        <f>IF(B36="","",IF(_xlfn.MAXIFS('2.현장'!$M$2:$M$1001,'2.현장'!$V$2:$V$1001,B36,'2.현장'!$T$2:$T$1001,TRUE)=0,"",_xlfn.MAXIFS('2.현장'!$M$2:$M$1001,'2.현장'!$V$2:$V$1001,B36,'2.현장'!$T$2:$T$1001,TRUE)))</f>
        <v/>
      </c>
      <c r="K36">
        <f>IF(B36="","",IFERROR(INDEX('2.현장'!$C$2:$C$1001,IFERROR(MATCH(B36&amp;"|설계사",'2.현장'!$Z$2:$Z$1001,0),IFERROR(MATCH(B36&amp;"|시공사",'2.현장'!$Z$2:$Z$1001,0),MATCH(B36&amp;"|늦음",'2.현장'!$Z$2:$Z$1001,0)))),""))</f>
        <v/>
      </c>
      <c r="L36">
        <f>IF(B36="","",IFERROR(INDEX('2.현장'!$N$2:$N$1001,IFERROR(MATCH(B36&amp;"|설계사",'2.현장'!$Z$2:$Z$1001,0),IFERROR(MATCH(B36&amp;"|시공사",'2.현장'!$Z$2:$Z$1001,0),MATCH(B36&amp;"|늦음",'2.현장'!$Z$2:$Z$1001,0)))),""))</f>
        <v/>
      </c>
      <c r="M36">
        <f>IF(B36="","",IFERROR(VLOOKUP(B36,업체_메모!$A$3:$I$302,2,FALSE)&amp;"",""))</f>
        <v/>
      </c>
      <c r="N36">
        <f>IF(B36="","",IFERROR(VLOOKUP(B36,업체_메모!$A$3:$I$302,4,FALSE)&amp;"",""))</f>
        <v/>
      </c>
      <c r="O36" s="7">
        <f>IF(B36="","",IF(COUNTIF('4.방문기록'!$B$3:$B$502,B36)=0,"",_xlfn.MAXIFS('4.방문기록'!$A$3:$A$502,'4.방문기록'!$B$3:$B$502,B36)))</f>
        <v/>
      </c>
      <c r="P36">
        <f>IF(O36="","",설정!$B$24-O36)</f>
        <v/>
      </c>
      <c r="Q36" s="7">
        <f>IF(B36="","",IF(_xlfn.MAXIFS('4.방문기록'!$F$3:$F$502,'4.방문기록'!$B$3:$B$502,B36)=0,"",_xlfn.MAXIFS('4.방문기록'!$F$3:$F$502,'4.방문기록'!$B$3:$B$502,B36)))</f>
        <v/>
      </c>
      <c r="R36">
        <f>IF(O36="","",IFERROR(INDEX('4.방문기록'!$H$3:$H$502,MATCH(B36&amp;"|"&amp;(O36*1),'4.방문기록'!$I$3:$I$502,0))&amp;"",""))</f>
        <v/>
      </c>
      <c r="S36">
        <f>IF(B36="","",IF(R36="관심 없음","제외",IF(O36="","안 가봄",IF(P36&gt;=설정!$B$20,P36&amp;"일 지남","최근 방문"))))</f>
        <v/>
      </c>
      <c r="T36" s="8">
        <f>IF(B36="","",IF(S36="제외","",IF(AND(설정!$B$21&lt;&gt;"",L36&lt;&gt;설정!$B$21),"",IF(AND(Q36&lt;&gt;"",Q36&gt;N(O36),Q36&lt;=설정!$B$24+7),설정!$B$39+7-(Q36-설정!$B$24),IF(AND(G36&gt;0,OR(S36="안 가봄",RIGHT(S36,2)="지남")),G36+IF(O36="",설정!$B$36,MIN(P36,60)*설정!$B$37)+MIN(N(H36)/1000*설정!$B$38,20),"")))))</f>
        <v/>
      </c>
      <c r="U36">
        <f>IF(T36="","",COUNTIF(T$4:T$303,"&gt;"&amp;T36)+COUNTIF(T$4:T36,T36))</f>
        <v/>
      </c>
    </row>
    <row r="37">
      <c r="A37">
        <f>IF(B37="","",34)</f>
        <v/>
      </c>
      <c r="B37">
        <f>IFERROR(INDEX('2.현장'!$V$2:$V$1001,MATCH(34,'2.현장'!$W$2:$W$1001,0)),"")</f>
        <v/>
      </c>
      <c r="C37">
        <f>IF(B37="","",COUNTIFS('2.현장'!$V$2:$V$1001,B37,'2.현장'!$T$2:$T$1001,TRUE))</f>
        <v/>
      </c>
      <c r="D37">
        <f>IF(B37="","",COUNTIFS('2.현장'!$V$2:$V$1001,B37,'2.현장'!$U$2:$U$1001,"설계사"))</f>
        <v/>
      </c>
      <c r="E37">
        <f>IF(B37="","",COUNTIFS('2.현장'!$V$2:$V$1001,B37,'2.현장'!$U$2:$U$1001,"시공사"))</f>
        <v/>
      </c>
      <c r="F37">
        <f>IF(B37="","",COUNTIFS('2.현장'!$V$2:$V$1001,B37,'2.현장'!$T$2:$T$1001,TRUE,'2.현장'!$AA$2:$AA$1001,"★"))</f>
        <v/>
      </c>
      <c r="G37" s="6">
        <f>IF(B37="","",SUMIFS('2.현장'!$AB$2:$AB$1001,'2.현장'!$V$2:$V$1001,B37,'2.현장'!$T$2:$T$1001,TRUE))</f>
        <v/>
      </c>
      <c r="H37" s="5">
        <f>IF(B37="","",_xlfn.MAXIFS('2.현장'!$D$2:$D$1001,'2.현장'!$V$2:$V$1001,B37,'2.현장'!$T$2:$T$1001,TRUE))</f>
        <v/>
      </c>
      <c r="I37" s="7">
        <f>IF(B37="","",IF(_xlfn.MAXIFS('2.현장'!$L$2:$L$1001,'2.현장'!$V$2:$V$1001,B37,'2.현장'!$T$2:$T$1001,TRUE)=0,"",_xlfn.MAXIFS('2.현장'!$L$2:$L$1001,'2.현장'!$V$2:$V$1001,B37,'2.현장'!$T$2:$T$1001,TRUE)))</f>
        <v/>
      </c>
      <c r="J37" s="7">
        <f>IF(B37="","",IF(_xlfn.MAXIFS('2.현장'!$M$2:$M$1001,'2.현장'!$V$2:$V$1001,B37,'2.현장'!$T$2:$T$1001,TRUE)=0,"",_xlfn.MAXIFS('2.현장'!$M$2:$M$1001,'2.현장'!$V$2:$V$1001,B37,'2.현장'!$T$2:$T$1001,TRUE)))</f>
        <v/>
      </c>
      <c r="K37">
        <f>IF(B37="","",IFERROR(INDEX('2.현장'!$C$2:$C$1001,IFERROR(MATCH(B37&amp;"|설계사",'2.현장'!$Z$2:$Z$1001,0),IFERROR(MATCH(B37&amp;"|시공사",'2.현장'!$Z$2:$Z$1001,0),MATCH(B37&amp;"|늦음",'2.현장'!$Z$2:$Z$1001,0)))),""))</f>
        <v/>
      </c>
      <c r="L37">
        <f>IF(B37="","",IFERROR(INDEX('2.현장'!$N$2:$N$1001,IFERROR(MATCH(B37&amp;"|설계사",'2.현장'!$Z$2:$Z$1001,0),IFERROR(MATCH(B37&amp;"|시공사",'2.현장'!$Z$2:$Z$1001,0),MATCH(B37&amp;"|늦음",'2.현장'!$Z$2:$Z$1001,0)))),""))</f>
        <v/>
      </c>
      <c r="M37">
        <f>IF(B37="","",IFERROR(VLOOKUP(B37,업체_메모!$A$3:$I$302,2,FALSE)&amp;"",""))</f>
        <v/>
      </c>
      <c r="N37">
        <f>IF(B37="","",IFERROR(VLOOKUP(B37,업체_메모!$A$3:$I$302,4,FALSE)&amp;"",""))</f>
        <v/>
      </c>
      <c r="O37" s="7">
        <f>IF(B37="","",IF(COUNTIF('4.방문기록'!$B$3:$B$502,B37)=0,"",_xlfn.MAXIFS('4.방문기록'!$A$3:$A$502,'4.방문기록'!$B$3:$B$502,B37)))</f>
        <v/>
      </c>
      <c r="P37">
        <f>IF(O37="","",설정!$B$24-O37)</f>
        <v/>
      </c>
      <c r="Q37" s="7">
        <f>IF(B37="","",IF(_xlfn.MAXIFS('4.방문기록'!$F$3:$F$502,'4.방문기록'!$B$3:$B$502,B37)=0,"",_xlfn.MAXIFS('4.방문기록'!$F$3:$F$502,'4.방문기록'!$B$3:$B$502,B37)))</f>
        <v/>
      </c>
      <c r="R37">
        <f>IF(O37="","",IFERROR(INDEX('4.방문기록'!$H$3:$H$502,MATCH(B37&amp;"|"&amp;(O37*1),'4.방문기록'!$I$3:$I$502,0))&amp;"",""))</f>
        <v/>
      </c>
      <c r="S37">
        <f>IF(B37="","",IF(R37="관심 없음","제외",IF(O37="","안 가봄",IF(P37&gt;=설정!$B$20,P37&amp;"일 지남","최근 방문"))))</f>
        <v/>
      </c>
      <c r="T37" s="8">
        <f>IF(B37="","",IF(S37="제외","",IF(AND(설정!$B$21&lt;&gt;"",L37&lt;&gt;설정!$B$21),"",IF(AND(Q37&lt;&gt;"",Q37&gt;N(O37),Q37&lt;=설정!$B$24+7),설정!$B$39+7-(Q37-설정!$B$24),IF(AND(G37&gt;0,OR(S37="안 가봄",RIGHT(S37,2)="지남")),G37+IF(O37="",설정!$B$36,MIN(P37,60)*설정!$B$37)+MIN(N(H37)/1000*설정!$B$38,20),"")))))</f>
        <v/>
      </c>
      <c r="U37">
        <f>IF(T37="","",COUNTIF(T$4:T$303,"&gt;"&amp;T37)+COUNTIF(T$4:T37,T37))</f>
        <v/>
      </c>
    </row>
    <row r="38">
      <c r="A38">
        <f>IF(B38="","",35)</f>
        <v/>
      </c>
      <c r="B38">
        <f>IFERROR(INDEX('2.현장'!$V$2:$V$1001,MATCH(35,'2.현장'!$W$2:$W$1001,0)),"")</f>
        <v/>
      </c>
      <c r="C38">
        <f>IF(B38="","",COUNTIFS('2.현장'!$V$2:$V$1001,B38,'2.현장'!$T$2:$T$1001,TRUE))</f>
        <v/>
      </c>
      <c r="D38">
        <f>IF(B38="","",COUNTIFS('2.현장'!$V$2:$V$1001,B38,'2.현장'!$U$2:$U$1001,"설계사"))</f>
        <v/>
      </c>
      <c r="E38">
        <f>IF(B38="","",COUNTIFS('2.현장'!$V$2:$V$1001,B38,'2.현장'!$U$2:$U$1001,"시공사"))</f>
        <v/>
      </c>
      <c r="F38">
        <f>IF(B38="","",COUNTIFS('2.현장'!$V$2:$V$1001,B38,'2.현장'!$T$2:$T$1001,TRUE,'2.현장'!$AA$2:$AA$1001,"★"))</f>
        <v/>
      </c>
      <c r="G38" s="6">
        <f>IF(B38="","",SUMIFS('2.현장'!$AB$2:$AB$1001,'2.현장'!$V$2:$V$1001,B38,'2.현장'!$T$2:$T$1001,TRUE))</f>
        <v/>
      </c>
      <c r="H38" s="5">
        <f>IF(B38="","",_xlfn.MAXIFS('2.현장'!$D$2:$D$1001,'2.현장'!$V$2:$V$1001,B38,'2.현장'!$T$2:$T$1001,TRUE))</f>
        <v/>
      </c>
      <c r="I38" s="7">
        <f>IF(B38="","",IF(_xlfn.MAXIFS('2.현장'!$L$2:$L$1001,'2.현장'!$V$2:$V$1001,B38,'2.현장'!$T$2:$T$1001,TRUE)=0,"",_xlfn.MAXIFS('2.현장'!$L$2:$L$1001,'2.현장'!$V$2:$V$1001,B38,'2.현장'!$T$2:$T$1001,TRUE)))</f>
        <v/>
      </c>
      <c r="J38" s="7">
        <f>IF(B38="","",IF(_xlfn.MAXIFS('2.현장'!$M$2:$M$1001,'2.현장'!$V$2:$V$1001,B38,'2.현장'!$T$2:$T$1001,TRUE)=0,"",_xlfn.MAXIFS('2.현장'!$M$2:$M$1001,'2.현장'!$V$2:$V$1001,B38,'2.현장'!$T$2:$T$1001,TRUE)))</f>
        <v/>
      </c>
      <c r="K38">
        <f>IF(B38="","",IFERROR(INDEX('2.현장'!$C$2:$C$1001,IFERROR(MATCH(B38&amp;"|설계사",'2.현장'!$Z$2:$Z$1001,0),IFERROR(MATCH(B38&amp;"|시공사",'2.현장'!$Z$2:$Z$1001,0),MATCH(B38&amp;"|늦음",'2.현장'!$Z$2:$Z$1001,0)))),""))</f>
        <v/>
      </c>
      <c r="L38">
        <f>IF(B38="","",IFERROR(INDEX('2.현장'!$N$2:$N$1001,IFERROR(MATCH(B38&amp;"|설계사",'2.현장'!$Z$2:$Z$1001,0),IFERROR(MATCH(B38&amp;"|시공사",'2.현장'!$Z$2:$Z$1001,0),MATCH(B38&amp;"|늦음",'2.현장'!$Z$2:$Z$1001,0)))),""))</f>
        <v/>
      </c>
      <c r="M38">
        <f>IF(B38="","",IFERROR(VLOOKUP(B38,업체_메모!$A$3:$I$302,2,FALSE)&amp;"",""))</f>
        <v/>
      </c>
      <c r="N38">
        <f>IF(B38="","",IFERROR(VLOOKUP(B38,업체_메모!$A$3:$I$302,4,FALSE)&amp;"",""))</f>
        <v/>
      </c>
      <c r="O38" s="7">
        <f>IF(B38="","",IF(COUNTIF('4.방문기록'!$B$3:$B$502,B38)=0,"",_xlfn.MAXIFS('4.방문기록'!$A$3:$A$502,'4.방문기록'!$B$3:$B$502,B38)))</f>
        <v/>
      </c>
      <c r="P38">
        <f>IF(O38="","",설정!$B$24-O38)</f>
        <v/>
      </c>
      <c r="Q38" s="7">
        <f>IF(B38="","",IF(_xlfn.MAXIFS('4.방문기록'!$F$3:$F$502,'4.방문기록'!$B$3:$B$502,B38)=0,"",_xlfn.MAXIFS('4.방문기록'!$F$3:$F$502,'4.방문기록'!$B$3:$B$502,B38)))</f>
        <v/>
      </c>
      <c r="R38">
        <f>IF(O38="","",IFERROR(INDEX('4.방문기록'!$H$3:$H$502,MATCH(B38&amp;"|"&amp;(O38*1),'4.방문기록'!$I$3:$I$502,0))&amp;"",""))</f>
        <v/>
      </c>
      <c r="S38">
        <f>IF(B38="","",IF(R38="관심 없음","제외",IF(O38="","안 가봄",IF(P38&gt;=설정!$B$20,P38&amp;"일 지남","최근 방문"))))</f>
        <v/>
      </c>
      <c r="T38" s="8">
        <f>IF(B38="","",IF(S38="제외","",IF(AND(설정!$B$21&lt;&gt;"",L38&lt;&gt;설정!$B$21),"",IF(AND(Q38&lt;&gt;"",Q38&gt;N(O38),Q38&lt;=설정!$B$24+7),설정!$B$39+7-(Q38-설정!$B$24),IF(AND(G38&gt;0,OR(S38="안 가봄",RIGHT(S38,2)="지남")),G38+IF(O38="",설정!$B$36,MIN(P38,60)*설정!$B$37)+MIN(N(H38)/1000*설정!$B$38,20),"")))))</f>
        <v/>
      </c>
      <c r="U38">
        <f>IF(T38="","",COUNTIF(T$4:T$303,"&gt;"&amp;T38)+COUNTIF(T$4:T38,T38))</f>
        <v/>
      </c>
    </row>
    <row r="39">
      <c r="A39">
        <f>IF(B39="","",36)</f>
        <v/>
      </c>
      <c r="B39">
        <f>IFERROR(INDEX('2.현장'!$V$2:$V$1001,MATCH(36,'2.현장'!$W$2:$W$1001,0)),"")</f>
        <v/>
      </c>
      <c r="C39">
        <f>IF(B39="","",COUNTIFS('2.현장'!$V$2:$V$1001,B39,'2.현장'!$T$2:$T$1001,TRUE))</f>
        <v/>
      </c>
      <c r="D39">
        <f>IF(B39="","",COUNTIFS('2.현장'!$V$2:$V$1001,B39,'2.현장'!$U$2:$U$1001,"설계사"))</f>
        <v/>
      </c>
      <c r="E39">
        <f>IF(B39="","",COUNTIFS('2.현장'!$V$2:$V$1001,B39,'2.현장'!$U$2:$U$1001,"시공사"))</f>
        <v/>
      </c>
      <c r="F39">
        <f>IF(B39="","",COUNTIFS('2.현장'!$V$2:$V$1001,B39,'2.현장'!$T$2:$T$1001,TRUE,'2.현장'!$AA$2:$AA$1001,"★"))</f>
        <v/>
      </c>
      <c r="G39" s="6">
        <f>IF(B39="","",SUMIFS('2.현장'!$AB$2:$AB$1001,'2.현장'!$V$2:$V$1001,B39,'2.현장'!$T$2:$T$1001,TRUE))</f>
        <v/>
      </c>
      <c r="H39" s="5">
        <f>IF(B39="","",_xlfn.MAXIFS('2.현장'!$D$2:$D$1001,'2.현장'!$V$2:$V$1001,B39,'2.현장'!$T$2:$T$1001,TRUE))</f>
        <v/>
      </c>
      <c r="I39" s="7">
        <f>IF(B39="","",IF(_xlfn.MAXIFS('2.현장'!$L$2:$L$1001,'2.현장'!$V$2:$V$1001,B39,'2.현장'!$T$2:$T$1001,TRUE)=0,"",_xlfn.MAXIFS('2.현장'!$L$2:$L$1001,'2.현장'!$V$2:$V$1001,B39,'2.현장'!$T$2:$T$1001,TRUE)))</f>
        <v/>
      </c>
      <c r="J39" s="7">
        <f>IF(B39="","",IF(_xlfn.MAXIFS('2.현장'!$M$2:$M$1001,'2.현장'!$V$2:$V$1001,B39,'2.현장'!$T$2:$T$1001,TRUE)=0,"",_xlfn.MAXIFS('2.현장'!$M$2:$M$1001,'2.현장'!$V$2:$V$1001,B39,'2.현장'!$T$2:$T$1001,TRUE)))</f>
        <v/>
      </c>
      <c r="K39">
        <f>IF(B39="","",IFERROR(INDEX('2.현장'!$C$2:$C$1001,IFERROR(MATCH(B39&amp;"|설계사",'2.현장'!$Z$2:$Z$1001,0),IFERROR(MATCH(B39&amp;"|시공사",'2.현장'!$Z$2:$Z$1001,0),MATCH(B39&amp;"|늦음",'2.현장'!$Z$2:$Z$1001,0)))),""))</f>
        <v/>
      </c>
      <c r="L39">
        <f>IF(B39="","",IFERROR(INDEX('2.현장'!$N$2:$N$1001,IFERROR(MATCH(B39&amp;"|설계사",'2.현장'!$Z$2:$Z$1001,0),IFERROR(MATCH(B39&amp;"|시공사",'2.현장'!$Z$2:$Z$1001,0),MATCH(B39&amp;"|늦음",'2.현장'!$Z$2:$Z$1001,0)))),""))</f>
        <v/>
      </c>
      <c r="M39">
        <f>IF(B39="","",IFERROR(VLOOKUP(B39,업체_메모!$A$3:$I$302,2,FALSE)&amp;"",""))</f>
        <v/>
      </c>
      <c r="N39">
        <f>IF(B39="","",IFERROR(VLOOKUP(B39,업체_메모!$A$3:$I$302,4,FALSE)&amp;"",""))</f>
        <v/>
      </c>
      <c r="O39" s="7">
        <f>IF(B39="","",IF(COUNTIF('4.방문기록'!$B$3:$B$502,B39)=0,"",_xlfn.MAXIFS('4.방문기록'!$A$3:$A$502,'4.방문기록'!$B$3:$B$502,B39)))</f>
        <v/>
      </c>
      <c r="P39">
        <f>IF(O39="","",설정!$B$24-O39)</f>
        <v/>
      </c>
      <c r="Q39" s="7">
        <f>IF(B39="","",IF(_xlfn.MAXIFS('4.방문기록'!$F$3:$F$502,'4.방문기록'!$B$3:$B$502,B39)=0,"",_xlfn.MAXIFS('4.방문기록'!$F$3:$F$502,'4.방문기록'!$B$3:$B$502,B39)))</f>
        <v/>
      </c>
      <c r="R39">
        <f>IF(O39="","",IFERROR(INDEX('4.방문기록'!$H$3:$H$502,MATCH(B39&amp;"|"&amp;(O39*1),'4.방문기록'!$I$3:$I$502,0))&amp;"",""))</f>
        <v/>
      </c>
      <c r="S39">
        <f>IF(B39="","",IF(R39="관심 없음","제외",IF(O39="","안 가봄",IF(P39&gt;=설정!$B$20,P39&amp;"일 지남","최근 방문"))))</f>
        <v/>
      </c>
      <c r="T39" s="8">
        <f>IF(B39="","",IF(S39="제외","",IF(AND(설정!$B$21&lt;&gt;"",L39&lt;&gt;설정!$B$21),"",IF(AND(Q39&lt;&gt;"",Q39&gt;N(O39),Q39&lt;=설정!$B$24+7),설정!$B$39+7-(Q39-설정!$B$24),IF(AND(G39&gt;0,OR(S39="안 가봄",RIGHT(S39,2)="지남")),G39+IF(O39="",설정!$B$36,MIN(P39,60)*설정!$B$37)+MIN(N(H39)/1000*설정!$B$38,20),"")))))</f>
        <v/>
      </c>
      <c r="U39">
        <f>IF(T39="","",COUNTIF(T$4:T$303,"&gt;"&amp;T39)+COUNTIF(T$4:T39,T39))</f>
        <v/>
      </c>
    </row>
    <row r="40">
      <c r="A40">
        <f>IF(B40="","",37)</f>
        <v/>
      </c>
      <c r="B40">
        <f>IFERROR(INDEX('2.현장'!$V$2:$V$1001,MATCH(37,'2.현장'!$W$2:$W$1001,0)),"")</f>
        <v/>
      </c>
      <c r="C40">
        <f>IF(B40="","",COUNTIFS('2.현장'!$V$2:$V$1001,B40,'2.현장'!$T$2:$T$1001,TRUE))</f>
        <v/>
      </c>
      <c r="D40">
        <f>IF(B40="","",COUNTIFS('2.현장'!$V$2:$V$1001,B40,'2.현장'!$U$2:$U$1001,"설계사"))</f>
        <v/>
      </c>
      <c r="E40">
        <f>IF(B40="","",COUNTIFS('2.현장'!$V$2:$V$1001,B40,'2.현장'!$U$2:$U$1001,"시공사"))</f>
        <v/>
      </c>
      <c r="F40">
        <f>IF(B40="","",COUNTIFS('2.현장'!$V$2:$V$1001,B40,'2.현장'!$T$2:$T$1001,TRUE,'2.현장'!$AA$2:$AA$1001,"★"))</f>
        <v/>
      </c>
      <c r="G40" s="6">
        <f>IF(B40="","",SUMIFS('2.현장'!$AB$2:$AB$1001,'2.현장'!$V$2:$V$1001,B40,'2.현장'!$T$2:$T$1001,TRUE))</f>
        <v/>
      </c>
      <c r="H40" s="5">
        <f>IF(B40="","",_xlfn.MAXIFS('2.현장'!$D$2:$D$1001,'2.현장'!$V$2:$V$1001,B40,'2.현장'!$T$2:$T$1001,TRUE))</f>
        <v/>
      </c>
      <c r="I40" s="7">
        <f>IF(B40="","",IF(_xlfn.MAXIFS('2.현장'!$L$2:$L$1001,'2.현장'!$V$2:$V$1001,B40,'2.현장'!$T$2:$T$1001,TRUE)=0,"",_xlfn.MAXIFS('2.현장'!$L$2:$L$1001,'2.현장'!$V$2:$V$1001,B40,'2.현장'!$T$2:$T$1001,TRUE)))</f>
        <v/>
      </c>
      <c r="J40" s="7">
        <f>IF(B40="","",IF(_xlfn.MAXIFS('2.현장'!$M$2:$M$1001,'2.현장'!$V$2:$V$1001,B40,'2.현장'!$T$2:$T$1001,TRUE)=0,"",_xlfn.MAXIFS('2.현장'!$M$2:$M$1001,'2.현장'!$V$2:$V$1001,B40,'2.현장'!$T$2:$T$1001,TRUE)))</f>
        <v/>
      </c>
      <c r="K40">
        <f>IF(B40="","",IFERROR(INDEX('2.현장'!$C$2:$C$1001,IFERROR(MATCH(B40&amp;"|설계사",'2.현장'!$Z$2:$Z$1001,0),IFERROR(MATCH(B40&amp;"|시공사",'2.현장'!$Z$2:$Z$1001,0),MATCH(B40&amp;"|늦음",'2.현장'!$Z$2:$Z$1001,0)))),""))</f>
        <v/>
      </c>
      <c r="L40">
        <f>IF(B40="","",IFERROR(INDEX('2.현장'!$N$2:$N$1001,IFERROR(MATCH(B40&amp;"|설계사",'2.현장'!$Z$2:$Z$1001,0),IFERROR(MATCH(B40&amp;"|시공사",'2.현장'!$Z$2:$Z$1001,0),MATCH(B40&amp;"|늦음",'2.현장'!$Z$2:$Z$1001,0)))),""))</f>
        <v/>
      </c>
      <c r="M40">
        <f>IF(B40="","",IFERROR(VLOOKUP(B40,업체_메모!$A$3:$I$302,2,FALSE)&amp;"",""))</f>
        <v/>
      </c>
      <c r="N40">
        <f>IF(B40="","",IFERROR(VLOOKUP(B40,업체_메모!$A$3:$I$302,4,FALSE)&amp;"",""))</f>
        <v/>
      </c>
      <c r="O40" s="7">
        <f>IF(B40="","",IF(COUNTIF('4.방문기록'!$B$3:$B$502,B40)=0,"",_xlfn.MAXIFS('4.방문기록'!$A$3:$A$502,'4.방문기록'!$B$3:$B$502,B40)))</f>
        <v/>
      </c>
      <c r="P40">
        <f>IF(O40="","",설정!$B$24-O40)</f>
        <v/>
      </c>
      <c r="Q40" s="7">
        <f>IF(B40="","",IF(_xlfn.MAXIFS('4.방문기록'!$F$3:$F$502,'4.방문기록'!$B$3:$B$502,B40)=0,"",_xlfn.MAXIFS('4.방문기록'!$F$3:$F$502,'4.방문기록'!$B$3:$B$502,B40)))</f>
        <v/>
      </c>
      <c r="R40">
        <f>IF(O40="","",IFERROR(INDEX('4.방문기록'!$H$3:$H$502,MATCH(B40&amp;"|"&amp;(O40*1),'4.방문기록'!$I$3:$I$502,0))&amp;"",""))</f>
        <v/>
      </c>
      <c r="S40">
        <f>IF(B40="","",IF(R40="관심 없음","제외",IF(O40="","안 가봄",IF(P40&gt;=설정!$B$20,P40&amp;"일 지남","최근 방문"))))</f>
        <v/>
      </c>
      <c r="T40" s="8">
        <f>IF(B40="","",IF(S40="제외","",IF(AND(설정!$B$21&lt;&gt;"",L40&lt;&gt;설정!$B$21),"",IF(AND(Q40&lt;&gt;"",Q40&gt;N(O40),Q40&lt;=설정!$B$24+7),설정!$B$39+7-(Q40-설정!$B$24),IF(AND(G40&gt;0,OR(S40="안 가봄",RIGHT(S40,2)="지남")),G40+IF(O40="",설정!$B$36,MIN(P40,60)*설정!$B$37)+MIN(N(H40)/1000*설정!$B$38,20),"")))))</f>
        <v/>
      </c>
      <c r="U40">
        <f>IF(T40="","",COUNTIF(T$4:T$303,"&gt;"&amp;T40)+COUNTIF(T$4:T40,T40))</f>
        <v/>
      </c>
    </row>
    <row r="41">
      <c r="A41">
        <f>IF(B41="","",38)</f>
        <v/>
      </c>
      <c r="B41">
        <f>IFERROR(INDEX('2.현장'!$V$2:$V$1001,MATCH(38,'2.현장'!$W$2:$W$1001,0)),"")</f>
        <v/>
      </c>
      <c r="C41">
        <f>IF(B41="","",COUNTIFS('2.현장'!$V$2:$V$1001,B41,'2.현장'!$T$2:$T$1001,TRUE))</f>
        <v/>
      </c>
      <c r="D41">
        <f>IF(B41="","",COUNTIFS('2.현장'!$V$2:$V$1001,B41,'2.현장'!$U$2:$U$1001,"설계사"))</f>
        <v/>
      </c>
      <c r="E41">
        <f>IF(B41="","",COUNTIFS('2.현장'!$V$2:$V$1001,B41,'2.현장'!$U$2:$U$1001,"시공사"))</f>
        <v/>
      </c>
      <c r="F41">
        <f>IF(B41="","",COUNTIFS('2.현장'!$V$2:$V$1001,B41,'2.현장'!$T$2:$T$1001,TRUE,'2.현장'!$AA$2:$AA$1001,"★"))</f>
        <v/>
      </c>
      <c r="G41" s="6">
        <f>IF(B41="","",SUMIFS('2.현장'!$AB$2:$AB$1001,'2.현장'!$V$2:$V$1001,B41,'2.현장'!$T$2:$T$1001,TRUE))</f>
        <v/>
      </c>
      <c r="H41" s="5">
        <f>IF(B41="","",_xlfn.MAXIFS('2.현장'!$D$2:$D$1001,'2.현장'!$V$2:$V$1001,B41,'2.현장'!$T$2:$T$1001,TRUE))</f>
        <v/>
      </c>
      <c r="I41" s="7">
        <f>IF(B41="","",IF(_xlfn.MAXIFS('2.현장'!$L$2:$L$1001,'2.현장'!$V$2:$V$1001,B41,'2.현장'!$T$2:$T$1001,TRUE)=0,"",_xlfn.MAXIFS('2.현장'!$L$2:$L$1001,'2.현장'!$V$2:$V$1001,B41,'2.현장'!$T$2:$T$1001,TRUE)))</f>
        <v/>
      </c>
      <c r="J41" s="7">
        <f>IF(B41="","",IF(_xlfn.MAXIFS('2.현장'!$M$2:$M$1001,'2.현장'!$V$2:$V$1001,B41,'2.현장'!$T$2:$T$1001,TRUE)=0,"",_xlfn.MAXIFS('2.현장'!$M$2:$M$1001,'2.현장'!$V$2:$V$1001,B41,'2.현장'!$T$2:$T$1001,TRUE)))</f>
        <v/>
      </c>
      <c r="K41">
        <f>IF(B41="","",IFERROR(INDEX('2.현장'!$C$2:$C$1001,IFERROR(MATCH(B41&amp;"|설계사",'2.현장'!$Z$2:$Z$1001,0),IFERROR(MATCH(B41&amp;"|시공사",'2.현장'!$Z$2:$Z$1001,0),MATCH(B41&amp;"|늦음",'2.현장'!$Z$2:$Z$1001,0)))),""))</f>
        <v/>
      </c>
      <c r="L41">
        <f>IF(B41="","",IFERROR(INDEX('2.현장'!$N$2:$N$1001,IFERROR(MATCH(B41&amp;"|설계사",'2.현장'!$Z$2:$Z$1001,0),IFERROR(MATCH(B41&amp;"|시공사",'2.현장'!$Z$2:$Z$1001,0),MATCH(B41&amp;"|늦음",'2.현장'!$Z$2:$Z$1001,0)))),""))</f>
        <v/>
      </c>
      <c r="M41">
        <f>IF(B41="","",IFERROR(VLOOKUP(B41,업체_메모!$A$3:$I$302,2,FALSE)&amp;"",""))</f>
        <v/>
      </c>
      <c r="N41">
        <f>IF(B41="","",IFERROR(VLOOKUP(B41,업체_메모!$A$3:$I$302,4,FALSE)&amp;"",""))</f>
        <v/>
      </c>
      <c r="O41" s="7">
        <f>IF(B41="","",IF(COUNTIF('4.방문기록'!$B$3:$B$502,B41)=0,"",_xlfn.MAXIFS('4.방문기록'!$A$3:$A$502,'4.방문기록'!$B$3:$B$502,B41)))</f>
        <v/>
      </c>
      <c r="P41">
        <f>IF(O41="","",설정!$B$24-O41)</f>
        <v/>
      </c>
      <c r="Q41" s="7">
        <f>IF(B41="","",IF(_xlfn.MAXIFS('4.방문기록'!$F$3:$F$502,'4.방문기록'!$B$3:$B$502,B41)=0,"",_xlfn.MAXIFS('4.방문기록'!$F$3:$F$502,'4.방문기록'!$B$3:$B$502,B41)))</f>
        <v/>
      </c>
      <c r="R41">
        <f>IF(O41="","",IFERROR(INDEX('4.방문기록'!$H$3:$H$502,MATCH(B41&amp;"|"&amp;(O41*1),'4.방문기록'!$I$3:$I$502,0))&amp;"",""))</f>
        <v/>
      </c>
      <c r="S41">
        <f>IF(B41="","",IF(R41="관심 없음","제외",IF(O41="","안 가봄",IF(P41&gt;=설정!$B$20,P41&amp;"일 지남","최근 방문"))))</f>
        <v/>
      </c>
      <c r="T41" s="8">
        <f>IF(B41="","",IF(S41="제외","",IF(AND(설정!$B$21&lt;&gt;"",L41&lt;&gt;설정!$B$21),"",IF(AND(Q41&lt;&gt;"",Q41&gt;N(O41),Q41&lt;=설정!$B$24+7),설정!$B$39+7-(Q41-설정!$B$24),IF(AND(G41&gt;0,OR(S41="안 가봄",RIGHT(S41,2)="지남")),G41+IF(O41="",설정!$B$36,MIN(P41,60)*설정!$B$37)+MIN(N(H41)/1000*설정!$B$38,20),"")))))</f>
        <v/>
      </c>
      <c r="U41">
        <f>IF(T41="","",COUNTIF(T$4:T$303,"&gt;"&amp;T41)+COUNTIF(T$4:T41,T41))</f>
        <v/>
      </c>
    </row>
    <row r="42">
      <c r="A42">
        <f>IF(B42="","",39)</f>
        <v/>
      </c>
      <c r="B42">
        <f>IFERROR(INDEX('2.현장'!$V$2:$V$1001,MATCH(39,'2.현장'!$W$2:$W$1001,0)),"")</f>
        <v/>
      </c>
      <c r="C42">
        <f>IF(B42="","",COUNTIFS('2.현장'!$V$2:$V$1001,B42,'2.현장'!$T$2:$T$1001,TRUE))</f>
        <v/>
      </c>
      <c r="D42">
        <f>IF(B42="","",COUNTIFS('2.현장'!$V$2:$V$1001,B42,'2.현장'!$U$2:$U$1001,"설계사"))</f>
        <v/>
      </c>
      <c r="E42">
        <f>IF(B42="","",COUNTIFS('2.현장'!$V$2:$V$1001,B42,'2.현장'!$U$2:$U$1001,"시공사"))</f>
        <v/>
      </c>
      <c r="F42">
        <f>IF(B42="","",COUNTIFS('2.현장'!$V$2:$V$1001,B42,'2.현장'!$T$2:$T$1001,TRUE,'2.현장'!$AA$2:$AA$1001,"★"))</f>
        <v/>
      </c>
      <c r="G42" s="6">
        <f>IF(B42="","",SUMIFS('2.현장'!$AB$2:$AB$1001,'2.현장'!$V$2:$V$1001,B42,'2.현장'!$T$2:$T$1001,TRUE))</f>
        <v/>
      </c>
      <c r="H42" s="5">
        <f>IF(B42="","",_xlfn.MAXIFS('2.현장'!$D$2:$D$1001,'2.현장'!$V$2:$V$1001,B42,'2.현장'!$T$2:$T$1001,TRUE))</f>
        <v/>
      </c>
      <c r="I42" s="7">
        <f>IF(B42="","",IF(_xlfn.MAXIFS('2.현장'!$L$2:$L$1001,'2.현장'!$V$2:$V$1001,B42,'2.현장'!$T$2:$T$1001,TRUE)=0,"",_xlfn.MAXIFS('2.현장'!$L$2:$L$1001,'2.현장'!$V$2:$V$1001,B42,'2.현장'!$T$2:$T$1001,TRUE)))</f>
        <v/>
      </c>
      <c r="J42" s="7">
        <f>IF(B42="","",IF(_xlfn.MAXIFS('2.현장'!$M$2:$M$1001,'2.현장'!$V$2:$V$1001,B42,'2.현장'!$T$2:$T$1001,TRUE)=0,"",_xlfn.MAXIFS('2.현장'!$M$2:$M$1001,'2.현장'!$V$2:$V$1001,B42,'2.현장'!$T$2:$T$1001,TRUE)))</f>
        <v/>
      </c>
      <c r="K42">
        <f>IF(B42="","",IFERROR(INDEX('2.현장'!$C$2:$C$1001,IFERROR(MATCH(B42&amp;"|설계사",'2.현장'!$Z$2:$Z$1001,0),IFERROR(MATCH(B42&amp;"|시공사",'2.현장'!$Z$2:$Z$1001,0),MATCH(B42&amp;"|늦음",'2.현장'!$Z$2:$Z$1001,0)))),""))</f>
        <v/>
      </c>
      <c r="L42">
        <f>IF(B42="","",IFERROR(INDEX('2.현장'!$N$2:$N$1001,IFERROR(MATCH(B42&amp;"|설계사",'2.현장'!$Z$2:$Z$1001,0),IFERROR(MATCH(B42&amp;"|시공사",'2.현장'!$Z$2:$Z$1001,0),MATCH(B42&amp;"|늦음",'2.현장'!$Z$2:$Z$1001,0)))),""))</f>
        <v/>
      </c>
      <c r="M42">
        <f>IF(B42="","",IFERROR(VLOOKUP(B42,업체_메모!$A$3:$I$302,2,FALSE)&amp;"",""))</f>
        <v/>
      </c>
      <c r="N42">
        <f>IF(B42="","",IFERROR(VLOOKUP(B42,업체_메모!$A$3:$I$302,4,FALSE)&amp;"",""))</f>
        <v/>
      </c>
      <c r="O42" s="7">
        <f>IF(B42="","",IF(COUNTIF('4.방문기록'!$B$3:$B$502,B42)=0,"",_xlfn.MAXIFS('4.방문기록'!$A$3:$A$502,'4.방문기록'!$B$3:$B$502,B42)))</f>
        <v/>
      </c>
      <c r="P42">
        <f>IF(O42="","",설정!$B$24-O42)</f>
        <v/>
      </c>
      <c r="Q42" s="7">
        <f>IF(B42="","",IF(_xlfn.MAXIFS('4.방문기록'!$F$3:$F$502,'4.방문기록'!$B$3:$B$502,B42)=0,"",_xlfn.MAXIFS('4.방문기록'!$F$3:$F$502,'4.방문기록'!$B$3:$B$502,B42)))</f>
        <v/>
      </c>
      <c r="R42">
        <f>IF(O42="","",IFERROR(INDEX('4.방문기록'!$H$3:$H$502,MATCH(B42&amp;"|"&amp;(O42*1),'4.방문기록'!$I$3:$I$502,0))&amp;"",""))</f>
        <v/>
      </c>
      <c r="S42">
        <f>IF(B42="","",IF(R42="관심 없음","제외",IF(O42="","안 가봄",IF(P42&gt;=설정!$B$20,P42&amp;"일 지남","최근 방문"))))</f>
        <v/>
      </c>
      <c r="T42" s="8">
        <f>IF(B42="","",IF(S42="제외","",IF(AND(설정!$B$21&lt;&gt;"",L42&lt;&gt;설정!$B$21),"",IF(AND(Q42&lt;&gt;"",Q42&gt;N(O42),Q42&lt;=설정!$B$24+7),설정!$B$39+7-(Q42-설정!$B$24),IF(AND(G42&gt;0,OR(S42="안 가봄",RIGHT(S42,2)="지남")),G42+IF(O42="",설정!$B$36,MIN(P42,60)*설정!$B$37)+MIN(N(H42)/1000*설정!$B$38,20),"")))))</f>
        <v/>
      </c>
      <c r="U42">
        <f>IF(T42="","",COUNTIF(T$4:T$303,"&gt;"&amp;T42)+COUNTIF(T$4:T42,T42))</f>
        <v/>
      </c>
    </row>
    <row r="43">
      <c r="A43">
        <f>IF(B43="","",40)</f>
        <v/>
      </c>
      <c r="B43">
        <f>IFERROR(INDEX('2.현장'!$V$2:$V$1001,MATCH(40,'2.현장'!$W$2:$W$1001,0)),"")</f>
        <v/>
      </c>
      <c r="C43">
        <f>IF(B43="","",COUNTIFS('2.현장'!$V$2:$V$1001,B43,'2.현장'!$T$2:$T$1001,TRUE))</f>
        <v/>
      </c>
      <c r="D43">
        <f>IF(B43="","",COUNTIFS('2.현장'!$V$2:$V$1001,B43,'2.현장'!$U$2:$U$1001,"설계사"))</f>
        <v/>
      </c>
      <c r="E43">
        <f>IF(B43="","",COUNTIFS('2.현장'!$V$2:$V$1001,B43,'2.현장'!$U$2:$U$1001,"시공사"))</f>
        <v/>
      </c>
      <c r="F43">
        <f>IF(B43="","",COUNTIFS('2.현장'!$V$2:$V$1001,B43,'2.현장'!$T$2:$T$1001,TRUE,'2.현장'!$AA$2:$AA$1001,"★"))</f>
        <v/>
      </c>
      <c r="G43" s="6">
        <f>IF(B43="","",SUMIFS('2.현장'!$AB$2:$AB$1001,'2.현장'!$V$2:$V$1001,B43,'2.현장'!$T$2:$T$1001,TRUE))</f>
        <v/>
      </c>
      <c r="H43" s="5">
        <f>IF(B43="","",_xlfn.MAXIFS('2.현장'!$D$2:$D$1001,'2.현장'!$V$2:$V$1001,B43,'2.현장'!$T$2:$T$1001,TRUE))</f>
        <v/>
      </c>
      <c r="I43" s="7">
        <f>IF(B43="","",IF(_xlfn.MAXIFS('2.현장'!$L$2:$L$1001,'2.현장'!$V$2:$V$1001,B43,'2.현장'!$T$2:$T$1001,TRUE)=0,"",_xlfn.MAXIFS('2.현장'!$L$2:$L$1001,'2.현장'!$V$2:$V$1001,B43,'2.현장'!$T$2:$T$1001,TRUE)))</f>
        <v/>
      </c>
      <c r="J43" s="7">
        <f>IF(B43="","",IF(_xlfn.MAXIFS('2.현장'!$M$2:$M$1001,'2.현장'!$V$2:$V$1001,B43,'2.현장'!$T$2:$T$1001,TRUE)=0,"",_xlfn.MAXIFS('2.현장'!$M$2:$M$1001,'2.현장'!$V$2:$V$1001,B43,'2.현장'!$T$2:$T$1001,TRUE)))</f>
        <v/>
      </c>
      <c r="K43">
        <f>IF(B43="","",IFERROR(INDEX('2.현장'!$C$2:$C$1001,IFERROR(MATCH(B43&amp;"|설계사",'2.현장'!$Z$2:$Z$1001,0),IFERROR(MATCH(B43&amp;"|시공사",'2.현장'!$Z$2:$Z$1001,0),MATCH(B43&amp;"|늦음",'2.현장'!$Z$2:$Z$1001,0)))),""))</f>
        <v/>
      </c>
      <c r="L43">
        <f>IF(B43="","",IFERROR(INDEX('2.현장'!$N$2:$N$1001,IFERROR(MATCH(B43&amp;"|설계사",'2.현장'!$Z$2:$Z$1001,0),IFERROR(MATCH(B43&amp;"|시공사",'2.현장'!$Z$2:$Z$1001,0),MATCH(B43&amp;"|늦음",'2.현장'!$Z$2:$Z$1001,0)))),""))</f>
        <v/>
      </c>
      <c r="M43">
        <f>IF(B43="","",IFERROR(VLOOKUP(B43,업체_메모!$A$3:$I$302,2,FALSE)&amp;"",""))</f>
        <v/>
      </c>
      <c r="N43">
        <f>IF(B43="","",IFERROR(VLOOKUP(B43,업체_메모!$A$3:$I$302,4,FALSE)&amp;"",""))</f>
        <v/>
      </c>
      <c r="O43" s="7">
        <f>IF(B43="","",IF(COUNTIF('4.방문기록'!$B$3:$B$502,B43)=0,"",_xlfn.MAXIFS('4.방문기록'!$A$3:$A$502,'4.방문기록'!$B$3:$B$502,B43)))</f>
        <v/>
      </c>
      <c r="P43">
        <f>IF(O43="","",설정!$B$24-O43)</f>
        <v/>
      </c>
      <c r="Q43" s="7">
        <f>IF(B43="","",IF(_xlfn.MAXIFS('4.방문기록'!$F$3:$F$502,'4.방문기록'!$B$3:$B$502,B43)=0,"",_xlfn.MAXIFS('4.방문기록'!$F$3:$F$502,'4.방문기록'!$B$3:$B$502,B43)))</f>
        <v/>
      </c>
      <c r="R43">
        <f>IF(O43="","",IFERROR(INDEX('4.방문기록'!$H$3:$H$502,MATCH(B43&amp;"|"&amp;(O43*1),'4.방문기록'!$I$3:$I$502,0))&amp;"",""))</f>
        <v/>
      </c>
      <c r="S43">
        <f>IF(B43="","",IF(R43="관심 없음","제외",IF(O43="","안 가봄",IF(P43&gt;=설정!$B$20,P43&amp;"일 지남","최근 방문"))))</f>
        <v/>
      </c>
      <c r="T43" s="8">
        <f>IF(B43="","",IF(S43="제외","",IF(AND(설정!$B$21&lt;&gt;"",L43&lt;&gt;설정!$B$21),"",IF(AND(Q43&lt;&gt;"",Q43&gt;N(O43),Q43&lt;=설정!$B$24+7),설정!$B$39+7-(Q43-설정!$B$24),IF(AND(G43&gt;0,OR(S43="안 가봄",RIGHT(S43,2)="지남")),G43+IF(O43="",설정!$B$36,MIN(P43,60)*설정!$B$37)+MIN(N(H43)/1000*설정!$B$38,20),"")))))</f>
        <v/>
      </c>
      <c r="U43">
        <f>IF(T43="","",COUNTIF(T$4:T$303,"&gt;"&amp;T43)+COUNTIF(T$4:T43,T43))</f>
        <v/>
      </c>
    </row>
    <row r="44">
      <c r="A44">
        <f>IF(B44="","",41)</f>
        <v/>
      </c>
      <c r="B44">
        <f>IFERROR(INDEX('2.현장'!$V$2:$V$1001,MATCH(41,'2.현장'!$W$2:$W$1001,0)),"")</f>
        <v/>
      </c>
      <c r="C44">
        <f>IF(B44="","",COUNTIFS('2.현장'!$V$2:$V$1001,B44,'2.현장'!$T$2:$T$1001,TRUE))</f>
        <v/>
      </c>
      <c r="D44">
        <f>IF(B44="","",COUNTIFS('2.현장'!$V$2:$V$1001,B44,'2.현장'!$U$2:$U$1001,"설계사"))</f>
        <v/>
      </c>
      <c r="E44">
        <f>IF(B44="","",COUNTIFS('2.현장'!$V$2:$V$1001,B44,'2.현장'!$U$2:$U$1001,"시공사"))</f>
        <v/>
      </c>
      <c r="F44">
        <f>IF(B44="","",COUNTIFS('2.현장'!$V$2:$V$1001,B44,'2.현장'!$T$2:$T$1001,TRUE,'2.현장'!$AA$2:$AA$1001,"★"))</f>
        <v/>
      </c>
      <c r="G44" s="6">
        <f>IF(B44="","",SUMIFS('2.현장'!$AB$2:$AB$1001,'2.현장'!$V$2:$V$1001,B44,'2.현장'!$T$2:$T$1001,TRUE))</f>
        <v/>
      </c>
      <c r="H44" s="5">
        <f>IF(B44="","",_xlfn.MAXIFS('2.현장'!$D$2:$D$1001,'2.현장'!$V$2:$V$1001,B44,'2.현장'!$T$2:$T$1001,TRUE))</f>
        <v/>
      </c>
      <c r="I44" s="7">
        <f>IF(B44="","",IF(_xlfn.MAXIFS('2.현장'!$L$2:$L$1001,'2.현장'!$V$2:$V$1001,B44,'2.현장'!$T$2:$T$1001,TRUE)=0,"",_xlfn.MAXIFS('2.현장'!$L$2:$L$1001,'2.현장'!$V$2:$V$1001,B44,'2.현장'!$T$2:$T$1001,TRUE)))</f>
        <v/>
      </c>
      <c r="J44" s="7">
        <f>IF(B44="","",IF(_xlfn.MAXIFS('2.현장'!$M$2:$M$1001,'2.현장'!$V$2:$V$1001,B44,'2.현장'!$T$2:$T$1001,TRUE)=0,"",_xlfn.MAXIFS('2.현장'!$M$2:$M$1001,'2.현장'!$V$2:$V$1001,B44,'2.현장'!$T$2:$T$1001,TRUE)))</f>
        <v/>
      </c>
      <c r="K44">
        <f>IF(B44="","",IFERROR(INDEX('2.현장'!$C$2:$C$1001,IFERROR(MATCH(B44&amp;"|설계사",'2.현장'!$Z$2:$Z$1001,0),IFERROR(MATCH(B44&amp;"|시공사",'2.현장'!$Z$2:$Z$1001,0),MATCH(B44&amp;"|늦음",'2.현장'!$Z$2:$Z$1001,0)))),""))</f>
        <v/>
      </c>
      <c r="L44">
        <f>IF(B44="","",IFERROR(INDEX('2.현장'!$N$2:$N$1001,IFERROR(MATCH(B44&amp;"|설계사",'2.현장'!$Z$2:$Z$1001,0),IFERROR(MATCH(B44&amp;"|시공사",'2.현장'!$Z$2:$Z$1001,0),MATCH(B44&amp;"|늦음",'2.현장'!$Z$2:$Z$1001,0)))),""))</f>
        <v/>
      </c>
      <c r="M44">
        <f>IF(B44="","",IFERROR(VLOOKUP(B44,업체_메모!$A$3:$I$302,2,FALSE)&amp;"",""))</f>
        <v/>
      </c>
      <c r="N44">
        <f>IF(B44="","",IFERROR(VLOOKUP(B44,업체_메모!$A$3:$I$302,4,FALSE)&amp;"",""))</f>
        <v/>
      </c>
      <c r="O44" s="7">
        <f>IF(B44="","",IF(COUNTIF('4.방문기록'!$B$3:$B$502,B44)=0,"",_xlfn.MAXIFS('4.방문기록'!$A$3:$A$502,'4.방문기록'!$B$3:$B$502,B44)))</f>
        <v/>
      </c>
      <c r="P44">
        <f>IF(O44="","",설정!$B$24-O44)</f>
        <v/>
      </c>
      <c r="Q44" s="7">
        <f>IF(B44="","",IF(_xlfn.MAXIFS('4.방문기록'!$F$3:$F$502,'4.방문기록'!$B$3:$B$502,B44)=0,"",_xlfn.MAXIFS('4.방문기록'!$F$3:$F$502,'4.방문기록'!$B$3:$B$502,B44)))</f>
        <v/>
      </c>
      <c r="R44">
        <f>IF(O44="","",IFERROR(INDEX('4.방문기록'!$H$3:$H$502,MATCH(B44&amp;"|"&amp;(O44*1),'4.방문기록'!$I$3:$I$502,0))&amp;"",""))</f>
        <v/>
      </c>
      <c r="S44">
        <f>IF(B44="","",IF(R44="관심 없음","제외",IF(O44="","안 가봄",IF(P44&gt;=설정!$B$20,P44&amp;"일 지남","최근 방문"))))</f>
        <v/>
      </c>
      <c r="T44" s="8">
        <f>IF(B44="","",IF(S44="제외","",IF(AND(설정!$B$21&lt;&gt;"",L44&lt;&gt;설정!$B$21),"",IF(AND(Q44&lt;&gt;"",Q44&gt;N(O44),Q44&lt;=설정!$B$24+7),설정!$B$39+7-(Q44-설정!$B$24),IF(AND(G44&gt;0,OR(S44="안 가봄",RIGHT(S44,2)="지남")),G44+IF(O44="",설정!$B$36,MIN(P44,60)*설정!$B$37)+MIN(N(H44)/1000*설정!$B$38,20),"")))))</f>
        <v/>
      </c>
      <c r="U44">
        <f>IF(T44="","",COUNTIF(T$4:T$303,"&gt;"&amp;T44)+COUNTIF(T$4:T44,T44))</f>
        <v/>
      </c>
    </row>
    <row r="45">
      <c r="A45">
        <f>IF(B45="","",42)</f>
        <v/>
      </c>
      <c r="B45">
        <f>IFERROR(INDEX('2.현장'!$V$2:$V$1001,MATCH(42,'2.현장'!$W$2:$W$1001,0)),"")</f>
        <v/>
      </c>
      <c r="C45">
        <f>IF(B45="","",COUNTIFS('2.현장'!$V$2:$V$1001,B45,'2.현장'!$T$2:$T$1001,TRUE))</f>
        <v/>
      </c>
      <c r="D45">
        <f>IF(B45="","",COUNTIFS('2.현장'!$V$2:$V$1001,B45,'2.현장'!$U$2:$U$1001,"설계사"))</f>
        <v/>
      </c>
      <c r="E45">
        <f>IF(B45="","",COUNTIFS('2.현장'!$V$2:$V$1001,B45,'2.현장'!$U$2:$U$1001,"시공사"))</f>
        <v/>
      </c>
      <c r="F45">
        <f>IF(B45="","",COUNTIFS('2.현장'!$V$2:$V$1001,B45,'2.현장'!$T$2:$T$1001,TRUE,'2.현장'!$AA$2:$AA$1001,"★"))</f>
        <v/>
      </c>
      <c r="G45" s="6">
        <f>IF(B45="","",SUMIFS('2.현장'!$AB$2:$AB$1001,'2.현장'!$V$2:$V$1001,B45,'2.현장'!$T$2:$T$1001,TRUE))</f>
        <v/>
      </c>
      <c r="H45" s="5">
        <f>IF(B45="","",_xlfn.MAXIFS('2.현장'!$D$2:$D$1001,'2.현장'!$V$2:$V$1001,B45,'2.현장'!$T$2:$T$1001,TRUE))</f>
        <v/>
      </c>
      <c r="I45" s="7">
        <f>IF(B45="","",IF(_xlfn.MAXIFS('2.현장'!$L$2:$L$1001,'2.현장'!$V$2:$V$1001,B45,'2.현장'!$T$2:$T$1001,TRUE)=0,"",_xlfn.MAXIFS('2.현장'!$L$2:$L$1001,'2.현장'!$V$2:$V$1001,B45,'2.현장'!$T$2:$T$1001,TRUE)))</f>
        <v/>
      </c>
      <c r="J45" s="7">
        <f>IF(B45="","",IF(_xlfn.MAXIFS('2.현장'!$M$2:$M$1001,'2.현장'!$V$2:$V$1001,B45,'2.현장'!$T$2:$T$1001,TRUE)=0,"",_xlfn.MAXIFS('2.현장'!$M$2:$M$1001,'2.현장'!$V$2:$V$1001,B45,'2.현장'!$T$2:$T$1001,TRUE)))</f>
        <v/>
      </c>
      <c r="K45">
        <f>IF(B45="","",IFERROR(INDEX('2.현장'!$C$2:$C$1001,IFERROR(MATCH(B45&amp;"|설계사",'2.현장'!$Z$2:$Z$1001,0),IFERROR(MATCH(B45&amp;"|시공사",'2.현장'!$Z$2:$Z$1001,0),MATCH(B45&amp;"|늦음",'2.현장'!$Z$2:$Z$1001,0)))),""))</f>
        <v/>
      </c>
      <c r="L45">
        <f>IF(B45="","",IFERROR(INDEX('2.현장'!$N$2:$N$1001,IFERROR(MATCH(B45&amp;"|설계사",'2.현장'!$Z$2:$Z$1001,0),IFERROR(MATCH(B45&amp;"|시공사",'2.현장'!$Z$2:$Z$1001,0),MATCH(B45&amp;"|늦음",'2.현장'!$Z$2:$Z$1001,0)))),""))</f>
        <v/>
      </c>
      <c r="M45">
        <f>IF(B45="","",IFERROR(VLOOKUP(B45,업체_메모!$A$3:$I$302,2,FALSE)&amp;"",""))</f>
        <v/>
      </c>
      <c r="N45">
        <f>IF(B45="","",IFERROR(VLOOKUP(B45,업체_메모!$A$3:$I$302,4,FALSE)&amp;"",""))</f>
        <v/>
      </c>
      <c r="O45" s="7">
        <f>IF(B45="","",IF(COUNTIF('4.방문기록'!$B$3:$B$502,B45)=0,"",_xlfn.MAXIFS('4.방문기록'!$A$3:$A$502,'4.방문기록'!$B$3:$B$502,B45)))</f>
        <v/>
      </c>
      <c r="P45">
        <f>IF(O45="","",설정!$B$24-O45)</f>
        <v/>
      </c>
      <c r="Q45" s="7">
        <f>IF(B45="","",IF(_xlfn.MAXIFS('4.방문기록'!$F$3:$F$502,'4.방문기록'!$B$3:$B$502,B45)=0,"",_xlfn.MAXIFS('4.방문기록'!$F$3:$F$502,'4.방문기록'!$B$3:$B$502,B45)))</f>
        <v/>
      </c>
      <c r="R45">
        <f>IF(O45="","",IFERROR(INDEX('4.방문기록'!$H$3:$H$502,MATCH(B45&amp;"|"&amp;(O45*1),'4.방문기록'!$I$3:$I$502,0))&amp;"",""))</f>
        <v/>
      </c>
      <c r="S45">
        <f>IF(B45="","",IF(R45="관심 없음","제외",IF(O45="","안 가봄",IF(P45&gt;=설정!$B$20,P45&amp;"일 지남","최근 방문"))))</f>
        <v/>
      </c>
      <c r="T45" s="8">
        <f>IF(B45="","",IF(S45="제외","",IF(AND(설정!$B$21&lt;&gt;"",L45&lt;&gt;설정!$B$21),"",IF(AND(Q45&lt;&gt;"",Q45&gt;N(O45),Q45&lt;=설정!$B$24+7),설정!$B$39+7-(Q45-설정!$B$24),IF(AND(G45&gt;0,OR(S45="안 가봄",RIGHT(S45,2)="지남")),G45+IF(O45="",설정!$B$36,MIN(P45,60)*설정!$B$37)+MIN(N(H45)/1000*설정!$B$38,20),"")))))</f>
        <v/>
      </c>
      <c r="U45">
        <f>IF(T45="","",COUNTIF(T$4:T$303,"&gt;"&amp;T45)+COUNTIF(T$4:T45,T45))</f>
        <v/>
      </c>
    </row>
    <row r="46">
      <c r="A46">
        <f>IF(B46="","",43)</f>
        <v/>
      </c>
      <c r="B46">
        <f>IFERROR(INDEX('2.현장'!$V$2:$V$1001,MATCH(43,'2.현장'!$W$2:$W$1001,0)),"")</f>
        <v/>
      </c>
      <c r="C46">
        <f>IF(B46="","",COUNTIFS('2.현장'!$V$2:$V$1001,B46,'2.현장'!$T$2:$T$1001,TRUE))</f>
        <v/>
      </c>
      <c r="D46">
        <f>IF(B46="","",COUNTIFS('2.현장'!$V$2:$V$1001,B46,'2.현장'!$U$2:$U$1001,"설계사"))</f>
        <v/>
      </c>
      <c r="E46">
        <f>IF(B46="","",COUNTIFS('2.현장'!$V$2:$V$1001,B46,'2.현장'!$U$2:$U$1001,"시공사"))</f>
        <v/>
      </c>
      <c r="F46">
        <f>IF(B46="","",COUNTIFS('2.현장'!$V$2:$V$1001,B46,'2.현장'!$T$2:$T$1001,TRUE,'2.현장'!$AA$2:$AA$1001,"★"))</f>
        <v/>
      </c>
      <c r="G46" s="6">
        <f>IF(B46="","",SUMIFS('2.현장'!$AB$2:$AB$1001,'2.현장'!$V$2:$V$1001,B46,'2.현장'!$T$2:$T$1001,TRUE))</f>
        <v/>
      </c>
      <c r="H46" s="5">
        <f>IF(B46="","",_xlfn.MAXIFS('2.현장'!$D$2:$D$1001,'2.현장'!$V$2:$V$1001,B46,'2.현장'!$T$2:$T$1001,TRUE))</f>
        <v/>
      </c>
      <c r="I46" s="7">
        <f>IF(B46="","",IF(_xlfn.MAXIFS('2.현장'!$L$2:$L$1001,'2.현장'!$V$2:$V$1001,B46,'2.현장'!$T$2:$T$1001,TRUE)=0,"",_xlfn.MAXIFS('2.현장'!$L$2:$L$1001,'2.현장'!$V$2:$V$1001,B46,'2.현장'!$T$2:$T$1001,TRUE)))</f>
        <v/>
      </c>
      <c r="J46" s="7">
        <f>IF(B46="","",IF(_xlfn.MAXIFS('2.현장'!$M$2:$M$1001,'2.현장'!$V$2:$V$1001,B46,'2.현장'!$T$2:$T$1001,TRUE)=0,"",_xlfn.MAXIFS('2.현장'!$M$2:$M$1001,'2.현장'!$V$2:$V$1001,B46,'2.현장'!$T$2:$T$1001,TRUE)))</f>
        <v/>
      </c>
      <c r="K46">
        <f>IF(B46="","",IFERROR(INDEX('2.현장'!$C$2:$C$1001,IFERROR(MATCH(B46&amp;"|설계사",'2.현장'!$Z$2:$Z$1001,0),IFERROR(MATCH(B46&amp;"|시공사",'2.현장'!$Z$2:$Z$1001,0),MATCH(B46&amp;"|늦음",'2.현장'!$Z$2:$Z$1001,0)))),""))</f>
        <v/>
      </c>
      <c r="L46">
        <f>IF(B46="","",IFERROR(INDEX('2.현장'!$N$2:$N$1001,IFERROR(MATCH(B46&amp;"|설계사",'2.현장'!$Z$2:$Z$1001,0),IFERROR(MATCH(B46&amp;"|시공사",'2.현장'!$Z$2:$Z$1001,0),MATCH(B46&amp;"|늦음",'2.현장'!$Z$2:$Z$1001,0)))),""))</f>
        <v/>
      </c>
      <c r="M46">
        <f>IF(B46="","",IFERROR(VLOOKUP(B46,업체_메모!$A$3:$I$302,2,FALSE)&amp;"",""))</f>
        <v/>
      </c>
      <c r="N46">
        <f>IF(B46="","",IFERROR(VLOOKUP(B46,업체_메모!$A$3:$I$302,4,FALSE)&amp;"",""))</f>
        <v/>
      </c>
      <c r="O46" s="7">
        <f>IF(B46="","",IF(COUNTIF('4.방문기록'!$B$3:$B$502,B46)=0,"",_xlfn.MAXIFS('4.방문기록'!$A$3:$A$502,'4.방문기록'!$B$3:$B$502,B46)))</f>
        <v/>
      </c>
      <c r="P46">
        <f>IF(O46="","",설정!$B$24-O46)</f>
        <v/>
      </c>
      <c r="Q46" s="7">
        <f>IF(B46="","",IF(_xlfn.MAXIFS('4.방문기록'!$F$3:$F$502,'4.방문기록'!$B$3:$B$502,B46)=0,"",_xlfn.MAXIFS('4.방문기록'!$F$3:$F$502,'4.방문기록'!$B$3:$B$502,B46)))</f>
        <v/>
      </c>
      <c r="R46">
        <f>IF(O46="","",IFERROR(INDEX('4.방문기록'!$H$3:$H$502,MATCH(B46&amp;"|"&amp;(O46*1),'4.방문기록'!$I$3:$I$502,0))&amp;"",""))</f>
        <v/>
      </c>
      <c r="S46">
        <f>IF(B46="","",IF(R46="관심 없음","제외",IF(O46="","안 가봄",IF(P46&gt;=설정!$B$20,P46&amp;"일 지남","최근 방문"))))</f>
        <v/>
      </c>
      <c r="T46" s="8">
        <f>IF(B46="","",IF(S46="제외","",IF(AND(설정!$B$21&lt;&gt;"",L46&lt;&gt;설정!$B$21),"",IF(AND(Q46&lt;&gt;"",Q46&gt;N(O46),Q46&lt;=설정!$B$24+7),설정!$B$39+7-(Q46-설정!$B$24),IF(AND(G46&gt;0,OR(S46="안 가봄",RIGHT(S46,2)="지남")),G46+IF(O46="",설정!$B$36,MIN(P46,60)*설정!$B$37)+MIN(N(H46)/1000*설정!$B$38,20),"")))))</f>
        <v/>
      </c>
      <c r="U46">
        <f>IF(T46="","",COUNTIF(T$4:T$303,"&gt;"&amp;T46)+COUNTIF(T$4:T46,T46))</f>
        <v/>
      </c>
    </row>
    <row r="47">
      <c r="A47">
        <f>IF(B47="","",44)</f>
        <v/>
      </c>
      <c r="B47">
        <f>IFERROR(INDEX('2.현장'!$V$2:$V$1001,MATCH(44,'2.현장'!$W$2:$W$1001,0)),"")</f>
        <v/>
      </c>
      <c r="C47">
        <f>IF(B47="","",COUNTIFS('2.현장'!$V$2:$V$1001,B47,'2.현장'!$T$2:$T$1001,TRUE))</f>
        <v/>
      </c>
      <c r="D47">
        <f>IF(B47="","",COUNTIFS('2.현장'!$V$2:$V$1001,B47,'2.현장'!$U$2:$U$1001,"설계사"))</f>
        <v/>
      </c>
      <c r="E47">
        <f>IF(B47="","",COUNTIFS('2.현장'!$V$2:$V$1001,B47,'2.현장'!$U$2:$U$1001,"시공사"))</f>
        <v/>
      </c>
      <c r="F47">
        <f>IF(B47="","",COUNTIFS('2.현장'!$V$2:$V$1001,B47,'2.현장'!$T$2:$T$1001,TRUE,'2.현장'!$AA$2:$AA$1001,"★"))</f>
        <v/>
      </c>
      <c r="G47" s="6">
        <f>IF(B47="","",SUMIFS('2.현장'!$AB$2:$AB$1001,'2.현장'!$V$2:$V$1001,B47,'2.현장'!$T$2:$T$1001,TRUE))</f>
        <v/>
      </c>
      <c r="H47" s="5">
        <f>IF(B47="","",_xlfn.MAXIFS('2.현장'!$D$2:$D$1001,'2.현장'!$V$2:$V$1001,B47,'2.현장'!$T$2:$T$1001,TRUE))</f>
        <v/>
      </c>
      <c r="I47" s="7">
        <f>IF(B47="","",IF(_xlfn.MAXIFS('2.현장'!$L$2:$L$1001,'2.현장'!$V$2:$V$1001,B47,'2.현장'!$T$2:$T$1001,TRUE)=0,"",_xlfn.MAXIFS('2.현장'!$L$2:$L$1001,'2.현장'!$V$2:$V$1001,B47,'2.현장'!$T$2:$T$1001,TRUE)))</f>
        <v/>
      </c>
      <c r="J47" s="7">
        <f>IF(B47="","",IF(_xlfn.MAXIFS('2.현장'!$M$2:$M$1001,'2.현장'!$V$2:$V$1001,B47,'2.현장'!$T$2:$T$1001,TRUE)=0,"",_xlfn.MAXIFS('2.현장'!$M$2:$M$1001,'2.현장'!$V$2:$V$1001,B47,'2.현장'!$T$2:$T$1001,TRUE)))</f>
        <v/>
      </c>
      <c r="K47">
        <f>IF(B47="","",IFERROR(INDEX('2.현장'!$C$2:$C$1001,IFERROR(MATCH(B47&amp;"|설계사",'2.현장'!$Z$2:$Z$1001,0),IFERROR(MATCH(B47&amp;"|시공사",'2.현장'!$Z$2:$Z$1001,0),MATCH(B47&amp;"|늦음",'2.현장'!$Z$2:$Z$1001,0)))),""))</f>
        <v/>
      </c>
      <c r="L47">
        <f>IF(B47="","",IFERROR(INDEX('2.현장'!$N$2:$N$1001,IFERROR(MATCH(B47&amp;"|설계사",'2.현장'!$Z$2:$Z$1001,0),IFERROR(MATCH(B47&amp;"|시공사",'2.현장'!$Z$2:$Z$1001,0),MATCH(B47&amp;"|늦음",'2.현장'!$Z$2:$Z$1001,0)))),""))</f>
        <v/>
      </c>
      <c r="M47">
        <f>IF(B47="","",IFERROR(VLOOKUP(B47,업체_메모!$A$3:$I$302,2,FALSE)&amp;"",""))</f>
        <v/>
      </c>
      <c r="N47">
        <f>IF(B47="","",IFERROR(VLOOKUP(B47,업체_메모!$A$3:$I$302,4,FALSE)&amp;"",""))</f>
        <v/>
      </c>
      <c r="O47" s="7">
        <f>IF(B47="","",IF(COUNTIF('4.방문기록'!$B$3:$B$502,B47)=0,"",_xlfn.MAXIFS('4.방문기록'!$A$3:$A$502,'4.방문기록'!$B$3:$B$502,B47)))</f>
        <v/>
      </c>
      <c r="P47">
        <f>IF(O47="","",설정!$B$24-O47)</f>
        <v/>
      </c>
      <c r="Q47" s="7">
        <f>IF(B47="","",IF(_xlfn.MAXIFS('4.방문기록'!$F$3:$F$502,'4.방문기록'!$B$3:$B$502,B47)=0,"",_xlfn.MAXIFS('4.방문기록'!$F$3:$F$502,'4.방문기록'!$B$3:$B$502,B47)))</f>
        <v/>
      </c>
      <c r="R47">
        <f>IF(O47="","",IFERROR(INDEX('4.방문기록'!$H$3:$H$502,MATCH(B47&amp;"|"&amp;(O47*1),'4.방문기록'!$I$3:$I$502,0))&amp;"",""))</f>
        <v/>
      </c>
      <c r="S47">
        <f>IF(B47="","",IF(R47="관심 없음","제외",IF(O47="","안 가봄",IF(P47&gt;=설정!$B$20,P47&amp;"일 지남","최근 방문"))))</f>
        <v/>
      </c>
      <c r="T47" s="8">
        <f>IF(B47="","",IF(S47="제외","",IF(AND(설정!$B$21&lt;&gt;"",L47&lt;&gt;설정!$B$21),"",IF(AND(Q47&lt;&gt;"",Q47&gt;N(O47),Q47&lt;=설정!$B$24+7),설정!$B$39+7-(Q47-설정!$B$24),IF(AND(G47&gt;0,OR(S47="안 가봄",RIGHT(S47,2)="지남")),G47+IF(O47="",설정!$B$36,MIN(P47,60)*설정!$B$37)+MIN(N(H47)/1000*설정!$B$38,20),"")))))</f>
        <v/>
      </c>
      <c r="U47">
        <f>IF(T47="","",COUNTIF(T$4:T$303,"&gt;"&amp;T47)+COUNTIF(T$4:T47,T47))</f>
        <v/>
      </c>
    </row>
    <row r="48">
      <c r="A48">
        <f>IF(B48="","",45)</f>
        <v/>
      </c>
      <c r="B48">
        <f>IFERROR(INDEX('2.현장'!$V$2:$V$1001,MATCH(45,'2.현장'!$W$2:$W$1001,0)),"")</f>
        <v/>
      </c>
      <c r="C48">
        <f>IF(B48="","",COUNTIFS('2.현장'!$V$2:$V$1001,B48,'2.현장'!$T$2:$T$1001,TRUE))</f>
        <v/>
      </c>
      <c r="D48">
        <f>IF(B48="","",COUNTIFS('2.현장'!$V$2:$V$1001,B48,'2.현장'!$U$2:$U$1001,"설계사"))</f>
        <v/>
      </c>
      <c r="E48">
        <f>IF(B48="","",COUNTIFS('2.현장'!$V$2:$V$1001,B48,'2.현장'!$U$2:$U$1001,"시공사"))</f>
        <v/>
      </c>
      <c r="F48">
        <f>IF(B48="","",COUNTIFS('2.현장'!$V$2:$V$1001,B48,'2.현장'!$T$2:$T$1001,TRUE,'2.현장'!$AA$2:$AA$1001,"★"))</f>
        <v/>
      </c>
      <c r="G48" s="6">
        <f>IF(B48="","",SUMIFS('2.현장'!$AB$2:$AB$1001,'2.현장'!$V$2:$V$1001,B48,'2.현장'!$T$2:$T$1001,TRUE))</f>
        <v/>
      </c>
      <c r="H48" s="5">
        <f>IF(B48="","",_xlfn.MAXIFS('2.현장'!$D$2:$D$1001,'2.현장'!$V$2:$V$1001,B48,'2.현장'!$T$2:$T$1001,TRUE))</f>
        <v/>
      </c>
      <c r="I48" s="7">
        <f>IF(B48="","",IF(_xlfn.MAXIFS('2.현장'!$L$2:$L$1001,'2.현장'!$V$2:$V$1001,B48,'2.현장'!$T$2:$T$1001,TRUE)=0,"",_xlfn.MAXIFS('2.현장'!$L$2:$L$1001,'2.현장'!$V$2:$V$1001,B48,'2.현장'!$T$2:$T$1001,TRUE)))</f>
        <v/>
      </c>
      <c r="J48" s="7">
        <f>IF(B48="","",IF(_xlfn.MAXIFS('2.현장'!$M$2:$M$1001,'2.현장'!$V$2:$V$1001,B48,'2.현장'!$T$2:$T$1001,TRUE)=0,"",_xlfn.MAXIFS('2.현장'!$M$2:$M$1001,'2.현장'!$V$2:$V$1001,B48,'2.현장'!$T$2:$T$1001,TRUE)))</f>
        <v/>
      </c>
      <c r="K48">
        <f>IF(B48="","",IFERROR(INDEX('2.현장'!$C$2:$C$1001,IFERROR(MATCH(B48&amp;"|설계사",'2.현장'!$Z$2:$Z$1001,0),IFERROR(MATCH(B48&amp;"|시공사",'2.현장'!$Z$2:$Z$1001,0),MATCH(B48&amp;"|늦음",'2.현장'!$Z$2:$Z$1001,0)))),""))</f>
        <v/>
      </c>
      <c r="L48">
        <f>IF(B48="","",IFERROR(INDEX('2.현장'!$N$2:$N$1001,IFERROR(MATCH(B48&amp;"|설계사",'2.현장'!$Z$2:$Z$1001,0),IFERROR(MATCH(B48&amp;"|시공사",'2.현장'!$Z$2:$Z$1001,0),MATCH(B48&amp;"|늦음",'2.현장'!$Z$2:$Z$1001,0)))),""))</f>
        <v/>
      </c>
      <c r="M48">
        <f>IF(B48="","",IFERROR(VLOOKUP(B48,업체_메모!$A$3:$I$302,2,FALSE)&amp;"",""))</f>
        <v/>
      </c>
      <c r="N48">
        <f>IF(B48="","",IFERROR(VLOOKUP(B48,업체_메모!$A$3:$I$302,4,FALSE)&amp;"",""))</f>
        <v/>
      </c>
      <c r="O48" s="7">
        <f>IF(B48="","",IF(COUNTIF('4.방문기록'!$B$3:$B$502,B48)=0,"",_xlfn.MAXIFS('4.방문기록'!$A$3:$A$502,'4.방문기록'!$B$3:$B$502,B48)))</f>
        <v/>
      </c>
      <c r="P48">
        <f>IF(O48="","",설정!$B$24-O48)</f>
        <v/>
      </c>
      <c r="Q48" s="7">
        <f>IF(B48="","",IF(_xlfn.MAXIFS('4.방문기록'!$F$3:$F$502,'4.방문기록'!$B$3:$B$502,B48)=0,"",_xlfn.MAXIFS('4.방문기록'!$F$3:$F$502,'4.방문기록'!$B$3:$B$502,B48)))</f>
        <v/>
      </c>
      <c r="R48">
        <f>IF(O48="","",IFERROR(INDEX('4.방문기록'!$H$3:$H$502,MATCH(B48&amp;"|"&amp;(O48*1),'4.방문기록'!$I$3:$I$502,0))&amp;"",""))</f>
        <v/>
      </c>
      <c r="S48">
        <f>IF(B48="","",IF(R48="관심 없음","제외",IF(O48="","안 가봄",IF(P48&gt;=설정!$B$20,P48&amp;"일 지남","최근 방문"))))</f>
        <v/>
      </c>
      <c r="T48" s="8">
        <f>IF(B48="","",IF(S48="제외","",IF(AND(설정!$B$21&lt;&gt;"",L48&lt;&gt;설정!$B$21),"",IF(AND(Q48&lt;&gt;"",Q48&gt;N(O48),Q48&lt;=설정!$B$24+7),설정!$B$39+7-(Q48-설정!$B$24),IF(AND(G48&gt;0,OR(S48="안 가봄",RIGHT(S48,2)="지남")),G48+IF(O48="",설정!$B$36,MIN(P48,60)*설정!$B$37)+MIN(N(H48)/1000*설정!$B$38,20),"")))))</f>
        <v/>
      </c>
      <c r="U48">
        <f>IF(T48="","",COUNTIF(T$4:T$303,"&gt;"&amp;T48)+COUNTIF(T$4:T48,T48))</f>
        <v/>
      </c>
    </row>
    <row r="49">
      <c r="A49">
        <f>IF(B49="","",46)</f>
        <v/>
      </c>
      <c r="B49">
        <f>IFERROR(INDEX('2.현장'!$V$2:$V$1001,MATCH(46,'2.현장'!$W$2:$W$1001,0)),"")</f>
        <v/>
      </c>
      <c r="C49">
        <f>IF(B49="","",COUNTIFS('2.현장'!$V$2:$V$1001,B49,'2.현장'!$T$2:$T$1001,TRUE))</f>
        <v/>
      </c>
      <c r="D49">
        <f>IF(B49="","",COUNTIFS('2.현장'!$V$2:$V$1001,B49,'2.현장'!$U$2:$U$1001,"설계사"))</f>
        <v/>
      </c>
      <c r="E49">
        <f>IF(B49="","",COUNTIFS('2.현장'!$V$2:$V$1001,B49,'2.현장'!$U$2:$U$1001,"시공사"))</f>
        <v/>
      </c>
      <c r="F49">
        <f>IF(B49="","",COUNTIFS('2.현장'!$V$2:$V$1001,B49,'2.현장'!$T$2:$T$1001,TRUE,'2.현장'!$AA$2:$AA$1001,"★"))</f>
        <v/>
      </c>
      <c r="G49" s="6">
        <f>IF(B49="","",SUMIFS('2.현장'!$AB$2:$AB$1001,'2.현장'!$V$2:$V$1001,B49,'2.현장'!$T$2:$T$1001,TRUE))</f>
        <v/>
      </c>
      <c r="H49" s="5">
        <f>IF(B49="","",_xlfn.MAXIFS('2.현장'!$D$2:$D$1001,'2.현장'!$V$2:$V$1001,B49,'2.현장'!$T$2:$T$1001,TRUE))</f>
        <v/>
      </c>
      <c r="I49" s="7">
        <f>IF(B49="","",IF(_xlfn.MAXIFS('2.현장'!$L$2:$L$1001,'2.현장'!$V$2:$V$1001,B49,'2.현장'!$T$2:$T$1001,TRUE)=0,"",_xlfn.MAXIFS('2.현장'!$L$2:$L$1001,'2.현장'!$V$2:$V$1001,B49,'2.현장'!$T$2:$T$1001,TRUE)))</f>
        <v/>
      </c>
      <c r="J49" s="7">
        <f>IF(B49="","",IF(_xlfn.MAXIFS('2.현장'!$M$2:$M$1001,'2.현장'!$V$2:$V$1001,B49,'2.현장'!$T$2:$T$1001,TRUE)=0,"",_xlfn.MAXIFS('2.현장'!$M$2:$M$1001,'2.현장'!$V$2:$V$1001,B49,'2.현장'!$T$2:$T$1001,TRUE)))</f>
        <v/>
      </c>
      <c r="K49">
        <f>IF(B49="","",IFERROR(INDEX('2.현장'!$C$2:$C$1001,IFERROR(MATCH(B49&amp;"|설계사",'2.현장'!$Z$2:$Z$1001,0),IFERROR(MATCH(B49&amp;"|시공사",'2.현장'!$Z$2:$Z$1001,0),MATCH(B49&amp;"|늦음",'2.현장'!$Z$2:$Z$1001,0)))),""))</f>
        <v/>
      </c>
      <c r="L49">
        <f>IF(B49="","",IFERROR(INDEX('2.현장'!$N$2:$N$1001,IFERROR(MATCH(B49&amp;"|설계사",'2.현장'!$Z$2:$Z$1001,0),IFERROR(MATCH(B49&amp;"|시공사",'2.현장'!$Z$2:$Z$1001,0),MATCH(B49&amp;"|늦음",'2.현장'!$Z$2:$Z$1001,0)))),""))</f>
        <v/>
      </c>
      <c r="M49">
        <f>IF(B49="","",IFERROR(VLOOKUP(B49,업체_메모!$A$3:$I$302,2,FALSE)&amp;"",""))</f>
        <v/>
      </c>
      <c r="N49">
        <f>IF(B49="","",IFERROR(VLOOKUP(B49,업체_메모!$A$3:$I$302,4,FALSE)&amp;"",""))</f>
        <v/>
      </c>
      <c r="O49" s="7">
        <f>IF(B49="","",IF(COUNTIF('4.방문기록'!$B$3:$B$502,B49)=0,"",_xlfn.MAXIFS('4.방문기록'!$A$3:$A$502,'4.방문기록'!$B$3:$B$502,B49)))</f>
        <v/>
      </c>
      <c r="P49">
        <f>IF(O49="","",설정!$B$24-O49)</f>
        <v/>
      </c>
      <c r="Q49" s="7">
        <f>IF(B49="","",IF(_xlfn.MAXIFS('4.방문기록'!$F$3:$F$502,'4.방문기록'!$B$3:$B$502,B49)=0,"",_xlfn.MAXIFS('4.방문기록'!$F$3:$F$502,'4.방문기록'!$B$3:$B$502,B49)))</f>
        <v/>
      </c>
      <c r="R49">
        <f>IF(O49="","",IFERROR(INDEX('4.방문기록'!$H$3:$H$502,MATCH(B49&amp;"|"&amp;(O49*1),'4.방문기록'!$I$3:$I$502,0))&amp;"",""))</f>
        <v/>
      </c>
      <c r="S49">
        <f>IF(B49="","",IF(R49="관심 없음","제외",IF(O49="","안 가봄",IF(P49&gt;=설정!$B$20,P49&amp;"일 지남","최근 방문"))))</f>
        <v/>
      </c>
      <c r="T49" s="8">
        <f>IF(B49="","",IF(S49="제외","",IF(AND(설정!$B$21&lt;&gt;"",L49&lt;&gt;설정!$B$21),"",IF(AND(Q49&lt;&gt;"",Q49&gt;N(O49),Q49&lt;=설정!$B$24+7),설정!$B$39+7-(Q49-설정!$B$24),IF(AND(G49&gt;0,OR(S49="안 가봄",RIGHT(S49,2)="지남")),G49+IF(O49="",설정!$B$36,MIN(P49,60)*설정!$B$37)+MIN(N(H49)/1000*설정!$B$38,20),"")))))</f>
        <v/>
      </c>
      <c r="U49">
        <f>IF(T49="","",COUNTIF(T$4:T$303,"&gt;"&amp;T49)+COUNTIF(T$4:T49,T49))</f>
        <v/>
      </c>
    </row>
    <row r="50">
      <c r="A50">
        <f>IF(B50="","",47)</f>
        <v/>
      </c>
      <c r="B50">
        <f>IFERROR(INDEX('2.현장'!$V$2:$V$1001,MATCH(47,'2.현장'!$W$2:$W$1001,0)),"")</f>
        <v/>
      </c>
      <c r="C50">
        <f>IF(B50="","",COUNTIFS('2.현장'!$V$2:$V$1001,B50,'2.현장'!$T$2:$T$1001,TRUE))</f>
        <v/>
      </c>
      <c r="D50">
        <f>IF(B50="","",COUNTIFS('2.현장'!$V$2:$V$1001,B50,'2.현장'!$U$2:$U$1001,"설계사"))</f>
        <v/>
      </c>
      <c r="E50">
        <f>IF(B50="","",COUNTIFS('2.현장'!$V$2:$V$1001,B50,'2.현장'!$U$2:$U$1001,"시공사"))</f>
        <v/>
      </c>
      <c r="F50">
        <f>IF(B50="","",COUNTIFS('2.현장'!$V$2:$V$1001,B50,'2.현장'!$T$2:$T$1001,TRUE,'2.현장'!$AA$2:$AA$1001,"★"))</f>
        <v/>
      </c>
      <c r="G50" s="6">
        <f>IF(B50="","",SUMIFS('2.현장'!$AB$2:$AB$1001,'2.현장'!$V$2:$V$1001,B50,'2.현장'!$T$2:$T$1001,TRUE))</f>
        <v/>
      </c>
      <c r="H50" s="5">
        <f>IF(B50="","",_xlfn.MAXIFS('2.현장'!$D$2:$D$1001,'2.현장'!$V$2:$V$1001,B50,'2.현장'!$T$2:$T$1001,TRUE))</f>
        <v/>
      </c>
      <c r="I50" s="7">
        <f>IF(B50="","",IF(_xlfn.MAXIFS('2.현장'!$L$2:$L$1001,'2.현장'!$V$2:$V$1001,B50,'2.현장'!$T$2:$T$1001,TRUE)=0,"",_xlfn.MAXIFS('2.현장'!$L$2:$L$1001,'2.현장'!$V$2:$V$1001,B50,'2.현장'!$T$2:$T$1001,TRUE)))</f>
        <v/>
      </c>
      <c r="J50" s="7">
        <f>IF(B50="","",IF(_xlfn.MAXIFS('2.현장'!$M$2:$M$1001,'2.현장'!$V$2:$V$1001,B50,'2.현장'!$T$2:$T$1001,TRUE)=0,"",_xlfn.MAXIFS('2.현장'!$M$2:$M$1001,'2.현장'!$V$2:$V$1001,B50,'2.현장'!$T$2:$T$1001,TRUE)))</f>
        <v/>
      </c>
      <c r="K50">
        <f>IF(B50="","",IFERROR(INDEX('2.현장'!$C$2:$C$1001,IFERROR(MATCH(B50&amp;"|설계사",'2.현장'!$Z$2:$Z$1001,0),IFERROR(MATCH(B50&amp;"|시공사",'2.현장'!$Z$2:$Z$1001,0),MATCH(B50&amp;"|늦음",'2.현장'!$Z$2:$Z$1001,0)))),""))</f>
        <v/>
      </c>
      <c r="L50">
        <f>IF(B50="","",IFERROR(INDEX('2.현장'!$N$2:$N$1001,IFERROR(MATCH(B50&amp;"|설계사",'2.현장'!$Z$2:$Z$1001,0),IFERROR(MATCH(B50&amp;"|시공사",'2.현장'!$Z$2:$Z$1001,0),MATCH(B50&amp;"|늦음",'2.현장'!$Z$2:$Z$1001,0)))),""))</f>
        <v/>
      </c>
      <c r="M50">
        <f>IF(B50="","",IFERROR(VLOOKUP(B50,업체_메모!$A$3:$I$302,2,FALSE)&amp;"",""))</f>
        <v/>
      </c>
      <c r="N50">
        <f>IF(B50="","",IFERROR(VLOOKUP(B50,업체_메모!$A$3:$I$302,4,FALSE)&amp;"",""))</f>
        <v/>
      </c>
      <c r="O50" s="7">
        <f>IF(B50="","",IF(COUNTIF('4.방문기록'!$B$3:$B$502,B50)=0,"",_xlfn.MAXIFS('4.방문기록'!$A$3:$A$502,'4.방문기록'!$B$3:$B$502,B50)))</f>
        <v/>
      </c>
      <c r="P50">
        <f>IF(O50="","",설정!$B$24-O50)</f>
        <v/>
      </c>
      <c r="Q50" s="7">
        <f>IF(B50="","",IF(_xlfn.MAXIFS('4.방문기록'!$F$3:$F$502,'4.방문기록'!$B$3:$B$502,B50)=0,"",_xlfn.MAXIFS('4.방문기록'!$F$3:$F$502,'4.방문기록'!$B$3:$B$502,B50)))</f>
        <v/>
      </c>
      <c r="R50">
        <f>IF(O50="","",IFERROR(INDEX('4.방문기록'!$H$3:$H$502,MATCH(B50&amp;"|"&amp;(O50*1),'4.방문기록'!$I$3:$I$502,0))&amp;"",""))</f>
        <v/>
      </c>
      <c r="S50">
        <f>IF(B50="","",IF(R50="관심 없음","제외",IF(O50="","안 가봄",IF(P50&gt;=설정!$B$20,P50&amp;"일 지남","최근 방문"))))</f>
        <v/>
      </c>
      <c r="T50" s="8">
        <f>IF(B50="","",IF(S50="제외","",IF(AND(설정!$B$21&lt;&gt;"",L50&lt;&gt;설정!$B$21),"",IF(AND(Q50&lt;&gt;"",Q50&gt;N(O50),Q50&lt;=설정!$B$24+7),설정!$B$39+7-(Q50-설정!$B$24),IF(AND(G50&gt;0,OR(S50="안 가봄",RIGHT(S50,2)="지남")),G50+IF(O50="",설정!$B$36,MIN(P50,60)*설정!$B$37)+MIN(N(H50)/1000*설정!$B$38,20),"")))))</f>
        <v/>
      </c>
      <c r="U50">
        <f>IF(T50="","",COUNTIF(T$4:T$303,"&gt;"&amp;T50)+COUNTIF(T$4:T50,T50))</f>
        <v/>
      </c>
    </row>
    <row r="51">
      <c r="A51">
        <f>IF(B51="","",48)</f>
        <v/>
      </c>
      <c r="B51">
        <f>IFERROR(INDEX('2.현장'!$V$2:$V$1001,MATCH(48,'2.현장'!$W$2:$W$1001,0)),"")</f>
        <v/>
      </c>
      <c r="C51">
        <f>IF(B51="","",COUNTIFS('2.현장'!$V$2:$V$1001,B51,'2.현장'!$T$2:$T$1001,TRUE))</f>
        <v/>
      </c>
      <c r="D51">
        <f>IF(B51="","",COUNTIFS('2.현장'!$V$2:$V$1001,B51,'2.현장'!$U$2:$U$1001,"설계사"))</f>
        <v/>
      </c>
      <c r="E51">
        <f>IF(B51="","",COUNTIFS('2.현장'!$V$2:$V$1001,B51,'2.현장'!$U$2:$U$1001,"시공사"))</f>
        <v/>
      </c>
      <c r="F51">
        <f>IF(B51="","",COUNTIFS('2.현장'!$V$2:$V$1001,B51,'2.현장'!$T$2:$T$1001,TRUE,'2.현장'!$AA$2:$AA$1001,"★"))</f>
        <v/>
      </c>
      <c r="G51" s="6">
        <f>IF(B51="","",SUMIFS('2.현장'!$AB$2:$AB$1001,'2.현장'!$V$2:$V$1001,B51,'2.현장'!$T$2:$T$1001,TRUE))</f>
        <v/>
      </c>
      <c r="H51" s="5">
        <f>IF(B51="","",_xlfn.MAXIFS('2.현장'!$D$2:$D$1001,'2.현장'!$V$2:$V$1001,B51,'2.현장'!$T$2:$T$1001,TRUE))</f>
        <v/>
      </c>
      <c r="I51" s="7">
        <f>IF(B51="","",IF(_xlfn.MAXIFS('2.현장'!$L$2:$L$1001,'2.현장'!$V$2:$V$1001,B51,'2.현장'!$T$2:$T$1001,TRUE)=0,"",_xlfn.MAXIFS('2.현장'!$L$2:$L$1001,'2.현장'!$V$2:$V$1001,B51,'2.현장'!$T$2:$T$1001,TRUE)))</f>
        <v/>
      </c>
      <c r="J51" s="7">
        <f>IF(B51="","",IF(_xlfn.MAXIFS('2.현장'!$M$2:$M$1001,'2.현장'!$V$2:$V$1001,B51,'2.현장'!$T$2:$T$1001,TRUE)=0,"",_xlfn.MAXIFS('2.현장'!$M$2:$M$1001,'2.현장'!$V$2:$V$1001,B51,'2.현장'!$T$2:$T$1001,TRUE)))</f>
        <v/>
      </c>
      <c r="K51">
        <f>IF(B51="","",IFERROR(INDEX('2.현장'!$C$2:$C$1001,IFERROR(MATCH(B51&amp;"|설계사",'2.현장'!$Z$2:$Z$1001,0),IFERROR(MATCH(B51&amp;"|시공사",'2.현장'!$Z$2:$Z$1001,0),MATCH(B51&amp;"|늦음",'2.현장'!$Z$2:$Z$1001,0)))),""))</f>
        <v/>
      </c>
      <c r="L51">
        <f>IF(B51="","",IFERROR(INDEX('2.현장'!$N$2:$N$1001,IFERROR(MATCH(B51&amp;"|설계사",'2.현장'!$Z$2:$Z$1001,0),IFERROR(MATCH(B51&amp;"|시공사",'2.현장'!$Z$2:$Z$1001,0),MATCH(B51&amp;"|늦음",'2.현장'!$Z$2:$Z$1001,0)))),""))</f>
        <v/>
      </c>
      <c r="M51">
        <f>IF(B51="","",IFERROR(VLOOKUP(B51,업체_메모!$A$3:$I$302,2,FALSE)&amp;"",""))</f>
        <v/>
      </c>
      <c r="N51">
        <f>IF(B51="","",IFERROR(VLOOKUP(B51,업체_메모!$A$3:$I$302,4,FALSE)&amp;"",""))</f>
        <v/>
      </c>
      <c r="O51" s="7">
        <f>IF(B51="","",IF(COUNTIF('4.방문기록'!$B$3:$B$502,B51)=0,"",_xlfn.MAXIFS('4.방문기록'!$A$3:$A$502,'4.방문기록'!$B$3:$B$502,B51)))</f>
        <v/>
      </c>
      <c r="P51">
        <f>IF(O51="","",설정!$B$24-O51)</f>
        <v/>
      </c>
      <c r="Q51" s="7">
        <f>IF(B51="","",IF(_xlfn.MAXIFS('4.방문기록'!$F$3:$F$502,'4.방문기록'!$B$3:$B$502,B51)=0,"",_xlfn.MAXIFS('4.방문기록'!$F$3:$F$502,'4.방문기록'!$B$3:$B$502,B51)))</f>
        <v/>
      </c>
      <c r="R51">
        <f>IF(O51="","",IFERROR(INDEX('4.방문기록'!$H$3:$H$502,MATCH(B51&amp;"|"&amp;(O51*1),'4.방문기록'!$I$3:$I$502,0))&amp;"",""))</f>
        <v/>
      </c>
      <c r="S51">
        <f>IF(B51="","",IF(R51="관심 없음","제외",IF(O51="","안 가봄",IF(P51&gt;=설정!$B$20,P51&amp;"일 지남","최근 방문"))))</f>
        <v/>
      </c>
      <c r="T51" s="8">
        <f>IF(B51="","",IF(S51="제외","",IF(AND(설정!$B$21&lt;&gt;"",L51&lt;&gt;설정!$B$21),"",IF(AND(Q51&lt;&gt;"",Q51&gt;N(O51),Q51&lt;=설정!$B$24+7),설정!$B$39+7-(Q51-설정!$B$24),IF(AND(G51&gt;0,OR(S51="안 가봄",RIGHT(S51,2)="지남")),G51+IF(O51="",설정!$B$36,MIN(P51,60)*설정!$B$37)+MIN(N(H51)/1000*설정!$B$38,20),"")))))</f>
        <v/>
      </c>
      <c r="U51">
        <f>IF(T51="","",COUNTIF(T$4:T$303,"&gt;"&amp;T51)+COUNTIF(T$4:T51,T51))</f>
        <v/>
      </c>
    </row>
    <row r="52">
      <c r="A52">
        <f>IF(B52="","",49)</f>
        <v/>
      </c>
      <c r="B52">
        <f>IFERROR(INDEX('2.현장'!$V$2:$V$1001,MATCH(49,'2.현장'!$W$2:$W$1001,0)),"")</f>
        <v/>
      </c>
      <c r="C52">
        <f>IF(B52="","",COUNTIFS('2.현장'!$V$2:$V$1001,B52,'2.현장'!$T$2:$T$1001,TRUE))</f>
        <v/>
      </c>
      <c r="D52">
        <f>IF(B52="","",COUNTIFS('2.현장'!$V$2:$V$1001,B52,'2.현장'!$U$2:$U$1001,"설계사"))</f>
        <v/>
      </c>
      <c r="E52">
        <f>IF(B52="","",COUNTIFS('2.현장'!$V$2:$V$1001,B52,'2.현장'!$U$2:$U$1001,"시공사"))</f>
        <v/>
      </c>
      <c r="F52">
        <f>IF(B52="","",COUNTIFS('2.현장'!$V$2:$V$1001,B52,'2.현장'!$T$2:$T$1001,TRUE,'2.현장'!$AA$2:$AA$1001,"★"))</f>
        <v/>
      </c>
      <c r="G52" s="6">
        <f>IF(B52="","",SUMIFS('2.현장'!$AB$2:$AB$1001,'2.현장'!$V$2:$V$1001,B52,'2.현장'!$T$2:$T$1001,TRUE))</f>
        <v/>
      </c>
      <c r="H52" s="5">
        <f>IF(B52="","",_xlfn.MAXIFS('2.현장'!$D$2:$D$1001,'2.현장'!$V$2:$V$1001,B52,'2.현장'!$T$2:$T$1001,TRUE))</f>
        <v/>
      </c>
      <c r="I52" s="7">
        <f>IF(B52="","",IF(_xlfn.MAXIFS('2.현장'!$L$2:$L$1001,'2.현장'!$V$2:$V$1001,B52,'2.현장'!$T$2:$T$1001,TRUE)=0,"",_xlfn.MAXIFS('2.현장'!$L$2:$L$1001,'2.현장'!$V$2:$V$1001,B52,'2.현장'!$T$2:$T$1001,TRUE)))</f>
        <v/>
      </c>
      <c r="J52" s="7">
        <f>IF(B52="","",IF(_xlfn.MAXIFS('2.현장'!$M$2:$M$1001,'2.현장'!$V$2:$V$1001,B52,'2.현장'!$T$2:$T$1001,TRUE)=0,"",_xlfn.MAXIFS('2.현장'!$M$2:$M$1001,'2.현장'!$V$2:$V$1001,B52,'2.현장'!$T$2:$T$1001,TRUE)))</f>
        <v/>
      </c>
      <c r="K52">
        <f>IF(B52="","",IFERROR(INDEX('2.현장'!$C$2:$C$1001,IFERROR(MATCH(B52&amp;"|설계사",'2.현장'!$Z$2:$Z$1001,0),IFERROR(MATCH(B52&amp;"|시공사",'2.현장'!$Z$2:$Z$1001,0),MATCH(B52&amp;"|늦음",'2.현장'!$Z$2:$Z$1001,0)))),""))</f>
        <v/>
      </c>
      <c r="L52">
        <f>IF(B52="","",IFERROR(INDEX('2.현장'!$N$2:$N$1001,IFERROR(MATCH(B52&amp;"|설계사",'2.현장'!$Z$2:$Z$1001,0),IFERROR(MATCH(B52&amp;"|시공사",'2.현장'!$Z$2:$Z$1001,0),MATCH(B52&amp;"|늦음",'2.현장'!$Z$2:$Z$1001,0)))),""))</f>
        <v/>
      </c>
      <c r="M52">
        <f>IF(B52="","",IFERROR(VLOOKUP(B52,업체_메모!$A$3:$I$302,2,FALSE)&amp;"",""))</f>
        <v/>
      </c>
      <c r="N52">
        <f>IF(B52="","",IFERROR(VLOOKUP(B52,업체_메모!$A$3:$I$302,4,FALSE)&amp;"",""))</f>
        <v/>
      </c>
      <c r="O52" s="7">
        <f>IF(B52="","",IF(COUNTIF('4.방문기록'!$B$3:$B$502,B52)=0,"",_xlfn.MAXIFS('4.방문기록'!$A$3:$A$502,'4.방문기록'!$B$3:$B$502,B52)))</f>
        <v/>
      </c>
      <c r="P52">
        <f>IF(O52="","",설정!$B$24-O52)</f>
        <v/>
      </c>
      <c r="Q52" s="7">
        <f>IF(B52="","",IF(_xlfn.MAXIFS('4.방문기록'!$F$3:$F$502,'4.방문기록'!$B$3:$B$502,B52)=0,"",_xlfn.MAXIFS('4.방문기록'!$F$3:$F$502,'4.방문기록'!$B$3:$B$502,B52)))</f>
        <v/>
      </c>
      <c r="R52">
        <f>IF(O52="","",IFERROR(INDEX('4.방문기록'!$H$3:$H$502,MATCH(B52&amp;"|"&amp;(O52*1),'4.방문기록'!$I$3:$I$502,0))&amp;"",""))</f>
        <v/>
      </c>
      <c r="S52">
        <f>IF(B52="","",IF(R52="관심 없음","제외",IF(O52="","안 가봄",IF(P52&gt;=설정!$B$20,P52&amp;"일 지남","최근 방문"))))</f>
        <v/>
      </c>
      <c r="T52" s="8">
        <f>IF(B52="","",IF(S52="제외","",IF(AND(설정!$B$21&lt;&gt;"",L52&lt;&gt;설정!$B$21),"",IF(AND(Q52&lt;&gt;"",Q52&gt;N(O52),Q52&lt;=설정!$B$24+7),설정!$B$39+7-(Q52-설정!$B$24),IF(AND(G52&gt;0,OR(S52="안 가봄",RIGHT(S52,2)="지남")),G52+IF(O52="",설정!$B$36,MIN(P52,60)*설정!$B$37)+MIN(N(H52)/1000*설정!$B$38,20),"")))))</f>
        <v/>
      </c>
      <c r="U52">
        <f>IF(T52="","",COUNTIF(T$4:T$303,"&gt;"&amp;T52)+COUNTIF(T$4:T52,T52))</f>
        <v/>
      </c>
    </row>
    <row r="53">
      <c r="A53">
        <f>IF(B53="","",50)</f>
        <v/>
      </c>
      <c r="B53">
        <f>IFERROR(INDEX('2.현장'!$V$2:$V$1001,MATCH(50,'2.현장'!$W$2:$W$1001,0)),"")</f>
        <v/>
      </c>
      <c r="C53">
        <f>IF(B53="","",COUNTIFS('2.현장'!$V$2:$V$1001,B53,'2.현장'!$T$2:$T$1001,TRUE))</f>
        <v/>
      </c>
      <c r="D53">
        <f>IF(B53="","",COUNTIFS('2.현장'!$V$2:$V$1001,B53,'2.현장'!$U$2:$U$1001,"설계사"))</f>
        <v/>
      </c>
      <c r="E53">
        <f>IF(B53="","",COUNTIFS('2.현장'!$V$2:$V$1001,B53,'2.현장'!$U$2:$U$1001,"시공사"))</f>
        <v/>
      </c>
      <c r="F53">
        <f>IF(B53="","",COUNTIFS('2.현장'!$V$2:$V$1001,B53,'2.현장'!$T$2:$T$1001,TRUE,'2.현장'!$AA$2:$AA$1001,"★"))</f>
        <v/>
      </c>
      <c r="G53" s="6">
        <f>IF(B53="","",SUMIFS('2.현장'!$AB$2:$AB$1001,'2.현장'!$V$2:$V$1001,B53,'2.현장'!$T$2:$T$1001,TRUE))</f>
        <v/>
      </c>
      <c r="H53" s="5">
        <f>IF(B53="","",_xlfn.MAXIFS('2.현장'!$D$2:$D$1001,'2.현장'!$V$2:$V$1001,B53,'2.현장'!$T$2:$T$1001,TRUE))</f>
        <v/>
      </c>
      <c r="I53" s="7">
        <f>IF(B53="","",IF(_xlfn.MAXIFS('2.현장'!$L$2:$L$1001,'2.현장'!$V$2:$V$1001,B53,'2.현장'!$T$2:$T$1001,TRUE)=0,"",_xlfn.MAXIFS('2.현장'!$L$2:$L$1001,'2.현장'!$V$2:$V$1001,B53,'2.현장'!$T$2:$T$1001,TRUE)))</f>
        <v/>
      </c>
      <c r="J53" s="7">
        <f>IF(B53="","",IF(_xlfn.MAXIFS('2.현장'!$M$2:$M$1001,'2.현장'!$V$2:$V$1001,B53,'2.현장'!$T$2:$T$1001,TRUE)=0,"",_xlfn.MAXIFS('2.현장'!$M$2:$M$1001,'2.현장'!$V$2:$V$1001,B53,'2.현장'!$T$2:$T$1001,TRUE)))</f>
        <v/>
      </c>
      <c r="K53">
        <f>IF(B53="","",IFERROR(INDEX('2.현장'!$C$2:$C$1001,IFERROR(MATCH(B53&amp;"|설계사",'2.현장'!$Z$2:$Z$1001,0),IFERROR(MATCH(B53&amp;"|시공사",'2.현장'!$Z$2:$Z$1001,0),MATCH(B53&amp;"|늦음",'2.현장'!$Z$2:$Z$1001,0)))),""))</f>
        <v/>
      </c>
      <c r="L53">
        <f>IF(B53="","",IFERROR(INDEX('2.현장'!$N$2:$N$1001,IFERROR(MATCH(B53&amp;"|설계사",'2.현장'!$Z$2:$Z$1001,0),IFERROR(MATCH(B53&amp;"|시공사",'2.현장'!$Z$2:$Z$1001,0),MATCH(B53&amp;"|늦음",'2.현장'!$Z$2:$Z$1001,0)))),""))</f>
        <v/>
      </c>
      <c r="M53">
        <f>IF(B53="","",IFERROR(VLOOKUP(B53,업체_메모!$A$3:$I$302,2,FALSE)&amp;"",""))</f>
        <v/>
      </c>
      <c r="N53">
        <f>IF(B53="","",IFERROR(VLOOKUP(B53,업체_메모!$A$3:$I$302,4,FALSE)&amp;"",""))</f>
        <v/>
      </c>
      <c r="O53" s="7">
        <f>IF(B53="","",IF(COUNTIF('4.방문기록'!$B$3:$B$502,B53)=0,"",_xlfn.MAXIFS('4.방문기록'!$A$3:$A$502,'4.방문기록'!$B$3:$B$502,B53)))</f>
        <v/>
      </c>
      <c r="P53">
        <f>IF(O53="","",설정!$B$24-O53)</f>
        <v/>
      </c>
      <c r="Q53" s="7">
        <f>IF(B53="","",IF(_xlfn.MAXIFS('4.방문기록'!$F$3:$F$502,'4.방문기록'!$B$3:$B$502,B53)=0,"",_xlfn.MAXIFS('4.방문기록'!$F$3:$F$502,'4.방문기록'!$B$3:$B$502,B53)))</f>
        <v/>
      </c>
      <c r="R53">
        <f>IF(O53="","",IFERROR(INDEX('4.방문기록'!$H$3:$H$502,MATCH(B53&amp;"|"&amp;(O53*1),'4.방문기록'!$I$3:$I$502,0))&amp;"",""))</f>
        <v/>
      </c>
      <c r="S53">
        <f>IF(B53="","",IF(R53="관심 없음","제외",IF(O53="","안 가봄",IF(P53&gt;=설정!$B$20,P53&amp;"일 지남","최근 방문"))))</f>
        <v/>
      </c>
      <c r="T53" s="8">
        <f>IF(B53="","",IF(S53="제외","",IF(AND(설정!$B$21&lt;&gt;"",L53&lt;&gt;설정!$B$21),"",IF(AND(Q53&lt;&gt;"",Q53&gt;N(O53),Q53&lt;=설정!$B$24+7),설정!$B$39+7-(Q53-설정!$B$24),IF(AND(G53&gt;0,OR(S53="안 가봄",RIGHT(S53,2)="지남")),G53+IF(O53="",설정!$B$36,MIN(P53,60)*설정!$B$37)+MIN(N(H53)/1000*설정!$B$38,20),"")))))</f>
        <v/>
      </c>
      <c r="U53">
        <f>IF(T53="","",COUNTIF(T$4:T$303,"&gt;"&amp;T53)+COUNTIF(T$4:T53,T53))</f>
        <v/>
      </c>
    </row>
    <row r="54">
      <c r="A54">
        <f>IF(B54="","",51)</f>
        <v/>
      </c>
      <c r="B54">
        <f>IFERROR(INDEX('2.현장'!$V$2:$V$1001,MATCH(51,'2.현장'!$W$2:$W$1001,0)),"")</f>
        <v/>
      </c>
      <c r="C54">
        <f>IF(B54="","",COUNTIFS('2.현장'!$V$2:$V$1001,B54,'2.현장'!$T$2:$T$1001,TRUE))</f>
        <v/>
      </c>
      <c r="D54">
        <f>IF(B54="","",COUNTIFS('2.현장'!$V$2:$V$1001,B54,'2.현장'!$U$2:$U$1001,"설계사"))</f>
        <v/>
      </c>
      <c r="E54">
        <f>IF(B54="","",COUNTIFS('2.현장'!$V$2:$V$1001,B54,'2.현장'!$U$2:$U$1001,"시공사"))</f>
        <v/>
      </c>
      <c r="F54">
        <f>IF(B54="","",COUNTIFS('2.현장'!$V$2:$V$1001,B54,'2.현장'!$T$2:$T$1001,TRUE,'2.현장'!$AA$2:$AA$1001,"★"))</f>
        <v/>
      </c>
      <c r="G54" s="6">
        <f>IF(B54="","",SUMIFS('2.현장'!$AB$2:$AB$1001,'2.현장'!$V$2:$V$1001,B54,'2.현장'!$T$2:$T$1001,TRUE))</f>
        <v/>
      </c>
      <c r="H54" s="5">
        <f>IF(B54="","",_xlfn.MAXIFS('2.현장'!$D$2:$D$1001,'2.현장'!$V$2:$V$1001,B54,'2.현장'!$T$2:$T$1001,TRUE))</f>
        <v/>
      </c>
      <c r="I54" s="7">
        <f>IF(B54="","",IF(_xlfn.MAXIFS('2.현장'!$L$2:$L$1001,'2.현장'!$V$2:$V$1001,B54,'2.현장'!$T$2:$T$1001,TRUE)=0,"",_xlfn.MAXIFS('2.현장'!$L$2:$L$1001,'2.현장'!$V$2:$V$1001,B54,'2.현장'!$T$2:$T$1001,TRUE)))</f>
        <v/>
      </c>
      <c r="J54" s="7">
        <f>IF(B54="","",IF(_xlfn.MAXIFS('2.현장'!$M$2:$M$1001,'2.현장'!$V$2:$V$1001,B54,'2.현장'!$T$2:$T$1001,TRUE)=0,"",_xlfn.MAXIFS('2.현장'!$M$2:$M$1001,'2.현장'!$V$2:$V$1001,B54,'2.현장'!$T$2:$T$1001,TRUE)))</f>
        <v/>
      </c>
      <c r="K54">
        <f>IF(B54="","",IFERROR(INDEX('2.현장'!$C$2:$C$1001,IFERROR(MATCH(B54&amp;"|설계사",'2.현장'!$Z$2:$Z$1001,0),IFERROR(MATCH(B54&amp;"|시공사",'2.현장'!$Z$2:$Z$1001,0),MATCH(B54&amp;"|늦음",'2.현장'!$Z$2:$Z$1001,0)))),""))</f>
        <v/>
      </c>
      <c r="L54">
        <f>IF(B54="","",IFERROR(INDEX('2.현장'!$N$2:$N$1001,IFERROR(MATCH(B54&amp;"|설계사",'2.현장'!$Z$2:$Z$1001,0),IFERROR(MATCH(B54&amp;"|시공사",'2.현장'!$Z$2:$Z$1001,0),MATCH(B54&amp;"|늦음",'2.현장'!$Z$2:$Z$1001,0)))),""))</f>
        <v/>
      </c>
      <c r="M54">
        <f>IF(B54="","",IFERROR(VLOOKUP(B54,업체_메모!$A$3:$I$302,2,FALSE)&amp;"",""))</f>
        <v/>
      </c>
      <c r="N54">
        <f>IF(B54="","",IFERROR(VLOOKUP(B54,업체_메모!$A$3:$I$302,4,FALSE)&amp;"",""))</f>
        <v/>
      </c>
      <c r="O54" s="7">
        <f>IF(B54="","",IF(COUNTIF('4.방문기록'!$B$3:$B$502,B54)=0,"",_xlfn.MAXIFS('4.방문기록'!$A$3:$A$502,'4.방문기록'!$B$3:$B$502,B54)))</f>
        <v/>
      </c>
      <c r="P54">
        <f>IF(O54="","",설정!$B$24-O54)</f>
        <v/>
      </c>
      <c r="Q54" s="7">
        <f>IF(B54="","",IF(_xlfn.MAXIFS('4.방문기록'!$F$3:$F$502,'4.방문기록'!$B$3:$B$502,B54)=0,"",_xlfn.MAXIFS('4.방문기록'!$F$3:$F$502,'4.방문기록'!$B$3:$B$502,B54)))</f>
        <v/>
      </c>
      <c r="R54">
        <f>IF(O54="","",IFERROR(INDEX('4.방문기록'!$H$3:$H$502,MATCH(B54&amp;"|"&amp;(O54*1),'4.방문기록'!$I$3:$I$502,0))&amp;"",""))</f>
        <v/>
      </c>
      <c r="S54">
        <f>IF(B54="","",IF(R54="관심 없음","제외",IF(O54="","안 가봄",IF(P54&gt;=설정!$B$20,P54&amp;"일 지남","최근 방문"))))</f>
        <v/>
      </c>
      <c r="T54" s="8">
        <f>IF(B54="","",IF(S54="제외","",IF(AND(설정!$B$21&lt;&gt;"",L54&lt;&gt;설정!$B$21),"",IF(AND(Q54&lt;&gt;"",Q54&gt;N(O54),Q54&lt;=설정!$B$24+7),설정!$B$39+7-(Q54-설정!$B$24),IF(AND(G54&gt;0,OR(S54="안 가봄",RIGHT(S54,2)="지남")),G54+IF(O54="",설정!$B$36,MIN(P54,60)*설정!$B$37)+MIN(N(H54)/1000*설정!$B$38,20),"")))))</f>
        <v/>
      </c>
      <c r="U54">
        <f>IF(T54="","",COUNTIF(T$4:T$303,"&gt;"&amp;T54)+COUNTIF(T$4:T54,T54))</f>
        <v/>
      </c>
    </row>
    <row r="55">
      <c r="A55">
        <f>IF(B55="","",52)</f>
        <v/>
      </c>
      <c r="B55">
        <f>IFERROR(INDEX('2.현장'!$V$2:$V$1001,MATCH(52,'2.현장'!$W$2:$W$1001,0)),"")</f>
        <v/>
      </c>
      <c r="C55">
        <f>IF(B55="","",COUNTIFS('2.현장'!$V$2:$V$1001,B55,'2.현장'!$T$2:$T$1001,TRUE))</f>
        <v/>
      </c>
      <c r="D55">
        <f>IF(B55="","",COUNTIFS('2.현장'!$V$2:$V$1001,B55,'2.현장'!$U$2:$U$1001,"설계사"))</f>
        <v/>
      </c>
      <c r="E55">
        <f>IF(B55="","",COUNTIFS('2.현장'!$V$2:$V$1001,B55,'2.현장'!$U$2:$U$1001,"시공사"))</f>
        <v/>
      </c>
      <c r="F55">
        <f>IF(B55="","",COUNTIFS('2.현장'!$V$2:$V$1001,B55,'2.현장'!$T$2:$T$1001,TRUE,'2.현장'!$AA$2:$AA$1001,"★"))</f>
        <v/>
      </c>
      <c r="G55" s="6">
        <f>IF(B55="","",SUMIFS('2.현장'!$AB$2:$AB$1001,'2.현장'!$V$2:$V$1001,B55,'2.현장'!$T$2:$T$1001,TRUE))</f>
        <v/>
      </c>
      <c r="H55" s="5">
        <f>IF(B55="","",_xlfn.MAXIFS('2.현장'!$D$2:$D$1001,'2.현장'!$V$2:$V$1001,B55,'2.현장'!$T$2:$T$1001,TRUE))</f>
        <v/>
      </c>
      <c r="I55" s="7">
        <f>IF(B55="","",IF(_xlfn.MAXIFS('2.현장'!$L$2:$L$1001,'2.현장'!$V$2:$V$1001,B55,'2.현장'!$T$2:$T$1001,TRUE)=0,"",_xlfn.MAXIFS('2.현장'!$L$2:$L$1001,'2.현장'!$V$2:$V$1001,B55,'2.현장'!$T$2:$T$1001,TRUE)))</f>
        <v/>
      </c>
      <c r="J55" s="7">
        <f>IF(B55="","",IF(_xlfn.MAXIFS('2.현장'!$M$2:$M$1001,'2.현장'!$V$2:$V$1001,B55,'2.현장'!$T$2:$T$1001,TRUE)=0,"",_xlfn.MAXIFS('2.현장'!$M$2:$M$1001,'2.현장'!$V$2:$V$1001,B55,'2.현장'!$T$2:$T$1001,TRUE)))</f>
        <v/>
      </c>
      <c r="K55">
        <f>IF(B55="","",IFERROR(INDEX('2.현장'!$C$2:$C$1001,IFERROR(MATCH(B55&amp;"|설계사",'2.현장'!$Z$2:$Z$1001,0),IFERROR(MATCH(B55&amp;"|시공사",'2.현장'!$Z$2:$Z$1001,0),MATCH(B55&amp;"|늦음",'2.현장'!$Z$2:$Z$1001,0)))),""))</f>
        <v/>
      </c>
      <c r="L55">
        <f>IF(B55="","",IFERROR(INDEX('2.현장'!$N$2:$N$1001,IFERROR(MATCH(B55&amp;"|설계사",'2.현장'!$Z$2:$Z$1001,0),IFERROR(MATCH(B55&amp;"|시공사",'2.현장'!$Z$2:$Z$1001,0),MATCH(B55&amp;"|늦음",'2.현장'!$Z$2:$Z$1001,0)))),""))</f>
        <v/>
      </c>
      <c r="M55">
        <f>IF(B55="","",IFERROR(VLOOKUP(B55,업체_메모!$A$3:$I$302,2,FALSE)&amp;"",""))</f>
        <v/>
      </c>
      <c r="N55">
        <f>IF(B55="","",IFERROR(VLOOKUP(B55,업체_메모!$A$3:$I$302,4,FALSE)&amp;"",""))</f>
        <v/>
      </c>
      <c r="O55" s="7">
        <f>IF(B55="","",IF(COUNTIF('4.방문기록'!$B$3:$B$502,B55)=0,"",_xlfn.MAXIFS('4.방문기록'!$A$3:$A$502,'4.방문기록'!$B$3:$B$502,B55)))</f>
        <v/>
      </c>
      <c r="P55">
        <f>IF(O55="","",설정!$B$24-O55)</f>
        <v/>
      </c>
      <c r="Q55" s="7">
        <f>IF(B55="","",IF(_xlfn.MAXIFS('4.방문기록'!$F$3:$F$502,'4.방문기록'!$B$3:$B$502,B55)=0,"",_xlfn.MAXIFS('4.방문기록'!$F$3:$F$502,'4.방문기록'!$B$3:$B$502,B55)))</f>
        <v/>
      </c>
      <c r="R55">
        <f>IF(O55="","",IFERROR(INDEX('4.방문기록'!$H$3:$H$502,MATCH(B55&amp;"|"&amp;(O55*1),'4.방문기록'!$I$3:$I$502,0))&amp;"",""))</f>
        <v/>
      </c>
      <c r="S55">
        <f>IF(B55="","",IF(R55="관심 없음","제외",IF(O55="","안 가봄",IF(P55&gt;=설정!$B$20,P55&amp;"일 지남","최근 방문"))))</f>
        <v/>
      </c>
      <c r="T55" s="8">
        <f>IF(B55="","",IF(S55="제외","",IF(AND(설정!$B$21&lt;&gt;"",L55&lt;&gt;설정!$B$21),"",IF(AND(Q55&lt;&gt;"",Q55&gt;N(O55),Q55&lt;=설정!$B$24+7),설정!$B$39+7-(Q55-설정!$B$24),IF(AND(G55&gt;0,OR(S55="안 가봄",RIGHT(S55,2)="지남")),G55+IF(O55="",설정!$B$36,MIN(P55,60)*설정!$B$37)+MIN(N(H55)/1000*설정!$B$38,20),"")))))</f>
        <v/>
      </c>
      <c r="U55">
        <f>IF(T55="","",COUNTIF(T$4:T$303,"&gt;"&amp;T55)+COUNTIF(T$4:T55,T55))</f>
        <v/>
      </c>
    </row>
    <row r="56">
      <c r="A56">
        <f>IF(B56="","",53)</f>
        <v/>
      </c>
      <c r="B56">
        <f>IFERROR(INDEX('2.현장'!$V$2:$V$1001,MATCH(53,'2.현장'!$W$2:$W$1001,0)),"")</f>
        <v/>
      </c>
      <c r="C56">
        <f>IF(B56="","",COUNTIFS('2.현장'!$V$2:$V$1001,B56,'2.현장'!$T$2:$T$1001,TRUE))</f>
        <v/>
      </c>
      <c r="D56">
        <f>IF(B56="","",COUNTIFS('2.현장'!$V$2:$V$1001,B56,'2.현장'!$U$2:$U$1001,"설계사"))</f>
        <v/>
      </c>
      <c r="E56">
        <f>IF(B56="","",COUNTIFS('2.현장'!$V$2:$V$1001,B56,'2.현장'!$U$2:$U$1001,"시공사"))</f>
        <v/>
      </c>
      <c r="F56">
        <f>IF(B56="","",COUNTIFS('2.현장'!$V$2:$V$1001,B56,'2.현장'!$T$2:$T$1001,TRUE,'2.현장'!$AA$2:$AA$1001,"★"))</f>
        <v/>
      </c>
      <c r="G56" s="6">
        <f>IF(B56="","",SUMIFS('2.현장'!$AB$2:$AB$1001,'2.현장'!$V$2:$V$1001,B56,'2.현장'!$T$2:$T$1001,TRUE))</f>
        <v/>
      </c>
      <c r="H56" s="5">
        <f>IF(B56="","",_xlfn.MAXIFS('2.현장'!$D$2:$D$1001,'2.현장'!$V$2:$V$1001,B56,'2.현장'!$T$2:$T$1001,TRUE))</f>
        <v/>
      </c>
      <c r="I56" s="7">
        <f>IF(B56="","",IF(_xlfn.MAXIFS('2.현장'!$L$2:$L$1001,'2.현장'!$V$2:$V$1001,B56,'2.현장'!$T$2:$T$1001,TRUE)=0,"",_xlfn.MAXIFS('2.현장'!$L$2:$L$1001,'2.현장'!$V$2:$V$1001,B56,'2.현장'!$T$2:$T$1001,TRUE)))</f>
        <v/>
      </c>
      <c r="J56" s="7">
        <f>IF(B56="","",IF(_xlfn.MAXIFS('2.현장'!$M$2:$M$1001,'2.현장'!$V$2:$V$1001,B56,'2.현장'!$T$2:$T$1001,TRUE)=0,"",_xlfn.MAXIFS('2.현장'!$M$2:$M$1001,'2.현장'!$V$2:$V$1001,B56,'2.현장'!$T$2:$T$1001,TRUE)))</f>
        <v/>
      </c>
      <c r="K56">
        <f>IF(B56="","",IFERROR(INDEX('2.현장'!$C$2:$C$1001,IFERROR(MATCH(B56&amp;"|설계사",'2.현장'!$Z$2:$Z$1001,0),IFERROR(MATCH(B56&amp;"|시공사",'2.현장'!$Z$2:$Z$1001,0),MATCH(B56&amp;"|늦음",'2.현장'!$Z$2:$Z$1001,0)))),""))</f>
        <v/>
      </c>
      <c r="L56">
        <f>IF(B56="","",IFERROR(INDEX('2.현장'!$N$2:$N$1001,IFERROR(MATCH(B56&amp;"|설계사",'2.현장'!$Z$2:$Z$1001,0),IFERROR(MATCH(B56&amp;"|시공사",'2.현장'!$Z$2:$Z$1001,0),MATCH(B56&amp;"|늦음",'2.현장'!$Z$2:$Z$1001,0)))),""))</f>
        <v/>
      </c>
      <c r="M56">
        <f>IF(B56="","",IFERROR(VLOOKUP(B56,업체_메모!$A$3:$I$302,2,FALSE)&amp;"",""))</f>
        <v/>
      </c>
      <c r="N56">
        <f>IF(B56="","",IFERROR(VLOOKUP(B56,업체_메모!$A$3:$I$302,4,FALSE)&amp;"",""))</f>
        <v/>
      </c>
      <c r="O56" s="7">
        <f>IF(B56="","",IF(COUNTIF('4.방문기록'!$B$3:$B$502,B56)=0,"",_xlfn.MAXIFS('4.방문기록'!$A$3:$A$502,'4.방문기록'!$B$3:$B$502,B56)))</f>
        <v/>
      </c>
      <c r="P56">
        <f>IF(O56="","",설정!$B$24-O56)</f>
        <v/>
      </c>
      <c r="Q56" s="7">
        <f>IF(B56="","",IF(_xlfn.MAXIFS('4.방문기록'!$F$3:$F$502,'4.방문기록'!$B$3:$B$502,B56)=0,"",_xlfn.MAXIFS('4.방문기록'!$F$3:$F$502,'4.방문기록'!$B$3:$B$502,B56)))</f>
        <v/>
      </c>
      <c r="R56">
        <f>IF(O56="","",IFERROR(INDEX('4.방문기록'!$H$3:$H$502,MATCH(B56&amp;"|"&amp;(O56*1),'4.방문기록'!$I$3:$I$502,0))&amp;"",""))</f>
        <v/>
      </c>
      <c r="S56">
        <f>IF(B56="","",IF(R56="관심 없음","제외",IF(O56="","안 가봄",IF(P56&gt;=설정!$B$20,P56&amp;"일 지남","최근 방문"))))</f>
        <v/>
      </c>
      <c r="T56" s="8">
        <f>IF(B56="","",IF(S56="제외","",IF(AND(설정!$B$21&lt;&gt;"",L56&lt;&gt;설정!$B$21),"",IF(AND(Q56&lt;&gt;"",Q56&gt;N(O56),Q56&lt;=설정!$B$24+7),설정!$B$39+7-(Q56-설정!$B$24),IF(AND(G56&gt;0,OR(S56="안 가봄",RIGHT(S56,2)="지남")),G56+IF(O56="",설정!$B$36,MIN(P56,60)*설정!$B$37)+MIN(N(H56)/1000*설정!$B$38,20),"")))))</f>
        <v/>
      </c>
      <c r="U56">
        <f>IF(T56="","",COUNTIF(T$4:T$303,"&gt;"&amp;T56)+COUNTIF(T$4:T56,T56))</f>
        <v/>
      </c>
    </row>
    <row r="57">
      <c r="A57">
        <f>IF(B57="","",54)</f>
        <v/>
      </c>
      <c r="B57">
        <f>IFERROR(INDEX('2.현장'!$V$2:$V$1001,MATCH(54,'2.현장'!$W$2:$W$1001,0)),"")</f>
        <v/>
      </c>
      <c r="C57">
        <f>IF(B57="","",COUNTIFS('2.현장'!$V$2:$V$1001,B57,'2.현장'!$T$2:$T$1001,TRUE))</f>
        <v/>
      </c>
      <c r="D57">
        <f>IF(B57="","",COUNTIFS('2.현장'!$V$2:$V$1001,B57,'2.현장'!$U$2:$U$1001,"설계사"))</f>
        <v/>
      </c>
      <c r="E57">
        <f>IF(B57="","",COUNTIFS('2.현장'!$V$2:$V$1001,B57,'2.현장'!$U$2:$U$1001,"시공사"))</f>
        <v/>
      </c>
      <c r="F57">
        <f>IF(B57="","",COUNTIFS('2.현장'!$V$2:$V$1001,B57,'2.현장'!$T$2:$T$1001,TRUE,'2.현장'!$AA$2:$AA$1001,"★"))</f>
        <v/>
      </c>
      <c r="G57" s="6">
        <f>IF(B57="","",SUMIFS('2.현장'!$AB$2:$AB$1001,'2.현장'!$V$2:$V$1001,B57,'2.현장'!$T$2:$T$1001,TRUE))</f>
        <v/>
      </c>
      <c r="H57" s="5">
        <f>IF(B57="","",_xlfn.MAXIFS('2.현장'!$D$2:$D$1001,'2.현장'!$V$2:$V$1001,B57,'2.현장'!$T$2:$T$1001,TRUE))</f>
        <v/>
      </c>
      <c r="I57" s="7">
        <f>IF(B57="","",IF(_xlfn.MAXIFS('2.현장'!$L$2:$L$1001,'2.현장'!$V$2:$V$1001,B57,'2.현장'!$T$2:$T$1001,TRUE)=0,"",_xlfn.MAXIFS('2.현장'!$L$2:$L$1001,'2.현장'!$V$2:$V$1001,B57,'2.현장'!$T$2:$T$1001,TRUE)))</f>
        <v/>
      </c>
      <c r="J57" s="7">
        <f>IF(B57="","",IF(_xlfn.MAXIFS('2.현장'!$M$2:$M$1001,'2.현장'!$V$2:$V$1001,B57,'2.현장'!$T$2:$T$1001,TRUE)=0,"",_xlfn.MAXIFS('2.현장'!$M$2:$M$1001,'2.현장'!$V$2:$V$1001,B57,'2.현장'!$T$2:$T$1001,TRUE)))</f>
        <v/>
      </c>
      <c r="K57">
        <f>IF(B57="","",IFERROR(INDEX('2.현장'!$C$2:$C$1001,IFERROR(MATCH(B57&amp;"|설계사",'2.현장'!$Z$2:$Z$1001,0),IFERROR(MATCH(B57&amp;"|시공사",'2.현장'!$Z$2:$Z$1001,0),MATCH(B57&amp;"|늦음",'2.현장'!$Z$2:$Z$1001,0)))),""))</f>
        <v/>
      </c>
      <c r="L57">
        <f>IF(B57="","",IFERROR(INDEX('2.현장'!$N$2:$N$1001,IFERROR(MATCH(B57&amp;"|설계사",'2.현장'!$Z$2:$Z$1001,0),IFERROR(MATCH(B57&amp;"|시공사",'2.현장'!$Z$2:$Z$1001,0),MATCH(B57&amp;"|늦음",'2.현장'!$Z$2:$Z$1001,0)))),""))</f>
        <v/>
      </c>
      <c r="M57">
        <f>IF(B57="","",IFERROR(VLOOKUP(B57,업체_메모!$A$3:$I$302,2,FALSE)&amp;"",""))</f>
        <v/>
      </c>
      <c r="N57">
        <f>IF(B57="","",IFERROR(VLOOKUP(B57,업체_메모!$A$3:$I$302,4,FALSE)&amp;"",""))</f>
        <v/>
      </c>
      <c r="O57" s="7">
        <f>IF(B57="","",IF(COUNTIF('4.방문기록'!$B$3:$B$502,B57)=0,"",_xlfn.MAXIFS('4.방문기록'!$A$3:$A$502,'4.방문기록'!$B$3:$B$502,B57)))</f>
        <v/>
      </c>
      <c r="P57">
        <f>IF(O57="","",설정!$B$24-O57)</f>
        <v/>
      </c>
      <c r="Q57" s="7">
        <f>IF(B57="","",IF(_xlfn.MAXIFS('4.방문기록'!$F$3:$F$502,'4.방문기록'!$B$3:$B$502,B57)=0,"",_xlfn.MAXIFS('4.방문기록'!$F$3:$F$502,'4.방문기록'!$B$3:$B$502,B57)))</f>
        <v/>
      </c>
      <c r="R57">
        <f>IF(O57="","",IFERROR(INDEX('4.방문기록'!$H$3:$H$502,MATCH(B57&amp;"|"&amp;(O57*1),'4.방문기록'!$I$3:$I$502,0))&amp;"",""))</f>
        <v/>
      </c>
      <c r="S57">
        <f>IF(B57="","",IF(R57="관심 없음","제외",IF(O57="","안 가봄",IF(P57&gt;=설정!$B$20,P57&amp;"일 지남","최근 방문"))))</f>
        <v/>
      </c>
      <c r="T57" s="8">
        <f>IF(B57="","",IF(S57="제외","",IF(AND(설정!$B$21&lt;&gt;"",L57&lt;&gt;설정!$B$21),"",IF(AND(Q57&lt;&gt;"",Q57&gt;N(O57),Q57&lt;=설정!$B$24+7),설정!$B$39+7-(Q57-설정!$B$24),IF(AND(G57&gt;0,OR(S57="안 가봄",RIGHT(S57,2)="지남")),G57+IF(O57="",설정!$B$36,MIN(P57,60)*설정!$B$37)+MIN(N(H57)/1000*설정!$B$38,20),"")))))</f>
        <v/>
      </c>
      <c r="U57">
        <f>IF(T57="","",COUNTIF(T$4:T$303,"&gt;"&amp;T57)+COUNTIF(T$4:T57,T57))</f>
        <v/>
      </c>
    </row>
    <row r="58">
      <c r="A58">
        <f>IF(B58="","",55)</f>
        <v/>
      </c>
      <c r="B58">
        <f>IFERROR(INDEX('2.현장'!$V$2:$V$1001,MATCH(55,'2.현장'!$W$2:$W$1001,0)),"")</f>
        <v/>
      </c>
      <c r="C58">
        <f>IF(B58="","",COUNTIFS('2.현장'!$V$2:$V$1001,B58,'2.현장'!$T$2:$T$1001,TRUE))</f>
        <v/>
      </c>
      <c r="D58">
        <f>IF(B58="","",COUNTIFS('2.현장'!$V$2:$V$1001,B58,'2.현장'!$U$2:$U$1001,"설계사"))</f>
        <v/>
      </c>
      <c r="E58">
        <f>IF(B58="","",COUNTIFS('2.현장'!$V$2:$V$1001,B58,'2.현장'!$U$2:$U$1001,"시공사"))</f>
        <v/>
      </c>
      <c r="F58">
        <f>IF(B58="","",COUNTIFS('2.현장'!$V$2:$V$1001,B58,'2.현장'!$T$2:$T$1001,TRUE,'2.현장'!$AA$2:$AA$1001,"★"))</f>
        <v/>
      </c>
      <c r="G58" s="6">
        <f>IF(B58="","",SUMIFS('2.현장'!$AB$2:$AB$1001,'2.현장'!$V$2:$V$1001,B58,'2.현장'!$T$2:$T$1001,TRUE))</f>
        <v/>
      </c>
      <c r="H58" s="5">
        <f>IF(B58="","",_xlfn.MAXIFS('2.현장'!$D$2:$D$1001,'2.현장'!$V$2:$V$1001,B58,'2.현장'!$T$2:$T$1001,TRUE))</f>
        <v/>
      </c>
      <c r="I58" s="7">
        <f>IF(B58="","",IF(_xlfn.MAXIFS('2.현장'!$L$2:$L$1001,'2.현장'!$V$2:$V$1001,B58,'2.현장'!$T$2:$T$1001,TRUE)=0,"",_xlfn.MAXIFS('2.현장'!$L$2:$L$1001,'2.현장'!$V$2:$V$1001,B58,'2.현장'!$T$2:$T$1001,TRUE)))</f>
        <v/>
      </c>
      <c r="J58" s="7">
        <f>IF(B58="","",IF(_xlfn.MAXIFS('2.현장'!$M$2:$M$1001,'2.현장'!$V$2:$V$1001,B58,'2.현장'!$T$2:$T$1001,TRUE)=0,"",_xlfn.MAXIFS('2.현장'!$M$2:$M$1001,'2.현장'!$V$2:$V$1001,B58,'2.현장'!$T$2:$T$1001,TRUE)))</f>
        <v/>
      </c>
      <c r="K58">
        <f>IF(B58="","",IFERROR(INDEX('2.현장'!$C$2:$C$1001,IFERROR(MATCH(B58&amp;"|설계사",'2.현장'!$Z$2:$Z$1001,0),IFERROR(MATCH(B58&amp;"|시공사",'2.현장'!$Z$2:$Z$1001,0),MATCH(B58&amp;"|늦음",'2.현장'!$Z$2:$Z$1001,0)))),""))</f>
        <v/>
      </c>
      <c r="L58">
        <f>IF(B58="","",IFERROR(INDEX('2.현장'!$N$2:$N$1001,IFERROR(MATCH(B58&amp;"|설계사",'2.현장'!$Z$2:$Z$1001,0),IFERROR(MATCH(B58&amp;"|시공사",'2.현장'!$Z$2:$Z$1001,0),MATCH(B58&amp;"|늦음",'2.현장'!$Z$2:$Z$1001,0)))),""))</f>
        <v/>
      </c>
      <c r="M58">
        <f>IF(B58="","",IFERROR(VLOOKUP(B58,업체_메모!$A$3:$I$302,2,FALSE)&amp;"",""))</f>
        <v/>
      </c>
      <c r="N58">
        <f>IF(B58="","",IFERROR(VLOOKUP(B58,업체_메모!$A$3:$I$302,4,FALSE)&amp;"",""))</f>
        <v/>
      </c>
      <c r="O58" s="7">
        <f>IF(B58="","",IF(COUNTIF('4.방문기록'!$B$3:$B$502,B58)=0,"",_xlfn.MAXIFS('4.방문기록'!$A$3:$A$502,'4.방문기록'!$B$3:$B$502,B58)))</f>
        <v/>
      </c>
      <c r="P58">
        <f>IF(O58="","",설정!$B$24-O58)</f>
        <v/>
      </c>
      <c r="Q58" s="7">
        <f>IF(B58="","",IF(_xlfn.MAXIFS('4.방문기록'!$F$3:$F$502,'4.방문기록'!$B$3:$B$502,B58)=0,"",_xlfn.MAXIFS('4.방문기록'!$F$3:$F$502,'4.방문기록'!$B$3:$B$502,B58)))</f>
        <v/>
      </c>
      <c r="R58">
        <f>IF(O58="","",IFERROR(INDEX('4.방문기록'!$H$3:$H$502,MATCH(B58&amp;"|"&amp;(O58*1),'4.방문기록'!$I$3:$I$502,0))&amp;"",""))</f>
        <v/>
      </c>
      <c r="S58">
        <f>IF(B58="","",IF(R58="관심 없음","제외",IF(O58="","안 가봄",IF(P58&gt;=설정!$B$20,P58&amp;"일 지남","최근 방문"))))</f>
        <v/>
      </c>
      <c r="T58" s="8">
        <f>IF(B58="","",IF(S58="제외","",IF(AND(설정!$B$21&lt;&gt;"",L58&lt;&gt;설정!$B$21),"",IF(AND(Q58&lt;&gt;"",Q58&gt;N(O58),Q58&lt;=설정!$B$24+7),설정!$B$39+7-(Q58-설정!$B$24),IF(AND(G58&gt;0,OR(S58="안 가봄",RIGHT(S58,2)="지남")),G58+IF(O58="",설정!$B$36,MIN(P58,60)*설정!$B$37)+MIN(N(H58)/1000*설정!$B$38,20),"")))))</f>
        <v/>
      </c>
      <c r="U58">
        <f>IF(T58="","",COUNTIF(T$4:T$303,"&gt;"&amp;T58)+COUNTIF(T$4:T58,T58))</f>
        <v/>
      </c>
    </row>
    <row r="59">
      <c r="A59">
        <f>IF(B59="","",56)</f>
        <v/>
      </c>
      <c r="B59">
        <f>IFERROR(INDEX('2.현장'!$V$2:$V$1001,MATCH(56,'2.현장'!$W$2:$W$1001,0)),"")</f>
        <v/>
      </c>
      <c r="C59">
        <f>IF(B59="","",COUNTIFS('2.현장'!$V$2:$V$1001,B59,'2.현장'!$T$2:$T$1001,TRUE))</f>
        <v/>
      </c>
      <c r="D59">
        <f>IF(B59="","",COUNTIFS('2.현장'!$V$2:$V$1001,B59,'2.현장'!$U$2:$U$1001,"설계사"))</f>
        <v/>
      </c>
      <c r="E59">
        <f>IF(B59="","",COUNTIFS('2.현장'!$V$2:$V$1001,B59,'2.현장'!$U$2:$U$1001,"시공사"))</f>
        <v/>
      </c>
      <c r="F59">
        <f>IF(B59="","",COUNTIFS('2.현장'!$V$2:$V$1001,B59,'2.현장'!$T$2:$T$1001,TRUE,'2.현장'!$AA$2:$AA$1001,"★"))</f>
        <v/>
      </c>
      <c r="G59" s="6">
        <f>IF(B59="","",SUMIFS('2.현장'!$AB$2:$AB$1001,'2.현장'!$V$2:$V$1001,B59,'2.현장'!$T$2:$T$1001,TRUE))</f>
        <v/>
      </c>
      <c r="H59" s="5">
        <f>IF(B59="","",_xlfn.MAXIFS('2.현장'!$D$2:$D$1001,'2.현장'!$V$2:$V$1001,B59,'2.현장'!$T$2:$T$1001,TRUE))</f>
        <v/>
      </c>
      <c r="I59" s="7">
        <f>IF(B59="","",IF(_xlfn.MAXIFS('2.현장'!$L$2:$L$1001,'2.현장'!$V$2:$V$1001,B59,'2.현장'!$T$2:$T$1001,TRUE)=0,"",_xlfn.MAXIFS('2.현장'!$L$2:$L$1001,'2.현장'!$V$2:$V$1001,B59,'2.현장'!$T$2:$T$1001,TRUE)))</f>
        <v/>
      </c>
      <c r="J59" s="7">
        <f>IF(B59="","",IF(_xlfn.MAXIFS('2.현장'!$M$2:$M$1001,'2.현장'!$V$2:$V$1001,B59,'2.현장'!$T$2:$T$1001,TRUE)=0,"",_xlfn.MAXIFS('2.현장'!$M$2:$M$1001,'2.현장'!$V$2:$V$1001,B59,'2.현장'!$T$2:$T$1001,TRUE)))</f>
        <v/>
      </c>
      <c r="K59">
        <f>IF(B59="","",IFERROR(INDEX('2.현장'!$C$2:$C$1001,IFERROR(MATCH(B59&amp;"|설계사",'2.현장'!$Z$2:$Z$1001,0),IFERROR(MATCH(B59&amp;"|시공사",'2.현장'!$Z$2:$Z$1001,0),MATCH(B59&amp;"|늦음",'2.현장'!$Z$2:$Z$1001,0)))),""))</f>
        <v/>
      </c>
      <c r="L59">
        <f>IF(B59="","",IFERROR(INDEX('2.현장'!$N$2:$N$1001,IFERROR(MATCH(B59&amp;"|설계사",'2.현장'!$Z$2:$Z$1001,0),IFERROR(MATCH(B59&amp;"|시공사",'2.현장'!$Z$2:$Z$1001,0),MATCH(B59&amp;"|늦음",'2.현장'!$Z$2:$Z$1001,0)))),""))</f>
        <v/>
      </c>
      <c r="M59">
        <f>IF(B59="","",IFERROR(VLOOKUP(B59,업체_메모!$A$3:$I$302,2,FALSE)&amp;"",""))</f>
        <v/>
      </c>
      <c r="N59">
        <f>IF(B59="","",IFERROR(VLOOKUP(B59,업체_메모!$A$3:$I$302,4,FALSE)&amp;"",""))</f>
        <v/>
      </c>
      <c r="O59" s="7">
        <f>IF(B59="","",IF(COUNTIF('4.방문기록'!$B$3:$B$502,B59)=0,"",_xlfn.MAXIFS('4.방문기록'!$A$3:$A$502,'4.방문기록'!$B$3:$B$502,B59)))</f>
        <v/>
      </c>
      <c r="P59">
        <f>IF(O59="","",설정!$B$24-O59)</f>
        <v/>
      </c>
      <c r="Q59" s="7">
        <f>IF(B59="","",IF(_xlfn.MAXIFS('4.방문기록'!$F$3:$F$502,'4.방문기록'!$B$3:$B$502,B59)=0,"",_xlfn.MAXIFS('4.방문기록'!$F$3:$F$502,'4.방문기록'!$B$3:$B$502,B59)))</f>
        <v/>
      </c>
      <c r="R59">
        <f>IF(O59="","",IFERROR(INDEX('4.방문기록'!$H$3:$H$502,MATCH(B59&amp;"|"&amp;(O59*1),'4.방문기록'!$I$3:$I$502,0))&amp;"",""))</f>
        <v/>
      </c>
      <c r="S59">
        <f>IF(B59="","",IF(R59="관심 없음","제외",IF(O59="","안 가봄",IF(P59&gt;=설정!$B$20,P59&amp;"일 지남","최근 방문"))))</f>
        <v/>
      </c>
      <c r="T59" s="8">
        <f>IF(B59="","",IF(S59="제외","",IF(AND(설정!$B$21&lt;&gt;"",L59&lt;&gt;설정!$B$21),"",IF(AND(Q59&lt;&gt;"",Q59&gt;N(O59),Q59&lt;=설정!$B$24+7),설정!$B$39+7-(Q59-설정!$B$24),IF(AND(G59&gt;0,OR(S59="안 가봄",RIGHT(S59,2)="지남")),G59+IF(O59="",설정!$B$36,MIN(P59,60)*설정!$B$37)+MIN(N(H59)/1000*설정!$B$38,20),"")))))</f>
        <v/>
      </c>
      <c r="U59">
        <f>IF(T59="","",COUNTIF(T$4:T$303,"&gt;"&amp;T59)+COUNTIF(T$4:T59,T59))</f>
        <v/>
      </c>
    </row>
    <row r="60">
      <c r="A60">
        <f>IF(B60="","",57)</f>
        <v/>
      </c>
      <c r="B60">
        <f>IFERROR(INDEX('2.현장'!$V$2:$V$1001,MATCH(57,'2.현장'!$W$2:$W$1001,0)),"")</f>
        <v/>
      </c>
      <c r="C60">
        <f>IF(B60="","",COUNTIFS('2.현장'!$V$2:$V$1001,B60,'2.현장'!$T$2:$T$1001,TRUE))</f>
        <v/>
      </c>
      <c r="D60">
        <f>IF(B60="","",COUNTIFS('2.현장'!$V$2:$V$1001,B60,'2.현장'!$U$2:$U$1001,"설계사"))</f>
        <v/>
      </c>
      <c r="E60">
        <f>IF(B60="","",COUNTIFS('2.현장'!$V$2:$V$1001,B60,'2.현장'!$U$2:$U$1001,"시공사"))</f>
        <v/>
      </c>
      <c r="F60">
        <f>IF(B60="","",COUNTIFS('2.현장'!$V$2:$V$1001,B60,'2.현장'!$T$2:$T$1001,TRUE,'2.현장'!$AA$2:$AA$1001,"★"))</f>
        <v/>
      </c>
      <c r="G60" s="6">
        <f>IF(B60="","",SUMIFS('2.현장'!$AB$2:$AB$1001,'2.현장'!$V$2:$V$1001,B60,'2.현장'!$T$2:$T$1001,TRUE))</f>
        <v/>
      </c>
      <c r="H60" s="5">
        <f>IF(B60="","",_xlfn.MAXIFS('2.현장'!$D$2:$D$1001,'2.현장'!$V$2:$V$1001,B60,'2.현장'!$T$2:$T$1001,TRUE))</f>
        <v/>
      </c>
      <c r="I60" s="7">
        <f>IF(B60="","",IF(_xlfn.MAXIFS('2.현장'!$L$2:$L$1001,'2.현장'!$V$2:$V$1001,B60,'2.현장'!$T$2:$T$1001,TRUE)=0,"",_xlfn.MAXIFS('2.현장'!$L$2:$L$1001,'2.현장'!$V$2:$V$1001,B60,'2.현장'!$T$2:$T$1001,TRUE)))</f>
        <v/>
      </c>
      <c r="J60" s="7">
        <f>IF(B60="","",IF(_xlfn.MAXIFS('2.현장'!$M$2:$M$1001,'2.현장'!$V$2:$V$1001,B60,'2.현장'!$T$2:$T$1001,TRUE)=0,"",_xlfn.MAXIFS('2.현장'!$M$2:$M$1001,'2.현장'!$V$2:$V$1001,B60,'2.현장'!$T$2:$T$1001,TRUE)))</f>
        <v/>
      </c>
      <c r="K60">
        <f>IF(B60="","",IFERROR(INDEX('2.현장'!$C$2:$C$1001,IFERROR(MATCH(B60&amp;"|설계사",'2.현장'!$Z$2:$Z$1001,0),IFERROR(MATCH(B60&amp;"|시공사",'2.현장'!$Z$2:$Z$1001,0),MATCH(B60&amp;"|늦음",'2.현장'!$Z$2:$Z$1001,0)))),""))</f>
        <v/>
      </c>
      <c r="L60">
        <f>IF(B60="","",IFERROR(INDEX('2.현장'!$N$2:$N$1001,IFERROR(MATCH(B60&amp;"|설계사",'2.현장'!$Z$2:$Z$1001,0),IFERROR(MATCH(B60&amp;"|시공사",'2.현장'!$Z$2:$Z$1001,0),MATCH(B60&amp;"|늦음",'2.현장'!$Z$2:$Z$1001,0)))),""))</f>
        <v/>
      </c>
      <c r="M60">
        <f>IF(B60="","",IFERROR(VLOOKUP(B60,업체_메모!$A$3:$I$302,2,FALSE)&amp;"",""))</f>
        <v/>
      </c>
      <c r="N60">
        <f>IF(B60="","",IFERROR(VLOOKUP(B60,업체_메모!$A$3:$I$302,4,FALSE)&amp;"",""))</f>
        <v/>
      </c>
      <c r="O60" s="7">
        <f>IF(B60="","",IF(COUNTIF('4.방문기록'!$B$3:$B$502,B60)=0,"",_xlfn.MAXIFS('4.방문기록'!$A$3:$A$502,'4.방문기록'!$B$3:$B$502,B60)))</f>
        <v/>
      </c>
      <c r="P60">
        <f>IF(O60="","",설정!$B$24-O60)</f>
        <v/>
      </c>
      <c r="Q60" s="7">
        <f>IF(B60="","",IF(_xlfn.MAXIFS('4.방문기록'!$F$3:$F$502,'4.방문기록'!$B$3:$B$502,B60)=0,"",_xlfn.MAXIFS('4.방문기록'!$F$3:$F$502,'4.방문기록'!$B$3:$B$502,B60)))</f>
        <v/>
      </c>
      <c r="R60">
        <f>IF(O60="","",IFERROR(INDEX('4.방문기록'!$H$3:$H$502,MATCH(B60&amp;"|"&amp;(O60*1),'4.방문기록'!$I$3:$I$502,0))&amp;"",""))</f>
        <v/>
      </c>
      <c r="S60">
        <f>IF(B60="","",IF(R60="관심 없음","제외",IF(O60="","안 가봄",IF(P60&gt;=설정!$B$20,P60&amp;"일 지남","최근 방문"))))</f>
        <v/>
      </c>
      <c r="T60" s="8">
        <f>IF(B60="","",IF(S60="제외","",IF(AND(설정!$B$21&lt;&gt;"",L60&lt;&gt;설정!$B$21),"",IF(AND(Q60&lt;&gt;"",Q60&gt;N(O60),Q60&lt;=설정!$B$24+7),설정!$B$39+7-(Q60-설정!$B$24),IF(AND(G60&gt;0,OR(S60="안 가봄",RIGHT(S60,2)="지남")),G60+IF(O60="",설정!$B$36,MIN(P60,60)*설정!$B$37)+MIN(N(H60)/1000*설정!$B$38,20),"")))))</f>
        <v/>
      </c>
      <c r="U60">
        <f>IF(T60="","",COUNTIF(T$4:T$303,"&gt;"&amp;T60)+COUNTIF(T$4:T60,T60))</f>
        <v/>
      </c>
    </row>
    <row r="61">
      <c r="A61">
        <f>IF(B61="","",58)</f>
        <v/>
      </c>
      <c r="B61">
        <f>IFERROR(INDEX('2.현장'!$V$2:$V$1001,MATCH(58,'2.현장'!$W$2:$W$1001,0)),"")</f>
        <v/>
      </c>
      <c r="C61">
        <f>IF(B61="","",COUNTIFS('2.현장'!$V$2:$V$1001,B61,'2.현장'!$T$2:$T$1001,TRUE))</f>
        <v/>
      </c>
      <c r="D61">
        <f>IF(B61="","",COUNTIFS('2.현장'!$V$2:$V$1001,B61,'2.현장'!$U$2:$U$1001,"설계사"))</f>
        <v/>
      </c>
      <c r="E61">
        <f>IF(B61="","",COUNTIFS('2.현장'!$V$2:$V$1001,B61,'2.현장'!$U$2:$U$1001,"시공사"))</f>
        <v/>
      </c>
      <c r="F61">
        <f>IF(B61="","",COUNTIFS('2.현장'!$V$2:$V$1001,B61,'2.현장'!$T$2:$T$1001,TRUE,'2.현장'!$AA$2:$AA$1001,"★"))</f>
        <v/>
      </c>
      <c r="G61" s="6">
        <f>IF(B61="","",SUMIFS('2.현장'!$AB$2:$AB$1001,'2.현장'!$V$2:$V$1001,B61,'2.현장'!$T$2:$T$1001,TRUE))</f>
        <v/>
      </c>
      <c r="H61" s="5">
        <f>IF(B61="","",_xlfn.MAXIFS('2.현장'!$D$2:$D$1001,'2.현장'!$V$2:$V$1001,B61,'2.현장'!$T$2:$T$1001,TRUE))</f>
        <v/>
      </c>
      <c r="I61" s="7">
        <f>IF(B61="","",IF(_xlfn.MAXIFS('2.현장'!$L$2:$L$1001,'2.현장'!$V$2:$V$1001,B61,'2.현장'!$T$2:$T$1001,TRUE)=0,"",_xlfn.MAXIFS('2.현장'!$L$2:$L$1001,'2.현장'!$V$2:$V$1001,B61,'2.현장'!$T$2:$T$1001,TRUE)))</f>
        <v/>
      </c>
      <c r="J61" s="7">
        <f>IF(B61="","",IF(_xlfn.MAXIFS('2.현장'!$M$2:$M$1001,'2.현장'!$V$2:$V$1001,B61,'2.현장'!$T$2:$T$1001,TRUE)=0,"",_xlfn.MAXIFS('2.현장'!$M$2:$M$1001,'2.현장'!$V$2:$V$1001,B61,'2.현장'!$T$2:$T$1001,TRUE)))</f>
        <v/>
      </c>
      <c r="K61">
        <f>IF(B61="","",IFERROR(INDEX('2.현장'!$C$2:$C$1001,IFERROR(MATCH(B61&amp;"|설계사",'2.현장'!$Z$2:$Z$1001,0),IFERROR(MATCH(B61&amp;"|시공사",'2.현장'!$Z$2:$Z$1001,0),MATCH(B61&amp;"|늦음",'2.현장'!$Z$2:$Z$1001,0)))),""))</f>
        <v/>
      </c>
      <c r="L61">
        <f>IF(B61="","",IFERROR(INDEX('2.현장'!$N$2:$N$1001,IFERROR(MATCH(B61&amp;"|설계사",'2.현장'!$Z$2:$Z$1001,0),IFERROR(MATCH(B61&amp;"|시공사",'2.현장'!$Z$2:$Z$1001,0),MATCH(B61&amp;"|늦음",'2.현장'!$Z$2:$Z$1001,0)))),""))</f>
        <v/>
      </c>
      <c r="M61">
        <f>IF(B61="","",IFERROR(VLOOKUP(B61,업체_메모!$A$3:$I$302,2,FALSE)&amp;"",""))</f>
        <v/>
      </c>
      <c r="N61">
        <f>IF(B61="","",IFERROR(VLOOKUP(B61,업체_메모!$A$3:$I$302,4,FALSE)&amp;"",""))</f>
        <v/>
      </c>
      <c r="O61" s="7">
        <f>IF(B61="","",IF(COUNTIF('4.방문기록'!$B$3:$B$502,B61)=0,"",_xlfn.MAXIFS('4.방문기록'!$A$3:$A$502,'4.방문기록'!$B$3:$B$502,B61)))</f>
        <v/>
      </c>
      <c r="P61">
        <f>IF(O61="","",설정!$B$24-O61)</f>
        <v/>
      </c>
      <c r="Q61" s="7">
        <f>IF(B61="","",IF(_xlfn.MAXIFS('4.방문기록'!$F$3:$F$502,'4.방문기록'!$B$3:$B$502,B61)=0,"",_xlfn.MAXIFS('4.방문기록'!$F$3:$F$502,'4.방문기록'!$B$3:$B$502,B61)))</f>
        <v/>
      </c>
      <c r="R61">
        <f>IF(O61="","",IFERROR(INDEX('4.방문기록'!$H$3:$H$502,MATCH(B61&amp;"|"&amp;(O61*1),'4.방문기록'!$I$3:$I$502,0))&amp;"",""))</f>
        <v/>
      </c>
      <c r="S61">
        <f>IF(B61="","",IF(R61="관심 없음","제외",IF(O61="","안 가봄",IF(P61&gt;=설정!$B$20,P61&amp;"일 지남","최근 방문"))))</f>
        <v/>
      </c>
      <c r="T61" s="8">
        <f>IF(B61="","",IF(S61="제외","",IF(AND(설정!$B$21&lt;&gt;"",L61&lt;&gt;설정!$B$21),"",IF(AND(Q61&lt;&gt;"",Q61&gt;N(O61),Q61&lt;=설정!$B$24+7),설정!$B$39+7-(Q61-설정!$B$24),IF(AND(G61&gt;0,OR(S61="안 가봄",RIGHT(S61,2)="지남")),G61+IF(O61="",설정!$B$36,MIN(P61,60)*설정!$B$37)+MIN(N(H61)/1000*설정!$B$38,20),"")))))</f>
        <v/>
      </c>
      <c r="U61">
        <f>IF(T61="","",COUNTIF(T$4:T$303,"&gt;"&amp;T61)+COUNTIF(T$4:T61,T61))</f>
        <v/>
      </c>
    </row>
    <row r="62">
      <c r="A62">
        <f>IF(B62="","",59)</f>
        <v/>
      </c>
      <c r="B62">
        <f>IFERROR(INDEX('2.현장'!$V$2:$V$1001,MATCH(59,'2.현장'!$W$2:$W$1001,0)),"")</f>
        <v/>
      </c>
      <c r="C62">
        <f>IF(B62="","",COUNTIFS('2.현장'!$V$2:$V$1001,B62,'2.현장'!$T$2:$T$1001,TRUE))</f>
        <v/>
      </c>
      <c r="D62">
        <f>IF(B62="","",COUNTIFS('2.현장'!$V$2:$V$1001,B62,'2.현장'!$U$2:$U$1001,"설계사"))</f>
        <v/>
      </c>
      <c r="E62">
        <f>IF(B62="","",COUNTIFS('2.현장'!$V$2:$V$1001,B62,'2.현장'!$U$2:$U$1001,"시공사"))</f>
        <v/>
      </c>
      <c r="F62">
        <f>IF(B62="","",COUNTIFS('2.현장'!$V$2:$V$1001,B62,'2.현장'!$T$2:$T$1001,TRUE,'2.현장'!$AA$2:$AA$1001,"★"))</f>
        <v/>
      </c>
      <c r="G62" s="6">
        <f>IF(B62="","",SUMIFS('2.현장'!$AB$2:$AB$1001,'2.현장'!$V$2:$V$1001,B62,'2.현장'!$T$2:$T$1001,TRUE))</f>
        <v/>
      </c>
      <c r="H62" s="5">
        <f>IF(B62="","",_xlfn.MAXIFS('2.현장'!$D$2:$D$1001,'2.현장'!$V$2:$V$1001,B62,'2.현장'!$T$2:$T$1001,TRUE))</f>
        <v/>
      </c>
      <c r="I62" s="7">
        <f>IF(B62="","",IF(_xlfn.MAXIFS('2.현장'!$L$2:$L$1001,'2.현장'!$V$2:$V$1001,B62,'2.현장'!$T$2:$T$1001,TRUE)=0,"",_xlfn.MAXIFS('2.현장'!$L$2:$L$1001,'2.현장'!$V$2:$V$1001,B62,'2.현장'!$T$2:$T$1001,TRUE)))</f>
        <v/>
      </c>
      <c r="J62" s="7">
        <f>IF(B62="","",IF(_xlfn.MAXIFS('2.현장'!$M$2:$M$1001,'2.현장'!$V$2:$V$1001,B62,'2.현장'!$T$2:$T$1001,TRUE)=0,"",_xlfn.MAXIFS('2.현장'!$M$2:$M$1001,'2.현장'!$V$2:$V$1001,B62,'2.현장'!$T$2:$T$1001,TRUE)))</f>
        <v/>
      </c>
      <c r="K62">
        <f>IF(B62="","",IFERROR(INDEX('2.현장'!$C$2:$C$1001,IFERROR(MATCH(B62&amp;"|설계사",'2.현장'!$Z$2:$Z$1001,0),IFERROR(MATCH(B62&amp;"|시공사",'2.현장'!$Z$2:$Z$1001,0),MATCH(B62&amp;"|늦음",'2.현장'!$Z$2:$Z$1001,0)))),""))</f>
        <v/>
      </c>
      <c r="L62">
        <f>IF(B62="","",IFERROR(INDEX('2.현장'!$N$2:$N$1001,IFERROR(MATCH(B62&amp;"|설계사",'2.현장'!$Z$2:$Z$1001,0),IFERROR(MATCH(B62&amp;"|시공사",'2.현장'!$Z$2:$Z$1001,0),MATCH(B62&amp;"|늦음",'2.현장'!$Z$2:$Z$1001,0)))),""))</f>
        <v/>
      </c>
      <c r="M62">
        <f>IF(B62="","",IFERROR(VLOOKUP(B62,업체_메모!$A$3:$I$302,2,FALSE)&amp;"",""))</f>
        <v/>
      </c>
      <c r="N62">
        <f>IF(B62="","",IFERROR(VLOOKUP(B62,업체_메모!$A$3:$I$302,4,FALSE)&amp;"",""))</f>
        <v/>
      </c>
      <c r="O62" s="7">
        <f>IF(B62="","",IF(COUNTIF('4.방문기록'!$B$3:$B$502,B62)=0,"",_xlfn.MAXIFS('4.방문기록'!$A$3:$A$502,'4.방문기록'!$B$3:$B$502,B62)))</f>
        <v/>
      </c>
      <c r="P62">
        <f>IF(O62="","",설정!$B$24-O62)</f>
        <v/>
      </c>
      <c r="Q62" s="7">
        <f>IF(B62="","",IF(_xlfn.MAXIFS('4.방문기록'!$F$3:$F$502,'4.방문기록'!$B$3:$B$502,B62)=0,"",_xlfn.MAXIFS('4.방문기록'!$F$3:$F$502,'4.방문기록'!$B$3:$B$502,B62)))</f>
        <v/>
      </c>
      <c r="R62">
        <f>IF(O62="","",IFERROR(INDEX('4.방문기록'!$H$3:$H$502,MATCH(B62&amp;"|"&amp;(O62*1),'4.방문기록'!$I$3:$I$502,0))&amp;"",""))</f>
        <v/>
      </c>
      <c r="S62">
        <f>IF(B62="","",IF(R62="관심 없음","제외",IF(O62="","안 가봄",IF(P62&gt;=설정!$B$20,P62&amp;"일 지남","최근 방문"))))</f>
        <v/>
      </c>
      <c r="T62" s="8">
        <f>IF(B62="","",IF(S62="제외","",IF(AND(설정!$B$21&lt;&gt;"",L62&lt;&gt;설정!$B$21),"",IF(AND(Q62&lt;&gt;"",Q62&gt;N(O62),Q62&lt;=설정!$B$24+7),설정!$B$39+7-(Q62-설정!$B$24),IF(AND(G62&gt;0,OR(S62="안 가봄",RIGHT(S62,2)="지남")),G62+IF(O62="",설정!$B$36,MIN(P62,60)*설정!$B$37)+MIN(N(H62)/1000*설정!$B$38,20),"")))))</f>
        <v/>
      </c>
      <c r="U62">
        <f>IF(T62="","",COUNTIF(T$4:T$303,"&gt;"&amp;T62)+COUNTIF(T$4:T62,T62))</f>
        <v/>
      </c>
    </row>
    <row r="63">
      <c r="A63">
        <f>IF(B63="","",60)</f>
        <v/>
      </c>
      <c r="B63">
        <f>IFERROR(INDEX('2.현장'!$V$2:$V$1001,MATCH(60,'2.현장'!$W$2:$W$1001,0)),"")</f>
        <v/>
      </c>
      <c r="C63">
        <f>IF(B63="","",COUNTIFS('2.현장'!$V$2:$V$1001,B63,'2.현장'!$T$2:$T$1001,TRUE))</f>
        <v/>
      </c>
      <c r="D63">
        <f>IF(B63="","",COUNTIFS('2.현장'!$V$2:$V$1001,B63,'2.현장'!$U$2:$U$1001,"설계사"))</f>
        <v/>
      </c>
      <c r="E63">
        <f>IF(B63="","",COUNTIFS('2.현장'!$V$2:$V$1001,B63,'2.현장'!$U$2:$U$1001,"시공사"))</f>
        <v/>
      </c>
      <c r="F63">
        <f>IF(B63="","",COUNTIFS('2.현장'!$V$2:$V$1001,B63,'2.현장'!$T$2:$T$1001,TRUE,'2.현장'!$AA$2:$AA$1001,"★"))</f>
        <v/>
      </c>
      <c r="G63" s="6">
        <f>IF(B63="","",SUMIFS('2.현장'!$AB$2:$AB$1001,'2.현장'!$V$2:$V$1001,B63,'2.현장'!$T$2:$T$1001,TRUE))</f>
        <v/>
      </c>
      <c r="H63" s="5">
        <f>IF(B63="","",_xlfn.MAXIFS('2.현장'!$D$2:$D$1001,'2.현장'!$V$2:$V$1001,B63,'2.현장'!$T$2:$T$1001,TRUE))</f>
        <v/>
      </c>
      <c r="I63" s="7">
        <f>IF(B63="","",IF(_xlfn.MAXIFS('2.현장'!$L$2:$L$1001,'2.현장'!$V$2:$V$1001,B63,'2.현장'!$T$2:$T$1001,TRUE)=0,"",_xlfn.MAXIFS('2.현장'!$L$2:$L$1001,'2.현장'!$V$2:$V$1001,B63,'2.현장'!$T$2:$T$1001,TRUE)))</f>
        <v/>
      </c>
      <c r="J63" s="7">
        <f>IF(B63="","",IF(_xlfn.MAXIFS('2.현장'!$M$2:$M$1001,'2.현장'!$V$2:$V$1001,B63,'2.현장'!$T$2:$T$1001,TRUE)=0,"",_xlfn.MAXIFS('2.현장'!$M$2:$M$1001,'2.현장'!$V$2:$V$1001,B63,'2.현장'!$T$2:$T$1001,TRUE)))</f>
        <v/>
      </c>
      <c r="K63">
        <f>IF(B63="","",IFERROR(INDEX('2.현장'!$C$2:$C$1001,IFERROR(MATCH(B63&amp;"|설계사",'2.현장'!$Z$2:$Z$1001,0),IFERROR(MATCH(B63&amp;"|시공사",'2.현장'!$Z$2:$Z$1001,0),MATCH(B63&amp;"|늦음",'2.현장'!$Z$2:$Z$1001,0)))),""))</f>
        <v/>
      </c>
      <c r="L63">
        <f>IF(B63="","",IFERROR(INDEX('2.현장'!$N$2:$N$1001,IFERROR(MATCH(B63&amp;"|설계사",'2.현장'!$Z$2:$Z$1001,0),IFERROR(MATCH(B63&amp;"|시공사",'2.현장'!$Z$2:$Z$1001,0),MATCH(B63&amp;"|늦음",'2.현장'!$Z$2:$Z$1001,0)))),""))</f>
        <v/>
      </c>
      <c r="M63">
        <f>IF(B63="","",IFERROR(VLOOKUP(B63,업체_메모!$A$3:$I$302,2,FALSE)&amp;"",""))</f>
        <v/>
      </c>
      <c r="N63">
        <f>IF(B63="","",IFERROR(VLOOKUP(B63,업체_메모!$A$3:$I$302,4,FALSE)&amp;"",""))</f>
        <v/>
      </c>
      <c r="O63" s="7">
        <f>IF(B63="","",IF(COUNTIF('4.방문기록'!$B$3:$B$502,B63)=0,"",_xlfn.MAXIFS('4.방문기록'!$A$3:$A$502,'4.방문기록'!$B$3:$B$502,B63)))</f>
        <v/>
      </c>
      <c r="P63">
        <f>IF(O63="","",설정!$B$24-O63)</f>
        <v/>
      </c>
      <c r="Q63" s="7">
        <f>IF(B63="","",IF(_xlfn.MAXIFS('4.방문기록'!$F$3:$F$502,'4.방문기록'!$B$3:$B$502,B63)=0,"",_xlfn.MAXIFS('4.방문기록'!$F$3:$F$502,'4.방문기록'!$B$3:$B$502,B63)))</f>
        <v/>
      </c>
      <c r="R63">
        <f>IF(O63="","",IFERROR(INDEX('4.방문기록'!$H$3:$H$502,MATCH(B63&amp;"|"&amp;(O63*1),'4.방문기록'!$I$3:$I$502,0))&amp;"",""))</f>
        <v/>
      </c>
      <c r="S63">
        <f>IF(B63="","",IF(R63="관심 없음","제외",IF(O63="","안 가봄",IF(P63&gt;=설정!$B$20,P63&amp;"일 지남","최근 방문"))))</f>
        <v/>
      </c>
      <c r="T63" s="8">
        <f>IF(B63="","",IF(S63="제외","",IF(AND(설정!$B$21&lt;&gt;"",L63&lt;&gt;설정!$B$21),"",IF(AND(Q63&lt;&gt;"",Q63&gt;N(O63),Q63&lt;=설정!$B$24+7),설정!$B$39+7-(Q63-설정!$B$24),IF(AND(G63&gt;0,OR(S63="안 가봄",RIGHT(S63,2)="지남")),G63+IF(O63="",설정!$B$36,MIN(P63,60)*설정!$B$37)+MIN(N(H63)/1000*설정!$B$38,20),"")))))</f>
        <v/>
      </c>
      <c r="U63">
        <f>IF(T63="","",COUNTIF(T$4:T$303,"&gt;"&amp;T63)+COUNTIF(T$4:T63,T63))</f>
        <v/>
      </c>
    </row>
    <row r="64">
      <c r="A64">
        <f>IF(B64="","",61)</f>
        <v/>
      </c>
      <c r="B64">
        <f>IFERROR(INDEX('2.현장'!$V$2:$V$1001,MATCH(61,'2.현장'!$W$2:$W$1001,0)),"")</f>
        <v/>
      </c>
      <c r="C64">
        <f>IF(B64="","",COUNTIFS('2.현장'!$V$2:$V$1001,B64,'2.현장'!$T$2:$T$1001,TRUE))</f>
        <v/>
      </c>
      <c r="D64">
        <f>IF(B64="","",COUNTIFS('2.현장'!$V$2:$V$1001,B64,'2.현장'!$U$2:$U$1001,"설계사"))</f>
        <v/>
      </c>
      <c r="E64">
        <f>IF(B64="","",COUNTIFS('2.현장'!$V$2:$V$1001,B64,'2.현장'!$U$2:$U$1001,"시공사"))</f>
        <v/>
      </c>
      <c r="F64">
        <f>IF(B64="","",COUNTIFS('2.현장'!$V$2:$V$1001,B64,'2.현장'!$T$2:$T$1001,TRUE,'2.현장'!$AA$2:$AA$1001,"★"))</f>
        <v/>
      </c>
      <c r="G64" s="6">
        <f>IF(B64="","",SUMIFS('2.현장'!$AB$2:$AB$1001,'2.현장'!$V$2:$V$1001,B64,'2.현장'!$T$2:$T$1001,TRUE))</f>
        <v/>
      </c>
      <c r="H64" s="5">
        <f>IF(B64="","",_xlfn.MAXIFS('2.현장'!$D$2:$D$1001,'2.현장'!$V$2:$V$1001,B64,'2.현장'!$T$2:$T$1001,TRUE))</f>
        <v/>
      </c>
      <c r="I64" s="7">
        <f>IF(B64="","",IF(_xlfn.MAXIFS('2.현장'!$L$2:$L$1001,'2.현장'!$V$2:$V$1001,B64,'2.현장'!$T$2:$T$1001,TRUE)=0,"",_xlfn.MAXIFS('2.현장'!$L$2:$L$1001,'2.현장'!$V$2:$V$1001,B64,'2.현장'!$T$2:$T$1001,TRUE)))</f>
        <v/>
      </c>
      <c r="J64" s="7">
        <f>IF(B64="","",IF(_xlfn.MAXIFS('2.현장'!$M$2:$M$1001,'2.현장'!$V$2:$V$1001,B64,'2.현장'!$T$2:$T$1001,TRUE)=0,"",_xlfn.MAXIFS('2.현장'!$M$2:$M$1001,'2.현장'!$V$2:$V$1001,B64,'2.현장'!$T$2:$T$1001,TRUE)))</f>
        <v/>
      </c>
      <c r="K64">
        <f>IF(B64="","",IFERROR(INDEX('2.현장'!$C$2:$C$1001,IFERROR(MATCH(B64&amp;"|설계사",'2.현장'!$Z$2:$Z$1001,0),IFERROR(MATCH(B64&amp;"|시공사",'2.현장'!$Z$2:$Z$1001,0),MATCH(B64&amp;"|늦음",'2.현장'!$Z$2:$Z$1001,0)))),""))</f>
        <v/>
      </c>
      <c r="L64">
        <f>IF(B64="","",IFERROR(INDEX('2.현장'!$N$2:$N$1001,IFERROR(MATCH(B64&amp;"|설계사",'2.현장'!$Z$2:$Z$1001,0),IFERROR(MATCH(B64&amp;"|시공사",'2.현장'!$Z$2:$Z$1001,0),MATCH(B64&amp;"|늦음",'2.현장'!$Z$2:$Z$1001,0)))),""))</f>
        <v/>
      </c>
      <c r="M64">
        <f>IF(B64="","",IFERROR(VLOOKUP(B64,업체_메모!$A$3:$I$302,2,FALSE)&amp;"",""))</f>
        <v/>
      </c>
      <c r="N64">
        <f>IF(B64="","",IFERROR(VLOOKUP(B64,업체_메모!$A$3:$I$302,4,FALSE)&amp;"",""))</f>
        <v/>
      </c>
      <c r="O64" s="7">
        <f>IF(B64="","",IF(COUNTIF('4.방문기록'!$B$3:$B$502,B64)=0,"",_xlfn.MAXIFS('4.방문기록'!$A$3:$A$502,'4.방문기록'!$B$3:$B$502,B64)))</f>
        <v/>
      </c>
      <c r="P64">
        <f>IF(O64="","",설정!$B$24-O64)</f>
        <v/>
      </c>
      <c r="Q64" s="7">
        <f>IF(B64="","",IF(_xlfn.MAXIFS('4.방문기록'!$F$3:$F$502,'4.방문기록'!$B$3:$B$502,B64)=0,"",_xlfn.MAXIFS('4.방문기록'!$F$3:$F$502,'4.방문기록'!$B$3:$B$502,B64)))</f>
        <v/>
      </c>
      <c r="R64">
        <f>IF(O64="","",IFERROR(INDEX('4.방문기록'!$H$3:$H$502,MATCH(B64&amp;"|"&amp;(O64*1),'4.방문기록'!$I$3:$I$502,0))&amp;"",""))</f>
        <v/>
      </c>
      <c r="S64">
        <f>IF(B64="","",IF(R64="관심 없음","제외",IF(O64="","안 가봄",IF(P64&gt;=설정!$B$20,P64&amp;"일 지남","최근 방문"))))</f>
        <v/>
      </c>
      <c r="T64" s="8">
        <f>IF(B64="","",IF(S64="제외","",IF(AND(설정!$B$21&lt;&gt;"",L64&lt;&gt;설정!$B$21),"",IF(AND(Q64&lt;&gt;"",Q64&gt;N(O64),Q64&lt;=설정!$B$24+7),설정!$B$39+7-(Q64-설정!$B$24),IF(AND(G64&gt;0,OR(S64="안 가봄",RIGHT(S64,2)="지남")),G64+IF(O64="",설정!$B$36,MIN(P64,60)*설정!$B$37)+MIN(N(H64)/1000*설정!$B$38,20),"")))))</f>
        <v/>
      </c>
      <c r="U64">
        <f>IF(T64="","",COUNTIF(T$4:T$303,"&gt;"&amp;T64)+COUNTIF(T$4:T64,T64))</f>
        <v/>
      </c>
    </row>
    <row r="65">
      <c r="A65">
        <f>IF(B65="","",62)</f>
        <v/>
      </c>
      <c r="B65">
        <f>IFERROR(INDEX('2.현장'!$V$2:$V$1001,MATCH(62,'2.현장'!$W$2:$W$1001,0)),"")</f>
        <v/>
      </c>
      <c r="C65">
        <f>IF(B65="","",COUNTIFS('2.현장'!$V$2:$V$1001,B65,'2.현장'!$T$2:$T$1001,TRUE))</f>
        <v/>
      </c>
      <c r="D65">
        <f>IF(B65="","",COUNTIFS('2.현장'!$V$2:$V$1001,B65,'2.현장'!$U$2:$U$1001,"설계사"))</f>
        <v/>
      </c>
      <c r="E65">
        <f>IF(B65="","",COUNTIFS('2.현장'!$V$2:$V$1001,B65,'2.현장'!$U$2:$U$1001,"시공사"))</f>
        <v/>
      </c>
      <c r="F65">
        <f>IF(B65="","",COUNTIFS('2.현장'!$V$2:$V$1001,B65,'2.현장'!$T$2:$T$1001,TRUE,'2.현장'!$AA$2:$AA$1001,"★"))</f>
        <v/>
      </c>
      <c r="G65" s="6">
        <f>IF(B65="","",SUMIFS('2.현장'!$AB$2:$AB$1001,'2.현장'!$V$2:$V$1001,B65,'2.현장'!$T$2:$T$1001,TRUE))</f>
        <v/>
      </c>
      <c r="H65" s="5">
        <f>IF(B65="","",_xlfn.MAXIFS('2.현장'!$D$2:$D$1001,'2.현장'!$V$2:$V$1001,B65,'2.현장'!$T$2:$T$1001,TRUE))</f>
        <v/>
      </c>
      <c r="I65" s="7">
        <f>IF(B65="","",IF(_xlfn.MAXIFS('2.현장'!$L$2:$L$1001,'2.현장'!$V$2:$V$1001,B65,'2.현장'!$T$2:$T$1001,TRUE)=0,"",_xlfn.MAXIFS('2.현장'!$L$2:$L$1001,'2.현장'!$V$2:$V$1001,B65,'2.현장'!$T$2:$T$1001,TRUE)))</f>
        <v/>
      </c>
      <c r="J65" s="7">
        <f>IF(B65="","",IF(_xlfn.MAXIFS('2.현장'!$M$2:$M$1001,'2.현장'!$V$2:$V$1001,B65,'2.현장'!$T$2:$T$1001,TRUE)=0,"",_xlfn.MAXIFS('2.현장'!$M$2:$M$1001,'2.현장'!$V$2:$V$1001,B65,'2.현장'!$T$2:$T$1001,TRUE)))</f>
        <v/>
      </c>
      <c r="K65">
        <f>IF(B65="","",IFERROR(INDEX('2.현장'!$C$2:$C$1001,IFERROR(MATCH(B65&amp;"|설계사",'2.현장'!$Z$2:$Z$1001,0),IFERROR(MATCH(B65&amp;"|시공사",'2.현장'!$Z$2:$Z$1001,0),MATCH(B65&amp;"|늦음",'2.현장'!$Z$2:$Z$1001,0)))),""))</f>
        <v/>
      </c>
      <c r="L65">
        <f>IF(B65="","",IFERROR(INDEX('2.현장'!$N$2:$N$1001,IFERROR(MATCH(B65&amp;"|설계사",'2.현장'!$Z$2:$Z$1001,0),IFERROR(MATCH(B65&amp;"|시공사",'2.현장'!$Z$2:$Z$1001,0),MATCH(B65&amp;"|늦음",'2.현장'!$Z$2:$Z$1001,0)))),""))</f>
        <v/>
      </c>
      <c r="M65">
        <f>IF(B65="","",IFERROR(VLOOKUP(B65,업체_메모!$A$3:$I$302,2,FALSE)&amp;"",""))</f>
        <v/>
      </c>
      <c r="N65">
        <f>IF(B65="","",IFERROR(VLOOKUP(B65,업체_메모!$A$3:$I$302,4,FALSE)&amp;"",""))</f>
        <v/>
      </c>
      <c r="O65" s="7">
        <f>IF(B65="","",IF(COUNTIF('4.방문기록'!$B$3:$B$502,B65)=0,"",_xlfn.MAXIFS('4.방문기록'!$A$3:$A$502,'4.방문기록'!$B$3:$B$502,B65)))</f>
        <v/>
      </c>
      <c r="P65">
        <f>IF(O65="","",설정!$B$24-O65)</f>
        <v/>
      </c>
      <c r="Q65" s="7">
        <f>IF(B65="","",IF(_xlfn.MAXIFS('4.방문기록'!$F$3:$F$502,'4.방문기록'!$B$3:$B$502,B65)=0,"",_xlfn.MAXIFS('4.방문기록'!$F$3:$F$502,'4.방문기록'!$B$3:$B$502,B65)))</f>
        <v/>
      </c>
      <c r="R65">
        <f>IF(O65="","",IFERROR(INDEX('4.방문기록'!$H$3:$H$502,MATCH(B65&amp;"|"&amp;(O65*1),'4.방문기록'!$I$3:$I$502,0))&amp;"",""))</f>
        <v/>
      </c>
      <c r="S65">
        <f>IF(B65="","",IF(R65="관심 없음","제외",IF(O65="","안 가봄",IF(P65&gt;=설정!$B$20,P65&amp;"일 지남","최근 방문"))))</f>
        <v/>
      </c>
      <c r="T65" s="8">
        <f>IF(B65="","",IF(S65="제외","",IF(AND(설정!$B$21&lt;&gt;"",L65&lt;&gt;설정!$B$21),"",IF(AND(Q65&lt;&gt;"",Q65&gt;N(O65),Q65&lt;=설정!$B$24+7),설정!$B$39+7-(Q65-설정!$B$24),IF(AND(G65&gt;0,OR(S65="안 가봄",RIGHT(S65,2)="지남")),G65+IF(O65="",설정!$B$36,MIN(P65,60)*설정!$B$37)+MIN(N(H65)/1000*설정!$B$38,20),"")))))</f>
        <v/>
      </c>
      <c r="U65">
        <f>IF(T65="","",COUNTIF(T$4:T$303,"&gt;"&amp;T65)+COUNTIF(T$4:T65,T65))</f>
        <v/>
      </c>
    </row>
    <row r="66">
      <c r="A66">
        <f>IF(B66="","",63)</f>
        <v/>
      </c>
      <c r="B66">
        <f>IFERROR(INDEX('2.현장'!$V$2:$V$1001,MATCH(63,'2.현장'!$W$2:$W$1001,0)),"")</f>
        <v/>
      </c>
      <c r="C66">
        <f>IF(B66="","",COUNTIFS('2.현장'!$V$2:$V$1001,B66,'2.현장'!$T$2:$T$1001,TRUE))</f>
        <v/>
      </c>
      <c r="D66">
        <f>IF(B66="","",COUNTIFS('2.현장'!$V$2:$V$1001,B66,'2.현장'!$U$2:$U$1001,"설계사"))</f>
        <v/>
      </c>
      <c r="E66">
        <f>IF(B66="","",COUNTIFS('2.현장'!$V$2:$V$1001,B66,'2.현장'!$U$2:$U$1001,"시공사"))</f>
        <v/>
      </c>
      <c r="F66">
        <f>IF(B66="","",COUNTIFS('2.현장'!$V$2:$V$1001,B66,'2.현장'!$T$2:$T$1001,TRUE,'2.현장'!$AA$2:$AA$1001,"★"))</f>
        <v/>
      </c>
      <c r="G66" s="6">
        <f>IF(B66="","",SUMIFS('2.현장'!$AB$2:$AB$1001,'2.현장'!$V$2:$V$1001,B66,'2.현장'!$T$2:$T$1001,TRUE))</f>
        <v/>
      </c>
      <c r="H66" s="5">
        <f>IF(B66="","",_xlfn.MAXIFS('2.현장'!$D$2:$D$1001,'2.현장'!$V$2:$V$1001,B66,'2.현장'!$T$2:$T$1001,TRUE))</f>
        <v/>
      </c>
      <c r="I66" s="7">
        <f>IF(B66="","",IF(_xlfn.MAXIFS('2.현장'!$L$2:$L$1001,'2.현장'!$V$2:$V$1001,B66,'2.현장'!$T$2:$T$1001,TRUE)=0,"",_xlfn.MAXIFS('2.현장'!$L$2:$L$1001,'2.현장'!$V$2:$V$1001,B66,'2.현장'!$T$2:$T$1001,TRUE)))</f>
        <v/>
      </c>
      <c r="J66" s="7">
        <f>IF(B66="","",IF(_xlfn.MAXIFS('2.현장'!$M$2:$M$1001,'2.현장'!$V$2:$V$1001,B66,'2.현장'!$T$2:$T$1001,TRUE)=0,"",_xlfn.MAXIFS('2.현장'!$M$2:$M$1001,'2.현장'!$V$2:$V$1001,B66,'2.현장'!$T$2:$T$1001,TRUE)))</f>
        <v/>
      </c>
      <c r="K66">
        <f>IF(B66="","",IFERROR(INDEX('2.현장'!$C$2:$C$1001,IFERROR(MATCH(B66&amp;"|설계사",'2.현장'!$Z$2:$Z$1001,0),IFERROR(MATCH(B66&amp;"|시공사",'2.현장'!$Z$2:$Z$1001,0),MATCH(B66&amp;"|늦음",'2.현장'!$Z$2:$Z$1001,0)))),""))</f>
        <v/>
      </c>
      <c r="L66">
        <f>IF(B66="","",IFERROR(INDEX('2.현장'!$N$2:$N$1001,IFERROR(MATCH(B66&amp;"|설계사",'2.현장'!$Z$2:$Z$1001,0),IFERROR(MATCH(B66&amp;"|시공사",'2.현장'!$Z$2:$Z$1001,0),MATCH(B66&amp;"|늦음",'2.현장'!$Z$2:$Z$1001,0)))),""))</f>
        <v/>
      </c>
      <c r="M66">
        <f>IF(B66="","",IFERROR(VLOOKUP(B66,업체_메모!$A$3:$I$302,2,FALSE)&amp;"",""))</f>
        <v/>
      </c>
      <c r="N66">
        <f>IF(B66="","",IFERROR(VLOOKUP(B66,업체_메모!$A$3:$I$302,4,FALSE)&amp;"",""))</f>
        <v/>
      </c>
      <c r="O66" s="7">
        <f>IF(B66="","",IF(COUNTIF('4.방문기록'!$B$3:$B$502,B66)=0,"",_xlfn.MAXIFS('4.방문기록'!$A$3:$A$502,'4.방문기록'!$B$3:$B$502,B66)))</f>
        <v/>
      </c>
      <c r="P66">
        <f>IF(O66="","",설정!$B$24-O66)</f>
        <v/>
      </c>
      <c r="Q66" s="7">
        <f>IF(B66="","",IF(_xlfn.MAXIFS('4.방문기록'!$F$3:$F$502,'4.방문기록'!$B$3:$B$502,B66)=0,"",_xlfn.MAXIFS('4.방문기록'!$F$3:$F$502,'4.방문기록'!$B$3:$B$502,B66)))</f>
        <v/>
      </c>
      <c r="R66">
        <f>IF(O66="","",IFERROR(INDEX('4.방문기록'!$H$3:$H$502,MATCH(B66&amp;"|"&amp;(O66*1),'4.방문기록'!$I$3:$I$502,0))&amp;"",""))</f>
        <v/>
      </c>
      <c r="S66">
        <f>IF(B66="","",IF(R66="관심 없음","제외",IF(O66="","안 가봄",IF(P66&gt;=설정!$B$20,P66&amp;"일 지남","최근 방문"))))</f>
        <v/>
      </c>
      <c r="T66" s="8">
        <f>IF(B66="","",IF(S66="제외","",IF(AND(설정!$B$21&lt;&gt;"",L66&lt;&gt;설정!$B$21),"",IF(AND(Q66&lt;&gt;"",Q66&gt;N(O66),Q66&lt;=설정!$B$24+7),설정!$B$39+7-(Q66-설정!$B$24),IF(AND(G66&gt;0,OR(S66="안 가봄",RIGHT(S66,2)="지남")),G66+IF(O66="",설정!$B$36,MIN(P66,60)*설정!$B$37)+MIN(N(H66)/1000*설정!$B$38,20),"")))))</f>
        <v/>
      </c>
      <c r="U66">
        <f>IF(T66="","",COUNTIF(T$4:T$303,"&gt;"&amp;T66)+COUNTIF(T$4:T66,T66))</f>
        <v/>
      </c>
    </row>
    <row r="67">
      <c r="A67">
        <f>IF(B67="","",64)</f>
        <v/>
      </c>
      <c r="B67">
        <f>IFERROR(INDEX('2.현장'!$V$2:$V$1001,MATCH(64,'2.현장'!$W$2:$W$1001,0)),"")</f>
        <v/>
      </c>
      <c r="C67">
        <f>IF(B67="","",COUNTIFS('2.현장'!$V$2:$V$1001,B67,'2.현장'!$T$2:$T$1001,TRUE))</f>
        <v/>
      </c>
      <c r="D67">
        <f>IF(B67="","",COUNTIFS('2.현장'!$V$2:$V$1001,B67,'2.현장'!$U$2:$U$1001,"설계사"))</f>
        <v/>
      </c>
      <c r="E67">
        <f>IF(B67="","",COUNTIFS('2.현장'!$V$2:$V$1001,B67,'2.현장'!$U$2:$U$1001,"시공사"))</f>
        <v/>
      </c>
      <c r="F67">
        <f>IF(B67="","",COUNTIFS('2.현장'!$V$2:$V$1001,B67,'2.현장'!$T$2:$T$1001,TRUE,'2.현장'!$AA$2:$AA$1001,"★"))</f>
        <v/>
      </c>
      <c r="G67" s="6">
        <f>IF(B67="","",SUMIFS('2.현장'!$AB$2:$AB$1001,'2.현장'!$V$2:$V$1001,B67,'2.현장'!$T$2:$T$1001,TRUE))</f>
        <v/>
      </c>
      <c r="H67" s="5">
        <f>IF(B67="","",_xlfn.MAXIFS('2.현장'!$D$2:$D$1001,'2.현장'!$V$2:$V$1001,B67,'2.현장'!$T$2:$T$1001,TRUE))</f>
        <v/>
      </c>
      <c r="I67" s="7">
        <f>IF(B67="","",IF(_xlfn.MAXIFS('2.현장'!$L$2:$L$1001,'2.현장'!$V$2:$V$1001,B67,'2.현장'!$T$2:$T$1001,TRUE)=0,"",_xlfn.MAXIFS('2.현장'!$L$2:$L$1001,'2.현장'!$V$2:$V$1001,B67,'2.현장'!$T$2:$T$1001,TRUE)))</f>
        <v/>
      </c>
      <c r="J67" s="7">
        <f>IF(B67="","",IF(_xlfn.MAXIFS('2.현장'!$M$2:$M$1001,'2.현장'!$V$2:$V$1001,B67,'2.현장'!$T$2:$T$1001,TRUE)=0,"",_xlfn.MAXIFS('2.현장'!$M$2:$M$1001,'2.현장'!$V$2:$V$1001,B67,'2.현장'!$T$2:$T$1001,TRUE)))</f>
        <v/>
      </c>
      <c r="K67">
        <f>IF(B67="","",IFERROR(INDEX('2.현장'!$C$2:$C$1001,IFERROR(MATCH(B67&amp;"|설계사",'2.현장'!$Z$2:$Z$1001,0),IFERROR(MATCH(B67&amp;"|시공사",'2.현장'!$Z$2:$Z$1001,0),MATCH(B67&amp;"|늦음",'2.현장'!$Z$2:$Z$1001,0)))),""))</f>
        <v/>
      </c>
      <c r="L67">
        <f>IF(B67="","",IFERROR(INDEX('2.현장'!$N$2:$N$1001,IFERROR(MATCH(B67&amp;"|설계사",'2.현장'!$Z$2:$Z$1001,0),IFERROR(MATCH(B67&amp;"|시공사",'2.현장'!$Z$2:$Z$1001,0),MATCH(B67&amp;"|늦음",'2.현장'!$Z$2:$Z$1001,0)))),""))</f>
        <v/>
      </c>
      <c r="M67">
        <f>IF(B67="","",IFERROR(VLOOKUP(B67,업체_메모!$A$3:$I$302,2,FALSE)&amp;"",""))</f>
        <v/>
      </c>
      <c r="N67">
        <f>IF(B67="","",IFERROR(VLOOKUP(B67,업체_메모!$A$3:$I$302,4,FALSE)&amp;"",""))</f>
        <v/>
      </c>
      <c r="O67" s="7">
        <f>IF(B67="","",IF(COUNTIF('4.방문기록'!$B$3:$B$502,B67)=0,"",_xlfn.MAXIFS('4.방문기록'!$A$3:$A$502,'4.방문기록'!$B$3:$B$502,B67)))</f>
        <v/>
      </c>
      <c r="P67">
        <f>IF(O67="","",설정!$B$24-O67)</f>
        <v/>
      </c>
      <c r="Q67" s="7">
        <f>IF(B67="","",IF(_xlfn.MAXIFS('4.방문기록'!$F$3:$F$502,'4.방문기록'!$B$3:$B$502,B67)=0,"",_xlfn.MAXIFS('4.방문기록'!$F$3:$F$502,'4.방문기록'!$B$3:$B$502,B67)))</f>
        <v/>
      </c>
      <c r="R67">
        <f>IF(O67="","",IFERROR(INDEX('4.방문기록'!$H$3:$H$502,MATCH(B67&amp;"|"&amp;(O67*1),'4.방문기록'!$I$3:$I$502,0))&amp;"",""))</f>
        <v/>
      </c>
      <c r="S67">
        <f>IF(B67="","",IF(R67="관심 없음","제외",IF(O67="","안 가봄",IF(P67&gt;=설정!$B$20,P67&amp;"일 지남","최근 방문"))))</f>
        <v/>
      </c>
      <c r="T67" s="8">
        <f>IF(B67="","",IF(S67="제외","",IF(AND(설정!$B$21&lt;&gt;"",L67&lt;&gt;설정!$B$21),"",IF(AND(Q67&lt;&gt;"",Q67&gt;N(O67),Q67&lt;=설정!$B$24+7),설정!$B$39+7-(Q67-설정!$B$24),IF(AND(G67&gt;0,OR(S67="안 가봄",RIGHT(S67,2)="지남")),G67+IF(O67="",설정!$B$36,MIN(P67,60)*설정!$B$37)+MIN(N(H67)/1000*설정!$B$38,20),"")))))</f>
        <v/>
      </c>
      <c r="U67">
        <f>IF(T67="","",COUNTIF(T$4:T$303,"&gt;"&amp;T67)+COUNTIF(T$4:T67,T67))</f>
        <v/>
      </c>
    </row>
    <row r="68">
      <c r="A68">
        <f>IF(B68="","",65)</f>
        <v/>
      </c>
      <c r="B68">
        <f>IFERROR(INDEX('2.현장'!$V$2:$V$1001,MATCH(65,'2.현장'!$W$2:$W$1001,0)),"")</f>
        <v/>
      </c>
      <c r="C68">
        <f>IF(B68="","",COUNTIFS('2.현장'!$V$2:$V$1001,B68,'2.현장'!$T$2:$T$1001,TRUE))</f>
        <v/>
      </c>
      <c r="D68">
        <f>IF(B68="","",COUNTIFS('2.현장'!$V$2:$V$1001,B68,'2.현장'!$U$2:$U$1001,"설계사"))</f>
        <v/>
      </c>
      <c r="E68">
        <f>IF(B68="","",COUNTIFS('2.현장'!$V$2:$V$1001,B68,'2.현장'!$U$2:$U$1001,"시공사"))</f>
        <v/>
      </c>
      <c r="F68">
        <f>IF(B68="","",COUNTIFS('2.현장'!$V$2:$V$1001,B68,'2.현장'!$T$2:$T$1001,TRUE,'2.현장'!$AA$2:$AA$1001,"★"))</f>
        <v/>
      </c>
      <c r="G68" s="6">
        <f>IF(B68="","",SUMIFS('2.현장'!$AB$2:$AB$1001,'2.현장'!$V$2:$V$1001,B68,'2.현장'!$T$2:$T$1001,TRUE))</f>
        <v/>
      </c>
      <c r="H68" s="5">
        <f>IF(B68="","",_xlfn.MAXIFS('2.현장'!$D$2:$D$1001,'2.현장'!$V$2:$V$1001,B68,'2.현장'!$T$2:$T$1001,TRUE))</f>
        <v/>
      </c>
      <c r="I68" s="7">
        <f>IF(B68="","",IF(_xlfn.MAXIFS('2.현장'!$L$2:$L$1001,'2.현장'!$V$2:$V$1001,B68,'2.현장'!$T$2:$T$1001,TRUE)=0,"",_xlfn.MAXIFS('2.현장'!$L$2:$L$1001,'2.현장'!$V$2:$V$1001,B68,'2.현장'!$T$2:$T$1001,TRUE)))</f>
        <v/>
      </c>
      <c r="J68" s="7">
        <f>IF(B68="","",IF(_xlfn.MAXIFS('2.현장'!$M$2:$M$1001,'2.현장'!$V$2:$V$1001,B68,'2.현장'!$T$2:$T$1001,TRUE)=0,"",_xlfn.MAXIFS('2.현장'!$M$2:$M$1001,'2.현장'!$V$2:$V$1001,B68,'2.현장'!$T$2:$T$1001,TRUE)))</f>
        <v/>
      </c>
      <c r="K68">
        <f>IF(B68="","",IFERROR(INDEX('2.현장'!$C$2:$C$1001,IFERROR(MATCH(B68&amp;"|설계사",'2.현장'!$Z$2:$Z$1001,0),IFERROR(MATCH(B68&amp;"|시공사",'2.현장'!$Z$2:$Z$1001,0),MATCH(B68&amp;"|늦음",'2.현장'!$Z$2:$Z$1001,0)))),""))</f>
        <v/>
      </c>
      <c r="L68">
        <f>IF(B68="","",IFERROR(INDEX('2.현장'!$N$2:$N$1001,IFERROR(MATCH(B68&amp;"|설계사",'2.현장'!$Z$2:$Z$1001,0),IFERROR(MATCH(B68&amp;"|시공사",'2.현장'!$Z$2:$Z$1001,0),MATCH(B68&amp;"|늦음",'2.현장'!$Z$2:$Z$1001,0)))),""))</f>
        <v/>
      </c>
      <c r="M68">
        <f>IF(B68="","",IFERROR(VLOOKUP(B68,업체_메모!$A$3:$I$302,2,FALSE)&amp;"",""))</f>
        <v/>
      </c>
      <c r="N68">
        <f>IF(B68="","",IFERROR(VLOOKUP(B68,업체_메모!$A$3:$I$302,4,FALSE)&amp;"",""))</f>
        <v/>
      </c>
      <c r="O68" s="7">
        <f>IF(B68="","",IF(COUNTIF('4.방문기록'!$B$3:$B$502,B68)=0,"",_xlfn.MAXIFS('4.방문기록'!$A$3:$A$502,'4.방문기록'!$B$3:$B$502,B68)))</f>
        <v/>
      </c>
      <c r="P68">
        <f>IF(O68="","",설정!$B$24-O68)</f>
        <v/>
      </c>
      <c r="Q68" s="7">
        <f>IF(B68="","",IF(_xlfn.MAXIFS('4.방문기록'!$F$3:$F$502,'4.방문기록'!$B$3:$B$502,B68)=0,"",_xlfn.MAXIFS('4.방문기록'!$F$3:$F$502,'4.방문기록'!$B$3:$B$502,B68)))</f>
        <v/>
      </c>
      <c r="R68">
        <f>IF(O68="","",IFERROR(INDEX('4.방문기록'!$H$3:$H$502,MATCH(B68&amp;"|"&amp;(O68*1),'4.방문기록'!$I$3:$I$502,0))&amp;"",""))</f>
        <v/>
      </c>
      <c r="S68">
        <f>IF(B68="","",IF(R68="관심 없음","제외",IF(O68="","안 가봄",IF(P68&gt;=설정!$B$20,P68&amp;"일 지남","최근 방문"))))</f>
        <v/>
      </c>
      <c r="T68" s="8">
        <f>IF(B68="","",IF(S68="제외","",IF(AND(설정!$B$21&lt;&gt;"",L68&lt;&gt;설정!$B$21),"",IF(AND(Q68&lt;&gt;"",Q68&gt;N(O68),Q68&lt;=설정!$B$24+7),설정!$B$39+7-(Q68-설정!$B$24),IF(AND(G68&gt;0,OR(S68="안 가봄",RIGHT(S68,2)="지남")),G68+IF(O68="",설정!$B$36,MIN(P68,60)*설정!$B$37)+MIN(N(H68)/1000*설정!$B$38,20),"")))))</f>
        <v/>
      </c>
      <c r="U68">
        <f>IF(T68="","",COUNTIF(T$4:T$303,"&gt;"&amp;T68)+COUNTIF(T$4:T68,T68))</f>
        <v/>
      </c>
    </row>
    <row r="69">
      <c r="A69">
        <f>IF(B69="","",66)</f>
        <v/>
      </c>
      <c r="B69">
        <f>IFERROR(INDEX('2.현장'!$V$2:$V$1001,MATCH(66,'2.현장'!$W$2:$W$1001,0)),"")</f>
        <v/>
      </c>
      <c r="C69">
        <f>IF(B69="","",COUNTIFS('2.현장'!$V$2:$V$1001,B69,'2.현장'!$T$2:$T$1001,TRUE))</f>
        <v/>
      </c>
      <c r="D69">
        <f>IF(B69="","",COUNTIFS('2.현장'!$V$2:$V$1001,B69,'2.현장'!$U$2:$U$1001,"설계사"))</f>
        <v/>
      </c>
      <c r="E69">
        <f>IF(B69="","",COUNTIFS('2.현장'!$V$2:$V$1001,B69,'2.현장'!$U$2:$U$1001,"시공사"))</f>
        <v/>
      </c>
      <c r="F69">
        <f>IF(B69="","",COUNTIFS('2.현장'!$V$2:$V$1001,B69,'2.현장'!$T$2:$T$1001,TRUE,'2.현장'!$AA$2:$AA$1001,"★"))</f>
        <v/>
      </c>
      <c r="G69" s="6">
        <f>IF(B69="","",SUMIFS('2.현장'!$AB$2:$AB$1001,'2.현장'!$V$2:$V$1001,B69,'2.현장'!$T$2:$T$1001,TRUE))</f>
        <v/>
      </c>
      <c r="H69" s="5">
        <f>IF(B69="","",_xlfn.MAXIFS('2.현장'!$D$2:$D$1001,'2.현장'!$V$2:$V$1001,B69,'2.현장'!$T$2:$T$1001,TRUE))</f>
        <v/>
      </c>
      <c r="I69" s="7">
        <f>IF(B69="","",IF(_xlfn.MAXIFS('2.현장'!$L$2:$L$1001,'2.현장'!$V$2:$V$1001,B69,'2.현장'!$T$2:$T$1001,TRUE)=0,"",_xlfn.MAXIFS('2.현장'!$L$2:$L$1001,'2.현장'!$V$2:$V$1001,B69,'2.현장'!$T$2:$T$1001,TRUE)))</f>
        <v/>
      </c>
      <c r="J69" s="7">
        <f>IF(B69="","",IF(_xlfn.MAXIFS('2.현장'!$M$2:$M$1001,'2.현장'!$V$2:$V$1001,B69,'2.현장'!$T$2:$T$1001,TRUE)=0,"",_xlfn.MAXIFS('2.현장'!$M$2:$M$1001,'2.현장'!$V$2:$V$1001,B69,'2.현장'!$T$2:$T$1001,TRUE)))</f>
        <v/>
      </c>
      <c r="K69">
        <f>IF(B69="","",IFERROR(INDEX('2.현장'!$C$2:$C$1001,IFERROR(MATCH(B69&amp;"|설계사",'2.현장'!$Z$2:$Z$1001,0),IFERROR(MATCH(B69&amp;"|시공사",'2.현장'!$Z$2:$Z$1001,0),MATCH(B69&amp;"|늦음",'2.현장'!$Z$2:$Z$1001,0)))),""))</f>
        <v/>
      </c>
      <c r="L69">
        <f>IF(B69="","",IFERROR(INDEX('2.현장'!$N$2:$N$1001,IFERROR(MATCH(B69&amp;"|설계사",'2.현장'!$Z$2:$Z$1001,0),IFERROR(MATCH(B69&amp;"|시공사",'2.현장'!$Z$2:$Z$1001,0),MATCH(B69&amp;"|늦음",'2.현장'!$Z$2:$Z$1001,0)))),""))</f>
        <v/>
      </c>
      <c r="M69">
        <f>IF(B69="","",IFERROR(VLOOKUP(B69,업체_메모!$A$3:$I$302,2,FALSE)&amp;"",""))</f>
        <v/>
      </c>
      <c r="N69">
        <f>IF(B69="","",IFERROR(VLOOKUP(B69,업체_메모!$A$3:$I$302,4,FALSE)&amp;"",""))</f>
        <v/>
      </c>
      <c r="O69" s="7">
        <f>IF(B69="","",IF(COUNTIF('4.방문기록'!$B$3:$B$502,B69)=0,"",_xlfn.MAXIFS('4.방문기록'!$A$3:$A$502,'4.방문기록'!$B$3:$B$502,B69)))</f>
        <v/>
      </c>
      <c r="P69">
        <f>IF(O69="","",설정!$B$24-O69)</f>
        <v/>
      </c>
      <c r="Q69" s="7">
        <f>IF(B69="","",IF(_xlfn.MAXIFS('4.방문기록'!$F$3:$F$502,'4.방문기록'!$B$3:$B$502,B69)=0,"",_xlfn.MAXIFS('4.방문기록'!$F$3:$F$502,'4.방문기록'!$B$3:$B$502,B69)))</f>
        <v/>
      </c>
      <c r="R69">
        <f>IF(O69="","",IFERROR(INDEX('4.방문기록'!$H$3:$H$502,MATCH(B69&amp;"|"&amp;(O69*1),'4.방문기록'!$I$3:$I$502,0))&amp;"",""))</f>
        <v/>
      </c>
      <c r="S69">
        <f>IF(B69="","",IF(R69="관심 없음","제외",IF(O69="","안 가봄",IF(P69&gt;=설정!$B$20,P69&amp;"일 지남","최근 방문"))))</f>
        <v/>
      </c>
      <c r="T69" s="8">
        <f>IF(B69="","",IF(S69="제외","",IF(AND(설정!$B$21&lt;&gt;"",L69&lt;&gt;설정!$B$21),"",IF(AND(Q69&lt;&gt;"",Q69&gt;N(O69),Q69&lt;=설정!$B$24+7),설정!$B$39+7-(Q69-설정!$B$24),IF(AND(G69&gt;0,OR(S69="안 가봄",RIGHT(S69,2)="지남")),G69+IF(O69="",설정!$B$36,MIN(P69,60)*설정!$B$37)+MIN(N(H69)/1000*설정!$B$38,20),"")))))</f>
        <v/>
      </c>
      <c r="U69">
        <f>IF(T69="","",COUNTIF(T$4:T$303,"&gt;"&amp;T69)+COUNTIF(T$4:T69,T69))</f>
        <v/>
      </c>
    </row>
    <row r="70">
      <c r="A70">
        <f>IF(B70="","",67)</f>
        <v/>
      </c>
      <c r="B70">
        <f>IFERROR(INDEX('2.현장'!$V$2:$V$1001,MATCH(67,'2.현장'!$W$2:$W$1001,0)),"")</f>
        <v/>
      </c>
      <c r="C70">
        <f>IF(B70="","",COUNTIFS('2.현장'!$V$2:$V$1001,B70,'2.현장'!$T$2:$T$1001,TRUE))</f>
        <v/>
      </c>
      <c r="D70">
        <f>IF(B70="","",COUNTIFS('2.현장'!$V$2:$V$1001,B70,'2.현장'!$U$2:$U$1001,"설계사"))</f>
        <v/>
      </c>
      <c r="E70">
        <f>IF(B70="","",COUNTIFS('2.현장'!$V$2:$V$1001,B70,'2.현장'!$U$2:$U$1001,"시공사"))</f>
        <v/>
      </c>
      <c r="F70">
        <f>IF(B70="","",COUNTIFS('2.현장'!$V$2:$V$1001,B70,'2.현장'!$T$2:$T$1001,TRUE,'2.현장'!$AA$2:$AA$1001,"★"))</f>
        <v/>
      </c>
      <c r="G70" s="6">
        <f>IF(B70="","",SUMIFS('2.현장'!$AB$2:$AB$1001,'2.현장'!$V$2:$V$1001,B70,'2.현장'!$T$2:$T$1001,TRUE))</f>
        <v/>
      </c>
      <c r="H70" s="5">
        <f>IF(B70="","",_xlfn.MAXIFS('2.현장'!$D$2:$D$1001,'2.현장'!$V$2:$V$1001,B70,'2.현장'!$T$2:$T$1001,TRUE))</f>
        <v/>
      </c>
      <c r="I70" s="7">
        <f>IF(B70="","",IF(_xlfn.MAXIFS('2.현장'!$L$2:$L$1001,'2.현장'!$V$2:$V$1001,B70,'2.현장'!$T$2:$T$1001,TRUE)=0,"",_xlfn.MAXIFS('2.현장'!$L$2:$L$1001,'2.현장'!$V$2:$V$1001,B70,'2.현장'!$T$2:$T$1001,TRUE)))</f>
        <v/>
      </c>
      <c r="J70" s="7">
        <f>IF(B70="","",IF(_xlfn.MAXIFS('2.현장'!$M$2:$M$1001,'2.현장'!$V$2:$V$1001,B70,'2.현장'!$T$2:$T$1001,TRUE)=0,"",_xlfn.MAXIFS('2.현장'!$M$2:$M$1001,'2.현장'!$V$2:$V$1001,B70,'2.현장'!$T$2:$T$1001,TRUE)))</f>
        <v/>
      </c>
      <c r="K70">
        <f>IF(B70="","",IFERROR(INDEX('2.현장'!$C$2:$C$1001,IFERROR(MATCH(B70&amp;"|설계사",'2.현장'!$Z$2:$Z$1001,0),IFERROR(MATCH(B70&amp;"|시공사",'2.현장'!$Z$2:$Z$1001,0),MATCH(B70&amp;"|늦음",'2.현장'!$Z$2:$Z$1001,0)))),""))</f>
        <v/>
      </c>
      <c r="L70">
        <f>IF(B70="","",IFERROR(INDEX('2.현장'!$N$2:$N$1001,IFERROR(MATCH(B70&amp;"|설계사",'2.현장'!$Z$2:$Z$1001,0),IFERROR(MATCH(B70&amp;"|시공사",'2.현장'!$Z$2:$Z$1001,0),MATCH(B70&amp;"|늦음",'2.현장'!$Z$2:$Z$1001,0)))),""))</f>
        <v/>
      </c>
      <c r="M70">
        <f>IF(B70="","",IFERROR(VLOOKUP(B70,업체_메모!$A$3:$I$302,2,FALSE)&amp;"",""))</f>
        <v/>
      </c>
      <c r="N70">
        <f>IF(B70="","",IFERROR(VLOOKUP(B70,업체_메모!$A$3:$I$302,4,FALSE)&amp;"",""))</f>
        <v/>
      </c>
      <c r="O70" s="7">
        <f>IF(B70="","",IF(COUNTIF('4.방문기록'!$B$3:$B$502,B70)=0,"",_xlfn.MAXIFS('4.방문기록'!$A$3:$A$502,'4.방문기록'!$B$3:$B$502,B70)))</f>
        <v/>
      </c>
      <c r="P70">
        <f>IF(O70="","",설정!$B$24-O70)</f>
        <v/>
      </c>
      <c r="Q70" s="7">
        <f>IF(B70="","",IF(_xlfn.MAXIFS('4.방문기록'!$F$3:$F$502,'4.방문기록'!$B$3:$B$502,B70)=0,"",_xlfn.MAXIFS('4.방문기록'!$F$3:$F$502,'4.방문기록'!$B$3:$B$502,B70)))</f>
        <v/>
      </c>
      <c r="R70">
        <f>IF(O70="","",IFERROR(INDEX('4.방문기록'!$H$3:$H$502,MATCH(B70&amp;"|"&amp;(O70*1),'4.방문기록'!$I$3:$I$502,0))&amp;"",""))</f>
        <v/>
      </c>
      <c r="S70">
        <f>IF(B70="","",IF(R70="관심 없음","제외",IF(O70="","안 가봄",IF(P70&gt;=설정!$B$20,P70&amp;"일 지남","최근 방문"))))</f>
        <v/>
      </c>
      <c r="T70" s="8">
        <f>IF(B70="","",IF(S70="제외","",IF(AND(설정!$B$21&lt;&gt;"",L70&lt;&gt;설정!$B$21),"",IF(AND(Q70&lt;&gt;"",Q70&gt;N(O70),Q70&lt;=설정!$B$24+7),설정!$B$39+7-(Q70-설정!$B$24),IF(AND(G70&gt;0,OR(S70="안 가봄",RIGHT(S70,2)="지남")),G70+IF(O70="",설정!$B$36,MIN(P70,60)*설정!$B$37)+MIN(N(H70)/1000*설정!$B$38,20),"")))))</f>
        <v/>
      </c>
      <c r="U70">
        <f>IF(T70="","",COUNTIF(T$4:T$303,"&gt;"&amp;T70)+COUNTIF(T$4:T70,T70))</f>
        <v/>
      </c>
    </row>
    <row r="71">
      <c r="A71">
        <f>IF(B71="","",68)</f>
        <v/>
      </c>
      <c r="B71">
        <f>IFERROR(INDEX('2.현장'!$V$2:$V$1001,MATCH(68,'2.현장'!$W$2:$W$1001,0)),"")</f>
        <v/>
      </c>
      <c r="C71">
        <f>IF(B71="","",COUNTIFS('2.현장'!$V$2:$V$1001,B71,'2.현장'!$T$2:$T$1001,TRUE))</f>
        <v/>
      </c>
      <c r="D71">
        <f>IF(B71="","",COUNTIFS('2.현장'!$V$2:$V$1001,B71,'2.현장'!$U$2:$U$1001,"설계사"))</f>
        <v/>
      </c>
      <c r="E71">
        <f>IF(B71="","",COUNTIFS('2.현장'!$V$2:$V$1001,B71,'2.현장'!$U$2:$U$1001,"시공사"))</f>
        <v/>
      </c>
      <c r="F71">
        <f>IF(B71="","",COUNTIFS('2.현장'!$V$2:$V$1001,B71,'2.현장'!$T$2:$T$1001,TRUE,'2.현장'!$AA$2:$AA$1001,"★"))</f>
        <v/>
      </c>
      <c r="G71" s="6">
        <f>IF(B71="","",SUMIFS('2.현장'!$AB$2:$AB$1001,'2.현장'!$V$2:$V$1001,B71,'2.현장'!$T$2:$T$1001,TRUE))</f>
        <v/>
      </c>
      <c r="H71" s="5">
        <f>IF(B71="","",_xlfn.MAXIFS('2.현장'!$D$2:$D$1001,'2.현장'!$V$2:$V$1001,B71,'2.현장'!$T$2:$T$1001,TRUE))</f>
        <v/>
      </c>
      <c r="I71" s="7">
        <f>IF(B71="","",IF(_xlfn.MAXIFS('2.현장'!$L$2:$L$1001,'2.현장'!$V$2:$V$1001,B71,'2.현장'!$T$2:$T$1001,TRUE)=0,"",_xlfn.MAXIFS('2.현장'!$L$2:$L$1001,'2.현장'!$V$2:$V$1001,B71,'2.현장'!$T$2:$T$1001,TRUE)))</f>
        <v/>
      </c>
      <c r="J71" s="7">
        <f>IF(B71="","",IF(_xlfn.MAXIFS('2.현장'!$M$2:$M$1001,'2.현장'!$V$2:$V$1001,B71,'2.현장'!$T$2:$T$1001,TRUE)=0,"",_xlfn.MAXIFS('2.현장'!$M$2:$M$1001,'2.현장'!$V$2:$V$1001,B71,'2.현장'!$T$2:$T$1001,TRUE)))</f>
        <v/>
      </c>
      <c r="K71">
        <f>IF(B71="","",IFERROR(INDEX('2.현장'!$C$2:$C$1001,IFERROR(MATCH(B71&amp;"|설계사",'2.현장'!$Z$2:$Z$1001,0),IFERROR(MATCH(B71&amp;"|시공사",'2.현장'!$Z$2:$Z$1001,0),MATCH(B71&amp;"|늦음",'2.현장'!$Z$2:$Z$1001,0)))),""))</f>
        <v/>
      </c>
      <c r="L71">
        <f>IF(B71="","",IFERROR(INDEX('2.현장'!$N$2:$N$1001,IFERROR(MATCH(B71&amp;"|설계사",'2.현장'!$Z$2:$Z$1001,0),IFERROR(MATCH(B71&amp;"|시공사",'2.현장'!$Z$2:$Z$1001,0),MATCH(B71&amp;"|늦음",'2.현장'!$Z$2:$Z$1001,0)))),""))</f>
        <v/>
      </c>
      <c r="M71">
        <f>IF(B71="","",IFERROR(VLOOKUP(B71,업체_메모!$A$3:$I$302,2,FALSE)&amp;"",""))</f>
        <v/>
      </c>
      <c r="N71">
        <f>IF(B71="","",IFERROR(VLOOKUP(B71,업체_메모!$A$3:$I$302,4,FALSE)&amp;"",""))</f>
        <v/>
      </c>
      <c r="O71" s="7">
        <f>IF(B71="","",IF(COUNTIF('4.방문기록'!$B$3:$B$502,B71)=0,"",_xlfn.MAXIFS('4.방문기록'!$A$3:$A$502,'4.방문기록'!$B$3:$B$502,B71)))</f>
        <v/>
      </c>
      <c r="P71">
        <f>IF(O71="","",설정!$B$24-O71)</f>
        <v/>
      </c>
      <c r="Q71" s="7">
        <f>IF(B71="","",IF(_xlfn.MAXIFS('4.방문기록'!$F$3:$F$502,'4.방문기록'!$B$3:$B$502,B71)=0,"",_xlfn.MAXIFS('4.방문기록'!$F$3:$F$502,'4.방문기록'!$B$3:$B$502,B71)))</f>
        <v/>
      </c>
      <c r="R71">
        <f>IF(O71="","",IFERROR(INDEX('4.방문기록'!$H$3:$H$502,MATCH(B71&amp;"|"&amp;(O71*1),'4.방문기록'!$I$3:$I$502,0))&amp;"",""))</f>
        <v/>
      </c>
      <c r="S71">
        <f>IF(B71="","",IF(R71="관심 없음","제외",IF(O71="","안 가봄",IF(P71&gt;=설정!$B$20,P71&amp;"일 지남","최근 방문"))))</f>
        <v/>
      </c>
      <c r="T71" s="8">
        <f>IF(B71="","",IF(S71="제외","",IF(AND(설정!$B$21&lt;&gt;"",L71&lt;&gt;설정!$B$21),"",IF(AND(Q71&lt;&gt;"",Q71&gt;N(O71),Q71&lt;=설정!$B$24+7),설정!$B$39+7-(Q71-설정!$B$24),IF(AND(G71&gt;0,OR(S71="안 가봄",RIGHT(S71,2)="지남")),G71+IF(O71="",설정!$B$36,MIN(P71,60)*설정!$B$37)+MIN(N(H71)/1000*설정!$B$38,20),"")))))</f>
        <v/>
      </c>
      <c r="U71">
        <f>IF(T71="","",COUNTIF(T$4:T$303,"&gt;"&amp;T71)+COUNTIF(T$4:T71,T71))</f>
        <v/>
      </c>
    </row>
    <row r="72">
      <c r="A72">
        <f>IF(B72="","",69)</f>
        <v/>
      </c>
      <c r="B72">
        <f>IFERROR(INDEX('2.현장'!$V$2:$V$1001,MATCH(69,'2.현장'!$W$2:$W$1001,0)),"")</f>
        <v/>
      </c>
      <c r="C72">
        <f>IF(B72="","",COUNTIFS('2.현장'!$V$2:$V$1001,B72,'2.현장'!$T$2:$T$1001,TRUE))</f>
        <v/>
      </c>
      <c r="D72">
        <f>IF(B72="","",COUNTIFS('2.현장'!$V$2:$V$1001,B72,'2.현장'!$U$2:$U$1001,"설계사"))</f>
        <v/>
      </c>
      <c r="E72">
        <f>IF(B72="","",COUNTIFS('2.현장'!$V$2:$V$1001,B72,'2.현장'!$U$2:$U$1001,"시공사"))</f>
        <v/>
      </c>
      <c r="F72">
        <f>IF(B72="","",COUNTIFS('2.현장'!$V$2:$V$1001,B72,'2.현장'!$T$2:$T$1001,TRUE,'2.현장'!$AA$2:$AA$1001,"★"))</f>
        <v/>
      </c>
      <c r="G72" s="6">
        <f>IF(B72="","",SUMIFS('2.현장'!$AB$2:$AB$1001,'2.현장'!$V$2:$V$1001,B72,'2.현장'!$T$2:$T$1001,TRUE))</f>
        <v/>
      </c>
      <c r="H72" s="5">
        <f>IF(B72="","",_xlfn.MAXIFS('2.현장'!$D$2:$D$1001,'2.현장'!$V$2:$V$1001,B72,'2.현장'!$T$2:$T$1001,TRUE))</f>
        <v/>
      </c>
      <c r="I72" s="7">
        <f>IF(B72="","",IF(_xlfn.MAXIFS('2.현장'!$L$2:$L$1001,'2.현장'!$V$2:$V$1001,B72,'2.현장'!$T$2:$T$1001,TRUE)=0,"",_xlfn.MAXIFS('2.현장'!$L$2:$L$1001,'2.현장'!$V$2:$V$1001,B72,'2.현장'!$T$2:$T$1001,TRUE)))</f>
        <v/>
      </c>
      <c r="J72" s="7">
        <f>IF(B72="","",IF(_xlfn.MAXIFS('2.현장'!$M$2:$M$1001,'2.현장'!$V$2:$V$1001,B72,'2.현장'!$T$2:$T$1001,TRUE)=0,"",_xlfn.MAXIFS('2.현장'!$M$2:$M$1001,'2.현장'!$V$2:$V$1001,B72,'2.현장'!$T$2:$T$1001,TRUE)))</f>
        <v/>
      </c>
      <c r="K72">
        <f>IF(B72="","",IFERROR(INDEX('2.현장'!$C$2:$C$1001,IFERROR(MATCH(B72&amp;"|설계사",'2.현장'!$Z$2:$Z$1001,0),IFERROR(MATCH(B72&amp;"|시공사",'2.현장'!$Z$2:$Z$1001,0),MATCH(B72&amp;"|늦음",'2.현장'!$Z$2:$Z$1001,0)))),""))</f>
        <v/>
      </c>
      <c r="L72">
        <f>IF(B72="","",IFERROR(INDEX('2.현장'!$N$2:$N$1001,IFERROR(MATCH(B72&amp;"|설계사",'2.현장'!$Z$2:$Z$1001,0),IFERROR(MATCH(B72&amp;"|시공사",'2.현장'!$Z$2:$Z$1001,0),MATCH(B72&amp;"|늦음",'2.현장'!$Z$2:$Z$1001,0)))),""))</f>
        <v/>
      </c>
      <c r="M72">
        <f>IF(B72="","",IFERROR(VLOOKUP(B72,업체_메모!$A$3:$I$302,2,FALSE)&amp;"",""))</f>
        <v/>
      </c>
      <c r="N72">
        <f>IF(B72="","",IFERROR(VLOOKUP(B72,업체_메모!$A$3:$I$302,4,FALSE)&amp;"",""))</f>
        <v/>
      </c>
      <c r="O72" s="7">
        <f>IF(B72="","",IF(COUNTIF('4.방문기록'!$B$3:$B$502,B72)=0,"",_xlfn.MAXIFS('4.방문기록'!$A$3:$A$502,'4.방문기록'!$B$3:$B$502,B72)))</f>
        <v/>
      </c>
      <c r="P72">
        <f>IF(O72="","",설정!$B$24-O72)</f>
        <v/>
      </c>
      <c r="Q72" s="7">
        <f>IF(B72="","",IF(_xlfn.MAXIFS('4.방문기록'!$F$3:$F$502,'4.방문기록'!$B$3:$B$502,B72)=0,"",_xlfn.MAXIFS('4.방문기록'!$F$3:$F$502,'4.방문기록'!$B$3:$B$502,B72)))</f>
        <v/>
      </c>
      <c r="R72">
        <f>IF(O72="","",IFERROR(INDEX('4.방문기록'!$H$3:$H$502,MATCH(B72&amp;"|"&amp;(O72*1),'4.방문기록'!$I$3:$I$502,0))&amp;"",""))</f>
        <v/>
      </c>
      <c r="S72">
        <f>IF(B72="","",IF(R72="관심 없음","제외",IF(O72="","안 가봄",IF(P72&gt;=설정!$B$20,P72&amp;"일 지남","최근 방문"))))</f>
        <v/>
      </c>
      <c r="T72" s="8">
        <f>IF(B72="","",IF(S72="제외","",IF(AND(설정!$B$21&lt;&gt;"",L72&lt;&gt;설정!$B$21),"",IF(AND(Q72&lt;&gt;"",Q72&gt;N(O72),Q72&lt;=설정!$B$24+7),설정!$B$39+7-(Q72-설정!$B$24),IF(AND(G72&gt;0,OR(S72="안 가봄",RIGHT(S72,2)="지남")),G72+IF(O72="",설정!$B$36,MIN(P72,60)*설정!$B$37)+MIN(N(H72)/1000*설정!$B$38,20),"")))))</f>
        <v/>
      </c>
      <c r="U72">
        <f>IF(T72="","",COUNTIF(T$4:T$303,"&gt;"&amp;T72)+COUNTIF(T$4:T72,T72))</f>
        <v/>
      </c>
    </row>
    <row r="73">
      <c r="A73">
        <f>IF(B73="","",70)</f>
        <v/>
      </c>
      <c r="B73">
        <f>IFERROR(INDEX('2.현장'!$V$2:$V$1001,MATCH(70,'2.현장'!$W$2:$W$1001,0)),"")</f>
        <v/>
      </c>
      <c r="C73">
        <f>IF(B73="","",COUNTIFS('2.현장'!$V$2:$V$1001,B73,'2.현장'!$T$2:$T$1001,TRUE))</f>
        <v/>
      </c>
      <c r="D73">
        <f>IF(B73="","",COUNTIFS('2.현장'!$V$2:$V$1001,B73,'2.현장'!$U$2:$U$1001,"설계사"))</f>
        <v/>
      </c>
      <c r="E73">
        <f>IF(B73="","",COUNTIFS('2.현장'!$V$2:$V$1001,B73,'2.현장'!$U$2:$U$1001,"시공사"))</f>
        <v/>
      </c>
      <c r="F73">
        <f>IF(B73="","",COUNTIFS('2.현장'!$V$2:$V$1001,B73,'2.현장'!$T$2:$T$1001,TRUE,'2.현장'!$AA$2:$AA$1001,"★"))</f>
        <v/>
      </c>
      <c r="G73" s="6">
        <f>IF(B73="","",SUMIFS('2.현장'!$AB$2:$AB$1001,'2.현장'!$V$2:$V$1001,B73,'2.현장'!$T$2:$T$1001,TRUE))</f>
        <v/>
      </c>
      <c r="H73" s="5">
        <f>IF(B73="","",_xlfn.MAXIFS('2.현장'!$D$2:$D$1001,'2.현장'!$V$2:$V$1001,B73,'2.현장'!$T$2:$T$1001,TRUE))</f>
        <v/>
      </c>
      <c r="I73" s="7">
        <f>IF(B73="","",IF(_xlfn.MAXIFS('2.현장'!$L$2:$L$1001,'2.현장'!$V$2:$V$1001,B73,'2.현장'!$T$2:$T$1001,TRUE)=0,"",_xlfn.MAXIFS('2.현장'!$L$2:$L$1001,'2.현장'!$V$2:$V$1001,B73,'2.현장'!$T$2:$T$1001,TRUE)))</f>
        <v/>
      </c>
      <c r="J73" s="7">
        <f>IF(B73="","",IF(_xlfn.MAXIFS('2.현장'!$M$2:$M$1001,'2.현장'!$V$2:$V$1001,B73,'2.현장'!$T$2:$T$1001,TRUE)=0,"",_xlfn.MAXIFS('2.현장'!$M$2:$M$1001,'2.현장'!$V$2:$V$1001,B73,'2.현장'!$T$2:$T$1001,TRUE)))</f>
        <v/>
      </c>
      <c r="K73">
        <f>IF(B73="","",IFERROR(INDEX('2.현장'!$C$2:$C$1001,IFERROR(MATCH(B73&amp;"|설계사",'2.현장'!$Z$2:$Z$1001,0),IFERROR(MATCH(B73&amp;"|시공사",'2.현장'!$Z$2:$Z$1001,0),MATCH(B73&amp;"|늦음",'2.현장'!$Z$2:$Z$1001,0)))),""))</f>
        <v/>
      </c>
      <c r="L73">
        <f>IF(B73="","",IFERROR(INDEX('2.현장'!$N$2:$N$1001,IFERROR(MATCH(B73&amp;"|설계사",'2.현장'!$Z$2:$Z$1001,0),IFERROR(MATCH(B73&amp;"|시공사",'2.현장'!$Z$2:$Z$1001,0),MATCH(B73&amp;"|늦음",'2.현장'!$Z$2:$Z$1001,0)))),""))</f>
        <v/>
      </c>
      <c r="M73">
        <f>IF(B73="","",IFERROR(VLOOKUP(B73,업체_메모!$A$3:$I$302,2,FALSE)&amp;"",""))</f>
        <v/>
      </c>
      <c r="N73">
        <f>IF(B73="","",IFERROR(VLOOKUP(B73,업체_메모!$A$3:$I$302,4,FALSE)&amp;"",""))</f>
        <v/>
      </c>
      <c r="O73" s="7">
        <f>IF(B73="","",IF(COUNTIF('4.방문기록'!$B$3:$B$502,B73)=0,"",_xlfn.MAXIFS('4.방문기록'!$A$3:$A$502,'4.방문기록'!$B$3:$B$502,B73)))</f>
        <v/>
      </c>
      <c r="P73">
        <f>IF(O73="","",설정!$B$24-O73)</f>
        <v/>
      </c>
      <c r="Q73" s="7">
        <f>IF(B73="","",IF(_xlfn.MAXIFS('4.방문기록'!$F$3:$F$502,'4.방문기록'!$B$3:$B$502,B73)=0,"",_xlfn.MAXIFS('4.방문기록'!$F$3:$F$502,'4.방문기록'!$B$3:$B$502,B73)))</f>
        <v/>
      </c>
      <c r="R73">
        <f>IF(O73="","",IFERROR(INDEX('4.방문기록'!$H$3:$H$502,MATCH(B73&amp;"|"&amp;(O73*1),'4.방문기록'!$I$3:$I$502,0))&amp;"",""))</f>
        <v/>
      </c>
      <c r="S73">
        <f>IF(B73="","",IF(R73="관심 없음","제외",IF(O73="","안 가봄",IF(P73&gt;=설정!$B$20,P73&amp;"일 지남","최근 방문"))))</f>
        <v/>
      </c>
      <c r="T73" s="8">
        <f>IF(B73="","",IF(S73="제외","",IF(AND(설정!$B$21&lt;&gt;"",L73&lt;&gt;설정!$B$21),"",IF(AND(Q73&lt;&gt;"",Q73&gt;N(O73),Q73&lt;=설정!$B$24+7),설정!$B$39+7-(Q73-설정!$B$24),IF(AND(G73&gt;0,OR(S73="안 가봄",RIGHT(S73,2)="지남")),G73+IF(O73="",설정!$B$36,MIN(P73,60)*설정!$B$37)+MIN(N(H73)/1000*설정!$B$38,20),"")))))</f>
        <v/>
      </c>
      <c r="U73">
        <f>IF(T73="","",COUNTIF(T$4:T$303,"&gt;"&amp;T73)+COUNTIF(T$4:T73,T73))</f>
        <v/>
      </c>
    </row>
    <row r="74">
      <c r="A74">
        <f>IF(B74="","",71)</f>
        <v/>
      </c>
      <c r="B74">
        <f>IFERROR(INDEX('2.현장'!$V$2:$V$1001,MATCH(71,'2.현장'!$W$2:$W$1001,0)),"")</f>
        <v/>
      </c>
      <c r="C74">
        <f>IF(B74="","",COUNTIFS('2.현장'!$V$2:$V$1001,B74,'2.현장'!$T$2:$T$1001,TRUE))</f>
        <v/>
      </c>
      <c r="D74">
        <f>IF(B74="","",COUNTIFS('2.현장'!$V$2:$V$1001,B74,'2.현장'!$U$2:$U$1001,"설계사"))</f>
        <v/>
      </c>
      <c r="E74">
        <f>IF(B74="","",COUNTIFS('2.현장'!$V$2:$V$1001,B74,'2.현장'!$U$2:$U$1001,"시공사"))</f>
        <v/>
      </c>
      <c r="F74">
        <f>IF(B74="","",COUNTIFS('2.현장'!$V$2:$V$1001,B74,'2.현장'!$T$2:$T$1001,TRUE,'2.현장'!$AA$2:$AA$1001,"★"))</f>
        <v/>
      </c>
      <c r="G74" s="6">
        <f>IF(B74="","",SUMIFS('2.현장'!$AB$2:$AB$1001,'2.현장'!$V$2:$V$1001,B74,'2.현장'!$T$2:$T$1001,TRUE))</f>
        <v/>
      </c>
      <c r="H74" s="5">
        <f>IF(B74="","",_xlfn.MAXIFS('2.현장'!$D$2:$D$1001,'2.현장'!$V$2:$V$1001,B74,'2.현장'!$T$2:$T$1001,TRUE))</f>
        <v/>
      </c>
      <c r="I74" s="7">
        <f>IF(B74="","",IF(_xlfn.MAXIFS('2.현장'!$L$2:$L$1001,'2.현장'!$V$2:$V$1001,B74,'2.현장'!$T$2:$T$1001,TRUE)=0,"",_xlfn.MAXIFS('2.현장'!$L$2:$L$1001,'2.현장'!$V$2:$V$1001,B74,'2.현장'!$T$2:$T$1001,TRUE)))</f>
        <v/>
      </c>
      <c r="J74" s="7">
        <f>IF(B74="","",IF(_xlfn.MAXIFS('2.현장'!$M$2:$M$1001,'2.현장'!$V$2:$V$1001,B74,'2.현장'!$T$2:$T$1001,TRUE)=0,"",_xlfn.MAXIFS('2.현장'!$M$2:$M$1001,'2.현장'!$V$2:$V$1001,B74,'2.현장'!$T$2:$T$1001,TRUE)))</f>
        <v/>
      </c>
      <c r="K74">
        <f>IF(B74="","",IFERROR(INDEX('2.현장'!$C$2:$C$1001,IFERROR(MATCH(B74&amp;"|설계사",'2.현장'!$Z$2:$Z$1001,0),IFERROR(MATCH(B74&amp;"|시공사",'2.현장'!$Z$2:$Z$1001,0),MATCH(B74&amp;"|늦음",'2.현장'!$Z$2:$Z$1001,0)))),""))</f>
        <v/>
      </c>
      <c r="L74">
        <f>IF(B74="","",IFERROR(INDEX('2.현장'!$N$2:$N$1001,IFERROR(MATCH(B74&amp;"|설계사",'2.현장'!$Z$2:$Z$1001,0),IFERROR(MATCH(B74&amp;"|시공사",'2.현장'!$Z$2:$Z$1001,0),MATCH(B74&amp;"|늦음",'2.현장'!$Z$2:$Z$1001,0)))),""))</f>
        <v/>
      </c>
      <c r="M74">
        <f>IF(B74="","",IFERROR(VLOOKUP(B74,업체_메모!$A$3:$I$302,2,FALSE)&amp;"",""))</f>
        <v/>
      </c>
      <c r="N74">
        <f>IF(B74="","",IFERROR(VLOOKUP(B74,업체_메모!$A$3:$I$302,4,FALSE)&amp;"",""))</f>
        <v/>
      </c>
      <c r="O74" s="7">
        <f>IF(B74="","",IF(COUNTIF('4.방문기록'!$B$3:$B$502,B74)=0,"",_xlfn.MAXIFS('4.방문기록'!$A$3:$A$502,'4.방문기록'!$B$3:$B$502,B74)))</f>
        <v/>
      </c>
      <c r="P74">
        <f>IF(O74="","",설정!$B$24-O74)</f>
        <v/>
      </c>
      <c r="Q74" s="7">
        <f>IF(B74="","",IF(_xlfn.MAXIFS('4.방문기록'!$F$3:$F$502,'4.방문기록'!$B$3:$B$502,B74)=0,"",_xlfn.MAXIFS('4.방문기록'!$F$3:$F$502,'4.방문기록'!$B$3:$B$502,B74)))</f>
        <v/>
      </c>
      <c r="R74">
        <f>IF(O74="","",IFERROR(INDEX('4.방문기록'!$H$3:$H$502,MATCH(B74&amp;"|"&amp;(O74*1),'4.방문기록'!$I$3:$I$502,0))&amp;"",""))</f>
        <v/>
      </c>
      <c r="S74">
        <f>IF(B74="","",IF(R74="관심 없음","제외",IF(O74="","안 가봄",IF(P74&gt;=설정!$B$20,P74&amp;"일 지남","최근 방문"))))</f>
        <v/>
      </c>
      <c r="T74" s="8">
        <f>IF(B74="","",IF(S74="제외","",IF(AND(설정!$B$21&lt;&gt;"",L74&lt;&gt;설정!$B$21),"",IF(AND(Q74&lt;&gt;"",Q74&gt;N(O74),Q74&lt;=설정!$B$24+7),설정!$B$39+7-(Q74-설정!$B$24),IF(AND(G74&gt;0,OR(S74="안 가봄",RIGHT(S74,2)="지남")),G74+IF(O74="",설정!$B$36,MIN(P74,60)*설정!$B$37)+MIN(N(H74)/1000*설정!$B$38,20),"")))))</f>
        <v/>
      </c>
      <c r="U74">
        <f>IF(T74="","",COUNTIF(T$4:T$303,"&gt;"&amp;T74)+COUNTIF(T$4:T74,T74))</f>
        <v/>
      </c>
    </row>
    <row r="75">
      <c r="A75">
        <f>IF(B75="","",72)</f>
        <v/>
      </c>
      <c r="B75">
        <f>IFERROR(INDEX('2.현장'!$V$2:$V$1001,MATCH(72,'2.현장'!$W$2:$W$1001,0)),"")</f>
        <v/>
      </c>
      <c r="C75">
        <f>IF(B75="","",COUNTIFS('2.현장'!$V$2:$V$1001,B75,'2.현장'!$T$2:$T$1001,TRUE))</f>
        <v/>
      </c>
      <c r="D75">
        <f>IF(B75="","",COUNTIFS('2.현장'!$V$2:$V$1001,B75,'2.현장'!$U$2:$U$1001,"설계사"))</f>
        <v/>
      </c>
      <c r="E75">
        <f>IF(B75="","",COUNTIFS('2.현장'!$V$2:$V$1001,B75,'2.현장'!$U$2:$U$1001,"시공사"))</f>
        <v/>
      </c>
      <c r="F75">
        <f>IF(B75="","",COUNTIFS('2.현장'!$V$2:$V$1001,B75,'2.현장'!$T$2:$T$1001,TRUE,'2.현장'!$AA$2:$AA$1001,"★"))</f>
        <v/>
      </c>
      <c r="G75" s="6">
        <f>IF(B75="","",SUMIFS('2.현장'!$AB$2:$AB$1001,'2.현장'!$V$2:$V$1001,B75,'2.현장'!$T$2:$T$1001,TRUE))</f>
        <v/>
      </c>
      <c r="H75" s="5">
        <f>IF(B75="","",_xlfn.MAXIFS('2.현장'!$D$2:$D$1001,'2.현장'!$V$2:$V$1001,B75,'2.현장'!$T$2:$T$1001,TRUE))</f>
        <v/>
      </c>
      <c r="I75" s="7">
        <f>IF(B75="","",IF(_xlfn.MAXIFS('2.현장'!$L$2:$L$1001,'2.현장'!$V$2:$V$1001,B75,'2.현장'!$T$2:$T$1001,TRUE)=0,"",_xlfn.MAXIFS('2.현장'!$L$2:$L$1001,'2.현장'!$V$2:$V$1001,B75,'2.현장'!$T$2:$T$1001,TRUE)))</f>
        <v/>
      </c>
      <c r="J75" s="7">
        <f>IF(B75="","",IF(_xlfn.MAXIFS('2.현장'!$M$2:$M$1001,'2.현장'!$V$2:$V$1001,B75,'2.현장'!$T$2:$T$1001,TRUE)=0,"",_xlfn.MAXIFS('2.현장'!$M$2:$M$1001,'2.현장'!$V$2:$V$1001,B75,'2.현장'!$T$2:$T$1001,TRUE)))</f>
        <v/>
      </c>
      <c r="K75">
        <f>IF(B75="","",IFERROR(INDEX('2.현장'!$C$2:$C$1001,IFERROR(MATCH(B75&amp;"|설계사",'2.현장'!$Z$2:$Z$1001,0),IFERROR(MATCH(B75&amp;"|시공사",'2.현장'!$Z$2:$Z$1001,0),MATCH(B75&amp;"|늦음",'2.현장'!$Z$2:$Z$1001,0)))),""))</f>
        <v/>
      </c>
      <c r="L75">
        <f>IF(B75="","",IFERROR(INDEX('2.현장'!$N$2:$N$1001,IFERROR(MATCH(B75&amp;"|설계사",'2.현장'!$Z$2:$Z$1001,0),IFERROR(MATCH(B75&amp;"|시공사",'2.현장'!$Z$2:$Z$1001,0),MATCH(B75&amp;"|늦음",'2.현장'!$Z$2:$Z$1001,0)))),""))</f>
        <v/>
      </c>
      <c r="M75">
        <f>IF(B75="","",IFERROR(VLOOKUP(B75,업체_메모!$A$3:$I$302,2,FALSE)&amp;"",""))</f>
        <v/>
      </c>
      <c r="N75">
        <f>IF(B75="","",IFERROR(VLOOKUP(B75,업체_메모!$A$3:$I$302,4,FALSE)&amp;"",""))</f>
        <v/>
      </c>
      <c r="O75" s="7">
        <f>IF(B75="","",IF(COUNTIF('4.방문기록'!$B$3:$B$502,B75)=0,"",_xlfn.MAXIFS('4.방문기록'!$A$3:$A$502,'4.방문기록'!$B$3:$B$502,B75)))</f>
        <v/>
      </c>
      <c r="P75">
        <f>IF(O75="","",설정!$B$24-O75)</f>
        <v/>
      </c>
      <c r="Q75" s="7">
        <f>IF(B75="","",IF(_xlfn.MAXIFS('4.방문기록'!$F$3:$F$502,'4.방문기록'!$B$3:$B$502,B75)=0,"",_xlfn.MAXIFS('4.방문기록'!$F$3:$F$502,'4.방문기록'!$B$3:$B$502,B75)))</f>
        <v/>
      </c>
      <c r="R75">
        <f>IF(O75="","",IFERROR(INDEX('4.방문기록'!$H$3:$H$502,MATCH(B75&amp;"|"&amp;(O75*1),'4.방문기록'!$I$3:$I$502,0))&amp;"",""))</f>
        <v/>
      </c>
      <c r="S75">
        <f>IF(B75="","",IF(R75="관심 없음","제외",IF(O75="","안 가봄",IF(P75&gt;=설정!$B$20,P75&amp;"일 지남","최근 방문"))))</f>
        <v/>
      </c>
      <c r="T75" s="8">
        <f>IF(B75="","",IF(S75="제외","",IF(AND(설정!$B$21&lt;&gt;"",L75&lt;&gt;설정!$B$21),"",IF(AND(Q75&lt;&gt;"",Q75&gt;N(O75),Q75&lt;=설정!$B$24+7),설정!$B$39+7-(Q75-설정!$B$24),IF(AND(G75&gt;0,OR(S75="안 가봄",RIGHT(S75,2)="지남")),G75+IF(O75="",설정!$B$36,MIN(P75,60)*설정!$B$37)+MIN(N(H75)/1000*설정!$B$38,20),"")))))</f>
        <v/>
      </c>
      <c r="U75">
        <f>IF(T75="","",COUNTIF(T$4:T$303,"&gt;"&amp;T75)+COUNTIF(T$4:T75,T75))</f>
        <v/>
      </c>
    </row>
    <row r="76">
      <c r="A76">
        <f>IF(B76="","",73)</f>
        <v/>
      </c>
      <c r="B76">
        <f>IFERROR(INDEX('2.현장'!$V$2:$V$1001,MATCH(73,'2.현장'!$W$2:$W$1001,0)),"")</f>
        <v/>
      </c>
      <c r="C76">
        <f>IF(B76="","",COUNTIFS('2.현장'!$V$2:$V$1001,B76,'2.현장'!$T$2:$T$1001,TRUE))</f>
        <v/>
      </c>
      <c r="D76">
        <f>IF(B76="","",COUNTIFS('2.현장'!$V$2:$V$1001,B76,'2.현장'!$U$2:$U$1001,"설계사"))</f>
        <v/>
      </c>
      <c r="E76">
        <f>IF(B76="","",COUNTIFS('2.현장'!$V$2:$V$1001,B76,'2.현장'!$U$2:$U$1001,"시공사"))</f>
        <v/>
      </c>
      <c r="F76">
        <f>IF(B76="","",COUNTIFS('2.현장'!$V$2:$V$1001,B76,'2.현장'!$T$2:$T$1001,TRUE,'2.현장'!$AA$2:$AA$1001,"★"))</f>
        <v/>
      </c>
      <c r="G76" s="6">
        <f>IF(B76="","",SUMIFS('2.현장'!$AB$2:$AB$1001,'2.현장'!$V$2:$V$1001,B76,'2.현장'!$T$2:$T$1001,TRUE))</f>
        <v/>
      </c>
      <c r="H76" s="5">
        <f>IF(B76="","",_xlfn.MAXIFS('2.현장'!$D$2:$D$1001,'2.현장'!$V$2:$V$1001,B76,'2.현장'!$T$2:$T$1001,TRUE))</f>
        <v/>
      </c>
      <c r="I76" s="7">
        <f>IF(B76="","",IF(_xlfn.MAXIFS('2.현장'!$L$2:$L$1001,'2.현장'!$V$2:$V$1001,B76,'2.현장'!$T$2:$T$1001,TRUE)=0,"",_xlfn.MAXIFS('2.현장'!$L$2:$L$1001,'2.현장'!$V$2:$V$1001,B76,'2.현장'!$T$2:$T$1001,TRUE)))</f>
        <v/>
      </c>
      <c r="J76" s="7">
        <f>IF(B76="","",IF(_xlfn.MAXIFS('2.현장'!$M$2:$M$1001,'2.현장'!$V$2:$V$1001,B76,'2.현장'!$T$2:$T$1001,TRUE)=0,"",_xlfn.MAXIFS('2.현장'!$M$2:$M$1001,'2.현장'!$V$2:$V$1001,B76,'2.현장'!$T$2:$T$1001,TRUE)))</f>
        <v/>
      </c>
      <c r="K76">
        <f>IF(B76="","",IFERROR(INDEX('2.현장'!$C$2:$C$1001,IFERROR(MATCH(B76&amp;"|설계사",'2.현장'!$Z$2:$Z$1001,0),IFERROR(MATCH(B76&amp;"|시공사",'2.현장'!$Z$2:$Z$1001,0),MATCH(B76&amp;"|늦음",'2.현장'!$Z$2:$Z$1001,0)))),""))</f>
        <v/>
      </c>
      <c r="L76">
        <f>IF(B76="","",IFERROR(INDEX('2.현장'!$N$2:$N$1001,IFERROR(MATCH(B76&amp;"|설계사",'2.현장'!$Z$2:$Z$1001,0),IFERROR(MATCH(B76&amp;"|시공사",'2.현장'!$Z$2:$Z$1001,0),MATCH(B76&amp;"|늦음",'2.현장'!$Z$2:$Z$1001,0)))),""))</f>
        <v/>
      </c>
      <c r="M76">
        <f>IF(B76="","",IFERROR(VLOOKUP(B76,업체_메모!$A$3:$I$302,2,FALSE)&amp;"",""))</f>
        <v/>
      </c>
      <c r="N76">
        <f>IF(B76="","",IFERROR(VLOOKUP(B76,업체_메모!$A$3:$I$302,4,FALSE)&amp;"",""))</f>
        <v/>
      </c>
      <c r="O76" s="7">
        <f>IF(B76="","",IF(COUNTIF('4.방문기록'!$B$3:$B$502,B76)=0,"",_xlfn.MAXIFS('4.방문기록'!$A$3:$A$502,'4.방문기록'!$B$3:$B$502,B76)))</f>
        <v/>
      </c>
      <c r="P76">
        <f>IF(O76="","",설정!$B$24-O76)</f>
        <v/>
      </c>
      <c r="Q76" s="7">
        <f>IF(B76="","",IF(_xlfn.MAXIFS('4.방문기록'!$F$3:$F$502,'4.방문기록'!$B$3:$B$502,B76)=0,"",_xlfn.MAXIFS('4.방문기록'!$F$3:$F$502,'4.방문기록'!$B$3:$B$502,B76)))</f>
        <v/>
      </c>
      <c r="R76">
        <f>IF(O76="","",IFERROR(INDEX('4.방문기록'!$H$3:$H$502,MATCH(B76&amp;"|"&amp;(O76*1),'4.방문기록'!$I$3:$I$502,0))&amp;"",""))</f>
        <v/>
      </c>
      <c r="S76">
        <f>IF(B76="","",IF(R76="관심 없음","제외",IF(O76="","안 가봄",IF(P76&gt;=설정!$B$20,P76&amp;"일 지남","최근 방문"))))</f>
        <v/>
      </c>
      <c r="T76" s="8">
        <f>IF(B76="","",IF(S76="제외","",IF(AND(설정!$B$21&lt;&gt;"",L76&lt;&gt;설정!$B$21),"",IF(AND(Q76&lt;&gt;"",Q76&gt;N(O76),Q76&lt;=설정!$B$24+7),설정!$B$39+7-(Q76-설정!$B$24),IF(AND(G76&gt;0,OR(S76="안 가봄",RIGHT(S76,2)="지남")),G76+IF(O76="",설정!$B$36,MIN(P76,60)*설정!$B$37)+MIN(N(H76)/1000*설정!$B$38,20),"")))))</f>
        <v/>
      </c>
      <c r="U76">
        <f>IF(T76="","",COUNTIF(T$4:T$303,"&gt;"&amp;T76)+COUNTIF(T$4:T76,T76))</f>
        <v/>
      </c>
    </row>
    <row r="77">
      <c r="A77">
        <f>IF(B77="","",74)</f>
        <v/>
      </c>
      <c r="B77">
        <f>IFERROR(INDEX('2.현장'!$V$2:$V$1001,MATCH(74,'2.현장'!$W$2:$W$1001,0)),"")</f>
        <v/>
      </c>
      <c r="C77">
        <f>IF(B77="","",COUNTIFS('2.현장'!$V$2:$V$1001,B77,'2.현장'!$T$2:$T$1001,TRUE))</f>
        <v/>
      </c>
      <c r="D77">
        <f>IF(B77="","",COUNTIFS('2.현장'!$V$2:$V$1001,B77,'2.현장'!$U$2:$U$1001,"설계사"))</f>
        <v/>
      </c>
      <c r="E77">
        <f>IF(B77="","",COUNTIFS('2.현장'!$V$2:$V$1001,B77,'2.현장'!$U$2:$U$1001,"시공사"))</f>
        <v/>
      </c>
      <c r="F77">
        <f>IF(B77="","",COUNTIFS('2.현장'!$V$2:$V$1001,B77,'2.현장'!$T$2:$T$1001,TRUE,'2.현장'!$AA$2:$AA$1001,"★"))</f>
        <v/>
      </c>
      <c r="G77" s="6">
        <f>IF(B77="","",SUMIFS('2.현장'!$AB$2:$AB$1001,'2.현장'!$V$2:$V$1001,B77,'2.현장'!$T$2:$T$1001,TRUE))</f>
        <v/>
      </c>
      <c r="H77" s="5">
        <f>IF(B77="","",_xlfn.MAXIFS('2.현장'!$D$2:$D$1001,'2.현장'!$V$2:$V$1001,B77,'2.현장'!$T$2:$T$1001,TRUE))</f>
        <v/>
      </c>
      <c r="I77" s="7">
        <f>IF(B77="","",IF(_xlfn.MAXIFS('2.현장'!$L$2:$L$1001,'2.현장'!$V$2:$V$1001,B77,'2.현장'!$T$2:$T$1001,TRUE)=0,"",_xlfn.MAXIFS('2.현장'!$L$2:$L$1001,'2.현장'!$V$2:$V$1001,B77,'2.현장'!$T$2:$T$1001,TRUE)))</f>
        <v/>
      </c>
      <c r="J77" s="7">
        <f>IF(B77="","",IF(_xlfn.MAXIFS('2.현장'!$M$2:$M$1001,'2.현장'!$V$2:$V$1001,B77,'2.현장'!$T$2:$T$1001,TRUE)=0,"",_xlfn.MAXIFS('2.현장'!$M$2:$M$1001,'2.현장'!$V$2:$V$1001,B77,'2.현장'!$T$2:$T$1001,TRUE)))</f>
        <v/>
      </c>
      <c r="K77">
        <f>IF(B77="","",IFERROR(INDEX('2.현장'!$C$2:$C$1001,IFERROR(MATCH(B77&amp;"|설계사",'2.현장'!$Z$2:$Z$1001,0),IFERROR(MATCH(B77&amp;"|시공사",'2.현장'!$Z$2:$Z$1001,0),MATCH(B77&amp;"|늦음",'2.현장'!$Z$2:$Z$1001,0)))),""))</f>
        <v/>
      </c>
      <c r="L77">
        <f>IF(B77="","",IFERROR(INDEX('2.현장'!$N$2:$N$1001,IFERROR(MATCH(B77&amp;"|설계사",'2.현장'!$Z$2:$Z$1001,0),IFERROR(MATCH(B77&amp;"|시공사",'2.현장'!$Z$2:$Z$1001,0),MATCH(B77&amp;"|늦음",'2.현장'!$Z$2:$Z$1001,0)))),""))</f>
        <v/>
      </c>
      <c r="M77">
        <f>IF(B77="","",IFERROR(VLOOKUP(B77,업체_메모!$A$3:$I$302,2,FALSE)&amp;"",""))</f>
        <v/>
      </c>
      <c r="N77">
        <f>IF(B77="","",IFERROR(VLOOKUP(B77,업체_메모!$A$3:$I$302,4,FALSE)&amp;"",""))</f>
        <v/>
      </c>
      <c r="O77" s="7">
        <f>IF(B77="","",IF(COUNTIF('4.방문기록'!$B$3:$B$502,B77)=0,"",_xlfn.MAXIFS('4.방문기록'!$A$3:$A$502,'4.방문기록'!$B$3:$B$502,B77)))</f>
        <v/>
      </c>
      <c r="P77">
        <f>IF(O77="","",설정!$B$24-O77)</f>
        <v/>
      </c>
      <c r="Q77" s="7">
        <f>IF(B77="","",IF(_xlfn.MAXIFS('4.방문기록'!$F$3:$F$502,'4.방문기록'!$B$3:$B$502,B77)=0,"",_xlfn.MAXIFS('4.방문기록'!$F$3:$F$502,'4.방문기록'!$B$3:$B$502,B77)))</f>
        <v/>
      </c>
      <c r="R77">
        <f>IF(O77="","",IFERROR(INDEX('4.방문기록'!$H$3:$H$502,MATCH(B77&amp;"|"&amp;(O77*1),'4.방문기록'!$I$3:$I$502,0))&amp;"",""))</f>
        <v/>
      </c>
      <c r="S77">
        <f>IF(B77="","",IF(R77="관심 없음","제외",IF(O77="","안 가봄",IF(P77&gt;=설정!$B$20,P77&amp;"일 지남","최근 방문"))))</f>
        <v/>
      </c>
      <c r="T77" s="8">
        <f>IF(B77="","",IF(S77="제외","",IF(AND(설정!$B$21&lt;&gt;"",L77&lt;&gt;설정!$B$21),"",IF(AND(Q77&lt;&gt;"",Q77&gt;N(O77),Q77&lt;=설정!$B$24+7),설정!$B$39+7-(Q77-설정!$B$24),IF(AND(G77&gt;0,OR(S77="안 가봄",RIGHT(S77,2)="지남")),G77+IF(O77="",설정!$B$36,MIN(P77,60)*설정!$B$37)+MIN(N(H77)/1000*설정!$B$38,20),"")))))</f>
        <v/>
      </c>
      <c r="U77">
        <f>IF(T77="","",COUNTIF(T$4:T$303,"&gt;"&amp;T77)+COUNTIF(T$4:T77,T77))</f>
        <v/>
      </c>
    </row>
    <row r="78">
      <c r="A78">
        <f>IF(B78="","",75)</f>
        <v/>
      </c>
      <c r="B78">
        <f>IFERROR(INDEX('2.현장'!$V$2:$V$1001,MATCH(75,'2.현장'!$W$2:$W$1001,0)),"")</f>
        <v/>
      </c>
      <c r="C78">
        <f>IF(B78="","",COUNTIFS('2.현장'!$V$2:$V$1001,B78,'2.현장'!$T$2:$T$1001,TRUE))</f>
        <v/>
      </c>
      <c r="D78">
        <f>IF(B78="","",COUNTIFS('2.현장'!$V$2:$V$1001,B78,'2.현장'!$U$2:$U$1001,"설계사"))</f>
        <v/>
      </c>
      <c r="E78">
        <f>IF(B78="","",COUNTIFS('2.현장'!$V$2:$V$1001,B78,'2.현장'!$U$2:$U$1001,"시공사"))</f>
        <v/>
      </c>
      <c r="F78">
        <f>IF(B78="","",COUNTIFS('2.현장'!$V$2:$V$1001,B78,'2.현장'!$T$2:$T$1001,TRUE,'2.현장'!$AA$2:$AA$1001,"★"))</f>
        <v/>
      </c>
      <c r="G78" s="6">
        <f>IF(B78="","",SUMIFS('2.현장'!$AB$2:$AB$1001,'2.현장'!$V$2:$V$1001,B78,'2.현장'!$T$2:$T$1001,TRUE))</f>
        <v/>
      </c>
      <c r="H78" s="5">
        <f>IF(B78="","",_xlfn.MAXIFS('2.현장'!$D$2:$D$1001,'2.현장'!$V$2:$V$1001,B78,'2.현장'!$T$2:$T$1001,TRUE))</f>
        <v/>
      </c>
      <c r="I78" s="7">
        <f>IF(B78="","",IF(_xlfn.MAXIFS('2.현장'!$L$2:$L$1001,'2.현장'!$V$2:$V$1001,B78,'2.현장'!$T$2:$T$1001,TRUE)=0,"",_xlfn.MAXIFS('2.현장'!$L$2:$L$1001,'2.현장'!$V$2:$V$1001,B78,'2.현장'!$T$2:$T$1001,TRUE)))</f>
        <v/>
      </c>
      <c r="J78" s="7">
        <f>IF(B78="","",IF(_xlfn.MAXIFS('2.현장'!$M$2:$M$1001,'2.현장'!$V$2:$V$1001,B78,'2.현장'!$T$2:$T$1001,TRUE)=0,"",_xlfn.MAXIFS('2.현장'!$M$2:$M$1001,'2.현장'!$V$2:$V$1001,B78,'2.현장'!$T$2:$T$1001,TRUE)))</f>
        <v/>
      </c>
      <c r="K78">
        <f>IF(B78="","",IFERROR(INDEX('2.현장'!$C$2:$C$1001,IFERROR(MATCH(B78&amp;"|설계사",'2.현장'!$Z$2:$Z$1001,0),IFERROR(MATCH(B78&amp;"|시공사",'2.현장'!$Z$2:$Z$1001,0),MATCH(B78&amp;"|늦음",'2.현장'!$Z$2:$Z$1001,0)))),""))</f>
        <v/>
      </c>
      <c r="L78">
        <f>IF(B78="","",IFERROR(INDEX('2.현장'!$N$2:$N$1001,IFERROR(MATCH(B78&amp;"|설계사",'2.현장'!$Z$2:$Z$1001,0),IFERROR(MATCH(B78&amp;"|시공사",'2.현장'!$Z$2:$Z$1001,0),MATCH(B78&amp;"|늦음",'2.현장'!$Z$2:$Z$1001,0)))),""))</f>
        <v/>
      </c>
      <c r="M78">
        <f>IF(B78="","",IFERROR(VLOOKUP(B78,업체_메모!$A$3:$I$302,2,FALSE)&amp;"",""))</f>
        <v/>
      </c>
      <c r="N78">
        <f>IF(B78="","",IFERROR(VLOOKUP(B78,업체_메모!$A$3:$I$302,4,FALSE)&amp;"",""))</f>
        <v/>
      </c>
      <c r="O78" s="7">
        <f>IF(B78="","",IF(COUNTIF('4.방문기록'!$B$3:$B$502,B78)=0,"",_xlfn.MAXIFS('4.방문기록'!$A$3:$A$502,'4.방문기록'!$B$3:$B$502,B78)))</f>
        <v/>
      </c>
      <c r="P78">
        <f>IF(O78="","",설정!$B$24-O78)</f>
        <v/>
      </c>
      <c r="Q78" s="7">
        <f>IF(B78="","",IF(_xlfn.MAXIFS('4.방문기록'!$F$3:$F$502,'4.방문기록'!$B$3:$B$502,B78)=0,"",_xlfn.MAXIFS('4.방문기록'!$F$3:$F$502,'4.방문기록'!$B$3:$B$502,B78)))</f>
        <v/>
      </c>
      <c r="R78">
        <f>IF(O78="","",IFERROR(INDEX('4.방문기록'!$H$3:$H$502,MATCH(B78&amp;"|"&amp;(O78*1),'4.방문기록'!$I$3:$I$502,0))&amp;"",""))</f>
        <v/>
      </c>
      <c r="S78">
        <f>IF(B78="","",IF(R78="관심 없음","제외",IF(O78="","안 가봄",IF(P78&gt;=설정!$B$20,P78&amp;"일 지남","최근 방문"))))</f>
        <v/>
      </c>
      <c r="T78" s="8">
        <f>IF(B78="","",IF(S78="제외","",IF(AND(설정!$B$21&lt;&gt;"",L78&lt;&gt;설정!$B$21),"",IF(AND(Q78&lt;&gt;"",Q78&gt;N(O78),Q78&lt;=설정!$B$24+7),설정!$B$39+7-(Q78-설정!$B$24),IF(AND(G78&gt;0,OR(S78="안 가봄",RIGHT(S78,2)="지남")),G78+IF(O78="",설정!$B$36,MIN(P78,60)*설정!$B$37)+MIN(N(H78)/1000*설정!$B$38,20),"")))))</f>
        <v/>
      </c>
      <c r="U78">
        <f>IF(T78="","",COUNTIF(T$4:T$303,"&gt;"&amp;T78)+COUNTIF(T$4:T78,T78))</f>
        <v/>
      </c>
    </row>
    <row r="79">
      <c r="A79">
        <f>IF(B79="","",76)</f>
        <v/>
      </c>
      <c r="B79">
        <f>IFERROR(INDEX('2.현장'!$V$2:$V$1001,MATCH(76,'2.현장'!$W$2:$W$1001,0)),"")</f>
        <v/>
      </c>
      <c r="C79">
        <f>IF(B79="","",COUNTIFS('2.현장'!$V$2:$V$1001,B79,'2.현장'!$T$2:$T$1001,TRUE))</f>
        <v/>
      </c>
      <c r="D79">
        <f>IF(B79="","",COUNTIFS('2.현장'!$V$2:$V$1001,B79,'2.현장'!$U$2:$U$1001,"설계사"))</f>
        <v/>
      </c>
      <c r="E79">
        <f>IF(B79="","",COUNTIFS('2.현장'!$V$2:$V$1001,B79,'2.현장'!$U$2:$U$1001,"시공사"))</f>
        <v/>
      </c>
      <c r="F79">
        <f>IF(B79="","",COUNTIFS('2.현장'!$V$2:$V$1001,B79,'2.현장'!$T$2:$T$1001,TRUE,'2.현장'!$AA$2:$AA$1001,"★"))</f>
        <v/>
      </c>
      <c r="G79" s="6">
        <f>IF(B79="","",SUMIFS('2.현장'!$AB$2:$AB$1001,'2.현장'!$V$2:$V$1001,B79,'2.현장'!$T$2:$T$1001,TRUE))</f>
        <v/>
      </c>
      <c r="H79" s="5">
        <f>IF(B79="","",_xlfn.MAXIFS('2.현장'!$D$2:$D$1001,'2.현장'!$V$2:$V$1001,B79,'2.현장'!$T$2:$T$1001,TRUE))</f>
        <v/>
      </c>
      <c r="I79" s="7">
        <f>IF(B79="","",IF(_xlfn.MAXIFS('2.현장'!$L$2:$L$1001,'2.현장'!$V$2:$V$1001,B79,'2.현장'!$T$2:$T$1001,TRUE)=0,"",_xlfn.MAXIFS('2.현장'!$L$2:$L$1001,'2.현장'!$V$2:$V$1001,B79,'2.현장'!$T$2:$T$1001,TRUE)))</f>
        <v/>
      </c>
      <c r="J79" s="7">
        <f>IF(B79="","",IF(_xlfn.MAXIFS('2.현장'!$M$2:$M$1001,'2.현장'!$V$2:$V$1001,B79,'2.현장'!$T$2:$T$1001,TRUE)=0,"",_xlfn.MAXIFS('2.현장'!$M$2:$M$1001,'2.현장'!$V$2:$V$1001,B79,'2.현장'!$T$2:$T$1001,TRUE)))</f>
        <v/>
      </c>
      <c r="K79">
        <f>IF(B79="","",IFERROR(INDEX('2.현장'!$C$2:$C$1001,IFERROR(MATCH(B79&amp;"|설계사",'2.현장'!$Z$2:$Z$1001,0),IFERROR(MATCH(B79&amp;"|시공사",'2.현장'!$Z$2:$Z$1001,0),MATCH(B79&amp;"|늦음",'2.현장'!$Z$2:$Z$1001,0)))),""))</f>
        <v/>
      </c>
      <c r="L79">
        <f>IF(B79="","",IFERROR(INDEX('2.현장'!$N$2:$N$1001,IFERROR(MATCH(B79&amp;"|설계사",'2.현장'!$Z$2:$Z$1001,0),IFERROR(MATCH(B79&amp;"|시공사",'2.현장'!$Z$2:$Z$1001,0),MATCH(B79&amp;"|늦음",'2.현장'!$Z$2:$Z$1001,0)))),""))</f>
        <v/>
      </c>
      <c r="M79">
        <f>IF(B79="","",IFERROR(VLOOKUP(B79,업체_메모!$A$3:$I$302,2,FALSE)&amp;"",""))</f>
        <v/>
      </c>
      <c r="N79">
        <f>IF(B79="","",IFERROR(VLOOKUP(B79,업체_메모!$A$3:$I$302,4,FALSE)&amp;"",""))</f>
        <v/>
      </c>
      <c r="O79" s="7">
        <f>IF(B79="","",IF(COUNTIF('4.방문기록'!$B$3:$B$502,B79)=0,"",_xlfn.MAXIFS('4.방문기록'!$A$3:$A$502,'4.방문기록'!$B$3:$B$502,B79)))</f>
        <v/>
      </c>
      <c r="P79">
        <f>IF(O79="","",설정!$B$24-O79)</f>
        <v/>
      </c>
      <c r="Q79" s="7">
        <f>IF(B79="","",IF(_xlfn.MAXIFS('4.방문기록'!$F$3:$F$502,'4.방문기록'!$B$3:$B$502,B79)=0,"",_xlfn.MAXIFS('4.방문기록'!$F$3:$F$502,'4.방문기록'!$B$3:$B$502,B79)))</f>
        <v/>
      </c>
      <c r="R79">
        <f>IF(O79="","",IFERROR(INDEX('4.방문기록'!$H$3:$H$502,MATCH(B79&amp;"|"&amp;(O79*1),'4.방문기록'!$I$3:$I$502,0))&amp;"",""))</f>
        <v/>
      </c>
      <c r="S79">
        <f>IF(B79="","",IF(R79="관심 없음","제외",IF(O79="","안 가봄",IF(P79&gt;=설정!$B$20,P79&amp;"일 지남","최근 방문"))))</f>
        <v/>
      </c>
      <c r="T79" s="8">
        <f>IF(B79="","",IF(S79="제외","",IF(AND(설정!$B$21&lt;&gt;"",L79&lt;&gt;설정!$B$21),"",IF(AND(Q79&lt;&gt;"",Q79&gt;N(O79),Q79&lt;=설정!$B$24+7),설정!$B$39+7-(Q79-설정!$B$24),IF(AND(G79&gt;0,OR(S79="안 가봄",RIGHT(S79,2)="지남")),G79+IF(O79="",설정!$B$36,MIN(P79,60)*설정!$B$37)+MIN(N(H79)/1000*설정!$B$38,20),"")))))</f>
        <v/>
      </c>
      <c r="U79">
        <f>IF(T79="","",COUNTIF(T$4:T$303,"&gt;"&amp;T79)+COUNTIF(T$4:T79,T79))</f>
        <v/>
      </c>
    </row>
    <row r="80">
      <c r="A80">
        <f>IF(B80="","",77)</f>
        <v/>
      </c>
      <c r="B80">
        <f>IFERROR(INDEX('2.현장'!$V$2:$V$1001,MATCH(77,'2.현장'!$W$2:$W$1001,0)),"")</f>
        <v/>
      </c>
      <c r="C80">
        <f>IF(B80="","",COUNTIFS('2.현장'!$V$2:$V$1001,B80,'2.현장'!$T$2:$T$1001,TRUE))</f>
        <v/>
      </c>
      <c r="D80">
        <f>IF(B80="","",COUNTIFS('2.현장'!$V$2:$V$1001,B80,'2.현장'!$U$2:$U$1001,"설계사"))</f>
        <v/>
      </c>
      <c r="E80">
        <f>IF(B80="","",COUNTIFS('2.현장'!$V$2:$V$1001,B80,'2.현장'!$U$2:$U$1001,"시공사"))</f>
        <v/>
      </c>
      <c r="F80">
        <f>IF(B80="","",COUNTIFS('2.현장'!$V$2:$V$1001,B80,'2.현장'!$T$2:$T$1001,TRUE,'2.현장'!$AA$2:$AA$1001,"★"))</f>
        <v/>
      </c>
      <c r="G80" s="6">
        <f>IF(B80="","",SUMIFS('2.현장'!$AB$2:$AB$1001,'2.현장'!$V$2:$V$1001,B80,'2.현장'!$T$2:$T$1001,TRUE))</f>
        <v/>
      </c>
      <c r="H80" s="5">
        <f>IF(B80="","",_xlfn.MAXIFS('2.현장'!$D$2:$D$1001,'2.현장'!$V$2:$V$1001,B80,'2.현장'!$T$2:$T$1001,TRUE))</f>
        <v/>
      </c>
      <c r="I80" s="7">
        <f>IF(B80="","",IF(_xlfn.MAXIFS('2.현장'!$L$2:$L$1001,'2.현장'!$V$2:$V$1001,B80,'2.현장'!$T$2:$T$1001,TRUE)=0,"",_xlfn.MAXIFS('2.현장'!$L$2:$L$1001,'2.현장'!$V$2:$V$1001,B80,'2.현장'!$T$2:$T$1001,TRUE)))</f>
        <v/>
      </c>
      <c r="J80" s="7">
        <f>IF(B80="","",IF(_xlfn.MAXIFS('2.현장'!$M$2:$M$1001,'2.현장'!$V$2:$V$1001,B80,'2.현장'!$T$2:$T$1001,TRUE)=0,"",_xlfn.MAXIFS('2.현장'!$M$2:$M$1001,'2.현장'!$V$2:$V$1001,B80,'2.현장'!$T$2:$T$1001,TRUE)))</f>
        <v/>
      </c>
      <c r="K80">
        <f>IF(B80="","",IFERROR(INDEX('2.현장'!$C$2:$C$1001,IFERROR(MATCH(B80&amp;"|설계사",'2.현장'!$Z$2:$Z$1001,0),IFERROR(MATCH(B80&amp;"|시공사",'2.현장'!$Z$2:$Z$1001,0),MATCH(B80&amp;"|늦음",'2.현장'!$Z$2:$Z$1001,0)))),""))</f>
        <v/>
      </c>
      <c r="L80">
        <f>IF(B80="","",IFERROR(INDEX('2.현장'!$N$2:$N$1001,IFERROR(MATCH(B80&amp;"|설계사",'2.현장'!$Z$2:$Z$1001,0),IFERROR(MATCH(B80&amp;"|시공사",'2.현장'!$Z$2:$Z$1001,0),MATCH(B80&amp;"|늦음",'2.현장'!$Z$2:$Z$1001,0)))),""))</f>
        <v/>
      </c>
      <c r="M80">
        <f>IF(B80="","",IFERROR(VLOOKUP(B80,업체_메모!$A$3:$I$302,2,FALSE)&amp;"",""))</f>
        <v/>
      </c>
      <c r="N80">
        <f>IF(B80="","",IFERROR(VLOOKUP(B80,업체_메모!$A$3:$I$302,4,FALSE)&amp;"",""))</f>
        <v/>
      </c>
      <c r="O80" s="7">
        <f>IF(B80="","",IF(COUNTIF('4.방문기록'!$B$3:$B$502,B80)=0,"",_xlfn.MAXIFS('4.방문기록'!$A$3:$A$502,'4.방문기록'!$B$3:$B$502,B80)))</f>
        <v/>
      </c>
      <c r="P80">
        <f>IF(O80="","",설정!$B$24-O80)</f>
        <v/>
      </c>
      <c r="Q80" s="7">
        <f>IF(B80="","",IF(_xlfn.MAXIFS('4.방문기록'!$F$3:$F$502,'4.방문기록'!$B$3:$B$502,B80)=0,"",_xlfn.MAXIFS('4.방문기록'!$F$3:$F$502,'4.방문기록'!$B$3:$B$502,B80)))</f>
        <v/>
      </c>
      <c r="R80">
        <f>IF(O80="","",IFERROR(INDEX('4.방문기록'!$H$3:$H$502,MATCH(B80&amp;"|"&amp;(O80*1),'4.방문기록'!$I$3:$I$502,0))&amp;"",""))</f>
        <v/>
      </c>
      <c r="S80">
        <f>IF(B80="","",IF(R80="관심 없음","제외",IF(O80="","안 가봄",IF(P80&gt;=설정!$B$20,P80&amp;"일 지남","최근 방문"))))</f>
        <v/>
      </c>
      <c r="T80" s="8">
        <f>IF(B80="","",IF(S80="제외","",IF(AND(설정!$B$21&lt;&gt;"",L80&lt;&gt;설정!$B$21),"",IF(AND(Q80&lt;&gt;"",Q80&gt;N(O80),Q80&lt;=설정!$B$24+7),설정!$B$39+7-(Q80-설정!$B$24),IF(AND(G80&gt;0,OR(S80="안 가봄",RIGHT(S80,2)="지남")),G80+IF(O80="",설정!$B$36,MIN(P80,60)*설정!$B$37)+MIN(N(H80)/1000*설정!$B$38,20),"")))))</f>
        <v/>
      </c>
      <c r="U80">
        <f>IF(T80="","",COUNTIF(T$4:T$303,"&gt;"&amp;T80)+COUNTIF(T$4:T80,T80))</f>
        <v/>
      </c>
    </row>
    <row r="81">
      <c r="A81">
        <f>IF(B81="","",78)</f>
        <v/>
      </c>
      <c r="B81">
        <f>IFERROR(INDEX('2.현장'!$V$2:$V$1001,MATCH(78,'2.현장'!$W$2:$W$1001,0)),"")</f>
        <v/>
      </c>
      <c r="C81">
        <f>IF(B81="","",COUNTIFS('2.현장'!$V$2:$V$1001,B81,'2.현장'!$T$2:$T$1001,TRUE))</f>
        <v/>
      </c>
      <c r="D81">
        <f>IF(B81="","",COUNTIFS('2.현장'!$V$2:$V$1001,B81,'2.현장'!$U$2:$U$1001,"설계사"))</f>
        <v/>
      </c>
      <c r="E81">
        <f>IF(B81="","",COUNTIFS('2.현장'!$V$2:$V$1001,B81,'2.현장'!$U$2:$U$1001,"시공사"))</f>
        <v/>
      </c>
      <c r="F81">
        <f>IF(B81="","",COUNTIFS('2.현장'!$V$2:$V$1001,B81,'2.현장'!$T$2:$T$1001,TRUE,'2.현장'!$AA$2:$AA$1001,"★"))</f>
        <v/>
      </c>
      <c r="G81" s="6">
        <f>IF(B81="","",SUMIFS('2.현장'!$AB$2:$AB$1001,'2.현장'!$V$2:$V$1001,B81,'2.현장'!$T$2:$T$1001,TRUE))</f>
        <v/>
      </c>
      <c r="H81" s="5">
        <f>IF(B81="","",_xlfn.MAXIFS('2.현장'!$D$2:$D$1001,'2.현장'!$V$2:$V$1001,B81,'2.현장'!$T$2:$T$1001,TRUE))</f>
        <v/>
      </c>
      <c r="I81" s="7">
        <f>IF(B81="","",IF(_xlfn.MAXIFS('2.현장'!$L$2:$L$1001,'2.현장'!$V$2:$V$1001,B81,'2.현장'!$T$2:$T$1001,TRUE)=0,"",_xlfn.MAXIFS('2.현장'!$L$2:$L$1001,'2.현장'!$V$2:$V$1001,B81,'2.현장'!$T$2:$T$1001,TRUE)))</f>
        <v/>
      </c>
      <c r="J81" s="7">
        <f>IF(B81="","",IF(_xlfn.MAXIFS('2.현장'!$M$2:$M$1001,'2.현장'!$V$2:$V$1001,B81,'2.현장'!$T$2:$T$1001,TRUE)=0,"",_xlfn.MAXIFS('2.현장'!$M$2:$M$1001,'2.현장'!$V$2:$V$1001,B81,'2.현장'!$T$2:$T$1001,TRUE)))</f>
        <v/>
      </c>
      <c r="K81">
        <f>IF(B81="","",IFERROR(INDEX('2.현장'!$C$2:$C$1001,IFERROR(MATCH(B81&amp;"|설계사",'2.현장'!$Z$2:$Z$1001,0),IFERROR(MATCH(B81&amp;"|시공사",'2.현장'!$Z$2:$Z$1001,0),MATCH(B81&amp;"|늦음",'2.현장'!$Z$2:$Z$1001,0)))),""))</f>
        <v/>
      </c>
      <c r="L81">
        <f>IF(B81="","",IFERROR(INDEX('2.현장'!$N$2:$N$1001,IFERROR(MATCH(B81&amp;"|설계사",'2.현장'!$Z$2:$Z$1001,0),IFERROR(MATCH(B81&amp;"|시공사",'2.현장'!$Z$2:$Z$1001,0),MATCH(B81&amp;"|늦음",'2.현장'!$Z$2:$Z$1001,0)))),""))</f>
        <v/>
      </c>
      <c r="M81">
        <f>IF(B81="","",IFERROR(VLOOKUP(B81,업체_메모!$A$3:$I$302,2,FALSE)&amp;"",""))</f>
        <v/>
      </c>
      <c r="N81">
        <f>IF(B81="","",IFERROR(VLOOKUP(B81,업체_메모!$A$3:$I$302,4,FALSE)&amp;"",""))</f>
        <v/>
      </c>
      <c r="O81" s="7">
        <f>IF(B81="","",IF(COUNTIF('4.방문기록'!$B$3:$B$502,B81)=0,"",_xlfn.MAXIFS('4.방문기록'!$A$3:$A$502,'4.방문기록'!$B$3:$B$502,B81)))</f>
        <v/>
      </c>
      <c r="P81">
        <f>IF(O81="","",설정!$B$24-O81)</f>
        <v/>
      </c>
      <c r="Q81" s="7">
        <f>IF(B81="","",IF(_xlfn.MAXIFS('4.방문기록'!$F$3:$F$502,'4.방문기록'!$B$3:$B$502,B81)=0,"",_xlfn.MAXIFS('4.방문기록'!$F$3:$F$502,'4.방문기록'!$B$3:$B$502,B81)))</f>
        <v/>
      </c>
      <c r="R81">
        <f>IF(O81="","",IFERROR(INDEX('4.방문기록'!$H$3:$H$502,MATCH(B81&amp;"|"&amp;(O81*1),'4.방문기록'!$I$3:$I$502,0))&amp;"",""))</f>
        <v/>
      </c>
      <c r="S81">
        <f>IF(B81="","",IF(R81="관심 없음","제외",IF(O81="","안 가봄",IF(P81&gt;=설정!$B$20,P81&amp;"일 지남","최근 방문"))))</f>
        <v/>
      </c>
      <c r="T81" s="8">
        <f>IF(B81="","",IF(S81="제외","",IF(AND(설정!$B$21&lt;&gt;"",L81&lt;&gt;설정!$B$21),"",IF(AND(Q81&lt;&gt;"",Q81&gt;N(O81),Q81&lt;=설정!$B$24+7),설정!$B$39+7-(Q81-설정!$B$24),IF(AND(G81&gt;0,OR(S81="안 가봄",RIGHT(S81,2)="지남")),G81+IF(O81="",설정!$B$36,MIN(P81,60)*설정!$B$37)+MIN(N(H81)/1000*설정!$B$38,20),"")))))</f>
        <v/>
      </c>
      <c r="U81">
        <f>IF(T81="","",COUNTIF(T$4:T$303,"&gt;"&amp;T81)+COUNTIF(T$4:T81,T81))</f>
        <v/>
      </c>
    </row>
    <row r="82">
      <c r="A82">
        <f>IF(B82="","",79)</f>
        <v/>
      </c>
      <c r="B82">
        <f>IFERROR(INDEX('2.현장'!$V$2:$V$1001,MATCH(79,'2.현장'!$W$2:$W$1001,0)),"")</f>
        <v/>
      </c>
      <c r="C82">
        <f>IF(B82="","",COUNTIFS('2.현장'!$V$2:$V$1001,B82,'2.현장'!$T$2:$T$1001,TRUE))</f>
        <v/>
      </c>
      <c r="D82">
        <f>IF(B82="","",COUNTIFS('2.현장'!$V$2:$V$1001,B82,'2.현장'!$U$2:$U$1001,"설계사"))</f>
        <v/>
      </c>
      <c r="E82">
        <f>IF(B82="","",COUNTIFS('2.현장'!$V$2:$V$1001,B82,'2.현장'!$U$2:$U$1001,"시공사"))</f>
        <v/>
      </c>
      <c r="F82">
        <f>IF(B82="","",COUNTIFS('2.현장'!$V$2:$V$1001,B82,'2.현장'!$T$2:$T$1001,TRUE,'2.현장'!$AA$2:$AA$1001,"★"))</f>
        <v/>
      </c>
      <c r="G82" s="6">
        <f>IF(B82="","",SUMIFS('2.현장'!$AB$2:$AB$1001,'2.현장'!$V$2:$V$1001,B82,'2.현장'!$T$2:$T$1001,TRUE))</f>
        <v/>
      </c>
      <c r="H82" s="5">
        <f>IF(B82="","",_xlfn.MAXIFS('2.현장'!$D$2:$D$1001,'2.현장'!$V$2:$V$1001,B82,'2.현장'!$T$2:$T$1001,TRUE))</f>
        <v/>
      </c>
      <c r="I82" s="7">
        <f>IF(B82="","",IF(_xlfn.MAXIFS('2.현장'!$L$2:$L$1001,'2.현장'!$V$2:$V$1001,B82,'2.현장'!$T$2:$T$1001,TRUE)=0,"",_xlfn.MAXIFS('2.현장'!$L$2:$L$1001,'2.현장'!$V$2:$V$1001,B82,'2.현장'!$T$2:$T$1001,TRUE)))</f>
        <v/>
      </c>
      <c r="J82" s="7">
        <f>IF(B82="","",IF(_xlfn.MAXIFS('2.현장'!$M$2:$M$1001,'2.현장'!$V$2:$V$1001,B82,'2.현장'!$T$2:$T$1001,TRUE)=0,"",_xlfn.MAXIFS('2.현장'!$M$2:$M$1001,'2.현장'!$V$2:$V$1001,B82,'2.현장'!$T$2:$T$1001,TRUE)))</f>
        <v/>
      </c>
      <c r="K82">
        <f>IF(B82="","",IFERROR(INDEX('2.현장'!$C$2:$C$1001,IFERROR(MATCH(B82&amp;"|설계사",'2.현장'!$Z$2:$Z$1001,0),IFERROR(MATCH(B82&amp;"|시공사",'2.현장'!$Z$2:$Z$1001,0),MATCH(B82&amp;"|늦음",'2.현장'!$Z$2:$Z$1001,0)))),""))</f>
        <v/>
      </c>
      <c r="L82">
        <f>IF(B82="","",IFERROR(INDEX('2.현장'!$N$2:$N$1001,IFERROR(MATCH(B82&amp;"|설계사",'2.현장'!$Z$2:$Z$1001,0),IFERROR(MATCH(B82&amp;"|시공사",'2.현장'!$Z$2:$Z$1001,0),MATCH(B82&amp;"|늦음",'2.현장'!$Z$2:$Z$1001,0)))),""))</f>
        <v/>
      </c>
      <c r="M82">
        <f>IF(B82="","",IFERROR(VLOOKUP(B82,업체_메모!$A$3:$I$302,2,FALSE)&amp;"",""))</f>
        <v/>
      </c>
      <c r="N82">
        <f>IF(B82="","",IFERROR(VLOOKUP(B82,업체_메모!$A$3:$I$302,4,FALSE)&amp;"",""))</f>
        <v/>
      </c>
      <c r="O82" s="7">
        <f>IF(B82="","",IF(COUNTIF('4.방문기록'!$B$3:$B$502,B82)=0,"",_xlfn.MAXIFS('4.방문기록'!$A$3:$A$502,'4.방문기록'!$B$3:$B$502,B82)))</f>
        <v/>
      </c>
      <c r="P82">
        <f>IF(O82="","",설정!$B$24-O82)</f>
        <v/>
      </c>
      <c r="Q82" s="7">
        <f>IF(B82="","",IF(_xlfn.MAXIFS('4.방문기록'!$F$3:$F$502,'4.방문기록'!$B$3:$B$502,B82)=0,"",_xlfn.MAXIFS('4.방문기록'!$F$3:$F$502,'4.방문기록'!$B$3:$B$502,B82)))</f>
        <v/>
      </c>
      <c r="R82">
        <f>IF(O82="","",IFERROR(INDEX('4.방문기록'!$H$3:$H$502,MATCH(B82&amp;"|"&amp;(O82*1),'4.방문기록'!$I$3:$I$502,0))&amp;"",""))</f>
        <v/>
      </c>
      <c r="S82">
        <f>IF(B82="","",IF(R82="관심 없음","제외",IF(O82="","안 가봄",IF(P82&gt;=설정!$B$20,P82&amp;"일 지남","최근 방문"))))</f>
        <v/>
      </c>
      <c r="T82" s="8">
        <f>IF(B82="","",IF(S82="제외","",IF(AND(설정!$B$21&lt;&gt;"",L82&lt;&gt;설정!$B$21),"",IF(AND(Q82&lt;&gt;"",Q82&gt;N(O82),Q82&lt;=설정!$B$24+7),설정!$B$39+7-(Q82-설정!$B$24),IF(AND(G82&gt;0,OR(S82="안 가봄",RIGHT(S82,2)="지남")),G82+IF(O82="",설정!$B$36,MIN(P82,60)*설정!$B$37)+MIN(N(H82)/1000*설정!$B$38,20),"")))))</f>
        <v/>
      </c>
      <c r="U82">
        <f>IF(T82="","",COUNTIF(T$4:T$303,"&gt;"&amp;T82)+COUNTIF(T$4:T82,T82))</f>
        <v/>
      </c>
    </row>
    <row r="83">
      <c r="A83">
        <f>IF(B83="","",80)</f>
        <v/>
      </c>
      <c r="B83">
        <f>IFERROR(INDEX('2.현장'!$V$2:$V$1001,MATCH(80,'2.현장'!$W$2:$W$1001,0)),"")</f>
        <v/>
      </c>
      <c r="C83">
        <f>IF(B83="","",COUNTIFS('2.현장'!$V$2:$V$1001,B83,'2.현장'!$T$2:$T$1001,TRUE))</f>
        <v/>
      </c>
      <c r="D83">
        <f>IF(B83="","",COUNTIFS('2.현장'!$V$2:$V$1001,B83,'2.현장'!$U$2:$U$1001,"설계사"))</f>
        <v/>
      </c>
      <c r="E83">
        <f>IF(B83="","",COUNTIFS('2.현장'!$V$2:$V$1001,B83,'2.현장'!$U$2:$U$1001,"시공사"))</f>
        <v/>
      </c>
      <c r="F83">
        <f>IF(B83="","",COUNTIFS('2.현장'!$V$2:$V$1001,B83,'2.현장'!$T$2:$T$1001,TRUE,'2.현장'!$AA$2:$AA$1001,"★"))</f>
        <v/>
      </c>
      <c r="G83" s="6">
        <f>IF(B83="","",SUMIFS('2.현장'!$AB$2:$AB$1001,'2.현장'!$V$2:$V$1001,B83,'2.현장'!$T$2:$T$1001,TRUE))</f>
        <v/>
      </c>
      <c r="H83" s="5">
        <f>IF(B83="","",_xlfn.MAXIFS('2.현장'!$D$2:$D$1001,'2.현장'!$V$2:$V$1001,B83,'2.현장'!$T$2:$T$1001,TRUE))</f>
        <v/>
      </c>
      <c r="I83" s="7">
        <f>IF(B83="","",IF(_xlfn.MAXIFS('2.현장'!$L$2:$L$1001,'2.현장'!$V$2:$V$1001,B83,'2.현장'!$T$2:$T$1001,TRUE)=0,"",_xlfn.MAXIFS('2.현장'!$L$2:$L$1001,'2.현장'!$V$2:$V$1001,B83,'2.현장'!$T$2:$T$1001,TRUE)))</f>
        <v/>
      </c>
      <c r="J83" s="7">
        <f>IF(B83="","",IF(_xlfn.MAXIFS('2.현장'!$M$2:$M$1001,'2.현장'!$V$2:$V$1001,B83,'2.현장'!$T$2:$T$1001,TRUE)=0,"",_xlfn.MAXIFS('2.현장'!$M$2:$M$1001,'2.현장'!$V$2:$V$1001,B83,'2.현장'!$T$2:$T$1001,TRUE)))</f>
        <v/>
      </c>
      <c r="K83">
        <f>IF(B83="","",IFERROR(INDEX('2.현장'!$C$2:$C$1001,IFERROR(MATCH(B83&amp;"|설계사",'2.현장'!$Z$2:$Z$1001,0),IFERROR(MATCH(B83&amp;"|시공사",'2.현장'!$Z$2:$Z$1001,0),MATCH(B83&amp;"|늦음",'2.현장'!$Z$2:$Z$1001,0)))),""))</f>
        <v/>
      </c>
      <c r="L83">
        <f>IF(B83="","",IFERROR(INDEX('2.현장'!$N$2:$N$1001,IFERROR(MATCH(B83&amp;"|설계사",'2.현장'!$Z$2:$Z$1001,0),IFERROR(MATCH(B83&amp;"|시공사",'2.현장'!$Z$2:$Z$1001,0),MATCH(B83&amp;"|늦음",'2.현장'!$Z$2:$Z$1001,0)))),""))</f>
        <v/>
      </c>
      <c r="M83">
        <f>IF(B83="","",IFERROR(VLOOKUP(B83,업체_메모!$A$3:$I$302,2,FALSE)&amp;"",""))</f>
        <v/>
      </c>
      <c r="N83">
        <f>IF(B83="","",IFERROR(VLOOKUP(B83,업체_메모!$A$3:$I$302,4,FALSE)&amp;"",""))</f>
        <v/>
      </c>
      <c r="O83" s="7">
        <f>IF(B83="","",IF(COUNTIF('4.방문기록'!$B$3:$B$502,B83)=0,"",_xlfn.MAXIFS('4.방문기록'!$A$3:$A$502,'4.방문기록'!$B$3:$B$502,B83)))</f>
        <v/>
      </c>
      <c r="P83">
        <f>IF(O83="","",설정!$B$24-O83)</f>
        <v/>
      </c>
      <c r="Q83" s="7">
        <f>IF(B83="","",IF(_xlfn.MAXIFS('4.방문기록'!$F$3:$F$502,'4.방문기록'!$B$3:$B$502,B83)=0,"",_xlfn.MAXIFS('4.방문기록'!$F$3:$F$502,'4.방문기록'!$B$3:$B$502,B83)))</f>
        <v/>
      </c>
      <c r="R83">
        <f>IF(O83="","",IFERROR(INDEX('4.방문기록'!$H$3:$H$502,MATCH(B83&amp;"|"&amp;(O83*1),'4.방문기록'!$I$3:$I$502,0))&amp;"",""))</f>
        <v/>
      </c>
      <c r="S83">
        <f>IF(B83="","",IF(R83="관심 없음","제외",IF(O83="","안 가봄",IF(P83&gt;=설정!$B$20,P83&amp;"일 지남","최근 방문"))))</f>
        <v/>
      </c>
      <c r="T83" s="8">
        <f>IF(B83="","",IF(S83="제외","",IF(AND(설정!$B$21&lt;&gt;"",L83&lt;&gt;설정!$B$21),"",IF(AND(Q83&lt;&gt;"",Q83&gt;N(O83),Q83&lt;=설정!$B$24+7),설정!$B$39+7-(Q83-설정!$B$24),IF(AND(G83&gt;0,OR(S83="안 가봄",RIGHT(S83,2)="지남")),G83+IF(O83="",설정!$B$36,MIN(P83,60)*설정!$B$37)+MIN(N(H83)/1000*설정!$B$38,20),"")))))</f>
        <v/>
      </c>
      <c r="U83">
        <f>IF(T83="","",COUNTIF(T$4:T$303,"&gt;"&amp;T83)+COUNTIF(T$4:T83,T83))</f>
        <v/>
      </c>
    </row>
    <row r="84">
      <c r="A84">
        <f>IF(B84="","",81)</f>
        <v/>
      </c>
      <c r="B84">
        <f>IFERROR(INDEX('2.현장'!$V$2:$V$1001,MATCH(81,'2.현장'!$W$2:$W$1001,0)),"")</f>
        <v/>
      </c>
      <c r="C84">
        <f>IF(B84="","",COUNTIFS('2.현장'!$V$2:$V$1001,B84,'2.현장'!$T$2:$T$1001,TRUE))</f>
        <v/>
      </c>
      <c r="D84">
        <f>IF(B84="","",COUNTIFS('2.현장'!$V$2:$V$1001,B84,'2.현장'!$U$2:$U$1001,"설계사"))</f>
        <v/>
      </c>
      <c r="E84">
        <f>IF(B84="","",COUNTIFS('2.현장'!$V$2:$V$1001,B84,'2.현장'!$U$2:$U$1001,"시공사"))</f>
        <v/>
      </c>
      <c r="F84">
        <f>IF(B84="","",COUNTIFS('2.현장'!$V$2:$V$1001,B84,'2.현장'!$T$2:$T$1001,TRUE,'2.현장'!$AA$2:$AA$1001,"★"))</f>
        <v/>
      </c>
      <c r="G84" s="6">
        <f>IF(B84="","",SUMIFS('2.현장'!$AB$2:$AB$1001,'2.현장'!$V$2:$V$1001,B84,'2.현장'!$T$2:$T$1001,TRUE))</f>
        <v/>
      </c>
      <c r="H84" s="5">
        <f>IF(B84="","",_xlfn.MAXIFS('2.현장'!$D$2:$D$1001,'2.현장'!$V$2:$V$1001,B84,'2.현장'!$T$2:$T$1001,TRUE))</f>
        <v/>
      </c>
      <c r="I84" s="7">
        <f>IF(B84="","",IF(_xlfn.MAXIFS('2.현장'!$L$2:$L$1001,'2.현장'!$V$2:$V$1001,B84,'2.현장'!$T$2:$T$1001,TRUE)=0,"",_xlfn.MAXIFS('2.현장'!$L$2:$L$1001,'2.현장'!$V$2:$V$1001,B84,'2.현장'!$T$2:$T$1001,TRUE)))</f>
        <v/>
      </c>
      <c r="J84" s="7">
        <f>IF(B84="","",IF(_xlfn.MAXIFS('2.현장'!$M$2:$M$1001,'2.현장'!$V$2:$V$1001,B84,'2.현장'!$T$2:$T$1001,TRUE)=0,"",_xlfn.MAXIFS('2.현장'!$M$2:$M$1001,'2.현장'!$V$2:$V$1001,B84,'2.현장'!$T$2:$T$1001,TRUE)))</f>
        <v/>
      </c>
      <c r="K84">
        <f>IF(B84="","",IFERROR(INDEX('2.현장'!$C$2:$C$1001,IFERROR(MATCH(B84&amp;"|설계사",'2.현장'!$Z$2:$Z$1001,0),IFERROR(MATCH(B84&amp;"|시공사",'2.현장'!$Z$2:$Z$1001,0),MATCH(B84&amp;"|늦음",'2.현장'!$Z$2:$Z$1001,0)))),""))</f>
        <v/>
      </c>
      <c r="L84">
        <f>IF(B84="","",IFERROR(INDEX('2.현장'!$N$2:$N$1001,IFERROR(MATCH(B84&amp;"|설계사",'2.현장'!$Z$2:$Z$1001,0),IFERROR(MATCH(B84&amp;"|시공사",'2.현장'!$Z$2:$Z$1001,0),MATCH(B84&amp;"|늦음",'2.현장'!$Z$2:$Z$1001,0)))),""))</f>
        <v/>
      </c>
      <c r="M84">
        <f>IF(B84="","",IFERROR(VLOOKUP(B84,업체_메모!$A$3:$I$302,2,FALSE)&amp;"",""))</f>
        <v/>
      </c>
      <c r="N84">
        <f>IF(B84="","",IFERROR(VLOOKUP(B84,업체_메모!$A$3:$I$302,4,FALSE)&amp;"",""))</f>
        <v/>
      </c>
      <c r="O84" s="7">
        <f>IF(B84="","",IF(COUNTIF('4.방문기록'!$B$3:$B$502,B84)=0,"",_xlfn.MAXIFS('4.방문기록'!$A$3:$A$502,'4.방문기록'!$B$3:$B$502,B84)))</f>
        <v/>
      </c>
      <c r="P84">
        <f>IF(O84="","",설정!$B$24-O84)</f>
        <v/>
      </c>
      <c r="Q84" s="7">
        <f>IF(B84="","",IF(_xlfn.MAXIFS('4.방문기록'!$F$3:$F$502,'4.방문기록'!$B$3:$B$502,B84)=0,"",_xlfn.MAXIFS('4.방문기록'!$F$3:$F$502,'4.방문기록'!$B$3:$B$502,B84)))</f>
        <v/>
      </c>
      <c r="R84">
        <f>IF(O84="","",IFERROR(INDEX('4.방문기록'!$H$3:$H$502,MATCH(B84&amp;"|"&amp;(O84*1),'4.방문기록'!$I$3:$I$502,0))&amp;"",""))</f>
        <v/>
      </c>
      <c r="S84">
        <f>IF(B84="","",IF(R84="관심 없음","제외",IF(O84="","안 가봄",IF(P84&gt;=설정!$B$20,P84&amp;"일 지남","최근 방문"))))</f>
        <v/>
      </c>
      <c r="T84" s="8">
        <f>IF(B84="","",IF(S84="제외","",IF(AND(설정!$B$21&lt;&gt;"",L84&lt;&gt;설정!$B$21),"",IF(AND(Q84&lt;&gt;"",Q84&gt;N(O84),Q84&lt;=설정!$B$24+7),설정!$B$39+7-(Q84-설정!$B$24),IF(AND(G84&gt;0,OR(S84="안 가봄",RIGHT(S84,2)="지남")),G84+IF(O84="",설정!$B$36,MIN(P84,60)*설정!$B$37)+MIN(N(H84)/1000*설정!$B$38,20),"")))))</f>
        <v/>
      </c>
      <c r="U84">
        <f>IF(T84="","",COUNTIF(T$4:T$303,"&gt;"&amp;T84)+COUNTIF(T$4:T84,T84))</f>
        <v/>
      </c>
    </row>
    <row r="85">
      <c r="A85">
        <f>IF(B85="","",82)</f>
        <v/>
      </c>
      <c r="B85">
        <f>IFERROR(INDEX('2.현장'!$V$2:$V$1001,MATCH(82,'2.현장'!$W$2:$W$1001,0)),"")</f>
        <v/>
      </c>
      <c r="C85">
        <f>IF(B85="","",COUNTIFS('2.현장'!$V$2:$V$1001,B85,'2.현장'!$T$2:$T$1001,TRUE))</f>
        <v/>
      </c>
      <c r="D85">
        <f>IF(B85="","",COUNTIFS('2.현장'!$V$2:$V$1001,B85,'2.현장'!$U$2:$U$1001,"설계사"))</f>
        <v/>
      </c>
      <c r="E85">
        <f>IF(B85="","",COUNTIFS('2.현장'!$V$2:$V$1001,B85,'2.현장'!$U$2:$U$1001,"시공사"))</f>
        <v/>
      </c>
      <c r="F85">
        <f>IF(B85="","",COUNTIFS('2.현장'!$V$2:$V$1001,B85,'2.현장'!$T$2:$T$1001,TRUE,'2.현장'!$AA$2:$AA$1001,"★"))</f>
        <v/>
      </c>
      <c r="G85" s="6">
        <f>IF(B85="","",SUMIFS('2.현장'!$AB$2:$AB$1001,'2.현장'!$V$2:$V$1001,B85,'2.현장'!$T$2:$T$1001,TRUE))</f>
        <v/>
      </c>
      <c r="H85" s="5">
        <f>IF(B85="","",_xlfn.MAXIFS('2.현장'!$D$2:$D$1001,'2.현장'!$V$2:$V$1001,B85,'2.현장'!$T$2:$T$1001,TRUE))</f>
        <v/>
      </c>
      <c r="I85" s="7">
        <f>IF(B85="","",IF(_xlfn.MAXIFS('2.현장'!$L$2:$L$1001,'2.현장'!$V$2:$V$1001,B85,'2.현장'!$T$2:$T$1001,TRUE)=0,"",_xlfn.MAXIFS('2.현장'!$L$2:$L$1001,'2.현장'!$V$2:$V$1001,B85,'2.현장'!$T$2:$T$1001,TRUE)))</f>
        <v/>
      </c>
      <c r="J85" s="7">
        <f>IF(B85="","",IF(_xlfn.MAXIFS('2.현장'!$M$2:$M$1001,'2.현장'!$V$2:$V$1001,B85,'2.현장'!$T$2:$T$1001,TRUE)=0,"",_xlfn.MAXIFS('2.현장'!$M$2:$M$1001,'2.현장'!$V$2:$V$1001,B85,'2.현장'!$T$2:$T$1001,TRUE)))</f>
        <v/>
      </c>
      <c r="K85">
        <f>IF(B85="","",IFERROR(INDEX('2.현장'!$C$2:$C$1001,IFERROR(MATCH(B85&amp;"|설계사",'2.현장'!$Z$2:$Z$1001,0),IFERROR(MATCH(B85&amp;"|시공사",'2.현장'!$Z$2:$Z$1001,0),MATCH(B85&amp;"|늦음",'2.현장'!$Z$2:$Z$1001,0)))),""))</f>
        <v/>
      </c>
      <c r="L85">
        <f>IF(B85="","",IFERROR(INDEX('2.현장'!$N$2:$N$1001,IFERROR(MATCH(B85&amp;"|설계사",'2.현장'!$Z$2:$Z$1001,0),IFERROR(MATCH(B85&amp;"|시공사",'2.현장'!$Z$2:$Z$1001,0),MATCH(B85&amp;"|늦음",'2.현장'!$Z$2:$Z$1001,0)))),""))</f>
        <v/>
      </c>
      <c r="M85">
        <f>IF(B85="","",IFERROR(VLOOKUP(B85,업체_메모!$A$3:$I$302,2,FALSE)&amp;"",""))</f>
        <v/>
      </c>
      <c r="N85">
        <f>IF(B85="","",IFERROR(VLOOKUP(B85,업체_메모!$A$3:$I$302,4,FALSE)&amp;"",""))</f>
        <v/>
      </c>
      <c r="O85" s="7">
        <f>IF(B85="","",IF(COUNTIF('4.방문기록'!$B$3:$B$502,B85)=0,"",_xlfn.MAXIFS('4.방문기록'!$A$3:$A$502,'4.방문기록'!$B$3:$B$502,B85)))</f>
        <v/>
      </c>
      <c r="P85">
        <f>IF(O85="","",설정!$B$24-O85)</f>
        <v/>
      </c>
      <c r="Q85" s="7">
        <f>IF(B85="","",IF(_xlfn.MAXIFS('4.방문기록'!$F$3:$F$502,'4.방문기록'!$B$3:$B$502,B85)=0,"",_xlfn.MAXIFS('4.방문기록'!$F$3:$F$502,'4.방문기록'!$B$3:$B$502,B85)))</f>
        <v/>
      </c>
      <c r="R85">
        <f>IF(O85="","",IFERROR(INDEX('4.방문기록'!$H$3:$H$502,MATCH(B85&amp;"|"&amp;(O85*1),'4.방문기록'!$I$3:$I$502,0))&amp;"",""))</f>
        <v/>
      </c>
      <c r="S85">
        <f>IF(B85="","",IF(R85="관심 없음","제외",IF(O85="","안 가봄",IF(P85&gt;=설정!$B$20,P85&amp;"일 지남","최근 방문"))))</f>
        <v/>
      </c>
      <c r="T85" s="8">
        <f>IF(B85="","",IF(S85="제외","",IF(AND(설정!$B$21&lt;&gt;"",L85&lt;&gt;설정!$B$21),"",IF(AND(Q85&lt;&gt;"",Q85&gt;N(O85),Q85&lt;=설정!$B$24+7),설정!$B$39+7-(Q85-설정!$B$24),IF(AND(G85&gt;0,OR(S85="안 가봄",RIGHT(S85,2)="지남")),G85+IF(O85="",설정!$B$36,MIN(P85,60)*설정!$B$37)+MIN(N(H85)/1000*설정!$B$38,20),"")))))</f>
        <v/>
      </c>
      <c r="U85">
        <f>IF(T85="","",COUNTIF(T$4:T$303,"&gt;"&amp;T85)+COUNTIF(T$4:T85,T85))</f>
        <v/>
      </c>
    </row>
    <row r="86">
      <c r="A86">
        <f>IF(B86="","",83)</f>
        <v/>
      </c>
      <c r="B86">
        <f>IFERROR(INDEX('2.현장'!$V$2:$V$1001,MATCH(83,'2.현장'!$W$2:$W$1001,0)),"")</f>
        <v/>
      </c>
      <c r="C86">
        <f>IF(B86="","",COUNTIFS('2.현장'!$V$2:$V$1001,B86,'2.현장'!$T$2:$T$1001,TRUE))</f>
        <v/>
      </c>
      <c r="D86">
        <f>IF(B86="","",COUNTIFS('2.현장'!$V$2:$V$1001,B86,'2.현장'!$U$2:$U$1001,"설계사"))</f>
        <v/>
      </c>
      <c r="E86">
        <f>IF(B86="","",COUNTIFS('2.현장'!$V$2:$V$1001,B86,'2.현장'!$U$2:$U$1001,"시공사"))</f>
        <v/>
      </c>
      <c r="F86">
        <f>IF(B86="","",COUNTIFS('2.현장'!$V$2:$V$1001,B86,'2.현장'!$T$2:$T$1001,TRUE,'2.현장'!$AA$2:$AA$1001,"★"))</f>
        <v/>
      </c>
      <c r="G86" s="6">
        <f>IF(B86="","",SUMIFS('2.현장'!$AB$2:$AB$1001,'2.현장'!$V$2:$V$1001,B86,'2.현장'!$T$2:$T$1001,TRUE))</f>
        <v/>
      </c>
      <c r="H86" s="5">
        <f>IF(B86="","",_xlfn.MAXIFS('2.현장'!$D$2:$D$1001,'2.현장'!$V$2:$V$1001,B86,'2.현장'!$T$2:$T$1001,TRUE))</f>
        <v/>
      </c>
      <c r="I86" s="7">
        <f>IF(B86="","",IF(_xlfn.MAXIFS('2.현장'!$L$2:$L$1001,'2.현장'!$V$2:$V$1001,B86,'2.현장'!$T$2:$T$1001,TRUE)=0,"",_xlfn.MAXIFS('2.현장'!$L$2:$L$1001,'2.현장'!$V$2:$V$1001,B86,'2.현장'!$T$2:$T$1001,TRUE)))</f>
        <v/>
      </c>
      <c r="J86" s="7">
        <f>IF(B86="","",IF(_xlfn.MAXIFS('2.현장'!$M$2:$M$1001,'2.현장'!$V$2:$V$1001,B86,'2.현장'!$T$2:$T$1001,TRUE)=0,"",_xlfn.MAXIFS('2.현장'!$M$2:$M$1001,'2.현장'!$V$2:$V$1001,B86,'2.현장'!$T$2:$T$1001,TRUE)))</f>
        <v/>
      </c>
      <c r="K86">
        <f>IF(B86="","",IFERROR(INDEX('2.현장'!$C$2:$C$1001,IFERROR(MATCH(B86&amp;"|설계사",'2.현장'!$Z$2:$Z$1001,0),IFERROR(MATCH(B86&amp;"|시공사",'2.현장'!$Z$2:$Z$1001,0),MATCH(B86&amp;"|늦음",'2.현장'!$Z$2:$Z$1001,0)))),""))</f>
        <v/>
      </c>
      <c r="L86">
        <f>IF(B86="","",IFERROR(INDEX('2.현장'!$N$2:$N$1001,IFERROR(MATCH(B86&amp;"|설계사",'2.현장'!$Z$2:$Z$1001,0),IFERROR(MATCH(B86&amp;"|시공사",'2.현장'!$Z$2:$Z$1001,0),MATCH(B86&amp;"|늦음",'2.현장'!$Z$2:$Z$1001,0)))),""))</f>
        <v/>
      </c>
      <c r="M86">
        <f>IF(B86="","",IFERROR(VLOOKUP(B86,업체_메모!$A$3:$I$302,2,FALSE)&amp;"",""))</f>
        <v/>
      </c>
      <c r="N86">
        <f>IF(B86="","",IFERROR(VLOOKUP(B86,업체_메모!$A$3:$I$302,4,FALSE)&amp;"",""))</f>
        <v/>
      </c>
      <c r="O86" s="7">
        <f>IF(B86="","",IF(COUNTIF('4.방문기록'!$B$3:$B$502,B86)=0,"",_xlfn.MAXIFS('4.방문기록'!$A$3:$A$502,'4.방문기록'!$B$3:$B$502,B86)))</f>
        <v/>
      </c>
      <c r="P86">
        <f>IF(O86="","",설정!$B$24-O86)</f>
        <v/>
      </c>
      <c r="Q86" s="7">
        <f>IF(B86="","",IF(_xlfn.MAXIFS('4.방문기록'!$F$3:$F$502,'4.방문기록'!$B$3:$B$502,B86)=0,"",_xlfn.MAXIFS('4.방문기록'!$F$3:$F$502,'4.방문기록'!$B$3:$B$502,B86)))</f>
        <v/>
      </c>
      <c r="R86">
        <f>IF(O86="","",IFERROR(INDEX('4.방문기록'!$H$3:$H$502,MATCH(B86&amp;"|"&amp;(O86*1),'4.방문기록'!$I$3:$I$502,0))&amp;"",""))</f>
        <v/>
      </c>
      <c r="S86">
        <f>IF(B86="","",IF(R86="관심 없음","제외",IF(O86="","안 가봄",IF(P86&gt;=설정!$B$20,P86&amp;"일 지남","최근 방문"))))</f>
        <v/>
      </c>
      <c r="T86" s="8">
        <f>IF(B86="","",IF(S86="제외","",IF(AND(설정!$B$21&lt;&gt;"",L86&lt;&gt;설정!$B$21),"",IF(AND(Q86&lt;&gt;"",Q86&gt;N(O86),Q86&lt;=설정!$B$24+7),설정!$B$39+7-(Q86-설정!$B$24),IF(AND(G86&gt;0,OR(S86="안 가봄",RIGHT(S86,2)="지남")),G86+IF(O86="",설정!$B$36,MIN(P86,60)*설정!$B$37)+MIN(N(H86)/1000*설정!$B$38,20),"")))))</f>
        <v/>
      </c>
      <c r="U86">
        <f>IF(T86="","",COUNTIF(T$4:T$303,"&gt;"&amp;T86)+COUNTIF(T$4:T86,T86))</f>
        <v/>
      </c>
    </row>
    <row r="87">
      <c r="A87">
        <f>IF(B87="","",84)</f>
        <v/>
      </c>
      <c r="B87">
        <f>IFERROR(INDEX('2.현장'!$V$2:$V$1001,MATCH(84,'2.현장'!$W$2:$W$1001,0)),"")</f>
        <v/>
      </c>
      <c r="C87">
        <f>IF(B87="","",COUNTIFS('2.현장'!$V$2:$V$1001,B87,'2.현장'!$T$2:$T$1001,TRUE))</f>
        <v/>
      </c>
      <c r="D87">
        <f>IF(B87="","",COUNTIFS('2.현장'!$V$2:$V$1001,B87,'2.현장'!$U$2:$U$1001,"설계사"))</f>
        <v/>
      </c>
      <c r="E87">
        <f>IF(B87="","",COUNTIFS('2.현장'!$V$2:$V$1001,B87,'2.현장'!$U$2:$U$1001,"시공사"))</f>
        <v/>
      </c>
      <c r="F87">
        <f>IF(B87="","",COUNTIFS('2.현장'!$V$2:$V$1001,B87,'2.현장'!$T$2:$T$1001,TRUE,'2.현장'!$AA$2:$AA$1001,"★"))</f>
        <v/>
      </c>
      <c r="G87" s="6">
        <f>IF(B87="","",SUMIFS('2.현장'!$AB$2:$AB$1001,'2.현장'!$V$2:$V$1001,B87,'2.현장'!$T$2:$T$1001,TRUE))</f>
        <v/>
      </c>
      <c r="H87" s="5">
        <f>IF(B87="","",_xlfn.MAXIFS('2.현장'!$D$2:$D$1001,'2.현장'!$V$2:$V$1001,B87,'2.현장'!$T$2:$T$1001,TRUE))</f>
        <v/>
      </c>
      <c r="I87" s="7">
        <f>IF(B87="","",IF(_xlfn.MAXIFS('2.현장'!$L$2:$L$1001,'2.현장'!$V$2:$V$1001,B87,'2.현장'!$T$2:$T$1001,TRUE)=0,"",_xlfn.MAXIFS('2.현장'!$L$2:$L$1001,'2.현장'!$V$2:$V$1001,B87,'2.현장'!$T$2:$T$1001,TRUE)))</f>
        <v/>
      </c>
      <c r="J87" s="7">
        <f>IF(B87="","",IF(_xlfn.MAXIFS('2.현장'!$M$2:$M$1001,'2.현장'!$V$2:$V$1001,B87,'2.현장'!$T$2:$T$1001,TRUE)=0,"",_xlfn.MAXIFS('2.현장'!$M$2:$M$1001,'2.현장'!$V$2:$V$1001,B87,'2.현장'!$T$2:$T$1001,TRUE)))</f>
        <v/>
      </c>
      <c r="K87">
        <f>IF(B87="","",IFERROR(INDEX('2.현장'!$C$2:$C$1001,IFERROR(MATCH(B87&amp;"|설계사",'2.현장'!$Z$2:$Z$1001,0),IFERROR(MATCH(B87&amp;"|시공사",'2.현장'!$Z$2:$Z$1001,0),MATCH(B87&amp;"|늦음",'2.현장'!$Z$2:$Z$1001,0)))),""))</f>
        <v/>
      </c>
      <c r="L87">
        <f>IF(B87="","",IFERROR(INDEX('2.현장'!$N$2:$N$1001,IFERROR(MATCH(B87&amp;"|설계사",'2.현장'!$Z$2:$Z$1001,0),IFERROR(MATCH(B87&amp;"|시공사",'2.현장'!$Z$2:$Z$1001,0),MATCH(B87&amp;"|늦음",'2.현장'!$Z$2:$Z$1001,0)))),""))</f>
        <v/>
      </c>
      <c r="M87">
        <f>IF(B87="","",IFERROR(VLOOKUP(B87,업체_메모!$A$3:$I$302,2,FALSE)&amp;"",""))</f>
        <v/>
      </c>
      <c r="N87">
        <f>IF(B87="","",IFERROR(VLOOKUP(B87,업체_메모!$A$3:$I$302,4,FALSE)&amp;"",""))</f>
        <v/>
      </c>
      <c r="O87" s="7">
        <f>IF(B87="","",IF(COUNTIF('4.방문기록'!$B$3:$B$502,B87)=0,"",_xlfn.MAXIFS('4.방문기록'!$A$3:$A$502,'4.방문기록'!$B$3:$B$502,B87)))</f>
        <v/>
      </c>
      <c r="P87">
        <f>IF(O87="","",설정!$B$24-O87)</f>
        <v/>
      </c>
      <c r="Q87" s="7">
        <f>IF(B87="","",IF(_xlfn.MAXIFS('4.방문기록'!$F$3:$F$502,'4.방문기록'!$B$3:$B$502,B87)=0,"",_xlfn.MAXIFS('4.방문기록'!$F$3:$F$502,'4.방문기록'!$B$3:$B$502,B87)))</f>
        <v/>
      </c>
      <c r="R87">
        <f>IF(O87="","",IFERROR(INDEX('4.방문기록'!$H$3:$H$502,MATCH(B87&amp;"|"&amp;(O87*1),'4.방문기록'!$I$3:$I$502,0))&amp;"",""))</f>
        <v/>
      </c>
      <c r="S87">
        <f>IF(B87="","",IF(R87="관심 없음","제외",IF(O87="","안 가봄",IF(P87&gt;=설정!$B$20,P87&amp;"일 지남","최근 방문"))))</f>
        <v/>
      </c>
      <c r="T87" s="8">
        <f>IF(B87="","",IF(S87="제외","",IF(AND(설정!$B$21&lt;&gt;"",L87&lt;&gt;설정!$B$21),"",IF(AND(Q87&lt;&gt;"",Q87&gt;N(O87),Q87&lt;=설정!$B$24+7),설정!$B$39+7-(Q87-설정!$B$24),IF(AND(G87&gt;0,OR(S87="안 가봄",RIGHT(S87,2)="지남")),G87+IF(O87="",설정!$B$36,MIN(P87,60)*설정!$B$37)+MIN(N(H87)/1000*설정!$B$38,20),"")))))</f>
        <v/>
      </c>
      <c r="U87">
        <f>IF(T87="","",COUNTIF(T$4:T$303,"&gt;"&amp;T87)+COUNTIF(T$4:T87,T87))</f>
        <v/>
      </c>
    </row>
    <row r="88">
      <c r="A88">
        <f>IF(B88="","",85)</f>
        <v/>
      </c>
      <c r="B88">
        <f>IFERROR(INDEX('2.현장'!$V$2:$V$1001,MATCH(85,'2.현장'!$W$2:$W$1001,0)),"")</f>
        <v/>
      </c>
      <c r="C88">
        <f>IF(B88="","",COUNTIFS('2.현장'!$V$2:$V$1001,B88,'2.현장'!$T$2:$T$1001,TRUE))</f>
        <v/>
      </c>
      <c r="D88">
        <f>IF(B88="","",COUNTIFS('2.현장'!$V$2:$V$1001,B88,'2.현장'!$U$2:$U$1001,"설계사"))</f>
        <v/>
      </c>
      <c r="E88">
        <f>IF(B88="","",COUNTIFS('2.현장'!$V$2:$V$1001,B88,'2.현장'!$U$2:$U$1001,"시공사"))</f>
        <v/>
      </c>
      <c r="F88">
        <f>IF(B88="","",COUNTIFS('2.현장'!$V$2:$V$1001,B88,'2.현장'!$T$2:$T$1001,TRUE,'2.현장'!$AA$2:$AA$1001,"★"))</f>
        <v/>
      </c>
      <c r="G88" s="6">
        <f>IF(B88="","",SUMIFS('2.현장'!$AB$2:$AB$1001,'2.현장'!$V$2:$V$1001,B88,'2.현장'!$T$2:$T$1001,TRUE))</f>
        <v/>
      </c>
      <c r="H88" s="5">
        <f>IF(B88="","",_xlfn.MAXIFS('2.현장'!$D$2:$D$1001,'2.현장'!$V$2:$V$1001,B88,'2.현장'!$T$2:$T$1001,TRUE))</f>
        <v/>
      </c>
      <c r="I88" s="7">
        <f>IF(B88="","",IF(_xlfn.MAXIFS('2.현장'!$L$2:$L$1001,'2.현장'!$V$2:$V$1001,B88,'2.현장'!$T$2:$T$1001,TRUE)=0,"",_xlfn.MAXIFS('2.현장'!$L$2:$L$1001,'2.현장'!$V$2:$V$1001,B88,'2.현장'!$T$2:$T$1001,TRUE)))</f>
        <v/>
      </c>
      <c r="J88" s="7">
        <f>IF(B88="","",IF(_xlfn.MAXIFS('2.현장'!$M$2:$M$1001,'2.현장'!$V$2:$V$1001,B88,'2.현장'!$T$2:$T$1001,TRUE)=0,"",_xlfn.MAXIFS('2.현장'!$M$2:$M$1001,'2.현장'!$V$2:$V$1001,B88,'2.현장'!$T$2:$T$1001,TRUE)))</f>
        <v/>
      </c>
      <c r="K88">
        <f>IF(B88="","",IFERROR(INDEX('2.현장'!$C$2:$C$1001,IFERROR(MATCH(B88&amp;"|설계사",'2.현장'!$Z$2:$Z$1001,0),IFERROR(MATCH(B88&amp;"|시공사",'2.현장'!$Z$2:$Z$1001,0),MATCH(B88&amp;"|늦음",'2.현장'!$Z$2:$Z$1001,0)))),""))</f>
        <v/>
      </c>
      <c r="L88">
        <f>IF(B88="","",IFERROR(INDEX('2.현장'!$N$2:$N$1001,IFERROR(MATCH(B88&amp;"|설계사",'2.현장'!$Z$2:$Z$1001,0),IFERROR(MATCH(B88&amp;"|시공사",'2.현장'!$Z$2:$Z$1001,0),MATCH(B88&amp;"|늦음",'2.현장'!$Z$2:$Z$1001,0)))),""))</f>
        <v/>
      </c>
      <c r="M88">
        <f>IF(B88="","",IFERROR(VLOOKUP(B88,업체_메모!$A$3:$I$302,2,FALSE)&amp;"",""))</f>
        <v/>
      </c>
      <c r="N88">
        <f>IF(B88="","",IFERROR(VLOOKUP(B88,업체_메모!$A$3:$I$302,4,FALSE)&amp;"",""))</f>
        <v/>
      </c>
      <c r="O88" s="7">
        <f>IF(B88="","",IF(COUNTIF('4.방문기록'!$B$3:$B$502,B88)=0,"",_xlfn.MAXIFS('4.방문기록'!$A$3:$A$502,'4.방문기록'!$B$3:$B$502,B88)))</f>
        <v/>
      </c>
      <c r="P88">
        <f>IF(O88="","",설정!$B$24-O88)</f>
        <v/>
      </c>
      <c r="Q88" s="7">
        <f>IF(B88="","",IF(_xlfn.MAXIFS('4.방문기록'!$F$3:$F$502,'4.방문기록'!$B$3:$B$502,B88)=0,"",_xlfn.MAXIFS('4.방문기록'!$F$3:$F$502,'4.방문기록'!$B$3:$B$502,B88)))</f>
        <v/>
      </c>
      <c r="R88">
        <f>IF(O88="","",IFERROR(INDEX('4.방문기록'!$H$3:$H$502,MATCH(B88&amp;"|"&amp;(O88*1),'4.방문기록'!$I$3:$I$502,0))&amp;"",""))</f>
        <v/>
      </c>
      <c r="S88">
        <f>IF(B88="","",IF(R88="관심 없음","제외",IF(O88="","안 가봄",IF(P88&gt;=설정!$B$20,P88&amp;"일 지남","최근 방문"))))</f>
        <v/>
      </c>
      <c r="T88" s="8">
        <f>IF(B88="","",IF(S88="제외","",IF(AND(설정!$B$21&lt;&gt;"",L88&lt;&gt;설정!$B$21),"",IF(AND(Q88&lt;&gt;"",Q88&gt;N(O88),Q88&lt;=설정!$B$24+7),설정!$B$39+7-(Q88-설정!$B$24),IF(AND(G88&gt;0,OR(S88="안 가봄",RIGHT(S88,2)="지남")),G88+IF(O88="",설정!$B$36,MIN(P88,60)*설정!$B$37)+MIN(N(H88)/1000*설정!$B$38,20),"")))))</f>
        <v/>
      </c>
      <c r="U88">
        <f>IF(T88="","",COUNTIF(T$4:T$303,"&gt;"&amp;T88)+COUNTIF(T$4:T88,T88))</f>
        <v/>
      </c>
    </row>
    <row r="89">
      <c r="A89">
        <f>IF(B89="","",86)</f>
        <v/>
      </c>
      <c r="B89">
        <f>IFERROR(INDEX('2.현장'!$V$2:$V$1001,MATCH(86,'2.현장'!$W$2:$W$1001,0)),"")</f>
        <v/>
      </c>
      <c r="C89">
        <f>IF(B89="","",COUNTIFS('2.현장'!$V$2:$V$1001,B89,'2.현장'!$T$2:$T$1001,TRUE))</f>
        <v/>
      </c>
      <c r="D89">
        <f>IF(B89="","",COUNTIFS('2.현장'!$V$2:$V$1001,B89,'2.현장'!$U$2:$U$1001,"설계사"))</f>
        <v/>
      </c>
      <c r="E89">
        <f>IF(B89="","",COUNTIFS('2.현장'!$V$2:$V$1001,B89,'2.현장'!$U$2:$U$1001,"시공사"))</f>
        <v/>
      </c>
      <c r="F89">
        <f>IF(B89="","",COUNTIFS('2.현장'!$V$2:$V$1001,B89,'2.현장'!$T$2:$T$1001,TRUE,'2.현장'!$AA$2:$AA$1001,"★"))</f>
        <v/>
      </c>
      <c r="G89" s="6">
        <f>IF(B89="","",SUMIFS('2.현장'!$AB$2:$AB$1001,'2.현장'!$V$2:$V$1001,B89,'2.현장'!$T$2:$T$1001,TRUE))</f>
        <v/>
      </c>
      <c r="H89" s="5">
        <f>IF(B89="","",_xlfn.MAXIFS('2.현장'!$D$2:$D$1001,'2.현장'!$V$2:$V$1001,B89,'2.현장'!$T$2:$T$1001,TRUE))</f>
        <v/>
      </c>
      <c r="I89" s="7">
        <f>IF(B89="","",IF(_xlfn.MAXIFS('2.현장'!$L$2:$L$1001,'2.현장'!$V$2:$V$1001,B89,'2.현장'!$T$2:$T$1001,TRUE)=0,"",_xlfn.MAXIFS('2.현장'!$L$2:$L$1001,'2.현장'!$V$2:$V$1001,B89,'2.현장'!$T$2:$T$1001,TRUE)))</f>
        <v/>
      </c>
      <c r="J89" s="7">
        <f>IF(B89="","",IF(_xlfn.MAXIFS('2.현장'!$M$2:$M$1001,'2.현장'!$V$2:$V$1001,B89,'2.현장'!$T$2:$T$1001,TRUE)=0,"",_xlfn.MAXIFS('2.현장'!$M$2:$M$1001,'2.현장'!$V$2:$V$1001,B89,'2.현장'!$T$2:$T$1001,TRUE)))</f>
        <v/>
      </c>
      <c r="K89">
        <f>IF(B89="","",IFERROR(INDEX('2.현장'!$C$2:$C$1001,IFERROR(MATCH(B89&amp;"|설계사",'2.현장'!$Z$2:$Z$1001,0),IFERROR(MATCH(B89&amp;"|시공사",'2.현장'!$Z$2:$Z$1001,0),MATCH(B89&amp;"|늦음",'2.현장'!$Z$2:$Z$1001,0)))),""))</f>
        <v/>
      </c>
      <c r="L89">
        <f>IF(B89="","",IFERROR(INDEX('2.현장'!$N$2:$N$1001,IFERROR(MATCH(B89&amp;"|설계사",'2.현장'!$Z$2:$Z$1001,0),IFERROR(MATCH(B89&amp;"|시공사",'2.현장'!$Z$2:$Z$1001,0),MATCH(B89&amp;"|늦음",'2.현장'!$Z$2:$Z$1001,0)))),""))</f>
        <v/>
      </c>
      <c r="M89">
        <f>IF(B89="","",IFERROR(VLOOKUP(B89,업체_메모!$A$3:$I$302,2,FALSE)&amp;"",""))</f>
        <v/>
      </c>
      <c r="N89">
        <f>IF(B89="","",IFERROR(VLOOKUP(B89,업체_메모!$A$3:$I$302,4,FALSE)&amp;"",""))</f>
        <v/>
      </c>
      <c r="O89" s="7">
        <f>IF(B89="","",IF(COUNTIF('4.방문기록'!$B$3:$B$502,B89)=0,"",_xlfn.MAXIFS('4.방문기록'!$A$3:$A$502,'4.방문기록'!$B$3:$B$502,B89)))</f>
        <v/>
      </c>
      <c r="P89">
        <f>IF(O89="","",설정!$B$24-O89)</f>
        <v/>
      </c>
      <c r="Q89" s="7">
        <f>IF(B89="","",IF(_xlfn.MAXIFS('4.방문기록'!$F$3:$F$502,'4.방문기록'!$B$3:$B$502,B89)=0,"",_xlfn.MAXIFS('4.방문기록'!$F$3:$F$502,'4.방문기록'!$B$3:$B$502,B89)))</f>
        <v/>
      </c>
      <c r="R89">
        <f>IF(O89="","",IFERROR(INDEX('4.방문기록'!$H$3:$H$502,MATCH(B89&amp;"|"&amp;(O89*1),'4.방문기록'!$I$3:$I$502,0))&amp;"",""))</f>
        <v/>
      </c>
      <c r="S89">
        <f>IF(B89="","",IF(R89="관심 없음","제외",IF(O89="","안 가봄",IF(P89&gt;=설정!$B$20,P89&amp;"일 지남","최근 방문"))))</f>
        <v/>
      </c>
      <c r="T89" s="8">
        <f>IF(B89="","",IF(S89="제외","",IF(AND(설정!$B$21&lt;&gt;"",L89&lt;&gt;설정!$B$21),"",IF(AND(Q89&lt;&gt;"",Q89&gt;N(O89),Q89&lt;=설정!$B$24+7),설정!$B$39+7-(Q89-설정!$B$24),IF(AND(G89&gt;0,OR(S89="안 가봄",RIGHT(S89,2)="지남")),G89+IF(O89="",설정!$B$36,MIN(P89,60)*설정!$B$37)+MIN(N(H89)/1000*설정!$B$38,20),"")))))</f>
        <v/>
      </c>
      <c r="U89">
        <f>IF(T89="","",COUNTIF(T$4:T$303,"&gt;"&amp;T89)+COUNTIF(T$4:T89,T89))</f>
        <v/>
      </c>
    </row>
    <row r="90">
      <c r="A90">
        <f>IF(B90="","",87)</f>
        <v/>
      </c>
      <c r="B90">
        <f>IFERROR(INDEX('2.현장'!$V$2:$V$1001,MATCH(87,'2.현장'!$W$2:$W$1001,0)),"")</f>
        <v/>
      </c>
      <c r="C90">
        <f>IF(B90="","",COUNTIFS('2.현장'!$V$2:$V$1001,B90,'2.현장'!$T$2:$T$1001,TRUE))</f>
        <v/>
      </c>
      <c r="D90">
        <f>IF(B90="","",COUNTIFS('2.현장'!$V$2:$V$1001,B90,'2.현장'!$U$2:$U$1001,"설계사"))</f>
        <v/>
      </c>
      <c r="E90">
        <f>IF(B90="","",COUNTIFS('2.현장'!$V$2:$V$1001,B90,'2.현장'!$U$2:$U$1001,"시공사"))</f>
        <v/>
      </c>
      <c r="F90">
        <f>IF(B90="","",COUNTIFS('2.현장'!$V$2:$V$1001,B90,'2.현장'!$T$2:$T$1001,TRUE,'2.현장'!$AA$2:$AA$1001,"★"))</f>
        <v/>
      </c>
      <c r="G90" s="6">
        <f>IF(B90="","",SUMIFS('2.현장'!$AB$2:$AB$1001,'2.현장'!$V$2:$V$1001,B90,'2.현장'!$T$2:$T$1001,TRUE))</f>
        <v/>
      </c>
      <c r="H90" s="5">
        <f>IF(B90="","",_xlfn.MAXIFS('2.현장'!$D$2:$D$1001,'2.현장'!$V$2:$V$1001,B90,'2.현장'!$T$2:$T$1001,TRUE))</f>
        <v/>
      </c>
      <c r="I90" s="7">
        <f>IF(B90="","",IF(_xlfn.MAXIFS('2.현장'!$L$2:$L$1001,'2.현장'!$V$2:$V$1001,B90,'2.현장'!$T$2:$T$1001,TRUE)=0,"",_xlfn.MAXIFS('2.현장'!$L$2:$L$1001,'2.현장'!$V$2:$V$1001,B90,'2.현장'!$T$2:$T$1001,TRUE)))</f>
        <v/>
      </c>
      <c r="J90" s="7">
        <f>IF(B90="","",IF(_xlfn.MAXIFS('2.현장'!$M$2:$M$1001,'2.현장'!$V$2:$V$1001,B90,'2.현장'!$T$2:$T$1001,TRUE)=0,"",_xlfn.MAXIFS('2.현장'!$M$2:$M$1001,'2.현장'!$V$2:$V$1001,B90,'2.현장'!$T$2:$T$1001,TRUE)))</f>
        <v/>
      </c>
      <c r="K90">
        <f>IF(B90="","",IFERROR(INDEX('2.현장'!$C$2:$C$1001,IFERROR(MATCH(B90&amp;"|설계사",'2.현장'!$Z$2:$Z$1001,0),IFERROR(MATCH(B90&amp;"|시공사",'2.현장'!$Z$2:$Z$1001,0),MATCH(B90&amp;"|늦음",'2.현장'!$Z$2:$Z$1001,0)))),""))</f>
        <v/>
      </c>
      <c r="L90">
        <f>IF(B90="","",IFERROR(INDEX('2.현장'!$N$2:$N$1001,IFERROR(MATCH(B90&amp;"|설계사",'2.현장'!$Z$2:$Z$1001,0),IFERROR(MATCH(B90&amp;"|시공사",'2.현장'!$Z$2:$Z$1001,0),MATCH(B90&amp;"|늦음",'2.현장'!$Z$2:$Z$1001,0)))),""))</f>
        <v/>
      </c>
      <c r="M90">
        <f>IF(B90="","",IFERROR(VLOOKUP(B90,업체_메모!$A$3:$I$302,2,FALSE)&amp;"",""))</f>
        <v/>
      </c>
      <c r="N90">
        <f>IF(B90="","",IFERROR(VLOOKUP(B90,업체_메모!$A$3:$I$302,4,FALSE)&amp;"",""))</f>
        <v/>
      </c>
      <c r="O90" s="7">
        <f>IF(B90="","",IF(COUNTIF('4.방문기록'!$B$3:$B$502,B90)=0,"",_xlfn.MAXIFS('4.방문기록'!$A$3:$A$502,'4.방문기록'!$B$3:$B$502,B90)))</f>
        <v/>
      </c>
      <c r="P90">
        <f>IF(O90="","",설정!$B$24-O90)</f>
        <v/>
      </c>
      <c r="Q90" s="7">
        <f>IF(B90="","",IF(_xlfn.MAXIFS('4.방문기록'!$F$3:$F$502,'4.방문기록'!$B$3:$B$502,B90)=0,"",_xlfn.MAXIFS('4.방문기록'!$F$3:$F$502,'4.방문기록'!$B$3:$B$502,B90)))</f>
        <v/>
      </c>
      <c r="R90">
        <f>IF(O90="","",IFERROR(INDEX('4.방문기록'!$H$3:$H$502,MATCH(B90&amp;"|"&amp;(O90*1),'4.방문기록'!$I$3:$I$502,0))&amp;"",""))</f>
        <v/>
      </c>
      <c r="S90">
        <f>IF(B90="","",IF(R90="관심 없음","제외",IF(O90="","안 가봄",IF(P90&gt;=설정!$B$20,P90&amp;"일 지남","최근 방문"))))</f>
        <v/>
      </c>
      <c r="T90" s="8">
        <f>IF(B90="","",IF(S90="제외","",IF(AND(설정!$B$21&lt;&gt;"",L90&lt;&gt;설정!$B$21),"",IF(AND(Q90&lt;&gt;"",Q90&gt;N(O90),Q90&lt;=설정!$B$24+7),설정!$B$39+7-(Q90-설정!$B$24),IF(AND(G90&gt;0,OR(S90="안 가봄",RIGHT(S90,2)="지남")),G90+IF(O90="",설정!$B$36,MIN(P90,60)*설정!$B$37)+MIN(N(H90)/1000*설정!$B$38,20),"")))))</f>
        <v/>
      </c>
      <c r="U90">
        <f>IF(T90="","",COUNTIF(T$4:T$303,"&gt;"&amp;T90)+COUNTIF(T$4:T90,T90))</f>
        <v/>
      </c>
    </row>
    <row r="91">
      <c r="A91">
        <f>IF(B91="","",88)</f>
        <v/>
      </c>
      <c r="B91">
        <f>IFERROR(INDEX('2.현장'!$V$2:$V$1001,MATCH(88,'2.현장'!$W$2:$W$1001,0)),"")</f>
        <v/>
      </c>
      <c r="C91">
        <f>IF(B91="","",COUNTIFS('2.현장'!$V$2:$V$1001,B91,'2.현장'!$T$2:$T$1001,TRUE))</f>
        <v/>
      </c>
      <c r="D91">
        <f>IF(B91="","",COUNTIFS('2.현장'!$V$2:$V$1001,B91,'2.현장'!$U$2:$U$1001,"설계사"))</f>
        <v/>
      </c>
      <c r="E91">
        <f>IF(B91="","",COUNTIFS('2.현장'!$V$2:$V$1001,B91,'2.현장'!$U$2:$U$1001,"시공사"))</f>
        <v/>
      </c>
      <c r="F91">
        <f>IF(B91="","",COUNTIFS('2.현장'!$V$2:$V$1001,B91,'2.현장'!$T$2:$T$1001,TRUE,'2.현장'!$AA$2:$AA$1001,"★"))</f>
        <v/>
      </c>
      <c r="G91" s="6">
        <f>IF(B91="","",SUMIFS('2.현장'!$AB$2:$AB$1001,'2.현장'!$V$2:$V$1001,B91,'2.현장'!$T$2:$T$1001,TRUE))</f>
        <v/>
      </c>
      <c r="H91" s="5">
        <f>IF(B91="","",_xlfn.MAXIFS('2.현장'!$D$2:$D$1001,'2.현장'!$V$2:$V$1001,B91,'2.현장'!$T$2:$T$1001,TRUE))</f>
        <v/>
      </c>
      <c r="I91" s="7">
        <f>IF(B91="","",IF(_xlfn.MAXIFS('2.현장'!$L$2:$L$1001,'2.현장'!$V$2:$V$1001,B91,'2.현장'!$T$2:$T$1001,TRUE)=0,"",_xlfn.MAXIFS('2.현장'!$L$2:$L$1001,'2.현장'!$V$2:$V$1001,B91,'2.현장'!$T$2:$T$1001,TRUE)))</f>
        <v/>
      </c>
      <c r="J91" s="7">
        <f>IF(B91="","",IF(_xlfn.MAXIFS('2.현장'!$M$2:$M$1001,'2.현장'!$V$2:$V$1001,B91,'2.현장'!$T$2:$T$1001,TRUE)=0,"",_xlfn.MAXIFS('2.현장'!$M$2:$M$1001,'2.현장'!$V$2:$V$1001,B91,'2.현장'!$T$2:$T$1001,TRUE)))</f>
        <v/>
      </c>
      <c r="K91">
        <f>IF(B91="","",IFERROR(INDEX('2.현장'!$C$2:$C$1001,IFERROR(MATCH(B91&amp;"|설계사",'2.현장'!$Z$2:$Z$1001,0),IFERROR(MATCH(B91&amp;"|시공사",'2.현장'!$Z$2:$Z$1001,0),MATCH(B91&amp;"|늦음",'2.현장'!$Z$2:$Z$1001,0)))),""))</f>
        <v/>
      </c>
      <c r="L91">
        <f>IF(B91="","",IFERROR(INDEX('2.현장'!$N$2:$N$1001,IFERROR(MATCH(B91&amp;"|설계사",'2.현장'!$Z$2:$Z$1001,0),IFERROR(MATCH(B91&amp;"|시공사",'2.현장'!$Z$2:$Z$1001,0),MATCH(B91&amp;"|늦음",'2.현장'!$Z$2:$Z$1001,0)))),""))</f>
        <v/>
      </c>
      <c r="M91">
        <f>IF(B91="","",IFERROR(VLOOKUP(B91,업체_메모!$A$3:$I$302,2,FALSE)&amp;"",""))</f>
        <v/>
      </c>
      <c r="N91">
        <f>IF(B91="","",IFERROR(VLOOKUP(B91,업체_메모!$A$3:$I$302,4,FALSE)&amp;"",""))</f>
        <v/>
      </c>
      <c r="O91" s="7">
        <f>IF(B91="","",IF(COUNTIF('4.방문기록'!$B$3:$B$502,B91)=0,"",_xlfn.MAXIFS('4.방문기록'!$A$3:$A$502,'4.방문기록'!$B$3:$B$502,B91)))</f>
        <v/>
      </c>
      <c r="P91">
        <f>IF(O91="","",설정!$B$24-O91)</f>
        <v/>
      </c>
      <c r="Q91" s="7">
        <f>IF(B91="","",IF(_xlfn.MAXIFS('4.방문기록'!$F$3:$F$502,'4.방문기록'!$B$3:$B$502,B91)=0,"",_xlfn.MAXIFS('4.방문기록'!$F$3:$F$502,'4.방문기록'!$B$3:$B$502,B91)))</f>
        <v/>
      </c>
      <c r="R91">
        <f>IF(O91="","",IFERROR(INDEX('4.방문기록'!$H$3:$H$502,MATCH(B91&amp;"|"&amp;(O91*1),'4.방문기록'!$I$3:$I$502,0))&amp;"",""))</f>
        <v/>
      </c>
      <c r="S91">
        <f>IF(B91="","",IF(R91="관심 없음","제외",IF(O91="","안 가봄",IF(P91&gt;=설정!$B$20,P91&amp;"일 지남","최근 방문"))))</f>
        <v/>
      </c>
      <c r="T91" s="8">
        <f>IF(B91="","",IF(S91="제외","",IF(AND(설정!$B$21&lt;&gt;"",L91&lt;&gt;설정!$B$21),"",IF(AND(Q91&lt;&gt;"",Q91&gt;N(O91),Q91&lt;=설정!$B$24+7),설정!$B$39+7-(Q91-설정!$B$24),IF(AND(G91&gt;0,OR(S91="안 가봄",RIGHT(S91,2)="지남")),G91+IF(O91="",설정!$B$36,MIN(P91,60)*설정!$B$37)+MIN(N(H91)/1000*설정!$B$38,20),"")))))</f>
        <v/>
      </c>
      <c r="U91">
        <f>IF(T91="","",COUNTIF(T$4:T$303,"&gt;"&amp;T91)+COUNTIF(T$4:T91,T91))</f>
        <v/>
      </c>
    </row>
    <row r="92">
      <c r="A92">
        <f>IF(B92="","",89)</f>
        <v/>
      </c>
      <c r="B92">
        <f>IFERROR(INDEX('2.현장'!$V$2:$V$1001,MATCH(89,'2.현장'!$W$2:$W$1001,0)),"")</f>
        <v/>
      </c>
      <c r="C92">
        <f>IF(B92="","",COUNTIFS('2.현장'!$V$2:$V$1001,B92,'2.현장'!$T$2:$T$1001,TRUE))</f>
        <v/>
      </c>
      <c r="D92">
        <f>IF(B92="","",COUNTIFS('2.현장'!$V$2:$V$1001,B92,'2.현장'!$U$2:$U$1001,"설계사"))</f>
        <v/>
      </c>
      <c r="E92">
        <f>IF(B92="","",COUNTIFS('2.현장'!$V$2:$V$1001,B92,'2.현장'!$U$2:$U$1001,"시공사"))</f>
        <v/>
      </c>
      <c r="F92">
        <f>IF(B92="","",COUNTIFS('2.현장'!$V$2:$V$1001,B92,'2.현장'!$T$2:$T$1001,TRUE,'2.현장'!$AA$2:$AA$1001,"★"))</f>
        <v/>
      </c>
      <c r="G92" s="6">
        <f>IF(B92="","",SUMIFS('2.현장'!$AB$2:$AB$1001,'2.현장'!$V$2:$V$1001,B92,'2.현장'!$T$2:$T$1001,TRUE))</f>
        <v/>
      </c>
      <c r="H92" s="5">
        <f>IF(B92="","",_xlfn.MAXIFS('2.현장'!$D$2:$D$1001,'2.현장'!$V$2:$V$1001,B92,'2.현장'!$T$2:$T$1001,TRUE))</f>
        <v/>
      </c>
      <c r="I92" s="7">
        <f>IF(B92="","",IF(_xlfn.MAXIFS('2.현장'!$L$2:$L$1001,'2.현장'!$V$2:$V$1001,B92,'2.현장'!$T$2:$T$1001,TRUE)=0,"",_xlfn.MAXIFS('2.현장'!$L$2:$L$1001,'2.현장'!$V$2:$V$1001,B92,'2.현장'!$T$2:$T$1001,TRUE)))</f>
        <v/>
      </c>
      <c r="J92" s="7">
        <f>IF(B92="","",IF(_xlfn.MAXIFS('2.현장'!$M$2:$M$1001,'2.현장'!$V$2:$V$1001,B92,'2.현장'!$T$2:$T$1001,TRUE)=0,"",_xlfn.MAXIFS('2.현장'!$M$2:$M$1001,'2.현장'!$V$2:$V$1001,B92,'2.현장'!$T$2:$T$1001,TRUE)))</f>
        <v/>
      </c>
      <c r="K92">
        <f>IF(B92="","",IFERROR(INDEX('2.현장'!$C$2:$C$1001,IFERROR(MATCH(B92&amp;"|설계사",'2.현장'!$Z$2:$Z$1001,0),IFERROR(MATCH(B92&amp;"|시공사",'2.현장'!$Z$2:$Z$1001,0),MATCH(B92&amp;"|늦음",'2.현장'!$Z$2:$Z$1001,0)))),""))</f>
        <v/>
      </c>
      <c r="L92">
        <f>IF(B92="","",IFERROR(INDEX('2.현장'!$N$2:$N$1001,IFERROR(MATCH(B92&amp;"|설계사",'2.현장'!$Z$2:$Z$1001,0),IFERROR(MATCH(B92&amp;"|시공사",'2.현장'!$Z$2:$Z$1001,0),MATCH(B92&amp;"|늦음",'2.현장'!$Z$2:$Z$1001,0)))),""))</f>
        <v/>
      </c>
      <c r="M92">
        <f>IF(B92="","",IFERROR(VLOOKUP(B92,업체_메모!$A$3:$I$302,2,FALSE)&amp;"",""))</f>
        <v/>
      </c>
      <c r="N92">
        <f>IF(B92="","",IFERROR(VLOOKUP(B92,업체_메모!$A$3:$I$302,4,FALSE)&amp;"",""))</f>
        <v/>
      </c>
      <c r="O92" s="7">
        <f>IF(B92="","",IF(COUNTIF('4.방문기록'!$B$3:$B$502,B92)=0,"",_xlfn.MAXIFS('4.방문기록'!$A$3:$A$502,'4.방문기록'!$B$3:$B$502,B92)))</f>
        <v/>
      </c>
      <c r="P92">
        <f>IF(O92="","",설정!$B$24-O92)</f>
        <v/>
      </c>
      <c r="Q92" s="7">
        <f>IF(B92="","",IF(_xlfn.MAXIFS('4.방문기록'!$F$3:$F$502,'4.방문기록'!$B$3:$B$502,B92)=0,"",_xlfn.MAXIFS('4.방문기록'!$F$3:$F$502,'4.방문기록'!$B$3:$B$502,B92)))</f>
        <v/>
      </c>
      <c r="R92">
        <f>IF(O92="","",IFERROR(INDEX('4.방문기록'!$H$3:$H$502,MATCH(B92&amp;"|"&amp;(O92*1),'4.방문기록'!$I$3:$I$502,0))&amp;"",""))</f>
        <v/>
      </c>
      <c r="S92">
        <f>IF(B92="","",IF(R92="관심 없음","제외",IF(O92="","안 가봄",IF(P92&gt;=설정!$B$20,P92&amp;"일 지남","최근 방문"))))</f>
        <v/>
      </c>
      <c r="T92" s="8">
        <f>IF(B92="","",IF(S92="제외","",IF(AND(설정!$B$21&lt;&gt;"",L92&lt;&gt;설정!$B$21),"",IF(AND(Q92&lt;&gt;"",Q92&gt;N(O92),Q92&lt;=설정!$B$24+7),설정!$B$39+7-(Q92-설정!$B$24),IF(AND(G92&gt;0,OR(S92="안 가봄",RIGHT(S92,2)="지남")),G92+IF(O92="",설정!$B$36,MIN(P92,60)*설정!$B$37)+MIN(N(H92)/1000*설정!$B$38,20),"")))))</f>
        <v/>
      </c>
      <c r="U92">
        <f>IF(T92="","",COUNTIF(T$4:T$303,"&gt;"&amp;T92)+COUNTIF(T$4:T92,T92))</f>
        <v/>
      </c>
    </row>
    <row r="93">
      <c r="A93">
        <f>IF(B93="","",90)</f>
        <v/>
      </c>
      <c r="B93">
        <f>IFERROR(INDEX('2.현장'!$V$2:$V$1001,MATCH(90,'2.현장'!$W$2:$W$1001,0)),"")</f>
        <v/>
      </c>
      <c r="C93">
        <f>IF(B93="","",COUNTIFS('2.현장'!$V$2:$V$1001,B93,'2.현장'!$T$2:$T$1001,TRUE))</f>
        <v/>
      </c>
      <c r="D93">
        <f>IF(B93="","",COUNTIFS('2.현장'!$V$2:$V$1001,B93,'2.현장'!$U$2:$U$1001,"설계사"))</f>
        <v/>
      </c>
      <c r="E93">
        <f>IF(B93="","",COUNTIFS('2.현장'!$V$2:$V$1001,B93,'2.현장'!$U$2:$U$1001,"시공사"))</f>
        <v/>
      </c>
      <c r="F93">
        <f>IF(B93="","",COUNTIFS('2.현장'!$V$2:$V$1001,B93,'2.현장'!$T$2:$T$1001,TRUE,'2.현장'!$AA$2:$AA$1001,"★"))</f>
        <v/>
      </c>
      <c r="G93" s="6">
        <f>IF(B93="","",SUMIFS('2.현장'!$AB$2:$AB$1001,'2.현장'!$V$2:$V$1001,B93,'2.현장'!$T$2:$T$1001,TRUE))</f>
        <v/>
      </c>
      <c r="H93" s="5">
        <f>IF(B93="","",_xlfn.MAXIFS('2.현장'!$D$2:$D$1001,'2.현장'!$V$2:$V$1001,B93,'2.현장'!$T$2:$T$1001,TRUE))</f>
        <v/>
      </c>
      <c r="I93" s="7">
        <f>IF(B93="","",IF(_xlfn.MAXIFS('2.현장'!$L$2:$L$1001,'2.현장'!$V$2:$V$1001,B93,'2.현장'!$T$2:$T$1001,TRUE)=0,"",_xlfn.MAXIFS('2.현장'!$L$2:$L$1001,'2.현장'!$V$2:$V$1001,B93,'2.현장'!$T$2:$T$1001,TRUE)))</f>
        <v/>
      </c>
      <c r="J93" s="7">
        <f>IF(B93="","",IF(_xlfn.MAXIFS('2.현장'!$M$2:$M$1001,'2.현장'!$V$2:$V$1001,B93,'2.현장'!$T$2:$T$1001,TRUE)=0,"",_xlfn.MAXIFS('2.현장'!$M$2:$M$1001,'2.현장'!$V$2:$V$1001,B93,'2.현장'!$T$2:$T$1001,TRUE)))</f>
        <v/>
      </c>
      <c r="K93">
        <f>IF(B93="","",IFERROR(INDEX('2.현장'!$C$2:$C$1001,IFERROR(MATCH(B93&amp;"|설계사",'2.현장'!$Z$2:$Z$1001,0),IFERROR(MATCH(B93&amp;"|시공사",'2.현장'!$Z$2:$Z$1001,0),MATCH(B93&amp;"|늦음",'2.현장'!$Z$2:$Z$1001,0)))),""))</f>
        <v/>
      </c>
      <c r="L93">
        <f>IF(B93="","",IFERROR(INDEX('2.현장'!$N$2:$N$1001,IFERROR(MATCH(B93&amp;"|설계사",'2.현장'!$Z$2:$Z$1001,0),IFERROR(MATCH(B93&amp;"|시공사",'2.현장'!$Z$2:$Z$1001,0),MATCH(B93&amp;"|늦음",'2.현장'!$Z$2:$Z$1001,0)))),""))</f>
        <v/>
      </c>
      <c r="M93">
        <f>IF(B93="","",IFERROR(VLOOKUP(B93,업체_메모!$A$3:$I$302,2,FALSE)&amp;"",""))</f>
        <v/>
      </c>
      <c r="N93">
        <f>IF(B93="","",IFERROR(VLOOKUP(B93,업체_메모!$A$3:$I$302,4,FALSE)&amp;"",""))</f>
        <v/>
      </c>
      <c r="O93" s="7">
        <f>IF(B93="","",IF(COUNTIF('4.방문기록'!$B$3:$B$502,B93)=0,"",_xlfn.MAXIFS('4.방문기록'!$A$3:$A$502,'4.방문기록'!$B$3:$B$502,B93)))</f>
        <v/>
      </c>
      <c r="P93">
        <f>IF(O93="","",설정!$B$24-O93)</f>
        <v/>
      </c>
      <c r="Q93" s="7">
        <f>IF(B93="","",IF(_xlfn.MAXIFS('4.방문기록'!$F$3:$F$502,'4.방문기록'!$B$3:$B$502,B93)=0,"",_xlfn.MAXIFS('4.방문기록'!$F$3:$F$502,'4.방문기록'!$B$3:$B$502,B93)))</f>
        <v/>
      </c>
      <c r="R93">
        <f>IF(O93="","",IFERROR(INDEX('4.방문기록'!$H$3:$H$502,MATCH(B93&amp;"|"&amp;(O93*1),'4.방문기록'!$I$3:$I$502,0))&amp;"",""))</f>
        <v/>
      </c>
      <c r="S93">
        <f>IF(B93="","",IF(R93="관심 없음","제외",IF(O93="","안 가봄",IF(P93&gt;=설정!$B$20,P93&amp;"일 지남","최근 방문"))))</f>
        <v/>
      </c>
      <c r="T93" s="8">
        <f>IF(B93="","",IF(S93="제외","",IF(AND(설정!$B$21&lt;&gt;"",L93&lt;&gt;설정!$B$21),"",IF(AND(Q93&lt;&gt;"",Q93&gt;N(O93),Q93&lt;=설정!$B$24+7),설정!$B$39+7-(Q93-설정!$B$24),IF(AND(G93&gt;0,OR(S93="안 가봄",RIGHT(S93,2)="지남")),G93+IF(O93="",설정!$B$36,MIN(P93,60)*설정!$B$37)+MIN(N(H93)/1000*설정!$B$38,20),"")))))</f>
        <v/>
      </c>
      <c r="U93">
        <f>IF(T93="","",COUNTIF(T$4:T$303,"&gt;"&amp;T93)+COUNTIF(T$4:T93,T93))</f>
        <v/>
      </c>
    </row>
    <row r="94">
      <c r="A94">
        <f>IF(B94="","",91)</f>
        <v/>
      </c>
      <c r="B94">
        <f>IFERROR(INDEX('2.현장'!$V$2:$V$1001,MATCH(91,'2.현장'!$W$2:$W$1001,0)),"")</f>
        <v/>
      </c>
      <c r="C94">
        <f>IF(B94="","",COUNTIFS('2.현장'!$V$2:$V$1001,B94,'2.현장'!$T$2:$T$1001,TRUE))</f>
        <v/>
      </c>
      <c r="D94">
        <f>IF(B94="","",COUNTIFS('2.현장'!$V$2:$V$1001,B94,'2.현장'!$U$2:$U$1001,"설계사"))</f>
        <v/>
      </c>
      <c r="E94">
        <f>IF(B94="","",COUNTIFS('2.현장'!$V$2:$V$1001,B94,'2.현장'!$U$2:$U$1001,"시공사"))</f>
        <v/>
      </c>
      <c r="F94">
        <f>IF(B94="","",COUNTIFS('2.현장'!$V$2:$V$1001,B94,'2.현장'!$T$2:$T$1001,TRUE,'2.현장'!$AA$2:$AA$1001,"★"))</f>
        <v/>
      </c>
      <c r="G94" s="6">
        <f>IF(B94="","",SUMIFS('2.현장'!$AB$2:$AB$1001,'2.현장'!$V$2:$V$1001,B94,'2.현장'!$T$2:$T$1001,TRUE))</f>
        <v/>
      </c>
      <c r="H94" s="5">
        <f>IF(B94="","",_xlfn.MAXIFS('2.현장'!$D$2:$D$1001,'2.현장'!$V$2:$V$1001,B94,'2.현장'!$T$2:$T$1001,TRUE))</f>
        <v/>
      </c>
      <c r="I94" s="7">
        <f>IF(B94="","",IF(_xlfn.MAXIFS('2.현장'!$L$2:$L$1001,'2.현장'!$V$2:$V$1001,B94,'2.현장'!$T$2:$T$1001,TRUE)=0,"",_xlfn.MAXIFS('2.현장'!$L$2:$L$1001,'2.현장'!$V$2:$V$1001,B94,'2.현장'!$T$2:$T$1001,TRUE)))</f>
        <v/>
      </c>
      <c r="J94" s="7">
        <f>IF(B94="","",IF(_xlfn.MAXIFS('2.현장'!$M$2:$M$1001,'2.현장'!$V$2:$V$1001,B94,'2.현장'!$T$2:$T$1001,TRUE)=0,"",_xlfn.MAXIFS('2.현장'!$M$2:$M$1001,'2.현장'!$V$2:$V$1001,B94,'2.현장'!$T$2:$T$1001,TRUE)))</f>
        <v/>
      </c>
      <c r="K94">
        <f>IF(B94="","",IFERROR(INDEX('2.현장'!$C$2:$C$1001,IFERROR(MATCH(B94&amp;"|설계사",'2.현장'!$Z$2:$Z$1001,0),IFERROR(MATCH(B94&amp;"|시공사",'2.현장'!$Z$2:$Z$1001,0),MATCH(B94&amp;"|늦음",'2.현장'!$Z$2:$Z$1001,0)))),""))</f>
        <v/>
      </c>
      <c r="L94">
        <f>IF(B94="","",IFERROR(INDEX('2.현장'!$N$2:$N$1001,IFERROR(MATCH(B94&amp;"|설계사",'2.현장'!$Z$2:$Z$1001,0),IFERROR(MATCH(B94&amp;"|시공사",'2.현장'!$Z$2:$Z$1001,0),MATCH(B94&amp;"|늦음",'2.현장'!$Z$2:$Z$1001,0)))),""))</f>
        <v/>
      </c>
      <c r="M94">
        <f>IF(B94="","",IFERROR(VLOOKUP(B94,업체_메모!$A$3:$I$302,2,FALSE)&amp;"",""))</f>
        <v/>
      </c>
      <c r="N94">
        <f>IF(B94="","",IFERROR(VLOOKUP(B94,업체_메모!$A$3:$I$302,4,FALSE)&amp;"",""))</f>
        <v/>
      </c>
      <c r="O94" s="7">
        <f>IF(B94="","",IF(COUNTIF('4.방문기록'!$B$3:$B$502,B94)=0,"",_xlfn.MAXIFS('4.방문기록'!$A$3:$A$502,'4.방문기록'!$B$3:$B$502,B94)))</f>
        <v/>
      </c>
      <c r="P94">
        <f>IF(O94="","",설정!$B$24-O94)</f>
        <v/>
      </c>
      <c r="Q94" s="7">
        <f>IF(B94="","",IF(_xlfn.MAXIFS('4.방문기록'!$F$3:$F$502,'4.방문기록'!$B$3:$B$502,B94)=0,"",_xlfn.MAXIFS('4.방문기록'!$F$3:$F$502,'4.방문기록'!$B$3:$B$502,B94)))</f>
        <v/>
      </c>
      <c r="R94">
        <f>IF(O94="","",IFERROR(INDEX('4.방문기록'!$H$3:$H$502,MATCH(B94&amp;"|"&amp;(O94*1),'4.방문기록'!$I$3:$I$502,0))&amp;"",""))</f>
        <v/>
      </c>
      <c r="S94">
        <f>IF(B94="","",IF(R94="관심 없음","제외",IF(O94="","안 가봄",IF(P94&gt;=설정!$B$20,P94&amp;"일 지남","최근 방문"))))</f>
        <v/>
      </c>
      <c r="T94" s="8">
        <f>IF(B94="","",IF(S94="제외","",IF(AND(설정!$B$21&lt;&gt;"",L94&lt;&gt;설정!$B$21),"",IF(AND(Q94&lt;&gt;"",Q94&gt;N(O94),Q94&lt;=설정!$B$24+7),설정!$B$39+7-(Q94-설정!$B$24),IF(AND(G94&gt;0,OR(S94="안 가봄",RIGHT(S94,2)="지남")),G94+IF(O94="",설정!$B$36,MIN(P94,60)*설정!$B$37)+MIN(N(H94)/1000*설정!$B$38,20),"")))))</f>
        <v/>
      </c>
      <c r="U94">
        <f>IF(T94="","",COUNTIF(T$4:T$303,"&gt;"&amp;T94)+COUNTIF(T$4:T94,T94))</f>
        <v/>
      </c>
    </row>
    <row r="95">
      <c r="A95">
        <f>IF(B95="","",92)</f>
        <v/>
      </c>
      <c r="B95">
        <f>IFERROR(INDEX('2.현장'!$V$2:$V$1001,MATCH(92,'2.현장'!$W$2:$W$1001,0)),"")</f>
        <v/>
      </c>
      <c r="C95">
        <f>IF(B95="","",COUNTIFS('2.현장'!$V$2:$V$1001,B95,'2.현장'!$T$2:$T$1001,TRUE))</f>
        <v/>
      </c>
      <c r="D95">
        <f>IF(B95="","",COUNTIFS('2.현장'!$V$2:$V$1001,B95,'2.현장'!$U$2:$U$1001,"설계사"))</f>
        <v/>
      </c>
      <c r="E95">
        <f>IF(B95="","",COUNTIFS('2.현장'!$V$2:$V$1001,B95,'2.현장'!$U$2:$U$1001,"시공사"))</f>
        <v/>
      </c>
      <c r="F95">
        <f>IF(B95="","",COUNTIFS('2.현장'!$V$2:$V$1001,B95,'2.현장'!$T$2:$T$1001,TRUE,'2.현장'!$AA$2:$AA$1001,"★"))</f>
        <v/>
      </c>
      <c r="G95" s="6">
        <f>IF(B95="","",SUMIFS('2.현장'!$AB$2:$AB$1001,'2.현장'!$V$2:$V$1001,B95,'2.현장'!$T$2:$T$1001,TRUE))</f>
        <v/>
      </c>
      <c r="H95" s="5">
        <f>IF(B95="","",_xlfn.MAXIFS('2.현장'!$D$2:$D$1001,'2.현장'!$V$2:$V$1001,B95,'2.현장'!$T$2:$T$1001,TRUE))</f>
        <v/>
      </c>
      <c r="I95" s="7">
        <f>IF(B95="","",IF(_xlfn.MAXIFS('2.현장'!$L$2:$L$1001,'2.현장'!$V$2:$V$1001,B95,'2.현장'!$T$2:$T$1001,TRUE)=0,"",_xlfn.MAXIFS('2.현장'!$L$2:$L$1001,'2.현장'!$V$2:$V$1001,B95,'2.현장'!$T$2:$T$1001,TRUE)))</f>
        <v/>
      </c>
      <c r="J95" s="7">
        <f>IF(B95="","",IF(_xlfn.MAXIFS('2.현장'!$M$2:$M$1001,'2.현장'!$V$2:$V$1001,B95,'2.현장'!$T$2:$T$1001,TRUE)=0,"",_xlfn.MAXIFS('2.현장'!$M$2:$M$1001,'2.현장'!$V$2:$V$1001,B95,'2.현장'!$T$2:$T$1001,TRUE)))</f>
        <v/>
      </c>
      <c r="K95">
        <f>IF(B95="","",IFERROR(INDEX('2.현장'!$C$2:$C$1001,IFERROR(MATCH(B95&amp;"|설계사",'2.현장'!$Z$2:$Z$1001,0),IFERROR(MATCH(B95&amp;"|시공사",'2.현장'!$Z$2:$Z$1001,0),MATCH(B95&amp;"|늦음",'2.현장'!$Z$2:$Z$1001,0)))),""))</f>
        <v/>
      </c>
      <c r="L95">
        <f>IF(B95="","",IFERROR(INDEX('2.현장'!$N$2:$N$1001,IFERROR(MATCH(B95&amp;"|설계사",'2.현장'!$Z$2:$Z$1001,0),IFERROR(MATCH(B95&amp;"|시공사",'2.현장'!$Z$2:$Z$1001,0),MATCH(B95&amp;"|늦음",'2.현장'!$Z$2:$Z$1001,0)))),""))</f>
        <v/>
      </c>
      <c r="M95">
        <f>IF(B95="","",IFERROR(VLOOKUP(B95,업체_메모!$A$3:$I$302,2,FALSE)&amp;"",""))</f>
        <v/>
      </c>
      <c r="N95">
        <f>IF(B95="","",IFERROR(VLOOKUP(B95,업체_메모!$A$3:$I$302,4,FALSE)&amp;"",""))</f>
        <v/>
      </c>
      <c r="O95" s="7">
        <f>IF(B95="","",IF(COUNTIF('4.방문기록'!$B$3:$B$502,B95)=0,"",_xlfn.MAXIFS('4.방문기록'!$A$3:$A$502,'4.방문기록'!$B$3:$B$502,B95)))</f>
        <v/>
      </c>
      <c r="P95">
        <f>IF(O95="","",설정!$B$24-O95)</f>
        <v/>
      </c>
      <c r="Q95" s="7">
        <f>IF(B95="","",IF(_xlfn.MAXIFS('4.방문기록'!$F$3:$F$502,'4.방문기록'!$B$3:$B$502,B95)=0,"",_xlfn.MAXIFS('4.방문기록'!$F$3:$F$502,'4.방문기록'!$B$3:$B$502,B95)))</f>
        <v/>
      </c>
      <c r="R95">
        <f>IF(O95="","",IFERROR(INDEX('4.방문기록'!$H$3:$H$502,MATCH(B95&amp;"|"&amp;(O95*1),'4.방문기록'!$I$3:$I$502,0))&amp;"",""))</f>
        <v/>
      </c>
      <c r="S95">
        <f>IF(B95="","",IF(R95="관심 없음","제외",IF(O95="","안 가봄",IF(P95&gt;=설정!$B$20,P95&amp;"일 지남","최근 방문"))))</f>
        <v/>
      </c>
      <c r="T95" s="8">
        <f>IF(B95="","",IF(S95="제외","",IF(AND(설정!$B$21&lt;&gt;"",L95&lt;&gt;설정!$B$21),"",IF(AND(Q95&lt;&gt;"",Q95&gt;N(O95),Q95&lt;=설정!$B$24+7),설정!$B$39+7-(Q95-설정!$B$24),IF(AND(G95&gt;0,OR(S95="안 가봄",RIGHT(S95,2)="지남")),G95+IF(O95="",설정!$B$36,MIN(P95,60)*설정!$B$37)+MIN(N(H95)/1000*설정!$B$38,20),"")))))</f>
        <v/>
      </c>
      <c r="U95">
        <f>IF(T95="","",COUNTIF(T$4:T$303,"&gt;"&amp;T95)+COUNTIF(T$4:T95,T95))</f>
        <v/>
      </c>
    </row>
    <row r="96">
      <c r="A96">
        <f>IF(B96="","",93)</f>
        <v/>
      </c>
      <c r="B96">
        <f>IFERROR(INDEX('2.현장'!$V$2:$V$1001,MATCH(93,'2.현장'!$W$2:$W$1001,0)),"")</f>
        <v/>
      </c>
      <c r="C96">
        <f>IF(B96="","",COUNTIFS('2.현장'!$V$2:$V$1001,B96,'2.현장'!$T$2:$T$1001,TRUE))</f>
        <v/>
      </c>
      <c r="D96">
        <f>IF(B96="","",COUNTIFS('2.현장'!$V$2:$V$1001,B96,'2.현장'!$U$2:$U$1001,"설계사"))</f>
        <v/>
      </c>
      <c r="E96">
        <f>IF(B96="","",COUNTIFS('2.현장'!$V$2:$V$1001,B96,'2.현장'!$U$2:$U$1001,"시공사"))</f>
        <v/>
      </c>
      <c r="F96">
        <f>IF(B96="","",COUNTIFS('2.현장'!$V$2:$V$1001,B96,'2.현장'!$T$2:$T$1001,TRUE,'2.현장'!$AA$2:$AA$1001,"★"))</f>
        <v/>
      </c>
      <c r="G96" s="6">
        <f>IF(B96="","",SUMIFS('2.현장'!$AB$2:$AB$1001,'2.현장'!$V$2:$V$1001,B96,'2.현장'!$T$2:$T$1001,TRUE))</f>
        <v/>
      </c>
      <c r="H96" s="5">
        <f>IF(B96="","",_xlfn.MAXIFS('2.현장'!$D$2:$D$1001,'2.현장'!$V$2:$V$1001,B96,'2.현장'!$T$2:$T$1001,TRUE))</f>
        <v/>
      </c>
      <c r="I96" s="7">
        <f>IF(B96="","",IF(_xlfn.MAXIFS('2.현장'!$L$2:$L$1001,'2.현장'!$V$2:$V$1001,B96,'2.현장'!$T$2:$T$1001,TRUE)=0,"",_xlfn.MAXIFS('2.현장'!$L$2:$L$1001,'2.현장'!$V$2:$V$1001,B96,'2.현장'!$T$2:$T$1001,TRUE)))</f>
        <v/>
      </c>
      <c r="J96" s="7">
        <f>IF(B96="","",IF(_xlfn.MAXIFS('2.현장'!$M$2:$M$1001,'2.현장'!$V$2:$V$1001,B96,'2.현장'!$T$2:$T$1001,TRUE)=0,"",_xlfn.MAXIFS('2.현장'!$M$2:$M$1001,'2.현장'!$V$2:$V$1001,B96,'2.현장'!$T$2:$T$1001,TRUE)))</f>
        <v/>
      </c>
      <c r="K96">
        <f>IF(B96="","",IFERROR(INDEX('2.현장'!$C$2:$C$1001,IFERROR(MATCH(B96&amp;"|설계사",'2.현장'!$Z$2:$Z$1001,0),IFERROR(MATCH(B96&amp;"|시공사",'2.현장'!$Z$2:$Z$1001,0),MATCH(B96&amp;"|늦음",'2.현장'!$Z$2:$Z$1001,0)))),""))</f>
        <v/>
      </c>
      <c r="L96">
        <f>IF(B96="","",IFERROR(INDEX('2.현장'!$N$2:$N$1001,IFERROR(MATCH(B96&amp;"|설계사",'2.현장'!$Z$2:$Z$1001,0),IFERROR(MATCH(B96&amp;"|시공사",'2.현장'!$Z$2:$Z$1001,0),MATCH(B96&amp;"|늦음",'2.현장'!$Z$2:$Z$1001,0)))),""))</f>
        <v/>
      </c>
      <c r="M96">
        <f>IF(B96="","",IFERROR(VLOOKUP(B96,업체_메모!$A$3:$I$302,2,FALSE)&amp;"",""))</f>
        <v/>
      </c>
      <c r="N96">
        <f>IF(B96="","",IFERROR(VLOOKUP(B96,업체_메모!$A$3:$I$302,4,FALSE)&amp;"",""))</f>
        <v/>
      </c>
      <c r="O96" s="7">
        <f>IF(B96="","",IF(COUNTIF('4.방문기록'!$B$3:$B$502,B96)=0,"",_xlfn.MAXIFS('4.방문기록'!$A$3:$A$502,'4.방문기록'!$B$3:$B$502,B96)))</f>
        <v/>
      </c>
      <c r="P96">
        <f>IF(O96="","",설정!$B$24-O96)</f>
        <v/>
      </c>
      <c r="Q96" s="7">
        <f>IF(B96="","",IF(_xlfn.MAXIFS('4.방문기록'!$F$3:$F$502,'4.방문기록'!$B$3:$B$502,B96)=0,"",_xlfn.MAXIFS('4.방문기록'!$F$3:$F$502,'4.방문기록'!$B$3:$B$502,B96)))</f>
        <v/>
      </c>
      <c r="R96">
        <f>IF(O96="","",IFERROR(INDEX('4.방문기록'!$H$3:$H$502,MATCH(B96&amp;"|"&amp;(O96*1),'4.방문기록'!$I$3:$I$502,0))&amp;"",""))</f>
        <v/>
      </c>
      <c r="S96">
        <f>IF(B96="","",IF(R96="관심 없음","제외",IF(O96="","안 가봄",IF(P96&gt;=설정!$B$20,P96&amp;"일 지남","최근 방문"))))</f>
        <v/>
      </c>
      <c r="T96" s="8">
        <f>IF(B96="","",IF(S96="제외","",IF(AND(설정!$B$21&lt;&gt;"",L96&lt;&gt;설정!$B$21),"",IF(AND(Q96&lt;&gt;"",Q96&gt;N(O96),Q96&lt;=설정!$B$24+7),설정!$B$39+7-(Q96-설정!$B$24),IF(AND(G96&gt;0,OR(S96="안 가봄",RIGHT(S96,2)="지남")),G96+IF(O96="",설정!$B$36,MIN(P96,60)*설정!$B$37)+MIN(N(H96)/1000*설정!$B$38,20),"")))))</f>
        <v/>
      </c>
      <c r="U96">
        <f>IF(T96="","",COUNTIF(T$4:T$303,"&gt;"&amp;T96)+COUNTIF(T$4:T96,T96))</f>
        <v/>
      </c>
    </row>
    <row r="97">
      <c r="A97">
        <f>IF(B97="","",94)</f>
        <v/>
      </c>
      <c r="B97">
        <f>IFERROR(INDEX('2.현장'!$V$2:$V$1001,MATCH(94,'2.현장'!$W$2:$W$1001,0)),"")</f>
        <v/>
      </c>
      <c r="C97">
        <f>IF(B97="","",COUNTIFS('2.현장'!$V$2:$V$1001,B97,'2.현장'!$T$2:$T$1001,TRUE))</f>
        <v/>
      </c>
      <c r="D97">
        <f>IF(B97="","",COUNTIFS('2.현장'!$V$2:$V$1001,B97,'2.현장'!$U$2:$U$1001,"설계사"))</f>
        <v/>
      </c>
      <c r="E97">
        <f>IF(B97="","",COUNTIFS('2.현장'!$V$2:$V$1001,B97,'2.현장'!$U$2:$U$1001,"시공사"))</f>
        <v/>
      </c>
      <c r="F97">
        <f>IF(B97="","",COUNTIFS('2.현장'!$V$2:$V$1001,B97,'2.현장'!$T$2:$T$1001,TRUE,'2.현장'!$AA$2:$AA$1001,"★"))</f>
        <v/>
      </c>
      <c r="G97" s="6">
        <f>IF(B97="","",SUMIFS('2.현장'!$AB$2:$AB$1001,'2.현장'!$V$2:$V$1001,B97,'2.현장'!$T$2:$T$1001,TRUE))</f>
        <v/>
      </c>
      <c r="H97" s="5">
        <f>IF(B97="","",_xlfn.MAXIFS('2.현장'!$D$2:$D$1001,'2.현장'!$V$2:$V$1001,B97,'2.현장'!$T$2:$T$1001,TRUE))</f>
        <v/>
      </c>
      <c r="I97" s="7">
        <f>IF(B97="","",IF(_xlfn.MAXIFS('2.현장'!$L$2:$L$1001,'2.현장'!$V$2:$V$1001,B97,'2.현장'!$T$2:$T$1001,TRUE)=0,"",_xlfn.MAXIFS('2.현장'!$L$2:$L$1001,'2.현장'!$V$2:$V$1001,B97,'2.현장'!$T$2:$T$1001,TRUE)))</f>
        <v/>
      </c>
      <c r="J97" s="7">
        <f>IF(B97="","",IF(_xlfn.MAXIFS('2.현장'!$M$2:$M$1001,'2.현장'!$V$2:$V$1001,B97,'2.현장'!$T$2:$T$1001,TRUE)=0,"",_xlfn.MAXIFS('2.현장'!$M$2:$M$1001,'2.현장'!$V$2:$V$1001,B97,'2.현장'!$T$2:$T$1001,TRUE)))</f>
        <v/>
      </c>
      <c r="K97">
        <f>IF(B97="","",IFERROR(INDEX('2.현장'!$C$2:$C$1001,IFERROR(MATCH(B97&amp;"|설계사",'2.현장'!$Z$2:$Z$1001,0),IFERROR(MATCH(B97&amp;"|시공사",'2.현장'!$Z$2:$Z$1001,0),MATCH(B97&amp;"|늦음",'2.현장'!$Z$2:$Z$1001,0)))),""))</f>
        <v/>
      </c>
      <c r="L97">
        <f>IF(B97="","",IFERROR(INDEX('2.현장'!$N$2:$N$1001,IFERROR(MATCH(B97&amp;"|설계사",'2.현장'!$Z$2:$Z$1001,0),IFERROR(MATCH(B97&amp;"|시공사",'2.현장'!$Z$2:$Z$1001,0),MATCH(B97&amp;"|늦음",'2.현장'!$Z$2:$Z$1001,0)))),""))</f>
        <v/>
      </c>
      <c r="M97">
        <f>IF(B97="","",IFERROR(VLOOKUP(B97,업체_메모!$A$3:$I$302,2,FALSE)&amp;"",""))</f>
        <v/>
      </c>
      <c r="N97">
        <f>IF(B97="","",IFERROR(VLOOKUP(B97,업체_메모!$A$3:$I$302,4,FALSE)&amp;"",""))</f>
        <v/>
      </c>
      <c r="O97" s="7">
        <f>IF(B97="","",IF(COUNTIF('4.방문기록'!$B$3:$B$502,B97)=0,"",_xlfn.MAXIFS('4.방문기록'!$A$3:$A$502,'4.방문기록'!$B$3:$B$502,B97)))</f>
        <v/>
      </c>
      <c r="P97">
        <f>IF(O97="","",설정!$B$24-O97)</f>
        <v/>
      </c>
      <c r="Q97" s="7">
        <f>IF(B97="","",IF(_xlfn.MAXIFS('4.방문기록'!$F$3:$F$502,'4.방문기록'!$B$3:$B$502,B97)=0,"",_xlfn.MAXIFS('4.방문기록'!$F$3:$F$502,'4.방문기록'!$B$3:$B$502,B97)))</f>
        <v/>
      </c>
      <c r="R97">
        <f>IF(O97="","",IFERROR(INDEX('4.방문기록'!$H$3:$H$502,MATCH(B97&amp;"|"&amp;(O97*1),'4.방문기록'!$I$3:$I$502,0))&amp;"",""))</f>
        <v/>
      </c>
      <c r="S97">
        <f>IF(B97="","",IF(R97="관심 없음","제외",IF(O97="","안 가봄",IF(P97&gt;=설정!$B$20,P97&amp;"일 지남","최근 방문"))))</f>
        <v/>
      </c>
      <c r="T97" s="8">
        <f>IF(B97="","",IF(S97="제외","",IF(AND(설정!$B$21&lt;&gt;"",L97&lt;&gt;설정!$B$21),"",IF(AND(Q97&lt;&gt;"",Q97&gt;N(O97),Q97&lt;=설정!$B$24+7),설정!$B$39+7-(Q97-설정!$B$24),IF(AND(G97&gt;0,OR(S97="안 가봄",RIGHT(S97,2)="지남")),G97+IF(O97="",설정!$B$36,MIN(P97,60)*설정!$B$37)+MIN(N(H97)/1000*설정!$B$38,20),"")))))</f>
        <v/>
      </c>
      <c r="U97">
        <f>IF(T97="","",COUNTIF(T$4:T$303,"&gt;"&amp;T97)+COUNTIF(T$4:T97,T97))</f>
        <v/>
      </c>
    </row>
    <row r="98">
      <c r="A98">
        <f>IF(B98="","",95)</f>
        <v/>
      </c>
      <c r="B98">
        <f>IFERROR(INDEX('2.현장'!$V$2:$V$1001,MATCH(95,'2.현장'!$W$2:$W$1001,0)),"")</f>
        <v/>
      </c>
      <c r="C98">
        <f>IF(B98="","",COUNTIFS('2.현장'!$V$2:$V$1001,B98,'2.현장'!$T$2:$T$1001,TRUE))</f>
        <v/>
      </c>
      <c r="D98">
        <f>IF(B98="","",COUNTIFS('2.현장'!$V$2:$V$1001,B98,'2.현장'!$U$2:$U$1001,"설계사"))</f>
        <v/>
      </c>
      <c r="E98">
        <f>IF(B98="","",COUNTIFS('2.현장'!$V$2:$V$1001,B98,'2.현장'!$U$2:$U$1001,"시공사"))</f>
        <v/>
      </c>
      <c r="F98">
        <f>IF(B98="","",COUNTIFS('2.현장'!$V$2:$V$1001,B98,'2.현장'!$T$2:$T$1001,TRUE,'2.현장'!$AA$2:$AA$1001,"★"))</f>
        <v/>
      </c>
      <c r="G98" s="6">
        <f>IF(B98="","",SUMIFS('2.현장'!$AB$2:$AB$1001,'2.현장'!$V$2:$V$1001,B98,'2.현장'!$T$2:$T$1001,TRUE))</f>
        <v/>
      </c>
      <c r="H98" s="5">
        <f>IF(B98="","",_xlfn.MAXIFS('2.현장'!$D$2:$D$1001,'2.현장'!$V$2:$V$1001,B98,'2.현장'!$T$2:$T$1001,TRUE))</f>
        <v/>
      </c>
      <c r="I98" s="7">
        <f>IF(B98="","",IF(_xlfn.MAXIFS('2.현장'!$L$2:$L$1001,'2.현장'!$V$2:$V$1001,B98,'2.현장'!$T$2:$T$1001,TRUE)=0,"",_xlfn.MAXIFS('2.현장'!$L$2:$L$1001,'2.현장'!$V$2:$V$1001,B98,'2.현장'!$T$2:$T$1001,TRUE)))</f>
        <v/>
      </c>
      <c r="J98" s="7">
        <f>IF(B98="","",IF(_xlfn.MAXIFS('2.현장'!$M$2:$M$1001,'2.현장'!$V$2:$V$1001,B98,'2.현장'!$T$2:$T$1001,TRUE)=0,"",_xlfn.MAXIFS('2.현장'!$M$2:$M$1001,'2.현장'!$V$2:$V$1001,B98,'2.현장'!$T$2:$T$1001,TRUE)))</f>
        <v/>
      </c>
      <c r="K98">
        <f>IF(B98="","",IFERROR(INDEX('2.현장'!$C$2:$C$1001,IFERROR(MATCH(B98&amp;"|설계사",'2.현장'!$Z$2:$Z$1001,0),IFERROR(MATCH(B98&amp;"|시공사",'2.현장'!$Z$2:$Z$1001,0),MATCH(B98&amp;"|늦음",'2.현장'!$Z$2:$Z$1001,0)))),""))</f>
        <v/>
      </c>
      <c r="L98">
        <f>IF(B98="","",IFERROR(INDEX('2.현장'!$N$2:$N$1001,IFERROR(MATCH(B98&amp;"|설계사",'2.현장'!$Z$2:$Z$1001,0),IFERROR(MATCH(B98&amp;"|시공사",'2.현장'!$Z$2:$Z$1001,0),MATCH(B98&amp;"|늦음",'2.현장'!$Z$2:$Z$1001,0)))),""))</f>
        <v/>
      </c>
      <c r="M98">
        <f>IF(B98="","",IFERROR(VLOOKUP(B98,업체_메모!$A$3:$I$302,2,FALSE)&amp;"",""))</f>
        <v/>
      </c>
      <c r="N98">
        <f>IF(B98="","",IFERROR(VLOOKUP(B98,업체_메모!$A$3:$I$302,4,FALSE)&amp;"",""))</f>
        <v/>
      </c>
      <c r="O98" s="7">
        <f>IF(B98="","",IF(COUNTIF('4.방문기록'!$B$3:$B$502,B98)=0,"",_xlfn.MAXIFS('4.방문기록'!$A$3:$A$502,'4.방문기록'!$B$3:$B$502,B98)))</f>
        <v/>
      </c>
      <c r="P98">
        <f>IF(O98="","",설정!$B$24-O98)</f>
        <v/>
      </c>
      <c r="Q98" s="7">
        <f>IF(B98="","",IF(_xlfn.MAXIFS('4.방문기록'!$F$3:$F$502,'4.방문기록'!$B$3:$B$502,B98)=0,"",_xlfn.MAXIFS('4.방문기록'!$F$3:$F$502,'4.방문기록'!$B$3:$B$502,B98)))</f>
        <v/>
      </c>
      <c r="R98">
        <f>IF(O98="","",IFERROR(INDEX('4.방문기록'!$H$3:$H$502,MATCH(B98&amp;"|"&amp;(O98*1),'4.방문기록'!$I$3:$I$502,0))&amp;"",""))</f>
        <v/>
      </c>
      <c r="S98">
        <f>IF(B98="","",IF(R98="관심 없음","제외",IF(O98="","안 가봄",IF(P98&gt;=설정!$B$20,P98&amp;"일 지남","최근 방문"))))</f>
        <v/>
      </c>
      <c r="T98" s="8">
        <f>IF(B98="","",IF(S98="제외","",IF(AND(설정!$B$21&lt;&gt;"",L98&lt;&gt;설정!$B$21),"",IF(AND(Q98&lt;&gt;"",Q98&gt;N(O98),Q98&lt;=설정!$B$24+7),설정!$B$39+7-(Q98-설정!$B$24),IF(AND(G98&gt;0,OR(S98="안 가봄",RIGHT(S98,2)="지남")),G98+IF(O98="",설정!$B$36,MIN(P98,60)*설정!$B$37)+MIN(N(H98)/1000*설정!$B$38,20),"")))))</f>
        <v/>
      </c>
      <c r="U98">
        <f>IF(T98="","",COUNTIF(T$4:T$303,"&gt;"&amp;T98)+COUNTIF(T$4:T98,T98))</f>
        <v/>
      </c>
    </row>
    <row r="99">
      <c r="A99">
        <f>IF(B99="","",96)</f>
        <v/>
      </c>
      <c r="B99">
        <f>IFERROR(INDEX('2.현장'!$V$2:$V$1001,MATCH(96,'2.현장'!$W$2:$W$1001,0)),"")</f>
        <v/>
      </c>
      <c r="C99">
        <f>IF(B99="","",COUNTIFS('2.현장'!$V$2:$V$1001,B99,'2.현장'!$T$2:$T$1001,TRUE))</f>
        <v/>
      </c>
      <c r="D99">
        <f>IF(B99="","",COUNTIFS('2.현장'!$V$2:$V$1001,B99,'2.현장'!$U$2:$U$1001,"설계사"))</f>
        <v/>
      </c>
      <c r="E99">
        <f>IF(B99="","",COUNTIFS('2.현장'!$V$2:$V$1001,B99,'2.현장'!$U$2:$U$1001,"시공사"))</f>
        <v/>
      </c>
      <c r="F99">
        <f>IF(B99="","",COUNTIFS('2.현장'!$V$2:$V$1001,B99,'2.현장'!$T$2:$T$1001,TRUE,'2.현장'!$AA$2:$AA$1001,"★"))</f>
        <v/>
      </c>
      <c r="G99" s="6">
        <f>IF(B99="","",SUMIFS('2.현장'!$AB$2:$AB$1001,'2.현장'!$V$2:$V$1001,B99,'2.현장'!$T$2:$T$1001,TRUE))</f>
        <v/>
      </c>
      <c r="H99" s="5">
        <f>IF(B99="","",_xlfn.MAXIFS('2.현장'!$D$2:$D$1001,'2.현장'!$V$2:$V$1001,B99,'2.현장'!$T$2:$T$1001,TRUE))</f>
        <v/>
      </c>
      <c r="I99" s="7">
        <f>IF(B99="","",IF(_xlfn.MAXIFS('2.현장'!$L$2:$L$1001,'2.현장'!$V$2:$V$1001,B99,'2.현장'!$T$2:$T$1001,TRUE)=0,"",_xlfn.MAXIFS('2.현장'!$L$2:$L$1001,'2.현장'!$V$2:$V$1001,B99,'2.현장'!$T$2:$T$1001,TRUE)))</f>
        <v/>
      </c>
      <c r="J99" s="7">
        <f>IF(B99="","",IF(_xlfn.MAXIFS('2.현장'!$M$2:$M$1001,'2.현장'!$V$2:$V$1001,B99,'2.현장'!$T$2:$T$1001,TRUE)=0,"",_xlfn.MAXIFS('2.현장'!$M$2:$M$1001,'2.현장'!$V$2:$V$1001,B99,'2.현장'!$T$2:$T$1001,TRUE)))</f>
        <v/>
      </c>
      <c r="K99">
        <f>IF(B99="","",IFERROR(INDEX('2.현장'!$C$2:$C$1001,IFERROR(MATCH(B99&amp;"|설계사",'2.현장'!$Z$2:$Z$1001,0),IFERROR(MATCH(B99&amp;"|시공사",'2.현장'!$Z$2:$Z$1001,0),MATCH(B99&amp;"|늦음",'2.현장'!$Z$2:$Z$1001,0)))),""))</f>
        <v/>
      </c>
      <c r="L99">
        <f>IF(B99="","",IFERROR(INDEX('2.현장'!$N$2:$N$1001,IFERROR(MATCH(B99&amp;"|설계사",'2.현장'!$Z$2:$Z$1001,0),IFERROR(MATCH(B99&amp;"|시공사",'2.현장'!$Z$2:$Z$1001,0),MATCH(B99&amp;"|늦음",'2.현장'!$Z$2:$Z$1001,0)))),""))</f>
        <v/>
      </c>
      <c r="M99">
        <f>IF(B99="","",IFERROR(VLOOKUP(B99,업체_메모!$A$3:$I$302,2,FALSE)&amp;"",""))</f>
        <v/>
      </c>
      <c r="N99">
        <f>IF(B99="","",IFERROR(VLOOKUP(B99,업체_메모!$A$3:$I$302,4,FALSE)&amp;"",""))</f>
        <v/>
      </c>
      <c r="O99" s="7">
        <f>IF(B99="","",IF(COUNTIF('4.방문기록'!$B$3:$B$502,B99)=0,"",_xlfn.MAXIFS('4.방문기록'!$A$3:$A$502,'4.방문기록'!$B$3:$B$502,B99)))</f>
        <v/>
      </c>
      <c r="P99">
        <f>IF(O99="","",설정!$B$24-O99)</f>
        <v/>
      </c>
      <c r="Q99" s="7">
        <f>IF(B99="","",IF(_xlfn.MAXIFS('4.방문기록'!$F$3:$F$502,'4.방문기록'!$B$3:$B$502,B99)=0,"",_xlfn.MAXIFS('4.방문기록'!$F$3:$F$502,'4.방문기록'!$B$3:$B$502,B99)))</f>
        <v/>
      </c>
      <c r="R99">
        <f>IF(O99="","",IFERROR(INDEX('4.방문기록'!$H$3:$H$502,MATCH(B99&amp;"|"&amp;(O99*1),'4.방문기록'!$I$3:$I$502,0))&amp;"",""))</f>
        <v/>
      </c>
      <c r="S99">
        <f>IF(B99="","",IF(R99="관심 없음","제외",IF(O99="","안 가봄",IF(P99&gt;=설정!$B$20,P99&amp;"일 지남","최근 방문"))))</f>
        <v/>
      </c>
      <c r="T99" s="8">
        <f>IF(B99="","",IF(S99="제외","",IF(AND(설정!$B$21&lt;&gt;"",L99&lt;&gt;설정!$B$21),"",IF(AND(Q99&lt;&gt;"",Q99&gt;N(O99),Q99&lt;=설정!$B$24+7),설정!$B$39+7-(Q99-설정!$B$24),IF(AND(G99&gt;0,OR(S99="안 가봄",RIGHT(S99,2)="지남")),G99+IF(O99="",설정!$B$36,MIN(P99,60)*설정!$B$37)+MIN(N(H99)/1000*설정!$B$38,20),"")))))</f>
        <v/>
      </c>
      <c r="U99">
        <f>IF(T99="","",COUNTIF(T$4:T$303,"&gt;"&amp;T99)+COUNTIF(T$4:T99,T99))</f>
        <v/>
      </c>
    </row>
    <row r="100">
      <c r="A100">
        <f>IF(B100="","",97)</f>
        <v/>
      </c>
      <c r="B100">
        <f>IFERROR(INDEX('2.현장'!$V$2:$V$1001,MATCH(97,'2.현장'!$W$2:$W$1001,0)),"")</f>
        <v/>
      </c>
      <c r="C100">
        <f>IF(B100="","",COUNTIFS('2.현장'!$V$2:$V$1001,B100,'2.현장'!$T$2:$T$1001,TRUE))</f>
        <v/>
      </c>
      <c r="D100">
        <f>IF(B100="","",COUNTIFS('2.현장'!$V$2:$V$1001,B100,'2.현장'!$U$2:$U$1001,"설계사"))</f>
        <v/>
      </c>
      <c r="E100">
        <f>IF(B100="","",COUNTIFS('2.현장'!$V$2:$V$1001,B100,'2.현장'!$U$2:$U$1001,"시공사"))</f>
        <v/>
      </c>
      <c r="F100">
        <f>IF(B100="","",COUNTIFS('2.현장'!$V$2:$V$1001,B100,'2.현장'!$T$2:$T$1001,TRUE,'2.현장'!$AA$2:$AA$1001,"★"))</f>
        <v/>
      </c>
      <c r="G100" s="6">
        <f>IF(B100="","",SUMIFS('2.현장'!$AB$2:$AB$1001,'2.현장'!$V$2:$V$1001,B100,'2.현장'!$T$2:$T$1001,TRUE))</f>
        <v/>
      </c>
      <c r="H100" s="5">
        <f>IF(B100="","",_xlfn.MAXIFS('2.현장'!$D$2:$D$1001,'2.현장'!$V$2:$V$1001,B100,'2.현장'!$T$2:$T$1001,TRUE))</f>
        <v/>
      </c>
      <c r="I100" s="7">
        <f>IF(B100="","",IF(_xlfn.MAXIFS('2.현장'!$L$2:$L$1001,'2.현장'!$V$2:$V$1001,B100,'2.현장'!$T$2:$T$1001,TRUE)=0,"",_xlfn.MAXIFS('2.현장'!$L$2:$L$1001,'2.현장'!$V$2:$V$1001,B100,'2.현장'!$T$2:$T$1001,TRUE)))</f>
        <v/>
      </c>
      <c r="J100" s="7">
        <f>IF(B100="","",IF(_xlfn.MAXIFS('2.현장'!$M$2:$M$1001,'2.현장'!$V$2:$V$1001,B100,'2.현장'!$T$2:$T$1001,TRUE)=0,"",_xlfn.MAXIFS('2.현장'!$M$2:$M$1001,'2.현장'!$V$2:$V$1001,B100,'2.현장'!$T$2:$T$1001,TRUE)))</f>
        <v/>
      </c>
      <c r="K100">
        <f>IF(B100="","",IFERROR(INDEX('2.현장'!$C$2:$C$1001,IFERROR(MATCH(B100&amp;"|설계사",'2.현장'!$Z$2:$Z$1001,0),IFERROR(MATCH(B100&amp;"|시공사",'2.현장'!$Z$2:$Z$1001,0),MATCH(B100&amp;"|늦음",'2.현장'!$Z$2:$Z$1001,0)))),""))</f>
        <v/>
      </c>
      <c r="L100">
        <f>IF(B100="","",IFERROR(INDEX('2.현장'!$N$2:$N$1001,IFERROR(MATCH(B100&amp;"|설계사",'2.현장'!$Z$2:$Z$1001,0),IFERROR(MATCH(B100&amp;"|시공사",'2.현장'!$Z$2:$Z$1001,0),MATCH(B100&amp;"|늦음",'2.현장'!$Z$2:$Z$1001,0)))),""))</f>
        <v/>
      </c>
      <c r="M100">
        <f>IF(B100="","",IFERROR(VLOOKUP(B100,업체_메모!$A$3:$I$302,2,FALSE)&amp;"",""))</f>
        <v/>
      </c>
      <c r="N100">
        <f>IF(B100="","",IFERROR(VLOOKUP(B100,업체_메모!$A$3:$I$302,4,FALSE)&amp;"",""))</f>
        <v/>
      </c>
      <c r="O100" s="7">
        <f>IF(B100="","",IF(COUNTIF('4.방문기록'!$B$3:$B$502,B100)=0,"",_xlfn.MAXIFS('4.방문기록'!$A$3:$A$502,'4.방문기록'!$B$3:$B$502,B100)))</f>
        <v/>
      </c>
      <c r="P100">
        <f>IF(O100="","",설정!$B$24-O100)</f>
        <v/>
      </c>
      <c r="Q100" s="7">
        <f>IF(B100="","",IF(_xlfn.MAXIFS('4.방문기록'!$F$3:$F$502,'4.방문기록'!$B$3:$B$502,B100)=0,"",_xlfn.MAXIFS('4.방문기록'!$F$3:$F$502,'4.방문기록'!$B$3:$B$502,B100)))</f>
        <v/>
      </c>
      <c r="R100">
        <f>IF(O100="","",IFERROR(INDEX('4.방문기록'!$H$3:$H$502,MATCH(B100&amp;"|"&amp;(O100*1),'4.방문기록'!$I$3:$I$502,0))&amp;"",""))</f>
        <v/>
      </c>
      <c r="S100">
        <f>IF(B100="","",IF(R100="관심 없음","제외",IF(O100="","안 가봄",IF(P100&gt;=설정!$B$20,P100&amp;"일 지남","최근 방문"))))</f>
        <v/>
      </c>
      <c r="T100" s="8">
        <f>IF(B100="","",IF(S100="제외","",IF(AND(설정!$B$21&lt;&gt;"",L100&lt;&gt;설정!$B$21),"",IF(AND(Q100&lt;&gt;"",Q100&gt;N(O100),Q100&lt;=설정!$B$24+7),설정!$B$39+7-(Q100-설정!$B$24),IF(AND(G100&gt;0,OR(S100="안 가봄",RIGHT(S100,2)="지남")),G100+IF(O100="",설정!$B$36,MIN(P100,60)*설정!$B$37)+MIN(N(H100)/1000*설정!$B$38,20),"")))))</f>
        <v/>
      </c>
      <c r="U100">
        <f>IF(T100="","",COUNTIF(T$4:T$303,"&gt;"&amp;T100)+COUNTIF(T$4:T100,T100))</f>
        <v/>
      </c>
    </row>
    <row r="101">
      <c r="A101">
        <f>IF(B101="","",98)</f>
        <v/>
      </c>
      <c r="B101">
        <f>IFERROR(INDEX('2.현장'!$V$2:$V$1001,MATCH(98,'2.현장'!$W$2:$W$1001,0)),"")</f>
        <v/>
      </c>
      <c r="C101">
        <f>IF(B101="","",COUNTIFS('2.현장'!$V$2:$V$1001,B101,'2.현장'!$T$2:$T$1001,TRUE))</f>
        <v/>
      </c>
      <c r="D101">
        <f>IF(B101="","",COUNTIFS('2.현장'!$V$2:$V$1001,B101,'2.현장'!$U$2:$U$1001,"설계사"))</f>
        <v/>
      </c>
      <c r="E101">
        <f>IF(B101="","",COUNTIFS('2.현장'!$V$2:$V$1001,B101,'2.현장'!$U$2:$U$1001,"시공사"))</f>
        <v/>
      </c>
      <c r="F101">
        <f>IF(B101="","",COUNTIFS('2.현장'!$V$2:$V$1001,B101,'2.현장'!$T$2:$T$1001,TRUE,'2.현장'!$AA$2:$AA$1001,"★"))</f>
        <v/>
      </c>
      <c r="G101" s="6">
        <f>IF(B101="","",SUMIFS('2.현장'!$AB$2:$AB$1001,'2.현장'!$V$2:$V$1001,B101,'2.현장'!$T$2:$T$1001,TRUE))</f>
        <v/>
      </c>
      <c r="H101" s="5">
        <f>IF(B101="","",_xlfn.MAXIFS('2.현장'!$D$2:$D$1001,'2.현장'!$V$2:$V$1001,B101,'2.현장'!$T$2:$T$1001,TRUE))</f>
        <v/>
      </c>
      <c r="I101" s="7">
        <f>IF(B101="","",IF(_xlfn.MAXIFS('2.현장'!$L$2:$L$1001,'2.현장'!$V$2:$V$1001,B101,'2.현장'!$T$2:$T$1001,TRUE)=0,"",_xlfn.MAXIFS('2.현장'!$L$2:$L$1001,'2.현장'!$V$2:$V$1001,B101,'2.현장'!$T$2:$T$1001,TRUE)))</f>
        <v/>
      </c>
      <c r="J101" s="7">
        <f>IF(B101="","",IF(_xlfn.MAXIFS('2.현장'!$M$2:$M$1001,'2.현장'!$V$2:$V$1001,B101,'2.현장'!$T$2:$T$1001,TRUE)=0,"",_xlfn.MAXIFS('2.현장'!$M$2:$M$1001,'2.현장'!$V$2:$V$1001,B101,'2.현장'!$T$2:$T$1001,TRUE)))</f>
        <v/>
      </c>
      <c r="K101">
        <f>IF(B101="","",IFERROR(INDEX('2.현장'!$C$2:$C$1001,IFERROR(MATCH(B101&amp;"|설계사",'2.현장'!$Z$2:$Z$1001,0),IFERROR(MATCH(B101&amp;"|시공사",'2.현장'!$Z$2:$Z$1001,0),MATCH(B101&amp;"|늦음",'2.현장'!$Z$2:$Z$1001,0)))),""))</f>
        <v/>
      </c>
      <c r="L101">
        <f>IF(B101="","",IFERROR(INDEX('2.현장'!$N$2:$N$1001,IFERROR(MATCH(B101&amp;"|설계사",'2.현장'!$Z$2:$Z$1001,0),IFERROR(MATCH(B101&amp;"|시공사",'2.현장'!$Z$2:$Z$1001,0),MATCH(B101&amp;"|늦음",'2.현장'!$Z$2:$Z$1001,0)))),""))</f>
        <v/>
      </c>
      <c r="M101">
        <f>IF(B101="","",IFERROR(VLOOKUP(B101,업체_메모!$A$3:$I$302,2,FALSE)&amp;"",""))</f>
        <v/>
      </c>
      <c r="N101">
        <f>IF(B101="","",IFERROR(VLOOKUP(B101,업체_메모!$A$3:$I$302,4,FALSE)&amp;"",""))</f>
        <v/>
      </c>
      <c r="O101" s="7">
        <f>IF(B101="","",IF(COUNTIF('4.방문기록'!$B$3:$B$502,B101)=0,"",_xlfn.MAXIFS('4.방문기록'!$A$3:$A$502,'4.방문기록'!$B$3:$B$502,B101)))</f>
        <v/>
      </c>
      <c r="P101">
        <f>IF(O101="","",설정!$B$24-O101)</f>
        <v/>
      </c>
      <c r="Q101" s="7">
        <f>IF(B101="","",IF(_xlfn.MAXIFS('4.방문기록'!$F$3:$F$502,'4.방문기록'!$B$3:$B$502,B101)=0,"",_xlfn.MAXIFS('4.방문기록'!$F$3:$F$502,'4.방문기록'!$B$3:$B$502,B101)))</f>
        <v/>
      </c>
      <c r="R101">
        <f>IF(O101="","",IFERROR(INDEX('4.방문기록'!$H$3:$H$502,MATCH(B101&amp;"|"&amp;(O101*1),'4.방문기록'!$I$3:$I$502,0))&amp;"",""))</f>
        <v/>
      </c>
      <c r="S101">
        <f>IF(B101="","",IF(R101="관심 없음","제외",IF(O101="","안 가봄",IF(P101&gt;=설정!$B$20,P101&amp;"일 지남","최근 방문"))))</f>
        <v/>
      </c>
      <c r="T101" s="8">
        <f>IF(B101="","",IF(S101="제외","",IF(AND(설정!$B$21&lt;&gt;"",L101&lt;&gt;설정!$B$21),"",IF(AND(Q101&lt;&gt;"",Q101&gt;N(O101),Q101&lt;=설정!$B$24+7),설정!$B$39+7-(Q101-설정!$B$24),IF(AND(G101&gt;0,OR(S101="안 가봄",RIGHT(S101,2)="지남")),G101+IF(O101="",설정!$B$36,MIN(P101,60)*설정!$B$37)+MIN(N(H101)/1000*설정!$B$38,20),"")))))</f>
        <v/>
      </c>
      <c r="U101">
        <f>IF(T101="","",COUNTIF(T$4:T$303,"&gt;"&amp;T101)+COUNTIF(T$4:T101,T101))</f>
        <v/>
      </c>
    </row>
    <row r="102">
      <c r="A102">
        <f>IF(B102="","",99)</f>
        <v/>
      </c>
      <c r="B102">
        <f>IFERROR(INDEX('2.현장'!$V$2:$V$1001,MATCH(99,'2.현장'!$W$2:$W$1001,0)),"")</f>
        <v/>
      </c>
      <c r="C102">
        <f>IF(B102="","",COUNTIFS('2.현장'!$V$2:$V$1001,B102,'2.현장'!$T$2:$T$1001,TRUE))</f>
        <v/>
      </c>
      <c r="D102">
        <f>IF(B102="","",COUNTIFS('2.현장'!$V$2:$V$1001,B102,'2.현장'!$U$2:$U$1001,"설계사"))</f>
        <v/>
      </c>
      <c r="E102">
        <f>IF(B102="","",COUNTIFS('2.현장'!$V$2:$V$1001,B102,'2.현장'!$U$2:$U$1001,"시공사"))</f>
        <v/>
      </c>
      <c r="F102">
        <f>IF(B102="","",COUNTIFS('2.현장'!$V$2:$V$1001,B102,'2.현장'!$T$2:$T$1001,TRUE,'2.현장'!$AA$2:$AA$1001,"★"))</f>
        <v/>
      </c>
      <c r="G102" s="6">
        <f>IF(B102="","",SUMIFS('2.현장'!$AB$2:$AB$1001,'2.현장'!$V$2:$V$1001,B102,'2.현장'!$T$2:$T$1001,TRUE))</f>
        <v/>
      </c>
      <c r="H102" s="5">
        <f>IF(B102="","",_xlfn.MAXIFS('2.현장'!$D$2:$D$1001,'2.현장'!$V$2:$V$1001,B102,'2.현장'!$T$2:$T$1001,TRUE))</f>
        <v/>
      </c>
      <c r="I102" s="7">
        <f>IF(B102="","",IF(_xlfn.MAXIFS('2.현장'!$L$2:$L$1001,'2.현장'!$V$2:$V$1001,B102,'2.현장'!$T$2:$T$1001,TRUE)=0,"",_xlfn.MAXIFS('2.현장'!$L$2:$L$1001,'2.현장'!$V$2:$V$1001,B102,'2.현장'!$T$2:$T$1001,TRUE)))</f>
        <v/>
      </c>
      <c r="J102" s="7">
        <f>IF(B102="","",IF(_xlfn.MAXIFS('2.현장'!$M$2:$M$1001,'2.현장'!$V$2:$V$1001,B102,'2.현장'!$T$2:$T$1001,TRUE)=0,"",_xlfn.MAXIFS('2.현장'!$M$2:$M$1001,'2.현장'!$V$2:$V$1001,B102,'2.현장'!$T$2:$T$1001,TRUE)))</f>
        <v/>
      </c>
      <c r="K102">
        <f>IF(B102="","",IFERROR(INDEX('2.현장'!$C$2:$C$1001,IFERROR(MATCH(B102&amp;"|설계사",'2.현장'!$Z$2:$Z$1001,0),IFERROR(MATCH(B102&amp;"|시공사",'2.현장'!$Z$2:$Z$1001,0),MATCH(B102&amp;"|늦음",'2.현장'!$Z$2:$Z$1001,0)))),""))</f>
        <v/>
      </c>
      <c r="L102">
        <f>IF(B102="","",IFERROR(INDEX('2.현장'!$N$2:$N$1001,IFERROR(MATCH(B102&amp;"|설계사",'2.현장'!$Z$2:$Z$1001,0),IFERROR(MATCH(B102&amp;"|시공사",'2.현장'!$Z$2:$Z$1001,0),MATCH(B102&amp;"|늦음",'2.현장'!$Z$2:$Z$1001,0)))),""))</f>
        <v/>
      </c>
      <c r="M102">
        <f>IF(B102="","",IFERROR(VLOOKUP(B102,업체_메모!$A$3:$I$302,2,FALSE)&amp;"",""))</f>
        <v/>
      </c>
      <c r="N102">
        <f>IF(B102="","",IFERROR(VLOOKUP(B102,업체_메모!$A$3:$I$302,4,FALSE)&amp;"",""))</f>
        <v/>
      </c>
      <c r="O102" s="7">
        <f>IF(B102="","",IF(COUNTIF('4.방문기록'!$B$3:$B$502,B102)=0,"",_xlfn.MAXIFS('4.방문기록'!$A$3:$A$502,'4.방문기록'!$B$3:$B$502,B102)))</f>
        <v/>
      </c>
      <c r="P102">
        <f>IF(O102="","",설정!$B$24-O102)</f>
        <v/>
      </c>
      <c r="Q102" s="7">
        <f>IF(B102="","",IF(_xlfn.MAXIFS('4.방문기록'!$F$3:$F$502,'4.방문기록'!$B$3:$B$502,B102)=0,"",_xlfn.MAXIFS('4.방문기록'!$F$3:$F$502,'4.방문기록'!$B$3:$B$502,B102)))</f>
        <v/>
      </c>
      <c r="R102">
        <f>IF(O102="","",IFERROR(INDEX('4.방문기록'!$H$3:$H$502,MATCH(B102&amp;"|"&amp;(O102*1),'4.방문기록'!$I$3:$I$502,0))&amp;"",""))</f>
        <v/>
      </c>
      <c r="S102">
        <f>IF(B102="","",IF(R102="관심 없음","제외",IF(O102="","안 가봄",IF(P102&gt;=설정!$B$20,P102&amp;"일 지남","최근 방문"))))</f>
        <v/>
      </c>
      <c r="T102" s="8">
        <f>IF(B102="","",IF(S102="제외","",IF(AND(설정!$B$21&lt;&gt;"",L102&lt;&gt;설정!$B$21),"",IF(AND(Q102&lt;&gt;"",Q102&gt;N(O102),Q102&lt;=설정!$B$24+7),설정!$B$39+7-(Q102-설정!$B$24),IF(AND(G102&gt;0,OR(S102="안 가봄",RIGHT(S102,2)="지남")),G102+IF(O102="",설정!$B$36,MIN(P102,60)*설정!$B$37)+MIN(N(H102)/1000*설정!$B$38,20),"")))))</f>
        <v/>
      </c>
      <c r="U102">
        <f>IF(T102="","",COUNTIF(T$4:T$303,"&gt;"&amp;T102)+COUNTIF(T$4:T102,T102))</f>
        <v/>
      </c>
    </row>
    <row r="103">
      <c r="A103">
        <f>IF(B103="","",100)</f>
        <v/>
      </c>
      <c r="B103">
        <f>IFERROR(INDEX('2.현장'!$V$2:$V$1001,MATCH(100,'2.현장'!$W$2:$W$1001,0)),"")</f>
        <v/>
      </c>
      <c r="C103">
        <f>IF(B103="","",COUNTIFS('2.현장'!$V$2:$V$1001,B103,'2.현장'!$T$2:$T$1001,TRUE))</f>
        <v/>
      </c>
      <c r="D103">
        <f>IF(B103="","",COUNTIFS('2.현장'!$V$2:$V$1001,B103,'2.현장'!$U$2:$U$1001,"설계사"))</f>
        <v/>
      </c>
      <c r="E103">
        <f>IF(B103="","",COUNTIFS('2.현장'!$V$2:$V$1001,B103,'2.현장'!$U$2:$U$1001,"시공사"))</f>
        <v/>
      </c>
      <c r="F103">
        <f>IF(B103="","",COUNTIFS('2.현장'!$V$2:$V$1001,B103,'2.현장'!$T$2:$T$1001,TRUE,'2.현장'!$AA$2:$AA$1001,"★"))</f>
        <v/>
      </c>
      <c r="G103" s="6">
        <f>IF(B103="","",SUMIFS('2.현장'!$AB$2:$AB$1001,'2.현장'!$V$2:$V$1001,B103,'2.현장'!$T$2:$T$1001,TRUE))</f>
        <v/>
      </c>
      <c r="H103" s="5">
        <f>IF(B103="","",_xlfn.MAXIFS('2.현장'!$D$2:$D$1001,'2.현장'!$V$2:$V$1001,B103,'2.현장'!$T$2:$T$1001,TRUE))</f>
        <v/>
      </c>
      <c r="I103" s="7">
        <f>IF(B103="","",IF(_xlfn.MAXIFS('2.현장'!$L$2:$L$1001,'2.현장'!$V$2:$V$1001,B103,'2.현장'!$T$2:$T$1001,TRUE)=0,"",_xlfn.MAXIFS('2.현장'!$L$2:$L$1001,'2.현장'!$V$2:$V$1001,B103,'2.현장'!$T$2:$T$1001,TRUE)))</f>
        <v/>
      </c>
      <c r="J103" s="7">
        <f>IF(B103="","",IF(_xlfn.MAXIFS('2.현장'!$M$2:$M$1001,'2.현장'!$V$2:$V$1001,B103,'2.현장'!$T$2:$T$1001,TRUE)=0,"",_xlfn.MAXIFS('2.현장'!$M$2:$M$1001,'2.현장'!$V$2:$V$1001,B103,'2.현장'!$T$2:$T$1001,TRUE)))</f>
        <v/>
      </c>
      <c r="K103">
        <f>IF(B103="","",IFERROR(INDEX('2.현장'!$C$2:$C$1001,IFERROR(MATCH(B103&amp;"|설계사",'2.현장'!$Z$2:$Z$1001,0),IFERROR(MATCH(B103&amp;"|시공사",'2.현장'!$Z$2:$Z$1001,0),MATCH(B103&amp;"|늦음",'2.현장'!$Z$2:$Z$1001,0)))),""))</f>
        <v/>
      </c>
      <c r="L103">
        <f>IF(B103="","",IFERROR(INDEX('2.현장'!$N$2:$N$1001,IFERROR(MATCH(B103&amp;"|설계사",'2.현장'!$Z$2:$Z$1001,0),IFERROR(MATCH(B103&amp;"|시공사",'2.현장'!$Z$2:$Z$1001,0),MATCH(B103&amp;"|늦음",'2.현장'!$Z$2:$Z$1001,0)))),""))</f>
        <v/>
      </c>
      <c r="M103">
        <f>IF(B103="","",IFERROR(VLOOKUP(B103,업체_메모!$A$3:$I$302,2,FALSE)&amp;"",""))</f>
        <v/>
      </c>
      <c r="N103">
        <f>IF(B103="","",IFERROR(VLOOKUP(B103,업체_메모!$A$3:$I$302,4,FALSE)&amp;"",""))</f>
        <v/>
      </c>
      <c r="O103" s="7">
        <f>IF(B103="","",IF(COUNTIF('4.방문기록'!$B$3:$B$502,B103)=0,"",_xlfn.MAXIFS('4.방문기록'!$A$3:$A$502,'4.방문기록'!$B$3:$B$502,B103)))</f>
        <v/>
      </c>
      <c r="P103">
        <f>IF(O103="","",설정!$B$24-O103)</f>
        <v/>
      </c>
      <c r="Q103" s="7">
        <f>IF(B103="","",IF(_xlfn.MAXIFS('4.방문기록'!$F$3:$F$502,'4.방문기록'!$B$3:$B$502,B103)=0,"",_xlfn.MAXIFS('4.방문기록'!$F$3:$F$502,'4.방문기록'!$B$3:$B$502,B103)))</f>
        <v/>
      </c>
      <c r="R103">
        <f>IF(O103="","",IFERROR(INDEX('4.방문기록'!$H$3:$H$502,MATCH(B103&amp;"|"&amp;(O103*1),'4.방문기록'!$I$3:$I$502,0))&amp;"",""))</f>
        <v/>
      </c>
      <c r="S103">
        <f>IF(B103="","",IF(R103="관심 없음","제외",IF(O103="","안 가봄",IF(P103&gt;=설정!$B$20,P103&amp;"일 지남","최근 방문"))))</f>
        <v/>
      </c>
      <c r="T103" s="8">
        <f>IF(B103="","",IF(S103="제외","",IF(AND(설정!$B$21&lt;&gt;"",L103&lt;&gt;설정!$B$21),"",IF(AND(Q103&lt;&gt;"",Q103&gt;N(O103),Q103&lt;=설정!$B$24+7),설정!$B$39+7-(Q103-설정!$B$24),IF(AND(G103&gt;0,OR(S103="안 가봄",RIGHT(S103,2)="지남")),G103+IF(O103="",설정!$B$36,MIN(P103,60)*설정!$B$37)+MIN(N(H103)/1000*설정!$B$38,20),"")))))</f>
        <v/>
      </c>
      <c r="U103">
        <f>IF(T103="","",COUNTIF(T$4:T$303,"&gt;"&amp;T103)+COUNTIF(T$4:T103,T103))</f>
        <v/>
      </c>
    </row>
    <row r="104">
      <c r="A104">
        <f>IF(B104="","",101)</f>
        <v/>
      </c>
      <c r="B104">
        <f>IFERROR(INDEX('2.현장'!$V$2:$V$1001,MATCH(101,'2.현장'!$W$2:$W$1001,0)),"")</f>
        <v/>
      </c>
      <c r="C104">
        <f>IF(B104="","",COUNTIFS('2.현장'!$V$2:$V$1001,B104,'2.현장'!$T$2:$T$1001,TRUE))</f>
        <v/>
      </c>
      <c r="D104">
        <f>IF(B104="","",COUNTIFS('2.현장'!$V$2:$V$1001,B104,'2.현장'!$U$2:$U$1001,"설계사"))</f>
        <v/>
      </c>
      <c r="E104">
        <f>IF(B104="","",COUNTIFS('2.현장'!$V$2:$V$1001,B104,'2.현장'!$U$2:$U$1001,"시공사"))</f>
        <v/>
      </c>
      <c r="F104">
        <f>IF(B104="","",COUNTIFS('2.현장'!$V$2:$V$1001,B104,'2.현장'!$T$2:$T$1001,TRUE,'2.현장'!$AA$2:$AA$1001,"★"))</f>
        <v/>
      </c>
      <c r="G104" s="6">
        <f>IF(B104="","",SUMIFS('2.현장'!$AB$2:$AB$1001,'2.현장'!$V$2:$V$1001,B104,'2.현장'!$T$2:$T$1001,TRUE))</f>
        <v/>
      </c>
      <c r="H104" s="5">
        <f>IF(B104="","",_xlfn.MAXIFS('2.현장'!$D$2:$D$1001,'2.현장'!$V$2:$V$1001,B104,'2.현장'!$T$2:$T$1001,TRUE))</f>
        <v/>
      </c>
      <c r="I104" s="7">
        <f>IF(B104="","",IF(_xlfn.MAXIFS('2.현장'!$L$2:$L$1001,'2.현장'!$V$2:$V$1001,B104,'2.현장'!$T$2:$T$1001,TRUE)=0,"",_xlfn.MAXIFS('2.현장'!$L$2:$L$1001,'2.현장'!$V$2:$V$1001,B104,'2.현장'!$T$2:$T$1001,TRUE)))</f>
        <v/>
      </c>
      <c r="J104" s="7">
        <f>IF(B104="","",IF(_xlfn.MAXIFS('2.현장'!$M$2:$M$1001,'2.현장'!$V$2:$V$1001,B104,'2.현장'!$T$2:$T$1001,TRUE)=0,"",_xlfn.MAXIFS('2.현장'!$M$2:$M$1001,'2.현장'!$V$2:$V$1001,B104,'2.현장'!$T$2:$T$1001,TRUE)))</f>
        <v/>
      </c>
      <c r="K104">
        <f>IF(B104="","",IFERROR(INDEX('2.현장'!$C$2:$C$1001,IFERROR(MATCH(B104&amp;"|설계사",'2.현장'!$Z$2:$Z$1001,0),IFERROR(MATCH(B104&amp;"|시공사",'2.현장'!$Z$2:$Z$1001,0),MATCH(B104&amp;"|늦음",'2.현장'!$Z$2:$Z$1001,0)))),""))</f>
        <v/>
      </c>
      <c r="L104">
        <f>IF(B104="","",IFERROR(INDEX('2.현장'!$N$2:$N$1001,IFERROR(MATCH(B104&amp;"|설계사",'2.현장'!$Z$2:$Z$1001,0),IFERROR(MATCH(B104&amp;"|시공사",'2.현장'!$Z$2:$Z$1001,0),MATCH(B104&amp;"|늦음",'2.현장'!$Z$2:$Z$1001,0)))),""))</f>
        <v/>
      </c>
      <c r="M104">
        <f>IF(B104="","",IFERROR(VLOOKUP(B104,업체_메모!$A$3:$I$302,2,FALSE)&amp;"",""))</f>
        <v/>
      </c>
      <c r="N104">
        <f>IF(B104="","",IFERROR(VLOOKUP(B104,업체_메모!$A$3:$I$302,4,FALSE)&amp;"",""))</f>
        <v/>
      </c>
      <c r="O104" s="7">
        <f>IF(B104="","",IF(COUNTIF('4.방문기록'!$B$3:$B$502,B104)=0,"",_xlfn.MAXIFS('4.방문기록'!$A$3:$A$502,'4.방문기록'!$B$3:$B$502,B104)))</f>
        <v/>
      </c>
      <c r="P104">
        <f>IF(O104="","",설정!$B$24-O104)</f>
        <v/>
      </c>
      <c r="Q104" s="7">
        <f>IF(B104="","",IF(_xlfn.MAXIFS('4.방문기록'!$F$3:$F$502,'4.방문기록'!$B$3:$B$502,B104)=0,"",_xlfn.MAXIFS('4.방문기록'!$F$3:$F$502,'4.방문기록'!$B$3:$B$502,B104)))</f>
        <v/>
      </c>
      <c r="R104">
        <f>IF(O104="","",IFERROR(INDEX('4.방문기록'!$H$3:$H$502,MATCH(B104&amp;"|"&amp;(O104*1),'4.방문기록'!$I$3:$I$502,0))&amp;"",""))</f>
        <v/>
      </c>
      <c r="S104">
        <f>IF(B104="","",IF(R104="관심 없음","제외",IF(O104="","안 가봄",IF(P104&gt;=설정!$B$20,P104&amp;"일 지남","최근 방문"))))</f>
        <v/>
      </c>
      <c r="T104" s="8">
        <f>IF(B104="","",IF(S104="제외","",IF(AND(설정!$B$21&lt;&gt;"",L104&lt;&gt;설정!$B$21),"",IF(AND(Q104&lt;&gt;"",Q104&gt;N(O104),Q104&lt;=설정!$B$24+7),설정!$B$39+7-(Q104-설정!$B$24),IF(AND(G104&gt;0,OR(S104="안 가봄",RIGHT(S104,2)="지남")),G104+IF(O104="",설정!$B$36,MIN(P104,60)*설정!$B$37)+MIN(N(H104)/1000*설정!$B$38,20),"")))))</f>
        <v/>
      </c>
      <c r="U104">
        <f>IF(T104="","",COUNTIF(T$4:T$303,"&gt;"&amp;T104)+COUNTIF(T$4:T104,T104))</f>
        <v/>
      </c>
    </row>
    <row r="105">
      <c r="A105">
        <f>IF(B105="","",102)</f>
        <v/>
      </c>
      <c r="B105">
        <f>IFERROR(INDEX('2.현장'!$V$2:$V$1001,MATCH(102,'2.현장'!$W$2:$W$1001,0)),"")</f>
        <v/>
      </c>
      <c r="C105">
        <f>IF(B105="","",COUNTIFS('2.현장'!$V$2:$V$1001,B105,'2.현장'!$T$2:$T$1001,TRUE))</f>
        <v/>
      </c>
      <c r="D105">
        <f>IF(B105="","",COUNTIFS('2.현장'!$V$2:$V$1001,B105,'2.현장'!$U$2:$U$1001,"설계사"))</f>
        <v/>
      </c>
      <c r="E105">
        <f>IF(B105="","",COUNTIFS('2.현장'!$V$2:$V$1001,B105,'2.현장'!$U$2:$U$1001,"시공사"))</f>
        <v/>
      </c>
      <c r="F105">
        <f>IF(B105="","",COUNTIFS('2.현장'!$V$2:$V$1001,B105,'2.현장'!$T$2:$T$1001,TRUE,'2.현장'!$AA$2:$AA$1001,"★"))</f>
        <v/>
      </c>
      <c r="G105" s="6">
        <f>IF(B105="","",SUMIFS('2.현장'!$AB$2:$AB$1001,'2.현장'!$V$2:$V$1001,B105,'2.현장'!$T$2:$T$1001,TRUE))</f>
        <v/>
      </c>
      <c r="H105" s="5">
        <f>IF(B105="","",_xlfn.MAXIFS('2.현장'!$D$2:$D$1001,'2.현장'!$V$2:$V$1001,B105,'2.현장'!$T$2:$T$1001,TRUE))</f>
        <v/>
      </c>
      <c r="I105" s="7">
        <f>IF(B105="","",IF(_xlfn.MAXIFS('2.현장'!$L$2:$L$1001,'2.현장'!$V$2:$V$1001,B105,'2.현장'!$T$2:$T$1001,TRUE)=0,"",_xlfn.MAXIFS('2.현장'!$L$2:$L$1001,'2.현장'!$V$2:$V$1001,B105,'2.현장'!$T$2:$T$1001,TRUE)))</f>
        <v/>
      </c>
      <c r="J105" s="7">
        <f>IF(B105="","",IF(_xlfn.MAXIFS('2.현장'!$M$2:$M$1001,'2.현장'!$V$2:$V$1001,B105,'2.현장'!$T$2:$T$1001,TRUE)=0,"",_xlfn.MAXIFS('2.현장'!$M$2:$M$1001,'2.현장'!$V$2:$V$1001,B105,'2.현장'!$T$2:$T$1001,TRUE)))</f>
        <v/>
      </c>
      <c r="K105">
        <f>IF(B105="","",IFERROR(INDEX('2.현장'!$C$2:$C$1001,IFERROR(MATCH(B105&amp;"|설계사",'2.현장'!$Z$2:$Z$1001,0),IFERROR(MATCH(B105&amp;"|시공사",'2.현장'!$Z$2:$Z$1001,0),MATCH(B105&amp;"|늦음",'2.현장'!$Z$2:$Z$1001,0)))),""))</f>
        <v/>
      </c>
      <c r="L105">
        <f>IF(B105="","",IFERROR(INDEX('2.현장'!$N$2:$N$1001,IFERROR(MATCH(B105&amp;"|설계사",'2.현장'!$Z$2:$Z$1001,0),IFERROR(MATCH(B105&amp;"|시공사",'2.현장'!$Z$2:$Z$1001,0),MATCH(B105&amp;"|늦음",'2.현장'!$Z$2:$Z$1001,0)))),""))</f>
        <v/>
      </c>
      <c r="M105">
        <f>IF(B105="","",IFERROR(VLOOKUP(B105,업체_메모!$A$3:$I$302,2,FALSE)&amp;"",""))</f>
        <v/>
      </c>
      <c r="N105">
        <f>IF(B105="","",IFERROR(VLOOKUP(B105,업체_메모!$A$3:$I$302,4,FALSE)&amp;"",""))</f>
        <v/>
      </c>
      <c r="O105" s="7">
        <f>IF(B105="","",IF(COUNTIF('4.방문기록'!$B$3:$B$502,B105)=0,"",_xlfn.MAXIFS('4.방문기록'!$A$3:$A$502,'4.방문기록'!$B$3:$B$502,B105)))</f>
        <v/>
      </c>
      <c r="P105">
        <f>IF(O105="","",설정!$B$24-O105)</f>
        <v/>
      </c>
      <c r="Q105" s="7">
        <f>IF(B105="","",IF(_xlfn.MAXIFS('4.방문기록'!$F$3:$F$502,'4.방문기록'!$B$3:$B$502,B105)=0,"",_xlfn.MAXIFS('4.방문기록'!$F$3:$F$502,'4.방문기록'!$B$3:$B$502,B105)))</f>
        <v/>
      </c>
      <c r="R105">
        <f>IF(O105="","",IFERROR(INDEX('4.방문기록'!$H$3:$H$502,MATCH(B105&amp;"|"&amp;(O105*1),'4.방문기록'!$I$3:$I$502,0))&amp;"",""))</f>
        <v/>
      </c>
      <c r="S105">
        <f>IF(B105="","",IF(R105="관심 없음","제외",IF(O105="","안 가봄",IF(P105&gt;=설정!$B$20,P105&amp;"일 지남","최근 방문"))))</f>
        <v/>
      </c>
      <c r="T105" s="8">
        <f>IF(B105="","",IF(S105="제외","",IF(AND(설정!$B$21&lt;&gt;"",L105&lt;&gt;설정!$B$21),"",IF(AND(Q105&lt;&gt;"",Q105&gt;N(O105),Q105&lt;=설정!$B$24+7),설정!$B$39+7-(Q105-설정!$B$24),IF(AND(G105&gt;0,OR(S105="안 가봄",RIGHT(S105,2)="지남")),G105+IF(O105="",설정!$B$36,MIN(P105,60)*설정!$B$37)+MIN(N(H105)/1000*설정!$B$38,20),"")))))</f>
        <v/>
      </c>
      <c r="U105">
        <f>IF(T105="","",COUNTIF(T$4:T$303,"&gt;"&amp;T105)+COUNTIF(T$4:T105,T105))</f>
        <v/>
      </c>
    </row>
    <row r="106">
      <c r="A106">
        <f>IF(B106="","",103)</f>
        <v/>
      </c>
      <c r="B106">
        <f>IFERROR(INDEX('2.현장'!$V$2:$V$1001,MATCH(103,'2.현장'!$W$2:$W$1001,0)),"")</f>
        <v/>
      </c>
      <c r="C106">
        <f>IF(B106="","",COUNTIFS('2.현장'!$V$2:$V$1001,B106,'2.현장'!$T$2:$T$1001,TRUE))</f>
        <v/>
      </c>
      <c r="D106">
        <f>IF(B106="","",COUNTIFS('2.현장'!$V$2:$V$1001,B106,'2.현장'!$U$2:$U$1001,"설계사"))</f>
        <v/>
      </c>
      <c r="E106">
        <f>IF(B106="","",COUNTIFS('2.현장'!$V$2:$V$1001,B106,'2.현장'!$U$2:$U$1001,"시공사"))</f>
        <v/>
      </c>
      <c r="F106">
        <f>IF(B106="","",COUNTIFS('2.현장'!$V$2:$V$1001,B106,'2.현장'!$T$2:$T$1001,TRUE,'2.현장'!$AA$2:$AA$1001,"★"))</f>
        <v/>
      </c>
      <c r="G106" s="6">
        <f>IF(B106="","",SUMIFS('2.현장'!$AB$2:$AB$1001,'2.현장'!$V$2:$V$1001,B106,'2.현장'!$T$2:$T$1001,TRUE))</f>
        <v/>
      </c>
      <c r="H106" s="5">
        <f>IF(B106="","",_xlfn.MAXIFS('2.현장'!$D$2:$D$1001,'2.현장'!$V$2:$V$1001,B106,'2.현장'!$T$2:$T$1001,TRUE))</f>
        <v/>
      </c>
      <c r="I106" s="7">
        <f>IF(B106="","",IF(_xlfn.MAXIFS('2.현장'!$L$2:$L$1001,'2.현장'!$V$2:$V$1001,B106,'2.현장'!$T$2:$T$1001,TRUE)=0,"",_xlfn.MAXIFS('2.현장'!$L$2:$L$1001,'2.현장'!$V$2:$V$1001,B106,'2.현장'!$T$2:$T$1001,TRUE)))</f>
        <v/>
      </c>
      <c r="J106" s="7">
        <f>IF(B106="","",IF(_xlfn.MAXIFS('2.현장'!$M$2:$M$1001,'2.현장'!$V$2:$V$1001,B106,'2.현장'!$T$2:$T$1001,TRUE)=0,"",_xlfn.MAXIFS('2.현장'!$M$2:$M$1001,'2.현장'!$V$2:$V$1001,B106,'2.현장'!$T$2:$T$1001,TRUE)))</f>
        <v/>
      </c>
      <c r="K106">
        <f>IF(B106="","",IFERROR(INDEX('2.현장'!$C$2:$C$1001,IFERROR(MATCH(B106&amp;"|설계사",'2.현장'!$Z$2:$Z$1001,0),IFERROR(MATCH(B106&amp;"|시공사",'2.현장'!$Z$2:$Z$1001,0),MATCH(B106&amp;"|늦음",'2.현장'!$Z$2:$Z$1001,0)))),""))</f>
        <v/>
      </c>
      <c r="L106">
        <f>IF(B106="","",IFERROR(INDEX('2.현장'!$N$2:$N$1001,IFERROR(MATCH(B106&amp;"|설계사",'2.현장'!$Z$2:$Z$1001,0),IFERROR(MATCH(B106&amp;"|시공사",'2.현장'!$Z$2:$Z$1001,0),MATCH(B106&amp;"|늦음",'2.현장'!$Z$2:$Z$1001,0)))),""))</f>
        <v/>
      </c>
      <c r="M106">
        <f>IF(B106="","",IFERROR(VLOOKUP(B106,업체_메모!$A$3:$I$302,2,FALSE)&amp;"",""))</f>
        <v/>
      </c>
      <c r="N106">
        <f>IF(B106="","",IFERROR(VLOOKUP(B106,업체_메모!$A$3:$I$302,4,FALSE)&amp;"",""))</f>
        <v/>
      </c>
      <c r="O106" s="7">
        <f>IF(B106="","",IF(COUNTIF('4.방문기록'!$B$3:$B$502,B106)=0,"",_xlfn.MAXIFS('4.방문기록'!$A$3:$A$502,'4.방문기록'!$B$3:$B$502,B106)))</f>
        <v/>
      </c>
      <c r="P106">
        <f>IF(O106="","",설정!$B$24-O106)</f>
        <v/>
      </c>
      <c r="Q106" s="7">
        <f>IF(B106="","",IF(_xlfn.MAXIFS('4.방문기록'!$F$3:$F$502,'4.방문기록'!$B$3:$B$502,B106)=0,"",_xlfn.MAXIFS('4.방문기록'!$F$3:$F$502,'4.방문기록'!$B$3:$B$502,B106)))</f>
        <v/>
      </c>
      <c r="R106">
        <f>IF(O106="","",IFERROR(INDEX('4.방문기록'!$H$3:$H$502,MATCH(B106&amp;"|"&amp;(O106*1),'4.방문기록'!$I$3:$I$502,0))&amp;"",""))</f>
        <v/>
      </c>
      <c r="S106">
        <f>IF(B106="","",IF(R106="관심 없음","제외",IF(O106="","안 가봄",IF(P106&gt;=설정!$B$20,P106&amp;"일 지남","최근 방문"))))</f>
        <v/>
      </c>
      <c r="T106" s="8">
        <f>IF(B106="","",IF(S106="제외","",IF(AND(설정!$B$21&lt;&gt;"",L106&lt;&gt;설정!$B$21),"",IF(AND(Q106&lt;&gt;"",Q106&gt;N(O106),Q106&lt;=설정!$B$24+7),설정!$B$39+7-(Q106-설정!$B$24),IF(AND(G106&gt;0,OR(S106="안 가봄",RIGHT(S106,2)="지남")),G106+IF(O106="",설정!$B$36,MIN(P106,60)*설정!$B$37)+MIN(N(H106)/1000*설정!$B$38,20),"")))))</f>
        <v/>
      </c>
      <c r="U106">
        <f>IF(T106="","",COUNTIF(T$4:T$303,"&gt;"&amp;T106)+COUNTIF(T$4:T106,T106))</f>
        <v/>
      </c>
    </row>
    <row r="107">
      <c r="A107">
        <f>IF(B107="","",104)</f>
        <v/>
      </c>
      <c r="B107">
        <f>IFERROR(INDEX('2.현장'!$V$2:$V$1001,MATCH(104,'2.현장'!$W$2:$W$1001,0)),"")</f>
        <v/>
      </c>
      <c r="C107">
        <f>IF(B107="","",COUNTIFS('2.현장'!$V$2:$V$1001,B107,'2.현장'!$T$2:$T$1001,TRUE))</f>
        <v/>
      </c>
      <c r="D107">
        <f>IF(B107="","",COUNTIFS('2.현장'!$V$2:$V$1001,B107,'2.현장'!$U$2:$U$1001,"설계사"))</f>
        <v/>
      </c>
      <c r="E107">
        <f>IF(B107="","",COUNTIFS('2.현장'!$V$2:$V$1001,B107,'2.현장'!$U$2:$U$1001,"시공사"))</f>
        <v/>
      </c>
      <c r="F107">
        <f>IF(B107="","",COUNTIFS('2.현장'!$V$2:$V$1001,B107,'2.현장'!$T$2:$T$1001,TRUE,'2.현장'!$AA$2:$AA$1001,"★"))</f>
        <v/>
      </c>
      <c r="G107" s="6">
        <f>IF(B107="","",SUMIFS('2.현장'!$AB$2:$AB$1001,'2.현장'!$V$2:$V$1001,B107,'2.현장'!$T$2:$T$1001,TRUE))</f>
        <v/>
      </c>
      <c r="H107" s="5">
        <f>IF(B107="","",_xlfn.MAXIFS('2.현장'!$D$2:$D$1001,'2.현장'!$V$2:$V$1001,B107,'2.현장'!$T$2:$T$1001,TRUE))</f>
        <v/>
      </c>
      <c r="I107" s="7">
        <f>IF(B107="","",IF(_xlfn.MAXIFS('2.현장'!$L$2:$L$1001,'2.현장'!$V$2:$V$1001,B107,'2.현장'!$T$2:$T$1001,TRUE)=0,"",_xlfn.MAXIFS('2.현장'!$L$2:$L$1001,'2.현장'!$V$2:$V$1001,B107,'2.현장'!$T$2:$T$1001,TRUE)))</f>
        <v/>
      </c>
      <c r="J107" s="7">
        <f>IF(B107="","",IF(_xlfn.MAXIFS('2.현장'!$M$2:$M$1001,'2.현장'!$V$2:$V$1001,B107,'2.현장'!$T$2:$T$1001,TRUE)=0,"",_xlfn.MAXIFS('2.현장'!$M$2:$M$1001,'2.현장'!$V$2:$V$1001,B107,'2.현장'!$T$2:$T$1001,TRUE)))</f>
        <v/>
      </c>
      <c r="K107">
        <f>IF(B107="","",IFERROR(INDEX('2.현장'!$C$2:$C$1001,IFERROR(MATCH(B107&amp;"|설계사",'2.현장'!$Z$2:$Z$1001,0),IFERROR(MATCH(B107&amp;"|시공사",'2.현장'!$Z$2:$Z$1001,0),MATCH(B107&amp;"|늦음",'2.현장'!$Z$2:$Z$1001,0)))),""))</f>
        <v/>
      </c>
      <c r="L107">
        <f>IF(B107="","",IFERROR(INDEX('2.현장'!$N$2:$N$1001,IFERROR(MATCH(B107&amp;"|설계사",'2.현장'!$Z$2:$Z$1001,0),IFERROR(MATCH(B107&amp;"|시공사",'2.현장'!$Z$2:$Z$1001,0),MATCH(B107&amp;"|늦음",'2.현장'!$Z$2:$Z$1001,0)))),""))</f>
        <v/>
      </c>
      <c r="M107">
        <f>IF(B107="","",IFERROR(VLOOKUP(B107,업체_메모!$A$3:$I$302,2,FALSE)&amp;"",""))</f>
        <v/>
      </c>
      <c r="N107">
        <f>IF(B107="","",IFERROR(VLOOKUP(B107,업체_메모!$A$3:$I$302,4,FALSE)&amp;"",""))</f>
        <v/>
      </c>
      <c r="O107" s="7">
        <f>IF(B107="","",IF(COUNTIF('4.방문기록'!$B$3:$B$502,B107)=0,"",_xlfn.MAXIFS('4.방문기록'!$A$3:$A$502,'4.방문기록'!$B$3:$B$502,B107)))</f>
        <v/>
      </c>
      <c r="P107">
        <f>IF(O107="","",설정!$B$24-O107)</f>
        <v/>
      </c>
      <c r="Q107" s="7">
        <f>IF(B107="","",IF(_xlfn.MAXIFS('4.방문기록'!$F$3:$F$502,'4.방문기록'!$B$3:$B$502,B107)=0,"",_xlfn.MAXIFS('4.방문기록'!$F$3:$F$502,'4.방문기록'!$B$3:$B$502,B107)))</f>
        <v/>
      </c>
      <c r="R107">
        <f>IF(O107="","",IFERROR(INDEX('4.방문기록'!$H$3:$H$502,MATCH(B107&amp;"|"&amp;(O107*1),'4.방문기록'!$I$3:$I$502,0))&amp;"",""))</f>
        <v/>
      </c>
      <c r="S107">
        <f>IF(B107="","",IF(R107="관심 없음","제외",IF(O107="","안 가봄",IF(P107&gt;=설정!$B$20,P107&amp;"일 지남","최근 방문"))))</f>
        <v/>
      </c>
      <c r="T107" s="8">
        <f>IF(B107="","",IF(S107="제외","",IF(AND(설정!$B$21&lt;&gt;"",L107&lt;&gt;설정!$B$21),"",IF(AND(Q107&lt;&gt;"",Q107&gt;N(O107),Q107&lt;=설정!$B$24+7),설정!$B$39+7-(Q107-설정!$B$24),IF(AND(G107&gt;0,OR(S107="안 가봄",RIGHT(S107,2)="지남")),G107+IF(O107="",설정!$B$36,MIN(P107,60)*설정!$B$37)+MIN(N(H107)/1000*설정!$B$38,20),"")))))</f>
        <v/>
      </c>
      <c r="U107">
        <f>IF(T107="","",COUNTIF(T$4:T$303,"&gt;"&amp;T107)+COUNTIF(T$4:T107,T107))</f>
        <v/>
      </c>
    </row>
    <row r="108">
      <c r="A108">
        <f>IF(B108="","",105)</f>
        <v/>
      </c>
      <c r="B108">
        <f>IFERROR(INDEX('2.현장'!$V$2:$V$1001,MATCH(105,'2.현장'!$W$2:$W$1001,0)),"")</f>
        <v/>
      </c>
      <c r="C108">
        <f>IF(B108="","",COUNTIFS('2.현장'!$V$2:$V$1001,B108,'2.현장'!$T$2:$T$1001,TRUE))</f>
        <v/>
      </c>
      <c r="D108">
        <f>IF(B108="","",COUNTIFS('2.현장'!$V$2:$V$1001,B108,'2.현장'!$U$2:$U$1001,"설계사"))</f>
        <v/>
      </c>
      <c r="E108">
        <f>IF(B108="","",COUNTIFS('2.현장'!$V$2:$V$1001,B108,'2.현장'!$U$2:$U$1001,"시공사"))</f>
        <v/>
      </c>
      <c r="F108">
        <f>IF(B108="","",COUNTIFS('2.현장'!$V$2:$V$1001,B108,'2.현장'!$T$2:$T$1001,TRUE,'2.현장'!$AA$2:$AA$1001,"★"))</f>
        <v/>
      </c>
      <c r="G108" s="6">
        <f>IF(B108="","",SUMIFS('2.현장'!$AB$2:$AB$1001,'2.현장'!$V$2:$V$1001,B108,'2.현장'!$T$2:$T$1001,TRUE))</f>
        <v/>
      </c>
      <c r="H108" s="5">
        <f>IF(B108="","",_xlfn.MAXIFS('2.현장'!$D$2:$D$1001,'2.현장'!$V$2:$V$1001,B108,'2.현장'!$T$2:$T$1001,TRUE))</f>
        <v/>
      </c>
      <c r="I108" s="7">
        <f>IF(B108="","",IF(_xlfn.MAXIFS('2.현장'!$L$2:$L$1001,'2.현장'!$V$2:$V$1001,B108,'2.현장'!$T$2:$T$1001,TRUE)=0,"",_xlfn.MAXIFS('2.현장'!$L$2:$L$1001,'2.현장'!$V$2:$V$1001,B108,'2.현장'!$T$2:$T$1001,TRUE)))</f>
        <v/>
      </c>
      <c r="J108" s="7">
        <f>IF(B108="","",IF(_xlfn.MAXIFS('2.현장'!$M$2:$M$1001,'2.현장'!$V$2:$V$1001,B108,'2.현장'!$T$2:$T$1001,TRUE)=0,"",_xlfn.MAXIFS('2.현장'!$M$2:$M$1001,'2.현장'!$V$2:$V$1001,B108,'2.현장'!$T$2:$T$1001,TRUE)))</f>
        <v/>
      </c>
      <c r="K108">
        <f>IF(B108="","",IFERROR(INDEX('2.현장'!$C$2:$C$1001,IFERROR(MATCH(B108&amp;"|설계사",'2.현장'!$Z$2:$Z$1001,0),IFERROR(MATCH(B108&amp;"|시공사",'2.현장'!$Z$2:$Z$1001,0),MATCH(B108&amp;"|늦음",'2.현장'!$Z$2:$Z$1001,0)))),""))</f>
        <v/>
      </c>
      <c r="L108">
        <f>IF(B108="","",IFERROR(INDEX('2.현장'!$N$2:$N$1001,IFERROR(MATCH(B108&amp;"|설계사",'2.현장'!$Z$2:$Z$1001,0),IFERROR(MATCH(B108&amp;"|시공사",'2.현장'!$Z$2:$Z$1001,0),MATCH(B108&amp;"|늦음",'2.현장'!$Z$2:$Z$1001,0)))),""))</f>
        <v/>
      </c>
      <c r="M108">
        <f>IF(B108="","",IFERROR(VLOOKUP(B108,업체_메모!$A$3:$I$302,2,FALSE)&amp;"",""))</f>
        <v/>
      </c>
      <c r="N108">
        <f>IF(B108="","",IFERROR(VLOOKUP(B108,업체_메모!$A$3:$I$302,4,FALSE)&amp;"",""))</f>
        <v/>
      </c>
      <c r="O108" s="7">
        <f>IF(B108="","",IF(COUNTIF('4.방문기록'!$B$3:$B$502,B108)=0,"",_xlfn.MAXIFS('4.방문기록'!$A$3:$A$502,'4.방문기록'!$B$3:$B$502,B108)))</f>
        <v/>
      </c>
      <c r="P108">
        <f>IF(O108="","",설정!$B$24-O108)</f>
        <v/>
      </c>
      <c r="Q108" s="7">
        <f>IF(B108="","",IF(_xlfn.MAXIFS('4.방문기록'!$F$3:$F$502,'4.방문기록'!$B$3:$B$502,B108)=0,"",_xlfn.MAXIFS('4.방문기록'!$F$3:$F$502,'4.방문기록'!$B$3:$B$502,B108)))</f>
        <v/>
      </c>
      <c r="R108">
        <f>IF(O108="","",IFERROR(INDEX('4.방문기록'!$H$3:$H$502,MATCH(B108&amp;"|"&amp;(O108*1),'4.방문기록'!$I$3:$I$502,0))&amp;"",""))</f>
        <v/>
      </c>
      <c r="S108">
        <f>IF(B108="","",IF(R108="관심 없음","제외",IF(O108="","안 가봄",IF(P108&gt;=설정!$B$20,P108&amp;"일 지남","최근 방문"))))</f>
        <v/>
      </c>
      <c r="T108" s="8">
        <f>IF(B108="","",IF(S108="제외","",IF(AND(설정!$B$21&lt;&gt;"",L108&lt;&gt;설정!$B$21),"",IF(AND(Q108&lt;&gt;"",Q108&gt;N(O108),Q108&lt;=설정!$B$24+7),설정!$B$39+7-(Q108-설정!$B$24),IF(AND(G108&gt;0,OR(S108="안 가봄",RIGHT(S108,2)="지남")),G108+IF(O108="",설정!$B$36,MIN(P108,60)*설정!$B$37)+MIN(N(H108)/1000*설정!$B$38,20),"")))))</f>
        <v/>
      </c>
      <c r="U108">
        <f>IF(T108="","",COUNTIF(T$4:T$303,"&gt;"&amp;T108)+COUNTIF(T$4:T108,T108))</f>
        <v/>
      </c>
    </row>
    <row r="109">
      <c r="A109">
        <f>IF(B109="","",106)</f>
        <v/>
      </c>
      <c r="B109">
        <f>IFERROR(INDEX('2.현장'!$V$2:$V$1001,MATCH(106,'2.현장'!$W$2:$W$1001,0)),"")</f>
        <v/>
      </c>
      <c r="C109">
        <f>IF(B109="","",COUNTIFS('2.현장'!$V$2:$V$1001,B109,'2.현장'!$T$2:$T$1001,TRUE))</f>
        <v/>
      </c>
      <c r="D109">
        <f>IF(B109="","",COUNTIFS('2.현장'!$V$2:$V$1001,B109,'2.현장'!$U$2:$U$1001,"설계사"))</f>
        <v/>
      </c>
      <c r="E109">
        <f>IF(B109="","",COUNTIFS('2.현장'!$V$2:$V$1001,B109,'2.현장'!$U$2:$U$1001,"시공사"))</f>
        <v/>
      </c>
      <c r="F109">
        <f>IF(B109="","",COUNTIFS('2.현장'!$V$2:$V$1001,B109,'2.현장'!$T$2:$T$1001,TRUE,'2.현장'!$AA$2:$AA$1001,"★"))</f>
        <v/>
      </c>
      <c r="G109" s="6">
        <f>IF(B109="","",SUMIFS('2.현장'!$AB$2:$AB$1001,'2.현장'!$V$2:$V$1001,B109,'2.현장'!$T$2:$T$1001,TRUE))</f>
        <v/>
      </c>
      <c r="H109" s="5">
        <f>IF(B109="","",_xlfn.MAXIFS('2.현장'!$D$2:$D$1001,'2.현장'!$V$2:$V$1001,B109,'2.현장'!$T$2:$T$1001,TRUE))</f>
        <v/>
      </c>
      <c r="I109" s="7">
        <f>IF(B109="","",IF(_xlfn.MAXIFS('2.현장'!$L$2:$L$1001,'2.현장'!$V$2:$V$1001,B109,'2.현장'!$T$2:$T$1001,TRUE)=0,"",_xlfn.MAXIFS('2.현장'!$L$2:$L$1001,'2.현장'!$V$2:$V$1001,B109,'2.현장'!$T$2:$T$1001,TRUE)))</f>
        <v/>
      </c>
      <c r="J109" s="7">
        <f>IF(B109="","",IF(_xlfn.MAXIFS('2.현장'!$M$2:$M$1001,'2.현장'!$V$2:$V$1001,B109,'2.현장'!$T$2:$T$1001,TRUE)=0,"",_xlfn.MAXIFS('2.현장'!$M$2:$M$1001,'2.현장'!$V$2:$V$1001,B109,'2.현장'!$T$2:$T$1001,TRUE)))</f>
        <v/>
      </c>
      <c r="K109">
        <f>IF(B109="","",IFERROR(INDEX('2.현장'!$C$2:$C$1001,IFERROR(MATCH(B109&amp;"|설계사",'2.현장'!$Z$2:$Z$1001,0),IFERROR(MATCH(B109&amp;"|시공사",'2.현장'!$Z$2:$Z$1001,0),MATCH(B109&amp;"|늦음",'2.현장'!$Z$2:$Z$1001,0)))),""))</f>
        <v/>
      </c>
      <c r="L109">
        <f>IF(B109="","",IFERROR(INDEX('2.현장'!$N$2:$N$1001,IFERROR(MATCH(B109&amp;"|설계사",'2.현장'!$Z$2:$Z$1001,0),IFERROR(MATCH(B109&amp;"|시공사",'2.현장'!$Z$2:$Z$1001,0),MATCH(B109&amp;"|늦음",'2.현장'!$Z$2:$Z$1001,0)))),""))</f>
        <v/>
      </c>
      <c r="M109">
        <f>IF(B109="","",IFERROR(VLOOKUP(B109,업체_메모!$A$3:$I$302,2,FALSE)&amp;"",""))</f>
        <v/>
      </c>
      <c r="N109">
        <f>IF(B109="","",IFERROR(VLOOKUP(B109,업체_메모!$A$3:$I$302,4,FALSE)&amp;"",""))</f>
        <v/>
      </c>
      <c r="O109" s="7">
        <f>IF(B109="","",IF(COUNTIF('4.방문기록'!$B$3:$B$502,B109)=0,"",_xlfn.MAXIFS('4.방문기록'!$A$3:$A$502,'4.방문기록'!$B$3:$B$502,B109)))</f>
        <v/>
      </c>
      <c r="P109">
        <f>IF(O109="","",설정!$B$24-O109)</f>
        <v/>
      </c>
      <c r="Q109" s="7">
        <f>IF(B109="","",IF(_xlfn.MAXIFS('4.방문기록'!$F$3:$F$502,'4.방문기록'!$B$3:$B$502,B109)=0,"",_xlfn.MAXIFS('4.방문기록'!$F$3:$F$502,'4.방문기록'!$B$3:$B$502,B109)))</f>
        <v/>
      </c>
      <c r="R109">
        <f>IF(O109="","",IFERROR(INDEX('4.방문기록'!$H$3:$H$502,MATCH(B109&amp;"|"&amp;(O109*1),'4.방문기록'!$I$3:$I$502,0))&amp;"",""))</f>
        <v/>
      </c>
      <c r="S109">
        <f>IF(B109="","",IF(R109="관심 없음","제외",IF(O109="","안 가봄",IF(P109&gt;=설정!$B$20,P109&amp;"일 지남","최근 방문"))))</f>
        <v/>
      </c>
      <c r="T109" s="8">
        <f>IF(B109="","",IF(S109="제외","",IF(AND(설정!$B$21&lt;&gt;"",L109&lt;&gt;설정!$B$21),"",IF(AND(Q109&lt;&gt;"",Q109&gt;N(O109),Q109&lt;=설정!$B$24+7),설정!$B$39+7-(Q109-설정!$B$24),IF(AND(G109&gt;0,OR(S109="안 가봄",RIGHT(S109,2)="지남")),G109+IF(O109="",설정!$B$36,MIN(P109,60)*설정!$B$37)+MIN(N(H109)/1000*설정!$B$38,20),"")))))</f>
        <v/>
      </c>
      <c r="U109">
        <f>IF(T109="","",COUNTIF(T$4:T$303,"&gt;"&amp;T109)+COUNTIF(T$4:T109,T109))</f>
        <v/>
      </c>
    </row>
    <row r="110">
      <c r="A110">
        <f>IF(B110="","",107)</f>
        <v/>
      </c>
      <c r="B110">
        <f>IFERROR(INDEX('2.현장'!$V$2:$V$1001,MATCH(107,'2.현장'!$W$2:$W$1001,0)),"")</f>
        <v/>
      </c>
      <c r="C110">
        <f>IF(B110="","",COUNTIFS('2.현장'!$V$2:$V$1001,B110,'2.현장'!$T$2:$T$1001,TRUE))</f>
        <v/>
      </c>
      <c r="D110">
        <f>IF(B110="","",COUNTIFS('2.현장'!$V$2:$V$1001,B110,'2.현장'!$U$2:$U$1001,"설계사"))</f>
        <v/>
      </c>
      <c r="E110">
        <f>IF(B110="","",COUNTIFS('2.현장'!$V$2:$V$1001,B110,'2.현장'!$U$2:$U$1001,"시공사"))</f>
        <v/>
      </c>
      <c r="F110">
        <f>IF(B110="","",COUNTIFS('2.현장'!$V$2:$V$1001,B110,'2.현장'!$T$2:$T$1001,TRUE,'2.현장'!$AA$2:$AA$1001,"★"))</f>
        <v/>
      </c>
      <c r="G110" s="6">
        <f>IF(B110="","",SUMIFS('2.현장'!$AB$2:$AB$1001,'2.현장'!$V$2:$V$1001,B110,'2.현장'!$T$2:$T$1001,TRUE))</f>
        <v/>
      </c>
      <c r="H110" s="5">
        <f>IF(B110="","",_xlfn.MAXIFS('2.현장'!$D$2:$D$1001,'2.현장'!$V$2:$V$1001,B110,'2.현장'!$T$2:$T$1001,TRUE))</f>
        <v/>
      </c>
      <c r="I110" s="7">
        <f>IF(B110="","",IF(_xlfn.MAXIFS('2.현장'!$L$2:$L$1001,'2.현장'!$V$2:$V$1001,B110,'2.현장'!$T$2:$T$1001,TRUE)=0,"",_xlfn.MAXIFS('2.현장'!$L$2:$L$1001,'2.현장'!$V$2:$V$1001,B110,'2.현장'!$T$2:$T$1001,TRUE)))</f>
        <v/>
      </c>
      <c r="J110" s="7">
        <f>IF(B110="","",IF(_xlfn.MAXIFS('2.현장'!$M$2:$M$1001,'2.현장'!$V$2:$V$1001,B110,'2.현장'!$T$2:$T$1001,TRUE)=0,"",_xlfn.MAXIFS('2.현장'!$M$2:$M$1001,'2.현장'!$V$2:$V$1001,B110,'2.현장'!$T$2:$T$1001,TRUE)))</f>
        <v/>
      </c>
      <c r="K110">
        <f>IF(B110="","",IFERROR(INDEX('2.현장'!$C$2:$C$1001,IFERROR(MATCH(B110&amp;"|설계사",'2.현장'!$Z$2:$Z$1001,0),IFERROR(MATCH(B110&amp;"|시공사",'2.현장'!$Z$2:$Z$1001,0),MATCH(B110&amp;"|늦음",'2.현장'!$Z$2:$Z$1001,0)))),""))</f>
        <v/>
      </c>
      <c r="L110">
        <f>IF(B110="","",IFERROR(INDEX('2.현장'!$N$2:$N$1001,IFERROR(MATCH(B110&amp;"|설계사",'2.현장'!$Z$2:$Z$1001,0),IFERROR(MATCH(B110&amp;"|시공사",'2.현장'!$Z$2:$Z$1001,0),MATCH(B110&amp;"|늦음",'2.현장'!$Z$2:$Z$1001,0)))),""))</f>
        <v/>
      </c>
      <c r="M110">
        <f>IF(B110="","",IFERROR(VLOOKUP(B110,업체_메모!$A$3:$I$302,2,FALSE)&amp;"",""))</f>
        <v/>
      </c>
      <c r="N110">
        <f>IF(B110="","",IFERROR(VLOOKUP(B110,업체_메모!$A$3:$I$302,4,FALSE)&amp;"",""))</f>
        <v/>
      </c>
      <c r="O110" s="7">
        <f>IF(B110="","",IF(COUNTIF('4.방문기록'!$B$3:$B$502,B110)=0,"",_xlfn.MAXIFS('4.방문기록'!$A$3:$A$502,'4.방문기록'!$B$3:$B$502,B110)))</f>
        <v/>
      </c>
      <c r="P110">
        <f>IF(O110="","",설정!$B$24-O110)</f>
        <v/>
      </c>
      <c r="Q110" s="7">
        <f>IF(B110="","",IF(_xlfn.MAXIFS('4.방문기록'!$F$3:$F$502,'4.방문기록'!$B$3:$B$502,B110)=0,"",_xlfn.MAXIFS('4.방문기록'!$F$3:$F$502,'4.방문기록'!$B$3:$B$502,B110)))</f>
        <v/>
      </c>
      <c r="R110">
        <f>IF(O110="","",IFERROR(INDEX('4.방문기록'!$H$3:$H$502,MATCH(B110&amp;"|"&amp;(O110*1),'4.방문기록'!$I$3:$I$502,0))&amp;"",""))</f>
        <v/>
      </c>
      <c r="S110">
        <f>IF(B110="","",IF(R110="관심 없음","제외",IF(O110="","안 가봄",IF(P110&gt;=설정!$B$20,P110&amp;"일 지남","최근 방문"))))</f>
        <v/>
      </c>
      <c r="T110" s="8">
        <f>IF(B110="","",IF(S110="제외","",IF(AND(설정!$B$21&lt;&gt;"",L110&lt;&gt;설정!$B$21),"",IF(AND(Q110&lt;&gt;"",Q110&gt;N(O110),Q110&lt;=설정!$B$24+7),설정!$B$39+7-(Q110-설정!$B$24),IF(AND(G110&gt;0,OR(S110="안 가봄",RIGHT(S110,2)="지남")),G110+IF(O110="",설정!$B$36,MIN(P110,60)*설정!$B$37)+MIN(N(H110)/1000*설정!$B$38,20),"")))))</f>
        <v/>
      </c>
      <c r="U110">
        <f>IF(T110="","",COUNTIF(T$4:T$303,"&gt;"&amp;T110)+COUNTIF(T$4:T110,T110))</f>
        <v/>
      </c>
    </row>
    <row r="111">
      <c r="A111">
        <f>IF(B111="","",108)</f>
        <v/>
      </c>
      <c r="B111">
        <f>IFERROR(INDEX('2.현장'!$V$2:$V$1001,MATCH(108,'2.현장'!$W$2:$W$1001,0)),"")</f>
        <v/>
      </c>
      <c r="C111">
        <f>IF(B111="","",COUNTIFS('2.현장'!$V$2:$V$1001,B111,'2.현장'!$T$2:$T$1001,TRUE))</f>
        <v/>
      </c>
      <c r="D111">
        <f>IF(B111="","",COUNTIFS('2.현장'!$V$2:$V$1001,B111,'2.현장'!$U$2:$U$1001,"설계사"))</f>
        <v/>
      </c>
      <c r="E111">
        <f>IF(B111="","",COUNTIFS('2.현장'!$V$2:$V$1001,B111,'2.현장'!$U$2:$U$1001,"시공사"))</f>
        <v/>
      </c>
      <c r="F111">
        <f>IF(B111="","",COUNTIFS('2.현장'!$V$2:$V$1001,B111,'2.현장'!$T$2:$T$1001,TRUE,'2.현장'!$AA$2:$AA$1001,"★"))</f>
        <v/>
      </c>
      <c r="G111" s="6">
        <f>IF(B111="","",SUMIFS('2.현장'!$AB$2:$AB$1001,'2.현장'!$V$2:$V$1001,B111,'2.현장'!$T$2:$T$1001,TRUE))</f>
        <v/>
      </c>
      <c r="H111" s="5">
        <f>IF(B111="","",_xlfn.MAXIFS('2.현장'!$D$2:$D$1001,'2.현장'!$V$2:$V$1001,B111,'2.현장'!$T$2:$T$1001,TRUE))</f>
        <v/>
      </c>
      <c r="I111" s="7">
        <f>IF(B111="","",IF(_xlfn.MAXIFS('2.현장'!$L$2:$L$1001,'2.현장'!$V$2:$V$1001,B111,'2.현장'!$T$2:$T$1001,TRUE)=0,"",_xlfn.MAXIFS('2.현장'!$L$2:$L$1001,'2.현장'!$V$2:$V$1001,B111,'2.현장'!$T$2:$T$1001,TRUE)))</f>
        <v/>
      </c>
      <c r="J111" s="7">
        <f>IF(B111="","",IF(_xlfn.MAXIFS('2.현장'!$M$2:$M$1001,'2.현장'!$V$2:$V$1001,B111,'2.현장'!$T$2:$T$1001,TRUE)=0,"",_xlfn.MAXIFS('2.현장'!$M$2:$M$1001,'2.현장'!$V$2:$V$1001,B111,'2.현장'!$T$2:$T$1001,TRUE)))</f>
        <v/>
      </c>
      <c r="K111">
        <f>IF(B111="","",IFERROR(INDEX('2.현장'!$C$2:$C$1001,IFERROR(MATCH(B111&amp;"|설계사",'2.현장'!$Z$2:$Z$1001,0),IFERROR(MATCH(B111&amp;"|시공사",'2.현장'!$Z$2:$Z$1001,0),MATCH(B111&amp;"|늦음",'2.현장'!$Z$2:$Z$1001,0)))),""))</f>
        <v/>
      </c>
      <c r="L111">
        <f>IF(B111="","",IFERROR(INDEX('2.현장'!$N$2:$N$1001,IFERROR(MATCH(B111&amp;"|설계사",'2.현장'!$Z$2:$Z$1001,0),IFERROR(MATCH(B111&amp;"|시공사",'2.현장'!$Z$2:$Z$1001,0),MATCH(B111&amp;"|늦음",'2.현장'!$Z$2:$Z$1001,0)))),""))</f>
        <v/>
      </c>
      <c r="M111">
        <f>IF(B111="","",IFERROR(VLOOKUP(B111,업체_메모!$A$3:$I$302,2,FALSE)&amp;"",""))</f>
        <v/>
      </c>
      <c r="N111">
        <f>IF(B111="","",IFERROR(VLOOKUP(B111,업체_메모!$A$3:$I$302,4,FALSE)&amp;"",""))</f>
        <v/>
      </c>
      <c r="O111" s="7">
        <f>IF(B111="","",IF(COUNTIF('4.방문기록'!$B$3:$B$502,B111)=0,"",_xlfn.MAXIFS('4.방문기록'!$A$3:$A$502,'4.방문기록'!$B$3:$B$502,B111)))</f>
        <v/>
      </c>
      <c r="P111">
        <f>IF(O111="","",설정!$B$24-O111)</f>
        <v/>
      </c>
      <c r="Q111" s="7">
        <f>IF(B111="","",IF(_xlfn.MAXIFS('4.방문기록'!$F$3:$F$502,'4.방문기록'!$B$3:$B$502,B111)=0,"",_xlfn.MAXIFS('4.방문기록'!$F$3:$F$502,'4.방문기록'!$B$3:$B$502,B111)))</f>
        <v/>
      </c>
      <c r="R111">
        <f>IF(O111="","",IFERROR(INDEX('4.방문기록'!$H$3:$H$502,MATCH(B111&amp;"|"&amp;(O111*1),'4.방문기록'!$I$3:$I$502,0))&amp;"",""))</f>
        <v/>
      </c>
      <c r="S111">
        <f>IF(B111="","",IF(R111="관심 없음","제외",IF(O111="","안 가봄",IF(P111&gt;=설정!$B$20,P111&amp;"일 지남","최근 방문"))))</f>
        <v/>
      </c>
      <c r="T111" s="8">
        <f>IF(B111="","",IF(S111="제외","",IF(AND(설정!$B$21&lt;&gt;"",L111&lt;&gt;설정!$B$21),"",IF(AND(Q111&lt;&gt;"",Q111&gt;N(O111),Q111&lt;=설정!$B$24+7),설정!$B$39+7-(Q111-설정!$B$24),IF(AND(G111&gt;0,OR(S111="안 가봄",RIGHT(S111,2)="지남")),G111+IF(O111="",설정!$B$36,MIN(P111,60)*설정!$B$37)+MIN(N(H111)/1000*설정!$B$38,20),"")))))</f>
        <v/>
      </c>
      <c r="U111">
        <f>IF(T111="","",COUNTIF(T$4:T$303,"&gt;"&amp;T111)+COUNTIF(T$4:T111,T111))</f>
        <v/>
      </c>
    </row>
    <row r="112">
      <c r="A112">
        <f>IF(B112="","",109)</f>
        <v/>
      </c>
      <c r="B112">
        <f>IFERROR(INDEX('2.현장'!$V$2:$V$1001,MATCH(109,'2.현장'!$W$2:$W$1001,0)),"")</f>
        <v/>
      </c>
      <c r="C112">
        <f>IF(B112="","",COUNTIFS('2.현장'!$V$2:$V$1001,B112,'2.현장'!$T$2:$T$1001,TRUE))</f>
        <v/>
      </c>
      <c r="D112">
        <f>IF(B112="","",COUNTIFS('2.현장'!$V$2:$V$1001,B112,'2.현장'!$U$2:$U$1001,"설계사"))</f>
        <v/>
      </c>
      <c r="E112">
        <f>IF(B112="","",COUNTIFS('2.현장'!$V$2:$V$1001,B112,'2.현장'!$U$2:$U$1001,"시공사"))</f>
        <v/>
      </c>
      <c r="F112">
        <f>IF(B112="","",COUNTIFS('2.현장'!$V$2:$V$1001,B112,'2.현장'!$T$2:$T$1001,TRUE,'2.현장'!$AA$2:$AA$1001,"★"))</f>
        <v/>
      </c>
      <c r="G112" s="6">
        <f>IF(B112="","",SUMIFS('2.현장'!$AB$2:$AB$1001,'2.현장'!$V$2:$V$1001,B112,'2.현장'!$T$2:$T$1001,TRUE))</f>
        <v/>
      </c>
      <c r="H112" s="5">
        <f>IF(B112="","",_xlfn.MAXIFS('2.현장'!$D$2:$D$1001,'2.현장'!$V$2:$V$1001,B112,'2.현장'!$T$2:$T$1001,TRUE))</f>
        <v/>
      </c>
      <c r="I112" s="7">
        <f>IF(B112="","",IF(_xlfn.MAXIFS('2.현장'!$L$2:$L$1001,'2.현장'!$V$2:$V$1001,B112,'2.현장'!$T$2:$T$1001,TRUE)=0,"",_xlfn.MAXIFS('2.현장'!$L$2:$L$1001,'2.현장'!$V$2:$V$1001,B112,'2.현장'!$T$2:$T$1001,TRUE)))</f>
        <v/>
      </c>
      <c r="J112" s="7">
        <f>IF(B112="","",IF(_xlfn.MAXIFS('2.현장'!$M$2:$M$1001,'2.현장'!$V$2:$V$1001,B112,'2.현장'!$T$2:$T$1001,TRUE)=0,"",_xlfn.MAXIFS('2.현장'!$M$2:$M$1001,'2.현장'!$V$2:$V$1001,B112,'2.현장'!$T$2:$T$1001,TRUE)))</f>
        <v/>
      </c>
      <c r="K112">
        <f>IF(B112="","",IFERROR(INDEX('2.현장'!$C$2:$C$1001,IFERROR(MATCH(B112&amp;"|설계사",'2.현장'!$Z$2:$Z$1001,0),IFERROR(MATCH(B112&amp;"|시공사",'2.현장'!$Z$2:$Z$1001,0),MATCH(B112&amp;"|늦음",'2.현장'!$Z$2:$Z$1001,0)))),""))</f>
        <v/>
      </c>
      <c r="L112">
        <f>IF(B112="","",IFERROR(INDEX('2.현장'!$N$2:$N$1001,IFERROR(MATCH(B112&amp;"|설계사",'2.현장'!$Z$2:$Z$1001,0),IFERROR(MATCH(B112&amp;"|시공사",'2.현장'!$Z$2:$Z$1001,0),MATCH(B112&amp;"|늦음",'2.현장'!$Z$2:$Z$1001,0)))),""))</f>
        <v/>
      </c>
      <c r="M112">
        <f>IF(B112="","",IFERROR(VLOOKUP(B112,업체_메모!$A$3:$I$302,2,FALSE)&amp;"",""))</f>
        <v/>
      </c>
      <c r="N112">
        <f>IF(B112="","",IFERROR(VLOOKUP(B112,업체_메모!$A$3:$I$302,4,FALSE)&amp;"",""))</f>
        <v/>
      </c>
      <c r="O112" s="7">
        <f>IF(B112="","",IF(COUNTIF('4.방문기록'!$B$3:$B$502,B112)=0,"",_xlfn.MAXIFS('4.방문기록'!$A$3:$A$502,'4.방문기록'!$B$3:$B$502,B112)))</f>
        <v/>
      </c>
      <c r="P112">
        <f>IF(O112="","",설정!$B$24-O112)</f>
        <v/>
      </c>
      <c r="Q112" s="7">
        <f>IF(B112="","",IF(_xlfn.MAXIFS('4.방문기록'!$F$3:$F$502,'4.방문기록'!$B$3:$B$502,B112)=0,"",_xlfn.MAXIFS('4.방문기록'!$F$3:$F$502,'4.방문기록'!$B$3:$B$502,B112)))</f>
        <v/>
      </c>
      <c r="R112">
        <f>IF(O112="","",IFERROR(INDEX('4.방문기록'!$H$3:$H$502,MATCH(B112&amp;"|"&amp;(O112*1),'4.방문기록'!$I$3:$I$502,0))&amp;"",""))</f>
        <v/>
      </c>
      <c r="S112">
        <f>IF(B112="","",IF(R112="관심 없음","제외",IF(O112="","안 가봄",IF(P112&gt;=설정!$B$20,P112&amp;"일 지남","최근 방문"))))</f>
        <v/>
      </c>
      <c r="T112" s="8">
        <f>IF(B112="","",IF(S112="제외","",IF(AND(설정!$B$21&lt;&gt;"",L112&lt;&gt;설정!$B$21),"",IF(AND(Q112&lt;&gt;"",Q112&gt;N(O112),Q112&lt;=설정!$B$24+7),설정!$B$39+7-(Q112-설정!$B$24),IF(AND(G112&gt;0,OR(S112="안 가봄",RIGHT(S112,2)="지남")),G112+IF(O112="",설정!$B$36,MIN(P112,60)*설정!$B$37)+MIN(N(H112)/1000*설정!$B$38,20),"")))))</f>
        <v/>
      </c>
      <c r="U112">
        <f>IF(T112="","",COUNTIF(T$4:T$303,"&gt;"&amp;T112)+COUNTIF(T$4:T112,T112))</f>
        <v/>
      </c>
    </row>
    <row r="113">
      <c r="A113">
        <f>IF(B113="","",110)</f>
        <v/>
      </c>
      <c r="B113">
        <f>IFERROR(INDEX('2.현장'!$V$2:$V$1001,MATCH(110,'2.현장'!$W$2:$W$1001,0)),"")</f>
        <v/>
      </c>
      <c r="C113">
        <f>IF(B113="","",COUNTIFS('2.현장'!$V$2:$V$1001,B113,'2.현장'!$T$2:$T$1001,TRUE))</f>
        <v/>
      </c>
      <c r="D113">
        <f>IF(B113="","",COUNTIFS('2.현장'!$V$2:$V$1001,B113,'2.현장'!$U$2:$U$1001,"설계사"))</f>
        <v/>
      </c>
      <c r="E113">
        <f>IF(B113="","",COUNTIFS('2.현장'!$V$2:$V$1001,B113,'2.현장'!$U$2:$U$1001,"시공사"))</f>
        <v/>
      </c>
      <c r="F113">
        <f>IF(B113="","",COUNTIFS('2.현장'!$V$2:$V$1001,B113,'2.현장'!$T$2:$T$1001,TRUE,'2.현장'!$AA$2:$AA$1001,"★"))</f>
        <v/>
      </c>
      <c r="G113" s="6">
        <f>IF(B113="","",SUMIFS('2.현장'!$AB$2:$AB$1001,'2.현장'!$V$2:$V$1001,B113,'2.현장'!$T$2:$T$1001,TRUE))</f>
        <v/>
      </c>
      <c r="H113" s="5">
        <f>IF(B113="","",_xlfn.MAXIFS('2.현장'!$D$2:$D$1001,'2.현장'!$V$2:$V$1001,B113,'2.현장'!$T$2:$T$1001,TRUE))</f>
        <v/>
      </c>
      <c r="I113" s="7">
        <f>IF(B113="","",IF(_xlfn.MAXIFS('2.현장'!$L$2:$L$1001,'2.현장'!$V$2:$V$1001,B113,'2.현장'!$T$2:$T$1001,TRUE)=0,"",_xlfn.MAXIFS('2.현장'!$L$2:$L$1001,'2.현장'!$V$2:$V$1001,B113,'2.현장'!$T$2:$T$1001,TRUE)))</f>
        <v/>
      </c>
      <c r="J113" s="7">
        <f>IF(B113="","",IF(_xlfn.MAXIFS('2.현장'!$M$2:$M$1001,'2.현장'!$V$2:$V$1001,B113,'2.현장'!$T$2:$T$1001,TRUE)=0,"",_xlfn.MAXIFS('2.현장'!$M$2:$M$1001,'2.현장'!$V$2:$V$1001,B113,'2.현장'!$T$2:$T$1001,TRUE)))</f>
        <v/>
      </c>
      <c r="K113">
        <f>IF(B113="","",IFERROR(INDEX('2.현장'!$C$2:$C$1001,IFERROR(MATCH(B113&amp;"|설계사",'2.현장'!$Z$2:$Z$1001,0),IFERROR(MATCH(B113&amp;"|시공사",'2.현장'!$Z$2:$Z$1001,0),MATCH(B113&amp;"|늦음",'2.현장'!$Z$2:$Z$1001,0)))),""))</f>
        <v/>
      </c>
      <c r="L113">
        <f>IF(B113="","",IFERROR(INDEX('2.현장'!$N$2:$N$1001,IFERROR(MATCH(B113&amp;"|설계사",'2.현장'!$Z$2:$Z$1001,0),IFERROR(MATCH(B113&amp;"|시공사",'2.현장'!$Z$2:$Z$1001,0),MATCH(B113&amp;"|늦음",'2.현장'!$Z$2:$Z$1001,0)))),""))</f>
        <v/>
      </c>
      <c r="M113">
        <f>IF(B113="","",IFERROR(VLOOKUP(B113,업체_메모!$A$3:$I$302,2,FALSE)&amp;"",""))</f>
        <v/>
      </c>
      <c r="N113">
        <f>IF(B113="","",IFERROR(VLOOKUP(B113,업체_메모!$A$3:$I$302,4,FALSE)&amp;"",""))</f>
        <v/>
      </c>
      <c r="O113" s="7">
        <f>IF(B113="","",IF(COUNTIF('4.방문기록'!$B$3:$B$502,B113)=0,"",_xlfn.MAXIFS('4.방문기록'!$A$3:$A$502,'4.방문기록'!$B$3:$B$502,B113)))</f>
        <v/>
      </c>
      <c r="P113">
        <f>IF(O113="","",설정!$B$24-O113)</f>
        <v/>
      </c>
      <c r="Q113" s="7">
        <f>IF(B113="","",IF(_xlfn.MAXIFS('4.방문기록'!$F$3:$F$502,'4.방문기록'!$B$3:$B$502,B113)=0,"",_xlfn.MAXIFS('4.방문기록'!$F$3:$F$502,'4.방문기록'!$B$3:$B$502,B113)))</f>
        <v/>
      </c>
      <c r="R113">
        <f>IF(O113="","",IFERROR(INDEX('4.방문기록'!$H$3:$H$502,MATCH(B113&amp;"|"&amp;(O113*1),'4.방문기록'!$I$3:$I$502,0))&amp;"",""))</f>
        <v/>
      </c>
      <c r="S113">
        <f>IF(B113="","",IF(R113="관심 없음","제외",IF(O113="","안 가봄",IF(P113&gt;=설정!$B$20,P113&amp;"일 지남","최근 방문"))))</f>
        <v/>
      </c>
      <c r="T113" s="8">
        <f>IF(B113="","",IF(S113="제외","",IF(AND(설정!$B$21&lt;&gt;"",L113&lt;&gt;설정!$B$21),"",IF(AND(Q113&lt;&gt;"",Q113&gt;N(O113),Q113&lt;=설정!$B$24+7),설정!$B$39+7-(Q113-설정!$B$24),IF(AND(G113&gt;0,OR(S113="안 가봄",RIGHT(S113,2)="지남")),G113+IF(O113="",설정!$B$36,MIN(P113,60)*설정!$B$37)+MIN(N(H113)/1000*설정!$B$38,20),"")))))</f>
        <v/>
      </c>
      <c r="U113">
        <f>IF(T113="","",COUNTIF(T$4:T$303,"&gt;"&amp;T113)+COUNTIF(T$4:T113,T113))</f>
        <v/>
      </c>
    </row>
    <row r="114">
      <c r="A114">
        <f>IF(B114="","",111)</f>
        <v/>
      </c>
      <c r="B114">
        <f>IFERROR(INDEX('2.현장'!$V$2:$V$1001,MATCH(111,'2.현장'!$W$2:$W$1001,0)),"")</f>
        <v/>
      </c>
      <c r="C114">
        <f>IF(B114="","",COUNTIFS('2.현장'!$V$2:$V$1001,B114,'2.현장'!$T$2:$T$1001,TRUE))</f>
        <v/>
      </c>
      <c r="D114">
        <f>IF(B114="","",COUNTIFS('2.현장'!$V$2:$V$1001,B114,'2.현장'!$U$2:$U$1001,"설계사"))</f>
        <v/>
      </c>
      <c r="E114">
        <f>IF(B114="","",COUNTIFS('2.현장'!$V$2:$V$1001,B114,'2.현장'!$U$2:$U$1001,"시공사"))</f>
        <v/>
      </c>
      <c r="F114">
        <f>IF(B114="","",COUNTIFS('2.현장'!$V$2:$V$1001,B114,'2.현장'!$T$2:$T$1001,TRUE,'2.현장'!$AA$2:$AA$1001,"★"))</f>
        <v/>
      </c>
      <c r="G114" s="6">
        <f>IF(B114="","",SUMIFS('2.현장'!$AB$2:$AB$1001,'2.현장'!$V$2:$V$1001,B114,'2.현장'!$T$2:$T$1001,TRUE))</f>
        <v/>
      </c>
      <c r="H114" s="5">
        <f>IF(B114="","",_xlfn.MAXIFS('2.현장'!$D$2:$D$1001,'2.현장'!$V$2:$V$1001,B114,'2.현장'!$T$2:$T$1001,TRUE))</f>
        <v/>
      </c>
      <c r="I114" s="7">
        <f>IF(B114="","",IF(_xlfn.MAXIFS('2.현장'!$L$2:$L$1001,'2.현장'!$V$2:$V$1001,B114,'2.현장'!$T$2:$T$1001,TRUE)=0,"",_xlfn.MAXIFS('2.현장'!$L$2:$L$1001,'2.현장'!$V$2:$V$1001,B114,'2.현장'!$T$2:$T$1001,TRUE)))</f>
        <v/>
      </c>
      <c r="J114" s="7">
        <f>IF(B114="","",IF(_xlfn.MAXIFS('2.현장'!$M$2:$M$1001,'2.현장'!$V$2:$V$1001,B114,'2.현장'!$T$2:$T$1001,TRUE)=0,"",_xlfn.MAXIFS('2.현장'!$M$2:$M$1001,'2.현장'!$V$2:$V$1001,B114,'2.현장'!$T$2:$T$1001,TRUE)))</f>
        <v/>
      </c>
      <c r="K114">
        <f>IF(B114="","",IFERROR(INDEX('2.현장'!$C$2:$C$1001,IFERROR(MATCH(B114&amp;"|설계사",'2.현장'!$Z$2:$Z$1001,0),IFERROR(MATCH(B114&amp;"|시공사",'2.현장'!$Z$2:$Z$1001,0),MATCH(B114&amp;"|늦음",'2.현장'!$Z$2:$Z$1001,0)))),""))</f>
        <v/>
      </c>
      <c r="L114">
        <f>IF(B114="","",IFERROR(INDEX('2.현장'!$N$2:$N$1001,IFERROR(MATCH(B114&amp;"|설계사",'2.현장'!$Z$2:$Z$1001,0),IFERROR(MATCH(B114&amp;"|시공사",'2.현장'!$Z$2:$Z$1001,0),MATCH(B114&amp;"|늦음",'2.현장'!$Z$2:$Z$1001,0)))),""))</f>
        <v/>
      </c>
      <c r="M114">
        <f>IF(B114="","",IFERROR(VLOOKUP(B114,업체_메모!$A$3:$I$302,2,FALSE)&amp;"",""))</f>
        <v/>
      </c>
      <c r="N114">
        <f>IF(B114="","",IFERROR(VLOOKUP(B114,업체_메모!$A$3:$I$302,4,FALSE)&amp;"",""))</f>
        <v/>
      </c>
      <c r="O114" s="7">
        <f>IF(B114="","",IF(COUNTIF('4.방문기록'!$B$3:$B$502,B114)=0,"",_xlfn.MAXIFS('4.방문기록'!$A$3:$A$502,'4.방문기록'!$B$3:$B$502,B114)))</f>
        <v/>
      </c>
      <c r="P114">
        <f>IF(O114="","",설정!$B$24-O114)</f>
        <v/>
      </c>
      <c r="Q114" s="7">
        <f>IF(B114="","",IF(_xlfn.MAXIFS('4.방문기록'!$F$3:$F$502,'4.방문기록'!$B$3:$B$502,B114)=0,"",_xlfn.MAXIFS('4.방문기록'!$F$3:$F$502,'4.방문기록'!$B$3:$B$502,B114)))</f>
        <v/>
      </c>
      <c r="R114">
        <f>IF(O114="","",IFERROR(INDEX('4.방문기록'!$H$3:$H$502,MATCH(B114&amp;"|"&amp;(O114*1),'4.방문기록'!$I$3:$I$502,0))&amp;"",""))</f>
        <v/>
      </c>
      <c r="S114">
        <f>IF(B114="","",IF(R114="관심 없음","제외",IF(O114="","안 가봄",IF(P114&gt;=설정!$B$20,P114&amp;"일 지남","최근 방문"))))</f>
        <v/>
      </c>
      <c r="T114" s="8">
        <f>IF(B114="","",IF(S114="제외","",IF(AND(설정!$B$21&lt;&gt;"",L114&lt;&gt;설정!$B$21),"",IF(AND(Q114&lt;&gt;"",Q114&gt;N(O114),Q114&lt;=설정!$B$24+7),설정!$B$39+7-(Q114-설정!$B$24),IF(AND(G114&gt;0,OR(S114="안 가봄",RIGHT(S114,2)="지남")),G114+IF(O114="",설정!$B$36,MIN(P114,60)*설정!$B$37)+MIN(N(H114)/1000*설정!$B$38,20),"")))))</f>
        <v/>
      </c>
      <c r="U114">
        <f>IF(T114="","",COUNTIF(T$4:T$303,"&gt;"&amp;T114)+COUNTIF(T$4:T114,T114))</f>
        <v/>
      </c>
    </row>
    <row r="115">
      <c r="A115">
        <f>IF(B115="","",112)</f>
        <v/>
      </c>
      <c r="B115">
        <f>IFERROR(INDEX('2.현장'!$V$2:$V$1001,MATCH(112,'2.현장'!$W$2:$W$1001,0)),"")</f>
        <v/>
      </c>
      <c r="C115">
        <f>IF(B115="","",COUNTIFS('2.현장'!$V$2:$V$1001,B115,'2.현장'!$T$2:$T$1001,TRUE))</f>
        <v/>
      </c>
      <c r="D115">
        <f>IF(B115="","",COUNTIFS('2.현장'!$V$2:$V$1001,B115,'2.현장'!$U$2:$U$1001,"설계사"))</f>
        <v/>
      </c>
      <c r="E115">
        <f>IF(B115="","",COUNTIFS('2.현장'!$V$2:$V$1001,B115,'2.현장'!$U$2:$U$1001,"시공사"))</f>
        <v/>
      </c>
      <c r="F115">
        <f>IF(B115="","",COUNTIFS('2.현장'!$V$2:$V$1001,B115,'2.현장'!$T$2:$T$1001,TRUE,'2.현장'!$AA$2:$AA$1001,"★"))</f>
        <v/>
      </c>
      <c r="G115" s="6">
        <f>IF(B115="","",SUMIFS('2.현장'!$AB$2:$AB$1001,'2.현장'!$V$2:$V$1001,B115,'2.현장'!$T$2:$T$1001,TRUE))</f>
        <v/>
      </c>
      <c r="H115" s="5">
        <f>IF(B115="","",_xlfn.MAXIFS('2.현장'!$D$2:$D$1001,'2.현장'!$V$2:$V$1001,B115,'2.현장'!$T$2:$T$1001,TRUE))</f>
        <v/>
      </c>
      <c r="I115" s="7">
        <f>IF(B115="","",IF(_xlfn.MAXIFS('2.현장'!$L$2:$L$1001,'2.현장'!$V$2:$V$1001,B115,'2.현장'!$T$2:$T$1001,TRUE)=0,"",_xlfn.MAXIFS('2.현장'!$L$2:$L$1001,'2.현장'!$V$2:$V$1001,B115,'2.현장'!$T$2:$T$1001,TRUE)))</f>
        <v/>
      </c>
      <c r="J115" s="7">
        <f>IF(B115="","",IF(_xlfn.MAXIFS('2.현장'!$M$2:$M$1001,'2.현장'!$V$2:$V$1001,B115,'2.현장'!$T$2:$T$1001,TRUE)=0,"",_xlfn.MAXIFS('2.현장'!$M$2:$M$1001,'2.현장'!$V$2:$V$1001,B115,'2.현장'!$T$2:$T$1001,TRUE)))</f>
        <v/>
      </c>
      <c r="K115">
        <f>IF(B115="","",IFERROR(INDEX('2.현장'!$C$2:$C$1001,IFERROR(MATCH(B115&amp;"|설계사",'2.현장'!$Z$2:$Z$1001,0),IFERROR(MATCH(B115&amp;"|시공사",'2.현장'!$Z$2:$Z$1001,0),MATCH(B115&amp;"|늦음",'2.현장'!$Z$2:$Z$1001,0)))),""))</f>
        <v/>
      </c>
      <c r="L115">
        <f>IF(B115="","",IFERROR(INDEX('2.현장'!$N$2:$N$1001,IFERROR(MATCH(B115&amp;"|설계사",'2.현장'!$Z$2:$Z$1001,0),IFERROR(MATCH(B115&amp;"|시공사",'2.현장'!$Z$2:$Z$1001,0),MATCH(B115&amp;"|늦음",'2.현장'!$Z$2:$Z$1001,0)))),""))</f>
        <v/>
      </c>
      <c r="M115">
        <f>IF(B115="","",IFERROR(VLOOKUP(B115,업체_메모!$A$3:$I$302,2,FALSE)&amp;"",""))</f>
        <v/>
      </c>
      <c r="N115">
        <f>IF(B115="","",IFERROR(VLOOKUP(B115,업체_메모!$A$3:$I$302,4,FALSE)&amp;"",""))</f>
        <v/>
      </c>
      <c r="O115" s="7">
        <f>IF(B115="","",IF(COUNTIF('4.방문기록'!$B$3:$B$502,B115)=0,"",_xlfn.MAXIFS('4.방문기록'!$A$3:$A$502,'4.방문기록'!$B$3:$B$502,B115)))</f>
        <v/>
      </c>
      <c r="P115">
        <f>IF(O115="","",설정!$B$24-O115)</f>
        <v/>
      </c>
      <c r="Q115" s="7">
        <f>IF(B115="","",IF(_xlfn.MAXIFS('4.방문기록'!$F$3:$F$502,'4.방문기록'!$B$3:$B$502,B115)=0,"",_xlfn.MAXIFS('4.방문기록'!$F$3:$F$502,'4.방문기록'!$B$3:$B$502,B115)))</f>
        <v/>
      </c>
      <c r="R115">
        <f>IF(O115="","",IFERROR(INDEX('4.방문기록'!$H$3:$H$502,MATCH(B115&amp;"|"&amp;(O115*1),'4.방문기록'!$I$3:$I$502,0))&amp;"",""))</f>
        <v/>
      </c>
      <c r="S115">
        <f>IF(B115="","",IF(R115="관심 없음","제외",IF(O115="","안 가봄",IF(P115&gt;=설정!$B$20,P115&amp;"일 지남","최근 방문"))))</f>
        <v/>
      </c>
      <c r="T115" s="8">
        <f>IF(B115="","",IF(S115="제외","",IF(AND(설정!$B$21&lt;&gt;"",L115&lt;&gt;설정!$B$21),"",IF(AND(Q115&lt;&gt;"",Q115&gt;N(O115),Q115&lt;=설정!$B$24+7),설정!$B$39+7-(Q115-설정!$B$24),IF(AND(G115&gt;0,OR(S115="안 가봄",RIGHT(S115,2)="지남")),G115+IF(O115="",설정!$B$36,MIN(P115,60)*설정!$B$37)+MIN(N(H115)/1000*설정!$B$38,20),"")))))</f>
        <v/>
      </c>
      <c r="U115">
        <f>IF(T115="","",COUNTIF(T$4:T$303,"&gt;"&amp;T115)+COUNTIF(T$4:T115,T115))</f>
        <v/>
      </c>
    </row>
    <row r="116">
      <c r="A116">
        <f>IF(B116="","",113)</f>
        <v/>
      </c>
      <c r="B116">
        <f>IFERROR(INDEX('2.현장'!$V$2:$V$1001,MATCH(113,'2.현장'!$W$2:$W$1001,0)),"")</f>
        <v/>
      </c>
      <c r="C116">
        <f>IF(B116="","",COUNTIFS('2.현장'!$V$2:$V$1001,B116,'2.현장'!$T$2:$T$1001,TRUE))</f>
        <v/>
      </c>
      <c r="D116">
        <f>IF(B116="","",COUNTIFS('2.현장'!$V$2:$V$1001,B116,'2.현장'!$U$2:$U$1001,"설계사"))</f>
        <v/>
      </c>
      <c r="E116">
        <f>IF(B116="","",COUNTIFS('2.현장'!$V$2:$V$1001,B116,'2.현장'!$U$2:$U$1001,"시공사"))</f>
        <v/>
      </c>
      <c r="F116">
        <f>IF(B116="","",COUNTIFS('2.현장'!$V$2:$V$1001,B116,'2.현장'!$T$2:$T$1001,TRUE,'2.현장'!$AA$2:$AA$1001,"★"))</f>
        <v/>
      </c>
      <c r="G116" s="6">
        <f>IF(B116="","",SUMIFS('2.현장'!$AB$2:$AB$1001,'2.현장'!$V$2:$V$1001,B116,'2.현장'!$T$2:$T$1001,TRUE))</f>
        <v/>
      </c>
      <c r="H116" s="5">
        <f>IF(B116="","",_xlfn.MAXIFS('2.현장'!$D$2:$D$1001,'2.현장'!$V$2:$V$1001,B116,'2.현장'!$T$2:$T$1001,TRUE))</f>
        <v/>
      </c>
      <c r="I116" s="7">
        <f>IF(B116="","",IF(_xlfn.MAXIFS('2.현장'!$L$2:$L$1001,'2.현장'!$V$2:$V$1001,B116,'2.현장'!$T$2:$T$1001,TRUE)=0,"",_xlfn.MAXIFS('2.현장'!$L$2:$L$1001,'2.현장'!$V$2:$V$1001,B116,'2.현장'!$T$2:$T$1001,TRUE)))</f>
        <v/>
      </c>
      <c r="J116" s="7">
        <f>IF(B116="","",IF(_xlfn.MAXIFS('2.현장'!$M$2:$M$1001,'2.현장'!$V$2:$V$1001,B116,'2.현장'!$T$2:$T$1001,TRUE)=0,"",_xlfn.MAXIFS('2.현장'!$M$2:$M$1001,'2.현장'!$V$2:$V$1001,B116,'2.현장'!$T$2:$T$1001,TRUE)))</f>
        <v/>
      </c>
      <c r="K116">
        <f>IF(B116="","",IFERROR(INDEX('2.현장'!$C$2:$C$1001,IFERROR(MATCH(B116&amp;"|설계사",'2.현장'!$Z$2:$Z$1001,0),IFERROR(MATCH(B116&amp;"|시공사",'2.현장'!$Z$2:$Z$1001,0),MATCH(B116&amp;"|늦음",'2.현장'!$Z$2:$Z$1001,0)))),""))</f>
        <v/>
      </c>
      <c r="L116">
        <f>IF(B116="","",IFERROR(INDEX('2.현장'!$N$2:$N$1001,IFERROR(MATCH(B116&amp;"|설계사",'2.현장'!$Z$2:$Z$1001,0),IFERROR(MATCH(B116&amp;"|시공사",'2.현장'!$Z$2:$Z$1001,0),MATCH(B116&amp;"|늦음",'2.현장'!$Z$2:$Z$1001,0)))),""))</f>
        <v/>
      </c>
      <c r="M116">
        <f>IF(B116="","",IFERROR(VLOOKUP(B116,업체_메모!$A$3:$I$302,2,FALSE)&amp;"",""))</f>
        <v/>
      </c>
      <c r="N116">
        <f>IF(B116="","",IFERROR(VLOOKUP(B116,업체_메모!$A$3:$I$302,4,FALSE)&amp;"",""))</f>
        <v/>
      </c>
      <c r="O116" s="7">
        <f>IF(B116="","",IF(COUNTIF('4.방문기록'!$B$3:$B$502,B116)=0,"",_xlfn.MAXIFS('4.방문기록'!$A$3:$A$502,'4.방문기록'!$B$3:$B$502,B116)))</f>
        <v/>
      </c>
      <c r="P116">
        <f>IF(O116="","",설정!$B$24-O116)</f>
        <v/>
      </c>
      <c r="Q116" s="7">
        <f>IF(B116="","",IF(_xlfn.MAXIFS('4.방문기록'!$F$3:$F$502,'4.방문기록'!$B$3:$B$502,B116)=0,"",_xlfn.MAXIFS('4.방문기록'!$F$3:$F$502,'4.방문기록'!$B$3:$B$502,B116)))</f>
        <v/>
      </c>
      <c r="R116">
        <f>IF(O116="","",IFERROR(INDEX('4.방문기록'!$H$3:$H$502,MATCH(B116&amp;"|"&amp;(O116*1),'4.방문기록'!$I$3:$I$502,0))&amp;"",""))</f>
        <v/>
      </c>
      <c r="S116">
        <f>IF(B116="","",IF(R116="관심 없음","제외",IF(O116="","안 가봄",IF(P116&gt;=설정!$B$20,P116&amp;"일 지남","최근 방문"))))</f>
        <v/>
      </c>
      <c r="T116" s="8">
        <f>IF(B116="","",IF(S116="제외","",IF(AND(설정!$B$21&lt;&gt;"",L116&lt;&gt;설정!$B$21),"",IF(AND(Q116&lt;&gt;"",Q116&gt;N(O116),Q116&lt;=설정!$B$24+7),설정!$B$39+7-(Q116-설정!$B$24),IF(AND(G116&gt;0,OR(S116="안 가봄",RIGHT(S116,2)="지남")),G116+IF(O116="",설정!$B$36,MIN(P116,60)*설정!$B$37)+MIN(N(H116)/1000*설정!$B$38,20),"")))))</f>
        <v/>
      </c>
      <c r="U116">
        <f>IF(T116="","",COUNTIF(T$4:T$303,"&gt;"&amp;T116)+COUNTIF(T$4:T116,T116))</f>
        <v/>
      </c>
    </row>
    <row r="117">
      <c r="A117">
        <f>IF(B117="","",114)</f>
        <v/>
      </c>
      <c r="B117">
        <f>IFERROR(INDEX('2.현장'!$V$2:$V$1001,MATCH(114,'2.현장'!$W$2:$W$1001,0)),"")</f>
        <v/>
      </c>
      <c r="C117">
        <f>IF(B117="","",COUNTIFS('2.현장'!$V$2:$V$1001,B117,'2.현장'!$T$2:$T$1001,TRUE))</f>
        <v/>
      </c>
      <c r="D117">
        <f>IF(B117="","",COUNTIFS('2.현장'!$V$2:$V$1001,B117,'2.현장'!$U$2:$U$1001,"설계사"))</f>
        <v/>
      </c>
      <c r="E117">
        <f>IF(B117="","",COUNTIFS('2.현장'!$V$2:$V$1001,B117,'2.현장'!$U$2:$U$1001,"시공사"))</f>
        <v/>
      </c>
      <c r="F117">
        <f>IF(B117="","",COUNTIFS('2.현장'!$V$2:$V$1001,B117,'2.현장'!$T$2:$T$1001,TRUE,'2.현장'!$AA$2:$AA$1001,"★"))</f>
        <v/>
      </c>
      <c r="G117" s="6">
        <f>IF(B117="","",SUMIFS('2.현장'!$AB$2:$AB$1001,'2.현장'!$V$2:$V$1001,B117,'2.현장'!$T$2:$T$1001,TRUE))</f>
        <v/>
      </c>
      <c r="H117" s="5">
        <f>IF(B117="","",_xlfn.MAXIFS('2.현장'!$D$2:$D$1001,'2.현장'!$V$2:$V$1001,B117,'2.현장'!$T$2:$T$1001,TRUE))</f>
        <v/>
      </c>
      <c r="I117" s="7">
        <f>IF(B117="","",IF(_xlfn.MAXIFS('2.현장'!$L$2:$L$1001,'2.현장'!$V$2:$V$1001,B117,'2.현장'!$T$2:$T$1001,TRUE)=0,"",_xlfn.MAXIFS('2.현장'!$L$2:$L$1001,'2.현장'!$V$2:$V$1001,B117,'2.현장'!$T$2:$T$1001,TRUE)))</f>
        <v/>
      </c>
      <c r="J117" s="7">
        <f>IF(B117="","",IF(_xlfn.MAXIFS('2.현장'!$M$2:$M$1001,'2.현장'!$V$2:$V$1001,B117,'2.현장'!$T$2:$T$1001,TRUE)=0,"",_xlfn.MAXIFS('2.현장'!$M$2:$M$1001,'2.현장'!$V$2:$V$1001,B117,'2.현장'!$T$2:$T$1001,TRUE)))</f>
        <v/>
      </c>
      <c r="K117">
        <f>IF(B117="","",IFERROR(INDEX('2.현장'!$C$2:$C$1001,IFERROR(MATCH(B117&amp;"|설계사",'2.현장'!$Z$2:$Z$1001,0),IFERROR(MATCH(B117&amp;"|시공사",'2.현장'!$Z$2:$Z$1001,0),MATCH(B117&amp;"|늦음",'2.현장'!$Z$2:$Z$1001,0)))),""))</f>
        <v/>
      </c>
      <c r="L117">
        <f>IF(B117="","",IFERROR(INDEX('2.현장'!$N$2:$N$1001,IFERROR(MATCH(B117&amp;"|설계사",'2.현장'!$Z$2:$Z$1001,0),IFERROR(MATCH(B117&amp;"|시공사",'2.현장'!$Z$2:$Z$1001,0),MATCH(B117&amp;"|늦음",'2.현장'!$Z$2:$Z$1001,0)))),""))</f>
        <v/>
      </c>
      <c r="M117">
        <f>IF(B117="","",IFERROR(VLOOKUP(B117,업체_메모!$A$3:$I$302,2,FALSE)&amp;"",""))</f>
        <v/>
      </c>
      <c r="N117">
        <f>IF(B117="","",IFERROR(VLOOKUP(B117,업체_메모!$A$3:$I$302,4,FALSE)&amp;"",""))</f>
        <v/>
      </c>
      <c r="O117" s="7">
        <f>IF(B117="","",IF(COUNTIF('4.방문기록'!$B$3:$B$502,B117)=0,"",_xlfn.MAXIFS('4.방문기록'!$A$3:$A$502,'4.방문기록'!$B$3:$B$502,B117)))</f>
        <v/>
      </c>
      <c r="P117">
        <f>IF(O117="","",설정!$B$24-O117)</f>
        <v/>
      </c>
      <c r="Q117" s="7">
        <f>IF(B117="","",IF(_xlfn.MAXIFS('4.방문기록'!$F$3:$F$502,'4.방문기록'!$B$3:$B$502,B117)=0,"",_xlfn.MAXIFS('4.방문기록'!$F$3:$F$502,'4.방문기록'!$B$3:$B$502,B117)))</f>
        <v/>
      </c>
      <c r="R117">
        <f>IF(O117="","",IFERROR(INDEX('4.방문기록'!$H$3:$H$502,MATCH(B117&amp;"|"&amp;(O117*1),'4.방문기록'!$I$3:$I$502,0))&amp;"",""))</f>
        <v/>
      </c>
      <c r="S117">
        <f>IF(B117="","",IF(R117="관심 없음","제외",IF(O117="","안 가봄",IF(P117&gt;=설정!$B$20,P117&amp;"일 지남","최근 방문"))))</f>
        <v/>
      </c>
      <c r="T117" s="8">
        <f>IF(B117="","",IF(S117="제외","",IF(AND(설정!$B$21&lt;&gt;"",L117&lt;&gt;설정!$B$21),"",IF(AND(Q117&lt;&gt;"",Q117&gt;N(O117),Q117&lt;=설정!$B$24+7),설정!$B$39+7-(Q117-설정!$B$24),IF(AND(G117&gt;0,OR(S117="안 가봄",RIGHT(S117,2)="지남")),G117+IF(O117="",설정!$B$36,MIN(P117,60)*설정!$B$37)+MIN(N(H117)/1000*설정!$B$38,20),"")))))</f>
        <v/>
      </c>
      <c r="U117">
        <f>IF(T117="","",COUNTIF(T$4:T$303,"&gt;"&amp;T117)+COUNTIF(T$4:T117,T117))</f>
        <v/>
      </c>
    </row>
    <row r="118">
      <c r="A118">
        <f>IF(B118="","",115)</f>
        <v/>
      </c>
      <c r="B118">
        <f>IFERROR(INDEX('2.현장'!$V$2:$V$1001,MATCH(115,'2.현장'!$W$2:$W$1001,0)),"")</f>
        <v/>
      </c>
      <c r="C118">
        <f>IF(B118="","",COUNTIFS('2.현장'!$V$2:$V$1001,B118,'2.현장'!$T$2:$T$1001,TRUE))</f>
        <v/>
      </c>
      <c r="D118">
        <f>IF(B118="","",COUNTIFS('2.현장'!$V$2:$V$1001,B118,'2.현장'!$U$2:$U$1001,"설계사"))</f>
        <v/>
      </c>
      <c r="E118">
        <f>IF(B118="","",COUNTIFS('2.현장'!$V$2:$V$1001,B118,'2.현장'!$U$2:$U$1001,"시공사"))</f>
        <v/>
      </c>
      <c r="F118">
        <f>IF(B118="","",COUNTIFS('2.현장'!$V$2:$V$1001,B118,'2.현장'!$T$2:$T$1001,TRUE,'2.현장'!$AA$2:$AA$1001,"★"))</f>
        <v/>
      </c>
      <c r="G118" s="6">
        <f>IF(B118="","",SUMIFS('2.현장'!$AB$2:$AB$1001,'2.현장'!$V$2:$V$1001,B118,'2.현장'!$T$2:$T$1001,TRUE))</f>
        <v/>
      </c>
      <c r="H118" s="5">
        <f>IF(B118="","",_xlfn.MAXIFS('2.현장'!$D$2:$D$1001,'2.현장'!$V$2:$V$1001,B118,'2.현장'!$T$2:$T$1001,TRUE))</f>
        <v/>
      </c>
      <c r="I118" s="7">
        <f>IF(B118="","",IF(_xlfn.MAXIFS('2.현장'!$L$2:$L$1001,'2.현장'!$V$2:$V$1001,B118,'2.현장'!$T$2:$T$1001,TRUE)=0,"",_xlfn.MAXIFS('2.현장'!$L$2:$L$1001,'2.현장'!$V$2:$V$1001,B118,'2.현장'!$T$2:$T$1001,TRUE)))</f>
        <v/>
      </c>
      <c r="J118" s="7">
        <f>IF(B118="","",IF(_xlfn.MAXIFS('2.현장'!$M$2:$M$1001,'2.현장'!$V$2:$V$1001,B118,'2.현장'!$T$2:$T$1001,TRUE)=0,"",_xlfn.MAXIFS('2.현장'!$M$2:$M$1001,'2.현장'!$V$2:$V$1001,B118,'2.현장'!$T$2:$T$1001,TRUE)))</f>
        <v/>
      </c>
      <c r="K118">
        <f>IF(B118="","",IFERROR(INDEX('2.현장'!$C$2:$C$1001,IFERROR(MATCH(B118&amp;"|설계사",'2.현장'!$Z$2:$Z$1001,0),IFERROR(MATCH(B118&amp;"|시공사",'2.현장'!$Z$2:$Z$1001,0),MATCH(B118&amp;"|늦음",'2.현장'!$Z$2:$Z$1001,0)))),""))</f>
        <v/>
      </c>
      <c r="L118">
        <f>IF(B118="","",IFERROR(INDEX('2.현장'!$N$2:$N$1001,IFERROR(MATCH(B118&amp;"|설계사",'2.현장'!$Z$2:$Z$1001,0),IFERROR(MATCH(B118&amp;"|시공사",'2.현장'!$Z$2:$Z$1001,0),MATCH(B118&amp;"|늦음",'2.현장'!$Z$2:$Z$1001,0)))),""))</f>
        <v/>
      </c>
      <c r="M118">
        <f>IF(B118="","",IFERROR(VLOOKUP(B118,업체_메모!$A$3:$I$302,2,FALSE)&amp;"",""))</f>
        <v/>
      </c>
      <c r="N118">
        <f>IF(B118="","",IFERROR(VLOOKUP(B118,업체_메모!$A$3:$I$302,4,FALSE)&amp;"",""))</f>
        <v/>
      </c>
      <c r="O118" s="7">
        <f>IF(B118="","",IF(COUNTIF('4.방문기록'!$B$3:$B$502,B118)=0,"",_xlfn.MAXIFS('4.방문기록'!$A$3:$A$502,'4.방문기록'!$B$3:$B$502,B118)))</f>
        <v/>
      </c>
      <c r="P118">
        <f>IF(O118="","",설정!$B$24-O118)</f>
        <v/>
      </c>
      <c r="Q118" s="7">
        <f>IF(B118="","",IF(_xlfn.MAXIFS('4.방문기록'!$F$3:$F$502,'4.방문기록'!$B$3:$B$502,B118)=0,"",_xlfn.MAXIFS('4.방문기록'!$F$3:$F$502,'4.방문기록'!$B$3:$B$502,B118)))</f>
        <v/>
      </c>
      <c r="R118">
        <f>IF(O118="","",IFERROR(INDEX('4.방문기록'!$H$3:$H$502,MATCH(B118&amp;"|"&amp;(O118*1),'4.방문기록'!$I$3:$I$502,0))&amp;"",""))</f>
        <v/>
      </c>
      <c r="S118">
        <f>IF(B118="","",IF(R118="관심 없음","제외",IF(O118="","안 가봄",IF(P118&gt;=설정!$B$20,P118&amp;"일 지남","최근 방문"))))</f>
        <v/>
      </c>
      <c r="T118" s="8">
        <f>IF(B118="","",IF(S118="제외","",IF(AND(설정!$B$21&lt;&gt;"",L118&lt;&gt;설정!$B$21),"",IF(AND(Q118&lt;&gt;"",Q118&gt;N(O118),Q118&lt;=설정!$B$24+7),설정!$B$39+7-(Q118-설정!$B$24),IF(AND(G118&gt;0,OR(S118="안 가봄",RIGHT(S118,2)="지남")),G118+IF(O118="",설정!$B$36,MIN(P118,60)*설정!$B$37)+MIN(N(H118)/1000*설정!$B$38,20),"")))))</f>
        <v/>
      </c>
      <c r="U118">
        <f>IF(T118="","",COUNTIF(T$4:T$303,"&gt;"&amp;T118)+COUNTIF(T$4:T118,T118))</f>
        <v/>
      </c>
    </row>
    <row r="119">
      <c r="A119">
        <f>IF(B119="","",116)</f>
        <v/>
      </c>
      <c r="B119">
        <f>IFERROR(INDEX('2.현장'!$V$2:$V$1001,MATCH(116,'2.현장'!$W$2:$W$1001,0)),"")</f>
        <v/>
      </c>
      <c r="C119">
        <f>IF(B119="","",COUNTIFS('2.현장'!$V$2:$V$1001,B119,'2.현장'!$T$2:$T$1001,TRUE))</f>
        <v/>
      </c>
      <c r="D119">
        <f>IF(B119="","",COUNTIFS('2.현장'!$V$2:$V$1001,B119,'2.현장'!$U$2:$U$1001,"설계사"))</f>
        <v/>
      </c>
      <c r="E119">
        <f>IF(B119="","",COUNTIFS('2.현장'!$V$2:$V$1001,B119,'2.현장'!$U$2:$U$1001,"시공사"))</f>
        <v/>
      </c>
      <c r="F119">
        <f>IF(B119="","",COUNTIFS('2.현장'!$V$2:$V$1001,B119,'2.현장'!$T$2:$T$1001,TRUE,'2.현장'!$AA$2:$AA$1001,"★"))</f>
        <v/>
      </c>
      <c r="G119" s="6">
        <f>IF(B119="","",SUMIFS('2.현장'!$AB$2:$AB$1001,'2.현장'!$V$2:$V$1001,B119,'2.현장'!$T$2:$T$1001,TRUE))</f>
        <v/>
      </c>
      <c r="H119" s="5">
        <f>IF(B119="","",_xlfn.MAXIFS('2.현장'!$D$2:$D$1001,'2.현장'!$V$2:$V$1001,B119,'2.현장'!$T$2:$T$1001,TRUE))</f>
        <v/>
      </c>
      <c r="I119" s="7">
        <f>IF(B119="","",IF(_xlfn.MAXIFS('2.현장'!$L$2:$L$1001,'2.현장'!$V$2:$V$1001,B119,'2.현장'!$T$2:$T$1001,TRUE)=0,"",_xlfn.MAXIFS('2.현장'!$L$2:$L$1001,'2.현장'!$V$2:$V$1001,B119,'2.현장'!$T$2:$T$1001,TRUE)))</f>
        <v/>
      </c>
      <c r="J119" s="7">
        <f>IF(B119="","",IF(_xlfn.MAXIFS('2.현장'!$M$2:$M$1001,'2.현장'!$V$2:$V$1001,B119,'2.현장'!$T$2:$T$1001,TRUE)=0,"",_xlfn.MAXIFS('2.현장'!$M$2:$M$1001,'2.현장'!$V$2:$V$1001,B119,'2.현장'!$T$2:$T$1001,TRUE)))</f>
        <v/>
      </c>
      <c r="K119">
        <f>IF(B119="","",IFERROR(INDEX('2.현장'!$C$2:$C$1001,IFERROR(MATCH(B119&amp;"|설계사",'2.현장'!$Z$2:$Z$1001,0),IFERROR(MATCH(B119&amp;"|시공사",'2.현장'!$Z$2:$Z$1001,0),MATCH(B119&amp;"|늦음",'2.현장'!$Z$2:$Z$1001,0)))),""))</f>
        <v/>
      </c>
      <c r="L119">
        <f>IF(B119="","",IFERROR(INDEX('2.현장'!$N$2:$N$1001,IFERROR(MATCH(B119&amp;"|설계사",'2.현장'!$Z$2:$Z$1001,0),IFERROR(MATCH(B119&amp;"|시공사",'2.현장'!$Z$2:$Z$1001,0),MATCH(B119&amp;"|늦음",'2.현장'!$Z$2:$Z$1001,0)))),""))</f>
        <v/>
      </c>
      <c r="M119">
        <f>IF(B119="","",IFERROR(VLOOKUP(B119,업체_메모!$A$3:$I$302,2,FALSE)&amp;"",""))</f>
        <v/>
      </c>
      <c r="N119">
        <f>IF(B119="","",IFERROR(VLOOKUP(B119,업체_메모!$A$3:$I$302,4,FALSE)&amp;"",""))</f>
        <v/>
      </c>
      <c r="O119" s="7">
        <f>IF(B119="","",IF(COUNTIF('4.방문기록'!$B$3:$B$502,B119)=0,"",_xlfn.MAXIFS('4.방문기록'!$A$3:$A$502,'4.방문기록'!$B$3:$B$502,B119)))</f>
        <v/>
      </c>
      <c r="P119">
        <f>IF(O119="","",설정!$B$24-O119)</f>
        <v/>
      </c>
      <c r="Q119" s="7">
        <f>IF(B119="","",IF(_xlfn.MAXIFS('4.방문기록'!$F$3:$F$502,'4.방문기록'!$B$3:$B$502,B119)=0,"",_xlfn.MAXIFS('4.방문기록'!$F$3:$F$502,'4.방문기록'!$B$3:$B$502,B119)))</f>
        <v/>
      </c>
      <c r="R119">
        <f>IF(O119="","",IFERROR(INDEX('4.방문기록'!$H$3:$H$502,MATCH(B119&amp;"|"&amp;(O119*1),'4.방문기록'!$I$3:$I$502,0))&amp;"",""))</f>
        <v/>
      </c>
      <c r="S119">
        <f>IF(B119="","",IF(R119="관심 없음","제외",IF(O119="","안 가봄",IF(P119&gt;=설정!$B$20,P119&amp;"일 지남","최근 방문"))))</f>
        <v/>
      </c>
      <c r="T119" s="8">
        <f>IF(B119="","",IF(S119="제외","",IF(AND(설정!$B$21&lt;&gt;"",L119&lt;&gt;설정!$B$21),"",IF(AND(Q119&lt;&gt;"",Q119&gt;N(O119),Q119&lt;=설정!$B$24+7),설정!$B$39+7-(Q119-설정!$B$24),IF(AND(G119&gt;0,OR(S119="안 가봄",RIGHT(S119,2)="지남")),G119+IF(O119="",설정!$B$36,MIN(P119,60)*설정!$B$37)+MIN(N(H119)/1000*설정!$B$38,20),"")))))</f>
        <v/>
      </c>
      <c r="U119">
        <f>IF(T119="","",COUNTIF(T$4:T$303,"&gt;"&amp;T119)+COUNTIF(T$4:T119,T119))</f>
        <v/>
      </c>
    </row>
    <row r="120">
      <c r="A120">
        <f>IF(B120="","",117)</f>
        <v/>
      </c>
      <c r="B120">
        <f>IFERROR(INDEX('2.현장'!$V$2:$V$1001,MATCH(117,'2.현장'!$W$2:$W$1001,0)),"")</f>
        <v/>
      </c>
      <c r="C120">
        <f>IF(B120="","",COUNTIFS('2.현장'!$V$2:$V$1001,B120,'2.현장'!$T$2:$T$1001,TRUE))</f>
        <v/>
      </c>
      <c r="D120">
        <f>IF(B120="","",COUNTIFS('2.현장'!$V$2:$V$1001,B120,'2.현장'!$U$2:$U$1001,"설계사"))</f>
        <v/>
      </c>
      <c r="E120">
        <f>IF(B120="","",COUNTIFS('2.현장'!$V$2:$V$1001,B120,'2.현장'!$U$2:$U$1001,"시공사"))</f>
        <v/>
      </c>
      <c r="F120">
        <f>IF(B120="","",COUNTIFS('2.현장'!$V$2:$V$1001,B120,'2.현장'!$T$2:$T$1001,TRUE,'2.현장'!$AA$2:$AA$1001,"★"))</f>
        <v/>
      </c>
      <c r="G120" s="6">
        <f>IF(B120="","",SUMIFS('2.현장'!$AB$2:$AB$1001,'2.현장'!$V$2:$V$1001,B120,'2.현장'!$T$2:$T$1001,TRUE))</f>
        <v/>
      </c>
      <c r="H120" s="5">
        <f>IF(B120="","",_xlfn.MAXIFS('2.현장'!$D$2:$D$1001,'2.현장'!$V$2:$V$1001,B120,'2.현장'!$T$2:$T$1001,TRUE))</f>
        <v/>
      </c>
      <c r="I120" s="7">
        <f>IF(B120="","",IF(_xlfn.MAXIFS('2.현장'!$L$2:$L$1001,'2.현장'!$V$2:$V$1001,B120,'2.현장'!$T$2:$T$1001,TRUE)=0,"",_xlfn.MAXIFS('2.현장'!$L$2:$L$1001,'2.현장'!$V$2:$V$1001,B120,'2.현장'!$T$2:$T$1001,TRUE)))</f>
        <v/>
      </c>
      <c r="J120" s="7">
        <f>IF(B120="","",IF(_xlfn.MAXIFS('2.현장'!$M$2:$M$1001,'2.현장'!$V$2:$V$1001,B120,'2.현장'!$T$2:$T$1001,TRUE)=0,"",_xlfn.MAXIFS('2.현장'!$M$2:$M$1001,'2.현장'!$V$2:$V$1001,B120,'2.현장'!$T$2:$T$1001,TRUE)))</f>
        <v/>
      </c>
      <c r="K120">
        <f>IF(B120="","",IFERROR(INDEX('2.현장'!$C$2:$C$1001,IFERROR(MATCH(B120&amp;"|설계사",'2.현장'!$Z$2:$Z$1001,0),IFERROR(MATCH(B120&amp;"|시공사",'2.현장'!$Z$2:$Z$1001,0),MATCH(B120&amp;"|늦음",'2.현장'!$Z$2:$Z$1001,0)))),""))</f>
        <v/>
      </c>
      <c r="L120">
        <f>IF(B120="","",IFERROR(INDEX('2.현장'!$N$2:$N$1001,IFERROR(MATCH(B120&amp;"|설계사",'2.현장'!$Z$2:$Z$1001,0),IFERROR(MATCH(B120&amp;"|시공사",'2.현장'!$Z$2:$Z$1001,0),MATCH(B120&amp;"|늦음",'2.현장'!$Z$2:$Z$1001,0)))),""))</f>
        <v/>
      </c>
      <c r="M120">
        <f>IF(B120="","",IFERROR(VLOOKUP(B120,업체_메모!$A$3:$I$302,2,FALSE)&amp;"",""))</f>
        <v/>
      </c>
      <c r="N120">
        <f>IF(B120="","",IFERROR(VLOOKUP(B120,업체_메모!$A$3:$I$302,4,FALSE)&amp;"",""))</f>
        <v/>
      </c>
      <c r="O120" s="7">
        <f>IF(B120="","",IF(COUNTIF('4.방문기록'!$B$3:$B$502,B120)=0,"",_xlfn.MAXIFS('4.방문기록'!$A$3:$A$502,'4.방문기록'!$B$3:$B$502,B120)))</f>
        <v/>
      </c>
      <c r="P120">
        <f>IF(O120="","",설정!$B$24-O120)</f>
        <v/>
      </c>
      <c r="Q120" s="7">
        <f>IF(B120="","",IF(_xlfn.MAXIFS('4.방문기록'!$F$3:$F$502,'4.방문기록'!$B$3:$B$502,B120)=0,"",_xlfn.MAXIFS('4.방문기록'!$F$3:$F$502,'4.방문기록'!$B$3:$B$502,B120)))</f>
        <v/>
      </c>
      <c r="R120">
        <f>IF(O120="","",IFERROR(INDEX('4.방문기록'!$H$3:$H$502,MATCH(B120&amp;"|"&amp;(O120*1),'4.방문기록'!$I$3:$I$502,0))&amp;"",""))</f>
        <v/>
      </c>
      <c r="S120">
        <f>IF(B120="","",IF(R120="관심 없음","제외",IF(O120="","안 가봄",IF(P120&gt;=설정!$B$20,P120&amp;"일 지남","최근 방문"))))</f>
        <v/>
      </c>
      <c r="T120" s="8">
        <f>IF(B120="","",IF(S120="제외","",IF(AND(설정!$B$21&lt;&gt;"",L120&lt;&gt;설정!$B$21),"",IF(AND(Q120&lt;&gt;"",Q120&gt;N(O120),Q120&lt;=설정!$B$24+7),설정!$B$39+7-(Q120-설정!$B$24),IF(AND(G120&gt;0,OR(S120="안 가봄",RIGHT(S120,2)="지남")),G120+IF(O120="",설정!$B$36,MIN(P120,60)*설정!$B$37)+MIN(N(H120)/1000*설정!$B$38,20),"")))))</f>
        <v/>
      </c>
      <c r="U120">
        <f>IF(T120="","",COUNTIF(T$4:T$303,"&gt;"&amp;T120)+COUNTIF(T$4:T120,T120))</f>
        <v/>
      </c>
    </row>
    <row r="121">
      <c r="A121">
        <f>IF(B121="","",118)</f>
        <v/>
      </c>
      <c r="B121">
        <f>IFERROR(INDEX('2.현장'!$V$2:$V$1001,MATCH(118,'2.현장'!$W$2:$W$1001,0)),"")</f>
        <v/>
      </c>
      <c r="C121">
        <f>IF(B121="","",COUNTIFS('2.현장'!$V$2:$V$1001,B121,'2.현장'!$T$2:$T$1001,TRUE))</f>
        <v/>
      </c>
      <c r="D121">
        <f>IF(B121="","",COUNTIFS('2.현장'!$V$2:$V$1001,B121,'2.현장'!$U$2:$U$1001,"설계사"))</f>
        <v/>
      </c>
      <c r="E121">
        <f>IF(B121="","",COUNTIFS('2.현장'!$V$2:$V$1001,B121,'2.현장'!$U$2:$U$1001,"시공사"))</f>
        <v/>
      </c>
      <c r="F121">
        <f>IF(B121="","",COUNTIFS('2.현장'!$V$2:$V$1001,B121,'2.현장'!$T$2:$T$1001,TRUE,'2.현장'!$AA$2:$AA$1001,"★"))</f>
        <v/>
      </c>
      <c r="G121" s="6">
        <f>IF(B121="","",SUMIFS('2.현장'!$AB$2:$AB$1001,'2.현장'!$V$2:$V$1001,B121,'2.현장'!$T$2:$T$1001,TRUE))</f>
        <v/>
      </c>
      <c r="H121" s="5">
        <f>IF(B121="","",_xlfn.MAXIFS('2.현장'!$D$2:$D$1001,'2.현장'!$V$2:$V$1001,B121,'2.현장'!$T$2:$T$1001,TRUE))</f>
        <v/>
      </c>
      <c r="I121" s="7">
        <f>IF(B121="","",IF(_xlfn.MAXIFS('2.현장'!$L$2:$L$1001,'2.현장'!$V$2:$V$1001,B121,'2.현장'!$T$2:$T$1001,TRUE)=0,"",_xlfn.MAXIFS('2.현장'!$L$2:$L$1001,'2.현장'!$V$2:$V$1001,B121,'2.현장'!$T$2:$T$1001,TRUE)))</f>
        <v/>
      </c>
      <c r="J121" s="7">
        <f>IF(B121="","",IF(_xlfn.MAXIFS('2.현장'!$M$2:$M$1001,'2.현장'!$V$2:$V$1001,B121,'2.현장'!$T$2:$T$1001,TRUE)=0,"",_xlfn.MAXIFS('2.현장'!$M$2:$M$1001,'2.현장'!$V$2:$V$1001,B121,'2.현장'!$T$2:$T$1001,TRUE)))</f>
        <v/>
      </c>
      <c r="K121">
        <f>IF(B121="","",IFERROR(INDEX('2.현장'!$C$2:$C$1001,IFERROR(MATCH(B121&amp;"|설계사",'2.현장'!$Z$2:$Z$1001,0),IFERROR(MATCH(B121&amp;"|시공사",'2.현장'!$Z$2:$Z$1001,0),MATCH(B121&amp;"|늦음",'2.현장'!$Z$2:$Z$1001,0)))),""))</f>
        <v/>
      </c>
      <c r="L121">
        <f>IF(B121="","",IFERROR(INDEX('2.현장'!$N$2:$N$1001,IFERROR(MATCH(B121&amp;"|설계사",'2.현장'!$Z$2:$Z$1001,0),IFERROR(MATCH(B121&amp;"|시공사",'2.현장'!$Z$2:$Z$1001,0),MATCH(B121&amp;"|늦음",'2.현장'!$Z$2:$Z$1001,0)))),""))</f>
        <v/>
      </c>
      <c r="M121">
        <f>IF(B121="","",IFERROR(VLOOKUP(B121,업체_메모!$A$3:$I$302,2,FALSE)&amp;"",""))</f>
        <v/>
      </c>
      <c r="N121">
        <f>IF(B121="","",IFERROR(VLOOKUP(B121,업체_메모!$A$3:$I$302,4,FALSE)&amp;"",""))</f>
        <v/>
      </c>
      <c r="O121" s="7">
        <f>IF(B121="","",IF(COUNTIF('4.방문기록'!$B$3:$B$502,B121)=0,"",_xlfn.MAXIFS('4.방문기록'!$A$3:$A$502,'4.방문기록'!$B$3:$B$502,B121)))</f>
        <v/>
      </c>
      <c r="P121">
        <f>IF(O121="","",설정!$B$24-O121)</f>
        <v/>
      </c>
      <c r="Q121" s="7">
        <f>IF(B121="","",IF(_xlfn.MAXIFS('4.방문기록'!$F$3:$F$502,'4.방문기록'!$B$3:$B$502,B121)=0,"",_xlfn.MAXIFS('4.방문기록'!$F$3:$F$502,'4.방문기록'!$B$3:$B$502,B121)))</f>
        <v/>
      </c>
      <c r="R121">
        <f>IF(O121="","",IFERROR(INDEX('4.방문기록'!$H$3:$H$502,MATCH(B121&amp;"|"&amp;(O121*1),'4.방문기록'!$I$3:$I$502,0))&amp;"",""))</f>
        <v/>
      </c>
      <c r="S121">
        <f>IF(B121="","",IF(R121="관심 없음","제외",IF(O121="","안 가봄",IF(P121&gt;=설정!$B$20,P121&amp;"일 지남","최근 방문"))))</f>
        <v/>
      </c>
      <c r="T121" s="8">
        <f>IF(B121="","",IF(S121="제외","",IF(AND(설정!$B$21&lt;&gt;"",L121&lt;&gt;설정!$B$21),"",IF(AND(Q121&lt;&gt;"",Q121&gt;N(O121),Q121&lt;=설정!$B$24+7),설정!$B$39+7-(Q121-설정!$B$24),IF(AND(G121&gt;0,OR(S121="안 가봄",RIGHT(S121,2)="지남")),G121+IF(O121="",설정!$B$36,MIN(P121,60)*설정!$B$37)+MIN(N(H121)/1000*설정!$B$38,20),"")))))</f>
        <v/>
      </c>
      <c r="U121">
        <f>IF(T121="","",COUNTIF(T$4:T$303,"&gt;"&amp;T121)+COUNTIF(T$4:T121,T121))</f>
        <v/>
      </c>
    </row>
    <row r="122">
      <c r="A122">
        <f>IF(B122="","",119)</f>
        <v/>
      </c>
      <c r="B122">
        <f>IFERROR(INDEX('2.현장'!$V$2:$V$1001,MATCH(119,'2.현장'!$W$2:$W$1001,0)),"")</f>
        <v/>
      </c>
      <c r="C122">
        <f>IF(B122="","",COUNTIFS('2.현장'!$V$2:$V$1001,B122,'2.현장'!$T$2:$T$1001,TRUE))</f>
        <v/>
      </c>
      <c r="D122">
        <f>IF(B122="","",COUNTIFS('2.현장'!$V$2:$V$1001,B122,'2.현장'!$U$2:$U$1001,"설계사"))</f>
        <v/>
      </c>
      <c r="E122">
        <f>IF(B122="","",COUNTIFS('2.현장'!$V$2:$V$1001,B122,'2.현장'!$U$2:$U$1001,"시공사"))</f>
        <v/>
      </c>
      <c r="F122">
        <f>IF(B122="","",COUNTIFS('2.현장'!$V$2:$V$1001,B122,'2.현장'!$T$2:$T$1001,TRUE,'2.현장'!$AA$2:$AA$1001,"★"))</f>
        <v/>
      </c>
      <c r="G122" s="6">
        <f>IF(B122="","",SUMIFS('2.현장'!$AB$2:$AB$1001,'2.현장'!$V$2:$V$1001,B122,'2.현장'!$T$2:$T$1001,TRUE))</f>
        <v/>
      </c>
      <c r="H122" s="5">
        <f>IF(B122="","",_xlfn.MAXIFS('2.현장'!$D$2:$D$1001,'2.현장'!$V$2:$V$1001,B122,'2.현장'!$T$2:$T$1001,TRUE))</f>
        <v/>
      </c>
      <c r="I122" s="7">
        <f>IF(B122="","",IF(_xlfn.MAXIFS('2.현장'!$L$2:$L$1001,'2.현장'!$V$2:$V$1001,B122,'2.현장'!$T$2:$T$1001,TRUE)=0,"",_xlfn.MAXIFS('2.현장'!$L$2:$L$1001,'2.현장'!$V$2:$V$1001,B122,'2.현장'!$T$2:$T$1001,TRUE)))</f>
        <v/>
      </c>
      <c r="J122" s="7">
        <f>IF(B122="","",IF(_xlfn.MAXIFS('2.현장'!$M$2:$M$1001,'2.현장'!$V$2:$V$1001,B122,'2.현장'!$T$2:$T$1001,TRUE)=0,"",_xlfn.MAXIFS('2.현장'!$M$2:$M$1001,'2.현장'!$V$2:$V$1001,B122,'2.현장'!$T$2:$T$1001,TRUE)))</f>
        <v/>
      </c>
      <c r="K122">
        <f>IF(B122="","",IFERROR(INDEX('2.현장'!$C$2:$C$1001,IFERROR(MATCH(B122&amp;"|설계사",'2.현장'!$Z$2:$Z$1001,0),IFERROR(MATCH(B122&amp;"|시공사",'2.현장'!$Z$2:$Z$1001,0),MATCH(B122&amp;"|늦음",'2.현장'!$Z$2:$Z$1001,0)))),""))</f>
        <v/>
      </c>
      <c r="L122">
        <f>IF(B122="","",IFERROR(INDEX('2.현장'!$N$2:$N$1001,IFERROR(MATCH(B122&amp;"|설계사",'2.현장'!$Z$2:$Z$1001,0),IFERROR(MATCH(B122&amp;"|시공사",'2.현장'!$Z$2:$Z$1001,0),MATCH(B122&amp;"|늦음",'2.현장'!$Z$2:$Z$1001,0)))),""))</f>
        <v/>
      </c>
      <c r="M122">
        <f>IF(B122="","",IFERROR(VLOOKUP(B122,업체_메모!$A$3:$I$302,2,FALSE)&amp;"",""))</f>
        <v/>
      </c>
      <c r="N122">
        <f>IF(B122="","",IFERROR(VLOOKUP(B122,업체_메모!$A$3:$I$302,4,FALSE)&amp;"",""))</f>
        <v/>
      </c>
      <c r="O122" s="7">
        <f>IF(B122="","",IF(COUNTIF('4.방문기록'!$B$3:$B$502,B122)=0,"",_xlfn.MAXIFS('4.방문기록'!$A$3:$A$502,'4.방문기록'!$B$3:$B$502,B122)))</f>
        <v/>
      </c>
      <c r="P122">
        <f>IF(O122="","",설정!$B$24-O122)</f>
        <v/>
      </c>
      <c r="Q122" s="7">
        <f>IF(B122="","",IF(_xlfn.MAXIFS('4.방문기록'!$F$3:$F$502,'4.방문기록'!$B$3:$B$502,B122)=0,"",_xlfn.MAXIFS('4.방문기록'!$F$3:$F$502,'4.방문기록'!$B$3:$B$502,B122)))</f>
        <v/>
      </c>
      <c r="R122">
        <f>IF(O122="","",IFERROR(INDEX('4.방문기록'!$H$3:$H$502,MATCH(B122&amp;"|"&amp;(O122*1),'4.방문기록'!$I$3:$I$502,0))&amp;"",""))</f>
        <v/>
      </c>
      <c r="S122">
        <f>IF(B122="","",IF(R122="관심 없음","제외",IF(O122="","안 가봄",IF(P122&gt;=설정!$B$20,P122&amp;"일 지남","최근 방문"))))</f>
        <v/>
      </c>
      <c r="T122" s="8">
        <f>IF(B122="","",IF(S122="제외","",IF(AND(설정!$B$21&lt;&gt;"",L122&lt;&gt;설정!$B$21),"",IF(AND(Q122&lt;&gt;"",Q122&gt;N(O122),Q122&lt;=설정!$B$24+7),설정!$B$39+7-(Q122-설정!$B$24),IF(AND(G122&gt;0,OR(S122="안 가봄",RIGHT(S122,2)="지남")),G122+IF(O122="",설정!$B$36,MIN(P122,60)*설정!$B$37)+MIN(N(H122)/1000*설정!$B$38,20),"")))))</f>
        <v/>
      </c>
      <c r="U122">
        <f>IF(T122="","",COUNTIF(T$4:T$303,"&gt;"&amp;T122)+COUNTIF(T$4:T122,T122))</f>
        <v/>
      </c>
    </row>
    <row r="123">
      <c r="A123">
        <f>IF(B123="","",120)</f>
        <v/>
      </c>
      <c r="B123">
        <f>IFERROR(INDEX('2.현장'!$V$2:$V$1001,MATCH(120,'2.현장'!$W$2:$W$1001,0)),"")</f>
        <v/>
      </c>
      <c r="C123">
        <f>IF(B123="","",COUNTIFS('2.현장'!$V$2:$V$1001,B123,'2.현장'!$T$2:$T$1001,TRUE))</f>
        <v/>
      </c>
      <c r="D123">
        <f>IF(B123="","",COUNTIFS('2.현장'!$V$2:$V$1001,B123,'2.현장'!$U$2:$U$1001,"설계사"))</f>
        <v/>
      </c>
      <c r="E123">
        <f>IF(B123="","",COUNTIFS('2.현장'!$V$2:$V$1001,B123,'2.현장'!$U$2:$U$1001,"시공사"))</f>
        <v/>
      </c>
      <c r="F123">
        <f>IF(B123="","",COUNTIFS('2.현장'!$V$2:$V$1001,B123,'2.현장'!$T$2:$T$1001,TRUE,'2.현장'!$AA$2:$AA$1001,"★"))</f>
        <v/>
      </c>
      <c r="G123" s="6">
        <f>IF(B123="","",SUMIFS('2.현장'!$AB$2:$AB$1001,'2.현장'!$V$2:$V$1001,B123,'2.현장'!$T$2:$T$1001,TRUE))</f>
        <v/>
      </c>
      <c r="H123" s="5">
        <f>IF(B123="","",_xlfn.MAXIFS('2.현장'!$D$2:$D$1001,'2.현장'!$V$2:$V$1001,B123,'2.현장'!$T$2:$T$1001,TRUE))</f>
        <v/>
      </c>
      <c r="I123" s="7">
        <f>IF(B123="","",IF(_xlfn.MAXIFS('2.현장'!$L$2:$L$1001,'2.현장'!$V$2:$V$1001,B123,'2.현장'!$T$2:$T$1001,TRUE)=0,"",_xlfn.MAXIFS('2.현장'!$L$2:$L$1001,'2.현장'!$V$2:$V$1001,B123,'2.현장'!$T$2:$T$1001,TRUE)))</f>
        <v/>
      </c>
      <c r="J123" s="7">
        <f>IF(B123="","",IF(_xlfn.MAXIFS('2.현장'!$M$2:$M$1001,'2.현장'!$V$2:$V$1001,B123,'2.현장'!$T$2:$T$1001,TRUE)=0,"",_xlfn.MAXIFS('2.현장'!$M$2:$M$1001,'2.현장'!$V$2:$V$1001,B123,'2.현장'!$T$2:$T$1001,TRUE)))</f>
        <v/>
      </c>
      <c r="K123">
        <f>IF(B123="","",IFERROR(INDEX('2.현장'!$C$2:$C$1001,IFERROR(MATCH(B123&amp;"|설계사",'2.현장'!$Z$2:$Z$1001,0),IFERROR(MATCH(B123&amp;"|시공사",'2.현장'!$Z$2:$Z$1001,0),MATCH(B123&amp;"|늦음",'2.현장'!$Z$2:$Z$1001,0)))),""))</f>
        <v/>
      </c>
      <c r="L123">
        <f>IF(B123="","",IFERROR(INDEX('2.현장'!$N$2:$N$1001,IFERROR(MATCH(B123&amp;"|설계사",'2.현장'!$Z$2:$Z$1001,0),IFERROR(MATCH(B123&amp;"|시공사",'2.현장'!$Z$2:$Z$1001,0),MATCH(B123&amp;"|늦음",'2.현장'!$Z$2:$Z$1001,0)))),""))</f>
        <v/>
      </c>
      <c r="M123">
        <f>IF(B123="","",IFERROR(VLOOKUP(B123,업체_메모!$A$3:$I$302,2,FALSE)&amp;"",""))</f>
        <v/>
      </c>
      <c r="N123">
        <f>IF(B123="","",IFERROR(VLOOKUP(B123,업체_메모!$A$3:$I$302,4,FALSE)&amp;"",""))</f>
        <v/>
      </c>
      <c r="O123" s="7">
        <f>IF(B123="","",IF(COUNTIF('4.방문기록'!$B$3:$B$502,B123)=0,"",_xlfn.MAXIFS('4.방문기록'!$A$3:$A$502,'4.방문기록'!$B$3:$B$502,B123)))</f>
        <v/>
      </c>
      <c r="P123">
        <f>IF(O123="","",설정!$B$24-O123)</f>
        <v/>
      </c>
      <c r="Q123" s="7">
        <f>IF(B123="","",IF(_xlfn.MAXIFS('4.방문기록'!$F$3:$F$502,'4.방문기록'!$B$3:$B$502,B123)=0,"",_xlfn.MAXIFS('4.방문기록'!$F$3:$F$502,'4.방문기록'!$B$3:$B$502,B123)))</f>
        <v/>
      </c>
      <c r="R123">
        <f>IF(O123="","",IFERROR(INDEX('4.방문기록'!$H$3:$H$502,MATCH(B123&amp;"|"&amp;(O123*1),'4.방문기록'!$I$3:$I$502,0))&amp;"",""))</f>
        <v/>
      </c>
      <c r="S123">
        <f>IF(B123="","",IF(R123="관심 없음","제외",IF(O123="","안 가봄",IF(P123&gt;=설정!$B$20,P123&amp;"일 지남","최근 방문"))))</f>
        <v/>
      </c>
      <c r="T123" s="8">
        <f>IF(B123="","",IF(S123="제외","",IF(AND(설정!$B$21&lt;&gt;"",L123&lt;&gt;설정!$B$21),"",IF(AND(Q123&lt;&gt;"",Q123&gt;N(O123),Q123&lt;=설정!$B$24+7),설정!$B$39+7-(Q123-설정!$B$24),IF(AND(G123&gt;0,OR(S123="안 가봄",RIGHT(S123,2)="지남")),G123+IF(O123="",설정!$B$36,MIN(P123,60)*설정!$B$37)+MIN(N(H123)/1000*설정!$B$38,20),"")))))</f>
        <v/>
      </c>
      <c r="U123">
        <f>IF(T123="","",COUNTIF(T$4:T$303,"&gt;"&amp;T123)+COUNTIF(T$4:T123,T123))</f>
        <v/>
      </c>
    </row>
    <row r="124">
      <c r="A124">
        <f>IF(B124="","",121)</f>
        <v/>
      </c>
      <c r="B124">
        <f>IFERROR(INDEX('2.현장'!$V$2:$V$1001,MATCH(121,'2.현장'!$W$2:$W$1001,0)),"")</f>
        <v/>
      </c>
      <c r="C124">
        <f>IF(B124="","",COUNTIFS('2.현장'!$V$2:$V$1001,B124,'2.현장'!$T$2:$T$1001,TRUE))</f>
        <v/>
      </c>
      <c r="D124">
        <f>IF(B124="","",COUNTIFS('2.현장'!$V$2:$V$1001,B124,'2.현장'!$U$2:$U$1001,"설계사"))</f>
        <v/>
      </c>
      <c r="E124">
        <f>IF(B124="","",COUNTIFS('2.현장'!$V$2:$V$1001,B124,'2.현장'!$U$2:$U$1001,"시공사"))</f>
        <v/>
      </c>
      <c r="F124">
        <f>IF(B124="","",COUNTIFS('2.현장'!$V$2:$V$1001,B124,'2.현장'!$T$2:$T$1001,TRUE,'2.현장'!$AA$2:$AA$1001,"★"))</f>
        <v/>
      </c>
      <c r="G124" s="6">
        <f>IF(B124="","",SUMIFS('2.현장'!$AB$2:$AB$1001,'2.현장'!$V$2:$V$1001,B124,'2.현장'!$T$2:$T$1001,TRUE))</f>
        <v/>
      </c>
      <c r="H124" s="5">
        <f>IF(B124="","",_xlfn.MAXIFS('2.현장'!$D$2:$D$1001,'2.현장'!$V$2:$V$1001,B124,'2.현장'!$T$2:$T$1001,TRUE))</f>
        <v/>
      </c>
      <c r="I124" s="7">
        <f>IF(B124="","",IF(_xlfn.MAXIFS('2.현장'!$L$2:$L$1001,'2.현장'!$V$2:$V$1001,B124,'2.현장'!$T$2:$T$1001,TRUE)=0,"",_xlfn.MAXIFS('2.현장'!$L$2:$L$1001,'2.현장'!$V$2:$V$1001,B124,'2.현장'!$T$2:$T$1001,TRUE)))</f>
        <v/>
      </c>
      <c r="J124" s="7">
        <f>IF(B124="","",IF(_xlfn.MAXIFS('2.현장'!$M$2:$M$1001,'2.현장'!$V$2:$V$1001,B124,'2.현장'!$T$2:$T$1001,TRUE)=0,"",_xlfn.MAXIFS('2.현장'!$M$2:$M$1001,'2.현장'!$V$2:$V$1001,B124,'2.현장'!$T$2:$T$1001,TRUE)))</f>
        <v/>
      </c>
      <c r="K124">
        <f>IF(B124="","",IFERROR(INDEX('2.현장'!$C$2:$C$1001,IFERROR(MATCH(B124&amp;"|설계사",'2.현장'!$Z$2:$Z$1001,0),IFERROR(MATCH(B124&amp;"|시공사",'2.현장'!$Z$2:$Z$1001,0),MATCH(B124&amp;"|늦음",'2.현장'!$Z$2:$Z$1001,0)))),""))</f>
        <v/>
      </c>
      <c r="L124">
        <f>IF(B124="","",IFERROR(INDEX('2.현장'!$N$2:$N$1001,IFERROR(MATCH(B124&amp;"|설계사",'2.현장'!$Z$2:$Z$1001,0),IFERROR(MATCH(B124&amp;"|시공사",'2.현장'!$Z$2:$Z$1001,0),MATCH(B124&amp;"|늦음",'2.현장'!$Z$2:$Z$1001,0)))),""))</f>
        <v/>
      </c>
      <c r="M124">
        <f>IF(B124="","",IFERROR(VLOOKUP(B124,업체_메모!$A$3:$I$302,2,FALSE)&amp;"",""))</f>
        <v/>
      </c>
      <c r="N124">
        <f>IF(B124="","",IFERROR(VLOOKUP(B124,업체_메모!$A$3:$I$302,4,FALSE)&amp;"",""))</f>
        <v/>
      </c>
      <c r="O124" s="7">
        <f>IF(B124="","",IF(COUNTIF('4.방문기록'!$B$3:$B$502,B124)=0,"",_xlfn.MAXIFS('4.방문기록'!$A$3:$A$502,'4.방문기록'!$B$3:$B$502,B124)))</f>
        <v/>
      </c>
      <c r="P124">
        <f>IF(O124="","",설정!$B$24-O124)</f>
        <v/>
      </c>
      <c r="Q124" s="7">
        <f>IF(B124="","",IF(_xlfn.MAXIFS('4.방문기록'!$F$3:$F$502,'4.방문기록'!$B$3:$B$502,B124)=0,"",_xlfn.MAXIFS('4.방문기록'!$F$3:$F$502,'4.방문기록'!$B$3:$B$502,B124)))</f>
        <v/>
      </c>
      <c r="R124">
        <f>IF(O124="","",IFERROR(INDEX('4.방문기록'!$H$3:$H$502,MATCH(B124&amp;"|"&amp;(O124*1),'4.방문기록'!$I$3:$I$502,0))&amp;"",""))</f>
        <v/>
      </c>
      <c r="S124">
        <f>IF(B124="","",IF(R124="관심 없음","제외",IF(O124="","안 가봄",IF(P124&gt;=설정!$B$20,P124&amp;"일 지남","최근 방문"))))</f>
        <v/>
      </c>
      <c r="T124" s="8">
        <f>IF(B124="","",IF(S124="제외","",IF(AND(설정!$B$21&lt;&gt;"",L124&lt;&gt;설정!$B$21),"",IF(AND(Q124&lt;&gt;"",Q124&gt;N(O124),Q124&lt;=설정!$B$24+7),설정!$B$39+7-(Q124-설정!$B$24),IF(AND(G124&gt;0,OR(S124="안 가봄",RIGHT(S124,2)="지남")),G124+IF(O124="",설정!$B$36,MIN(P124,60)*설정!$B$37)+MIN(N(H124)/1000*설정!$B$38,20),"")))))</f>
        <v/>
      </c>
      <c r="U124">
        <f>IF(T124="","",COUNTIF(T$4:T$303,"&gt;"&amp;T124)+COUNTIF(T$4:T124,T124))</f>
        <v/>
      </c>
    </row>
    <row r="125">
      <c r="A125">
        <f>IF(B125="","",122)</f>
        <v/>
      </c>
      <c r="B125">
        <f>IFERROR(INDEX('2.현장'!$V$2:$V$1001,MATCH(122,'2.현장'!$W$2:$W$1001,0)),"")</f>
        <v/>
      </c>
      <c r="C125">
        <f>IF(B125="","",COUNTIFS('2.현장'!$V$2:$V$1001,B125,'2.현장'!$T$2:$T$1001,TRUE))</f>
        <v/>
      </c>
      <c r="D125">
        <f>IF(B125="","",COUNTIFS('2.현장'!$V$2:$V$1001,B125,'2.현장'!$U$2:$U$1001,"설계사"))</f>
        <v/>
      </c>
      <c r="E125">
        <f>IF(B125="","",COUNTIFS('2.현장'!$V$2:$V$1001,B125,'2.현장'!$U$2:$U$1001,"시공사"))</f>
        <v/>
      </c>
      <c r="F125">
        <f>IF(B125="","",COUNTIFS('2.현장'!$V$2:$V$1001,B125,'2.현장'!$T$2:$T$1001,TRUE,'2.현장'!$AA$2:$AA$1001,"★"))</f>
        <v/>
      </c>
      <c r="G125" s="6">
        <f>IF(B125="","",SUMIFS('2.현장'!$AB$2:$AB$1001,'2.현장'!$V$2:$V$1001,B125,'2.현장'!$T$2:$T$1001,TRUE))</f>
        <v/>
      </c>
      <c r="H125" s="5">
        <f>IF(B125="","",_xlfn.MAXIFS('2.현장'!$D$2:$D$1001,'2.현장'!$V$2:$V$1001,B125,'2.현장'!$T$2:$T$1001,TRUE))</f>
        <v/>
      </c>
      <c r="I125" s="7">
        <f>IF(B125="","",IF(_xlfn.MAXIFS('2.현장'!$L$2:$L$1001,'2.현장'!$V$2:$V$1001,B125,'2.현장'!$T$2:$T$1001,TRUE)=0,"",_xlfn.MAXIFS('2.현장'!$L$2:$L$1001,'2.현장'!$V$2:$V$1001,B125,'2.현장'!$T$2:$T$1001,TRUE)))</f>
        <v/>
      </c>
      <c r="J125" s="7">
        <f>IF(B125="","",IF(_xlfn.MAXIFS('2.현장'!$M$2:$M$1001,'2.현장'!$V$2:$V$1001,B125,'2.현장'!$T$2:$T$1001,TRUE)=0,"",_xlfn.MAXIFS('2.현장'!$M$2:$M$1001,'2.현장'!$V$2:$V$1001,B125,'2.현장'!$T$2:$T$1001,TRUE)))</f>
        <v/>
      </c>
      <c r="K125">
        <f>IF(B125="","",IFERROR(INDEX('2.현장'!$C$2:$C$1001,IFERROR(MATCH(B125&amp;"|설계사",'2.현장'!$Z$2:$Z$1001,0),IFERROR(MATCH(B125&amp;"|시공사",'2.현장'!$Z$2:$Z$1001,0),MATCH(B125&amp;"|늦음",'2.현장'!$Z$2:$Z$1001,0)))),""))</f>
        <v/>
      </c>
      <c r="L125">
        <f>IF(B125="","",IFERROR(INDEX('2.현장'!$N$2:$N$1001,IFERROR(MATCH(B125&amp;"|설계사",'2.현장'!$Z$2:$Z$1001,0),IFERROR(MATCH(B125&amp;"|시공사",'2.현장'!$Z$2:$Z$1001,0),MATCH(B125&amp;"|늦음",'2.현장'!$Z$2:$Z$1001,0)))),""))</f>
        <v/>
      </c>
      <c r="M125">
        <f>IF(B125="","",IFERROR(VLOOKUP(B125,업체_메모!$A$3:$I$302,2,FALSE)&amp;"",""))</f>
        <v/>
      </c>
      <c r="N125">
        <f>IF(B125="","",IFERROR(VLOOKUP(B125,업체_메모!$A$3:$I$302,4,FALSE)&amp;"",""))</f>
        <v/>
      </c>
      <c r="O125" s="7">
        <f>IF(B125="","",IF(COUNTIF('4.방문기록'!$B$3:$B$502,B125)=0,"",_xlfn.MAXIFS('4.방문기록'!$A$3:$A$502,'4.방문기록'!$B$3:$B$502,B125)))</f>
        <v/>
      </c>
      <c r="P125">
        <f>IF(O125="","",설정!$B$24-O125)</f>
        <v/>
      </c>
      <c r="Q125" s="7">
        <f>IF(B125="","",IF(_xlfn.MAXIFS('4.방문기록'!$F$3:$F$502,'4.방문기록'!$B$3:$B$502,B125)=0,"",_xlfn.MAXIFS('4.방문기록'!$F$3:$F$502,'4.방문기록'!$B$3:$B$502,B125)))</f>
        <v/>
      </c>
      <c r="R125">
        <f>IF(O125="","",IFERROR(INDEX('4.방문기록'!$H$3:$H$502,MATCH(B125&amp;"|"&amp;(O125*1),'4.방문기록'!$I$3:$I$502,0))&amp;"",""))</f>
        <v/>
      </c>
      <c r="S125">
        <f>IF(B125="","",IF(R125="관심 없음","제외",IF(O125="","안 가봄",IF(P125&gt;=설정!$B$20,P125&amp;"일 지남","최근 방문"))))</f>
        <v/>
      </c>
      <c r="T125" s="8">
        <f>IF(B125="","",IF(S125="제외","",IF(AND(설정!$B$21&lt;&gt;"",L125&lt;&gt;설정!$B$21),"",IF(AND(Q125&lt;&gt;"",Q125&gt;N(O125),Q125&lt;=설정!$B$24+7),설정!$B$39+7-(Q125-설정!$B$24),IF(AND(G125&gt;0,OR(S125="안 가봄",RIGHT(S125,2)="지남")),G125+IF(O125="",설정!$B$36,MIN(P125,60)*설정!$B$37)+MIN(N(H125)/1000*설정!$B$38,20),"")))))</f>
        <v/>
      </c>
      <c r="U125">
        <f>IF(T125="","",COUNTIF(T$4:T$303,"&gt;"&amp;T125)+COUNTIF(T$4:T125,T125))</f>
        <v/>
      </c>
    </row>
    <row r="126">
      <c r="A126">
        <f>IF(B126="","",123)</f>
        <v/>
      </c>
      <c r="B126">
        <f>IFERROR(INDEX('2.현장'!$V$2:$V$1001,MATCH(123,'2.현장'!$W$2:$W$1001,0)),"")</f>
        <v/>
      </c>
      <c r="C126">
        <f>IF(B126="","",COUNTIFS('2.현장'!$V$2:$V$1001,B126,'2.현장'!$T$2:$T$1001,TRUE))</f>
        <v/>
      </c>
      <c r="D126">
        <f>IF(B126="","",COUNTIFS('2.현장'!$V$2:$V$1001,B126,'2.현장'!$U$2:$U$1001,"설계사"))</f>
        <v/>
      </c>
      <c r="E126">
        <f>IF(B126="","",COUNTIFS('2.현장'!$V$2:$V$1001,B126,'2.현장'!$U$2:$U$1001,"시공사"))</f>
        <v/>
      </c>
      <c r="F126">
        <f>IF(B126="","",COUNTIFS('2.현장'!$V$2:$V$1001,B126,'2.현장'!$T$2:$T$1001,TRUE,'2.현장'!$AA$2:$AA$1001,"★"))</f>
        <v/>
      </c>
      <c r="G126" s="6">
        <f>IF(B126="","",SUMIFS('2.현장'!$AB$2:$AB$1001,'2.현장'!$V$2:$V$1001,B126,'2.현장'!$T$2:$T$1001,TRUE))</f>
        <v/>
      </c>
      <c r="H126" s="5">
        <f>IF(B126="","",_xlfn.MAXIFS('2.현장'!$D$2:$D$1001,'2.현장'!$V$2:$V$1001,B126,'2.현장'!$T$2:$T$1001,TRUE))</f>
        <v/>
      </c>
      <c r="I126" s="7">
        <f>IF(B126="","",IF(_xlfn.MAXIFS('2.현장'!$L$2:$L$1001,'2.현장'!$V$2:$V$1001,B126,'2.현장'!$T$2:$T$1001,TRUE)=0,"",_xlfn.MAXIFS('2.현장'!$L$2:$L$1001,'2.현장'!$V$2:$V$1001,B126,'2.현장'!$T$2:$T$1001,TRUE)))</f>
        <v/>
      </c>
      <c r="J126" s="7">
        <f>IF(B126="","",IF(_xlfn.MAXIFS('2.현장'!$M$2:$M$1001,'2.현장'!$V$2:$V$1001,B126,'2.현장'!$T$2:$T$1001,TRUE)=0,"",_xlfn.MAXIFS('2.현장'!$M$2:$M$1001,'2.현장'!$V$2:$V$1001,B126,'2.현장'!$T$2:$T$1001,TRUE)))</f>
        <v/>
      </c>
      <c r="K126">
        <f>IF(B126="","",IFERROR(INDEX('2.현장'!$C$2:$C$1001,IFERROR(MATCH(B126&amp;"|설계사",'2.현장'!$Z$2:$Z$1001,0),IFERROR(MATCH(B126&amp;"|시공사",'2.현장'!$Z$2:$Z$1001,0),MATCH(B126&amp;"|늦음",'2.현장'!$Z$2:$Z$1001,0)))),""))</f>
        <v/>
      </c>
      <c r="L126">
        <f>IF(B126="","",IFERROR(INDEX('2.현장'!$N$2:$N$1001,IFERROR(MATCH(B126&amp;"|설계사",'2.현장'!$Z$2:$Z$1001,0),IFERROR(MATCH(B126&amp;"|시공사",'2.현장'!$Z$2:$Z$1001,0),MATCH(B126&amp;"|늦음",'2.현장'!$Z$2:$Z$1001,0)))),""))</f>
        <v/>
      </c>
      <c r="M126">
        <f>IF(B126="","",IFERROR(VLOOKUP(B126,업체_메모!$A$3:$I$302,2,FALSE)&amp;"",""))</f>
        <v/>
      </c>
      <c r="N126">
        <f>IF(B126="","",IFERROR(VLOOKUP(B126,업체_메모!$A$3:$I$302,4,FALSE)&amp;"",""))</f>
        <v/>
      </c>
      <c r="O126" s="7">
        <f>IF(B126="","",IF(COUNTIF('4.방문기록'!$B$3:$B$502,B126)=0,"",_xlfn.MAXIFS('4.방문기록'!$A$3:$A$502,'4.방문기록'!$B$3:$B$502,B126)))</f>
        <v/>
      </c>
      <c r="P126">
        <f>IF(O126="","",설정!$B$24-O126)</f>
        <v/>
      </c>
      <c r="Q126" s="7">
        <f>IF(B126="","",IF(_xlfn.MAXIFS('4.방문기록'!$F$3:$F$502,'4.방문기록'!$B$3:$B$502,B126)=0,"",_xlfn.MAXIFS('4.방문기록'!$F$3:$F$502,'4.방문기록'!$B$3:$B$502,B126)))</f>
        <v/>
      </c>
      <c r="R126">
        <f>IF(O126="","",IFERROR(INDEX('4.방문기록'!$H$3:$H$502,MATCH(B126&amp;"|"&amp;(O126*1),'4.방문기록'!$I$3:$I$502,0))&amp;"",""))</f>
        <v/>
      </c>
      <c r="S126">
        <f>IF(B126="","",IF(R126="관심 없음","제외",IF(O126="","안 가봄",IF(P126&gt;=설정!$B$20,P126&amp;"일 지남","최근 방문"))))</f>
        <v/>
      </c>
      <c r="T126" s="8">
        <f>IF(B126="","",IF(S126="제외","",IF(AND(설정!$B$21&lt;&gt;"",L126&lt;&gt;설정!$B$21),"",IF(AND(Q126&lt;&gt;"",Q126&gt;N(O126),Q126&lt;=설정!$B$24+7),설정!$B$39+7-(Q126-설정!$B$24),IF(AND(G126&gt;0,OR(S126="안 가봄",RIGHT(S126,2)="지남")),G126+IF(O126="",설정!$B$36,MIN(P126,60)*설정!$B$37)+MIN(N(H126)/1000*설정!$B$38,20),"")))))</f>
        <v/>
      </c>
      <c r="U126">
        <f>IF(T126="","",COUNTIF(T$4:T$303,"&gt;"&amp;T126)+COUNTIF(T$4:T126,T126))</f>
        <v/>
      </c>
    </row>
    <row r="127">
      <c r="A127">
        <f>IF(B127="","",124)</f>
        <v/>
      </c>
      <c r="B127">
        <f>IFERROR(INDEX('2.현장'!$V$2:$V$1001,MATCH(124,'2.현장'!$W$2:$W$1001,0)),"")</f>
        <v/>
      </c>
      <c r="C127">
        <f>IF(B127="","",COUNTIFS('2.현장'!$V$2:$V$1001,B127,'2.현장'!$T$2:$T$1001,TRUE))</f>
        <v/>
      </c>
      <c r="D127">
        <f>IF(B127="","",COUNTIFS('2.현장'!$V$2:$V$1001,B127,'2.현장'!$U$2:$U$1001,"설계사"))</f>
        <v/>
      </c>
      <c r="E127">
        <f>IF(B127="","",COUNTIFS('2.현장'!$V$2:$V$1001,B127,'2.현장'!$U$2:$U$1001,"시공사"))</f>
        <v/>
      </c>
      <c r="F127">
        <f>IF(B127="","",COUNTIFS('2.현장'!$V$2:$V$1001,B127,'2.현장'!$T$2:$T$1001,TRUE,'2.현장'!$AA$2:$AA$1001,"★"))</f>
        <v/>
      </c>
      <c r="G127" s="6">
        <f>IF(B127="","",SUMIFS('2.현장'!$AB$2:$AB$1001,'2.현장'!$V$2:$V$1001,B127,'2.현장'!$T$2:$T$1001,TRUE))</f>
        <v/>
      </c>
      <c r="H127" s="5">
        <f>IF(B127="","",_xlfn.MAXIFS('2.현장'!$D$2:$D$1001,'2.현장'!$V$2:$V$1001,B127,'2.현장'!$T$2:$T$1001,TRUE))</f>
        <v/>
      </c>
      <c r="I127" s="7">
        <f>IF(B127="","",IF(_xlfn.MAXIFS('2.현장'!$L$2:$L$1001,'2.현장'!$V$2:$V$1001,B127,'2.현장'!$T$2:$T$1001,TRUE)=0,"",_xlfn.MAXIFS('2.현장'!$L$2:$L$1001,'2.현장'!$V$2:$V$1001,B127,'2.현장'!$T$2:$T$1001,TRUE)))</f>
        <v/>
      </c>
      <c r="J127" s="7">
        <f>IF(B127="","",IF(_xlfn.MAXIFS('2.현장'!$M$2:$M$1001,'2.현장'!$V$2:$V$1001,B127,'2.현장'!$T$2:$T$1001,TRUE)=0,"",_xlfn.MAXIFS('2.현장'!$M$2:$M$1001,'2.현장'!$V$2:$V$1001,B127,'2.현장'!$T$2:$T$1001,TRUE)))</f>
        <v/>
      </c>
      <c r="K127">
        <f>IF(B127="","",IFERROR(INDEX('2.현장'!$C$2:$C$1001,IFERROR(MATCH(B127&amp;"|설계사",'2.현장'!$Z$2:$Z$1001,0),IFERROR(MATCH(B127&amp;"|시공사",'2.현장'!$Z$2:$Z$1001,0),MATCH(B127&amp;"|늦음",'2.현장'!$Z$2:$Z$1001,0)))),""))</f>
        <v/>
      </c>
      <c r="L127">
        <f>IF(B127="","",IFERROR(INDEX('2.현장'!$N$2:$N$1001,IFERROR(MATCH(B127&amp;"|설계사",'2.현장'!$Z$2:$Z$1001,0),IFERROR(MATCH(B127&amp;"|시공사",'2.현장'!$Z$2:$Z$1001,0),MATCH(B127&amp;"|늦음",'2.현장'!$Z$2:$Z$1001,0)))),""))</f>
        <v/>
      </c>
      <c r="M127">
        <f>IF(B127="","",IFERROR(VLOOKUP(B127,업체_메모!$A$3:$I$302,2,FALSE)&amp;"",""))</f>
        <v/>
      </c>
      <c r="N127">
        <f>IF(B127="","",IFERROR(VLOOKUP(B127,업체_메모!$A$3:$I$302,4,FALSE)&amp;"",""))</f>
        <v/>
      </c>
      <c r="O127" s="7">
        <f>IF(B127="","",IF(COUNTIF('4.방문기록'!$B$3:$B$502,B127)=0,"",_xlfn.MAXIFS('4.방문기록'!$A$3:$A$502,'4.방문기록'!$B$3:$B$502,B127)))</f>
        <v/>
      </c>
      <c r="P127">
        <f>IF(O127="","",설정!$B$24-O127)</f>
        <v/>
      </c>
      <c r="Q127" s="7">
        <f>IF(B127="","",IF(_xlfn.MAXIFS('4.방문기록'!$F$3:$F$502,'4.방문기록'!$B$3:$B$502,B127)=0,"",_xlfn.MAXIFS('4.방문기록'!$F$3:$F$502,'4.방문기록'!$B$3:$B$502,B127)))</f>
        <v/>
      </c>
      <c r="R127">
        <f>IF(O127="","",IFERROR(INDEX('4.방문기록'!$H$3:$H$502,MATCH(B127&amp;"|"&amp;(O127*1),'4.방문기록'!$I$3:$I$502,0))&amp;"",""))</f>
        <v/>
      </c>
      <c r="S127">
        <f>IF(B127="","",IF(R127="관심 없음","제외",IF(O127="","안 가봄",IF(P127&gt;=설정!$B$20,P127&amp;"일 지남","최근 방문"))))</f>
        <v/>
      </c>
      <c r="T127" s="8">
        <f>IF(B127="","",IF(S127="제외","",IF(AND(설정!$B$21&lt;&gt;"",L127&lt;&gt;설정!$B$21),"",IF(AND(Q127&lt;&gt;"",Q127&gt;N(O127),Q127&lt;=설정!$B$24+7),설정!$B$39+7-(Q127-설정!$B$24),IF(AND(G127&gt;0,OR(S127="안 가봄",RIGHT(S127,2)="지남")),G127+IF(O127="",설정!$B$36,MIN(P127,60)*설정!$B$37)+MIN(N(H127)/1000*설정!$B$38,20),"")))))</f>
        <v/>
      </c>
      <c r="U127">
        <f>IF(T127="","",COUNTIF(T$4:T$303,"&gt;"&amp;T127)+COUNTIF(T$4:T127,T127))</f>
        <v/>
      </c>
    </row>
    <row r="128">
      <c r="A128">
        <f>IF(B128="","",125)</f>
        <v/>
      </c>
      <c r="B128">
        <f>IFERROR(INDEX('2.현장'!$V$2:$V$1001,MATCH(125,'2.현장'!$W$2:$W$1001,0)),"")</f>
        <v/>
      </c>
      <c r="C128">
        <f>IF(B128="","",COUNTIFS('2.현장'!$V$2:$V$1001,B128,'2.현장'!$T$2:$T$1001,TRUE))</f>
        <v/>
      </c>
      <c r="D128">
        <f>IF(B128="","",COUNTIFS('2.현장'!$V$2:$V$1001,B128,'2.현장'!$U$2:$U$1001,"설계사"))</f>
        <v/>
      </c>
      <c r="E128">
        <f>IF(B128="","",COUNTIFS('2.현장'!$V$2:$V$1001,B128,'2.현장'!$U$2:$U$1001,"시공사"))</f>
        <v/>
      </c>
      <c r="F128">
        <f>IF(B128="","",COUNTIFS('2.현장'!$V$2:$V$1001,B128,'2.현장'!$T$2:$T$1001,TRUE,'2.현장'!$AA$2:$AA$1001,"★"))</f>
        <v/>
      </c>
      <c r="G128" s="6">
        <f>IF(B128="","",SUMIFS('2.현장'!$AB$2:$AB$1001,'2.현장'!$V$2:$V$1001,B128,'2.현장'!$T$2:$T$1001,TRUE))</f>
        <v/>
      </c>
      <c r="H128" s="5">
        <f>IF(B128="","",_xlfn.MAXIFS('2.현장'!$D$2:$D$1001,'2.현장'!$V$2:$V$1001,B128,'2.현장'!$T$2:$T$1001,TRUE))</f>
        <v/>
      </c>
      <c r="I128" s="7">
        <f>IF(B128="","",IF(_xlfn.MAXIFS('2.현장'!$L$2:$L$1001,'2.현장'!$V$2:$V$1001,B128,'2.현장'!$T$2:$T$1001,TRUE)=0,"",_xlfn.MAXIFS('2.현장'!$L$2:$L$1001,'2.현장'!$V$2:$V$1001,B128,'2.현장'!$T$2:$T$1001,TRUE)))</f>
        <v/>
      </c>
      <c r="J128" s="7">
        <f>IF(B128="","",IF(_xlfn.MAXIFS('2.현장'!$M$2:$M$1001,'2.현장'!$V$2:$V$1001,B128,'2.현장'!$T$2:$T$1001,TRUE)=0,"",_xlfn.MAXIFS('2.현장'!$M$2:$M$1001,'2.현장'!$V$2:$V$1001,B128,'2.현장'!$T$2:$T$1001,TRUE)))</f>
        <v/>
      </c>
      <c r="K128">
        <f>IF(B128="","",IFERROR(INDEX('2.현장'!$C$2:$C$1001,IFERROR(MATCH(B128&amp;"|설계사",'2.현장'!$Z$2:$Z$1001,0),IFERROR(MATCH(B128&amp;"|시공사",'2.현장'!$Z$2:$Z$1001,0),MATCH(B128&amp;"|늦음",'2.현장'!$Z$2:$Z$1001,0)))),""))</f>
        <v/>
      </c>
      <c r="L128">
        <f>IF(B128="","",IFERROR(INDEX('2.현장'!$N$2:$N$1001,IFERROR(MATCH(B128&amp;"|설계사",'2.현장'!$Z$2:$Z$1001,0),IFERROR(MATCH(B128&amp;"|시공사",'2.현장'!$Z$2:$Z$1001,0),MATCH(B128&amp;"|늦음",'2.현장'!$Z$2:$Z$1001,0)))),""))</f>
        <v/>
      </c>
      <c r="M128">
        <f>IF(B128="","",IFERROR(VLOOKUP(B128,업체_메모!$A$3:$I$302,2,FALSE)&amp;"",""))</f>
        <v/>
      </c>
      <c r="N128">
        <f>IF(B128="","",IFERROR(VLOOKUP(B128,업체_메모!$A$3:$I$302,4,FALSE)&amp;"",""))</f>
        <v/>
      </c>
      <c r="O128" s="7">
        <f>IF(B128="","",IF(COUNTIF('4.방문기록'!$B$3:$B$502,B128)=0,"",_xlfn.MAXIFS('4.방문기록'!$A$3:$A$502,'4.방문기록'!$B$3:$B$502,B128)))</f>
        <v/>
      </c>
      <c r="P128">
        <f>IF(O128="","",설정!$B$24-O128)</f>
        <v/>
      </c>
      <c r="Q128" s="7">
        <f>IF(B128="","",IF(_xlfn.MAXIFS('4.방문기록'!$F$3:$F$502,'4.방문기록'!$B$3:$B$502,B128)=0,"",_xlfn.MAXIFS('4.방문기록'!$F$3:$F$502,'4.방문기록'!$B$3:$B$502,B128)))</f>
        <v/>
      </c>
      <c r="R128">
        <f>IF(O128="","",IFERROR(INDEX('4.방문기록'!$H$3:$H$502,MATCH(B128&amp;"|"&amp;(O128*1),'4.방문기록'!$I$3:$I$502,0))&amp;"",""))</f>
        <v/>
      </c>
      <c r="S128">
        <f>IF(B128="","",IF(R128="관심 없음","제외",IF(O128="","안 가봄",IF(P128&gt;=설정!$B$20,P128&amp;"일 지남","최근 방문"))))</f>
        <v/>
      </c>
      <c r="T128" s="8">
        <f>IF(B128="","",IF(S128="제외","",IF(AND(설정!$B$21&lt;&gt;"",L128&lt;&gt;설정!$B$21),"",IF(AND(Q128&lt;&gt;"",Q128&gt;N(O128),Q128&lt;=설정!$B$24+7),설정!$B$39+7-(Q128-설정!$B$24),IF(AND(G128&gt;0,OR(S128="안 가봄",RIGHT(S128,2)="지남")),G128+IF(O128="",설정!$B$36,MIN(P128,60)*설정!$B$37)+MIN(N(H128)/1000*설정!$B$38,20),"")))))</f>
        <v/>
      </c>
      <c r="U128">
        <f>IF(T128="","",COUNTIF(T$4:T$303,"&gt;"&amp;T128)+COUNTIF(T$4:T128,T128))</f>
        <v/>
      </c>
    </row>
    <row r="129">
      <c r="A129">
        <f>IF(B129="","",126)</f>
        <v/>
      </c>
      <c r="B129">
        <f>IFERROR(INDEX('2.현장'!$V$2:$V$1001,MATCH(126,'2.현장'!$W$2:$W$1001,0)),"")</f>
        <v/>
      </c>
      <c r="C129">
        <f>IF(B129="","",COUNTIFS('2.현장'!$V$2:$V$1001,B129,'2.현장'!$T$2:$T$1001,TRUE))</f>
        <v/>
      </c>
      <c r="D129">
        <f>IF(B129="","",COUNTIFS('2.현장'!$V$2:$V$1001,B129,'2.현장'!$U$2:$U$1001,"설계사"))</f>
        <v/>
      </c>
      <c r="E129">
        <f>IF(B129="","",COUNTIFS('2.현장'!$V$2:$V$1001,B129,'2.현장'!$U$2:$U$1001,"시공사"))</f>
        <v/>
      </c>
      <c r="F129">
        <f>IF(B129="","",COUNTIFS('2.현장'!$V$2:$V$1001,B129,'2.현장'!$T$2:$T$1001,TRUE,'2.현장'!$AA$2:$AA$1001,"★"))</f>
        <v/>
      </c>
      <c r="G129" s="6">
        <f>IF(B129="","",SUMIFS('2.현장'!$AB$2:$AB$1001,'2.현장'!$V$2:$V$1001,B129,'2.현장'!$T$2:$T$1001,TRUE))</f>
        <v/>
      </c>
      <c r="H129" s="5">
        <f>IF(B129="","",_xlfn.MAXIFS('2.현장'!$D$2:$D$1001,'2.현장'!$V$2:$V$1001,B129,'2.현장'!$T$2:$T$1001,TRUE))</f>
        <v/>
      </c>
      <c r="I129" s="7">
        <f>IF(B129="","",IF(_xlfn.MAXIFS('2.현장'!$L$2:$L$1001,'2.현장'!$V$2:$V$1001,B129,'2.현장'!$T$2:$T$1001,TRUE)=0,"",_xlfn.MAXIFS('2.현장'!$L$2:$L$1001,'2.현장'!$V$2:$V$1001,B129,'2.현장'!$T$2:$T$1001,TRUE)))</f>
        <v/>
      </c>
      <c r="J129" s="7">
        <f>IF(B129="","",IF(_xlfn.MAXIFS('2.현장'!$M$2:$M$1001,'2.현장'!$V$2:$V$1001,B129,'2.현장'!$T$2:$T$1001,TRUE)=0,"",_xlfn.MAXIFS('2.현장'!$M$2:$M$1001,'2.현장'!$V$2:$V$1001,B129,'2.현장'!$T$2:$T$1001,TRUE)))</f>
        <v/>
      </c>
      <c r="K129">
        <f>IF(B129="","",IFERROR(INDEX('2.현장'!$C$2:$C$1001,IFERROR(MATCH(B129&amp;"|설계사",'2.현장'!$Z$2:$Z$1001,0),IFERROR(MATCH(B129&amp;"|시공사",'2.현장'!$Z$2:$Z$1001,0),MATCH(B129&amp;"|늦음",'2.현장'!$Z$2:$Z$1001,0)))),""))</f>
        <v/>
      </c>
      <c r="L129">
        <f>IF(B129="","",IFERROR(INDEX('2.현장'!$N$2:$N$1001,IFERROR(MATCH(B129&amp;"|설계사",'2.현장'!$Z$2:$Z$1001,0),IFERROR(MATCH(B129&amp;"|시공사",'2.현장'!$Z$2:$Z$1001,0),MATCH(B129&amp;"|늦음",'2.현장'!$Z$2:$Z$1001,0)))),""))</f>
        <v/>
      </c>
      <c r="M129">
        <f>IF(B129="","",IFERROR(VLOOKUP(B129,업체_메모!$A$3:$I$302,2,FALSE)&amp;"",""))</f>
        <v/>
      </c>
      <c r="N129">
        <f>IF(B129="","",IFERROR(VLOOKUP(B129,업체_메모!$A$3:$I$302,4,FALSE)&amp;"",""))</f>
        <v/>
      </c>
      <c r="O129" s="7">
        <f>IF(B129="","",IF(COUNTIF('4.방문기록'!$B$3:$B$502,B129)=0,"",_xlfn.MAXIFS('4.방문기록'!$A$3:$A$502,'4.방문기록'!$B$3:$B$502,B129)))</f>
        <v/>
      </c>
      <c r="P129">
        <f>IF(O129="","",설정!$B$24-O129)</f>
        <v/>
      </c>
      <c r="Q129" s="7">
        <f>IF(B129="","",IF(_xlfn.MAXIFS('4.방문기록'!$F$3:$F$502,'4.방문기록'!$B$3:$B$502,B129)=0,"",_xlfn.MAXIFS('4.방문기록'!$F$3:$F$502,'4.방문기록'!$B$3:$B$502,B129)))</f>
        <v/>
      </c>
      <c r="R129">
        <f>IF(O129="","",IFERROR(INDEX('4.방문기록'!$H$3:$H$502,MATCH(B129&amp;"|"&amp;(O129*1),'4.방문기록'!$I$3:$I$502,0))&amp;"",""))</f>
        <v/>
      </c>
      <c r="S129">
        <f>IF(B129="","",IF(R129="관심 없음","제외",IF(O129="","안 가봄",IF(P129&gt;=설정!$B$20,P129&amp;"일 지남","최근 방문"))))</f>
        <v/>
      </c>
      <c r="T129" s="8">
        <f>IF(B129="","",IF(S129="제외","",IF(AND(설정!$B$21&lt;&gt;"",L129&lt;&gt;설정!$B$21),"",IF(AND(Q129&lt;&gt;"",Q129&gt;N(O129),Q129&lt;=설정!$B$24+7),설정!$B$39+7-(Q129-설정!$B$24),IF(AND(G129&gt;0,OR(S129="안 가봄",RIGHT(S129,2)="지남")),G129+IF(O129="",설정!$B$36,MIN(P129,60)*설정!$B$37)+MIN(N(H129)/1000*설정!$B$38,20),"")))))</f>
        <v/>
      </c>
      <c r="U129">
        <f>IF(T129="","",COUNTIF(T$4:T$303,"&gt;"&amp;T129)+COUNTIF(T$4:T129,T129))</f>
        <v/>
      </c>
    </row>
    <row r="130">
      <c r="A130">
        <f>IF(B130="","",127)</f>
        <v/>
      </c>
      <c r="B130">
        <f>IFERROR(INDEX('2.현장'!$V$2:$V$1001,MATCH(127,'2.현장'!$W$2:$W$1001,0)),"")</f>
        <v/>
      </c>
      <c r="C130">
        <f>IF(B130="","",COUNTIFS('2.현장'!$V$2:$V$1001,B130,'2.현장'!$T$2:$T$1001,TRUE))</f>
        <v/>
      </c>
      <c r="D130">
        <f>IF(B130="","",COUNTIFS('2.현장'!$V$2:$V$1001,B130,'2.현장'!$U$2:$U$1001,"설계사"))</f>
        <v/>
      </c>
      <c r="E130">
        <f>IF(B130="","",COUNTIFS('2.현장'!$V$2:$V$1001,B130,'2.현장'!$U$2:$U$1001,"시공사"))</f>
        <v/>
      </c>
      <c r="F130">
        <f>IF(B130="","",COUNTIFS('2.현장'!$V$2:$V$1001,B130,'2.현장'!$T$2:$T$1001,TRUE,'2.현장'!$AA$2:$AA$1001,"★"))</f>
        <v/>
      </c>
      <c r="G130" s="6">
        <f>IF(B130="","",SUMIFS('2.현장'!$AB$2:$AB$1001,'2.현장'!$V$2:$V$1001,B130,'2.현장'!$T$2:$T$1001,TRUE))</f>
        <v/>
      </c>
      <c r="H130" s="5">
        <f>IF(B130="","",_xlfn.MAXIFS('2.현장'!$D$2:$D$1001,'2.현장'!$V$2:$V$1001,B130,'2.현장'!$T$2:$T$1001,TRUE))</f>
        <v/>
      </c>
      <c r="I130" s="7">
        <f>IF(B130="","",IF(_xlfn.MAXIFS('2.현장'!$L$2:$L$1001,'2.현장'!$V$2:$V$1001,B130,'2.현장'!$T$2:$T$1001,TRUE)=0,"",_xlfn.MAXIFS('2.현장'!$L$2:$L$1001,'2.현장'!$V$2:$V$1001,B130,'2.현장'!$T$2:$T$1001,TRUE)))</f>
        <v/>
      </c>
      <c r="J130" s="7">
        <f>IF(B130="","",IF(_xlfn.MAXIFS('2.현장'!$M$2:$M$1001,'2.현장'!$V$2:$V$1001,B130,'2.현장'!$T$2:$T$1001,TRUE)=0,"",_xlfn.MAXIFS('2.현장'!$M$2:$M$1001,'2.현장'!$V$2:$V$1001,B130,'2.현장'!$T$2:$T$1001,TRUE)))</f>
        <v/>
      </c>
      <c r="K130">
        <f>IF(B130="","",IFERROR(INDEX('2.현장'!$C$2:$C$1001,IFERROR(MATCH(B130&amp;"|설계사",'2.현장'!$Z$2:$Z$1001,0),IFERROR(MATCH(B130&amp;"|시공사",'2.현장'!$Z$2:$Z$1001,0),MATCH(B130&amp;"|늦음",'2.현장'!$Z$2:$Z$1001,0)))),""))</f>
        <v/>
      </c>
      <c r="L130">
        <f>IF(B130="","",IFERROR(INDEX('2.현장'!$N$2:$N$1001,IFERROR(MATCH(B130&amp;"|설계사",'2.현장'!$Z$2:$Z$1001,0),IFERROR(MATCH(B130&amp;"|시공사",'2.현장'!$Z$2:$Z$1001,0),MATCH(B130&amp;"|늦음",'2.현장'!$Z$2:$Z$1001,0)))),""))</f>
        <v/>
      </c>
      <c r="M130">
        <f>IF(B130="","",IFERROR(VLOOKUP(B130,업체_메모!$A$3:$I$302,2,FALSE)&amp;"",""))</f>
        <v/>
      </c>
      <c r="N130">
        <f>IF(B130="","",IFERROR(VLOOKUP(B130,업체_메모!$A$3:$I$302,4,FALSE)&amp;"",""))</f>
        <v/>
      </c>
      <c r="O130" s="7">
        <f>IF(B130="","",IF(COUNTIF('4.방문기록'!$B$3:$B$502,B130)=0,"",_xlfn.MAXIFS('4.방문기록'!$A$3:$A$502,'4.방문기록'!$B$3:$B$502,B130)))</f>
        <v/>
      </c>
      <c r="P130">
        <f>IF(O130="","",설정!$B$24-O130)</f>
        <v/>
      </c>
      <c r="Q130" s="7">
        <f>IF(B130="","",IF(_xlfn.MAXIFS('4.방문기록'!$F$3:$F$502,'4.방문기록'!$B$3:$B$502,B130)=0,"",_xlfn.MAXIFS('4.방문기록'!$F$3:$F$502,'4.방문기록'!$B$3:$B$502,B130)))</f>
        <v/>
      </c>
      <c r="R130">
        <f>IF(O130="","",IFERROR(INDEX('4.방문기록'!$H$3:$H$502,MATCH(B130&amp;"|"&amp;(O130*1),'4.방문기록'!$I$3:$I$502,0))&amp;"",""))</f>
        <v/>
      </c>
      <c r="S130">
        <f>IF(B130="","",IF(R130="관심 없음","제외",IF(O130="","안 가봄",IF(P130&gt;=설정!$B$20,P130&amp;"일 지남","최근 방문"))))</f>
        <v/>
      </c>
      <c r="T130" s="8">
        <f>IF(B130="","",IF(S130="제외","",IF(AND(설정!$B$21&lt;&gt;"",L130&lt;&gt;설정!$B$21),"",IF(AND(Q130&lt;&gt;"",Q130&gt;N(O130),Q130&lt;=설정!$B$24+7),설정!$B$39+7-(Q130-설정!$B$24),IF(AND(G130&gt;0,OR(S130="안 가봄",RIGHT(S130,2)="지남")),G130+IF(O130="",설정!$B$36,MIN(P130,60)*설정!$B$37)+MIN(N(H130)/1000*설정!$B$38,20),"")))))</f>
        <v/>
      </c>
      <c r="U130">
        <f>IF(T130="","",COUNTIF(T$4:T$303,"&gt;"&amp;T130)+COUNTIF(T$4:T130,T130))</f>
        <v/>
      </c>
    </row>
    <row r="131">
      <c r="A131">
        <f>IF(B131="","",128)</f>
        <v/>
      </c>
      <c r="B131">
        <f>IFERROR(INDEX('2.현장'!$V$2:$V$1001,MATCH(128,'2.현장'!$W$2:$W$1001,0)),"")</f>
        <v/>
      </c>
      <c r="C131">
        <f>IF(B131="","",COUNTIFS('2.현장'!$V$2:$V$1001,B131,'2.현장'!$T$2:$T$1001,TRUE))</f>
        <v/>
      </c>
      <c r="D131">
        <f>IF(B131="","",COUNTIFS('2.현장'!$V$2:$V$1001,B131,'2.현장'!$U$2:$U$1001,"설계사"))</f>
        <v/>
      </c>
      <c r="E131">
        <f>IF(B131="","",COUNTIFS('2.현장'!$V$2:$V$1001,B131,'2.현장'!$U$2:$U$1001,"시공사"))</f>
        <v/>
      </c>
      <c r="F131">
        <f>IF(B131="","",COUNTIFS('2.현장'!$V$2:$V$1001,B131,'2.현장'!$T$2:$T$1001,TRUE,'2.현장'!$AA$2:$AA$1001,"★"))</f>
        <v/>
      </c>
      <c r="G131" s="6">
        <f>IF(B131="","",SUMIFS('2.현장'!$AB$2:$AB$1001,'2.현장'!$V$2:$V$1001,B131,'2.현장'!$T$2:$T$1001,TRUE))</f>
        <v/>
      </c>
      <c r="H131" s="5">
        <f>IF(B131="","",_xlfn.MAXIFS('2.현장'!$D$2:$D$1001,'2.현장'!$V$2:$V$1001,B131,'2.현장'!$T$2:$T$1001,TRUE))</f>
        <v/>
      </c>
      <c r="I131" s="7">
        <f>IF(B131="","",IF(_xlfn.MAXIFS('2.현장'!$L$2:$L$1001,'2.현장'!$V$2:$V$1001,B131,'2.현장'!$T$2:$T$1001,TRUE)=0,"",_xlfn.MAXIFS('2.현장'!$L$2:$L$1001,'2.현장'!$V$2:$V$1001,B131,'2.현장'!$T$2:$T$1001,TRUE)))</f>
        <v/>
      </c>
      <c r="J131" s="7">
        <f>IF(B131="","",IF(_xlfn.MAXIFS('2.현장'!$M$2:$M$1001,'2.현장'!$V$2:$V$1001,B131,'2.현장'!$T$2:$T$1001,TRUE)=0,"",_xlfn.MAXIFS('2.현장'!$M$2:$M$1001,'2.현장'!$V$2:$V$1001,B131,'2.현장'!$T$2:$T$1001,TRUE)))</f>
        <v/>
      </c>
      <c r="K131">
        <f>IF(B131="","",IFERROR(INDEX('2.현장'!$C$2:$C$1001,IFERROR(MATCH(B131&amp;"|설계사",'2.현장'!$Z$2:$Z$1001,0),IFERROR(MATCH(B131&amp;"|시공사",'2.현장'!$Z$2:$Z$1001,0),MATCH(B131&amp;"|늦음",'2.현장'!$Z$2:$Z$1001,0)))),""))</f>
        <v/>
      </c>
      <c r="L131">
        <f>IF(B131="","",IFERROR(INDEX('2.현장'!$N$2:$N$1001,IFERROR(MATCH(B131&amp;"|설계사",'2.현장'!$Z$2:$Z$1001,0),IFERROR(MATCH(B131&amp;"|시공사",'2.현장'!$Z$2:$Z$1001,0),MATCH(B131&amp;"|늦음",'2.현장'!$Z$2:$Z$1001,0)))),""))</f>
        <v/>
      </c>
      <c r="M131">
        <f>IF(B131="","",IFERROR(VLOOKUP(B131,업체_메모!$A$3:$I$302,2,FALSE)&amp;"",""))</f>
        <v/>
      </c>
      <c r="N131">
        <f>IF(B131="","",IFERROR(VLOOKUP(B131,업체_메모!$A$3:$I$302,4,FALSE)&amp;"",""))</f>
        <v/>
      </c>
      <c r="O131" s="7">
        <f>IF(B131="","",IF(COUNTIF('4.방문기록'!$B$3:$B$502,B131)=0,"",_xlfn.MAXIFS('4.방문기록'!$A$3:$A$502,'4.방문기록'!$B$3:$B$502,B131)))</f>
        <v/>
      </c>
      <c r="P131">
        <f>IF(O131="","",설정!$B$24-O131)</f>
        <v/>
      </c>
      <c r="Q131" s="7">
        <f>IF(B131="","",IF(_xlfn.MAXIFS('4.방문기록'!$F$3:$F$502,'4.방문기록'!$B$3:$B$502,B131)=0,"",_xlfn.MAXIFS('4.방문기록'!$F$3:$F$502,'4.방문기록'!$B$3:$B$502,B131)))</f>
        <v/>
      </c>
      <c r="R131">
        <f>IF(O131="","",IFERROR(INDEX('4.방문기록'!$H$3:$H$502,MATCH(B131&amp;"|"&amp;(O131*1),'4.방문기록'!$I$3:$I$502,0))&amp;"",""))</f>
        <v/>
      </c>
      <c r="S131">
        <f>IF(B131="","",IF(R131="관심 없음","제외",IF(O131="","안 가봄",IF(P131&gt;=설정!$B$20,P131&amp;"일 지남","최근 방문"))))</f>
        <v/>
      </c>
      <c r="T131" s="8">
        <f>IF(B131="","",IF(S131="제외","",IF(AND(설정!$B$21&lt;&gt;"",L131&lt;&gt;설정!$B$21),"",IF(AND(Q131&lt;&gt;"",Q131&gt;N(O131),Q131&lt;=설정!$B$24+7),설정!$B$39+7-(Q131-설정!$B$24),IF(AND(G131&gt;0,OR(S131="안 가봄",RIGHT(S131,2)="지남")),G131+IF(O131="",설정!$B$36,MIN(P131,60)*설정!$B$37)+MIN(N(H131)/1000*설정!$B$38,20),"")))))</f>
        <v/>
      </c>
      <c r="U131">
        <f>IF(T131="","",COUNTIF(T$4:T$303,"&gt;"&amp;T131)+COUNTIF(T$4:T131,T131))</f>
        <v/>
      </c>
    </row>
    <row r="132">
      <c r="A132">
        <f>IF(B132="","",129)</f>
        <v/>
      </c>
      <c r="B132">
        <f>IFERROR(INDEX('2.현장'!$V$2:$V$1001,MATCH(129,'2.현장'!$W$2:$W$1001,0)),"")</f>
        <v/>
      </c>
      <c r="C132">
        <f>IF(B132="","",COUNTIFS('2.현장'!$V$2:$V$1001,B132,'2.현장'!$T$2:$T$1001,TRUE))</f>
        <v/>
      </c>
      <c r="D132">
        <f>IF(B132="","",COUNTIFS('2.현장'!$V$2:$V$1001,B132,'2.현장'!$U$2:$U$1001,"설계사"))</f>
        <v/>
      </c>
      <c r="E132">
        <f>IF(B132="","",COUNTIFS('2.현장'!$V$2:$V$1001,B132,'2.현장'!$U$2:$U$1001,"시공사"))</f>
        <v/>
      </c>
      <c r="F132">
        <f>IF(B132="","",COUNTIFS('2.현장'!$V$2:$V$1001,B132,'2.현장'!$T$2:$T$1001,TRUE,'2.현장'!$AA$2:$AA$1001,"★"))</f>
        <v/>
      </c>
      <c r="G132" s="6">
        <f>IF(B132="","",SUMIFS('2.현장'!$AB$2:$AB$1001,'2.현장'!$V$2:$V$1001,B132,'2.현장'!$T$2:$T$1001,TRUE))</f>
        <v/>
      </c>
      <c r="H132" s="5">
        <f>IF(B132="","",_xlfn.MAXIFS('2.현장'!$D$2:$D$1001,'2.현장'!$V$2:$V$1001,B132,'2.현장'!$T$2:$T$1001,TRUE))</f>
        <v/>
      </c>
      <c r="I132" s="7">
        <f>IF(B132="","",IF(_xlfn.MAXIFS('2.현장'!$L$2:$L$1001,'2.현장'!$V$2:$V$1001,B132,'2.현장'!$T$2:$T$1001,TRUE)=0,"",_xlfn.MAXIFS('2.현장'!$L$2:$L$1001,'2.현장'!$V$2:$V$1001,B132,'2.현장'!$T$2:$T$1001,TRUE)))</f>
        <v/>
      </c>
      <c r="J132" s="7">
        <f>IF(B132="","",IF(_xlfn.MAXIFS('2.현장'!$M$2:$M$1001,'2.현장'!$V$2:$V$1001,B132,'2.현장'!$T$2:$T$1001,TRUE)=0,"",_xlfn.MAXIFS('2.현장'!$M$2:$M$1001,'2.현장'!$V$2:$V$1001,B132,'2.현장'!$T$2:$T$1001,TRUE)))</f>
        <v/>
      </c>
      <c r="K132">
        <f>IF(B132="","",IFERROR(INDEX('2.현장'!$C$2:$C$1001,IFERROR(MATCH(B132&amp;"|설계사",'2.현장'!$Z$2:$Z$1001,0),IFERROR(MATCH(B132&amp;"|시공사",'2.현장'!$Z$2:$Z$1001,0),MATCH(B132&amp;"|늦음",'2.현장'!$Z$2:$Z$1001,0)))),""))</f>
        <v/>
      </c>
      <c r="L132">
        <f>IF(B132="","",IFERROR(INDEX('2.현장'!$N$2:$N$1001,IFERROR(MATCH(B132&amp;"|설계사",'2.현장'!$Z$2:$Z$1001,0),IFERROR(MATCH(B132&amp;"|시공사",'2.현장'!$Z$2:$Z$1001,0),MATCH(B132&amp;"|늦음",'2.현장'!$Z$2:$Z$1001,0)))),""))</f>
        <v/>
      </c>
      <c r="M132">
        <f>IF(B132="","",IFERROR(VLOOKUP(B132,업체_메모!$A$3:$I$302,2,FALSE)&amp;"",""))</f>
        <v/>
      </c>
      <c r="N132">
        <f>IF(B132="","",IFERROR(VLOOKUP(B132,업체_메모!$A$3:$I$302,4,FALSE)&amp;"",""))</f>
        <v/>
      </c>
      <c r="O132" s="7">
        <f>IF(B132="","",IF(COUNTIF('4.방문기록'!$B$3:$B$502,B132)=0,"",_xlfn.MAXIFS('4.방문기록'!$A$3:$A$502,'4.방문기록'!$B$3:$B$502,B132)))</f>
        <v/>
      </c>
      <c r="P132">
        <f>IF(O132="","",설정!$B$24-O132)</f>
        <v/>
      </c>
      <c r="Q132" s="7">
        <f>IF(B132="","",IF(_xlfn.MAXIFS('4.방문기록'!$F$3:$F$502,'4.방문기록'!$B$3:$B$502,B132)=0,"",_xlfn.MAXIFS('4.방문기록'!$F$3:$F$502,'4.방문기록'!$B$3:$B$502,B132)))</f>
        <v/>
      </c>
      <c r="R132">
        <f>IF(O132="","",IFERROR(INDEX('4.방문기록'!$H$3:$H$502,MATCH(B132&amp;"|"&amp;(O132*1),'4.방문기록'!$I$3:$I$502,0))&amp;"",""))</f>
        <v/>
      </c>
      <c r="S132">
        <f>IF(B132="","",IF(R132="관심 없음","제외",IF(O132="","안 가봄",IF(P132&gt;=설정!$B$20,P132&amp;"일 지남","최근 방문"))))</f>
        <v/>
      </c>
      <c r="T132" s="8">
        <f>IF(B132="","",IF(S132="제외","",IF(AND(설정!$B$21&lt;&gt;"",L132&lt;&gt;설정!$B$21),"",IF(AND(Q132&lt;&gt;"",Q132&gt;N(O132),Q132&lt;=설정!$B$24+7),설정!$B$39+7-(Q132-설정!$B$24),IF(AND(G132&gt;0,OR(S132="안 가봄",RIGHT(S132,2)="지남")),G132+IF(O132="",설정!$B$36,MIN(P132,60)*설정!$B$37)+MIN(N(H132)/1000*설정!$B$38,20),"")))))</f>
        <v/>
      </c>
      <c r="U132">
        <f>IF(T132="","",COUNTIF(T$4:T$303,"&gt;"&amp;T132)+COUNTIF(T$4:T132,T132))</f>
        <v/>
      </c>
    </row>
    <row r="133">
      <c r="A133">
        <f>IF(B133="","",130)</f>
        <v/>
      </c>
      <c r="B133">
        <f>IFERROR(INDEX('2.현장'!$V$2:$V$1001,MATCH(130,'2.현장'!$W$2:$W$1001,0)),"")</f>
        <v/>
      </c>
      <c r="C133">
        <f>IF(B133="","",COUNTIFS('2.현장'!$V$2:$V$1001,B133,'2.현장'!$T$2:$T$1001,TRUE))</f>
        <v/>
      </c>
      <c r="D133">
        <f>IF(B133="","",COUNTIFS('2.현장'!$V$2:$V$1001,B133,'2.현장'!$U$2:$U$1001,"설계사"))</f>
        <v/>
      </c>
      <c r="E133">
        <f>IF(B133="","",COUNTIFS('2.현장'!$V$2:$V$1001,B133,'2.현장'!$U$2:$U$1001,"시공사"))</f>
        <v/>
      </c>
      <c r="F133">
        <f>IF(B133="","",COUNTIFS('2.현장'!$V$2:$V$1001,B133,'2.현장'!$T$2:$T$1001,TRUE,'2.현장'!$AA$2:$AA$1001,"★"))</f>
        <v/>
      </c>
      <c r="G133" s="6">
        <f>IF(B133="","",SUMIFS('2.현장'!$AB$2:$AB$1001,'2.현장'!$V$2:$V$1001,B133,'2.현장'!$T$2:$T$1001,TRUE))</f>
        <v/>
      </c>
      <c r="H133" s="5">
        <f>IF(B133="","",_xlfn.MAXIFS('2.현장'!$D$2:$D$1001,'2.현장'!$V$2:$V$1001,B133,'2.현장'!$T$2:$T$1001,TRUE))</f>
        <v/>
      </c>
      <c r="I133" s="7">
        <f>IF(B133="","",IF(_xlfn.MAXIFS('2.현장'!$L$2:$L$1001,'2.현장'!$V$2:$V$1001,B133,'2.현장'!$T$2:$T$1001,TRUE)=0,"",_xlfn.MAXIFS('2.현장'!$L$2:$L$1001,'2.현장'!$V$2:$V$1001,B133,'2.현장'!$T$2:$T$1001,TRUE)))</f>
        <v/>
      </c>
      <c r="J133" s="7">
        <f>IF(B133="","",IF(_xlfn.MAXIFS('2.현장'!$M$2:$M$1001,'2.현장'!$V$2:$V$1001,B133,'2.현장'!$T$2:$T$1001,TRUE)=0,"",_xlfn.MAXIFS('2.현장'!$M$2:$M$1001,'2.현장'!$V$2:$V$1001,B133,'2.현장'!$T$2:$T$1001,TRUE)))</f>
        <v/>
      </c>
      <c r="K133">
        <f>IF(B133="","",IFERROR(INDEX('2.현장'!$C$2:$C$1001,IFERROR(MATCH(B133&amp;"|설계사",'2.현장'!$Z$2:$Z$1001,0),IFERROR(MATCH(B133&amp;"|시공사",'2.현장'!$Z$2:$Z$1001,0),MATCH(B133&amp;"|늦음",'2.현장'!$Z$2:$Z$1001,0)))),""))</f>
        <v/>
      </c>
      <c r="L133">
        <f>IF(B133="","",IFERROR(INDEX('2.현장'!$N$2:$N$1001,IFERROR(MATCH(B133&amp;"|설계사",'2.현장'!$Z$2:$Z$1001,0),IFERROR(MATCH(B133&amp;"|시공사",'2.현장'!$Z$2:$Z$1001,0),MATCH(B133&amp;"|늦음",'2.현장'!$Z$2:$Z$1001,0)))),""))</f>
        <v/>
      </c>
      <c r="M133">
        <f>IF(B133="","",IFERROR(VLOOKUP(B133,업체_메모!$A$3:$I$302,2,FALSE)&amp;"",""))</f>
        <v/>
      </c>
      <c r="N133">
        <f>IF(B133="","",IFERROR(VLOOKUP(B133,업체_메모!$A$3:$I$302,4,FALSE)&amp;"",""))</f>
        <v/>
      </c>
      <c r="O133" s="7">
        <f>IF(B133="","",IF(COUNTIF('4.방문기록'!$B$3:$B$502,B133)=0,"",_xlfn.MAXIFS('4.방문기록'!$A$3:$A$502,'4.방문기록'!$B$3:$B$502,B133)))</f>
        <v/>
      </c>
      <c r="P133">
        <f>IF(O133="","",설정!$B$24-O133)</f>
        <v/>
      </c>
      <c r="Q133" s="7">
        <f>IF(B133="","",IF(_xlfn.MAXIFS('4.방문기록'!$F$3:$F$502,'4.방문기록'!$B$3:$B$502,B133)=0,"",_xlfn.MAXIFS('4.방문기록'!$F$3:$F$502,'4.방문기록'!$B$3:$B$502,B133)))</f>
        <v/>
      </c>
      <c r="R133">
        <f>IF(O133="","",IFERROR(INDEX('4.방문기록'!$H$3:$H$502,MATCH(B133&amp;"|"&amp;(O133*1),'4.방문기록'!$I$3:$I$502,0))&amp;"",""))</f>
        <v/>
      </c>
      <c r="S133">
        <f>IF(B133="","",IF(R133="관심 없음","제외",IF(O133="","안 가봄",IF(P133&gt;=설정!$B$20,P133&amp;"일 지남","최근 방문"))))</f>
        <v/>
      </c>
      <c r="T133" s="8">
        <f>IF(B133="","",IF(S133="제외","",IF(AND(설정!$B$21&lt;&gt;"",L133&lt;&gt;설정!$B$21),"",IF(AND(Q133&lt;&gt;"",Q133&gt;N(O133),Q133&lt;=설정!$B$24+7),설정!$B$39+7-(Q133-설정!$B$24),IF(AND(G133&gt;0,OR(S133="안 가봄",RIGHT(S133,2)="지남")),G133+IF(O133="",설정!$B$36,MIN(P133,60)*설정!$B$37)+MIN(N(H133)/1000*설정!$B$38,20),"")))))</f>
        <v/>
      </c>
      <c r="U133">
        <f>IF(T133="","",COUNTIF(T$4:T$303,"&gt;"&amp;T133)+COUNTIF(T$4:T133,T133))</f>
        <v/>
      </c>
    </row>
    <row r="134">
      <c r="A134">
        <f>IF(B134="","",131)</f>
        <v/>
      </c>
      <c r="B134">
        <f>IFERROR(INDEX('2.현장'!$V$2:$V$1001,MATCH(131,'2.현장'!$W$2:$W$1001,0)),"")</f>
        <v/>
      </c>
      <c r="C134">
        <f>IF(B134="","",COUNTIFS('2.현장'!$V$2:$V$1001,B134,'2.현장'!$T$2:$T$1001,TRUE))</f>
        <v/>
      </c>
      <c r="D134">
        <f>IF(B134="","",COUNTIFS('2.현장'!$V$2:$V$1001,B134,'2.현장'!$U$2:$U$1001,"설계사"))</f>
        <v/>
      </c>
      <c r="E134">
        <f>IF(B134="","",COUNTIFS('2.현장'!$V$2:$V$1001,B134,'2.현장'!$U$2:$U$1001,"시공사"))</f>
        <v/>
      </c>
      <c r="F134">
        <f>IF(B134="","",COUNTIFS('2.현장'!$V$2:$V$1001,B134,'2.현장'!$T$2:$T$1001,TRUE,'2.현장'!$AA$2:$AA$1001,"★"))</f>
        <v/>
      </c>
      <c r="G134" s="6">
        <f>IF(B134="","",SUMIFS('2.현장'!$AB$2:$AB$1001,'2.현장'!$V$2:$V$1001,B134,'2.현장'!$T$2:$T$1001,TRUE))</f>
        <v/>
      </c>
      <c r="H134" s="5">
        <f>IF(B134="","",_xlfn.MAXIFS('2.현장'!$D$2:$D$1001,'2.현장'!$V$2:$V$1001,B134,'2.현장'!$T$2:$T$1001,TRUE))</f>
        <v/>
      </c>
      <c r="I134" s="7">
        <f>IF(B134="","",IF(_xlfn.MAXIFS('2.현장'!$L$2:$L$1001,'2.현장'!$V$2:$V$1001,B134,'2.현장'!$T$2:$T$1001,TRUE)=0,"",_xlfn.MAXIFS('2.현장'!$L$2:$L$1001,'2.현장'!$V$2:$V$1001,B134,'2.현장'!$T$2:$T$1001,TRUE)))</f>
        <v/>
      </c>
      <c r="J134" s="7">
        <f>IF(B134="","",IF(_xlfn.MAXIFS('2.현장'!$M$2:$M$1001,'2.현장'!$V$2:$V$1001,B134,'2.현장'!$T$2:$T$1001,TRUE)=0,"",_xlfn.MAXIFS('2.현장'!$M$2:$M$1001,'2.현장'!$V$2:$V$1001,B134,'2.현장'!$T$2:$T$1001,TRUE)))</f>
        <v/>
      </c>
      <c r="K134">
        <f>IF(B134="","",IFERROR(INDEX('2.현장'!$C$2:$C$1001,IFERROR(MATCH(B134&amp;"|설계사",'2.현장'!$Z$2:$Z$1001,0),IFERROR(MATCH(B134&amp;"|시공사",'2.현장'!$Z$2:$Z$1001,0),MATCH(B134&amp;"|늦음",'2.현장'!$Z$2:$Z$1001,0)))),""))</f>
        <v/>
      </c>
      <c r="L134">
        <f>IF(B134="","",IFERROR(INDEX('2.현장'!$N$2:$N$1001,IFERROR(MATCH(B134&amp;"|설계사",'2.현장'!$Z$2:$Z$1001,0),IFERROR(MATCH(B134&amp;"|시공사",'2.현장'!$Z$2:$Z$1001,0),MATCH(B134&amp;"|늦음",'2.현장'!$Z$2:$Z$1001,0)))),""))</f>
        <v/>
      </c>
      <c r="M134">
        <f>IF(B134="","",IFERROR(VLOOKUP(B134,업체_메모!$A$3:$I$302,2,FALSE)&amp;"",""))</f>
        <v/>
      </c>
      <c r="N134">
        <f>IF(B134="","",IFERROR(VLOOKUP(B134,업체_메모!$A$3:$I$302,4,FALSE)&amp;"",""))</f>
        <v/>
      </c>
      <c r="O134" s="7">
        <f>IF(B134="","",IF(COUNTIF('4.방문기록'!$B$3:$B$502,B134)=0,"",_xlfn.MAXIFS('4.방문기록'!$A$3:$A$502,'4.방문기록'!$B$3:$B$502,B134)))</f>
        <v/>
      </c>
      <c r="P134">
        <f>IF(O134="","",설정!$B$24-O134)</f>
        <v/>
      </c>
      <c r="Q134" s="7">
        <f>IF(B134="","",IF(_xlfn.MAXIFS('4.방문기록'!$F$3:$F$502,'4.방문기록'!$B$3:$B$502,B134)=0,"",_xlfn.MAXIFS('4.방문기록'!$F$3:$F$502,'4.방문기록'!$B$3:$B$502,B134)))</f>
        <v/>
      </c>
      <c r="R134">
        <f>IF(O134="","",IFERROR(INDEX('4.방문기록'!$H$3:$H$502,MATCH(B134&amp;"|"&amp;(O134*1),'4.방문기록'!$I$3:$I$502,0))&amp;"",""))</f>
        <v/>
      </c>
      <c r="S134">
        <f>IF(B134="","",IF(R134="관심 없음","제외",IF(O134="","안 가봄",IF(P134&gt;=설정!$B$20,P134&amp;"일 지남","최근 방문"))))</f>
        <v/>
      </c>
      <c r="T134" s="8">
        <f>IF(B134="","",IF(S134="제외","",IF(AND(설정!$B$21&lt;&gt;"",L134&lt;&gt;설정!$B$21),"",IF(AND(Q134&lt;&gt;"",Q134&gt;N(O134),Q134&lt;=설정!$B$24+7),설정!$B$39+7-(Q134-설정!$B$24),IF(AND(G134&gt;0,OR(S134="안 가봄",RIGHT(S134,2)="지남")),G134+IF(O134="",설정!$B$36,MIN(P134,60)*설정!$B$37)+MIN(N(H134)/1000*설정!$B$38,20),"")))))</f>
        <v/>
      </c>
      <c r="U134">
        <f>IF(T134="","",COUNTIF(T$4:T$303,"&gt;"&amp;T134)+COUNTIF(T$4:T134,T134))</f>
        <v/>
      </c>
    </row>
    <row r="135">
      <c r="A135">
        <f>IF(B135="","",132)</f>
        <v/>
      </c>
      <c r="B135">
        <f>IFERROR(INDEX('2.현장'!$V$2:$V$1001,MATCH(132,'2.현장'!$W$2:$W$1001,0)),"")</f>
        <v/>
      </c>
      <c r="C135">
        <f>IF(B135="","",COUNTIFS('2.현장'!$V$2:$V$1001,B135,'2.현장'!$T$2:$T$1001,TRUE))</f>
        <v/>
      </c>
      <c r="D135">
        <f>IF(B135="","",COUNTIFS('2.현장'!$V$2:$V$1001,B135,'2.현장'!$U$2:$U$1001,"설계사"))</f>
        <v/>
      </c>
      <c r="E135">
        <f>IF(B135="","",COUNTIFS('2.현장'!$V$2:$V$1001,B135,'2.현장'!$U$2:$U$1001,"시공사"))</f>
        <v/>
      </c>
      <c r="F135">
        <f>IF(B135="","",COUNTIFS('2.현장'!$V$2:$V$1001,B135,'2.현장'!$T$2:$T$1001,TRUE,'2.현장'!$AA$2:$AA$1001,"★"))</f>
        <v/>
      </c>
      <c r="G135" s="6">
        <f>IF(B135="","",SUMIFS('2.현장'!$AB$2:$AB$1001,'2.현장'!$V$2:$V$1001,B135,'2.현장'!$T$2:$T$1001,TRUE))</f>
        <v/>
      </c>
      <c r="H135" s="5">
        <f>IF(B135="","",_xlfn.MAXIFS('2.현장'!$D$2:$D$1001,'2.현장'!$V$2:$V$1001,B135,'2.현장'!$T$2:$T$1001,TRUE))</f>
        <v/>
      </c>
      <c r="I135" s="7">
        <f>IF(B135="","",IF(_xlfn.MAXIFS('2.현장'!$L$2:$L$1001,'2.현장'!$V$2:$V$1001,B135,'2.현장'!$T$2:$T$1001,TRUE)=0,"",_xlfn.MAXIFS('2.현장'!$L$2:$L$1001,'2.현장'!$V$2:$V$1001,B135,'2.현장'!$T$2:$T$1001,TRUE)))</f>
        <v/>
      </c>
      <c r="J135" s="7">
        <f>IF(B135="","",IF(_xlfn.MAXIFS('2.현장'!$M$2:$M$1001,'2.현장'!$V$2:$V$1001,B135,'2.현장'!$T$2:$T$1001,TRUE)=0,"",_xlfn.MAXIFS('2.현장'!$M$2:$M$1001,'2.현장'!$V$2:$V$1001,B135,'2.현장'!$T$2:$T$1001,TRUE)))</f>
        <v/>
      </c>
      <c r="K135">
        <f>IF(B135="","",IFERROR(INDEX('2.현장'!$C$2:$C$1001,IFERROR(MATCH(B135&amp;"|설계사",'2.현장'!$Z$2:$Z$1001,0),IFERROR(MATCH(B135&amp;"|시공사",'2.현장'!$Z$2:$Z$1001,0),MATCH(B135&amp;"|늦음",'2.현장'!$Z$2:$Z$1001,0)))),""))</f>
        <v/>
      </c>
      <c r="L135">
        <f>IF(B135="","",IFERROR(INDEX('2.현장'!$N$2:$N$1001,IFERROR(MATCH(B135&amp;"|설계사",'2.현장'!$Z$2:$Z$1001,0),IFERROR(MATCH(B135&amp;"|시공사",'2.현장'!$Z$2:$Z$1001,0),MATCH(B135&amp;"|늦음",'2.현장'!$Z$2:$Z$1001,0)))),""))</f>
        <v/>
      </c>
      <c r="M135">
        <f>IF(B135="","",IFERROR(VLOOKUP(B135,업체_메모!$A$3:$I$302,2,FALSE)&amp;"",""))</f>
        <v/>
      </c>
      <c r="N135">
        <f>IF(B135="","",IFERROR(VLOOKUP(B135,업체_메모!$A$3:$I$302,4,FALSE)&amp;"",""))</f>
        <v/>
      </c>
      <c r="O135" s="7">
        <f>IF(B135="","",IF(COUNTIF('4.방문기록'!$B$3:$B$502,B135)=0,"",_xlfn.MAXIFS('4.방문기록'!$A$3:$A$502,'4.방문기록'!$B$3:$B$502,B135)))</f>
        <v/>
      </c>
      <c r="P135">
        <f>IF(O135="","",설정!$B$24-O135)</f>
        <v/>
      </c>
      <c r="Q135" s="7">
        <f>IF(B135="","",IF(_xlfn.MAXIFS('4.방문기록'!$F$3:$F$502,'4.방문기록'!$B$3:$B$502,B135)=0,"",_xlfn.MAXIFS('4.방문기록'!$F$3:$F$502,'4.방문기록'!$B$3:$B$502,B135)))</f>
        <v/>
      </c>
      <c r="R135">
        <f>IF(O135="","",IFERROR(INDEX('4.방문기록'!$H$3:$H$502,MATCH(B135&amp;"|"&amp;(O135*1),'4.방문기록'!$I$3:$I$502,0))&amp;"",""))</f>
        <v/>
      </c>
      <c r="S135">
        <f>IF(B135="","",IF(R135="관심 없음","제외",IF(O135="","안 가봄",IF(P135&gt;=설정!$B$20,P135&amp;"일 지남","최근 방문"))))</f>
        <v/>
      </c>
      <c r="T135" s="8">
        <f>IF(B135="","",IF(S135="제외","",IF(AND(설정!$B$21&lt;&gt;"",L135&lt;&gt;설정!$B$21),"",IF(AND(Q135&lt;&gt;"",Q135&gt;N(O135),Q135&lt;=설정!$B$24+7),설정!$B$39+7-(Q135-설정!$B$24),IF(AND(G135&gt;0,OR(S135="안 가봄",RIGHT(S135,2)="지남")),G135+IF(O135="",설정!$B$36,MIN(P135,60)*설정!$B$37)+MIN(N(H135)/1000*설정!$B$38,20),"")))))</f>
        <v/>
      </c>
      <c r="U135">
        <f>IF(T135="","",COUNTIF(T$4:T$303,"&gt;"&amp;T135)+COUNTIF(T$4:T135,T135))</f>
        <v/>
      </c>
    </row>
    <row r="136">
      <c r="A136">
        <f>IF(B136="","",133)</f>
        <v/>
      </c>
      <c r="B136">
        <f>IFERROR(INDEX('2.현장'!$V$2:$V$1001,MATCH(133,'2.현장'!$W$2:$W$1001,0)),"")</f>
        <v/>
      </c>
      <c r="C136">
        <f>IF(B136="","",COUNTIFS('2.현장'!$V$2:$V$1001,B136,'2.현장'!$T$2:$T$1001,TRUE))</f>
        <v/>
      </c>
      <c r="D136">
        <f>IF(B136="","",COUNTIFS('2.현장'!$V$2:$V$1001,B136,'2.현장'!$U$2:$U$1001,"설계사"))</f>
        <v/>
      </c>
      <c r="E136">
        <f>IF(B136="","",COUNTIFS('2.현장'!$V$2:$V$1001,B136,'2.현장'!$U$2:$U$1001,"시공사"))</f>
        <v/>
      </c>
      <c r="F136">
        <f>IF(B136="","",COUNTIFS('2.현장'!$V$2:$V$1001,B136,'2.현장'!$T$2:$T$1001,TRUE,'2.현장'!$AA$2:$AA$1001,"★"))</f>
        <v/>
      </c>
      <c r="G136" s="6">
        <f>IF(B136="","",SUMIFS('2.현장'!$AB$2:$AB$1001,'2.현장'!$V$2:$V$1001,B136,'2.현장'!$T$2:$T$1001,TRUE))</f>
        <v/>
      </c>
      <c r="H136" s="5">
        <f>IF(B136="","",_xlfn.MAXIFS('2.현장'!$D$2:$D$1001,'2.현장'!$V$2:$V$1001,B136,'2.현장'!$T$2:$T$1001,TRUE))</f>
        <v/>
      </c>
      <c r="I136" s="7">
        <f>IF(B136="","",IF(_xlfn.MAXIFS('2.현장'!$L$2:$L$1001,'2.현장'!$V$2:$V$1001,B136,'2.현장'!$T$2:$T$1001,TRUE)=0,"",_xlfn.MAXIFS('2.현장'!$L$2:$L$1001,'2.현장'!$V$2:$V$1001,B136,'2.현장'!$T$2:$T$1001,TRUE)))</f>
        <v/>
      </c>
      <c r="J136" s="7">
        <f>IF(B136="","",IF(_xlfn.MAXIFS('2.현장'!$M$2:$M$1001,'2.현장'!$V$2:$V$1001,B136,'2.현장'!$T$2:$T$1001,TRUE)=0,"",_xlfn.MAXIFS('2.현장'!$M$2:$M$1001,'2.현장'!$V$2:$V$1001,B136,'2.현장'!$T$2:$T$1001,TRUE)))</f>
        <v/>
      </c>
      <c r="K136">
        <f>IF(B136="","",IFERROR(INDEX('2.현장'!$C$2:$C$1001,IFERROR(MATCH(B136&amp;"|설계사",'2.현장'!$Z$2:$Z$1001,0),IFERROR(MATCH(B136&amp;"|시공사",'2.현장'!$Z$2:$Z$1001,0),MATCH(B136&amp;"|늦음",'2.현장'!$Z$2:$Z$1001,0)))),""))</f>
        <v/>
      </c>
      <c r="L136">
        <f>IF(B136="","",IFERROR(INDEX('2.현장'!$N$2:$N$1001,IFERROR(MATCH(B136&amp;"|설계사",'2.현장'!$Z$2:$Z$1001,0),IFERROR(MATCH(B136&amp;"|시공사",'2.현장'!$Z$2:$Z$1001,0),MATCH(B136&amp;"|늦음",'2.현장'!$Z$2:$Z$1001,0)))),""))</f>
        <v/>
      </c>
      <c r="M136">
        <f>IF(B136="","",IFERROR(VLOOKUP(B136,업체_메모!$A$3:$I$302,2,FALSE)&amp;"",""))</f>
        <v/>
      </c>
      <c r="N136">
        <f>IF(B136="","",IFERROR(VLOOKUP(B136,업체_메모!$A$3:$I$302,4,FALSE)&amp;"",""))</f>
        <v/>
      </c>
      <c r="O136" s="7">
        <f>IF(B136="","",IF(COUNTIF('4.방문기록'!$B$3:$B$502,B136)=0,"",_xlfn.MAXIFS('4.방문기록'!$A$3:$A$502,'4.방문기록'!$B$3:$B$502,B136)))</f>
        <v/>
      </c>
      <c r="P136">
        <f>IF(O136="","",설정!$B$24-O136)</f>
        <v/>
      </c>
      <c r="Q136" s="7">
        <f>IF(B136="","",IF(_xlfn.MAXIFS('4.방문기록'!$F$3:$F$502,'4.방문기록'!$B$3:$B$502,B136)=0,"",_xlfn.MAXIFS('4.방문기록'!$F$3:$F$502,'4.방문기록'!$B$3:$B$502,B136)))</f>
        <v/>
      </c>
      <c r="R136">
        <f>IF(O136="","",IFERROR(INDEX('4.방문기록'!$H$3:$H$502,MATCH(B136&amp;"|"&amp;(O136*1),'4.방문기록'!$I$3:$I$502,0))&amp;"",""))</f>
        <v/>
      </c>
      <c r="S136">
        <f>IF(B136="","",IF(R136="관심 없음","제외",IF(O136="","안 가봄",IF(P136&gt;=설정!$B$20,P136&amp;"일 지남","최근 방문"))))</f>
        <v/>
      </c>
      <c r="T136" s="8">
        <f>IF(B136="","",IF(S136="제외","",IF(AND(설정!$B$21&lt;&gt;"",L136&lt;&gt;설정!$B$21),"",IF(AND(Q136&lt;&gt;"",Q136&gt;N(O136),Q136&lt;=설정!$B$24+7),설정!$B$39+7-(Q136-설정!$B$24),IF(AND(G136&gt;0,OR(S136="안 가봄",RIGHT(S136,2)="지남")),G136+IF(O136="",설정!$B$36,MIN(P136,60)*설정!$B$37)+MIN(N(H136)/1000*설정!$B$38,20),"")))))</f>
        <v/>
      </c>
      <c r="U136">
        <f>IF(T136="","",COUNTIF(T$4:T$303,"&gt;"&amp;T136)+COUNTIF(T$4:T136,T136))</f>
        <v/>
      </c>
    </row>
    <row r="137">
      <c r="A137">
        <f>IF(B137="","",134)</f>
        <v/>
      </c>
      <c r="B137">
        <f>IFERROR(INDEX('2.현장'!$V$2:$V$1001,MATCH(134,'2.현장'!$W$2:$W$1001,0)),"")</f>
        <v/>
      </c>
      <c r="C137">
        <f>IF(B137="","",COUNTIFS('2.현장'!$V$2:$V$1001,B137,'2.현장'!$T$2:$T$1001,TRUE))</f>
        <v/>
      </c>
      <c r="D137">
        <f>IF(B137="","",COUNTIFS('2.현장'!$V$2:$V$1001,B137,'2.현장'!$U$2:$U$1001,"설계사"))</f>
        <v/>
      </c>
      <c r="E137">
        <f>IF(B137="","",COUNTIFS('2.현장'!$V$2:$V$1001,B137,'2.현장'!$U$2:$U$1001,"시공사"))</f>
        <v/>
      </c>
      <c r="F137">
        <f>IF(B137="","",COUNTIFS('2.현장'!$V$2:$V$1001,B137,'2.현장'!$T$2:$T$1001,TRUE,'2.현장'!$AA$2:$AA$1001,"★"))</f>
        <v/>
      </c>
      <c r="G137" s="6">
        <f>IF(B137="","",SUMIFS('2.현장'!$AB$2:$AB$1001,'2.현장'!$V$2:$V$1001,B137,'2.현장'!$T$2:$T$1001,TRUE))</f>
        <v/>
      </c>
      <c r="H137" s="5">
        <f>IF(B137="","",_xlfn.MAXIFS('2.현장'!$D$2:$D$1001,'2.현장'!$V$2:$V$1001,B137,'2.현장'!$T$2:$T$1001,TRUE))</f>
        <v/>
      </c>
      <c r="I137" s="7">
        <f>IF(B137="","",IF(_xlfn.MAXIFS('2.현장'!$L$2:$L$1001,'2.현장'!$V$2:$V$1001,B137,'2.현장'!$T$2:$T$1001,TRUE)=0,"",_xlfn.MAXIFS('2.현장'!$L$2:$L$1001,'2.현장'!$V$2:$V$1001,B137,'2.현장'!$T$2:$T$1001,TRUE)))</f>
        <v/>
      </c>
      <c r="J137" s="7">
        <f>IF(B137="","",IF(_xlfn.MAXIFS('2.현장'!$M$2:$M$1001,'2.현장'!$V$2:$V$1001,B137,'2.현장'!$T$2:$T$1001,TRUE)=0,"",_xlfn.MAXIFS('2.현장'!$M$2:$M$1001,'2.현장'!$V$2:$V$1001,B137,'2.현장'!$T$2:$T$1001,TRUE)))</f>
        <v/>
      </c>
      <c r="K137">
        <f>IF(B137="","",IFERROR(INDEX('2.현장'!$C$2:$C$1001,IFERROR(MATCH(B137&amp;"|설계사",'2.현장'!$Z$2:$Z$1001,0),IFERROR(MATCH(B137&amp;"|시공사",'2.현장'!$Z$2:$Z$1001,0),MATCH(B137&amp;"|늦음",'2.현장'!$Z$2:$Z$1001,0)))),""))</f>
        <v/>
      </c>
      <c r="L137">
        <f>IF(B137="","",IFERROR(INDEX('2.현장'!$N$2:$N$1001,IFERROR(MATCH(B137&amp;"|설계사",'2.현장'!$Z$2:$Z$1001,0),IFERROR(MATCH(B137&amp;"|시공사",'2.현장'!$Z$2:$Z$1001,0),MATCH(B137&amp;"|늦음",'2.현장'!$Z$2:$Z$1001,0)))),""))</f>
        <v/>
      </c>
      <c r="M137">
        <f>IF(B137="","",IFERROR(VLOOKUP(B137,업체_메모!$A$3:$I$302,2,FALSE)&amp;"",""))</f>
        <v/>
      </c>
      <c r="N137">
        <f>IF(B137="","",IFERROR(VLOOKUP(B137,업체_메모!$A$3:$I$302,4,FALSE)&amp;"",""))</f>
        <v/>
      </c>
      <c r="O137" s="7">
        <f>IF(B137="","",IF(COUNTIF('4.방문기록'!$B$3:$B$502,B137)=0,"",_xlfn.MAXIFS('4.방문기록'!$A$3:$A$502,'4.방문기록'!$B$3:$B$502,B137)))</f>
        <v/>
      </c>
      <c r="P137">
        <f>IF(O137="","",설정!$B$24-O137)</f>
        <v/>
      </c>
      <c r="Q137" s="7">
        <f>IF(B137="","",IF(_xlfn.MAXIFS('4.방문기록'!$F$3:$F$502,'4.방문기록'!$B$3:$B$502,B137)=0,"",_xlfn.MAXIFS('4.방문기록'!$F$3:$F$502,'4.방문기록'!$B$3:$B$502,B137)))</f>
        <v/>
      </c>
      <c r="R137">
        <f>IF(O137="","",IFERROR(INDEX('4.방문기록'!$H$3:$H$502,MATCH(B137&amp;"|"&amp;(O137*1),'4.방문기록'!$I$3:$I$502,0))&amp;"",""))</f>
        <v/>
      </c>
      <c r="S137">
        <f>IF(B137="","",IF(R137="관심 없음","제외",IF(O137="","안 가봄",IF(P137&gt;=설정!$B$20,P137&amp;"일 지남","최근 방문"))))</f>
        <v/>
      </c>
      <c r="T137" s="8">
        <f>IF(B137="","",IF(S137="제외","",IF(AND(설정!$B$21&lt;&gt;"",L137&lt;&gt;설정!$B$21),"",IF(AND(Q137&lt;&gt;"",Q137&gt;N(O137),Q137&lt;=설정!$B$24+7),설정!$B$39+7-(Q137-설정!$B$24),IF(AND(G137&gt;0,OR(S137="안 가봄",RIGHT(S137,2)="지남")),G137+IF(O137="",설정!$B$36,MIN(P137,60)*설정!$B$37)+MIN(N(H137)/1000*설정!$B$38,20),"")))))</f>
        <v/>
      </c>
      <c r="U137">
        <f>IF(T137="","",COUNTIF(T$4:T$303,"&gt;"&amp;T137)+COUNTIF(T$4:T137,T137))</f>
        <v/>
      </c>
    </row>
    <row r="138">
      <c r="A138">
        <f>IF(B138="","",135)</f>
        <v/>
      </c>
      <c r="B138">
        <f>IFERROR(INDEX('2.현장'!$V$2:$V$1001,MATCH(135,'2.현장'!$W$2:$W$1001,0)),"")</f>
        <v/>
      </c>
      <c r="C138">
        <f>IF(B138="","",COUNTIFS('2.현장'!$V$2:$V$1001,B138,'2.현장'!$T$2:$T$1001,TRUE))</f>
        <v/>
      </c>
      <c r="D138">
        <f>IF(B138="","",COUNTIFS('2.현장'!$V$2:$V$1001,B138,'2.현장'!$U$2:$U$1001,"설계사"))</f>
        <v/>
      </c>
      <c r="E138">
        <f>IF(B138="","",COUNTIFS('2.현장'!$V$2:$V$1001,B138,'2.현장'!$U$2:$U$1001,"시공사"))</f>
        <v/>
      </c>
      <c r="F138">
        <f>IF(B138="","",COUNTIFS('2.현장'!$V$2:$V$1001,B138,'2.현장'!$T$2:$T$1001,TRUE,'2.현장'!$AA$2:$AA$1001,"★"))</f>
        <v/>
      </c>
      <c r="G138" s="6">
        <f>IF(B138="","",SUMIFS('2.현장'!$AB$2:$AB$1001,'2.현장'!$V$2:$V$1001,B138,'2.현장'!$T$2:$T$1001,TRUE))</f>
        <v/>
      </c>
      <c r="H138" s="5">
        <f>IF(B138="","",_xlfn.MAXIFS('2.현장'!$D$2:$D$1001,'2.현장'!$V$2:$V$1001,B138,'2.현장'!$T$2:$T$1001,TRUE))</f>
        <v/>
      </c>
      <c r="I138" s="7">
        <f>IF(B138="","",IF(_xlfn.MAXIFS('2.현장'!$L$2:$L$1001,'2.현장'!$V$2:$V$1001,B138,'2.현장'!$T$2:$T$1001,TRUE)=0,"",_xlfn.MAXIFS('2.현장'!$L$2:$L$1001,'2.현장'!$V$2:$V$1001,B138,'2.현장'!$T$2:$T$1001,TRUE)))</f>
        <v/>
      </c>
      <c r="J138" s="7">
        <f>IF(B138="","",IF(_xlfn.MAXIFS('2.현장'!$M$2:$M$1001,'2.현장'!$V$2:$V$1001,B138,'2.현장'!$T$2:$T$1001,TRUE)=0,"",_xlfn.MAXIFS('2.현장'!$M$2:$M$1001,'2.현장'!$V$2:$V$1001,B138,'2.현장'!$T$2:$T$1001,TRUE)))</f>
        <v/>
      </c>
      <c r="K138">
        <f>IF(B138="","",IFERROR(INDEX('2.현장'!$C$2:$C$1001,IFERROR(MATCH(B138&amp;"|설계사",'2.현장'!$Z$2:$Z$1001,0),IFERROR(MATCH(B138&amp;"|시공사",'2.현장'!$Z$2:$Z$1001,0),MATCH(B138&amp;"|늦음",'2.현장'!$Z$2:$Z$1001,0)))),""))</f>
        <v/>
      </c>
      <c r="L138">
        <f>IF(B138="","",IFERROR(INDEX('2.현장'!$N$2:$N$1001,IFERROR(MATCH(B138&amp;"|설계사",'2.현장'!$Z$2:$Z$1001,0),IFERROR(MATCH(B138&amp;"|시공사",'2.현장'!$Z$2:$Z$1001,0),MATCH(B138&amp;"|늦음",'2.현장'!$Z$2:$Z$1001,0)))),""))</f>
        <v/>
      </c>
      <c r="M138">
        <f>IF(B138="","",IFERROR(VLOOKUP(B138,업체_메모!$A$3:$I$302,2,FALSE)&amp;"",""))</f>
        <v/>
      </c>
      <c r="N138">
        <f>IF(B138="","",IFERROR(VLOOKUP(B138,업체_메모!$A$3:$I$302,4,FALSE)&amp;"",""))</f>
        <v/>
      </c>
      <c r="O138" s="7">
        <f>IF(B138="","",IF(COUNTIF('4.방문기록'!$B$3:$B$502,B138)=0,"",_xlfn.MAXIFS('4.방문기록'!$A$3:$A$502,'4.방문기록'!$B$3:$B$502,B138)))</f>
        <v/>
      </c>
      <c r="P138">
        <f>IF(O138="","",설정!$B$24-O138)</f>
        <v/>
      </c>
      <c r="Q138" s="7">
        <f>IF(B138="","",IF(_xlfn.MAXIFS('4.방문기록'!$F$3:$F$502,'4.방문기록'!$B$3:$B$502,B138)=0,"",_xlfn.MAXIFS('4.방문기록'!$F$3:$F$502,'4.방문기록'!$B$3:$B$502,B138)))</f>
        <v/>
      </c>
      <c r="R138">
        <f>IF(O138="","",IFERROR(INDEX('4.방문기록'!$H$3:$H$502,MATCH(B138&amp;"|"&amp;(O138*1),'4.방문기록'!$I$3:$I$502,0))&amp;"",""))</f>
        <v/>
      </c>
      <c r="S138">
        <f>IF(B138="","",IF(R138="관심 없음","제외",IF(O138="","안 가봄",IF(P138&gt;=설정!$B$20,P138&amp;"일 지남","최근 방문"))))</f>
        <v/>
      </c>
      <c r="T138" s="8">
        <f>IF(B138="","",IF(S138="제외","",IF(AND(설정!$B$21&lt;&gt;"",L138&lt;&gt;설정!$B$21),"",IF(AND(Q138&lt;&gt;"",Q138&gt;N(O138),Q138&lt;=설정!$B$24+7),설정!$B$39+7-(Q138-설정!$B$24),IF(AND(G138&gt;0,OR(S138="안 가봄",RIGHT(S138,2)="지남")),G138+IF(O138="",설정!$B$36,MIN(P138,60)*설정!$B$37)+MIN(N(H138)/1000*설정!$B$38,20),"")))))</f>
        <v/>
      </c>
      <c r="U138">
        <f>IF(T138="","",COUNTIF(T$4:T$303,"&gt;"&amp;T138)+COUNTIF(T$4:T138,T138))</f>
        <v/>
      </c>
    </row>
    <row r="139">
      <c r="A139">
        <f>IF(B139="","",136)</f>
        <v/>
      </c>
      <c r="B139">
        <f>IFERROR(INDEX('2.현장'!$V$2:$V$1001,MATCH(136,'2.현장'!$W$2:$W$1001,0)),"")</f>
        <v/>
      </c>
      <c r="C139">
        <f>IF(B139="","",COUNTIFS('2.현장'!$V$2:$V$1001,B139,'2.현장'!$T$2:$T$1001,TRUE))</f>
        <v/>
      </c>
      <c r="D139">
        <f>IF(B139="","",COUNTIFS('2.현장'!$V$2:$V$1001,B139,'2.현장'!$U$2:$U$1001,"설계사"))</f>
        <v/>
      </c>
      <c r="E139">
        <f>IF(B139="","",COUNTIFS('2.현장'!$V$2:$V$1001,B139,'2.현장'!$U$2:$U$1001,"시공사"))</f>
        <v/>
      </c>
      <c r="F139">
        <f>IF(B139="","",COUNTIFS('2.현장'!$V$2:$V$1001,B139,'2.현장'!$T$2:$T$1001,TRUE,'2.현장'!$AA$2:$AA$1001,"★"))</f>
        <v/>
      </c>
      <c r="G139" s="6">
        <f>IF(B139="","",SUMIFS('2.현장'!$AB$2:$AB$1001,'2.현장'!$V$2:$V$1001,B139,'2.현장'!$T$2:$T$1001,TRUE))</f>
        <v/>
      </c>
      <c r="H139" s="5">
        <f>IF(B139="","",_xlfn.MAXIFS('2.현장'!$D$2:$D$1001,'2.현장'!$V$2:$V$1001,B139,'2.현장'!$T$2:$T$1001,TRUE))</f>
        <v/>
      </c>
      <c r="I139" s="7">
        <f>IF(B139="","",IF(_xlfn.MAXIFS('2.현장'!$L$2:$L$1001,'2.현장'!$V$2:$V$1001,B139,'2.현장'!$T$2:$T$1001,TRUE)=0,"",_xlfn.MAXIFS('2.현장'!$L$2:$L$1001,'2.현장'!$V$2:$V$1001,B139,'2.현장'!$T$2:$T$1001,TRUE)))</f>
        <v/>
      </c>
      <c r="J139" s="7">
        <f>IF(B139="","",IF(_xlfn.MAXIFS('2.현장'!$M$2:$M$1001,'2.현장'!$V$2:$V$1001,B139,'2.현장'!$T$2:$T$1001,TRUE)=0,"",_xlfn.MAXIFS('2.현장'!$M$2:$M$1001,'2.현장'!$V$2:$V$1001,B139,'2.현장'!$T$2:$T$1001,TRUE)))</f>
        <v/>
      </c>
      <c r="K139">
        <f>IF(B139="","",IFERROR(INDEX('2.현장'!$C$2:$C$1001,IFERROR(MATCH(B139&amp;"|설계사",'2.현장'!$Z$2:$Z$1001,0),IFERROR(MATCH(B139&amp;"|시공사",'2.현장'!$Z$2:$Z$1001,0),MATCH(B139&amp;"|늦음",'2.현장'!$Z$2:$Z$1001,0)))),""))</f>
        <v/>
      </c>
      <c r="L139">
        <f>IF(B139="","",IFERROR(INDEX('2.현장'!$N$2:$N$1001,IFERROR(MATCH(B139&amp;"|설계사",'2.현장'!$Z$2:$Z$1001,0),IFERROR(MATCH(B139&amp;"|시공사",'2.현장'!$Z$2:$Z$1001,0),MATCH(B139&amp;"|늦음",'2.현장'!$Z$2:$Z$1001,0)))),""))</f>
        <v/>
      </c>
      <c r="M139">
        <f>IF(B139="","",IFERROR(VLOOKUP(B139,업체_메모!$A$3:$I$302,2,FALSE)&amp;"",""))</f>
        <v/>
      </c>
      <c r="N139">
        <f>IF(B139="","",IFERROR(VLOOKUP(B139,업체_메모!$A$3:$I$302,4,FALSE)&amp;"",""))</f>
        <v/>
      </c>
      <c r="O139" s="7">
        <f>IF(B139="","",IF(COUNTIF('4.방문기록'!$B$3:$B$502,B139)=0,"",_xlfn.MAXIFS('4.방문기록'!$A$3:$A$502,'4.방문기록'!$B$3:$B$502,B139)))</f>
        <v/>
      </c>
      <c r="P139">
        <f>IF(O139="","",설정!$B$24-O139)</f>
        <v/>
      </c>
      <c r="Q139" s="7">
        <f>IF(B139="","",IF(_xlfn.MAXIFS('4.방문기록'!$F$3:$F$502,'4.방문기록'!$B$3:$B$502,B139)=0,"",_xlfn.MAXIFS('4.방문기록'!$F$3:$F$502,'4.방문기록'!$B$3:$B$502,B139)))</f>
        <v/>
      </c>
      <c r="R139">
        <f>IF(O139="","",IFERROR(INDEX('4.방문기록'!$H$3:$H$502,MATCH(B139&amp;"|"&amp;(O139*1),'4.방문기록'!$I$3:$I$502,0))&amp;"",""))</f>
        <v/>
      </c>
      <c r="S139">
        <f>IF(B139="","",IF(R139="관심 없음","제외",IF(O139="","안 가봄",IF(P139&gt;=설정!$B$20,P139&amp;"일 지남","최근 방문"))))</f>
        <v/>
      </c>
      <c r="T139" s="8">
        <f>IF(B139="","",IF(S139="제외","",IF(AND(설정!$B$21&lt;&gt;"",L139&lt;&gt;설정!$B$21),"",IF(AND(Q139&lt;&gt;"",Q139&gt;N(O139),Q139&lt;=설정!$B$24+7),설정!$B$39+7-(Q139-설정!$B$24),IF(AND(G139&gt;0,OR(S139="안 가봄",RIGHT(S139,2)="지남")),G139+IF(O139="",설정!$B$36,MIN(P139,60)*설정!$B$37)+MIN(N(H139)/1000*설정!$B$38,20),"")))))</f>
        <v/>
      </c>
      <c r="U139">
        <f>IF(T139="","",COUNTIF(T$4:T$303,"&gt;"&amp;T139)+COUNTIF(T$4:T139,T139))</f>
        <v/>
      </c>
    </row>
    <row r="140">
      <c r="A140">
        <f>IF(B140="","",137)</f>
        <v/>
      </c>
      <c r="B140">
        <f>IFERROR(INDEX('2.현장'!$V$2:$V$1001,MATCH(137,'2.현장'!$W$2:$W$1001,0)),"")</f>
        <v/>
      </c>
      <c r="C140">
        <f>IF(B140="","",COUNTIFS('2.현장'!$V$2:$V$1001,B140,'2.현장'!$T$2:$T$1001,TRUE))</f>
        <v/>
      </c>
      <c r="D140">
        <f>IF(B140="","",COUNTIFS('2.현장'!$V$2:$V$1001,B140,'2.현장'!$U$2:$U$1001,"설계사"))</f>
        <v/>
      </c>
      <c r="E140">
        <f>IF(B140="","",COUNTIFS('2.현장'!$V$2:$V$1001,B140,'2.현장'!$U$2:$U$1001,"시공사"))</f>
        <v/>
      </c>
      <c r="F140">
        <f>IF(B140="","",COUNTIFS('2.현장'!$V$2:$V$1001,B140,'2.현장'!$T$2:$T$1001,TRUE,'2.현장'!$AA$2:$AA$1001,"★"))</f>
        <v/>
      </c>
      <c r="G140" s="6">
        <f>IF(B140="","",SUMIFS('2.현장'!$AB$2:$AB$1001,'2.현장'!$V$2:$V$1001,B140,'2.현장'!$T$2:$T$1001,TRUE))</f>
        <v/>
      </c>
      <c r="H140" s="5">
        <f>IF(B140="","",_xlfn.MAXIFS('2.현장'!$D$2:$D$1001,'2.현장'!$V$2:$V$1001,B140,'2.현장'!$T$2:$T$1001,TRUE))</f>
        <v/>
      </c>
      <c r="I140" s="7">
        <f>IF(B140="","",IF(_xlfn.MAXIFS('2.현장'!$L$2:$L$1001,'2.현장'!$V$2:$V$1001,B140,'2.현장'!$T$2:$T$1001,TRUE)=0,"",_xlfn.MAXIFS('2.현장'!$L$2:$L$1001,'2.현장'!$V$2:$V$1001,B140,'2.현장'!$T$2:$T$1001,TRUE)))</f>
        <v/>
      </c>
      <c r="J140" s="7">
        <f>IF(B140="","",IF(_xlfn.MAXIFS('2.현장'!$M$2:$M$1001,'2.현장'!$V$2:$V$1001,B140,'2.현장'!$T$2:$T$1001,TRUE)=0,"",_xlfn.MAXIFS('2.현장'!$M$2:$M$1001,'2.현장'!$V$2:$V$1001,B140,'2.현장'!$T$2:$T$1001,TRUE)))</f>
        <v/>
      </c>
      <c r="K140">
        <f>IF(B140="","",IFERROR(INDEX('2.현장'!$C$2:$C$1001,IFERROR(MATCH(B140&amp;"|설계사",'2.현장'!$Z$2:$Z$1001,0),IFERROR(MATCH(B140&amp;"|시공사",'2.현장'!$Z$2:$Z$1001,0),MATCH(B140&amp;"|늦음",'2.현장'!$Z$2:$Z$1001,0)))),""))</f>
        <v/>
      </c>
      <c r="L140">
        <f>IF(B140="","",IFERROR(INDEX('2.현장'!$N$2:$N$1001,IFERROR(MATCH(B140&amp;"|설계사",'2.현장'!$Z$2:$Z$1001,0),IFERROR(MATCH(B140&amp;"|시공사",'2.현장'!$Z$2:$Z$1001,0),MATCH(B140&amp;"|늦음",'2.현장'!$Z$2:$Z$1001,0)))),""))</f>
        <v/>
      </c>
      <c r="M140">
        <f>IF(B140="","",IFERROR(VLOOKUP(B140,업체_메모!$A$3:$I$302,2,FALSE)&amp;"",""))</f>
        <v/>
      </c>
      <c r="N140">
        <f>IF(B140="","",IFERROR(VLOOKUP(B140,업체_메모!$A$3:$I$302,4,FALSE)&amp;"",""))</f>
        <v/>
      </c>
      <c r="O140" s="7">
        <f>IF(B140="","",IF(COUNTIF('4.방문기록'!$B$3:$B$502,B140)=0,"",_xlfn.MAXIFS('4.방문기록'!$A$3:$A$502,'4.방문기록'!$B$3:$B$502,B140)))</f>
        <v/>
      </c>
      <c r="P140">
        <f>IF(O140="","",설정!$B$24-O140)</f>
        <v/>
      </c>
      <c r="Q140" s="7">
        <f>IF(B140="","",IF(_xlfn.MAXIFS('4.방문기록'!$F$3:$F$502,'4.방문기록'!$B$3:$B$502,B140)=0,"",_xlfn.MAXIFS('4.방문기록'!$F$3:$F$502,'4.방문기록'!$B$3:$B$502,B140)))</f>
        <v/>
      </c>
      <c r="R140">
        <f>IF(O140="","",IFERROR(INDEX('4.방문기록'!$H$3:$H$502,MATCH(B140&amp;"|"&amp;(O140*1),'4.방문기록'!$I$3:$I$502,0))&amp;"",""))</f>
        <v/>
      </c>
      <c r="S140">
        <f>IF(B140="","",IF(R140="관심 없음","제외",IF(O140="","안 가봄",IF(P140&gt;=설정!$B$20,P140&amp;"일 지남","최근 방문"))))</f>
        <v/>
      </c>
      <c r="T140" s="8">
        <f>IF(B140="","",IF(S140="제외","",IF(AND(설정!$B$21&lt;&gt;"",L140&lt;&gt;설정!$B$21),"",IF(AND(Q140&lt;&gt;"",Q140&gt;N(O140),Q140&lt;=설정!$B$24+7),설정!$B$39+7-(Q140-설정!$B$24),IF(AND(G140&gt;0,OR(S140="안 가봄",RIGHT(S140,2)="지남")),G140+IF(O140="",설정!$B$36,MIN(P140,60)*설정!$B$37)+MIN(N(H140)/1000*설정!$B$38,20),"")))))</f>
        <v/>
      </c>
      <c r="U140">
        <f>IF(T140="","",COUNTIF(T$4:T$303,"&gt;"&amp;T140)+COUNTIF(T$4:T140,T140))</f>
        <v/>
      </c>
    </row>
    <row r="141">
      <c r="A141">
        <f>IF(B141="","",138)</f>
        <v/>
      </c>
      <c r="B141">
        <f>IFERROR(INDEX('2.현장'!$V$2:$V$1001,MATCH(138,'2.현장'!$W$2:$W$1001,0)),"")</f>
        <v/>
      </c>
      <c r="C141">
        <f>IF(B141="","",COUNTIFS('2.현장'!$V$2:$V$1001,B141,'2.현장'!$T$2:$T$1001,TRUE))</f>
        <v/>
      </c>
      <c r="D141">
        <f>IF(B141="","",COUNTIFS('2.현장'!$V$2:$V$1001,B141,'2.현장'!$U$2:$U$1001,"설계사"))</f>
        <v/>
      </c>
      <c r="E141">
        <f>IF(B141="","",COUNTIFS('2.현장'!$V$2:$V$1001,B141,'2.현장'!$U$2:$U$1001,"시공사"))</f>
        <v/>
      </c>
      <c r="F141">
        <f>IF(B141="","",COUNTIFS('2.현장'!$V$2:$V$1001,B141,'2.현장'!$T$2:$T$1001,TRUE,'2.현장'!$AA$2:$AA$1001,"★"))</f>
        <v/>
      </c>
      <c r="G141" s="6">
        <f>IF(B141="","",SUMIFS('2.현장'!$AB$2:$AB$1001,'2.현장'!$V$2:$V$1001,B141,'2.현장'!$T$2:$T$1001,TRUE))</f>
        <v/>
      </c>
      <c r="H141" s="5">
        <f>IF(B141="","",_xlfn.MAXIFS('2.현장'!$D$2:$D$1001,'2.현장'!$V$2:$V$1001,B141,'2.현장'!$T$2:$T$1001,TRUE))</f>
        <v/>
      </c>
      <c r="I141" s="7">
        <f>IF(B141="","",IF(_xlfn.MAXIFS('2.현장'!$L$2:$L$1001,'2.현장'!$V$2:$V$1001,B141,'2.현장'!$T$2:$T$1001,TRUE)=0,"",_xlfn.MAXIFS('2.현장'!$L$2:$L$1001,'2.현장'!$V$2:$V$1001,B141,'2.현장'!$T$2:$T$1001,TRUE)))</f>
        <v/>
      </c>
      <c r="J141" s="7">
        <f>IF(B141="","",IF(_xlfn.MAXIFS('2.현장'!$M$2:$M$1001,'2.현장'!$V$2:$V$1001,B141,'2.현장'!$T$2:$T$1001,TRUE)=0,"",_xlfn.MAXIFS('2.현장'!$M$2:$M$1001,'2.현장'!$V$2:$V$1001,B141,'2.현장'!$T$2:$T$1001,TRUE)))</f>
        <v/>
      </c>
      <c r="K141">
        <f>IF(B141="","",IFERROR(INDEX('2.현장'!$C$2:$C$1001,IFERROR(MATCH(B141&amp;"|설계사",'2.현장'!$Z$2:$Z$1001,0),IFERROR(MATCH(B141&amp;"|시공사",'2.현장'!$Z$2:$Z$1001,0),MATCH(B141&amp;"|늦음",'2.현장'!$Z$2:$Z$1001,0)))),""))</f>
        <v/>
      </c>
      <c r="L141">
        <f>IF(B141="","",IFERROR(INDEX('2.현장'!$N$2:$N$1001,IFERROR(MATCH(B141&amp;"|설계사",'2.현장'!$Z$2:$Z$1001,0),IFERROR(MATCH(B141&amp;"|시공사",'2.현장'!$Z$2:$Z$1001,0),MATCH(B141&amp;"|늦음",'2.현장'!$Z$2:$Z$1001,0)))),""))</f>
        <v/>
      </c>
      <c r="M141">
        <f>IF(B141="","",IFERROR(VLOOKUP(B141,업체_메모!$A$3:$I$302,2,FALSE)&amp;"",""))</f>
        <v/>
      </c>
      <c r="N141">
        <f>IF(B141="","",IFERROR(VLOOKUP(B141,업체_메모!$A$3:$I$302,4,FALSE)&amp;"",""))</f>
        <v/>
      </c>
      <c r="O141" s="7">
        <f>IF(B141="","",IF(COUNTIF('4.방문기록'!$B$3:$B$502,B141)=0,"",_xlfn.MAXIFS('4.방문기록'!$A$3:$A$502,'4.방문기록'!$B$3:$B$502,B141)))</f>
        <v/>
      </c>
      <c r="P141">
        <f>IF(O141="","",설정!$B$24-O141)</f>
        <v/>
      </c>
      <c r="Q141" s="7">
        <f>IF(B141="","",IF(_xlfn.MAXIFS('4.방문기록'!$F$3:$F$502,'4.방문기록'!$B$3:$B$502,B141)=0,"",_xlfn.MAXIFS('4.방문기록'!$F$3:$F$502,'4.방문기록'!$B$3:$B$502,B141)))</f>
        <v/>
      </c>
      <c r="R141">
        <f>IF(O141="","",IFERROR(INDEX('4.방문기록'!$H$3:$H$502,MATCH(B141&amp;"|"&amp;(O141*1),'4.방문기록'!$I$3:$I$502,0))&amp;"",""))</f>
        <v/>
      </c>
      <c r="S141">
        <f>IF(B141="","",IF(R141="관심 없음","제외",IF(O141="","안 가봄",IF(P141&gt;=설정!$B$20,P141&amp;"일 지남","최근 방문"))))</f>
        <v/>
      </c>
      <c r="T141" s="8">
        <f>IF(B141="","",IF(S141="제외","",IF(AND(설정!$B$21&lt;&gt;"",L141&lt;&gt;설정!$B$21),"",IF(AND(Q141&lt;&gt;"",Q141&gt;N(O141),Q141&lt;=설정!$B$24+7),설정!$B$39+7-(Q141-설정!$B$24),IF(AND(G141&gt;0,OR(S141="안 가봄",RIGHT(S141,2)="지남")),G141+IF(O141="",설정!$B$36,MIN(P141,60)*설정!$B$37)+MIN(N(H141)/1000*설정!$B$38,20),"")))))</f>
        <v/>
      </c>
      <c r="U141">
        <f>IF(T141="","",COUNTIF(T$4:T$303,"&gt;"&amp;T141)+COUNTIF(T$4:T141,T141))</f>
        <v/>
      </c>
    </row>
    <row r="142">
      <c r="A142">
        <f>IF(B142="","",139)</f>
        <v/>
      </c>
      <c r="B142">
        <f>IFERROR(INDEX('2.현장'!$V$2:$V$1001,MATCH(139,'2.현장'!$W$2:$W$1001,0)),"")</f>
        <v/>
      </c>
      <c r="C142">
        <f>IF(B142="","",COUNTIFS('2.현장'!$V$2:$V$1001,B142,'2.현장'!$T$2:$T$1001,TRUE))</f>
        <v/>
      </c>
      <c r="D142">
        <f>IF(B142="","",COUNTIFS('2.현장'!$V$2:$V$1001,B142,'2.현장'!$U$2:$U$1001,"설계사"))</f>
        <v/>
      </c>
      <c r="E142">
        <f>IF(B142="","",COUNTIFS('2.현장'!$V$2:$V$1001,B142,'2.현장'!$U$2:$U$1001,"시공사"))</f>
        <v/>
      </c>
      <c r="F142">
        <f>IF(B142="","",COUNTIFS('2.현장'!$V$2:$V$1001,B142,'2.현장'!$T$2:$T$1001,TRUE,'2.현장'!$AA$2:$AA$1001,"★"))</f>
        <v/>
      </c>
      <c r="G142" s="6">
        <f>IF(B142="","",SUMIFS('2.현장'!$AB$2:$AB$1001,'2.현장'!$V$2:$V$1001,B142,'2.현장'!$T$2:$T$1001,TRUE))</f>
        <v/>
      </c>
      <c r="H142" s="5">
        <f>IF(B142="","",_xlfn.MAXIFS('2.현장'!$D$2:$D$1001,'2.현장'!$V$2:$V$1001,B142,'2.현장'!$T$2:$T$1001,TRUE))</f>
        <v/>
      </c>
      <c r="I142" s="7">
        <f>IF(B142="","",IF(_xlfn.MAXIFS('2.현장'!$L$2:$L$1001,'2.현장'!$V$2:$V$1001,B142,'2.현장'!$T$2:$T$1001,TRUE)=0,"",_xlfn.MAXIFS('2.현장'!$L$2:$L$1001,'2.현장'!$V$2:$V$1001,B142,'2.현장'!$T$2:$T$1001,TRUE)))</f>
        <v/>
      </c>
      <c r="J142" s="7">
        <f>IF(B142="","",IF(_xlfn.MAXIFS('2.현장'!$M$2:$M$1001,'2.현장'!$V$2:$V$1001,B142,'2.현장'!$T$2:$T$1001,TRUE)=0,"",_xlfn.MAXIFS('2.현장'!$M$2:$M$1001,'2.현장'!$V$2:$V$1001,B142,'2.현장'!$T$2:$T$1001,TRUE)))</f>
        <v/>
      </c>
      <c r="K142">
        <f>IF(B142="","",IFERROR(INDEX('2.현장'!$C$2:$C$1001,IFERROR(MATCH(B142&amp;"|설계사",'2.현장'!$Z$2:$Z$1001,0),IFERROR(MATCH(B142&amp;"|시공사",'2.현장'!$Z$2:$Z$1001,0),MATCH(B142&amp;"|늦음",'2.현장'!$Z$2:$Z$1001,0)))),""))</f>
        <v/>
      </c>
      <c r="L142">
        <f>IF(B142="","",IFERROR(INDEX('2.현장'!$N$2:$N$1001,IFERROR(MATCH(B142&amp;"|설계사",'2.현장'!$Z$2:$Z$1001,0),IFERROR(MATCH(B142&amp;"|시공사",'2.현장'!$Z$2:$Z$1001,0),MATCH(B142&amp;"|늦음",'2.현장'!$Z$2:$Z$1001,0)))),""))</f>
        <v/>
      </c>
      <c r="M142">
        <f>IF(B142="","",IFERROR(VLOOKUP(B142,업체_메모!$A$3:$I$302,2,FALSE)&amp;"",""))</f>
        <v/>
      </c>
      <c r="N142">
        <f>IF(B142="","",IFERROR(VLOOKUP(B142,업체_메모!$A$3:$I$302,4,FALSE)&amp;"",""))</f>
        <v/>
      </c>
      <c r="O142" s="7">
        <f>IF(B142="","",IF(COUNTIF('4.방문기록'!$B$3:$B$502,B142)=0,"",_xlfn.MAXIFS('4.방문기록'!$A$3:$A$502,'4.방문기록'!$B$3:$B$502,B142)))</f>
        <v/>
      </c>
      <c r="P142">
        <f>IF(O142="","",설정!$B$24-O142)</f>
        <v/>
      </c>
      <c r="Q142" s="7">
        <f>IF(B142="","",IF(_xlfn.MAXIFS('4.방문기록'!$F$3:$F$502,'4.방문기록'!$B$3:$B$502,B142)=0,"",_xlfn.MAXIFS('4.방문기록'!$F$3:$F$502,'4.방문기록'!$B$3:$B$502,B142)))</f>
        <v/>
      </c>
      <c r="R142">
        <f>IF(O142="","",IFERROR(INDEX('4.방문기록'!$H$3:$H$502,MATCH(B142&amp;"|"&amp;(O142*1),'4.방문기록'!$I$3:$I$502,0))&amp;"",""))</f>
        <v/>
      </c>
      <c r="S142">
        <f>IF(B142="","",IF(R142="관심 없음","제외",IF(O142="","안 가봄",IF(P142&gt;=설정!$B$20,P142&amp;"일 지남","최근 방문"))))</f>
        <v/>
      </c>
      <c r="T142" s="8">
        <f>IF(B142="","",IF(S142="제외","",IF(AND(설정!$B$21&lt;&gt;"",L142&lt;&gt;설정!$B$21),"",IF(AND(Q142&lt;&gt;"",Q142&gt;N(O142),Q142&lt;=설정!$B$24+7),설정!$B$39+7-(Q142-설정!$B$24),IF(AND(G142&gt;0,OR(S142="안 가봄",RIGHT(S142,2)="지남")),G142+IF(O142="",설정!$B$36,MIN(P142,60)*설정!$B$37)+MIN(N(H142)/1000*설정!$B$38,20),"")))))</f>
        <v/>
      </c>
      <c r="U142">
        <f>IF(T142="","",COUNTIF(T$4:T$303,"&gt;"&amp;T142)+COUNTIF(T$4:T142,T142))</f>
        <v/>
      </c>
    </row>
    <row r="143">
      <c r="A143">
        <f>IF(B143="","",140)</f>
        <v/>
      </c>
      <c r="B143">
        <f>IFERROR(INDEX('2.현장'!$V$2:$V$1001,MATCH(140,'2.현장'!$W$2:$W$1001,0)),"")</f>
        <v/>
      </c>
      <c r="C143">
        <f>IF(B143="","",COUNTIFS('2.현장'!$V$2:$V$1001,B143,'2.현장'!$T$2:$T$1001,TRUE))</f>
        <v/>
      </c>
      <c r="D143">
        <f>IF(B143="","",COUNTIFS('2.현장'!$V$2:$V$1001,B143,'2.현장'!$U$2:$U$1001,"설계사"))</f>
        <v/>
      </c>
      <c r="E143">
        <f>IF(B143="","",COUNTIFS('2.현장'!$V$2:$V$1001,B143,'2.현장'!$U$2:$U$1001,"시공사"))</f>
        <v/>
      </c>
      <c r="F143">
        <f>IF(B143="","",COUNTIFS('2.현장'!$V$2:$V$1001,B143,'2.현장'!$T$2:$T$1001,TRUE,'2.현장'!$AA$2:$AA$1001,"★"))</f>
        <v/>
      </c>
      <c r="G143" s="6">
        <f>IF(B143="","",SUMIFS('2.현장'!$AB$2:$AB$1001,'2.현장'!$V$2:$V$1001,B143,'2.현장'!$T$2:$T$1001,TRUE))</f>
        <v/>
      </c>
      <c r="H143" s="5">
        <f>IF(B143="","",_xlfn.MAXIFS('2.현장'!$D$2:$D$1001,'2.현장'!$V$2:$V$1001,B143,'2.현장'!$T$2:$T$1001,TRUE))</f>
        <v/>
      </c>
      <c r="I143" s="7">
        <f>IF(B143="","",IF(_xlfn.MAXIFS('2.현장'!$L$2:$L$1001,'2.현장'!$V$2:$V$1001,B143,'2.현장'!$T$2:$T$1001,TRUE)=0,"",_xlfn.MAXIFS('2.현장'!$L$2:$L$1001,'2.현장'!$V$2:$V$1001,B143,'2.현장'!$T$2:$T$1001,TRUE)))</f>
        <v/>
      </c>
      <c r="J143" s="7">
        <f>IF(B143="","",IF(_xlfn.MAXIFS('2.현장'!$M$2:$M$1001,'2.현장'!$V$2:$V$1001,B143,'2.현장'!$T$2:$T$1001,TRUE)=0,"",_xlfn.MAXIFS('2.현장'!$M$2:$M$1001,'2.현장'!$V$2:$V$1001,B143,'2.현장'!$T$2:$T$1001,TRUE)))</f>
        <v/>
      </c>
      <c r="K143">
        <f>IF(B143="","",IFERROR(INDEX('2.현장'!$C$2:$C$1001,IFERROR(MATCH(B143&amp;"|설계사",'2.현장'!$Z$2:$Z$1001,0),IFERROR(MATCH(B143&amp;"|시공사",'2.현장'!$Z$2:$Z$1001,0),MATCH(B143&amp;"|늦음",'2.현장'!$Z$2:$Z$1001,0)))),""))</f>
        <v/>
      </c>
      <c r="L143">
        <f>IF(B143="","",IFERROR(INDEX('2.현장'!$N$2:$N$1001,IFERROR(MATCH(B143&amp;"|설계사",'2.현장'!$Z$2:$Z$1001,0),IFERROR(MATCH(B143&amp;"|시공사",'2.현장'!$Z$2:$Z$1001,0),MATCH(B143&amp;"|늦음",'2.현장'!$Z$2:$Z$1001,0)))),""))</f>
        <v/>
      </c>
      <c r="M143">
        <f>IF(B143="","",IFERROR(VLOOKUP(B143,업체_메모!$A$3:$I$302,2,FALSE)&amp;"",""))</f>
        <v/>
      </c>
      <c r="N143">
        <f>IF(B143="","",IFERROR(VLOOKUP(B143,업체_메모!$A$3:$I$302,4,FALSE)&amp;"",""))</f>
        <v/>
      </c>
      <c r="O143" s="7">
        <f>IF(B143="","",IF(COUNTIF('4.방문기록'!$B$3:$B$502,B143)=0,"",_xlfn.MAXIFS('4.방문기록'!$A$3:$A$502,'4.방문기록'!$B$3:$B$502,B143)))</f>
        <v/>
      </c>
      <c r="P143">
        <f>IF(O143="","",설정!$B$24-O143)</f>
        <v/>
      </c>
      <c r="Q143" s="7">
        <f>IF(B143="","",IF(_xlfn.MAXIFS('4.방문기록'!$F$3:$F$502,'4.방문기록'!$B$3:$B$502,B143)=0,"",_xlfn.MAXIFS('4.방문기록'!$F$3:$F$502,'4.방문기록'!$B$3:$B$502,B143)))</f>
        <v/>
      </c>
      <c r="R143">
        <f>IF(O143="","",IFERROR(INDEX('4.방문기록'!$H$3:$H$502,MATCH(B143&amp;"|"&amp;(O143*1),'4.방문기록'!$I$3:$I$502,0))&amp;"",""))</f>
        <v/>
      </c>
      <c r="S143">
        <f>IF(B143="","",IF(R143="관심 없음","제외",IF(O143="","안 가봄",IF(P143&gt;=설정!$B$20,P143&amp;"일 지남","최근 방문"))))</f>
        <v/>
      </c>
      <c r="T143" s="8">
        <f>IF(B143="","",IF(S143="제외","",IF(AND(설정!$B$21&lt;&gt;"",L143&lt;&gt;설정!$B$21),"",IF(AND(Q143&lt;&gt;"",Q143&gt;N(O143),Q143&lt;=설정!$B$24+7),설정!$B$39+7-(Q143-설정!$B$24),IF(AND(G143&gt;0,OR(S143="안 가봄",RIGHT(S143,2)="지남")),G143+IF(O143="",설정!$B$36,MIN(P143,60)*설정!$B$37)+MIN(N(H143)/1000*설정!$B$38,20),"")))))</f>
        <v/>
      </c>
      <c r="U143">
        <f>IF(T143="","",COUNTIF(T$4:T$303,"&gt;"&amp;T143)+COUNTIF(T$4:T143,T143))</f>
        <v/>
      </c>
    </row>
    <row r="144">
      <c r="A144">
        <f>IF(B144="","",141)</f>
        <v/>
      </c>
      <c r="B144">
        <f>IFERROR(INDEX('2.현장'!$V$2:$V$1001,MATCH(141,'2.현장'!$W$2:$W$1001,0)),"")</f>
        <v/>
      </c>
      <c r="C144">
        <f>IF(B144="","",COUNTIFS('2.현장'!$V$2:$V$1001,B144,'2.현장'!$T$2:$T$1001,TRUE))</f>
        <v/>
      </c>
      <c r="D144">
        <f>IF(B144="","",COUNTIFS('2.현장'!$V$2:$V$1001,B144,'2.현장'!$U$2:$U$1001,"설계사"))</f>
        <v/>
      </c>
      <c r="E144">
        <f>IF(B144="","",COUNTIFS('2.현장'!$V$2:$V$1001,B144,'2.현장'!$U$2:$U$1001,"시공사"))</f>
        <v/>
      </c>
      <c r="F144">
        <f>IF(B144="","",COUNTIFS('2.현장'!$V$2:$V$1001,B144,'2.현장'!$T$2:$T$1001,TRUE,'2.현장'!$AA$2:$AA$1001,"★"))</f>
        <v/>
      </c>
      <c r="G144" s="6">
        <f>IF(B144="","",SUMIFS('2.현장'!$AB$2:$AB$1001,'2.현장'!$V$2:$V$1001,B144,'2.현장'!$T$2:$T$1001,TRUE))</f>
        <v/>
      </c>
      <c r="H144" s="5">
        <f>IF(B144="","",_xlfn.MAXIFS('2.현장'!$D$2:$D$1001,'2.현장'!$V$2:$V$1001,B144,'2.현장'!$T$2:$T$1001,TRUE))</f>
        <v/>
      </c>
      <c r="I144" s="7">
        <f>IF(B144="","",IF(_xlfn.MAXIFS('2.현장'!$L$2:$L$1001,'2.현장'!$V$2:$V$1001,B144,'2.현장'!$T$2:$T$1001,TRUE)=0,"",_xlfn.MAXIFS('2.현장'!$L$2:$L$1001,'2.현장'!$V$2:$V$1001,B144,'2.현장'!$T$2:$T$1001,TRUE)))</f>
        <v/>
      </c>
      <c r="J144" s="7">
        <f>IF(B144="","",IF(_xlfn.MAXIFS('2.현장'!$M$2:$M$1001,'2.현장'!$V$2:$V$1001,B144,'2.현장'!$T$2:$T$1001,TRUE)=0,"",_xlfn.MAXIFS('2.현장'!$M$2:$M$1001,'2.현장'!$V$2:$V$1001,B144,'2.현장'!$T$2:$T$1001,TRUE)))</f>
        <v/>
      </c>
      <c r="K144">
        <f>IF(B144="","",IFERROR(INDEX('2.현장'!$C$2:$C$1001,IFERROR(MATCH(B144&amp;"|설계사",'2.현장'!$Z$2:$Z$1001,0),IFERROR(MATCH(B144&amp;"|시공사",'2.현장'!$Z$2:$Z$1001,0),MATCH(B144&amp;"|늦음",'2.현장'!$Z$2:$Z$1001,0)))),""))</f>
        <v/>
      </c>
      <c r="L144">
        <f>IF(B144="","",IFERROR(INDEX('2.현장'!$N$2:$N$1001,IFERROR(MATCH(B144&amp;"|설계사",'2.현장'!$Z$2:$Z$1001,0),IFERROR(MATCH(B144&amp;"|시공사",'2.현장'!$Z$2:$Z$1001,0),MATCH(B144&amp;"|늦음",'2.현장'!$Z$2:$Z$1001,0)))),""))</f>
        <v/>
      </c>
      <c r="M144">
        <f>IF(B144="","",IFERROR(VLOOKUP(B144,업체_메모!$A$3:$I$302,2,FALSE)&amp;"",""))</f>
        <v/>
      </c>
      <c r="N144">
        <f>IF(B144="","",IFERROR(VLOOKUP(B144,업체_메모!$A$3:$I$302,4,FALSE)&amp;"",""))</f>
        <v/>
      </c>
      <c r="O144" s="7">
        <f>IF(B144="","",IF(COUNTIF('4.방문기록'!$B$3:$B$502,B144)=0,"",_xlfn.MAXIFS('4.방문기록'!$A$3:$A$502,'4.방문기록'!$B$3:$B$502,B144)))</f>
        <v/>
      </c>
      <c r="P144">
        <f>IF(O144="","",설정!$B$24-O144)</f>
        <v/>
      </c>
      <c r="Q144" s="7">
        <f>IF(B144="","",IF(_xlfn.MAXIFS('4.방문기록'!$F$3:$F$502,'4.방문기록'!$B$3:$B$502,B144)=0,"",_xlfn.MAXIFS('4.방문기록'!$F$3:$F$502,'4.방문기록'!$B$3:$B$502,B144)))</f>
        <v/>
      </c>
      <c r="R144">
        <f>IF(O144="","",IFERROR(INDEX('4.방문기록'!$H$3:$H$502,MATCH(B144&amp;"|"&amp;(O144*1),'4.방문기록'!$I$3:$I$502,0))&amp;"",""))</f>
        <v/>
      </c>
      <c r="S144">
        <f>IF(B144="","",IF(R144="관심 없음","제외",IF(O144="","안 가봄",IF(P144&gt;=설정!$B$20,P144&amp;"일 지남","최근 방문"))))</f>
        <v/>
      </c>
      <c r="T144" s="8">
        <f>IF(B144="","",IF(S144="제외","",IF(AND(설정!$B$21&lt;&gt;"",L144&lt;&gt;설정!$B$21),"",IF(AND(Q144&lt;&gt;"",Q144&gt;N(O144),Q144&lt;=설정!$B$24+7),설정!$B$39+7-(Q144-설정!$B$24),IF(AND(G144&gt;0,OR(S144="안 가봄",RIGHT(S144,2)="지남")),G144+IF(O144="",설정!$B$36,MIN(P144,60)*설정!$B$37)+MIN(N(H144)/1000*설정!$B$38,20),"")))))</f>
        <v/>
      </c>
      <c r="U144">
        <f>IF(T144="","",COUNTIF(T$4:T$303,"&gt;"&amp;T144)+COUNTIF(T$4:T144,T144))</f>
        <v/>
      </c>
    </row>
    <row r="145">
      <c r="A145">
        <f>IF(B145="","",142)</f>
        <v/>
      </c>
      <c r="B145">
        <f>IFERROR(INDEX('2.현장'!$V$2:$V$1001,MATCH(142,'2.현장'!$W$2:$W$1001,0)),"")</f>
        <v/>
      </c>
      <c r="C145">
        <f>IF(B145="","",COUNTIFS('2.현장'!$V$2:$V$1001,B145,'2.현장'!$T$2:$T$1001,TRUE))</f>
        <v/>
      </c>
      <c r="D145">
        <f>IF(B145="","",COUNTIFS('2.현장'!$V$2:$V$1001,B145,'2.현장'!$U$2:$U$1001,"설계사"))</f>
        <v/>
      </c>
      <c r="E145">
        <f>IF(B145="","",COUNTIFS('2.현장'!$V$2:$V$1001,B145,'2.현장'!$U$2:$U$1001,"시공사"))</f>
        <v/>
      </c>
      <c r="F145">
        <f>IF(B145="","",COUNTIFS('2.현장'!$V$2:$V$1001,B145,'2.현장'!$T$2:$T$1001,TRUE,'2.현장'!$AA$2:$AA$1001,"★"))</f>
        <v/>
      </c>
      <c r="G145" s="6">
        <f>IF(B145="","",SUMIFS('2.현장'!$AB$2:$AB$1001,'2.현장'!$V$2:$V$1001,B145,'2.현장'!$T$2:$T$1001,TRUE))</f>
        <v/>
      </c>
      <c r="H145" s="5">
        <f>IF(B145="","",_xlfn.MAXIFS('2.현장'!$D$2:$D$1001,'2.현장'!$V$2:$V$1001,B145,'2.현장'!$T$2:$T$1001,TRUE))</f>
        <v/>
      </c>
      <c r="I145" s="7">
        <f>IF(B145="","",IF(_xlfn.MAXIFS('2.현장'!$L$2:$L$1001,'2.현장'!$V$2:$V$1001,B145,'2.현장'!$T$2:$T$1001,TRUE)=0,"",_xlfn.MAXIFS('2.현장'!$L$2:$L$1001,'2.현장'!$V$2:$V$1001,B145,'2.현장'!$T$2:$T$1001,TRUE)))</f>
        <v/>
      </c>
      <c r="J145" s="7">
        <f>IF(B145="","",IF(_xlfn.MAXIFS('2.현장'!$M$2:$M$1001,'2.현장'!$V$2:$V$1001,B145,'2.현장'!$T$2:$T$1001,TRUE)=0,"",_xlfn.MAXIFS('2.현장'!$M$2:$M$1001,'2.현장'!$V$2:$V$1001,B145,'2.현장'!$T$2:$T$1001,TRUE)))</f>
        <v/>
      </c>
      <c r="K145">
        <f>IF(B145="","",IFERROR(INDEX('2.현장'!$C$2:$C$1001,IFERROR(MATCH(B145&amp;"|설계사",'2.현장'!$Z$2:$Z$1001,0),IFERROR(MATCH(B145&amp;"|시공사",'2.현장'!$Z$2:$Z$1001,0),MATCH(B145&amp;"|늦음",'2.현장'!$Z$2:$Z$1001,0)))),""))</f>
        <v/>
      </c>
      <c r="L145">
        <f>IF(B145="","",IFERROR(INDEX('2.현장'!$N$2:$N$1001,IFERROR(MATCH(B145&amp;"|설계사",'2.현장'!$Z$2:$Z$1001,0),IFERROR(MATCH(B145&amp;"|시공사",'2.현장'!$Z$2:$Z$1001,0),MATCH(B145&amp;"|늦음",'2.현장'!$Z$2:$Z$1001,0)))),""))</f>
        <v/>
      </c>
      <c r="M145">
        <f>IF(B145="","",IFERROR(VLOOKUP(B145,업체_메모!$A$3:$I$302,2,FALSE)&amp;"",""))</f>
        <v/>
      </c>
      <c r="N145">
        <f>IF(B145="","",IFERROR(VLOOKUP(B145,업체_메모!$A$3:$I$302,4,FALSE)&amp;"",""))</f>
        <v/>
      </c>
      <c r="O145" s="7">
        <f>IF(B145="","",IF(COUNTIF('4.방문기록'!$B$3:$B$502,B145)=0,"",_xlfn.MAXIFS('4.방문기록'!$A$3:$A$502,'4.방문기록'!$B$3:$B$502,B145)))</f>
        <v/>
      </c>
      <c r="P145">
        <f>IF(O145="","",설정!$B$24-O145)</f>
        <v/>
      </c>
      <c r="Q145" s="7">
        <f>IF(B145="","",IF(_xlfn.MAXIFS('4.방문기록'!$F$3:$F$502,'4.방문기록'!$B$3:$B$502,B145)=0,"",_xlfn.MAXIFS('4.방문기록'!$F$3:$F$502,'4.방문기록'!$B$3:$B$502,B145)))</f>
        <v/>
      </c>
      <c r="R145">
        <f>IF(O145="","",IFERROR(INDEX('4.방문기록'!$H$3:$H$502,MATCH(B145&amp;"|"&amp;(O145*1),'4.방문기록'!$I$3:$I$502,0))&amp;"",""))</f>
        <v/>
      </c>
      <c r="S145">
        <f>IF(B145="","",IF(R145="관심 없음","제외",IF(O145="","안 가봄",IF(P145&gt;=설정!$B$20,P145&amp;"일 지남","최근 방문"))))</f>
        <v/>
      </c>
      <c r="T145" s="8">
        <f>IF(B145="","",IF(S145="제외","",IF(AND(설정!$B$21&lt;&gt;"",L145&lt;&gt;설정!$B$21),"",IF(AND(Q145&lt;&gt;"",Q145&gt;N(O145),Q145&lt;=설정!$B$24+7),설정!$B$39+7-(Q145-설정!$B$24),IF(AND(G145&gt;0,OR(S145="안 가봄",RIGHT(S145,2)="지남")),G145+IF(O145="",설정!$B$36,MIN(P145,60)*설정!$B$37)+MIN(N(H145)/1000*설정!$B$38,20),"")))))</f>
        <v/>
      </c>
      <c r="U145">
        <f>IF(T145="","",COUNTIF(T$4:T$303,"&gt;"&amp;T145)+COUNTIF(T$4:T145,T145))</f>
        <v/>
      </c>
    </row>
    <row r="146">
      <c r="A146">
        <f>IF(B146="","",143)</f>
        <v/>
      </c>
      <c r="B146">
        <f>IFERROR(INDEX('2.현장'!$V$2:$V$1001,MATCH(143,'2.현장'!$W$2:$W$1001,0)),"")</f>
        <v/>
      </c>
      <c r="C146">
        <f>IF(B146="","",COUNTIFS('2.현장'!$V$2:$V$1001,B146,'2.현장'!$T$2:$T$1001,TRUE))</f>
        <v/>
      </c>
      <c r="D146">
        <f>IF(B146="","",COUNTIFS('2.현장'!$V$2:$V$1001,B146,'2.현장'!$U$2:$U$1001,"설계사"))</f>
        <v/>
      </c>
      <c r="E146">
        <f>IF(B146="","",COUNTIFS('2.현장'!$V$2:$V$1001,B146,'2.현장'!$U$2:$U$1001,"시공사"))</f>
        <v/>
      </c>
      <c r="F146">
        <f>IF(B146="","",COUNTIFS('2.현장'!$V$2:$V$1001,B146,'2.현장'!$T$2:$T$1001,TRUE,'2.현장'!$AA$2:$AA$1001,"★"))</f>
        <v/>
      </c>
      <c r="G146" s="6">
        <f>IF(B146="","",SUMIFS('2.현장'!$AB$2:$AB$1001,'2.현장'!$V$2:$V$1001,B146,'2.현장'!$T$2:$T$1001,TRUE))</f>
        <v/>
      </c>
      <c r="H146" s="5">
        <f>IF(B146="","",_xlfn.MAXIFS('2.현장'!$D$2:$D$1001,'2.현장'!$V$2:$V$1001,B146,'2.현장'!$T$2:$T$1001,TRUE))</f>
        <v/>
      </c>
      <c r="I146" s="7">
        <f>IF(B146="","",IF(_xlfn.MAXIFS('2.현장'!$L$2:$L$1001,'2.현장'!$V$2:$V$1001,B146,'2.현장'!$T$2:$T$1001,TRUE)=0,"",_xlfn.MAXIFS('2.현장'!$L$2:$L$1001,'2.현장'!$V$2:$V$1001,B146,'2.현장'!$T$2:$T$1001,TRUE)))</f>
        <v/>
      </c>
      <c r="J146" s="7">
        <f>IF(B146="","",IF(_xlfn.MAXIFS('2.현장'!$M$2:$M$1001,'2.현장'!$V$2:$V$1001,B146,'2.현장'!$T$2:$T$1001,TRUE)=0,"",_xlfn.MAXIFS('2.현장'!$M$2:$M$1001,'2.현장'!$V$2:$V$1001,B146,'2.현장'!$T$2:$T$1001,TRUE)))</f>
        <v/>
      </c>
      <c r="K146">
        <f>IF(B146="","",IFERROR(INDEX('2.현장'!$C$2:$C$1001,IFERROR(MATCH(B146&amp;"|설계사",'2.현장'!$Z$2:$Z$1001,0),IFERROR(MATCH(B146&amp;"|시공사",'2.현장'!$Z$2:$Z$1001,0),MATCH(B146&amp;"|늦음",'2.현장'!$Z$2:$Z$1001,0)))),""))</f>
        <v/>
      </c>
      <c r="L146">
        <f>IF(B146="","",IFERROR(INDEX('2.현장'!$N$2:$N$1001,IFERROR(MATCH(B146&amp;"|설계사",'2.현장'!$Z$2:$Z$1001,0),IFERROR(MATCH(B146&amp;"|시공사",'2.현장'!$Z$2:$Z$1001,0),MATCH(B146&amp;"|늦음",'2.현장'!$Z$2:$Z$1001,0)))),""))</f>
        <v/>
      </c>
      <c r="M146">
        <f>IF(B146="","",IFERROR(VLOOKUP(B146,업체_메모!$A$3:$I$302,2,FALSE)&amp;"",""))</f>
        <v/>
      </c>
      <c r="N146">
        <f>IF(B146="","",IFERROR(VLOOKUP(B146,업체_메모!$A$3:$I$302,4,FALSE)&amp;"",""))</f>
        <v/>
      </c>
      <c r="O146" s="7">
        <f>IF(B146="","",IF(COUNTIF('4.방문기록'!$B$3:$B$502,B146)=0,"",_xlfn.MAXIFS('4.방문기록'!$A$3:$A$502,'4.방문기록'!$B$3:$B$502,B146)))</f>
        <v/>
      </c>
      <c r="P146">
        <f>IF(O146="","",설정!$B$24-O146)</f>
        <v/>
      </c>
      <c r="Q146" s="7">
        <f>IF(B146="","",IF(_xlfn.MAXIFS('4.방문기록'!$F$3:$F$502,'4.방문기록'!$B$3:$B$502,B146)=0,"",_xlfn.MAXIFS('4.방문기록'!$F$3:$F$502,'4.방문기록'!$B$3:$B$502,B146)))</f>
        <v/>
      </c>
      <c r="R146">
        <f>IF(O146="","",IFERROR(INDEX('4.방문기록'!$H$3:$H$502,MATCH(B146&amp;"|"&amp;(O146*1),'4.방문기록'!$I$3:$I$502,0))&amp;"",""))</f>
        <v/>
      </c>
      <c r="S146">
        <f>IF(B146="","",IF(R146="관심 없음","제외",IF(O146="","안 가봄",IF(P146&gt;=설정!$B$20,P146&amp;"일 지남","최근 방문"))))</f>
        <v/>
      </c>
      <c r="T146" s="8">
        <f>IF(B146="","",IF(S146="제외","",IF(AND(설정!$B$21&lt;&gt;"",L146&lt;&gt;설정!$B$21),"",IF(AND(Q146&lt;&gt;"",Q146&gt;N(O146),Q146&lt;=설정!$B$24+7),설정!$B$39+7-(Q146-설정!$B$24),IF(AND(G146&gt;0,OR(S146="안 가봄",RIGHT(S146,2)="지남")),G146+IF(O146="",설정!$B$36,MIN(P146,60)*설정!$B$37)+MIN(N(H146)/1000*설정!$B$38,20),"")))))</f>
        <v/>
      </c>
      <c r="U146">
        <f>IF(T146="","",COUNTIF(T$4:T$303,"&gt;"&amp;T146)+COUNTIF(T$4:T146,T146))</f>
        <v/>
      </c>
    </row>
    <row r="147">
      <c r="A147">
        <f>IF(B147="","",144)</f>
        <v/>
      </c>
      <c r="B147">
        <f>IFERROR(INDEX('2.현장'!$V$2:$V$1001,MATCH(144,'2.현장'!$W$2:$W$1001,0)),"")</f>
        <v/>
      </c>
      <c r="C147">
        <f>IF(B147="","",COUNTIFS('2.현장'!$V$2:$V$1001,B147,'2.현장'!$T$2:$T$1001,TRUE))</f>
        <v/>
      </c>
      <c r="D147">
        <f>IF(B147="","",COUNTIFS('2.현장'!$V$2:$V$1001,B147,'2.현장'!$U$2:$U$1001,"설계사"))</f>
        <v/>
      </c>
      <c r="E147">
        <f>IF(B147="","",COUNTIFS('2.현장'!$V$2:$V$1001,B147,'2.현장'!$U$2:$U$1001,"시공사"))</f>
        <v/>
      </c>
      <c r="F147">
        <f>IF(B147="","",COUNTIFS('2.현장'!$V$2:$V$1001,B147,'2.현장'!$T$2:$T$1001,TRUE,'2.현장'!$AA$2:$AA$1001,"★"))</f>
        <v/>
      </c>
      <c r="G147" s="6">
        <f>IF(B147="","",SUMIFS('2.현장'!$AB$2:$AB$1001,'2.현장'!$V$2:$V$1001,B147,'2.현장'!$T$2:$T$1001,TRUE))</f>
        <v/>
      </c>
      <c r="H147" s="5">
        <f>IF(B147="","",_xlfn.MAXIFS('2.현장'!$D$2:$D$1001,'2.현장'!$V$2:$V$1001,B147,'2.현장'!$T$2:$T$1001,TRUE))</f>
        <v/>
      </c>
      <c r="I147" s="7">
        <f>IF(B147="","",IF(_xlfn.MAXIFS('2.현장'!$L$2:$L$1001,'2.현장'!$V$2:$V$1001,B147,'2.현장'!$T$2:$T$1001,TRUE)=0,"",_xlfn.MAXIFS('2.현장'!$L$2:$L$1001,'2.현장'!$V$2:$V$1001,B147,'2.현장'!$T$2:$T$1001,TRUE)))</f>
        <v/>
      </c>
      <c r="J147" s="7">
        <f>IF(B147="","",IF(_xlfn.MAXIFS('2.현장'!$M$2:$M$1001,'2.현장'!$V$2:$V$1001,B147,'2.현장'!$T$2:$T$1001,TRUE)=0,"",_xlfn.MAXIFS('2.현장'!$M$2:$M$1001,'2.현장'!$V$2:$V$1001,B147,'2.현장'!$T$2:$T$1001,TRUE)))</f>
        <v/>
      </c>
      <c r="K147">
        <f>IF(B147="","",IFERROR(INDEX('2.현장'!$C$2:$C$1001,IFERROR(MATCH(B147&amp;"|설계사",'2.현장'!$Z$2:$Z$1001,0),IFERROR(MATCH(B147&amp;"|시공사",'2.현장'!$Z$2:$Z$1001,0),MATCH(B147&amp;"|늦음",'2.현장'!$Z$2:$Z$1001,0)))),""))</f>
        <v/>
      </c>
      <c r="L147">
        <f>IF(B147="","",IFERROR(INDEX('2.현장'!$N$2:$N$1001,IFERROR(MATCH(B147&amp;"|설계사",'2.현장'!$Z$2:$Z$1001,0),IFERROR(MATCH(B147&amp;"|시공사",'2.현장'!$Z$2:$Z$1001,0),MATCH(B147&amp;"|늦음",'2.현장'!$Z$2:$Z$1001,0)))),""))</f>
        <v/>
      </c>
      <c r="M147">
        <f>IF(B147="","",IFERROR(VLOOKUP(B147,업체_메모!$A$3:$I$302,2,FALSE)&amp;"",""))</f>
        <v/>
      </c>
      <c r="N147">
        <f>IF(B147="","",IFERROR(VLOOKUP(B147,업체_메모!$A$3:$I$302,4,FALSE)&amp;"",""))</f>
        <v/>
      </c>
      <c r="O147" s="7">
        <f>IF(B147="","",IF(COUNTIF('4.방문기록'!$B$3:$B$502,B147)=0,"",_xlfn.MAXIFS('4.방문기록'!$A$3:$A$502,'4.방문기록'!$B$3:$B$502,B147)))</f>
        <v/>
      </c>
      <c r="P147">
        <f>IF(O147="","",설정!$B$24-O147)</f>
        <v/>
      </c>
      <c r="Q147" s="7">
        <f>IF(B147="","",IF(_xlfn.MAXIFS('4.방문기록'!$F$3:$F$502,'4.방문기록'!$B$3:$B$502,B147)=0,"",_xlfn.MAXIFS('4.방문기록'!$F$3:$F$502,'4.방문기록'!$B$3:$B$502,B147)))</f>
        <v/>
      </c>
      <c r="R147">
        <f>IF(O147="","",IFERROR(INDEX('4.방문기록'!$H$3:$H$502,MATCH(B147&amp;"|"&amp;(O147*1),'4.방문기록'!$I$3:$I$502,0))&amp;"",""))</f>
        <v/>
      </c>
      <c r="S147">
        <f>IF(B147="","",IF(R147="관심 없음","제외",IF(O147="","안 가봄",IF(P147&gt;=설정!$B$20,P147&amp;"일 지남","최근 방문"))))</f>
        <v/>
      </c>
      <c r="T147" s="8">
        <f>IF(B147="","",IF(S147="제외","",IF(AND(설정!$B$21&lt;&gt;"",L147&lt;&gt;설정!$B$21),"",IF(AND(Q147&lt;&gt;"",Q147&gt;N(O147),Q147&lt;=설정!$B$24+7),설정!$B$39+7-(Q147-설정!$B$24),IF(AND(G147&gt;0,OR(S147="안 가봄",RIGHT(S147,2)="지남")),G147+IF(O147="",설정!$B$36,MIN(P147,60)*설정!$B$37)+MIN(N(H147)/1000*설정!$B$38,20),"")))))</f>
        <v/>
      </c>
      <c r="U147">
        <f>IF(T147="","",COUNTIF(T$4:T$303,"&gt;"&amp;T147)+COUNTIF(T$4:T147,T147))</f>
        <v/>
      </c>
    </row>
    <row r="148">
      <c r="A148">
        <f>IF(B148="","",145)</f>
        <v/>
      </c>
      <c r="B148">
        <f>IFERROR(INDEX('2.현장'!$V$2:$V$1001,MATCH(145,'2.현장'!$W$2:$W$1001,0)),"")</f>
        <v/>
      </c>
      <c r="C148">
        <f>IF(B148="","",COUNTIFS('2.현장'!$V$2:$V$1001,B148,'2.현장'!$T$2:$T$1001,TRUE))</f>
        <v/>
      </c>
      <c r="D148">
        <f>IF(B148="","",COUNTIFS('2.현장'!$V$2:$V$1001,B148,'2.현장'!$U$2:$U$1001,"설계사"))</f>
        <v/>
      </c>
      <c r="E148">
        <f>IF(B148="","",COUNTIFS('2.현장'!$V$2:$V$1001,B148,'2.현장'!$U$2:$U$1001,"시공사"))</f>
        <v/>
      </c>
      <c r="F148">
        <f>IF(B148="","",COUNTIFS('2.현장'!$V$2:$V$1001,B148,'2.현장'!$T$2:$T$1001,TRUE,'2.현장'!$AA$2:$AA$1001,"★"))</f>
        <v/>
      </c>
      <c r="G148" s="6">
        <f>IF(B148="","",SUMIFS('2.현장'!$AB$2:$AB$1001,'2.현장'!$V$2:$V$1001,B148,'2.현장'!$T$2:$T$1001,TRUE))</f>
        <v/>
      </c>
      <c r="H148" s="5">
        <f>IF(B148="","",_xlfn.MAXIFS('2.현장'!$D$2:$D$1001,'2.현장'!$V$2:$V$1001,B148,'2.현장'!$T$2:$T$1001,TRUE))</f>
        <v/>
      </c>
      <c r="I148" s="7">
        <f>IF(B148="","",IF(_xlfn.MAXIFS('2.현장'!$L$2:$L$1001,'2.현장'!$V$2:$V$1001,B148,'2.현장'!$T$2:$T$1001,TRUE)=0,"",_xlfn.MAXIFS('2.현장'!$L$2:$L$1001,'2.현장'!$V$2:$V$1001,B148,'2.현장'!$T$2:$T$1001,TRUE)))</f>
        <v/>
      </c>
      <c r="J148" s="7">
        <f>IF(B148="","",IF(_xlfn.MAXIFS('2.현장'!$M$2:$M$1001,'2.현장'!$V$2:$V$1001,B148,'2.현장'!$T$2:$T$1001,TRUE)=0,"",_xlfn.MAXIFS('2.현장'!$M$2:$M$1001,'2.현장'!$V$2:$V$1001,B148,'2.현장'!$T$2:$T$1001,TRUE)))</f>
        <v/>
      </c>
      <c r="K148">
        <f>IF(B148="","",IFERROR(INDEX('2.현장'!$C$2:$C$1001,IFERROR(MATCH(B148&amp;"|설계사",'2.현장'!$Z$2:$Z$1001,0),IFERROR(MATCH(B148&amp;"|시공사",'2.현장'!$Z$2:$Z$1001,0),MATCH(B148&amp;"|늦음",'2.현장'!$Z$2:$Z$1001,0)))),""))</f>
        <v/>
      </c>
      <c r="L148">
        <f>IF(B148="","",IFERROR(INDEX('2.현장'!$N$2:$N$1001,IFERROR(MATCH(B148&amp;"|설계사",'2.현장'!$Z$2:$Z$1001,0),IFERROR(MATCH(B148&amp;"|시공사",'2.현장'!$Z$2:$Z$1001,0),MATCH(B148&amp;"|늦음",'2.현장'!$Z$2:$Z$1001,0)))),""))</f>
        <v/>
      </c>
      <c r="M148">
        <f>IF(B148="","",IFERROR(VLOOKUP(B148,업체_메모!$A$3:$I$302,2,FALSE)&amp;"",""))</f>
        <v/>
      </c>
      <c r="N148">
        <f>IF(B148="","",IFERROR(VLOOKUP(B148,업체_메모!$A$3:$I$302,4,FALSE)&amp;"",""))</f>
        <v/>
      </c>
      <c r="O148" s="7">
        <f>IF(B148="","",IF(COUNTIF('4.방문기록'!$B$3:$B$502,B148)=0,"",_xlfn.MAXIFS('4.방문기록'!$A$3:$A$502,'4.방문기록'!$B$3:$B$502,B148)))</f>
        <v/>
      </c>
      <c r="P148">
        <f>IF(O148="","",설정!$B$24-O148)</f>
        <v/>
      </c>
      <c r="Q148" s="7">
        <f>IF(B148="","",IF(_xlfn.MAXIFS('4.방문기록'!$F$3:$F$502,'4.방문기록'!$B$3:$B$502,B148)=0,"",_xlfn.MAXIFS('4.방문기록'!$F$3:$F$502,'4.방문기록'!$B$3:$B$502,B148)))</f>
        <v/>
      </c>
      <c r="R148">
        <f>IF(O148="","",IFERROR(INDEX('4.방문기록'!$H$3:$H$502,MATCH(B148&amp;"|"&amp;(O148*1),'4.방문기록'!$I$3:$I$502,0))&amp;"",""))</f>
        <v/>
      </c>
      <c r="S148">
        <f>IF(B148="","",IF(R148="관심 없음","제외",IF(O148="","안 가봄",IF(P148&gt;=설정!$B$20,P148&amp;"일 지남","최근 방문"))))</f>
        <v/>
      </c>
      <c r="T148" s="8">
        <f>IF(B148="","",IF(S148="제외","",IF(AND(설정!$B$21&lt;&gt;"",L148&lt;&gt;설정!$B$21),"",IF(AND(Q148&lt;&gt;"",Q148&gt;N(O148),Q148&lt;=설정!$B$24+7),설정!$B$39+7-(Q148-설정!$B$24),IF(AND(G148&gt;0,OR(S148="안 가봄",RIGHT(S148,2)="지남")),G148+IF(O148="",설정!$B$36,MIN(P148,60)*설정!$B$37)+MIN(N(H148)/1000*설정!$B$38,20),"")))))</f>
        <v/>
      </c>
      <c r="U148">
        <f>IF(T148="","",COUNTIF(T$4:T$303,"&gt;"&amp;T148)+COUNTIF(T$4:T148,T148))</f>
        <v/>
      </c>
    </row>
    <row r="149">
      <c r="A149">
        <f>IF(B149="","",146)</f>
        <v/>
      </c>
      <c r="B149">
        <f>IFERROR(INDEX('2.현장'!$V$2:$V$1001,MATCH(146,'2.현장'!$W$2:$W$1001,0)),"")</f>
        <v/>
      </c>
      <c r="C149">
        <f>IF(B149="","",COUNTIFS('2.현장'!$V$2:$V$1001,B149,'2.현장'!$T$2:$T$1001,TRUE))</f>
        <v/>
      </c>
      <c r="D149">
        <f>IF(B149="","",COUNTIFS('2.현장'!$V$2:$V$1001,B149,'2.현장'!$U$2:$U$1001,"설계사"))</f>
        <v/>
      </c>
      <c r="E149">
        <f>IF(B149="","",COUNTIFS('2.현장'!$V$2:$V$1001,B149,'2.현장'!$U$2:$U$1001,"시공사"))</f>
        <v/>
      </c>
      <c r="F149">
        <f>IF(B149="","",COUNTIFS('2.현장'!$V$2:$V$1001,B149,'2.현장'!$T$2:$T$1001,TRUE,'2.현장'!$AA$2:$AA$1001,"★"))</f>
        <v/>
      </c>
      <c r="G149" s="6">
        <f>IF(B149="","",SUMIFS('2.현장'!$AB$2:$AB$1001,'2.현장'!$V$2:$V$1001,B149,'2.현장'!$T$2:$T$1001,TRUE))</f>
        <v/>
      </c>
      <c r="H149" s="5">
        <f>IF(B149="","",_xlfn.MAXIFS('2.현장'!$D$2:$D$1001,'2.현장'!$V$2:$V$1001,B149,'2.현장'!$T$2:$T$1001,TRUE))</f>
        <v/>
      </c>
      <c r="I149" s="7">
        <f>IF(B149="","",IF(_xlfn.MAXIFS('2.현장'!$L$2:$L$1001,'2.현장'!$V$2:$V$1001,B149,'2.현장'!$T$2:$T$1001,TRUE)=0,"",_xlfn.MAXIFS('2.현장'!$L$2:$L$1001,'2.현장'!$V$2:$V$1001,B149,'2.현장'!$T$2:$T$1001,TRUE)))</f>
        <v/>
      </c>
      <c r="J149" s="7">
        <f>IF(B149="","",IF(_xlfn.MAXIFS('2.현장'!$M$2:$M$1001,'2.현장'!$V$2:$V$1001,B149,'2.현장'!$T$2:$T$1001,TRUE)=0,"",_xlfn.MAXIFS('2.현장'!$M$2:$M$1001,'2.현장'!$V$2:$V$1001,B149,'2.현장'!$T$2:$T$1001,TRUE)))</f>
        <v/>
      </c>
      <c r="K149">
        <f>IF(B149="","",IFERROR(INDEX('2.현장'!$C$2:$C$1001,IFERROR(MATCH(B149&amp;"|설계사",'2.현장'!$Z$2:$Z$1001,0),IFERROR(MATCH(B149&amp;"|시공사",'2.현장'!$Z$2:$Z$1001,0),MATCH(B149&amp;"|늦음",'2.현장'!$Z$2:$Z$1001,0)))),""))</f>
        <v/>
      </c>
      <c r="L149">
        <f>IF(B149="","",IFERROR(INDEX('2.현장'!$N$2:$N$1001,IFERROR(MATCH(B149&amp;"|설계사",'2.현장'!$Z$2:$Z$1001,0),IFERROR(MATCH(B149&amp;"|시공사",'2.현장'!$Z$2:$Z$1001,0),MATCH(B149&amp;"|늦음",'2.현장'!$Z$2:$Z$1001,0)))),""))</f>
        <v/>
      </c>
      <c r="M149">
        <f>IF(B149="","",IFERROR(VLOOKUP(B149,업체_메모!$A$3:$I$302,2,FALSE)&amp;"",""))</f>
        <v/>
      </c>
      <c r="N149">
        <f>IF(B149="","",IFERROR(VLOOKUP(B149,업체_메모!$A$3:$I$302,4,FALSE)&amp;"",""))</f>
        <v/>
      </c>
      <c r="O149" s="7">
        <f>IF(B149="","",IF(COUNTIF('4.방문기록'!$B$3:$B$502,B149)=0,"",_xlfn.MAXIFS('4.방문기록'!$A$3:$A$502,'4.방문기록'!$B$3:$B$502,B149)))</f>
        <v/>
      </c>
      <c r="P149">
        <f>IF(O149="","",설정!$B$24-O149)</f>
        <v/>
      </c>
      <c r="Q149" s="7">
        <f>IF(B149="","",IF(_xlfn.MAXIFS('4.방문기록'!$F$3:$F$502,'4.방문기록'!$B$3:$B$502,B149)=0,"",_xlfn.MAXIFS('4.방문기록'!$F$3:$F$502,'4.방문기록'!$B$3:$B$502,B149)))</f>
        <v/>
      </c>
      <c r="R149">
        <f>IF(O149="","",IFERROR(INDEX('4.방문기록'!$H$3:$H$502,MATCH(B149&amp;"|"&amp;(O149*1),'4.방문기록'!$I$3:$I$502,0))&amp;"",""))</f>
        <v/>
      </c>
      <c r="S149">
        <f>IF(B149="","",IF(R149="관심 없음","제외",IF(O149="","안 가봄",IF(P149&gt;=설정!$B$20,P149&amp;"일 지남","최근 방문"))))</f>
        <v/>
      </c>
      <c r="T149" s="8">
        <f>IF(B149="","",IF(S149="제외","",IF(AND(설정!$B$21&lt;&gt;"",L149&lt;&gt;설정!$B$21),"",IF(AND(Q149&lt;&gt;"",Q149&gt;N(O149),Q149&lt;=설정!$B$24+7),설정!$B$39+7-(Q149-설정!$B$24),IF(AND(G149&gt;0,OR(S149="안 가봄",RIGHT(S149,2)="지남")),G149+IF(O149="",설정!$B$36,MIN(P149,60)*설정!$B$37)+MIN(N(H149)/1000*설정!$B$38,20),"")))))</f>
        <v/>
      </c>
      <c r="U149">
        <f>IF(T149="","",COUNTIF(T$4:T$303,"&gt;"&amp;T149)+COUNTIF(T$4:T149,T149))</f>
        <v/>
      </c>
    </row>
    <row r="150">
      <c r="A150">
        <f>IF(B150="","",147)</f>
        <v/>
      </c>
      <c r="B150">
        <f>IFERROR(INDEX('2.현장'!$V$2:$V$1001,MATCH(147,'2.현장'!$W$2:$W$1001,0)),"")</f>
        <v/>
      </c>
      <c r="C150">
        <f>IF(B150="","",COUNTIFS('2.현장'!$V$2:$V$1001,B150,'2.현장'!$T$2:$T$1001,TRUE))</f>
        <v/>
      </c>
      <c r="D150">
        <f>IF(B150="","",COUNTIFS('2.현장'!$V$2:$V$1001,B150,'2.현장'!$U$2:$U$1001,"설계사"))</f>
        <v/>
      </c>
      <c r="E150">
        <f>IF(B150="","",COUNTIFS('2.현장'!$V$2:$V$1001,B150,'2.현장'!$U$2:$U$1001,"시공사"))</f>
        <v/>
      </c>
      <c r="F150">
        <f>IF(B150="","",COUNTIFS('2.현장'!$V$2:$V$1001,B150,'2.현장'!$T$2:$T$1001,TRUE,'2.현장'!$AA$2:$AA$1001,"★"))</f>
        <v/>
      </c>
      <c r="G150" s="6">
        <f>IF(B150="","",SUMIFS('2.현장'!$AB$2:$AB$1001,'2.현장'!$V$2:$V$1001,B150,'2.현장'!$T$2:$T$1001,TRUE))</f>
        <v/>
      </c>
      <c r="H150" s="5">
        <f>IF(B150="","",_xlfn.MAXIFS('2.현장'!$D$2:$D$1001,'2.현장'!$V$2:$V$1001,B150,'2.현장'!$T$2:$T$1001,TRUE))</f>
        <v/>
      </c>
      <c r="I150" s="7">
        <f>IF(B150="","",IF(_xlfn.MAXIFS('2.현장'!$L$2:$L$1001,'2.현장'!$V$2:$V$1001,B150,'2.현장'!$T$2:$T$1001,TRUE)=0,"",_xlfn.MAXIFS('2.현장'!$L$2:$L$1001,'2.현장'!$V$2:$V$1001,B150,'2.현장'!$T$2:$T$1001,TRUE)))</f>
        <v/>
      </c>
      <c r="J150" s="7">
        <f>IF(B150="","",IF(_xlfn.MAXIFS('2.현장'!$M$2:$M$1001,'2.현장'!$V$2:$V$1001,B150,'2.현장'!$T$2:$T$1001,TRUE)=0,"",_xlfn.MAXIFS('2.현장'!$M$2:$M$1001,'2.현장'!$V$2:$V$1001,B150,'2.현장'!$T$2:$T$1001,TRUE)))</f>
        <v/>
      </c>
      <c r="K150">
        <f>IF(B150="","",IFERROR(INDEX('2.현장'!$C$2:$C$1001,IFERROR(MATCH(B150&amp;"|설계사",'2.현장'!$Z$2:$Z$1001,0),IFERROR(MATCH(B150&amp;"|시공사",'2.현장'!$Z$2:$Z$1001,0),MATCH(B150&amp;"|늦음",'2.현장'!$Z$2:$Z$1001,0)))),""))</f>
        <v/>
      </c>
      <c r="L150">
        <f>IF(B150="","",IFERROR(INDEX('2.현장'!$N$2:$N$1001,IFERROR(MATCH(B150&amp;"|설계사",'2.현장'!$Z$2:$Z$1001,0),IFERROR(MATCH(B150&amp;"|시공사",'2.현장'!$Z$2:$Z$1001,0),MATCH(B150&amp;"|늦음",'2.현장'!$Z$2:$Z$1001,0)))),""))</f>
        <v/>
      </c>
      <c r="M150">
        <f>IF(B150="","",IFERROR(VLOOKUP(B150,업체_메모!$A$3:$I$302,2,FALSE)&amp;"",""))</f>
        <v/>
      </c>
      <c r="N150">
        <f>IF(B150="","",IFERROR(VLOOKUP(B150,업체_메모!$A$3:$I$302,4,FALSE)&amp;"",""))</f>
        <v/>
      </c>
      <c r="O150" s="7">
        <f>IF(B150="","",IF(COUNTIF('4.방문기록'!$B$3:$B$502,B150)=0,"",_xlfn.MAXIFS('4.방문기록'!$A$3:$A$502,'4.방문기록'!$B$3:$B$502,B150)))</f>
        <v/>
      </c>
      <c r="P150">
        <f>IF(O150="","",설정!$B$24-O150)</f>
        <v/>
      </c>
      <c r="Q150" s="7">
        <f>IF(B150="","",IF(_xlfn.MAXIFS('4.방문기록'!$F$3:$F$502,'4.방문기록'!$B$3:$B$502,B150)=0,"",_xlfn.MAXIFS('4.방문기록'!$F$3:$F$502,'4.방문기록'!$B$3:$B$502,B150)))</f>
        <v/>
      </c>
      <c r="R150">
        <f>IF(O150="","",IFERROR(INDEX('4.방문기록'!$H$3:$H$502,MATCH(B150&amp;"|"&amp;(O150*1),'4.방문기록'!$I$3:$I$502,0))&amp;"",""))</f>
        <v/>
      </c>
      <c r="S150">
        <f>IF(B150="","",IF(R150="관심 없음","제외",IF(O150="","안 가봄",IF(P150&gt;=설정!$B$20,P150&amp;"일 지남","최근 방문"))))</f>
        <v/>
      </c>
      <c r="T150" s="8">
        <f>IF(B150="","",IF(S150="제외","",IF(AND(설정!$B$21&lt;&gt;"",L150&lt;&gt;설정!$B$21),"",IF(AND(Q150&lt;&gt;"",Q150&gt;N(O150),Q150&lt;=설정!$B$24+7),설정!$B$39+7-(Q150-설정!$B$24),IF(AND(G150&gt;0,OR(S150="안 가봄",RIGHT(S150,2)="지남")),G150+IF(O150="",설정!$B$36,MIN(P150,60)*설정!$B$37)+MIN(N(H150)/1000*설정!$B$38,20),"")))))</f>
        <v/>
      </c>
      <c r="U150">
        <f>IF(T150="","",COUNTIF(T$4:T$303,"&gt;"&amp;T150)+COUNTIF(T$4:T150,T150))</f>
        <v/>
      </c>
    </row>
    <row r="151">
      <c r="A151">
        <f>IF(B151="","",148)</f>
        <v/>
      </c>
      <c r="B151">
        <f>IFERROR(INDEX('2.현장'!$V$2:$V$1001,MATCH(148,'2.현장'!$W$2:$W$1001,0)),"")</f>
        <v/>
      </c>
      <c r="C151">
        <f>IF(B151="","",COUNTIFS('2.현장'!$V$2:$V$1001,B151,'2.현장'!$T$2:$T$1001,TRUE))</f>
        <v/>
      </c>
      <c r="D151">
        <f>IF(B151="","",COUNTIFS('2.현장'!$V$2:$V$1001,B151,'2.현장'!$U$2:$U$1001,"설계사"))</f>
        <v/>
      </c>
      <c r="E151">
        <f>IF(B151="","",COUNTIFS('2.현장'!$V$2:$V$1001,B151,'2.현장'!$U$2:$U$1001,"시공사"))</f>
        <v/>
      </c>
      <c r="F151">
        <f>IF(B151="","",COUNTIFS('2.현장'!$V$2:$V$1001,B151,'2.현장'!$T$2:$T$1001,TRUE,'2.현장'!$AA$2:$AA$1001,"★"))</f>
        <v/>
      </c>
      <c r="G151" s="6">
        <f>IF(B151="","",SUMIFS('2.현장'!$AB$2:$AB$1001,'2.현장'!$V$2:$V$1001,B151,'2.현장'!$T$2:$T$1001,TRUE))</f>
        <v/>
      </c>
      <c r="H151" s="5">
        <f>IF(B151="","",_xlfn.MAXIFS('2.현장'!$D$2:$D$1001,'2.현장'!$V$2:$V$1001,B151,'2.현장'!$T$2:$T$1001,TRUE))</f>
        <v/>
      </c>
      <c r="I151" s="7">
        <f>IF(B151="","",IF(_xlfn.MAXIFS('2.현장'!$L$2:$L$1001,'2.현장'!$V$2:$V$1001,B151,'2.현장'!$T$2:$T$1001,TRUE)=0,"",_xlfn.MAXIFS('2.현장'!$L$2:$L$1001,'2.현장'!$V$2:$V$1001,B151,'2.현장'!$T$2:$T$1001,TRUE)))</f>
        <v/>
      </c>
      <c r="J151" s="7">
        <f>IF(B151="","",IF(_xlfn.MAXIFS('2.현장'!$M$2:$M$1001,'2.현장'!$V$2:$V$1001,B151,'2.현장'!$T$2:$T$1001,TRUE)=0,"",_xlfn.MAXIFS('2.현장'!$M$2:$M$1001,'2.현장'!$V$2:$V$1001,B151,'2.현장'!$T$2:$T$1001,TRUE)))</f>
        <v/>
      </c>
      <c r="K151">
        <f>IF(B151="","",IFERROR(INDEX('2.현장'!$C$2:$C$1001,IFERROR(MATCH(B151&amp;"|설계사",'2.현장'!$Z$2:$Z$1001,0),IFERROR(MATCH(B151&amp;"|시공사",'2.현장'!$Z$2:$Z$1001,0),MATCH(B151&amp;"|늦음",'2.현장'!$Z$2:$Z$1001,0)))),""))</f>
        <v/>
      </c>
      <c r="L151">
        <f>IF(B151="","",IFERROR(INDEX('2.현장'!$N$2:$N$1001,IFERROR(MATCH(B151&amp;"|설계사",'2.현장'!$Z$2:$Z$1001,0),IFERROR(MATCH(B151&amp;"|시공사",'2.현장'!$Z$2:$Z$1001,0),MATCH(B151&amp;"|늦음",'2.현장'!$Z$2:$Z$1001,0)))),""))</f>
        <v/>
      </c>
      <c r="M151">
        <f>IF(B151="","",IFERROR(VLOOKUP(B151,업체_메모!$A$3:$I$302,2,FALSE)&amp;"",""))</f>
        <v/>
      </c>
      <c r="N151">
        <f>IF(B151="","",IFERROR(VLOOKUP(B151,업체_메모!$A$3:$I$302,4,FALSE)&amp;"",""))</f>
        <v/>
      </c>
      <c r="O151" s="7">
        <f>IF(B151="","",IF(COUNTIF('4.방문기록'!$B$3:$B$502,B151)=0,"",_xlfn.MAXIFS('4.방문기록'!$A$3:$A$502,'4.방문기록'!$B$3:$B$502,B151)))</f>
        <v/>
      </c>
      <c r="P151">
        <f>IF(O151="","",설정!$B$24-O151)</f>
        <v/>
      </c>
      <c r="Q151" s="7">
        <f>IF(B151="","",IF(_xlfn.MAXIFS('4.방문기록'!$F$3:$F$502,'4.방문기록'!$B$3:$B$502,B151)=0,"",_xlfn.MAXIFS('4.방문기록'!$F$3:$F$502,'4.방문기록'!$B$3:$B$502,B151)))</f>
        <v/>
      </c>
      <c r="R151">
        <f>IF(O151="","",IFERROR(INDEX('4.방문기록'!$H$3:$H$502,MATCH(B151&amp;"|"&amp;(O151*1),'4.방문기록'!$I$3:$I$502,0))&amp;"",""))</f>
        <v/>
      </c>
      <c r="S151">
        <f>IF(B151="","",IF(R151="관심 없음","제외",IF(O151="","안 가봄",IF(P151&gt;=설정!$B$20,P151&amp;"일 지남","최근 방문"))))</f>
        <v/>
      </c>
      <c r="T151" s="8">
        <f>IF(B151="","",IF(S151="제외","",IF(AND(설정!$B$21&lt;&gt;"",L151&lt;&gt;설정!$B$21),"",IF(AND(Q151&lt;&gt;"",Q151&gt;N(O151),Q151&lt;=설정!$B$24+7),설정!$B$39+7-(Q151-설정!$B$24),IF(AND(G151&gt;0,OR(S151="안 가봄",RIGHT(S151,2)="지남")),G151+IF(O151="",설정!$B$36,MIN(P151,60)*설정!$B$37)+MIN(N(H151)/1000*설정!$B$38,20),"")))))</f>
        <v/>
      </c>
      <c r="U151">
        <f>IF(T151="","",COUNTIF(T$4:T$303,"&gt;"&amp;T151)+COUNTIF(T$4:T151,T151))</f>
        <v/>
      </c>
    </row>
    <row r="152">
      <c r="A152">
        <f>IF(B152="","",149)</f>
        <v/>
      </c>
      <c r="B152">
        <f>IFERROR(INDEX('2.현장'!$V$2:$V$1001,MATCH(149,'2.현장'!$W$2:$W$1001,0)),"")</f>
        <v/>
      </c>
      <c r="C152">
        <f>IF(B152="","",COUNTIFS('2.현장'!$V$2:$V$1001,B152,'2.현장'!$T$2:$T$1001,TRUE))</f>
        <v/>
      </c>
      <c r="D152">
        <f>IF(B152="","",COUNTIFS('2.현장'!$V$2:$V$1001,B152,'2.현장'!$U$2:$U$1001,"설계사"))</f>
        <v/>
      </c>
      <c r="E152">
        <f>IF(B152="","",COUNTIFS('2.현장'!$V$2:$V$1001,B152,'2.현장'!$U$2:$U$1001,"시공사"))</f>
        <v/>
      </c>
      <c r="F152">
        <f>IF(B152="","",COUNTIFS('2.현장'!$V$2:$V$1001,B152,'2.현장'!$T$2:$T$1001,TRUE,'2.현장'!$AA$2:$AA$1001,"★"))</f>
        <v/>
      </c>
      <c r="G152" s="6">
        <f>IF(B152="","",SUMIFS('2.현장'!$AB$2:$AB$1001,'2.현장'!$V$2:$V$1001,B152,'2.현장'!$T$2:$T$1001,TRUE))</f>
        <v/>
      </c>
      <c r="H152" s="5">
        <f>IF(B152="","",_xlfn.MAXIFS('2.현장'!$D$2:$D$1001,'2.현장'!$V$2:$V$1001,B152,'2.현장'!$T$2:$T$1001,TRUE))</f>
        <v/>
      </c>
      <c r="I152" s="7">
        <f>IF(B152="","",IF(_xlfn.MAXIFS('2.현장'!$L$2:$L$1001,'2.현장'!$V$2:$V$1001,B152,'2.현장'!$T$2:$T$1001,TRUE)=0,"",_xlfn.MAXIFS('2.현장'!$L$2:$L$1001,'2.현장'!$V$2:$V$1001,B152,'2.현장'!$T$2:$T$1001,TRUE)))</f>
        <v/>
      </c>
      <c r="J152" s="7">
        <f>IF(B152="","",IF(_xlfn.MAXIFS('2.현장'!$M$2:$M$1001,'2.현장'!$V$2:$V$1001,B152,'2.현장'!$T$2:$T$1001,TRUE)=0,"",_xlfn.MAXIFS('2.현장'!$M$2:$M$1001,'2.현장'!$V$2:$V$1001,B152,'2.현장'!$T$2:$T$1001,TRUE)))</f>
        <v/>
      </c>
      <c r="K152">
        <f>IF(B152="","",IFERROR(INDEX('2.현장'!$C$2:$C$1001,IFERROR(MATCH(B152&amp;"|설계사",'2.현장'!$Z$2:$Z$1001,0),IFERROR(MATCH(B152&amp;"|시공사",'2.현장'!$Z$2:$Z$1001,0),MATCH(B152&amp;"|늦음",'2.현장'!$Z$2:$Z$1001,0)))),""))</f>
        <v/>
      </c>
      <c r="L152">
        <f>IF(B152="","",IFERROR(INDEX('2.현장'!$N$2:$N$1001,IFERROR(MATCH(B152&amp;"|설계사",'2.현장'!$Z$2:$Z$1001,0),IFERROR(MATCH(B152&amp;"|시공사",'2.현장'!$Z$2:$Z$1001,0),MATCH(B152&amp;"|늦음",'2.현장'!$Z$2:$Z$1001,0)))),""))</f>
        <v/>
      </c>
      <c r="M152">
        <f>IF(B152="","",IFERROR(VLOOKUP(B152,업체_메모!$A$3:$I$302,2,FALSE)&amp;"",""))</f>
        <v/>
      </c>
      <c r="N152">
        <f>IF(B152="","",IFERROR(VLOOKUP(B152,업체_메모!$A$3:$I$302,4,FALSE)&amp;"",""))</f>
        <v/>
      </c>
      <c r="O152" s="7">
        <f>IF(B152="","",IF(COUNTIF('4.방문기록'!$B$3:$B$502,B152)=0,"",_xlfn.MAXIFS('4.방문기록'!$A$3:$A$502,'4.방문기록'!$B$3:$B$502,B152)))</f>
        <v/>
      </c>
      <c r="P152">
        <f>IF(O152="","",설정!$B$24-O152)</f>
        <v/>
      </c>
      <c r="Q152" s="7">
        <f>IF(B152="","",IF(_xlfn.MAXIFS('4.방문기록'!$F$3:$F$502,'4.방문기록'!$B$3:$B$502,B152)=0,"",_xlfn.MAXIFS('4.방문기록'!$F$3:$F$502,'4.방문기록'!$B$3:$B$502,B152)))</f>
        <v/>
      </c>
      <c r="R152">
        <f>IF(O152="","",IFERROR(INDEX('4.방문기록'!$H$3:$H$502,MATCH(B152&amp;"|"&amp;(O152*1),'4.방문기록'!$I$3:$I$502,0))&amp;"",""))</f>
        <v/>
      </c>
      <c r="S152">
        <f>IF(B152="","",IF(R152="관심 없음","제외",IF(O152="","안 가봄",IF(P152&gt;=설정!$B$20,P152&amp;"일 지남","최근 방문"))))</f>
        <v/>
      </c>
      <c r="T152" s="8">
        <f>IF(B152="","",IF(S152="제외","",IF(AND(설정!$B$21&lt;&gt;"",L152&lt;&gt;설정!$B$21),"",IF(AND(Q152&lt;&gt;"",Q152&gt;N(O152),Q152&lt;=설정!$B$24+7),설정!$B$39+7-(Q152-설정!$B$24),IF(AND(G152&gt;0,OR(S152="안 가봄",RIGHT(S152,2)="지남")),G152+IF(O152="",설정!$B$36,MIN(P152,60)*설정!$B$37)+MIN(N(H152)/1000*설정!$B$38,20),"")))))</f>
        <v/>
      </c>
      <c r="U152">
        <f>IF(T152="","",COUNTIF(T$4:T$303,"&gt;"&amp;T152)+COUNTIF(T$4:T152,T152))</f>
        <v/>
      </c>
    </row>
    <row r="153">
      <c r="A153">
        <f>IF(B153="","",150)</f>
        <v/>
      </c>
      <c r="B153">
        <f>IFERROR(INDEX('2.현장'!$V$2:$V$1001,MATCH(150,'2.현장'!$W$2:$W$1001,0)),"")</f>
        <v/>
      </c>
      <c r="C153">
        <f>IF(B153="","",COUNTIFS('2.현장'!$V$2:$V$1001,B153,'2.현장'!$T$2:$T$1001,TRUE))</f>
        <v/>
      </c>
      <c r="D153">
        <f>IF(B153="","",COUNTIFS('2.현장'!$V$2:$V$1001,B153,'2.현장'!$U$2:$U$1001,"설계사"))</f>
        <v/>
      </c>
      <c r="E153">
        <f>IF(B153="","",COUNTIFS('2.현장'!$V$2:$V$1001,B153,'2.현장'!$U$2:$U$1001,"시공사"))</f>
        <v/>
      </c>
      <c r="F153">
        <f>IF(B153="","",COUNTIFS('2.현장'!$V$2:$V$1001,B153,'2.현장'!$T$2:$T$1001,TRUE,'2.현장'!$AA$2:$AA$1001,"★"))</f>
        <v/>
      </c>
      <c r="G153" s="6">
        <f>IF(B153="","",SUMIFS('2.현장'!$AB$2:$AB$1001,'2.현장'!$V$2:$V$1001,B153,'2.현장'!$T$2:$T$1001,TRUE))</f>
        <v/>
      </c>
      <c r="H153" s="5">
        <f>IF(B153="","",_xlfn.MAXIFS('2.현장'!$D$2:$D$1001,'2.현장'!$V$2:$V$1001,B153,'2.현장'!$T$2:$T$1001,TRUE))</f>
        <v/>
      </c>
      <c r="I153" s="7">
        <f>IF(B153="","",IF(_xlfn.MAXIFS('2.현장'!$L$2:$L$1001,'2.현장'!$V$2:$V$1001,B153,'2.현장'!$T$2:$T$1001,TRUE)=0,"",_xlfn.MAXIFS('2.현장'!$L$2:$L$1001,'2.현장'!$V$2:$V$1001,B153,'2.현장'!$T$2:$T$1001,TRUE)))</f>
        <v/>
      </c>
      <c r="J153" s="7">
        <f>IF(B153="","",IF(_xlfn.MAXIFS('2.현장'!$M$2:$M$1001,'2.현장'!$V$2:$V$1001,B153,'2.현장'!$T$2:$T$1001,TRUE)=0,"",_xlfn.MAXIFS('2.현장'!$M$2:$M$1001,'2.현장'!$V$2:$V$1001,B153,'2.현장'!$T$2:$T$1001,TRUE)))</f>
        <v/>
      </c>
      <c r="K153">
        <f>IF(B153="","",IFERROR(INDEX('2.현장'!$C$2:$C$1001,IFERROR(MATCH(B153&amp;"|설계사",'2.현장'!$Z$2:$Z$1001,0),IFERROR(MATCH(B153&amp;"|시공사",'2.현장'!$Z$2:$Z$1001,0),MATCH(B153&amp;"|늦음",'2.현장'!$Z$2:$Z$1001,0)))),""))</f>
        <v/>
      </c>
      <c r="L153">
        <f>IF(B153="","",IFERROR(INDEX('2.현장'!$N$2:$N$1001,IFERROR(MATCH(B153&amp;"|설계사",'2.현장'!$Z$2:$Z$1001,0),IFERROR(MATCH(B153&amp;"|시공사",'2.현장'!$Z$2:$Z$1001,0),MATCH(B153&amp;"|늦음",'2.현장'!$Z$2:$Z$1001,0)))),""))</f>
        <v/>
      </c>
      <c r="M153">
        <f>IF(B153="","",IFERROR(VLOOKUP(B153,업체_메모!$A$3:$I$302,2,FALSE)&amp;"",""))</f>
        <v/>
      </c>
      <c r="N153">
        <f>IF(B153="","",IFERROR(VLOOKUP(B153,업체_메모!$A$3:$I$302,4,FALSE)&amp;"",""))</f>
        <v/>
      </c>
      <c r="O153" s="7">
        <f>IF(B153="","",IF(COUNTIF('4.방문기록'!$B$3:$B$502,B153)=0,"",_xlfn.MAXIFS('4.방문기록'!$A$3:$A$502,'4.방문기록'!$B$3:$B$502,B153)))</f>
        <v/>
      </c>
      <c r="P153">
        <f>IF(O153="","",설정!$B$24-O153)</f>
        <v/>
      </c>
      <c r="Q153" s="7">
        <f>IF(B153="","",IF(_xlfn.MAXIFS('4.방문기록'!$F$3:$F$502,'4.방문기록'!$B$3:$B$502,B153)=0,"",_xlfn.MAXIFS('4.방문기록'!$F$3:$F$502,'4.방문기록'!$B$3:$B$502,B153)))</f>
        <v/>
      </c>
      <c r="R153">
        <f>IF(O153="","",IFERROR(INDEX('4.방문기록'!$H$3:$H$502,MATCH(B153&amp;"|"&amp;(O153*1),'4.방문기록'!$I$3:$I$502,0))&amp;"",""))</f>
        <v/>
      </c>
      <c r="S153">
        <f>IF(B153="","",IF(R153="관심 없음","제외",IF(O153="","안 가봄",IF(P153&gt;=설정!$B$20,P153&amp;"일 지남","최근 방문"))))</f>
        <v/>
      </c>
      <c r="T153" s="8">
        <f>IF(B153="","",IF(S153="제외","",IF(AND(설정!$B$21&lt;&gt;"",L153&lt;&gt;설정!$B$21),"",IF(AND(Q153&lt;&gt;"",Q153&gt;N(O153),Q153&lt;=설정!$B$24+7),설정!$B$39+7-(Q153-설정!$B$24),IF(AND(G153&gt;0,OR(S153="안 가봄",RIGHT(S153,2)="지남")),G153+IF(O153="",설정!$B$36,MIN(P153,60)*설정!$B$37)+MIN(N(H153)/1000*설정!$B$38,20),"")))))</f>
        <v/>
      </c>
      <c r="U153">
        <f>IF(T153="","",COUNTIF(T$4:T$303,"&gt;"&amp;T153)+COUNTIF(T$4:T153,T153))</f>
        <v/>
      </c>
    </row>
    <row r="154">
      <c r="A154">
        <f>IF(B154="","",151)</f>
        <v/>
      </c>
      <c r="B154">
        <f>IFERROR(INDEX('2.현장'!$V$2:$V$1001,MATCH(151,'2.현장'!$W$2:$W$1001,0)),"")</f>
        <v/>
      </c>
      <c r="C154">
        <f>IF(B154="","",COUNTIFS('2.현장'!$V$2:$V$1001,B154,'2.현장'!$T$2:$T$1001,TRUE))</f>
        <v/>
      </c>
      <c r="D154">
        <f>IF(B154="","",COUNTIFS('2.현장'!$V$2:$V$1001,B154,'2.현장'!$U$2:$U$1001,"설계사"))</f>
        <v/>
      </c>
      <c r="E154">
        <f>IF(B154="","",COUNTIFS('2.현장'!$V$2:$V$1001,B154,'2.현장'!$U$2:$U$1001,"시공사"))</f>
        <v/>
      </c>
      <c r="F154">
        <f>IF(B154="","",COUNTIFS('2.현장'!$V$2:$V$1001,B154,'2.현장'!$T$2:$T$1001,TRUE,'2.현장'!$AA$2:$AA$1001,"★"))</f>
        <v/>
      </c>
      <c r="G154" s="6">
        <f>IF(B154="","",SUMIFS('2.현장'!$AB$2:$AB$1001,'2.현장'!$V$2:$V$1001,B154,'2.현장'!$T$2:$T$1001,TRUE))</f>
        <v/>
      </c>
      <c r="H154" s="5">
        <f>IF(B154="","",_xlfn.MAXIFS('2.현장'!$D$2:$D$1001,'2.현장'!$V$2:$V$1001,B154,'2.현장'!$T$2:$T$1001,TRUE))</f>
        <v/>
      </c>
      <c r="I154" s="7">
        <f>IF(B154="","",IF(_xlfn.MAXIFS('2.현장'!$L$2:$L$1001,'2.현장'!$V$2:$V$1001,B154,'2.현장'!$T$2:$T$1001,TRUE)=0,"",_xlfn.MAXIFS('2.현장'!$L$2:$L$1001,'2.현장'!$V$2:$V$1001,B154,'2.현장'!$T$2:$T$1001,TRUE)))</f>
        <v/>
      </c>
      <c r="J154" s="7">
        <f>IF(B154="","",IF(_xlfn.MAXIFS('2.현장'!$M$2:$M$1001,'2.현장'!$V$2:$V$1001,B154,'2.현장'!$T$2:$T$1001,TRUE)=0,"",_xlfn.MAXIFS('2.현장'!$M$2:$M$1001,'2.현장'!$V$2:$V$1001,B154,'2.현장'!$T$2:$T$1001,TRUE)))</f>
        <v/>
      </c>
      <c r="K154">
        <f>IF(B154="","",IFERROR(INDEX('2.현장'!$C$2:$C$1001,IFERROR(MATCH(B154&amp;"|설계사",'2.현장'!$Z$2:$Z$1001,0),IFERROR(MATCH(B154&amp;"|시공사",'2.현장'!$Z$2:$Z$1001,0),MATCH(B154&amp;"|늦음",'2.현장'!$Z$2:$Z$1001,0)))),""))</f>
        <v/>
      </c>
      <c r="L154">
        <f>IF(B154="","",IFERROR(INDEX('2.현장'!$N$2:$N$1001,IFERROR(MATCH(B154&amp;"|설계사",'2.현장'!$Z$2:$Z$1001,0),IFERROR(MATCH(B154&amp;"|시공사",'2.현장'!$Z$2:$Z$1001,0),MATCH(B154&amp;"|늦음",'2.현장'!$Z$2:$Z$1001,0)))),""))</f>
        <v/>
      </c>
      <c r="M154">
        <f>IF(B154="","",IFERROR(VLOOKUP(B154,업체_메모!$A$3:$I$302,2,FALSE)&amp;"",""))</f>
        <v/>
      </c>
      <c r="N154">
        <f>IF(B154="","",IFERROR(VLOOKUP(B154,업체_메모!$A$3:$I$302,4,FALSE)&amp;"",""))</f>
        <v/>
      </c>
      <c r="O154" s="7">
        <f>IF(B154="","",IF(COUNTIF('4.방문기록'!$B$3:$B$502,B154)=0,"",_xlfn.MAXIFS('4.방문기록'!$A$3:$A$502,'4.방문기록'!$B$3:$B$502,B154)))</f>
        <v/>
      </c>
      <c r="P154">
        <f>IF(O154="","",설정!$B$24-O154)</f>
        <v/>
      </c>
      <c r="Q154" s="7">
        <f>IF(B154="","",IF(_xlfn.MAXIFS('4.방문기록'!$F$3:$F$502,'4.방문기록'!$B$3:$B$502,B154)=0,"",_xlfn.MAXIFS('4.방문기록'!$F$3:$F$502,'4.방문기록'!$B$3:$B$502,B154)))</f>
        <v/>
      </c>
      <c r="R154">
        <f>IF(O154="","",IFERROR(INDEX('4.방문기록'!$H$3:$H$502,MATCH(B154&amp;"|"&amp;(O154*1),'4.방문기록'!$I$3:$I$502,0))&amp;"",""))</f>
        <v/>
      </c>
      <c r="S154">
        <f>IF(B154="","",IF(R154="관심 없음","제외",IF(O154="","안 가봄",IF(P154&gt;=설정!$B$20,P154&amp;"일 지남","최근 방문"))))</f>
        <v/>
      </c>
      <c r="T154" s="8">
        <f>IF(B154="","",IF(S154="제외","",IF(AND(설정!$B$21&lt;&gt;"",L154&lt;&gt;설정!$B$21),"",IF(AND(Q154&lt;&gt;"",Q154&gt;N(O154),Q154&lt;=설정!$B$24+7),설정!$B$39+7-(Q154-설정!$B$24),IF(AND(G154&gt;0,OR(S154="안 가봄",RIGHT(S154,2)="지남")),G154+IF(O154="",설정!$B$36,MIN(P154,60)*설정!$B$37)+MIN(N(H154)/1000*설정!$B$38,20),"")))))</f>
        <v/>
      </c>
      <c r="U154">
        <f>IF(T154="","",COUNTIF(T$4:T$303,"&gt;"&amp;T154)+COUNTIF(T$4:T154,T154))</f>
        <v/>
      </c>
    </row>
    <row r="155">
      <c r="A155">
        <f>IF(B155="","",152)</f>
        <v/>
      </c>
      <c r="B155">
        <f>IFERROR(INDEX('2.현장'!$V$2:$V$1001,MATCH(152,'2.현장'!$W$2:$W$1001,0)),"")</f>
        <v/>
      </c>
      <c r="C155">
        <f>IF(B155="","",COUNTIFS('2.현장'!$V$2:$V$1001,B155,'2.현장'!$T$2:$T$1001,TRUE))</f>
        <v/>
      </c>
      <c r="D155">
        <f>IF(B155="","",COUNTIFS('2.현장'!$V$2:$V$1001,B155,'2.현장'!$U$2:$U$1001,"설계사"))</f>
        <v/>
      </c>
      <c r="E155">
        <f>IF(B155="","",COUNTIFS('2.현장'!$V$2:$V$1001,B155,'2.현장'!$U$2:$U$1001,"시공사"))</f>
        <v/>
      </c>
      <c r="F155">
        <f>IF(B155="","",COUNTIFS('2.현장'!$V$2:$V$1001,B155,'2.현장'!$T$2:$T$1001,TRUE,'2.현장'!$AA$2:$AA$1001,"★"))</f>
        <v/>
      </c>
      <c r="G155" s="6">
        <f>IF(B155="","",SUMIFS('2.현장'!$AB$2:$AB$1001,'2.현장'!$V$2:$V$1001,B155,'2.현장'!$T$2:$T$1001,TRUE))</f>
        <v/>
      </c>
      <c r="H155" s="5">
        <f>IF(B155="","",_xlfn.MAXIFS('2.현장'!$D$2:$D$1001,'2.현장'!$V$2:$V$1001,B155,'2.현장'!$T$2:$T$1001,TRUE))</f>
        <v/>
      </c>
      <c r="I155" s="7">
        <f>IF(B155="","",IF(_xlfn.MAXIFS('2.현장'!$L$2:$L$1001,'2.현장'!$V$2:$V$1001,B155,'2.현장'!$T$2:$T$1001,TRUE)=0,"",_xlfn.MAXIFS('2.현장'!$L$2:$L$1001,'2.현장'!$V$2:$V$1001,B155,'2.현장'!$T$2:$T$1001,TRUE)))</f>
        <v/>
      </c>
      <c r="J155" s="7">
        <f>IF(B155="","",IF(_xlfn.MAXIFS('2.현장'!$M$2:$M$1001,'2.현장'!$V$2:$V$1001,B155,'2.현장'!$T$2:$T$1001,TRUE)=0,"",_xlfn.MAXIFS('2.현장'!$M$2:$M$1001,'2.현장'!$V$2:$V$1001,B155,'2.현장'!$T$2:$T$1001,TRUE)))</f>
        <v/>
      </c>
      <c r="K155">
        <f>IF(B155="","",IFERROR(INDEX('2.현장'!$C$2:$C$1001,IFERROR(MATCH(B155&amp;"|설계사",'2.현장'!$Z$2:$Z$1001,0),IFERROR(MATCH(B155&amp;"|시공사",'2.현장'!$Z$2:$Z$1001,0),MATCH(B155&amp;"|늦음",'2.현장'!$Z$2:$Z$1001,0)))),""))</f>
        <v/>
      </c>
      <c r="L155">
        <f>IF(B155="","",IFERROR(INDEX('2.현장'!$N$2:$N$1001,IFERROR(MATCH(B155&amp;"|설계사",'2.현장'!$Z$2:$Z$1001,0),IFERROR(MATCH(B155&amp;"|시공사",'2.현장'!$Z$2:$Z$1001,0),MATCH(B155&amp;"|늦음",'2.현장'!$Z$2:$Z$1001,0)))),""))</f>
        <v/>
      </c>
      <c r="M155">
        <f>IF(B155="","",IFERROR(VLOOKUP(B155,업체_메모!$A$3:$I$302,2,FALSE)&amp;"",""))</f>
        <v/>
      </c>
      <c r="N155">
        <f>IF(B155="","",IFERROR(VLOOKUP(B155,업체_메모!$A$3:$I$302,4,FALSE)&amp;"",""))</f>
        <v/>
      </c>
      <c r="O155" s="7">
        <f>IF(B155="","",IF(COUNTIF('4.방문기록'!$B$3:$B$502,B155)=0,"",_xlfn.MAXIFS('4.방문기록'!$A$3:$A$502,'4.방문기록'!$B$3:$B$502,B155)))</f>
        <v/>
      </c>
      <c r="P155">
        <f>IF(O155="","",설정!$B$24-O155)</f>
        <v/>
      </c>
      <c r="Q155" s="7">
        <f>IF(B155="","",IF(_xlfn.MAXIFS('4.방문기록'!$F$3:$F$502,'4.방문기록'!$B$3:$B$502,B155)=0,"",_xlfn.MAXIFS('4.방문기록'!$F$3:$F$502,'4.방문기록'!$B$3:$B$502,B155)))</f>
        <v/>
      </c>
      <c r="R155">
        <f>IF(O155="","",IFERROR(INDEX('4.방문기록'!$H$3:$H$502,MATCH(B155&amp;"|"&amp;(O155*1),'4.방문기록'!$I$3:$I$502,0))&amp;"",""))</f>
        <v/>
      </c>
      <c r="S155">
        <f>IF(B155="","",IF(R155="관심 없음","제외",IF(O155="","안 가봄",IF(P155&gt;=설정!$B$20,P155&amp;"일 지남","최근 방문"))))</f>
        <v/>
      </c>
      <c r="T155" s="8">
        <f>IF(B155="","",IF(S155="제외","",IF(AND(설정!$B$21&lt;&gt;"",L155&lt;&gt;설정!$B$21),"",IF(AND(Q155&lt;&gt;"",Q155&gt;N(O155),Q155&lt;=설정!$B$24+7),설정!$B$39+7-(Q155-설정!$B$24),IF(AND(G155&gt;0,OR(S155="안 가봄",RIGHT(S155,2)="지남")),G155+IF(O155="",설정!$B$36,MIN(P155,60)*설정!$B$37)+MIN(N(H155)/1000*설정!$B$38,20),"")))))</f>
        <v/>
      </c>
      <c r="U155">
        <f>IF(T155="","",COUNTIF(T$4:T$303,"&gt;"&amp;T155)+COUNTIF(T$4:T155,T155))</f>
        <v/>
      </c>
    </row>
    <row r="156">
      <c r="A156">
        <f>IF(B156="","",153)</f>
        <v/>
      </c>
      <c r="B156">
        <f>IFERROR(INDEX('2.현장'!$V$2:$V$1001,MATCH(153,'2.현장'!$W$2:$W$1001,0)),"")</f>
        <v/>
      </c>
      <c r="C156">
        <f>IF(B156="","",COUNTIFS('2.현장'!$V$2:$V$1001,B156,'2.현장'!$T$2:$T$1001,TRUE))</f>
        <v/>
      </c>
      <c r="D156">
        <f>IF(B156="","",COUNTIFS('2.현장'!$V$2:$V$1001,B156,'2.현장'!$U$2:$U$1001,"설계사"))</f>
        <v/>
      </c>
      <c r="E156">
        <f>IF(B156="","",COUNTIFS('2.현장'!$V$2:$V$1001,B156,'2.현장'!$U$2:$U$1001,"시공사"))</f>
        <v/>
      </c>
      <c r="F156">
        <f>IF(B156="","",COUNTIFS('2.현장'!$V$2:$V$1001,B156,'2.현장'!$T$2:$T$1001,TRUE,'2.현장'!$AA$2:$AA$1001,"★"))</f>
        <v/>
      </c>
      <c r="G156" s="6">
        <f>IF(B156="","",SUMIFS('2.현장'!$AB$2:$AB$1001,'2.현장'!$V$2:$V$1001,B156,'2.현장'!$T$2:$T$1001,TRUE))</f>
        <v/>
      </c>
      <c r="H156" s="5">
        <f>IF(B156="","",_xlfn.MAXIFS('2.현장'!$D$2:$D$1001,'2.현장'!$V$2:$V$1001,B156,'2.현장'!$T$2:$T$1001,TRUE))</f>
        <v/>
      </c>
      <c r="I156" s="7">
        <f>IF(B156="","",IF(_xlfn.MAXIFS('2.현장'!$L$2:$L$1001,'2.현장'!$V$2:$V$1001,B156,'2.현장'!$T$2:$T$1001,TRUE)=0,"",_xlfn.MAXIFS('2.현장'!$L$2:$L$1001,'2.현장'!$V$2:$V$1001,B156,'2.현장'!$T$2:$T$1001,TRUE)))</f>
        <v/>
      </c>
      <c r="J156" s="7">
        <f>IF(B156="","",IF(_xlfn.MAXIFS('2.현장'!$M$2:$M$1001,'2.현장'!$V$2:$V$1001,B156,'2.현장'!$T$2:$T$1001,TRUE)=0,"",_xlfn.MAXIFS('2.현장'!$M$2:$M$1001,'2.현장'!$V$2:$V$1001,B156,'2.현장'!$T$2:$T$1001,TRUE)))</f>
        <v/>
      </c>
      <c r="K156">
        <f>IF(B156="","",IFERROR(INDEX('2.현장'!$C$2:$C$1001,IFERROR(MATCH(B156&amp;"|설계사",'2.현장'!$Z$2:$Z$1001,0),IFERROR(MATCH(B156&amp;"|시공사",'2.현장'!$Z$2:$Z$1001,0),MATCH(B156&amp;"|늦음",'2.현장'!$Z$2:$Z$1001,0)))),""))</f>
        <v/>
      </c>
      <c r="L156">
        <f>IF(B156="","",IFERROR(INDEX('2.현장'!$N$2:$N$1001,IFERROR(MATCH(B156&amp;"|설계사",'2.현장'!$Z$2:$Z$1001,0),IFERROR(MATCH(B156&amp;"|시공사",'2.현장'!$Z$2:$Z$1001,0),MATCH(B156&amp;"|늦음",'2.현장'!$Z$2:$Z$1001,0)))),""))</f>
        <v/>
      </c>
      <c r="M156">
        <f>IF(B156="","",IFERROR(VLOOKUP(B156,업체_메모!$A$3:$I$302,2,FALSE)&amp;"",""))</f>
        <v/>
      </c>
      <c r="N156">
        <f>IF(B156="","",IFERROR(VLOOKUP(B156,업체_메모!$A$3:$I$302,4,FALSE)&amp;"",""))</f>
        <v/>
      </c>
      <c r="O156" s="7">
        <f>IF(B156="","",IF(COUNTIF('4.방문기록'!$B$3:$B$502,B156)=0,"",_xlfn.MAXIFS('4.방문기록'!$A$3:$A$502,'4.방문기록'!$B$3:$B$502,B156)))</f>
        <v/>
      </c>
      <c r="P156">
        <f>IF(O156="","",설정!$B$24-O156)</f>
        <v/>
      </c>
      <c r="Q156" s="7">
        <f>IF(B156="","",IF(_xlfn.MAXIFS('4.방문기록'!$F$3:$F$502,'4.방문기록'!$B$3:$B$502,B156)=0,"",_xlfn.MAXIFS('4.방문기록'!$F$3:$F$502,'4.방문기록'!$B$3:$B$502,B156)))</f>
        <v/>
      </c>
      <c r="R156">
        <f>IF(O156="","",IFERROR(INDEX('4.방문기록'!$H$3:$H$502,MATCH(B156&amp;"|"&amp;(O156*1),'4.방문기록'!$I$3:$I$502,0))&amp;"",""))</f>
        <v/>
      </c>
      <c r="S156">
        <f>IF(B156="","",IF(R156="관심 없음","제외",IF(O156="","안 가봄",IF(P156&gt;=설정!$B$20,P156&amp;"일 지남","최근 방문"))))</f>
        <v/>
      </c>
      <c r="T156" s="8">
        <f>IF(B156="","",IF(S156="제외","",IF(AND(설정!$B$21&lt;&gt;"",L156&lt;&gt;설정!$B$21),"",IF(AND(Q156&lt;&gt;"",Q156&gt;N(O156),Q156&lt;=설정!$B$24+7),설정!$B$39+7-(Q156-설정!$B$24),IF(AND(G156&gt;0,OR(S156="안 가봄",RIGHT(S156,2)="지남")),G156+IF(O156="",설정!$B$36,MIN(P156,60)*설정!$B$37)+MIN(N(H156)/1000*설정!$B$38,20),"")))))</f>
        <v/>
      </c>
      <c r="U156">
        <f>IF(T156="","",COUNTIF(T$4:T$303,"&gt;"&amp;T156)+COUNTIF(T$4:T156,T156))</f>
        <v/>
      </c>
    </row>
    <row r="157">
      <c r="A157">
        <f>IF(B157="","",154)</f>
        <v/>
      </c>
      <c r="B157">
        <f>IFERROR(INDEX('2.현장'!$V$2:$V$1001,MATCH(154,'2.현장'!$W$2:$W$1001,0)),"")</f>
        <v/>
      </c>
      <c r="C157">
        <f>IF(B157="","",COUNTIFS('2.현장'!$V$2:$V$1001,B157,'2.현장'!$T$2:$T$1001,TRUE))</f>
        <v/>
      </c>
      <c r="D157">
        <f>IF(B157="","",COUNTIFS('2.현장'!$V$2:$V$1001,B157,'2.현장'!$U$2:$U$1001,"설계사"))</f>
        <v/>
      </c>
      <c r="E157">
        <f>IF(B157="","",COUNTIFS('2.현장'!$V$2:$V$1001,B157,'2.현장'!$U$2:$U$1001,"시공사"))</f>
        <v/>
      </c>
      <c r="F157">
        <f>IF(B157="","",COUNTIFS('2.현장'!$V$2:$V$1001,B157,'2.현장'!$T$2:$T$1001,TRUE,'2.현장'!$AA$2:$AA$1001,"★"))</f>
        <v/>
      </c>
      <c r="G157" s="6">
        <f>IF(B157="","",SUMIFS('2.현장'!$AB$2:$AB$1001,'2.현장'!$V$2:$V$1001,B157,'2.현장'!$T$2:$T$1001,TRUE))</f>
        <v/>
      </c>
      <c r="H157" s="5">
        <f>IF(B157="","",_xlfn.MAXIFS('2.현장'!$D$2:$D$1001,'2.현장'!$V$2:$V$1001,B157,'2.현장'!$T$2:$T$1001,TRUE))</f>
        <v/>
      </c>
      <c r="I157" s="7">
        <f>IF(B157="","",IF(_xlfn.MAXIFS('2.현장'!$L$2:$L$1001,'2.현장'!$V$2:$V$1001,B157,'2.현장'!$T$2:$T$1001,TRUE)=0,"",_xlfn.MAXIFS('2.현장'!$L$2:$L$1001,'2.현장'!$V$2:$V$1001,B157,'2.현장'!$T$2:$T$1001,TRUE)))</f>
        <v/>
      </c>
      <c r="J157" s="7">
        <f>IF(B157="","",IF(_xlfn.MAXIFS('2.현장'!$M$2:$M$1001,'2.현장'!$V$2:$V$1001,B157,'2.현장'!$T$2:$T$1001,TRUE)=0,"",_xlfn.MAXIFS('2.현장'!$M$2:$M$1001,'2.현장'!$V$2:$V$1001,B157,'2.현장'!$T$2:$T$1001,TRUE)))</f>
        <v/>
      </c>
      <c r="K157">
        <f>IF(B157="","",IFERROR(INDEX('2.현장'!$C$2:$C$1001,IFERROR(MATCH(B157&amp;"|설계사",'2.현장'!$Z$2:$Z$1001,0),IFERROR(MATCH(B157&amp;"|시공사",'2.현장'!$Z$2:$Z$1001,0),MATCH(B157&amp;"|늦음",'2.현장'!$Z$2:$Z$1001,0)))),""))</f>
        <v/>
      </c>
      <c r="L157">
        <f>IF(B157="","",IFERROR(INDEX('2.현장'!$N$2:$N$1001,IFERROR(MATCH(B157&amp;"|설계사",'2.현장'!$Z$2:$Z$1001,0),IFERROR(MATCH(B157&amp;"|시공사",'2.현장'!$Z$2:$Z$1001,0),MATCH(B157&amp;"|늦음",'2.현장'!$Z$2:$Z$1001,0)))),""))</f>
        <v/>
      </c>
      <c r="M157">
        <f>IF(B157="","",IFERROR(VLOOKUP(B157,업체_메모!$A$3:$I$302,2,FALSE)&amp;"",""))</f>
        <v/>
      </c>
      <c r="N157">
        <f>IF(B157="","",IFERROR(VLOOKUP(B157,업체_메모!$A$3:$I$302,4,FALSE)&amp;"",""))</f>
        <v/>
      </c>
      <c r="O157" s="7">
        <f>IF(B157="","",IF(COUNTIF('4.방문기록'!$B$3:$B$502,B157)=0,"",_xlfn.MAXIFS('4.방문기록'!$A$3:$A$502,'4.방문기록'!$B$3:$B$502,B157)))</f>
        <v/>
      </c>
      <c r="P157">
        <f>IF(O157="","",설정!$B$24-O157)</f>
        <v/>
      </c>
      <c r="Q157" s="7">
        <f>IF(B157="","",IF(_xlfn.MAXIFS('4.방문기록'!$F$3:$F$502,'4.방문기록'!$B$3:$B$502,B157)=0,"",_xlfn.MAXIFS('4.방문기록'!$F$3:$F$502,'4.방문기록'!$B$3:$B$502,B157)))</f>
        <v/>
      </c>
      <c r="R157">
        <f>IF(O157="","",IFERROR(INDEX('4.방문기록'!$H$3:$H$502,MATCH(B157&amp;"|"&amp;(O157*1),'4.방문기록'!$I$3:$I$502,0))&amp;"",""))</f>
        <v/>
      </c>
      <c r="S157">
        <f>IF(B157="","",IF(R157="관심 없음","제외",IF(O157="","안 가봄",IF(P157&gt;=설정!$B$20,P157&amp;"일 지남","최근 방문"))))</f>
        <v/>
      </c>
      <c r="T157" s="8">
        <f>IF(B157="","",IF(S157="제외","",IF(AND(설정!$B$21&lt;&gt;"",L157&lt;&gt;설정!$B$21),"",IF(AND(Q157&lt;&gt;"",Q157&gt;N(O157),Q157&lt;=설정!$B$24+7),설정!$B$39+7-(Q157-설정!$B$24),IF(AND(G157&gt;0,OR(S157="안 가봄",RIGHT(S157,2)="지남")),G157+IF(O157="",설정!$B$36,MIN(P157,60)*설정!$B$37)+MIN(N(H157)/1000*설정!$B$38,20),"")))))</f>
        <v/>
      </c>
      <c r="U157">
        <f>IF(T157="","",COUNTIF(T$4:T$303,"&gt;"&amp;T157)+COUNTIF(T$4:T157,T157))</f>
        <v/>
      </c>
    </row>
    <row r="158">
      <c r="A158">
        <f>IF(B158="","",155)</f>
        <v/>
      </c>
      <c r="B158">
        <f>IFERROR(INDEX('2.현장'!$V$2:$V$1001,MATCH(155,'2.현장'!$W$2:$W$1001,0)),"")</f>
        <v/>
      </c>
      <c r="C158">
        <f>IF(B158="","",COUNTIFS('2.현장'!$V$2:$V$1001,B158,'2.현장'!$T$2:$T$1001,TRUE))</f>
        <v/>
      </c>
      <c r="D158">
        <f>IF(B158="","",COUNTIFS('2.현장'!$V$2:$V$1001,B158,'2.현장'!$U$2:$U$1001,"설계사"))</f>
        <v/>
      </c>
      <c r="E158">
        <f>IF(B158="","",COUNTIFS('2.현장'!$V$2:$V$1001,B158,'2.현장'!$U$2:$U$1001,"시공사"))</f>
        <v/>
      </c>
      <c r="F158">
        <f>IF(B158="","",COUNTIFS('2.현장'!$V$2:$V$1001,B158,'2.현장'!$T$2:$T$1001,TRUE,'2.현장'!$AA$2:$AA$1001,"★"))</f>
        <v/>
      </c>
      <c r="G158" s="6">
        <f>IF(B158="","",SUMIFS('2.현장'!$AB$2:$AB$1001,'2.현장'!$V$2:$V$1001,B158,'2.현장'!$T$2:$T$1001,TRUE))</f>
        <v/>
      </c>
      <c r="H158" s="5">
        <f>IF(B158="","",_xlfn.MAXIFS('2.현장'!$D$2:$D$1001,'2.현장'!$V$2:$V$1001,B158,'2.현장'!$T$2:$T$1001,TRUE))</f>
        <v/>
      </c>
      <c r="I158" s="7">
        <f>IF(B158="","",IF(_xlfn.MAXIFS('2.현장'!$L$2:$L$1001,'2.현장'!$V$2:$V$1001,B158,'2.현장'!$T$2:$T$1001,TRUE)=0,"",_xlfn.MAXIFS('2.현장'!$L$2:$L$1001,'2.현장'!$V$2:$V$1001,B158,'2.현장'!$T$2:$T$1001,TRUE)))</f>
        <v/>
      </c>
      <c r="J158" s="7">
        <f>IF(B158="","",IF(_xlfn.MAXIFS('2.현장'!$M$2:$M$1001,'2.현장'!$V$2:$V$1001,B158,'2.현장'!$T$2:$T$1001,TRUE)=0,"",_xlfn.MAXIFS('2.현장'!$M$2:$M$1001,'2.현장'!$V$2:$V$1001,B158,'2.현장'!$T$2:$T$1001,TRUE)))</f>
        <v/>
      </c>
      <c r="K158">
        <f>IF(B158="","",IFERROR(INDEX('2.현장'!$C$2:$C$1001,IFERROR(MATCH(B158&amp;"|설계사",'2.현장'!$Z$2:$Z$1001,0),IFERROR(MATCH(B158&amp;"|시공사",'2.현장'!$Z$2:$Z$1001,0),MATCH(B158&amp;"|늦음",'2.현장'!$Z$2:$Z$1001,0)))),""))</f>
        <v/>
      </c>
      <c r="L158">
        <f>IF(B158="","",IFERROR(INDEX('2.현장'!$N$2:$N$1001,IFERROR(MATCH(B158&amp;"|설계사",'2.현장'!$Z$2:$Z$1001,0),IFERROR(MATCH(B158&amp;"|시공사",'2.현장'!$Z$2:$Z$1001,0),MATCH(B158&amp;"|늦음",'2.현장'!$Z$2:$Z$1001,0)))),""))</f>
        <v/>
      </c>
      <c r="M158">
        <f>IF(B158="","",IFERROR(VLOOKUP(B158,업체_메모!$A$3:$I$302,2,FALSE)&amp;"",""))</f>
        <v/>
      </c>
      <c r="N158">
        <f>IF(B158="","",IFERROR(VLOOKUP(B158,업체_메모!$A$3:$I$302,4,FALSE)&amp;"",""))</f>
        <v/>
      </c>
      <c r="O158" s="7">
        <f>IF(B158="","",IF(COUNTIF('4.방문기록'!$B$3:$B$502,B158)=0,"",_xlfn.MAXIFS('4.방문기록'!$A$3:$A$502,'4.방문기록'!$B$3:$B$502,B158)))</f>
        <v/>
      </c>
      <c r="P158">
        <f>IF(O158="","",설정!$B$24-O158)</f>
        <v/>
      </c>
      <c r="Q158" s="7">
        <f>IF(B158="","",IF(_xlfn.MAXIFS('4.방문기록'!$F$3:$F$502,'4.방문기록'!$B$3:$B$502,B158)=0,"",_xlfn.MAXIFS('4.방문기록'!$F$3:$F$502,'4.방문기록'!$B$3:$B$502,B158)))</f>
        <v/>
      </c>
      <c r="R158">
        <f>IF(O158="","",IFERROR(INDEX('4.방문기록'!$H$3:$H$502,MATCH(B158&amp;"|"&amp;(O158*1),'4.방문기록'!$I$3:$I$502,0))&amp;"",""))</f>
        <v/>
      </c>
      <c r="S158">
        <f>IF(B158="","",IF(R158="관심 없음","제외",IF(O158="","안 가봄",IF(P158&gt;=설정!$B$20,P158&amp;"일 지남","최근 방문"))))</f>
        <v/>
      </c>
      <c r="T158" s="8">
        <f>IF(B158="","",IF(S158="제외","",IF(AND(설정!$B$21&lt;&gt;"",L158&lt;&gt;설정!$B$21),"",IF(AND(Q158&lt;&gt;"",Q158&gt;N(O158),Q158&lt;=설정!$B$24+7),설정!$B$39+7-(Q158-설정!$B$24),IF(AND(G158&gt;0,OR(S158="안 가봄",RIGHT(S158,2)="지남")),G158+IF(O158="",설정!$B$36,MIN(P158,60)*설정!$B$37)+MIN(N(H158)/1000*설정!$B$38,20),"")))))</f>
        <v/>
      </c>
      <c r="U158">
        <f>IF(T158="","",COUNTIF(T$4:T$303,"&gt;"&amp;T158)+COUNTIF(T$4:T158,T158))</f>
        <v/>
      </c>
    </row>
    <row r="159">
      <c r="A159">
        <f>IF(B159="","",156)</f>
        <v/>
      </c>
      <c r="B159">
        <f>IFERROR(INDEX('2.현장'!$V$2:$V$1001,MATCH(156,'2.현장'!$W$2:$W$1001,0)),"")</f>
        <v/>
      </c>
      <c r="C159">
        <f>IF(B159="","",COUNTIFS('2.현장'!$V$2:$V$1001,B159,'2.현장'!$T$2:$T$1001,TRUE))</f>
        <v/>
      </c>
      <c r="D159">
        <f>IF(B159="","",COUNTIFS('2.현장'!$V$2:$V$1001,B159,'2.현장'!$U$2:$U$1001,"설계사"))</f>
        <v/>
      </c>
      <c r="E159">
        <f>IF(B159="","",COUNTIFS('2.현장'!$V$2:$V$1001,B159,'2.현장'!$U$2:$U$1001,"시공사"))</f>
        <v/>
      </c>
      <c r="F159">
        <f>IF(B159="","",COUNTIFS('2.현장'!$V$2:$V$1001,B159,'2.현장'!$T$2:$T$1001,TRUE,'2.현장'!$AA$2:$AA$1001,"★"))</f>
        <v/>
      </c>
      <c r="G159" s="6">
        <f>IF(B159="","",SUMIFS('2.현장'!$AB$2:$AB$1001,'2.현장'!$V$2:$V$1001,B159,'2.현장'!$T$2:$T$1001,TRUE))</f>
        <v/>
      </c>
      <c r="H159" s="5">
        <f>IF(B159="","",_xlfn.MAXIFS('2.현장'!$D$2:$D$1001,'2.현장'!$V$2:$V$1001,B159,'2.현장'!$T$2:$T$1001,TRUE))</f>
        <v/>
      </c>
      <c r="I159" s="7">
        <f>IF(B159="","",IF(_xlfn.MAXIFS('2.현장'!$L$2:$L$1001,'2.현장'!$V$2:$V$1001,B159,'2.현장'!$T$2:$T$1001,TRUE)=0,"",_xlfn.MAXIFS('2.현장'!$L$2:$L$1001,'2.현장'!$V$2:$V$1001,B159,'2.현장'!$T$2:$T$1001,TRUE)))</f>
        <v/>
      </c>
      <c r="J159" s="7">
        <f>IF(B159="","",IF(_xlfn.MAXIFS('2.현장'!$M$2:$M$1001,'2.현장'!$V$2:$V$1001,B159,'2.현장'!$T$2:$T$1001,TRUE)=0,"",_xlfn.MAXIFS('2.현장'!$M$2:$M$1001,'2.현장'!$V$2:$V$1001,B159,'2.현장'!$T$2:$T$1001,TRUE)))</f>
        <v/>
      </c>
      <c r="K159">
        <f>IF(B159="","",IFERROR(INDEX('2.현장'!$C$2:$C$1001,IFERROR(MATCH(B159&amp;"|설계사",'2.현장'!$Z$2:$Z$1001,0),IFERROR(MATCH(B159&amp;"|시공사",'2.현장'!$Z$2:$Z$1001,0),MATCH(B159&amp;"|늦음",'2.현장'!$Z$2:$Z$1001,0)))),""))</f>
        <v/>
      </c>
      <c r="L159">
        <f>IF(B159="","",IFERROR(INDEX('2.현장'!$N$2:$N$1001,IFERROR(MATCH(B159&amp;"|설계사",'2.현장'!$Z$2:$Z$1001,0),IFERROR(MATCH(B159&amp;"|시공사",'2.현장'!$Z$2:$Z$1001,0),MATCH(B159&amp;"|늦음",'2.현장'!$Z$2:$Z$1001,0)))),""))</f>
        <v/>
      </c>
      <c r="M159">
        <f>IF(B159="","",IFERROR(VLOOKUP(B159,업체_메모!$A$3:$I$302,2,FALSE)&amp;"",""))</f>
        <v/>
      </c>
      <c r="N159">
        <f>IF(B159="","",IFERROR(VLOOKUP(B159,업체_메모!$A$3:$I$302,4,FALSE)&amp;"",""))</f>
        <v/>
      </c>
      <c r="O159" s="7">
        <f>IF(B159="","",IF(COUNTIF('4.방문기록'!$B$3:$B$502,B159)=0,"",_xlfn.MAXIFS('4.방문기록'!$A$3:$A$502,'4.방문기록'!$B$3:$B$502,B159)))</f>
        <v/>
      </c>
      <c r="P159">
        <f>IF(O159="","",설정!$B$24-O159)</f>
        <v/>
      </c>
      <c r="Q159" s="7">
        <f>IF(B159="","",IF(_xlfn.MAXIFS('4.방문기록'!$F$3:$F$502,'4.방문기록'!$B$3:$B$502,B159)=0,"",_xlfn.MAXIFS('4.방문기록'!$F$3:$F$502,'4.방문기록'!$B$3:$B$502,B159)))</f>
        <v/>
      </c>
      <c r="R159">
        <f>IF(O159="","",IFERROR(INDEX('4.방문기록'!$H$3:$H$502,MATCH(B159&amp;"|"&amp;(O159*1),'4.방문기록'!$I$3:$I$502,0))&amp;"",""))</f>
        <v/>
      </c>
      <c r="S159">
        <f>IF(B159="","",IF(R159="관심 없음","제외",IF(O159="","안 가봄",IF(P159&gt;=설정!$B$20,P159&amp;"일 지남","최근 방문"))))</f>
        <v/>
      </c>
      <c r="T159" s="8">
        <f>IF(B159="","",IF(S159="제외","",IF(AND(설정!$B$21&lt;&gt;"",L159&lt;&gt;설정!$B$21),"",IF(AND(Q159&lt;&gt;"",Q159&gt;N(O159),Q159&lt;=설정!$B$24+7),설정!$B$39+7-(Q159-설정!$B$24),IF(AND(G159&gt;0,OR(S159="안 가봄",RIGHT(S159,2)="지남")),G159+IF(O159="",설정!$B$36,MIN(P159,60)*설정!$B$37)+MIN(N(H159)/1000*설정!$B$38,20),"")))))</f>
        <v/>
      </c>
      <c r="U159">
        <f>IF(T159="","",COUNTIF(T$4:T$303,"&gt;"&amp;T159)+COUNTIF(T$4:T159,T159))</f>
        <v/>
      </c>
    </row>
    <row r="160">
      <c r="A160">
        <f>IF(B160="","",157)</f>
        <v/>
      </c>
      <c r="B160">
        <f>IFERROR(INDEX('2.현장'!$V$2:$V$1001,MATCH(157,'2.현장'!$W$2:$W$1001,0)),"")</f>
        <v/>
      </c>
      <c r="C160">
        <f>IF(B160="","",COUNTIFS('2.현장'!$V$2:$V$1001,B160,'2.현장'!$T$2:$T$1001,TRUE))</f>
        <v/>
      </c>
      <c r="D160">
        <f>IF(B160="","",COUNTIFS('2.현장'!$V$2:$V$1001,B160,'2.현장'!$U$2:$U$1001,"설계사"))</f>
        <v/>
      </c>
      <c r="E160">
        <f>IF(B160="","",COUNTIFS('2.현장'!$V$2:$V$1001,B160,'2.현장'!$U$2:$U$1001,"시공사"))</f>
        <v/>
      </c>
      <c r="F160">
        <f>IF(B160="","",COUNTIFS('2.현장'!$V$2:$V$1001,B160,'2.현장'!$T$2:$T$1001,TRUE,'2.현장'!$AA$2:$AA$1001,"★"))</f>
        <v/>
      </c>
      <c r="G160" s="6">
        <f>IF(B160="","",SUMIFS('2.현장'!$AB$2:$AB$1001,'2.현장'!$V$2:$V$1001,B160,'2.현장'!$T$2:$T$1001,TRUE))</f>
        <v/>
      </c>
      <c r="H160" s="5">
        <f>IF(B160="","",_xlfn.MAXIFS('2.현장'!$D$2:$D$1001,'2.현장'!$V$2:$V$1001,B160,'2.현장'!$T$2:$T$1001,TRUE))</f>
        <v/>
      </c>
      <c r="I160" s="7">
        <f>IF(B160="","",IF(_xlfn.MAXIFS('2.현장'!$L$2:$L$1001,'2.현장'!$V$2:$V$1001,B160,'2.현장'!$T$2:$T$1001,TRUE)=0,"",_xlfn.MAXIFS('2.현장'!$L$2:$L$1001,'2.현장'!$V$2:$V$1001,B160,'2.현장'!$T$2:$T$1001,TRUE)))</f>
        <v/>
      </c>
      <c r="J160" s="7">
        <f>IF(B160="","",IF(_xlfn.MAXIFS('2.현장'!$M$2:$M$1001,'2.현장'!$V$2:$V$1001,B160,'2.현장'!$T$2:$T$1001,TRUE)=0,"",_xlfn.MAXIFS('2.현장'!$M$2:$M$1001,'2.현장'!$V$2:$V$1001,B160,'2.현장'!$T$2:$T$1001,TRUE)))</f>
        <v/>
      </c>
      <c r="K160">
        <f>IF(B160="","",IFERROR(INDEX('2.현장'!$C$2:$C$1001,IFERROR(MATCH(B160&amp;"|설계사",'2.현장'!$Z$2:$Z$1001,0),IFERROR(MATCH(B160&amp;"|시공사",'2.현장'!$Z$2:$Z$1001,0),MATCH(B160&amp;"|늦음",'2.현장'!$Z$2:$Z$1001,0)))),""))</f>
        <v/>
      </c>
      <c r="L160">
        <f>IF(B160="","",IFERROR(INDEX('2.현장'!$N$2:$N$1001,IFERROR(MATCH(B160&amp;"|설계사",'2.현장'!$Z$2:$Z$1001,0),IFERROR(MATCH(B160&amp;"|시공사",'2.현장'!$Z$2:$Z$1001,0),MATCH(B160&amp;"|늦음",'2.현장'!$Z$2:$Z$1001,0)))),""))</f>
        <v/>
      </c>
      <c r="M160">
        <f>IF(B160="","",IFERROR(VLOOKUP(B160,업체_메모!$A$3:$I$302,2,FALSE)&amp;"",""))</f>
        <v/>
      </c>
      <c r="N160">
        <f>IF(B160="","",IFERROR(VLOOKUP(B160,업체_메모!$A$3:$I$302,4,FALSE)&amp;"",""))</f>
        <v/>
      </c>
      <c r="O160" s="7">
        <f>IF(B160="","",IF(COUNTIF('4.방문기록'!$B$3:$B$502,B160)=0,"",_xlfn.MAXIFS('4.방문기록'!$A$3:$A$502,'4.방문기록'!$B$3:$B$502,B160)))</f>
        <v/>
      </c>
      <c r="P160">
        <f>IF(O160="","",설정!$B$24-O160)</f>
        <v/>
      </c>
      <c r="Q160" s="7">
        <f>IF(B160="","",IF(_xlfn.MAXIFS('4.방문기록'!$F$3:$F$502,'4.방문기록'!$B$3:$B$502,B160)=0,"",_xlfn.MAXIFS('4.방문기록'!$F$3:$F$502,'4.방문기록'!$B$3:$B$502,B160)))</f>
        <v/>
      </c>
      <c r="R160">
        <f>IF(O160="","",IFERROR(INDEX('4.방문기록'!$H$3:$H$502,MATCH(B160&amp;"|"&amp;(O160*1),'4.방문기록'!$I$3:$I$502,0))&amp;"",""))</f>
        <v/>
      </c>
      <c r="S160">
        <f>IF(B160="","",IF(R160="관심 없음","제외",IF(O160="","안 가봄",IF(P160&gt;=설정!$B$20,P160&amp;"일 지남","최근 방문"))))</f>
        <v/>
      </c>
      <c r="T160" s="8">
        <f>IF(B160="","",IF(S160="제외","",IF(AND(설정!$B$21&lt;&gt;"",L160&lt;&gt;설정!$B$21),"",IF(AND(Q160&lt;&gt;"",Q160&gt;N(O160),Q160&lt;=설정!$B$24+7),설정!$B$39+7-(Q160-설정!$B$24),IF(AND(G160&gt;0,OR(S160="안 가봄",RIGHT(S160,2)="지남")),G160+IF(O160="",설정!$B$36,MIN(P160,60)*설정!$B$37)+MIN(N(H160)/1000*설정!$B$38,20),"")))))</f>
        <v/>
      </c>
      <c r="U160">
        <f>IF(T160="","",COUNTIF(T$4:T$303,"&gt;"&amp;T160)+COUNTIF(T$4:T160,T160))</f>
        <v/>
      </c>
    </row>
    <row r="161">
      <c r="A161">
        <f>IF(B161="","",158)</f>
        <v/>
      </c>
      <c r="B161">
        <f>IFERROR(INDEX('2.현장'!$V$2:$V$1001,MATCH(158,'2.현장'!$W$2:$W$1001,0)),"")</f>
        <v/>
      </c>
      <c r="C161">
        <f>IF(B161="","",COUNTIFS('2.현장'!$V$2:$V$1001,B161,'2.현장'!$T$2:$T$1001,TRUE))</f>
        <v/>
      </c>
      <c r="D161">
        <f>IF(B161="","",COUNTIFS('2.현장'!$V$2:$V$1001,B161,'2.현장'!$U$2:$U$1001,"설계사"))</f>
        <v/>
      </c>
      <c r="E161">
        <f>IF(B161="","",COUNTIFS('2.현장'!$V$2:$V$1001,B161,'2.현장'!$U$2:$U$1001,"시공사"))</f>
        <v/>
      </c>
      <c r="F161">
        <f>IF(B161="","",COUNTIFS('2.현장'!$V$2:$V$1001,B161,'2.현장'!$T$2:$T$1001,TRUE,'2.현장'!$AA$2:$AA$1001,"★"))</f>
        <v/>
      </c>
      <c r="G161" s="6">
        <f>IF(B161="","",SUMIFS('2.현장'!$AB$2:$AB$1001,'2.현장'!$V$2:$V$1001,B161,'2.현장'!$T$2:$T$1001,TRUE))</f>
        <v/>
      </c>
      <c r="H161" s="5">
        <f>IF(B161="","",_xlfn.MAXIFS('2.현장'!$D$2:$D$1001,'2.현장'!$V$2:$V$1001,B161,'2.현장'!$T$2:$T$1001,TRUE))</f>
        <v/>
      </c>
      <c r="I161" s="7">
        <f>IF(B161="","",IF(_xlfn.MAXIFS('2.현장'!$L$2:$L$1001,'2.현장'!$V$2:$V$1001,B161,'2.현장'!$T$2:$T$1001,TRUE)=0,"",_xlfn.MAXIFS('2.현장'!$L$2:$L$1001,'2.현장'!$V$2:$V$1001,B161,'2.현장'!$T$2:$T$1001,TRUE)))</f>
        <v/>
      </c>
      <c r="J161" s="7">
        <f>IF(B161="","",IF(_xlfn.MAXIFS('2.현장'!$M$2:$M$1001,'2.현장'!$V$2:$V$1001,B161,'2.현장'!$T$2:$T$1001,TRUE)=0,"",_xlfn.MAXIFS('2.현장'!$M$2:$M$1001,'2.현장'!$V$2:$V$1001,B161,'2.현장'!$T$2:$T$1001,TRUE)))</f>
        <v/>
      </c>
      <c r="K161">
        <f>IF(B161="","",IFERROR(INDEX('2.현장'!$C$2:$C$1001,IFERROR(MATCH(B161&amp;"|설계사",'2.현장'!$Z$2:$Z$1001,0),IFERROR(MATCH(B161&amp;"|시공사",'2.현장'!$Z$2:$Z$1001,0),MATCH(B161&amp;"|늦음",'2.현장'!$Z$2:$Z$1001,0)))),""))</f>
        <v/>
      </c>
      <c r="L161">
        <f>IF(B161="","",IFERROR(INDEX('2.현장'!$N$2:$N$1001,IFERROR(MATCH(B161&amp;"|설계사",'2.현장'!$Z$2:$Z$1001,0),IFERROR(MATCH(B161&amp;"|시공사",'2.현장'!$Z$2:$Z$1001,0),MATCH(B161&amp;"|늦음",'2.현장'!$Z$2:$Z$1001,0)))),""))</f>
        <v/>
      </c>
      <c r="M161">
        <f>IF(B161="","",IFERROR(VLOOKUP(B161,업체_메모!$A$3:$I$302,2,FALSE)&amp;"",""))</f>
        <v/>
      </c>
      <c r="N161">
        <f>IF(B161="","",IFERROR(VLOOKUP(B161,업체_메모!$A$3:$I$302,4,FALSE)&amp;"",""))</f>
        <v/>
      </c>
      <c r="O161" s="7">
        <f>IF(B161="","",IF(COUNTIF('4.방문기록'!$B$3:$B$502,B161)=0,"",_xlfn.MAXIFS('4.방문기록'!$A$3:$A$502,'4.방문기록'!$B$3:$B$502,B161)))</f>
        <v/>
      </c>
      <c r="P161">
        <f>IF(O161="","",설정!$B$24-O161)</f>
        <v/>
      </c>
      <c r="Q161" s="7">
        <f>IF(B161="","",IF(_xlfn.MAXIFS('4.방문기록'!$F$3:$F$502,'4.방문기록'!$B$3:$B$502,B161)=0,"",_xlfn.MAXIFS('4.방문기록'!$F$3:$F$502,'4.방문기록'!$B$3:$B$502,B161)))</f>
        <v/>
      </c>
      <c r="R161">
        <f>IF(O161="","",IFERROR(INDEX('4.방문기록'!$H$3:$H$502,MATCH(B161&amp;"|"&amp;(O161*1),'4.방문기록'!$I$3:$I$502,0))&amp;"",""))</f>
        <v/>
      </c>
      <c r="S161">
        <f>IF(B161="","",IF(R161="관심 없음","제외",IF(O161="","안 가봄",IF(P161&gt;=설정!$B$20,P161&amp;"일 지남","최근 방문"))))</f>
        <v/>
      </c>
      <c r="T161" s="8">
        <f>IF(B161="","",IF(S161="제외","",IF(AND(설정!$B$21&lt;&gt;"",L161&lt;&gt;설정!$B$21),"",IF(AND(Q161&lt;&gt;"",Q161&gt;N(O161),Q161&lt;=설정!$B$24+7),설정!$B$39+7-(Q161-설정!$B$24),IF(AND(G161&gt;0,OR(S161="안 가봄",RIGHT(S161,2)="지남")),G161+IF(O161="",설정!$B$36,MIN(P161,60)*설정!$B$37)+MIN(N(H161)/1000*설정!$B$38,20),"")))))</f>
        <v/>
      </c>
      <c r="U161">
        <f>IF(T161="","",COUNTIF(T$4:T$303,"&gt;"&amp;T161)+COUNTIF(T$4:T161,T161))</f>
        <v/>
      </c>
    </row>
    <row r="162">
      <c r="A162">
        <f>IF(B162="","",159)</f>
        <v/>
      </c>
      <c r="B162">
        <f>IFERROR(INDEX('2.현장'!$V$2:$V$1001,MATCH(159,'2.현장'!$W$2:$W$1001,0)),"")</f>
        <v/>
      </c>
      <c r="C162">
        <f>IF(B162="","",COUNTIFS('2.현장'!$V$2:$V$1001,B162,'2.현장'!$T$2:$T$1001,TRUE))</f>
        <v/>
      </c>
      <c r="D162">
        <f>IF(B162="","",COUNTIFS('2.현장'!$V$2:$V$1001,B162,'2.현장'!$U$2:$U$1001,"설계사"))</f>
        <v/>
      </c>
      <c r="E162">
        <f>IF(B162="","",COUNTIFS('2.현장'!$V$2:$V$1001,B162,'2.현장'!$U$2:$U$1001,"시공사"))</f>
        <v/>
      </c>
      <c r="F162">
        <f>IF(B162="","",COUNTIFS('2.현장'!$V$2:$V$1001,B162,'2.현장'!$T$2:$T$1001,TRUE,'2.현장'!$AA$2:$AA$1001,"★"))</f>
        <v/>
      </c>
      <c r="G162" s="6">
        <f>IF(B162="","",SUMIFS('2.현장'!$AB$2:$AB$1001,'2.현장'!$V$2:$V$1001,B162,'2.현장'!$T$2:$T$1001,TRUE))</f>
        <v/>
      </c>
      <c r="H162" s="5">
        <f>IF(B162="","",_xlfn.MAXIFS('2.현장'!$D$2:$D$1001,'2.현장'!$V$2:$V$1001,B162,'2.현장'!$T$2:$T$1001,TRUE))</f>
        <v/>
      </c>
      <c r="I162" s="7">
        <f>IF(B162="","",IF(_xlfn.MAXIFS('2.현장'!$L$2:$L$1001,'2.현장'!$V$2:$V$1001,B162,'2.현장'!$T$2:$T$1001,TRUE)=0,"",_xlfn.MAXIFS('2.현장'!$L$2:$L$1001,'2.현장'!$V$2:$V$1001,B162,'2.현장'!$T$2:$T$1001,TRUE)))</f>
        <v/>
      </c>
      <c r="J162" s="7">
        <f>IF(B162="","",IF(_xlfn.MAXIFS('2.현장'!$M$2:$M$1001,'2.현장'!$V$2:$V$1001,B162,'2.현장'!$T$2:$T$1001,TRUE)=0,"",_xlfn.MAXIFS('2.현장'!$M$2:$M$1001,'2.현장'!$V$2:$V$1001,B162,'2.현장'!$T$2:$T$1001,TRUE)))</f>
        <v/>
      </c>
      <c r="K162">
        <f>IF(B162="","",IFERROR(INDEX('2.현장'!$C$2:$C$1001,IFERROR(MATCH(B162&amp;"|설계사",'2.현장'!$Z$2:$Z$1001,0),IFERROR(MATCH(B162&amp;"|시공사",'2.현장'!$Z$2:$Z$1001,0),MATCH(B162&amp;"|늦음",'2.현장'!$Z$2:$Z$1001,0)))),""))</f>
        <v/>
      </c>
      <c r="L162">
        <f>IF(B162="","",IFERROR(INDEX('2.현장'!$N$2:$N$1001,IFERROR(MATCH(B162&amp;"|설계사",'2.현장'!$Z$2:$Z$1001,0),IFERROR(MATCH(B162&amp;"|시공사",'2.현장'!$Z$2:$Z$1001,0),MATCH(B162&amp;"|늦음",'2.현장'!$Z$2:$Z$1001,0)))),""))</f>
        <v/>
      </c>
      <c r="M162">
        <f>IF(B162="","",IFERROR(VLOOKUP(B162,업체_메모!$A$3:$I$302,2,FALSE)&amp;"",""))</f>
        <v/>
      </c>
      <c r="N162">
        <f>IF(B162="","",IFERROR(VLOOKUP(B162,업체_메모!$A$3:$I$302,4,FALSE)&amp;"",""))</f>
        <v/>
      </c>
      <c r="O162" s="7">
        <f>IF(B162="","",IF(COUNTIF('4.방문기록'!$B$3:$B$502,B162)=0,"",_xlfn.MAXIFS('4.방문기록'!$A$3:$A$502,'4.방문기록'!$B$3:$B$502,B162)))</f>
        <v/>
      </c>
      <c r="P162">
        <f>IF(O162="","",설정!$B$24-O162)</f>
        <v/>
      </c>
      <c r="Q162" s="7">
        <f>IF(B162="","",IF(_xlfn.MAXIFS('4.방문기록'!$F$3:$F$502,'4.방문기록'!$B$3:$B$502,B162)=0,"",_xlfn.MAXIFS('4.방문기록'!$F$3:$F$502,'4.방문기록'!$B$3:$B$502,B162)))</f>
        <v/>
      </c>
      <c r="R162">
        <f>IF(O162="","",IFERROR(INDEX('4.방문기록'!$H$3:$H$502,MATCH(B162&amp;"|"&amp;(O162*1),'4.방문기록'!$I$3:$I$502,0))&amp;"",""))</f>
        <v/>
      </c>
      <c r="S162">
        <f>IF(B162="","",IF(R162="관심 없음","제외",IF(O162="","안 가봄",IF(P162&gt;=설정!$B$20,P162&amp;"일 지남","최근 방문"))))</f>
        <v/>
      </c>
      <c r="T162" s="8">
        <f>IF(B162="","",IF(S162="제외","",IF(AND(설정!$B$21&lt;&gt;"",L162&lt;&gt;설정!$B$21),"",IF(AND(Q162&lt;&gt;"",Q162&gt;N(O162),Q162&lt;=설정!$B$24+7),설정!$B$39+7-(Q162-설정!$B$24),IF(AND(G162&gt;0,OR(S162="안 가봄",RIGHT(S162,2)="지남")),G162+IF(O162="",설정!$B$36,MIN(P162,60)*설정!$B$37)+MIN(N(H162)/1000*설정!$B$38,20),"")))))</f>
        <v/>
      </c>
      <c r="U162">
        <f>IF(T162="","",COUNTIF(T$4:T$303,"&gt;"&amp;T162)+COUNTIF(T$4:T162,T162))</f>
        <v/>
      </c>
    </row>
    <row r="163">
      <c r="A163">
        <f>IF(B163="","",160)</f>
        <v/>
      </c>
      <c r="B163">
        <f>IFERROR(INDEX('2.현장'!$V$2:$V$1001,MATCH(160,'2.현장'!$W$2:$W$1001,0)),"")</f>
        <v/>
      </c>
      <c r="C163">
        <f>IF(B163="","",COUNTIFS('2.현장'!$V$2:$V$1001,B163,'2.현장'!$T$2:$T$1001,TRUE))</f>
        <v/>
      </c>
      <c r="D163">
        <f>IF(B163="","",COUNTIFS('2.현장'!$V$2:$V$1001,B163,'2.현장'!$U$2:$U$1001,"설계사"))</f>
        <v/>
      </c>
      <c r="E163">
        <f>IF(B163="","",COUNTIFS('2.현장'!$V$2:$V$1001,B163,'2.현장'!$U$2:$U$1001,"시공사"))</f>
        <v/>
      </c>
      <c r="F163">
        <f>IF(B163="","",COUNTIFS('2.현장'!$V$2:$V$1001,B163,'2.현장'!$T$2:$T$1001,TRUE,'2.현장'!$AA$2:$AA$1001,"★"))</f>
        <v/>
      </c>
      <c r="G163" s="6">
        <f>IF(B163="","",SUMIFS('2.현장'!$AB$2:$AB$1001,'2.현장'!$V$2:$V$1001,B163,'2.현장'!$T$2:$T$1001,TRUE))</f>
        <v/>
      </c>
      <c r="H163" s="5">
        <f>IF(B163="","",_xlfn.MAXIFS('2.현장'!$D$2:$D$1001,'2.현장'!$V$2:$V$1001,B163,'2.현장'!$T$2:$T$1001,TRUE))</f>
        <v/>
      </c>
      <c r="I163" s="7">
        <f>IF(B163="","",IF(_xlfn.MAXIFS('2.현장'!$L$2:$L$1001,'2.현장'!$V$2:$V$1001,B163,'2.현장'!$T$2:$T$1001,TRUE)=0,"",_xlfn.MAXIFS('2.현장'!$L$2:$L$1001,'2.현장'!$V$2:$V$1001,B163,'2.현장'!$T$2:$T$1001,TRUE)))</f>
        <v/>
      </c>
      <c r="J163" s="7">
        <f>IF(B163="","",IF(_xlfn.MAXIFS('2.현장'!$M$2:$M$1001,'2.현장'!$V$2:$V$1001,B163,'2.현장'!$T$2:$T$1001,TRUE)=0,"",_xlfn.MAXIFS('2.현장'!$M$2:$M$1001,'2.현장'!$V$2:$V$1001,B163,'2.현장'!$T$2:$T$1001,TRUE)))</f>
        <v/>
      </c>
      <c r="K163">
        <f>IF(B163="","",IFERROR(INDEX('2.현장'!$C$2:$C$1001,IFERROR(MATCH(B163&amp;"|설계사",'2.현장'!$Z$2:$Z$1001,0),IFERROR(MATCH(B163&amp;"|시공사",'2.현장'!$Z$2:$Z$1001,0),MATCH(B163&amp;"|늦음",'2.현장'!$Z$2:$Z$1001,0)))),""))</f>
        <v/>
      </c>
      <c r="L163">
        <f>IF(B163="","",IFERROR(INDEX('2.현장'!$N$2:$N$1001,IFERROR(MATCH(B163&amp;"|설계사",'2.현장'!$Z$2:$Z$1001,0),IFERROR(MATCH(B163&amp;"|시공사",'2.현장'!$Z$2:$Z$1001,0),MATCH(B163&amp;"|늦음",'2.현장'!$Z$2:$Z$1001,0)))),""))</f>
        <v/>
      </c>
      <c r="M163">
        <f>IF(B163="","",IFERROR(VLOOKUP(B163,업체_메모!$A$3:$I$302,2,FALSE)&amp;"",""))</f>
        <v/>
      </c>
      <c r="N163">
        <f>IF(B163="","",IFERROR(VLOOKUP(B163,업체_메모!$A$3:$I$302,4,FALSE)&amp;"",""))</f>
        <v/>
      </c>
      <c r="O163" s="7">
        <f>IF(B163="","",IF(COUNTIF('4.방문기록'!$B$3:$B$502,B163)=0,"",_xlfn.MAXIFS('4.방문기록'!$A$3:$A$502,'4.방문기록'!$B$3:$B$502,B163)))</f>
        <v/>
      </c>
      <c r="P163">
        <f>IF(O163="","",설정!$B$24-O163)</f>
        <v/>
      </c>
      <c r="Q163" s="7">
        <f>IF(B163="","",IF(_xlfn.MAXIFS('4.방문기록'!$F$3:$F$502,'4.방문기록'!$B$3:$B$502,B163)=0,"",_xlfn.MAXIFS('4.방문기록'!$F$3:$F$502,'4.방문기록'!$B$3:$B$502,B163)))</f>
        <v/>
      </c>
      <c r="R163">
        <f>IF(O163="","",IFERROR(INDEX('4.방문기록'!$H$3:$H$502,MATCH(B163&amp;"|"&amp;(O163*1),'4.방문기록'!$I$3:$I$502,0))&amp;"",""))</f>
        <v/>
      </c>
      <c r="S163">
        <f>IF(B163="","",IF(R163="관심 없음","제외",IF(O163="","안 가봄",IF(P163&gt;=설정!$B$20,P163&amp;"일 지남","최근 방문"))))</f>
        <v/>
      </c>
      <c r="T163" s="8">
        <f>IF(B163="","",IF(S163="제외","",IF(AND(설정!$B$21&lt;&gt;"",L163&lt;&gt;설정!$B$21),"",IF(AND(Q163&lt;&gt;"",Q163&gt;N(O163),Q163&lt;=설정!$B$24+7),설정!$B$39+7-(Q163-설정!$B$24),IF(AND(G163&gt;0,OR(S163="안 가봄",RIGHT(S163,2)="지남")),G163+IF(O163="",설정!$B$36,MIN(P163,60)*설정!$B$37)+MIN(N(H163)/1000*설정!$B$38,20),"")))))</f>
        <v/>
      </c>
      <c r="U163">
        <f>IF(T163="","",COUNTIF(T$4:T$303,"&gt;"&amp;T163)+COUNTIF(T$4:T163,T163))</f>
        <v/>
      </c>
    </row>
    <row r="164">
      <c r="A164">
        <f>IF(B164="","",161)</f>
        <v/>
      </c>
      <c r="B164">
        <f>IFERROR(INDEX('2.현장'!$V$2:$V$1001,MATCH(161,'2.현장'!$W$2:$W$1001,0)),"")</f>
        <v/>
      </c>
      <c r="C164">
        <f>IF(B164="","",COUNTIFS('2.현장'!$V$2:$V$1001,B164,'2.현장'!$T$2:$T$1001,TRUE))</f>
        <v/>
      </c>
      <c r="D164">
        <f>IF(B164="","",COUNTIFS('2.현장'!$V$2:$V$1001,B164,'2.현장'!$U$2:$U$1001,"설계사"))</f>
        <v/>
      </c>
      <c r="E164">
        <f>IF(B164="","",COUNTIFS('2.현장'!$V$2:$V$1001,B164,'2.현장'!$U$2:$U$1001,"시공사"))</f>
        <v/>
      </c>
      <c r="F164">
        <f>IF(B164="","",COUNTIFS('2.현장'!$V$2:$V$1001,B164,'2.현장'!$T$2:$T$1001,TRUE,'2.현장'!$AA$2:$AA$1001,"★"))</f>
        <v/>
      </c>
      <c r="G164" s="6">
        <f>IF(B164="","",SUMIFS('2.현장'!$AB$2:$AB$1001,'2.현장'!$V$2:$V$1001,B164,'2.현장'!$T$2:$T$1001,TRUE))</f>
        <v/>
      </c>
      <c r="H164" s="5">
        <f>IF(B164="","",_xlfn.MAXIFS('2.현장'!$D$2:$D$1001,'2.현장'!$V$2:$V$1001,B164,'2.현장'!$T$2:$T$1001,TRUE))</f>
        <v/>
      </c>
      <c r="I164" s="7">
        <f>IF(B164="","",IF(_xlfn.MAXIFS('2.현장'!$L$2:$L$1001,'2.현장'!$V$2:$V$1001,B164,'2.현장'!$T$2:$T$1001,TRUE)=0,"",_xlfn.MAXIFS('2.현장'!$L$2:$L$1001,'2.현장'!$V$2:$V$1001,B164,'2.현장'!$T$2:$T$1001,TRUE)))</f>
        <v/>
      </c>
      <c r="J164" s="7">
        <f>IF(B164="","",IF(_xlfn.MAXIFS('2.현장'!$M$2:$M$1001,'2.현장'!$V$2:$V$1001,B164,'2.현장'!$T$2:$T$1001,TRUE)=0,"",_xlfn.MAXIFS('2.현장'!$M$2:$M$1001,'2.현장'!$V$2:$V$1001,B164,'2.현장'!$T$2:$T$1001,TRUE)))</f>
        <v/>
      </c>
      <c r="K164">
        <f>IF(B164="","",IFERROR(INDEX('2.현장'!$C$2:$C$1001,IFERROR(MATCH(B164&amp;"|설계사",'2.현장'!$Z$2:$Z$1001,0),IFERROR(MATCH(B164&amp;"|시공사",'2.현장'!$Z$2:$Z$1001,0),MATCH(B164&amp;"|늦음",'2.현장'!$Z$2:$Z$1001,0)))),""))</f>
        <v/>
      </c>
      <c r="L164">
        <f>IF(B164="","",IFERROR(INDEX('2.현장'!$N$2:$N$1001,IFERROR(MATCH(B164&amp;"|설계사",'2.현장'!$Z$2:$Z$1001,0),IFERROR(MATCH(B164&amp;"|시공사",'2.현장'!$Z$2:$Z$1001,0),MATCH(B164&amp;"|늦음",'2.현장'!$Z$2:$Z$1001,0)))),""))</f>
        <v/>
      </c>
      <c r="M164">
        <f>IF(B164="","",IFERROR(VLOOKUP(B164,업체_메모!$A$3:$I$302,2,FALSE)&amp;"",""))</f>
        <v/>
      </c>
      <c r="N164">
        <f>IF(B164="","",IFERROR(VLOOKUP(B164,업체_메모!$A$3:$I$302,4,FALSE)&amp;"",""))</f>
        <v/>
      </c>
      <c r="O164" s="7">
        <f>IF(B164="","",IF(COUNTIF('4.방문기록'!$B$3:$B$502,B164)=0,"",_xlfn.MAXIFS('4.방문기록'!$A$3:$A$502,'4.방문기록'!$B$3:$B$502,B164)))</f>
        <v/>
      </c>
      <c r="P164">
        <f>IF(O164="","",설정!$B$24-O164)</f>
        <v/>
      </c>
      <c r="Q164" s="7">
        <f>IF(B164="","",IF(_xlfn.MAXIFS('4.방문기록'!$F$3:$F$502,'4.방문기록'!$B$3:$B$502,B164)=0,"",_xlfn.MAXIFS('4.방문기록'!$F$3:$F$502,'4.방문기록'!$B$3:$B$502,B164)))</f>
        <v/>
      </c>
      <c r="R164">
        <f>IF(O164="","",IFERROR(INDEX('4.방문기록'!$H$3:$H$502,MATCH(B164&amp;"|"&amp;(O164*1),'4.방문기록'!$I$3:$I$502,0))&amp;"",""))</f>
        <v/>
      </c>
      <c r="S164">
        <f>IF(B164="","",IF(R164="관심 없음","제외",IF(O164="","안 가봄",IF(P164&gt;=설정!$B$20,P164&amp;"일 지남","최근 방문"))))</f>
        <v/>
      </c>
      <c r="T164" s="8">
        <f>IF(B164="","",IF(S164="제외","",IF(AND(설정!$B$21&lt;&gt;"",L164&lt;&gt;설정!$B$21),"",IF(AND(Q164&lt;&gt;"",Q164&gt;N(O164),Q164&lt;=설정!$B$24+7),설정!$B$39+7-(Q164-설정!$B$24),IF(AND(G164&gt;0,OR(S164="안 가봄",RIGHT(S164,2)="지남")),G164+IF(O164="",설정!$B$36,MIN(P164,60)*설정!$B$37)+MIN(N(H164)/1000*설정!$B$38,20),"")))))</f>
        <v/>
      </c>
      <c r="U164">
        <f>IF(T164="","",COUNTIF(T$4:T$303,"&gt;"&amp;T164)+COUNTIF(T$4:T164,T164))</f>
        <v/>
      </c>
    </row>
    <row r="165">
      <c r="A165">
        <f>IF(B165="","",162)</f>
        <v/>
      </c>
      <c r="B165">
        <f>IFERROR(INDEX('2.현장'!$V$2:$V$1001,MATCH(162,'2.현장'!$W$2:$W$1001,0)),"")</f>
        <v/>
      </c>
      <c r="C165">
        <f>IF(B165="","",COUNTIFS('2.현장'!$V$2:$V$1001,B165,'2.현장'!$T$2:$T$1001,TRUE))</f>
        <v/>
      </c>
      <c r="D165">
        <f>IF(B165="","",COUNTIFS('2.현장'!$V$2:$V$1001,B165,'2.현장'!$U$2:$U$1001,"설계사"))</f>
        <v/>
      </c>
      <c r="E165">
        <f>IF(B165="","",COUNTIFS('2.현장'!$V$2:$V$1001,B165,'2.현장'!$U$2:$U$1001,"시공사"))</f>
        <v/>
      </c>
      <c r="F165">
        <f>IF(B165="","",COUNTIFS('2.현장'!$V$2:$V$1001,B165,'2.현장'!$T$2:$T$1001,TRUE,'2.현장'!$AA$2:$AA$1001,"★"))</f>
        <v/>
      </c>
      <c r="G165" s="6">
        <f>IF(B165="","",SUMIFS('2.현장'!$AB$2:$AB$1001,'2.현장'!$V$2:$V$1001,B165,'2.현장'!$T$2:$T$1001,TRUE))</f>
        <v/>
      </c>
      <c r="H165" s="5">
        <f>IF(B165="","",_xlfn.MAXIFS('2.현장'!$D$2:$D$1001,'2.현장'!$V$2:$V$1001,B165,'2.현장'!$T$2:$T$1001,TRUE))</f>
        <v/>
      </c>
      <c r="I165" s="7">
        <f>IF(B165="","",IF(_xlfn.MAXIFS('2.현장'!$L$2:$L$1001,'2.현장'!$V$2:$V$1001,B165,'2.현장'!$T$2:$T$1001,TRUE)=0,"",_xlfn.MAXIFS('2.현장'!$L$2:$L$1001,'2.현장'!$V$2:$V$1001,B165,'2.현장'!$T$2:$T$1001,TRUE)))</f>
        <v/>
      </c>
      <c r="J165" s="7">
        <f>IF(B165="","",IF(_xlfn.MAXIFS('2.현장'!$M$2:$M$1001,'2.현장'!$V$2:$V$1001,B165,'2.현장'!$T$2:$T$1001,TRUE)=0,"",_xlfn.MAXIFS('2.현장'!$M$2:$M$1001,'2.현장'!$V$2:$V$1001,B165,'2.현장'!$T$2:$T$1001,TRUE)))</f>
        <v/>
      </c>
      <c r="K165">
        <f>IF(B165="","",IFERROR(INDEX('2.현장'!$C$2:$C$1001,IFERROR(MATCH(B165&amp;"|설계사",'2.현장'!$Z$2:$Z$1001,0),IFERROR(MATCH(B165&amp;"|시공사",'2.현장'!$Z$2:$Z$1001,0),MATCH(B165&amp;"|늦음",'2.현장'!$Z$2:$Z$1001,0)))),""))</f>
        <v/>
      </c>
      <c r="L165">
        <f>IF(B165="","",IFERROR(INDEX('2.현장'!$N$2:$N$1001,IFERROR(MATCH(B165&amp;"|설계사",'2.현장'!$Z$2:$Z$1001,0),IFERROR(MATCH(B165&amp;"|시공사",'2.현장'!$Z$2:$Z$1001,0),MATCH(B165&amp;"|늦음",'2.현장'!$Z$2:$Z$1001,0)))),""))</f>
        <v/>
      </c>
      <c r="M165">
        <f>IF(B165="","",IFERROR(VLOOKUP(B165,업체_메모!$A$3:$I$302,2,FALSE)&amp;"",""))</f>
        <v/>
      </c>
      <c r="N165">
        <f>IF(B165="","",IFERROR(VLOOKUP(B165,업체_메모!$A$3:$I$302,4,FALSE)&amp;"",""))</f>
        <v/>
      </c>
      <c r="O165" s="7">
        <f>IF(B165="","",IF(COUNTIF('4.방문기록'!$B$3:$B$502,B165)=0,"",_xlfn.MAXIFS('4.방문기록'!$A$3:$A$502,'4.방문기록'!$B$3:$B$502,B165)))</f>
        <v/>
      </c>
      <c r="P165">
        <f>IF(O165="","",설정!$B$24-O165)</f>
        <v/>
      </c>
      <c r="Q165" s="7">
        <f>IF(B165="","",IF(_xlfn.MAXIFS('4.방문기록'!$F$3:$F$502,'4.방문기록'!$B$3:$B$502,B165)=0,"",_xlfn.MAXIFS('4.방문기록'!$F$3:$F$502,'4.방문기록'!$B$3:$B$502,B165)))</f>
        <v/>
      </c>
      <c r="R165">
        <f>IF(O165="","",IFERROR(INDEX('4.방문기록'!$H$3:$H$502,MATCH(B165&amp;"|"&amp;(O165*1),'4.방문기록'!$I$3:$I$502,0))&amp;"",""))</f>
        <v/>
      </c>
      <c r="S165">
        <f>IF(B165="","",IF(R165="관심 없음","제외",IF(O165="","안 가봄",IF(P165&gt;=설정!$B$20,P165&amp;"일 지남","최근 방문"))))</f>
        <v/>
      </c>
      <c r="T165" s="8">
        <f>IF(B165="","",IF(S165="제외","",IF(AND(설정!$B$21&lt;&gt;"",L165&lt;&gt;설정!$B$21),"",IF(AND(Q165&lt;&gt;"",Q165&gt;N(O165),Q165&lt;=설정!$B$24+7),설정!$B$39+7-(Q165-설정!$B$24),IF(AND(G165&gt;0,OR(S165="안 가봄",RIGHT(S165,2)="지남")),G165+IF(O165="",설정!$B$36,MIN(P165,60)*설정!$B$37)+MIN(N(H165)/1000*설정!$B$38,20),"")))))</f>
        <v/>
      </c>
      <c r="U165">
        <f>IF(T165="","",COUNTIF(T$4:T$303,"&gt;"&amp;T165)+COUNTIF(T$4:T165,T165))</f>
        <v/>
      </c>
    </row>
    <row r="166">
      <c r="A166">
        <f>IF(B166="","",163)</f>
        <v/>
      </c>
      <c r="B166">
        <f>IFERROR(INDEX('2.현장'!$V$2:$V$1001,MATCH(163,'2.현장'!$W$2:$W$1001,0)),"")</f>
        <v/>
      </c>
      <c r="C166">
        <f>IF(B166="","",COUNTIFS('2.현장'!$V$2:$V$1001,B166,'2.현장'!$T$2:$T$1001,TRUE))</f>
        <v/>
      </c>
      <c r="D166">
        <f>IF(B166="","",COUNTIFS('2.현장'!$V$2:$V$1001,B166,'2.현장'!$U$2:$U$1001,"설계사"))</f>
        <v/>
      </c>
      <c r="E166">
        <f>IF(B166="","",COUNTIFS('2.현장'!$V$2:$V$1001,B166,'2.현장'!$U$2:$U$1001,"시공사"))</f>
        <v/>
      </c>
      <c r="F166">
        <f>IF(B166="","",COUNTIFS('2.현장'!$V$2:$V$1001,B166,'2.현장'!$T$2:$T$1001,TRUE,'2.현장'!$AA$2:$AA$1001,"★"))</f>
        <v/>
      </c>
      <c r="G166" s="6">
        <f>IF(B166="","",SUMIFS('2.현장'!$AB$2:$AB$1001,'2.현장'!$V$2:$V$1001,B166,'2.현장'!$T$2:$T$1001,TRUE))</f>
        <v/>
      </c>
      <c r="H166" s="5">
        <f>IF(B166="","",_xlfn.MAXIFS('2.현장'!$D$2:$D$1001,'2.현장'!$V$2:$V$1001,B166,'2.현장'!$T$2:$T$1001,TRUE))</f>
        <v/>
      </c>
      <c r="I166" s="7">
        <f>IF(B166="","",IF(_xlfn.MAXIFS('2.현장'!$L$2:$L$1001,'2.현장'!$V$2:$V$1001,B166,'2.현장'!$T$2:$T$1001,TRUE)=0,"",_xlfn.MAXIFS('2.현장'!$L$2:$L$1001,'2.현장'!$V$2:$V$1001,B166,'2.현장'!$T$2:$T$1001,TRUE)))</f>
        <v/>
      </c>
      <c r="J166" s="7">
        <f>IF(B166="","",IF(_xlfn.MAXIFS('2.현장'!$M$2:$M$1001,'2.현장'!$V$2:$V$1001,B166,'2.현장'!$T$2:$T$1001,TRUE)=0,"",_xlfn.MAXIFS('2.현장'!$M$2:$M$1001,'2.현장'!$V$2:$V$1001,B166,'2.현장'!$T$2:$T$1001,TRUE)))</f>
        <v/>
      </c>
      <c r="K166">
        <f>IF(B166="","",IFERROR(INDEX('2.현장'!$C$2:$C$1001,IFERROR(MATCH(B166&amp;"|설계사",'2.현장'!$Z$2:$Z$1001,0),IFERROR(MATCH(B166&amp;"|시공사",'2.현장'!$Z$2:$Z$1001,0),MATCH(B166&amp;"|늦음",'2.현장'!$Z$2:$Z$1001,0)))),""))</f>
        <v/>
      </c>
      <c r="L166">
        <f>IF(B166="","",IFERROR(INDEX('2.현장'!$N$2:$N$1001,IFERROR(MATCH(B166&amp;"|설계사",'2.현장'!$Z$2:$Z$1001,0),IFERROR(MATCH(B166&amp;"|시공사",'2.현장'!$Z$2:$Z$1001,0),MATCH(B166&amp;"|늦음",'2.현장'!$Z$2:$Z$1001,0)))),""))</f>
        <v/>
      </c>
      <c r="M166">
        <f>IF(B166="","",IFERROR(VLOOKUP(B166,업체_메모!$A$3:$I$302,2,FALSE)&amp;"",""))</f>
        <v/>
      </c>
      <c r="N166">
        <f>IF(B166="","",IFERROR(VLOOKUP(B166,업체_메모!$A$3:$I$302,4,FALSE)&amp;"",""))</f>
        <v/>
      </c>
      <c r="O166" s="7">
        <f>IF(B166="","",IF(COUNTIF('4.방문기록'!$B$3:$B$502,B166)=0,"",_xlfn.MAXIFS('4.방문기록'!$A$3:$A$502,'4.방문기록'!$B$3:$B$502,B166)))</f>
        <v/>
      </c>
      <c r="P166">
        <f>IF(O166="","",설정!$B$24-O166)</f>
        <v/>
      </c>
      <c r="Q166" s="7">
        <f>IF(B166="","",IF(_xlfn.MAXIFS('4.방문기록'!$F$3:$F$502,'4.방문기록'!$B$3:$B$502,B166)=0,"",_xlfn.MAXIFS('4.방문기록'!$F$3:$F$502,'4.방문기록'!$B$3:$B$502,B166)))</f>
        <v/>
      </c>
      <c r="R166">
        <f>IF(O166="","",IFERROR(INDEX('4.방문기록'!$H$3:$H$502,MATCH(B166&amp;"|"&amp;(O166*1),'4.방문기록'!$I$3:$I$502,0))&amp;"",""))</f>
        <v/>
      </c>
      <c r="S166">
        <f>IF(B166="","",IF(R166="관심 없음","제외",IF(O166="","안 가봄",IF(P166&gt;=설정!$B$20,P166&amp;"일 지남","최근 방문"))))</f>
        <v/>
      </c>
      <c r="T166" s="8">
        <f>IF(B166="","",IF(S166="제외","",IF(AND(설정!$B$21&lt;&gt;"",L166&lt;&gt;설정!$B$21),"",IF(AND(Q166&lt;&gt;"",Q166&gt;N(O166),Q166&lt;=설정!$B$24+7),설정!$B$39+7-(Q166-설정!$B$24),IF(AND(G166&gt;0,OR(S166="안 가봄",RIGHT(S166,2)="지남")),G166+IF(O166="",설정!$B$36,MIN(P166,60)*설정!$B$37)+MIN(N(H166)/1000*설정!$B$38,20),"")))))</f>
        <v/>
      </c>
      <c r="U166">
        <f>IF(T166="","",COUNTIF(T$4:T$303,"&gt;"&amp;T166)+COUNTIF(T$4:T166,T166))</f>
        <v/>
      </c>
    </row>
    <row r="167">
      <c r="A167">
        <f>IF(B167="","",164)</f>
        <v/>
      </c>
      <c r="B167">
        <f>IFERROR(INDEX('2.현장'!$V$2:$V$1001,MATCH(164,'2.현장'!$W$2:$W$1001,0)),"")</f>
        <v/>
      </c>
      <c r="C167">
        <f>IF(B167="","",COUNTIFS('2.현장'!$V$2:$V$1001,B167,'2.현장'!$T$2:$T$1001,TRUE))</f>
        <v/>
      </c>
      <c r="D167">
        <f>IF(B167="","",COUNTIFS('2.현장'!$V$2:$V$1001,B167,'2.현장'!$U$2:$U$1001,"설계사"))</f>
        <v/>
      </c>
      <c r="E167">
        <f>IF(B167="","",COUNTIFS('2.현장'!$V$2:$V$1001,B167,'2.현장'!$U$2:$U$1001,"시공사"))</f>
        <v/>
      </c>
      <c r="F167">
        <f>IF(B167="","",COUNTIFS('2.현장'!$V$2:$V$1001,B167,'2.현장'!$T$2:$T$1001,TRUE,'2.현장'!$AA$2:$AA$1001,"★"))</f>
        <v/>
      </c>
      <c r="G167" s="6">
        <f>IF(B167="","",SUMIFS('2.현장'!$AB$2:$AB$1001,'2.현장'!$V$2:$V$1001,B167,'2.현장'!$T$2:$T$1001,TRUE))</f>
        <v/>
      </c>
      <c r="H167" s="5">
        <f>IF(B167="","",_xlfn.MAXIFS('2.현장'!$D$2:$D$1001,'2.현장'!$V$2:$V$1001,B167,'2.현장'!$T$2:$T$1001,TRUE))</f>
        <v/>
      </c>
      <c r="I167" s="7">
        <f>IF(B167="","",IF(_xlfn.MAXIFS('2.현장'!$L$2:$L$1001,'2.현장'!$V$2:$V$1001,B167,'2.현장'!$T$2:$T$1001,TRUE)=0,"",_xlfn.MAXIFS('2.현장'!$L$2:$L$1001,'2.현장'!$V$2:$V$1001,B167,'2.현장'!$T$2:$T$1001,TRUE)))</f>
        <v/>
      </c>
      <c r="J167" s="7">
        <f>IF(B167="","",IF(_xlfn.MAXIFS('2.현장'!$M$2:$M$1001,'2.현장'!$V$2:$V$1001,B167,'2.현장'!$T$2:$T$1001,TRUE)=0,"",_xlfn.MAXIFS('2.현장'!$M$2:$M$1001,'2.현장'!$V$2:$V$1001,B167,'2.현장'!$T$2:$T$1001,TRUE)))</f>
        <v/>
      </c>
      <c r="K167">
        <f>IF(B167="","",IFERROR(INDEX('2.현장'!$C$2:$C$1001,IFERROR(MATCH(B167&amp;"|설계사",'2.현장'!$Z$2:$Z$1001,0),IFERROR(MATCH(B167&amp;"|시공사",'2.현장'!$Z$2:$Z$1001,0),MATCH(B167&amp;"|늦음",'2.현장'!$Z$2:$Z$1001,0)))),""))</f>
        <v/>
      </c>
      <c r="L167">
        <f>IF(B167="","",IFERROR(INDEX('2.현장'!$N$2:$N$1001,IFERROR(MATCH(B167&amp;"|설계사",'2.현장'!$Z$2:$Z$1001,0),IFERROR(MATCH(B167&amp;"|시공사",'2.현장'!$Z$2:$Z$1001,0),MATCH(B167&amp;"|늦음",'2.현장'!$Z$2:$Z$1001,0)))),""))</f>
        <v/>
      </c>
      <c r="M167">
        <f>IF(B167="","",IFERROR(VLOOKUP(B167,업체_메모!$A$3:$I$302,2,FALSE)&amp;"",""))</f>
        <v/>
      </c>
      <c r="N167">
        <f>IF(B167="","",IFERROR(VLOOKUP(B167,업체_메모!$A$3:$I$302,4,FALSE)&amp;"",""))</f>
        <v/>
      </c>
      <c r="O167" s="7">
        <f>IF(B167="","",IF(COUNTIF('4.방문기록'!$B$3:$B$502,B167)=0,"",_xlfn.MAXIFS('4.방문기록'!$A$3:$A$502,'4.방문기록'!$B$3:$B$502,B167)))</f>
        <v/>
      </c>
      <c r="P167">
        <f>IF(O167="","",설정!$B$24-O167)</f>
        <v/>
      </c>
      <c r="Q167" s="7">
        <f>IF(B167="","",IF(_xlfn.MAXIFS('4.방문기록'!$F$3:$F$502,'4.방문기록'!$B$3:$B$502,B167)=0,"",_xlfn.MAXIFS('4.방문기록'!$F$3:$F$502,'4.방문기록'!$B$3:$B$502,B167)))</f>
        <v/>
      </c>
      <c r="R167">
        <f>IF(O167="","",IFERROR(INDEX('4.방문기록'!$H$3:$H$502,MATCH(B167&amp;"|"&amp;(O167*1),'4.방문기록'!$I$3:$I$502,0))&amp;"",""))</f>
        <v/>
      </c>
      <c r="S167">
        <f>IF(B167="","",IF(R167="관심 없음","제외",IF(O167="","안 가봄",IF(P167&gt;=설정!$B$20,P167&amp;"일 지남","최근 방문"))))</f>
        <v/>
      </c>
      <c r="T167" s="8">
        <f>IF(B167="","",IF(S167="제외","",IF(AND(설정!$B$21&lt;&gt;"",L167&lt;&gt;설정!$B$21),"",IF(AND(Q167&lt;&gt;"",Q167&gt;N(O167),Q167&lt;=설정!$B$24+7),설정!$B$39+7-(Q167-설정!$B$24),IF(AND(G167&gt;0,OR(S167="안 가봄",RIGHT(S167,2)="지남")),G167+IF(O167="",설정!$B$36,MIN(P167,60)*설정!$B$37)+MIN(N(H167)/1000*설정!$B$38,20),"")))))</f>
        <v/>
      </c>
      <c r="U167">
        <f>IF(T167="","",COUNTIF(T$4:T$303,"&gt;"&amp;T167)+COUNTIF(T$4:T167,T167))</f>
        <v/>
      </c>
    </row>
    <row r="168">
      <c r="A168">
        <f>IF(B168="","",165)</f>
        <v/>
      </c>
      <c r="B168">
        <f>IFERROR(INDEX('2.현장'!$V$2:$V$1001,MATCH(165,'2.현장'!$W$2:$W$1001,0)),"")</f>
        <v/>
      </c>
      <c r="C168">
        <f>IF(B168="","",COUNTIFS('2.현장'!$V$2:$V$1001,B168,'2.현장'!$T$2:$T$1001,TRUE))</f>
        <v/>
      </c>
      <c r="D168">
        <f>IF(B168="","",COUNTIFS('2.현장'!$V$2:$V$1001,B168,'2.현장'!$U$2:$U$1001,"설계사"))</f>
        <v/>
      </c>
      <c r="E168">
        <f>IF(B168="","",COUNTIFS('2.현장'!$V$2:$V$1001,B168,'2.현장'!$U$2:$U$1001,"시공사"))</f>
        <v/>
      </c>
      <c r="F168">
        <f>IF(B168="","",COUNTIFS('2.현장'!$V$2:$V$1001,B168,'2.현장'!$T$2:$T$1001,TRUE,'2.현장'!$AA$2:$AA$1001,"★"))</f>
        <v/>
      </c>
      <c r="G168" s="6">
        <f>IF(B168="","",SUMIFS('2.현장'!$AB$2:$AB$1001,'2.현장'!$V$2:$V$1001,B168,'2.현장'!$T$2:$T$1001,TRUE))</f>
        <v/>
      </c>
      <c r="H168" s="5">
        <f>IF(B168="","",_xlfn.MAXIFS('2.현장'!$D$2:$D$1001,'2.현장'!$V$2:$V$1001,B168,'2.현장'!$T$2:$T$1001,TRUE))</f>
        <v/>
      </c>
      <c r="I168" s="7">
        <f>IF(B168="","",IF(_xlfn.MAXIFS('2.현장'!$L$2:$L$1001,'2.현장'!$V$2:$V$1001,B168,'2.현장'!$T$2:$T$1001,TRUE)=0,"",_xlfn.MAXIFS('2.현장'!$L$2:$L$1001,'2.현장'!$V$2:$V$1001,B168,'2.현장'!$T$2:$T$1001,TRUE)))</f>
        <v/>
      </c>
      <c r="J168" s="7">
        <f>IF(B168="","",IF(_xlfn.MAXIFS('2.현장'!$M$2:$M$1001,'2.현장'!$V$2:$V$1001,B168,'2.현장'!$T$2:$T$1001,TRUE)=0,"",_xlfn.MAXIFS('2.현장'!$M$2:$M$1001,'2.현장'!$V$2:$V$1001,B168,'2.현장'!$T$2:$T$1001,TRUE)))</f>
        <v/>
      </c>
      <c r="K168">
        <f>IF(B168="","",IFERROR(INDEX('2.현장'!$C$2:$C$1001,IFERROR(MATCH(B168&amp;"|설계사",'2.현장'!$Z$2:$Z$1001,0),IFERROR(MATCH(B168&amp;"|시공사",'2.현장'!$Z$2:$Z$1001,0),MATCH(B168&amp;"|늦음",'2.현장'!$Z$2:$Z$1001,0)))),""))</f>
        <v/>
      </c>
      <c r="L168">
        <f>IF(B168="","",IFERROR(INDEX('2.현장'!$N$2:$N$1001,IFERROR(MATCH(B168&amp;"|설계사",'2.현장'!$Z$2:$Z$1001,0),IFERROR(MATCH(B168&amp;"|시공사",'2.현장'!$Z$2:$Z$1001,0),MATCH(B168&amp;"|늦음",'2.현장'!$Z$2:$Z$1001,0)))),""))</f>
        <v/>
      </c>
      <c r="M168">
        <f>IF(B168="","",IFERROR(VLOOKUP(B168,업체_메모!$A$3:$I$302,2,FALSE)&amp;"",""))</f>
        <v/>
      </c>
      <c r="N168">
        <f>IF(B168="","",IFERROR(VLOOKUP(B168,업체_메모!$A$3:$I$302,4,FALSE)&amp;"",""))</f>
        <v/>
      </c>
      <c r="O168" s="7">
        <f>IF(B168="","",IF(COUNTIF('4.방문기록'!$B$3:$B$502,B168)=0,"",_xlfn.MAXIFS('4.방문기록'!$A$3:$A$502,'4.방문기록'!$B$3:$B$502,B168)))</f>
        <v/>
      </c>
      <c r="P168">
        <f>IF(O168="","",설정!$B$24-O168)</f>
        <v/>
      </c>
      <c r="Q168" s="7">
        <f>IF(B168="","",IF(_xlfn.MAXIFS('4.방문기록'!$F$3:$F$502,'4.방문기록'!$B$3:$B$502,B168)=0,"",_xlfn.MAXIFS('4.방문기록'!$F$3:$F$502,'4.방문기록'!$B$3:$B$502,B168)))</f>
        <v/>
      </c>
      <c r="R168">
        <f>IF(O168="","",IFERROR(INDEX('4.방문기록'!$H$3:$H$502,MATCH(B168&amp;"|"&amp;(O168*1),'4.방문기록'!$I$3:$I$502,0))&amp;"",""))</f>
        <v/>
      </c>
      <c r="S168">
        <f>IF(B168="","",IF(R168="관심 없음","제외",IF(O168="","안 가봄",IF(P168&gt;=설정!$B$20,P168&amp;"일 지남","최근 방문"))))</f>
        <v/>
      </c>
      <c r="T168" s="8">
        <f>IF(B168="","",IF(S168="제외","",IF(AND(설정!$B$21&lt;&gt;"",L168&lt;&gt;설정!$B$21),"",IF(AND(Q168&lt;&gt;"",Q168&gt;N(O168),Q168&lt;=설정!$B$24+7),설정!$B$39+7-(Q168-설정!$B$24),IF(AND(G168&gt;0,OR(S168="안 가봄",RIGHT(S168,2)="지남")),G168+IF(O168="",설정!$B$36,MIN(P168,60)*설정!$B$37)+MIN(N(H168)/1000*설정!$B$38,20),"")))))</f>
        <v/>
      </c>
      <c r="U168">
        <f>IF(T168="","",COUNTIF(T$4:T$303,"&gt;"&amp;T168)+COUNTIF(T$4:T168,T168))</f>
        <v/>
      </c>
    </row>
    <row r="169">
      <c r="A169">
        <f>IF(B169="","",166)</f>
        <v/>
      </c>
      <c r="B169">
        <f>IFERROR(INDEX('2.현장'!$V$2:$V$1001,MATCH(166,'2.현장'!$W$2:$W$1001,0)),"")</f>
        <v/>
      </c>
      <c r="C169">
        <f>IF(B169="","",COUNTIFS('2.현장'!$V$2:$V$1001,B169,'2.현장'!$T$2:$T$1001,TRUE))</f>
        <v/>
      </c>
      <c r="D169">
        <f>IF(B169="","",COUNTIFS('2.현장'!$V$2:$V$1001,B169,'2.현장'!$U$2:$U$1001,"설계사"))</f>
        <v/>
      </c>
      <c r="E169">
        <f>IF(B169="","",COUNTIFS('2.현장'!$V$2:$V$1001,B169,'2.현장'!$U$2:$U$1001,"시공사"))</f>
        <v/>
      </c>
      <c r="F169">
        <f>IF(B169="","",COUNTIFS('2.현장'!$V$2:$V$1001,B169,'2.현장'!$T$2:$T$1001,TRUE,'2.현장'!$AA$2:$AA$1001,"★"))</f>
        <v/>
      </c>
      <c r="G169" s="6">
        <f>IF(B169="","",SUMIFS('2.현장'!$AB$2:$AB$1001,'2.현장'!$V$2:$V$1001,B169,'2.현장'!$T$2:$T$1001,TRUE))</f>
        <v/>
      </c>
      <c r="H169" s="5">
        <f>IF(B169="","",_xlfn.MAXIFS('2.현장'!$D$2:$D$1001,'2.현장'!$V$2:$V$1001,B169,'2.현장'!$T$2:$T$1001,TRUE))</f>
        <v/>
      </c>
      <c r="I169" s="7">
        <f>IF(B169="","",IF(_xlfn.MAXIFS('2.현장'!$L$2:$L$1001,'2.현장'!$V$2:$V$1001,B169,'2.현장'!$T$2:$T$1001,TRUE)=0,"",_xlfn.MAXIFS('2.현장'!$L$2:$L$1001,'2.현장'!$V$2:$V$1001,B169,'2.현장'!$T$2:$T$1001,TRUE)))</f>
        <v/>
      </c>
      <c r="J169" s="7">
        <f>IF(B169="","",IF(_xlfn.MAXIFS('2.현장'!$M$2:$M$1001,'2.현장'!$V$2:$V$1001,B169,'2.현장'!$T$2:$T$1001,TRUE)=0,"",_xlfn.MAXIFS('2.현장'!$M$2:$M$1001,'2.현장'!$V$2:$V$1001,B169,'2.현장'!$T$2:$T$1001,TRUE)))</f>
        <v/>
      </c>
      <c r="K169">
        <f>IF(B169="","",IFERROR(INDEX('2.현장'!$C$2:$C$1001,IFERROR(MATCH(B169&amp;"|설계사",'2.현장'!$Z$2:$Z$1001,0),IFERROR(MATCH(B169&amp;"|시공사",'2.현장'!$Z$2:$Z$1001,0),MATCH(B169&amp;"|늦음",'2.현장'!$Z$2:$Z$1001,0)))),""))</f>
        <v/>
      </c>
      <c r="L169">
        <f>IF(B169="","",IFERROR(INDEX('2.현장'!$N$2:$N$1001,IFERROR(MATCH(B169&amp;"|설계사",'2.현장'!$Z$2:$Z$1001,0),IFERROR(MATCH(B169&amp;"|시공사",'2.현장'!$Z$2:$Z$1001,0),MATCH(B169&amp;"|늦음",'2.현장'!$Z$2:$Z$1001,0)))),""))</f>
        <v/>
      </c>
      <c r="M169">
        <f>IF(B169="","",IFERROR(VLOOKUP(B169,업체_메모!$A$3:$I$302,2,FALSE)&amp;"",""))</f>
        <v/>
      </c>
      <c r="N169">
        <f>IF(B169="","",IFERROR(VLOOKUP(B169,업체_메모!$A$3:$I$302,4,FALSE)&amp;"",""))</f>
        <v/>
      </c>
      <c r="O169" s="7">
        <f>IF(B169="","",IF(COUNTIF('4.방문기록'!$B$3:$B$502,B169)=0,"",_xlfn.MAXIFS('4.방문기록'!$A$3:$A$502,'4.방문기록'!$B$3:$B$502,B169)))</f>
        <v/>
      </c>
      <c r="P169">
        <f>IF(O169="","",설정!$B$24-O169)</f>
        <v/>
      </c>
      <c r="Q169" s="7">
        <f>IF(B169="","",IF(_xlfn.MAXIFS('4.방문기록'!$F$3:$F$502,'4.방문기록'!$B$3:$B$502,B169)=0,"",_xlfn.MAXIFS('4.방문기록'!$F$3:$F$502,'4.방문기록'!$B$3:$B$502,B169)))</f>
        <v/>
      </c>
      <c r="R169">
        <f>IF(O169="","",IFERROR(INDEX('4.방문기록'!$H$3:$H$502,MATCH(B169&amp;"|"&amp;(O169*1),'4.방문기록'!$I$3:$I$502,0))&amp;"",""))</f>
        <v/>
      </c>
      <c r="S169">
        <f>IF(B169="","",IF(R169="관심 없음","제외",IF(O169="","안 가봄",IF(P169&gt;=설정!$B$20,P169&amp;"일 지남","최근 방문"))))</f>
        <v/>
      </c>
      <c r="T169" s="8">
        <f>IF(B169="","",IF(S169="제외","",IF(AND(설정!$B$21&lt;&gt;"",L169&lt;&gt;설정!$B$21),"",IF(AND(Q169&lt;&gt;"",Q169&gt;N(O169),Q169&lt;=설정!$B$24+7),설정!$B$39+7-(Q169-설정!$B$24),IF(AND(G169&gt;0,OR(S169="안 가봄",RIGHT(S169,2)="지남")),G169+IF(O169="",설정!$B$36,MIN(P169,60)*설정!$B$37)+MIN(N(H169)/1000*설정!$B$38,20),"")))))</f>
        <v/>
      </c>
      <c r="U169">
        <f>IF(T169="","",COUNTIF(T$4:T$303,"&gt;"&amp;T169)+COUNTIF(T$4:T169,T169))</f>
        <v/>
      </c>
    </row>
    <row r="170">
      <c r="A170">
        <f>IF(B170="","",167)</f>
        <v/>
      </c>
      <c r="B170">
        <f>IFERROR(INDEX('2.현장'!$V$2:$V$1001,MATCH(167,'2.현장'!$W$2:$W$1001,0)),"")</f>
        <v/>
      </c>
      <c r="C170">
        <f>IF(B170="","",COUNTIFS('2.현장'!$V$2:$V$1001,B170,'2.현장'!$T$2:$T$1001,TRUE))</f>
        <v/>
      </c>
      <c r="D170">
        <f>IF(B170="","",COUNTIFS('2.현장'!$V$2:$V$1001,B170,'2.현장'!$U$2:$U$1001,"설계사"))</f>
        <v/>
      </c>
      <c r="E170">
        <f>IF(B170="","",COUNTIFS('2.현장'!$V$2:$V$1001,B170,'2.현장'!$U$2:$U$1001,"시공사"))</f>
        <v/>
      </c>
      <c r="F170">
        <f>IF(B170="","",COUNTIFS('2.현장'!$V$2:$V$1001,B170,'2.현장'!$T$2:$T$1001,TRUE,'2.현장'!$AA$2:$AA$1001,"★"))</f>
        <v/>
      </c>
      <c r="G170" s="6">
        <f>IF(B170="","",SUMIFS('2.현장'!$AB$2:$AB$1001,'2.현장'!$V$2:$V$1001,B170,'2.현장'!$T$2:$T$1001,TRUE))</f>
        <v/>
      </c>
      <c r="H170" s="5">
        <f>IF(B170="","",_xlfn.MAXIFS('2.현장'!$D$2:$D$1001,'2.현장'!$V$2:$V$1001,B170,'2.현장'!$T$2:$T$1001,TRUE))</f>
        <v/>
      </c>
      <c r="I170" s="7">
        <f>IF(B170="","",IF(_xlfn.MAXIFS('2.현장'!$L$2:$L$1001,'2.현장'!$V$2:$V$1001,B170,'2.현장'!$T$2:$T$1001,TRUE)=0,"",_xlfn.MAXIFS('2.현장'!$L$2:$L$1001,'2.현장'!$V$2:$V$1001,B170,'2.현장'!$T$2:$T$1001,TRUE)))</f>
        <v/>
      </c>
      <c r="J170" s="7">
        <f>IF(B170="","",IF(_xlfn.MAXIFS('2.현장'!$M$2:$M$1001,'2.현장'!$V$2:$V$1001,B170,'2.현장'!$T$2:$T$1001,TRUE)=0,"",_xlfn.MAXIFS('2.현장'!$M$2:$M$1001,'2.현장'!$V$2:$V$1001,B170,'2.현장'!$T$2:$T$1001,TRUE)))</f>
        <v/>
      </c>
      <c r="K170">
        <f>IF(B170="","",IFERROR(INDEX('2.현장'!$C$2:$C$1001,IFERROR(MATCH(B170&amp;"|설계사",'2.현장'!$Z$2:$Z$1001,0),IFERROR(MATCH(B170&amp;"|시공사",'2.현장'!$Z$2:$Z$1001,0),MATCH(B170&amp;"|늦음",'2.현장'!$Z$2:$Z$1001,0)))),""))</f>
        <v/>
      </c>
      <c r="L170">
        <f>IF(B170="","",IFERROR(INDEX('2.현장'!$N$2:$N$1001,IFERROR(MATCH(B170&amp;"|설계사",'2.현장'!$Z$2:$Z$1001,0),IFERROR(MATCH(B170&amp;"|시공사",'2.현장'!$Z$2:$Z$1001,0),MATCH(B170&amp;"|늦음",'2.현장'!$Z$2:$Z$1001,0)))),""))</f>
        <v/>
      </c>
      <c r="M170">
        <f>IF(B170="","",IFERROR(VLOOKUP(B170,업체_메모!$A$3:$I$302,2,FALSE)&amp;"",""))</f>
        <v/>
      </c>
      <c r="N170">
        <f>IF(B170="","",IFERROR(VLOOKUP(B170,업체_메모!$A$3:$I$302,4,FALSE)&amp;"",""))</f>
        <v/>
      </c>
      <c r="O170" s="7">
        <f>IF(B170="","",IF(COUNTIF('4.방문기록'!$B$3:$B$502,B170)=0,"",_xlfn.MAXIFS('4.방문기록'!$A$3:$A$502,'4.방문기록'!$B$3:$B$502,B170)))</f>
        <v/>
      </c>
      <c r="P170">
        <f>IF(O170="","",설정!$B$24-O170)</f>
        <v/>
      </c>
      <c r="Q170" s="7">
        <f>IF(B170="","",IF(_xlfn.MAXIFS('4.방문기록'!$F$3:$F$502,'4.방문기록'!$B$3:$B$502,B170)=0,"",_xlfn.MAXIFS('4.방문기록'!$F$3:$F$502,'4.방문기록'!$B$3:$B$502,B170)))</f>
        <v/>
      </c>
      <c r="R170">
        <f>IF(O170="","",IFERROR(INDEX('4.방문기록'!$H$3:$H$502,MATCH(B170&amp;"|"&amp;(O170*1),'4.방문기록'!$I$3:$I$502,0))&amp;"",""))</f>
        <v/>
      </c>
      <c r="S170">
        <f>IF(B170="","",IF(R170="관심 없음","제외",IF(O170="","안 가봄",IF(P170&gt;=설정!$B$20,P170&amp;"일 지남","최근 방문"))))</f>
        <v/>
      </c>
      <c r="T170" s="8">
        <f>IF(B170="","",IF(S170="제외","",IF(AND(설정!$B$21&lt;&gt;"",L170&lt;&gt;설정!$B$21),"",IF(AND(Q170&lt;&gt;"",Q170&gt;N(O170),Q170&lt;=설정!$B$24+7),설정!$B$39+7-(Q170-설정!$B$24),IF(AND(G170&gt;0,OR(S170="안 가봄",RIGHT(S170,2)="지남")),G170+IF(O170="",설정!$B$36,MIN(P170,60)*설정!$B$37)+MIN(N(H170)/1000*설정!$B$38,20),"")))))</f>
        <v/>
      </c>
      <c r="U170">
        <f>IF(T170="","",COUNTIF(T$4:T$303,"&gt;"&amp;T170)+COUNTIF(T$4:T170,T170))</f>
        <v/>
      </c>
    </row>
    <row r="171">
      <c r="A171">
        <f>IF(B171="","",168)</f>
        <v/>
      </c>
      <c r="B171">
        <f>IFERROR(INDEX('2.현장'!$V$2:$V$1001,MATCH(168,'2.현장'!$W$2:$W$1001,0)),"")</f>
        <v/>
      </c>
      <c r="C171">
        <f>IF(B171="","",COUNTIFS('2.현장'!$V$2:$V$1001,B171,'2.현장'!$T$2:$T$1001,TRUE))</f>
        <v/>
      </c>
      <c r="D171">
        <f>IF(B171="","",COUNTIFS('2.현장'!$V$2:$V$1001,B171,'2.현장'!$U$2:$U$1001,"설계사"))</f>
        <v/>
      </c>
      <c r="E171">
        <f>IF(B171="","",COUNTIFS('2.현장'!$V$2:$V$1001,B171,'2.현장'!$U$2:$U$1001,"시공사"))</f>
        <v/>
      </c>
      <c r="F171">
        <f>IF(B171="","",COUNTIFS('2.현장'!$V$2:$V$1001,B171,'2.현장'!$T$2:$T$1001,TRUE,'2.현장'!$AA$2:$AA$1001,"★"))</f>
        <v/>
      </c>
      <c r="G171" s="6">
        <f>IF(B171="","",SUMIFS('2.현장'!$AB$2:$AB$1001,'2.현장'!$V$2:$V$1001,B171,'2.현장'!$T$2:$T$1001,TRUE))</f>
        <v/>
      </c>
      <c r="H171" s="5">
        <f>IF(B171="","",_xlfn.MAXIFS('2.현장'!$D$2:$D$1001,'2.현장'!$V$2:$V$1001,B171,'2.현장'!$T$2:$T$1001,TRUE))</f>
        <v/>
      </c>
      <c r="I171" s="7">
        <f>IF(B171="","",IF(_xlfn.MAXIFS('2.현장'!$L$2:$L$1001,'2.현장'!$V$2:$V$1001,B171,'2.현장'!$T$2:$T$1001,TRUE)=0,"",_xlfn.MAXIFS('2.현장'!$L$2:$L$1001,'2.현장'!$V$2:$V$1001,B171,'2.현장'!$T$2:$T$1001,TRUE)))</f>
        <v/>
      </c>
      <c r="J171" s="7">
        <f>IF(B171="","",IF(_xlfn.MAXIFS('2.현장'!$M$2:$M$1001,'2.현장'!$V$2:$V$1001,B171,'2.현장'!$T$2:$T$1001,TRUE)=0,"",_xlfn.MAXIFS('2.현장'!$M$2:$M$1001,'2.현장'!$V$2:$V$1001,B171,'2.현장'!$T$2:$T$1001,TRUE)))</f>
        <v/>
      </c>
      <c r="K171">
        <f>IF(B171="","",IFERROR(INDEX('2.현장'!$C$2:$C$1001,IFERROR(MATCH(B171&amp;"|설계사",'2.현장'!$Z$2:$Z$1001,0),IFERROR(MATCH(B171&amp;"|시공사",'2.현장'!$Z$2:$Z$1001,0),MATCH(B171&amp;"|늦음",'2.현장'!$Z$2:$Z$1001,0)))),""))</f>
        <v/>
      </c>
      <c r="L171">
        <f>IF(B171="","",IFERROR(INDEX('2.현장'!$N$2:$N$1001,IFERROR(MATCH(B171&amp;"|설계사",'2.현장'!$Z$2:$Z$1001,0),IFERROR(MATCH(B171&amp;"|시공사",'2.현장'!$Z$2:$Z$1001,0),MATCH(B171&amp;"|늦음",'2.현장'!$Z$2:$Z$1001,0)))),""))</f>
        <v/>
      </c>
      <c r="M171">
        <f>IF(B171="","",IFERROR(VLOOKUP(B171,업체_메모!$A$3:$I$302,2,FALSE)&amp;"",""))</f>
        <v/>
      </c>
      <c r="N171">
        <f>IF(B171="","",IFERROR(VLOOKUP(B171,업체_메모!$A$3:$I$302,4,FALSE)&amp;"",""))</f>
        <v/>
      </c>
      <c r="O171" s="7">
        <f>IF(B171="","",IF(COUNTIF('4.방문기록'!$B$3:$B$502,B171)=0,"",_xlfn.MAXIFS('4.방문기록'!$A$3:$A$502,'4.방문기록'!$B$3:$B$502,B171)))</f>
        <v/>
      </c>
      <c r="P171">
        <f>IF(O171="","",설정!$B$24-O171)</f>
        <v/>
      </c>
      <c r="Q171" s="7">
        <f>IF(B171="","",IF(_xlfn.MAXIFS('4.방문기록'!$F$3:$F$502,'4.방문기록'!$B$3:$B$502,B171)=0,"",_xlfn.MAXIFS('4.방문기록'!$F$3:$F$502,'4.방문기록'!$B$3:$B$502,B171)))</f>
        <v/>
      </c>
      <c r="R171">
        <f>IF(O171="","",IFERROR(INDEX('4.방문기록'!$H$3:$H$502,MATCH(B171&amp;"|"&amp;(O171*1),'4.방문기록'!$I$3:$I$502,0))&amp;"",""))</f>
        <v/>
      </c>
      <c r="S171">
        <f>IF(B171="","",IF(R171="관심 없음","제외",IF(O171="","안 가봄",IF(P171&gt;=설정!$B$20,P171&amp;"일 지남","최근 방문"))))</f>
        <v/>
      </c>
      <c r="T171" s="8">
        <f>IF(B171="","",IF(S171="제외","",IF(AND(설정!$B$21&lt;&gt;"",L171&lt;&gt;설정!$B$21),"",IF(AND(Q171&lt;&gt;"",Q171&gt;N(O171),Q171&lt;=설정!$B$24+7),설정!$B$39+7-(Q171-설정!$B$24),IF(AND(G171&gt;0,OR(S171="안 가봄",RIGHT(S171,2)="지남")),G171+IF(O171="",설정!$B$36,MIN(P171,60)*설정!$B$37)+MIN(N(H171)/1000*설정!$B$38,20),"")))))</f>
        <v/>
      </c>
      <c r="U171">
        <f>IF(T171="","",COUNTIF(T$4:T$303,"&gt;"&amp;T171)+COUNTIF(T$4:T171,T171))</f>
        <v/>
      </c>
    </row>
    <row r="172">
      <c r="A172">
        <f>IF(B172="","",169)</f>
        <v/>
      </c>
      <c r="B172">
        <f>IFERROR(INDEX('2.현장'!$V$2:$V$1001,MATCH(169,'2.현장'!$W$2:$W$1001,0)),"")</f>
        <v/>
      </c>
      <c r="C172">
        <f>IF(B172="","",COUNTIFS('2.현장'!$V$2:$V$1001,B172,'2.현장'!$T$2:$T$1001,TRUE))</f>
        <v/>
      </c>
      <c r="D172">
        <f>IF(B172="","",COUNTIFS('2.현장'!$V$2:$V$1001,B172,'2.현장'!$U$2:$U$1001,"설계사"))</f>
        <v/>
      </c>
      <c r="E172">
        <f>IF(B172="","",COUNTIFS('2.현장'!$V$2:$V$1001,B172,'2.현장'!$U$2:$U$1001,"시공사"))</f>
        <v/>
      </c>
      <c r="F172">
        <f>IF(B172="","",COUNTIFS('2.현장'!$V$2:$V$1001,B172,'2.현장'!$T$2:$T$1001,TRUE,'2.현장'!$AA$2:$AA$1001,"★"))</f>
        <v/>
      </c>
      <c r="G172" s="6">
        <f>IF(B172="","",SUMIFS('2.현장'!$AB$2:$AB$1001,'2.현장'!$V$2:$V$1001,B172,'2.현장'!$T$2:$T$1001,TRUE))</f>
        <v/>
      </c>
      <c r="H172" s="5">
        <f>IF(B172="","",_xlfn.MAXIFS('2.현장'!$D$2:$D$1001,'2.현장'!$V$2:$V$1001,B172,'2.현장'!$T$2:$T$1001,TRUE))</f>
        <v/>
      </c>
      <c r="I172" s="7">
        <f>IF(B172="","",IF(_xlfn.MAXIFS('2.현장'!$L$2:$L$1001,'2.현장'!$V$2:$V$1001,B172,'2.현장'!$T$2:$T$1001,TRUE)=0,"",_xlfn.MAXIFS('2.현장'!$L$2:$L$1001,'2.현장'!$V$2:$V$1001,B172,'2.현장'!$T$2:$T$1001,TRUE)))</f>
        <v/>
      </c>
      <c r="J172" s="7">
        <f>IF(B172="","",IF(_xlfn.MAXIFS('2.현장'!$M$2:$M$1001,'2.현장'!$V$2:$V$1001,B172,'2.현장'!$T$2:$T$1001,TRUE)=0,"",_xlfn.MAXIFS('2.현장'!$M$2:$M$1001,'2.현장'!$V$2:$V$1001,B172,'2.현장'!$T$2:$T$1001,TRUE)))</f>
        <v/>
      </c>
      <c r="K172">
        <f>IF(B172="","",IFERROR(INDEX('2.현장'!$C$2:$C$1001,IFERROR(MATCH(B172&amp;"|설계사",'2.현장'!$Z$2:$Z$1001,0),IFERROR(MATCH(B172&amp;"|시공사",'2.현장'!$Z$2:$Z$1001,0),MATCH(B172&amp;"|늦음",'2.현장'!$Z$2:$Z$1001,0)))),""))</f>
        <v/>
      </c>
      <c r="L172">
        <f>IF(B172="","",IFERROR(INDEX('2.현장'!$N$2:$N$1001,IFERROR(MATCH(B172&amp;"|설계사",'2.현장'!$Z$2:$Z$1001,0),IFERROR(MATCH(B172&amp;"|시공사",'2.현장'!$Z$2:$Z$1001,0),MATCH(B172&amp;"|늦음",'2.현장'!$Z$2:$Z$1001,0)))),""))</f>
        <v/>
      </c>
      <c r="M172">
        <f>IF(B172="","",IFERROR(VLOOKUP(B172,업체_메모!$A$3:$I$302,2,FALSE)&amp;"",""))</f>
        <v/>
      </c>
      <c r="N172">
        <f>IF(B172="","",IFERROR(VLOOKUP(B172,업체_메모!$A$3:$I$302,4,FALSE)&amp;"",""))</f>
        <v/>
      </c>
      <c r="O172" s="7">
        <f>IF(B172="","",IF(COUNTIF('4.방문기록'!$B$3:$B$502,B172)=0,"",_xlfn.MAXIFS('4.방문기록'!$A$3:$A$502,'4.방문기록'!$B$3:$B$502,B172)))</f>
        <v/>
      </c>
      <c r="P172">
        <f>IF(O172="","",설정!$B$24-O172)</f>
        <v/>
      </c>
      <c r="Q172" s="7">
        <f>IF(B172="","",IF(_xlfn.MAXIFS('4.방문기록'!$F$3:$F$502,'4.방문기록'!$B$3:$B$502,B172)=0,"",_xlfn.MAXIFS('4.방문기록'!$F$3:$F$502,'4.방문기록'!$B$3:$B$502,B172)))</f>
        <v/>
      </c>
      <c r="R172">
        <f>IF(O172="","",IFERROR(INDEX('4.방문기록'!$H$3:$H$502,MATCH(B172&amp;"|"&amp;(O172*1),'4.방문기록'!$I$3:$I$502,0))&amp;"",""))</f>
        <v/>
      </c>
      <c r="S172">
        <f>IF(B172="","",IF(R172="관심 없음","제외",IF(O172="","안 가봄",IF(P172&gt;=설정!$B$20,P172&amp;"일 지남","최근 방문"))))</f>
        <v/>
      </c>
      <c r="T172" s="8">
        <f>IF(B172="","",IF(S172="제외","",IF(AND(설정!$B$21&lt;&gt;"",L172&lt;&gt;설정!$B$21),"",IF(AND(Q172&lt;&gt;"",Q172&gt;N(O172),Q172&lt;=설정!$B$24+7),설정!$B$39+7-(Q172-설정!$B$24),IF(AND(G172&gt;0,OR(S172="안 가봄",RIGHT(S172,2)="지남")),G172+IF(O172="",설정!$B$36,MIN(P172,60)*설정!$B$37)+MIN(N(H172)/1000*설정!$B$38,20),"")))))</f>
        <v/>
      </c>
      <c r="U172">
        <f>IF(T172="","",COUNTIF(T$4:T$303,"&gt;"&amp;T172)+COUNTIF(T$4:T172,T172))</f>
        <v/>
      </c>
    </row>
    <row r="173">
      <c r="A173">
        <f>IF(B173="","",170)</f>
        <v/>
      </c>
      <c r="B173">
        <f>IFERROR(INDEX('2.현장'!$V$2:$V$1001,MATCH(170,'2.현장'!$W$2:$W$1001,0)),"")</f>
        <v/>
      </c>
      <c r="C173">
        <f>IF(B173="","",COUNTIFS('2.현장'!$V$2:$V$1001,B173,'2.현장'!$T$2:$T$1001,TRUE))</f>
        <v/>
      </c>
      <c r="D173">
        <f>IF(B173="","",COUNTIFS('2.현장'!$V$2:$V$1001,B173,'2.현장'!$U$2:$U$1001,"설계사"))</f>
        <v/>
      </c>
      <c r="E173">
        <f>IF(B173="","",COUNTIFS('2.현장'!$V$2:$V$1001,B173,'2.현장'!$U$2:$U$1001,"시공사"))</f>
        <v/>
      </c>
      <c r="F173">
        <f>IF(B173="","",COUNTIFS('2.현장'!$V$2:$V$1001,B173,'2.현장'!$T$2:$T$1001,TRUE,'2.현장'!$AA$2:$AA$1001,"★"))</f>
        <v/>
      </c>
      <c r="G173" s="6">
        <f>IF(B173="","",SUMIFS('2.현장'!$AB$2:$AB$1001,'2.현장'!$V$2:$V$1001,B173,'2.현장'!$T$2:$T$1001,TRUE))</f>
        <v/>
      </c>
      <c r="H173" s="5">
        <f>IF(B173="","",_xlfn.MAXIFS('2.현장'!$D$2:$D$1001,'2.현장'!$V$2:$V$1001,B173,'2.현장'!$T$2:$T$1001,TRUE))</f>
        <v/>
      </c>
      <c r="I173" s="7">
        <f>IF(B173="","",IF(_xlfn.MAXIFS('2.현장'!$L$2:$L$1001,'2.현장'!$V$2:$V$1001,B173,'2.현장'!$T$2:$T$1001,TRUE)=0,"",_xlfn.MAXIFS('2.현장'!$L$2:$L$1001,'2.현장'!$V$2:$V$1001,B173,'2.현장'!$T$2:$T$1001,TRUE)))</f>
        <v/>
      </c>
      <c r="J173" s="7">
        <f>IF(B173="","",IF(_xlfn.MAXIFS('2.현장'!$M$2:$M$1001,'2.현장'!$V$2:$V$1001,B173,'2.현장'!$T$2:$T$1001,TRUE)=0,"",_xlfn.MAXIFS('2.현장'!$M$2:$M$1001,'2.현장'!$V$2:$V$1001,B173,'2.현장'!$T$2:$T$1001,TRUE)))</f>
        <v/>
      </c>
      <c r="K173">
        <f>IF(B173="","",IFERROR(INDEX('2.현장'!$C$2:$C$1001,IFERROR(MATCH(B173&amp;"|설계사",'2.현장'!$Z$2:$Z$1001,0),IFERROR(MATCH(B173&amp;"|시공사",'2.현장'!$Z$2:$Z$1001,0),MATCH(B173&amp;"|늦음",'2.현장'!$Z$2:$Z$1001,0)))),""))</f>
        <v/>
      </c>
      <c r="L173">
        <f>IF(B173="","",IFERROR(INDEX('2.현장'!$N$2:$N$1001,IFERROR(MATCH(B173&amp;"|설계사",'2.현장'!$Z$2:$Z$1001,0),IFERROR(MATCH(B173&amp;"|시공사",'2.현장'!$Z$2:$Z$1001,0),MATCH(B173&amp;"|늦음",'2.현장'!$Z$2:$Z$1001,0)))),""))</f>
        <v/>
      </c>
      <c r="M173">
        <f>IF(B173="","",IFERROR(VLOOKUP(B173,업체_메모!$A$3:$I$302,2,FALSE)&amp;"",""))</f>
        <v/>
      </c>
      <c r="N173">
        <f>IF(B173="","",IFERROR(VLOOKUP(B173,업체_메모!$A$3:$I$302,4,FALSE)&amp;"",""))</f>
        <v/>
      </c>
      <c r="O173" s="7">
        <f>IF(B173="","",IF(COUNTIF('4.방문기록'!$B$3:$B$502,B173)=0,"",_xlfn.MAXIFS('4.방문기록'!$A$3:$A$502,'4.방문기록'!$B$3:$B$502,B173)))</f>
        <v/>
      </c>
      <c r="P173">
        <f>IF(O173="","",설정!$B$24-O173)</f>
        <v/>
      </c>
      <c r="Q173" s="7">
        <f>IF(B173="","",IF(_xlfn.MAXIFS('4.방문기록'!$F$3:$F$502,'4.방문기록'!$B$3:$B$502,B173)=0,"",_xlfn.MAXIFS('4.방문기록'!$F$3:$F$502,'4.방문기록'!$B$3:$B$502,B173)))</f>
        <v/>
      </c>
      <c r="R173">
        <f>IF(O173="","",IFERROR(INDEX('4.방문기록'!$H$3:$H$502,MATCH(B173&amp;"|"&amp;(O173*1),'4.방문기록'!$I$3:$I$502,0))&amp;"",""))</f>
        <v/>
      </c>
      <c r="S173">
        <f>IF(B173="","",IF(R173="관심 없음","제외",IF(O173="","안 가봄",IF(P173&gt;=설정!$B$20,P173&amp;"일 지남","최근 방문"))))</f>
        <v/>
      </c>
      <c r="T173" s="8">
        <f>IF(B173="","",IF(S173="제외","",IF(AND(설정!$B$21&lt;&gt;"",L173&lt;&gt;설정!$B$21),"",IF(AND(Q173&lt;&gt;"",Q173&gt;N(O173),Q173&lt;=설정!$B$24+7),설정!$B$39+7-(Q173-설정!$B$24),IF(AND(G173&gt;0,OR(S173="안 가봄",RIGHT(S173,2)="지남")),G173+IF(O173="",설정!$B$36,MIN(P173,60)*설정!$B$37)+MIN(N(H173)/1000*설정!$B$38,20),"")))))</f>
        <v/>
      </c>
      <c r="U173">
        <f>IF(T173="","",COUNTIF(T$4:T$303,"&gt;"&amp;T173)+COUNTIF(T$4:T173,T173))</f>
        <v/>
      </c>
    </row>
    <row r="174">
      <c r="A174">
        <f>IF(B174="","",171)</f>
        <v/>
      </c>
      <c r="B174">
        <f>IFERROR(INDEX('2.현장'!$V$2:$V$1001,MATCH(171,'2.현장'!$W$2:$W$1001,0)),"")</f>
        <v/>
      </c>
      <c r="C174">
        <f>IF(B174="","",COUNTIFS('2.현장'!$V$2:$V$1001,B174,'2.현장'!$T$2:$T$1001,TRUE))</f>
        <v/>
      </c>
      <c r="D174">
        <f>IF(B174="","",COUNTIFS('2.현장'!$V$2:$V$1001,B174,'2.현장'!$U$2:$U$1001,"설계사"))</f>
        <v/>
      </c>
      <c r="E174">
        <f>IF(B174="","",COUNTIFS('2.현장'!$V$2:$V$1001,B174,'2.현장'!$U$2:$U$1001,"시공사"))</f>
        <v/>
      </c>
      <c r="F174">
        <f>IF(B174="","",COUNTIFS('2.현장'!$V$2:$V$1001,B174,'2.현장'!$T$2:$T$1001,TRUE,'2.현장'!$AA$2:$AA$1001,"★"))</f>
        <v/>
      </c>
      <c r="G174" s="6">
        <f>IF(B174="","",SUMIFS('2.현장'!$AB$2:$AB$1001,'2.현장'!$V$2:$V$1001,B174,'2.현장'!$T$2:$T$1001,TRUE))</f>
        <v/>
      </c>
      <c r="H174" s="5">
        <f>IF(B174="","",_xlfn.MAXIFS('2.현장'!$D$2:$D$1001,'2.현장'!$V$2:$V$1001,B174,'2.현장'!$T$2:$T$1001,TRUE))</f>
        <v/>
      </c>
      <c r="I174" s="7">
        <f>IF(B174="","",IF(_xlfn.MAXIFS('2.현장'!$L$2:$L$1001,'2.현장'!$V$2:$V$1001,B174,'2.현장'!$T$2:$T$1001,TRUE)=0,"",_xlfn.MAXIFS('2.현장'!$L$2:$L$1001,'2.현장'!$V$2:$V$1001,B174,'2.현장'!$T$2:$T$1001,TRUE)))</f>
        <v/>
      </c>
      <c r="J174" s="7">
        <f>IF(B174="","",IF(_xlfn.MAXIFS('2.현장'!$M$2:$M$1001,'2.현장'!$V$2:$V$1001,B174,'2.현장'!$T$2:$T$1001,TRUE)=0,"",_xlfn.MAXIFS('2.현장'!$M$2:$M$1001,'2.현장'!$V$2:$V$1001,B174,'2.현장'!$T$2:$T$1001,TRUE)))</f>
        <v/>
      </c>
      <c r="K174">
        <f>IF(B174="","",IFERROR(INDEX('2.현장'!$C$2:$C$1001,IFERROR(MATCH(B174&amp;"|설계사",'2.현장'!$Z$2:$Z$1001,0),IFERROR(MATCH(B174&amp;"|시공사",'2.현장'!$Z$2:$Z$1001,0),MATCH(B174&amp;"|늦음",'2.현장'!$Z$2:$Z$1001,0)))),""))</f>
        <v/>
      </c>
      <c r="L174">
        <f>IF(B174="","",IFERROR(INDEX('2.현장'!$N$2:$N$1001,IFERROR(MATCH(B174&amp;"|설계사",'2.현장'!$Z$2:$Z$1001,0),IFERROR(MATCH(B174&amp;"|시공사",'2.현장'!$Z$2:$Z$1001,0),MATCH(B174&amp;"|늦음",'2.현장'!$Z$2:$Z$1001,0)))),""))</f>
        <v/>
      </c>
      <c r="M174">
        <f>IF(B174="","",IFERROR(VLOOKUP(B174,업체_메모!$A$3:$I$302,2,FALSE)&amp;"",""))</f>
        <v/>
      </c>
      <c r="N174">
        <f>IF(B174="","",IFERROR(VLOOKUP(B174,업체_메모!$A$3:$I$302,4,FALSE)&amp;"",""))</f>
        <v/>
      </c>
      <c r="O174" s="7">
        <f>IF(B174="","",IF(COUNTIF('4.방문기록'!$B$3:$B$502,B174)=0,"",_xlfn.MAXIFS('4.방문기록'!$A$3:$A$502,'4.방문기록'!$B$3:$B$502,B174)))</f>
        <v/>
      </c>
      <c r="P174">
        <f>IF(O174="","",설정!$B$24-O174)</f>
        <v/>
      </c>
      <c r="Q174" s="7">
        <f>IF(B174="","",IF(_xlfn.MAXIFS('4.방문기록'!$F$3:$F$502,'4.방문기록'!$B$3:$B$502,B174)=0,"",_xlfn.MAXIFS('4.방문기록'!$F$3:$F$502,'4.방문기록'!$B$3:$B$502,B174)))</f>
        <v/>
      </c>
      <c r="R174">
        <f>IF(O174="","",IFERROR(INDEX('4.방문기록'!$H$3:$H$502,MATCH(B174&amp;"|"&amp;(O174*1),'4.방문기록'!$I$3:$I$502,0))&amp;"",""))</f>
        <v/>
      </c>
      <c r="S174">
        <f>IF(B174="","",IF(R174="관심 없음","제외",IF(O174="","안 가봄",IF(P174&gt;=설정!$B$20,P174&amp;"일 지남","최근 방문"))))</f>
        <v/>
      </c>
      <c r="T174" s="8">
        <f>IF(B174="","",IF(S174="제외","",IF(AND(설정!$B$21&lt;&gt;"",L174&lt;&gt;설정!$B$21),"",IF(AND(Q174&lt;&gt;"",Q174&gt;N(O174),Q174&lt;=설정!$B$24+7),설정!$B$39+7-(Q174-설정!$B$24),IF(AND(G174&gt;0,OR(S174="안 가봄",RIGHT(S174,2)="지남")),G174+IF(O174="",설정!$B$36,MIN(P174,60)*설정!$B$37)+MIN(N(H174)/1000*설정!$B$38,20),"")))))</f>
        <v/>
      </c>
      <c r="U174">
        <f>IF(T174="","",COUNTIF(T$4:T$303,"&gt;"&amp;T174)+COUNTIF(T$4:T174,T174))</f>
        <v/>
      </c>
    </row>
    <row r="175">
      <c r="A175">
        <f>IF(B175="","",172)</f>
        <v/>
      </c>
      <c r="B175">
        <f>IFERROR(INDEX('2.현장'!$V$2:$V$1001,MATCH(172,'2.현장'!$W$2:$W$1001,0)),"")</f>
        <v/>
      </c>
      <c r="C175">
        <f>IF(B175="","",COUNTIFS('2.현장'!$V$2:$V$1001,B175,'2.현장'!$T$2:$T$1001,TRUE))</f>
        <v/>
      </c>
      <c r="D175">
        <f>IF(B175="","",COUNTIFS('2.현장'!$V$2:$V$1001,B175,'2.현장'!$U$2:$U$1001,"설계사"))</f>
        <v/>
      </c>
      <c r="E175">
        <f>IF(B175="","",COUNTIFS('2.현장'!$V$2:$V$1001,B175,'2.현장'!$U$2:$U$1001,"시공사"))</f>
        <v/>
      </c>
      <c r="F175">
        <f>IF(B175="","",COUNTIFS('2.현장'!$V$2:$V$1001,B175,'2.현장'!$T$2:$T$1001,TRUE,'2.현장'!$AA$2:$AA$1001,"★"))</f>
        <v/>
      </c>
      <c r="G175" s="6">
        <f>IF(B175="","",SUMIFS('2.현장'!$AB$2:$AB$1001,'2.현장'!$V$2:$V$1001,B175,'2.현장'!$T$2:$T$1001,TRUE))</f>
        <v/>
      </c>
      <c r="H175" s="5">
        <f>IF(B175="","",_xlfn.MAXIFS('2.현장'!$D$2:$D$1001,'2.현장'!$V$2:$V$1001,B175,'2.현장'!$T$2:$T$1001,TRUE))</f>
        <v/>
      </c>
      <c r="I175" s="7">
        <f>IF(B175="","",IF(_xlfn.MAXIFS('2.현장'!$L$2:$L$1001,'2.현장'!$V$2:$V$1001,B175,'2.현장'!$T$2:$T$1001,TRUE)=0,"",_xlfn.MAXIFS('2.현장'!$L$2:$L$1001,'2.현장'!$V$2:$V$1001,B175,'2.현장'!$T$2:$T$1001,TRUE)))</f>
        <v/>
      </c>
      <c r="J175" s="7">
        <f>IF(B175="","",IF(_xlfn.MAXIFS('2.현장'!$M$2:$M$1001,'2.현장'!$V$2:$V$1001,B175,'2.현장'!$T$2:$T$1001,TRUE)=0,"",_xlfn.MAXIFS('2.현장'!$M$2:$M$1001,'2.현장'!$V$2:$V$1001,B175,'2.현장'!$T$2:$T$1001,TRUE)))</f>
        <v/>
      </c>
      <c r="K175">
        <f>IF(B175="","",IFERROR(INDEX('2.현장'!$C$2:$C$1001,IFERROR(MATCH(B175&amp;"|설계사",'2.현장'!$Z$2:$Z$1001,0),IFERROR(MATCH(B175&amp;"|시공사",'2.현장'!$Z$2:$Z$1001,0),MATCH(B175&amp;"|늦음",'2.현장'!$Z$2:$Z$1001,0)))),""))</f>
        <v/>
      </c>
      <c r="L175">
        <f>IF(B175="","",IFERROR(INDEX('2.현장'!$N$2:$N$1001,IFERROR(MATCH(B175&amp;"|설계사",'2.현장'!$Z$2:$Z$1001,0),IFERROR(MATCH(B175&amp;"|시공사",'2.현장'!$Z$2:$Z$1001,0),MATCH(B175&amp;"|늦음",'2.현장'!$Z$2:$Z$1001,0)))),""))</f>
        <v/>
      </c>
      <c r="M175">
        <f>IF(B175="","",IFERROR(VLOOKUP(B175,업체_메모!$A$3:$I$302,2,FALSE)&amp;"",""))</f>
        <v/>
      </c>
      <c r="N175">
        <f>IF(B175="","",IFERROR(VLOOKUP(B175,업체_메모!$A$3:$I$302,4,FALSE)&amp;"",""))</f>
        <v/>
      </c>
      <c r="O175" s="7">
        <f>IF(B175="","",IF(COUNTIF('4.방문기록'!$B$3:$B$502,B175)=0,"",_xlfn.MAXIFS('4.방문기록'!$A$3:$A$502,'4.방문기록'!$B$3:$B$502,B175)))</f>
        <v/>
      </c>
      <c r="P175">
        <f>IF(O175="","",설정!$B$24-O175)</f>
        <v/>
      </c>
      <c r="Q175" s="7">
        <f>IF(B175="","",IF(_xlfn.MAXIFS('4.방문기록'!$F$3:$F$502,'4.방문기록'!$B$3:$B$502,B175)=0,"",_xlfn.MAXIFS('4.방문기록'!$F$3:$F$502,'4.방문기록'!$B$3:$B$502,B175)))</f>
        <v/>
      </c>
      <c r="R175">
        <f>IF(O175="","",IFERROR(INDEX('4.방문기록'!$H$3:$H$502,MATCH(B175&amp;"|"&amp;(O175*1),'4.방문기록'!$I$3:$I$502,0))&amp;"",""))</f>
        <v/>
      </c>
      <c r="S175">
        <f>IF(B175="","",IF(R175="관심 없음","제외",IF(O175="","안 가봄",IF(P175&gt;=설정!$B$20,P175&amp;"일 지남","최근 방문"))))</f>
        <v/>
      </c>
      <c r="T175" s="8">
        <f>IF(B175="","",IF(S175="제외","",IF(AND(설정!$B$21&lt;&gt;"",L175&lt;&gt;설정!$B$21),"",IF(AND(Q175&lt;&gt;"",Q175&gt;N(O175),Q175&lt;=설정!$B$24+7),설정!$B$39+7-(Q175-설정!$B$24),IF(AND(G175&gt;0,OR(S175="안 가봄",RIGHT(S175,2)="지남")),G175+IF(O175="",설정!$B$36,MIN(P175,60)*설정!$B$37)+MIN(N(H175)/1000*설정!$B$38,20),"")))))</f>
        <v/>
      </c>
      <c r="U175">
        <f>IF(T175="","",COUNTIF(T$4:T$303,"&gt;"&amp;T175)+COUNTIF(T$4:T175,T175))</f>
        <v/>
      </c>
    </row>
    <row r="176">
      <c r="A176">
        <f>IF(B176="","",173)</f>
        <v/>
      </c>
      <c r="B176">
        <f>IFERROR(INDEX('2.현장'!$V$2:$V$1001,MATCH(173,'2.현장'!$W$2:$W$1001,0)),"")</f>
        <v/>
      </c>
      <c r="C176">
        <f>IF(B176="","",COUNTIFS('2.현장'!$V$2:$V$1001,B176,'2.현장'!$T$2:$T$1001,TRUE))</f>
        <v/>
      </c>
      <c r="D176">
        <f>IF(B176="","",COUNTIFS('2.현장'!$V$2:$V$1001,B176,'2.현장'!$U$2:$U$1001,"설계사"))</f>
        <v/>
      </c>
      <c r="E176">
        <f>IF(B176="","",COUNTIFS('2.현장'!$V$2:$V$1001,B176,'2.현장'!$U$2:$U$1001,"시공사"))</f>
        <v/>
      </c>
      <c r="F176">
        <f>IF(B176="","",COUNTIFS('2.현장'!$V$2:$V$1001,B176,'2.현장'!$T$2:$T$1001,TRUE,'2.현장'!$AA$2:$AA$1001,"★"))</f>
        <v/>
      </c>
      <c r="G176" s="6">
        <f>IF(B176="","",SUMIFS('2.현장'!$AB$2:$AB$1001,'2.현장'!$V$2:$V$1001,B176,'2.현장'!$T$2:$T$1001,TRUE))</f>
        <v/>
      </c>
      <c r="H176" s="5">
        <f>IF(B176="","",_xlfn.MAXIFS('2.현장'!$D$2:$D$1001,'2.현장'!$V$2:$V$1001,B176,'2.현장'!$T$2:$T$1001,TRUE))</f>
        <v/>
      </c>
      <c r="I176" s="7">
        <f>IF(B176="","",IF(_xlfn.MAXIFS('2.현장'!$L$2:$L$1001,'2.현장'!$V$2:$V$1001,B176,'2.현장'!$T$2:$T$1001,TRUE)=0,"",_xlfn.MAXIFS('2.현장'!$L$2:$L$1001,'2.현장'!$V$2:$V$1001,B176,'2.현장'!$T$2:$T$1001,TRUE)))</f>
        <v/>
      </c>
      <c r="J176" s="7">
        <f>IF(B176="","",IF(_xlfn.MAXIFS('2.현장'!$M$2:$M$1001,'2.현장'!$V$2:$V$1001,B176,'2.현장'!$T$2:$T$1001,TRUE)=0,"",_xlfn.MAXIFS('2.현장'!$M$2:$M$1001,'2.현장'!$V$2:$V$1001,B176,'2.현장'!$T$2:$T$1001,TRUE)))</f>
        <v/>
      </c>
      <c r="K176">
        <f>IF(B176="","",IFERROR(INDEX('2.현장'!$C$2:$C$1001,IFERROR(MATCH(B176&amp;"|설계사",'2.현장'!$Z$2:$Z$1001,0),IFERROR(MATCH(B176&amp;"|시공사",'2.현장'!$Z$2:$Z$1001,0),MATCH(B176&amp;"|늦음",'2.현장'!$Z$2:$Z$1001,0)))),""))</f>
        <v/>
      </c>
      <c r="L176">
        <f>IF(B176="","",IFERROR(INDEX('2.현장'!$N$2:$N$1001,IFERROR(MATCH(B176&amp;"|설계사",'2.현장'!$Z$2:$Z$1001,0),IFERROR(MATCH(B176&amp;"|시공사",'2.현장'!$Z$2:$Z$1001,0),MATCH(B176&amp;"|늦음",'2.현장'!$Z$2:$Z$1001,0)))),""))</f>
        <v/>
      </c>
      <c r="M176">
        <f>IF(B176="","",IFERROR(VLOOKUP(B176,업체_메모!$A$3:$I$302,2,FALSE)&amp;"",""))</f>
        <v/>
      </c>
      <c r="N176">
        <f>IF(B176="","",IFERROR(VLOOKUP(B176,업체_메모!$A$3:$I$302,4,FALSE)&amp;"",""))</f>
        <v/>
      </c>
      <c r="O176" s="7">
        <f>IF(B176="","",IF(COUNTIF('4.방문기록'!$B$3:$B$502,B176)=0,"",_xlfn.MAXIFS('4.방문기록'!$A$3:$A$502,'4.방문기록'!$B$3:$B$502,B176)))</f>
        <v/>
      </c>
      <c r="P176">
        <f>IF(O176="","",설정!$B$24-O176)</f>
        <v/>
      </c>
      <c r="Q176" s="7">
        <f>IF(B176="","",IF(_xlfn.MAXIFS('4.방문기록'!$F$3:$F$502,'4.방문기록'!$B$3:$B$502,B176)=0,"",_xlfn.MAXIFS('4.방문기록'!$F$3:$F$502,'4.방문기록'!$B$3:$B$502,B176)))</f>
        <v/>
      </c>
      <c r="R176">
        <f>IF(O176="","",IFERROR(INDEX('4.방문기록'!$H$3:$H$502,MATCH(B176&amp;"|"&amp;(O176*1),'4.방문기록'!$I$3:$I$502,0))&amp;"",""))</f>
        <v/>
      </c>
      <c r="S176">
        <f>IF(B176="","",IF(R176="관심 없음","제외",IF(O176="","안 가봄",IF(P176&gt;=설정!$B$20,P176&amp;"일 지남","최근 방문"))))</f>
        <v/>
      </c>
      <c r="T176" s="8">
        <f>IF(B176="","",IF(S176="제외","",IF(AND(설정!$B$21&lt;&gt;"",L176&lt;&gt;설정!$B$21),"",IF(AND(Q176&lt;&gt;"",Q176&gt;N(O176),Q176&lt;=설정!$B$24+7),설정!$B$39+7-(Q176-설정!$B$24),IF(AND(G176&gt;0,OR(S176="안 가봄",RIGHT(S176,2)="지남")),G176+IF(O176="",설정!$B$36,MIN(P176,60)*설정!$B$37)+MIN(N(H176)/1000*설정!$B$38,20),"")))))</f>
        <v/>
      </c>
      <c r="U176">
        <f>IF(T176="","",COUNTIF(T$4:T$303,"&gt;"&amp;T176)+COUNTIF(T$4:T176,T176))</f>
        <v/>
      </c>
    </row>
    <row r="177">
      <c r="A177">
        <f>IF(B177="","",174)</f>
        <v/>
      </c>
      <c r="B177">
        <f>IFERROR(INDEX('2.현장'!$V$2:$V$1001,MATCH(174,'2.현장'!$W$2:$W$1001,0)),"")</f>
        <v/>
      </c>
      <c r="C177">
        <f>IF(B177="","",COUNTIFS('2.현장'!$V$2:$V$1001,B177,'2.현장'!$T$2:$T$1001,TRUE))</f>
        <v/>
      </c>
      <c r="D177">
        <f>IF(B177="","",COUNTIFS('2.현장'!$V$2:$V$1001,B177,'2.현장'!$U$2:$U$1001,"설계사"))</f>
        <v/>
      </c>
      <c r="E177">
        <f>IF(B177="","",COUNTIFS('2.현장'!$V$2:$V$1001,B177,'2.현장'!$U$2:$U$1001,"시공사"))</f>
        <v/>
      </c>
      <c r="F177">
        <f>IF(B177="","",COUNTIFS('2.현장'!$V$2:$V$1001,B177,'2.현장'!$T$2:$T$1001,TRUE,'2.현장'!$AA$2:$AA$1001,"★"))</f>
        <v/>
      </c>
      <c r="G177" s="6">
        <f>IF(B177="","",SUMIFS('2.현장'!$AB$2:$AB$1001,'2.현장'!$V$2:$V$1001,B177,'2.현장'!$T$2:$T$1001,TRUE))</f>
        <v/>
      </c>
      <c r="H177" s="5">
        <f>IF(B177="","",_xlfn.MAXIFS('2.현장'!$D$2:$D$1001,'2.현장'!$V$2:$V$1001,B177,'2.현장'!$T$2:$T$1001,TRUE))</f>
        <v/>
      </c>
      <c r="I177" s="7">
        <f>IF(B177="","",IF(_xlfn.MAXIFS('2.현장'!$L$2:$L$1001,'2.현장'!$V$2:$V$1001,B177,'2.현장'!$T$2:$T$1001,TRUE)=0,"",_xlfn.MAXIFS('2.현장'!$L$2:$L$1001,'2.현장'!$V$2:$V$1001,B177,'2.현장'!$T$2:$T$1001,TRUE)))</f>
        <v/>
      </c>
      <c r="J177" s="7">
        <f>IF(B177="","",IF(_xlfn.MAXIFS('2.현장'!$M$2:$M$1001,'2.현장'!$V$2:$V$1001,B177,'2.현장'!$T$2:$T$1001,TRUE)=0,"",_xlfn.MAXIFS('2.현장'!$M$2:$M$1001,'2.현장'!$V$2:$V$1001,B177,'2.현장'!$T$2:$T$1001,TRUE)))</f>
        <v/>
      </c>
      <c r="K177">
        <f>IF(B177="","",IFERROR(INDEX('2.현장'!$C$2:$C$1001,IFERROR(MATCH(B177&amp;"|설계사",'2.현장'!$Z$2:$Z$1001,0),IFERROR(MATCH(B177&amp;"|시공사",'2.현장'!$Z$2:$Z$1001,0),MATCH(B177&amp;"|늦음",'2.현장'!$Z$2:$Z$1001,0)))),""))</f>
        <v/>
      </c>
      <c r="L177">
        <f>IF(B177="","",IFERROR(INDEX('2.현장'!$N$2:$N$1001,IFERROR(MATCH(B177&amp;"|설계사",'2.현장'!$Z$2:$Z$1001,0),IFERROR(MATCH(B177&amp;"|시공사",'2.현장'!$Z$2:$Z$1001,0),MATCH(B177&amp;"|늦음",'2.현장'!$Z$2:$Z$1001,0)))),""))</f>
        <v/>
      </c>
      <c r="M177">
        <f>IF(B177="","",IFERROR(VLOOKUP(B177,업체_메모!$A$3:$I$302,2,FALSE)&amp;"",""))</f>
        <v/>
      </c>
      <c r="N177">
        <f>IF(B177="","",IFERROR(VLOOKUP(B177,업체_메모!$A$3:$I$302,4,FALSE)&amp;"",""))</f>
        <v/>
      </c>
      <c r="O177" s="7">
        <f>IF(B177="","",IF(COUNTIF('4.방문기록'!$B$3:$B$502,B177)=0,"",_xlfn.MAXIFS('4.방문기록'!$A$3:$A$502,'4.방문기록'!$B$3:$B$502,B177)))</f>
        <v/>
      </c>
      <c r="P177">
        <f>IF(O177="","",설정!$B$24-O177)</f>
        <v/>
      </c>
      <c r="Q177" s="7">
        <f>IF(B177="","",IF(_xlfn.MAXIFS('4.방문기록'!$F$3:$F$502,'4.방문기록'!$B$3:$B$502,B177)=0,"",_xlfn.MAXIFS('4.방문기록'!$F$3:$F$502,'4.방문기록'!$B$3:$B$502,B177)))</f>
        <v/>
      </c>
      <c r="R177">
        <f>IF(O177="","",IFERROR(INDEX('4.방문기록'!$H$3:$H$502,MATCH(B177&amp;"|"&amp;(O177*1),'4.방문기록'!$I$3:$I$502,0))&amp;"",""))</f>
        <v/>
      </c>
      <c r="S177">
        <f>IF(B177="","",IF(R177="관심 없음","제외",IF(O177="","안 가봄",IF(P177&gt;=설정!$B$20,P177&amp;"일 지남","최근 방문"))))</f>
        <v/>
      </c>
      <c r="T177" s="8">
        <f>IF(B177="","",IF(S177="제외","",IF(AND(설정!$B$21&lt;&gt;"",L177&lt;&gt;설정!$B$21),"",IF(AND(Q177&lt;&gt;"",Q177&gt;N(O177),Q177&lt;=설정!$B$24+7),설정!$B$39+7-(Q177-설정!$B$24),IF(AND(G177&gt;0,OR(S177="안 가봄",RIGHT(S177,2)="지남")),G177+IF(O177="",설정!$B$36,MIN(P177,60)*설정!$B$37)+MIN(N(H177)/1000*설정!$B$38,20),"")))))</f>
        <v/>
      </c>
      <c r="U177">
        <f>IF(T177="","",COUNTIF(T$4:T$303,"&gt;"&amp;T177)+COUNTIF(T$4:T177,T177))</f>
        <v/>
      </c>
    </row>
    <row r="178">
      <c r="A178">
        <f>IF(B178="","",175)</f>
        <v/>
      </c>
      <c r="B178">
        <f>IFERROR(INDEX('2.현장'!$V$2:$V$1001,MATCH(175,'2.현장'!$W$2:$W$1001,0)),"")</f>
        <v/>
      </c>
      <c r="C178">
        <f>IF(B178="","",COUNTIFS('2.현장'!$V$2:$V$1001,B178,'2.현장'!$T$2:$T$1001,TRUE))</f>
        <v/>
      </c>
      <c r="D178">
        <f>IF(B178="","",COUNTIFS('2.현장'!$V$2:$V$1001,B178,'2.현장'!$U$2:$U$1001,"설계사"))</f>
        <v/>
      </c>
      <c r="E178">
        <f>IF(B178="","",COUNTIFS('2.현장'!$V$2:$V$1001,B178,'2.현장'!$U$2:$U$1001,"시공사"))</f>
        <v/>
      </c>
      <c r="F178">
        <f>IF(B178="","",COUNTIFS('2.현장'!$V$2:$V$1001,B178,'2.현장'!$T$2:$T$1001,TRUE,'2.현장'!$AA$2:$AA$1001,"★"))</f>
        <v/>
      </c>
      <c r="G178" s="6">
        <f>IF(B178="","",SUMIFS('2.현장'!$AB$2:$AB$1001,'2.현장'!$V$2:$V$1001,B178,'2.현장'!$T$2:$T$1001,TRUE))</f>
        <v/>
      </c>
      <c r="H178" s="5">
        <f>IF(B178="","",_xlfn.MAXIFS('2.현장'!$D$2:$D$1001,'2.현장'!$V$2:$V$1001,B178,'2.현장'!$T$2:$T$1001,TRUE))</f>
        <v/>
      </c>
      <c r="I178" s="7">
        <f>IF(B178="","",IF(_xlfn.MAXIFS('2.현장'!$L$2:$L$1001,'2.현장'!$V$2:$V$1001,B178,'2.현장'!$T$2:$T$1001,TRUE)=0,"",_xlfn.MAXIFS('2.현장'!$L$2:$L$1001,'2.현장'!$V$2:$V$1001,B178,'2.현장'!$T$2:$T$1001,TRUE)))</f>
        <v/>
      </c>
      <c r="J178" s="7">
        <f>IF(B178="","",IF(_xlfn.MAXIFS('2.현장'!$M$2:$M$1001,'2.현장'!$V$2:$V$1001,B178,'2.현장'!$T$2:$T$1001,TRUE)=0,"",_xlfn.MAXIFS('2.현장'!$M$2:$M$1001,'2.현장'!$V$2:$V$1001,B178,'2.현장'!$T$2:$T$1001,TRUE)))</f>
        <v/>
      </c>
      <c r="K178">
        <f>IF(B178="","",IFERROR(INDEX('2.현장'!$C$2:$C$1001,IFERROR(MATCH(B178&amp;"|설계사",'2.현장'!$Z$2:$Z$1001,0),IFERROR(MATCH(B178&amp;"|시공사",'2.현장'!$Z$2:$Z$1001,0),MATCH(B178&amp;"|늦음",'2.현장'!$Z$2:$Z$1001,0)))),""))</f>
        <v/>
      </c>
      <c r="L178">
        <f>IF(B178="","",IFERROR(INDEX('2.현장'!$N$2:$N$1001,IFERROR(MATCH(B178&amp;"|설계사",'2.현장'!$Z$2:$Z$1001,0),IFERROR(MATCH(B178&amp;"|시공사",'2.현장'!$Z$2:$Z$1001,0),MATCH(B178&amp;"|늦음",'2.현장'!$Z$2:$Z$1001,0)))),""))</f>
        <v/>
      </c>
      <c r="M178">
        <f>IF(B178="","",IFERROR(VLOOKUP(B178,업체_메모!$A$3:$I$302,2,FALSE)&amp;"",""))</f>
        <v/>
      </c>
      <c r="N178">
        <f>IF(B178="","",IFERROR(VLOOKUP(B178,업체_메모!$A$3:$I$302,4,FALSE)&amp;"",""))</f>
        <v/>
      </c>
      <c r="O178" s="7">
        <f>IF(B178="","",IF(COUNTIF('4.방문기록'!$B$3:$B$502,B178)=0,"",_xlfn.MAXIFS('4.방문기록'!$A$3:$A$502,'4.방문기록'!$B$3:$B$502,B178)))</f>
        <v/>
      </c>
      <c r="P178">
        <f>IF(O178="","",설정!$B$24-O178)</f>
        <v/>
      </c>
      <c r="Q178" s="7">
        <f>IF(B178="","",IF(_xlfn.MAXIFS('4.방문기록'!$F$3:$F$502,'4.방문기록'!$B$3:$B$502,B178)=0,"",_xlfn.MAXIFS('4.방문기록'!$F$3:$F$502,'4.방문기록'!$B$3:$B$502,B178)))</f>
        <v/>
      </c>
      <c r="R178">
        <f>IF(O178="","",IFERROR(INDEX('4.방문기록'!$H$3:$H$502,MATCH(B178&amp;"|"&amp;(O178*1),'4.방문기록'!$I$3:$I$502,0))&amp;"",""))</f>
        <v/>
      </c>
      <c r="S178">
        <f>IF(B178="","",IF(R178="관심 없음","제외",IF(O178="","안 가봄",IF(P178&gt;=설정!$B$20,P178&amp;"일 지남","최근 방문"))))</f>
        <v/>
      </c>
      <c r="T178" s="8">
        <f>IF(B178="","",IF(S178="제외","",IF(AND(설정!$B$21&lt;&gt;"",L178&lt;&gt;설정!$B$21),"",IF(AND(Q178&lt;&gt;"",Q178&gt;N(O178),Q178&lt;=설정!$B$24+7),설정!$B$39+7-(Q178-설정!$B$24),IF(AND(G178&gt;0,OR(S178="안 가봄",RIGHT(S178,2)="지남")),G178+IF(O178="",설정!$B$36,MIN(P178,60)*설정!$B$37)+MIN(N(H178)/1000*설정!$B$38,20),"")))))</f>
        <v/>
      </c>
      <c r="U178">
        <f>IF(T178="","",COUNTIF(T$4:T$303,"&gt;"&amp;T178)+COUNTIF(T$4:T178,T178))</f>
        <v/>
      </c>
    </row>
    <row r="179">
      <c r="A179">
        <f>IF(B179="","",176)</f>
        <v/>
      </c>
      <c r="B179">
        <f>IFERROR(INDEX('2.현장'!$V$2:$V$1001,MATCH(176,'2.현장'!$W$2:$W$1001,0)),"")</f>
        <v/>
      </c>
      <c r="C179">
        <f>IF(B179="","",COUNTIFS('2.현장'!$V$2:$V$1001,B179,'2.현장'!$T$2:$T$1001,TRUE))</f>
        <v/>
      </c>
      <c r="D179">
        <f>IF(B179="","",COUNTIFS('2.현장'!$V$2:$V$1001,B179,'2.현장'!$U$2:$U$1001,"설계사"))</f>
        <v/>
      </c>
      <c r="E179">
        <f>IF(B179="","",COUNTIFS('2.현장'!$V$2:$V$1001,B179,'2.현장'!$U$2:$U$1001,"시공사"))</f>
        <v/>
      </c>
      <c r="F179">
        <f>IF(B179="","",COUNTIFS('2.현장'!$V$2:$V$1001,B179,'2.현장'!$T$2:$T$1001,TRUE,'2.현장'!$AA$2:$AA$1001,"★"))</f>
        <v/>
      </c>
      <c r="G179" s="6">
        <f>IF(B179="","",SUMIFS('2.현장'!$AB$2:$AB$1001,'2.현장'!$V$2:$V$1001,B179,'2.현장'!$T$2:$T$1001,TRUE))</f>
        <v/>
      </c>
      <c r="H179" s="5">
        <f>IF(B179="","",_xlfn.MAXIFS('2.현장'!$D$2:$D$1001,'2.현장'!$V$2:$V$1001,B179,'2.현장'!$T$2:$T$1001,TRUE))</f>
        <v/>
      </c>
      <c r="I179" s="7">
        <f>IF(B179="","",IF(_xlfn.MAXIFS('2.현장'!$L$2:$L$1001,'2.현장'!$V$2:$V$1001,B179,'2.현장'!$T$2:$T$1001,TRUE)=0,"",_xlfn.MAXIFS('2.현장'!$L$2:$L$1001,'2.현장'!$V$2:$V$1001,B179,'2.현장'!$T$2:$T$1001,TRUE)))</f>
        <v/>
      </c>
      <c r="J179" s="7">
        <f>IF(B179="","",IF(_xlfn.MAXIFS('2.현장'!$M$2:$M$1001,'2.현장'!$V$2:$V$1001,B179,'2.현장'!$T$2:$T$1001,TRUE)=0,"",_xlfn.MAXIFS('2.현장'!$M$2:$M$1001,'2.현장'!$V$2:$V$1001,B179,'2.현장'!$T$2:$T$1001,TRUE)))</f>
        <v/>
      </c>
      <c r="K179">
        <f>IF(B179="","",IFERROR(INDEX('2.현장'!$C$2:$C$1001,IFERROR(MATCH(B179&amp;"|설계사",'2.현장'!$Z$2:$Z$1001,0),IFERROR(MATCH(B179&amp;"|시공사",'2.현장'!$Z$2:$Z$1001,0),MATCH(B179&amp;"|늦음",'2.현장'!$Z$2:$Z$1001,0)))),""))</f>
        <v/>
      </c>
      <c r="L179">
        <f>IF(B179="","",IFERROR(INDEX('2.현장'!$N$2:$N$1001,IFERROR(MATCH(B179&amp;"|설계사",'2.현장'!$Z$2:$Z$1001,0),IFERROR(MATCH(B179&amp;"|시공사",'2.현장'!$Z$2:$Z$1001,0),MATCH(B179&amp;"|늦음",'2.현장'!$Z$2:$Z$1001,0)))),""))</f>
        <v/>
      </c>
      <c r="M179">
        <f>IF(B179="","",IFERROR(VLOOKUP(B179,업체_메모!$A$3:$I$302,2,FALSE)&amp;"",""))</f>
        <v/>
      </c>
      <c r="N179">
        <f>IF(B179="","",IFERROR(VLOOKUP(B179,업체_메모!$A$3:$I$302,4,FALSE)&amp;"",""))</f>
        <v/>
      </c>
      <c r="O179" s="7">
        <f>IF(B179="","",IF(COUNTIF('4.방문기록'!$B$3:$B$502,B179)=0,"",_xlfn.MAXIFS('4.방문기록'!$A$3:$A$502,'4.방문기록'!$B$3:$B$502,B179)))</f>
        <v/>
      </c>
      <c r="P179">
        <f>IF(O179="","",설정!$B$24-O179)</f>
        <v/>
      </c>
      <c r="Q179" s="7">
        <f>IF(B179="","",IF(_xlfn.MAXIFS('4.방문기록'!$F$3:$F$502,'4.방문기록'!$B$3:$B$502,B179)=0,"",_xlfn.MAXIFS('4.방문기록'!$F$3:$F$502,'4.방문기록'!$B$3:$B$502,B179)))</f>
        <v/>
      </c>
      <c r="R179">
        <f>IF(O179="","",IFERROR(INDEX('4.방문기록'!$H$3:$H$502,MATCH(B179&amp;"|"&amp;(O179*1),'4.방문기록'!$I$3:$I$502,0))&amp;"",""))</f>
        <v/>
      </c>
      <c r="S179">
        <f>IF(B179="","",IF(R179="관심 없음","제외",IF(O179="","안 가봄",IF(P179&gt;=설정!$B$20,P179&amp;"일 지남","최근 방문"))))</f>
        <v/>
      </c>
      <c r="T179" s="8">
        <f>IF(B179="","",IF(S179="제외","",IF(AND(설정!$B$21&lt;&gt;"",L179&lt;&gt;설정!$B$21),"",IF(AND(Q179&lt;&gt;"",Q179&gt;N(O179),Q179&lt;=설정!$B$24+7),설정!$B$39+7-(Q179-설정!$B$24),IF(AND(G179&gt;0,OR(S179="안 가봄",RIGHT(S179,2)="지남")),G179+IF(O179="",설정!$B$36,MIN(P179,60)*설정!$B$37)+MIN(N(H179)/1000*설정!$B$38,20),"")))))</f>
        <v/>
      </c>
      <c r="U179">
        <f>IF(T179="","",COUNTIF(T$4:T$303,"&gt;"&amp;T179)+COUNTIF(T$4:T179,T179))</f>
        <v/>
      </c>
    </row>
    <row r="180">
      <c r="A180">
        <f>IF(B180="","",177)</f>
        <v/>
      </c>
      <c r="B180">
        <f>IFERROR(INDEX('2.현장'!$V$2:$V$1001,MATCH(177,'2.현장'!$W$2:$W$1001,0)),"")</f>
        <v/>
      </c>
      <c r="C180">
        <f>IF(B180="","",COUNTIFS('2.현장'!$V$2:$V$1001,B180,'2.현장'!$T$2:$T$1001,TRUE))</f>
        <v/>
      </c>
      <c r="D180">
        <f>IF(B180="","",COUNTIFS('2.현장'!$V$2:$V$1001,B180,'2.현장'!$U$2:$U$1001,"설계사"))</f>
        <v/>
      </c>
      <c r="E180">
        <f>IF(B180="","",COUNTIFS('2.현장'!$V$2:$V$1001,B180,'2.현장'!$U$2:$U$1001,"시공사"))</f>
        <v/>
      </c>
      <c r="F180">
        <f>IF(B180="","",COUNTIFS('2.현장'!$V$2:$V$1001,B180,'2.현장'!$T$2:$T$1001,TRUE,'2.현장'!$AA$2:$AA$1001,"★"))</f>
        <v/>
      </c>
      <c r="G180" s="6">
        <f>IF(B180="","",SUMIFS('2.현장'!$AB$2:$AB$1001,'2.현장'!$V$2:$V$1001,B180,'2.현장'!$T$2:$T$1001,TRUE))</f>
        <v/>
      </c>
      <c r="H180" s="5">
        <f>IF(B180="","",_xlfn.MAXIFS('2.현장'!$D$2:$D$1001,'2.현장'!$V$2:$V$1001,B180,'2.현장'!$T$2:$T$1001,TRUE))</f>
        <v/>
      </c>
      <c r="I180" s="7">
        <f>IF(B180="","",IF(_xlfn.MAXIFS('2.현장'!$L$2:$L$1001,'2.현장'!$V$2:$V$1001,B180,'2.현장'!$T$2:$T$1001,TRUE)=0,"",_xlfn.MAXIFS('2.현장'!$L$2:$L$1001,'2.현장'!$V$2:$V$1001,B180,'2.현장'!$T$2:$T$1001,TRUE)))</f>
        <v/>
      </c>
      <c r="J180" s="7">
        <f>IF(B180="","",IF(_xlfn.MAXIFS('2.현장'!$M$2:$M$1001,'2.현장'!$V$2:$V$1001,B180,'2.현장'!$T$2:$T$1001,TRUE)=0,"",_xlfn.MAXIFS('2.현장'!$M$2:$M$1001,'2.현장'!$V$2:$V$1001,B180,'2.현장'!$T$2:$T$1001,TRUE)))</f>
        <v/>
      </c>
      <c r="K180">
        <f>IF(B180="","",IFERROR(INDEX('2.현장'!$C$2:$C$1001,IFERROR(MATCH(B180&amp;"|설계사",'2.현장'!$Z$2:$Z$1001,0),IFERROR(MATCH(B180&amp;"|시공사",'2.현장'!$Z$2:$Z$1001,0),MATCH(B180&amp;"|늦음",'2.현장'!$Z$2:$Z$1001,0)))),""))</f>
        <v/>
      </c>
      <c r="L180">
        <f>IF(B180="","",IFERROR(INDEX('2.현장'!$N$2:$N$1001,IFERROR(MATCH(B180&amp;"|설계사",'2.현장'!$Z$2:$Z$1001,0),IFERROR(MATCH(B180&amp;"|시공사",'2.현장'!$Z$2:$Z$1001,0),MATCH(B180&amp;"|늦음",'2.현장'!$Z$2:$Z$1001,0)))),""))</f>
        <v/>
      </c>
      <c r="M180">
        <f>IF(B180="","",IFERROR(VLOOKUP(B180,업체_메모!$A$3:$I$302,2,FALSE)&amp;"",""))</f>
        <v/>
      </c>
      <c r="N180">
        <f>IF(B180="","",IFERROR(VLOOKUP(B180,업체_메모!$A$3:$I$302,4,FALSE)&amp;"",""))</f>
        <v/>
      </c>
      <c r="O180" s="7">
        <f>IF(B180="","",IF(COUNTIF('4.방문기록'!$B$3:$B$502,B180)=0,"",_xlfn.MAXIFS('4.방문기록'!$A$3:$A$502,'4.방문기록'!$B$3:$B$502,B180)))</f>
        <v/>
      </c>
      <c r="P180">
        <f>IF(O180="","",설정!$B$24-O180)</f>
        <v/>
      </c>
      <c r="Q180" s="7">
        <f>IF(B180="","",IF(_xlfn.MAXIFS('4.방문기록'!$F$3:$F$502,'4.방문기록'!$B$3:$B$502,B180)=0,"",_xlfn.MAXIFS('4.방문기록'!$F$3:$F$502,'4.방문기록'!$B$3:$B$502,B180)))</f>
        <v/>
      </c>
      <c r="R180">
        <f>IF(O180="","",IFERROR(INDEX('4.방문기록'!$H$3:$H$502,MATCH(B180&amp;"|"&amp;(O180*1),'4.방문기록'!$I$3:$I$502,0))&amp;"",""))</f>
        <v/>
      </c>
      <c r="S180">
        <f>IF(B180="","",IF(R180="관심 없음","제외",IF(O180="","안 가봄",IF(P180&gt;=설정!$B$20,P180&amp;"일 지남","최근 방문"))))</f>
        <v/>
      </c>
      <c r="T180" s="8">
        <f>IF(B180="","",IF(S180="제외","",IF(AND(설정!$B$21&lt;&gt;"",L180&lt;&gt;설정!$B$21),"",IF(AND(Q180&lt;&gt;"",Q180&gt;N(O180),Q180&lt;=설정!$B$24+7),설정!$B$39+7-(Q180-설정!$B$24),IF(AND(G180&gt;0,OR(S180="안 가봄",RIGHT(S180,2)="지남")),G180+IF(O180="",설정!$B$36,MIN(P180,60)*설정!$B$37)+MIN(N(H180)/1000*설정!$B$38,20),"")))))</f>
        <v/>
      </c>
      <c r="U180">
        <f>IF(T180="","",COUNTIF(T$4:T$303,"&gt;"&amp;T180)+COUNTIF(T$4:T180,T180))</f>
        <v/>
      </c>
    </row>
    <row r="181">
      <c r="A181">
        <f>IF(B181="","",178)</f>
        <v/>
      </c>
      <c r="B181">
        <f>IFERROR(INDEX('2.현장'!$V$2:$V$1001,MATCH(178,'2.현장'!$W$2:$W$1001,0)),"")</f>
        <v/>
      </c>
      <c r="C181">
        <f>IF(B181="","",COUNTIFS('2.현장'!$V$2:$V$1001,B181,'2.현장'!$T$2:$T$1001,TRUE))</f>
        <v/>
      </c>
      <c r="D181">
        <f>IF(B181="","",COUNTIFS('2.현장'!$V$2:$V$1001,B181,'2.현장'!$U$2:$U$1001,"설계사"))</f>
        <v/>
      </c>
      <c r="E181">
        <f>IF(B181="","",COUNTIFS('2.현장'!$V$2:$V$1001,B181,'2.현장'!$U$2:$U$1001,"시공사"))</f>
        <v/>
      </c>
      <c r="F181">
        <f>IF(B181="","",COUNTIFS('2.현장'!$V$2:$V$1001,B181,'2.현장'!$T$2:$T$1001,TRUE,'2.현장'!$AA$2:$AA$1001,"★"))</f>
        <v/>
      </c>
      <c r="G181" s="6">
        <f>IF(B181="","",SUMIFS('2.현장'!$AB$2:$AB$1001,'2.현장'!$V$2:$V$1001,B181,'2.현장'!$T$2:$T$1001,TRUE))</f>
        <v/>
      </c>
      <c r="H181" s="5">
        <f>IF(B181="","",_xlfn.MAXIFS('2.현장'!$D$2:$D$1001,'2.현장'!$V$2:$V$1001,B181,'2.현장'!$T$2:$T$1001,TRUE))</f>
        <v/>
      </c>
      <c r="I181" s="7">
        <f>IF(B181="","",IF(_xlfn.MAXIFS('2.현장'!$L$2:$L$1001,'2.현장'!$V$2:$V$1001,B181,'2.현장'!$T$2:$T$1001,TRUE)=0,"",_xlfn.MAXIFS('2.현장'!$L$2:$L$1001,'2.현장'!$V$2:$V$1001,B181,'2.현장'!$T$2:$T$1001,TRUE)))</f>
        <v/>
      </c>
      <c r="J181" s="7">
        <f>IF(B181="","",IF(_xlfn.MAXIFS('2.현장'!$M$2:$M$1001,'2.현장'!$V$2:$V$1001,B181,'2.현장'!$T$2:$T$1001,TRUE)=0,"",_xlfn.MAXIFS('2.현장'!$M$2:$M$1001,'2.현장'!$V$2:$V$1001,B181,'2.현장'!$T$2:$T$1001,TRUE)))</f>
        <v/>
      </c>
      <c r="K181">
        <f>IF(B181="","",IFERROR(INDEX('2.현장'!$C$2:$C$1001,IFERROR(MATCH(B181&amp;"|설계사",'2.현장'!$Z$2:$Z$1001,0),IFERROR(MATCH(B181&amp;"|시공사",'2.현장'!$Z$2:$Z$1001,0),MATCH(B181&amp;"|늦음",'2.현장'!$Z$2:$Z$1001,0)))),""))</f>
        <v/>
      </c>
      <c r="L181">
        <f>IF(B181="","",IFERROR(INDEX('2.현장'!$N$2:$N$1001,IFERROR(MATCH(B181&amp;"|설계사",'2.현장'!$Z$2:$Z$1001,0),IFERROR(MATCH(B181&amp;"|시공사",'2.현장'!$Z$2:$Z$1001,0),MATCH(B181&amp;"|늦음",'2.현장'!$Z$2:$Z$1001,0)))),""))</f>
        <v/>
      </c>
      <c r="M181">
        <f>IF(B181="","",IFERROR(VLOOKUP(B181,업체_메모!$A$3:$I$302,2,FALSE)&amp;"",""))</f>
        <v/>
      </c>
      <c r="N181">
        <f>IF(B181="","",IFERROR(VLOOKUP(B181,업체_메모!$A$3:$I$302,4,FALSE)&amp;"",""))</f>
        <v/>
      </c>
      <c r="O181" s="7">
        <f>IF(B181="","",IF(COUNTIF('4.방문기록'!$B$3:$B$502,B181)=0,"",_xlfn.MAXIFS('4.방문기록'!$A$3:$A$502,'4.방문기록'!$B$3:$B$502,B181)))</f>
        <v/>
      </c>
      <c r="P181">
        <f>IF(O181="","",설정!$B$24-O181)</f>
        <v/>
      </c>
      <c r="Q181" s="7">
        <f>IF(B181="","",IF(_xlfn.MAXIFS('4.방문기록'!$F$3:$F$502,'4.방문기록'!$B$3:$B$502,B181)=0,"",_xlfn.MAXIFS('4.방문기록'!$F$3:$F$502,'4.방문기록'!$B$3:$B$502,B181)))</f>
        <v/>
      </c>
      <c r="R181">
        <f>IF(O181="","",IFERROR(INDEX('4.방문기록'!$H$3:$H$502,MATCH(B181&amp;"|"&amp;(O181*1),'4.방문기록'!$I$3:$I$502,0))&amp;"",""))</f>
        <v/>
      </c>
      <c r="S181">
        <f>IF(B181="","",IF(R181="관심 없음","제외",IF(O181="","안 가봄",IF(P181&gt;=설정!$B$20,P181&amp;"일 지남","최근 방문"))))</f>
        <v/>
      </c>
      <c r="T181" s="8">
        <f>IF(B181="","",IF(S181="제외","",IF(AND(설정!$B$21&lt;&gt;"",L181&lt;&gt;설정!$B$21),"",IF(AND(Q181&lt;&gt;"",Q181&gt;N(O181),Q181&lt;=설정!$B$24+7),설정!$B$39+7-(Q181-설정!$B$24),IF(AND(G181&gt;0,OR(S181="안 가봄",RIGHT(S181,2)="지남")),G181+IF(O181="",설정!$B$36,MIN(P181,60)*설정!$B$37)+MIN(N(H181)/1000*설정!$B$38,20),"")))))</f>
        <v/>
      </c>
      <c r="U181">
        <f>IF(T181="","",COUNTIF(T$4:T$303,"&gt;"&amp;T181)+COUNTIF(T$4:T181,T181))</f>
        <v/>
      </c>
    </row>
    <row r="182">
      <c r="A182">
        <f>IF(B182="","",179)</f>
        <v/>
      </c>
      <c r="B182">
        <f>IFERROR(INDEX('2.현장'!$V$2:$V$1001,MATCH(179,'2.현장'!$W$2:$W$1001,0)),"")</f>
        <v/>
      </c>
      <c r="C182">
        <f>IF(B182="","",COUNTIFS('2.현장'!$V$2:$V$1001,B182,'2.현장'!$T$2:$T$1001,TRUE))</f>
        <v/>
      </c>
      <c r="D182">
        <f>IF(B182="","",COUNTIFS('2.현장'!$V$2:$V$1001,B182,'2.현장'!$U$2:$U$1001,"설계사"))</f>
        <v/>
      </c>
      <c r="E182">
        <f>IF(B182="","",COUNTIFS('2.현장'!$V$2:$V$1001,B182,'2.현장'!$U$2:$U$1001,"시공사"))</f>
        <v/>
      </c>
      <c r="F182">
        <f>IF(B182="","",COUNTIFS('2.현장'!$V$2:$V$1001,B182,'2.현장'!$T$2:$T$1001,TRUE,'2.현장'!$AA$2:$AA$1001,"★"))</f>
        <v/>
      </c>
      <c r="G182" s="6">
        <f>IF(B182="","",SUMIFS('2.현장'!$AB$2:$AB$1001,'2.현장'!$V$2:$V$1001,B182,'2.현장'!$T$2:$T$1001,TRUE))</f>
        <v/>
      </c>
      <c r="H182" s="5">
        <f>IF(B182="","",_xlfn.MAXIFS('2.현장'!$D$2:$D$1001,'2.현장'!$V$2:$V$1001,B182,'2.현장'!$T$2:$T$1001,TRUE))</f>
        <v/>
      </c>
      <c r="I182" s="7">
        <f>IF(B182="","",IF(_xlfn.MAXIFS('2.현장'!$L$2:$L$1001,'2.현장'!$V$2:$V$1001,B182,'2.현장'!$T$2:$T$1001,TRUE)=0,"",_xlfn.MAXIFS('2.현장'!$L$2:$L$1001,'2.현장'!$V$2:$V$1001,B182,'2.현장'!$T$2:$T$1001,TRUE)))</f>
        <v/>
      </c>
      <c r="J182" s="7">
        <f>IF(B182="","",IF(_xlfn.MAXIFS('2.현장'!$M$2:$M$1001,'2.현장'!$V$2:$V$1001,B182,'2.현장'!$T$2:$T$1001,TRUE)=0,"",_xlfn.MAXIFS('2.현장'!$M$2:$M$1001,'2.현장'!$V$2:$V$1001,B182,'2.현장'!$T$2:$T$1001,TRUE)))</f>
        <v/>
      </c>
      <c r="K182">
        <f>IF(B182="","",IFERROR(INDEX('2.현장'!$C$2:$C$1001,IFERROR(MATCH(B182&amp;"|설계사",'2.현장'!$Z$2:$Z$1001,0),IFERROR(MATCH(B182&amp;"|시공사",'2.현장'!$Z$2:$Z$1001,0),MATCH(B182&amp;"|늦음",'2.현장'!$Z$2:$Z$1001,0)))),""))</f>
        <v/>
      </c>
      <c r="L182">
        <f>IF(B182="","",IFERROR(INDEX('2.현장'!$N$2:$N$1001,IFERROR(MATCH(B182&amp;"|설계사",'2.현장'!$Z$2:$Z$1001,0),IFERROR(MATCH(B182&amp;"|시공사",'2.현장'!$Z$2:$Z$1001,0),MATCH(B182&amp;"|늦음",'2.현장'!$Z$2:$Z$1001,0)))),""))</f>
        <v/>
      </c>
      <c r="M182">
        <f>IF(B182="","",IFERROR(VLOOKUP(B182,업체_메모!$A$3:$I$302,2,FALSE)&amp;"",""))</f>
        <v/>
      </c>
      <c r="N182">
        <f>IF(B182="","",IFERROR(VLOOKUP(B182,업체_메모!$A$3:$I$302,4,FALSE)&amp;"",""))</f>
        <v/>
      </c>
      <c r="O182" s="7">
        <f>IF(B182="","",IF(COUNTIF('4.방문기록'!$B$3:$B$502,B182)=0,"",_xlfn.MAXIFS('4.방문기록'!$A$3:$A$502,'4.방문기록'!$B$3:$B$502,B182)))</f>
        <v/>
      </c>
      <c r="P182">
        <f>IF(O182="","",설정!$B$24-O182)</f>
        <v/>
      </c>
      <c r="Q182" s="7">
        <f>IF(B182="","",IF(_xlfn.MAXIFS('4.방문기록'!$F$3:$F$502,'4.방문기록'!$B$3:$B$502,B182)=0,"",_xlfn.MAXIFS('4.방문기록'!$F$3:$F$502,'4.방문기록'!$B$3:$B$502,B182)))</f>
        <v/>
      </c>
      <c r="R182">
        <f>IF(O182="","",IFERROR(INDEX('4.방문기록'!$H$3:$H$502,MATCH(B182&amp;"|"&amp;(O182*1),'4.방문기록'!$I$3:$I$502,0))&amp;"",""))</f>
        <v/>
      </c>
      <c r="S182">
        <f>IF(B182="","",IF(R182="관심 없음","제외",IF(O182="","안 가봄",IF(P182&gt;=설정!$B$20,P182&amp;"일 지남","최근 방문"))))</f>
        <v/>
      </c>
      <c r="T182" s="8">
        <f>IF(B182="","",IF(S182="제외","",IF(AND(설정!$B$21&lt;&gt;"",L182&lt;&gt;설정!$B$21),"",IF(AND(Q182&lt;&gt;"",Q182&gt;N(O182),Q182&lt;=설정!$B$24+7),설정!$B$39+7-(Q182-설정!$B$24),IF(AND(G182&gt;0,OR(S182="안 가봄",RIGHT(S182,2)="지남")),G182+IF(O182="",설정!$B$36,MIN(P182,60)*설정!$B$37)+MIN(N(H182)/1000*설정!$B$38,20),"")))))</f>
        <v/>
      </c>
      <c r="U182">
        <f>IF(T182="","",COUNTIF(T$4:T$303,"&gt;"&amp;T182)+COUNTIF(T$4:T182,T182))</f>
        <v/>
      </c>
    </row>
    <row r="183">
      <c r="A183">
        <f>IF(B183="","",180)</f>
        <v/>
      </c>
      <c r="B183">
        <f>IFERROR(INDEX('2.현장'!$V$2:$V$1001,MATCH(180,'2.현장'!$W$2:$W$1001,0)),"")</f>
        <v/>
      </c>
      <c r="C183">
        <f>IF(B183="","",COUNTIFS('2.현장'!$V$2:$V$1001,B183,'2.현장'!$T$2:$T$1001,TRUE))</f>
        <v/>
      </c>
      <c r="D183">
        <f>IF(B183="","",COUNTIFS('2.현장'!$V$2:$V$1001,B183,'2.현장'!$U$2:$U$1001,"설계사"))</f>
        <v/>
      </c>
      <c r="E183">
        <f>IF(B183="","",COUNTIFS('2.현장'!$V$2:$V$1001,B183,'2.현장'!$U$2:$U$1001,"시공사"))</f>
        <v/>
      </c>
      <c r="F183">
        <f>IF(B183="","",COUNTIFS('2.현장'!$V$2:$V$1001,B183,'2.현장'!$T$2:$T$1001,TRUE,'2.현장'!$AA$2:$AA$1001,"★"))</f>
        <v/>
      </c>
      <c r="G183" s="6">
        <f>IF(B183="","",SUMIFS('2.현장'!$AB$2:$AB$1001,'2.현장'!$V$2:$V$1001,B183,'2.현장'!$T$2:$T$1001,TRUE))</f>
        <v/>
      </c>
      <c r="H183" s="5">
        <f>IF(B183="","",_xlfn.MAXIFS('2.현장'!$D$2:$D$1001,'2.현장'!$V$2:$V$1001,B183,'2.현장'!$T$2:$T$1001,TRUE))</f>
        <v/>
      </c>
      <c r="I183" s="7">
        <f>IF(B183="","",IF(_xlfn.MAXIFS('2.현장'!$L$2:$L$1001,'2.현장'!$V$2:$V$1001,B183,'2.현장'!$T$2:$T$1001,TRUE)=0,"",_xlfn.MAXIFS('2.현장'!$L$2:$L$1001,'2.현장'!$V$2:$V$1001,B183,'2.현장'!$T$2:$T$1001,TRUE)))</f>
        <v/>
      </c>
      <c r="J183" s="7">
        <f>IF(B183="","",IF(_xlfn.MAXIFS('2.현장'!$M$2:$M$1001,'2.현장'!$V$2:$V$1001,B183,'2.현장'!$T$2:$T$1001,TRUE)=0,"",_xlfn.MAXIFS('2.현장'!$M$2:$M$1001,'2.현장'!$V$2:$V$1001,B183,'2.현장'!$T$2:$T$1001,TRUE)))</f>
        <v/>
      </c>
      <c r="K183">
        <f>IF(B183="","",IFERROR(INDEX('2.현장'!$C$2:$C$1001,IFERROR(MATCH(B183&amp;"|설계사",'2.현장'!$Z$2:$Z$1001,0),IFERROR(MATCH(B183&amp;"|시공사",'2.현장'!$Z$2:$Z$1001,0),MATCH(B183&amp;"|늦음",'2.현장'!$Z$2:$Z$1001,0)))),""))</f>
        <v/>
      </c>
      <c r="L183">
        <f>IF(B183="","",IFERROR(INDEX('2.현장'!$N$2:$N$1001,IFERROR(MATCH(B183&amp;"|설계사",'2.현장'!$Z$2:$Z$1001,0),IFERROR(MATCH(B183&amp;"|시공사",'2.현장'!$Z$2:$Z$1001,0),MATCH(B183&amp;"|늦음",'2.현장'!$Z$2:$Z$1001,0)))),""))</f>
        <v/>
      </c>
      <c r="M183">
        <f>IF(B183="","",IFERROR(VLOOKUP(B183,업체_메모!$A$3:$I$302,2,FALSE)&amp;"",""))</f>
        <v/>
      </c>
      <c r="N183">
        <f>IF(B183="","",IFERROR(VLOOKUP(B183,업체_메모!$A$3:$I$302,4,FALSE)&amp;"",""))</f>
        <v/>
      </c>
      <c r="O183" s="7">
        <f>IF(B183="","",IF(COUNTIF('4.방문기록'!$B$3:$B$502,B183)=0,"",_xlfn.MAXIFS('4.방문기록'!$A$3:$A$502,'4.방문기록'!$B$3:$B$502,B183)))</f>
        <v/>
      </c>
      <c r="P183">
        <f>IF(O183="","",설정!$B$24-O183)</f>
        <v/>
      </c>
      <c r="Q183" s="7">
        <f>IF(B183="","",IF(_xlfn.MAXIFS('4.방문기록'!$F$3:$F$502,'4.방문기록'!$B$3:$B$502,B183)=0,"",_xlfn.MAXIFS('4.방문기록'!$F$3:$F$502,'4.방문기록'!$B$3:$B$502,B183)))</f>
        <v/>
      </c>
      <c r="R183">
        <f>IF(O183="","",IFERROR(INDEX('4.방문기록'!$H$3:$H$502,MATCH(B183&amp;"|"&amp;(O183*1),'4.방문기록'!$I$3:$I$502,0))&amp;"",""))</f>
        <v/>
      </c>
      <c r="S183">
        <f>IF(B183="","",IF(R183="관심 없음","제외",IF(O183="","안 가봄",IF(P183&gt;=설정!$B$20,P183&amp;"일 지남","최근 방문"))))</f>
        <v/>
      </c>
      <c r="T183" s="8">
        <f>IF(B183="","",IF(S183="제외","",IF(AND(설정!$B$21&lt;&gt;"",L183&lt;&gt;설정!$B$21),"",IF(AND(Q183&lt;&gt;"",Q183&gt;N(O183),Q183&lt;=설정!$B$24+7),설정!$B$39+7-(Q183-설정!$B$24),IF(AND(G183&gt;0,OR(S183="안 가봄",RIGHT(S183,2)="지남")),G183+IF(O183="",설정!$B$36,MIN(P183,60)*설정!$B$37)+MIN(N(H183)/1000*설정!$B$38,20),"")))))</f>
        <v/>
      </c>
      <c r="U183">
        <f>IF(T183="","",COUNTIF(T$4:T$303,"&gt;"&amp;T183)+COUNTIF(T$4:T183,T183))</f>
        <v/>
      </c>
    </row>
    <row r="184">
      <c r="A184">
        <f>IF(B184="","",181)</f>
        <v/>
      </c>
      <c r="B184">
        <f>IFERROR(INDEX('2.현장'!$V$2:$V$1001,MATCH(181,'2.현장'!$W$2:$W$1001,0)),"")</f>
        <v/>
      </c>
      <c r="C184">
        <f>IF(B184="","",COUNTIFS('2.현장'!$V$2:$V$1001,B184,'2.현장'!$T$2:$T$1001,TRUE))</f>
        <v/>
      </c>
      <c r="D184">
        <f>IF(B184="","",COUNTIFS('2.현장'!$V$2:$V$1001,B184,'2.현장'!$U$2:$U$1001,"설계사"))</f>
        <v/>
      </c>
      <c r="E184">
        <f>IF(B184="","",COUNTIFS('2.현장'!$V$2:$V$1001,B184,'2.현장'!$U$2:$U$1001,"시공사"))</f>
        <v/>
      </c>
      <c r="F184">
        <f>IF(B184="","",COUNTIFS('2.현장'!$V$2:$V$1001,B184,'2.현장'!$T$2:$T$1001,TRUE,'2.현장'!$AA$2:$AA$1001,"★"))</f>
        <v/>
      </c>
      <c r="G184" s="6">
        <f>IF(B184="","",SUMIFS('2.현장'!$AB$2:$AB$1001,'2.현장'!$V$2:$V$1001,B184,'2.현장'!$T$2:$T$1001,TRUE))</f>
        <v/>
      </c>
      <c r="H184" s="5">
        <f>IF(B184="","",_xlfn.MAXIFS('2.현장'!$D$2:$D$1001,'2.현장'!$V$2:$V$1001,B184,'2.현장'!$T$2:$T$1001,TRUE))</f>
        <v/>
      </c>
      <c r="I184" s="7">
        <f>IF(B184="","",IF(_xlfn.MAXIFS('2.현장'!$L$2:$L$1001,'2.현장'!$V$2:$V$1001,B184,'2.현장'!$T$2:$T$1001,TRUE)=0,"",_xlfn.MAXIFS('2.현장'!$L$2:$L$1001,'2.현장'!$V$2:$V$1001,B184,'2.현장'!$T$2:$T$1001,TRUE)))</f>
        <v/>
      </c>
      <c r="J184" s="7">
        <f>IF(B184="","",IF(_xlfn.MAXIFS('2.현장'!$M$2:$M$1001,'2.현장'!$V$2:$V$1001,B184,'2.현장'!$T$2:$T$1001,TRUE)=0,"",_xlfn.MAXIFS('2.현장'!$M$2:$M$1001,'2.현장'!$V$2:$V$1001,B184,'2.현장'!$T$2:$T$1001,TRUE)))</f>
        <v/>
      </c>
      <c r="K184">
        <f>IF(B184="","",IFERROR(INDEX('2.현장'!$C$2:$C$1001,IFERROR(MATCH(B184&amp;"|설계사",'2.현장'!$Z$2:$Z$1001,0),IFERROR(MATCH(B184&amp;"|시공사",'2.현장'!$Z$2:$Z$1001,0),MATCH(B184&amp;"|늦음",'2.현장'!$Z$2:$Z$1001,0)))),""))</f>
        <v/>
      </c>
      <c r="L184">
        <f>IF(B184="","",IFERROR(INDEX('2.현장'!$N$2:$N$1001,IFERROR(MATCH(B184&amp;"|설계사",'2.현장'!$Z$2:$Z$1001,0),IFERROR(MATCH(B184&amp;"|시공사",'2.현장'!$Z$2:$Z$1001,0),MATCH(B184&amp;"|늦음",'2.현장'!$Z$2:$Z$1001,0)))),""))</f>
        <v/>
      </c>
      <c r="M184">
        <f>IF(B184="","",IFERROR(VLOOKUP(B184,업체_메모!$A$3:$I$302,2,FALSE)&amp;"",""))</f>
        <v/>
      </c>
      <c r="N184">
        <f>IF(B184="","",IFERROR(VLOOKUP(B184,업체_메모!$A$3:$I$302,4,FALSE)&amp;"",""))</f>
        <v/>
      </c>
      <c r="O184" s="7">
        <f>IF(B184="","",IF(COUNTIF('4.방문기록'!$B$3:$B$502,B184)=0,"",_xlfn.MAXIFS('4.방문기록'!$A$3:$A$502,'4.방문기록'!$B$3:$B$502,B184)))</f>
        <v/>
      </c>
      <c r="P184">
        <f>IF(O184="","",설정!$B$24-O184)</f>
        <v/>
      </c>
      <c r="Q184" s="7">
        <f>IF(B184="","",IF(_xlfn.MAXIFS('4.방문기록'!$F$3:$F$502,'4.방문기록'!$B$3:$B$502,B184)=0,"",_xlfn.MAXIFS('4.방문기록'!$F$3:$F$502,'4.방문기록'!$B$3:$B$502,B184)))</f>
        <v/>
      </c>
      <c r="R184">
        <f>IF(O184="","",IFERROR(INDEX('4.방문기록'!$H$3:$H$502,MATCH(B184&amp;"|"&amp;(O184*1),'4.방문기록'!$I$3:$I$502,0))&amp;"",""))</f>
        <v/>
      </c>
      <c r="S184">
        <f>IF(B184="","",IF(R184="관심 없음","제외",IF(O184="","안 가봄",IF(P184&gt;=설정!$B$20,P184&amp;"일 지남","최근 방문"))))</f>
        <v/>
      </c>
      <c r="T184" s="8">
        <f>IF(B184="","",IF(S184="제외","",IF(AND(설정!$B$21&lt;&gt;"",L184&lt;&gt;설정!$B$21),"",IF(AND(Q184&lt;&gt;"",Q184&gt;N(O184),Q184&lt;=설정!$B$24+7),설정!$B$39+7-(Q184-설정!$B$24),IF(AND(G184&gt;0,OR(S184="안 가봄",RIGHT(S184,2)="지남")),G184+IF(O184="",설정!$B$36,MIN(P184,60)*설정!$B$37)+MIN(N(H184)/1000*설정!$B$38,20),"")))))</f>
        <v/>
      </c>
      <c r="U184">
        <f>IF(T184="","",COUNTIF(T$4:T$303,"&gt;"&amp;T184)+COUNTIF(T$4:T184,T184))</f>
        <v/>
      </c>
    </row>
    <row r="185">
      <c r="A185">
        <f>IF(B185="","",182)</f>
        <v/>
      </c>
      <c r="B185">
        <f>IFERROR(INDEX('2.현장'!$V$2:$V$1001,MATCH(182,'2.현장'!$W$2:$W$1001,0)),"")</f>
        <v/>
      </c>
      <c r="C185">
        <f>IF(B185="","",COUNTIFS('2.현장'!$V$2:$V$1001,B185,'2.현장'!$T$2:$T$1001,TRUE))</f>
        <v/>
      </c>
      <c r="D185">
        <f>IF(B185="","",COUNTIFS('2.현장'!$V$2:$V$1001,B185,'2.현장'!$U$2:$U$1001,"설계사"))</f>
        <v/>
      </c>
      <c r="E185">
        <f>IF(B185="","",COUNTIFS('2.현장'!$V$2:$V$1001,B185,'2.현장'!$U$2:$U$1001,"시공사"))</f>
        <v/>
      </c>
      <c r="F185">
        <f>IF(B185="","",COUNTIFS('2.현장'!$V$2:$V$1001,B185,'2.현장'!$T$2:$T$1001,TRUE,'2.현장'!$AA$2:$AA$1001,"★"))</f>
        <v/>
      </c>
      <c r="G185" s="6">
        <f>IF(B185="","",SUMIFS('2.현장'!$AB$2:$AB$1001,'2.현장'!$V$2:$V$1001,B185,'2.현장'!$T$2:$T$1001,TRUE))</f>
        <v/>
      </c>
      <c r="H185" s="5">
        <f>IF(B185="","",_xlfn.MAXIFS('2.현장'!$D$2:$D$1001,'2.현장'!$V$2:$V$1001,B185,'2.현장'!$T$2:$T$1001,TRUE))</f>
        <v/>
      </c>
      <c r="I185" s="7">
        <f>IF(B185="","",IF(_xlfn.MAXIFS('2.현장'!$L$2:$L$1001,'2.현장'!$V$2:$V$1001,B185,'2.현장'!$T$2:$T$1001,TRUE)=0,"",_xlfn.MAXIFS('2.현장'!$L$2:$L$1001,'2.현장'!$V$2:$V$1001,B185,'2.현장'!$T$2:$T$1001,TRUE)))</f>
        <v/>
      </c>
      <c r="J185" s="7">
        <f>IF(B185="","",IF(_xlfn.MAXIFS('2.현장'!$M$2:$M$1001,'2.현장'!$V$2:$V$1001,B185,'2.현장'!$T$2:$T$1001,TRUE)=0,"",_xlfn.MAXIFS('2.현장'!$M$2:$M$1001,'2.현장'!$V$2:$V$1001,B185,'2.현장'!$T$2:$T$1001,TRUE)))</f>
        <v/>
      </c>
      <c r="K185">
        <f>IF(B185="","",IFERROR(INDEX('2.현장'!$C$2:$C$1001,IFERROR(MATCH(B185&amp;"|설계사",'2.현장'!$Z$2:$Z$1001,0),IFERROR(MATCH(B185&amp;"|시공사",'2.현장'!$Z$2:$Z$1001,0),MATCH(B185&amp;"|늦음",'2.현장'!$Z$2:$Z$1001,0)))),""))</f>
        <v/>
      </c>
      <c r="L185">
        <f>IF(B185="","",IFERROR(INDEX('2.현장'!$N$2:$N$1001,IFERROR(MATCH(B185&amp;"|설계사",'2.현장'!$Z$2:$Z$1001,0),IFERROR(MATCH(B185&amp;"|시공사",'2.현장'!$Z$2:$Z$1001,0),MATCH(B185&amp;"|늦음",'2.현장'!$Z$2:$Z$1001,0)))),""))</f>
        <v/>
      </c>
      <c r="M185">
        <f>IF(B185="","",IFERROR(VLOOKUP(B185,업체_메모!$A$3:$I$302,2,FALSE)&amp;"",""))</f>
        <v/>
      </c>
      <c r="N185">
        <f>IF(B185="","",IFERROR(VLOOKUP(B185,업체_메모!$A$3:$I$302,4,FALSE)&amp;"",""))</f>
        <v/>
      </c>
      <c r="O185" s="7">
        <f>IF(B185="","",IF(COUNTIF('4.방문기록'!$B$3:$B$502,B185)=0,"",_xlfn.MAXIFS('4.방문기록'!$A$3:$A$502,'4.방문기록'!$B$3:$B$502,B185)))</f>
        <v/>
      </c>
      <c r="P185">
        <f>IF(O185="","",설정!$B$24-O185)</f>
        <v/>
      </c>
      <c r="Q185" s="7">
        <f>IF(B185="","",IF(_xlfn.MAXIFS('4.방문기록'!$F$3:$F$502,'4.방문기록'!$B$3:$B$502,B185)=0,"",_xlfn.MAXIFS('4.방문기록'!$F$3:$F$502,'4.방문기록'!$B$3:$B$502,B185)))</f>
        <v/>
      </c>
      <c r="R185">
        <f>IF(O185="","",IFERROR(INDEX('4.방문기록'!$H$3:$H$502,MATCH(B185&amp;"|"&amp;(O185*1),'4.방문기록'!$I$3:$I$502,0))&amp;"",""))</f>
        <v/>
      </c>
      <c r="S185">
        <f>IF(B185="","",IF(R185="관심 없음","제외",IF(O185="","안 가봄",IF(P185&gt;=설정!$B$20,P185&amp;"일 지남","최근 방문"))))</f>
        <v/>
      </c>
      <c r="T185" s="8">
        <f>IF(B185="","",IF(S185="제외","",IF(AND(설정!$B$21&lt;&gt;"",L185&lt;&gt;설정!$B$21),"",IF(AND(Q185&lt;&gt;"",Q185&gt;N(O185),Q185&lt;=설정!$B$24+7),설정!$B$39+7-(Q185-설정!$B$24),IF(AND(G185&gt;0,OR(S185="안 가봄",RIGHT(S185,2)="지남")),G185+IF(O185="",설정!$B$36,MIN(P185,60)*설정!$B$37)+MIN(N(H185)/1000*설정!$B$38,20),"")))))</f>
        <v/>
      </c>
      <c r="U185">
        <f>IF(T185="","",COUNTIF(T$4:T$303,"&gt;"&amp;T185)+COUNTIF(T$4:T185,T185))</f>
        <v/>
      </c>
    </row>
    <row r="186">
      <c r="A186">
        <f>IF(B186="","",183)</f>
        <v/>
      </c>
      <c r="B186">
        <f>IFERROR(INDEX('2.현장'!$V$2:$V$1001,MATCH(183,'2.현장'!$W$2:$W$1001,0)),"")</f>
        <v/>
      </c>
      <c r="C186">
        <f>IF(B186="","",COUNTIFS('2.현장'!$V$2:$V$1001,B186,'2.현장'!$T$2:$T$1001,TRUE))</f>
        <v/>
      </c>
      <c r="D186">
        <f>IF(B186="","",COUNTIFS('2.현장'!$V$2:$V$1001,B186,'2.현장'!$U$2:$U$1001,"설계사"))</f>
        <v/>
      </c>
      <c r="E186">
        <f>IF(B186="","",COUNTIFS('2.현장'!$V$2:$V$1001,B186,'2.현장'!$U$2:$U$1001,"시공사"))</f>
        <v/>
      </c>
      <c r="F186">
        <f>IF(B186="","",COUNTIFS('2.현장'!$V$2:$V$1001,B186,'2.현장'!$T$2:$T$1001,TRUE,'2.현장'!$AA$2:$AA$1001,"★"))</f>
        <v/>
      </c>
      <c r="G186" s="6">
        <f>IF(B186="","",SUMIFS('2.현장'!$AB$2:$AB$1001,'2.현장'!$V$2:$V$1001,B186,'2.현장'!$T$2:$T$1001,TRUE))</f>
        <v/>
      </c>
      <c r="H186" s="5">
        <f>IF(B186="","",_xlfn.MAXIFS('2.현장'!$D$2:$D$1001,'2.현장'!$V$2:$V$1001,B186,'2.현장'!$T$2:$T$1001,TRUE))</f>
        <v/>
      </c>
      <c r="I186" s="7">
        <f>IF(B186="","",IF(_xlfn.MAXIFS('2.현장'!$L$2:$L$1001,'2.현장'!$V$2:$V$1001,B186,'2.현장'!$T$2:$T$1001,TRUE)=0,"",_xlfn.MAXIFS('2.현장'!$L$2:$L$1001,'2.현장'!$V$2:$V$1001,B186,'2.현장'!$T$2:$T$1001,TRUE)))</f>
        <v/>
      </c>
      <c r="J186" s="7">
        <f>IF(B186="","",IF(_xlfn.MAXIFS('2.현장'!$M$2:$M$1001,'2.현장'!$V$2:$V$1001,B186,'2.현장'!$T$2:$T$1001,TRUE)=0,"",_xlfn.MAXIFS('2.현장'!$M$2:$M$1001,'2.현장'!$V$2:$V$1001,B186,'2.현장'!$T$2:$T$1001,TRUE)))</f>
        <v/>
      </c>
      <c r="K186">
        <f>IF(B186="","",IFERROR(INDEX('2.현장'!$C$2:$C$1001,IFERROR(MATCH(B186&amp;"|설계사",'2.현장'!$Z$2:$Z$1001,0),IFERROR(MATCH(B186&amp;"|시공사",'2.현장'!$Z$2:$Z$1001,0),MATCH(B186&amp;"|늦음",'2.현장'!$Z$2:$Z$1001,0)))),""))</f>
        <v/>
      </c>
      <c r="L186">
        <f>IF(B186="","",IFERROR(INDEX('2.현장'!$N$2:$N$1001,IFERROR(MATCH(B186&amp;"|설계사",'2.현장'!$Z$2:$Z$1001,0),IFERROR(MATCH(B186&amp;"|시공사",'2.현장'!$Z$2:$Z$1001,0),MATCH(B186&amp;"|늦음",'2.현장'!$Z$2:$Z$1001,0)))),""))</f>
        <v/>
      </c>
      <c r="M186">
        <f>IF(B186="","",IFERROR(VLOOKUP(B186,업체_메모!$A$3:$I$302,2,FALSE)&amp;"",""))</f>
        <v/>
      </c>
      <c r="N186">
        <f>IF(B186="","",IFERROR(VLOOKUP(B186,업체_메모!$A$3:$I$302,4,FALSE)&amp;"",""))</f>
        <v/>
      </c>
      <c r="O186" s="7">
        <f>IF(B186="","",IF(COUNTIF('4.방문기록'!$B$3:$B$502,B186)=0,"",_xlfn.MAXIFS('4.방문기록'!$A$3:$A$502,'4.방문기록'!$B$3:$B$502,B186)))</f>
        <v/>
      </c>
      <c r="P186">
        <f>IF(O186="","",설정!$B$24-O186)</f>
        <v/>
      </c>
      <c r="Q186" s="7">
        <f>IF(B186="","",IF(_xlfn.MAXIFS('4.방문기록'!$F$3:$F$502,'4.방문기록'!$B$3:$B$502,B186)=0,"",_xlfn.MAXIFS('4.방문기록'!$F$3:$F$502,'4.방문기록'!$B$3:$B$502,B186)))</f>
        <v/>
      </c>
      <c r="R186">
        <f>IF(O186="","",IFERROR(INDEX('4.방문기록'!$H$3:$H$502,MATCH(B186&amp;"|"&amp;(O186*1),'4.방문기록'!$I$3:$I$502,0))&amp;"",""))</f>
        <v/>
      </c>
      <c r="S186">
        <f>IF(B186="","",IF(R186="관심 없음","제외",IF(O186="","안 가봄",IF(P186&gt;=설정!$B$20,P186&amp;"일 지남","최근 방문"))))</f>
        <v/>
      </c>
      <c r="T186" s="8">
        <f>IF(B186="","",IF(S186="제외","",IF(AND(설정!$B$21&lt;&gt;"",L186&lt;&gt;설정!$B$21),"",IF(AND(Q186&lt;&gt;"",Q186&gt;N(O186),Q186&lt;=설정!$B$24+7),설정!$B$39+7-(Q186-설정!$B$24),IF(AND(G186&gt;0,OR(S186="안 가봄",RIGHT(S186,2)="지남")),G186+IF(O186="",설정!$B$36,MIN(P186,60)*설정!$B$37)+MIN(N(H186)/1000*설정!$B$38,20),"")))))</f>
        <v/>
      </c>
      <c r="U186">
        <f>IF(T186="","",COUNTIF(T$4:T$303,"&gt;"&amp;T186)+COUNTIF(T$4:T186,T186))</f>
        <v/>
      </c>
    </row>
    <row r="187">
      <c r="A187">
        <f>IF(B187="","",184)</f>
        <v/>
      </c>
      <c r="B187">
        <f>IFERROR(INDEX('2.현장'!$V$2:$V$1001,MATCH(184,'2.현장'!$W$2:$W$1001,0)),"")</f>
        <v/>
      </c>
      <c r="C187">
        <f>IF(B187="","",COUNTIFS('2.현장'!$V$2:$V$1001,B187,'2.현장'!$T$2:$T$1001,TRUE))</f>
        <v/>
      </c>
      <c r="D187">
        <f>IF(B187="","",COUNTIFS('2.현장'!$V$2:$V$1001,B187,'2.현장'!$U$2:$U$1001,"설계사"))</f>
        <v/>
      </c>
      <c r="E187">
        <f>IF(B187="","",COUNTIFS('2.현장'!$V$2:$V$1001,B187,'2.현장'!$U$2:$U$1001,"시공사"))</f>
        <v/>
      </c>
      <c r="F187">
        <f>IF(B187="","",COUNTIFS('2.현장'!$V$2:$V$1001,B187,'2.현장'!$T$2:$T$1001,TRUE,'2.현장'!$AA$2:$AA$1001,"★"))</f>
        <v/>
      </c>
      <c r="G187" s="6">
        <f>IF(B187="","",SUMIFS('2.현장'!$AB$2:$AB$1001,'2.현장'!$V$2:$V$1001,B187,'2.현장'!$T$2:$T$1001,TRUE))</f>
        <v/>
      </c>
      <c r="H187" s="5">
        <f>IF(B187="","",_xlfn.MAXIFS('2.현장'!$D$2:$D$1001,'2.현장'!$V$2:$V$1001,B187,'2.현장'!$T$2:$T$1001,TRUE))</f>
        <v/>
      </c>
      <c r="I187" s="7">
        <f>IF(B187="","",IF(_xlfn.MAXIFS('2.현장'!$L$2:$L$1001,'2.현장'!$V$2:$V$1001,B187,'2.현장'!$T$2:$T$1001,TRUE)=0,"",_xlfn.MAXIFS('2.현장'!$L$2:$L$1001,'2.현장'!$V$2:$V$1001,B187,'2.현장'!$T$2:$T$1001,TRUE)))</f>
        <v/>
      </c>
      <c r="J187" s="7">
        <f>IF(B187="","",IF(_xlfn.MAXIFS('2.현장'!$M$2:$M$1001,'2.현장'!$V$2:$V$1001,B187,'2.현장'!$T$2:$T$1001,TRUE)=0,"",_xlfn.MAXIFS('2.현장'!$M$2:$M$1001,'2.현장'!$V$2:$V$1001,B187,'2.현장'!$T$2:$T$1001,TRUE)))</f>
        <v/>
      </c>
      <c r="K187">
        <f>IF(B187="","",IFERROR(INDEX('2.현장'!$C$2:$C$1001,IFERROR(MATCH(B187&amp;"|설계사",'2.현장'!$Z$2:$Z$1001,0),IFERROR(MATCH(B187&amp;"|시공사",'2.현장'!$Z$2:$Z$1001,0),MATCH(B187&amp;"|늦음",'2.현장'!$Z$2:$Z$1001,0)))),""))</f>
        <v/>
      </c>
      <c r="L187">
        <f>IF(B187="","",IFERROR(INDEX('2.현장'!$N$2:$N$1001,IFERROR(MATCH(B187&amp;"|설계사",'2.현장'!$Z$2:$Z$1001,0),IFERROR(MATCH(B187&amp;"|시공사",'2.현장'!$Z$2:$Z$1001,0),MATCH(B187&amp;"|늦음",'2.현장'!$Z$2:$Z$1001,0)))),""))</f>
        <v/>
      </c>
      <c r="M187">
        <f>IF(B187="","",IFERROR(VLOOKUP(B187,업체_메모!$A$3:$I$302,2,FALSE)&amp;"",""))</f>
        <v/>
      </c>
      <c r="N187">
        <f>IF(B187="","",IFERROR(VLOOKUP(B187,업체_메모!$A$3:$I$302,4,FALSE)&amp;"",""))</f>
        <v/>
      </c>
      <c r="O187" s="7">
        <f>IF(B187="","",IF(COUNTIF('4.방문기록'!$B$3:$B$502,B187)=0,"",_xlfn.MAXIFS('4.방문기록'!$A$3:$A$502,'4.방문기록'!$B$3:$B$502,B187)))</f>
        <v/>
      </c>
      <c r="P187">
        <f>IF(O187="","",설정!$B$24-O187)</f>
        <v/>
      </c>
      <c r="Q187" s="7">
        <f>IF(B187="","",IF(_xlfn.MAXIFS('4.방문기록'!$F$3:$F$502,'4.방문기록'!$B$3:$B$502,B187)=0,"",_xlfn.MAXIFS('4.방문기록'!$F$3:$F$502,'4.방문기록'!$B$3:$B$502,B187)))</f>
        <v/>
      </c>
      <c r="R187">
        <f>IF(O187="","",IFERROR(INDEX('4.방문기록'!$H$3:$H$502,MATCH(B187&amp;"|"&amp;(O187*1),'4.방문기록'!$I$3:$I$502,0))&amp;"",""))</f>
        <v/>
      </c>
      <c r="S187">
        <f>IF(B187="","",IF(R187="관심 없음","제외",IF(O187="","안 가봄",IF(P187&gt;=설정!$B$20,P187&amp;"일 지남","최근 방문"))))</f>
        <v/>
      </c>
      <c r="T187" s="8">
        <f>IF(B187="","",IF(S187="제외","",IF(AND(설정!$B$21&lt;&gt;"",L187&lt;&gt;설정!$B$21),"",IF(AND(Q187&lt;&gt;"",Q187&gt;N(O187),Q187&lt;=설정!$B$24+7),설정!$B$39+7-(Q187-설정!$B$24),IF(AND(G187&gt;0,OR(S187="안 가봄",RIGHT(S187,2)="지남")),G187+IF(O187="",설정!$B$36,MIN(P187,60)*설정!$B$37)+MIN(N(H187)/1000*설정!$B$38,20),"")))))</f>
        <v/>
      </c>
      <c r="U187">
        <f>IF(T187="","",COUNTIF(T$4:T$303,"&gt;"&amp;T187)+COUNTIF(T$4:T187,T187))</f>
        <v/>
      </c>
    </row>
    <row r="188">
      <c r="A188">
        <f>IF(B188="","",185)</f>
        <v/>
      </c>
      <c r="B188">
        <f>IFERROR(INDEX('2.현장'!$V$2:$V$1001,MATCH(185,'2.현장'!$W$2:$W$1001,0)),"")</f>
        <v/>
      </c>
      <c r="C188">
        <f>IF(B188="","",COUNTIFS('2.현장'!$V$2:$V$1001,B188,'2.현장'!$T$2:$T$1001,TRUE))</f>
        <v/>
      </c>
      <c r="D188">
        <f>IF(B188="","",COUNTIFS('2.현장'!$V$2:$V$1001,B188,'2.현장'!$U$2:$U$1001,"설계사"))</f>
        <v/>
      </c>
      <c r="E188">
        <f>IF(B188="","",COUNTIFS('2.현장'!$V$2:$V$1001,B188,'2.현장'!$U$2:$U$1001,"시공사"))</f>
        <v/>
      </c>
      <c r="F188">
        <f>IF(B188="","",COUNTIFS('2.현장'!$V$2:$V$1001,B188,'2.현장'!$T$2:$T$1001,TRUE,'2.현장'!$AA$2:$AA$1001,"★"))</f>
        <v/>
      </c>
      <c r="G188" s="6">
        <f>IF(B188="","",SUMIFS('2.현장'!$AB$2:$AB$1001,'2.현장'!$V$2:$V$1001,B188,'2.현장'!$T$2:$T$1001,TRUE))</f>
        <v/>
      </c>
      <c r="H188" s="5">
        <f>IF(B188="","",_xlfn.MAXIFS('2.현장'!$D$2:$D$1001,'2.현장'!$V$2:$V$1001,B188,'2.현장'!$T$2:$T$1001,TRUE))</f>
        <v/>
      </c>
      <c r="I188" s="7">
        <f>IF(B188="","",IF(_xlfn.MAXIFS('2.현장'!$L$2:$L$1001,'2.현장'!$V$2:$V$1001,B188,'2.현장'!$T$2:$T$1001,TRUE)=0,"",_xlfn.MAXIFS('2.현장'!$L$2:$L$1001,'2.현장'!$V$2:$V$1001,B188,'2.현장'!$T$2:$T$1001,TRUE)))</f>
        <v/>
      </c>
      <c r="J188" s="7">
        <f>IF(B188="","",IF(_xlfn.MAXIFS('2.현장'!$M$2:$M$1001,'2.현장'!$V$2:$V$1001,B188,'2.현장'!$T$2:$T$1001,TRUE)=0,"",_xlfn.MAXIFS('2.현장'!$M$2:$M$1001,'2.현장'!$V$2:$V$1001,B188,'2.현장'!$T$2:$T$1001,TRUE)))</f>
        <v/>
      </c>
      <c r="K188">
        <f>IF(B188="","",IFERROR(INDEX('2.현장'!$C$2:$C$1001,IFERROR(MATCH(B188&amp;"|설계사",'2.현장'!$Z$2:$Z$1001,0),IFERROR(MATCH(B188&amp;"|시공사",'2.현장'!$Z$2:$Z$1001,0),MATCH(B188&amp;"|늦음",'2.현장'!$Z$2:$Z$1001,0)))),""))</f>
        <v/>
      </c>
      <c r="L188">
        <f>IF(B188="","",IFERROR(INDEX('2.현장'!$N$2:$N$1001,IFERROR(MATCH(B188&amp;"|설계사",'2.현장'!$Z$2:$Z$1001,0),IFERROR(MATCH(B188&amp;"|시공사",'2.현장'!$Z$2:$Z$1001,0),MATCH(B188&amp;"|늦음",'2.현장'!$Z$2:$Z$1001,0)))),""))</f>
        <v/>
      </c>
      <c r="M188">
        <f>IF(B188="","",IFERROR(VLOOKUP(B188,업체_메모!$A$3:$I$302,2,FALSE)&amp;"",""))</f>
        <v/>
      </c>
      <c r="N188">
        <f>IF(B188="","",IFERROR(VLOOKUP(B188,업체_메모!$A$3:$I$302,4,FALSE)&amp;"",""))</f>
        <v/>
      </c>
      <c r="O188" s="7">
        <f>IF(B188="","",IF(COUNTIF('4.방문기록'!$B$3:$B$502,B188)=0,"",_xlfn.MAXIFS('4.방문기록'!$A$3:$A$502,'4.방문기록'!$B$3:$B$502,B188)))</f>
        <v/>
      </c>
      <c r="P188">
        <f>IF(O188="","",설정!$B$24-O188)</f>
        <v/>
      </c>
      <c r="Q188" s="7">
        <f>IF(B188="","",IF(_xlfn.MAXIFS('4.방문기록'!$F$3:$F$502,'4.방문기록'!$B$3:$B$502,B188)=0,"",_xlfn.MAXIFS('4.방문기록'!$F$3:$F$502,'4.방문기록'!$B$3:$B$502,B188)))</f>
        <v/>
      </c>
      <c r="R188">
        <f>IF(O188="","",IFERROR(INDEX('4.방문기록'!$H$3:$H$502,MATCH(B188&amp;"|"&amp;(O188*1),'4.방문기록'!$I$3:$I$502,0))&amp;"",""))</f>
        <v/>
      </c>
      <c r="S188">
        <f>IF(B188="","",IF(R188="관심 없음","제외",IF(O188="","안 가봄",IF(P188&gt;=설정!$B$20,P188&amp;"일 지남","최근 방문"))))</f>
        <v/>
      </c>
      <c r="T188" s="8">
        <f>IF(B188="","",IF(S188="제외","",IF(AND(설정!$B$21&lt;&gt;"",L188&lt;&gt;설정!$B$21),"",IF(AND(Q188&lt;&gt;"",Q188&gt;N(O188),Q188&lt;=설정!$B$24+7),설정!$B$39+7-(Q188-설정!$B$24),IF(AND(G188&gt;0,OR(S188="안 가봄",RIGHT(S188,2)="지남")),G188+IF(O188="",설정!$B$36,MIN(P188,60)*설정!$B$37)+MIN(N(H188)/1000*설정!$B$38,20),"")))))</f>
        <v/>
      </c>
      <c r="U188">
        <f>IF(T188="","",COUNTIF(T$4:T$303,"&gt;"&amp;T188)+COUNTIF(T$4:T188,T188))</f>
        <v/>
      </c>
    </row>
    <row r="189">
      <c r="A189">
        <f>IF(B189="","",186)</f>
        <v/>
      </c>
      <c r="B189">
        <f>IFERROR(INDEX('2.현장'!$V$2:$V$1001,MATCH(186,'2.현장'!$W$2:$W$1001,0)),"")</f>
        <v/>
      </c>
      <c r="C189">
        <f>IF(B189="","",COUNTIFS('2.현장'!$V$2:$V$1001,B189,'2.현장'!$T$2:$T$1001,TRUE))</f>
        <v/>
      </c>
      <c r="D189">
        <f>IF(B189="","",COUNTIFS('2.현장'!$V$2:$V$1001,B189,'2.현장'!$U$2:$U$1001,"설계사"))</f>
        <v/>
      </c>
      <c r="E189">
        <f>IF(B189="","",COUNTIFS('2.현장'!$V$2:$V$1001,B189,'2.현장'!$U$2:$U$1001,"시공사"))</f>
        <v/>
      </c>
      <c r="F189">
        <f>IF(B189="","",COUNTIFS('2.현장'!$V$2:$V$1001,B189,'2.현장'!$T$2:$T$1001,TRUE,'2.현장'!$AA$2:$AA$1001,"★"))</f>
        <v/>
      </c>
      <c r="G189" s="6">
        <f>IF(B189="","",SUMIFS('2.현장'!$AB$2:$AB$1001,'2.현장'!$V$2:$V$1001,B189,'2.현장'!$T$2:$T$1001,TRUE))</f>
        <v/>
      </c>
      <c r="H189" s="5">
        <f>IF(B189="","",_xlfn.MAXIFS('2.현장'!$D$2:$D$1001,'2.현장'!$V$2:$V$1001,B189,'2.현장'!$T$2:$T$1001,TRUE))</f>
        <v/>
      </c>
      <c r="I189" s="7">
        <f>IF(B189="","",IF(_xlfn.MAXIFS('2.현장'!$L$2:$L$1001,'2.현장'!$V$2:$V$1001,B189,'2.현장'!$T$2:$T$1001,TRUE)=0,"",_xlfn.MAXIFS('2.현장'!$L$2:$L$1001,'2.현장'!$V$2:$V$1001,B189,'2.현장'!$T$2:$T$1001,TRUE)))</f>
        <v/>
      </c>
      <c r="J189" s="7">
        <f>IF(B189="","",IF(_xlfn.MAXIFS('2.현장'!$M$2:$M$1001,'2.현장'!$V$2:$V$1001,B189,'2.현장'!$T$2:$T$1001,TRUE)=0,"",_xlfn.MAXIFS('2.현장'!$M$2:$M$1001,'2.현장'!$V$2:$V$1001,B189,'2.현장'!$T$2:$T$1001,TRUE)))</f>
        <v/>
      </c>
      <c r="K189">
        <f>IF(B189="","",IFERROR(INDEX('2.현장'!$C$2:$C$1001,IFERROR(MATCH(B189&amp;"|설계사",'2.현장'!$Z$2:$Z$1001,0),IFERROR(MATCH(B189&amp;"|시공사",'2.현장'!$Z$2:$Z$1001,0),MATCH(B189&amp;"|늦음",'2.현장'!$Z$2:$Z$1001,0)))),""))</f>
        <v/>
      </c>
      <c r="L189">
        <f>IF(B189="","",IFERROR(INDEX('2.현장'!$N$2:$N$1001,IFERROR(MATCH(B189&amp;"|설계사",'2.현장'!$Z$2:$Z$1001,0),IFERROR(MATCH(B189&amp;"|시공사",'2.현장'!$Z$2:$Z$1001,0),MATCH(B189&amp;"|늦음",'2.현장'!$Z$2:$Z$1001,0)))),""))</f>
        <v/>
      </c>
      <c r="M189">
        <f>IF(B189="","",IFERROR(VLOOKUP(B189,업체_메모!$A$3:$I$302,2,FALSE)&amp;"",""))</f>
        <v/>
      </c>
      <c r="N189">
        <f>IF(B189="","",IFERROR(VLOOKUP(B189,업체_메모!$A$3:$I$302,4,FALSE)&amp;"",""))</f>
        <v/>
      </c>
      <c r="O189" s="7">
        <f>IF(B189="","",IF(COUNTIF('4.방문기록'!$B$3:$B$502,B189)=0,"",_xlfn.MAXIFS('4.방문기록'!$A$3:$A$502,'4.방문기록'!$B$3:$B$502,B189)))</f>
        <v/>
      </c>
      <c r="P189">
        <f>IF(O189="","",설정!$B$24-O189)</f>
        <v/>
      </c>
      <c r="Q189" s="7">
        <f>IF(B189="","",IF(_xlfn.MAXIFS('4.방문기록'!$F$3:$F$502,'4.방문기록'!$B$3:$B$502,B189)=0,"",_xlfn.MAXIFS('4.방문기록'!$F$3:$F$502,'4.방문기록'!$B$3:$B$502,B189)))</f>
        <v/>
      </c>
      <c r="R189">
        <f>IF(O189="","",IFERROR(INDEX('4.방문기록'!$H$3:$H$502,MATCH(B189&amp;"|"&amp;(O189*1),'4.방문기록'!$I$3:$I$502,0))&amp;"",""))</f>
        <v/>
      </c>
      <c r="S189">
        <f>IF(B189="","",IF(R189="관심 없음","제외",IF(O189="","안 가봄",IF(P189&gt;=설정!$B$20,P189&amp;"일 지남","최근 방문"))))</f>
        <v/>
      </c>
      <c r="T189" s="8">
        <f>IF(B189="","",IF(S189="제외","",IF(AND(설정!$B$21&lt;&gt;"",L189&lt;&gt;설정!$B$21),"",IF(AND(Q189&lt;&gt;"",Q189&gt;N(O189),Q189&lt;=설정!$B$24+7),설정!$B$39+7-(Q189-설정!$B$24),IF(AND(G189&gt;0,OR(S189="안 가봄",RIGHT(S189,2)="지남")),G189+IF(O189="",설정!$B$36,MIN(P189,60)*설정!$B$37)+MIN(N(H189)/1000*설정!$B$38,20),"")))))</f>
        <v/>
      </c>
      <c r="U189">
        <f>IF(T189="","",COUNTIF(T$4:T$303,"&gt;"&amp;T189)+COUNTIF(T$4:T189,T189))</f>
        <v/>
      </c>
    </row>
    <row r="190">
      <c r="A190">
        <f>IF(B190="","",187)</f>
        <v/>
      </c>
      <c r="B190">
        <f>IFERROR(INDEX('2.현장'!$V$2:$V$1001,MATCH(187,'2.현장'!$W$2:$W$1001,0)),"")</f>
        <v/>
      </c>
      <c r="C190">
        <f>IF(B190="","",COUNTIFS('2.현장'!$V$2:$V$1001,B190,'2.현장'!$T$2:$T$1001,TRUE))</f>
        <v/>
      </c>
      <c r="D190">
        <f>IF(B190="","",COUNTIFS('2.현장'!$V$2:$V$1001,B190,'2.현장'!$U$2:$U$1001,"설계사"))</f>
        <v/>
      </c>
      <c r="E190">
        <f>IF(B190="","",COUNTIFS('2.현장'!$V$2:$V$1001,B190,'2.현장'!$U$2:$U$1001,"시공사"))</f>
        <v/>
      </c>
      <c r="F190">
        <f>IF(B190="","",COUNTIFS('2.현장'!$V$2:$V$1001,B190,'2.현장'!$T$2:$T$1001,TRUE,'2.현장'!$AA$2:$AA$1001,"★"))</f>
        <v/>
      </c>
      <c r="G190" s="6">
        <f>IF(B190="","",SUMIFS('2.현장'!$AB$2:$AB$1001,'2.현장'!$V$2:$V$1001,B190,'2.현장'!$T$2:$T$1001,TRUE))</f>
        <v/>
      </c>
      <c r="H190" s="5">
        <f>IF(B190="","",_xlfn.MAXIFS('2.현장'!$D$2:$D$1001,'2.현장'!$V$2:$V$1001,B190,'2.현장'!$T$2:$T$1001,TRUE))</f>
        <v/>
      </c>
      <c r="I190" s="7">
        <f>IF(B190="","",IF(_xlfn.MAXIFS('2.현장'!$L$2:$L$1001,'2.현장'!$V$2:$V$1001,B190,'2.현장'!$T$2:$T$1001,TRUE)=0,"",_xlfn.MAXIFS('2.현장'!$L$2:$L$1001,'2.현장'!$V$2:$V$1001,B190,'2.현장'!$T$2:$T$1001,TRUE)))</f>
        <v/>
      </c>
      <c r="J190" s="7">
        <f>IF(B190="","",IF(_xlfn.MAXIFS('2.현장'!$M$2:$M$1001,'2.현장'!$V$2:$V$1001,B190,'2.현장'!$T$2:$T$1001,TRUE)=0,"",_xlfn.MAXIFS('2.현장'!$M$2:$M$1001,'2.현장'!$V$2:$V$1001,B190,'2.현장'!$T$2:$T$1001,TRUE)))</f>
        <v/>
      </c>
      <c r="K190">
        <f>IF(B190="","",IFERROR(INDEX('2.현장'!$C$2:$C$1001,IFERROR(MATCH(B190&amp;"|설계사",'2.현장'!$Z$2:$Z$1001,0),IFERROR(MATCH(B190&amp;"|시공사",'2.현장'!$Z$2:$Z$1001,0),MATCH(B190&amp;"|늦음",'2.현장'!$Z$2:$Z$1001,0)))),""))</f>
        <v/>
      </c>
      <c r="L190">
        <f>IF(B190="","",IFERROR(INDEX('2.현장'!$N$2:$N$1001,IFERROR(MATCH(B190&amp;"|설계사",'2.현장'!$Z$2:$Z$1001,0),IFERROR(MATCH(B190&amp;"|시공사",'2.현장'!$Z$2:$Z$1001,0),MATCH(B190&amp;"|늦음",'2.현장'!$Z$2:$Z$1001,0)))),""))</f>
        <v/>
      </c>
      <c r="M190">
        <f>IF(B190="","",IFERROR(VLOOKUP(B190,업체_메모!$A$3:$I$302,2,FALSE)&amp;"",""))</f>
        <v/>
      </c>
      <c r="N190">
        <f>IF(B190="","",IFERROR(VLOOKUP(B190,업체_메모!$A$3:$I$302,4,FALSE)&amp;"",""))</f>
        <v/>
      </c>
      <c r="O190" s="7">
        <f>IF(B190="","",IF(COUNTIF('4.방문기록'!$B$3:$B$502,B190)=0,"",_xlfn.MAXIFS('4.방문기록'!$A$3:$A$502,'4.방문기록'!$B$3:$B$502,B190)))</f>
        <v/>
      </c>
      <c r="P190">
        <f>IF(O190="","",설정!$B$24-O190)</f>
        <v/>
      </c>
      <c r="Q190" s="7">
        <f>IF(B190="","",IF(_xlfn.MAXIFS('4.방문기록'!$F$3:$F$502,'4.방문기록'!$B$3:$B$502,B190)=0,"",_xlfn.MAXIFS('4.방문기록'!$F$3:$F$502,'4.방문기록'!$B$3:$B$502,B190)))</f>
        <v/>
      </c>
      <c r="R190">
        <f>IF(O190="","",IFERROR(INDEX('4.방문기록'!$H$3:$H$502,MATCH(B190&amp;"|"&amp;(O190*1),'4.방문기록'!$I$3:$I$502,0))&amp;"",""))</f>
        <v/>
      </c>
      <c r="S190">
        <f>IF(B190="","",IF(R190="관심 없음","제외",IF(O190="","안 가봄",IF(P190&gt;=설정!$B$20,P190&amp;"일 지남","최근 방문"))))</f>
        <v/>
      </c>
      <c r="T190" s="8">
        <f>IF(B190="","",IF(S190="제외","",IF(AND(설정!$B$21&lt;&gt;"",L190&lt;&gt;설정!$B$21),"",IF(AND(Q190&lt;&gt;"",Q190&gt;N(O190),Q190&lt;=설정!$B$24+7),설정!$B$39+7-(Q190-설정!$B$24),IF(AND(G190&gt;0,OR(S190="안 가봄",RIGHT(S190,2)="지남")),G190+IF(O190="",설정!$B$36,MIN(P190,60)*설정!$B$37)+MIN(N(H190)/1000*설정!$B$38,20),"")))))</f>
        <v/>
      </c>
      <c r="U190">
        <f>IF(T190="","",COUNTIF(T$4:T$303,"&gt;"&amp;T190)+COUNTIF(T$4:T190,T190))</f>
        <v/>
      </c>
    </row>
    <row r="191">
      <c r="A191">
        <f>IF(B191="","",188)</f>
        <v/>
      </c>
      <c r="B191">
        <f>IFERROR(INDEX('2.현장'!$V$2:$V$1001,MATCH(188,'2.현장'!$W$2:$W$1001,0)),"")</f>
        <v/>
      </c>
      <c r="C191">
        <f>IF(B191="","",COUNTIFS('2.현장'!$V$2:$V$1001,B191,'2.현장'!$T$2:$T$1001,TRUE))</f>
        <v/>
      </c>
      <c r="D191">
        <f>IF(B191="","",COUNTIFS('2.현장'!$V$2:$V$1001,B191,'2.현장'!$U$2:$U$1001,"설계사"))</f>
        <v/>
      </c>
      <c r="E191">
        <f>IF(B191="","",COUNTIFS('2.현장'!$V$2:$V$1001,B191,'2.현장'!$U$2:$U$1001,"시공사"))</f>
        <v/>
      </c>
      <c r="F191">
        <f>IF(B191="","",COUNTIFS('2.현장'!$V$2:$V$1001,B191,'2.현장'!$T$2:$T$1001,TRUE,'2.현장'!$AA$2:$AA$1001,"★"))</f>
        <v/>
      </c>
      <c r="G191" s="6">
        <f>IF(B191="","",SUMIFS('2.현장'!$AB$2:$AB$1001,'2.현장'!$V$2:$V$1001,B191,'2.현장'!$T$2:$T$1001,TRUE))</f>
        <v/>
      </c>
      <c r="H191" s="5">
        <f>IF(B191="","",_xlfn.MAXIFS('2.현장'!$D$2:$D$1001,'2.현장'!$V$2:$V$1001,B191,'2.현장'!$T$2:$T$1001,TRUE))</f>
        <v/>
      </c>
      <c r="I191" s="7">
        <f>IF(B191="","",IF(_xlfn.MAXIFS('2.현장'!$L$2:$L$1001,'2.현장'!$V$2:$V$1001,B191,'2.현장'!$T$2:$T$1001,TRUE)=0,"",_xlfn.MAXIFS('2.현장'!$L$2:$L$1001,'2.현장'!$V$2:$V$1001,B191,'2.현장'!$T$2:$T$1001,TRUE)))</f>
        <v/>
      </c>
      <c r="J191" s="7">
        <f>IF(B191="","",IF(_xlfn.MAXIFS('2.현장'!$M$2:$M$1001,'2.현장'!$V$2:$V$1001,B191,'2.현장'!$T$2:$T$1001,TRUE)=0,"",_xlfn.MAXIFS('2.현장'!$M$2:$M$1001,'2.현장'!$V$2:$V$1001,B191,'2.현장'!$T$2:$T$1001,TRUE)))</f>
        <v/>
      </c>
      <c r="K191">
        <f>IF(B191="","",IFERROR(INDEX('2.현장'!$C$2:$C$1001,IFERROR(MATCH(B191&amp;"|설계사",'2.현장'!$Z$2:$Z$1001,0),IFERROR(MATCH(B191&amp;"|시공사",'2.현장'!$Z$2:$Z$1001,0),MATCH(B191&amp;"|늦음",'2.현장'!$Z$2:$Z$1001,0)))),""))</f>
        <v/>
      </c>
      <c r="L191">
        <f>IF(B191="","",IFERROR(INDEX('2.현장'!$N$2:$N$1001,IFERROR(MATCH(B191&amp;"|설계사",'2.현장'!$Z$2:$Z$1001,0),IFERROR(MATCH(B191&amp;"|시공사",'2.현장'!$Z$2:$Z$1001,0),MATCH(B191&amp;"|늦음",'2.현장'!$Z$2:$Z$1001,0)))),""))</f>
        <v/>
      </c>
      <c r="M191">
        <f>IF(B191="","",IFERROR(VLOOKUP(B191,업체_메모!$A$3:$I$302,2,FALSE)&amp;"",""))</f>
        <v/>
      </c>
      <c r="N191">
        <f>IF(B191="","",IFERROR(VLOOKUP(B191,업체_메모!$A$3:$I$302,4,FALSE)&amp;"",""))</f>
        <v/>
      </c>
      <c r="O191" s="7">
        <f>IF(B191="","",IF(COUNTIF('4.방문기록'!$B$3:$B$502,B191)=0,"",_xlfn.MAXIFS('4.방문기록'!$A$3:$A$502,'4.방문기록'!$B$3:$B$502,B191)))</f>
        <v/>
      </c>
      <c r="P191">
        <f>IF(O191="","",설정!$B$24-O191)</f>
        <v/>
      </c>
      <c r="Q191" s="7">
        <f>IF(B191="","",IF(_xlfn.MAXIFS('4.방문기록'!$F$3:$F$502,'4.방문기록'!$B$3:$B$502,B191)=0,"",_xlfn.MAXIFS('4.방문기록'!$F$3:$F$502,'4.방문기록'!$B$3:$B$502,B191)))</f>
        <v/>
      </c>
      <c r="R191">
        <f>IF(O191="","",IFERROR(INDEX('4.방문기록'!$H$3:$H$502,MATCH(B191&amp;"|"&amp;(O191*1),'4.방문기록'!$I$3:$I$502,0))&amp;"",""))</f>
        <v/>
      </c>
      <c r="S191">
        <f>IF(B191="","",IF(R191="관심 없음","제외",IF(O191="","안 가봄",IF(P191&gt;=설정!$B$20,P191&amp;"일 지남","최근 방문"))))</f>
        <v/>
      </c>
      <c r="T191" s="8">
        <f>IF(B191="","",IF(S191="제외","",IF(AND(설정!$B$21&lt;&gt;"",L191&lt;&gt;설정!$B$21),"",IF(AND(Q191&lt;&gt;"",Q191&gt;N(O191),Q191&lt;=설정!$B$24+7),설정!$B$39+7-(Q191-설정!$B$24),IF(AND(G191&gt;0,OR(S191="안 가봄",RIGHT(S191,2)="지남")),G191+IF(O191="",설정!$B$36,MIN(P191,60)*설정!$B$37)+MIN(N(H191)/1000*설정!$B$38,20),"")))))</f>
        <v/>
      </c>
      <c r="U191">
        <f>IF(T191="","",COUNTIF(T$4:T$303,"&gt;"&amp;T191)+COUNTIF(T$4:T191,T191))</f>
        <v/>
      </c>
    </row>
    <row r="192">
      <c r="A192">
        <f>IF(B192="","",189)</f>
        <v/>
      </c>
      <c r="B192">
        <f>IFERROR(INDEX('2.현장'!$V$2:$V$1001,MATCH(189,'2.현장'!$W$2:$W$1001,0)),"")</f>
        <v/>
      </c>
      <c r="C192">
        <f>IF(B192="","",COUNTIFS('2.현장'!$V$2:$V$1001,B192,'2.현장'!$T$2:$T$1001,TRUE))</f>
        <v/>
      </c>
      <c r="D192">
        <f>IF(B192="","",COUNTIFS('2.현장'!$V$2:$V$1001,B192,'2.현장'!$U$2:$U$1001,"설계사"))</f>
        <v/>
      </c>
      <c r="E192">
        <f>IF(B192="","",COUNTIFS('2.현장'!$V$2:$V$1001,B192,'2.현장'!$U$2:$U$1001,"시공사"))</f>
        <v/>
      </c>
      <c r="F192">
        <f>IF(B192="","",COUNTIFS('2.현장'!$V$2:$V$1001,B192,'2.현장'!$T$2:$T$1001,TRUE,'2.현장'!$AA$2:$AA$1001,"★"))</f>
        <v/>
      </c>
      <c r="G192" s="6">
        <f>IF(B192="","",SUMIFS('2.현장'!$AB$2:$AB$1001,'2.현장'!$V$2:$V$1001,B192,'2.현장'!$T$2:$T$1001,TRUE))</f>
        <v/>
      </c>
      <c r="H192" s="5">
        <f>IF(B192="","",_xlfn.MAXIFS('2.현장'!$D$2:$D$1001,'2.현장'!$V$2:$V$1001,B192,'2.현장'!$T$2:$T$1001,TRUE))</f>
        <v/>
      </c>
      <c r="I192" s="7">
        <f>IF(B192="","",IF(_xlfn.MAXIFS('2.현장'!$L$2:$L$1001,'2.현장'!$V$2:$V$1001,B192,'2.현장'!$T$2:$T$1001,TRUE)=0,"",_xlfn.MAXIFS('2.현장'!$L$2:$L$1001,'2.현장'!$V$2:$V$1001,B192,'2.현장'!$T$2:$T$1001,TRUE)))</f>
        <v/>
      </c>
      <c r="J192" s="7">
        <f>IF(B192="","",IF(_xlfn.MAXIFS('2.현장'!$M$2:$M$1001,'2.현장'!$V$2:$V$1001,B192,'2.현장'!$T$2:$T$1001,TRUE)=0,"",_xlfn.MAXIFS('2.현장'!$M$2:$M$1001,'2.현장'!$V$2:$V$1001,B192,'2.현장'!$T$2:$T$1001,TRUE)))</f>
        <v/>
      </c>
      <c r="K192">
        <f>IF(B192="","",IFERROR(INDEX('2.현장'!$C$2:$C$1001,IFERROR(MATCH(B192&amp;"|설계사",'2.현장'!$Z$2:$Z$1001,0),IFERROR(MATCH(B192&amp;"|시공사",'2.현장'!$Z$2:$Z$1001,0),MATCH(B192&amp;"|늦음",'2.현장'!$Z$2:$Z$1001,0)))),""))</f>
        <v/>
      </c>
      <c r="L192">
        <f>IF(B192="","",IFERROR(INDEX('2.현장'!$N$2:$N$1001,IFERROR(MATCH(B192&amp;"|설계사",'2.현장'!$Z$2:$Z$1001,0),IFERROR(MATCH(B192&amp;"|시공사",'2.현장'!$Z$2:$Z$1001,0),MATCH(B192&amp;"|늦음",'2.현장'!$Z$2:$Z$1001,0)))),""))</f>
        <v/>
      </c>
      <c r="M192">
        <f>IF(B192="","",IFERROR(VLOOKUP(B192,업체_메모!$A$3:$I$302,2,FALSE)&amp;"",""))</f>
        <v/>
      </c>
      <c r="N192">
        <f>IF(B192="","",IFERROR(VLOOKUP(B192,업체_메모!$A$3:$I$302,4,FALSE)&amp;"",""))</f>
        <v/>
      </c>
      <c r="O192" s="7">
        <f>IF(B192="","",IF(COUNTIF('4.방문기록'!$B$3:$B$502,B192)=0,"",_xlfn.MAXIFS('4.방문기록'!$A$3:$A$502,'4.방문기록'!$B$3:$B$502,B192)))</f>
        <v/>
      </c>
      <c r="P192">
        <f>IF(O192="","",설정!$B$24-O192)</f>
        <v/>
      </c>
      <c r="Q192" s="7">
        <f>IF(B192="","",IF(_xlfn.MAXIFS('4.방문기록'!$F$3:$F$502,'4.방문기록'!$B$3:$B$502,B192)=0,"",_xlfn.MAXIFS('4.방문기록'!$F$3:$F$502,'4.방문기록'!$B$3:$B$502,B192)))</f>
        <v/>
      </c>
      <c r="R192">
        <f>IF(O192="","",IFERROR(INDEX('4.방문기록'!$H$3:$H$502,MATCH(B192&amp;"|"&amp;(O192*1),'4.방문기록'!$I$3:$I$502,0))&amp;"",""))</f>
        <v/>
      </c>
      <c r="S192">
        <f>IF(B192="","",IF(R192="관심 없음","제외",IF(O192="","안 가봄",IF(P192&gt;=설정!$B$20,P192&amp;"일 지남","최근 방문"))))</f>
        <v/>
      </c>
      <c r="T192" s="8">
        <f>IF(B192="","",IF(S192="제외","",IF(AND(설정!$B$21&lt;&gt;"",L192&lt;&gt;설정!$B$21),"",IF(AND(Q192&lt;&gt;"",Q192&gt;N(O192),Q192&lt;=설정!$B$24+7),설정!$B$39+7-(Q192-설정!$B$24),IF(AND(G192&gt;0,OR(S192="안 가봄",RIGHT(S192,2)="지남")),G192+IF(O192="",설정!$B$36,MIN(P192,60)*설정!$B$37)+MIN(N(H192)/1000*설정!$B$38,20),"")))))</f>
        <v/>
      </c>
      <c r="U192">
        <f>IF(T192="","",COUNTIF(T$4:T$303,"&gt;"&amp;T192)+COUNTIF(T$4:T192,T192))</f>
        <v/>
      </c>
    </row>
    <row r="193">
      <c r="A193">
        <f>IF(B193="","",190)</f>
        <v/>
      </c>
      <c r="B193">
        <f>IFERROR(INDEX('2.현장'!$V$2:$V$1001,MATCH(190,'2.현장'!$W$2:$W$1001,0)),"")</f>
        <v/>
      </c>
      <c r="C193">
        <f>IF(B193="","",COUNTIFS('2.현장'!$V$2:$V$1001,B193,'2.현장'!$T$2:$T$1001,TRUE))</f>
        <v/>
      </c>
      <c r="D193">
        <f>IF(B193="","",COUNTIFS('2.현장'!$V$2:$V$1001,B193,'2.현장'!$U$2:$U$1001,"설계사"))</f>
        <v/>
      </c>
      <c r="E193">
        <f>IF(B193="","",COUNTIFS('2.현장'!$V$2:$V$1001,B193,'2.현장'!$U$2:$U$1001,"시공사"))</f>
        <v/>
      </c>
      <c r="F193">
        <f>IF(B193="","",COUNTIFS('2.현장'!$V$2:$V$1001,B193,'2.현장'!$T$2:$T$1001,TRUE,'2.현장'!$AA$2:$AA$1001,"★"))</f>
        <v/>
      </c>
      <c r="G193" s="6">
        <f>IF(B193="","",SUMIFS('2.현장'!$AB$2:$AB$1001,'2.현장'!$V$2:$V$1001,B193,'2.현장'!$T$2:$T$1001,TRUE))</f>
        <v/>
      </c>
      <c r="H193" s="5">
        <f>IF(B193="","",_xlfn.MAXIFS('2.현장'!$D$2:$D$1001,'2.현장'!$V$2:$V$1001,B193,'2.현장'!$T$2:$T$1001,TRUE))</f>
        <v/>
      </c>
      <c r="I193" s="7">
        <f>IF(B193="","",IF(_xlfn.MAXIFS('2.현장'!$L$2:$L$1001,'2.현장'!$V$2:$V$1001,B193,'2.현장'!$T$2:$T$1001,TRUE)=0,"",_xlfn.MAXIFS('2.현장'!$L$2:$L$1001,'2.현장'!$V$2:$V$1001,B193,'2.현장'!$T$2:$T$1001,TRUE)))</f>
        <v/>
      </c>
      <c r="J193" s="7">
        <f>IF(B193="","",IF(_xlfn.MAXIFS('2.현장'!$M$2:$M$1001,'2.현장'!$V$2:$V$1001,B193,'2.현장'!$T$2:$T$1001,TRUE)=0,"",_xlfn.MAXIFS('2.현장'!$M$2:$M$1001,'2.현장'!$V$2:$V$1001,B193,'2.현장'!$T$2:$T$1001,TRUE)))</f>
        <v/>
      </c>
      <c r="K193">
        <f>IF(B193="","",IFERROR(INDEX('2.현장'!$C$2:$C$1001,IFERROR(MATCH(B193&amp;"|설계사",'2.현장'!$Z$2:$Z$1001,0),IFERROR(MATCH(B193&amp;"|시공사",'2.현장'!$Z$2:$Z$1001,0),MATCH(B193&amp;"|늦음",'2.현장'!$Z$2:$Z$1001,0)))),""))</f>
        <v/>
      </c>
      <c r="L193">
        <f>IF(B193="","",IFERROR(INDEX('2.현장'!$N$2:$N$1001,IFERROR(MATCH(B193&amp;"|설계사",'2.현장'!$Z$2:$Z$1001,0),IFERROR(MATCH(B193&amp;"|시공사",'2.현장'!$Z$2:$Z$1001,0),MATCH(B193&amp;"|늦음",'2.현장'!$Z$2:$Z$1001,0)))),""))</f>
        <v/>
      </c>
      <c r="M193">
        <f>IF(B193="","",IFERROR(VLOOKUP(B193,업체_메모!$A$3:$I$302,2,FALSE)&amp;"",""))</f>
        <v/>
      </c>
      <c r="N193">
        <f>IF(B193="","",IFERROR(VLOOKUP(B193,업체_메모!$A$3:$I$302,4,FALSE)&amp;"",""))</f>
        <v/>
      </c>
      <c r="O193" s="7">
        <f>IF(B193="","",IF(COUNTIF('4.방문기록'!$B$3:$B$502,B193)=0,"",_xlfn.MAXIFS('4.방문기록'!$A$3:$A$502,'4.방문기록'!$B$3:$B$502,B193)))</f>
        <v/>
      </c>
      <c r="P193">
        <f>IF(O193="","",설정!$B$24-O193)</f>
        <v/>
      </c>
      <c r="Q193" s="7">
        <f>IF(B193="","",IF(_xlfn.MAXIFS('4.방문기록'!$F$3:$F$502,'4.방문기록'!$B$3:$B$502,B193)=0,"",_xlfn.MAXIFS('4.방문기록'!$F$3:$F$502,'4.방문기록'!$B$3:$B$502,B193)))</f>
        <v/>
      </c>
      <c r="R193">
        <f>IF(O193="","",IFERROR(INDEX('4.방문기록'!$H$3:$H$502,MATCH(B193&amp;"|"&amp;(O193*1),'4.방문기록'!$I$3:$I$502,0))&amp;"",""))</f>
        <v/>
      </c>
      <c r="S193">
        <f>IF(B193="","",IF(R193="관심 없음","제외",IF(O193="","안 가봄",IF(P193&gt;=설정!$B$20,P193&amp;"일 지남","최근 방문"))))</f>
        <v/>
      </c>
      <c r="T193" s="8">
        <f>IF(B193="","",IF(S193="제외","",IF(AND(설정!$B$21&lt;&gt;"",L193&lt;&gt;설정!$B$21),"",IF(AND(Q193&lt;&gt;"",Q193&gt;N(O193),Q193&lt;=설정!$B$24+7),설정!$B$39+7-(Q193-설정!$B$24),IF(AND(G193&gt;0,OR(S193="안 가봄",RIGHT(S193,2)="지남")),G193+IF(O193="",설정!$B$36,MIN(P193,60)*설정!$B$37)+MIN(N(H193)/1000*설정!$B$38,20),"")))))</f>
        <v/>
      </c>
      <c r="U193">
        <f>IF(T193="","",COUNTIF(T$4:T$303,"&gt;"&amp;T193)+COUNTIF(T$4:T193,T193))</f>
        <v/>
      </c>
    </row>
    <row r="194">
      <c r="A194">
        <f>IF(B194="","",191)</f>
        <v/>
      </c>
      <c r="B194">
        <f>IFERROR(INDEX('2.현장'!$V$2:$V$1001,MATCH(191,'2.현장'!$W$2:$W$1001,0)),"")</f>
        <v/>
      </c>
      <c r="C194">
        <f>IF(B194="","",COUNTIFS('2.현장'!$V$2:$V$1001,B194,'2.현장'!$T$2:$T$1001,TRUE))</f>
        <v/>
      </c>
      <c r="D194">
        <f>IF(B194="","",COUNTIFS('2.현장'!$V$2:$V$1001,B194,'2.현장'!$U$2:$U$1001,"설계사"))</f>
        <v/>
      </c>
      <c r="E194">
        <f>IF(B194="","",COUNTIFS('2.현장'!$V$2:$V$1001,B194,'2.현장'!$U$2:$U$1001,"시공사"))</f>
        <v/>
      </c>
      <c r="F194">
        <f>IF(B194="","",COUNTIFS('2.현장'!$V$2:$V$1001,B194,'2.현장'!$T$2:$T$1001,TRUE,'2.현장'!$AA$2:$AA$1001,"★"))</f>
        <v/>
      </c>
      <c r="G194" s="6">
        <f>IF(B194="","",SUMIFS('2.현장'!$AB$2:$AB$1001,'2.현장'!$V$2:$V$1001,B194,'2.현장'!$T$2:$T$1001,TRUE))</f>
        <v/>
      </c>
      <c r="H194" s="5">
        <f>IF(B194="","",_xlfn.MAXIFS('2.현장'!$D$2:$D$1001,'2.현장'!$V$2:$V$1001,B194,'2.현장'!$T$2:$T$1001,TRUE))</f>
        <v/>
      </c>
      <c r="I194" s="7">
        <f>IF(B194="","",IF(_xlfn.MAXIFS('2.현장'!$L$2:$L$1001,'2.현장'!$V$2:$V$1001,B194,'2.현장'!$T$2:$T$1001,TRUE)=0,"",_xlfn.MAXIFS('2.현장'!$L$2:$L$1001,'2.현장'!$V$2:$V$1001,B194,'2.현장'!$T$2:$T$1001,TRUE)))</f>
        <v/>
      </c>
      <c r="J194" s="7">
        <f>IF(B194="","",IF(_xlfn.MAXIFS('2.현장'!$M$2:$M$1001,'2.현장'!$V$2:$V$1001,B194,'2.현장'!$T$2:$T$1001,TRUE)=0,"",_xlfn.MAXIFS('2.현장'!$M$2:$M$1001,'2.현장'!$V$2:$V$1001,B194,'2.현장'!$T$2:$T$1001,TRUE)))</f>
        <v/>
      </c>
      <c r="K194">
        <f>IF(B194="","",IFERROR(INDEX('2.현장'!$C$2:$C$1001,IFERROR(MATCH(B194&amp;"|설계사",'2.현장'!$Z$2:$Z$1001,0),IFERROR(MATCH(B194&amp;"|시공사",'2.현장'!$Z$2:$Z$1001,0),MATCH(B194&amp;"|늦음",'2.현장'!$Z$2:$Z$1001,0)))),""))</f>
        <v/>
      </c>
      <c r="L194">
        <f>IF(B194="","",IFERROR(INDEX('2.현장'!$N$2:$N$1001,IFERROR(MATCH(B194&amp;"|설계사",'2.현장'!$Z$2:$Z$1001,0),IFERROR(MATCH(B194&amp;"|시공사",'2.현장'!$Z$2:$Z$1001,0),MATCH(B194&amp;"|늦음",'2.현장'!$Z$2:$Z$1001,0)))),""))</f>
        <v/>
      </c>
      <c r="M194">
        <f>IF(B194="","",IFERROR(VLOOKUP(B194,업체_메모!$A$3:$I$302,2,FALSE)&amp;"",""))</f>
        <v/>
      </c>
      <c r="N194">
        <f>IF(B194="","",IFERROR(VLOOKUP(B194,업체_메모!$A$3:$I$302,4,FALSE)&amp;"",""))</f>
        <v/>
      </c>
      <c r="O194" s="7">
        <f>IF(B194="","",IF(COUNTIF('4.방문기록'!$B$3:$B$502,B194)=0,"",_xlfn.MAXIFS('4.방문기록'!$A$3:$A$502,'4.방문기록'!$B$3:$B$502,B194)))</f>
        <v/>
      </c>
      <c r="P194">
        <f>IF(O194="","",설정!$B$24-O194)</f>
        <v/>
      </c>
      <c r="Q194" s="7">
        <f>IF(B194="","",IF(_xlfn.MAXIFS('4.방문기록'!$F$3:$F$502,'4.방문기록'!$B$3:$B$502,B194)=0,"",_xlfn.MAXIFS('4.방문기록'!$F$3:$F$502,'4.방문기록'!$B$3:$B$502,B194)))</f>
        <v/>
      </c>
      <c r="R194">
        <f>IF(O194="","",IFERROR(INDEX('4.방문기록'!$H$3:$H$502,MATCH(B194&amp;"|"&amp;(O194*1),'4.방문기록'!$I$3:$I$502,0))&amp;"",""))</f>
        <v/>
      </c>
      <c r="S194">
        <f>IF(B194="","",IF(R194="관심 없음","제외",IF(O194="","안 가봄",IF(P194&gt;=설정!$B$20,P194&amp;"일 지남","최근 방문"))))</f>
        <v/>
      </c>
      <c r="T194" s="8">
        <f>IF(B194="","",IF(S194="제외","",IF(AND(설정!$B$21&lt;&gt;"",L194&lt;&gt;설정!$B$21),"",IF(AND(Q194&lt;&gt;"",Q194&gt;N(O194),Q194&lt;=설정!$B$24+7),설정!$B$39+7-(Q194-설정!$B$24),IF(AND(G194&gt;0,OR(S194="안 가봄",RIGHT(S194,2)="지남")),G194+IF(O194="",설정!$B$36,MIN(P194,60)*설정!$B$37)+MIN(N(H194)/1000*설정!$B$38,20),"")))))</f>
        <v/>
      </c>
      <c r="U194">
        <f>IF(T194="","",COUNTIF(T$4:T$303,"&gt;"&amp;T194)+COUNTIF(T$4:T194,T194))</f>
        <v/>
      </c>
    </row>
    <row r="195">
      <c r="A195">
        <f>IF(B195="","",192)</f>
        <v/>
      </c>
      <c r="B195">
        <f>IFERROR(INDEX('2.현장'!$V$2:$V$1001,MATCH(192,'2.현장'!$W$2:$W$1001,0)),"")</f>
        <v/>
      </c>
      <c r="C195">
        <f>IF(B195="","",COUNTIFS('2.현장'!$V$2:$V$1001,B195,'2.현장'!$T$2:$T$1001,TRUE))</f>
        <v/>
      </c>
      <c r="D195">
        <f>IF(B195="","",COUNTIFS('2.현장'!$V$2:$V$1001,B195,'2.현장'!$U$2:$U$1001,"설계사"))</f>
        <v/>
      </c>
      <c r="E195">
        <f>IF(B195="","",COUNTIFS('2.현장'!$V$2:$V$1001,B195,'2.현장'!$U$2:$U$1001,"시공사"))</f>
        <v/>
      </c>
      <c r="F195">
        <f>IF(B195="","",COUNTIFS('2.현장'!$V$2:$V$1001,B195,'2.현장'!$T$2:$T$1001,TRUE,'2.현장'!$AA$2:$AA$1001,"★"))</f>
        <v/>
      </c>
      <c r="G195" s="6">
        <f>IF(B195="","",SUMIFS('2.현장'!$AB$2:$AB$1001,'2.현장'!$V$2:$V$1001,B195,'2.현장'!$T$2:$T$1001,TRUE))</f>
        <v/>
      </c>
      <c r="H195" s="5">
        <f>IF(B195="","",_xlfn.MAXIFS('2.현장'!$D$2:$D$1001,'2.현장'!$V$2:$V$1001,B195,'2.현장'!$T$2:$T$1001,TRUE))</f>
        <v/>
      </c>
      <c r="I195" s="7">
        <f>IF(B195="","",IF(_xlfn.MAXIFS('2.현장'!$L$2:$L$1001,'2.현장'!$V$2:$V$1001,B195,'2.현장'!$T$2:$T$1001,TRUE)=0,"",_xlfn.MAXIFS('2.현장'!$L$2:$L$1001,'2.현장'!$V$2:$V$1001,B195,'2.현장'!$T$2:$T$1001,TRUE)))</f>
        <v/>
      </c>
      <c r="J195" s="7">
        <f>IF(B195="","",IF(_xlfn.MAXIFS('2.현장'!$M$2:$M$1001,'2.현장'!$V$2:$V$1001,B195,'2.현장'!$T$2:$T$1001,TRUE)=0,"",_xlfn.MAXIFS('2.현장'!$M$2:$M$1001,'2.현장'!$V$2:$V$1001,B195,'2.현장'!$T$2:$T$1001,TRUE)))</f>
        <v/>
      </c>
      <c r="K195">
        <f>IF(B195="","",IFERROR(INDEX('2.현장'!$C$2:$C$1001,IFERROR(MATCH(B195&amp;"|설계사",'2.현장'!$Z$2:$Z$1001,0),IFERROR(MATCH(B195&amp;"|시공사",'2.현장'!$Z$2:$Z$1001,0),MATCH(B195&amp;"|늦음",'2.현장'!$Z$2:$Z$1001,0)))),""))</f>
        <v/>
      </c>
      <c r="L195">
        <f>IF(B195="","",IFERROR(INDEX('2.현장'!$N$2:$N$1001,IFERROR(MATCH(B195&amp;"|설계사",'2.현장'!$Z$2:$Z$1001,0),IFERROR(MATCH(B195&amp;"|시공사",'2.현장'!$Z$2:$Z$1001,0),MATCH(B195&amp;"|늦음",'2.현장'!$Z$2:$Z$1001,0)))),""))</f>
        <v/>
      </c>
      <c r="M195">
        <f>IF(B195="","",IFERROR(VLOOKUP(B195,업체_메모!$A$3:$I$302,2,FALSE)&amp;"",""))</f>
        <v/>
      </c>
      <c r="N195">
        <f>IF(B195="","",IFERROR(VLOOKUP(B195,업체_메모!$A$3:$I$302,4,FALSE)&amp;"",""))</f>
        <v/>
      </c>
      <c r="O195" s="7">
        <f>IF(B195="","",IF(COUNTIF('4.방문기록'!$B$3:$B$502,B195)=0,"",_xlfn.MAXIFS('4.방문기록'!$A$3:$A$502,'4.방문기록'!$B$3:$B$502,B195)))</f>
        <v/>
      </c>
      <c r="P195">
        <f>IF(O195="","",설정!$B$24-O195)</f>
        <v/>
      </c>
      <c r="Q195" s="7">
        <f>IF(B195="","",IF(_xlfn.MAXIFS('4.방문기록'!$F$3:$F$502,'4.방문기록'!$B$3:$B$502,B195)=0,"",_xlfn.MAXIFS('4.방문기록'!$F$3:$F$502,'4.방문기록'!$B$3:$B$502,B195)))</f>
        <v/>
      </c>
      <c r="R195">
        <f>IF(O195="","",IFERROR(INDEX('4.방문기록'!$H$3:$H$502,MATCH(B195&amp;"|"&amp;(O195*1),'4.방문기록'!$I$3:$I$502,0))&amp;"",""))</f>
        <v/>
      </c>
      <c r="S195">
        <f>IF(B195="","",IF(R195="관심 없음","제외",IF(O195="","안 가봄",IF(P195&gt;=설정!$B$20,P195&amp;"일 지남","최근 방문"))))</f>
        <v/>
      </c>
      <c r="T195" s="8">
        <f>IF(B195="","",IF(S195="제외","",IF(AND(설정!$B$21&lt;&gt;"",L195&lt;&gt;설정!$B$21),"",IF(AND(Q195&lt;&gt;"",Q195&gt;N(O195),Q195&lt;=설정!$B$24+7),설정!$B$39+7-(Q195-설정!$B$24),IF(AND(G195&gt;0,OR(S195="안 가봄",RIGHT(S195,2)="지남")),G195+IF(O195="",설정!$B$36,MIN(P195,60)*설정!$B$37)+MIN(N(H195)/1000*설정!$B$38,20),"")))))</f>
        <v/>
      </c>
      <c r="U195">
        <f>IF(T195="","",COUNTIF(T$4:T$303,"&gt;"&amp;T195)+COUNTIF(T$4:T195,T195))</f>
        <v/>
      </c>
    </row>
    <row r="196">
      <c r="A196">
        <f>IF(B196="","",193)</f>
        <v/>
      </c>
      <c r="B196">
        <f>IFERROR(INDEX('2.현장'!$V$2:$V$1001,MATCH(193,'2.현장'!$W$2:$W$1001,0)),"")</f>
        <v/>
      </c>
      <c r="C196">
        <f>IF(B196="","",COUNTIFS('2.현장'!$V$2:$V$1001,B196,'2.현장'!$T$2:$T$1001,TRUE))</f>
        <v/>
      </c>
      <c r="D196">
        <f>IF(B196="","",COUNTIFS('2.현장'!$V$2:$V$1001,B196,'2.현장'!$U$2:$U$1001,"설계사"))</f>
        <v/>
      </c>
      <c r="E196">
        <f>IF(B196="","",COUNTIFS('2.현장'!$V$2:$V$1001,B196,'2.현장'!$U$2:$U$1001,"시공사"))</f>
        <v/>
      </c>
      <c r="F196">
        <f>IF(B196="","",COUNTIFS('2.현장'!$V$2:$V$1001,B196,'2.현장'!$T$2:$T$1001,TRUE,'2.현장'!$AA$2:$AA$1001,"★"))</f>
        <v/>
      </c>
      <c r="G196" s="6">
        <f>IF(B196="","",SUMIFS('2.현장'!$AB$2:$AB$1001,'2.현장'!$V$2:$V$1001,B196,'2.현장'!$T$2:$T$1001,TRUE))</f>
        <v/>
      </c>
      <c r="H196" s="5">
        <f>IF(B196="","",_xlfn.MAXIFS('2.현장'!$D$2:$D$1001,'2.현장'!$V$2:$V$1001,B196,'2.현장'!$T$2:$T$1001,TRUE))</f>
        <v/>
      </c>
      <c r="I196" s="7">
        <f>IF(B196="","",IF(_xlfn.MAXIFS('2.현장'!$L$2:$L$1001,'2.현장'!$V$2:$V$1001,B196,'2.현장'!$T$2:$T$1001,TRUE)=0,"",_xlfn.MAXIFS('2.현장'!$L$2:$L$1001,'2.현장'!$V$2:$V$1001,B196,'2.현장'!$T$2:$T$1001,TRUE)))</f>
        <v/>
      </c>
      <c r="J196" s="7">
        <f>IF(B196="","",IF(_xlfn.MAXIFS('2.현장'!$M$2:$M$1001,'2.현장'!$V$2:$V$1001,B196,'2.현장'!$T$2:$T$1001,TRUE)=0,"",_xlfn.MAXIFS('2.현장'!$M$2:$M$1001,'2.현장'!$V$2:$V$1001,B196,'2.현장'!$T$2:$T$1001,TRUE)))</f>
        <v/>
      </c>
      <c r="K196">
        <f>IF(B196="","",IFERROR(INDEX('2.현장'!$C$2:$C$1001,IFERROR(MATCH(B196&amp;"|설계사",'2.현장'!$Z$2:$Z$1001,0),IFERROR(MATCH(B196&amp;"|시공사",'2.현장'!$Z$2:$Z$1001,0),MATCH(B196&amp;"|늦음",'2.현장'!$Z$2:$Z$1001,0)))),""))</f>
        <v/>
      </c>
      <c r="L196">
        <f>IF(B196="","",IFERROR(INDEX('2.현장'!$N$2:$N$1001,IFERROR(MATCH(B196&amp;"|설계사",'2.현장'!$Z$2:$Z$1001,0),IFERROR(MATCH(B196&amp;"|시공사",'2.현장'!$Z$2:$Z$1001,0),MATCH(B196&amp;"|늦음",'2.현장'!$Z$2:$Z$1001,0)))),""))</f>
        <v/>
      </c>
      <c r="M196">
        <f>IF(B196="","",IFERROR(VLOOKUP(B196,업체_메모!$A$3:$I$302,2,FALSE)&amp;"",""))</f>
        <v/>
      </c>
      <c r="N196">
        <f>IF(B196="","",IFERROR(VLOOKUP(B196,업체_메모!$A$3:$I$302,4,FALSE)&amp;"",""))</f>
        <v/>
      </c>
      <c r="O196" s="7">
        <f>IF(B196="","",IF(COUNTIF('4.방문기록'!$B$3:$B$502,B196)=0,"",_xlfn.MAXIFS('4.방문기록'!$A$3:$A$502,'4.방문기록'!$B$3:$B$502,B196)))</f>
        <v/>
      </c>
      <c r="P196">
        <f>IF(O196="","",설정!$B$24-O196)</f>
        <v/>
      </c>
      <c r="Q196" s="7">
        <f>IF(B196="","",IF(_xlfn.MAXIFS('4.방문기록'!$F$3:$F$502,'4.방문기록'!$B$3:$B$502,B196)=0,"",_xlfn.MAXIFS('4.방문기록'!$F$3:$F$502,'4.방문기록'!$B$3:$B$502,B196)))</f>
        <v/>
      </c>
      <c r="R196">
        <f>IF(O196="","",IFERROR(INDEX('4.방문기록'!$H$3:$H$502,MATCH(B196&amp;"|"&amp;(O196*1),'4.방문기록'!$I$3:$I$502,0))&amp;"",""))</f>
        <v/>
      </c>
      <c r="S196">
        <f>IF(B196="","",IF(R196="관심 없음","제외",IF(O196="","안 가봄",IF(P196&gt;=설정!$B$20,P196&amp;"일 지남","최근 방문"))))</f>
        <v/>
      </c>
      <c r="T196" s="8">
        <f>IF(B196="","",IF(S196="제외","",IF(AND(설정!$B$21&lt;&gt;"",L196&lt;&gt;설정!$B$21),"",IF(AND(Q196&lt;&gt;"",Q196&gt;N(O196),Q196&lt;=설정!$B$24+7),설정!$B$39+7-(Q196-설정!$B$24),IF(AND(G196&gt;0,OR(S196="안 가봄",RIGHT(S196,2)="지남")),G196+IF(O196="",설정!$B$36,MIN(P196,60)*설정!$B$37)+MIN(N(H196)/1000*설정!$B$38,20),"")))))</f>
        <v/>
      </c>
      <c r="U196">
        <f>IF(T196="","",COUNTIF(T$4:T$303,"&gt;"&amp;T196)+COUNTIF(T$4:T196,T196))</f>
        <v/>
      </c>
    </row>
    <row r="197">
      <c r="A197">
        <f>IF(B197="","",194)</f>
        <v/>
      </c>
      <c r="B197">
        <f>IFERROR(INDEX('2.현장'!$V$2:$V$1001,MATCH(194,'2.현장'!$W$2:$W$1001,0)),"")</f>
        <v/>
      </c>
      <c r="C197">
        <f>IF(B197="","",COUNTIFS('2.현장'!$V$2:$V$1001,B197,'2.현장'!$T$2:$T$1001,TRUE))</f>
        <v/>
      </c>
      <c r="D197">
        <f>IF(B197="","",COUNTIFS('2.현장'!$V$2:$V$1001,B197,'2.현장'!$U$2:$U$1001,"설계사"))</f>
        <v/>
      </c>
      <c r="E197">
        <f>IF(B197="","",COUNTIFS('2.현장'!$V$2:$V$1001,B197,'2.현장'!$U$2:$U$1001,"시공사"))</f>
        <v/>
      </c>
      <c r="F197">
        <f>IF(B197="","",COUNTIFS('2.현장'!$V$2:$V$1001,B197,'2.현장'!$T$2:$T$1001,TRUE,'2.현장'!$AA$2:$AA$1001,"★"))</f>
        <v/>
      </c>
      <c r="G197" s="6">
        <f>IF(B197="","",SUMIFS('2.현장'!$AB$2:$AB$1001,'2.현장'!$V$2:$V$1001,B197,'2.현장'!$T$2:$T$1001,TRUE))</f>
        <v/>
      </c>
      <c r="H197" s="5">
        <f>IF(B197="","",_xlfn.MAXIFS('2.현장'!$D$2:$D$1001,'2.현장'!$V$2:$V$1001,B197,'2.현장'!$T$2:$T$1001,TRUE))</f>
        <v/>
      </c>
      <c r="I197" s="7">
        <f>IF(B197="","",IF(_xlfn.MAXIFS('2.현장'!$L$2:$L$1001,'2.현장'!$V$2:$V$1001,B197,'2.현장'!$T$2:$T$1001,TRUE)=0,"",_xlfn.MAXIFS('2.현장'!$L$2:$L$1001,'2.현장'!$V$2:$V$1001,B197,'2.현장'!$T$2:$T$1001,TRUE)))</f>
        <v/>
      </c>
      <c r="J197" s="7">
        <f>IF(B197="","",IF(_xlfn.MAXIFS('2.현장'!$M$2:$M$1001,'2.현장'!$V$2:$V$1001,B197,'2.현장'!$T$2:$T$1001,TRUE)=0,"",_xlfn.MAXIFS('2.현장'!$M$2:$M$1001,'2.현장'!$V$2:$V$1001,B197,'2.현장'!$T$2:$T$1001,TRUE)))</f>
        <v/>
      </c>
      <c r="K197">
        <f>IF(B197="","",IFERROR(INDEX('2.현장'!$C$2:$C$1001,IFERROR(MATCH(B197&amp;"|설계사",'2.현장'!$Z$2:$Z$1001,0),IFERROR(MATCH(B197&amp;"|시공사",'2.현장'!$Z$2:$Z$1001,0),MATCH(B197&amp;"|늦음",'2.현장'!$Z$2:$Z$1001,0)))),""))</f>
        <v/>
      </c>
      <c r="L197">
        <f>IF(B197="","",IFERROR(INDEX('2.현장'!$N$2:$N$1001,IFERROR(MATCH(B197&amp;"|설계사",'2.현장'!$Z$2:$Z$1001,0),IFERROR(MATCH(B197&amp;"|시공사",'2.현장'!$Z$2:$Z$1001,0),MATCH(B197&amp;"|늦음",'2.현장'!$Z$2:$Z$1001,0)))),""))</f>
        <v/>
      </c>
      <c r="M197">
        <f>IF(B197="","",IFERROR(VLOOKUP(B197,업체_메모!$A$3:$I$302,2,FALSE)&amp;"",""))</f>
        <v/>
      </c>
      <c r="N197">
        <f>IF(B197="","",IFERROR(VLOOKUP(B197,업체_메모!$A$3:$I$302,4,FALSE)&amp;"",""))</f>
        <v/>
      </c>
      <c r="O197" s="7">
        <f>IF(B197="","",IF(COUNTIF('4.방문기록'!$B$3:$B$502,B197)=0,"",_xlfn.MAXIFS('4.방문기록'!$A$3:$A$502,'4.방문기록'!$B$3:$B$502,B197)))</f>
        <v/>
      </c>
      <c r="P197">
        <f>IF(O197="","",설정!$B$24-O197)</f>
        <v/>
      </c>
      <c r="Q197" s="7">
        <f>IF(B197="","",IF(_xlfn.MAXIFS('4.방문기록'!$F$3:$F$502,'4.방문기록'!$B$3:$B$502,B197)=0,"",_xlfn.MAXIFS('4.방문기록'!$F$3:$F$502,'4.방문기록'!$B$3:$B$502,B197)))</f>
        <v/>
      </c>
      <c r="R197">
        <f>IF(O197="","",IFERROR(INDEX('4.방문기록'!$H$3:$H$502,MATCH(B197&amp;"|"&amp;(O197*1),'4.방문기록'!$I$3:$I$502,0))&amp;"",""))</f>
        <v/>
      </c>
      <c r="S197">
        <f>IF(B197="","",IF(R197="관심 없음","제외",IF(O197="","안 가봄",IF(P197&gt;=설정!$B$20,P197&amp;"일 지남","최근 방문"))))</f>
        <v/>
      </c>
      <c r="T197" s="8">
        <f>IF(B197="","",IF(S197="제외","",IF(AND(설정!$B$21&lt;&gt;"",L197&lt;&gt;설정!$B$21),"",IF(AND(Q197&lt;&gt;"",Q197&gt;N(O197),Q197&lt;=설정!$B$24+7),설정!$B$39+7-(Q197-설정!$B$24),IF(AND(G197&gt;0,OR(S197="안 가봄",RIGHT(S197,2)="지남")),G197+IF(O197="",설정!$B$36,MIN(P197,60)*설정!$B$37)+MIN(N(H197)/1000*설정!$B$38,20),"")))))</f>
        <v/>
      </c>
      <c r="U197">
        <f>IF(T197="","",COUNTIF(T$4:T$303,"&gt;"&amp;T197)+COUNTIF(T$4:T197,T197))</f>
        <v/>
      </c>
    </row>
    <row r="198">
      <c r="A198">
        <f>IF(B198="","",195)</f>
        <v/>
      </c>
      <c r="B198">
        <f>IFERROR(INDEX('2.현장'!$V$2:$V$1001,MATCH(195,'2.현장'!$W$2:$W$1001,0)),"")</f>
        <v/>
      </c>
      <c r="C198">
        <f>IF(B198="","",COUNTIFS('2.현장'!$V$2:$V$1001,B198,'2.현장'!$T$2:$T$1001,TRUE))</f>
        <v/>
      </c>
      <c r="D198">
        <f>IF(B198="","",COUNTIFS('2.현장'!$V$2:$V$1001,B198,'2.현장'!$U$2:$U$1001,"설계사"))</f>
        <v/>
      </c>
      <c r="E198">
        <f>IF(B198="","",COUNTIFS('2.현장'!$V$2:$V$1001,B198,'2.현장'!$U$2:$U$1001,"시공사"))</f>
        <v/>
      </c>
      <c r="F198">
        <f>IF(B198="","",COUNTIFS('2.현장'!$V$2:$V$1001,B198,'2.현장'!$T$2:$T$1001,TRUE,'2.현장'!$AA$2:$AA$1001,"★"))</f>
        <v/>
      </c>
      <c r="G198" s="6">
        <f>IF(B198="","",SUMIFS('2.현장'!$AB$2:$AB$1001,'2.현장'!$V$2:$V$1001,B198,'2.현장'!$T$2:$T$1001,TRUE))</f>
        <v/>
      </c>
      <c r="H198" s="5">
        <f>IF(B198="","",_xlfn.MAXIFS('2.현장'!$D$2:$D$1001,'2.현장'!$V$2:$V$1001,B198,'2.현장'!$T$2:$T$1001,TRUE))</f>
        <v/>
      </c>
      <c r="I198" s="7">
        <f>IF(B198="","",IF(_xlfn.MAXIFS('2.현장'!$L$2:$L$1001,'2.현장'!$V$2:$V$1001,B198,'2.현장'!$T$2:$T$1001,TRUE)=0,"",_xlfn.MAXIFS('2.현장'!$L$2:$L$1001,'2.현장'!$V$2:$V$1001,B198,'2.현장'!$T$2:$T$1001,TRUE)))</f>
        <v/>
      </c>
      <c r="J198" s="7">
        <f>IF(B198="","",IF(_xlfn.MAXIFS('2.현장'!$M$2:$M$1001,'2.현장'!$V$2:$V$1001,B198,'2.현장'!$T$2:$T$1001,TRUE)=0,"",_xlfn.MAXIFS('2.현장'!$M$2:$M$1001,'2.현장'!$V$2:$V$1001,B198,'2.현장'!$T$2:$T$1001,TRUE)))</f>
        <v/>
      </c>
      <c r="K198">
        <f>IF(B198="","",IFERROR(INDEX('2.현장'!$C$2:$C$1001,IFERROR(MATCH(B198&amp;"|설계사",'2.현장'!$Z$2:$Z$1001,0),IFERROR(MATCH(B198&amp;"|시공사",'2.현장'!$Z$2:$Z$1001,0),MATCH(B198&amp;"|늦음",'2.현장'!$Z$2:$Z$1001,0)))),""))</f>
        <v/>
      </c>
      <c r="L198">
        <f>IF(B198="","",IFERROR(INDEX('2.현장'!$N$2:$N$1001,IFERROR(MATCH(B198&amp;"|설계사",'2.현장'!$Z$2:$Z$1001,0),IFERROR(MATCH(B198&amp;"|시공사",'2.현장'!$Z$2:$Z$1001,0),MATCH(B198&amp;"|늦음",'2.현장'!$Z$2:$Z$1001,0)))),""))</f>
        <v/>
      </c>
      <c r="M198">
        <f>IF(B198="","",IFERROR(VLOOKUP(B198,업체_메모!$A$3:$I$302,2,FALSE)&amp;"",""))</f>
        <v/>
      </c>
      <c r="N198">
        <f>IF(B198="","",IFERROR(VLOOKUP(B198,업체_메모!$A$3:$I$302,4,FALSE)&amp;"",""))</f>
        <v/>
      </c>
      <c r="O198" s="7">
        <f>IF(B198="","",IF(COUNTIF('4.방문기록'!$B$3:$B$502,B198)=0,"",_xlfn.MAXIFS('4.방문기록'!$A$3:$A$502,'4.방문기록'!$B$3:$B$502,B198)))</f>
        <v/>
      </c>
      <c r="P198">
        <f>IF(O198="","",설정!$B$24-O198)</f>
        <v/>
      </c>
      <c r="Q198" s="7">
        <f>IF(B198="","",IF(_xlfn.MAXIFS('4.방문기록'!$F$3:$F$502,'4.방문기록'!$B$3:$B$502,B198)=0,"",_xlfn.MAXIFS('4.방문기록'!$F$3:$F$502,'4.방문기록'!$B$3:$B$502,B198)))</f>
        <v/>
      </c>
      <c r="R198">
        <f>IF(O198="","",IFERROR(INDEX('4.방문기록'!$H$3:$H$502,MATCH(B198&amp;"|"&amp;(O198*1),'4.방문기록'!$I$3:$I$502,0))&amp;"",""))</f>
        <v/>
      </c>
      <c r="S198">
        <f>IF(B198="","",IF(R198="관심 없음","제외",IF(O198="","안 가봄",IF(P198&gt;=설정!$B$20,P198&amp;"일 지남","최근 방문"))))</f>
        <v/>
      </c>
      <c r="T198" s="8">
        <f>IF(B198="","",IF(S198="제외","",IF(AND(설정!$B$21&lt;&gt;"",L198&lt;&gt;설정!$B$21),"",IF(AND(Q198&lt;&gt;"",Q198&gt;N(O198),Q198&lt;=설정!$B$24+7),설정!$B$39+7-(Q198-설정!$B$24),IF(AND(G198&gt;0,OR(S198="안 가봄",RIGHT(S198,2)="지남")),G198+IF(O198="",설정!$B$36,MIN(P198,60)*설정!$B$37)+MIN(N(H198)/1000*설정!$B$38,20),"")))))</f>
        <v/>
      </c>
      <c r="U198">
        <f>IF(T198="","",COUNTIF(T$4:T$303,"&gt;"&amp;T198)+COUNTIF(T$4:T198,T198))</f>
        <v/>
      </c>
    </row>
    <row r="199">
      <c r="A199">
        <f>IF(B199="","",196)</f>
        <v/>
      </c>
      <c r="B199">
        <f>IFERROR(INDEX('2.현장'!$V$2:$V$1001,MATCH(196,'2.현장'!$W$2:$W$1001,0)),"")</f>
        <v/>
      </c>
      <c r="C199">
        <f>IF(B199="","",COUNTIFS('2.현장'!$V$2:$V$1001,B199,'2.현장'!$T$2:$T$1001,TRUE))</f>
        <v/>
      </c>
      <c r="D199">
        <f>IF(B199="","",COUNTIFS('2.현장'!$V$2:$V$1001,B199,'2.현장'!$U$2:$U$1001,"설계사"))</f>
        <v/>
      </c>
      <c r="E199">
        <f>IF(B199="","",COUNTIFS('2.현장'!$V$2:$V$1001,B199,'2.현장'!$U$2:$U$1001,"시공사"))</f>
        <v/>
      </c>
      <c r="F199">
        <f>IF(B199="","",COUNTIFS('2.현장'!$V$2:$V$1001,B199,'2.현장'!$T$2:$T$1001,TRUE,'2.현장'!$AA$2:$AA$1001,"★"))</f>
        <v/>
      </c>
      <c r="G199" s="6">
        <f>IF(B199="","",SUMIFS('2.현장'!$AB$2:$AB$1001,'2.현장'!$V$2:$V$1001,B199,'2.현장'!$T$2:$T$1001,TRUE))</f>
        <v/>
      </c>
      <c r="H199" s="5">
        <f>IF(B199="","",_xlfn.MAXIFS('2.현장'!$D$2:$D$1001,'2.현장'!$V$2:$V$1001,B199,'2.현장'!$T$2:$T$1001,TRUE))</f>
        <v/>
      </c>
      <c r="I199" s="7">
        <f>IF(B199="","",IF(_xlfn.MAXIFS('2.현장'!$L$2:$L$1001,'2.현장'!$V$2:$V$1001,B199,'2.현장'!$T$2:$T$1001,TRUE)=0,"",_xlfn.MAXIFS('2.현장'!$L$2:$L$1001,'2.현장'!$V$2:$V$1001,B199,'2.현장'!$T$2:$T$1001,TRUE)))</f>
        <v/>
      </c>
      <c r="J199" s="7">
        <f>IF(B199="","",IF(_xlfn.MAXIFS('2.현장'!$M$2:$M$1001,'2.현장'!$V$2:$V$1001,B199,'2.현장'!$T$2:$T$1001,TRUE)=0,"",_xlfn.MAXIFS('2.현장'!$M$2:$M$1001,'2.현장'!$V$2:$V$1001,B199,'2.현장'!$T$2:$T$1001,TRUE)))</f>
        <v/>
      </c>
      <c r="K199">
        <f>IF(B199="","",IFERROR(INDEX('2.현장'!$C$2:$C$1001,IFERROR(MATCH(B199&amp;"|설계사",'2.현장'!$Z$2:$Z$1001,0),IFERROR(MATCH(B199&amp;"|시공사",'2.현장'!$Z$2:$Z$1001,0),MATCH(B199&amp;"|늦음",'2.현장'!$Z$2:$Z$1001,0)))),""))</f>
        <v/>
      </c>
      <c r="L199">
        <f>IF(B199="","",IFERROR(INDEX('2.현장'!$N$2:$N$1001,IFERROR(MATCH(B199&amp;"|설계사",'2.현장'!$Z$2:$Z$1001,0),IFERROR(MATCH(B199&amp;"|시공사",'2.현장'!$Z$2:$Z$1001,0),MATCH(B199&amp;"|늦음",'2.현장'!$Z$2:$Z$1001,0)))),""))</f>
        <v/>
      </c>
      <c r="M199">
        <f>IF(B199="","",IFERROR(VLOOKUP(B199,업체_메모!$A$3:$I$302,2,FALSE)&amp;"",""))</f>
        <v/>
      </c>
      <c r="N199">
        <f>IF(B199="","",IFERROR(VLOOKUP(B199,업체_메모!$A$3:$I$302,4,FALSE)&amp;"",""))</f>
        <v/>
      </c>
      <c r="O199" s="7">
        <f>IF(B199="","",IF(COUNTIF('4.방문기록'!$B$3:$B$502,B199)=0,"",_xlfn.MAXIFS('4.방문기록'!$A$3:$A$502,'4.방문기록'!$B$3:$B$502,B199)))</f>
        <v/>
      </c>
      <c r="P199">
        <f>IF(O199="","",설정!$B$24-O199)</f>
        <v/>
      </c>
      <c r="Q199" s="7">
        <f>IF(B199="","",IF(_xlfn.MAXIFS('4.방문기록'!$F$3:$F$502,'4.방문기록'!$B$3:$B$502,B199)=0,"",_xlfn.MAXIFS('4.방문기록'!$F$3:$F$502,'4.방문기록'!$B$3:$B$502,B199)))</f>
        <v/>
      </c>
      <c r="R199">
        <f>IF(O199="","",IFERROR(INDEX('4.방문기록'!$H$3:$H$502,MATCH(B199&amp;"|"&amp;(O199*1),'4.방문기록'!$I$3:$I$502,0))&amp;"",""))</f>
        <v/>
      </c>
      <c r="S199">
        <f>IF(B199="","",IF(R199="관심 없음","제외",IF(O199="","안 가봄",IF(P199&gt;=설정!$B$20,P199&amp;"일 지남","최근 방문"))))</f>
        <v/>
      </c>
      <c r="T199" s="8">
        <f>IF(B199="","",IF(S199="제외","",IF(AND(설정!$B$21&lt;&gt;"",L199&lt;&gt;설정!$B$21),"",IF(AND(Q199&lt;&gt;"",Q199&gt;N(O199),Q199&lt;=설정!$B$24+7),설정!$B$39+7-(Q199-설정!$B$24),IF(AND(G199&gt;0,OR(S199="안 가봄",RIGHT(S199,2)="지남")),G199+IF(O199="",설정!$B$36,MIN(P199,60)*설정!$B$37)+MIN(N(H199)/1000*설정!$B$38,20),"")))))</f>
        <v/>
      </c>
      <c r="U199">
        <f>IF(T199="","",COUNTIF(T$4:T$303,"&gt;"&amp;T199)+COUNTIF(T$4:T199,T199))</f>
        <v/>
      </c>
    </row>
    <row r="200">
      <c r="A200">
        <f>IF(B200="","",197)</f>
        <v/>
      </c>
      <c r="B200">
        <f>IFERROR(INDEX('2.현장'!$V$2:$V$1001,MATCH(197,'2.현장'!$W$2:$W$1001,0)),"")</f>
        <v/>
      </c>
      <c r="C200">
        <f>IF(B200="","",COUNTIFS('2.현장'!$V$2:$V$1001,B200,'2.현장'!$T$2:$T$1001,TRUE))</f>
        <v/>
      </c>
      <c r="D200">
        <f>IF(B200="","",COUNTIFS('2.현장'!$V$2:$V$1001,B200,'2.현장'!$U$2:$U$1001,"설계사"))</f>
        <v/>
      </c>
      <c r="E200">
        <f>IF(B200="","",COUNTIFS('2.현장'!$V$2:$V$1001,B200,'2.현장'!$U$2:$U$1001,"시공사"))</f>
        <v/>
      </c>
      <c r="F200">
        <f>IF(B200="","",COUNTIFS('2.현장'!$V$2:$V$1001,B200,'2.현장'!$T$2:$T$1001,TRUE,'2.현장'!$AA$2:$AA$1001,"★"))</f>
        <v/>
      </c>
      <c r="G200" s="6">
        <f>IF(B200="","",SUMIFS('2.현장'!$AB$2:$AB$1001,'2.현장'!$V$2:$V$1001,B200,'2.현장'!$T$2:$T$1001,TRUE))</f>
        <v/>
      </c>
      <c r="H200" s="5">
        <f>IF(B200="","",_xlfn.MAXIFS('2.현장'!$D$2:$D$1001,'2.현장'!$V$2:$V$1001,B200,'2.현장'!$T$2:$T$1001,TRUE))</f>
        <v/>
      </c>
      <c r="I200" s="7">
        <f>IF(B200="","",IF(_xlfn.MAXIFS('2.현장'!$L$2:$L$1001,'2.현장'!$V$2:$V$1001,B200,'2.현장'!$T$2:$T$1001,TRUE)=0,"",_xlfn.MAXIFS('2.현장'!$L$2:$L$1001,'2.현장'!$V$2:$V$1001,B200,'2.현장'!$T$2:$T$1001,TRUE)))</f>
        <v/>
      </c>
      <c r="J200" s="7">
        <f>IF(B200="","",IF(_xlfn.MAXIFS('2.현장'!$M$2:$M$1001,'2.현장'!$V$2:$V$1001,B200,'2.현장'!$T$2:$T$1001,TRUE)=0,"",_xlfn.MAXIFS('2.현장'!$M$2:$M$1001,'2.현장'!$V$2:$V$1001,B200,'2.현장'!$T$2:$T$1001,TRUE)))</f>
        <v/>
      </c>
      <c r="K200">
        <f>IF(B200="","",IFERROR(INDEX('2.현장'!$C$2:$C$1001,IFERROR(MATCH(B200&amp;"|설계사",'2.현장'!$Z$2:$Z$1001,0),IFERROR(MATCH(B200&amp;"|시공사",'2.현장'!$Z$2:$Z$1001,0),MATCH(B200&amp;"|늦음",'2.현장'!$Z$2:$Z$1001,0)))),""))</f>
        <v/>
      </c>
      <c r="L200">
        <f>IF(B200="","",IFERROR(INDEX('2.현장'!$N$2:$N$1001,IFERROR(MATCH(B200&amp;"|설계사",'2.현장'!$Z$2:$Z$1001,0),IFERROR(MATCH(B200&amp;"|시공사",'2.현장'!$Z$2:$Z$1001,0),MATCH(B200&amp;"|늦음",'2.현장'!$Z$2:$Z$1001,0)))),""))</f>
        <v/>
      </c>
      <c r="M200">
        <f>IF(B200="","",IFERROR(VLOOKUP(B200,업체_메모!$A$3:$I$302,2,FALSE)&amp;"",""))</f>
        <v/>
      </c>
      <c r="N200">
        <f>IF(B200="","",IFERROR(VLOOKUP(B200,업체_메모!$A$3:$I$302,4,FALSE)&amp;"",""))</f>
        <v/>
      </c>
      <c r="O200" s="7">
        <f>IF(B200="","",IF(COUNTIF('4.방문기록'!$B$3:$B$502,B200)=0,"",_xlfn.MAXIFS('4.방문기록'!$A$3:$A$502,'4.방문기록'!$B$3:$B$502,B200)))</f>
        <v/>
      </c>
      <c r="P200">
        <f>IF(O200="","",설정!$B$24-O200)</f>
        <v/>
      </c>
      <c r="Q200" s="7">
        <f>IF(B200="","",IF(_xlfn.MAXIFS('4.방문기록'!$F$3:$F$502,'4.방문기록'!$B$3:$B$502,B200)=0,"",_xlfn.MAXIFS('4.방문기록'!$F$3:$F$502,'4.방문기록'!$B$3:$B$502,B200)))</f>
        <v/>
      </c>
      <c r="R200">
        <f>IF(O200="","",IFERROR(INDEX('4.방문기록'!$H$3:$H$502,MATCH(B200&amp;"|"&amp;(O200*1),'4.방문기록'!$I$3:$I$502,0))&amp;"",""))</f>
        <v/>
      </c>
      <c r="S200">
        <f>IF(B200="","",IF(R200="관심 없음","제외",IF(O200="","안 가봄",IF(P200&gt;=설정!$B$20,P200&amp;"일 지남","최근 방문"))))</f>
        <v/>
      </c>
      <c r="T200" s="8">
        <f>IF(B200="","",IF(S200="제외","",IF(AND(설정!$B$21&lt;&gt;"",L200&lt;&gt;설정!$B$21),"",IF(AND(Q200&lt;&gt;"",Q200&gt;N(O200),Q200&lt;=설정!$B$24+7),설정!$B$39+7-(Q200-설정!$B$24),IF(AND(G200&gt;0,OR(S200="안 가봄",RIGHT(S200,2)="지남")),G200+IF(O200="",설정!$B$36,MIN(P200,60)*설정!$B$37)+MIN(N(H200)/1000*설정!$B$38,20),"")))))</f>
        <v/>
      </c>
      <c r="U200">
        <f>IF(T200="","",COUNTIF(T$4:T$303,"&gt;"&amp;T200)+COUNTIF(T$4:T200,T200))</f>
        <v/>
      </c>
    </row>
    <row r="201">
      <c r="A201">
        <f>IF(B201="","",198)</f>
        <v/>
      </c>
      <c r="B201">
        <f>IFERROR(INDEX('2.현장'!$V$2:$V$1001,MATCH(198,'2.현장'!$W$2:$W$1001,0)),"")</f>
        <v/>
      </c>
      <c r="C201">
        <f>IF(B201="","",COUNTIFS('2.현장'!$V$2:$V$1001,B201,'2.현장'!$T$2:$T$1001,TRUE))</f>
        <v/>
      </c>
      <c r="D201">
        <f>IF(B201="","",COUNTIFS('2.현장'!$V$2:$V$1001,B201,'2.현장'!$U$2:$U$1001,"설계사"))</f>
        <v/>
      </c>
      <c r="E201">
        <f>IF(B201="","",COUNTIFS('2.현장'!$V$2:$V$1001,B201,'2.현장'!$U$2:$U$1001,"시공사"))</f>
        <v/>
      </c>
      <c r="F201">
        <f>IF(B201="","",COUNTIFS('2.현장'!$V$2:$V$1001,B201,'2.현장'!$T$2:$T$1001,TRUE,'2.현장'!$AA$2:$AA$1001,"★"))</f>
        <v/>
      </c>
      <c r="G201" s="6">
        <f>IF(B201="","",SUMIFS('2.현장'!$AB$2:$AB$1001,'2.현장'!$V$2:$V$1001,B201,'2.현장'!$T$2:$T$1001,TRUE))</f>
        <v/>
      </c>
      <c r="H201" s="5">
        <f>IF(B201="","",_xlfn.MAXIFS('2.현장'!$D$2:$D$1001,'2.현장'!$V$2:$V$1001,B201,'2.현장'!$T$2:$T$1001,TRUE))</f>
        <v/>
      </c>
      <c r="I201" s="7">
        <f>IF(B201="","",IF(_xlfn.MAXIFS('2.현장'!$L$2:$L$1001,'2.현장'!$V$2:$V$1001,B201,'2.현장'!$T$2:$T$1001,TRUE)=0,"",_xlfn.MAXIFS('2.현장'!$L$2:$L$1001,'2.현장'!$V$2:$V$1001,B201,'2.현장'!$T$2:$T$1001,TRUE)))</f>
        <v/>
      </c>
      <c r="J201" s="7">
        <f>IF(B201="","",IF(_xlfn.MAXIFS('2.현장'!$M$2:$M$1001,'2.현장'!$V$2:$V$1001,B201,'2.현장'!$T$2:$T$1001,TRUE)=0,"",_xlfn.MAXIFS('2.현장'!$M$2:$M$1001,'2.현장'!$V$2:$V$1001,B201,'2.현장'!$T$2:$T$1001,TRUE)))</f>
        <v/>
      </c>
      <c r="K201">
        <f>IF(B201="","",IFERROR(INDEX('2.현장'!$C$2:$C$1001,IFERROR(MATCH(B201&amp;"|설계사",'2.현장'!$Z$2:$Z$1001,0),IFERROR(MATCH(B201&amp;"|시공사",'2.현장'!$Z$2:$Z$1001,0),MATCH(B201&amp;"|늦음",'2.현장'!$Z$2:$Z$1001,0)))),""))</f>
        <v/>
      </c>
      <c r="L201">
        <f>IF(B201="","",IFERROR(INDEX('2.현장'!$N$2:$N$1001,IFERROR(MATCH(B201&amp;"|설계사",'2.현장'!$Z$2:$Z$1001,0),IFERROR(MATCH(B201&amp;"|시공사",'2.현장'!$Z$2:$Z$1001,0),MATCH(B201&amp;"|늦음",'2.현장'!$Z$2:$Z$1001,0)))),""))</f>
        <v/>
      </c>
      <c r="M201">
        <f>IF(B201="","",IFERROR(VLOOKUP(B201,업체_메모!$A$3:$I$302,2,FALSE)&amp;"",""))</f>
        <v/>
      </c>
      <c r="N201">
        <f>IF(B201="","",IFERROR(VLOOKUP(B201,업체_메모!$A$3:$I$302,4,FALSE)&amp;"",""))</f>
        <v/>
      </c>
      <c r="O201" s="7">
        <f>IF(B201="","",IF(COUNTIF('4.방문기록'!$B$3:$B$502,B201)=0,"",_xlfn.MAXIFS('4.방문기록'!$A$3:$A$502,'4.방문기록'!$B$3:$B$502,B201)))</f>
        <v/>
      </c>
      <c r="P201">
        <f>IF(O201="","",설정!$B$24-O201)</f>
        <v/>
      </c>
      <c r="Q201" s="7">
        <f>IF(B201="","",IF(_xlfn.MAXIFS('4.방문기록'!$F$3:$F$502,'4.방문기록'!$B$3:$B$502,B201)=0,"",_xlfn.MAXIFS('4.방문기록'!$F$3:$F$502,'4.방문기록'!$B$3:$B$502,B201)))</f>
        <v/>
      </c>
      <c r="R201">
        <f>IF(O201="","",IFERROR(INDEX('4.방문기록'!$H$3:$H$502,MATCH(B201&amp;"|"&amp;(O201*1),'4.방문기록'!$I$3:$I$502,0))&amp;"",""))</f>
        <v/>
      </c>
      <c r="S201">
        <f>IF(B201="","",IF(R201="관심 없음","제외",IF(O201="","안 가봄",IF(P201&gt;=설정!$B$20,P201&amp;"일 지남","최근 방문"))))</f>
        <v/>
      </c>
      <c r="T201" s="8">
        <f>IF(B201="","",IF(S201="제외","",IF(AND(설정!$B$21&lt;&gt;"",L201&lt;&gt;설정!$B$21),"",IF(AND(Q201&lt;&gt;"",Q201&gt;N(O201),Q201&lt;=설정!$B$24+7),설정!$B$39+7-(Q201-설정!$B$24),IF(AND(G201&gt;0,OR(S201="안 가봄",RIGHT(S201,2)="지남")),G201+IF(O201="",설정!$B$36,MIN(P201,60)*설정!$B$37)+MIN(N(H201)/1000*설정!$B$38,20),"")))))</f>
        <v/>
      </c>
      <c r="U201">
        <f>IF(T201="","",COUNTIF(T$4:T$303,"&gt;"&amp;T201)+COUNTIF(T$4:T201,T201))</f>
        <v/>
      </c>
    </row>
    <row r="202">
      <c r="A202">
        <f>IF(B202="","",199)</f>
        <v/>
      </c>
      <c r="B202">
        <f>IFERROR(INDEX('2.현장'!$V$2:$V$1001,MATCH(199,'2.현장'!$W$2:$W$1001,0)),"")</f>
        <v/>
      </c>
      <c r="C202">
        <f>IF(B202="","",COUNTIFS('2.현장'!$V$2:$V$1001,B202,'2.현장'!$T$2:$T$1001,TRUE))</f>
        <v/>
      </c>
      <c r="D202">
        <f>IF(B202="","",COUNTIFS('2.현장'!$V$2:$V$1001,B202,'2.현장'!$U$2:$U$1001,"설계사"))</f>
        <v/>
      </c>
      <c r="E202">
        <f>IF(B202="","",COUNTIFS('2.현장'!$V$2:$V$1001,B202,'2.현장'!$U$2:$U$1001,"시공사"))</f>
        <v/>
      </c>
      <c r="F202">
        <f>IF(B202="","",COUNTIFS('2.현장'!$V$2:$V$1001,B202,'2.현장'!$T$2:$T$1001,TRUE,'2.현장'!$AA$2:$AA$1001,"★"))</f>
        <v/>
      </c>
      <c r="G202" s="6">
        <f>IF(B202="","",SUMIFS('2.현장'!$AB$2:$AB$1001,'2.현장'!$V$2:$V$1001,B202,'2.현장'!$T$2:$T$1001,TRUE))</f>
        <v/>
      </c>
      <c r="H202" s="5">
        <f>IF(B202="","",_xlfn.MAXIFS('2.현장'!$D$2:$D$1001,'2.현장'!$V$2:$V$1001,B202,'2.현장'!$T$2:$T$1001,TRUE))</f>
        <v/>
      </c>
      <c r="I202" s="7">
        <f>IF(B202="","",IF(_xlfn.MAXIFS('2.현장'!$L$2:$L$1001,'2.현장'!$V$2:$V$1001,B202,'2.현장'!$T$2:$T$1001,TRUE)=0,"",_xlfn.MAXIFS('2.현장'!$L$2:$L$1001,'2.현장'!$V$2:$V$1001,B202,'2.현장'!$T$2:$T$1001,TRUE)))</f>
        <v/>
      </c>
      <c r="J202" s="7">
        <f>IF(B202="","",IF(_xlfn.MAXIFS('2.현장'!$M$2:$M$1001,'2.현장'!$V$2:$V$1001,B202,'2.현장'!$T$2:$T$1001,TRUE)=0,"",_xlfn.MAXIFS('2.현장'!$M$2:$M$1001,'2.현장'!$V$2:$V$1001,B202,'2.현장'!$T$2:$T$1001,TRUE)))</f>
        <v/>
      </c>
      <c r="K202">
        <f>IF(B202="","",IFERROR(INDEX('2.현장'!$C$2:$C$1001,IFERROR(MATCH(B202&amp;"|설계사",'2.현장'!$Z$2:$Z$1001,0),IFERROR(MATCH(B202&amp;"|시공사",'2.현장'!$Z$2:$Z$1001,0),MATCH(B202&amp;"|늦음",'2.현장'!$Z$2:$Z$1001,0)))),""))</f>
        <v/>
      </c>
      <c r="L202">
        <f>IF(B202="","",IFERROR(INDEX('2.현장'!$N$2:$N$1001,IFERROR(MATCH(B202&amp;"|설계사",'2.현장'!$Z$2:$Z$1001,0),IFERROR(MATCH(B202&amp;"|시공사",'2.현장'!$Z$2:$Z$1001,0),MATCH(B202&amp;"|늦음",'2.현장'!$Z$2:$Z$1001,0)))),""))</f>
        <v/>
      </c>
      <c r="M202">
        <f>IF(B202="","",IFERROR(VLOOKUP(B202,업체_메모!$A$3:$I$302,2,FALSE)&amp;"",""))</f>
        <v/>
      </c>
      <c r="N202">
        <f>IF(B202="","",IFERROR(VLOOKUP(B202,업체_메모!$A$3:$I$302,4,FALSE)&amp;"",""))</f>
        <v/>
      </c>
      <c r="O202" s="7">
        <f>IF(B202="","",IF(COUNTIF('4.방문기록'!$B$3:$B$502,B202)=0,"",_xlfn.MAXIFS('4.방문기록'!$A$3:$A$502,'4.방문기록'!$B$3:$B$502,B202)))</f>
        <v/>
      </c>
      <c r="P202">
        <f>IF(O202="","",설정!$B$24-O202)</f>
        <v/>
      </c>
      <c r="Q202" s="7">
        <f>IF(B202="","",IF(_xlfn.MAXIFS('4.방문기록'!$F$3:$F$502,'4.방문기록'!$B$3:$B$502,B202)=0,"",_xlfn.MAXIFS('4.방문기록'!$F$3:$F$502,'4.방문기록'!$B$3:$B$502,B202)))</f>
        <v/>
      </c>
      <c r="R202">
        <f>IF(O202="","",IFERROR(INDEX('4.방문기록'!$H$3:$H$502,MATCH(B202&amp;"|"&amp;(O202*1),'4.방문기록'!$I$3:$I$502,0))&amp;"",""))</f>
        <v/>
      </c>
      <c r="S202">
        <f>IF(B202="","",IF(R202="관심 없음","제외",IF(O202="","안 가봄",IF(P202&gt;=설정!$B$20,P202&amp;"일 지남","최근 방문"))))</f>
        <v/>
      </c>
      <c r="T202" s="8">
        <f>IF(B202="","",IF(S202="제외","",IF(AND(설정!$B$21&lt;&gt;"",L202&lt;&gt;설정!$B$21),"",IF(AND(Q202&lt;&gt;"",Q202&gt;N(O202),Q202&lt;=설정!$B$24+7),설정!$B$39+7-(Q202-설정!$B$24),IF(AND(G202&gt;0,OR(S202="안 가봄",RIGHT(S202,2)="지남")),G202+IF(O202="",설정!$B$36,MIN(P202,60)*설정!$B$37)+MIN(N(H202)/1000*설정!$B$38,20),"")))))</f>
        <v/>
      </c>
      <c r="U202">
        <f>IF(T202="","",COUNTIF(T$4:T$303,"&gt;"&amp;T202)+COUNTIF(T$4:T202,T202))</f>
        <v/>
      </c>
    </row>
    <row r="203">
      <c r="A203">
        <f>IF(B203="","",200)</f>
        <v/>
      </c>
      <c r="B203">
        <f>IFERROR(INDEX('2.현장'!$V$2:$V$1001,MATCH(200,'2.현장'!$W$2:$W$1001,0)),"")</f>
        <v/>
      </c>
      <c r="C203">
        <f>IF(B203="","",COUNTIFS('2.현장'!$V$2:$V$1001,B203,'2.현장'!$T$2:$T$1001,TRUE))</f>
        <v/>
      </c>
      <c r="D203">
        <f>IF(B203="","",COUNTIFS('2.현장'!$V$2:$V$1001,B203,'2.현장'!$U$2:$U$1001,"설계사"))</f>
        <v/>
      </c>
      <c r="E203">
        <f>IF(B203="","",COUNTIFS('2.현장'!$V$2:$V$1001,B203,'2.현장'!$U$2:$U$1001,"시공사"))</f>
        <v/>
      </c>
      <c r="F203">
        <f>IF(B203="","",COUNTIFS('2.현장'!$V$2:$V$1001,B203,'2.현장'!$T$2:$T$1001,TRUE,'2.현장'!$AA$2:$AA$1001,"★"))</f>
        <v/>
      </c>
      <c r="G203" s="6">
        <f>IF(B203="","",SUMIFS('2.현장'!$AB$2:$AB$1001,'2.현장'!$V$2:$V$1001,B203,'2.현장'!$T$2:$T$1001,TRUE))</f>
        <v/>
      </c>
      <c r="H203" s="5">
        <f>IF(B203="","",_xlfn.MAXIFS('2.현장'!$D$2:$D$1001,'2.현장'!$V$2:$V$1001,B203,'2.현장'!$T$2:$T$1001,TRUE))</f>
        <v/>
      </c>
      <c r="I203" s="7">
        <f>IF(B203="","",IF(_xlfn.MAXIFS('2.현장'!$L$2:$L$1001,'2.현장'!$V$2:$V$1001,B203,'2.현장'!$T$2:$T$1001,TRUE)=0,"",_xlfn.MAXIFS('2.현장'!$L$2:$L$1001,'2.현장'!$V$2:$V$1001,B203,'2.현장'!$T$2:$T$1001,TRUE)))</f>
        <v/>
      </c>
      <c r="J203" s="7">
        <f>IF(B203="","",IF(_xlfn.MAXIFS('2.현장'!$M$2:$M$1001,'2.현장'!$V$2:$V$1001,B203,'2.현장'!$T$2:$T$1001,TRUE)=0,"",_xlfn.MAXIFS('2.현장'!$M$2:$M$1001,'2.현장'!$V$2:$V$1001,B203,'2.현장'!$T$2:$T$1001,TRUE)))</f>
        <v/>
      </c>
      <c r="K203">
        <f>IF(B203="","",IFERROR(INDEX('2.현장'!$C$2:$C$1001,IFERROR(MATCH(B203&amp;"|설계사",'2.현장'!$Z$2:$Z$1001,0),IFERROR(MATCH(B203&amp;"|시공사",'2.현장'!$Z$2:$Z$1001,0),MATCH(B203&amp;"|늦음",'2.현장'!$Z$2:$Z$1001,0)))),""))</f>
        <v/>
      </c>
      <c r="L203">
        <f>IF(B203="","",IFERROR(INDEX('2.현장'!$N$2:$N$1001,IFERROR(MATCH(B203&amp;"|설계사",'2.현장'!$Z$2:$Z$1001,0),IFERROR(MATCH(B203&amp;"|시공사",'2.현장'!$Z$2:$Z$1001,0),MATCH(B203&amp;"|늦음",'2.현장'!$Z$2:$Z$1001,0)))),""))</f>
        <v/>
      </c>
      <c r="M203">
        <f>IF(B203="","",IFERROR(VLOOKUP(B203,업체_메모!$A$3:$I$302,2,FALSE)&amp;"",""))</f>
        <v/>
      </c>
      <c r="N203">
        <f>IF(B203="","",IFERROR(VLOOKUP(B203,업체_메모!$A$3:$I$302,4,FALSE)&amp;"",""))</f>
        <v/>
      </c>
      <c r="O203" s="7">
        <f>IF(B203="","",IF(COUNTIF('4.방문기록'!$B$3:$B$502,B203)=0,"",_xlfn.MAXIFS('4.방문기록'!$A$3:$A$502,'4.방문기록'!$B$3:$B$502,B203)))</f>
        <v/>
      </c>
      <c r="P203">
        <f>IF(O203="","",설정!$B$24-O203)</f>
        <v/>
      </c>
      <c r="Q203" s="7">
        <f>IF(B203="","",IF(_xlfn.MAXIFS('4.방문기록'!$F$3:$F$502,'4.방문기록'!$B$3:$B$502,B203)=0,"",_xlfn.MAXIFS('4.방문기록'!$F$3:$F$502,'4.방문기록'!$B$3:$B$502,B203)))</f>
        <v/>
      </c>
      <c r="R203">
        <f>IF(O203="","",IFERROR(INDEX('4.방문기록'!$H$3:$H$502,MATCH(B203&amp;"|"&amp;(O203*1),'4.방문기록'!$I$3:$I$502,0))&amp;"",""))</f>
        <v/>
      </c>
      <c r="S203">
        <f>IF(B203="","",IF(R203="관심 없음","제외",IF(O203="","안 가봄",IF(P203&gt;=설정!$B$20,P203&amp;"일 지남","최근 방문"))))</f>
        <v/>
      </c>
      <c r="T203" s="8">
        <f>IF(B203="","",IF(S203="제외","",IF(AND(설정!$B$21&lt;&gt;"",L203&lt;&gt;설정!$B$21),"",IF(AND(Q203&lt;&gt;"",Q203&gt;N(O203),Q203&lt;=설정!$B$24+7),설정!$B$39+7-(Q203-설정!$B$24),IF(AND(G203&gt;0,OR(S203="안 가봄",RIGHT(S203,2)="지남")),G203+IF(O203="",설정!$B$36,MIN(P203,60)*설정!$B$37)+MIN(N(H203)/1000*설정!$B$38,20),"")))))</f>
        <v/>
      </c>
      <c r="U203">
        <f>IF(T203="","",COUNTIF(T$4:T$303,"&gt;"&amp;T203)+COUNTIF(T$4:T203,T203))</f>
        <v/>
      </c>
    </row>
    <row r="204">
      <c r="A204">
        <f>IF(B204="","",201)</f>
        <v/>
      </c>
      <c r="B204">
        <f>IFERROR(INDEX('2.현장'!$V$2:$V$1001,MATCH(201,'2.현장'!$W$2:$W$1001,0)),"")</f>
        <v/>
      </c>
      <c r="C204">
        <f>IF(B204="","",COUNTIFS('2.현장'!$V$2:$V$1001,B204,'2.현장'!$T$2:$T$1001,TRUE))</f>
        <v/>
      </c>
      <c r="D204">
        <f>IF(B204="","",COUNTIFS('2.현장'!$V$2:$V$1001,B204,'2.현장'!$U$2:$U$1001,"설계사"))</f>
        <v/>
      </c>
      <c r="E204">
        <f>IF(B204="","",COUNTIFS('2.현장'!$V$2:$V$1001,B204,'2.현장'!$U$2:$U$1001,"시공사"))</f>
        <v/>
      </c>
      <c r="F204">
        <f>IF(B204="","",COUNTIFS('2.현장'!$V$2:$V$1001,B204,'2.현장'!$T$2:$T$1001,TRUE,'2.현장'!$AA$2:$AA$1001,"★"))</f>
        <v/>
      </c>
      <c r="G204" s="6">
        <f>IF(B204="","",SUMIFS('2.현장'!$AB$2:$AB$1001,'2.현장'!$V$2:$V$1001,B204,'2.현장'!$T$2:$T$1001,TRUE))</f>
        <v/>
      </c>
      <c r="H204" s="5">
        <f>IF(B204="","",_xlfn.MAXIFS('2.현장'!$D$2:$D$1001,'2.현장'!$V$2:$V$1001,B204,'2.현장'!$T$2:$T$1001,TRUE))</f>
        <v/>
      </c>
      <c r="I204" s="7">
        <f>IF(B204="","",IF(_xlfn.MAXIFS('2.현장'!$L$2:$L$1001,'2.현장'!$V$2:$V$1001,B204,'2.현장'!$T$2:$T$1001,TRUE)=0,"",_xlfn.MAXIFS('2.현장'!$L$2:$L$1001,'2.현장'!$V$2:$V$1001,B204,'2.현장'!$T$2:$T$1001,TRUE)))</f>
        <v/>
      </c>
      <c r="J204" s="7">
        <f>IF(B204="","",IF(_xlfn.MAXIFS('2.현장'!$M$2:$M$1001,'2.현장'!$V$2:$V$1001,B204,'2.현장'!$T$2:$T$1001,TRUE)=0,"",_xlfn.MAXIFS('2.현장'!$M$2:$M$1001,'2.현장'!$V$2:$V$1001,B204,'2.현장'!$T$2:$T$1001,TRUE)))</f>
        <v/>
      </c>
      <c r="K204">
        <f>IF(B204="","",IFERROR(INDEX('2.현장'!$C$2:$C$1001,IFERROR(MATCH(B204&amp;"|설계사",'2.현장'!$Z$2:$Z$1001,0),IFERROR(MATCH(B204&amp;"|시공사",'2.현장'!$Z$2:$Z$1001,0),MATCH(B204&amp;"|늦음",'2.현장'!$Z$2:$Z$1001,0)))),""))</f>
        <v/>
      </c>
      <c r="L204">
        <f>IF(B204="","",IFERROR(INDEX('2.현장'!$N$2:$N$1001,IFERROR(MATCH(B204&amp;"|설계사",'2.현장'!$Z$2:$Z$1001,0),IFERROR(MATCH(B204&amp;"|시공사",'2.현장'!$Z$2:$Z$1001,0),MATCH(B204&amp;"|늦음",'2.현장'!$Z$2:$Z$1001,0)))),""))</f>
        <v/>
      </c>
      <c r="M204">
        <f>IF(B204="","",IFERROR(VLOOKUP(B204,업체_메모!$A$3:$I$302,2,FALSE)&amp;"",""))</f>
        <v/>
      </c>
      <c r="N204">
        <f>IF(B204="","",IFERROR(VLOOKUP(B204,업체_메모!$A$3:$I$302,4,FALSE)&amp;"",""))</f>
        <v/>
      </c>
      <c r="O204" s="7">
        <f>IF(B204="","",IF(COUNTIF('4.방문기록'!$B$3:$B$502,B204)=0,"",_xlfn.MAXIFS('4.방문기록'!$A$3:$A$502,'4.방문기록'!$B$3:$B$502,B204)))</f>
        <v/>
      </c>
      <c r="P204">
        <f>IF(O204="","",설정!$B$24-O204)</f>
        <v/>
      </c>
      <c r="Q204" s="7">
        <f>IF(B204="","",IF(_xlfn.MAXIFS('4.방문기록'!$F$3:$F$502,'4.방문기록'!$B$3:$B$502,B204)=0,"",_xlfn.MAXIFS('4.방문기록'!$F$3:$F$502,'4.방문기록'!$B$3:$B$502,B204)))</f>
        <v/>
      </c>
      <c r="R204">
        <f>IF(O204="","",IFERROR(INDEX('4.방문기록'!$H$3:$H$502,MATCH(B204&amp;"|"&amp;(O204*1),'4.방문기록'!$I$3:$I$502,0))&amp;"",""))</f>
        <v/>
      </c>
      <c r="S204">
        <f>IF(B204="","",IF(R204="관심 없음","제외",IF(O204="","안 가봄",IF(P204&gt;=설정!$B$20,P204&amp;"일 지남","최근 방문"))))</f>
        <v/>
      </c>
      <c r="T204" s="8">
        <f>IF(B204="","",IF(S204="제외","",IF(AND(설정!$B$21&lt;&gt;"",L204&lt;&gt;설정!$B$21),"",IF(AND(Q204&lt;&gt;"",Q204&gt;N(O204),Q204&lt;=설정!$B$24+7),설정!$B$39+7-(Q204-설정!$B$24),IF(AND(G204&gt;0,OR(S204="안 가봄",RIGHT(S204,2)="지남")),G204+IF(O204="",설정!$B$36,MIN(P204,60)*설정!$B$37)+MIN(N(H204)/1000*설정!$B$38,20),"")))))</f>
        <v/>
      </c>
      <c r="U204">
        <f>IF(T204="","",COUNTIF(T$4:T$303,"&gt;"&amp;T204)+COUNTIF(T$4:T204,T204))</f>
        <v/>
      </c>
    </row>
    <row r="205">
      <c r="A205">
        <f>IF(B205="","",202)</f>
        <v/>
      </c>
      <c r="B205">
        <f>IFERROR(INDEX('2.현장'!$V$2:$V$1001,MATCH(202,'2.현장'!$W$2:$W$1001,0)),"")</f>
        <v/>
      </c>
      <c r="C205">
        <f>IF(B205="","",COUNTIFS('2.현장'!$V$2:$V$1001,B205,'2.현장'!$T$2:$T$1001,TRUE))</f>
        <v/>
      </c>
      <c r="D205">
        <f>IF(B205="","",COUNTIFS('2.현장'!$V$2:$V$1001,B205,'2.현장'!$U$2:$U$1001,"설계사"))</f>
        <v/>
      </c>
      <c r="E205">
        <f>IF(B205="","",COUNTIFS('2.현장'!$V$2:$V$1001,B205,'2.현장'!$U$2:$U$1001,"시공사"))</f>
        <v/>
      </c>
      <c r="F205">
        <f>IF(B205="","",COUNTIFS('2.현장'!$V$2:$V$1001,B205,'2.현장'!$T$2:$T$1001,TRUE,'2.현장'!$AA$2:$AA$1001,"★"))</f>
        <v/>
      </c>
      <c r="G205" s="6">
        <f>IF(B205="","",SUMIFS('2.현장'!$AB$2:$AB$1001,'2.현장'!$V$2:$V$1001,B205,'2.현장'!$T$2:$T$1001,TRUE))</f>
        <v/>
      </c>
      <c r="H205" s="5">
        <f>IF(B205="","",_xlfn.MAXIFS('2.현장'!$D$2:$D$1001,'2.현장'!$V$2:$V$1001,B205,'2.현장'!$T$2:$T$1001,TRUE))</f>
        <v/>
      </c>
      <c r="I205" s="7">
        <f>IF(B205="","",IF(_xlfn.MAXIFS('2.현장'!$L$2:$L$1001,'2.현장'!$V$2:$V$1001,B205,'2.현장'!$T$2:$T$1001,TRUE)=0,"",_xlfn.MAXIFS('2.현장'!$L$2:$L$1001,'2.현장'!$V$2:$V$1001,B205,'2.현장'!$T$2:$T$1001,TRUE)))</f>
        <v/>
      </c>
      <c r="J205" s="7">
        <f>IF(B205="","",IF(_xlfn.MAXIFS('2.현장'!$M$2:$M$1001,'2.현장'!$V$2:$V$1001,B205,'2.현장'!$T$2:$T$1001,TRUE)=0,"",_xlfn.MAXIFS('2.현장'!$M$2:$M$1001,'2.현장'!$V$2:$V$1001,B205,'2.현장'!$T$2:$T$1001,TRUE)))</f>
        <v/>
      </c>
      <c r="K205">
        <f>IF(B205="","",IFERROR(INDEX('2.현장'!$C$2:$C$1001,IFERROR(MATCH(B205&amp;"|설계사",'2.현장'!$Z$2:$Z$1001,0),IFERROR(MATCH(B205&amp;"|시공사",'2.현장'!$Z$2:$Z$1001,0),MATCH(B205&amp;"|늦음",'2.현장'!$Z$2:$Z$1001,0)))),""))</f>
        <v/>
      </c>
      <c r="L205">
        <f>IF(B205="","",IFERROR(INDEX('2.현장'!$N$2:$N$1001,IFERROR(MATCH(B205&amp;"|설계사",'2.현장'!$Z$2:$Z$1001,0),IFERROR(MATCH(B205&amp;"|시공사",'2.현장'!$Z$2:$Z$1001,0),MATCH(B205&amp;"|늦음",'2.현장'!$Z$2:$Z$1001,0)))),""))</f>
        <v/>
      </c>
      <c r="M205">
        <f>IF(B205="","",IFERROR(VLOOKUP(B205,업체_메모!$A$3:$I$302,2,FALSE)&amp;"",""))</f>
        <v/>
      </c>
      <c r="N205">
        <f>IF(B205="","",IFERROR(VLOOKUP(B205,업체_메모!$A$3:$I$302,4,FALSE)&amp;"",""))</f>
        <v/>
      </c>
      <c r="O205" s="7">
        <f>IF(B205="","",IF(COUNTIF('4.방문기록'!$B$3:$B$502,B205)=0,"",_xlfn.MAXIFS('4.방문기록'!$A$3:$A$502,'4.방문기록'!$B$3:$B$502,B205)))</f>
        <v/>
      </c>
      <c r="P205">
        <f>IF(O205="","",설정!$B$24-O205)</f>
        <v/>
      </c>
      <c r="Q205" s="7">
        <f>IF(B205="","",IF(_xlfn.MAXIFS('4.방문기록'!$F$3:$F$502,'4.방문기록'!$B$3:$B$502,B205)=0,"",_xlfn.MAXIFS('4.방문기록'!$F$3:$F$502,'4.방문기록'!$B$3:$B$502,B205)))</f>
        <v/>
      </c>
      <c r="R205">
        <f>IF(O205="","",IFERROR(INDEX('4.방문기록'!$H$3:$H$502,MATCH(B205&amp;"|"&amp;(O205*1),'4.방문기록'!$I$3:$I$502,0))&amp;"",""))</f>
        <v/>
      </c>
      <c r="S205">
        <f>IF(B205="","",IF(R205="관심 없음","제외",IF(O205="","안 가봄",IF(P205&gt;=설정!$B$20,P205&amp;"일 지남","최근 방문"))))</f>
        <v/>
      </c>
      <c r="T205" s="8">
        <f>IF(B205="","",IF(S205="제외","",IF(AND(설정!$B$21&lt;&gt;"",L205&lt;&gt;설정!$B$21),"",IF(AND(Q205&lt;&gt;"",Q205&gt;N(O205),Q205&lt;=설정!$B$24+7),설정!$B$39+7-(Q205-설정!$B$24),IF(AND(G205&gt;0,OR(S205="안 가봄",RIGHT(S205,2)="지남")),G205+IF(O205="",설정!$B$36,MIN(P205,60)*설정!$B$37)+MIN(N(H205)/1000*설정!$B$38,20),"")))))</f>
        <v/>
      </c>
      <c r="U205">
        <f>IF(T205="","",COUNTIF(T$4:T$303,"&gt;"&amp;T205)+COUNTIF(T$4:T205,T205))</f>
        <v/>
      </c>
    </row>
    <row r="206">
      <c r="A206">
        <f>IF(B206="","",203)</f>
        <v/>
      </c>
      <c r="B206">
        <f>IFERROR(INDEX('2.현장'!$V$2:$V$1001,MATCH(203,'2.현장'!$W$2:$W$1001,0)),"")</f>
        <v/>
      </c>
      <c r="C206">
        <f>IF(B206="","",COUNTIFS('2.현장'!$V$2:$V$1001,B206,'2.현장'!$T$2:$T$1001,TRUE))</f>
        <v/>
      </c>
      <c r="D206">
        <f>IF(B206="","",COUNTIFS('2.현장'!$V$2:$V$1001,B206,'2.현장'!$U$2:$U$1001,"설계사"))</f>
        <v/>
      </c>
      <c r="E206">
        <f>IF(B206="","",COUNTIFS('2.현장'!$V$2:$V$1001,B206,'2.현장'!$U$2:$U$1001,"시공사"))</f>
        <v/>
      </c>
      <c r="F206">
        <f>IF(B206="","",COUNTIFS('2.현장'!$V$2:$V$1001,B206,'2.현장'!$T$2:$T$1001,TRUE,'2.현장'!$AA$2:$AA$1001,"★"))</f>
        <v/>
      </c>
      <c r="G206" s="6">
        <f>IF(B206="","",SUMIFS('2.현장'!$AB$2:$AB$1001,'2.현장'!$V$2:$V$1001,B206,'2.현장'!$T$2:$T$1001,TRUE))</f>
        <v/>
      </c>
      <c r="H206" s="5">
        <f>IF(B206="","",_xlfn.MAXIFS('2.현장'!$D$2:$D$1001,'2.현장'!$V$2:$V$1001,B206,'2.현장'!$T$2:$T$1001,TRUE))</f>
        <v/>
      </c>
      <c r="I206" s="7">
        <f>IF(B206="","",IF(_xlfn.MAXIFS('2.현장'!$L$2:$L$1001,'2.현장'!$V$2:$V$1001,B206,'2.현장'!$T$2:$T$1001,TRUE)=0,"",_xlfn.MAXIFS('2.현장'!$L$2:$L$1001,'2.현장'!$V$2:$V$1001,B206,'2.현장'!$T$2:$T$1001,TRUE)))</f>
        <v/>
      </c>
      <c r="J206" s="7">
        <f>IF(B206="","",IF(_xlfn.MAXIFS('2.현장'!$M$2:$M$1001,'2.현장'!$V$2:$V$1001,B206,'2.현장'!$T$2:$T$1001,TRUE)=0,"",_xlfn.MAXIFS('2.현장'!$M$2:$M$1001,'2.현장'!$V$2:$V$1001,B206,'2.현장'!$T$2:$T$1001,TRUE)))</f>
        <v/>
      </c>
      <c r="K206">
        <f>IF(B206="","",IFERROR(INDEX('2.현장'!$C$2:$C$1001,IFERROR(MATCH(B206&amp;"|설계사",'2.현장'!$Z$2:$Z$1001,0),IFERROR(MATCH(B206&amp;"|시공사",'2.현장'!$Z$2:$Z$1001,0),MATCH(B206&amp;"|늦음",'2.현장'!$Z$2:$Z$1001,0)))),""))</f>
        <v/>
      </c>
      <c r="L206">
        <f>IF(B206="","",IFERROR(INDEX('2.현장'!$N$2:$N$1001,IFERROR(MATCH(B206&amp;"|설계사",'2.현장'!$Z$2:$Z$1001,0),IFERROR(MATCH(B206&amp;"|시공사",'2.현장'!$Z$2:$Z$1001,0),MATCH(B206&amp;"|늦음",'2.현장'!$Z$2:$Z$1001,0)))),""))</f>
        <v/>
      </c>
      <c r="M206">
        <f>IF(B206="","",IFERROR(VLOOKUP(B206,업체_메모!$A$3:$I$302,2,FALSE)&amp;"",""))</f>
        <v/>
      </c>
      <c r="N206">
        <f>IF(B206="","",IFERROR(VLOOKUP(B206,업체_메모!$A$3:$I$302,4,FALSE)&amp;"",""))</f>
        <v/>
      </c>
      <c r="O206" s="7">
        <f>IF(B206="","",IF(COUNTIF('4.방문기록'!$B$3:$B$502,B206)=0,"",_xlfn.MAXIFS('4.방문기록'!$A$3:$A$502,'4.방문기록'!$B$3:$B$502,B206)))</f>
        <v/>
      </c>
      <c r="P206">
        <f>IF(O206="","",설정!$B$24-O206)</f>
        <v/>
      </c>
      <c r="Q206" s="7">
        <f>IF(B206="","",IF(_xlfn.MAXIFS('4.방문기록'!$F$3:$F$502,'4.방문기록'!$B$3:$B$502,B206)=0,"",_xlfn.MAXIFS('4.방문기록'!$F$3:$F$502,'4.방문기록'!$B$3:$B$502,B206)))</f>
        <v/>
      </c>
      <c r="R206">
        <f>IF(O206="","",IFERROR(INDEX('4.방문기록'!$H$3:$H$502,MATCH(B206&amp;"|"&amp;(O206*1),'4.방문기록'!$I$3:$I$502,0))&amp;"",""))</f>
        <v/>
      </c>
      <c r="S206">
        <f>IF(B206="","",IF(R206="관심 없음","제외",IF(O206="","안 가봄",IF(P206&gt;=설정!$B$20,P206&amp;"일 지남","최근 방문"))))</f>
        <v/>
      </c>
      <c r="T206" s="8">
        <f>IF(B206="","",IF(S206="제외","",IF(AND(설정!$B$21&lt;&gt;"",L206&lt;&gt;설정!$B$21),"",IF(AND(Q206&lt;&gt;"",Q206&gt;N(O206),Q206&lt;=설정!$B$24+7),설정!$B$39+7-(Q206-설정!$B$24),IF(AND(G206&gt;0,OR(S206="안 가봄",RIGHT(S206,2)="지남")),G206+IF(O206="",설정!$B$36,MIN(P206,60)*설정!$B$37)+MIN(N(H206)/1000*설정!$B$38,20),"")))))</f>
        <v/>
      </c>
      <c r="U206">
        <f>IF(T206="","",COUNTIF(T$4:T$303,"&gt;"&amp;T206)+COUNTIF(T$4:T206,T206))</f>
        <v/>
      </c>
    </row>
    <row r="207">
      <c r="A207">
        <f>IF(B207="","",204)</f>
        <v/>
      </c>
      <c r="B207">
        <f>IFERROR(INDEX('2.현장'!$V$2:$V$1001,MATCH(204,'2.현장'!$W$2:$W$1001,0)),"")</f>
        <v/>
      </c>
      <c r="C207">
        <f>IF(B207="","",COUNTIFS('2.현장'!$V$2:$V$1001,B207,'2.현장'!$T$2:$T$1001,TRUE))</f>
        <v/>
      </c>
      <c r="D207">
        <f>IF(B207="","",COUNTIFS('2.현장'!$V$2:$V$1001,B207,'2.현장'!$U$2:$U$1001,"설계사"))</f>
        <v/>
      </c>
      <c r="E207">
        <f>IF(B207="","",COUNTIFS('2.현장'!$V$2:$V$1001,B207,'2.현장'!$U$2:$U$1001,"시공사"))</f>
        <v/>
      </c>
      <c r="F207">
        <f>IF(B207="","",COUNTIFS('2.현장'!$V$2:$V$1001,B207,'2.현장'!$T$2:$T$1001,TRUE,'2.현장'!$AA$2:$AA$1001,"★"))</f>
        <v/>
      </c>
      <c r="G207" s="6">
        <f>IF(B207="","",SUMIFS('2.현장'!$AB$2:$AB$1001,'2.현장'!$V$2:$V$1001,B207,'2.현장'!$T$2:$T$1001,TRUE))</f>
        <v/>
      </c>
      <c r="H207" s="5">
        <f>IF(B207="","",_xlfn.MAXIFS('2.현장'!$D$2:$D$1001,'2.현장'!$V$2:$V$1001,B207,'2.현장'!$T$2:$T$1001,TRUE))</f>
        <v/>
      </c>
      <c r="I207" s="7">
        <f>IF(B207="","",IF(_xlfn.MAXIFS('2.현장'!$L$2:$L$1001,'2.현장'!$V$2:$V$1001,B207,'2.현장'!$T$2:$T$1001,TRUE)=0,"",_xlfn.MAXIFS('2.현장'!$L$2:$L$1001,'2.현장'!$V$2:$V$1001,B207,'2.현장'!$T$2:$T$1001,TRUE)))</f>
        <v/>
      </c>
      <c r="J207" s="7">
        <f>IF(B207="","",IF(_xlfn.MAXIFS('2.현장'!$M$2:$M$1001,'2.현장'!$V$2:$V$1001,B207,'2.현장'!$T$2:$T$1001,TRUE)=0,"",_xlfn.MAXIFS('2.현장'!$M$2:$M$1001,'2.현장'!$V$2:$V$1001,B207,'2.현장'!$T$2:$T$1001,TRUE)))</f>
        <v/>
      </c>
      <c r="K207">
        <f>IF(B207="","",IFERROR(INDEX('2.현장'!$C$2:$C$1001,IFERROR(MATCH(B207&amp;"|설계사",'2.현장'!$Z$2:$Z$1001,0),IFERROR(MATCH(B207&amp;"|시공사",'2.현장'!$Z$2:$Z$1001,0),MATCH(B207&amp;"|늦음",'2.현장'!$Z$2:$Z$1001,0)))),""))</f>
        <v/>
      </c>
      <c r="L207">
        <f>IF(B207="","",IFERROR(INDEX('2.현장'!$N$2:$N$1001,IFERROR(MATCH(B207&amp;"|설계사",'2.현장'!$Z$2:$Z$1001,0),IFERROR(MATCH(B207&amp;"|시공사",'2.현장'!$Z$2:$Z$1001,0),MATCH(B207&amp;"|늦음",'2.현장'!$Z$2:$Z$1001,0)))),""))</f>
        <v/>
      </c>
      <c r="M207">
        <f>IF(B207="","",IFERROR(VLOOKUP(B207,업체_메모!$A$3:$I$302,2,FALSE)&amp;"",""))</f>
        <v/>
      </c>
      <c r="N207">
        <f>IF(B207="","",IFERROR(VLOOKUP(B207,업체_메모!$A$3:$I$302,4,FALSE)&amp;"",""))</f>
        <v/>
      </c>
      <c r="O207" s="7">
        <f>IF(B207="","",IF(COUNTIF('4.방문기록'!$B$3:$B$502,B207)=0,"",_xlfn.MAXIFS('4.방문기록'!$A$3:$A$502,'4.방문기록'!$B$3:$B$502,B207)))</f>
        <v/>
      </c>
      <c r="P207">
        <f>IF(O207="","",설정!$B$24-O207)</f>
        <v/>
      </c>
      <c r="Q207" s="7">
        <f>IF(B207="","",IF(_xlfn.MAXIFS('4.방문기록'!$F$3:$F$502,'4.방문기록'!$B$3:$B$502,B207)=0,"",_xlfn.MAXIFS('4.방문기록'!$F$3:$F$502,'4.방문기록'!$B$3:$B$502,B207)))</f>
        <v/>
      </c>
      <c r="R207">
        <f>IF(O207="","",IFERROR(INDEX('4.방문기록'!$H$3:$H$502,MATCH(B207&amp;"|"&amp;(O207*1),'4.방문기록'!$I$3:$I$502,0))&amp;"",""))</f>
        <v/>
      </c>
      <c r="S207">
        <f>IF(B207="","",IF(R207="관심 없음","제외",IF(O207="","안 가봄",IF(P207&gt;=설정!$B$20,P207&amp;"일 지남","최근 방문"))))</f>
        <v/>
      </c>
      <c r="T207" s="8">
        <f>IF(B207="","",IF(S207="제외","",IF(AND(설정!$B$21&lt;&gt;"",L207&lt;&gt;설정!$B$21),"",IF(AND(Q207&lt;&gt;"",Q207&gt;N(O207),Q207&lt;=설정!$B$24+7),설정!$B$39+7-(Q207-설정!$B$24),IF(AND(G207&gt;0,OR(S207="안 가봄",RIGHT(S207,2)="지남")),G207+IF(O207="",설정!$B$36,MIN(P207,60)*설정!$B$37)+MIN(N(H207)/1000*설정!$B$38,20),"")))))</f>
        <v/>
      </c>
      <c r="U207">
        <f>IF(T207="","",COUNTIF(T$4:T$303,"&gt;"&amp;T207)+COUNTIF(T$4:T207,T207))</f>
        <v/>
      </c>
    </row>
    <row r="208">
      <c r="A208">
        <f>IF(B208="","",205)</f>
        <v/>
      </c>
      <c r="B208">
        <f>IFERROR(INDEX('2.현장'!$V$2:$V$1001,MATCH(205,'2.현장'!$W$2:$W$1001,0)),"")</f>
        <v/>
      </c>
      <c r="C208">
        <f>IF(B208="","",COUNTIFS('2.현장'!$V$2:$V$1001,B208,'2.현장'!$T$2:$T$1001,TRUE))</f>
        <v/>
      </c>
      <c r="D208">
        <f>IF(B208="","",COUNTIFS('2.현장'!$V$2:$V$1001,B208,'2.현장'!$U$2:$U$1001,"설계사"))</f>
        <v/>
      </c>
      <c r="E208">
        <f>IF(B208="","",COUNTIFS('2.현장'!$V$2:$V$1001,B208,'2.현장'!$U$2:$U$1001,"시공사"))</f>
        <v/>
      </c>
      <c r="F208">
        <f>IF(B208="","",COUNTIFS('2.현장'!$V$2:$V$1001,B208,'2.현장'!$T$2:$T$1001,TRUE,'2.현장'!$AA$2:$AA$1001,"★"))</f>
        <v/>
      </c>
      <c r="G208" s="6">
        <f>IF(B208="","",SUMIFS('2.현장'!$AB$2:$AB$1001,'2.현장'!$V$2:$V$1001,B208,'2.현장'!$T$2:$T$1001,TRUE))</f>
        <v/>
      </c>
      <c r="H208" s="5">
        <f>IF(B208="","",_xlfn.MAXIFS('2.현장'!$D$2:$D$1001,'2.현장'!$V$2:$V$1001,B208,'2.현장'!$T$2:$T$1001,TRUE))</f>
        <v/>
      </c>
      <c r="I208" s="7">
        <f>IF(B208="","",IF(_xlfn.MAXIFS('2.현장'!$L$2:$L$1001,'2.현장'!$V$2:$V$1001,B208,'2.현장'!$T$2:$T$1001,TRUE)=0,"",_xlfn.MAXIFS('2.현장'!$L$2:$L$1001,'2.현장'!$V$2:$V$1001,B208,'2.현장'!$T$2:$T$1001,TRUE)))</f>
        <v/>
      </c>
      <c r="J208" s="7">
        <f>IF(B208="","",IF(_xlfn.MAXIFS('2.현장'!$M$2:$M$1001,'2.현장'!$V$2:$V$1001,B208,'2.현장'!$T$2:$T$1001,TRUE)=0,"",_xlfn.MAXIFS('2.현장'!$M$2:$M$1001,'2.현장'!$V$2:$V$1001,B208,'2.현장'!$T$2:$T$1001,TRUE)))</f>
        <v/>
      </c>
      <c r="K208">
        <f>IF(B208="","",IFERROR(INDEX('2.현장'!$C$2:$C$1001,IFERROR(MATCH(B208&amp;"|설계사",'2.현장'!$Z$2:$Z$1001,0),IFERROR(MATCH(B208&amp;"|시공사",'2.현장'!$Z$2:$Z$1001,0),MATCH(B208&amp;"|늦음",'2.현장'!$Z$2:$Z$1001,0)))),""))</f>
        <v/>
      </c>
      <c r="L208">
        <f>IF(B208="","",IFERROR(INDEX('2.현장'!$N$2:$N$1001,IFERROR(MATCH(B208&amp;"|설계사",'2.현장'!$Z$2:$Z$1001,0),IFERROR(MATCH(B208&amp;"|시공사",'2.현장'!$Z$2:$Z$1001,0),MATCH(B208&amp;"|늦음",'2.현장'!$Z$2:$Z$1001,0)))),""))</f>
        <v/>
      </c>
      <c r="M208">
        <f>IF(B208="","",IFERROR(VLOOKUP(B208,업체_메모!$A$3:$I$302,2,FALSE)&amp;"",""))</f>
        <v/>
      </c>
      <c r="N208">
        <f>IF(B208="","",IFERROR(VLOOKUP(B208,업체_메모!$A$3:$I$302,4,FALSE)&amp;"",""))</f>
        <v/>
      </c>
      <c r="O208" s="7">
        <f>IF(B208="","",IF(COUNTIF('4.방문기록'!$B$3:$B$502,B208)=0,"",_xlfn.MAXIFS('4.방문기록'!$A$3:$A$502,'4.방문기록'!$B$3:$B$502,B208)))</f>
        <v/>
      </c>
      <c r="P208">
        <f>IF(O208="","",설정!$B$24-O208)</f>
        <v/>
      </c>
      <c r="Q208" s="7">
        <f>IF(B208="","",IF(_xlfn.MAXIFS('4.방문기록'!$F$3:$F$502,'4.방문기록'!$B$3:$B$502,B208)=0,"",_xlfn.MAXIFS('4.방문기록'!$F$3:$F$502,'4.방문기록'!$B$3:$B$502,B208)))</f>
        <v/>
      </c>
      <c r="R208">
        <f>IF(O208="","",IFERROR(INDEX('4.방문기록'!$H$3:$H$502,MATCH(B208&amp;"|"&amp;(O208*1),'4.방문기록'!$I$3:$I$502,0))&amp;"",""))</f>
        <v/>
      </c>
      <c r="S208">
        <f>IF(B208="","",IF(R208="관심 없음","제외",IF(O208="","안 가봄",IF(P208&gt;=설정!$B$20,P208&amp;"일 지남","최근 방문"))))</f>
        <v/>
      </c>
      <c r="T208" s="8">
        <f>IF(B208="","",IF(S208="제외","",IF(AND(설정!$B$21&lt;&gt;"",L208&lt;&gt;설정!$B$21),"",IF(AND(Q208&lt;&gt;"",Q208&gt;N(O208),Q208&lt;=설정!$B$24+7),설정!$B$39+7-(Q208-설정!$B$24),IF(AND(G208&gt;0,OR(S208="안 가봄",RIGHT(S208,2)="지남")),G208+IF(O208="",설정!$B$36,MIN(P208,60)*설정!$B$37)+MIN(N(H208)/1000*설정!$B$38,20),"")))))</f>
        <v/>
      </c>
      <c r="U208">
        <f>IF(T208="","",COUNTIF(T$4:T$303,"&gt;"&amp;T208)+COUNTIF(T$4:T208,T208))</f>
        <v/>
      </c>
    </row>
    <row r="209">
      <c r="A209">
        <f>IF(B209="","",206)</f>
        <v/>
      </c>
      <c r="B209">
        <f>IFERROR(INDEX('2.현장'!$V$2:$V$1001,MATCH(206,'2.현장'!$W$2:$W$1001,0)),"")</f>
        <v/>
      </c>
      <c r="C209">
        <f>IF(B209="","",COUNTIFS('2.현장'!$V$2:$V$1001,B209,'2.현장'!$T$2:$T$1001,TRUE))</f>
        <v/>
      </c>
      <c r="D209">
        <f>IF(B209="","",COUNTIFS('2.현장'!$V$2:$V$1001,B209,'2.현장'!$U$2:$U$1001,"설계사"))</f>
        <v/>
      </c>
      <c r="E209">
        <f>IF(B209="","",COUNTIFS('2.현장'!$V$2:$V$1001,B209,'2.현장'!$U$2:$U$1001,"시공사"))</f>
        <v/>
      </c>
      <c r="F209">
        <f>IF(B209="","",COUNTIFS('2.현장'!$V$2:$V$1001,B209,'2.현장'!$T$2:$T$1001,TRUE,'2.현장'!$AA$2:$AA$1001,"★"))</f>
        <v/>
      </c>
      <c r="G209" s="6">
        <f>IF(B209="","",SUMIFS('2.현장'!$AB$2:$AB$1001,'2.현장'!$V$2:$V$1001,B209,'2.현장'!$T$2:$T$1001,TRUE))</f>
        <v/>
      </c>
      <c r="H209" s="5">
        <f>IF(B209="","",_xlfn.MAXIFS('2.현장'!$D$2:$D$1001,'2.현장'!$V$2:$V$1001,B209,'2.현장'!$T$2:$T$1001,TRUE))</f>
        <v/>
      </c>
      <c r="I209" s="7">
        <f>IF(B209="","",IF(_xlfn.MAXIFS('2.현장'!$L$2:$L$1001,'2.현장'!$V$2:$V$1001,B209,'2.현장'!$T$2:$T$1001,TRUE)=0,"",_xlfn.MAXIFS('2.현장'!$L$2:$L$1001,'2.현장'!$V$2:$V$1001,B209,'2.현장'!$T$2:$T$1001,TRUE)))</f>
        <v/>
      </c>
      <c r="J209" s="7">
        <f>IF(B209="","",IF(_xlfn.MAXIFS('2.현장'!$M$2:$M$1001,'2.현장'!$V$2:$V$1001,B209,'2.현장'!$T$2:$T$1001,TRUE)=0,"",_xlfn.MAXIFS('2.현장'!$M$2:$M$1001,'2.현장'!$V$2:$V$1001,B209,'2.현장'!$T$2:$T$1001,TRUE)))</f>
        <v/>
      </c>
      <c r="K209">
        <f>IF(B209="","",IFERROR(INDEX('2.현장'!$C$2:$C$1001,IFERROR(MATCH(B209&amp;"|설계사",'2.현장'!$Z$2:$Z$1001,0),IFERROR(MATCH(B209&amp;"|시공사",'2.현장'!$Z$2:$Z$1001,0),MATCH(B209&amp;"|늦음",'2.현장'!$Z$2:$Z$1001,0)))),""))</f>
        <v/>
      </c>
      <c r="L209">
        <f>IF(B209="","",IFERROR(INDEX('2.현장'!$N$2:$N$1001,IFERROR(MATCH(B209&amp;"|설계사",'2.현장'!$Z$2:$Z$1001,0),IFERROR(MATCH(B209&amp;"|시공사",'2.현장'!$Z$2:$Z$1001,0),MATCH(B209&amp;"|늦음",'2.현장'!$Z$2:$Z$1001,0)))),""))</f>
        <v/>
      </c>
      <c r="M209">
        <f>IF(B209="","",IFERROR(VLOOKUP(B209,업체_메모!$A$3:$I$302,2,FALSE)&amp;"",""))</f>
        <v/>
      </c>
      <c r="N209">
        <f>IF(B209="","",IFERROR(VLOOKUP(B209,업체_메모!$A$3:$I$302,4,FALSE)&amp;"",""))</f>
        <v/>
      </c>
      <c r="O209" s="7">
        <f>IF(B209="","",IF(COUNTIF('4.방문기록'!$B$3:$B$502,B209)=0,"",_xlfn.MAXIFS('4.방문기록'!$A$3:$A$502,'4.방문기록'!$B$3:$B$502,B209)))</f>
        <v/>
      </c>
      <c r="P209">
        <f>IF(O209="","",설정!$B$24-O209)</f>
        <v/>
      </c>
      <c r="Q209" s="7">
        <f>IF(B209="","",IF(_xlfn.MAXIFS('4.방문기록'!$F$3:$F$502,'4.방문기록'!$B$3:$B$502,B209)=0,"",_xlfn.MAXIFS('4.방문기록'!$F$3:$F$502,'4.방문기록'!$B$3:$B$502,B209)))</f>
        <v/>
      </c>
      <c r="R209">
        <f>IF(O209="","",IFERROR(INDEX('4.방문기록'!$H$3:$H$502,MATCH(B209&amp;"|"&amp;(O209*1),'4.방문기록'!$I$3:$I$502,0))&amp;"",""))</f>
        <v/>
      </c>
      <c r="S209">
        <f>IF(B209="","",IF(R209="관심 없음","제외",IF(O209="","안 가봄",IF(P209&gt;=설정!$B$20,P209&amp;"일 지남","최근 방문"))))</f>
        <v/>
      </c>
      <c r="T209" s="8">
        <f>IF(B209="","",IF(S209="제외","",IF(AND(설정!$B$21&lt;&gt;"",L209&lt;&gt;설정!$B$21),"",IF(AND(Q209&lt;&gt;"",Q209&gt;N(O209),Q209&lt;=설정!$B$24+7),설정!$B$39+7-(Q209-설정!$B$24),IF(AND(G209&gt;0,OR(S209="안 가봄",RIGHT(S209,2)="지남")),G209+IF(O209="",설정!$B$36,MIN(P209,60)*설정!$B$37)+MIN(N(H209)/1000*설정!$B$38,20),"")))))</f>
        <v/>
      </c>
      <c r="U209">
        <f>IF(T209="","",COUNTIF(T$4:T$303,"&gt;"&amp;T209)+COUNTIF(T$4:T209,T209))</f>
        <v/>
      </c>
    </row>
    <row r="210">
      <c r="A210">
        <f>IF(B210="","",207)</f>
        <v/>
      </c>
      <c r="B210">
        <f>IFERROR(INDEX('2.현장'!$V$2:$V$1001,MATCH(207,'2.현장'!$W$2:$W$1001,0)),"")</f>
        <v/>
      </c>
      <c r="C210">
        <f>IF(B210="","",COUNTIFS('2.현장'!$V$2:$V$1001,B210,'2.현장'!$T$2:$T$1001,TRUE))</f>
        <v/>
      </c>
      <c r="D210">
        <f>IF(B210="","",COUNTIFS('2.현장'!$V$2:$V$1001,B210,'2.현장'!$U$2:$U$1001,"설계사"))</f>
        <v/>
      </c>
      <c r="E210">
        <f>IF(B210="","",COUNTIFS('2.현장'!$V$2:$V$1001,B210,'2.현장'!$U$2:$U$1001,"시공사"))</f>
        <v/>
      </c>
      <c r="F210">
        <f>IF(B210="","",COUNTIFS('2.현장'!$V$2:$V$1001,B210,'2.현장'!$T$2:$T$1001,TRUE,'2.현장'!$AA$2:$AA$1001,"★"))</f>
        <v/>
      </c>
      <c r="G210" s="6">
        <f>IF(B210="","",SUMIFS('2.현장'!$AB$2:$AB$1001,'2.현장'!$V$2:$V$1001,B210,'2.현장'!$T$2:$T$1001,TRUE))</f>
        <v/>
      </c>
      <c r="H210" s="5">
        <f>IF(B210="","",_xlfn.MAXIFS('2.현장'!$D$2:$D$1001,'2.현장'!$V$2:$V$1001,B210,'2.현장'!$T$2:$T$1001,TRUE))</f>
        <v/>
      </c>
      <c r="I210" s="7">
        <f>IF(B210="","",IF(_xlfn.MAXIFS('2.현장'!$L$2:$L$1001,'2.현장'!$V$2:$V$1001,B210,'2.현장'!$T$2:$T$1001,TRUE)=0,"",_xlfn.MAXIFS('2.현장'!$L$2:$L$1001,'2.현장'!$V$2:$V$1001,B210,'2.현장'!$T$2:$T$1001,TRUE)))</f>
        <v/>
      </c>
      <c r="J210" s="7">
        <f>IF(B210="","",IF(_xlfn.MAXIFS('2.현장'!$M$2:$M$1001,'2.현장'!$V$2:$V$1001,B210,'2.현장'!$T$2:$T$1001,TRUE)=0,"",_xlfn.MAXIFS('2.현장'!$M$2:$M$1001,'2.현장'!$V$2:$V$1001,B210,'2.현장'!$T$2:$T$1001,TRUE)))</f>
        <v/>
      </c>
      <c r="K210">
        <f>IF(B210="","",IFERROR(INDEX('2.현장'!$C$2:$C$1001,IFERROR(MATCH(B210&amp;"|설계사",'2.현장'!$Z$2:$Z$1001,0),IFERROR(MATCH(B210&amp;"|시공사",'2.현장'!$Z$2:$Z$1001,0),MATCH(B210&amp;"|늦음",'2.현장'!$Z$2:$Z$1001,0)))),""))</f>
        <v/>
      </c>
      <c r="L210">
        <f>IF(B210="","",IFERROR(INDEX('2.현장'!$N$2:$N$1001,IFERROR(MATCH(B210&amp;"|설계사",'2.현장'!$Z$2:$Z$1001,0),IFERROR(MATCH(B210&amp;"|시공사",'2.현장'!$Z$2:$Z$1001,0),MATCH(B210&amp;"|늦음",'2.현장'!$Z$2:$Z$1001,0)))),""))</f>
        <v/>
      </c>
      <c r="M210">
        <f>IF(B210="","",IFERROR(VLOOKUP(B210,업체_메모!$A$3:$I$302,2,FALSE)&amp;"",""))</f>
        <v/>
      </c>
      <c r="N210">
        <f>IF(B210="","",IFERROR(VLOOKUP(B210,업체_메모!$A$3:$I$302,4,FALSE)&amp;"",""))</f>
        <v/>
      </c>
      <c r="O210" s="7">
        <f>IF(B210="","",IF(COUNTIF('4.방문기록'!$B$3:$B$502,B210)=0,"",_xlfn.MAXIFS('4.방문기록'!$A$3:$A$502,'4.방문기록'!$B$3:$B$502,B210)))</f>
        <v/>
      </c>
      <c r="P210">
        <f>IF(O210="","",설정!$B$24-O210)</f>
        <v/>
      </c>
      <c r="Q210" s="7">
        <f>IF(B210="","",IF(_xlfn.MAXIFS('4.방문기록'!$F$3:$F$502,'4.방문기록'!$B$3:$B$502,B210)=0,"",_xlfn.MAXIFS('4.방문기록'!$F$3:$F$502,'4.방문기록'!$B$3:$B$502,B210)))</f>
        <v/>
      </c>
      <c r="R210">
        <f>IF(O210="","",IFERROR(INDEX('4.방문기록'!$H$3:$H$502,MATCH(B210&amp;"|"&amp;(O210*1),'4.방문기록'!$I$3:$I$502,0))&amp;"",""))</f>
        <v/>
      </c>
      <c r="S210">
        <f>IF(B210="","",IF(R210="관심 없음","제외",IF(O210="","안 가봄",IF(P210&gt;=설정!$B$20,P210&amp;"일 지남","최근 방문"))))</f>
        <v/>
      </c>
      <c r="T210" s="8">
        <f>IF(B210="","",IF(S210="제외","",IF(AND(설정!$B$21&lt;&gt;"",L210&lt;&gt;설정!$B$21),"",IF(AND(Q210&lt;&gt;"",Q210&gt;N(O210),Q210&lt;=설정!$B$24+7),설정!$B$39+7-(Q210-설정!$B$24),IF(AND(G210&gt;0,OR(S210="안 가봄",RIGHT(S210,2)="지남")),G210+IF(O210="",설정!$B$36,MIN(P210,60)*설정!$B$37)+MIN(N(H210)/1000*설정!$B$38,20),"")))))</f>
        <v/>
      </c>
      <c r="U210">
        <f>IF(T210="","",COUNTIF(T$4:T$303,"&gt;"&amp;T210)+COUNTIF(T$4:T210,T210))</f>
        <v/>
      </c>
    </row>
    <row r="211">
      <c r="A211">
        <f>IF(B211="","",208)</f>
        <v/>
      </c>
      <c r="B211">
        <f>IFERROR(INDEX('2.현장'!$V$2:$V$1001,MATCH(208,'2.현장'!$W$2:$W$1001,0)),"")</f>
        <v/>
      </c>
      <c r="C211">
        <f>IF(B211="","",COUNTIFS('2.현장'!$V$2:$V$1001,B211,'2.현장'!$T$2:$T$1001,TRUE))</f>
        <v/>
      </c>
      <c r="D211">
        <f>IF(B211="","",COUNTIFS('2.현장'!$V$2:$V$1001,B211,'2.현장'!$U$2:$U$1001,"설계사"))</f>
        <v/>
      </c>
      <c r="E211">
        <f>IF(B211="","",COUNTIFS('2.현장'!$V$2:$V$1001,B211,'2.현장'!$U$2:$U$1001,"시공사"))</f>
        <v/>
      </c>
      <c r="F211">
        <f>IF(B211="","",COUNTIFS('2.현장'!$V$2:$V$1001,B211,'2.현장'!$T$2:$T$1001,TRUE,'2.현장'!$AA$2:$AA$1001,"★"))</f>
        <v/>
      </c>
      <c r="G211" s="6">
        <f>IF(B211="","",SUMIFS('2.현장'!$AB$2:$AB$1001,'2.현장'!$V$2:$V$1001,B211,'2.현장'!$T$2:$T$1001,TRUE))</f>
        <v/>
      </c>
      <c r="H211" s="5">
        <f>IF(B211="","",_xlfn.MAXIFS('2.현장'!$D$2:$D$1001,'2.현장'!$V$2:$V$1001,B211,'2.현장'!$T$2:$T$1001,TRUE))</f>
        <v/>
      </c>
      <c r="I211" s="7">
        <f>IF(B211="","",IF(_xlfn.MAXIFS('2.현장'!$L$2:$L$1001,'2.현장'!$V$2:$V$1001,B211,'2.현장'!$T$2:$T$1001,TRUE)=0,"",_xlfn.MAXIFS('2.현장'!$L$2:$L$1001,'2.현장'!$V$2:$V$1001,B211,'2.현장'!$T$2:$T$1001,TRUE)))</f>
        <v/>
      </c>
      <c r="J211" s="7">
        <f>IF(B211="","",IF(_xlfn.MAXIFS('2.현장'!$M$2:$M$1001,'2.현장'!$V$2:$V$1001,B211,'2.현장'!$T$2:$T$1001,TRUE)=0,"",_xlfn.MAXIFS('2.현장'!$M$2:$M$1001,'2.현장'!$V$2:$V$1001,B211,'2.현장'!$T$2:$T$1001,TRUE)))</f>
        <v/>
      </c>
      <c r="K211">
        <f>IF(B211="","",IFERROR(INDEX('2.현장'!$C$2:$C$1001,IFERROR(MATCH(B211&amp;"|설계사",'2.현장'!$Z$2:$Z$1001,0),IFERROR(MATCH(B211&amp;"|시공사",'2.현장'!$Z$2:$Z$1001,0),MATCH(B211&amp;"|늦음",'2.현장'!$Z$2:$Z$1001,0)))),""))</f>
        <v/>
      </c>
      <c r="L211">
        <f>IF(B211="","",IFERROR(INDEX('2.현장'!$N$2:$N$1001,IFERROR(MATCH(B211&amp;"|설계사",'2.현장'!$Z$2:$Z$1001,0),IFERROR(MATCH(B211&amp;"|시공사",'2.현장'!$Z$2:$Z$1001,0),MATCH(B211&amp;"|늦음",'2.현장'!$Z$2:$Z$1001,0)))),""))</f>
        <v/>
      </c>
      <c r="M211">
        <f>IF(B211="","",IFERROR(VLOOKUP(B211,업체_메모!$A$3:$I$302,2,FALSE)&amp;"",""))</f>
        <v/>
      </c>
      <c r="N211">
        <f>IF(B211="","",IFERROR(VLOOKUP(B211,업체_메모!$A$3:$I$302,4,FALSE)&amp;"",""))</f>
        <v/>
      </c>
      <c r="O211" s="7">
        <f>IF(B211="","",IF(COUNTIF('4.방문기록'!$B$3:$B$502,B211)=0,"",_xlfn.MAXIFS('4.방문기록'!$A$3:$A$502,'4.방문기록'!$B$3:$B$502,B211)))</f>
        <v/>
      </c>
      <c r="P211">
        <f>IF(O211="","",설정!$B$24-O211)</f>
        <v/>
      </c>
      <c r="Q211" s="7">
        <f>IF(B211="","",IF(_xlfn.MAXIFS('4.방문기록'!$F$3:$F$502,'4.방문기록'!$B$3:$B$502,B211)=0,"",_xlfn.MAXIFS('4.방문기록'!$F$3:$F$502,'4.방문기록'!$B$3:$B$502,B211)))</f>
        <v/>
      </c>
      <c r="R211">
        <f>IF(O211="","",IFERROR(INDEX('4.방문기록'!$H$3:$H$502,MATCH(B211&amp;"|"&amp;(O211*1),'4.방문기록'!$I$3:$I$502,0))&amp;"",""))</f>
        <v/>
      </c>
      <c r="S211">
        <f>IF(B211="","",IF(R211="관심 없음","제외",IF(O211="","안 가봄",IF(P211&gt;=설정!$B$20,P211&amp;"일 지남","최근 방문"))))</f>
        <v/>
      </c>
      <c r="T211" s="8">
        <f>IF(B211="","",IF(S211="제외","",IF(AND(설정!$B$21&lt;&gt;"",L211&lt;&gt;설정!$B$21),"",IF(AND(Q211&lt;&gt;"",Q211&gt;N(O211),Q211&lt;=설정!$B$24+7),설정!$B$39+7-(Q211-설정!$B$24),IF(AND(G211&gt;0,OR(S211="안 가봄",RIGHT(S211,2)="지남")),G211+IF(O211="",설정!$B$36,MIN(P211,60)*설정!$B$37)+MIN(N(H211)/1000*설정!$B$38,20),"")))))</f>
        <v/>
      </c>
      <c r="U211">
        <f>IF(T211="","",COUNTIF(T$4:T$303,"&gt;"&amp;T211)+COUNTIF(T$4:T211,T211))</f>
        <v/>
      </c>
    </row>
    <row r="212">
      <c r="A212">
        <f>IF(B212="","",209)</f>
        <v/>
      </c>
      <c r="B212">
        <f>IFERROR(INDEX('2.현장'!$V$2:$V$1001,MATCH(209,'2.현장'!$W$2:$W$1001,0)),"")</f>
        <v/>
      </c>
      <c r="C212">
        <f>IF(B212="","",COUNTIFS('2.현장'!$V$2:$V$1001,B212,'2.현장'!$T$2:$T$1001,TRUE))</f>
        <v/>
      </c>
      <c r="D212">
        <f>IF(B212="","",COUNTIFS('2.현장'!$V$2:$V$1001,B212,'2.현장'!$U$2:$U$1001,"설계사"))</f>
        <v/>
      </c>
      <c r="E212">
        <f>IF(B212="","",COUNTIFS('2.현장'!$V$2:$V$1001,B212,'2.현장'!$U$2:$U$1001,"시공사"))</f>
        <v/>
      </c>
      <c r="F212">
        <f>IF(B212="","",COUNTIFS('2.현장'!$V$2:$V$1001,B212,'2.현장'!$T$2:$T$1001,TRUE,'2.현장'!$AA$2:$AA$1001,"★"))</f>
        <v/>
      </c>
      <c r="G212" s="6">
        <f>IF(B212="","",SUMIFS('2.현장'!$AB$2:$AB$1001,'2.현장'!$V$2:$V$1001,B212,'2.현장'!$T$2:$T$1001,TRUE))</f>
        <v/>
      </c>
      <c r="H212" s="5">
        <f>IF(B212="","",_xlfn.MAXIFS('2.현장'!$D$2:$D$1001,'2.현장'!$V$2:$V$1001,B212,'2.현장'!$T$2:$T$1001,TRUE))</f>
        <v/>
      </c>
      <c r="I212" s="7">
        <f>IF(B212="","",IF(_xlfn.MAXIFS('2.현장'!$L$2:$L$1001,'2.현장'!$V$2:$V$1001,B212,'2.현장'!$T$2:$T$1001,TRUE)=0,"",_xlfn.MAXIFS('2.현장'!$L$2:$L$1001,'2.현장'!$V$2:$V$1001,B212,'2.현장'!$T$2:$T$1001,TRUE)))</f>
        <v/>
      </c>
      <c r="J212" s="7">
        <f>IF(B212="","",IF(_xlfn.MAXIFS('2.현장'!$M$2:$M$1001,'2.현장'!$V$2:$V$1001,B212,'2.현장'!$T$2:$T$1001,TRUE)=0,"",_xlfn.MAXIFS('2.현장'!$M$2:$M$1001,'2.현장'!$V$2:$V$1001,B212,'2.현장'!$T$2:$T$1001,TRUE)))</f>
        <v/>
      </c>
      <c r="K212">
        <f>IF(B212="","",IFERROR(INDEX('2.현장'!$C$2:$C$1001,IFERROR(MATCH(B212&amp;"|설계사",'2.현장'!$Z$2:$Z$1001,0),IFERROR(MATCH(B212&amp;"|시공사",'2.현장'!$Z$2:$Z$1001,0),MATCH(B212&amp;"|늦음",'2.현장'!$Z$2:$Z$1001,0)))),""))</f>
        <v/>
      </c>
      <c r="L212">
        <f>IF(B212="","",IFERROR(INDEX('2.현장'!$N$2:$N$1001,IFERROR(MATCH(B212&amp;"|설계사",'2.현장'!$Z$2:$Z$1001,0),IFERROR(MATCH(B212&amp;"|시공사",'2.현장'!$Z$2:$Z$1001,0),MATCH(B212&amp;"|늦음",'2.현장'!$Z$2:$Z$1001,0)))),""))</f>
        <v/>
      </c>
      <c r="M212">
        <f>IF(B212="","",IFERROR(VLOOKUP(B212,업체_메모!$A$3:$I$302,2,FALSE)&amp;"",""))</f>
        <v/>
      </c>
      <c r="N212">
        <f>IF(B212="","",IFERROR(VLOOKUP(B212,업체_메모!$A$3:$I$302,4,FALSE)&amp;"",""))</f>
        <v/>
      </c>
      <c r="O212" s="7">
        <f>IF(B212="","",IF(COUNTIF('4.방문기록'!$B$3:$B$502,B212)=0,"",_xlfn.MAXIFS('4.방문기록'!$A$3:$A$502,'4.방문기록'!$B$3:$B$502,B212)))</f>
        <v/>
      </c>
      <c r="P212">
        <f>IF(O212="","",설정!$B$24-O212)</f>
        <v/>
      </c>
      <c r="Q212" s="7">
        <f>IF(B212="","",IF(_xlfn.MAXIFS('4.방문기록'!$F$3:$F$502,'4.방문기록'!$B$3:$B$502,B212)=0,"",_xlfn.MAXIFS('4.방문기록'!$F$3:$F$502,'4.방문기록'!$B$3:$B$502,B212)))</f>
        <v/>
      </c>
      <c r="R212">
        <f>IF(O212="","",IFERROR(INDEX('4.방문기록'!$H$3:$H$502,MATCH(B212&amp;"|"&amp;(O212*1),'4.방문기록'!$I$3:$I$502,0))&amp;"",""))</f>
        <v/>
      </c>
      <c r="S212">
        <f>IF(B212="","",IF(R212="관심 없음","제외",IF(O212="","안 가봄",IF(P212&gt;=설정!$B$20,P212&amp;"일 지남","최근 방문"))))</f>
        <v/>
      </c>
      <c r="T212" s="8">
        <f>IF(B212="","",IF(S212="제외","",IF(AND(설정!$B$21&lt;&gt;"",L212&lt;&gt;설정!$B$21),"",IF(AND(Q212&lt;&gt;"",Q212&gt;N(O212),Q212&lt;=설정!$B$24+7),설정!$B$39+7-(Q212-설정!$B$24),IF(AND(G212&gt;0,OR(S212="안 가봄",RIGHT(S212,2)="지남")),G212+IF(O212="",설정!$B$36,MIN(P212,60)*설정!$B$37)+MIN(N(H212)/1000*설정!$B$38,20),"")))))</f>
        <v/>
      </c>
      <c r="U212">
        <f>IF(T212="","",COUNTIF(T$4:T$303,"&gt;"&amp;T212)+COUNTIF(T$4:T212,T212))</f>
        <v/>
      </c>
    </row>
    <row r="213">
      <c r="A213">
        <f>IF(B213="","",210)</f>
        <v/>
      </c>
      <c r="B213">
        <f>IFERROR(INDEX('2.현장'!$V$2:$V$1001,MATCH(210,'2.현장'!$W$2:$W$1001,0)),"")</f>
        <v/>
      </c>
      <c r="C213">
        <f>IF(B213="","",COUNTIFS('2.현장'!$V$2:$V$1001,B213,'2.현장'!$T$2:$T$1001,TRUE))</f>
        <v/>
      </c>
      <c r="D213">
        <f>IF(B213="","",COUNTIFS('2.현장'!$V$2:$V$1001,B213,'2.현장'!$U$2:$U$1001,"설계사"))</f>
        <v/>
      </c>
      <c r="E213">
        <f>IF(B213="","",COUNTIFS('2.현장'!$V$2:$V$1001,B213,'2.현장'!$U$2:$U$1001,"시공사"))</f>
        <v/>
      </c>
      <c r="F213">
        <f>IF(B213="","",COUNTIFS('2.현장'!$V$2:$V$1001,B213,'2.현장'!$T$2:$T$1001,TRUE,'2.현장'!$AA$2:$AA$1001,"★"))</f>
        <v/>
      </c>
      <c r="G213" s="6">
        <f>IF(B213="","",SUMIFS('2.현장'!$AB$2:$AB$1001,'2.현장'!$V$2:$V$1001,B213,'2.현장'!$T$2:$T$1001,TRUE))</f>
        <v/>
      </c>
      <c r="H213" s="5">
        <f>IF(B213="","",_xlfn.MAXIFS('2.현장'!$D$2:$D$1001,'2.현장'!$V$2:$V$1001,B213,'2.현장'!$T$2:$T$1001,TRUE))</f>
        <v/>
      </c>
      <c r="I213" s="7">
        <f>IF(B213="","",IF(_xlfn.MAXIFS('2.현장'!$L$2:$L$1001,'2.현장'!$V$2:$V$1001,B213,'2.현장'!$T$2:$T$1001,TRUE)=0,"",_xlfn.MAXIFS('2.현장'!$L$2:$L$1001,'2.현장'!$V$2:$V$1001,B213,'2.현장'!$T$2:$T$1001,TRUE)))</f>
        <v/>
      </c>
      <c r="J213" s="7">
        <f>IF(B213="","",IF(_xlfn.MAXIFS('2.현장'!$M$2:$M$1001,'2.현장'!$V$2:$V$1001,B213,'2.현장'!$T$2:$T$1001,TRUE)=0,"",_xlfn.MAXIFS('2.현장'!$M$2:$M$1001,'2.현장'!$V$2:$V$1001,B213,'2.현장'!$T$2:$T$1001,TRUE)))</f>
        <v/>
      </c>
      <c r="K213">
        <f>IF(B213="","",IFERROR(INDEX('2.현장'!$C$2:$C$1001,IFERROR(MATCH(B213&amp;"|설계사",'2.현장'!$Z$2:$Z$1001,0),IFERROR(MATCH(B213&amp;"|시공사",'2.현장'!$Z$2:$Z$1001,0),MATCH(B213&amp;"|늦음",'2.현장'!$Z$2:$Z$1001,0)))),""))</f>
        <v/>
      </c>
      <c r="L213">
        <f>IF(B213="","",IFERROR(INDEX('2.현장'!$N$2:$N$1001,IFERROR(MATCH(B213&amp;"|설계사",'2.현장'!$Z$2:$Z$1001,0),IFERROR(MATCH(B213&amp;"|시공사",'2.현장'!$Z$2:$Z$1001,0),MATCH(B213&amp;"|늦음",'2.현장'!$Z$2:$Z$1001,0)))),""))</f>
        <v/>
      </c>
      <c r="M213">
        <f>IF(B213="","",IFERROR(VLOOKUP(B213,업체_메모!$A$3:$I$302,2,FALSE)&amp;"",""))</f>
        <v/>
      </c>
      <c r="N213">
        <f>IF(B213="","",IFERROR(VLOOKUP(B213,업체_메모!$A$3:$I$302,4,FALSE)&amp;"",""))</f>
        <v/>
      </c>
      <c r="O213" s="7">
        <f>IF(B213="","",IF(COUNTIF('4.방문기록'!$B$3:$B$502,B213)=0,"",_xlfn.MAXIFS('4.방문기록'!$A$3:$A$502,'4.방문기록'!$B$3:$B$502,B213)))</f>
        <v/>
      </c>
      <c r="P213">
        <f>IF(O213="","",설정!$B$24-O213)</f>
        <v/>
      </c>
      <c r="Q213" s="7">
        <f>IF(B213="","",IF(_xlfn.MAXIFS('4.방문기록'!$F$3:$F$502,'4.방문기록'!$B$3:$B$502,B213)=0,"",_xlfn.MAXIFS('4.방문기록'!$F$3:$F$502,'4.방문기록'!$B$3:$B$502,B213)))</f>
        <v/>
      </c>
      <c r="R213">
        <f>IF(O213="","",IFERROR(INDEX('4.방문기록'!$H$3:$H$502,MATCH(B213&amp;"|"&amp;(O213*1),'4.방문기록'!$I$3:$I$502,0))&amp;"",""))</f>
        <v/>
      </c>
      <c r="S213">
        <f>IF(B213="","",IF(R213="관심 없음","제외",IF(O213="","안 가봄",IF(P213&gt;=설정!$B$20,P213&amp;"일 지남","최근 방문"))))</f>
        <v/>
      </c>
      <c r="T213" s="8">
        <f>IF(B213="","",IF(S213="제외","",IF(AND(설정!$B$21&lt;&gt;"",L213&lt;&gt;설정!$B$21),"",IF(AND(Q213&lt;&gt;"",Q213&gt;N(O213),Q213&lt;=설정!$B$24+7),설정!$B$39+7-(Q213-설정!$B$24),IF(AND(G213&gt;0,OR(S213="안 가봄",RIGHT(S213,2)="지남")),G213+IF(O213="",설정!$B$36,MIN(P213,60)*설정!$B$37)+MIN(N(H213)/1000*설정!$B$38,20),"")))))</f>
        <v/>
      </c>
      <c r="U213">
        <f>IF(T213="","",COUNTIF(T$4:T$303,"&gt;"&amp;T213)+COUNTIF(T$4:T213,T213))</f>
        <v/>
      </c>
    </row>
    <row r="214">
      <c r="A214">
        <f>IF(B214="","",211)</f>
        <v/>
      </c>
      <c r="B214">
        <f>IFERROR(INDEX('2.현장'!$V$2:$V$1001,MATCH(211,'2.현장'!$W$2:$W$1001,0)),"")</f>
        <v/>
      </c>
      <c r="C214">
        <f>IF(B214="","",COUNTIFS('2.현장'!$V$2:$V$1001,B214,'2.현장'!$T$2:$T$1001,TRUE))</f>
        <v/>
      </c>
      <c r="D214">
        <f>IF(B214="","",COUNTIFS('2.현장'!$V$2:$V$1001,B214,'2.현장'!$U$2:$U$1001,"설계사"))</f>
        <v/>
      </c>
      <c r="E214">
        <f>IF(B214="","",COUNTIFS('2.현장'!$V$2:$V$1001,B214,'2.현장'!$U$2:$U$1001,"시공사"))</f>
        <v/>
      </c>
      <c r="F214">
        <f>IF(B214="","",COUNTIFS('2.현장'!$V$2:$V$1001,B214,'2.현장'!$T$2:$T$1001,TRUE,'2.현장'!$AA$2:$AA$1001,"★"))</f>
        <v/>
      </c>
      <c r="G214" s="6">
        <f>IF(B214="","",SUMIFS('2.현장'!$AB$2:$AB$1001,'2.현장'!$V$2:$V$1001,B214,'2.현장'!$T$2:$T$1001,TRUE))</f>
        <v/>
      </c>
      <c r="H214" s="5">
        <f>IF(B214="","",_xlfn.MAXIFS('2.현장'!$D$2:$D$1001,'2.현장'!$V$2:$V$1001,B214,'2.현장'!$T$2:$T$1001,TRUE))</f>
        <v/>
      </c>
      <c r="I214" s="7">
        <f>IF(B214="","",IF(_xlfn.MAXIFS('2.현장'!$L$2:$L$1001,'2.현장'!$V$2:$V$1001,B214,'2.현장'!$T$2:$T$1001,TRUE)=0,"",_xlfn.MAXIFS('2.현장'!$L$2:$L$1001,'2.현장'!$V$2:$V$1001,B214,'2.현장'!$T$2:$T$1001,TRUE)))</f>
        <v/>
      </c>
      <c r="J214" s="7">
        <f>IF(B214="","",IF(_xlfn.MAXIFS('2.현장'!$M$2:$M$1001,'2.현장'!$V$2:$V$1001,B214,'2.현장'!$T$2:$T$1001,TRUE)=0,"",_xlfn.MAXIFS('2.현장'!$M$2:$M$1001,'2.현장'!$V$2:$V$1001,B214,'2.현장'!$T$2:$T$1001,TRUE)))</f>
        <v/>
      </c>
      <c r="K214">
        <f>IF(B214="","",IFERROR(INDEX('2.현장'!$C$2:$C$1001,IFERROR(MATCH(B214&amp;"|설계사",'2.현장'!$Z$2:$Z$1001,0),IFERROR(MATCH(B214&amp;"|시공사",'2.현장'!$Z$2:$Z$1001,0),MATCH(B214&amp;"|늦음",'2.현장'!$Z$2:$Z$1001,0)))),""))</f>
        <v/>
      </c>
      <c r="L214">
        <f>IF(B214="","",IFERROR(INDEX('2.현장'!$N$2:$N$1001,IFERROR(MATCH(B214&amp;"|설계사",'2.현장'!$Z$2:$Z$1001,0),IFERROR(MATCH(B214&amp;"|시공사",'2.현장'!$Z$2:$Z$1001,0),MATCH(B214&amp;"|늦음",'2.현장'!$Z$2:$Z$1001,0)))),""))</f>
        <v/>
      </c>
      <c r="M214">
        <f>IF(B214="","",IFERROR(VLOOKUP(B214,업체_메모!$A$3:$I$302,2,FALSE)&amp;"",""))</f>
        <v/>
      </c>
      <c r="N214">
        <f>IF(B214="","",IFERROR(VLOOKUP(B214,업체_메모!$A$3:$I$302,4,FALSE)&amp;"",""))</f>
        <v/>
      </c>
      <c r="O214" s="7">
        <f>IF(B214="","",IF(COUNTIF('4.방문기록'!$B$3:$B$502,B214)=0,"",_xlfn.MAXIFS('4.방문기록'!$A$3:$A$502,'4.방문기록'!$B$3:$B$502,B214)))</f>
        <v/>
      </c>
      <c r="P214">
        <f>IF(O214="","",설정!$B$24-O214)</f>
        <v/>
      </c>
      <c r="Q214" s="7">
        <f>IF(B214="","",IF(_xlfn.MAXIFS('4.방문기록'!$F$3:$F$502,'4.방문기록'!$B$3:$B$502,B214)=0,"",_xlfn.MAXIFS('4.방문기록'!$F$3:$F$502,'4.방문기록'!$B$3:$B$502,B214)))</f>
        <v/>
      </c>
      <c r="R214">
        <f>IF(O214="","",IFERROR(INDEX('4.방문기록'!$H$3:$H$502,MATCH(B214&amp;"|"&amp;(O214*1),'4.방문기록'!$I$3:$I$502,0))&amp;"",""))</f>
        <v/>
      </c>
      <c r="S214">
        <f>IF(B214="","",IF(R214="관심 없음","제외",IF(O214="","안 가봄",IF(P214&gt;=설정!$B$20,P214&amp;"일 지남","최근 방문"))))</f>
        <v/>
      </c>
      <c r="T214" s="8">
        <f>IF(B214="","",IF(S214="제외","",IF(AND(설정!$B$21&lt;&gt;"",L214&lt;&gt;설정!$B$21),"",IF(AND(Q214&lt;&gt;"",Q214&gt;N(O214),Q214&lt;=설정!$B$24+7),설정!$B$39+7-(Q214-설정!$B$24),IF(AND(G214&gt;0,OR(S214="안 가봄",RIGHT(S214,2)="지남")),G214+IF(O214="",설정!$B$36,MIN(P214,60)*설정!$B$37)+MIN(N(H214)/1000*설정!$B$38,20),"")))))</f>
        <v/>
      </c>
      <c r="U214">
        <f>IF(T214="","",COUNTIF(T$4:T$303,"&gt;"&amp;T214)+COUNTIF(T$4:T214,T214))</f>
        <v/>
      </c>
    </row>
    <row r="215">
      <c r="A215">
        <f>IF(B215="","",212)</f>
        <v/>
      </c>
      <c r="B215">
        <f>IFERROR(INDEX('2.현장'!$V$2:$V$1001,MATCH(212,'2.현장'!$W$2:$W$1001,0)),"")</f>
        <v/>
      </c>
      <c r="C215">
        <f>IF(B215="","",COUNTIFS('2.현장'!$V$2:$V$1001,B215,'2.현장'!$T$2:$T$1001,TRUE))</f>
        <v/>
      </c>
      <c r="D215">
        <f>IF(B215="","",COUNTIFS('2.현장'!$V$2:$V$1001,B215,'2.현장'!$U$2:$U$1001,"설계사"))</f>
        <v/>
      </c>
      <c r="E215">
        <f>IF(B215="","",COUNTIFS('2.현장'!$V$2:$V$1001,B215,'2.현장'!$U$2:$U$1001,"시공사"))</f>
        <v/>
      </c>
      <c r="F215">
        <f>IF(B215="","",COUNTIFS('2.현장'!$V$2:$V$1001,B215,'2.현장'!$T$2:$T$1001,TRUE,'2.현장'!$AA$2:$AA$1001,"★"))</f>
        <v/>
      </c>
      <c r="G215" s="6">
        <f>IF(B215="","",SUMIFS('2.현장'!$AB$2:$AB$1001,'2.현장'!$V$2:$V$1001,B215,'2.현장'!$T$2:$T$1001,TRUE))</f>
        <v/>
      </c>
      <c r="H215" s="5">
        <f>IF(B215="","",_xlfn.MAXIFS('2.현장'!$D$2:$D$1001,'2.현장'!$V$2:$V$1001,B215,'2.현장'!$T$2:$T$1001,TRUE))</f>
        <v/>
      </c>
      <c r="I215" s="7">
        <f>IF(B215="","",IF(_xlfn.MAXIFS('2.현장'!$L$2:$L$1001,'2.현장'!$V$2:$V$1001,B215,'2.현장'!$T$2:$T$1001,TRUE)=0,"",_xlfn.MAXIFS('2.현장'!$L$2:$L$1001,'2.현장'!$V$2:$V$1001,B215,'2.현장'!$T$2:$T$1001,TRUE)))</f>
        <v/>
      </c>
      <c r="J215" s="7">
        <f>IF(B215="","",IF(_xlfn.MAXIFS('2.현장'!$M$2:$M$1001,'2.현장'!$V$2:$V$1001,B215,'2.현장'!$T$2:$T$1001,TRUE)=0,"",_xlfn.MAXIFS('2.현장'!$M$2:$M$1001,'2.현장'!$V$2:$V$1001,B215,'2.현장'!$T$2:$T$1001,TRUE)))</f>
        <v/>
      </c>
      <c r="K215">
        <f>IF(B215="","",IFERROR(INDEX('2.현장'!$C$2:$C$1001,IFERROR(MATCH(B215&amp;"|설계사",'2.현장'!$Z$2:$Z$1001,0),IFERROR(MATCH(B215&amp;"|시공사",'2.현장'!$Z$2:$Z$1001,0),MATCH(B215&amp;"|늦음",'2.현장'!$Z$2:$Z$1001,0)))),""))</f>
        <v/>
      </c>
      <c r="L215">
        <f>IF(B215="","",IFERROR(INDEX('2.현장'!$N$2:$N$1001,IFERROR(MATCH(B215&amp;"|설계사",'2.현장'!$Z$2:$Z$1001,0),IFERROR(MATCH(B215&amp;"|시공사",'2.현장'!$Z$2:$Z$1001,0),MATCH(B215&amp;"|늦음",'2.현장'!$Z$2:$Z$1001,0)))),""))</f>
        <v/>
      </c>
      <c r="M215">
        <f>IF(B215="","",IFERROR(VLOOKUP(B215,업체_메모!$A$3:$I$302,2,FALSE)&amp;"",""))</f>
        <v/>
      </c>
      <c r="N215">
        <f>IF(B215="","",IFERROR(VLOOKUP(B215,업체_메모!$A$3:$I$302,4,FALSE)&amp;"",""))</f>
        <v/>
      </c>
      <c r="O215" s="7">
        <f>IF(B215="","",IF(COUNTIF('4.방문기록'!$B$3:$B$502,B215)=0,"",_xlfn.MAXIFS('4.방문기록'!$A$3:$A$502,'4.방문기록'!$B$3:$B$502,B215)))</f>
        <v/>
      </c>
      <c r="P215">
        <f>IF(O215="","",설정!$B$24-O215)</f>
        <v/>
      </c>
      <c r="Q215" s="7">
        <f>IF(B215="","",IF(_xlfn.MAXIFS('4.방문기록'!$F$3:$F$502,'4.방문기록'!$B$3:$B$502,B215)=0,"",_xlfn.MAXIFS('4.방문기록'!$F$3:$F$502,'4.방문기록'!$B$3:$B$502,B215)))</f>
        <v/>
      </c>
      <c r="R215">
        <f>IF(O215="","",IFERROR(INDEX('4.방문기록'!$H$3:$H$502,MATCH(B215&amp;"|"&amp;(O215*1),'4.방문기록'!$I$3:$I$502,0))&amp;"",""))</f>
        <v/>
      </c>
      <c r="S215">
        <f>IF(B215="","",IF(R215="관심 없음","제외",IF(O215="","안 가봄",IF(P215&gt;=설정!$B$20,P215&amp;"일 지남","최근 방문"))))</f>
        <v/>
      </c>
      <c r="T215" s="8">
        <f>IF(B215="","",IF(S215="제외","",IF(AND(설정!$B$21&lt;&gt;"",L215&lt;&gt;설정!$B$21),"",IF(AND(Q215&lt;&gt;"",Q215&gt;N(O215),Q215&lt;=설정!$B$24+7),설정!$B$39+7-(Q215-설정!$B$24),IF(AND(G215&gt;0,OR(S215="안 가봄",RIGHT(S215,2)="지남")),G215+IF(O215="",설정!$B$36,MIN(P215,60)*설정!$B$37)+MIN(N(H215)/1000*설정!$B$38,20),"")))))</f>
        <v/>
      </c>
      <c r="U215">
        <f>IF(T215="","",COUNTIF(T$4:T$303,"&gt;"&amp;T215)+COUNTIF(T$4:T215,T215))</f>
        <v/>
      </c>
    </row>
    <row r="216">
      <c r="A216">
        <f>IF(B216="","",213)</f>
        <v/>
      </c>
      <c r="B216">
        <f>IFERROR(INDEX('2.현장'!$V$2:$V$1001,MATCH(213,'2.현장'!$W$2:$W$1001,0)),"")</f>
        <v/>
      </c>
      <c r="C216">
        <f>IF(B216="","",COUNTIFS('2.현장'!$V$2:$V$1001,B216,'2.현장'!$T$2:$T$1001,TRUE))</f>
        <v/>
      </c>
      <c r="D216">
        <f>IF(B216="","",COUNTIFS('2.현장'!$V$2:$V$1001,B216,'2.현장'!$U$2:$U$1001,"설계사"))</f>
        <v/>
      </c>
      <c r="E216">
        <f>IF(B216="","",COUNTIFS('2.현장'!$V$2:$V$1001,B216,'2.현장'!$U$2:$U$1001,"시공사"))</f>
        <v/>
      </c>
      <c r="F216">
        <f>IF(B216="","",COUNTIFS('2.현장'!$V$2:$V$1001,B216,'2.현장'!$T$2:$T$1001,TRUE,'2.현장'!$AA$2:$AA$1001,"★"))</f>
        <v/>
      </c>
      <c r="G216" s="6">
        <f>IF(B216="","",SUMIFS('2.현장'!$AB$2:$AB$1001,'2.현장'!$V$2:$V$1001,B216,'2.현장'!$T$2:$T$1001,TRUE))</f>
        <v/>
      </c>
      <c r="H216" s="5">
        <f>IF(B216="","",_xlfn.MAXIFS('2.현장'!$D$2:$D$1001,'2.현장'!$V$2:$V$1001,B216,'2.현장'!$T$2:$T$1001,TRUE))</f>
        <v/>
      </c>
      <c r="I216" s="7">
        <f>IF(B216="","",IF(_xlfn.MAXIFS('2.현장'!$L$2:$L$1001,'2.현장'!$V$2:$V$1001,B216,'2.현장'!$T$2:$T$1001,TRUE)=0,"",_xlfn.MAXIFS('2.현장'!$L$2:$L$1001,'2.현장'!$V$2:$V$1001,B216,'2.현장'!$T$2:$T$1001,TRUE)))</f>
        <v/>
      </c>
      <c r="J216" s="7">
        <f>IF(B216="","",IF(_xlfn.MAXIFS('2.현장'!$M$2:$M$1001,'2.현장'!$V$2:$V$1001,B216,'2.현장'!$T$2:$T$1001,TRUE)=0,"",_xlfn.MAXIFS('2.현장'!$M$2:$M$1001,'2.현장'!$V$2:$V$1001,B216,'2.현장'!$T$2:$T$1001,TRUE)))</f>
        <v/>
      </c>
      <c r="K216">
        <f>IF(B216="","",IFERROR(INDEX('2.현장'!$C$2:$C$1001,IFERROR(MATCH(B216&amp;"|설계사",'2.현장'!$Z$2:$Z$1001,0),IFERROR(MATCH(B216&amp;"|시공사",'2.현장'!$Z$2:$Z$1001,0),MATCH(B216&amp;"|늦음",'2.현장'!$Z$2:$Z$1001,0)))),""))</f>
        <v/>
      </c>
      <c r="L216">
        <f>IF(B216="","",IFERROR(INDEX('2.현장'!$N$2:$N$1001,IFERROR(MATCH(B216&amp;"|설계사",'2.현장'!$Z$2:$Z$1001,0),IFERROR(MATCH(B216&amp;"|시공사",'2.현장'!$Z$2:$Z$1001,0),MATCH(B216&amp;"|늦음",'2.현장'!$Z$2:$Z$1001,0)))),""))</f>
        <v/>
      </c>
      <c r="M216">
        <f>IF(B216="","",IFERROR(VLOOKUP(B216,업체_메모!$A$3:$I$302,2,FALSE)&amp;"",""))</f>
        <v/>
      </c>
      <c r="N216">
        <f>IF(B216="","",IFERROR(VLOOKUP(B216,업체_메모!$A$3:$I$302,4,FALSE)&amp;"",""))</f>
        <v/>
      </c>
      <c r="O216" s="7">
        <f>IF(B216="","",IF(COUNTIF('4.방문기록'!$B$3:$B$502,B216)=0,"",_xlfn.MAXIFS('4.방문기록'!$A$3:$A$502,'4.방문기록'!$B$3:$B$502,B216)))</f>
        <v/>
      </c>
      <c r="P216">
        <f>IF(O216="","",설정!$B$24-O216)</f>
        <v/>
      </c>
      <c r="Q216" s="7">
        <f>IF(B216="","",IF(_xlfn.MAXIFS('4.방문기록'!$F$3:$F$502,'4.방문기록'!$B$3:$B$502,B216)=0,"",_xlfn.MAXIFS('4.방문기록'!$F$3:$F$502,'4.방문기록'!$B$3:$B$502,B216)))</f>
        <v/>
      </c>
      <c r="R216">
        <f>IF(O216="","",IFERROR(INDEX('4.방문기록'!$H$3:$H$502,MATCH(B216&amp;"|"&amp;(O216*1),'4.방문기록'!$I$3:$I$502,0))&amp;"",""))</f>
        <v/>
      </c>
      <c r="S216">
        <f>IF(B216="","",IF(R216="관심 없음","제외",IF(O216="","안 가봄",IF(P216&gt;=설정!$B$20,P216&amp;"일 지남","최근 방문"))))</f>
        <v/>
      </c>
      <c r="T216" s="8">
        <f>IF(B216="","",IF(S216="제외","",IF(AND(설정!$B$21&lt;&gt;"",L216&lt;&gt;설정!$B$21),"",IF(AND(Q216&lt;&gt;"",Q216&gt;N(O216),Q216&lt;=설정!$B$24+7),설정!$B$39+7-(Q216-설정!$B$24),IF(AND(G216&gt;0,OR(S216="안 가봄",RIGHT(S216,2)="지남")),G216+IF(O216="",설정!$B$36,MIN(P216,60)*설정!$B$37)+MIN(N(H216)/1000*설정!$B$38,20),"")))))</f>
        <v/>
      </c>
      <c r="U216">
        <f>IF(T216="","",COUNTIF(T$4:T$303,"&gt;"&amp;T216)+COUNTIF(T$4:T216,T216))</f>
        <v/>
      </c>
    </row>
    <row r="217">
      <c r="A217">
        <f>IF(B217="","",214)</f>
        <v/>
      </c>
      <c r="B217">
        <f>IFERROR(INDEX('2.현장'!$V$2:$V$1001,MATCH(214,'2.현장'!$W$2:$W$1001,0)),"")</f>
        <v/>
      </c>
      <c r="C217">
        <f>IF(B217="","",COUNTIFS('2.현장'!$V$2:$V$1001,B217,'2.현장'!$T$2:$T$1001,TRUE))</f>
        <v/>
      </c>
      <c r="D217">
        <f>IF(B217="","",COUNTIFS('2.현장'!$V$2:$V$1001,B217,'2.현장'!$U$2:$U$1001,"설계사"))</f>
        <v/>
      </c>
      <c r="E217">
        <f>IF(B217="","",COUNTIFS('2.현장'!$V$2:$V$1001,B217,'2.현장'!$U$2:$U$1001,"시공사"))</f>
        <v/>
      </c>
      <c r="F217">
        <f>IF(B217="","",COUNTIFS('2.현장'!$V$2:$V$1001,B217,'2.현장'!$T$2:$T$1001,TRUE,'2.현장'!$AA$2:$AA$1001,"★"))</f>
        <v/>
      </c>
      <c r="G217" s="6">
        <f>IF(B217="","",SUMIFS('2.현장'!$AB$2:$AB$1001,'2.현장'!$V$2:$V$1001,B217,'2.현장'!$T$2:$T$1001,TRUE))</f>
        <v/>
      </c>
      <c r="H217" s="5">
        <f>IF(B217="","",_xlfn.MAXIFS('2.현장'!$D$2:$D$1001,'2.현장'!$V$2:$V$1001,B217,'2.현장'!$T$2:$T$1001,TRUE))</f>
        <v/>
      </c>
      <c r="I217" s="7">
        <f>IF(B217="","",IF(_xlfn.MAXIFS('2.현장'!$L$2:$L$1001,'2.현장'!$V$2:$V$1001,B217,'2.현장'!$T$2:$T$1001,TRUE)=0,"",_xlfn.MAXIFS('2.현장'!$L$2:$L$1001,'2.현장'!$V$2:$V$1001,B217,'2.현장'!$T$2:$T$1001,TRUE)))</f>
        <v/>
      </c>
      <c r="J217" s="7">
        <f>IF(B217="","",IF(_xlfn.MAXIFS('2.현장'!$M$2:$M$1001,'2.현장'!$V$2:$V$1001,B217,'2.현장'!$T$2:$T$1001,TRUE)=0,"",_xlfn.MAXIFS('2.현장'!$M$2:$M$1001,'2.현장'!$V$2:$V$1001,B217,'2.현장'!$T$2:$T$1001,TRUE)))</f>
        <v/>
      </c>
      <c r="K217">
        <f>IF(B217="","",IFERROR(INDEX('2.현장'!$C$2:$C$1001,IFERROR(MATCH(B217&amp;"|설계사",'2.현장'!$Z$2:$Z$1001,0),IFERROR(MATCH(B217&amp;"|시공사",'2.현장'!$Z$2:$Z$1001,0),MATCH(B217&amp;"|늦음",'2.현장'!$Z$2:$Z$1001,0)))),""))</f>
        <v/>
      </c>
      <c r="L217">
        <f>IF(B217="","",IFERROR(INDEX('2.현장'!$N$2:$N$1001,IFERROR(MATCH(B217&amp;"|설계사",'2.현장'!$Z$2:$Z$1001,0),IFERROR(MATCH(B217&amp;"|시공사",'2.현장'!$Z$2:$Z$1001,0),MATCH(B217&amp;"|늦음",'2.현장'!$Z$2:$Z$1001,0)))),""))</f>
        <v/>
      </c>
      <c r="M217">
        <f>IF(B217="","",IFERROR(VLOOKUP(B217,업체_메모!$A$3:$I$302,2,FALSE)&amp;"",""))</f>
        <v/>
      </c>
      <c r="N217">
        <f>IF(B217="","",IFERROR(VLOOKUP(B217,업체_메모!$A$3:$I$302,4,FALSE)&amp;"",""))</f>
        <v/>
      </c>
      <c r="O217" s="7">
        <f>IF(B217="","",IF(COUNTIF('4.방문기록'!$B$3:$B$502,B217)=0,"",_xlfn.MAXIFS('4.방문기록'!$A$3:$A$502,'4.방문기록'!$B$3:$B$502,B217)))</f>
        <v/>
      </c>
      <c r="P217">
        <f>IF(O217="","",설정!$B$24-O217)</f>
        <v/>
      </c>
      <c r="Q217" s="7">
        <f>IF(B217="","",IF(_xlfn.MAXIFS('4.방문기록'!$F$3:$F$502,'4.방문기록'!$B$3:$B$502,B217)=0,"",_xlfn.MAXIFS('4.방문기록'!$F$3:$F$502,'4.방문기록'!$B$3:$B$502,B217)))</f>
        <v/>
      </c>
      <c r="R217">
        <f>IF(O217="","",IFERROR(INDEX('4.방문기록'!$H$3:$H$502,MATCH(B217&amp;"|"&amp;(O217*1),'4.방문기록'!$I$3:$I$502,0))&amp;"",""))</f>
        <v/>
      </c>
      <c r="S217">
        <f>IF(B217="","",IF(R217="관심 없음","제외",IF(O217="","안 가봄",IF(P217&gt;=설정!$B$20,P217&amp;"일 지남","최근 방문"))))</f>
        <v/>
      </c>
      <c r="T217" s="8">
        <f>IF(B217="","",IF(S217="제외","",IF(AND(설정!$B$21&lt;&gt;"",L217&lt;&gt;설정!$B$21),"",IF(AND(Q217&lt;&gt;"",Q217&gt;N(O217),Q217&lt;=설정!$B$24+7),설정!$B$39+7-(Q217-설정!$B$24),IF(AND(G217&gt;0,OR(S217="안 가봄",RIGHT(S217,2)="지남")),G217+IF(O217="",설정!$B$36,MIN(P217,60)*설정!$B$37)+MIN(N(H217)/1000*설정!$B$38,20),"")))))</f>
        <v/>
      </c>
      <c r="U217">
        <f>IF(T217="","",COUNTIF(T$4:T$303,"&gt;"&amp;T217)+COUNTIF(T$4:T217,T217))</f>
        <v/>
      </c>
    </row>
    <row r="218">
      <c r="A218">
        <f>IF(B218="","",215)</f>
        <v/>
      </c>
      <c r="B218">
        <f>IFERROR(INDEX('2.현장'!$V$2:$V$1001,MATCH(215,'2.현장'!$W$2:$W$1001,0)),"")</f>
        <v/>
      </c>
      <c r="C218">
        <f>IF(B218="","",COUNTIFS('2.현장'!$V$2:$V$1001,B218,'2.현장'!$T$2:$T$1001,TRUE))</f>
        <v/>
      </c>
      <c r="D218">
        <f>IF(B218="","",COUNTIFS('2.현장'!$V$2:$V$1001,B218,'2.현장'!$U$2:$U$1001,"설계사"))</f>
        <v/>
      </c>
      <c r="E218">
        <f>IF(B218="","",COUNTIFS('2.현장'!$V$2:$V$1001,B218,'2.현장'!$U$2:$U$1001,"시공사"))</f>
        <v/>
      </c>
      <c r="F218">
        <f>IF(B218="","",COUNTIFS('2.현장'!$V$2:$V$1001,B218,'2.현장'!$T$2:$T$1001,TRUE,'2.현장'!$AA$2:$AA$1001,"★"))</f>
        <v/>
      </c>
      <c r="G218" s="6">
        <f>IF(B218="","",SUMIFS('2.현장'!$AB$2:$AB$1001,'2.현장'!$V$2:$V$1001,B218,'2.현장'!$T$2:$T$1001,TRUE))</f>
        <v/>
      </c>
      <c r="H218" s="5">
        <f>IF(B218="","",_xlfn.MAXIFS('2.현장'!$D$2:$D$1001,'2.현장'!$V$2:$V$1001,B218,'2.현장'!$T$2:$T$1001,TRUE))</f>
        <v/>
      </c>
      <c r="I218" s="7">
        <f>IF(B218="","",IF(_xlfn.MAXIFS('2.현장'!$L$2:$L$1001,'2.현장'!$V$2:$V$1001,B218,'2.현장'!$T$2:$T$1001,TRUE)=0,"",_xlfn.MAXIFS('2.현장'!$L$2:$L$1001,'2.현장'!$V$2:$V$1001,B218,'2.현장'!$T$2:$T$1001,TRUE)))</f>
        <v/>
      </c>
      <c r="J218" s="7">
        <f>IF(B218="","",IF(_xlfn.MAXIFS('2.현장'!$M$2:$M$1001,'2.현장'!$V$2:$V$1001,B218,'2.현장'!$T$2:$T$1001,TRUE)=0,"",_xlfn.MAXIFS('2.현장'!$M$2:$M$1001,'2.현장'!$V$2:$V$1001,B218,'2.현장'!$T$2:$T$1001,TRUE)))</f>
        <v/>
      </c>
      <c r="K218">
        <f>IF(B218="","",IFERROR(INDEX('2.현장'!$C$2:$C$1001,IFERROR(MATCH(B218&amp;"|설계사",'2.현장'!$Z$2:$Z$1001,0),IFERROR(MATCH(B218&amp;"|시공사",'2.현장'!$Z$2:$Z$1001,0),MATCH(B218&amp;"|늦음",'2.현장'!$Z$2:$Z$1001,0)))),""))</f>
        <v/>
      </c>
      <c r="L218">
        <f>IF(B218="","",IFERROR(INDEX('2.현장'!$N$2:$N$1001,IFERROR(MATCH(B218&amp;"|설계사",'2.현장'!$Z$2:$Z$1001,0),IFERROR(MATCH(B218&amp;"|시공사",'2.현장'!$Z$2:$Z$1001,0),MATCH(B218&amp;"|늦음",'2.현장'!$Z$2:$Z$1001,0)))),""))</f>
        <v/>
      </c>
      <c r="M218">
        <f>IF(B218="","",IFERROR(VLOOKUP(B218,업체_메모!$A$3:$I$302,2,FALSE)&amp;"",""))</f>
        <v/>
      </c>
      <c r="N218">
        <f>IF(B218="","",IFERROR(VLOOKUP(B218,업체_메모!$A$3:$I$302,4,FALSE)&amp;"",""))</f>
        <v/>
      </c>
      <c r="O218" s="7">
        <f>IF(B218="","",IF(COUNTIF('4.방문기록'!$B$3:$B$502,B218)=0,"",_xlfn.MAXIFS('4.방문기록'!$A$3:$A$502,'4.방문기록'!$B$3:$B$502,B218)))</f>
        <v/>
      </c>
      <c r="P218">
        <f>IF(O218="","",설정!$B$24-O218)</f>
        <v/>
      </c>
      <c r="Q218" s="7">
        <f>IF(B218="","",IF(_xlfn.MAXIFS('4.방문기록'!$F$3:$F$502,'4.방문기록'!$B$3:$B$502,B218)=0,"",_xlfn.MAXIFS('4.방문기록'!$F$3:$F$502,'4.방문기록'!$B$3:$B$502,B218)))</f>
        <v/>
      </c>
      <c r="R218">
        <f>IF(O218="","",IFERROR(INDEX('4.방문기록'!$H$3:$H$502,MATCH(B218&amp;"|"&amp;(O218*1),'4.방문기록'!$I$3:$I$502,0))&amp;"",""))</f>
        <v/>
      </c>
      <c r="S218">
        <f>IF(B218="","",IF(R218="관심 없음","제외",IF(O218="","안 가봄",IF(P218&gt;=설정!$B$20,P218&amp;"일 지남","최근 방문"))))</f>
        <v/>
      </c>
      <c r="T218" s="8">
        <f>IF(B218="","",IF(S218="제외","",IF(AND(설정!$B$21&lt;&gt;"",L218&lt;&gt;설정!$B$21),"",IF(AND(Q218&lt;&gt;"",Q218&gt;N(O218),Q218&lt;=설정!$B$24+7),설정!$B$39+7-(Q218-설정!$B$24),IF(AND(G218&gt;0,OR(S218="안 가봄",RIGHT(S218,2)="지남")),G218+IF(O218="",설정!$B$36,MIN(P218,60)*설정!$B$37)+MIN(N(H218)/1000*설정!$B$38,20),"")))))</f>
        <v/>
      </c>
      <c r="U218">
        <f>IF(T218="","",COUNTIF(T$4:T$303,"&gt;"&amp;T218)+COUNTIF(T$4:T218,T218))</f>
        <v/>
      </c>
    </row>
    <row r="219">
      <c r="A219">
        <f>IF(B219="","",216)</f>
        <v/>
      </c>
      <c r="B219">
        <f>IFERROR(INDEX('2.현장'!$V$2:$V$1001,MATCH(216,'2.현장'!$W$2:$W$1001,0)),"")</f>
        <v/>
      </c>
      <c r="C219">
        <f>IF(B219="","",COUNTIFS('2.현장'!$V$2:$V$1001,B219,'2.현장'!$T$2:$T$1001,TRUE))</f>
        <v/>
      </c>
      <c r="D219">
        <f>IF(B219="","",COUNTIFS('2.현장'!$V$2:$V$1001,B219,'2.현장'!$U$2:$U$1001,"설계사"))</f>
        <v/>
      </c>
      <c r="E219">
        <f>IF(B219="","",COUNTIFS('2.현장'!$V$2:$V$1001,B219,'2.현장'!$U$2:$U$1001,"시공사"))</f>
        <v/>
      </c>
      <c r="F219">
        <f>IF(B219="","",COUNTIFS('2.현장'!$V$2:$V$1001,B219,'2.현장'!$T$2:$T$1001,TRUE,'2.현장'!$AA$2:$AA$1001,"★"))</f>
        <v/>
      </c>
      <c r="G219" s="6">
        <f>IF(B219="","",SUMIFS('2.현장'!$AB$2:$AB$1001,'2.현장'!$V$2:$V$1001,B219,'2.현장'!$T$2:$T$1001,TRUE))</f>
        <v/>
      </c>
      <c r="H219" s="5">
        <f>IF(B219="","",_xlfn.MAXIFS('2.현장'!$D$2:$D$1001,'2.현장'!$V$2:$V$1001,B219,'2.현장'!$T$2:$T$1001,TRUE))</f>
        <v/>
      </c>
      <c r="I219" s="7">
        <f>IF(B219="","",IF(_xlfn.MAXIFS('2.현장'!$L$2:$L$1001,'2.현장'!$V$2:$V$1001,B219,'2.현장'!$T$2:$T$1001,TRUE)=0,"",_xlfn.MAXIFS('2.현장'!$L$2:$L$1001,'2.현장'!$V$2:$V$1001,B219,'2.현장'!$T$2:$T$1001,TRUE)))</f>
        <v/>
      </c>
      <c r="J219" s="7">
        <f>IF(B219="","",IF(_xlfn.MAXIFS('2.현장'!$M$2:$M$1001,'2.현장'!$V$2:$V$1001,B219,'2.현장'!$T$2:$T$1001,TRUE)=0,"",_xlfn.MAXIFS('2.현장'!$M$2:$M$1001,'2.현장'!$V$2:$V$1001,B219,'2.현장'!$T$2:$T$1001,TRUE)))</f>
        <v/>
      </c>
      <c r="K219">
        <f>IF(B219="","",IFERROR(INDEX('2.현장'!$C$2:$C$1001,IFERROR(MATCH(B219&amp;"|설계사",'2.현장'!$Z$2:$Z$1001,0),IFERROR(MATCH(B219&amp;"|시공사",'2.현장'!$Z$2:$Z$1001,0),MATCH(B219&amp;"|늦음",'2.현장'!$Z$2:$Z$1001,0)))),""))</f>
        <v/>
      </c>
      <c r="L219">
        <f>IF(B219="","",IFERROR(INDEX('2.현장'!$N$2:$N$1001,IFERROR(MATCH(B219&amp;"|설계사",'2.현장'!$Z$2:$Z$1001,0),IFERROR(MATCH(B219&amp;"|시공사",'2.현장'!$Z$2:$Z$1001,0),MATCH(B219&amp;"|늦음",'2.현장'!$Z$2:$Z$1001,0)))),""))</f>
        <v/>
      </c>
      <c r="M219">
        <f>IF(B219="","",IFERROR(VLOOKUP(B219,업체_메모!$A$3:$I$302,2,FALSE)&amp;"",""))</f>
        <v/>
      </c>
      <c r="N219">
        <f>IF(B219="","",IFERROR(VLOOKUP(B219,업체_메모!$A$3:$I$302,4,FALSE)&amp;"",""))</f>
        <v/>
      </c>
      <c r="O219" s="7">
        <f>IF(B219="","",IF(COUNTIF('4.방문기록'!$B$3:$B$502,B219)=0,"",_xlfn.MAXIFS('4.방문기록'!$A$3:$A$502,'4.방문기록'!$B$3:$B$502,B219)))</f>
        <v/>
      </c>
      <c r="P219">
        <f>IF(O219="","",설정!$B$24-O219)</f>
        <v/>
      </c>
      <c r="Q219" s="7">
        <f>IF(B219="","",IF(_xlfn.MAXIFS('4.방문기록'!$F$3:$F$502,'4.방문기록'!$B$3:$B$502,B219)=0,"",_xlfn.MAXIFS('4.방문기록'!$F$3:$F$502,'4.방문기록'!$B$3:$B$502,B219)))</f>
        <v/>
      </c>
      <c r="R219">
        <f>IF(O219="","",IFERROR(INDEX('4.방문기록'!$H$3:$H$502,MATCH(B219&amp;"|"&amp;(O219*1),'4.방문기록'!$I$3:$I$502,0))&amp;"",""))</f>
        <v/>
      </c>
      <c r="S219">
        <f>IF(B219="","",IF(R219="관심 없음","제외",IF(O219="","안 가봄",IF(P219&gt;=설정!$B$20,P219&amp;"일 지남","최근 방문"))))</f>
        <v/>
      </c>
      <c r="T219" s="8">
        <f>IF(B219="","",IF(S219="제외","",IF(AND(설정!$B$21&lt;&gt;"",L219&lt;&gt;설정!$B$21),"",IF(AND(Q219&lt;&gt;"",Q219&gt;N(O219),Q219&lt;=설정!$B$24+7),설정!$B$39+7-(Q219-설정!$B$24),IF(AND(G219&gt;0,OR(S219="안 가봄",RIGHT(S219,2)="지남")),G219+IF(O219="",설정!$B$36,MIN(P219,60)*설정!$B$37)+MIN(N(H219)/1000*설정!$B$38,20),"")))))</f>
        <v/>
      </c>
      <c r="U219">
        <f>IF(T219="","",COUNTIF(T$4:T$303,"&gt;"&amp;T219)+COUNTIF(T$4:T219,T219))</f>
        <v/>
      </c>
    </row>
    <row r="220">
      <c r="A220">
        <f>IF(B220="","",217)</f>
        <v/>
      </c>
      <c r="B220">
        <f>IFERROR(INDEX('2.현장'!$V$2:$V$1001,MATCH(217,'2.현장'!$W$2:$W$1001,0)),"")</f>
        <v/>
      </c>
      <c r="C220">
        <f>IF(B220="","",COUNTIFS('2.현장'!$V$2:$V$1001,B220,'2.현장'!$T$2:$T$1001,TRUE))</f>
        <v/>
      </c>
      <c r="D220">
        <f>IF(B220="","",COUNTIFS('2.현장'!$V$2:$V$1001,B220,'2.현장'!$U$2:$U$1001,"설계사"))</f>
        <v/>
      </c>
      <c r="E220">
        <f>IF(B220="","",COUNTIFS('2.현장'!$V$2:$V$1001,B220,'2.현장'!$U$2:$U$1001,"시공사"))</f>
        <v/>
      </c>
      <c r="F220">
        <f>IF(B220="","",COUNTIFS('2.현장'!$V$2:$V$1001,B220,'2.현장'!$T$2:$T$1001,TRUE,'2.현장'!$AA$2:$AA$1001,"★"))</f>
        <v/>
      </c>
      <c r="G220" s="6">
        <f>IF(B220="","",SUMIFS('2.현장'!$AB$2:$AB$1001,'2.현장'!$V$2:$V$1001,B220,'2.현장'!$T$2:$T$1001,TRUE))</f>
        <v/>
      </c>
      <c r="H220" s="5">
        <f>IF(B220="","",_xlfn.MAXIFS('2.현장'!$D$2:$D$1001,'2.현장'!$V$2:$V$1001,B220,'2.현장'!$T$2:$T$1001,TRUE))</f>
        <v/>
      </c>
      <c r="I220" s="7">
        <f>IF(B220="","",IF(_xlfn.MAXIFS('2.현장'!$L$2:$L$1001,'2.현장'!$V$2:$V$1001,B220,'2.현장'!$T$2:$T$1001,TRUE)=0,"",_xlfn.MAXIFS('2.현장'!$L$2:$L$1001,'2.현장'!$V$2:$V$1001,B220,'2.현장'!$T$2:$T$1001,TRUE)))</f>
        <v/>
      </c>
      <c r="J220" s="7">
        <f>IF(B220="","",IF(_xlfn.MAXIFS('2.현장'!$M$2:$M$1001,'2.현장'!$V$2:$V$1001,B220,'2.현장'!$T$2:$T$1001,TRUE)=0,"",_xlfn.MAXIFS('2.현장'!$M$2:$M$1001,'2.현장'!$V$2:$V$1001,B220,'2.현장'!$T$2:$T$1001,TRUE)))</f>
        <v/>
      </c>
      <c r="K220">
        <f>IF(B220="","",IFERROR(INDEX('2.현장'!$C$2:$C$1001,IFERROR(MATCH(B220&amp;"|설계사",'2.현장'!$Z$2:$Z$1001,0),IFERROR(MATCH(B220&amp;"|시공사",'2.현장'!$Z$2:$Z$1001,0),MATCH(B220&amp;"|늦음",'2.현장'!$Z$2:$Z$1001,0)))),""))</f>
        <v/>
      </c>
      <c r="L220">
        <f>IF(B220="","",IFERROR(INDEX('2.현장'!$N$2:$N$1001,IFERROR(MATCH(B220&amp;"|설계사",'2.현장'!$Z$2:$Z$1001,0),IFERROR(MATCH(B220&amp;"|시공사",'2.현장'!$Z$2:$Z$1001,0),MATCH(B220&amp;"|늦음",'2.현장'!$Z$2:$Z$1001,0)))),""))</f>
        <v/>
      </c>
      <c r="M220">
        <f>IF(B220="","",IFERROR(VLOOKUP(B220,업체_메모!$A$3:$I$302,2,FALSE)&amp;"",""))</f>
        <v/>
      </c>
      <c r="N220">
        <f>IF(B220="","",IFERROR(VLOOKUP(B220,업체_메모!$A$3:$I$302,4,FALSE)&amp;"",""))</f>
        <v/>
      </c>
      <c r="O220" s="7">
        <f>IF(B220="","",IF(COUNTIF('4.방문기록'!$B$3:$B$502,B220)=0,"",_xlfn.MAXIFS('4.방문기록'!$A$3:$A$502,'4.방문기록'!$B$3:$B$502,B220)))</f>
        <v/>
      </c>
      <c r="P220">
        <f>IF(O220="","",설정!$B$24-O220)</f>
        <v/>
      </c>
      <c r="Q220" s="7">
        <f>IF(B220="","",IF(_xlfn.MAXIFS('4.방문기록'!$F$3:$F$502,'4.방문기록'!$B$3:$B$502,B220)=0,"",_xlfn.MAXIFS('4.방문기록'!$F$3:$F$502,'4.방문기록'!$B$3:$B$502,B220)))</f>
        <v/>
      </c>
      <c r="R220">
        <f>IF(O220="","",IFERROR(INDEX('4.방문기록'!$H$3:$H$502,MATCH(B220&amp;"|"&amp;(O220*1),'4.방문기록'!$I$3:$I$502,0))&amp;"",""))</f>
        <v/>
      </c>
      <c r="S220">
        <f>IF(B220="","",IF(R220="관심 없음","제외",IF(O220="","안 가봄",IF(P220&gt;=설정!$B$20,P220&amp;"일 지남","최근 방문"))))</f>
        <v/>
      </c>
      <c r="T220" s="8">
        <f>IF(B220="","",IF(S220="제외","",IF(AND(설정!$B$21&lt;&gt;"",L220&lt;&gt;설정!$B$21),"",IF(AND(Q220&lt;&gt;"",Q220&gt;N(O220),Q220&lt;=설정!$B$24+7),설정!$B$39+7-(Q220-설정!$B$24),IF(AND(G220&gt;0,OR(S220="안 가봄",RIGHT(S220,2)="지남")),G220+IF(O220="",설정!$B$36,MIN(P220,60)*설정!$B$37)+MIN(N(H220)/1000*설정!$B$38,20),"")))))</f>
        <v/>
      </c>
      <c r="U220">
        <f>IF(T220="","",COUNTIF(T$4:T$303,"&gt;"&amp;T220)+COUNTIF(T$4:T220,T220))</f>
        <v/>
      </c>
    </row>
    <row r="221">
      <c r="A221">
        <f>IF(B221="","",218)</f>
        <v/>
      </c>
      <c r="B221">
        <f>IFERROR(INDEX('2.현장'!$V$2:$V$1001,MATCH(218,'2.현장'!$W$2:$W$1001,0)),"")</f>
        <v/>
      </c>
      <c r="C221">
        <f>IF(B221="","",COUNTIFS('2.현장'!$V$2:$V$1001,B221,'2.현장'!$T$2:$T$1001,TRUE))</f>
        <v/>
      </c>
      <c r="D221">
        <f>IF(B221="","",COUNTIFS('2.현장'!$V$2:$V$1001,B221,'2.현장'!$U$2:$U$1001,"설계사"))</f>
        <v/>
      </c>
      <c r="E221">
        <f>IF(B221="","",COUNTIFS('2.현장'!$V$2:$V$1001,B221,'2.현장'!$U$2:$U$1001,"시공사"))</f>
        <v/>
      </c>
      <c r="F221">
        <f>IF(B221="","",COUNTIFS('2.현장'!$V$2:$V$1001,B221,'2.현장'!$T$2:$T$1001,TRUE,'2.현장'!$AA$2:$AA$1001,"★"))</f>
        <v/>
      </c>
      <c r="G221" s="6">
        <f>IF(B221="","",SUMIFS('2.현장'!$AB$2:$AB$1001,'2.현장'!$V$2:$V$1001,B221,'2.현장'!$T$2:$T$1001,TRUE))</f>
        <v/>
      </c>
      <c r="H221" s="5">
        <f>IF(B221="","",_xlfn.MAXIFS('2.현장'!$D$2:$D$1001,'2.현장'!$V$2:$V$1001,B221,'2.현장'!$T$2:$T$1001,TRUE))</f>
        <v/>
      </c>
      <c r="I221" s="7">
        <f>IF(B221="","",IF(_xlfn.MAXIFS('2.현장'!$L$2:$L$1001,'2.현장'!$V$2:$V$1001,B221,'2.현장'!$T$2:$T$1001,TRUE)=0,"",_xlfn.MAXIFS('2.현장'!$L$2:$L$1001,'2.현장'!$V$2:$V$1001,B221,'2.현장'!$T$2:$T$1001,TRUE)))</f>
        <v/>
      </c>
      <c r="J221" s="7">
        <f>IF(B221="","",IF(_xlfn.MAXIFS('2.현장'!$M$2:$M$1001,'2.현장'!$V$2:$V$1001,B221,'2.현장'!$T$2:$T$1001,TRUE)=0,"",_xlfn.MAXIFS('2.현장'!$M$2:$M$1001,'2.현장'!$V$2:$V$1001,B221,'2.현장'!$T$2:$T$1001,TRUE)))</f>
        <v/>
      </c>
      <c r="K221">
        <f>IF(B221="","",IFERROR(INDEX('2.현장'!$C$2:$C$1001,IFERROR(MATCH(B221&amp;"|설계사",'2.현장'!$Z$2:$Z$1001,0),IFERROR(MATCH(B221&amp;"|시공사",'2.현장'!$Z$2:$Z$1001,0),MATCH(B221&amp;"|늦음",'2.현장'!$Z$2:$Z$1001,0)))),""))</f>
        <v/>
      </c>
      <c r="L221">
        <f>IF(B221="","",IFERROR(INDEX('2.현장'!$N$2:$N$1001,IFERROR(MATCH(B221&amp;"|설계사",'2.현장'!$Z$2:$Z$1001,0),IFERROR(MATCH(B221&amp;"|시공사",'2.현장'!$Z$2:$Z$1001,0),MATCH(B221&amp;"|늦음",'2.현장'!$Z$2:$Z$1001,0)))),""))</f>
        <v/>
      </c>
      <c r="M221">
        <f>IF(B221="","",IFERROR(VLOOKUP(B221,업체_메모!$A$3:$I$302,2,FALSE)&amp;"",""))</f>
        <v/>
      </c>
      <c r="N221">
        <f>IF(B221="","",IFERROR(VLOOKUP(B221,업체_메모!$A$3:$I$302,4,FALSE)&amp;"",""))</f>
        <v/>
      </c>
      <c r="O221" s="7">
        <f>IF(B221="","",IF(COUNTIF('4.방문기록'!$B$3:$B$502,B221)=0,"",_xlfn.MAXIFS('4.방문기록'!$A$3:$A$502,'4.방문기록'!$B$3:$B$502,B221)))</f>
        <v/>
      </c>
      <c r="P221">
        <f>IF(O221="","",설정!$B$24-O221)</f>
        <v/>
      </c>
      <c r="Q221" s="7">
        <f>IF(B221="","",IF(_xlfn.MAXIFS('4.방문기록'!$F$3:$F$502,'4.방문기록'!$B$3:$B$502,B221)=0,"",_xlfn.MAXIFS('4.방문기록'!$F$3:$F$502,'4.방문기록'!$B$3:$B$502,B221)))</f>
        <v/>
      </c>
      <c r="R221">
        <f>IF(O221="","",IFERROR(INDEX('4.방문기록'!$H$3:$H$502,MATCH(B221&amp;"|"&amp;(O221*1),'4.방문기록'!$I$3:$I$502,0))&amp;"",""))</f>
        <v/>
      </c>
      <c r="S221">
        <f>IF(B221="","",IF(R221="관심 없음","제외",IF(O221="","안 가봄",IF(P221&gt;=설정!$B$20,P221&amp;"일 지남","최근 방문"))))</f>
        <v/>
      </c>
      <c r="T221" s="8">
        <f>IF(B221="","",IF(S221="제외","",IF(AND(설정!$B$21&lt;&gt;"",L221&lt;&gt;설정!$B$21),"",IF(AND(Q221&lt;&gt;"",Q221&gt;N(O221),Q221&lt;=설정!$B$24+7),설정!$B$39+7-(Q221-설정!$B$24),IF(AND(G221&gt;0,OR(S221="안 가봄",RIGHT(S221,2)="지남")),G221+IF(O221="",설정!$B$36,MIN(P221,60)*설정!$B$37)+MIN(N(H221)/1000*설정!$B$38,20),"")))))</f>
        <v/>
      </c>
      <c r="U221">
        <f>IF(T221="","",COUNTIF(T$4:T$303,"&gt;"&amp;T221)+COUNTIF(T$4:T221,T221))</f>
        <v/>
      </c>
    </row>
    <row r="222">
      <c r="A222">
        <f>IF(B222="","",219)</f>
        <v/>
      </c>
      <c r="B222">
        <f>IFERROR(INDEX('2.현장'!$V$2:$V$1001,MATCH(219,'2.현장'!$W$2:$W$1001,0)),"")</f>
        <v/>
      </c>
      <c r="C222">
        <f>IF(B222="","",COUNTIFS('2.현장'!$V$2:$V$1001,B222,'2.현장'!$T$2:$T$1001,TRUE))</f>
        <v/>
      </c>
      <c r="D222">
        <f>IF(B222="","",COUNTIFS('2.현장'!$V$2:$V$1001,B222,'2.현장'!$U$2:$U$1001,"설계사"))</f>
        <v/>
      </c>
      <c r="E222">
        <f>IF(B222="","",COUNTIFS('2.현장'!$V$2:$V$1001,B222,'2.현장'!$U$2:$U$1001,"시공사"))</f>
        <v/>
      </c>
      <c r="F222">
        <f>IF(B222="","",COUNTIFS('2.현장'!$V$2:$V$1001,B222,'2.현장'!$T$2:$T$1001,TRUE,'2.현장'!$AA$2:$AA$1001,"★"))</f>
        <v/>
      </c>
      <c r="G222" s="6">
        <f>IF(B222="","",SUMIFS('2.현장'!$AB$2:$AB$1001,'2.현장'!$V$2:$V$1001,B222,'2.현장'!$T$2:$T$1001,TRUE))</f>
        <v/>
      </c>
      <c r="H222" s="5">
        <f>IF(B222="","",_xlfn.MAXIFS('2.현장'!$D$2:$D$1001,'2.현장'!$V$2:$V$1001,B222,'2.현장'!$T$2:$T$1001,TRUE))</f>
        <v/>
      </c>
      <c r="I222" s="7">
        <f>IF(B222="","",IF(_xlfn.MAXIFS('2.현장'!$L$2:$L$1001,'2.현장'!$V$2:$V$1001,B222,'2.현장'!$T$2:$T$1001,TRUE)=0,"",_xlfn.MAXIFS('2.현장'!$L$2:$L$1001,'2.현장'!$V$2:$V$1001,B222,'2.현장'!$T$2:$T$1001,TRUE)))</f>
        <v/>
      </c>
      <c r="J222" s="7">
        <f>IF(B222="","",IF(_xlfn.MAXIFS('2.현장'!$M$2:$M$1001,'2.현장'!$V$2:$V$1001,B222,'2.현장'!$T$2:$T$1001,TRUE)=0,"",_xlfn.MAXIFS('2.현장'!$M$2:$M$1001,'2.현장'!$V$2:$V$1001,B222,'2.현장'!$T$2:$T$1001,TRUE)))</f>
        <v/>
      </c>
      <c r="K222">
        <f>IF(B222="","",IFERROR(INDEX('2.현장'!$C$2:$C$1001,IFERROR(MATCH(B222&amp;"|설계사",'2.현장'!$Z$2:$Z$1001,0),IFERROR(MATCH(B222&amp;"|시공사",'2.현장'!$Z$2:$Z$1001,0),MATCH(B222&amp;"|늦음",'2.현장'!$Z$2:$Z$1001,0)))),""))</f>
        <v/>
      </c>
      <c r="L222">
        <f>IF(B222="","",IFERROR(INDEX('2.현장'!$N$2:$N$1001,IFERROR(MATCH(B222&amp;"|설계사",'2.현장'!$Z$2:$Z$1001,0),IFERROR(MATCH(B222&amp;"|시공사",'2.현장'!$Z$2:$Z$1001,0),MATCH(B222&amp;"|늦음",'2.현장'!$Z$2:$Z$1001,0)))),""))</f>
        <v/>
      </c>
      <c r="M222">
        <f>IF(B222="","",IFERROR(VLOOKUP(B222,업체_메모!$A$3:$I$302,2,FALSE)&amp;"",""))</f>
        <v/>
      </c>
      <c r="N222">
        <f>IF(B222="","",IFERROR(VLOOKUP(B222,업체_메모!$A$3:$I$302,4,FALSE)&amp;"",""))</f>
        <v/>
      </c>
      <c r="O222" s="7">
        <f>IF(B222="","",IF(COUNTIF('4.방문기록'!$B$3:$B$502,B222)=0,"",_xlfn.MAXIFS('4.방문기록'!$A$3:$A$502,'4.방문기록'!$B$3:$B$502,B222)))</f>
        <v/>
      </c>
      <c r="P222">
        <f>IF(O222="","",설정!$B$24-O222)</f>
        <v/>
      </c>
      <c r="Q222" s="7">
        <f>IF(B222="","",IF(_xlfn.MAXIFS('4.방문기록'!$F$3:$F$502,'4.방문기록'!$B$3:$B$502,B222)=0,"",_xlfn.MAXIFS('4.방문기록'!$F$3:$F$502,'4.방문기록'!$B$3:$B$502,B222)))</f>
        <v/>
      </c>
      <c r="R222">
        <f>IF(O222="","",IFERROR(INDEX('4.방문기록'!$H$3:$H$502,MATCH(B222&amp;"|"&amp;(O222*1),'4.방문기록'!$I$3:$I$502,0))&amp;"",""))</f>
        <v/>
      </c>
      <c r="S222">
        <f>IF(B222="","",IF(R222="관심 없음","제외",IF(O222="","안 가봄",IF(P222&gt;=설정!$B$20,P222&amp;"일 지남","최근 방문"))))</f>
        <v/>
      </c>
      <c r="T222" s="8">
        <f>IF(B222="","",IF(S222="제외","",IF(AND(설정!$B$21&lt;&gt;"",L222&lt;&gt;설정!$B$21),"",IF(AND(Q222&lt;&gt;"",Q222&gt;N(O222),Q222&lt;=설정!$B$24+7),설정!$B$39+7-(Q222-설정!$B$24),IF(AND(G222&gt;0,OR(S222="안 가봄",RIGHT(S222,2)="지남")),G222+IF(O222="",설정!$B$36,MIN(P222,60)*설정!$B$37)+MIN(N(H222)/1000*설정!$B$38,20),"")))))</f>
        <v/>
      </c>
      <c r="U222">
        <f>IF(T222="","",COUNTIF(T$4:T$303,"&gt;"&amp;T222)+COUNTIF(T$4:T222,T222))</f>
        <v/>
      </c>
    </row>
    <row r="223">
      <c r="A223">
        <f>IF(B223="","",220)</f>
        <v/>
      </c>
      <c r="B223">
        <f>IFERROR(INDEX('2.현장'!$V$2:$V$1001,MATCH(220,'2.현장'!$W$2:$W$1001,0)),"")</f>
        <v/>
      </c>
      <c r="C223">
        <f>IF(B223="","",COUNTIFS('2.현장'!$V$2:$V$1001,B223,'2.현장'!$T$2:$T$1001,TRUE))</f>
        <v/>
      </c>
      <c r="D223">
        <f>IF(B223="","",COUNTIFS('2.현장'!$V$2:$V$1001,B223,'2.현장'!$U$2:$U$1001,"설계사"))</f>
        <v/>
      </c>
      <c r="E223">
        <f>IF(B223="","",COUNTIFS('2.현장'!$V$2:$V$1001,B223,'2.현장'!$U$2:$U$1001,"시공사"))</f>
        <v/>
      </c>
      <c r="F223">
        <f>IF(B223="","",COUNTIFS('2.현장'!$V$2:$V$1001,B223,'2.현장'!$T$2:$T$1001,TRUE,'2.현장'!$AA$2:$AA$1001,"★"))</f>
        <v/>
      </c>
      <c r="G223" s="6">
        <f>IF(B223="","",SUMIFS('2.현장'!$AB$2:$AB$1001,'2.현장'!$V$2:$V$1001,B223,'2.현장'!$T$2:$T$1001,TRUE))</f>
        <v/>
      </c>
      <c r="H223" s="5">
        <f>IF(B223="","",_xlfn.MAXIFS('2.현장'!$D$2:$D$1001,'2.현장'!$V$2:$V$1001,B223,'2.현장'!$T$2:$T$1001,TRUE))</f>
        <v/>
      </c>
      <c r="I223" s="7">
        <f>IF(B223="","",IF(_xlfn.MAXIFS('2.현장'!$L$2:$L$1001,'2.현장'!$V$2:$V$1001,B223,'2.현장'!$T$2:$T$1001,TRUE)=0,"",_xlfn.MAXIFS('2.현장'!$L$2:$L$1001,'2.현장'!$V$2:$V$1001,B223,'2.현장'!$T$2:$T$1001,TRUE)))</f>
        <v/>
      </c>
      <c r="J223" s="7">
        <f>IF(B223="","",IF(_xlfn.MAXIFS('2.현장'!$M$2:$M$1001,'2.현장'!$V$2:$V$1001,B223,'2.현장'!$T$2:$T$1001,TRUE)=0,"",_xlfn.MAXIFS('2.현장'!$M$2:$M$1001,'2.현장'!$V$2:$V$1001,B223,'2.현장'!$T$2:$T$1001,TRUE)))</f>
        <v/>
      </c>
      <c r="K223">
        <f>IF(B223="","",IFERROR(INDEX('2.현장'!$C$2:$C$1001,IFERROR(MATCH(B223&amp;"|설계사",'2.현장'!$Z$2:$Z$1001,0),IFERROR(MATCH(B223&amp;"|시공사",'2.현장'!$Z$2:$Z$1001,0),MATCH(B223&amp;"|늦음",'2.현장'!$Z$2:$Z$1001,0)))),""))</f>
        <v/>
      </c>
      <c r="L223">
        <f>IF(B223="","",IFERROR(INDEX('2.현장'!$N$2:$N$1001,IFERROR(MATCH(B223&amp;"|설계사",'2.현장'!$Z$2:$Z$1001,0),IFERROR(MATCH(B223&amp;"|시공사",'2.현장'!$Z$2:$Z$1001,0),MATCH(B223&amp;"|늦음",'2.현장'!$Z$2:$Z$1001,0)))),""))</f>
        <v/>
      </c>
      <c r="M223">
        <f>IF(B223="","",IFERROR(VLOOKUP(B223,업체_메모!$A$3:$I$302,2,FALSE)&amp;"",""))</f>
        <v/>
      </c>
      <c r="N223">
        <f>IF(B223="","",IFERROR(VLOOKUP(B223,업체_메모!$A$3:$I$302,4,FALSE)&amp;"",""))</f>
        <v/>
      </c>
      <c r="O223" s="7">
        <f>IF(B223="","",IF(COUNTIF('4.방문기록'!$B$3:$B$502,B223)=0,"",_xlfn.MAXIFS('4.방문기록'!$A$3:$A$502,'4.방문기록'!$B$3:$B$502,B223)))</f>
        <v/>
      </c>
      <c r="P223">
        <f>IF(O223="","",설정!$B$24-O223)</f>
        <v/>
      </c>
      <c r="Q223" s="7">
        <f>IF(B223="","",IF(_xlfn.MAXIFS('4.방문기록'!$F$3:$F$502,'4.방문기록'!$B$3:$B$502,B223)=0,"",_xlfn.MAXIFS('4.방문기록'!$F$3:$F$502,'4.방문기록'!$B$3:$B$502,B223)))</f>
        <v/>
      </c>
      <c r="R223">
        <f>IF(O223="","",IFERROR(INDEX('4.방문기록'!$H$3:$H$502,MATCH(B223&amp;"|"&amp;(O223*1),'4.방문기록'!$I$3:$I$502,0))&amp;"",""))</f>
        <v/>
      </c>
      <c r="S223">
        <f>IF(B223="","",IF(R223="관심 없음","제외",IF(O223="","안 가봄",IF(P223&gt;=설정!$B$20,P223&amp;"일 지남","최근 방문"))))</f>
        <v/>
      </c>
      <c r="T223" s="8">
        <f>IF(B223="","",IF(S223="제외","",IF(AND(설정!$B$21&lt;&gt;"",L223&lt;&gt;설정!$B$21),"",IF(AND(Q223&lt;&gt;"",Q223&gt;N(O223),Q223&lt;=설정!$B$24+7),설정!$B$39+7-(Q223-설정!$B$24),IF(AND(G223&gt;0,OR(S223="안 가봄",RIGHT(S223,2)="지남")),G223+IF(O223="",설정!$B$36,MIN(P223,60)*설정!$B$37)+MIN(N(H223)/1000*설정!$B$38,20),"")))))</f>
        <v/>
      </c>
      <c r="U223">
        <f>IF(T223="","",COUNTIF(T$4:T$303,"&gt;"&amp;T223)+COUNTIF(T$4:T223,T223))</f>
        <v/>
      </c>
    </row>
    <row r="224">
      <c r="A224">
        <f>IF(B224="","",221)</f>
        <v/>
      </c>
      <c r="B224">
        <f>IFERROR(INDEX('2.현장'!$V$2:$V$1001,MATCH(221,'2.현장'!$W$2:$W$1001,0)),"")</f>
        <v/>
      </c>
      <c r="C224">
        <f>IF(B224="","",COUNTIFS('2.현장'!$V$2:$V$1001,B224,'2.현장'!$T$2:$T$1001,TRUE))</f>
        <v/>
      </c>
      <c r="D224">
        <f>IF(B224="","",COUNTIFS('2.현장'!$V$2:$V$1001,B224,'2.현장'!$U$2:$U$1001,"설계사"))</f>
        <v/>
      </c>
      <c r="E224">
        <f>IF(B224="","",COUNTIFS('2.현장'!$V$2:$V$1001,B224,'2.현장'!$U$2:$U$1001,"시공사"))</f>
        <v/>
      </c>
      <c r="F224">
        <f>IF(B224="","",COUNTIFS('2.현장'!$V$2:$V$1001,B224,'2.현장'!$T$2:$T$1001,TRUE,'2.현장'!$AA$2:$AA$1001,"★"))</f>
        <v/>
      </c>
      <c r="G224" s="6">
        <f>IF(B224="","",SUMIFS('2.현장'!$AB$2:$AB$1001,'2.현장'!$V$2:$V$1001,B224,'2.현장'!$T$2:$T$1001,TRUE))</f>
        <v/>
      </c>
      <c r="H224" s="5">
        <f>IF(B224="","",_xlfn.MAXIFS('2.현장'!$D$2:$D$1001,'2.현장'!$V$2:$V$1001,B224,'2.현장'!$T$2:$T$1001,TRUE))</f>
        <v/>
      </c>
      <c r="I224" s="7">
        <f>IF(B224="","",IF(_xlfn.MAXIFS('2.현장'!$L$2:$L$1001,'2.현장'!$V$2:$V$1001,B224,'2.현장'!$T$2:$T$1001,TRUE)=0,"",_xlfn.MAXIFS('2.현장'!$L$2:$L$1001,'2.현장'!$V$2:$V$1001,B224,'2.현장'!$T$2:$T$1001,TRUE)))</f>
        <v/>
      </c>
      <c r="J224" s="7">
        <f>IF(B224="","",IF(_xlfn.MAXIFS('2.현장'!$M$2:$M$1001,'2.현장'!$V$2:$V$1001,B224,'2.현장'!$T$2:$T$1001,TRUE)=0,"",_xlfn.MAXIFS('2.현장'!$M$2:$M$1001,'2.현장'!$V$2:$V$1001,B224,'2.현장'!$T$2:$T$1001,TRUE)))</f>
        <v/>
      </c>
      <c r="K224">
        <f>IF(B224="","",IFERROR(INDEX('2.현장'!$C$2:$C$1001,IFERROR(MATCH(B224&amp;"|설계사",'2.현장'!$Z$2:$Z$1001,0),IFERROR(MATCH(B224&amp;"|시공사",'2.현장'!$Z$2:$Z$1001,0),MATCH(B224&amp;"|늦음",'2.현장'!$Z$2:$Z$1001,0)))),""))</f>
        <v/>
      </c>
      <c r="L224">
        <f>IF(B224="","",IFERROR(INDEX('2.현장'!$N$2:$N$1001,IFERROR(MATCH(B224&amp;"|설계사",'2.현장'!$Z$2:$Z$1001,0),IFERROR(MATCH(B224&amp;"|시공사",'2.현장'!$Z$2:$Z$1001,0),MATCH(B224&amp;"|늦음",'2.현장'!$Z$2:$Z$1001,0)))),""))</f>
        <v/>
      </c>
      <c r="M224">
        <f>IF(B224="","",IFERROR(VLOOKUP(B224,업체_메모!$A$3:$I$302,2,FALSE)&amp;"",""))</f>
        <v/>
      </c>
      <c r="N224">
        <f>IF(B224="","",IFERROR(VLOOKUP(B224,업체_메모!$A$3:$I$302,4,FALSE)&amp;"",""))</f>
        <v/>
      </c>
      <c r="O224" s="7">
        <f>IF(B224="","",IF(COUNTIF('4.방문기록'!$B$3:$B$502,B224)=0,"",_xlfn.MAXIFS('4.방문기록'!$A$3:$A$502,'4.방문기록'!$B$3:$B$502,B224)))</f>
        <v/>
      </c>
      <c r="P224">
        <f>IF(O224="","",설정!$B$24-O224)</f>
        <v/>
      </c>
      <c r="Q224" s="7">
        <f>IF(B224="","",IF(_xlfn.MAXIFS('4.방문기록'!$F$3:$F$502,'4.방문기록'!$B$3:$B$502,B224)=0,"",_xlfn.MAXIFS('4.방문기록'!$F$3:$F$502,'4.방문기록'!$B$3:$B$502,B224)))</f>
        <v/>
      </c>
      <c r="R224">
        <f>IF(O224="","",IFERROR(INDEX('4.방문기록'!$H$3:$H$502,MATCH(B224&amp;"|"&amp;(O224*1),'4.방문기록'!$I$3:$I$502,0))&amp;"",""))</f>
        <v/>
      </c>
      <c r="S224">
        <f>IF(B224="","",IF(R224="관심 없음","제외",IF(O224="","안 가봄",IF(P224&gt;=설정!$B$20,P224&amp;"일 지남","최근 방문"))))</f>
        <v/>
      </c>
      <c r="T224" s="8">
        <f>IF(B224="","",IF(S224="제외","",IF(AND(설정!$B$21&lt;&gt;"",L224&lt;&gt;설정!$B$21),"",IF(AND(Q224&lt;&gt;"",Q224&gt;N(O224),Q224&lt;=설정!$B$24+7),설정!$B$39+7-(Q224-설정!$B$24),IF(AND(G224&gt;0,OR(S224="안 가봄",RIGHT(S224,2)="지남")),G224+IF(O224="",설정!$B$36,MIN(P224,60)*설정!$B$37)+MIN(N(H224)/1000*설정!$B$38,20),"")))))</f>
        <v/>
      </c>
      <c r="U224">
        <f>IF(T224="","",COUNTIF(T$4:T$303,"&gt;"&amp;T224)+COUNTIF(T$4:T224,T224))</f>
        <v/>
      </c>
    </row>
    <row r="225">
      <c r="A225">
        <f>IF(B225="","",222)</f>
        <v/>
      </c>
      <c r="B225">
        <f>IFERROR(INDEX('2.현장'!$V$2:$V$1001,MATCH(222,'2.현장'!$W$2:$W$1001,0)),"")</f>
        <v/>
      </c>
      <c r="C225">
        <f>IF(B225="","",COUNTIFS('2.현장'!$V$2:$V$1001,B225,'2.현장'!$T$2:$T$1001,TRUE))</f>
        <v/>
      </c>
      <c r="D225">
        <f>IF(B225="","",COUNTIFS('2.현장'!$V$2:$V$1001,B225,'2.현장'!$U$2:$U$1001,"설계사"))</f>
        <v/>
      </c>
      <c r="E225">
        <f>IF(B225="","",COUNTIFS('2.현장'!$V$2:$V$1001,B225,'2.현장'!$U$2:$U$1001,"시공사"))</f>
        <v/>
      </c>
      <c r="F225">
        <f>IF(B225="","",COUNTIFS('2.현장'!$V$2:$V$1001,B225,'2.현장'!$T$2:$T$1001,TRUE,'2.현장'!$AA$2:$AA$1001,"★"))</f>
        <v/>
      </c>
      <c r="G225" s="6">
        <f>IF(B225="","",SUMIFS('2.현장'!$AB$2:$AB$1001,'2.현장'!$V$2:$V$1001,B225,'2.현장'!$T$2:$T$1001,TRUE))</f>
        <v/>
      </c>
      <c r="H225" s="5">
        <f>IF(B225="","",_xlfn.MAXIFS('2.현장'!$D$2:$D$1001,'2.현장'!$V$2:$V$1001,B225,'2.현장'!$T$2:$T$1001,TRUE))</f>
        <v/>
      </c>
      <c r="I225" s="7">
        <f>IF(B225="","",IF(_xlfn.MAXIFS('2.현장'!$L$2:$L$1001,'2.현장'!$V$2:$V$1001,B225,'2.현장'!$T$2:$T$1001,TRUE)=0,"",_xlfn.MAXIFS('2.현장'!$L$2:$L$1001,'2.현장'!$V$2:$V$1001,B225,'2.현장'!$T$2:$T$1001,TRUE)))</f>
        <v/>
      </c>
      <c r="J225" s="7">
        <f>IF(B225="","",IF(_xlfn.MAXIFS('2.현장'!$M$2:$M$1001,'2.현장'!$V$2:$V$1001,B225,'2.현장'!$T$2:$T$1001,TRUE)=0,"",_xlfn.MAXIFS('2.현장'!$M$2:$M$1001,'2.현장'!$V$2:$V$1001,B225,'2.현장'!$T$2:$T$1001,TRUE)))</f>
        <v/>
      </c>
      <c r="K225">
        <f>IF(B225="","",IFERROR(INDEX('2.현장'!$C$2:$C$1001,IFERROR(MATCH(B225&amp;"|설계사",'2.현장'!$Z$2:$Z$1001,0),IFERROR(MATCH(B225&amp;"|시공사",'2.현장'!$Z$2:$Z$1001,0),MATCH(B225&amp;"|늦음",'2.현장'!$Z$2:$Z$1001,0)))),""))</f>
        <v/>
      </c>
      <c r="L225">
        <f>IF(B225="","",IFERROR(INDEX('2.현장'!$N$2:$N$1001,IFERROR(MATCH(B225&amp;"|설계사",'2.현장'!$Z$2:$Z$1001,0),IFERROR(MATCH(B225&amp;"|시공사",'2.현장'!$Z$2:$Z$1001,0),MATCH(B225&amp;"|늦음",'2.현장'!$Z$2:$Z$1001,0)))),""))</f>
        <v/>
      </c>
      <c r="M225">
        <f>IF(B225="","",IFERROR(VLOOKUP(B225,업체_메모!$A$3:$I$302,2,FALSE)&amp;"",""))</f>
        <v/>
      </c>
      <c r="N225">
        <f>IF(B225="","",IFERROR(VLOOKUP(B225,업체_메모!$A$3:$I$302,4,FALSE)&amp;"",""))</f>
        <v/>
      </c>
      <c r="O225" s="7">
        <f>IF(B225="","",IF(COUNTIF('4.방문기록'!$B$3:$B$502,B225)=0,"",_xlfn.MAXIFS('4.방문기록'!$A$3:$A$502,'4.방문기록'!$B$3:$B$502,B225)))</f>
        <v/>
      </c>
      <c r="P225">
        <f>IF(O225="","",설정!$B$24-O225)</f>
        <v/>
      </c>
      <c r="Q225" s="7">
        <f>IF(B225="","",IF(_xlfn.MAXIFS('4.방문기록'!$F$3:$F$502,'4.방문기록'!$B$3:$B$502,B225)=0,"",_xlfn.MAXIFS('4.방문기록'!$F$3:$F$502,'4.방문기록'!$B$3:$B$502,B225)))</f>
        <v/>
      </c>
      <c r="R225">
        <f>IF(O225="","",IFERROR(INDEX('4.방문기록'!$H$3:$H$502,MATCH(B225&amp;"|"&amp;(O225*1),'4.방문기록'!$I$3:$I$502,0))&amp;"",""))</f>
        <v/>
      </c>
      <c r="S225">
        <f>IF(B225="","",IF(R225="관심 없음","제외",IF(O225="","안 가봄",IF(P225&gt;=설정!$B$20,P225&amp;"일 지남","최근 방문"))))</f>
        <v/>
      </c>
      <c r="T225" s="8">
        <f>IF(B225="","",IF(S225="제외","",IF(AND(설정!$B$21&lt;&gt;"",L225&lt;&gt;설정!$B$21),"",IF(AND(Q225&lt;&gt;"",Q225&gt;N(O225),Q225&lt;=설정!$B$24+7),설정!$B$39+7-(Q225-설정!$B$24),IF(AND(G225&gt;0,OR(S225="안 가봄",RIGHT(S225,2)="지남")),G225+IF(O225="",설정!$B$36,MIN(P225,60)*설정!$B$37)+MIN(N(H225)/1000*설정!$B$38,20),"")))))</f>
        <v/>
      </c>
      <c r="U225">
        <f>IF(T225="","",COUNTIF(T$4:T$303,"&gt;"&amp;T225)+COUNTIF(T$4:T225,T225))</f>
        <v/>
      </c>
    </row>
    <row r="226">
      <c r="A226">
        <f>IF(B226="","",223)</f>
        <v/>
      </c>
      <c r="B226">
        <f>IFERROR(INDEX('2.현장'!$V$2:$V$1001,MATCH(223,'2.현장'!$W$2:$W$1001,0)),"")</f>
        <v/>
      </c>
      <c r="C226">
        <f>IF(B226="","",COUNTIFS('2.현장'!$V$2:$V$1001,B226,'2.현장'!$T$2:$T$1001,TRUE))</f>
        <v/>
      </c>
      <c r="D226">
        <f>IF(B226="","",COUNTIFS('2.현장'!$V$2:$V$1001,B226,'2.현장'!$U$2:$U$1001,"설계사"))</f>
        <v/>
      </c>
      <c r="E226">
        <f>IF(B226="","",COUNTIFS('2.현장'!$V$2:$V$1001,B226,'2.현장'!$U$2:$U$1001,"시공사"))</f>
        <v/>
      </c>
      <c r="F226">
        <f>IF(B226="","",COUNTIFS('2.현장'!$V$2:$V$1001,B226,'2.현장'!$T$2:$T$1001,TRUE,'2.현장'!$AA$2:$AA$1001,"★"))</f>
        <v/>
      </c>
      <c r="G226" s="6">
        <f>IF(B226="","",SUMIFS('2.현장'!$AB$2:$AB$1001,'2.현장'!$V$2:$V$1001,B226,'2.현장'!$T$2:$T$1001,TRUE))</f>
        <v/>
      </c>
      <c r="H226" s="5">
        <f>IF(B226="","",_xlfn.MAXIFS('2.현장'!$D$2:$D$1001,'2.현장'!$V$2:$V$1001,B226,'2.현장'!$T$2:$T$1001,TRUE))</f>
        <v/>
      </c>
      <c r="I226" s="7">
        <f>IF(B226="","",IF(_xlfn.MAXIFS('2.현장'!$L$2:$L$1001,'2.현장'!$V$2:$V$1001,B226,'2.현장'!$T$2:$T$1001,TRUE)=0,"",_xlfn.MAXIFS('2.현장'!$L$2:$L$1001,'2.현장'!$V$2:$V$1001,B226,'2.현장'!$T$2:$T$1001,TRUE)))</f>
        <v/>
      </c>
      <c r="J226" s="7">
        <f>IF(B226="","",IF(_xlfn.MAXIFS('2.현장'!$M$2:$M$1001,'2.현장'!$V$2:$V$1001,B226,'2.현장'!$T$2:$T$1001,TRUE)=0,"",_xlfn.MAXIFS('2.현장'!$M$2:$M$1001,'2.현장'!$V$2:$V$1001,B226,'2.현장'!$T$2:$T$1001,TRUE)))</f>
        <v/>
      </c>
      <c r="K226">
        <f>IF(B226="","",IFERROR(INDEX('2.현장'!$C$2:$C$1001,IFERROR(MATCH(B226&amp;"|설계사",'2.현장'!$Z$2:$Z$1001,0),IFERROR(MATCH(B226&amp;"|시공사",'2.현장'!$Z$2:$Z$1001,0),MATCH(B226&amp;"|늦음",'2.현장'!$Z$2:$Z$1001,0)))),""))</f>
        <v/>
      </c>
      <c r="L226">
        <f>IF(B226="","",IFERROR(INDEX('2.현장'!$N$2:$N$1001,IFERROR(MATCH(B226&amp;"|설계사",'2.현장'!$Z$2:$Z$1001,0),IFERROR(MATCH(B226&amp;"|시공사",'2.현장'!$Z$2:$Z$1001,0),MATCH(B226&amp;"|늦음",'2.현장'!$Z$2:$Z$1001,0)))),""))</f>
        <v/>
      </c>
      <c r="M226">
        <f>IF(B226="","",IFERROR(VLOOKUP(B226,업체_메모!$A$3:$I$302,2,FALSE)&amp;"",""))</f>
        <v/>
      </c>
      <c r="N226">
        <f>IF(B226="","",IFERROR(VLOOKUP(B226,업체_메모!$A$3:$I$302,4,FALSE)&amp;"",""))</f>
        <v/>
      </c>
      <c r="O226" s="7">
        <f>IF(B226="","",IF(COUNTIF('4.방문기록'!$B$3:$B$502,B226)=0,"",_xlfn.MAXIFS('4.방문기록'!$A$3:$A$502,'4.방문기록'!$B$3:$B$502,B226)))</f>
        <v/>
      </c>
      <c r="P226">
        <f>IF(O226="","",설정!$B$24-O226)</f>
        <v/>
      </c>
      <c r="Q226" s="7">
        <f>IF(B226="","",IF(_xlfn.MAXIFS('4.방문기록'!$F$3:$F$502,'4.방문기록'!$B$3:$B$502,B226)=0,"",_xlfn.MAXIFS('4.방문기록'!$F$3:$F$502,'4.방문기록'!$B$3:$B$502,B226)))</f>
        <v/>
      </c>
      <c r="R226">
        <f>IF(O226="","",IFERROR(INDEX('4.방문기록'!$H$3:$H$502,MATCH(B226&amp;"|"&amp;(O226*1),'4.방문기록'!$I$3:$I$502,0))&amp;"",""))</f>
        <v/>
      </c>
      <c r="S226">
        <f>IF(B226="","",IF(R226="관심 없음","제외",IF(O226="","안 가봄",IF(P226&gt;=설정!$B$20,P226&amp;"일 지남","최근 방문"))))</f>
        <v/>
      </c>
      <c r="T226" s="8">
        <f>IF(B226="","",IF(S226="제외","",IF(AND(설정!$B$21&lt;&gt;"",L226&lt;&gt;설정!$B$21),"",IF(AND(Q226&lt;&gt;"",Q226&gt;N(O226),Q226&lt;=설정!$B$24+7),설정!$B$39+7-(Q226-설정!$B$24),IF(AND(G226&gt;0,OR(S226="안 가봄",RIGHT(S226,2)="지남")),G226+IF(O226="",설정!$B$36,MIN(P226,60)*설정!$B$37)+MIN(N(H226)/1000*설정!$B$38,20),"")))))</f>
        <v/>
      </c>
      <c r="U226">
        <f>IF(T226="","",COUNTIF(T$4:T$303,"&gt;"&amp;T226)+COUNTIF(T$4:T226,T226))</f>
        <v/>
      </c>
    </row>
    <row r="227">
      <c r="A227">
        <f>IF(B227="","",224)</f>
        <v/>
      </c>
      <c r="B227">
        <f>IFERROR(INDEX('2.현장'!$V$2:$V$1001,MATCH(224,'2.현장'!$W$2:$W$1001,0)),"")</f>
        <v/>
      </c>
      <c r="C227">
        <f>IF(B227="","",COUNTIFS('2.현장'!$V$2:$V$1001,B227,'2.현장'!$T$2:$T$1001,TRUE))</f>
        <v/>
      </c>
      <c r="D227">
        <f>IF(B227="","",COUNTIFS('2.현장'!$V$2:$V$1001,B227,'2.현장'!$U$2:$U$1001,"설계사"))</f>
        <v/>
      </c>
      <c r="E227">
        <f>IF(B227="","",COUNTIFS('2.현장'!$V$2:$V$1001,B227,'2.현장'!$U$2:$U$1001,"시공사"))</f>
        <v/>
      </c>
      <c r="F227">
        <f>IF(B227="","",COUNTIFS('2.현장'!$V$2:$V$1001,B227,'2.현장'!$T$2:$T$1001,TRUE,'2.현장'!$AA$2:$AA$1001,"★"))</f>
        <v/>
      </c>
      <c r="G227" s="6">
        <f>IF(B227="","",SUMIFS('2.현장'!$AB$2:$AB$1001,'2.현장'!$V$2:$V$1001,B227,'2.현장'!$T$2:$T$1001,TRUE))</f>
        <v/>
      </c>
      <c r="H227" s="5">
        <f>IF(B227="","",_xlfn.MAXIFS('2.현장'!$D$2:$D$1001,'2.현장'!$V$2:$V$1001,B227,'2.현장'!$T$2:$T$1001,TRUE))</f>
        <v/>
      </c>
      <c r="I227" s="7">
        <f>IF(B227="","",IF(_xlfn.MAXIFS('2.현장'!$L$2:$L$1001,'2.현장'!$V$2:$V$1001,B227,'2.현장'!$T$2:$T$1001,TRUE)=0,"",_xlfn.MAXIFS('2.현장'!$L$2:$L$1001,'2.현장'!$V$2:$V$1001,B227,'2.현장'!$T$2:$T$1001,TRUE)))</f>
        <v/>
      </c>
      <c r="J227" s="7">
        <f>IF(B227="","",IF(_xlfn.MAXIFS('2.현장'!$M$2:$M$1001,'2.현장'!$V$2:$V$1001,B227,'2.현장'!$T$2:$T$1001,TRUE)=0,"",_xlfn.MAXIFS('2.현장'!$M$2:$M$1001,'2.현장'!$V$2:$V$1001,B227,'2.현장'!$T$2:$T$1001,TRUE)))</f>
        <v/>
      </c>
      <c r="K227">
        <f>IF(B227="","",IFERROR(INDEX('2.현장'!$C$2:$C$1001,IFERROR(MATCH(B227&amp;"|설계사",'2.현장'!$Z$2:$Z$1001,0),IFERROR(MATCH(B227&amp;"|시공사",'2.현장'!$Z$2:$Z$1001,0),MATCH(B227&amp;"|늦음",'2.현장'!$Z$2:$Z$1001,0)))),""))</f>
        <v/>
      </c>
      <c r="L227">
        <f>IF(B227="","",IFERROR(INDEX('2.현장'!$N$2:$N$1001,IFERROR(MATCH(B227&amp;"|설계사",'2.현장'!$Z$2:$Z$1001,0),IFERROR(MATCH(B227&amp;"|시공사",'2.현장'!$Z$2:$Z$1001,0),MATCH(B227&amp;"|늦음",'2.현장'!$Z$2:$Z$1001,0)))),""))</f>
        <v/>
      </c>
      <c r="M227">
        <f>IF(B227="","",IFERROR(VLOOKUP(B227,업체_메모!$A$3:$I$302,2,FALSE)&amp;"",""))</f>
        <v/>
      </c>
      <c r="N227">
        <f>IF(B227="","",IFERROR(VLOOKUP(B227,업체_메모!$A$3:$I$302,4,FALSE)&amp;"",""))</f>
        <v/>
      </c>
      <c r="O227" s="7">
        <f>IF(B227="","",IF(COUNTIF('4.방문기록'!$B$3:$B$502,B227)=0,"",_xlfn.MAXIFS('4.방문기록'!$A$3:$A$502,'4.방문기록'!$B$3:$B$502,B227)))</f>
        <v/>
      </c>
      <c r="P227">
        <f>IF(O227="","",설정!$B$24-O227)</f>
        <v/>
      </c>
      <c r="Q227" s="7">
        <f>IF(B227="","",IF(_xlfn.MAXIFS('4.방문기록'!$F$3:$F$502,'4.방문기록'!$B$3:$B$502,B227)=0,"",_xlfn.MAXIFS('4.방문기록'!$F$3:$F$502,'4.방문기록'!$B$3:$B$502,B227)))</f>
        <v/>
      </c>
      <c r="R227">
        <f>IF(O227="","",IFERROR(INDEX('4.방문기록'!$H$3:$H$502,MATCH(B227&amp;"|"&amp;(O227*1),'4.방문기록'!$I$3:$I$502,0))&amp;"",""))</f>
        <v/>
      </c>
      <c r="S227">
        <f>IF(B227="","",IF(R227="관심 없음","제외",IF(O227="","안 가봄",IF(P227&gt;=설정!$B$20,P227&amp;"일 지남","최근 방문"))))</f>
        <v/>
      </c>
      <c r="T227" s="8">
        <f>IF(B227="","",IF(S227="제외","",IF(AND(설정!$B$21&lt;&gt;"",L227&lt;&gt;설정!$B$21),"",IF(AND(Q227&lt;&gt;"",Q227&gt;N(O227),Q227&lt;=설정!$B$24+7),설정!$B$39+7-(Q227-설정!$B$24),IF(AND(G227&gt;0,OR(S227="안 가봄",RIGHT(S227,2)="지남")),G227+IF(O227="",설정!$B$36,MIN(P227,60)*설정!$B$37)+MIN(N(H227)/1000*설정!$B$38,20),"")))))</f>
        <v/>
      </c>
      <c r="U227">
        <f>IF(T227="","",COUNTIF(T$4:T$303,"&gt;"&amp;T227)+COUNTIF(T$4:T227,T227))</f>
        <v/>
      </c>
    </row>
    <row r="228">
      <c r="A228">
        <f>IF(B228="","",225)</f>
        <v/>
      </c>
      <c r="B228">
        <f>IFERROR(INDEX('2.현장'!$V$2:$V$1001,MATCH(225,'2.현장'!$W$2:$W$1001,0)),"")</f>
        <v/>
      </c>
      <c r="C228">
        <f>IF(B228="","",COUNTIFS('2.현장'!$V$2:$V$1001,B228,'2.현장'!$T$2:$T$1001,TRUE))</f>
        <v/>
      </c>
      <c r="D228">
        <f>IF(B228="","",COUNTIFS('2.현장'!$V$2:$V$1001,B228,'2.현장'!$U$2:$U$1001,"설계사"))</f>
        <v/>
      </c>
      <c r="E228">
        <f>IF(B228="","",COUNTIFS('2.현장'!$V$2:$V$1001,B228,'2.현장'!$U$2:$U$1001,"시공사"))</f>
        <v/>
      </c>
      <c r="F228">
        <f>IF(B228="","",COUNTIFS('2.현장'!$V$2:$V$1001,B228,'2.현장'!$T$2:$T$1001,TRUE,'2.현장'!$AA$2:$AA$1001,"★"))</f>
        <v/>
      </c>
      <c r="G228" s="6">
        <f>IF(B228="","",SUMIFS('2.현장'!$AB$2:$AB$1001,'2.현장'!$V$2:$V$1001,B228,'2.현장'!$T$2:$T$1001,TRUE))</f>
        <v/>
      </c>
      <c r="H228" s="5">
        <f>IF(B228="","",_xlfn.MAXIFS('2.현장'!$D$2:$D$1001,'2.현장'!$V$2:$V$1001,B228,'2.현장'!$T$2:$T$1001,TRUE))</f>
        <v/>
      </c>
      <c r="I228" s="7">
        <f>IF(B228="","",IF(_xlfn.MAXIFS('2.현장'!$L$2:$L$1001,'2.현장'!$V$2:$V$1001,B228,'2.현장'!$T$2:$T$1001,TRUE)=0,"",_xlfn.MAXIFS('2.현장'!$L$2:$L$1001,'2.현장'!$V$2:$V$1001,B228,'2.현장'!$T$2:$T$1001,TRUE)))</f>
        <v/>
      </c>
      <c r="J228" s="7">
        <f>IF(B228="","",IF(_xlfn.MAXIFS('2.현장'!$M$2:$M$1001,'2.현장'!$V$2:$V$1001,B228,'2.현장'!$T$2:$T$1001,TRUE)=0,"",_xlfn.MAXIFS('2.현장'!$M$2:$M$1001,'2.현장'!$V$2:$V$1001,B228,'2.현장'!$T$2:$T$1001,TRUE)))</f>
        <v/>
      </c>
      <c r="K228">
        <f>IF(B228="","",IFERROR(INDEX('2.현장'!$C$2:$C$1001,IFERROR(MATCH(B228&amp;"|설계사",'2.현장'!$Z$2:$Z$1001,0),IFERROR(MATCH(B228&amp;"|시공사",'2.현장'!$Z$2:$Z$1001,0),MATCH(B228&amp;"|늦음",'2.현장'!$Z$2:$Z$1001,0)))),""))</f>
        <v/>
      </c>
      <c r="L228">
        <f>IF(B228="","",IFERROR(INDEX('2.현장'!$N$2:$N$1001,IFERROR(MATCH(B228&amp;"|설계사",'2.현장'!$Z$2:$Z$1001,0),IFERROR(MATCH(B228&amp;"|시공사",'2.현장'!$Z$2:$Z$1001,0),MATCH(B228&amp;"|늦음",'2.현장'!$Z$2:$Z$1001,0)))),""))</f>
        <v/>
      </c>
      <c r="M228">
        <f>IF(B228="","",IFERROR(VLOOKUP(B228,업체_메모!$A$3:$I$302,2,FALSE)&amp;"",""))</f>
        <v/>
      </c>
      <c r="N228">
        <f>IF(B228="","",IFERROR(VLOOKUP(B228,업체_메모!$A$3:$I$302,4,FALSE)&amp;"",""))</f>
        <v/>
      </c>
      <c r="O228" s="7">
        <f>IF(B228="","",IF(COUNTIF('4.방문기록'!$B$3:$B$502,B228)=0,"",_xlfn.MAXIFS('4.방문기록'!$A$3:$A$502,'4.방문기록'!$B$3:$B$502,B228)))</f>
        <v/>
      </c>
      <c r="P228">
        <f>IF(O228="","",설정!$B$24-O228)</f>
        <v/>
      </c>
      <c r="Q228" s="7">
        <f>IF(B228="","",IF(_xlfn.MAXIFS('4.방문기록'!$F$3:$F$502,'4.방문기록'!$B$3:$B$502,B228)=0,"",_xlfn.MAXIFS('4.방문기록'!$F$3:$F$502,'4.방문기록'!$B$3:$B$502,B228)))</f>
        <v/>
      </c>
      <c r="R228">
        <f>IF(O228="","",IFERROR(INDEX('4.방문기록'!$H$3:$H$502,MATCH(B228&amp;"|"&amp;(O228*1),'4.방문기록'!$I$3:$I$502,0))&amp;"",""))</f>
        <v/>
      </c>
      <c r="S228">
        <f>IF(B228="","",IF(R228="관심 없음","제외",IF(O228="","안 가봄",IF(P228&gt;=설정!$B$20,P228&amp;"일 지남","최근 방문"))))</f>
        <v/>
      </c>
      <c r="T228" s="8">
        <f>IF(B228="","",IF(S228="제외","",IF(AND(설정!$B$21&lt;&gt;"",L228&lt;&gt;설정!$B$21),"",IF(AND(Q228&lt;&gt;"",Q228&gt;N(O228),Q228&lt;=설정!$B$24+7),설정!$B$39+7-(Q228-설정!$B$24),IF(AND(G228&gt;0,OR(S228="안 가봄",RIGHT(S228,2)="지남")),G228+IF(O228="",설정!$B$36,MIN(P228,60)*설정!$B$37)+MIN(N(H228)/1000*설정!$B$38,20),"")))))</f>
        <v/>
      </c>
      <c r="U228">
        <f>IF(T228="","",COUNTIF(T$4:T$303,"&gt;"&amp;T228)+COUNTIF(T$4:T228,T228))</f>
        <v/>
      </c>
    </row>
    <row r="229">
      <c r="A229">
        <f>IF(B229="","",226)</f>
        <v/>
      </c>
      <c r="B229">
        <f>IFERROR(INDEX('2.현장'!$V$2:$V$1001,MATCH(226,'2.현장'!$W$2:$W$1001,0)),"")</f>
        <v/>
      </c>
      <c r="C229">
        <f>IF(B229="","",COUNTIFS('2.현장'!$V$2:$V$1001,B229,'2.현장'!$T$2:$T$1001,TRUE))</f>
        <v/>
      </c>
      <c r="D229">
        <f>IF(B229="","",COUNTIFS('2.현장'!$V$2:$V$1001,B229,'2.현장'!$U$2:$U$1001,"설계사"))</f>
        <v/>
      </c>
      <c r="E229">
        <f>IF(B229="","",COUNTIFS('2.현장'!$V$2:$V$1001,B229,'2.현장'!$U$2:$U$1001,"시공사"))</f>
        <v/>
      </c>
      <c r="F229">
        <f>IF(B229="","",COUNTIFS('2.현장'!$V$2:$V$1001,B229,'2.현장'!$T$2:$T$1001,TRUE,'2.현장'!$AA$2:$AA$1001,"★"))</f>
        <v/>
      </c>
      <c r="G229" s="6">
        <f>IF(B229="","",SUMIFS('2.현장'!$AB$2:$AB$1001,'2.현장'!$V$2:$V$1001,B229,'2.현장'!$T$2:$T$1001,TRUE))</f>
        <v/>
      </c>
      <c r="H229" s="5">
        <f>IF(B229="","",_xlfn.MAXIFS('2.현장'!$D$2:$D$1001,'2.현장'!$V$2:$V$1001,B229,'2.현장'!$T$2:$T$1001,TRUE))</f>
        <v/>
      </c>
      <c r="I229" s="7">
        <f>IF(B229="","",IF(_xlfn.MAXIFS('2.현장'!$L$2:$L$1001,'2.현장'!$V$2:$V$1001,B229,'2.현장'!$T$2:$T$1001,TRUE)=0,"",_xlfn.MAXIFS('2.현장'!$L$2:$L$1001,'2.현장'!$V$2:$V$1001,B229,'2.현장'!$T$2:$T$1001,TRUE)))</f>
        <v/>
      </c>
      <c r="J229" s="7">
        <f>IF(B229="","",IF(_xlfn.MAXIFS('2.현장'!$M$2:$M$1001,'2.현장'!$V$2:$V$1001,B229,'2.현장'!$T$2:$T$1001,TRUE)=0,"",_xlfn.MAXIFS('2.현장'!$M$2:$M$1001,'2.현장'!$V$2:$V$1001,B229,'2.현장'!$T$2:$T$1001,TRUE)))</f>
        <v/>
      </c>
      <c r="K229">
        <f>IF(B229="","",IFERROR(INDEX('2.현장'!$C$2:$C$1001,IFERROR(MATCH(B229&amp;"|설계사",'2.현장'!$Z$2:$Z$1001,0),IFERROR(MATCH(B229&amp;"|시공사",'2.현장'!$Z$2:$Z$1001,0),MATCH(B229&amp;"|늦음",'2.현장'!$Z$2:$Z$1001,0)))),""))</f>
        <v/>
      </c>
      <c r="L229">
        <f>IF(B229="","",IFERROR(INDEX('2.현장'!$N$2:$N$1001,IFERROR(MATCH(B229&amp;"|설계사",'2.현장'!$Z$2:$Z$1001,0),IFERROR(MATCH(B229&amp;"|시공사",'2.현장'!$Z$2:$Z$1001,0),MATCH(B229&amp;"|늦음",'2.현장'!$Z$2:$Z$1001,0)))),""))</f>
        <v/>
      </c>
      <c r="M229">
        <f>IF(B229="","",IFERROR(VLOOKUP(B229,업체_메모!$A$3:$I$302,2,FALSE)&amp;"",""))</f>
        <v/>
      </c>
      <c r="N229">
        <f>IF(B229="","",IFERROR(VLOOKUP(B229,업체_메모!$A$3:$I$302,4,FALSE)&amp;"",""))</f>
        <v/>
      </c>
      <c r="O229" s="7">
        <f>IF(B229="","",IF(COUNTIF('4.방문기록'!$B$3:$B$502,B229)=0,"",_xlfn.MAXIFS('4.방문기록'!$A$3:$A$502,'4.방문기록'!$B$3:$B$502,B229)))</f>
        <v/>
      </c>
      <c r="P229">
        <f>IF(O229="","",설정!$B$24-O229)</f>
        <v/>
      </c>
      <c r="Q229" s="7">
        <f>IF(B229="","",IF(_xlfn.MAXIFS('4.방문기록'!$F$3:$F$502,'4.방문기록'!$B$3:$B$502,B229)=0,"",_xlfn.MAXIFS('4.방문기록'!$F$3:$F$502,'4.방문기록'!$B$3:$B$502,B229)))</f>
        <v/>
      </c>
      <c r="R229">
        <f>IF(O229="","",IFERROR(INDEX('4.방문기록'!$H$3:$H$502,MATCH(B229&amp;"|"&amp;(O229*1),'4.방문기록'!$I$3:$I$502,0))&amp;"",""))</f>
        <v/>
      </c>
      <c r="S229">
        <f>IF(B229="","",IF(R229="관심 없음","제외",IF(O229="","안 가봄",IF(P229&gt;=설정!$B$20,P229&amp;"일 지남","최근 방문"))))</f>
        <v/>
      </c>
      <c r="T229" s="8">
        <f>IF(B229="","",IF(S229="제외","",IF(AND(설정!$B$21&lt;&gt;"",L229&lt;&gt;설정!$B$21),"",IF(AND(Q229&lt;&gt;"",Q229&gt;N(O229),Q229&lt;=설정!$B$24+7),설정!$B$39+7-(Q229-설정!$B$24),IF(AND(G229&gt;0,OR(S229="안 가봄",RIGHT(S229,2)="지남")),G229+IF(O229="",설정!$B$36,MIN(P229,60)*설정!$B$37)+MIN(N(H229)/1000*설정!$B$38,20),"")))))</f>
        <v/>
      </c>
      <c r="U229">
        <f>IF(T229="","",COUNTIF(T$4:T$303,"&gt;"&amp;T229)+COUNTIF(T$4:T229,T229))</f>
        <v/>
      </c>
    </row>
    <row r="230">
      <c r="A230">
        <f>IF(B230="","",227)</f>
        <v/>
      </c>
      <c r="B230">
        <f>IFERROR(INDEX('2.현장'!$V$2:$V$1001,MATCH(227,'2.현장'!$W$2:$W$1001,0)),"")</f>
        <v/>
      </c>
      <c r="C230">
        <f>IF(B230="","",COUNTIFS('2.현장'!$V$2:$V$1001,B230,'2.현장'!$T$2:$T$1001,TRUE))</f>
        <v/>
      </c>
      <c r="D230">
        <f>IF(B230="","",COUNTIFS('2.현장'!$V$2:$V$1001,B230,'2.현장'!$U$2:$U$1001,"설계사"))</f>
        <v/>
      </c>
      <c r="E230">
        <f>IF(B230="","",COUNTIFS('2.현장'!$V$2:$V$1001,B230,'2.현장'!$U$2:$U$1001,"시공사"))</f>
        <v/>
      </c>
      <c r="F230">
        <f>IF(B230="","",COUNTIFS('2.현장'!$V$2:$V$1001,B230,'2.현장'!$T$2:$T$1001,TRUE,'2.현장'!$AA$2:$AA$1001,"★"))</f>
        <v/>
      </c>
      <c r="G230" s="6">
        <f>IF(B230="","",SUMIFS('2.현장'!$AB$2:$AB$1001,'2.현장'!$V$2:$V$1001,B230,'2.현장'!$T$2:$T$1001,TRUE))</f>
        <v/>
      </c>
      <c r="H230" s="5">
        <f>IF(B230="","",_xlfn.MAXIFS('2.현장'!$D$2:$D$1001,'2.현장'!$V$2:$V$1001,B230,'2.현장'!$T$2:$T$1001,TRUE))</f>
        <v/>
      </c>
      <c r="I230" s="7">
        <f>IF(B230="","",IF(_xlfn.MAXIFS('2.현장'!$L$2:$L$1001,'2.현장'!$V$2:$V$1001,B230,'2.현장'!$T$2:$T$1001,TRUE)=0,"",_xlfn.MAXIFS('2.현장'!$L$2:$L$1001,'2.현장'!$V$2:$V$1001,B230,'2.현장'!$T$2:$T$1001,TRUE)))</f>
        <v/>
      </c>
      <c r="J230" s="7">
        <f>IF(B230="","",IF(_xlfn.MAXIFS('2.현장'!$M$2:$M$1001,'2.현장'!$V$2:$V$1001,B230,'2.현장'!$T$2:$T$1001,TRUE)=0,"",_xlfn.MAXIFS('2.현장'!$M$2:$M$1001,'2.현장'!$V$2:$V$1001,B230,'2.현장'!$T$2:$T$1001,TRUE)))</f>
        <v/>
      </c>
      <c r="K230">
        <f>IF(B230="","",IFERROR(INDEX('2.현장'!$C$2:$C$1001,IFERROR(MATCH(B230&amp;"|설계사",'2.현장'!$Z$2:$Z$1001,0),IFERROR(MATCH(B230&amp;"|시공사",'2.현장'!$Z$2:$Z$1001,0),MATCH(B230&amp;"|늦음",'2.현장'!$Z$2:$Z$1001,0)))),""))</f>
        <v/>
      </c>
      <c r="L230">
        <f>IF(B230="","",IFERROR(INDEX('2.현장'!$N$2:$N$1001,IFERROR(MATCH(B230&amp;"|설계사",'2.현장'!$Z$2:$Z$1001,0),IFERROR(MATCH(B230&amp;"|시공사",'2.현장'!$Z$2:$Z$1001,0),MATCH(B230&amp;"|늦음",'2.현장'!$Z$2:$Z$1001,0)))),""))</f>
        <v/>
      </c>
      <c r="M230">
        <f>IF(B230="","",IFERROR(VLOOKUP(B230,업체_메모!$A$3:$I$302,2,FALSE)&amp;"",""))</f>
        <v/>
      </c>
      <c r="N230">
        <f>IF(B230="","",IFERROR(VLOOKUP(B230,업체_메모!$A$3:$I$302,4,FALSE)&amp;"",""))</f>
        <v/>
      </c>
      <c r="O230" s="7">
        <f>IF(B230="","",IF(COUNTIF('4.방문기록'!$B$3:$B$502,B230)=0,"",_xlfn.MAXIFS('4.방문기록'!$A$3:$A$502,'4.방문기록'!$B$3:$B$502,B230)))</f>
        <v/>
      </c>
      <c r="P230">
        <f>IF(O230="","",설정!$B$24-O230)</f>
        <v/>
      </c>
      <c r="Q230" s="7">
        <f>IF(B230="","",IF(_xlfn.MAXIFS('4.방문기록'!$F$3:$F$502,'4.방문기록'!$B$3:$B$502,B230)=0,"",_xlfn.MAXIFS('4.방문기록'!$F$3:$F$502,'4.방문기록'!$B$3:$B$502,B230)))</f>
        <v/>
      </c>
      <c r="R230">
        <f>IF(O230="","",IFERROR(INDEX('4.방문기록'!$H$3:$H$502,MATCH(B230&amp;"|"&amp;(O230*1),'4.방문기록'!$I$3:$I$502,0))&amp;"",""))</f>
        <v/>
      </c>
      <c r="S230">
        <f>IF(B230="","",IF(R230="관심 없음","제외",IF(O230="","안 가봄",IF(P230&gt;=설정!$B$20,P230&amp;"일 지남","최근 방문"))))</f>
        <v/>
      </c>
      <c r="T230" s="8">
        <f>IF(B230="","",IF(S230="제외","",IF(AND(설정!$B$21&lt;&gt;"",L230&lt;&gt;설정!$B$21),"",IF(AND(Q230&lt;&gt;"",Q230&gt;N(O230),Q230&lt;=설정!$B$24+7),설정!$B$39+7-(Q230-설정!$B$24),IF(AND(G230&gt;0,OR(S230="안 가봄",RIGHT(S230,2)="지남")),G230+IF(O230="",설정!$B$36,MIN(P230,60)*설정!$B$37)+MIN(N(H230)/1000*설정!$B$38,20),"")))))</f>
        <v/>
      </c>
      <c r="U230">
        <f>IF(T230="","",COUNTIF(T$4:T$303,"&gt;"&amp;T230)+COUNTIF(T$4:T230,T230))</f>
        <v/>
      </c>
    </row>
    <row r="231">
      <c r="A231">
        <f>IF(B231="","",228)</f>
        <v/>
      </c>
      <c r="B231">
        <f>IFERROR(INDEX('2.현장'!$V$2:$V$1001,MATCH(228,'2.현장'!$W$2:$W$1001,0)),"")</f>
        <v/>
      </c>
      <c r="C231">
        <f>IF(B231="","",COUNTIFS('2.현장'!$V$2:$V$1001,B231,'2.현장'!$T$2:$T$1001,TRUE))</f>
        <v/>
      </c>
      <c r="D231">
        <f>IF(B231="","",COUNTIFS('2.현장'!$V$2:$V$1001,B231,'2.현장'!$U$2:$U$1001,"설계사"))</f>
        <v/>
      </c>
      <c r="E231">
        <f>IF(B231="","",COUNTIFS('2.현장'!$V$2:$V$1001,B231,'2.현장'!$U$2:$U$1001,"시공사"))</f>
        <v/>
      </c>
      <c r="F231">
        <f>IF(B231="","",COUNTIFS('2.현장'!$V$2:$V$1001,B231,'2.현장'!$T$2:$T$1001,TRUE,'2.현장'!$AA$2:$AA$1001,"★"))</f>
        <v/>
      </c>
      <c r="G231" s="6">
        <f>IF(B231="","",SUMIFS('2.현장'!$AB$2:$AB$1001,'2.현장'!$V$2:$V$1001,B231,'2.현장'!$T$2:$T$1001,TRUE))</f>
        <v/>
      </c>
      <c r="H231" s="5">
        <f>IF(B231="","",_xlfn.MAXIFS('2.현장'!$D$2:$D$1001,'2.현장'!$V$2:$V$1001,B231,'2.현장'!$T$2:$T$1001,TRUE))</f>
        <v/>
      </c>
      <c r="I231" s="7">
        <f>IF(B231="","",IF(_xlfn.MAXIFS('2.현장'!$L$2:$L$1001,'2.현장'!$V$2:$V$1001,B231,'2.현장'!$T$2:$T$1001,TRUE)=0,"",_xlfn.MAXIFS('2.현장'!$L$2:$L$1001,'2.현장'!$V$2:$V$1001,B231,'2.현장'!$T$2:$T$1001,TRUE)))</f>
        <v/>
      </c>
      <c r="J231" s="7">
        <f>IF(B231="","",IF(_xlfn.MAXIFS('2.현장'!$M$2:$M$1001,'2.현장'!$V$2:$V$1001,B231,'2.현장'!$T$2:$T$1001,TRUE)=0,"",_xlfn.MAXIFS('2.현장'!$M$2:$M$1001,'2.현장'!$V$2:$V$1001,B231,'2.현장'!$T$2:$T$1001,TRUE)))</f>
        <v/>
      </c>
      <c r="K231">
        <f>IF(B231="","",IFERROR(INDEX('2.현장'!$C$2:$C$1001,IFERROR(MATCH(B231&amp;"|설계사",'2.현장'!$Z$2:$Z$1001,0),IFERROR(MATCH(B231&amp;"|시공사",'2.현장'!$Z$2:$Z$1001,0),MATCH(B231&amp;"|늦음",'2.현장'!$Z$2:$Z$1001,0)))),""))</f>
        <v/>
      </c>
      <c r="L231">
        <f>IF(B231="","",IFERROR(INDEX('2.현장'!$N$2:$N$1001,IFERROR(MATCH(B231&amp;"|설계사",'2.현장'!$Z$2:$Z$1001,0),IFERROR(MATCH(B231&amp;"|시공사",'2.현장'!$Z$2:$Z$1001,0),MATCH(B231&amp;"|늦음",'2.현장'!$Z$2:$Z$1001,0)))),""))</f>
        <v/>
      </c>
      <c r="M231">
        <f>IF(B231="","",IFERROR(VLOOKUP(B231,업체_메모!$A$3:$I$302,2,FALSE)&amp;"",""))</f>
        <v/>
      </c>
      <c r="N231">
        <f>IF(B231="","",IFERROR(VLOOKUP(B231,업체_메모!$A$3:$I$302,4,FALSE)&amp;"",""))</f>
        <v/>
      </c>
      <c r="O231" s="7">
        <f>IF(B231="","",IF(COUNTIF('4.방문기록'!$B$3:$B$502,B231)=0,"",_xlfn.MAXIFS('4.방문기록'!$A$3:$A$502,'4.방문기록'!$B$3:$B$502,B231)))</f>
        <v/>
      </c>
      <c r="P231">
        <f>IF(O231="","",설정!$B$24-O231)</f>
        <v/>
      </c>
      <c r="Q231" s="7">
        <f>IF(B231="","",IF(_xlfn.MAXIFS('4.방문기록'!$F$3:$F$502,'4.방문기록'!$B$3:$B$502,B231)=0,"",_xlfn.MAXIFS('4.방문기록'!$F$3:$F$502,'4.방문기록'!$B$3:$B$502,B231)))</f>
        <v/>
      </c>
      <c r="R231">
        <f>IF(O231="","",IFERROR(INDEX('4.방문기록'!$H$3:$H$502,MATCH(B231&amp;"|"&amp;(O231*1),'4.방문기록'!$I$3:$I$502,0))&amp;"",""))</f>
        <v/>
      </c>
      <c r="S231">
        <f>IF(B231="","",IF(R231="관심 없음","제외",IF(O231="","안 가봄",IF(P231&gt;=설정!$B$20,P231&amp;"일 지남","최근 방문"))))</f>
        <v/>
      </c>
      <c r="T231" s="8">
        <f>IF(B231="","",IF(S231="제외","",IF(AND(설정!$B$21&lt;&gt;"",L231&lt;&gt;설정!$B$21),"",IF(AND(Q231&lt;&gt;"",Q231&gt;N(O231),Q231&lt;=설정!$B$24+7),설정!$B$39+7-(Q231-설정!$B$24),IF(AND(G231&gt;0,OR(S231="안 가봄",RIGHT(S231,2)="지남")),G231+IF(O231="",설정!$B$36,MIN(P231,60)*설정!$B$37)+MIN(N(H231)/1000*설정!$B$38,20),"")))))</f>
        <v/>
      </c>
      <c r="U231">
        <f>IF(T231="","",COUNTIF(T$4:T$303,"&gt;"&amp;T231)+COUNTIF(T$4:T231,T231))</f>
        <v/>
      </c>
    </row>
    <row r="232">
      <c r="A232">
        <f>IF(B232="","",229)</f>
        <v/>
      </c>
      <c r="B232">
        <f>IFERROR(INDEX('2.현장'!$V$2:$V$1001,MATCH(229,'2.현장'!$W$2:$W$1001,0)),"")</f>
        <v/>
      </c>
      <c r="C232">
        <f>IF(B232="","",COUNTIFS('2.현장'!$V$2:$V$1001,B232,'2.현장'!$T$2:$T$1001,TRUE))</f>
        <v/>
      </c>
      <c r="D232">
        <f>IF(B232="","",COUNTIFS('2.현장'!$V$2:$V$1001,B232,'2.현장'!$U$2:$U$1001,"설계사"))</f>
        <v/>
      </c>
      <c r="E232">
        <f>IF(B232="","",COUNTIFS('2.현장'!$V$2:$V$1001,B232,'2.현장'!$U$2:$U$1001,"시공사"))</f>
        <v/>
      </c>
      <c r="F232">
        <f>IF(B232="","",COUNTIFS('2.현장'!$V$2:$V$1001,B232,'2.현장'!$T$2:$T$1001,TRUE,'2.현장'!$AA$2:$AA$1001,"★"))</f>
        <v/>
      </c>
      <c r="G232" s="6">
        <f>IF(B232="","",SUMIFS('2.현장'!$AB$2:$AB$1001,'2.현장'!$V$2:$V$1001,B232,'2.현장'!$T$2:$T$1001,TRUE))</f>
        <v/>
      </c>
      <c r="H232" s="5">
        <f>IF(B232="","",_xlfn.MAXIFS('2.현장'!$D$2:$D$1001,'2.현장'!$V$2:$V$1001,B232,'2.현장'!$T$2:$T$1001,TRUE))</f>
        <v/>
      </c>
      <c r="I232" s="7">
        <f>IF(B232="","",IF(_xlfn.MAXIFS('2.현장'!$L$2:$L$1001,'2.현장'!$V$2:$V$1001,B232,'2.현장'!$T$2:$T$1001,TRUE)=0,"",_xlfn.MAXIFS('2.현장'!$L$2:$L$1001,'2.현장'!$V$2:$V$1001,B232,'2.현장'!$T$2:$T$1001,TRUE)))</f>
        <v/>
      </c>
      <c r="J232" s="7">
        <f>IF(B232="","",IF(_xlfn.MAXIFS('2.현장'!$M$2:$M$1001,'2.현장'!$V$2:$V$1001,B232,'2.현장'!$T$2:$T$1001,TRUE)=0,"",_xlfn.MAXIFS('2.현장'!$M$2:$M$1001,'2.현장'!$V$2:$V$1001,B232,'2.현장'!$T$2:$T$1001,TRUE)))</f>
        <v/>
      </c>
      <c r="K232">
        <f>IF(B232="","",IFERROR(INDEX('2.현장'!$C$2:$C$1001,IFERROR(MATCH(B232&amp;"|설계사",'2.현장'!$Z$2:$Z$1001,0),IFERROR(MATCH(B232&amp;"|시공사",'2.현장'!$Z$2:$Z$1001,0),MATCH(B232&amp;"|늦음",'2.현장'!$Z$2:$Z$1001,0)))),""))</f>
        <v/>
      </c>
      <c r="L232">
        <f>IF(B232="","",IFERROR(INDEX('2.현장'!$N$2:$N$1001,IFERROR(MATCH(B232&amp;"|설계사",'2.현장'!$Z$2:$Z$1001,0),IFERROR(MATCH(B232&amp;"|시공사",'2.현장'!$Z$2:$Z$1001,0),MATCH(B232&amp;"|늦음",'2.현장'!$Z$2:$Z$1001,0)))),""))</f>
        <v/>
      </c>
      <c r="M232">
        <f>IF(B232="","",IFERROR(VLOOKUP(B232,업체_메모!$A$3:$I$302,2,FALSE)&amp;"",""))</f>
        <v/>
      </c>
      <c r="N232">
        <f>IF(B232="","",IFERROR(VLOOKUP(B232,업체_메모!$A$3:$I$302,4,FALSE)&amp;"",""))</f>
        <v/>
      </c>
      <c r="O232" s="7">
        <f>IF(B232="","",IF(COUNTIF('4.방문기록'!$B$3:$B$502,B232)=0,"",_xlfn.MAXIFS('4.방문기록'!$A$3:$A$502,'4.방문기록'!$B$3:$B$502,B232)))</f>
        <v/>
      </c>
      <c r="P232">
        <f>IF(O232="","",설정!$B$24-O232)</f>
        <v/>
      </c>
      <c r="Q232" s="7">
        <f>IF(B232="","",IF(_xlfn.MAXIFS('4.방문기록'!$F$3:$F$502,'4.방문기록'!$B$3:$B$502,B232)=0,"",_xlfn.MAXIFS('4.방문기록'!$F$3:$F$502,'4.방문기록'!$B$3:$B$502,B232)))</f>
        <v/>
      </c>
      <c r="R232">
        <f>IF(O232="","",IFERROR(INDEX('4.방문기록'!$H$3:$H$502,MATCH(B232&amp;"|"&amp;(O232*1),'4.방문기록'!$I$3:$I$502,0))&amp;"",""))</f>
        <v/>
      </c>
      <c r="S232">
        <f>IF(B232="","",IF(R232="관심 없음","제외",IF(O232="","안 가봄",IF(P232&gt;=설정!$B$20,P232&amp;"일 지남","최근 방문"))))</f>
        <v/>
      </c>
      <c r="T232" s="8">
        <f>IF(B232="","",IF(S232="제외","",IF(AND(설정!$B$21&lt;&gt;"",L232&lt;&gt;설정!$B$21),"",IF(AND(Q232&lt;&gt;"",Q232&gt;N(O232),Q232&lt;=설정!$B$24+7),설정!$B$39+7-(Q232-설정!$B$24),IF(AND(G232&gt;0,OR(S232="안 가봄",RIGHT(S232,2)="지남")),G232+IF(O232="",설정!$B$36,MIN(P232,60)*설정!$B$37)+MIN(N(H232)/1000*설정!$B$38,20),"")))))</f>
        <v/>
      </c>
      <c r="U232">
        <f>IF(T232="","",COUNTIF(T$4:T$303,"&gt;"&amp;T232)+COUNTIF(T$4:T232,T232))</f>
        <v/>
      </c>
    </row>
    <row r="233">
      <c r="A233">
        <f>IF(B233="","",230)</f>
        <v/>
      </c>
      <c r="B233">
        <f>IFERROR(INDEX('2.현장'!$V$2:$V$1001,MATCH(230,'2.현장'!$W$2:$W$1001,0)),"")</f>
        <v/>
      </c>
      <c r="C233">
        <f>IF(B233="","",COUNTIFS('2.현장'!$V$2:$V$1001,B233,'2.현장'!$T$2:$T$1001,TRUE))</f>
        <v/>
      </c>
      <c r="D233">
        <f>IF(B233="","",COUNTIFS('2.현장'!$V$2:$V$1001,B233,'2.현장'!$U$2:$U$1001,"설계사"))</f>
        <v/>
      </c>
      <c r="E233">
        <f>IF(B233="","",COUNTIFS('2.현장'!$V$2:$V$1001,B233,'2.현장'!$U$2:$U$1001,"시공사"))</f>
        <v/>
      </c>
      <c r="F233">
        <f>IF(B233="","",COUNTIFS('2.현장'!$V$2:$V$1001,B233,'2.현장'!$T$2:$T$1001,TRUE,'2.현장'!$AA$2:$AA$1001,"★"))</f>
        <v/>
      </c>
      <c r="G233" s="6">
        <f>IF(B233="","",SUMIFS('2.현장'!$AB$2:$AB$1001,'2.현장'!$V$2:$V$1001,B233,'2.현장'!$T$2:$T$1001,TRUE))</f>
        <v/>
      </c>
      <c r="H233" s="5">
        <f>IF(B233="","",_xlfn.MAXIFS('2.현장'!$D$2:$D$1001,'2.현장'!$V$2:$V$1001,B233,'2.현장'!$T$2:$T$1001,TRUE))</f>
        <v/>
      </c>
      <c r="I233" s="7">
        <f>IF(B233="","",IF(_xlfn.MAXIFS('2.현장'!$L$2:$L$1001,'2.현장'!$V$2:$V$1001,B233,'2.현장'!$T$2:$T$1001,TRUE)=0,"",_xlfn.MAXIFS('2.현장'!$L$2:$L$1001,'2.현장'!$V$2:$V$1001,B233,'2.현장'!$T$2:$T$1001,TRUE)))</f>
        <v/>
      </c>
      <c r="J233" s="7">
        <f>IF(B233="","",IF(_xlfn.MAXIFS('2.현장'!$M$2:$M$1001,'2.현장'!$V$2:$V$1001,B233,'2.현장'!$T$2:$T$1001,TRUE)=0,"",_xlfn.MAXIFS('2.현장'!$M$2:$M$1001,'2.현장'!$V$2:$V$1001,B233,'2.현장'!$T$2:$T$1001,TRUE)))</f>
        <v/>
      </c>
      <c r="K233">
        <f>IF(B233="","",IFERROR(INDEX('2.현장'!$C$2:$C$1001,IFERROR(MATCH(B233&amp;"|설계사",'2.현장'!$Z$2:$Z$1001,0),IFERROR(MATCH(B233&amp;"|시공사",'2.현장'!$Z$2:$Z$1001,0),MATCH(B233&amp;"|늦음",'2.현장'!$Z$2:$Z$1001,0)))),""))</f>
        <v/>
      </c>
      <c r="L233">
        <f>IF(B233="","",IFERROR(INDEX('2.현장'!$N$2:$N$1001,IFERROR(MATCH(B233&amp;"|설계사",'2.현장'!$Z$2:$Z$1001,0),IFERROR(MATCH(B233&amp;"|시공사",'2.현장'!$Z$2:$Z$1001,0),MATCH(B233&amp;"|늦음",'2.현장'!$Z$2:$Z$1001,0)))),""))</f>
        <v/>
      </c>
      <c r="M233">
        <f>IF(B233="","",IFERROR(VLOOKUP(B233,업체_메모!$A$3:$I$302,2,FALSE)&amp;"",""))</f>
        <v/>
      </c>
      <c r="N233">
        <f>IF(B233="","",IFERROR(VLOOKUP(B233,업체_메모!$A$3:$I$302,4,FALSE)&amp;"",""))</f>
        <v/>
      </c>
      <c r="O233" s="7">
        <f>IF(B233="","",IF(COUNTIF('4.방문기록'!$B$3:$B$502,B233)=0,"",_xlfn.MAXIFS('4.방문기록'!$A$3:$A$502,'4.방문기록'!$B$3:$B$502,B233)))</f>
        <v/>
      </c>
      <c r="P233">
        <f>IF(O233="","",설정!$B$24-O233)</f>
        <v/>
      </c>
      <c r="Q233" s="7">
        <f>IF(B233="","",IF(_xlfn.MAXIFS('4.방문기록'!$F$3:$F$502,'4.방문기록'!$B$3:$B$502,B233)=0,"",_xlfn.MAXIFS('4.방문기록'!$F$3:$F$502,'4.방문기록'!$B$3:$B$502,B233)))</f>
        <v/>
      </c>
      <c r="R233">
        <f>IF(O233="","",IFERROR(INDEX('4.방문기록'!$H$3:$H$502,MATCH(B233&amp;"|"&amp;(O233*1),'4.방문기록'!$I$3:$I$502,0))&amp;"",""))</f>
        <v/>
      </c>
      <c r="S233">
        <f>IF(B233="","",IF(R233="관심 없음","제외",IF(O233="","안 가봄",IF(P233&gt;=설정!$B$20,P233&amp;"일 지남","최근 방문"))))</f>
        <v/>
      </c>
      <c r="T233" s="8">
        <f>IF(B233="","",IF(S233="제외","",IF(AND(설정!$B$21&lt;&gt;"",L233&lt;&gt;설정!$B$21),"",IF(AND(Q233&lt;&gt;"",Q233&gt;N(O233),Q233&lt;=설정!$B$24+7),설정!$B$39+7-(Q233-설정!$B$24),IF(AND(G233&gt;0,OR(S233="안 가봄",RIGHT(S233,2)="지남")),G233+IF(O233="",설정!$B$36,MIN(P233,60)*설정!$B$37)+MIN(N(H233)/1000*설정!$B$38,20),"")))))</f>
        <v/>
      </c>
      <c r="U233">
        <f>IF(T233="","",COUNTIF(T$4:T$303,"&gt;"&amp;T233)+COUNTIF(T$4:T233,T233))</f>
        <v/>
      </c>
    </row>
    <row r="234">
      <c r="A234">
        <f>IF(B234="","",231)</f>
        <v/>
      </c>
      <c r="B234">
        <f>IFERROR(INDEX('2.현장'!$V$2:$V$1001,MATCH(231,'2.현장'!$W$2:$W$1001,0)),"")</f>
        <v/>
      </c>
      <c r="C234">
        <f>IF(B234="","",COUNTIFS('2.현장'!$V$2:$V$1001,B234,'2.현장'!$T$2:$T$1001,TRUE))</f>
        <v/>
      </c>
      <c r="D234">
        <f>IF(B234="","",COUNTIFS('2.현장'!$V$2:$V$1001,B234,'2.현장'!$U$2:$U$1001,"설계사"))</f>
        <v/>
      </c>
      <c r="E234">
        <f>IF(B234="","",COUNTIFS('2.현장'!$V$2:$V$1001,B234,'2.현장'!$U$2:$U$1001,"시공사"))</f>
        <v/>
      </c>
      <c r="F234">
        <f>IF(B234="","",COUNTIFS('2.현장'!$V$2:$V$1001,B234,'2.현장'!$T$2:$T$1001,TRUE,'2.현장'!$AA$2:$AA$1001,"★"))</f>
        <v/>
      </c>
      <c r="G234" s="6">
        <f>IF(B234="","",SUMIFS('2.현장'!$AB$2:$AB$1001,'2.현장'!$V$2:$V$1001,B234,'2.현장'!$T$2:$T$1001,TRUE))</f>
        <v/>
      </c>
      <c r="H234" s="5">
        <f>IF(B234="","",_xlfn.MAXIFS('2.현장'!$D$2:$D$1001,'2.현장'!$V$2:$V$1001,B234,'2.현장'!$T$2:$T$1001,TRUE))</f>
        <v/>
      </c>
      <c r="I234" s="7">
        <f>IF(B234="","",IF(_xlfn.MAXIFS('2.현장'!$L$2:$L$1001,'2.현장'!$V$2:$V$1001,B234,'2.현장'!$T$2:$T$1001,TRUE)=0,"",_xlfn.MAXIFS('2.현장'!$L$2:$L$1001,'2.현장'!$V$2:$V$1001,B234,'2.현장'!$T$2:$T$1001,TRUE)))</f>
        <v/>
      </c>
      <c r="J234" s="7">
        <f>IF(B234="","",IF(_xlfn.MAXIFS('2.현장'!$M$2:$M$1001,'2.현장'!$V$2:$V$1001,B234,'2.현장'!$T$2:$T$1001,TRUE)=0,"",_xlfn.MAXIFS('2.현장'!$M$2:$M$1001,'2.현장'!$V$2:$V$1001,B234,'2.현장'!$T$2:$T$1001,TRUE)))</f>
        <v/>
      </c>
      <c r="K234">
        <f>IF(B234="","",IFERROR(INDEX('2.현장'!$C$2:$C$1001,IFERROR(MATCH(B234&amp;"|설계사",'2.현장'!$Z$2:$Z$1001,0),IFERROR(MATCH(B234&amp;"|시공사",'2.현장'!$Z$2:$Z$1001,0),MATCH(B234&amp;"|늦음",'2.현장'!$Z$2:$Z$1001,0)))),""))</f>
        <v/>
      </c>
      <c r="L234">
        <f>IF(B234="","",IFERROR(INDEX('2.현장'!$N$2:$N$1001,IFERROR(MATCH(B234&amp;"|설계사",'2.현장'!$Z$2:$Z$1001,0),IFERROR(MATCH(B234&amp;"|시공사",'2.현장'!$Z$2:$Z$1001,0),MATCH(B234&amp;"|늦음",'2.현장'!$Z$2:$Z$1001,0)))),""))</f>
        <v/>
      </c>
      <c r="M234">
        <f>IF(B234="","",IFERROR(VLOOKUP(B234,업체_메모!$A$3:$I$302,2,FALSE)&amp;"",""))</f>
        <v/>
      </c>
      <c r="N234">
        <f>IF(B234="","",IFERROR(VLOOKUP(B234,업체_메모!$A$3:$I$302,4,FALSE)&amp;"",""))</f>
        <v/>
      </c>
      <c r="O234" s="7">
        <f>IF(B234="","",IF(COUNTIF('4.방문기록'!$B$3:$B$502,B234)=0,"",_xlfn.MAXIFS('4.방문기록'!$A$3:$A$502,'4.방문기록'!$B$3:$B$502,B234)))</f>
        <v/>
      </c>
      <c r="P234">
        <f>IF(O234="","",설정!$B$24-O234)</f>
        <v/>
      </c>
      <c r="Q234" s="7">
        <f>IF(B234="","",IF(_xlfn.MAXIFS('4.방문기록'!$F$3:$F$502,'4.방문기록'!$B$3:$B$502,B234)=0,"",_xlfn.MAXIFS('4.방문기록'!$F$3:$F$502,'4.방문기록'!$B$3:$B$502,B234)))</f>
        <v/>
      </c>
      <c r="R234">
        <f>IF(O234="","",IFERROR(INDEX('4.방문기록'!$H$3:$H$502,MATCH(B234&amp;"|"&amp;(O234*1),'4.방문기록'!$I$3:$I$502,0))&amp;"",""))</f>
        <v/>
      </c>
      <c r="S234">
        <f>IF(B234="","",IF(R234="관심 없음","제외",IF(O234="","안 가봄",IF(P234&gt;=설정!$B$20,P234&amp;"일 지남","최근 방문"))))</f>
        <v/>
      </c>
      <c r="T234" s="8">
        <f>IF(B234="","",IF(S234="제외","",IF(AND(설정!$B$21&lt;&gt;"",L234&lt;&gt;설정!$B$21),"",IF(AND(Q234&lt;&gt;"",Q234&gt;N(O234),Q234&lt;=설정!$B$24+7),설정!$B$39+7-(Q234-설정!$B$24),IF(AND(G234&gt;0,OR(S234="안 가봄",RIGHT(S234,2)="지남")),G234+IF(O234="",설정!$B$36,MIN(P234,60)*설정!$B$37)+MIN(N(H234)/1000*설정!$B$38,20),"")))))</f>
        <v/>
      </c>
      <c r="U234">
        <f>IF(T234="","",COUNTIF(T$4:T$303,"&gt;"&amp;T234)+COUNTIF(T$4:T234,T234))</f>
        <v/>
      </c>
    </row>
    <row r="235">
      <c r="A235">
        <f>IF(B235="","",232)</f>
        <v/>
      </c>
      <c r="B235">
        <f>IFERROR(INDEX('2.현장'!$V$2:$V$1001,MATCH(232,'2.현장'!$W$2:$W$1001,0)),"")</f>
        <v/>
      </c>
      <c r="C235">
        <f>IF(B235="","",COUNTIFS('2.현장'!$V$2:$V$1001,B235,'2.현장'!$T$2:$T$1001,TRUE))</f>
        <v/>
      </c>
      <c r="D235">
        <f>IF(B235="","",COUNTIFS('2.현장'!$V$2:$V$1001,B235,'2.현장'!$U$2:$U$1001,"설계사"))</f>
        <v/>
      </c>
      <c r="E235">
        <f>IF(B235="","",COUNTIFS('2.현장'!$V$2:$V$1001,B235,'2.현장'!$U$2:$U$1001,"시공사"))</f>
        <v/>
      </c>
      <c r="F235">
        <f>IF(B235="","",COUNTIFS('2.현장'!$V$2:$V$1001,B235,'2.현장'!$T$2:$T$1001,TRUE,'2.현장'!$AA$2:$AA$1001,"★"))</f>
        <v/>
      </c>
      <c r="G235" s="6">
        <f>IF(B235="","",SUMIFS('2.현장'!$AB$2:$AB$1001,'2.현장'!$V$2:$V$1001,B235,'2.현장'!$T$2:$T$1001,TRUE))</f>
        <v/>
      </c>
      <c r="H235" s="5">
        <f>IF(B235="","",_xlfn.MAXIFS('2.현장'!$D$2:$D$1001,'2.현장'!$V$2:$V$1001,B235,'2.현장'!$T$2:$T$1001,TRUE))</f>
        <v/>
      </c>
      <c r="I235" s="7">
        <f>IF(B235="","",IF(_xlfn.MAXIFS('2.현장'!$L$2:$L$1001,'2.현장'!$V$2:$V$1001,B235,'2.현장'!$T$2:$T$1001,TRUE)=0,"",_xlfn.MAXIFS('2.현장'!$L$2:$L$1001,'2.현장'!$V$2:$V$1001,B235,'2.현장'!$T$2:$T$1001,TRUE)))</f>
        <v/>
      </c>
      <c r="J235" s="7">
        <f>IF(B235="","",IF(_xlfn.MAXIFS('2.현장'!$M$2:$M$1001,'2.현장'!$V$2:$V$1001,B235,'2.현장'!$T$2:$T$1001,TRUE)=0,"",_xlfn.MAXIFS('2.현장'!$M$2:$M$1001,'2.현장'!$V$2:$V$1001,B235,'2.현장'!$T$2:$T$1001,TRUE)))</f>
        <v/>
      </c>
      <c r="K235">
        <f>IF(B235="","",IFERROR(INDEX('2.현장'!$C$2:$C$1001,IFERROR(MATCH(B235&amp;"|설계사",'2.현장'!$Z$2:$Z$1001,0),IFERROR(MATCH(B235&amp;"|시공사",'2.현장'!$Z$2:$Z$1001,0),MATCH(B235&amp;"|늦음",'2.현장'!$Z$2:$Z$1001,0)))),""))</f>
        <v/>
      </c>
      <c r="L235">
        <f>IF(B235="","",IFERROR(INDEX('2.현장'!$N$2:$N$1001,IFERROR(MATCH(B235&amp;"|설계사",'2.현장'!$Z$2:$Z$1001,0),IFERROR(MATCH(B235&amp;"|시공사",'2.현장'!$Z$2:$Z$1001,0),MATCH(B235&amp;"|늦음",'2.현장'!$Z$2:$Z$1001,0)))),""))</f>
        <v/>
      </c>
      <c r="M235">
        <f>IF(B235="","",IFERROR(VLOOKUP(B235,업체_메모!$A$3:$I$302,2,FALSE)&amp;"",""))</f>
        <v/>
      </c>
      <c r="N235">
        <f>IF(B235="","",IFERROR(VLOOKUP(B235,업체_메모!$A$3:$I$302,4,FALSE)&amp;"",""))</f>
        <v/>
      </c>
      <c r="O235" s="7">
        <f>IF(B235="","",IF(COUNTIF('4.방문기록'!$B$3:$B$502,B235)=0,"",_xlfn.MAXIFS('4.방문기록'!$A$3:$A$502,'4.방문기록'!$B$3:$B$502,B235)))</f>
        <v/>
      </c>
      <c r="P235">
        <f>IF(O235="","",설정!$B$24-O235)</f>
        <v/>
      </c>
      <c r="Q235" s="7">
        <f>IF(B235="","",IF(_xlfn.MAXIFS('4.방문기록'!$F$3:$F$502,'4.방문기록'!$B$3:$B$502,B235)=0,"",_xlfn.MAXIFS('4.방문기록'!$F$3:$F$502,'4.방문기록'!$B$3:$B$502,B235)))</f>
        <v/>
      </c>
      <c r="R235">
        <f>IF(O235="","",IFERROR(INDEX('4.방문기록'!$H$3:$H$502,MATCH(B235&amp;"|"&amp;(O235*1),'4.방문기록'!$I$3:$I$502,0))&amp;"",""))</f>
        <v/>
      </c>
      <c r="S235">
        <f>IF(B235="","",IF(R235="관심 없음","제외",IF(O235="","안 가봄",IF(P235&gt;=설정!$B$20,P235&amp;"일 지남","최근 방문"))))</f>
        <v/>
      </c>
      <c r="T235" s="8">
        <f>IF(B235="","",IF(S235="제외","",IF(AND(설정!$B$21&lt;&gt;"",L235&lt;&gt;설정!$B$21),"",IF(AND(Q235&lt;&gt;"",Q235&gt;N(O235),Q235&lt;=설정!$B$24+7),설정!$B$39+7-(Q235-설정!$B$24),IF(AND(G235&gt;0,OR(S235="안 가봄",RIGHT(S235,2)="지남")),G235+IF(O235="",설정!$B$36,MIN(P235,60)*설정!$B$37)+MIN(N(H235)/1000*설정!$B$38,20),"")))))</f>
        <v/>
      </c>
      <c r="U235">
        <f>IF(T235="","",COUNTIF(T$4:T$303,"&gt;"&amp;T235)+COUNTIF(T$4:T235,T235))</f>
        <v/>
      </c>
    </row>
    <row r="236">
      <c r="A236">
        <f>IF(B236="","",233)</f>
        <v/>
      </c>
      <c r="B236">
        <f>IFERROR(INDEX('2.현장'!$V$2:$V$1001,MATCH(233,'2.현장'!$W$2:$W$1001,0)),"")</f>
        <v/>
      </c>
      <c r="C236">
        <f>IF(B236="","",COUNTIFS('2.현장'!$V$2:$V$1001,B236,'2.현장'!$T$2:$T$1001,TRUE))</f>
        <v/>
      </c>
      <c r="D236">
        <f>IF(B236="","",COUNTIFS('2.현장'!$V$2:$V$1001,B236,'2.현장'!$U$2:$U$1001,"설계사"))</f>
        <v/>
      </c>
      <c r="E236">
        <f>IF(B236="","",COUNTIFS('2.현장'!$V$2:$V$1001,B236,'2.현장'!$U$2:$U$1001,"시공사"))</f>
        <v/>
      </c>
      <c r="F236">
        <f>IF(B236="","",COUNTIFS('2.현장'!$V$2:$V$1001,B236,'2.현장'!$T$2:$T$1001,TRUE,'2.현장'!$AA$2:$AA$1001,"★"))</f>
        <v/>
      </c>
      <c r="G236" s="6">
        <f>IF(B236="","",SUMIFS('2.현장'!$AB$2:$AB$1001,'2.현장'!$V$2:$V$1001,B236,'2.현장'!$T$2:$T$1001,TRUE))</f>
        <v/>
      </c>
      <c r="H236" s="5">
        <f>IF(B236="","",_xlfn.MAXIFS('2.현장'!$D$2:$D$1001,'2.현장'!$V$2:$V$1001,B236,'2.현장'!$T$2:$T$1001,TRUE))</f>
        <v/>
      </c>
      <c r="I236" s="7">
        <f>IF(B236="","",IF(_xlfn.MAXIFS('2.현장'!$L$2:$L$1001,'2.현장'!$V$2:$V$1001,B236,'2.현장'!$T$2:$T$1001,TRUE)=0,"",_xlfn.MAXIFS('2.현장'!$L$2:$L$1001,'2.현장'!$V$2:$V$1001,B236,'2.현장'!$T$2:$T$1001,TRUE)))</f>
        <v/>
      </c>
      <c r="J236" s="7">
        <f>IF(B236="","",IF(_xlfn.MAXIFS('2.현장'!$M$2:$M$1001,'2.현장'!$V$2:$V$1001,B236,'2.현장'!$T$2:$T$1001,TRUE)=0,"",_xlfn.MAXIFS('2.현장'!$M$2:$M$1001,'2.현장'!$V$2:$V$1001,B236,'2.현장'!$T$2:$T$1001,TRUE)))</f>
        <v/>
      </c>
      <c r="K236">
        <f>IF(B236="","",IFERROR(INDEX('2.현장'!$C$2:$C$1001,IFERROR(MATCH(B236&amp;"|설계사",'2.현장'!$Z$2:$Z$1001,0),IFERROR(MATCH(B236&amp;"|시공사",'2.현장'!$Z$2:$Z$1001,0),MATCH(B236&amp;"|늦음",'2.현장'!$Z$2:$Z$1001,0)))),""))</f>
        <v/>
      </c>
      <c r="L236">
        <f>IF(B236="","",IFERROR(INDEX('2.현장'!$N$2:$N$1001,IFERROR(MATCH(B236&amp;"|설계사",'2.현장'!$Z$2:$Z$1001,0),IFERROR(MATCH(B236&amp;"|시공사",'2.현장'!$Z$2:$Z$1001,0),MATCH(B236&amp;"|늦음",'2.현장'!$Z$2:$Z$1001,0)))),""))</f>
        <v/>
      </c>
      <c r="M236">
        <f>IF(B236="","",IFERROR(VLOOKUP(B236,업체_메모!$A$3:$I$302,2,FALSE)&amp;"",""))</f>
        <v/>
      </c>
      <c r="N236">
        <f>IF(B236="","",IFERROR(VLOOKUP(B236,업체_메모!$A$3:$I$302,4,FALSE)&amp;"",""))</f>
        <v/>
      </c>
      <c r="O236" s="7">
        <f>IF(B236="","",IF(COUNTIF('4.방문기록'!$B$3:$B$502,B236)=0,"",_xlfn.MAXIFS('4.방문기록'!$A$3:$A$502,'4.방문기록'!$B$3:$B$502,B236)))</f>
        <v/>
      </c>
      <c r="P236">
        <f>IF(O236="","",설정!$B$24-O236)</f>
        <v/>
      </c>
      <c r="Q236" s="7">
        <f>IF(B236="","",IF(_xlfn.MAXIFS('4.방문기록'!$F$3:$F$502,'4.방문기록'!$B$3:$B$502,B236)=0,"",_xlfn.MAXIFS('4.방문기록'!$F$3:$F$502,'4.방문기록'!$B$3:$B$502,B236)))</f>
        <v/>
      </c>
      <c r="R236">
        <f>IF(O236="","",IFERROR(INDEX('4.방문기록'!$H$3:$H$502,MATCH(B236&amp;"|"&amp;(O236*1),'4.방문기록'!$I$3:$I$502,0))&amp;"",""))</f>
        <v/>
      </c>
      <c r="S236">
        <f>IF(B236="","",IF(R236="관심 없음","제외",IF(O236="","안 가봄",IF(P236&gt;=설정!$B$20,P236&amp;"일 지남","최근 방문"))))</f>
        <v/>
      </c>
      <c r="T236" s="8">
        <f>IF(B236="","",IF(S236="제외","",IF(AND(설정!$B$21&lt;&gt;"",L236&lt;&gt;설정!$B$21),"",IF(AND(Q236&lt;&gt;"",Q236&gt;N(O236),Q236&lt;=설정!$B$24+7),설정!$B$39+7-(Q236-설정!$B$24),IF(AND(G236&gt;0,OR(S236="안 가봄",RIGHT(S236,2)="지남")),G236+IF(O236="",설정!$B$36,MIN(P236,60)*설정!$B$37)+MIN(N(H236)/1000*설정!$B$38,20),"")))))</f>
        <v/>
      </c>
      <c r="U236">
        <f>IF(T236="","",COUNTIF(T$4:T$303,"&gt;"&amp;T236)+COUNTIF(T$4:T236,T236))</f>
        <v/>
      </c>
    </row>
    <row r="237">
      <c r="A237">
        <f>IF(B237="","",234)</f>
        <v/>
      </c>
      <c r="B237">
        <f>IFERROR(INDEX('2.현장'!$V$2:$V$1001,MATCH(234,'2.현장'!$W$2:$W$1001,0)),"")</f>
        <v/>
      </c>
      <c r="C237">
        <f>IF(B237="","",COUNTIFS('2.현장'!$V$2:$V$1001,B237,'2.현장'!$T$2:$T$1001,TRUE))</f>
        <v/>
      </c>
      <c r="D237">
        <f>IF(B237="","",COUNTIFS('2.현장'!$V$2:$V$1001,B237,'2.현장'!$U$2:$U$1001,"설계사"))</f>
        <v/>
      </c>
      <c r="E237">
        <f>IF(B237="","",COUNTIFS('2.현장'!$V$2:$V$1001,B237,'2.현장'!$U$2:$U$1001,"시공사"))</f>
        <v/>
      </c>
      <c r="F237">
        <f>IF(B237="","",COUNTIFS('2.현장'!$V$2:$V$1001,B237,'2.현장'!$T$2:$T$1001,TRUE,'2.현장'!$AA$2:$AA$1001,"★"))</f>
        <v/>
      </c>
      <c r="G237" s="6">
        <f>IF(B237="","",SUMIFS('2.현장'!$AB$2:$AB$1001,'2.현장'!$V$2:$V$1001,B237,'2.현장'!$T$2:$T$1001,TRUE))</f>
        <v/>
      </c>
      <c r="H237" s="5">
        <f>IF(B237="","",_xlfn.MAXIFS('2.현장'!$D$2:$D$1001,'2.현장'!$V$2:$V$1001,B237,'2.현장'!$T$2:$T$1001,TRUE))</f>
        <v/>
      </c>
      <c r="I237" s="7">
        <f>IF(B237="","",IF(_xlfn.MAXIFS('2.현장'!$L$2:$L$1001,'2.현장'!$V$2:$V$1001,B237,'2.현장'!$T$2:$T$1001,TRUE)=0,"",_xlfn.MAXIFS('2.현장'!$L$2:$L$1001,'2.현장'!$V$2:$V$1001,B237,'2.현장'!$T$2:$T$1001,TRUE)))</f>
        <v/>
      </c>
      <c r="J237" s="7">
        <f>IF(B237="","",IF(_xlfn.MAXIFS('2.현장'!$M$2:$M$1001,'2.현장'!$V$2:$V$1001,B237,'2.현장'!$T$2:$T$1001,TRUE)=0,"",_xlfn.MAXIFS('2.현장'!$M$2:$M$1001,'2.현장'!$V$2:$V$1001,B237,'2.현장'!$T$2:$T$1001,TRUE)))</f>
        <v/>
      </c>
      <c r="K237">
        <f>IF(B237="","",IFERROR(INDEX('2.현장'!$C$2:$C$1001,IFERROR(MATCH(B237&amp;"|설계사",'2.현장'!$Z$2:$Z$1001,0),IFERROR(MATCH(B237&amp;"|시공사",'2.현장'!$Z$2:$Z$1001,0),MATCH(B237&amp;"|늦음",'2.현장'!$Z$2:$Z$1001,0)))),""))</f>
        <v/>
      </c>
      <c r="L237">
        <f>IF(B237="","",IFERROR(INDEX('2.현장'!$N$2:$N$1001,IFERROR(MATCH(B237&amp;"|설계사",'2.현장'!$Z$2:$Z$1001,0),IFERROR(MATCH(B237&amp;"|시공사",'2.현장'!$Z$2:$Z$1001,0),MATCH(B237&amp;"|늦음",'2.현장'!$Z$2:$Z$1001,0)))),""))</f>
        <v/>
      </c>
      <c r="M237">
        <f>IF(B237="","",IFERROR(VLOOKUP(B237,업체_메모!$A$3:$I$302,2,FALSE)&amp;"",""))</f>
        <v/>
      </c>
      <c r="N237">
        <f>IF(B237="","",IFERROR(VLOOKUP(B237,업체_메모!$A$3:$I$302,4,FALSE)&amp;"",""))</f>
        <v/>
      </c>
      <c r="O237" s="7">
        <f>IF(B237="","",IF(COUNTIF('4.방문기록'!$B$3:$B$502,B237)=0,"",_xlfn.MAXIFS('4.방문기록'!$A$3:$A$502,'4.방문기록'!$B$3:$B$502,B237)))</f>
        <v/>
      </c>
      <c r="P237">
        <f>IF(O237="","",설정!$B$24-O237)</f>
        <v/>
      </c>
      <c r="Q237" s="7">
        <f>IF(B237="","",IF(_xlfn.MAXIFS('4.방문기록'!$F$3:$F$502,'4.방문기록'!$B$3:$B$502,B237)=0,"",_xlfn.MAXIFS('4.방문기록'!$F$3:$F$502,'4.방문기록'!$B$3:$B$502,B237)))</f>
        <v/>
      </c>
      <c r="R237">
        <f>IF(O237="","",IFERROR(INDEX('4.방문기록'!$H$3:$H$502,MATCH(B237&amp;"|"&amp;(O237*1),'4.방문기록'!$I$3:$I$502,0))&amp;"",""))</f>
        <v/>
      </c>
      <c r="S237">
        <f>IF(B237="","",IF(R237="관심 없음","제외",IF(O237="","안 가봄",IF(P237&gt;=설정!$B$20,P237&amp;"일 지남","최근 방문"))))</f>
        <v/>
      </c>
      <c r="T237" s="8">
        <f>IF(B237="","",IF(S237="제외","",IF(AND(설정!$B$21&lt;&gt;"",L237&lt;&gt;설정!$B$21),"",IF(AND(Q237&lt;&gt;"",Q237&gt;N(O237),Q237&lt;=설정!$B$24+7),설정!$B$39+7-(Q237-설정!$B$24),IF(AND(G237&gt;0,OR(S237="안 가봄",RIGHT(S237,2)="지남")),G237+IF(O237="",설정!$B$36,MIN(P237,60)*설정!$B$37)+MIN(N(H237)/1000*설정!$B$38,20),"")))))</f>
        <v/>
      </c>
      <c r="U237">
        <f>IF(T237="","",COUNTIF(T$4:T$303,"&gt;"&amp;T237)+COUNTIF(T$4:T237,T237))</f>
        <v/>
      </c>
    </row>
    <row r="238">
      <c r="A238">
        <f>IF(B238="","",235)</f>
        <v/>
      </c>
      <c r="B238">
        <f>IFERROR(INDEX('2.현장'!$V$2:$V$1001,MATCH(235,'2.현장'!$W$2:$W$1001,0)),"")</f>
        <v/>
      </c>
      <c r="C238">
        <f>IF(B238="","",COUNTIFS('2.현장'!$V$2:$V$1001,B238,'2.현장'!$T$2:$T$1001,TRUE))</f>
        <v/>
      </c>
      <c r="D238">
        <f>IF(B238="","",COUNTIFS('2.현장'!$V$2:$V$1001,B238,'2.현장'!$U$2:$U$1001,"설계사"))</f>
        <v/>
      </c>
      <c r="E238">
        <f>IF(B238="","",COUNTIFS('2.현장'!$V$2:$V$1001,B238,'2.현장'!$U$2:$U$1001,"시공사"))</f>
        <v/>
      </c>
      <c r="F238">
        <f>IF(B238="","",COUNTIFS('2.현장'!$V$2:$V$1001,B238,'2.현장'!$T$2:$T$1001,TRUE,'2.현장'!$AA$2:$AA$1001,"★"))</f>
        <v/>
      </c>
      <c r="G238" s="6">
        <f>IF(B238="","",SUMIFS('2.현장'!$AB$2:$AB$1001,'2.현장'!$V$2:$V$1001,B238,'2.현장'!$T$2:$T$1001,TRUE))</f>
        <v/>
      </c>
      <c r="H238" s="5">
        <f>IF(B238="","",_xlfn.MAXIFS('2.현장'!$D$2:$D$1001,'2.현장'!$V$2:$V$1001,B238,'2.현장'!$T$2:$T$1001,TRUE))</f>
        <v/>
      </c>
      <c r="I238" s="7">
        <f>IF(B238="","",IF(_xlfn.MAXIFS('2.현장'!$L$2:$L$1001,'2.현장'!$V$2:$V$1001,B238,'2.현장'!$T$2:$T$1001,TRUE)=0,"",_xlfn.MAXIFS('2.현장'!$L$2:$L$1001,'2.현장'!$V$2:$V$1001,B238,'2.현장'!$T$2:$T$1001,TRUE)))</f>
        <v/>
      </c>
      <c r="J238" s="7">
        <f>IF(B238="","",IF(_xlfn.MAXIFS('2.현장'!$M$2:$M$1001,'2.현장'!$V$2:$V$1001,B238,'2.현장'!$T$2:$T$1001,TRUE)=0,"",_xlfn.MAXIFS('2.현장'!$M$2:$M$1001,'2.현장'!$V$2:$V$1001,B238,'2.현장'!$T$2:$T$1001,TRUE)))</f>
        <v/>
      </c>
      <c r="K238">
        <f>IF(B238="","",IFERROR(INDEX('2.현장'!$C$2:$C$1001,IFERROR(MATCH(B238&amp;"|설계사",'2.현장'!$Z$2:$Z$1001,0),IFERROR(MATCH(B238&amp;"|시공사",'2.현장'!$Z$2:$Z$1001,0),MATCH(B238&amp;"|늦음",'2.현장'!$Z$2:$Z$1001,0)))),""))</f>
        <v/>
      </c>
      <c r="L238">
        <f>IF(B238="","",IFERROR(INDEX('2.현장'!$N$2:$N$1001,IFERROR(MATCH(B238&amp;"|설계사",'2.현장'!$Z$2:$Z$1001,0),IFERROR(MATCH(B238&amp;"|시공사",'2.현장'!$Z$2:$Z$1001,0),MATCH(B238&amp;"|늦음",'2.현장'!$Z$2:$Z$1001,0)))),""))</f>
        <v/>
      </c>
      <c r="M238">
        <f>IF(B238="","",IFERROR(VLOOKUP(B238,업체_메모!$A$3:$I$302,2,FALSE)&amp;"",""))</f>
        <v/>
      </c>
      <c r="N238">
        <f>IF(B238="","",IFERROR(VLOOKUP(B238,업체_메모!$A$3:$I$302,4,FALSE)&amp;"",""))</f>
        <v/>
      </c>
      <c r="O238" s="7">
        <f>IF(B238="","",IF(COUNTIF('4.방문기록'!$B$3:$B$502,B238)=0,"",_xlfn.MAXIFS('4.방문기록'!$A$3:$A$502,'4.방문기록'!$B$3:$B$502,B238)))</f>
        <v/>
      </c>
      <c r="P238">
        <f>IF(O238="","",설정!$B$24-O238)</f>
        <v/>
      </c>
      <c r="Q238" s="7">
        <f>IF(B238="","",IF(_xlfn.MAXIFS('4.방문기록'!$F$3:$F$502,'4.방문기록'!$B$3:$B$502,B238)=0,"",_xlfn.MAXIFS('4.방문기록'!$F$3:$F$502,'4.방문기록'!$B$3:$B$502,B238)))</f>
        <v/>
      </c>
      <c r="R238">
        <f>IF(O238="","",IFERROR(INDEX('4.방문기록'!$H$3:$H$502,MATCH(B238&amp;"|"&amp;(O238*1),'4.방문기록'!$I$3:$I$502,0))&amp;"",""))</f>
        <v/>
      </c>
      <c r="S238">
        <f>IF(B238="","",IF(R238="관심 없음","제외",IF(O238="","안 가봄",IF(P238&gt;=설정!$B$20,P238&amp;"일 지남","최근 방문"))))</f>
        <v/>
      </c>
      <c r="T238" s="8">
        <f>IF(B238="","",IF(S238="제외","",IF(AND(설정!$B$21&lt;&gt;"",L238&lt;&gt;설정!$B$21),"",IF(AND(Q238&lt;&gt;"",Q238&gt;N(O238),Q238&lt;=설정!$B$24+7),설정!$B$39+7-(Q238-설정!$B$24),IF(AND(G238&gt;0,OR(S238="안 가봄",RIGHT(S238,2)="지남")),G238+IF(O238="",설정!$B$36,MIN(P238,60)*설정!$B$37)+MIN(N(H238)/1000*설정!$B$38,20),"")))))</f>
        <v/>
      </c>
      <c r="U238">
        <f>IF(T238="","",COUNTIF(T$4:T$303,"&gt;"&amp;T238)+COUNTIF(T$4:T238,T238))</f>
        <v/>
      </c>
    </row>
    <row r="239">
      <c r="A239">
        <f>IF(B239="","",236)</f>
        <v/>
      </c>
      <c r="B239">
        <f>IFERROR(INDEX('2.현장'!$V$2:$V$1001,MATCH(236,'2.현장'!$W$2:$W$1001,0)),"")</f>
        <v/>
      </c>
      <c r="C239">
        <f>IF(B239="","",COUNTIFS('2.현장'!$V$2:$V$1001,B239,'2.현장'!$T$2:$T$1001,TRUE))</f>
        <v/>
      </c>
      <c r="D239">
        <f>IF(B239="","",COUNTIFS('2.현장'!$V$2:$V$1001,B239,'2.현장'!$U$2:$U$1001,"설계사"))</f>
        <v/>
      </c>
      <c r="E239">
        <f>IF(B239="","",COUNTIFS('2.현장'!$V$2:$V$1001,B239,'2.현장'!$U$2:$U$1001,"시공사"))</f>
        <v/>
      </c>
      <c r="F239">
        <f>IF(B239="","",COUNTIFS('2.현장'!$V$2:$V$1001,B239,'2.현장'!$T$2:$T$1001,TRUE,'2.현장'!$AA$2:$AA$1001,"★"))</f>
        <v/>
      </c>
      <c r="G239" s="6">
        <f>IF(B239="","",SUMIFS('2.현장'!$AB$2:$AB$1001,'2.현장'!$V$2:$V$1001,B239,'2.현장'!$T$2:$T$1001,TRUE))</f>
        <v/>
      </c>
      <c r="H239" s="5">
        <f>IF(B239="","",_xlfn.MAXIFS('2.현장'!$D$2:$D$1001,'2.현장'!$V$2:$V$1001,B239,'2.현장'!$T$2:$T$1001,TRUE))</f>
        <v/>
      </c>
      <c r="I239" s="7">
        <f>IF(B239="","",IF(_xlfn.MAXIFS('2.현장'!$L$2:$L$1001,'2.현장'!$V$2:$V$1001,B239,'2.현장'!$T$2:$T$1001,TRUE)=0,"",_xlfn.MAXIFS('2.현장'!$L$2:$L$1001,'2.현장'!$V$2:$V$1001,B239,'2.현장'!$T$2:$T$1001,TRUE)))</f>
        <v/>
      </c>
      <c r="J239" s="7">
        <f>IF(B239="","",IF(_xlfn.MAXIFS('2.현장'!$M$2:$M$1001,'2.현장'!$V$2:$V$1001,B239,'2.현장'!$T$2:$T$1001,TRUE)=0,"",_xlfn.MAXIFS('2.현장'!$M$2:$M$1001,'2.현장'!$V$2:$V$1001,B239,'2.현장'!$T$2:$T$1001,TRUE)))</f>
        <v/>
      </c>
      <c r="K239">
        <f>IF(B239="","",IFERROR(INDEX('2.현장'!$C$2:$C$1001,IFERROR(MATCH(B239&amp;"|설계사",'2.현장'!$Z$2:$Z$1001,0),IFERROR(MATCH(B239&amp;"|시공사",'2.현장'!$Z$2:$Z$1001,0),MATCH(B239&amp;"|늦음",'2.현장'!$Z$2:$Z$1001,0)))),""))</f>
        <v/>
      </c>
      <c r="L239">
        <f>IF(B239="","",IFERROR(INDEX('2.현장'!$N$2:$N$1001,IFERROR(MATCH(B239&amp;"|설계사",'2.현장'!$Z$2:$Z$1001,0),IFERROR(MATCH(B239&amp;"|시공사",'2.현장'!$Z$2:$Z$1001,0),MATCH(B239&amp;"|늦음",'2.현장'!$Z$2:$Z$1001,0)))),""))</f>
        <v/>
      </c>
      <c r="M239">
        <f>IF(B239="","",IFERROR(VLOOKUP(B239,업체_메모!$A$3:$I$302,2,FALSE)&amp;"",""))</f>
        <v/>
      </c>
      <c r="N239">
        <f>IF(B239="","",IFERROR(VLOOKUP(B239,업체_메모!$A$3:$I$302,4,FALSE)&amp;"",""))</f>
        <v/>
      </c>
      <c r="O239" s="7">
        <f>IF(B239="","",IF(COUNTIF('4.방문기록'!$B$3:$B$502,B239)=0,"",_xlfn.MAXIFS('4.방문기록'!$A$3:$A$502,'4.방문기록'!$B$3:$B$502,B239)))</f>
        <v/>
      </c>
      <c r="P239">
        <f>IF(O239="","",설정!$B$24-O239)</f>
        <v/>
      </c>
      <c r="Q239" s="7">
        <f>IF(B239="","",IF(_xlfn.MAXIFS('4.방문기록'!$F$3:$F$502,'4.방문기록'!$B$3:$B$502,B239)=0,"",_xlfn.MAXIFS('4.방문기록'!$F$3:$F$502,'4.방문기록'!$B$3:$B$502,B239)))</f>
        <v/>
      </c>
      <c r="R239">
        <f>IF(O239="","",IFERROR(INDEX('4.방문기록'!$H$3:$H$502,MATCH(B239&amp;"|"&amp;(O239*1),'4.방문기록'!$I$3:$I$502,0))&amp;"",""))</f>
        <v/>
      </c>
      <c r="S239">
        <f>IF(B239="","",IF(R239="관심 없음","제외",IF(O239="","안 가봄",IF(P239&gt;=설정!$B$20,P239&amp;"일 지남","최근 방문"))))</f>
        <v/>
      </c>
      <c r="T239" s="8">
        <f>IF(B239="","",IF(S239="제외","",IF(AND(설정!$B$21&lt;&gt;"",L239&lt;&gt;설정!$B$21),"",IF(AND(Q239&lt;&gt;"",Q239&gt;N(O239),Q239&lt;=설정!$B$24+7),설정!$B$39+7-(Q239-설정!$B$24),IF(AND(G239&gt;0,OR(S239="안 가봄",RIGHT(S239,2)="지남")),G239+IF(O239="",설정!$B$36,MIN(P239,60)*설정!$B$37)+MIN(N(H239)/1000*설정!$B$38,20),"")))))</f>
        <v/>
      </c>
      <c r="U239">
        <f>IF(T239="","",COUNTIF(T$4:T$303,"&gt;"&amp;T239)+COUNTIF(T$4:T239,T239))</f>
        <v/>
      </c>
    </row>
    <row r="240">
      <c r="A240">
        <f>IF(B240="","",237)</f>
        <v/>
      </c>
      <c r="B240">
        <f>IFERROR(INDEX('2.현장'!$V$2:$V$1001,MATCH(237,'2.현장'!$W$2:$W$1001,0)),"")</f>
        <v/>
      </c>
      <c r="C240">
        <f>IF(B240="","",COUNTIFS('2.현장'!$V$2:$V$1001,B240,'2.현장'!$T$2:$T$1001,TRUE))</f>
        <v/>
      </c>
      <c r="D240">
        <f>IF(B240="","",COUNTIFS('2.현장'!$V$2:$V$1001,B240,'2.현장'!$U$2:$U$1001,"설계사"))</f>
        <v/>
      </c>
      <c r="E240">
        <f>IF(B240="","",COUNTIFS('2.현장'!$V$2:$V$1001,B240,'2.현장'!$U$2:$U$1001,"시공사"))</f>
        <v/>
      </c>
      <c r="F240">
        <f>IF(B240="","",COUNTIFS('2.현장'!$V$2:$V$1001,B240,'2.현장'!$T$2:$T$1001,TRUE,'2.현장'!$AA$2:$AA$1001,"★"))</f>
        <v/>
      </c>
      <c r="G240" s="6">
        <f>IF(B240="","",SUMIFS('2.현장'!$AB$2:$AB$1001,'2.현장'!$V$2:$V$1001,B240,'2.현장'!$T$2:$T$1001,TRUE))</f>
        <v/>
      </c>
      <c r="H240" s="5">
        <f>IF(B240="","",_xlfn.MAXIFS('2.현장'!$D$2:$D$1001,'2.현장'!$V$2:$V$1001,B240,'2.현장'!$T$2:$T$1001,TRUE))</f>
        <v/>
      </c>
      <c r="I240" s="7">
        <f>IF(B240="","",IF(_xlfn.MAXIFS('2.현장'!$L$2:$L$1001,'2.현장'!$V$2:$V$1001,B240,'2.현장'!$T$2:$T$1001,TRUE)=0,"",_xlfn.MAXIFS('2.현장'!$L$2:$L$1001,'2.현장'!$V$2:$V$1001,B240,'2.현장'!$T$2:$T$1001,TRUE)))</f>
        <v/>
      </c>
      <c r="J240" s="7">
        <f>IF(B240="","",IF(_xlfn.MAXIFS('2.현장'!$M$2:$M$1001,'2.현장'!$V$2:$V$1001,B240,'2.현장'!$T$2:$T$1001,TRUE)=0,"",_xlfn.MAXIFS('2.현장'!$M$2:$M$1001,'2.현장'!$V$2:$V$1001,B240,'2.현장'!$T$2:$T$1001,TRUE)))</f>
        <v/>
      </c>
      <c r="K240">
        <f>IF(B240="","",IFERROR(INDEX('2.현장'!$C$2:$C$1001,IFERROR(MATCH(B240&amp;"|설계사",'2.현장'!$Z$2:$Z$1001,0),IFERROR(MATCH(B240&amp;"|시공사",'2.현장'!$Z$2:$Z$1001,0),MATCH(B240&amp;"|늦음",'2.현장'!$Z$2:$Z$1001,0)))),""))</f>
        <v/>
      </c>
      <c r="L240">
        <f>IF(B240="","",IFERROR(INDEX('2.현장'!$N$2:$N$1001,IFERROR(MATCH(B240&amp;"|설계사",'2.현장'!$Z$2:$Z$1001,0),IFERROR(MATCH(B240&amp;"|시공사",'2.현장'!$Z$2:$Z$1001,0),MATCH(B240&amp;"|늦음",'2.현장'!$Z$2:$Z$1001,0)))),""))</f>
        <v/>
      </c>
      <c r="M240">
        <f>IF(B240="","",IFERROR(VLOOKUP(B240,업체_메모!$A$3:$I$302,2,FALSE)&amp;"",""))</f>
        <v/>
      </c>
      <c r="N240">
        <f>IF(B240="","",IFERROR(VLOOKUP(B240,업체_메모!$A$3:$I$302,4,FALSE)&amp;"",""))</f>
        <v/>
      </c>
      <c r="O240" s="7">
        <f>IF(B240="","",IF(COUNTIF('4.방문기록'!$B$3:$B$502,B240)=0,"",_xlfn.MAXIFS('4.방문기록'!$A$3:$A$502,'4.방문기록'!$B$3:$B$502,B240)))</f>
        <v/>
      </c>
      <c r="P240">
        <f>IF(O240="","",설정!$B$24-O240)</f>
        <v/>
      </c>
      <c r="Q240" s="7">
        <f>IF(B240="","",IF(_xlfn.MAXIFS('4.방문기록'!$F$3:$F$502,'4.방문기록'!$B$3:$B$502,B240)=0,"",_xlfn.MAXIFS('4.방문기록'!$F$3:$F$502,'4.방문기록'!$B$3:$B$502,B240)))</f>
        <v/>
      </c>
      <c r="R240">
        <f>IF(O240="","",IFERROR(INDEX('4.방문기록'!$H$3:$H$502,MATCH(B240&amp;"|"&amp;(O240*1),'4.방문기록'!$I$3:$I$502,0))&amp;"",""))</f>
        <v/>
      </c>
      <c r="S240">
        <f>IF(B240="","",IF(R240="관심 없음","제외",IF(O240="","안 가봄",IF(P240&gt;=설정!$B$20,P240&amp;"일 지남","최근 방문"))))</f>
        <v/>
      </c>
      <c r="T240" s="8">
        <f>IF(B240="","",IF(S240="제외","",IF(AND(설정!$B$21&lt;&gt;"",L240&lt;&gt;설정!$B$21),"",IF(AND(Q240&lt;&gt;"",Q240&gt;N(O240),Q240&lt;=설정!$B$24+7),설정!$B$39+7-(Q240-설정!$B$24),IF(AND(G240&gt;0,OR(S240="안 가봄",RIGHT(S240,2)="지남")),G240+IF(O240="",설정!$B$36,MIN(P240,60)*설정!$B$37)+MIN(N(H240)/1000*설정!$B$38,20),"")))))</f>
        <v/>
      </c>
      <c r="U240">
        <f>IF(T240="","",COUNTIF(T$4:T$303,"&gt;"&amp;T240)+COUNTIF(T$4:T240,T240))</f>
        <v/>
      </c>
    </row>
    <row r="241">
      <c r="A241">
        <f>IF(B241="","",238)</f>
        <v/>
      </c>
      <c r="B241">
        <f>IFERROR(INDEX('2.현장'!$V$2:$V$1001,MATCH(238,'2.현장'!$W$2:$W$1001,0)),"")</f>
        <v/>
      </c>
      <c r="C241">
        <f>IF(B241="","",COUNTIFS('2.현장'!$V$2:$V$1001,B241,'2.현장'!$T$2:$T$1001,TRUE))</f>
        <v/>
      </c>
      <c r="D241">
        <f>IF(B241="","",COUNTIFS('2.현장'!$V$2:$V$1001,B241,'2.현장'!$U$2:$U$1001,"설계사"))</f>
        <v/>
      </c>
      <c r="E241">
        <f>IF(B241="","",COUNTIFS('2.현장'!$V$2:$V$1001,B241,'2.현장'!$U$2:$U$1001,"시공사"))</f>
        <v/>
      </c>
      <c r="F241">
        <f>IF(B241="","",COUNTIFS('2.현장'!$V$2:$V$1001,B241,'2.현장'!$T$2:$T$1001,TRUE,'2.현장'!$AA$2:$AA$1001,"★"))</f>
        <v/>
      </c>
      <c r="G241" s="6">
        <f>IF(B241="","",SUMIFS('2.현장'!$AB$2:$AB$1001,'2.현장'!$V$2:$V$1001,B241,'2.현장'!$T$2:$T$1001,TRUE))</f>
        <v/>
      </c>
      <c r="H241" s="5">
        <f>IF(B241="","",_xlfn.MAXIFS('2.현장'!$D$2:$D$1001,'2.현장'!$V$2:$V$1001,B241,'2.현장'!$T$2:$T$1001,TRUE))</f>
        <v/>
      </c>
      <c r="I241" s="7">
        <f>IF(B241="","",IF(_xlfn.MAXIFS('2.현장'!$L$2:$L$1001,'2.현장'!$V$2:$V$1001,B241,'2.현장'!$T$2:$T$1001,TRUE)=0,"",_xlfn.MAXIFS('2.현장'!$L$2:$L$1001,'2.현장'!$V$2:$V$1001,B241,'2.현장'!$T$2:$T$1001,TRUE)))</f>
        <v/>
      </c>
      <c r="J241" s="7">
        <f>IF(B241="","",IF(_xlfn.MAXIFS('2.현장'!$M$2:$M$1001,'2.현장'!$V$2:$V$1001,B241,'2.현장'!$T$2:$T$1001,TRUE)=0,"",_xlfn.MAXIFS('2.현장'!$M$2:$M$1001,'2.현장'!$V$2:$V$1001,B241,'2.현장'!$T$2:$T$1001,TRUE)))</f>
        <v/>
      </c>
      <c r="K241">
        <f>IF(B241="","",IFERROR(INDEX('2.현장'!$C$2:$C$1001,IFERROR(MATCH(B241&amp;"|설계사",'2.현장'!$Z$2:$Z$1001,0),IFERROR(MATCH(B241&amp;"|시공사",'2.현장'!$Z$2:$Z$1001,0),MATCH(B241&amp;"|늦음",'2.현장'!$Z$2:$Z$1001,0)))),""))</f>
        <v/>
      </c>
      <c r="L241">
        <f>IF(B241="","",IFERROR(INDEX('2.현장'!$N$2:$N$1001,IFERROR(MATCH(B241&amp;"|설계사",'2.현장'!$Z$2:$Z$1001,0),IFERROR(MATCH(B241&amp;"|시공사",'2.현장'!$Z$2:$Z$1001,0),MATCH(B241&amp;"|늦음",'2.현장'!$Z$2:$Z$1001,0)))),""))</f>
        <v/>
      </c>
      <c r="M241">
        <f>IF(B241="","",IFERROR(VLOOKUP(B241,업체_메모!$A$3:$I$302,2,FALSE)&amp;"",""))</f>
        <v/>
      </c>
      <c r="N241">
        <f>IF(B241="","",IFERROR(VLOOKUP(B241,업체_메모!$A$3:$I$302,4,FALSE)&amp;"",""))</f>
        <v/>
      </c>
      <c r="O241" s="7">
        <f>IF(B241="","",IF(COUNTIF('4.방문기록'!$B$3:$B$502,B241)=0,"",_xlfn.MAXIFS('4.방문기록'!$A$3:$A$502,'4.방문기록'!$B$3:$B$502,B241)))</f>
        <v/>
      </c>
      <c r="P241">
        <f>IF(O241="","",설정!$B$24-O241)</f>
        <v/>
      </c>
      <c r="Q241" s="7">
        <f>IF(B241="","",IF(_xlfn.MAXIFS('4.방문기록'!$F$3:$F$502,'4.방문기록'!$B$3:$B$502,B241)=0,"",_xlfn.MAXIFS('4.방문기록'!$F$3:$F$502,'4.방문기록'!$B$3:$B$502,B241)))</f>
        <v/>
      </c>
      <c r="R241">
        <f>IF(O241="","",IFERROR(INDEX('4.방문기록'!$H$3:$H$502,MATCH(B241&amp;"|"&amp;(O241*1),'4.방문기록'!$I$3:$I$502,0))&amp;"",""))</f>
        <v/>
      </c>
      <c r="S241">
        <f>IF(B241="","",IF(R241="관심 없음","제외",IF(O241="","안 가봄",IF(P241&gt;=설정!$B$20,P241&amp;"일 지남","최근 방문"))))</f>
        <v/>
      </c>
      <c r="T241" s="8">
        <f>IF(B241="","",IF(S241="제외","",IF(AND(설정!$B$21&lt;&gt;"",L241&lt;&gt;설정!$B$21),"",IF(AND(Q241&lt;&gt;"",Q241&gt;N(O241),Q241&lt;=설정!$B$24+7),설정!$B$39+7-(Q241-설정!$B$24),IF(AND(G241&gt;0,OR(S241="안 가봄",RIGHT(S241,2)="지남")),G241+IF(O241="",설정!$B$36,MIN(P241,60)*설정!$B$37)+MIN(N(H241)/1000*설정!$B$38,20),"")))))</f>
        <v/>
      </c>
      <c r="U241">
        <f>IF(T241="","",COUNTIF(T$4:T$303,"&gt;"&amp;T241)+COUNTIF(T$4:T241,T241))</f>
        <v/>
      </c>
    </row>
    <row r="242">
      <c r="A242">
        <f>IF(B242="","",239)</f>
        <v/>
      </c>
      <c r="B242">
        <f>IFERROR(INDEX('2.현장'!$V$2:$V$1001,MATCH(239,'2.현장'!$W$2:$W$1001,0)),"")</f>
        <v/>
      </c>
      <c r="C242">
        <f>IF(B242="","",COUNTIFS('2.현장'!$V$2:$V$1001,B242,'2.현장'!$T$2:$T$1001,TRUE))</f>
        <v/>
      </c>
      <c r="D242">
        <f>IF(B242="","",COUNTIFS('2.현장'!$V$2:$V$1001,B242,'2.현장'!$U$2:$U$1001,"설계사"))</f>
        <v/>
      </c>
      <c r="E242">
        <f>IF(B242="","",COUNTIFS('2.현장'!$V$2:$V$1001,B242,'2.현장'!$U$2:$U$1001,"시공사"))</f>
        <v/>
      </c>
      <c r="F242">
        <f>IF(B242="","",COUNTIFS('2.현장'!$V$2:$V$1001,B242,'2.현장'!$T$2:$T$1001,TRUE,'2.현장'!$AA$2:$AA$1001,"★"))</f>
        <v/>
      </c>
      <c r="G242" s="6">
        <f>IF(B242="","",SUMIFS('2.현장'!$AB$2:$AB$1001,'2.현장'!$V$2:$V$1001,B242,'2.현장'!$T$2:$T$1001,TRUE))</f>
        <v/>
      </c>
      <c r="H242" s="5">
        <f>IF(B242="","",_xlfn.MAXIFS('2.현장'!$D$2:$D$1001,'2.현장'!$V$2:$V$1001,B242,'2.현장'!$T$2:$T$1001,TRUE))</f>
        <v/>
      </c>
      <c r="I242" s="7">
        <f>IF(B242="","",IF(_xlfn.MAXIFS('2.현장'!$L$2:$L$1001,'2.현장'!$V$2:$V$1001,B242,'2.현장'!$T$2:$T$1001,TRUE)=0,"",_xlfn.MAXIFS('2.현장'!$L$2:$L$1001,'2.현장'!$V$2:$V$1001,B242,'2.현장'!$T$2:$T$1001,TRUE)))</f>
        <v/>
      </c>
      <c r="J242" s="7">
        <f>IF(B242="","",IF(_xlfn.MAXIFS('2.현장'!$M$2:$M$1001,'2.현장'!$V$2:$V$1001,B242,'2.현장'!$T$2:$T$1001,TRUE)=0,"",_xlfn.MAXIFS('2.현장'!$M$2:$M$1001,'2.현장'!$V$2:$V$1001,B242,'2.현장'!$T$2:$T$1001,TRUE)))</f>
        <v/>
      </c>
      <c r="K242">
        <f>IF(B242="","",IFERROR(INDEX('2.현장'!$C$2:$C$1001,IFERROR(MATCH(B242&amp;"|설계사",'2.현장'!$Z$2:$Z$1001,0),IFERROR(MATCH(B242&amp;"|시공사",'2.현장'!$Z$2:$Z$1001,0),MATCH(B242&amp;"|늦음",'2.현장'!$Z$2:$Z$1001,0)))),""))</f>
        <v/>
      </c>
      <c r="L242">
        <f>IF(B242="","",IFERROR(INDEX('2.현장'!$N$2:$N$1001,IFERROR(MATCH(B242&amp;"|설계사",'2.현장'!$Z$2:$Z$1001,0),IFERROR(MATCH(B242&amp;"|시공사",'2.현장'!$Z$2:$Z$1001,0),MATCH(B242&amp;"|늦음",'2.현장'!$Z$2:$Z$1001,0)))),""))</f>
        <v/>
      </c>
      <c r="M242">
        <f>IF(B242="","",IFERROR(VLOOKUP(B242,업체_메모!$A$3:$I$302,2,FALSE)&amp;"",""))</f>
        <v/>
      </c>
      <c r="N242">
        <f>IF(B242="","",IFERROR(VLOOKUP(B242,업체_메모!$A$3:$I$302,4,FALSE)&amp;"",""))</f>
        <v/>
      </c>
      <c r="O242" s="7">
        <f>IF(B242="","",IF(COUNTIF('4.방문기록'!$B$3:$B$502,B242)=0,"",_xlfn.MAXIFS('4.방문기록'!$A$3:$A$502,'4.방문기록'!$B$3:$B$502,B242)))</f>
        <v/>
      </c>
      <c r="P242">
        <f>IF(O242="","",설정!$B$24-O242)</f>
        <v/>
      </c>
      <c r="Q242" s="7">
        <f>IF(B242="","",IF(_xlfn.MAXIFS('4.방문기록'!$F$3:$F$502,'4.방문기록'!$B$3:$B$502,B242)=0,"",_xlfn.MAXIFS('4.방문기록'!$F$3:$F$502,'4.방문기록'!$B$3:$B$502,B242)))</f>
        <v/>
      </c>
      <c r="R242">
        <f>IF(O242="","",IFERROR(INDEX('4.방문기록'!$H$3:$H$502,MATCH(B242&amp;"|"&amp;(O242*1),'4.방문기록'!$I$3:$I$502,0))&amp;"",""))</f>
        <v/>
      </c>
      <c r="S242">
        <f>IF(B242="","",IF(R242="관심 없음","제외",IF(O242="","안 가봄",IF(P242&gt;=설정!$B$20,P242&amp;"일 지남","최근 방문"))))</f>
        <v/>
      </c>
      <c r="T242" s="8">
        <f>IF(B242="","",IF(S242="제외","",IF(AND(설정!$B$21&lt;&gt;"",L242&lt;&gt;설정!$B$21),"",IF(AND(Q242&lt;&gt;"",Q242&gt;N(O242),Q242&lt;=설정!$B$24+7),설정!$B$39+7-(Q242-설정!$B$24),IF(AND(G242&gt;0,OR(S242="안 가봄",RIGHT(S242,2)="지남")),G242+IF(O242="",설정!$B$36,MIN(P242,60)*설정!$B$37)+MIN(N(H242)/1000*설정!$B$38,20),"")))))</f>
        <v/>
      </c>
      <c r="U242">
        <f>IF(T242="","",COUNTIF(T$4:T$303,"&gt;"&amp;T242)+COUNTIF(T$4:T242,T242))</f>
        <v/>
      </c>
    </row>
    <row r="243">
      <c r="A243">
        <f>IF(B243="","",240)</f>
        <v/>
      </c>
      <c r="B243">
        <f>IFERROR(INDEX('2.현장'!$V$2:$V$1001,MATCH(240,'2.현장'!$W$2:$W$1001,0)),"")</f>
        <v/>
      </c>
      <c r="C243">
        <f>IF(B243="","",COUNTIFS('2.현장'!$V$2:$V$1001,B243,'2.현장'!$T$2:$T$1001,TRUE))</f>
        <v/>
      </c>
      <c r="D243">
        <f>IF(B243="","",COUNTIFS('2.현장'!$V$2:$V$1001,B243,'2.현장'!$U$2:$U$1001,"설계사"))</f>
        <v/>
      </c>
      <c r="E243">
        <f>IF(B243="","",COUNTIFS('2.현장'!$V$2:$V$1001,B243,'2.현장'!$U$2:$U$1001,"시공사"))</f>
        <v/>
      </c>
      <c r="F243">
        <f>IF(B243="","",COUNTIFS('2.현장'!$V$2:$V$1001,B243,'2.현장'!$T$2:$T$1001,TRUE,'2.현장'!$AA$2:$AA$1001,"★"))</f>
        <v/>
      </c>
      <c r="G243" s="6">
        <f>IF(B243="","",SUMIFS('2.현장'!$AB$2:$AB$1001,'2.현장'!$V$2:$V$1001,B243,'2.현장'!$T$2:$T$1001,TRUE))</f>
        <v/>
      </c>
      <c r="H243" s="5">
        <f>IF(B243="","",_xlfn.MAXIFS('2.현장'!$D$2:$D$1001,'2.현장'!$V$2:$V$1001,B243,'2.현장'!$T$2:$T$1001,TRUE))</f>
        <v/>
      </c>
      <c r="I243" s="7">
        <f>IF(B243="","",IF(_xlfn.MAXIFS('2.현장'!$L$2:$L$1001,'2.현장'!$V$2:$V$1001,B243,'2.현장'!$T$2:$T$1001,TRUE)=0,"",_xlfn.MAXIFS('2.현장'!$L$2:$L$1001,'2.현장'!$V$2:$V$1001,B243,'2.현장'!$T$2:$T$1001,TRUE)))</f>
        <v/>
      </c>
      <c r="J243" s="7">
        <f>IF(B243="","",IF(_xlfn.MAXIFS('2.현장'!$M$2:$M$1001,'2.현장'!$V$2:$V$1001,B243,'2.현장'!$T$2:$T$1001,TRUE)=0,"",_xlfn.MAXIFS('2.현장'!$M$2:$M$1001,'2.현장'!$V$2:$V$1001,B243,'2.현장'!$T$2:$T$1001,TRUE)))</f>
        <v/>
      </c>
      <c r="K243">
        <f>IF(B243="","",IFERROR(INDEX('2.현장'!$C$2:$C$1001,IFERROR(MATCH(B243&amp;"|설계사",'2.현장'!$Z$2:$Z$1001,0),IFERROR(MATCH(B243&amp;"|시공사",'2.현장'!$Z$2:$Z$1001,0),MATCH(B243&amp;"|늦음",'2.현장'!$Z$2:$Z$1001,0)))),""))</f>
        <v/>
      </c>
      <c r="L243">
        <f>IF(B243="","",IFERROR(INDEX('2.현장'!$N$2:$N$1001,IFERROR(MATCH(B243&amp;"|설계사",'2.현장'!$Z$2:$Z$1001,0),IFERROR(MATCH(B243&amp;"|시공사",'2.현장'!$Z$2:$Z$1001,0),MATCH(B243&amp;"|늦음",'2.현장'!$Z$2:$Z$1001,0)))),""))</f>
        <v/>
      </c>
      <c r="M243">
        <f>IF(B243="","",IFERROR(VLOOKUP(B243,업체_메모!$A$3:$I$302,2,FALSE)&amp;"",""))</f>
        <v/>
      </c>
      <c r="N243">
        <f>IF(B243="","",IFERROR(VLOOKUP(B243,업체_메모!$A$3:$I$302,4,FALSE)&amp;"",""))</f>
        <v/>
      </c>
      <c r="O243" s="7">
        <f>IF(B243="","",IF(COUNTIF('4.방문기록'!$B$3:$B$502,B243)=0,"",_xlfn.MAXIFS('4.방문기록'!$A$3:$A$502,'4.방문기록'!$B$3:$B$502,B243)))</f>
        <v/>
      </c>
      <c r="P243">
        <f>IF(O243="","",설정!$B$24-O243)</f>
        <v/>
      </c>
      <c r="Q243" s="7">
        <f>IF(B243="","",IF(_xlfn.MAXIFS('4.방문기록'!$F$3:$F$502,'4.방문기록'!$B$3:$B$502,B243)=0,"",_xlfn.MAXIFS('4.방문기록'!$F$3:$F$502,'4.방문기록'!$B$3:$B$502,B243)))</f>
        <v/>
      </c>
      <c r="R243">
        <f>IF(O243="","",IFERROR(INDEX('4.방문기록'!$H$3:$H$502,MATCH(B243&amp;"|"&amp;(O243*1),'4.방문기록'!$I$3:$I$502,0))&amp;"",""))</f>
        <v/>
      </c>
      <c r="S243">
        <f>IF(B243="","",IF(R243="관심 없음","제외",IF(O243="","안 가봄",IF(P243&gt;=설정!$B$20,P243&amp;"일 지남","최근 방문"))))</f>
        <v/>
      </c>
      <c r="T243" s="8">
        <f>IF(B243="","",IF(S243="제외","",IF(AND(설정!$B$21&lt;&gt;"",L243&lt;&gt;설정!$B$21),"",IF(AND(Q243&lt;&gt;"",Q243&gt;N(O243),Q243&lt;=설정!$B$24+7),설정!$B$39+7-(Q243-설정!$B$24),IF(AND(G243&gt;0,OR(S243="안 가봄",RIGHT(S243,2)="지남")),G243+IF(O243="",설정!$B$36,MIN(P243,60)*설정!$B$37)+MIN(N(H243)/1000*설정!$B$38,20),"")))))</f>
        <v/>
      </c>
      <c r="U243">
        <f>IF(T243="","",COUNTIF(T$4:T$303,"&gt;"&amp;T243)+COUNTIF(T$4:T243,T243))</f>
        <v/>
      </c>
    </row>
    <row r="244">
      <c r="A244">
        <f>IF(B244="","",241)</f>
        <v/>
      </c>
      <c r="B244">
        <f>IFERROR(INDEX('2.현장'!$V$2:$V$1001,MATCH(241,'2.현장'!$W$2:$W$1001,0)),"")</f>
        <v/>
      </c>
      <c r="C244">
        <f>IF(B244="","",COUNTIFS('2.현장'!$V$2:$V$1001,B244,'2.현장'!$T$2:$T$1001,TRUE))</f>
        <v/>
      </c>
      <c r="D244">
        <f>IF(B244="","",COUNTIFS('2.현장'!$V$2:$V$1001,B244,'2.현장'!$U$2:$U$1001,"설계사"))</f>
        <v/>
      </c>
      <c r="E244">
        <f>IF(B244="","",COUNTIFS('2.현장'!$V$2:$V$1001,B244,'2.현장'!$U$2:$U$1001,"시공사"))</f>
        <v/>
      </c>
      <c r="F244">
        <f>IF(B244="","",COUNTIFS('2.현장'!$V$2:$V$1001,B244,'2.현장'!$T$2:$T$1001,TRUE,'2.현장'!$AA$2:$AA$1001,"★"))</f>
        <v/>
      </c>
      <c r="G244" s="6">
        <f>IF(B244="","",SUMIFS('2.현장'!$AB$2:$AB$1001,'2.현장'!$V$2:$V$1001,B244,'2.현장'!$T$2:$T$1001,TRUE))</f>
        <v/>
      </c>
      <c r="H244" s="5">
        <f>IF(B244="","",_xlfn.MAXIFS('2.현장'!$D$2:$D$1001,'2.현장'!$V$2:$V$1001,B244,'2.현장'!$T$2:$T$1001,TRUE))</f>
        <v/>
      </c>
      <c r="I244" s="7">
        <f>IF(B244="","",IF(_xlfn.MAXIFS('2.현장'!$L$2:$L$1001,'2.현장'!$V$2:$V$1001,B244,'2.현장'!$T$2:$T$1001,TRUE)=0,"",_xlfn.MAXIFS('2.현장'!$L$2:$L$1001,'2.현장'!$V$2:$V$1001,B244,'2.현장'!$T$2:$T$1001,TRUE)))</f>
        <v/>
      </c>
      <c r="J244" s="7">
        <f>IF(B244="","",IF(_xlfn.MAXIFS('2.현장'!$M$2:$M$1001,'2.현장'!$V$2:$V$1001,B244,'2.현장'!$T$2:$T$1001,TRUE)=0,"",_xlfn.MAXIFS('2.현장'!$M$2:$M$1001,'2.현장'!$V$2:$V$1001,B244,'2.현장'!$T$2:$T$1001,TRUE)))</f>
        <v/>
      </c>
      <c r="K244">
        <f>IF(B244="","",IFERROR(INDEX('2.현장'!$C$2:$C$1001,IFERROR(MATCH(B244&amp;"|설계사",'2.현장'!$Z$2:$Z$1001,0),IFERROR(MATCH(B244&amp;"|시공사",'2.현장'!$Z$2:$Z$1001,0),MATCH(B244&amp;"|늦음",'2.현장'!$Z$2:$Z$1001,0)))),""))</f>
        <v/>
      </c>
      <c r="L244">
        <f>IF(B244="","",IFERROR(INDEX('2.현장'!$N$2:$N$1001,IFERROR(MATCH(B244&amp;"|설계사",'2.현장'!$Z$2:$Z$1001,0),IFERROR(MATCH(B244&amp;"|시공사",'2.현장'!$Z$2:$Z$1001,0),MATCH(B244&amp;"|늦음",'2.현장'!$Z$2:$Z$1001,0)))),""))</f>
        <v/>
      </c>
      <c r="M244">
        <f>IF(B244="","",IFERROR(VLOOKUP(B244,업체_메모!$A$3:$I$302,2,FALSE)&amp;"",""))</f>
        <v/>
      </c>
      <c r="N244">
        <f>IF(B244="","",IFERROR(VLOOKUP(B244,업체_메모!$A$3:$I$302,4,FALSE)&amp;"",""))</f>
        <v/>
      </c>
      <c r="O244" s="7">
        <f>IF(B244="","",IF(COUNTIF('4.방문기록'!$B$3:$B$502,B244)=0,"",_xlfn.MAXIFS('4.방문기록'!$A$3:$A$502,'4.방문기록'!$B$3:$B$502,B244)))</f>
        <v/>
      </c>
      <c r="P244">
        <f>IF(O244="","",설정!$B$24-O244)</f>
        <v/>
      </c>
      <c r="Q244" s="7">
        <f>IF(B244="","",IF(_xlfn.MAXIFS('4.방문기록'!$F$3:$F$502,'4.방문기록'!$B$3:$B$502,B244)=0,"",_xlfn.MAXIFS('4.방문기록'!$F$3:$F$502,'4.방문기록'!$B$3:$B$502,B244)))</f>
        <v/>
      </c>
      <c r="R244">
        <f>IF(O244="","",IFERROR(INDEX('4.방문기록'!$H$3:$H$502,MATCH(B244&amp;"|"&amp;(O244*1),'4.방문기록'!$I$3:$I$502,0))&amp;"",""))</f>
        <v/>
      </c>
      <c r="S244">
        <f>IF(B244="","",IF(R244="관심 없음","제외",IF(O244="","안 가봄",IF(P244&gt;=설정!$B$20,P244&amp;"일 지남","최근 방문"))))</f>
        <v/>
      </c>
      <c r="T244" s="8">
        <f>IF(B244="","",IF(S244="제외","",IF(AND(설정!$B$21&lt;&gt;"",L244&lt;&gt;설정!$B$21),"",IF(AND(Q244&lt;&gt;"",Q244&gt;N(O244),Q244&lt;=설정!$B$24+7),설정!$B$39+7-(Q244-설정!$B$24),IF(AND(G244&gt;0,OR(S244="안 가봄",RIGHT(S244,2)="지남")),G244+IF(O244="",설정!$B$36,MIN(P244,60)*설정!$B$37)+MIN(N(H244)/1000*설정!$B$38,20),"")))))</f>
        <v/>
      </c>
      <c r="U244">
        <f>IF(T244="","",COUNTIF(T$4:T$303,"&gt;"&amp;T244)+COUNTIF(T$4:T244,T244))</f>
        <v/>
      </c>
    </row>
    <row r="245">
      <c r="A245">
        <f>IF(B245="","",242)</f>
        <v/>
      </c>
      <c r="B245">
        <f>IFERROR(INDEX('2.현장'!$V$2:$V$1001,MATCH(242,'2.현장'!$W$2:$W$1001,0)),"")</f>
        <v/>
      </c>
      <c r="C245">
        <f>IF(B245="","",COUNTIFS('2.현장'!$V$2:$V$1001,B245,'2.현장'!$T$2:$T$1001,TRUE))</f>
        <v/>
      </c>
      <c r="D245">
        <f>IF(B245="","",COUNTIFS('2.현장'!$V$2:$V$1001,B245,'2.현장'!$U$2:$U$1001,"설계사"))</f>
        <v/>
      </c>
      <c r="E245">
        <f>IF(B245="","",COUNTIFS('2.현장'!$V$2:$V$1001,B245,'2.현장'!$U$2:$U$1001,"시공사"))</f>
        <v/>
      </c>
      <c r="F245">
        <f>IF(B245="","",COUNTIFS('2.현장'!$V$2:$V$1001,B245,'2.현장'!$T$2:$T$1001,TRUE,'2.현장'!$AA$2:$AA$1001,"★"))</f>
        <v/>
      </c>
      <c r="G245" s="6">
        <f>IF(B245="","",SUMIFS('2.현장'!$AB$2:$AB$1001,'2.현장'!$V$2:$V$1001,B245,'2.현장'!$T$2:$T$1001,TRUE))</f>
        <v/>
      </c>
      <c r="H245" s="5">
        <f>IF(B245="","",_xlfn.MAXIFS('2.현장'!$D$2:$D$1001,'2.현장'!$V$2:$V$1001,B245,'2.현장'!$T$2:$T$1001,TRUE))</f>
        <v/>
      </c>
      <c r="I245" s="7">
        <f>IF(B245="","",IF(_xlfn.MAXIFS('2.현장'!$L$2:$L$1001,'2.현장'!$V$2:$V$1001,B245,'2.현장'!$T$2:$T$1001,TRUE)=0,"",_xlfn.MAXIFS('2.현장'!$L$2:$L$1001,'2.현장'!$V$2:$V$1001,B245,'2.현장'!$T$2:$T$1001,TRUE)))</f>
        <v/>
      </c>
      <c r="J245" s="7">
        <f>IF(B245="","",IF(_xlfn.MAXIFS('2.현장'!$M$2:$M$1001,'2.현장'!$V$2:$V$1001,B245,'2.현장'!$T$2:$T$1001,TRUE)=0,"",_xlfn.MAXIFS('2.현장'!$M$2:$M$1001,'2.현장'!$V$2:$V$1001,B245,'2.현장'!$T$2:$T$1001,TRUE)))</f>
        <v/>
      </c>
      <c r="K245">
        <f>IF(B245="","",IFERROR(INDEX('2.현장'!$C$2:$C$1001,IFERROR(MATCH(B245&amp;"|설계사",'2.현장'!$Z$2:$Z$1001,0),IFERROR(MATCH(B245&amp;"|시공사",'2.현장'!$Z$2:$Z$1001,0),MATCH(B245&amp;"|늦음",'2.현장'!$Z$2:$Z$1001,0)))),""))</f>
        <v/>
      </c>
      <c r="L245">
        <f>IF(B245="","",IFERROR(INDEX('2.현장'!$N$2:$N$1001,IFERROR(MATCH(B245&amp;"|설계사",'2.현장'!$Z$2:$Z$1001,0),IFERROR(MATCH(B245&amp;"|시공사",'2.현장'!$Z$2:$Z$1001,0),MATCH(B245&amp;"|늦음",'2.현장'!$Z$2:$Z$1001,0)))),""))</f>
        <v/>
      </c>
      <c r="M245">
        <f>IF(B245="","",IFERROR(VLOOKUP(B245,업체_메모!$A$3:$I$302,2,FALSE)&amp;"",""))</f>
        <v/>
      </c>
      <c r="N245">
        <f>IF(B245="","",IFERROR(VLOOKUP(B245,업체_메모!$A$3:$I$302,4,FALSE)&amp;"",""))</f>
        <v/>
      </c>
      <c r="O245" s="7">
        <f>IF(B245="","",IF(COUNTIF('4.방문기록'!$B$3:$B$502,B245)=0,"",_xlfn.MAXIFS('4.방문기록'!$A$3:$A$502,'4.방문기록'!$B$3:$B$502,B245)))</f>
        <v/>
      </c>
      <c r="P245">
        <f>IF(O245="","",설정!$B$24-O245)</f>
        <v/>
      </c>
      <c r="Q245" s="7">
        <f>IF(B245="","",IF(_xlfn.MAXIFS('4.방문기록'!$F$3:$F$502,'4.방문기록'!$B$3:$B$502,B245)=0,"",_xlfn.MAXIFS('4.방문기록'!$F$3:$F$502,'4.방문기록'!$B$3:$B$502,B245)))</f>
        <v/>
      </c>
      <c r="R245">
        <f>IF(O245="","",IFERROR(INDEX('4.방문기록'!$H$3:$H$502,MATCH(B245&amp;"|"&amp;(O245*1),'4.방문기록'!$I$3:$I$502,0))&amp;"",""))</f>
        <v/>
      </c>
      <c r="S245">
        <f>IF(B245="","",IF(R245="관심 없음","제외",IF(O245="","안 가봄",IF(P245&gt;=설정!$B$20,P245&amp;"일 지남","최근 방문"))))</f>
        <v/>
      </c>
      <c r="T245" s="8">
        <f>IF(B245="","",IF(S245="제외","",IF(AND(설정!$B$21&lt;&gt;"",L245&lt;&gt;설정!$B$21),"",IF(AND(Q245&lt;&gt;"",Q245&gt;N(O245),Q245&lt;=설정!$B$24+7),설정!$B$39+7-(Q245-설정!$B$24),IF(AND(G245&gt;0,OR(S245="안 가봄",RIGHT(S245,2)="지남")),G245+IF(O245="",설정!$B$36,MIN(P245,60)*설정!$B$37)+MIN(N(H245)/1000*설정!$B$38,20),"")))))</f>
        <v/>
      </c>
      <c r="U245">
        <f>IF(T245="","",COUNTIF(T$4:T$303,"&gt;"&amp;T245)+COUNTIF(T$4:T245,T245))</f>
        <v/>
      </c>
    </row>
    <row r="246">
      <c r="A246">
        <f>IF(B246="","",243)</f>
        <v/>
      </c>
      <c r="B246">
        <f>IFERROR(INDEX('2.현장'!$V$2:$V$1001,MATCH(243,'2.현장'!$W$2:$W$1001,0)),"")</f>
        <v/>
      </c>
      <c r="C246">
        <f>IF(B246="","",COUNTIFS('2.현장'!$V$2:$V$1001,B246,'2.현장'!$T$2:$T$1001,TRUE))</f>
        <v/>
      </c>
      <c r="D246">
        <f>IF(B246="","",COUNTIFS('2.현장'!$V$2:$V$1001,B246,'2.현장'!$U$2:$U$1001,"설계사"))</f>
        <v/>
      </c>
      <c r="E246">
        <f>IF(B246="","",COUNTIFS('2.현장'!$V$2:$V$1001,B246,'2.현장'!$U$2:$U$1001,"시공사"))</f>
        <v/>
      </c>
      <c r="F246">
        <f>IF(B246="","",COUNTIFS('2.현장'!$V$2:$V$1001,B246,'2.현장'!$T$2:$T$1001,TRUE,'2.현장'!$AA$2:$AA$1001,"★"))</f>
        <v/>
      </c>
      <c r="G246" s="6">
        <f>IF(B246="","",SUMIFS('2.현장'!$AB$2:$AB$1001,'2.현장'!$V$2:$V$1001,B246,'2.현장'!$T$2:$T$1001,TRUE))</f>
        <v/>
      </c>
      <c r="H246" s="5">
        <f>IF(B246="","",_xlfn.MAXIFS('2.현장'!$D$2:$D$1001,'2.현장'!$V$2:$V$1001,B246,'2.현장'!$T$2:$T$1001,TRUE))</f>
        <v/>
      </c>
      <c r="I246" s="7">
        <f>IF(B246="","",IF(_xlfn.MAXIFS('2.현장'!$L$2:$L$1001,'2.현장'!$V$2:$V$1001,B246,'2.현장'!$T$2:$T$1001,TRUE)=0,"",_xlfn.MAXIFS('2.현장'!$L$2:$L$1001,'2.현장'!$V$2:$V$1001,B246,'2.현장'!$T$2:$T$1001,TRUE)))</f>
        <v/>
      </c>
      <c r="J246" s="7">
        <f>IF(B246="","",IF(_xlfn.MAXIFS('2.현장'!$M$2:$M$1001,'2.현장'!$V$2:$V$1001,B246,'2.현장'!$T$2:$T$1001,TRUE)=0,"",_xlfn.MAXIFS('2.현장'!$M$2:$M$1001,'2.현장'!$V$2:$V$1001,B246,'2.현장'!$T$2:$T$1001,TRUE)))</f>
        <v/>
      </c>
      <c r="K246">
        <f>IF(B246="","",IFERROR(INDEX('2.현장'!$C$2:$C$1001,IFERROR(MATCH(B246&amp;"|설계사",'2.현장'!$Z$2:$Z$1001,0),IFERROR(MATCH(B246&amp;"|시공사",'2.현장'!$Z$2:$Z$1001,0),MATCH(B246&amp;"|늦음",'2.현장'!$Z$2:$Z$1001,0)))),""))</f>
        <v/>
      </c>
      <c r="L246">
        <f>IF(B246="","",IFERROR(INDEX('2.현장'!$N$2:$N$1001,IFERROR(MATCH(B246&amp;"|설계사",'2.현장'!$Z$2:$Z$1001,0),IFERROR(MATCH(B246&amp;"|시공사",'2.현장'!$Z$2:$Z$1001,0),MATCH(B246&amp;"|늦음",'2.현장'!$Z$2:$Z$1001,0)))),""))</f>
        <v/>
      </c>
      <c r="M246">
        <f>IF(B246="","",IFERROR(VLOOKUP(B246,업체_메모!$A$3:$I$302,2,FALSE)&amp;"",""))</f>
        <v/>
      </c>
      <c r="N246">
        <f>IF(B246="","",IFERROR(VLOOKUP(B246,업체_메모!$A$3:$I$302,4,FALSE)&amp;"",""))</f>
        <v/>
      </c>
      <c r="O246" s="7">
        <f>IF(B246="","",IF(COUNTIF('4.방문기록'!$B$3:$B$502,B246)=0,"",_xlfn.MAXIFS('4.방문기록'!$A$3:$A$502,'4.방문기록'!$B$3:$B$502,B246)))</f>
        <v/>
      </c>
      <c r="P246">
        <f>IF(O246="","",설정!$B$24-O246)</f>
        <v/>
      </c>
      <c r="Q246" s="7">
        <f>IF(B246="","",IF(_xlfn.MAXIFS('4.방문기록'!$F$3:$F$502,'4.방문기록'!$B$3:$B$502,B246)=0,"",_xlfn.MAXIFS('4.방문기록'!$F$3:$F$502,'4.방문기록'!$B$3:$B$502,B246)))</f>
        <v/>
      </c>
      <c r="R246">
        <f>IF(O246="","",IFERROR(INDEX('4.방문기록'!$H$3:$H$502,MATCH(B246&amp;"|"&amp;(O246*1),'4.방문기록'!$I$3:$I$502,0))&amp;"",""))</f>
        <v/>
      </c>
      <c r="S246">
        <f>IF(B246="","",IF(R246="관심 없음","제외",IF(O246="","안 가봄",IF(P246&gt;=설정!$B$20,P246&amp;"일 지남","최근 방문"))))</f>
        <v/>
      </c>
      <c r="T246" s="8">
        <f>IF(B246="","",IF(S246="제외","",IF(AND(설정!$B$21&lt;&gt;"",L246&lt;&gt;설정!$B$21),"",IF(AND(Q246&lt;&gt;"",Q246&gt;N(O246),Q246&lt;=설정!$B$24+7),설정!$B$39+7-(Q246-설정!$B$24),IF(AND(G246&gt;0,OR(S246="안 가봄",RIGHT(S246,2)="지남")),G246+IF(O246="",설정!$B$36,MIN(P246,60)*설정!$B$37)+MIN(N(H246)/1000*설정!$B$38,20),"")))))</f>
        <v/>
      </c>
      <c r="U246">
        <f>IF(T246="","",COUNTIF(T$4:T$303,"&gt;"&amp;T246)+COUNTIF(T$4:T246,T246))</f>
        <v/>
      </c>
    </row>
    <row r="247">
      <c r="A247">
        <f>IF(B247="","",244)</f>
        <v/>
      </c>
      <c r="B247">
        <f>IFERROR(INDEX('2.현장'!$V$2:$V$1001,MATCH(244,'2.현장'!$W$2:$W$1001,0)),"")</f>
        <v/>
      </c>
      <c r="C247">
        <f>IF(B247="","",COUNTIFS('2.현장'!$V$2:$V$1001,B247,'2.현장'!$T$2:$T$1001,TRUE))</f>
        <v/>
      </c>
      <c r="D247">
        <f>IF(B247="","",COUNTIFS('2.현장'!$V$2:$V$1001,B247,'2.현장'!$U$2:$U$1001,"설계사"))</f>
        <v/>
      </c>
      <c r="E247">
        <f>IF(B247="","",COUNTIFS('2.현장'!$V$2:$V$1001,B247,'2.현장'!$U$2:$U$1001,"시공사"))</f>
        <v/>
      </c>
      <c r="F247">
        <f>IF(B247="","",COUNTIFS('2.현장'!$V$2:$V$1001,B247,'2.현장'!$T$2:$T$1001,TRUE,'2.현장'!$AA$2:$AA$1001,"★"))</f>
        <v/>
      </c>
      <c r="G247" s="6">
        <f>IF(B247="","",SUMIFS('2.현장'!$AB$2:$AB$1001,'2.현장'!$V$2:$V$1001,B247,'2.현장'!$T$2:$T$1001,TRUE))</f>
        <v/>
      </c>
      <c r="H247" s="5">
        <f>IF(B247="","",_xlfn.MAXIFS('2.현장'!$D$2:$D$1001,'2.현장'!$V$2:$V$1001,B247,'2.현장'!$T$2:$T$1001,TRUE))</f>
        <v/>
      </c>
      <c r="I247" s="7">
        <f>IF(B247="","",IF(_xlfn.MAXIFS('2.현장'!$L$2:$L$1001,'2.현장'!$V$2:$V$1001,B247,'2.현장'!$T$2:$T$1001,TRUE)=0,"",_xlfn.MAXIFS('2.현장'!$L$2:$L$1001,'2.현장'!$V$2:$V$1001,B247,'2.현장'!$T$2:$T$1001,TRUE)))</f>
        <v/>
      </c>
      <c r="J247" s="7">
        <f>IF(B247="","",IF(_xlfn.MAXIFS('2.현장'!$M$2:$M$1001,'2.현장'!$V$2:$V$1001,B247,'2.현장'!$T$2:$T$1001,TRUE)=0,"",_xlfn.MAXIFS('2.현장'!$M$2:$M$1001,'2.현장'!$V$2:$V$1001,B247,'2.현장'!$T$2:$T$1001,TRUE)))</f>
        <v/>
      </c>
      <c r="K247">
        <f>IF(B247="","",IFERROR(INDEX('2.현장'!$C$2:$C$1001,IFERROR(MATCH(B247&amp;"|설계사",'2.현장'!$Z$2:$Z$1001,0),IFERROR(MATCH(B247&amp;"|시공사",'2.현장'!$Z$2:$Z$1001,0),MATCH(B247&amp;"|늦음",'2.현장'!$Z$2:$Z$1001,0)))),""))</f>
        <v/>
      </c>
      <c r="L247">
        <f>IF(B247="","",IFERROR(INDEX('2.현장'!$N$2:$N$1001,IFERROR(MATCH(B247&amp;"|설계사",'2.현장'!$Z$2:$Z$1001,0),IFERROR(MATCH(B247&amp;"|시공사",'2.현장'!$Z$2:$Z$1001,0),MATCH(B247&amp;"|늦음",'2.현장'!$Z$2:$Z$1001,0)))),""))</f>
        <v/>
      </c>
      <c r="M247">
        <f>IF(B247="","",IFERROR(VLOOKUP(B247,업체_메모!$A$3:$I$302,2,FALSE)&amp;"",""))</f>
        <v/>
      </c>
      <c r="N247">
        <f>IF(B247="","",IFERROR(VLOOKUP(B247,업체_메모!$A$3:$I$302,4,FALSE)&amp;"",""))</f>
        <v/>
      </c>
      <c r="O247" s="7">
        <f>IF(B247="","",IF(COUNTIF('4.방문기록'!$B$3:$B$502,B247)=0,"",_xlfn.MAXIFS('4.방문기록'!$A$3:$A$502,'4.방문기록'!$B$3:$B$502,B247)))</f>
        <v/>
      </c>
      <c r="P247">
        <f>IF(O247="","",설정!$B$24-O247)</f>
        <v/>
      </c>
      <c r="Q247" s="7">
        <f>IF(B247="","",IF(_xlfn.MAXIFS('4.방문기록'!$F$3:$F$502,'4.방문기록'!$B$3:$B$502,B247)=0,"",_xlfn.MAXIFS('4.방문기록'!$F$3:$F$502,'4.방문기록'!$B$3:$B$502,B247)))</f>
        <v/>
      </c>
      <c r="R247">
        <f>IF(O247="","",IFERROR(INDEX('4.방문기록'!$H$3:$H$502,MATCH(B247&amp;"|"&amp;(O247*1),'4.방문기록'!$I$3:$I$502,0))&amp;"",""))</f>
        <v/>
      </c>
      <c r="S247">
        <f>IF(B247="","",IF(R247="관심 없음","제외",IF(O247="","안 가봄",IF(P247&gt;=설정!$B$20,P247&amp;"일 지남","최근 방문"))))</f>
        <v/>
      </c>
      <c r="T247" s="8">
        <f>IF(B247="","",IF(S247="제외","",IF(AND(설정!$B$21&lt;&gt;"",L247&lt;&gt;설정!$B$21),"",IF(AND(Q247&lt;&gt;"",Q247&gt;N(O247),Q247&lt;=설정!$B$24+7),설정!$B$39+7-(Q247-설정!$B$24),IF(AND(G247&gt;0,OR(S247="안 가봄",RIGHT(S247,2)="지남")),G247+IF(O247="",설정!$B$36,MIN(P247,60)*설정!$B$37)+MIN(N(H247)/1000*설정!$B$38,20),"")))))</f>
        <v/>
      </c>
      <c r="U247">
        <f>IF(T247="","",COUNTIF(T$4:T$303,"&gt;"&amp;T247)+COUNTIF(T$4:T247,T247))</f>
        <v/>
      </c>
    </row>
    <row r="248">
      <c r="A248">
        <f>IF(B248="","",245)</f>
        <v/>
      </c>
      <c r="B248">
        <f>IFERROR(INDEX('2.현장'!$V$2:$V$1001,MATCH(245,'2.현장'!$W$2:$W$1001,0)),"")</f>
        <v/>
      </c>
      <c r="C248">
        <f>IF(B248="","",COUNTIFS('2.현장'!$V$2:$V$1001,B248,'2.현장'!$T$2:$T$1001,TRUE))</f>
        <v/>
      </c>
      <c r="D248">
        <f>IF(B248="","",COUNTIFS('2.현장'!$V$2:$V$1001,B248,'2.현장'!$U$2:$U$1001,"설계사"))</f>
        <v/>
      </c>
      <c r="E248">
        <f>IF(B248="","",COUNTIFS('2.현장'!$V$2:$V$1001,B248,'2.현장'!$U$2:$U$1001,"시공사"))</f>
        <v/>
      </c>
      <c r="F248">
        <f>IF(B248="","",COUNTIFS('2.현장'!$V$2:$V$1001,B248,'2.현장'!$T$2:$T$1001,TRUE,'2.현장'!$AA$2:$AA$1001,"★"))</f>
        <v/>
      </c>
      <c r="G248" s="6">
        <f>IF(B248="","",SUMIFS('2.현장'!$AB$2:$AB$1001,'2.현장'!$V$2:$V$1001,B248,'2.현장'!$T$2:$T$1001,TRUE))</f>
        <v/>
      </c>
      <c r="H248" s="5">
        <f>IF(B248="","",_xlfn.MAXIFS('2.현장'!$D$2:$D$1001,'2.현장'!$V$2:$V$1001,B248,'2.현장'!$T$2:$T$1001,TRUE))</f>
        <v/>
      </c>
      <c r="I248" s="7">
        <f>IF(B248="","",IF(_xlfn.MAXIFS('2.현장'!$L$2:$L$1001,'2.현장'!$V$2:$V$1001,B248,'2.현장'!$T$2:$T$1001,TRUE)=0,"",_xlfn.MAXIFS('2.현장'!$L$2:$L$1001,'2.현장'!$V$2:$V$1001,B248,'2.현장'!$T$2:$T$1001,TRUE)))</f>
        <v/>
      </c>
      <c r="J248" s="7">
        <f>IF(B248="","",IF(_xlfn.MAXIFS('2.현장'!$M$2:$M$1001,'2.현장'!$V$2:$V$1001,B248,'2.현장'!$T$2:$T$1001,TRUE)=0,"",_xlfn.MAXIFS('2.현장'!$M$2:$M$1001,'2.현장'!$V$2:$V$1001,B248,'2.현장'!$T$2:$T$1001,TRUE)))</f>
        <v/>
      </c>
      <c r="K248">
        <f>IF(B248="","",IFERROR(INDEX('2.현장'!$C$2:$C$1001,IFERROR(MATCH(B248&amp;"|설계사",'2.현장'!$Z$2:$Z$1001,0),IFERROR(MATCH(B248&amp;"|시공사",'2.현장'!$Z$2:$Z$1001,0),MATCH(B248&amp;"|늦음",'2.현장'!$Z$2:$Z$1001,0)))),""))</f>
        <v/>
      </c>
      <c r="L248">
        <f>IF(B248="","",IFERROR(INDEX('2.현장'!$N$2:$N$1001,IFERROR(MATCH(B248&amp;"|설계사",'2.현장'!$Z$2:$Z$1001,0),IFERROR(MATCH(B248&amp;"|시공사",'2.현장'!$Z$2:$Z$1001,0),MATCH(B248&amp;"|늦음",'2.현장'!$Z$2:$Z$1001,0)))),""))</f>
        <v/>
      </c>
      <c r="M248">
        <f>IF(B248="","",IFERROR(VLOOKUP(B248,업체_메모!$A$3:$I$302,2,FALSE)&amp;"",""))</f>
        <v/>
      </c>
      <c r="N248">
        <f>IF(B248="","",IFERROR(VLOOKUP(B248,업체_메모!$A$3:$I$302,4,FALSE)&amp;"",""))</f>
        <v/>
      </c>
      <c r="O248" s="7">
        <f>IF(B248="","",IF(COUNTIF('4.방문기록'!$B$3:$B$502,B248)=0,"",_xlfn.MAXIFS('4.방문기록'!$A$3:$A$502,'4.방문기록'!$B$3:$B$502,B248)))</f>
        <v/>
      </c>
      <c r="P248">
        <f>IF(O248="","",설정!$B$24-O248)</f>
        <v/>
      </c>
      <c r="Q248" s="7">
        <f>IF(B248="","",IF(_xlfn.MAXIFS('4.방문기록'!$F$3:$F$502,'4.방문기록'!$B$3:$B$502,B248)=0,"",_xlfn.MAXIFS('4.방문기록'!$F$3:$F$502,'4.방문기록'!$B$3:$B$502,B248)))</f>
        <v/>
      </c>
      <c r="R248">
        <f>IF(O248="","",IFERROR(INDEX('4.방문기록'!$H$3:$H$502,MATCH(B248&amp;"|"&amp;(O248*1),'4.방문기록'!$I$3:$I$502,0))&amp;"",""))</f>
        <v/>
      </c>
      <c r="S248">
        <f>IF(B248="","",IF(R248="관심 없음","제외",IF(O248="","안 가봄",IF(P248&gt;=설정!$B$20,P248&amp;"일 지남","최근 방문"))))</f>
        <v/>
      </c>
      <c r="T248" s="8">
        <f>IF(B248="","",IF(S248="제외","",IF(AND(설정!$B$21&lt;&gt;"",L248&lt;&gt;설정!$B$21),"",IF(AND(Q248&lt;&gt;"",Q248&gt;N(O248),Q248&lt;=설정!$B$24+7),설정!$B$39+7-(Q248-설정!$B$24),IF(AND(G248&gt;0,OR(S248="안 가봄",RIGHT(S248,2)="지남")),G248+IF(O248="",설정!$B$36,MIN(P248,60)*설정!$B$37)+MIN(N(H248)/1000*설정!$B$38,20),"")))))</f>
        <v/>
      </c>
      <c r="U248">
        <f>IF(T248="","",COUNTIF(T$4:T$303,"&gt;"&amp;T248)+COUNTIF(T$4:T248,T248))</f>
        <v/>
      </c>
    </row>
    <row r="249">
      <c r="A249">
        <f>IF(B249="","",246)</f>
        <v/>
      </c>
      <c r="B249">
        <f>IFERROR(INDEX('2.현장'!$V$2:$V$1001,MATCH(246,'2.현장'!$W$2:$W$1001,0)),"")</f>
        <v/>
      </c>
      <c r="C249">
        <f>IF(B249="","",COUNTIFS('2.현장'!$V$2:$V$1001,B249,'2.현장'!$T$2:$T$1001,TRUE))</f>
        <v/>
      </c>
      <c r="D249">
        <f>IF(B249="","",COUNTIFS('2.현장'!$V$2:$V$1001,B249,'2.현장'!$U$2:$U$1001,"설계사"))</f>
        <v/>
      </c>
      <c r="E249">
        <f>IF(B249="","",COUNTIFS('2.현장'!$V$2:$V$1001,B249,'2.현장'!$U$2:$U$1001,"시공사"))</f>
        <v/>
      </c>
      <c r="F249">
        <f>IF(B249="","",COUNTIFS('2.현장'!$V$2:$V$1001,B249,'2.현장'!$T$2:$T$1001,TRUE,'2.현장'!$AA$2:$AA$1001,"★"))</f>
        <v/>
      </c>
      <c r="G249" s="6">
        <f>IF(B249="","",SUMIFS('2.현장'!$AB$2:$AB$1001,'2.현장'!$V$2:$V$1001,B249,'2.현장'!$T$2:$T$1001,TRUE))</f>
        <v/>
      </c>
      <c r="H249" s="5">
        <f>IF(B249="","",_xlfn.MAXIFS('2.현장'!$D$2:$D$1001,'2.현장'!$V$2:$V$1001,B249,'2.현장'!$T$2:$T$1001,TRUE))</f>
        <v/>
      </c>
      <c r="I249" s="7">
        <f>IF(B249="","",IF(_xlfn.MAXIFS('2.현장'!$L$2:$L$1001,'2.현장'!$V$2:$V$1001,B249,'2.현장'!$T$2:$T$1001,TRUE)=0,"",_xlfn.MAXIFS('2.현장'!$L$2:$L$1001,'2.현장'!$V$2:$V$1001,B249,'2.현장'!$T$2:$T$1001,TRUE)))</f>
        <v/>
      </c>
      <c r="J249" s="7">
        <f>IF(B249="","",IF(_xlfn.MAXIFS('2.현장'!$M$2:$M$1001,'2.현장'!$V$2:$V$1001,B249,'2.현장'!$T$2:$T$1001,TRUE)=0,"",_xlfn.MAXIFS('2.현장'!$M$2:$M$1001,'2.현장'!$V$2:$V$1001,B249,'2.현장'!$T$2:$T$1001,TRUE)))</f>
        <v/>
      </c>
      <c r="K249">
        <f>IF(B249="","",IFERROR(INDEX('2.현장'!$C$2:$C$1001,IFERROR(MATCH(B249&amp;"|설계사",'2.현장'!$Z$2:$Z$1001,0),IFERROR(MATCH(B249&amp;"|시공사",'2.현장'!$Z$2:$Z$1001,0),MATCH(B249&amp;"|늦음",'2.현장'!$Z$2:$Z$1001,0)))),""))</f>
        <v/>
      </c>
      <c r="L249">
        <f>IF(B249="","",IFERROR(INDEX('2.현장'!$N$2:$N$1001,IFERROR(MATCH(B249&amp;"|설계사",'2.현장'!$Z$2:$Z$1001,0),IFERROR(MATCH(B249&amp;"|시공사",'2.현장'!$Z$2:$Z$1001,0),MATCH(B249&amp;"|늦음",'2.현장'!$Z$2:$Z$1001,0)))),""))</f>
        <v/>
      </c>
      <c r="M249">
        <f>IF(B249="","",IFERROR(VLOOKUP(B249,업체_메모!$A$3:$I$302,2,FALSE)&amp;"",""))</f>
        <v/>
      </c>
      <c r="N249">
        <f>IF(B249="","",IFERROR(VLOOKUP(B249,업체_메모!$A$3:$I$302,4,FALSE)&amp;"",""))</f>
        <v/>
      </c>
      <c r="O249" s="7">
        <f>IF(B249="","",IF(COUNTIF('4.방문기록'!$B$3:$B$502,B249)=0,"",_xlfn.MAXIFS('4.방문기록'!$A$3:$A$502,'4.방문기록'!$B$3:$B$502,B249)))</f>
        <v/>
      </c>
      <c r="P249">
        <f>IF(O249="","",설정!$B$24-O249)</f>
        <v/>
      </c>
      <c r="Q249" s="7">
        <f>IF(B249="","",IF(_xlfn.MAXIFS('4.방문기록'!$F$3:$F$502,'4.방문기록'!$B$3:$B$502,B249)=0,"",_xlfn.MAXIFS('4.방문기록'!$F$3:$F$502,'4.방문기록'!$B$3:$B$502,B249)))</f>
        <v/>
      </c>
      <c r="R249">
        <f>IF(O249="","",IFERROR(INDEX('4.방문기록'!$H$3:$H$502,MATCH(B249&amp;"|"&amp;(O249*1),'4.방문기록'!$I$3:$I$502,0))&amp;"",""))</f>
        <v/>
      </c>
      <c r="S249">
        <f>IF(B249="","",IF(R249="관심 없음","제외",IF(O249="","안 가봄",IF(P249&gt;=설정!$B$20,P249&amp;"일 지남","최근 방문"))))</f>
        <v/>
      </c>
      <c r="T249" s="8">
        <f>IF(B249="","",IF(S249="제외","",IF(AND(설정!$B$21&lt;&gt;"",L249&lt;&gt;설정!$B$21),"",IF(AND(Q249&lt;&gt;"",Q249&gt;N(O249),Q249&lt;=설정!$B$24+7),설정!$B$39+7-(Q249-설정!$B$24),IF(AND(G249&gt;0,OR(S249="안 가봄",RIGHT(S249,2)="지남")),G249+IF(O249="",설정!$B$36,MIN(P249,60)*설정!$B$37)+MIN(N(H249)/1000*설정!$B$38,20),"")))))</f>
        <v/>
      </c>
      <c r="U249">
        <f>IF(T249="","",COUNTIF(T$4:T$303,"&gt;"&amp;T249)+COUNTIF(T$4:T249,T249))</f>
        <v/>
      </c>
    </row>
    <row r="250">
      <c r="A250">
        <f>IF(B250="","",247)</f>
        <v/>
      </c>
      <c r="B250">
        <f>IFERROR(INDEX('2.현장'!$V$2:$V$1001,MATCH(247,'2.현장'!$W$2:$W$1001,0)),"")</f>
        <v/>
      </c>
      <c r="C250">
        <f>IF(B250="","",COUNTIFS('2.현장'!$V$2:$V$1001,B250,'2.현장'!$T$2:$T$1001,TRUE))</f>
        <v/>
      </c>
      <c r="D250">
        <f>IF(B250="","",COUNTIFS('2.현장'!$V$2:$V$1001,B250,'2.현장'!$U$2:$U$1001,"설계사"))</f>
        <v/>
      </c>
      <c r="E250">
        <f>IF(B250="","",COUNTIFS('2.현장'!$V$2:$V$1001,B250,'2.현장'!$U$2:$U$1001,"시공사"))</f>
        <v/>
      </c>
      <c r="F250">
        <f>IF(B250="","",COUNTIFS('2.현장'!$V$2:$V$1001,B250,'2.현장'!$T$2:$T$1001,TRUE,'2.현장'!$AA$2:$AA$1001,"★"))</f>
        <v/>
      </c>
      <c r="G250" s="6">
        <f>IF(B250="","",SUMIFS('2.현장'!$AB$2:$AB$1001,'2.현장'!$V$2:$V$1001,B250,'2.현장'!$T$2:$T$1001,TRUE))</f>
        <v/>
      </c>
      <c r="H250" s="5">
        <f>IF(B250="","",_xlfn.MAXIFS('2.현장'!$D$2:$D$1001,'2.현장'!$V$2:$V$1001,B250,'2.현장'!$T$2:$T$1001,TRUE))</f>
        <v/>
      </c>
      <c r="I250" s="7">
        <f>IF(B250="","",IF(_xlfn.MAXIFS('2.현장'!$L$2:$L$1001,'2.현장'!$V$2:$V$1001,B250,'2.현장'!$T$2:$T$1001,TRUE)=0,"",_xlfn.MAXIFS('2.현장'!$L$2:$L$1001,'2.현장'!$V$2:$V$1001,B250,'2.현장'!$T$2:$T$1001,TRUE)))</f>
        <v/>
      </c>
      <c r="J250" s="7">
        <f>IF(B250="","",IF(_xlfn.MAXIFS('2.현장'!$M$2:$M$1001,'2.현장'!$V$2:$V$1001,B250,'2.현장'!$T$2:$T$1001,TRUE)=0,"",_xlfn.MAXIFS('2.현장'!$M$2:$M$1001,'2.현장'!$V$2:$V$1001,B250,'2.현장'!$T$2:$T$1001,TRUE)))</f>
        <v/>
      </c>
      <c r="K250">
        <f>IF(B250="","",IFERROR(INDEX('2.현장'!$C$2:$C$1001,IFERROR(MATCH(B250&amp;"|설계사",'2.현장'!$Z$2:$Z$1001,0),IFERROR(MATCH(B250&amp;"|시공사",'2.현장'!$Z$2:$Z$1001,0),MATCH(B250&amp;"|늦음",'2.현장'!$Z$2:$Z$1001,0)))),""))</f>
        <v/>
      </c>
      <c r="L250">
        <f>IF(B250="","",IFERROR(INDEX('2.현장'!$N$2:$N$1001,IFERROR(MATCH(B250&amp;"|설계사",'2.현장'!$Z$2:$Z$1001,0),IFERROR(MATCH(B250&amp;"|시공사",'2.현장'!$Z$2:$Z$1001,0),MATCH(B250&amp;"|늦음",'2.현장'!$Z$2:$Z$1001,0)))),""))</f>
        <v/>
      </c>
      <c r="M250">
        <f>IF(B250="","",IFERROR(VLOOKUP(B250,업체_메모!$A$3:$I$302,2,FALSE)&amp;"",""))</f>
        <v/>
      </c>
      <c r="N250">
        <f>IF(B250="","",IFERROR(VLOOKUP(B250,업체_메모!$A$3:$I$302,4,FALSE)&amp;"",""))</f>
        <v/>
      </c>
      <c r="O250" s="7">
        <f>IF(B250="","",IF(COUNTIF('4.방문기록'!$B$3:$B$502,B250)=0,"",_xlfn.MAXIFS('4.방문기록'!$A$3:$A$502,'4.방문기록'!$B$3:$B$502,B250)))</f>
        <v/>
      </c>
      <c r="P250">
        <f>IF(O250="","",설정!$B$24-O250)</f>
        <v/>
      </c>
      <c r="Q250" s="7">
        <f>IF(B250="","",IF(_xlfn.MAXIFS('4.방문기록'!$F$3:$F$502,'4.방문기록'!$B$3:$B$502,B250)=0,"",_xlfn.MAXIFS('4.방문기록'!$F$3:$F$502,'4.방문기록'!$B$3:$B$502,B250)))</f>
        <v/>
      </c>
      <c r="R250">
        <f>IF(O250="","",IFERROR(INDEX('4.방문기록'!$H$3:$H$502,MATCH(B250&amp;"|"&amp;(O250*1),'4.방문기록'!$I$3:$I$502,0))&amp;"",""))</f>
        <v/>
      </c>
      <c r="S250">
        <f>IF(B250="","",IF(R250="관심 없음","제외",IF(O250="","안 가봄",IF(P250&gt;=설정!$B$20,P250&amp;"일 지남","최근 방문"))))</f>
        <v/>
      </c>
      <c r="T250" s="8">
        <f>IF(B250="","",IF(S250="제외","",IF(AND(설정!$B$21&lt;&gt;"",L250&lt;&gt;설정!$B$21),"",IF(AND(Q250&lt;&gt;"",Q250&gt;N(O250),Q250&lt;=설정!$B$24+7),설정!$B$39+7-(Q250-설정!$B$24),IF(AND(G250&gt;0,OR(S250="안 가봄",RIGHT(S250,2)="지남")),G250+IF(O250="",설정!$B$36,MIN(P250,60)*설정!$B$37)+MIN(N(H250)/1000*설정!$B$38,20),"")))))</f>
        <v/>
      </c>
      <c r="U250">
        <f>IF(T250="","",COUNTIF(T$4:T$303,"&gt;"&amp;T250)+COUNTIF(T$4:T250,T250))</f>
        <v/>
      </c>
    </row>
    <row r="251">
      <c r="A251">
        <f>IF(B251="","",248)</f>
        <v/>
      </c>
      <c r="B251">
        <f>IFERROR(INDEX('2.현장'!$V$2:$V$1001,MATCH(248,'2.현장'!$W$2:$W$1001,0)),"")</f>
        <v/>
      </c>
      <c r="C251">
        <f>IF(B251="","",COUNTIFS('2.현장'!$V$2:$V$1001,B251,'2.현장'!$T$2:$T$1001,TRUE))</f>
        <v/>
      </c>
      <c r="D251">
        <f>IF(B251="","",COUNTIFS('2.현장'!$V$2:$V$1001,B251,'2.현장'!$U$2:$U$1001,"설계사"))</f>
        <v/>
      </c>
      <c r="E251">
        <f>IF(B251="","",COUNTIFS('2.현장'!$V$2:$V$1001,B251,'2.현장'!$U$2:$U$1001,"시공사"))</f>
        <v/>
      </c>
      <c r="F251">
        <f>IF(B251="","",COUNTIFS('2.현장'!$V$2:$V$1001,B251,'2.현장'!$T$2:$T$1001,TRUE,'2.현장'!$AA$2:$AA$1001,"★"))</f>
        <v/>
      </c>
      <c r="G251" s="6">
        <f>IF(B251="","",SUMIFS('2.현장'!$AB$2:$AB$1001,'2.현장'!$V$2:$V$1001,B251,'2.현장'!$T$2:$T$1001,TRUE))</f>
        <v/>
      </c>
      <c r="H251" s="5">
        <f>IF(B251="","",_xlfn.MAXIFS('2.현장'!$D$2:$D$1001,'2.현장'!$V$2:$V$1001,B251,'2.현장'!$T$2:$T$1001,TRUE))</f>
        <v/>
      </c>
      <c r="I251" s="7">
        <f>IF(B251="","",IF(_xlfn.MAXIFS('2.현장'!$L$2:$L$1001,'2.현장'!$V$2:$V$1001,B251,'2.현장'!$T$2:$T$1001,TRUE)=0,"",_xlfn.MAXIFS('2.현장'!$L$2:$L$1001,'2.현장'!$V$2:$V$1001,B251,'2.현장'!$T$2:$T$1001,TRUE)))</f>
        <v/>
      </c>
      <c r="J251" s="7">
        <f>IF(B251="","",IF(_xlfn.MAXIFS('2.현장'!$M$2:$M$1001,'2.현장'!$V$2:$V$1001,B251,'2.현장'!$T$2:$T$1001,TRUE)=0,"",_xlfn.MAXIFS('2.현장'!$M$2:$M$1001,'2.현장'!$V$2:$V$1001,B251,'2.현장'!$T$2:$T$1001,TRUE)))</f>
        <v/>
      </c>
      <c r="K251">
        <f>IF(B251="","",IFERROR(INDEX('2.현장'!$C$2:$C$1001,IFERROR(MATCH(B251&amp;"|설계사",'2.현장'!$Z$2:$Z$1001,0),IFERROR(MATCH(B251&amp;"|시공사",'2.현장'!$Z$2:$Z$1001,0),MATCH(B251&amp;"|늦음",'2.현장'!$Z$2:$Z$1001,0)))),""))</f>
        <v/>
      </c>
      <c r="L251">
        <f>IF(B251="","",IFERROR(INDEX('2.현장'!$N$2:$N$1001,IFERROR(MATCH(B251&amp;"|설계사",'2.현장'!$Z$2:$Z$1001,0),IFERROR(MATCH(B251&amp;"|시공사",'2.현장'!$Z$2:$Z$1001,0),MATCH(B251&amp;"|늦음",'2.현장'!$Z$2:$Z$1001,0)))),""))</f>
        <v/>
      </c>
      <c r="M251">
        <f>IF(B251="","",IFERROR(VLOOKUP(B251,업체_메모!$A$3:$I$302,2,FALSE)&amp;"",""))</f>
        <v/>
      </c>
      <c r="N251">
        <f>IF(B251="","",IFERROR(VLOOKUP(B251,업체_메모!$A$3:$I$302,4,FALSE)&amp;"",""))</f>
        <v/>
      </c>
      <c r="O251" s="7">
        <f>IF(B251="","",IF(COUNTIF('4.방문기록'!$B$3:$B$502,B251)=0,"",_xlfn.MAXIFS('4.방문기록'!$A$3:$A$502,'4.방문기록'!$B$3:$B$502,B251)))</f>
        <v/>
      </c>
      <c r="P251">
        <f>IF(O251="","",설정!$B$24-O251)</f>
        <v/>
      </c>
      <c r="Q251" s="7">
        <f>IF(B251="","",IF(_xlfn.MAXIFS('4.방문기록'!$F$3:$F$502,'4.방문기록'!$B$3:$B$502,B251)=0,"",_xlfn.MAXIFS('4.방문기록'!$F$3:$F$502,'4.방문기록'!$B$3:$B$502,B251)))</f>
        <v/>
      </c>
      <c r="R251">
        <f>IF(O251="","",IFERROR(INDEX('4.방문기록'!$H$3:$H$502,MATCH(B251&amp;"|"&amp;(O251*1),'4.방문기록'!$I$3:$I$502,0))&amp;"",""))</f>
        <v/>
      </c>
      <c r="S251">
        <f>IF(B251="","",IF(R251="관심 없음","제외",IF(O251="","안 가봄",IF(P251&gt;=설정!$B$20,P251&amp;"일 지남","최근 방문"))))</f>
        <v/>
      </c>
      <c r="T251" s="8">
        <f>IF(B251="","",IF(S251="제외","",IF(AND(설정!$B$21&lt;&gt;"",L251&lt;&gt;설정!$B$21),"",IF(AND(Q251&lt;&gt;"",Q251&gt;N(O251),Q251&lt;=설정!$B$24+7),설정!$B$39+7-(Q251-설정!$B$24),IF(AND(G251&gt;0,OR(S251="안 가봄",RIGHT(S251,2)="지남")),G251+IF(O251="",설정!$B$36,MIN(P251,60)*설정!$B$37)+MIN(N(H251)/1000*설정!$B$38,20),"")))))</f>
        <v/>
      </c>
      <c r="U251">
        <f>IF(T251="","",COUNTIF(T$4:T$303,"&gt;"&amp;T251)+COUNTIF(T$4:T251,T251))</f>
        <v/>
      </c>
    </row>
    <row r="252">
      <c r="A252">
        <f>IF(B252="","",249)</f>
        <v/>
      </c>
      <c r="B252">
        <f>IFERROR(INDEX('2.현장'!$V$2:$V$1001,MATCH(249,'2.현장'!$W$2:$W$1001,0)),"")</f>
        <v/>
      </c>
      <c r="C252">
        <f>IF(B252="","",COUNTIFS('2.현장'!$V$2:$V$1001,B252,'2.현장'!$T$2:$T$1001,TRUE))</f>
        <v/>
      </c>
      <c r="D252">
        <f>IF(B252="","",COUNTIFS('2.현장'!$V$2:$V$1001,B252,'2.현장'!$U$2:$U$1001,"설계사"))</f>
        <v/>
      </c>
      <c r="E252">
        <f>IF(B252="","",COUNTIFS('2.현장'!$V$2:$V$1001,B252,'2.현장'!$U$2:$U$1001,"시공사"))</f>
        <v/>
      </c>
      <c r="F252">
        <f>IF(B252="","",COUNTIFS('2.현장'!$V$2:$V$1001,B252,'2.현장'!$T$2:$T$1001,TRUE,'2.현장'!$AA$2:$AA$1001,"★"))</f>
        <v/>
      </c>
      <c r="G252" s="6">
        <f>IF(B252="","",SUMIFS('2.현장'!$AB$2:$AB$1001,'2.현장'!$V$2:$V$1001,B252,'2.현장'!$T$2:$T$1001,TRUE))</f>
        <v/>
      </c>
      <c r="H252" s="5">
        <f>IF(B252="","",_xlfn.MAXIFS('2.현장'!$D$2:$D$1001,'2.현장'!$V$2:$V$1001,B252,'2.현장'!$T$2:$T$1001,TRUE))</f>
        <v/>
      </c>
      <c r="I252" s="7">
        <f>IF(B252="","",IF(_xlfn.MAXIFS('2.현장'!$L$2:$L$1001,'2.현장'!$V$2:$V$1001,B252,'2.현장'!$T$2:$T$1001,TRUE)=0,"",_xlfn.MAXIFS('2.현장'!$L$2:$L$1001,'2.현장'!$V$2:$V$1001,B252,'2.현장'!$T$2:$T$1001,TRUE)))</f>
        <v/>
      </c>
      <c r="J252" s="7">
        <f>IF(B252="","",IF(_xlfn.MAXIFS('2.현장'!$M$2:$M$1001,'2.현장'!$V$2:$V$1001,B252,'2.현장'!$T$2:$T$1001,TRUE)=0,"",_xlfn.MAXIFS('2.현장'!$M$2:$M$1001,'2.현장'!$V$2:$V$1001,B252,'2.현장'!$T$2:$T$1001,TRUE)))</f>
        <v/>
      </c>
      <c r="K252">
        <f>IF(B252="","",IFERROR(INDEX('2.현장'!$C$2:$C$1001,IFERROR(MATCH(B252&amp;"|설계사",'2.현장'!$Z$2:$Z$1001,0),IFERROR(MATCH(B252&amp;"|시공사",'2.현장'!$Z$2:$Z$1001,0),MATCH(B252&amp;"|늦음",'2.현장'!$Z$2:$Z$1001,0)))),""))</f>
        <v/>
      </c>
      <c r="L252">
        <f>IF(B252="","",IFERROR(INDEX('2.현장'!$N$2:$N$1001,IFERROR(MATCH(B252&amp;"|설계사",'2.현장'!$Z$2:$Z$1001,0),IFERROR(MATCH(B252&amp;"|시공사",'2.현장'!$Z$2:$Z$1001,0),MATCH(B252&amp;"|늦음",'2.현장'!$Z$2:$Z$1001,0)))),""))</f>
        <v/>
      </c>
      <c r="M252">
        <f>IF(B252="","",IFERROR(VLOOKUP(B252,업체_메모!$A$3:$I$302,2,FALSE)&amp;"",""))</f>
        <v/>
      </c>
      <c r="N252">
        <f>IF(B252="","",IFERROR(VLOOKUP(B252,업체_메모!$A$3:$I$302,4,FALSE)&amp;"",""))</f>
        <v/>
      </c>
      <c r="O252" s="7">
        <f>IF(B252="","",IF(COUNTIF('4.방문기록'!$B$3:$B$502,B252)=0,"",_xlfn.MAXIFS('4.방문기록'!$A$3:$A$502,'4.방문기록'!$B$3:$B$502,B252)))</f>
        <v/>
      </c>
      <c r="P252">
        <f>IF(O252="","",설정!$B$24-O252)</f>
        <v/>
      </c>
      <c r="Q252" s="7">
        <f>IF(B252="","",IF(_xlfn.MAXIFS('4.방문기록'!$F$3:$F$502,'4.방문기록'!$B$3:$B$502,B252)=0,"",_xlfn.MAXIFS('4.방문기록'!$F$3:$F$502,'4.방문기록'!$B$3:$B$502,B252)))</f>
        <v/>
      </c>
      <c r="R252">
        <f>IF(O252="","",IFERROR(INDEX('4.방문기록'!$H$3:$H$502,MATCH(B252&amp;"|"&amp;(O252*1),'4.방문기록'!$I$3:$I$502,0))&amp;"",""))</f>
        <v/>
      </c>
      <c r="S252">
        <f>IF(B252="","",IF(R252="관심 없음","제외",IF(O252="","안 가봄",IF(P252&gt;=설정!$B$20,P252&amp;"일 지남","최근 방문"))))</f>
        <v/>
      </c>
      <c r="T252" s="8">
        <f>IF(B252="","",IF(S252="제외","",IF(AND(설정!$B$21&lt;&gt;"",L252&lt;&gt;설정!$B$21),"",IF(AND(Q252&lt;&gt;"",Q252&gt;N(O252),Q252&lt;=설정!$B$24+7),설정!$B$39+7-(Q252-설정!$B$24),IF(AND(G252&gt;0,OR(S252="안 가봄",RIGHT(S252,2)="지남")),G252+IF(O252="",설정!$B$36,MIN(P252,60)*설정!$B$37)+MIN(N(H252)/1000*설정!$B$38,20),"")))))</f>
        <v/>
      </c>
      <c r="U252">
        <f>IF(T252="","",COUNTIF(T$4:T$303,"&gt;"&amp;T252)+COUNTIF(T$4:T252,T252))</f>
        <v/>
      </c>
    </row>
    <row r="253">
      <c r="A253">
        <f>IF(B253="","",250)</f>
        <v/>
      </c>
      <c r="B253">
        <f>IFERROR(INDEX('2.현장'!$V$2:$V$1001,MATCH(250,'2.현장'!$W$2:$W$1001,0)),"")</f>
        <v/>
      </c>
      <c r="C253">
        <f>IF(B253="","",COUNTIFS('2.현장'!$V$2:$V$1001,B253,'2.현장'!$T$2:$T$1001,TRUE))</f>
        <v/>
      </c>
      <c r="D253">
        <f>IF(B253="","",COUNTIFS('2.현장'!$V$2:$V$1001,B253,'2.현장'!$U$2:$U$1001,"설계사"))</f>
        <v/>
      </c>
      <c r="E253">
        <f>IF(B253="","",COUNTIFS('2.현장'!$V$2:$V$1001,B253,'2.현장'!$U$2:$U$1001,"시공사"))</f>
        <v/>
      </c>
      <c r="F253">
        <f>IF(B253="","",COUNTIFS('2.현장'!$V$2:$V$1001,B253,'2.현장'!$T$2:$T$1001,TRUE,'2.현장'!$AA$2:$AA$1001,"★"))</f>
        <v/>
      </c>
      <c r="G253" s="6">
        <f>IF(B253="","",SUMIFS('2.현장'!$AB$2:$AB$1001,'2.현장'!$V$2:$V$1001,B253,'2.현장'!$T$2:$T$1001,TRUE))</f>
        <v/>
      </c>
      <c r="H253" s="5">
        <f>IF(B253="","",_xlfn.MAXIFS('2.현장'!$D$2:$D$1001,'2.현장'!$V$2:$V$1001,B253,'2.현장'!$T$2:$T$1001,TRUE))</f>
        <v/>
      </c>
      <c r="I253" s="7">
        <f>IF(B253="","",IF(_xlfn.MAXIFS('2.현장'!$L$2:$L$1001,'2.현장'!$V$2:$V$1001,B253,'2.현장'!$T$2:$T$1001,TRUE)=0,"",_xlfn.MAXIFS('2.현장'!$L$2:$L$1001,'2.현장'!$V$2:$V$1001,B253,'2.현장'!$T$2:$T$1001,TRUE)))</f>
        <v/>
      </c>
      <c r="J253" s="7">
        <f>IF(B253="","",IF(_xlfn.MAXIFS('2.현장'!$M$2:$M$1001,'2.현장'!$V$2:$V$1001,B253,'2.현장'!$T$2:$T$1001,TRUE)=0,"",_xlfn.MAXIFS('2.현장'!$M$2:$M$1001,'2.현장'!$V$2:$V$1001,B253,'2.현장'!$T$2:$T$1001,TRUE)))</f>
        <v/>
      </c>
      <c r="K253">
        <f>IF(B253="","",IFERROR(INDEX('2.현장'!$C$2:$C$1001,IFERROR(MATCH(B253&amp;"|설계사",'2.현장'!$Z$2:$Z$1001,0),IFERROR(MATCH(B253&amp;"|시공사",'2.현장'!$Z$2:$Z$1001,0),MATCH(B253&amp;"|늦음",'2.현장'!$Z$2:$Z$1001,0)))),""))</f>
        <v/>
      </c>
      <c r="L253">
        <f>IF(B253="","",IFERROR(INDEX('2.현장'!$N$2:$N$1001,IFERROR(MATCH(B253&amp;"|설계사",'2.현장'!$Z$2:$Z$1001,0),IFERROR(MATCH(B253&amp;"|시공사",'2.현장'!$Z$2:$Z$1001,0),MATCH(B253&amp;"|늦음",'2.현장'!$Z$2:$Z$1001,0)))),""))</f>
        <v/>
      </c>
      <c r="M253">
        <f>IF(B253="","",IFERROR(VLOOKUP(B253,업체_메모!$A$3:$I$302,2,FALSE)&amp;"",""))</f>
        <v/>
      </c>
      <c r="N253">
        <f>IF(B253="","",IFERROR(VLOOKUP(B253,업체_메모!$A$3:$I$302,4,FALSE)&amp;"",""))</f>
        <v/>
      </c>
      <c r="O253" s="7">
        <f>IF(B253="","",IF(COUNTIF('4.방문기록'!$B$3:$B$502,B253)=0,"",_xlfn.MAXIFS('4.방문기록'!$A$3:$A$502,'4.방문기록'!$B$3:$B$502,B253)))</f>
        <v/>
      </c>
      <c r="P253">
        <f>IF(O253="","",설정!$B$24-O253)</f>
        <v/>
      </c>
      <c r="Q253" s="7">
        <f>IF(B253="","",IF(_xlfn.MAXIFS('4.방문기록'!$F$3:$F$502,'4.방문기록'!$B$3:$B$502,B253)=0,"",_xlfn.MAXIFS('4.방문기록'!$F$3:$F$502,'4.방문기록'!$B$3:$B$502,B253)))</f>
        <v/>
      </c>
      <c r="R253">
        <f>IF(O253="","",IFERROR(INDEX('4.방문기록'!$H$3:$H$502,MATCH(B253&amp;"|"&amp;(O253*1),'4.방문기록'!$I$3:$I$502,0))&amp;"",""))</f>
        <v/>
      </c>
      <c r="S253">
        <f>IF(B253="","",IF(R253="관심 없음","제외",IF(O253="","안 가봄",IF(P253&gt;=설정!$B$20,P253&amp;"일 지남","최근 방문"))))</f>
        <v/>
      </c>
      <c r="T253" s="8">
        <f>IF(B253="","",IF(S253="제외","",IF(AND(설정!$B$21&lt;&gt;"",L253&lt;&gt;설정!$B$21),"",IF(AND(Q253&lt;&gt;"",Q253&gt;N(O253),Q253&lt;=설정!$B$24+7),설정!$B$39+7-(Q253-설정!$B$24),IF(AND(G253&gt;0,OR(S253="안 가봄",RIGHT(S253,2)="지남")),G253+IF(O253="",설정!$B$36,MIN(P253,60)*설정!$B$37)+MIN(N(H253)/1000*설정!$B$38,20),"")))))</f>
        <v/>
      </c>
      <c r="U253">
        <f>IF(T253="","",COUNTIF(T$4:T$303,"&gt;"&amp;T253)+COUNTIF(T$4:T253,T253))</f>
        <v/>
      </c>
    </row>
    <row r="254">
      <c r="A254">
        <f>IF(B254="","",251)</f>
        <v/>
      </c>
      <c r="B254">
        <f>IFERROR(INDEX('2.현장'!$V$2:$V$1001,MATCH(251,'2.현장'!$W$2:$W$1001,0)),"")</f>
        <v/>
      </c>
      <c r="C254">
        <f>IF(B254="","",COUNTIFS('2.현장'!$V$2:$V$1001,B254,'2.현장'!$T$2:$T$1001,TRUE))</f>
        <v/>
      </c>
      <c r="D254">
        <f>IF(B254="","",COUNTIFS('2.현장'!$V$2:$V$1001,B254,'2.현장'!$U$2:$U$1001,"설계사"))</f>
        <v/>
      </c>
      <c r="E254">
        <f>IF(B254="","",COUNTIFS('2.현장'!$V$2:$V$1001,B254,'2.현장'!$U$2:$U$1001,"시공사"))</f>
        <v/>
      </c>
      <c r="F254">
        <f>IF(B254="","",COUNTIFS('2.현장'!$V$2:$V$1001,B254,'2.현장'!$T$2:$T$1001,TRUE,'2.현장'!$AA$2:$AA$1001,"★"))</f>
        <v/>
      </c>
      <c r="G254" s="6">
        <f>IF(B254="","",SUMIFS('2.현장'!$AB$2:$AB$1001,'2.현장'!$V$2:$V$1001,B254,'2.현장'!$T$2:$T$1001,TRUE))</f>
        <v/>
      </c>
      <c r="H254" s="5">
        <f>IF(B254="","",_xlfn.MAXIFS('2.현장'!$D$2:$D$1001,'2.현장'!$V$2:$V$1001,B254,'2.현장'!$T$2:$T$1001,TRUE))</f>
        <v/>
      </c>
      <c r="I254" s="7">
        <f>IF(B254="","",IF(_xlfn.MAXIFS('2.현장'!$L$2:$L$1001,'2.현장'!$V$2:$V$1001,B254,'2.현장'!$T$2:$T$1001,TRUE)=0,"",_xlfn.MAXIFS('2.현장'!$L$2:$L$1001,'2.현장'!$V$2:$V$1001,B254,'2.현장'!$T$2:$T$1001,TRUE)))</f>
        <v/>
      </c>
      <c r="J254" s="7">
        <f>IF(B254="","",IF(_xlfn.MAXIFS('2.현장'!$M$2:$M$1001,'2.현장'!$V$2:$V$1001,B254,'2.현장'!$T$2:$T$1001,TRUE)=0,"",_xlfn.MAXIFS('2.현장'!$M$2:$M$1001,'2.현장'!$V$2:$V$1001,B254,'2.현장'!$T$2:$T$1001,TRUE)))</f>
        <v/>
      </c>
      <c r="K254">
        <f>IF(B254="","",IFERROR(INDEX('2.현장'!$C$2:$C$1001,IFERROR(MATCH(B254&amp;"|설계사",'2.현장'!$Z$2:$Z$1001,0),IFERROR(MATCH(B254&amp;"|시공사",'2.현장'!$Z$2:$Z$1001,0),MATCH(B254&amp;"|늦음",'2.현장'!$Z$2:$Z$1001,0)))),""))</f>
        <v/>
      </c>
      <c r="L254">
        <f>IF(B254="","",IFERROR(INDEX('2.현장'!$N$2:$N$1001,IFERROR(MATCH(B254&amp;"|설계사",'2.현장'!$Z$2:$Z$1001,0),IFERROR(MATCH(B254&amp;"|시공사",'2.현장'!$Z$2:$Z$1001,0),MATCH(B254&amp;"|늦음",'2.현장'!$Z$2:$Z$1001,0)))),""))</f>
        <v/>
      </c>
      <c r="M254">
        <f>IF(B254="","",IFERROR(VLOOKUP(B254,업체_메모!$A$3:$I$302,2,FALSE)&amp;"",""))</f>
        <v/>
      </c>
      <c r="N254">
        <f>IF(B254="","",IFERROR(VLOOKUP(B254,업체_메모!$A$3:$I$302,4,FALSE)&amp;"",""))</f>
        <v/>
      </c>
      <c r="O254" s="7">
        <f>IF(B254="","",IF(COUNTIF('4.방문기록'!$B$3:$B$502,B254)=0,"",_xlfn.MAXIFS('4.방문기록'!$A$3:$A$502,'4.방문기록'!$B$3:$B$502,B254)))</f>
        <v/>
      </c>
      <c r="P254">
        <f>IF(O254="","",설정!$B$24-O254)</f>
        <v/>
      </c>
      <c r="Q254" s="7">
        <f>IF(B254="","",IF(_xlfn.MAXIFS('4.방문기록'!$F$3:$F$502,'4.방문기록'!$B$3:$B$502,B254)=0,"",_xlfn.MAXIFS('4.방문기록'!$F$3:$F$502,'4.방문기록'!$B$3:$B$502,B254)))</f>
        <v/>
      </c>
      <c r="R254">
        <f>IF(O254="","",IFERROR(INDEX('4.방문기록'!$H$3:$H$502,MATCH(B254&amp;"|"&amp;(O254*1),'4.방문기록'!$I$3:$I$502,0))&amp;"",""))</f>
        <v/>
      </c>
      <c r="S254">
        <f>IF(B254="","",IF(R254="관심 없음","제외",IF(O254="","안 가봄",IF(P254&gt;=설정!$B$20,P254&amp;"일 지남","최근 방문"))))</f>
        <v/>
      </c>
      <c r="T254" s="8">
        <f>IF(B254="","",IF(S254="제외","",IF(AND(설정!$B$21&lt;&gt;"",L254&lt;&gt;설정!$B$21),"",IF(AND(Q254&lt;&gt;"",Q254&gt;N(O254),Q254&lt;=설정!$B$24+7),설정!$B$39+7-(Q254-설정!$B$24),IF(AND(G254&gt;0,OR(S254="안 가봄",RIGHT(S254,2)="지남")),G254+IF(O254="",설정!$B$36,MIN(P254,60)*설정!$B$37)+MIN(N(H254)/1000*설정!$B$38,20),"")))))</f>
        <v/>
      </c>
      <c r="U254">
        <f>IF(T254="","",COUNTIF(T$4:T$303,"&gt;"&amp;T254)+COUNTIF(T$4:T254,T254))</f>
        <v/>
      </c>
    </row>
    <row r="255">
      <c r="A255">
        <f>IF(B255="","",252)</f>
        <v/>
      </c>
      <c r="B255">
        <f>IFERROR(INDEX('2.현장'!$V$2:$V$1001,MATCH(252,'2.현장'!$W$2:$W$1001,0)),"")</f>
        <v/>
      </c>
      <c r="C255">
        <f>IF(B255="","",COUNTIFS('2.현장'!$V$2:$V$1001,B255,'2.현장'!$T$2:$T$1001,TRUE))</f>
        <v/>
      </c>
      <c r="D255">
        <f>IF(B255="","",COUNTIFS('2.현장'!$V$2:$V$1001,B255,'2.현장'!$U$2:$U$1001,"설계사"))</f>
        <v/>
      </c>
      <c r="E255">
        <f>IF(B255="","",COUNTIFS('2.현장'!$V$2:$V$1001,B255,'2.현장'!$U$2:$U$1001,"시공사"))</f>
        <v/>
      </c>
      <c r="F255">
        <f>IF(B255="","",COUNTIFS('2.현장'!$V$2:$V$1001,B255,'2.현장'!$T$2:$T$1001,TRUE,'2.현장'!$AA$2:$AA$1001,"★"))</f>
        <v/>
      </c>
      <c r="G255" s="6">
        <f>IF(B255="","",SUMIFS('2.현장'!$AB$2:$AB$1001,'2.현장'!$V$2:$V$1001,B255,'2.현장'!$T$2:$T$1001,TRUE))</f>
        <v/>
      </c>
      <c r="H255" s="5">
        <f>IF(B255="","",_xlfn.MAXIFS('2.현장'!$D$2:$D$1001,'2.현장'!$V$2:$V$1001,B255,'2.현장'!$T$2:$T$1001,TRUE))</f>
        <v/>
      </c>
      <c r="I255" s="7">
        <f>IF(B255="","",IF(_xlfn.MAXIFS('2.현장'!$L$2:$L$1001,'2.현장'!$V$2:$V$1001,B255,'2.현장'!$T$2:$T$1001,TRUE)=0,"",_xlfn.MAXIFS('2.현장'!$L$2:$L$1001,'2.현장'!$V$2:$V$1001,B255,'2.현장'!$T$2:$T$1001,TRUE)))</f>
        <v/>
      </c>
      <c r="J255" s="7">
        <f>IF(B255="","",IF(_xlfn.MAXIFS('2.현장'!$M$2:$M$1001,'2.현장'!$V$2:$V$1001,B255,'2.현장'!$T$2:$T$1001,TRUE)=0,"",_xlfn.MAXIFS('2.현장'!$M$2:$M$1001,'2.현장'!$V$2:$V$1001,B255,'2.현장'!$T$2:$T$1001,TRUE)))</f>
        <v/>
      </c>
      <c r="K255">
        <f>IF(B255="","",IFERROR(INDEX('2.현장'!$C$2:$C$1001,IFERROR(MATCH(B255&amp;"|설계사",'2.현장'!$Z$2:$Z$1001,0),IFERROR(MATCH(B255&amp;"|시공사",'2.현장'!$Z$2:$Z$1001,0),MATCH(B255&amp;"|늦음",'2.현장'!$Z$2:$Z$1001,0)))),""))</f>
        <v/>
      </c>
      <c r="L255">
        <f>IF(B255="","",IFERROR(INDEX('2.현장'!$N$2:$N$1001,IFERROR(MATCH(B255&amp;"|설계사",'2.현장'!$Z$2:$Z$1001,0),IFERROR(MATCH(B255&amp;"|시공사",'2.현장'!$Z$2:$Z$1001,0),MATCH(B255&amp;"|늦음",'2.현장'!$Z$2:$Z$1001,0)))),""))</f>
        <v/>
      </c>
      <c r="M255">
        <f>IF(B255="","",IFERROR(VLOOKUP(B255,업체_메모!$A$3:$I$302,2,FALSE)&amp;"",""))</f>
        <v/>
      </c>
      <c r="N255">
        <f>IF(B255="","",IFERROR(VLOOKUP(B255,업체_메모!$A$3:$I$302,4,FALSE)&amp;"",""))</f>
        <v/>
      </c>
      <c r="O255" s="7">
        <f>IF(B255="","",IF(COUNTIF('4.방문기록'!$B$3:$B$502,B255)=0,"",_xlfn.MAXIFS('4.방문기록'!$A$3:$A$502,'4.방문기록'!$B$3:$B$502,B255)))</f>
        <v/>
      </c>
      <c r="P255">
        <f>IF(O255="","",설정!$B$24-O255)</f>
        <v/>
      </c>
      <c r="Q255" s="7">
        <f>IF(B255="","",IF(_xlfn.MAXIFS('4.방문기록'!$F$3:$F$502,'4.방문기록'!$B$3:$B$502,B255)=0,"",_xlfn.MAXIFS('4.방문기록'!$F$3:$F$502,'4.방문기록'!$B$3:$B$502,B255)))</f>
        <v/>
      </c>
      <c r="R255">
        <f>IF(O255="","",IFERROR(INDEX('4.방문기록'!$H$3:$H$502,MATCH(B255&amp;"|"&amp;(O255*1),'4.방문기록'!$I$3:$I$502,0))&amp;"",""))</f>
        <v/>
      </c>
      <c r="S255">
        <f>IF(B255="","",IF(R255="관심 없음","제외",IF(O255="","안 가봄",IF(P255&gt;=설정!$B$20,P255&amp;"일 지남","최근 방문"))))</f>
        <v/>
      </c>
      <c r="T255" s="8">
        <f>IF(B255="","",IF(S255="제외","",IF(AND(설정!$B$21&lt;&gt;"",L255&lt;&gt;설정!$B$21),"",IF(AND(Q255&lt;&gt;"",Q255&gt;N(O255),Q255&lt;=설정!$B$24+7),설정!$B$39+7-(Q255-설정!$B$24),IF(AND(G255&gt;0,OR(S255="안 가봄",RIGHT(S255,2)="지남")),G255+IF(O255="",설정!$B$36,MIN(P255,60)*설정!$B$37)+MIN(N(H255)/1000*설정!$B$38,20),"")))))</f>
        <v/>
      </c>
      <c r="U255">
        <f>IF(T255="","",COUNTIF(T$4:T$303,"&gt;"&amp;T255)+COUNTIF(T$4:T255,T255))</f>
        <v/>
      </c>
    </row>
    <row r="256">
      <c r="A256">
        <f>IF(B256="","",253)</f>
        <v/>
      </c>
      <c r="B256">
        <f>IFERROR(INDEX('2.현장'!$V$2:$V$1001,MATCH(253,'2.현장'!$W$2:$W$1001,0)),"")</f>
        <v/>
      </c>
      <c r="C256">
        <f>IF(B256="","",COUNTIFS('2.현장'!$V$2:$V$1001,B256,'2.현장'!$T$2:$T$1001,TRUE))</f>
        <v/>
      </c>
      <c r="D256">
        <f>IF(B256="","",COUNTIFS('2.현장'!$V$2:$V$1001,B256,'2.현장'!$U$2:$U$1001,"설계사"))</f>
        <v/>
      </c>
      <c r="E256">
        <f>IF(B256="","",COUNTIFS('2.현장'!$V$2:$V$1001,B256,'2.현장'!$U$2:$U$1001,"시공사"))</f>
        <v/>
      </c>
      <c r="F256">
        <f>IF(B256="","",COUNTIFS('2.현장'!$V$2:$V$1001,B256,'2.현장'!$T$2:$T$1001,TRUE,'2.현장'!$AA$2:$AA$1001,"★"))</f>
        <v/>
      </c>
      <c r="G256" s="6">
        <f>IF(B256="","",SUMIFS('2.현장'!$AB$2:$AB$1001,'2.현장'!$V$2:$V$1001,B256,'2.현장'!$T$2:$T$1001,TRUE))</f>
        <v/>
      </c>
      <c r="H256" s="5">
        <f>IF(B256="","",_xlfn.MAXIFS('2.현장'!$D$2:$D$1001,'2.현장'!$V$2:$V$1001,B256,'2.현장'!$T$2:$T$1001,TRUE))</f>
        <v/>
      </c>
      <c r="I256" s="7">
        <f>IF(B256="","",IF(_xlfn.MAXIFS('2.현장'!$L$2:$L$1001,'2.현장'!$V$2:$V$1001,B256,'2.현장'!$T$2:$T$1001,TRUE)=0,"",_xlfn.MAXIFS('2.현장'!$L$2:$L$1001,'2.현장'!$V$2:$V$1001,B256,'2.현장'!$T$2:$T$1001,TRUE)))</f>
        <v/>
      </c>
      <c r="J256" s="7">
        <f>IF(B256="","",IF(_xlfn.MAXIFS('2.현장'!$M$2:$M$1001,'2.현장'!$V$2:$V$1001,B256,'2.현장'!$T$2:$T$1001,TRUE)=0,"",_xlfn.MAXIFS('2.현장'!$M$2:$M$1001,'2.현장'!$V$2:$V$1001,B256,'2.현장'!$T$2:$T$1001,TRUE)))</f>
        <v/>
      </c>
      <c r="K256">
        <f>IF(B256="","",IFERROR(INDEX('2.현장'!$C$2:$C$1001,IFERROR(MATCH(B256&amp;"|설계사",'2.현장'!$Z$2:$Z$1001,0),IFERROR(MATCH(B256&amp;"|시공사",'2.현장'!$Z$2:$Z$1001,0),MATCH(B256&amp;"|늦음",'2.현장'!$Z$2:$Z$1001,0)))),""))</f>
        <v/>
      </c>
      <c r="L256">
        <f>IF(B256="","",IFERROR(INDEX('2.현장'!$N$2:$N$1001,IFERROR(MATCH(B256&amp;"|설계사",'2.현장'!$Z$2:$Z$1001,0),IFERROR(MATCH(B256&amp;"|시공사",'2.현장'!$Z$2:$Z$1001,0),MATCH(B256&amp;"|늦음",'2.현장'!$Z$2:$Z$1001,0)))),""))</f>
        <v/>
      </c>
      <c r="M256">
        <f>IF(B256="","",IFERROR(VLOOKUP(B256,업체_메모!$A$3:$I$302,2,FALSE)&amp;"",""))</f>
        <v/>
      </c>
      <c r="N256">
        <f>IF(B256="","",IFERROR(VLOOKUP(B256,업체_메모!$A$3:$I$302,4,FALSE)&amp;"",""))</f>
        <v/>
      </c>
      <c r="O256" s="7">
        <f>IF(B256="","",IF(COUNTIF('4.방문기록'!$B$3:$B$502,B256)=0,"",_xlfn.MAXIFS('4.방문기록'!$A$3:$A$502,'4.방문기록'!$B$3:$B$502,B256)))</f>
        <v/>
      </c>
      <c r="P256">
        <f>IF(O256="","",설정!$B$24-O256)</f>
        <v/>
      </c>
      <c r="Q256" s="7">
        <f>IF(B256="","",IF(_xlfn.MAXIFS('4.방문기록'!$F$3:$F$502,'4.방문기록'!$B$3:$B$502,B256)=0,"",_xlfn.MAXIFS('4.방문기록'!$F$3:$F$502,'4.방문기록'!$B$3:$B$502,B256)))</f>
        <v/>
      </c>
      <c r="R256">
        <f>IF(O256="","",IFERROR(INDEX('4.방문기록'!$H$3:$H$502,MATCH(B256&amp;"|"&amp;(O256*1),'4.방문기록'!$I$3:$I$502,0))&amp;"",""))</f>
        <v/>
      </c>
      <c r="S256">
        <f>IF(B256="","",IF(R256="관심 없음","제외",IF(O256="","안 가봄",IF(P256&gt;=설정!$B$20,P256&amp;"일 지남","최근 방문"))))</f>
        <v/>
      </c>
      <c r="T256" s="8">
        <f>IF(B256="","",IF(S256="제외","",IF(AND(설정!$B$21&lt;&gt;"",L256&lt;&gt;설정!$B$21),"",IF(AND(Q256&lt;&gt;"",Q256&gt;N(O256),Q256&lt;=설정!$B$24+7),설정!$B$39+7-(Q256-설정!$B$24),IF(AND(G256&gt;0,OR(S256="안 가봄",RIGHT(S256,2)="지남")),G256+IF(O256="",설정!$B$36,MIN(P256,60)*설정!$B$37)+MIN(N(H256)/1000*설정!$B$38,20),"")))))</f>
        <v/>
      </c>
      <c r="U256">
        <f>IF(T256="","",COUNTIF(T$4:T$303,"&gt;"&amp;T256)+COUNTIF(T$4:T256,T256))</f>
        <v/>
      </c>
    </row>
    <row r="257">
      <c r="A257">
        <f>IF(B257="","",254)</f>
        <v/>
      </c>
      <c r="B257">
        <f>IFERROR(INDEX('2.현장'!$V$2:$V$1001,MATCH(254,'2.현장'!$W$2:$W$1001,0)),"")</f>
        <v/>
      </c>
      <c r="C257">
        <f>IF(B257="","",COUNTIFS('2.현장'!$V$2:$V$1001,B257,'2.현장'!$T$2:$T$1001,TRUE))</f>
        <v/>
      </c>
      <c r="D257">
        <f>IF(B257="","",COUNTIFS('2.현장'!$V$2:$V$1001,B257,'2.현장'!$U$2:$U$1001,"설계사"))</f>
        <v/>
      </c>
      <c r="E257">
        <f>IF(B257="","",COUNTIFS('2.현장'!$V$2:$V$1001,B257,'2.현장'!$U$2:$U$1001,"시공사"))</f>
        <v/>
      </c>
      <c r="F257">
        <f>IF(B257="","",COUNTIFS('2.현장'!$V$2:$V$1001,B257,'2.현장'!$T$2:$T$1001,TRUE,'2.현장'!$AA$2:$AA$1001,"★"))</f>
        <v/>
      </c>
      <c r="G257" s="6">
        <f>IF(B257="","",SUMIFS('2.현장'!$AB$2:$AB$1001,'2.현장'!$V$2:$V$1001,B257,'2.현장'!$T$2:$T$1001,TRUE))</f>
        <v/>
      </c>
      <c r="H257" s="5">
        <f>IF(B257="","",_xlfn.MAXIFS('2.현장'!$D$2:$D$1001,'2.현장'!$V$2:$V$1001,B257,'2.현장'!$T$2:$T$1001,TRUE))</f>
        <v/>
      </c>
      <c r="I257" s="7">
        <f>IF(B257="","",IF(_xlfn.MAXIFS('2.현장'!$L$2:$L$1001,'2.현장'!$V$2:$V$1001,B257,'2.현장'!$T$2:$T$1001,TRUE)=0,"",_xlfn.MAXIFS('2.현장'!$L$2:$L$1001,'2.현장'!$V$2:$V$1001,B257,'2.현장'!$T$2:$T$1001,TRUE)))</f>
        <v/>
      </c>
      <c r="J257" s="7">
        <f>IF(B257="","",IF(_xlfn.MAXIFS('2.현장'!$M$2:$M$1001,'2.현장'!$V$2:$V$1001,B257,'2.현장'!$T$2:$T$1001,TRUE)=0,"",_xlfn.MAXIFS('2.현장'!$M$2:$M$1001,'2.현장'!$V$2:$V$1001,B257,'2.현장'!$T$2:$T$1001,TRUE)))</f>
        <v/>
      </c>
      <c r="K257">
        <f>IF(B257="","",IFERROR(INDEX('2.현장'!$C$2:$C$1001,IFERROR(MATCH(B257&amp;"|설계사",'2.현장'!$Z$2:$Z$1001,0),IFERROR(MATCH(B257&amp;"|시공사",'2.현장'!$Z$2:$Z$1001,0),MATCH(B257&amp;"|늦음",'2.현장'!$Z$2:$Z$1001,0)))),""))</f>
        <v/>
      </c>
      <c r="L257">
        <f>IF(B257="","",IFERROR(INDEX('2.현장'!$N$2:$N$1001,IFERROR(MATCH(B257&amp;"|설계사",'2.현장'!$Z$2:$Z$1001,0),IFERROR(MATCH(B257&amp;"|시공사",'2.현장'!$Z$2:$Z$1001,0),MATCH(B257&amp;"|늦음",'2.현장'!$Z$2:$Z$1001,0)))),""))</f>
        <v/>
      </c>
      <c r="M257">
        <f>IF(B257="","",IFERROR(VLOOKUP(B257,업체_메모!$A$3:$I$302,2,FALSE)&amp;"",""))</f>
        <v/>
      </c>
      <c r="N257">
        <f>IF(B257="","",IFERROR(VLOOKUP(B257,업체_메모!$A$3:$I$302,4,FALSE)&amp;"",""))</f>
        <v/>
      </c>
      <c r="O257" s="7">
        <f>IF(B257="","",IF(COUNTIF('4.방문기록'!$B$3:$B$502,B257)=0,"",_xlfn.MAXIFS('4.방문기록'!$A$3:$A$502,'4.방문기록'!$B$3:$B$502,B257)))</f>
        <v/>
      </c>
      <c r="P257">
        <f>IF(O257="","",설정!$B$24-O257)</f>
        <v/>
      </c>
      <c r="Q257" s="7">
        <f>IF(B257="","",IF(_xlfn.MAXIFS('4.방문기록'!$F$3:$F$502,'4.방문기록'!$B$3:$B$502,B257)=0,"",_xlfn.MAXIFS('4.방문기록'!$F$3:$F$502,'4.방문기록'!$B$3:$B$502,B257)))</f>
        <v/>
      </c>
      <c r="R257">
        <f>IF(O257="","",IFERROR(INDEX('4.방문기록'!$H$3:$H$502,MATCH(B257&amp;"|"&amp;(O257*1),'4.방문기록'!$I$3:$I$502,0))&amp;"",""))</f>
        <v/>
      </c>
      <c r="S257">
        <f>IF(B257="","",IF(R257="관심 없음","제외",IF(O257="","안 가봄",IF(P257&gt;=설정!$B$20,P257&amp;"일 지남","최근 방문"))))</f>
        <v/>
      </c>
      <c r="T257" s="8">
        <f>IF(B257="","",IF(S257="제외","",IF(AND(설정!$B$21&lt;&gt;"",L257&lt;&gt;설정!$B$21),"",IF(AND(Q257&lt;&gt;"",Q257&gt;N(O257),Q257&lt;=설정!$B$24+7),설정!$B$39+7-(Q257-설정!$B$24),IF(AND(G257&gt;0,OR(S257="안 가봄",RIGHT(S257,2)="지남")),G257+IF(O257="",설정!$B$36,MIN(P257,60)*설정!$B$37)+MIN(N(H257)/1000*설정!$B$38,20),"")))))</f>
        <v/>
      </c>
      <c r="U257">
        <f>IF(T257="","",COUNTIF(T$4:T$303,"&gt;"&amp;T257)+COUNTIF(T$4:T257,T257))</f>
        <v/>
      </c>
    </row>
    <row r="258">
      <c r="A258">
        <f>IF(B258="","",255)</f>
        <v/>
      </c>
      <c r="B258">
        <f>IFERROR(INDEX('2.현장'!$V$2:$V$1001,MATCH(255,'2.현장'!$W$2:$W$1001,0)),"")</f>
        <v/>
      </c>
      <c r="C258">
        <f>IF(B258="","",COUNTIFS('2.현장'!$V$2:$V$1001,B258,'2.현장'!$T$2:$T$1001,TRUE))</f>
        <v/>
      </c>
      <c r="D258">
        <f>IF(B258="","",COUNTIFS('2.현장'!$V$2:$V$1001,B258,'2.현장'!$U$2:$U$1001,"설계사"))</f>
        <v/>
      </c>
      <c r="E258">
        <f>IF(B258="","",COUNTIFS('2.현장'!$V$2:$V$1001,B258,'2.현장'!$U$2:$U$1001,"시공사"))</f>
        <v/>
      </c>
      <c r="F258">
        <f>IF(B258="","",COUNTIFS('2.현장'!$V$2:$V$1001,B258,'2.현장'!$T$2:$T$1001,TRUE,'2.현장'!$AA$2:$AA$1001,"★"))</f>
        <v/>
      </c>
      <c r="G258" s="6">
        <f>IF(B258="","",SUMIFS('2.현장'!$AB$2:$AB$1001,'2.현장'!$V$2:$V$1001,B258,'2.현장'!$T$2:$T$1001,TRUE))</f>
        <v/>
      </c>
      <c r="H258" s="5">
        <f>IF(B258="","",_xlfn.MAXIFS('2.현장'!$D$2:$D$1001,'2.현장'!$V$2:$V$1001,B258,'2.현장'!$T$2:$T$1001,TRUE))</f>
        <v/>
      </c>
      <c r="I258" s="7">
        <f>IF(B258="","",IF(_xlfn.MAXIFS('2.현장'!$L$2:$L$1001,'2.현장'!$V$2:$V$1001,B258,'2.현장'!$T$2:$T$1001,TRUE)=0,"",_xlfn.MAXIFS('2.현장'!$L$2:$L$1001,'2.현장'!$V$2:$V$1001,B258,'2.현장'!$T$2:$T$1001,TRUE)))</f>
        <v/>
      </c>
      <c r="J258" s="7">
        <f>IF(B258="","",IF(_xlfn.MAXIFS('2.현장'!$M$2:$M$1001,'2.현장'!$V$2:$V$1001,B258,'2.현장'!$T$2:$T$1001,TRUE)=0,"",_xlfn.MAXIFS('2.현장'!$M$2:$M$1001,'2.현장'!$V$2:$V$1001,B258,'2.현장'!$T$2:$T$1001,TRUE)))</f>
        <v/>
      </c>
      <c r="K258">
        <f>IF(B258="","",IFERROR(INDEX('2.현장'!$C$2:$C$1001,IFERROR(MATCH(B258&amp;"|설계사",'2.현장'!$Z$2:$Z$1001,0),IFERROR(MATCH(B258&amp;"|시공사",'2.현장'!$Z$2:$Z$1001,0),MATCH(B258&amp;"|늦음",'2.현장'!$Z$2:$Z$1001,0)))),""))</f>
        <v/>
      </c>
      <c r="L258">
        <f>IF(B258="","",IFERROR(INDEX('2.현장'!$N$2:$N$1001,IFERROR(MATCH(B258&amp;"|설계사",'2.현장'!$Z$2:$Z$1001,0),IFERROR(MATCH(B258&amp;"|시공사",'2.현장'!$Z$2:$Z$1001,0),MATCH(B258&amp;"|늦음",'2.현장'!$Z$2:$Z$1001,0)))),""))</f>
        <v/>
      </c>
      <c r="M258">
        <f>IF(B258="","",IFERROR(VLOOKUP(B258,업체_메모!$A$3:$I$302,2,FALSE)&amp;"",""))</f>
        <v/>
      </c>
      <c r="N258">
        <f>IF(B258="","",IFERROR(VLOOKUP(B258,업체_메모!$A$3:$I$302,4,FALSE)&amp;"",""))</f>
        <v/>
      </c>
      <c r="O258" s="7">
        <f>IF(B258="","",IF(COUNTIF('4.방문기록'!$B$3:$B$502,B258)=0,"",_xlfn.MAXIFS('4.방문기록'!$A$3:$A$502,'4.방문기록'!$B$3:$B$502,B258)))</f>
        <v/>
      </c>
      <c r="P258">
        <f>IF(O258="","",설정!$B$24-O258)</f>
        <v/>
      </c>
      <c r="Q258" s="7">
        <f>IF(B258="","",IF(_xlfn.MAXIFS('4.방문기록'!$F$3:$F$502,'4.방문기록'!$B$3:$B$502,B258)=0,"",_xlfn.MAXIFS('4.방문기록'!$F$3:$F$502,'4.방문기록'!$B$3:$B$502,B258)))</f>
        <v/>
      </c>
      <c r="R258">
        <f>IF(O258="","",IFERROR(INDEX('4.방문기록'!$H$3:$H$502,MATCH(B258&amp;"|"&amp;(O258*1),'4.방문기록'!$I$3:$I$502,0))&amp;"",""))</f>
        <v/>
      </c>
      <c r="S258">
        <f>IF(B258="","",IF(R258="관심 없음","제외",IF(O258="","안 가봄",IF(P258&gt;=설정!$B$20,P258&amp;"일 지남","최근 방문"))))</f>
        <v/>
      </c>
      <c r="T258" s="8">
        <f>IF(B258="","",IF(S258="제외","",IF(AND(설정!$B$21&lt;&gt;"",L258&lt;&gt;설정!$B$21),"",IF(AND(Q258&lt;&gt;"",Q258&gt;N(O258),Q258&lt;=설정!$B$24+7),설정!$B$39+7-(Q258-설정!$B$24),IF(AND(G258&gt;0,OR(S258="안 가봄",RIGHT(S258,2)="지남")),G258+IF(O258="",설정!$B$36,MIN(P258,60)*설정!$B$37)+MIN(N(H258)/1000*설정!$B$38,20),"")))))</f>
        <v/>
      </c>
      <c r="U258">
        <f>IF(T258="","",COUNTIF(T$4:T$303,"&gt;"&amp;T258)+COUNTIF(T$4:T258,T258))</f>
        <v/>
      </c>
    </row>
    <row r="259">
      <c r="A259">
        <f>IF(B259="","",256)</f>
        <v/>
      </c>
      <c r="B259">
        <f>IFERROR(INDEX('2.현장'!$V$2:$V$1001,MATCH(256,'2.현장'!$W$2:$W$1001,0)),"")</f>
        <v/>
      </c>
      <c r="C259">
        <f>IF(B259="","",COUNTIFS('2.현장'!$V$2:$V$1001,B259,'2.현장'!$T$2:$T$1001,TRUE))</f>
        <v/>
      </c>
      <c r="D259">
        <f>IF(B259="","",COUNTIFS('2.현장'!$V$2:$V$1001,B259,'2.현장'!$U$2:$U$1001,"설계사"))</f>
        <v/>
      </c>
      <c r="E259">
        <f>IF(B259="","",COUNTIFS('2.현장'!$V$2:$V$1001,B259,'2.현장'!$U$2:$U$1001,"시공사"))</f>
        <v/>
      </c>
      <c r="F259">
        <f>IF(B259="","",COUNTIFS('2.현장'!$V$2:$V$1001,B259,'2.현장'!$T$2:$T$1001,TRUE,'2.현장'!$AA$2:$AA$1001,"★"))</f>
        <v/>
      </c>
      <c r="G259" s="6">
        <f>IF(B259="","",SUMIFS('2.현장'!$AB$2:$AB$1001,'2.현장'!$V$2:$V$1001,B259,'2.현장'!$T$2:$T$1001,TRUE))</f>
        <v/>
      </c>
      <c r="H259" s="5">
        <f>IF(B259="","",_xlfn.MAXIFS('2.현장'!$D$2:$D$1001,'2.현장'!$V$2:$V$1001,B259,'2.현장'!$T$2:$T$1001,TRUE))</f>
        <v/>
      </c>
      <c r="I259" s="7">
        <f>IF(B259="","",IF(_xlfn.MAXIFS('2.현장'!$L$2:$L$1001,'2.현장'!$V$2:$V$1001,B259,'2.현장'!$T$2:$T$1001,TRUE)=0,"",_xlfn.MAXIFS('2.현장'!$L$2:$L$1001,'2.현장'!$V$2:$V$1001,B259,'2.현장'!$T$2:$T$1001,TRUE)))</f>
        <v/>
      </c>
      <c r="J259" s="7">
        <f>IF(B259="","",IF(_xlfn.MAXIFS('2.현장'!$M$2:$M$1001,'2.현장'!$V$2:$V$1001,B259,'2.현장'!$T$2:$T$1001,TRUE)=0,"",_xlfn.MAXIFS('2.현장'!$M$2:$M$1001,'2.현장'!$V$2:$V$1001,B259,'2.현장'!$T$2:$T$1001,TRUE)))</f>
        <v/>
      </c>
      <c r="K259">
        <f>IF(B259="","",IFERROR(INDEX('2.현장'!$C$2:$C$1001,IFERROR(MATCH(B259&amp;"|설계사",'2.현장'!$Z$2:$Z$1001,0),IFERROR(MATCH(B259&amp;"|시공사",'2.현장'!$Z$2:$Z$1001,0),MATCH(B259&amp;"|늦음",'2.현장'!$Z$2:$Z$1001,0)))),""))</f>
        <v/>
      </c>
      <c r="L259">
        <f>IF(B259="","",IFERROR(INDEX('2.현장'!$N$2:$N$1001,IFERROR(MATCH(B259&amp;"|설계사",'2.현장'!$Z$2:$Z$1001,0),IFERROR(MATCH(B259&amp;"|시공사",'2.현장'!$Z$2:$Z$1001,0),MATCH(B259&amp;"|늦음",'2.현장'!$Z$2:$Z$1001,0)))),""))</f>
        <v/>
      </c>
      <c r="M259">
        <f>IF(B259="","",IFERROR(VLOOKUP(B259,업체_메모!$A$3:$I$302,2,FALSE)&amp;"",""))</f>
        <v/>
      </c>
      <c r="N259">
        <f>IF(B259="","",IFERROR(VLOOKUP(B259,업체_메모!$A$3:$I$302,4,FALSE)&amp;"",""))</f>
        <v/>
      </c>
      <c r="O259" s="7">
        <f>IF(B259="","",IF(COUNTIF('4.방문기록'!$B$3:$B$502,B259)=0,"",_xlfn.MAXIFS('4.방문기록'!$A$3:$A$502,'4.방문기록'!$B$3:$B$502,B259)))</f>
        <v/>
      </c>
      <c r="P259">
        <f>IF(O259="","",설정!$B$24-O259)</f>
        <v/>
      </c>
      <c r="Q259" s="7">
        <f>IF(B259="","",IF(_xlfn.MAXIFS('4.방문기록'!$F$3:$F$502,'4.방문기록'!$B$3:$B$502,B259)=0,"",_xlfn.MAXIFS('4.방문기록'!$F$3:$F$502,'4.방문기록'!$B$3:$B$502,B259)))</f>
        <v/>
      </c>
      <c r="R259">
        <f>IF(O259="","",IFERROR(INDEX('4.방문기록'!$H$3:$H$502,MATCH(B259&amp;"|"&amp;(O259*1),'4.방문기록'!$I$3:$I$502,0))&amp;"",""))</f>
        <v/>
      </c>
      <c r="S259">
        <f>IF(B259="","",IF(R259="관심 없음","제외",IF(O259="","안 가봄",IF(P259&gt;=설정!$B$20,P259&amp;"일 지남","최근 방문"))))</f>
        <v/>
      </c>
      <c r="T259" s="8">
        <f>IF(B259="","",IF(S259="제외","",IF(AND(설정!$B$21&lt;&gt;"",L259&lt;&gt;설정!$B$21),"",IF(AND(Q259&lt;&gt;"",Q259&gt;N(O259),Q259&lt;=설정!$B$24+7),설정!$B$39+7-(Q259-설정!$B$24),IF(AND(G259&gt;0,OR(S259="안 가봄",RIGHT(S259,2)="지남")),G259+IF(O259="",설정!$B$36,MIN(P259,60)*설정!$B$37)+MIN(N(H259)/1000*설정!$B$38,20),"")))))</f>
        <v/>
      </c>
      <c r="U259">
        <f>IF(T259="","",COUNTIF(T$4:T$303,"&gt;"&amp;T259)+COUNTIF(T$4:T259,T259))</f>
        <v/>
      </c>
    </row>
    <row r="260">
      <c r="A260">
        <f>IF(B260="","",257)</f>
        <v/>
      </c>
      <c r="B260">
        <f>IFERROR(INDEX('2.현장'!$V$2:$V$1001,MATCH(257,'2.현장'!$W$2:$W$1001,0)),"")</f>
        <v/>
      </c>
      <c r="C260">
        <f>IF(B260="","",COUNTIFS('2.현장'!$V$2:$V$1001,B260,'2.현장'!$T$2:$T$1001,TRUE))</f>
        <v/>
      </c>
      <c r="D260">
        <f>IF(B260="","",COUNTIFS('2.현장'!$V$2:$V$1001,B260,'2.현장'!$U$2:$U$1001,"설계사"))</f>
        <v/>
      </c>
      <c r="E260">
        <f>IF(B260="","",COUNTIFS('2.현장'!$V$2:$V$1001,B260,'2.현장'!$U$2:$U$1001,"시공사"))</f>
        <v/>
      </c>
      <c r="F260">
        <f>IF(B260="","",COUNTIFS('2.현장'!$V$2:$V$1001,B260,'2.현장'!$T$2:$T$1001,TRUE,'2.현장'!$AA$2:$AA$1001,"★"))</f>
        <v/>
      </c>
      <c r="G260" s="6">
        <f>IF(B260="","",SUMIFS('2.현장'!$AB$2:$AB$1001,'2.현장'!$V$2:$V$1001,B260,'2.현장'!$T$2:$T$1001,TRUE))</f>
        <v/>
      </c>
      <c r="H260" s="5">
        <f>IF(B260="","",_xlfn.MAXIFS('2.현장'!$D$2:$D$1001,'2.현장'!$V$2:$V$1001,B260,'2.현장'!$T$2:$T$1001,TRUE))</f>
        <v/>
      </c>
      <c r="I260" s="7">
        <f>IF(B260="","",IF(_xlfn.MAXIFS('2.현장'!$L$2:$L$1001,'2.현장'!$V$2:$V$1001,B260,'2.현장'!$T$2:$T$1001,TRUE)=0,"",_xlfn.MAXIFS('2.현장'!$L$2:$L$1001,'2.현장'!$V$2:$V$1001,B260,'2.현장'!$T$2:$T$1001,TRUE)))</f>
        <v/>
      </c>
      <c r="J260" s="7">
        <f>IF(B260="","",IF(_xlfn.MAXIFS('2.현장'!$M$2:$M$1001,'2.현장'!$V$2:$V$1001,B260,'2.현장'!$T$2:$T$1001,TRUE)=0,"",_xlfn.MAXIFS('2.현장'!$M$2:$M$1001,'2.현장'!$V$2:$V$1001,B260,'2.현장'!$T$2:$T$1001,TRUE)))</f>
        <v/>
      </c>
      <c r="K260">
        <f>IF(B260="","",IFERROR(INDEX('2.현장'!$C$2:$C$1001,IFERROR(MATCH(B260&amp;"|설계사",'2.현장'!$Z$2:$Z$1001,0),IFERROR(MATCH(B260&amp;"|시공사",'2.현장'!$Z$2:$Z$1001,0),MATCH(B260&amp;"|늦음",'2.현장'!$Z$2:$Z$1001,0)))),""))</f>
        <v/>
      </c>
      <c r="L260">
        <f>IF(B260="","",IFERROR(INDEX('2.현장'!$N$2:$N$1001,IFERROR(MATCH(B260&amp;"|설계사",'2.현장'!$Z$2:$Z$1001,0),IFERROR(MATCH(B260&amp;"|시공사",'2.현장'!$Z$2:$Z$1001,0),MATCH(B260&amp;"|늦음",'2.현장'!$Z$2:$Z$1001,0)))),""))</f>
        <v/>
      </c>
      <c r="M260">
        <f>IF(B260="","",IFERROR(VLOOKUP(B260,업체_메모!$A$3:$I$302,2,FALSE)&amp;"",""))</f>
        <v/>
      </c>
      <c r="N260">
        <f>IF(B260="","",IFERROR(VLOOKUP(B260,업체_메모!$A$3:$I$302,4,FALSE)&amp;"",""))</f>
        <v/>
      </c>
      <c r="O260" s="7">
        <f>IF(B260="","",IF(COUNTIF('4.방문기록'!$B$3:$B$502,B260)=0,"",_xlfn.MAXIFS('4.방문기록'!$A$3:$A$502,'4.방문기록'!$B$3:$B$502,B260)))</f>
        <v/>
      </c>
      <c r="P260">
        <f>IF(O260="","",설정!$B$24-O260)</f>
        <v/>
      </c>
      <c r="Q260" s="7">
        <f>IF(B260="","",IF(_xlfn.MAXIFS('4.방문기록'!$F$3:$F$502,'4.방문기록'!$B$3:$B$502,B260)=0,"",_xlfn.MAXIFS('4.방문기록'!$F$3:$F$502,'4.방문기록'!$B$3:$B$502,B260)))</f>
        <v/>
      </c>
      <c r="R260">
        <f>IF(O260="","",IFERROR(INDEX('4.방문기록'!$H$3:$H$502,MATCH(B260&amp;"|"&amp;(O260*1),'4.방문기록'!$I$3:$I$502,0))&amp;"",""))</f>
        <v/>
      </c>
      <c r="S260">
        <f>IF(B260="","",IF(R260="관심 없음","제외",IF(O260="","안 가봄",IF(P260&gt;=설정!$B$20,P260&amp;"일 지남","최근 방문"))))</f>
        <v/>
      </c>
      <c r="T260" s="8">
        <f>IF(B260="","",IF(S260="제외","",IF(AND(설정!$B$21&lt;&gt;"",L260&lt;&gt;설정!$B$21),"",IF(AND(Q260&lt;&gt;"",Q260&gt;N(O260),Q260&lt;=설정!$B$24+7),설정!$B$39+7-(Q260-설정!$B$24),IF(AND(G260&gt;0,OR(S260="안 가봄",RIGHT(S260,2)="지남")),G260+IF(O260="",설정!$B$36,MIN(P260,60)*설정!$B$37)+MIN(N(H260)/1000*설정!$B$38,20),"")))))</f>
        <v/>
      </c>
      <c r="U260">
        <f>IF(T260="","",COUNTIF(T$4:T$303,"&gt;"&amp;T260)+COUNTIF(T$4:T260,T260))</f>
        <v/>
      </c>
    </row>
    <row r="261">
      <c r="A261">
        <f>IF(B261="","",258)</f>
        <v/>
      </c>
      <c r="B261">
        <f>IFERROR(INDEX('2.현장'!$V$2:$V$1001,MATCH(258,'2.현장'!$W$2:$W$1001,0)),"")</f>
        <v/>
      </c>
      <c r="C261">
        <f>IF(B261="","",COUNTIFS('2.현장'!$V$2:$V$1001,B261,'2.현장'!$T$2:$T$1001,TRUE))</f>
        <v/>
      </c>
      <c r="D261">
        <f>IF(B261="","",COUNTIFS('2.현장'!$V$2:$V$1001,B261,'2.현장'!$U$2:$U$1001,"설계사"))</f>
        <v/>
      </c>
      <c r="E261">
        <f>IF(B261="","",COUNTIFS('2.현장'!$V$2:$V$1001,B261,'2.현장'!$U$2:$U$1001,"시공사"))</f>
        <v/>
      </c>
      <c r="F261">
        <f>IF(B261="","",COUNTIFS('2.현장'!$V$2:$V$1001,B261,'2.현장'!$T$2:$T$1001,TRUE,'2.현장'!$AA$2:$AA$1001,"★"))</f>
        <v/>
      </c>
      <c r="G261" s="6">
        <f>IF(B261="","",SUMIFS('2.현장'!$AB$2:$AB$1001,'2.현장'!$V$2:$V$1001,B261,'2.현장'!$T$2:$T$1001,TRUE))</f>
        <v/>
      </c>
      <c r="H261" s="5">
        <f>IF(B261="","",_xlfn.MAXIFS('2.현장'!$D$2:$D$1001,'2.현장'!$V$2:$V$1001,B261,'2.현장'!$T$2:$T$1001,TRUE))</f>
        <v/>
      </c>
      <c r="I261" s="7">
        <f>IF(B261="","",IF(_xlfn.MAXIFS('2.현장'!$L$2:$L$1001,'2.현장'!$V$2:$V$1001,B261,'2.현장'!$T$2:$T$1001,TRUE)=0,"",_xlfn.MAXIFS('2.현장'!$L$2:$L$1001,'2.현장'!$V$2:$V$1001,B261,'2.현장'!$T$2:$T$1001,TRUE)))</f>
        <v/>
      </c>
      <c r="J261" s="7">
        <f>IF(B261="","",IF(_xlfn.MAXIFS('2.현장'!$M$2:$M$1001,'2.현장'!$V$2:$V$1001,B261,'2.현장'!$T$2:$T$1001,TRUE)=0,"",_xlfn.MAXIFS('2.현장'!$M$2:$M$1001,'2.현장'!$V$2:$V$1001,B261,'2.현장'!$T$2:$T$1001,TRUE)))</f>
        <v/>
      </c>
      <c r="K261">
        <f>IF(B261="","",IFERROR(INDEX('2.현장'!$C$2:$C$1001,IFERROR(MATCH(B261&amp;"|설계사",'2.현장'!$Z$2:$Z$1001,0),IFERROR(MATCH(B261&amp;"|시공사",'2.현장'!$Z$2:$Z$1001,0),MATCH(B261&amp;"|늦음",'2.현장'!$Z$2:$Z$1001,0)))),""))</f>
        <v/>
      </c>
      <c r="L261">
        <f>IF(B261="","",IFERROR(INDEX('2.현장'!$N$2:$N$1001,IFERROR(MATCH(B261&amp;"|설계사",'2.현장'!$Z$2:$Z$1001,0),IFERROR(MATCH(B261&amp;"|시공사",'2.현장'!$Z$2:$Z$1001,0),MATCH(B261&amp;"|늦음",'2.현장'!$Z$2:$Z$1001,0)))),""))</f>
        <v/>
      </c>
      <c r="M261">
        <f>IF(B261="","",IFERROR(VLOOKUP(B261,업체_메모!$A$3:$I$302,2,FALSE)&amp;"",""))</f>
        <v/>
      </c>
      <c r="N261">
        <f>IF(B261="","",IFERROR(VLOOKUP(B261,업체_메모!$A$3:$I$302,4,FALSE)&amp;"",""))</f>
        <v/>
      </c>
      <c r="O261" s="7">
        <f>IF(B261="","",IF(COUNTIF('4.방문기록'!$B$3:$B$502,B261)=0,"",_xlfn.MAXIFS('4.방문기록'!$A$3:$A$502,'4.방문기록'!$B$3:$B$502,B261)))</f>
        <v/>
      </c>
      <c r="P261">
        <f>IF(O261="","",설정!$B$24-O261)</f>
        <v/>
      </c>
      <c r="Q261" s="7">
        <f>IF(B261="","",IF(_xlfn.MAXIFS('4.방문기록'!$F$3:$F$502,'4.방문기록'!$B$3:$B$502,B261)=0,"",_xlfn.MAXIFS('4.방문기록'!$F$3:$F$502,'4.방문기록'!$B$3:$B$502,B261)))</f>
        <v/>
      </c>
      <c r="R261">
        <f>IF(O261="","",IFERROR(INDEX('4.방문기록'!$H$3:$H$502,MATCH(B261&amp;"|"&amp;(O261*1),'4.방문기록'!$I$3:$I$502,0))&amp;"",""))</f>
        <v/>
      </c>
      <c r="S261">
        <f>IF(B261="","",IF(R261="관심 없음","제외",IF(O261="","안 가봄",IF(P261&gt;=설정!$B$20,P261&amp;"일 지남","최근 방문"))))</f>
        <v/>
      </c>
      <c r="T261" s="8">
        <f>IF(B261="","",IF(S261="제외","",IF(AND(설정!$B$21&lt;&gt;"",L261&lt;&gt;설정!$B$21),"",IF(AND(Q261&lt;&gt;"",Q261&gt;N(O261),Q261&lt;=설정!$B$24+7),설정!$B$39+7-(Q261-설정!$B$24),IF(AND(G261&gt;0,OR(S261="안 가봄",RIGHT(S261,2)="지남")),G261+IF(O261="",설정!$B$36,MIN(P261,60)*설정!$B$37)+MIN(N(H261)/1000*설정!$B$38,20),"")))))</f>
        <v/>
      </c>
      <c r="U261">
        <f>IF(T261="","",COUNTIF(T$4:T$303,"&gt;"&amp;T261)+COUNTIF(T$4:T261,T261))</f>
        <v/>
      </c>
    </row>
    <row r="262">
      <c r="A262">
        <f>IF(B262="","",259)</f>
        <v/>
      </c>
      <c r="B262">
        <f>IFERROR(INDEX('2.현장'!$V$2:$V$1001,MATCH(259,'2.현장'!$W$2:$W$1001,0)),"")</f>
        <v/>
      </c>
      <c r="C262">
        <f>IF(B262="","",COUNTIFS('2.현장'!$V$2:$V$1001,B262,'2.현장'!$T$2:$T$1001,TRUE))</f>
        <v/>
      </c>
      <c r="D262">
        <f>IF(B262="","",COUNTIFS('2.현장'!$V$2:$V$1001,B262,'2.현장'!$U$2:$U$1001,"설계사"))</f>
        <v/>
      </c>
      <c r="E262">
        <f>IF(B262="","",COUNTIFS('2.현장'!$V$2:$V$1001,B262,'2.현장'!$U$2:$U$1001,"시공사"))</f>
        <v/>
      </c>
      <c r="F262">
        <f>IF(B262="","",COUNTIFS('2.현장'!$V$2:$V$1001,B262,'2.현장'!$T$2:$T$1001,TRUE,'2.현장'!$AA$2:$AA$1001,"★"))</f>
        <v/>
      </c>
      <c r="G262" s="6">
        <f>IF(B262="","",SUMIFS('2.현장'!$AB$2:$AB$1001,'2.현장'!$V$2:$V$1001,B262,'2.현장'!$T$2:$T$1001,TRUE))</f>
        <v/>
      </c>
      <c r="H262" s="5">
        <f>IF(B262="","",_xlfn.MAXIFS('2.현장'!$D$2:$D$1001,'2.현장'!$V$2:$V$1001,B262,'2.현장'!$T$2:$T$1001,TRUE))</f>
        <v/>
      </c>
      <c r="I262" s="7">
        <f>IF(B262="","",IF(_xlfn.MAXIFS('2.현장'!$L$2:$L$1001,'2.현장'!$V$2:$V$1001,B262,'2.현장'!$T$2:$T$1001,TRUE)=0,"",_xlfn.MAXIFS('2.현장'!$L$2:$L$1001,'2.현장'!$V$2:$V$1001,B262,'2.현장'!$T$2:$T$1001,TRUE)))</f>
        <v/>
      </c>
      <c r="J262" s="7">
        <f>IF(B262="","",IF(_xlfn.MAXIFS('2.현장'!$M$2:$M$1001,'2.현장'!$V$2:$V$1001,B262,'2.현장'!$T$2:$T$1001,TRUE)=0,"",_xlfn.MAXIFS('2.현장'!$M$2:$M$1001,'2.현장'!$V$2:$V$1001,B262,'2.현장'!$T$2:$T$1001,TRUE)))</f>
        <v/>
      </c>
      <c r="K262">
        <f>IF(B262="","",IFERROR(INDEX('2.현장'!$C$2:$C$1001,IFERROR(MATCH(B262&amp;"|설계사",'2.현장'!$Z$2:$Z$1001,0),IFERROR(MATCH(B262&amp;"|시공사",'2.현장'!$Z$2:$Z$1001,0),MATCH(B262&amp;"|늦음",'2.현장'!$Z$2:$Z$1001,0)))),""))</f>
        <v/>
      </c>
      <c r="L262">
        <f>IF(B262="","",IFERROR(INDEX('2.현장'!$N$2:$N$1001,IFERROR(MATCH(B262&amp;"|설계사",'2.현장'!$Z$2:$Z$1001,0),IFERROR(MATCH(B262&amp;"|시공사",'2.현장'!$Z$2:$Z$1001,0),MATCH(B262&amp;"|늦음",'2.현장'!$Z$2:$Z$1001,0)))),""))</f>
        <v/>
      </c>
      <c r="M262">
        <f>IF(B262="","",IFERROR(VLOOKUP(B262,업체_메모!$A$3:$I$302,2,FALSE)&amp;"",""))</f>
        <v/>
      </c>
      <c r="N262">
        <f>IF(B262="","",IFERROR(VLOOKUP(B262,업체_메모!$A$3:$I$302,4,FALSE)&amp;"",""))</f>
        <v/>
      </c>
      <c r="O262" s="7">
        <f>IF(B262="","",IF(COUNTIF('4.방문기록'!$B$3:$B$502,B262)=0,"",_xlfn.MAXIFS('4.방문기록'!$A$3:$A$502,'4.방문기록'!$B$3:$B$502,B262)))</f>
        <v/>
      </c>
      <c r="P262">
        <f>IF(O262="","",설정!$B$24-O262)</f>
        <v/>
      </c>
      <c r="Q262" s="7">
        <f>IF(B262="","",IF(_xlfn.MAXIFS('4.방문기록'!$F$3:$F$502,'4.방문기록'!$B$3:$B$502,B262)=0,"",_xlfn.MAXIFS('4.방문기록'!$F$3:$F$502,'4.방문기록'!$B$3:$B$502,B262)))</f>
        <v/>
      </c>
      <c r="R262">
        <f>IF(O262="","",IFERROR(INDEX('4.방문기록'!$H$3:$H$502,MATCH(B262&amp;"|"&amp;(O262*1),'4.방문기록'!$I$3:$I$502,0))&amp;"",""))</f>
        <v/>
      </c>
      <c r="S262">
        <f>IF(B262="","",IF(R262="관심 없음","제외",IF(O262="","안 가봄",IF(P262&gt;=설정!$B$20,P262&amp;"일 지남","최근 방문"))))</f>
        <v/>
      </c>
      <c r="T262" s="8">
        <f>IF(B262="","",IF(S262="제외","",IF(AND(설정!$B$21&lt;&gt;"",L262&lt;&gt;설정!$B$21),"",IF(AND(Q262&lt;&gt;"",Q262&gt;N(O262),Q262&lt;=설정!$B$24+7),설정!$B$39+7-(Q262-설정!$B$24),IF(AND(G262&gt;0,OR(S262="안 가봄",RIGHT(S262,2)="지남")),G262+IF(O262="",설정!$B$36,MIN(P262,60)*설정!$B$37)+MIN(N(H262)/1000*설정!$B$38,20),"")))))</f>
        <v/>
      </c>
      <c r="U262">
        <f>IF(T262="","",COUNTIF(T$4:T$303,"&gt;"&amp;T262)+COUNTIF(T$4:T262,T262))</f>
        <v/>
      </c>
    </row>
    <row r="263">
      <c r="A263">
        <f>IF(B263="","",260)</f>
        <v/>
      </c>
      <c r="B263">
        <f>IFERROR(INDEX('2.현장'!$V$2:$V$1001,MATCH(260,'2.현장'!$W$2:$W$1001,0)),"")</f>
        <v/>
      </c>
      <c r="C263">
        <f>IF(B263="","",COUNTIFS('2.현장'!$V$2:$V$1001,B263,'2.현장'!$T$2:$T$1001,TRUE))</f>
        <v/>
      </c>
      <c r="D263">
        <f>IF(B263="","",COUNTIFS('2.현장'!$V$2:$V$1001,B263,'2.현장'!$U$2:$U$1001,"설계사"))</f>
        <v/>
      </c>
      <c r="E263">
        <f>IF(B263="","",COUNTIFS('2.현장'!$V$2:$V$1001,B263,'2.현장'!$U$2:$U$1001,"시공사"))</f>
        <v/>
      </c>
      <c r="F263">
        <f>IF(B263="","",COUNTIFS('2.현장'!$V$2:$V$1001,B263,'2.현장'!$T$2:$T$1001,TRUE,'2.현장'!$AA$2:$AA$1001,"★"))</f>
        <v/>
      </c>
      <c r="G263" s="6">
        <f>IF(B263="","",SUMIFS('2.현장'!$AB$2:$AB$1001,'2.현장'!$V$2:$V$1001,B263,'2.현장'!$T$2:$T$1001,TRUE))</f>
        <v/>
      </c>
      <c r="H263" s="5">
        <f>IF(B263="","",_xlfn.MAXIFS('2.현장'!$D$2:$D$1001,'2.현장'!$V$2:$V$1001,B263,'2.현장'!$T$2:$T$1001,TRUE))</f>
        <v/>
      </c>
      <c r="I263" s="7">
        <f>IF(B263="","",IF(_xlfn.MAXIFS('2.현장'!$L$2:$L$1001,'2.현장'!$V$2:$V$1001,B263,'2.현장'!$T$2:$T$1001,TRUE)=0,"",_xlfn.MAXIFS('2.현장'!$L$2:$L$1001,'2.현장'!$V$2:$V$1001,B263,'2.현장'!$T$2:$T$1001,TRUE)))</f>
        <v/>
      </c>
      <c r="J263" s="7">
        <f>IF(B263="","",IF(_xlfn.MAXIFS('2.현장'!$M$2:$M$1001,'2.현장'!$V$2:$V$1001,B263,'2.현장'!$T$2:$T$1001,TRUE)=0,"",_xlfn.MAXIFS('2.현장'!$M$2:$M$1001,'2.현장'!$V$2:$V$1001,B263,'2.현장'!$T$2:$T$1001,TRUE)))</f>
        <v/>
      </c>
      <c r="K263">
        <f>IF(B263="","",IFERROR(INDEX('2.현장'!$C$2:$C$1001,IFERROR(MATCH(B263&amp;"|설계사",'2.현장'!$Z$2:$Z$1001,0),IFERROR(MATCH(B263&amp;"|시공사",'2.현장'!$Z$2:$Z$1001,0),MATCH(B263&amp;"|늦음",'2.현장'!$Z$2:$Z$1001,0)))),""))</f>
        <v/>
      </c>
      <c r="L263">
        <f>IF(B263="","",IFERROR(INDEX('2.현장'!$N$2:$N$1001,IFERROR(MATCH(B263&amp;"|설계사",'2.현장'!$Z$2:$Z$1001,0),IFERROR(MATCH(B263&amp;"|시공사",'2.현장'!$Z$2:$Z$1001,0),MATCH(B263&amp;"|늦음",'2.현장'!$Z$2:$Z$1001,0)))),""))</f>
        <v/>
      </c>
      <c r="M263">
        <f>IF(B263="","",IFERROR(VLOOKUP(B263,업체_메모!$A$3:$I$302,2,FALSE)&amp;"",""))</f>
        <v/>
      </c>
      <c r="N263">
        <f>IF(B263="","",IFERROR(VLOOKUP(B263,업체_메모!$A$3:$I$302,4,FALSE)&amp;"",""))</f>
        <v/>
      </c>
      <c r="O263" s="7">
        <f>IF(B263="","",IF(COUNTIF('4.방문기록'!$B$3:$B$502,B263)=0,"",_xlfn.MAXIFS('4.방문기록'!$A$3:$A$502,'4.방문기록'!$B$3:$B$502,B263)))</f>
        <v/>
      </c>
      <c r="P263">
        <f>IF(O263="","",설정!$B$24-O263)</f>
        <v/>
      </c>
      <c r="Q263" s="7">
        <f>IF(B263="","",IF(_xlfn.MAXIFS('4.방문기록'!$F$3:$F$502,'4.방문기록'!$B$3:$B$502,B263)=0,"",_xlfn.MAXIFS('4.방문기록'!$F$3:$F$502,'4.방문기록'!$B$3:$B$502,B263)))</f>
        <v/>
      </c>
      <c r="R263">
        <f>IF(O263="","",IFERROR(INDEX('4.방문기록'!$H$3:$H$502,MATCH(B263&amp;"|"&amp;(O263*1),'4.방문기록'!$I$3:$I$502,0))&amp;"",""))</f>
        <v/>
      </c>
      <c r="S263">
        <f>IF(B263="","",IF(R263="관심 없음","제외",IF(O263="","안 가봄",IF(P263&gt;=설정!$B$20,P263&amp;"일 지남","최근 방문"))))</f>
        <v/>
      </c>
      <c r="T263" s="8">
        <f>IF(B263="","",IF(S263="제외","",IF(AND(설정!$B$21&lt;&gt;"",L263&lt;&gt;설정!$B$21),"",IF(AND(Q263&lt;&gt;"",Q263&gt;N(O263),Q263&lt;=설정!$B$24+7),설정!$B$39+7-(Q263-설정!$B$24),IF(AND(G263&gt;0,OR(S263="안 가봄",RIGHT(S263,2)="지남")),G263+IF(O263="",설정!$B$36,MIN(P263,60)*설정!$B$37)+MIN(N(H263)/1000*설정!$B$38,20),"")))))</f>
        <v/>
      </c>
      <c r="U263">
        <f>IF(T263="","",COUNTIF(T$4:T$303,"&gt;"&amp;T263)+COUNTIF(T$4:T263,T263))</f>
        <v/>
      </c>
    </row>
    <row r="264">
      <c r="A264">
        <f>IF(B264="","",261)</f>
        <v/>
      </c>
      <c r="B264">
        <f>IFERROR(INDEX('2.현장'!$V$2:$V$1001,MATCH(261,'2.현장'!$W$2:$W$1001,0)),"")</f>
        <v/>
      </c>
      <c r="C264">
        <f>IF(B264="","",COUNTIFS('2.현장'!$V$2:$V$1001,B264,'2.현장'!$T$2:$T$1001,TRUE))</f>
        <v/>
      </c>
      <c r="D264">
        <f>IF(B264="","",COUNTIFS('2.현장'!$V$2:$V$1001,B264,'2.현장'!$U$2:$U$1001,"설계사"))</f>
        <v/>
      </c>
      <c r="E264">
        <f>IF(B264="","",COUNTIFS('2.현장'!$V$2:$V$1001,B264,'2.현장'!$U$2:$U$1001,"시공사"))</f>
        <v/>
      </c>
      <c r="F264">
        <f>IF(B264="","",COUNTIFS('2.현장'!$V$2:$V$1001,B264,'2.현장'!$T$2:$T$1001,TRUE,'2.현장'!$AA$2:$AA$1001,"★"))</f>
        <v/>
      </c>
      <c r="G264" s="6">
        <f>IF(B264="","",SUMIFS('2.현장'!$AB$2:$AB$1001,'2.현장'!$V$2:$V$1001,B264,'2.현장'!$T$2:$T$1001,TRUE))</f>
        <v/>
      </c>
      <c r="H264" s="5">
        <f>IF(B264="","",_xlfn.MAXIFS('2.현장'!$D$2:$D$1001,'2.현장'!$V$2:$V$1001,B264,'2.현장'!$T$2:$T$1001,TRUE))</f>
        <v/>
      </c>
      <c r="I264" s="7">
        <f>IF(B264="","",IF(_xlfn.MAXIFS('2.현장'!$L$2:$L$1001,'2.현장'!$V$2:$V$1001,B264,'2.현장'!$T$2:$T$1001,TRUE)=0,"",_xlfn.MAXIFS('2.현장'!$L$2:$L$1001,'2.현장'!$V$2:$V$1001,B264,'2.현장'!$T$2:$T$1001,TRUE)))</f>
        <v/>
      </c>
      <c r="J264" s="7">
        <f>IF(B264="","",IF(_xlfn.MAXIFS('2.현장'!$M$2:$M$1001,'2.현장'!$V$2:$V$1001,B264,'2.현장'!$T$2:$T$1001,TRUE)=0,"",_xlfn.MAXIFS('2.현장'!$M$2:$M$1001,'2.현장'!$V$2:$V$1001,B264,'2.현장'!$T$2:$T$1001,TRUE)))</f>
        <v/>
      </c>
      <c r="K264">
        <f>IF(B264="","",IFERROR(INDEX('2.현장'!$C$2:$C$1001,IFERROR(MATCH(B264&amp;"|설계사",'2.현장'!$Z$2:$Z$1001,0),IFERROR(MATCH(B264&amp;"|시공사",'2.현장'!$Z$2:$Z$1001,0),MATCH(B264&amp;"|늦음",'2.현장'!$Z$2:$Z$1001,0)))),""))</f>
        <v/>
      </c>
      <c r="L264">
        <f>IF(B264="","",IFERROR(INDEX('2.현장'!$N$2:$N$1001,IFERROR(MATCH(B264&amp;"|설계사",'2.현장'!$Z$2:$Z$1001,0),IFERROR(MATCH(B264&amp;"|시공사",'2.현장'!$Z$2:$Z$1001,0),MATCH(B264&amp;"|늦음",'2.현장'!$Z$2:$Z$1001,0)))),""))</f>
        <v/>
      </c>
      <c r="M264">
        <f>IF(B264="","",IFERROR(VLOOKUP(B264,업체_메모!$A$3:$I$302,2,FALSE)&amp;"",""))</f>
        <v/>
      </c>
      <c r="N264">
        <f>IF(B264="","",IFERROR(VLOOKUP(B264,업체_메모!$A$3:$I$302,4,FALSE)&amp;"",""))</f>
        <v/>
      </c>
      <c r="O264" s="7">
        <f>IF(B264="","",IF(COUNTIF('4.방문기록'!$B$3:$B$502,B264)=0,"",_xlfn.MAXIFS('4.방문기록'!$A$3:$A$502,'4.방문기록'!$B$3:$B$502,B264)))</f>
        <v/>
      </c>
      <c r="P264">
        <f>IF(O264="","",설정!$B$24-O264)</f>
        <v/>
      </c>
      <c r="Q264" s="7">
        <f>IF(B264="","",IF(_xlfn.MAXIFS('4.방문기록'!$F$3:$F$502,'4.방문기록'!$B$3:$B$502,B264)=0,"",_xlfn.MAXIFS('4.방문기록'!$F$3:$F$502,'4.방문기록'!$B$3:$B$502,B264)))</f>
        <v/>
      </c>
      <c r="R264">
        <f>IF(O264="","",IFERROR(INDEX('4.방문기록'!$H$3:$H$502,MATCH(B264&amp;"|"&amp;(O264*1),'4.방문기록'!$I$3:$I$502,0))&amp;"",""))</f>
        <v/>
      </c>
      <c r="S264">
        <f>IF(B264="","",IF(R264="관심 없음","제외",IF(O264="","안 가봄",IF(P264&gt;=설정!$B$20,P264&amp;"일 지남","최근 방문"))))</f>
        <v/>
      </c>
      <c r="T264" s="8">
        <f>IF(B264="","",IF(S264="제외","",IF(AND(설정!$B$21&lt;&gt;"",L264&lt;&gt;설정!$B$21),"",IF(AND(Q264&lt;&gt;"",Q264&gt;N(O264),Q264&lt;=설정!$B$24+7),설정!$B$39+7-(Q264-설정!$B$24),IF(AND(G264&gt;0,OR(S264="안 가봄",RIGHT(S264,2)="지남")),G264+IF(O264="",설정!$B$36,MIN(P264,60)*설정!$B$37)+MIN(N(H264)/1000*설정!$B$38,20),"")))))</f>
        <v/>
      </c>
      <c r="U264">
        <f>IF(T264="","",COUNTIF(T$4:T$303,"&gt;"&amp;T264)+COUNTIF(T$4:T264,T264))</f>
        <v/>
      </c>
    </row>
    <row r="265">
      <c r="A265">
        <f>IF(B265="","",262)</f>
        <v/>
      </c>
      <c r="B265">
        <f>IFERROR(INDEX('2.현장'!$V$2:$V$1001,MATCH(262,'2.현장'!$W$2:$W$1001,0)),"")</f>
        <v/>
      </c>
      <c r="C265">
        <f>IF(B265="","",COUNTIFS('2.현장'!$V$2:$V$1001,B265,'2.현장'!$T$2:$T$1001,TRUE))</f>
        <v/>
      </c>
      <c r="D265">
        <f>IF(B265="","",COUNTIFS('2.현장'!$V$2:$V$1001,B265,'2.현장'!$U$2:$U$1001,"설계사"))</f>
        <v/>
      </c>
      <c r="E265">
        <f>IF(B265="","",COUNTIFS('2.현장'!$V$2:$V$1001,B265,'2.현장'!$U$2:$U$1001,"시공사"))</f>
        <v/>
      </c>
      <c r="F265">
        <f>IF(B265="","",COUNTIFS('2.현장'!$V$2:$V$1001,B265,'2.현장'!$T$2:$T$1001,TRUE,'2.현장'!$AA$2:$AA$1001,"★"))</f>
        <v/>
      </c>
      <c r="G265" s="6">
        <f>IF(B265="","",SUMIFS('2.현장'!$AB$2:$AB$1001,'2.현장'!$V$2:$V$1001,B265,'2.현장'!$T$2:$T$1001,TRUE))</f>
        <v/>
      </c>
      <c r="H265" s="5">
        <f>IF(B265="","",_xlfn.MAXIFS('2.현장'!$D$2:$D$1001,'2.현장'!$V$2:$V$1001,B265,'2.현장'!$T$2:$T$1001,TRUE))</f>
        <v/>
      </c>
      <c r="I265" s="7">
        <f>IF(B265="","",IF(_xlfn.MAXIFS('2.현장'!$L$2:$L$1001,'2.현장'!$V$2:$V$1001,B265,'2.현장'!$T$2:$T$1001,TRUE)=0,"",_xlfn.MAXIFS('2.현장'!$L$2:$L$1001,'2.현장'!$V$2:$V$1001,B265,'2.현장'!$T$2:$T$1001,TRUE)))</f>
        <v/>
      </c>
      <c r="J265" s="7">
        <f>IF(B265="","",IF(_xlfn.MAXIFS('2.현장'!$M$2:$M$1001,'2.현장'!$V$2:$V$1001,B265,'2.현장'!$T$2:$T$1001,TRUE)=0,"",_xlfn.MAXIFS('2.현장'!$M$2:$M$1001,'2.현장'!$V$2:$V$1001,B265,'2.현장'!$T$2:$T$1001,TRUE)))</f>
        <v/>
      </c>
      <c r="K265">
        <f>IF(B265="","",IFERROR(INDEX('2.현장'!$C$2:$C$1001,IFERROR(MATCH(B265&amp;"|설계사",'2.현장'!$Z$2:$Z$1001,0),IFERROR(MATCH(B265&amp;"|시공사",'2.현장'!$Z$2:$Z$1001,0),MATCH(B265&amp;"|늦음",'2.현장'!$Z$2:$Z$1001,0)))),""))</f>
        <v/>
      </c>
      <c r="L265">
        <f>IF(B265="","",IFERROR(INDEX('2.현장'!$N$2:$N$1001,IFERROR(MATCH(B265&amp;"|설계사",'2.현장'!$Z$2:$Z$1001,0),IFERROR(MATCH(B265&amp;"|시공사",'2.현장'!$Z$2:$Z$1001,0),MATCH(B265&amp;"|늦음",'2.현장'!$Z$2:$Z$1001,0)))),""))</f>
        <v/>
      </c>
      <c r="M265">
        <f>IF(B265="","",IFERROR(VLOOKUP(B265,업체_메모!$A$3:$I$302,2,FALSE)&amp;"",""))</f>
        <v/>
      </c>
      <c r="N265">
        <f>IF(B265="","",IFERROR(VLOOKUP(B265,업체_메모!$A$3:$I$302,4,FALSE)&amp;"",""))</f>
        <v/>
      </c>
      <c r="O265" s="7">
        <f>IF(B265="","",IF(COUNTIF('4.방문기록'!$B$3:$B$502,B265)=0,"",_xlfn.MAXIFS('4.방문기록'!$A$3:$A$502,'4.방문기록'!$B$3:$B$502,B265)))</f>
        <v/>
      </c>
      <c r="P265">
        <f>IF(O265="","",설정!$B$24-O265)</f>
        <v/>
      </c>
      <c r="Q265" s="7">
        <f>IF(B265="","",IF(_xlfn.MAXIFS('4.방문기록'!$F$3:$F$502,'4.방문기록'!$B$3:$B$502,B265)=0,"",_xlfn.MAXIFS('4.방문기록'!$F$3:$F$502,'4.방문기록'!$B$3:$B$502,B265)))</f>
        <v/>
      </c>
      <c r="R265">
        <f>IF(O265="","",IFERROR(INDEX('4.방문기록'!$H$3:$H$502,MATCH(B265&amp;"|"&amp;(O265*1),'4.방문기록'!$I$3:$I$502,0))&amp;"",""))</f>
        <v/>
      </c>
      <c r="S265">
        <f>IF(B265="","",IF(R265="관심 없음","제외",IF(O265="","안 가봄",IF(P265&gt;=설정!$B$20,P265&amp;"일 지남","최근 방문"))))</f>
        <v/>
      </c>
      <c r="T265" s="8">
        <f>IF(B265="","",IF(S265="제외","",IF(AND(설정!$B$21&lt;&gt;"",L265&lt;&gt;설정!$B$21),"",IF(AND(Q265&lt;&gt;"",Q265&gt;N(O265),Q265&lt;=설정!$B$24+7),설정!$B$39+7-(Q265-설정!$B$24),IF(AND(G265&gt;0,OR(S265="안 가봄",RIGHT(S265,2)="지남")),G265+IF(O265="",설정!$B$36,MIN(P265,60)*설정!$B$37)+MIN(N(H265)/1000*설정!$B$38,20),"")))))</f>
        <v/>
      </c>
      <c r="U265">
        <f>IF(T265="","",COUNTIF(T$4:T$303,"&gt;"&amp;T265)+COUNTIF(T$4:T265,T265))</f>
        <v/>
      </c>
    </row>
    <row r="266">
      <c r="A266">
        <f>IF(B266="","",263)</f>
        <v/>
      </c>
      <c r="B266">
        <f>IFERROR(INDEX('2.현장'!$V$2:$V$1001,MATCH(263,'2.현장'!$W$2:$W$1001,0)),"")</f>
        <v/>
      </c>
      <c r="C266">
        <f>IF(B266="","",COUNTIFS('2.현장'!$V$2:$V$1001,B266,'2.현장'!$T$2:$T$1001,TRUE))</f>
        <v/>
      </c>
      <c r="D266">
        <f>IF(B266="","",COUNTIFS('2.현장'!$V$2:$V$1001,B266,'2.현장'!$U$2:$U$1001,"설계사"))</f>
        <v/>
      </c>
      <c r="E266">
        <f>IF(B266="","",COUNTIFS('2.현장'!$V$2:$V$1001,B266,'2.현장'!$U$2:$U$1001,"시공사"))</f>
        <v/>
      </c>
      <c r="F266">
        <f>IF(B266="","",COUNTIFS('2.현장'!$V$2:$V$1001,B266,'2.현장'!$T$2:$T$1001,TRUE,'2.현장'!$AA$2:$AA$1001,"★"))</f>
        <v/>
      </c>
      <c r="G266" s="6">
        <f>IF(B266="","",SUMIFS('2.현장'!$AB$2:$AB$1001,'2.현장'!$V$2:$V$1001,B266,'2.현장'!$T$2:$T$1001,TRUE))</f>
        <v/>
      </c>
      <c r="H266" s="5">
        <f>IF(B266="","",_xlfn.MAXIFS('2.현장'!$D$2:$D$1001,'2.현장'!$V$2:$V$1001,B266,'2.현장'!$T$2:$T$1001,TRUE))</f>
        <v/>
      </c>
      <c r="I266" s="7">
        <f>IF(B266="","",IF(_xlfn.MAXIFS('2.현장'!$L$2:$L$1001,'2.현장'!$V$2:$V$1001,B266,'2.현장'!$T$2:$T$1001,TRUE)=0,"",_xlfn.MAXIFS('2.현장'!$L$2:$L$1001,'2.현장'!$V$2:$V$1001,B266,'2.현장'!$T$2:$T$1001,TRUE)))</f>
        <v/>
      </c>
      <c r="J266" s="7">
        <f>IF(B266="","",IF(_xlfn.MAXIFS('2.현장'!$M$2:$M$1001,'2.현장'!$V$2:$V$1001,B266,'2.현장'!$T$2:$T$1001,TRUE)=0,"",_xlfn.MAXIFS('2.현장'!$M$2:$M$1001,'2.현장'!$V$2:$V$1001,B266,'2.현장'!$T$2:$T$1001,TRUE)))</f>
        <v/>
      </c>
      <c r="K266">
        <f>IF(B266="","",IFERROR(INDEX('2.현장'!$C$2:$C$1001,IFERROR(MATCH(B266&amp;"|설계사",'2.현장'!$Z$2:$Z$1001,0),IFERROR(MATCH(B266&amp;"|시공사",'2.현장'!$Z$2:$Z$1001,0),MATCH(B266&amp;"|늦음",'2.현장'!$Z$2:$Z$1001,0)))),""))</f>
        <v/>
      </c>
      <c r="L266">
        <f>IF(B266="","",IFERROR(INDEX('2.현장'!$N$2:$N$1001,IFERROR(MATCH(B266&amp;"|설계사",'2.현장'!$Z$2:$Z$1001,0),IFERROR(MATCH(B266&amp;"|시공사",'2.현장'!$Z$2:$Z$1001,0),MATCH(B266&amp;"|늦음",'2.현장'!$Z$2:$Z$1001,0)))),""))</f>
        <v/>
      </c>
      <c r="M266">
        <f>IF(B266="","",IFERROR(VLOOKUP(B266,업체_메모!$A$3:$I$302,2,FALSE)&amp;"",""))</f>
        <v/>
      </c>
      <c r="N266">
        <f>IF(B266="","",IFERROR(VLOOKUP(B266,업체_메모!$A$3:$I$302,4,FALSE)&amp;"",""))</f>
        <v/>
      </c>
      <c r="O266" s="7">
        <f>IF(B266="","",IF(COUNTIF('4.방문기록'!$B$3:$B$502,B266)=0,"",_xlfn.MAXIFS('4.방문기록'!$A$3:$A$502,'4.방문기록'!$B$3:$B$502,B266)))</f>
        <v/>
      </c>
      <c r="P266">
        <f>IF(O266="","",설정!$B$24-O266)</f>
        <v/>
      </c>
      <c r="Q266" s="7">
        <f>IF(B266="","",IF(_xlfn.MAXIFS('4.방문기록'!$F$3:$F$502,'4.방문기록'!$B$3:$B$502,B266)=0,"",_xlfn.MAXIFS('4.방문기록'!$F$3:$F$502,'4.방문기록'!$B$3:$B$502,B266)))</f>
        <v/>
      </c>
      <c r="R266">
        <f>IF(O266="","",IFERROR(INDEX('4.방문기록'!$H$3:$H$502,MATCH(B266&amp;"|"&amp;(O266*1),'4.방문기록'!$I$3:$I$502,0))&amp;"",""))</f>
        <v/>
      </c>
      <c r="S266">
        <f>IF(B266="","",IF(R266="관심 없음","제외",IF(O266="","안 가봄",IF(P266&gt;=설정!$B$20,P266&amp;"일 지남","최근 방문"))))</f>
        <v/>
      </c>
      <c r="T266" s="8">
        <f>IF(B266="","",IF(S266="제외","",IF(AND(설정!$B$21&lt;&gt;"",L266&lt;&gt;설정!$B$21),"",IF(AND(Q266&lt;&gt;"",Q266&gt;N(O266),Q266&lt;=설정!$B$24+7),설정!$B$39+7-(Q266-설정!$B$24),IF(AND(G266&gt;0,OR(S266="안 가봄",RIGHT(S266,2)="지남")),G266+IF(O266="",설정!$B$36,MIN(P266,60)*설정!$B$37)+MIN(N(H266)/1000*설정!$B$38,20),"")))))</f>
        <v/>
      </c>
      <c r="U266">
        <f>IF(T266="","",COUNTIF(T$4:T$303,"&gt;"&amp;T266)+COUNTIF(T$4:T266,T266))</f>
        <v/>
      </c>
    </row>
    <row r="267">
      <c r="A267">
        <f>IF(B267="","",264)</f>
        <v/>
      </c>
      <c r="B267">
        <f>IFERROR(INDEX('2.현장'!$V$2:$V$1001,MATCH(264,'2.현장'!$W$2:$W$1001,0)),"")</f>
        <v/>
      </c>
      <c r="C267">
        <f>IF(B267="","",COUNTIFS('2.현장'!$V$2:$V$1001,B267,'2.현장'!$T$2:$T$1001,TRUE))</f>
        <v/>
      </c>
      <c r="D267">
        <f>IF(B267="","",COUNTIFS('2.현장'!$V$2:$V$1001,B267,'2.현장'!$U$2:$U$1001,"설계사"))</f>
        <v/>
      </c>
      <c r="E267">
        <f>IF(B267="","",COUNTIFS('2.현장'!$V$2:$V$1001,B267,'2.현장'!$U$2:$U$1001,"시공사"))</f>
        <v/>
      </c>
      <c r="F267">
        <f>IF(B267="","",COUNTIFS('2.현장'!$V$2:$V$1001,B267,'2.현장'!$T$2:$T$1001,TRUE,'2.현장'!$AA$2:$AA$1001,"★"))</f>
        <v/>
      </c>
      <c r="G267" s="6">
        <f>IF(B267="","",SUMIFS('2.현장'!$AB$2:$AB$1001,'2.현장'!$V$2:$V$1001,B267,'2.현장'!$T$2:$T$1001,TRUE))</f>
        <v/>
      </c>
      <c r="H267" s="5">
        <f>IF(B267="","",_xlfn.MAXIFS('2.현장'!$D$2:$D$1001,'2.현장'!$V$2:$V$1001,B267,'2.현장'!$T$2:$T$1001,TRUE))</f>
        <v/>
      </c>
      <c r="I267" s="7">
        <f>IF(B267="","",IF(_xlfn.MAXIFS('2.현장'!$L$2:$L$1001,'2.현장'!$V$2:$V$1001,B267,'2.현장'!$T$2:$T$1001,TRUE)=0,"",_xlfn.MAXIFS('2.현장'!$L$2:$L$1001,'2.현장'!$V$2:$V$1001,B267,'2.현장'!$T$2:$T$1001,TRUE)))</f>
        <v/>
      </c>
      <c r="J267" s="7">
        <f>IF(B267="","",IF(_xlfn.MAXIFS('2.현장'!$M$2:$M$1001,'2.현장'!$V$2:$V$1001,B267,'2.현장'!$T$2:$T$1001,TRUE)=0,"",_xlfn.MAXIFS('2.현장'!$M$2:$M$1001,'2.현장'!$V$2:$V$1001,B267,'2.현장'!$T$2:$T$1001,TRUE)))</f>
        <v/>
      </c>
      <c r="K267">
        <f>IF(B267="","",IFERROR(INDEX('2.현장'!$C$2:$C$1001,IFERROR(MATCH(B267&amp;"|설계사",'2.현장'!$Z$2:$Z$1001,0),IFERROR(MATCH(B267&amp;"|시공사",'2.현장'!$Z$2:$Z$1001,0),MATCH(B267&amp;"|늦음",'2.현장'!$Z$2:$Z$1001,0)))),""))</f>
        <v/>
      </c>
      <c r="L267">
        <f>IF(B267="","",IFERROR(INDEX('2.현장'!$N$2:$N$1001,IFERROR(MATCH(B267&amp;"|설계사",'2.현장'!$Z$2:$Z$1001,0),IFERROR(MATCH(B267&amp;"|시공사",'2.현장'!$Z$2:$Z$1001,0),MATCH(B267&amp;"|늦음",'2.현장'!$Z$2:$Z$1001,0)))),""))</f>
        <v/>
      </c>
      <c r="M267">
        <f>IF(B267="","",IFERROR(VLOOKUP(B267,업체_메모!$A$3:$I$302,2,FALSE)&amp;"",""))</f>
        <v/>
      </c>
      <c r="N267">
        <f>IF(B267="","",IFERROR(VLOOKUP(B267,업체_메모!$A$3:$I$302,4,FALSE)&amp;"",""))</f>
        <v/>
      </c>
      <c r="O267" s="7">
        <f>IF(B267="","",IF(COUNTIF('4.방문기록'!$B$3:$B$502,B267)=0,"",_xlfn.MAXIFS('4.방문기록'!$A$3:$A$502,'4.방문기록'!$B$3:$B$502,B267)))</f>
        <v/>
      </c>
      <c r="P267">
        <f>IF(O267="","",설정!$B$24-O267)</f>
        <v/>
      </c>
      <c r="Q267" s="7">
        <f>IF(B267="","",IF(_xlfn.MAXIFS('4.방문기록'!$F$3:$F$502,'4.방문기록'!$B$3:$B$502,B267)=0,"",_xlfn.MAXIFS('4.방문기록'!$F$3:$F$502,'4.방문기록'!$B$3:$B$502,B267)))</f>
        <v/>
      </c>
      <c r="R267">
        <f>IF(O267="","",IFERROR(INDEX('4.방문기록'!$H$3:$H$502,MATCH(B267&amp;"|"&amp;(O267*1),'4.방문기록'!$I$3:$I$502,0))&amp;"",""))</f>
        <v/>
      </c>
      <c r="S267">
        <f>IF(B267="","",IF(R267="관심 없음","제외",IF(O267="","안 가봄",IF(P267&gt;=설정!$B$20,P267&amp;"일 지남","최근 방문"))))</f>
        <v/>
      </c>
      <c r="T267" s="8">
        <f>IF(B267="","",IF(S267="제외","",IF(AND(설정!$B$21&lt;&gt;"",L267&lt;&gt;설정!$B$21),"",IF(AND(Q267&lt;&gt;"",Q267&gt;N(O267),Q267&lt;=설정!$B$24+7),설정!$B$39+7-(Q267-설정!$B$24),IF(AND(G267&gt;0,OR(S267="안 가봄",RIGHT(S267,2)="지남")),G267+IF(O267="",설정!$B$36,MIN(P267,60)*설정!$B$37)+MIN(N(H267)/1000*설정!$B$38,20),"")))))</f>
        <v/>
      </c>
      <c r="U267">
        <f>IF(T267="","",COUNTIF(T$4:T$303,"&gt;"&amp;T267)+COUNTIF(T$4:T267,T267))</f>
        <v/>
      </c>
    </row>
    <row r="268">
      <c r="A268">
        <f>IF(B268="","",265)</f>
        <v/>
      </c>
      <c r="B268">
        <f>IFERROR(INDEX('2.현장'!$V$2:$V$1001,MATCH(265,'2.현장'!$W$2:$W$1001,0)),"")</f>
        <v/>
      </c>
      <c r="C268">
        <f>IF(B268="","",COUNTIFS('2.현장'!$V$2:$V$1001,B268,'2.현장'!$T$2:$T$1001,TRUE))</f>
        <v/>
      </c>
      <c r="D268">
        <f>IF(B268="","",COUNTIFS('2.현장'!$V$2:$V$1001,B268,'2.현장'!$U$2:$U$1001,"설계사"))</f>
        <v/>
      </c>
      <c r="E268">
        <f>IF(B268="","",COUNTIFS('2.현장'!$V$2:$V$1001,B268,'2.현장'!$U$2:$U$1001,"시공사"))</f>
        <v/>
      </c>
      <c r="F268">
        <f>IF(B268="","",COUNTIFS('2.현장'!$V$2:$V$1001,B268,'2.현장'!$T$2:$T$1001,TRUE,'2.현장'!$AA$2:$AA$1001,"★"))</f>
        <v/>
      </c>
      <c r="G268" s="6">
        <f>IF(B268="","",SUMIFS('2.현장'!$AB$2:$AB$1001,'2.현장'!$V$2:$V$1001,B268,'2.현장'!$T$2:$T$1001,TRUE))</f>
        <v/>
      </c>
      <c r="H268" s="5">
        <f>IF(B268="","",_xlfn.MAXIFS('2.현장'!$D$2:$D$1001,'2.현장'!$V$2:$V$1001,B268,'2.현장'!$T$2:$T$1001,TRUE))</f>
        <v/>
      </c>
      <c r="I268" s="7">
        <f>IF(B268="","",IF(_xlfn.MAXIFS('2.현장'!$L$2:$L$1001,'2.현장'!$V$2:$V$1001,B268,'2.현장'!$T$2:$T$1001,TRUE)=0,"",_xlfn.MAXIFS('2.현장'!$L$2:$L$1001,'2.현장'!$V$2:$V$1001,B268,'2.현장'!$T$2:$T$1001,TRUE)))</f>
        <v/>
      </c>
      <c r="J268" s="7">
        <f>IF(B268="","",IF(_xlfn.MAXIFS('2.현장'!$M$2:$M$1001,'2.현장'!$V$2:$V$1001,B268,'2.현장'!$T$2:$T$1001,TRUE)=0,"",_xlfn.MAXIFS('2.현장'!$M$2:$M$1001,'2.현장'!$V$2:$V$1001,B268,'2.현장'!$T$2:$T$1001,TRUE)))</f>
        <v/>
      </c>
      <c r="K268">
        <f>IF(B268="","",IFERROR(INDEX('2.현장'!$C$2:$C$1001,IFERROR(MATCH(B268&amp;"|설계사",'2.현장'!$Z$2:$Z$1001,0),IFERROR(MATCH(B268&amp;"|시공사",'2.현장'!$Z$2:$Z$1001,0),MATCH(B268&amp;"|늦음",'2.현장'!$Z$2:$Z$1001,0)))),""))</f>
        <v/>
      </c>
      <c r="L268">
        <f>IF(B268="","",IFERROR(INDEX('2.현장'!$N$2:$N$1001,IFERROR(MATCH(B268&amp;"|설계사",'2.현장'!$Z$2:$Z$1001,0),IFERROR(MATCH(B268&amp;"|시공사",'2.현장'!$Z$2:$Z$1001,0),MATCH(B268&amp;"|늦음",'2.현장'!$Z$2:$Z$1001,0)))),""))</f>
        <v/>
      </c>
      <c r="M268">
        <f>IF(B268="","",IFERROR(VLOOKUP(B268,업체_메모!$A$3:$I$302,2,FALSE)&amp;"",""))</f>
        <v/>
      </c>
      <c r="N268">
        <f>IF(B268="","",IFERROR(VLOOKUP(B268,업체_메모!$A$3:$I$302,4,FALSE)&amp;"",""))</f>
        <v/>
      </c>
      <c r="O268" s="7">
        <f>IF(B268="","",IF(COUNTIF('4.방문기록'!$B$3:$B$502,B268)=0,"",_xlfn.MAXIFS('4.방문기록'!$A$3:$A$502,'4.방문기록'!$B$3:$B$502,B268)))</f>
        <v/>
      </c>
      <c r="P268">
        <f>IF(O268="","",설정!$B$24-O268)</f>
        <v/>
      </c>
      <c r="Q268" s="7">
        <f>IF(B268="","",IF(_xlfn.MAXIFS('4.방문기록'!$F$3:$F$502,'4.방문기록'!$B$3:$B$502,B268)=0,"",_xlfn.MAXIFS('4.방문기록'!$F$3:$F$502,'4.방문기록'!$B$3:$B$502,B268)))</f>
        <v/>
      </c>
      <c r="R268">
        <f>IF(O268="","",IFERROR(INDEX('4.방문기록'!$H$3:$H$502,MATCH(B268&amp;"|"&amp;(O268*1),'4.방문기록'!$I$3:$I$502,0))&amp;"",""))</f>
        <v/>
      </c>
      <c r="S268">
        <f>IF(B268="","",IF(R268="관심 없음","제외",IF(O268="","안 가봄",IF(P268&gt;=설정!$B$20,P268&amp;"일 지남","최근 방문"))))</f>
        <v/>
      </c>
      <c r="T268" s="8">
        <f>IF(B268="","",IF(S268="제외","",IF(AND(설정!$B$21&lt;&gt;"",L268&lt;&gt;설정!$B$21),"",IF(AND(Q268&lt;&gt;"",Q268&gt;N(O268),Q268&lt;=설정!$B$24+7),설정!$B$39+7-(Q268-설정!$B$24),IF(AND(G268&gt;0,OR(S268="안 가봄",RIGHT(S268,2)="지남")),G268+IF(O268="",설정!$B$36,MIN(P268,60)*설정!$B$37)+MIN(N(H268)/1000*설정!$B$38,20),"")))))</f>
        <v/>
      </c>
      <c r="U268">
        <f>IF(T268="","",COUNTIF(T$4:T$303,"&gt;"&amp;T268)+COUNTIF(T$4:T268,T268))</f>
        <v/>
      </c>
    </row>
    <row r="269">
      <c r="A269">
        <f>IF(B269="","",266)</f>
        <v/>
      </c>
      <c r="B269">
        <f>IFERROR(INDEX('2.현장'!$V$2:$V$1001,MATCH(266,'2.현장'!$W$2:$W$1001,0)),"")</f>
        <v/>
      </c>
      <c r="C269">
        <f>IF(B269="","",COUNTIFS('2.현장'!$V$2:$V$1001,B269,'2.현장'!$T$2:$T$1001,TRUE))</f>
        <v/>
      </c>
      <c r="D269">
        <f>IF(B269="","",COUNTIFS('2.현장'!$V$2:$V$1001,B269,'2.현장'!$U$2:$U$1001,"설계사"))</f>
        <v/>
      </c>
      <c r="E269">
        <f>IF(B269="","",COUNTIFS('2.현장'!$V$2:$V$1001,B269,'2.현장'!$U$2:$U$1001,"시공사"))</f>
        <v/>
      </c>
      <c r="F269">
        <f>IF(B269="","",COUNTIFS('2.현장'!$V$2:$V$1001,B269,'2.현장'!$T$2:$T$1001,TRUE,'2.현장'!$AA$2:$AA$1001,"★"))</f>
        <v/>
      </c>
      <c r="G269" s="6">
        <f>IF(B269="","",SUMIFS('2.현장'!$AB$2:$AB$1001,'2.현장'!$V$2:$V$1001,B269,'2.현장'!$T$2:$T$1001,TRUE))</f>
        <v/>
      </c>
      <c r="H269" s="5">
        <f>IF(B269="","",_xlfn.MAXIFS('2.현장'!$D$2:$D$1001,'2.현장'!$V$2:$V$1001,B269,'2.현장'!$T$2:$T$1001,TRUE))</f>
        <v/>
      </c>
      <c r="I269" s="7">
        <f>IF(B269="","",IF(_xlfn.MAXIFS('2.현장'!$L$2:$L$1001,'2.현장'!$V$2:$V$1001,B269,'2.현장'!$T$2:$T$1001,TRUE)=0,"",_xlfn.MAXIFS('2.현장'!$L$2:$L$1001,'2.현장'!$V$2:$V$1001,B269,'2.현장'!$T$2:$T$1001,TRUE)))</f>
        <v/>
      </c>
      <c r="J269" s="7">
        <f>IF(B269="","",IF(_xlfn.MAXIFS('2.현장'!$M$2:$M$1001,'2.현장'!$V$2:$V$1001,B269,'2.현장'!$T$2:$T$1001,TRUE)=0,"",_xlfn.MAXIFS('2.현장'!$M$2:$M$1001,'2.현장'!$V$2:$V$1001,B269,'2.현장'!$T$2:$T$1001,TRUE)))</f>
        <v/>
      </c>
      <c r="K269">
        <f>IF(B269="","",IFERROR(INDEX('2.현장'!$C$2:$C$1001,IFERROR(MATCH(B269&amp;"|설계사",'2.현장'!$Z$2:$Z$1001,0),IFERROR(MATCH(B269&amp;"|시공사",'2.현장'!$Z$2:$Z$1001,0),MATCH(B269&amp;"|늦음",'2.현장'!$Z$2:$Z$1001,0)))),""))</f>
        <v/>
      </c>
      <c r="L269">
        <f>IF(B269="","",IFERROR(INDEX('2.현장'!$N$2:$N$1001,IFERROR(MATCH(B269&amp;"|설계사",'2.현장'!$Z$2:$Z$1001,0),IFERROR(MATCH(B269&amp;"|시공사",'2.현장'!$Z$2:$Z$1001,0),MATCH(B269&amp;"|늦음",'2.현장'!$Z$2:$Z$1001,0)))),""))</f>
        <v/>
      </c>
      <c r="M269">
        <f>IF(B269="","",IFERROR(VLOOKUP(B269,업체_메모!$A$3:$I$302,2,FALSE)&amp;"",""))</f>
        <v/>
      </c>
      <c r="N269">
        <f>IF(B269="","",IFERROR(VLOOKUP(B269,업체_메모!$A$3:$I$302,4,FALSE)&amp;"",""))</f>
        <v/>
      </c>
      <c r="O269" s="7">
        <f>IF(B269="","",IF(COUNTIF('4.방문기록'!$B$3:$B$502,B269)=0,"",_xlfn.MAXIFS('4.방문기록'!$A$3:$A$502,'4.방문기록'!$B$3:$B$502,B269)))</f>
        <v/>
      </c>
      <c r="P269">
        <f>IF(O269="","",설정!$B$24-O269)</f>
        <v/>
      </c>
      <c r="Q269" s="7">
        <f>IF(B269="","",IF(_xlfn.MAXIFS('4.방문기록'!$F$3:$F$502,'4.방문기록'!$B$3:$B$502,B269)=0,"",_xlfn.MAXIFS('4.방문기록'!$F$3:$F$502,'4.방문기록'!$B$3:$B$502,B269)))</f>
        <v/>
      </c>
      <c r="R269">
        <f>IF(O269="","",IFERROR(INDEX('4.방문기록'!$H$3:$H$502,MATCH(B269&amp;"|"&amp;(O269*1),'4.방문기록'!$I$3:$I$502,0))&amp;"",""))</f>
        <v/>
      </c>
      <c r="S269">
        <f>IF(B269="","",IF(R269="관심 없음","제외",IF(O269="","안 가봄",IF(P269&gt;=설정!$B$20,P269&amp;"일 지남","최근 방문"))))</f>
        <v/>
      </c>
      <c r="T269" s="8">
        <f>IF(B269="","",IF(S269="제외","",IF(AND(설정!$B$21&lt;&gt;"",L269&lt;&gt;설정!$B$21),"",IF(AND(Q269&lt;&gt;"",Q269&gt;N(O269),Q269&lt;=설정!$B$24+7),설정!$B$39+7-(Q269-설정!$B$24),IF(AND(G269&gt;0,OR(S269="안 가봄",RIGHT(S269,2)="지남")),G269+IF(O269="",설정!$B$36,MIN(P269,60)*설정!$B$37)+MIN(N(H269)/1000*설정!$B$38,20),"")))))</f>
        <v/>
      </c>
      <c r="U269">
        <f>IF(T269="","",COUNTIF(T$4:T$303,"&gt;"&amp;T269)+COUNTIF(T$4:T269,T269))</f>
        <v/>
      </c>
    </row>
    <row r="270">
      <c r="A270">
        <f>IF(B270="","",267)</f>
        <v/>
      </c>
      <c r="B270">
        <f>IFERROR(INDEX('2.현장'!$V$2:$V$1001,MATCH(267,'2.현장'!$W$2:$W$1001,0)),"")</f>
        <v/>
      </c>
      <c r="C270">
        <f>IF(B270="","",COUNTIFS('2.현장'!$V$2:$V$1001,B270,'2.현장'!$T$2:$T$1001,TRUE))</f>
        <v/>
      </c>
      <c r="D270">
        <f>IF(B270="","",COUNTIFS('2.현장'!$V$2:$V$1001,B270,'2.현장'!$U$2:$U$1001,"설계사"))</f>
        <v/>
      </c>
      <c r="E270">
        <f>IF(B270="","",COUNTIFS('2.현장'!$V$2:$V$1001,B270,'2.현장'!$U$2:$U$1001,"시공사"))</f>
        <v/>
      </c>
      <c r="F270">
        <f>IF(B270="","",COUNTIFS('2.현장'!$V$2:$V$1001,B270,'2.현장'!$T$2:$T$1001,TRUE,'2.현장'!$AA$2:$AA$1001,"★"))</f>
        <v/>
      </c>
      <c r="G270" s="6">
        <f>IF(B270="","",SUMIFS('2.현장'!$AB$2:$AB$1001,'2.현장'!$V$2:$V$1001,B270,'2.현장'!$T$2:$T$1001,TRUE))</f>
        <v/>
      </c>
      <c r="H270" s="5">
        <f>IF(B270="","",_xlfn.MAXIFS('2.현장'!$D$2:$D$1001,'2.현장'!$V$2:$V$1001,B270,'2.현장'!$T$2:$T$1001,TRUE))</f>
        <v/>
      </c>
      <c r="I270" s="7">
        <f>IF(B270="","",IF(_xlfn.MAXIFS('2.현장'!$L$2:$L$1001,'2.현장'!$V$2:$V$1001,B270,'2.현장'!$T$2:$T$1001,TRUE)=0,"",_xlfn.MAXIFS('2.현장'!$L$2:$L$1001,'2.현장'!$V$2:$V$1001,B270,'2.현장'!$T$2:$T$1001,TRUE)))</f>
        <v/>
      </c>
      <c r="J270" s="7">
        <f>IF(B270="","",IF(_xlfn.MAXIFS('2.현장'!$M$2:$M$1001,'2.현장'!$V$2:$V$1001,B270,'2.현장'!$T$2:$T$1001,TRUE)=0,"",_xlfn.MAXIFS('2.현장'!$M$2:$M$1001,'2.현장'!$V$2:$V$1001,B270,'2.현장'!$T$2:$T$1001,TRUE)))</f>
        <v/>
      </c>
      <c r="K270">
        <f>IF(B270="","",IFERROR(INDEX('2.현장'!$C$2:$C$1001,IFERROR(MATCH(B270&amp;"|설계사",'2.현장'!$Z$2:$Z$1001,0),IFERROR(MATCH(B270&amp;"|시공사",'2.현장'!$Z$2:$Z$1001,0),MATCH(B270&amp;"|늦음",'2.현장'!$Z$2:$Z$1001,0)))),""))</f>
        <v/>
      </c>
      <c r="L270">
        <f>IF(B270="","",IFERROR(INDEX('2.현장'!$N$2:$N$1001,IFERROR(MATCH(B270&amp;"|설계사",'2.현장'!$Z$2:$Z$1001,0),IFERROR(MATCH(B270&amp;"|시공사",'2.현장'!$Z$2:$Z$1001,0),MATCH(B270&amp;"|늦음",'2.현장'!$Z$2:$Z$1001,0)))),""))</f>
        <v/>
      </c>
      <c r="M270">
        <f>IF(B270="","",IFERROR(VLOOKUP(B270,업체_메모!$A$3:$I$302,2,FALSE)&amp;"",""))</f>
        <v/>
      </c>
      <c r="N270">
        <f>IF(B270="","",IFERROR(VLOOKUP(B270,업체_메모!$A$3:$I$302,4,FALSE)&amp;"",""))</f>
        <v/>
      </c>
      <c r="O270" s="7">
        <f>IF(B270="","",IF(COUNTIF('4.방문기록'!$B$3:$B$502,B270)=0,"",_xlfn.MAXIFS('4.방문기록'!$A$3:$A$502,'4.방문기록'!$B$3:$B$502,B270)))</f>
        <v/>
      </c>
      <c r="P270">
        <f>IF(O270="","",설정!$B$24-O270)</f>
        <v/>
      </c>
      <c r="Q270" s="7">
        <f>IF(B270="","",IF(_xlfn.MAXIFS('4.방문기록'!$F$3:$F$502,'4.방문기록'!$B$3:$B$502,B270)=0,"",_xlfn.MAXIFS('4.방문기록'!$F$3:$F$502,'4.방문기록'!$B$3:$B$502,B270)))</f>
        <v/>
      </c>
      <c r="R270">
        <f>IF(O270="","",IFERROR(INDEX('4.방문기록'!$H$3:$H$502,MATCH(B270&amp;"|"&amp;(O270*1),'4.방문기록'!$I$3:$I$502,0))&amp;"",""))</f>
        <v/>
      </c>
      <c r="S270">
        <f>IF(B270="","",IF(R270="관심 없음","제외",IF(O270="","안 가봄",IF(P270&gt;=설정!$B$20,P270&amp;"일 지남","최근 방문"))))</f>
        <v/>
      </c>
      <c r="T270" s="8">
        <f>IF(B270="","",IF(S270="제외","",IF(AND(설정!$B$21&lt;&gt;"",L270&lt;&gt;설정!$B$21),"",IF(AND(Q270&lt;&gt;"",Q270&gt;N(O270),Q270&lt;=설정!$B$24+7),설정!$B$39+7-(Q270-설정!$B$24),IF(AND(G270&gt;0,OR(S270="안 가봄",RIGHT(S270,2)="지남")),G270+IF(O270="",설정!$B$36,MIN(P270,60)*설정!$B$37)+MIN(N(H270)/1000*설정!$B$38,20),"")))))</f>
        <v/>
      </c>
      <c r="U270">
        <f>IF(T270="","",COUNTIF(T$4:T$303,"&gt;"&amp;T270)+COUNTIF(T$4:T270,T270))</f>
        <v/>
      </c>
    </row>
    <row r="271">
      <c r="A271">
        <f>IF(B271="","",268)</f>
        <v/>
      </c>
      <c r="B271">
        <f>IFERROR(INDEX('2.현장'!$V$2:$V$1001,MATCH(268,'2.현장'!$W$2:$W$1001,0)),"")</f>
        <v/>
      </c>
      <c r="C271">
        <f>IF(B271="","",COUNTIFS('2.현장'!$V$2:$V$1001,B271,'2.현장'!$T$2:$T$1001,TRUE))</f>
        <v/>
      </c>
      <c r="D271">
        <f>IF(B271="","",COUNTIFS('2.현장'!$V$2:$V$1001,B271,'2.현장'!$U$2:$U$1001,"설계사"))</f>
        <v/>
      </c>
      <c r="E271">
        <f>IF(B271="","",COUNTIFS('2.현장'!$V$2:$V$1001,B271,'2.현장'!$U$2:$U$1001,"시공사"))</f>
        <v/>
      </c>
      <c r="F271">
        <f>IF(B271="","",COUNTIFS('2.현장'!$V$2:$V$1001,B271,'2.현장'!$T$2:$T$1001,TRUE,'2.현장'!$AA$2:$AA$1001,"★"))</f>
        <v/>
      </c>
      <c r="G271" s="6">
        <f>IF(B271="","",SUMIFS('2.현장'!$AB$2:$AB$1001,'2.현장'!$V$2:$V$1001,B271,'2.현장'!$T$2:$T$1001,TRUE))</f>
        <v/>
      </c>
      <c r="H271" s="5">
        <f>IF(B271="","",_xlfn.MAXIFS('2.현장'!$D$2:$D$1001,'2.현장'!$V$2:$V$1001,B271,'2.현장'!$T$2:$T$1001,TRUE))</f>
        <v/>
      </c>
      <c r="I271" s="7">
        <f>IF(B271="","",IF(_xlfn.MAXIFS('2.현장'!$L$2:$L$1001,'2.현장'!$V$2:$V$1001,B271,'2.현장'!$T$2:$T$1001,TRUE)=0,"",_xlfn.MAXIFS('2.현장'!$L$2:$L$1001,'2.현장'!$V$2:$V$1001,B271,'2.현장'!$T$2:$T$1001,TRUE)))</f>
        <v/>
      </c>
      <c r="J271" s="7">
        <f>IF(B271="","",IF(_xlfn.MAXIFS('2.현장'!$M$2:$M$1001,'2.현장'!$V$2:$V$1001,B271,'2.현장'!$T$2:$T$1001,TRUE)=0,"",_xlfn.MAXIFS('2.현장'!$M$2:$M$1001,'2.현장'!$V$2:$V$1001,B271,'2.현장'!$T$2:$T$1001,TRUE)))</f>
        <v/>
      </c>
      <c r="K271">
        <f>IF(B271="","",IFERROR(INDEX('2.현장'!$C$2:$C$1001,IFERROR(MATCH(B271&amp;"|설계사",'2.현장'!$Z$2:$Z$1001,0),IFERROR(MATCH(B271&amp;"|시공사",'2.현장'!$Z$2:$Z$1001,0),MATCH(B271&amp;"|늦음",'2.현장'!$Z$2:$Z$1001,0)))),""))</f>
        <v/>
      </c>
      <c r="L271">
        <f>IF(B271="","",IFERROR(INDEX('2.현장'!$N$2:$N$1001,IFERROR(MATCH(B271&amp;"|설계사",'2.현장'!$Z$2:$Z$1001,0),IFERROR(MATCH(B271&amp;"|시공사",'2.현장'!$Z$2:$Z$1001,0),MATCH(B271&amp;"|늦음",'2.현장'!$Z$2:$Z$1001,0)))),""))</f>
        <v/>
      </c>
      <c r="M271">
        <f>IF(B271="","",IFERROR(VLOOKUP(B271,업체_메모!$A$3:$I$302,2,FALSE)&amp;"",""))</f>
        <v/>
      </c>
      <c r="N271">
        <f>IF(B271="","",IFERROR(VLOOKUP(B271,업체_메모!$A$3:$I$302,4,FALSE)&amp;"",""))</f>
        <v/>
      </c>
      <c r="O271" s="7">
        <f>IF(B271="","",IF(COUNTIF('4.방문기록'!$B$3:$B$502,B271)=0,"",_xlfn.MAXIFS('4.방문기록'!$A$3:$A$502,'4.방문기록'!$B$3:$B$502,B271)))</f>
        <v/>
      </c>
      <c r="P271">
        <f>IF(O271="","",설정!$B$24-O271)</f>
        <v/>
      </c>
      <c r="Q271" s="7">
        <f>IF(B271="","",IF(_xlfn.MAXIFS('4.방문기록'!$F$3:$F$502,'4.방문기록'!$B$3:$B$502,B271)=0,"",_xlfn.MAXIFS('4.방문기록'!$F$3:$F$502,'4.방문기록'!$B$3:$B$502,B271)))</f>
        <v/>
      </c>
      <c r="R271">
        <f>IF(O271="","",IFERROR(INDEX('4.방문기록'!$H$3:$H$502,MATCH(B271&amp;"|"&amp;(O271*1),'4.방문기록'!$I$3:$I$502,0))&amp;"",""))</f>
        <v/>
      </c>
      <c r="S271">
        <f>IF(B271="","",IF(R271="관심 없음","제외",IF(O271="","안 가봄",IF(P271&gt;=설정!$B$20,P271&amp;"일 지남","최근 방문"))))</f>
        <v/>
      </c>
      <c r="T271" s="8">
        <f>IF(B271="","",IF(S271="제외","",IF(AND(설정!$B$21&lt;&gt;"",L271&lt;&gt;설정!$B$21),"",IF(AND(Q271&lt;&gt;"",Q271&gt;N(O271),Q271&lt;=설정!$B$24+7),설정!$B$39+7-(Q271-설정!$B$24),IF(AND(G271&gt;0,OR(S271="안 가봄",RIGHT(S271,2)="지남")),G271+IF(O271="",설정!$B$36,MIN(P271,60)*설정!$B$37)+MIN(N(H271)/1000*설정!$B$38,20),"")))))</f>
        <v/>
      </c>
      <c r="U271">
        <f>IF(T271="","",COUNTIF(T$4:T$303,"&gt;"&amp;T271)+COUNTIF(T$4:T271,T271))</f>
        <v/>
      </c>
    </row>
    <row r="272">
      <c r="A272">
        <f>IF(B272="","",269)</f>
        <v/>
      </c>
      <c r="B272">
        <f>IFERROR(INDEX('2.현장'!$V$2:$V$1001,MATCH(269,'2.현장'!$W$2:$W$1001,0)),"")</f>
        <v/>
      </c>
      <c r="C272">
        <f>IF(B272="","",COUNTIFS('2.현장'!$V$2:$V$1001,B272,'2.현장'!$T$2:$T$1001,TRUE))</f>
        <v/>
      </c>
      <c r="D272">
        <f>IF(B272="","",COUNTIFS('2.현장'!$V$2:$V$1001,B272,'2.현장'!$U$2:$U$1001,"설계사"))</f>
        <v/>
      </c>
      <c r="E272">
        <f>IF(B272="","",COUNTIFS('2.현장'!$V$2:$V$1001,B272,'2.현장'!$U$2:$U$1001,"시공사"))</f>
        <v/>
      </c>
      <c r="F272">
        <f>IF(B272="","",COUNTIFS('2.현장'!$V$2:$V$1001,B272,'2.현장'!$T$2:$T$1001,TRUE,'2.현장'!$AA$2:$AA$1001,"★"))</f>
        <v/>
      </c>
      <c r="G272" s="6">
        <f>IF(B272="","",SUMIFS('2.현장'!$AB$2:$AB$1001,'2.현장'!$V$2:$V$1001,B272,'2.현장'!$T$2:$T$1001,TRUE))</f>
        <v/>
      </c>
      <c r="H272" s="5">
        <f>IF(B272="","",_xlfn.MAXIFS('2.현장'!$D$2:$D$1001,'2.현장'!$V$2:$V$1001,B272,'2.현장'!$T$2:$T$1001,TRUE))</f>
        <v/>
      </c>
      <c r="I272" s="7">
        <f>IF(B272="","",IF(_xlfn.MAXIFS('2.현장'!$L$2:$L$1001,'2.현장'!$V$2:$V$1001,B272,'2.현장'!$T$2:$T$1001,TRUE)=0,"",_xlfn.MAXIFS('2.현장'!$L$2:$L$1001,'2.현장'!$V$2:$V$1001,B272,'2.현장'!$T$2:$T$1001,TRUE)))</f>
        <v/>
      </c>
      <c r="J272" s="7">
        <f>IF(B272="","",IF(_xlfn.MAXIFS('2.현장'!$M$2:$M$1001,'2.현장'!$V$2:$V$1001,B272,'2.현장'!$T$2:$T$1001,TRUE)=0,"",_xlfn.MAXIFS('2.현장'!$M$2:$M$1001,'2.현장'!$V$2:$V$1001,B272,'2.현장'!$T$2:$T$1001,TRUE)))</f>
        <v/>
      </c>
      <c r="K272">
        <f>IF(B272="","",IFERROR(INDEX('2.현장'!$C$2:$C$1001,IFERROR(MATCH(B272&amp;"|설계사",'2.현장'!$Z$2:$Z$1001,0),IFERROR(MATCH(B272&amp;"|시공사",'2.현장'!$Z$2:$Z$1001,0),MATCH(B272&amp;"|늦음",'2.현장'!$Z$2:$Z$1001,0)))),""))</f>
        <v/>
      </c>
      <c r="L272">
        <f>IF(B272="","",IFERROR(INDEX('2.현장'!$N$2:$N$1001,IFERROR(MATCH(B272&amp;"|설계사",'2.현장'!$Z$2:$Z$1001,0),IFERROR(MATCH(B272&amp;"|시공사",'2.현장'!$Z$2:$Z$1001,0),MATCH(B272&amp;"|늦음",'2.현장'!$Z$2:$Z$1001,0)))),""))</f>
        <v/>
      </c>
      <c r="M272">
        <f>IF(B272="","",IFERROR(VLOOKUP(B272,업체_메모!$A$3:$I$302,2,FALSE)&amp;"",""))</f>
        <v/>
      </c>
      <c r="N272">
        <f>IF(B272="","",IFERROR(VLOOKUP(B272,업체_메모!$A$3:$I$302,4,FALSE)&amp;"",""))</f>
        <v/>
      </c>
      <c r="O272" s="7">
        <f>IF(B272="","",IF(COUNTIF('4.방문기록'!$B$3:$B$502,B272)=0,"",_xlfn.MAXIFS('4.방문기록'!$A$3:$A$502,'4.방문기록'!$B$3:$B$502,B272)))</f>
        <v/>
      </c>
      <c r="P272">
        <f>IF(O272="","",설정!$B$24-O272)</f>
        <v/>
      </c>
      <c r="Q272" s="7">
        <f>IF(B272="","",IF(_xlfn.MAXIFS('4.방문기록'!$F$3:$F$502,'4.방문기록'!$B$3:$B$502,B272)=0,"",_xlfn.MAXIFS('4.방문기록'!$F$3:$F$502,'4.방문기록'!$B$3:$B$502,B272)))</f>
        <v/>
      </c>
      <c r="R272">
        <f>IF(O272="","",IFERROR(INDEX('4.방문기록'!$H$3:$H$502,MATCH(B272&amp;"|"&amp;(O272*1),'4.방문기록'!$I$3:$I$502,0))&amp;"",""))</f>
        <v/>
      </c>
      <c r="S272">
        <f>IF(B272="","",IF(R272="관심 없음","제외",IF(O272="","안 가봄",IF(P272&gt;=설정!$B$20,P272&amp;"일 지남","최근 방문"))))</f>
        <v/>
      </c>
      <c r="T272" s="8">
        <f>IF(B272="","",IF(S272="제외","",IF(AND(설정!$B$21&lt;&gt;"",L272&lt;&gt;설정!$B$21),"",IF(AND(Q272&lt;&gt;"",Q272&gt;N(O272),Q272&lt;=설정!$B$24+7),설정!$B$39+7-(Q272-설정!$B$24),IF(AND(G272&gt;0,OR(S272="안 가봄",RIGHT(S272,2)="지남")),G272+IF(O272="",설정!$B$36,MIN(P272,60)*설정!$B$37)+MIN(N(H272)/1000*설정!$B$38,20),"")))))</f>
        <v/>
      </c>
      <c r="U272">
        <f>IF(T272="","",COUNTIF(T$4:T$303,"&gt;"&amp;T272)+COUNTIF(T$4:T272,T272))</f>
        <v/>
      </c>
    </row>
    <row r="273">
      <c r="A273">
        <f>IF(B273="","",270)</f>
        <v/>
      </c>
      <c r="B273">
        <f>IFERROR(INDEX('2.현장'!$V$2:$V$1001,MATCH(270,'2.현장'!$W$2:$W$1001,0)),"")</f>
        <v/>
      </c>
      <c r="C273">
        <f>IF(B273="","",COUNTIFS('2.현장'!$V$2:$V$1001,B273,'2.현장'!$T$2:$T$1001,TRUE))</f>
        <v/>
      </c>
      <c r="D273">
        <f>IF(B273="","",COUNTIFS('2.현장'!$V$2:$V$1001,B273,'2.현장'!$U$2:$U$1001,"설계사"))</f>
        <v/>
      </c>
      <c r="E273">
        <f>IF(B273="","",COUNTIFS('2.현장'!$V$2:$V$1001,B273,'2.현장'!$U$2:$U$1001,"시공사"))</f>
        <v/>
      </c>
      <c r="F273">
        <f>IF(B273="","",COUNTIFS('2.현장'!$V$2:$V$1001,B273,'2.현장'!$T$2:$T$1001,TRUE,'2.현장'!$AA$2:$AA$1001,"★"))</f>
        <v/>
      </c>
      <c r="G273" s="6">
        <f>IF(B273="","",SUMIFS('2.현장'!$AB$2:$AB$1001,'2.현장'!$V$2:$V$1001,B273,'2.현장'!$T$2:$T$1001,TRUE))</f>
        <v/>
      </c>
      <c r="H273" s="5">
        <f>IF(B273="","",_xlfn.MAXIFS('2.현장'!$D$2:$D$1001,'2.현장'!$V$2:$V$1001,B273,'2.현장'!$T$2:$T$1001,TRUE))</f>
        <v/>
      </c>
      <c r="I273" s="7">
        <f>IF(B273="","",IF(_xlfn.MAXIFS('2.현장'!$L$2:$L$1001,'2.현장'!$V$2:$V$1001,B273,'2.현장'!$T$2:$T$1001,TRUE)=0,"",_xlfn.MAXIFS('2.현장'!$L$2:$L$1001,'2.현장'!$V$2:$V$1001,B273,'2.현장'!$T$2:$T$1001,TRUE)))</f>
        <v/>
      </c>
      <c r="J273" s="7">
        <f>IF(B273="","",IF(_xlfn.MAXIFS('2.현장'!$M$2:$M$1001,'2.현장'!$V$2:$V$1001,B273,'2.현장'!$T$2:$T$1001,TRUE)=0,"",_xlfn.MAXIFS('2.현장'!$M$2:$M$1001,'2.현장'!$V$2:$V$1001,B273,'2.현장'!$T$2:$T$1001,TRUE)))</f>
        <v/>
      </c>
      <c r="K273">
        <f>IF(B273="","",IFERROR(INDEX('2.현장'!$C$2:$C$1001,IFERROR(MATCH(B273&amp;"|설계사",'2.현장'!$Z$2:$Z$1001,0),IFERROR(MATCH(B273&amp;"|시공사",'2.현장'!$Z$2:$Z$1001,0),MATCH(B273&amp;"|늦음",'2.현장'!$Z$2:$Z$1001,0)))),""))</f>
        <v/>
      </c>
      <c r="L273">
        <f>IF(B273="","",IFERROR(INDEX('2.현장'!$N$2:$N$1001,IFERROR(MATCH(B273&amp;"|설계사",'2.현장'!$Z$2:$Z$1001,0),IFERROR(MATCH(B273&amp;"|시공사",'2.현장'!$Z$2:$Z$1001,0),MATCH(B273&amp;"|늦음",'2.현장'!$Z$2:$Z$1001,0)))),""))</f>
        <v/>
      </c>
      <c r="M273">
        <f>IF(B273="","",IFERROR(VLOOKUP(B273,업체_메모!$A$3:$I$302,2,FALSE)&amp;"",""))</f>
        <v/>
      </c>
      <c r="N273">
        <f>IF(B273="","",IFERROR(VLOOKUP(B273,업체_메모!$A$3:$I$302,4,FALSE)&amp;"",""))</f>
        <v/>
      </c>
      <c r="O273" s="7">
        <f>IF(B273="","",IF(COUNTIF('4.방문기록'!$B$3:$B$502,B273)=0,"",_xlfn.MAXIFS('4.방문기록'!$A$3:$A$502,'4.방문기록'!$B$3:$B$502,B273)))</f>
        <v/>
      </c>
      <c r="P273">
        <f>IF(O273="","",설정!$B$24-O273)</f>
        <v/>
      </c>
      <c r="Q273" s="7">
        <f>IF(B273="","",IF(_xlfn.MAXIFS('4.방문기록'!$F$3:$F$502,'4.방문기록'!$B$3:$B$502,B273)=0,"",_xlfn.MAXIFS('4.방문기록'!$F$3:$F$502,'4.방문기록'!$B$3:$B$502,B273)))</f>
        <v/>
      </c>
      <c r="R273">
        <f>IF(O273="","",IFERROR(INDEX('4.방문기록'!$H$3:$H$502,MATCH(B273&amp;"|"&amp;(O273*1),'4.방문기록'!$I$3:$I$502,0))&amp;"",""))</f>
        <v/>
      </c>
      <c r="S273">
        <f>IF(B273="","",IF(R273="관심 없음","제외",IF(O273="","안 가봄",IF(P273&gt;=설정!$B$20,P273&amp;"일 지남","최근 방문"))))</f>
        <v/>
      </c>
      <c r="T273" s="8">
        <f>IF(B273="","",IF(S273="제외","",IF(AND(설정!$B$21&lt;&gt;"",L273&lt;&gt;설정!$B$21),"",IF(AND(Q273&lt;&gt;"",Q273&gt;N(O273),Q273&lt;=설정!$B$24+7),설정!$B$39+7-(Q273-설정!$B$24),IF(AND(G273&gt;0,OR(S273="안 가봄",RIGHT(S273,2)="지남")),G273+IF(O273="",설정!$B$36,MIN(P273,60)*설정!$B$37)+MIN(N(H273)/1000*설정!$B$38,20),"")))))</f>
        <v/>
      </c>
      <c r="U273">
        <f>IF(T273="","",COUNTIF(T$4:T$303,"&gt;"&amp;T273)+COUNTIF(T$4:T273,T273))</f>
        <v/>
      </c>
    </row>
    <row r="274">
      <c r="A274">
        <f>IF(B274="","",271)</f>
        <v/>
      </c>
      <c r="B274">
        <f>IFERROR(INDEX('2.현장'!$V$2:$V$1001,MATCH(271,'2.현장'!$W$2:$W$1001,0)),"")</f>
        <v/>
      </c>
      <c r="C274">
        <f>IF(B274="","",COUNTIFS('2.현장'!$V$2:$V$1001,B274,'2.현장'!$T$2:$T$1001,TRUE))</f>
        <v/>
      </c>
      <c r="D274">
        <f>IF(B274="","",COUNTIFS('2.현장'!$V$2:$V$1001,B274,'2.현장'!$U$2:$U$1001,"설계사"))</f>
        <v/>
      </c>
      <c r="E274">
        <f>IF(B274="","",COUNTIFS('2.현장'!$V$2:$V$1001,B274,'2.현장'!$U$2:$U$1001,"시공사"))</f>
        <v/>
      </c>
      <c r="F274">
        <f>IF(B274="","",COUNTIFS('2.현장'!$V$2:$V$1001,B274,'2.현장'!$T$2:$T$1001,TRUE,'2.현장'!$AA$2:$AA$1001,"★"))</f>
        <v/>
      </c>
      <c r="G274" s="6">
        <f>IF(B274="","",SUMIFS('2.현장'!$AB$2:$AB$1001,'2.현장'!$V$2:$V$1001,B274,'2.현장'!$T$2:$T$1001,TRUE))</f>
        <v/>
      </c>
      <c r="H274" s="5">
        <f>IF(B274="","",_xlfn.MAXIFS('2.현장'!$D$2:$D$1001,'2.현장'!$V$2:$V$1001,B274,'2.현장'!$T$2:$T$1001,TRUE))</f>
        <v/>
      </c>
      <c r="I274" s="7">
        <f>IF(B274="","",IF(_xlfn.MAXIFS('2.현장'!$L$2:$L$1001,'2.현장'!$V$2:$V$1001,B274,'2.현장'!$T$2:$T$1001,TRUE)=0,"",_xlfn.MAXIFS('2.현장'!$L$2:$L$1001,'2.현장'!$V$2:$V$1001,B274,'2.현장'!$T$2:$T$1001,TRUE)))</f>
        <v/>
      </c>
      <c r="J274" s="7">
        <f>IF(B274="","",IF(_xlfn.MAXIFS('2.현장'!$M$2:$M$1001,'2.현장'!$V$2:$V$1001,B274,'2.현장'!$T$2:$T$1001,TRUE)=0,"",_xlfn.MAXIFS('2.현장'!$M$2:$M$1001,'2.현장'!$V$2:$V$1001,B274,'2.현장'!$T$2:$T$1001,TRUE)))</f>
        <v/>
      </c>
      <c r="K274">
        <f>IF(B274="","",IFERROR(INDEX('2.현장'!$C$2:$C$1001,IFERROR(MATCH(B274&amp;"|설계사",'2.현장'!$Z$2:$Z$1001,0),IFERROR(MATCH(B274&amp;"|시공사",'2.현장'!$Z$2:$Z$1001,0),MATCH(B274&amp;"|늦음",'2.현장'!$Z$2:$Z$1001,0)))),""))</f>
        <v/>
      </c>
      <c r="L274">
        <f>IF(B274="","",IFERROR(INDEX('2.현장'!$N$2:$N$1001,IFERROR(MATCH(B274&amp;"|설계사",'2.현장'!$Z$2:$Z$1001,0),IFERROR(MATCH(B274&amp;"|시공사",'2.현장'!$Z$2:$Z$1001,0),MATCH(B274&amp;"|늦음",'2.현장'!$Z$2:$Z$1001,0)))),""))</f>
        <v/>
      </c>
      <c r="M274">
        <f>IF(B274="","",IFERROR(VLOOKUP(B274,업체_메모!$A$3:$I$302,2,FALSE)&amp;"",""))</f>
        <v/>
      </c>
      <c r="N274">
        <f>IF(B274="","",IFERROR(VLOOKUP(B274,업체_메모!$A$3:$I$302,4,FALSE)&amp;"",""))</f>
        <v/>
      </c>
      <c r="O274" s="7">
        <f>IF(B274="","",IF(COUNTIF('4.방문기록'!$B$3:$B$502,B274)=0,"",_xlfn.MAXIFS('4.방문기록'!$A$3:$A$502,'4.방문기록'!$B$3:$B$502,B274)))</f>
        <v/>
      </c>
      <c r="P274">
        <f>IF(O274="","",설정!$B$24-O274)</f>
        <v/>
      </c>
      <c r="Q274" s="7">
        <f>IF(B274="","",IF(_xlfn.MAXIFS('4.방문기록'!$F$3:$F$502,'4.방문기록'!$B$3:$B$502,B274)=0,"",_xlfn.MAXIFS('4.방문기록'!$F$3:$F$502,'4.방문기록'!$B$3:$B$502,B274)))</f>
        <v/>
      </c>
      <c r="R274">
        <f>IF(O274="","",IFERROR(INDEX('4.방문기록'!$H$3:$H$502,MATCH(B274&amp;"|"&amp;(O274*1),'4.방문기록'!$I$3:$I$502,0))&amp;"",""))</f>
        <v/>
      </c>
      <c r="S274">
        <f>IF(B274="","",IF(R274="관심 없음","제외",IF(O274="","안 가봄",IF(P274&gt;=설정!$B$20,P274&amp;"일 지남","최근 방문"))))</f>
        <v/>
      </c>
      <c r="T274" s="8">
        <f>IF(B274="","",IF(S274="제외","",IF(AND(설정!$B$21&lt;&gt;"",L274&lt;&gt;설정!$B$21),"",IF(AND(Q274&lt;&gt;"",Q274&gt;N(O274),Q274&lt;=설정!$B$24+7),설정!$B$39+7-(Q274-설정!$B$24),IF(AND(G274&gt;0,OR(S274="안 가봄",RIGHT(S274,2)="지남")),G274+IF(O274="",설정!$B$36,MIN(P274,60)*설정!$B$37)+MIN(N(H274)/1000*설정!$B$38,20),"")))))</f>
        <v/>
      </c>
      <c r="U274">
        <f>IF(T274="","",COUNTIF(T$4:T$303,"&gt;"&amp;T274)+COUNTIF(T$4:T274,T274))</f>
        <v/>
      </c>
    </row>
    <row r="275">
      <c r="A275">
        <f>IF(B275="","",272)</f>
        <v/>
      </c>
      <c r="B275">
        <f>IFERROR(INDEX('2.현장'!$V$2:$V$1001,MATCH(272,'2.현장'!$W$2:$W$1001,0)),"")</f>
        <v/>
      </c>
      <c r="C275">
        <f>IF(B275="","",COUNTIFS('2.현장'!$V$2:$V$1001,B275,'2.현장'!$T$2:$T$1001,TRUE))</f>
        <v/>
      </c>
      <c r="D275">
        <f>IF(B275="","",COUNTIFS('2.현장'!$V$2:$V$1001,B275,'2.현장'!$U$2:$U$1001,"설계사"))</f>
        <v/>
      </c>
      <c r="E275">
        <f>IF(B275="","",COUNTIFS('2.현장'!$V$2:$V$1001,B275,'2.현장'!$U$2:$U$1001,"시공사"))</f>
        <v/>
      </c>
      <c r="F275">
        <f>IF(B275="","",COUNTIFS('2.현장'!$V$2:$V$1001,B275,'2.현장'!$T$2:$T$1001,TRUE,'2.현장'!$AA$2:$AA$1001,"★"))</f>
        <v/>
      </c>
      <c r="G275" s="6">
        <f>IF(B275="","",SUMIFS('2.현장'!$AB$2:$AB$1001,'2.현장'!$V$2:$V$1001,B275,'2.현장'!$T$2:$T$1001,TRUE))</f>
        <v/>
      </c>
      <c r="H275" s="5">
        <f>IF(B275="","",_xlfn.MAXIFS('2.현장'!$D$2:$D$1001,'2.현장'!$V$2:$V$1001,B275,'2.현장'!$T$2:$T$1001,TRUE))</f>
        <v/>
      </c>
      <c r="I275" s="7">
        <f>IF(B275="","",IF(_xlfn.MAXIFS('2.현장'!$L$2:$L$1001,'2.현장'!$V$2:$V$1001,B275,'2.현장'!$T$2:$T$1001,TRUE)=0,"",_xlfn.MAXIFS('2.현장'!$L$2:$L$1001,'2.현장'!$V$2:$V$1001,B275,'2.현장'!$T$2:$T$1001,TRUE)))</f>
        <v/>
      </c>
      <c r="J275" s="7">
        <f>IF(B275="","",IF(_xlfn.MAXIFS('2.현장'!$M$2:$M$1001,'2.현장'!$V$2:$V$1001,B275,'2.현장'!$T$2:$T$1001,TRUE)=0,"",_xlfn.MAXIFS('2.현장'!$M$2:$M$1001,'2.현장'!$V$2:$V$1001,B275,'2.현장'!$T$2:$T$1001,TRUE)))</f>
        <v/>
      </c>
      <c r="K275">
        <f>IF(B275="","",IFERROR(INDEX('2.현장'!$C$2:$C$1001,IFERROR(MATCH(B275&amp;"|설계사",'2.현장'!$Z$2:$Z$1001,0),IFERROR(MATCH(B275&amp;"|시공사",'2.현장'!$Z$2:$Z$1001,0),MATCH(B275&amp;"|늦음",'2.현장'!$Z$2:$Z$1001,0)))),""))</f>
        <v/>
      </c>
      <c r="L275">
        <f>IF(B275="","",IFERROR(INDEX('2.현장'!$N$2:$N$1001,IFERROR(MATCH(B275&amp;"|설계사",'2.현장'!$Z$2:$Z$1001,0),IFERROR(MATCH(B275&amp;"|시공사",'2.현장'!$Z$2:$Z$1001,0),MATCH(B275&amp;"|늦음",'2.현장'!$Z$2:$Z$1001,0)))),""))</f>
        <v/>
      </c>
      <c r="M275">
        <f>IF(B275="","",IFERROR(VLOOKUP(B275,업체_메모!$A$3:$I$302,2,FALSE)&amp;"",""))</f>
        <v/>
      </c>
      <c r="N275">
        <f>IF(B275="","",IFERROR(VLOOKUP(B275,업체_메모!$A$3:$I$302,4,FALSE)&amp;"",""))</f>
        <v/>
      </c>
      <c r="O275" s="7">
        <f>IF(B275="","",IF(COUNTIF('4.방문기록'!$B$3:$B$502,B275)=0,"",_xlfn.MAXIFS('4.방문기록'!$A$3:$A$502,'4.방문기록'!$B$3:$B$502,B275)))</f>
        <v/>
      </c>
      <c r="P275">
        <f>IF(O275="","",설정!$B$24-O275)</f>
        <v/>
      </c>
      <c r="Q275" s="7">
        <f>IF(B275="","",IF(_xlfn.MAXIFS('4.방문기록'!$F$3:$F$502,'4.방문기록'!$B$3:$B$502,B275)=0,"",_xlfn.MAXIFS('4.방문기록'!$F$3:$F$502,'4.방문기록'!$B$3:$B$502,B275)))</f>
        <v/>
      </c>
      <c r="R275">
        <f>IF(O275="","",IFERROR(INDEX('4.방문기록'!$H$3:$H$502,MATCH(B275&amp;"|"&amp;(O275*1),'4.방문기록'!$I$3:$I$502,0))&amp;"",""))</f>
        <v/>
      </c>
      <c r="S275">
        <f>IF(B275="","",IF(R275="관심 없음","제외",IF(O275="","안 가봄",IF(P275&gt;=설정!$B$20,P275&amp;"일 지남","최근 방문"))))</f>
        <v/>
      </c>
      <c r="T275" s="8">
        <f>IF(B275="","",IF(S275="제외","",IF(AND(설정!$B$21&lt;&gt;"",L275&lt;&gt;설정!$B$21),"",IF(AND(Q275&lt;&gt;"",Q275&gt;N(O275),Q275&lt;=설정!$B$24+7),설정!$B$39+7-(Q275-설정!$B$24),IF(AND(G275&gt;0,OR(S275="안 가봄",RIGHT(S275,2)="지남")),G275+IF(O275="",설정!$B$36,MIN(P275,60)*설정!$B$37)+MIN(N(H275)/1000*설정!$B$38,20),"")))))</f>
        <v/>
      </c>
      <c r="U275">
        <f>IF(T275="","",COUNTIF(T$4:T$303,"&gt;"&amp;T275)+COUNTIF(T$4:T275,T275))</f>
        <v/>
      </c>
    </row>
    <row r="276">
      <c r="A276">
        <f>IF(B276="","",273)</f>
        <v/>
      </c>
      <c r="B276">
        <f>IFERROR(INDEX('2.현장'!$V$2:$V$1001,MATCH(273,'2.현장'!$W$2:$W$1001,0)),"")</f>
        <v/>
      </c>
      <c r="C276">
        <f>IF(B276="","",COUNTIFS('2.현장'!$V$2:$V$1001,B276,'2.현장'!$T$2:$T$1001,TRUE))</f>
        <v/>
      </c>
      <c r="D276">
        <f>IF(B276="","",COUNTIFS('2.현장'!$V$2:$V$1001,B276,'2.현장'!$U$2:$U$1001,"설계사"))</f>
        <v/>
      </c>
      <c r="E276">
        <f>IF(B276="","",COUNTIFS('2.현장'!$V$2:$V$1001,B276,'2.현장'!$U$2:$U$1001,"시공사"))</f>
        <v/>
      </c>
      <c r="F276">
        <f>IF(B276="","",COUNTIFS('2.현장'!$V$2:$V$1001,B276,'2.현장'!$T$2:$T$1001,TRUE,'2.현장'!$AA$2:$AA$1001,"★"))</f>
        <v/>
      </c>
      <c r="G276" s="6">
        <f>IF(B276="","",SUMIFS('2.현장'!$AB$2:$AB$1001,'2.현장'!$V$2:$V$1001,B276,'2.현장'!$T$2:$T$1001,TRUE))</f>
        <v/>
      </c>
      <c r="H276" s="5">
        <f>IF(B276="","",_xlfn.MAXIFS('2.현장'!$D$2:$D$1001,'2.현장'!$V$2:$V$1001,B276,'2.현장'!$T$2:$T$1001,TRUE))</f>
        <v/>
      </c>
      <c r="I276" s="7">
        <f>IF(B276="","",IF(_xlfn.MAXIFS('2.현장'!$L$2:$L$1001,'2.현장'!$V$2:$V$1001,B276,'2.현장'!$T$2:$T$1001,TRUE)=0,"",_xlfn.MAXIFS('2.현장'!$L$2:$L$1001,'2.현장'!$V$2:$V$1001,B276,'2.현장'!$T$2:$T$1001,TRUE)))</f>
        <v/>
      </c>
      <c r="J276" s="7">
        <f>IF(B276="","",IF(_xlfn.MAXIFS('2.현장'!$M$2:$M$1001,'2.현장'!$V$2:$V$1001,B276,'2.현장'!$T$2:$T$1001,TRUE)=0,"",_xlfn.MAXIFS('2.현장'!$M$2:$M$1001,'2.현장'!$V$2:$V$1001,B276,'2.현장'!$T$2:$T$1001,TRUE)))</f>
        <v/>
      </c>
      <c r="K276">
        <f>IF(B276="","",IFERROR(INDEX('2.현장'!$C$2:$C$1001,IFERROR(MATCH(B276&amp;"|설계사",'2.현장'!$Z$2:$Z$1001,0),IFERROR(MATCH(B276&amp;"|시공사",'2.현장'!$Z$2:$Z$1001,0),MATCH(B276&amp;"|늦음",'2.현장'!$Z$2:$Z$1001,0)))),""))</f>
        <v/>
      </c>
      <c r="L276">
        <f>IF(B276="","",IFERROR(INDEX('2.현장'!$N$2:$N$1001,IFERROR(MATCH(B276&amp;"|설계사",'2.현장'!$Z$2:$Z$1001,0),IFERROR(MATCH(B276&amp;"|시공사",'2.현장'!$Z$2:$Z$1001,0),MATCH(B276&amp;"|늦음",'2.현장'!$Z$2:$Z$1001,0)))),""))</f>
        <v/>
      </c>
      <c r="M276">
        <f>IF(B276="","",IFERROR(VLOOKUP(B276,업체_메모!$A$3:$I$302,2,FALSE)&amp;"",""))</f>
        <v/>
      </c>
      <c r="N276">
        <f>IF(B276="","",IFERROR(VLOOKUP(B276,업체_메모!$A$3:$I$302,4,FALSE)&amp;"",""))</f>
        <v/>
      </c>
      <c r="O276" s="7">
        <f>IF(B276="","",IF(COUNTIF('4.방문기록'!$B$3:$B$502,B276)=0,"",_xlfn.MAXIFS('4.방문기록'!$A$3:$A$502,'4.방문기록'!$B$3:$B$502,B276)))</f>
        <v/>
      </c>
      <c r="P276">
        <f>IF(O276="","",설정!$B$24-O276)</f>
        <v/>
      </c>
      <c r="Q276" s="7">
        <f>IF(B276="","",IF(_xlfn.MAXIFS('4.방문기록'!$F$3:$F$502,'4.방문기록'!$B$3:$B$502,B276)=0,"",_xlfn.MAXIFS('4.방문기록'!$F$3:$F$502,'4.방문기록'!$B$3:$B$502,B276)))</f>
        <v/>
      </c>
      <c r="R276">
        <f>IF(O276="","",IFERROR(INDEX('4.방문기록'!$H$3:$H$502,MATCH(B276&amp;"|"&amp;(O276*1),'4.방문기록'!$I$3:$I$502,0))&amp;"",""))</f>
        <v/>
      </c>
      <c r="S276">
        <f>IF(B276="","",IF(R276="관심 없음","제외",IF(O276="","안 가봄",IF(P276&gt;=설정!$B$20,P276&amp;"일 지남","최근 방문"))))</f>
        <v/>
      </c>
      <c r="T276" s="8">
        <f>IF(B276="","",IF(S276="제외","",IF(AND(설정!$B$21&lt;&gt;"",L276&lt;&gt;설정!$B$21),"",IF(AND(Q276&lt;&gt;"",Q276&gt;N(O276),Q276&lt;=설정!$B$24+7),설정!$B$39+7-(Q276-설정!$B$24),IF(AND(G276&gt;0,OR(S276="안 가봄",RIGHT(S276,2)="지남")),G276+IF(O276="",설정!$B$36,MIN(P276,60)*설정!$B$37)+MIN(N(H276)/1000*설정!$B$38,20),"")))))</f>
        <v/>
      </c>
      <c r="U276">
        <f>IF(T276="","",COUNTIF(T$4:T$303,"&gt;"&amp;T276)+COUNTIF(T$4:T276,T276))</f>
        <v/>
      </c>
    </row>
    <row r="277">
      <c r="A277">
        <f>IF(B277="","",274)</f>
        <v/>
      </c>
      <c r="B277">
        <f>IFERROR(INDEX('2.현장'!$V$2:$V$1001,MATCH(274,'2.현장'!$W$2:$W$1001,0)),"")</f>
        <v/>
      </c>
      <c r="C277">
        <f>IF(B277="","",COUNTIFS('2.현장'!$V$2:$V$1001,B277,'2.현장'!$T$2:$T$1001,TRUE))</f>
        <v/>
      </c>
      <c r="D277">
        <f>IF(B277="","",COUNTIFS('2.현장'!$V$2:$V$1001,B277,'2.현장'!$U$2:$U$1001,"설계사"))</f>
        <v/>
      </c>
      <c r="E277">
        <f>IF(B277="","",COUNTIFS('2.현장'!$V$2:$V$1001,B277,'2.현장'!$U$2:$U$1001,"시공사"))</f>
        <v/>
      </c>
      <c r="F277">
        <f>IF(B277="","",COUNTIFS('2.현장'!$V$2:$V$1001,B277,'2.현장'!$T$2:$T$1001,TRUE,'2.현장'!$AA$2:$AA$1001,"★"))</f>
        <v/>
      </c>
      <c r="G277" s="6">
        <f>IF(B277="","",SUMIFS('2.현장'!$AB$2:$AB$1001,'2.현장'!$V$2:$V$1001,B277,'2.현장'!$T$2:$T$1001,TRUE))</f>
        <v/>
      </c>
      <c r="H277" s="5">
        <f>IF(B277="","",_xlfn.MAXIFS('2.현장'!$D$2:$D$1001,'2.현장'!$V$2:$V$1001,B277,'2.현장'!$T$2:$T$1001,TRUE))</f>
        <v/>
      </c>
      <c r="I277" s="7">
        <f>IF(B277="","",IF(_xlfn.MAXIFS('2.현장'!$L$2:$L$1001,'2.현장'!$V$2:$V$1001,B277,'2.현장'!$T$2:$T$1001,TRUE)=0,"",_xlfn.MAXIFS('2.현장'!$L$2:$L$1001,'2.현장'!$V$2:$V$1001,B277,'2.현장'!$T$2:$T$1001,TRUE)))</f>
        <v/>
      </c>
      <c r="J277" s="7">
        <f>IF(B277="","",IF(_xlfn.MAXIFS('2.현장'!$M$2:$M$1001,'2.현장'!$V$2:$V$1001,B277,'2.현장'!$T$2:$T$1001,TRUE)=0,"",_xlfn.MAXIFS('2.현장'!$M$2:$M$1001,'2.현장'!$V$2:$V$1001,B277,'2.현장'!$T$2:$T$1001,TRUE)))</f>
        <v/>
      </c>
      <c r="K277">
        <f>IF(B277="","",IFERROR(INDEX('2.현장'!$C$2:$C$1001,IFERROR(MATCH(B277&amp;"|설계사",'2.현장'!$Z$2:$Z$1001,0),IFERROR(MATCH(B277&amp;"|시공사",'2.현장'!$Z$2:$Z$1001,0),MATCH(B277&amp;"|늦음",'2.현장'!$Z$2:$Z$1001,0)))),""))</f>
        <v/>
      </c>
      <c r="L277">
        <f>IF(B277="","",IFERROR(INDEX('2.현장'!$N$2:$N$1001,IFERROR(MATCH(B277&amp;"|설계사",'2.현장'!$Z$2:$Z$1001,0),IFERROR(MATCH(B277&amp;"|시공사",'2.현장'!$Z$2:$Z$1001,0),MATCH(B277&amp;"|늦음",'2.현장'!$Z$2:$Z$1001,0)))),""))</f>
        <v/>
      </c>
      <c r="M277">
        <f>IF(B277="","",IFERROR(VLOOKUP(B277,업체_메모!$A$3:$I$302,2,FALSE)&amp;"",""))</f>
        <v/>
      </c>
      <c r="N277">
        <f>IF(B277="","",IFERROR(VLOOKUP(B277,업체_메모!$A$3:$I$302,4,FALSE)&amp;"",""))</f>
        <v/>
      </c>
      <c r="O277" s="7">
        <f>IF(B277="","",IF(COUNTIF('4.방문기록'!$B$3:$B$502,B277)=0,"",_xlfn.MAXIFS('4.방문기록'!$A$3:$A$502,'4.방문기록'!$B$3:$B$502,B277)))</f>
        <v/>
      </c>
      <c r="P277">
        <f>IF(O277="","",설정!$B$24-O277)</f>
        <v/>
      </c>
      <c r="Q277" s="7">
        <f>IF(B277="","",IF(_xlfn.MAXIFS('4.방문기록'!$F$3:$F$502,'4.방문기록'!$B$3:$B$502,B277)=0,"",_xlfn.MAXIFS('4.방문기록'!$F$3:$F$502,'4.방문기록'!$B$3:$B$502,B277)))</f>
        <v/>
      </c>
      <c r="R277">
        <f>IF(O277="","",IFERROR(INDEX('4.방문기록'!$H$3:$H$502,MATCH(B277&amp;"|"&amp;(O277*1),'4.방문기록'!$I$3:$I$502,0))&amp;"",""))</f>
        <v/>
      </c>
      <c r="S277">
        <f>IF(B277="","",IF(R277="관심 없음","제외",IF(O277="","안 가봄",IF(P277&gt;=설정!$B$20,P277&amp;"일 지남","최근 방문"))))</f>
        <v/>
      </c>
      <c r="T277" s="8">
        <f>IF(B277="","",IF(S277="제외","",IF(AND(설정!$B$21&lt;&gt;"",L277&lt;&gt;설정!$B$21),"",IF(AND(Q277&lt;&gt;"",Q277&gt;N(O277),Q277&lt;=설정!$B$24+7),설정!$B$39+7-(Q277-설정!$B$24),IF(AND(G277&gt;0,OR(S277="안 가봄",RIGHT(S277,2)="지남")),G277+IF(O277="",설정!$B$36,MIN(P277,60)*설정!$B$37)+MIN(N(H277)/1000*설정!$B$38,20),"")))))</f>
        <v/>
      </c>
      <c r="U277">
        <f>IF(T277="","",COUNTIF(T$4:T$303,"&gt;"&amp;T277)+COUNTIF(T$4:T277,T277))</f>
        <v/>
      </c>
    </row>
    <row r="278">
      <c r="A278">
        <f>IF(B278="","",275)</f>
        <v/>
      </c>
      <c r="B278">
        <f>IFERROR(INDEX('2.현장'!$V$2:$V$1001,MATCH(275,'2.현장'!$W$2:$W$1001,0)),"")</f>
        <v/>
      </c>
      <c r="C278">
        <f>IF(B278="","",COUNTIFS('2.현장'!$V$2:$V$1001,B278,'2.현장'!$T$2:$T$1001,TRUE))</f>
        <v/>
      </c>
      <c r="D278">
        <f>IF(B278="","",COUNTIFS('2.현장'!$V$2:$V$1001,B278,'2.현장'!$U$2:$U$1001,"설계사"))</f>
        <v/>
      </c>
      <c r="E278">
        <f>IF(B278="","",COUNTIFS('2.현장'!$V$2:$V$1001,B278,'2.현장'!$U$2:$U$1001,"시공사"))</f>
        <v/>
      </c>
      <c r="F278">
        <f>IF(B278="","",COUNTIFS('2.현장'!$V$2:$V$1001,B278,'2.현장'!$T$2:$T$1001,TRUE,'2.현장'!$AA$2:$AA$1001,"★"))</f>
        <v/>
      </c>
      <c r="G278" s="6">
        <f>IF(B278="","",SUMIFS('2.현장'!$AB$2:$AB$1001,'2.현장'!$V$2:$V$1001,B278,'2.현장'!$T$2:$T$1001,TRUE))</f>
        <v/>
      </c>
      <c r="H278" s="5">
        <f>IF(B278="","",_xlfn.MAXIFS('2.현장'!$D$2:$D$1001,'2.현장'!$V$2:$V$1001,B278,'2.현장'!$T$2:$T$1001,TRUE))</f>
        <v/>
      </c>
      <c r="I278" s="7">
        <f>IF(B278="","",IF(_xlfn.MAXIFS('2.현장'!$L$2:$L$1001,'2.현장'!$V$2:$V$1001,B278,'2.현장'!$T$2:$T$1001,TRUE)=0,"",_xlfn.MAXIFS('2.현장'!$L$2:$L$1001,'2.현장'!$V$2:$V$1001,B278,'2.현장'!$T$2:$T$1001,TRUE)))</f>
        <v/>
      </c>
      <c r="J278" s="7">
        <f>IF(B278="","",IF(_xlfn.MAXIFS('2.현장'!$M$2:$M$1001,'2.현장'!$V$2:$V$1001,B278,'2.현장'!$T$2:$T$1001,TRUE)=0,"",_xlfn.MAXIFS('2.현장'!$M$2:$M$1001,'2.현장'!$V$2:$V$1001,B278,'2.현장'!$T$2:$T$1001,TRUE)))</f>
        <v/>
      </c>
      <c r="K278">
        <f>IF(B278="","",IFERROR(INDEX('2.현장'!$C$2:$C$1001,IFERROR(MATCH(B278&amp;"|설계사",'2.현장'!$Z$2:$Z$1001,0),IFERROR(MATCH(B278&amp;"|시공사",'2.현장'!$Z$2:$Z$1001,0),MATCH(B278&amp;"|늦음",'2.현장'!$Z$2:$Z$1001,0)))),""))</f>
        <v/>
      </c>
      <c r="L278">
        <f>IF(B278="","",IFERROR(INDEX('2.현장'!$N$2:$N$1001,IFERROR(MATCH(B278&amp;"|설계사",'2.현장'!$Z$2:$Z$1001,0),IFERROR(MATCH(B278&amp;"|시공사",'2.현장'!$Z$2:$Z$1001,0),MATCH(B278&amp;"|늦음",'2.현장'!$Z$2:$Z$1001,0)))),""))</f>
        <v/>
      </c>
      <c r="M278">
        <f>IF(B278="","",IFERROR(VLOOKUP(B278,업체_메모!$A$3:$I$302,2,FALSE)&amp;"",""))</f>
        <v/>
      </c>
      <c r="N278">
        <f>IF(B278="","",IFERROR(VLOOKUP(B278,업체_메모!$A$3:$I$302,4,FALSE)&amp;"",""))</f>
        <v/>
      </c>
      <c r="O278" s="7">
        <f>IF(B278="","",IF(COUNTIF('4.방문기록'!$B$3:$B$502,B278)=0,"",_xlfn.MAXIFS('4.방문기록'!$A$3:$A$502,'4.방문기록'!$B$3:$B$502,B278)))</f>
        <v/>
      </c>
      <c r="P278">
        <f>IF(O278="","",설정!$B$24-O278)</f>
        <v/>
      </c>
      <c r="Q278" s="7">
        <f>IF(B278="","",IF(_xlfn.MAXIFS('4.방문기록'!$F$3:$F$502,'4.방문기록'!$B$3:$B$502,B278)=0,"",_xlfn.MAXIFS('4.방문기록'!$F$3:$F$502,'4.방문기록'!$B$3:$B$502,B278)))</f>
        <v/>
      </c>
      <c r="R278">
        <f>IF(O278="","",IFERROR(INDEX('4.방문기록'!$H$3:$H$502,MATCH(B278&amp;"|"&amp;(O278*1),'4.방문기록'!$I$3:$I$502,0))&amp;"",""))</f>
        <v/>
      </c>
      <c r="S278">
        <f>IF(B278="","",IF(R278="관심 없음","제외",IF(O278="","안 가봄",IF(P278&gt;=설정!$B$20,P278&amp;"일 지남","최근 방문"))))</f>
        <v/>
      </c>
      <c r="T278" s="8">
        <f>IF(B278="","",IF(S278="제외","",IF(AND(설정!$B$21&lt;&gt;"",L278&lt;&gt;설정!$B$21),"",IF(AND(Q278&lt;&gt;"",Q278&gt;N(O278),Q278&lt;=설정!$B$24+7),설정!$B$39+7-(Q278-설정!$B$24),IF(AND(G278&gt;0,OR(S278="안 가봄",RIGHT(S278,2)="지남")),G278+IF(O278="",설정!$B$36,MIN(P278,60)*설정!$B$37)+MIN(N(H278)/1000*설정!$B$38,20),"")))))</f>
        <v/>
      </c>
      <c r="U278">
        <f>IF(T278="","",COUNTIF(T$4:T$303,"&gt;"&amp;T278)+COUNTIF(T$4:T278,T278))</f>
        <v/>
      </c>
    </row>
    <row r="279">
      <c r="A279">
        <f>IF(B279="","",276)</f>
        <v/>
      </c>
      <c r="B279">
        <f>IFERROR(INDEX('2.현장'!$V$2:$V$1001,MATCH(276,'2.현장'!$W$2:$W$1001,0)),"")</f>
        <v/>
      </c>
      <c r="C279">
        <f>IF(B279="","",COUNTIFS('2.현장'!$V$2:$V$1001,B279,'2.현장'!$T$2:$T$1001,TRUE))</f>
        <v/>
      </c>
      <c r="D279">
        <f>IF(B279="","",COUNTIFS('2.현장'!$V$2:$V$1001,B279,'2.현장'!$U$2:$U$1001,"설계사"))</f>
        <v/>
      </c>
      <c r="E279">
        <f>IF(B279="","",COUNTIFS('2.현장'!$V$2:$V$1001,B279,'2.현장'!$U$2:$U$1001,"시공사"))</f>
        <v/>
      </c>
      <c r="F279">
        <f>IF(B279="","",COUNTIFS('2.현장'!$V$2:$V$1001,B279,'2.현장'!$T$2:$T$1001,TRUE,'2.현장'!$AA$2:$AA$1001,"★"))</f>
        <v/>
      </c>
      <c r="G279" s="6">
        <f>IF(B279="","",SUMIFS('2.현장'!$AB$2:$AB$1001,'2.현장'!$V$2:$V$1001,B279,'2.현장'!$T$2:$T$1001,TRUE))</f>
        <v/>
      </c>
      <c r="H279" s="5">
        <f>IF(B279="","",_xlfn.MAXIFS('2.현장'!$D$2:$D$1001,'2.현장'!$V$2:$V$1001,B279,'2.현장'!$T$2:$T$1001,TRUE))</f>
        <v/>
      </c>
      <c r="I279" s="7">
        <f>IF(B279="","",IF(_xlfn.MAXIFS('2.현장'!$L$2:$L$1001,'2.현장'!$V$2:$V$1001,B279,'2.현장'!$T$2:$T$1001,TRUE)=0,"",_xlfn.MAXIFS('2.현장'!$L$2:$L$1001,'2.현장'!$V$2:$V$1001,B279,'2.현장'!$T$2:$T$1001,TRUE)))</f>
        <v/>
      </c>
      <c r="J279" s="7">
        <f>IF(B279="","",IF(_xlfn.MAXIFS('2.현장'!$M$2:$M$1001,'2.현장'!$V$2:$V$1001,B279,'2.현장'!$T$2:$T$1001,TRUE)=0,"",_xlfn.MAXIFS('2.현장'!$M$2:$M$1001,'2.현장'!$V$2:$V$1001,B279,'2.현장'!$T$2:$T$1001,TRUE)))</f>
        <v/>
      </c>
      <c r="K279">
        <f>IF(B279="","",IFERROR(INDEX('2.현장'!$C$2:$C$1001,IFERROR(MATCH(B279&amp;"|설계사",'2.현장'!$Z$2:$Z$1001,0),IFERROR(MATCH(B279&amp;"|시공사",'2.현장'!$Z$2:$Z$1001,0),MATCH(B279&amp;"|늦음",'2.현장'!$Z$2:$Z$1001,0)))),""))</f>
        <v/>
      </c>
      <c r="L279">
        <f>IF(B279="","",IFERROR(INDEX('2.현장'!$N$2:$N$1001,IFERROR(MATCH(B279&amp;"|설계사",'2.현장'!$Z$2:$Z$1001,0),IFERROR(MATCH(B279&amp;"|시공사",'2.현장'!$Z$2:$Z$1001,0),MATCH(B279&amp;"|늦음",'2.현장'!$Z$2:$Z$1001,0)))),""))</f>
        <v/>
      </c>
      <c r="M279">
        <f>IF(B279="","",IFERROR(VLOOKUP(B279,업체_메모!$A$3:$I$302,2,FALSE)&amp;"",""))</f>
        <v/>
      </c>
      <c r="N279">
        <f>IF(B279="","",IFERROR(VLOOKUP(B279,업체_메모!$A$3:$I$302,4,FALSE)&amp;"",""))</f>
        <v/>
      </c>
      <c r="O279" s="7">
        <f>IF(B279="","",IF(COUNTIF('4.방문기록'!$B$3:$B$502,B279)=0,"",_xlfn.MAXIFS('4.방문기록'!$A$3:$A$502,'4.방문기록'!$B$3:$B$502,B279)))</f>
        <v/>
      </c>
      <c r="P279">
        <f>IF(O279="","",설정!$B$24-O279)</f>
        <v/>
      </c>
      <c r="Q279" s="7">
        <f>IF(B279="","",IF(_xlfn.MAXIFS('4.방문기록'!$F$3:$F$502,'4.방문기록'!$B$3:$B$502,B279)=0,"",_xlfn.MAXIFS('4.방문기록'!$F$3:$F$502,'4.방문기록'!$B$3:$B$502,B279)))</f>
        <v/>
      </c>
      <c r="R279">
        <f>IF(O279="","",IFERROR(INDEX('4.방문기록'!$H$3:$H$502,MATCH(B279&amp;"|"&amp;(O279*1),'4.방문기록'!$I$3:$I$502,0))&amp;"",""))</f>
        <v/>
      </c>
      <c r="S279">
        <f>IF(B279="","",IF(R279="관심 없음","제외",IF(O279="","안 가봄",IF(P279&gt;=설정!$B$20,P279&amp;"일 지남","최근 방문"))))</f>
        <v/>
      </c>
      <c r="T279" s="8">
        <f>IF(B279="","",IF(S279="제외","",IF(AND(설정!$B$21&lt;&gt;"",L279&lt;&gt;설정!$B$21),"",IF(AND(Q279&lt;&gt;"",Q279&gt;N(O279),Q279&lt;=설정!$B$24+7),설정!$B$39+7-(Q279-설정!$B$24),IF(AND(G279&gt;0,OR(S279="안 가봄",RIGHT(S279,2)="지남")),G279+IF(O279="",설정!$B$36,MIN(P279,60)*설정!$B$37)+MIN(N(H279)/1000*설정!$B$38,20),"")))))</f>
        <v/>
      </c>
      <c r="U279">
        <f>IF(T279="","",COUNTIF(T$4:T$303,"&gt;"&amp;T279)+COUNTIF(T$4:T279,T279))</f>
        <v/>
      </c>
    </row>
    <row r="280">
      <c r="A280">
        <f>IF(B280="","",277)</f>
        <v/>
      </c>
      <c r="B280">
        <f>IFERROR(INDEX('2.현장'!$V$2:$V$1001,MATCH(277,'2.현장'!$W$2:$W$1001,0)),"")</f>
        <v/>
      </c>
      <c r="C280">
        <f>IF(B280="","",COUNTIFS('2.현장'!$V$2:$V$1001,B280,'2.현장'!$T$2:$T$1001,TRUE))</f>
        <v/>
      </c>
      <c r="D280">
        <f>IF(B280="","",COUNTIFS('2.현장'!$V$2:$V$1001,B280,'2.현장'!$U$2:$U$1001,"설계사"))</f>
        <v/>
      </c>
      <c r="E280">
        <f>IF(B280="","",COUNTIFS('2.현장'!$V$2:$V$1001,B280,'2.현장'!$U$2:$U$1001,"시공사"))</f>
        <v/>
      </c>
      <c r="F280">
        <f>IF(B280="","",COUNTIFS('2.현장'!$V$2:$V$1001,B280,'2.현장'!$T$2:$T$1001,TRUE,'2.현장'!$AA$2:$AA$1001,"★"))</f>
        <v/>
      </c>
      <c r="G280" s="6">
        <f>IF(B280="","",SUMIFS('2.현장'!$AB$2:$AB$1001,'2.현장'!$V$2:$V$1001,B280,'2.현장'!$T$2:$T$1001,TRUE))</f>
        <v/>
      </c>
      <c r="H280" s="5">
        <f>IF(B280="","",_xlfn.MAXIFS('2.현장'!$D$2:$D$1001,'2.현장'!$V$2:$V$1001,B280,'2.현장'!$T$2:$T$1001,TRUE))</f>
        <v/>
      </c>
      <c r="I280" s="7">
        <f>IF(B280="","",IF(_xlfn.MAXIFS('2.현장'!$L$2:$L$1001,'2.현장'!$V$2:$V$1001,B280,'2.현장'!$T$2:$T$1001,TRUE)=0,"",_xlfn.MAXIFS('2.현장'!$L$2:$L$1001,'2.현장'!$V$2:$V$1001,B280,'2.현장'!$T$2:$T$1001,TRUE)))</f>
        <v/>
      </c>
      <c r="J280" s="7">
        <f>IF(B280="","",IF(_xlfn.MAXIFS('2.현장'!$M$2:$M$1001,'2.현장'!$V$2:$V$1001,B280,'2.현장'!$T$2:$T$1001,TRUE)=0,"",_xlfn.MAXIFS('2.현장'!$M$2:$M$1001,'2.현장'!$V$2:$V$1001,B280,'2.현장'!$T$2:$T$1001,TRUE)))</f>
        <v/>
      </c>
      <c r="K280">
        <f>IF(B280="","",IFERROR(INDEX('2.현장'!$C$2:$C$1001,IFERROR(MATCH(B280&amp;"|설계사",'2.현장'!$Z$2:$Z$1001,0),IFERROR(MATCH(B280&amp;"|시공사",'2.현장'!$Z$2:$Z$1001,0),MATCH(B280&amp;"|늦음",'2.현장'!$Z$2:$Z$1001,0)))),""))</f>
        <v/>
      </c>
      <c r="L280">
        <f>IF(B280="","",IFERROR(INDEX('2.현장'!$N$2:$N$1001,IFERROR(MATCH(B280&amp;"|설계사",'2.현장'!$Z$2:$Z$1001,0),IFERROR(MATCH(B280&amp;"|시공사",'2.현장'!$Z$2:$Z$1001,0),MATCH(B280&amp;"|늦음",'2.현장'!$Z$2:$Z$1001,0)))),""))</f>
        <v/>
      </c>
      <c r="M280">
        <f>IF(B280="","",IFERROR(VLOOKUP(B280,업체_메모!$A$3:$I$302,2,FALSE)&amp;"",""))</f>
        <v/>
      </c>
      <c r="N280">
        <f>IF(B280="","",IFERROR(VLOOKUP(B280,업체_메모!$A$3:$I$302,4,FALSE)&amp;"",""))</f>
        <v/>
      </c>
      <c r="O280" s="7">
        <f>IF(B280="","",IF(COUNTIF('4.방문기록'!$B$3:$B$502,B280)=0,"",_xlfn.MAXIFS('4.방문기록'!$A$3:$A$502,'4.방문기록'!$B$3:$B$502,B280)))</f>
        <v/>
      </c>
      <c r="P280">
        <f>IF(O280="","",설정!$B$24-O280)</f>
        <v/>
      </c>
      <c r="Q280" s="7">
        <f>IF(B280="","",IF(_xlfn.MAXIFS('4.방문기록'!$F$3:$F$502,'4.방문기록'!$B$3:$B$502,B280)=0,"",_xlfn.MAXIFS('4.방문기록'!$F$3:$F$502,'4.방문기록'!$B$3:$B$502,B280)))</f>
        <v/>
      </c>
      <c r="R280">
        <f>IF(O280="","",IFERROR(INDEX('4.방문기록'!$H$3:$H$502,MATCH(B280&amp;"|"&amp;(O280*1),'4.방문기록'!$I$3:$I$502,0))&amp;"",""))</f>
        <v/>
      </c>
      <c r="S280">
        <f>IF(B280="","",IF(R280="관심 없음","제외",IF(O280="","안 가봄",IF(P280&gt;=설정!$B$20,P280&amp;"일 지남","최근 방문"))))</f>
        <v/>
      </c>
      <c r="T280" s="8">
        <f>IF(B280="","",IF(S280="제외","",IF(AND(설정!$B$21&lt;&gt;"",L280&lt;&gt;설정!$B$21),"",IF(AND(Q280&lt;&gt;"",Q280&gt;N(O280),Q280&lt;=설정!$B$24+7),설정!$B$39+7-(Q280-설정!$B$24),IF(AND(G280&gt;0,OR(S280="안 가봄",RIGHT(S280,2)="지남")),G280+IF(O280="",설정!$B$36,MIN(P280,60)*설정!$B$37)+MIN(N(H280)/1000*설정!$B$38,20),"")))))</f>
        <v/>
      </c>
      <c r="U280">
        <f>IF(T280="","",COUNTIF(T$4:T$303,"&gt;"&amp;T280)+COUNTIF(T$4:T280,T280))</f>
        <v/>
      </c>
    </row>
    <row r="281">
      <c r="A281">
        <f>IF(B281="","",278)</f>
        <v/>
      </c>
      <c r="B281">
        <f>IFERROR(INDEX('2.현장'!$V$2:$V$1001,MATCH(278,'2.현장'!$W$2:$W$1001,0)),"")</f>
        <v/>
      </c>
      <c r="C281">
        <f>IF(B281="","",COUNTIFS('2.현장'!$V$2:$V$1001,B281,'2.현장'!$T$2:$T$1001,TRUE))</f>
        <v/>
      </c>
      <c r="D281">
        <f>IF(B281="","",COUNTIFS('2.현장'!$V$2:$V$1001,B281,'2.현장'!$U$2:$U$1001,"설계사"))</f>
        <v/>
      </c>
      <c r="E281">
        <f>IF(B281="","",COUNTIFS('2.현장'!$V$2:$V$1001,B281,'2.현장'!$U$2:$U$1001,"시공사"))</f>
        <v/>
      </c>
      <c r="F281">
        <f>IF(B281="","",COUNTIFS('2.현장'!$V$2:$V$1001,B281,'2.현장'!$T$2:$T$1001,TRUE,'2.현장'!$AA$2:$AA$1001,"★"))</f>
        <v/>
      </c>
      <c r="G281" s="6">
        <f>IF(B281="","",SUMIFS('2.현장'!$AB$2:$AB$1001,'2.현장'!$V$2:$V$1001,B281,'2.현장'!$T$2:$T$1001,TRUE))</f>
        <v/>
      </c>
      <c r="H281" s="5">
        <f>IF(B281="","",_xlfn.MAXIFS('2.현장'!$D$2:$D$1001,'2.현장'!$V$2:$V$1001,B281,'2.현장'!$T$2:$T$1001,TRUE))</f>
        <v/>
      </c>
      <c r="I281" s="7">
        <f>IF(B281="","",IF(_xlfn.MAXIFS('2.현장'!$L$2:$L$1001,'2.현장'!$V$2:$V$1001,B281,'2.현장'!$T$2:$T$1001,TRUE)=0,"",_xlfn.MAXIFS('2.현장'!$L$2:$L$1001,'2.현장'!$V$2:$V$1001,B281,'2.현장'!$T$2:$T$1001,TRUE)))</f>
        <v/>
      </c>
      <c r="J281" s="7">
        <f>IF(B281="","",IF(_xlfn.MAXIFS('2.현장'!$M$2:$M$1001,'2.현장'!$V$2:$V$1001,B281,'2.현장'!$T$2:$T$1001,TRUE)=0,"",_xlfn.MAXIFS('2.현장'!$M$2:$M$1001,'2.현장'!$V$2:$V$1001,B281,'2.현장'!$T$2:$T$1001,TRUE)))</f>
        <v/>
      </c>
      <c r="K281">
        <f>IF(B281="","",IFERROR(INDEX('2.현장'!$C$2:$C$1001,IFERROR(MATCH(B281&amp;"|설계사",'2.현장'!$Z$2:$Z$1001,0),IFERROR(MATCH(B281&amp;"|시공사",'2.현장'!$Z$2:$Z$1001,0),MATCH(B281&amp;"|늦음",'2.현장'!$Z$2:$Z$1001,0)))),""))</f>
        <v/>
      </c>
      <c r="L281">
        <f>IF(B281="","",IFERROR(INDEX('2.현장'!$N$2:$N$1001,IFERROR(MATCH(B281&amp;"|설계사",'2.현장'!$Z$2:$Z$1001,0),IFERROR(MATCH(B281&amp;"|시공사",'2.현장'!$Z$2:$Z$1001,0),MATCH(B281&amp;"|늦음",'2.현장'!$Z$2:$Z$1001,0)))),""))</f>
        <v/>
      </c>
      <c r="M281">
        <f>IF(B281="","",IFERROR(VLOOKUP(B281,업체_메모!$A$3:$I$302,2,FALSE)&amp;"",""))</f>
        <v/>
      </c>
      <c r="N281">
        <f>IF(B281="","",IFERROR(VLOOKUP(B281,업체_메모!$A$3:$I$302,4,FALSE)&amp;"",""))</f>
        <v/>
      </c>
      <c r="O281" s="7">
        <f>IF(B281="","",IF(COUNTIF('4.방문기록'!$B$3:$B$502,B281)=0,"",_xlfn.MAXIFS('4.방문기록'!$A$3:$A$502,'4.방문기록'!$B$3:$B$502,B281)))</f>
        <v/>
      </c>
      <c r="P281">
        <f>IF(O281="","",설정!$B$24-O281)</f>
        <v/>
      </c>
      <c r="Q281" s="7">
        <f>IF(B281="","",IF(_xlfn.MAXIFS('4.방문기록'!$F$3:$F$502,'4.방문기록'!$B$3:$B$502,B281)=0,"",_xlfn.MAXIFS('4.방문기록'!$F$3:$F$502,'4.방문기록'!$B$3:$B$502,B281)))</f>
        <v/>
      </c>
      <c r="R281">
        <f>IF(O281="","",IFERROR(INDEX('4.방문기록'!$H$3:$H$502,MATCH(B281&amp;"|"&amp;(O281*1),'4.방문기록'!$I$3:$I$502,0))&amp;"",""))</f>
        <v/>
      </c>
      <c r="S281">
        <f>IF(B281="","",IF(R281="관심 없음","제외",IF(O281="","안 가봄",IF(P281&gt;=설정!$B$20,P281&amp;"일 지남","최근 방문"))))</f>
        <v/>
      </c>
      <c r="T281" s="8">
        <f>IF(B281="","",IF(S281="제외","",IF(AND(설정!$B$21&lt;&gt;"",L281&lt;&gt;설정!$B$21),"",IF(AND(Q281&lt;&gt;"",Q281&gt;N(O281),Q281&lt;=설정!$B$24+7),설정!$B$39+7-(Q281-설정!$B$24),IF(AND(G281&gt;0,OR(S281="안 가봄",RIGHT(S281,2)="지남")),G281+IF(O281="",설정!$B$36,MIN(P281,60)*설정!$B$37)+MIN(N(H281)/1000*설정!$B$38,20),"")))))</f>
        <v/>
      </c>
      <c r="U281">
        <f>IF(T281="","",COUNTIF(T$4:T$303,"&gt;"&amp;T281)+COUNTIF(T$4:T281,T281))</f>
        <v/>
      </c>
    </row>
    <row r="282">
      <c r="A282">
        <f>IF(B282="","",279)</f>
        <v/>
      </c>
      <c r="B282">
        <f>IFERROR(INDEX('2.현장'!$V$2:$V$1001,MATCH(279,'2.현장'!$W$2:$W$1001,0)),"")</f>
        <v/>
      </c>
      <c r="C282">
        <f>IF(B282="","",COUNTIFS('2.현장'!$V$2:$V$1001,B282,'2.현장'!$T$2:$T$1001,TRUE))</f>
        <v/>
      </c>
      <c r="D282">
        <f>IF(B282="","",COUNTIFS('2.현장'!$V$2:$V$1001,B282,'2.현장'!$U$2:$U$1001,"설계사"))</f>
        <v/>
      </c>
      <c r="E282">
        <f>IF(B282="","",COUNTIFS('2.현장'!$V$2:$V$1001,B282,'2.현장'!$U$2:$U$1001,"시공사"))</f>
        <v/>
      </c>
      <c r="F282">
        <f>IF(B282="","",COUNTIFS('2.현장'!$V$2:$V$1001,B282,'2.현장'!$T$2:$T$1001,TRUE,'2.현장'!$AA$2:$AA$1001,"★"))</f>
        <v/>
      </c>
      <c r="G282" s="6">
        <f>IF(B282="","",SUMIFS('2.현장'!$AB$2:$AB$1001,'2.현장'!$V$2:$V$1001,B282,'2.현장'!$T$2:$T$1001,TRUE))</f>
        <v/>
      </c>
      <c r="H282" s="5">
        <f>IF(B282="","",_xlfn.MAXIFS('2.현장'!$D$2:$D$1001,'2.현장'!$V$2:$V$1001,B282,'2.현장'!$T$2:$T$1001,TRUE))</f>
        <v/>
      </c>
      <c r="I282" s="7">
        <f>IF(B282="","",IF(_xlfn.MAXIFS('2.현장'!$L$2:$L$1001,'2.현장'!$V$2:$V$1001,B282,'2.현장'!$T$2:$T$1001,TRUE)=0,"",_xlfn.MAXIFS('2.현장'!$L$2:$L$1001,'2.현장'!$V$2:$V$1001,B282,'2.현장'!$T$2:$T$1001,TRUE)))</f>
        <v/>
      </c>
      <c r="J282" s="7">
        <f>IF(B282="","",IF(_xlfn.MAXIFS('2.현장'!$M$2:$M$1001,'2.현장'!$V$2:$V$1001,B282,'2.현장'!$T$2:$T$1001,TRUE)=0,"",_xlfn.MAXIFS('2.현장'!$M$2:$M$1001,'2.현장'!$V$2:$V$1001,B282,'2.현장'!$T$2:$T$1001,TRUE)))</f>
        <v/>
      </c>
      <c r="K282">
        <f>IF(B282="","",IFERROR(INDEX('2.현장'!$C$2:$C$1001,IFERROR(MATCH(B282&amp;"|설계사",'2.현장'!$Z$2:$Z$1001,0),IFERROR(MATCH(B282&amp;"|시공사",'2.현장'!$Z$2:$Z$1001,0),MATCH(B282&amp;"|늦음",'2.현장'!$Z$2:$Z$1001,0)))),""))</f>
        <v/>
      </c>
      <c r="L282">
        <f>IF(B282="","",IFERROR(INDEX('2.현장'!$N$2:$N$1001,IFERROR(MATCH(B282&amp;"|설계사",'2.현장'!$Z$2:$Z$1001,0),IFERROR(MATCH(B282&amp;"|시공사",'2.현장'!$Z$2:$Z$1001,0),MATCH(B282&amp;"|늦음",'2.현장'!$Z$2:$Z$1001,0)))),""))</f>
        <v/>
      </c>
      <c r="M282">
        <f>IF(B282="","",IFERROR(VLOOKUP(B282,업체_메모!$A$3:$I$302,2,FALSE)&amp;"",""))</f>
        <v/>
      </c>
      <c r="N282">
        <f>IF(B282="","",IFERROR(VLOOKUP(B282,업체_메모!$A$3:$I$302,4,FALSE)&amp;"",""))</f>
        <v/>
      </c>
      <c r="O282" s="7">
        <f>IF(B282="","",IF(COUNTIF('4.방문기록'!$B$3:$B$502,B282)=0,"",_xlfn.MAXIFS('4.방문기록'!$A$3:$A$502,'4.방문기록'!$B$3:$B$502,B282)))</f>
        <v/>
      </c>
      <c r="P282">
        <f>IF(O282="","",설정!$B$24-O282)</f>
        <v/>
      </c>
      <c r="Q282" s="7">
        <f>IF(B282="","",IF(_xlfn.MAXIFS('4.방문기록'!$F$3:$F$502,'4.방문기록'!$B$3:$B$502,B282)=0,"",_xlfn.MAXIFS('4.방문기록'!$F$3:$F$502,'4.방문기록'!$B$3:$B$502,B282)))</f>
        <v/>
      </c>
      <c r="R282">
        <f>IF(O282="","",IFERROR(INDEX('4.방문기록'!$H$3:$H$502,MATCH(B282&amp;"|"&amp;(O282*1),'4.방문기록'!$I$3:$I$502,0))&amp;"",""))</f>
        <v/>
      </c>
      <c r="S282">
        <f>IF(B282="","",IF(R282="관심 없음","제외",IF(O282="","안 가봄",IF(P282&gt;=설정!$B$20,P282&amp;"일 지남","최근 방문"))))</f>
        <v/>
      </c>
      <c r="T282" s="8">
        <f>IF(B282="","",IF(S282="제외","",IF(AND(설정!$B$21&lt;&gt;"",L282&lt;&gt;설정!$B$21),"",IF(AND(Q282&lt;&gt;"",Q282&gt;N(O282),Q282&lt;=설정!$B$24+7),설정!$B$39+7-(Q282-설정!$B$24),IF(AND(G282&gt;0,OR(S282="안 가봄",RIGHT(S282,2)="지남")),G282+IF(O282="",설정!$B$36,MIN(P282,60)*설정!$B$37)+MIN(N(H282)/1000*설정!$B$38,20),"")))))</f>
        <v/>
      </c>
      <c r="U282">
        <f>IF(T282="","",COUNTIF(T$4:T$303,"&gt;"&amp;T282)+COUNTIF(T$4:T282,T282))</f>
        <v/>
      </c>
    </row>
    <row r="283">
      <c r="A283">
        <f>IF(B283="","",280)</f>
        <v/>
      </c>
      <c r="B283">
        <f>IFERROR(INDEX('2.현장'!$V$2:$V$1001,MATCH(280,'2.현장'!$W$2:$W$1001,0)),"")</f>
        <v/>
      </c>
      <c r="C283">
        <f>IF(B283="","",COUNTIFS('2.현장'!$V$2:$V$1001,B283,'2.현장'!$T$2:$T$1001,TRUE))</f>
        <v/>
      </c>
      <c r="D283">
        <f>IF(B283="","",COUNTIFS('2.현장'!$V$2:$V$1001,B283,'2.현장'!$U$2:$U$1001,"설계사"))</f>
        <v/>
      </c>
      <c r="E283">
        <f>IF(B283="","",COUNTIFS('2.현장'!$V$2:$V$1001,B283,'2.현장'!$U$2:$U$1001,"시공사"))</f>
        <v/>
      </c>
      <c r="F283">
        <f>IF(B283="","",COUNTIFS('2.현장'!$V$2:$V$1001,B283,'2.현장'!$T$2:$T$1001,TRUE,'2.현장'!$AA$2:$AA$1001,"★"))</f>
        <v/>
      </c>
      <c r="G283" s="6">
        <f>IF(B283="","",SUMIFS('2.현장'!$AB$2:$AB$1001,'2.현장'!$V$2:$V$1001,B283,'2.현장'!$T$2:$T$1001,TRUE))</f>
        <v/>
      </c>
      <c r="H283" s="5">
        <f>IF(B283="","",_xlfn.MAXIFS('2.현장'!$D$2:$D$1001,'2.현장'!$V$2:$V$1001,B283,'2.현장'!$T$2:$T$1001,TRUE))</f>
        <v/>
      </c>
      <c r="I283" s="7">
        <f>IF(B283="","",IF(_xlfn.MAXIFS('2.현장'!$L$2:$L$1001,'2.현장'!$V$2:$V$1001,B283,'2.현장'!$T$2:$T$1001,TRUE)=0,"",_xlfn.MAXIFS('2.현장'!$L$2:$L$1001,'2.현장'!$V$2:$V$1001,B283,'2.현장'!$T$2:$T$1001,TRUE)))</f>
        <v/>
      </c>
      <c r="J283" s="7">
        <f>IF(B283="","",IF(_xlfn.MAXIFS('2.현장'!$M$2:$M$1001,'2.현장'!$V$2:$V$1001,B283,'2.현장'!$T$2:$T$1001,TRUE)=0,"",_xlfn.MAXIFS('2.현장'!$M$2:$M$1001,'2.현장'!$V$2:$V$1001,B283,'2.현장'!$T$2:$T$1001,TRUE)))</f>
        <v/>
      </c>
      <c r="K283">
        <f>IF(B283="","",IFERROR(INDEX('2.현장'!$C$2:$C$1001,IFERROR(MATCH(B283&amp;"|설계사",'2.현장'!$Z$2:$Z$1001,0),IFERROR(MATCH(B283&amp;"|시공사",'2.현장'!$Z$2:$Z$1001,0),MATCH(B283&amp;"|늦음",'2.현장'!$Z$2:$Z$1001,0)))),""))</f>
        <v/>
      </c>
      <c r="L283">
        <f>IF(B283="","",IFERROR(INDEX('2.현장'!$N$2:$N$1001,IFERROR(MATCH(B283&amp;"|설계사",'2.현장'!$Z$2:$Z$1001,0),IFERROR(MATCH(B283&amp;"|시공사",'2.현장'!$Z$2:$Z$1001,0),MATCH(B283&amp;"|늦음",'2.현장'!$Z$2:$Z$1001,0)))),""))</f>
        <v/>
      </c>
      <c r="M283">
        <f>IF(B283="","",IFERROR(VLOOKUP(B283,업체_메모!$A$3:$I$302,2,FALSE)&amp;"",""))</f>
        <v/>
      </c>
      <c r="N283">
        <f>IF(B283="","",IFERROR(VLOOKUP(B283,업체_메모!$A$3:$I$302,4,FALSE)&amp;"",""))</f>
        <v/>
      </c>
      <c r="O283" s="7">
        <f>IF(B283="","",IF(COUNTIF('4.방문기록'!$B$3:$B$502,B283)=0,"",_xlfn.MAXIFS('4.방문기록'!$A$3:$A$502,'4.방문기록'!$B$3:$B$502,B283)))</f>
        <v/>
      </c>
      <c r="P283">
        <f>IF(O283="","",설정!$B$24-O283)</f>
        <v/>
      </c>
      <c r="Q283" s="7">
        <f>IF(B283="","",IF(_xlfn.MAXIFS('4.방문기록'!$F$3:$F$502,'4.방문기록'!$B$3:$B$502,B283)=0,"",_xlfn.MAXIFS('4.방문기록'!$F$3:$F$502,'4.방문기록'!$B$3:$B$502,B283)))</f>
        <v/>
      </c>
      <c r="R283">
        <f>IF(O283="","",IFERROR(INDEX('4.방문기록'!$H$3:$H$502,MATCH(B283&amp;"|"&amp;(O283*1),'4.방문기록'!$I$3:$I$502,0))&amp;"",""))</f>
        <v/>
      </c>
      <c r="S283">
        <f>IF(B283="","",IF(R283="관심 없음","제외",IF(O283="","안 가봄",IF(P283&gt;=설정!$B$20,P283&amp;"일 지남","최근 방문"))))</f>
        <v/>
      </c>
      <c r="T283" s="8">
        <f>IF(B283="","",IF(S283="제외","",IF(AND(설정!$B$21&lt;&gt;"",L283&lt;&gt;설정!$B$21),"",IF(AND(Q283&lt;&gt;"",Q283&gt;N(O283),Q283&lt;=설정!$B$24+7),설정!$B$39+7-(Q283-설정!$B$24),IF(AND(G283&gt;0,OR(S283="안 가봄",RIGHT(S283,2)="지남")),G283+IF(O283="",설정!$B$36,MIN(P283,60)*설정!$B$37)+MIN(N(H283)/1000*설정!$B$38,20),"")))))</f>
        <v/>
      </c>
      <c r="U283">
        <f>IF(T283="","",COUNTIF(T$4:T$303,"&gt;"&amp;T283)+COUNTIF(T$4:T283,T283))</f>
        <v/>
      </c>
    </row>
    <row r="284">
      <c r="A284">
        <f>IF(B284="","",281)</f>
        <v/>
      </c>
      <c r="B284">
        <f>IFERROR(INDEX('2.현장'!$V$2:$V$1001,MATCH(281,'2.현장'!$W$2:$W$1001,0)),"")</f>
        <v/>
      </c>
      <c r="C284">
        <f>IF(B284="","",COUNTIFS('2.현장'!$V$2:$V$1001,B284,'2.현장'!$T$2:$T$1001,TRUE))</f>
        <v/>
      </c>
      <c r="D284">
        <f>IF(B284="","",COUNTIFS('2.현장'!$V$2:$V$1001,B284,'2.현장'!$U$2:$U$1001,"설계사"))</f>
        <v/>
      </c>
      <c r="E284">
        <f>IF(B284="","",COUNTIFS('2.현장'!$V$2:$V$1001,B284,'2.현장'!$U$2:$U$1001,"시공사"))</f>
        <v/>
      </c>
      <c r="F284">
        <f>IF(B284="","",COUNTIFS('2.현장'!$V$2:$V$1001,B284,'2.현장'!$T$2:$T$1001,TRUE,'2.현장'!$AA$2:$AA$1001,"★"))</f>
        <v/>
      </c>
      <c r="G284" s="6">
        <f>IF(B284="","",SUMIFS('2.현장'!$AB$2:$AB$1001,'2.현장'!$V$2:$V$1001,B284,'2.현장'!$T$2:$T$1001,TRUE))</f>
        <v/>
      </c>
      <c r="H284" s="5">
        <f>IF(B284="","",_xlfn.MAXIFS('2.현장'!$D$2:$D$1001,'2.현장'!$V$2:$V$1001,B284,'2.현장'!$T$2:$T$1001,TRUE))</f>
        <v/>
      </c>
      <c r="I284" s="7">
        <f>IF(B284="","",IF(_xlfn.MAXIFS('2.현장'!$L$2:$L$1001,'2.현장'!$V$2:$V$1001,B284,'2.현장'!$T$2:$T$1001,TRUE)=0,"",_xlfn.MAXIFS('2.현장'!$L$2:$L$1001,'2.현장'!$V$2:$V$1001,B284,'2.현장'!$T$2:$T$1001,TRUE)))</f>
        <v/>
      </c>
      <c r="J284" s="7">
        <f>IF(B284="","",IF(_xlfn.MAXIFS('2.현장'!$M$2:$M$1001,'2.현장'!$V$2:$V$1001,B284,'2.현장'!$T$2:$T$1001,TRUE)=0,"",_xlfn.MAXIFS('2.현장'!$M$2:$M$1001,'2.현장'!$V$2:$V$1001,B284,'2.현장'!$T$2:$T$1001,TRUE)))</f>
        <v/>
      </c>
      <c r="K284">
        <f>IF(B284="","",IFERROR(INDEX('2.현장'!$C$2:$C$1001,IFERROR(MATCH(B284&amp;"|설계사",'2.현장'!$Z$2:$Z$1001,0),IFERROR(MATCH(B284&amp;"|시공사",'2.현장'!$Z$2:$Z$1001,0),MATCH(B284&amp;"|늦음",'2.현장'!$Z$2:$Z$1001,0)))),""))</f>
        <v/>
      </c>
      <c r="L284">
        <f>IF(B284="","",IFERROR(INDEX('2.현장'!$N$2:$N$1001,IFERROR(MATCH(B284&amp;"|설계사",'2.현장'!$Z$2:$Z$1001,0),IFERROR(MATCH(B284&amp;"|시공사",'2.현장'!$Z$2:$Z$1001,0),MATCH(B284&amp;"|늦음",'2.현장'!$Z$2:$Z$1001,0)))),""))</f>
        <v/>
      </c>
      <c r="M284">
        <f>IF(B284="","",IFERROR(VLOOKUP(B284,업체_메모!$A$3:$I$302,2,FALSE)&amp;"",""))</f>
        <v/>
      </c>
      <c r="N284">
        <f>IF(B284="","",IFERROR(VLOOKUP(B284,업체_메모!$A$3:$I$302,4,FALSE)&amp;"",""))</f>
        <v/>
      </c>
      <c r="O284" s="7">
        <f>IF(B284="","",IF(COUNTIF('4.방문기록'!$B$3:$B$502,B284)=0,"",_xlfn.MAXIFS('4.방문기록'!$A$3:$A$502,'4.방문기록'!$B$3:$B$502,B284)))</f>
        <v/>
      </c>
      <c r="P284">
        <f>IF(O284="","",설정!$B$24-O284)</f>
        <v/>
      </c>
      <c r="Q284" s="7">
        <f>IF(B284="","",IF(_xlfn.MAXIFS('4.방문기록'!$F$3:$F$502,'4.방문기록'!$B$3:$B$502,B284)=0,"",_xlfn.MAXIFS('4.방문기록'!$F$3:$F$502,'4.방문기록'!$B$3:$B$502,B284)))</f>
        <v/>
      </c>
      <c r="R284">
        <f>IF(O284="","",IFERROR(INDEX('4.방문기록'!$H$3:$H$502,MATCH(B284&amp;"|"&amp;(O284*1),'4.방문기록'!$I$3:$I$502,0))&amp;"",""))</f>
        <v/>
      </c>
      <c r="S284">
        <f>IF(B284="","",IF(R284="관심 없음","제외",IF(O284="","안 가봄",IF(P284&gt;=설정!$B$20,P284&amp;"일 지남","최근 방문"))))</f>
        <v/>
      </c>
      <c r="T284" s="8">
        <f>IF(B284="","",IF(S284="제외","",IF(AND(설정!$B$21&lt;&gt;"",L284&lt;&gt;설정!$B$21),"",IF(AND(Q284&lt;&gt;"",Q284&gt;N(O284),Q284&lt;=설정!$B$24+7),설정!$B$39+7-(Q284-설정!$B$24),IF(AND(G284&gt;0,OR(S284="안 가봄",RIGHT(S284,2)="지남")),G284+IF(O284="",설정!$B$36,MIN(P284,60)*설정!$B$37)+MIN(N(H284)/1000*설정!$B$38,20),"")))))</f>
        <v/>
      </c>
      <c r="U284">
        <f>IF(T284="","",COUNTIF(T$4:T$303,"&gt;"&amp;T284)+COUNTIF(T$4:T284,T284))</f>
        <v/>
      </c>
    </row>
    <row r="285">
      <c r="A285">
        <f>IF(B285="","",282)</f>
        <v/>
      </c>
      <c r="B285">
        <f>IFERROR(INDEX('2.현장'!$V$2:$V$1001,MATCH(282,'2.현장'!$W$2:$W$1001,0)),"")</f>
        <v/>
      </c>
      <c r="C285">
        <f>IF(B285="","",COUNTIFS('2.현장'!$V$2:$V$1001,B285,'2.현장'!$T$2:$T$1001,TRUE))</f>
        <v/>
      </c>
      <c r="D285">
        <f>IF(B285="","",COUNTIFS('2.현장'!$V$2:$V$1001,B285,'2.현장'!$U$2:$U$1001,"설계사"))</f>
        <v/>
      </c>
      <c r="E285">
        <f>IF(B285="","",COUNTIFS('2.현장'!$V$2:$V$1001,B285,'2.현장'!$U$2:$U$1001,"시공사"))</f>
        <v/>
      </c>
      <c r="F285">
        <f>IF(B285="","",COUNTIFS('2.현장'!$V$2:$V$1001,B285,'2.현장'!$T$2:$T$1001,TRUE,'2.현장'!$AA$2:$AA$1001,"★"))</f>
        <v/>
      </c>
      <c r="G285" s="6">
        <f>IF(B285="","",SUMIFS('2.현장'!$AB$2:$AB$1001,'2.현장'!$V$2:$V$1001,B285,'2.현장'!$T$2:$T$1001,TRUE))</f>
        <v/>
      </c>
      <c r="H285" s="5">
        <f>IF(B285="","",_xlfn.MAXIFS('2.현장'!$D$2:$D$1001,'2.현장'!$V$2:$V$1001,B285,'2.현장'!$T$2:$T$1001,TRUE))</f>
        <v/>
      </c>
      <c r="I285" s="7">
        <f>IF(B285="","",IF(_xlfn.MAXIFS('2.현장'!$L$2:$L$1001,'2.현장'!$V$2:$V$1001,B285,'2.현장'!$T$2:$T$1001,TRUE)=0,"",_xlfn.MAXIFS('2.현장'!$L$2:$L$1001,'2.현장'!$V$2:$V$1001,B285,'2.현장'!$T$2:$T$1001,TRUE)))</f>
        <v/>
      </c>
      <c r="J285" s="7">
        <f>IF(B285="","",IF(_xlfn.MAXIFS('2.현장'!$M$2:$M$1001,'2.현장'!$V$2:$V$1001,B285,'2.현장'!$T$2:$T$1001,TRUE)=0,"",_xlfn.MAXIFS('2.현장'!$M$2:$M$1001,'2.현장'!$V$2:$V$1001,B285,'2.현장'!$T$2:$T$1001,TRUE)))</f>
        <v/>
      </c>
      <c r="K285">
        <f>IF(B285="","",IFERROR(INDEX('2.현장'!$C$2:$C$1001,IFERROR(MATCH(B285&amp;"|설계사",'2.현장'!$Z$2:$Z$1001,0),IFERROR(MATCH(B285&amp;"|시공사",'2.현장'!$Z$2:$Z$1001,0),MATCH(B285&amp;"|늦음",'2.현장'!$Z$2:$Z$1001,0)))),""))</f>
        <v/>
      </c>
      <c r="L285">
        <f>IF(B285="","",IFERROR(INDEX('2.현장'!$N$2:$N$1001,IFERROR(MATCH(B285&amp;"|설계사",'2.현장'!$Z$2:$Z$1001,0),IFERROR(MATCH(B285&amp;"|시공사",'2.현장'!$Z$2:$Z$1001,0),MATCH(B285&amp;"|늦음",'2.현장'!$Z$2:$Z$1001,0)))),""))</f>
        <v/>
      </c>
      <c r="M285">
        <f>IF(B285="","",IFERROR(VLOOKUP(B285,업체_메모!$A$3:$I$302,2,FALSE)&amp;"",""))</f>
        <v/>
      </c>
      <c r="N285">
        <f>IF(B285="","",IFERROR(VLOOKUP(B285,업체_메모!$A$3:$I$302,4,FALSE)&amp;"",""))</f>
        <v/>
      </c>
      <c r="O285" s="7">
        <f>IF(B285="","",IF(COUNTIF('4.방문기록'!$B$3:$B$502,B285)=0,"",_xlfn.MAXIFS('4.방문기록'!$A$3:$A$502,'4.방문기록'!$B$3:$B$502,B285)))</f>
        <v/>
      </c>
      <c r="P285">
        <f>IF(O285="","",설정!$B$24-O285)</f>
        <v/>
      </c>
      <c r="Q285" s="7">
        <f>IF(B285="","",IF(_xlfn.MAXIFS('4.방문기록'!$F$3:$F$502,'4.방문기록'!$B$3:$B$502,B285)=0,"",_xlfn.MAXIFS('4.방문기록'!$F$3:$F$502,'4.방문기록'!$B$3:$B$502,B285)))</f>
        <v/>
      </c>
      <c r="R285">
        <f>IF(O285="","",IFERROR(INDEX('4.방문기록'!$H$3:$H$502,MATCH(B285&amp;"|"&amp;(O285*1),'4.방문기록'!$I$3:$I$502,0))&amp;"",""))</f>
        <v/>
      </c>
      <c r="S285">
        <f>IF(B285="","",IF(R285="관심 없음","제외",IF(O285="","안 가봄",IF(P285&gt;=설정!$B$20,P285&amp;"일 지남","최근 방문"))))</f>
        <v/>
      </c>
      <c r="T285" s="8">
        <f>IF(B285="","",IF(S285="제외","",IF(AND(설정!$B$21&lt;&gt;"",L285&lt;&gt;설정!$B$21),"",IF(AND(Q285&lt;&gt;"",Q285&gt;N(O285),Q285&lt;=설정!$B$24+7),설정!$B$39+7-(Q285-설정!$B$24),IF(AND(G285&gt;0,OR(S285="안 가봄",RIGHT(S285,2)="지남")),G285+IF(O285="",설정!$B$36,MIN(P285,60)*설정!$B$37)+MIN(N(H285)/1000*설정!$B$38,20),"")))))</f>
        <v/>
      </c>
      <c r="U285">
        <f>IF(T285="","",COUNTIF(T$4:T$303,"&gt;"&amp;T285)+COUNTIF(T$4:T285,T285))</f>
        <v/>
      </c>
    </row>
    <row r="286">
      <c r="A286">
        <f>IF(B286="","",283)</f>
        <v/>
      </c>
      <c r="B286">
        <f>IFERROR(INDEX('2.현장'!$V$2:$V$1001,MATCH(283,'2.현장'!$W$2:$W$1001,0)),"")</f>
        <v/>
      </c>
      <c r="C286">
        <f>IF(B286="","",COUNTIFS('2.현장'!$V$2:$V$1001,B286,'2.현장'!$T$2:$T$1001,TRUE))</f>
        <v/>
      </c>
      <c r="D286">
        <f>IF(B286="","",COUNTIFS('2.현장'!$V$2:$V$1001,B286,'2.현장'!$U$2:$U$1001,"설계사"))</f>
        <v/>
      </c>
      <c r="E286">
        <f>IF(B286="","",COUNTIFS('2.현장'!$V$2:$V$1001,B286,'2.현장'!$U$2:$U$1001,"시공사"))</f>
        <v/>
      </c>
      <c r="F286">
        <f>IF(B286="","",COUNTIFS('2.현장'!$V$2:$V$1001,B286,'2.현장'!$T$2:$T$1001,TRUE,'2.현장'!$AA$2:$AA$1001,"★"))</f>
        <v/>
      </c>
      <c r="G286" s="6">
        <f>IF(B286="","",SUMIFS('2.현장'!$AB$2:$AB$1001,'2.현장'!$V$2:$V$1001,B286,'2.현장'!$T$2:$T$1001,TRUE))</f>
        <v/>
      </c>
      <c r="H286" s="5">
        <f>IF(B286="","",_xlfn.MAXIFS('2.현장'!$D$2:$D$1001,'2.현장'!$V$2:$V$1001,B286,'2.현장'!$T$2:$T$1001,TRUE))</f>
        <v/>
      </c>
      <c r="I286" s="7">
        <f>IF(B286="","",IF(_xlfn.MAXIFS('2.현장'!$L$2:$L$1001,'2.현장'!$V$2:$V$1001,B286,'2.현장'!$T$2:$T$1001,TRUE)=0,"",_xlfn.MAXIFS('2.현장'!$L$2:$L$1001,'2.현장'!$V$2:$V$1001,B286,'2.현장'!$T$2:$T$1001,TRUE)))</f>
        <v/>
      </c>
      <c r="J286" s="7">
        <f>IF(B286="","",IF(_xlfn.MAXIFS('2.현장'!$M$2:$M$1001,'2.현장'!$V$2:$V$1001,B286,'2.현장'!$T$2:$T$1001,TRUE)=0,"",_xlfn.MAXIFS('2.현장'!$M$2:$M$1001,'2.현장'!$V$2:$V$1001,B286,'2.현장'!$T$2:$T$1001,TRUE)))</f>
        <v/>
      </c>
      <c r="K286">
        <f>IF(B286="","",IFERROR(INDEX('2.현장'!$C$2:$C$1001,IFERROR(MATCH(B286&amp;"|설계사",'2.현장'!$Z$2:$Z$1001,0),IFERROR(MATCH(B286&amp;"|시공사",'2.현장'!$Z$2:$Z$1001,0),MATCH(B286&amp;"|늦음",'2.현장'!$Z$2:$Z$1001,0)))),""))</f>
        <v/>
      </c>
      <c r="L286">
        <f>IF(B286="","",IFERROR(INDEX('2.현장'!$N$2:$N$1001,IFERROR(MATCH(B286&amp;"|설계사",'2.현장'!$Z$2:$Z$1001,0),IFERROR(MATCH(B286&amp;"|시공사",'2.현장'!$Z$2:$Z$1001,0),MATCH(B286&amp;"|늦음",'2.현장'!$Z$2:$Z$1001,0)))),""))</f>
        <v/>
      </c>
      <c r="M286">
        <f>IF(B286="","",IFERROR(VLOOKUP(B286,업체_메모!$A$3:$I$302,2,FALSE)&amp;"",""))</f>
        <v/>
      </c>
      <c r="N286">
        <f>IF(B286="","",IFERROR(VLOOKUP(B286,업체_메모!$A$3:$I$302,4,FALSE)&amp;"",""))</f>
        <v/>
      </c>
      <c r="O286" s="7">
        <f>IF(B286="","",IF(COUNTIF('4.방문기록'!$B$3:$B$502,B286)=0,"",_xlfn.MAXIFS('4.방문기록'!$A$3:$A$502,'4.방문기록'!$B$3:$B$502,B286)))</f>
        <v/>
      </c>
      <c r="P286">
        <f>IF(O286="","",설정!$B$24-O286)</f>
        <v/>
      </c>
      <c r="Q286" s="7">
        <f>IF(B286="","",IF(_xlfn.MAXIFS('4.방문기록'!$F$3:$F$502,'4.방문기록'!$B$3:$B$502,B286)=0,"",_xlfn.MAXIFS('4.방문기록'!$F$3:$F$502,'4.방문기록'!$B$3:$B$502,B286)))</f>
        <v/>
      </c>
      <c r="R286">
        <f>IF(O286="","",IFERROR(INDEX('4.방문기록'!$H$3:$H$502,MATCH(B286&amp;"|"&amp;(O286*1),'4.방문기록'!$I$3:$I$502,0))&amp;"",""))</f>
        <v/>
      </c>
      <c r="S286">
        <f>IF(B286="","",IF(R286="관심 없음","제외",IF(O286="","안 가봄",IF(P286&gt;=설정!$B$20,P286&amp;"일 지남","최근 방문"))))</f>
        <v/>
      </c>
      <c r="T286" s="8">
        <f>IF(B286="","",IF(S286="제외","",IF(AND(설정!$B$21&lt;&gt;"",L286&lt;&gt;설정!$B$21),"",IF(AND(Q286&lt;&gt;"",Q286&gt;N(O286),Q286&lt;=설정!$B$24+7),설정!$B$39+7-(Q286-설정!$B$24),IF(AND(G286&gt;0,OR(S286="안 가봄",RIGHT(S286,2)="지남")),G286+IF(O286="",설정!$B$36,MIN(P286,60)*설정!$B$37)+MIN(N(H286)/1000*설정!$B$38,20),"")))))</f>
        <v/>
      </c>
      <c r="U286">
        <f>IF(T286="","",COUNTIF(T$4:T$303,"&gt;"&amp;T286)+COUNTIF(T$4:T286,T286))</f>
        <v/>
      </c>
    </row>
    <row r="287">
      <c r="A287">
        <f>IF(B287="","",284)</f>
        <v/>
      </c>
      <c r="B287">
        <f>IFERROR(INDEX('2.현장'!$V$2:$V$1001,MATCH(284,'2.현장'!$W$2:$W$1001,0)),"")</f>
        <v/>
      </c>
      <c r="C287">
        <f>IF(B287="","",COUNTIFS('2.현장'!$V$2:$V$1001,B287,'2.현장'!$T$2:$T$1001,TRUE))</f>
        <v/>
      </c>
      <c r="D287">
        <f>IF(B287="","",COUNTIFS('2.현장'!$V$2:$V$1001,B287,'2.현장'!$U$2:$U$1001,"설계사"))</f>
        <v/>
      </c>
      <c r="E287">
        <f>IF(B287="","",COUNTIFS('2.현장'!$V$2:$V$1001,B287,'2.현장'!$U$2:$U$1001,"시공사"))</f>
        <v/>
      </c>
      <c r="F287">
        <f>IF(B287="","",COUNTIFS('2.현장'!$V$2:$V$1001,B287,'2.현장'!$T$2:$T$1001,TRUE,'2.현장'!$AA$2:$AA$1001,"★"))</f>
        <v/>
      </c>
      <c r="G287" s="6">
        <f>IF(B287="","",SUMIFS('2.현장'!$AB$2:$AB$1001,'2.현장'!$V$2:$V$1001,B287,'2.현장'!$T$2:$T$1001,TRUE))</f>
        <v/>
      </c>
      <c r="H287" s="5">
        <f>IF(B287="","",_xlfn.MAXIFS('2.현장'!$D$2:$D$1001,'2.현장'!$V$2:$V$1001,B287,'2.현장'!$T$2:$T$1001,TRUE))</f>
        <v/>
      </c>
      <c r="I287" s="7">
        <f>IF(B287="","",IF(_xlfn.MAXIFS('2.현장'!$L$2:$L$1001,'2.현장'!$V$2:$V$1001,B287,'2.현장'!$T$2:$T$1001,TRUE)=0,"",_xlfn.MAXIFS('2.현장'!$L$2:$L$1001,'2.현장'!$V$2:$V$1001,B287,'2.현장'!$T$2:$T$1001,TRUE)))</f>
        <v/>
      </c>
      <c r="J287" s="7">
        <f>IF(B287="","",IF(_xlfn.MAXIFS('2.현장'!$M$2:$M$1001,'2.현장'!$V$2:$V$1001,B287,'2.현장'!$T$2:$T$1001,TRUE)=0,"",_xlfn.MAXIFS('2.현장'!$M$2:$M$1001,'2.현장'!$V$2:$V$1001,B287,'2.현장'!$T$2:$T$1001,TRUE)))</f>
        <v/>
      </c>
      <c r="K287">
        <f>IF(B287="","",IFERROR(INDEX('2.현장'!$C$2:$C$1001,IFERROR(MATCH(B287&amp;"|설계사",'2.현장'!$Z$2:$Z$1001,0),IFERROR(MATCH(B287&amp;"|시공사",'2.현장'!$Z$2:$Z$1001,0),MATCH(B287&amp;"|늦음",'2.현장'!$Z$2:$Z$1001,0)))),""))</f>
        <v/>
      </c>
      <c r="L287">
        <f>IF(B287="","",IFERROR(INDEX('2.현장'!$N$2:$N$1001,IFERROR(MATCH(B287&amp;"|설계사",'2.현장'!$Z$2:$Z$1001,0),IFERROR(MATCH(B287&amp;"|시공사",'2.현장'!$Z$2:$Z$1001,0),MATCH(B287&amp;"|늦음",'2.현장'!$Z$2:$Z$1001,0)))),""))</f>
        <v/>
      </c>
      <c r="M287">
        <f>IF(B287="","",IFERROR(VLOOKUP(B287,업체_메모!$A$3:$I$302,2,FALSE)&amp;"",""))</f>
        <v/>
      </c>
      <c r="N287">
        <f>IF(B287="","",IFERROR(VLOOKUP(B287,업체_메모!$A$3:$I$302,4,FALSE)&amp;"",""))</f>
        <v/>
      </c>
      <c r="O287" s="7">
        <f>IF(B287="","",IF(COUNTIF('4.방문기록'!$B$3:$B$502,B287)=0,"",_xlfn.MAXIFS('4.방문기록'!$A$3:$A$502,'4.방문기록'!$B$3:$B$502,B287)))</f>
        <v/>
      </c>
      <c r="P287">
        <f>IF(O287="","",설정!$B$24-O287)</f>
        <v/>
      </c>
      <c r="Q287" s="7">
        <f>IF(B287="","",IF(_xlfn.MAXIFS('4.방문기록'!$F$3:$F$502,'4.방문기록'!$B$3:$B$502,B287)=0,"",_xlfn.MAXIFS('4.방문기록'!$F$3:$F$502,'4.방문기록'!$B$3:$B$502,B287)))</f>
        <v/>
      </c>
      <c r="R287">
        <f>IF(O287="","",IFERROR(INDEX('4.방문기록'!$H$3:$H$502,MATCH(B287&amp;"|"&amp;(O287*1),'4.방문기록'!$I$3:$I$502,0))&amp;"",""))</f>
        <v/>
      </c>
      <c r="S287">
        <f>IF(B287="","",IF(R287="관심 없음","제외",IF(O287="","안 가봄",IF(P287&gt;=설정!$B$20,P287&amp;"일 지남","최근 방문"))))</f>
        <v/>
      </c>
      <c r="T287" s="8">
        <f>IF(B287="","",IF(S287="제외","",IF(AND(설정!$B$21&lt;&gt;"",L287&lt;&gt;설정!$B$21),"",IF(AND(Q287&lt;&gt;"",Q287&gt;N(O287),Q287&lt;=설정!$B$24+7),설정!$B$39+7-(Q287-설정!$B$24),IF(AND(G287&gt;0,OR(S287="안 가봄",RIGHT(S287,2)="지남")),G287+IF(O287="",설정!$B$36,MIN(P287,60)*설정!$B$37)+MIN(N(H287)/1000*설정!$B$38,20),"")))))</f>
        <v/>
      </c>
      <c r="U287">
        <f>IF(T287="","",COUNTIF(T$4:T$303,"&gt;"&amp;T287)+COUNTIF(T$4:T287,T287))</f>
        <v/>
      </c>
    </row>
    <row r="288">
      <c r="A288">
        <f>IF(B288="","",285)</f>
        <v/>
      </c>
      <c r="B288">
        <f>IFERROR(INDEX('2.현장'!$V$2:$V$1001,MATCH(285,'2.현장'!$W$2:$W$1001,0)),"")</f>
        <v/>
      </c>
      <c r="C288">
        <f>IF(B288="","",COUNTIFS('2.현장'!$V$2:$V$1001,B288,'2.현장'!$T$2:$T$1001,TRUE))</f>
        <v/>
      </c>
      <c r="D288">
        <f>IF(B288="","",COUNTIFS('2.현장'!$V$2:$V$1001,B288,'2.현장'!$U$2:$U$1001,"설계사"))</f>
        <v/>
      </c>
      <c r="E288">
        <f>IF(B288="","",COUNTIFS('2.현장'!$V$2:$V$1001,B288,'2.현장'!$U$2:$U$1001,"시공사"))</f>
        <v/>
      </c>
      <c r="F288">
        <f>IF(B288="","",COUNTIFS('2.현장'!$V$2:$V$1001,B288,'2.현장'!$T$2:$T$1001,TRUE,'2.현장'!$AA$2:$AA$1001,"★"))</f>
        <v/>
      </c>
      <c r="G288" s="6">
        <f>IF(B288="","",SUMIFS('2.현장'!$AB$2:$AB$1001,'2.현장'!$V$2:$V$1001,B288,'2.현장'!$T$2:$T$1001,TRUE))</f>
        <v/>
      </c>
      <c r="H288" s="5">
        <f>IF(B288="","",_xlfn.MAXIFS('2.현장'!$D$2:$D$1001,'2.현장'!$V$2:$V$1001,B288,'2.현장'!$T$2:$T$1001,TRUE))</f>
        <v/>
      </c>
      <c r="I288" s="7">
        <f>IF(B288="","",IF(_xlfn.MAXIFS('2.현장'!$L$2:$L$1001,'2.현장'!$V$2:$V$1001,B288,'2.현장'!$T$2:$T$1001,TRUE)=0,"",_xlfn.MAXIFS('2.현장'!$L$2:$L$1001,'2.현장'!$V$2:$V$1001,B288,'2.현장'!$T$2:$T$1001,TRUE)))</f>
        <v/>
      </c>
      <c r="J288" s="7">
        <f>IF(B288="","",IF(_xlfn.MAXIFS('2.현장'!$M$2:$M$1001,'2.현장'!$V$2:$V$1001,B288,'2.현장'!$T$2:$T$1001,TRUE)=0,"",_xlfn.MAXIFS('2.현장'!$M$2:$M$1001,'2.현장'!$V$2:$V$1001,B288,'2.현장'!$T$2:$T$1001,TRUE)))</f>
        <v/>
      </c>
      <c r="K288">
        <f>IF(B288="","",IFERROR(INDEX('2.현장'!$C$2:$C$1001,IFERROR(MATCH(B288&amp;"|설계사",'2.현장'!$Z$2:$Z$1001,0),IFERROR(MATCH(B288&amp;"|시공사",'2.현장'!$Z$2:$Z$1001,0),MATCH(B288&amp;"|늦음",'2.현장'!$Z$2:$Z$1001,0)))),""))</f>
        <v/>
      </c>
      <c r="L288">
        <f>IF(B288="","",IFERROR(INDEX('2.현장'!$N$2:$N$1001,IFERROR(MATCH(B288&amp;"|설계사",'2.현장'!$Z$2:$Z$1001,0),IFERROR(MATCH(B288&amp;"|시공사",'2.현장'!$Z$2:$Z$1001,0),MATCH(B288&amp;"|늦음",'2.현장'!$Z$2:$Z$1001,0)))),""))</f>
        <v/>
      </c>
      <c r="M288">
        <f>IF(B288="","",IFERROR(VLOOKUP(B288,업체_메모!$A$3:$I$302,2,FALSE)&amp;"",""))</f>
        <v/>
      </c>
      <c r="N288">
        <f>IF(B288="","",IFERROR(VLOOKUP(B288,업체_메모!$A$3:$I$302,4,FALSE)&amp;"",""))</f>
        <v/>
      </c>
      <c r="O288" s="7">
        <f>IF(B288="","",IF(COUNTIF('4.방문기록'!$B$3:$B$502,B288)=0,"",_xlfn.MAXIFS('4.방문기록'!$A$3:$A$502,'4.방문기록'!$B$3:$B$502,B288)))</f>
        <v/>
      </c>
      <c r="P288">
        <f>IF(O288="","",설정!$B$24-O288)</f>
        <v/>
      </c>
      <c r="Q288" s="7">
        <f>IF(B288="","",IF(_xlfn.MAXIFS('4.방문기록'!$F$3:$F$502,'4.방문기록'!$B$3:$B$502,B288)=0,"",_xlfn.MAXIFS('4.방문기록'!$F$3:$F$502,'4.방문기록'!$B$3:$B$502,B288)))</f>
        <v/>
      </c>
      <c r="R288">
        <f>IF(O288="","",IFERROR(INDEX('4.방문기록'!$H$3:$H$502,MATCH(B288&amp;"|"&amp;(O288*1),'4.방문기록'!$I$3:$I$502,0))&amp;"",""))</f>
        <v/>
      </c>
      <c r="S288">
        <f>IF(B288="","",IF(R288="관심 없음","제외",IF(O288="","안 가봄",IF(P288&gt;=설정!$B$20,P288&amp;"일 지남","최근 방문"))))</f>
        <v/>
      </c>
      <c r="T288" s="8">
        <f>IF(B288="","",IF(S288="제외","",IF(AND(설정!$B$21&lt;&gt;"",L288&lt;&gt;설정!$B$21),"",IF(AND(Q288&lt;&gt;"",Q288&gt;N(O288),Q288&lt;=설정!$B$24+7),설정!$B$39+7-(Q288-설정!$B$24),IF(AND(G288&gt;0,OR(S288="안 가봄",RIGHT(S288,2)="지남")),G288+IF(O288="",설정!$B$36,MIN(P288,60)*설정!$B$37)+MIN(N(H288)/1000*설정!$B$38,20),"")))))</f>
        <v/>
      </c>
      <c r="U288">
        <f>IF(T288="","",COUNTIF(T$4:T$303,"&gt;"&amp;T288)+COUNTIF(T$4:T288,T288))</f>
        <v/>
      </c>
    </row>
    <row r="289">
      <c r="A289">
        <f>IF(B289="","",286)</f>
        <v/>
      </c>
      <c r="B289">
        <f>IFERROR(INDEX('2.현장'!$V$2:$V$1001,MATCH(286,'2.현장'!$W$2:$W$1001,0)),"")</f>
        <v/>
      </c>
      <c r="C289">
        <f>IF(B289="","",COUNTIFS('2.현장'!$V$2:$V$1001,B289,'2.현장'!$T$2:$T$1001,TRUE))</f>
        <v/>
      </c>
      <c r="D289">
        <f>IF(B289="","",COUNTIFS('2.현장'!$V$2:$V$1001,B289,'2.현장'!$U$2:$U$1001,"설계사"))</f>
        <v/>
      </c>
      <c r="E289">
        <f>IF(B289="","",COUNTIFS('2.현장'!$V$2:$V$1001,B289,'2.현장'!$U$2:$U$1001,"시공사"))</f>
        <v/>
      </c>
      <c r="F289">
        <f>IF(B289="","",COUNTIFS('2.현장'!$V$2:$V$1001,B289,'2.현장'!$T$2:$T$1001,TRUE,'2.현장'!$AA$2:$AA$1001,"★"))</f>
        <v/>
      </c>
      <c r="G289" s="6">
        <f>IF(B289="","",SUMIFS('2.현장'!$AB$2:$AB$1001,'2.현장'!$V$2:$V$1001,B289,'2.현장'!$T$2:$T$1001,TRUE))</f>
        <v/>
      </c>
      <c r="H289" s="5">
        <f>IF(B289="","",_xlfn.MAXIFS('2.현장'!$D$2:$D$1001,'2.현장'!$V$2:$V$1001,B289,'2.현장'!$T$2:$T$1001,TRUE))</f>
        <v/>
      </c>
      <c r="I289" s="7">
        <f>IF(B289="","",IF(_xlfn.MAXIFS('2.현장'!$L$2:$L$1001,'2.현장'!$V$2:$V$1001,B289,'2.현장'!$T$2:$T$1001,TRUE)=0,"",_xlfn.MAXIFS('2.현장'!$L$2:$L$1001,'2.현장'!$V$2:$V$1001,B289,'2.현장'!$T$2:$T$1001,TRUE)))</f>
        <v/>
      </c>
      <c r="J289" s="7">
        <f>IF(B289="","",IF(_xlfn.MAXIFS('2.현장'!$M$2:$M$1001,'2.현장'!$V$2:$V$1001,B289,'2.현장'!$T$2:$T$1001,TRUE)=0,"",_xlfn.MAXIFS('2.현장'!$M$2:$M$1001,'2.현장'!$V$2:$V$1001,B289,'2.현장'!$T$2:$T$1001,TRUE)))</f>
        <v/>
      </c>
      <c r="K289">
        <f>IF(B289="","",IFERROR(INDEX('2.현장'!$C$2:$C$1001,IFERROR(MATCH(B289&amp;"|설계사",'2.현장'!$Z$2:$Z$1001,0),IFERROR(MATCH(B289&amp;"|시공사",'2.현장'!$Z$2:$Z$1001,0),MATCH(B289&amp;"|늦음",'2.현장'!$Z$2:$Z$1001,0)))),""))</f>
        <v/>
      </c>
      <c r="L289">
        <f>IF(B289="","",IFERROR(INDEX('2.현장'!$N$2:$N$1001,IFERROR(MATCH(B289&amp;"|설계사",'2.현장'!$Z$2:$Z$1001,0),IFERROR(MATCH(B289&amp;"|시공사",'2.현장'!$Z$2:$Z$1001,0),MATCH(B289&amp;"|늦음",'2.현장'!$Z$2:$Z$1001,0)))),""))</f>
        <v/>
      </c>
      <c r="M289">
        <f>IF(B289="","",IFERROR(VLOOKUP(B289,업체_메모!$A$3:$I$302,2,FALSE)&amp;"",""))</f>
        <v/>
      </c>
      <c r="N289">
        <f>IF(B289="","",IFERROR(VLOOKUP(B289,업체_메모!$A$3:$I$302,4,FALSE)&amp;"",""))</f>
        <v/>
      </c>
      <c r="O289" s="7">
        <f>IF(B289="","",IF(COUNTIF('4.방문기록'!$B$3:$B$502,B289)=0,"",_xlfn.MAXIFS('4.방문기록'!$A$3:$A$502,'4.방문기록'!$B$3:$B$502,B289)))</f>
        <v/>
      </c>
      <c r="P289">
        <f>IF(O289="","",설정!$B$24-O289)</f>
        <v/>
      </c>
      <c r="Q289" s="7">
        <f>IF(B289="","",IF(_xlfn.MAXIFS('4.방문기록'!$F$3:$F$502,'4.방문기록'!$B$3:$B$502,B289)=0,"",_xlfn.MAXIFS('4.방문기록'!$F$3:$F$502,'4.방문기록'!$B$3:$B$502,B289)))</f>
        <v/>
      </c>
      <c r="R289">
        <f>IF(O289="","",IFERROR(INDEX('4.방문기록'!$H$3:$H$502,MATCH(B289&amp;"|"&amp;(O289*1),'4.방문기록'!$I$3:$I$502,0))&amp;"",""))</f>
        <v/>
      </c>
      <c r="S289">
        <f>IF(B289="","",IF(R289="관심 없음","제외",IF(O289="","안 가봄",IF(P289&gt;=설정!$B$20,P289&amp;"일 지남","최근 방문"))))</f>
        <v/>
      </c>
      <c r="T289" s="8">
        <f>IF(B289="","",IF(S289="제외","",IF(AND(설정!$B$21&lt;&gt;"",L289&lt;&gt;설정!$B$21),"",IF(AND(Q289&lt;&gt;"",Q289&gt;N(O289),Q289&lt;=설정!$B$24+7),설정!$B$39+7-(Q289-설정!$B$24),IF(AND(G289&gt;0,OR(S289="안 가봄",RIGHT(S289,2)="지남")),G289+IF(O289="",설정!$B$36,MIN(P289,60)*설정!$B$37)+MIN(N(H289)/1000*설정!$B$38,20),"")))))</f>
        <v/>
      </c>
      <c r="U289">
        <f>IF(T289="","",COUNTIF(T$4:T$303,"&gt;"&amp;T289)+COUNTIF(T$4:T289,T289))</f>
        <v/>
      </c>
    </row>
    <row r="290">
      <c r="A290">
        <f>IF(B290="","",287)</f>
        <v/>
      </c>
      <c r="B290">
        <f>IFERROR(INDEX('2.현장'!$V$2:$V$1001,MATCH(287,'2.현장'!$W$2:$W$1001,0)),"")</f>
        <v/>
      </c>
      <c r="C290">
        <f>IF(B290="","",COUNTIFS('2.현장'!$V$2:$V$1001,B290,'2.현장'!$T$2:$T$1001,TRUE))</f>
        <v/>
      </c>
      <c r="D290">
        <f>IF(B290="","",COUNTIFS('2.현장'!$V$2:$V$1001,B290,'2.현장'!$U$2:$U$1001,"설계사"))</f>
        <v/>
      </c>
      <c r="E290">
        <f>IF(B290="","",COUNTIFS('2.현장'!$V$2:$V$1001,B290,'2.현장'!$U$2:$U$1001,"시공사"))</f>
        <v/>
      </c>
      <c r="F290">
        <f>IF(B290="","",COUNTIFS('2.현장'!$V$2:$V$1001,B290,'2.현장'!$T$2:$T$1001,TRUE,'2.현장'!$AA$2:$AA$1001,"★"))</f>
        <v/>
      </c>
      <c r="G290" s="6">
        <f>IF(B290="","",SUMIFS('2.현장'!$AB$2:$AB$1001,'2.현장'!$V$2:$V$1001,B290,'2.현장'!$T$2:$T$1001,TRUE))</f>
        <v/>
      </c>
      <c r="H290" s="5">
        <f>IF(B290="","",_xlfn.MAXIFS('2.현장'!$D$2:$D$1001,'2.현장'!$V$2:$V$1001,B290,'2.현장'!$T$2:$T$1001,TRUE))</f>
        <v/>
      </c>
      <c r="I290" s="7">
        <f>IF(B290="","",IF(_xlfn.MAXIFS('2.현장'!$L$2:$L$1001,'2.현장'!$V$2:$V$1001,B290,'2.현장'!$T$2:$T$1001,TRUE)=0,"",_xlfn.MAXIFS('2.현장'!$L$2:$L$1001,'2.현장'!$V$2:$V$1001,B290,'2.현장'!$T$2:$T$1001,TRUE)))</f>
        <v/>
      </c>
      <c r="J290" s="7">
        <f>IF(B290="","",IF(_xlfn.MAXIFS('2.현장'!$M$2:$M$1001,'2.현장'!$V$2:$V$1001,B290,'2.현장'!$T$2:$T$1001,TRUE)=0,"",_xlfn.MAXIFS('2.현장'!$M$2:$M$1001,'2.현장'!$V$2:$V$1001,B290,'2.현장'!$T$2:$T$1001,TRUE)))</f>
        <v/>
      </c>
      <c r="K290">
        <f>IF(B290="","",IFERROR(INDEX('2.현장'!$C$2:$C$1001,IFERROR(MATCH(B290&amp;"|설계사",'2.현장'!$Z$2:$Z$1001,0),IFERROR(MATCH(B290&amp;"|시공사",'2.현장'!$Z$2:$Z$1001,0),MATCH(B290&amp;"|늦음",'2.현장'!$Z$2:$Z$1001,0)))),""))</f>
        <v/>
      </c>
      <c r="L290">
        <f>IF(B290="","",IFERROR(INDEX('2.현장'!$N$2:$N$1001,IFERROR(MATCH(B290&amp;"|설계사",'2.현장'!$Z$2:$Z$1001,0),IFERROR(MATCH(B290&amp;"|시공사",'2.현장'!$Z$2:$Z$1001,0),MATCH(B290&amp;"|늦음",'2.현장'!$Z$2:$Z$1001,0)))),""))</f>
        <v/>
      </c>
      <c r="M290">
        <f>IF(B290="","",IFERROR(VLOOKUP(B290,업체_메모!$A$3:$I$302,2,FALSE)&amp;"",""))</f>
        <v/>
      </c>
      <c r="N290">
        <f>IF(B290="","",IFERROR(VLOOKUP(B290,업체_메모!$A$3:$I$302,4,FALSE)&amp;"",""))</f>
        <v/>
      </c>
      <c r="O290" s="7">
        <f>IF(B290="","",IF(COUNTIF('4.방문기록'!$B$3:$B$502,B290)=0,"",_xlfn.MAXIFS('4.방문기록'!$A$3:$A$502,'4.방문기록'!$B$3:$B$502,B290)))</f>
        <v/>
      </c>
      <c r="P290">
        <f>IF(O290="","",설정!$B$24-O290)</f>
        <v/>
      </c>
      <c r="Q290" s="7">
        <f>IF(B290="","",IF(_xlfn.MAXIFS('4.방문기록'!$F$3:$F$502,'4.방문기록'!$B$3:$B$502,B290)=0,"",_xlfn.MAXIFS('4.방문기록'!$F$3:$F$502,'4.방문기록'!$B$3:$B$502,B290)))</f>
        <v/>
      </c>
      <c r="R290">
        <f>IF(O290="","",IFERROR(INDEX('4.방문기록'!$H$3:$H$502,MATCH(B290&amp;"|"&amp;(O290*1),'4.방문기록'!$I$3:$I$502,0))&amp;"",""))</f>
        <v/>
      </c>
      <c r="S290">
        <f>IF(B290="","",IF(R290="관심 없음","제외",IF(O290="","안 가봄",IF(P290&gt;=설정!$B$20,P290&amp;"일 지남","최근 방문"))))</f>
        <v/>
      </c>
      <c r="T290" s="8">
        <f>IF(B290="","",IF(S290="제외","",IF(AND(설정!$B$21&lt;&gt;"",L290&lt;&gt;설정!$B$21),"",IF(AND(Q290&lt;&gt;"",Q290&gt;N(O290),Q290&lt;=설정!$B$24+7),설정!$B$39+7-(Q290-설정!$B$24),IF(AND(G290&gt;0,OR(S290="안 가봄",RIGHT(S290,2)="지남")),G290+IF(O290="",설정!$B$36,MIN(P290,60)*설정!$B$37)+MIN(N(H290)/1000*설정!$B$38,20),"")))))</f>
        <v/>
      </c>
      <c r="U290">
        <f>IF(T290="","",COUNTIF(T$4:T$303,"&gt;"&amp;T290)+COUNTIF(T$4:T290,T290))</f>
        <v/>
      </c>
    </row>
    <row r="291">
      <c r="A291">
        <f>IF(B291="","",288)</f>
        <v/>
      </c>
      <c r="B291">
        <f>IFERROR(INDEX('2.현장'!$V$2:$V$1001,MATCH(288,'2.현장'!$W$2:$W$1001,0)),"")</f>
        <v/>
      </c>
      <c r="C291">
        <f>IF(B291="","",COUNTIFS('2.현장'!$V$2:$V$1001,B291,'2.현장'!$T$2:$T$1001,TRUE))</f>
        <v/>
      </c>
      <c r="D291">
        <f>IF(B291="","",COUNTIFS('2.현장'!$V$2:$V$1001,B291,'2.현장'!$U$2:$U$1001,"설계사"))</f>
        <v/>
      </c>
      <c r="E291">
        <f>IF(B291="","",COUNTIFS('2.현장'!$V$2:$V$1001,B291,'2.현장'!$U$2:$U$1001,"시공사"))</f>
        <v/>
      </c>
      <c r="F291">
        <f>IF(B291="","",COUNTIFS('2.현장'!$V$2:$V$1001,B291,'2.현장'!$T$2:$T$1001,TRUE,'2.현장'!$AA$2:$AA$1001,"★"))</f>
        <v/>
      </c>
      <c r="G291" s="6">
        <f>IF(B291="","",SUMIFS('2.현장'!$AB$2:$AB$1001,'2.현장'!$V$2:$V$1001,B291,'2.현장'!$T$2:$T$1001,TRUE))</f>
        <v/>
      </c>
      <c r="H291" s="5">
        <f>IF(B291="","",_xlfn.MAXIFS('2.현장'!$D$2:$D$1001,'2.현장'!$V$2:$V$1001,B291,'2.현장'!$T$2:$T$1001,TRUE))</f>
        <v/>
      </c>
      <c r="I291" s="7">
        <f>IF(B291="","",IF(_xlfn.MAXIFS('2.현장'!$L$2:$L$1001,'2.현장'!$V$2:$V$1001,B291,'2.현장'!$T$2:$T$1001,TRUE)=0,"",_xlfn.MAXIFS('2.현장'!$L$2:$L$1001,'2.현장'!$V$2:$V$1001,B291,'2.현장'!$T$2:$T$1001,TRUE)))</f>
        <v/>
      </c>
      <c r="J291" s="7">
        <f>IF(B291="","",IF(_xlfn.MAXIFS('2.현장'!$M$2:$M$1001,'2.현장'!$V$2:$V$1001,B291,'2.현장'!$T$2:$T$1001,TRUE)=0,"",_xlfn.MAXIFS('2.현장'!$M$2:$M$1001,'2.현장'!$V$2:$V$1001,B291,'2.현장'!$T$2:$T$1001,TRUE)))</f>
        <v/>
      </c>
      <c r="K291">
        <f>IF(B291="","",IFERROR(INDEX('2.현장'!$C$2:$C$1001,IFERROR(MATCH(B291&amp;"|설계사",'2.현장'!$Z$2:$Z$1001,0),IFERROR(MATCH(B291&amp;"|시공사",'2.현장'!$Z$2:$Z$1001,0),MATCH(B291&amp;"|늦음",'2.현장'!$Z$2:$Z$1001,0)))),""))</f>
        <v/>
      </c>
      <c r="L291">
        <f>IF(B291="","",IFERROR(INDEX('2.현장'!$N$2:$N$1001,IFERROR(MATCH(B291&amp;"|설계사",'2.현장'!$Z$2:$Z$1001,0),IFERROR(MATCH(B291&amp;"|시공사",'2.현장'!$Z$2:$Z$1001,0),MATCH(B291&amp;"|늦음",'2.현장'!$Z$2:$Z$1001,0)))),""))</f>
        <v/>
      </c>
      <c r="M291">
        <f>IF(B291="","",IFERROR(VLOOKUP(B291,업체_메모!$A$3:$I$302,2,FALSE)&amp;"",""))</f>
        <v/>
      </c>
      <c r="N291">
        <f>IF(B291="","",IFERROR(VLOOKUP(B291,업체_메모!$A$3:$I$302,4,FALSE)&amp;"",""))</f>
        <v/>
      </c>
      <c r="O291" s="7">
        <f>IF(B291="","",IF(COUNTIF('4.방문기록'!$B$3:$B$502,B291)=0,"",_xlfn.MAXIFS('4.방문기록'!$A$3:$A$502,'4.방문기록'!$B$3:$B$502,B291)))</f>
        <v/>
      </c>
      <c r="P291">
        <f>IF(O291="","",설정!$B$24-O291)</f>
        <v/>
      </c>
      <c r="Q291" s="7">
        <f>IF(B291="","",IF(_xlfn.MAXIFS('4.방문기록'!$F$3:$F$502,'4.방문기록'!$B$3:$B$502,B291)=0,"",_xlfn.MAXIFS('4.방문기록'!$F$3:$F$502,'4.방문기록'!$B$3:$B$502,B291)))</f>
        <v/>
      </c>
      <c r="R291">
        <f>IF(O291="","",IFERROR(INDEX('4.방문기록'!$H$3:$H$502,MATCH(B291&amp;"|"&amp;(O291*1),'4.방문기록'!$I$3:$I$502,0))&amp;"",""))</f>
        <v/>
      </c>
      <c r="S291">
        <f>IF(B291="","",IF(R291="관심 없음","제외",IF(O291="","안 가봄",IF(P291&gt;=설정!$B$20,P291&amp;"일 지남","최근 방문"))))</f>
        <v/>
      </c>
      <c r="T291" s="8">
        <f>IF(B291="","",IF(S291="제외","",IF(AND(설정!$B$21&lt;&gt;"",L291&lt;&gt;설정!$B$21),"",IF(AND(Q291&lt;&gt;"",Q291&gt;N(O291),Q291&lt;=설정!$B$24+7),설정!$B$39+7-(Q291-설정!$B$24),IF(AND(G291&gt;0,OR(S291="안 가봄",RIGHT(S291,2)="지남")),G291+IF(O291="",설정!$B$36,MIN(P291,60)*설정!$B$37)+MIN(N(H291)/1000*설정!$B$38,20),"")))))</f>
        <v/>
      </c>
      <c r="U291">
        <f>IF(T291="","",COUNTIF(T$4:T$303,"&gt;"&amp;T291)+COUNTIF(T$4:T291,T291))</f>
        <v/>
      </c>
    </row>
    <row r="292">
      <c r="A292">
        <f>IF(B292="","",289)</f>
        <v/>
      </c>
      <c r="B292">
        <f>IFERROR(INDEX('2.현장'!$V$2:$V$1001,MATCH(289,'2.현장'!$W$2:$W$1001,0)),"")</f>
        <v/>
      </c>
      <c r="C292">
        <f>IF(B292="","",COUNTIFS('2.현장'!$V$2:$V$1001,B292,'2.현장'!$T$2:$T$1001,TRUE))</f>
        <v/>
      </c>
      <c r="D292">
        <f>IF(B292="","",COUNTIFS('2.현장'!$V$2:$V$1001,B292,'2.현장'!$U$2:$U$1001,"설계사"))</f>
        <v/>
      </c>
      <c r="E292">
        <f>IF(B292="","",COUNTIFS('2.현장'!$V$2:$V$1001,B292,'2.현장'!$U$2:$U$1001,"시공사"))</f>
        <v/>
      </c>
      <c r="F292">
        <f>IF(B292="","",COUNTIFS('2.현장'!$V$2:$V$1001,B292,'2.현장'!$T$2:$T$1001,TRUE,'2.현장'!$AA$2:$AA$1001,"★"))</f>
        <v/>
      </c>
      <c r="G292" s="6">
        <f>IF(B292="","",SUMIFS('2.현장'!$AB$2:$AB$1001,'2.현장'!$V$2:$V$1001,B292,'2.현장'!$T$2:$T$1001,TRUE))</f>
        <v/>
      </c>
      <c r="H292" s="5">
        <f>IF(B292="","",_xlfn.MAXIFS('2.현장'!$D$2:$D$1001,'2.현장'!$V$2:$V$1001,B292,'2.현장'!$T$2:$T$1001,TRUE))</f>
        <v/>
      </c>
      <c r="I292" s="7">
        <f>IF(B292="","",IF(_xlfn.MAXIFS('2.현장'!$L$2:$L$1001,'2.현장'!$V$2:$V$1001,B292,'2.현장'!$T$2:$T$1001,TRUE)=0,"",_xlfn.MAXIFS('2.현장'!$L$2:$L$1001,'2.현장'!$V$2:$V$1001,B292,'2.현장'!$T$2:$T$1001,TRUE)))</f>
        <v/>
      </c>
      <c r="J292" s="7">
        <f>IF(B292="","",IF(_xlfn.MAXIFS('2.현장'!$M$2:$M$1001,'2.현장'!$V$2:$V$1001,B292,'2.현장'!$T$2:$T$1001,TRUE)=0,"",_xlfn.MAXIFS('2.현장'!$M$2:$M$1001,'2.현장'!$V$2:$V$1001,B292,'2.현장'!$T$2:$T$1001,TRUE)))</f>
        <v/>
      </c>
      <c r="K292">
        <f>IF(B292="","",IFERROR(INDEX('2.현장'!$C$2:$C$1001,IFERROR(MATCH(B292&amp;"|설계사",'2.현장'!$Z$2:$Z$1001,0),IFERROR(MATCH(B292&amp;"|시공사",'2.현장'!$Z$2:$Z$1001,0),MATCH(B292&amp;"|늦음",'2.현장'!$Z$2:$Z$1001,0)))),""))</f>
        <v/>
      </c>
      <c r="L292">
        <f>IF(B292="","",IFERROR(INDEX('2.현장'!$N$2:$N$1001,IFERROR(MATCH(B292&amp;"|설계사",'2.현장'!$Z$2:$Z$1001,0),IFERROR(MATCH(B292&amp;"|시공사",'2.현장'!$Z$2:$Z$1001,0),MATCH(B292&amp;"|늦음",'2.현장'!$Z$2:$Z$1001,0)))),""))</f>
        <v/>
      </c>
      <c r="M292">
        <f>IF(B292="","",IFERROR(VLOOKUP(B292,업체_메모!$A$3:$I$302,2,FALSE)&amp;"",""))</f>
        <v/>
      </c>
      <c r="N292">
        <f>IF(B292="","",IFERROR(VLOOKUP(B292,업체_메모!$A$3:$I$302,4,FALSE)&amp;"",""))</f>
        <v/>
      </c>
      <c r="O292" s="7">
        <f>IF(B292="","",IF(COUNTIF('4.방문기록'!$B$3:$B$502,B292)=0,"",_xlfn.MAXIFS('4.방문기록'!$A$3:$A$502,'4.방문기록'!$B$3:$B$502,B292)))</f>
        <v/>
      </c>
      <c r="P292">
        <f>IF(O292="","",설정!$B$24-O292)</f>
        <v/>
      </c>
      <c r="Q292" s="7">
        <f>IF(B292="","",IF(_xlfn.MAXIFS('4.방문기록'!$F$3:$F$502,'4.방문기록'!$B$3:$B$502,B292)=0,"",_xlfn.MAXIFS('4.방문기록'!$F$3:$F$502,'4.방문기록'!$B$3:$B$502,B292)))</f>
        <v/>
      </c>
      <c r="R292">
        <f>IF(O292="","",IFERROR(INDEX('4.방문기록'!$H$3:$H$502,MATCH(B292&amp;"|"&amp;(O292*1),'4.방문기록'!$I$3:$I$502,0))&amp;"",""))</f>
        <v/>
      </c>
      <c r="S292">
        <f>IF(B292="","",IF(R292="관심 없음","제외",IF(O292="","안 가봄",IF(P292&gt;=설정!$B$20,P292&amp;"일 지남","최근 방문"))))</f>
        <v/>
      </c>
      <c r="T292" s="8">
        <f>IF(B292="","",IF(S292="제외","",IF(AND(설정!$B$21&lt;&gt;"",L292&lt;&gt;설정!$B$21),"",IF(AND(Q292&lt;&gt;"",Q292&gt;N(O292),Q292&lt;=설정!$B$24+7),설정!$B$39+7-(Q292-설정!$B$24),IF(AND(G292&gt;0,OR(S292="안 가봄",RIGHT(S292,2)="지남")),G292+IF(O292="",설정!$B$36,MIN(P292,60)*설정!$B$37)+MIN(N(H292)/1000*설정!$B$38,20),"")))))</f>
        <v/>
      </c>
      <c r="U292">
        <f>IF(T292="","",COUNTIF(T$4:T$303,"&gt;"&amp;T292)+COUNTIF(T$4:T292,T292))</f>
        <v/>
      </c>
    </row>
    <row r="293">
      <c r="A293">
        <f>IF(B293="","",290)</f>
        <v/>
      </c>
      <c r="B293">
        <f>IFERROR(INDEX('2.현장'!$V$2:$V$1001,MATCH(290,'2.현장'!$W$2:$W$1001,0)),"")</f>
        <v/>
      </c>
      <c r="C293">
        <f>IF(B293="","",COUNTIFS('2.현장'!$V$2:$V$1001,B293,'2.현장'!$T$2:$T$1001,TRUE))</f>
        <v/>
      </c>
      <c r="D293">
        <f>IF(B293="","",COUNTIFS('2.현장'!$V$2:$V$1001,B293,'2.현장'!$U$2:$U$1001,"설계사"))</f>
        <v/>
      </c>
      <c r="E293">
        <f>IF(B293="","",COUNTIFS('2.현장'!$V$2:$V$1001,B293,'2.현장'!$U$2:$U$1001,"시공사"))</f>
        <v/>
      </c>
      <c r="F293">
        <f>IF(B293="","",COUNTIFS('2.현장'!$V$2:$V$1001,B293,'2.현장'!$T$2:$T$1001,TRUE,'2.현장'!$AA$2:$AA$1001,"★"))</f>
        <v/>
      </c>
      <c r="G293" s="6">
        <f>IF(B293="","",SUMIFS('2.현장'!$AB$2:$AB$1001,'2.현장'!$V$2:$V$1001,B293,'2.현장'!$T$2:$T$1001,TRUE))</f>
        <v/>
      </c>
      <c r="H293" s="5">
        <f>IF(B293="","",_xlfn.MAXIFS('2.현장'!$D$2:$D$1001,'2.현장'!$V$2:$V$1001,B293,'2.현장'!$T$2:$T$1001,TRUE))</f>
        <v/>
      </c>
      <c r="I293" s="7">
        <f>IF(B293="","",IF(_xlfn.MAXIFS('2.현장'!$L$2:$L$1001,'2.현장'!$V$2:$V$1001,B293,'2.현장'!$T$2:$T$1001,TRUE)=0,"",_xlfn.MAXIFS('2.현장'!$L$2:$L$1001,'2.현장'!$V$2:$V$1001,B293,'2.현장'!$T$2:$T$1001,TRUE)))</f>
        <v/>
      </c>
      <c r="J293" s="7">
        <f>IF(B293="","",IF(_xlfn.MAXIFS('2.현장'!$M$2:$M$1001,'2.현장'!$V$2:$V$1001,B293,'2.현장'!$T$2:$T$1001,TRUE)=0,"",_xlfn.MAXIFS('2.현장'!$M$2:$M$1001,'2.현장'!$V$2:$V$1001,B293,'2.현장'!$T$2:$T$1001,TRUE)))</f>
        <v/>
      </c>
      <c r="K293">
        <f>IF(B293="","",IFERROR(INDEX('2.현장'!$C$2:$C$1001,IFERROR(MATCH(B293&amp;"|설계사",'2.현장'!$Z$2:$Z$1001,0),IFERROR(MATCH(B293&amp;"|시공사",'2.현장'!$Z$2:$Z$1001,0),MATCH(B293&amp;"|늦음",'2.현장'!$Z$2:$Z$1001,0)))),""))</f>
        <v/>
      </c>
      <c r="L293">
        <f>IF(B293="","",IFERROR(INDEX('2.현장'!$N$2:$N$1001,IFERROR(MATCH(B293&amp;"|설계사",'2.현장'!$Z$2:$Z$1001,0),IFERROR(MATCH(B293&amp;"|시공사",'2.현장'!$Z$2:$Z$1001,0),MATCH(B293&amp;"|늦음",'2.현장'!$Z$2:$Z$1001,0)))),""))</f>
        <v/>
      </c>
      <c r="M293">
        <f>IF(B293="","",IFERROR(VLOOKUP(B293,업체_메모!$A$3:$I$302,2,FALSE)&amp;"",""))</f>
        <v/>
      </c>
      <c r="N293">
        <f>IF(B293="","",IFERROR(VLOOKUP(B293,업체_메모!$A$3:$I$302,4,FALSE)&amp;"",""))</f>
        <v/>
      </c>
      <c r="O293" s="7">
        <f>IF(B293="","",IF(COUNTIF('4.방문기록'!$B$3:$B$502,B293)=0,"",_xlfn.MAXIFS('4.방문기록'!$A$3:$A$502,'4.방문기록'!$B$3:$B$502,B293)))</f>
        <v/>
      </c>
      <c r="P293">
        <f>IF(O293="","",설정!$B$24-O293)</f>
        <v/>
      </c>
      <c r="Q293" s="7">
        <f>IF(B293="","",IF(_xlfn.MAXIFS('4.방문기록'!$F$3:$F$502,'4.방문기록'!$B$3:$B$502,B293)=0,"",_xlfn.MAXIFS('4.방문기록'!$F$3:$F$502,'4.방문기록'!$B$3:$B$502,B293)))</f>
        <v/>
      </c>
      <c r="R293">
        <f>IF(O293="","",IFERROR(INDEX('4.방문기록'!$H$3:$H$502,MATCH(B293&amp;"|"&amp;(O293*1),'4.방문기록'!$I$3:$I$502,0))&amp;"",""))</f>
        <v/>
      </c>
      <c r="S293">
        <f>IF(B293="","",IF(R293="관심 없음","제외",IF(O293="","안 가봄",IF(P293&gt;=설정!$B$20,P293&amp;"일 지남","최근 방문"))))</f>
        <v/>
      </c>
      <c r="T293" s="8">
        <f>IF(B293="","",IF(S293="제외","",IF(AND(설정!$B$21&lt;&gt;"",L293&lt;&gt;설정!$B$21),"",IF(AND(Q293&lt;&gt;"",Q293&gt;N(O293),Q293&lt;=설정!$B$24+7),설정!$B$39+7-(Q293-설정!$B$24),IF(AND(G293&gt;0,OR(S293="안 가봄",RIGHT(S293,2)="지남")),G293+IF(O293="",설정!$B$36,MIN(P293,60)*설정!$B$37)+MIN(N(H293)/1000*설정!$B$38,20),"")))))</f>
        <v/>
      </c>
      <c r="U293">
        <f>IF(T293="","",COUNTIF(T$4:T$303,"&gt;"&amp;T293)+COUNTIF(T$4:T293,T293))</f>
        <v/>
      </c>
    </row>
    <row r="294">
      <c r="A294">
        <f>IF(B294="","",291)</f>
        <v/>
      </c>
      <c r="B294">
        <f>IFERROR(INDEX('2.현장'!$V$2:$V$1001,MATCH(291,'2.현장'!$W$2:$W$1001,0)),"")</f>
        <v/>
      </c>
      <c r="C294">
        <f>IF(B294="","",COUNTIFS('2.현장'!$V$2:$V$1001,B294,'2.현장'!$T$2:$T$1001,TRUE))</f>
        <v/>
      </c>
      <c r="D294">
        <f>IF(B294="","",COUNTIFS('2.현장'!$V$2:$V$1001,B294,'2.현장'!$U$2:$U$1001,"설계사"))</f>
        <v/>
      </c>
      <c r="E294">
        <f>IF(B294="","",COUNTIFS('2.현장'!$V$2:$V$1001,B294,'2.현장'!$U$2:$U$1001,"시공사"))</f>
        <v/>
      </c>
      <c r="F294">
        <f>IF(B294="","",COUNTIFS('2.현장'!$V$2:$V$1001,B294,'2.현장'!$T$2:$T$1001,TRUE,'2.현장'!$AA$2:$AA$1001,"★"))</f>
        <v/>
      </c>
      <c r="G294" s="6">
        <f>IF(B294="","",SUMIFS('2.현장'!$AB$2:$AB$1001,'2.현장'!$V$2:$V$1001,B294,'2.현장'!$T$2:$T$1001,TRUE))</f>
        <v/>
      </c>
      <c r="H294" s="5">
        <f>IF(B294="","",_xlfn.MAXIFS('2.현장'!$D$2:$D$1001,'2.현장'!$V$2:$V$1001,B294,'2.현장'!$T$2:$T$1001,TRUE))</f>
        <v/>
      </c>
      <c r="I294" s="7">
        <f>IF(B294="","",IF(_xlfn.MAXIFS('2.현장'!$L$2:$L$1001,'2.현장'!$V$2:$V$1001,B294,'2.현장'!$T$2:$T$1001,TRUE)=0,"",_xlfn.MAXIFS('2.현장'!$L$2:$L$1001,'2.현장'!$V$2:$V$1001,B294,'2.현장'!$T$2:$T$1001,TRUE)))</f>
        <v/>
      </c>
      <c r="J294" s="7">
        <f>IF(B294="","",IF(_xlfn.MAXIFS('2.현장'!$M$2:$M$1001,'2.현장'!$V$2:$V$1001,B294,'2.현장'!$T$2:$T$1001,TRUE)=0,"",_xlfn.MAXIFS('2.현장'!$M$2:$M$1001,'2.현장'!$V$2:$V$1001,B294,'2.현장'!$T$2:$T$1001,TRUE)))</f>
        <v/>
      </c>
      <c r="K294">
        <f>IF(B294="","",IFERROR(INDEX('2.현장'!$C$2:$C$1001,IFERROR(MATCH(B294&amp;"|설계사",'2.현장'!$Z$2:$Z$1001,0),IFERROR(MATCH(B294&amp;"|시공사",'2.현장'!$Z$2:$Z$1001,0),MATCH(B294&amp;"|늦음",'2.현장'!$Z$2:$Z$1001,0)))),""))</f>
        <v/>
      </c>
      <c r="L294">
        <f>IF(B294="","",IFERROR(INDEX('2.현장'!$N$2:$N$1001,IFERROR(MATCH(B294&amp;"|설계사",'2.현장'!$Z$2:$Z$1001,0),IFERROR(MATCH(B294&amp;"|시공사",'2.현장'!$Z$2:$Z$1001,0),MATCH(B294&amp;"|늦음",'2.현장'!$Z$2:$Z$1001,0)))),""))</f>
        <v/>
      </c>
      <c r="M294">
        <f>IF(B294="","",IFERROR(VLOOKUP(B294,업체_메모!$A$3:$I$302,2,FALSE)&amp;"",""))</f>
        <v/>
      </c>
      <c r="N294">
        <f>IF(B294="","",IFERROR(VLOOKUP(B294,업체_메모!$A$3:$I$302,4,FALSE)&amp;"",""))</f>
        <v/>
      </c>
      <c r="O294" s="7">
        <f>IF(B294="","",IF(COUNTIF('4.방문기록'!$B$3:$B$502,B294)=0,"",_xlfn.MAXIFS('4.방문기록'!$A$3:$A$502,'4.방문기록'!$B$3:$B$502,B294)))</f>
        <v/>
      </c>
      <c r="P294">
        <f>IF(O294="","",설정!$B$24-O294)</f>
        <v/>
      </c>
      <c r="Q294" s="7">
        <f>IF(B294="","",IF(_xlfn.MAXIFS('4.방문기록'!$F$3:$F$502,'4.방문기록'!$B$3:$B$502,B294)=0,"",_xlfn.MAXIFS('4.방문기록'!$F$3:$F$502,'4.방문기록'!$B$3:$B$502,B294)))</f>
        <v/>
      </c>
      <c r="R294">
        <f>IF(O294="","",IFERROR(INDEX('4.방문기록'!$H$3:$H$502,MATCH(B294&amp;"|"&amp;(O294*1),'4.방문기록'!$I$3:$I$502,0))&amp;"",""))</f>
        <v/>
      </c>
      <c r="S294">
        <f>IF(B294="","",IF(R294="관심 없음","제외",IF(O294="","안 가봄",IF(P294&gt;=설정!$B$20,P294&amp;"일 지남","최근 방문"))))</f>
        <v/>
      </c>
      <c r="T294" s="8">
        <f>IF(B294="","",IF(S294="제외","",IF(AND(설정!$B$21&lt;&gt;"",L294&lt;&gt;설정!$B$21),"",IF(AND(Q294&lt;&gt;"",Q294&gt;N(O294),Q294&lt;=설정!$B$24+7),설정!$B$39+7-(Q294-설정!$B$24),IF(AND(G294&gt;0,OR(S294="안 가봄",RIGHT(S294,2)="지남")),G294+IF(O294="",설정!$B$36,MIN(P294,60)*설정!$B$37)+MIN(N(H294)/1000*설정!$B$38,20),"")))))</f>
        <v/>
      </c>
      <c r="U294">
        <f>IF(T294="","",COUNTIF(T$4:T$303,"&gt;"&amp;T294)+COUNTIF(T$4:T294,T294))</f>
        <v/>
      </c>
    </row>
    <row r="295">
      <c r="A295">
        <f>IF(B295="","",292)</f>
        <v/>
      </c>
      <c r="B295">
        <f>IFERROR(INDEX('2.현장'!$V$2:$V$1001,MATCH(292,'2.현장'!$W$2:$W$1001,0)),"")</f>
        <v/>
      </c>
      <c r="C295">
        <f>IF(B295="","",COUNTIFS('2.현장'!$V$2:$V$1001,B295,'2.현장'!$T$2:$T$1001,TRUE))</f>
        <v/>
      </c>
      <c r="D295">
        <f>IF(B295="","",COUNTIFS('2.현장'!$V$2:$V$1001,B295,'2.현장'!$U$2:$U$1001,"설계사"))</f>
        <v/>
      </c>
      <c r="E295">
        <f>IF(B295="","",COUNTIFS('2.현장'!$V$2:$V$1001,B295,'2.현장'!$U$2:$U$1001,"시공사"))</f>
        <v/>
      </c>
      <c r="F295">
        <f>IF(B295="","",COUNTIFS('2.현장'!$V$2:$V$1001,B295,'2.현장'!$T$2:$T$1001,TRUE,'2.현장'!$AA$2:$AA$1001,"★"))</f>
        <v/>
      </c>
      <c r="G295" s="6">
        <f>IF(B295="","",SUMIFS('2.현장'!$AB$2:$AB$1001,'2.현장'!$V$2:$V$1001,B295,'2.현장'!$T$2:$T$1001,TRUE))</f>
        <v/>
      </c>
      <c r="H295" s="5">
        <f>IF(B295="","",_xlfn.MAXIFS('2.현장'!$D$2:$D$1001,'2.현장'!$V$2:$V$1001,B295,'2.현장'!$T$2:$T$1001,TRUE))</f>
        <v/>
      </c>
      <c r="I295" s="7">
        <f>IF(B295="","",IF(_xlfn.MAXIFS('2.현장'!$L$2:$L$1001,'2.현장'!$V$2:$V$1001,B295,'2.현장'!$T$2:$T$1001,TRUE)=0,"",_xlfn.MAXIFS('2.현장'!$L$2:$L$1001,'2.현장'!$V$2:$V$1001,B295,'2.현장'!$T$2:$T$1001,TRUE)))</f>
        <v/>
      </c>
      <c r="J295" s="7">
        <f>IF(B295="","",IF(_xlfn.MAXIFS('2.현장'!$M$2:$M$1001,'2.현장'!$V$2:$V$1001,B295,'2.현장'!$T$2:$T$1001,TRUE)=0,"",_xlfn.MAXIFS('2.현장'!$M$2:$M$1001,'2.현장'!$V$2:$V$1001,B295,'2.현장'!$T$2:$T$1001,TRUE)))</f>
        <v/>
      </c>
      <c r="K295">
        <f>IF(B295="","",IFERROR(INDEX('2.현장'!$C$2:$C$1001,IFERROR(MATCH(B295&amp;"|설계사",'2.현장'!$Z$2:$Z$1001,0),IFERROR(MATCH(B295&amp;"|시공사",'2.현장'!$Z$2:$Z$1001,0),MATCH(B295&amp;"|늦음",'2.현장'!$Z$2:$Z$1001,0)))),""))</f>
        <v/>
      </c>
      <c r="L295">
        <f>IF(B295="","",IFERROR(INDEX('2.현장'!$N$2:$N$1001,IFERROR(MATCH(B295&amp;"|설계사",'2.현장'!$Z$2:$Z$1001,0),IFERROR(MATCH(B295&amp;"|시공사",'2.현장'!$Z$2:$Z$1001,0),MATCH(B295&amp;"|늦음",'2.현장'!$Z$2:$Z$1001,0)))),""))</f>
        <v/>
      </c>
      <c r="M295">
        <f>IF(B295="","",IFERROR(VLOOKUP(B295,업체_메모!$A$3:$I$302,2,FALSE)&amp;"",""))</f>
        <v/>
      </c>
      <c r="N295">
        <f>IF(B295="","",IFERROR(VLOOKUP(B295,업체_메모!$A$3:$I$302,4,FALSE)&amp;"",""))</f>
        <v/>
      </c>
      <c r="O295" s="7">
        <f>IF(B295="","",IF(COUNTIF('4.방문기록'!$B$3:$B$502,B295)=0,"",_xlfn.MAXIFS('4.방문기록'!$A$3:$A$502,'4.방문기록'!$B$3:$B$502,B295)))</f>
        <v/>
      </c>
      <c r="P295">
        <f>IF(O295="","",설정!$B$24-O295)</f>
        <v/>
      </c>
      <c r="Q295" s="7">
        <f>IF(B295="","",IF(_xlfn.MAXIFS('4.방문기록'!$F$3:$F$502,'4.방문기록'!$B$3:$B$502,B295)=0,"",_xlfn.MAXIFS('4.방문기록'!$F$3:$F$502,'4.방문기록'!$B$3:$B$502,B295)))</f>
        <v/>
      </c>
      <c r="R295">
        <f>IF(O295="","",IFERROR(INDEX('4.방문기록'!$H$3:$H$502,MATCH(B295&amp;"|"&amp;(O295*1),'4.방문기록'!$I$3:$I$502,0))&amp;"",""))</f>
        <v/>
      </c>
      <c r="S295">
        <f>IF(B295="","",IF(R295="관심 없음","제외",IF(O295="","안 가봄",IF(P295&gt;=설정!$B$20,P295&amp;"일 지남","최근 방문"))))</f>
        <v/>
      </c>
      <c r="T295" s="8">
        <f>IF(B295="","",IF(S295="제외","",IF(AND(설정!$B$21&lt;&gt;"",L295&lt;&gt;설정!$B$21),"",IF(AND(Q295&lt;&gt;"",Q295&gt;N(O295),Q295&lt;=설정!$B$24+7),설정!$B$39+7-(Q295-설정!$B$24),IF(AND(G295&gt;0,OR(S295="안 가봄",RIGHT(S295,2)="지남")),G295+IF(O295="",설정!$B$36,MIN(P295,60)*설정!$B$37)+MIN(N(H295)/1000*설정!$B$38,20),"")))))</f>
        <v/>
      </c>
      <c r="U295">
        <f>IF(T295="","",COUNTIF(T$4:T$303,"&gt;"&amp;T295)+COUNTIF(T$4:T295,T295))</f>
        <v/>
      </c>
    </row>
    <row r="296">
      <c r="A296">
        <f>IF(B296="","",293)</f>
        <v/>
      </c>
      <c r="B296">
        <f>IFERROR(INDEX('2.현장'!$V$2:$V$1001,MATCH(293,'2.현장'!$W$2:$W$1001,0)),"")</f>
        <v/>
      </c>
      <c r="C296">
        <f>IF(B296="","",COUNTIFS('2.현장'!$V$2:$V$1001,B296,'2.현장'!$T$2:$T$1001,TRUE))</f>
        <v/>
      </c>
      <c r="D296">
        <f>IF(B296="","",COUNTIFS('2.현장'!$V$2:$V$1001,B296,'2.현장'!$U$2:$U$1001,"설계사"))</f>
        <v/>
      </c>
      <c r="E296">
        <f>IF(B296="","",COUNTIFS('2.현장'!$V$2:$V$1001,B296,'2.현장'!$U$2:$U$1001,"시공사"))</f>
        <v/>
      </c>
      <c r="F296">
        <f>IF(B296="","",COUNTIFS('2.현장'!$V$2:$V$1001,B296,'2.현장'!$T$2:$T$1001,TRUE,'2.현장'!$AA$2:$AA$1001,"★"))</f>
        <v/>
      </c>
      <c r="G296" s="6">
        <f>IF(B296="","",SUMIFS('2.현장'!$AB$2:$AB$1001,'2.현장'!$V$2:$V$1001,B296,'2.현장'!$T$2:$T$1001,TRUE))</f>
        <v/>
      </c>
      <c r="H296" s="5">
        <f>IF(B296="","",_xlfn.MAXIFS('2.현장'!$D$2:$D$1001,'2.현장'!$V$2:$V$1001,B296,'2.현장'!$T$2:$T$1001,TRUE))</f>
        <v/>
      </c>
      <c r="I296" s="7">
        <f>IF(B296="","",IF(_xlfn.MAXIFS('2.현장'!$L$2:$L$1001,'2.현장'!$V$2:$V$1001,B296,'2.현장'!$T$2:$T$1001,TRUE)=0,"",_xlfn.MAXIFS('2.현장'!$L$2:$L$1001,'2.현장'!$V$2:$V$1001,B296,'2.현장'!$T$2:$T$1001,TRUE)))</f>
        <v/>
      </c>
      <c r="J296" s="7">
        <f>IF(B296="","",IF(_xlfn.MAXIFS('2.현장'!$M$2:$M$1001,'2.현장'!$V$2:$V$1001,B296,'2.현장'!$T$2:$T$1001,TRUE)=0,"",_xlfn.MAXIFS('2.현장'!$M$2:$M$1001,'2.현장'!$V$2:$V$1001,B296,'2.현장'!$T$2:$T$1001,TRUE)))</f>
        <v/>
      </c>
      <c r="K296">
        <f>IF(B296="","",IFERROR(INDEX('2.현장'!$C$2:$C$1001,IFERROR(MATCH(B296&amp;"|설계사",'2.현장'!$Z$2:$Z$1001,0),IFERROR(MATCH(B296&amp;"|시공사",'2.현장'!$Z$2:$Z$1001,0),MATCH(B296&amp;"|늦음",'2.현장'!$Z$2:$Z$1001,0)))),""))</f>
        <v/>
      </c>
      <c r="L296">
        <f>IF(B296="","",IFERROR(INDEX('2.현장'!$N$2:$N$1001,IFERROR(MATCH(B296&amp;"|설계사",'2.현장'!$Z$2:$Z$1001,0),IFERROR(MATCH(B296&amp;"|시공사",'2.현장'!$Z$2:$Z$1001,0),MATCH(B296&amp;"|늦음",'2.현장'!$Z$2:$Z$1001,0)))),""))</f>
        <v/>
      </c>
      <c r="M296">
        <f>IF(B296="","",IFERROR(VLOOKUP(B296,업체_메모!$A$3:$I$302,2,FALSE)&amp;"",""))</f>
        <v/>
      </c>
      <c r="N296">
        <f>IF(B296="","",IFERROR(VLOOKUP(B296,업체_메모!$A$3:$I$302,4,FALSE)&amp;"",""))</f>
        <v/>
      </c>
      <c r="O296" s="7">
        <f>IF(B296="","",IF(COUNTIF('4.방문기록'!$B$3:$B$502,B296)=0,"",_xlfn.MAXIFS('4.방문기록'!$A$3:$A$502,'4.방문기록'!$B$3:$B$502,B296)))</f>
        <v/>
      </c>
      <c r="P296">
        <f>IF(O296="","",설정!$B$24-O296)</f>
        <v/>
      </c>
      <c r="Q296" s="7">
        <f>IF(B296="","",IF(_xlfn.MAXIFS('4.방문기록'!$F$3:$F$502,'4.방문기록'!$B$3:$B$502,B296)=0,"",_xlfn.MAXIFS('4.방문기록'!$F$3:$F$502,'4.방문기록'!$B$3:$B$502,B296)))</f>
        <v/>
      </c>
      <c r="R296">
        <f>IF(O296="","",IFERROR(INDEX('4.방문기록'!$H$3:$H$502,MATCH(B296&amp;"|"&amp;(O296*1),'4.방문기록'!$I$3:$I$502,0))&amp;"",""))</f>
        <v/>
      </c>
      <c r="S296">
        <f>IF(B296="","",IF(R296="관심 없음","제외",IF(O296="","안 가봄",IF(P296&gt;=설정!$B$20,P296&amp;"일 지남","최근 방문"))))</f>
        <v/>
      </c>
      <c r="T296" s="8">
        <f>IF(B296="","",IF(S296="제외","",IF(AND(설정!$B$21&lt;&gt;"",L296&lt;&gt;설정!$B$21),"",IF(AND(Q296&lt;&gt;"",Q296&gt;N(O296),Q296&lt;=설정!$B$24+7),설정!$B$39+7-(Q296-설정!$B$24),IF(AND(G296&gt;0,OR(S296="안 가봄",RIGHT(S296,2)="지남")),G296+IF(O296="",설정!$B$36,MIN(P296,60)*설정!$B$37)+MIN(N(H296)/1000*설정!$B$38,20),"")))))</f>
        <v/>
      </c>
      <c r="U296">
        <f>IF(T296="","",COUNTIF(T$4:T$303,"&gt;"&amp;T296)+COUNTIF(T$4:T296,T296))</f>
        <v/>
      </c>
    </row>
    <row r="297">
      <c r="A297">
        <f>IF(B297="","",294)</f>
        <v/>
      </c>
      <c r="B297">
        <f>IFERROR(INDEX('2.현장'!$V$2:$V$1001,MATCH(294,'2.현장'!$W$2:$W$1001,0)),"")</f>
        <v/>
      </c>
      <c r="C297">
        <f>IF(B297="","",COUNTIFS('2.현장'!$V$2:$V$1001,B297,'2.현장'!$T$2:$T$1001,TRUE))</f>
        <v/>
      </c>
      <c r="D297">
        <f>IF(B297="","",COUNTIFS('2.현장'!$V$2:$V$1001,B297,'2.현장'!$U$2:$U$1001,"설계사"))</f>
        <v/>
      </c>
      <c r="E297">
        <f>IF(B297="","",COUNTIFS('2.현장'!$V$2:$V$1001,B297,'2.현장'!$U$2:$U$1001,"시공사"))</f>
        <v/>
      </c>
      <c r="F297">
        <f>IF(B297="","",COUNTIFS('2.현장'!$V$2:$V$1001,B297,'2.현장'!$T$2:$T$1001,TRUE,'2.현장'!$AA$2:$AA$1001,"★"))</f>
        <v/>
      </c>
      <c r="G297" s="6">
        <f>IF(B297="","",SUMIFS('2.현장'!$AB$2:$AB$1001,'2.현장'!$V$2:$V$1001,B297,'2.현장'!$T$2:$T$1001,TRUE))</f>
        <v/>
      </c>
      <c r="H297" s="5">
        <f>IF(B297="","",_xlfn.MAXIFS('2.현장'!$D$2:$D$1001,'2.현장'!$V$2:$V$1001,B297,'2.현장'!$T$2:$T$1001,TRUE))</f>
        <v/>
      </c>
      <c r="I297" s="7">
        <f>IF(B297="","",IF(_xlfn.MAXIFS('2.현장'!$L$2:$L$1001,'2.현장'!$V$2:$V$1001,B297,'2.현장'!$T$2:$T$1001,TRUE)=0,"",_xlfn.MAXIFS('2.현장'!$L$2:$L$1001,'2.현장'!$V$2:$V$1001,B297,'2.현장'!$T$2:$T$1001,TRUE)))</f>
        <v/>
      </c>
      <c r="J297" s="7">
        <f>IF(B297="","",IF(_xlfn.MAXIFS('2.현장'!$M$2:$M$1001,'2.현장'!$V$2:$V$1001,B297,'2.현장'!$T$2:$T$1001,TRUE)=0,"",_xlfn.MAXIFS('2.현장'!$M$2:$M$1001,'2.현장'!$V$2:$V$1001,B297,'2.현장'!$T$2:$T$1001,TRUE)))</f>
        <v/>
      </c>
      <c r="K297">
        <f>IF(B297="","",IFERROR(INDEX('2.현장'!$C$2:$C$1001,IFERROR(MATCH(B297&amp;"|설계사",'2.현장'!$Z$2:$Z$1001,0),IFERROR(MATCH(B297&amp;"|시공사",'2.현장'!$Z$2:$Z$1001,0),MATCH(B297&amp;"|늦음",'2.현장'!$Z$2:$Z$1001,0)))),""))</f>
        <v/>
      </c>
      <c r="L297">
        <f>IF(B297="","",IFERROR(INDEX('2.현장'!$N$2:$N$1001,IFERROR(MATCH(B297&amp;"|설계사",'2.현장'!$Z$2:$Z$1001,0),IFERROR(MATCH(B297&amp;"|시공사",'2.현장'!$Z$2:$Z$1001,0),MATCH(B297&amp;"|늦음",'2.현장'!$Z$2:$Z$1001,0)))),""))</f>
        <v/>
      </c>
      <c r="M297">
        <f>IF(B297="","",IFERROR(VLOOKUP(B297,업체_메모!$A$3:$I$302,2,FALSE)&amp;"",""))</f>
        <v/>
      </c>
      <c r="N297">
        <f>IF(B297="","",IFERROR(VLOOKUP(B297,업체_메모!$A$3:$I$302,4,FALSE)&amp;"",""))</f>
        <v/>
      </c>
      <c r="O297" s="7">
        <f>IF(B297="","",IF(COUNTIF('4.방문기록'!$B$3:$B$502,B297)=0,"",_xlfn.MAXIFS('4.방문기록'!$A$3:$A$502,'4.방문기록'!$B$3:$B$502,B297)))</f>
        <v/>
      </c>
      <c r="P297">
        <f>IF(O297="","",설정!$B$24-O297)</f>
        <v/>
      </c>
      <c r="Q297" s="7">
        <f>IF(B297="","",IF(_xlfn.MAXIFS('4.방문기록'!$F$3:$F$502,'4.방문기록'!$B$3:$B$502,B297)=0,"",_xlfn.MAXIFS('4.방문기록'!$F$3:$F$502,'4.방문기록'!$B$3:$B$502,B297)))</f>
        <v/>
      </c>
      <c r="R297">
        <f>IF(O297="","",IFERROR(INDEX('4.방문기록'!$H$3:$H$502,MATCH(B297&amp;"|"&amp;(O297*1),'4.방문기록'!$I$3:$I$502,0))&amp;"",""))</f>
        <v/>
      </c>
      <c r="S297">
        <f>IF(B297="","",IF(R297="관심 없음","제외",IF(O297="","안 가봄",IF(P297&gt;=설정!$B$20,P297&amp;"일 지남","최근 방문"))))</f>
        <v/>
      </c>
      <c r="T297" s="8">
        <f>IF(B297="","",IF(S297="제외","",IF(AND(설정!$B$21&lt;&gt;"",L297&lt;&gt;설정!$B$21),"",IF(AND(Q297&lt;&gt;"",Q297&gt;N(O297),Q297&lt;=설정!$B$24+7),설정!$B$39+7-(Q297-설정!$B$24),IF(AND(G297&gt;0,OR(S297="안 가봄",RIGHT(S297,2)="지남")),G297+IF(O297="",설정!$B$36,MIN(P297,60)*설정!$B$37)+MIN(N(H297)/1000*설정!$B$38,20),"")))))</f>
        <v/>
      </c>
      <c r="U297">
        <f>IF(T297="","",COUNTIF(T$4:T$303,"&gt;"&amp;T297)+COUNTIF(T$4:T297,T297))</f>
        <v/>
      </c>
    </row>
    <row r="298">
      <c r="A298">
        <f>IF(B298="","",295)</f>
        <v/>
      </c>
      <c r="B298">
        <f>IFERROR(INDEX('2.현장'!$V$2:$V$1001,MATCH(295,'2.현장'!$W$2:$W$1001,0)),"")</f>
        <v/>
      </c>
      <c r="C298">
        <f>IF(B298="","",COUNTIFS('2.현장'!$V$2:$V$1001,B298,'2.현장'!$T$2:$T$1001,TRUE))</f>
        <v/>
      </c>
      <c r="D298">
        <f>IF(B298="","",COUNTIFS('2.현장'!$V$2:$V$1001,B298,'2.현장'!$U$2:$U$1001,"설계사"))</f>
        <v/>
      </c>
      <c r="E298">
        <f>IF(B298="","",COUNTIFS('2.현장'!$V$2:$V$1001,B298,'2.현장'!$U$2:$U$1001,"시공사"))</f>
        <v/>
      </c>
      <c r="F298">
        <f>IF(B298="","",COUNTIFS('2.현장'!$V$2:$V$1001,B298,'2.현장'!$T$2:$T$1001,TRUE,'2.현장'!$AA$2:$AA$1001,"★"))</f>
        <v/>
      </c>
      <c r="G298" s="6">
        <f>IF(B298="","",SUMIFS('2.현장'!$AB$2:$AB$1001,'2.현장'!$V$2:$V$1001,B298,'2.현장'!$T$2:$T$1001,TRUE))</f>
        <v/>
      </c>
      <c r="H298" s="5">
        <f>IF(B298="","",_xlfn.MAXIFS('2.현장'!$D$2:$D$1001,'2.현장'!$V$2:$V$1001,B298,'2.현장'!$T$2:$T$1001,TRUE))</f>
        <v/>
      </c>
      <c r="I298" s="7">
        <f>IF(B298="","",IF(_xlfn.MAXIFS('2.현장'!$L$2:$L$1001,'2.현장'!$V$2:$V$1001,B298,'2.현장'!$T$2:$T$1001,TRUE)=0,"",_xlfn.MAXIFS('2.현장'!$L$2:$L$1001,'2.현장'!$V$2:$V$1001,B298,'2.현장'!$T$2:$T$1001,TRUE)))</f>
        <v/>
      </c>
      <c r="J298" s="7">
        <f>IF(B298="","",IF(_xlfn.MAXIFS('2.현장'!$M$2:$M$1001,'2.현장'!$V$2:$V$1001,B298,'2.현장'!$T$2:$T$1001,TRUE)=0,"",_xlfn.MAXIFS('2.현장'!$M$2:$M$1001,'2.현장'!$V$2:$V$1001,B298,'2.현장'!$T$2:$T$1001,TRUE)))</f>
        <v/>
      </c>
      <c r="K298">
        <f>IF(B298="","",IFERROR(INDEX('2.현장'!$C$2:$C$1001,IFERROR(MATCH(B298&amp;"|설계사",'2.현장'!$Z$2:$Z$1001,0),IFERROR(MATCH(B298&amp;"|시공사",'2.현장'!$Z$2:$Z$1001,0),MATCH(B298&amp;"|늦음",'2.현장'!$Z$2:$Z$1001,0)))),""))</f>
        <v/>
      </c>
      <c r="L298">
        <f>IF(B298="","",IFERROR(INDEX('2.현장'!$N$2:$N$1001,IFERROR(MATCH(B298&amp;"|설계사",'2.현장'!$Z$2:$Z$1001,0),IFERROR(MATCH(B298&amp;"|시공사",'2.현장'!$Z$2:$Z$1001,0),MATCH(B298&amp;"|늦음",'2.현장'!$Z$2:$Z$1001,0)))),""))</f>
        <v/>
      </c>
      <c r="M298">
        <f>IF(B298="","",IFERROR(VLOOKUP(B298,업체_메모!$A$3:$I$302,2,FALSE)&amp;"",""))</f>
        <v/>
      </c>
      <c r="N298">
        <f>IF(B298="","",IFERROR(VLOOKUP(B298,업체_메모!$A$3:$I$302,4,FALSE)&amp;"",""))</f>
        <v/>
      </c>
      <c r="O298" s="7">
        <f>IF(B298="","",IF(COUNTIF('4.방문기록'!$B$3:$B$502,B298)=0,"",_xlfn.MAXIFS('4.방문기록'!$A$3:$A$502,'4.방문기록'!$B$3:$B$502,B298)))</f>
        <v/>
      </c>
      <c r="P298">
        <f>IF(O298="","",설정!$B$24-O298)</f>
        <v/>
      </c>
      <c r="Q298" s="7">
        <f>IF(B298="","",IF(_xlfn.MAXIFS('4.방문기록'!$F$3:$F$502,'4.방문기록'!$B$3:$B$502,B298)=0,"",_xlfn.MAXIFS('4.방문기록'!$F$3:$F$502,'4.방문기록'!$B$3:$B$502,B298)))</f>
        <v/>
      </c>
      <c r="R298">
        <f>IF(O298="","",IFERROR(INDEX('4.방문기록'!$H$3:$H$502,MATCH(B298&amp;"|"&amp;(O298*1),'4.방문기록'!$I$3:$I$502,0))&amp;"",""))</f>
        <v/>
      </c>
      <c r="S298">
        <f>IF(B298="","",IF(R298="관심 없음","제외",IF(O298="","안 가봄",IF(P298&gt;=설정!$B$20,P298&amp;"일 지남","최근 방문"))))</f>
        <v/>
      </c>
      <c r="T298" s="8">
        <f>IF(B298="","",IF(S298="제외","",IF(AND(설정!$B$21&lt;&gt;"",L298&lt;&gt;설정!$B$21),"",IF(AND(Q298&lt;&gt;"",Q298&gt;N(O298),Q298&lt;=설정!$B$24+7),설정!$B$39+7-(Q298-설정!$B$24),IF(AND(G298&gt;0,OR(S298="안 가봄",RIGHT(S298,2)="지남")),G298+IF(O298="",설정!$B$36,MIN(P298,60)*설정!$B$37)+MIN(N(H298)/1000*설정!$B$38,20),"")))))</f>
        <v/>
      </c>
      <c r="U298">
        <f>IF(T298="","",COUNTIF(T$4:T$303,"&gt;"&amp;T298)+COUNTIF(T$4:T298,T298))</f>
        <v/>
      </c>
    </row>
    <row r="299">
      <c r="A299">
        <f>IF(B299="","",296)</f>
        <v/>
      </c>
      <c r="B299">
        <f>IFERROR(INDEX('2.현장'!$V$2:$V$1001,MATCH(296,'2.현장'!$W$2:$W$1001,0)),"")</f>
        <v/>
      </c>
      <c r="C299">
        <f>IF(B299="","",COUNTIFS('2.현장'!$V$2:$V$1001,B299,'2.현장'!$T$2:$T$1001,TRUE))</f>
        <v/>
      </c>
      <c r="D299">
        <f>IF(B299="","",COUNTIFS('2.현장'!$V$2:$V$1001,B299,'2.현장'!$U$2:$U$1001,"설계사"))</f>
        <v/>
      </c>
      <c r="E299">
        <f>IF(B299="","",COUNTIFS('2.현장'!$V$2:$V$1001,B299,'2.현장'!$U$2:$U$1001,"시공사"))</f>
        <v/>
      </c>
      <c r="F299">
        <f>IF(B299="","",COUNTIFS('2.현장'!$V$2:$V$1001,B299,'2.현장'!$T$2:$T$1001,TRUE,'2.현장'!$AA$2:$AA$1001,"★"))</f>
        <v/>
      </c>
      <c r="G299" s="6">
        <f>IF(B299="","",SUMIFS('2.현장'!$AB$2:$AB$1001,'2.현장'!$V$2:$V$1001,B299,'2.현장'!$T$2:$T$1001,TRUE))</f>
        <v/>
      </c>
      <c r="H299" s="5">
        <f>IF(B299="","",_xlfn.MAXIFS('2.현장'!$D$2:$D$1001,'2.현장'!$V$2:$V$1001,B299,'2.현장'!$T$2:$T$1001,TRUE))</f>
        <v/>
      </c>
      <c r="I299" s="7">
        <f>IF(B299="","",IF(_xlfn.MAXIFS('2.현장'!$L$2:$L$1001,'2.현장'!$V$2:$V$1001,B299,'2.현장'!$T$2:$T$1001,TRUE)=0,"",_xlfn.MAXIFS('2.현장'!$L$2:$L$1001,'2.현장'!$V$2:$V$1001,B299,'2.현장'!$T$2:$T$1001,TRUE)))</f>
        <v/>
      </c>
      <c r="J299" s="7">
        <f>IF(B299="","",IF(_xlfn.MAXIFS('2.현장'!$M$2:$M$1001,'2.현장'!$V$2:$V$1001,B299,'2.현장'!$T$2:$T$1001,TRUE)=0,"",_xlfn.MAXIFS('2.현장'!$M$2:$M$1001,'2.현장'!$V$2:$V$1001,B299,'2.현장'!$T$2:$T$1001,TRUE)))</f>
        <v/>
      </c>
      <c r="K299">
        <f>IF(B299="","",IFERROR(INDEX('2.현장'!$C$2:$C$1001,IFERROR(MATCH(B299&amp;"|설계사",'2.현장'!$Z$2:$Z$1001,0),IFERROR(MATCH(B299&amp;"|시공사",'2.현장'!$Z$2:$Z$1001,0),MATCH(B299&amp;"|늦음",'2.현장'!$Z$2:$Z$1001,0)))),""))</f>
        <v/>
      </c>
      <c r="L299">
        <f>IF(B299="","",IFERROR(INDEX('2.현장'!$N$2:$N$1001,IFERROR(MATCH(B299&amp;"|설계사",'2.현장'!$Z$2:$Z$1001,0),IFERROR(MATCH(B299&amp;"|시공사",'2.현장'!$Z$2:$Z$1001,0),MATCH(B299&amp;"|늦음",'2.현장'!$Z$2:$Z$1001,0)))),""))</f>
        <v/>
      </c>
      <c r="M299">
        <f>IF(B299="","",IFERROR(VLOOKUP(B299,업체_메모!$A$3:$I$302,2,FALSE)&amp;"",""))</f>
        <v/>
      </c>
      <c r="N299">
        <f>IF(B299="","",IFERROR(VLOOKUP(B299,업체_메모!$A$3:$I$302,4,FALSE)&amp;"",""))</f>
        <v/>
      </c>
      <c r="O299" s="7">
        <f>IF(B299="","",IF(COUNTIF('4.방문기록'!$B$3:$B$502,B299)=0,"",_xlfn.MAXIFS('4.방문기록'!$A$3:$A$502,'4.방문기록'!$B$3:$B$502,B299)))</f>
        <v/>
      </c>
      <c r="P299">
        <f>IF(O299="","",설정!$B$24-O299)</f>
        <v/>
      </c>
      <c r="Q299" s="7">
        <f>IF(B299="","",IF(_xlfn.MAXIFS('4.방문기록'!$F$3:$F$502,'4.방문기록'!$B$3:$B$502,B299)=0,"",_xlfn.MAXIFS('4.방문기록'!$F$3:$F$502,'4.방문기록'!$B$3:$B$502,B299)))</f>
        <v/>
      </c>
      <c r="R299">
        <f>IF(O299="","",IFERROR(INDEX('4.방문기록'!$H$3:$H$502,MATCH(B299&amp;"|"&amp;(O299*1),'4.방문기록'!$I$3:$I$502,0))&amp;"",""))</f>
        <v/>
      </c>
      <c r="S299">
        <f>IF(B299="","",IF(R299="관심 없음","제외",IF(O299="","안 가봄",IF(P299&gt;=설정!$B$20,P299&amp;"일 지남","최근 방문"))))</f>
        <v/>
      </c>
      <c r="T299" s="8">
        <f>IF(B299="","",IF(S299="제외","",IF(AND(설정!$B$21&lt;&gt;"",L299&lt;&gt;설정!$B$21),"",IF(AND(Q299&lt;&gt;"",Q299&gt;N(O299),Q299&lt;=설정!$B$24+7),설정!$B$39+7-(Q299-설정!$B$24),IF(AND(G299&gt;0,OR(S299="안 가봄",RIGHT(S299,2)="지남")),G299+IF(O299="",설정!$B$36,MIN(P299,60)*설정!$B$37)+MIN(N(H299)/1000*설정!$B$38,20),"")))))</f>
        <v/>
      </c>
      <c r="U299">
        <f>IF(T299="","",COUNTIF(T$4:T$303,"&gt;"&amp;T299)+COUNTIF(T$4:T299,T299))</f>
        <v/>
      </c>
    </row>
    <row r="300">
      <c r="A300">
        <f>IF(B300="","",297)</f>
        <v/>
      </c>
      <c r="B300">
        <f>IFERROR(INDEX('2.현장'!$V$2:$V$1001,MATCH(297,'2.현장'!$W$2:$W$1001,0)),"")</f>
        <v/>
      </c>
      <c r="C300">
        <f>IF(B300="","",COUNTIFS('2.현장'!$V$2:$V$1001,B300,'2.현장'!$T$2:$T$1001,TRUE))</f>
        <v/>
      </c>
      <c r="D300">
        <f>IF(B300="","",COUNTIFS('2.현장'!$V$2:$V$1001,B300,'2.현장'!$U$2:$U$1001,"설계사"))</f>
        <v/>
      </c>
      <c r="E300">
        <f>IF(B300="","",COUNTIFS('2.현장'!$V$2:$V$1001,B300,'2.현장'!$U$2:$U$1001,"시공사"))</f>
        <v/>
      </c>
      <c r="F300">
        <f>IF(B300="","",COUNTIFS('2.현장'!$V$2:$V$1001,B300,'2.현장'!$T$2:$T$1001,TRUE,'2.현장'!$AA$2:$AA$1001,"★"))</f>
        <v/>
      </c>
      <c r="G300" s="6">
        <f>IF(B300="","",SUMIFS('2.현장'!$AB$2:$AB$1001,'2.현장'!$V$2:$V$1001,B300,'2.현장'!$T$2:$T$1001,TRUE))</f>
        <v/>
      </c>
      <c r="H300" s="5">
        <f>IF(B300="","",_xlfn.MAXIFS('2.현장'!$D$2:$D$1001,'2.현장'!$V$2:$V$1001,B300,'2.현장'!$T$2:$T$1001,TRUE))</f>
        <v/>
      </c>
      <c r="I300" s="7">
        <f>IF(B300="","",IF(_xlfn.MAXIFS('2.현장'!$L$2:$L$1001,'2.현장'!$V$2:$V$1001,B300,'2.현장'!$T$2:$T$1001,TRUE)=0,"",_xlfn.MAXIFS('2.현장'!$L$2:$L$1001,'2.현장'!$V$2:$V$1001,B300,'2.현장'!$T$2:$T$1001,TRUE)))</f>
        <v/>
      </c>
      <c r="J300" s="7">
        <f>IF(B300="","",IF(_xlfn.MAXIFS('2.현장'!$M$2:$M$1001,'2.현장'!$V$2:$V$1001,B300,'2.현장'!$T$2:$T$1001,TRUE)=0,"",_xlfn.MAXIFS('2.현장'!$M$2:$M$1001,'2.현장'!$V$2:$V$1001,B300,'2.현장'!$T$2:$T$1001,TRUE)))</f>
        <v/>
      </c>
      <c r="K300">
        <f>IF(B300="","",IFERROR(INDEX('2.현장'!$C$2:$C$1001,IFERROR(MATCH(B300&amp;"|설계사",'2.현장'!$Z$2:$Z$1001,0),IFERROR(MATCH(B300&amp;"|시공사",'2.현장'!$Z$2:$Z$1001,0),MATCH(B300&amp;"|늦음",'2.현장'!$Z$2:$Z$1001,0)))),""))</f>
        <v/>
      </c>
      <c r="L300">
        <f>IF(B300="","",IFERROR(INDEX('2.현장'!$N$2:$N$1001,IFERROR(MATCH(B300&amp;"|설계사",'2.현장'!$Z$2:$Z$1001,0),IFERROR(MATCH(B300&amp;"|시공사",'2.현장'!$Z$2:$Z$1001,0),MATCH(B300&amp;"|늦음",'2.현장'!$Z$2:$Z$1001,0)))),""))</f>
        <v/>
      </c>
      <c r="M300">
        <f>IF(B300="","",IFERROR(VLOOKUP(B300,업체_메모!$A$3:$I$302,2,FALSE)&amp;"",""))</f>
        <v/>
      </c>
      <c r="N300">
        <f>IF(B300="","",IFERROR(VLOOKUP(B300,업체_메모!$A$3:$I$302,4,FALSE)&amp;"",""))</f>
        <v/>
      </c>
      <c r="O300" s="7">
        <f>IF(B300="","",IF(COUNTIF('4.방문기록'!$B$3:$B$502,B300)=0,"",_xlfn.MAXIFS('4.방문기록'!$A$3:$A$502,'4.방문기록'!$B$3:$B$502,B300)))</f>
        <v/>
      </c>
      <c r="P300">
        <f>IF(O300="","",설정!$B$24-O300)</f>
        <v/>
      </c>
      <c r="Q300" s="7">
        <f>IF(B300="","",IF(_xlfn.MAXIFS('4.방문기록'!$F$3:$F$502,'4.방문기록'!$B$3:$B$502,B300)=0,"",_xlfn.MAXIFS('4.방문기록'!$F$3:$F$502,'4.방문기록'!$B$3:$B$502,B300)))</f>
        <v/>
      </c>
      <c r="R300">
        <f>IF(O300="","",IFERROR(INDEX('4.방문기록'!$H$3:$H$502,MATCH(B300&amp;"|"&amp;(O300*1),'4.방문기록'!$I$3:$I$502,0))&amp;"",""))</f>
        <v/>
      </c>
      <c r="S300">
        <f>IF(B300="","",IF(R300="관심 없음","제외",IF(O300="","안 가봄",IF(P300&gt;=설정!$B$20,P300&amp;"일 지남","최근 방문"))))</f>
        <v/>
      </c>
      <c r="T300" s="8">
        <f>IF(B300="","",IF(S300="제외","",IF(AND(설정!$B$21&lt;&gt;"",L300&lt;&gt;설정!$B$21),"",IF(AND(Q300&lt;&gt;"",Q300&gt;N(O300),Q300&lt;=설정!$B$24+7),설정!$B$39+7-(Q300-설정!$B$24),IF(AND(G300&gt;0,OR(S300="안 가봄",RIGHT(S300,2)="지남")),G300+IF(O300="",설정!$B$36,MIN(P300,60)*설정!$B$37)+MIN(N(H300)/1000*설정!$B$38,20),"")))))</f>
        <v/>
      </c>
      <c r="U300">
        <f>IF(T300="","",COUNTIF(T$4:T$303,"&gt;"&amp;T300)+COUNTIF(T$4:T300,T300))</f>
        <v/>
      </c>
    </row>
    <row r="301">
      <c r="A301">
        <f>IF(B301="","",298)</f>
        <v/>
      </c>
      <c r="B301">
        <f>IFERROR(INDEX('2.현장'!$V$2:$V$1001,MATCH(298,'2.현장'!$W$2:$W$1001,0)),"")</f>
        <v/>
      </c>
      <c r="C301">
        <f>IF(B301="","",COUNTIFS('2.현장'!$V$2:$V$1001,B301,'2.현장'!$T$2:$T$1001,TRUE))</f>
        <v/>
      </c>
      <c r="D301">
        <f>IF(B301="","",COUNTIFS('2.현장'!$V$2:$V$1001,B301,'2.현장'!$U$2:$U$1001,"설계사"))</f>
        <v/>
      </c>
      <c r="E301">
        <f>IF(B301="","",COUNTIFS('2.현장'!$V$2:$V$1001,B301,'2.현장'!$U$2:$U$1001,"시공사"))</f>
        <v/>
      </c>
      <c r="F301">
        <f>IF(B301="","",COUNTIFS('2.현장'!$V$2:$V$1001,B301,'2.현장'!$T$2:$T$1001,TRUE,'2.현장'!$AA$2:$AA$1001,"★"))</f>
        <v/>
      </c>
      <c r="G301" s="6">
        <f>IF(B301="","",SUMIFS('2.현장'!$AB$2:$AB$1001,'2.현장'!$V$2:$V$1001,B301,'2.현장'!$T$2:$T$1001,TRUE))</f>
        <v/>
      </c>
      <c r="H301" s="5">
        <f>IF(B301="","",_xlfn.MAXIFS('2.현장'!$D$2:$D$1001,'2.현장'!$V$2:$V$1001,B301,'2.현장'!$T$2:$T$1001,TRUE))</f>
        <v/>
      </c>
      <c r="I301" s="7">
        <f>IF(B301="","",IF(_xlfn.MAXIFS('2.현장'!$L$2:$L$1001,'2.현장'!$V$2:$V$1001,B301,'2.현장'!$T$2:$T$1001,TRUE)=0,"",_xlfn.MAXIFS('2.현장'!$L$2:$L$1001,'2.현장'!$V$2:$V$1001,B301,'2.현장'!$T$2:$T$1001,TRUE)))</f>
        <v/>
      </c>
      <c r="J301" s="7">
        <f>IF(B301="","",IF(_xlfn.MAXIFS('2.현장'!$M$2:$M$1001,'2.현장'!$V$2:$V$1001,B301,'2.현장'!$T$2:$T$1001,TRUE)=0,"",_xlfn.MAXIFS('2.현장'!$M$2:$M$1001,'2.현장'!$V$2:$V$1001,B301,'2.현장'!$T$2:$T$1001,TRUE)))</f>
        <v/>
      </c>
      <c r="K301">
        <f>IF(B301="","",IFERROR(INDEX('2.현장'!$C$2:$C$1001,IFERROR(MATCH(B301&amp;"|설계사",'2.현장'!$Z$2:$Z$1001,0),IFERROR(MATCH(B301&amp;"|시공사",'2.현장'!$Z$2:$Z$1001,0),MATCH(B301&amp;"|늦음",'2.현장'!$Z$2:$Z$1001,0)))),""))</f>
        <v/>
      </c>
      <c r="L301">
        <f>IF(B301="","",IFERROR(INDEX('2.현장'!$N$2:$N$1001,IFERROR(MATCH(B301&amp;"|설계사",'2.현장'!$Z$2:$Z$1001,0),IFERROR(MATCH(B301&amp;"|시공사",'2.현장'!$Z$2:$Z$1001,0),MATCH(B301&amp;"|늦음",'2.현장'!$Z$2:$Z$1001,0)))),""))</f>
        <v/>
      </c>
      <c r="M301">
        <f>IF(B301="","",IFERROR(VLOOKUP(B301,업체_메모!$A$3:$I$302,2,FALSE)&amp;"",""))</f>
        <v/>
      </c>
      <c r="N301">
        <f>IF(B301="","",IFERROR(VLOOKUP(B301,업체_메모!$A$3:$I$302,4,FALSE)&amp;"",""))</f>
        <v/>
      </c>
      <c r="O301" s="7">
        <f>IF(B301="","",IF(COUNTIF('4.방문기록'!$B$3:$B$502,B301)=0,"",_xlfn.MAXIFS('4.방문기록'!$A$3:$A$502,'4.방문기록'!$B$3:$B$502,B301)))</f>
        <v/>
      </c>
      <c r="P301">
        <f>IF(O301="","",설정!$B$24-O301)</f>
        <v/>
      </c>
      <c r="Q301" s="7">
        <f>IF(B301="","",IF(_xlfn.MAXIFS('4.방문기록'!$F$3:$F$502,'4.방문기록'!$B$3:$B$502,B301)=0,"",_xlfn.MAXIFS('4.방문기록'!$F$3:$F$502,'4.방문기록'!$B$3:$B$502,B301)))</f>
        <v/>
      </c>
      <c r="R301">
        <f>IF(O301="","",IFERROR(INDEX('4.방문기록'!$H$3:$H$502,MATCH(B301&amp;"|"&amp;(O301*1),'4.방문기록'!$I$3:$I$502,0))&amp;"",""))</f>
        <v/>
      </c>
      <c r="S301">
        <f>IF(B301="","",IF(R301="관심 없음","제외",IF(O301="","안 가봄",IF(P301&gt;=설정!$B$20,P301&amp;"일 지남","최근 방문"))))</f>
        <v/>
      </c>
      <c r="T301" s="8">
        <f>IF(B301="","",IF(S301="제외","",IF(AND(설정!$B$21&lt;&gt;"",L301&lt;&gt;설정!$B$21),"",IF(AND(Q301&lt;&gt;"",Q301&gt;N(O301),Q301&lt;=설정!$B$24+7),설정!$B$39+7-(Q301-설정!$B$24),IF(AND(G301&gt;0,OR(S301="안 가봄",RIGHT(S301,2)="지남")),G301+IF(O301="",설정!$B$36,MIN(P301,60)*설정!$B$37)+MIN(N(H301)/1000*설정!$B$38,20),"")))))</f>
        <v/>
      </c>
      <c r="U301">
        <f>IF(T301="","",COUNTIF(T$4:T$303,"&gt;"&amp;T301)+COUNTIF(T$4:T301,T301))</f>
        <v/>
      </c>
    </row>
    <row r="302">
      <c r="A302">
        <f>IF(B302="","",299)</f>
        <v/>
      </c>
      <c r="B302">
        <f>IFERROR(INDEX('2.현장'!$V$2:$V$1001,MATCH(299,'2.현장'!$W$2:$W$1001,0)),"")</f>
        <v/>
      </c>
      <c r="C302">
        <f>IF(B302="","",COUNTIFS('2.현장'!$V$2:$V$1001,B302,'2.현장'!$T$2:$T$1001,TRUE))</f>
        <v/>
      </c>
      <c r="D302">
        <f>IF(B302="","",COUNTIFS('2.현장'!$V$2:$V$1001,B302,'2.현장'!$U$2:$U$1001,"설계사"))</f>
        <v/>
      </c>
      <c r="E302">
        <f>IF(B302="","",COUNTIFS('2.현장'!$V$2:$V$1001,B302,'2.현장'!$U$2:$U$1001,"시공사"))</f>
        <v/>
      </c>
      <c r="F302">
        <f>IF(B302="","",COUNTIFS('2.현장'!$V$2:$V$1001,B302,'2.현장'!$T$2:$T$1001,TRUE,'2.현장'!$AA$2:$AA$1001,"★"))</f>
        <v/>
      </c>
      <c r="G302" s="6">
        <f>IF(B302="","",SUMIFS('2.현장'!$AB$2:$AB$1001,'2.현장'!$V$2:$V$1001,B302,'2.현장'!$T$2:$T$1001,TRUE))</f>
        <v/>
      </c>
      <c r="H302" s="5">
        <f>IF(B302="","",_xlfn.MAXIFS('2.현장'!$D$2:$D$1001,'2.현장'!$V$2:$V$1001,B302,'2.현장'!$T$2:$T$1001,TRUE))</f>
        <v/>
      </c>
      <c r="I302" s="7">
        <f>IF(B302="","",IF(_xlfn.MAXIFS('2.현장'!$L$2:$L$1001,'2.현장'!$V$2:$V$1001,B302,'2.현장'!$T$2:$T$1001,TRUE)=0,"",_xlfn.MAXIFS('2.현장'!$L$2:$L$1001,'2.현장'!$V$2:$V$1001,B302,'2.현장'!$T$2:$T$1001,TRUE)))</f>
        <v/>
      </c>
      <c r="J302" s="7">
        <f>IF(B302="","",IF(_xlfn.MAXIFS('2.현장'!$M$2:$M$1001,'2.현장'!$V$2:$V$1001,B302,'2.현장'!$T$2:$T$1001,TRUE)=0,"",_xlfn.MAXIFS('2.현장'!$M$2:$M$1001,'2.현장'!$V$2:$V$1001,B302,'2.현장'!$T$2:$T$1001,TRUE)))</f>
        <v/>
      </c>
      <c r="K302">
        <f>IF(B302="","",IFERROR(INDEX('2.현장'!$C$2:$C$1001,IFERROR(MATCH(B302&amp;"|설계사",'2.현장'!$Z$2:$Z$1001,0),IFERROR(MATCH(B302&amp;"|시공사",'2.현장'!$Z$2:$Z$1001,0),MATCH(B302&amp;"|늦음",'2.현장'!$Z$2:$Z$1001,0)))),""))</f>
        <v/>
      </c>
      <c r="L302">
        <f>IF(B302="","",IFERROR(INDEX('2.현장'!$N$2:$N$1001,IFERROR(MATCH(B302&amp;"|설계사",'2.현장'!$Z$2:$Z$1001,0),IFERROR(MATCH(B302&amp;"|시공사",'2.현장'!$Z$2:$Z$1001,0),MATCH(B302&amp;"|늦음",'2.현장'!$Z$2:$Z$1001,0)))),""))</f>
        <v/>
      </c>
      <c r="M302">
        <f>IF(B302="","",IFERROR(VLOOKUP(B302,업체_메모!$A$3:$I$302,2,FALSE)&amp;"",""))</f>
        <v/>
      </c>
      <c r="N302">
        <f>IF(B302="","",IFERROR(VLOOKUP(B302,업체_메모!$A$3:$I$302,4,FALSE)&amp;"",""))</f>
        <v/>
      </c>
      <c r="O302" s="7">
        <f>IF(B302="","",IF(COUNTIF('4.방문기록'!$B$3:$B$502,B302)=0,"",_xlfn.MAXIFS('4.방문기록'!$A$3:$A$502,'4.방문기록'!$B$3:$B$502,B302)))</f>
        <v/>
      </c>
      <c r="P302">
        <f>IF(O302="","",설정!$B$24-O302)</f>
        <v/>
      </c>
      <c r="Q302" s="7">
        <f>IF(B302="","",IF(_xlfn.MAXIFS('4.방문기록'!$F$3:$F$502,'4.방문기록'!$B$3:$B$502,B302)=0,"",_xlfn.MAXIFS('4.방문기록'!$F$3:$F$502,'4.방문기록'!$B$3:$B$502,B302)))</f>
        <v/>
      </c>
      <c r="R302">
        <f>IF(O302="","",IFERROR(INDEX('4.방문기록'!$H$3:$H$502,MATCH(B302&amp;"|"&amp;(O302*1),'4.방문기록'!$I$3:$I$502,0))&amp;"",""))</f>
        <v/>
      </c>
      <c r="S302">
        <f>IF(B302="","",IF(R302="관심 없음","제외",IF(O302="","안 가봄",IF(P302&gt;=설정!$B$20,P302&amp;"일 지남","최근 방문"))))</f>
        <v/>
      </c>
      <c r="T302" s="8">
        <f>IF(B302="","",IF(S302="제외","",IF(AND(설정!$B$21&lt;&gt;"",L302&lt;&gt;설정!$B$21),"",IF(AND(Q302&lt;&gt;"",Q302&gt;N(O302),Q302&lt;=설정!$B$24+7),설정!$B$39+7-(Q302-설정!$B$24),IF(AND(G302&gt;0,OR(S302="안 가봄",RIGHT(S302,2)="지남")),G302+IF(O302="",설정!$B$36,MIN(P302,60)*설정!$B$37)+MIN(N(H302)/1000*설정!$B$38,20),"")))))</f>
        <v/>
      </c>
      <c r="U302">
        <f>IF(T302="","",COUNTIF(T$4:T$303,"&gt;"&amp;T302)+COUNTIF(T$4:T302,T302))</f>
        <v/>
      </c>
    </row>
    <row r="303">
      <c r="A303">
        <f>IF(B303="","",300)</f>
        <v/>
      </c>
      <c r="B303">
        <f>IFERROR(INDEX('2.현장'!$V$2:$V$1001,MATCH(300,'2.현장'!$W$2:$W$1001,0)),"")</f>
        <v/>
      </c>
      <c r="C303">
        <f>IF(B303="","",COUNTIFS('2.현장'!$V$2:$V$1001,B303,'2.현장'!$T$2:$T$1001,TRUE))</f>
        <v/>
      </c>
      <c r="D303">
        <f>IF(B303="","",COUNTIFS('2.현장'!$V$2:$V$1001,B303,'2.현장'!$U$2:$U$1001,"설계사"))</f>
        <v/>
      </c>
      <c r="E303">
        <f>IF(B303="","",COUNTIFS('2.현장'!$V$2:$V$1001,B303,'2.현장'!$U$2:$U$1001,"시공사"))</f>
        <v/>
      </c>
      <c r="F303">
        <f>IF(B303="","",COUNTIFS('2.현장'!$V$2:$V$1001,B303,'2.현장'!$T$2:$T$1001,TRUE,'2.현장'!$AA$2:$AA$1001,"★"))</f>
        <v/>
      </c>
      <c r="G303" s="6">
        <f>IF(B303="","",SUMIFS('2.현장'!$AB$2:$AB$1001,'2.현장'!$V$2:$V$1001,B303,'2.현장'!$T$2:$T$1001,TRUE))</f>
        <v/>
      </c>
      <c r="H303" s="5">
        <f>IF(B303="","",_xlfn.MAXIFS('2.현장'!$D$2:$D$1001,'2.현장'!$V$2:$V$1001,B303,'2.현장'!$T$2:$T$1001,TRUE))</f>
        <v/>
      </c>
      <c r="I303" s="7">
        <f>IF(B303="","",IF(_xlfn.MAXIFS('2.현장'!$L$2:$L$1001,'2.현장'!$V$2:$V$1001,B303,'2.현장'!$T$2:$T$1001,TRUE)=0,"",_xlfn.MAXIFS('2.현장'!$L$2:$L$1001,'2.현장'!$V$2:$V$1001,B303,'2.현장'!$T$2:$T$1001,TRUE)))</f>
        <v/>
      </c>
      <c r="J303" s="7">
        <f>IF(B303="","",IF(_xlfn.MAXIFS('2.현장'!$M$2:$M$1001,'2.현장'!$V$2:$V$1001,B303,'2.현장'!$T$2:$T$1001,TRUE)=0,"",_xlfn.MAXIFS('2.현장'!$M$2:$M$1001,'2.현장'!$V$2:$V$1001,B303,'2.현장'!$T$2:$T$1001,TRUE)))</f>
        <v/>
      </c>
      <c r="K303">
        <f>IF(B303="","",IFERROR(INDEX('2.현장'!$C$2:$C$1001,IFERROR(MATCH(B303&amp;"|설계사",'2.현장'!$Z$2:$Z$1001,0),IFERROR(MATCH(B303&amp;"|시공사",'2.현장'!$Z$2:$Z$1001,0),MATCH(B303&amp;"|늦음",'2.현장'!$Z$2:$Z$1001,0)))),""))</f>
        <v/>
      </c>
      <c r="L303">
        <f>IF(B303="","",IFERROR(INDEX('2.현장'!$N$2:$N$1001,IFERROR(MATCH(B303&amp;"|설계사",'2.현장'!$Z$2:$Z$1001,0),IFERROR(MATCH(B303&amp;"|시공사",'2.현장'!$Z$2:$Z$1001,0),MATCH(B303&amp;"|늦음",'2.현장'!$Z$2:$Z$1001,0)))),""))</f>
        <v/>
      </c>
      <c r="M303">
        <f>IF(B303="","",IFERROR(VLOOKUP(B303,업체_메모!$A$3:$I$302,2,FALSE)&amp;"",""))</f>
        <v/>
      </c>
      <c r="N303">
        <f>IF(B303="","",IFERROR(VLOOKUP(B303,업체_메모!$A$3:$I$302,4,FALSE)&amp;"",""))</f>
        <v/>
      </c>
      <c r="O303" s="7">
        <f>IF(B303="","",IF(COUNTIF('4.방문기록'!$B$3:$B$502,B303)=0,"",_xlfn.MAXIFS('4.방문기록'!$A$3:$A$502,'4.방문기록'!$B$3:$B$502,B303)))</f>
        <v/>
      </c>
      <c r="P303">
        <f>IF(O303="","",설정!$B$24-O303)</f>
        <v/>
      </c>
      <c r="Q303" s="7">
        <f>IF(B303="","",IF(_xlfn.MAXIFS('4.방문기록'!$F$3:$F$502,'4.방문기록'!$B$3:$B$502,B303)=0,"",_xlfn.MAXIFS('4.방문기록'!$F$3:$F$502,'4.방문기록'!$B$3:$B$502,B303)))</f>
        <v/>
      </c>
      <c r="R303">
        <f>IF(O303="","",IFERROR(INDEX('4.방문기록'!$H$3:$H$502,MATCH(B303&amp;"|"&amp;(O303*1),'4.방문기록'!$I$3:$I$502,0))&amp;"",""))</f>
        <v/>
      </c>
      <c r="S303">
        <f>IF(B303="","",IF(R303="관심 없음","제외",IF(O303="","안 가봄",IF(P303&gt;=설정!$B$20,P303&amp;"일 지남","최근 방문"))))</f>
        <v/>
      </c>
      <c r="T303" s="8">
        <f>IF(B303="","",IF(S303="제외","",IF(AND(설정!$B$21&lt;&gt;"",L303&lt;&gt;설정!$B$21),"",IF(AND(Q303&lt;&gt;"",Q303&gt;N(O303),Q303&lt;=설정!$B$24+7),설정!$B$39+7-(Q303-설정!$B$24),IF(AND(G303&gt;0,OR(S303="안 가봄",RIGHT(S303,2)="지남")),G303+IF(O303="",설정!$B$36,MIN(P303,60)*설정!$B$37)+MIN(N(H303)/1000*설정!$B$38,20),"")))))</f>
        <v/>
      </c>
      <c r="U303">
        <f>IF(T303="","",COUNTIF(T$4:T$303,"&gt;"&amp;T303)+COUNTIF(T$4:T303,T303))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6" customWidth="1" min="4" max="4"/>
    <col width="10" customWidth="1" min="5" max="5"/>
    <col width="11" customWidth="1" min="6" max="6"/>
    <col width="28" customWidth="1" min="7" max="7"/>
    <col width="14" customWidth="1" min="8" max="8"/>
    <col width="22" customWidth="1" min="9" max="9"/>
    <col width="10" customWidth="1" min="10" max="10"/>
    <col width="14" customWidth="1" min="11" max="11"/>
    <col width="11" customWidth="1" min="12" max="12"/>
    <col width="6" customWidth="1" min="13" max="13"/>
    <col width="12" customWidth="1" min="14" max="14"/>
    <col width="10" customWidth="1" min="15" max="15"/>
  </cols>
  <sheetData>
    <row r="1">
      <c r="A1" s="1" t="inlineStr">
        <is>
          <t>시공사(또는 발주처)별 모음 (자동) — 착공 현장 영업용. 산군 캡처의 「열J」 가 시공사인지 발주처인지는 미확인</t>
        </is>
      </c>
    </row>
    <row r="2">
      <c r="A2">
        <f>"시공사 "&amp;COUNTIF(B4:B203,"?*")&amp;"곳"</f>
        <v/>
      </c>
    </row>
    <row r="3">
      <c r="A3" s="3" t="inlineStr">
        <is>
          <t>번호</t>
        </is>
      </c>
      <c r="B3" s="3" t="inlineStr">
        <is>
          <t>시공사</t>
        </is>
      </c>
      <c r="C3" s="3" t="inlineStr">
        <is>
          <t>대상 현장</t>
        </is>
      </c>
      <c r="D3" s="3" t="inlineStr">
        <is>
          <t>★ 수</t>
        </is>
      </c>
      <c r="E3" s="3" t="inlineStr">
        <is>
          <t>최대 연면적</t>
        </is>
      </c>
      <c r="F3" s="3" t="inlineStr">
        <is>
          <t>최근 착공일</t>
        </is>
      </c>
      <c r="G3" s="3" t="inlineStr">
        <is>
          <t>대표 현장</t>
        </is>
      </c>
      <c r="H3" s="3" t="inlineStr">
        <is>
          <t>지역</t>
        </is>
      </c>
      <c r="I3" s="3" t="inlineStr">
        <is>
          <t>설계사(같은 현장)</t>
        </is>
      </c>
      <c r="J3" s="3" t="inlineStr">
        <is>
          <t>담당자</t>
        </is>
      </c>
      <c r="K3" s="3" t="inlineStr">
        <is>
          <t>전화</t>
        </is>
      </c>
      <c r="L3" s="3" t="inlineStr">
        <is>
          <t>마지막 방문</t>
        </is>
      </c>
      <c r="M3" s="3" t="inlineStr">
        <is>
          <t>경과일</t>
        </is>
      </c>
      <c r="N3" s="3" t="inlineStr">
        <is>
          <t>최근 결과</t>
        </is>
      </c>
      <c r="O3" s="3" t="inlineStr">
        <is>
          <t>상태</t>
        </is>
      </c>
    </row>
    <row r="4">
      <c r="A4">
        <f>IF(B4="","",1)</f>
        <v/>
      </c>
      <c r="B4">
        <f>IFERROR(INDEX('2.현장'!$AC$2:$AC$1001,MATCH(1,'2.현장'!$AD$2:$AD$1001,0)),"")</f>
        <v/>
      </c>
      <c r="C4">
        <f>IF(B4="","",COUNTIFS('2.현장'!$AC$2:$AC$1001,B4,'2.현장'!$T$2:$T$1001,TRUE))</f>
        <v/>
      </c>
      <c r="D4">
        <f>IF(B4="","",COUNTIFS('2.현장'!$AC$2:$AC$1001,B4,'2.현장'!$T$2:$T$1001,TRUE,'2.현장'!$AA$2:$AA$1001,"★"))</f>
        <v/>
      </c>
      <c r="E4" s="5">
        <f>IF(B4="","",_xlfn.MAXIFS('2.현장'!$D$2:$D$1001,'2.현장'!$AC$2:$AC$1001,B4,'2.현장'!$T$2:$T$1001,TRUE))</f>
        <v/>
      </c>
      <c r="F4" s="7">
        <f>IF(B4="","",IF(_xlfn.MAXIFS('2.현장'!$M$2:$M$1001,'2.현장'!$AC$2:$AC$1001,B4,'2.현장'!$T$2:$T$1001,TRUE)=0,"",_xlfn.MAXIFS('2.현장'!$M$2:$M$1001,'2.현장'!$AC$2:$AC$1001,B4,'2.현장'!$T$2:$T$1001,TRUE)))</f>
        <v/>
      </c>
      <c r="G4">
        <f>IF(B4="","",IFERROR(INDEX('2.현장'!$C$2:$C$1001,MATCH(1,'2.현장'!$AD$2:$AD$1001,0)),""))</f>
        <v/>
      </c>
      <c r="H4">
        <f>IF(B4="","",IFERROR(INDEX('2.현장'!$N$2:$N$1001,MATCH(1,'2.현장'!$AD$2:$AD$1001,0)),""))</f>
        <v/>
      </c>
      <c r="I4">
        <f>IF(B4="","",IFERROR(INDEX('2.현장'!$G$2:$G$1001,MATCH(1,'2.현장'!$AD$2:$AD$1001,0)),""))</f>
        <v/>
      </c>
      <c r="J4">
        <f>IF(B4="","",IFERROR(VLOOKUP(B4,업체_메모!$A$3:$I$302,2,FALSE)&amp;"",""))</f>
        <v/>
      </c>
      <c r="K4">
        <f>IF(B4="","",IFERROR(VLOOKUP(B4,업체_메모!$A$3:$I$302,4,FALSE)&amp;"",""))</f>
        <v/>
      </c>
      <c r="L4" s="7">
        <f>IF(B4="","",IF(COUNTIF('4.방문기록'!$B$3:$B$502,B4)=0,"",_xlfn.MAXIFS('4.방문기록'!$A$3:$A$502,'4.방문기록'!$B$3:$B$502,B4)))</f>
        <v/>
      </c>
      <c r="M4">
        <f>IF(L4="","",설정!$B$24-L4)</f>
        <v/>
      </c>
      <c r="N4">
        <f>IF(L4="","",IFERROR(INDEX('4.방문기록'!$H$3:$H$502,MATCH(B4&amp;"|"&amp;(L4*1),'4.방문기록'!$I$3:$I$502,0))&amp;"",""))</f>
        <v/>
      </c>
      <c r="O4">
        <f>IF(B4="","",IF(N4="관심 없음","제외",IF(L4="","안 가봄",IF(M4&gt;=설정!$B$20,M4&amp;"일 지남","최근 방문"))))</f>
        <v/>
      </c>
    </row>
    <row r="5">
      <c r="A5">
        <f>IF(B5="","",2)</f>
        <v/>
      </c>
      <c r="B5">
        <f>IFERROR(INDEX('2.현장'!$AC$2:$AC$1001,MATCH(2,'2.현장'!$AD$2:$AD$1001,0)),"")</f>
        <v/>
      </c>
      <c r="C5">
        <f>IF(B5="","",COUNTIFS('2.현장'!$AC$2:$AC$1001,B5,'2.현장'!$T$2:$T$1001,TRUE))</f>
        <v/>
      </c>
      <c r="D5">
        <f>IF(B5="","",COUNTIFS('2.현장'!$AC$2:$AC$1001,B5,'2.현장'!$T$2:$T$1001,TRUE,'2.현장'!$AA$2:$AA$1001,"★"))</f>
        <v/>
      </c>
      <c r="E5" s="5">
        <f>IF(B5="","",_xlfn.MAXIFS('2.현장'!$D$2:$D$1001,'2.현장'!$AC$2:$AC$1001,B5,'2.현장'!$T$2:$T$1001,TRUE))</f>
        <v/>
      </c>
      <c r="F5" s="7">
        <f>IF(B5="","",IF(_xlfn.MAXIFS('2.현장'!$M$2:$M$1001,'2.현장'!$AC$2:$AC$1001,B5,'2.현장'!$T$2:$T$1001,TRUE)=0,"",_xlfn.MAXIFS('2.현장'!$M$2:$M$1001,'2.현장'!$AC$2:$AC$1001,B5,'2.현장'!$T$2:$T$1001,TRUE)))</f>
        <v/>
      </c>
      <c r="G5">
        <f>IF(B5="","",IFERROR(INDEX('2.현장'!$C$2:$C$1001,MATCH(2,'2.현장'!$AD$2:$AD$1001,0)),""))</f>
        <v/>
      </c>
      <c r="H5">
        <f>IF(B5="","",IFERROR(INDEX('2.현장'!$N$2:$N$1001,MATCH(2,'2.현장'!$AD$2:$AD$1001,0)),""))</f>
        <v/>
      </c>
      <c r="I5">
        <f>IF(B5="","",IFERROR(INDEX('2.현장'!$G$2:$G$1001,MATCH(2,'2.현장'!$AD$2:$AD$1001,0)),""))</f>
        <v/>
      </c>
      <c r="J5">
        <f>IF(B5="","",IFERROR(VLOOKUP(B5,업체_메모!$A$3:$I$302,2,FALSE)&amp;"",""))</f>
        <v/>
      </c>
      <c r="K5">
        <f>IF(B5="","",IFERROR(VLOOKUP(B5,업체_메모!$A$3:$I$302,4,FALSE)&amp;"",""))</f>
        <v/>
      </c>
      <c r="L5" s="7">
        <f>IF(B5="","",IF(COUNTIF('4.방문기록'!$B$3:$B$502,B5)=0,"",_xlfn.MAXIFS('4.방문기록'!$A$3:$A$502,'4.방문기록'!$B$3:$B$502,B5)))</f>
        <v/>
      </c>
      <c r="M5">
        <f>IF(L5="","",설정!$B$24-L5)</f>
        <v/>
      </c>
      <c r="N5">
        <f>IF(L5="","",IFERROR(INDEX('4.방문기록'!$H$3:$H$502,MATCH(B5&amp;"|"&amp;(L5*1),'4.방문기록'!$I$3:$I$502,0))&amp;"",""))</f>
        <v/>
      </c>
      <c r="O5">
        <f>IF(B5="","",IF(N5="관심 없음","제외",IF(L5="","안 가봄",IF(M5&gt;=설정!$B$20,M5&amp;"일 지남","최근 방문"))))</f>
        <v/>
      </c>
    </row>
    <row r="6">
      <c r="A6">
        <f>IF(B6="","",3)</f>
        <v/>
      </c>
      <c r="B6">
        <f>IFERROR(INDEX('2.현장'!$AC$2:$AC$1001,MATCH(3,'2.현장'!$AD$2:$AD$1001,0)),"")</f>
        <v/>
      </c>
      <c r="C6">
        <f>IF(B6="","",COUNTIFS('2.현장'!$AC$2:$AC$1001,B6,'2.현장'!$T$2:$T$1001,TRUE))</f>
        <v/>
      </c>
      <c r="D6">
        <f>IF(B6="","",COUNTIFS('2.현장'!$AC$2:$AC$1001,B6,'2.현장'!$T$2:$T$1001,TRUE,'2.현장'!$AA$2:$AA$1001,"★"))</f>
        <v/>
      </c>
      <c r="E6" s="5">
        <f>IF(B6="","",_xlfn.MAXIFS('2.현장'!$D$2:$D$1001,'2.현장'!$AC$2:$AC$1001,B6,'2.현장'!$T$2:$T$1001,TRUE))</f>
        <v/>
      </c>
      <c r="F6" s="7">
        <f>IF(B6="","",IF(_xlfn.MAXIFS('2.현장'!$M$2:$M$1001,'2.현장'!$AC$2:$AC$1001,B6,'2.현장'!$T$2:$T$1001,TRUE)=0,"",_xlfn.MAXIFS('2.현장'!$M$2:$M$1001,'2.현장'!$AC$2:$AC$1001,B6,'2.현장'!$T$2:$T$1001,TRUE)))</f>
        <v/>
      </c>
      <c r="G6">
        <f>IF(B6="","",IFERROR(INDEX('2.현장'!$C$2:$C$1001,MATCH(3,'2.현장'!$AD$2:$AD$1001,0)),""))</f>
        <v/>
      </c>
      <c r="H6">
        <f>IF(B6="","",IFERROR(INDEX('2.현장'!$N$2:$N$1001,MATCH(3,'2.현장'!$AD$2:$AD$1001,0)),""))</f>
        <v/>
      </c>
      <c r="I6">
        <f>IF(B6="","",IFERROR(INDEX('2.현장'!$G$2:$G$1001,MATCH(3,'2.현장'!$AD$2:$AD$1001,0)),""))</f>
        <v/>
      </c>
      <c r="J6">
        <f>IF(B6="","",IFERROR(VLOOKUP(B6,업체_메모!$A$3:$I$302,2,FALSE)&amp;"",""))</f>
        <v/>
      </c>
      <c r="K6">
        <f>IF(B6="","",IFERROR(VLOOKUP(B6,업체_메모!$A$3:$I$302,4,FALSE)&amp;"",""))</f>
        <v/>
      </c>
      <c r="L6" s="7">
        <f>IF(B6="","",IF(COUNTIF('4.방문기록'!$B$3:$B$502,B6)=0,"",_xlfn.MAXIFS('4.방문기록'!$A$3:$A$502,'4.방문기록'!$B$3:$B$502,B6)))</f>
        <v/>
      </c>
      <c r="M6">
        <f>IF(L6="","",설정!$B$24-L6)</f>
        <v/>
      </c>
      <c r="N6">
        <f>IF(L6="","",IFERROR(INDEX('4.방문기록'!$H$3:$H$502,MATCH(B6&amp;"|"&amp;(L6*1),'4.방문기록'!$I$3:$I$502,0))&amp;"",""))</f>
        <v/>
      </c>
      <c r="O6">
        <f>IF(B6="","",IF(N6="관심 없음","제외",IF(L6="","안 가봄",IF(M6&gt;=설정!$B$20,M6&amp;"일 지남","최근 방문"))))</f>
        <v/>
      </c>
    </row>
    <row r="7">
      <c r="A7">
        <f>IF(B7="","",4)</f>
        <v/>
      </c>
      <c r="B7">
        <f>IFERROR(INDEX('2.현장'!$AC$2:$AC$1001,MATCH(4,'2.현장'!$AD$2:$AD$1001,0)),"")</f>
        <v/>
      </c>
      <c r="C7">
        <f>IF(B7="","",COUNTIFS('2.현장'!$AC$2:$AC$1001,B7,'2.현장'!$T$2:$T$1001,TRUE))</f>
        <v/>
      </c>
      <c r="D7">
        <f>IF(B7="","",COUNTIFS('2.현장'!$AC$2:$AC$1001,B7,'2.현장'!$T$2:$T$1001,TRUE,'2.현장'!$AA$2:$AA$1001,"★"))</f>
        <v/>
      </c>
      <c r="E7" s="5">
        <f>IF(B7="","",_xlfn.MAXIFS('2.현장'!$D$2:$D$1001,'2.현장'!$AC$2:$AC$1001,B7,'2.현장'!$T$2:$T$1001,TRUE))</f>
        <v/>
      </c>
      <c r="F7" s="7">
        <f>IF(B7="","",IF(_xlfn.MAXIFS('2.현장'!$M$2:$M$1001,'2.현장'!$AC$2:$AC$1001,B7,'2.현장'!$T$2:$T$1001,TRUE)=0,"",_xlfn.MAXIFS('2.현장'!$M$2:$M$1001,'2.현장'!$AC$2:$AC$1001,B7,'2.현장'!$T$2:$T$1001,TRUE)))</f>
        <v/>
      </c>
      <c r="G7">
        <f>IF(B7="","",IFERROR(INDEX('2.현장'!$C$2:$C$1001,MATCH(4,'2.현장'!$AD$2:$AD$1001,0)),""))</f>
        <v/>
      </c>
      <c r="H7">
        <f>IF(B7="","",IFERROR(INDEX('2.현장'!$N$2:$N$1001,MATCH(4,'2.현장'!$AD$2:$AD$1001,0)),""))</f>
        <v/>
      </c>
      <c r="I7">
        <f>IF(B7="","",IFERROR(INDEX('2.현장'!$G$2:$G$1001,MATCH(4,'2.현장'!$AD$2:$AD$1001,0)),""))</f>
        <v/>
      </c>
      <c r="J7">
        <f>IF(B7="","",IFERROR(VLOOKUP(B7,업체_메모!$A$3:$I$302,2,FALSE)&amp;"",""))</f>
        <v/>
      </c>
      <c r="K7">
        <f>IF(B7="","",IFERROR(VLOOKUP(B7,업체_메모!$A$3:$I$302,4,FALSE)&amp;"",""))</f>
        <v/>
      </c>
      <c r="L7" s="7">
        <f>IF(B7="","",IF(COUNTIF('4.방문기록'!$B$3:$B$502,B7)=0,"",_xlfn.MAXIFS('4.방문기록'!$A$3:$A$502,'4.방문기록'!$B$3:$B$502,B7)))</f>
        <v/>
      </c>
      <c r="M7">
        <f>IF(L7="","",설정!$B$24-L7)</f>
        <v/>
      </c>
      <c r="N7">
        <f>IF(L7="","",IFERROR(INDEX('4.방문기록'!$H$3:$H$502,MATCH(B7&amp;"|"&amp;(L7*1),'4.방문기록'!$I$3:$I$502,0))&amp;"",""))</f>
        <v/>
      </c>
      <c r="O7">
        <f>IF(B7="","",IF(N7="관심 없음","제외",IF(L7="","안 가봄",IF(M7&gt;=설정!$B$20,M7&amp;"일 지남","최근 방문"))))</f>
        <v/>
      </c>
    </row>
    <row r="8">
      <c r="A8">
        <f>IF(B8="","",5)</f>
        <v/>
      </c>
      <c r="B8">
        <f>IFERROR(INDEX('2.현장'!$AC$2:$AC$1001,MATCH(5,'2.현장'!$AD$2:$AD$1001,0)),"")</f>
        <v/>
      </c>
      <c r="C8">
        <f>IF(B8="","",COUNTIFS('2.현장'!$AC$2:$AC$1001,B8,'2.현장'!$T$2:$T$1001,TRUE))</f>
        <v/>
      </c>
      <c r="D8">
        <f>IF(B8="","",COUNTIFS('2.현장'!$AC$2:$AC$1001,B8,'2.현장'!$T$2:$T$1001,TRUE,'2.현장'!$AA$2:$AA$1001,"★"))</f>
        <v/>
      </c>
      <c r="E8" s="5">
        <f>IF(B8="","",_xlfn.MAXIFS('2.현장'!$D$2:$D$1001,'2.현장'!$AC$2:$AC$1001,B8,'2.현장'!$T$2:$T$1001,TRUE))</f>
        <v/>
      </c>
      <c r="F8" s="7">
        <f>IF(B8="","",IF(_xlfn.MAXIFS('2.현장'!$M$2:$M$1001,'2.현장'!$AC$2:$AC$1001,B8,'2.현장'!$T$2:$T$1001,TRUE)=0,"",_xlfn.MAXIFS('2.현장'!$M$2:$M$1001,'2.현장'!$AC$2:$AC$1001,B8,'2.현장'!$T$2:$T$1001,TRUE)))</f>
        <v/>
      </c>
      <c r="G8">
        <f>IF(B8="","",IFERROR(INDEX('2.현장'!$C$2:$C$1001,MATCH(5,'2.현장'!$AD$2:$AD$1001,0)),""))</f>
        <v/>
      </c>
      <c r="H8">
        <f>IF(B8="","",IFERROR(INDEX('2.현장'!$N$2:$N$1001,MATCH(5,'2.현장'!$AD$2:$AD$1001,0)),""))</f>
        <v/>
      </c>
      <c r="I8">
        <f>IF(B8="","",IFERROR(INDEX('2.현장'!$G$2:$G$1001,MATCH(5,'2.현장'!$AD$2:$AD$1001,0)),""))</f>
        <v/>
      </c>
      <c r="J8">
        <f>IF(B8="","",IFERROR(VLOOKUP(B8,업체_메모!$A$3:$I$302,2,FALSE)&amp;"",""))</f>
        <v/>
      </c>
      <c r="K8">
        <f>IF(B8="","",IFERROR(VLOOKUP(B8,업체_메모!$A$3:$I$302,4,FALSE)&amp;"",""))</f>
        <v/>
      </c>
      <c r="L8" s="7">
        <f>IF(B8="","",IF(COUNTIF('4.방문기록'!$B$3:$B$502,B8)=0,"",_xlfn.MAXIFS('4.방문기록'!$A$3:$A$502,'4.방문기록'!$B$3:$B$502,B8)))</f>
        <v/>
      </c>
      <c r="M8">
        <f>IF(L8="","",설정!$B$24-L8)</f>
        <v/>
      </c>
      <c r="N8">
        <f>IF(L8="","",IFERROR(INDEX('4.방문기록'!$H$3:$H$502,MATCH(B8&amp;"|"&amp;(L8*1),'4.방문기록'!$I$3:$I$502,0))&amp;"",""))</f>
        <v/>
      </c>
      <c r="O8">
        <f>IF(B8="","",IF(N8="관심 없음","제외",IF(L8="","안 가봄",IF(M8&gt;=설정!$B$20,M8&amp;"일 지남","최근 방문"))))</f>
        <v/>
      </c>
    </row>
    <row r="9">
      <c r="A9">
        <f>IF(B9="","",6)</f>
        <v/>
      </c>
      <c r="B9">
        <f>IFERROR(INDEX('2.현장'!$AC$2:$AC$1001,MATCH(6,'2.현장'!$AD$2:$AD$1001,0)),"")</f>
        <v/>
      </c>
      <c r="C9">
        <f>IF(B9="","",COUNTIFS('2.현장'!$AC$2:$AC$1001,B9,'2.현장'!$T$2:$T$1001,TRUE))</f>
        <v/>
      </c>
      <c r="D9">
        <f>IF(B9="","",COUNTIFS('2.현장'!$AC$2:$AC$1001,B9,'2.현장'!$T$2:$T$1001,TRUE,'2.현장'!$AA$2:$AA$1001,"★"))</f>
        <v/>
      </c>
      <c r="E9" s="5">
        <f>IF(B9="","",_xlfn.MAXIFS('2.현장'!$D$2:$D$1001,'2.현장'!$AC$2:$AC$1001,B9,'2.현장'!$T$2:$T$1001,TRUE))</f>
        <v/>
      </c>
      <c r="F9" s="7">
        <f>IF(B9="","",IF(_xlfn.MAXIFS('2.현장'!$M$2:$M$1001,'2.현장'!$AC$2:$AC$1001,B9,'2.현장'!$T$2:$T$1001,TRUE)=0,"",_xlfn.MAXIFS('2.현장'!$M$2:$M$1001,'2.현장'!$AC$2:$AC$1001,B9,'2.현장'!$T$2:$T$1001,TRUE)))</f>
        <v/>
      </c>
      <c r="G9">
        <f>IF(B9="","",IFERROR(INDEX('2.현장'!$C$2:$C$1001,MATCH(6,'2.현장'!$AD$2:$AD$1001,0)),""))</f>
        <v/>
      </c>
      <c r="H9">
        <f>IF(B9="","",IFERROR(INDEX('2.현장'!$N$2:$N$1001,MATCH(6,'2.현장'!$AD$2:$AD$1001,0)),""))</f>
        <v/>
      </c>
      <c r="I9">
        <f>IF(B9="","",IFERROR(INDEX('2.현장'!$G$2:$G$1001,MATCH(6,'2.현장'!$AD$2:$AD$1001,0)),""))</f>
        <v/>
      </c>
      <c r="J9">
        <f>IF(B9="","",IFERROR(VLOOKUP(B9,업체_메모!$A$3:$I$302,2,FALSE)&amp;"",""))</f>
        <v/>
      </c>
      <c r="K9">
        <f>IF(B9="","",IFERROR(VLOOKUP(B9,업체_메모!$A$3:$I$302,4,FALSE)&amp;"",""))</f>
        <v/>
      </c>
      <c r="L9" s="7">
        <f>IF(B9="","",IF(COUNTIF('4.방문기록'!$B$3:$B$502,B9)=0,"",_xlfn.MAXIFS('4.방문기록'!$A$3:$A$502,'4.방문기록'!$B$3:$B$502,B9)))</f>
        <v/>
      </c>
      <c r="M9">
        <f>IF(L9="","",설정!$B$24-L9)</f>
        <v/>
      </c>
      <c r="N9">
        <f>IF(L9="","",IFERROR(INDEX('4.방문기록'!$H$3:$H$502,MATCH(B9&amp;"|"&amp;(L9*1),'4.방문기록'!$I$3:$I$502,0))&amp;"",""))</f>
        <v/>
      </c>
      <c r="O9">
        <f>IF(B9="","",IF(N9="관심 없음","제외",IF(L9="","안 가봄",IF(M9&gt;=설정!$B$20,M9&amp;"일 지남","최근 방문"))))</f>
        <v/>
      </c>
    </row>
    <row r="10">
      <c r="A10">
        <f>IF(B10="","",7)</f>
        <v/>
      </c>
      <c r="B10">
        <f>IFERROR(INDEX('2.현장'!$AC$2:$AC$1001,MATCH(7,'2.현장'!$AD$2:$AD$1001,0)),"")</f>
        <v/>
      </c>
      <c r="C10">
        <f>IF(B10="","",COUNTIFS('2.현장'!$AC$2:$AC$1001,B10,'2.현장'!$T$2:$T$1001,TRUE))</f>
        <v/>
      </c>
      <c r="D10">
        <f>IF(B10="","",COUNTIFS('2.현장'!$AC$2:$AC$1001,B10,'2.현장'!$T$2:$T$1001,TRUE,'2.현장'!$AA$2:$AA$1001,"★"))</f>
        <v/>
      </c>
      <c r="E10" s="5">
        <f>IF(B10="","",_xlfn.MAXIFS('2.현장'!$D$2:$D$1001,'2.현장'!$AC$2:$AC$1001,B10,'2.현장'!$T$2:$T$1001,TRUE))</f>
        <v/>
      </c>
      <c r="F10" s="7">
        <f>IF(B10="","",IF(_xlfn.MAXIFS('2.현장'!$M$2:$M$1001,'2.현장'!$AC$2:$AC$1001,B10,'2.현장'!$T$2:$T$1001,TRUE)=0,"",_xlfn.MAXIFS('2.현장'!$M$2:$M$1001,'2.현장'!$AC$2:$AC$1001,B10,'2.현장'!$T$2:$T$1001,TRUE)))</f>
        <v/>
      </c>
      <c r="G10">
        <f>IF(B10="","",IFERROR(INDEX('2.현장'!$C$2:$C$1001,MATCH(7,'2.현장'!$AD$2:$AD$1001,0)),""))</f>
        <v/>
      </c>
      <c r="H10">
        <f>IF(B10="","",IFERROR(INDEX('2.현장'!$N$2:$N$1001,MATCH(7,'2.현장'!$AD$2:$AD$1001,0)),""))</f>
        <v/>
      </c>
      <c r="I10">
        <f>IF(B10="","",IFERROR(INDEX('2.현장'!$G$2:$G$1001,MATCH(7,'2.현장'!$AD$2:$AD$1001,0)),""))</f>
        <v/>
      </c>
      <c r="J10">
        <f>IF(B10="","",IFERROR(VLOOKUP(B10,업체_메모!$A$3:$I$302,2,FALSE)&amp;"",""))</f>
        <v/>
      </c>
      <c r="K10">
        <f>IF(B10="","",IFERROR(VLOOKUP(B10,업체_메모!$A$3:$I$302,4,FALSE)&amp;"",""))</f>
        <v/>
      </c>
      <c r="L10" s="7">
        <f>IF(B10="","",IF(COUNTIF('4.방문기록'!$B$3:$B$502,B10)=0,"",_xlfn.MAXIFS('4.방문기록'!$A$3:$A$502,'4.방문기록'!$B$3:$B$502,B10)))</f>
        <v/>
      </c>
      <c r="M10">
        <f>IF(L10="","",설정!$B$24-L10)</f>
        <v/>
      </c>
      <c r="N10">
        <f>IF(L10="","",IFERROR(INDEX('4.방문기록'!$H$3:$H$502,MATCH(B10&amp;"|"&amp;(L10*1),'4.방문기록'!$I$3:$I$502,0))&amp;"",""))</f>
        <v/>
      </c>
      <c r="O10">
        <f>IF(B10="","",IF(N10="관심 없음","제외",IF(L10="","안 가봄",IF(M10&gt;=설정!$B$20,M10&amp;"일 지남","최근 방문"))))</f>
        <v/>
      </c>
    </row>
    <row r="11">
      <c r="A11">
        <f>IF(B11="","",8)</f>
        <v/>
      </c>
      <c r="B11">
        <f>IFERROR(INDEX('2.현장'!$AC$2:$AC$1001,MATCH(8,'2.현장'!$AD$2:$AD$1001,0)),"")</f>
        <v/>
      </c>
      <c r="C11">
        <f>IF(B11="","",COUNTIFS('2.현장'!$AC$2:$AC$1001,B11,'2.현장'!$T$2:$T$1001,TRUE))</f>
        <v/>
      </c>
      <c r="D11">
        <f>IF(B11="","",COUNTIFS('2.현장'!$AC$2:$AC$1001,B11,'2.현장'!$T$2:$T$1001,TRUE,'2.현장'!$AA$2:$AA$1001,"★"))</f>
        <v/>
      </c>
      <c r="E11" s="5">
        <f>IF(B11="","",_xlfn.MAXIFS('2.현장'!$D$2:$D$1001,'2.현장'!$AC$2:$AC$1001,B11,'2.현장'!$T$2:$T$1001,TRUE))</f>
        <v/>
      </c>
      <c r="F11" s="7">
        <f>IF(B11="","",IF(_xlfn.MAXIFS('2.현장'!$M$2:$M$1001,'2.현장'!$AC$2:$AC$1001,B11,'2.현장'!$T$2:$T$1001,TRUE)=0,"",_xlfn.MAXIFS('2.현장'!$M$2:$M$1001,'2.현장'!$AC$2:$AC$1001,B11,'2.현장'!$T$2:$T$1001,TRUE)))</f>
        <v/>
      </c>
      <c r="G11">
        <f>IF(B11="","",IFERROR(INDEX('2.현장'!$C$2:$C$1001,MATCH(8,'2.현장'!$AD$2:$AD$1001,0)),""))</f>
        <v/>
      </c>
      <c r="H11">
        <f>IF(B11="","",IFERROR(INDEX('2.현장'!$N$2:$N$1001,MATCH(8,'2.현장'!$AD$2:$AD$1001,0)),""))</f>
        <v/>
      </c>
      <c r="I11">
        <f>IF(B11="","",IFERROR(INDEX('2.현장'!$G$2:$G$1001,MATCH(8,'2.현장'!$AD$2:$AD$1001,0)),""))</f>
        <v/>
      </c>
      <c r="J11">
        <f>IF(B11="","",IFERROR(VLOOKUP(B11,업체_메모!$A$3:$I$302,2,FALSE)&amp;"",""))</f>
        <v/>
      </c>
      <c r="K11">
        <f>IF(B11="","",IFERROR(VLOOKUP(B11,업체_메모!$A$3:$I$302,4,FALSE)&amp;"",""))</f>
        <v/>
      </c>
      <c r="L11" s="7">
        <f>IF(B11="","",IF(COUNTIF('4.방문기록'!$B$3:$B$502,B11)=0,"",_xlfn.MAXIFS('4.방문기록'!$A$3:$A$502,'4.방문기록'!$B$3:$B$502,B11)))</f>
        <v/>
      </c>
      <c r="M11">
        <f>IF(L11="","",설정!$B$24-L11)</f>
        <v/>
      </c>
      <c r="N11">
        <f>IF(L11="","",IFERROR(INDEX('4.방문기록'!$H$3:$H$502,MATCH(B11&amp;"|"&amp;(L11*1),'4.방문기록'!$I$3:$I$502,0))&amp;"",""))</f>
        <v/>
      </c>
      <c r="O11">
        <f>IF(B11="","",IF(N11="관심 없음","제외",IF(L11="","안 가봄",IF(M11&gt;=설정!$B$20,M11&amp;"일 지남","최근 방문"))))</f>
        <v/>
      </c>
    </row>
    <row r="12">
      <c r="A12">
        <f>IF(B12="","",9)</f>
        <v/>
      </c>
      <c r="B12">
        <f>IFERROR(INDEX('2.현장'!$AC$2:$AC$1001,MATCH(9,'2.현장'!$AD$2:$AD$1001,0)),"")</f>
        <v/>
      </c>
      <c r="C12">
        <f>IF(B12="","",COUNTIFS('2.현장'!$AC$2:$AC$1001,B12,'2.현장'!$T$2:$T$1001,TRUE))</f>
        <v/>
      </c>
      <c r="D12">
        <f>IF(B12="","",COUNTIFS('2.현장'!$AC$2:$AC$1001,B12,'2.현장'!$T$2:$T$1001,TRUE,'2.현장'!$AA$2:$AA$1001,"★"))</f>
        <v/>
      </c>
      <c r="E12" s="5">
        <f>IF(B12="","",_xlfn.MAXIFS('2.현장'!$D$2:$D$1001,'2.현장'!$AC$2:$AC$1001,B12,'2.현장'!$T$2:$T$1001,TRUE))</f>
        <v/>
      </c>
      <c r="F12" s="7">
        <f>IF(B12="","",IF(_xlfn.MAXIFS('2.현장'!$M$2:$M$1001,'2.현장'!$AC$2:$AC$1001,B12,'2.현장'!$T$2:$T$1001,TRUE)=0,"",_xlfn.MAXIFS('2.현장'!$M$2:$M$1001,'2.현장'!$AC$2:$AC$1001,B12,'2.현장'!$T$2:$T$1001,TRUE)))</f>
        <v/>
      </c>
      <c r="G12">
        <f>IF(B12="","",IFERROR(INDEX('2.현장'!$C$2:$C$1001,MATCH(9,'2.현장'!$AD$2:$AD$1001,0)),""))</f>
        <v/>
      </c>
      <c r="H12">
        <f>IF(B12="","",IFERROR(INDEX('2.현장'!$N$2:$N$1001,MATCH(9,'2.현장'!$AD$2:$AD$1001,0)),""))</f>
        <v/>
      </c>
      <c r="I12">
        <f>IF(B12="","",IFERROR(INDEX('2.현장'!$G$2:$G$1001,MATCH(9,'2.현장'!$AD$2:$AD$1001,0)),""))</f>
        <v/>
      </c>
      <c r="J12">
        <f>IF(B12="","",IFERROR(VLOOKUP(B12,업체_메모!$A$3:$I$302,2,FALSE)&amp;"",""))</f>
        <v/>
      </c>
      <c r="K12">
        <f>IF(B12="","",IFERROR(VLOOKUP(B12,업체_메모!$A$3:$I$302,4,FALSE)&amp;"",""))</f>
        <v/>
      </c>
      <c r="L12" s="7">
        <f>IF(B12="","",IF(COUNTIF('4.방문기록'!$B$3:$B$502,B12)=0,"",_xlfn.MAXIFS('4.방문기록'!$A$3:$A$502,'4.방문기록'!$B$3:$B$502,B12)))</f>
        <v/>
      </c>
      <c r="M12">
        <f>IF(L12="","",설정!$B$24-L12)</f>
        <v/>
      </c>
      <c r="N12">
        <f>IF(L12="","",IFERROR(INDEX('4.방문기록'!$H$3:$H$502,MATCH(B12&amp;"|"&amp;(L12*1),'4.방문기록'!$I$3:$I$502,0))&amp;"",""))</f>
        <v/>
      </c>
      <c r="O12">
        <f>IF(B12="","",IF(N12="관심 없음","제외",IF(L12="","안 가봄",IF(M12&gt;=설정!$B$20,M12&amp;"일 지남","최근 방문"))))</f>
        <v/>
      </c>
    </row>
    <row r="13">
      <c r="A13">
        <f>IF(B13="","",10)</f>
        <v/>
      </c>
      <c r="B13">
        <f>IFERROR(INDEX('2.현장'!$AC$2:$AC$1001,MATCH(10,'2.현장'!$AD$2:$AD$1001,0)),"")</f>
        <v/>
      </c>
      <c r="C13">
        <f>IF(B13="","",COUNTIFS('2.현장'!$AC$2:$AC$1001,B13,'2.현장'!$T$2:$T$1001,TRUE))</f>
        <v/>
      </c>
      <c r="D13">
        <f>IF(B13="","",COUNTIFS('2.현장'!$AC$2:$AC$1001,B13,'2.현장'!$T$2:$T$1001,TRUE,'2.현장'!$AA$2:$AA$1001,"★"))</f>
        <v/>
      </c>
      <c r="E13" s="5">
        <f>IF(B13="","",_xlfn.MAXIFS('2.현장'!$D$2:$D$1001,'2.현장'!$AC$2:$AC$1001,B13,'2.현장'!$T$2:$T$1001,TRUE))</f>
        <v/>
      </c>
      <c r="F13" s="7">
        <f>IF(B13="","",IF(_xlfn.MAXIFS('2.현장'!$M$2:$M$1001,'2.현장'!$AC$2:$AC$1001,B13,'2.현장'!$T$2:$T$1001,TRUE)=0,"",_xlfn.MAXIFS('2.현장'!$M$2:$M$1001,'2.현장'!$AC$2:$AC$1001,B13,'2.현장'!$T$2:$T$1001,TRUE)))</f>
        <v/>
      </c>
      <c r="G13">
        <f>IF(B13="","",IFERROR(INDEX('2.현장'!$C$2:$C$1001,MATCH(10,'2.현장'!$AD$2:$AD$1001,0)),""))</f>
        <v/>
      </c>
      <c r="H13">
        <f>IF(B13="","",IFERROR(INDEX('2.현장'!$N$2:$N$1001,MATCH(10,'2.현장'!$AD$2:$AD$1001,0)),""))</f>
        <v/>
      </c>
      <c r="I13">
        <f>IF(B13="","",IFERROR(INDEX('2.현장'!$G$2:$G$1001,MATCH(10,'2.현장'!$AD$2:$AD$1001,0)),""))</f>
        <v/>
      </c>
      <c r="J13">
        <f>IF(B13="","",IFERROR(VLOOKUP(B13,업체_메모!$A$3:$I$302,2,FALSE)&amp;"",""))</f>
        <v/>
      </c>
      <c r="K13">
        <f>IF(B13="","",IFERROR(VLOOKUP(B13,업체_메모!$A$3:$I$302,4,FALSE)&amp;"",""))</f>
        <v/>
      </c>
      <c r="L13" s="7">
        <f>IF(B13="","",IF(COUNTIF('4.방문기록'!$B$3:$B$502,B13)=0,"",_xlfn.MAXIFS('4.방문기록'!$A$3:$A$502,'4.방문기록'!$B$3:$B$502,B13)))</f>
        <v/>
      </c>
      <c r="M13">
        <f>IF(L13="","",설정!$B$24-L13)</f>
        <v/>
      </c>
      <c r="N13">
        <f>IF(L13="","",IFERROR(INDEX('4.방문기록'!$H$3:$H$502,MATCH(B13&amp;"|"&amp;(L13*1),'4.방문기록'!$I$3:$I$502,0))&amp;"",""))</f>
        <v/>
      </c>
      <c r="O13">
        <f>IF(B13="","",IF(N13="관심 없음","제외",IF(L13="","안 가봄",IF(M13&gt;=설정!$B$20,M13&amp;"일 지남","최근 방문"))))</f>
        <v/>
      </c>
    </row>
    <row r="14">
      <c r="A14">
        <f>IF(B14="","",11)</f>
        <v/>
      </c>
      <c r="B14">
        <f>IFERROR(INDEX('2.현장'!$AC$2:$AC$1001,MATCH(11,'2.현장'!$AD$2:$AD$1001,0)),"")</f>
        <v/>
      </c>
      <c r="C14">
        <f>IF(B14="","",COUNTIFS('2.현장'!$AC$2:$AC$1001,B14,'2.현장'!$T$2:$T$1001,TRUE))</f>
        <v/>
      </c>
      <c r="D14">
        <f>IF(B14="","",COUNTIFS('2.현장'!$AC$2:$AC$1001,B14,'2.현장'!$T$2:$T$1001,TRUE,'2.현장'!$AA$2:$AA$1001,"★"))</f>
        <v/>
      </c>
      <c r="E14" s="5">
        <f>IF(B14="","",_xlfn.MAXIFS('2.현장'!$D$2:$D$1001,'2.현장'!$AC$2:$AC$1001,B14,'2.현장'!$T$2:$T$1001,TRUE))</f>
        <v/>
      </c>
      <c r="F14" s="7">
        <f>IF(B14="","",IF(_xlfn.MAXIFS('2.현장'!$M$2:$M$1001,'2.현장'!$AC$2:$AC$1001,B14,'2.현장'!$T$2:$T$1001,TRUE)=0,"",_xlfn.MAXIFS('2.현장'!$M$2:$M$1001,'2.현장'!$AC$2:$AC$1001,B14,'2.현장'!$T$2:$T$1001,TRUE)))</f>
        <v/>
      </c>
      <c r="G14">
        <f>IF(B14="","",IFERROR(INDEX('2.현장'!$C$2:$C$1001,MATCH(11,'2.현장'!$AD$2:$AD$1001,0)),""))</f>
        <v/>
      </c>
      <c r="H14">
        <f>IF(B14="","",IFERROR(INDEX('2.현장'!$N$2:$N$1001,MATCH(11,'2.현장'!$AD$2:$AD$1001,0)),""))</f>
        <v/>
      </c>
      <c r="I14">
        <f>IF(B14="","",IFERROR(INDEX('2.현장'!$G$2:$G$1001,MATCH(11,'2.현장'!$AD$2:$AD$1001,0)),""))</f>
        <v/>
      </c>
      <c r="J14">
        <f>IF(B14="","",IFERROR(VLOOKUP(B14,업체_메모!$A$3:$I$302,2,FALSE)&amp;"",""))</f>
        <v/>
      </c>
      <c r="K14">
        <f>IF(B14="","",IFERROR(VLOOKUP(B14,업체_메모!$A$3:$I$302,4,FALSE)&amp;"",""))</f>
        <v/>
      </c>
      <c r="L14" s="7">
        <f>IF(B14="","",IF(COUNTIF('4.방문기록'!$B$3:$B$502,B14)=0,"",_xlfn.MAXIFS('4.방문기록'!$A$3:$A$502,'4.방문기록'!$B$3:$B$502,B14)))</f>
        <v/>
      </c>
      <c r="M14">
        <f>IF(L14="","",설정!$B$24-L14)</f>
        <v/>
      </c>
      <c r="N14">
        <f>IF(L14="","",IFERROR(INDEX('4.방문기록'!$H$3:$H$502,MATCH(B14&amp;"|"&amp;(L14*1),'4.방문기록'!$I$3:$I$502,0))&amp;"",""))</f>
        <v/>
      </c>
      <c r="O14">
        <f>IF(B14="","",IF(N14="관심 없음","제외",IF(L14="","안 가봄",IF(M14&gt;=설정!$B$20,M14&amp;"일 지남","최근 방문"))))</f>
        <v/>
      </c>
    </row>
    <row r="15">
      <c r="A15">
        <f>IF(B15="","",12)</f>
        <v/>
      </c>
      <c r="B15">
        <f>IFERROR(INDEX('2.현장'!$AC$2:$AC$1001,MATCH(12,'2.현장'!$AD$2:$AD$1001,0)),"")</f>
        <v/>
      </c>
      <c r="C15">
        <f>IF(B15="","",COUNTIFS('2.현장'!$AC$2:$AC$1001,B15,'2.현장'!$T$2:$T$1001,TRUE))</f>
        <v/>
      </c>
      <c r="D15">
        <f>IF(B15="","",COUNTIFS('2.현장'!$AC$2:$AC$1001,B15,'2.현장'!$T$2:$T$1001,TRUE,'2.현장'!$AA$2:$AA$1001,"★"))</f>
        <v/>
      </c>
      <c r="E15" s="5">
        <f>IF(B15="","",_xlfn.MAXIFS('2.현장'!$D$2:$D$1001,'2.현장'!$AC$2:$AC$1001,B15,'2.현장'!$T$2:$T$1001,TRUE))</f>
        <v/>
      </c>
      <c r="F15" s="7">
        <f>IF(B15="","",IF(_xlfn.MAXIFS('2.현장'!$M$2:$M$1001,'2.현장'!$AC$2:$AC$1001,B15,'2.현장'!$T$2:$T$1001,TRUE)=0,"",_xlfn.MAXIFS('2.현장'!$M$2:$M$1001,'2.현장'!$AC$2:$AC$1001,B15,'2.현장'!$T$2:$T$1001,TRUE)))</f>
        <v/>
      </c>
      <c r="G15">
        <f>IF(B15="","",IFERROR(INDEX('2.현장'!$C$2:$C$1001,MATCH(12,'2.현장'!$AD$2:$AD$1001,0)),""))</f>
        <v/>
      </c>
      <c r="H15">
        <f>IF(B15="","",IFERROR(INDEX('2.현장'!$N$2:$N$1001,MATCH(12,'2.현장'!$AD$2:$AD$1001,0)),""))</f>
        <v/>
      </c>
      <c r="I15">
        <f>IF(B15="","",IFERROR(INDEX('2.현장'!$G$2:$G$1001,MATCH(12,'2.현장'!$AD$2:$AD$1001,0)),""))</f>
        <v/>
      </c>
      <c r="J15">
        <f>IF(B15="","",IFERROR(VLOOKUP(B15,업체_메모!$A$3:$I$302,2,FALSE)&amp;"",""))</f>
        <v/>
      </c>
      <c r="K15">
        <f>IF(B15="","",IFERROR(VLOOKUP(B15,업체_메모!$A$3:$I$302,4,FALSE)&amp;"",""))</f>
        <v/>
      </c>
      <c r="L15" s="7">
        <f>IF(B15="","",IF(COUNTIF('4.방문기록'!$B$3:$B$502,B15)=0,"",_xlfn.MAXIFS('4.방문기록'!$A$3:$A$502,'4.방문기록'!$B$3:$B$502,B15)))</f>
        <v/>
      </c>
      <c r="M15">
        <f>IF(L15="","",설정!$B$24-L15)</f>
        <v/>
      </c>
      <c r="N15">
        <f>IF(L15="","",IFERROR(INDEX('4.방문기록'!$H$3:$H$502,MATCH(B15&amp;"|"&amp;(L15*1),'4.방문기록'!$I$3:$I$502,0))&amp;"",""))</f>
        <v/>
      </c>
      <c r="O15">
        <f>IF(B15="","",IF(N15="관심 없음","제외",IF(L15="","안 가봄",IF(M15&gt;=설정!$B$20,M15&amp;"일 지남","최근 방문"))))</f>
        <v/>
      </c>
    </row>
    <row r="16">
      <c r="A16">
        <f>IF(B16="","",13)</f>
        <v/>
      </c>
      <c r="B16">
        <f>IFERROR(INDEX('2.현장'!$AC$2:$AC$1001,MATCH(13,'2.현장'!$AD$2:$AD$1001,0)),"")</f>
        <v/>
      </c>
      <c r="C16">
        <f>IF(B16="","",COUNTIFS('2.현장'!$AC$2:$AC$1001,B16,'2.현장'!$T$2:$T$1001,TRUE))</f>
        <v/>
      </c>
      <c r="D16">
        <f>IF(B16="","",COUNTIFS('2.현장'!$AC$2:$AC$1001,B16,'2.현장'!$T$2:$T$1001,TRUE,'2.현장'!$AA$2:$AA$1001,"★"))</f>
        <v/>
      </c>
      <c r="E16" s="5">
        <f>IF(B16="","",_xlfn.MAXIFS('2.현장'!$D$2:$D$1001,'2.현장'!$AC$2:$AC$1001,B16,'2.현장'!$T$2:$T$1001,TRUE))</f>
        <v/>
      </c>
      <c r="F16" s="7">
        <f>IF(B16="","",IF(_xlfn.MAXIFS('2.현장'!$M$2:$M$1001,'2.현장'!$AC$2:$AC$1001,B16,'2.현장'!$T$2:$T$1001,TRUE)=0,"",_xlfn.MAXIFS('2.현장'!$M$2:$M$1001,'2.현장'!$AC$2:$AC$1001,B16,'2.현장'!$T$2:$T$1001,TRUE)))</f>
        <v/>
      </c>
      <c r="G16">
        <f>IF(B16="","",IFERROR(INDEX('2.현장'!$C$2:$C$1001,MATCH(13,'2.현장'!$AD$2:$AD$1001,0)),""))</f>
        <v/>
      </c>
      <c r="H16">
        <f>IF(B16="","",IFERROR(INDEX('2.현장'!$N$2:$N$1001,MATCH(13,'2.현장'!$AD$2:$AD$1001,0)),""))</f>
        <v/>
      </c>
      <c r="I16">
        <f>IF(B16="","",IFERROR(INDEX('2.현장'!$G$2:$G$1001,MATCH(13,'2.현장'!$AD$2:$AD$1001,0)),""))</f>
        <v/>
      </c>
      <c r="J16">
        <f>IF(B16="","",IFERROR(VLOOKUP(B16,업체_메모!$A$3:$I$302,2,FALSE)&amp;"",""))</f>
        <v/>
      </c>
      <c r="K16">
        <f>IF(B16="","",IFERROR(VLOOKUP(B16,업체_메모!$A$3:$I$302,4,FALSE)&amp;"",""))</f>
        <v/>
      </c>
      <c r="L16" s="7">
        <f>IF(B16="","",IF(COUNTIF('4.방문기록'!$B$3:$B$502,B16)=0,"",_xlfn.MAXIFS('4.방문기록'!$A$3:$A$502,'4.방문기록'!$B$3:$B$502,B16)))</f>
        <v/>
      </c>
      <c r="M16">
        <f>IF(L16="","",설정!$B$24-L16)</f>
        <v/>
      </c>
      <c r="N16">
        <f>IF(L16="","",IFERROR(INDEX('4.방문기록'!$H$3:$H$502,MATCH(B16&amp;"|"&amp;(L16*1),'4.방문기록'!$I$3:$I$502,0))&amp;"",""))</f>
        <v/>
      </c>
      <c r="O16">
        <f>IF(B16="","",IF(N16="관심 없음","제외",IF(L16="","안 가봄",IF(M16&gt;=설정!$B$20,M16&amp;"일 지남","최근 방문"))))</f>
        <v/>
      </c>
    </row>
    <row r="17">
      <c r="A17">
        <f>IF(B17="","",14)</f>
        <v/>
      </c>
      <c r="B17">
        <f>IFERROR(INDEX('2.현장'!$AC$2:$AC$1001,MATCH(14,'2.현장'!$AD$2:$AD$1001,0)),"")</f>
        <v/>
      </c>
      <c r="C17">
        <f>IF(B17="","",COUNTIFS('2.현장'!$AC$2:$AC$1001,B17,'2.현장'!$T$2:$T$1001,TRUE))</f>
        <v/>
      </c>
      <c r="D17">
        <f>IF(B17="","",COUNTIFS('2.현장'!$AC$2:$AC$1001,B17,'2.현장'!$T$2:$T$1001,TRUE,'2.현장'!$AA$2:$AA$1001,"★"))</f>
        <v/>
      </c>
      <c r="E17" s="5">
        <f>IF(B17="","",_xlfn.MAXIFS('2.현장'!$D$2:$D$1001,'2.현장'!$AC$2:$AC$1001,B17,'2.현장'!$T$2:$T$1001,TRUE))</f>
        <v/>
      </c>
      <c r="F17" s="7">
        <f>IF(B17="","",IF(_xlfn.MAXIFS('2.현장'!$M$2:$M$1001,'2.현장'!$AC$2:$AC$1001,B17,'2.현장'!$T$2:$T$1001,TRUE)=0,"",_xlfn.MAXIFS('2.현장'!$M$2:$M$1001,'2.현장'!$AC$2:$AC$1001,B17,'2.현장'!$T$2:$T$1001,TRUE)))</f>
        <v/>
      </c>
      <c r="G17">
        <f>IF(B17="","",IFERROR(INDEX('2.현장'!$C$2:$C$1001,MATCH(14,'2.현장'!$AD$2:$AD$1001,0)),""))</f>
        <v/>
      </c>
      <c r="H17">
        <f>IF(B17="","",IFERROR(INDEX('2.현장'!$N$2:$N$1001,MATCH(14,'2.현장'!$AD$2:$AD$1001,0)),""))</f>
        <v/>
      </c>
      <c r="I17">
        <f>IF(B17="","",IFERROR(INDEX('2.현장'!$G$2:$G$1001,MATCH(14,'2.현장'!$AD$2:$AD$1001,0)),""))</f>
        <v/>
      </c>
      <c r="J17">
        <f>IF(B17="","",IFERROR(VLOOKUP(B17,업체_메모!$A$3:$I$302,2,FALSE)&amp;"",""))</f>
        <v/>
      </c>
      <c r="K17">
        <f>IF(B17="","",IFERROR(VLOOKUP(B17,업체_메모!$A$3:$I$302,4,FALSE)&amp;"",""))</f>
        <v/>
      </c>
      <c r="L17" s="7">
        <f>IF(B17="","",IF(COUNTIF('4.방문기록'!$B$3:$B$502,B17)=0,"",_xlfn.MAXIFS('4.방문기록'!$A$3:$A$502,'4.방문기록'!$B$3:$B$502,B17)))</f>
        <v/>
      </c>
      <c r="M17">
        <f>IF(L17="","",설정!$B$24-L17)</f>
        <v/>
      </c>
      <c r="N17">
        <f>IF(L17="","",IFERROR(INDEX('4.방문기록'!$H$3:$H$502,MATCH(B17&amp;"|"&amp;(L17*1),'4.방문기록'!$I$3:$I$502,0))&amp;"",""))</f>
        <v/>
      </c>
      <c r="O17">
        <f>IF(B17="","",IF(N17="관심 없음","제외",IF(L17="","안 가봄",IF(M17&gt;=설정!$B$20,M17&amp;"일 지남","최근 방문"))))</f>
        <v/>
      </c>
    </row>
    <row r="18">
      <c r="A18">
        <f>IF(B18="","",15)</f>
        <v/>
      </c>
      <c r="B18">
        <f>IFERROR(INDEX('2.현장'!$AC$2:$AC$1001,MATCH(15,'2.현장'!$AD$2:$AD$1001,0)),"")</f>
        <v/>
      </c>
      <c r="C18">
        <f>IF(B18="","",COUNTIFS('2.현장'!$AC$2:$AC$1001,B18,'2.현장'!$T$2:$T$1001,TRUE))</f>
        <v/>
      </c>
      <c r="D18">
        <f>IF(B18="","",COUNTIFS('2.현장'!$AC$2:$AC$1001,B18,'2.현장'!$T$2:$T$1001,TRUE,'2.현장'!$AA$2:$AA$1001,"★"))</f>
        <v/>
      </c>
      <c r="E18" s="5">
        <f>IF(B18="","",_xlfn.MAXIFS('2.현장'!$D$2:$D$1001,'2.현장'!$AC$2:$AC$1001,B18,'2.현장'!$T$2:$T$1001,TRUE))</f>
        <v/>
      </c>
      <c r="F18" s="7">
        <f>IF(B18="","",IF(_xlfn.MAXIFS('2.현장'!$M$2:$M$1001,'2.현장'!$AC$2:$AC$1001,B18,'2.현장'!$T$2:$T$1001,TRUE)=0,"",_xlfn.MAXIFS('2.현장'!$M$2:$M$1001,'2.현장'!$AC$2:$AC$1001,B18,'2.현장'!$T$2:$T$1001,TRUE)))</f>
        <v/>
      </c>
      <c r="G18">
        <f>IF(B18="","",IFERROR(INDEX('2.현장'!$C$2:$C$1001,MATCH(15,'2.현장'!$AD$2:$AD$1001,0)),""))</f>
        <v/>
      </c>
      <c r="H18">
        <f>IF(B18="","",IFERROR(INDEX('2.현장'!$N$2:$N$1001,MATCH(15,'2.현장'!$AD$2:$AD$1001,0)),""))</f>
        <v/>
      </c>
      <c r="I18">
        <f>IF(B18="","",IFERROR(INDEX('2.현장'!$G$2:$G$1001,MATCH(15,'2.현장'!$AD$2:$AD$1001,0)),""))</f>
        <v/>
      </c>
      <c r="J18">
        <f>IF(B18="","",IFERROR(VLOOKUP(B18,업체_메모!$A$3:$I$302,2,FALSE)&amp;"",""))</f>
        <v/>
      </c>
      <c r="K18">
        <f>IF(B18="","",IFERROR(VLOOKUP(B18,업체_메모!$A$3:$I$302,4,FALSE)&amp;"",""))</f>
        <v/>
      </c>
      <c r="L18" s="7">
        <f>IF(B18="","",IF(COUNTIF('4.방문기록'!$B$3:$B$502,B18)=0,"",_xlfn.MAXIFS('4.방문기록'!$A$3:$A$502,'4.방문기록'!$B$3:$B$502,B18)))</f>
        <v/>
      </c>
      <c r="M18">
        <f>IF(L18="","",설정!$B$24-L18)</f>
        <v/>
      </c>
      <c r="N18">
        <f>IF(L18="","",IFERROR(INDEX('4.방문기록'!$H$3:$H$502,MATCH(B18&amp;"|"&amp;(L18*1),'4.방문기록'!$I$3:$I$502,0))&amp;"",""))</f>
        <v/>
      </c>
      <c r="O18">
        <f>IF(B18="","",IF(N18="관심 없음","제외",IF(L18="","안 가봄",IF(M18&gt;=설정!$B$20,M18&amp;"일 지남","최근 방문"))))</f>
        <v/>
      </c>
    </row>
    <row r="19">
      <c r="A19">
        <f>IF(B19="","",16)</f>
        <v/>
      </c>
      <c r="B19">
        <f>IFERROR(INDEX('2.현장'!$AC$2:$AC$1001,MATCH(16,'2.현장'!$AD$2:$AD$1001,0)),"")</f>
        <v/>
      </c>
      <c r="C19">
        <f>IF(B19="","",COUNTIFS('2.현장'!$AC$2:$AC$1001,B19,'2.현장'!$T$2:$T$1001,TRUE))</f>
        <v/>
      </c>
      <c r="D19">
        <f>IF(B19="","",COUNTIFS('2.현장'!$AC$2:$AC$1001,B19,'2.현장'!$T$2:$T$1001,TRUE,'2.현장'!$AA$2:$AA$1001,"★"))</f>
        <v/>
      </c>
      <c r="E19" s="5">
        <f>IF(B19="","",_xlfn.MAXIFS('2.현장'!$D$2:$D$1001,'2.현장'!$AC$2:$AC$1001,B19,'2.현장'!$T$2:$T$1001,TRUE))</f>
        <v/>
      </c>
      <c r="F19" s="7">
        <f>IF(B19="","",IF(_xlfn.MAXIFS('2.현장'!$M$2:$M$1001,'2.현장'!$AC$2:$AC$1001,B19,'2.현장'!$T$2:$T$1001,TRUE)=0,"",_xlfn.MAXIFS('2.현장'!$M$2:$M$1001,'2.현장'!$AC$2:$AC$1001,B19,'2.현장'!$T$2:$T$1001,TRUE)))</f>
        <v/>
      </c>
      <c r="G19">
        <f>IF(B19="","",IFERROR(INDEX('2.현장'!$C$2:$C$1001,MATCH(16,'2.현장'!$AD$2:$AD$1001,0)),""))</f>
        <v/>
      </c>
      <c r="H19">
        <f>IF(B19="","",IFERROR(INDEX('2.현장'!$N$2:$N$1001,MATCH(16,'2.현장'!$AD$2:$AD$1001,0)),""))</f>
        <v/>
      </c>
      <c r="I19">
        <f>IF(B19="","",IFERROR(INDEX('2.현장'!$G$2:$G$1001,MATCH(16,'2.현장'!$AD$2:$AD$1001,0)),""))</f>
        <v/>
      </c>
      <c r="J19">
        <f>IF(B19="","",IFERROR(VLOOKUP(B19,업체_메모!$A$3:$I$302,2,FALSE)&amp;"",""))</f>
        <v/>
      </c>
      <c r="K19">
        <f>IF(B19="","",IFERROR(VLOOKUP(B19,업체_메모!$A$3:$I$302,4,FALSE)&amp;"",""))</f>
        <v/>
      </c>
      <c r="L19" s="7">
        <f>IF(B19="","",IF(COUNTIF('4.방문기록'!$B$3:$B$502,B19)=0,"",_xlfn.MAXIFS('4.방문기록'!$A$3:$A$502,'4.방문기록'!$B$3:$B$502,B19)))</f>
        <v/>
      </c>
      <c r="M19">
        <f>IF(L19="","",설정!$B$24-L19)</f>
        <v/>
      </c>
      <c r="N19">
        <f>IF(L19="","",IFERROR(INDEX('4.방문기록'!$H$3:$H$502,MATCH(B19&amp;"|"&amp;(L19*1),'4.방문기록'!$I$3:$I$502,0))&amp;"",""))</f>
        <v/>
      </c>
      <c r="O19">
        <f>IF(B19="","",IF(N19="관심 없음","제외",IF(L19="","안 가봄",IF(M19&gt;=설정!$B$20,M19&amp;"일 지남","최근 방문"))))</f>
        <v/>
      </c>
    </row>
    <row r="20">
      <c r="A20">
        <f>IF(B20="","",17)</f>
        <v/>
      </c>
      <c r="B20">
        <f>IFERROR(INDEX('2.현장'!$AC$2:$AC$1001,MATCH(17,'2.현장'!$AD$2:$AD$1001,0)),"")</f>
        <v/>
      </c>
      <c r="C20">
        <f>IF(B20="","",COUNTIFS('2.현장'!$AC$2:$AC$1001,B20,'2.현장'!$T$2:$T$1001,TRUE))</f>
        <v/>
      </c>
      <c r="D20">
        <f>IF(B20="","",COUNTIFS('2.현장'!$AC$2:$AC$1001,B20,'2.현장'!$T$2:$T$1001,TRUE,'2.현장'!$AA$2:$AA$1001,"★"))</f>
        <v/>
      </c>
      <c r="E20" s="5">
        <f>IF(B20="","",_xlfn.MAXIFS('2.현장'!$D$2:$D$1001,'2.현장'!$AC$2:$AC$1001,B20,'2.현장'!$T$2:$T$1001,TRUE))</f>
        <v/>
      </c>
      <c r="F20" s="7">
        <f>IF(B20="","",IF(_xlfn.MAXIFS('2.현장'!$M$2:$M$1001,'2.현장'!$AC$2:$AC$1001,B20,'2.현장'!$T$2:$T$1001,TRUE)=0,"",_xlfn.MAXIFS('2.현장'!$M$2:$M$1001,'2.현장'!$AC$2:$AC$1001,B20,'2.현장'!$T$2:$T$1001,TRUE)))</f>
        <v/>
      </c>
      <c r="G20">
        <f>IF(B20="","",IFERROR(INDEX('2.현장'!$C$2:$C$1001,MATCH(17,'2.현장'!$AD$2:$AD$1001,0)),""))</f>
        <v/>
      </c>
      <c r="H20">
        <f>IF(B20="","",IFERROR(INDEX('2.현장'!$N$2:$N$1001,MATCH(17,'2.현장'!$AD$2:$AD$1001,0)),""))</f>
        <v/>
      </c>
      <c r="I20">
        <f>IF(B20="","",IFERROR(INDEX('2.현장'!$G$2:$G$1001,MATCH(17,'2.현장'!$AD$2:$AD$1001,0)),""))</f>
        <v/>
      </c>
      <c r="J20">
        <f>IF(B20="","",IFERROR(VLOOKUP(B20,업체_메모!$A$3:$I$302,2,FALSE)&amp;"",""))</f>
        <v/>
      </c>
      <c r="K20">
        <f>IF(B20="","",IFERROR(VLOOKUP(B20,업체_메모!$A$3:$I$302,4,FALSE)&amp;"",""))</f>
        <v/>
      </c>
      <c r="L20" s="7">
        <f>IF(B20="","",IF(COUNTIF('4.방문기록'!$B$3:$B$502,B20)=0,"",_xlfn.MAXIFS('4.방문기록'!$A$3:$A$502,'4.방문기록'!$B$3:$B$502,B20)))</f>
        <v/>
      </c>
      <c r="M20">
        <f>IF(L20="","",설정!$B$24-L20)</f>
        <v/>
      </c>
      <c r="N20">
        <f>IF(L20="","",IFERROR(INDEX('4.방문기록'!$H$3:$H$502,MATCH(B20&amp;"|"&amp;(L20*1),'4.방문기록'!$I$3:$I$502,0))&amp;"",""))</f>
        <v/>
      </c>
      <c r="O20">
        <f>IF(B20="","",IF(N20="관심 없음","제외",IF(L20="","안 가봄",IF(M20&gt;=설정!$B$20,M20&amp;"일 지남","최근 방문"))))</f>
        <v/>
      </c>
    </row>
    <row r="21">
      <c r="A21">
        <f>IF(B21="","",18)</f>
        <v/>
      </c>
      <c r="B21">
        <f>IFERROR(INDEX('2.현장'!$AC$2:$AC$1001,MATCH(18,'2.현장'!$AD$2:$AD$1001,0)),"")</f>
        <v/>
      </c>
      <c r="C21">
        <f>IF(B21="","",COUNTIFS('2.현장'!$AC$2:$AC$1001,B21,'2.현장'!$T$2:$T$1001,TRUE))</f>
        <v/>
      </c>
      <c r="D21">
        <f>IF(B21="","",COUNTIFS('2.현장'!$AC$2:$AC$1001,B21,'2.현장'!$T$2:$T$1001,TRUE,'2.현장'!$AA$2:$AA$1001,"★"))</f>
        <v/>
      </c>
      <c r="E21" s="5">
        <f>IF(B21="","",_xlfn.MAXIFS('2.현장'!$D$2:$D$1001,'2.현장'!$AC$2:$AC$1001,B21,'2.현장'!$T$2:$T$1001,TRUE))</f>
        <v/>
      </c>
      <c r="F21" s="7">
        <f>IF(B21="","",IF(_xlfn.MAXIFS('2.현장'!$M$2:$M$1001,'2.현장'!$AC$2:$AC$1001,B21,'2.현장'!$T$2:$T$1001,TRUE)=0,"",_xlfn.MAXIFS('2.현장'!$M$2:$M$1001,'2.현장'!$AC$2:$AC$1001,B21,'2.현장'!$T$2:$T$1001,TRUE)))</f>
        <v/>
      </c>
      <c r="G21">
        <f>IF(B21="","",IFERROR(INDEX('2.현장'!$C$2:$C$1001,MATCH(18,'2.현장'!$AD$2:$AD$1001,0)),""))</f>
        <v/>
      </c>
      <c r="H21">
        <f>IF(B21="","",IFERROR(INDEX('2.현장'!$N$2:$N$1001,MATCH(18,'2.현장'!$AD$2:$AD$1001,0)),""))</f>
        <v/>
      </c>
      <c r="I21">
        <f>IF(B21="","",IFERROR(INDEX('2.현장'!$G$2:$G$1001,MATCH(18,'2.현장'!$AD$2:$AD$1001,0)),""))</f>
        <v/>
      </c>
      <c r="J21">
        <f>IF(B21="","",IFERROR(VLOOKUP(B21,업체_메모!$A$3:$I$302,2,FALSE)&amp;"",""))</f>
        <v/>
      </c>
      <c r="K21">
        <f>IF(B21="","",IFERROR(VLOOKUP(B21,업체_메모!$A$3:$I$302,4,FALSE)&amp;"",""))</f>
        <v/>
      </c>
      <c r="L21" s="7">
        <f>IF(B21="","",IF(COUNTIF('4.방문기록'!$B$3:$B$502,B21)=0,"",_xlfn.MAXIFS('4.방문기록'!$A$3:$A$502,'4.방문기록'!$B$3:$B$502,B21)))</f>
        <v/>
      </c>
      <c r="M21">
        <f>IF(L21="","",설정!$B$24-L21)</f>
        <v/>
      </c>
      <c r="N21">
        <f>IF(L21="","",IFERROR(INDEX('4.방문기록'!$H$3:$H$502,MATCH(B21&amp;"|"&amp;(L21*1),'4.방문기록'!$I$3:$I$502,0))&amp;"",""))</f>
        <v/>
      </c>
      <c r="O21">
        <f>IF(B21="","",IF(N21="관심 없음","제외",IF(L21="","안 가봄",IF(M21&gt;=설정!$B$20,M21&amp;"일 지남","최근 방문"))))</f>
        <v/>
      </c>
    </row>
    <row r="22">
      <c r="A22">
        <f>IF(B22="","",19)</f>
        <v/>
      </c>
      <c r="B22">
        <f>IFERROR(INDEX('2.현장'!$AC$2:$AC$1001,MATCH(19,'2.현장'!$AD$2:$AD$1001,0)),"")</f>
        <v/>
      </c>
      <c r="C22">
        <f>IF(B22="","",COUNTIFS('2.현장'!$AC$2:$AC$1001,B22,'2.현장'!$T$2:$T$1001,TRUE))</f>
        <v/>
      </c>
      <c r="D22">
        <f>IF(B22="","",COUNTIFS('2.현장'!$AC$2:$AC$1001,B22,'2.현장'!$T$2:$T$1001,TRUE,'2.현장'!$AA$2:$AA$1001,"★"))</f>
        <v/>
      </c>
      <c r="E22" s="5">
        <f>IF(B22="","",_xlfn.MAXIFS('2.현장'!$D$2:$D$1001,'2.현장'!$AC$2:$AC$1001,B22,'2.현장'!$T$2:$T$1001,TRUE))</f>
        <v/>
      </c>
      <c r="F22" s="7">
        <f>IF(B22="","",IF(_xlfn.MAXIFS('2.현장'!$M$2:$M$1001,'2.현장'!$AC$2:$AC$1001,B22,'2.현장'!$T$2:$T$1001,TRUE)=0,"",_xlfn.MAXIFS('2.현장'!$M$2:$M$1001,'2.현장'!$AC$2:$AC$1001,B22,'2.현장'!$T$2:$T$1001,TRUE)))</f>
        <v/>
      </c>
      <c r="G22">
        <f>IF(B22="","",IFERROR(INDEX('2.현장'!$C$2:$C$1001,MATCH(19,'2.현장'!$AD$2:$AD$1001,0)),""))</f>
        <v/>
      </c>
      <c r="H22">
        <f>IF(B22="","",IFERROR(INDEX('2.현장'!$N$2:$N$1001,MATCH(19,'2.현장'!$AD$2:$AD$1001,0)),""))</f>
        <v/>
      </c>
      <c r="I22">
        <f>IF(B22="","",IFERROR(INDEX('2.현장'!$G$2:$G$1001,MATCH(19,'2.현장'!$AD$2:$AD$1001,0)),""))</f>
        <v/>
      </c>
      <c r="J22">
        <f>IF(B22="","",IFERROR(VLOOKUP(B22,업체_메모!$A$3:$I$302,2,FALSE)&amp;"",""))</f>
        <v/>
      </c>
      <c r="K22">
        <f>IF(B22="","",IFERROR(VLOOKUP(B22,업체_메모!$A$3:$I$302,4,FALSE)&amp;"",""))</f>
        <v/>
      </c>
      <c r="L22" s="7">
        <f>IF(B22="","",IF(COUNTIF('4.방문기록'!$B$3:$B$502,B22)=0,"",_xlfn.MAXIFS('4.방문기록'!$A$3:$A$502,'4.방문기록'!$B$3:$B$502,B22)))</f>
        <v/>
      </c>
      <c r="M22">
        <f>IF(L22="","",설정!$B$24-L22)</f>
        <v/>
      </c>
      <c r="N22">
        <f>IF(L22="","",IFERROR(INDEX('4.방문기록'!$H$3:$H$502,MATCH(B22&amp;"|"&amp;(L22*1),'4.방문기록'!$I$3:$I$502,0))&amp;"",""))</f>
        <v/>
      </c>
      <c r="O22">
        <f>IF(B22="","",IF(N22="관심 없음","제외",IF(L22="","안 가봄",IF(M22&gt;=설정!$B$20,M22&amp;"일 지남","최근 방문"))))</f>
        <v/>
      </c>
    </row>
    <row r="23">
      <c r="A23">
        <f>IF(B23="","",20)</f>
        <v/>
      </c>
      <c r="B23">
        <f>IFERROR(INDEX('2.현장'!$AC$2:$AC$1001,MATCH(20,'2.현장'!$AD$2:$AD$1001,0)),"")</f>
        <v/>
      </c>
      <c r="C23">
        <f>IF(B23="","",COUNTIFS('2.현장'!$AC$2:$AC$1001,B23,'2.현장'!$T$2:$T$1001,TRUE))</f>
        <v/>
      </c>
      <c r="D23">
        <f>IF(B23="","",COUNTIFS('2.현장'!$AC$2:$AC$1001,B23,'2.현장'!$T$2:$T$1001,TRUE,'2.현장'!$AA$2:$AA$1001,"★"))</f>
        <v/>
      </c>
      <c r="E23" s="5">
        <f>IF(B23="","",_xlfn.MAXIFS('2.현장'!$D$2:$D$1001,'2.현장'!$AC$2:$AC$1001,B23,'2.현장'!$T$2:$T$1001,TRUE))</f>
        <v/>
      </c>
      <c r="F23" s="7">
        <f>IF(B23="","",IF(_xlfn.MAXIFS('2.현장'!$M$2:$M$1001,'2.현장'!$AC$2:$AC$1001,B23,'2.현장'!$T$2:$T$1001,TRUE)=0,"",_xlfn.MAXIFS('2.현장'!$M$2:$M$1001,'2.현장'!$AC$2:$AC$1001,B23,'2.현장'!$T$2:$T$1001,TRUE)))</f>
        <v/>
      </c>
      <c r="G23">
        <f>IF(B23="","",IFERROR(INDEX('2.현장'!$C$2:$C$1001,MATCH(20,'2.현장'!$AD$2:$AD$1001,0)),""))</f>
        <v/>
      </c>
      <c r="H23">
        <f>IF(B23="","",IFERROR(INDEX('2.현장'!$N$2:$N$1001,MATCH(20,'2.현장'!$AD$2:$AD$1001,0)),""))</f>
        <v/>
      </c>
      <c r="I23">
        <f>IF(B23="","",IFERROR(INDEX('2.현장'!$G$2:$G$1001,MATCH(20,'2.현장'!$AD$2:$AD$1001,0)),""))</f>
        <v/>
      </c>
      <c r="J23">
        <f>IF(B23="","",IFERROR(VLOOKUP(B23,업체_메모!$A$3:$I$302,2,FALSE)&amp;"",""))</f>
        <v/>
      </c>
      <c r="K23">
        <f>IF(B23="","",IFERROR(VLOOKUP(B23,업체_메모!$A$3:$I$302,4,FALSE)&amp;"",""))</f>
        <v/>
      </c>
      <c r="L23" s="7">
        <f>IF(B23="","",IF(COUNTIF('4.방문기록'!$B$3:$B$502,B23)=0,"",_xlfn.MAXIFS('4.방문기록'!$A$3:$A$502,'4.방문기록'!$B$3:$B$502,B23)))</f>
        <v/>
      </c>
      <c r="M23">
        <f>IF(L23="","",설정!$B$24-L23)</f>
        <v/>
      </c>
      <c r="N23">
        <f>IF(L23="","",IFERROR(INDEX('4.방문기록'!$H$3:$H$502,MATCH(B23&amp;"|"&amp;(L23*1),'4.방문기록'!$I$3:$I$502,0))&amp;"",""))</f>
        <v/>
      </c>
      <c r="O23">
        <f>IF(B23="","",IF(N23="관심 없음","제외",IF(L23="","안 가봄",IF(M23&gt;=설정!$B$20,M23&amp;"일 지남","최근 방문"))))</f>
        <v/>
      </c>
    </row>
    <row r="24">
      <c r="A24">
        <f>IF(B24="","",21)</f>
        <v/>
      </c>
      <c r="B24">
        <f>IFERROR(INDEX('2.현장'!$AC$2:$AC$1001,MATCH(21,'2.현장'!$AD$2:$AD$1001,0)),"")</f>
        <v/>
      </c>
      <c r="C24">
        <f>IF(B24="","",COUNTIFS('2.현장'!$AC$2:$AC$1001,B24,'2.현장'!$T$2:$T$1001,TRUE))</f>
        <v/>
      </c>
      <c r="D24">
        <f>IF(B24="","",COUNTIFS('2.현장'!$AC$2:$AC$1001,B24,'2.현장'!$T$2:$T$1001,TRUE,'2.현장'!$AA$2:$AA$1001,"★"))</f>
        <v/>
      </c>
      <c r="E24" s="5">
        <f>IF(B24="","",_xlfn.MAXIFS('2.현장'!$D$2:$D$1001,'2.현장'!$AC$2:$AC$1001,B24,'2.현장'!$T$2:$T$1001,TRUE))</f>
        <v/>
      </c>
      <c r="F24" s="7">
        <f>IF(B24="","",IF(_xlfn.MAXIFS('2.현장'!$M$2:$M$1001,'2.현장'!$AC$2:$AC$1001,B24,'2.현장'!$T$2:$T$1001,TRUE)=0,"",_xlfn.MAXIFS('2.현장'!$M$2:$M$1001,'2.현장'!$AC$2:$AC$1001,B24,'2.현장'!$T$2:$T$1001,TRUE)))</f>
        <v/>
      </c>
      <c r="G24">
        <f>IF(B24="","",IFERROR(INDEX('2.현장'!$C$2:$C$1001,MATCH(21,'2.현장'!$AD$2:$AD$1001,0)),""))</f>
        <v/>
      </c>
      <c r="H24">
        <f>IF(B24="","",IFERROR(INDEX('2.현장'!$N$2:$N$1001,MATCH(21,'2.현장'!$AD$2:$AD$1001,0)),""))</f>
        <v/>
      </c>
      <c r="I24">
        <f>IF(B24="","",IFERROR(INDEX('2.현장'!$G$2:$G$1001,MATCH(21,'2.현장'!$AD$2:$AD$1001,0)),""))</f>
        <v/>
      </c>
      <c r="J24">
        <f>IF(B24="","",IFERROR(VLOOKUP(B24,업체_메모!$A$3:$I$302,2,FALSE)&amp;"",""))</f>
        <v/>
      </c>
      <c r="K24">
        <f>IF(B24="","",IFERROR(VLOOKUP(B24,업체_메모!$A$3:$I$302,4,FALSE)&amp;"",""))</f>
        <v/>
      </c>
      <c r="L24" s="7">
        <f>IF(B24="","",IF(COUNTIF('4.방문기록'!$B$3:$B$502,B24)=0,"",_xlfn.MAXIFS('4.방문기록'!$A$3:$A$502,'4.방문기록'!$B$3:$B$502,B24)))</f>
        <v/>
      </c>
      <c r="M24">
        <f>IF(L24="","",설정!$B$24-L24)</f>
        <v/>
      </c>
      <c r="N24">
        <f>IF(L24="","",IFERROR(INDEX('4.방문기록'!$H$3:$H$502,MATCH(B24&amp;"|"&amp;(L24*1),'4.방문기록'!$I$3:$I$502,0))&amp;"",""))</f>
        <v/>
      </c>
      <c r="O24">
        <f>IF(B24="","",IF(N24="관심 없음","제외",IF(L24="","안 가봄",IF(M24&gt;=설정!$B$20,M24&amp;"일 지남","최근 방문"))))</f>
        <v/>
      </c>
    </row>
    <row r="25">
      <c r="A25">
        <f>IF(B25="","",22)</f>
        <v/>
      </c>
      <c r="B25">
        <f>IFERROR(INDEX('2.현장'!$AC$2:$AC$1001,MATCH(22,'2.현장'!$AD$2:$AD$1001,0)),"")</f>
        <v/>
      </c>
      <c r="C25">
        <f>IF(B25="","",COUNTIFS('2.현장'!$AC$2:$AC$1001,B25,'2.현장'!$T$2:$T$1001,TRUE))</f>
        <v/>
      </c>
      <c r="D25">
        <f>IF(B25="","",COUNTIFS('2.현장'!$AC$2:$AC$1001,B25,'2.현장'!$T$2:$T$1001,TRUE,'2.현장'!$AA$2:$AA$1001,"★"))</f>
        <v/>
      </c>
      <c r="E25" s="5">
        <f>IF(B25="","",_xlfn.MAXIFS('2.현장'!$D$2:$D$1001,'2.현장'!$AC$2:$AC$1001,B25,'2.현장'!$T$2:$T$1001,TRUE))</f>
        <v/>
      </c>
      <c r="F25" s="7">
        <f>IF(B25="","",IF(_xlfn.MAXIFS('2.현장'!$M$2:$M$1001,'2.현장'!$AC$2:$AC$1001,B25,'2.현장'!$T$2:$T$1001,TRUE)=0,"",_xlfn.MAXIFS('2.현장'!$M$2:$M$1001,'2.현장'!$AC$2:$AC$1001,B25,'2.현장'!$T$2:$T$1001,TRUE)))</f>
        <v/>
      </c>
      <c r="G25">
        <f>IF(B25="","",IFERROR(INDEX('2.현장'!$C$2:$C$1001,MATCH(22,'2.현장'!$AD$2:$AD$1001,0)),""))</f>
        <v/>
      </c>
      <c r="H25">
        <f>IF(B25="","",IFERROR(INDEX('2.현장'!$N$2:$N$1001,MATCH(22,'2.현장'!$AD$2:$AD$1001,0)),""))</f>
        <v/>
      </c>
      <c r="I25">
        <f>IF(B25="","",IFERROR(INDEX('2.현장'!$G$2:$G$1001,MATCH(22,'2.현장'!$AD$2:$AD$1001,0)),""))</f>
        <v/>
      </c>
      <c r="J25">
        <f>IF(B25="","",IFERROR(VLOOKUP(B25,업체_메모!$A$3:$I$302,2,FALSE)&amp;"",""))</f>
        <v/>
      </c>
      <c r="K25">
        <f>IF(B25="","",IFERROR(VLOOKUP(B25,업체_메모!$A$3:$I$302,4,FALSE)&amp;"",""))</f>
        <v/>
      </c>
      <c r="L25" s="7">
        <f>IF(B25="","",IF(COUNTIF('4.방문기록'!$B$3:$B$502,B25)=0,"",_xlfn.MAXIFS('4.방문기록'!$A$3:$A$502,'4.방문기록'!$B$3:$B$502,B25)))</f>
        <v/>
      </c>
      <c r="M25">
        <f>IF(L25="","",설정!$B$24-L25)</f>
        <v/>
      </c>
      <c r="N25">
        <f>IF(L25="","",IFERROR(INDEX('4.방문기록'!$H$3:$H$502,MATCH(B25&amp;"|"&amp;(L25*1),'4.방문기록'!$I$3:$I$502,0))&amp;"",""))</f>
        <v/>
      </c>
      <c r="O25">
        <f>IF(B25="","",IF(N25="관심 없음","제외",IF(L25="","안 가봄",IF(M25&gt;=설정!$B$20,M25&amp;"일 지남","최근 방문"))))</f>
        <v/>
      </c>
    </row>
    <row r="26">
      <c r="A26">
        <f>IF(B26="","",23)</f>
        <v/>
      </c>
      <c r="B26">
        <f>IFERROR(INDEX('2.현장'!$AC$2:$AC$1001,MATCH(23,'2.현장'!$AD$2:$AD$1001,0)),"")</f>
        <v/>
      </c>
      <c r="C26">
        <f>IF(B26="","",COUNTIFS('2.현장'!$AC$2:$AC$1001,B26,'2.현장'!$T$2:$T$1001,TRUE))</f>
        <v/>
      </c>
      <c r="D26">
        <f>IF(B26="","",COUNTIFS('2.현장'!$AC$2:$AC$1001,B26,'2.현장'!$T$2:$T$1001,TRUE,'2.현장'!$AA$2:$AA$1001,"★"))</f>
        <v/>
      </c>
      <c r="E26" s="5">
        <f>IF(B26="","",_xlfn.MAXIFS('2.현장'!$D$2:$D$1001,'2.현장'!$AC$2:$AC$1001,B26,'2.현장'!$T$2:$T$1001,TRUE))</f>
        <v/>
      </c>
      <c r="F26" s="7">
        <f>IF(B26="","",IF(_xlfn.MAXIFS('2.현장'!$M$2:$M$1001,'2.현장'!$AC$2:$AC$1001,B26,'2.현장'!$T$2:$T$1001,TRUE)=0,"",_xlfn.MAXIFS('2.현장'!$M$2:$M$1001,'2.현장'!$AC$2:$AC$1001,B26,'2.현장'!$T$2:$T$1001,TRUE)))</f>
        <v/>
      </c>
      <c r="G26">
        <f>IF(B26="","",IFERROR(INDEX('2.현장'!$C$2:$C$1001,MATCH(23,'2.현장'!$AD$2:$AD$1001,0)),""))</f>
        <v/>
      </c>
      <c r="H26">
        <f>IF(B26="","",IFERROR(INDEX('2.현장'!$N$2:$N$1001,MATCH(23,'2.현장'!$AD$2:$AD$1001,0)),""))</f>
        <v/>
      </c>
      <c r="I26">
        <f>IF(B26="","",IFERROR(INDEX('2.현장'!$G$2:$G$1001,MATCH(23,'2.현장'!$AD$2:$AD$1001,0)),""))</f>
        <v/>
      </c>
      <c r="J26">
        <f>IF(B26="","",IFERROR(VLOOKUP(B26,업체_메모!$A$3:$I$302,2,FALSE)&amp;"",""))</f>
        <v/>
      </c>
      <c r="K26">
        <f>IF(B26="","",IFERROR(VLOOKUP(B26,업체_메모!$A$3:$I$302,4,FALSE)&amp;"",""))</f>
        <v/>
      </c>
      <c r="L26" s="7">
        <f>IF(B26="","",IF(COUNTIF('4.방문기록'!$B$3:$B$502,B26)=0,"",_xlfn.MAXIFS('4.방문기록'!$A$3:$A$502,'4.방문기록'!$B$3:$B$502,B26)))</f>
        <v/>
      </c>
      <c r="M26">
        <f>IF(L26="","",설정!$B$24-L26)</f>
        <v/>
      </c>
      <c r="N26">
        <f>IF(L26="","",IFERROR(INDEX('4.방문기록'!$H$3:$H$502,MATCH(B26&amp;"|"&amp;(L26*1),'4.방문기록'!$I$3:$I$502,0))&amp;"",""))</f>
        <v/>
      </c>
      <c r="O26">
        <f>IF(B26="","",IF(N26="관심 없음","제외",IF(L26="","안 가봄",IF(M26&gt;=설정!$B$20,M26&amp;"일 지남","최근 방문"))))</f>
        <v/>
      </c>
    </row>
    <row r="27">
      <c r="A27">
        <f>IF(B27="","",24)</f>
        <v/>
      </c>
      <c r="B27">
        <f>IFERROR(INDEX('2.현장'!$AC$2:$AC$1001,MATCH(24,'2.현장'!$AD$2:$AD$1001,0)),"")</f>
        <v/>
      </c>
      <c r="C27">
        <f>IF(B27="","",COUNTIFS('2.현장'!$AC$2:$AC$1001,B27,'2.현장'!$T$2:$T$1001,TRUE))</f>
        <v/>
      </c>
      <c r="D27">
        <f>IF(B27="","",COUNTIFS('2.현장'!$AC$2:$AC$1001,B27,'2.현장'!$T$2:$T$1001,TRUE,'2.현장'!$AA$2:$AA$1001,"★"))</f>
        <v/>
      </c>
      <c r="E27" s="5">
        <f>IF(B27="","",_xlfn.MAXIFS('2.현장'!$D$2:$D$1001,'2.현장'!$AC$2:$AC$1001,B27,'2.현장'!$T$2:$T$1001,TRUE))</f>
        <v/>
      </c>
      <c r="F27" s="7">
        <f>IF(B27="","",IF(_xlfn.MAXIFS('2.현장'!$M$2:$M$1001,'2.현장'!$AC$2:$AC$1001,B27,'2.현장'!$T$2:$T$1001,TRUE)=0,"",_xlfn.MAXIFS('2.현장'!$M$2:$M$1001,'2.현장'!$AC$2:$AC$1001,B27,'2.현장'!$T$2:$T$1001,TRUE)))</f>
        <v/>
      </c>
      <c r="G27">
        <f>IF(B27="","",IFERROR(INDEX('2.현장'!$C$2:$C$1001,MATCH(24,'2.현장'!$AD$2:$AD$1001,0)),""))</f>
        <v/>
      </c>
      <c r="H27">
        <f>IF(B27="","",IFERROR(INDEX('2.현장'!$N$2:$N$1001,MATCH(24,'2.현장'!$AD$2:$AD$1001,0)),""))</f>
        <v/>
      </c>
      <c r="I27">
        <f>IF(B27="","",IFERROR(INDEX('2.현장'!$G$2:$G$1001,MATCH(24,'2.현장'!$AD$2:$AD$1001,0)),""))</f>
        <v/>
      </c>
      <c r="J27">
        <f>IF(B27="","",IFERROR(VLOOKUP(B27,업체_메모!$A$3:$I$302,2,FALSE)&amp;"",""))</f>
        <v/>
      </c>
      <c r="K27">
        <f>IF(B27="","",IFERROR(VLOOKUP(B27,업체_메모!$A$3:$I$302,4,FALSE)&amp;"",""))</f>
        <v/>
      </c>
      <c r="L27" s="7">
        <f>IF(B27="","",IF(COUNTIF('4.방문기록'!$B$3:$B$502,B27)=0,"",_xlfn.MAXIFS('4.방문기록'!$A$3:$A$502,'4.방문기록'!$B$3:$B$502,B27)))</f>
        <v/>
      </c>
      <c r="M27">
        <f>IF(L27="","",설정!$B$24-L27)</f>
        <v/>
      </c>
      <c r="N27">
        <f>IF(L27="","",IFERROR(INDEX('4.방문기록'!$H$3:$H$502,MATCH(B27&amp;"|"&amp;(L27*1),'4.방문기록'!$I$3:$I$502,0))&amp;"",""))</f>
        <v/>
      </c>
      <c r="O27">
        <f>IF(B27="","",IF(N27="관심 없음","제외",IF(L27="","안 가봄",IF(M27&gt;=설정!$B$20,M27&amp;"일 지남","최근 방문"))))</f>
        <v/>
      </c>
    </row>
    <row r="28">
      <c r="A28">
        <f>IF(B28="","",25)</f>
        <v/>
      </c>
      <c r="B28">
        <f>IFERROR(INDEX('2.현장'!$AC$2:$AC$1001,MATCH(25,'2.현장'!$AD$2:$AD$1001,0)),"")</f>
        <v/>
      </c>
      <c r="C28">
        <f>IF(B28="","",COUNTIFS('2.현장'!$AC$2:$AC$1001,B28,'2.현장'!$T$2:$T$1001,TRUE))</f>
        <v/>
      </c>
      <c r="D28">
        <f>IF(B28="","",COUNTIFS('2.현장'!$AC$2:$AC$1001,B28,'2.현장'!$T$2:$T$1001,TRUE,'2.현장'!$AA$2:$AA$1001,"★"))</f>
        <v/>
      </c>
      <c r="E28" s="5">
        <f>IF(B28="","",_xlfn.MAXIFS('2.현장'!$D$2:$D$1001,'2.현장'!$AC$2:$AC$1001,B28,'2.현장'!$T$2:$T$1001,TRUE))</f>
        <v/>
      </c>
      <c r="F28" s="7">
        <f>IF(B28="","",IF(_xlfn.MAXIFS('2.현장'!$M$2:$M$1001,'2.현장'!$AC$2:$AC$1001,B28,'2.현장'!$T$2:$T$1001,TRUE)=0,"",_xlfn.MAXIFS('2.현장'!$M$2:$M$1001,'2.현장'!$AC$2:$AC$1001,B28,'2.현장'!$T$2:$T$1001,TRUE)))</f>
        <v/>
      </c>
      <c r="G28">
        <f>IF(B28="","",IFERROR(INDEX('2.현장'!$C$2:$C$1001,MATCH(25,'2.현장'!$AD$2:$AD$1001,0)),""))</f>
        <v/>
      </c>
      <c r="H28">
        <f>IF(B28="","",IFERROR(INDEX('2.현장'!$N$2:$N$1001,MATCH(25,'2.현장'!$AD$2:$AD$1001,0)),""))</f>
        <v/>
      </c>
      <c r="I28">
        <f>IF(B28="","",IFERROR(INDEX('2.현장'!$G$2:$G$1001,MATCH(25,'2.현장'!$AD$2:$AD$1001,0)),""))</f>
        <v/>
      </c>
      <c r="J28">
        <f>IF(B28="","",IFERROR(VLOOKUP(B28,업체_메모!$A$3:$I$302,2,FALSE)&amp;"",""))</f>
        <v/>
      </c>
      <c r="K28">
        <f>IF(B28="","",IFERROR(VLOOKUP(B28,업체_메모!$A$3:$I$302,4,FALSE)&amp;"",""))</f>
        <v/>
      </c>
      <c r="L28" s="7">
        <f>IF(B28="","",IF(COUNTIF('4.방문기록'!$B$3:$B$502,B28)=0,"",_xlfn.MAXIFS('4.방문기록'!$A$3:$A$502,'4.방문기록'!$B$3:$B$502,B28)))</f>
        <v/>
      </c>
      <c r="M28">
        <f>IF(L28="","",설정!$B$24-L28)</f>
        <v/>
      </c>
      <c r="N28">
        <f>IF(L28="","",IFERROR(INDEX('4.방문기록'!$H$3:$H$502,MATCH(B28&amp;"|"&amp;(L28*1),'4.방문기록'!$I$3:$I$502,0))&amp;"",""))</f>
        <v/>
      </c>
      <c r="O28">
        <f>IF(B28="","",IF(N28="관심 없음","제외",IF(L28="","안 가봄",IF(M28&gt;=설정!$B$20,M28&amp;"일 지남","최근 방문"))))</f>
        <v/>
      </c>
    </row>
    <row r="29">
      <c r="A29">
        <f>IF(B29="","",26)</f>
        <v/>
      </c>
      <c r="B29">
        <f>IFERROR(INDEX('2.현장'!$AC$2:$AC$1001,MATCH(26,'2.현장'!$AD$2:$AD$1001,0)),"")</f>
        <v/>
      </c>
      <c r="C29">
        <f>IF(B29="","",COUNTIFS('2.현장'!$AC$2:$AC$1001,B29,'2.현장'!$T$2:$T$1001,TRUE))</f>
        <v/>
      </c>
      <c r="D29">
        <f>IF(B29="","",COUNTIFS('2.현장'!$AC$2:$AC$1001,B29,'2.현장'!$T$2:$T$1001,TRUE,'2.현장'!$AA$2:$AA$1001,"★"))</f>
        <v/>
      </c>
      <c r="E29" s="5">
        <f>IF(B29="","",_xlfn.MAXIFS('2.현장'!$D$2:$D$1001,'2.현장'!$AC$2:$AC$1001,B29,'2.현장'!$T$2:$T$1001,TRUE))</f>
        <v/>
      </c>
      <c r="F29" s="7">
        <f>IF(B29="","",IF(_xlfn.MAXIFS('2.현장'!$M$2:$M$1001,'2.현장'!$AC$2:$AC$1001,B29,'2.현장'!$T$2:$T$1001,TRUE)=0,"",_xlfn.MAXIFS('2.현장'!$M$2:$M$1001,'2.현장'!$AC$2:$AC$1001,B29,'2.현장'!$T$2:$T$1001,TRUE)))</f>
        <v/>
      </c>
      <c r="G29">
        <f>IF(B29="","",IFERROR(INDEX('2.현장'!$C$2:$C$1001,MATCH(26,'2.현장'!$AD$2:$AD$1001,0)),""))</f>
        <v/>
      </c>
      <c r="H29">
        <f>IF(B29="","",IFERROR(INDEX('2.현장'!$N$2:$N$1001,MATCH(26,'2.현장'!$AD$2:$AD$1001,0)),""))</f>
        <v/>
      </c>
      <c r="I29">
        <f>IF(B29="","",IFERROR(INDEX('2.현장'!$G$2:$G$1001,MATCH(26,'2.현장'!$AD$2:$AD$1001,0)),""))</f>
        <v/>
      </c>
      <c r="J29">
        <f>IF(B29="","",IFERROR(VLOOKUP(B29,업체_메모!$A$3:$I$302,2,FALSE)&amp;"",""))</f>
        <v/>
      </c>
      <c r="K29">
        <f>IF(B29="","",IFERROR(VLOOKUP(B29,업체_메모!$A$3:$I$302,4,FALSE)&amp;"",""))</f>
        <v/>
      </c>
      <c r="L29" s="7">
        <f>IF(B29="","",IF(COUNTIF('4.방문기록'!$B$3:$B$502,B29)=0,"",_xlfn.MAXIFS('4.방문기록'!$A$3:$A$502,'4.방문기록'!$B$3:$B$502,B29)))</f>
        <v/>
      </c>
      <c r="M29">
        <f>IF(L29="","",설정!$B$24-L29)</f>
        <v/>
      </c>
      <c r="N29">
        <f>IF(L29="","",IFERROR(INDEX('4.방문기록'!$H$3:$H$502,MATCH(B29&amp;"|"&amp;(L29*1),'4.방문기록'!$I$3:$I$502,0))&amp;"",""))</f>
        <v/>
      </c>
      <c r="O29">
        <f>IF(B29="","",IF(N29="관심 없음","제외",IF(L29="","안 가봄",IF(M29&gt;=설정!$B$20,M29&amp;"일 지남","최근 방문"))))</f>
        <v/>
      </c>
    </row>
    <row r="30">
      <c r="A30">
        <f>IF(B30="","",27)</f>
        <v/>
      </c>
      <c r="B30">
        <f>IFERROR(INDEX('2.현장'!$AC$2:$AC$1001,MATCH(27,'2.현장'!$AD$2:$AD$1001,0)),"")</f>
        <v/>
      </c>
      <c r="C30">
        <f>IF(B30="","",COUNTIFS('2.현장'!$AC$2:$AC$1001,B30,'2.현장'!$T$2:$T$1001,TRUE))</f>
        <v/>
      </c>
      <c r="D30">
        <f>IF(B30="","",COUNTIFS('2.현장'!$AC$2:$AC$1001,B30,'2.현장'!$T$2:$T$1001,TRUE,'2.현장'!$AA$2:$AA$1001,"★"))</f>
        <v/>
      </c>
      <c r="E30" s="5">
        <f>IF(B30="","",_xlfn.MAXIFS('2.현장'!$D$2:$D$1001,'2.현장'!$AC$2:$AC$1001,B30,'2.현장'!$T$2:$T$1001,TRUE))</f>
        <v/>
      </c>
      <c r="F30" s="7">
        <f>IF(B30="","",IF(_xlfn.MAXIFS('2.현장'!$M$2:$M$1001,'2.현장'!$AC$2:$AC$1001,B30,'2.현장'!$T$2:$T$1001,TRUE)=0,"",_xlfn.MAXIFS('2.현장'!$M$2:$M$1001,'2.현장'!$AC$2:$AC$1001,B30,'2.현장'!$T$2:$T$1001,TRUE)))</f>
        <v/>
      </c>
      <c r="G30">
        <f>IF(B30="","",IFERROR(INDEX('2.현장'!$C$2:$C$1001,MATCH(27,'2.현장'!$AD$2:$AD$1001,0)),""))</f>
        <v/>
      </c>
      <c r="H30">
        <f>IF(B30="","",IFERROR(INDEX('2.현장'!$N$2:$N$1001,MATCH(27,'2.현장'!$AD$2:$AD$1001,0)),""))</f>
        <v/>
      </c>
      <c r="I30">
        <f>IF(B30="","",IFERROR(INDEX('2.현장'!$G$2:$G$1001,MATCH(27,'2.현장'!$AD$2:$AD$1001,0)),""))</f>
        <v/>
      </c>
      <c r="J30">
        <f>IF(B30="","",IFERROR(VLOOKUP(B30,업체_메모!$A$3:$I$302,2,FALSE)&amp;"",""))</f>
        <v/>
      </c>
      <c r="K30">
        <f>IF(B30="","",IFERROR(VLOOKUP(B30,업체_메모!$A$3:$I$302,4,FALSE)&amp;"",""))</f>
        <v/>
      </c>
      <c r="L30" s="7">
        <f>IF(B30="","",IF(COUNTIF('4.방문기록'!$B$3:$B$502,B30)=0,"",_xlfn.MAXIFS('4.방문기록'!$A$3:$A$502,'4.방문기록'!$B$3:$B$502,B30)))</f>
        <v/>
      </c>
      <c r="M30">
        <f>IF(L30="","",설정!$B$24-L30)</f>
        <v/>
      </c>
      <c r="N30">
        <f>IF(L30="","",IFERROR(INDEX('4.방문기록'!$H$3:$H$502,MATCH(B30&amp;"|"&amp;(L30*1),'4.방문기록'!$I$3:$I$502,0))&amp;"",""))</f>
        <v/>
      </c>
      <c r="O30">
        <f>IF(B30="","",IF(N30="관심 없음","제외",IF(L30="","안 가봄",IF(M30&gt;=설정!$B$20,M30&amp;"일 지남","최근 방문"))))</f>
        <v/>
      </c>
    </row>
    <row r="31">
      <c r="A31">
        <f>IF(B31="","",28)</f>
        <v/>
      </c>
      <c r="B31">
        <f>IFERROR(INDEX('2.현장'!$AC$2:$AC$1001,MATCH(28,'2.현장'!$AD$2:$AD$1001,0)),"")</f>
        <v/>
      </c>
      <c r="C31">
        <f>IF(B31="","",COUNTIFS('2.현장'!$AC$2:$AC$1001,B31,'2.현장'!$T$2:$T$1001,TRUE))</f>
        <v/>
      </c>
      <c r="D31">
        <f>IF(B31="","",COUNTIFS('2.현장'!$AC$2:$AC$1001,B31,'2.현장'!$T$2:$T$1001,TRUE,'2.현장'!$AA$2:$AA$1001,"★"))</f>
        <v/>
      </c>
      <c r="E31" s="5">
        <f>IF(B31="","",_xlfn.MAXIFS('2.현장'!$D$2:$D$1001,'2.현장'!$AC$2:$AC$1001,B31,'2.현장'!$T$2:$T$1001,TRUE))</f>
        <v/>
      </c>
      <c r="F31" s="7">
        <f>IF(B31="","",IF(_xlfn.MAXIFS('2.현장'!$M$2:$M$1001,'2.현장'!$AC$2:$AC$1001,B31,'2.현장'!$T$2:$T$1001,TRUE)=0,"",_xlfn.MAXIFS('2.현장'!$M$2:$M$1001,'2.현장'!$AC$2:$AC$1001,B31,'2.현장'!$T$2:$T$1001,TRUE)))</f>
        <v/>
      </c>
      <c r="G31">
        <f>IF(B31="","",IFERROR(INDEX('2.현장'!$C$2:$C$1001,MATCH(28,'2.현장'!$AD$2:$AD$1001,0)),""))</f>
        <v/>
      </c>
      <c r="H31">
        <f>IF(B31="","",IFERROR(INDEX('2.현장'!$N$2:$N$1001,MATCH(28,'2.현장'!$AD$2:$AD$1001,0)),""))</f>
        <v/>
      </c>
      <c r="I31">
        <f>IF(B31="","",IFERROR(INDEX('2.현장'!$G$2:$G$1001,MATCH(28,'2.현장'!$AD$2:$AD$1001,0)),""))</f>
        <v/>
      </c>
      <c r="J31">
        <f>IF(B31="","",IFERROR(VLOOKUP(B31,업체_메모!$A$3:$I$302,2,FALSE)&amp;"",""))</f>
        <v/>
      </c>
      <c r="K31">
        <f>IF(B31="","",IFERROR(VLOOKUP(B31,업체_메모!$A$3:$I$302,4,FALSE)&amp;"",""))</f>
        <v/>
      </c>
      <c r="L31" s="7">
        <f>IF(B31="","",IF(COUNTIF('4.방문기록'!$B$3:$B$502,B31)=0,"",_xlfn.MAXIFS('4.방문기록'!$A$3:$A$502,'4.방문기록'!$B$3:$B$502,B31)))</f>
        <v/>
      </c>
      <c r="M31">
        <f>IF(L31="","",설정!$B$24-L31)</f>
        <v/>
      </c>
      <c r="N31">
        <f>IF(L31="","",IFERROR(INDEX('4.방문기록'!$H$3:$H$502,MATCH(B31&amp;"|"&amp;(L31*1),'4.방문기록'!$I$3:$I$502,0))&amp;"",""))</f>
        <v/>
      </c>
      <c r="O31">
        <f>IF(B31="","",IF(N31="관심 없음","제외",IF(L31="","안 가봄",IF(M31&gt;=설정!$B$20,M31&amp;"일 지남","최근 방문"))))</f>
        <v/>
      </c>
    </row>
    <row r="32">
      <c r="A32">
        <f>IF(B32="","",29)</f>
        <v/>
      </c>
      <c r="B32">
        <f>IFERROR(INDEX('2.현장'!$AC$2:$AC$1001,MATCH(29,'2.현장'!$AD$2:$AD$1001,0)),"")</f>
        <v/>
      </c>
      <c r="C32">
        <f>IF(B32="","",COUNTIFS('2.현장'!$AC$2:$AC$1001,B32,'2.현장'!$T$2:$T$1001,TRUE))</f>
        <v/>
      </c>
      <c r="D32">
        <f>IF(B32="","",COUNTIFS('2.현장'!$AC$2:$AC$1001,B32,'2.현장'!$T$2:$T$1001,TRUE,'2.현장'!$AA$2:$AA$1001,"★"))</f>
        <v/>
      </c>
      <c r="E32" s="5">
        <f>IF(B32="","",_xlfn.MAXIFS('2.현장'!$D$2:$D$1001,'2.현장'!$AC$2:$AC$1001,B32,'2.현장'!$T$2:$T$1001,TRUE))</f>
        <v/>
      </c>
      <c r="F32" s="7">
        <f>IF(B32="","",IF(_xlfn.MAXIFS('2.현장'!$M$2:$M$1001,'2.현장'!$AC$2:$AC$1001,B32,'2.현장'!$T$2:$T$1001,TRUE)=0,"",_xlfn.MAXIFS('2.현장'!$M$2:$M$1001,'2.현장'!$AC$2:$AC$1001,B32,'2.현장'!$T$2:$T$1001,TRUE)))</f>
        <v/>
      </c>
      <c r="G32">
        <f>IF(B32="","",IFERROR(INDEX('2.현장'!$C$2:$C$1001,MATCH(29,'2.현장'!$AD$2:$AD$1001,0)),""))</f>
        <v/>
      </c>
      <c r="H32">
        <f>IF(B32="","",IFERROR(INDEX('2.현장'!$N$2:$N$1001,MATCH(29,'2.현장'!$AD$2:$AD$1001,0)),""))</f>
        <v/>
      </c>
      <c r="I32">
        <f>IF(B32="","",IFERROR(INDEX('2.현장'!$G$2:$G$1001,MATCH(29,'2.현장'!$AD$2:$AD$1001,0)),""))</f>
        <v/>
      </c>
      <c r="J32">
        <f>IF(B32="","",IFERROR(VLOOKUP(B32,업체_메모!$A$3:$I$302,2,FALSE)&amp;"",""))</f>
        <v/>
      </c>
      <c r="K32">
        <f>IF(B32="","",IFERROR(VLOOKUP(B32,업체_메모!$A$3:$I$302,4,FALSE)&amp;"",""))</f>
        <v/>
      </c>
      <c r="L32" s="7">
        <f>IF(B32="","",IF(COUNTIF('4.방문기록'!$B$3:$B$502,B32)=0,"",_xlfn.MAXIFS('4.방문기록'!$A$3:$A$502,'4.방문기록'!$B$3:$B$502,B32)))</f>
        <v/>
      </c>
      <c r="M32">
        <f>IF(L32="","",설정!$B$24-L32)</f>
        <v/>
      </c>
      <c r="N32">
        <f>IF(L32="","",IFERROR(INDEX('4.방문기록'!$H$3:$H$502,MATCH(B32&amp;"|"&amp;(L32*1),'4.방문기록'!$I$3:$I$502,0))&amp;"",""))</f>
        <v/>
      </c>
      <c r="O32">
        <f>IF(B32="","",IF(N32="관심 없음","제외",IF(L32="","안 가봄",IF(M32&gt;=설정!$B$20,M32&amp;"일 지남","최근 방문"))))</f>
        <v/>
      </c>
    </row>
    <row r="33">
      <c r="A33">
        <f>IF(B33="","",30)</f>
        <v/>
      </c>
      <c r="B33">
        <f>IFERROR(INDEX('2.현장'!$AC$2:$AC$1001,MATCH(30,'2.현장'!$AD$2:$AD$1001,0)),"")</f>
        <v/>
      </c>
      <c r="C33">
        <f>IF(B33="","",COUNTIFS('2.현장'!$AC$2:$AC$1001,B33,'2.현장'!$T$2:$T$1001,TRUE))</f>
        <v/>
      </c>
      <c r="D33">
        <f>IF(B33="","",COUNTIFS('2.현장'!$AC$2:$AC$1001,B33,'2.현장'!$T$2:$T$1001,TRUE,'2.현장'!$AA$2:$AA$1001,"★"))</f>
        <v/>
      </c>
      <c r="E33" s="5">
        <f>IF(B33="","",_xlfn.MAXIFS('2.현장'!$D$2:$D$1001,'2.현장'!$AC$2:$AC$1001,B33,'2.현장'!$T$2:$T$1001,TRUE))</f>
        <v/>
      </c>
      <c r="F33" s="7">
        <f>IF(B33="","",IF(_xlfn.MAXIFS('2.현장'!$M$2:$M$1001,'2.현장'!$AC$2:$AC$1001,B33,'2.현장'!$T$2:$T$1001,TRUE)=0,"",_xlfn.MAXIFS('2.현장'!$M$2:$M$1001,'2.현장'!$AC$2:$AC$1001,B33,'2.현장'!$T$2:$T$1001,TRUE)))</f>
        <v/>
      </c>
      <c r="G33">
        <f>IF(B33="","",IFERROR(INDEX('2.현장'!$C$2:$C$1001,MATCH(30,'2.현장'!$AD$2:$AD$1001,0)),""))</f>
        <v/>
      </c>
      <c r="H33">
        <f>IF(B33="","",IFERROR(INDEX('2.현장'!$N$2:$N$1001,MATCH(30,'2.현장'!$AD$2:$AD$1001,0)),""))</f>
        <v/>
      </c>
      <c r="I33">
        <f>IF(B33="","",IFERROR(INDEX('2.현장'!$G$2:$G$1001,MATCH(30,'2.현장'!$AD$2:$AD$1001,0)),""))</f>
        <v/>
      </c>
      <c r="J33">
        <f>IF(B33="","",IFERROR(VLOOKUP(B33,업체_메모!$A$3:$I$302,2,FALSE)&amp;"",""))</f>
        <v/>
      </c>
      <c r="K33">
        <f>IF(B33="","",IFERROR(VLOOKUP(B33,업체_메모!$A$3:$I$302,4,FALSE)&amp;"",""))</f>
        <v/>
      </c>
      <c r="L33" s="7">
        <f>IF(B33="","",IF(COUNTIF('4.방문기록'!$B$3:$B$502,B33)=0,"",_xlfn.MAXIFS('4.방문기록'!$A$3:$A$502,'4.방문기록'!$B$3:$B$502,B33)))</f>
        <v/>
      </c>
      <c r="M33">
        <f>IF(L33="","",설정!$B$24-L33)</f>
        <v/>
      </c>
      <c r="N33">
        <f>IF(L33="","",IFERROR(INDEX('4.방문기록'!$H$3:$H$502,MATCH(B33&amp;"|"&amp;(L33*1),'4.방문기록'!$I$3:$I$502,0))&amp;"",""))</f>
        <v/>
      </c>
      <c r="O33">
        <f>IF(B33="","",IF(N33="관심 없음","제외",IF(L33="","안 가봄",IF(M33&gt;=설정!$B$20,M33&amp;"일 지남","최근 방문"))))</f>
        <v/>
      </c>
    </row>
    <row r="34">
      <c r="A34">
        <f>IF(B34="","",31)</f>
        <v/>
      </c>
      <c r="B34">
        <f>IFERROR(INDEX('2.현장'!$AC$2:$AC$1001,MATCH(31,'2.현장'!$AD$2:$AD$1001,0)),"")</f>
        <v/>
      </c>
      <c r="C34">
        <f>IF(B34="","",COUNTIFS('2.현장'!$AC$2:$AC$1001,B34,'2.현장'!$T$2:$T$1001,TRUE))</f>
        <v/>
      </c>
      <c r="D34">
        <f>IF(B34="","",COUNTIFS('2.현장'!$AC$2:$AC$1001,B34,'2.현장'!$T$2:$T$1001,TRUE,'2.현장'!$AA$2:$AA$1001,"★"))</f>
        <v/>
      </c>
      <c r="E34" s="5">
        <f>IF(B34="","",_xlfn.MAXIFS('2.현장'!$D$2:$D$1001,'2.현장'!$AC$2:$AC$1001,B34,'2.현장'!$T$2:$T$1001,TRUE))</f>
        <v/>
      </c>
      <c r="F34" s="7">
        <f>IF(B34="","",IF(_xlfn.MAXIFS('2.현장'!$M$2:$M$1001,'2.현장'!$AC$2:$AC$1001,B34,'2.현장'!$T$2:$T$1001,TRUE)=0,"",_xlfn.MAXIFS('2.현장'!$M$2:$M$1001,'2.현장'!$AC$2:$AC$1001,B34,'2.현장'!$T$2:$T$1001,TRUE)))</f>
        <v/>
      </c>
      <c r="G34">
        <f>IF(B34="","",IFERROR(INDEX('2.현장'!$C$2:$C$1001,MATCH(31,'2.현장'!$AD$2:$AD$1001,0)),""))</f>
        <v/>
      </c>
      <c r="H34">
        <f>IF(B34="","",IFERROR(INDEX('2.현장'!$N$2:$N$1001,MATCH(31,'2.현장'!$AD$2:$AD$1001,0)),""))</f>
        <v/>
      </c>
      <c r="I34">
        <f>IF(B34="","",IFERROR(INDEX('2.현장'!$G$2:$G$1001,MATCH(31,'2.현장'!$AD$2:$AD$1001,0)),""))</f>
        <v/>
      </c>
      <c r="J34">
        <f>IF(B34="","",IFERROR(VLOOKUP(B34,업체_메모!$A$3:$I$302,2,FALSE)&amp;"",""))</f>
        <v/>
      </c>
      <c r="K34">
        <f>IF(B34="","",IFERROR(VLOOKUP(B34,업체_메모!$A$3:$I$302,4,FALSE)&amp;"",""))</f>
        <v/>
      </c>
      <c r="L34" s="7">
        <f>IF(B34="","",IF(COUNTIF('4.방문기록'!$B$3:$B$502,B34)=0,"",_xlfn.MAXIFS('4.방문기록'!$A$3:$A$502,'4.방문기록'!$B$3:$B$502,B34)))</f>
        <v/>
      </c>
      <c r="M34">
        <f>IF(L34="","",설정!$B$24-L34)</f>
        <v/>
      </c>
      <c r="N34">
        <f>IF(L34="","",IFERROR(INDEX('4.방문기록'!$H$3:$H$502,MATCH(B34&amp;"|"&amp;(L34*1),'4.방문기록'!$I$3:$I$502,0))&amp;"",""))</f>
        <v/>
      </c>
      <c r="O34">
        <f>IF(B34="","",IF(N34="관심 없음","제외",IF(L34="","안 가봄",IF(M34&gt;=설정!$B$20,M34&amp;"일 지남","최근 방문"))))</f>
        <v/>
      </c>
    </row>
    <row r="35">
      <c r="A35">
        <f>IF(B35="","",32)</f>
        <v/>
      </c>
      <c r="B35">
        <f>IFERROR(INDEX('2.현장'!$AC$2:$AC$1001,MATCH(32,'2.현장'!$AD$2:$AD$1001,0)),"")</f>
        <v/>
      </c>
      <c r="C35">
        <f>IF(B35="","",COUNTIFS('2.현장'!$AC$2:$AC$1001,B35,'2.현장'!$T$2:$T$1001,TRUE))</f>
        <v/>
      </c>
      <c r="D35">
        <f>IF(B35="","",COUNTIFS('2.현장'!$AC$2:$AC$1001,B35,'2.현장'!$T$2:$T$1001,TRUE,'2.현장'!$AA$2:$AA$1001,"★"))</f>
        <v/>
      </c>
      <c r="E35" s="5">
        <f>IF(B35="","",_xlfn.MAXIFS('2.현장'!$D$2:$D$1001,'2.현장'!$AC$2:$AC$1001,B35,'2.현장'!$T$2:$T$1001,TRUE))</f>
        <v/>
      </c>
      <c r="F35" s="7">
        <f>IF(B35="","",IF(_xlfn.MAXIFS('2.현장'!$M$2:$M$1001,'2.현장'!$AC$2:$AC$1001,B35,'2.현장'!$T$2:$T$1001,TRUE)=0,"",_xlfn.MAXIFS('2.현장'!$M$2:$M$1001,'2.현장'!$AC$2:$AC$1001,B35,'2.현장'!$T$2:$T$1001,TRUE)))</f>
        <v/>
      </c>
      <c r="G35">
        <f>IF(B35="","",IFERROR(INDEX('2.현장'!$C$2:$C$1001,MATCH(32,'2.현장'!$AD$2:$AD$1001,0)),""))</f>
        <v/>
      </c>
      <c r="H35">
        <f>IF(B35="","",IFERROR(INDEX('2.현장'!$N$2:$N$1001,MATCH(32,'2.현장'!$AD$2:$AD$1001,0)),""))</f>
        <v/>
      </c>
      <c r="I35">
        <f>IF(B35="","",IFERROR(INDEX('2.현장'!$G$2:$G$1001,MATCH(32,'2.현장'!$AD$2:$AD$1001,0)),""))</f>
        <v/>
      </c>
      <c r="J35">
        <f>IF(B35="","",IFERROR(VLOOKUP(B35,업체_메모!$A$3:$I$302,2,FALSE)&amp;"",""))</f>
        <v/>
      </c>
      <c r="K35">
        <f>IF(B35="","",IFERROR(VLOOKUP(B35,업체_메모!$A$3:$I$302,4,FALSE)&amp;"",""))</f>
        <v/>
      </c>
      <c r="L35" s="7">
        <f>IF(B35="","",IF(COUNTIF('4.방문기록'!$B$3:$B$502,B35)=0,"",_xlfn.MAXIFS('4.방문기록'!$A$3:$A$502,'4.방문기록'!$B$3:$B$502,B35)))</f>
        <v/>
      </c>
      <c r="M35">
        <f>IF(L35="","",설정!$B$24-L35)</f>
        <v/>
      </c>
      <c r="N35">
        <f>IF(L35="","",IFERROR(INDEX('4.방문기록'!$H$3:$H$502,MATCH(B35&amp;"|"&amp;(L35*1),'4.방문기록'!$I$3:$I$502,0))&amp;"",""))</f>
        <v/>
      </c>
      <c r="O35">
        <f>IF(B35="","",IF(N35="관심 없음","제외",IF(L35="","안 가봄",IF(M35&gt;=설정!$B$20,M35&amp;"일 지남","최근 방문"))))</f>
        <v/>
      </c>
    </row>
    <row r="36">
      <c r="A36">
        <f>IF(B36="","",33)</f>
        <v/>
      </c>
      <c r="B36">
        <f>IFERROR(INDEX('2.현장'!$AC$2:$AC$1001,MATCH(33,'2.현장'!$AD$2:$AD$1001,0)),"")</f>
        <v/>
      </c>
      <c r="C36">
        <f>IF(B36="","",COUNTIFS('2.현장'!$AC$2:$AC$1001,B36,'2.현장'!$T$2:$T$1001,TRUE))</f>
        <v/>
      </c>
      <c r="D36">
        <f>IF(B36="","",COUNTIFS('2.현장'!$AC$2:$AC$1001,B36,'2.현장'!$T$2:$T$1001,TRUE,'2.현장'!$AA$2:$AA$1001,"★"))</f>
        <v/>
      </c>
      <c r="E36" s="5">
        <f>IF(B36="","",_xlfn.MAXIFS('2.현장'!$D$2:$D$1001,'2.현장'!$AC$2:$AC$1001,B36,'2.현장'!$T$2:$T$1001,TRUE))</f>
        <v/>
      </c>
      <c r="F36" s="7">
        <f>IF(B36="","",IF(_xlfn.MAXIFS('2.현장'!$M$2:$M$1001,'2.현장'!$AC$2:$AC$1001,B36,'2.현장'!$T$2:$T$1001,TRUE)=0,"",_xlfn.MAXIFS('2.현장'!$M$2:$M$1001,'2.현장'!$AC$2:$AC$1001,B36,'2.현장'!$T$2:$T$1001,TRUE)))</f>
        <v/>
      </c>
      <c r="G36">
        <f>IF(B36="","",IFERROR(INDEX('2.현장'!$C$2:$C$1001,MATCH(33,'2.현장'!$AD$2:$AD$1001,0)),""))</f>
        <v/>
      </c>
      <c r="H36">
        <f>IF(B36="","",IFERROR(INDEX('2.현장'!$N$2:$N$1001,MATCH(33,'2.현장'!$AD$2:$AD$1001,0)),""))</f>
        <v/>
      </c>
      <c r="I36">
        <f>IF(B36="","",IFERROR(INDEX('2.현장'!$G$2:$G$1001,MATCH(33,'2.현장'!$AD$2:$AD$1001,0)),""))</f>
        <v/>
      </c>
      <c r="J36">
        <f>IF(B36="","",IFERROR(VLOOKUP(B36,업체_메모!$A$3:$I$302,2,FALSE)&amp;"",""))</f>
        <v/>
      </c>
      <c r="K36">
        <f>IF(B36="","",IFERROR(VLOOKUP(B36,업체_메모!$A$3:$I$302,4,FALSE)&amp;"",""))</f>
        <v/>
      </c>
      <c r="L36" s="7">
        <f>IF(B36="","",IF(COUNTIF('4.방문기록'!$B$3:$B$502,B36)=0,"",_xlfn.MAXIFS('4.방문기록'!$A$3:$A$502,'4.방문기록'!$B$3:$B$502,B36)))</f>
        <v/>
      </c>
      <c r="M36">
        <f>IF(L36="","",설정!$B$24-L36)</f>
        <v/>
      </c>
      <c r="N36">
        <f>IF(L36="","",IFERROR(INDEX('4.방문기록'!$H$3:$H$502,MATCH(B36&amp;"|"&amp;(L36*1),'4.방문기록'!$I$3:$I$502,0))&amp;"",""))</f>
        <v/>
      </c>
      <c r="O36">
        <f>IF(B36="","",IF(N36="관심 없음","제외",IF(L36="","안 가봄",IF(M36&gt;=설정!$B$20,M36&amp;"일 지남","최근 방문"))))</f>
        <v/>
      </c>
    </row>
    <row r="37">
      <c r="A37">
        <f>IF(B37="","",34)</f>
        <v/>
      </c>
      <c r="B37">
        <f>IFERROR(INDEX('2.현장'!$AC$2:$AC$1001,MATCH(34,'2.현장'!$AD$2:$AD$1001,0)),"")</f>
        <v/>
      </c>
      <c r="C37">
        <f>IF(B37="","",COUNTIFS('2.현장'!$AC$2:$AC$1001,B37,'2.현장'!$T$2:$T$1001,TRUE))</f>
        <v/>
      </c>
      <c r="D37">
        <f>IF(B37="","",COUNTIFS('2.현장'!$AC$2:$AC$1001,B37,'2.현장'!$T$2:$T$1001,TRUE,'2.현장'!$AA$2:$AA$1001,"★"))</f>
        <v/>
      </c>
      <c r="E37" s="5">
        <f>IF(B37="","",_xlfn.MAXIFS('2.현장'!$D$2:$D$1001,'2.현장'!$AC$2:$AC$1001,B37,'2.현장'!$T$2:$T$1001,TRUE))</f>
        <v/>
      </c>
      <c r="F37" s="7">
        <f>IF(B37="","",IF(_xlfn.MAXIFS('2.현장'!$M$2:$M$1001,'2.현장'!$AC$2:$AC$1001,B37,'2.현장'!$T$2:$T$1001,TRUE)=0,"",_xlfn.MAXIFS('2.현장'!$M$2:$M$1001,'2.현장'!$AC$2:$AC$1001,B37,'2.현장'!$T$2:$T$1001,TRUE)))</f>
        <v/>
      </c>
      <c r="G37">
        <f>IF(B37="","",IFERROR(INDEX('2.현장'!$C$2:$C$1001,MATCH(34,'2.현장'!$AD$2:$AD$1001,0)),""))</f>
        <v/>
      </c>
      <c r="H37">
        <f>IF(B37="","",IFERROR(INDEX('2.현장'!$N$2:$N$1001,MATCH(34,'2.현장'!$AD$2:$AD$1001,0)),""))</f>
        <v/>
      </c>
      <c r="I37">
        <f>IF(B37="","",IFERROR(INDEX('2.현장'!$G$2:$G$1001,MATCH(34,'2.현장'!$AD$2:$AD$1001,0)),""))</f>
        <v/>
      </c>
      <c r="J37">
        <f>IF(B37="","",IFERROR(VLOOKUP(B37,업체_메모!$A$3:$I$302,2,FALSE)&amp;"",""))</f>
        <v/>
      </c>
      <c r="K37">
        <f>IF(B37="","",IFERROR(VLOOKUP(B37,업체_메모!$A$3:$I$302,4,FALSE)&amp;"",""))</f>
        <v/>
      </c>
      <c r="L37" s="7">
        <f>IF(B37="","",IF(COUNTIF('4.방문기록'!$B$3:$B$502,B37)=0,"",_xlfn.MAXIFS('4.방문기록'!$A$3:$A$502,'4.방문기록'!$B$3:$B$502,B37)))</f>
        <v/>
      </c>
      <c r="M37">
        <f>IF(L37="","",설정!$B$24-L37)</f>
        <v/>
      </c>
      <c r="N37">
        <f>IF(L37="","",IFERROR(INDEX('4.방문기록'!$H$3:$H$502,MATCH(B37&amp;"|"&amp;(L37*1),'4.방문기록'!$I$3:$I$502,0))&amp;"",""))</f>
        <v/>
      </c>
      <c r="O37">
        <f>IF(B37="","",IF(N37="관심 없음","제외",IF(L37="","안 가봄",IF(M37&gt;=설정!$B$20,M37&amp;"일 지남","최근 방문"))))</f>
        <v/>
      </c>
    </row>
    <row r="38">
      <c r="A38">
        <f>IF(B38="","",35)</f>
        <v/>
      </c>
      <c r="B38">
        <f>IFERROR(INDEX('2.현장'!$AC$2:$AC$1001,MATCH(35,'2.현장'!$AD$2:$AD$1001,0)),"")</f>
        <v/>
      </c>
      <c r="C38">
        <f>IF(B38="","",COUNTIFS('2.현장'!$AC$2:$AC$1001,B38,'2.현장'!$T$2:$T$1001,TRUE))</f>
        <v/>
      </c>
      <c r="D38">
        <f>IF(B38="","",COUNTIFS('2.현장'!$AC$2:$AC$1001,B38,'2.현장'!$T$2:$T$1001,TRUE,'2.현장'!$AA$2:$AA$1001,"★"))</f>
        <v/>
      </c>
      <c r="E38" s="5">
        <f>IF(B38="","",_xlfn.MAXIFS('2.현장'!$D$2:$D$1001,'2.현장'!$AC$2:$AC$1001,B38,'2.현장'!$T$2:$T$1001,TRUE))</f>
        <v/>
      </c>
      <c r="F38" s="7">
        <f>IF(B38="","",IF(_xlfn.MAXIFS('2.현장'!$M$2:$M$1001,'2.현장'!$AC$2:$AC$1001,B38,'2.현장'!$T$2:$T$1001,TRUE)=0,"",_xlfn.MAXIFS('2.현장'!$M$2:$M$1001,'2.현장'!$AC$2:$AC$1001,B38,'2.현장'!$T$2:$T$1001,TRUE)))</f>
        <v/>
      </c>
      <c r="G38">
        <f>IF(B38="","",IFERROR(INDEX('2.현장'!$C$2:$C$1001,MATCH(35,'2.현장'!$AD$2:$AD$1001,0)),""))</f>
        <v/>
      </c>
      <c r="H38">
        <f>IF(B38="","",IFERROR(INDEX('2.현장'!$N$2:$N$1001,MATCH(35,'2.현장'!$AD$2:$AD$1001,0)),""))</f>
        <v/>
      </c>
      <c r="I38">
        <f>IF(B38="","",IFERROR(INDEX('2.현장'!$G$2:$G$1001,MATCH(35,'2.현장'!$AD$2:$AD$1001,0)),""))</f>
        <v/>
      </c>
      <c r="J38">
        <f>IF(B38="","",IFERROR(VLOOKUP(B38,업체_메모!$A$3:$I$302,2,FALSE)&amp;"",""))</f>
        <v/>
      </c>
      <c r="K38">
        <f>IF(B38="","",IFERROR(VLOOKUP(B38,업체_메모!$A$3:$I$302,4,FALSE)&amp;"",""))</f>
        <v/>
      </c>
      <c r="L38" s="7">
        <f>IF(B38="","",IF(COUNTIF('4.방문기록'!$B$3:$B$502,B38)=0,"",_xlfn.MAXIFS('4.방문기록'!$A$3:$A$502,'4.방문기록'!$B$3:$B$502,B38)))</f>
        <v/>
      </c>
      <c r="M38">
        <f>IF(L38="","",설정!$B$24-L38)</f>
        <v/>
      </c>
      <c r="N38">
        <f>IF(L38="","",IFERROR(INDEX('4.방문기록'!$H$3:$H$502,MATCH(B38&amp;"|"&amp;(L38*1),'4.방문기록'!$I$3:$I$502,0))&amp;"",""))</f>
        <v/>
      </c>
      <c r="O38">
        <f>IF(B38="","",IF(N38="관심 없음","제외",IF(L38="","안 가봄",IF(M38&gt;=설정!$B$20,M38&amp;"일 지남","최근 방문"))))</f>
        <v/>
      </c>
    </row>
    <row r="39">
      <c r="A39">
        <f>IF(B39="","",36)</f>
        <v/>
      </c>
      <c r="B39">
        <f>IFERROR(INDEX('2.현장'!$AC$2:$AC$1001,MATCH(36,'2.현장'!$AD$2:$AD$1001,0)),"")</f>
        <v/>
      </c>
      <c r="C39">
        <f>IF(B39="","",COUNTIFS('2.현장'!$AC$2:$AC$1001,B39,'2.현장'!$T$2:$T$1001,TRUE))</f>
        <v/>
      </c>
      <c r="D39">
        <f>IF(B39="","",COUNTIFS('2.현장'!$AC$2:$AC$1001,B39,'2.현장'!$T$2:$T$1001,TRUE,'2.현장'!$AA$2:$AA$1001,"★"))</f>
        <v/>
      </c>
      <c r="E39" s="5">
        <f>IF(B39="","",_xlfn.MAXIFS('2.현장'!$D$2:$D$1001,'2.현장'!$AC$2:$AC$1001,B39,'2.현장'!$T$2:$T$1001,TRUE))</f>
        <v/>
      </c>
      <c r="F39" s="7">
        <f>IF(B39="","",IF(_xlfn.MAXIFS('2.현장'!$M$2:$M$1001,'2.현장'!$AC$2:$AC$1001,B39,'2.현장'!$T$2:$T$1001,TRUE)=0,"",_xlfn.MAXIFS('2.현장'!$M$2:$M$1001,'2.현장'!$AC$2:$AC$1001,B39,'2.현장'!$T$2:$T$1001,TRUE)))</f>
        <v/>
      </c>
      <c r="G39">
        <f>IF(B39="","",IFERROR(INDEX('2.현장'!$C$2:$C$1001,MATCH(36,'2.현장'!$AD$2:$AD$1001,0)),""))</f>
        <v/>
      </c>
      <c r="H39">
        <f>IF(B39="","",IFERROR(INDEX('2.현장'!$N$2:$N$1001,MATCH(36,'2.현장'!$AD$2:$AD$1001,0)),""))</f>
        <v/>
      </c>
      <c r="I39">
        <f>IF(B39="","",IFERROR(INDEX('2.현장'!$G$2:$G$1001,MATCH(36,'2.현장'!$AD$2:$AD$1001,0)),""))</f>
        <v/>
      </c>
      <c r="J39">
        <f>IF(B39="","",IFERROR(VLOOKUP(B39,업체_메모!$A$3:$I$302,2,FALSE)&amp;"",""))</f>
        <v/>
      </c>
      <c r="K39">
        <f>IF(B39="","",IFERROR(VLOOKUP(B39,업체_메모!$A$3:$I$302,4,FALSE)&amp;"",""))</f>
        <v/>
      </c>
      <c r="L39" s="7">
        <f>IF(B39="","",IF(COUNTIF('4.방문기록'!$B$3:$B$502,B39)=0,"",_xlfn.MAXIFS('4.방문기록'!$A$3:$A$502,'4.방문기록'!$B$3:$B$502,B39)))</f>
        <v/>
      </c>
      <c r="M39">
        <f>IF(L39="","",설정!$B$24-L39)</f>
        <v/>
      </c>
      <c r="N39">
        <f>IF(L39="","",IFERROR(INDEX('4.방문기록'!$H$3:$H$502,MATCH(B39&amp;"|"&amp;(L39*1),'4.방문기록'!$I$3:$I$502,0))&amp;"",""))</f>
        <v/>
      </c>
      <c r="O39">
        <f>IF(B39="","",IF(N39="관심 없음","제외",IF(L39="","안 가봄",IF(M39&gt;=설정!$B$20,M39&amp;"일 지남","최근 방문"))))</f>
        <v/>
      </c>
    </row>
    <row r="40">
      <c r="A40">
        <f>IF(B40="","",37)</f>
        <v/>
      </c>
      <c r="B40">
        <f>IFERROR(INDEX('2.현장'!$AC$2:$AC$1001,MATCH(37,'2.현장'!$AD$2:$AD$1001,0)),"")</f>
        <v/>
      </c>
      <c r="C40">
        <f>IF(B40="","",COUNTIFS('2.현장'!$AC$2:$AC$1001,B40,'2.현장'!$T$2:$T$1001,TRUE))</f>
        <v/>
      </c>
      <c r="D40">
        <f>IF(B40="","",COUNTIFS('2.현장'!$AC$2:$AC$1001,B40,'2.현장'!$T$2:$T$1001,TRUE,'2.현장'!$AA$2:$AA$1001,"★"))</f>
        <v/>
      </c>
      <c r="E40" s="5">
        <f>IF(B40="","",_xlfn.MAXIFS('2.현장'!$D$2:$D$1001,'2.현장'!$AC$2:$AC$1001,B40,'2.현장'!$T$2:$T$1001,TRUE))</f>
        <v/>
      </c>
      <c r="F40" s="7">
        <f>IF(B40="","",IF(_xlfn.MAXIFS('2.현장'!$M$2:$M$1001,'2.현장'!$AC$2:$AC$1001,B40,'2.현장'!$T$2:$T$1001,TRUE)=0,"",_xlfn.MAXIFS('2.현장'!$M$2:$M$1001,'2.현장'!$AC$2:$AC$1001,B40,'2.현장'!$T$2:$T$1001,TRUE)))</f>
        <v/>
      </c>
      <c r="G40">
        <f>IF(B40="","",IFERROR(INDEX('2.현장'!$C$2:$C$1001,MATCH(37,'2.현장'!$AD$2:$AD$1001,0)),""))</f>
        <v/>
      </c>
      <c r="H40">
        <f>IF(B40="","",IFERROR(INDEX('2.현장'!$N$2:$N$1001,MATCH(37,'2.현장'!$AD$2:$AD$1001,0)),""))</f>
        <v/>
      </c>
      <c r="I40">
        <f>IF(B40="","",IFERROR(INDEX('2.현장'!$G$2:$G$1001,MATCH(37,'2.현장'!$AD$2:$AD$1001,0)),""))</f>
        <v/>
      </c>
      <c r="J40">
        <f>IF(B40="","",IFERROR(VLOOKUP(B40,업체_메모!$A$3:$I$302,2,FALSE)&amp;"",""))</f>
        <v/>
      </c>
      <c r="K40">
        <f>IF(B40="","",IFERROR(VLOOKUP(B40,업체_메모!$A$3:$I$302,4,FALSE)&amp;"",""))</f>
        <v/>
      </c>
      <c r="L40" s="7">
        <f>IF(B40="","",IF(COUNTIF('4.방문기록'!$B$3:$B$502,B40)=0,"",_xlfn.MAXIFS('4.방문기록'!$A$3:$A$502,'4.방문기록'!$B$3:$B$502,B40)))</f>
        <v/>
      </c>
      <c r="M40">
        <f>IF(L40="","",설정!$B$24-L40)</f>
        <v/>
      </c>
      <c r="N40">
        <f>IF(L40="","",IFERROR(INDEX('4.방문기록'!$H$3:$H$502,MATCH(B40&amp;"|"&amp;(L40*1),'4.방문기록'!$I$3:$I$502,0))&amp;"",""))</f>
        <v/>
      </c>
      <c r="O40">
        <f>IF(B40="","",IF(N40="관심 없음","제외",IF(L40="","안 가봄",IF(M40&gt;=설정!$B$20,M40&amp;"일 지남","최근 방문"))))</f>
        <v/>
      </c>
    </row>
    <row r="41">
      <c r="A41">
        <f>IF(B41="","",38)</f>
        <v/>
      </c>
      <c r="B41">
        <f>IFERROR(INDEX('2.현장'!$AC$2:$AC$1001,MATCH(38,'2.현장'!$AD$2:$AD$1001,0)),"")</f>
        <v/>
      </c>
      <c r="C41">
        <f>IF(B41="","",COUNTIFS('2.현장'!$AC$2:$AC$1001,B41,'2.현장'!$T$2:$T$1001,TRUE))</f>
        <v/>
      </c>
      <c r="D41">
        <f>IF(B41="","",COUNTIFS('2.현장'!$AC$2:$AC$1001,B41,'2.현장'!$T$2:$T$1001,TRUE,'2.현장'!$AA$2:$AA$1001,"★"))</f>
        <v/>
      </c>
      <c r="E41" s="5">
        <f>IF(B41="","",_xlfn.MAXIFS('2.현장'!$D$2:$D$1001,'2.현장'!$AC$2:$AC$1001,B41,'2.현장'!$T$2:$T$1001,TRUE))</f>
        <v/>
      </c>
      <c r="F41" s="7">
        <f>IF(B41="","",IF(_xlfn.MAXIFS('2.현장'!$M$2:$M$1001,'2.현장'!$AC$2:$AC$1001,B41,'2.현장'!$T$2:$T$1001,TRUE)=0,"",_xlfn.MAXIFS('2.현장'!$M$2:$M$1001,'2.현장'!$AC$2:$AC$1001,B41,'2.현장'!$T$2:$T$1001,TRUE)))</f>
        <v/>
      </c>
      <c r="G41">
        <f>IF(B41="","",IFERROR(INDEX('2.현장'!$C$2:$C$1001,MATCH(38,'2.현장'!$AD$2:$AD$1001,0)),""))</f>
        <v/>
      </c>
      <c r="H41">
        <f>IF(B41="","",IFERROR(INDEX('2.현장'!$N$2:$N$1001,MATCH(38,'2.현장'!$AD$2:$AD$1001,0)),""))</f>
        <v/>
      </c>
      <c r="I41">
        <f>IF(B41="","",IFERROR(INDEX('2.현장'!$G$2:$G$1001,MATCH(38,'2.현장'!$AD$2:$AD$1001,0)),""))</f>
        <v/>
      </c>
      <c r="J41">
        <f>IF(B41="","",IFERROR(VLOOKUP(B41,업체_메모!$A$3:$I$302,2,FALSE)&amp;"",""))</f>
        <v/>
      </c>
      <c r="K41">
        <f>IF(B41="","",IFERROR(VLOOKUP(B41,업체_메모!$A$3:$I$302,4,FALSE)&amp;"",""))</f>
        <v/>
      </c>
      <c r="L41" s="7">
        <f>IF(B41="","",IF(COUNTIF('4.방문기록'!$B$3:$B$502,B41)=0,"",_xlfn.MAXIFS('4.방문기록'!$A$3:$A$502,'4.방문기록'!$B$3:$B$502,B41)))</f>
        <v/>
      </c>
      <c r="M41">
        <f>IF(L41="","",설정!$B$24-L41)</f>
        <v/>
      </c>
      <c r="N41">
        <f>IF(L41="","",IFERROR(INDEX('4.방문기록'!$H$3:$H$502,MATCH(B41&amp;"|"&amp;(L41*1),'4.방문기록'!$I$3:$I$502,0))&amp;"",""))</f>
        <v/>
      </c>
      <c r="O41">
        <f>IF(B41="","",IF(N41="관심 없음","제외",IF(L41="","안 가봄",IF(M41&gt;=설정!$B$20,M41&amp;"일 지남","최근 방문"))))</f>
        <v/>
      </c>
    </row>
    <row r="42">
      <c r="A42">
        <f>IF(B42="","",39)</f>
        <v/>
      </c>
      <c r="B42">
        <f>IFERROR(INDEX('2.현장'!$AC$2:$AC$1001,MATCH(39,'2.현장'!$AD$2:$AD$1001,0)),"")</f>
        <v/>
      </c>
      <c r="C42">
        <f>IF(B42="","",COUNTIFS('2.현장'!$AC$2:$AC$1001,B42,'2.현장'!$T$2:$T$1001,TRUE))</f>
        <v/>
      </c>
      <c r="D42">
        <f>IF(B42="","",COUNTIFS('2.현장'!$AC$2:$AC$1001,B42,'2.현장'!$T$2:$T$1001,TRUE,'2.현장'!$AA$2:$AA$1001,"★"))</f>
        <v/>
      </c>
      <c r="E42" s="5">
        <f>IF(B42="","",_xlfn.MAXIFS('2.현장'!$D$2:$D$1001,'2.현장'!$AC$2:$AC$1001,B42,'2.현장'!$T$2:$T$1001,TRUE))</f>
        <v/>
      </c>
      <c r="F42" s="7">
        <f>IF(B42="","",IF(_xlfn.MAXIFS('2.현장'!$M$2:$M$1001,'2.현장'!$AC$2:$AC$1001,B42,'2.현장'!$T$2:$T$1001,TRUE)=0,"",_xlfn.MAXIFS('2.현장'!$M$2:$M$1001,'2.현장'!$AC$2:$AC$1001,B42,'2.현장'!$T$2:$T$1001,TRUE)))</f>
        <v/>
      </c>
      <c r="G42">
        <f>IF(B42="","",IFERROR(INDEX('2.현장'!$C$2:$C$1001,MATCH(39,'2.현장'!$AD$2:$AD$1001,0)),""))</f>
        <v/>
      </c>
      <c r="H42">
        <f>IF(B42="","",IFERROR(INDEX('2.현장'!$N$2:$N$1001,MATCH(39,'2.현장'!$AD$2:$AD$1001,0)),""))</f>
        <v/>
      </c>
      <c r="I42">
        <f>IF(B42="","",IFERROR(INDEX('2.현장'!$G$2:$G$1001,MATCH(39,'2.현장'!$AD$2:$AD$1001,0)),""))</f>
        <v/>
      </c>
      <c r="J42">
        <f>IF(B42="","",IFERROR(VLOOKUP(B42,업체_메모!$A$3:$I$302,2,FALSE)&amp;"",""))</f>
        <v/>
      </c>
      <c r="K42">
        <f>IF(B42="","",IFERROR(VLOOKUP(B42,업체_메모!$A$3:$I$302,4,FALSE)&amp;"",""))</f>
        <v/>
      </c>
      <c r="L42" s="7">
        <f>IF(B42="","",IF(COUNTIF('4.방문기록'!$B$3:$B$502,B42)=0,"",_xlfn.MAXIFS('4.방문기록'!$A$3:$A$502,'4.방문기록'!$B$3:$B$502,B42)))</f>
        <v/>
      </c>
      <c r="M42">
        <f>IF(L42="","",설정!$B$24-L42)</f>
        <v/>
      </c>
      <c r="N42">
        <f>IF(L42="","",IFERROR(INDEX('4.방문기록'!$H$3:$H$502,MATCH(B42&amp;"|"&amp;(L42*1),'4.방문기록'!$I$3:$I$502,0))&amp;"",""))</f>
        <v/>
      </c>
      <c r="O42">
        <f>IF(B42="","",IF(N42="관심 없음","제외",IF(L42="","안 가봄",IF(M42&gt;=설정!$B$20,M42&amp;"일 지남","최근 방문"))))</f>
        <v/>
      </c>
    </row>
    <row r="43">
      <c r="A43">
        <f>IF(B43="","",40)</f>
        <v/>
      </c>
      <c r="B43">
        <f>IFERROR(INDEX('2.현장'!$AC$2:$AC$1001,MATCH(40,'2.현장'!$AD$2:$AD$1001,0)),"")</f>
        <v/>
      </c>
      <c r="C43">
        <f>IF(B43="","",COUNTIFS('2.현장'!$AC$2:$AC$1001,B43,'2.현장'!$T$2:$T$1001,TRUE))</f>
        <v/>
      </c>
      <c r="D43">
        <f>IF(B43="","",COUNTIFS('2.현장'!$AC$2:$AC$1001,B43,'2.현장'!$T$2:$T$1001,TRUE,'2.현장'!$AA$2:$AA$1001,"★"))</f>
        <v/>
      </c>
      <c r="E43" s="5">
        <f>IF(B43="","",_xlfn.MAXIFS('2.현장'!$D$2:$D$1001,'2.현장'!$AC$2:$AC$1001,B43,'2.현장'!$T$2:$T$1001,TRUE))</f>
        <v/>
      </c>
      <c r="F43" s="7">
        <f>IF(B43="","",IF(_xlfn.MAXIFS('2.현장'!$M$2:$M$1001,'2.현장'!$AC$2:$AC$1001,B43,'2.현장'!$T$2:$T$1001,TRUE)=0,"",_xlfn.MAXIFS('2.현장'!$M$2:$M$1001,'2.현장'!$AC$2:$AC$1001,B43,'2.현장'!$T$2:$T$1001,TRUE)))</f>
        <v/>
      </c>
      <c r="G43">
        <f>IF(B43="","",IFERROR(INDEX('2.현장'!$C$2:$C$1001,MATCH(40,'2.현장'!$AD$2:$AD$1001,0)),""))</f>
        <v/>
      </c>
      <c r="H43">
        <f>IF(B43="","",IFERROR(INDEX('2.현장'!$N$2:$N$1001,MATCH(40,'2.현장'!$AD$2:$AD$1001,0)),""))</f>
        <v/>
      </c>
      <c r="I43">
        <f>IF(B43="","",IFERROR(INDEX('2.현장'!$G$2:$G$1001,MATCH(40,'2.현장'!$AD$2:$AD$1001,0)),""))</f>
        <v/>
      </c>
      <c r="J43">
        <f>IF(B43="","",IFERROR(VLOOKUP(B43,업체_메모!$A$3:$I$302,2,FALSE)&amp;"",""))</f>
        <v/>
      </c>
      <c r="K43">
        <f>IF(B43="","",IFERROR(VLOOKUP(B43,업체_메모!$A$3:$I$302,4,FALSE)&amp;"",""))</f>
        <v/>
      </c>
      <c r="L43" s="7">
        <f>IF(B43="","",IF(COUNTIF('4.방문기록'!$B$3:$B$502,B43)=0,"",_xlfn.MAXIFS('4.방문기록'!$A$3:$A$502,'4.방문기록'!$B$3:$B$502,B43)))</f>
        <v/>
      </c>
      <c r="M43">
        <f>IF(L43="","",설정!$B$24-L43)</f>
        <v/>
      </c>
      <c r="N43">
        <f>IF(L43="","",IFERROR(INDEX('4.방문기록'!$H$3:$H$502,MATCH(B43&amp;"|"&amp;(L43*1),'4.방문기록'!$I$3:$I$502,0))&amp;"",""))</f>
        <v/>
      </c>
      <c r="O43">
        <f>IF(B43="","",IF(N43="관심 없음","제외",IF(L43="","안 가봄",IF(M43&gt;=설정!$B$20,M43&amp;"일 지남","최근 방문"))))</f>
        <v/>
      </c>
    </row>
    <row r="44">
      <c r="A44">
        <f>IF(B44="","",41)</f>
        <v/>
      </c>
      <c r="B44">
        <f>IFERROR(INDEX('2.현장'!$AC$2:$AC$1001,MATCH(41,'2.현장'!$AD$2:$AD$1001,0)),"")</f>
        <v/>
      </c>
      <c r="C44">
        <f>IF(B44="","",COUNTIFS('2.현장'!$AC$2:$AC$1001,B44,'2.현장'!$T$2:$T$1001,TRUE))</f>
        <v/>
      </c>
      <c r="D44">
        <f>IF(B44="","",COUNTIFS('2.현장'!$AC$2:$AC$1001,B44,'2.현장'!$T$2:$T$1001,TRUE,'2.현장'!$AA$2:$AA$1001,"★"))</f>
        <v/>
      </c>
      <c r="E44" s="5">
        <f>IF(B44="","",_xlfn.MAXIFS('2.현장'!$D$2:$D$1001,'2.현장'!$AC$2:$AC$1001,B44,'2.현장'!$T$2:$T$1001,TRUE))</f>
        <v/>
      </c>
      <c r="F44" s="7">
        <f>IF(B44="","",IF(_xlfn.MAXIFS('2.현장'!$M$2:$M$1001,'2.현장'!$AC$2:$AC$1001,B44,'2.현장'!$T$2:$T$1001,TRUE)=0,"",_xlfn.MAXIFS('2.현장'!$M$2:$M$1001,'2.현장'!$AC$2:$AC$1001,B44,'2.현장'!$T$2:$T$1001,TRUE)))</f>
        <v/>
      </c>
      <c r="G44">
        <f>IF(B44="","",IFERROR(INDEX('2.현장'!$C$2:$C$1001,MATCH(41,'2.현장'!$AD$2:$AD$1001,0)),""))</f>
        <v/>
      </c>
      <c r="H44">
        <f>IF(B44="","",IFERROR(INDEX('2.현장'!$N$2:$N$1001,MATCH(41,'2.현장'!$AD$2:$AD$1001,0)),""))</f>
        <v/>
      </c>
      <c r="I44">
        <f>IF(B44="","",IFERROR(INDEX('2.현장'!$G$2:$G$1001,MATCH(41,'2.현장'!$AD$2:$AD$1001,0)),""))</f>
        <v/>
      </c>
      <c r="J44">
        <f>IF(B44="","",IFERROR(VLOOKUP(B44,업체_메모!$A$3:$I$302,2,FALSE)&amp;"",""))</f>
        <v/>
      </c>
      <c r="K44">
        <f>IF(B44="","",IFERROR(VLOOKUP(B44,업체_메모!$A$3:$I$302,4,FALSE)&amp;"",""))</f>
        <v/>
      </c>
      <c r="L44" s="7">
        <f>IF(B44="","",IF(COUNTIF('4.방문기록'!$B$3:$B$502,B44)=0,"",_xlfn.MAXIFS('4.방문기록'!$A$3:$A$502,'4.방문기록'!$B$3:$B$502,B44)))</f>
        <v/>
      </c>
      <c r="M44">
        <f>IF(L44="","",설정!$B$24-L44)</f>
        <v/>
      </c>
      <c r="N44">
        <f>IF(L44="","",IFERROR(INDEX('4.방문기록'!$H$3:$H$502,MATCH(B44&amp;"|"&amp;(L44*1),'4.방문기록'!$I$3:$I$502,0))&amp;"",""))</f>
        <v/>
      </c>
      <c r="O44">
        <f>IF(B44="","",IF(N44="관심 없음","제외",IF(L44="","안 가봄",IF(M44&gt;=설정!$B$20,M44&amp;"일 지남","최근 방문"))))</f>
        <v/>
      </c>
    </row>
    <row r="45">
      <c r="A45">
        <f>IF(B45="","",42)</f>
        <v/>
      </c>
      <c r="B45">
        <f>IFERROR(INDEX('2.현장'!$AC$2:$AC$1001,MATCH(42,'2.현장'!$AD$2:$AD$1001,0)),"")</f>
        <v/>
      </c>
      <c r="C45">
        <f>IF(B45="","",COUNTIFS('2.현장'!$AC$2:$AC$1001,B45,'2.현장'!$T$2:$T$1001,TRUE))</f>
        <v/>
      </c>
      <c r="D45">
        <f>IF(B45="","",COUNTIFS('2.현장'!$AC$2:$AC$1001,B45,'2.현장'!$T$2:$T$1001,TRUE,'2.현장'!$AA$2:$AA$1001,"★"))</f>
        <v/>
      </c>
      <c r="E45" s="5">
        <f>IF(B45="","",_xlfn.MAXIFS('2.현장'!$D$2:$D$1001,'2.현장'!$AC$2:$AC$1001,B45,'2.현장'!$T$2:$T$1001,TRUE))</f>
        <v/>
      </c>
      <c r="F45" s="7">
        <f>IF(B45="","",IF(_xlfn.MAXIFS('2.현장'!$M$2:$M$1001,'2.현장'!$AC$2:$AC$1001,B45,'2.현장'!$T$2:$T$1001,TRUE)=0,"",_xlfn.MAXIFS('2.현장'!$M$2:$M$1001,'2.현장'!$AC$2:$AC$1001,B45,'2.현장'!$T$2:$T$1001,TRUE)))</f>
        <v/>
      </c>
      <c r="G45">
        <f>IF(B45="","",IFERROR(INDEX('2.현장'!$C$2:$C$1001,MATCH(42,'2.현장'!$AD$2:$AD$1001,0)),""))</f>
        <v/>
      </c>
      <c r="H45">
        <f>IF(B45="","",IFERROR(INDEX('2.현장'!$N$2:$N$1001,MATCH(42,'2.현장'!$AD$2:$AD$1001,0)),""))</f>
        <v/>
      </c>
      <c r="I45">
        <f>IF(B45="","",IFERROR(INDEX('2.현장'!$G$2:$G$1001,MATCH(42,'2.현장'!$AD$2:$AD$1001,0)),""))</f>
        <v/>
      </c>
      <c r="J45">
        <f>IF(B45="","",IFERROR(VLOOKUP(B45,업체_메모!$A$3:$I$302,2,FALSE)&amp;"",""))</f>
        <v/>
      </c>
      <c r="K45">
        <f>IF(B45="","",IFERROR(VLOOKUP(B45,업체_메모!$A$3:$I$302,4,FALSE)&amp;"",""))</f>
        <v/>
      </c>
      <c r="L45" s="7">
        <f>IF(B45="","",IF(COUNTIF('4.방문기록'!$B$3:$B$502,B45)=0,"",_xlfn.MAXIFS('4.방문기록'!$A$3:$A$502,'4.방문기록'!$B$3:$B$502,B45)))</f>
        <v/>
      </c>
      <c r="M45">
        <f>IF(L45="","",설정!$B$24-L45)</f>
        <v/>
      </c>
      <c r="N45">
        <f>IF(L45="","",IFERROR(INDEX('4.방문기록'!$H$3:$H$502,MATCH(B45&amp;"|"&amp;(L45*1),'4.방문기록'!$I$3:$I$502,0))&amp;"",""))</f>
        <v/>
      </c>
      <c r="O45">
        <f>IF(B45="","",IF(N45="관심 없음","제외",IF(L45="","안 가봄",IF(M45&gt;=설정!$B$20,M45&amp;"일 지남","최근 방문"))))</f>
        <v/>
      </c>
    </row>
    <row r="46">
      <c r="A46">
        <f>IF(B46="","",43)</f>
        <v/>
      </c>
      <c r="B46">
        <f>IFERROR(INDEX('2.현장'!$AC$2:$AC$1001,MATCH(43,'2.현장'!$AD$2:$AD$1001,0)),"")</f>
        <v/>
      </c>
      <c r="C46">
        <f>IF(B46="","",COUNTIFS('2.현장'!$AC$2:$AC$1001,B46,'2.현장'!$T$2:$T$1001,TRUE))</f>
        <v/>
      </c>
      <c r="D46">
        <f>IF(B46="","",COUNTIFS('2.현장'!$AC$2:$AC$1001,B46,'2.현장'!$T$2:$T$1001,TRUE,'2.현장'!$AA$2:$AA$1001,"★"))</f>
        <v/>
      </c>
      <c r="E46" s="5">
        <f>IF(B46="","",_xlfn.MAXIFS('2.현장'!$D$2:$D$1001,'2.현장'!$AC$2:$AC$1001,B46,'2.현장'!$T$2:$T$1001,TRUE))</f>
        <v/>
      </c>
      <c r="F46" s="7">
        <f>IF(B46="","",IF(_xlfn.MAXIFS('2.현장'!$M$2:$M$1001,'2.현장'!$AC$2:$AC$1001,B46,'2.현장'!$T$2:$T$1001,TRUE)=0,"",_xlfn.MAXIFS('2.현장'!$M$2:$M$1001,'2.현장'!$AC$2:$AC$1001,B46,'2.현장'!$T$2:$T$1001,TRUE)))</f>
        <v/>
      </c>
      <c r="G46">
        <f>IF(B46="","",IFERROR(INDEX('2.현장'!$C$2:$C$1001,MATCH(43,'2.현장'!$AD$2:$AD$1001,0)),""))</f>
        <v/>
      </c>
      <c r="H46">
        <f>IF(B46="","",IFERROR(INDEX('2.현장'!$N$2:$N$1001,MATCH(43,'2.현장'!$AD$2:$AD$1001,0)),""))</f>
        <v/>
      </c>
      <c r="I46">
        <f>IF(B46="","",IFERROR(INDEX('2.현장'!$G$2:$G$1001,MATCH(43,'2.현장'!$AD$2:$AD$1001,0)),""))</f>
        <v/>
      </c>
      <c r="J46">
        <f>IF(B46="","",IFERROR(VLOOKUP(B46,업체_메모!$A$3:$I$302,2,FALSE)&amp;"",""))</f>
        <v/>
      </c>
      <c r="K46">
        <f>IF(B46="","",IFERROR(VLOOKUP(B46,업체_메모!$A$3:$I$302,4,FALSE)&amp;"",""))</f>
        <v/>
      </c>
      <c r="L46" s="7">
        <f>IF(B46="","",IF(COUNTIF('4.방문기록'!$B$3:$B$502,B46)=0,"",_xlfn.MAXIFS('4.방문기록'!$A$3:$A$502,'4.방문기록'!$B$3:$B$502,B46)))</f>
        <v/>
      </c>
      <c r="M46">
        <f>IF(L46="","",설정!$B$24-L46)</f>
        <v/>
      </c>
      <c r="N46">
        <f>IF(L46="","",IFERROR(INDEX('4.방문기록'!$H$3:$H$502,MATCH(B46&amp;"|"&amp;(L46*1),'4.방문기록'!$I$3:$I$502,0))&amp;"",""))</f>
        <v/>
      </c>
      <c r="O46">
        <f>IF(B46="","",IF(N46="관심 없음","제외",IF(L46="","안 가봄",IF(M46&gt;=설정!$B$20,M46&amp;"일 지남","최근 방문"))))</f>
        <v/>
      </c>
    </row>
    <row r="47">
      <c r="A47">
        <f>IF(B47="","",44)</f>
        <v/>
      </c>
      <c r="B47">
        <f>IFERROR(INDEX('2.현장'!$AC$2:$AC$1001,MATCH(44,'2.현장'!$AD$2:$AD$1001,0)),"")</f>
        <v/>
      </c>
      <c r="C47">
        <f>IF(B47="","",COUNTIFS('2.현장'!$AC$2:$AC$1001,B47,'2.현장'!$T$2:$T$1001,TRUE))</f>
        <v/>
      </c>
      <c r="D47">
        <f>IF(B47="","",COUNTIFS('2.현장'!$AC$2:$AC$1001,B47,'2.현장'!$T$2:$T$1001,TRUE,'2.현장'!$AA$2:$AA$1001,"★"))</f>
        <v/>
      </c>
      <c r="E47" s="5">
        <f>IF(B47="","",_xlfn.MAXIFS('2.현장'!$D$2:$D$1001,'2.현장'!$AC$2:$AC$1001,B47,'2.현장'!$T$2:$T$1001,TRUE))</f>
        <v/>
      </c>
      <c r="F47" s="7">
        <f>IF(B47="","",IF(_xlfn.MAXIFS('2.현장'!$M$2:$M$1001,'2.현장'!$AC$2:$AC$1001,B47,'2.현장'!$T$2:$T$1001,TRUE)=0,"",_xlfn.MAXIFS('2.현장'!$M$2:$M$1001,'2.현장'!$AC$2:$AC$1001,B47,'2.현장'!$T$2:$T$1001,TRUE)))</f>
        <v/>
      </c>
      <c r="G47">
        <f>IF(B47="","",IFERROR(INDEX('2.현장'!$C$2:$C$1001,MATCH(44,'2.현장'!$AD$2:$AD$1001,0)),""))</f>
        <v/>
      </c>
      <c r="H47">
        <f>IF(B47="","",IFERROR(INDEX('2.현장'!$N$2:$N$1001,MATCH(44,'2.현장'!$AD$2:$AD$1001,0)),""))</f>
        <v/>
      </c>
      <c r="I47">
        <f>IF(B47="","",IFERROR(INDEX('2.현장'!$G$2:$G$1001,MATCH(44,'2.현장'!$AD$2:$AD$1001,0)),""))</f>
        <v/>
      </c>
      <c r="J47">
        <f>IF(B47="","",IFERROR(VLOOKUP(B47,업체_메모!$A$3:$I$302,2,FALSE)&amp;"",""))</f>
        <v/>
      </c>
      <c r="K47">
        <f>IF(B47="","",IFERROR(VLOOKUP(B47,업체_메모!$A$3:$I$302,4,FALSE)&amp;"",""))</f>
        <v/>
      </c>
      <c r="L47" s="7">
        <f>IF(B47="","",IF(COUNTIF('4.방문기록'!$B$3:$B$502,B47)=0,"",_xlfn.MAXIFS('4.방문기록'!$A$3:$A$502,'4.방문기록'!$B$3:$B$502,B47)))</f>
        <v/>
      </c>
      <c r="M47">
        <f>IF(L47="","",설정!$B$24-L47)</f>
        <v/>
      </c>
      <c r="N47">
        <f>IF(L47="","",IFERROR(INDEX('4.방문기록'!$H$3:$H$502,MATCH(B47&amp;"|"&amp;(L47*1),'4.방문기록'!$I$3:$I$502,0))&amp;"",""))</f>
        <v/>
      </c>
      <c r="O47">
        <f>IF(B47="","",IF(N47="관심 없음","제외",IF(L47="","안 가봄",IF(M47&gt;=설정!$B$20,M47&amp;"일 지남","최근 방문"))))</f>
        <v/>
      </c>
    </row>
    <row r="48">
      <c r="A48">
        <f>IF(B48="","",45)</f>
        <v/>
      </c>
      <c r="B48">
        <f>IFERROR(INDEX('2.현장'!$AC$2:$AC$1001,MATCH(45,'2.현장'!$AD$2:$AD$1001,0)),"")</f>
        <v/>
      </c>
      <c r="C48">
        <f>IF(B48="","",COUNTIFS('2.현장'!$AC$2:$AC$1001,B48,'2.현장'!$T$2:$T$1001,TRUE))</f>
        <v/>
      </c>
      <c r="D48">
        <f>IF(B48="","",COUNTIFS('2.현장'!$AC$2:$AC$1001,B48,'2.현장'!$T$2:$T$1001,TRUE,'2.현장'!$AA$2:$AA$1001,"★"))</f>
        <v/>
      </c>
      <c r="E48" s="5">
        <f>IF(B48="","",_xlfn.MAXIFS('2.현장'!$D$2:$D$1001,'2.현장'!$AC$2:$AC$1001,B48,'2.현장'!$T$2:$T$1001,TRUE))</f>
        <v/>
      </c>
      <c r="F48" s="7">
        <f>IF(B48="","",IF(_xlfn.MAXIFS('2.현장'!$M$2:$M$1001,'2.현장'!$AC$2:$AC$1001,B48,'2.현장'!$T$2:$T$1001,TRUE)=0,"",_xlfn.MAXIFS('2.현장'!$M$2:$M$1001,'2.현장'!$AC$2:$AC$1001,B48,'2.현장'!$T$2:$T$1001,TRUE)))</f>
        <v/>
      </c>
      <c r="G48">
        <f>IF(B48="","",IFERROR(INDEX('2.현장'!$C$2:$C$1001,MATCH(45,'2.현장'!$AD$2:$AD$1001,0)),""))</f>
        <v/>
      </c>
      <c r="H48">
        <f>IF(B48="","",IFERROR(INDEX('2.현장'!$N$2:$N$1001,MATCH(45,'2.현장'!$AD$2:$AD$1001,0)),""))</f>
        <v/>
      </c>
      <c r="I48">
        <f>IF(B48="","",IFERROR(INDEX('2.현장'!$G$2:$G$1001,MATCH(45,'2.현장'!$AD$2:$AD$1001,0)),""))</f>
        <v/>
      </c>
      <c r="J48">
        <f>IF(B48="","",IFERROR(VLOOKUP(B48,업체_메모!$A$3:$I$302,2,FALSE)&amp;"",""))</f>
        <v/>
      </c>
      <c r="K48">
        <f>IF(B48="","",IFERROR(VLOOKUP(B48,업체_메모!$A$3:$I$302,4,FALSE)&amp;"",""))</f>
        <v/>
      </c>
      <c r="L48" s="7">
        <f>IF(B48="","",IF(COUNTIF('4.방문기록'!$B$3:$B$502,B48)=0,"",_xlfn.MAXIFS('4.방문기록'!$A$3:$A$502,'4.방문기록'!$B$3:$B$502,B48)))</f>
        <v/>
      </c>
      <c r="M48">
        <f>IF(L48="","",설정!$B$24-L48)</f>
        <v/>
      </c>
      <c r="N48">
        <f>IF(L48="","",IFERROR(INDEX('4.방문기록'!$H$3:$H$502,MATCH(B48&amp;"|"&amp;(L48*1),'4.방문기록'!$I$3:$I$502,0))&amp;"",""))</f>
        <v/>
      </c>
      <c r="O48">
        <f>IF(B48="","",IF(N48="관심 없음","제외",IF(L48="","안 가봄",IF(M48&gt;=설정!$B$20,M48&amp;"일 지남","최근 방문"))))</f>
        <v/>
      </c>
    </row>
    <row r="49">
      <c r="A49">
        <f>IF(B49="","",46)</f>
        <v/>
      </c>
      <c r="B49">
        <f>IFERROR(INDEX('2.현장'!$AC$2:$AC$1001,MATCH(46,'2.현장'!$AD$2:$AD$1001,0)),"")</f>
        <v/>
      </c>
      <c r="C49">
        <f>IF(B49="","",COUNTIFS('2.현장'!$AC$2:$AC$1001,B49,'2.현장'!$T$2:$T$1001,TRUE))</f>
        <v/>
      </c>
      <c r="D49">
        <f>IF(B49="","",COUNTIFS('2.현장'!$AC$2:$AC$1001,B49,'2.현장'!$T$2:$T$1001,TRUE,'2.현장'!$AA$2:$AA$1001,"★"))</f>
        <v/>
      </c>
      <c r="E49" s="5">
        <f>IF(B49="","",_xlfn.MAXIFS('2.현장'!$D$2:$D$1001,'2.현장'!$AC$2:$AC$1001,B49,'2.현장'!$T$2:$T$1001,TRUE))</f>
        <v/>
      </c>
      <c r="F49" s="7">
        <f>IF(B49="","",IF(_xlfn.MAXIFS('2.현장'!$M$2:$M$1001,'2.현장'!$AC$2:$AC$1001,B49,'2.현장'!$T$2:$T$1001,TRUE)=0,"",_xlfn.MAXIFS('2.현장'!$M$2:$M$1001,'2.현장'!$AC$2:$AC$1001,B49,'2.현장'!$T$2:$T$1001,TRUE)))</f>
        <v/>
      </c>
      <c r="G49">
        <f>IF(B49="","",IFERROR(INDEX('2.현장'!$C$2:$C$1001,MATCH(46,'2.현장'!$AD$2:$AD$1001,0)),""))</f>
        <v/>
      </c>
      <c r="H49">
        <f>IF(B49="","",IFERROR(INDEX('2.현장'!$N$2:$N$1001,MATCH(46,'2.현장'!$AD$2:$AD$1001,0)),""))</f>
        <v/>
      </c>
      <c r="I49">
        <f>IF(B49="","",IFERROR(INDEX('2.현장'!$G$2:$G$1001,MATCH(46,'2.현장'!$AD$2:$AD$1001,0)),""))</f>
        <v/>
      </c>
      <c r="J49">
        <f>IF(B49="","",IFERROR(VLOOKUP(B49,업체_메모!$A$3:$I$302,2,FALSE)&amp;"",""))</f>
        <v/>
      </c>
      <c r="K49">
        <f>IF(B49="","",IFERROR(VLOOKUP(B49,업체_메모!$A$3:$I$302,4,FALSE)&amp;"",""))</f>
        <v/>
      </c>
      <c r="L49" s="7">
        <f>IF(B49="","",IF(COUNTIF('4.방문기록'!$B$3:$B$502,B49)=0,"",_xlfn.MAXIFS('4.방문기록'!$A$3:$A$502,'4.방문기록'!$B$3:$B$502,B49)))</f>
        <v/>
      </c>
      <c r="M49">
        <f>IF(L49="","",설정!$B$24-L49)</f>
        <v/>
      </c>
      <c r="N49">
        <f>IF(L49="","",IFERROR(INDEX('4.방문기록'!$H$3:$H$502,MATCH(B49&amp;"|"&amp;(L49*1),'4.방문기록'!$I$3:$I$502,0))&amp;"",""))</f>
        <v/>
      </c>
      <c r="O49">
        <f>IF(B49="","",IF(N49="관심 없음","제외",IF(L49="","안 가봄",IF(M49&gt;=설정!$B$20,M49&amp;"일 지남","최근 방문"))))</f>
        <v/>
      </c>
    </row>
    <row r="50">
      <c r="A50">
        <f>IF(B50="","",47)</f>
        <v/>
      </c>
      <c r="B50">
        <f>IFERROR(INDEX('2.현장'!$AC$2:$AC$1001,MATCH(47,'2.현장'!$AD$2:$AD$1001,0)),"")</f>
        <v/>
      </c>
      <c r="C50">
        <f>IF(B50="","",COUNTIFS('2.현장'!$AC$2:$AC$1001,B50,'2.현장'!$T$2:$T$1001,TRUE))</f>
        <v/>
      </c>
      <c r="D50">
        <f>IF(B50="","",COUNTIFS('2.현장'!$AC$2:$AC$1001,B50,'2.현장'!$T$2:$T$1001,TRUE,'2.현장'!$AA$2:$AA$1001,"★"))</f>
        <v/>
      </c>
      <c r="E50" s="5">
        <f>IF(B50="","",_xlfn.MAXIFS('2.현장'!$D$2:$D$1001,'2.현장'!$AC$2:$AC$1001,B50,'2.현장'!$T$2:$T$1001,TRUE))</f>
        <v/>
      </c>
      <c r="F50" s="7">
        <f>IF(B50="","",IF(_xlfn.MAXIFS('2.현장'!$M$2:$M$1001,'2.현장'!$AC$2:$AC$1001,B50,'2.현장'!$T$2:$T$1001,TRUE)=0,"",_xlfn.MAXIFS('2.현장'!$M$2:$M$1001,'2.현장'!$AC$2:$AC$1001,B50,'2.현장'!$T$2:$T$1001,TRUE)))</f>
        <v/>
      </c>
      <c r="G50">
        <f>IF(B50="","",IFERROR(INDEX('2.현장'!$C$2:$C$1001,MATCH(47,'2.현장'!$AD$2:$AD$1001,0)),""))</f>
        <v/>
      </c>
      <c r="H50">
        <f>IF(B50="","",IFERROR(INDEX('2.현장'!$N$2:$N$1001,MATCH(47,'2.현장'!$AD$2:$AD$1001,0)),""))</f>
        <v/>
      </c>
      <c r="I50">
        <f>IF(B50="","",IFERROR(INDEX('2.현장'!$G$2:$G$1001,MATCH(47,'2.현장'!$AD$2:$AD$1001,0)),""))</f>
        <v/>
      </c>
      <c r="J50">
        <f>IF(B50="","",IFERROR(VLOOKUP(B50,업체_메모!$A$3:$I$302,2,FALSE)&amp;"",""))</f>
        <v/>
      </c>
      <c r="K50">
        <f>IF(B50="","",IFERROR(VLOOKUP(B50,업체_메모!$A$3:$I$302,4,FALSE)&amp;"",""))</f>
        <v/>
      </c>
      <c r="L50" s="7">
        <f>IF(B50="","",IF(COUNTIF('4.방문기록'!$B$3:$B$502,B50)=0,"",_xlfn.MAXIFS('4.방문기록'!$A$3:$A$502,'4.방문기록'!$B$3:$B$502,B50)))</f>
        <v/>
      </c>
      <c r="M50">
        <f>IF(L50="","",설정!$B$24-L50)</f>
        <v/>
      </c>
      <c r="N50">
        <f>IF(L50="","",IFERROR(INDEX('4.방문기록'!$H$3:$H$502,MATCH(B50&amp;"|"&amp;(L50*1),'4.방문기록'!$I$3:$I$502,0))&amp;"",""))</f>
        <v/>
      </c>
      <c r="O50">
        <f>IF(B50="","",IF(N50="관심 없음","제외",IF(L50="","안 가봄",IF(M50&gt;=설정!$B$20,M50&amp;"일 지남","최근 방문"))))</f>
        <v/>
      </c>
    </row>
    <row r="51">
      <c r="A51">
        <f>IF(B51="","",48)</f>
        <v/>
      </c>
      <c r="B51">
        <f>IFERROR(INDEX('2.현장'!$AC$2:$AC$1001,MATCH(48,'2.현장'!$AD$2:$AD$1001,0)),"")</f>
        <v/>
      </c>
      <c r="C51">
        <f>IF(B51="","",COUNTIFS('2.현장'!$AC$2:$AC$1001,B51,'2.현장'!$T$2:$T$1001,TRUE))</f>
        <v/>
      </c>
      <c r="D51">
        <f>IF(B51="","",COUNTIFS('2.현장'!$AC$2:$AC$1001,B51,'2.현장'!$T$2:$T$1001,TRUE,'2.현장'!$AA$2:$AA$1001,"★"))</f>
        <v/>
      </c>
      <c r="E51" s="5">
        <f>IF(B51="","",_xlfn.MAXIFS('2.현장'!$D$2:$D$1001,'2.현장'!$AC$2:$AC$1001,B51,'2.현장'!$T$2:$T$1001,TRUE))</f>
        <v/>
      </c>
      <c r="F51" s="7">
        <f>IF(B51="","",IF(_xlfn.MAXIFS('2.현장'!$M$2:$M$1001,'2.현장'!$AC$2:$AC$1001,B51,'2.현장'!$T$2:$T$1001,TRUE)=0,"",_xlfn.MAXIFS('2.현장'!$M$2:$M$1001,'2.현장'!$AC$2:$AC$1001,B51,'2.현장'!$T$2:$T$1001,TRUE)))</f>
        <v/>
      </c>
      <c r="G51">
        <f>IF(B51="","",IFERROR(INDEX('2.현장'!$C$2:$C$1001,MATCH(48,'2.현장'!$AD$2:$AD$1001,0)),""))</f>
        <v/>
      </c>
      <c r="H51">
        <f>IF(B51="","",IFERROR(INDEX('2.현장'!$N$2:$N$1001,MATCH(48,'2.현장'!$AD$2:$AD$1001,0)),""))</f>
        <v/>
      </c>
      <c r="I51">
        <f>IF(B51="","",IFERROR(INDEX('2.현장'!$G$2:$G$1001,MATCH(48,'2.현장'!$AD$2:$AD$1001,0)),""))</f>
        <v/>
      </c>
      <c r="J51">
        <f>IF(B51="","",IFERROR(VLOOKUP(B51,업체_메모!$A$3:$I$302,2,FALSE)&amp;"",""))</f>
        <v/>
      </c>
      <c r="K51">
        <f>IF(B51="","",IFERROR(VLOOKUP(B51,업체_메모!$A$3:$I$302,4,FALSE)&amp;"",""))</f>
        <v/>
      </c>
      <c r="L51" s="7">
        <f>IF(B51="","",IF(COUNTIF('4.방문기록'!$B$3:$B$502,B51)=0,"",_xlfn.MAXIFS('4.방문기록'!$A$3:$A$502,'4.방문기록'!$B$3:$B$502,B51)))</f>
        <v/>
      </c>
      <c r="M51">
        <f>IF(L51="","",설정!$B$24-L51)</f>
        <v/>
      </c>
      <c r="N51">
        <f>IF(L51="","",IFERROR(INDEX('4.방문기록'!$H$3:$H$502,MATCH(B51&amp;"|"&amp;(L51*1),'4.방문기록'!$I$3:$I$502,0))&amp;"",""))</f>
        <v/>
      </c>
      <c r="O51">
        <f>IF(B51="","",IF(N51="관심 없음","제외",IF(L51="","안 가봄",IF(M51&gt;=설정!$B$20,M51&amp;"일 지남","최근 방문"))))</f>
        <v/>
      </c>
    </row>
    <row r="52">
      <c r="A52">
        <f>IF(B52="","",49)</f>
        <v/>
      </c>
      <c r="B52">
        <f>IFERROR(INDEX('2.현장'!$AC$2:$AC$1001,MATCH(49,'2.현장'!$AD$2:$AD$1001,0)),"")</f>
        <v/>
      </c>
      <c r="C52">
        <f>IF(B52="","",COUNTIFS('2.현장'!$AC$2:$AC$1001,B52,'2.현장'!$T$2:$T$1001,TRUE))</f>
        <v/>
      </c>
      <c r="D52">
        <f>IF(B52="","",COUNTIFS('2.현장'!$AC$2:$AC$1001,B52,'2.현장'!$T$2:$T$1001,TRUE,'2.현장'!$AA$2:$AA$1001,"★"))</f>
        <v/>
      </c>
      <c r="E52" s="5">
        <f>IF(B52="","",_xlfn.MAXIFS('2.현장'!$D$2:$D$1001,'2.현장'!$AC$2:$AC$1001,B52,'2.현장'!$T$2:$T$1001,TRUE))</f>
        <v/>
      </c>
      <c r="F52" s="7">
        <f>IF(B52="","",IF(_xlfn.MAXIFS('2.현장'!$M$2:$M$1001,'2.현장'!$AC$2:$AC$1001,B52,'2.현장'!$T$2:$T$1001,TRUE)=0,"",_xlfn.MAXIFS('2.현장'!$M$2:$M$1001,'2.현장'!$AC$2:$AC$1001,B52,'2.현장'!$T$2:$T$1001,TRUE)))</f>
        <v/>
      </c>
      <c r="G52">
        <f>IF(B52="","",IFERROR(INDEX('2.현장'!$C$2:$C$1001,MATCH(49,'2.현장'!$AD$2:$AD$1001,0)),""))</f>
        <v/>
      </c>
      <c r="H52">
        <f>IF(B52="","",IFERROR(INDEX('2.현장'!$N$2:$N$1001,MATCH(49,'2.현장'!$AD$2:$AD$1001,0)),""))</f>
        <v/>
      </c>
      <c r="I52">
        <f>IF(B52="","",IFERROR(INDEX('2.현장'!$G$2:$G$1001,MATCH(49,'2.현장'!$AD$2:$AD$1001,0)),""))</f>
        <v/>
      </c>
      <c r="J52">
        <f>IF(B52="","",IFERROR(VLOOKUP(B52,업체_메모!$A$3:$I$302,2,FALSE)&amp;"",""))</f>
        <v/>
      </c>
      <c r="K52">
        <f>IF(B52="","",IFERROR(VLOOKUP(B52,업체_메모!$A$3:$I$302,4,FALSE)&amp;"",""))</f>
        <v/>
      </c>
      <c r="L52" s="7">
        <f>IF(B52="","",IF(COUNTIF('4.방문기록'!$B$3:$B$502,B52)=0,"",_xlfn.MAXIFS('4.방문기록'!$A$3:$A$502,'4.방문기록'!$B$3:$B$502,B52)))</f>
        <v/>
      </c>
      <c r="M52">
        <f>IF(L52="","",설정!$B$24-L52)</f>
        <v/>
      </c>
      <c r="N52">
        <f>IF(L52="","",IFERROR(INDEX('4.방문기록'!$H$3:$H$502,MATCH(B52&amp;"|"&amp;(L52*1),'4.방문기록'!$I$3:$I$502,0))&amp;"",""))</f>
        <v/>
      </c>
      <c r="O52">
        <f>IF(B52="","",IF(N52="관심 없음","제외",IF(L52="","안 가봄",IF(M52&gt;=설정!$B$20,M52&amp;"일 지남","최근 방문"))))</f>
        <v/>
      </c>
    </row>
    <row r="53">
      <c r="A53">
        <f>IF(B53="","",50)</f>
        <v/>
      </c>
      <c r="B53">
        <f>IFERROR(INDEX('2.현장'!$AC$2:$AC$1001,MATCH(50,'2.현장'!$AD$2:$AD$1001,0)),"")</f>
        <v/>
      </c>
      <c r="C53">
        <f>IF(B53="","",COUNTIFS('2.현장'!$AC$2:$AC$1001,B53,'2.현장'!$T$2:$T$1001,TRUE))</f>
        <v/>
      </c>
      <c r="D53">
        <f>IF(B53="","",COUNTIFS('2.현장'!$AC$2:$AC$1001,B53,'2.현장'!$T$2:$T$1001,TRUE,'2.현장'!$AA$2:$AA$1001,"★"))</f>
        <v/>
      </c>
      <c r="E53" s="5">
        <f>IF(B53="","",_xlfn.MAXIFS('2.현장'!$D$2:$D$1001,'2.현장'!$AC$2:$AC$1001,B53,'2.현장'!$T$2:$T$1001,TRUE))</f>
        <v/>
      </c>
      <c r="F53" s="7">
        <f>IF(B53="","",IF(_xlfn.MAXIFS('2.현장'!$M$2:$M$1001,'2.현장'!$AC$2:$AC$1001,B53,'2.현장'!$T$2:$T$1001,TRUE)=0,"",_xlfn.MAXIFS('2.현장'!$M$2:$M$1001,'2.현장'!$AC$2:$AC$1001,B53,'2.현장'!$T$2:$T$1001,TRUE)))</f>
        <v/>
      </c>
      <c r="G53">
        <f>IF(B53="","",IFERROR(INDEX('2.현장'!$C$2:$C$1001,MATCH(50,'2.현장'!$AD$2:$AD$1001,0)),""))</f>
        <v/>
      </c>
      <c r="H53">
        <f>IF(B53="","",IFERROR(INDEX('2.현장'!$N$2:$N$1001,MATCH(50,'2.현장'!$AD$2:$AD$1001,0)),""))</f>
        <v/>
      </c>
      <c r="I53">
        <f>IF(B53="","",IFERROR(INDEX('2.현장'!$G$2:$G$1001,MATCH(50,'2.현장'!$AD$2:$AD$1001,0)),""))</f>
        <v/>
      </c>
      <c r="J53">
        <f>IF(B53="","",IFERROR(VLOOKUP(B53,업체_메모!$A$3:$I$302,2,FALSE)&amp;"",""))</f>
        <v/>
      </c>
      <c r="K53">
        <f>IF(B53="","",IFERROR(VLOOKUP(B53,업체_메모!$A$3:$I$302,4,FALSE)&amp;"",""))</f>
        <v/>
      </c>
      <c r="L53" s="7">
        <f>IF(B53="","",IF(COUNTIF('4.방문기록'!$B$3:$B$502,B53)=0,"",_xlfn.MAXIFS('4.방문기록'!$A$3:$A$502,'4.방문기록'!$B$3:$B$502,B53)))</f>
        <v/>
      </c>
      <c r="M53">
        <f>IF(L53="","",설정!$B$24-L53)</f>
        <v/>
      </c>
      <c r="N53">
        <f>IF(L53="","",IFERROR(INDEX('4.방문기록'!$H$3:$H$502,MATCH(B53&amp;"|"&amp;(L53*1),'4.방문기록'!$I$3:$I$502,0))&amp;"",""))</f>
        <v/>
      </c>
      <c r="O53">
        <f>IF(B53="","",IF(N53="관심 없음","제외",IF(L53="","안 가봄",IF(M53&gt;=설정!$B$20,M53&amp;"일 지남","최근 방문"))))</f>
        <v/>
      </c>
    </row>
    <row r="54">
      <c r="A54">
        <f>IF(B54="","",51)</f>
        <v/>
      </c>
      <c r="B54">
        <f>IFERROR(INDEX('2.현장'!$AC$2:$AC$1001,MATCH(51,'2.현장'!$AD$2:$AD$1001,0)),"")</f>
        <v/>
      </c>
      <c r="C54">
        <f>IF(B54="","",COUNTIFS('2.현장'!$AC$2:$AC$1001,B54,'2.현장'!$T$2:$T$1001,TRUE))</f>
        <v/>
      </c>
      <c r="D54">
        <f>IF(B54="","",COUNTIFS('2.현장'!$AC$2:$AC$1001,B54,'2.현장'!$T$2:$T$1001,TRUE,'2.현장'!$AA$2:$AA$1001,"★"))</f>
        <v/>
      </c>
      <c r="E54" s="5">
        <f>IF(B54="","",_xlfn.MAXIFS('2.현장'!$D$2:$D$1001,'2.현장'!$AC$2:$AC$1001,B54,'2.현장'!$T$2:$T$1001,TRUE))</f>
        <v/>
      </c>
      <c r="F54" s="7">
        <f>IF(B54="","",IF(_xlfn.MAXIFS('2.현장'!$M$2:$M$1001,'2.현장'!$AC$2:$AC$1001,B54,'2.현장'!$T$2:$T$1001,TRUE)=0,"",_xlfn.MAXIFS('2.현장'!$M$2:$M$1001,'2.현장'!$AC$2:$AC$1001,B54,'2.현장'!$T$2:$T$1001,TRUE)))</f>
        <v/>
      </c>
      <c r="G54">
        <f>IF(B54="","",IFERROR(INDEX('2.현장'!$C$2:$C$1001,MATCH(51,'2.현장'!$AD$2:$AD$1001,0)),""))</f>
        <v/>
      </c>
      <c r="H54">
        <f>IF(B54="","",IFERROR(INDEX('2.현장'!$N$2:$N$1001,MATCH(51,'2.현장'!$AD$2:$AD$1001,0)),""))</f>
        <v/>
      </c>
      <c r="I54">
        <f>IF(B54="","",IFERROR(INDEX('2.현장'!$G$2:$G$1001,MATCH(51,'2.현장'!$AD$2:$AD$1001,0)),""))</f>
        <v/>
      </c>
      <c r="J54">
        <f>IF(B54="","",IFERROR(VLOOKUP(B54,업체_메모!$A$3:$I$302,2,FALSE)&amp;"",""))</f>
        <v/>
      </c>
      <c r="K54">
        <f>IF(B54="","",IFERROR(VLOOKUP(B54,업체_메모!$A$3:$I$302,4,FALSE)&amp;"",""))</f>
        <v/>
      </c>
      <c r="L54" s="7">
        <f>IF(B54="","",IF(COUNTIF('4.방문기록'!$B$3:$B$502,B54)=0,"",_xlfn.MAXIFS('4.방문기록'!$A$3:$A$502,'4.방문기록'!$B$3:$B$502,B54)))</f>
        <v/>
      </c>
      <c r="M54">
        <f>IF(L54="","",설정!$B$24-L54)</f>
        <v/>
      </c>
      <c r="N54">
        <f>IF(L54="","",IFERROR(INDEX('4.방문기록'!$H$3:$H$502,MATCH(B54&amp;"|"&amp;(L54*1),'4.방문기록'!$I$3:$I$502,0))&amp;"",""))</f>
        <v/>
      </c>
      <c r="O54">
        <f>IF(B54="","",IF(N54="관심 없음","제외",IF(L54="","안 가봄",IF(M54&gt;=설정!$B$20,M54&amp;"일 지남","최근 방문"))))</f>
        <v/>
      </c>
    </row>
    <row r="55">
      <c r="A55">
        <f>IF(B55="","",52)</f>
        <v/>
      </c>
      <c r="B55">
        <f>IFERROR(INDEX('2.현장'!$AC$2:$AC$1001,MATCH(52,'2.현장'!$AD$2:$AD$1001,0)),"")</f>
        <v/>
      </c>
      <c r="C55">
        <f>IF(B55="","",COUNTIFS('2.현장'!$AC$2:$AC$1001,B55,'2.현장'!$T$2:$T$1001,TRUE))</f>
        <v/>
      </c>
      <c r="D55">
        <f>IF(B55="","",COUNTIFS('2.현장'!$AC$2:$AC$1001,B55,'2.현장'!$T$2:$T$1001,TRUE,'2.현장'!$AA$2:$AA$1001,"★"))</f>
        <v/>
      </c>
      <c r="E55" s="5">
        <f>IF(B55="","",_xlfn.MAXIFS('2.현장'!$D$2:$D$1001,'2.현장'!$AC$2:$AC$1001,B55,'2.현장'!$T$2:$T$1001,TRUE))</f>
        <v/>
      </c>
      <c r="F55" s="7">
        <f>IF(B55="","",IF(_xlfn.MAXIFS('2.현장'!$M$2:$M$1001,'2.현장'!$AC$2:$AC$1001,B55,'2.현장'!$T$2:$T$1001,TRUE)=0,"",_xlfn.MAXIFS('2.현장'!$M$2:$M$1001,'2.현장'!$AC$2:$AC$1001,B55,'2.현장'!$T$2:$T$1001,TRUE)))</f>
        <v/>
      </c>
      <c r="G55">
        <f>IF(B55="","",IFERROR(INDEX('2.현장'!$C$2:$C$1001,MATCH(52,'2.현장'!$AD$2:$AD$1001,0)),""))</f>
        <v/>
      </c>
      <c r="H55">
        <f>IF(B55="","",IFERROR(INDEX('2.현장'!$N$2:$N$1001,MATCH(52,'2.현장'!$AD$2:$AD$1001,0)),""))</f>
        <v/>
      </c>
      <c r="I55">
        <f>IF(B55="","",IFERROR(INDEX('2.현장'!$G$2:$G$1001,MATCH(52,'2.현장'!$AD$2:$AD$1001,0)),""))</f>
        <v/>
      </c>
      <c r="J55">
        <f>IF(B55="","",IFERROR(VLOOKUP(B55,업체_메모!$A$3:$I$302,2,FALSE)&amp;"",""))</f>
        <v/>
      </c>
      <c r="K55">
        <f>IF(B55="","",IFERROR(VLOOKUP(B55,업체_메모!$A$3:$I$302,4,FALSE)&amp;"",""))</f>
        <v/>
      </c>
      <c r="L55" s="7">
        <f>IF(B55="","",IF(COUNTIF('4.방문기록'!$B$3:$B$502,B55)=0,"",_xlfn.MAXIFS('4.방문기록'!$A$3:$A$502,'4.방문기록'!$B$3:$B$502,B55)))</f>
        <v/>
      </c>
      <c r="M55">
        <f>IF(L55="","",설정!$B$24-L55)</f>
        <v/>
      </c>
      <c r="N55">
        <f>IF(L55="","",IFERROR(INDEX('4.방문기록'!$H$3:$H$502,MATCH(B55&amp;"|"&amp;(L55*1),'4.방문기록'!$I$3:$I$502,0))&amp;"",""))</f>
        <v/>
      </c>
      <c r="O55">
        <f>IF(B55="","",IF(N55="관심 없음","제외",IF(L55="","안 가봄",IF(M55&gt;=설정!$B$20,M55&amp;"일 지남","최근 방문"))))</f>
        <v/>
      </c>
    </row>
    <row r="56">
      <c r="A56">
        <f>IF(B56="","",53)</f>
        <v/>
      </c>
      <c r="B56">
        <f>IFERROR(INDEX('2.현장'!$AC$2:$AC$1001,MATCH(53,'2.현장'!$AD$2:$AD$1001,0)),"")</f>
        <v/>
      </c>
      <c r="C56">
        <f>IF(B56="","",COUNTIFS('2.현장'!$AC$2:$AC$1001,B56,'2.현장'!$T$2:$T$1001,TRUE))</f>
        <v/>
      </c>
      <c r="D56">
        <f>IF(B56="","",COUNTIFS('2.현장'!$AC$2:$AC$1001,B56,'2.현장'!$T$2:$T$1001,TRUE,'2.현장'!$AA$2:$AA$1001,"★"))</f>
        <v/>
      </c>
      <c r="E56" s="5">
        <f>IF(B56="","",_xlfn.MAXIFS('2.현장'!$D$2:$D$1001,'2.현장'!$AC$2:$AC$1001,B56,'2.현장'!$T$2:$T$1001,TRUE))</f>
        <v/>
      </c>
      <c r="F56" s="7">
        <f>IF(B56="","",IF(_xlfn.MAXIFS('2.현장'!$M$2:$M$1001,'2.현장'!$AC$2:$AC$1001,B56,'2.현장'!$T$2:$T$1001,TRUE)=0,"",_xlfn.MAXIFS('2.현장'!$M$2:$M$1001,'2.현장'!$AC$2:$AC$1001,B56,'2.현장'!$T$2:$T$1001,TRUE)))</f>
        <v/>
      </c>
      <c r="G56">
        <f>IF(B56="","",IFERROR(INDEX('2.현장'!$C$2:$C$1001,MATCH(53,'2.현장'!$AD$2:$AD$1001,0)),""))</f>
        <v/>
      </c>
      <c r="H56">
        <f>IF(B56="","",IFERROR(INDEX('2.현장'!$N$2:$N$1001,MATCH(53,'2.현장'!$AD$2:$AD$1001,0)),""))</f>
        <v/>
      </c>
      <c r="I56">
        <f>IF(B56="","",IFERROR(INDEX('2.현장'!$G$2:$G$1001,MATCH(53,'2.현장'!$AD$2:$AD$1001,0)),""))</f>
        <v/>
      </c>
      <c r="J56">
        <f>IF(B56="","",IFERROR(VLOOKUP(B56,업체_메모!$A$3:$I$302,2,FALSE)&amp;"",""))</f>
        <v/>
      </c>
      <c r="K56">
        <f>IF(B56="","",IFERROR(VLOOKUP(B56,업체_메모!$A$3:$I$302,4,FALSE)&amp;"",""))</f>
        <v/>
      </c>
      <c r="L56" s="7">
        <f>IF(B56="","",IF(COUNTIF('4.방문기록'!$B$3:$B$502,B56)=0,"",_xlfn.MAXIFS('4.방문기록'!$A$3:$A$502,'4.방문기록'!$B$3:$B$502,B56)))</f>
        <v/>
      </c>
      <c r="M56">
        <f>IF(L56="","",설정!$B$24-L56)</f>
        <v/>
      </c>
      <c r="N56">
        <f>IF(L56="","",IFERROR(INDEX('4.방문기록'!$H$3:$H$502,MATCH(B56&amp;"|"&amp;(L56*1),'4.방문기록'!$I$3:$I$502,0))&amp;"",""))</f>
        <v/>
      </c>
      <c r="O56">
        <f>IF(B56="","",IF(N56="관심 없음","제외",IF(L56="","안 가봄",IF(M56&gt;=설정!$B$20,M56&amp;"일 지남","최근 방문"))))</f>
        <v/>
      </c>
    </row>
    <row r="57">
      <c r="A57">
        <f>IF(B57="","",54)</f>
        <v/>
      </c>
      <c r="B57">
        <f>IFERROR(INDEX('2.현장'!$AC$2:$AC$1001,MATCH(54,'2.현장'!$AD$2:$AD$1001,0)),"")</f>
        <v/>
      </c>
      <c r="C57">
        <f>IF(B57="","",COUNTIFS('2.현장'!$AC$2:$AC$1001,B57,'2.현장'!$T$2:$T$1001,TRUE))</f>
        <v/>
      </c>
      <c r="D57">
        <f>IF(B57="","",COUNTIFS('2.현장'!$AC$2:$AC$1001,B57,'2.현장'!$T$2:$T$1001,TRUE,'2.현장'!$AA$2:$AA$1001,"★"))</f>
        <v/>
      </c>
      <c r="E57" s="5">
        <f>IF(B57="","",_xlfn.MAXIFS('2.현장'!$D$2:$D$1001,'2.현장'!$AC$2:$AC$1001,B57,'2.현장'!$T$2:$T$1001,TRUE))</f>
        <v/>
      </c>
      <c r="F57" s="7">
        <f>IF(B57="","",IF(_xlfn.MAXIFS('2.현장'!$M$2:$M$1001,'2.현장'!$AC$2:$AC$1001,B57,'2.현장'!$T$2:$T$1001,TRUE)=0,"",_xlfn.MAXIFS('2.현장'!$M$2:$M$1001,'2.현장'!$AC$2:$AC$1001,B57,'2.현장'!$T$2:$T$1001,TRUE)))</f>
        <v/>
      </c>
      <c r="G57">
        <f>IF(B57="","",IFERROR(INDEX('2.현장'!$C$2:$C$1001,MATCH(54,'2.현장'!$AD$2:$AD$1001,0)),""))</f>
        <v/>
      </c>
      <c r="H57">
        <f>IF(B57="","",IFERROR(INDEX('2.현장'!$N$2:$N$1001,MATCH(54,'2.현장'!$AD$2:$AD$1001,0)),""))</f>
        <v/>
      </c>
      <c r="I57">
        <f>IF(B57="","",IFERROR(INDEX('2.현장'!$G$2:$G$1001,MATCH(54,'2.현장'!$AD$2:$AD$1001,0)),""))</f>
        <v/>
      </c>
      <c r="J57">
        <f>IF(B57="","",IFERROR(VLOOKUP(B57,업체_메모!$A$3:$I$302,2,FALSE)&amp;"",""))</f>
        <v/>
      </c>
      <c r="K57">
        <f>IF(B57="","",IFERROR(VLOOKUP(B57,업체_메모!$A$3:$I$302,4,FALSE)&amp;"",""))</f>
        <v/>
      </c>
      <c r="L57" s="7">
        <f>IF(B57="","",IF(COUNTIF('4.방문기록'!$B$3:$B$502,B57)=0,"",_xlfn.MAXIFS('4.방문기록'!$A$3:$A$502,'4.방문기록'!$B$3:$B$502,B57)))</f>
        <v/>
      </c>
      <c r="M57">
        <f>IF(L57="","",설정!$B$24-L57)</f>
        <v/>
      </c>
      <c r="N57">
        <f>IF(L57="","",IFERROR(INDEX('4.방문기록'!$H$3:$H$502,MATCH(B57&amp;"|"&amp;(L57*1),'4.방문기록'!$I$3:$I$502,0))&amp;"",""))</f>
        <v/>
      </c>
      <c r="O57">
        <f>IF(B57="","",IF(N57="관심 없음","제외",IF(L57="","안 가봄",IF(M57&gt;=설정!$B$20,M57&amp;"일 지남","최근 방문"))))</f>
        <v/>
      </c>
    </row>
    <row r="58">
      <c r="A58">
        <f>IF(B58="","",55)</f>
        <v/>
      </c>
      <c r="B58">
        <f>IFERROR(INDEX('2.현장'!$AC$2:$AC$1001,MATCH(55,'2.현장'!$AD$2:$AD$1001,0)),"")</f>
        <v/>
      </c>
      <c r="C58">
        <f>IF(B58="","",COUNTIFS('2.현장'!$AC$2:$AC$1001,B58,'2.현장'!$T$2:$T$1001,TRUE))</f>
        <v/>
      </c>
      <c r="D58">
        <f>IF(B58="","",COUNTIFS('2.현장'!$AC$2:$AC$1001,B58,'2.현장'!$T$2:$T$1001,TRUE,'2.현장'!$AA$2:$AA$1001,"★"))</f>
        <v/>
      </c>
      <c r="E58" s="5">
        <f>IF(B58="","",_xlfn.MAXIFS('2.현장'!$D$2:$D$1001,'2.현장'!$AC$2:$AC$1001,B58,'2.현장'!$T$2:$T$1001,TRUE))</f>
        <v/>
      </c>
      <c r="F58" s="7">
        <f>IF(B58="","",IF(_xlfn.MAXIFS('2.현장'!$M$2:$M$1001,'2.현장'!$AC$2:$AC$1001,B58,'2.현장'!$T$2:$T$1001,TRUE)=0,"",_xlfn.MAXIFS('2.현장'!$M$2:$M$1001,'2.현장'!$AC$2:$AC$1001,B58,'2.현장'!$T$2:$T$1001,TRUE)))</f>
        <v/>
      </c>
      <c r="G58">
        <f>IF(B58="","",IFERROR(INDEX('2.현장'!$C$2:$C$1001,MATCH(55,'2.현장'!$AD$2:$AD$1001,0)),""))</f>
        <v/>
      </c>
      <c r="H58">
        <f>IF(B58="","",IFERROR(INDEX('2.현장'!$N$2:$N$1001,MATCH(55,'2.현장'!$AD$2:$AD$1001,0)),""))</f>
        <v/>
      </c>
      <c r="I58">
        <f>IF(B58="","",IFERROR(INDEX('2.현장'!$G$2:$G$1001,MATCH(55,'2.현장'!$AD$2:$AD$1001,0)),""))</f>
        <v/>
      </c>
      <c r="J58">
        <f>IF(B58="","",IFERROR(VLOOKUP(B58,업체_메모!$A$3:$I$302,2,FALSE)&amp;"",""))</f>
        <v/>
      </c>
      <c r="K58">
        <f>IF(B58="","",IFERROR(VLOOKUP(B58,업체_메모!$A$3:$I$302,4,FALSE)&amp;"",""))</f>
        <v/>
      </c>
      <c r="L58" s="7">
        <f>IF(B58="","",IF(COUNTIF('4.방문기록'!$B$3:$B$502,B58)=0,"",_xlfn.MAXIFS('4.방문기록'!$A$3:$A$502,'4.방문기록'!$B$3:$B$502,B58)))</f>
        <v/>
      </c>
      <c r="M58">
        <f>IF(L58="","",설정!$B$24-L58)</f>
        <v/>
      </c>
      <c r="N58">
        <f>IF(L58="","",IFERROR(INDEX('4.방문기록'!$H$3:$H$502,MATCH(B58&amp;"|"&amp;(L58*1),'4.방문기록'!$I$3:$I$502,0))&amp;"",""))</f>
        <v/>
      </c>
      <c r="O58">
        <f>IF(B58="","",IF(N58="관심 없음","제외",IF(L58="","안 가봄",IF(M58&gt;=설정!$B$20,M58&amp;"일 지남","최근 방문"))))</f>
        <v/>
      </c>
    </row>
    <row r="59">
      <c r="A59">
        <f>IF(B59="","",56)</f>
        <v/>
      </c>
      <c r="B59">
        <f>IFERROR(INDEX('2.현장'!$AC$2:$AC$1001,MATCH(56,'2.현장'!$AD$2:$AD$1001,0)),"")</f>
        <v/>
      </c>
      <c r="C59">
        <f>IF(B59="","",COUNTIFS('2.현장'!$AC$2:$AC$1001,B59,'2.현장'!$T$2:$T$1001,TRUE))</f>
        <v/>
      </c>
      <c r="D59">
        <f>IF(B59="","",COUNTIFS('2.현장'!$AC$2:$AC$1001,B59,'2.현장'!$T$2:$T$1001,TRUE,'2.현장'!$AA$2:$AA$1001,"★"))</f>
        <v/>
      </c>
      <c r="E59" s="5">
        <f>IF(B59="","",_xlfn.MAXIFS('2.현장'!$D$2:$D$1001,'2.현장'!$AC$2:$AC$1001,B59,'2.현장'!$T$2:$T$1001,TRUE))</f>
        <v/>
      </c>
      <c r="F59" s="7">
        <f>IF(B59="","",IF(_xlfn.MAXIFS('2.현장'!$M$2:$M$1001,'2.현장'!$AC$2:$AC$1001,B59,'2.현장'!$T$2:$T$1001,TRUE)=0,"",_xlfn.MAXIFS('2.현장'!$M$2:$M$1001,'2.현장'!$AC$2:$AC$1001,B59,'2.현장'!$T$2:$T$1001,TRUE)))</f>
        <v/>
      </c>
      <c r="G59">
        <f>IF(B59="","",IFERROR(INDEX('2.현장'!$C$2:$C$1001,MATCH(56,'2.현장'!$AD$2:$AD$1001,0)),""))</f>
        <v/>
      </c>
      <c r="H59">
        <f>IF(B59="","",IFERROR(INDEX('2.현장'!$N$2:$N$1001,MATCH(56,'2.현장'!$AD$2:$AD$1001,0)),""))</f>
        <v/>
      </c>
      <c r="I59">
        <f>IF(B59="","",IFERROR(INDEX('2.현장'!$G$2:$G$1001,MATCH(56,'2.현장'!$AD$2:$AD$1001,0)),""))</f>
        <v/>
      </c>
      <c r="J59">
        <f>IF(B59="","",IFERROR(VLOOKUP(B59,업체_메모!$A$3:$I$302,2,FALSE)&amp;"",""))</f>
        <v/>
      </c>
      <c r="K59">
        <f>IF(B59="","",IFERROR(VLOOKUP(B59,업체_메모!$A$3:$I$302,4,FALSE)&amp;"",""))</f>
        <v/>
      </c>
      <c r="L59" s="7">
        <f>IF(B59="","",IF(COUNTIF('4.방문기록'!$B$3:$B$502,B59)=0,"",_xlfn.MAXIFS('4.방문기록'!$A$3:$A$502,'4.방문기록'!$B$3:$B$502,B59)))</f>
        <v/>
      </c>
      <c r="M59">
        <f>IF(L59="","",설정!$B$24-L59)</f>
        <v/>
      </c>
      <c r="N59">
        <f>IF(L59="","",IFERROR(INDEX('4.방문기록'!$H$3:$H$502,MATCH(B59&amp;"|"&amp;(L59*1),'4.방문기록'!$I$3:$I$502,0))&amp;"",""))</f>
        <v/>
      </c>
      <c r="O59">
        <f>IF(B59="","",IF(N59="관심 없음","제외",IF(L59="","안 가봄",IF(M59&gt;=설정!$B$20,M59&amp;"일 지남","최근 방문"))))</f>
        <v/>
      </c>
    </row>
    <row r="60">
      <c r="A60">
        <f>IF(B60="","",57)</f>
        <v/>
      </c>
      <c r="B60">
        <f>IFERROR(INDEX('2.현장'!$AC$2:$AC$1001,MATCH(57,'2.현장'!$AD$2:$AD$1001,0)),"")</f>
        <v/>
      </c>
      <c r="C60">
        <f>IF(B60="","",COUNTIFS('2.현장'!$AC$2:$AC$1001,B60,'2.현장'!$T$2:$T$1001,TRUE))</f>
        <v/>
      </c>
      <c r="D60">
        <f>IF(B60="","",COUNTIFS('2.현장'!$AC$2:$AC$1001,B60,'2.현장'!$T$2:$T$1001,TRUE,'2.현장'!$AA$2:$AA$1001,"★"))</f>
        <v/>
      </c>
      <c r="E60" s="5">
        <f>IF(B60="","",_xlfn.MAXIFS('2.현장'!$D$2:$D$1001,'2.현장'!$AC$2:$AC$1001,B60,'2.현장'!$T$2:$T$1001,TRUE))</f>
        <v/>
      </c>
      <c r="F60" s="7">
        <f>IF(B60="","",IF(_xlfn.MAXIFS('2.현장'!$M$2:$M$1001,'2.현장'!$AC$2:$AC$1001,B60,'2.현장'!$T$2:$T$1001,TRUE)=0,"",_xlfn.MAXIFS('2.현장'!$M$2:$M$1001,'2.현장'!$AC$2:$AC$1001,B60,'2.현장'!$T$2:$T$1001,TRUE)))</f>
        <v/>
      </c>
      <c r="G60">
        <f>IF(B60="","",IFERROR(INDEX('2.현장'!$C$2:$C$1001,MATCH(57,'2.현장'!$AD$2:$AD$1001,0)),""))</f>
        <v/>
      </c>
      <c r="H60">
        <f>IF(B60="","",IFERROR(INDEX('2.현장'!$N$2:$N$1001,MATCH(57,'2.현장'!$AD$2:$AD$1001,0)),""))</f>
        <v/>
      </c>
      <c r="I60">
        <f>IF(B60="","",IFERROR(INDEX('2.현장'!$G$2:$G$1001,MATCH(57,'2.현장'!$AD$2:$AD$1001,0)),""))</f>
        <v/>
      </c>
      <c r="J60">
        <f>IF(B60="","",IFERROR(VLOOKUP(B60,업체_메모!$A$3:$I$302,2,FALSE)&amp;"",""))</f>
        <v/>
      </c>
      <c r="K60">
        <f>IF(B60="","",IFERROR(VLOOKUP(B60,업체_메모!$A$3:$I$302,4,FALSE)&amp;"",""))</f>
        <v/>
      </c>
      <c r="L60" s="7">
        <f>IF(B60="","",IF(COUNTIF('4.방문기록'!$B$3:$B$502,B60)=0,"",_xlfn.MAXIFS('4.방문기록'!$A$3:$A$502,'4.방문기록'!$B$3:$B$502,B60)))</f>
        <v/>
      </c>
      <c r="M60">
        <f>IF(L60="","",설정!$B$24-L60)</f>
        <v/>
      </c>
      <c r="N60">
        <f>IF(L60="","",IFERROR(INDEX('4.방문기록'!$H$3:$H$502,MATCH(B60&amp;"|"&amp;(L60*1),'4.방문기록'!$I$3:$I$502,0))&amp;"",""))</f>
        <v/>
      </c>
      <c r="O60">
        <f>IF(B60="","",IF(N60="관심 없음","제외",IF(L60="","안 가봄",IF(M60&gt;=설정!$B$20,M60&amp;"일 지남","최근 방문"))))</f>
        <v/>
      </c>
    </row>
    <row r="61">
      <c r="A61">
        <f>IF(B61="","",58)</f>
        <v/>
      </c>
      <c r="B61">
        <f>IFERROR(INDEX('2.현장'!$AC$2:$AC$1001,MATCH(58,'2.현장'!$AD$2:$AD$1001,0)),"")</f>
        <v/>
      </c>
      <c r="C61">
        <f>IF(B61="","",COUNTIFS('2.현장'!$AC$2:$AC$1001,B61,'2.현장'!$T$2:$T$1001,TRUE))</f>
        <v/>
      </c>
      <c r="D61">
        <f>IF(B61="","",COUNTIFS('2.현장'!$AC$2:$AC$1001,B61,'2.현장'!$T$2:$T$1001,TRUE,'2.현장'!$AA$2:$AA$1001,"★"))</f>
        <v/>
      </c>
      <c r="E61" s="5">
        <f>IF(B61="","",_xlfn.MAXIFS('2.현장'!$D$2:$D$1001,'2.현장'!$AC$2:$AC$1001,B61,'2.현장'!$T$2:$T$1001,TRUE))</f>
        <v/>
      </c>
      <c r="F61" s="7">
        <f>IF(B61="","",IF(_xlfn.MAXIFS('2.현장'!$M$2:$M$1001,'2.현장'!$AC$2:$AC$1001,B61,'2.현장'!$T$2:$T$1001,TRUE)=0,"",_xlfn.MAXIFS('2.현장'!$M$2:$M$1001,'2.현장'!$AC$2:$AC$1001,B61,'2.현장'!$T$2:$T$1001,TRUE)))</f>
        <v/>
      </c>
      <c r="G61">
        <f>IF(B61="","",IFERROR(INDEX('2.현장'!$C$2:$C$1001,MATCH(58,'2.현장'!$AD$2:$AD$1001,0)),""))</f>
        <v/>
      </c>
      <c r="H61">
        <f>IF(B61="","",IFERROR(INDEX('2.현장'!$N$2:$N$1001,MATCH(58,'2.현장'!$AD$2:$AD$1001,0)),""))</f>
        <v/>
      </c>
      <c r="I61">
        <f>IF(B61="","",IFERROR(INDEX('2.현장'!$G$2:$G$1001,MATCH(58,'2.현장'!$AD$2:$AD$1001,0)),""))</f>
        <v/>
      </c>
      <c r="J61">
        <f>IF(B61="","",IFERROR(VLOOKUP(B61,업체_메모!$A$3:$I$302,2,FALSE)&amp;"",""))</f>
        <v/>
      </c>
      <c r="K61">
        <f>IF(B61="","",IFERROR(VLOOKUP(B61,업체_메모!$A$3:$I$302,4,FALSE)&amp;"",""))</f>
        <v/>
      </c>
      <c r="L61" s="7">
        <f>IF(B61="","",IF(COUNTIF('4.방문기록'!$B$3:$B$502,B61)=0,"",_xlfn.MAXIFS('4.방문기록'!$A$3:$A$502,'4.방문기록'!$B$3:$B$502,B61)))</f>
        <v/>
      </c>
      <c r="M61">
        <f>IF(L61="","",설정!$B$24-L61)</f>
        <v/>
      </c>
      <c r="N61">
        <f>IF(L61="","",IFERROR(INDEX('4.방문기록'!$H$3:$H$502,MATCH(B61&amp;"|"&amp;(L61*1),'4.방문기록'!$I$3:$I$502,0))&amp;"",""))</f>
        <v/>
      </c>
      <c r="O61">
        <f>IF(B61="","",IF(N61="관심 없음","제외",IF(L61="","안 가봄",IF(M61&gt;=설정!$B$20,M61&amp;"일 지남","최근 방문"))))</f>
        <v/>
      </c>
    </row>
    <row r="62">
      <c r="A62">
        <f>IF(B62="","",59)</f>
        <v/>
      </c>
      <c r="B62">
        <f>IFERROR(INDEX('2.현장'!$AC$2:$AC$1001,MATCH(59,'2.현장'!$AD$2:$AD$1001,0)),"")</f>
        <v/>
      </c>
      <c r="C62">
        <f>IF(B62="","",COUNTIFS('2.현장'!$AC$2:$AC$1001,B62,'2.현장'!$T$2:$T$1001,TRUE))</f>
        <v/>
      </c>
      <c r="D62">
        <f>IF(B62="","",COUNTIFS('2.현장'!$AC$2:$AC$1001,B62,'2.현장'!$T$2:$T$1001,TRUE,'2.현장'!$AA$2:$AA$1001,"★"))</f>
        <v/>
      </c>
      <c r="E62" s="5">
        <f>IF(B62="","",_xlfn.MAXIFS('2.현장'!$D$2:$D$1001,'2.현장'!$AC$2:$AC$1001,B62,'2.현장'!$T$2:$T$1001,TRUE))</f>
        <v/>
      </c>
      <c r="F62" s="7">
        <f>IF(B62="","",IF(_xlfn.MAXIFS('2.현장'!$M$2:$M$1001,'2.현장'!$AC$2:$AC$1001,B62,'2.현장'!$T$2:$T$1001,TRUE)=0,"",_xlfn.MAXIFS('2.현장'!$M$2:$M$1001,'2.현장'!$AC$2:$AC$1001,B62,'2.현장'!$T$2:$T$1001,TRUE)))</f>
        <v/>
      </c>
      <c r="G62">
        <f>IF(B62="","",IFERROR(INDEX('2.현장'!$C$2:$C$1001,MATCH(59,'2.현장'!$AD$2:$AD$1001,0)),""))</f>
        <v/>
      </c>
      <c r="H62">
        <f>IF(B62="","",IFERROR(INDEX('2.현장'!$N$2:$N$1001,MATCH(59,'2.현장'!$AD$2:$AD$1001,0)),""))</f>
        <v/>
      </c>
      <c r="I62">
        <f>IF(B62="","",IFERROR(INDEX('2.현장'!$G$2:$G$1001,MATCH(59,'2.현장'!$AD$2:$AD$1001,0)),""))</f>
        <v/>
      </c>
      <c r="J62">
        <f>IF(B62="","",IFERROR(VLOOKUP(B62,업체_메모!$A$3:$I$302,2,FALSE)&amp;"",""))</f>
        <v/>
      </c>
      <c r="K62">
        <f>IF(B62="","",IFERROR(VLOOKUP(B62,업체_메모!$A$3:$I$302,4,FALSE)&amp;"",""))</f>
        <v/>
      </c>
      <c r="L62" s="7">
        <f>IF(B62="","",IF(COUNTIF('4.방문기록'!$B$3:$B$502,B62)=0,"",_xlfn.MAXIFS('4.방문기록'!$A$3:$A$502,'4.방문기록'!$B$3:$B$502,B62)))</f>
        <v/>
      </c>
      <c r="M62">
        <f>IF(L62="","",설정!$B$24-L62)</f>
        <v/>
      </c>
      <c r="N62">
        <f>IF(L62="","",IFERROR(INDEX('4.방문기록'!$H$3:$H$502,MATCH(B62&amp;"|"&amp;(L62*1),'4.방문기록'!$I$3:$I$502,0))&amp;"",""))</f>
        <v/>
      </c>
      <c r="O62">
        <f>IF(B62="","",IF(N62="관심 없음","제외",IF(L62="","안 가봄",IF(M62&gt;=설정!$B$20,M62&amp;"일 지남","최근 방문"))))</f>
        <v/>
      </c>
    </row>
    <row r="63">
      <c r="A63">
        <f>IF(B63="","",60)</f>
        <v/>
      </c>
      <c r="B63">
        <f>IFERROR(INDEX('2.현장'!$AC$2:$AC$1001,MATCH(60,'2.현장'!$AD$2:$AD$1001,0)),"")</f>
        <v/>
      </c>
      <c r="C63">
        <f>IF(B63="","",COUNTIFS('2.현장'!$AC$2:$AC$1001,B63,'2.현장'!$T$2:$T$1001,TRUE))</f>
        <v/>
      </c>
      <c r="D63">
        <f>IF(B63="","",COUNTIFS('2.현장'!$AC$2:$AC$1001,B63,'2.현장'!$T$2:$T$1001,TRUE,'2.현장'!$AA$2:$AA$1001,"★"))</f>
        <v/>
      </c>
      <c r="E63" s="5">
        <f>IF(B63="","",_xlfn.MAXIFS('2.현장'!$D$2:$D$1001,'2.현장'!$AC$2:$AC$1001,B63,'2.현장'!$T$2:$T$1001,TRUE))</f>
        <v/>
      </c>
      <c r="F63" s="7">
        <f>IF(B63="","",IF(_xlfn.MAXIFS('2.현장'!$M$2:$M$1001,'2.현장'!$AC$2:$AC$1001,B63,'2.현장'!$T$2:$T$1001,TRUE)=0,"",_xlfn.MAXIFS('2.현장'!$M$2:$M$1001,'2.현장'!$AC$2:$AC$1001,B63,'2.현장'!$T$2:$T$1001,TRUE)))</f>
        <v/>
      </c>
      <c r="G63">
        <f>IF(B63="","",IFERROR(INDEX('2.현장'!$C$2:$C$1001,MATCH(60,'2.현장'!$AD$2:$AD$1001,0)),""))</f>
        <v/>
      </c>
      <c r="H63">
        <f>IF(B63="","",IFERROR(INDEX('2.현장'!$N$2:$N$1001,MATCH(60,'2.현장'!$AD$2:$AD$1001,0)),""))</f>
        <v/>
      </c>
      <c r="I63">
        <f>IF(B63="","",IFERROR(INDEX('2.현장'!$G$2:$G$1001,MATCH(60,'2.현장'!$AD$2:$AD$1001,0)),""))</f>
        <v/>
      </c>
      <c r="J63">
        <f>IF(B63="","",IFERROR(VLOOKUP(B63,업체_메모!$A$3:$I$302,2,FALSE)&amp;"",""))</f>
        <v/>
      </c>
      <c r="K63">
        <f>IF(B63="","",IFERROR(VLOOKUP(B63,업체_메모!$A$3:$I$302,4,FALSE)&amp;"",""))</f>
        <v/>
      </c>
      <c r="L63" s="7">
        <f>IF(B63="","",IF(COUNTIF('4.방문기록'!$B$3:$B$502,B63)=0,"",_xlfn.MAXIFS('4.방문기록'!$A$3:$A$502,'4.방문기록'!$B$3:$B$502,B63)))</f>
        <v/>
      </c>
      <c r="M63">
        <f>IF(L63="","",설정!$B$24-L63)</f>
        <v/>
      </c>
      <c r="N63">
        <f>IF(L63="","",IFERROR(INDEX('4.방문기록'!$H$3:$H$502,MATCH(B63&amp;"|"&amp;(L63*1),'4.방문기록'!$I$3:$I$502,0))&amp;"",""))</f>
        <v/>
      </c>
      <c r="O63">
        <f>IF(B63="","",IF(N63="관심 없음","제외",IF(L63="","안 가봄",IF(M63&gt;=설정!$B$20,M63&amp;"일 지남","최근 방문"))))</f>
        <v/>
      </c>
    </row>
    <row r="64">
      <c r="A64">
        <f>IF(B64="","",61)</f>
        <v/>
      </c>
      <c r="B64">
        <f>IFERROR(INDEX('2.현장'!$AC$2:$AC$1001,MATCH(61,'2.현장'!$AD$2:$AD$1001,0)),"")</f>
        <v/>
      </c>
      <c r="C64">
        <f>IF(B64="","",COUNTIFS('2.현장'!$AC$2:$AC$1001,B64,'2.현장'!$T$2:$T$1001,TRUE))</f>
        <v/>
      </c>
      <c r="D64">
        <f>IF(B64="","",COUNTIFS('2.현장'!$AC$2:$AC$1001,B64,'2.현장'!$T$2:$T$1001,TRUE,'2.현장'!$AA$2:$AA$1001,"★"))</f>
        <v/>
      </c>
      <c r="E64" s="5">
        <f>IF(B64="","",_xlfn.MAXIFS('2.현장'!$D$2:$D$1001,'2.현장'!$AC$2:$AC$1001,B64,'2.현장'!$T$2:$T$1001,TRUE))</f>
        <v/>
      </c>
      <c r="F64" s="7">
        <f>IF(B64="","",IF(_xlfn.MAXIFS('2.현장'!$M$2:$M$1001,'2.현장'!$AC$2:$AC$1001,B64,'2.현장'!$T$2:$T$1001,TRUE)=0,"",_xlfn.MAXIFS('2.현장'!$M$2:$M$1001,'2.현장'!$AC$2:$AC$1001,B64,'2.현장'!$T$2:$T$1001,TRUE)))</f>
        <v/>
      </c>
      <c r="G64">
        <f>IF(B64="","",IFERROR(INDEX('2.현장'!$C$2:$C$1001,MATCH(61,'2.현장'!$AD$2:$AD$1001,0)),""))</f>
        <v/>
      </c>
      <c r="H64">
        <f>IF(B64="","",IFERROR(INDEX('2.현장'!$N$2:$N$1001,MATCH(61,'2.현장'!$AD$2:$AD$1001,0)),""))</f>
        <v/>
      </c>
      <c r="I64">
        <f>IF(B64="","",IFERROR(INDEX('2.현장'!$G$2:$G$1001,MATCH(61,'2.현장'!$AD$2:$AD$1001,0)),""))</f>
        <v/>
      </c>
      <c r="J64">
        <f>IF(B64="","",IFERROR(VLOOKUP(B64,업체_메모!$A$3:$I$302,2,FALSE)&amp;"",""))</f>
        <v/>
      </c>
      <c r="K64">
        <f>IF(B64="","",IFERROR(VLOOKUP(B64,업체_메모!$A$3:$I$302,4,FALSE)&amp;"",""))</f>
        <v/>
      </c>
      <c r="L64" s="7">
        <f>IF(B64="","",IF(COUNTIF('4.방문기록'!$B$3:$B$502,B64)=0,"",_xlfn.MAXIFS('4.방문기록'!$A$3:$A$502,'4.방문기록'!$B$3:$B$502,B64)))</f>
        <v/>
      </c>
      <c r="M64">
        <f>IF(L64="","",설정!$B$24-L64)</f>
        <v/>
      </c>
      <c r="N64">
        <f>IF(L64="","",IFERROR(INDEX('4.방문기록'!$H$3:$H$502,MATCH(B64&amp;"|"&amp;(L64*1),'4.방문기록'!$I$3:$I$502,0))&amp;"",""))</f>
        <v/>
      </c>
      <c r="O64">
        <f>IF(B64="","",IF(N64="관심 없음","제외",IF(L64="","안 가봄",IF(M64&gt;=설정!$B$20,M64&amp;"일 지남","최근 방문"))))</f>
        <v/>
      </c>
    </row>
    <row r="65">
      <c r="A65">
        <f>IF(B65="","",62)</f>
        <v/>
      </c>
      <c r="B65">
        <f>IFERROR(INDEX('2.현장'!$AC$2:$AC$1001,MATCH(62,'2.현장'!$AD$2:$AD$1001,0)),"")</f>
        <v/>
      </c>
      <c r="C65">
        <f>IF(B65="","",COUNTIFS('2.현장'!$AC$2:$AC$1001,B65,'2.현장'!$T$2:$T$1001,TRUE))</f>
        <v/>
      </c>
      <c r="D65">
        <f>IF(B65="","",COUNTIFS('2.현장'!$AC$2:$AC$1001,B65,'2.현장'!$T$2:$T$1001,TRUE,'2.현장'!$AA$2:$AA$1001,"★"))</f>
        <v/>
      </c>
      <c r="E65" s="5">
        <f>IF(B65="","",_xlfn.MAXIFS('2.현장'!$D$2:$D$1001,'2.현장'!$AC$2:$AC$1001,B65,'2.현장'!$T$2:$T$1001,TRUE))</f>
        <v/>
      </c>
      <c r="F65" s="7">
        <f>IF(B65="","",IF(_xlfn.MAXIFS('2.현장'!$M$2:$M$1001,'2.현장'!$AC$2:$AC$1001,B65,'2.현장'!$T$2:$T$1001,TRUE)=0,"",_xlfn.MAXIFS('2.현장'!$M$2:$M$1001,'2.현장'!$AC$2:$AC$1001,B65,'2.현장'!$T$2:$T$1001,TRUE)))</f>
        <v/>
      </c>
      <c r="G65">
        <f>IF(B65="","",IFERROR(INDEX('2.현장'!$C$2:$C$1001,MATCH(62,'2.현장'!$AD$2:$AD$1001,0)),""))</f>
        <v/>
      </c>
      <c r="H65">
        <f>IF(B65="","",IFERROR(INDEX('2.현장'!$N$2:$N$1001,MATCH(62,'2.현장'!$AD$2:$AD$1001,0)),""))</f>
        <v/>
      </c>
      <c r="I65">
        <f>IF(B65="","",IFERROR(INDEX('2.현장'!$G$2:$G$1001,MATCH(62,'2.현장'!$AD$2:$AD$1001,0)),""))</f>
        <v/>
      </c>
      <c r="J65">
        <f>IF(B65="","",IFERROR(VLOOKUP(B65,업체_메모!$A$3:$I$302,2,FALSE)&amp;"",""))</f>
        <v/>
      </c>
      <c r="K65">
        <f>IF(B65="","",IFERROR(VLOOKUP(B65,업체_메모!$A$3:$I$302,4,FALSE)&amp;"",""))</f>
        <v/>
      </c>
      <c r="L65" s="7">
        <f>IF(B65="","",IF(COUNTIF('4.방문기록'!$B$3:$B$502,B65)=0,"",_xlfn.MAXIFS('4.방문기록'!$A$3:$A$502,'4.방문기록'!$B$3:$B$502,B65)))</f>
        <v/>
      </c>
      <c r="M65">
        <f>IF(L65="","",설정!$B$24-L65)</f>
        <v/>
      </c>
      <c r="N65">
        <f>IF(L65="","",IFERROR(INDEX('4.방문기록'!$H$3:$H$502,MATCH(B65&amp;"|"&amp;(L65*1),'4.방문기록'!$I$3:$I$502,0))&amp;"",""))</f>
        <v/>
      </c>
      <c r="O65">
        <f>IF(B65="","",IF(N65="관심 없음","제외",IF(L65="","안 가봄",IF(M65&gt;=설정!$B$20,M65&amp;"일 지남","최근 방문"))))</f>
        <v/>
      </c>
    </row>
    <row r="66">
      <c r="A66">
        <f>IF(B66="","",63)</f>
        <v/>
      </c>
      <c r="B66">
        <f>IFERROR(INDEX('2.현장'!$AC$2:$AC$1001,MATCH(63,'2.현장'!$AD$2:$AD$1001,0)),"")</f>
        <v/>
      </c>
      <c r="C66">
        <f>IF(B66="","",COUNTIFS('2.현장'!$AC$2:$AC$1001,B66,'2.현장'!$T$2:$T$1001,TRUE))</f>
        <v/>
      </c>
      <c r="D66">
        <f>IF(B66="","",COUNTIFS('2.현장'!$AC$2:$AC$1001,B66,'2.현장'!$T$2:$T$1001,TRUE,'2.현장'!$AA$2:$AA$1001,"★"))</f>
        <v/>
      </c>
      <c r="E66" s="5">
        <f>IF(B66="","",_xlfn.MAXIFS('2.현장'!$D$2:$D$1001,'2.현장'!$AC$2:$AC$1001,B66,'2.현장'!$T$2:$T$1001,TRUE))</f>
        <v/>
      </c>
      <c r="F66" s="7">
        <f>IF(B66="","",IF(_xlfn.MAXIFS('2.현장'!$M$2:$M$1001,'2.현장'!$AC$2:$AC$1001,B66,'2.현장'!$T$2:$T$1001,TRUE)=0,"",_xlfn.MAXIFS('2.현장'!$M$2:$M$1001,'2.현장'!$AC$2:$AC$1001,B66,'2.현장'!$T$2:$T$1001,TRUE)))</f>
        <v/>
      </c>
      <c r="G66">
        <f>IF(B66="","",IFERROR(INDEX('2.현장'!$C$2:$C$1001,MATCH(63,'2.현장'!$AD$2:$AD$1001,0)),""))</f>
        <v/>
      </c>
      <c r="H66">
        <f>IF(B66="","",IFERROR(INDEX('2.현장'!$N$2:$N$1001,MATCH(63,'2.현장'!$AD$2:$AD$1001,0)),""))</f>
        <v/>
      </c>
      <c r="I66">
        <f>IF(B66="","",IFERROR(INDEX('2.현장'!$G$2:$G$1001,MATCH(63,'2.현장'!$AD$2:$AD$1001,0)),""))</f>
        <v/>
      </c>
      <c r="J66">
        <f>IF(B66="","",IFERROR(VLOOKUP(B66,업체_메모!$A$3:$I$302,2,FALSE)&amp;"",""))</f>
        <v/>
      </c>
      <c r="K66">
        <f>IF(B66="","",IFERROR(VLOOKUP(B66,업체_메모!$A$3:$I$302,4,FALSE)&amp;"",""))</f>
        <v/>
      </c>
      <c r="L66" s="7">
        <f>IF(B66="","",IF(COUNTIF('4.방문기록'!$B$3:$B$502,B66)=0,"",_xlfn.MAXIFS('4.방문기록'!$A$3:$A$502,'4.방문기록'!$B$3:$B$502,B66)))</f>
        <v/>
      </c>
      <c r="M66">
        <f>IF(L66="","",설정!$B$24-L66)</f>
        <v/>
      </c>
      <c r="N66">
        <f>IF(L66="","",IFERROR(INDEX('4.방문기록'!$H$3:$H$502,MATCH(B66&amp;"|"&amp;(L66*1),'4.방문기록'!$I$3:$I$502,0))&amp;"",""))</f>
        <v/>
      </c>
      <c r="O66">
        <f>IF(B66="","",IF(N66="관심 없음","제외",IF(L66="","안 가봄",IF(M66&gt;=설정!$B$20,M66&amp;"일 지남","최근 방문"))))</f>
        <v/>
      </c>
    </row>
    <row r="67">
      <c r="A67">
        <f>IF(B67="","",64)</f>
        <v/>
      </c>
      <c r="B67">
        <f>IFERROR(INDEX('2.현장'!$AC$2:$AC$1001,MATCH(64,'2.현장'!$AD$2:$AD$1001,0)),"")</f>
        <v/>
      </c>
      <c r="C67">
        <f>IF(B67="","",COUNTIFS('2.현장'!$AC$2:$AC$1001,B67,'2.현장'!$T$2:$T$1001,TRUE))</f>
        <v/>
      </c>
      <c r="D67">
        <f>IF(B67="","",COUNTIFS('2.현장'!$AC$2:$AC$1001,B67,'2.현장'!$T$2:$T$1001,TRUE,'2.현장'!$AA$2:$AA$1001,"★"))</f>
        <v/>
      </c>
      <c r="E67" s="5">
        <f>IF(B67="","",_xlfn.MAXIFS('2.현장'!$D$2:$D$1001,'2.현장'!$AC$2:$AC$1001,B67,'2.현장'!$T$2:$T$1001,TRUE))</f>
        <v/>
      </c>
      <c r="F67" s="7">
        <f>IF(B67="","",IF(_xlfn.MAXIFS('2.현장'!$M$2:$M$1001,'2.현장'!$AC$2:$AC$1001,B67,'2.현장'!$T$2:$T$1001,TRUE)=0,"",_xlfn.MAXIFS('2.현장'!$M$2:$M$1001,'2.현장'!$AC$2:$AC$1001,B67,'2.현장'!$T$2:$T$1001,TRUE)))</f>
        <v/>
      </c>
      <c r="G67">
        <f>IF(B67="","",IFERROR(INDEX('2.현장'!$C$2:$C$1001,MATCH(64,'2.현장'!$AD$2:$AD$1001,0)),""))</f>
        <v/>
      </c>
      <c r="H67">
        <f>IF(B67="","",IFERROR(INDEX('2.현장'!$N$2:$N$1001,MATCH(64,'2.현장'!$AD$2:$AD$1001,0)),""))</f>
        <v/>
      </c>
      <c r="I67">
        <f>IF(B67="","",IFERROR(INDEX('2.현장'!$G$2:$G$1001,MATCH(64,'2.현장'!$AD$2:$AD$1001,0)),""))</f>
        <v/>
      </c>
      <c r="J67">
        <f>IF(B67="","",IFERROR(VLOOKUP(B67,업체_메모!$A$3:$I$302,2,FALSE)&amp;"",""))</f>
        <v/>
      </c>
      <c r="K67">
        <f>IF(B67="","",IFERROR(VLOOKUP(B67,업체_메모!$A$3:$I$302,4,FALSE)&amp;"",""))</f>
        <v/>
      </c>
      <c r="L67" s="7">
        <f>IF(B67="","",IF(COUNTIF('4.방문기록'!$B$3:$B$502,B67)=0,"",_xlfn.MAXIFS('4.방문기록'!$A$3:$A$502,'4.방문기록'!$B$3:$B$502,B67)))</f>
        <v/>
      </c>
      <c r="M67">
        <f>IF(L67="","",설정!$B$24-L67)</f>
        <v/>
      </c>
      <c r="N67">
        <f>IF(L67="","",IFERROR(INDEX('4.방문기록'!$H$3:$H$502,MATCH(B67&amp;"|"&amp;(L67*1),'4.방문기록'!$I$3:$I$502,0))&amp;"",""))</f>
        <v/>
      </c>
      <c r="O67">
        <f>IF(B67="","",IF(N67="관심 없음","제외",IF(L67="","안 가봄",IF(M67&gt;=설정!$B$20,M67&amp;"일 지남","최근 방문"))))</f>
        <v/>
      </c>
    </row>
    <row r="68">
      <c r="A68">
        <f>IF(B68="","",65)</f>
        <v/>
      </c>
      <c r="B68">
        <f>IFERROR(INDEX('2.현장'!$AC$2:$AC$1001,MATCH(65,'2.현장'!$AD$2:$AD$1001,0)),"")</f>
        <v/>
      </c>
      <c r="C68">
        <f>IF(B68="","",COUNTIFS('2.현장'!$AC$2:$AC$1001,B68,'2.현장'!$T$2:$T$1001,TRUE))</f>
        <v/>
      </c>
      <c r="D68">
        <f>IF(B68="","",COUNTIFS('2.현장'!$AC$2:$AC$1001,B68,'2.현장'!$T$2:$T$1001,TRUE,'2.현장'!$AA$2:$AA$1001,"★"))</f>
        <v/>
      </c>
      <c r="E68" s="5">
        <f>IF(B68="","",_xlfn.MAXIFS('2.현장'!$D$2:$D$1001,'2.현장'!$AC$2:$AC$1001,B68,'2.현장'!$T$2:$T$1001,TRUE))</f>
        <v/>
      </c>
      <c r="F68" s="7">
        <f>IF(B68="","",IF(_xlfn.MAXIFS('2.현장'!$M$2:$M$1001,'2.현장'!$AC$2:$AC$1001,B68,'2.현장'!$T$2:$T$1001,TRUE)=0,"",_xlfn.MAXIFS('2.현장'!$M$2:$M$1001,'2.현장'!$AC$2:$AC$1001,B68,'2.현장'!$T$2:$T$1001,TRUE)))</f>
        <v/>
      </c>
      <c r="G68">
        <f>IF(B68="","",IFERROR(INDEX('2.현장'!$C$2:$C$1001,MATCH(65,'2.현장'!$AD$2:$AD$1001,0)),""))</f>
        <v/>
      </c>
      <c r="H68">
        <f>IF(B68="","",IFERROR(INDEX('2.현장'!$N$2:$N$1001,MATCH(65,'2.현장'!$AD$2:$AD$1001,0)),""))</f>
        <v/>
      </c>
      <c r="I68">
        <f>IF(B68="","",IFERROR(INDEX('2.현장'!$G$2:$G$1001,MATCH(65,'2.현장'!$AD$2:$AD$1001,0)),""))</f>
        <v/>
      </c>
      <c r="J68">
        <f>IF(B68="","",IFERROR(VLOOKUP(B68,업체_메모!$A$3:$I$302,2,FALSE)&amp;"",""))</f>
        <v/>
      </c>
      <c r="K68">
        <f>IF(B68="","",IFERROR(VLOOKUP(B68,업체_메모!$A$3:$I$302,4,FALSE)&amp;"",""))</f>
        <v/>
      </c>
      <c r="L68" s="7">
        <f>IF(B68="","",IF(COUNTIF('4.방문기록'!$B$3:$B$502,B68)=0,"",_xlfn.MAXIFS('4.방문기록'!$A$3:$A$502,'4.방문기록'!$B$3:$B$502,B68)))</f>
        <v/>
      </c>
      <c r="M68">
        <f>IF(L68="","",설정!$B$24-L68)</f>
        <v/>
      </c>
      <c r="N68">
        <f>IF(L68="","",IFERROR(INDEX('4.방문기록'!$H$3:$H$502,MATCH(B68&amp;"|"&amp;(L68*1),'4.방문기록'!$I$3:$I$502,0))&amp;"",""))</f>
        <v/>
      </c>
      <c r="O68">
        <f>IF(B68="","",IF(N68="관심 없음","제외",IF(L68="","안 가봄",IF(M68&gt;=설정!$B$20,M68&amp;"일 지남","최근 방문"))))</f>
        <v/>
      </c>
    </row>
    <row r="69">
      <c r="A69">
        <f>IF(B69="","",66)</f>
        <v/>
      </c>
      <c r="B69">
        <f>IFERROR(INDEX('2.현장'!$AC$2:$AC$1001,MATCH(66,'2.현장'!$AD$2:$AD$1001,0)),"")</f>
        <v/>
      </c>
      <c r="C69">
        <f>IF(B69="","",COUNTIFS('2.현장'!$AC$2:$AC$1001,B69,'2.현장'!$T$2:$T$1001,TRUE))</f>
        <v/>
      </c>
      <c r="D69">
        <f>IF(B69="","",COUNTIFS('2.현장'!$AC$2:$AC$1001,B69,'2.현장'!$T$2:$T$1001,TRUE,'2.현장'!$AA$2:$AA$1001,"★"))</f>
        <v/>
      </c>
      <c r="E69" s="5">
        <f>IF(B69="","",_xlfn.MAXIFS('2.현장'!$D$2:$D$1001,'2.현장'!$AC$2:$AC$1001,B69,'2.현장'!$T$2:$T$1001,TRUE))</f>
        <v/>
      </c>
      <c r="F69" s="7">
        <f>IF(B69="","",IF(_xlfn.MAXIFS('2.현장'!$M$2:$M$1001,'2.현장'!$AC$2:$AC$1001,B69,'2.현장'!$T$2:$T$1001,TRUE)=0,"",_xlfn.MAXIFS('2.현장'!$M$2:$M$1001,'2.현장'!$AC$2:$AC$1001,B69,'2.현장'!$T$2:$T$1001,TRUE)))</f>
        <v/>
      </c>
      <c r="G69">
        <f>IF(B69="","",IFERROR(INDEX('2.현장'!$C$2:$C$1001,MATCH(66,'2.현장'!$AD$2:$AD$1001,0)),""))</f>
        <v/>
      </c>
      <c r="H69">
        <f>IF(B69="","",IFERROR(INDEX('2.현장'!$N$2:$N$1001,MATCH(66,'2.현장'!$AD$2:$AD$1001,0)),""))</f>
        <v/>
      </c>
      <c r="I69">
        <f>IF(B69="","",IFERROR(INDEX('2.현장'!$G$2:$G$1001,MATCH(66,'2.현장'!$AD$2:$AD$1001,0)),""))</f>
        <v/>
      </c>
      <c r="J69">
        <f>IF(B69="","",IFERROR(VLOOKUP(B69,업체_메모!$A$3:$I$302,2,FALSE)&amp;"",""))</f>
        <v/>
      </c>
      <c r="K69">
        <f>IF(B69="","",IFERROR(VLOOKUP(B69,업체_메모!$A$3:$I$302,4,FALSE)&amp;"",""))</f>
        <v/>
      </c>
      <c r="L69" s="7">
        <f>IF(B69="","",IF(COUNTIF('4.방문기록'!$B$3:$B$502,B69)=0,"",_xlfn.MAXIFS('4.방문기록'!$A$3:$A$502,'4.방문기록'!$B$3:$B$502,B69)))</f>
        <v/>
      </c>
      <c r="M69">
        <f>IF(L69="","",설정!$B$24-L69)</f>
        <v/>
      </c>
      <c r="N69">
        <f>IF(L69="","",IFERROR(INDEX('4.방문기록'!$H$3:$H$502,MATCH(B69&amp;"|"&amp;(L69*1),'4.방문기록'!$I$3:$I$502,0))&amp;"",""))</f>
        <v/>
      </c>
      <c r="O69">
        <f>IF(B69="","",IF(N69="관심 없음","제외",IF(L69="","안 가봄",IF(M69&gt;=설정!$B$20,M69&amp;"일 지남","최근 방문"))))</f>
        <v/>
      </c>
    </row>
    <row r="70">
      <c r="A70">
        <f>IF(B70="","",67)</f>
        <v/>
      </c>
      <c r="B70">
        <f>IFERROR(INDEX('2.현장'!$AC$2:$AC$1001,MATCH(67,'2.현장'!$AD$2:$AD$1001,0)),"")</f>
        <v/>
      </c>
      <c r="C70">
        <f>IF(B70="","",COUNTIFS('2.현장'!$AC$2:$AC$1001,B70,'2.현장'!$T$2:$T$1001,TRUE))</f>
        <v/>
      </c>
      <c r="D70">
        <f>IF(B70="","",COUNTIFS('2.현장'!$AC$2:$AC$1001,B70,'2.현장'!$T$2:$T$1001,TRUE,'2.현장'!$AA$2:$AA$1001,"★"))</f>
        <v/>
      </c>
      <c r="E70" s="5">
        <f>IF(B70="","",_xlfn.MAXIFS('2.현장'!$D$2:$D$1001,'2.현장'!$AC$2:$AC$1001,B70,'2.현장'!$T$2:$T$1001,TRUE))</f>
        <v/>
      </c>
      <c r="F70" s="7">
        <f>IF(B70="","",IF(_xlfn.MAXIFS('2.현장'!$M$2:$M$1001,'2.현장'!$AC$2:$AC$1001,B70,'2.현장'!$T$2:$T$1001,TRUE)=0,"",_xlfn.MAXIFS('2.현장'!$M$2:$M$1001,'2.현장'!$AC$2:$AC$1001,B70,'2.현장'!$T$2:$T$1001,TRUE)))</f>
        <v/>
      </c>
      <c r="G70">
        <f>IF(B70="","",IFERROR(INDEX('2.현장'!$C$2:$C$1001,MATCH(67,'2.현장'!$AD$2:$AD$1001,0)),""))</f>
        <v/>
      </c>
      <c r="H70">
        <f>IF(B70="","",IFERROR(INDEX('2.현장'!$N$2:$N$1001,MATCH(67,'2.현장'!$AD$2:$AD$1001,0)),""))</f>
        <v/>
      </c>
      <c r="I70">
        <f>IF(B70="","",IFERROR(INDEX('2.현장'!$G$2:$G$1001,MATCH(67,'2.현장'!$AD$2:$AD$1001,0)),""))</f>
        <v/>
      </c>
      <c r="J70">
        <f>IF(B70="","",IFERROR(VLOOKUP(B70,업체_메모!$A$3:$I$302,2,FALSE)&amp;"",""))</f>
        <v/>
      </c>
      <c r="K70">
        <f>IF(B70="","",IFERROR(VLOOKUP(B70,업체_메모!$A$3:$I$302,4,FALSE)&amp;"",""))</f>
        <v/>
      </c>
      <c r="L70" s="7">
        <f>IF(B70="","",IF(COUNTIF('4.방문기록'!$B$3:$B$502,B70)=0,"",_xlfn.MAXIFS('4.방문기록'!$A$3:$A$502,'4.방문기록'!$B$3:$B$502,B70)))</f>
        <v/>
      </c>
      <c r="M70">
        <f>IF(L70="","",설정!$B$24-L70)</f>
        <v/>
      </c>
      <c r="N70">
        <f>IF(L70="","",IFERROR(INDEX('4.방문기록'!$H$3:$H$502,MATCH(B70&amp;"|"&amp;(L70*1),'4.방문기록'!$I$3:$I$502,0))&amp;"",""))</f>
        <v/>
      </c>
      <c r="O70">
        <f>IF(B70="","",IF(N70="관심 없음","제외",IF(L70="","안 가봄",IF(M70&gt;=설정!$B$20,M70&amp;"일 지남","최근 방문"))))</f>
        <v/>
      </c>
    </row>
    <row r="71">
      <c r="A71">
        <f>IF(B71="","",68)</f>
        <v/>
      </c>
      <c r="B71">
        <f>IFERROR(INDEX('2.현장'!$AC$2:$AC$1001,MATCH(68,'2.현장'!$AD$2:$AD$1001,0)),"")</f>
        <v/>
      </c>
      <c r="C71">
        <f>IF(B71="","",COUNTIFS('2.현장'!$AC$2:$AC$1001,B71,'2.현장'!$T$2:$T$1001,TRUE))</f>
        <v/>
      </c>
      <c r="D71">
        <f>IF(B71="","",COUNTIFS('2.현장'!$AC$2:$AC$1001,B71,'2.현장'!$T$2:$T$1001,TRUE,'2.현장'!$AA$2:$AA$1001,"★"))</f>
        <v/>
      </c>
      <c r="E71" s="5">
        <f>IF(B71="","",_xlfn.MAXIFS('2.현장'!$D$2:$D$1001,'2.현장'!$AC$2:$AC$1001,B71,'2.현장'!$T$2:$T$1001,TRUE))</f>
        <v/>
      </c>
      <c r="F71" s="7">
        <f>IF(B71="","",IF(_xlfn.MAXIFS('2.현장'!$M$2:$M$1001,'2.현장'!$AC$2:$AC$1001,B71,'2.현장'!$T$2:$T$1001,TRUE)=0,"",_xlfn.MAXIFS('2.현장'!$M$2:$M$1001,'2.현장'!$AC$2:$AC$1001,B71,'2.현장'!$T$2:$T$1001,TRUE)))</f>
        <v/>
      </c>
      <c r="G71">
        <f>IF(B71="","",IFERROR(INDEX('2.현장'!$C$2:$C$1001,MATCH(68,'2.현장'!$AD$2:$AD$1001,0)),""))</f>
        <v/>
      </c>
      <c r="H71">
        <f>IF(B71="","",IFERROR(INDEX('2.현장'!$N$2:$N$1001,MATCH(68,'2.현장'!$AD$2:$AD$1001,0)),""))</f>
        <v/>
      </c>
      <c r="I71">
        <f>IF(B71="","",IFERROR(INDEX('2.현장'!$G$2:$G$1001,MATCH(68,'2.현장'!$AD$2:$AD$1001,0)),""))</f>
        <v/>
      </c>
      <c r="J71">
        <f>IF(B71="","",IFERROR(VLOOKUP(B71,업체_메모!$A$3:$I$302,2,FALSE)&amp;"",""))</f>
        <v/>
      </c>
      <c r="K71">
        <f>IF(B71="","",IFERROR(VLOOKUP(B71,업체_메모!$A$3:$I$302,4,FALSE)&amp;"",""))</f>
        <v/>
      </c>
      <c r="L71" s="7">
        <f>IF(B71="","",IF(COUNTIF('4.방문기록'!$B$3:$B$502,B71)=0,"",_xlfn.MAXIFS('4.방문기록'!$A$3:$A$502,'4.방문기록'!$B$3:$B$502,B71)))</f>
        <v/>
      </c>
      <c r="M71">
        <f>IF(L71="","",설정!$B$24-L71)</f>
        <v/>
      </c>
      <c r="N71">
        <f>IF(L71="","",IFERROR(INDEX('4.방문기록'!$H$3:$H$502,MATCH(B71&amp;"|"&amp;(L71*1),'4.방문기록'!$I$3:$I$502,0))&amp;"",""))</f>
        <v/>
      </c>
      <c r="O71">
        <f>IF(B71="","",IF(N71="관심 없음","제외",IF(L71="","안 가봄",IF(M71&gt;=설정!$B$20,M71&amp;"일 지남","최근 방문"))))</f>
        <v/>
      </c>
    </row>
    <row r="72">
      <c r="A72">
        <f>IF(B72="","",69)</f>
        <v/>
      </c>
      <c r="B72">
        <f>IFERROR(INDEX('2.현장'!$AC$2:$AC$1001,MATCH(69,'2.현장'!$AD$2:$AD$1001,0)),"")</f>
        <v/>
      </c>
      <c r="C72">
        <f>IF(B72="","",COUNTIFS('2.현장'!$AC$2:$AC$1001,B72,'2.현장'!$T$2:$T$1001,TRUE))</f>
        <v/>
      </c>
      <c r="D72">
        <f>IF(B72="","",COUNTIFS('2.현장'!$AC$2:$AC$1001,B72,'2.현장'!$T$2:$T$1001,TRUE,'2.현장'!$AA$2:$AA$1001,"★"))</f>
        <v/>
      </c>
      <c r="E72" s="5">
        <f>IF(B72="","",_xlfn.MAXIFS('2.현장'!$D$2:$D$1001,'2.현장'!$AC$2:$AC$1001,B72,'2.현장'!$T$2:$T$1001,TRUE))</f>
        <v/>
      </c>
      <c r="F72" s="7">
        <f>IF(B72="","",IF(_xlfn.MAXIFS('2.현장'!$M$2:$M$1001,'2.현장'!$AC$2:$AC$1001,B72,'2.현장'!$T$2:$T$1001,TRUE)=0,"",_xlfn.MAXIFS('2.현장'!$M$2:$M$1001,'2.현장'!$AC$2:$AC$1001,B72,'2.현장'!$T$2:$T$1001,TRUE)))</f>
        <v/>
      </c>
      <c r="G72">
        <f>IF(B72="","",IFERROR(INDEX('2.현장'!$C$2:$C$1001,MATCH(69,'2.현장'!$AD$2:$AD$1001,0)),""))</f>
        <v/>
      </c>
      <c r="H72">
        <f>IF(B72="","",IFERROR(INDEX('2.현장'!$N$2:$N$1001,MATCH(69,'2.현장'!$AD$2:$AD$1001,0)),""))</f>
        <v/>
      </c>
      <c r="I72">
        <f>IF(B72="","",IFERROR(INDEX('2.현장'!$G$2:$G$1001,MATCH(69,'2.현장'!$AD$2:$AD$1001,0)),""))</f>
        <v/>
      </c>
      <c r="J72">
        <f>IF(B72="","",IFERROR(VLOOKUP(B72,업체_메모!$A$3:$I$302,2,FALSE)&amp;"",""))</f>
        <v/>
      </c>
      <c r="K72">
        <f>IF(B72="","",IFERROR(VLOOKUP(B72,업체_메모!$A$3:$I$302,4,FALSE)&amp;"",""))</f>
        <v/>
      </c>
      <c r="L72" s="7">
        <f>IF(B72="","",IF(COUNTIF('4.방문기록'!$B$3:$B$502,B72)=0,"",_xlfn.MAXIFS('4.방문기록'!$A$3:$A$502,'4.방문기록'!$B$3:$B$502,B72)))</f>
        <v/>
      </c>
      <c r="M72">
        <f>IF(L72="","",설정!$B$24-L72)</f>
        <v/>
      </c>
      <c r="N72">
        <f>IF(L72="","",IFERROR(INDEX('4.방문기록'!$H$3:$H$502,MATCH(B72&amp;"|"&amp;(L72*1),'4.방문기록'!$I$3:$I$502,0))&amp;"",""))</f>
        <v/>
      </c>
      <c r="O72">
        <f>IF(B72="","",IF(N72="관심 없음","제외",IF(L72="","안 가봄",IF(M72&gt;=설정!$B$20,M72&amp;"일 지남","최근 방문"))))</f>
        <v/>
      </c>
    </row>
    <row r="73">
      <c r="A73">
        <f>IF(B73="","",70)</f>
        <v/>
      </c>
      <c r="B73">
        <f>IFERROR(INDEX('2.현장'!$AC$2:$AC$1001,MATCH(70,'2.현장'!$AD$2:$AD$1001,0)),"")</f>
        <v/>
      </c>
      <c r="C73">
        <f>IF(B73="","",COUNTIFS('2.현장'!$AC$2:$AC$1001,B73,'2.현장'!$T$2:$T$1001,TRUE))</f>
        <v/>
      </c>
      <c r="D73">
        <f>IF(B73="","",COUNTIFS('2.현장'!$AC$2:$AC$1001,B73,'2.현장'!$T$2:$T$1001,TRUE,'2.현장'!$AA$2:$AA$1001,"★"))</f>
        <v/>
      </c>
      <c r="E73" s="5">
        <f>IF(B73="","",_xlfn.MAXIFS('2.현장'!$D$2:$D$1001,'2.현장'!$AC$2:$AC$1001,B73,'2.현장'!$T$2:$T$1001,TRUE))</f>
        <v/>
      </c>
      <c r="F73" s="7">
        <f>IF(B73="","",IF(_xlfn.MAXIFS('2.현장'!$M$2:$M$1001,'2.현장'!$AC$2:$AC$1001,B73,'2.현장'!$T$2:$T$1001,TRUE)=0,"",_xlfn.MAXIFS('2.현장'!$M$2:$M$1001,'2.현장'!$AC$2:$AC$1001,B73,'2.현장'!$T$2:$T$1001,TRUE)))</f>
        <v/>
      </c>
      <c r="G73">
        <f>IF(B73="","",IFERROR(INDEX('2.현장'!$C$2:$C$1001,MATCH(70,'2.현장'!$AD$2:$AD$1001,0)),""))</f>
        <v/>
      </c>
      <c r="H73">
        <f>IF(B73="","",IFERROR(INDEX('2.현장'!$N$2:$N$1001,MATCH(70,'2.현장'!$AD$2:$AD$1001,0)),""))</f>
        <v/>
      </c>
      <c r="I73">
        <f>IF(B73="","",IFERROR(INDEX('2.현장'!$G$2:$G$1001,MATCH(70,'2.현장'!$AD$2:$AD$1001,0)),""))</f>
        <v/>
      </c>
      <c r="J73">
        <f>IF(B73="","",IFERROR(VLOOKUP(B73,업체_메모!$A$3:$I$302,2,FALSE)&amp;"",""))</f>
        <v/>
      </c>
      <c r="K73">
        <f>IF(B73="","",IFERROR(VLOOKUP(B73,업체_메모!$A$3:$I$302,4,FALSE)&amp;"",""))</f>
        <v/>
      </c>
      <c r="L73" s="7">
        <f>IF(B73="","",IF(COUNTIF('4.방문기록'!$B$3:$B$502,B73)=0,"",_xlfn.MAXIFS('4.방문기록'!$A$3:$A$502,'4.방문기록'!$B$3:$B$502,B73)))</f>
        <v/>
      </c>
      <c r="M73">
        <f>IF(L73="","",설정!$B$24-L73)</f>
        <v/>
      </c>
      <c r="N73">
        <f>IF(L73="","",IFERROR(INDEX('4.방문기록'!$H$3:$H$502,MATCH(B73&amp;"|"&amp;(L73*1),'4.방문기록'!$I$3:$I$502,0))&amp;"",""))</f>
        <v/>
      </c>
      <c r="O73">
        <f>IF(B73="","",IF(N73="관심 없음","제외",IF(L73="","안 가봄",IF(M73&gt;=설정!$B$20,M73&amp;"일 지남","최근 방문"))))</f>
        <v/>
      </c>
    </row>
    <row r="74">
      <c r="A74">
        <f>IF(B74="","",71)</f>
        <v/>
      </c>
      <c r="B74">
        <f>IFERROR(INDEX('2.현장'!$AC$2:$AC$1001,MATCH(71,'2.현장'!$AD$2:$AD$1001,0)),"")</f>
        <v/>
      </c>
      <c r="C74">
        <f>IF(B74="","",COUNTIFS('2.현장'!$AC$2:$AC$1001,B74,'2.현장'!$T$2:$T$1001,TRUE))</f>
        <v/>
      </c>
      <c r="D74">
        <f>IF(B74="","",COUNTIFS('2.현장'!$AC$2:$AC$1001,B74,'2.현장'!$T$2:$T$1001,TRUE,'2.현장'!$AA$2:$AA$1001,"★"))</f>
        <v/>
      </c>
      <c r="E74" s="5">
        <f>IF(B74="","",_xlfn.MAXIFS('2.현장'!$D$2:$D$1001,'2.현장'!$AC$2:$AC$1001,B74,'2.현장'!$T$2:$T$1001,TRUE))</f>
        <v/>
      </c>
      <c r="F74" s="7">
        <f>IF(B74="","",IF(_xlfn.MAXIFS('2.현장'!$M$2:$M$1001,'2.현장'!$AC$2:$AC$1001,B74,'2.현장'!$T$2:$T$1001,TRUE)=0,"",_xlfn.MAXIFS('2.현장'!$M$2:$M$1001,'2.현장'!$AC$2:$AC$1001,B74,'2.현장'!$T$2:$T$1001,TRUE)))</f>
        <v/>
      </c>
      <c r="G74">
        <f>IF(B74="","",IFERROR(INDEX('2.현장'!$C$2:$C$1001,MATCH(71,'2.현장'!$AD$2:$AD$1001,0)),""))</f>
        <v/>
      </c>
      <c r="H74">
        <f>IF(B74="","",IFERROR(INDEX('2.현장'!$N$2:$N$1001,MATCH(71,'2.현장'!$AD$2:$AD$1001,0)),""))</f>
        <v/>
      </c>
      <c r="I74">
        <f>IF(B74="","",IFERROR(INDEX('2.현장'!$G$2:$G$1001,MATCH(71,'2.현장'!$AD$2:$AD$1001,0)),""))</f>
        <v/>
      </c>
      <c r="J74">
        <f>IF(B74="","",IFERROR(VLOOKUP(B74,업체_메모!$A$3:$I$302,2,FALSE)&amp;"",""))</f>
        <v/>
      </c>
      <c r="K74">
        <f>IF(B74="","",IFERROR(VLOOKUP(B74,업체_메모!$A$3:$I$302,4,FALSE)&amp;"",""))</f>
        <v/>
      </c>
      <c r="L74" s="7">
        <f>IF(B74="","",IF(COUNTIF('4.방문기록'!$B$3:$B$502,B74)=0,"",_xlfn.MAXIFS('4.방문기록'!$A$3:$A$502,'4.방문기록'!$B$3:$B$502,B74)))</f>
        <v/>
      </c>
      <c r="M74">
        <f>IF(L74="","",설정!$B$24-L74)</f>
        <v/>
      </c>
      <c r="N74">
        <f>IF(L74="","",IFERROR(INDEX('4.방문기록'!$H$3:$H$502,MATCH(B74&amp;"|"&amp;(L74*1),'4.방문기록'!$I$3:$I$502,0))&amp;"",""))</f>
        <v/>
      </c>
      <c r="O74">
        <f>IF(B74="","",IF(N74="관심 없음","제외",IF(L74="","안 가봄",IF(M74&gt;=설정!$B$20,M74&amp;"일 지남","최근 방문"))))</f>
        <v/>
      </c>
    </row>
    <row r="75">
      <c r="A75">
        <f>IF(B75="","",72)</f>
        <v/>
      </c>
      <c r="B75">
        <f>IFERROR(INDEX('2.현장'!$AC$2:$AC$1001,MATCH(72,'2.현장'!$AD$2:$AD$1001,0)),"")</f>
        <v/>
      </c>
      <c r="C75">
        <f>IF(B75="","",COUNTIFS('2.현장'!$AC$2:$AC$1001,B75,'2.현장'!$T$2:$T$1001,TRUE))</f>
        <v/>
      </c>
      <c r="D75">
        <f>IF(B75="","",COUNTIFS('2.현장'!$AC$2:$AC$1001,B75,'2.현장'!$T$2:$T$1001,TRUE,'2.현장'!$AA$2:$AA$1001,"★"))</f>
        <v/>
      </c>
      <c r="E75" s="5">
        <f>IF(B75="","",_xlfn.MAXIFS('2.현장'!$D$2:$D$1001,'2.현장'!$AC$2:$AC$1001,B75,'2.현장'!$T$2:$T$1001,TRUE))</f>
        <v/>
      </c>
      <c r="F75" s="7">
        <f>IF(B75="","",IF(_xlfn.MAXIFS('2.현장'!$M$2:$M$1001,'2.현장'!$AC$2:$AC$1001,B75,'2.현장'!$T$2:$T$1001,TRUE)=0,"",_xlfn.MAXIFS('2.현장'!$M$2:$M$1001,'2.현장'!$AC$2:$AC$1001,B75,'2.현장'!$T$2:$T$1001,TRUE)))</f>
        <v/>
      </c>
      <c r="G75">
        <f>IF(B75="","",IFERROR(INDEX('2.현장'!$C$2:$C$1001,MATCH(72,'2.현장'!$AD$2:$AD$1001,0)),""))</f>
        <v/>
      </c>
      <c r="H75">
        <f>IF(B75="","",IFERROR(INDEX('2.현장'!$N$2:$N$1001,MATCH(72,'2.현장'!$AD$2:$AD$1001,0)),""))</f>
        <v/>
      </c>
      <c r="I75">
        <f>IF(B75="","",IFERROR(INDEX('2.현장'!$G$2:$G$1001,MATCH(72,'2.현장'!$AD$2:$AD$1001,0)),""))</f>
        <v/>
      </c>
      <c r="J75">
        <f>IF(B75="","",IFERROR(VLOOKUP(B75,업체_메모!$A$3:$I$302,2,FALSE)&amp;"",""))</f>
        <v/>
      </c>
      <c r="K75">
        <f>IF(B75="","",IFERROR(VLOOKUP(B75,업체_메모!$A$3:$I$302,4,FALSE)&amp;"",""))</f>
        <v/>
      </c>
      <c r="L75" s="7">
        <f>IF(B75="","",IF(COUNTIF('4.방문기록'!$B$3:$B$502,B75)=0,"",_xlfn.MAXIFS('4.방문기록'!$A$3:$A$502,'4.방문기록'!$B$3:$B$502,B75)))</f>
        <v/>
      </c>
      <c r="M75">
        <f>IF(L75="","",설정!$B$24-L75)</f>
        <v/>
      </c>
      <c r="N75">
        <f>IF(L75="","",IFERROR(INDEX('4.방문기록'!$H$3:$H$502,MATCH(B75&amp;"|"&amp;(L75*1),'4.방문기록'!$I$3:$I$502,0))&amp;"",""))</f>
        <v/>
      </c>
      <c r="O75">
        <f>IF(B75="","",IF(N75="관심 없음","제외",IF(L75="","안 가봄",IF(M75&gt;=설정!$B$20,M75&amp;"일 지남","최근 방문"))))</f>
        <v/>
      </c>
    </row>
    <row r="76">
      <c r="A76">
        <f>IF(B76="","",73)</f>
        <v/>
      </c>
      <c r="B76">
        <f>IFERROR(INDEX('2.현장'!$AC$2:$AC$1001,MATCH(73,'2.현장'!$AD$2:$AD$1001,0)),"")</f>
        <v/>
      </c>
      <c r="C76">
        <f>IF(B76="","",COUNTIFS('2.현장'!$AC$2:$AC$1001,B76,'2.현장'!$T$2:$T$1001,TRUE))</f>
        <v/>
      </c>
      <c r="D76">
        <f>IF(B76="","",COUNTIFS('2.현장'!$AC$2:$AC$1001,B76,'2.현장'!$T$2:$T$1001,TRUE,'2.현장'!$AA$2:$AA$1001,"★"))</f>
        <v/>
      </c>
      <c r="E76" s="5">
        <f>IF(B76="","",_xlfn.MAXIFS('2.현장'!$D$2:$D$1001,'2.현장'!$AC$2:$AC$1001,B76,'2.현장'!$T$2:$T$1001,TRUE))</f>
        <v/>
      </c>
      <c r="F76" s="7">
        <f>IF(B76="","",IF(_xlfn.MAXIFS('2.현장'!$M$2:$M$1001,'2.현장'!$AC$2:$AC$1001,B76,'2.현장'!$T$2:$T$1001,TRUE)=0,"",_xlfn.MAXIFS('2.현장'!$M$2:$M$1001,'2.현장'!$AC$2:$AC$1001,B76,'2.현장'!$T$2:$T$1001,TRUE)))</f>
        <v/>
      </c>
      <c r="G76">
        <f>IF(B76="","",IFERROR(INDEX('2.현장'!$C$2:$C$1001,MATCH(73,'2.현장'!$AD$2:$AD$1001,0)),""))</f>
        <v/>
      </c>
      <c r="H76">
        <f>IF(B76="","",IFERROR(INDEX('2.현장'!$N$2:$N$1001,MATCH(73,'2.현장'!$AD$2:$AD$1001,0)),""))</f>
        <v/>
      </c>
      <c r="I76">
        <f>IF(B76="","",IFERROR(INDEX('2.현장'!$G$2:$G$1001,MATCH(73,'2.현장'!$AD$2:$AD$1001,0)),""))</f>
        <v/>
      </c>
      <c r="J76">
        <f>IF(B76="","",IFERROR(VLOOKUP(B76,업체_메모!$A$3:$I$302,2,FALSE)&amp;"",""))</f>
        <v/>
      </c>
      <c r="K76">
        <f>IF(B76="","",IFERROR(VLOOKUP(B76,업체_메모!$A$3:$I$302,4,FALSE)&amp;"",""))</f>
        <v/>
      </c>
      <c r="L76" s="7">
        <f>IF(B76="","",IF(COUNTIF('4.방문기록'!$B$3:$B$502,B76)=0,"",_xlfn.MAXIFS('4.방문기록'!$A$3:$A$502,'4.방문기록'!$B$3:$B$502,B76)))</f>
        <v/>
      </c>
      <c r="M76">
        <f>IF(L76="","",설정!$B$24-L76)</f>
        <v/>
      </c>
      <c r="N76">
        <f>IF(L76="","",IFERROR(INDEX('4.방문기록'!$H$3:$H$502,MATCH(B76&amp;"|"&amp;(L76*1),'4.방문기록'!$I$3:$I$502,0))&amp;"",""))</f>
        <v/>
      </c>
      <c r="O76">
        <f>IF(B76="","",IF(N76="관심 없음","제외",IF(L76="","안 가봄",IF(M76&gt;=설정!$B$20,M76&amp;"일 지남","최근 방문"))))</f>
        <v/>
      </c>
    </row>
    <row r="77">
      <c r="A77">
        <f>IF(B77="","",74)</f>
        <v/>
      </c>
      <c r="B77">
        <f>IFERROR(INDEX('2.현장'!$AC$2:$AC$1001,MATCH(74,'2.현장'!$AD$2:$AD$1001,0)),"")</f>
        <v/>
      </c>
      <c r="C77">
        <f>IF(B77="","",COUNTIFS('2.현장'!$AC$2:$AC$1001,B77,'2.현장'!$T$2:$T$1001,TRUE))</f>
        <v/>
      </c>
      <c r="D77">
        <f>IF(B77="","",COUNTIFS('2.현장'!$AC$2:$AC$1001,B77,'2.현장'!$T$2:$T$1001,TRUE,'2.현장'!$AA$2:$AA$1001,"★"))</f>
        <v/>
      </c>
      <c r="E77" s="5">
        <f>IF(B77="","",_xlfn.MAXIFS('2.현장'!$D$2:$D$1001,'2.현장'!$AC$2:$AC$1001,B77,'2.현장'!$T$2:$T$1001,TRUE))</f>
        <v/>
      </c>
      <c r="F77" s="7">
        <f>IF(B77="","",IF(_xlfn.MAXIFS('2.현장'!$M$2:$M$1001,'2.현장'!$AC$2:$AC$1001,B77,'2.현장'!$T$2:$T$1001,TRUE)=0,"",_xlfn.MAXIFS('2.현장'!$M$2:$M$1001,'2.현장'!$AC$2:$AC$1001,B77,'2.현장'!$T$2:$T$1001,TRUE)))</f>
        <v/>
      </c>
      <c r="G77">
        <f>IF(B77="","",IFERROR(INDEX('2.현장'!$C$2:$C$1001,MATCH(74,'2.현장'!$AD$2:$AD$1001,0)),""))</f>
        <v/>
      </c>
      <c r="H77">
        <f>IF(B77="","",IFERROR(INDEX('2.현장'!$N$2:$N$1001,MATCH(74,'2.현장'!$AD$2:$AD$1001,0)),""))</f>
        <v/>
      </c>
      <c r="I77">
        <f>IF(B77="","",IFERROR(INDEX('2.현장'!$G$2:$G$1001,MATCH(74,'2.현장'!$AD$2:$AD$1001,0)),""))</f>
        <v/>
      </c>
      <c r="J77">
        <f>IF(B77="","",IFERROR(VLOOKUP(B77,업체_메모!$A$3:$I$302,2,FALSE)&amp;"",""))</f>
        <v/>
      </c>
      <c r="K77">
        <f>IF(B77="","",IFERROR(VLOOKUP(B77,업체_메모!$A$3:$I$302,4,FALSE)&amp;"",""))</f>
        <v/>
      </c>
      <c r="L77" s="7">
        <f>IF(B77="","",IF(COUNTIF('4.방문기록'!$B$3:$B$502,B77)=0,"",_xlfn.MAXIFS('4.방문기록'!$A$3:$A$502,'4.방문기록'!$B$3:$B$502,B77)))</f>
        <v/>
      </c>
      <c r="M77">
        <f>IF(L77="","",설정!$B$24-L77)</f>
        <v/>
      </c>
      <c r="N77">
        <f>IF(L77="","",IFERROR(INDEX('4.방문기록'!$H$3:$H$502,MATCH(B77&amp;"|"&amp;(L77*1),'4.방문기록'!$I$3:$I$502,0))&amp;"",""))</f>
        <v/>
      </c>
      <c r="O77">
        <f>IF(B77="","",IF(N77="관심 없음","제외",IF(L77="","안 가봄",IF(M77&gt;=설정!$B$20,M77&amp;"일 지남","최근 방문"))))</f>
        <v/>
      </c>
    </row>
    <row r="78">
      <c r="A78">
        <f>IF(B78="","",75)</f>
        <v/>
      </c>
      <c r="B78">
        <f>IFERROR(INDEX('2.현장'!$AC$2:$AC$1001,MATCH(75,'2.현장'!$AD$2:$AD$1001,0)),"")</f>
        <v/>
      </c>
      <c r="C78">
        <f>IF(B78="","",COUNTIFS('2.현장'!$AC$2:$AC$1001,B78,'2.현장'!$T$2:$T$1001,TRUE))</f>
        <v/>
      </c>
      <c r="D78">
        <f>IF(B78="","",COUNTIFS('2.현장'!$AC$2:$AC$1001,B78,'2.현장'!$T$2:$T$1001,TRUE,'2.현장'!$AA$2:$AA$1001,"★"))</f>
        <v/>
      </c>
      <c r="E78" s="5">
        <f>IF(B78="","",_xlfn.MAXIFS('2.현장'!$D$2:$D$1001,'2.현장'!$AC$2:$AC$1001,B78,'2.현장'!$T$2:$T$1001,TRUE))</f>
        <v/>
      </c>
      <c r="F78" s="7">
        <f>IF(B78="","",IF(_xlfn.MAXIFS('2.현장'!$M$2:$M$1001,'2.현장'!$AC$2:$AC$1001,B78,'2.현장'!$T$2:$T$1001,TRUE)=0,"",_xlfn.MAXIFS('2.현장'!$M$2:$M$1001,'2.현장'!$AC$2:$AC$1001,B78,'2.현장'!$T$2:$T$1001,TRUE)))</f>
        <v/>
      </c>
      <c r="G78">
        <f>IF(B78="","",IFERROR(INDEX('2.현장'!$C$2:$C$1001,MATCH(75,'2.현장'!$AD$2:$AD$1001,0)),""))</f>
        <v/>
      </c>
      <c r="H78">
        <f>IF(B78="","",IFERROR(INDEX('2.현장'!$N$2:$N$1001,MATCH(75,'2.현장'!$AD$2:$AD$1001,0)),""))</f>
        <v/>
      </c>
      <c r="I78">
        <f>IF(B78="","",IFERROR(INDEX('2.현장'!$G$2:$G$1001,MATCH(75,'2.현장'!$AD$2:$AD$1001,0)),""))</f>
        <v/>
      </c>
      <c r="J78">
        <f>IF(B78="","",IFERROR(VLOOKUP(B78,업체_메모!$A$3:$I$302,2,FALSE)&amp;"",""))</f>
        <v/>
      </c>
      <c r="K78">
        <f>IF(B78="","",IFERROR(VLOOKUP(B78,업체_메모!$A$3:$I$302,4,FALSE)&amp;"",""))</f>
        <v/>
      </c>
      <c r="L78" s="7">
        <f>IF(B78="","",IF(COUNTIF('4.방문기록'!$B$3:$B$502,B78)=0,"",_xlfn.MAXIFS('4.방문기록'!$A$3:$A$502,'4.방문기록'!$B$3:$B$502,B78)))</f>
        <v/>
      </c>
      <c r="M78">
        <f>IF(L78="","",설정!$B$24-L78)</f>
        <v/>
      </c>
      <c r="N78">
        <f>IF(L78="","",IFERROR(INDEX('4.방문기록'!$H$3:$H$502,MATCH(B78&amp;"|"&amp;(L78*1),'4.방문기록'!$I$3:$I$502,0))&amp;"",""))</f>
        <v/>
      </c>
      <c r="O78">
        <f>IF(B78="","",IF(N78="관심 없음","제외",IF(L78="","안 가봄",IF(M78&gt;=설정!$B$20,M78&amp;"일 지남","최근 방문"))))</f>
        <v/>
      </c>
    </row>
    <row r="79">
      <c r="A79">
        <f>IF(B79="","",76)</f>
        <v/>
      </c>
      <c r="B79">
        <f>IFERROR(INDEX('2.현장'!$AC$2:$AC$1001,MATCH(76,'2.현장'!$AD$2:$AD$1001,0)),"")</f>
        <v/>
      </c>
      <c r="C79">
        <f>IF(B79="","",COUNTIFS('2.현장'!$AC$2:$AC$1001,B79,'2.현장'!$T$2:$T$1001,TRUE))</f>
        <v/>
      </c>
      <c r="D79">
        <f>IF(B79="","",COUNTIFS('2.현장'!$AC$2:$AC$1001,B79,'2.현장'!$T$2:$T$1001,TRUE,'2.현장'!$AA$2:$AA$1001,"★"))</f>
        <v/>
      </c>
      <c r="E79" s="5">
        <f>IF(B79="","",_xlfn.MAXIFS('2.현장'!$D$2:$D$1001,'2.현장'!$AC$2:$AC$1001,B79,'2.현장'!$T$2:$T$1001,TRUE))</f>
        <v/>
      </c>
      <c r="F79" s="7">
        <f>IF(B79="","",IF(_xlfn.MAXIFS('2.현장'!$M$2:$M$1001,'2.현장'!$AC$2:$AC$1001,B79,'2.현장'!$T$2:$T$1001,TRUE)=0,"",_xlfn.MAXIFS('2.현장'!$M$2:$M$1001,'2.현장'!$AC$2:$AC$1001,B79,'2.현장'!$T$2:$T$1001,TRUE)))</f>
        <v/>
      </c>
      <c r="G79">
        <f>IF(B79="","",IFERROR(INDEX('2.현장'!$C$2:$C$1001,MATCH(76,'2.현장'!$AD$2:$AD$1001,0)),""))</f>
        <v/>
      </c>
      <c r="H79">
        <f>IF(B79="","",IFERROR(INDEX('2.현장'!$N$2:$N$1001,MATCH(76,'2.현장'!$AD$2:$AD$1001,0)),""))</f>
        <v/>
      </c>
      <c r="I79">
        <f>IF(B79="","",IFERROR(INDEX('2.현장'!$G$2:$G$1001,MATCH(76,'2.현장'!$AD$2:$AD$1001,0)),""))</f>
        <v/>
      </c>
      <c r="J79">
        <f>IF(B79="","",IFERROR(VLOOKUP(B79,업체_메모!$A$3:$I$302,2,FALSE)&amp;"",""))</f>
        <v/>
      </c>
      <c r="K79">
        <f>IF(B79="","",IFERROR(VLOOKUP(B79,업체_메모!$A$3:$I$302,4,FALSE)&amp;"",""))</f>
        <v/>
      </c>
      <c r="L79" s="7">
        <f>IF(B79="","",IF(COUNTIF('4.방문기록'!$B$3:$B$502,B79)=0,"",_xlfn.MAXIFS('4.방문기록'!$A$3:$A$502,'4.방문기록'!$B$3:$B$502,B79)))</f>
        <v/>
      </c>
      <c r="M79">
        <f>IF(L79="","",설정!$B$24-L79)</f>
        <v/>
      </c>
      <c r="N79">
        <f>IF(L79="","",IFERROR(INDEX('4.방문기록'!$H$3:$H$502,MATCH(B79&amp;"|"&amp;(L79*1),'4.방문기록'!$I$3:$I$502,0))&amp;"",""))</f>
        <v/>
      </c>
      <c r="O79">
        <f>IF(B79="","",IF(N79="관심 없음","제외",IF(L79="","안 가봄",IF(M79&gt;=설정!$B$20,M79&amp;"일 지남","최근 방문"))))</f>
        <v/>
      </c>
    </row>
    <row r="80">
      <c r="A80">
        <f>IF(B80="","",77)</f>
        <v/>
      </c>
      <c r="B80">
        <f>IFERROR(INDEX('2.현장'!$AC$2:$AC$1001,MATCH(77,'2.현장'!$AD$2:$AD$1001,0)),"")</f>
        <v/>
      </c>
      <c r="C80">
        <f>IF(B80="","",COUNTIFS('2.현장'!$AC$2:$AC$1001,B80,'2.현장'!$T$2:$T$1001,TRUE))</f>
        <v/>
      </c>
      <c r="D80">
        <f>IF(B80="","",COUNTIFS('2.현장'!$AC$2:$AC$1001,B80,'2.현장'!$T$2:$T$1001,TRUE,'2.현장'!$AA$2:$AA$1001,"★"))</f>
        <v/>
      </c>
      <c r="E80" s="5">
        <f>IF(B80="","",_xlfn.MAXIFS('2.현장'!$D$2:$D$1001,'2.현장'!$AC$2:$AC$1001,B80,'2.현장'!$T$2:$T$1001,TRUE))</f>
        <v/>
      </c>
      <c r="F80" s="7">
        <f>IF(B80="","",IF(_xlfn.MAXIFS('2.현장'!$M$2:$M$1001,'2.현장'!$AC$2:$AC$1001,B80,'2.현장'!$T$2:$T$1001,TRUE)=0,"",_xlfn.MAXIFS('2.현장'!$M$2:$M$1001,'2.현장'!$AC$2:$AC$1001,B80,'2.현장'!$T$2:$T$1001,TRUE)))</f>
        <v/>
      </c>
      <c r="G80">
        <f>IF(B80="","",IFERROR(INDEX('2.현장'!$C$2:$C$1001,MATCH(77,'2.현장'!$AD$2:$AD$1001,0)),""))</f>
        <v/>
      </c>
      <c r="H80">
        <f>IF(B80="","",IFERROR(INDEX('2.현장'!$N$2:$N$1001,MATCH(77,'2.현장'!$AD$2:$AD$1001,0)),""))</f>
        <v/>
      </c>
      <c r="I80">
        <f>IF(B80="","",IFERROR(INDEX('2.현장'!$G$2:$G$1001,MATCH(77,'2.현장'!$AD$2:$AD$1001,0)),""))</f>
        <v/>
      </c>
      <c r="J80">
        <f>IF(B80="","",IFERROR(VLOOKUP(B80,업체_메모!$A$3:$I$302,2,FALSE)&amp;"",""))</f>
        <v/>
      </c>
      <c r="K80">
        <f>IF(B80="","",IFERROR(VLOOKUP(B80,업체_메모!$A$3:$I$302,4,FALSE)&amp;"",""))</f>
        <v/>
      </c>
      <c r="L80" s="7">
        <f>IF(B80="","",IF(COUNTIF('4.방문기록'!$B$3:$B$502,B80)=0,"",_xlfn.MAXIFS('4.방문기록'!$A$3:$A$502,'4.방문기록'!$B$3:$B$502,B80)))</f>
        <v/>
      </c>
      <c r="M80">
        <f>IF(L80="","",설정!$B$24-L80)</f>
        <v/>
      </c>
      <c r="N80">
        <f>IF(L80="","",IFERROR(INDEX('4.방문기록'!$H$3:$H$502,MATCH(B80&amp;"|"&amp;(L80*1),'4.방문기록'!$I$3:$I$502,0))&amp;"",""))</f>
        <v/>
      </c>
      <c r="O80">
        <f>IF(B80="","",IF(N80="관심 없음","제외",IF(L80="","안 가봄",IF(M80&gt;=설정!$B$20,M80&amp;"일 지남","최근 방문"))))</f>
        <v/>
      </c>
    </row>
    <row r="81">
      <c r="A81">
        <f>IF(B81="","",78)</f>
        <v/>
      </c>
      <c r="B81">
        <f>IFERROR(INDEX('2.현장'!$AC$2:$AC$1001,MATCH(78,'2.현장'!$AD$2:$AD$1001,0)),"")</f>
        <v/>
      </c>
      <c r="C81">
        <f>IF(B81="","",COUNTIFS('2.현장'!$AC$2:$AC$1001,B81,'2.현장'!$T$2:$T$1001,TRUE))</f>
        <v/>
      </c>
      <c r="D81">
        <f>IF(B81="","",COUNTIFS('2.현장'!$AC$2:$AC$1001,B81,'2.현장'!$T$2:$T$1001,TRUE,'2.현장'!$AA$2:$AA$1001,"★"))</f>
        <v/>
      </c>
      <c r="E81" s="5">
        <f>IF(B81="","",_xlfn.MAXIFS('2.현장'!$D$2:$D$1001,'2.현장'!$AC$2:$AC$1001,B81,'2.현장'!$T$2:$T$1001,TRUE))</f>
        <v/>
      </c>
      <c r="F81" s="7">
        <f>IF(B81="","",IF(_xlfn.MAXIFS('2.현장'!$M$2:$M$1001,'2.현장'!$AC$2:$AC$1001,B81,'2.현장'!$T$2:$T$1001,TRUE)=0,"",_xlfn.MAXIFS('2.현장'!$M$2:$M$1001,'2.현장'!$AC$2:$AC$1001,B81,'2.현장'!$T$2:$T$1001,TRUE)))</f>
        <v/>
      </c>
      <c r="G81">
        <f>IF(B81="","",IFERROR(INDEX('2.현장'!$C$2:$C$1001,MATCH(78,'2.현장'!$AD$2:$AD$1001,0)),""))</f>
        <v/>
      </c>
      <c r="H81">
        <f>IF(B81="","",IFERROR(INDEX('2.현장'!$N$2:$N$1001,MATCH(78,'2.현장'!$AD$2:$AD$1001,0)),""))</f>
        <v/>
      </c>
      <c r="I81">
        <f>IF(B81="","",IFERROR(INDEX('2.현장'!$G$2:$G$1001,MATCH(78,'2.현장'!$AD$2:$AD$1001,0)),""))</f>
        <v/>
      </c>
      <c r="J81">
        <f>IF(B81="","",IFERROR(VLOOKUP(B81,업체_메모!$A$3:$I$302,2,FALSE)&amp;"",""))</f>
        <v/>
      </c>
      <c r="K81">
        <f>IF(B81="","",IFERROR(VLOOKUP(B81,업체_메모!$A$3:$I$302,4,FALSE)&amp;"",""))</f>
        <v/>
      </c>
      <c r="L81" s="7">
        <f>IF(B81="","",IF(COUNTIF('4.방문기록'!$B$3:$B$502,B81)=0,"",_xlfn.MAXIFS('4.방문기록'!$A$3:$A$502,'4.방문기록'!$B$3:$B$502,B81)))</f>
        <v/>
      </c>
      <c r="M81">
        <f>IF(L81="","",설정!$B$24-L81)</f>
        <v/>
      </c>
      <c r="N81">
        <f>IF(L81="","",IFERROR(INDEX('4.방문기록'!$H$3:$H$502,MATCH(B81&amp;"|"&amp;(L81*1),'4.방문기록'!$I$3:$I$502,0))&amp;"",""))</f>
        <v/>
      </c>
      <c r="O81">
        <f>IF(B81="","",IF(N81="관심 없음","제외",IF(L81="","안 가봄",IF(M81&gt;=설정!$B$20,M81&amp;"일 지남","최근 방문"))))</f>
        <v/>
      </c>
    </row>
    <row r="82">
      <c r="A82">
        <f>IF(B82="","",79)</f>
        <v/>
      </c>
      <c r="B82">
        <f>IFERROR(INDEX('2.현장'!$AC$2:$AC$1001,MATCH(79,'2.현장'!$AD$2:$AD$1001,0)),"")</f>
        <v/>
      </c>
      <c r="C82">
        <f>IF(B82="","",COUNTIFS('2.현장'!$AC$2:$AC$1001,B82,'2.현장'!$T$2:$T$1001,TRUE))</f>
        <v/>
      </c>
      <c r="D82">
        <f>IF(B82="","",COUNTIFS('2.현장'!$AC$2:$AC$1001,B82,'2.현장'!$T$2:$T$1001,TRUE,'2.현장'!$AA$2:$AA$1001,"★"))</f>
        <v/>
      </c>
      <c r="E82" s="5">
        <f>IF(B82="","",_xlfn.MAXIFS('2.현장'!$D$2:$D$1001,'2.현장'!$AC$2:$AC$1001,B82,'2.현장'!$T$2:$T$1001,TRUE))</f>
        <v/>
      </c>
      <c r="F82" s="7">
        <f>IF(B82="","",IF(_xlfn.MAXIFS('2.현장'!$M$2:$M$1001,'2.현장'!$AC$2:$AC$1001,B82,'2.현장'!$T$2:$T$1001,TRUE)=0,"",_xlfn.MAXIFS('2.현장'!$M$2:$M$1001,'2.현장'!$AC$2:$AC$1001,B82,'2.현장'!$T$2:$T$1001,TRUE)))</f>
        <v/>
      </c>
      <c r="G82">
        <f>IF(B82="","",IFERROR(INDEX('2.현장'!$C$2:$C$1001,MATCH(79,'2.현장'!$AD$2:$AD$1001,0)),""))</f>
        <v/>
      </c>
      <c r="H82">
        <f>IF(B82="","",IFERROR(INDEX('2.현장'!$N$2:$N$1001,MATCH(79,'2.현장'!$AD$2:$AD$1001,0)),""))</f>
        <v/>
      </c>
      <c r="I82">
        <f>IF(B82="","",IFERROR(INDEX('2.현장'!$G$2:$G$1001,MATCH(79,'2.현장'!$AD$2:$AD$1001,0)),""))</f>
        <v/>
      </c>
      <c r="J82">
        <f>IF(B82="","",IFERROR(VLOOKUP(B82,업체_메모!$A$3:$I$302,2,FALSE)&amp;"",""))</f>
        <v/>
      </c>
      <c r="K82">
        <f>IF(B82="","",IFERROR(VLOOKUP(B82,업체_메모!$A$3:$I$302,4,FALSE)&amp;"",""))</f>
        <v/>
      </c>
      <c r="L82" s="7">
        <f>IF(B82="","",IF(COUNTIF('4.방문기록'!$B$3:$B$502,B82)=0,"",_xlfn.MAXIFS('4.방문기록'!$A$3:$A$502,'4.방문기록'!$B$3:$B$502,B82)))</f>
        <v/>
      </c>
      <c r="M82">
        <f>IF(L82="","",설정!$B$24-L82)</f>
        <v/>
      </c>
      <c r="N82">
        <f>IF(L82="","",IFERROR(INDEX('4.방문기록'!$H$3:$H$502,MATCH(B82&amp;"|"&amp;(L82*1),'4.방문기록'!$I$3:$I$502,0))&amp;"",""))</f>
        <v/>
      </c>
      <c r="O82">
        <f>IF(B82="","",IF(N82="관심 없음","제외",IF(L82="","안 가봄",IF(M82&gt;=설정!$B$20,M82&amp;"일 지남","최근 방문"))))</f>
        <v/>
      </c>
    </row>
    <row r="83">
      <c r="A83">
        <f>IF(B83="","",80)</f>
        <v/>
      </c>
      <c r="B83">
        <f>IFERROR(INDEX('2.현장'!$AC$2:$AC$1001,MATCH(80,'2.현장'!$AD$2:$AD$1001,0)),"")</f>
        <v/>
      </c>
      <c r="C83">
        <f>IF(B83="","",COUNTIFS('2.현장'!$AC$2:$AC$1001,B83,'2.현장'!$T$2:$T$1001,TRUE))</f>
        <v/>
      </c>
      <c r="D83">
        <f>IF(B83="","",COUNTIFS('2.현장'!$AC$2:$AC$1001,B83,'2.현장'!$T$2:$T$1001,TRUE,'2.현장'!$AA$2:$AA$1001,"★"))</f>
        <v/>
      </c>
      <c r="E83" s="5">
        <f>IF(B83="","",_xlfn.MAXIFS('2.현장'!$D$2:$D$1001,'2.현장'!$AC$2:$AC$1001,B83,'2.현장'!$T$2:$T$1001,TRUE))</f>
        <v/>
      </c>
      <c r="F83" s="7">
        <f>IF(B83="","",IF(_xlfn.MAXIFS('2.현장'!$M$2:$M$1001,'2.현장'!$AC$2:$AC$1001,B83,'2.현장'!$T$2:$T$1001,TRUE)=0,"",_xlfn.MAXIFS('2.현장'!$M$2:$M$1001,'2.현장'!$AC$2:$AC$1001,B83,'2.현장'!$T$2:$T$1001,TRUE)))</f>
        <v/>
      </c>
      <c r="G83">
        <f>IF(B83="","",IFERROR(INDEX('2.현장'!$C$2:$C$1001,MATCH(80,'2.현장'!$AD$2:$AD$1001,0)),""))</f>
        <v/>
      </c>
      <c r="H83">
        <f>IF(B83="","",IFERROR(INDEX('2.현장'!$N$2:$N$1001,MATCH(80,'2.현장'!$AD$2:$AD$1001,0)),""))</f>
        <v/>
      </c>
      <c r="I83">
        <f>IF(B83="","",IFERROR(INDEX('2.현장'!$G$2:$G$1001,MATCH(80,'2.현장'!$AD$2:$AD$1001,0)),""))</f>
        <v/>
      </c>
      <c r="J83">
        <f>IF(B83="","",IFERROR(VLOOKUP(B83,업체_메모!$A$3:$I$302,2,FALSE)&amp;"",""))</f>
        <v/>
      </c>
      <c r="K83">
        <f>IF(B83="","",IFERROR(VLOOKUP(B83,업체_메모!$A$3:$I$302,4,FALSE)&amp;"",""))</f>
        <v/>
      </c>
      <c r="L83" s="7">
        <f>IF(B83="","",IF(COUNTIF('4.방문기록'!$B$3:$B$502,B83)=0,"",_xlfn.MAXIFS('4.방문기록'!$A$3:$A$502,'4.방문기록'!$B$3:$B$502,B83)))</f>
        <v/>
      </c>
      <c r="M83">
        <f>IF(L83="","",설정!$B$24-L83)</f>
        <v/>
      </c>
      <c r="N83">
        <f>IF(L83="","",IFERROR(INDEX('4.방문기록'!$H$3:$H$502,MATCH(B83&amp;"|"&amp;(L83*1),'4.방문기록'!$I$3:$I$502,0))&amp;"",""))</f>
        <v/>
      </c>
      <c r="O83">
        <f>IF(B83="","",IF(N83="관심 없음","제외",IF(L83="","안 가봄",IF(M83&gt;=설정!$B$20,M83&amp;"일 지남","최근 방문"))))</f>
        <v/>
      </c>
    </row>
    <row r="84">
      <c r="A84">
        <f>IF(B84="","",81)</f>
        <v/>
      </c>
      <c r="B84">
        <f>IFERROR(INDEX('2.현장'!$AC$2:$AC$1001,MATCH(81,'2.현장'!$AD$2:$AD$1001,0)),"")</f>
        <v/>
      </c>
      <c r="C84">
        <f>IF(B84="","",COUNTIFS('2.현장'!$AC$2:$AC$1001,B84,'2.현장'!$T$2:$T$1001,TRUE))</f>
        <v/>
      </c>
      <c r="D84">
        <f>IF(B84="","",COUNTIFS('2.현장'!$AC$2:$AC$1001,B84,'2.현장'!$T$2:$T$1001,TRUE,'2.현장'!$AA$2:$AA$1001,"★"))</f>
        <v/>
      </c>
      <c r="E84" s="5">
        <f>IF(B84="","",_xlfn.MAXIFS('2.현장'!$D$2:$D$1001,'2.현장'!$AC$2:$AC$1001,B84,'2.현장'!$T$2:$T$1001,TRUE))</f>
        <v/>
      </c>
      <c r="F84" s="7">
        <f>IF(B84="","",IF(_xlfn.MAXIFS('2.현장'!$M$2:$M$1001,'2.현장'!$AC$2:$AC$1001,B84,'2.현장'!$T$2:$T$1001,TRUE)=0,"",_xlfn.MAXIFS('2.현장'!$M$2:$M$1001,'2.현장'!$AC$2:$AC$1001,B84,'2.현장'!$T$2:$T$1001,TRUE)))</f>
        <v/>
      </c>
      <c r="G84">
        <f>IF(B84="","",IFERROR(INDEX('2.현장'!$C$2:$C$1001,MATCH(81,'2.현장'!$AD$2:$AD$1001,0)),""))</f>
        <v/>
      </c>
      <c r="H84">
        <f>IF(B84="","",IFERROR(INDEX('2.현장'!$N$2:$N$1001,MATCH(81,'2.현장'!$AD$2:$AD$1001,0)),""))</f>
        <v/>
      </c>
      <c r="I84">
        <f>IF(B84="","",IFERROR(INDEX('2.현장'!$G$2:$G$1001,MATCH(81,'2.현장'!$AD$2:$AD$1001,0)),""))</f>
        <v/>
      </c>
      <c r="J84">
        <f>IF(B84="","",IFERROR(VLOOKUP(B84,업체_메모!$A$3:$I$302,2,FALSE)&amp;"",""))</f>
        <v/>
      </c>
      <c r="K84">
        <f>IF(B84="","",IFERROR(VLOOKUP(B84,업체_메모!$A$3:$I$302,4,FALSE)&amp;"",""))</f>
        <v/>
      </c>
      <c r="L84" s="7">
        <f>IF(B84="","",IF(COUNTIF('4.방문기록'!$B$3:$B$502,B84)=0,"",_xlfn.MAXIFS('4.방문기록'!$A$3:$A$502,'4.방문기록'!$B$3:$B$502,B84)))</f>
        <v/>
      </c>
      <c r="M84">
        <f>IF(L84="","",설정!$B$24-L84)</f>
        <v/>
      </c>
      <c r="N84">
        <f>IF(L84="","",IFERROR(INDEX('4.방문기록'!$H$3:$H$502,MATCH(B84&amp;"|"&amp;(L84*1),'4.방문기록'!$I$3:$I$502,0))&amp;"",""))</f>
        <v/>
      </c>
      <c r="O84">
        <f>IF(B84="","",IF(N84="관심 없음","제외",IF(L84="","안 가봄",IF(M84&gt;=설정!$B$20,M84&amp;"일 지남","최근 방문"))))</f>
        <v/>
      </c>
    </row>
    <row r="85">
      <c r="A85">
        <f>IF(B85="","",82)</f>
        <v/>
      </c>
      <c r="B85">
        <f>IFERROR(INDEX('2.현장'!$AC$2:$AC$1001,MATCH(82,'2.현장'!$AD$2:$AD$1001,0)),"")</f>
        <v/>
      </c>
      <c r="C85">
        <f>IF(B85="","",COUNTIFS('2.현장'!$AC$2:$AC$1001,B85,'2.현장'!$T$2:$T$1001,TRUE))</f>
        <v/>
      </c>
      <c r="D85">
        <f>IF(B85="","",COUNTIFS('2.현장'!$AC$2:$AC$1001,B85,'2.현장'!$T$2:$T$1001,TRUE,'2.현장'!$AA$2:$AA$1001,"★"))</f>
        <v/>
      </c>
      <c r="E85" s="5">
        <f>IF(B85="","",_xlfn.MAXIFS('2.현장'!$D$2:$D$1001,'2.현장'!$AC$2:$AC$1001,B85,'2.현장'!$T$2:$T$1001,TRUE))</f>
        <v/>
      </c>
      <c r="F85" s="7">
        <f>IF(B85="","",IF(_xlfn.MAXIFS('2.현장'!$M$2:$M$1001,'2.현장'!$AC$2:$AC$1001,B85,'2.현장'!$T$2:$T$1001,TRUE)=0,"",_xlfn.MAXIFS('2.현장'!$M$2:$M$1001,'2.현장'!$AC$2:$AC$1001,B85,'2.현장'!$T$2:$T$1001,TRUE)))</f>
        <v/>
      </c>
      <c r="G85">
        <f>IF(B85="","",IFERROR(INDEX('2.현장'!$C$2:$C$1001,MATCH(82,'2.현장'!$AD$2:$AD$1001,0)),""))</f>
        <v/>
      </c>
      <c r="H85">
        <f>IF(B85="","",IFERROR(INDEX('2.현장'!$N$2:$N$1001,MATCH(82,'2.현장'!$AD$2:$AD$1001,0)),""))</f>
        <v/>
      </c>
      <c r="I85">
        <f>IF(B85="","",IFERROR(INDEX('2.현장'!$G$2:$G$1001,MATCH(82,'2.현장'!$AD$2:$AD$1001,0)),""))</f>
        <v/>
      </c>
      <c r="J85">
        <f>IF(B85="","",IFERROR(VLOOKUP(B85,업체_메모!$A$3:$I$302,2,FALSE)&amp;"",""))</f>
        <v/>
      </c>
      <c r="K85">
        <f>IF(B85="","",IFERROR(VLOOKUP(B85,업체_메모!$A$3:$I$302,4,FALSE)&amp;"",""))</f>
        <v/>
      </c>
      <c r="L85" s="7">
        <f>IF(B85="","",IF(COUNTIF('4.방문기록'!$B$3:$B$502,B85)=0,"",_xlfn.MAXIFS('4.방문기록'!$A$3:$A$502,'4.방문기록'!$B$3:$B$502,B85)))</f>
        <v/>
      </c>
      <c r="M85">
        <f>IF(L85="","",설정!$B$24-L85)</f>
        <v/>
      </c>
      <c r="N85">
        <f>IF(L85="","",IFERROR(INDEX('4.방문기록'!$H$3:$H$502,MATCH(B85&amp;"|"&amp;(L85*1),'4.방문기록'!$I$3:$I$502,0))&amp;"",""))</f>
        <v/>
      </c>
      <c r="O85">
        <f>IF(B85="","",IF(N85="관심 없음","제외",IF(L85="","안 가봄",IF(M85&gt;=설정!$B$20,M85&amp;"일 지남","최근 방문"))))</f>
        <v/>
      </c>
    </row>
    <row r="86">
      <c r="A86">
        <f>IF(B86="","",83)</f>
        <v/>
      </c>
      <c r="B86">
        <f>IFERROR(INDEX('2.현장'!$AC$2:$AC$1001,MATCH(83,'2.현장'!$AD$2:$AD$1001,0)),"")</f>
        <v/>
      </c>
      <c r="C86">
        <f>IF(B86="","",COUNTIFS('2.현장'!$AC$2:$AC$1001,B86,'2.현장'!$T$2:$T$1001,TRUE))</f>
        <v/>
      </c>
      <c r="D86">
        <f>IF(B86="","",COUNTIFS('2.현장'!$AC$2:$AC$1001,B86,'2.현장'!$T$2:$T$1001,TRUE,'2.현장'!$AA$2:$AA$1001,"★"))</f>
        <v/>
      </c>
      <c r="E86" s="5">
        <f>IF(B86="","",_xlfn.MAXIFS('2.현장'!$D$2:$D$1001,'2.현장'!$AC$2:$AC$1001,B86,'2.현장'!$T$2:$T$1001,TRUE))</f>
        <v/>
      </c>
      <c r="F86" s="7">
        <f>IF(B86="","",IF(_xlfn.MAXIFS('2.현장'!$M$2:$M$1001,'2.현장'!$AC$2:$AC$1001,B86,'2.현장'!$T$2:$T$1001,TRUE)=0,"",_xlfn.MAXIFS('2.현장'!$M$2:$M$1001,'2.현장'!$AC$2:$AC$1001,B86,'2.현장'!$T$2:$T$1001,TRUE)))</f>
        <v/>
      </c>
      <c r="G86">
        <f>IF(B86="","",IFERROR(INDEX('2.현장'!$C$2:$C$1001,MATCH(83,'2.현장'!$AD$2:$AD$1001,0)),""))</f>
        <v/>
      </c>
      <c r="H86">
        <f>IF(B86="","",IFERROR(INDEX('2.현장'!$N$2:$N$1001,MATCH(83,'2.현장'!$AD$2:$AD$1001,0)),""))</f>
        <v/>
      </c>
      <c r="I86">
        <f>IF(B86="","",IFERROR(INDEX('2.현장'!$G$2:$G$1001,MATCH(83,'2.현장'!$AD$2:$AD$1001,0)),""))</f>
        <v/>
      </c>
      <c r="J86">
        <f>IF(B86="","",IFERROR(VLOOKUP(B86,업체_메모!$A$3:$I$302,2,FALSE)&amp;"",""))</f>
        <v/>
      </c>
      <c r="K86">
        <f>IF(B86="","",IFERROR(VLOOKUP(B86,업체_메모!$A$3:$I$302,4,FALSE)&amp;"",""))</f>
        <v/>
      </c>
      <c r="L86" s="7">
        <f>IF(B86="","",IF(COUNTIF('4.방문기록'!$B$3:$B$502,B86)=0,"",_xlfn.MAXIFS('4.방문기록'!$A$3:$A$502,'4.방문기록'!$B$3:$B$502,B86)))</f>
        <v/>
      </c>
      <c r="M86">
        <f>IF(L86="","",설정!$B$24-L86)</f>
        <v/>
      </c>
      <c r="N86">
        <f>IF(L86="","",IFERROR(INDEX('4.방문기록'!$H$3:$H$502,MATCH(B86&amp;"|"&amp;(L86*1),'4.방문기록'!$I$3:$I$502,0))&amp;"",""))</f>
        <v/>
      </c>
      <c r="O86">
        <f>IF(B86="","",IF(N86="관심 없음","제외",IF(L86="","안 가봄",IF(M86&gt;=설정!$B$20,M86&amp;"일 지남","최근 방문"))))</f>
        <v/>
      </c>
    </row>
    <row r="87">
      <c r="A87">
        <f>IF(B87="","",84)</f>
        <v/>
      </c>
      <c r="B87">
        <f>IFERROR(INDEX('2.현장'!$AC$2:$AC$1001,MATCH(84,'2.현장'!$AD$2:$AD$1001,0)),"")</f>
        <v/>
      </c>
      <c r="C87">
        <f>IF(B87="","",COUNTIFS('2.현장'!$AC$2:$AC$1001,B87,'2.현장'!$T$2:$T$1001,TRUE))</f>
        <v/>
      </c>
      <c r="D87">
        <f>IF(B87="","",COUNTIFS('2.현장'!$AC$2:$AC$1001,B87,'2.현장'!$T$2:$T$1001,TRUE,'2.현장'!$AA$2:$AA$1001,"★"))</f>
        <v/>
      </c>
      <c r="E87" s="5">
        <f>IF(B87="","",_xlfn.MAXIFS('2.현장'!$D$2:$D$1001,'2.현장'!$AC$2:$AC$1001,B87,'2.현장'!$T$2:$T$1001,TRUE))</f>
        <v/>
      </c>
      <c r="F87" s="7">
        <f>IF(B87="","",IF(_xlfn.MAXIFS('2.현장'!$M$2:$M$1001,'2.현장'!$AC$2:$AC$1001,B87,'2.현장'!$T$2:$T$1001,TRUE)=0,"",_xlfn.MAXIFS('2.현장'!$M$2:$M$1001,'2.현장'!$AC$2:$AC$1001,B87,'2.현장'!$T$2:$T$1001,TRUE)))</f>
        <v/>
      </c>
      <c r="G87">
        <f>IF(B87="","",IFERROR(INDEX('2.현장'!$C$2:$C$1001,MATCH(84,'2.현장'!$AD$2:$AD$1001,0)),""))</f>
        <v/>
      </c>
      <c r="H87">
        <f>IF(B87="","",IFERROR(INDEX('2.현장'!$N$2:$N$1001,MATCH(84,'2.현장'!$AD$2:$AD$1001,0)),""))</f>
        <v/>
      </c>
      <c r="I87">
        <f>IF(B87="","",IFERROR(INDEX('2.현장'!$G$2:$G$1001,MATCH(84,'2.현장'!$AD$2:$AD$1001,0)),""))</f>
        <v/>
      </c>
      <c r="J87">
        <f>IF(B87="","",IFERROR(VLOOKUP(B87,업체_메모!$A$3:$I$302,2,FALSE)&amp;"",""))</f>
        <v/>
      </c>
      <c r="K87">
        <f>IF(B87="","",IFERROR(VLOOKUP(B87,업체_메모!$A$3:$I$302,4,FALSE)&amp;"",""))</f>
        <v/>
      </c>
      <c r="L87" s="7">
        <f>IF(B87="","",IF(COUNTIF('4.방문기록'!$B$3:$B$502,B87)=0,"",_xlfn.MAXIFS('4.방문기록'!$A$3:$A$502,'4.방문기록'!$B$3:$B$502,B87)))</f>
        <v/>
      </c>
      <c r="M87">
        <f>IF(L87="","",설정!$B$24-L87)</f>
        <v/>
      </c>
      <c r="N87">
        <f>IF(L87="","",IFERROR(INDEX('4.방문기록'!$H$3:$H$502,MATCH(B87&amp;"|"&amp;(L87*1),'4.방문기록'!$I$3:$I$502,0))&amp;"",""))</f>
        <v/>
      </c>
      <c r="O87">
        <f>IF(B87="","",IF(N87="관심 없음","제외",IF(L87="","안 가봄",IF(M87&gt;=설정!$B$20,M87&amp;"일 지남","최근 방문"))))</f>
        <v/>
      </c>
    </row>
    <row r="88">
      <c r="A88">
        <f>IF(B88="","",85)</f>
        <v/>
      </c>
      <c r="B88">
        <f>IFERROR(INDEX('2.현장'!$AC$2:$AC$1001,MATCH(85,'2.현장'!$AD$2:$AD$1001,0)),"")</f>
        <v/>
      </c>
      <c r="C88">
        <f>IF(B88="","",COUNTIFS('2.현장'!$AC$2:$AC$1001,B88,'2.현장'!$T$2:$T$1001,TRUE))</f>
        <v/>
      </c>
      <c r="D88">
        <f>IF(B88="","",COUNTIFS('2.현장'!$AC$2:$AC$1001,B88,'2.현장'!$T$2:$T$1001,TRUE,'2.현장'!$AA$2:$AA$1001,"★"))</f>
        <v/>
      </c>
      <c r="E88" s="5">
        <f>IF(B88="","",_xlfn.MAXIFS('2.현장'!$D$2:$D$1001,'2.현장'!$AC$2:$AC$1001,B88,'2.현장'!$T$2:$T$1001,TRUE))</f>
        <v/>
      </c>
      <c r="F88" s="7">
        <f>IF(B88="","",IF(_xlfn.MAXIFS('2.현장'!$M$2:$M$1001,'2.현장'!$AC$2:$AC$1001,B88,'2.현장'!$T$2:$T$1001,TRUE)=0,"",_xlfn.MAXIFS('2.현장'!$M$2:$M$1001,'2.현장'!$AC$2:$AC$1001,B88,'2.현장'!$T$2:$T$1001,TRUE)))</f>
        <v/>
      </c>
      <c r="G88">
        <f>IF(B88="","",IFERROR(INDEX('2.현장'!$C$2:$C$1001,MATCH(85,'2.현장'!$AD$2:$AD$1001,0)),""))</f>
        <v/>
      </c>
      <c r="H88">
        <f>IF(B88="","",IFERROR(INDEX('2.현장'!$N$2:$N$1001,MATCH(85,'2.현장'!$AD$2:$AD$1001,0)),""))</f>
        <v/>
      </c>
      <c r="I88">
        <f>IF(B88="","",IFERROR(INDEX('2.현장'!$G$2:$G$1001,MATCH(85,'2.현장'!$AD$2:$AD$1001,0)),""))</f>
        <v/>
      </c>
      <c r="J88">
        <f>IF(B88="","",IFERROR(VLOOKUP(B88,업체_메모!$A$3:$I$302,2,FALSE)&amp;"",""))</f>
        <v/>
      </c>
      <c r="K88">
        <f>IF(B88="","",IFERROR(VLOOKUP(B88,업체_메모!$A$3:$I$302,4,FALSE)&amp;"",""))</f>
        <v/>
      </c>
      <c r="L88" s="7">
        <f>IF(B88="","",IF(COUNTIF('4.방문기록'!$B$3:$B$502,B88)=0,"",_xlfn.MAXIFS('4.방문기록'!$A$3:$A$502,'4.방문기록'!$B$3:$B$502,B88)))</f>
        <v/>
      </c>
      <c r="M88">
        <f>IF(L88="","",설정!$B$24-L88)</f>
        <v/>
      </c>
      <c r="N88">
        <f>IF(L88="","",IFERROR(INDEX('4.방문기록'!$H$3:$H$502,MATCH(B88&amp;"|"&amp;(L88*1),'4.방문기록'!$I$3:$I$502,0))&amp;"",""))</f>
        <v/>
      </c>
      <c r="O88">
        <f>IF(B88="","",IF(N88="관심 없음","제외",IF(L88="","안 가봄",IF(M88&gt;=설정!$B$20,M88&amp;"일 지남","최근 방문"))))</f>
        <v/>
      </c>
    </row>
    <row r="89">
      <c r="A89">
        <f>IF(B89="","",86)</f>
        <v/>
      </c>
      <c r="B89">
        <f>IFERROR(INDEX('2.현장'!$AC$2:$AC$1001,MATCH(86,'2.현장'!$AD$2:$AD$1001,0)),"")</f>
        <v/>
      </c>
      <c r="C89">
        <f>IF(B89="","",COUNTIFS('2.현장'!$AC$2:$AC$1001,B89,'2.현장'!$T$2:$T$1001,TRUE))</f>
        <v/>
      </c>
      <c r="D89">
        <f>IF(B89="","",COUNTIFS('2.현장'!$AC$2:$AC$1001,B89,'2.현장'!$T$2:$T$1001,TRUE,'2.현장'!$AA$2:$AA$1001,"★"))</f>
        <v/>
      </c>
      <c r="E89" s="5">
        <f>IF(B89="","",_xlfn.MAXIFS('2.현장'!$D$2:$D$1001,'2.현장'!$AC$2:$AC$1001,B89,'2.현장'!$T$2:$T$1001,TRUE))</f>
        <v/>
      </c>
      <c r="F89" s="7">
        <f>IF(B89="","",IF(_xlfn.MAXIFS('2.현장'!$M$2:$M$1001,'2.현장'!$AC$2:$AC$1001,B89,'2.현장'!$T$2:$T$1001,TRUE)=0,"",_xlfn.MAXIFS('2.현장'!$M$2:$M$1001,'2.현장'!$AC$2:$AC$1001,B89,'2.현장'!$T$2:$T$1001,TRUE)))</f>
        <v/>
      </c>
      <c r="G89">
        <f>IF(B89="","",IFERROR(INDEX('2.현장'!$C$2:$C$1001,MATCH(86,'2.현장'!$AD$2:$AD$1001,0)),""))</f>
        <v/>
      </c>
      <c r="H89">
        <f>IF(B89="","",IFERROR(INDEX('2.현장'!$N$2:$N$1001,MATCH(86,'2.현장'!$AD$2:$AD$1001,0)),""))</f>
        <v/>
      </c>
      <c r="I89">
        <f>IF(B89="","",IFERROR(INDEX('2.현장'!$G$2:$G$1001,MATCH(86,'2.현장'!$AD$2:$AD$1001,0)),""))</f>
        <v/>
      </c>
      <c r="J89">
        <f>IF(B89="","",IFERROR(VLOOKUP(B89,업체_메모!$A$3:$I$302,2,FALSE)&amp;"",""))</f>
        <v/>
      </c>
      <c r="K89">
        <f>IF(B89="","",IFERROR(VLOOKUP(B89,업체_메모!$A$3:$I$302,4,FALSE)&amp;"",""))</f>
        <v/>
      </c>
      <c r="L89" s="7">
        <f>IF(B89="","",IF(COUNTIF('4.방문기록'!$B$3:$B$502,B89)=0,"",_xlfn.MAXIFS('4.방문기록'!$A$3:$A$502,'4.방문기록'!$B$3:$B$502,B89)))</f>
        <v/>
      </c>
      <c r="M89">
        <f>IF(L89="","",설정!$B$24-L89)</f>
        <v/>
      </c>
      <c r="N89">
        <f>IF(L89="","",IFERROR(INDEX('4.방문기록'!$H$3:$H$502,MATCH(B89&amp;"|"&amp;(L89*1),'4.방문기록'!$I$3:$I$502,0))&amp;"",""))</f>
        <v/>
      </c>
      <c r="O89">
        <f>IF(B89="","",IF(N89="관심 없음","제외",IF(L89="","안 가봄",IF(M89&gt;=설정!$B$20,M89&amp;"일 지남","최근 방문"))))</f>
        <v/>
      </c>
    </row>
    <row r="90">
      <c r="A90">
        <f>IF(B90="","",87)</f>
        <v/>
      </c>
      <c r="B90">
        <f>IFERROR(INDEX('2.현장'!$AC$2:$AC$1001,MATCH(87,'2.현장'!$AD$2:$AD$1001,0)),"")</f>
        <v/>
      </c>
      <c r="C90">
        <f>IF(B90="","",COUNTIFS('2.현장'!$AC$2:$AC$1001,B90,'2.현장'!$T$2:$T$1001,TRUE))</f>
        <v/>
      </c>
      <c r="D90">
        <f>IF(B90="","",COUNTIFS('2.현장'!$AC$2:$AC$1001,B90,'2.현장'!$T$2:$T$1001,TRUE,'2.현장'!$AA$2:$AA$1001,"★"))</f>
        <v/>
      </c>
      <c r="E90" s="5">
        <f>IF(B90="","",_xlfn.MAXIFS('2.현장'!$D$2:$D$1001,'2.현장'!$AC$2:$AC$1001,B90,'2.현장'!$T$2:$T$1001,TRUE))</f>
        <v/>
      </c>
      <c r="F90" s="7">
        <f>IF(B90="","",IF(_xlfn.MAXIFS('2.현장'!$M$2:$M$1001,'2.현장'!$AC$2:$AC$1001,B90,'2.현장'!$T$2:$T$1001,TRUE)=0,"",_xlfn.MAXIFS('2.현장'!$M$2:$M$1001,'2.현장'!$AC$2:$AC$1001,B90,'2.현장'!$T$2:$T$1001,TRUE)))</f>
        <v/>
      </c>
      <c r="G90">
        <f>IF(B90="","",IFERROR(INDEX('2.현장'!$C$2:$C$1001,MATCH(87,'2.현장'!$AD$2:$AD$1001,0)),""))</f>
        <v/>
      </c>
      <c r="H90">
        <f>IF(B90="","",IFERROR(INDEX('2.현장'!$N$2:$N$1001,MATCH(87,'2.현장'!$AD$2:$AD$1001,0)),""))</f>
        <v/>
      </c>
      <c r="I90">
        <f>IF(B90="","",IFERROR(INDEX('2.현장'!$G$2:$G$1001,MATCH(87,'2.현장'!$AD$2:$AD$1001,0)),""))</f>
        <v/>
      </c>
      <c r="J90">
        <f>IF(B90="","",IFERROR(VLOOKUP(B90,업체_메모!$A$3:$I$302,2,FALSE)&amp;"",""))</f>
        <v/>
      </c>
      <c r="K90">
        <f>IF(B90="","",IFERROR(VLOOKUP(B90,업체_메모!$A$3:$I$302,4,FALSE)&amp;"",""))</f>
        <v/>
      </c>
      <c r="L90" s="7">
        <f>IF(B90="","",IF(COUNTIF('4.방문기록'!$B$3:$B$502,B90)=0,"",_xlfn.MAXIFS('4.방문기록'!$A$3:$A$502,'4.방문기록'!$B$3:$B$502,B90)))</f>
        <v/>
      </c>
      <c r="M90">
        <f>IF(L90="","",설정!$B$24-L90)</f>
        <v/>
      </c>
      <c r="N90">
        <f>IF(L90="","",IFERROR(INDEX('4.방문기록'!$H$3:$H$502,MATCH(B90&amp;"|"&amp;(L90*1),'4.방문기록'!$I$3:$I$502,0))&amp;"",""))</f>
        <v/>
      </c>
      <c r="O90">
        <f>IF(B90="","",IF(N90="관심 없음","제외",IF(L90="","안 가봄",IF(M90&gt;=설정!$B$20,M90&amp;"일 지남","최근 방문"))))</f>
        <v/>
      </c>
    </row>
    <row r="91">
      <c r="A91">
        <f>IF(B91="","",88)</f>
        <v/>
      </c>
      <c r="B91">
        <f>IFERROR(INDEX('2.현장'!$AC$2:$AC$1001,MATCH(88,'2.현장'!$AD$2:$AD$1001,0)),"")</f>
        <v/>
      </c>
      <c r="C91">
        <f>IF(B91="","",COUNTIFS('2.현장'!$AC$2:$AC$1001,B91,'2.현장'!$T$2:$T$1001,TRUE))</f>
        <v/>
      </c>
      <c r="D91">
        <f>IF(B91="","",COUNTIFS('2.현장'!$AC$2:$AC$1001,B91,'2.현장'!$T$2:$T$1001,TRUE,'2.현장'!$AA$2:$AA$1001,"★"))</f>
        <v/>
      </c>
      <c r="E91" s="5">
        <f>IF(B91="","",_xlfn.MAXIFS('2.현장'!$D$2:$D$1001,'2.현장'!$AC$2:$AC$1001,B91,'2.현장'!$T$2:$T$1001,TRUE))</f>
        <v/>
      </c>
      <c r="F91" s="7">
        <f>IF(B91="","",IF(_xlfn.MAXIFS('2.현장'!$M$2:$M$1001,'2.현장'!$AC$2:$AC$1001,B91,'2.현장'!$T$2:$T$1001,TRUE)=0,"",_xlfn.MAXIFS('2.현장'!$M$2:$M$1001,'2.현장'!$AC$2:$AC$1001,B91,'2.현장'!$T$2:$T$1001,TRUE)))</f>
        <v/>
      </c>
      <c r="G91">
        <f>IF(B91="","",IFERROR(INDEX('2.현장'!$C$2:$C$1001,MATCH(88,'2.현장'!$AD$2:$AD$1001,0)),""))</f>
        <v/>
      </c>
      <c r="H91">
        <f>IF(B91="","",IFERROR(INDEX('2.현장'!$N$2:$N$1001,MATCH(88,'2.현장'!$AD$2:$AD$1001,0)),""))</f>
        <v/>
      </c>
      <c r="I91">
        <f>IF(B91="","",IFERROR(INDEX('2.현장'!$G$2:$G$1001,MATCH(88,'2.현장'!$AD$2:$AD$1001,0)),""))</f>
        <v/>
      </c>
      <c r="J91">
        <f>IF(B91="","",IFERROR(VLOOKUP(B91,업체_메모!$A$3:$I$302,2,FALSE)&amp;"",""))</f>
        <v/>
      </c>
      <c r="K91">
        <f>IF(B91="","",IFERROR(VLOOKUP(B91,업체_메모!$A$3:$I$302,4,FALSE)&amp;"",""))</f>
        <v/>
      </c>
      <c r="L91" s="7">
        <f>IF(B91="","",IF(COUNTIF('4.방문기록'!$B$3:$B$502,B91)=0,"",_xlfn.MAXIFS('4.방문기록'!$A$3:$A$502,'4.방문기록'!$B$3:$B$502,B91)))</f>
        <v/>
      </c>
      <c r="M91">
        <f>IF(L91="","",설정!$B$24-L91)</f>
        <v/>
      </c>
      <c r="N91">
        <f>IF(L91="","",IFERROR(INDEX('4.방문기록'!$H$3:$H$502,MATCH(B91&amp;"|"&amp;(L91*1),'4.방문기록'!$I$3:$I$502,0))&amp;"",""))</f>
        <v/>
      </c>
      <c r="O91">
        <f>IF(B91="","",IF(N91="관심 없음","제외",IF(L91="","안 가봄",IF(M91&gt;=설정!$B$20,M91&amp;"일 지남","최근 방문"))))</f>
        <v/>
      </c>
    </row>
    <row r="92">
      <c r="A92">
        <f>IF(B92="","",89)</f>
        <v/>
      </c>
      <c r="B92">
        <f>IFERROR(INDEX('2.현장'!$AC$2:$AC$1001,MATCH(89,'2.현장'!$AD$2:$AD$1001,0)),"")</f>
        <v/>
      </c>
      <c r="C92">
        <f>IF(B92="","",COUNTIFS('2.현장'!$AC$2:$AC$1001,B92,'2.현장'!$T$2:$T$1001,TRUE))</f>
        <v/>
      </c>
      <c r="D92">
        <f>IF(B92="","",COUNTIFS('2.현장'!$AC$2:$AC$1001,B92,'2.현장'!$T$2:$T$1001,TRUE,'2.현장'!$AA$2:$AA$1001,"★"))</f>
        <v/>
      </c>
      <c r="E92" s="5">
        <f>IF(B92="","",_xlfn.MAXIFS('2.현장'!$D$2:$D$1001,'2.현장'!$AC$2:$AC$1001,B92,'2.현장'!$T$2:$T$1001,TRUE))</f>
        <v/>
      </c>
      <c r="F92" s="7">
        <f>IF(B92="","",IF(_xlfn.MAXIFS('2.현장'!$M$2:$M$1001,'2.현장'!$AC$2:$AC$1001,B92,'2.현장'!$T$2:$T$1001,TRUE)=0,"",_xlfn.MAXIFS('2.현장'!$M$2:$M$1001,'2.현장'!$AC$2:$AC$1001,B92,'2.현장'!$T$2:$T$1001,TRUE)))</f>
        <v/>
      </c>
      <c r="G92">
        <f>IF(B92="","",IFERROR(INDEX('2.현장'!$C$2:$C$1001,MATCH(89,'2.현장'!$AD$2:$AD$1001,0)),""))</f>
        <v/>
      </c>
      <c r="H92">
        <f>IF(B92="","",IFERROR(INDEX('2.현장'!$N$2:$N$1001,MATCH(89,'2.현장'!$AD$2:$AD$1001,0)),""))</f>
        <v/>
      </c>
      <c r="I92">
        <f>IF(B92="","",IFERROR(INDEX('2.현장'!$G$2:$G$1001,MATCH(89,'2.현장'!$AD$2:$AD$1001,0)),""))</f>
        <v/>
      </c>
      <c r="J92">
        <f>IF(B92="","",IFERROR(VLOOKUP(B92,업체_메모!$A$3:$I$302,2,FALSE)&amp;"",""))</f>
        <v/>
      </c>
      <c r="K92">
        <f>IF(B92="","",IFERROR(VLOOKUP(B92,업체_메모!$A$3:$I$302,4,FALSE)&amp;"",""))</f>
        <v/>
      </c>
      <c r="L92" s="7">
        <f>IF(B92="","",IF(COUNTIF('4.방문기록'!$B$3:$B$502,B92)=0,"",_xlfn.MAXIFS('4.방문기록'!$A$3:$A$502,'4.방문기록'!$B$3:$B$502,B92)))</f>
        <v/>
      </c>
      <c r="M92">
        <f>IF(L92="","",설정!$B$24-L92)</f>
        <v/>
      </c>
      <c r="N92">
        <f>IF(L92="","",IFERROR(INDEX('4.방문기록'!$H$3:$H$502,MATCH(B92&amp;"|"&amp;(L92*1),'4.방문기록'!$I$3:$I$502,0))&amp;"",""))</f>
        <v/>
      </c>
      <c r="O92">
        <f>IF(B92="","",IF(N92="관심 없음","제외",IF(L92="","안 가봄",IF(M92&gt;=설정!$B$20,M92&amp;"일 지남","최근 방문"))))</f>
        <v/>
      </c>
    </row>
    <row r="93">
      <c r="A93">
        <f>IF(B93="","",90)</f>
        <v/>
      </c>
      <c r="B93">
        <f>IFERROR(INDEX('2.현장'!$AC$2:$AC$1001,MATCH(90,'2.현장'!$AD$2:$AD$1001,0)),"")</f>
        <v/>
      </c>
      <c r="C93">
        <f>IF(B93="","",COUNTIFS('2.현장'!$AC$2:$AC$1001,B93,'2.현장'!$T$2:$T$1001,TRUE))</f>
        <v/>
      </c>
      <c r="D93">
        <f>IF(B93="","",COUNTIFS('2.현장'!$AC$2:$AC$1001,B93,'2.현장'!$T$2:$T$1001,TRUE,'2.현장'!$AA$2:$AA$1001,"★"))</f>
        <v/>
      </c>
      <c r="E93" s="5">
        <f>IF(B93="","",_xlfn.MAXIFS('2.현장'!$D$2:$D$1001,'2.현장'!$AC$2:$AC$1001,B93,'2.현장'!$T$2:$T$1001,TRUE))</f>
        <v/>
      </c>
      <c r="F93" s="7">
        <f>IF(B93="","",IF(_xlfn.MAXIFS('2.현장'!$M$2:$M$1001,'2.현장'!$AC$2:$AC$1001,B93,'2.현장'!$T$2:$T$1001,TRUE)=0,"",_xlfn.MAXIFS('2.현장'!$M$2:$M$1001,'2.현장'!$AC$2:$AC$1001,B93,'2.현장'!$T$2:$T$1001,TRUE)))</f>
        <v/>
      </c>
      <c r="G93">
        <f>IF(B93="","",IFERROR(INDEX('2.현장'!$C$2:$C$1001,MATCH(90,'2.현장'!$AD$2:$AD$1001,0)),""))</f>
        <v/>
      </c>
      <c r="H93">
        <f>IF(B93="","",IFERROR(INDEX('2.현장'!$N$2:$N$1001,MATCH(90,'2.현장'!$AD$2:$AD$1001,0)),""))</f>
        <v/>
      </c>
      <c r="I93">
        <f>IF(B93="","",IFERROR(INDEX('2.현장'!$G$2:$G$1001,MATCH(90,'2.현장'!$AD$2:$AD$1001,0)),""))</f>
        <v/>
      </c>
      <c r="J93">
        <f>IF(B93="","",IFERROR(VLOOKUP(B93,업체_메모!$A$3:$I$302,2,FALSE)&amp;"",""))</f>
        <v/>
      </c>
      <c r="K93">
        <f>IF(B93="","",IFERROR(VLOOKUP(B93,업체_메모!$A$3:$I$302,4,FALSE)&amp;"",""))</f>
        <v/>
      </c>
      <c r="L93" s="7">
        <f>IF(B93="","",IF(COUNTIF('4.방문기록'!$B$3:$B$502,B93)=0,"",_xlfn.MAXIFS('4.방문기록'!$A$3:$A$502,'4.방문기록'!$B$3:$B$502,B93)))</f>
        <v/>
      </c>
      <c r="M93">
        <f>IF(L93="","",설정!$B$24-L93)</f>
        <v/>
      </c>
      <c r="N93">
        <f>IF(L93="","",IFERROR(INDEX('4.방문기록'!$H$3:$H$502,MATCH(B93&amp;"|"&amp;(L93*1),'4.방문기록'!$I$3:$I$502,0))&amp;"",""))</f>
        <v/>
      </c>
      <c r="O93">
        <f>IF(B93="","",IF(N93="관심 없음","제외",IF(L93="","안 가봄",IF(M93&gt;=설정!$B$20,M93&amp;"일 지남","최근 방문"))))</f>
        <v/>
      </c>
    </row>
    <row r="94">
      <c r="A94">
        <f>IF(B94="","",91)</f>
        <v/>
      </c>
      <c r="B94">
        <f>IFERROR(INDEX('2.현장'!$AC$2:$AC$1001,MATCH(91,'2.현장'!$AD$2:$AD$1001,0)),"")</f>
        <v/>
      </c>
      <c r="C94">
        <f>IF(B94="","",COUNTIFS('2.현장'!$AC$2:$AC$1001,B94,'2.현장'!$T$2:$T$1001,TRUE))</f>
        <v/>
      </c>
      <c r="D94">
        <f>IF(B94="","",COUNTIFS('2.현장'!$AC$2:$AC$1001,B94,'2.현장'!$T$2:$T$1001,TRUE,'2.현장'!$AA$2:$AA$1001,"★"))</f>
        <v/>
      </c>
      <c r="E94" s="5">
        <f>IF(B94="","",_xlfn.MAXIFS('2.현장'!$D$2:$D$1001,'2.현장'!$AC$2:$AC$1001,B94,'2.현장'!$T$2:$T$1001,TRUE))</f>
        <v/>
      </c>
      <c r="F94" s="7">
        <f>IF(B94="","",IF(_xlfn.MAXIFS('2.현장'!$M$2:$M$1001,'2.현장'!$AC$2:$AC$1001,B94,'2.현장'!$T$2:$T$1001,TRUE)=0,"",_xlfn.MAXIFS('2.현장'!$M$2:$M$1001,'2.현장'!$AC$2:$AC$1001,B94,'2.현장'!$T$2:$T$1001,TRUE)))</f>
        <v/>
      </c>
      <c r="G94">
        <f>IF(B94="","",IFERROR(INDEX('2.현장'!$C$2:$C$1001,MATCH(91,'2.현장'!$AD$2:$AD$1001,0)),""))</f>
        <v/>
      </c>
      <c r="H94">
        <f>IF(B94="","",IFERROR(INDEX('2.현장'!$N$2:$N$1001,MATCH(91,'2.현장'!$AD$2:$AD$1001,0)),""))</f>
        <v/>
      </c>
      <c r="I94">
        <f>IF(B94="","",IFERROR(INDEX('2.현장'!$G$2:$G$1001,MATCH(91,'2.현장'!$AD$2:$AD$1001,0)),""))</f>
        <v/>
      </c>
      <c r="J94">
        <f>IF(B94="","",IFERROR(VLOOKUP(B94,업체_메모!$A$3:$I$302,2,FALSE)&amp;"",""))</f>
        <v/>
      </c>
      <c r="K94">
        <f>IF(B94="","",IFERROR(VLOOKUP(B94,업체_메모!$A$3:$I$302,4,FALSE)&amp;"",""))</f>
        <v/>
      </c>
      <c r="L94" s="7">
        <f>IF(B94="","",IF(COUNTIF('4.방문기록'!$B$3:$B$502,B94)=0,"",_xlfn.MAXIFS('4.방문기록'!$A$3:$A$502,'4.방문기록'!$B$3:$B$502,B94)))</f>
        <v/>
      </c>
      <c r="M94">
        <f>IF(L94="","",설정!$B$24-L94)</f>
        <v/>
      </c>
      <c r="N94">
        <f>IF(L94="","",IFERROR(INDEX('4.방문기록'!$H$3:$H$502,MATCH(B94&amp;"|"&amp;(L94*1),'4.방문기록'!$I$3:$I$502,0))&amp;"",""))</f>
        <v/>
      </c>
      <c r="O94">
        <f>IF(B94="","",IF(N94="관심 없음","제외",IF(L94="","안 가봄",IF(M94&gt;=설정!$B$20,M94&amp;"일 지남","최근 방문"))))</f>
        <v/>
      </c>
    </row>
    <row r="95">
      <c r="A95">
        <f>IF(B95="","",92)</f>
        <v/>
      </c>
      <c r="B95">
        <f>IFERROR(INDEX('2.현장'!$AC$2:$AC$1001,MATCH(92,'2.현장'!$AD$2:$AD$1001,0)),"")</f>
        <v/>
      </c>
      <c r="C95">
        <f>IF(B95="","",COUNTIFS('2.현장'!$AC$2:$AC$1001,B95,'2.현장'!$T$2:$T$1001,TRUE))</f>
        <v/>
      </c>
      <c r="D95">
        <f>IF(B95="","",COUNTIFS('2.현장'!$AC$2:$AC$1001,B95,'2.현장'!$T$2:$T$1001,TRUE,'2.현장'!$AA$2:$AA$1001,"★"))</f>
        <v/>
      </c>
      <c r="E95" s="5">
        <f>IF(B95="","",_xlfn.MAXIFS('2.현장'!$D$2:$D$1001,'2.현장'!$AC$2:$AC$1001,B95,'2.현장'!$T$2:$T$1001,TRUE))</f>
        <v/>
      </c>
      <c r="F95" s="7">
        <f>IF(B95="","",IF(_xlfn.MAXIFS('2.현장'!$M$2:$M$1001,'2.현장'!$AC$2:$AC$1001,B95,'2.현장'!$T$2:$T$1001,TRUE)=0,"",_xlfn.MAXIFS('2.현장'!$M$2:$M$1001,'2.현장'!$AC$2:$AC$1001,B95,'2.현장'!$T$2:$T$1001,TRUE)))</f>
        <v/>
      </c>
      <c r="G95">
        <f>IF(B95="","",IFERROR(INDEX('2.현장'!$C$2:$C$1001,MATCH(92,'2.현장'!$AD$2:$AD$1001,0)),""))</f>
        <v/>
      </c>
      <c r="H95">
        <f>IF(B95="","",IFERROR(INDEX('2.현장'!$N$2:$N$1001,MATCH(92,'2.현장'!$AD$2:$AD$1001,0)),""))</f>
        <v/>
      </c>
      <c r="I95">
        <f>IF(B95="","",IFERROR(INDEX('2.현장'!$G$2:$G$1001,MATCH(92,'2.현장'!$AD$2:$AD$1001,0)),""))</f>
        <v/>
      </c>
      <c r="J95">
        <f>IF(B95="","",IFERROR(VLOOKUP(B95,업체_메모!$A$3:$I$302,2,FALSE)&amp;"",""))</f>
        <v/>
      </c>
      <c r="K95">
        <f>IF(B95="","",IFERROR(VLOOKUP(B95,업체_메모!$A$3:$I$302,4,FALSE)&amp;"",""))</f>
        <v/>
      </c>
      <c r="L95" s="7">
        <f>IF(B95="","",IF(COUNTIF('4.방문기록'!$B$3:$B$502,B95)=0,"",_xlfn.MAXIFS('4.방문기록'!$A$3:$A$502,'4.방문기록'!$B$3:$B$502,B95)))</f>
        <v/>
      </c>
      <c r="M95">
        <f>IF(L95="","",설정!$B$24-L95)</f>
        <v/>
      </c>
      <c r="N95">
        <f>IF(L95="","",IFERROR(INDEX('4.방문기록'!$H$3:$H$502,MATCH(B95&amp;"|"&amp;(L95*1),'4.방문기록'!$I$3:$I$502,0))&amp;"",""))</f>
        <v/>
      </c>
      <c r="O95">
        <f>IF(B95="","",IF(N95="관심 없음","제외",IF(L95="","안 가봄",IF(M95&gt;=설정!$B$20,M95&amp;"일 지남","최근 방문"))))</f>
        <v/>
      </c>
    </row>
    <row r="96">
      <c r="A96">
        <f>IF(B96="","",93)</f>
        <v/>
      </c>
      <c r="B96">
        <f>IFERROR(INDEX('2.현장'!$AC$2:$AC$1001,MATCH(93,'2.현장'!$AD$2:$AD$1001,0)),"")</f>
        <v/>
      </c>
      <c r="C96">
        <f>IF(B96="","",COUNTIFS('2.현장'!$AC$2:$AC$1001,B96,'2.현장'!$T$2:$T$1001,TRUE))</f>
        <v/>
      </c>
      <c r="D96">
        <f>IF(B96="","",COUNTIFS('2.현장'!$AC$2:$AC$1001,B96,'2.현장'!$T$2:$T$1001,TRUE,'2.현장'!$AA$2:$AA$1001,"★"))</f>
        <v/>
      </c>
      <c r="E96" s="5">
        <f>IF(B96="","",_xlfn.MAXIFS('2.현장'!$D$2:$D$1001,'2.현장'!$AC$2:$AC$1001,B96,'2.현장'!$T$2:$T$1001,TRUE))</f>
        <v/>
      </c>
      <c r="F96" s="7">
        <f>IF(B96="","",IF(_xlfn.MAXIFS('2.현장'!$M$2:$M$1001,'2.현장'!$AC$2:$AC$1001,B96,'2.현장'!$T$2:$T$1001,TRUE)=0,"",_xlfn.MAXIFS('2.현장'!$M$2:$M$1001,'2.현장'!$AC$2:$AC$1001,B96,'2.현장'!$T$2:$T$1001,TRUE)))</f>
        <v/>
      </c>
      <c r="G96">
        <f>IF(B96="","",IFERROR(INDEX('2.현장'!$C$2:$C$1001,MATCH(93,'2.현장'!$AD$2:$AD$1001,0)),""))</f>
        <v/>
      </c>
      <c r="H96">
        <f>IF(B96="","",IFERROR(INDEX('2.현장'!$N$2:$N$1001,MATCH(93,'2.현장'!$AD$2:$AD$1001,0)),""))</f>
        <v/>
      </c>
      <c r="I96">
        <f>IF(B96="","",IFERROR(INDEX('2.현장'!$G$2:$G$1001,MATCH(93,'2.현장'!$AD$2:$AD$1001,0)),""))</f>
        <v/>
      </c>
      <c r="J96">
        <f>IF(B96="","",IFERROR(VLOOKUP(B96,업체_메모!$A$3:$I$302,2,FALSE)&amp;"",""))</f>
        <v/>
      </c>
      <c r="K96">
        <f>IF(B96="","",IFERROR(VLOOKUP(B96,업체_메모!$A$3:$I$302,4,FALSE)&amp;"",""))</f>
        <v/>
      </c>
      <c r="L96" s="7">
        <f>IF(B96="","",IF(COUNTIF('4.방문기록'!$B$3:$B$502,B96)=0,"",_xlfn.MAXIFS('4.방문기록'!$A$3:$A$502,'4.방문기록'!$B$3:$B$502,B96)))</f>
        <v/>
      </c>
      <c r="M96">
        <f>IF(L96="","",설정!$B$24-L96)</f>
        <v/>
      </c>
      <c r="N96">
        <f>IF(L96="","",IFERROR(INDEX('4.방문기록'!$H$3:$H$502,MATCH(B96&amp;"|"&amp;(L96*1),'4.방문기록'!$I$3:$I$502,0))&amp;"",""))</f>
        <v/>
      </c>
      <c r="O96">
        <f>IF(B96="","",IF(N96="관심 없음","제외",IF(L96="","안 가봄",IF(M96&gt;=설정!$B$20,M96&amp;"일 지남","최근 방문"))))</f>
        <v/>
      </c>
    </row>
    <row r="97">
      <c r="A97">
        <f>IF(B97="","",94)</f>
        <v/>
      </c>
      <c r="B97">
        <f>IFERROR(INDEX('2.현장'!$AC$2:$AC$1001,MATCH(94,'2.현장'!$AD$2:$AD$1001,0)),"")</f>
        <v/>
      </c>
      <c r="C97">
        <f>IF(B97="","",COUNTIFS('2.현장'!$AC$2:$AC$1001,B97,'2.현장'!$T$2:$T$1001,TRUE))</f>
        <v/>
      </c>
      <c r="D97">
        <f>IF(B97="","",COUNTIFS('2.현장'!$AC$2:$AC$1001,B97,'2.현장'!$T$2:$T$1001,TRUE,'2.현장'!$AA$2:$AA$1001,"★"))</f>
        <v/>
      </c>
      <c r="E97" s="5">
        <f>IF(B97="","",_xlfn.MAXIFS('2.현장'!$D$2:$D$1001,'2.현장'!$AC$2:$AC$1001,B97,'2.현장'!$T$2:$T$1001,TRUE))</f>
        <v/>
      </c>
      <c r="F97" s="7">
        <f>IF(B97="","",IF(_xlfn.MAXIFS('2.현장'!$M$2:$M$1001,'2.현장'!$AC$2:$AC$1001,B97,'2.현장'!$T$2:$T$1001,TRUE)=0,"",_xlfn.MAXIFS('2.현장'!$M$2:$M$1001,'2.현장'!$AC$2:$AC$1001,B97,'2.현장'!$T$2:$T$1001,TRUE)))</f>
        <v/>
      </c>
      <c r="G97">
        <f>IF(B97="","",IFERROR(INDEX('2.현장'!$C$2:$C$1001,MATCH(94,'2.현장'!$AD$2:$AD$1001,0)),""))</f>
        <v/>
      </c>
      <c r="H97">
        <f>IF(B97="","",IFERROR(INDEX('2.현장'!$N$2:$N$1001,MATCH(94,'2.현장'!$AD$2:$AD$1001,0)),""))</f>
        <v/>
      </c>
      <c r="I97">
        <f>IF(B97="","",IFERROR(INDEX('2.현장'!$G$2:$G$1001,MATCH(94,'2.현장'!$AD$2:$AD$1001,0)),""))</f>
        <v/>
      </c>
      <c r="J97">
        <f>IF(B97="","",IFERROR(VLOOKUP(B97,업체_메모!$A$3:$I$302,2,FALSE)&amp;"",""))</f>
        <v/>
      </c>
      <c r="K97">
        <f>IF(B97="","",IFERROR(VLOOKUP(B97,업체_메모!$A$3:$I$302,4,FALSE)&amp;"",""))</f>
        <v/>
      </c>
      <c r="L97" s="7">
        <f>IF(B97="","",IF(COUNTIF('4.방문기록'!$B$3:$B$502,B97)=0,"",_xlfn.MAXIFS('4.방문기록'!$A$3:$A$502,'4.방문기록'!$B$3:$B$502,B97)))</f>
        <v/>
      </c>
      <c r="M97">
        <f>IF(L97="","",설정!$B$24-L97)</f>
        <v/>
      </c>
      <c r="N97">
        <f>IF(L97="","",IFERROR(INDEX('4.방문기록'!$H$3:$H$502,MATCH(B97&amp;"|"&amp;(L97*1),'4.방문기록'!$I$3:$I$502,0))&amp;"",""))</f>
        <v/>
      </c>
      <c r="O97">
        <f>IF(B97="","",IF(N97="관심 없음","제외",IF(L97="","안 가봄",IF(M97&gt;=설정!$B$20,M97&amp;"일 지남","최근 방문"))))</f>
        <v/>
      </c>
    </row>
    <row r="98">
      <c r="A98">
        <f>IF(B98="","",95)</f>
        <v/>
      </c>
      <c r="B98">
        <f>IFERROR(INDEX('2.현장'!$AC$2:$AC$1001,MATCH(95,'2.현장'!$AD$2:$AD$1001,0)),"")</f>
        <v/>
      </c>
      <c r="C98">
        <f>IF(B98="","",COUNTIFS('2.현장'!$AC$2:$AC$1001,B98,'2.현장'!$T$2:$T$1001,TRUE))</f>
        <v/>
      </c>
      <c r="D98">
        <f>IF(B98="","",COUNTIFS('2.현장'!$AC$2:$AC$1001,B98,'2.현장'!$T$2:$T$1001,TRUE,'2.현장'!$AA$2:$AA$1001,"★"))</f>
        <v/>
      </c>
      <c r="E98" s="5">
        <f>IF(B98="","",_xlfn.MAXIFS('2.현장'!$D$2:$D$1001,'2.현장'!$AC$2:$AC$1001,B98,'2.현장'!$T$2:$T$1001,TRUE))</f>
        <v/>
      </c>
      <c r="F98" s="7">
        <f>IF(B98="","",IF(_xlfn.MAXIFS('2.현장'!$M$2:$M$1001,'2.현장'!$AC$2:$AC$1001,B98,'2.현장'!$T$2:$T$1001,TRUE)=0,"",_xlfn.MAXIFS('2.현장'!$M$2:$M$1001,'2.현장'!$AC$2:$AC$1001,B98,'2.현장'!$T$2:$T$1001,TRUE)))</f>
        <v/>
      </c>
      <c r="G98">
        <f>IF(B98="","",IFERROR(INDEX('2.현장'!$C$2:$C$1001,MATCH(95,'2.현장'!$AD$2:$AD$1001,0)),""))</f>
        <v/>
      </c>
      <c r="H98">
        <f>IF(B98="","",IFERROR(INDEX('2.현장'!$N$2:$N$1001,MATCH(95,'2.현장'!$AD$2:$AD$1001,0)),""))</f>
        <v/>
      </c>
      <c r="I98">
        <f>IF(B98="","",IFERROR(INDEX('2.현장'!$G$2:$G$1001,MATCH(95,'2.현장'!$AD$2:$AD$1001,0)),""))</f>
        <v/>
      </c>
      <c r="J98">
        <f>IF(B98="","",IFERROR(VLOOKUP(B98,업체_메모!$A$3:$I$302,2,FALSE)&amp;"",""))</f>
        <v/>
      </c>
      <c r="K98">
        <f>IF(B98="","",IFERROR(VLOOKUP(B98,업체_메모!$A$3:$I$302,4,FALSE)&amp;"",""))</f>
        <v/>
      </c>
      <c r="L98" s="7">
        <f>IF(B98="","",IF(COUNTIF('4.방문기록'!$B$3:$B$502,B98)=0,"",_xlfn.MAXIFS('4.방문기록'!$A$3:$A$502,'4.방문기록'!$B$3:$B$502,B98)))</f>
        <v/>
      </c>
      <c r="M98">
        <f>IF(L98="","",설정!$B$24-L98)</f>
        <v/>
      </c>
      <c r="N98">
        <f>IF(L98="","",IFERROR(INDEX('4.방문기록'!$H$3:$H$502,MATCH(B98&amp;"|"&amp;(L98*1),'4.방문기록'!$I$3:$I$502,0))&amp;"",""))</f>
        <v/>
      </c>
      <c r="O98">
        <f>IF(B98="","",IF(N98="관심 없음","제외",IF(L98="","안 가봄",IF(M98&gt;=설정!$B$20,M98&amp;"일 지남","최근 방문"))))</f>
        <v/>
      </c>
    </row>
    <row r="99">
      <c r="A99">
        <f>IF(B99="","",96)</f>
        <v/>
      </c>
      <c r="B99">
        <f>IFERROR(INDEX('2.현장'!$AC$2:$AC$1001,MATCH(96,'2.현장'!$AD$2:$AD$1001,0)),"")</f>
        <v/>
      </c>
      <c r="C99">
        <f>IF(B99="","",COUNTIFS('2.현장'!$AC$2:$AC$1001,B99,'2.현장'!$T$2:$T$1001,TRUE))</f>
        <v/>
      </c>
      <c r="D99">
        <f>IF(B99="","",COUNTIFS('2.현장'!$AC$2:$AC$1001,B99,'2.현장'!$T$2:$T$1001,TRUE,'2.현장'!$AA$2:$AA$1001,"★"))</f>
        <v/>
      </c>
      <c r="E99" s="5">
        <f>IF(B99="","",_xlfn.MAXIFS('2.현장'!$D$2:$D$1001,'2.현장'!$AC$2:$AC$1001,B99,'2.현장'!$T$2:$T$1001,TRUE))</f>
        <v/>
      </c>
      <c r="F99" s="7">
        <f>IF(B99="","",IF(_xlfn.MAXIFS('2.현장'!$M$2:$M$1001,'2.현장'!$AC$2:$AC$1001,B99,'2.현장'!$T$2:$T$1001,TRUE)=0,"",_xlfn.MAXIFS('2.현장'!$M$2:$M$1001,'2.현장'!$AC$2:$AC$1001,B99,'2.현장'!$T$2:$T$1001,TRUE)))</f>
        <v/>
      </c>
      <c r="G99">
        <f>IF(B99="","",IFERROR(INDEX('2.현장'!$C$2:$C$1001,MATCH(96,'2.현장'!$AD$2:$AD$1001,0)),""))</f>
        <v/>
      </c>
      <c r="H99">
        <f>IF(B99="","",IFERROR(INDEX('2.현장'!$N$2:$N$1001,MATCH(96,'2.현장'!$AD$2:$AD$1001,0)),""))</f>
        <v/>
      </c>
      <c r="I99">
        <f>IF(B99="","",IFERROR(INDEX('2.현장'!$G$2:$G$1001,MATCH(96,'2.현장'!$AD$2:$AD$1001,0)),""))</f>
        <v/>
      </c>
      <c r="J99">
        <f>IF(B99="","",IFERROR(VLOOKUP(B99,업체_메모!$A$3:$I$302,2,FALSE)&amp;"",""))</f>
        <v/>
      </c>
      <c r="K99">
        <f>IF(B99="","",IFERROR(VLOOKUP(B99,업체_메모!$A$3:$I$302,4,FALSE)&amp;"",""))</f>
        <v/>
      </c>
      <c r="L99" s="7">
        <f>IF(B99="","",IF(COUNTIF('4.방문기록'!$B$3:$B$502,B99)=0,"",_xlfn.MAXIFS('4.방문기록'!$A$3:$A$502,'4.방문기록'!$B$3:$B$502,B99)))</f>
        <v/>
      </c>
      <c r="M99">
        <f>IF(L99="","",설정!$B$24-L99)</f>
        <v/>
      </c>
      <c r="N99">
        <f>IF(L99="","",IFERROR(INDEX('4.방문기록'!$H$3:$H$502,MATCH(B99&amp;"|"&amp;(L99*1),'4.방문기록'!$I$3:$I$502,0))&amp;"",""))</f>
        <v/>
      </c>
      <c r="O99">
        <f>IF(B99="","",IF(N99="관심 없음","제외",IF(L99="","안 가봄",IF(M99&gt;=설정!$B$20,M99&amp;"일 지남","최근 방문"))))</f>
        <v/>
      </c>
    </row>
    <row r="100">
      <c r="A100">
        <f>IF(B100="","",97)</f>
        <v/>
      </c>
      <c r="B100">
        <f>IFERROR(INDEX('2.현장'!$AC$2:$AC$1001,MATCH(97,'2.현장'!$AD$2:$AD$1001,0)),"")</f>
        <v/>
      </c>
      <c r="C100">
        <f>IF(B100="","",COUNTIFS('2.현장'!$AC$2:$AC$1001,B100,'2.현장'!$T$2:$T$1001,TRUE))</f>
        <v/>
      </c>
      <c r="D100">
        <f>IF(B100="","",COUNTIFS('2.현장'!$AC$2:$AC$1001,B100,'2.현장'!$T$2:$T$1001,TRUE,'2.현장'!$AA$2:$AA$1001,"★"))</f>
        <v/>
      </c>
      <c r="E100" s="5">
        <f>IF(B100="","",_xlfn.MAXIFS('2.현장'!$D$2:$D$1001,'2.현장'!$AC$2:$AC$1001,B100,'2.현장'!$T$2:$T$1001,TRUE))</f>
        <v/>
      </c>
      <c r="F100" s="7">
        <f>IF(B100="","",IF(_xlfn.MAXIFS('2.현장'!$M$2:$M$1001,'2.현장'!$AC$2:$AC$1001,B100,'2.현장'!$T$2:$T$1001,TRUE)=0,"",_xlfn.MAXIFS('2.현장'!$M$2:$M$1001,'2.현장'!$AC$2:$AC$1001,B100,'2.현장'!$T$2:$T$1001,TRUE)))</f>
        <v/>
      </c>
      <c r="G100">
        <f>IF(B100="","",IFERROR(INDEX('2.현장'!$C$2:$C$1001,MATCH(97,'2.현장'!$AD$2:$AD$1001,0)),""))</f>
        <v/>
      </c>
      <c r="H100">
        <f>IF(B100="","",IFERROR(INDEX('2.현장'!$N$2:$N$1001,MATCH(97,'2.현장'!$AD$2:$AD$1001,0)),""))</f>
        <v/>
      </c>
      <c r="I100">
        <f>IF(B100="","",IFERROR(INDEX('2.현장'!$G$2:$G$1001,MATCH(97,'2.현장'!$AD$2:$AD$1001,0)),""))</f>
        <v/>
      </c>
      <c r="J100">
        <f>IF(B100="","",IFERROR(VLOOKUP(B100,업체_메모!$A$3:$I$302,2,FALSE)&amp;"",""))</f>
        <v/>
      </c>
      <c r="K100">
        <f>IF(B100="","",IFERROR(VLOOKUP(B100,업체_메모!$A$3:$I$302,4,FALSE)&amp;"",""))</f>
        <v/>
      </c>
      <c r="L100" s="7">
        <f>IF(B100="","",IF(COUNTIF('4.방문기록'!$B$3:$B$502,B100)=0,"",_xlfn.MAXIFS('4.방문기록'!$A$3:$A$502,'4.방문기록'!$B$3:$B$502,B100)))</f>
        <v/>
      </c>
      <c r="M100">
        <f>IF(L100="","",설정!$B$24-L100)</f>
        <v/>
      </c>
      <c r="N100">
        <f>IF(L100="","",IFERROR(INDEX('4.방문기록'!$H$3:$H$502,MATCH(B100&amp;"|"&amp;(L100*1),'4.방문기록'!$I$3:$I$502,0))&amp;"",""))</f>
        <v/>
      </c>
      <c r="O100">
        <f>IF(B100="","",IF(N100="관심 없음","제외",IF(L100="","안 가봄",IF(M100&gt;=설정!$B$20,M100&amp;"일 지남","최근 방문"))))</f>
        <v/>
      </c>
    </row>
    <row r="101">
      <c r="A101">
        <f>IF(B101="","",98)</f>
        <v/>
      </c>
      <c r="B101">
        <f>IFERROR(INDEX('2.현장'!$AC$2:$AC$1001,MATCH(98,'2.현장'!$AD$2:$AD$1001,0)),"")</f>
        <v/>
      </c>
      <c r="C101">
        <f>IF(B101="","",COUNTIFS('2.현장'!$AC$2:$AC$1001,B101,'2.현장'!$T$2:$T$1001,TRUE))</f>
        <v/>
      </c>
      <c r="D101">
        <f>IF(B101="","",COUNTIFS('2.현장'!$AC$2:$AC$1001,B101,'2.현장'!$T$2:$T$1001,TRUE,'2.현장'!$AA$2:$AA$1001,"★"))</f>
        <v/>
      </c>
      <c r="E101" s="5">
        <f>IF(B101="","",_xlfn.MAXIFS('2.현장'!$D$2:$D$1001,'2.현장'!$AC$2:$AC$1001,B101,'2.현장'!$T$2:$T$1001,TRUE))</f>
        <v/>
      </c>
      <c r="F101" s="7">
        <f>IF(B101="","",IF(_xlfn.MAXIFS('2.현장'!$M$2:$M$1001,'2.현장'!$AC$2:$AC$1001,B101,'2.현장'!$T$2:$T$1001,TRUE)=0,"",_xlfn.MAXIFS('2.현장'!$M$2:$M$1001,'2.현장'!$AC$2:$AC$1001,B101,'2.현장'!$T$2:$T$1001,TRUE)))</f>
        <v/>
      </c>
      <c r="G101">
        <f>IF(B101="","",IFERROR(INDEX('2.현장'!$C$2:$C$1001,MATCH(98,'2.현장'!$AD$2:$AD$1001,0)),""))</f>
        <v/>
      </c>
      <c r="H101">
        <f>IF(B101="","",IFERROR(INDEX('2.현장'!$N$2:$N$1001,MATCH(98,'2.현장'!$AD$2:$AD$1001,0)),""))</f>
        <v/>
      </c>
      <c r="I101">
        <f>IF(B101="","",IFERROR(INDEX('2.현장'!$G$2:$G$1001,MATCH(98,'2.현장'!$AD$2:$AD$1001,0)),""))</f>
        <v/>
      </c>
      <c r="J101">
        <f>IF(B101="","",IFERROR(VLOOKUP(B101,업체_메모!$A$3:$I$302,2,FALSE)&amp;"",""))</f>
        <v/>
      </c>
      <c r="K101">
        <f>IF(B101="","",IFERROR(VLOOKUP(B101,업체_메모!$A$3:$I$302,4,FALSE)&amp;"",""))</f>
        <v/>
      </c>
      <c r="L101" s="7">
        <f>IF(B101="","",IF(COUNTIF('4.방문기록'!$B$3:$B$502,B101)=0,"",_xlfn.MAXIFS('4.방문기록'!$A$3:$A$502,'4.방문기록'!$B$3:$B$502,B101)))</f>
        <v/>
      </c>
      <c r="M101">
        <f>IF(L101="","",설정!$B$24-L101)</f>
        <v/>
      </c>
      <c r="N101">
        <f>IF(L101="","",IFERROR(INDEX('4.방문기록'!$H$3:$H$502,MATCH(B101&amp;"|"&amp;(L101*1),'4.방문기록'!$I$3:$I$502,0))&amp;"",""))</f>
        <v/>
      </c>
      <c r="O101">
        <f>IF(B101="","",IF(N101="관심 없음","제외",IF(L101="","안 가봄",IF(M101&gt;=설정!$B$20,M101&amp;"일 지남","최근 방문"))))</f>
        <v/>
      </c>
    </row>
    <row r="102">
      <c r="A102">
        <f>IF(B102="","",99)</f>
        <v/>
      </c>
      <c r="B102">
        <f>IFERROR(INDEX('2.현장'!$AC$2:$AC$1001,MATCH(99,'2.현장'!$AD$2:$AD$1001,0)),"")</f>
        <v/>
      </c>
      <c r="C102">
        <f>IF(B102="","",COUNTIFS('2.현장'!$AC$2:$AC$1001,B102,'2.현장'!$T$2:$T$1001,TRUE))</f>
        <v/>
      </c>
      <c r="D102">
        <f>IF(B102="","",COUNTIFS('2.현장'!$AC$2:$AC$1001,B102,'2.현장'!$T$2:$T$1001,TRUE,'2.현장'!$AA$2:$AA$1001,"★"))</f>
        <v/>
      </c>
      <c r="E102" s="5">
        <f>IF(B102="","",_xlfn.MAXIFS('2.현장'!$D$2:$D$1001,'2.현장'!$AC$2:$AC$1001,B102,'2.현장'!$T$2:$T$1001,TRUE))</f>
        <v/>
      </c>
      <c r="F102" s="7">
        <f>IF(B102="","",IF(_xlfn.MAXIFS('2.현장'!$M$2:$M$1001,'2.현장'!$AC$2:$AC$1001,B102,'2.현장'!$T$2:$T$1001,TRUE)=0,"",_xlfn.MAXIFS('2.현장'!$M$2:$M$1001,'2.현장'!$AC$2:$AC$1001,B102,'2.현장'!$T$2:$T$1001,TRUE)))</f>
        <v/>
      </c>
      <c r="G102">
        <f>IF(B102="","",IFERROR(INDEX('2.현장'!$C$2:$C$1001,MATCH(99,'2.현장'!$AD$2:$AD$1001,0)),""))</f>
        <v/>
      </c>
      <c r="H102">
        <f>IF(B102="","",IFERROR(INDEX('2.현장'!$N$2:$N$1001,MATCH(99,'2.현장'!$AD$2:$AD$1001,0)),""))</f>
        <v/>
      </c>
      <c r="I102">
        <f>IF(B102="","",IFERROR(INDEX('2.현장'!$G$2:$G$1001,MATCH(99,'2.현장'!$AD$2:$AD$1001,0)),""))</f>
        <v/>
      </c>
      <c r="J102">
        <f>IF(B102="","",IFERROR(VLOOKUP(B102,업체_메모!$A$3:$I$302,2,FALSE)&amp;"",""))</f>
        <v/>
      </c>
      <c r="K102">
        <f>IF(B102="","",IFERROR(VLOOKUP(B102,업체_메모!$A$3:$I$302,4,FALSE)&amp;"",""))</f>
        <v/>
      </c>
      <c r="L102" s="7">
        <f>IF(B102="","",IF(COUNTIF('4.방문기록'!$B$3:$B$502,B102)=0,"",_xlfn.MAXIFS('4.방문기록'!$A$3:$A$502,'4.방문기록'!$B$3:$B$502,B102)))</f>
        <v/>
      </c>
      <c r="M102">
        <f>IF(L102="","",설정!$B$24-L102)</f>
        <v/>
      </c>
      <c r="N102">
        <f>IF(L102="","",IFERROR(INDEX('4.방문기록'!$H$3:$H$502,MATCH(B102&amp;"|"&amp;(L102*1),'4.방문기록'!$I$3:$I$502,0))&amp;"",""))</f>
        <v/>
      </c>
      <c r="O102">
        <f>IF(B102="","",IF(N102="관심 없음","제외",IF(L102="","안 가봄",IF(M102&gt;=설정!$B$20,M102&amp;"일 지남","최근 방문"))))</f>
        <v/>
      </c>
    </row>
    <row r="103">
      <c r="A103">
        <f>IF(B103="","",100)</f>
        <v/>
      </c>
      <c r="B103">
        <f>IFERROR(INDEX('2.현장'!$AC$2:$AC$1001,MATCH(100,'2.현장'!$AD$2:$AD$1001,0)),"")</f>
        <v/>
      </c>
      <c r="C103">
        <f>IF(B103="","",COUNTIFS('2.현장'!$AC$2:$AC$1001,B103,'2.현장'!$T$2:$T$1001,TRUE))</f>
        <v/>
      </c>
      <c r="D103">
        <f>IF(B103="","",COUNTIFS('2.현장'!$AC$2:$AC$1001,B103,'2.현장'!$T$2:$T$1001,TRUE,'2.현장'!$AA$2:$AA$1001,"★"))</f>
        <v/>
      </c>
      <c r="E103" s="5">
        <f>IF(B103="","",_xlfn.MAXIFS('2.현장'!$D$2:$D$1001,'2.현장'!$AC$2:$AC$1001,B103,'2.현장'!$T$2:$T$1001,TRUE))</f>
        <v/>
      </c>
      <c r="F103" s="7">
        <f>IF(B103="","",IF(_xlfn.MAXIFS('2.현장'!$M$2:$M$1001,'2.현장'!$AC$2:$AC$1001,B103,'2.현장'!$T$2:$T$1001,TRUE)=0,"",_xlfn.MAXIFS('2.현장'!$M$2:$M$1001,'2.현장'!$AC$2:$AC$1001,B103,'2.현장'!$T$2:$T$1001,TRUE)))</f>
        <v/>
      </c>
      <c r="G103">
        <f>IF(B103="","",IFERROR(INDEX('2.현장'!$C$2:$C$1001,MATCH(100,'2.현장'!$AD$2:$AD$1001,0)),""))</f>
        <v/>
      </c>
      <c r="H103">
        <f>IF(B103="","",IFERROR(INDEX('2.현장'!$N$2:$N$1001,MATCH(100,'2.현장'!$AD$2:$AD$1001,0)),""))</f>
        <v/>
      </c>
      <c r="I103">
        <f>IF(B103="","",IFERROR(INDEX('2.현장'!$G$2:$G$1001,MATCH(100,'2.현장'!$AD$2:$AD$1001,0)),""))</f>
        <v/>
      </c>
      <c r="J103">
        <f>IF(B103="","",IFERROR(VLOOKUP(B103,업체_메모!$A$3:$I$302,2,FALSE)&amp;"",""))</f>
        <v/>
      </c>
      <c r="K103">
        <f>IF(B103="","",IFERROR(VLOOKUP(B103,업체_메모!$A$3:$I$302,4,FALSE)&amp;"",""))</f>
        <v/>
      </c>
      <c r="L103" s="7">
        <f>IF(B103="","",IF(COUNTIF('4.방문기록'!$B$3:$B$502,B103)=0,"",_xlfn.MAXIFS('4.방문기록'!$A$3:$A$502,'4.방문기록'!$B$3:$B$502,B103)))</f>
        <v/>
      </c>
      <c r="M103">
        <f>IF(L103="","",설정!$B$24-L103)</f>
        <v/>
      </c>
      <c r="N103">
        <f>IF(L103="","",IFERROR(INDEX('4.방문기록'!$H$3:$H$502,MATCH(B103&amp;"|"&amp;(L103*1),'4.방문기록'!$I$3:$I$502,0))&amp;"",""))</f>
        <v/>
      </c>
      <c r="O103">
        <f>IF(B103="","",IF(N103="관심 없음","제외",IF(L103="","안 가봄",IF(M103&gt;=설정!$B$20,M103&amp;"일 지남","최근 방문"))))</f>
        <v/>
      </c>
    </row>
    <row r="104">
      <c r="A104">
        <f>IF(B104="","",101)</f>
        <v/>
      </c>
      <c r="B104">
        <f>IFERROR(INDEX('2.현장'!$AC$2:$AC$1001,MATCH(101,'2.현장'!$AD$2:$AD$1001,0)),"")</f>
        <v/>
      </c>
      <c r="C104">
        <f>IF(B104="","",COUNTIFS('2.현장'!$AC$2:$AC$1001,B104,'2.현장'!$T$2:$T$1001,TRUE))</f>
        <v/>
      </c>
      <c r="D104">
        <f>IF(B104="","",COUNTIFS('2.현장'!$AC$2:$AC$1001,B104,'2.현장'!$T$2:$T$1001,TRUE,'2.현장'!$AA$2:$AA$1001,"★"))</f>
        <v/>
      </c>
      <c r="E104" s="5">
        <f>IF(B104="","",_xlfn.MAXIFS('2.현장'!$D$2:$D$1001,'2.현장'!$AC$2:$AC$1001,B104,'2.현장'!$T$2:$T$1001,TRUE))</f>
        <v/>
      </c>
      <c r="F104" s="7">
        <f>IF(B104="","",IF(_xlfn.MAXIFS('2.현장'!$M$2:$M$1001,'2.현장'!$AC$2:$AC$1001,B104,'2.현장'!$T$2:$T$1001,TRUE)=0,"",_xlfn.MAXIFS('2.현장'!$M$2:$M$1001,'2.현장'!$AC$2:$AC$1001,B104,'2.현장'!$T$2:$T$1001,TRUE)))</f>
        <v/>
      </c>
      <c r="G104">
        <f>IF(B104="","",IFERROR(INDEX('2.현장'!$C$2:$C$1001,MATCH(101,'2.현장'!$AD$2:$AD$1001,0)),""))</f>
        <v/>
      </c>
      <c r="H104">
        <f>IF(B104="","",IFERROR(INDEX('2.현장'!$N$2:$N$1001,MATCH(101,'2.현장'!$AD$2:$AD$1001,0)),""))</f>
        <v/>
      </c>
      <c r="I104">
        <f>IF(B104="","",IFERROR(INDEX('2.현장'!$G$2:$G$1001,MATCH(101,'2.현장'!$AD$2:$AD$1001,0)),""))</f>
        <v/>
      </c>
      <c r="J104">
        <f>IF(B104="","",IFERROR(VLOOKUP(B104,업체_메모!$A$3:$I$302,2,FALSE)&amp;"",""))</f>
        <v/>
      </c>
      <c r="K104">
        <f>IF(B104="","",IFERROR(VLOOKUP(B104,업체_메모!$A$3:$I$302,4,FALSE)&amp;"",""))</f>
        <v/>
      </c>
      <c r="L104" s="7">
        <f>IF(B104="","",IF(COUNTIF('4.방문기록'!$B$3:$B$502,B104)=0,"",_xlfn.MAXIFS('4.방문기록'!$A$3:$A$502,'4.방문기록'!$B$3:$B$502,B104)))</f>
        <v/>
      </c>
      <c r="M104">
        <f>IF(L104="","",설정!$B$24-L104)</f>
        <v/>
      </c>
      <c r="N104">
        <f>IF(L104="","",IFERROR(INDEX('4.방문기록'!$H$3:$H$502,MATCH(B104&amp;"|"&amp;(L104*1),'4.방문기록'!$I$3:$I$502,0))&amp;"",""))</f>
        <v/>
      </c>
      <c r="O104">
        <f>IF(B104="","",IF(N104="관심 없음","제외",IF(L104="","안 가봄",IF(M104&gt;=설정!$B$20,M104&amp;"일 지남","최근 방문"))))</f>
        <v/>
      </c>
    </row>
    <row r="105">
      <c r="A105">
        <f>IF(B105="","",102)</f>
        <v/>
      </c>
      <c r="B105">
        <f>IFERROR(INDEX('2.현장'!$AC$2:$AC$1001,MATCH(102,'2.현장'!$AD$2:$AD$1001,0)),"")</f>
        <v/>
      </c>
      <c r="C105">
        <f>IF(B105="","",COUNTIFS('2.현장'!$AC$2:$AC$1001,B105,'2.현장'!$T$2:$T$1001,TRUE))</f>
        <v/>
      </c>
      <c r="D105">
        <f>IF(B105="","",COUNTIFS('2.현장'!$AC$2:$AC$1001,B105,'2.현장'!$T$2:$T$1001,TRUE,'2.현장'!$AA$2:$AA$1001,"★"))</f>
        <v/>
      </c>
      <c r="E105" s="5">
        <f>IF(B105="","",_xlfn.MAXIFS('2.현장'!$D$2:$D$1001,'2.현장'!$AC$2:$AC$1001,B105,'2.현장'!$T$2:$T$1001,TRUE))</f>
        <v/>
      </c>
      <c r="F105" s="7">
        <f>IF(B105="","",IF(_xlfn.MAXIFS('2.현장'!$M$2:$M$1001,'2.현장'!$AC$2:$AC$1001,B105,'2.현장'!$T$2:$T$1001,TRUE)=0,"",_xlfn.MAXIFS('2.현장'!$M$2:$M$1001,'2.현장'!$AC$2:$AC$1001,B105,'2.현장'!$T$2:$T$1001,TRUE)))</f>
        <v/>
      </c>
      <c r="G105">
        <f>IF(B105="","",IFERROR(INDEX('2.현장'!$C$2:$C$1001,MATCH(102,'2.현장'!$AD$2:$AD$1001,0)),""))</f>
        <v/>
      </c>
      <c r="H105">
        <f>IF(B105="","",IFERROR(INDEX('2.현장'!$N$2:$N$1001,MATCH(102,'2.현장'!$AD$2:$AD$1001,0)),""))</f>
        <v/>
      </c>
      <c r="I105">
        <f>IF(B105="","",IFERROR(INDEX('2.현장'!$G$2:$G$1001,MATCH(102,'2.현장'!$AD$2:$AD$1001,0)),""))</f>
        <v/>
      </c>
      <c r="J105">
        <f>IF(B105="","",IFERROR(VLOOKUP(B105,업체_메모!$A$3:$I$302,2,FALSE)&amp;"",""))</f>
        <v/>
      </c>
      <c r="K105">
        <f>IF(B105="","",IFERROR(VLOOKUP(B105,업체_메모!$A$3:$I$302,4,FALSE)&amp;"",""))</f>
        <v/>
      </c>
      <c r="L105" s="7">
        <f>IF(B105="","",IF(COUNTIF('4.방문기록'!$B$3:$B$502,B105)=0,"",_xlfn.MAXIFS('4.방문기록'!$A$3:$A$502,'4.방문기록'!$B$3:$B$502,B105)))</f>
        <v/>
      </c>
      <c r="M105">
        <f>IF(L105="","",설정!$B$24-L105)</f>
        <v/>
      </c>
      <c r="N105">
        <f>IF(L105="","",IFERROR(INDEX('4.방문기록'!$H$3:$H$502,MATCH(B105&amp;"|"&amp;(L105*1),'4.방문기록'!$I$3:$I$502,0))&amp;"",""))</f>
        <v/>
      </c>
      <c r="O105">
        <f>IF(B105="","",IF(N105="관심 없음","제외",IF(L105="","안 가봄",IF(M105&gt;=설정!$B$20,M105&amp;"일 지남","최근 방문"))))</f>
        <v/>
      </c>
    </row>
    <row r="106">
      <c r="A106">
        <f>IF(B106="","",103)</f>
        <v/>
      </c>
      <c r="B106">
        <f>IFERROR(INDEX('2.현장'!$AC$2:$AC$1001,MATCH(103,'2.현장'!$AD$2:$AD$1001,0)),"")</f>
        <v/>
      </c>
      <c r="C106">
        <f>IF(B106="","",COUNTIFS('2.현장'!$AC$2:$AC$1001,B106,'2.현장'!$T$2:$T$1001,TRUE))</f>
        <v/>
      </c>
      <c r="D106">
        <f>IF(B106="","",COUNTIFS('2.현장'!$AC$2:$AC$1001,B106,'2.현장'!$T$2:$T$1001,TRUE,'2.현장'!$AA$2:$AA$1001,"★"))</f>
        <v/>
      </c>
      <c r="E106" s="5">
        <f>IF(B106="","",_xlfn.MAXIFS('2.현장'!$D$2:$D$1001,'2.현장'!$AC$2:$AC$1001,B106,'2.현장'!$T$2:$T$1001,TRUE))</f>
        <v/>
      </c>
      <c r="F106" s="7">
        <f>IF(B106="","",IF(_xlfn.MAXIFS('2.현장'!$M$2:$M$1001,'2.현장'!$AC$2:$AC$1001,B106,'2.현장'!$T$2:$T$1001,TRUE)=0,"",_xlfn.MAXIFS('2.현장'!$M$2:$M$1001,'2.현장'!$AC$2:$AC$1001,B106,'2.현장'!$T$2:$T$1001,TRUE)))</f>
        <v/>
      </c>
      <c r="G106">
        <f>IF(B106="","",IFERROR(INDEX('2.현장'!$C$2:$C$1001,MATCH(103,'2.현장'!$AD$2:$AD$1001,0)),""))</f>
        <v/>
      </c>
      <c r="H106">
        <f>IF(B106="","",IFERROR(INDEX('2.현장'!$N$2:$N$1001,MATCH(103,'2.현장'!$AD$2:$AD$1001,0)),""))</f>
        <v/>
      </c>
      <c r="I106">
        <f>IF(B106="","",IFERROR(INDEX('2.현장'!$G$2:$G$1001,MATCH(103,'2.현장'!$AD$2:$AD$1001,0)),""))</f>
        <v/>
      </c>
      <c r="J106">
        <f>IF(B106="","",IFERROR(VLOOKUP(B106,업체_메모!$A$3:$I$302,2,FALSE)&amp;"",""))</f>
        <v/>
      </c>
      <c r="K106">
        <f>IF(B106="","",IFERROR(VLOOKUP(B106,업체_메모!$A$3:$I$302,4,FALSE)&amp;"",""))</f>
        <v/>
      </c>
      <c r="L106" s="7">
        <f>IF(B106="","",IF(COUNTIF('4.방문기록'!$B$3:$B$502,B106)=0,"",_xlfn.MAXIFS('4.방문기록'!$A$3:$A$502,'4.방문기록'!$B$3:$B$502,B106)))</f>
        <v/>
      </c>
      <c r="M106">
        <f>IF(L106="","",설정!$B$24-L106)</f>
        <v/>
      </c>
      <c r="N106">
        <f>IF(L106="","",IFERROR(INDEX('4.방문기록'!$H$3:$H$502,MATCH(B106&amp;"|"&amp;(L106*1),'4.방문기록'!$I$3:$I$502,0))&amp;"",""))</f>
        <v/>
      </c>
      <c r="O106">
        <f>IF(B106="","",IF(N106="관심 없음","제외",IF(L106="","안 가봄",IF(M106&gt;=설정!$B$20,M106&amp;"일 지남","최근 방문"))))</f>
        <v/>
      </c>
    </row>
    <row r="107">
      <c r="A107">
        <f>IF(B107="","",104)</f>
        <v/>
      </c>
      <c r="B107">
        <f>IFERROR(INDEX('2.현장'!$AC$2:$AC$1001,MATCH(104,'2.현장'!$AD$2:$AD$1001,0)),"")</f>
        <v/>
      </c>
      <c r="C107">
        <f>IF(B107="","",COUNTIFS('2.현장'!$AC$2:$AC$1001,B107,'2.현장'!$T$2:$T$1001,TRUE))</f>
        <v/>
      </c>
      <c r="D107">
        <f>IF(B107="","",COUNTIFS('2.현장'!$AC$2:$AC$1001,B107,'2.현장'!$T$2:$T$1001,TRUE,'2.현장'!$AA$2:$AA$1001,"★"))</f>
        <v/>
      </c>
      <c r="E107" s="5">
        <f>IF(B107="","",_xlfn.MAXIFS('2.현장'!$D$2:$D$1001,'2.현장'!$AC$2:$AC$1001,B107,'2.현장'!$T$2:$T$1001,TRUE))</f>
        <v/>
      </c>
      <c r="F107" s="7">
        <f>IF(B107="","",IF(_xlfn.MAXIFS('2.현장'!$M$2:$M$1001,'2.현장'!$AC$2:$AC$1001,B107,'2.현장'!$T$2:$T$1001,TRUE)=0,"",_xlfn.MAXIFS('2.현장'!$M$2:$M$1001,'2.현장'!$AC$2:$AC$1001,B107,'2.현장'!$T$2:$T$1001,TRUE)))</f>
        <v/>
      </c>
      <c r="G107">
        <f>IF(B107="","",IFERROR(INDEX('2.현장'!$C$2:$C$1001,MATCH(104,'2.현장'!$AD$2:$AD$1001,0)),""))</f>
        <v/>
      </c>
      <c r="H107">
        <f>IF(B107="","",IFERROR(INDEX('2.현장'!$N$2:$N$1001,MATCH(104,'2.현장'!$AD$2:$AD$1001,0)),""))</f>
        <v/>
      </c>
      <c r="I107">
        <f>IF(B107="","",IFERROR(INDEX('2.현장'!$G$2:$G$1001,MATCH(104,'2.현장'!$AD$2:$AD$1001,0)),""))</f>
        <v/>
      </c>
      <c r="J107">
        <f>IF(B107="","",IFERROR(VLOOKUP(B107,업체_메모!$A$3:$I$302,2,FALSE)&amp;"",""))</f>
        <v/>
      </c>
      <c r="K107">
        <f>IF(B107="","",IFERROR(VLOOKUP(B107,업체_메모!$A$3:$I$302,4,FALSE)&amp;"",""))</f>
        <v/>
      </c>
      <c r="L107" s="7">
        <f>IF(B107="","",IF(COUNTIF('4.방문기록'!$B$3:$B$502,B107)=0,"",_xlfn.MAXIFS('4.방문기록'!$A$3:$A$502,'4.방문기록'!$B$3:$B$502,B107)))</f>
        <v/>
      </c>
      <c r="M107">
        <f>IF(L107="","",설정!$B$24-L107)</f>
        <v/>
      </c>
      <c r="N107">
        <f>IF(L107="","",IFERROR(INDEX('4.방문기록'!$H$3:$H$502,MATCH(B107&amp;"|"&amp;(L107*1),'4.방문기록'!$I$3:$I$502,0))&amp;"",""))</f>
        <v/>
      </c>
      <c r="O107">
        <f>IF(B107="","",IF(N107="관심 없음","제외",IF(L107="","안 가봄",IF(M107&gt;=설정!$B$20,M107&amp;"일 지남","최근 방문"))))</f>
        <v/>
      </c>
    </row>
    <row r="108">
      <c r="A108">
        <f>IF(B108="","",105)</f>
        <v/>
      </c>
      <c r="B108">
        <f>IFERROR(INDEX('2.현장'!$AC$2:$AC$1001,MATCH(105,'2.현장'!$AD$2:$AD$1001,0)),"")</f>
        <v/>
      </c>
      <c r="C108">
        <f>IF(B108="","",COUNTIFS('2.현장'!$AC$2:$AC$1001,B108,'2.현장'!$T$2:$T$1001,TRUE))</f>
        <v/>
      </c>
      <c r="D108">
        <f>IF(B108="","",COUNTIFS('2.현장'!$AC$2:$AC$1001,B108,'2.현장'!$T$2:$T$1001,TRUE,'2.현장'!$AA$2:$AA$1001,"★"))</f>
        <v/>
      </c>
      <c r="E108" s="5">
        <f>IF(B108="","",_xlfn.MAXIFS('2.현장'!$D$2:$D$1001,'2.현장'!$AC$2:$AC$1001,B108,'2.현장'!$T$2:$T$1001,TRUE))</f>
        <v/>
      </c>
      <c r="F108" s="7">
        <f>IF(B108="","",IF(_xlfn.MAXIFS('2.현장'!$M$2:$M$1001,'2.현장'!$AC$2:$AC$1001,B108,'2.현장'!$T$2:$T$1001,TRUE)=0,"",_xlfn.MAXIFS('2.현장'!$M$2:$M$1001,'2.현장'!$AC$2:$AC$1001,B108,'2.현장'!$T$2:$T$1001,TRUE)))</f>
        <v/>
      </c>
      <c r="G108">
        <f>IF(B108="","",IFERROR(INDEX('2.현장'!$C$2:$C$1001,MATCH(105,'2.현장'!$AD$2:$AD$1001,0)),""))</f>
        <v/>
      </c>
      <c r="H108">
        <f>IF(B108="","",IFERROR(INDEX('2.현장'!$N$2:$N$1001,MATCH(105,'2.현장'!$AD$2:$AD$1001,0)),""))</f>
        <v/>
      </c>
      <c r="I108">
        <f>IF(B108="","",IFERROR(INDEX('2.현장'!$G$2:$G$1001,MATCH(105,'2.현장'!$AD$2:$AD$1001,0)),""))</f>
        <v/>
      </c>
      <c r="J108">
        <f>IF(B108="","",IFERROR(VLOOKUP(B108,업체_메모!$A$3:$I$302,2,FALSE)&amp;"",""))</f>
        <v/>
      </c>
      <c r="K108">
        <f>IF(B108="","",IFERROR(VLOOKUP(B108,업체_메모!$A$3:$I$302,4,FALSE)&amp;"",""))</f>
        <v/>
      </c>
      <c r="L108" s="7">
        <f>IF(B108="","",IF(COUNTIF('4.방문기록'!$B$3:$B$502,B108)=0,"",_xlfn.MAXIFS('4.방문기록'!$A$3:$A$502,'4.방문기록'!$B$3:$B$502,B108)))</f>
        <v/>
      </c>
      <c r="M108">
        <f>IF(L108="","",설정!$B$24-L108)</f>
        <v/>
      </c>
      <c r="N108">
        <f>IF(L108="","",IFERROR(INDEX('4.방문기록'!$H$3:$H$502,MATCH(B108&amp;"|"&amp;(L108*1),'4.방문기록'!$I$3:$I$502,0))&amp;"",""))</f>
        <v/>
      </c>
      <c r="O108">
        <f>IF(B108="","",IF(N108="관심 없음","제외",IF(L108="","안 가봄",IF(M108&gt;=설정!$B$20,M108&amp;"일 지남","최근 방문"))))</f>
        <v/>
      </c>
    </row>
    <row r="109">
      <c r="A109">
        <f>IF(B109="","",106)</f>
        <v/>
      </c>
      <c r="B109">
        <f>IFERROR(INDEX('2.현장'!$AC$2:$AC$1001,MATCH(106,'2.현장'!$AD$2:$AD$1001,0)),"")</f>
        <v/>
      </c>
      <c r="C109">
        <f>IF(B109="","",COUNTIFS('2.현장'!$AC$2:$AC$1001,B109,'2.현장'!$T$2:$T$1001,TRUE))</f>
        <v/>
      </c>
      <c r="D109">
        <f>IF(B109="","",COUNTIFS('2.현장'!$AC$2:$AC$1001,B109,'2.현장'!$T$2:$T$1001,TRUE,'2.현장'!$AA$2:$AA$1001,"★"))</f>
        <v/>
      </c>
      <c r="E109" s="5">
        <f>IF(B109="","",_xlfn.MAXIFS('2.현장'!$D$2:$D$1001,'2.현장'!$AC$2:$AC$1001,B109,'2.현장'!$T$2:$T$1001,TRUE))</f>
        <v/>
      </c>
      <c r="F109" s="7">
        <f>IF(B109="","",IF(_xlfn.MAXIFS('2.현장'!$M$2:$M$1001,'2.현장'!$AC$2:$AC$1001,B109,'2.현장'!$T$2:$T$1001,TRUE)=0,"",_xlfn.MAXIFS('2.현장'!$M$2:$M$1001,'2.현장'!$AC$2:$AC$1001,B109,'2.현장'!$T$2:$T$1001,TRUE)))</f>
        <v/>
      </c>
      <c r="G109">
        <f>IF(B109="","",IFERROR(INDEX('2.현장'!$C$2:$C$1001,MATCH(106,'2.현장'!$AD$2:$AD$1001,0)),""))</f>
        <v/>
      </c>
      <c r="H109">
        <f>IF(B109="","",IFERROR(INDEX('2.현장'!$N$2:$N$1001,MATCH(106,'2.현장'!$AD$2:$AD$1001,0)),""))</f>
        <v/>
      </c>
      <c r="I109">
        <f>IF(B109="","",IFERROR(INDEX('2.현장'!$G$2:$G$1001,MATCH(106,'2.현장'!$AD$2:$AD$1001,0)),""))</f>
        <v/>
      </c>
      <c r="J109">
        <f>IF(B109="","",IFERROR(VLOOKUP(B109,업체_메모!$A$3:$I$302,2,FALSE)&amp;"",""))</f>
        <v/>
      </c>
      <c r="K109">
        <f>IF(B109="","",IFERROR(VLOOKUP(B109,업체_메모!$A$3:$I$302,4,FALSE)&amp;"",""))</f>
        <v/>
      </c>
      <c r="L109" s="7">
        <f>IF(B109="","",IF(COUNTIF('4.방문기록'!$B$3:$B$502,B109)=0,"",_xlfn.MAXIFS('4.방문기록'!$A$3:$A$502,'4.방문기록'!$B$3:$B$502,B109)))</f>
        <v/>
      </c>
      <c r="M109">
        <f>IF(L109="","",설정!$B$24-L109)</f>
        <v/>
      </c>
      <c r="N109">
        <f>IF(L109="","",IFERROR(INDEX('4.방문기록'!$H$3:$H$502,MATCH(B109&amp;"|"&amp;(L109*1),'4.방문기록'!$I$3:$I$502,0))&amp;"",""))</f>
        <v/>
      </c>
      <c r="O109">
        <f>IF(B109="","",IF(N109="관심 없음","제외",IF(L109="","안 가봄",IF(M109&gt;=설정!$B$20,M109&amp;"일 지남","최근 방문"))))</f>
        <v/>
      </c>
    </row>
    <row r="110">
      <c r="A110">
        <f>IF(B110="","",107)</f>
        <v/>
      </c>
      <c r="B110">
        <f>IFERROR(INDEX('2.현장'!$AC$2:$AC$1001,MATCH(107,'2.현장'!$AD$2:$AD$1001,0)),"")</f>
        <v/>
      </c>
      <c r="C110">
        <f>IF(B110="","",COUNTIFS('2.현장'!$AC$2:$AC$1001,B110,'2.현장'!$T$2:$T$1001,TRUE))</f>
        <v/>
      </c>
      <c r="D110">
        <f>IF(B110="","",COUNTIFS('2.현장'!$AC$2:$AC$1001,B110,'2.현장'!$T$2:$T$1001,TRUE,'2.현장'!$AA$2:$AA$1001,"★"))</f>
        <v/>
      </c>
      <c r="E110" s="5">
        <f>IF(B110="","",_xlfn.MAXIFS('2.현장'!$D$2:$D$1001,'2.현장'!$AC$2:$AC$1001,B110,'2.현장'!$T$2:$T$1001,TRUE))</f>
        <v/>
      </c>
      <c r="F110" s="7">
        <f>IF(B110="","",IF(_xlfn.MAXIFS('2.현장'!$M$2:$M$1001,'2.현장'!$AC$2:$AC$1001,B110,'2.현장'!$T$2:$T$1001,TRUE)=0,"",_xlfn.MAXIFS('2.현장'!$M$2:$M$1001,'2.현장'!$AC$2:$AC$1001,B110,'2.현장'!$T$2:$T$1001,TRUE)))</f>
        <v/>
      </c>
      <c r="G110">
        <f>IF(B110="","",IFERROR(INDEX('2.현장'!$C$2:$C$1001,MATCH(107,'2.현장'!$AD$2:$AD$1001,0)),""))</f>
        <v/>
      </c>
      <c r="H110">
        <f>IF(B110="","",IFERROR(INDEX('2.현장'!$N$2:$N$1001,MATCH(107,'2.현장'!$AD$2:$AD$1001,0)),""))</f>
        <v/>
      </c>
      <c r="I110">
        <f>IF(B110="","",IFERROR(INDEX('2.현장'!$G$2:$G$1001,MATCH(107,'2.현장'!$AD$2:$AD$1001,0)),""))</f>
        <v/>
      </c>
      <c r="J110">
        <f>IF(B110="","",IFERROR(VLOOKUP(B110,업체_메모!$A$3:$I$302,2,FALSE)&amp;"",""))</f>
        <v/>
      </c>
      <c r="K110">
        <f>IF(B110="","",IFERROR(VLOOKUP(B110,업체_메모!$A$3:$I$302,4,FALSE)&amp;"",""))</f>
        <v/>
      </c>
      <c r="L110" s="7">
        <f>IF(B110="","",IF(COUNTIF('4.방문기록'!$B$3:$B$502,B110)=0,"",_xlfn.MAXIFS('4.방문기록'!$A$3:$A$502,'4.방문기록'!$B$3:$B$502,B110)))</f>
        <v/>
      </c>
      <c r="M110">
        <f>IF(L110="","",설정!$B$24-L110)</f>
        <v/>
      </c>
      <c r="N110">
        <f>IF(L110="","",IFERROR(INDEX('4.방문기록'!$H$3:$H$502,MATCH(B110&amp;"|"&amp;(L110*1),'4.방문기록'!$I$3:$I$502,0))&amp;"",""))</f>
        <v/>
      </c>
      <c r="O110">
        <f>IF(B110="","",IF(N110="관심 없음","제외",IF(L110="","안 가봄",IF(M110&gt;=설정!$B$20,M110&amp;"일 지남","최근 방문"))))</f>
        <v/>
      </c>
    </row>
    <row r="111">
      <c r="A111">
        <f>IF(B111="","",108)</f>
        <v/>
      </c>
      <c r="B111">
        <f>IFERROR(INDEX('2.현장'!$AC$2:$AC$1001,MATCH(108,'2.현장'!$AD$2:$AD$1001,0)),"")</f>
        <v/>
      </c>
      <c r="C111">
        <f>IF(B111="","",COUNTIFS('2.현장'!$AC$2:$AC$1001,B111,'2.현장'!$T$2:$T$1001,TRUE))</f>
        <v/>
      </c>
      <c r="D111">
        <f>IF(B111="","",COUNTIFS('2.현장'!$AC$2:$AC$1001,B111,'2.현장'!$T$2:$T$1001,TRUE,'2.현장'!$AA$2:$AA$1001,"★"))</f>
        <v/>
      </c>
      <c r="E111" s="5">
        <f>IF(B111="","",_xlfn.MAXIFS('2.현장'!$D$2:$D$1001,'2.현장'!$AC$2:$AC$1001,B111,'2.현장'!$T$2:$T$1001,TRUE))</f>
        <v/>
      </c>
      <c r="F111" s="7">
        <f>IF(B111="","",IF(_xlfn.MAXIFS('2.현장'!$M$2:$M$1001,'2.현장'!$AC$2:$AC$1001,B111,'2.현장'!$T$2:$T$1001,TRUE)=0,"",_xlfn.MAXIFS('2.현장'!$M$2:$M$1001,'2.현장'!$AC$2:$AC$1001,B111,'2.현장'!$T$2:$T$1001,TRUE)))</f>
        <v/>
      </c>
      <c r="G111">
        <f>IF(B111="","",IFERROR(INDEX('2.현장'!$C$2:$C$1001,MATCH(108,'2.현장'!$AD$2:$AD$1001,0)),""))</f>
        <v/>
      </c>
      <c r="H111">
        <f>IF(B111="","",IFERROR(INDEX('2.현장'!$N$2:$N$1001,MATCH(108,'2.현장'!$AD$2:$AD$1001,0)),""))</f>
        <v/>
      </c>
      <c r="I111">
        <f>IF(B111="","",IFERROR(INDEX('2.현장'!$G$2:$G$1001,MATCH(108,'2.현장'!$AD$2:$AD$1001,0)),""))</f>
        <v/>
      </c>
      <c r="J111">
        <f>IF(B111="","",IFERROR(VLOOKUP(B111,업체_메모!$A$3:$I$302,2,FALSE)&amp;"",""))</f>
        <v/>
      </c>
      <c r="K111">
        <f>IF(B111="","",IFERROR(VLOOKUP(B111,업체_메모!$A$3:$I$302,4,FALSE)&amp;"",""))</f>
        <v/>
      </c>
      <c r="L111" s="7">
        <f>IF(B111="","",IF(COUNTIF('4.방문기록'!$B$3:$B$502,B111)=0,"",_xlfn.MAXIFS('4.방문기록'!$A$3:$A$502,'4.방문기록'!$B$3:$B$502,B111)))</f>
        <v/>
      </c>
      <c r="M111">
        <f>IF(L111="","",설정!$B$24-L111)</f>
        <v/>
      </c>
      <c r="N111">
        <f>IF(L111="","",IFERROR(INDEX('4.방문기록'!$H$3:$H$502,MATCH(B111&amp;"|"&amp;(L111*1),'4.방문기록'!$I$3:$I$502,0))&amp;"",""))</f>
        <v/>
      </c>
      <c r="O111">
        <f>IF(B111="","",IF(N111="관심 없음","제외",IF(L111="","안 가봄",IF(M111&gt;=설정!$B$20,M111&amp;"일 지남","최근 방문"))))</f>
        <v/>
      </c>
    </row>
    <row r="112">
      <c r="A112">
        <f>IF(B112="","",109)</f>
        <v/>
      </c>
      <c r="B112">
        <f>IFERROR(INDEX('2.현장'!$AC$2:$AC$1001,MATCH(109,'2.현장'!$AD$2:$AD$1001,0)),"")</f>
        <v/>
      </c>
      <c r="C112">
        <f>IF(B112="","",COUNTIFS('2.현장'!$AC$2:$AC$1001,B112,'2.현장'!$T$2:$T$1001,TRUE))</f>
        <v/>
      </c>
      <c r="D112">
        <f>IF(B112="","",COUNTIFS('2.현장'!$AC$2:$AC$1001,B112,'2.현장'!$T$2:$T$1001,TRUE,'2.현장'!$AA$2:$AA$1001,"★"))</f>
        <v/>
      </c>
      <c r="E112" s="5">
        <f>IF(B112="","",_xlfn.MAXIFS('2.현장'!$D$2:$D$1001,'2.현장'!$AC$2:$AC$1001,B112,'2.현장'!$T$2:$T$1001,TRUE))</f>
        <v/>
      </c>
      <c r="F112" s="7">
        <f>IF(B112="","",IF(_xlfn.MAXIFS('2.현장'!$M$2:$M$1001,'2.현장'!$AC$2:$AC$1001,B112,'2.현장'!$T$2:$T$1001,TRUE)=0,"",_xlfn.MAXIFS('2.현장'!$M$2:$M$1001,'2.현장'!$AC$2:$AC$1001,B112,'2.현장'!$T$2:$T$1001,TRUE)))</f>
        <v/>
      </c>
      <c r="G112">
        <f>IF(B112="","",IFERROR(INDEX('2.현장'!$C$2:$C$1001,MATCH(109,'2.현장'!$AD$2:$AD$1001,0)),""))</f>
        <v/>
      </c>
      <c r="H112">
        <f>IF(B112="","",IFERROR(INDEX('2.현장'!$N$2:$N$1001,MATCH(109,'2.현장'!$AD$2:$AD$1001,0)),""))</f>
        <v/>
      </c>
      <c r="I112">
        <f>IF(B112="","",IFERROR(INDEX('2.현장'!$G$2:$G$1001,MATCH(109,'2.현장'!$AD$2:$AD$1001,0)),""))</f>
        <v/>
      </c>
      <c r="J112">
        <f>IF(B112="","",IFERROR(VLOOKUP(B112,업체_메모!$A$3:$I$302,2,FALSE)&amp;"",""))</f>
        <v/>
      </c>
      <c r="K112">
        <f>IF(B112="","",IFERROR(VLOOKUP(B112,업체_메모!$A$3:$I$302,4,FALSE)&amp;"",""))</f>
        <v/>
      </c>
      <c r="L112" s="7">
        <f>IF(B112="","",IF(COUNTIF('4.방문기록'!$B$3:$B$502,B112)=0,"",_xlfn.MAXIFS('4.방문기록'!$A$3:$A$502,'4.방문기록'!$B$3:$B$502,B112)))</f>
        <v/>
      </c>
      <c r="M112">
        <f>IF(L112="","",설정!$B$24-L112)</f>
        <v/>
      </c>
      <c r="N112">
        <f>IF(L112="","",IFERROR(INDEX('4.방문기록'!$H$3:$H$502,MATCH(B112&amp;"|"&amp;(L112*1),'4.방문기록'!$I$3:$I$502,0))&amp;"",""))</f>
        <v/>
      </c>
      <c r="O112">
        <f>IF(B112="","",IF(N112="관심 없음","제외",IF(L112="","안 가봄",IF(M112&gt;=설정!$B$20,M112&amp;"일 지남","최근 방문"))))</f>
        <v/>
      </c>
    </row>
    <row r="113">
      <c r="A113">
        <f>IF(B113="","",110)</f>
        <v/>
      </c>
      <c r="B113">
        <f>IFERROR(INDEX('2.현장'!$AC$2:$AC$1001,MATCH(110,'2.현장'!$AD$2:$AD$1001,0)),"")</f>
        <v/>
      </c>
      <c r="C113">
        <f>IF(B113="","",COUNTIFS('2.현장'!$AC$2:$AC$1001,B113,'2.현장'!$T$2:$T$1001,TRUE))</f>
        <v/>
      </c>
      <c r="D113">
        <f>IF(B113="","",COUNTIFS('2.현장'!$AC$2:$AC$1001,B113,'2.현장'!$T$2:$T$1001,TRUE,'2.현장'!$AA$2:$AA$1001,"★"))</f>
        <v/>
      </c>
      <c r="E113" s="5">
        <f>IF(B113="","",_xlfn.MAXIFS('2.현장'!$D$2:$D$1001,'2.현장'!$AC$2:$AC$1001,B113,'2.현장'!$T$2:$T$1001,TRUE))</f>
        <v/>
      </c>
      <c r="F113" s="7">
        <f>IF(B113="","",IF(_xlfn.MAXIFS('2.현장'!$M$2:$M$1001,'2.현장'!$AC$2:$AC$1001,B113,'2.현장'!$T$2:$T$1001,TRUE)=0,"",_xlfn.MAXIFS('2.현장'!$M$2:$M$1001,'2.현장'!$AC$2:$AC$1001,B113,'2.현장'!$T$2:$T$1001,TRUE)))</f>
        <v/>
      </c>
      <c r="G113">
        <f>IF(B113="","",IFERROR(INDEX('2.현장'!$C$2:$C$1001,MATCH(110,'2.현장'!$AD$2:$AD$1001,0)),""))</f>
        <v/>
      </c>
      <c r="H113">
        <f>IF(B113="","",IFERROR(INDEX('2.현장'!$N$2:$N$1001,MATCH(110,'2.현장'!$AD$2:$AD$1001,0)),""))</f>
        <v/>
      </c>
      <c r="I113">
        <f>IF(B113="","",IFERROR(INDEX('2.현장'!$G$2:$G$1001,MATCH(110,'2.현장'!$AD$2:$AD$1001,0)),""))</f>
        <v/>
      </c>
      <c r="J113">
        <f>IF(B113="","",IFERROR(VLOOKUP(B113,업체_메모!$A$3:$I$302,2,FALSE)&amp;"",""))</f>
        <v/>
      </c>
      <c r="K113">
        <f>IF(B113="","",IFERROR(VLOOKUP(B113,업체_메모!$A$3:$I$302,4,FALSE)&amp;"",""))</f>
        <v/>
      </c>
      <c r="L113" s="7">
        <f>IF(B113="","",IF(COUNTIF('4.방문기록'!$B$3:$B$502,B113)=0,"",_xlfn.MAXIFS('4.방문기록'!$A$3:$A$502,'4.방문기록'!$B$3:$B$502,B113)))</f>
        <v/>
      </c>
      <c r="M113">
        <f>IF(L113="","",설정!$B$24-L113)</f>
        <v/>
      </c>
      <c r="N113">
        <f>IF(L113="","",IFERROR(INDEX('4.방문기록'!$H$3:$H$502,MATCH(B113&amp;"|"&amp;(L113*1),'4.방문기록'!$I$3:$I$502,0))&amp;"",""))</f>
        <v/>
      </c>
      <c r="O113">
        <f>IF(B113="","",IF(N113="관심 없음","제외",IF(L113="","안 가봄",IF(M113&gt;=설정!$B$20,M113&amp;"일 지남","최근 방문"))))</f>
        <v/>
      </c>
    </row>
    <row r="114">
      <c r="A114">
        <f>IF(B114="","",111)</f>
        <v/>
      </c>
      <c r="B114">
        <f>IFERROR(INDEX('2.현장'!$AC$2:$AC$1001,MATCH(111,'2.현장'!$AD$2:$AD$1001,0)),"")</f>
        <v/>
      </c>
      <c r="C114">
        <f>IF(B114="","",COUNTIFS('2.현장'!$AC$2:$AC$1001,B114,'2.현장'!$T$2:$T$1001,TRUE))</f>
        <v/>
      </c>
      <c r="D114">
        <f>IF(B114="","",COUNTIFS('2.현장'!$AC$2:$AC$1001,B114,'2.현장'!$T$2:$T$1001,TRUE,'2.현장'!$AA$2:$AA$1001,"★"))</f>
        <v/>
      </c>
      <c r="E114" s="5">
        <f>IF(B114="","",_xlfn.MAXIFS('2.현장'!$D$2:$D$1001,'2.현장'!$AC$2:$AC$1001,B114,'2.현장'!$T$2:$T$1001,TRUE))</f>
        <v/>
      </c>
      <c r="F114" s="7">
        <f>IF(B114="","",IF(_xlfn.MAXIFS('2.현장'!$M$2:$M$1001,'2.현장'!$AC$2:$AC$1001,B114,'2.현장'!$T$2:$T$1001,TRUE)=0,"",_xlfn.MAXIFS('2.현장'!$M$2:$M$1001,'2.현장'!$AC$2:$AC$1001,B114,'2.현장'!$T$2:$T$1001,TRUE)))</f>
        <v/>
      </c>
      <c r="G114">
        <f>IF(B114="","",IFERROR(INDEX('2.현장'!$C$2:$C$1001,MATCH(111,'2.현장'!$AD$2:$AD$1001,0)),""))</f>
        <v/>
      </c>
      <c r="H114">
        <f>IF(B114="","",IFERROR(INDEX('2.현장'!$N$2:$N$1001,MATCH(111,'2.현장'!$AD$2:$AD$1001,0)),""))</f>
        <v/>
      </c>
      <c r="I114">
        <f>IF(B114="","",IFERROR(INDEX('2.현장'!$G$2:$G$1001,MATCH(111,'2.현장'!$AD$2:$AD$1001,0)),""))</f>
        <v/>
      </c>
      <c r="J114">
        <f>IF(B114="","",IFERROR(VLOOKUP(B114,업체_메모!$A$3:$I$302,2,FALSE)&amp;"",""))</f>
        <v/>
      </c>
      <c r="K114">
        <f>IF(B114="","",IFERROR(VLOOKUP(B114,업체_메모!$A$3:$I$302,4,FALSE)&amp;"",""))</f>
        <v/>
      </c>
      <c r="L114" s="7">
        <f>IF(B114="","",IF(COUNTIF('4.방문기록'!$B$3:$B$502,B114)=0,"",_xlfn.MAXIFS('4.방문기록'!$A$3:$A$502,'4.방문기록'!$B$3:$B$502,B114)))</f>
        <v/>
      </c>
      <c r="M114">
        <f>IF(L114="","",설정!$B$24-L114)</f>
        <v/>
      </c>
      <c r="N114">
        <f>IF(L114="","",IFERROR(INDEX('4.방문기록'!$H$3:$H$502,MATCH(B114&amp;"|"&amp;(L114*1),'4.방문기록'!$I$3:$I$502,0))&amp;"",""))</f>
        <v/>
      </c>
      <c r="O114">
        <f>IF(B114="","",IF(N114="관심 없음","제외",IF(L114="","안 가봄",IF(M114&gt;=설정!$B$20,M114&amp;"일 지남","최근 방문"))))</f>
        <v/>
      </c>
    </row>
    <row r="115">
      <c r="A115">
        <f>IF(B115="","",112)</f>
        <v/>
      </c>
      <c r="B115">
        <f>IFERROR(INDEX('2.현장'!$AC$2:$AC$1001,MATCH(112,'2.현장'!$AD$2:$AD$1001,0)),"")</f>
        <v/>
      </c>
      <c r="C115">
        <f>IF(B115="","",COUNTIFS('2.현장'!$AC$2:$AC$1001,B115,'2.현장'!$T$2:$T$1001,TRUE))</f>
        <v/>
      </c>
      <c r="D115">
        <f>IF(B115="","",COUNTIFS('2.현장'!$AC$2:$AC$1001,B115,'2.현장'!$T$2:$T$1001,TRUE,'2.현장'!$AA$2:$AA$1001,"★"))</f>
        <v/>
      </c>
      <c r="E115" s="5">
        <f>IF(B115="","",_xlfn.MAXIFS('2.현장'!$D$2:$D$1001,'2.현장'!$AC$2:$AC$1001,B115,'2.현장'!$T$2:$T$1001,TRUE))</f>
        <v/>
      </c>
      <c r="F115" s="7">
        <f>IF(B115="","",IF(_xlfn.MAXIFS('2.현장'!$M$2:$M$1001,'2.현장'!$AC$2:$AC$1001,B115,'2.현장'!$T$2:$T$1001,TRUE)=0,"",_xlfn.MAXIFS('2.현장'!$M$2:$M$1001,'2.현장'!$AC$2:$AC$1001,B115,'2.현장'!$T$2:$T$1001,TRUE)))</f>
        <v/>
      </c>
      <c r="G115">
        <f>IF(B115="","",IFERROR(INDEX('2.현장'!$C$2:$C$1001,MATCH(112,'2.현장'!$AD$2:$AD$1001,0)),""))</f>
        <v/>
      </c>
      <c r="H115">
        <f>IF(B115="","",IFERROR(INDEX('2.현장'!$N$2:$N$1001,MATCH(112,'2.현장'!$AD$2:$AD$1001,0)),""))</f>
        <v/>
      </c>
      <c r="I115">
        <f>IF(B115="","",IFERROR(INDEX('2.현장'!$G$2:$G$1001,MATCH(112,'2.현장'!$AD$2:$AD$1001,0)),""))</f>
        <v/>
      </c>
      <c r="J115">
        <f>IF(B115="","",IFERROR(VLOOKUP(B115,업체_메모!$A$3:$I$302,2,FALSE)&amp;"",""))</f>
        <v/>
      </c>
      <c r="K115">
        <f>IF(B115="","",IFERROR(VLOOKUP(B115,업체_메모!$A$3:$I$302,4,FALSE)&amp;"",""))</f>
        <v/>
      </c>
      <c r="L115" s="7">
        <f>IF(B115="","",IF(COUNTIF('4.방문기록'!$B$3:$B$502,B115)=0,"",_xlfn.MAXIFS('4.방문기록'!$A$3:$A$502,'4.방문기록'!$B$3:$B$502,B115)))</f>
        <v/>
      </c>
      <c r="M115">
        <f>IF(L115="","",설정!$B$24-L115)</f>
        <v/>
      </c>
      <c r="N115">
        <f>IF(L115="","",IFERROR(INDEX('4.방문기록'!$H$3:$H$502,MATCH(B115&amp;"|"&amp;(L115*1),'4.방문기록'!$I$3:$I$502,0))&amp;"",""))</f>
        <v/>
      </c>
      <c r="O115">
        <f>IF(B115="","",IF(N115="관심 없음","제외",IF(L115="","안 가봄",IF(M115&gt;=설정!$B$20,M115&amp;"일 지남","최근 방문"))))</f>
        <v/>
      </c>
    </row>
    <row r="116">
      <c r="A116">
        <f>IF(B116="","",113)</f>
        <v/>
      </c>
      <c r="B116">
        <f>IFERROR(INDEX('2.현장'!$AC$2:$AC$1001,MATCH(113,'2.현장'!$AD$2:$AD$1001,0)),"")</f>
        <v/>
      </c>
      <c r="C116">
        <f>IF(B116="","",COUNTIFS('2.현장'!$AC$2:$AC$1001,B116,'2.현장'!$T$2:$T$1001,TRUE))</f>
        <v/>
      </c>
      <c r="D116">
        <f>IF(B116="","",COUNTIFS('2.현장'!$AC$2:$AC$1001,B116,'2.현장'!$T$2:$T$1001,TRUE,'2.현장'!$AA$2:$AA$1001,"★"))</f>
        <v/>
      </c>
      <c r="E116" s="5">
        <f>IF(B116="","",_xlfn.MAXIFS('2.현장'!$D$2:$D$1001,'2.현장'!$AC$2:$AC$1001,B116,'2.현장'!$T$2:$T$1001,TRUE))</f>
        <v/>
      </c>
      <c r="F116" s="7">
        <f>IF(B116="","",IF(_xlfn.MAXIFS('2.현장'!$M$2:$M$1001,'2.현장'!$AC$2:$AC$1001,B116,'2.현장'!$T$2:$T$1001,TRUE)=0,"",_xlfn.MAXIFS('2.현장'!$M$2:$M$1001,'2.현장'!$AC$2:$AC$1001,B116,'2.현장'!$T$2:$T$1001,TRUE)))</f>
        <v/>
      </c>
      <c r="G116">
        <f>IF(B116="","",IFERROR(INDEX('2.현장'!$C$2:$C$1001,MATCH(113,'2.현장'!$AD$2:$AD$1001,0)),""))</f>
        <v/>
      </c>
      <c r="H116">
        <f>IF(B116="","",IFERROR(INDEX('2.현장'!$N$2:$N$1001,MATCH(113,'2.현장'!$AD$2:$AD$1001,0)),""))</f>
        <v/>
      </c>
      <c r="I116">
        <f>IF(B116="","",IFERROR(INDEX('2.현장'!$G$2:$G$1001,MATCH(113,'2.현장'!$AD$2:$AD$1001,0)),""))</f>
        <v/>
      </c>
      <c r="J116">
        <f>IF(B116="","",IFERROR(VLOOKUP(B116,업체_메모!$A$3:$I$302,2,FALSE)&amp;"",""))</f>
        <v/>
      </c>
      <c r="K116">
        <f>IF(B116="","",IFERROR(VLOOKUP(B116,업체_메모!$A$3:$I$302,4,FALSE)&amp;"",""))</f>
        <v/>
      </c>
      <c r="L116" s="7">
        <f>IF(B116="","",IF(COUNTIF('4.방문기록'!$B$3:$B$502,B116)=0,"",_xlfn.MAXIFS('4.방문기록'!$A$3:$A$502,'4.방문기록'!$B$3:$B$502,B116)))</f>
        <v/>
      </c>
      <c r="M116">
        <f>IF(L116="","",설정!$B$24-L116)</f>
        <v/>
      </c>
      <c r="N116">
        <f>IF(L116="","",IFERROR(INDEX('4.방문기록'!$H$3:$H$502,MATCH(B116&amp;"|"&amp;(L116*1),'4.방문기록'!$I$3:$I$502,0))&amp;"",""))</f>
        <v/>
      </c>
      <c r="O116">
        <f>IF(B116="","",IF(N116="관심 없음","제외",IF(L116="","안 가봄",IF(M116&gt;=설정!$B$20,M116&amp;"일 지남","최근 방문"))))</f>
        <v/>
      </c>
    </row>
    <row r="117">
      <c r="A117">
        <f>IF(B117="","",114)</f>
        <v/>
      </c>
      <c r="B117">
        <f>IFERROR(INDEX('2.현장'!$AC$2:$AC$1001,MATCH(114,'2.현장'!$AD$2:$AD$1001,0)),"")</f>
        <v/>
      </c>
      <c r="C117">
        <f>IF(B117="","",COUNTIFS('2.현장'!$AC$2:$AC$1001,B117,'2.현장'!$T$2:$T$1001,TRUE))</f>
        <v/>
      </c>
      <c r="D117">
        <f>IF(B117="","",COUNTIFS('2.현장'!$AC$2:$AC$1001,B117,'2.현장'!$T$2:$T$1001,TRUE,'2.현장'!$AA$2:$AA$1001,"★"))</f>
        <v/>
      </c>
      <c r="E117" s="5">
        <f>IF(B117="","",_xlfn.MAXIFS('2.현장'!$D$2:$D$1001,'2.현장'!$AC$2:$AC$1001,B117,'2.현장'!$T$2:$T$1001,TRUE))</f>
        <v/>
      </c>
      <c r="F117" s="7">
        <f>IF(B117="","",IF(_xlfn.MAXIFS('2.현장'!$M$2:$M$1001,'2.현장'!$AC$2:$AC$1001,B117,'2.현장'!$T$2:$T$1001,TRUE)=0,"",_xlfn.MAXIFS('2.현장'!$M$2:$M$1001,'2.현장'!$AC$2:$AC$1001,B117,'2.현장'!$T$2:$T$1001,TRUE)))</f>
        <v/>
      </c>
      <c r="G117">
        <f>IF(B117="","",IFERROR(INDEX('2.현장'!$C$2:$C$1001,MATCH(114,'2.현장'!$AD$2:$AD$1001,0)),""))</f>
        <v/>
      </c>
      <c r="H117">
        <f>IF(B117="","",IFERROR(INDEX('2.현장'!$N$2:$N$1001,MATCH(114,'2.현장'!$AD$2:$AD$1001,0)),""))</f>
        <v/>
      </c>
      <c r="I117">
        <f>IF(B117="","",IFERROR(INDEX('2.현장'!$G$2:$G$1001,MATCH(114,'2.현장'!$AD$2:$AD$1001,0)),""))</f>
        <v/>
      </c>
      <c r="J117">
        <f>IF(B117="","",IFERROR(VLOOKUP(B117,업체_메모!$A$3:$I$302,2,FALSE)&amp;"",""))</f>
        <v/>
      </c>
      <c r="K117">
        <f>IF(B117="","",IFERROR(VLOOKUP(B117,업체_메모!$A$3:$I$302,4,FALSE)&amp;"",""))</f>
        <v/>
      </c>
      <c r="L117" s="7">
        <f>IF(B117="","",IF(COUNTIF('4.방문기록'!$B$3:$B$502,B117)=0,"",_xlfn.MAXIFS('4.방문기록'!$A$3:$A$502,'4.방문기록'!$B$3:$B$502,B117)))</f>
        <v/>
      </c>
      <c r="M117">
        <f>IF(L117="","",설정!$B$24-L117)</f>
        <v/>
      </c>
      <c r="N117">
        <f>IF(L117="","",IFERROR(INDEX('4.방문기록'!$H$3:$H$502,MATCH(B117&amp;"|"&amp;(L117*1),'4.방문기록'!$I$3:$I$502,0))&amp;"",""))</f>
        <v/>
      </c>
      <c r="O117">
        <f>IF(B117="","",IF(N117="관심 없음","제외",IF(L117="","안 가봄",IF(M117&gt;=설정!$B$20,M117&amp;"일 지남","최근 방문"))))</f>
        <v/>
      </c>
    </row>
    <row r="118">
      <c r="A118">
        <f>IF(B118="","",115)</f>
        <v/>
      </c>
      <c r="B118">
        <f>IFERROR(INDEX('2.현장'!$AC$2:$AC$1001,MATCH(115,'2.현장'!$AD$2:$AD$1001,0)),"")</f>
        <v/>
      </c>
      <c r="C118">
        <f>IF(B118="","",COUNTIFS('2.현장'!$AC$2:$AC$1001,B118,'2.현장'!$T$2:$T$1001,TRUE))</f>
        <v/>
      </c>
      <c r="D118">
        <f>IF(B118="","",COUNTIFS('2.현장'!$AC$2:$AC$1001,B118,'2.현장'!$T$2:$T$1001,TRUE,'2.현장'!$AA$2:$AA$1001,"★"))</f>
        <v/>
      </c>
      <c r="E118" s="5">
        <f>IF(B118="","",_xlfn.MAXIFS('2.현장'!$D$2:$D$1001,'2.현장'!$AC$2:$AC$1001,B118,'2.현장'!$T$2:$T$1001,TRUE))</f>
        <v/>
      </c>
      <c r="F118" s="7">
        <f>IF(B118="","",IF(_xlfn.MAXIFS('2.현장'!$M$2:$M$1001,'2.현장'!$AC$2:$AC$1001,B118,'2.현장'!$T$2:$T$1001,TRUE)=0,"",_xlfn.MAXIFS('2.현장'!$M$2:$M$1001,'2.현장'!$AC$2:$AC$1001,B118,'2.현장'!$T$2:$T$1001,TRUE)))</f>
        <v/>
      </c>
      <c r="G118">
        <f>IF(B118="","",IFERROR(INDEX('2.현장'!$C$2:$C$1001,MATCH(115,'2.현장'!$AD$2:$AD$1001,0)),""))</f>
        <v/>
      </c>
      <c r="H118">
        <f>IF(B118="","",IFERROR(INDEX('2.현장'!$N$2:$N$1001,MATCH(115,'2.현장'!$AD$2:$AD$1001,0)),""))</f>
        <v/>
      </c>
      <c r="I118">
        <f>IF(B118="","",IFERROR(INDEX('2.현장'!$G$2:$G$1001,MATCH(115,'2.현장'!$AD$2:$AD$1001,0)),""))</f>
        <v/>
      </c>
      <c r="J118">
        <f>IF(B118="","",IFERROR(VLOOKUP(B118,업체_메모!$A$3:$I$302,2,FALSE)&amp;"",""))</f>
        <v/>
      </c>
      <c r="K118">
        <f>IF(B118="","",IFERROR(VLOOKUP(B118,업체_메모!$A$3:$I$302,4,FALSE)&amp;"",""))</f>
        <v/>
      </c>
      <c r="L118" s="7">
        <f>IF(B118="","",IF(COUNTIF('4.방문기록'!$B$3:$B$502,B118)=0,"",_xlfn.MAXIFS('4.방문기록'!$A$3:$A$502,'4.방문기록'!$B$3:$B$502,B118)))</f>
        <v/>
      </c>
      <c r="M118">
        <f>IF(L118="","",설정!$B$24-L118)</f>
        <v/>
      </c>
      <c r="N118">
        <f>IF(L118="","",IFERROR(INDEX('4.방문기록'!$H$3:$H$502,MATCH(B118&amp;"|"&amp;(L118*1),'4.방문기록'!$I$3:$I$502,0))&amp;"",""))</f>
        <v/>
      </c>
      <c r="O118">
        <f>IF(B118="","",IF(N118="관심 없음","제외",IF(L118="","안 가봄",IF(M118&gt;=설정!$B$20,M118&amp;"일 지남","최근 방문"))))</f>
        <v/>
      </c>
    </row>
    <row r="119">
      <c r="A119">
        <f>IF(B119="","",116)</f>
        <v/>
      </c>
      <c r="B119">
        <f>IFERROR(INDEX('2.현장'!$AC$2:$AC$1001,MATCH(116,'2.현장'!$AD$2:$AD$1001,0)),"")</f>
        <v/>
      </c>
      <c r="C119">
        <f>IF(B119="","",COUNTIFS('2.현장'!$AC$2:$AC$1001,B119,'2.현장'!$T$2:$T$1001,TRUE))</f>
        <v/>
      </c>
      <c r="D119">
        <f>IF(B119="","",COUNTIFS('2.현장'!$AC$2:$AC$1001,B119,'2.현장'!$T$2:$T$1001,TRUE,'2.현장'!$AA$2:$AA$1001,"★"))</f>
        <v/>
      </c>
      <c r="E119" s="5">
        <f>IF(B119="","",_xlfn.MAXIFS('2.현장'!$D$2:$D$1001,'2.현장'!$AC$2:$AC$1001,B119,'2.현장'!$T$2:$T$1001,TRUE))</f>
        <v/>
      </c>
      <c r="F119" s="7">
        <f>IF(B119="","",IF(_xlfn.MAXIFS('2.현장'!$M$2:$M$1001,'2.현장'!$AC$2:$AC$1001,B119,'2.현장'!$T$2:$T$1001,TRUE)=0,"",_xlfn.MAXIFS('2.현장'!$M$2:$M$1001,'2.현장'!$AC$2:$AC$1001,B119,'2.현장'!$T$2:$T$1001,TRUE)))</f>
        <v/>
      </c>
      <c r="G119">
        <f>IF(B119="","",IFERROR(INDEX('2.현장'!$C$2:$C$1001,MATCH(116,'2.현장'!$AD$2:$AD$1001,0)),""))</f>
        <v/>
      </c>
      <c r="H119">
        <f>IF(B119="","",IFERROR(INDEX('2.현장'!$N$2:$N$1001,MATCH(116,'2.현장'!$AD$2:$AD$1001,0)),""))</f>
        <v/>
      </c>
      <c r="I119">
        <f>IF(B119="","",IFERROR(INDEX('2.현장'!$G$2:$G$1001,MATCH(116,'2.현장'!$AD$2:$AD$1001,0)),""))</f>
        <v/>
      </c>
      <c r="J119">
        <f>IF(B119="","",IFERROR(VLOOKUP(B119,업체_메모!$A$3:$I$302,2,FALSE)&amp;"",""))</f>
        <v/>
      </c>
      <c r="K119">
        <f>IF(B119="","",IFERROR(VLOOKUP(B119,업체_메모!$A$3:$I$302,4,FALSE)&amp;"",""))</f>
        <v/>
      </c>
      <c r="L119" s="7">
        <f>IF(B119="","",IF(COUNTIF('4.방문기록'!$B$3:$B$502,B119)=0,"",_xlfn.MAXIFS('4.방문기록'!$A$3:$A$502,'4.방문기록'!$B$3:$B$502,B119)))</f>
        <v/>
      </c>
      <c r="M119">
        <f>IF(L119="","",설정!$B$24-L119)</f>
        <v/>
      </c>
      <c r="N119">
        <f>IF(L119="","",IFERROR(INDEX('4.방문기록'!$H$3:$H$502,MATCH(B119&amp;"|"&amp;(L119*1),'4.방문기록'!$I$3:$I$502,0))&amp;"",""))</f>
        <v/>
      </c>
      <c r="O119">
        <f>IF(B119="","",IF(N119="관심 없음","제외",IF(L119="","안 가봄",IF(M119&gt;=설정!$B$20,M119&amp;"일 지남","최근 방문"))))</f>
        <v/>
      </c>
    </row>
    <row r="120">
      <c r="A120">
        <f>IF(B120="","",117)</f>
        <v/>
      </c>
      <c r="B120">
        <f>IFERROR(INDEX('2.현장'!$AC$2:$AC$1001,MATCH(117,'2.현장'!$AD$2:$AD$1001,0)),"")</f>
        <v/>
      </c>
      <c r="C120">
        <f>IF(B120="","",COUNTIFS('2.현장'!$AC$2:$AC$1001,B120,'2.현장'!$T$2:$T$1001,TRUE))</f>
        <v/>
      </c>
      <c r="D120">
        <f>IF(B120="","",COUNTIFS('2.현장'!$AC$2:$AC$1001,B120,'2.현장'!$T$2:$T$1001,TRUE,'2.현장'!$AA$2:$AA$1001,"★"))</f>
        <v/>
      </c>
      <c r="E120" s="5">
        <f>IF(B120="","",_xlfn.MAXIFS('2.현장'!$D$2:$D$1001,'2.현장'!$AC$2:$AC$1001,B120,'2.현장'!$T$2:$T$1001,TRUE))</f>
        <v/>
      </c>
      <c r="F120" s="7">
        <f>IF(B120="","",IF(_xlfn.MAXIFS('2.현장'!$M$2:$M$1001,'2.현장'!$AC$2:$AC$1001,B120,'2.현장'!$T$2:$T$1001,TRUE)=0,"",_xlfn.MAXIFS('2.현장'!$M$2:$M$1001,'2.현장'!$AC$2:$AC$1001,B120,'2.현장'!$T$2:$T$1001,TRUE)))</f>
        <v/>
      </c>
      <c r="G120">
        <f>IF(B120="","",IFERROR(INDEX('2.현장'!$C$2:$C$1001,MATCH(117,'2.현장'!$AD$2:$AD$1001,0)),""))</f>
        <v/>
      </c>
      <c r="H120">
        <f>IF(B120="","",IFERROR(INDEX('2.현장'!$N$2:$N$1001,MATCH(117,'2.현장'!$AD$2:$AD$1001,0)),""))</f>
        <v/>
      </c>
      <c r="I120">
        <f>IF(B120="","",IFERROR(INDEX('2.현장'!$G$2:$G$1001,MATCH(117,'2.현장'!$AD$2:$AD$1001,0)),""))</f>
        <v/>
      </c>
      <c r="J120">
        <f>IF(B120="","",IFERROR(VLOOKUP(B120,업체_메모!$A$3:$I$302,2,FALSE)&amp;"",""))</f>
        <v/>
      </c>
      <c r="K120">
        <f>IF(B120="","",IFERROR(VLOOKUP(B120,업체_메모!$A$3:$I$302,4,FALSE)&amp;"",""))</f>
        <v/>
      </c>
      <c r="L120" s="7">
        <f>IF(B120="","",IF(COUNTIF('4.방문기록'!$B$3:$B$502,B120)=0,"",_xlfn.MAXIFS('4.방문기록'!$A$3:$A$502,'4.방문기록'!$B$3:$B$502,B120)))</f>
        <v/>
      </c>
      <c r="M120">
        <f>IF(L120="","",설정!$B$24-L120)</f>
        <v/>
      </c>
      <c r="N120">
        <f>IF(L120="","",IFERROR(INDEX('4.방문기록'!$H$3:$H$502,MATCH(B120&amp;"|"&amp;(L120*1),'4.방문기록'!$I$3:$I$502,0))&amp;"",""))</f>
        <v/>
      </c>
      <c r="O120">
        <f>IF(B120="","",IF(N120="관심 없음","제외",IF(L120="","안 가봄",IF(M120&gt;=설정!$B$20,M120&amp;"일 지남","최근 방문"))))</f>
        <v/>
      </c>
    </row>
    <row r="121">
      <c r="A121">
        <f>IF(B121="","",118)</f>
        <v/>
      </c>
      <c r="B121">
        <f>IFERROR(INDEX('2.현장'!$AC$2:$AC$1001,MATCH(118,'2.현장'!$AD$2:$AD$1001,0)),"")</f>
        <v/>
      </c>
      <c r="C121">
        <f>IF(B121="","",COUNTIFS('2.현장'!$AC$2:$AC$1001,B121,'2.현장'!$T$2:$T$1001,TRUE))</f>
        <v/>
      </c>
      <c r="D121">
        <f>IF(B121="","",COUNTIFS('2.현장'!$AC$2:$AC$1001,B121,'2.현장'!$T$2:$T$1001,TRUE,'2.현장'!$AA$2:$AA$1001,"★"))</f>
        <v/>
      </c>
      <c r="E121" s="5">
        <f>IF(B121="","",_xlfn.MAXIFS('2.현장'!$D$2:$D$1001,'2.현장'!$AC$2:$AC$1001,B121,'2.현장'!$T$2:$T$1001,TRUE))</f>
        <v/>
      </c>
      <c r="F121" s="7">
        <f>IF(B121="","",IF(_xlfn.MAXIFS('2.현장'!$M$2:$M$1001,'2.현장'!$AC$2:$AC$1001,B121,'2.현장'!$T$2:$T$1001,TRUE)=0,"",_xlfn.MAXIFS('2.현장'!$M$2:$M$1001,'2.현장'!$AC$2:$AC$1001,B121,'2.현장'!$T$2:$T$1001,TRUE)))</f>
        <v/>
      </c>
      <c r="G121">
        <f>IF(B121="","",IFERROR(INDEX('2.현장'!$C$2:$C$1001,MATCH(118,'2.현장'!$AD$2:$AD$1001,0)),""))</f>
        <v/>
      </c>
      <c r="H121">
        <f>IF(B121="","",IFERROR(INDEX('2.현장'!$N$2:$N$1001,MATCH(118,'2.현장'!$AD$2:$AD$1001,0)),""))</f>
        <v/>
      </c>
      <c r="I121">
        <f>IF(B121="","",IFERROR(INDEX('2.현장'!$G$2:$G$1001,MATCH(118,'2.현장'!$AD$2:$AD$1001,0)),""))</f>
        <v/>
      </c>
      <c r="J121">
        <f>IF(B121="","",IFERROR(VLOOKUP(B121,업체_메모!$A$3:$I$302,2,FALSE)&amp;"",""))</f>
        <v/>
      </c>
      <c r="K121">
        <f>IF(B121="","",IFERROR(VLOOKUP(B121,업체_메모!$A$3:$I$302,4,FALSE)&amp;"",""))</f>
        <v/>
      </c>
      <c r="L121" s="7">
        <f>IF(B121="","",IF(COUNTIF('4.방문기록'!$B$3:$B$502,B121)=0,"",_xlfn.MAXIFS('4.방문기록'!$A$3:$A$502,'4.방문기록'!$B$3:$B$502,B121)))</f>
        <v/>
      </c>
      <c r="M121">
        <f>IF(L121="","",설정!$B$24-L121)</f>
        <v/>
      </c>
      <c r="N121">
        <f>IF(L121="","",IFERROR(INDEX('4.방문기록'!$H$3:$H$502,MATCH(B121&amp;"|"&amp;(L121*1),'4.방문기록'!$I$3:$I$502,0))&amp;"",""))</f>
        <v/>
      </c>
      <c r="O121">
        <f>IF(B121="","",IF(N121="관심 없음","제외",IF(L121="","안 가봄",IF(M121&gt;=설정!$B$20,M121&amp;"일 지남","최근 방문"))))</f>
        <v/>
      </c>
    </row>
    <row r="122">
      <c r="A122">
        <f>IF(B122="","",119)</f>
        <v/>
      </c>
      <c r="B122">
        <f>IFERROR(INDEX('2.현장'!$AC$2:$AC$1001,MATCH(119,'2.현장'!$AD$2:$AD$1001,0)),"")</f>
        <v/>
      </c>
      <c r="C122">
        <f>IF(B122="","",COUNTIFS('2.현장'!$AC$2:$AC$1001,B122,'2.현장'!$T$2:$T$1001,TRUE))</f>
        <v/>
      </c>
      <c r="D122">
        <f>IF(B122="","",COUNTIFS('2.현장'!$AC$2:$AC$1001,B122,'2.현장'!$T$2:$T$1001,TRUE,'2.현장'!$AA$2:$AA$1001,"★"))</f>
        <v/>
      </c>
      <c r="E122" s="5">
        <f>IF(B122="","",_xlfn.MAXIFS('2.현장'!$D$2:$D$1001,'2.현장'!$AC$2:$AC$1001,B122,'2.현장'!$T$2:$T$1001,TRUE))</f>
        <v/>
      </c>
      <c r="F122" s="7">
        <f>IF(B122="","",IF(_xlfn.MAXIFS('2.현장'!$M$2:$M$1001,'2.현장'!$AC$2:$AC$1001,B122,'2.현장'!$T$2:$T$1001,TRUE)=0,"",_xlfn.MAXIFS('2.현장'!$M$2:$M$1001,'2.현장'!$AC$2:$AC$1001,B122,'2.현장'!$T$2:$T$1001,TRUE)))</f>
        <v/>
      </c>
      <c r="G122">
        <f>IF(B122="","",IFERROR(INDEX('2.현장'!$C$2:$C$1001,MATCH(119,'2.현장'!$AD$2:$AD$1001,0)),""))</f>
        <v/>
      </c>
      <c r="H122">
        <f>IF(B122="","",IFERROR(INDEX('2.현장'!$N$2:$N$1001,MATCH(119,'2.현장'!$AD$2:$AD$1001,0)),""))</f>
        <v/>
      </c>
      <c r="I122">
        <f>IF(B122="","",IFERROR(INDEX('2.현장'!$G$2:$G$1001,MATCH(119,'2.현장'!$AD$2:$AD$1001,0)),""))</f>
        <v/>
      </c>
      <c r="J122">
        <f>IF(B122="","",IFERROR(VLOOKUP(B122,업체_메모!$A$3:$I$302,2,FALSE)&amp;"",""))</f>
        <v/>
      </c>
      <c r="K122">
        <f>IF(B122="","",IFERROR(VLOOKUP(B122,업체_메모!$A$3:$I$302,4,FALSE)&amp;"",""))</f>
        <v/>
      </c>
      <c r="L122" s="7">
        <f>IF(B122="","",IF(COUNTIF('4.방문기록'!$B$3:$B$502,B122)=0,"",_xlfn.MAXIFS('4.방문기록'!$A$3:$A$502,'4.방문기록'!$B$3:$B$502,B122)))</f>
        <v/>
      </c>
      <c r="M122">
        <f>IF(L122="","",설정!$B$24-L122)</f>
        <v/>
      </c>
      <c r="N122">
        <f>IF(L122="","",IFERROR(INDEX('4.방문기록'!$H$3:$H$502,MATCH(B122&amp;"|"&amp;(L122*1),'4.방문기록'!$I$3:$I$502,0))&amp;"",""))</f>
        <v/>
      </c>
      <c r="O122">
        <f>IF(B122="","",IF(N122="관심 없음","제외",IF(L122="","안 가봄",IF(M122&gt;=설정!$B$20,M122&amp;"일 지남","최근 방문"))))</f>
        <v/>
      </c>
    </row>
    <row r="123">
      <c r="A123">
        <f>IF(B123="","",120)</f>
        <v/>
      </c>
      <c r="B123">
        <f>IFERROR(INDEX('2.현장'!$AC$2:$AC$1001,MATCH(120,'2.현장'!$AD$2:$AD$1001,0)),"")</f>
        <v/>
      </c>
      <c r="C123">
        <f>IF(B123="","",COUNTIFS('2.현장'!$AC$2:$AC$1001,B123,'2.현장'!$T$2:$T$1001,TRUE))</f>
        <v/>
      </c>
      <c r="D123">
        <f>IF(B123="","",COUNTIFS('2.현장'!$AC$2:$AC$1001,B123,'2.현장'!$T$2:$T$1001,TRUE,'2.현장'!$AA$2:$AA$1001,"★"))</f>
        <v/>
      </c>
      <c r="E123" s="5">
        <f>IF(B123="","",_xlfn.MAXIFS('2.현장'!$D$2:$D$1001,'2.현장'!$AC$2:$AC$1001,B123,'2.현장'!$T$2:$T$1001,TRUE))</f>
        <v/>
      </c>
      <c r="F123" s="7">
        <f>IF(B123="","",IF(_xlfn.MAXIFS('2.현장'!$M$2:$M$1001,'2.현장'!$AC$2:$AC$1001,B123,'2.현장'!$T$2:$T$1001,TRUE)=0,"",_xlfn.MAXIFS('2.현장'!$M$2:$M$1001,'2.현장'!$AC$2:$AC$1001,B123,'2.현장'!$T$2:$T$1001,TRUE)))</f>
        <v/>
      </c>
      <c r="G123">
        <f>IF(B123="","",IFERROR(INDEX('2.현장'!$C$2:$C$1001,MATCH(120,'2.현장'!$AD$2:$AD$1001,0)),""))</f>
        <v/>
      </c>
      <c r="H123">
        <f>IF(B123="","",IFERROR(INDEX('2.현장'!$N$2:$N$1001,MATCH(120,'2.현장'!$AD$2:$AD$1001,0)),""))</f>
        <v/>
      </c>
      <c r="I123">
        <f>IF(B123="","",IFERROR(INDEX('2.현장'!$G$2:$G$1001,MATCH(120,'2.현장'!$AD$2:$AD$1001,0)),""))</f>
        <v/>
      </c>
      <c r="J123">
        <f>IF(B123="","",IFERROR(VLOOKUP(B123,업체_메모!$A$3:$I$302,2,FALSE)&amp;"",""))</f>
        <v/>
      </c>
      <c r="K123">
        <f>IF(B123="","",IFERROR(VLOOKUP(B123,업체_메모!$A$3:$I$302,4,FALSE)&amp;"",""))</f>
        <v/>
      </c>
      <c r="L123" s="7">
        <f>IF(B123="","",IF(COUNTIF('4.방문기록'!$B$3:$B$502,B123)=0,"",_xlfn.MAXIFS('4.방문기록'!$A$3:$A$502,'4.방문기록'!$B$3:$B$502,B123)))</f>
        <v/>
      </c>
      <c r="M123">
        <f>IF(L123="","",설정!$B$24-L123)</f>
        <v/>
      </c>
      <c r="N123">
        <f>IF(L123="","",IFERROR(INDEX('4.방문기록'!$H$3:$H$502,MATCH(B123&amp;"|"&amp;(L123*1),'4.방문기록'!$I$3:$I$502,0))&amp;"",""))</f>
        <v/>
      </c>
      <c r="O123">
        <f>IF(B123="","",IF(N123="관심 없음","제외",IF(L123="","안 가봄",IF(M123&gt;=설정!$B$20,M123&amp;"일 지남","최근 방문"))))</f>
        <v/>
      </c>
    </row>
    <row r="124">
      <c r="A124">
        <f>IF(B124="","",121)</f>
        <v/>
      </c>
      <c r="B124">
        <f>IFERROR(INDEX('2.현장'!$AC$2:$AC$1001,MATCH(121,'2.현장'!$AD$2:$AD$1001,0)),"")</f>
        <v/>
      </c>
      <c r="C124">
        <f>IF(B124="","",COUNTIFS('2.현장'!$AC$2:$AC$1001,B124,'2.현장'!$T$2:$T$1001,TRUE))</f>
        <v/>
      </c>
      <c r="D124">
        <f>IF(B124="","",COUNTIFS('2.현장'!$AC$2:$AC$1001,B124,'2.현장'!$T$2:$T$1001,TRUE,'2.현장'!$AA$2:$AA$1001,"★"))</f>
        <v/>
      </c>
      <c r="E124" s="5">
        <f>IF(B124="","",_xlfn.MAXIFS('2.현장'!$D$2:$D$1001,'2.현장'!$AC$2:$AC$1001,B124,'2.현장'!$T$2:$T$1001,TRUE))</f>
        <v/>
      </c>
      <c r="F124" s="7">
        <f>IF(B124="","",IF(_xlfn.MAXIFS('2.현장'!$M$2:$M$1001,'2.현장'!$AC$2:$AC$1001,B124,'2.현장'!$T$2:$T$1001,TRUE)=0,"",_xlfn.MAXIFS('2.현장'!$M$2:$M$1001,'2.현장'!$AC$2:$AC$1001,B124,'2.현장'!$T$2:$T$1001,TRUE)))</f>
        <v/>
      </c>
      <c r="G124">
        <f>IF(B124="","",IFERROR(INDEX('2.현장'!$C$2:$C$1001,MATCH(121,'2.현장'!$AD$2:$AD$1001,0)),""))</f>
        <v/>
      </c>
      <c r="H124">
        <f>IF(B124="","",IFERROR(INDEX('2.현장'!$N$2:$N$1001,MATCH(121,'2.현장'!$AD$2:$AD$1001,0)),""))</f>
        <v/>
      </c>
      <c r="I124">
        <f>IF(B124="","",IFERROR(INDEX('2.현장'!$G$2:$G$1001,MATCH(121,'2.현장'!$AD$2:$AD$1001,0)),""))</f>
        <v/>
      </c>
      <c r="J124">
        <f>IF(B124="","",IFERROR(VLOOKUP(B124,업체_메모!$A$3:$I$302,2,FALSE)&amp;"",""))</f>
        <v/>
      </c>
      <c r="K124">
        <f>IF(B124="","",IFERROR(VLOOKUP(B124,업체_메모!$A$3:$I$302,4,FALSE)&amp;"",""))</f>
        <v/>
      </c>
      <c r="L124" s="7">
        <f>IF(B124="","",IF(COUNTIF('4.방문기록'!$B$3:$B$502,B124)=0,"",_xlfn.MAXIFS('4.방문기록'!$A$3:$A$502,'4.방문기록'!$B$3:$B$502,B124)))</f>
        <v/>
      </c>
      <c r="M124">
        <f>IF(L124="","",설정!$B$24-L124)</f>
        <v/>
      </c>
      <c r="N124">
        <f>IF(L124="","",IFERROR(INDEX('4.방문기록'!$H$3:$H$502,MATCH(B124&amp;"|"&amp;(L124*1),'4.방문기록'!$I$3:$I$502,0))&amp;"",""))</f>
        <v/>
      </c>
      <c r="O124">
        <f>IF(B124="","",IF(N124="관심 없음","제외",IF(L124="","안 가봄",IF(M124&gt;=설정!$B$20,M124&amp;"일 지남","최근 방문"))))</f>
        <v/>
      </c>
    </row>
    <row r="125">
      <c r="A125">
        <f>IF(B125="","",122)</f>
        <v/>
      </c>
      <c r="B125">
        <f>IFERROR(INDEX('2.현장'!$AC$2:$AC$1001,MATCH(122,'2.현장'!$AD$2:$AD$1001,0)),"")</f>
        <v/>
      </c>
      <c r="C125">
        <f>IF(B125="","",COUNTIFS('2.현장'!$AC$2:$AC$1001,B125,'2.현장'!$T$2:$T$1001,TRUE))</f>
        <v/>
      </c>
      <c r="D125">
        <f>IF(B125="","",COUNTIFS('2.현장'!$AC$2:$AC$1001,B125,'2.현장'!$T$2:$T$1001,TRUE,'2.현장'!$AA$2:$AA$1001,"★"))</f>
        <v/>
      </c>
      <c r="E125" s="5">
        <f>IF(B125="","",_xlfn.MAXIFS('2.현장'!$D$2:$D$1001,'2.현장'!$AC$2:$AC$1001,B125,'2.현장'!$T$2:$T$1001,TRUE))</f>
        <v/>
      </c>
      <c r="F125" s="7">
        <f>IF(B125="","",IF(_xlfn.MAXIFS('2.현장'!$M$2:$M$1001,'2.현장'!$AC$2:$AC$1001,B125,'2.현장'!$T$2:$T$1001,TRUE)=0,"",_xlfn.MAXIFS('2.현장'!$M$2:$M$1001,'2.현장'!$AC$2:$AC$1001,B125,'2.현장'!$T$2:$T$1001,TRUE)))</f>
        <v/>
      </c>
      <c r="G125">
        <f>IF(B125="","",IFERROR(INDEX('2.현장'!$C$2:$C$1001,MATCH(122,'2.현장'!$AD$2:$AD$1001,0)),""))</f>
        <v/>
      </c>
      <c r="H125">
        <f>IF(B125="","",IFERROR(INDEX('2.현장'!$N$2:$N$1001,MATCH(122,'2.현장'!$AD$2:$AD$1001,0)),""))</f>
        <v/>
      </c>
      <c r="I125">
        <f>IF(B125="","",IFERROR(INDEX('2.현장'!$G$2:$G$1001,MATCH(122,'2.현장'!$AD$2:$AD$1001,0)),""))</f>
        <v/>
      </c>
      <c r="J125">
        <f>IF(B125="","",IFERROR(VLOOKUP(B125,업체_메모!$A$3:$I$302,2,FALSE)&amp;"",""))</f>
        <v/>
      </c>
      <c r="K125">
        <f>IF(B125="","",IFERROR(VLOOKUP(B125,업체_메모!$A$3:$I$302,4,FALSE)&amp;"",""))</f>
        <v/>
      </c>
      <c r="L125" s="7">
        <f>IF(B125="","",IF(COUNTIF('4.방문기록'!$B$3:$B$502,B125)=0,"",_xlfn.MAXIFS('4.방문기록'!$A$3:$A$502,'4.방문기록'!$B$3:$B$502,B125)))</f>
        <v/>
      </c>
      <c r="M125">
        <f>IF(L125="","",설정!$B$24-L125)</f>
        <v/>
      </c>
      <c r="N125">
        <f>IF(L125="","",IFERROR(INDEX('4.방문기록'!$H$3:$H$502,MATCH(B125&amp;"|"&amp;(L125*1),'4.방문기록'!$I$3:$I$502,0))&amp;"",""))</f>
        <v/>
      </c>
      <c r="O125">
        <f>IF(B125="","",IF(N125="관심 없음","제외",IF(L125="","안 가봄",IF(M125&gt;=설정!$B$20,M125&amp;"일 지남","최근 방문"))))</f>
        <v/>
      </c>
    </row>
    <row r="126">
      <c r="A126">
        <f>IF(B126="","",123)</f>
        <v/>
      </c>
      <c r="B126">
        <f>IFERROR(INDEX('2.현장'!$AC$2:$AC$1001,MATCH(123,'2.현장'!$AD$2:$AD$1001,0)),"")</f>
        <v/>
      </c>
      <c r="C126">
        <f>IF(B126="","",COUNTIFS('2.현장'!$AC$2:$AC$1001,B126,'2.현장'!$T$2:$T$1001,TRUE))</f>
        <v/>
      </c>
      <c r="D126">
        <f>IF(B126="","",COUNTIFS('2.현장'!$AC$2:$AC$1001,B126,'2.현장'!$T$2:$T$1001,TRUE,'2.현장'!$AA$2:$AA$1001,"★"))</f>
        <v/>
      </c>
      <c r="E126" s="5">
        <f>IF(B126="","",_xlfn.MAXIFS('2.현장'!$D$2:$D$1001,'2.현장'!$AC$2:$AC$1001,B126,'2.현장'!$T$2:$T$1001,TRUE))</f>
        <v/>
      </c>
      <c r="F126" s="7">
        <f>IF(B126="","",IF(_xlfn.MAXIFS('2.현장'!$M$2:$M$1001,'2.현장'!$AC$2:$AC$1001,B126,'2.현장'!$T$2:$T$1001,TRUE)=0,"",_xlfn.MAXIFS('2.현장'!$M$2:$M$1001,'2.현장'!$AC$2:$AC$1001,B126,'2.현장'!$T$2:$T$1001,TRUE)))</f>
        <v/>
      </c>
      <c r="G126">
        <f>IF(B126="","",IFERROR(INDEX('2.현장'!$C$2:$C$1001,MATCH(123,'2.현장'!$AD$2:$AD$1001,0)),""))</f>
        <v/>
      </c>
      <c r="H126">
        <f>IF(B126="","",IFERROR(INDEX('2.현장'!$N$2:$N$1001,MATCH(123,'2.현장'!$AD$2:$AD$1001,0)),""))</f>
        <v/>
      </c>
      <c r="I126">
        <f>IF(B126="","",IFERROR(INDEX('2.현장'!$G$2:$G$1001,MATCH(123,'2.현장'!$AD$2:$AD$1001,0)),""))</f>
        <v/>
      </c>
      <c r="J126">
        <f>IF(B126="","",IFERROR(VLOOKUP(B126,업체_메모!$A$3:$I$302,2,FALSE)&amp;"",""))</f>
        <v/>
      </c>
      <c r="K126">
        <f>IF(B126="","",IFERROR(VLOOKUP(B126,업체_메모!$A$3:$I$302,4,FALSE)&amp;"",""))</f>
        <v/>
      </c>
      <c r="L126" s="7">
        <f>IF(B126="","",IF(COUNTIF('4.방문기록'!$B$3:$B$502,B126)=0,"",_xlfn.MAXIFS('4.방문기록'!$A$3:$A$502,'4.방문기록'!$B$3:$B$502,B126)))</f>
        <v/>
      </c>
      <c r="M126">
        <f>IF(L126="","",설정!$B$24-L126)</f>
        <v/>
      </c>
      <c r="N126">
        <f>IF(L126="","",IFERROR(INDEX('4.방문기록'!$H$3:$H$502,MATCH(B126&amp;"|"&amp;(L126*1),'4.방문기록'!$I$3:$I$502,0))&amp;"",""))</f>
        <v/>
      </c>
      <c r="O126">
        <f>IF(B126="","",IF(N126="관심 없음","제외",IF(L126="","안 가봄",IF(M126&gt;=설정!$B$20,M126&amp;"일 지남","최근 방문"))))</f>
        <v/>
      </c>
    </row>
    <row r="127">
      <c r="A127">
        <f>IF(B127="","",124)</f>
        <v/>
      </c>
      <c r="B127">
        <f>IFERROR(INDEX('2.현장'!$AC$2:$AC$1001,MATCH(124,'2.현장'!$AD$2:$AD$1001,0)),"")</f>
        <v/>
      </c>
      <c r="C127">
        <f>IF(B127="","",COUNTIFS('2.현장'!$AC$2:$AC$1001,B127,'2.현장'!$T$2:$T$1001,TRUE))</f>
        <v/>
      </c>
      <c r="D127">
        <f>IF(B127="","",COUNTIFS('2.현장'!$AC$2:$AC$1001,B127,'2.현장'!$T$2:$T$1001,TRUE,'2.현장'!$AA$2:$AA$1001,"★"))</f>
        <v/>
      </c>
      <c r="E127" s="5">
        <f>IF(B127="","",_xlfn.MAXIFS('2.현장'!$D$2:$D$1001,'2.현장'!$AC$2:$AC$1001,B127,'2.현장'!$T$2:$T$1001,TRUE))</f>
        <v/>
      </c>
      <c r="F127" s="7">
        <f>IF(B127="","",IF(_xlfn.MAXIFS('2.현장'!$M$2:$M$1001,'2.현장'!$AC$2:$AC$1001,B127,'2.현장'!$T$2:$T$1001,TRUE)=0,"",_xlfn.MAXIFS('2.현장'!$M$2:$M$1001,'2.현장'!$AC$2:$AC$1001,B127,'2.현장'!$T$2:$T$1001,TRUE)))</f>
        <v/>
      </c>
      <c r="G127">
        <f>IF(B127="","",IFERROR(INDEX('2.현장'!$C$2:$C$1001,MATCH(124,'2.현장'!$AD$2:$AD$1001,0)),""))</f>
        <v/>
      </c>
      <c r="H127">
        <f>IF(B127="","",IFERROR(INDEX('2.현장'!$N$2:$N$1001,MATCH(124,'2.현장'!$AD$2:$AD$1001,0)),""))</f>
        <v/>
      </c>
      <c r="I127">
        <f>IF(B127="","",IFERROR(INDEX('2.현장'!$G$2:$G$1001,MATCH(124,'2.현장'!$AD$2:$AD$1001,0)),""))</f>
        <v/>
      </c>
      <c r="J127">
        <f>IF(B127="","",IFERROR(VLOOKUP(B127,업체_메모!$A$3:$I$302,2,FALSE)&amp;"",""))</f>
        <v/>
      </c>
      <c r="K127">
        <f>IF(B127="","",IFERROR(VLOOKUP(B127,업체_메모!$A$3:$I$302,4,FALSE)&amp;"",""))</f>
        <v/>
      </c>
      <c r="L127" s="7">
        <f>IF(B127="","",IF(COUNTIF('4.방문기록'!$B$3:$B$502,B127)=0,"",_xlfn.MAXIFS('4.방문기록'!$A$3:$A$502,'4.방문기록'!$B$3:$B$502,B127)))</f>
        <v/>
      </c>
      <c r="M127">
        <f>IF(L127="","",설정!$B$24-L127)</f>
        <v/>
      </c>
      <c r="N127">
        <f>IF(L127="","",IFERROR(INDEX('4.방문기록'!$H$3:$H$502,MATCH(B127&amp;"|"&amp;(L127*1),'4.방문기록'!$I$3:$I$502,0))&amp;"",""))</f>
        <v/>
      </c>
      <c r="O127">
        <f>IF(B127="","",IF(N127="관심 없음","제외",IF(L127="","안 가봄",IF(M127&gt;=설정!$B$20,M127&amp;"일 지남","최근 방문"))))</f>
        <v/>
      </c>
    </row>
    <row r="128">
      <c r="A128">
        <f>IF(B128="","",125)</f>
        <v/>
      </c>
      <c r="B128">
        <f>IFERROR(INDEX('2.현장'!$AC$2:$AC$1001,MATCH(125,'2.현장'!$AD$2:$AD$1001,0)),"")</f>
        <v/>
      </c>
      <c r="C128">
        <f>IF(B128="","",COUNTIFS('2.현장'!$AC$2:$AC$1001,B128,'2.현장'!$T$2:$T$1001,TRUE))</f>
        <v/>
      </c>
      <c r="D128">
        <f>IF(B128="","",COUNTIFS('2.현장'!$AC$2:$AC$1001,B128,'2.현장'!$T$2:$T$1001,TRUE,'2.현장'!$AA$2:$AA$1001,"★"))</f>
        <v/>
      </c>
      <c r="E128" s="5">
        <f>IF(B128="","",_xlfn.MAXIFS('2.현장'!$D$2:$D$1001,'2.현장'!$AC$2:$AC$1001,B128,'2.현장'!$T$2:$T$1001,TRUE))</f>
        <v/>
      </c>
      <c r="F128" s="7">
        <f>IF(B128="","",IF(_xlfn.MAXIFS('2.현장'!$M$2:$M$1001,'2.현장'!$AC$2:$AC$1001,B128,'2.현장'!$T$2:$T$1001,TRUE)=0,"",_xlfn.MAXIFS('2.현장'!$M$2:$M$1001,'2.현장'!$AC$2:$AC$1001,B128,'2.현장'!$T$2:$T$1001,TRUE)))</f>
        <v/>
      </c>
      <c r="G128">
        <f>IF(B128="","",IFERROR(INDEX('2.현장'!$C$2:$C$1001,MATCH(125,'2.현장'!$AD$2:$AD$1001,0)),""))</f>
        <v/>
      </c>
      <c r="H128">
        <f>IF(B128="","",IFERROR(INDEX('2.현장'!$N$2:$N$1001,MATCH(125,'2.현장'!$AD$2:$AD$1001,0)),""))</f>
        <v/>
      </c>
      <c r="I128">
        <f>IF(B128="","",IFERROR(INDEX('2.현장'!$G$2:$G$1001,MATCH(125,'2.현장'!$AD$2:$AD$1001,0)),""))</f>
        <v/>
      </c>
      <c r="J128">
        <f>IF(B128="","",IFERROR(VLOOKUP(B128,업체_메모!$A$3:$I$302,2,FALSE)&amp;"",""))</f>
        <v/>
      </c>
      <c r="K128">
        <f>IF(B128="","",IFERROR(VLOOKUP(B128,업체_메모!$A$3:$I$302,4,FALSE)&amp;"",""))</f>
        <v/>
      </c>
      <c r="L128" s="7">
        <f>IF(B128="","",IF(COUNTIF('4.방문기록'!$B$3:$B$502,B128)=0,"",_xlfn.MAXIFS('4.방문기록'!$A$3:$A$502,'4.방문기록'!$B$3:$B$502,B128)))</f>
        <v/>
      </c>
      <c r="M128">
        <f>IF(L128="","",설정!$B$24-L128)</f>
        <v/>
      </c>
      <c r="N128">
        <f>IF(L128="","",IFERROR(INDEX('4.방문기록'!$H$3:$H$502,MATCH(B128&amp;"|"&amp;(L128*1),'4.방문기록'!$I$3:$I$502,0))&amp;"",""))</f>
        <v/>
      </c>
      <c r="O128">
        <f>IF(B128="","",IF(N128="관심 없음","제외",IF(L128="","안 가봄",IF(M128&gt;=설정!$B$20,M128&amp;"일 지남","최근 방문"))))</f>
        <v/>
      </c>
    </row>
    <row r="129">
      <c r="A129">
        <f>IF(B129="","",126)</f>
        <v/>
      </c>
      <c r="B129">
        <f>IFERROR(INDEX('2.현장'!$AC$2:$AC$1001,MATCH(126,'2.현장'!$AD$2:$AD$1001,0)),"")</f>
        <v/>
      </c>
      <c r="C129">
        <f>IF(B129="","",COUNTIFS('2.현장'!$AC$2:$AC$1001,B129,'2.현장'!$T$2:$T$1001,TRUE))</f>
        <v/>
      </c>
      <c r="D129">
        <f>IF(B129="","",COUNTIFS('2.현장'!$AC$2:$AC$1001,B129,'2.현장'!$T$2:$T$1001,TRUE,'2.현장'!$AA$2:$AA$1001,"★"))</f>
        <v/>
      </c>
      <c r="E129" s="5">
        <f>IF(B129="","",_xlfn.MAXIFS('2.현장'!$D$2:$D$1001,'2.현장'!$AC$2:$AC$1001,B129,'2.현장'!$T$2:$T$1001,TRUE))</f>
        <v/>
      </c>
      <c r="F129" s="7">
        <f>IF(B129="","",IF(_xlfn.MAXIFS('2.현장'!$M$2:$M$1001,'2.현장'!$AC$2:$AC$1001,B129,'2.현장'!$T$2:$T$1001,TRUE)=0,"",_xlfn.MAXIFS('2.현장'!$M$2:$M$1001,'2.현장'!$AC$2:$AC$1001,B129,'2.현장'!$T$2:$T$1001,TRUE)))</f>
        <v/>
      </c>
      <c r="G129">
        <f>IF(B129="","",IFERROR(INDEX('2.현장'!$C$2:$C$1001,MATCH(126,'2.현장'!$AD$2:$AD$1001,0)),""))</f>
        <v/>
      </c>
      <c r="H129">
        <f>IF(B129="","",IFERROR(INDEX('2.현장'!$N$2:$N$1001,MATCH(126,'2.현장'!$AD$2:$AD$1001,0)),""))</f>
        <v/>
      </c>
      <c r="I129">
        <f>IF(B129="","",IFERROR(INDEX('2.현장'!$G$2:$G$1001,MATCH(126,'2.현장'!$AD$2:$AD$1001,0)),""))</f>
        <v/>
      </c>
      <c r="J129">
        <f>IF(B129="","",IFERROR(VLOOKUP(B129,업체_메모!$A$3:$I$302,2,FALSE)&amp;"",""))</f>
        <v/>
      </c>
      <c r="K129">
        <f>IF(B129="","",IFERROR(VLOOKUP(B129,업체_메모!$A$3:$I$302,4,FALSE)&amp;"",""))</f>
        <v/>
      </c>
      <c r="L129" s="7">
        <f>IF(B129="","",IF(COUNTIF('4.방문기록'!$B$3:$B$502,B129)=0,"",_xlfn.MAXIFS('4.방문기록'!$A$3:$A$502,'4.방문기록'!$B$3:$B$502,B129)))</f>
        <v/>
      </c>
      <c r="M129">
        <f>IF(L129="","",설정!$B$24-L129)</f>
        <v/>
      </c>
      <c r="N129">
        <f>IF(L129="","",IFERROR(INDEX('4.방문기록'!$H$3:$H$502,MATCH(B129&amp;"|"&amp;(L129*1),'4.방문기록'!$I$3:$I$502,0))&amp;"",""))</f>
        <v/>
      </c>
      <c r="O129">
        <f>IF(B129="","",IF(N129="관심 없음","제외",IF(L129="","안 가봄",IF(M129&gt;=설정!$B$20,M129&amp;"일 지남","최근 방문"))))</f>
        <v/>
      </c>
    </row>
    <row r="130">
      <c r="A130">
        <f>IF(B130="","",127)</f>
        <v/>
      </c>
      <c r="B130">
        <f>IFERROR(INDEX('2.현장'!$AC$2:$AC$1001,MATCH(127,'2.현장'!$AD$2:$AD$1001,0)),"")</f>
        <v/>
      </c>
      <c r="C130">
        <f>IF(B130="","",COUNTIFS('2.현장'!$AC$2:$AC$1001,B130,'2.현장'!$T$2:$T$1001,TRUE))</f>
        <v/>
      </c>
      <c r="D130">
        <f>IF(B130="","",COUNTIFS('2.현장'!$AC$2:$AC$1001,B130,'2.현장'!$T$2:$T$1001,TRUE,'2.현장'!$AA$2:$AA$1001,"★"))</f>
        <v/>
      </c>
      <c r="E130" s="5">
        <f>IF(B130="","",_xlfn.MAXIFS('2.현장'!$D$2:$D$1001,'2.현장'!$AC$2:$AC$1001,B130,'2.현장'!$T$2:$T$1001,TRUE))</f>
        <v/>
      </c>
      <c r="F130" s="7">
        <f>IF(B130="","",IF(_xlfn.MAXIFS('2.현장'!$M$2:$M$1001,'2.현장'!$AC$2:$AC$1001,B130,'2.현장'!$T$2:$T$1001,TRUE)=0,"",_xlfn.MAXIFS('2.현장'!$M$2:$M$1001,'2.현장'!$AC$2:$AC$1001,B130,'2.현장'!$T$2:$T$1001,TRUE)))</f>
        <v/>
      </c>
      <c r="G130">
        <f>IF(B130="","",IFERROR(INDEX('2.현장'!$C$2:$C$1001,MATCH(127,'2.현장'!$AD$2:$AD$1001,0)),""))</f>
        <v/>
      </c>
      <c r="H130">
        <f>IF(B130="","",IFERROR(INDEX('2.현장'!$N$2:$N$1001,MATCH(127,'2.현장'!$AD$2:$AD$1001,0)),""))</f>
        <v/>
      </c>
      <c r="I130">
        <f>IF(B130="","",IFERROR(INDEX('2.현장'!$G$2:$G$1001,MATCH(127,'2.현장'!$AD$2:$AD$1001,0)),""))</f>
        <v/>
      </c>
      <c r="J130">
        <f>IF(B130="","",IFERROR(VLOOKUP(B130,업체_메모!$A$3:$I$302,2,FALSE)&amp;"",""))</f>
        <v/>
      </c>
      <c r="K130">
        <f>IF(B130="","",IFERROR(VLOOKUP(B130,업체_메모!$A$3:$I$302,4,FALSE)&amp;"",""))</f>
        <v/>
      </c>
      <c r="L130" s="7">
        <f>IF(B130="","",IF(COUNTIF('4.방문기록'!$B$3:$B$502,B130)=0,"",_xlfn.MAXIFS('4.방문기록'!$A$3:$A$502,'4.방문기록'!$B$3:$B$502,B130)))</f>
        <v/>
      </c>
      <c r="M130">
        <f>IF(L130="","",설정!$B$24-L130)</f>
        <v/>
      </c>
      <c r="N130">
        <f>IF(L130="","",IFERROR(INDEX('4.방문기록'!$H$3:$H$502,MATCH(B130&amp;"|"&amp;(L130*1),'4.방문기록'!$I$3:$I$502,0))&amp;"",""))</f>
        <v/>
      </c>
      <c r="O130">
        <f>IF(B130="","",IF(N130="관심 없음","제외",IF(L130="","안 가봄",IF(M130&gt;=설정!$B$20,M130&amp;"일 지남","최근 방문"))))</f>
        <v/>
      </c>
    </row>
    <row r="131">
      <c r="A131">
        <f>IF(B131="","",128)</f>
        <v/>
      </c>
      <c r="B131">
        <f>IFERROR(INDEX('2.현장'!$AC$2:$AC$1001,MATCH(128,'2.현장'!$AD$2:$AD$1001,0)),"")</f>
        <v/>
      </c>
      <c r="C131">
        <f>IF(B131="","",COUNTIFS('2.현장'!$AC$2:$AC$1001,B131,'2.현장'!$T$2:$T$1001,TRUE))</f>
        <v/>
      </c>
      <c r="D131">
        <f>IF(B131="","",COUNTIFS('2.현장'!$AC$2:$AC$1001,B131,'2.현장'!$T$2:$T$1001,TRUE,'2.현장'!$AA$2:$AA$1001,"★"))</f>
        <v/>
      </c>
      <c r="E131" s="5">
        <f>IF(B131="","",_xlfn.MAXIFS('2.현장'!$D$2:$D$1001,'2.현장'!$AC$2:$AC$1001,B131,'2.현장'!$T$2:$T$1001,TRUE))</f>
        <v/>
      </c>
      <c r="F131" s="7">
        <f>IF(B131="","",IF(_xlfn.MAXIFS('2.현장'!$M$2:$M$1001,'2.현장'!$AC$2:$AC$1001,B131,'2.현장'!$T$2:$T$1001,TRUE)=0,"",_xlfn.MAXIFS('2.현장'!$M$2:$M$1001,'2.현장'!$AC$2:$AC$1001,B131,'2.현장'!$T$2:$T$1001,TRUE)))</f>
        <v/>
      </c>
      <c r="G131">
        <f>IF(B131="","",IFERROR(INDEX('2.현장'!$C$2:$C$1001,MATCH(128,'2.현장'!$AD$2:$AD$1001,0)),""))</f>
        <v/>
      </c>
      <c r="H131">
        <f>IF(B131="","",IFERROR(INDEX('2.현장'!$N$2:$N$1001,MATCH(128,'2.현장'!$AD$2:$AD$1001,0)),""))</f>
        <v/>
      </c>
      <c r="I131">
        <f>IF(B131="","",IFERROR(INDEX('2.현장'!$G$2:$G$1001,MATCH(128,'2.현장'!$AD$2:$AD$1001,0)),""))</f>
        <v/>
      </c>
      <c r="J131">
        <f>IF(B131="","",IFERROR(VLOOKUP(B131,업체_메모!$A$3:$I$302,2,FALSE)&amp;"",""))</f>
        <v/>
      </c>
      <c r="K131">
        <f>IF(B131="","",IFERROR(VLOOKUP(B131,업체_메모!$A$3:$I$302,4,FALSE)&amp;"",""))</f>
        <v/>
      </c>
      <c r="L131" s="7">
        <f>IF(B131="","",IF(COUNTIF('4.방문기록'!$B$3:$B$502,B131)=0,"",_xlfn.MAXIFS('4.방문기록'!$A$3:$A$502,'4.방문기록'!$B$3:$B$502,B131)))</f>
        <v/>
      </c>
      <c r="M131">
        <f>IF(L131="","",설정!$B$24-L131)</f>
        <v/>
      </c>
      <c r="N131">
        <f>IF(L131="","",IFERROR(INDEX('4.방문기록'!$H$3:$H$502,MATCH(B131&amp;"|"&amp;(L131*1),'4.방문기록'!$I$3:$I$502,0))&amp;"",""))</f>
        <v/>
      </c>
      <c r="O131">
        <f>IF(B131="","",IF(N131="관심 없음","제외",IF(L131="","안 가봄",IF(M131&gt;=설정!$B$20,M131&amp;"일 지남","최근 방문"))))</f>
        <v/>
      </c>
    </row>
    <row r="132">
      <c r="A132">
        <f>IF(B132="","",129)</f>
        <v/>
      </c>
      <c r="B132">
        <f>IFERROR(INDEX('2.현장'!$AC$2:$AC$1001,MATCH(129,'2.현장'!$AD$2:$AD$1001,0)),"")</f>
        <v/>
      </c>
      <c r="C132">
        <f>IF(B132="","",COUNTIFS('2.현장'!$AC$2:$AC$1001,B132,'2.현장'!$T$2:$T$1001,TRUE))</f>
        <v/>
      </c>
      <c r="D132">
        <f>IF(B132="","",COUNTIFS('2.현장'!$AC$2:$AC$1001,B132,'2.현장'!$T$2:$T$1001,TRUE,'2.현장'!$AA$2:$AA$1001,"★"))</f>
        <v/>
      </c>
      <c r="E132" s="5">
        <f>IF(B132="","",_xlfn.MAXIFS('2.현장'!$D$2:$D$1001,'2.현장'!$AC$2:$AC$1001,B132,'2.현장'!$T$2:$T$1001,TRUE))</f>
        <v/>
      </c>
      <c r="F132" s="7">
        <f>IF(B132="","",IF(_xlfn.MAXIFS('2.현장'!$M$2:$M$1001,'2.현장'!$AC$2:$AC$1001,B132,'2.현장'!$T$2:$T$1001,TRUE)=0,"",_xlfn.MAXIFS('2.현장'!$M$2:$M$1001,'2.현장'!$AC$2:$AC$1001,B132,'2.현장'!$T$2:$T$1001,TRUE)))</f>
        <v/>
      </c>
      <c r="G132">
        <f>IF(B132="","",IFERROR(INDEX('2.현장'!$C$2:$C$1001,MATCH(129,'2.현장'!$AD$2:$AD$1001,0)),""))</f>
        <v/>
      </c>
      <c r="H132">
        <f>IF(B132="","",IFERROR(INDEX('2.현장'!$N$2:$N$1001,MATCH(129,'2.현장'!$AD$2:$AD$1001,0)),""))</f>
        <v/>
      </c>
      <c r="I132">
        <f>IF(B132="","",IFERROR(INDEX('2.현장'!$G$2:$G$1001,MATCH(129,'2.현장'!$AD$2:$AD$1001,0)),""))</f>
        <v/>
      </c>
      <c r="J132">
        <f>IF(B132="","",IFERROR(VLOOKUP(B132,업체_메모!$A$3:$I$302,2,FALSE)&amp;"",""))</f>
        <v/>
      </c>
      <c r="K132">
        <f>IF(B132="","",IFERROR(VLOOKUP(B132,업체_메모!$A$3:$I$302,4,FALSE)&amp;"",""))</f>
        <v/>
      </c>
      <c r="L132" s="7">
        <f>IF(B132="","",IF(COUNTIF('4.방문기록'!$B$3:$B$502,B132)=0,"",_xlfn.MAXIFS('4.방문기록'!$A$3:$A$502,'4.방문기록'!$B$3:$B$502,B132)))</f>
        <v/>
      </c>
      <c r="M132">
        <f>IF(L132="","",설정!$B$24-L132)</f>
        <v/>
      </c>
      <c r="N132">
        <f>IF(L132="","",IFERROR(INDEX('4.방문기록'!$H$3:$H$502,MATCH(B132&amp;"|"&amp;(L132*1),'4.방문기록'!$I$3:$I$502,0))&amp;"",""))</f>
        <v/>
      </c>
      <c r="O132">
        <f>IF(B132="","",IF(N132="관심 없음","제외",IF(L132="","안 가봄",IF(M132&gt;=설정!$B$20,M132&amp;"일 지남","최근 방문"))))</f>
        <v/>
      </c>
    </row>
    <row r="133">
      <c r="A133">
        <f>IF(B133="","",130)</f>
        <v/>
      </c>
      <c r="B133">
        <f>IFERROR(INDEX('2.현장'!$AC$2:$AC$1001,MATCH(130,'2.현장'!$AD$2:$AD$1001,0)),"")</f>
        <v/>
      </c>
      <c r="C133">
        <f>IF(B133="","",COUNTIFS('2.현장'!$AC$2:$AC$1001,B133,'2.현장'!$T$2:$T$1001,TRUE))</f>
        <v/>
      </c>
      <c r="D133">
        <f>IF(B133="","",COUNTIFS('2.현장'!$AC$2:$AC$1001,B133,'2.현장'!$T$2:$T$1001,TRUE,'2.현장'!$AA$2:$AA$1001,"★"))</f>
        <v/>
      </c>
      <c r="E133" s="5">
        <f>IF(B133="","",_xlfn.MAXIFS('2.현장'!$D$2:$D$1001,'2.현장'!$AC$2:$AC$1001,B133,'2.현장'!$T$2:$T$1001,TRUE))</f>
        <v/>
      </c>
      <c r="F133" s="7">
        <f>IF(B133="","",IF(_xlfn.MAXIFS('2.현장'!$M$2:$M$1001,'2.현장'!$AC$2:$AC$1001,B133,'2.현장'!$T$2:$T$1001,TRUE)=0,"",_xlfn.MAXIFS('2.현장'!$M$2:$M$1001,'2.현장'!$AC$2:$AC$1001,B133,'2.현장'!$T$2:$T$1001,TRUE)))</f>
        <v/>
      </c>
      <c r="G133">
        <f>IF(B133="","",IFERROR(INDEX('2.현장'!$C$2:$C$1001,MATCH(130,'2.현장'!$AD$2:$AD$1001,0)),""))</f>
        <v/>
      </c>
      <c r="H133">
        <f>IF(B133="","",IFERROR(INDEX('2.현장'!$N$2:$N$1001,MATCH(130,'2.현장'!$AD$2:$AD$1001,0)),""))</f>
        <v/>
      </c>
      <c r="I133">
        <f>IF(B133="","",IFERROR(INDEX('2.현장'!$G$2:$G$1001,MATCH(130,'2.현장'!$AD$2:$AD$1001,0)),""))</f>
        <v/>
      </c>
      <c r="J133">
        <f>IF(B133="","",IFERROR(VLOOKUP(B133,업체_메모!$A$3:$I$302,2,FALSE)&amp;"",""))</f>
        <v/>
      </c>
      <c r="K133">
        <f>IF(B133="","",IFERROR(VLOOKUP(B133,업체_메모!$A$3:$I$302,4,FALSE)&amp;"",""))</f>
        <v/>
      </c>
      <c r="L133" s="7">
        <f>IF(B133="","",IF(COUNTIF('4.방문기록'!$B$3:$B$502,B133)=0,"",_xlfn.MAXIFS('4.방문기록'!$A$3:$A$502,'4.방문기록'!$B$3:$B$502,B133)))</f>
        <v/>
      </c>
      <c r="M133">
        <f>IF(L133="","",설정!$B$24-L133)</f>
        <v/>
      </c>
      <c r="N133">
        <f>IF(L133="","",IFERROR(INDEX('4.방문기록'!$H$3:$H$502,MATCH(B133&amp;"|"&amp;(L133*1),'4.방문기록'!$I$3:$I$502,0))&amp;"",""))</f>
        <v/>
      </c>
      <c r="O133">
        <f>IF(B133="","",IF(N133="관심 없음","제외",IF(L133="","안 가봄",IF(M133&gt;=설정!$B$20,M133&amp;"일 지남","최근 방문"))))</f>
        <v/>
      </c>
    </row>
    <row r="134">
      <c r="A134">
        <f>IF(B134="","",131)</f>
        <v/>
      </c>
      <c r="B134">
        <f>IFERROR(INDEX('2.현장'!$AC$2:$AC$1001,MATCH(131,'2.현장'!$AD$2:$AD$1001,0)),"")</f>
        <v/>
      </c>
      <c r="C134">
        <f>IF(B134="","",COUNTIFS('2.현장'!$AC$2:$AC$1001,B134,'2.현장'!$T$2:$T$1001,TRUE))</f>
        <v/>
      </c>
      <c r="D134">
        <f>IF(B134="","",COUNTIFS('2.현장'!$AC$2:$AC$1001,B134,'2.현장'!$T$2:$T$1001,TRUE,'2.현장'!$AA$2:$AA$1001,"★"))</f>
        <v/>
      </c>
      <c r="E134" s="5">
        <f>IF(B134="","",_xlfn.MAXIFS('2.현장'!$D$2:$D$1001,'2.현장'!$AC$2:$AC$1001,B134,'2.현장'!$T$2:$T$1001,TRUE))</f>
        <v/>
      </c>
      <c r="F134" s="7">
        <f>IF(B134="","",IF(_xlfn.MAXIFS('2.현장'!$M$2:$M$1001,'2.현장'!$AC$2:$AC$1001,B134,'2.현장'!$T$2:$T$1001,TRUE)=0,"",_xlfn.MAXIFS('2.현장'!$M$2:$M$1001,'2.현장'!$AC$2:$AC$1001,B134,'2.현장'!$T$2:$T$1001,TRUE)))</f>
        <v/>
      </c>
      <c r="G134">
        <f>IF(B134="","",IFERROR(INDEX('2.현장'!$C$2:$C$1001,MATCH(131,'2.현장'!$AD$2:$AD$1001,0)),""))</f>
        <v/>
      </c>
      <c r="H134">
        <f>IF(B134="","",IFERROR(INDEX('2.현장'!$N$2:$N$1001,MATCH(131,'2.현장'!$AD$2:$AD$1001,0)),""))</f>
        <v/>
      </c>
      <c r="I134">
        <f>IF(B134="","",IFERROR(INDEX('2.현장'!$G$2:$G$1001,MATCH(131,'2.현장'!$AD$2:$AD$1001,0)),""))</f>
        <v/>
      </c>
      <c r="J134">
        <f>IF(B134="","",IFERROR(VLOOKUP(B134,업체_메모!$A$3:$I$302,2,FALSE)&amp;"",""))</f>
        <v/>
      </c>
      <c r="K134">
        <f>IF(B134="","",IFERROR(VLOOKUP(B134,업체_메모!$A$3:$I$302,4,FALSE)&amp;"",""))</f>
        <v/>
      </c>
      <c r="L134" s="7">
        <f>IF(B134="","",IF(COUNTIF('4.방문기록'!$B$3:$B$502,B134)=0,"",_xlfn.MAXIFS('4.방문기록'!$A$3:$A$502,'4.방문기록'!$B$3:$B$502,B134)))</f>
        <v/>
      </c>
      <c r="M134">
        <f>IF(L134="","",설정!$B$24-L134)</f>
        <v/>
      </c>
      <c r="N134">
        <f>IF(L134="","",IFERROR(INDEX('4.방문기록'!$H$3:$H$502,MATCH(B134&amp;"|"&amp;(L134*1),'4.방문기록'!$I$3:$I$502,0))&amp;"",""))</f>
        <v/>
      </c>
      <c r="O134">
        <f>IF(B134="","",IF(N134="관심 없음","제외",IF(L134="","안 가봄",IF(M134&gt;=설정!$B$20,M134&amp;"일 지남","최근 방문"))))</f>
        <v/>
      </c>
    </row>
    <row r="135">
      <c r="A135">
        <f>IF(B135="","",132)</f>
        <v/>
      </c>
      <c r="B135">
        <f>IFERROR(INDEX('2.현장'!$AC$2:$AC$1001,MATCH(132,'2.현장'!$AD$2:$AD$1001,0)),"")</f>
        <v/>
      </c>
      <c r="C135">
        <f>IF(B135="","",COUNTIFS('2.현장'!$AC$2:$AC$1001,B135,'2.현장'!$T$2:$T$1001,TRUE))</f>
        <v/>
      </c>
      <c r="D135">
        <f>IF(B135="","",COUNTIFS('2.현장'!$AC$2:$AC$1001,B135,'2.현장'!$T$2:$T$1001,TRUE,'2.현장'!$AA$2:$AA$1001,"★"))</f>
        <v/>
      </c>
      <c r="E135" s="5">
        <f>IF(B135="","",_xlfn.MAXIFS('2.현장'!$D$2:$D$1001,'2.현장'!$AC$2:$AC$1001,B135,'2.현장'!$T$2:$T$1001,TRUE))</f>
        <v/>
      </c>
      <c r="F135" s="7">
        <f>IF(B135="","",IF(_xlfn.MAXIFS('2.현장'!$M$2:$M$1001,'2.현장'!$AC$2:$AC$1001,B135,'2.현장'!$T$2:$T$1001,TRUE)=0,"",_xlfn.MAXIFS('2.현장'!$M$2:$M$1001,'2.현장'!$AC$2:$AC$1001,B135,'2.현장'!$T$2:$T$1001,TRUE)))</f>
        <v/>
      </c>
      <c r="G135">
        <f>IF(B135="","",IFERROR(INDEX('2.현장'!$C$2:$C$1001,MATCH(132,'2.현장'!$AD$2:$AD$1001,0)),""))</f>
        <v/>
      </c>
      <c r="H135">
        <f>IF(B135="","",IFERROR(INDEX('2.현장'!$N$2:$N$1001,MATCH(132,'2.현장'!$AD$2:$AD$1001,0)),""))</f>
        <v/>
      </c>
      <c r="I135">
        <f>IF(B135="","",IFERROR(INDEX('2.현장'!$G$2:$G$1001,MATCH(132,'2.현장'!$AD$2:$AD$1001,0)),""))</f>
        <v/>
      </c>
      <c r="J135">
        <f>IF(B135="","",IFERROR(VLOOKUP(B135,업체_메모!$A$3:$I$302,2,FALSE)&amp;"",""))</f>
        <v/>
      </c>
      <c r="K135">
        <f>IF(B135="","",IFERROR(VLOOKUP(B135,업체_메모!$A$3:$I$302,4,FALSE)&amp;"",""))</f>
        <v/>
      </c>
      <c r="L135" s="7">
        <f>IF(B135="","",IF(COUNTIF('4.방문기록'!$B$3:$B$502,B135)=0,"",_xlfn.MAXIFS('4.방문기록'!$A$3:$A$502,'4.방문기록'!$B$3:$B$502,B135)))</f>
        <v/>
      </c>
      <c r="M135">
        <f>IF(L135="","",설정!$B$24-L135)</f>
        <v/>
      </c>
      <c r="N135">
        <f>IF(L135="","",IFERROR(INDEX('4.방문기록'!$H$3:$H$502,MATCH(B135&amp;"|"&amp;(L135*1),'4.방문기록'!$I$3:$I$502,0))&amp;"",""))</f>
        <v/>
      </c>
      <c r="O135">
        <f>IF(B135="","",IF(N135="관심 없음","제외",IF(L135="","안 가봄",IF(M135&gt;=설정!$B$20,M135&amp;"일 지남","최근 방문"))))</f>
        <v/>
      </c>
    </row>
    <row r="136">
      <c r="A136">
        <f>IF(B136="","",133)</f>
        <v/>
      </c>
      <c r="B136">
        <f>IFERROR(INDEX('2.현장'!$AC$2:$AC$1001,MATCH(133,'2.현장'!$AD$2:$AD$1001,0)),"")</f>
        <v/>
      </c>
      <c r="C136">
        <f>IF(B136="","",COUNTIFS('2.현장'!$AC$2:$AC$1001,B136,'2.현장'!$T$2:$T$1001,TRUE))</f>
        <v/>
      </c>
      <c r="D136">
        <f>IF(B136="","",COUNTIFS('2.현장'!$AC$2:$AC$1001,B136,'2.현장'!$T$2:$T$1001,TRUE,'2.현장'!$AA$2:$AA$1001,"★"))</f>
        <v/>
      </c>
      <c r="E136" s="5">
        <f>IF(B136="","",_xlfn.MAXIFS('2.현장'!$D$2:$D$1001,'2.현장'!$AC$2:$AC$1001,B136,'2.현장'!$T$2:$T$1001,TRUE))</f>
        <v/>
      </c>
      <c r="F136" s="7">
        <f>IF(B136="","",IF(_xlfn.MAXIFS('2.현장'!$M$2:$M$1001,'2.현장'!$AC$2:$AC$1001,B136,'2.현장'!$T$2:$T$1001,TRUE)=0,"",_xlfn.MAXIFS('2.현장'!$M$2:$M$1001,'2.현장'!$AC$2:$AC$1001,B136,'2.현장'!$T$2:$T$1001,TRUE)))</f>
        <v/>
      </c>
      <c r="G136">
        <f>IF(B136="","",IFERROR(INDEX('2.현장'!$C$2:$C$1001,MATCH(133,'2.현장'!$AD$2:$AD$1001,0)),""))</f>
        <v/>
      </c>
      <c r="H136">
        <f>IF(B136="","",IFERROR(INDEX('2.현장'!$N$2:$N$1001,MATCH(133,'2.현장'!$AD$2:$AD$1001,0)),""))</f>
        <v/>
      </c>
      <c r="I136">
        <f>IF(B136="","",IFERROR(INDEX('2.현장'!$G$2:$G$1001,MATCH(133,'2.현장'!$AD$2:$AD$1001,0)),""))</f>
        <v/>
      </c>
      <c r="J136">
        <f>IF(B136="","",IFERROR(VLOOKUP(B136,업체_메모!$A$3:$I$302,2,FALSE)&amp;"",""))</f>
        <v/>
      </c>
      <c r="K136">
        <f>IF(B136="","",IFERROR(VLOOKUP(B136,업체_메모!$A$3:$I$302,4,FALSE)&amp;"",""))</f>
        <v/>
      </c>
      <c r="L136" s="7">
        <f>IF(B136="","",IF(COUNTIF('4.방문기록'!$B$3:$B$502,B136)=0,"",_xlfn.MAXIFS('4.방문기록'!$A$3:$A$502,'4.방문기록'!$B$3:$B$502,B136)))</f>
        <v/>
      </c>
      <c r="M136">
        <f>IF(L136="","",설정!$B$24-L136)</f>
        <v/>
      </c>
      <c r="N136">
        <f>IF(L136="","",IFERROR(INDEX('4.방문기록'!$H$3:$H$502,MATCH(B136&amp;"|"&amp;(L136*1),'4.방문기록'!$I$3:$I$502,0))&amp;"",""))</f>
        <v/>
      </c>
      <c r="O136">
        <f>IF(B136="","",IF(N136="관심 없음","제외",IF(L136="","안 가봄",IF(M136&gt;=설정!$B$20,M136&amp;"일 지남","최근 방문"))))</f>
        <v/>
      </c>
    </row>
    <row r="137">
      <c r="A137">
        <f>IF(B137="","",134)</f>
        <v/>
      </c>
      <c r="B137">
        <f>IFERROR(INDEX('2.현장'!$AC$2:$AC$1001,MATCH(134,'2.현장'!$AD$2:$AD$1001,0)),"")</f>
        <v/>
      </c>
      <c r="C137">
        <f>IF(B137="","",COUNTIFS('2.현장'!$AC$2:$AC$1001,B137,'2.현장'!$T$2:$T$1001,TRUE))</f>
        <v/>
      </c>
      <c r="D137">
        <f>IF(B137="","",COUNTIFS('2.현장'!$AC$2:$AC$1001,B137,'2.현장'!$T$2:$T$1001,TRUE,'2.현장'!$AA$2:$AA$1001,"★"))</f>
        <v/>
      </c>
      <c r="E137" s="5">
        <f>IF(B137="","",_xlfn.MAXIFS('2.현장'!$D$2:$D$1001,'2.현장'!$AC$2:$AC$1001,B137,'2.현장'!$T$2:$T$1001,TRUE))</f>
        <v/>
      </c>
      <c r="F137" s="7">
        <f>IF(B137="","",IF(_xlfn.MAXIFS('2.현장'!$M$2:$M$1001,'2.현장'!$AC$2:$AC$1001,B137,'2.현장'!$T$2:$T$1001,TRUE)=0,"",_xlfn.MAXIFS('2.현장'!$M$2:$M$1001,'2.현장'!$AC$2:$AC$1001,B137,'2.현장'!$T$2:$T$1001,TRUE)))</f>
        <v/>
      </c>
      <c r="G137">
        <f>IF(B137="","",IFERROR(INDEX('2.현장'!$C$2:$C$1001,MATCH(134,'2.현장'!$AD$2:$AD$1001,0)),""))</f>
        <v/>
      </c>
      <c r="H137">
        <f>IF(B137="","",IFERROR(INDEX('2.현장'!$N$2:$N$1001,MATCH(134,'2.현장'!$AD$2:$AD$1001,0)),""))</f>
        <v/>
      </c>
      <c r="I137">
        <f>IF(B137="","",IFERROR(INDEX('2.현장'!$G$2:$G$1001,MATCH(134,'2.현장'!$AD$2:$AD$1001,0)),""))</f>
        <v/>
      </c>
      <c r="J137">
        <f>IF(B137="","",IFERROR(VLOOKUP(B137,업체_메모!$A$3:$I$302,2,FALSE)&amp;"",""))</f>
        <v/>
      </c>
      <c r="K137">
        <f>IF(B137="","",IFERROR(VLOOKUP(B137,업체_메모!$A$3:$I$302,4,FALSE)&amp;"",""))</f>
        <v/>
      </c>
      <c r="L137" s="7">
        <f>IF(B137="","",IF(COUNTIF('4.방문기록'!$B$3:$B$502,B137)=0,"",_xlfn.MAXIFS('4.방문기록'!$A$3:$A$502,'4.방문기록'!$B$3:$B$502,B137)))</f>
        <v/>
      </c>
      <c r="M137">
        <f>IF(L137="","",설정!$B$24-L137)</f>
        <v/>
      </c>
      <c r="N137">
        <f>IF(L137="","",IFERROR(INDEX('4.방문기록'!$H$3:$H$502,MATCH(B137&amp;"|"&amp;(L137*1),'4.방문기록'!$I$3:$I$502,0))&amp;"",""))</f>
        <v/>
      </c>
      <c r="O137">
        <f>IF(B137="","",IF(N137="관심 없음","제외",IF(L137="","안 가봄",IF(M137&gt;=설정!$B$20,M137&amp;"일 지남","최근 방문"))))</f>
        <v/>
      </c>
    </row>
    <row r="138">
      <c r="A138">
        <f>IF(B138="","",135)</f>
        <v/>
      </c>
      <c r="B138">
        <f>IFERROR(INDEX('2.현장'!$AC$2:$AC$1001,MATCH(135,'2.현장'!$AD$2:$AD$1001,0)),"")</f>
        <v/>
      </c>
      <c r="C138">
        <f>IF(B138="","",COUNTIFS('2.현장'!$AC$2:$AC$1001,B138,'2.현장'!$T$2:$T$1001,TRUE))</f>
        <v/>
      </c>
      <c r="D138">
        <f>IF(B138="","",COUNTIFS('2.현장'!$AC$2:$AC$1001,B138,'2.현장'!$T$2:$T$1001,TRUE,'2.현장'!$AA$2:$AA$1001,"★"))</f>
        <v/>
      </c>
      <c r="E138" s="5">
        <f>IF(B138="","",_xlfn.MAXIFS('2.현장'!$D$2:$D$1001,'2.현장'!$AC$2:$AC$1001,B138,'2.현장'!$T$2:$T$1001,TRUE))</f>
        <v/>
      </c>
      <c r="F138" s="7">
        <f>IF(B138="","",IF(_xlfn.MAXIFS('2.현장'!$M$2:$M$1001,'2.현장'!$AC$2:$AC$1001,B138,'2.현장'!$T$2:$T$1001,TRUE)=0,"",_xlfn.MAXIFS('2.현장'!$M$2:$M$1001,'2.현장'!$AC$2:$AC$1001,B138,'2.현장'!$T$2:$T$1001,TRUE)))</f>
        <v/>
      </c>
      <c r="G138">
        <f>IF(B138="","",IFERROR(INDEX('2.현장'!$C$2:$C$1001,MATCH(135,'2.현장'!$AD$2:$AD$1001,0)),""))</f>
        <v/>
      </c>
      <c r="H138">
        <f>IF(B138="","",IFERROR(INDEX('2.현장'!$N$2:$N$1001,MATCH(135,'2.현장'!$AD$2:$AD$1001,0)),""))</f>
        <v/>
      </c>
      <c r="I138">
        <f>IF(B138="","",IFERROR(INDEX('2.현장'!$G$2:$G$1001,MATCH(135,'2.현장'!$AD$2:$AD$1001,0)),""))</f>
        <v/>
      </c>
      <c r="J138">
        <f>IF(B138="","",IFERROR(VLOOKUP(B138,업체_메모!$A$3:$I$302,2,FALSE)&amp;"",""))</f>
        <v/>
      </c>
      <c r="K138">
        <f>IF(B138="","",IFERROR(VLOOKUP(B138,업체_메모!$A$3:$I$302,4,FALSE)&amp;"",""))</f>
        <v/>
      </c>
      <c r="L138" s="7">
        <f>IF(B138="","",IF(COUNTIF('4.방문기록'!$B$3:$B$502,B138)=0,"",_xlfn.MAXIFS('4.방문기록'!$A$3:$A$502,'4.방문기록'!$B$3:$B$502,B138)))</f>
        <v/>
      </c>
      <c r="M138">
        <f>IF(L138="","",설정!$B$24-L138)</f>
        <v/>
      </c>
      <c r="N138">
        <f>IF(L138="","",IFERROR(INDEX('4.방문기록'!$H$3:$H$502,MATCH(B138&amp;"|"&amp;(L138*1),'4.방문기록'!$I$3:$I$502,0))&amp;"",""))</f>
        <v/>
      </c>
      <c r="O138">
        <f>IF(B138="","",IF(N138="관심 없음","제외",IF(L138="","안 가봄",IF(M138&gt;=설정!$B$20,M138&amp;"일 지남","최근 방문"))))</f>
        <v/>
      </c>
    </row>
    <row r="139">
      <c r="A139">
        <f>IF(B139="","",136)</f>
        <v/>
      </c>
      <c r="B139">
        <f>IFERROR(INDEX('2.현장'!$AC$2:$AC$1001,MATCH(136,'2.현장'!$AD$2:$AD$1001,0)),"")</f>
        <v/>
      </c>
      <c r="C139">
        <f>IF(B139="","",COUNTIFS('2.현장'!$AC$2:$AC$1001,B139,'2.현장'!$T$2:$T$1001,TRUE))</f>
        <v/>
      </c>
      <c r="D139">
        <f>IF(B139="","",COUNTIFS('2.현장'!$AC$2:$AC$1001,B139,'2.현장'!$T$2:$T$1001,TRUE,'2.현장'!$AA$2:$AA$1001,"★"))</f>
        <v/>
      </c>
      <c r="E139" s="5">
        <f>IF(B139="","",_xlfn.MAXIFS('2.현장'!$D$2:$D$1001,'2.현장'!$AC$2:$AC$1001,B139,'2.현장'!$T$2:$T$1001,TRUE))</f>
        <v/>
      </c>
      <c r="F139" s="7">
        <f>IF(B139="","",IF(_xlfn.MAXIFS('2.현장'!$M$2:$M$1001,'2.현장'!$AC$2:$AC$1001,B139,'2.현장'!$T$2:$T$1001,TRUE)=0,"",_xlfn.MAXIFS('2.현장'!$M$2:$M$1001,'2.현장'!$AC$2:$AC$1001,B139,'2.현장'!$T$2:$T$1001,TRUE)))</f>
        <v/>
      </c>
      <c r="G139">
        <f>IF(B139="","",IFERROR(INDEX('2.현장'!$C$2:$C$1001,MATCH(136,'2.현장'!$AD$2:$AD$1001,0)),""))</f>
        <v/>
      </c>
      <c r="H139">
        <f>IF(B139="","",IFERROR(INDEX('2.현장'!$N$2:$N$1001,MATCH(136,'2.현장'!$AD$2:$AD$1001,0)),""))</f>
        <v/>
      </c>
      <c r="I139">
        <f>IF(B139="","",IFERROR(INDEX('2.현장'!$G$2:$G$1001,MATCH(136,'2.현장'!$AD$2:$AD$1001,0)),""))</f>
        <v/>
      </c>
      <c r="J139">
        <f>IF(B139="","",IFERROR(VLOOKUP(B139,업체_메모!$A$3:$I$302,2,FALSE)&amp;"",""))</f>
        <v/>
      </c>
      <c r="K139">
        <f>IF(B139="","",IFERROR(VLOOKUP(B139,업체_메모!$A$3:$I$302,4,FALSE)&amp;"",""))</f>
        <v/>
      </c>
      <c r="L139" s="7">
        <f>IF(B139="","",IF(COUNTIF('4.방문기록'!$B$3:$B$502,B139)=0,"",_xlfn.MAXIFS('4.방문기록'!$A$3:$A$502,'4.방문기록'!$B$3:$B$502,B139)))</f>
        <v/>
      </c>
      <c r="M139">
        <f>IF(L139="","",설정!$B$24-L139)</f>
        <v/>
      </c>
      <c r="N139">
        <f>IF(L139="","",IFERROR(INDEX('4.방문기록'!$H$3:$H$502,MATCH(B139&amp;"|"&amp;(L139*1),'4.방문기록'!$I$3:$I$502,0))&amp;"",""))</f>
        <v/>
      </c>
      <c r="O139">
        <f>IF(B139="","",IF(N139="관심 없음","제외",IF(L139="","안 가봄",IF(M139&gt;=설정!$B$20,M139&amp;"일 지남","최근 방문"))))</f>
        <v/>
      </c>
    </row>
    <row r="140">
      <c r="A140">
        <f>IF(B140="","",137)</f>
        <v/>
      </c>
      <c r="B140">
        <f>IFERROR(INDEX('2.현장'!$AC$2:$AC$1001,MATCH(137,'2.현장'!$AD$2:$AD$1001,0)),"")</f>
        <v/>
      </c>
      <c r="C140">
        <f>IF(B140="","",COUNTIFS('2.현장'!$AC$2:$AC$1001,B140,'2.현장'!$T$2:$T$1001,TRUE))</f>
        <v/>
      </c>
      <c r="D140">
        <f>IF(B140="","",COUNTIFS('2.현장'!$AC$2:$AC$1001,B140,'2.현장'!$T$2:$T$1001,TRUE,'2.현장'!$AA$2:$AA$1001,"★"))</f>
        <v/>
      </c>
      <c r="E140" s="5">
        <f>IF(B140="","",_xlfn.MAXIFS('2.현장'!$D$2:$D$1001,'2.현장'!$AC$2:$AC$1001,B140,'2.현장'!$T$2:$T$1001,TRUE))</f>
        <v/>
      </c>
      <c r="F140" s="7">
        <f>IF(B140="","",IF(_xlfn.MAXIFS('2.현장'!$M$2:$M$1001,'2.현장'!$AC$2:$AC$1001,B140,'2.현장'!$T$2:$T$1001,TRUE)=0,"",_xlfn.MAXIFS('2.현장'!$M$2:$M$1001,'2.현장'!$AC$2:$AC$1001,B140,'2.현장'!$T$2:$T$1001,TRUE)))</f>
        <v/>
      </c>
      <c r="G140">
        <f>IF(B140="","",IFERROR(INDEX('2.현장'!$C$2:$C$1001,MATCH(137,'2.현장'!$AD$2:$AD$1001,0)),""))</f>
        <v/>
      </c>
      <c r="H140">
        <f>IF(B140="","",IFERROR(INDEX('2.현장'!$N$2:$N$1001,MATCH(137,'2.현장'!$AD$2:$AD$1001,0)),""))</f>
        <v/>
      </c>
      <c r="I140">
        <f>IF(B140="","",IFERROR(INDEX('2.현장'!$G$2:$G$1001,MATCH(137,'2.현장'!$AD$2:$AD$1001,0)),""))</f>
        <v/>
      </c>
      <c r="J140">
        <f>IF(B140="","",IFERROR(VLOOKUP(B140,업체_메모!$A$3:$I$302,2,FALSE)&amp;"",""))</f>
        <v/>
      </c>
      <c r="K140">
        <f>IF(B140="","",IFERROR(VLOOKUP(B140,업체_메모!$A$3:$I$302,4,FALSE)&amp;"",""))</f>
        <v/>
      </c>
      <c r="L140" s="7">
        <f>IF(B140="","",IF(COUNTIF('4.방문기록'!$B$3:$B$502,B140)=0,"",_xlfn.MAXIFS('4.방문기록'!$A$3:$A$502,'4.방문기록'!$B$3:$B$502,B140)))</f>
        <v/>
      </c>
      <c r="M140">
        <f>IF(L140="","",설정!$B$24-L140)</f>
        <v/>
      </c>
      <c r="N140">
        <f>IF(L140="","",IFERROR(INDEX('4.방문기록'!$H$3:$H$502,MATCH(B140&amp;"|"&amp;(L140*1),'4.방문기록'!$I$3:$I$502,0))&amp;"",""))</f>
        <v/>
      </c>
      <c r="O140">
        <f>IF(B140="","",IF(N140="관심 없음","제외",IF(L140="","안 가봄",IF(M140&gt;=설정!$B$20,M140&amp;"일 지남","최근 방문"))))</f>
        <v/>
      </c>
    </row>
    <row r="141">
      <c r="A141">
        <f>IF(B141="","",138)</f>
        <v/>
      </c>
      <c r="B141">
        <f>IFERROR(INDEX('2.현장'!$AC$2:$AC$1001,MATCH(138,'2.현장'!$AD$2:$AD$1001,0)),"")</f>
        <v/>
      </c>
      <c r="C141">
        <f>IF(B141="","",COUNTIFS('2.현장'!$AC$2:$AC$1001,B141,'2.현장'!$T$2:$T$1001,TRUE))</f>
        <v/>
      </c>
      <c r="D141">
        <f>IF(B141="","",COUNTIFS('2.현장'!$AC$2:$AC$1001,B141,'2.현장'!$T$2:$T$1001,TRUE,'2.현장'!$AA$2:$AA$1001,"★"))</f>
        <v/>
      </c>
      <c r="E141" s="5">
        <f>IF(B141="","",_xlfn.MAXIFS('2.현장'!$D$2:$D$1001,'2.현장'!$AC$2:$AC$1001,B141,'2.현장'!$T$2:$T$1001,TRUE))</f>
        <v/>
      </c>
      <c r="F141" s="7">
        <f>IF(B141="","",IF(_xlfn.MAXIFS('2.현장'!$M$2:$M$1001,'2.현장'!$AC$2:$AC$1001,B141,'2.현장'!$T$2:$T$1001,TRUE)=0,"",_xlfn.MAXIFS('2.현장'!$M$2:$M$1001,'2.현장'!$AC$2:$AC$1001,B141,'2.현장'!$T$2:$T$1001,TRUE)))</f>
        <v/>
      </c>
      <c r="G141">
        <f>IF(B141="","",IFERROR(INDEX('2.현장'!$C$2:$C$1001,MATCH(138,'2.현장'!$AD$2:$AD$1001,0)),""))</f>
        <v/>
      </c>
      <c r="H141">
        <f>IF(B141="","",IFERROR(INDEX('2.현장'!$N$2:$N$1001,MATCH(138,'2.현장'!$AD$2:$AD$1001,0)),""))</f>
        <v/>
      </c>
      <c r="I141">
        <f>IF(B141="","",IFERROR(INDEX('2.현장'!$G$2:$G$1001,MATCH(138,'2.현장'!$AD$2:$AD$1001,0)),""))</f>
        <v/>
      </c>
      <c r="J141">
        <f>IF(B141="","",IFERROR(VLOOKUP(B141,업체_메모!$A$3:$I$302,2,FALSE)&amp;"",""))</f>
        <v/>
      </c>
      <c r="K141">
        <f>IF(B141="","",IFERROR(VLOOKUP(B141,업체_메모!$A$3:$I$302,4,FALSE)&amp;"",""))</f>
        <v/>
      </c>
      <c r="L141" s="7">
        <f>IF(B141="","",IF(COUNTIF('4.방문기록'!$B$3:$B$502,B141)=0,"",_xlfn.MAXIFS('4.방문기록'!$A$3:$A$502,'4.방문기록'!$B$3:$B$502,B141)))</f>
        <v/>
      </c>
      <c r="M141">
        <f>IF(L141="","",설정!$B$24-L141)</f>
        <v/>
      </c>
      <c r="N141">
        <f>IF(L141="","",IFERROR(INDEX('4.방문기록'!$H$3:$H$502,MATCH(B141&amp;"|"&amp;(L141*1),'4.방문기록'!$I$3:$I$502,0))&amp;"",""))</f>
        <v/>
      </c>
      <c r="O141">
        <f>IF(B141="","",IF(N141="관심 없음","제외",IF(L141="","안 가봄",IF(M141&gt;=설정!$B$20,M141&amp;"일 지남","최근 방문"))))</f>
        <v/>
      </c>
    </row>
    <row r="142">
      <c r="A142">
        <f>IF(B142="","",139)</f>
        <v/>
      </c>
      <c r="B142">
        <f>IFERROR(INDEX('2.현장'!$AC$2:$AC$1001,MATCH(139,'2.현장'!$AD$2:$AD$1001,0)),"")</f>
        <v/>
      </c>
      <c r="C142">
        <f>IF(B142="","",COUNTIFS('2.현장'!$AC$2:$AC$1001,B142,'2.현장'!$T$2:$T$1001,TRUE))</f>
        <v/>
      </c>
      <c r="D142">
        <f>IF(B142="","",COUNTIFS('2.현장'!$AC$2:$AC$1001,B142,'2.현장'!$T$2:$T$1001,TRUE,'2.현장'!$AA$2:$AA$1001,"★"))</f>
        <v/>
      </c>
      <c r="E142" s="5">
        <f>IF(B142="","",_xlfn.MAXIFS('2.현장'!$D$2:$D$1001,'2.현장'!$AC$2:$AC$1001,B142,'2.현장'!$T$2:$T$1001,TRUE))</f>
        <v/>
      </c>
      <c r="F142" s="7">
        <f>IF(B142="","",IF(_xlfn.MAXIFS('2.현장'!$M$2:$M$1001,'2.현장'!$AC$2:$AC$1001,B142,'2.현장'!$T$2:$T$1001,TRUE)=0,"",_xlfn.MAXIFS('2.현장'!$M$2:$M$1001,'2.현장'!$AC$2:$AC$1001,B142,'2.현장'!$T$2:$T$1001,TRUE)))</f>
        <v/>
      </c>
      <c r="G142">
        <f>IF(B142="","",IFERROR(INDEX('2.현장'!$C$2:$C$1001,MATCH(139,'2.현장'!$AD$2:$AD$1001,0)),""))</f>
        <v/>
      </c>
      <c r="H142">
        <f>IF(B142="","",IFERROR(INDEX('2.현장'!$N$2:$N$1001,MATCH(139,'2.현장'!$AD$2:$AD$1001,0)),""))</f>
        <v/>
      </c>
      <c r="I142">
        <f>IF(B142="","",IFERROR(INDEX('2.현장'!$G$2:$G$1001,MATCH(139,'2.현장'!$AD$2:$AD$1001,0)),""))</f>
        <v/>
      </c>
      <c r="J142">
        <f>IF(B142="","",IFERROR(VLOOKUP(B142,업체_메모!$A$3:$I$302,2,FALSE)&amp;"",""))</f>
        <v/>
      </c>
      <c r="K142">
        <f>IF(B142="","",IFERROR(VLOOKUP(B142,업체_메모!$A$3:$I$302,4,FALSE)&amp;"",""))</f>
        <v/>
      </c>
      <c r="L142" s="7">
        <f>IF(B142="","",IF(COUNTIF('4.방문기록'!$B$3:$B$502,B142)=0,"",_xlfn.MAXIFS('4.방문기록'!$A$3:$A$502,'4.방문기록'!$B$3:$B$502,B142)))</f>
        <v/>
      </c>
      <c r="M142">
        <f>IF(L142="","",설정!$B$24-L142)</f>
        <v/>
      </c>
      <c r="N142">
        <f>IF(L142="","",IFERROR(INDEX('4.방문기록'!$H$3:$H$502,MATCH(B142&amp;"|"&amp;(L142*1),'4.방문기록'!$I$3:$I$502,0))&amp;"",""))</f>
        <v/>
      </c>
      <c r="O142">
        <f>IF(B142="","",IF(N142="관심 없음","제외",IF(L142="","안 가봄",IF(M142&gt;=설정!$B$20,M142&amp;"일 지남","최근 방문"))))</f>
        <v/>
      </c>
    </row>
    <row r="143">
      <c r="A143">
        <f>IF(B143="","",140)</f>
        <v/>
      </c>
      <c r="B143">
        <f>IFERROR(INDEX('2.현장'!$AC$2:$AC$1001,MATCH(140,'2.현장'!$AD$2:$AD$1001,0)),"")</f>
        <v/>
      </c>
      <c r="C143">
        <f>IF(B143="","",COUNTIFS('2.현장'!$AC$2:$AC$1001,B143,'2.현장'!$T$2:$T$1001,TRUE))</f>
        <v/>
      </c>
      <c r="D143">
        <f>IF(B143="","",COUNTIFS('2.현장'!$AC$2:$AC$1001,B143,'2.현장'!$T$2:$T$1001,TRUE,'2.현장'!$AA$2:$AA$1001,"★"))</f>
        <v/>
      </c>
      <c r="E143" s="5">
        <f>IF(B143="","",_xlfn.MAXIFS('2.현장'!$D$2:$D$1001,'2.현장'!$AC$2:$AC$1001,B143,'2.현장'!$T$2:$T$1001,TRUE))</f>
        <v/>
      </c>
      <c r="F143" s="7">
        <f>IF(B143="","",IF(_xlfn.MAXIFS('2.현장'!$M$2:$M$1001,'2.현장'!$AC$2:$AC$1001,B143,'2.현장'!$T$2:$T$1001,TRUE)=0,"",_xlfn.MAXIFS('2.현장'!$M$2:$M$1001,'2.현장'!$AC$2:$AC$1001,B143,'2.현장'!$T$2:$T$1001,TRUE)))</f>
        <v/>
      </c>
      <c r="G143">
        <f>IF(B143="","",IFERROR(INDEX('2.현장'!$C$2:$C$1001,MATCH(140,'2.현장'!$AD$2:$AD$1001,0)),""))</f>
        <v/>
      </c>
      <c r="H143">
        <f>IF(B143="","",IFERROR(INDEX('2.현장'!$N$2:$N$1001,MATCH(140,'2.현장'!$AD$2:$AD$1001,0)),""))</f>
        <v/>
      </c>
      <c r="I143">
        <f>IF(B143="","",IFERROR(INDEX('2.현장'!$G$2:$G$1001,MATCH(140,'2.현장'!$AD$2:$AD$1001,0)),""))</f>
        <v/>
      </c>
      <c r="J143">
        <f>IF(B143="","",IFERROR(VLOOKUP(B143,업체_메모!$A$3:$I$302,2,FALSE)&amp;"",""))</f>
        <v/>
      </c>
      <c r="K143">
        <f>IF(B143="","",IFERROR(VLOOKUP(B143,업체_메모!$A$3:$I$302,4,FALSE)&amp;"",""))</f>
        <v/>
      </c>
      <c r="L143" s="7">
        <f>IF(B143="","",IF(COUNTIF('4.방문기록'!$B$3:$B$502,B143)=0,"",_xlfn.MAXIFS('4.방문기록'!$A$3:$A$502,'4.방문기록'!$B$3:$B$502,B143)))</f>
        <v/>
      </c>
      <c r="M143">
        <f>IF(L143="","",설정!$B$24-L143)</f>
        <v/>
      </c>
      <c r="N143">
        <f>IF(L143="","",IFERROR(INDEX('4.방문기록'!$H$3:$H$502,MATCH(B143&amp;"|"&amp;(L143*1),'4.방문기록'!$I$3:$I$502,0))&amp;"",""))</f>
        <v/>
      </c>
      <c r="O143">
        <f>IF(B143="","",IF(N143="관심 없음","제외",IF(L143="","안 가봄",IF(M143&gt;=설정!$B$20,M143&amp;"일 지남","최근 방문"))))</f>
        <v/>
      </c>
    </row>
    <row r="144">
      <c r="A144">
        <f>IF(B144="","",141)</f>
        <v/>
      </c>
      <c r="B144">
        <f>IFERROR(INDEX('2.현장'!$AC$2:$AC$1001,MATCH(141,'2.현장'!$AD$2:$AD$1001,0)),"")</f>
        <v/>
      </c>
      <c r="C144">
        <f>IF(B144="","",COUNTIFS('2.현장'!$AC$2:$AC$1001,B144,'2.현장'!$T$2:$T$1001,TRUE))</f>
        <v/>
      </c>
      <c r="D144">
        <f>IF(B144="","",COUNTIFS('2.현장'!$AC$2:$AC$1001,B144,'2.현장'!$T$2:$T$1001,TRUE,'2.현장'!$AA$2:$AA$1001,"★"))</f>
        <v/>
      </c>
      <c r="E144" s="5">
        <f>IF(B144="","",_xlfn.MAXIFS('2.현장'!$D$2:$D$1001,'2.현장'!$AC$2:$AC$1001,B144,'2.현장'!$T$2:$T$1001,TRUE))</f>
        <v/>
      </c>
      <c r="F144" s="7">
        <f>IF(B144="","",IF(_xlfn.MAXIFS('2.현장'!$M$2:$M$1001,'2.현장'!$AC$2:$AC$1001,B144,'2.현장'!$T$2:$T$1001,TRUE)=0,"",_xlfn.MAXIFS('2.현장'!$M$2:$M$1001,'2.현장'!$AC$2:$AC$1001,B144,'2.현장'!$T$2:$T$1001,TRUE)))</f>
        <v/>
      </c>
      <c r="G144">
        <f>IF(B144="","",IFERROR(INDEX('2.현장'!$C$2:$C$1001,MATCH(141,'2.현장'!$AD$2:$AD$1001,0)),""))</f>
        <v/>
      </c>
      <c r="H144">
        <f>IF(B144="","",IFERROR(INDEX('2.현장'!$N$2:$N$1001,MATCH(141,'2.현장'!$AD$2:$AD$1001,0)),""))</f>
        <v/>
      </c>
      <c r="I144">
        <f>IF(B144="","",IFERROR(INDEX('2.현장'!$G$2:$G$1001,MATCH(141,'2.현장'!$AD$2:$AD$1001,0)),""))</f>
        <v/>
      </c>
      <c r="J144">
        <f>IF(B144="","",IFERROR(VLOOKUP(B144,업체_메모!$A$3:$I$302,2,FALSE)&amp;"",""))</f>
        <v/>
      </c>
      <c r="K144">
        <f>IF(B144="","",IFERROR(VLOOKUP(B144,업체_메모!$A$3:$I$302,4,FALSE)&amp;"",""))</f>
        <v/>
      </c>
      <c r="L144" s="7">
        <f>IF(B144="","",IF(COUNTIF('4.방문기록'!$B$3:$B$502,B144)=0,"",_xlfn.MAXIFS('4.방문기록'!$A$3:$A$502,'4.방문기록'!$B$3:$B$502,B144)))</f>
        <v/>
      </c>
      <c r="M144">
        <f>IF(L144="","",설정!$B$24-L144)</f>
        <v/>
      </c>
      <c r="N144">
        <f>IF(L144="","",IFERROR(INDEX('4.방문기록'!$H$3:$H$502,MATCH(B144&amp;"|"&amp;(L144*1),'4.방문기록'!$I$3:$I$502,0))&amp;"",""))</f>
        <v/>
      </c>
      <c r="O144">
        <f>IF(B144="","",IF(N144="관심 없음","제외",IF(L144="","안 가봄",IF(M144&gt;=설정!$B$20,M144&amp;"일 지남","최근 방문"))))</f>
        <v/>
      </c>
    </row>
    <row r="145">
      <c r="A145">
        <f>IF(B145="","",142)</f>
        <v/>
      </c>
      <c r="B145">
        <f>IFERROR(INDEX('2.현장'!$AC$2:$AC$1001,MATCH(142,'2.현장'!$AD$2:$AD$1001,0)),"")</f>
        <v/>
      </c>
      <c r="C145">
        <f>IF(B145="","",COUNTIFS('2.현장'!$AC$2:$AC$1001,B145,'2.현장'!$T$2:$T$1001,TRUE))</f>
        <v/>
      </c>
      <c r="D145">
        <f>IF(B145="","",COUNTIFS('2.현장'!$AC$2:$AC$1001,B145,'2.현장'!$T$2:$T$1001,TRUE,'2.현장'!$AA$2:$AA$1001,"★"))</f>
        <v/>
      </c>
      <c r="E145" s="5">
        <f>IF(B145="","",_xlfn.MAXIFS('2.현장'!$D$2:$D$1001,'2.현장'!$AC$2:$AC$1001,B145,'2.현장'!$T$2:$T$1001,TRUE))</f>
        <v/>
      </c>
      <c r="F145" s="7">
        <f>IF(B145="","",IF(_xlfn.MAXIFS('2.현장'!$M$2:$M$1001,'2.현장'!$AC$2:$AC$1001,B145,'2.현장'!$T$2:$T$1001,TRUE)=0,"",_xlfn.MAXIFS('2.현장'!$M$2:$M$1001,'2.현장'!$AC$2:$AC$1001,B145,'2.현장'!$T$2:$T$1001,TRUE)))</f>
        <v/>
      </c>
      <c r="G145">
        <f>IF(B145="","",IFERROR(INDEX('2.현장'!$C$2:$C$1001,MATCH(142,'2.현장'!$AD$2:$AD$1001,0)),""))</f>
        <v/>
      </c>
      <c r="H145">
        <f>IF(B145="","",IFERROR(INDEX('2.현장'!$N$2:$N$1001,MATCH(142,'2.현장'!$AD$2:$AD$1001,0)),""))</f>
        <v/>
      </c>
      <c r="I145">
        <f>IF(B145="","",IFERROR(INDEX('2.현장'!$G$2:$G$1001,MATCH(142,'2.현장'!$AD$2:$AD$1001,0)),""))</f>
        <v/>
      </c>
      <c r="J145">
        <f>IF(B145="","",IFERROR(VLOOKUP(B145,업체_메모!$A$3:$I$302,2,FALSE)&amp;"",""))</f>
        <v/>
      </c>
      <c r="K145">
        <f>IF(B145="","",IFERROR(VLOOKUP(B145,업체_메모!$A$3:$I$302,4,FALSE)&amp;"",""))</f>
        <v/>
      </c>
      <c r="L145" s="7">
        <f>IF(B145="","",IF(COUNTIF('4.방문기록'!$B$3:$B$502,B145)=0,"",_xlfn.MAXIFS('4.방문기록'!$A$3:$A$502,'4.방문기록'!$B$3:$B$502,B145)))</f>
        <v/>
      </c>
      <c r="M145">
        <f>IF(L145="","",설정!$B$24-L145)</f>
        <v/>
      </c>
      <c r="N145">
        <f>IF(L145="","",IFERROR(INDEX('4.방문기록'!$H$3:$H$502,MATCH(B145&amp;"|"&amp;(L145*1),'4.방문기록'!$I$3:$I$502,0))&amp;"",""))</f>
        <v/>
      </c>
      <c r="O145">
        <f>IF(B145="","",IF(N145="관심 없음","제외",IF(L145="","안 가봄",IF(M145&gt;=설정!$B$20,M145&amp;"일 지남","최근 방문"))))</f>
        <v/>
      </c>
    </row>
    <row r="146">
      <c r="A146">
        <f>IF(B146="","",143)</f>
        <v/>
      </c>
      <c r="B146">
        <f>IFERROR(INDEX('2.현장'!$AC$2:$AC$1001,MATCH(143,'2.현장'!$AD$2:$AD$1001,0)),"")</f>
        <v/>
      </c>
      <c r="C146">
        <f>IF(B146="","",COUNTIFS('2.현장'!$AC$2:$AC$1001,B146,'2.현장'!$T$2:$T$1001,TRUE))</f>
        <v/>
      </c>
      <c r="D146">
        <f>IF(B146="","",COUNTIFS('2.현장'!$AC$2:$AC$1001,B146,'2.현장'!$T$2:$T$1001,TRUE,'2.현장'!$AA$2:$AA$1001,"★"))</f>
        <v/>
      </c>
      <c r="E146" s="5">
        <f>IF(B146="","",_xlfn.MAXIFS('2.현장'!$D$2:$D$1001,'2.현장'!$AC$2:$AC$1001,B146,'2.현장'!$T$2:$T$1001,TRUE))</f>
        <v/>
      </c>
      <c r="F146" s="7">
        <f>IF(B146="","",IF(_xlfn.MAXIFS('2.현장'!$M$2:$M$1001,'2.현장'!$AC$2:$AC$1001,B146,'2.현장'!$T$2:$T$1001,TRUE)=0,"",_xlfn.MAXIFS('2.현장'!$M$2:$M$1001,'2.현장'!$AC$2:$AC$1001,B146,'2.현장'!$T$2:$T$1001,TRUE)))</f>
        <v/>
      </c>
      <c r="G146">
        <f>IF(B146="","",IFERROR(INDEX('2.현장'!$C$2:$C$1001,MATCH(143,'2.현장'!$AD$2:$AD$1001,0)),""))</f>
        <v/>
      </c>
      <c r="H146">
        <f>IF(B146="","",IFERROR(INDEX('2.현장'!$N$2:$N$1001,MATCH(143,'2.현장'!$AD$2:$AD$1001,0)),""))</f>
        <v/>
      </c>
      <c r="I146">
        <f>IF(B146="","",IFERROR(INDEX('2.현장'!$G$2:$G$1001,MATCH(143,'2.현장'!$AD$2:$AD$1001,0)),""))</f>
        <v/>
      </c>
      <c r="J146">
        <f>IF(B146="","",IFERROR(VLOOKUP(B146,업체_메모!$A$3:$I$302,2,FALSE)&amp;"",""))</f>
        <v/>
      </c>
      <c r="K146">
        <f>IF(B146="","",IFERROR(VLOOKUP(B146,업체_메모!$A$3:$I$302,4,FALSE)&amp;"",""))</f>
        <v/>
      </c>
      <c r="L146" s="7">
        <f>IF(B146="","",IF(COUNTIF('4.방문기록'!$B$3:$B$502,B146)=0,"",_xlfn.MAXIFS('4.방문기록'!$A$3:$A$502,'4.방문기록'!$B$3:$B$502,B146)))</f>
        <v/>
      </c>
      <c r="M146">
        <f>IF(L146="","",설정!$B$24-L146)</f>
        <v/>
      </c>
      <c r="N146">
        <f>IF(L146="","",IFERROR(INDEX('4.방문기록'!$H$3:$H$502,MATCH(B146&amp;"|"&amp;(L146*1),'4.방문기록'!$I$3:$I$502,0))&amp;"",""))</f>
        <v/>
      </c>
      <c r="O146">
        <f>IF(B146="","",IF(N146="관심 없음","제외",IF(L146="","안 가봄",IF(M146&gt;=설정!$B$20,M146&amp;"일 지남","최근 방문"))))</f>
        <v/>
      </c>
    </row>
    <row r="147">
      <c r="A147">
        <f>IF(B147="","",144)</f>
        <v/>
      </c>
      <c r="B147">
        <f>IFERROR(INDEX('2.현장'!$AC$2:$AC$1001,MATCH(144,'2.현장'!$AD$2:$AD$1001,0)),"")</f>
        <v/>
      </c>
      <c r="C147">
        <f>IF(B147="","",COUNTIFS('2.현장'!$AC$2:$AC$1001,B147,'2.현장'!$T$2:$T$1001,TRUE))</f>
        <v/>
      </c>
      <c r="D147">
        <f>IF(B147="","",COUNTIFS('2.현장'!$AC$2:$AC$1001,B147,'2.현장'!$T$2:$T$1001,TRUE,'2.현장'!$AA$2:$AA$1001,"★"))</f>
        <v/>
      </c>
      <c r="E147" s="5">
        <f>IF(B147="","",_xlfn.MAXIFS('2.현장'!$D$2:$D$1001,'2.현장'!$AC$2:$AC$1001,B147,'2.현장'!$T$2:$T$1001,TRUE))</f>
        <v/>
      </c>
      <c r="F147" s="7">
        <f>IF(B147="","",IF(_xlfn.MAXIFS('2.현장'!$M$2:$M$1001,'2.현장'!$AC$2:$AC$1001,B147,'2.현장'!$T$2:$T$1001,TRUE)=0,"",_xlfn.MAXIFS('2.현장'!$M$2:$M$1001,'2.현장'!$AC$2:$AC$1001,B147,'2.현장'!$T$2:$T$1001,TRUE)))</f>
        <v/>
      </c>
      <c r="G147">
        <f>IF(B147="","",IFERROR(INDEX('2.현장'!$C$2:$C$1001,MATCH(144,'2.현장'!$AD$2:$AD$1001,0)),""))</f>
        <v/>
      </c>
      <c r="H147">
        <f>IF(B147="","",IFERROR(INDEX('2.현장'!$N$2:$N$1001,MATCH(144,'2.현장'!$AD$2:$AD$1001,0)),""))</f>
        <v/>
      </c>
      <c r="I147">
        <f>IF(B147="","",IFERROR(INDEX('2.현장'!$G$2:$G$1001,MATCH(144,'2.현장'!$AD$2:$AD$1001,0)),""))</f>
        <v/>
      </c>
      <c r="J147">
        <f>IF(B147="","",IFERROR(VLOOKUP(B147,업체_메모!$A$3:$I$302,2,FALSE)&amp;"",""))</f>
        <v/>
      </c>
      <c r="K147">
        <f>IF(B147="","",IFERROR(VLOOKUP(B147,업체_메모!$A$3:$I$302,4,FALSE)&amp;"",""))</f>
        <v/>
      </c>
      <c r="L147" s="7">
        <f>IF(B147="","",IF(COUNTIF('4.방문기록'!$B$3:$B$502,B147)=0,"",_xlfn.MAXIFS('4.방문기록'!$A$3:$A$502,'4.방문기록'!$B$3:$B$502,B147)))</f>
        <v/>
      </c>
      <c r="M147">
        <f>IF(L147="","",설정!$B$24-L147)</f>
        <v/>
      </c>
      <c r="N147">
        <f>IF(L147="","",IFERROR(INDEX('4.방문기록'!$H$3:$H$502,MATCH(B147&amp;"|"&amp;(L147*1),'4.방문기록'!$I$3:$I$502,0))&amp;"",""))</f>
        <v/>
      </c>
      <c r="O147">
        <f>IF(B147="","",IF(N147="관심 없음","제외",IF(L147="","안 가봄",IF(M147&gt;=설정!$B$20,M147&amp;"일 지남","최근 방문"))))</f>
        <v/>
      </c>
    </row>
    <row r="148">
      <c r="A148">
        <f>IF(B148="","",145)</f>
        <v/>
      </c>
      <c r="B148">
        <f>IFERROR(INDEX('2.현장'!$AC$2:$AC$1001,MATCH(145,'2.현장'!$AD$2:$AD$1001,0)),"")</f>
        <v/>
      </c>
      <c r="C148">
        <f>IF(B148="","",COUNTIFS('2.현장'!$AC$2:$AC$1001,B148,'2.현장'!$T$2:$T$1001,TRUE))</f>
        <v/>
      </c>
      <c r="D148">
        <f>IF(B148="","",COUNTIFS('2.현장'!$AC$2:$AC$1001,B148,'2.현장'!$T$2:$T$1001,TRUE,'2.현장'!$AA$2:$AA$1001,"★"))</f>
        <v/>
      </c>
      <c r="E148" s="5">
        <f>IF(B148="","",_xlfn.MAXIFS('2.현장'!$D$2:$D$1001,'2.현장'!$AC$2:$AC$1001,B148,'2.현장'!$T$2:$T$1001,TRUE))</f>
        <v/>
      </c>
      <c r="F148" s="7">
        <f>IF(B148="","",IF(_xlfn.MAXIFS('2.현장'!$M$2:$M$1001,'2.현장'!$AC$2:$AC$1001,B148,'2.현장'!$T$2:$T$1001,TRUE)=0,"",_xlfn.MAXIFS('2.현장'!$M$2:$M$1001,'2.현장'!$AC$2:$AC$1001,B148,'2.현장'!$T$2:$T$1001,TRUE)))</f>
        <v/>
      </c>
      <c r="G148">
        <f>IF(B148="","",IFERROR(INDEX('2.현장'!$C$2:$C$1001,MATCH(145,'2.현장'!$AD$2:$AD$1001,0)),""))</f>
        <v/>
      </c>
      <c r="H148">
        <f>IF(B148="","",IFERROR(INDEX('2.현장'!$N$2:$N$1001,MATCH(145,'2.현장'!$AD$2:$AD$1001,0)),""))</f>
        <v/>
      </c>
      <c r="I148">
        <f>IF(B148="","",IFERROR(INDEX('2.현장'!$G$2:$G$1001,MATCH(145,'2.현장'!$AD$2:$AD$1001,0)),""))</f>
        <v/>
      </c>
      <c r="J148">
        <f>IF(B148="","",IFERROR(VLOOKUP(B148,업체_메모!$A$3:$I$302,2,FALSE)&amp;"",""))</f>
        <v/>
      </c>
      <c r="K148">
        <f>IF(B148="","",IFERROR(VLOOKUP(B148,업체_메모!$A$3:$I$302,4,FALSE)&amp;"",""))</f>
        <v/>
      </c>
      <c r="L148" s="7">
        <f>IF(B148="","",IF(COUNTIF('4.방문기록'!$B$3:$B$502,B148)=0,"",_xlfn.MAXIFS('4.방문기록'!$A$3:$A$502,'4.방문기록'!$B$3:$B$502,B148)))</f>
        <v/>
      </c>
      <c r="M148">
        <f>IF(L148="","",설정!$B$24-L148)</f>
        <v/>
      </c>
      <c r="N148">
        <f>IF(L148="","",IFERROR(INDEX('4.방문기록'!$H$3:$H$502,MATCH(B148&amp;"|"&amp;(L148*1),'4.방문기록'!$I$3:$I$502,0))&amp;"",""))</f>
        <v/>
      </c>
      <c r="O148">
        <f>IF(B148="","",IF(N148="관심 없음","제외",IF(L148="","안 가봄",IF(M148&gt;=설정!$B$20,M148&amp;"일 지남","최근 방문"))))</f>
        <v/>
      </c>
    </row>
    <row r="149">
      <c r="A149">
        <f>IF(B149="","",146)</f>
        <v/>
      </c>
      <c r="B149">
        <f>IFERROR(INDEX('2.현장'!$AC$2:$AC$1001,MATCH(146,'2.현장'!$AD$2:$AD$1001,0)),"")</f>
        <v/>
      </c>
      <c r="C149">
        <f>IF(B149="","",COUNTIFS('2.현장'!$AC$2:$AC$1001,B149,'2.현장'!$T$2:$T$1001,TRUE))</f>
        <v/>
      </c>
      <c r="D149">
        <f>IF(B149="","",COUNTIFS('2.현장'!$AC$2:$AC$1001,B149,'2.현장'!$T$2:$T$1001,TRUE,'2.현장'!$AA$2:$AA$1001,"★"))</f>
        <v/>
      </c>
      <c r="E149" s="5">
        <f>IF(B149="","",_xlfn.MAXIFS('2.현장'!$D$2:$D$1001,'2.현장'!$AC$2:$AC$1001,B149,'2.현장'!$T$2:$T$1001,TRUE))</f>
        <v/>
      </c>
      <c r="F149" s="7">
        <f>IF(B149="","",IF(_xlfn.MAXIFS('2.현장'!$M$2:$M$1001,'2.현장'!$AC$2:$AC$1001,B149,'2.현장'!$T$2:$T$1001,TRUE)=0,"",_xlfn.MAXIFS('2.현장'!$M$2:$M$1001,'2.현장'!$AC$2:$AC$1001,B149,'2.현장'!$T$2:$T$1001,TRUE)))</f>
        <v/>
      </c>
      <c r="G149">
        <f>IF(B149="","",IFERROR(INDEX('2.현장'!$C$2:$C$1001,MATCH(146,'2.현장'!$AD$2:$AD$1001,0)),""))</f>
        <v/>
      </c>
      <c r="H149">
        <f>IF(B149="","",IFERROR(INDEX('2.현장'!$N$2:$N$1001,MATCH(146,'2.현장'!$AD$2:$AD$1001,0)),""))</f>
        <v/>
      </c>
      <c r="I149">
        <f>IF(B149="","",IFERROR(INDEX('2.현장'!$G$2:$G$1001,MATCH(146,'2.현장'!$AD$2:$AD$1001,0)),""))</f>
        <v/>
      </c>
      <c r="J149">
        <f>IF(B149="","",IFERROR(VLOOKUP(B149,업체_메모!$A$3:$I$302,2,FALSE)&amp;"",""))</f>
        <v/>
      </c>
      <c r="K149">
        <f>IF(B149="","",IFERROR(VLOOKUP(B149,업체_메모!$A$3:$I$302,4,FALSE)&amp;"",""))</f>
        <v/>
      </c>
      <c r="L149" s="7">
        <f>IF(B149="","",IF(COUNTIF('4.방문기록'!$B$3:$B$502,B149)=0,"",_xlfn.MAXIFS('4.방문기록'!$A$3:$A$502,'4.방문기록'!$B$3:$B$502,B149)))</f>
        <v/>
      </c>
      <c r="M149">
        <f>IF(L149="","",설정!$B$24-L149)</f>
        <v/>
      </c>
      <c r="N149">
        <f>IF(L149="","",IFERROR(INDEX('4.방문기록'!$H$3:$H$502,MATCH(B149&amp;"|"&amp;(L149*1),'4.방문기록'!$I$3:$I$502,0))&amp;"",""))</f>
        <v/>
      </c>
      <c r="O149">
        <f>IF(B149="","",IF(N149="관심 없음","제외",IF(L149="","안 가봄",IF(M149&gt;=설정!$B$20,M149&amp;"일 지남","최근 방문"))))</f>
        <v/>
      </c>
    </row>
    <row r="150">
      <c r="A150">
        <f>IF(B150="","",147)</f>
        <v/>
      </c>
      <c r="B150">
        <f>IFERROR(INDEX('2.현장'!$AC$2:$AC$1001,MATCH(147,'2.현장'!$AD$2:$AD$1001,0)),"")</f>
        <v/>
      </c>
      <c r="C150">
        <f>IF(B150="","",COUNTIFS('2.현장'!$AC$2:$AC$1001,B150,'2.현장'!$T$2:$T$1001,TRUE))</f>
        <v/>
      </c>
      <c r="D150">
        <f>IF(B150="","",COUNTIFS('2.현장'!$AC$2:$AC$1001,B150,'2.현장'!$T$2:$T$1001,TRUE,'2.현장'!$AA$2:$AA$1001,"★"))</f>
        <v/>
      </c>
      <c r="E150" s="5">
        <f>IF(B150="","",_xlfn.MAXIFS('2.현장'!$D$2:$D$1001,'2.현장'!$AC$2:$AC$1001,B150,'2.현장'!$T$2:$T$1001,TRUE))</f>
        <v/>
      </c>
      <c r="F150" s="7">
        <f>IF(B150="","",IF(_xlfn.MAXIFS('2.현장'!$M$2:$M$1001,'2.현장'!$AC$2:$AC$1001,B150,'2.현장'!$T$2:$T$1001,TRUE)=0,"",_xlfn.MAXIFS('2.현장'!$M$2:$M$1001,'2.현장'!$AC$2:$AC$1001,B150,'2.현장'!$T$2:$T$1001,TRUE)))</f>
        <v/>
      </c>
      <c r="G150">
        <f>IF(B150="","",IFERROR(INDEX('2.현장'!$C$2:$C$1001,MATCH(147,'2.현장'!$AD$2:$AD$1001,0)),""))</f>
        <v/>
      </c>
      <c r="H150">
        <f>IF(B150="","",IFERROR(INDEX('2.현장'!$N$2:$N$1001,MATCH(147,'2.현장'!$AD$2:$AD$1001,0)),""))</f>
        <v/>
      </c>
      <c r="I150">
        <f>IF(B150="","",IFERROR(INDEX('2.현장'!$G$2:$G$1001,MATCH(147,'2.현장'!$AD$2:$AD$1001,0)),""))</f>
        <v/>
      </c>
      <c r="J150">
        <f>IF(B150="","",IFERROR(VLOOKUP(B150,업체_메모!$A$3:$I$302,2,FALSE)&amp;"",""))</f>
        <v/>
      </c>
      <c r="K150">
        <f>IF(B150="","",IFERROR(VLOOKUP(B150,업체_메모!$A$3:$I$302,4,FALSE)&amp;"",""))</f>
        <v/>
      </c>
      <c r="L150" s="7">
        <f>IF(B150="","",IF(COUNTIF('4.방문기록'!$B$3:$B$502,B150)=0,"",_xlfn.MAXIFS('4.방문기록'!$A$3:$A$502,'4.방문기록'!$B$3:$B$502,B150)))</f>
        <v/>
      </c>
      <c r="M150">
        <f>IF(L150="","",설정!$B$24-L150)</f>
        <v/>
      </c>
      <c r="N150">
        <f>IF(L150="","",IFERROR(INDEX('4.방문기록'!$H$3:$H$502,MATCH(B150&amp;"|"&amp;(L150*1),'4.방문기록'!$I$3:$I$502,0))&amp;"",""))</f>
        <v/>
      </c>
      <c r="O150">
        <f>IF(B150="","",IF(N150="관심 없음","제외",IF(L150="","안 가봄",IF(M150&gt;=설정!$B$20,M150&amp;"일 지남","최근 방문"))))</f>
        <v/>
      </c>
    </row>
    <row r="151">
      <c r="A151">
        <f>IF(B151="","",148)</f>
        <v/>
      </c>
      <c r="B151">
        <f>IFERROR(INDEX('2.현장'!$AC$2:$AC$1001,MATCH(148,'2.현장'!$AD$2:$AD$1001,0)),"")</f>
        <v/>
      </c>
      <c r="C151">
        <f>IF(B151="","",COUNTIFS('2.현장'!$AC$2:$AC$1001,B151,'2.현장'!$T$2:$T$1001,TRUE))</f>
        <v/>
      </c>
      <c r="D151">
        <f>IF(B151="","",COUNTIFS('2.현장'!$AC$2:$AC$1001,B151,'2.현장'!$T$2:$T$1001,TRUE,'2.현장'!$AA$2:$AA$1001,"★"))</f>
        <v/>
      </c>
      <c r="E151" s="5">
        <f>IF(B151="","",_xlfn.MAXIFS('2.현장'!$D$2:$D$1001,'2.현장'!$AC$2:$AC$1001,B151,'2.현장'!$T$2:$T$1001,TRUE))</f>
        <v/>
      </c>
      <c r="F151" s="7">
        <f>IF(B151="","",IF(_xlfn.MAXIFS('2.현장'!$M$2:$M$1001,'2.현장'!$AC$2:$AC$1001,B151,'2.현장'!$T$2:$T$1001,TRUE)=0,"",_xlfn.MAXIFS('2.현장'!$M$2:$M$1001,'2.현장'!$AC$2:$AC$1001,B151,'2.현장'!$T$2:$T$1001,TRUE)))</f>
        <v/>
      </c>
      <c r="G151">
        <f>IF(B151="","",IFERROR(INDEX('2.현장'!$C$2:$C$1001,MATCH(148,'2.현장'!$AD$2:$AD$1001,0)),""))</f>
        <v/>
      </c>
      <c r="H151">
        <f>IF(B151="","",IFERROR(INDEX('2.현장'!$N$2:$N$1001,MATCH(148,'2.현장'!$AD$2:$AD$1001,0)),""))</f>
        <v/>
      </c>
      <c r="I151">
        <f>IF(B151="","",IFERROR(INDEX('2.현장'!$G$2:$G$1001,MATCH(148,'2.현장'!$AD$2:$AD$1001,0)),""))</f>
        <v/>
      </c>
      <c r="J151">
        <f>IF(B151="","",IFERROR(VLOOKUP(B151,업체_메모!$A$3:$I$302,2,FALSE)&amp;"",""))</f>
        <v/>
      </c>
      <c r="K151">
        <f>IF(B151="","",IFERROR(VLOOKUP(B151,업체_메모!$A$3:$I$302,4,FALSE)&amp;"",""))</f>
        <v/>
      </c>
      <c r="L151" s="7">
        <f>IF(B151="","",IF(COUNTIF('4.방문기록'!$B$3:$B$502,B151)=0,"",_xlfn.MAXIFS('4.방문기록'!$A$3:$A$502,'4.방문기록'!$B$3:$B$502,B151)))</f>
        <v/>
      </c>
      <c r="M151">
        <f>IF(L151="","",설정!$B$24-L151)</f>
        <v/>
      </c>
      <c r="N151">
        <f>IF(L151="","",IFERROR(INDEX('4.방문기록'!$H$3:$H$502,MATCH(B151&amp;"|"&amp;(L151*1),'4.방문기록'!$I$3:$I$502,0))&amp;"",""))</f>
        <v/>
      </c>
      <c r="O151">
        <f>IF(B151="","",IF(N151="관심 없음","제외",IF(L151="","안 가봄",IF(M151&gt;=설정!$B$20,M151&amp;"일 지남","최근 방문"))))</f>
        <v/>
      </c>
    </row>
    <row r="152">
      <c r="A152">
        <f>IF(B152="","",149)</f>
        <v/>
      </c>
      <c r="B152">
        <f>IFERROR(INDEX('2.현장'!$AC$2:$AC$1001,MATCH(149,'2.현장'!$AD$2:$AD$1001,0)),"")</f>
        <v/>
      </c>
      <c r="C152">
        <f>IF(B152="","",COUNTIFS('2.현장'!$AC$2:$AC$1001,B152,'2.현장'!$T$2:$T$1001,TRUE))</f>
        <v/>
      </c>
      <c r="D152">
        <f>IF(B152="","",COUNTIFS('2.현장'!$AC$2:$AC$1001,B152,'2.현장'!$T$2:$T$1001,TRUE,'2.현장'!$AA$2:$AA$1001,"★"))</f>
        <v/>
      </c>
      <c r="E152" s="5">
        <f>IF(B152="","",_xlfn.MAXIFS('2.현장'!$D$2:$D$1001,'2.현장'!$AC$2:$AC$1001,B152,'2.현장'!$T$2:$T$1001,TRUE))</f>
        <v/>
      </c>
      <c r="F152" s="7">
        <f>IF(B152="","",IF(_xlfn.MAXIFS('2.현장'!$M$2:$M$1001,'2.현장'!$AC$2:$AC$1001,B152,'2.현장'!$T$2:$T$1001,TRUE)=0,"",_xlfn.MAXIFS('2.현장'!$M$2:$M$1001,'2.현장'!$AC$2:$AC$1001,B152,'2.현장'!$T$2:$T$1001,TRUE)))</f>
        <v/>
      </c>
      <c r="G152">
        <f>IF(B152="","",IFERROR(INDEX('2.현장'!$C$2:$C$1001,MATCH(149,'2.현장'!$AD$2:$AD$1001,0)),""))</f>
        <v/>
      </c>
      <c r="H152">
        <f>IF(B152="","",IFERROR(INDEX('2.현장'!$N$2:$N$1001,MATCH(149,'2.현장'!$AD$2:$AD$1001,0)),""))</f>
        <v/>
      </c>
      <c r="I152">
        <f>IF(B152="","",IFERROR(INDEX('2.현장'!$G$2:$G$1001,MATCH(149,'2.현장'!$AD$2:$AD$1001,0)),""))</f>
        <v/>
      </c>
      <c r="J152">
        <f>IF(B152="","",IFERROR(VLOOKUP(B152,업체_메모!$A$3:$I$302,2,FALSE)&amp;"",""))</f>
        <v/>
      </c>
      <c r="K152">
        <f>IF(B152="","",IFERROR(VLOOKUP(B152,업체_메모!$A$3:$I$302,4,FALSE)&amp;"",""))</f>
        <v/>
      </c>
      <c r="L152" s="7">
        <f>IF(B152="","",IF(COUNTIF('4.방문기록'!$B$3:$B$502,B152)=0,"",_xlfn.MAXIFS('4.방문기록'!$A$3:$A$502,'4.방문기록'!$B$3:$B$502,B152)))</f>
        <v/>
      </c>
      <c r="M152">
        <f>IF(L152="","",설정!$B$24-L152)</f>
        <v/>
      </c>
      <c r="N152">
        <f>IF(L152="","",IFERROR(INDEX('4.방문기록'!$H$3:$H$502,MATCH(B152&amp;"|"&amp;(L152*1),'4.방문기록'!$I$3:$I$502,0))&amp;"",""))</f>
        <v/>
      </c>
      <c r="O152">
        <f>IF(B152="","",IF(N152="관심 없음","제외",IF(L152="","안 가봄",IF(M152&gt;=설정!$B$20,M152&amp;"일 지남","최근 방문"))))</f>
        <v/>
      </c>
    </row>
    <row r="153">
      <c r="A153">
        <f>IF(B153="","",150)</f>
        <v/>
      </c>
      <c r="B153">
        <f>IFERROR(INDEX('2.현장'!$AC$2:$AC$1001,MATCH(150,'2.현장'!$AD$2:$AD$1001,0)),"")</f>
        <v/>
      </c>
      <c r="C153">
        <f>IF(B153="","",COUNTIFS('2.현장'!$AC$2:$AC$1001,B153,'2.현장'!$T$2:$T$1001,TRUE))</f>
        <v/>
      </c>
      <c r="D153">
        <f>IF(B153="","",COUNTIFS('2.현장'!$AC$2:$AC$1001,B153,'2.현장'!$T$2:$T$1001,TRUE,'2.현장'!$AA$2:$AA$1001,"★"))</f>
        <v/>
      </c>
      <c r="E153" s="5">
        <f>IF(B153="","",_xlfn.MAXIFS('2.현장'!$D$2:$D$1001,'2.현장'!$AC$2:$AC$1001,B153,'2.현장'!$T$2:$T$1001,TRUE))</f>
        <v/>
      </c>
      <c r="F153" s="7">
        <f>IF(B153="","",IF(_xlfn.MAXIFS('2.현장'!$M$2:$M$1001,'2.현장'!$AC$2:$AC$1001,B153,'2.현장'!$T$2:$T$1001,TRUE)=0,"",_xlfn.MAXIFS('2.현장'!$M$2:$M$1001,'2.현장'!$AC$2:$AC$1001,B153,'2.현장'!$T$2:$T$1001,TRUE)))</f>
        <v/>
      </c>
      <c r="G153">
        <f>IF(B153="","",IFERROR(INDEX('2.현장'!$C$2:$C$1001,MATCH(150,'2.현장'!$AD$2:$AD$1001,0)),""))</f>
        <v/>
      </c>
      <c r="H153">
        <f>IF(B153="","",IFERROR(INDEX('2.현장'!$N$2:$N$1001,MATCH(150,'2.현장'!$AD$2:$AD$1001,0)),""))</f>
        <v/>
      </c>
      <c r="I153">
        <f>IF(B153="","",IFERROR(INDEX('2.현장'!$G$2:$G$1001,MATCH(150,'2.현장'!$AD$2:$AD$1001,0)),""))</f>
        <v/>
      </c>
      <c r="J153">
        <f>IF(B153="","",IFERROR(VLOOKUP(B153,업체_메모!$A$3:$I$302,2,FALSE)&amp;"",""))</f>
        <v/>
      </c>
      <c r="K153">
        <f>IF(B153="","",IFERROR(VLOOKUP(B153,업체_메모!$A$3:$I$302,4,FALSE)&amp;"",""))</f>
        <v/>
      </c>
      <c r="L153" s="7">
        <f>IF(B153="","",IF(COUNTIF('4.방문기록'!$B$3:$B$502,B153)=0,"",_xlfn.MAXIFS('4.방문기록'!$A$3:$A$502,'4.방문기록'!$B$3:$B$502,B153)))</f>
        <v/>
      </c>
      <c r="M153">
        <f>IF(L153="","",설정!$B$24-L153)</f>
        <v/>
      </c>
      <c r="N153">
        <f>IF(L153="","",IFERROR(INDEX('4.방문기록'!$H$3:$H$502,MATCH(B153&amp;"|"&amp;(L153*1),'4.방문기록'!$I$3:$I$502,0))&amp;"",""))</f>
        <v/>
      </c>
      <c r="O153">
        <f>IF(B153="","",IF(N153="관심 없음","제외",IF(L153="","안 가봄",IF(M153&gt;=설정!$B$20,M153&amp;"일 지남","최근 방문"))))</f>
        <v/>
      </c>
    </row>
    <row r="154">
      <c r="A154">
        <f>IF(B154="","",151)</f>
        <v/>
      </c>
      <c r="B154">
        <f>IFERROR(INDEX('2.현장'!$AC$2:$AC$1001,MATCH(151,'2.현장'!$AD$2:$AD$1001,0)),"")</f>
        <v/>
      </c>
      <c r="C154">
        <f>IF(B154="","",COUNTIFS('2.현장'!$AC$2:$AC$1001,B154,'2.현장'!$T$2:$T$1001,TRUE))</f>
        <v/>
      </c>
      <c r="D154">
        <f>IF(B154="","",COUNTIFS('2.현장'!$AC$2:$AC$1001,B154,'2.현장'!$T$2:$T$1001,TRUE,'2.현장'!$AA$2:$AA$1001,"★"))</f>
        <v/>
      </c>
      <c r="E154" s="5">
        <f>IF(B154="","",_xlfn.MAXIFS('2.현장'!$D$2:$D$1001,'2.현장'!$AC$2:$AC$1001,B154,'2.현장'!$T$2:$T$1001,TRUE))</f>
        <v/>
      </c>
      <c r="F154" s="7">
        <f>IF(B154="","",IF(_xlfn.MAXIFS('2.현장'!$M$2:$M$1001,'2.현장'!$AC$2:$AC$1001,B154,'2.현장'!$T$2:$T$1001,TRUE)=0,"",_xlfn.MAXIFS('2.현장'!$M$2:$M$1001,'2.현장'!$AC$2:$AC$1001,B154,'2.현장'!$T$2:$T$1001,TRUE)))</f>
        <v/>
      </c>
      <c r="G154">
        <f>IF(B154="","",IFERROR(INDEX('2.현장'!$C$2:$C$1001,MATCH(151,'2.현장'!$AD$2:$AD$1001,0)),""))</f>
        <v/>
      </c>
      <c r="H154">
        <f>IF(B154="","",IFERROR(INDEX('2.현장'!$N$2:$N$1001,MATCH(151,'2.현장'!$AD$2:$AD$1001,0)),""))</f>
        <v/>
      </c>
      <c r="I154">
        <f>IF(B154="","",IFERROR(INDEX('2.현장'!$G$2:$G$1001,MATCH(151,'2.현장'!$AD$2:$AD$1001,0)),""))</f>
        <v/>
      </c>
      <c r="J154">
        <f>IF(B154="","",IFERROR(VLOOKUP(B154,업체_메모!$A$3:$I$302,2,FALSE)&amp;"",""))</f>
        <v/>
      </c>
      <c r="K154">
        <f>IF(B154="","",IFERROR(VLOOKUP(B154,업체_메모!$A$3:$I$302,4,FALSE)&amp;"",""))</f>
        <v/>
      </c>
      <c r="L154" s="7">
        <f>IF(B154="","",IF(COUNTIF('4.방문기록'!$B$3:$B$502,B154)=0,"",_xlfn.MAXIFS('4.방문기록'!$A$3:$A$502,'4.방문기록'!$B$3:$B$502,B154)))</f>
        <v/>
      </c>
      <c r="M154">
        <f>IF(L154="","",설정!$B$24-L154)</f>
        <v/>
      </c>
      <c r="N154">
        <f>IF(L154="","",IFERROR(INDEX('4.방문기록'!$H$3:$H$502,MATCH(B154&amp;"|"&amp;(L154*1),'4.방문기록'!$I$3:$I$502,0))&amp;"",""))</f>
        <v/>
      </c>
      <c r="O154">
        <f>IF(B154="","",IF(N154="관심 없음","제외",IF(L154="","안 가봄",IF(M154&gt;=설정!$B$20,M154&amp;"일 지남","최근 방문"))))</f>
        <v/>
      </c>
    </row>
    <row r="155">
      <c r="A155">
        <f>IF(B155="","",152)</f>
        <v/>
      </c>
      <c r="B155">
        <f>IFERROR(INDEX('2.현장'!$AC$2:$AC$1001,MATCH(152,'2.현장'!$AD$2:$AD$1001,0)),"")</f>
        <v/>
      </c>
      <c r="C155">
        <f>IF(B155="","",COUNTIFS('2.현장'!$AC$2:$AC$1001,B155,'2.현장'!$T$2:$T$1001,TRUE))</f>
        <v/>
      </c>
      <c r="D155">
        <f>IF(B155="","",COUNTIFS('2.현장'!$AC$2:$AC$1001,B155,'2.현장'!$T$2:$T$1001,TRUE,'2.현장'!$AA$2:$AA$1001,"★"))</f>
        <v/>
      </c>
      <c r="E155" s="5">
        <f>IF(B155="","",_xlfn.MAXIFS('2.현장'!$D$2:$D$1001,'2.현장'!$AC$2:$AC$1001,B155,'2.현장'!$T$2:$T$1001,TRUE))</f>
        <v/>
      </c>
      <c r="F155" s="7">
        <f>IF(B155="","",IF(_xlfn.MAXIFS('2.현장'!$M$2:$M$1001,'2.현장'!$AC$2:$AC$1001,B155,'2.현장'!$T$2:$T$1001,TRUE)=0,"",_xlfn.MAXIFS('2.현장'!$M$2:$M$1001,'2.현장'!$AC$2:$AC$1001,B155,'2.현장'!$T$2:$T$1001,TRUE)))</f>
        <v/>
      </c>
      <c r="G155">
        <f>IF(B155="","",IFERROR(INDEX('2.현장'!$C$2:$C$1001,MATCH(152,'2.현장'!$AD$2:$AD$1001,0)),""))</f>
        <v/>
      </c>
      <c r="H155">
        <f>IF(B155="","",IFERROR(INDEX('2.현장'!$N$2:$N$1001,MATCH(152,'2.현장'!$AD$2:$AD$1001,0)),""))</f>
        <v/>
      </c>
      <c r="I155">
        <f>IF(B155="","",IFERROR(INDEX('2.현장'!$G$2:$G$1001,MATCH(152,'2.현장'!$AD$2:$AD$1001,0)),""))</f>
        <v/>
      </c>
      <c r="J155">
        <f>IF(B155="","",IFERROR(VLOOKUP(B155,업체_메모!$A$3:$I$302,2,FALSE)&amp;"",""))</f>
        <v/>
      </c>
      <c r="K155">
        <f>IF(B155="","",IFERROR(VLOOKUP(B155,업체_메모!$A$3:$I$302,4,FALSE)&amp;"",""))</f>
        <v/>
      </c>
      <c r="L155" s="7">
        <f>IF(B155="","",IF(COUNTIF('4.방문기록'!$B$3:$B$502,B155)=0,"",_xlfn.MAXIFS('4.방문기록'!$A$3:$A$502,'4.방문기록'!$B$3:$B$502,B155)))</f>
        <v/>
      </c>
      <c r="M155">
        <f>IF(L155="","",설정!$B$24-L155)</f>
        <v/>
      </c>
      <c r="N155">
        <f>IF(L155="","",IFERROR(INDEX('4.방문기록'!$H$3:$H$502,MATCH(B155&amp;"|"&amp;(L155*1),'4.방문기록'!$I$3:$I$502,0))&amp;"",""))</f>
        <v/>
      </c>
      <c r="O155">
        <f>IF(B155="","",IF(N155="관심 없음","제외",IF(L155="","안 가봄",IF(M155&gt;=설정!$B$20,M155&amp;"일 지남","최근 방문"))))</f>
        <v/>
      </c>
    </row>
    <row r="156">
      <c r="A156">
        <f>IF(B156="","",153)</f>
        <v/>
      </c>
      <c r="B156">
        <f>IFERROR(INDEX('2.현장'!$AC$2:$AC$1001,MATCH(153,'2.현장'!$AD$2:$AD$1001,0)),"")</f>
        <v/>
      </c>
      <c r="C156">
        <f>IF(B156="","",COUNTIFS('2.현장'!$AC$2:$AC$1001,B156,'2.현장'!$T$2:$T$1001,TRUE))</f>
        <v/>
      </c>
      <c r="D156">
        <f>IF(B156="","",COUNTIFS('2.현장'!$AC$2:$AC$1001,B156,'2.현장'!$T$2:$T$1001,TRUE,'2.현장'!$AA$2:$AA$1001,"★"))</f>
        <v/>
      </c>
      <c r="E156" s="5">
        <f>IF(B156="","",_xlfn.MAXIFS('2.현장'!$D$2:$D$1001,'2.현장'!$AC$2:$AC$1001,B156,'2.현장'!$T$2:$T$1001,TRUE))</f>
        <v/>
      </c>
      <c r="F156" s="7">
        <f>IF(B156="","",IF(_xlfn.MAXIFS('2.현장'!$M$2:$M$1001,'2.현장'!$AC$2:$AC$1001,B156,'2.현장'!$T$2:$T$1001,TRUE)=0,"",_xlfn.MAXIFS('2.현장'!$M$2:$M$1001,'2.현장'!$AC$2:$AC$1001,B156,'2.현장'!$T$2:$T$1001,TRUE)))</f>
        <v/>
      </c>
      <c r="G156">
        <f>IF(B156="","",IFERROR(INDEX('2.현장'!$C$2:$C$1001,MATCH(153,'2.현장'!$AD$2:$AD$1001,0)),""))</f>
        <v/>
      </c>
      <c r="H156">
        <f>IF(B156="","",IFERROR(INDEX('2.현장'!$N$2:$N$1001,MATCH(153,'2.현장'!$AD$2:$AD$1001,0)),""))</f>
        <v/>
      </c>
      <c r="I156">
        <f>IF(B156="","",IFERROR(INDEX('2.현장'!$G$2:$G$1001,MATCH(153,'2.현장'!$AD$2:$AD$1001,0)),""))</f>
        <v/>
      </c>
      <c r="J156">
        <f>IF(B156="","",IFERROR(VLOOKUP(B156,업체_메모!$A$3:$I$302,2,FALSE)&amp;"",""))</f>
        <v/>
      </c>
      <c r="K156">
        <f>IF(B156="","",IFERROR(VLOOKUP(B156,업체_메모!$A$3:$I$302,4,FALSE)&amp;"",""))</f>
        <v/>
      </c>
      <c r="L156" s="7">
        <f>IF(B156="","",IF(COUNTIF('4.방문기록'!$B$3:$B$502,B156)=0,"",_xlfn.MAXIFS('4.방문기록'!$A$3:$A$502,'4.방문기록'!$B$3:$B$502,B156)))</f>
        <v/>
      </c>
      <c r="M156">
        <f>IF(L156="","",설정!$B$24-L156)</f>
        <v/>
      </c>
      <c r="N156">
        <f>IF(L156="","",IFERROR(INDEX('4.방문기록'!$H$3:$H$502,MATCH(B156&amp;"|"&amp;(L156*1),'4.방문기록'!$I$3:$I$502,0))&amp;"",""))</f>
        <v/>
      </c>
      <c r="O156">
        <f>IF(B156="","",IF(N156="관심 없음","제외",IF(L156="","안 가봄",IF(M156&gt;=설정!$B$20,M156&amp;"일 지남","최근 방문"))))</f>
        <v/>
      </c>
    </row>
    <row r="157">
      <c r="A157">
        <f>IF(B157="","",154)</f>
        <v/>
      </c>
      <c r="B157">
        <f>IFERROR(INDEX('2.현장'!$AC$2:$AC$1001,MATCH(154,'2.현장'!$AD$2:$AD$1001,0)),"")</f>
        <v/>
      </c>
      <c r="C157">
        <f>IF(B157="","",COUNTIFS('2.현장'!$AC$2:$AC$1001,B157,'2.현장'!$T$2:$T$1001,TRUE))</f>
        <v/>
      </c>
      <c r="D157">
        <f>IF(B157="","",COUNTIFS('2.현장'!$AC$2:$AC$1001,B157,'2.현장'!$T$2:$T$1001,TRUE,'2.현장'!$AA$2:$AA$1001,"★"))</f>
        <v/>
      </c>
      <c r="E157" s="5">
        <f>IF(B157="","",_xlfn.MAXIFS('2.현장'!$D$2:$D$1001,'2.현장'!$AC$2:$AC$1001,B157,'2.현장'!$T$2:$T$1001,TRUE))</f>
        <v/>
      </c>
      <c r="F157" s="7">
        <f>IF(B157="","",IF(_xlfn.MAXIFS('2.현장'!$M$2:$M$1001,'2.현장'!$AC$2:$AC$1001,B157,'2.현장'!$T$2:$T$1001,TRUE)=0,"",_xlfn.MAXIFS('2.현장'!$M$2:$M$1001,'2.현장'!$AC$2:$AC$1001,B157,'2.현장'!$T$2:$T$1001,TRUE)))</f>
        <v/>
      </c>
      <c r="G157">
        <f>IF(B157="","",IFERROR(INDEX('2.현장'!$C$2:$C$1001,MATCH(154,'2.현장'!$AD$2:$AD$1001,0)),""))</f>
        <v/>
      </c>
      <c r="H157">
        <f>IF(B157="","",IFERROR(INDEX('2.현장'!$N$2:$N$1001,MATCH(154,'2.현장'!$AD$2:$AD$1001,0)),""))</f>
        <v/>
      </c>
      <c r="I157">
        <f>IF(B157="","",IFERROR(INDEX('2.현장'!$G$2:$G$1001,MATCH(154,'2.현장'!$AD$2:$AD$1001,0)),""))</f>
        <v/>
      </c>
      <c r="J157">
        <f>IF(B157="","",IFERROR(VLOOKUP(B157,업체_메모!$A$3:$I$302,2,FALSE)&amp;"",""))</f>
        <v/>
      </c>
      <c r="K157">
        <f>IF(B157="","",IFERROR(VLOOKUP(B157,업체_메모!$A$3:$I$302,4,FALSE)&amp;"",""))</f>
        <v/>
      </c>
      <c r="L157" s="7">
        <f>IF(B157="","",IF(COUNTIF('4.방문기록'!$B$3:$B$502,B157)=0,"",_xlfn.MAXIFS('4.방문기록'!$A$3:$A$502,'4.방문기록'!$B$3:$B$502,B157)))</f>
        <v/>
      </c>
      <c r="M157">
        <f>IF(L157="","",설정!$B$24-L157)</f>
        <v/>
      </c>
      <c r="N157">
        <f>IF(L157="","",IFERROR(INDEX('4.방문기록'!$H$3:$H$502,MATCH(B157&amp;"|"&amp;(L157*1),'4.방문기록'!$I$3:$I$502,0))&amp;"",""))</f>
        <v/>
      </c>
      <c r="O157">
        <f>IF(B157="","",IF(N157="관심 없음","제외",IF(L157="","안 가봄",IF(M157&gt;=설정!$B$20,M157&amp;"일 지남","최근 방문"))))</f>
        <v/>
      </c>
    </row>
    <row r="158">
      <c r="A158">
        <f>IF(B158="","",155)</f>
        <v/>
      </c>
      <c r="B158">
        <f>IFERROR(INDEX('2.현장'!$AC$2:$AC$1001,MATCH(155,'2.현장'!$AD$2:$AD$1001,0)),"")</f>
        <v/>
      </c>
      <c r="C158">
        <f>IF(B158="","",COUNTIFS('2.현장'!$AC$2:$AC$1001,B158,'2.현장'!$T$2:$T$1001,TRUE))</f>
        <v/>
      </c>
      <c r="D158">
        <f>IF(B158="","",COUNTIFS('2.현장'!$AC$2:$AC$1001,B158,'2.현장'!$T$2:$T$1001,TRUE,'2.현장'!$AA$2:$AA$1001,"★"))</f>
        <v/>
      </c>
      <c r="E158" s="5">
        <f>IF(B158="","",_xlfn.MAXIFS('2.현장'!$D$2:$D$1001,'2.현장'!$AC$2:$AC$1001,B158,'2.현장'!$T$2:$T$1001,TRUE))</f>
        <v/>
      </c>
      <c r="F158" s="7">
        <f>IF(B158="","",IF(_xlfn.MAXIFS('2.현장'!$M$2:$M$1001,'2.현장'!$AC$2:$AC$1001,B158,'2.현장'!$T$2:$T$1001,TRUE)=0,"",_xlfn.MAXIFS('2.현장'!$M$2:$M$1001,'2.현장'!$AC$2:$AC$1001,B158,'2.현장'!$T$2:$T$1001,TRUE)))</f>
        <v/>
      </c>
      <c r="G158">
        <f>IF(B158="","",IFERROR(INDEX('2.현장'!$C$2:$C$1001,MATCH(155,'2.현장'!$AD$2:$AD$1001,0)),""))</f>
        <v/>
      </c>
      <c r="H158">
        <f>IF(B158="","",IFERROR(INDEX('2.현장'!$N$2:$N$1001,MATCH(155,'2.현장'!$AD$2:$AD$1001,0)),""))</f>
        <v/>
      </c>
      <c r="I158">
        <f>IF(B158="","",IFERROR(INDEX('2.현장'!$G$2:$G$1001,MATCH(155,'2.현장'!$AD$2:$AD$1001,0)),""))</f>
        <v/>
      </c>
      <c r="J158">
        <f>IF(B158="","",IFERROR(VLOOKUP(B158,업체_메모!$A$3:$I$302,2,FALSE)&amp;"",""))</f>
        <v/>
      </c>
      <c r="K158">
        <f>IF(B158="","",IFERROR(VLOOKUP(B158,업체_메모!$A$3:$I$302,4,FALSE)&amp;"",""))</f>
        <v/>
      </c>
      <c r="L158" s="7">
        <f>IF(B158="","",IF(COUNTIF('4.방문기록'!$B$3:$B$502,B158)=0,"",_xlfn.MAXIFS('4.방문기록'!$A$3:$A$502,'4.방문기록'!$B$3:$B$502,B158)))</f>
        <v/>
      </c>
      <c r="M158">
        <f>IF(L158="","",설정!$B$24-L158)</f>
        <v/>
      </c>
      <c r="N158">
        <f>IF(L158="","",IFERROR(INDEX('4.방문기록'!$H$3:$H$502,MATCH(B158&amp;"|"&amp;(L158*1),'4.방문기록'!$I$3:$I$502,0))&amp;"",""))</f>
        <v/>
      </c>
      <c r="O158">
        <f>IF(B158="","",IF(N158="관심 없음","제외",IF(L158="","안 가봄",IF(M158&gt;=설정!$B$20,M158&amp;"일 지남","최근 방문"))))</f>
        <v/>
      </c>
    </row>
    <row r="159">
      <c r="A159">
        <f>IF(B159="","",156)</f>
        <v/>
      </c>
      <c r="B159">
        <f>IFERROR(INDEX('2.현장'!$AC$2:$AC$1001,MATCH(156,'2.현장'!$AD$2:$AD$1001,0)),"")</f>
        <v/>
      </c>
      <c r="C159">
        <f>IF(B159="","",COUNTIFS('2.현장'!$AC$2:$AC$1001,B159,'2.현장'!$T$2:$T$1001,TRUE))</f>
        <v/>
      </c>
      <c r="D159">
        <f>IF(B159="","",COUNTIFS('2.현장'!$AC$2:$AC$1001,B159,'2.현장'!$T$2:$T$1001,TRUE,'2.현장'!$AA$2:$AA$1001,"★"))</f>
        <v/>
      </c>
      <c r="E159" s="5">
        <f>IF(B159="","",_xlfn.MAXIFS('2.현장'!$D$2:$D$1001,'2.현장'!$AC$2:$AC$1001,B159,'2.현장'!$T$2:$T$1001,TRUE))</f>
        <v/>
      </c>
      <c r="F159" s="7">
        <f>IF(B159="","",IF(_xlfn.MAXIFS('2.현장'!$M$2:$M$1001,'2.현장'!$AC$2:$AC$1001,B159,'2.현장'!$T$2:$T$1001,TRUE)=0,"",_xlfn.MAXIFS('2.현장'!$M$2:$M$1001,'2.현장'!$AC$2:$AC$1001,B159,'2.현장'!$T$2:$T$1001,TRUE)))</f>
        <v/>
      </c>
      <c r="G159">
        <f>IF(B159="","",IFERROR(INDEX('2.현장'!$C$2:$C$1001,MATCH(156,'2.현장'!$AD$2:$AD$1001,0)),""))</f>
        <v/>
      </c>
      <c r="H159">
        <f>IF(B159="","",IFERROR(INDEX('2.현장'!$N$2:$N$1001,MATCH(156,'2.현장'!$AD$2:$AD$1001,0)),""))</f>
        <v/>
      </c>
      <c r="I159">
        <f>IF(B159="","",IFERROR(INDEX('2.현장'!$G$2:$G$1001,MATCH(156,'2.현장'!$AD$2:$AD$1001,0)),""))</f>
        <v/>
      </c>
      <c r="J159">
        <f>IF(B159="","",IFERROR(VLOOKUP(B159,업체_메모!$A$3:$I$302,2,FALSE)&amp;"",""))</f>
        <v/>
      </c>
      <c r="K159">
        <f>IF(B159="","",IFERROR(VLOOKUP(B159,업체_메모!$A$3:$I$302,4,FALSE)&amp;"",""))</f>
        <v/>
      </c>
      <c r="L159" s="7">
        <f>IF(B159="","",IF(COUNTIF('4.방문기록'!$B$3:$B$502,B159)=0,"",_xlfn.MAXIFS('4.방문기록'!$A$3:$A$502,'4.방문기록'!$B$3:$B$502,B159)))</f>
        <v/>
      </c>
      <c r="M159">
        <f>IF(L159="","",설정!$B$24-L159)</f>
        <v/>
      </c>
      <c r="N159">
        <f>IF(L159="","",IFERROR(INDEX('4.방문기록'!$H$3:$H$502,MATCH(B159&amp;"|"&amp;(L159*1),'4.방문기록'!$I$3:$I$502,0))&amp;"",""))</f>
        <v/>
      </c>
      <c r="O159">
        <f>IF(B159="","",IF(N159="관심 없음","제외",IF(L159="","안 가봄",IF(M159&gt;=설정!$B$20,M159&amp;"일 지남","최근 방문"))))</f>
        <v/>
      </c>
    </row>
    <row r="160">
      <c r="A160">
        <f>IF(B160="","",157)</f>
        <v/>
      </c>
      <c r="B160">
        <f>IFERROR(INDEX('2.현장'!$AC$2:$AC$1001,MATCH(157,'2.현장'!$AD$2:$AD$1001,0)),"")</f>
        <v/>
      </c>
      <c r="C160">
        <f>IF(B160="","",COUNTIFS('2.현장'!$AC$2:$AC$1001,B160,'2.현장'!$T$2:$T$1001,TRUE))</f>
        <v/>
      </c>
      <c r="D160">
        <f>IF(B160="","",COUNTIFS('2.현장'!$AC$2:$AC$1001,B160,'2.현장'!$T$2:$T$1001,TRUE,'2.현장'!$AA$2:$AA$1001,"★"))</f>
        <v/>
      </c>
      <c r="E160" s="5">
        <f>IF(B160="","",_xlfn.MAXIFS('2.현장'!$D$2:$D$1001,'2.현장'!$AC$2:$AC$1001,B160,'2.현장'!$T$2:$T$1001,TRUE))</f>
        <v/>
      </c>
      <c r="F160" s="7">
        <f>IF(B160="","",IF(_xlfn.MAXIFS('2.현장'!$M$2:$M$1001,'2.현장'!$AC$2:$AC$1001,B160,'2.현장'!$T$2:$T$1001,TRUE)=0,"",_xlfn.MAXIFS('2.현장'!$M$2:$M$1001,'2.현장'!$AC$2:$AC$1001,B160,'2.현장'!$T$2:$T$1001,TRUE)))</f>
        <v/>
      </c>
      <c r="G160">
        <f>IF(B160="","",IFERROR(INDEX('2.현장'!$C$2:$C$1001,MATCH(157,'2.현장'!$AD$2:$AD$1001,0)),""))</f>
        <v/>
      </c>
      <c r="H160">
        <f>IF(B160="","",IFERROR(INDEX('2.현장'!$N$2:$N$1001,MATCH(157,'2.현장'!$AD$2:$AD$1001,0)),""))</f>
        <v/>
      </c>
      <c r="I160">
        <f>IF(B160="","",IFERROR(INDEX('2.현장'!$G$2:$G$1001,MATCH(157,'2.현장'!$AD$2:$AD$1001,0)),""))</f>
        <v/>
      </c>
      <c r="J160">
        <f>IF(B160="","",IFERROR(VLOOKUP(B160,업체_메모!$A$3:$I$302,2,FALSE)&amp;"",""))</f>
        <v/>
      </c>
      <c r="K160">
        <f>IF(B160="","",IFERROR(VLOOKUP(B160,업체_메모!$A$3:$I$302,4,FALSE)&amp;"",""))</f>
        <v/>
      </c>
      <c r="L160" s="7">
        <f>IF(B160="","",IF(COUNTIF('4.방문기록'!$B$3:$B$502,B160)=0,"",_xlfn.MAXIFS('4.방문기록'!$A$3:$A$502,'4.방문기록'!$B$3:$B$502,B160)))</f>
        <v/>
      </c>
      <c r="M160">
        <f>IF(L160="","",설정!$B$24-L160)</f>
        <v/>
      </c>
      <c r="N160">
        <f>IF(L160="","",IFERROR(INDEX('4.방문기록'!$H$3:$H$502,MATCH(B160&amp;"|"&amp;(L160*1),'4.방문기록'!$I$3:$I$502,0))&amp;"",""))</f>
        <v/>
      </c>
      <c r="O160">
        <f>IF(B160="","",IF(N160="관심 없음","제외",IF(L160="","안 가봄",IF(M160&gt;=설정!$B$20,M160&amp;"일 지남","최근 방문"))))</f>
        <v/>
      </c>
    </row>
    <row r="161">
      <c r="A161">
        <f>IF(B161="","",158)</f>
        <v/>
      </c>
      <c r="B161">
        <f>IFERROR(INDEX('2.현장'!$AC$2:$AC$1001,MATCH(158,'2.현장'!$AD$2:$AD$1001,0)),"")</f>
        <v/>
      </c>
      <c r="C161">
        <f>IF(B161="","",COUNTIFS('2.현장'!$AC$2:$AC$1001,B161,'2.현장'!$T$2:$T$1001,TRUE))</f>
        <v/>
      </c>
      <c r="D161">
        <f>IF(B161="","",COUNTIFS('2.현장'!$AC$2:$AC$1001,B161,'2.현장'!$T$2:$T$1001,TRUE,'2.현장'!$AA$2:$AA$1001,"★"))</f>
        <v/>
      </c>
      <c r="E161" s="5">
        <f>IF(B161="","",_xlfn.MAXIFS('2.현장'!$D$2:$D$1001,'2.현장'!$AC$2:$AC$1001,B161,'2.현장'!$T$2:$T$1001,TRUE))</f>
        <v/>
      </c>
      <c r="F161" s="7">
        <f>IF(B161="","",IF(_xlfn.MAXIFS('2.현장'!$M$2:$M$1001,'2.현장'!$AC$2:$AC$1001,B161,'2.현장'!$T$2:$T$1001,TRUE)=0,"",_xlfn.MAXIFS('2.현장'!$M$2:$M$1001,'2.현장'!$AC$2:$AC$1001,B161,'2.현장'!$T$2:$T$1001,TRUE)))</f>
        <v/>
      </c>
      <c r="G161">
        <f>IF(B161="","",IFERROR(INDEX('2.현장'!$C$2:$C$1001,MATCH(158,'2.현장'!$AD$2:$AD$1001,0)),""))</f>
        <v/>
      </c>
      <c r="H161">
        <f>IF(B161="","",IFERROR(INDEX('2.현장'!$N$2:$N$1001,MATCH(158,'2.현장'!$AD$2:$AD$1001,0)),""))</f>
        <v/>
      </c>
      <c r="I161">
        <f>IF(B161="","",IFERROR(INDEX('2.현장'!$G$2:$G$1001,MATCH(158,'2.현장'!$AD$2:$AD$1001,0)),""))</f>
        <v/>
      </c>
      <c r="J161">
        <f>IF(B161="","",IFERROR(VLOOKUP(B161,업체_메모!$A$3:$I$302,2,FALSE)&amp;"",""))</f>
        <v/>
      </c>
      <c r="K161">
        <f>IF(B161="","",IFERROR(VLOOKUP(B161,업체_메모!$A$3:$I$302,4,FALSE)&amp;"",""))</f>
        <v/>
      </c>
      <c r="L161" s="7">
        <f>IF(B161="","",IF(COUNTIF('4.방문기록'!$B$3:$B$502,B161)=0,"",_xlfn.MAXIFS('4.방문기록'!$A$3:$A$502,'4.방문기록'!$B$3:$B$502,B161)))</f>
        <v/>
      </c>
      <c r="M161">
        <f>IF(L161="","",설정!$B$24-L161)</f>
        <v/>
      </c>
      <c r="N161">
        <f>IF(L161="","",IFERROR(INDEX('4.방문기록'!$H$3:$H$502,MATCH(B161&amp;"|"&amp;(L161*1),'4.방문기록'!$I$3:$I$502,0))&amp;"",""))</f>
        <v/>
      </c>
      <c r="O161">
        <f>IF(B161="","",IF(N161="관심 없음","제외",IF(L161="","안 가봄",IF(M161&gt;=설정!$B$20,M161&amp;"일 지남","최근 방문"))))</f>
        <v/>
      </c>
    </row>
    <row r="162">
      <c r="A162">
        <f>IF(B162="","",159)</f>
        <v/>
      </c>
      <c r="B162">
        <f>IFERROR(INDEX('2.현장'!$AC$2:$AC$1001,MATCH(159,'2.현장'!$AD$2:$AD$1001,0)),"")</f>
        <v/>
      </c>
      <c r="C162">
        <f>IF(B162="","",COUNTIFS('2.현장'!$AC$2:$AC$1001,B162,'2.현장'!$T$2:$T$1001,TRUE))</f>
        <v/>
      </c>
      <c r="D162">
        <f>IF(B162="","",COUNTIFS('2.현장'!$AC$2:$AC$1001,B162,'2.현장'!$T$2:$T$1001,TRUE,'2.현장'!$AA$2:$AA$1001,"★"))</f>
        <v/>
      </c>
      <c r="E162" s="5">
        <f>IF(B162="","",_xlfn.MAXIFS('2.현장'!$D$2:$D$1001,'2.현장'!$AC$2:$AC$1001,B162,'2.현장'!$T$2:$T$1001,TRUE))</f>
        <v/>
      </c>
      <c r="F162" s="7">
        <f>IF(B162="","",IF(_xlfn.MAXIFS('2.현장'!$M$2:$M$1001,'2.현장'!$AC$2:$AC$1001,B162,'2.현장'!$T$2:$T$1001,TRUE)=0,"",_xlfn.MAXIFS('2.현장'!$M$2:$M$1001,'2.현장'!$AC$2:$AC$1001,B162,'2.현장'!$T$2:$T$1001,TRUE)))</f>
        <v/>
      </c>
      <c r="G162">
        <f>IF(B162="","",IFERROR(INDEX('2.현장'!$C$2:$C$1001,MATCH(159,'2.현장'!$AD$2:$AD$1001,0)),""))</f>
        <v/>
      </c>
      <c r="H162">
        <f>IF(B162="","",IFERROR(INDEX('2.현장'!$N$2:$N$1001,MATCH(159,'2.현장'!$AD$2:$AD$1001,0)),""))</f>
        <v/>
      </c>
      <c r="I162">
        <f>IF(B162="","",IFERROR(INDEX('2.현장'!$G$2:$G$1001,MATCH(159,'2.현장'!$AD$2:$AD$1001,0)),""))</f>
        <v/>
      </c>
      <c r="J162">
        <f>IF(B162="","",IFERROR(VLOOKUP(B162,업체_메모!$A$3:$I$302,2,FALSE)&amp;"",""))</f>
        <v/>
      </c>
      <c r="K162">
        <f>IF(B162="","",IFERROR(VLOOKUP(B162,업체_메모!$A$3:$I$302,4,FALSE)&amp;"",""))</f>
        <v/>
      </c>
      <c r="L162" s="7">
        <f>IF(B162="","",IF(COUNTIF('4.방문기록'!$B$3:$B$502,B162)=0,"",_xlfn.MAXIFS('4.방문기록'!$A$3:$A$502,'4.방문기록'!$B$3:$B$502,B162)))</f>
        <v/>
      </c>
      <c r="M162">
        <f>IF(L162="","",설정!$B$24-L162)</f>
        <v/>
      </c>
      <c r="N162">
        <f>IF(L162="","",IFERROR(INDEX('4.방문기록'!$H$3:$H$502,MATCH(B162&amp;"|"&amp;(L162*1),'4.방문기록'!$I$3:$I$502,0))&amp;"",""))</f>
        <v/>
      </c>
      <c r="O162">
        <f>IF(B162="","",IF(N162="관심 없음","제외",IF(L162="","안 가봄",IF(M162&gt;=설정!$B$20,M162&amp;"일 지남","최근 방문"))))</f>
        <v/>
      </c>
    </row>
    <row r="163">
      <c r="A163">
        <f>IF(B163="","",160)</f>
        <v/>
      </c>
      <c r="B163">
        <f>IFERROR(INDEX('2.현장'!$AC$2:$AC$1001,MATCH(160,'2.현장'!$AD$2:$AD$1001,0)),"")</f>
        <v/>
      </c>
      <c r="C163">
        <f>IF(B163="","",COUNTIFS('2.현장'!$AC$2:$AC$1001,B163,'2.현장'!$T$2:$T$1001,TRUE))</f>
        <v/>
      </c>
      <c r="D163">
        <f>IF(B163="","",COUNTIFS('2.현장'!$AC$2:$AC$1001,B163,'2.현장'!$T$2:$T$1001,TRUE,'2.현장'!$AA$2:$AA$1001,"★"))</f>
        <v/>
      </c>
      <c r="E163" s="5">
        <f>IF(B163="","",_xlfn.MAXIFS('2.현장'!$D$2:$D$1001,'2.현장'!$AC$2:$AC$1001,B163,'2.현장'!$T$2:$T$1001,TRUE))</f>
        <v/>
      </c>
      <c r="F163" s="7">
        <f>IF(B163="","",IF(_xlfn.MAXIFS('2.현장'!$M$2:$M$1001,'2.현장'!$AC$2:$AC$1001,B163,'2.현장'!$T$2:$T$1001,TRUE)=0,"",_xlfn.MAXIFS('2.현장'!$M$2:$M$1001,'2.현장'!$AC$2:$AC$1001,B163,'2.현장'!$T$2:$T$1001,TRUE)))</f>
        <v/>
      </c>
      <c r="G163">
        <f>IF(B163="","",IFERROR(INDEX('2.현장'!$C$2:$C$1001,MATCH(160,'2.현장'!$AD$2:$AD$1001,0)),""))</f>
        <v/>
      </c>
      <c r="H163">
        <f>IF(B163="","",IFERROR(INDEX('2.현장'!$N$2:$N$1001,MATCH(160,'2.현장'!$AD$2:$AD$1001,0)),""))</f>
        <v/>
      </c>
      <c r="I163">
        <f>IF(B163="","",IFERROR(INDEX('2.현장'!$G$2:$G$1001,MATCH(160,'2.현장'!$AD$2:$AD$1001,0)),""))</f>
        <v/>
      </c>
      <c r="J163">
        <f>IF(B163="","",IFERROR(VLOOKUP(B163,업체_메모!$A$3:$I$302,2,FALSE)&amp;"",""))</f>
        <v/>
      </c>
      <c r="K163">
        <f>IF(B163="","",IFERROR(VLOOKUP(B163,업체_메모!$A$3:$I$302,4,FALSE)&amp;"",""))</f>
        <v/>
      </c>
      <c r="L163" s="7">
        <f>IF(B163="","",IF(COUNTIF('4.방문기록'!$B$3:$B$502,B163)=0,"",_xlfn.MAXIFS('4.방문기록'!$A$3:$A$502,'4.방문기록'!$B$3:$B$502,B163)))</f>
        <v/>
      </c>
      <c r="M163">
        <f>IF(L163="","",설정!$B$24-L163)</f>
        <v/>
      </c>
      <c r="N163">
        <f>IF(L163="","",IFERROR(INDEX('4.방문기록'!$H$3:$H$502,MATCH(B163&amp;"|"&amp;(L163*1),'4.방문기록'!$I$3:$I$502,0))&amp;"",""))</f>
        <v/>
      </c>
      <c r="O163">
        <f>IF(B163="","",IF(N163="관심 없음","제외",IF(L163="","안 가봄",IF(M163&gt;=설정!$B$20,M163&amp;"일 지남","최근 방문"))))</f>
        <v/>
      </c>
    </row>
    <row r="164">
      <c r="A164">
        <f>IF(B164="","",161)</f>
        <v/>
      </c>
      <c r="B164">
        <f>IFERROR(INDEX('2.현장'!$AC$2:$AC$1001,MATCH(161,'2.현장'!$AD$2:$AD$1001,0)),"")</f>
        <v/>
      </c>
      <c r="C164">
        <f>IF(B164="","",COUNTIFS('2.현장'!$AC$2:$AC$1001,B164,'2.현장'!$T$2:$T$1001,TRUE))</f>
        <v/>
      </c>
      <c r="D164">
        <f>IF(B164="","",COUNTIFS('2.현장'!$AC$2:$AC$1001,B164,'2.현장'!$T$2:$T$1001,TRUE,'2.현장'!$AA$2:$AA$1001,"★"))</f>
        <v/>
      </c>
      <c r="E164" s="5">
        <f>IF(B164="","",_xlfn.MAXIFS('2.현장'!$D$2:$D$1001,'2.현장'!$AC$2:$AC$1001,B164,'2.현장'!$T$2:$T$1001,TRUE))</f>
        <v/>
      </c>
      <c r="F164" s="7">
        <f>IF(B164="","",IF(_xlfn.MAXIFS('2.현장'!$M$2:$M$1001,'2.현장'!$AC$2:$AC$1001,B164,'2.현장'!$T$2:$T$1001,TRUE)=0,"",_xlfn.MAXIFS('2.현장'!$M$2:$M$1001,'2.현장'!$AC$2:$AC$1001,B164,'2.현장'!$T$2:$T$1001,TRUE)))</f>
        <v/>
      </c>
      <c r="G164">
        <f>IF(B164="","",IFERROR(INDEX('2.현장'!$C$2:$C$1001,MATCH(161,'2.현장'!$AD$2:$AD$1001,0)),""))</f>
        <v/>
      </c>
      <c r="H164">
        <f>IF(B164="","",IFERROR(INDEX('2.현장'!$N$2:$N$1001,MATCH(161,'2.현장'!$AD$2:$AD$1001,0)),""))</f>
        <v/>
      </c>
      <c r="I164">
        <f>IF(B164="","",IFERROR(INDEX('2.현장'!$G$2:$G$1001,MATCH(161,'2.현장'!$AD$2:$AD$1001,0)),""))</f>
        <v/>
      </c>
      <c r="J164">
        <f>IF(B164="","",IFERROR(VLOOKUP(B164,업체_메모!$A$3:$I$302,2,FALSE)&amp;"",""))</f>
        <v/>
      </c>
      <c r="K164">
        <f>IF(B164="","",IFERROR(VLOOKUP(B164,업체_메모!$A$3:$I$302,4,FALSE)&amp;"",""))</f>
        <v/>
      </c>
      <c r="L164" s="7">
        <f>IF(B164="","",IF(COUNTIF('4.방문기록'!$B$3:$B$502,B164)=0,"",_xlfn.MAXIFS('4.방문기록'!$A$3:$A$502,'4.방문기록'!$B$3:$B$502,B164)))</f>
        <v/>
      </c>
      <c r="M164">
        <f>IF(L164="","",설정!$B$24-L164)</f>
        <v/>
      </c>
      <c r="N164">
        <f>IF(L164="","",IFERROR(INDEX('4.방문기록'!$H$3:$H$502,MATCH(B164&amp;"|"&amp;(L164*1),'4.방문기록'!$I$3:$I$502,0))&amp;"",""))</f>
        <v/>
      </c>
      <c r="O164">
        <f>IF(B164="","",IF(N164="관심 없음","제외",IF(L164="","안 가봄",IF(M164&gt;=설정!$B$20,M164&amp;"일 지남","최근 방문"))))</f>
        <v/>
      </c>
    </row>
    <row r="165">
      <c r="A165">
        <f>IF(B165="","",162)</f>
        <v/>
      </c>
      <c r="B165">
        <f>IFERROR(INDEX('2.현장'!$AC$2:$AC$1001,MATCH(162,'2.현장'!$AD$2:$AD$1001,0)),"")</f>
        <v/>
      </c>
      <c r="C165">
        <f>IF(B165="","",COUNTIFS('2.현장'!$AC$2:$AC$1001,B165,'2.현장'!$T$2:$T$1001,TRUE))</f>
        <v/>
      </c>
      <c r="D165">
        <f>IF(B165="","",COUNTIFS('2.현장'!$AC$2:$AC$1001,B165,'2.현장'!$T$2:$T$1001,TRUE,'2.현장'!$AA$2:$AA$1001,"★"))</f>
        <v/>
      </c>
      <c r="E165" s="5">
        <f>IF(B165="","",_xlfn.MAXIFS('2.현장'!$D$2:$D$1001,'2.현장'!$AC$2:$AC$1001,B165,'2.현장'!$T$2:$T$1001,TRUE))</f>
        <v/>
      </c>
      <c r="F165" s="7">
        <f>IF(B165="","",IF(_xlfn.MAXIFS('2.현장'!$M$2:$M$1001,'2.현장'!$AC$2:$AC$1001,B165,'2.현장'!$T$2:$T$1001,TRUE)=0,"",_xlfn.MAXIFS('2.현장'!$M$2:$M$1001,'2.현장'!$AC$2:$AC$1001,B165,'2.현장'!$T$2:$T$1001,TRUE)))</f>
        <v/>
      </c>
      <c r="G165">
        <f>IF(B165="","",IFERROR(INDEX('2.현장'!$C$2:$C$1001,MATCH(162,'2.현장'!$AD$2:$AD$1001,0)),""))</f>
        <v/>
      </c>
      <c r="H165">
        <f>IF(B165="","",IFERROR(INDEX('2.현장'!$N$2:$N$1001,MATCH(162,'2.현장'!$AD$2:$AD$1001,0)),""))</f>
        <v/>
      </c>
      <c r="I165">
        <f>IF(B165="","",IFERROR(INDEX('2.현장'!$G$2:$G$1001,MATCH(162,'2.현장'!$AD$2:$AD$1001,0)),""))</f>
        <v/>
      </c>
      <c r="J165">
        <f>IF(B165="","",IFERROR(VLOOKUP(B165,업체_메모!$A$3:$I$302,2,FALSE)&amp;"",""))</f>
        <v/>
      </c>
      <c r="K165">
        <f>IF(B165="","",IFERROR(VLOOKUP(B165,업체_메모!$A$3:$I$302,4,FALSE)&amp;"",""))</f>
        <v/>
      </c>
      <c r="L165" s="7">
        <f>IF(B165="","",IF(COUNTIF('4.방문기록'!$B$3:$B$502,B165)=0,"",_xlfn.MAXIFS('4.방문기록'!$A$3:$A$502,'4.방문기록'!$B$3:$B$502,B165)))</f>
        <v/>
      </c>
      <c r="M165">
        <f>IF(L165="","",설정!$B$24-L165)</f>
        <v/>
      </c>
      <c r="N165">
        <f>IF(L165="","",IFERROR(INDEX('4.방문기록'!$H$3:$H$502,MATCH(B165&amp;"|"&amp;(L165*1),'4.방문기록'!$I$3:$I$502,0))&amp;"",""))</f>
        <v/>
      </c>
      <c r="O165">
        <f>IF(B165="","",IF(N165="관심 없음","제외",IF(L165="","안 가봄",IF(M165&gt;=설정!$B$20,M165&amp;"일 지남","최근 방문"))))</f>
        <v/>
      </c>
    </row>
    <row r="166">
      <c r="A166">
        <f>IF(B166="","",163)</f>
        <v/>
      </c>
      <c r="B166">
        <f>IFERROR(INDEX('2.현장'!$AC$2:$AC$1001,MATCH(163,'2.현장'!$AD$2:$AD$1001,0)),"")</f>
        <v/>
      </c>
      <c r="C166">
        <f>IF(B166="","",COUNTIFS('2.현장'!$AC$2:$AC$1001,B166,'2.현장'!$T$2:$T$1001,TRUE))</f>
        <v/>
      </c>
      <c r="D166">
        <f>IF(B166="","",COUNTIFS('2.현장'!$AC$2:$AC$1001,B166,'2.현장'!$T$2:$T$1001,TRUE,'2.현장'!$AA$2:$AA$1001,"★"))</f>
        <v/>
      </c>
      <c r="E166" s="5">
        <f>IF(B166="","",_xlfn.MAXIFS('2.현장'!$D$2:$D$1001,'2.현장'!$AC$2:$AC$1001,B166,'2.현장'!$T$2:$T$1001,TRUE))</f>
        <v/>
      </c>
      <c r="F166" s="7">
        <f>IF(B166="","",IF(_xlfn.MAXIFS('2.현장'!$M$2:$M$1001,'2.현장'!$AC$2:$AC$1001,B166,'2.현장'!$T$2:$T$1001,TRUE)=0,"",_xlfn.MAXIFS('2.현장'!$M$2:$M$1001,'2.현장'!$AC$2:$AC$1001,B166,'2.현장'!$T$2:$T$1001,TRUE)))</f>
        <v/>
      </c>
      <c r="G166">
        <f>IF(B166="","",IFERROR(INDEX('2.현장'!$C$2:$C$1001,MATCH(163,'2.현장'!$AD$2:$AD$1001,0)),""))</f>
        <v/>
      </c>
      <c r="H166">
        <f>IF(B166="","",IFERROR(INDEX('2.현장'!$N$2:$N$1001,MATCH(163,'2.현장'!$AD$2:$AD$1001,0)),""))</f>
        <v/>
      </c>
      <c r="I166">
        <f>IF(B166="","",IFERROR(INDEX('2.현장'!$G$2:$G$1001,MATCH(163,'2.현장'!$AD$2:$AD$1001,0)),""))</f>
        <v/>
      </c>
      <c r="J166">
        <f>IF(B166="","",IFERROR(VLOOKUP(B166,업체_메모!$A$3:$I$302,2,FALSE)&amp;"",""))</f>
        <v/>
      </c>
      <c r="K166">
        <f>IF(B166="","",IFERROR(VLOOKUP(B166,업체_메모!$A$3:$I$302,4,FALSE)&amp;"",""))</f>
        <v/>
      </c>
      <c r="L166" s="7">
        <f>IF(B166="","",IF(COUNTIF('4.방문기록'!$B$3:$B$502,B166)=0,"",_xlfn.MAXIFS('4.방문기록'!$A$3:$A$502,'4.방문기록'!$B$3:$B$502,B166)))</f>
        <v/>
      </c>
      <c r="M166">
        <f>IF(L166="","",설정!$B$24-L166)</f>
        <v/>
      </c>
      <c r="N166">
        <f>IF(L166="","",IFERROR(INDEX('4.방문기록'!$H$3:$H$502,MATCH(B166&amp;"|"&amp;(L166*1),'4.방문기록'!$I$3:$I$502,0))&amp;"",""))</f>
        <v/>
      </c>
      <c r="O166">
        <f>IF(B166="","",IF(N166="관심 없음","제외",IF(L166="","안 가봄",IF(M166&gt;=설정!$B$20,M166&amp;"일 지남","최근 방문"))))</f>
        <v/>
      </c>
    </row>
    <row r="167">
      <c r="A167">
        <f>IF(B167="","",164)</f>
        <v/>
      </c>
      <c r="B167">
        <f>IFERROR(INDEX('2.현장'!$AC$2:$AC$1001,MATCH(164,'2.현장'!$AD$2:$AD$1001,0)),"")</f>
        <v/>
      </c>
      <c r="C167">
        <f>IF(B167="","",COUNTIFS('2.현장'!$AC$2:$AC$1001,B167,'2.현장'!$T$2:$T$1001,TRUE))</f>
        <v/>
      </c>
      <c r="D167">
        <f>IF(B167="","",COUNTIFS('2.현장'!$AC$2:$AC$1001,B167,'2.현장'!$T$2:$T$1001,TRUE,'2.현장'!$AA$2:$AA$1001,"★"))</f>
        <v/>
      </c>
      <c r="E167" s="5">
        <f>IF(B167="","",_xlfn.MAXIFS('2.현장'!$D$2:$D$1001,'2.현장'!$AC$2:$AC$1001,B167,'2.현장'!$T$2:$T$1001,TRUE))</f>
        <v/>
      </c>
      <c r="F167" s="7">
        <f>IF(B167="","",IF(_xlfn.MAXIFS('2.현장'!$M$2:$M$1001,'2.현장'!$AC$2:$AC$1001,B167,'2.현장'!$T$2:$T$1001,TRUE)=0,"",_xlfn.MAXIFS('2.현장'!$M$2:$M$1001,'2.현장'!$AC$2:$AC$1001,B167,'2.현장'!$T$2:$T$1001,TRUE)))</f>
        <v/>
      </c>
      <c r="G167">
        <f>IF(B167="","",IFERROR(INDEX('2.현장'!$C$2:$C$1001,MATCH(164,'2.현장'!$AD$2:$AD$1001,0)),""))</f>
        <v/>
      </c>
      <c r="H167">
        <f>IF(B167="","",IFERROR(INDEX('2.현장'!$N$2:$N$1001,MATCH(164,'2.현장'!$AD$2:$AD$1001,0)),""))</f>
        <v/>
      </c>
      <c r="I167">
        <f>IF(B167="","",IFERROR(INDEX('2.현장'!$G$2:$G$1001,MATCH(164,'2.현장'!$AD$2:$AD$1001,0)),""))</f>
        <v/>
      </c>
      <c r="J167">
        <f>IF(B167="","",IFERROR(VLOOKUP(B167,업체_메모!$A$3:$I$302,2,FALSE)&amp;"",""))</f>
        <v/>
      </c>
      <c r="K167">
        <f>IF(B167="","",IFERROR(VLOOKUP(B167,업체_메모!$A$3:$I$302,4,FALSE)&amp;"",""))</f>
        <v/>
      </c>
      <c r="L167" s="7">
        <f>IF(B167="","",IF(COUNTIF('4.방문기록'!$B$3:$B$502,B167)=0,"",_xlfn.MAXIFS('4.방문기록'!$A$3:$A$502,'4.방문기록'!$B$3:$B$502,B167)))</f>
        <v/>
      </c>
      <c r="M167">
        <f>IF(L167="","",설정!$B$24-L167)</f>
        <v/>
      </c>
      <c r="N167">
        <f>IF(L167="","",IFERROR(INDEX('4.방문기록'!$H$3:$H$502,MATCH(B167&amp;"|"&amp;(L167*1),'4.방문기록'!$I$3:$I$502,0))&amp;"",""))</f>
        <v/>
      </c>
      <c r="O167">
        <f>IF(B167="","",IF(N167="관심 없음","제외",IF(L167="","안 가봄",IF(M167&gt;=설정!$B$20,M167&amp;"일 지남","최근 방문"))))</f>
        <v/>
      </c>
    </row>
    <row r="168">
      <c r="A168">
        <f>IF(B168="","",165)</f>
        <v/>
      </c>
      <c r="B168">
        <f>IFERROR(INDEX('2.현장'!$AC$2:$AC$1001,MATCH(165,'2.현장'!$AD$2:$AD$1001,0)),"")</f>
        <v/>
      </c>
      <c r="C168">
        <f>IF(B168="","",COUNTIFS('2.현장'!$AC$2:$AC$1001,B168,'2.현장'!$T$2:$T$1001,TRUE))</f>
        <v/>
      </c>
      <c r="D168">
        <f>IF(B168="","",COUNTIFS('2.현장'!$AC$2:$AC$1001,B168,'2.현장'!$T$2:$T$1001,TRUE,'2.현장'!$AA$2:$AA$1001,"★"))</f>
        <v/>
      </c>
      <c r="E168" s="5">
        <f>IF(B168="","",_xlfn.MAXIFS('2.현장'!$D$2:$D$1001,'2.현장'!$AC$2:$AC$1001,B168,'2.현장'!$T$2:$T$1001,TRUE))</f>
        <v/>
      </c>
      <c r="F168" s="7">
        <f>IF(B168="","",IF(_xlfn.MAXIFS('2.현장'!$M$2:$M$1001,'2.현장'!$AC$2:$AC$1001,B168,'2.현장'!$T$2:$T$1001,TRUE)=0,"",_xlfn.MAXIFS('2.현장'!$M$2:$M$1001,'2.현장'!$AC$2:$AC$1001,B168,'2.현장'!$T$2:$T$1001,TRUE)))</f>
        <v/>
      </c>
      <c r="G168">
        <f>IF(B168="","",IFERROR(INDEX('2.현장'!$C$2:$C$1001,MATCH(165,'2.현장'!$AD$2:$AD$1001,0)),""))</f>
        <v/>
      </c>
      <c r="H168">
        <f>IF(B168="","",IFERROR(INDEX('2.현장'!$N$2:$N$1001,MATCH(165,'2.현장'!$AD$2:$AD$1001,0)),""))</f>
        <v/>
      </c>
      <c r="I168">
        <f>IF(B168="","",IFERROR(INDEX('2.현장'!$G$2:$G$1001,MATCH(165,'2.현장'!$AD$2:$AD$1001,0)),""))</f>
        <v/>
      </c>
      <c r="J168">
        <f>IF(B168="","",IFERROR(VLOOKUP(B168,업체_메모!$A$3:$I$302,2,FALSE)&amp;"",""))</f>
        <v/>
      </c>
      <c r="K168">
        <f>IF(B168="","",IFERROR(VLOOKUP(B168,업체_메모!$A$3:$I$302,4,FALSE)&amp;"",""))</f>
        <v/>
      </c>
      <c r="L168" s="7">
        <f>IF(B168="","",IF(COUNTIF('4.방문기록'!$B$3:$B$502,B168)=0,"",_xlfn.MAXIFS('4.방문기록'!$A$3:$A$502,'4.방문기록'!$B$3:$B$502,B168)))</f>
        <v/>
      </c>
      <c r="M168">
        <f>IF(L168="","",설정!$B$24-L168)</f>
        <v/>
      </c>
      <c r="N168">
        <f>IF(L168="","",IFERROR(INDEX('4.방문기록'!$H$3:$H$502,MATCH(B168&amp;"|"&amp;(L168*1),'4.방문기록'!$I$3:$I$502,0))&amp;"",""))</f>
        <v/>
      </c>
      <c r="O168">
        <f>IF(B168="","",IF(N168="관심 없음","제외",IF(L168="","안 가봄",IF(M168&gt;=설정!$B$20,M168&amp;"일 지남","최근 방문"))))</f>
        <v/>
      </c>
    </row>
    <row r="169">
      <c r="A169">
        <f>IF(B169="","",166)</f>
        <v/>
      </c>
      <c r="B169">
        <f>IFERROR(INDEX('2.현장'!$AC$2:$AC$1001,MATCH(166,'2.현장'!$AD$2:$AD$1001,0)),"")</f>
        <v/>
      </c>
      <c r="C169">
        <f>IF(B169="","",COUNTIFS('2.현장'!$AC$2:$AC$1001,B169,'2.현장'!$T$2:$T$1001,TRUE))</f>
        <v/>
      </c>
      <c r="D169">
        <f>IF(B169="","",COUNTIFS('2.현장'!$AC$2:$AC$1001,B169,'2.현장'!$T$2:$T$1001,TRUE,'2.현장'!$AA$2:$AA$1001,"★"))</f>
        <v/>
      </c>
      <c r="E169" s="5">
        <f>IF(B169="","",_xlfn.MAXIFS('2.현장'!$D$2:$D$1001,'2.현장'!$AC$2:$AC$1001,B169,'2.현장'!$T$2:$T$1001,TRUE))</f>
        <v/>
      </c>
      <c r="F169" s="7">
        <f>IF(B169="","",IF(_xlfn.MAXIFS('2.현장'!$M$2:$M$1001,'2.현장'!$AC$2:$AC$1001,B169,'2.현장'!$T$2:$T$1001,TRUE)=0,"",_xlfn.MAXIFS('2.현장'!$M$2:$M$1001,'2.현장'!$AC$2:$AC$1001,B169,'2.현장'!$T$2:$T$1001,TRUE)))</f>
        <v/>
      </c>
      <c r="G169">
        <f>IF(B169="","",IFERROR(INDEX('2.현장'!$C$2:$C$1001,MATCH(166,'2.현장'!$AD$2:$AD$1001,0)),""))</f>
        <v/>
      </c>
      <c r="H169">
        <f>IF(B169="","",IFERROR(INDEX('2.현장'!$N$2:$N$1001,MATCH(166,'2.현장'!$AD$2:$AD$1001,0)),""))</f>
        <v/>
      </c>
      <c r="I169">
        <f>IF(B169="","",IFERROR(INDEX('2.현장'!$G$2:$G$1001,MATCH(166,'2.현장'!$AD$2:$AD$1001,0)),""))</f>
        <v/>
      </c>
      <c r="J169">
        <f>IF(B169="","",IFERROR(VLOOKUP(B169,업체_메모!$A$3:$I$302,2,FALSE)&amp;"",""))</f>
        <v/>
      </c>
      <c r="K169">
        <f>IF(B169="","",IFERROR(VLOOKUP(B169,업체_메모!$A$3:$I$302,4,FALSE)&amp;"",""))</f>
        <v/>
      </c>
      <c r="L169" s="7">
        <f>IF(B169="","",IF(COUNTIF('4.방문기록'!$B$3:$B$502,B169)=0,"",_xlfn.MAXIFS('4.방문기록'!$A$3:$A$502,'4.방문기록'!$B$3:$B$502,B169)))</f>
        <v/>
      </c>
      <c r="M169">
        <f>IF(L169="","",설정!$B$24-L169)</f>
        <v/>
      </c>
      <c r="N169">
        <f>IF(L169="","",IFERROR(INDEX('4.방문기록'!$H$3:$H$502,MATCH(B169&amp;"|"&amp;(L169*1),'4.방문기록'!$I$3:$I$502,0))&amp;"",""))</f>
        <v/>
      </c>
      <c r="O169">
        <f>IF(B169="","",IF(N169="관심 없음","제외",IF(L169="","안 가봄",IF(M169&gt;=설정!$B$20,M169&amp;"일 지남","최근 방문"))))</f>
        <v/>
      </c>
    </row>
    <row r="170">
      <c r="A170">
        <f>IF(B170="","",167)</f>
        <v/>
      </c>
      <c r="B170">
        <f>IFERROR(INDEX('2.현장'!$AC$2:$AC$1001,MATCH(167,'2.현장'!$AD$2:$AD$1001,0)),"")</f>
        <v/>
      </c>
      <c r="C170">
        <f>IF(B170="","",COUNTIFS('2.현장'!$AC$2:$AC$1001,B170,'2.현장'!$T$2:$T$1001,TRUE))</f>
        <v/>
      </c>
      <c r="D170">
        <f>IF(B170="","",COUNTIFS('2.현장'!$AC$2:$AC$1001,B170,'2.현장'!$T$2:$T$1001,TRUE,'2.현장'!$AA$2:$AA$1001,"★"))</f>
        <v/>
      </c>
      <c r="E170" s="5">
        <f>IF(B170="","",_xlfn.MAXIFS('2.현장'!$D$2:$D$1001,'2.현장'!$AC$2:$AC$1001,B170,'2.현장'!$T$2:$T$1001,TRUE))</f>
        <v/>
      </c>
      <c r="F170" s="7">
        <f>IF(B170="","",IF(_xlfn.MAXIFS('2.현장'!$M$2:$M$1001,'2.현장'!$AC$2:$AC$1001,B170,'2.현장'!$T$2:$T$1001,TRUE)=0,"",_xlfn.MAXIFS('2.현장'!$M$2:$M$1001,'2.현장'!$AC$2:$AC$1001,B170,'2.현장'!$T$2:$T$1001,TRUE)))</f>
        <v/>
      </c>
      <c r="G170">
        <f>IF(B170="","",IFERROR(INDEX('2.현장'!$C$2:$C$1001,MATCH(167,'2.현장'!$AD$2:$AD$1001,0)),""))</f>
        <v/>
      </c>
      <c r="H170">
        <f>IF(B170="","",IFERROR(INDEX('2.현장'!$N$2:$N$1001,MATCH(167,'2.현장'!$AD$2:$AD$1001,0)),""))</f>
        <v/>
      </c>
      <c r="I170">
        <f>IF(B170="","",IFERROR(INDEX('2.현장'!$G$2:$G$1001,MATCH(167,'2.현장'!$AD$2:$AD$1001,0)),""))</f>
        <v/>
      </c>
      <c r="J170">
        <f>IF(B170="","",IFERROR(VLOOKUP(B170,업체_메모!$A$3:$I$302,2,FALSE)&amp;"",""))</f>
        <v/>
      </c>
      <c r="K170">
        <f>IF(B170="","",IFERROR(VLOOKUP(B170,업체_메모!$A$3:$I$302,4,FALSE)&amp;"",""))</f>
        <v/>
      </c>
      <c r="L170" s="7">
        <f>IF(B170="","",IF(COUNTIF('4.방문기록'!$B$3:$B$502,B170)=0,"",_xlfn.MAXIFS('4.방문기록'!$A$3:$A$502,'4.방문기록'!$B$3:$B$502,B170)))</f>
        <v/>
      </c>
      <c r="M170">
        <f>IF(L170="","",설정!$B$24-L170)</f>
        <v/>
      </c>
      <c r="N170">
        <f>IF(L170="","",IFERROR(INDEX('4.방문기록'!$H$3:$H$502,MATCH(B170&amp;"|"&amp;(L170*1),'4.방문기록'!$I$3:$I$502,0))&amp;"",""))</f>
        <v/>
      </c>
      <c r="O170">
        <f>IF(B170="","",IF(N170="관심 없음","제외",IF(L170="","안 가봄",IF(M170&gt;=설정!$B$20,M170&amp;"일 지남","최근 방문"))))</f>
        <v/>
      </c>
    </row>
    <row r="171">
      <c r="A171">
        <f>IF(B171="","",168)</f>
        <v/>
      </c>
      <c r="B171">
        <f>IFERROR(INDEX('2.현장'!$AC$2:$AC$1001,MATCH(168,'2.현장'!$AD$2:$AD$1001,0)),"")</f>
        <v/>
      </c>
      <c r="C171">
        <f>IF(B171="","",COUNTIFS('2.현장'!$AC$2:$AC$1001,B171,'2.현장'!$T$2:$T$1001,TRUE))</f>
        <v/>
      </c>
      <c r="D171">
        <f>IF(B171="","",COUNTIFS('2.현장'!$AC$2:$AC$1001,B171,'2.현장'!$T$2:$T$1001,TRUE,'2.현장'!$AA$2:$AA$1001,"★"))</f>
        <v/>
      </c>
      <c r="E171" s="5">
        <f>IF(B171="","",_xlfn.MAXIFS('2.현장'!$D$2:$D$1001,'2.현장'!$AC$2:$AC$1001,B171,'2.현장'!$T$2:$T$1001,TRUE))</f>
        <v/>
      </c>
      <c r="F171" s="7">
        <f>IF(B171="","",IF(_xlfn.MAXIFS('2.현장'!$M$2:$M$1001,'2.현장'!$AC$2:$AC$1001,B171,'2.현장'!$T$2:$T$1001,TRUE)=0,"",_xlfn.MAXIFS('2.현장'!$M$2:$M$1001,'2.현장'!$AC$2:$AC$1001,B171,'2.현장'!$T$2:$T$1001,TRUE)))</f>
        <v/>
      </c>
      <c r="G171">
        <f>IF(B171="","",IFERROR(INDEX('2.현장'!$C$2:$C$1001,MATCH(168,'2.현장'!$AD$2:$AD$1001,0)),""))</f>
        <v/>
      </c>
      <c r="H171">
        <f>IF(B171="","",IFERROR(INDEX('2.현장'!$N$2:$N$1001,MATCH(168,'2.현장'!$AD$2:$AD$1001,0)),""))</f>
        <v/>
      </c>
      <c r="I171">
        <f>IF(B171="","",IFERROR(INDEX('2.현장'!$G$2:$G$1001,MATCH(168,'2.현장'!$AD$2:$AD$1001,0)),""))</f>
        <v/>
      </c>
      <c r="J171">
        <f>IF(B171="","",IFERROR(VLOOKUP(B171,업체_메모!$A$3:$I$302,2,FALSE)&amp;"",""))</f>
        <v/>
      </c>
      <c r="K171">
        <f>IF(B171="","",IFERROR(VLOOKUP(B171,업체_메모!$A$3:$I$302,4,FALSE)&amp;"",""))</f>
        <v/>
      </c>
      <c r="L171" s="7">
        <f>IF(B171="","",IF(COUNTIF('4.방문기록'!$B$3:$B$502,B171)=0,"",_xlfn.MAXIFS('4.방문기록'!$A$3:$A$502,'4.방문기록'!$B$3:$B$502,B171)))</f>
        <v/>
      </c>
      <c r="M171">
        <f>IF(L171="","",설정!$B$24-L171)</f>
        <v/>
      </c>
      <c r="N171">
        <f>IF(L171="","",IFERROR(INDEX('4.방문기록'!$H$3:$H$502,MATCH(B171&amp;"|"&amp;(L171*1),'4.방문기록'!$I$3:$I$502,0))&amp;"",""))</f>
        <v/>
      </c>
      <c r="O171">
        <f>IF(B171="","",IF(N171="관심 없음","제외",IF(L171="","안 가봄",IF(M171&gt;=설정!$B$20,M171&amp;"일 지남","최근 방문"))))</f>
        <v/>
      </c>
    </row>
    <row r="172">
      <c r="A172">
        <f>IF(B172="","",169)</f>
        <v/>
      </c>
      <c r="B172">
        <f>IFERROR(INDEX('2.현장'!$AC$2:$AC$1001,MATCH(169,'2.현장'!$AD$2:$AD$1001,0)),"")</f>
        <v/>
      </c>
      <c r="C172">
        <f>IF(B172="","",COUNTIFS('2.현장'!$AC$2:$AC$1001,B172,'2.현장'!$T$2:$T$1001,TRUE))</f>
        <v/>
      </c>
      <c r="D172">
        <f>IF(B172="","",COUNTIFS('2.현장'!$AC$2:$AC$1001,B172,'2.현장'!$T$2:$T$1001,TRUE,'2.현장'!$AA$2:$AA$1001,"★"))</f>
        <v/>
      </c>
      <c r="E172" s="5">
        <f>IF(B172="","",_xlfn.MAXIFS('2.현장'!$D$2:$D$1001,'2.현장'!$AC$2:$AC$1001,B172,'2.현장'!$T$2:$T$1001,TRUE))</f>
        <v/>
      </c>
      <c r="F172" s="7">
        <f>IF(B172="","",IF(_xlfn.MAXIFS('2.현장'!$M$2:$M$1001,'2.현장'!$AC$2:$AC$1001,B172,'2.현장'!$T$2:$T$1001,TRUE)=0,"",_xlfn.MAXIFS('2.현장'!$M$2:$M$1001,'2.현장'!$AC$2:$AC$1001,B172,'2.현장'!$T$2:$T$1001,TRUE)))</f>
        <v/>
      </c>
      <c r="G172">
        <f>IF(B172="","",IFERROR(INDEX('2.현장'!$C$2:$C$1001,MATCH(169,'2.현장'!$AD$2:$AD$1001,0)),""))</f>
        <v/>
      </c>
      <c r="H172">
        <f>IF(B172="","",IFERROR(INDEX('2.현장'!$N$2:$N$1001,MATCH(169,'2.현장'!$AD$2:$AD$1001,0)),""))</f>
        <v/>
      </c>
      <c r="I172">
        <f>IF(B172="","",IFERROR(INDEX('2.현장'!$G$2:$G$1001,MATCH(169,'2.현장'!$AD$2:$AD$1001,0)),""))</f>
        <v/>
      </c>
      <c r="J172">
        <f>IF(B172="","",IFERROR(VLOOKUP(B172,업체_메모!$A$3:$I$302,2,FALSE)&amp;"",""))</f>
        <v/>
      </c>
      <c r="K172">
        <f>IF(B172="","",IFERROR(VLOOKUP(B172,업체_메모!$A$3:$I$302,4,FALSE)&amp;"",""))</f>
        <v/>
      </c>
      <c r="L172" s="7">
        <f>IF(B172="","",IF(COUNTIF('4.방문기록'!$B$3:$B$502,B172)=0,"",_xlfn.MAXIFS('4.방문기록'!$A$3:$A$502,'4.방문기록'!$B$3:$B$502,B172)))</f>
        <v/>
      </c>
      <c r="M172">
        <f>IF(L172="","",설정!$B$24-L172)</f>
        <v/>
      </c>
      <c r="N172">
        <f>IF(L172="","",IFERROR(INDEX('4.방문기록'!$H$3:$H$502,MATCH(B172&amp;"|"&amp;(L172*1),'4.방문기록'!$I$3:$I$502,0))&amp;"",""))</f>
        <v/>
      </c>
      <c r="O172">
        <f>IF(B172="","",IF(N172="관심 없음","제외",IF(L172="","안 가봄",IF(M172&gt;=설정!$B$20,M172&amp;"일 지남","최근 방문"))))</f>
        <v/>
      </c>
    </row>
    <row r="173">
      <c r="A173">
        <f>IF(B173="","",170)</f>
        <v/>
      </c>
      <c r="B173">
        <f>IFERROR(INDEX('2.현장'!$AC$2:$AC$1001,MATCH(170,'2.현장'!$AD$2:$AD$1001,0)),"")</f>
        <v/>
      </c>
      <c r="C173">
        <f>IF(B173="","",COUNTIFS('2.현장'!$AC$2:$AC$1001,B173,'2.현장'!$T$2:$T$1001,TRUE))</f>
        <v/>
      </c>
      <c r="D173">
        <f>IF(B173="","",COUNTIFS('2.현장'!$AC$2:$AC$1001,B173,'2.현장'!$T$2:$T$1001,TRUE,'2.현장'!$AA$2:$AA$1001,"★"))</f>
        <v/>
      </c>
      <c r="E173" s="5">
        <f>IF(B173="","",_xlfn.MAXIFS('2.현장'!$D$2:$D$1001,'2.현장'!$AC$2:$AC$1001,B173,'2.현장'!$T$2:$T$1001,TRUE))</f>
        <v/>
      </c>
      <c r="F173" s="7">
        <f>IF(B173="","",IF(_xlfn.MAXIFS('2.현장'!$M$2:$M$1001,'2.현장'!$AC$2:$AC$1001,B173,'2.현장'!$T$2:$T$1001,TRUE)=0,"",_xlfn.MAXIFS('2.현장'!$M$2:$M$1001,'2.현장'!$AC$2:$AC$1001,B173,'2.현장'!$T$2:$T$1001,TRUE)))</f>
        <v/>
      </c>
      <c r="G173">
        <f>IF(B173="","",IFERROR(INDEX('2.현장'!$C$2:$C$1001,MATCH(170,'2.현장'!$AD$2:$AD$1001,0)),""))</f>
        <v/>
      </c>
      <c r="H173">
        <f>IF(B173="","",IFERROR(INDEX('2.현장'!$N$2:$N$1001,MATCH(170,'2.현장'!$AD$2:$AD$1001,0)),""))</f>
        <v/>
      </c>
      <c r="I173">
        <f>IF(B173="","",IFERROR(INDEX('2.현장'!$G$2:$G$1001,MATCH(170,'2.현장'!$AD$2:$AD$1001,0)),""))</f>
        <v/>
      </c>
      <c r="J173">
        <f>IF(B173="","",IFERROR(VLOOKUP(B173,업체_메모!$A$3:$I$302,2,FALSE)&amp;"",""))</f>
        <v/>
      </c>
      <c r="K173">
        <f>IF(B173="","",IFERROR(VLOOKUP(B173,업체_메모!$A$3:$I$302,4,FALSE)&amp;"",""))</f>
        <v/>
      </c>
      <c r="L173" s="7">
        <f>IF(B173="","",IF(COUNTIF('4.방문기록'!$B$3:$B$502,B173)=0,"",_xlfn.MAXIFS('4.방문기록'!$A$3:$A$502,'4.방문기록'!$B$3:$B$502,B173)))</f>
        <v/>
      </c>
      <c r="M173">
        <f>IF(L173="","",설정!$B$24-L173)</f>
        <v/>
      </c>
      <c r="N173">
        <f>IF(L173="","",IFERROR(INDEX('4.방문기록'!$H$3:$H$502,MATCH(B173&amp;"|"&amp;(L173*1),'4.방문기록'!$I$3:$I$502,0))&amp;"",""))</f>
        <v/>
      </c>
      <c r="O173">
        <f>IF(B173="","",IF(N173="관심 없음","제외",IF(L173="","안 가봄",IF(M173&gt;=설정!$B$20,M173&amp;"일 지남","최근 방문"))))</f>
        <v/>
      </c>
    </row>
    <row r="174">
      <c r="A174">
        <f>IF(B174="","",171)</f>
        <v/>
      </c>
      <c r="B174">
        <f>IFERROR(INDEX('2.현장'!$AC$2:$AC$1001,MATCH(171,'2.현장'!$AD$2:$AD$1001,0)),"")</f>
        <v/>
      </c>
      <c r="C174">
        <f>IF(B174="","",COUNTIFS('2.현장'!$AC$2:$AC$1001,B174,'2.현장'!$T$2:$T$1001,TRUE))</f>
        <v/>
      </c>
      <c r="D174">
        <f>IF(B174="","",COUNTIFS('2.현장'!$AC$2:$AC$1001,B174,'2.현장'!$T$2:$T$1001,TRUE,'2.현장'!$AA$2:$AA$1001,"★"))</f>
        <v/>
      </c>
      <c r="E174" s="5">
        <f>IF(B174="","",_xlfn.MAXIFS('2.현장'!$D$2:$D$1001,'2.현장'!$AC$2:$AC$1001,B174,'2.현장'!$T$2:$T$1001,TRUE))</f>
        <v/>
      </c>
      <c r="F174" s="7">
        <f>IF(B174="","",IF(_xlfn.MAXIFS('2.현장'!$M$2:$M$1001,'2.현장'!$AC$2:$AC$1001,B174,'2.현장'!$T$2:$T$1001,TRUE)=0,"",_xlfn.MAXIFS('2.현장'!$M$2:$M$1001,'2.현장'!$AC$2:$AC$1001,B174,'2.현장'!$T$2:$T$1001,TRUE)))</f>
        <v/>
      </c>
      <c r="G174">
        <f>IF(B174="","",IFERROR(INDEX('2.현장'!$C$2:$C$1001,MATCH(171,'2.현장'!$AD$2:$AD$1001,0)),""))</f>
        <v/>
      </c>
      <c r="H174">
        <f>IF(B174="","",IFERROR(INDEX('2.현장'!$N$2:$N$1001,MATCH(171,'2.현장'!$AD$2:$AD$1001,0)),""))</f>
        <v/>
      </c>
      <c r="I174">
        <f>IF(B174="","",IFERROR(INDEX('2.현장'!$G$2:$G$1001,MATCH(171,'2.현장'!$AD$2:$AD$1001,0)),""))</f>
        <v/>
      </c>
      <c r="J174">
        <f>IF(B174="","",IFERROR(VLOOKUP(B174,업체_메모!$A$3:$I$302,2,FALSE)&amp;"",""))</f>
        <v/>
      </c>
      <c r="K174">
        <f>IF(B174="","",IFERROR(VLOOKUP(B174,업체_메모!$A$3:$I$302,4,FALSE)&amp;"",""))</f>
        <v/>
      </c>
      <c r="L174" s="7">
        <f>IF(B174="","",IF(COUNTIF('4.방문기록'!$B$3:$B$502,B174)=0,"",_xlfn.MAXIFS('4.방문기록'!$A$3:$A$502,'4.방문기록'!$B$3:$B$502,B174)))</f>
        <v/>
      </c>
      <c r="M174">
        <f>IF(L174="","",설정!$B$24-L174)</f>
        <v/>
      </c>
      <c r="N174">
        <f>IF(L174="","",IFERROR(INDEX('4.방문기록'!$H$3:$H$502,MATCH(B174&amp;"|"&amp;(L174*1),'4.방문기록'!$I$3:$I$502,0))&amp;"",""))</f>
        <v/>
      </c>
      <c r="O174">
        <f>IF(B174="","",IF(N174="관심 없음","제외",IF(L174="","안 가봄",IF(M174&gt;=설정!$B$20,M174&amp;"일 지남","최근 방문"))))</f>
        <v/>
      </c>
    </row>
    <row r="175">
      <c r="A175">
        <f>IF(B175="","",172)</f>
        <v/>
      </c>
      <c r="B175">
        <f>IFERROR(INDEX('2.현장'!$AC$2:$AC$1001,MATCH(172,'2.현장'!$AD$2:$AD$1001,0)),"")</f>
        <v/>
      </c>
      <c r="C175">
        <f>IF(B175="","",COUNTIFS('2.현장'!$AC$2:$AC$1001,B175,'2.현장'!$T$2:$T$1001,TRUE))</f>
        <v/>
      </c>
      <c r="D175">
        <f>IF(B175="","",COUNTIFS('2.현장'!$AC$2:$AC$1001,B175,'2.현장'!$T$2:$T$1001,TRUE,'2.현장'!$AA$2:$AA$1001,"★"))</f>
        <v/>
      </c>
      <c r="E175" s="5">
        <f>IF(B175="","",_xlfn.MAXIFS('2.현장'!$D$2:$D$1001,'2.현장'!$AC$2:$AC$1001,B175,'2.현장'!$T$2:$T$1001,TRUE))</f>
        <v/>
      </c>
      <c r="F175" s="7">
        <f>IF(B175="","",IF(_xlfn.MAXIFS('2.현장'!$M$2:$M$1001,'2.현장'!$AC$2:$AC$1001,B175,'2.현장'!$T$2:$T$1001,TRUE)=0,"",_xlfn.MAXIFS('2.현장'!$M$2:$M$1001,'2.현장'!$AC$2:$AC$1001,B175,'2.현장'!$T$2:$T$1001,TRUE)))</f>
        <v/>
      </c>
      <c r="G175">
        <f>IF(B175="","",IFERROR(INDEX('2.현장'!$C$2:$C$1001,MATCH(172,'2.현장'!$AD$2:$AD$1001,0)),""))</f>
        <v/>
      </c>
      <c r="H175">
        <f>IF(B175="","",IFERROR(INDEX('2.현장'!$N$2:$N$1001,MATCH(172,'2.현장'!$AD$2:$AD$1001,0)),""))</f>
        <v/>
      </c>
      <c r="I175">
        <f>IF(B175="","",IFERROR(INDEX('2.현장'!$G$2:$G$1001,MATCH(172,'2.현장'!$AD$2:$AD$1001,0)),""))</f>
        <v/>
      </c>
      <c r="J175">
        <f>IF(B175="","",IFERROR(VLOOKUP(B175,업체_메모!$A$3:$I$302,2,FALSE)&amp;"",""))</f>
        <v/>
      </c>
      <c r="K175">
        <f>IF(B175="","",IFERROR(VLOOKUP(B175,업체_메모!$A$3:$I$302,4,FALSE)&amp;"",""))</f>
        <v/>
      </c>
      <c r="L175" s="7">
        <f>IF(B175="","",IF(COUNTIF('4.방문기록'!$B$3:$B$502,B175)=0,"",_xlfn.MAXIFS('4.방문기록'!$A$3:$A$502,'4.방문기록'!$B$3:$B$502,B175)))</f>
        <v/>
      </c>
      <c r="M175">
        <f>IF(L175="","",설정!$B$24-L175)</f>
        <v/>
      </c>
      <c r="N175">
        <f>IF(L175="","",IFERROR(INDEX('4.방문기록'!$H$3:$H$502,MATCH(B175&amp;"|"&amp;(L175*1),'4.방문기록'!$I$3:$I$502,0))&amp;"",""))</f>
        <v/>
      </c>
      <c r="O175">
        <f>IF(B175="","",IF(N175="관심 없음","제외",IF(L175="","안 가봄",IF(M175&gt;=설정!$B$20,M175&amp;"일 지남","최근 방문"))))</f>
        <v/>
      </c>
    </row>
    <row r="176">
      <c r="A176">
        <f>IF(B176="","",173)</f>
        <v/>
      </c>
      <c r="B176">
        <f>IFERROR(INDEX('2.현장'!$AC$2:$AC$1001,MATCH(173,'2.현장'!$AD$2:$AD$1001,0)),"")</f>
        <v/>
      </c>
      <c r="C176">
        <f>IF(B176="","",COUNTIFS('2.현장'!$AC$2:$AC$1001,B176,'2.현장'!$T$2:$T$1001,TRUE))</f>
        <v/>
      </c>
      <c r="D176">
        <f>IF(B176="","",COUNTIFS('2.현장'!$AC$2:$AC$1001,B176,'2.현장'!$T$2:$T$1001,TRUE,'2.현장'!$AA$2:$AA$1001,"★"))</f>
        <v/>
      </c>
      <c r="E176" s="5">
        <f>IF(B176="","",_xlfn.MAXIFS('2.현장'!$D$2:$D$1001,'2.현장'!$AC$2:$AC$1001,B176,'2.현장'!$T$2:$T$1001,TRUE))</f>
        <v/>
      </c>
      <c r="F176" s="7">
        <f>IF(B176="","",IF(_xlfn.MAXIFS('2.현장'!$M$2:$M$1001,'2.현장'!$AC$2:$AC$1001,B176,'2.현장'!$T$2:$T$1001,TRUE)=0,"",_xlfn.MAXIFS('2.현장'!$M$2:$M$1001,'2.현장'!$AC$2:$AC$1001,B176,'2.현장'!$T$2:$T$1001,TRUE)))</f>
        <v/>
      </c>
      <c r="G176">
        <f>IF(B176="","",IFERROR(INDEX('2.현장'!$C$2:$C$1001,MATCH(173,'2.현장'!$AD$2:$AD$1001,0)),""))</f>
        <v/>
      </c>
      <c r="H176">
        <f>IF(B176="","",IFERROR(INDEX('2.현장'!$N$2:$N$1001,MATCH(173,'2.현장'!$AD$2:$AD$1001,0)),""))</f>
        <v/>
      </c>
      <c r="I176">
        <f>IF(B176="","",IFERROR(INDEX('2.현장'!$G$2:$G$1001,MATCH(173,'2.현장'!$AD$2:$AD$1001,0)),""))</f>
        <v/>
      </c>
      <c r="J176">
        <f>IF(B176="","",IFERROR(VLOOKUP(B176,업체_메모!$A$3:$I$302,2,FALSE)&amp;"",""))</f>
        <v/>
      </c>
      <c r="K176">
        <f>IF(B176="","",IFERROR(VLOOKUP(B176,업체_메모!$A$3:$I$302,4,FALSE)&amp;"",""))</f>
        <v/>
      </c>
      <c r="L176" s="7">
        <f>IF(B176="","",IF(COUNTIF('4.방문기록'!$B$3:$B$502,B176)=0,"",_xlfn.MAXIFS('4.방문기록'!$A$3:$A$502,'4.방문기록'!$B$3:$B$502,B176)))</f>
        <v/>
      </c>
      <c r="M176">
        <f>IF(L176="","",설정!$B$24-L176)</f>
        <v/>
      </c>
      <c r="N176">
        <f>IF(L176="","",IFERROR(INDEX('4.방문기록'!$H$3:$H$502,MATCH(B176&amp;"|"&amp;(L176*1),'4.방문기록'!$I$3:$I$502,0))&amp;"",""))</f>
        <v/>
      </c>
      <c r="O176">
        <f>IF(B176="","",IF(N176="관심 없음","제외",IF(L176="","안 가봄",IF(M176&gt;=설정!$B$20,M176&amp;"일 지남","최근 방문"))))</f>
        <v/>
      </c>
    </row>
    <row r="177">
      <c r="A177">
        <f>IF(B177="","",174)</f>
        <v/>
      </c>
      <c r="B177">
        <f>IFERROR(INDEX('2.현장'!$AC$2:$AC$1001,MATCH(174,'2.현장'!$AD$2:$AD$1001,0)),"")</f>
        <v/>
      </c>
      <c r="C177">
        <f>IF(B177="","",COUNTIFS('2.현장'!$AC$2:$AC$1001,B177,'2.현장'!$T$2:$T$1001,TRUE))</f>
        <v/>
      </c>
      <c r="D177">
        <f>IF(B177="","",COUNTIFS('2.현장'!$AC$2:$AC$1001,B177,'2.현장'!$T$2:$T$1001,TRUE,'2.현장'!$AA$2:$AA$1001,"★"))</f>
        <v/>
      </c>
      <c r="E177" s="5">
        <f>IF(B177="","",_xlfn.MAXIFS('2.현장'!$D$2:$D$1001,'2.현장'!$AC$2:$AC$1001,B177,'2.현장'!$T$2:$T$1001,TRUE))</f>
        <v/>
      </c>
      <c r="F177" s="7">
        <f>IF(B177="","",IF(_xlfn.MAXIFS('2.현장'!$M$2:$M$1001,'2.현장'!$AC$2:$AC$1001,B177,'2.현장'!$T$2:$T$1001,TRUE)=0,"",_xlfn.MAXIFS('2.현장'!$M$2:$M$1001,'2.현장'!$AC$2:$AC$1001,B177,'2.현장'!$T$2:$T$1001,TRUE)))</f>
        <v/>
      </c>
      <c r="G177">
        <f>IF(B177="","",IFERROR(INDEX('2.현장'!$C$2:$C$1001,MATCH(174,'2.현장'!$AD$2:$AD$1001,0)),""))</f>
        <v/>
      </c>
      <c r="H177">
        <f>IF(B177="","",IFERROR(INDEX('2.현장'!$N$2:$N$1001,MATCH(174,'2.현장'!$AD$2:$AD$1001,0)),""))</f>
        <v/>
      </c>
      <c r="I177">
        <f>IF(B177="","",IFERROR(INDEX('2.현장'!$G$2:$G$1001,MATCH(174,'2.현장'!$AD$2:$AD$1001,0)),""))</f>
        <v/>
      </c>
      <c r="J177">
        <f>IF(B177="","",IFERROR(VLOOKUP(B177,업체_메모!$A$3:$I$302,2,FALSE)&amp;"",""))</f>
        <v/>
      </c>
      <c r="K177">
        <f>IF(B177="","",IFERROR(VLOOKUP(B177,업체_메모!$A$3:$I$302,4,FALSE)&amp;"",""))</f>
        <v/>
      </c>
      <c r="L177" s="7">
        <f>IF(B177="","",IF(COUNTIF('4.방문기록'!$B$3:$B$502,B177)=0,"",_xlfn.MAXIFS('4.방문기록'!$A$3:$A$502,'4.방문기록'!$B$3:$B$502,B177)))</f>
        <v/>
      </c>
      <c r="M177">
        <f>IF(L177="","",설정!$B$24-L177)</f>
        <v/>
      </c>
      <c r="N177">
        <f>IF(L177="","",IFERROR(INDEX('4.방문기록'!$H$3:$H$502,MATCH(B177&amp;"|"&amp;(L177*1),'4.방문기록'!$I$3:$I$502,0))&amp;"",""))</f>
        <v/>
      </c>
      <c r="O177">
        <f>IF(B177="","",IF(N177="관심 없음","제외",IF(L177="","안 가봄",IF(M177&gt;=설정!$B$20,M177&amp;"일 지남","최근 방문"))))</f>
        <v/>
      </c>
    </row>
    <row r="178">
      <c r="A178">
        <f>IF(B178="","",175)</f>
        <v/>
      </c>
      <c r="B178">
        <f>IFERROR(INDEX('2.현장'!$AC$2:$AC$1001,MATCH(175,'2.현장'!$AD$2:$AD$1001,0)),"")</f>
        <v/>
      </c>
      <c r="C178">
        <f>IF(B178="","",COUNTIFS('2.현장'!$AC$2:$AC$1001,B178,'2.현장'!$T$2:$T$1001,TRUE))</f>
        <v/>
      </c>
      <c r="D178">
        <f>IF(B178="","",COUNTIFS('2.현장'!$AC$2:$AC$1001,B178,'2.현장'!$T$2:$T$1001,TRUE,'2.현장'!$AA$2:$AA$1001,"★"))</f>
        <v/>
      </c>
      <c r="E178" s="5">
        <f>IF(B178="","",_xlfn.MAXIFS('2.현장'!$D$2:$D$1001,'2.현장'!$AC$2:$AC$1001,B178,'2.현장'!$T$2:$T$1001,TRUE))</f>
        <v/>
      </c>
      <c r="F178" s="7">
        <f>IF(B178="","",IF(_xlfn.MAXIFS('2.현장'!$M$2:$M$1001,'2.현장'!$AC$2:$AC$1001,B178,'2.현장'!$T$2:$T$1001,TRUE)=0,"",_xlfn.MAXIFS('2.현장'!$M$2:$M$1001,'2.현장'!$AC$2:$AC$1001,B178,'2.현장'!$T$2:$T$1001,TRUE)))</f>
        <v/>
      </c>
      <c r="G178">
        <f>IF(B178="","",IFERROR(INDEX('2.현장'!$C$2:$C$1001,MATCH(175,'2.현장'!$AD$2:$AD$1001,0)),""))</f>
        <v/>
      </c>
      <c r="H178">
        <f>IF(B178="","",IFERROR(INDEX('2.현장'!$N$2:$N$1001,MATCH(175,'2.현장'!$AD$2:$AD$1001,0)),""))</f>
        <v/>
      </c>
      <c r="I178">
        <f>IF(B178="","",IFERROR(INDEX('2.현장'!$G$2:$G$1001,MATCH(175,'2.현장'!$AD$2:$AD$1001,0)),""))</f>
        <v/>
      </c>
      <c r="J178">
        <f>IF(B178="","",IFERROR(VLOOKUP(B178,업체_메모!$A$3:$I$302,2,FALSE)&amp;"",""))</f>
        <v/>
      </c>
      <c r="K178">
        <f>IF(B178="","",IFERROR(VLOOKUP(B178,업체_메모!$A$3:$I$302,4,FALSE)&amp;"",""))</f>
        <v/>
      </c>
      <c r="L178" s="7">
        <f>IF(B178="","",IF(COUNTIF('4.방문기록'!$B$3:$B$502,B178)=0,"",_xlfn.MAXIFS('4.방문기록'!$A$3:$A$502,'4.방문기록'!$B$3:$B$502,B178)))</f>
        <v/>
      </c>
      <c r="M178">
        <f>IF(L178="","",설정!$B$24-L178)</f>
        <v/>
      </c>
      <c r="N178">
        <f>IF(L178="","",IFERROR(INDEX('4.방문기록'!$H$3:$H$502,MATCH(B178&amp;"|"&amp;(L178*1),'4.방문기록'!$I$3:$I$502,0))&amp;"",""))</f>
        <v/>
      </c>
      <c r="O178">
        <f>IF(B178="","",IF(N178="관심 없음","제외",IF(L178="","안 가봄",IF(M178&gt;=설정!$B$20,M178&amp;"일 지남","최근 방문"))))</f>
        <v/>
      </c>
    </row>
    <row r="179">
      <c r="A179">
        <f>IF(B179="","",176)</f>
        <v/>
      </c>
      <c r="B179">
        <f>IFERROR(INDEX('2.현장'!$AC$2:$AC$1001,MATCH(176,'2.현장'!$AD$2:$AD$1001,0)),"")</f>
        <v/>
      </c>
      <c r="C179">
        <f>IF(B179="","",COUNTIFS('2.현장'!$AC$2:$AC$1001,B179,'2.현장'!$T$2:$T$1001,TRUE))</f>
        <v/>
      </c>
      <c r="D179">
        <f>IF(B179="","",COUNTIFS('2.현장'!$AC$2:$AC$1001,B179,'2.현장'!$T$2:$T$1001,TRUE,'2.현장'!$AA$2:$AA$1001,"★"))</f>
        <v/>
      </c>
      <c r="E179" s="5">
        <f>IF(B179="","",_xlfn.MAXIFS('2.현장'!$D$2:$D$1001,'2.현장'!$AC$2:$AC$1001,B179,'2.현장'!$T$2:$T$1001,TRUE))</f>
        <v/>
      </c>
      <c r="F179" s="7">
        <f>IF(B179="","",IF(_xlfn.MAXIFS('2.현장'!$M$2:$M$1001,'2.현장'!$AC$2:$AC$1001,B179,'2.현장'!$T$2:$T$1001,TRUE)=0,"",_xlfn.MAXIFS('2.현장'!$M$2:$M$1001,'2.현장'!$AC$2:$AC$1001,B179,'2.현장'!$T$2:$T$1001,TRUE)))</f>
        <v/>
      </c>
      <c r="G179">
        <f>IF(B179="","",IFERROR(INDEX('2.현장'!$C$2:$C$1001,MATCH(176,'2.현장'!$AD$2:$AD$1001,0)),""))</f>
        <v/>
      </c>
      <c r="H179">
        <f>IF(B179="","",IFERROR(INDEX('2.현장'!$N$2:$N$1001,MATCH(176,'2.현장'!$AD$2:$AD$1001,0)),""))</f>
        <v/>
      </c>
      <c r="I179">
        <f>IF(B179="","",IFERROR(INDEX('2.현장'!$G$2:$G$1001,MATCH(176,'2.현장'!$AD$2:$AD$1001,0)),""))</f>
        <v/>
      </c>
      <c r="J179">
        <f>IF(B179="","",IFERROR(VLOOKUP(B179,업체_메모!$A$3:$I$302,2,FALSE)&amp;"",""))</f>
        <v/>
      </c>
      <c r="K179">
        <f>IF(B179="","",IFERROR(VLOOKUP(B179,업체_메모!$A$3:$I$302,4,FALSE)&amp;"",""))</f>
        <v/>
      </c>
      <c r="L179" s="7">
        <f>IF(B179="","",IF(COUNTIF('4.방문기록'!$B$3:$B$502,B179)=0,"",_xlfn.MAXIFS('4.방문기록'!$A$3:$A$502,'4.방문기록'!$B$3:$B$502,B179)))</f>
        <v/>
      </c>
      <c r="M179">
        <f>IF(L179="","",설정!$B$24-L179)</f>
        <v/>
      </c>
      <c r="N179">
        <f>IF(L179="","",IFERROR(INDEX('4.방문기록'!$H$3:$H$502,MATCH(B179&amp;"|"&amp;(L179*1),'4.방문기록'!$I$3:$I$502,0))&amp;"",""))</f>
        <v/>
      </c>
      <c r="O179">
        <f>IF(B179="","",IF(N179="관심 없음","제외",IF(L179="","안 가봄",IF(M179&gt;=설정!$B$20,M179&amp;"일 지남","최근 방문"))))</f>
        <v/>
      </c>
    </row>
    <row r="180">
      <c r="A180">
        <f>IF(B180="","",177)</f>
        <v/>
      </c>
      <c r="B180">
        <f>IFERROR(INDEX('2.현장'!$AC$2:$AC$1001,MATCH(177,'2.현장'!$AD$2:$AD$1001,0)),"")</f>
        <v/>
      </c>
      <c r="C180">
        <f>IF(B180="","",COUNTIFS('2.현장'!$AC$2:$AC$1001,B180,'2.현장'!$T$2:$T$1001,TRUE))</f>
        <v/>
      </c>
      <c r="D180">
        <f>IF(B180="","",COUNTIFS('2.현장'!$AC$2:$AC$1001,B180,'2.현장'!$T$2:$T$1001,TRUE,'2.현장'!$AA$2:$AA$1001,"★"))</f>
        <v/>
      </c>
      <c r="E180" s="5">
        <f>IF(B180="","",_xlfn.MAXIFS('2.현장'!$D$2:$D$1001,'2.현장'!$AC$2:$AC$1001,B180,'2.현장'!$T$2:$T$1001,TRUE))</f>
        <v/>
      </c>
      <c r="F180" s="7">
        <f>IF(B180="","",IF(_xlfn.MAXIFS('2.현장'!$M$2:$M$1001,'2.현장'!$AC$2:$AC$1001,B180,'2.현장'!$T$2:$T$1001,TRUE)=0,"",_xlfn.MAXIFS('2.현장'!$M$2:$M$1001,'2.현장'!$AC$2:$AC$1001,B180,'2.현장'!$T$2:$T$1001,TRUE)))</f>
        <v/>
      </c>
      <c r="G180">
        <f>IF(B180="","",IFERROR(INDEX('2.현장'!$C$2:$C$1001,MATCH(177,'2.현장'!$AD$2:$AD$1001,0)),""))</f>
        <v/>
      </c>
      <c r="H180">
        <f>IF(B180="","",IFERROR(INDEX('2.현장'!$N$2:$N$1001,MATCH(177,'2.현장'!$AD$2:$AD$1001,0)),""))</f>
        <v/>
      </c>
      <c r="I180">
        <f>IF(B180="","",IFERROR(INDEX('2.현장'!$G$2:$G$1001,MATCH(177,'2.현장'!$AD$2:$AD$1001,0)),""))</f>
        <v/>
      </c>
      <c r="J180">
        <f>IF(B180="","",IFERROR(VLOOKUP(B180,업체_메모!$A$3:$I$302,2,FALSE)&amp;"",""))</f>
        <v/>
      </c>
      <c r="K180">
        <f>IF(B180="","",IFERROR(VLOOKUP(B180,업체_메모!$A$3:$I$302,4,FALSE)&amp;"",""))</f>
        <v/>
      </c>
      <c r="L180" s="7">
        <f>IF(B180="","",IF(COUNTIF('4.방문기록'!$B$3:$B$502,B180)=0,"",_xlfn.MAXIFS('4.방문기록'!$A$3:$A$502,'4.방문기록'!$B$3:$B$502,B180)))</f>
        <v/>
      </c>
      <c r="M180">
        <f>IF(L180="","",설정!$B$24-L180)</f>
        <v/>
      </c>
      <c r="N180">
        <f>IF(L180="","",IFERROR(INDEX('4.방문기록'!$H$3:$H$502,MATCH(B180&amp;"|"&amp;(L180*1),'4.방문기록'!$I$3:$I$502,0))&amp;"",""))</f>
        <v/>
      </c>
      <c r="O180">
        <f>IF(B180="","",IF(N180="관심 없음","제외",IF(L180="","안 가봄",IF(M180&gt;=설정!$B$20,M180&amp;"일 지남","최근 방문"))))</f>
        <v/>
      </c>
    </row>
    <row r="181">
      <c r="A181">
        <f>IF(B181="","",178)</f>
        <v/>
      </c>
      <c r="B181">
        <f>IFERROR(INDEX('2.현장'!$AC$2:$AC$1001,MATCH(178,'2.현장'!$AD$2:$AD$1001,0)),"")</f>
        <v/>
      </c>
      <c r="C181">
        <f>IF(B181="","",COUNTIFS('2.현장'!$AC$2:$AC$1001,B181,'2.현장'!$T$2:$T$1001,TRUE))</f>
        <v/>
      </c>
      <c r="D181">
        <f>IF(B181="","",COUNTIFS('2.현장'!$AC$2:$AC$1001,B181,'2.현장'!$T$2:$T$1001,TRUE,'2.현장'!$AA$2:$AA$1001,"★"))</f>
        <v/>
      </c>
      <c r="E181" s="5">
        <f>IF(B181="","",_xlfn.MAXIFS('2.현장'!$D$2:$D$1001,'2.현장'!$AC$2:$AC$1001,B181,'2.현장'!$T$2:$T$1001,TRUE))</f>
        <v/>
      </c>
      <c r="F181" s="7">
        <f>IF(B181="","",IF(_xlfn.MAXIFS('2.현장'!$M$2:$M$1001,'2.현장'!$AC$2:$AC$1001,B181,'2.현장'!$T$2:$T$1001,TRUE)=0,"",_xlfn.MAXIFS('2.현장'!$M$2:$M$1001,'2.현장'!$AC$2:$AC$1001,B181,'2.현장'!$T$2:$T$1001,TRUE)))</f>
        <v/>
      </c>
      <c r="G181">
        <f>IF(B181="","",IFERROR(INDEX('2.현장'!$C$2:$C$1001,MATCH(178,'2.현장'!$AD$2:$AD$1001,0)),""))</f>
        <v/>
      </c>
      <c r="H181">
        <f>IF(B181="","",IFERROR(INDEX('2.현장'!$N$2:$N$1001,MATCH(178,'2.현장'!$AD$2:$AD$1001,0)),""))</f>
        <v/>
      </c>
      <c r="I181">
        <f>IF(B181="","",IFERROR(INDEX('2.현장'!$G$2:$G$1001,MATCH(178,'2.현장'!$AD$2:$AD$1001,0)),""))</f>
        <v/>
      </c>
      <c r="J181">
        <f>IF(B181="","",IFERROR(VLOOKUP(B181,업체_메모!$A$3:$I$302,2,FALSE)&amp;"",""))</f>
        <v/>
      </c>
      <c r="K181">
        <f>IF(B181="","",IFERROR(VLOOKUP(B181,업체_메모!$A$3:$I$302,4,FALSE)&amp;"",""))</f>
        <v/>
      </c>
      <c r="L181" s="7">
        <f>IF(B181="","",IF(COUNTIF('4.방문기록'!$B$3:$B$502,B181)=0,"",_xlfn.MAXIFS('4.방문기록'!$A$3:$A$502,'4.방문기록'!$B$3:$B$502,B181)))</f>
        <v/>
      </c>
      <c r="M181">
        <f>IF(L181="","",설정!$B$24-L181)</f>
        <v/>
      </c>
      <c r="N181">
        <f>IF(L181="","",IFERROR(INDEX('4.방문기록'!$H$3:$H$502,MATCH(B181&amp;"|"&amp;(L181*1),'4.방문기록'!$I$3:$I$502,0))&amp;"",""))</f>
        <v/>
      </c>
      <c r="O181">
        <f>IF(B181="","",IF(N181="관심 없음","제외",IF(L181="","안 가봄",IF(M181&gt;=설정!$B$20,M181&amp;"일 지남","최근 방문"))))</f>
        <v/>
      </c>
    </row>
    <row r="182">
      <c r="A182">
        <f>IF(B182="","",179)</f>
        <v/>
      </c>
      <c r="B182">
        <f>IFERROR(INDEX('2.현장'!$AC$2:$AC$1001,MATCH(179,'2.현장'!$AD$2:$AD$1001,0)),"")</f>
        <v/>
      </c>
      <c r="C182">
        <f>IF(B182="","",COUNTIFS('2.현장'!$AC$2:$AC$1001,B182,'2.현장'!$T$2:$T$1001,TRUE))</f>
        <v/>
      </c>
      <c r="D182">
        <f>IF(B182="","",COUNTIFS('2.현장'!$AC$2:$AC$1001,B182,'2.현장'!$T$2:$T$1001,TRUE,'2.현장'!$AA$2:$AA$1001,"★"))</f>
        <v/>
      </c>
      <c r="E182" s="5">
        <f>IF(B182="","",_xlfn.MAXIFS('2.현장'!$D$2:$D$1001,'2.현장'!$AC$2:$AC$1001,B182,'2.현장'!$T$2:$T$1001,TRUE))</f>
        <v/>
      </c>
      <c r="F182" s="7">
        <f>IF(B182="","",IF(_xlfn.MAXIFS('2.현장'!$M$2:$M$1001,'2.현장'!$AC$2:$AC$1001,B182,'2.현장'!$T$2:$T$1001,TRUE)=0,"",_xlfn.MAXIFS('2.현장'!$M$2:$M$1001,'2.현장'!$AC$2:$AC$1001,B182,'2.현장'!$T$2:$T$1001,TRUE)))</f>
        <v/>
      </c>
      <c r="G182">
        <f>IF(B182="","",IFERROR(INDEX('2.현장'!$C$2:$C$1001,MATCH(179,'2.현장'!$AD$2:$AD$1001,0)),""))</f>
        <v/>
      </c>
      <c r="H182">
        <f>IF(B182="","",IFERROR(INDEX('2.현장'!$N$2:$N$1001,MATCH(179,'2.현장'!$AD$2:$AD$1001,0)),""))</f>
        <v/>
      </c>
      <c r="I182">
        <f>IF(B182="","",IFERROR(INDEX('2.현장'!$G$2:$G$1001,MATCH(179,'2.현장'!$AD$2:$AD$1001,0)),""))</f>
        <v/>
      </c>
      <c r="J182">
        <f>IF(B182="","",IFERROR(VLOOKUP(B182,업체_메모!$A$3:$I$302,2,FALSE)&amp;"",""))</f>
        <v/>
      </c>
      <c r="K182">
        <f>IF(B182="","",IFERROR(VLOOKUP(B182,업체_메모!$A$3:$I$302,4,FALSE)&amp;"",""))</f>
        <v/>
      </c>
      <c r="L182" s="7">
        <f>IF(B182="","",IF(COUNTIF('4.방문기록'!$B$3:$B$502,B182)=0,"",_xlfn.MAXIFS('4.방문기록'!$A$3:$A$502,'4.방문기록'!$B$3:$B$502,B182)))</f>
        <v/>
      </c>
      <c r="M182">
        <f>IF(L182="","",설정!$B$24-L182)</f>
        <v/>
      </c>
      <c r="N182">
        <f>IF(L182="","",IFERROR(INDEX('4.방문기록'!$H$3:$H$502,MATCH(B182&amp;"|"&amp;(L182*1),'4.방문기록'!$I$3:$I$502,0))&amp;"",""))</f>
        <v/>
      </c>
      <c r="O182">
        <f>IF(B182="","",IF(N182="관심 없음","제외",IF(L182="","안 가봄",IF(M182&gt;=설정!$B$20,M182&amp;"일 지남","최근 방문"))))</f>
        <v/>
      </c>
    </row>
    <row r="183">
      <c r="A183">
        <f>IF(B183="","",180)</f>
        <v/>
      </c>
      <c r="B183">
        <f>IFERROR(INDEX('2.현장'!$AC$2:$AC$1001,MATCH(180,'2.현장'!$AD$2:$AD$1001,0)),"")</f>
        <v/>
      </c>
      <c r="C183">
        <f>IF(B183="","",COUNTIFS('2.현장'!$AC$2:$AC$1001,B183,'2.현장'!$T$2:$T$1001,TRUE))</f>
        <v/>
      </c>
      <c r="D183">
        <f>IF(B183="","",COUNTIFS('2.현장'!$AC$2:$AC$1001,B183,'2.현장'!$T$2:$T$1001,TRUE,'2.현장'!$AA$2:$AA$1001,"★"))</f>
        <v/>
      </c>
      <c r="E183" s="5">
        <f>IF(B183="","",_xlfn.MAXIFS('2.현장'!$D$2:$D$1001,'2.현장'!$AC$2:$AC$1001,B183,'2.현장'!$T$2:$T$1001,TRUE))</f>
        <v/>
      </c>
      <c r="F183" s="7">
        <f>IF(B183="","",IF(_xlfn.MAXIFS('2.현장'!$M$2:$M$1001,'2.현장'!$AC$2:$AC$1001,B183,'2.현장'!$T$2:$T$1001,TRUE)=0,"",_xlfn.MAXIFS('2.현장'!$M$2:$M$1001,'2.현장'!$AC$2:$AC$1001,B183,'2.현장'!$T$2:$T$1001,TRUE)))</f>
        <v/>
      </c>
      <c r="G183">
        <f>IF(B183="","",IFERROR(INDEX('2.현장'!$C$2:$C$1001,MATCH(180,'2.현장'!$AD$2:$AD$1001,0)),""))</f>
        <v/>
      </c>
      <c r="H183">
        <f>IF(B183="","",IFERROR(INDEX('2.현장'!$N$2:$N$1001,MATCH(180,'2.현장'!$AD$2:$AD$1001,0)),""))</f>
        <v/>
      </c>
      <c r="I183">
        <f>IF(B183="","",IFERROR(INDEX('2.현장'!$G$2:$G$1001,MATCH(180,'2.현장'!$AD$2:$AD$1001,0)),""))</f>
        <v/>
      </c>
      <c r="J183">
        <f>IF(B183="","",IFERROR(VLOOKUP(B183,업체_메모!$A$3:$I$302,2,FALSE)&amp;"",""))</f>
        <v/>
      </c>
      <c r="K183">
        <f>IF(B183="","",IFERROR(VLOOKUP(B183,업체_메모!$A$3:$I$302,4,FALSE)&amp;"",""))</f>
        <v/>
      </c>
      <c r="L183" s="7">
        <f>IF(B183="","",IF(COUNTIF('4.방문기록'!$B$3:$B$502,B183)=0,"",_xlfn.MAXIFS('4.방문기록'!$A$3:$A$502,'4.방문기록'!$B$3:$B$502,B183)))</f>
        <v/>
      </c>
      <c r="M183">
        <f>IF(L183="","",설정!$B$24-L183)</f>
        <v/>
      </c>
      <c r="N183">
        <f>IF(L183="","",IFERROR(INDEX('4.방문기록'!$H$3:$H$502,MATCH(B183&amp;"|"&amp;(L183*1),'4.방문기록'!$I$3:$I$502,0))&amp;"",""))</f>
        <v/>
      </c>
      <c r="O183">
        <f>IF(B183="","",IF(N183="관심 없음","제외",IF(L183="","안 가봄",IF(M183&gt;=설정!$B$20,M183&amp;"일 지남","최근 방문"))))</f>
        <v/>
      </c>
    </row>
    <row r="184">
      <c r="A184">
        <f>IF(B184="","",181)</f>
        <v/>
      </c>
      <c r="B184">
        <f>IFERROR(INDEX('2.현장'!$AC$2:$AC$1001,MATCH(181,'2.현장'!$AD$2:$AD$1001,0)),"")</f>
        <v/>
      </c>
      <c r="C184">
        <f>IF(B184="","",COUNTIFS('2.현장'!$AC$2:$AC$1001,B184,'2.현장'!$T$2:$T$1001,TRUE))</f>
        <v/>
      </c>
      <c r="D184">
        <f>IF(B184="","",COUNTIFS('2.현장'!$AC$2:$AC$1001,B184,'2.현장'!$T$2:$T$1001,TRUE,'2.현장'!$AA$2:$AA$1001,"★"))</f>
        <v/>
      </c>
      <c r="E184" s="5">
        <f>IF(B184="","",_xlfn.MAXIFS('2.현장'!$D$2:$D$1001,'2.현장'!$AC$2:$AC$1001,B184,'2.현장'!$T$2:$T$1001,TRUE))</f>
        <v/>
      </c>
      <c r="F184" s="7">
        <f>IF(B184="","",IF(_xlfn.MAXIFS('2.현장'!$M$2:$M$1001,'2.현장'!$AC$2:$AC$1001,B184,'2.현장'!$T$2:$T$1001,TRUE)=0,"",_xlfn.MAXIFS('2.현장'!$M$2:$M$1001,'2.현장'!$AC$2:$AC$1001,B184,'2.현장'!$T$2:$T$1001,TRUE)))</f>
        <v/>
      </c>
      <c r="G184">
        <f>IF(B184="","",IFERROR(INDEX('2.현장'!$C$2:$C$1001,MATCH(181,'2.현장'!$AD$2:$AD$1001,0)),""))</f>
        <v/>
      </c>
      <c r="H184">
        <f>IF(B184="","",IFERROR(INDEX('2.현장'!$N$2:$N$1001,MATCH(181,'2.현장'!$AD$2:$AD$1001,0)),""))</f>
        <v/>
      </c>
      <c r="I184">
        <f>IF(B184="","",IFERROR(INDEX('2.현장'!$G$2:$G$1001,MATCH(181,'2.현장'!$AD$2:$AD$1001,0)),""))</f>
        <v/>
      </c>
      <c r="J184">
        <f>IF(B184="","",IFERROR(VLOOKUP(B184,업체_메모!$A$3:$I$302,2,FALSE)&amp;"",""))</f>
        <v/>
      </c>
      <c r="K184">
        <f>IF(B184="","",IFERROR(VLOOKUP(B184,업체_메모!$A$3:$I$302,4,FALSE)&amp;"",""))</f>
        <v/>
      </c>
      <c r="L184" s="7">
        <f>IF(B184="","",IF(COUNTIF('4.방문기록'!$B$3:$B$502,B184)=0,"",_xlfn.MAXIFS('4.방문기록'!$A$3:$A$502,'4.방문기록'!$B$3:$B$502,B184)))</f>
        <v/>
      </c>
      <c r="M184">
        <f>IF(L184="","",설정!$B$24-L184)</f>
        <v/>
      </c>
      <c r="N184">
        <f>IF(L184="","",IFERROR(INDEX('4.방문기록'!$H$3:$H$502,MATCH(B184&amp;"|"&amp;(L184*1),'4.방문기록'!$I$3:$I$502,0))&amp;"",""))</f>
        <v/>
      </c>
      <c r="O184">
        <f>IF(B184="","",IF(N184="관심 없음","제외",IF(L184="","안 가봄",IF(M184&gt;=설정!$B$20,M184&amp;"일 지남","최근 방문"))))</f>
        <v/>
      </c>
    </row>
    <row r="185">
      <c r="A185">
        <f>IF(B185="","",182)</f>
        <v/>
      </c>
      <c r="B185">
        <f>IFERROR(INDEX('2.현장'!$AC$2:$AC$1001,MATCH(182,'2.현장'!$AD$2:$AD$1001,0)),"")</f>
        <v/>
      </c>
      <c r="C185">
        <f>IF(B185="","",COUNTIFS('2.현장'!$AC$2:$AC$1001,B185,'2.현장'!$T$2:$T$1001,TRUE))</f>
        <v/>
      </c>
      <c r="D185">
        <f>IF(B185="","",COUNTIFS('2.현장'!$AC$2:$AC$1001,B185,'2.현장'!$T$2:$T$1001,TRUE,'2.현장'!$AA$2:$AA$1001,"★"))</f>
        <v/>
      </c>
      <c r="E185" s="5">
        <f>IF(B185="","",_xlfn.MAXIFS('2.현장'!$D$2:$D$1001,'2.현장'!$AC$2:$AC$1001,B185,'2.현장'!$T$2:$T$1001,TRUE))</f>
        <v/>
      </c>
      <c r="F185" s="7">
        <f>IF(B185="","",IF(_xlfn.MAXIFS('2.현장'!$M$2:$M$1001,'2.현장'!$AC$2:$AC$1001,B185,'2.현장'!$T$2:$T$1001,TRUE)=0,"",_xlfn.MAXIFS('2.현장'!$M$2:$M$1001,'2.현장'!$AC$2:$AC$1001,B185,'2.현장'!$T$2:$T$1001,TRUE)))</f>
        <v/>
      </c>
      <c r="G185">
        <f>IF(B185="","",IFERROR(INDEX('2.현장'!$C$2:$C$1001,MATCH(182,'2.현장'!$AD$2:$AD$1001,0)),""))</f>
        <v/>
      </c>
      <c r="H185">
        <f>IF(B185="","",IFERROR(INDEX('2.현장'!$N$2:$N$1001,MATCH(182,'2.현장'!$AD$2:$AD$1001,0)),""))</f>
        <v/>
      </c>
      <c r="I185">
        <f>IF(B185="","",IFERROR(INDEX('2.현장'!$G$2:$G$1001,MATCH(182,'2.현장'!$AD$2:$AD$1001,0)),""))</f>
        <v/>
      </c>
      <c r="J185">
        <f>IF(B185="","",IFERROR(VLOOKUP(B185,업체_메모!$A$3:$I$302,2,FALSE)&amp;"",""))</f>
        <v/>
      </c>
      <c r="K185">
        <f>IF(B185="","",IFERROR(VLOOKUP(B185,업체_메모!$A$3:$I$302,4,FALSE)&amp;"",""))</f>
        <v/>
      </c>
      <c r="L185" s="7">
        <f>IF(B185="","",IF(COUNTIF('4.방문기록'!$B$3:$B$502,B185)=0,"",_xlfn.MAXIFS('4.방문기록'!$A$3:$A$502,'4.방문기록'!$B$3:$B$502,B185)))</f>
        <v/>
      </c>
      <c r="M185">
        <f>IF(L185="","",설정!$B$24-L185)</f>
        <v/>
      </c>
      <c r="N185">
        <f>IF(L185="","",IFERROR(INDEX('4.방문기록'!$H$3:$H$502,MATCH(B185&amp;"|"&amp;(L185*1),'4.방문기록'!$I$3:$I$502,0))&amp;"",""))</f>
        <v/>
      </c>
      <c r="O185">
        <f>IF(B185="","",IF(N185="관심 없음","제외",IF(L185="","안 가봄",IF(M185&gt;=설정!$B$20,M185&amp;"일 지남","최근 방문"))))</f>
        <v/>
      </c>
    </row>
    <row r="186">
      <c r="A186">
        <f>IF(B186="","",183)</f>
        <v/>
      </c>
      <c r="B186">
        <f>IFERROR(INDEX('2.현장'!$AC$2:$AC$1001,MATCH(183,'2.현장'!$AD$2:$AD$1001,0)),"")</f>
        <v/>
      </c>
      <c r="C186">
        <f>IF(B186="","",COUNTIFS('2.현장'!$AC$2:$AC$1001,B186,'2.현장'!$T$2:$T$1001,TRUE))</f>
        <v/>
      </c>
      <c r="D186">
        <f>IF(B186="","",COUNTIFS('2.현장'!$AC$2:$AC$1001,B186,'2.현장'!$T$2:$T$1001,TRUE,'2.현장'!$AA$2:$AA$1001,"★"))</f>
        <v/>
      </c>
      <c r="E186" s="5">
        <f>IF(B186="","",_xlfn.MAXIFS('2.현장'!$D$2:$D$1001,'2.현장'!$AC$2:$AC$1001,B186,'2.현장'!$T$2:$T$1001,TRUE))</f>
        <v/>
      </c>
      <c r="F186" s="7">
        <f>IF(B186="","",IF(_xlfn.MAXIFS('2.현장'!$M$2:$M$1001,'2.현장'!$AC$2:$AC$1001,B186,'2.현장'!$T$2:$T$1001,TRUE)=0,"",_xlfn.MAXIFS('2.현장'!$M$2:$M$1001,'2.현장'!$AC$2:$AC$1001,B186,'2.현장'!$T$2:$T$1001,TRUE)))</f>
        <v/>
      </c>
      <c r="G186">
        <f>IF(B186="","",IFERROR(INDEX('2.현장'!$C$2:$C$1001,MATCH(183,'2.현장'!$AD$2:$AD$1001,0)),""))</f>
        <v/>
      </c>
      <c r="H186">
        <f>IF(B186="","",IFERROR(INDEX('2.현장'!$N$2:$N$1001,MATCH(183,'2.현장'!$AD$2:$AD$1001,0)),""))</f>
        <v/>
      </c>
      <c r="I186">
        <f>IF(B186="","",IFERROR(INDEX('2.현장'!$G$2:$G$1001,MATCH(183,'2.현장'!$AD$2:$AD$1001,0)),""))</f>
        <v/>
      </c>
      <c r="J186">
        <f>IF(B186="","",IFERROR(VLOOKUP(B186,업체_메모!$A$3:$I$302,2,FALSE)&amp;"",""))</f>
        <v/>
      </c>
      <c r="K186">
        <f>IF(B186="","",IFERROR(VLOOKUP(B186,업체_메모!$A$3:$I$302,4,FALSE)&amp;"",""))</f>
        <v/>
      </c>
      <c r="L186" s="7">
        <f>IF(B186="","",IF(COUNTIF('4.방문기록'!$B$3:$B$502,B186)=0,"",_xlfn.MAXIFS('4.방문기록'!$A$3:$A$502,'4.방문기록'!$B$3:$B$502,B186)))</f>
        <v/>
      </c>
      <c r="M186">
        <f>IF(L186="","",설정!$B$24-L186)</f>
        <v/>
      </c>
      <c r="N186">
        <f>IF(L186="","",IFERROR(INDEX('4.방문기록'!$H$3:$H$502,MATCH(B186&amp;"|"&amp;(L186*1),'4.방문기록'!$I$3:$I$502,0))&amp;"",""))</f>
        <v/>
      </c>
      <c r="O186">
        <f>IF(B186="","",IF(N186="관심 없음","제외",IF(L186="","안 가봄",IF(M186&gt;=설정!$B$20,M186&amp;"일 지남","최근 방문"))))</f>
        <v/>
      </c>
    </row>
    <row r="187">
      <c r="A187">
        <f>IF(B187="","",184)</f>
        <v/>
      </c>
      <c r="B187">
        <f>IFERROR(INDEX('2.현장'!$AC$2:$AC$1001,MATCH(184,'2.현장'!$AD$2:$AD$1001,0)),"")</f>
        <v/>
      </c>
      <c r="C187">
        <f>IF(B187="","",COUNTIFS('2.현장'!$AC$2:$AC$1001,B187,'2.현장'!$T$2:$T$1001,TRUE))</f>
        <v/>
      </c>
      <c r="D187">
        <f>IF(B187="","",COUNTIFS('2.현장'!$AC$2:$AC$1001,B187,'2.현장'!$T$2:$T$1001,TRUE,'2.현장'!$AA$2:$AA$1001,"★"))</f>
        <v/>
      </c>
      <c r="E187" s="5">
        <f>IF(B187="","",_xlfn.MAXIFS('2.현장'!$D$2:$D$1001,'2.현장'!$AC$2:$AC$1001,B187,'2.현장'!$T$2:$T$1001,TRUE))</f>
        <v/>
      </c>
      <c r="F187" s="7">
        <f>IF(B187="","",IF(_xlfn.MAXIFS('2.현장'!$M$2:$M$1001,'2.현장'!$AC$2:$AC$1001,B187,'2.현장'!$T$2:$T$1001,TRUE)=0,"",_xlfn.MAXIFS('2.현장'!$M$2:$M$1001,'2.현장'!$AC$2:$AC$1001,B187,'2.현장'!$T$2:$T$1001,TRUE)))</f>
        <v/>
      </c>
      <c r="G187">
        <f>IF(B187="","",IFERROR(INDEX('2.현장'!$C$2:$C$1001,MATCH(184,'2.현장'!$AD$2:$AD$1001,0)),""))</f>
        <v/>
      </c>
      <c r="H187">
        <f>IF(B187="","",IFERROR(INDEX('2.현장'!$N$2:$N$1001,MATCH(184,'2.현장'!$AD$2:$AD$1001,0)),""))</f>
        <v/>
      </c>
      <c r="I187">
        <f>IF(B187="","",IFERROR(INDEX('2.현장'!$G$2:$G$1001,MATCH(184,'2.현장'!$AD$2:$AD$1001,0)),""))</f>
        <v/>
      </c>
      <c r="J187">
        <f>IF(B187="","",IFERROR(VLOOKUP(B187,업체_메모!$A$3:$I$302,2,FALSE)&amp;"",""))</f>
        <v/>
      </c>
      <c r="K187">
        <f>IF(B187="","",IFERROR(VLOOKUP(B187,업체_메모!$A$3:$I$302,4,FALSE)&amp;"",""))</f>
        <v/>
      </c>
      <c r="L187" s="7">
        <f>IF(B187="","",IF(COUNTIF('4.방문기록'!$B$3:$B$502,B187)=0,"",_xlfn.MAXIFS('4.방문기록'!$A$3:$A$502,'4.방문기록'!$B$3:$B$502,B187)))</f>
        <v/>
      </c>
      <c r="M187">
        <f>IF(L187="","",설정!$B$24-L187)</f>
        <v/>
      </c>
      <c r="N187">
        <f>IF(L187="","",IFERROR(INDEX('4.방문기록'!$H$3:$H$502,MATCH(B187&amp;"|"&amp;(L187*1),'4.방문기록'!$I$3:$I$502,0))&amp;"",""))</f>
        <v/>
      </c>
      <c r="O187">
        <f>IF(B187="","",IF(N187="관심 없음","제외",IF(L187="","안 가봄",IF(M187&gt;=설정!$B$20,M187&amp;"일 지남","최근 방문"))))</f>
        <v/>
      </c>
    </row>
    <row r="188">
      <c r="A188">
        <f>IF(B188="","",185)</f>
        <v/>
      </c>
      <c r="B188">
        <f>IFERROR(INDEX('2.현장'!$AC$2:$AC$1001,MATCH(185,'2.현장'!$AD$2:$AD$1001,0)),"")</f>
        <v/>
      </c>
      <c r="C188">
        <f>IF(B188="","",COUNTIFS('2.현장'!$AC$2:$AC$1001,B188,'2.현장'!$T$2:$T$1001,TRUE))</f>
        <v/>
      </c>
      <c r="D188">
        <f>IF(B188="","",COUNTIFS('2.현장'!$AC$2:$AC$1001,B188,'2.현장'!$T$2:$T$1001,TRUE,'2.현장'!$AA$2:$AA$1001,"★"))</f>
        <v/>
      </c>
      <c r="E188" s="5">
        <f>IF(B188="","",_xlfn.MAXIFS('2.현장'!$D$2:$D$1001,'2.현장'!$AC$2:$AC$1001,B188,'2.현장'!$T$2:$T$1001,TRUE))</f>
        <v/>
      </c>
      <c r="F188" s="7">
        <f>IF(B188="","",IF(_xlfn.MAXIFS('2.현장'!$M$2:$M$1001,'2.현장'!$AC$2:$AC$1001,B188,'2.현장'!$T$2:$T$1001,TRUE)=0,"",_xlfn.MAXIFS('2.현장'!$M$2:$M$1001,'2.현장'!$AC$2:$AC$1001,B188,'2.현장'!$T$2:$T$1001,TRUE)))</f>
        <v/>
      </c>
      <c r="G188">
        <f>IF(B188="","",IFERROR(INDEX('2.현장'!$C$2:$C$1001,MATCH(185,'2.현장'!$AD$2:$AD$1001,0)),""))</f>
        <v/>
      </c>
      <c r="H188">
        <f>IF(B188="","",IFERROR(INDEX('2.현장'!$N$2:$N$1001,MATCH(185,'2.현장'!$AD$2:$AD$1001,0)),""))</f>
        <v/>
      </c>
      <c r="I188">
        <f>IF(B188="","",IFERROR(INDEX('2.현장'!$G$2:$G$1001,MATCH(185,'2.현장'!$AD$2:$AD$1001,0)),""))</f>
        <v/>
      </c>
      <c r="J188">
        <f>IF(B188="","",IFERROR(VLOOKUP(B188,업체_메모!$A$3:$I$302,2,FALSE)&amp;"",""))</f>
        <v/>
      </c>
      <c r="K188">
        <f>IF(B188="","",IFERROR(VLOOKUP(B188,업체_메모!$A$3:$I$302,4,FALSE)&amp;"",""))</f>
        <v/>
      </c>
      <c r="L188" s="7">
        <f>IF(B188="","",IF(COUNTIF('4.방문기록'!$B$3:$B$502,B188)=0,"",_xlfn.MAXIFS('4.방문기록'!$A$3:$A$502,'4.방문기록'!$B$3:$B$502,B188)))</f>
        <v/>
      </c>
      <c r="M188">
        <f>IF(L188="","",설정!$B$24-L188)</f>
        <v/>
      </c>
      <c r="N188">
        <f>IF(L188="","",IFERROR(INDEX('4.방문기록'!$H$3:$H$502,MATCH(B188&amp;"|"&amp;(L188*1),'4.방문기록'!$I$3:$I$502,0))&amp;"",""))</f>
        <v/>
      </c>
      <c r="O188">
        <f>IF(B188="","",IF(N188="관심 없음","제외",IF(L188="","안 가봄",IF(M188&gt;=설정!$B$20,M188&amp;"일 지남","최근 방문"))))</f>
        <v/>
      </c>
    </row>
    <row r="189">
      <c r="A189">
        <f>IF(B189="","",186)</f>
        <v/>
      </c>
      <c r="B189">
        <f>IFERROR(INDEX('2.현장'!$AC$2:$AC$1001,MATCH(186,'2.현장'!$AD$2:$AD$1001,0)),"")</f>
        <v/>
      </c>
      <c r="C189">
        <f>IF(B189="","",COUNTIFS('2.현장'!$AC$2:$AC$1001,B189,'2.현장'!$T$2:$T$1001,TRUE))</f>
        <v/>
      </c>
      <c r="D189">
        <f>IF(B189="","",COUNTIFS('2.현장'!$AC$2:$AC$1001,B189,'2.현장'!$T$2:$T$1001,TRUE,'2.현장'!$AA$2:$AA$1001,"★"))</f>
        <v/>
      </c>
      <c r="E189" s="5">
        <f>IF(B189="","",_xlfn.MAXIFS('2.현장'!$D$2:$D$1001,'2.현장'!$AC$2:$AC$1001,B189,'2.현장'!$T$2:$T$1001,TRUE))</f>
        <v/>
      </c>
      <c r="F189" s="7">
        <f>IF(B189="","",IF(_xlfn.MAXIFS('2.현장'!$M$2:$M$1001,'2.현장'!$AC$2:$AC$1001,B189,'2.현장'!$T$2:$T$1001,TRUE)=0,"",_xlfn.MAXIFS('2.현장'!$M$2:$M$1001,'2.현장'!$AC$2:$AC$1001,B189,'2.현장'!$T$2:$T$1001,TRUE)))</f>
        <v/>
      </c>
      <c r="G189">
        <f>IF(B189="","",IFERROR(INDEX('2.현장'!$C$2:$C$1001,MATCH(186,'2.현장'!$AD$2:$AD$1001,0)),""))</f>
        <v/>
      </c>
      <c r="H189">
        <f>IF(B189="","",IFERROR(INDEX('2.현장'!$N$2:$N$1001,MATCH(186,'2.현장'!$AD$2:$AD$1001,0)),""))</f>
        <v/>
      </c>
      <c r="I189">
        <f>IF(B189="","",IFERROR(INDEX('2.현장'!$G$2:$G$1001,MATCH(186,'2.현장'!$AD$2:$AD$1001,0)),""))</f>
        <v/>
      </c>
      <c r="J189">
        <f>IF(B189="","",IFERROR(VLOOKUP(B189,업체_메모!$A$3:$I$302,2,FALSE)&amp;"",""))</f>
        <v/>
      </c>
      <c r="K189">
        <f>IF(B189="","",IFERROR(VLOOKUP(B189,업체_메모!$A$3:$I$302,4,FALSE)&amp;"",""))</f>
        <v/>
      </c>
      <c r="L189" s="7">
        <f>IF(B189="","",IF(COUNTIF('4.방문기록'!$B$3:$B$502,B189)=0,"",_xlfn.MAXIFS('4.방문기록'!$A$3:$A$502,'4.방문기록'!$B$3:$B$502,B189)))</f>
        <v/>
      </c>
      <c r="M189">
        <f>IF(L189="","",설정!$B$24-L189)</f>
        <v/>
      </c>
      <c r="N189">
        <f>IF(L189="","",IFERROR(INDEX('4.방문기록'!$H$3:$H$502,MATCH(B189&amp;"|"&amp;(L189*1),'4.방문기록'!$I$3:$I$502,0))&amp;"",""))</f>
        <v/>
      </c>
      <c r="O189">
        <f>IF(B189="","",IF(N189="관심 없음","제외",IF(L189="","안 가봄",IF(M189&gt;=설정!$B$20,M189&amp;"일 지남","최근 방문"))))</f>
        <v/>
      </c>
    </row>
    <row r="190">
      <c r="A190">
        <f>IF(B190="","",187)</f>
        <v/>
      </c>
      <c r="B190">
        <f>IFERROR(INDEX('2.현장'!$AC$2:$AC$1001,MATCH(187,'2.현장'!$AD$2:$AD$1001,0)),"")</f>
        <v/>
      </c>
      <c r="C190">
        <f>IF(B190="","",COUNTIFS('2.현장'!$AC$2:$AC$1001,B190,'2.현장'!$T$2:$T$1001,TRUE))</f>
        <v/>
      </c>
      <c r="D190">
        <f>IF(B190="","",COUNTIFS('2.현장'!$AC$2:$AC$1001,B190,'2.현장'!$T$2:$T$1001,TRUE,'2.현장'!$AA$2:$AA$1001,"★"))</f>
        <v/>
      </c>
      <c r="E190" s="5">
        <f>IF(B190="","",_xlfn.MAXIFS('2.현장'!$D$2:$D$1001,'2.현장'!$AC$2:$AC$1001,B190,'2.현장'!$T$2:$T$1001,TRUE))</f>
        <v/>
      </c>
      <c r="F190" s="7">
        <f>IF(B190="","",IF(_xlfn.MAXIFS('2.현장'!$M$2:$M$1001,'2.현장'!$AC$2:$AC$1001,B190,'2.현장'!$T$2:$T$1001,TRUE)=0,"",_xlfn.MAXIFS('2.현장'!$M$2:$M$1001,'2.현장'!$AC$2:$AC$1001,B190,'2.현장'!$T$2:$T$1001,TRUE)))</f>
        <v/>
      </c>
      <c r="G190">
        <f>IF(B190="","",IFERROR(INDEX('2.현장'!$C$2:$C$1001,MATCH(187,'2.현장'!$AD$2:$AD$1001,0)),""))</f>
        <v/>
      </c>
      <c r="H190">
        <f>IF(B190="","",IFERROR(INDEX('2.현장'!$N$2:$N$1001,MATCH(187,'2.현장'!$AD$2:$AD$1001,0)),""))</f>
        <v/>
      </c>
      <c r="I190">
        <f>IF(B190="","",IFERROR(INDEX('2.현장'!$G$2:$G$1001,MATCH(187,'2.현장'!$AD$2:$AD$1001,0)),""))</f>
        <v/>
      </c>
      <c r="J190">
        <f>IF(B190="","",IFERROR(VLOOKUP(B190,업체_메모!$A$3:$I$302,2,FALSE)&amp;"",""))</f>
        <v/>
      </c>
      <c r="K190">
        <f>IF(B190="","",IFERROR(VLOOKUP(B190,업체_메모!$A$3:$I$302,4,FALSE)&amp;"",""))</f>
        <v/>
      </c>
      <c r="L190" s="7">
        <f>IF(B190="","",IF(COUNTIF('4.방문기록'!$B$3:$B$502,B190)=0,"",_xlfn.MAXIFS('4.방문기록'!$A$3:$A$502,'4.방문기록'!$B$3:$B$502,B190)))</f>
        <v/>
      </c>
      <c r="M190">
        <f>IF(L190="","",설정!$B$24-L190)</f>
        <v/>
      </c>
      <c r="N190">
        <f>IF(L190="","",IFERROR(INDEX('4.방문기록'!$H$3:$H$502,MATCH(B190&amp;"|"&amp;(L190*1),'4.방문기록'!$I$3:$I$502,0))&amp;"",""))</f>
        <v/>
      </c>
      <c r="O190">
        <f>IF(B190="","",IF(N190="관심 없음","제외",IF(L190="","안 가봄",IF(M190&gt;=설정!$B$20,M190&amp;"일 지남","최근 방문"))))</f>
        <v/>
      </c>
    </row>
    <row r="191">
      <c r="A191">
        <f>IF(B191="","",188)</f>
        <v/>
      </c>
      <c r="B191">
        <f>IFERROR(INDEX('2.현장'!$AC$2:$AC$1001,MATCH(188,'2.현장'!$AD$2:$AD$1001,0)),"")</f>
        <v/>
      </c>
      <c r="C191">
        <f>IF(B191="","",COUNTIFS('2.현장'!$AC$2:$AC$1001,B191,'2.현장'!$T$2:$T$1001,TRUE))</f>
        <v/>
      </c>
      <c r="D191">
        <f>IF(B191="","",COUNTIFS('2.현장'!$AC$2:$AC$1001,B191,'2.현장'!$T$2:$T$1001,TRUE,'2.현장'!$AA$2:$AA$1001,"★"))</f>
        <v/>
      </c>
      <c r="E191" s="5">
        <f>IF(B191="","",_xlfn.MAXIFS('2.현장'!$D$2:$D$1001,'2.현장'!$AC$2:$AC$1001,B191,'2.현장'!$T$2:$T$1001,TRUE))</f>
        <v/>
      </c>
      <c r="F191" s="7">
        <f>IF(B191="","",IF(_xlfn.MAXIFS('2.현장'!$M$2:$M$1001,'2.현장'!$AC$2:$AC$1001,B191,'2.현장'!$T$2:$T$1001,TRUE)=0,"",_xlfn.MAXIFS('2.현장'!$M$2:$M$1001,'2.현장'!$AC$2:$AC$1001,B191,'2.현장'!$T$2:$T$1001,TRUE)))</f>
        <v/>
      </c>
      <c r="G191">
        <f>IF(B191="","",IFERROR(INDEX('2.현장'!$C$2:$C$1001,MATCH(188,'2.현장'!$AD$2:$AD$1001,0)),""))</f>
        <v/>
      </c>
      <c r="H191">
        <f>IF(B191="","",IFERROR(INDEX('2.현장'!$N$2:$N$1001,MATCH(188,'2.현장'!$AD$2:$AD$1001,0)),""))</f>
        <v/>
      </c>
      <c r="I191">
        <f>IF(B191="","",IFERROR(INDEX('2.현장'!$G$2:$G$1001,MATCH(188,'2.현장'!$AD$2:$AD$1001,0)),""))</f>
        <v/>
      </c>
      <c r="J191">
        <f>IF(B191="","",IFERROR(VLOOKUP(B191,업체_메모!$A$3:$I$302,2,FALSE)&amp;"",""))</f>
        <v/>
      </c>
      <c r="K191">
        <f>IF(B191="","",IFERROR(VLOOKUP(B191,업체_메모!$A$3:$I$302,4,FALSE)&amp;"",""))</f>
        <v/>
      </c>
      <c r="L191" s="7">
        <f>IF(B191="","",IF(COUNTIF('4.방문기록'!$B$3:$B$502,B191)=0,"",_xlfn.MAXIFS('4.방문기록'!$A$3:$A$502,'4.방문기록'!$B$3:$B$502,B191)))</f>
        <v/>
      </c>
      <c r="M191">
        <f>IF(L191="","",설정!$B$24-L191)</f>
        <v/>
      </c>
      <c r="N191">
        <f>IF(L191="","",IFERROR(INDEX('4.방문기록'!$H$3:$H$502,MATCH(B191&amp;"|"&amp;(L191*1),'4.방문기록'!$I$3:$I$502,0))&amp;"",""))</f>
        <v/>
      </c>
      <c r="O191">
        <f>IF(B191="","",IF(N191="관심 없음","제외",IF(L191="","안 가봄",IF(M191&gt;=설정!$B$20,M191&amp;"일 지남","최근 방문"))))</f>
        <v/>
      </c>
    </row>
    <row r="192">
      <c r="A192">
        <f>IF(B192="","",189)</f>
        <v/>
      </c>
      <c r="B192">
        <f>IFERROR(INDEX('2.현장'!$AC$2:$AC$1001,MATCH(189,'2.현장'!$AD$2:$AD$1001,0)),"")</f>
        <v/>
      </c>
      <c r="C192">
        <f>IF(B192="","",COUNTIFS('2.현장'!$AC$2:$AC$1001,B192,'2.현장'!$T$2:$T$1001,TRUE))</f>
        <v/>
      </c>
      <c r="D192">
        <f>IF(B192="","",COUNTIFS('2.현장'!$AC$2:$AC$1001,B192,'2.현장'!$T$2:$T$1001,TRUE,'2.현장'!$AA$2:$AA$1001,"★"))</f>
        <v/>
      </c>
      <c r="E192" s="5">
        <f>IF(B192="","",_xlfn.MAXIFS('2.현장'!$D$2:$D$1001,'2.현장'!$AC$2:$AC$1001,B192,'2.현장'!$T$2:$T$1001,TRUE))</f>
        <v/>
      </c>
      <c r="F192" s="7">
        <f>IF(B192="","",IF(_xlfn.MAXIFS('2.현장'!$M$2:$M$1001,'2.현장'!$AC$2:$AC$1001,B192,'2.현장'!$T$2:$T$1001,TRUE)=0,"",_xlfn.MAXIFS('2.현장'!$M$2:$M$1001,'2.현장'!$AC$2:$AC$1001,B192,'2.현장'!$T$2:$T$1001,TRUE)))</f>
        <v/>
      </c>
      <c r="G192">
        <f>IF(B192="","",IFERROR(INDEX('2.현장'!$C$2:$C$1001,MATCH(189,'2.현장'!$AD$2:$AD$1001,0)),""))</f>
        <v/>
      </c>
      <c r="H192">
        <f>IF(B192="","",IFERROR(INDEX('2.현장'!$N$2:$N$1001,MATCH(189,'2.현장'!$AD$2:$AD$1001,0)),""))</f>
        <v/>
      </c>
      <c r="I192">
        <f>IF(B192="","",IFERROR(INDEX('2.현장'!$G$2:$G$1001,MATCH(189,'2.현장'!$AD$2:$AD$1001,0)),""))</f>
        <v/>
      </c>
      <c r="J192">
        <f>IF(B192="","",IFERROR(VLOOKUP(B192,업체_메모!$A$3:$I$302,2,FALSE)&amp;"",""))</f>
        <v/>
      </c>
      <c r="K192">
        <f>IF(B192="","",IFERROR(VLOOKUP(B192,업체_메모!$A$3:$I$302,4,FALSE)&amp;"",""))</f>
        <v/>
      </c>
      <c r="L192" s="7">
        <f>IF(B192="","",IF(COUNTIF('4.방문기록'!$B$3:$B$502,B192)=0,"",_xlfn.MAXIFS('4.방문기록'!$A$3:$A$502,'4.방문기록'!$B$3:$B$502,B192)))</f>
        <v/>
      </c>
      <c r="M192">
        <f>IF(L192="","",설정!$B$24-L192)</f>
        <v/>
      </c>
      <c r="N192">
        <f>IF(L192="","",IFERROR(INDEX('4.방문기록'!$H$3:$H$502,MATCH(B192&amp;"|"&amp;(L192*1),'4.방문기록'!$I$3:$I$502,0))&amp;"",""))</f>
        <v/>
      </c>
      <c r="O192">
        <f>IF(B192="","",IF(N192="관심 없음","제외",IF(L192="","안 가봄",IF(M192&gt;=설정!$B$20,M192&amp;"일 지남","최근 방문"))))</f>
        <v/>
      </c>
    </row>
    <row r="193">
      <c r="A193">
        <f>IF(B193="","",190)</f>
        <v/>
      </c>
      <c r="B193">
        <f>IFERROR(INDEX('2.현장'!$AC$2:$AC$1001,MATCH(190,'2.현장'!$AD$2:$AD$1001,0)),"")</f>
        <v/>
      </c>
      <c r="C193">
        <f>IF(B193="","",COUNTIFS('2.현장'!$AC$2:$AC$1001,B193,'2.현장'!$T$2:$T$1001,TRUE))</f>
        <v/>
      </c>
      <c r="D193">
        <f>IF(B193="","",COUNTIFS('2.현장'!$AC$2:$AC$1001,B193,'2.현장'!$T$2:$T$1001,TRUE,'2.현장'!$AA$2:$AA$1001,"★"))</f>
        <v/>
      </c>
      <c r="E193" s="5">
        <f>IF(B193="","",_xlfn.MAXIFS('2.현장'!$D$2:$D$1001,'2.현장'!$AC$2:$AC$1001,B193,'2.현장'!$T$2:$T$1001,TRUE))</f>
        <v/>
      </c>
      <c r="F193" s="7">
        <f>IF(B193="","",IF(_xlfn.MAXIFS('2.현장'!$M$2:$M$1001,'2.현장'!$AC$2:$AC$1001,B193,'2.현장'!$T$2:$T$1001,TRUE)=0,"",_xlfn.MAXIFS('2.현장'!$M$2:$M$1001,'2.현장'!$AC$2:$AC$1001,B193,'2.현장'!$T$2:$T$1001,TRUE)))</f>
        <v/>
      </c>
      <c r="G193">
        <f>IF(B193="","",IFERROR(INDEX('2.현장'!$C$2:$C$1001,MATCH(190,'2.현장'!$AD$2:$AD$1001,0)),""))</f>
        <v/>
      </c>
      <c r="H193">
        <f>IF(B193="","",IFERROR(INDEX('2.현장'!$N$2:$N$1001,MATCH(190,'2.현장'!$AD$2:$AD$1001,0)),""))</f>
        <v/>
      </c>
      <c r="I193">
        <f>IF(B193="","",IFERROR(INDEX('2.현장'!$G$2:$G$1001,MATCH(190,'2.현장'!$AD$2:$AD$1001,0)),""))</f>
        <v/>
      </c>
      <c r="J193">
        <f>IF(B193="","",IFERROR(VLOOKUP(B193,업체_메모!$A$3:$I$302,2,FALSE)&amp;"",""))</f>
        <v/>
      </c>
      <c r="K193">
        <f>IF(B193="","",IFERROR(VLOOKUP(B193,업체_메모!$A$3:$I$302,4,FALSE)&amp;"",""))</f>
        <v/>
      </c>
      <c r="L193" s="7">
        <f>IF(B193="","",IF(COUNTIF('4.방문기록'!$B$3:$B$502,B193)=0,"",_xlfn.MAXIFS('4.방문기록'!$A$3:$A$502,'4.방문기록'!$B$3:$B$502,B193)))</f>
        <v/>
      </c>
      <c r="M193">
        <f>IF(L193="","",설정!$B$24-L193)</f>
        <v/>
      </c>
      <c r="N193">
        <f>IF(L193="","",IFERROR(INDEX('4.방문기록'!$H$3:$H$502,MATCH(B193&amp;"|"&amp;(L193*1),'4.방문기록'!$I$3:$I$502,0))&amp;"",""))</f>
        <v/>
      </c>
      <c r="O193">
        <f>IF(B193="","",IF(N193="관심 없음","제외",IF(L193="","안 가봄",IF(M193&gt;=설정!$B$20,M193&amp;"일 지남","최근 방문"))))</f>
        <v/>
      </c>
    </row>
    <row r="194">
      <c r="A194">
        <f>IF(B194="","",191)</f>
        <v/>
      </c>
      <c r="B194">
        <f>IFERROR(INDEX('2.현장'!$AC$2:$AC$1001,MATCH(191,'2.현장'!$AD$2:$AD$1001,0)),"")</f>
        <v/>
      </c>
      <c r="C194">
        <f>IF(B194="","",COUNTIFS('2.현장'!$AC$2:$AC$1001,B194,'2.현장'!$T$2:$T$1001,TRUE))</f>
        <v/>
      </c>
      <c r="D194">
        <f>IF(B194="","",COUNTIFS('2.현장'!$AC$2:$AC$1001,B194,'2.현장'!$T$2:$T$1001,TRUE,'2.현장'!$AA$2:$AA$1001,"★"))</f>
        <v/>
      </c>
      <c r="E194" s="5">
        <f>IF(B194="","",_xlfn.MAXIFS('2.현장'!$D$2:$D$1001,'2.현장'!$AC$2:$AC$1001,B194,'2.현장'!$T$2:$T$1001,TRUE))</f>
        <v/>
      </c>
      <c r="F194" s="7">
        <f>IF(B194="","",IF(_xlfn.MAXIFS('2.현장'!$M$2:$M$1001,'2.현장'!$AC$2:$AC$1001,B194,'2.현장'!$T$2:$T$1001,TRUE)=0,"",_xlfn.MAXIFS('2.현장'!$M$2:$M$1001,'2.현장'!$AC$2:$AC$1001,B194,'2.현장'!$T$2:$T$1001,TRUE)))</f>
        <v/>
      </c>
      <c r="G194">
        <f>IF(B194="","",IFERROR(INDEX('2.현장'!$C$2:$C$1001,MATCH(191,'2.현장'!$AD$2:$AD$1001,0)),""))</f>
        <v/>
      </c>
      <c r="H194">
        <f>IF(B194="","",IFERROR(INDEX('2.현장'!$N$2:$N$1001,MATCH(191,'2.현장'!$AD$2:$AD$1001,0)),""))</f>
        <v/>
      </c>
      <c r="I194">
        <f>IF(B194="","",IFERROR(INDEX('2.현장'!$G$2:$G$1001,MATCH(191,'2.현장'!$AD$2:$AD$1001,0)),""))</f>
        <v/>
      </c>
      <c r="J194">
        <f>IF(B194="","",IFERROR(VLOOKUP(B194,업체_메모!$A$3:$I$302,2,FALSE)&amp;"",""))</f>
        <v/>
      </c>
      <c r="K194">
        <f>IF(B194="","",IFERROR(VLOOKUP(B194,업체_메모!$A$3:$I$302,4,FALSE)&amp;"",""))</f>
        <v/>
      </c>
      <c r="L194" s="7">
        <f>IF(B194="","",IF(COUNTIF('4.방문기록'!$B$3:$B$502,B194)=0,"",_xlfn.MAXIFS('4.방문기록'!$A$3:$A$502,'4.방문기록'!$B$3:$B$502,B194)))</f>
        <v/>
      </c>
      <c r="M194">
        <f>IF(L194="","",설정!$B$24-L194)</f>
        <v/>
      </c>
      <c r="N194">
        <f>IF(L194="","",IFERROR(INDEX('4.방문기록'!$H$3:$H$502,MATCH(B194&amp;"|"&amp;(L194*1),'4.방문기록'!$I$3:$I$502,0))&amp;"",""))</f>
        <v/>
      </c>
      <c r="O194">
        <f>IF(B194="","",IF(N194="관심 없음","제외",IF(L194="","안 가봄",IF(M194&gt;=설정!$B$20,M194&amp;"일 지남","최근 방문"))))</f>
        <v/>
      </c>
    </row>
    <row r="195">
      <c r="A195">
        <f>IF(B195="","",192)</f>
        <v/>
      </c>
      <c r="B195">
        <f>IFERROR(INDEX('2.현장'!$AC$2:$AC$1001,MATCH(192,'2.현장'!$AD$2:$AD$1001,0)),"")</f>
        <v/>
      </c>
      <c r="C195">
        <f>IF(B195="","",COUNTIFS('2.현장'!$AC$2:$AC$1001,B195,'2.현장'!$T$2:$T$1001,TRUE))</f>
        <v/>
      </c>
      <c r="D195">
        <f>IF(B195="","",COUNTIFS('2.현장'!$AC$2:$AC$1001,B195,'2.현장'!$T$2:$T$1001,TRUE,'2.현장'!$AA$2:$AA$1001,"★"))</f>
        <v/>
      </c>
      <c r="E195" s="5">
        <f>IF(B195="","",_xlfn.MAXIFS('2.현장'!$D$2:$D$1001,'2.현장'!$AC$2:$AC$1001,B195,'2.현장'!$T$2:$T$1001,TRUE))</f>
        <v/>
      </c>
      <c r="F195" s="7">
        <f>IF(B195="","",IF(_xlfn.MAXIFS('2.현장'!$M$2:$M$1001,'2.현장'!$AC$2:$AC$1001,B195,'2.현장'!$T$2:$T$1001,TRUE)=0,"",_xlfn.MAXIFS('2.현장'!$M$2:$M$1001,'2.현장'!$AC$2:$AC$1001,B195,'2.현장'!$T$2:$T$1001,TRUE)))</f>
        <v/>
      </c>
      <c r="G195">
        <f>IF(B195="","",IFERROR(INDEX('2.현장'!$C$2:$C$1001,MATCH(192,'2.현장'!$AD$2:$AD$1001,0)),""))</f>
        <v/>
      </c>
      <c r="H195">
        <f>IF(B195="","",IFERROR(INDEX('2.현장'!$N$2:$N$1001,MATCH(192,'2.현장'!$AD$2:$AD$1001,0)),""))</f>
        <v/>
      </c>
      <c r="I195">
        <f>IF(B195="","",IFERROR(INDEX('2.현장'!$G$2:$G$1001,MATCH(192,'2.현장'!$AD$2:$AD$1001,0)),""))</f>
        <v/>
      </c>
      <c r="J195">
        <f>IF(B195="","",IFERROR(VLOOKUP(B195,업체_메모!$A$3:$I$302,2,FALSE)&amp;"",""))</f>
        <v/>
      </c>
      <c r="K195">
        <f>IF(B195="","",IFERROR(VLOOKUP(B195,업체_메모!$A$3:$I$302,4,FALSE)&amp;"",""))</f>
        <v/>
      </c>
      <c r="L195" s="7">
        <f>IF(B195="","",IF(COUNTIF('4.방문기록'!$B$3:$B$502,B195)=0,"",_xlfn.MAXIFS('4.방문기록'!$A$3:$A$502,'4.방문기록'!$B$3:$B$502,B195)))</f>
        <v/>
      </c>
      <c r="M195">
        <f>IF(L195="","",설정!$B$24-L195)</f>
        <v/>
      </c>
      <c r="N195">
        <f>IF(L195="","",IFERROR(INDEX('4.방문기록'!$H$3:$H$502,MATCH(B195&amp;"|"&amp;(L195*1),'4.방문기록'!$I$3:$I$502,0))&amp;"",""))</f>
        <v/>
      </c>
      <c r="O195">
        <f>IF(B195="","",IF(N195="관심 없음","제외",IF(L195="","안 가봄",IF(M195&gt;=설정!$B$20,M195&amp;"일 지남","최근 방문"))))</f>
        <v/>
      </c>
    </row>
    <row r="196">
      <c r="A196">
        <f>IF(B196="","",193)</f>
        <v/>
      </c>
      <c r="B196">
        <f>IFERROR(INDEX('2.현장'!$AC$2:$AC$1001,MATCH(193,'2.현장'!$AD$2:$AD$1001,0)),"")</f>
        <v/>
      </c>
      <c r="C196">
        <f>IF(B196="","",COUNTIFS('2.현장'!$AC$2:$AC$1001,B196,'2.현장'!$T$2:$T$1001,TRUE))</f>
        <v/>
      </c>
      <c r="D196">
        <f>IF(B196="","",COUNTIFS('2.현장'!$AC$2:$AC$1001,B196,'2.현장'!$T$2:$T$1001,TRUE,'2.현장'!$AA$2:$AA$1001,"★"))</f>
        <v/>
      </c>
      <c r="E196" s="5">
        <f>IF(B196="","",_xlfn.MAXIFS('2.현장'!$D$2:$D$1001,'2.현장'!$AC$2:$AC$1001,B196,'2.현장'!$T$2:$T$1001,TRUE))</f>
        <v/>
      </c>
      <c r="F196" s="7">
        <f>IF(B196="","",IF(_xlfn.MAXIFS('2.현장'!$M$2:$M$1001,'2.현장'!$AC$2:$AC$1001,B196,'2.현장'!$T$2:$T$1001,TRUE)=0,"",_xlfn.MAXIFS('2.현장'!$M$2:$M$1001,'2.현장'!$AC$2:$AC$1001,B196,'2.현장'!$T$2:$T$1001,TRUE)))</f>
        <v/>
      </c>
      <c r="G196">
        <f>IF(B196="","",IFERROR(INDEX('2.현장'!$C$2:$C$1001,MATCH(193,'2.현장'!$AD$2:$AD$1001,0)),""))</f>
        <v/>
      </c>
      <c r="H196">
        <f>IF(B196="","",IFERROR(INDEX('2.현장'!$N$2:$N$1001,MATCH(193,'2.현장'!$AD$2:$AD$1001,0)),""))</f>
        <v/>
      </c>
      <c r="I196">
        <f>IF(B196="","",IFERROR(INDEX('2.현장'!$G$2:$G$1001,MATCH(193,'2.현장'!$AD$2:$AD$1001,0)),""))</f>
        <v/>
      </c>
      <c r="J196">
        <f>IF(B196="","",IFERROR(VLOOKUP(B196,업체_메모!$A$3:$I$302,2,FALSE)&amp;"",""))</f>
        <v/>
      </c>
      <c r="K196">
        <f>IF(B196="","",IFERROR(VLOOKUP(B196,업체_메모!$A$3:$I$302,4,FALSE)&amp;"",""))</f>
        <v/>
      </c>
      <c r="L196" s="7">
        <f>IF(B196="","",IF(COUNTIF('4.방문기록'!$B$3:$B$502,B196)=0,"",_xlfn.MAXIFS('4.방문기록'!$A$3:$A$502,'4.방문기록'!$B$3:$B$502,B196)))</f>
        <v/>
      </c>
      <c r="M196">
        <f>IF(L196="","",설정!$B$24-L196)</f>
        <v/>
      </c>
      <c r="N196">
        <f>IF(L196="","",IFERROR(INDEX('4.방문기록'!$H$3:$H$502,MATCH(B196&amp;"|"&amp;(L196*1),'4.방문기록'!$I$3:$I$502,0))&amp;"",""))</f>
        <v/>
      </c>
      <c r="O196">
        <f>IF(B196="","",IF(N196="관심 없음","제외",IF(L196="","안 가봄",IF(M196&gt;=설정!$B$20,M196&amp;"일 지남","최근 방문"))))</f>
        <v/>
      </c>
    </row>
    <row r="197">
      <c r="A197">
        <f>IF(B197="","",194)</f>
        <v/>
      </c>
      <c r="B197">
        <f>IFERROR(INDEX('2.현장'!$AC$2:$AC$1001,MATCH(194,'2.현장'!$AD$2:$AD$1001,0)),"")</f>
        <v/>
      </c>
      <c r="C197">
        <f>IF(B197="","",COUNTIFS('2.현장'!$AC$2:$AC$1001,B197,'2.현장'!$T$2:$T$1001,TRUE))</f>
        <v/>
      </c>
      <c r="D197">
        <f>IF(B197="","",COUNTIFS('2.현장'!$AC$2:$AC$1001,B197,'2.현장'!$T$2:$T$1001,TRUE,'2.현장'!$AA$2:$AA$1001,"★"))</f>
        <v/>
      </c>
      <c r="E197" s="5">
        <f>IF(B197="","",_xlfn.MAXIFS('2.현장'!$D$2:$D$1001,'2.현장'!$AC$2:$AC$1001,B197,'2.현장'!$T$2:$T$1001,TRUE))</f>
        <v/>
      </c>
      <c r="F197" s="7">
        <f>IF(B197="","",IF(_xlfn.MAXIFS('2.현장'!$M$2:$M$1001,'2.현장'!$AC$2:$AC$1001,B197,'2.현장'!$T$2:$T$1001,TRUE)=0,"",_xlfn.MAXIFS('2.현장'!$M$2:$M$1001,'2.현장'!$AC$2:$AC$1001,B197,'2.현장'!$T$2:$T$1001,TRUE)))</f>
        <v/>
      </c>
      <c r="G197">
        <f>IF(B197="","",IFERROR(INDEX('2.현장'!$C$2:$C$1001,MATCH(194,'2.현장'!$AD$2:$AD$1001,0)),""))</f>
        <v/>
      </c>
      <c r="H197">
        <f>IF(B197="","",IFERROR(INDEX('2.현장'!$N$2:$N$1001,MATCH(194,'2.현장'!$AD$2:$AD$1001,0)),""))</f>
        <v/>
      </c>
      <c r="I197">
        <f>IF(B197="","",IFERROR(INDEX('2.현장'!$G$2:$G$1001,MATCH(194,'2.현장'!$AD$2:$AD$1001,0)),""))</f>
        <v/>
      </c>
      <c r="J197">
        <f>IF(B197="","",IFERROR(VLOOKUP(B197,업체_메모!$A$3:$I$302,2,FALSE)&amp;"",""))</f>
        <v/>
      </c>
      <c r="K197">
        <f>IF(B197="","",IFERROR(VLOOKUP(B197,업체_메모!$A$3:$I$302,4,FALSE)&amp;"",""))</f>
        <v/>
      </c>
      <c r="L197" s="7">
        <f>IF(B197="","",IF(COUNTIF('4.방문기록'!$B$3:$B$502,B197)=0,"",_xlfn.MAXIFS('4.방문기록'!$A$3:$A$502,'4.방문기록'!$B$3:$B$502,B197)))</f>
        <v/>
      </c>
      <c r="M197">
        <f>IF(L197="","",설정!$B$24-L197)</f>
        <v/>
      </c>
      <c r="N197">
        <f>IF(L197="","",IFERROR(INDEX('4.방문기록'!$H$3:$H$502,MATCH(B197&amp;"|"&amp;(L197*1),'4.방문기록'!$I$3:$I$502,0))&amp;"",""))</f>
        <v/>
      </c>
      <c r="O197">
        <f>IF(B197="","",IF(N197="관심 없음","제외",IF(L197="","안 가봄",IF(M197&gt;=설정!$B$20,M197&amp;"일 지남","최근 방문"))))</f>
        <v/>
      </c>
    </row>
    <row r="198">
      <c r="A198">
        <f>IF(B198="","",195)</f>
        <v/>
      </c>
      <c r="B198">
        <f>IFERROR(INDEX('2.현장'!$AC$2:$AC$1001,MATCH(195,'2.현장'!$AD$2:$AD$1001,0)),"")</f>
        <v/>
      </c>
      <c r="C198">
        <f>IF(B198="","",COUNTIFS('2.현장'!$AC$2:$AC$1001,B198,'2.현장'!$T$2:$T$1001,TRUE))</f>
        <v/>
      </c>
      <c r="D198">
        <f>IF(B198="","",COUNTIFS('2.현장'!$AC$2:$AC$1001,B198,'2.현장'!$T$2:$T$1001,TRUE,'2.현장'!$AA$2:$AA$1001,"★"))</f>
        <v/>
      </c>
      <c r="E198" s="5">
        <f>IF(B198="","",_xlfn.MAXIFS('2.현장'!$D$2:$D$1001,'2.현장'!$AC$2:$AC$1001,B198,'2.현장'!$T$2:$T$1001,TRUE))</f>
        <v/>
      </c>
      <c r="F198" s="7">
        <f>IF(B198="","",IF(_xlfn.MAXIFS('2.현장'!$M$2:$M$1001,'2.현장'!$AC$2:$AC$1001,B198,'2.현장'!$T$2:$T$1001,TRUE)=0,"",_xlfn.MAXIFS('2.현장'!$M$2:$M$1001,'2.현장'!$AC$2:$AC$1001,B198,'2.현장'!$T$2:$T$1001,TRUE)))</f>
        <v/>
      </c>
      <c r="G198">
        <f>IF(B198="","",IFERROR(INDEX('2.현장'!$C$2:$C$1001,MATCH(195,'2.현장'!$AD$2:$AD$1001,0)),""))</f>
        <v/>
      </c>
      <c r="H198">
        <f>IF(B198="","",IFERROR(INDEX('2.현장'!$N$2:$N$1001,MATCH(195,'2.현장'!$AD$2:$AD$1001,0)),""))</f>
        <v/>
      </c>
      <c r="I198">
        <f>IF(B198="","",IFERROR(INDEX('2.현장'!$G$2:$G$1001,MATCH(195,'2.현장'!$AD$2:$AD$1001,0)),""))</f>
        <v/>
      </c>
      <c r="J198">
        <f>IF(B198="","",IFERROR(VLOOKUP(B198,업체_메모!$A$3:$I$302,2,FALSE)&amp;"",""))</f>
        <v/>
      </c>
      <c r="K198">
        <f>IF(B198="","",IFERROR(VLOOKUP(B198,업체_메모!$A$3:$I$302,4,FALSE)&amp;"",""))</f>
        <v/>
      </c>
      <c r="L198" s="7">
        <f>IF(B198="","",IF(COUNTIF('4.방문기록'!$B$3:$B$502,B198)=0,"",_xlfn.MAXIFS('4.방문기록'!$A$3:$A$502,'4.방문기록'!$B$3:$B$502,B198)))</f>
        <v/>
      </c>
      <c r="M198">
        <f>IF(L198="","",설정!$B$24-L198)</f>
        <v/>
      </c>
      <c r="N198">
        <f>IF(L198="","",IFERROR(INDEX('4.방문기록'!$H$3:$H$502,MATCH(B198&amp;"|"&amp;(L198*1),'4.방문기록'!$I$3:$I$502,0))&amp;"",""))</f>
        <v/>
      </c>
      <c r="O198">
        <f>IF(B198="","",IF(N198="관심 없음","제외",IF(L198="","안 가봄",IF(M198&gt;=설정!$B$20,M198&amp;"일 지남","최근 방문"))))</f>
        <v/>
      </c>
    </row>
    <row r="199">
      <c r="A199">
        <f>IF(B199="","",196)</f>
        <v/>
      </c>
      <c r="B199">
        <f>IFERROR(INDEX('2.현장'!$AC$2:$AC$1001,MATCH(196,'2.현장'!$AD$2:$AD$1001,0)),"")</f>
        <v/>
      </c>
      <c r="C199">
        <f>IF(B199="","",COUNTIFS('2.현장'!$AC$2:$AC$1001,B199,'2.현장'!$T$2:$T$1001,TRUE))</f>
        <v/>
      </c>
      <c r="D199">
        <f>IF(B199="","",COUNTIFS('2.현장'!$AC$2:$AC$1001,B199,'2.현장'!$T$2:$T$1001,TRUE,'2.현장'!$AA$2:$AA$1001,"★"))</f>
        <v/>
      </c>
      <c r="E199" s="5">
        <f>IF(B199="","",_xlfn.MAXIFS('2.현장'!$D$2:$D$1001,'2.현장'!$AC$2:$AC$1001,B199,'2.현장'!$T$2:$T$1001,TRUE))</f>
        <v/>
      </c>
      <c r="F199" s="7">
        <f>IF(B199="","",IF(_xlfn.MAXIFS('2.현장'!$M$2:$M$1001,'2.현장'!$AC$2:$AC$1001,B199,'2.현장'!$T$2:$T$1001,TRUE)=0,"",_xlfn.MAXIFS('2.현장'!$M$2:$M$1001,'2.현장'!$AC$2:$AC$1001,B199,'2.현장'!$T$2:$T$1001,TRUE)))</f>
        <v/>
      </c>
      <c r="G199">
        <f>IF(B199="","",IFERROR(INDEX('2.현장'!$C$2:$C$1001,MATCH(196,'2.현장'!$AD$2:$AD$1001,0)),""))</f>
        <v/>
      </c>
      <c r="H199">
        <f>IF(B199="","",IFERROR(INDEX('2.현장'!$N$2:$N$1001,MATCH(196,'2.현장'!$AD$2:$AD$1001,0)),""))</f>
        <v/>
      </c>
      <c r="I199">
        <f>IF(B199="","",IFERROR(INDEX('2.현장'!$G$2:$G$1001,MATCH(196,'2.현장'!$AD$2:$AD$1001,0)),""))</f>
        <v/>
      </c>
      <c r="J199">
        <f>IF(B199="","",IFERROR(VLOOKUP(B199,업체_메모!$A$3:$I$302,2,FALSE)&amp;"",""))</f>
        <v/>
      </c>
      <c r="K199">
        <f>IF(B199="","",IFERROR(VLOOKUP(B199,업체_메모!$A$3:$I$302,4,FALSE)&amp;"",""))</f>
        <v/>
      </c>
      <c r="L199" s="7">
        <f>IF(B199="","",IF(COUNTIF('4.방문기록'!$B$3:$B$502,B199)=0,"",_xlfn.MAXIFS('4.방문기록'!$A$3:$A$502,'4.방문기록'!$B$3:$B$502,B199)))</f>
        <v/>
      </c>
      <c r="M199">
        <f>IF(L199="","",설정!$B$24-L199)</f>
        <v/>
      </c>
      <c r="N199">
        <f>IF(L199="","",IFERROR(INDEX('4.방문기록'!$H$3:$H$502,MATCH(B199&amp;"|"&amp;(L199*1),'4.방문기록'!$I$3:$I$502,0))&amp;"",""))</f>
        <v/>
      </c>
      <c r="O199">
        <f>IF(B199="","",IF(N199="관심 없음","제외",IF(L199="","안 가봄",IF(M199&gt;=설정!$B$20,M199&amp;"일 지남","최근 방문"))))</f>
        <v/>
      </c>
    </row>
    <row r="200">
      <c r="A200">
        <f>IF(B200="","",197)</f>
        <v/>
      </c>
      <c r="B200">
        <f>IFERROR(INDEX('2.현장'!$AC$2:$AC$1001,MATCH(197,'2.현장'!$AD$2:$AD$1001,0)),"")</f>
        <v/>
      </c>
      <c r="C200">
        <f>IF(B200="","",COUNTIFS('2.현장'!$AC$2:$AC$1001,B200,'2.현장'!$T$2:$T$1001,TRUE))</f>
        <v/>
      </c>
      <c r="D200">
        <f>IF(B200="","",COUNTIFS('2.현장'!$AC$2:$AC$1001,B200,'2.현장'!$T$2:$T$1001,TRUE,'2.현장'!$AA$2:$AA$1001,"★"))</f>
        <v/>
      </c>
      <c r="E200" s="5">
        <f>IF(B200="","",_xlfn.MAXIFS('2.현장'!$D$2:$D$1001,'2.현장'!$AC$2:$AC$1001,B200,'2.현장'!$T$2:$T$1001,TRUE))</f>
        <v/>
      </c>
      <c r="F200" s="7">
        <f>IF(B200="","",IF(_xlfn.MAXIFS('2.현장'!$M$2:$M$1001,'2.현장'!$AC$2:$AC$1001,B200,'2.현장'!$T$2:$T$1001,TRUE)=0,"",_xlfn.MAXIFS('2.현장'!$M$2:$M$1001,'2.현장'!$AC$2:$AC$1001,B200,'2.현장'!$T$2:$T$1001,TRUE)))</f>
        <v/>
      </c>
      <c r="G200">
        <f>IF(B200="","",IFERROR(INDEX('2.현장'!$C$2:$C$1001,MATCH(197,'2.현장'!$AD$2:$AD$1001,0)),""))</f>
        <v/>
      </c>
      <c r="H200">
        <f>IF(B200="","",IFERROR(INDEX('2.현장'!$N$2:$N$1001,MATCH(197,'2.현장'!$AD$2:$AD$1001,0)),""))</f>
        <v/>
      </c>
      <c r="I200">
        <f>IF(B200="","",IFERROR(INDEX('2.현장'!$G$2:$G$1001,MATCH(197,'2.현장'!$AD$2:$AD$1001,0)),""))</f>
        <v/>
      </c>
      <c r="J200">
        <f>IF(B200="","",IFERROR(VLOOKUP(B200,업체_메모!$A$3:$I$302,2,FALSE)&amp;"",""))</f>
        <v/>
      </c>
      <c r="K200">
        <f>IF(B200="","",IFERROR(VLOOKUP(B200,업체_메모!$A$3:$I$302,4,FALSE)&amp;"",""))</f>
        <v/>
      </c>
      <c r="L200" s="7">
        <f>IF(B200="","",IF(COUNTIF('4.방문기록'!$B$3:$B$502,B200)=0,"",_xlfn.MAXIFS('4.방문기록'!$A$3:$A$502,'4.방문기록'!$B$3:$B$502,B200)))</f>
        <v/>
      </c>
      <c r="M200">
        <f>IF(L200="","",설정!$B$24-L200)</f>
        <v/>
      </c>
      <c r="N200">
        <f>IF(L200="","",IFERROR(INDEX('4.방문기록'!$H$3:$H$502,MATCH(B200&amp;"|"&amp;(L200*1),'4.방문기록'!$I$3:$I$502,0))&amp;"",""))</f>
        <v/>
      </c>
      <c r="O200">
        <f>IF(B200="","",IF(N200="관심 없음","제외",IF(L200="","안 가봄",IF(M200&gt;=설정!$B$20,M200&amp;"일 지남","최근 방문"))))</f>
        <v/>
      </c>
    </row>
    <row r="201">
      <c r="A201">
        <f>IF(B201="","",198)</f>
        <v/>
      </c>
      <c r="B201">
        <f>IFERROR(INDEX('2.현장'!$AC$2:$AC$1001,MATCH(198,'2.현장'!$AD$2:$AD$1001,0)),"")</f>
        <v/>
      </c>
      <c r="C201">
        <f>IF(B201="","",COUNTIFS('2.현장'!$AC$2:$AC$1001,B201,'2.현장'!$T$2:$T$1001,TRUE))</f>
        <v/>
      </c>
      <c r="D201">
        <f>IF(B201="","",COUNTIFS('2.현장'!$AC$2:$AC$1001,B201,'2.현장'!$T$2:$T$1001,TRUE,'2.현장'!$AA$2:$AA$1001,"★"))</f>
        <v/>
      </c>
      <c r="E201" s="5">
        <f>IF(B201="","",_xlfn.MAXIFS('2.현장'!$D$2:$D$1001,'2.현장'!$AC$2:$AC$1001,B201,'2.현장'!$T$2:$T$1001,TRUE))</f>
        <v/>
      </c>
      <c r="F201" s="7">
        <f>IF(B201="","",IF(_xlfn.MAXIFS('2.현장'!$M$2:$M$1001,'2.현장'!$AC$2:$AC$1001,B201,'2.현장'!$T$2:$T$1001,TRUE)=0,"",_xlfn.MAXIFS('2.현장'!$M$2:$M$1001,'2.현장'!$AC$2:$AC$1001,B201,'2.현장'!$T$2:$T$1001,TRUE)))</f>
        <v/>
      </c>
      <c r="G201">
        <f>IF(B201="","",IFERROR(INDEX('2.현장'!$C$2:$C$1001,MATCH(198,'2.현장'!$AD$2:$AD$1001,0)),""))</f>
        <v/>
      </c>
      <c r="H201">
        <f>IF(B201="","",IFERROR(INDEX('2.현장'!$N$2:$N$1001,MATCH(198,'2.현장'!$AD$2:$AD$1001,0)),""))</f>
        <v/>
      </c>
      <c r="I201">
        <f>IF(B201="","",IFERROR(INDEX('2.현장'!$G$2:$G$1001,MATCH(198,'2.현장'!$AD$2:$AD$1001,0)),""))</f>
        <v/>
      </c>
      <c r="J201">
        <f>IF(B201="","",IFERROR(VLOOKUP(B201,업체_메모!$A$3:$I$302,2,FALSE)&amp;"",""))</f>
        <v/>
      </c>
      <c r="K201">
        <f>IF(B201="","",IFERROR(VLOOKUP(B201,업체_메모!$A$3:$I$302,4,FALSE)&amp;"",""))</f>
        <v/>
      </c>
      <c r="L201" s="7">
        <f>IF(B201="","",IF(COUNTIF('4.방문기록'!$B$3:$B$502,B201)=0,"",_xlfn.MAXIFS('4.방문기록'!$A$3:$A$502,'4.방문기록'!$B$3:$B$502,B201)))</f>
        <v/>
      </c>
      <c r="M201">
        <f>IF(L201="","",설정!$B$24-L201)</f>
        <v/>
      </c>
      <c r="N201">
        <f>IF(L201="","",IFERROR(INDEX('4.방문기록'!$H$3:$H$502,MATCH(B201&amp;"|"&amp;(L201*1),'4.방문기록'!$I$3:$I$502,0))&amp;"",""))</f>
        <v/>
      </c>
      <c r="O201">
        <f>IF(B201="","",IF(N201="관심 없음","제외",IF(L201="","안 가봄",IF(M201&gt;=설정!$B$20,M201&amp;"일 지남","최근 방문"))))</f>
        <v/>
      </c>
    </row>
    <row r="202">
      <c r="A202">
        <f>IF(B202="","",199)</f>
        <v/>
      </c>
      <c r="B202">
        <f>IFERROR(INDEX('2.현장'!$AC$2:$AC$1001,MATCH(199,'2.현장'!$AD$2:$AD$1001,0)),"")</f>
        <v/>
      </c>
      <c r="C202">
        <f>IF(B202="","",COUNTIFS('2.현장'!$AC$2:$AC$1001,B202,'2.현장'!$T$2:$T$1001,TRUE))</f>
        <v/>
      </c>
      <c r="D202">
        <f>IF(B202="","",COUNTIFS('2.현장'!$AC$2:$AC$1001,B202,'2.현장'!$T$2:$T$1001,TRUE,'2.현장'!$AA$2:$AA$1001,"★"))</f>
        <v/>
      </c>
      <c r="E202" s="5">
        <f>IF(B202="","",_xlfn.MAXIFS('2.현장'!$D$2:$D$1001,'2.현장'!$AC$2:$AC$1001,B202,'2.현장'!$T$2:$T$1001,TRUE))</f>
        <v/>
      </c>
      <c r="F202" s="7">
        <f>IF(B202="","",IF(_xlfn.MAXIFS('2.현장'!$M$2:$M$1001,'2.현장'!$AC$2:$AC$1001,B202,'2.현장'!$T$2:$T$1001,TRUE)=0,"",_xlfn.MAXIFS('2.현장'!$M$2:$M$1001,'2.현장'!$AC$2:$AC$1001,B202,'2.현장'!$T$2:$T$1001,TRUE)))</f>
        <v/>
      </c>
      <c r="G202">
        <f>IF(B202="","",IFERROR(INDEX('2.현장'!$C$2:$C$1001,MATCH(199,'2.현장'!$AD$2:$AD$1001,0)),""))</f>
        <v/>
      </c>
      <c r="H202">
        <f>IF(B202="","",IFERROR(INDEX('2.현장'!$N$2:$N$1001,MATCH(199,'2.현장'!$AD$2:$AD$1001,0)),""))</f>
        <v/>
      </c>
      <c r="I202">
        <f>IF(B202="","",IFERROR(INDEX('2.현장'!$G$2:$G$1001,MATCH(199,'2.현장'!$AD$2:$AD$1001,0)),""))</f>
        <v/>
      </c>
      <c r="J202">
        <f>IF(B202="","",IFERROR(VLOOKUP(B202,업체_메모!$A$3:$I$302,2,FALSE)&amp;"",""))</f>
        <v/>
      </c>
      <c r="K202">
        <f>IF(B202="","",IFERROR(VLOOKUP(B202,업체_메모!$A$3:$I$302,4,FALSE)&amp;"",""))</f>
        <v/>
      </c>
      <c r="L202" s="7">
        <f>IF(B202="","",IF(COUNTIF('4.방문기록'!$B$3:$B$502,B202)=0,"",_xlfn.MAXIFS('4.방문기록'!$A$3:$A$502,'4.방문기록'!$B$3:$B$502,B202)))</f>
        <v/>
      </c>
      <c r="M202">
        <f>IF(L202="","",설정!$B$24-L202)</f>
        <v/>
      </c>
      <c r="N202">
        <f>IF(L202="","",IFERROR(INDEX('4.방문기록'!$H$3:$H$502,MATCH(B202&amp;"|"&amp;(L202*1),'4.방문기록'!$I$3:$I$502,0))&amp;"",""))</f>
        <v/>
      </c>
      <c r="O202">
        <f>IF(B202="","",IF(N202="관심 없음","제외",IF(L202="","안 가봄",IF(M202&gt;=설정!$B$20,M202&amp;"일 지남","최근 방문"))))</f>
        <v/>
      </c>
    </row>
    <row r="203">
      <c r="A203">
        <f>IF(B203="","",200)</f>
        <v/>
      </c>
      <c r="B203">
        <f>IFERROR(INDEX('2.현장'!$AC$2:$AC$1001,MATCH(200,'2.현장'!$AD$2:$AD$1001,0)),"")</f>
        <v/>
      </c>
      <c r="C203">
        <f>IF(B203="","",COUNTIFS('2.현장'!$AC$2:$AC$1001,B203,'2.현장'!$T$2:$T$1001,TRUE))</f>
        <v/>
      </c>
      <c r="D203">
        <f>IF(B203="","",COUNTIFS('2.현장'!$AC$2:$AC$1001,B203,'2.현장'!$T$2:$T$1001,TRUE,'2.현장'!$AA$2:$AA$1001,"★"))</f>
        <v/>
      </c>
      <c r="E203" s="5">
        <f>IF(B203="","",_xlfn.MAXIFS('2.현장'!$D$2:$D$1001,'2.현장'!$AC$2:$AC$1001,B203,'2.현장'!$T$2:$T$1001,TRUE))</f>
        <v/>
      </c>
      <c r="F203" s="7">
        <f>IF(B203="","",IF(_xlfn.MAXIFS('2.현장'!$M$2:$M$1001,'2.현장'!$AC$2:$AC$1001,B203,'2.현장'!$T$2:$T$1001,TRUE)=0,"",_xlfn.MAXIFS('2.현장'!$M$2:$M$1001,'2.현장'!$AC$2:$AC$1001,B203,'2.현장'!$T$2:$T$1001,TRUE)))</f>
        <v/>
      </c>
      <c r="G203">
        <f>IF(B203="","",IFERROR(INDEX('2.현장'!$C$2:$C$1001,MATCH(200,'2.현장'!$AD$2:$AD$1001,0)),""))</f>
        <v/>
      </c>
      <c r="H203">
        <f>IF(B203="","",IFERROR(INDEX('2.현장'!$N$2:$N$1001,MATCH(200,'2.현장'!$AD$2:$AD$1001,0)),""))</f>
        <v/>
      </c>
      <c r="I203">
        <f>IF(B203="","",IFERROR(INDEX('2.현장'!$G$2:$G$1001,MATCH(200,'2.현장'!$AD$2:$AD$1001,0)),""))</f>
        <v/>
      </c>
      <c r="J203">
        <f>IF(B203="","",IFERROR(VLOOKUP(B203,업체_메모!$A$3:$I$302,2,FALSE)&amp;"",""))</f>
        <v/>
      </c>
      <c r="K203">
        <f>IF(B203="","",IFERROR(VLOOKUP(B203,업체_메모!$A$3:$I$302,4,FALSE)&amp;"",""))</f>
        <v/>
      </c>
      <c r="L203" s="7">
        <f>IF(B203="","",IF(COUNTIF('4.방문기록'!$B$3:$B$502,B203)=0,"",_xlfn.MAXIFS('4.방문기록'!$A$3:$A$502,'4.방문기록'!$B$3:$B$502,B203)))</f>
        <v/>
      </c>
      <c r="M203">
        <f>IF(L203="","",설정!$B$24-L203)</f>
        <v/>
      </c>
      <c r="N203">
        <f>IF(L203="","",IFERROR(INDEX('4.방문기록'!$H$3:$H$502,MATCH(B203&amp;"|"&amp;(L203*1),'4.방문기록'!$I$3:$I$502,0))&amp;"",""))</f>
        <v/>
      </c>
      <c r="O203">
        <f>IF(B203="","",IF(N203="관심 없음","제외",IF(L203="","안 가봄",IF(M203&gt;=설정!$B$20,M203&amp;"일 지남","최근 방문"))))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4" customWidth="1" min="3" max="3"/>
    <col width="12" customWidth="1" min="4" max="4"/>
    <col width="40" customWidth="1" min="5" max="5"/>
    <col width="11" customWidth="1" min="6" max="6"/>
    <col width="24" customWidth="1" min="7" max="7"/>
    <col width="14" customWidth="1" min="8" max="8"/>
    <col hidden="1" width="13" customWidth="1" min="9" max="9"/>
    <col hidden="1" width="13" customWidth="1" min="10" max="10"/>
  </cols>
  <sheetData>
    <row r="1">
      <c r="A1" s="4" t="inlineStr">
        <is>
          <t>방문·통화 기록 — 다녀오시면 한 줄 (날짜·업체·결과만 넣어도 됩니다). 설계사·시공사 모두</t>
        </is>
      </c>
    </row>
    <row r="2">
      <c r="A2" s="3" t="inlineStr">
        <is>
          <t>날짜</t>
        </is>
      </c>
      <c r="B2" s="3" t="inlineStr">
        <is>
          <t>업체(설계사·시공사)</t>
        </is>
      </c>
      <c r="C2" s="3" t="inlineStr">
        <is>
          <t>관련 현장</t>
        </is>
      </c>
      <c r="D2" s="3" t="inlineStr">
        <is>
          <t>만난 사람</t>
        </is>
      </c>
      <c r="E2" s="3" t="inlineStr">
        <is>
          <t>들은 것</t>
        </is>
      </c>
      <c r="F2" s="3" t="inlineStr">
        <is>
          <t>다음 약속일</t>
        </is>
      </c>
      <c r="G2" s="3" t="inlineStr">
        <is>
          <t>다음 할 것</t>
        </is>
      </c>
      <c r="H2" s="3" t="inlineStr">
        <is>
          <t>결과</t>
        </is>
      </c>
      <c r="I2" s="3" t="inlineStr">
        <is>
          <t>키(자동)</t>
        </is>
      </c>
      <c r="J2" s="3" t="inlineStr">
        <is>
          <t>목록에없음(자동)</t>
        </is>
      </c>
    </row>
    <row r="3">
      <c r="A3" s="9" t="n"/>
      <c r="B3" s="10" t="n"/>
      <c r="C3" s="10" t="n"/>
      <c r="D3" s="10" t="n"/>
      <c r="E3" s="10" t="n"/>
      <c r="F3" s="9" t="n"/>
      <c r="G3" s="10" t="n"/>
      <c r="H3" s="10" t="n"/>
      <c r="I3">
        <f>IF(A3="","",B3&amp;"|"&amp;(A3*1))</f>
        <v/>
      </c>
      <c r="J3">
        <f>IF(B3="",0,IF(COUNTIF('3.설계사'!$B$4:$B$303,B3)+COUNTIF('3b.시공사'!$B$4:$B$203,B3)=0,1,0))</f>
        <v/>
      </c>
    </row>
    <row r="4">
      <c r="A4" s="9" t="n"/>
      <c r="B4" s="10" t="n"/>
      <c r="C4" s="10" t="n"/>
      <c r="D4" s="10" t="n"/>
      <c r="E4" s="10" t="n"/>
      <c r="F4" s="9" t="n"/>
      <c r="G4" s="10" t="n"/>
      <c r="H4" s="10" t="n"/>
      <c r="I4">
        <f>IF(A4="","",B4&amp;"|"&amp;(A4*1))</f>
        <v/>
      </c>
      <c r="J4">
        <f>IF(B4="",0,IF(COUNTIF('3.설계사'!$B$4:$B$303,B4)+COUNTIF('3b.시공사'!$B$4:$B$203,B4)=0,1,0))</f>
        <v/>
      </c>
    </row>
    <row r="5">
      <c r="A5" s="9" t="n"/>
      <c r="B5" s="10" t="n"/>
      <c r="C5" s="10" t="n"/>
      <c r="D5" s="10" t="n"/>
      <c r="E5" s="10" t="n"/>
      <c r="F5" s="9" t="n"/>
      <c r="G5" s="10" t="n"/>
      <c r="H5" s="10" t="n"/>
      <c r="I5">
        <f>IF(A5="","",B5&amp;"|"&amp;(A5*1))</f>
        <v/>
      </c>
      <c r="J5">
        <f>IF(B5="",0,IF(COUNTIF('3.설계사'!$B$4:$B$303,B5)+COUNTIF('3b.시공사'!$B$4:$B$203,B5)=0,1,0))</f>
        <v/>
      </c>
    </row>
    <row r="6">
      <c r="A6" s="9" t="n"/>
      <c r="B6" s="10" t="n"/>
      <c r="C6" s="10" t="n"/>
      <c r="D6" s="10" t="n"/>
      <c r="E6" s="10" t="n"/>
      <c r="F6" s="9" t="n"/>
      <c r="G6" s="10" t="n"/>
      <c r="H6" s="10" t="n"/>
      <c r="I6">
        <f>IF(A6="","",B6&amp;"|"&amp;(A6*1))</f>
        <v/>
      </c>
      <c r="J6">
        <f>IF(B6="",0,IF(COUNTIF('3.설계사'!$B$4:$B$303,B6)+COUNTIF('3b.시공사'!$B$4:$B$203,B6)=0,1,0))</f>
        <v/>
      </c>
    </row>
    <row r="7">
      <c r="A7" s="9" t="n"/>
      <c r="B7" s="10" t="n"/>
      <c r="C7" s="10" t="n"/>
      <c r="D7" s="10" t="n"/>
      <c r="E7" s="10" t="n"/>
      <c r="F7" s="9" t="n"/>
      <c r="G7" s="10" t="n"/>
      <c r="H7" s="10" t="n"/>
      <c r="I7">
        <f>IF(A7="","",B7&amp;"|"&amp;(A7*1))</f>
        <v/>
      </c>
      <c r="J7">
        <f>IF(B7="",0,IF(COUNTIF('3.설계사'!$B$4:$B$303,B7)+COUNTIF('3b.시공사'!$B$4:$B$203,B7)=0,1,0))</f>
        <v/>
      </c>
    </row>
    <row r="8">
      <c r="A8" s="9" t="n"/>
      <c r="B8" s="10" t="n"/>
      <c r="C8" s="10" t="n"/>
      <c r="D8" s="10" t="n"/>
      <c r="E8" s="10" t="n"/>
      <c r="F8" s="9" t="n"/>
      <c r="G8" s="10" t="n"/>
      <c r="H8" s="10" t="n"/>
      <c r="I8">
        <f>IF(A8="","",B8&amp;"|"&amp;(A8*1))</f>
        <v/>
      </c>
      <c r="J8">
        <f>IF(B8="",0,IF(COUNTIF('3.설계사'!$B$4:$B$303,B8)+COUNTIF('3b.시공사'!$B$4:$B$203,B8)=0,1,0))</f>
        <v/>
      </c>
    </row>
    <row r="9">
      <c r="A9" s="9" t="n"/>
      <c r="B9" s="10" t="n"/>
      <c r="C9" s="10" t="n"/>
      <c r="D9" s="10" t="n"/>
      <c r="E9" s="10" t="n"/>
      <c r="F9" s="9" t="n"/>
      <c r="G9" s="10" t="n"/>
      <c r="H9" s="10" t="n"/>
      <c r="I9">
        <f>IF(A9="","",B9&amp;"|"&amp;(A9*1))</f>
        <v/>
      </c>
      <c r="J9">
        <f>IF(B9="",0,IF(COUNTIF('3.설계사'!$B$4:$B$303,B9)+COUNTIF('3b.시공사'!$B$4:$B$203,B9)=0,1,0))</f>
        <v/>
      </c>
    </row>
    <row r="10">
      <c r="A10" s="9" t="n"/>
      <c r="B10" s="10" t="n"/>
      <c r="C10" s="10" t="n"/>
      <c r="D10" s="10" t="n"/>
      <c r="E10" s="10" t="n"/>
      <c r="F10" s="9" t="n"/>
      <c r="G10" s="10" t="n"/>
      <c r="H10" s="10" t="n"/>
      <c r="I10">
        <f>IF(A10="","",B10&amp;"|"&amp;(A10*1))</f>
        <v/>
      </c>
      <c r="J10">
        <f>IF(B10="",0,IF(COUNTIF('3.설계사'!$B$4:$B$303,B10)+COUNTIF('3b.시공사'!$B$4:$B$203,B10)=0,1,0))</f>
        <v/>
      </c>
    </row>
    <row r="11">
      <c r="A11" s="9" t="n"/>
      <c r="B11" s="10" t="n"/>
      <c r="C11" s="10" t="n"/>
      <c r="D11" s="10" t="n"/>
      <c r="E11" s="10" t="n"/>
      <c r="F11" s="9" t="n"/>
      <c r="G11" s="10" t="n"/>
      <c r="H11" s="10" t="n"/>
      <c r="I11">
        <f>IF(A11="","",B11&amp;"|"&amp;(A11*1))</f>
        <v/>
      </c>
      <c r="J11">
        <f>IF(B11="",0,IF(COUNTIF('3.설계사'!$B$4:$B$303,B11)+COUNTIF('3b.시공사'!$B$4:$B$203,B11)=0,1,0))</f>
        <v/>
      </c>
    </row>
    <row r="12">
      <c r="A12" s="9" t="n"/>
      <c r="B12" s="10" t="n"/>
      <c r="C12" s="10" t="n"/>
      <c r="D12" s="10" t="n"/>
      <c r="E12" s="10" t="n"/>
      <c r="F12" s="9" t="n"/>
      <c r="G12" s="10" t="n"/>
      <c r="H12" s="10" t="n"/>
      <c r="I12">
        <f>IF(A12="","",B12&amp;"|"&amp;(A12*1))</f>
        <v/>
      </c>
      <c r="J12">
        <f>IF(B12="",0,IF(COUNTIF('3.설계사'!$B$4:$B$303,B12)+COUNTIF('3b.시공사'!$B$4:$B$203,B12)=0,1,0))</f>
        <v/>
      </c>
    </row>
    <row r="13">
      <c r="A13" s="9" t="n"/>
      <c r="B13" s="10" t="n"/>
      <c r="C13" s="10" t="n"/>
      <c r="D13" s="10" t="n"/>
      <c r="E13" s="10" t="n"/>
      <c r="F13" s="9" t="n"/>
      <c r="G13" s="10" t="n"/>
      <c r="H13" s="10" t="n"/>
      <c r="I13">
        <f>IF(A13="","",B13&amp;"|"&amp;(A13*1))</f>
        <v/>
      </c>
      <c r="J13">
        <f>IF(B13="",0,IF(COUNTIF('3.설계사'!$B$4:$B$303,B13)+COUNTIF('3b.시공사'!$B$4:$B$203,B13)=0,1,0))</f>
        <v/>
      </c>
    </row>
    <row r="14">
      <c r="A14" s="9" t="n"/>
      <c r="B14" s="10" t="n"/>
      <c r="C14" s="10" t="n"/>
      <c r="D14" s="10" t="n"/>
      <c r="E14" s="10" t="n"/>
      <c r="F14" s="9" t="n"/>
      <c r="G14" s="10" t="n"/>
      <c r="H14" s="10" t="n"/>
      <c r="I14">
        <f>IF(A14="","",B14&amp;"|"&amp;(A14*1))</f>
        <v/>
      </c>
      <c r="J14">
        <f>IF(B14="",0,IF(COUNTIF('3.설계사'!$B$4:$B$303,B14)+COUNTIF('3b.시공사'!$B$4:$B$203,B14)=0,1,0))</f>
        <v/>
      </c>
    </row>
    <row r="15">
      <c r="A15" s="9" t="n"/>
      <c r="B15" s="10" t="n"/>
      <c r="C15" s="10" t="n"/>
      <c r="D15" s="10" t="n"/>
      <c r="E15" s="10" t="n"/>
      <c r="F15" s="9" t="n"/>
      <c r="G15" s="10" t="n"/>
      <c r="H15" s="10" t="n"/>
      <c r="I15">
        <f>IF(A15="","",B15&amp;"|"&amp;(A15*1))</f>
        <v/>
      </c>
      <c r="J15">
        <f>IF(B15="",0,IF(COUNTIF('3.설계사'!$B$4:$B$303,B15)+COUNTIF('3b.시공사'!$B$4:$B$203,B15)=0,1,0))</f>
        <v/>
      </c>
    </row>
    <row r="16">
      <c r="A16" s="9" t="n"/>
      <c r="B16" s="10" t="n"/>
      <c r="C16" s="10" t="n"/>
      <c r="D16" s="10" t="n"/>
      <c r="E16" s="10" t="n"/>
      <c r="F16" s="9" t="n"/>
      <c r="G16" s="10" t="n"/>
      <c r="H16" s="10" t="n"/>
      <c r="I16">
        <f>IF(A16="","",B16&amp;"|"&amp;(A16*1))</f>
        <v/>
      </c>
      <c r="J16">
        <f>IF(B16="",0,IF(COUNTIF('3.설계사'!$B$4:$B$303,B16)+COUNTIF('3b.시공사'!$B$4:$B$203,B16)=0,1,0))</f>
        <v/>
      </c>
    </row>
    <row r="17">
      <c r="A17" s="9" t="n"/>
      <c r="B17" s="10" t="n"/>
      <c r="C17" s="10" t="n"/>
      <c r="D17" s="10" t="n"/>
      <c r="E17" s="10" t="n"/>
      <c r="F17" s="9" t="n"/>
      <c r="G17" s="10" t="n"/>
      <c r="H17" s="10" t="n"/>
      <c r="I17">
        <f>IF(A17="","",B17&amp;"|"&amp;(A17*1))</f>
        <v/>
      </c>
      <c r="J17">
        <f>IF(B17="",0,IF(COUNTIF('3.설계사'!$B$4:$B$303,B17)+COUNTIF('3b.시공사'!$B$4:$B$203,B17)=0,1,0))</f>
        <v/>
      </c>
    </row>
    <row r="18">
      <c r="A18" s="9" t="n"/>
      <c r="B18" s="10" t="n"/>
      <c r="C18" s="10" t="n"/>
      <c r="D18" s="10" t="n"/>
      <c r="E18" s="10" t="n"/>
      <c r="F18" s="9" t="n"/>
      <c r="G18" s="10" t="n"/>
      <c r="H18" s="10" t="n"/>
      <c r="I18">
        <f>IF(A18="","",B18&amp;"|"&amp;(A18*1))</f>
        <v/>
      </c>
      <c r="J18">
        <f>IF(B18="",0,IF(COUNTIF('3.설계사'!$B$4:$B$303,B18)+COUNTIF('3b.시공사'!$B$4:$B$203,B18)=0,1,0))</f>
        <v/>
      </c>
    </row>
    <row r="19">
      <c r="A19" s="9" t="n"/>
      <c r="B19" s="10" t="n"/>
      <c r="C19" s="10" t="n"/>
      <c r="D19" s="10" t="n"/>
      <c r="E19" s="10" t="n"/>
      <c r="F19" s="9" t="n"/>
      <c r="G19" s="10" t="n"/>
      <c r="H19" s="10" t="n"/>
      <c r="I19">
        <f>IF(A19="","",B19&amp;"|"&amp;(A19*1))</f>
        <v/>
      </c>
      <c r="J19">
        <f>IF(B19="",0,IF(COUNTIF('3.설계사'!$B$4:$B$303,B19)+COUNTIF('3b.시공사'!$B$4:$B$203,B19)=0,1,0))</f>
        <v/>
      </c>
    </row>
    <row r="20">
      <c r="A20" s="9" t="n"/>
      <c r="B20" s="10" t="n"/>
      <c r="C20" s="10" t="n"/>
      <c r="D20" s="10" t="n"/>
      <c r="E20" s="10" t="n"/>
      <c r="F20" s="9" t="n"/>
      <c r="G20" s="10" t="n"/>
      <c r="H20" s="10" t="n"/>
      <c r="I20">
        <f>IF(A20="","",B20&amp;"|"&amp;(A20*1))</f>
        <v/>
      </c>
      <c r="J20">
        <f>IF(B20="",0,IF(COUNTIF('3.설계사'!$B$4:$B$303,B20)+COUNTIF('3b.시공사'!$B$4:$B$203,B20)=0,1,0))</f>
        <v/>
      </c>
    </row>
    <row r="21">
      <c r="A21" s="9" t="n"/>
      <c r="B21" s="10" t="n"/>
      <c r="C21" s="10" t="n"/>
      <c r="D21" s="10" t="n"/>
      <c r="E21" s="10" t="n"/>
      <c r="F21" s="9" t="n"/>
      <c r="G21" s="10" t="n"/>
      <c r="H21" s="10" t="n"/>
      <c r="I21">
        <f>IF(A21="","",B21&amp;"|"&amp;(A21*1))</f>
        <v/>
      </c>
      <c r="J21">
        <f>IF(B21="",0,IF(COUNTIF('3.설계사'!$B$4:$B$303,B21)+COUNTIF('3b.시공사'!$B$4:$B$203,B21)=0,1,0))</f>
        <v/>
      </c>
    </row>
    <row r="22">
      <c r="A22" s="9" t="n"/>
      <c r="B22" s="10" t="n"/>
      <c r="C22" s="10" t="n"/>
      <c r="D22" s="10" t="n"/>
      <c r="E22" s="10" t="n"/>
      <c r="F22" s="9" t="n"/>
      <c r="G22" s="10" t="n"/>
      <c r="H22" s="10" t="n"/>
      <c r="I22">
        <f>IF(A22="","",B22&amp;"|"&amp;(A22*1))</f>
        <v/>
      </c>
      <c r="J22">
        <f>IF(B22="",0,IF(COUNTIF('3.설계사'!$B$4:$B$303,B22)+COUNTIF('3b.시공사'!$B$4:$B$203,B22)=0,1,0))</f>
        <v/>
      </c>
    </row>
    <row r="23">
      <c r="A23" s="9" t="n"/>
      <c r="B23" s="10" t="n"/>
      <c r="C23" s="10" t="n"/>
      <c r="D23" s="10" t="n"/>
      <c r="E23" s="10" t="n"/>
      <c r="F23" s="9" t="n"/>
      <c r="G23" s="10" t="n"/>
      <c r="H23" s="10" t="n"/>
      <c r="I23">
        <f>IF(A23="","",B23&amp;"|"&amp;(A23*1))</f>
        <v/>
      </c>
      <c r="J23">
        <f>IF(B23="",0,IF(COUNTIF('3.설계사'!$B$4:$B$303,B23)+COUNTIF('3b.시공사'!$B$4:$B$203,B23)=0,1,0))</f>
        <v/>
      </c>
    </row>
    <row r="24">
      <c r="A24" s="9" t="n"/>
      <c r="B24" s="10" t="n"/>
      <c r="C24" s="10" t="n"/>
      <c r="D24" s="10" t="n"/>
      <c r="E24" s="10" t="n"/>
      <c r="F24" s="9" t="n"/>
      <c r="G24" s="10" t="n"/>
      <c r="H24" s="10" t="n"/>
      <c r="I24">
        <f>IF(A24="","",B24&amp;"|"&amp;(A24*1))</f>
        <v/>
      </c>
      <c r="J24">
        <f>IF(B24="",0,IF(COUNTIF('3.설계사'!$B$4:$B$303,B24)+COUNTIF('3b.시공사'!$B$4:$B$203,B24)=0,1,0))</f>
        <v/>
      </c>
    </row>
    <row r="25">
      <c r="A25" s="9" t="n"/>
      <c r="B25" s="10" t="n"/>
      <c r="C25" s="10" t="n"/>
      <c r="D25" s="10" t="n"/>
      <c r="E25" s="10" t="n"/>
      <c r="F25" s="9" t="n"/>
      <c r="G25" s="10" t="n"/>
      <c r="H25" s="10" t="n"/>
      <c r="I25">
        <f>IF(A25="","",B25&amp;"|"&amp;(A25*1))</f>
        <v/>
      </c>
      <c r="J25">
        <f>IF(B25="",0,IF(COUNTIF('3.설계사'!$B$4:$B$303,B25)+COUNTIF('3b.시공사'!$B$4:$B$203,B25)=0,1,0))</f>
        <v/>
      </c>
    </row>
    <row r="26">
      <c r="A26" s="9" t="n"/>
      <c r="B26" s="10" t="n"/>
      <c r="C26" s="10" t="n"/>
      <c r="D26" s="10" t="n"/>
      <c r="E26" s="10" t="n"/>
      <c r="F26" s="9" t="n"/>
      <c r="G26" s="10" t="n"/>
      <c r="H26" s="10" t="n"/>
      <c r="I26">
        <f>IF(A26="","",B26&amp;"|"&amp;(A26*1))</f>
        <v/>
      </c>
      <c r="J26">
        <f>IF(B26="",0,IF(COUNTIF('3.설계사'!$B$4:$B$303,B26)+COUNTIF('3b.시공사'!$B$4:$B$203,B26)=0,1,0))</f>
        <v/>
      </c>
    </row>
    <row r="27">
      <c r="A27" s="9" t="n"/>
      <c r="B27" s="10" t="n"/>
      <c r="C27" s="10" t="n"/>
      <c r="D27" s="10" t="n"/>
      <c r="E27" s="10" t="n"/>
      <c r="F27" s="9" t="n"/>
      <c r="G27" s="10" t="n"/>
      <c r="H27" s="10" t="n"/>
      <c r="I27">
        <f>IF(A27="","",B27&amp;"|"&amp;(A27*1))</f>
        <v/>
      </c>
      <c r="J27">
        <f>IF(B27="",0,IF(COUNTIF('3.설계사'!$B$4:$B$303,B27)+COUNTIF('3b.시공사'!$B$4:$B$203,B27)=0,1,0))</f>
        <v/>
      </c>
    </row>
    <row r="28">
      <c r="A28" s="9" t="n"/>
      <c r="B28" s="10" t="n"/>
      <c r="C28" s="10" t="n"/>
      <c r="D28" s="10" t="n"/>
      <c r="E28" s="10" t="n"/>
      <c r="F28" s="9" t="n"/>
      <c r="G28" s="10" t="n"/>
      <c r="H28" s="10" t="n"/>
      <c r="I28">
        <f>IF(A28="","",B28&amp;"|"&amp;(A28*1))</f>
        <v/>
      </c>
      <c r="J28">
        <f>IF(B28="",0,IF(COUNTIF('3.설계사'!$B$4:$B$303,B28)+COUNTIF('3b.시공사'!$B$4:$B$203,B28)=0,1,0))</f>
        <v/>
      </c>
    </row>
    <row r="29">
      <c r="A29" s="9" t="n"/>
      <c r="B29" s="10" t="n"/>
      <c r="C29" s="10" t="n"/>
      <c r="D29" s="10" t="n"/>
      <c r="E29" s="10" t="n"/>
      <c r="F29" s="9" t="n"/>
      <c r="G29" s="10" t="n"/>
      <c r="H29" s="10" t="n"/>
      <c r="I29">
        <f>IF(A29="","",B29&amp;"|"&amp;(A29*1))</f>
        <v/>
      </c>
      <c r="J29">
        <f>IF(B29="",0,IF(COUNTIF('3.설계사'!$B$4:$B$303,B29)+COUNTIF('3b.시공사'!$B$4:$B$203,B29)=0,1,0))</f>
        <v/>
      </c>
    </row>
    <row r="30">
      <c r="A30" s="9" t="n"/>
      <c r="B30" s="10" t="n"/>
      <c r="C30" s="10" t="n"/>
      <c r="D30" s="10" t="n"/>
      <c r="E30" s="10" t="n"/>
      <c r="F30" s="9" t="n"/>
      <c r="G30" s="10" t="n"/>
      <c r="H30" s="10" t="n"/>
      <c r="I30">
        <f>IF(A30="","",B30&amp;"|"&amp;(A30*1))</f>
        <v/>
      </c>
      <c r="J30">
        <f>IF(B30="",0,IF(COUNTIF('3.설계사'!$B$4:$B$303,B30)+COUNTIF('3b.시공사'!$B$4:$B$203,B30)=0,1,0))</f>
        <v/>
      </c>
    </row>
    <row r="31">
      <c r="A31" s="9" t="n"/>
      <c r="B31" s="10" t="n"/>
      <c r="C31" s="10" t="n"/>
      <c r="D31" s="10" t="n"/>
      <c r="E31" s="10" t="n"/>
      <c r="F31" s="9" t="n"/>
      <c r="G31" s="10" t="n"/>
      <c r="H31" s="10" t="n"/>
      <c r="I31">
        <f>IF(A31="","",B31&amp;"|"&amp;(A31*1))</f>
        <v/>
      </c>
      <c r="J31">
        <f>IF(B31="",0,IF(COUNTIF('3.설계사'!$B$4:$B$303,B31)+COUNTIF('3b.시공사'!$B$4:$B$203,B31)=0,1,0))</f>
        <v/>
      </c>
    </row>
    <row r="32">
      <c r="A32" s="9" t="n"/>
      <c r="B32" s="10" t="n"/>
      <c r="C32" s="10" t="n"/>
      <c r="D32" s="10" t="n"/>
      <c r="E32" s="10" t="n"/>
      <c r="F32" s="9" t="n"/>
      <c r="G32" s="10" t="n"/>
      <c r="H32" s="10" t="n"/>
      <c r="I32">
        <f>IF(A32="","",B32&amp;"|"&amp;(A32*1))</f>
        <v/>
      </c>
      <c r="J32">
        <f>IF(B32="",0,IF(COUNTIF('3.설계사'!$B$4:$B$303,B32)+COUNTIF('3b.시공사'!$B$4:$B$203,B32)=0,1,0))</f>
        <v/>
      </c>
    </row>
    <row r="33">
      <c r="A33" s="9" t="n"/>
      <c r="B33" s="10" t="n"/>
      <c r="C33" s="10" t="n"/>
      <c r="D33" s="10" t="n"/>
      <c r="E33" s="10" t="n"/>
      <c r="F33" s="9" t="n"/>
      <c r="G33" s="10" t="n"/>
      <c r="H33" s="10" t="n"/>
      <c r="I33">
        <f>IF(A33="","",B33&amp;"|"&amp;(A33*1))</f>
        <v/>
      </c>
      <c r="J33">
        <f>IF(B33="",0,IF(COUNTIF('3.설계사'!$B$4:$B$303,B33)+COUNTIF('3b.시공사'!$B$4:$B$203,B33)=0,1,0))</f>
        <v/>
      </c>
    </row>
    <row r="34">
      <c r="A34" s="9" t="n"/>
      <c r="B34" s="10" t="n"/>
      <c r="C34" s="10" t="n"/>
      <c r="D34" s="10" t="n"/>
      <c r="E34" s="10" t="n"/>
      <c r="F34" s="9" t="n"/>
      <c r="G34" s="10" t="n"/>
      <c r="H34" s="10" t="n"/>
      <c r="I34">
        <f>IF(A34="","",B34&amp;"|"&amp;(A34*1))</f>
        <v/>
      </c>
      <c r="J34">
        <f>IF(B34="",0,IF(COUNTIF('3.설계사'!$B$4:$B$303,B34)+COUNTIF('3b.시공사'!$B$4:$B$203,B34)=0,1,0))</f>
        <v/>
      </c>
    </row>
    <row r="35">
      <c r="A35" s="9" t="n"/>
      <c r="B35" s="10" t="n"/>
      <c r="C35" s="10" t="n"/>
      <c r="D35" s="10" t="n"/>
      <c r="E35" s="10" t="n"/>
      <c r="F35" s="9" t="n"/>
      <c r="G35" s="10" t="n"/>
      <c r="H35" s="10" t="n"/>
      <c r="I35">
        <f>IF(A35="","",B35&amp;"|"&amp;(A35*1))</f>
        <v/>
      </c>
      <c r="J35">
        <f>IF(B35="",0,IF(COUNTIF('3.설계사'!$B$4:$B$303,B35)+COUNTIF('3b.시공사'!$B$4:$B$203,B35)=0,1,0))</f>
        <v/>
      </c>
    </row>
    <row r="36">
      <c r="A36" s="9" t="n"/>
      <c r="B36" s="10" t="n"/>
      <c r="C36" s="10" t="n"/>
      <c r="D36" s="10" t="n"/>
      <c r="E36" s="10" t="n"/>
      <c r="F36" s="9" t="n"/>
      <c r="G36" s="10" t="n"/>
      <c r="H36" s="10" t="n"/>
      <c r="I36">
        <f>IF(A36="","",B36&amp;"|"&amp;(A36*1))</f>
        <v/>
      </c>
      <c r="J36">
        <f>IF(B36="",0,IF(COUNTIF('3.설계사'!$B$4:$B$303,B36)+COUNTIF('3b.시공사'!$B$4:$B$203,B36)=0,1,0))</f>
        <v/>
      </c>
    </row>
    <row r="37">
      <c r="A37" s="9" t="n"/>
      <c r="B37" s="10" t="n"/>
      <c r="C37" s="10" t="n"/>
      <c r="D37" s="10" t="n"/>
      <c r="E37" s="10" t="n"/>
      <c r="F37" s="9" t="n"/>
      <c r="G37" s="10" t="n"/>
      <c r="H37" s="10" t="n"/>
      <c r="I37">
        <f>IF(A37="","",B37&amp;"|"&amp;(A37*1))</f>
        <v/>
      </c>
      <c r="J37">
        <f>IF(B37="",0,IF(COUNTIF('3.설계사'!$B$4:$B$303,B37)+COUNTIF('3b.시공사'!$B$4:$B$203,B37)=0,1,0))</f>
        <v/>
      </c>
    </row>
    <row r="38">
      <c r="A38" s="9" t="n"/>
      <c r="B38" s="10" t="n"/>
      <c r="C38" s="10" t="n"/>
      <c r="D38" s="10" t="n"/>
      <c r="E38" s="10" t="n"/>
      <c r="F38" s="9" t="n"/>
      <c r="G38" s="10" t="n"/>
      <c r="H38" s="10" t="n"/>
      <c r="I38">
        <f>IF(A38="","",B38&amp;"|"&amp;(A38*1))</f>
        <v/>
      </c>
      <c r="J38">
        <f>IF(B38="",0,IF(COUNTIF('3.설계사'!$B$4:$B$303,B38)+COUNTIF('3b.시공사'!$B$4:$B$203,B38)=0,1,0))</f>
        <v/>
      </c>
    </row>
    <row r="39">
      <c r="A39" s="9" t="n"/>
      <c r="B39" s="10" t="n"/>
      <c r="C39" s="10" t="n"/>
      <c r="D39" s="10" t="n"/>
      <c r="E39" s="10" t="n"/>
      <c r="F39" s="9" t="n"/>
      <c r="G39" s="10" t="n"/>
      <c r="H39" s="10" t="n"/>
      <c r="I39">
        <f>IF(A39="","",B39&amp;"|"&amp;(A39*1))</f>
        <v/>
      </c>
      <c r="J39">
        <f>IF(B39="",0,IF(COUNTIF('3.설계사'!$B$4:$B$303,B39)+COUNTIF('3b.시공사'!$B$4:$B$203,B39)=0,1,0))</f>
        <v/>
      </c>
    </row>
    <row r="40">
      <c r="A40" s="9" t="n"/>
      <c r="B40" s="10" t="n"/>
      <c r="C40" s="10" t="n"/>
      <c r="D40" s="10" t="n"/>
      <c r="E40" s="10" t="n"/>
      <c r="F40" s="9" t="n"/>
      <c r="G40" s="10" t="n"/>
      <c r="H40" s="10" t="n"/>
      <c r="I40">
        <f>IF(A40="","",B40&amp;"|"&amp;(A40*1))</f>
        <v/>
      </c>
      <c r="J40">
        <f>IF(B40="",0,IF(COUNTIF('3.설계사'!$B$4:$B$303,B40)+COUNTIF('3b.시공사'!$B$4:$B$203,B40)=0,1,0))</f>
        <v/>
      </c>
    </row>
    <row r="41">
      <c r="A41" s="9" t="n"/>
      <c r="B41" s="10" t="n"/>
      <c r="C41" s="10" t="n"/>
      <c r="D41" s="10" t="n"/>
      <c r="E41" s="10" t="n"/>
      <c r="F41" s="9" t="n"/>
      <c r="G41" s="10" t="n"/>
      <c r="H41" s="10" t="n"/>
      <c r="I41">
        <f>IF(A41="","",B41&amp;"|"&amp;(A41*1))</f>
        <v/>
      </c>
      <c r="J41">
        <f>IF(B41="",0,IF(COUNTIF('3.설계사'!$B$4:$B$303,B41)+COUNTIF('3b.시공사'!$B$4:$B$203,B41)=0,1,0))</f>
        <v/>
      </c>
    </row>
    <row r="42">
      <c r="A42" s="9" t="n"/>
      <c r="B42" s="10" t="n"/>
      <c r="C42" s="10" t="n"/>
      <c r="D42" s="10" t="n"/>
      <c r="E42" s="10" t="n"/>
      <c r="F42" s="9" t="n"/>
      <c r="G42" s="10" t="n"/>
      <c r="H42" s="10" t="n"/>
      <c r="I42">
        <f>IF(A42="","",B42&amp;"|"&amp;(A42*1))</f>
        <v/>
      </c>
      <c r="J42">
        <f>IF(B42="",0,IF(COUNTIF('3.설계사'!$B$4:$B$303,B42)+COUNTIF('3b.시공사'!$B$4:$B$203,B42)=0,1,0))</f>
        <v/>
      </c>
    </row>
    <row r="43">
      <c r="A43" s="9" t="n"/>
      <c r="B43" s="10" t="n"/>
      <c r="C43" s="10" t="n"/>
      <c r="D43" s="10" t="n"/>
      <c r="E43" s="10" t="n"/>
      <c r="F43" s="9" t="n"/>
      <c r="G43" s="10" t="n"/>
      <c r="H43" s="10" t="n"/>
      <c r="I43">
        <f>IF(A43="","",B43&amp;"|"&amp;(A43*1))</f>
        <v/>
      </c>
      <c r="J43">
        <f>IF(B43="",0,IF(COUNTIF('3.설계사'!$B$4:$B$303,B43)+COUNTIF('3b.시공사'!$B$4:$B$203,B43)=0,1,0))</f>
        <v/>
      </c>
    </row>
    <row r="44">
      <c r="A44" s="9" t="n"/>
      <c r="B44" s="10" t="n"/>
      <c r="C44" s="10" t="n"/>
      <c r="D44" s="10" t="n"/>
      <c r="E44" s="10" t="n"/>
      <c r="F44" s="9" t="n"/>
      <c r="G44" s="10" t="n"/>
      <c r="H44" s="10" t="n"/>
      <c r="I44">
        <f>IF(A44="","",B44&amp;"|"&amp;(A44*1))</f>
        <v/>
      </c>
      <c r="J44">
        <f>IF(B44="",0,IF(COUNTIF('3.설계사'!$B$4:$B$303,B44)+COUNTIF('3b.시공사'!$B$4:$B$203,B44)=0,1,0))</f>
        <v/>
      </c>
    </row>
    <row r="45">
      <c r="A45" s="9" t="n"/>
      <c r="B45" s="10" t="n"/>
      <c r="C45" s="10" t="n"/>
      <c r="D45" s="10" t="n"/>
      <c r="E45" s="10" t="n"/>
      <c r="F45" s="9" t="n"/>
      <c r="G45" s="10" t="n"/>
      <c r="H45" s="10" t="n"/>
      <c r="I45">
        <f>IF(A45="","",B45&amp;"|"&amp;(A45*1))</f>
        <v/>
      </c>
      <c r="J45">
        <f>IF(B45="",0,IF(COUNTIF('3.설계사'!$B$4:$B$303,B45)+COUNTIF('3b.시공사'!$B$4:$B$203,B45)=0,1,0))</f>
        <v/>
      </c>
    </row>
    <row r="46">
      <c r="A46" s="9" t="n"/>
      <c r="B46" s="10" t="n"/>
      <c r="C46" s="10" t="n"/>
      <c r="D46" s="10" t="n"/>
      <c r="E46" s="10" t="n"/>
      <c r="F46" s="9" t="n"/>
      <c r="G46" s="10" t="n"/>
      <c r="H46" s="10" t="n"/>
      <c r="I46">
        <f>IF(A46="","",B46&amp;"|"&amp;(A46*1))</f>
        <v/>
      </c>
      <c r="J46">
        <f>IF(B46="",0,IF(COUNTIF('3.설계사'!$B$4:$B$303,B46)+COUNTIF('3b.시공사'!$B$4:$B$203,B46)=0,1,0))</f>
        <v/>
      </c>
    </row>
    <row r="47">
      <c r="A47" s="9" t="n"/>
      <c r="B47" s="10" t="n"/>
      <c r="C47" s="10" t="n"/>
      <c r="D47" s="10" t="n"/>
      <c r="E47" s="10" t="n"/>
      <c r="F47" s="9" t="n"/>
      <c r="G47" s="10" t="n"/>
      <c r="H47" s="10" t="n"/>
      <c r="I47">
        <f>IF(A47="","",B47&amp;"|"&amp;(A47*1))</f>
        <v/>
      </c>
      <c r="J47">
        <f>IF(B47="",0,IF(COUNTIF('3.설계사'!$B$4:$B$303,B47)+COUNTIF('3b.시공사'!$B$4:$B$203,B47)=0,1,0))</f>
        <v/>
      </c>
    </row>
    <row r="48">
      <c r="A48" s="9" t="n"/>
      <c r="B48" s="10" t="n"/>
      <c r="C48" s="10" t="n"/>
      <c r="D48" s="10" t="n"/>
      <c r="E48" s="10" t="n"/>
      <c r="F48" s="9" t="n"/>
      <c r="G48" s="10" t="n"/>
      <c r="H48" s="10" t="n"/>
      <c r="I48">
        <f>IF(A48="","",B48&amp;"|"&amp;(A48*1))</f>
        <v/>
      </c>
      <c r="J48">
        <f>IF(B48="",0,IF(COUNTIF('3.설계사'!$B$4:$B$303,B48)+COUNTIF('3b.시공사'!$B$4:$B$203,B48)=0,1,0))</f>
        <v/>
      </c>
    </row>
    <row r="49">
      <c r="A49" s="9" t="n"/>
      <c r="B49" s="10" t="n"/>
      <c r="C49" s="10" t="n"/>
      <c r="D49" s="10" t="n"/>
      <c r="E49" s="10" t="n"/>
      <c r="F49" s="9" t="n"/>
      <c r="G49" s="10" t="n"/>
      <c r="H49" s="10" t="n"/>
      <c r="I49">
        <f>IF(A49="","",B49&amp;"|"&amp;(A49*1))</f>
        <v/>
      </c>
      <c r="J49">
        <f>IF(B49="",0,IF(COUNTIF('3.설계사'!$B$4:$B$303,B49)+COUNTIF('3b.시공사'!$B$4:$B$203,B49)=0,1,0))</f>
        <v/>
      </c>
    </row>
    <row r="50">
      <c r="A50" s="9" t="n"/>
      <c r="B50" s="10" t="n"/>
      <c r="C50" s="10" t="n"/>
      <c r="D50" s="10" t="n"/>
      <c r="E50" s="10" t="n"/>
      <c r="F50" s="9" t="n"/>
      <c r="G50" s="10" t="n"/>
      <c r="H50" s="10" t="n"/>
      <c r="I50">
        <f>IF(A50="","",B50&amp;"|"&amp;(A50*1))</f>
        <v/>
      </c>
      <c r="J50">
        <f>IF(B50="",0,IF(COUNTIF('3.설계사'!$B$4:$B$303,B50)+COUNTIF('3b.시공사'!$B$4:$B$203,B50)=0,1,0))</f>
        <v/>
      </c>
    </row>
    <row r="51">
      <c r="A51" s="9" t="n"/>
      <c r="B51" s="10" t="n"/>
      <c r="C51" s="10" t="n"/>
      <c r="D51" s="10" t="n"/>
      <c r="E51" s="10" t="n"/>
      <c r="F51" s="9" t="n"/>
      <c r="G51" s="10" t="n"/>
      <c r="H51" s="10" t="n"/>
      <c r="I51">
        <f>IF(A51="","",B51&amp;"|"&amp;(A51*1))</f>
        <v/>
      </c>
      <c r="J51">
        <f>IF(B51="",0,IF(COUNTIF('3.설계사'!$B$4:$B$303,B51)+COUNTIF('3b.시공사'!$B$4:$B$203,B51)=0,1,0))</f>
        <v/>
      </c>
    </row>
    <row r="52">
      <c r="A52" s="9" t="n"/>
      <c r="B52" s="10" t="n"/>
      <c r="C52" s="10" t="n"/>
      <c r="D52" s="10" t="n"/>
      <c r="E52" s="10" t="n"/>
      <c r="F52" s="9" t="n"/>
      <c r="G52" s="10" t="n"/>
      <c r="H52" s="10" t="n"/>
      <c r="I52">
        <f>IF(A52="","",B52&amp;"|"&amp;(A52*1))</f>
        <v/>
      </c>
      <c r="J52">
        <f>IF(B52="",0,IF(COUNTIF('3.설계사'!$B$4:$B$303,B52)+COUNTIF('3b.시공사'!$B$4:$B$203,B52)=0,1,0))</f>
        <v/>
      </c>
    </row>
    <row r="53">
      <c r="A53" s="9" t="n"/>
      <c r="B53" s="10" t="n"/>
      <c r="C53" s="10" t="n"/>
      <c r="D53" s="10" t="n"/>
      <c r="E53" s="10" t="n"/>
      <c r="F53" s="9" t="n"/>
      <c r="G53" s="10" t="n"/>
      <c r="H53" s="10" t="n"/>
      <c r="I53">
        <f>IF(A53="","",B53&amp;"|"&amp;(A53*1))</f>
        <v/>
      </c>
      <c r="J53">
        <f>IF(B53="",0,IF(COUNTIF('3.설계사'!$B$4:$B$303,B53)+COUNTIF('3b.시공사'!$B$4:$B$203,B53)=0,1,0))</f>
        <v/>
      </c>
    </row>
    <row r="54">
      <c r="A54" s="9" t="n"/>
      <c r="B54" s="10" t="n"/>
      <c r="C54" s="10" t="n"/>
      <c r="D54" s="10" t="n"/>
      <c r="E54" s="10" t="n"/>
      <c r="F54" s="9" t="n"/>
      <c r="G54" s="10" t="n"/>
      <c r="H54" s="10" t="n"/>
      <c r="I54">
        <f>IF(A54="","",B54&amp;"|"&amp;(A54*1))</f>
        <v/>
      </c>
      <c r="J54">
        <f>IF(B54="",0,IF(COUNTIF('3.설계사'!$B$4:$B$303,B54)+COUNTIF('3b.시공사'!$B$4:$B$203,B54)=0,1,0))</f>
        <v/>
      </c>
    </row>
    <row r="55">
      <c r="A55" s="9" t="n"/>
      <c r="B55" s="10" t="n"/>
      <c r="C55" s="10" t="n"/>
      <c r="D55" s="10" t="n"/>
      <c r="E55" s="10" t="n"/>
      <c r="F55" s="9" t="n"/>
      <c r="G55" s="10" t="n"/>
      <c r="H55" s="10" t="n"/>
      <c r="I55">
        <f>IF(A55="","",B55&amp;"|"&amp;(A55*1))</f>
        <v/>
      </c>
      <c r="J55">
        <f>IF(B55="",0,IF(COUNTIF('3.설계사'!$B$4:$B$303,B55)+COUNTIF('3b.시공사'!$B$4:$B$203,B55)=0,1,0))</f>
        <v/>
      </c>
    </row>
    <row r="56">
      <c r="A56" s="9" t="n"/>
      <c r="B56" s="10" t="n"/>
      <c r="C56" s="10" t="n"/>
      <c r="D56" s="10" t="n"/>
      <c r="E56" s="10" t="n"/>
      <c r="F56" s="9" t="n"/>
      <c r="G56" s="10" t="n"/>
      <c r="H56" s="10" t="n"/>
      <c r="I56">
        <f>IF(A56="","",B56&amp;"|"&amp;(A56*1))</f>
        <v/>
      </c>
      <c r="J56">
        <f>IF(B56="",0,IF(COUNTIF('3.설계사'!$B$4:$B$303,B56)+COUNTIF('3b.시공사'!$B$4:$B$203,B56)=0,1,0))</f>
        <v/>
      </c>
    </row>
    <row r="57">
      <c r="A57" s="9" t="n"/>
      <c r="B57" s="10" t="n"/>
      <c r="C57" s="10" t="n"/>
      <c r="D57" s="10" t="n"/>
      <c r="E57" s="10" t="n"/>
      <c r="F57" s="9" t="n"/>
      <c r="G57" s="10" t="n"/>
      <c r="H57" s="10" t="n"/>
      <c r="I57">
        <f>IF(A57="","",B57&amp;"|"&amp;(A57*1))</f>
        <v/>
      </c>
      <c r="J57">
        <f>IF(B57="",0,IF(COUNTIF('3.설계사'!$B$4:$B$303,B57)+COUNTIF('3b.시공사'!$B$4:$B$203,B57)=0,1,0))</f>
        <v/>
      </c>
    </row>
    <row r="58">
      <c r="A58" s="9" t="n"/>
      <c r="B58" s="10" t="n"/>
      <c r="C58" s="10" t="n"/>
      <c r="D58" s="10" t="n"/>
      <c r="E58" s="10" t="n"/>
      <c r="F58" s="9" t="n"/>
      <c r="G58" s="10" t="n"/>
      <c r="H58" s="10" t="n"/>
      <c r="I58">
        <f>IF(A58="","",B58&amp;"|"&amp;(A58*1))</f>
        <v/>
      </c>
      <c r="J58">
        <f>IF(B58="",0,IF(COUNTIF('3.설계사'!$B$4:$B$303,B58)+COUNTIF('3b.시공사'!$B$4:$B$203,B58)=0,1,0))</f>
        <v/>
      </c>
    </row>
    <row r="59">
      <c r="A59" s="9" t="n"/>
      <c r="B59" s="10" t="n"/>
      <c r="C59" s="10" t="n"/>
      <c r="D59" s="10" t="n"/>
      <c r="E59" s="10" t="n"/>
      <c r="F59" s="9" t="n"/>
      <c r="G59" s="10" t="n"/>
      <c r="H59" s="10" t="n"/>
      <c r="I59">
        <f>IF(A59="","",B59&amp;"|"&amp;(A59*1))</f>
        <v/>
      </c>
      <c r="J59">
        <f>IF(B59="",0,IF(COUNTIF('3.설계사'!$B$4:$B$303,B59)+COUNTIF('3b.시공사'!$B$4:$B$203,B59)=0,1,0))</f>
        <v/>
      </c>
    </row>
    <row r="60">
      <c r="A60" s="9" t="n"/>
      <c r="B60" s="10" t="n"/>
      <c r="C60" s="10" t="n"/>
      <c r="D60" s="10" t="n"/>
      <c r="E60" s="10" t="n"/>
      <c r="F60" s="9" t="n"/>
      <c r="G60" s="10" t="n"/>
      <c r="H60" s="10" t="n"/>
      <c r="I60">
        <f>IF(A60="","",B60&amp;"|"&amp;(A60*1))</f>
        <v/>
      </c>
      <c r="J60">
        <f>IF(B60="",0,IF(COUNTIF('3.설계사'!$B$4:$B$303,B60)+COUNTIF('3b.시공사'!$B$4:$B$203,B60)=0,1,0))</f>
        <v/>
      </c>
    </row>
    <row r="61">
      <c r="A61" s="9" t="n"/>
      <c r="B61" s="10" t="n"/>
      <c r="C61" s="10" t="n"/>
      <c r="D61" s="10" t="n"/>
      <c r="E61" s="10" t="n"/>
      <c r="F61" s="9" t="n"/>
      <c r="G61" s="10" t="n"/>
      <c r="H61" s="10" t="n"/>
      <c r="I61">
        <f>IF(A61="","",B61&amp;"|"&amp;(A61*1))</f>
        <v/>
      </c>
      <c r="J61">
        <f>IF(B61="",0,IF(COUNTIF('3.설계사'!$B$4:$B$303,B61)+COUNTIF('3b.시공사'!$B$4:$B$203,B61)=0,1,0))</f>
        <v/>
      </c>
    </row>
    <row r="62">
      <c r="A62" s="9" t="n"/>
      <c r="B62" s="10" t="n"/>
      <c r="C62" s="10" t="n"/>
      <c r="D62" s="10" t="n"/>
      <c r="E62" s="10" t="n"/>
      <c r="F62" s="9" t="n"/>
      <c r="G62" s="10" t="n"/>
      <c r="H62" s="10" t="n"/>
      <c r="I62">
        <f>IF(A62="","",B62&amp;"|"&amp;(A62*1))</f>
        <v/>
      </c>
      <c r="J62">
        <f>IF(B62="",0,IF(COUNTIF('3.설계사'!$B$4:$B$303,B62)+COUNTIF('3b.시공사'!$B$4:$B$203,B62)=0,1,0))</f>
        <v/>
      </c>
    </row>
    <row r="63">
      <c r="A63" s="9" t="n"/>
      <c r="B63" s="10" t="n"/>
      <c r="C63" s="10" t="n"/>
      <c r="D63" s="10" t="n"/>
      <c r="E63" s="10" t="n"/>
      <c r="F63" s="9" t="n"/>
      <c r="G63" s="10" t="n"/>
      <c r="H63" s="10" t="n"/>
      <c r="I63">
        <f>IF(A63="","",B63&amp;"|"&amp;(A63*1))</f>
        <v/>
      </c>
      <c r="J63">
        <f>IF(B63="",0,IF(COUNTIF('3.설계사'!$B$4:$B$303,B63)+COUNTIF('3b.시공사'!$B$4:$B$203,B63)=0,1,0))</f>
        <v/>
      </c>
    </row>
    <row r="64">
      <c r="A64" s="9" t="n"/>
      <c r="B64" s="10" t="n"/>
      <c r="C64" s="10" t="n"/>
      <c r="D64" s="10" t="n"/>
      <c r="E64" s="10" t="n"/>
      <c r="F64" s="9" t="n"/>
      <c r="G64" s="10" t="n"/>
      <c r="H64" s="10" t="n"/>
      <c r="I64">
        <f>IF(A64="","",B64&amp;"|"&amp;(A64*1))</f>
        <v/>
      </c>
      <c r="J64">
        <f>IF(B64="",0,IF(COUNTIF('3.설계사'!$B$4:$B$303,B64)+COUNTIF('3b.시공사'!$B$4:$B$203,B64)=0,1,0))</f>
        <v/>
      </c>
    </row>
    <row r="65">
      <c r="A65" s="9" t="n"/>
      <c r="B65" s="10" t="n"/>
      <c r="C65" s="10" t="n"/>
      <c r="D65" s="10" t="n"/>
      <c r="E65" s="10" t="n"/>
      <c r="F65" s="9" t="n"/>
      <c r="G65" s="10" t="n"/>
      <c r="H65" s="10" t="n"/>
      <c r="I65">
        <f>IF(A65="","",B65&amp;"|"&amp;(A65*1))</f>
        <v/>
      </c>
      <c r="J65">
        <f>IF(B65="",0,IF(COUNTIF('3.설계사'!$B$4:$B$303,B65)+COUNTIF('3b.시공사'!$B$4:$B$203,B65)=0,1,0))</f>
        <v/>
      </c>
    </row>
    <row r="66">
      <c r="A66" s="9" t="n"/>
      <c r="B66" s="10" t="n"/>
      <c r="C66" s="10" t="n"/>
      <c r="D66" s="10" t="n"/>
      <c r="E66" s="10" t="n"/>
      <c r="F66" s="9" t="n"/>
      <c r="G66" s="10" t="n"/>
      <c r="H66" s="10" t="n"/>
      <c r="I66">
        <f>IF(A66="","",B66&amp;"|"&amp;(A66*1))</f>
        <v/>
      </c>
      <c r="J66">
        <f>IF(B66="",0,IF(COUNTIF('3.설계사'!$B$4:$B$303,B66)+COUNTIF('3b.시공사'!$B$4:$B$203,B66)=0,1,0))</f>
        <v/>
      </c>
    </row>
    <row r="67">
      <c r="A67" s="9" t="n"/>
      <c r="B67" s="10" t="n"/>
      <c r="C67" s="10" t="n"/>
      <c r="D67" s="10" t="n"/>
      <c r="E67" s="10" t="n"/>
      <c r="F67" s="9" t="n"/>
      <c r="G67" s="10" t="n"/>
      <c r="H67" s="10" t="n"/>
      <c r="I67">
        <f>IF(A67="","",B67&amp;"|"&amp;(A67*1))</f>
        <v/>
      </c>
      <c r="J67">
        <f>IF(B67="",0,IF(COUNTIF('3.설계사'!$B$4:$B$303,B67)+COUNTIF('3b.시공사'!$B$4:$B$203,B67)=0,1,0))</f>
        <v/>
      </c>
    </row>
    <row r="68">
      <c r="A68" s="9" t="n"/>
      <c r="B68" s="10" t="n"/>
      <c r="C68" s="10" t="n"/>
      <c r="D68" s="10" t="n"/>
      <c r="E68" s="10" t="n"/>
      <c r="F68" s="9" t="n"/>
      <c r="G68" s="10" t="n"/>
      <c r="H68" s="10" t="n"/>
      <c r="I68">
        <f>IF(A68="","",B68&amp;"|"&amp;(A68*1))</f>
        <v/>
      </c>
      <c r="J68">
        <f>IF(B68="",0,IF(COUNTIF('3.설계사'!$B$4:$B$303,B68)+COUNTIF('3b.시공사'!$B$4:$B$203,B68)=0,1,0))</f>
        <v/>
      </c>
    </row>
    <row r="69">
      <c r="A69" s="9" t="n"/>
      <c r="B69" s="10" t="n"/>
      <c r="C69" s="10" t="n"/>
      <c r="D69" s="10" t="n"/>
      <c r="E69" s="10" t="n"/>
      <c r="F69" s="9" t="n"/>
      <c r="G69" s="10" t="n"/>
      <c r="H69" s="10" t="n"/>
      <c r="I69">
        <f>IF(A69="","",B69&amp;"|"&amp;(A69*1))</f>
        <v/>
      </c>
      <c r="J69">
        <f>IF(B69="",0,IF(COUNTIF('3.설계사'!$B$4:$B$303,B69)+COUNTIF('3b.시공사'!$B$4:$B$203,B69)=0,1,0))</f>
        <v/>
      </c>
    </row>
    <row r="70">
      <c r="A70" s="9" t="n"/>
      <c r="B70" s="10" t="n"/>
      <c r="C70" s="10" t="n"/>
      <c r="D70" s="10" t="n"/>
      <c r="E70" s="10" t="n"/>
      <c r="F70" s="9" t="n"/>
      <c r="G70" s="10" t="n"/>
      <c r="H70" s="10" t="n"/>
      <c r="I70">
        <f>IF(A70="","",B70&amp;"|"&amp;(A70*1))</f>
        <v/>
      </c>
      <c r="J70">
        <f>IF(B70="",0,IF(COUNTIF('3.설계사'!$B$4:$B$303,B70)+COUNTIF('3b.시공사'!$B$4:$B$203,B70)=0,1,0))</f>
        <v/>
      </c>
    </row>
    <row r="71">
      <c r="A71" s="9" t="n"/>
      <c r="B71" s="10" t="n"/>
      <c r="C71" s="10" t="n"/>
      <c r="D71" s="10" t="n"/>
      <c r="E71" s="10" t="n"/>
      <c r="F71" s="9" t="n"/>
      <c r="G71" s="10" t="n"/>
      <c r="H71" s="10" t="n"/>
      <c r="I71">
        <f>IF(A71="","",B71&amp;"|"&amp;(A71*1))</f>
        <v/>
      </c>
      <c r="J71">
        <f>IF(B71="",0,IF(COUNTIF('3.설계사'!$B$4:$B$303,B71)+COUNTIF('3b.시공사'!$B$4:$B$203,B71)=0,1,0))</f>
        <v/>
      </c>
    </row>
    <row r="72">
      <c r="A72" s="9" t="n"/>
      <c r="B72" s="10" t="n"/>
      <c r="C72" s="10" t="n"/>
      <c r="D72" s="10" t="n"/>
      <c r="E72" s="10" t="n"/>
      <c r="F72" s="9" t="n"/>
      <c r="G72" s="10" t="n"/>
      <c r="H72" s="10" t="n"/>
      <c r="I72">
        <f>IF(A72="","",B72&amp;"|"&amp;(A72*1))</f>
        <v/>
      </c>
      <c r="J72">
        <f>IF(B72="",0,IF(COUNTIF('3.설계사'!$B$4:$B$303,B72)+COUNTIF('3b.시공사'!$B$4:$B$203,B72)=0,1,0))</f>
        <v/>
      </c>
    </row>
    <row r="73">
      <c r="A73" s="9" t="n"/>
      <c r="B73" s="10" t="n"/>
      <c r="C73" s="10" t="n"/>
      <c r="D73" s="10" t="n"/>
      <c r="E73" s="10" t="n"/>
      <c r="F73" s="9" t="n"/>
      <c r="G73" s="10" t="n"/>
      <c r="H73" s="10" t="n"/>
      <c r="I73">
        <f>IF(A73="","",B73&amp;"|"&amp;(A73*1))</f>
        <v/>
      </c>
      <c r="J73">
        <f>IF(B73="",0,IF(COUNTIF('3.설계사'!$B$4:$B$303,B73)+COUNTIF('3b.시공사'!$B$4:$B$203,B73)=0,1,0))</f>
        <v/>
      </c>
    </row>
    <row r="74">
      <c r="A74" s="9" t="n"/>
      <c r="B74" s="10" t="n"/>
      <c r="C74" s="10" t="n"/>
      <c r="D74" s="10" t="n"/>
      <c r="E74" s="10" t="n"/>
      <c r="F74" s="9" t="n"/>
      <c r="G74" s="10" t="n"/>
      <c r="H74" s="10" t="n"/>
      <c r="I74">
        <f>IF(A74="","",B74&amp;"|"&amp;(A74*1))</f>
        <v/>
      </c>
      <c r="J74">
        <f>IF(B74="",0,IF(COUNTIF('3.설계사'!$B$4:$B$303,B74)+COUNTIF('3b.시공사'!$B$4:$B$203,B74)=0,1,0))</f>
        <v/>
      </c>
    </row>
    <row r="75">
      <c r="A75" s="9" t="n"/>
      <c r="B75" s="10" t="n"/>
      <c r="C75" s="10" t="n"/>
      <c r="D75" s="10" t="n"/>
      <c r="E75" s="10" t="n"/>
      <c r="F75" s="9" t="n"/>
      <c r="G75" s="10" t="n"/>
      <c r="H75" s="10" t="n"/>
      <c r="I75">
        <f>IF(A75="","",B75&amp;"|"&amp;(A75*1))</f>
        <v/>
      </c>
      <c r="J75">
        <f>IF(B75="",0,IF(COUNTIF('3.설계사'!$B$4:$B$303,B75)+COUNTIF('3b.시공사'!$B$4:$B$203,B75)=0,1,0))</f>
        <v/>
      </c>
    </row>
    <row r="76">
      <c r="A76" s="9" t="n"/>
      <c r="B76" s="10" t="n"/>
      <c r="C76" s="10" t="n"/>
      <c r="D76" s="10" t="n"/>
      <c r="E76" s="10" t="n"/>
      <c r="F76" s="9" t="n"/>
      <c r="G76" s="10" t="n"/>
      <c r="H76" s="10" t="n"/>
      <c r="I76">
        <f>IF(A76="","",B76&amp;"|"&amp;(A76*1))</f>
        <v/>
      </c>
      <c r="J76">
        <f>IF(B76="",0,IF(COUNTIF('3.설계사'!$B$4:$B$303,B76)+COUNTIF('3b.시공사'!$B$4:$B$203,B76)=0,1,0))</f>
        <v/>
      </c>
    </row>
    <row r="77">
      <c r="A77" s="9" t="n"/>
      <c r="B77" s="10" t="n"/>
      <c r="C77" s="10" t="n"/>
      <c r="D77" s="10" t="n"/>
      <c r="E77" s="10" t="n"/>
      <c r="F77" s="9" t="n"/>
      <c r="G77" s="10" t="n"/>
      <c r="H77" s="10" t="n"/>
      <c r="I77">
        <f>IF(A77="","",B77&amp;"|"&amp;(A77*1))</f>
        <v/>
      </c>
      <c r="J77">
        <f>IF(B77="",0,IF(COUNTIF('3.설계사'!$B$4:$B$303,B77)+COUNTIF('3b.시공사'!$B$4:$B$203,B77)=0,1,0))</f>
        <v/>
      </c>
    </row>
    <row r="78">
      <c r="A78" s="9" t="n"/>
      <c r="B78" s="10" t="n"/>
      <c r="C78" s="10" t="n"/>
      <c r="D78" s="10" t="n"/>
      <c r="E78" s="10" t="n"/>
      <c r="F78" s="9" t="n"/>
      <c r="G78" s="10" t="n"/>
      <c r="H78" s="10" t="n"/>
      <c r="I78">
        <f>IF(A78="","",B78&amp;"|"&amp;(A78*1))</f>
        <v/>
      </c>
      <c r="J78">
        <f>IF(B78="",0,IF(COUNTIF('3.설계사'!$B$4:$B$303,B78)+COUNTIF('3b.시공사'!$B$4:$B$203,B78)=0,1,0))</f>
        <v/>
      </c>
    </row>
    <row r="79">
      <c r="A79" s="9" t="n"/>
      <c r="B79" s="10" t="n"/>
      <c r="C79" s="10" t="n"/>
      <c r="D79" s="10" t="n"/>
      <c r="E79" s="10" t="n"/>
      <c r="F79" s="9" t="n"/>
      <c r="G79" s="10" t="n"/>
      <c r="H79" s="10" t="n"/>
      <c r="I79">
        <f>IF(A79="","",B79&amp;"|"&amp;(A79*1))</f>
        <v/>
      </c>
      <c r="J79">
        <f>IF(B79="",0,IF(COUNTIF('3.설계사'!$B$4:$B$303,B79)+COUNTIF('3b.시공사'!$B$4:$B$203,B79)=0,1,0))</f>
        <v/>
      </c>
    </row>
    <row r="80">
      <c r="A80" s="9" t="n"/>
      <c r="B80" s="10" t="n"/>
      <c r="C80" s="10" t="n"/>
      <c r="D80" s="10" t="n"/>
      <c r="E80" s="10" t="n"/>
      <c r="F80" s="9" t="n"/>
      <c r="G80" s="10" t="n"/>
      <c r="H80" s="10" t="n"/>
      <c r="I80">
        <f>IF(A80="","",B80&amp;"|"&amp;(A80*1))</f>
        <v/>
      </c>
      <c r="J80">
        <f>IF(B80="",0,IF(COUNTIF('3.설계사'!$B$4:$B$303,B80)+COUNTIF('3b.시공사'!$B$4:$B$203,B80)=0,1,0))</f>
        <v/>
      </c>
    </row>
    <row r="81">
      <c r="A81" s="9" t="n"/>
      <c r="B81" s="10" t="n"/>
      <c r="C81" s="10" t="n"/>
      <c r="D81" s="10" t="n"/>
      <c r="E81" s="10" t="n"/>
      <c r="F81" s="9" t="n"/>
      <c r="G81" s="10" t="n"/>
      <c r="H81" s="10" t="n"/>
      <c r="I81">
        <f>IF(A81="","",B81&amp;"|"&amp;(A81*1))</f>
        <v/>
      </c>
      <c r="J81">
        <f>IF(B81="",0,IF(COUNTIF('3.설계사'!$B$4:$B$303,B81)+COUNTIF('3b.시공사'!$B$4:$B$203,B81)=0,1,0))</f>
        <v/>
      </c>
    </row>
    <row r="82">
      <c r="A82" s="9" t="n"/>
      <c r="B82" s="10" t="n"/>
      <c r="C82" s="10" t="n"/>
      <c r="D82" s="10" t="n"/>
      <c r="E82" s="10" t="n"/>
      <c r="F82" s="9" t="n"/>
      <c r="G82" s="10" t="n"/>
      <c r="H82" s="10" t="n"/>
      <c r="I82">
        <f>IF(A82="","",B82&amp;"|"&amp;(A82*1))</f>
        <v/>
      </c>
      <c r="J82">
        <f>IF(B82="",0,IF(COUNTIF('3.설계사'!$B$4:$B$303,B82)+COUNTIF('3b.시공사'!$B$4:$B$203,B82)=0,1,0))</f>
        <v/>
      </c>
    </row>
    <row r="83">
      <c r="A83" s="9" t="n"/>
      <c r="B83" s="10" t="n"/>
      <c r="C83" s="10" t="n"/>
      <c r="D83" s="10" t="n"/>
      <c r="E83" s="10" t="n"/>
      <c r="F83" s="9" t="n"/>
      <c r="G83" s="10" t="n"/>
      <c r="H83" s="10" t="n"/>
      <c r="I83">
        <f>IF(A83="","",B83&amp;"|"&amp;(A83*1))</f>
        <v/>
      </c>
      <c r="J83">
        <f>IF(B83="",0,IF(COUNTIF('3.설계사'!$B$4:$B$303,B83)+COUNTIF('3b.시공사'!$B$4:$B$203,B83)=0,1,0))</f>
        <v/>
      </c>
    </row>
    <row r="84">
      <c r="A84" s="9" t="n"/>
      <c r="B84" s="10" t="n"/>
      <c r="C84" s="10" t="n"/>
      <c r="D84" s="10" t="n"/>
      <c r="E84" s="10" t="n"/>
      <c r="F84" s="9" t="n"/>
      <c r="G84" s="10" t="n"/>
      <c r="H84" s="10" t="n"/>
      <c r="I84">
        <f>IF(A84="","",B84&amp;"|"&amp;(A84*1))</f>
        <v/>
      </c>
      <c r="J84">
        <f>IF(B84="",0,IF(COUNTIF('3.설계사'!$B$4:$B$303,B84)+COUNTIF('3b.시공사'!$B$4:$B$203,B84)=0,1,0))</f>
        <v/>
      </c>
    </row>
    <row r="85">
      <c r="A85" s="9" t="n"/>
      <c r="B85" s="10" t="n"/>
      <c r="C85" s="10" t="n"/>
      <c r="D85" s="10" t="n"/>
      <c r="E85" s="10" t="n"/>
      <c r="F85" s="9" t="n"/>
      <c r="G85" s="10" t="n"/>
      <c r="H85" s="10" t="n"/>
      <c r="I85">
        <f>IF(A85="","",B85&amp;"|"&amp;(A85*1))</f>
        <v/>
      </c>
      <c r="J85">
        <f>IF(B85="",0,IF(COUNTIF('3.설계사'!$B$4:$B$303,B85)+COUNTIF('3b.시공사'!$B$4:$B$203,B85)=0,1,0))</f>
        <v/>
      </c>
    </row>
    <row r="86">
      <c r="A86" s="9" t="n"/>
      <c r="B86" s="10" t="n"/>
      <c r="C86" s="10" t="n"/>
      <c r="D86" s="10" t="n"/>
      <c r="E86" s="10" t="n"/>
      <c r="F86" s="9" t="n"/>
      <c r="G86" s="10" t="n"/>
      <c r="H86" s="10" t="n"/>
      <c r="I86">
        <f>IF(A86="","",B86&amp;"|"&amp;(A86*1))</f>
        <v/>
      </c>
      <c r="J86">
        <f>IF(B86="",0,IF(COUNTIF('3.설계사'!$B$4:$B$303,B86)+COUNTIF('3b.시공사'!$B$4:$B$203,B86)=0,1,0))</f>
        <v/>
      </c>
    </row>
    <row r="87">
      <c r="A87" s="9" t="n"/>
      <c r="B87" s="10" t="n"/>
      <c r="C87" s="10" t="n"/>
      <c r="D87" s="10" t="n"/>
      <c r="E87" s="10" t="n"/>
      <c r="F87" s="9" t="n"/>
      <c r="G87" s="10" t="n"/>
      <c r="H87" s="10" t="n"/>
      <c r="I87">
        <f>IF(A87="","",B87&amp;"|"&amp;(A87*1))</f>
        <v/>
      </c>
      <c r="J87">
        <f>IF(B87="",0,IF(COUNTIF('3.설계사'!$B$4:$B$303,B87)+COUNTIF('3b.시공사'!$B$4:$B$203,B87)=0,1,0))</f>
        <v/>
      </c>
    </row>
    <row r="88">
      <c r="A88" s="9" t="n"/>
      <c r="B88" s="10" t="n"/>
      <c r="C88" s="10" t="n"/>
      <c r="D88" s="10" t="n"/>
      <c r="E88" s="10" t="n"/>
      <c r="F88" s="9" t="n"/>
      <c r="G88" s="10" t="n"/>
      <c r="H88" s="10" t="n"/>
      <c r="I88">
        <f>IF(A88="","",B88&amp;"|"&amp;(A88*1))</f>
        <v/>
      </c>
      <c r="J88">
        <f>IF(B88="",0,IF(COUNTIF('3.설계사'!$B$4:$B$303,B88)+COUNTIF('3b.시공사'!$B$4:$B$203,B88)=0,1,0))</f>
        <v/>
      </c>
    </row>
    <row r="89">
      <c r="A89" s="9" t="n"/>
      <c r="B89" s="10" t="n"/>
      <c r="C89" s="10" t="n"/>
      <c r="D89" s="10" t="n"/>
      <c r="E89" s="10" t="n"/>
      <c r="F89" s="9" t="n"/>
      <c r="G89" s="10" t="n"/>
      <c r="H89" s="10" t="n"/>
      <c r="I89">
        <f>IF(A89="","",B89&amp;"|"&amp;(A89*1))</f>
        <v/>
      </c>
      <c r="J89">
        <f>IF(B89="",0,IF(COUNTIF('3.설계사'!$B$4:$B$303,B89)+COUNTIF('3b.시공사'!$B$4:$B$203,B89)=0,1,0))</f>
        <v/>
      </c>
    </row>
    <row r="90">
      <c r="A90" s="9" t="n"/>
      <c r="B90" s="10" t="n"/>
      <c r="C90" s="10" t="n"/>
      <c r="D90" s="10" t="n"/>
      <c r="E90" s="10" t="n"/>
      <c r="F90" s="9" t="n"/>
      <c r="G90" s="10" t="n"/>
      <c r="H90" s="10" t="n"/>
      <c r="I90">
        <f>IF(A90="","",B90&amp;"|"&amp;(A90*1))</f>
        <v/>
      </c>
      <c r="J90">
        <f>IF(B90="",0,IF(COUNTIF('3.설계사'!$B$4:$B$303,B90)+COUNTIF('3b.시공사'!$B$4:$B$203,B90)=0,1,0))</f>
        <v/>
      </c>
    </row>
    <row r="91">
      <c r="A91" s="9" t="n"/>
      <c r="B91" s="10" t="n"/>
      <c r="C91" s="10" t="n"/>
      <c r="D91" s="10" t="n"/>
      <c r="E91" s="10" t="n"/>
      <c r="F91" s="9" t="n"/>
      <c r="G91" s="10" t="n"/>
      <c r="H91" s="10" t="n"/>
      <c r="I91">
        <f>IF(A91="","",B91&amp;"|"&amp;(A91*1))</f>
        <v/>
      </c>
      <c r="J91">
        <f>IF(B91="",0,IF(COUNTIF('3.설계사'!$B$4:$B$303,B91)+COUNTIF('3b.시공사'!$B$4:$B$203,B91)=0,1,0))</f>
        <v/>
      </c>
    </row>
    <row r="92">
      <c r="A92" s="9" t="n"/>
      <c r="B92" s="10" t="n"/>
      <c r="C92" s="10" t="n"/>
      <c r="D92" s="10" t="n"/>
      <c r="E92" s="10" t="n"/>
      <c r="F92" s="9" t="n"/>
      <c r="G92" s="10" t="n"/>
      <c r="H92" s="10" t="n"/>
      <c r="I92">
        <f>IF(A92="","",B92&amp;"|"&amp;(A92*1))</f>
        <v/>
      </c>
      <c r="J92">
        <f>IF(B92="",0,IF(COUNTIF('3.설계사'!$B$4:$B$303,B92)+COUNTIF('3b.시공사'!$B$4:$B$203,B92)=0,1,0))</f>
        <v/>
      </c>
    </row>
    <row r="93">
      <c r="A93" s="9" t="n"/>
      <c r="B93" s="10" t="n"/>
      <c r="C93" s="10" t="n"/>
      <c r="D93" s="10" t="n"/>
      <c r="E93" s="10" t="n"/>
      <c r="F93" s="9" t="n"/>
      <c r="G93" s="10" t="n"/>
      <c r="H93" s="10" t="n"/>
      <c r="I93">
        <f>IF(A93="","",B93&amp;"|"&amp;(A93*1))</f>
        <v/>
      </c>
      <c r="J93">
        <f>IF(B93="",0,IF(COUNTIF('3.설계사'!$B$4:$B$303,B93)+COUNTIF('3b.시공사'!$B$4:$B$203,B93)=0,1,0))</f>
        <v/>
      </c>
    </row>
    <row r="94">
      <c r="A94" s="9" t="n"/>
      <c r="B94" s="10" t="n"/>
      <c r="C94" s="10" t="n"/>
      <c r="D94" s="10" t="n"/>
      <c r="E94" s="10" t="n"/>
      <c r="F94" s="9" t="n"/>
      <c r="G94" s="10" t="n"/>
      <c r="H94" s="10" t="n"/>
      <c r="I94">
        <f>IF(A94="","",B94&amp;"|"&amp;(A94*1))</f>
        <v/>
      </c>
      <c r="J94">
        <f>IF(B94="",0,IF(COUNTIF('3.설계사'!$B$4:$B$303,B94)+COUNTIF('3b.시공사'!$B$4:$B$203,B94)=0,1,0))</f>
        <v/>
      </c>
    </row>
    <row r="95">
      <c r="A95" s="9" t="n"/>
      <c r="B95" s="10" t="n"/>
      <c r="C95" s="10" t="n"/>
      <c r="D95" s="10" t="n"/>
      <c r="E95" s="10" t="n"/>
      <c r="F95" s="9" t="n"/>
      <c r="G95" s="10" t="n"/>
      <c r="H95" s="10" t="n"/>
      <c r="I95">
        <f>IF(A95="","",B95&amp;"|"&amp;(A95*1))</f>
        <v/>
      </c>
      <c r="J95">
        <f>IF(B95="",0,IF(COUNTIF('3.설계사'!$B$4:$B$303,B95)+COUNTIF('3b.시공사'!$B$4:$B$203,B95)=0,1,0))</f>
        <v/>
      </c>
    </row>
    <row r="96">
      <c r="A96" s="9" t="n"/>
      <c r="B96" s="10" t="n"/>
      <c r="C96" s="10" t="n"/>
      <c r="D96" s="10" t="n"/>
      <c r="E96" s="10" t="n"/>
      <c r="F96" s="9" t="n"/>
      <c r="G96" s="10" t="n"/>
      <c r="H96" s="10" t="n"/>
      <c r="I96">
        <f>IF(A96="","",B96&amp;"|"&amp;(A96*1))</f>
        <v/>
      </c>
      <c r="J96">
        <f>IF(B96="",0,IF(COUNTIF('3.설계사'!$B$4:$B$303,B96)+COUNTIF('3b.시공사'!$B$4:$B$203,B96)=0,1,0))</f>
        <v/>
      </c>
    </row>
    <row r="97">
      <c r="A97" s="9" t="n"/>
      <c r="B97" s="10" t="n"/>
      <c r="C97" s="10" t="n"/>
      <c r="D97" s="10" t="n"/>
      <c r="E97" s="10" t="n"/>
      <c r="F97" s="9" t="n"/>
      <c r="G97" s="10" t="n"/>
      <c r="H97" s="10" t="n"/>
      <c r="I97">
        <f>IF(A97="","",B97&amp;"|"&amp;(A97*1))</f>
        <v/>
      </c>
      <c r="J97">
        <f>IF(B97="",0,IF(COUNTIF('3.설계사'!$B$4:$B$303,B97)+COUNTIF('3b.시공사'!$B$4:$B$203,B97)=0,1,0))</f>
        <v/>
      </c>
    </row>
    <row r="98">
      <c r="A98" s="9" t="n"/>
      <c r="B98" s="10" t="n"/>
      <c r="C98" s="10" t="n"/>
      <c r="D98" s="10" t="n"/>
      <c r="E98" s="10" t="n"/>
      <c r="F98" s="9" t="n"/>
      <c r="G98" s="10" t="n"/>
      <c r="H98" s="10" t="n"/>
      <c r="I98">
        <f>IF(A98="","",B98&amp;"|"&amp;(A98*1))</f>
        <v/>
      </c>
      <c r="J98">
        <f>IF(B98="",0,IF(COUNTIF('3.설계사'!$B$4:$B$303,B98)+COUNTIF('3b.시공사'!$B$4:$B$203,B98)=0,1,0))</f>
        <v/>
      </c>
    </row>
    <row r="99">
      <c r="A99" s="9" t="n"/>
      <c r="B99" s="10" t="n"/>
      <c r="C99" s="10" t="n"/>
      <c r="D99" s="10" t="n"/>
      <c r="E99" s="10" t="n"/>
      <c r="F99" s="9" t="n"/>
      <c r="G99" s="10" t="n"/>
      <c r="H99" s="10" t="n"/>
      <c r="I99">
        <f>IF(A99="","",B99&amp;"|"&amp;(A99*1))</f>
        <v/>
      </c>
      <c r="J99">
        <f>IF(B99="",0,IF(COUNTIF('3.설계사'!$B$4:$B$303,B99)+COUNTIF('3b.시공사'!$B$4:$B$203,B99)=0,1,0))</f>
        <v/>
      </c>
    </row>
    <row r="100">
      <c r="A100" s="9" t="n"/>
      <c r="B100" s="10" t="n"/>
      <c r="C100" s="10" t="n"/>
      <c r="D100" s="10" t="n"/>
      <c r="E100" s="10" t="n"/>
      <c r="F100" s="9" t="n"/>
      <c r="G100" s="10" t="n"/>
      <c r="H100" s="10" t="n"/>
      <c r="I100">
        <f>IF(A100="","",B100&amp;"|"&amp;(A100*1))</f>
        <v/>
      </c>
      <c r="J100">
        <f>IF(B100="",0,IF(COUNTIF('3.설계사'!$B$4:$B$303,B100)+COUNTIF('3b.시공사'!$B$4:$B$203,B100)=0,1,0))</f>
        <v/>
      </c>
    </row>
    <row r="101">
      <c r="A101" s="9" t="n"/>
      <c r="B101" s="10" t="n"/>
      <c r="C101" s="10" t="n"/>
      <c r="D101" s="10" t="n"/>
      <c r="E101" s="10" t="n"/>
      <c r="F101" s="9" t="n"/>
      <c r="G101" s="10" t="n"/>
      <c r="H101" s="10" t="n"/>
      <c r="I101">
        <f>IF(A101="","",B101&amp;"|"&amp;(A101*1))</f>
        <v/>
      </c>
      <c r="J101">
        <f>IF(B101="",0,IF(COUNTIF('3.설계사'!$B$4:$B$303,B101)+COUNTIF('3b.시공사'!$B$4:$B$203,B101)=0,1,0))</f>
        <v/>
      </c>
    </row>
    <row r="102">
      <c r="A102" s="9" t="n"/>
      <c r="B102" s="10" t="n"/>
      <c r="C102" s="10" t="n"/>
      <c r="D102" s="10" t="n"/>
      <c r="E102" s="10" t="n"/>
      <c r="F102" s="9" t="n"/>
      <c r="G102" s="10" t="n"/>
      <c r="H102" s="10" t="n"/>
      <c r="I102">
        <f>IF(A102="","",B102&amp;"|"&amp;(A102*1))</f>
        <v/>
      </c>
      <c r="J102">
        <f>IF(B102="",0,IF(COUNTIF('3.설계사'!$B$4:$B$303,B102)+COUNTIF('3b.시공사'!$B$4:$B$203,B102)=0,1,0))</f>
        <v/>
      </c>
    </row>
    <row r="103">
      <c r="A103" s="9" t="n"/>
      <c r="B103" s="10" t="n"/>
      <c r="C103" s="10" t="n"/>
      <c r="D103" s="10" t="n"/>
      <c r="E103" s="10" t="n"/>
      <c r="F103" s="9" t="n"/>
      <c r="G103" s="10" t="n"/>
      <c r="H103" s="10" t="n"/>
      <c r="I103">
        <f>IF(A103="","",B103&amp;"|"&amp;(A103*1))</f>
        <v/>
      </c>
      <c r="J103">
        <f>IF(B103="",0,IF(COUNTIF('3.설계사'!$B$4:$B$303,B103)+COUNTIF('3b.시공사'!$B$4:$B$203,B103)=0,1,0))</f>
        <v/>
      </c>
    </row>
    <row r="104">
      <c r="A104" s="9" t="n"/>
      <c r="B104" s="10" t="n"/>
      <c r="C104" s="10" t="n"/>
      <c r="D104" s="10" t="n"/>
      <c r="E104" s="10" t="n"/>
      <c r="F104" s="9" t="n"/>
      <c r="G104" s="10" t="n"/>
      <c r="H104" s="10" t="n"/>
      <c r="I104">
        <f>IF(A104="","",B104&amp;"|"&amp;(A104*1))</f>
        <v/>
      </c>
      <c r="J104">
        <f>IF(B104="",0,IF(COUNTIF('3.설계사'!$B$4:$B$303,B104)+COUNTIF('3b.시공사'!$B$4:$B$203,B104)=0,1,0))</f>
        <v/>
      </c>
    </row>
    <row r="105">
      <c r="A105" s="9" t="n"/>
      <c r="B105" s="10" t="n"/>
      <c r="C105" s="10" t="n"/>
      <c r="D105" s="10" t="n"/>
      <c r="E105" s="10" t="n"/>
      <c r="F105" s="9" t="n"/>
      <c r="G105" s="10" t="n"/>
      <c r="H105" s="10" t="n"/>
      <c r="I105">
        <f>IF(A105="","",B105&amp;"|"&amp;(A105*1))</f>
        <v/>
      </c>
      <c r="J105">
        <f>IF(B105="",0,IF(COUNTIF('3.설계사'!$B$4:$B$303,B105)+COUNTIF('3b.시공사'!$B$4:$B$203,B105)=0,1,0))</f>
        <v/>
      </c>
    </row>
    <row r="106">
      <c r="A106" s="9" t="n"/>
      <c r="B106" s="10" t="n"/>
      <c r="C106" s="10" t="n"/>
      <c r="D106" s="10" t="n"/>
      <c r="E106" s="10" t="n"/>
      <c r="F106" s="9" t="n"/>
      <c r="G106" s="10" t="n"/>
      <c r="H106" s="10" t="n"/>
      <c r="I106">
        <f>IF(A106="","",B106&amp;"|"&amp;(A106*1))</f>
        <v/>
      </c>
      <c r="J106">
        <f>IF(B106="",0,IF(COUNTIF('3.설계사'!$B$4:$B$303,B106)+COUNTIF('3b.시공사'!$B$4:$B$203,B106)=0,1,0))</f>
        <v/>
      </c>
    </row>
    <row r="107">
      <c r="A107" s="9" t="n"/>
      <c r="B107" s="10" t="n"/>
      <c r="C107" s="10" t="n"/>
      <c r="D107" s="10" t="n"/>
      <c r="E107" s="10" t="n"/>
      <c r="F107" s="9" t="n"/>
      <c r="G107" s="10" t="n"/>
      <c r="H107" s="10" t="n"/>
      <c r="I107">
        <f>IF(A107="","",B107&amp;"|"&amp;(A107*1))</f>
        <v/>
      </c>
      <c r="J107">
        <f>IF(B107="",0,IF(COUNTIF('3.설계사'!$B$4:$B$303,B107)+COUNTIF('3b.시공사'!$B$4:$B$203,B107)=0,1,0))</f>
        <v/>
      </c>
    </row>
    <row r="108">
      <c r="A108" s="9" t="n"/>
      <c r="B108" s="10" t="n"/>
      <c r="C108" s="10" t="n"/>
      <c r="D108" s="10" t="n"/>
      <c r="E108" s="10" t="n"/>
      <c r="F108" s="9" t="n"/>
      <c r="G108" s="10" t="n"/>
      <c r="H108" s="10" t="n"/>
      <c r="I108">
        <f>IF(A108="","",B108&amp;"|"&amp;(A108*1))</f>
        <v/>
      </c>
      <c r="J108">
        <f>IF(B108="",0,IF(COUNTIF('3.설계사'!$B$4:$B$303,B108)+COUNTIF('3b.시공사'!$B$4:$B$203,B108)=0,1,0))</f>
        <v/>
      </c>
    </row>
    <row r="109">
      <c r="A109" s="9" t="n"/>
      <c r="B109" s="10" t="n"/>
      <c r="C109" s="10" t="n"/>
      <c r="D109" s="10" t="n"/>
      <c r="E109" s="10" t="n"/>
      <c r="F109" s="9" t="n"/>
      <c r="G109" s="10" t="n"/>
      <c r="H109" s="10" t="n"/>
      <c r="I109">
        <f>IF(A109="","",B109&amp;"|"&amp;(A109*1))</f>
        <v/>
      </c>
      <c r="J109">
        <f>IF(B109="",0,IF(COUNTIF('3.설계사'!$B$4:$B$303,B109)+COUNTIF('3b.시공사'!$B$4:$B$203,B109)=0,1,0))</f>
        <v/>
      </c>
    </row>
    <row r="110">
      <c r="A110" s="9" t="n"/>
      <c r="B110" s="10" t="n"/>
      <c r="C110" s="10" t="n"/>
      <c r="D110" s="10" t="n"/>
      <c r="E110" s="10" t="n"/>
      <c r="F110" s="9" t="n"/>
      <c r="G110" s="10" t="n"/>
      <c r="H110" s="10" t="n"/>
      <c r="I110">
        <f>IF(A110="","",B110&amp;"|"&amp;(A110*1))</f>
        <v/>
      </c>
      <c r="J110">
        <f>IF(B110="",0,IF(COUNTIF('3.설계사'!$B$4:$B$303,B110)+COUNTIF('3b.시공사'!$B$4:$B$203,B110)=0,1,0))</f>
        <v/>
      </c>
    </row>
    <row r="111">
      <c r="A111" s="9" t="n"/>
      <c r="B111" s="10" t="n"/>
      <c r="C111" s="10" t="n"/>
      <c r="D111" s="10" t="n"/>
      <c r="E111" s="10" t="n"/>
      <c r="F111" s="9" t="n"/>
      <c r="G111" s="10" t="n"/>
      <c r="H111" s="10" t="n"/>
      <c r="I111">
        <f>IF(A111="","",B111&amp;"|"&amp;(A111*1))</f>
        <v/>
      </c>
      <c r="J111">
        <f>IF(B111="",0,IF(COUNTIF('3.설계사'!$B$4:$B$303,B111)+COUNTIF('3b.시공사'!$B$4:$B$203,B111)=0,1,0))</f>
        <v/>
      </c>
    </row>
    <row r="112">
      <c r="A112" s="9" t="n"/>
      <c r="B112" s="10" t="n"/>
      <c r="C112" s="10" t="n"/>
      <c r="D112" s="10" t="n"/>
      <c r="E112" s="10" t="n"/>
      <c r="F112" s="9" t="n"/>
      <c r="G112" s="10" t="n"/>
      <c r="H112" s="10" t="n"/>
      <c r="I112">
        <f>IF(A112="","",B112&amp;"|"&amp;(A112*1))</f>
        <v/>
      </c>
      <c r="J112">
        <f>IF(B112="",0,IF(COUNTIF('3.설계사'!$B$4:$B$303,B112)+COUNTIF('3b.시공사'!$B$4:$B$203,B112)=0,1,0))</f>
        <v/>
      </c>
    </row>
    <row r="113">
      <c r="A113" s="9" t="n"/>
      <c r="B113" s="10" t="n"/>
      <c r="C113" s="10" t="n"/>
      <c r="D113" s="10" t="n"/>
      <c r="E113" s="10" t="n"/>
      <c r="F113" s="9" t="n"/>
      <c r="G113" s="10" t="n"/>
      <c r="H113" s="10" t="n"/>
      <c r="I113">
        <f>IF(A113="","",B113&amp;"|"&amp;(A113*1))</f>
        <v/>
      </c>
      <c r="J113">
        <f>IF(B113="",0,IF(COUNTIF('3.설계사'!$B$4:$B$303,B113)+COUNTIF('3b.시공사'!$B$4:$B$203,B113)=0,1,0))</f>
        <v/>
      </c>
    </row>
    <row r="114">
      <c r="A114" s="9" t="n"/>
      <c r="B114" s="10" t="n"/>
      <c r="C114" s="10" t="n"/>
      <c r="D114" s="10" t="n"/>
      <c r="E114" s="10" t="n"/>
      <c r="F114" s="9" t="n"/>
      <c r="G114" s="10" t="n"/>
      <c r="H114" s="10" t="n"/>
      <c r="I114">
        <f>IF(A114="","",B114&amp;"|"&amp;(A114*1))</f>
        <v/>
      </c>
      <c r="J114">
        <f>IF(B114="",0,IF(COUNTIF('3.설계사'!$B$4:$B$303,B114)+COUNTIF('3b.시공사'!$B$4:$B$203,B114)=0,1,0))</f>
        <v/>
      </c>
    </row>
    <row r="115">
      <c r="A115" s="9" t="n"/>
      <c r="B115" s="10" t="n"/>
      <c r="C115" s="10" t="n"/>
      <c r="D115" s="10" t="n"/>
      <c r="E115" s="10" t="n"/>
      <c r="F115" s="9" t="n"/>
      <c r="G115" s="10" t="n"/>
      <c r="H115" s="10" t="n"/>
      <c r="I115">
        <f>IF(A115="","",B115&amp;"|"&amp;(A115*1))</f>
        <v/>
      </c>
      <c r="J115">
        <f>IF(B115="",0,IF(COUNTIF('3.설계사'!$B$4:$B$303,B115)+COUNTIF('3b.시공사'!$B$4:$B$203,B115)=0,1,0))</f>
        <v/>
      </c>
    </row>
    <row r="116">
      <c r="A116" s="9" t="n"/>
      <c r="B116" s="10" t="n"/>
      <c r="C116" s="10" t="n"/>
      <c r="D116" s="10" t="n"/>
      <c r="E116" s="10" t="n"/>
      <c r="F116" s="9" t="n"/>
      <c r="G116" s="10" t="n"/>
      <c r="H116" s="10" t="n"/>
      <c r="I116">
        <f>IF(A116="","",B116&amp;"|"&amp;(A116*1))</f>
        <v/>
      </c>
      <c r="J116">
        <f>IF(B116="",0,IF(COUNTIF('3.설계사'!$B$4:$B$303,B116)+COUNTIF('3b.시공사'!$B$4:$B$203,B116)=0,1,0))</f>
        <v/>
      </c>
    </row>
    <row r="117">
      <c r="A117" s="9" t="n"/>
      <c r="B117" s="10" t="n"/>
      <c r="C117" s="10" t="n"/>
      <c r="D117" s="10" t="n"/>
      <c r="E117" s="10" t="n"/>
      <c r="F117" s="9" t="n"/>
      <c r="G117" s="10" t="n"/>
      <c r="H117" s="10" t="n"/>
      <c r="I117">
        <f>IF(A117="","",B117&amp;"|"&amp;(A117*1))</f>
        <v/>
      </c>
      <c r="J117">
        <f>IF(B117="",0,IF(COUNTIF('3.설계사'!$B$4:$B$303,B117)+COUNTIF('3b.시공사'!$B$4:$B$203,B117)=0,1,0))</f>
        <v/>
      </c>
    </row>
    <row r="118">
      <c r="A118" s="9" t="n"/>
      <c r="B118" s="10" t="n"/>
      <c r="C118" s="10" t="n"/>
      <c r="D118" s="10" t="n"/>
      <c r="E118" s="10" t="n"/>
      <c r="F118" s="9" t="n"/>
      <c r="G118" s="10" t="n"/>
      <c r="H118" s="10" t="n"/>
      <c r="I118">
        <f>IF(A118="","",B118&amp;"|"&amp;(A118*1))</f>
        <v/>
      </c>
      <c r="J118">
        <f>IF(B118="",0,IF(COUNTIF('3.설계사'!$B$4:$B$303,B118)+COUNTIF('3b.시공사'!$B$4:$B$203,B118)=0,1,0))</f>
        <v/>
      </c>
    </row>
    <row r="119">
      <c r="A119" s="9" t="n"/>
      <c r="B119" s="10" t="n"/>
      <c r="C119" s="10" t="n"/>
      <c r="D119" s="10" t="n"/>
      <c r="E119" s="10" t="n"/>
      <c r="F119" s="9" t="n"/>
      <c r="G119" s="10" t="n"/>
      <c r="H119" s="10" t="n"/>
      <c r="I119">
        <f>IF(A119="","",B119&amp;"|"&amp;(A119*1))</f>
        <v/>
      </c>
      <c r="J119">
        <f>IF(B119="",0,IF(COUNTIF('3.설계사'!$B$4:$B$303,B119)+COUNTIF('3b.시공사'!$B$4:$B$203,B119)=0,1,0))</f>
        <v/>
      </c>
    </row>
    <row r="120">
      <c r="A120" s="9" t="n"/>
      <c r="B120" s="10" t="n"/>
      <c r="C120" s="10" t="n"/>
      <c r="D120" s="10" t="n"/>
      <c r="E120" s="10" t="n"/>
      <c r="F120" s="9" t="n"/>
      <c r="G120" s="10" t="n"/>
      <c r="H120" s="10" t="n"/>
      <c r="I120">
        <f>IF(A120="","",B120&amp;"|"&amp;(A120*1))</f>
        <v/>
      </c>
      <c r="J120">
        <f>IF(B120="",0,IF(COUNTIF('3.설계사'!$B$4:$B$303,B120)+COUNTIF('3b.시공사'!$B$4:$B$203,B120)=0,1,0))</f>
        <v/>
      </c>
    </row>
    <row r="121">
      <c r="A121" s="9" t="n"/>
      <c r="B121" s="10" t="n"/>
      <c r="C121" s="10" t="n"/>
      <c r="D121" s="10" t="n"/>
      <c r="E121" s="10" t="n"/>
      <c r="F121" s="9" t="n"/>
      <c r="G121" s="10" t="n"/>
      <c r="H121" s="10" t="n"/>
      <c r="I121">
        <f>IF(A121="","",B121&amp;"|"&amp;(A121*1))</f>
        <v/>
      </c>
      <c r="J121">
        <f>IF(B121="",0,IF(COUNTIF('3.설계사'!$B$4:$B$303,B121)+COUNTIF('3b.시공사'!$B$4:$B$203,B121)=0,1,0))</f>
        <v/>
      </c>
    </row>
    <row r="122">
      <c r="A122" s="9" t="n"/>
      <c r="B122" s="10" t="n"/>
      <c r="C122" s="10" t="n"/>
      <c r="D122" s="10" t="n"/>
      <c r="E122" s="10" t="n"/>
      <c r="F122" s="9" t="n"/>
      <c r="G122" s="10" t="n"/>
      <c r="H122" s="10" t="n"/>
      <c r="I122">
        <f>IF(A122="","",B122&amp;"|"&amp;(A122*1))</f>
        <v/>
      </c>
      <c r="J122">
        <f>IF(B122="",0,IF(COUNTIF('3.설계사'!$B$4:$B$303,B122)+COUNTIF('3b.시공사'!$B$4:$B$203,B122)=0,1,0))</f>
        <v/>
      </c>
    </row>
    <row r="123">
      <c r="A123" s="9" t="n"/>
      <c r="B123" s="10" t="n"/>
      <c r="C123" s="10" t="n"/>
      <c r="D123" s="10" t="n"/>
      <c r="E123" s="10" t="n"/>
      <c r="F123" s="9" t="n"/>
      <c r="G123" s="10" t="n"/>
      <c r="H123" s="10" t="n"/>
      <c r="I123">
        <f>IF(A123="","",B123&amp;"|"&amp;(A123*1))</f>
        <v/>
      </c>
      <c r="J123">
        <f>IF(B123="",0,IF(COUNTIF('3.설계사'!$B$4:$B$303,B123)+COUNTIF('3b.시공사'!$B$4:$B$203,B123)=0,1,0))</f>
        <v/>
      </c>
    </row>
    <row r="124">
      <c r="A124" s="9" t="n"/>
      <c r="B124" s="10" t="n"/>
      <c r="C124" s="10" t="n"/>
      <c r="D124" s="10" t="n"/>
      <c r="E124" s="10" t="n"/>
      <c r="F124" s="9" t="n"/>
      <c r="G124" s="10" t="n"/>
      <c r="H124" s="10" t="n"/>
      <c r="I124">
        <f>IF(A124="","",B124&amp;"|"&amp;(A124*1))</f>
        <v/>
      </c>
      <c r="J124">
        <f>IF(B124="",0,IF(COUNTIF('3.설계사'!$B$4:$B$303,B124)+COUNTIF('3b.시공사'!$B$4:$B$203,B124)=0,1,0))</f>
        <v/>
      </c>
    </row>
    <row r="125">
      <c r="A125" s="9" t="n"/>
      <c r="B125" s="10" t="n"/>
      <c r="C125" s="10" t="n"/>
      <c r="D125" s="10" t="n"/>
      <c r="E125" s="10" t="n"/>
      <c r="F125" s="9" t="n"/>
      <c r="G125" s="10" t="n"/>
      <c r="H125" s="10" t="n"/>
      <c r="I125">
        <f>IF(A125="","",B125&amp;"|"&amp;(A125*1))</f>
        <v/>
      </c>
      <c r="J125">
        <f>IF(B125="",0,IF(COUNTIF('3.설계사'!$B$4:$B$303,B125)+COUNTIF('3b.시공사'!$B$4:$B$203,B125)=0,1,0))</f>
        <v/>
      </c>
    </row>
    <row r="126">
      <c r="A126" s="9" t="n"/>
      <c r="B126" s="10" t="n"/>
      <c r="C126" s="10" t="n"/>
      <c r="D126" s="10" t="n"/>
      <c r="E126" s="10" t="n"/>
      <c r="F126" s="9" t="n"/>
      <c r="G126" s="10" t="n"/>
      <c r="H126" s="10" t="n"/>
      <c r="I126">
        <f>IF(A126="","",B126&amp;"|"&amp;(A126*1))</f>
        <v/>
      </c>
      <c r="J126">
        <f>IF(B126="",0,IF(COUNTIF('3.설계사'!$B$4:$B$303,B126)+COUNTIF('3b.시공사'!$B$4:$B$203,B126)=0,1,0))</f>
        <v/>
      </c>
    </row>
    <row r="127">
      <c r="A127" s="9" t="n"/>
      <c r="B127" s="10" t="n"/>
      <c r="C127" s="10" t="n"/>
      <c r="D127" s="10" t="n"/>
      <c r="E127" s="10" t="n"/>
      <c r="F127" s="9" t="n"/>
      <c r="G127" s="10" t="n"/>
      <c r="H127" s="10" t="n"/>
      <c r="I127">
        <f>IF(A127="","",B127&amp;"|"&amp;(A127*1))</f>
        <v/>
      </c>
      <c r="J127">
        <f>IF(B127="",0,IF(COUNTIF('3.설계사'!$B$4:$B$303,B127)+COUNTIF('3b.시공사'!$B$4:$B$203,B127)=0,1,0))</f>
        <v/>
      </c>
    </row>
    <row r="128">
      <c r="A128" s="9" t="n"/>
      <c r="B128" s="10" t="n"/>
      <c r="C128" s="10" t="n"/>
      <c r="D128" s="10" t="n"/>
      <c r="E128" s="10" t="n"/>
      <c r="F128" s="9" t="n"/>
      <c r="G128" s="10" t="n"/>
      <c r="H128" s="10" t="n"/>
      <c r="I128">
        <f>IF(A128="","",B128&amp;"|"&amp;(A128*1))</f>
        <v/>
      </c>
      <c r="J128">
        <f>IF(B128="",0,IF(COUNTIF('3.설계사'!$B$4:$B$303,B128)+COUNTIF('3b.시공사'!$B$4:$B$203,B128)=0,1,0))</f>
        <v/>
      </c>
    </row>
    <row r="129">
      <c r="A129" s="9" t="n"/>
      <c r="B129" s="10" t="n"/>
      <c r="C129" s="10" t="n"/>
      <c r="D129" s="10" t="n"/>
      <c r="E129" s="10" t="n"/>
      <c r="F129" s="9" t="n"/>
      <c r="G129" s="10" t="n"/>
      <c r="H129" s="10" t="n"/>
      <c r="I129">
        <f>IF(A129="","",B129&amp;"|"&amp;(A129*1))</f>
        <v/>
      </c>
      <c r="J129">
        <f>IF(B129="",0,IF(COUNTIF('3.설계사'!$B$4:$B$303,B129)+COUNTIF('3b.시공사'!$B$4:$B$203,B129)=0,1,0))</f>
        <v/>
      </c>
    </row>
    <row r="130">
      <c r="A130" s="9" t="n"/>
      <c r="B130" s="10" t="n"/>
      <c r="C130" s="10" t="n"/>
      <c r="D130" s="10" t="n"/>
      <c r="E130" s="10" t="n"/>
      <c r="F130" s="9" t="n"/>
      <c r="G130" s="10" t="n"/>
      <c r="H130" s="10" t="n"/>
      <c r="I130">
        <f>IF(A130="","",B130&amp;"|"&amp;(A130*1))</f>
        <v/>
      </c>
      <c r="J130">
        <f>IF(B130="",0,IF(COUNTIF('3.설계사'!$B$4:$B$303,B130)+COUNTIF('3b.시공사'!$B$4:$B$203,B130)=0,1,0))</f>
        <v/>
      </c>
    </row>
    <row r="131">
      <c r="A131" s="9" t="n"/>
      <c r="B131" s="10" t="n"/>
      <c r="C131" s="10" t="n"/>
      <c r="D131" s="10" t="n"/>
      <c r="E131" s="10" t="n"/>
      <c r="F131" s="9" t="n"/>
      <c r="G131" s="10" t="n"/>
      <c r="H131" s="10" t="n"/>
      <c r="I131">
        <f>IF(A131="","",B131&amp;"|"&amp;(A131*1))</f>
        <v/>
      </c>
      <c r="J131">
        <f>IF(B131="",0,IF(COUNTIF('3.설계사'!$B$4:$B$303,B131)+COUNTIF('3b.시공사'!$B$4:$B$203,B131)=0,1,0))</f>
        <v/>
      </c>
    </row>
    <row r="132">
      <c r="A132" s="9" t="n"/>
      <c r="B132" s="10" t="n"/>
      <c r="C132" s="10" t="n"/>
      <c r="D132" s="10" t="n"/>
      <c r="E132" s="10" t="n"/>
      <c r="F132" s="9" t="n"/>
      <c r="G132" s="10" t="n"/>
      <c r="H132" s="10" t="n"/>
      <c r="I132">
        <f>IF(A132="","",B132&amp;"|"&amp;(A132*1))</f>
        <v/>
      </c>
      <c r="J132">
        <f>IF(B132="",0,IF(COUNTIF('3.설계사'!$B$4:$B$303,B132)+COUNTIF('3b.시공사'!$B$4:$B$203,B132)=0,1,0))</f>
        <v/>
      </c>
    </row>
    <row r="133">
      <c r="A133" s="9" t="n"/>
      <c r="B133" s="10" t="n"/>
      <c r="C133" s="10" t="n"/>
      <c r="D133" s="10" t="n"/>
      <c r="E133" s="10" t="n"/>
      <c r="F133" s="9" t="n"/>
      <c r="G133" s="10" t="n"/>
      <c r="H133" s="10" t="n"/>
      <c r="I133">
        <f>IF(A133="","",B133&amp;"|"&amp;(A133*1))</f>
        <v/>
      </c>
      <c r="J133">
        <f>IF(B133="",0,IF(COUNTIF('3.설계사'!$B$4:$B$303,B133)+COUNTIF('3b.시공사'!$B$4:$B$203,B133)=0,1,0))</f>
        <v/>
      </c>
    </row>
    <row r="134">
      <c r="A134" s="9" t="n"/>
      <c r="B134" s="10" t="n"/>
      <c r="C134" s="10" t="n"/>
      <c r="D134" s="10" t="n"/>
      <c r="E134" s="10" t="n"/>
      <c r="F134" s="9" t="n"/>
      <c r="G134" s="10" t="n"/>
      <c r="H134" s="10" t="n"/>
      <c r="I134">
        <f>IF(A134="","",B134&amp;"|"&amp;(A134*1))</f>
        <v/>
      </c>
      <c r="J134">
        <f>IF(B134="",0,IF(COUNTIF('3.설계사'!$B$4:$B$303,B134)+COUNTIF('3b.시공사'!$B$4:$B$203,B134)=0,1,0))</f>
        <v/>
      </c>
    </row>
    <row r="135">
      <c r="A135" s="9" t="n"/>
      <c r="B135" s="10" t="n"/>
      <c r="C135" s="10" t="n"/>
      <c r="D135" s="10" t="n"/>
      <c r="E135" s="10" t="n"/>
      <c r="F135" s="9" t="n"/>
      <c r="G135" s="10" t="n"/>
      <c r="H135" s="10" t="n"/>
      <c r="I135">
        <f>IF(A135="","",B135&amp;"|"&amp;(A135*1))</f>
        <v/>
      </c>
      <c r="J135">
        <f>IF(B135="",0,IF(COUNTIF('3.설계사'!$B$4:$B$303,B135)+COUNTIF('3b.시공사'!$B$4:$B$203,B135)=0,1,0))</f>
        <v/>
      </c>
    </row>
    <row r="136">
      <c r="A136" s="9" t="n"/>
      <c r="B136" s="10" t="n"/>
      <c r="C136" s="10" t="n"/>
      <c r="D136" s="10" t="n"/>
      <c r="E136" s="10" t="n"/>
      <c r="F136" s="9" t="n"/>
      <c r="G136" s="10" t="n"/>
      <c r="H136" s="10" t="n"/>
      <c r="I136">
        <f>IF(A136="","",B136&amp;"|"&amp;(A136*1))</f>
        <v/>
      </c>
      <c r="J136">
        <f>IF(B136="",0,IF(COUNTIF('3.설계사'!$B$4:$B$303,B136)+COUNTIF('3b.시공사'!$B$4:$B$203,B136)=0,1,0))</f>
        <v/>
      </c>
    </row>
    <row r="137">
      <c r="A137" s="9" t="n"/>
      <c r="B137" s="10" t="n"/>
      <c r="C137" s="10" t="n"/>
      <c r="D137" s="10" t="n"/>
      <c r="E137" s="10" t="n"/>
      <c r="F137" s="9" t="n"/>
      <c r="G137" s="10" t="n"/>
      <c r="H137" s="10" t="n"/>
      <c r="I137">
        <f>IF(A137="","",B137&amp;"|"&amp;(A137*1))</f>
        <v/>
      </c>
      <c r="J137">
        <f>IF(B137="",0,IF(COUNTIF('3.설계사'!$B$4:$B$303,B137)+COUNTIF('3b.시공사'!$B$4:$B$203,B137)=0,1,0))</f>
        <v/>
      </c>
    </row>
    <row r="138">
      <c r="A138" s="9" t="n"/>
      <c r="B138" s="10" t="n"/>
      <c r="C138" s="10" t="n"/>
      <c r="D138" s="10" t="n"/>
      <c r="E138" s="10" t="n"/>
      <c r="F138" s="9" t="n"/>
      <c r="G138" s="10" t="n"/>
      <c r="H138" s="10" t="n"/>
      <c r="I138">
        <f>IF(A138="","",B138&amp;"|"&amp;(A138*1))</f>
        <v/>
      </c>
      <c r="J138">
        <f>IF(B138="",0,IF(COUNTIF('3.설계사'!$B$4:$B$303,B138)+COUNTIF('3b.시공사'!$B$4:$B$203,B138)=0,1,0))</f>
        <v/>
      </c>
    </row>
    <row r="139">
      <c r="A139" s="9" t="n"/>
      <c r="B139" s="10" t="n"/>
      <c r="C139" s="10" t="n"/>
      <c r="D139" s="10" t="n"/>
      <c r="E139" s="10" t="n"/>
      <c r="F139" s="9" t="n"/>
      <c r="G139" s="10" t="n"/>
      <c r="H139" s="10" t="n"/>
      <c r="I139">
        <f>IF(A139="","",B139&amp;"|"&amp;(A139*1))</f>
        <v/>
      </c>
      <c r="J139">
        <f>IF(B139="",0,IF(COUNTIF('3.설계사'!$B$4:$B$303,B139)+COUNTIF('3b.시공사'!$B$4:$B$203,B139)=0,1,0))</f>
        <v/>
      </c>
    </row>
    <row r="140">
      <c r="A140" s="9" t="n"/>
      <c r="B140" s="10" t="n"/>
      <c r="C140" s="10" t="n"/>
      <c r="D140" s="10" t="n"/>
      <c r="E140" s="10" t="n"/>
      <c r="F140" s="9" t="n"/>
      <c r="G140" s="10" t="n"/>
      <c r="H140" s="10" t="n"/>
      <c r="I140">
        <f>IF(A140="","",B140&amp;"|"&amp;(A140*1))</f>
        <v/>
      </c>
      <c r="J140">
        <f>IF(B140="",0,IF(COUNTIF('3.설계사'!$B$4:$B$303,B140)+COUNTIF('3b.시공사'!$B$4:$B$203,B140)=0,1,0))</f>
        <v/>
      </c>
    </row>
    <row r="141">
      <c r="A141" s="9" t="n"/>
      <c r="B141" s="10" t="n"/>
      <c r="C141" s="10" t="n"/>
      <c r="D141" s="10" t="n"/>
      <c r="E141" s="10" t="n"/>
      <c r="F141" s="9" t="n"/>
      <c r="G141" s="10" t="n"/>
      <c r="H141" s="10" t="n"/>
      <c r="I141">
        <f>IF(A141="","",B141&amp;"|"&amp;(A141*1))</f>
        <v/>
      </c>
      <c r="J141">
        <f>IF(B141="",0,IF(COUNTIF('3.설계사'!$B$4:$B$303,B141)+COUNTIF('3b.시공사'!$B$4:$B$203,B141)=0,1,0))</f>
        <v/>
      </c>
    </row>
    <row r="142">
      <c r="A142" s="9" t="n"/>
      <c r="B142" s="10" t="n"/>
      <c r="C142" s="10" t="n"/>
      <c r="D142" s="10" t="n"/>
      <c r="E142" s="10" t="n"/>
      <c r="F142" s="9" t="n"/>
      <c r="G142" s="10" t="n"/>
      <c r="H142" s="10" t="n"/>
      <c r="I142">
        <f>IF(A142="","",B142&amp;"|"&amp;(A142*1))</f>
        <v/>
      </c>
      <c r="J142">
        <f>IF(B142="",0,IF(COUNTIF('3.설계사'!$B$4:$B$303,B142)+COUNTIF('3b.시공사'!$B$4:$B$203,B142)=0,1,0))</f>
        <v/>
      </c>
    </row>
    <row r="143">
      <c r="A143" s="9" t="n"/>
      <c r="B143" s="10" t="n"/>
      <c r="C143" s="10" t="n"/>
      <c r="D143" s="10" t="n"/>
      <c r="E143" s="10" t="n"/>
      <c r="F143" s="9" t="n"/>
      <c r="G143" s="10" t="n"/>
      <c r="H143" s="10" t="n"/>
      <c r="I143">
        <f>IF(A143="","",B143&amp;"|"&amp;(A143*1))</f>
        <v/>
      </c>
      <c r="J143">
        <f>IF(B143="",0,IF(COUNTIF('3.설계사'!$B$4:$B$303,B143)+COUNTIF('3b.시공사'!$B$4:$B$203,B143)=0,1,0))</f>
        <v/>
      </c>
    </row>
    <row r="144">
      <c r="A144" s="9" t="n"/>
      <c r="B144" s="10" t="n"/>
      <c r="C144" s="10" t="n"/>
      <c r="D144" s="10" t="n"/>
      <c r="E144" s="10" t="n"/>
      <c r="F144" s="9" t="n"/>
      <c r="G144" s="10" t="n"/>
      <c r="H144" s="10" t="n"/>
      <c r="I144">
        <f>IF(A144="","",B144&amp;"|"&amp;(A144*1))</f>
        <v/>
      </c>
      <c r="J144">
        <f>IF(B144="",0,IF(COUNTIF('3.설계사'!$B$4:$B$303,B144)+COUNTIF('3b.시공사'!$B$4:$B$203,B144)=0,1,0))</f>
        <v/>
      </c>
    </row>
    <row r="145">
      <c r="A145" s="9" t="n"/>
      <c r="B145" s="10" t="n"/>
      <c r="C145" s="10" t="n"/>
      <c r="D145" s="10" t="n"/>
      <c r="E145" s="10" t="n"/>
      <c r="F145" s="9" t="n"/>
      <c r="G145" s="10" t="n"/>
      <c r="H145" s="10" t="n"/>
      <c r="I145">
        <f>IF(A145="","",B145&amp;"|"&amp;(A145*1))</f>
        <v/>
      </c>
      <c r="J145">
        <f>IF(B145="",0,IF(COUNTIF('3.설계사'!$B$4:$B$303,B145)+COUNTIF('3b.시공사'!$B$4:$B$203,B145)=0,1,0))</f>
        <v/>
      </c>
    </row>
    <row r="146">
      <c r="A146" s="9" t="n"/>
      <c r="B146" s="10" t="n"/>
      <c r="C146" s="10" t="n"/>
      <c r="D146" s="10" t="n"/>
      <c r="E146" s="10" t="n"/>
      <c r="F146" s="9" t="n"/>
      <c r="G146" s="10" t="n"/>
      <c r="H146" s="10" t="n"/>
      <c r="I146">
        <f>IF(A146="","",B146&amp;"|"&amp;(A146*1))</f>
        <v/>
      </c>
      <c r="J146">
        <f>IF(B146="",0,IF(COUNTIF('3.설계사'!$B$4:$B$303,B146)+COUNTIF('3b.시공사'!$B$4:$B$203,B146)=0,1,0))</f>
        <v/>
      </c>
    </row>
    <row r="147">
      <c r="A147" s="9" t="n"/>
      <c r="B147" s="10" t="n"/>
      <c r="C147" s="10" t="n"/>
      <c r="D147" s="10" t="n"/>
      <c r="E147" s="10" t="n"/>
      <c r="F147" s="9" t="n"/>
      <c r="G147" s="10" t="n"/>
      <c r="H147" s="10" t="n"/>
      <c r="I147">
        <f>IF(A147="","",B147&amp;"|"&amp;(A147*1))</f>
        <v/>
      </c>
      <c r="J147">
        <f>IF(B147="",0,IF(COUNTIF('3.설계사'!$B$4:$B$303,B147)+COUNTIF('3b.시공사'!$B$4:$B$203,B147)=0,1,0))</f>
        <v/>
      </c>
    </row>
    <row r="148">
      <c r="A148" s="9" t="n"/>
      <c r="B148" s="10" t="n"/>
      <c r="C148" s="10" t="n"/>
      <c r="D148" s="10" t="n"/>
      <c r="E148" s="10" t="n"/>
      <c r="F148" s="9" t="n"/>
      <c r="G148" s="10" t="n"/>
      <c r="H148" s="10" t="n"/>
      <c r="I148">
        <f>IF(A148="","",B148&amp;"|"&amp;(A148*1))</f>
        <v/>
      </c>
      <c r="J148">
        <f>IF(B148="",0,IF(COUNTIF('3.설계사'!$B$4:$B$303,B148)+COUNTIF('3b.시공사'!$B$4:$B$203,B148)=0,1,0))</f>
        <v/>
      </c>
    </row>
    <row r="149">
      <c r="A149" s="9" t="n"/>
      <c r="B149" s="10" t="n"/>
      <c r="C149" s="10" t="n"/>
      <c r="D149" s="10" t="n"/>
      <c r="E149" s="10" t="n"/>
      <c r="F149" s="9" t="n"/>
      <c r="G149" s="10" t="n"/>
      <c r="H149" s="10" t="n"/>
      <c r="I149">
        <f>IF(A149="","",B149&amp;"|"&amp;(A149*1))</f>
        <v/>
      </c>
      <c r="J149">
        <f>IF(B149="",0,IF(COUNTIF('3.설계사'!$B$4:$B$303,B149)+COUNTIF('3b.시공사'!$B$4:$B$203,B149)=0,1,0))</f>
        <v/>
      </c>
    </row>
    <row r="150">
      <c r="A150" s="9" t="n"/>
      <c r="B150" s="10" t="n"/>
      <c r="C150" s="10" t="n"/>
      <c r="D150" s="10" t="n"/>
      <c r="E150" s="10" t="n"/>
      <c r="F150" s="9" t="n"/>
      <c r="G150" s="10" t="n"/>
      <c r="H150" s="10" t="n"/>
      <c r="I150">
        <f>IF(A150="","",B150&amp;"|"&amp;(A150*1))</f>
        <v/>
      </c>
      <c r="J150">
        <f>IF(B150="",0,IF(COUNTIF('3.설계사'!$B$4:$B$303,B150)+COUNTIF('3b.시공사'!$B$4:$B$203,B150)=0,1,0))</f>
        <v/>
      </c>
    </row>
    <row r="151">
      <c r="A151" s="9" t="n"/>
      <c r="B151" s="10" t="n"/>
      <c r="C151" s="10" t="n"/>
      <c r="D151" s="10" t="n"/>
      <c r="E151" s="10" t="n"/>
      <c r="F151" s="9" t="n"/>
      <c r="G151" s="10" t="n"/>
      <c r="H151" s="10" t="n"/>
      <c r="I151">
        <f>IF(A151="","",B151&amp;"|"&amp;(A151*1))</f>
        <v/>
      </c>
      <c r="J151">
        <f>IF(B151="",0,IF(COUNTIF('3.설계사'!$B$4:$B$303,B151)+COUNTIF('3b.시공사'!$B$4:$B$203,B151)=0,1,0))</f>
        <v/>
      </c>
    </row>
    <row r="152">
      <c r="A152" s="9" t="n"/>
      <c r="B152" s="10" t="n"/>
      <c r="C152" s="10" t="n"/>
      <c r="D152" s="10" t="n"/>
      <c r="E152" s="10" t="n"/>
      <c r="F152" s="9" t="n"/>
      <c r="G152" s="10" t="n"/>
      <c r="H152" s="10" t="n"/>
      <c r="I152">
        <f>IF(A152="","",B152&amp;"|"&amp;(A152*1))</f>
        <v/>
      </c>
      <c r="J152">
        <f>IF(B152="",0,IF(COUNTIF('3.설계사'!$B$4:$B$303,B152)+COUNTIF('3b.시공사'!$B$4:$B$203,B152)=0,1,0))</f>
        <v/>
      </c>
    </row>
    <row r="153">
      <c r="A153" s="9" t="n"/>
      <c r="B153" s="10" t="n"/>
      <c r="C153" s="10" t="n"/>
      <c r="D153" s="10" t="n"/>
      <c r="E153" s="10" t="n"/>
      <c r="F153" s="9" t="n"/>
      <c r="G153" s="10" t="n"/>
      <c r="H153" s="10" t="n"/>
      <c r="I153">
        <f>IF(A153="","",B153&amp;"|"&amp;(A153*1))</f>
        <v/>
      </c>
      <c r="J153">
        <f>IF(B153="",0,IF(COUNTIF('3.설계사'!$B$4:$B$303,B153)+COUNTIF('3b.시공사'!$B$4:$B$203,B153)=0,1,0))</f>
        <v/>
      </c>
    </row>
    <row r="154">
      <c r="A154" s="9" t="n"/>
      <c r="B154" s="10" t="n"/>
      <c r="C154" s="10" t="n"/>
      <c r="D154" s="10" t="n"/>
      <c r="E154" s="10" t="n"/>
      <c r="F154" s="9" t="n"/>
      <c r="G154" s="10" t="n"/>
      <c r="H154" s="10" t="n"/>
      <c r="I154">
        <f>IF(A154="","",B154&amp;"|"&amp;(A154*1))</f>
        <v/>
      </c>
      <c r="J154">
        <f>IF(B154="",0,IF(COUNTIF('3.설계사'!$B$4:$B$303,B154)+COUNTIF('3b.시공사'!$B$4:$B$203,B154)=0,1,0))</f>
        <v/>
      </c>
    </row>
    <row r="155">
      <c r="A155" s="9" t="n"/>
      <c r="B155" s="10" t="n"/>
      <c r="C155" s="10" t="n"/>
      <c r="D155" s="10" t="n"/>
      <c r="E155" s="10" t="n"/>
      <c r="F155" s="9" t="n"/>
      <c r="G155" s="10" t="n"/>
      <c r="H155" s="10" t="n"/>
      <c r="I155">
        <f>IF(A155="","",B155&amp;"|"&amp;(A155*1))</f>
        <v/>
      </c>
      <c r="J155">
        <f>IF(B155="",0,IF(COUNTIF('3.설계사'!$B$4:$B$303,B155)+COUNTIF('3b.시공사'!$B$4:$B$203,B155)=0,1,0))</f>
        <v/>
      </c>
    </row>
    <row r="156">
      <c r="A156" s="9" t="n"/>
      <c r="B156" s="10" t="n"/>
      <c r="C156" s="10" t="n"/>
      <c r="D156" s="10" t="n"/>
      <c r="E156" s="10" t="n"/>
      <c r="F156" s="9" t="n"/>
      <c r="G156" s="10" t="n"/>
      <c r="H156" s="10" t="n"/>
      <c r="I156">
        <f>IF(A156="","",B156&amp;"|"&amp;(A156*1))</f>
        <v/>
      </c>
      <c r="J156">
        <f>IF(B156="",0,IF(COUNTIF('3.설계사'!$B$4:$B$303,B156)+COUNTIF('3b.시공사'!$B$4:$B$203,B156)=0,1,0))</f>
        <v/>
      </c>
    </row>
    <row r="157">
      <c r="A157" s="9" t="n"/>
      <c r="B157" s="10" t="n"/>
      <c r="C157" s="10" t="n"/>
      <c r="D157" s="10" t="n"/>
      <c r="E157" s="10" t="n"/>
      <c r="F157" s="9" t="n"/>
      <c r="G157" s="10" t="n"/>
      <c r="H157" s="10" t="n"/>
      <c r="I157">
        <f>IF(A157="","",B157&amp;"|"&amp;(A157*1))</f>
        <v/>
      </c>
      <c r="J157">
        <f>IF(B157="",0,IF(COUNTIF('3.설계사'!$B$4:$B$303,B157)+COUNTIF('3b.시공사'!$B$4:$B$203,B157)=0,1,0))</f>
        <v/>
      </c>
    </row>
    <row r="158">
      <c r="A158" s="9" t="n"/>
      <c r="B158" s="10" t="n"/>
      <c r="C158" s="10" t="n"/>
      <c r="D158" s="10" t="n"/>
      <c r="E158" s="10" t="n"/>
      <c r="F158" s="9" t="n"/>
      <c r="G158" s="10" t="n"/>
      <c r="H158" s="10" t="n"/>
      <c r="I158">
        <f>IF(A158="","",B158&amp;"|"&amp;(A158*1))</f>
        <v/>
      </c>
      <c r="J158">
        <f>IF(B158="",0,IF(COUNTIF('3.설계사'!$B$4:$B$303,B158)+COUNTIF('3b.시공사'!$B$4:$B$203,B158)=0,1,0))</f>
        <v/>
      </c>
    </row>
    <row r="159">
      <c r="A159" s="9" t="n"/>
      <c r="B159" s="10" t="n"/>
      <c r="C159" s="10" t="n"/>
      <c r="D159" s="10" t="n"/>
      <c r="E159" s="10" t="n"/>
      <c r="F159" s="9" t="n"/>
      <c r="G159" s="10" t="n"/>
      <c r="H159" s="10" t="n"/>
      <c r="I159">
        <f>IF(A159="","",B159&amp;"|"&amp;(A159*1))</f>
        <v/>
      </c>
      <c r="J159">
        <f>IF(B159="",0,IF(COUNTIF('3.설계사'!$B$4:$B$303,B159)+COUNTIF('3b.시공사'!$B$4:$B$203,B159)=0,1,0))</f>
        <v/>
      </c>
    </row>
    <row r="160">
      <c r="A160" s="9" t="n"/>
      <c r="B160" s="10" t="n"/>
      <c r="C160" s="10" t="n"/>
      <c r="D160" s="10" t="n"/>
      <c r="E160" s="10" t="n"/>
      <c r="F160" s="9" t="n"/>
      <c r="G160" s="10" t="n"/>
      <c r="H160" s="10" t="n"/>
      <c r="I160">
        <f>IF(A160="","",B160&amp;"|"&amp;(A160*1))</f>
        <v/>
      </c>
      <c r="J160">
        <f>IF(B160="",0,IF(COUNTIF('3.설계사'!$B$4:$B$303,B160)+COUNTIF('3b.시공사'!$B$4:$B$203,B160)=0,1,0))</f>
        <v/>
      </c>
    </row>
    <row r="161">
      <c r="A161" s="9" t="n"/>
      <c r="B161" s="10" t="n"/>
      <c r="C161" s="10" t="n"/>
      <c r="D161" s="10" t="n"/>
      <c r="E161" s="10" t="n"/>
      <c r="F161" s="9" t="n"/>
      <c r="G161" s="10" t="n"/>
      <c r="H161" s="10" t="n"/>
      <c r="I161">
        <f>IF(A161="","",B161&amp;"|"&amp;(A161*1))</f>
        <v/>
      </c>
      <c r="J161">
        <f>IF(B161="",0,IF(COUNTIF('3.설계사'!$B$4:$B$303,B161)+COUNTIF('3b.시공사'!$B$4:$B$203,B161)=0,1,0))</f>
        <v/>
      </c>
    </row>
    <row r="162">
      <c r="A162" s="9" t="n"/>
      <c r="B162" s="10" t="n"/>
      <c r="C162" s="10" t="n"/>
      <c r="D162" s="10" t="n"/>
      <c r="E162" s="10" t="n"/>
      <c r="F162" s="9" t="n"/>
      <c r="G162" s="10" t="n"/>
      <c r="H162" s="10" t="n"/>
      <c r="I162">
        <f>IF(A162="","",B162&amp;"|"&amp;(A162*1))</f>
        <v/>
      </c>
      <c r="J162">
        <f>IF(B162="",0,IF(COUNTIF('3.설계사'!$B$4:$B$303,B162)+COUNTIF('3b.시공사'!$B$4:$B$203,B162)=0,1,0))</f>
        <v/>
      </c>
    </row>
    <row r="163">
      <c r="A163" s="9" t="n"/>
      <c r="B163" s="10" t="n"/>
      <c r="C163" s="10" t="n"/>
      <c r="D163" s="10" t="n"/>
      <c r="E163" s="10" t="n"/>
      <c r="F163" s="9" t="n"/>
      <c r="G163" s="10" t="n"/>
      <c r="H163" s="10" t="n"/>
      <c r="I163">
        <f>IF(A163="","",B163&amp;"|"&amp;(A163*1))</f>
        <v/>
      </c>
      <c r="J163">
        <f>IF(B163="",0,IF(COUNTIF('3.설계사'!$B$4:$B$303,B163)+COUNTIF('3b.시공사'!$B$4:$B$203,B163)=0,1,0))</f>
        <v/>
      </c>
    </row>
    <row r="164">
      <c r="A164" s="9" t="n"/>
      <c r="B164" s="10" t="n"/>
      <c r="C164" s="10" t="n"/>
      <c r="D164" s="10" t="n"/>
      <c r="E164" s="10" t="n"/>
      <c r="F164" s="9" t="n"/>
      <c r="G164" s="10" t="n"/>
      <c r="H164" s="10" t="n"/>
      <c r="I164">
        <f>IF(A164="","",B164&amp;"|"&amp;(A164*1))</f>
        <v/>
      </c>
      <c r="J164">
        <f>IF(B164="",0,IF(COUNTIF('3.설계사'!$B$4:$B$303,B164)+COUNTIF('3b.시공사'!$B$4:$B$203,B164)=0,1,0))</f>
        <v/>
      </c>
    </row>
    <row r="165">
      <c r="A165" s="9" t="n"/>
      <c r="B165" s="10" t="n"/>
      <c r="C165" s="10" t="n"/>
      <c r="D165" s="10" t="n"/>
      <c r="E165" s="10" t="n"/>
      <c r="F165" s="9" t="n"/>
      <c r="G165" s="10" t="n"/>
      <c r="H165" s="10" t="n"/>
      <c r="I165">
        <f>IF(A165="","",B165&amp;"|"&amp;(A165*1))</f>
        <v/>
      </c>
      <c r="J165">
        <f>IF(B165="",0,IF(COUNTIF('3.설계사'!$B$4:$B$303,B165)+COUNTIF('3b.시공사'!$B$4:$B$203,B165)=0,1,0))</f>
        <v/>
      </c>
    </row>
    <row r="166">
      <c r="A166" s="9" t="n"/>
      <c r="B166" s="10" t="n"/>
      <c r="C166" s="10" t="n"/>
      <c r="D166" s="10" t="n"/>
      <c r="E166" s="10" t="n"/>
      <c r="F166" s="9" t="n"/>
      <c r="G166" s="10" t="n"/>
      <c r="H166" s="10" t="n"/>
      <c r="I166">
        <f>IF(A166="","",B166&amp;"|"&amp;(A166*1))</f>
        <v/>
      </c>
      <c r="J166">
        <f>IF(B166="",0,IF(COUNTIF('3.설계사'!$B$4:$B$303,B166)+COUNTIF('3b.시공사'!$B$4:$B$203,B166)=0,1,0))</f>
        <v/>
      </c>
    </row>
    <row r="167">
      <c r="A167" s="9" t="n"/>
      <c r="B167" s="10" t="n"/>
      <c r="C167" s="10" t="n"/>
      <c r="D167" s="10" t="n"/>
      <c r="E167" s="10" t="n"/>
      <c r="F167" s="9" t="n"/>
      <c r="G167" s="10" t="n"/>
      <c r="H167" s="10" t="n"/>
      <c r="I167">
        <f>IF(A167="","",B167&amp;"|"&amp;(A167*1))</f>
        <v/>
      </c>
      <c r="J167">
        <f>IF(B167="",0,IF(COUNTIF('3.설계사'!$B$4:$B$303,B167)+COUNTIF('3b.시공사'!$B$4:$B$203,B167)=0,1,0))</f>
        <v/>
      </c>
    </row>
    <row r="168">
      <c r="A168" s="9" t="n"/>
      <c r="B168" s="10" t="n"/>
      <c r="C168" s="10" t="n"/>
      <c r="D168" s="10" t="n"/>
      <c r="E168" s="10" t="n"/>
      <c r="F168" s="9" t="n"/>
      <c r="G168" s="10" t="n"/>
      <c r="H168" s="10" t="n"/>
      <c r="I168">
        <f>IF(A168="","",B168&amp;"|"&amp;(A168*1))</f>
        <v/>
      </c>
      <c r="J168">
        <f>IF(B168="",0,IF(COUNTIF('3.설계사'!$B$4:$B$303,B168)+COUNTIF('3b.시공사'!$B$4:$B$203,B168)=0,1,0))</f>
        <v/>
      </c>
    </row>
    <row r="169">
      <c r="A169" s="9" t="n"/>
      <c r="B169" s="10" t="n"/>
      <c r="C169" s="10" t="n"/>
      <c r="D169" s="10" t="n"/>
      <c r="E169" s="10" t="n"/>
      <c r="F169" s="9" t="n"/>
      <c r="G169" s="10" t="n"/>
      <c r="H169" s="10" t="n"/>
      <c r="I169">
        <f>IF(A169="","",B169&amp;"|"&amp;(A169*1))</f>
        <v/>
      </c>
      <c r="J169">
        <f>IF(B169="",0,IF(COUNTIF('3.설계사'!$B$4:$B$303,B169)+COUNTIF('3b.시공사'!$B$4:$B$203,B169)=0,1,0))</f>
        <v/>
      </c>
    </row>
    <row r="170">
      <c r="A170" s="9" t="n"/>
      <c r="B170" s="10" t="n"/>
      <c r="C170" s="10" t="n"/>
      <c r="D170" s="10" t="n"/>
      <c r="E170" s="10" t="n"/>
      <c r="F170" s="9" t="n"/>
      <c r="G170" s="10" t="n"/>
      <c r="H170" s="10" t="n"/>
      <c r="I170">
        <f>IF(A170="","",B170&amp;"|"&amp;(A170*1))</f>
        <v/>
      </c>
      <c r="J170">
        <f>IF(B170="",0,IF(COUNTIF('3.설계사'!$B$4:$B$303,B170)+COUNTIF('3b.시공사'!$B$4:$B$203,B170)=0,1,0))</f>
        <v/>
      </c>
    </row>
    <row r="171">
      <c r="A171" s="9" t="n"/>
      <c r="B171" s="10" t="n"/>
      <c r="C171" s="10" t="n"/>
      <c r="D171" s="10" t="n"/>
      <c r="E171" s="10" t="n"/>
      <c r="F171" s="9" t="n"/>
      <c r="G171" s="10" t="n"/>
      <c r="H171" s="10" t="n"/>
      <c r="I171">
        <f>IF(A171="","",B171&amp;"|"&amp;(A171*1))</f>
        <v/>
      </c>
      <c r="J171">
        <f>IF(B171="",0,IF(COUNTIF('3.설계사'!$B$4:$B$303,B171)+COUNTIF('3b.시공사'!$B$4:$B$203,B171)=0,1,0))</f>
        <v/>
      </c>
    </row>
    <row r="172">
      <c r="A172" s="9" t="n"/>
      <c r="B172" s="10" t="n"/>
      <c r="C172" s="10" t="n"/>
      <c r="D172" s="10" t="n"/>
      <c r="E172" s="10" t="n"/>
      <c r="F172" s="9" t="n"/>
      <c r="G172" s="10" t="n"/>
      <c r="H172" s="10" t="n"/>
      <c r="I172">
        <f>IF(A172="","",B172&amp;"|"&amp;(A172*1))</f>
        <v/>
      </c>
      <c r="J172">
        <f>IF(B172="",0,IF(COUNTIF('3.설계사'!$B$4:$B$303,B172)+COUNTIF('3b.시공사'!$B$4:$B$203,B172)=0,1,0))</f>
        <v/>
      </c>
    </row>
    <row r="173">
      <c r="A173" s="9" t="n"/>
      <c r="B173" s="10" t="n"/>
      <c r="C173" s="10" t="n"/>
      <c r="D173" s="10" t="n"/>
      <c r="E173" s="10" t="n"/>
      <c r="F173" s="9" t="n"/>
      <c r="G173" s="10" t="n"/>
      <c r="H173" s="10" t="n"/>
      <c r="I173">
        <f>IF(A173="","",B173&amp;"|"&amp;(A173*1))</f>
        <v/>
      </c>
      <c r="J173">
        <f>IF(B173="",0,IF(COUNTIF('3.설계사'!$B$4:$B$303,B173)+COUNTIF('3b.시공사'!$B$4:$B$203,B173)=0,1,0))</f>
        <v/>
      </c>
    </row>
    <row r="174">
      <c r="A174" s="9" t="n"/>
      <c r="B174" s="10" t="n"/>
      <c r="C174" s="10" t="n"/>
      <c r="D174" s="10" t="n"/>
      <c r="E174" s="10" t="n"/>
      <c r="F174" s="9" t="n"/>
      <c r="G174" s="10" t="n"/>
      <c r="H174" s="10" t="n"/>
      <c r="I174">
        <f>IF(A174="","",B174&amp;"|"&amp;(A174*1))</f>
        <v/>
      </c>
      <c r="J174">
        <f>IF(B174="",0,IF(COUNTIF('3.설계사'!$B$4:$B$303,B174)+COUNTIF('3b.시공사'!$B$4:$B$203,B174)=0,1,0))</f>
        <v/>
      </c>
    </row>
    <row r="175">
      <c r="A175" s="9" t="n"/>
      <c r="B175" s="10" t="n"/>
      <c r="C175" s="10" t="n"/>
      <c r="D175" s="10" t="n"/>
      <c r="E175" s="10" t="n"/>
      <c r="F175" s="9" t="n"/>
      <c r="G175" s="10" t="n"/>
      <c r="H175" s="10" t="n"/>
      <c r="I175">
        <f>IF(A175="","",B175&amp;"|"&amp;(A175*1))</f>
        <v/>
      </c>
      <c r="J175">
        <f>IF(B175="",0,IF(COUNTIF('3.설계사'!$B$4:$B$303,B175)+COUNTIF('3b.시공사'!$B$4:$B$203,B175)=0,1,0))</f>
        <v/>
      </c>
    </row>
    <row r="176">
      <c r="A176" s="9" t="n"/>
      <c r="B176" s="10" t="n"/>
      <c r="C176" s="10" t="n"/>
      <c r="D176" s="10" t="n"/>
      <c r="E176" s="10" t="n"/>
      <c r="F176" s="9" t="n"/>
      <c r="G176" s="10" t="n"/>
      <c r="H176" s="10" t="n"/>
      <c r="I176">
        <f>IF(A176="","",B176&amp;"|"&amp;(A176*1))</f>
        <v/>
      </c>
      <c r="J176">
        <f>IF(B176="",0,IF(COUNTIF('3.설계사'!$B$4:$B$303,B176)+COUNTIF('3b.시공사'!$B$4:$B$203,B176)=0,1,0))</f>
        <v/>
      </c>
    </row>
    <row r="177">
      <c r="A177" s="9" t="n"/>
      <c r="B177" s="10" t="n"/>
      <c r="C177" s="10" t="n"/>
      <c r="D177" s="10" t="n"/>
      <c r="E177" s="10" t="n"/>
      <c r="F177" s="9" t="n"/>
      <c r="G177" s="10" t="n"/>
      <c r="H177" s="10" t="n"/>
      <c r="I177">
        <f>IF(A177="","",B177&amp;"|"&amp;(A177*1))</f>
        <v/>
      </c>
      <c r="J177">
        <f>IF(B177="",0,IF(COUNTIF('3.설계사'!$B$4:$B$303,B177)+COUNTIF('3b.시공사'!$B$4:$B$203,B177)=0,1,0))</f>
        <v/>
      </c>
    </row>
    <row r="178">
      <c r="A178" s="9" t="n"/>
      <c r="B178" s="10" t="n"/>
      <c r="C178" s="10" t="n"/>
      <c r="D178" s="10" t="n"/>
      <c r="E178" s="10" t="n"/>
      <c r="F178" s="9" t="n"/>
      <c r="G178" s="10" t="n"/>
      <c r="H178" s="10" t="n"/>
      <c r="I178">
        <f>IF(A178="","",B178&amp;"|"&amp;(A178*1))</f>
        <v/>
      </c>
      <c r="J178">
        <f>IF(B178="",0,IF(COUNTIF('3.설계사'!$B$4:$B$303,B178)+COUNTIF('3b.시공사'!$B$4:$B$203,B178)=0,1,0))</f>
        <v/>
      </c>
    </row>
    <row r="179">
      <c r="A179" s="9" t="n"/>
      <c r="B179" s="10" t="n"/>
      <c r="C179" s="10" t="n"/>
      <c r="D179" s="10" t="n"/>
      <c r="E179" s="10" t="n"/>
      <c r="F179" s="9" t="n"/>
      <c r="G179" s="10" t="n"/>
      <c r="H179" s="10" t="n"/>
      <c r="I179">
        <f>IF(A179="","",B179&amp;"|"&amp;(A179*1))</f>
        <v/>
      </c>
      <c r="J179">
        <f>IF(B179="",0,IF(COUNTIF('3.설계사'!$B$4:$B$303,B179)+COUNTIF('3b.시공사'!$B$4:$B$203,B179)=0,1,0))</f>
        <v/>
      </c>
    </row>
    <row r="180">
      <c r="A180" s="9" t="n"/>
      <c r="B180" s="10" t="n"/>
      <c r="C180" s="10" t="n"/>
      <c r="D180" s="10" t="n"/>
      <c r="E180" s="10" t="n"/>
      <c r="F180" s="9" t="n"/>
      <c r="G180" s="10" t="n"/>
      <c r="H180" s="10" t="n"/>
      <c r="I180">
        <f>IF(A180="","",B180&amp;"|"&amp;(A180*1))</f>
        <v/>
      </c>
      <c r="J180">
        <f>IF(B180="",0,IF(COUNTIF('3.설계사'!$B$4:$B$303,B180)+COUNTIF('3b.시공사'!$B$4:$B$203,B180)=0,1,0))</f>
        <v/>
      </c>
    </row>
    <row r="181">
      <c r="A181" s="9" t="n"/>
      <c r="B181" s="10" t="n"/>
      <c r="C181" s="10" t="n"/>
      <c r="D181" s="10" t="n"/>
      <c r="E181" s="10" t="n"/>
      <c r="F181" s="9" t="n"/>
      <c r="G181" s="10" t="n"/>
      <c r="H181" s="10" t="n"/>
      <c r="I181">
        <f>IF(A181="","",B181&amp;"|"&amp;(A181*1))</f>
        <v/>
      </c>
      <c r="J181">
        <f>IF(B181="",0,IF(COUNTIF('3.설계사'!$B$4:$B$303,B181)+COUNTIF('3b.시공사'!$B$4:$B$203,B181)=0,1,0))</f>
        <v/>
      </c>
    </row>
    <row r="182">
      <c r="A182" s="9" t="n"/>
      <c r="B182" s="10" t="n"/>
      <c r="C182" s="10" t="n"/>
      <c r="D182" s="10" t="n"/>
      <c r="E182" s="10" t="n"/>
      <c r="F182" s="9" t="n"/>
      <c r="G182" s="10" t="n"/>
      <c r="H182" s="10" t="n"/>
      <c r="I182">
        <f>IF(A182="","",B182&amp;"|"&amp;(A182*1))</f>
        <v/>
      </c>
      <c r="J182">
        <f>IF(B182="",0,IF(COUNTIF('3.설계사'!$B$4:$B$303,B182)+COUNTIF('3b.시공사'!$B$4:$B$203,B182)=0,1,0))</f>
        <v/>
      </c>
    </row>
    <row r="183">
      <c r="A183" s="9" t="n"/>
      <c r="B183" s="10" t="n"/>
      <c r="C183" s="10" t="n"/>
      <c r="D183" s="10" t="n"/>
      <c r="E183" s="10" t="n"/>
      <c r="F183" s="9" t="n"/>
      <c r="G183" s="10" t="n"/>
      <c r="H183" s="10" t="n"/>
      <c r="I183">
        <f>IF(A183="","",B183&amp;"|"&amp;(A183*1))</f>
        <v/>
      </c>
      <c r="J183">
        <f>IF(B183="",0,IF(COUNTIF('3.설계사'!$B$4:$B$303,B183)+COUNTIF('3b.시공사'!$B$4:$B$203,B183)=0,1,0))</f>
        <v/>
      </c>
    </row>
    <row r="184">
      <c r="A184" s="9" t="n"/>
      <c r="B184" s="10" t="n"/>
      <c r="C184" s="10" t="n"/>
      <c r="D184" s="10" t="n"/>
      <c r="E184" s="10" t="n"/>
      <c r="F184" s="9" t="n"/>
      <c r="G184" s="10" t="n"/>
      <c r="H184" s="10" t="n"/>
      <c r="I184">
        <f>IF(A184="","",B184&amp;"|"&amp;(A184*1))</f>
        <v/>
      </c>
      <c r="J184">
        <f>IF(B184="",0,IF(COUNTIF('3.설계사'!$B$4:$B$303,B184)+COUNTIF('3b.시공사'!$B$4:$B$203,B184)=0,1,0))</f>
        <v/>
      </c>
    </row>
    <row r="185">
      <c r="A185" s="9" t="n"/>
      <c r="B185" s="10" t="n"/>
      <c r="C185" s="10" t="n"/>
      <c r="D185" s="10" t="n"/>
      <c r="E185" s="10" t="n"/>
      <c r="F185" s="9" t="n"/>
      <c r="G185" s="10" t="n"/>
      <c r="H185" s="10" t="n"/>
      <c r="I185">
        <f>IF(A185="","",B185&amp;"|"&amp;(A185*1))</f>
        <v/>
      </c>
      <c r="J185">
        <f>IF(B185="",0,IF(COUNTIF('3.설계사'!$B$4:$B$303,B185)+COUNTIF('3b.시공사'!$B$4:$B$203,B185)=0,1,0))</f>
        <v/>
      </c>
    </row>
    <row r="186">
      <c r="A186" s="9" t="n"/>
      <c r="B186" s="10" t="n"/>
      <c r="C186" s="10" t="n"/>
      <c r="D186" s="10" t="n"/>
      <c r="E186" s="10" t="n"/>
      <c r="F186" s="9" t="n"/>
      <c r="G186" s="10" t="n"/>
      <c r="H186" s="10" t="n"/>
      <c r="I186">
        <f>IF(A186="","",B186&amp;"|"&amp;(A186*1))</f>
        <v/>
      </c>
      <c r="J186">
        <f>IF(B186="",0,IF(COUNTIF('3.설계사'!$B$4:$B$303,B186)+COUNTIF('3b.시공사'!$B$4:$B$203,B186)=0,1,0))</f>
        <v/>
      </c>
    </row>
    <row r="187">
      <c r="A187" s="9" t="n"/>
      <c r="B187" s="10" t="n"/>
      <c r="C187" s="10" t="n"/>
      <c r="D187" s="10" t="n"/>
      <c r="E187" s="10" t="n"/>
      <c r="F187" s="9" t="n"/>
      <c r="G187" s="10" t="n"/>
      <c r="H187" s="10" t="n"/>
      <c r="I187">
        <f>IF(A187="","",B187&amp;"|"&amp;(A187*1))</f>
        <v/>
      </c>
      <c r="J187">
        <f>IF(B187="",0,IF(COUNTIF('3.설계사'!$B$4:$B$303,B187)+COUNTIF('3b.시공사'!$B$4:$B$203,B187)=0,1,0))</f>
        <v/>
      </c>
    </row>
    <row r="188">
      <c r="A188" s="9" t="n"/>
      <c r="B188" s="10" t="n"/>
      <c r="C188" s="10" t="n"/>
      <c r="D188" s="10" t="n"/>
      <c r="E188" s="10" t="n"/>
      <c r="F188" s="9" t="n"/>
      <c r="G188" s="10" t="n"/>
      <c r="H188" s="10" t="n"/>
      <c r="I188">
        <f>IF(A188="","",B188&amp;"|"&amp;(A188*1))</f>
        <v/>
      </c>
      <c r="J188">
        <f>IF(B188="",0,IF(COUNTIF('3.설계사'!$B$4:$B$303,B188)+COUNTIF('3b.시공사'!$B$4:$B$203,B188)=0,1,0))</f>
        <v/>
      </c>
    </row>
    <row r="189">
      <c r="A189" s="9" t="n"/>
      <c r="B189" s="10" t="n"/>
      <c r="C189" s="10" t="n"/>
      <c r="D189" s="10" t="n"/>
      <c r="E189" s="10" t="n"/>
      <c r="F189" s="9" t="n"/>
      <c r="G189" s="10" t="n"/>
      <c r="H189" s="10" t="n"/>
      <c r="I189">
        <f>IF(A189="","",B189&amp;"|"&amp;(A189*1))</f>
        <v/>
      </c>
      <c r="J189">
        <f>IF(B189="",0,IF(COUNTIF('3.설계사'!$B$4:$B$303,B189)+COUNTIF('3b.시공사'!$B$4:$B$203,B189)=0,1,0))</f>
        <v/>
      </c>
    </row>
    <row r="190">
      <c r="A190" s="9" t="n"/>
      <c r="B190" s="10" t="n"/>
      <c r="C190" s="10" t="n"/>
      <c r="D190" s="10" t="n"/>
      <c r="E190" s="10" t="n"/>
      <c r="F190" s="9" t="n"/>
      <c r="G190" s="10" t="n"/>
      <c r="H190" s="10" t="n"/>
      <c r="I190">
        <f>IF(A190="","",B190&amp;"|"&amp;(A190*1))</f>
        <v/>
      </c>
      <c r="J190">
        <f>IF(B190="",0,IF(COUNTIF('3.설계사'!$B$4:$B$303,B190)+COUNTIF('3b.시공사'!$B$4:$B$203,B190)=0,1,0))</f>
        <v/>
      </c>
    </row>
    <row r="191">
      <c r="A191" s="9" t="n"/>
      <c r="B191" s="10" t="n"/>
      <c r="C191" s="10" t="n"/>
      <c r="D191" s="10" t="n"/>
      <c r="E191" s="10" t="n"/>
      <c r="F191" s="9" t="n"/>
      <c r="G191" s="10" t="n"/>
      <c r="H191" s="10" t="n"/>
      <c r="I191">
        <f>IF(A191="","",B191&amp;"|"&amp;(A191*1))</f>
        <v/>
      </c>
      <c r="J191">
        <f>IF(B191="",0,IF(COUNTIF('3.설계사'!$B$4:$B$303,B191)+COUNTIF('3b.시공사'!$B$4:$B$203,B191)=0,1,0))</f>
        <v/>
      </c>
    </row>
    <row r="192">
      <c r="A192" s="9" t="n"/>
      <c r="B192" s="10" t="n"/>
      <c r="C192" s="10" t="n"/>
      <c r="D192" s="10" t="n"/>
      <c r="E192" s="10" t="n"/>
      <c r="F192" s="9" t="n"/>
      <c r="G192" s="10" t="n"/>
      <c r="H192" s="10" t="n"/>
      <c r="I192">
        <f>IF(A192="","",B192&amp;"|"&amp;(A192*1))</f>
        <v/>
      </c>
      <c r="J192">
        <f>IF(B192="",0,IF(COUNTIF('3.설계사'!$B$4:$B$303,B192)+COUNTIF('3b.시공사'!$B$4:$B$203,B192)=0,1,0))</f>
        <v/>
      </c>
    </row>
    <row r="193">
      <c r="A193" s="9" t="n"/>
      <c r="B193" s="10" t="n"/>
      <c r="C193" s="10" t="n"/>
      <c r="D193" s="10" t="n"/>
      <c r="E193" s="10" t="n"/>
      <c r="F193" s="9" t="n"/>
      <c r="G193" s="10" t="n"/>
      <c r="H193" s="10" t="n"/>
      <c r="I193">
        <f>IF(A193="","",B193&amp;"|"&amp;(A193*1))</f>
        <v/>
      </c>
      <c r="J193">
        <f>IF(B193="",0,IF(COUNTIF('3.설계사'!$B$4:$B$303,B193)+COUNTIF('3b.시공사'!$B$4:$B$203,B193)=0,1,0))</f>
        <v/>
      </c>
    </row>
    <row r="194">
      <c r="A194" s="9" t="n"/>
      <c r="B194" s="10" t="n"/>
      <c r="C194" s="10" t="n"/>
      <c r="D194" s="10" t="n"/>
      <c r="E194" s="10" t="n"/>
      <c r="F194" s="9" t="n"/>
      <c r="G194" s="10" t="n"/>
      <c r="H194" s="10" t="n"/>
      <c r="I194">
        <f>IF(A194="","",B194&amp;"|"&amp;(A194*1))</f>
        <v/>
      </c>
      <c r="J194">
        <f>IF(B194="",0,IF(COUNTIF('3.설계사'!$B$4:$B$303,B194)+COUNTIF('3b.시공사'!$B$4:$B$203,B194)=0,1,0))</f>
        <v/>
      </c>
    </row>
    <row r="195">
      <c r="A195" s="9" t="n"/>
      <c r="B195" s="10" t="n"/>
      <c r="C195" s="10" t="n"/>
      <c r="D195" s="10" t="n"/>
      <c r="E195" s="10" t="n"/>
      <c r="F195" s="9" t="n"/>
      <c r="G195" s="10" t="n"/>
      <c r="H195" s="10" t="n"/>
      <c r="I195">
        <f>IF(A195="","",B195&amp;"|"&amp;(A195*1))</f>
        <v/>
      </c>
      <c r="J195">
        <f>IF(B195="",0,IF(COUNTIF('3.설계사'!$B$4:$B$303,B195)+COUNTIF('3b.시공사'!$B$4:$B$203,B195)=0,1,0))</f>
        <v/>
      </c>
    </row>
    <row r="196">
      <c r="A196" s="9" t="n"/>
      <c r="B196" s="10" t="n"/>
      <c r="C196" s="10" t="n"/>
      <c r="D196" s="10" t="n"/>
      <c r="E196" s="10" t="n"/>
      <c r="F196" s="9" t="n"/>
      <c r="G196" s="10" t="n"/>
      <c r="H196" s="10" t="n"/>
      <c r="I196">
        <f>IF(A196="","",B196&amp;"|"&amp;(A196*1))</f>
        <v/>
      </c>
      <c r="J196">
        <f>IF(B196="",0,IF(COUNTIF('3.설계사'!$B$4:$B$303,B196)+COUNTIF('3b.시공사'!$B$4:$B$203,B196)=0,1,0))</f>
        <v/>
      </c>
    </row>
    <row r="197">
      <c r="A197" s="9" t="n"/>
      <c r="B197" s="10" t="n"/>
      <c r="C197" s="10" t="n"/>
      <c r="D197" s="10" t="n"/>
      <c r="E197" s="10" t="n"/>
      <c r="F197" s="9" t="n"/>
      <c r="G197" s="10" t="n"/>
      <c r="H197" s="10" t="n"/>
      <c r="I197">
        <f>IF(A197="","",B197&amp;"|"&amp;(A197*1))</f>
        <v/>
      </c>
      <c r="J197">
        <f>IF(B197="",0,IF(COUNTIF('3.설계사'!$B$4:$B$303,B197)+COUNTIF('3b.시공사'!$B$4:$B$203,B197)=0,1,0))</f>
        <v/>
      </c>
    </row>
    <row r="198">
      <c r="A198" s="9" t="n"/>
      <c r="B198" s="10" t="n"/>
      <c r="C198" s="10" t="n"/>
      <c r="D198" s="10" t="n"/>
      <c r="E198" s="10" t="n"/>
      <c r="F198" s="9" t="n"/>
      <c r="G198" s="10" t="n"/>
      <c r="H198" s="10" t="n"/>
      <c r="I198">
        <f>IF(A198="","",B198&amp;"|"&amp;(A198*1))</f>
        <v/>
      </c>
      <c r="J198">
        <f>IF(B198="",0,IF(COUNTIF('3.설계사'!$B$4:$B$303,B198)+COUNTIF('3b.시공사'!$B$4:$B$203,B198)=0,1,0))</f>
        <v/>
      </c>
    </row>
    <row r="199">
      <c r="A199" s="9" t="n"/>
      <c r="B199" s="10" t="n"/>
      <c r="C199" s="10" t="n"/>
      <c r="D199" s="10" t="n"/>
      <c r="E199" s="10" t="n"/>
      <c r="F199" s="9" t="n"/>
      <c r="G199" s="10" t="n"/>
      <c r="H199" s="10" t="n"/>
      <c r="I199">
        <f>IF(A199="","",B199&amp;"|"&amp;(A199*1))</f>
        <v/>
      </c>
      <c r="J199">
        <f>IF(B199="",0,IF(COUNTIF('3.설계사'!$B$4:$B$303,B199)+COUNTIF('3b.시공사'!$B$4:$B$203,B199)=0,1,0))</f>
        <v/>
      </c>
    </row>
    <row r="200">
      <c r="A200" s="9" t="n"/>
      <c r="B200" s="10" t="n"/>
      <c r="C200" s="10" t="n"/>
      <c r="D200" s="10" t="n"/>
      <c r="E200" s="10" t="n"/>
      <c r="F200" s="9" t="n"/>
      <c r="G200" s="10" t="n"/>
      <c r="H200" s="10" t="n"/>
      <c r="I200">
        <f>IF(A200="","",B200&amp;"|"&amp;(A200*1))</f>
        <v/>
      </c>
      <c r="J200">
        <f>IF(B200="",0,IF(COUNTIF('3.설계사'!$B$4:$B$303,B200)+COUNTIF('3b.시공사'!$B$4:$B$203,B200)=0,1,0))</f>
        <v/>
      </c>
    </row>
    <row r="201">
      <c r="A201" s="9" t="n"/>
      <c r="B201" s="10" t="n"/>
      <c r="C201" s="10" t="n"/>
      <c r="D201" s="10" t="n"/>
      <c r="E201" s="10" t="n"/>
      <c r="F201" s="9" t="n"/>
      <c r="G201" s="10" t="n"/>
      <c r="H201" s="10" t="n"/>
      <c r="I201">
        <f>IF(A201="","",B201&amp;"|"&amp;(A201*1))</f>
        <v/>
      </c>
      <c r="J201">
        <f>IF(B201="",0,IF(COUNTIF('3.설계사'!$B$4:$B$303,B201)+COUNTIF('3b.시공사'!$B$4:$B$203,B201)=0,1,0))</f>
        <v/>
      </c>
    </row>
    <row r="202">
      <c r="A202" s="9" t="n"/>
      <c r="B202" s="10" t="n"/>
      <c r="C202" s="10" t="n"/>
      <c r="D202" s="10" t="n"/>
      <c r="E202" s="10" t="n"/>
      <c r="F202" s="9" t="n"/>
      <c r="G202" s="10" t="n"/>
      <c r="H202" s="10" t="n"/>
      <c r="I202">
        <f>IF(A202="","",B202&amp;"|"&amp;(A202*1))</f>
        <v/>
      </c>
      <c r="J202">
        <f>IF(B202="",0,IF(COUNTIF('3.설계사'!$B$4:$B$303,B202)+COUNTIF('3b.시공사'!$B$4:$B$203,B202)=0,1,0))</f>
        <v/>
      </c>
    </row>
    <row r="203">
      <c r="A203" s="9" t="n"/>
      <c r="B203" s="10" t="n"/>
      <c r="C203" s="10" t="n"/>
      <c r="D203" s="10" t="n"/>
      <c r="E203" s="10" t="n"/>
      <c r="F203" s="9" t="n"/>
      <c r="G203" s="10" t="n"/>
      <c r="H203" s="10" t="n"/>
      <c r="I203">
        <f>IF(A203="","",B203&amp;"|"&amp;(A203*1))</f>
        <v/>
      </c>
      <c r="J203">
        <f>IF(B203="",0,IF(COUNTIF('3.설계사'!$B$4:$B$303,B203)+COUNTIF('3b.시공사'!$B$4:$B$203,B203)=0,1,0))</f>
        <v/>
      </c>
    </row>
    <row r="204">
      <c r="A204" s="9" t="n"/>
      <c r="B204" s="10" t="n"/>
      <c r="C204" s="10" t="n"/>
      <c r="D204" s="10" t="n"/>
      <c r="E204" s="10" t="n"/>
      <c r="F204" s="9" t="n"/>
      <c r="G204" s="10" t="n"/>
      <c r="H204" s="10" t="n"/>
      <c r="I204">
        <f>IF(A204="","",B204&amp;"|"&amp;(A204*1))</f>
        <v/>
      </c>
      <c r="J204">
        <f>IF(B204="",0,IF(COUNTIF('3.설계사'!$B$4:$B$303,B204)+COUNTIF('3b.시공사'!$B$4:$B$203,B204)=0,1,0))</f>
        <v/>
      </c>
    </row>
    <row r="205">
      <c r="A205" s="9" t="n"/>
      <c r="B205" s="10" t="n"/>
      <c r="C205" s="10" t="n"/>
      <c r="D205" s="10" t="n"/>
      <c r="E205" s="10" t="n"/>
      <c r="F205" s="9" t="n"/>
      <c r="G205" s="10" t="n"/>
      <c r="H205" s="10" t="n"/>
      <c r="I205">
        <f>IF(A205="","",B205&amp;"|"&amp;(A205*1))</f>
        <v/>
      </c>
      <c r="J205">
        <f>IF(B205="",0,IF(COUNTIF('3.설계사'!$B$4:$B$303,B205)+COUNTIF('3b.시공사'!$B$4:$B$203,B205)=0,1,0))</f>
        <v/>
      </c>
    </row>
    <row r="206">
      <c r="A206" s="9" t="n"/>
      <c r="B206" s="10" t="n"/>
      <c r="C206" s="10" t="n"/>
      <c r="D206" s="10" t="n"/>
      <c r="E206" s="10" t="n"/>
      <c r="F206" s="9" t="n"/>
      <c r="G206" s="10" t="n"/>
      <c r="H206" s="10" t="n"/>
      <c r="I206">
        <f>IF(A206="","",B206&amp;"|"&amp;(A206*1))</f>
        <v/>
      </c>
      <c r="J206">
        <f>IF(B206="",0,IF(COUNTIF('3.설계사'!$B$4:$B$303,B206)+COUNTIF('3b.시공사'!$B$4:$B$203,B206)=0,1,0))</f>
        <v/>
      </c>
    </row>
    <row r="207">
      <c r="A207" s="9" t="n"/>
      <c r="B207" s="10" t="n"/>
      <c r="C207" s="10" t="n"/>
      <c r="D207" s="10" t="n"/>
      <c r="E207" s="10" t="n"/>
      <c r="F207" s="9" t="n"/>
      <c r="G207" s="10" t="n"/>
      <c r="H207" s="10" t="n"/>
      <c r="I207">
        <f>IF(A207="","",B207&amp;"|"&amp;(A207*1))</f>
        <v/>
      </c>
      <c r="J207">
        <f>IF(B207="",0,IF(COUNTIF('3.설계사'!$B$4:$B$303,B207)+COUNTIF('3b.시공사'!$B$4:$B$203,B207)=0,1,0))</f>
        <v/>
      </c>
    </row>
    <row r="208">
      <c r="A208" s="9" t="n"/>
      <c r="B208" s="10" t="n"/>
      <c r="C208" s="10" t="n"/>
      <c r="D208" s="10" t="n"/>
      <c r="E208" s="10" t="n"/>
      <c r="F208" s="9" t="n"/>
      <c r="G208" s="10" t="n"/>
      <c r="H208" s="10" t="n"/>
      <c r="I208">
        <f>IF(A208="","",B208&amp;"|"&amp;(A208*1))</f>
        <v/>
      </c>
      <c r="J208">
        <f>IF(B208="",0,IF(COUNTIF('3.설계사'!$B$4:$B$303,B208)+COUNTIF('3b.시공사'!$B$4:$B$203,B208)=0,1,0))</f>
        <v/>
      </c>
    </row>
    <row r="209">
      <c r="A209" s="9" t="n"/>
      <c r="B209" s="10" t="n"/>
      <c r="C209" s="10" t="n"/>
      <c r="D209" s="10" t="n"/>
      <c r="E209" s="10" t="n"/>
      <c r="F209" s="9" t="n"/>
      <c r="G209" s="10" t="n"/>
      <c r="H209" s="10" t="n"/>
      <c r="I209">
        <f>IF(A209="","",B209&amp;"|"&amp;(A209*1))</f>
        <v/>
      </c>
      <c r="J209">
        <f>IF(B209="",0,IF(COUNTIF('3.설계사'!$B$4:$B$303,B209)+COUNTIF('3b.시공사'!$B$4:$B$203,B209)=0,1,0))</f>
        <v/>
      </c>
    </row>
    <row r="210">
      <c r="A210" s="9" t="n"/>
      <c r="B210" s="10" t="n"/>
      <c r="C210" s="10" t="n"/>
      <c r="D210" s="10" t="n"/>
      <c r="E210" s="10" t="n"/>
      <c r="F210" s="9" t="n"/>
      <c r="G210" s="10" t="n"/>
      <c r="H210" s="10" t="n"/>
      <c r="I210">
        <f>IF(A210="","",B210&amp;"|"&amp;(A210*1))</f>
        <v/>
      </c>
      <c r="J210">
        <f>IF(B210="",0,IF(COUNTIF('3.설계사'!$B$4:$B$303,B210)+COUNTIF('3b.시공사'!$B$4:$B$203,B210)=0,1,0))</f>
        <v/>
      </c>
    </row>
    <row r="211">
      <c r="A211" s="9" t="n"/>
      <c r="B211" s="10" t="n"/>
      <c r="C211" s="10" t="n"/>
      <c r="D211" s="10" t="n"/>
      <c r="E211" s="10" t="n"/>
      <c r="F211" s="9" t="n"/>
      <c r="G211" s="10" t="n"/>
      <c r="H211" s="10" t="n"/>
      <c r="I211">
        <f>IF(A211="","",B211&amp;"|"&amp;(A211*1))</f>
        <v/>
      </c>
      <c r="J211">
        <f>IF(B211="",0,IF(COUNTIF('3.설계사'!$B$4:$B$303,B211)+COUNTIF('3b.시공사'!$B$4:$B$203,B211)=0,1,0))</f>
        <v/>
      </c>
    </row>
    <row r="212">
      <c r="A212" s="9" t="n"/>
      <c r="B212" s="10" t="n"/>
      <c r="C212" s="10" t="n"/>
      <c r="D212" s="10" t="n"/>
      <c r="E212" s="10" t="n"/>
      <c r="F212" s="9" t="n"/>
      <c r="G212" s="10" t="n"/>
      <c r="H212" s="10" t="n"/>
      <c r="I212">
        <f>IF(A212="","",B212&amp;"|"&amp;(A212*1))</f>
        <v/>
      </c>
      <c r="J212">
        <f>IF(B212="",0,IF(COUNTIF('3.설계사'!$B$4:$B$303,B212)+COUNTIF('3b.시공사'!$B$4:$B$203,B212)=0,1,0))</f>
        <v/>
      </c>
    </row>
    <row r="213">
      <c r="A213" s="9" t="n"/>
      <c r="B213" s="10" t="n"/>
      <c r="C213" s="10" t="n"/>
      <c r="D213" s="10" t="n"/>
      <c r="E213" s="10" t="n"/>
      <c r="F213" s="9" t="n"/>
      <c r="G213" s="10" t="n"/>
      <c r="H213" s="10" t="n"/>
      <c r="I213">
        <f>IF(A213="","",B213&amp;"|"&amp;(A213*1))</f>
        <v/>
      </c>
      <c r="J213">
        <f>IF(B213="",0,IF(COUNTIF('3.설계사'!$B$4:$B$303,B213)+COUNTIF('3b.시공사'!$B$4:$B$203,B213)=0,1,0))</f>
        <v/>
      </c>
    </row>
    <row r="214">
      <c r="A214" s="9" t="n"/>
      <c r="B214" s="10" t="n"/>
      <c r="C214" s="10" t="n"/>
      <c r="D214" s="10" t="n"/>
      <c r="E214" s="10" t="n"/>
      <c r="F214" s="9" t="n"/>
      <c r="G214" s="10" t="n"/>
      <c r="H214" s="10" t="n"/>
      <c r="I214">
        <f>IF(A214="","",B214&amp;"|"&amp;(A214*1))</f>
        <v/>
      </c>
      <c r="J214">
        <f>IF(B214="",0,IF(COUNTIF('3.설계사'!$B$4:$B$303,B214)+COUNTIF('3b.시공사'!$B$4:$B$203,B214)=0,1,0))</f>
        <v/>
      </c>
    </row>
    <row r="215">
      <c r="A215" s="9" t="n"/>
      <c r="B215" s="10" t="n"/>
      <c r="C215" s="10" t="n"/>
      <c r="D215" s="10" t="n"/>
      <c r="E215" s="10" t="n"/>
      <c r="F215" s="9" t="n"/>
      <c r="G215" s="10" t="n"/>
      <c r="H215" s="10" t="n"/>
      <c r="I215">
        <f>IF(A215="","",B215&amp;"|"&amp;(A215*1))</f>
        <v/>
      </c>
      <c r="J215">
        <f>IF(B215="",0,IF(COUNTIF('3.설계사'!$B$4:$B$303,B215)+COUNTIF('3b.시공사'!$B$4:$B$203,B215)=0,1,0))</f>
        <v/>
      </c>
    </row>
    <row r="216">
      <c r="A216" s="9" t="n"/>
      <c r="B216" s="10" t="n"/>
      <c r="C216" s="10" t="n"/>
      <c r="D216" s="10" t="n"/>
      <c r="E216" s="10" t="n"/>
      <c r="F216" s="9" t="n"/>
      <c r="G216" s="10" t="n"/>
      <c r="H216" s="10" t="n"/>
      <c r="I216">
        <f>IF(A216="","",B216&amp;"|"&amp;(A216*1))</f>
        <v/>
      </c>
      <c r="J216">
        <f>IF(B216="",0,IF(COUNTIF('3.설계사'!$B$4:$B$303,B216)+COUNTIF('3b.시공사'!$B$4:$B$203,B216)=0,1,0))</f>
        <v/>
      </c>
    </row>
    <row r="217">
      <c r="A217" s="9" t="n"/>
      <c r="B217" s="10" t="n"/>
      <c r="C217" s="10" t="n"/>
      <c r="D217" s="10" t="n"/>
      <c r="E217" s="10" t="n"/>
      <c r="F217" s="9" t="n"/>
      <c r="G217" s="10" t="n"/>
      <c r="H217" s="10" t="n"/>
      <c r="I217">
        <f>IF(A217="","",B217&amp;"|"&amp;(A217*1))</f>
        <v/>
      </c>
      <c r="J217">
        <f>IF(B217="",0,IF(COUNTIF('3.설계사'!$B$4:$B$303,B217)+COUNTIF('3b.시공사'!$B$4:$B$203,B217)=0,1,0))</f>
        <v/>
      </c>
    </row>
    <row r="218">
      <c r="A218" s="9" t="n"/>
      <c r="B218" s="10" t="n"/>
      <c r="C218" s="10" t="n"/>
      <c r="D218" s="10" t="n"/>
      <c r="E218" s="10" t="n"/>
      <c r="F218" s="9" t="n"/>
      <c r="G218" s="10" t="n"/>
      <c r="H218" s="10" t="n"/>
      <c r="I218">
        <f>IF(A218="","",B218&amp;"|"&amp;(A218*1))</f>
        <v/>
      </c>
      <c r="J218">
        <f>IF(B218="",0,IF(COUNTIF('3.설계사'!$B$4:$B$303,B218)+COUNTIF('3b.시공사'!$B$4:$B$203,B218)=0,1,0))</f>
        <v/>
      </c>
    </row>
    <row r="219">
      <c r="A219" s="9" t="n"/>
      <c r="B219" s="10" t="n"/>
      <c r="C219" s="10" t="n"/>
      <c r="D219" s="10" t="n"/>
      <c r="E219" s="10" t="n"/>
      <c r="F219" s="9" t="n"/>
      <c r="G219" s="10" t="n"/>
      <c r="H219" s="10" t="n"/>
      <c r="I219">
        <f>IF(A219="","",B219&amp;"|"&amp;(A219*1))</f>
        <v/>
      </c>
      <c r="J219">
        <f>IF(B219="",0,IF(COUNTIF('3.설계사'!$B$4:$B$303,B219)+COUNTIF('3b.시공사'!$B$4:$B$203,B219)=0,1,0))</f>
        <v/>
      </c>
    </row>
    <row r="220">
      <c r="A220" s="9" t="n"/>
      <c r="B220" s="10" t="n"/>
      <c r="C220" s="10" t="n"/>
      <c r="D220" s="10" t="n"/>
      <c r="E220" s="10" t="n"/>
      <c r="F220" s="9" t="n"/>
      <c r="G220" s="10" t="n"/>
      <c r="H220" s="10" t="n"/>
      <c r="I220">
        <f>IF(A220="","",B220&amp;"|"&amp;(A220*1))</f>
        <v/>
      </c>
      <c r="J220">
        <f>IF(B220="",0,IF(COUNTIF('3.설계사'!$B$4:$B$303,B220)+COUNTIF('3b.시공사'!$B$4:$B$203,B220)=0,1,0))</f>
        <v/>
      </c>
    </row>
    <row r="221">
      <c r="A221" s="9" t="n"/>
      <c r="B221" s="10" t="n"/>
      <c r="C221" s="10" t="n"/>
      <c r="D221" s="10" t="n"/>
      <c r="E221" s="10" t="n"/>
      <c r="F221" s="9" t="n"/>
      <c r="G221" s="10" t="n"/>
      <c r="H221" s="10" t="n"/>
      <c r="I221">
        <f>IF(A221="","",B221&amp;"|"&amp;(A221*1))</f>
        <v/>
      </c>
      <c r="J221">
        <f>IF(B221="",0,IF(COUNTIF('3.설계사'!$B$4:$B$303,B221)+COUNTIF('3b.시공사'!$B$4:$B$203,B221)=0,1,0))</f>
        <v/>
      </c>
    </row>
    <row r="222">
      <c r="A222" s="9" t="n"/>
      <c r="B222" s="10" t="n"/>
      <c r="C222" s="10" t="n"/>
      <c r="D222" s="10" t="n"/>
      <c r="E222" s="10" t="n"/>
      <c r="F222" s="9" t="n"/>
      <c r="G222" s="10" t="n"/>
      <c r="H222" s="10" t="n"/>
      <c r="I222">
        <f>IF(A222="","",B222&amp;"|"&amp;(A222*1))</f>
        <v/>
      </c>
      <c r="J222">
        <f>IF(B222="",0,IF(COUNTIF('3.설계사'!$B$4:$B$303,B222)+COUNTIF('3b.시공사'!$B$4:$B$203,B222)=0,1,0))</f>
        <v/>
      </c>
    </row>
    <row r="223">
      <c r="A223" s="9" t="n"/>
      <c r="B223" s="10" t="n"/>
      <c r="C223" s="10" t="n"/>
      <c r="D223" s="10" t="n"/>
      <c r="E223" s="10" t="n"/>
      <c r="F223" s="9" t="n"/>
      <c r="G223" s="10" t="n"/>
      <c r="H223" s="10" t="n"/>
      <c r="I223">
        <f>IF(A223="","",B223&amp;"|"&amp;(A223*1))</f>
        <v/>
      </c>
      <c r="J223">
        <f>IF(B223="",0,IF(COUNTIF('3.설계사'!$B$4:$B$303,B223)+COUNTIF('3b.시공사'!$B$4:$B$203,B223)=0,1,0))</f>
        <v/>
      </c>
    </row>
    <row r="224">
      <c r="A224" s="9" t="n"/>
      <c r="B224" s="10" t="n"/>
      <c r="C224" s="10" t="n"/>
      <c r="D224" s="10" t="n"/>
      <c r="E224" s="10" t="n"/>
      <c r="F224" s="9" t="n"/>
      <c r="G224" s="10" t="n"/>
      <c r="H224" s="10" t="n"/>
      <c r="I224">
        <f>IF(A224="","",B224&amp;"|"&amp;(A224*1))</f>
        <v/>
      </c>
      <c r="J224">
        <f>IF(B224="",0,IF(COUNTIF('3.설계사'!$B$4:$B$303,B224)+COUNTIF('3b.시공사'!$B$4:$B$203,B224)=0,1,0))</f>
        <v/>
      </c>
    </row>
    <row r="225">
      <c r="A225" s="9" t="n"/>
      <c r="B225" s="10" t="n"/>
      <c r="C225" s="10" t="n"/>
      <c r="D225" s="10" t="n"/>
      <c r="E225" s="10" t="n"/>
      <c r="F225" s="9" t="n"/>
      <c r="G225" s="10" t="n"/>
      <c r="H225" s="10" t="n"/>
      <c r="I225">
        <f>IF(A225="","",B225&amp;"|"&amp;(A225*1))</f>
        <v/>
      </c>
      <c r="J225">
        <f>IF(B225="",0,IF(COUNTIF('3.설계사'!$B$4:$B$303,B225)+COUNTIF('3b.시공사'!$B$4:$B$203,B225)=0,1,0))</f>
        <v/>
      </c>
    </row>
    <row r="226">
      <c r="A226" s="9" t="n"/>
      <c r="B226" s="10" t="n"/>
      <c r="C226" s="10" t="n"/>
      <c r="D226" s="10" t="n"/>
      <c r="E226" s="10" t="n"/>
      <c r="F226" s="9" t="n"/>
      <c r="G226" s="10" t="n"/>
      <c r="H226" s="10" t="n"/>
      <c r="I226">
        <f>IF(A226="","",B226&amp;"|"&amp;(A226*1))</f>
        <v/>
      </c>
      <c r="J226">
        <f>IF(B226="",0,IF(COUNTIF('3.설계사'!$B$4:$B$303,B226)+COUNTIF('3b.시공사'!$B$4:$B$203,B226)=0,1,0))</f>
        <v/>
      </c>
    </row>
    <row r="227">
      <c r="A227" s="9" t="n"/>
      <c r="B227" s="10" t="n"/>
      <c r="C227" s="10" t="n"/>
      <c r="D227" s="10" t="n"/>
      <c r="E227" s="10" t="n"/>
      <c r="F227" s="9" t="n"/>
      <c r="G227" s="10" t="n"/>
      <c r="H227" s="10" t="n"/>
      <c r="I227">
        <f>IF(A227="","",B227&amp;"|"&amp;(A227*1))</f>
        <v/>
      </c>
      <c r="J227">
        <f>IF(B227="",0,IF(COUNTIF('3.설계사'!$B$4:$B$303,B227)+COUNTIF('3b.시공사'!$B$4:$B$203,B227)=0,1,0))</f>
        <v/>
      </c>
    </row>
    <row r="228">
      <c r="A228" s="9" t="n"/>
      <c r="B228" s="10" t="n"/>
      <c r="C228" s="10" t="n"/>
      <c r="D228" s="10" t="n"/>
      <c r="E228" s="10" t="n"/>
      <c r="F228" s="9" t="n"/>
      <c r="G228" s="10" t="n"/>
      <c r="H228" s="10" t="n"/>
      <c r="I228">
        <f>IF(A228="","",B228&amp;"|"&amp;(A228*1))</f>
        <v/>
      </c>
      <c r="J228">
        <f>IF(B228="",0,IF(COUNTIF('3.설계사'!$B$4:$B$303,B228)+COUNTIF('3b.시공사'!$B$4:$B$203,B228)=0,1,0))</f>
        <v/>
      </c>
    </row>
    <row r="229">
      <c r="A229" s="9" t="n"/>
      <c r="B229" s="10" t="n"/>
      <c r="C229" s="10" t="n"/>
      <c r="D229" s="10" t="n"/>
      <c r="E229" s="10" t="n"/>
      <c r="F229" s="9" t="n"/>
      <c r="G229" s="10" t="n"/>
      <c r="H229" s="10" t="n"/>
      <c r="I229">
        <f>IF(A229="","",B229&amp;"|"&amp;(A229*1))</f>
        <v/>
      </c>
      <c r="J229">
        <f>IF(B229="",0,IF(COUNTIF('3.설계사'!$B$4:$B$303,B229)+COUNTIF('3b.시공사'!$B$4:$B$203,B229)=0,1,0))</f>
        <v/>
      </c>
    </row>
    <row r="230">
      <c r="A230" s="9" t="n"/>
      <c r="B230" s="10" t="n"/>
      <c r="C230" s="10" t="n"/>
      <c r="D230" s="10" t="n"/>
      <c r="E230" s="10" t="n"/>
      <c r="F230" s="9" t="n"/>
      <c r="G230" s="10" t="n"/>
      <c r="H230" s="10" t="n"/>
      <c r="I230">
        <f>IF(A230="","",B230&amp;"|"&amp;(A230*1))</f>
        <v/>
      </c>
      <c r="J230">
        <f>IF(B230="",0,IF(COUNTIF('3.설계사'!$B$4:$B$303,B230)+COUNTIF('3b.시공사'!$B$4:$B$203,B230)=0,1,0))</f>
        <v/>
      </c>
    </row>
    <row r="231">
      <c r="A231" s="9" t="n"/>
      <c r="B231" s="10" t="n"/>
      <c r="C231" s="10" t="n"/>
      <c r="D231" s="10" t="n"/>
      <c r="E231" s="10" t="n"/>
      <c r="F231" s="9" t="n"/>
      <c r="G231" s="10" t="n"/>
      <c r="H231" s="10" t="n"/>
      <c r="I231">
        <f>IF(A231="","",B231&amp;"|"&amp;(A231*1))</f>
        <v/>
      </c>
      <c r="J231">
        <f>IF(B231="",0,IF(COUNTIF('3.설계사'!$B$4:$B$303,B231)+COUNTIF('3b.시공사'!$B$4:$B$203,B231)=0,1,0))</f>
        <v/>
      </c>
    </row>
    <row r="232">
      <c r="A232" s="9" t="n"/>
      <c r="B232" s="10" t="n"/>
      <c r="C232" s="10" t="n"/>
      <c r="D232" s="10" t="n"/>
      <c r="E232" s="10" t="n"/>
      <c r="F232" s="9" t="n"/>
      <c r="G232" s="10" t="n"/>
      <c r="H232" s="10" t="n"/>
      <c r="I232">
        <f>IF(A232="","",B232&amp;"|"&amp;(A232*1))</f>
        <v/>
      </c>
      <c r="J232">
        <f>IF(B232="",0,IF(COUNTIF('3.설계사'!$B$4:$B$303,B232)+COUNTIF('3b.시공사'!$B$4:$B$203,B232)=0,1,0))</f>
        <v/>
      </c>
    </row>
    <row r="233">
      <c r="A233" s="9" t="n"/>
      <c r="B233" s="10" t="n"/>
      <c r="C233" s="10" t="n"/>
      <c r="D233" s="10" t="n"/>
      <c r="E233" s="10" t="n"/>
      <c r="F233" s="9" t="n"/>
      <c r="G233" s="10" t="n"/>
      <c r="H233" s="10" t="n"/>
      <c r="I233">
        <f>IF(A233="","",B233&amp;"|"&amp;(A233*1))</f>
        <v/>
      </c>
      <c r="J233">
        <f>IF(B233="",0,IF(COUNTIF('3.설계사'!$B$4:$B$303,B233)+COUNTIF('3b.시공사'!$B$4:$B$203,B233)=0,1,0))</f>
        <v/>
      </c>
    </row>
    <row r="234">
      <c r="A234" s="9" t="n"/>
      <c r="B234" s="10" t="n"/>
      <c r="C234" s="10" t="n"/>
      <c r="D234" s="10" t="n"/>
      <c r="E234" s="10" t="n"/>
      <c r="F234" s="9" t="n"/>
      <c r="G234" s="10" t="n"/>
      <c r="H234" s="10" t="n"/>
      <c r="I234">
        <f>IF(A234="","",B234&amp;"|"&amp;(A234*1))</f>
        <v/>
      </c>
      <c r="J234">
        <f>IF(B234="",0,IF(COUNTIF('3.설계사'!$B$4:$B$303,B234)+COUNTIF('3b.시공사'!$B$4:$B$203,B234)=0,1,0))</f>
        <v/>
      </c>
    </row>
    <row r="235">
      <c r="A235" s="9" t="n"/>
      <c r="B235" s="10" t="n"/>
      <c r="C235" s="10" t="n"/>
      <c r="D235" s="10" t="n"/>
      <c r="E235" s="10" t="n"/>
      <c r="F235" s="9" t="n"/>
      <c r="G235" s="10" t="n"/>
      <c r="H235" s="10" t="n"/>
      <c r="I235">
        <f>IF(A235="","",B235&amp;"|"&amp;(A235*1))</f>
        <v/>
      </c>
      <c r="J235">
        <f>IF(B235="",0,IF(COUNTIF('3.설계사'!$B$4:$B$303,B235)+COUNTIF('3b.시공사'!$B$4:$B$203,B235)=0,1,0))</f>
        <v/>
      </c>
    </row>
    <row r="236">
      <c r="A236" s="9" t="n"/>
      <c r="B236" s="10" t="n"/>
      <c r="C236" s="10" t="n"/>
      <c r="D236" s="10" t="n"/>
      <c r="E236" s="10" t="n"/>
      <c r="F236" s="9" t="n"/>
      <c r="G236" s="10" t="n"/>
      <c r="H236" s="10" t="n"/>
      <c r="I236">
        <f>IF(A236="","",B236&amp;"|"&amp;(A236*1))</f>
        <v/>
      </c>
      <c r="J236">
        <f>IF(B236="",0,IF(COUNTIF('3.설계사'!$B$4:$B$303,B236)+COUNTIF('3b.시공사'!$B$4:$B$203,B236)=0,1,0))</f>
        <v/>
      </c>
    </row>
    <row r="237">
      <c r="A237" s="9" t="n"/>
      <c r="B237" s="10" t="n"/>
      <c r="C237" s="10" t="n"/>
      <c r="D237" s="10" t="n"/>
      <c r="E237" s="10" t="n"/>
      <c r="F237" s="9" t="n"/>
      <c r="G237" s="10" t="n"/>
      <c r="H237" s="10" t="n"/>
      <c r="I237">
        <f>IF(A237="","",B237&amp;"|"&amp;(A237*1))</f>
        <v/>
      </c>
      <c r="J237">
        <f>IF(B237="",0,IF(COUNTIF('3.설계사'!$B$4:$B$303,B237)+COUNTIF('3b.시공사'!$B$4:$B$203,B237)=0,1,0))</f>
        <v/>
      </c>
    </row>
    <row r="238">
      <c r="A238" s="9" t="n"/>
      <c r="B238" s="10" t="n"/>
      <c r="C238" s="10" t="n"/>
      <c r="D238" s="10" t="n"/>
      <c r="E238" s="10" t="n"/>
      <c r="F238" s="9" t="n"/>
      <c r="G238" s="10" t="n"/>
      <c r="H238" s="10" t="n"/>
      <c r="I238">
        <f>IF(A238="","",B238&amp;"|"&amp;(A238*1))</f>
        <v/>
      </c>
      <c r="J238">
        <f>IF(B238="",0,IF(COUNTIF('3.설계사'!$B$4:$B$303,B238)+COUNTIF('3b.시공사'!$B$4:$B$203,B238)=0,1,0))</f>
        <v/>
      </c>
    </row>
    <row r="239">
      <c r="A239" s="9" t="n"/>
      <c r="B239" s="10" t="n"/>
      <c r="C239" s="10" t="n"/>
      <c r="D239" s="10" t="n"/>
      <c r="E239" s="10" t="n"/>
      <c r="F239" s="9" t="n"/>
      <c r="G239" s="10" t="n"/>
      <c r="H239" s="10" t="n"/>
      <c r="I239">
        <f>IF(A239="","",B239&amp;"|"&amp;(A239*1))</f>
        <v/>
      </c>
      <c r="J239">
        <f>IF(B239="",0,IF(COUNTIF('3.설계사'!$B$4:$B$303,B239)+COUNTIF('3b.시공사'!$B$4:$B$203,B239)=0,1,0))</f>
        <v/>
      </c>
    </row>
    <row r="240">
      <c r="A240" s="9" t="n"/>
      <c r="B240" s="10" t="n"/>
      <c r="C240" s="10" t="n"/>
      <c r="D240" s="10" t="n"/>
      <c r="E240" s="10" t="n"/>
      <c r="F240" s="9" t="n"/>
      <c r="G240" s="10" t="n"/>
      <c r="H240" s="10" t="n"/>
      <c r="I240">
        <f>IF(A240="","",B240&amp;"|"&amp;(A240*1))</f>
        <v/>
      </c>
      <c r="J240">
        <f>IF(B240="",0,IF(COUNTIF('3.설계사'!$B$4:$B$303,B240)+COUNTIF('3b.시공사'!$B$4:$B$203,B240)=0,1,0))</f>
        <v/>
      </c>
    </row>
    <row r="241">
      <c r="A241" s="9" t="n"/>
      <c r="B241" s="10" t="n"/>
      <c r="C241" s="10" t="n"/>
      <c r="D241" s="10" t="n"/>
      <c r="E241" s="10" t="n"/>
      <c r="F241" s="9" t="n"/>
      <c r="G241" s="10" t="n"/>
      <c r="H241" s="10" t="n"/>
      <c r="I241">
        <f>IF(A241="","",B241&amp;"|"&amp;(A241*1))</f>
        <v/>
      </c>
      <c r="J241">
        <f>IF(B241="",0,IF(COUNTIF('3.설계사'!$B$4:$B$303,B241)+COUNTIF('3b.시공사'!$B$4:$B$203,B241)=0,1,0))</f>
        <v/>
      </c>
    </row>
    <row r="242">
      <c r="A242" s="9" t="n"/>
      <c r="B242" s="10" t="n"/>
      <c r="C242" s="10" t="n"/>
      <c r="D242" s="10" t="n"/>
      <c r="E242" s="10" t="n"/>
      <c r="F242" s="9" t="n"/>
      <c r="G242" s="10" t="n"/>
      <c r="H242" s="10" t="n"/>
      <c r="I242">
        <f>IF(A242="","",B242&amp;"|"&amp;(A242*1))</f>
        <v/>
      </c>
      <c r="J242">
        <f>IF(B242="",0,IF(COUNTIF('3.설계사'!$B$4:$B$303,B242)+COUNTIF('3b.시공사'!$B$4:$B$203,B242)=0,1,0))</f>
        <v/>
      </c>
    </row>
    <row r="243">
      <c r="A243" s="9" t="n"/>
      <c r="B243" s="10" t="n"/>
      <c r="C243" s="10" t="n"/>
      <c r="D243" s="10" t="n"/>
      <c r="E243" s="10" t="n"/>
      <c r="F243" s="9" t="n"/>
      <c r="G243" s="10" t="n"/>
      <c r="H243" s="10" t="n"/>
      <c r="I243">
        <f>IF(A243="","",B243&amp;"|"&amp;(A243*1))</f>
        <v/>
      </c>
      <c r="J243">
        <f>IF(B243="",0,IF(COUNTIF('3.설계사'!$B$4:$B$303,B243)+COUNTIF('3b.시공사'!$B$4:$B$203,B243)=0,1,0))</f>
        <v/>
      </c>
    </row>
    <row r="244">
      <c r="A244" s="9" t="n"/>
      <c r="B244" s="10" t="n"/>
      <c r="C244" s="10" t="n"/>
      <c r="D244" s="10" t="n"/>
      <c r="E244" s="10" t="n"/>
      <c r="F244" s="9" t="n"/>
      <c r="G244" s="10" t="n"/>
      <c r="H244" s="10" t="n"/>
      <c r="I244">
        <f>IF(A244="","",B244&amp;"|"&amp;(A244*1))</f>
        <v/>
      </c>
      <c r="J244">
        <f>IF(B244="",0,IF(COUNTIF('3.설계사'!$B$4:$B$303,B244)+COUNTIF('3b.시공사'!$B$4:$B$203,B244)=0,1,0))</f>
        <v/>
      </c>
    </row>
    <row r="245">
      <c r="A245" s="9" t="n"/>
      <c r="B245" s="10" t="n"/>
      <c r="C245" s="10" t="n"/>
      <c r="D245" s="10" t="n"/>
      <c r="E245" s="10" t="n"/>
      <c r="F245" s="9" t="n"/>
      <c r="G245" s="10" t="n"/>
      <c r="H245" s="10" t="n"/>
      <c r="I245">
        <f>IF(A245="","",B245&amp;"|"&amp;(A245*1))</f>
        <v/>
      </c>
      <c r="J245">
        <f>IF(B245="",0,IF(COUNTIF('3.설계사'!$B$4:$B$303,B245)+COUNTIF('3b.시공사'!$B$4:$B$203,B245)=0,1,0))</f>
        <v/>
      </c>
    </row>
    <row r="246">
      <c r="A246" s="9" t="n"/>
      <c r="B246" s="10" t="n"/>
      <c r="C246" s="10" t="n"/>
      <c r="D246" s="10" t="n"/>
      <c r="E246" s="10" t="n"/>
      <c r="F246" s="9" t="n"/>
      <c r="G246" s="10" t="n"/>
      <c r="H246" s="10" t="n"/>
      <c r="I246">
        <f>IF(A246="","",B246&amp;"|"&amp;(A246*1))</f>
        <v/>
      </c>
      <c r="J246">
        <f>IF(B246="",0,IF(COUNTIF('3.설계사'!$B$4:$B$303,B246)+COUNTIF('3b.시공사'!$B$4:$B$203,B246)=0,1,0))</f>
        <v/>
      </c>
    </row>
    <row r="247">
      <c r="A247" s="9" t="n"/>
      <c r="B247" s="10" t="n"/>
      <c r="C247" s="10" t="n"/>
      <c r="D247" s="10" t="n"/>
      <c r="E247" s="10" t="n"/>
      <c r="F247" s="9" t="n"/>
      <c r="G247" s="10" t="n"/>
      <c r="H247" s="10" t="n"/>
      <c r="I247">
        <f>IF(A247="","",B247&amp;"|"&amp;(A247*1))</f>
        <v/>
      </c>
      <c r="J247">
        <f>IF(B247="",0,IF(COUNTIF('3.설계사'!$B$4:$B$303,B247)+COUNTIF('3b.시공사'!$B$4:$B$203,B247)=0,1,0))</f>
        <v/>
      </c>
    </row>
    <row r="248">
      <c r="A248" s="9" t="n"/>
      <c r="B248" s="10" t="n"/>
      <c r="C248" s="10" t="n"/>
      <c r="D248" s="10" t="n"/>
      <c r="E248" s="10" t="n"/>
      <c r="F248" s="9" t="n"/>
      <c r="G248" s="10" t="n"/>
      <c r="H248" s="10" t="n"/>
      <c r="I248">
        <f>IF(A248="","",B248&amp;"|"&amp;(A248*1))</f>
        <v/>
      </c>
      <c r="J248">
        <f>IF(B248="",0,IF(COUNTIF('3.설계사'!$B$4:$B$303,B248)+COUNTIF('3b.시공사'!$B$4:$B$203,B248)=0,1,0))</f>
        <v/>
      </c>
    </row>
    <row r="249">
      <c r="A249" s="9" t="n"/>
      <c r="B249" s="10" t="n"/>
      <c r="C249" s="10" t="n"/>
      <c r="D249" s="10" t="n"/>
      <c r="E249" s="10" t="n"/>
      <c r="F249" s="9" t="n"/>
      <c r="G249" s="10" t="n"/>
      <c r="H249" s="10" t="n"/>
      <c r="I249">
        <f>IF(A249="","",B249&amp;"|"&amp;(A249*1))</f>
        <v/>
      </c>
      <c r="J249">
        <f>IF(B249="",0,IF(COUNTIF('3.설계사'!$B$4:$B$303,B249)+COUNTIF('3b.시공사'!$B$4:$B$203,B249)=0,1,0))</f>
        <v/>
      </c>
    </row>
    <row r="250">
      <c r="A250" s="9" t="n"/>
      <c r="B250" s="10" t="n"/>
      <c r="C250" s="10" t="n"/>
      <c r="D250" s="10" t="n"/>
      <c r="E250" s="10" t="n"/>
      <c r="F250" s="9" t="n"/>
      <c r="G250" s="10" t="n"/>
      <c r="H250" s="10" t="n"/>
      <c r="I250">
        <f>IF(A250="","",B250&amp;"|"&amp;(A250*1))</f>
        <v/>
      </c>
      <c r="J250">
        <f>IF(B250="",0,IF(COUNTIF('3.설계사'!$B$4:$B$303,B250)+COUNTIF('3b.시공사'!$B$4:$B$203,B250)=0,1,0))</f>
        <v/>
      </c>
    </row>
    <row r="251">
      <c r="A251" s="9" t="n"/>
      <c r="B251" s="10" t="n"/>
      <c r="C251" s="10" t="n"/>
      <c r="D251" s="10" t="n"/>
      <c r="E251" s="10" t="n"/>
      <c r="F251" s="9" t="n"/>
      <c r="G251" s="10" t="n"/>
      <c r="H251" s="10" t="n"/>
      <c r="I251">
        <f>IF(A251="","",B251&amp;"|"&amp;(A251*1))</f>
        <v/>
      </c>
      <c r="J251">
        <f>IF(B251="",0,IF(COUNTIF('3.설계사'!$B$4:$B$303,B251)+COUNTIF('3b.시공사'!$B$4:$B$203,B251)=0,1,0))</f>
        <v/>
      </c>
    </row>
    <row r="252">
      <c r="A252" s="9" t="n"/>
      <c r="B252" s="10" t="n"/>
      <c r="C252" s="10" t="n"/>
      <c r="D252" s="10" t="n"/>
      <c r="E252" s="10" t="n"/>
      <c r="F252" s="9" t="n"/>
      <c r="G252" s="10" t="n"/>
      <c r="H252" s="10" t="n"/>
      <c r="I252">
        <f>IF(A252="","",B252&amp;"|"&amp;(A252*1))</f>
        <v/>
      </c>
      <c r="J252">
        <f>IF(B252="",0,IF(COUNTIF('3.설계사'!$B$4:$B$303,B252)+COUNTIF('3b.시공사'!$B$4:$B$203,B252)=0,1,0))</f>
        <v/>
      </c>
    </row>
    <row r="253">
      <c r="A253" s="9" t="n"/>
      <c r="B253" s="10" t="n"/>
      <c r="C253" s="10" t="n"/>
      <c r="D253" s="10" t="n"/>
      <c r="E253" s="10" t="n"/>
      <c r="F253" s="9" t="n"/>
      <c r="G253" s="10" t="n"/>
      <c r="H253" s="10" t="n"/>
      <c r="I253">
        <f>IF(A253="","",B253&amp;"|"&amp;(A253*1))</f>
        <v/>
      </c>
      <c r="J253">
        <f>IF(B253="",0,IF(COUNTIF('3.설계사'!$B$4:$B$303,B253)+COUNTIF('3b.시공사'!$B$4:$B$203,B253)=0,1,0))</f>
        <v/>
      </c>
    </row>
    <row r="254">
      <c r="A254" s="9" t="n"/>
      <c r="B254" s="10" t="n"/>
      <c r="C254" s="10" t="n"/>
      <c r="D254" s="10" t="n"/>
      <c r="E254" s="10" t="n"/>
      <c r="F254" s="9" t="n"/>
      <c r="G254" s="10" t="n"/>
      <c r="H254" s="10" t="n"/>
      <c r="I254">
        <f>IF(A254="","",B254&amp;"|"&amp;(A254*1))</f>
        <v/>
      </c>
      <c r="J254">
        <f>IF(B254="",0,IF(COUNTIF('3.설계사'!$B$4:$B$303,B254)+COUNTIF('3b.시공사'!$B$4:$B$203,B254)=0,1,0))</f>
        <v/>
      </c>
    </row>
    <row r="255">
      <c r="A255" s="9" t="n"/>
      <c r="B255" s="10" t="n"/>
      <c r="C255" s="10" t="n"/>
      <c r="D255" s="10" t="n"/>
      <c r="E255" s="10" t="n"/>
      <c r="F255" s="9" t="n"/>
      <c r="G255" s="10" t="n"/>
      <c r="H255" s="10" t="n"/>
      <c r="I255">
        <f>IF(A255="","",B255&amp;"|"&amp;(A255*1))</f>
        <v/>
      </c>
      <c r="J255">
        <f>IF(B255="",0,IF(COUNTIF('3.설계사'!$B$4:$B$303,B255)+COUNTIF('3b.시공사'!$B$4:$B$203,B255)=0,1,0))</f>
        <v/>
      </c>
    </row>
    <row r="256">
      <c r="A256" s="9" t="n"/>
      <c r="B256" s="10" t="n"/>
      <c r="C256" s="10" t="n"/>
      <c r="D256" s="10" t="n"/>
      <c r="E256" s="10" t="n"/>
      <c r="F256" s="9" t="n"/>
      <c r="G256" s="10" t="n"/>
      <c r="H256" s="10" t="n"/>
      <c r="I256">
        <f>IF(A256="","",B256&amp;"|"&amp;(A256*1))</f>
        <v/>
      </c>
      <c r="J256">
        <f>IF(B256="",0,IF(COUNTIF('3.설계사'!$B$4:$B$303,B256)+COUNTIF('3b.시공사'!$B$4:$B$203,B256)=0,1,0))</f>
        <v/>
      </c>
    </row>
    <row r="257">
      <c r="A257" s="9" t="n"/>
      <c r="B257" s="10" t="n"/>
      <c r="C257" s="10" t="n"/>
      <c r="D257" s="10" t="n"/>
      <c r="E257" s="10" t="n"/>
      <c r="F257" s="9" t="n"/>
      <c r="G257" s="10" t="n"/>
      <c r="H257" s="10" t="n"/>
      <c r="I257">
        <f>IF(A257="","",B257&amp;"|"&amp;(A257*1))</f>
        <v/>
      </c>
      <c r="J257">
        <f>IF(B257="",0,IF(COUNTIF('3.설계사'!$B$4:$B$303,B257)+COUNTIF('3b.시공사'!$B$4:$B$203,B257)=0,1,0))</f>
        <v/>
      </c>
    </row>
    <row r="258">
      <c r="A258" s="9" t="n"/>
      <c r="B258" s="10" t="n"/>
      <c r="C258" s="10" t="n"/>
      <c r="D258" s="10" t="n"/>
      <c r="E258" s="10" t="n"/>
      <c r="F258" s="9" t="n"/>
      <c r="G258" s="10" t="n"/>
      <c r="H258" s="10" t="n"/>
      <c r="I258">
        <f>IF(A258="","",B258&amp;"|"&amp;(A258*1))</f>
        <v/>
      </c>
      <c r="J258">
        <f>IF(B258="",0,IF(COUNTIF('3.설계사'!$B$4:$B$303,B258)+COUNTIF('3b.시공사'!$B$4:$B$203,B258)=0,1,0))</f>
        <v/>
      </c>
    </row>
    <row r="259">
      <c r="A259" s="9" t="n"/>
      <c r="B259" s="10" t="n"/>
      <c r="C259" s="10" t="n"/>
      <c r="D259" s="10" t="n"/>
      <c r="E259" s="10" t="n"/>
      <c r="F259" s="9" t="n"/>
      <c r="G259" s="10" t="n"/>
      <c r="H259" s="10" t="n"/>
      <c r="I259">
        <f>IF(A259="","",B259&amp;"|"&amp;(A259*1))</f>
        <v/>
      </c>
      <c r="J259">
        <f>IF(B259="",0,IF(COUNTIF('3.설계사'!$B$4:$B$303,B259)+COUNTIF('3b.시공사'!$B$4:$B$203,B259)=0,1,0))</f>
        <v/>
      </c>
    </row>
    <row r="260">
      <c r="A260" s="9" t="n"/>
      <c r="B260" s="10" t="n"/>
      <c r="C260" s="10" t="n"/>
      <c r="D260" s="10" t="n"/>
      <c r="E260" s="10" t="n"/>
      <c r="F260" s="9" t="n"/>
      <c r="G260" s="10" t="n"/>
      <c r="H260" s="10" t="n"/>
      <c r="I260">
        <f>IF(A260="","",B260&amp;"|"&amp;(A260*1))</f>
        <v/>
      </c>
      <c r="J260">
        <f>IF(B260="",0,IF(COUNTIF('3.설계사'!$B$4:$B$303,B260)+COUNTIF('3b.시공사'!$B$4:$B$203,B260)=0,1,0))</f>
        <v/>
      </c>
    </row>
    <row r="261">
      <c r="A261" s="9" t="n"/>
      <c r="B261" s="10" t="n"/>
      <c r="C261" s="10" t="n"/>
      <c r="D261" s="10" t="n"/>
      <c r="E261" s="10" t="n"/>
      <c r="F261" s="9" t="n"/>
      <c r="G261" s="10" t="n"/>
      <c r="H261" s="10" t="n"/>
      <c r="I261">
        <f>IF(A261="","",B261&amp;"|"&amp;(A261*1))</f>
        <v/>
      </c>
      <c r="J261">
        <f>IF(B261="",0,IF(COUNTIF('3.설계사'!$B$4:$B$303,B261)+COUNTIF('3b.시공사'!$B$4:$B$203,B261)=0,1,0))</f>
        <v/>
      </c>
    </row>
    <row r="262">
      <c r="A262" s="9" t="n"/>
      <c r="B262" s="10" t="n"/>
      <c r="C262" s="10" t="n"/>
      <c r="D262" s="10" t="n"/>
      <c r="E262" s="10" t="n"/>
      <c r="F262" s="9" t="n"/>
      <c r="G262" s="10" t="n"/>
      <c r="H262" s="10" t="n"/>
      <c r="I262">
        <f>IF(A262="","",B262&amp;"|"&amp;(A262*1))</f>
        <v/>
      </c>
      <c r="J262">
        <f>IF(B262="",0,IF(COUNTIF('3.설계사'!$B$4:$B$303,B262)+COUNTIF('3b.시공사'!$B$4:$B$203,B262)=0,1,0))</f>
        <v/>
      </c>
    </row>
    <row r="263">
      <c r="A263" s="9" t="n"/>
      <c r="B263" s="10" t="n"/>
      <c r="C263" s="10" t="n"/>
      <c r="D263" s="10" t="n"/>
      <c r="E263" s="10" t="n"/>
      <c r="F263" s="9" t="n"/>
      <c r="G263" s="10" t="n"/>
      <c r="H263" s="10" t="n"/>
      <c r="I263">
        <f>IF(A263="","",B263&amp;"|"&amp;(A263*1))</f>
        <v/>
      </c>
      <c r="J263">
        <f>IF(B263="",0,IF(COUNTIF('3.설계사'!$B$4:$B$303,B263)+COUNTIF('3b.시공사'!$B$4:$B$203,B263)=0,1,0))</f>
        <v/>
      </c>
    </row>
    <row r="264">
      <c r="A264" s="9" t="n"/>
      <c r="B264" s="10" t="n"/>
      <c r="C264" s="10" t="n"/>
      <c r="D264" s="10" t="n"/>
      <c r="E264" s="10" t="n"/>
      <c r="F264" s="9" t="n"/>
      <c r="G264" s="10" t="n"/>
      <c r="H264" s="10" t="n"/>
      <c r="I264">
        <f>IF(A264="","",B264&amp;"|"&amp;(A264*1))</f>
        <v/>
      </c>
      <c r="J264">
        <f>IF(B264="",0,IF(COUNTIF('3.설계사'!$B$4:$B$303,B264)+COUNTIF('3b.시공사'!$B$4:$B$203,B264)=0,1,0))</f>
        <v/>
      </c>
    </row>
    <row r="265">
      <c r="A265" s="9" t="n"/>
      <c r="B265" s="10" t="n"/>
      <c r="C265" s="10" t="n"/>
      <c r="D265" s="10" t="n"/>
      <c r="E265" s="10" t="n"/>
      <c r="F265" s="9" t="n"/>
      <c r="G265" s="10" t="n"/>
      <c r="H265" s="10" t="n"/>
      <c r="I265">
        <f>IF(A265="","",B265&amp;"|"&amp;(A265*1))</f>
        <v/>
      </c>
      <c r="J265">
        <f>IF(B265="",0,IF(COUNTIF('3.설계사'!$B$4:$B$303,B265)+COUNTIF('3b.시공사'!$B$4:$B$203,B265)=0,1,0))</f>
        <v/>
      </c>
    </row>
    <row r="266">
      <c r="A266" s="9" t="n"/>
      <c r="B266" s="10" t="n"/>
      <c r="C266" s="10" t="n"/>
      <c r="D266" s="10" t="n"/>
      <c r="E266" s="10" t="n"/>
      <c r="F266" s="9" t="n"/>
      <c r="G266" s="10" t="n"/>
      <c r="H266" s="10" t="n"/>
      <c r="I266">
        <f>IF(A266="","",B266&amp;"|"&amp;(A266*1))</f>
        <v/>
      </c>
      <c r="J266">
        <f>IF(B266="",0,IF(COUNTIF('3.설계사'!$B$4:$B$303,B266)+COUNTIF('3b.시공사'!$B$4:$B$203,B266)=0,1,0))</f>
        <v/>
      </c>
    </row>
    <row r="267">
      <c r="A267" s="9" t="n"/>
      <c r="B267" s="10" t="n"/>
      <c r="C267" s="10" t="n"/>
      <c r="D267" s="10" t="n"/>
      <c r="E267" s="10" t="n"/>
      <c r="F267" s="9" t="n"/>
      <c r="G267" s="10" t="n"/>
      <c r="H267" s="10" t="n"/>
      <c r="I267">
        <f>IF(A267="","",B267&amp;"|"&amp;(A267*1))</f>
        <v/>
      </c>
      <c r="J267">
        <f>IF(B267="",0,IF(COUNTIF('3.설계사'!$B$4:$B$303,B267)+COUNTIF('3b.시공사'!$B$4:$B$203,B267)=0,1,0))</f>
        <v/>
      </c>
    </row>
    <row r="268">
      <c r="A268" s="9" t="n"/>
      <c r="B268" s="10" t="n"/>
      <c r="C268" s="10" t="n"/>
      <c r="D268" s="10" t="n"/>
      <c r="E268" s="10" t="n"/>
      <c r="F268" s="9" t="n"/>
      <c r="G268" s="10" t="n"/>
      <c r="H268" s="10" t="n"/>
      <c r="I268">
        <f>IF(A268="","",B268&amp;"|"&amp;(A268*1))</f>
        <v/>
      </c>
      <c r="J268">
        <f>IF(B268="",0,IF(COUNTIF('3.설계사'!$B$4:$B$303,B268)+COUNTIF('3b.시공사'!$B$4:$B$203,B268)=0,1,0))</f>
        <v/>
      </c>
    </row>
    <row r="269">
      <c r="A269" s="9" t="n"/>
      <c r="B269" s="10" t="n"/>
      <c r="C269" s="10" t="n"/>
      <c r="D269" s="10" t="n"/>
      <c r="E269" s="10" t="n"/>
      <c r="F269" s="9" t="n"/>
      <c r="G269" s="10" t="n"/>
      <c r="H269" s="10" t="n"/>
      <c r="I269">
        <f>IF(A269="","",B269&amp;"|"&amp;(A269*1))</f>
        <v/>
      </c>
      <c r="J269">
        <f>IF(B269="",0,IF(COUNTIF('3.설계사'!$B$4:$B$303,B269)+COUNTIF('3b.시공사'!$B$4:$B$203,B269)=0,1,0))</f>
        <v/>
      </c>
    </row>
    <row r="270">
      <c r="A270" s="9" t="n"/>
      <c r="B270" s="10" t="n"/>
      <c r="C270" s="10" t="n"/>
      <c r="D270" s="10" t="n"/>
      <c r="E270" s="10" t="n"/>
      <c r="F270" s="9" t="n"/>
      <c r="G270" s="10" t="n"/>
      <c r="H270" s="10" t="n"/>
      <c r="I270">
        <f>IF(A270="","",B270&amp;"|"&amp;(A270*1))</f>
        <v/>
      </c>
      <c r="J270">
        <f>IF(B270="",0,IF(COUNTIF('3.설계사'!$B$4:$B$303,B270)+COUNTIF('3b.시공사'!$B$4:$B$203,B270)=0,1,0))</f>
        <v/>
      </c>
    </row>
    <row r="271">
      <c r="A271" s="9" t="n"/>
      <c r="B271" s="10" t="n"/>
      <c r="C271" s="10" t="n"/>
      <c r="D271" s="10" t="n"/>
      <c r="E271" s="10" t="n"/>
      <c r="F271" s="9" t="n"/>
      <c r="G271" s="10" t="n"/>
      <c r="H271" s="10" t="n"/>
      <c r="I271">
        <f>IF(A271="","",B271&amp;"|"&amp;(A271*1))</f>
        <v/>
      </c>
      <c r="J271">
        <f>IF(B271="",0,IF(COUNTIF('3.설계사'!$B$4:$B$303,B271)+COUNTIF('3b.시공사'!$B$4:$B$203,B271)=0,1,0))</f>
        <v/>
      </c>
    </row>
    <row r="272">
      <c r="A272" s="9" t="n"/>
      <c r="B272" s="10" t="n"/>
      <c r="C272" s="10" t="n"/>
      <c r="D272" s="10" t="n"/>
      <c r="E272" s="10" t="n"/>
      <c r="F272" s="9" t="n"/>
      <c r="G272" s="10" t="n"/>
      <c r="H272" s="10" t="n"/>
      <c r="I272">
        <f>IF(A272="","",B272&amp;"|"&amp;(A272*1))</f>
        <v/>
      </c>
      <c r="J272">
        <f>IF(B272="",0,IF(COUNTIF('3.설계사'!$B$4:$B$303,B272)+COUNTIF('3b.시공사'!$B$4:$B$203,B272)=0,1,0))</f>
        <v/>
      </c>
    </row>
    <row r="273">
      <c r="A273" s="9" t="n"/>
      <c r="B273" s="10" t="n"/>
      <c r="C273" s="10" t="n"/>
      <c r="D273" s="10" t="n"/>
      <c r="E273" s="10" t="n"/>
      <c r="F273" s="9" t="n"/>
      <c r="G273" s="10" t="n"/>
      <c r="H273" s="10" t="n"/>
      <c r="I273">
        <f>IF(A273="","",B273&amp;"|"&amp;(A273*1))</f>
        <v/>
      </c>
      <c r="J273">
        <f>IF(B273="",0,IF(COUNTIF('3.설계사'!$B$4:$B$303,B273)+COUNTIF('3b.시공사'!$B$4:$B$203,B273)=0,1,0))</f>
        <v/>
      </c>
    </row>
    <row r="274">
      <c r="A274" s="9" t="n"/>
      <c r="B274" s="10" t="n"/>
      <c r="C274" s="10" t="n"/>
      <c r="D274" s="10" t="n"/>
      <c r="E274" s="10" t="n"/>
      <c r="F274" s="9" t="n"/>
      <c r="G274" s="10" t="n"/>
      <c r="H274" s="10" t="n"/>
      <c r="I274">
        <f>IF(A274="","",B274&amp;"|"&amp;(A274*1))</f>
        <v/>
      </c>
      <c r="J274">
        <f>IF(B274="",0,IF(COUNTIF('3.설계사'!$B$4:$B$303,B274)+COUNTIF('3b.시공사'!$B$4:$B$203,B274)=0,1,0))</f>
        <v/>
      </c>
    </row>
    <row r="275">
      <c r="A275" s="9" t="n"/>
      <c r="B275" s="10" t="n"/>
      <c r="C275" s="10" t="n"/>
      <c r="D275" s="10" t="n"/>
      <c r="E275" s="10" t="n"/>
      <c r="F275" s="9" t="n"/>
      <c r="G275" s="10" t="n"/>
      <c r="H275" s="10" t="n"/>
      <c r="I275">
        <f>IF(A275="","",B275&amp;"|"&amp;(A275*1))</f>
        <v/>
      </c>
      <c r="J275">
        <f>IF(B275="",0,IF(COUNTIF('3.설계사'!$B$4:$B$303,B275)+COUNTIF('3b.시공사'!$B$4:$B$203,B275)=0,1,0))</f>
        <v/>
      </c>
    </row>
    <row r="276">
      <c r="A276" s="9" t="n"/>
      <c r="B276" s="10" t="n"/>
      <c r="C276" s="10" t="n"/>
      <c r="D276" s="10" t="n"/>
      <c r="E276" s="10" t="n"/>
      <c r="F276" s="9" t="n"/>
      <c r="G276" s="10" t="n"/>
      <c r="H276" s="10" t="n"/>
      <c r="I276">
        <f>IF(A276="","",B276&amp;"|"&amp;(A276*1))</f>
        <v/>
      </c>
      <c r="J276">
        <f>IF(B276="",0,IF(COUNTIF('3.설계사'!$B$4:$B$303,B276)+COUNTIF('3b.시공사'!$B$4:$B$203,B276)=0,1,0))</f>
        <v/>
      </c>
    </row>
    <row r="277">
      <c r="A277" s="9" t="n"/>
      <c r="B277" s="10" t="n"/>
      <c r="C277" s="10" t="n"/>
      <c r="D277" s="10" t="n"/>
      <c r="E277" s="10" t="n"/>
      <c r="F277" s="9" t="n"/>
      <c r="G277" s="10" t="n"/>
      <c r="H277" s="10" t="n"/>
      <c r="I277">
        <f>IF(A277="","",B277&amp;"|"&amp;(A277*1))</f>
        <v/>
      </c>
      <c r="J277">
        <f>IF(B277="",0,IF(COUNTIF('3.설계사'!$B$4:$B$303,B277)+COUNTIF('3b.시공사'!$B$4:$B$203,B277)=0,1,0))</f>
        <v/>
      </c>
    </row>
    <row r="278">
      <c r="A278" s="9" t="n"/>
      <c r="B278" s="10" t="n"/>
      <c r="C278" s="10" t="n"/>
      <c r="D278" s="10" t="n"/>
      <c r="E278" s="10" t="n"/>
      <c r="F278" s="9" t="n"/>
      <c r="G278" s="10" t="n"/>
      <c r="H278" s="10" t="n"/>
      <c r="I278">
        <f>IF(A278="","",B278&amp;"|"&amp;(A278*1))</f>
        <v/>
      </c>
      <c r="J278">
        <f>IF(B278="",0,IF(COUNTIF('3.설계사'!$B$4:$B$303,B278)+COUNTIF('3b.시공사'!$B$4:$B$203,B278)=0,1,0))</f>
        <v/>
      </c>
    </row>
    <row r="279">
      <c r="A279" s="9" t="n"/>
      <c r="B279" s="10" t="n"/>
      <c r="C279" s="10" t="n"/>
      <c r="D279" s="10" t="n"/>
      <c r="E279" s="10" t="n"/>
      <c r="F279" s="9" t="n"/>
      <c r="G279" s="10" t="n"/>
      <c r="H279" s="10" t="n"/>
      <c r="I279">
        <f>IF(A279="","",B279&amp;"|"&amp;(A279*1))</f>
        <v/>
      </c>
      <c r="J279">
        <f>IF(B279="",0,IF(COUNTIF('3.설계사'!$B$4:$B$303,B279)+COUNTIF('3b.시공사'!$B$4:$B$203,B279)=0,1,0))</f>
        <v/>
      </c>
    </row>
    <row r="280">
      <c r="A280" s="9" t="n"/>
      <c r="B280" s="10" t="n"/>
      <c r="C280" s="10" t="n"/>
      <c r="D280" s="10" t="n"/>
      <c r="E280" s="10" t="n"/>
      <c r="F280" s="9" t="n"/>
      <c r="G280" s="10" t="n"/>
      <c r="H280" s="10" t="n"/>
      <c r="I280">
        <f>IF(A280="","",B280&amp;"|"&amp;(A280*1))</f>
        <v/>
      </c>
      <c r="J280">
        <f>IF(B280="",0,IF(COUNTIF('3.설계사'!$B$4:$B$303,B280)+COUNTIF('3b.시공사'!$B$4:$B$203,B280)=0,1,0))</f>
        <v/>
      </c>
    </row>
    <row r="281">
      <c r="A281" s="9" t="n"/>
      <c r="B281" s="10" t="n"/>
      <c r="C281" s="10" t="n"/>
      <c r="D281" s="10" t="n"/>
      <c r="E281" s="10" t="n"/>
      <c r="F281" s="9" t="n"/>
      <c r="G281" s="10" t="n"/>
      <c r="H281" s="10" t="n"/>
      <c r="I281">
        <f>IF(A281="","",B281&amp;"|"&amp;(A281*1))</f>
        <v/>
      </c>
      <c r="J281">
        <f>IF(B281="",0,IF(COUNTIF('3.설계사'!$B$4:$B$303,B281)+COUNTIF('3b.시공사'!$B$4:$B$203,B281)=0,1,0))</f>
        <v/>
      </c>
    </row>
    <row r="282">
      <c r="A282" s="9" t="n"/>
      <c r="B282" s="10" t="n"/>
      <c r="C282" s="10" t="n"/>
      <c r="D282" s="10" t="n"/>
      <c r="E282" s="10" t="n"/>
      <c r="F282" s="9" t="n"/>
      <c r="G282" s="10" t="n"/>
      <c r="H282" s="10" t="n"/>
      <c r="I282">
        <f>IF(A282="","",B282&amp;"|"&amp;(A282*1))</f>
        <v/>
      </c>
      <c r="J282">
        <f>IF(B282="",0,IF(COUNTIF('3.설계사'!$B$4:$B$303,B282)+COUNTIF('3b.시공사'!$B$4:$B$203,B282)=0,1,0))</f>
        <v/>
      </c>
    </row>
    <row r="283">
      <c r="A283" s="9" t="n"/>
      <c r="B283" s="10" t="n"/>
      <c r="C283" s="10" t="n"/>
      <c r="D283" s="10" t="n"/>
      <c r="E283" s="10" t="n"/>
      <c r="F283" s="9" t="n"/>
      <c r="G283" s="10" t="n"/>
      <c r="H283" s="10" t="n"/>
      <c r="I283">
        <f>IF(A283="","",B283&amp;"|"&amp;(A283*1))</f>
        <v/>
      </c>
      <c r="J283">
        <f>IF(B283="",0,IF(COUNTIF('3.설계사'!$B$4:$B$303,B283)+COUNTIF('3b.시공사'!$B$4:$B$203,B283)=0,1,0))</f>
        <v/>
      </c>
    </row>
    <row r="284">
      <c r="A284" s="9" t="n"/>
      <c r="B284" s="10" t="n"/>
      <c r="C284" s="10" t="n"/>
      <c r="D284" s="10" t="n"/>
      <c r="E284" s="10" t="n"/>
      <c r="F284" s="9" t="n"/>
      <c r="G284" s="10" t="n"/>
      <c r="H284" s="10" t="n"/>
      <c r="I284">
        <f>IF(A284="","",B284&amp;"|"&amp;(A284*1))</f>
        <v/>
      </c>
      <c r="J284">
        <f>IF(B284="",0,IF(COUNTIF('3.설계사'!$B$4:$B$303,B284)+COUNTIF('3b.시공사'!$B$4:$B$203,B284)=0,1,0))</f>
        <v/>
      </c>
    </row>
    <row r="285">
      <c r="A285" s="9" t="n"/>
      <c r="B285" s="10" t="n"/>
      <c r="C285" s="10" t="n"/>
      <c r="D285" s="10" t="n"/>
      <c r="E285" s="10" t="n"/>
      <c r="F285" s="9" t="n"/>
      <c r="G285" s="10" t="n"/>
      <c r="H285" s="10" t="n"/>
      <c r="I285">
        <f>IF(A285="","",B285&amp;"|"&amp;(A285*1))</f>
        <v/>
      </c>
      <c r="J285">
        <f>IF(B285="",0,IF(COUNTIF('3.설계사'!$B$4:$B$303,B285)+COUNTIF('3b.시공사'!$B$4:$B$203,B285)=0,1,0))</f>
        <v/>
      </c>
    </row>
    <row r="286">
      <c r="A286" s="9" t="n"/>
      <c r="B286" s="10" t="n"/>
      <c r="C286" s="10" t="n"/>
      <c r="D286" s="10" t="n"/>
      <c r="E286" s="10" t="n"/>
      <c r="F286" s="9" t="n"/>
      <c r="G286" s="10" t="n"/>
      <c r="H286" s="10" t="n"/>
      <c r="I286">
        <f>IF(A286="","",B286&amp;"|"&amp;(A286*1))</f>
        <v/>
      </c>
      <c r="J286">
        <f>IF(B286="",0,IF(COUNTIF('3.설계사'!$B$4:$B$303,B286)+COUNTIF('3b.시공사'!$B$4:$B$203,B286)=0,1,0))</f>
        <v/>
      </c>
    </row>
    <row r="287">
      <c r="A287" s="9" t="n"/>
      <c r="B287" s="10" t="n"/>
      <c r="C287" s="10" t="n"/>
      <c r="D287" s="10" t="n"/>
      <c r="E287" s="10" t="n"/>
      <c r="F287" s="9" t="n"/>
      <c r="G287" s="10" t="n"/>
      <c r="H287" s="10" t="n"/>
      <c r="I287">
        <f>IF(A287="","",B287&amp;"|"&amp;(A287*1))</f>
        <v/>
      </c>
      <c r="J287">
        <f>IF(B287="",0,IF(COUNTIF('3.설계사'!$B$4:$B$303,B287)+COUNTIF('3b.시공사'!$B$4:$B$203,B287)=0,1,0))</f>
        <v/>
      </c>
    </row>
    <row r="288">
      <c r="A288" s="9" t="n"/>
      <c r="B288" s="10" t="n"/>
      <c r="C288" s="10" t="n"/>
      <c r="D288" s="10" t="n"/>
      <c r="E288" s="10" t="n"/>
      <c r="F288" s="9" t="n"/>
      <c r="G288" s="10" t="n"/>
      <c r="H288" s="10" t="n"/>
      <c r="I288">
        <f>IF(A288="","",B288&amp;"|"&amp;(A288*1))</f>
        <v/>
      </c>
      <c r="J288">
        <f>IF(B288="",0,IF(COUNTIF('3.설계사'!$B$4:$B$303,B288)+COUNTIF('3b.시공사'!$B$4:$B$203,B288)=0,1,0))</f>
        <v/>
      </c>
    </row>
    <row r="289">
      <c r="A289" s="9" t="n"/>
      <c r="B289" s="10" t="n"/>
      <c r="C289" s="10" t="n"/>
      <c r="D289" s="10" t="n"/>
      <c r="E289" s="10" t="n"/>
      <c r="F289" s="9" t="n"/>
      <c r="G289" s="10" t="n"/>
      <c r="H289" s="10" t="n"/>
      <c r="I289">
        <f>IF(A289="","",B289&amp;"|"&amp;(A289*1))</f>
        <v/>
      </c>
      <c r="J289">
        <f>IF(B289="",0,IF(COUNTIF('3.설계사'!$B$4:$B$303,B289)+COUNTIF('3b.시공사'!$B$4:$B$203,B289)=0,1,0))</f>
        <v/>
      </c>
    </row>
    <row r="290">
      <c r="A290" s="9" t="n"/>
      <c r="B290" s="10" t="n"/>
      <c r="C290" s="10" t="n"/>
      <c r="D290" s="10" t="n"/>
      <c r="E290" s="10" t="n"/>
      <c r="F290" s="9" t="n"/>
      <c r="G290" s="10" t="n"/>
      <c r="H290" s="10" t="n"/>
      <c r="I290">
        <f>IF(A290="","",B290&amp;"|"&amp;(A290*1))</f>
        <v/>
      </c>
      <c r="J290">
        <f>IF(B290="",0,IF(COUNTIF('3.설계사'!$B$4:$B$303,B290)+COUNTIF('3b.시공사'!$B$4:$B$203,B290)=0,1,0))</f>
        <v/>
      </c>
    </row>
    <row r="291">
      <c r="A291" s="9" t="n"/>
      <c r="B291" s="10" t="n"/>
      <c r="C291" s="10" t="n"/>
      <c r="D291" s="10" t="n"/>
      <c r="E291" s="10" t="n"/>
      <c r="F291" s="9" t="n"/>
      <c r="G291" s="10" t="n"/>
      <c r="H291" s="10" t="n"/>
      <c r="I291">
        <f>IF(A291="","",B291&amp;"|"&amp;(A291*1))</f>
        <v/>
      </c>
      <c r="J291">
        <f>IF(B291="",0,IF(COUNTIF('3.설계사'!$B$4:$B$303,B291)+COUNTIF('3b.시공사'!$B$4:$B$203,B291)=0,1,0))</f>
        <v/>
      </c>
    </row>
    <row r="292">
      <c r="A292" s="9" t="n"/>
      <c r="B292" s="10" t="n"/>
      <c r="C292" s="10" t="n"/>
      <c r="D292" s="10" t="n"/>
      <c r="E292" s="10" t="n"/>
      <c r="F292" s="9" t="n"/>
      <c r="G292" s="10" t="n"/>
      <c r="H292" s="10" t="n"/>
      <c r="I292">
        <f>IF(A292="","",B292&amp;"|"&amp;(A292*1))</f>
        <v/>
      </c>
      <c r="J292">
        <f>IF(B292="",0,IF(COUNTIF('3.설계사'!$B$4:$B$303,B292)+COUNTIF('3b.시공사'!$B$4:$B$203,B292)=0,1,0))</f>
        <v/>
      </c>
    </row>
    <row r="293">
      <c r="A293" s="9" t="n"/>
      <c r="B293" s="10" t="n"/>
      <c r="C293" s="10" t="n"/>
      <c r="D293" s="10" t="n"/>
      <c r="E293" s="10" t="n"/>
      <c r="F293" s="9" t="n"/>
      <c r="G293" s="10" t="n"/>
      <c r="H293" s="10" t="n"/>
      <c r="I293">
        <f>IF(A293="","",B293&amp;"|"&amp;(A293*1))</f>
        <v/>
      </c>
      <c r="J293">
        <f>IF(B293="",0,IF(COUNTIF('3.설계사'!$B$4:$B$303,B293)+COUNTIF('3b.시공사'!$B$4:$B$203,B293)=0,1,0))</f>
        <v/>
      </c>
    </row>
    <row r="294">
      <c r="A294" s="9" t="n"/>
      <c r="B294" s="10" t="n"/>
      <c r="C294" s="10" t="n"/>
      <c r="D294" s="10" t="n"/>
      <c r="E294" s="10" t="n"/>
      <c r="F294" s="9" t="n"/>
      <c r="G294" s="10" t="n"/>
      <c r="H294" s="10" t="n"/>
      <c r="I294">
        <f>IF(A294="","",B294&amp;"|"&amp;(A294*1))</f>
        <v/>
      </c>
      <c r="J294">
        <f>IF(B294="",0,IF(COUNTIF('3.설계사'!$B$4:$B$303,B294)+COUNTIF('3b.시공사'!$B$4:$B$203,B294)=0,1,0))</f>
        <v/>
      </c>
    </row>
    <row r="295">
      <c r="A295" s="9" t="n"/>
      <c r="B295" s="10" t="n"/>
      <c r="C295" s="10" t="n"/>
      <c r="D295" s="10" t="n"/>
      <c r="E295" s="10" t="n"/>
      <c r="F295" s="9" t="n"/>
      <c r="G295" s="10" t="n"/>
      <c r="H295" s="10" t="n"/>
      <c r="I295">
        <f>IF(A295="","",B295&amp;"|"&amp;(A295*1))</f>
        <v/>
      </c>
      <c r="J295">
        <f>IF(B295="",0,IF(COUNTIF('3.설계사'!$B$4:$B$303,B295)+COUNTIF('3b.시공사'!$B$4:$B$203,B295)=0,1,0))</f>
        <v/>
      </c>
    </row>
    <row r="296">
      <c r="A296" s="9" t="n"/>
      <c r="B296" s="10" t="n"/>
      <c r="C296" s="10" t="n"/>
      <c r="D296" s="10" t="n"/>
      <c r="E296" s="10" t="n"/>
      <c r="F296" s="9" t="n"/>
      <c r="G296" s="10" t="n"/>
      <c r="H296" s="10" t="n"/>
      <c r="I296">
        <f>IF(A296="","",B296&amp;"|"&amp;(A296*1))</f>
        <v/>
      </c>
      <c r="J296">
        <f>IF(B296="",0,IF(COUNTIF('3.설계사'!$B$4:$B$303,B296)+COUNTIF('3b.시공사'!$B$4:$B$203,B296)=0,1,0))</f>
        <v/>
      </c>
    </row>
    <row r="297">
      <c r="A297" s="9" t="n"/>
      <c r="B297" s="10" t="n"/>
      <c r="C297" s="10" t="n"/>
      <c r="D297" s="10" t="n"/>
      <c r="E297" s="10" t="n"/>
      <c r="F297" s="9" t="n"/>
      <c r="G297" s="10" t="n"/>
      <c r="H297" s="10" t="n"/>
      <c r="I297">
        <f>IF(A297="","",B297&amp;"|"&amp;(A297*1))</f>
        <v/>
      </c>
      <c r="J297">
        <f>IF(B297="",0,IF(COUNTIF('3.설계사'!$B$4:$B$303,B297)+COUNTIF('3b.시공사'!$B$4:$B$203,B297)=0,1,0))</f>
        <v/>
      </c>
    </row>
    <row r="298">
      <c r="A298" s="9" t="n"/>
      <c r="B298" s="10" t="n"/>
      <c r="C298" s="10" t="n"/>
      <c r="D298" s="10" t="n"/>
      <c r="E298" s="10" t="n"/>
      <c r="F298" s="9" t="n"/>
      <c r="G298" s="10" t="n"/>
      <c r="H298" s="10" t="n"/>
      <c r="I298">
        <f>IF(A298="","",B298&amp;"|"&amp;(A298*1))</f>
        <v/>
      </c>
      <c r="J298">
        <f>IF(B298="",0,IF(COUNTIF('3.설계사'!$B$4:$B$303,B298)+COUNTIF('3b.시공사'!$B$4:$B$203,B298)=0,1,0))</f>
        <v/>
      </c>
    </row>
    <row r="299">
      <c r="A299" s="9" t="n"/>
      <c r="B299" s="10" t="n"/>
      <c r="C299" s="10" t="n"/>
      <c r="D299" s="10" t="n"/>
      <c r="E299" s="10" t="n"/>
      <c r="F299" s="9" t="n"/>
      <c r="G299" s="10" t="n"/>
      <c r="H299" s="10" t="n"/>
      <c r="I299">
        <f>IF(A299="","",B299&amp;"|"&amp;(A299*1))</f>
        <v/>
      </c>
      <c r="J299">
        <f>IF(B299="",0,IF(COUNTIF('3.설계사'!$B$4:$B$303,B299)+COUNTIF('3b.시공사'!$B$4:$B$203,B299)=0,1,0))</f>
        <v/>
      </c>
    </row>
    <row r="300">
      <c r="A300" s="9" t="n"/>
      <c r="B300" s="10" t="n"/>
      <c r="C300" s="10" t="n"/>
      <c r="D300" s="10" t="n"/>
      <c r="E300" s="10" t="n"/>
      <c r="F300" s="9" t="n"/>
      <c r="G300" s="10" t="n"/>
      <c r="H300" s="10" t="n"/>
      <c r="I300">
        <f>IF(A300="","",B300&amp;"|"&amp;(A300*1))</f>
        <v/>
      </c>
      <c r="J300">
        <f>IF(B300="",0,IF(COUNTIF('3.설계사'!$B$4:$B$303,B300)+COUNTIF('3b.시공사'!$B$4:$B$203,B300)=0,1,0))</f>
        <v/>
      </c>
    </row>
    <row r="301">
      <c r="A301" s="9" t="n"/>
      <c r="B301" s="10" t="n"/>
      <c r="C301" s="10" t="n"/>
      <c r="D301" s="10" t="n"/>
      <c r="E301" s="10" t="n"/>
      <c r="F301" s="9" t="n"/>
      <c r="G301" s="10" t="n"/>
      <c r="H301" s="10" t="n"/>
      <c r="I301">
        <f>IF(A301="","",B301&amp;"|"&amp;(A301*1))</f>
        <v/>
      </c>
      <c r="J301">
        <f>IF(B301="",0,IF(COUNTIF('3.설계사'!$B$4:$B$303,B301)+COUNTIF('3b.시공사'!$B$4:$B$203,B301)=0,1,0))</f>
        <v/>
      </c>
    </row>
    <row r="302">
      <c r="A302" s="9" t="n"/>
      <c r="B302" s="10" t="n"/>
      <c r="C302" s="10" t="n"/>
      <c r="D302" s="10" t="n"/>
      <c r="E302" s="10" t="n"/>
      <c r="F302" s="9" t="n"/>
      <c r="G302" s="10" t="n"/>
      <c r="H302" s="10" t="n"/>
      <c r="I302">
        <f>IF(A302="","",B302&amp;"|"&amp;(A302*1))</f>
        <v/>
      </c>
      <c r="J302">
        <f>IF(B302="",0,IF(COUNTIF('3.설계사'!$B$4:$B$303,B302)+COUNTIF('3b.시공사'!$B$4:$B$203,B302)=0,1,0))</f>
        <v/>
      </c>
    </row>
    <row r="303">
      <c r="A303" s="9" t="n"/>
      <c r="B303" s="10" t="n"/>
      <c r="C303" s="10" t="n"/>
      <c r="D303" s="10" t="n"/>
      <c r="E303" s="10" t="n"/>
      <c r="F303" s="9" t="n"/>
      <c r="G303" s="10" t="n"/>
      <c r="H303" s="10" t="n"/>
      <c r="I303">
        <f>IF(A303="","",B303&amp;"|"&amp;(A303*1))</f>
        <v/>
      </c>
      <c r="J303">
        <f>IF(B303="",0,IF(COUNTIF('3.설계사'!$B$4:$B$303,B303)+COUNTIF('3b.시공사'!$B$4:$B$203,B303)=0,1,0))</f>
        <v/>
      </c>
    </row>
    <row r="304">
      <c r="A304" s="9" t="n"/>
      <c r="B304" s="10" t="n"/>
      <c r="C304" s="10" t="n"/>
      <c r="D304" s="10" t="n"/>
      <c r="E304" s="10" t="n"/>
      <c r="F304" s="9" t="n"/>
      <c r="G304" s="10" t="n"/>
      <c r="H304" s="10" t="n"/>
      <c r="I304">
        <f>IF(A304="","",B304&amp;"|"&amp;(A304*1))</f>
        <v/>
      </c>
      <c r="J304">
        <f>IF(B304="",0,IF(COUNTIF('3.설계사'!$B$4:$B$303,B304)+COUNTIF('3b.시공사'!$B$4:$B$203,B304)=0,1,0))</f>
        <v/>
      </c>
    </row>
    <row r="305">
      <c r="A305" s="9" t="n"/>
      <c r="B305" s="10" t="n"/>
      <c r="C305" s="10" t="n"/>
      <c r="D305" s="10" t="n"/>
      <c r="E305" s="10" t="n"/>
      <c r="F305" s="9" t="n"/>
      <c r="G305" s="10" t="n"/>
      <c r="H305" s="10" t="n"/>
      <c r="I305">
        <f>IF(A305="","",B305&amp;"|"&amp;(A305*1))</f>
        <v/>
      </c>
      <c r="J305">
        <f>IF(B305="",0,IF(COUNTIF('3.설계사'!$B$4:$B$303,B305)+COUNTIF('3b.시공사'!$B$4:$B$203,B305)=0,1,0))</f>
        <v/>
      </c>
    </row>
    <row r="306">
      <c r="A306" s="9" t="n"/>
      <c r="B306" s="10" t="n"/>
      <c r="C306" s="10" t="n"/>
      <c r="D306" s="10" t="n"/>
      <c r="E306" s="10" t="n"/>
      <c r="F306" s="9" t="n"/>
      <c r="G306" s="10" t="n"/>
      <c r="H306" s="10" t="n"/>
      <c r="I306">
        <f>IF(A306="","",B306&amp;"|"&amp;(A306*1))</f>
        <v/>
      </c>
      <c r="J306">
        <f>IF(B306="",0,IF(COUNTIF('3.설계사'!$B$4:$B$303,B306)+COUNTIF('3b.시공사'!$B$4:$B$203,B306)=0,1,0))</f>
        <v/>
      </c>
    </row>
    <row r="307">
      <c r="A307" s="9" t="n"/>
      <c r="B307" s="10" t="n"/>
      <c r="C307" s="10" t="n"/>
      <c r="D307" s="10" t="n"/>
      <c r="E307" s="10" t="n"/>
      <c r="F307" s="9" t="n"/>
      <c r="G307" s="10" t="n"/>
      <c r="H307" s="10" t="n"/>
      <c r="I307">
        <f>IF(A307="","",B307&amp;"|"&amp;(A307*1))</f>
        <v/>
      </c>
      <c r="J307">
        <f>IF(B307="",0,IF(COUNTIF('3.설계사'!$B$4:$B$303,B307)+COUNTIF('3b.시공사'!$B$4:$B$203,B307)=0,1,0))</f>
        <v/>
      </c>
    </row>
    <row r="308">
      <c r="A308" s="9" t="n"/>
      <c r="B308" s="10" t="n"/>
      <c r="C308" s="10" t="n"/>
      <c r="D308" s="10" t="n"/>
      <c r="E308" s="10" t="n"/>
      <c r="F308" s="9" t="n"/>
      <c r="G308" s="10" t="n"/>
      <c r="H308" s="10" t="n"/>
      <c r="I308">
        <f>IF(A308="","",B308&amp;"|"&amp;(A308*1))</f>
        <v/>
      </c>
      <c r="J308">
        <f>IF(B308="",0,IF(COUNTIF('3.설계사'!$B$4:$B$303,B308)+COUNTIF('3b.시공사'!$B$4:$B$203,B308)=0,1,0))</f>
        <v/>
      </c>
    </row>
    <row r="309">
      <c r="A309" s="9" t="n"/>
      <c r="B309" s="10" t="n"/>
      <c r="C309" s="10" t="n"/>
      <c r="D309" s="10" t="n"/>
      <c r="E309" s="10" t="n"/>
      <c r="F309" s="9" t="n"/>
      <c r="G309" s="10" t="n"/>
      <c r="H309" s="10" t="n"/>
      <c r="I309">
        <f>IF(A309="","",B309&amp;"|"&amp;(A309*1))</f>
        <v/>
      </c>
      <c r="J309">
        <f>IF(B309="",0,IF(COUNTIF('3.설계사'!$B$4:$B$303,B309)+COUNTIF('3b.시공사'!$B$4:$B$203,B309)=0,1,0))</f>
        <v/>
      </c>
    </row>
    <row r="310">
      <c r="A310" s="9" t="n"/>
      <c r="B310" s="10" t="n"/>
      <c r="C310" s="10" t="n"/>
      <c r="D310" s="10" t="n"/>
      <c r="E310" s="10" t="n"/>
      <c r="F310" s="9" t="n"/>
      <c r="G310" s="10" t="n"/>
      <c r="H310" s="10" t="n"/>
      <c r="I310">
        <f>IF(A310="","",B310&amp;"|"&amp;(A310*1))</f>
        <v/>
      </c>
      <c r="J310">
        <f>IF(B310="",0,IF(COUNTIF('3.설계사'!$B$4:$B$303,B310)+COUNTIF('3b.시공사'!$B$4:$B$203,B310)=0,1,0))</f>
        <v/>
      </c>
    </row>
    <row r="311">
      <c r="A311" s="9" t="n"/>
      <c r="B311" s="10" t="n"/>
      <c r="C311" s="10" t="n"/>
      <c r="D311" s="10" t="n"/>
      <c r="E311" s="10" t="n"/>
      <c r="F311" s="9" t="n"/>
      <c r="G311" s="10" t="n"/>
      <c r="H311" s="10" t="n"/>
      <c r="I311">
        <f>IF(A311="","",B311&amp;"|"&amp;(A311*1))</f>
        <v/>
      </c>
      <c r="J311">
        <f>IF(B311="",0,IF(COUNTIF('3.설계사'!$B$4:$B$303,B311)+COUNTIF('3b.시공사'!$B$4:$B$203,B311)=0,1,0))</f>
        <v/>
      </c>
    </row>
    <row r="312">
      <c r="A312" s="9" t="n"/>
      <c r="B312" s="10" t="n"/>
      <c r="C312" s="10" t="n"/>
      <c r="D312" s="10" t="n"/>
      <c r="E312" s="10" t="n"/>
      <c r="F312" s="9" t="n"/>
      <c r="G312" s="10" t="n"/>
      <c r="H312" s="10" t="n"/>
      <c r="I312">
        <f>IF(A312="","",B312&amp;"|"&amp;(A312*1))</f>
        <v/>
      </c>
      <c r="J312">
        <f>IF(B312="",0,IF(COUNTIF('3.설계사'!$B$4:$B$303,B312)+COUNTIF('3b.시공사'!$B$4:$B$203,B312)=0,1,0))</f>
        <v/>
      </c>
    </row>
    <row r="313">
      <c r="A313" s="9" t="n"/>
      <c r="B313" s="10" t="n"/>
      <c r="C313" s="10" t="n"/>
      <c r="D313" s="10" t="n"/>
      <c r="E313" s="10" t="n"/>
      <c r="F313" s="9" t="n"/>
      <c r="G313" s="10" t="n"/>
      <c r="H313" s="10" t="n"/>
      <c r="I313">
        <f>IF(A313="","",B313&amp;"|"&amp;(A313*1))</f>
        <v/>
      </c>
      <c r="J313">
        <f>IF(B313="",0,IF(COUNTIF('3.설계사'!$B$4:$B$303,B313)+COUNTIF('3b.시공사'!$B$4:$B$203,B313)=0,1,0))</f>
        <v/>
      </c>
    </row>
    <row r="314">
      <c r="A314" s="9" t="n"/>
      <c r="B314" s="10" t="n"/>
      <c r="C314" s="10" t="n"/>
      <c r="D314" s="10" t="n"/>
      <c r="E314" s="10" t="n"/>
      <c r="F314" s="9" t="n"/>
      <c r="G314" s="10" t="n"/>
      <c r="H314" s="10" t="n"/>
      <c r="I314">
        <f>IF(A314="","",B314&amp;"|"&amp;(A314*1))</f>
        <v/>
      </c>
      <c r="J314">
        <f>IF(B314="",0,IF(COUNTIF('3.설계사'!$B$4:$B$303,B314)+COUNTIF('3b.시공사'!$B$4:$B$203,B314)=0,1,0))</f>
        <v/>
      </c>
    </row>
    <row r="315">
      <c r="A315" s="9" t="n"/>
      <c r="B315" s="10" t="n"/>
      <c r="C315" s="10" t="n"/>
      <c r="D315" s="10" t="n"/>
      <c r="E315" s="10" t="n"/>
      <c r="F315" s="9" t="n"/>
      <c r="G315" s="10" t="n"/>
      <c r="H315" s="10" t="n"/>
      <c r="I315">
        <f>IF(A315="","",B315&amp;"|"&amp;(A315*1))</f>
        <v/>
      </c>
      <c r="J315">
        <f>IF(B315="",0,IF(COUNTIF('3.설계사'!$B$4:$B$303,B315)+COUNTIF('3b.시공사'!$B$4:$B$203,B315)=0,1,0))</f>
        <v/>
      </c>
    </row>
    <row r="316">
      <c r="A316" s="9" t="n"/>
      <c r="B316" s="10" t="n"/>
      <c r="C316" s="10" t="n"/>
      <c r="D316" s="10" t="n"/>
      <c r="E316" s="10" t="n"/>
      <c r="F316" s="9" t="n"/>
      <c r="G316" s="10" t="n"/>
      <c r="H316" s="10" t="n"/>
      <c r="I316">
        <f>IF(A316="","",B316&amp;"|"&amp;(A316*1))</f>
        <v/>
      </c>
      <c r="J316">
        <f>IF(B316="",0,IF(COUNTIF('3.설계사'!$B$4:$B$303,B316)+COUNTIF('3b.시공사'!$B$4:$B$203,B316)=0,1,0))</f>
        <v/>
      </c>
    </row>
    <row r="317">
      <c r="A317" s="9" t="n"/>
      <c r="B317" s="10" t="n"/>
      <c r="C317" s="10" t="n"/>
      <c r="D317" s="10" t="n"/>
      <c r="E317" s="10" t="n"/>
      <c r="F317" s="9" t="n"/>
      <c r="G317" s="10" t="n"/>
      <c r="H317" s="10" t="n"/>
      <c r="I317">
        <f>IF(A317="","",B317&amp;"|"&amp;(A317*1))</f>
        <v/>
      </c>
      <c r="J317">
        <f>IF(B317="",0,IF(COUNTIF('3.설계사'!$B$4:$B$303,B317)+COUNTIF('3b.시공사'!$B$4:$B$203,B317)=0,1,0))</f>
        <v/>
      </c>
    </row>
    <row r="318">
      <c r="A318" s="9" t="n"/>
      <c r="B318" s="10" t="n"/>
      <c r="C318" s="10" t="n"/>
      <c r="D318" s="10" t="n"/>
      <c r="E318" s="10" t="n"/>
      <c r="F318" s="9" t="n"/>
      <c r="G318" s="10" t="n"/>
      <c r="H318" s="10" t="n"/>
      <c r="I318">
        <f>IF(A318="","",B318&amp;"|"&amp;(A318*1))</f>
        <v/>
      </c>
      <c r="J318">
        <f>IF(B318="",0,IF(COUNTIF('3.설계사'!$B$4:$B$303,B318)+COUNTIF('3b.시공사'!$B$4:$B$203,B318)=0,1,0))</f>
        <v/>
      </c>
    </row>
    <row r="319">
      <c r="A319" s="9" t="n"/>
      <c r="B319" s="10" t="n"/>
      <c r="C319" s="10" t="n"/>
      <c r="D319" s="10" t="n"/>
      <c r="E319" s="10" t="n"/>
      <c r="F319" s="9" t="n"/>
      <c r="G319" s="10" t="n"/>
      <c r="H319" s="10" t="n"/>
      <c r="I319">
        <f>IF(A319="","",B319&amp;"|"&amp;(A319*1))</f>
        <v/>
      </c>
      <c r="J319">
        <f>IF(B319="",0,IF(COUNTIF('3.설계사'!$B$4:$B$303,B319)+COUNTIF('3b.시공사'!$B$4:$B$203,B319)=0,1,0))</f>
        <v/>
      </c>
    </row>
    <row r="320">
      <c r="A320" s="9" t="n"/>
      <c r="B320" s="10" t="n"/>
      <c r="C320" s="10" t="n"/>
      <c r="D320" s="10" t="n"/>
      <c r="E320" s="10" t="n"/>
      <c r="F320" s="9" t="n"/>
      <c r="G320" s="10" t="n"/>
      <c r="H320" s="10" t="n"/>
      <c r="I320">
        <f>IF(A320="","",B320&amp;"|"&amp;(A320*1))</f>
        <v/>
      </c>
      <c r="J320">
        <f>IF(B320="",0,IF(COUNTIF('3.설계사'!$B$4:$B$303,B320)+COUNTIF('3b.시공사'!$B$4:$B$203,B320)=0,1,0))</f>
        <v/>
      </c>
    </row>
    <row r="321">
      <c r="A321" s="9" t="n"/>
      <c r="B321" s="10" t="n"/>
      <c r="C321" s="10" t="n"/>
      <c r="D321" s="10" t="n"/>
      <c r="E321" s="10" t="n"/>
      <c r="F321" s="9" t="n"/>
      <c r="G321" s="10" t="n"/>
      <c r="H321" s="10" t="n"/>
      <c r="I321">
        <f>IF(A321="","",B321&amp;"|"&amp;(A321*1))</f>
        <v/>
      </c>
      <c r="J321">
        <f>IF(B321="",0,IF(COUNTIF('3.설계사'!$B$4:$B$303,B321)+COUNTIF('3b.시공사'!$B$4:$B$203,B321)=0,1,0))</f>
        <v/>
      </c>
    </row>
    <row r="322">
      <c r="A322" s="9" t="n"/>
      <c r="B322" s="10" t="n"/>
      <c r="C322" s="10" t="n"/>
      <c r="D322" s="10" t="n"/>
      <c r="E322" s="10" t="n"/>
      <c r="F322" s="9" t="n"/>
      <c r="G322" s="10" t="n"/>
      <c r="H322" s="10" t="n"/>
      <c r="I322">
        <f>IF(A322="","",B322&amp;"|"&amp;(A322*1))</f>
        <v/>
      </c>
      <c r="J322">
        <f>IF(B322="",0,IF(COUNTIF('3.설계사'!$B$4:$B$303,B322)+COUNTIF('3b.시공사'!$B$4:$B$203,B322)=0,1,0))</f>
        <v/>
      </c>
    </row>
    <row r="323">
      <c r="A323" s="9" t="n"/>
      <c r="B323" s="10" t="n"/>
      <c r="C323" s="10" t="n"/>
      <c r="D323" s="10" t="n"/>
      <c r="E323" s="10" t="n"/>
      <c r="F323" s="9" t="n"/>
      <c r="G323" s="10" t="n"/>
      <c r="H323" s="10" t="n"/>
      <c r="I323">
        <f>IF(A323="","",B323&amp;"|"&amp;(A323*1))</f>
        <v/>
      </c>
      <c r="J323">
        <f>IF(B323="",0,IF(COUNTIF('3.설계사'!$B$4:$B$303,B323)+COUNTIF('3b.시공사'!$B$4:$B$203,B323)=0,1,0))</f>
        <v/>
      </c>
    </row>
    <row r="324">
      <c r="A324" s="9" t="n"/>
      <c r="B324" s="10" t="n"/>
      <c r="C324" s="10" t="n"/>
      <c r="D324" s="10" t="n"/>
      <c r="E324" s="10" t="n"/>
      <c r="F324" s="9" t="n"/>
      <c r="G324" s="10" t="n"/>
      <c r="H324" s="10" t="n"/>
      <c r="I324">
        <f>IF(A324="","",B324&amp;"|"&amp;(A324*1))</f>
        <v/>
      </c>
      <c r="J324">
        <f>IF(B324="",0,IF(COUNTIF('3.설계사'!$B$4:$B$303,B324)+COUNTIF('3b.시공사'!$B$4:$B$203,B324)=0,1,0))</f>
        <v/>
      </c>
    </row>
    <row r="325">
      <c r="A325" s="9" t="n"/>
      <c r="B325" s="10" t="n"/>
      <c r="C325" s="10" t="n"/>
      <c r="D325" s="10" t="n"/>
      <c r="E325" s="10" t="n"/>
      <c r="F325" s="9" t="n"/>
      <c r="G325" s="10" t="n"/>
      <c r="H325" s="10" t="n"/>
      <c r="I325">
        <f>IF(A325="","",B325&amp;"|"&amp;(A325*1))</f>
        <v/>
      </c>
      <c r="J325">
        <f>IF(B325="",0,IF(COUNTIF('3.설계사'!$B$4:$B$303,B325)+COUNTIF('3b.시공사'!$B$4:$B$203,B325)=0,1,0))</f>
        <v/>
      </c>
    </row>
    <row r="326">
      <c r="A326" s="9" t="n"/>
      <c r="B326" s="10" t="n"/>
      <c r="C326" s="10" t="n"/>
      <c r="D326" s="10" t="n"/>
      <c r="E326" s="10" t="n"/>
      <c r="F326" s="9" t="n"/>
      <c r="G326" s="10" t="n"/>
      <c r="H326" s="10" t="n"/>
      <c r="I326">
        <f>IF(A326="","",B326&amp;"|"&amp;(A326*1))</f>
        <v/>
      </c>
      <c r="J326">
        <f>IF(B326="",0,IF(COUNTIF('3.설계사'!$B$4:$B$303,B326)+COUNTIF('3b.시공사'!$B$4:$B$203,B326)=0,1,0))</f>
        <v/>
      </c>
    </row>
    <row r="327">
      <c r="A327" s="9" t="n"/>
      <c r="B327" s="10" t="n"/>
      <c r="C327" s="10" t="n"/>
      <c r="D327" s="10" t="n"/>
      <c r="E327" s="10" t="n"/>
      <c r="F327" s="9" t="n"/>
      <c r="G327" s="10" t="n"/>
      <c r="H327" s="10" t="n"/>
      <c r="I327">
        <f>IF(A327="","",B327&amp;"|"&amp;(A327*1))</f>
        <v/>
      </c>
      <c r="J327">
        <f>IF(B327="",0,IF(COUNTIF('3.설계사'!$B$4:$B$303,B327)+COUNTIF('3b.시공사'!$B$4:$B$203,B327)=0,1,0))</f>
        <v/>
      </c>
    </row>
    <row r="328">
      <c r="A328" s="9" t="n"/>
      <c r="B328" s="10" t="n"/>
      <c r="C328" s="10" t="n"/>
      <c r="D328" s="10" t="n"/>
      <c r="E328" s="10" t="n"/>
      <c r="F328" s="9" t="n"/>
      <c r="G328" s="10" t="n"/>
      <c r="H328" s="10" t="n"/>
      <c r="I328">
        <f>IF(A328="","",B328&amp;"|"&amp;(A328*1))</f>
        <v/>
      </c>
      <c r="J328">
        <f>IF(B328="",0,IF(COUNTIF('3.설계사'!$B$4:$B$303,B328)+COUNTIF('3b.시공사'!$B$4:$B$203,B328)=0,1,0))</f>
        <v/>
      </c>
    </row>
    <row r="329">
      <c r="A329" s="9" t="n"/>
      <c r="B329" s="10" t="n"/>
      <c r="C329" s="10" t="n"/>
      <c r="D329" s="10" t="n"/>
      <c r="E329" s="10" t="n"/>
      <c r="F329" s="9" t="n"/>
      <c r="G329" s="10" t="n"/>
      <c r="H329" s="10" t="n"/>
      <c r="I329">
        <f>IF(A329="","",B329&amp;"|"&amp;(A329*1))</f>
        <v/>
      </c>
      <c r="J329">
        <f>IF(B329="",0,IF(COUNTIF('3.설계사'!$B$4:$B$303,B329)+COUNTIF('3b.시공사'!$B$4:$B$203,B329)=0,1,0))</f>
        <v/>
      </c>
    </row>
    <row r="330">
      <c r="A330" s="9" t="n"/>
      <c r="B330" s="10" t="n"/>
      <c r="C330" s="10" t="n"/>
      <c r="D330" s="10" t="n"/>
      <c r="E330" s="10" t="n"/>
      <c r="F330" s="9" t="n"/>
      <c r="G330" s="10" t="n"/>
      <c r="H330" s="10" t="n"/>
      <c r="I330">
        <f>IF(A330="","",B330&amp;"|"&amp;(A330*1))</f>
        <v/>
      </c>
      <c r="J330">
        <f>IF(B330="",0,IF(COUNTIF('3.설계사'!$B$4:$B$303,B330)+COUNTIF('3b.시공사'!$B$4:$B$203,B330)=0,1,0))</f>
        <v/>
      </c>
    </row>
    <row r="331">
      <c r="A331" s="9" t="n"/>
      <c r="B331" s="10" t="n"/>
      <c r="C331" s="10" t="n"/>
      <c r="D331" s="10" t="n"/>
      <c r="E331" s="10" t="n"/>
      <c r="F331" s="9" t="n"/>
      <c r="G331" s="10" t="n"/>
      <c r="H331" s="10" t="n"/>
      <c r="I331">
        <f>IF(A331="","",B331&amp;"|"&amp;(A331*1))</f>
        <v/>
      </c>
      <c r="J331">
        <f>IF(B331="",0,IF(COUNTIF('3.설계사'!$B$4:$B$303,B331)+COUNTIF('3b.시공사'!$B$4:$B$203,B331)=0,1,0))</f>
        <v/>
      </c>
    </row>
    <row r="332">
      <c r="A332" s="9" t="n"/>
      <c r="B332" s="10" t="n"/>
      <c r="C332" s="10" t="n"/>
      <c r="D332" s="10" t="n"/>
      <c r="E332" s="10" t="n"/>
      <c r="F332" s="9" t="n"/>
      <c r="G332" s="10" t="n"/>
      <c r="H332" s="10" t="n"/>
      <c r="I332">
        <f>IF(A332="","",B332&amp;"|"&amp;(A332*1))</f>
        <v/>
      </c>
      <c r="J332">
        <f>IF(B332="",0,IF(COUNTIF('3.설계사'!$B$4:$B$303,B332)+COUNTIF('3b.시공사'!$B$4:$B$203,B332)=0,1,0))</f>
        <v/>
      </c>
    </row>
    <row r="333">
      <c r="A333" s="9" t="n"/>
      <c r="B333" s="10" t="n"/>
      <c r="C333" s="10" t="n"/>
      <c r="D333" s="10" t="n"/>
      <c r="E333" s="10" t="n"/>
      <c r="F333" s="9" t="n"/>
      <c r="G333" s="10" t="n"/>
      <c r="H333" s="10" t="n"/>
      <c r="I333">
        <f>IF(A333="","",B333&amp;"|"&amp;(A333*1))</f>
        <v/>
      </c>
      <c r="J333">
        <f>IF(B333="",0,IF(COUNTIF('3.설계사'!$B$4:$B$303,B333)+COUNTIF('3b.시공사'!$B$4:$B$203,B333)=0,1,0))</f>
        <v/>
      </c>
    </row>
    <row r="334">
      <c r="A334" s="9" t="n"/>
      <c r="B334" s="10" t="n"/>
      <c r="C334" s="10" t="n"/>
      <c r="D334" s="10" t="n"/>
      <c r="E334" s="10" t="n"/>
      <c r="F334" s="9" t="n"/>
      <c r="G334" s="10" t="n"/>
      <c r="H334" s="10" t="n"/>
      <c r="I334">
        <f>IF(A334="","",B334&amp;"|"&amp;(A334*1))</f>
        <v/>
      </c>
      <c r="J334">
        <f>IF(B334="",0,IF(COUNTIF('3.설계사'!$B$4:$B$303,B334)+COUNTIF('3b.시공사'!$B$4:$B$203,B334)=0,1,0))</f>
        <v/>
      </c>
    </row>
    <row r="335">
      <c r="A335" s="9" t="n"/>
      <c r="B335" s="10" t="n"/>
      <c r="C335" s="10" t="n"/>
      <c r="D335" s="10" t="n"/>
      <c r="E335" s="10" t="n"/>
      <c r="F335" s="9" t="n"/>
      <c r="G335" s="10" t="n"/>
      <c r="H335" s="10" t="n"/>
      <c r="I335">
        <f>IF(A335="","",B335&amp;"|"&amp;(A335*1))</f>
        <v/>
      </c>
      <c r="J335">
        <f>IF(B335="",0,IF(COUNTIF('3.설계사'!$B$4:$B$303,B335)+COUNTIF('3b.시공사'!$B$4:$B$203,B335)=0,1,0))</f>
        <v/>
      </c>
    </row>
    <row r="336">
      <c r="A336" s="9" t="n"/>
      <c r="B336" s="10" t="n"/>
      <c r="C336" s="10" t="n"/>
      <c r="D336" s="10" t="n"/>
      <c r="E336" s="10" t="n"/>
      <c r="F336" s="9" t="n"/>
      <c r="G336" s="10" t="n"/>
      <c r="H336" s="10" t="n"/>
      <c r="I336">
        <f>IF(A336="","",B336&amp;"|"&amp;(A336*1))</f>
        <v/>
      </c>
      <c r="J336">
        <f>IF(B336="",0,IF(COUNTIF('3.설계사'!$B$4:$B$303,B336)+COUNTIF('3b.시공사'!$B$4:$B$203,B336)=0,1,0))</f>
        <v/>
      </c>
    </row>
    <row r="337">
      <c r="A337" s="9" t="n"/>
      <c r="B337" s="10" t="n"/>
      <c r="C337" s="10" t="n"/>
      <c r="D337" s="10" t="n"/>
      <c r="E337" s="10" t="n"/>
      <c r="F337" s="9" t="n"/>
      <c r="G337" s="10" t="n"/>
      <c r="H337" s="10" t="n"/>
      <c r="I337">
        <f>IF(A337="","",B337&amp;"|"&amp;(A337*1))</f>
        <v/>
      </c>
      <c r="J337">
        <f>IF(B337="",0,IF(COUNTIF('3.설계사'!$B$4:$B$303,B337)+COUNTIF('3b.시공사'!$B$4:$B$203,B337)=0,1,0))</f>
        <v/>
      </c>
    </row>
    <row r="338">
      <c r="A338" s="9" t="n"/>
      <c r="B338" s="10" t="n"/>
      <c r="C338" s="10" t="n"/>
      <c r="D338" s="10" t="n"/>
      <c r="E338" s="10" t="n"/>
      <c r="F338" s="9" t="n"/>
      <c r="G338" s="10" t="n"/>
      <c r="H338" s="10" t="n"/>
      <c r="I338">
        <f>IF(A338="","",B338&amp;"|"&amp;(A338*1))</f>
        <v/>
      </c>
      <c r="J338">
        <f>IF(B338="",0,IF(COUNTIF('3.설계사'!$B$4:$B$303,B338)+COUNTIF('3b.시공사'!$B$4:$B$203,B338)=0,1,0))</f>
        <v/>
      </c>
    </row>
    <row r="339">
      <c r="A339" s="9" t="n"/>
      <c r="B339" s="10" t="n"/>
      <c r="C339" s="10" t="n"/>
      <c r="D339" s="10" t="n"/>
      <c r="E339" s="10" t="n"/>
      <c r="F339" s="9" t="n"/>
      <c r="G339" s="10" t="n"/>
      <c r="H339" s="10" t="n"/>
      <c r="I339">
        <f>IF(A339="","",B339&amp;"|"&amp;(A339*1))</f>
        <v/>
      </c>
      <c r="J339">
        <f>IF(B339="",0,IF(COUNTIF('3.설계사'!$B$4:$B$303,B339)+COUNTIF('3b.시공사'!$B$4:$B$203,B339)=0,1,0))</f>
        <v/>
      </c>
    </row>
    <row r="340">
      <c r="A340" s="9" t="n"/>
      <c r="B340" s="10" t="n"/>
      <c r="C340" s="10" t="n"/>
      <c r="D340" s="10" t="n"/>
      <c r="E340" s="10" t="n"/>
      <c r="F340" s="9" t="n"/>
      <c r="G340" s="10" t="n"/>
      <c r="H340" s="10" t="n"/>
      <c r="I340">
        <f>IF(A340="","",B340&amp;"|"&amp;(A340*1))</f>
        <v/>
      </c>
      <c r="J340">
        <f>IF(B340="",0,IF(COUNTIF('3.설계사'!$B$4:$B$303,B340)+COUNTIF('3b.시공사'!$B$4:$B$203,B340)=0,1,0))</f>
        <v/>
      </c>
    </row>
    <row r="341">
      <c r="A341" s="9" t="n"/>
      <c r="B341" s="10" t="n"/>
      <c r="C341" s="10" t="n"/>
      <c r="D341" s="10" t="n"/>
      <c r="E341" s="10" t="n"/>
      <c r="F341" s="9" t="n"/>
      <c r="G341" s="10" t="n"/>
      <c r="H341" s="10" t="n"/>
      <c r="I341">
        <f>IF(A341="","",B341&amp;"|"&amp;(A341*1))</f>
        <v/>
      </c>
      <c r="J341">
        <f>IF(B341="",0,IF(COUNTIF('3.설계사'!$B$4:$B$303,B341)+COUNTIF('3b.시공사'!$B$4:$B$203,B341)=0,1,0))</f>
        <v/>
      </c>
    </row>
    <row r="342">
      <c r="A342" s="9" t="n"/>
      <c r="B342" s="10" t="n"/>
      <c r="C342" s="10" t="n"/>
      <c r="D342" s="10" t="n"/>
      <c r="E342" s="10" t="n"/>
      <c r="F342" s="9" t="n"/>
      <c r="G342" s="10" t="n"/>
      <c r="H342" s="10" t="n"/>
      <c r="I342">
        <f>IF(A342="","",B342&amp;"|"&amp;(A342*1))</f>
        <v/>
      </c>
      <c r="J342">
        <f>IF(B342="",0,IF(COUNTIF('3.설계사'!$B$4:$B$303,B342)+COUNTIF('3b.시공사'!$B$4:$B$203,B342)=0,1,0))</f>
        <v/>
      </c>
    </row>
    <row r="343">
      <c r="A343" s="9" t="n"/>
      <c r="B343" s="10" t="n"/>
      <c r="C343" s="10" t="n"/>
      <c r="D343" s="10" t="n"/>
      <c r="E343" s="10" t="n"/>
      <c r="F343" s="9" t="n"/>
      <c r="G343" s="10" t="n"/>
      <c r="H343" s="10" t="n"/>
      <c r="I343">
        <f>IF(A343="","",B343&amp;"|"&amp;(A343*1))</f>
        <v/>
      </c>
      <c r="J343">
        <f>IF(B343="",0,IF(COUNTIF('3.설계사'!$B$4:$B$303,B343)+COUNTIF('3b.시공사'!$B$4:$B$203,B343)=0,1,0))</f>
        <v/>
      </c>
    </row>
    <row r="344">
      <c r="A344" s="9" t="n"/>
      <c r="B344" s="10" t="n"/>
      <c r="C344" s="10" t="n"/>
      <c r="D344" s="10" t="n"/>
      <c r="E344" s="10" t="n"/>
      <c r="F344" s="9" t="n"/>
      <c r="G344" s="10" t="n"/>
      <c r="H344" s="10" t="n"/>
      <c r="I344">
        <f>IF(A344="","",B344&amp;"|"&amp;(A344*1))</f>
        <v/>
      </c>
      <c r="J344">
        <f>IF(B344="",0,IF(COUNTIF('3.설계사'!$B$4:$B$303,B344)+COUNTIF('3b.시공사'!$B$4:$B$203,B344)=0,1,0))</f>
        <v/>
      </c>
    </row>
    <row r="345">
      <c r="A345" s="9" t="n"/>
      <c r="B345" s="10" t="n"/>
      <c r="C345" s="10" t="n"/>
      <c r="D345" s="10" t="n"/>
      <c r="E345" s="10" t="n"/>
      <c r="F345" s="9" t="n"/>
      <c r="G345" s="10" t="n"/>
      <c r="H345" s="10" t="n"/>
      <c r="I345">
        <f>IF(A345="","",B345&amp;"|"&amp;(A345*1))</f>
        <v/>
      </c>
      <c r="J345">
        <f>IF(B345="",0,IF(COUNTIF('3.설계사'!$B$4:$B$303,B345)+COUNTIF('3b.시공사'!$B$4:$B$203,B345)=0,1,0))</f>
        <v/>
      </c>
    </row>
    <row r="346">
      <c r="A346" s="9" t="n"/>
      <c r="B346" s="10" t="n"/>
      <c r="C346" s="10" t="n"/>
      <c r="D346" s="10" t="n"/>
      <c r="E346" s="10" t="n"/>
      <c r="F346" s="9" t="n"/>
      <c r="G346" s="10" t="n"/>
      <c r="H346" s="10" t="n"/>
      <c r="I346">
        <f>IF(A346="","",B346&amp;"|"&amp;(A346*1))</f>
        <v/>
      </c>
      <c r="J346">
        <f>IF(B346="",0,IF(COUNTIF('3.설계사'!$B$4:$B$303,B346)+COUNTIF('3b.시공사'!$B$4:$B$203,B346)=0,1,0))</f>
        <v/>
      </c>
    </row>
    <row r="347">
      <c r="A347" s="9" t="n"/>
      <c r="B347" s="10" t="n"/>
      <c r="C347" s="10" t="n"/>
      <c r="D347" s="10" t="n"/>
      <c r="E347" s="10" t="n"/>
      <c r="F347" s="9" t="n"/>
      <c r="G347" s="10" t="n"/>
      <c r="H347" s="10" t="n"/>
      <c r="I347">
        <f>IF(A347="","",B347&amp;"|"&amp;(A347*1))</f>
        <v/>
      </c>
      <c r="J347">
        <f>IF(B347="",0,IF(COUNTIF('3.설계사'!$B$4:$B$303,B347)+COUNTIF('3b.시공사'!$B$4:$B$203,B347)=0,1,0))</f>
        <v/>
      </c>
    </row>
    <row r="348">
      <c r="A348" s="9" t="n"/>
      <c r="B348" s="10" t="n"/>
      <c r="C348" s="10" t="n"/>
      <c r="D348" s="10" t="n"/>
      <c r="E348" s="10" t="n"/>
      <c r="F348" s="9" t="n"/>
      <c r="G348" s="10" t="n"/>
      <c r="H348" s="10" t="n"/>
      <c r="I348">
        <f>IF(A348="","",B348&amp;"|"&amp;(A348*1))</f>
        <v/>
      </c>
      <c r="J348">
        <f>IF(B348="",0,IF(COUNTIF('3.설계사'!$B$4:$B$303,B348)+COUNTIF('3b.시공사'!$B$4:$B$203,B348)=0,1,0))</f>
        <v/>
      </c>
    </row>
    <row r="349">
      <c r="A349" s="9" t="n"/>
      <c r="B349" s="10" t="n"/>
      <c r="C349" s="10" t="n"/>
      <c r="D349" s="10" t="n"/>
      <c r="E349" s="10" t="n"/>
      <c r="F349" s="9" t="n"/>
      <c r="G349" s="10" t="n"/>
      <c r="H349" s="10" t="n"/>
      <c r="I349">
        <f>IF(A349="","",B349&amp;"|"&amp;(A349*1))</f>
        <v/>
      </c>
      <c r="J349">
        <f>IF(B349="",0,IF(COUNTIF('3.설계사'!$B$4:$B$303,B349)+COUNTIF('3b.시공사'!$B$4:$B$203,B349)=0,1,0))</f>
        <v/>
      </c>
    </row>
    <row r="350">
      <c r="A350" s="9" t="n"/>
      <c r="B350" s="10" t="n"/>
      <c r="C350" s="10" t="n"/>
      <c r="D350" s="10" t="n"/>
      <c r="E350" s="10" t="n"/>
      <c r="F350" s="9" t="n"/>
      <c r="G350" s="10" t="n"/>
      <c r="H350" s="10" t="n"/>
      <c r="I350">
        <f>IF(A350="","",B350&amp;"|"&amp;(A350*1))</f>
        <v/>
      </c>
      <c r="J350">
        <f>IF(B350="",0,IF(COUNTIF('3.설계사'!$B$4:$B$303,B350)+COUNTIF('3b.시공사'!$B$4:$B$203,B350)=0,1,0))</f>
        <v/>
      </c>
    </row>
    <row r="351">
      <c r="A351" s="9" t="n"/>
      <c r="B351" s="10" t="n"/>
      <c r="C351" s="10" t="n"/>
      <c r="D351" s="10" t="n"/>
      <c r="E351" s="10" t="n"/>
      <c r="F351" s="9" t="n"/>
      <c r="G351" s="10" t="n"/>
      <c r="H351" s="10" t="n"/>
      <c r="I351">
        <f>IF(A351="","",B351&amp;"|"&amp;(A351*1))</f>
        <v/>
      </c>
      <c r="J351">
        <f>IF(B351="",0,IF(COUNTIF('3.설계사'!$B$4:$B$303,B351)+COUNTIF('3b.시공사'!$B$4:$B$203,B351)=0,1,0))</f>
        <v/>
      </c>
    </row>
    <row r="352">
      <c r="A352" s="9" t="n"/>
      <c r="B352" s="10" t="n"/>
      <c r="C352" s="10" t="n"/>
      <c r="D352" s="10" t="n"/>
      <c r="E352" s="10" t="n"/>
      <c r="F352" s="9" t="n"/>
      <c r="G352" s="10" t="n"/>
      <c r="H352" s="10" t="n"/>
      <c r="I352">
        <f>IF(A352="","",B352&amp;"|"&amp;(A352*1))</f>
        <v/>
      </c>
      <c r="J352">
        <f>IF(B352="",0,IF(COUNTIF('3.설계사'!$B$4:$B$303,B352)+COUNTIF('3b.시공사'!$B$4:$B$203,B352)=0,1,0))</f>
        <v/>
      </c>
    </row>
    <row r="353">
      <c r="A353" s="9" t="n"/>
      <c r="B353" s="10" t="n"/>
      <c r="C353" s="10" t="n"/>
      <c r="D353" s="10" t="n"/>
      <c r="E353" s="10" t="n"/>
      <c r="F353" s="9" t="n"/>
      <c r="G353" s="10" t="n"/>
      <c r="H353" s="10" t="n"/>
      <c r="I353">
        <f>IF(A353="","",B353&amp;"|"&amp;(A353*1))</f>
        <v/>
      </c>
      <c r="J353">
        <f>IF(B353="",0,IF(COUNTIF('3.설계사'!$B$4:$B$303,B353)+COUNTIF('3b.시공사'!$B$4:$B$203,B353)=0,1,0))</f>
        <v/>
      </c>
    </row>
    <row r="354">
      <c r="A354" s="9" t="n"/>
      <c r="B354" s="10" t="n"/>
      <c r="C354" s="10" t="n"/>
      <c r="D354" s="10" t="n"/>
      <c r="E354" s="10" t="n"/>
      <c r="F354" s="9" t="n"/>
      <c r="G354" s="10" t="n"/>
      <c r="H354" s="10" t="n"/>
      <c r="I354">
        <f>IF(A354="","",B354&amp;"|"&amp;(A354*1))</f>
        <v/>
      </c>
      <c r="J354">
        <f>IF(B354="",0,IF(COUNTIF('3.설계사'!$B$4:$B$303,B354)+COUNTIF('3b.시공사'!$B$4:$B$203,B354)=0,1,0))</f>
        <v/>
      </c>
    </row>
    <row r="355">
      <c r="A355" s="9" t="n"/>
      <c r="B355" s="10" t="n"/>
      <c r="C355" s="10" t="n"/>
      <c r="D355" s="10" t="n"/>
      <c r="E355" s="10" t="n"/>
      <c r="F355" s="9" t="n"/>
      <c r="G355" s="10" t="n"/>
      <c r="H355" s="10" t="n"/>
      <c r="I355">
        <f>IF(A355="","",B355&amp;"|"&amp;(A355*1))</f>
        <v/>
      </c>
      <c r="J355">
        <f>IF(B355="",0,IF(COUNTIF('3.설계사'!$B$4:$B$303,B355)+COUNTIF('3b.시공사'!$B$4:$B$203,B355)=0,1,0))</f>
        <v/>
      </c>
    </row>
    <row r="356">
      <c r="A356" s="9" t="n"/>
      <c r="B356" s="10" t="n"/>
      <c r="C356" s="10" t="n"/>
      <c r="D356" s="10" t="n"/>
      <c r="E356" s="10" t="n"/>
      <c r="F356" s="9" t="n"/>
      <c r="G356" s="10" t="n"/>
      <c r="H356" s="10" t="n"/>
      <c r="I356">
        <f>IF(A356="","",B356&amp;"|"&amp;(A356*1))</f>
        <v/>
      </c>
      <c r="J356">
        <f>IF(B356="",0,IF(COUNTIF('3.설계사'!$B$4:$B$303,B356)+COUNTIF('3b.시공사'!$B$4:$B$203,B356)=0,1,0))</f>
        <v/>
      </c>
    </row>
    <row r="357">
      <c r="A357" s="9" t="n"/>
      <c r="B357" s="10" t="n"/>
      <c r="C357" s="10" t="n"/>
      <c r="D357" s="10" t="n"/>
      <c r="E357" s="10" t="n"/>
      <c r="F357" s="9" t="n"/>
      <c r="G357" s="10" t="n"/>
      <c r="H357" s="10" t="n"/>
      <c r="I357">
        <f>IF(A357="","",B357&amp;"|"&amp;(A357*1))</f>
        <v/>
      </c>
      <c r="J357">
        <f>IF(B357="",0,IF(COUNTIF('3.설계사'!$B$4:$B$303,B357)+COUNTIF('3b.시공사'!$B$4:$B$203,B357)=0,1,0))</f>
        <v/>
      </c>
    </row>
    <row r="358">
      <c r="A358" s="9" t="n"/>
      <c r="B358" s="10" t="n"/>
      <c r="C358" s="10" t="n"/>
      <c r="D358" s="10" t="n"/>
      <c r="E358" s="10" t="n"/>
      <c r="F358" s="9" t="n"/>
      <c r="G358" s="10" t="n"/>
      <c r="H358" s="10" t="n"/>
      <c r="I358">
        <f>IF(A358="","",B358&amp;"|"&amp;(A358*1))</f>
        <v/>
      </c>
      <c r="J358">
        <f>IF(B358="",0,IF(COUNTIF('3.설계사'!$B$4:$B$303,B358)+COUNTIF('3b.시공사'!$B$4:$B$203,B358)=0,1,0))</f>
        <v/>
      </c>
    </row>
    <row r="359">
      <c r="A359" s="9" t="n"/>
      <c r="B359" s="10" t="n"/>
      <c r="C359" s="10" t="n"/>
      <c r="D359" s="10" t="n"/>
      <c r="E359" s="10" t="n"/>
      <c r="F359" s="9" t="n"/>
      <c r="G359" s="10" t="n"/>
      <c r="H359" s="10" t="n"/>
      <c r="I359">
        <f>IF(A359="","",B359&amp;"|"&amp;(A359*1))</f>
        <v/>
      </c>
      <c r="J359">
        <f>IF(B359="",0,IF(COUNTIF('3.설계사'!$B$4:$B$303,B359)+COUNTIF('3b.시공사'!$B$4:$B$203,B359)=0,1,0))</f>
        <v/>
      </c>
    </row>
    <row r="360">
      <c r="A360" s="9" t="n"/>
      <c r="B360" s="10" t="n"/>
      <c r="C360" s="10" t="n"/>
      <c r="D360" s="10" t="n"/>
      <c r="E360" s="10" t="n"/>
      <c r="F360" s="9" t="n"/>
      <c r="G360" s="10" t="n"/>
      <c r="H360" s="10" t="n"/>
      <c r="I360">
        <f>IF(A360="","",B360&amp;"|"&amp;(A360*1))</f>
        <v/>
      </c>
      <c r="J360">
        <f>IF(B360="",0,IF(COUNTIF('3.설계사'!$B$4:$B$303,B360)+COUNTIF('3b.시공사'!$B$4:$B$203,B360)=0,1,0))</f>
        <v/>
      </c>
    </row>
    <row r="361">
      <c r="A361" s="9" t="n"/>
      <c r="B361" s="10" t="n"/>
      <c r="C361" s="10" t="n"/>
      <c r="D361" s="10" t="n"/>
      <c r="E361" s="10" t="n"/>
      <c r="F361" s="9" t="n"/>
      <c r="G361" s="10" t="n"/>
      <c r="H361" s="10" t="n"/>
      <c r="I361">
        <f>IF(A361="","",B361&amp;"|"&amp;(A361*1))</f>
        <v/>
      </c>
      <c r="J361">
        <f>IF(B361="",0,IF(COUNTIF('3.설계사'!$B$4:$B$303,B361)+COUNTIF('3b.시공사'!$B$4:$B$203,B361)=0,1,0))</f>
        <v/>
      </c>
    </row>
    <row r="362">
      <c r="A362" s="9" t="n"/>
      <c r="B362" s="10" t="n"/>
      <c r="C362" s="10" t="n"/>
      <c r="D362" s="10" t="n"/>
      <c r="E362" s="10" t="n"/>
      <c r="F362" s="9" t="n"/>
      <c r="G362" s="10" t="n"/>
      <c r="H362" s="10" t="n"/>
      <c r="I362">
        <f>IF(A362="","",B362&amp;"|"&amp;(A362*1))</f>
        <v/>
      </c>
      <c r="J362">
        <f>IF(B362="",0,IF(COUNTIF('3.설계사'!$B$4:$B$303,B362)+COUNTIF('3b.시공사'!$B$4:$B$203,B362)=0,1,0))</f>
        <v/>
      </c>
    </row>
    <row r="363">
      <c r="A363" s="9" t="n"/>
      <c r="B363" s="10" t="n"/>
      <c r="C363" s="10" t="n"/>
      <c r="D363" s="10" t="n"/>
      <c r="E363" s="10" t="n"/>
      <c r="F363" s="9" t="n"/>
      <c r="G363" s="10" t="n"/>
      <c r="H363" s="10" t="n"/>
      <c r="I363">
        <f>IF(A363="","",B363&amp;"|"&amp;(A363*1))</f>
        <v/>
      </c>
      <c r="J363">
        <f>IF(B363="",0,IF(COUNTIF('3.설계사'!$B$4:$B$303,B363)+COUNTIF('3b.시공사'!$B$4:$B$203,B363)=0,1,0))</f>
        <v/>
      </c>
    </row>
    <row r="364">
      <c r="A364" s="9" t="n"/>
      <c r="B364" s="10" t="n"/>
      <c r="C364" s="10" t="n"/>
      <c r="D364" s="10" t="n"/>
      <c r="E364" s="10" t="n"/>
      <c r="F364" s="9" t="n"/>
      <c r="G364" s="10" t="n"/>
      <c r="H364" s="10" t="n"/>
      <c r="I364">
        <f>IF(A364="","",B364&amp;"|"&amp;(A364*1))</f>
        <v/>
      </c>
      <c r="J364">
        <f>IF(B364="",0,IF(COUNTIF('3.설계사'!$B$4:$B$303,B364)+COUNTIF('3b.시공사'!$B$4:$B$203,B364)=0,1,0))</f>
        <v/>
      </c>
    </row>
    <row r="365">
      <c r="A365" s="9" t="n"/>
      <c r="B365" s="10" t="n"/>
      <c r="C365" s="10" t="n"/>
      <c r="D365" s="10" t="n"/>
      <c r="E365" s="10" t="n"/>
      <c r="F365" s="9" t="n"/>
      <c r="G365" s="10" t="n"/>
      <c r="H365" s="10" t="n"/>
      <c r="I365">
        <f>IF(A365="","",B365&amp;"|"&amp;(A365*1))</f>
        <v/>
      </c>
      <c r="J365">
        <f>IF(B365="",0,IF(COUNTIF('3.설계사'!$B$4:$B$303,B365)+COUNTIF('3b.시공사'!$B$4:$B$203,B365)=0,1,0))</f>
        <v/>
      </c>
    </row>
    <row r="366">
      <c r="A366" s="9" t="n"/>
      <c r="B366" s="10" t="n"/>
      <c r="C366" s="10" t="n"/>
      <c r="D366" s="10" t="n"/>
      <c r="E366" s="10" t="n"/>
      <c r="F366" s="9" t="n"/>
      <c r="G366" s="10" t="n"/>
      <c r="H366" s="10" t="n"/>
      <c r="I366">
        <f>IF(A366="","",B366&amp;"|"&amp;(A366*1))</f>
        <v/>
      </c>
      <c r="J366">
        <f>IF(B366="",0,IF(COUNTIF('3.설계사'!$B$4:$B$303,B366)+COUNTIF('3b.시공사'!$B$4:$B$203,B366)=0,1,0))</f>
        <v/>
      </c>
    </row>
    <row r="367">
      <c r="A367" s="9" t="n"/>
      <c r="B367" s="10" t="n"/>
      <c r="C367" s="10" t="n"/>
      <c r="D367" s="10" t="n"/>
      <c r="E367" s="10" t="n"/>
      <c r="F367" s="9" t="n"/>
      <c r="G367" s="10" t="n"/>
      <c r="H367" s="10" t="n"/>
      <c r="I367">
        <f>IF(A367="","",B367&amp;"|"&amp;(A367*1))</f>
        <v/>
      </c>
      <c r="J367">
        <f>IF(B367="",0,IF(COUNTIF('3.설계사'!$B$4:$B$303,B367)+COUNTIF('3b.시공사'!$B$4:$B$203,B367)=0,1,0))</f>
        <v/>
      </c>
    </row>
    <row r="368">
      <c r="A368" s="9" t="n"/>
      <c r="B368" s="10" t="n"/>
      <c r="C368" s="10" t="n"/>
      <c r="D368" s="10" t="n"/>
      <c r="E368" s="10" t="n"/>
      <c r="F368" s="9" t="n"/>
      <c r="G368" s="10" t="n"/>
      <c r="H368" s="10" t="n"/>
      <c r="I368">
        <f>IF(A368="","",B368&amp;"|"&amp;(A368*1))</f>
        <v/>
      </c>
      <c r="J368">
        <f>IF(B368="",0,IF(COUNTIF('3.설계사'!$B$4:$B$303,B368)+COUNTIF('3b.시공사'!$B$4:$B$203,B368)=0,1,0))</f>
        <v/>
      </c>
    </row>
    <row r="369">
      <c r="A369" s="9" t="n"/>
      <c r="B369" s="10" t="n"/>
      <c r="C369" s="10" t="n"/>
      <c r="D369" s="10" t="n"/>
      <c r="E369" s="10" t="n"/>
      <c r="F369" s="9" t="n"/>
      <c r="G369" s="10" t="n"/>
      <c r="H369" s="10" t="n"/>
      <c r="I369">
        <f>IF(A369="","",B369&amp;"|"&amp;(A369*1))</f>
        <v/>
      </c>
      <c r="J369">
        <f>IF(B369="",0,IF(COUNTIF('3.설계사'!$B$4:$B$303,B369)+COUNTIF('3b.시공사'!$B$4:$B$203,B369)=0,1,0))</f>
        <v/>
      </c>
    </row>
    <row r="370">
      <c r="A370" s="9" t="n"/>
      <c r="B370" s="10" t="n"/>
      <c r="C370" s="10" t="n"/>
      <c r="D370" s="10" t="n"/>
      <c r="E370" s="10" t="n"/>
      <c r="F370" s="9" t="n"/>
      <c r="G370" s="10" t="n"/>
      <c r="H370" s="10" t="n"/>
      <c r="I370">
        <f>IF(A370="","",B370&amp;"|"&amp;(A370*1))</f>
        <v/>
      </c>
      <c r="J370">
        <f>IF(B370="",0,IF(COUNTIF('3.설계사'!$B$4:$B$303,B370)+COUNTIF('3b.시공사'!$B$4:$B$203,B370)=0,1,0))</f>
        <v/>
      </c>
    </row>
    <row r="371">
      <c r="A371" s="9" t="n"/>
      <c r="B371" s="10" t="n"/>
      <c r="C371" s="10" t="n"/>
      <c r="D371" s="10" t="n"/>
      <c r="E371" s="10" t="n"/>
      <c r="F371" s="9" t="n"/>
      <c r="G371" s="10" t="n"/>
      <c r="H371" s="10" t="n"/>
      <c r="I371">
        <f>IF(A371="","",B371&amp;"|"&amp;(A371*1))</f>
        <v/>
      </c>
      <c r="J371">
        <f>IF(B371="",0,IF(COUNTIF('3.설계사'!$B$4:$B$303,B371)+COUNTIF('3b.시공사'!$B$4:$B$203,B371)=0,1,0))</f>
        <v/>
      </c>
    </row>
    <row r="372">
      <c r="A372" s="9" t="n"/>
      <c r="B372" s="10" t="n"/>
      <c r="C372" s="10" t="n"/>
      <c r="D372" s="10" t="n"/>
      <c r="E372" s="10" t="n"/>
      <c r="F372" s="9" t="n"/>
      <c r="G372" s="10" t="n"/>
      <c r="H372" s="10" t="n"/>
      <c r="I372">
        <f>IF(A372="","",B372&amp;"|"&amp;(A372*1))</f>
        <v/>
      </c>
      <c r="J372">
        <f>IF(B372="",0,IF(COUNTIF('3.설계사'!$B$4:$B$303,B372)+COUNTIF('3b.시공사'!$B$4:$B$203,B372)=0,1,0))</f>
        <v/>
      </c>
    </row>
    <row r="373">
      <c r="A373" s="9" t="n"/>
      <c r="B373" s="10" t="n"/>
      <c r="C373" s="10" t="n"/>
      <c r="D373" s="10" t="n"/>
      <c r="E373" s="10" t="n"/>
      <c r="F373" s="9" t="n"/>
      <c r="G373" s="10" t="n"/>
      <c r="H373" s="10" t="n"/>
      <c r="I373">
        <f>IF(A373="","",B373&amp;"|"&amp;(A373*1))</f>
        <v/>
      </c>
      <c r="J373">
        <f>IF(B373="",0,IF(COUNTIF('3.설계사'!$B$4:$B$303,B373)+COUNTIF('3b.시공사'!$B$4:$B$203,B373)=0,1,0))</f>
        <v/>
      </c>
    </row>
    <row r="374">
      <c r="A374" s="9" t="n"/>
      <c r="B374" s="10" t="n"/>
      <c r="C374" s="10" t="n"/>
      <c r="D374" s="10" t="n"/>
      <c r="E374" s="10" t="n"/>
      <c r="F374" s="9" t="n"/>
      <c r="G374" s="10" t="n"/>
      <c r="H374" s="10" t="n"/>
      <c r="I374">
        <f>IF(A374="","",B374&amp;"|"&amp;(A374*1))</f>
        <v/>
      </c>
      <c r="J374">
        <f>IF(B374="",0,IF(COUNTIF('3.설계사'!$B$4:$B$303,B374)+COUNTIF('3b.시공사'!$B$4:$B$203,B374)=0,1,0))</f>
        <v/>
      </c>
    </row>
    <row r="375">
      <c r="A375" s="9" t="n"/>
      <c r="B375" s="10" t="n"/>
      <c r="C375" s="10" t="n"/>
      <c r="D375" s="10" t="n"/>
      <c r="E375" s="10" t="n"/>
      <c r="F375" s="9" t="n"/>
      <c r="G375" s="10" t="n"/>
      <c r="H375" s="10" t="n"/>
      <c r="I375">
        <f>IF(A375="","",B375&amp;"|"&amp;(A375*1))</f>
        <v/>
      </c>
      <c r="J375">
        <f>IF(B375="",0,IF(COUNTIF('3.설계사'!$B$4:$B$303,B375)+COUNTIF('3b.시공사'!$B$4:$B$203,B375)=0,1,0))</f>
        <v/>
      </c>
    </row>
    <row r="376">
      <c r="A376" s="9" t="n"/>
      <c r="B376" s="10" t="n"/>
      <c r="C376" s="10" t="n"/>
      <c r="D376" s="10" t="n"/>
      <c r="E376" s="10" t="n"/>
      <c r="F376" s="9" t="n"/>
      <c r="G376" s="10" t="n"/>
      <c r="H376" s="10" t="n"/>
      <c r="I376">
        <f>IF(A376="","",B376&amp;"|"&amp;(A376*1))</f>
        <v/>
      </c>
      <c r="J376">
        <f>IF(B376="",0,IF(COUNTIF('3.설계사'!$B$4:$B$303,B376)+COUNTIF('3b.시공사'!$B$4:$B$203,B376)=0,1,0))</f>
        <v/>
      </c>
    </row>
    <row r="377">
      <c r="A377" s="9" t="n"/>
      <c r="B377" s="10" t="n"/>
      <c r="C377" s="10" t="n"/>
      <c r="D377" s="10" t="n"/>
      <c r="E377" s="10" t="n"/>
      <c r="F377" s="9" t="n"/>
      <c r="G377" s="10" t="n"/>
      <c r="H377" s="10" t="n"/>
      <c r="I377">
        <f>IF(A377="","",B377&amp;"|"&amp;(A377*1))</f>
        <v/>
      </c>
      <c r="J377">
        <f>IF(B377="",0,IF(COUNTIF('3.설계사'!$B$4:$B$303,B377)+COUNTIF('3b.시공사'!$B$4:$B$203,B377)=0,1,0))</f>
        <v/>
      </c>
    </row>
    <row r="378">
      <c r="A378" s="9" t="n"/>
      <c r="B378" s="10" t="n"/>
      <c r="C378" s="10" t="n"/>
      <c r="D378" s="10" t="n"/>
      <c r="E378" s="10" t="n"/>
      <c r="F378" s="9" t="n"/>
      <c r="G378" s="10" t="n"/>
      <c r="H378" s="10" t="n"/>
      <c r="I378">
        <f>IF(A378="","",B378&amp;"|"&amp;(A378*1))</f>
        <v/>
      </c>
      <c r="J378">
        <f>IF(B378="",0,IF(COUNTIF('3.설계사'!$B$4:$B$303,B378)+COUNTIF('3b.시공사'!$B$4:$B$203,B378)=0,1,0))</f>
        <v/>
      </c>
    </row>
    <row r="379">
      <c r="A379" s="9" t="n"/>
      <c r="B379" s="10" t="n"/>
      <c r="C379" s="10" t="n"/>
      <c r="D379" s="10" t="n"/>
      <c r="E379" s="10" t="n"/>
      <c r="F379" s="9" t="n"/>
      <c r="G379" s="10" t="n"/>
      <c r="H379" s="10" t="n"/>
      <c r="I379">
        <f>IF(A379="","",B379&amp;"|"&amp;(A379*1))</f>
        <v/>
      </c>
      <c r="J379">
        <f>IF(B379="",0,IF(COUNTIF('3.설계사'!$B$4:$B$303,B379)+COUNTIF('3b.시공사'!$B$4:$B$203,B379)=0,1,0))</f>
        <v/>
      </c>
    </row>
    <row r="380">
      <c r="A380" s="9" t="n"/>
      <c r="B380" s="10" t="n"/>
      <c r="C380" s="10" t="n"/>
      <c r="D380" s="10" t="n"/>
      <c r="E380" s="10" t="n"/>
      <c r="F380" s="9" t="n"/>
      <c r="G380" s="10" t="n"/>
      <c r="H380" s="10" t="n"/>
      <c r="I380">
        <f>IF(A380="","",B380&amp;"|"&amp;(A380*1))</f>
        <v/>
      </c>
      <c r="J380">
        <f>IF(B380="",0,IF(COUNTIF('3.설계사'!$B$4:$B$303,B380)+COUNTIF('3b.시공사'!$B$4:$B$203,B380)=0,1,0))</f>
        <v/>
      </c>
    </row>
    <row r="381">
      <c r="A381" s="9" t="n"/>
      <c r="B381" s="10" t="n"/>
      <c r="C381" s="10" t="n"/>
      <c r="D381" s="10" t="n"/>
      <c r="E381" s="10" t="n"/>
      <c r="F381" s="9" t="n"/>
      <c r="G381" s="10" t="n"/>
      <c r="H381" s="10" t="n"/>
      <c r="I381">
        <f>IF(A381="","",B381&amp;"|"&amp;(A381*1))</f>
        <v/>
      </c>
      <c r="J381">
        <f>IF(B381="",0,IF(COUNTIF('3.설계사'!$B$4:$B$303,B381)+COUNTIF('3b.시공사'!$B$4:$B$203,B381)=0,1,0))</f>
        <v/>
      </c>
    </row>
    <row r="382">
      <c r="A382" s="9" t="n"/>
      <c r="B382" s="10" t="n"/>
      <c r="C382" s="10" t="n"/>
      <c r="D382" s="10" t="n"/>
      <c r="E382" s="10" t="n"/>
      <c r="F382" s="9" t="n"/>
      <c r="G382" s="10" t="n"/>
      <c r="H382" s="10" t="n"/>
      <c r="I382">
        <f>IF(A382="","",B382&amp;"|"&amp;(A382*1))</f>
        <v/>
      </c>
      <c r="J382">
        <f>IF(B382="",0,IF(COUNTIF('3.설계사'!$B$4:$B$303,B382)+COUNTIF('3b.시공사'!$B$4:$B$203,B382)=0,1,0))</f>
        <v/>
      </c>
    </row>
    <row r="383">
      <c r="A383" s="9" t="n"/>
      <c r="B383" s="10" t="n"/>
      <c r="C383" s="10" t="n"/>
      <c r="D383" s="10" t="n"/>
      <c r="E383" s="10" t="n"/>
      <c r="F383" s="9" t="n"/>
      <c r="G383" s="10" t="n"/>
      <c r="H383" s="10" t="n"/>
      <c r="I383">
        <f>IF(A383="","",B383&amp;"|"&amp;(A383*1))</f>
        <v/>
      </c>
      <c r="J383">
        <f>IF(B383="",0,IF(COUNTIF('3.설계사'!$B$4:$B$303,B383)+COUNTIF('3b.시공사'!$B$4:$B$203,B383)=0,1,0))</f>
        <v/>
      </c>
    </row>
    <row r="384">
      <c r="A384" s="9" t="n"/>
      <c r="B384" s="10" t="n"/>
      <c r="C384" s="10" t="n"/>
      <c r="D384" s="10" t="n"/>
      <c r="E384" s="10" t="n"/>
      <c r="F384" s="9" t="n"/>
      <c r="G384" s="10" t="n"/>
      <c r="H384" s="10" t="n"/>
      <c r="I384">
        <f>IF(A384="","",B384&amp;"|"&amp;(A384*1))</f>
        <v/>
      </c>
      <c r="J384">
        <f>IF(B384="",0,IF(COUNTIF('3.설계사'!$B$4:$B$303,B384)+COUNTIF('3b.시공사'!$B$4:$B$203,B384)=0,1,0))</f>
        <v/>
      </c>
    </row>
    <row r="385">
      <c r="A385" s="9" t="n"/>
      <c r="B385" s="10" t="n"/>
      <c r="C385" s="10" t="n"/>
      <c r="D385" s="10" t="n"/>
      <c r="E385" s="10" t="n"/>
      <c r="F385" s="9" t="n"/>
      <c r="G385" s="10" t="n"/>
      <c r="H385" s="10" t="n"/>
      <c r="I385">
        <f>IF(A385="","",B385&amp;"|"&amp;(A385*1))</f>
        <v/>
      </c>
      <c r="J385">
        <f>IF(B385="",0,IF(COUNTIF('3.설계사'!$B$4:$B$303,B385)+COUNTIF('3b.시공사'!$B$4:$B$203,B385)=0,1,0))</f>
        <v/>
      </c>
    </row>
    <row r="386">
      <c r="A386" s="9" t="n"/>
      <c r="B386" s="10" t="n"/>
      <c r="C386" s="10" t="n"/>
      <c r="D386" s="10" t="n"/>
      <c r="E386" s="10" t="n"/>
      <c r="F386" s="9" t="n"/>
      <c r="G386" s="10" t="n"/>
      <c r="H386" s="10" t="n"/>
      <c r="I386">
        <f>IF(A386="","",B386&amp;"|"&amp;(A386*1))</f>
        <v/>
      </c>
      <c r="J386">
        <f>IF(B386="",0,IF(COUNTIF('3.설계사'!$B$4:$B$303,B386)+COUNTIF('3b.시공사'!$B$4:$B$203,B386)=0,1,0))</f>
        <v/>
      </c>
    </row>
    <row r="387">
      <c r="A387" s="9" t="n"/>
      <c r="B387" s="10" t="n"/>
      <c r="C387" s="10" t="n"/>
      <c r="D387" s="10" t="n"/>
      <c r="E387" s="10" t="n"/>
      <c r="F387" s="9" t="n"/>
      <c r="G387" s="10" t="n"/>
      <c r="H387" s="10" t="n"/>
      <c r="I387">
        <f>IF(A387="","",B387&amp;"|"&amp;(A387*1))</f>
        <v/>
      </c>
      <c r="J387">
        <f>IF(B387="",0,IF(COUNTIF('3.설계사'!$B$4:$B$303,B387)+COUNTIF('3b.시공사'!$B$4:$B$203,B387)=0,1,0))</f>
        <v/>
      </c>
    </row>
    <row r="388">
      <c r="A388" s="9" t="n"/>
      <c r="B388" s="10" t="n"/>
      <c r="C388" s="10" t="n"/>
      <c r="D388" s="10" t="n"/>
      <c r="E388" s="10" t="n"/>
      <c r="F388" s="9" t="n"/>
      <c r="G388" s="10" t="n"/>
      <c r="H388" s="10" t="n"/>
      <c r="I388">
        <f>IF(A388="","",B388&amp;"|"&amp;(A388*1))</f>
        <v/>
      </c>
      <c r="J388">
        <f>IF(B388="",0,IF(COUNTIF('3.설계사'!$B$4:$B$303,B388)+COUNTIF('3b.시공사'!$B$4:$B$203,B388)=0,1,0))</f>
        <v/>
      </c>
    </row>
    <row r="389">
      <c r="A389" s="9" t="n"/>
      <c r="B389" s="10" t="n"/>
      <c r="C389" s="10" t="n"/>
      <c r="D389" s="10" t="n"/>
      <c r="E389" s="10" t="n"/>
      <c r="F389" s="9" t="n"/>
      <c r="G389" s="10" t="n"/>
      <c r="H389" s="10" t="n"/>
      <c r="I389">
        <f>IF(A389="","",B389&amp;"|"&amp;(A389*1))</f>
        <v/>
      </c>
      <c r="J389">
        <f>IF(B389="",0,IF(COUNTIF('3.설계사'!$B$4:$B$303,B389)+COUNTIF('3b.시공사'!$B$4:$B$203,B389)=0,1,0))</f>
        <v/>
      </c>
    </row>
    <row r="390">
      <c r="A390" s="9" t="n"/>
      <c r="B390" s="10" t="n"/>
      <c r="C390" s="10" t="n"/>
      <c r="D390" s="10" t="n"/>
      <c r="E390" s="10" t="n"/>
      <c r="F390" s="9" t="n"/>
      <c r="G390" s="10" t="n"/>
      <c r="H390" s="10" t="n"/>
      <c r="I390">
        <f>IF(A390="","",B390&amp;"|"&amp;(A390*1))</f>
        <v/>
      </c>
      <c r="J390">
        <f>IF(B390="",0,IF(COUNTIF('3.설계사'!$B$4:$B$303,B390)+COUNTIF('3b.시공사'!$B$4:$B$203,B390)=0,1,0))</f>
        <v/>
      </c>
    </row>
    <row r="391">
      <c r="A391" s="9" t="n"/>
      <c r="B391" s="10" t="n"/>
      <c r="C391" s="10" t="n"/>
      <c r="D391" s="10" t="n"/>
      <c r="E391" s="10" t="n"/>
      <c r="F391" s="9" t="n"/>
      <c r="G391" s="10" t="n"/>
      <c r="H391" s="10" t="n"/>
      <c r="I391">
        <f>IF(A391="","",B391&amp;"|"&amp;(A391*1))</f>
        <v/>
      </c>
      <c r="J391">
        <f>IF(B391="",0,IF(COUNTIF('3.설계사'!$B$4:$B$303,B391)+COUNTIF('3b.시공사'!$B$4:$B$203,B391)=0,1,0))</f>
        <v/>
      </c>
    </row>
    <row r="392">
      <c r="A392" s="9" t="n"/>
      <c r="B392" s="10" t="n"/>
      <c r="C392" s="10" t="n"/>
      <c r="D392" s="10" t="n"/>
      <c r="E392" s="10" t="n"/>
      <c r="F392" s="9" t="n"/>
      <c r="G392" s="10" t="n"/>
      <c r="H392" s="10" t="n"/>
      <c r="I392">
        <f>IF(A392="","",B392&amp;"|"&amp;(A392*1))</f>
        <v/>
      </c>
      <c r="J392">
        <f>IF(B392="",0,IF(COUNTIF('3.설계사'!$B$4:$B$303,B392)+COUNTIF('3b.시공사'!$B$4:$B$203,B392)=0,1,0))</f>
        <v/>
      </c>
    </row>
    <row r="393">
      <c r="A393" s="9" t="n"/>
      <c r="B393" s="10" t="n"/>
      <c r="C393" s="10" t="n"/>
      <c r="D393" s="10" t="n"/>
      <c r="E393" s="10" t="n"/>
      <c r="F393" s="9" t="n"/>
      <c r="G393" s="10" t="n"/>
      <c r="H393" s="10" t="n"/>
      <c r="I393">
        <f>IF(A393="","",B393&amp;"|"&amp;(A393*1))</f>
        <v/>
      </c>
      <c r="J393">
        <f>IF(B393="",0,IF(COUNTIF('3.설계사'!$B$4:$B$303,B393)+COUNTIF('3b.시공사'!$B$4:$B$203,B393)=0,1,0))</f>
        <v/>
      </c>
    </row>
    <row r="394">
      <c r="A394" s="9" t="n"/>
      <c r="B394" s="10" t="n"/>
      <c r="C394" s="10" t="n"/>
      <c r="D394" s="10" t="n"/>
      <c r="E394" s="10" t="n"/>
      <c r="F394" s="9" t="n"/>
      <c r="G394" s="10" t="n"/>
      <c r="H394" s="10" t="n"/>
      <c r="I394">
        <f>IF(A394="","",B394&amp;"|"&amp;(A394*1))</f>
        <v/>
      </c>
      <c r="J394">
        <f>IF(B394="",0,IF(COUNTIF('3.설계사'!$B$4:$B$303,B394)+COUNTIF('3b.시공사'!$B$4:$B$203,B394)=0,1,0))</f>
        <v/>
      </c>
    </row>
    <row r="395">
      <c r="A395" s="9" t="n"/>
      <c r="B395" s="10" t="n"/>
      <c r="C395" s="10" t="n"/>
      <c r="D395" s="10" t="n"/>
      <c r="E395" s="10" t="n"/>
      <c r="F395" s="9" t="n"/>
      <c r="G395" s="10" t="n"/>
      <c r="H395" s="10" t="n"/>
      <c r="I395">
        <f>IF(A395="","",B395&amp;"|"&amp;(A395*1))</f>
        <v/>
      </c>
      <c r="J395">
        <f>IF(B395="",0,IF(COUNTIF('3.설계사'!$B$4:$B$303,B395)+COUNTIF('3b.시공사'!$B$4:$B$203,B395)=0,1,0))</f>
        <v/>
      </c>
    </row>
    <row r="396">
      <c r="A396" s="9" t="n"/>
      <c r="B396" s="10" t="n"/>
      <c r="C396" s="10" t="n"/>
      <c r="D396" s="10" t="n"/>
      <c r="E396" s="10" t="n"/>
      <c r="F396" s="9" t="n"/>
      <c r="G396" s="10" t="n"/>
      <c r="H396" s="10" t="n"/>
      <c r="I396">
        <f>IF(A396="","",B396&amp;"|"&amp;(A396*1))</f>
        <v/>
      </c>
      <c r="J396">
        <f>IF(B396="",0,IF(COUNTIF('3.설계사'!$B$4:$B$303,B396)+COUNTIF('3b.시공사'!$B$4:$B$203,B396)=0,1,0))</f>
        <v/>
      </c>
    </row>
    <row r="397">
      <c r="A397" s="9" t="n"/>
      <c r="B397" s="10" t="n"/>
      <c r="C397" s="10" t="n"/>
      <c r="D397" s="10" t="n"/>
      <c r="E397" s="10" t="n"/>
      <c r="F397" s="9" t="n"/>
      <c r="G397" s="10" t="n"/>
      <c r="H397" s="10" t="n"/>
      <c r="I397">
        <f>IF(A397="","",B397&amp;"|"&amp;(A397*1))</f>
        <v/>
      </c>
      <c r="J397">
        <f>IF(B397="",0,IF(COUNTIF('3.설계사'!$B$4:$B$303,B397)+COUNTIF('3b.시공사'!$B$4:$B$203,B397)=0,1,0))</f>
        <v/>
      </c>
    </row>
    <row r="398">
      <c r="A398" s="9" t="n"/>
      <c r="B398" s="10" t="n"/>
      <c r="C398" s="10" t="n"/>
      <c r="D398" s="10" t="n"/>
      <c r="E398" s="10" t="n"/>
      <c r="F398" s="9" t="n"/>
      <c r="G398" s="10" t="n"/>
      <c r="H398" s="10" t="n"/>
      <c r="I398">
        <f>IF(A398="","",B398&amp;"|"&amp;(A398*1))</f>
        <v/>
      </c>
      <c r="J398">
        <f>IF(B398="",0,IF(COUNTIF('3.설계사'!$B$4:$B$303,B398)+COUNTIF('3b.시공사'!$B$4:$B$203,B398)=0,1,0))</f>
        <v/>
      </c>
    </row>
    <row r="399">
      <c r="A399" s="9" t="n"/>
      <c r="B399" s="10" t="n"/>
      <c r="C399" s="10" t="n"/>
      <c r="D399" s="10" t="n"/>
      <c r="E399" s="10" t="n"/>
      <c r="F399" s="9" t="n"/>
      <c r="G399" s="10" t="n"/>
      <c r="H399" s="10" t="n"/>
      <c r="I399">
        <f>IF(A399="","",B399&amp;"|"&amp;(A399*1))</f>
        <v/>
      </c>
      <c r="J399">
        <f>IF(B399="",0,IF(COUNTIF('3.설계사'!$B$4:$B$303,B399)+COUNTIF('3b.시공사'!$B$4:$B$203,B399)=0,1,0))</f>
        <v/>
      </c>
    </row>
    <row r="400">
      <c r="A400" s="9" t="n"/>
      <c r="B400" s="10" t="n"/>
      <c r="C400" s="10" t="n"/>
      <c r="D400" s="10" t="n"/>
      <c r="E400" s="10" t="n"/>
      <c r="F400" s="9" t="n"/>
      <c r="G400" s="10" t="n"/>
      <c r="H400" s="10" t="n"/>
      <c r="I400">
        <f>IF(A400="","",B400&amp;"|"&amp;(A400*1))</f>
        <v/>
      </c>
      <c r="J400">
        <f>IF(B400="",0,IF(COUNTIF('3.설계사'!$B$4:$B$303,B400)+COUNTIF('3b.시공사'!$B$4:$B$203,B400)=0,1,0))</f>
        <v/>
      </c>
    </row>
    <row r="401">
      <c r="A401" s="9" t="n"/>
      <c r="B401" s="10" t="n"/>
      <c r="C401" s="10" t="n"/>
      <c r="D401" s="10" t="n"/>
      <c r="E401" s="10" t="n"/>
      <c r="F401" s="9" t="n"/>
      <c r="G401" s="10" t="n"/>
      <c r="H401" s="10" t="n"/>
      <c r="I401">
        <f>IF(A401="","",B401&amp;"|"&amp;(A401*1))</f>
        <v/>
      </c>
      <c r="J401">
        <f>IF(B401="",0,IF(COUNTIF('3.설계사'!$B$4:$B$303,B401)+COUNTIF('3b.시공사'!$B$4:$B$203,B401)=0,1,0))</f>
        <v/>
      </c>
    </row>
    <row r="402">
      <c r="A402" s="9" t="n"/>
      <c r="B402" s="10" t="n"/>
      <c r="C402" s="10" t="n"/>
      <c r="D402" s="10" t="n"/>
      <c r="E402" s="10" t="n"/>
      <c r="F402" s="9" t="n"/>
      <c r="G402" s="10" t="n"/>
      <c r="H402" s="10" t="n"/>
      <c r="I402">
        <f>IF(A402="","",B402&amp;"|"&amp;(A402*1))</f>
        <v/>
      </c>
      <c r="J402">
        <f>IF(B402="",0,IF(COUNTIF('3.설계사'!$B$4:$B$303,B402)+COUNTIF('3b.시공사'!$B$4:$B$203,B402)=0,1,0))</f>
        <v/>
      </c>
    </row>
    <row r="403">
      <c r="A403" s="9" t="n"/>
      <c r="B403" s="10" t="n"/>
      <c r="C403" s="10" t="n"/>
      <c r="D403" s="10" t="n"/>
      <c r="E403" s="10" t="n"/>
      <c r="F403" s="9" t="n"/>
      <c r="G403" s="10" t="n"/>
      <c r="H403" s="10" t="n"/>
      <c r="I403">
        <f>IF(A403="","",B403&amp;"|"&amp;(A403*1))</f>
        <v/>
      </c>
      <c r="J403">
        <f>IF(B403="",0,IF(COUNTIF('3.설계사'!$B$4:$B$303,B403)+COUNTIF('3b.시공사'!$B$4:$B$203,B403)=0,1,0))</f>
        <v/>
      </c>
    </row>
    <row r="404">
      <c r="A404" s="9" t="n"/>
      <c r="B404" s="10" t="n"/>
      <c r="C404" s="10" t="n"/>
      <c r="D404" s="10" t="n"/>
      <c r="E404" s="10" t="n"/>
      <c r="F404" s="9" t="n"/>
      <c r="G404" s="10" t="n"/>
      <c r="H404" s="10" t="n"/>
      <c r="I404">
        <f>IF(A404="","",B404&amp;"|"&amp;(A404*1))</f>
        <v/>
      </c>
      <c r="J404">
        <f>IF(B404="",0,IF(COUNTIF('3.설계사'!$B$4:$B$303,B404)+COUNTIF('3b.시공사'!$B$4:$B$203,B404)=0,1,0))</f>
        <v/>
      </c>
    </row>
    <row r="405">
      <c r="A405" s="9" t="n"/>
      <c r="B405" s="10" t="n"/>
      <c r="C405" s="10" t="n"/>
      <c r="D405" s="10" t="n"/>
      <c r="E405" s="10" t="n"/>
      <c r="F405" s="9" t="n"/>
      <c r="G405" s="10" t="n"/>
      <c r="H405" s="10" t="n"/>
      <c r="I405">
        <f>IF(A405="","",B405&amp;"|"&amp;(A405*1))</f>
        <v/>
      </c>
      <c r="J405">
        <f>IF(B405="",0,IF(COUNTIF('3.설계사'!$B$4:$B$303,B405)+COUNTIF('3b.시공사'!$B$4:$B$203,B405)=0,1,0))</f>
        <v/>
      </c>
    </row>
    <row r="406">
      <c r="A406" s="9" t="n"/>
      <c r="B406" s="10" t="n"/>
      <c r="C406" s="10" t="n"/>
      <c r="D406" s="10" t="n"/>
      <c r="E406" s="10" t="n"/>
      <c r="F406" s="9" t="n"/>
      <c r="G406" s="10" t="n"/>
      <c r="H406" s="10" t="n"/>
      <c r="I406">
        <f>IF(A406="","",B406&amp;"|"&amp;(A406*1))</f>
        <v/>
      </c>
      <c r="J406">
        <f>IF(B406="",0,IF(COUNTIF('3.설계사'!$B$4:$B$303,B406)+COUNTIF('3b.시공사'!$B$4:$B$203,B406)=0,1,0))</f>
        <v/>
      </c>
    </row>
    <row r="407">
      <c r="A407" s="9" t="n"/>
      <c r="B407" s="10" t="n"/>
      <c r="C407" s="10" t="n"/>
      <c r="D407" s="10" t="n"/>
      <c r="E407" s="10" t="n"/>
      <c r="F407" s="9" t="n"/>
      <c r="G407" s="10" t="n"/>
      <c r="H407" s="10" t="n"/>
      <c r="I407">
        <f>IF(A407="","",B407&amp;"|"&amp;(A407*1))</f>
        <v/>
      </c>
      <c r="J407">
        <f>IF(B407="",0,IF(COUNTIF('3.설계사'!$B$4:$B$303,B407)+COUNTIF('3b.시공사'!$B$4:$B$203,B407)=0,1,0))</f>
        <v/>
      </c>
    </row>
    <row r="408">
      <c r="A408" s="9" t="n"/>
      <c r="B408" s="10" t="n"/>
      <c r="C408" s="10" t="n"/>
      <c r="D408" s="10" t="n"/>
      <c r="E408" s="10" t="n"/>
      <c r="F408" s="9" t="n"/>
      <c r="G408" s="10" t="n"/>
      <c r="H408" s="10" t="n"/>
      <c r="I408">
        <f>IF(A408="","",B408&amp;"|"&amp;(A408*1))</f>
        <v/>
      </c>
      <c r="J408">
        <f>IF(B408="",0,IF(COUNTIF('3.설계사'!$B$4:$B$303,B408)+COUNTIF('3b.시공사'!$B$4:$B$203,B408)=0,1,0))</f>
        <v/>
      </c>
    </row>
    <row r="409">
      <c r="A409" s="9" t="n"/>
      <c r="B409" s="10" t="n"/>
      <c r="C409" s="10" t="n"/>
      <c r="D409" s="10" t="n"/>
      <c r="E409" s="10" t="n"/>
      <c r="F409" s="9" t="n"/>
      <c r="G409" s="10" t="n"/>
      <c r="H409" s="10" t="n"/>
      <c r="I409">
        <f>IF(A409="","",B409&amp;"|"&amp;(A409*1))</f>
        <v/>
      </c>
      <c r="J409">
        <f>IF(B409="",0,IF(COUNTIF('3.설계사'!$B$4:$B$303,B409)+COUNTIF('3b.시공사'!$B$4:$B$203,B409)=0,1,0))</f>
        <v/>
      </c>
    </row>
    <row r="410">
      <c r="A410" s="9" t="n"/>
      <c r="B410" s="10" t="n"/>
      <c r="C410" s="10" t="n"/>
      <c r="D410" s="10" t="n"/>
      <c r="E410" s="10" t="n"/>
      <c r="F410" s="9" t="n"/>
      <c r="G410" s="10" t="n"/>
      <c r="H410" s="10" t="n"/>
      <c r="I410">
        <f>IF(A410="","",B410&amp;"|"&amp;(A410*1))</f>
        <v/>
      </c>
      <c r="J410">
        <f>IF(B410="",0,IF(COUNTIF('3.설계사'!$B$4:$B$303,B410)+COUNTIF('3b.시공사'!$B$4:$B$203,B410)=0,1,0))</f>
        <v/>
      </c>
    </row>
    <row r="411">
      <c r="A411" s="9" t="n"/>
      <c r="B411" s="10" t="n"/>
      <c r="C411" s="10" t="n"/>
      <c r="D411" s="10" t="n"/>
      <c r="E411" s="10" t="n"/>
      <c r="F411" s="9" t="n"/>
      <c r="G411" s="10" t="n"/>
      <c r="H411" s="10" t="n"/>
      <c r="I411">
        <f>IF(A411="","",B411&amp;"|"&amp;(A411*1))</f>
        <v/>
      </c>
      <c r="J411">
        <f>IF(B411="",0,IF(COUNTIF('3.설계사'!$B$4:$B$303,B411)+COUNTIF('3b.시공사'!$B$4:$B$203,B411)=0,1,0))</f>
        <v/>
      </c>
    </row>
    <row r="412">
      <c r="A412" s="9" t="n"/>
      <c r="B412" s="10" t="n"/>
      <c r="C412" s="10" t="n"/>
      <c r="D412" s="10" t="n"/>
      <c r="E412" s="10" t="n"/>
      <c r="F412" s="9" t="n"/>
      <c r="G412" s="10" t="n"/>
      <c r="H412" s="10" t="n"/>
      <c r="I412">
        <f>IF(A412="","",B412&amp;"|"&amp;(A412*1))</f>
        <v/>
      </c>
      <c r="J412">
        <f>IF(B412="",0,IF(COUNTIF('3.설계사'!$B$4:$B$303,B412)+COUNTIF('3b.시공사'!$B$4:$B$203,B412)=0,1,0))</f>
        <v/>
      </c>
    </row>
    <row r="413">
      <c r="A413" s="9" t="n"/>
      <c r="B413" s="10" t="n"/>
      <c r="C413" s="10" t="n"/>
      <c r="D413" s="10" t="n"/>
      <c r="E413" s="10" t="n"/>
      <c r="F413" s="9" t="n"/>
      <c r="G413" s="10" t="n"/>
      <c r="H413" s="10" t="n"/>
      <c r="I413">
        <f>IF(A413="","",B413&amp;"|"&amp;(A413*1))</f>
        <v/>
      </c>
      <c r="J413">
        <f>IF(B413="",0,IF(COUNTIF('3.설계사'!$B$4:$B$303,B413)+COUNTIF('3b.시공사'!$B$4:$B$203,B413)=0,1,0))</f>
        <v/>
      </c>
    </row>
    <row r="414">
      <c r="A414" s="9" t="n"/>
      <c r="B414" s="10" t="n"/>
      <c r="C414" s="10" t="n"/>
      <c r="D414" s="10" t="n"/>
      <c r="E414" s="10" t="n"/>
      <c r="F414" s="9" t="n"/>
      <c r="G414" s="10" t="n"/>
      <c r="H414" s="10" t="n"/>
      <c r="I414">
        <f>IF(A414="","",B414&amp;"|"&amp;(A414*1))</f>
        <v/>
      </c>
      <c r="J414">
        <f>IF(B414="",0,IF(COUNTIF('3.설계사'!$B$4:$B$303,B414)+COUNTIF('3b.시공사'!$B$4:$B$203,B414)=0,1,0))</f>
        <v/>
      </c>
    </row>
    <row r="415">
      <c r="A415" s="9" t="n"/>
      <c r="B415" s="10" t="n"/>
      <c r="C415" s="10" t="n"/>
      <c r="D415" s="10" t="n"/>
      <c r="E415" s="10" t="n"/>
      <c r="F415" s="9" t="n"/>
      <c r="G415" s="10" t="n"/>
      <c r="H415" s="10" t="n"/>
      <c r="I415">
        <f>IF(A415="","",B415&amp;"|"&amp;(A415*1))</f>
        <v/>
      </c>
      <c r="J415">
        <f>IF(B415="",0,IF(COUNTIF('3.설계사'!$B$4:$B$303,B415)+COUNTIF('3b.시공사'!$B$4:$B$203,B415)=0,1,0))</f>
        <v/>
      </c>
    </row>
    <row r="416">
      <c r="A416" s="9" t="n"/>
      <c r="B416" s="10" t="n"/>
      <c r="C416" s="10" t="n"/>
      <c r="D416" s="10" t="n"/>
      <c r="E416" s="10" t="n"/>
      <c r="F416" s="9" t="n"/>
      <c r="G416" s="10" t="n"/>
      <c r="H416" s="10" t="n"/>
      <c r="I416">
        <f>IF(A416="","",B416&amp;"|"&amp;(A416*1))</f>
        <v/>
      </c>
      <c r="J416">
        <f>IF(B416="",0,IF(COUNTIF('3.설계사'!$B$4:$B$303,B416)+COUNTIF('3b.시공사'!$B$4:$B$203,B416)=0,1,0))</f>
        <v/>
      </c>
    </row>
    <row r="417">
      <c r="A417" s="9" t="n"/>
      <c r="B417" s="10" t="n"/>
      <c r="C417" s="10" t="n"/>
      <c r="D417" s="10" t="n"/>
      <c r="E417" s="10" t="n"/>
      <c r="F417" s="9" t="n"/>
      <c r="G417" s="10" t="n"/>
      <c r="H417" s="10" t="n"/>
      <c r="I417">
        <f>IF(A417="","",B417&amp;"|"&amp;(A417*1))</f>
        <v/>
      </c>
      <c r="J417">
        <f>IF(B417="",0,IF(COUNTIF('3.설계사'!$B$4:$B$303,B417)+COUNTIF('3b.시공사'!$B$4:$B$203,B417)=0,1,0))</f>
        <v/>
      </c>
    </row>
    <row r="418">
      <c r="A418" s="9" t="n"/>
      <c r="B418" s="10" t="n"/>
      <c r="C418" s="10" t="n"/>
      <c r="D418" s="10" t="n"/>
      <c r="E418" s="10" t="n"/>
      <c r="F418" s="9" t="n"/>
      <c r="G418" s="10" t="n"/>
      <c r="H418" s="10" t="n"/>
      <c r="I418">
        <f>IF(A418="","",B418&amp;"|"&amp;(A418*1))</f>
        <v/>
      </c>
      <c r="J418">
        <f>IF(B418="",0,IF(COUNTIF('3.설계사'!$B$4:$B$303,B418)+COUNTIF('3b.시공사'!$B$4:$B$203,B418)=0,1,0))</f>
        <v/>
      </c>
    </row>
    <row r="419">
      <c r="A419" s="9" t="n"/>
      <c r="B419" s="10" t="n"/>
      <c r="C419" s="10" t="n"/>
      <c r="D419" s="10" t="n"/>
      <c r="E419" s="10" t="n"/>
      <c r="F419" s="9" t="n"/>
      <c r="G419" s="10" t="n"/>
      <c r="H419" s="10" t="n"/>
      <c r="I419">
        <f>IF(A419="","",B419&amp;"|"&amp;(A419*1))</f>
        <v/>
      </c>
      <c r="J419">
        <f>IF(B419="",0,IF(COUNTIF('3.설계사'!$B$4:$B$303,B419)+COUNTIF('3b.시공사'!$B$4:$B$203,B419)=0,1,0))</f>
        <v/>
      </c>
    </row>
    <row r="420">
      <c r="A420" s="9" t="n"/>
      <c r="B420" s="10" t="n"/>
      <c r="C420" s="10" t="n"/>
      <c r="D420" s="10" t="n"/>
      <c r="E420" s="10" t="n"/>
      <c r="F420" s="9" t="n"/>
      <c r="G420" s="10" t="n"/>
      <c r="H420" s="10" t="n"/>
      <c r="I420">
        <f>IF(A420="","",B420&amp;"|"&amp;(A420*1))</f>
        <v/>
      </c>
      <c r="J420">
        <f>IF(B420="",0,IF(COUNTIF('3.설계사'!$B$4:$B$303,B420)+COUNTIF('3b.시공사'!$B$4:$B$203,B420)=0,1,0))</f>
        <v/>
      </c>
    </row>
    <row r="421">
      <c r="A421" s="9" t="n"/>
      <c r="B421" s="10" t="n"/>
      <c r="C421" s="10" t="n"/>
      <c r="D421" s="10" t="n"/>
      <c r="E421" s="10" t="n"/>
      <c r="F421" s="9" t="n"/>
      <c r="G421" s="10" t="n"/>
      <c r="H421" s="10" t="n"/>
      <c r="I421">
        <f>IF(A421="","",B421&amp;"|"&amp;(A421*1))</f>
        <v/>
      </c>
      <c r="J421">
        <f>IF(B421="",0,IF(COUNTIF('3.설계사'!$B$4:$B$303,B421)+COUNTIF('3b.시공사'!$B$4:$B$203,B421)=0,1,0))</f>
        <v/>
      </c>
    </row>
    <row r="422">
      <c r="A422" s="9" t="n"/>
      <c r="B422" s="10" t="n"/>
      <c r="C422" s="10" t="n"/>
      <c r="D422" s="10" t="n"/>
      <c r="E422" s="10" t="n"/>
      <c r="F422" s="9" t="n"/>
      <c r="G422" s="10" t="n"/>
      <c r="H422" s="10" t="n"/>
      <c r="I422">
        <f>IF(A422="","",B422&amp;"|"&amp;(A422*1))</f>
        <v/>
      </c>
      <c r="J422">
        <f>IF(B422="",0,IF(COUNTIF('3.설계사'!$B$4:$B$303,B422)+COUNTIF('3b.시공사'!$B$4:$B$203,B422)=0,1,0))</f>
        <v/>
      </c>
    </row>
    <row r="423">
      <c r="A423" s="9" t="n"/>
      <c r="B423" s="10" t="n"/>
      <c r="C423" s="10" t="n"/>
      <c r="D423" s="10" t="n"/>
      <c r="E423" s="10" t="n"/>
      <c r="F423" s="9" t="n"/>
      <c r="G423" s="10" t="n"/>
      <c r="H423" s="10" t="n"/>
      <c r="I423">
        <f>IF(A423="","",B423&amp;"|"&amp;(A423*1))</f>
        <v/>
      </c>
      <c r="J423">
        <f>IF(B423="",0,IF(COUNTIF('3.설계사'!$B$4:$B$303,B423)+COUNTIF('3b.시공사'!$B$4:$B$203,B423)=0,1,0))</f>
        <v/>
      </c>
    </row>
    <row r="424">
      <c r="A424" s="9" t="n"/>
      <c r="B424" s="10" t="n"/>
      <c r="C424" s="10" t="n"/>
      <c r="D424" s="10" t="n"/>
      <c r="E424" s="10" t="n"/>
      <c r="F424" s="9" t="n"/>
      <c r="G424" s="10" t="n"/>
      <c r="H424" s="10" t="n"/>
      <c r="I424">
        <f>IF(A424="","",B424&amp;"|"&amp;(A424*1))</f>
        <v/>
      </c>
      <c r="J424">
        <f>IF(B424="",0,IF(COUNTIF('3.설계사'!$B$4:$B$303,B424)+COUNTIF('3b.시공사'!$B$4:$B$203,B424)=0,1,0))</f>
        <v/>
      </c>
    </row>
    <row r="425">
      <c r="A425" s="9" t="n"/>
      <c r="B425" s="10" t="n"/>
      <c r="C425" s="10" t="n"/>
      <c r="D425" s="10" t="n"/>
      <c r="E425" s="10" t="n"/>
      <c r="F425" s="9" t="n"/>
      <c r="G425" s="10" t="n"/>
      <c r="H425" s="10" t="n"/>
      <c r="I425">
        <f>IF(A425="","",B425&amp;"|"&amp;(A425*1))</f>
        <v/>
      </c>
      <c r="J425">
        <f>IF(B425="",0,IF(COUNTIF('3.설계사'!$B$4:$B$303,B425)+COUNTIF('3b.시공사'!$B$4:$B$203,B425)=0,1,0))</f>
        <v/>
      </c>
    </row>
    <row r="426">
      <c r="A426" s="9" t="n"/>
      <c r="B426" s="10" t="n"/>
      <c r="C426" s="10" t="n"/>
      <c r="D426" s="10" t="n"/>
      <c r="E426" s="10" t="n"/>
      <c r="F426" s="9" t="n"/>
      <c r="G426" s="10" t="n"/>
      <c r="H426" s="10" t="n"/>
      <c r="I426">
        <f>IF(A426="","",B426&amp;"|"&amp;(A426*1))</f>
        <v/>
      </c>
      <c r="J426">
        <f>IF(B426="",0,IF(COUNTIF('3.설계사'!$B$4:$B$303,B426)+COUNTIF('3b.시공사'!$B$4:$B$203,B426)=0,1,0))</f>
        <v/>
      </c>
    </row>
    <row r="427">
      <c r="A427" s="9" t="n"/>
      <c r="B427" s="10" t="n"/>
      <c r="C427" s="10" t="n"/>
      <c r="D427" s="10" t="n"/>
      <c r="E427" s="10" t="n"/>
      <c r="F427" s="9" t="n"/>
      <c r="G427" s="10" t="n"/>
      <c r="H427" s="10" t="n"/>
      <c r="I427">
        <f>IF(A427="","",B427&amp;"|"&amp;(A427*1))</f>
        <v/>
      </c>
      <c r="J427">
        <f>IF(B427="",0,IF(COUNTIF('3.설계사'!$B$4:$B$303,B427)+COUNTIF('3b.시공사'!$B$4:$B$203,B427)=0,1,0))</f>
        <v/>
      </c>
    </row>
    <row r="428">
      <c r="A428" s="9" t="n"/>
      <c r="B428" s="10" t="n"/>
      <c r="C428" s="10" t="n"/>
      <c r="D428" s="10" t="n"/>
      <c r="E428" s="10" t="n"/>
      <c r="F428" s="9" t="n"/>
      <c r="G428" s="10" t="n"/>
      <c r="H428" s="10" t="n"/>
      <c r="I428">
        <f>IF(A428="","",B428&amp;"|"&amp;(A428*1))</f>
        <v/>
      </c>
      <c r="J428">
        <f>IF(B428="",0,IF(COUNTIF('3.설계사'!$B$4:$B$303,B428)+COUNTIF('3b.시공사'!$B$4:$B$203,B428)=0,1,0))</f>
        <v/>
      </c>
    </row>
    <row r="429">
      <c r="A429" s="9" t="n"/>
      <c r="B429" s="10" t="n"/>
      <c r="C429" s="10" t="n"/>
      <c r="D429" s="10" t="n"/>
      <c r="E429" s="10" t="n"/>
      <c r="F429" s="9" t="n"/>
      <c r="G429" s="10" t="n"/>
      <c r="H429" s="10" t="n"/>
      <c r="I429">
        <f>IF(A429="","",B429&amp;"|"&amp;(A429*1))</f>
        <v/>
      </c>
      <c r="J429">
        <f>IF(B429="",0,IF(COUNTIF('3.설계사'!$B$4:$B$303,B429)+COUNTIF('3b.시공사'!$B$4:$B$203,B429)=0,1,0))</f>
        <v/>
      </c>
    </row>
    <row r="430">
      <c r="A430" s="9" t="n"/>
      <c r="B430" s="10" t="n"/>
      <c r="C430" s="10" t="n"/>
      <c r="D430" s="10" t="n"/>
      <c r="E430" s="10" t="n"/>
      <c r="F430" s="9" t="n"/>
      <c r="G430" s="10" t="n"/>
      <c r="H430" s="10" t="n"/>
      <c r="I430">
        <f>IF(A430="","",B430&amp;"|"&amp;(A430*1))</f>
        <v/>
      </c>
      <c r="J430">
        <f>IF(B430="",0,IF(COUNTIF('3.설계사'!$B$4:$B$303,B430)+COUNTIF('3b.시공사'!$B$4:$B$203,B430)=0,1,0))</f>
        <v/>
      </c>
    </row>
    <row r="431">
      <c r="A431" s="9" t="n"/>
      <c r="B431" s="10" t="n"/>
      <c r="C431" s="10" t="n"/>
      <c r="D431" s="10" t="n"/>
      <c r="E431" s="10" t="n"/>
      <c r="F431" s="9" t="n"/>
      <c r="G431" s="10" t="n"/>
      <c r="H431" s="10" t="n"/>
      <c r="I431">
        <f>IF(A431="","",B431&amp;"|"&amp;(A431*1))</f>
        <v/>
      </c>
      <c r="J431">
        <f>IF(B431="",0,IF(COUNTIF('3.설계사'!$B$4:$B$303,B431)+COUNTIF('3b.시공사'!$B$4:$B$203,B431)=0,1,0))</f>
        <v/>
      </c>
    </row>
    <row r="432">
      <c r="A432" s="9" t="n"/>
      <c r="B432" s="10" t="n"/>
      <c r="C432" s="10" t="n"/>
      <c r="D432" s="10" t="n"/>
      <c r="E432" s="10" t="n"/>
      <c r="F432" s="9" t="n"/>
      <c r="G432" s="10" t="n"/>
      <c r="H432" s="10" t="n"/>
      <c r="I432">
        <f>IF(A432="","",B432&amp;"|"&amp;(A432*1))</f>
        <v/>
      </c>
      <c r="J432">
        <f>IF(B432="",0,IF(COUNTIF('3.설계사'!$B$4:$B$303,B432)+COUNTIF('3b.시공사'!$B$4:$B$203,B432)=0,1,0))</f>
        <v/>
      </c>
    </row>
    <row r="433">
      <c r="A433" s="9" t="n"/>
      <c r="B433" s="10" t="n"/>
      <c r="C433" s="10" t="n"/>
      <c r="D433" s="10" t="n"/>
      <c r="E433" s="10" t="n"/>
      <c r="F433" s="9" t="n"/>
      <c r="G433" s="10" t="n"/>
      <c r="H433" s="10" t="n"/>
      <c r="I433">
        <f>IF(A433="","",B433&amp;"|"&amp;(A433*1))</f>
        <v/>
      </c>
      <c r="J433">
        <f>IF(B433="",0,IF(COUNTIF('3.설계사'!$B$4:$B$303,B433)+COUNTIF('3b.시공사'!$B$4:$B$203,B433)=0,1,0))</f>
        <v/>
      </c>
    </row>
    <row r="434">
      <c r="A434" s="9" t="n"/>
      <c r="B434" s="10" t="n"/>
      <c r="C434" s="10" t="n"/>
      <c r="D434" s="10" t="n"/>
      <c r="E434" s="10" t="n"/>
      <c r="F434" s="9" t="n"/>
      <c r="G434" s="10" t="n"/>
      <c r="H434" s="10" t="n"/>
      <c r="I434">
        <f>IF(A434="","",B434&amp;"|"&amp;(A434*1))</f>
        <v/>
      </c>
      <c r="J434">
        <f>IF(B434="",0,IF(COUNTIF('3.설계사'!$B$4:$B$303,B434)+COUNTIF('3b.시공사'!$B$4:$B$203,B434)=0,1,0))</f>
        <v/>
      </c>
    </row>
    <row r="435">
      <c r="A435" s="9" t="n"/>
      <c r="B435" s="10" t="n"/>
      <c r="C435" s="10" t="n"/>
      <c r="D435" s="10" t="n"/>
      <c r="E435" s="10" t="n"/>
      <c r="F435" s="9" t="n"/>
      <c r="G435" s="10" t="n"/>
      <c r="H435" s="10" t="n"/>
      <c r="I435">
        <f>IF(A435="","",B435&amp;"|"&amp;(A435*1))</f>
        <v/>
      </c>
      <c r="J435">
        <f>IF(B435="",0,IF(COUNTIF('3.설계사'!$B$4:$B$303,B435)+COUNTIF('3b.시공사'!$B$4:$B$203,B435)=0,1,0))</f>
        <v/>
      </c>
    </row>
    <row r="436">
      <c r="A436" s="9" t="n"/>
      <c r="B436" s="10" t="n"/>
      <c r="C436" s="10" t="n"/>
      <c r="D436" s="10" t="n"/>
      <c r="E436" s="10" t="n"/>
      <c r="F436" s="9" t="n"/>
      <c r="G436" s="10" t="n"/>
      <c r="H436" s="10" t="n"/>
      <c r="I436">
        <f>IF(A436="","",B436&amp;"|"&amp;(A436*1))</f>
        <v/>
      </c>
      <c r="J436">
        <f>IF(B436="",0,IF(COUNTIF('3.설계사'!$B$4:$B$303,B436)+COUNTIF('3b.시공사'!$B$4:$B$203,B436)=0,1,0))</f>
        <v/>
      </c>
    </row>
    <row r="437">
      <c r="A437" s="9" t="n"/>
      <c r="B437" s="10" t="n"/>
      <c r="C437" s="10" t="n"/>
      <c r="D437" s="10" t="n"/>
      <c r="E437" s="10" t="n"/>
      <c r="F437" s="9" t="n"/>
      <c r="G437" s="10" t="n"/>
      <c r="H437" s="10" t="n"/>
      <c r="I437">
        <f>IF(A437="","",B437&amp;"|"&amp;(A437*1))</f>
        <v/>
      </c>
      <c r="J437">
        <f>IF(B437="",0,IF(COUNTIF('3.설계사'!$B$4:$B$303,B437)+COUNTIF('3b.시공사'!$B$4:$B$203,B437)=0,1,0))</f>
        <v/>
      </c>
    </row>
    <row r="438">
      <c r="A438" s="9" t="n"/>
      <c r="B438" s="10" t="n"/>
      <c r="C438" s="10" t="n"/>
      <c r="D438" s="10" t="n"/>
      <c r="E438" s="10" t="n"/>
      <c r="F438" s="9" t="n"/>
      <c r="G438" s="10" t="n"/>
      <c r="H438" s="10" t="n"/>
      <c r="I438">
        <f>IF(A438="","",B438&amp;"|"&amp;(A438*1))</f>
        <v/>
      </c>
      <c r="J438">
        <f>IF(B438="",0,IF(COUNTIF('3.설계사'!$B$4:$B$303,B438)+COUNTIF('3b.시공사'!$B$4:$B$203,B438)=0,1,0))</f>
        <v/>
      </c>
    </row>
    <row r="439">
      <c r="A439" s="9" t="n"/>
      <c r="B439" s="10" t="n"/>
      <c r="C439" s="10" t="n"/>
      <c r="D439" s="10" t="n"/>
      <c r="E439" s="10" t="n"/>
      <c r="F439" s="9" t="n"/>
      <c r="G439" s="10" t="n"/>
      <c r="H439" s="10" t="n"/>
      <c r="I439">
        <f>IF(A439="","",B439&amp;"|"&amp;(A439*1))</f>
        <v/>
      </c>
      <c r="J439">
        <f>IF(B439="",0,IF(COUNTIF('3.설계사'!$B$4:$B$303,B439)+COUNTIF('3b.시공사'!$B$4:$B$203,B439)=0,1,0))</f>
        <v/>
      </c>
    </row>
    <row r="440">
      <c r="A440" s="9" t="n"/>
      <c r="B440" s="10" t="n"/>
      <c r="C440" s="10" t="n"/>
      <c r="D440" s="10" t="n"/>
      <c r="E440" s="10" t="n"/>
      <c r="F440" s="9" t="n"/>
      <c r="G440" s="10" t="n"/>
      <c r="H440" s="10" t="n"/>
      <c r="I440">
        <f>IF(A440="","",B440&amp;"|"&amp;(A440*1))</f>
        <v/>
      </c>
      <c r="J440">
        <f>IF(B440="",0,IF(COUNTIF('3.설계사'!$B$4:$B$303,B440)+COUNTIF('3b.시공사'!$B$4:$B$203,B440)=0,1,0))</f>
        <v/>
      </c>
    </row>
    <row r="441">
      <c r="A441" s="9" t="n"/>
      <c r="B441" s="10" t="n"/>
      <c r="C441" s="10" t="n"/>
      <c r="D441" s="10" t="n"/>
      <c r="E441" s="10" t="n"/>
      <c r="F441" s="9" t="n"/>
      <c r="G441" s="10" t="n"/>
      <c r="H441" s="10" t="n"/>
      <c r="I441">
        <f>IF(A441="","",B441&amp;"|"&amp;(A441*1))</f>
        <v/>
      </c>
      <c r="J441">
        <f>IF(B441="",0,IF(COUNTIF('3.설계사'!$B$4:$B$303,B441)+COUNTIF('3b.시공사'!$B$4:$B$203,B441)=0,1,0))</f>
        <v/>
      </c>
    </row>
    <row r="442">
      <c r="A442" s="9" t="n"/>
      <c r="B442" s="10" t="n"/>
      <c r="C442" s="10" t="n"/>
      <c r="D442" s="10" t="n"/>
      <c r="E442" s="10" t="n"/>
      <c r="F442" s="9" t="n"/>
      <c r="G442" s="10" t="n"/>
      <c r="H442" s="10" t="n"/>
      <c r="I442">
        <f>IF(A442="","",B442&amp;"|"&amp;(A442*1))</f>
        <v/>
      </c>
      <c r="J442">
        <f>IF(B442="",0,IF(COUNTIF('3.설계사'!$B$4:$B$303,B442)+COUNTIF('3b.시공사'!$B$4:$B$203,B442)=0,1,0))</f>
        <v/>
      </c>
    </row>
    <row r="443">
      <c r="A443" s="9" t="n"/>
      <c r="B443" s="10" t="n"/>
      <c r="C443" s="10" t="n"/>
      <c r="D443" s="10" t="n"/>
      <c r="E443" s="10" t="n"/>
      <c r="F443" s="9" t="n"/>
      <c r="G443" s="10" t="n"/>
      <c r="H443" s="10" t="n"/>
      <c r="I443">
        <f>IF(A443="","",B443&amp;"|"&amp;(A443*1))</f>
        <v/>
      </c>
      <c r="J443">
        <f>IF(B443="",0,IF(COUNTIF('3.설계사'!$B$4:$B$303,B443)+COUNTIF('3b.시공사'!$B$4:$B$203,B443)=0,1,0))</f>
        <v/>
      </c>
    </row>
    <row r="444">
      <c r="A444" s="9" t="n"/>
      <c r="B444" s="10" t="n"/>
      <c r="C444" s="10" t="n"/>
      <c r="D444" s="10" t="n"/>
      <c r="E444" s="10" t="n"/>
      <c r="F444" s="9" t="n"/>
      <c r="G444" s="10" t="n"/>
      <c r="H444" s="10" t="n"/>
      <c r="I444">
        <f>IF(A444="","",B444&amp;"|"&amp;(A444*1))</f>
        <v/>
      </c>
      <c r="J444">
        <f>IF(B444="",0,IF(COUNTIF('3.설계사'!$B$4:$B$303,B444)+COUNTIF('3b.시공사'!$B$4:$B$203,B444)=0,1,0))</f>
        <v/>
      </c>
    </row>
    <row r="445">
      <c r="A445" s="9" t="n"/>
      <c r="B445" s="10" t="n"/>
      <c r="C445" s="10" t="n"/>
      <c r="D445" s="10" t="n"/>
      <c r="E445" s="10" t="n"/>
      <c r="F445" s="9" t="n"/>
      <c r="G445" s="10" t="n"/>
      <c r="H445" s="10" t="n"/>
      <c r="I445">
        <f>IF(A445="","",B445&amp;"|"&amp;(A445*1))</f>
        <v/>
      </c>
      <c r="J445">
        <f>IF(B445="",0,IF(COUNTIF('3.설계사'!$B$4:$B$303,B445)+COUNTIF('3b.시공사'!$B$4:$B$203,B445)=0,1,0))</f>
        <v/>
      </c>
    </row>
    <row r="446">
      <c r="A446" s="9" t="n"/>
      <c r="B446" s="10" t="n"/>
      <c r="C446" s="10" t="n"/>
      <c r="D446" s="10" t="n"/>
      <c r="E446" s="10" t="n"/>
      <c r="F446" s="9" t="n"/>
      <c r="G446" s="10" t="n"/>
      <c r="H446" s="10" t="n"/>
      <c r="I446">
        <f>IF(A446="","",B446&amp;"|"&amp;(A446*1))</f>
        <v/>
      </c>
      <c r="J446">
        <f>IF(B446="",0,IF(COUNTIF('3.설계사'!$B$4:$B$303,B446)+COUNTIF('3b.시공사'!$B$4:$B$203,B446)=0,1,0))</f>
        <v/>
      </c>
    </row>
    <row r="447">
      <c r="A447" s="9" t="n"/>
      <c r="B447" s="10" t="n"/>
      <c r="C447" s="10" t="n"/>
      <c r="D447" s="10" t="n"/>
      <c r="E447" s="10" t="n"/>
      <c r="F447" s="9" t="n"/>
      <c r="G447" s="10" t="n"/>
      <c r="H447" s="10" t="n"/>
      <c r="I447">
        <f>IF(A447="","",B447&amp;"|"&amp;(A447*1))</f>
        <v/>
      </c>
      <c r="J447">
        <f>IF(B447="",0,IF(COUNTIF('3.설계사'!$B$4:$B$303,B447)+COUNTIF('3b.시공사'!$B$4:$B$203,B447)=0,1,0))</f>
        <v/>
      </c>
    </row>
    <row r="448">
      <c r="A448" s="9" t="n"/>
      <c r="B448" s="10" t="n"/>
      <c r="C448" s="10" t="n"/>
      <c r="D448" s="10" t="n"/>
      <c r="E448" s="10" t="n"/>
      <c r="F448" s="9" t="n"/>
      <c r="G448" s="10" t="n"/>
      <c r="H448" s="10" t="n"/>
      <c r="I448">
        <f>IF(A448="","",B448&amp;"|"&amp;(A448*1))</f>
        <v/>
      </c>
      <c r="J448">
        <f>IF(B448="",0,IF(COUNTIF('3.설계사'!$B$4:$B$303,B448)+COUNTIF('3b.시공사'!$B$4:$B$203,B448)=0,1,0))</f>
        <v/>
      </c>
    </row>
    <row r="449">
      <c r="A449" s="9" t="n"/>
      <c r="B449" s="10" t="n"/>
      <c r="C449" s="10" t="n"/>
      <c r="D449" s="10" t="n"/>
      <c r="E449" s="10" t="n"/>
      <c r="F449" s="9" t="n"/>
      <c r="G449" s="10" t="n"/>
      <c r="H449" s="10" t="n"/>
      <c r="I449">
        <f>IF(A449="","",B449&amp;"|"&amp;(A449*1))</f>
        <v/>
      </c>
      <c r="J449">
        <f>IF(B449="",0,IF(COUNTIF('3.설계사'!$B$4:$B$303,B449)+COUNTIF('3b.시공사'!$B$4:$B$203,B449)=0,1,0))</f>
        <v/>
      </c>
    </row>
    <row r="450">
      <c r="A450" s="9" t="n"/>
      <c r="B450" s="10" t="n"/>
      <c r="C450" s="10" t="n"/>
      <c r="D450" s="10" t="n"/>
      <c r="E450" s="10" t="n"/>
      <c r="F450" s="9" t="n"/>
      <c r="G450" s="10" t="n"/>
      <c r="H450" s="10" t="n"/>
      <c r="I450">
        <f>IF(A450="","",B450&amp;"|"&amp;(A450*1))</f>
        <v/>
      </c>
      <c r="J450">
        <f>IF(B450="",0,IF(COUNTIF('3.설계사'!$B$4:$B$303,B450)+COUNTIF('3b.시공사'!$B$4:$B$203,B450)=0,1,0))</f>
        <v/>
      </c>
    </row>
    <row r="451">
      <c r="A451" s="9" t="n"/>
      <c r="B451" s="10" t="n"/>
      <c r="C451" s="10" t="n"/>
      <c r="D451" s="10" t="n"/>
      <c r="E451" s="10" t="n"/>
      <c r="F451" s="9" t="n"/>
      <c r="G451" s="10" t="n"/>
      <c r="H451" s="10" t="n"/>
      <c r="I451">
        <f>IF(A451="","",B451&amp;"|"&amp;(A451*1))</f>
        <v/>
      </c>
      <c r="J451">
        <f>IF(B451="",0,IF(COUNTIF('3.설계사'!$B$4:$B$303,B451)+COUNTIF('3b.시공사'!$B$4:$B$203,B451)=0,1,0))</f>
        <v/>
      </c>
    </row>
    <row r="452">
      <c r="A452" s="9" t="n"/>
      <c r="B452" s="10" t="n"/>
      <c r="C452" s="10" t="n"/>
      <c r="D452" s="10" t="n"/>
      <c r="E452" s="10" t="n"/>
      <c r="F452" s="9" t="n"/>
      <c r="G452" s="10" t="n"/>
      <c r="H452" s="10" t="n"/>
      <c r="I452">
        <f>IF(A452="","",B452&amp;"|"&amp;(A452*1))</f>
        <v/>
      </c>
      <c r="J452">
        <f>IF(B452="",0,IF(COUNTIF('3.설계사'!$B$4:$B$303,B452)+COUNTIF('3b.시공사'!$B$4:$B$203,B452)=0,1,0))</f>
        <v/>
      </c>
    </row>
    <row r="453">
      <c r="A453" s="9" t="n"/>
      <c r="B453" s="10" t="n"/>
      <c r="C453" s="10" t="n"/>
      <c r="D453" s="10" t="n"/>
      <c r="E453" s="10" t="n"/>
      <c r="F453" s="9" t="n"/>
      <c r="G453" s="10" t="n"/>
      <c r="H453" s="10" t="n"/>
      <c r="I453">
        <f>IF(A453="","",B453&amp;"|"&amp;(A453*1))</f>
        <v/>
      </c>
      <c r="J453">
        <f>IF(B453="",0,IF(COUNTIF('3.설계사'!$B$4:$B$303,B453)+COUNTIF('3b.시공사'!$B$4:$B$203,B453)=0,1,0))</f>
        <v/>
      </c>
    </row>
    <row r="454">
      <c r="A454" s="9" t="n"/>
      <c r="B454" s="10" t="n"/>
      <c r="C454" s="10" t="n"/>
      <c r="D454" s="10" t="n"/>
      <c r="E454" s="10" t="n"/>
      <c r="F454" s="9" t="n"/>
      <c r="G454" s="10" t="n"/>
      <c r="H454" s="10" t="n"/>
      <c r="I454">
        <f>IF(A454="","",B454&amp;"|"&amp;(A454*1))</f>
        <v/>
      </c>
      <c r="J454">
        <f>IF(B454="",0,IF(COUNTIF('3.설계사'!$B$4:$B$303,B454)+COUNTIF('3b.시공사'!$B$4:$B$203,B454)=0,1,0))</f>
        <v/>
      </c>
    </row>
    <row r="455">
      <c r="A455" s="9" t="n"/>
      <c r="B455" s="10" t="n"/>
      <c r="C455" s="10" t="n"/>
      <c r="D455" s="10" t="n"/>
      <c r="E455" s="10" t="n"/>
      <c r="F455" s="9" t="n"/>
      <c r="G455" s="10" t="n"/>
      <c r="H455" s="10" t="n"/>
      <c r="I455">
        <f>IF(A455="","",B455&amp;"|"&amp;(A455*1))</f>
        <v/>
      </c>
      <c r="J455">
        <f>IF(B455="",0,IF(COUNTIF('3.설계사'!$B$4:$B$303,B455)+COUNTIF('3b.시공사'!$B$4:$B$203,B455)=0,1,0))</f>
        <v/>
      </c>
    </row>
    <row r="456">
      <c r="A456" s="9" t="n"/>
      <c r="B456" s="10" t="n"/>
      <c r="C456" s="10" t="n"/>
      <c r="D456" s="10" t="n"/>
      <c r="E456" s="10" t="n"/>
      <c r="F456" s="9" t="n"/>
      <c r="G456" s="10" t="n"/>
      <c r="H456" s="10" t="n"/>
      <c r="I456">
        <f>IF(A456="","",B456&amp;"|"&amp;(A456*1))</f>
        <v/>
      </c>
      <c r="J456">
        <f>IF(B456="",0,IF(COUNTIF('3.설계사'!$B$4:$B$303,B456)+COUNTIF('3b.시공사'!$B$4:$B$203,B456)=0,1,0))</f>
        <v/>
      </c>
    </row>
    <row r="457">
      <c r="A457" s="9" t="n"/>
      <c r="B457" s="10" t="n"/>
      <c r="C457" s="10" t="n"/>
      <c r="D457" s="10" t="n"/>
      <c r="E457" s="10" t="n"/>
      <c r="F457" s="9" t="n"/>
      <c r="G457" s="10" t="n"/>
      <c r="H457" s="10" t="n"/>
      <c r="I457">
        <f>IF(A457="","",B457&amp;"|"&amp;(A457*1))</f>
        <v/>
      </c>
      <c r="J457">
        <f>IF(B457="",0,IF(COUNTIF('3.설계사'!$B$4:$B$303,B457)+COUNTIF('3b.시공사'!$B$4:$B$203,B457)=0,1,0))</f>
        <v/>
      </c>
    </row>
    <row r="458">
      <c r="A458" s="9" t="n"/>
      <c r="B458" s="10" t="n"/>
      <c r="C458" s="10" t="n"/>
      <c r="D458" s="10" t="n"/>
      <c r="E458" s="10" t="n"/>
      <c r="F458" s="9" t="n"/>
      <c r="G458" s="10" t="n"/>
      <c r="H458" s="10" t="n"/>
      <c r="I458">
        <f>IF(A458="","",B458&amp;"|"&amp;(A458*1))</f>
        <v/>
      </c>
      <c r="J458">
        <f>IF(B458="",0,IF(COUNTIF('3.설계사'!$B$4:$B$303,B458)+COUNTIF('3b.시공사'!$B$4:$B$203,B458)=0,1,0))</f>
        <v/>
      </c>
    </row>
    <row r="459">
      <c r="A459" s="9" t="n"/>
      <c r="B459" s="10" t="n"/>
      <c r="C459" s="10" t="n"/>
      <c r="D459" s="10" t="n"/>
      <c r="E459" s="10" t="n"/>
      <c r="F459" s="9" t="n"/>
      <c r="G459" s="10" t="n"/>
      <c r="H459" s="10" t="n"/>
      <c r="I459">
        <f>IF(A459="","",B459&amp;"|"&amp;(A459*1))</f>
        <v/>
      </c>
      <c r="J459">
        <f>IF(B459="",0,IF(COUNTIF('3.설계사'!$B$4:$B$303,B459)+COUNTIF('3b.시공사'!$B$4:$B$203,B459)=0,1,0))</f>
        <v/>
      </c>
    </row>
    <row r="460">
      <c r="A460" s="9" t="n"/>
      <c r="B460" s="10" t="n"/>
      <c r="C460" s="10" t="n"/>
      <c r="D460" s="10" t="n"/>
      <c r="E460" s="10" t="n"/>
      <c r="F460" s="9" t="n"/>
      <c r="G460" s="10" t="n"/>
      <c r="H460" s="10" t="n"/>
      <c r="I460">
        <f>IF(A460="","",B460&amp;"|"&amp;(A460*1))</f>
        <v/>
      </c>
      <c r="J460">
        <f>IF(B460="",0,IF(COUNTIF('3.설계사'!$B$4:$B$303,B460)+COUNTIF('3b.시공사'!$B$4:$B$203,B460)=0,1,0))</f>
        <v/>
      </c>
    </row>
    <row r="461">
      <c r="A461" s="9" t="n"/>
      <c r="B461" s="10" t="n"/>
      <c r="C461" s="10" t="n"/>
      <c r="D461" s="10" t="n"/>
      <c r="E461" s="10" t="n"/>
      <c r="F461" s="9" t="n"/>
      <c r="G461" s="10" t="n"/>
      <c r="H461" s="10" t="n"/>
      <c r="I461">
        <f>IF(A461="","",B461&amp;"|"&amp;(A461*1))</f>
        <v/>
      </c>
      <c r="J461">
        <f>IF(B461="",0,IF(COUNTIF('3.설계사'!$B$4:$B$303,B461)+COUNTIF('3b.시공사'!$B$4:$B$203,B461)=0,1,0))</f>
        <v/>
      </c>
    </row>
    <row r="462">
      <c r="A462" s="9" t="n"/>
      <c r="B462" s="10" t="n"/>
      <c r="C462" s="10" t="n"/>
      <c r="D462" s="10" t="n"/>
      <c r="E462" s="10" t="n"/>
      <c r="F462" s="9" t="n"/>
      <c r="G462" s="10" t="n"/>
      <c r="H462" s="10" t="n"/>
      <c r="I462">
        <f>IF(A462="","",B462&amp;"|"&amp;(A462*1))</f>
        <v/>
      </c>
      <c r="J462">
        <f>IF(B462="",0,IF(COUNTIF('3.설계사'!$B$4:$B$303,B462)+COUNTIF('3b.시공사'!$B$4:$B$203,B462)=0,1,0))</f>
        <v/>
      </c>
    </row>
    <row r="463">
      <c r="A463" s="9" t="n"/>
      <c r="B463" s="10" t="n"/>
      <c r="C463" s="10" t="n"/>
      <c r="D463" s="10" t="n"/>
      <c r="E463" s="10" t="n"/>
      <c r="F463" s="9" t="n"/>
      <c r="G463" s="10" t="n"/>
      <c r="H463" s="10" t="n"/>
      <c r="I463">
        <f>IF(A463="","",B463&amp;"|"&amp;(A463*1))</f>
        <v/>
      </c>
      <c r="J463">
        <f>IF(B463="",0,IF(COUNTIF('3.설계사'!$B$4:$B$303,B463)+COUNTIF('3b.시공사'!$B$4:$B$203,B463)=0,1,0))</f>
        <v/>
      </c>
    </row>
    <row r="464">
      <c r="A464" s="9" t="n"/>
      <c r="B464" s="10" t="n"/>
      <c r="C464" s="10" t="n"/>
      <c r="D464" s="10" t="n"/>
      <c r="E464" s="10" t="n"/>
      <c r="F464" s="9" t="n"/>
      <c r="G464" s="10" t="n"/>
      <c r="H464" s="10" t="n"/>
      <c r="I464">
        <f>IF(A464="","",B464&amp;"|"&amp;(A464*1))</f>
        <v/>
      </c>
      <c r="J464">
        <f>IF(B464="",0,IF(COUNTIF('3.설계사'!$B$4:$B$303,B464)+COUNTIF('3b.시공사'!$B$4:$B$203,B464)=0,1,0))</f>
        <v/>
      </c>
    </row>
    <row r="465">
      <c r="A465" s="9" t="n"/>
      <c r="B465" s="10" t="n"/>
      <c r="C465" s="10" t="n"/>
      <c r="D465" s="10" t="n"/>
      <c r="E465" s="10" t="n"/>
      <c r="F465" s="9" t="n"/>
      <c r="G465" s="10" t="n"/>
      <c r="H465" s="10" t="n"/>
      <c r="I465">
        <f>IF(A465="","",B465&amp;"|"&amp;(A465*1))</f>
        <v/>
      </c>
      <c r="J465">
        <f>IF(B465="",0,IF(COUNTIF('3.설계사'!$B$4:$B$303,B465)+COUNTIF('3b.시공사'!$B$4:$B$203,B465)=0,1,0))</f>
        <v/>
      </c>
    </row>
    <row r="466">
      <c r="A466" s="9" t="n"/>
      <c r="B466" s="10" t="n"/>
      <c r="C466" s="10" t="n"/>
      <c r="D466" s="10" t="n"/>
      <c r="E466" s="10" t="n"/>
      <c r="F466" s="9" t="n"/>
      <c r="G466" s="10" t="n"/>
      <c r="H466" s="10" t="n"/>
      <c r="I466">
        <f>IF(A466="","",B466&amp;"|"&amp;(A466*1))</f>
        <v/>
      </c>
      <c r="J466">
        <f>IF(B466="",0,IF(COUNTIF('3.설계사'!$B$4:$B$303,B466)+COUNTIF('3b.시공사'!$B$4:$B$203,B466)=0,1,0))</f>
        <v/>
      </c>
    </row>
    <row r="467">
      <c r="A467" s="9" t="n"/>
      <c r="B467" s="10" t="n"/>
      <c r="C467" s="10" t="n"/>
      <c r="D467" s="10" t="n"/>
      <c r="E467" s="10" t="n"/>
      <c r="F467" s="9" t="n"/>
      <c r="G467" s="10" t="n"/>
      <c r="H467" s="10" t="n"/>
      <c r="I467">
        <f>IF(A467="","",B467&amp;"|"&amp;(A467*1))</f>
        <v/>
      </c>
      <c r="J467">
        <f>IF(B467="",0,IF(COUNTIF('3.설계사'!$B$4:$B$303,B467)+COUNTIF('3b.시공사'!$B$4:$B$203,B467)=0,1,0))</f>
        <v/>
      </c>
    </row>
    <row r="468">
      <c r="A468" s="9" t="n"/>
      <c r="B468" s="10" t="n"/>
      <c r="C468" s="10" t="n"/>
      <c r="D468" s="10" t="n"/>
      <c r="E468" s="10" t="n"/>
      <c r="F468" s="9" t="n"/>
      <c r="G468" s="10" t="n"/>
      <c r="H468" s="10" t="n"/>
      <c r="I468">
        <f>IF(A468="","",B468&amp;"|"&amp;(A468*1))</f>
        <v/>
      </c>
      <c r="J468">
        <f>IF(B468="",0,IF(COUNTIF('3.설계사'!$B$4:$B$303,B468)+COUNTIF('3b.시공사'!$B$4:$B$203,B468)=0,1,0))</f>
        <v/>
      </c>
    </row>
    <row r="469">
      <c r="A469" s="9" t="n"/>
      <c r="B469" s="10" t="n"/>
      <c r="C469" s="10" t="n"/>
      <c r="D469" s="10" t="n"/>
      <c r="E469" s="10" t="n"/>
      <c r="F469" s="9" t="n"/>
      <c r="G469" s="10" t="n"/>
      <c r="H469" s="10" t="n"/>
      <c r="I469">
        <f>IF(A469="","",B469&amp;"|"&amp;(A469*1))</f>
        <v/>
      </c>
      <c r="J469">
        <f>IF(B469="",0,IF(COUNTIF('3.설계사'!$B$4:$B$303,B469)+COUNTIF('3b.시공사'!$B$4:$B$203,B469)=0,1,0))</f>
        <v/>
      </c>
    </row>
    <row r="470">
      <c r="A470" s="9" t="n"/>
      <c r="B470" s="10" t="n"/>
      <c r="C470" s="10" t="n"/>
      <c r="D470" s="10" t="n"/>
      <c r="E470" s="10" t="n"/>
      <c r="F470" s="9" t="n"/>
      <c r="G470" s="10" t="n"/>
      <c r="H470" s="10" t="n"/>
      <c r="I470">
        <f>IF(A470="","",B470&amp;"|"&amp;(A470*1))</f>
        <v/>
      </c>
      <c r="J470">
        <f>IF(B470="",0,IF(COUNTIF('3.설계사'!$B$4:$B$303,B470)+COUNTIF('3b.시공사'!$B$4:$B$203,B470)=0,1,0))</f>
        <v/>
      </c>
    </row>
    <row r="471">
      <c r="A471" s="9" t="n"/>
      <c r="B471" s="10" t="n"/>
      <c r="C471" s="10" t="n"/>
      <c r="D471" s="10" t="n"/>
      <c r="E471" s="10" t="n"/>
      <c r="F471" s="9" t="n"/>
      <c r="G471" s="10" t="n"/>
      <c r="H471" s="10" t="n"/>
      <c r="I471">
        <f>IF(A471="","",B471&amp;"|"&amp;(A471*1))</f>
        <v/>
      </c>
      <c r="J471">
        <f>IF(B471="",0,IF(COUNTIF('3.설계사'!$B$4:$B$303,B471)+COUNTIF('3b.시공사'!$B$4:$B$203,B471)=0,1,0))</f>
        <v/>
      </c>
    </row>
    <row r="472">
      <c r="A472" s="9" t="n"/>
      <c r="B472" s="10" t="n"/>
      <c r="C472" s="10" t="n"/>
      <c r="D472" s="10" t="n"/>
      <c r="E472" s="10" t="n"/>
      <c r="F472" s="9" t="n"/>
      <c r="G472" s="10" t="n"/>
      <c r="H472" s="10" t="n"/>
      <c r="I472">
        <f>IF(A472="","",B472&amp;"|"&amp;(A472*1))</f>
        <v/>
      </c>
      <c r="J472">
        <f>IF(B472="",0,IF(COUNTIF('3.설계사'!$B$4:$B$303,B472)+COUNTIF('3b.시공사'!$B$4:$B$203,B472)=0,1,0))</f>
        <v/>
      </c>
    </row>
    <row r="473">
      <c r="A473" s="9" t="n"/>
      <c r="B473" s="10" t="n"/>
      <c r="C473" s="10" t="n"/>
      <c r="D473" s="10" t="n"/>
      <c r="E473" s="10" t="n"/>
      <c r="F473" s="9" t="n"/>
      <c r="G473" s="10" t="n"/>
      <c r="H473" s="10" t="n"/>
      <c r="I473">
        <f>IF(A473="","",B473&amp;"|"&amp;(A473*1))</f>
        <v/>
      </c>
      <c r="J473">
        <f>IF(B473="",0,IF(COUNTIF('3.설계사'!$B$4:$B$303,B473)+COUNTIF('3b.시공사'!$B$4:$B$203,B473)=0,1,0))</f>
        <v/>
      </c>
    </row>
    <row r="474">
      <c r="A474" s="9" t="n"/>
      <c r="B474" s="10" t="n"/>
      <c r="C474" s="10" t="n"/>
      <c r="D474" s="10" t="n"/>
      <c r="E474" s="10" t="n"/>
      <c r="F474" s="9" t="n"/>
      <c r="G474" s="10" t="n"/>
      <c r="H474" s="10" t="n"/>
      <c r="I474">
        <f>IF(A474="","",B474&amp;"|"&amp;(A474*1))</f>
        <v/>
      </c>
      <c r="J474">
        <f>IF(B474="",0,IF(COUNTIF('3.설계사'!$B$4:$B$303,B474)+COUNTIF('3b.시공사'!$B$4:$B$203,B474)=0,1,0))</f>
        <v/>
      </c>
    </row>
    <row r="475">
      <c r="A475" s="9" t="n"/>
      <c r="B475" s="10" t="n"/>
      <c r="C475" s="10" t="n"/>
      <c r="D475" s="10" t="n"/>
      <c r="E475" s="10" t="n"/>
      <c r="F475" s="9" t="n"/>
      <c r="G475" s="10" t="n"/>
      <c r="H475" s="10" t="n"/>
      <c r="I475">
        <f>IF(A475="","",B475&amp;"|"&amp;(A475*1))</f>
        <v/>
      </c>
      <c r="J475">
        <f>IF(B475="",0,IF(COUNTIF('3.설계사'!$B$4:$B$303,B475)+COUNTIF('3b.시공사'!$B$4:$B$203,B475)=0,1,0))</f>
        <v/>
      </c>
    </row>
    <row r="476">
      <c r="A476" s="9" t="n"/>
      <c r="B476" s="10" t="n"/>
      <c r="C476" s="10" t="n"/>
      <c r="D476" s="10" t="n"/>
      <c r="E476" s="10" t="n"/>
      <c r="F476" s="9" t="n"/>
      <c r="G476" s="10" t="n"/>
      <c r="H476" s="10" t="n"/>
      <c r="I476">
        <f>IF(A476="","",B476&amp;"|"&amp;(A476*1))</f>
        <v/>
      </c>
      <c r="J476">
        <f>IF(B476="",0,IF(COUNTIF('3.설계사'!$B$4:$B$303,B476)+COUNTIF('3b.시공사'!$B$4:$B$203,B476)=0,1,0))</f>
        <v/>
      </c>
    </row>
    <row r="477">
      <c r="A477" s="9" t="n"/>
      <c r="B477" s="10" t="n"/>
      <c r="C477" s="10" t="n"/>
      <c r="D477" s="10" t="n"/>
      <c r="E477" s="10" t="n"/>
      <c r="F477" s="9" t="n"/>
      <c r="G477" s="10" t="n"/>
      <c r="H477" s="10" t="n"/>
      <c r="I477">
        <f>IF(A477="","",B477&amp;"|"&amp;(A477*1))</f>
        <v/>
      </c>
      <c r="J477">
        <f>IF(B477="",0,IF(COUNTIF('3.설계사'!$B$4:$B$303,B477)+COUNTIF('3b.시공사'!$B$4:$B$203,B477)=0,1,0))</f>
        <v/>
      </c>
    </row>
    <row r="478">
      <c r="A478" s="9" t="n"/>
      <c r="B478" s="10" t="n"/>
      <c r="C478" s="10" t="n"/>
      <c r="D478" s="10" t="n"/>
      <c r="E478" s="10" t="n"/>
      <c r="F478" s="9" t="n"/>
      <c r="G478" s="10" t="n"/>
      <c r="H478" s="10" t="n"/>
      <c r="I478">
        <f>IF(A478="","",B478&amp;"|"&amp;(A478*1))</f>
        <v/>
      </c>
      <c r="J478">
        <f>IF(B478="",0,IF(COUNTIF('3.설계사'!$B$4:$B$303,B478)+COUNTIF('3b.시공사'!$B$4:$B$203,B478)=0,1,0))</f>
        <v/>
      </c>
    </row>
    <row r="479">
      <c r="A479" s="9" t="n"/>
      <c r="B479" s="10" t="n"/>
      <c r="C479" s="10" t="n"/>
      <c r="D479" s="10" t="n"/>
      <c r="E479" s="10" t="n"/>
      <c r="F479" s="9" t="n"/>
      <c r="G479" s="10" t="n"/>
      <c r="H479" s="10" t="n"/>
      <c r="I479">
        <f>IF(A479="","",B479&amp;"|"&amp;(A479*1))</f>
        <v/>
      </c>
      <c r="J479">
        <f>IF(B479="",0,IF(COUNTIF('3.설계사'!$B$4:$B$303,B479)+COUNTIF('3b.시공사'!$B$4:$B$203,B479)=0,1,0))</f>
        <v/>
      </c>
    </row>
    <row r="480">
      <c r="A480" s="9" t="n"/>
      <c r="B480" s="10" t="n"/>
      <c r="C480" s="10" t="n"/>
      <c r="D480" s="10" t="n"/>
      <c r="E480" s="10" t="n"/>
      <c r="F480" s="9" t="n"/>
      <c r="G480" s="10" t="n"/>
      <c r="H480" s="10" t="n"/>
      <c r="I480">
        <f>IF(A480="","",B480&amp;"|"&amp;(A480*1))</f>
        <v/>
      </c>
      <c r="J480">
        <f>IF(B480="",0,IF(COUNTIF('3.설계사'!$B$4:$B$303,B480)+COUNTIF('3b.시공사'!$B$4:$B$203,B480)=0,1,0))</f>
        <v/>
      </c>
    </row>
    <row r="481">
      <c r="A481" s="9" t="n"/>
      <c r="B481" s="10" t="n"/>
      <c r="C481" s="10" t="n"/>
      <c r="D481" s="10" t="n"/>
      <c r="E481" s="10" t="n"/>
      <c r="F481" s="9" t="n"/>
      <c r="G481" s="10" t="n"/>
      <c r="H481" s="10" t="n"/>
      <c r="I481">
        <f>IF(A481="","",B481&amp;"|"&amp;(A481*1))</f>
        <v/>
      </c>
      <c r="J481">
        <f>IF(B481="",0,IF(COUNTIF('3.설계사'!$B$4:$B$303,B481)+COUNTIF('3b.시공사'!$B$4:$B$203,B481)=0,1,0))</f>
        <v/>
      </c>
    </row>
    <row r="482">
      <c r="A482" s="9" t="n"/>
      <c r="B482" s="10" t="n"/>
      <c r="C482" s="10" t="n"/>
      <c r="D482" s="10" t="n"/>
      <c r="E482" s="10" t="n"/>
      <c r="F482" s="9" t="n"/>
      <c r="G482" s="10" t="n"/>
      <c r="H482" s="10" t="n"/>
      <c r="I482">
        <f>IF(A482="","",B482&amp;"|"&amp;(A482*1))</f>
        <v/>
      </c>
      <c r="J482">
        <f>IF(B482="",0,IF(COUNTIF('3.설계사'!$B$4:$B$303,B482)+COUNTIF('3b.시공사'!$B$4:$B$203,B482)=0,1,0))</f>
        <v/>
      </c>
    </row>
    <row r="483">
      <c r="A483" s="9" t="n"/>
      <c r="B483" s="10" t="n"/>
      <c r="C483" s="10" t="n"/>
      <c r="D483" s="10" t="n"/>
      <c r="E483" s="10" t="n"/>
      <c r="F483" s="9" t="n"/>
      <c r="G483" s="10" t="n"/>
      <c r="H483" s="10" t="n"/>
      <c r="I483">
        <f>IF(A483="","",B483&amp;"|"&amp;(A483*1))</f>
        <v/>
      </c>
      <c r="J483">
        <f>IF(B483="",0,IF(COUNTIF('3.설계사'!$B$4:$B$303,B483)+COUNTIF('3b.시공사'!$B$4:$B$203,B483)=0,1,0))</f>
        <v/>
      </c>
    </row>
    <row r="484">
      <c r="A484" s="9" t="n"/>
      <c r="B484" s="10" t="n"/>
      <c r="C484" s="10" t="n"/>
      <c r="D484" s="10" t="n"/>
      <c r="E484" s="10" t="n"/>
      <c r="F484" s="9" t="n"/>
      <c r="G484" s="10" t="n"/>
      <c r="H484" s="10" t="n"/>
      <c r="I484">
        <f>IF(A484="","",B484&amp;"|"&amp;(A484*1))</f>
        <v/>
      </c>
      <c r="J484">
        <f>IF(B484="",0,IF(COUNTIF('3.설계사'!$B$4:$B$303,B484)+COUNTIF('3b.시공사'!$B$4:$B$203,B484)=0,1,0))</f>
        <v/>
      </c>
    </row>
    <row r="485">
      <c r="A485" s="9" t="n"/>
      <c r="B485" s="10" t="n"/>
      <c r="C485" s="10" t="n"/>
      <c r="D485" s="10" t="n"/>
      <c r="E485" s="10" t="n"/>
      <c r="F485" s="9" t="n"/>
      <c r="G485" s="10" t="n"/>
      <c r="H485" s="10" t="n"/>
      <c r="I485">
        <f>IF(A485="","",B485&amp;"|"&amp;(A485*1))</f>
        <v/>
      </c>
      <c r="J485">
        <f>IF(B485="",0,IF(COUNTIF('3.설계사'!$B$4:$B$303,B485)+COUNTIF('3b.시공사'!$B$4:$B$203,B485)=0,1,0))</f>
        <v/>
      </c>
    </row>
    <row r="486">
      <c r="A486" s="9" t="n"/>
      <c r="B486" s="10" t="n"/>
      <c r="C486" s="10" t="n"/>
      <c r="D486" s="10" t="n"/>
      <c r="E486" s="10" t="n"/>
      <c r="F486" s="9" t="n"/>
      <c r="G486" s="10" t="n"/>
      <c r="H486" s="10" t="n"/>
      <c r="I486">
        <f>IF(A486="","",B486&amp;"|"&amp;(A486*1))</f>
        <v/>
      </c>
      <c r="J486">
        <f>IF(B486="",0,IF(COUNTIF('3.설계사'!$B$4:$B$303,B486)+COUNTIF('3b.시공사'!$B$4:$B$203,B486)=0,1,0))</f>
        <v/>
      </c>
    </row>
    <row r="487">
      <c r="A487" s="9" t="n"/>
      <c r="B487" s="10" t="n"/>
      <c r="C487" s="10" t="n"/>
      <c r="D487" s="10" t="n"/>
      <c r="E487" s="10" t="n"/>
      <c r="F487" s="9" t="n"/>
      <c r="G487" s="10" t="n"/>
      <c r="H487" s="10" t="n"/>
      <c r="I487">
        <f>IF(A487="","",B487&amp;"|"&amp;(A487*1))</f>
        <v/>
      </c>
      <c r="J487">
        <f>IF(B487="",0,IF(COUNTIF('3.설계사'!$B$4:$B$303,B487)+COUNTIF('3b.시공사'!$B$4:$B$203,B487)=0,1,0))</f>
        <v/>
      </c>
    </row>
    <row r="488">
      <c r="A488" s="9" t="n"/>
      <c r="B488" s="10" t="n"/>
      <c r="C488" s="10" t="n"/>
      <c r="D488" s="10" t="n"/>
      <c r="E488" s="10" t="n"/>
      <c r="F488" s="9" t="n"/>
      <c r="G488" s="10" t="n"/>
      <c r="H488" s="10" t="n"/>
      <c r="I488">
        <f>IF(A488="","",B488&amp;"|"&amp;(A488*1))</f>
        <v/>
      </c>
      <c r="J488">
        <f>IF(B488="",0,IF(COUNTIF('3.설계사'!$B$4:$B$303,B488)+COUNTIF('3b.시공사'!$B$4:$B$203,B488)=0,1,0))</f>
        <v/>
      </c>
    </row>
    <row r="489">
      <c r="A489" s="9" t="n"/>
      <c r="B489" s="10" t="n"/>
      <c r="C489" s="10" t="n"/>
      <c r="D489" s="10" t="n"/>
      <c r="E489" s="10" t="n"/>
      <c r="F489" s="9" t="n"/>
      <c r="G489" s="10" t="n"/>
      <c r="H489" s="10" t="n"/>
      <c r="I489">
        <f>IF(A489="","",B489&amp;"|"&amp;(A489*1))</f>
        <v/>
      </c>
      <c r="J489">
        <f>IF(B489="",0,IF(COUNTIF('3.설계사'!$B$4:$B$303,B489)+COUNTIF('3b.시공사'!$B$4:$B$203,B489)=0,1,0))</f>
        <v/>
      </c>
    </row>
    <row r="490">
      <c r="A490" s="9" t="n"/>
      <c r="B490" s="10" t="n"/>
      <c r="C490" s="10" t="n"/>
      <c r="D490" s="10" t="n"/>
      <c r="E490" s="10" t="n"/>
      <c r="F490" s="9" t="n"/>
      <c r="G490" s="10" t="n"/>
      <c r="H490" s="10" t="n"/>
      <c r="I490">
        <f>IF(A490="","",B490&amp;"|"&amp;(A490*1))</f>
        <v/>
      </c>
      <c r="J490">
        <f>IF(B490="",0,IF(COUNTIF('3.설계사'!$B$4:$B$303,B490)+COUNTIF('3b.시공사'!$B$4:$B$203,B490)=0,1,0))</f>
        <v/>
      </c>
    </row>
    <row r="491">
      <c r="A491" s="9" t="n"/>
      <c r="B491" s="10" t="n"/>
      <c r="C491" s="10" t="n"/>
      <c r="D491" s="10" t="n"/>
      <c r="E491" s="10" t="n"/>
      <c r="F491" s="9" t="n"/>
      <c r="G491" s="10" t="n"/>
      <c r="H491" s="10" t="n"/>
      <c r="I491">
        <f>IF(A491="","",B491&amp;"|"&amp;(A491*1))</f>
        <v/>
      </c>
      <c r="J491">
        <f>IF(B491="",0,IF(COUNTIF('3.설계사'!$B$4:$B$303,B491)+COUNTIF('3b.시공사'!$B$4:$B$203,B491)=0,1,0))</f>
        <v/>
      </c>
    </row>
    <row r="492">
      <c r="A492" s="9" t="n"/>
      <c r="B492" s="10" t="n"/>
      <c r="C492" s="10" t="n"/>
      <c r="D492" s="10" t="n"/>
      <c r="E492" s="10" t="n"/>
      <c r="F492" s="9" t="n"/>
      <c r="G492" s="10" t="n"/>
      <c r="H492" s="10" t="n"/>
      <c r="I492">
        <f>IF(A492="","",B492&amp;"|"&amp;(A492*1))</f>
        <v/>
      </c>
      <c r="J492">
        <f>IF(B492="",0,IF(COUNTIF('3.설계사'!$B$4:$B$303,B492)+COUNTIF('3b.시공사'!$B$4:$B$203,B492)=0,1,0))</f>
        <v/>
      </c>
    </row>
    <row r="493">
      <c r="A493" s="9" t="n"/>
      <c r="B493" s="10" t="n"/>
      <c r="C493" s="10" t="n"/>
      <c r="D493" s="10" t="n"/>
      <c r="E493" s="10" t="n"/>
      <c r="F493" s="9" t="n"/>
      <c r="G493" s="10" t="n"/>
      <c r="H493" s="10" t="n"/>
      <c r="I493">
        <f>IF(A493="","",B493&amp;"|"&amp;(A493*1))</f>
        <v/>
      </c>
      <c r="J493">
        <f>IF(B493="",0,IF(COUNTIF('3.설계사'!$B$4:$B$303,B493)+COUNTIF('3b.시공사'!$B$4:$B$203,B493)=0,1,0))</f>
        <v/>
      </c>
    </row>
    <row r="494">
      <c r="A494" s="9" t="n"/>
      <c r="B494" s="10" t="n"/>
      <c r="C494" s="10" t="n"/>
      <c r="D494" s="10" t="n"/>
      <c r="E494" s="10" t="n"/>
      <c r="F494" s="9" t="n"/>
      <c r="G494" s="10" t="n"/>
      <c r="H494" s="10" t="n"/>
      <c r="I494">
        <f>IF(A494="","",B494&amp;"|"&amp;(A494*1))</f>
        <v/>
      </c>
      <c r="J494">
        <f>IF(B494="",0,IF(COUNTIF('3.설계사'!$B$4:$B$303,B494)+COUNTIF('3b.시공사'!$B$4:$B$203,B494)=0,1,0))</f>
        <v/>
      </c>
    </row>
    <row r="495">
      <c r="A495" s="9" t="n"/>
      <c r="B495" s="10" t="n"/>
      <c r="C495" s="10" t="n"/>
      <c r="D495" s="10" t="n"/>
      <c r="E495" s="10" t="n"/>
      <c r="F495" s="9" t="n"/>
      <c r="G495" s="10" t="n"/>
      <c r="H495" s="10" t="n"/>
      <c r="I495">
        <f>IF(A495="","",B495&amp;"|"&amp;(A495*1))</f>
        <v/>
      </c>
      <c r="J495">
        <f>IF(B495="",0,IF(COUNTIF('3.설계사'!$B$4:$B$303,B495)+COUNTIF('3b.시공사'!$B$4:$B$203,B495)=0,1,0))</f>
        <v/>
      </c>
    </row>
    <row r="496">
      <c r="A496" s="9" t="n"/>
      <c r="B496" s="10" t="n"/>
      <c r="C496" s="10" t="n"/>
      <c r="D496" s="10" t="n"/>
      <c r="E496" s="10" t="n"/>
      <c r="F496" s="9" t="n"/>
      <c r="G496" s="10" t="n"/>
      <c r="H496" s="10" t="n"/>
      <c r="I496">
        <f>IF(A496="","",B496&amp;"|"&amp;(A496*1))</f>
        <v/>
      </c>
      <c r="J496">
        <f>IF(B496="",0,IF(COUNTIF('3.설계사'!$B$4:$B$303,B496)+COUNTIF('3b.시공사'!$B$4:$B$203,B496)=0,1,0))</f>
        <v/>
      </c>
    </row>
    <row r="497">
      <c r="A497" s="9" t="n"/>
      <c r="B497" s="10" t="n"/>
      <c r="C497" s="10" t="n"/>
      <c r="D497" s="10" t="n"/>
      <c r="E497" s="10" t="n"/>
      <c r="F497" s="9" t="n"/>
      <c r="G497" s="10" t="n"/>
      <c r="H497" s="10" t="n"/>
      <c r="I497">
        <f>IF(A497="","",B497&amp;"|"&amp;(A497*1))</f>
        <v/>
      </c>
      <c r="J497">
        <f>IF(B497="",0,IF(COUNTIF('3.설계사'!$B$4:$B$303,B497)+COUNTIF('3b.시공사'!$B$4:$B$203,B497)=0,1,0))</f>
        <v/>
      </c>
    </row>
    <row r="498">
      <c r="A498" s="9" t="n"/>
      <c r="B498" s="10" t="n"/>
      <c r="C498" s="10" t="n"/>
      <c r="D498" s="10" t="n"/>
      <c r="E498" s="10" t="n"/>
      <c r="F498" s="9" t="n"/>
      <c r="G498" s="10" t="n"/>
      <c r="H498" s="10" t="n"/>
      <c r="I498">
        <f>IF(A498="","",B498&amp;"|"&amp;(A498*1))</f>
        <v/>
      </c>
      <c r="J498">
        <f>IF(B498="",0,IF(COUNTIF('3.설계사'!$B$4:$B$303,B498)+COUNTIF('3b.시공사'!$B$4:$B$203,B498)=0,1,0))</f>
        <v/>
      </c>
    </row>
    <row r="499">
      <c r="A499" s="9" t="n"/>
      <c r="B499" s="10" t="n"/>
      <c r="C499" s="10" t="n"/>
      <c r="D499" s="10" t="n"/>
      <c r="E499" s="10" t="n"/>
      <c r="F499" s="9" t="n"/>
      <c r="G499" s="10" t="n"/>
      <c r="H499" s="10" t="n"/>
      <c r="I499">
        <f>IF(A499="","",B499&amp;"|"&amp;(A499*1))</f>
        <v/>
      </c>
      <c r="J499">
        <f>IF(B499="",0,IF(COUNTIF('3.설계사'!$B$4:$B$303,B499)+COUNTIF('3b.시공사'!$B$4:$B$203,B499)=0,1,0))</f>
        <v/>
      </c>
    </row>
    <row r="500">
      <c r="A500" s="9" t="n"/>
      <c r="B500" s="10" t="n"/>
      <c r="C500" s="10" t="n"/>
      <c r="D500" s="10" t="n"/>
      <c r="E500" s="10" t="n"/>
      <c r="F500" s="9" t="n"/>
      <c r="G500" s="10" t="n"/>
      <c r="H500" s="10" t="n"/>
      <c r="I500">
        <f>IF(A500="","",B500&amp;"|"&amp;(A500*1))</f>
        <v/>
      </c>
      <c r="J500">
        <f>IF(B500="",0,IF(COUNTIF('3.설계사'!$B$4:$B$303,B500)+COUNTIF('3b.시공사'!$B$4:$B$203,B500)=0,1,0))</f>
        <v/>
      </c>
    </row>
    <row r="501">
      <c r="A501" s="9" t="n"/>
      <c r="B501" s="10" t="n"/>
      <c r="C501" s="10" t="n"/>
      <c r="D501" s="10" t="n"/>
      <c r="E501" s="10" t="n"/>
      <c r="F501" s="9" t="n"/>
      <c r="G501" s="10" t="n"/>
      <c r="H501" s="10" t="n"/>
      <c r="I501">
        <f>IF(A501="","",B501&amp;"|"&amp;(A501*1))</f>
        <v/>
      </c>
      <c r="J501">
        <f>IF(B501="",0,IF(COUNTIF('3.설계사'!$B$4:$B$303,B501)+COUNTIF('3b.시공사'!$B$4:$B$203,B501)=0,1,0))</f>
        <v/>
      </c>
    </row>
    <row r="502">
      <c r="A502" s="9" t="n"/>
      <c r="B502" s="10" t="n"/>
      <c r="C502" s="10" t="n"/>
      <c r="D502" s="10" t="n"/>
      <c r="E502" s="10" t="n"/>
      <c r="F502" s="9" t="n"/>
      <c r="G502" s="10" t="n"/>
      <c r="H502" s="10" t="n"/>
      <c r="I502">
        <f>IF(A502="","",B502&amp;"|"&amp;(A502*1))</f>
        <v/>
      </c>
      <c r="J502">
        <f>IF(B502="",0,IF(COUNTIF('3.설계사'!$B$4:$B$303,B502)+COUNTIF('3b.시공사'!$B$4:$B$203,B502)=0,1,0))</f>
        <v/>
      </c>
    </row>
  </sheetData>
  <dataValidations count="2">
    <dataValidation sqref="H3:H502" showDropDown="0" showInputMessage="0" showErrorMessage="0" allowBlank="1" type="list">
      <formula1>"설계의뢰 받음,도면 받음,자료 요청받음,재방문,부재,관심 없음"</formula1>
    </dataValidation>
    <dataValidation sqref="B3:B5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보낼 문안 — B3 에서 업체를 고르면 채워집니다(비우면 5번 1순위). [ ] 칸만 고쳐서 복사</t>
        </is>
      </c>
    </row>
    <row r="3">
      <c r="A3" t="inlineStr">
        <is>
          <t>업체 고르기</t>
        </is>
      </c>
      <c r="B3" s="10" t="n"/>
    </row>
    <row r="5">
      <c r="A5" t="inlineStr">
        <is>
          <t>쓰는 이름</t>
        </is>
      </c>
      <c r="B5" s="11">
        <f>IF(B3&lt;&gt;"",B3,IFERROR('5.이번주_갈곳'!B4&amp;"",""))</f>
        <v/>
      </c>
    </row>
    <row r="6">
      <c r="A6" t="inlineStr">
        <is>
          <t>대표 현장</t>
        </is>
      </c>
      <c r="B6" s="11">
        <f>IFERROR(INDEX('3.설계사'!$K$4:$K$303,MATCH(B5,'3.설계사'!$B$4:$B$303,0))&amp;"",IFERROR(INDEX('3b.시공사'!$G$4:$G$203,MATCH(B5,'3b.시공사'!$B$4:$B$203,0))&amp;"","[현장명]"))</f>
        <v/>
      </c>
    </row>
    <row r="7">
      <c r="A7" t="inlineStr">
        <is>
          <t>담당자</t>
        </is>
      </c>
      <c r="B7" s="11">
        <f>IF(IFERROR(VLOOKUP(B5,업체_메모!$A$3:$I$302,2,FALSE)&amp;"","")="","[담당자]",IFERROR(VLOOKUP(B5,업체_메모!$A$3:$I$302,2,FALSE)&amp;"",""))</f>
        <v/>
      </c>
    </row>
    <row r="8">
      <c r="A8" t="inlineStr">
        <is>
          <t>객실 수</t>
        </is>
      </c>
      <c r="B8" s="11">
        <f>IFERROR(IF(AND(VLOOKUP(B6,현장_조사!$A$3:$J$202,5,FALSE)&amp;""&lt;&gt;"",VLOOKUP(B6,현장_조사!$A$3:$J$202,8,FALSE)="확정"),VLOOKUP(B6,현장_조사!$A$3:$J$202,5,FALSE)&amp;"","[객실 수]"),"[객실 수]")</f>
        <v/>
      </c>
      <c r="C8" s="12" t="inlineStr">
        <is>
          <t>현장_조사 확신도가 「확정」 일 때만 자동으로 넣음(추정 숫자가 대외 메일로 나가지 않게)</t>
        </is>
      </c>
    </row>
    <row r="9">
      <c r="A9" t="inlineStr">
        <is>
          <t>전화(업체)</t>
        </is>
      </c>
      <c r="B9" s="11">
        <f>IF(IFERROR(VLOOKUP(B5,업체_메모!$A$3:$I$302,4,FALSE)&amp;"","")="","[업체 전화]",IFERROR(VLOOKUP(B5,업체_메모!$A$3:$I$302,4,FALSE)&amp;"",""))</f>
        <v/>
      </c>
    </row>
    <row r="11" ht="60" customHeight="1">
      <c r="A11" s="4" t="inlineStr">
        <is>
          <t>전화 첫마디</t>
        </is>
      </c>
      <c r="B11" s="13">
        <f>"한국마이크로닉 배성윤 차장입니다. "&amp;B6&amp;" 설계하신 걸로 알고 연락드렸습니다. 호텔 객실관리(키센서·온도조절기·조명 제어) 도면과 특기시방서를 무상으로 지원해 드리고 있어서, [날짜]에 10분만 찾아뵈어도 될까요?"</f>
        <v/>
      </c>
    </row>
    <row r="12" ht="45" customHeight="1">
      <c r="A12" s="4" t="inlineStr">
        <is>
          <t>문자(짧게)</t>
        </is>
      </c>
      <c r="B12" s="13">
        <f>"[한국마이크로닉 배성윤 차장] "&amp;B7&amp;"님, "&amp;B6&amp;" 객실관리시스템 설계(도면·특기시방서)를 무상 지원해 드립니다. [날짜] 잠시 찾아뵈어도 될지 여쭙습니다. [내 전화]"</f>
        <v/>
      </c>
    </row>
    <row r="13">
      <c r="A13" s="4" t="inlineStr">
        <is>
          <t>메일 제목</t>
        </is>
      </c>
      <c r="B13" s="13">
        <f>B6&amp;" 객실관리시스템 설계 지원 안내 — 한국마이크로닉(주)"</f>
        <v/>
      </c>
    </row>
    <row r="14" ht="230" customHeight="1">
      <c r="A14" s="4" t="inlineStr">
        <is>
          <t>메일 본문</t>
        </is>
      </c>
      <c r="B14" s="13">
        <f>B5&amp;" "&amp;B7&amp;"님께"&amp;CHAR(10)&amp;CHAR(10)&amp;"한국마이크로닉(주) 배성윤 차장입니다."&amp;CHAR(10)&amp;"진행 중이신 "&amp;B6&amp;"("&amp;B8&amp;"실)의 객실관리시스템(RCU·CB함·키센서·온도조절기·조명스위치) 설계를 무상으로 지원해 드립니다."&amp;CHAR(10)&amp;CHAR(10)&amp;"- 단위세대 평면도를 주시면 성급 기준으로 기구물 배치와 예상 수량표를 드립니다."&amp;CHAR(10)&amp;"- 특기시방서(한글 파일)를 현장에 맞춰 드립니다."&amp;CHAR(10)&amp;"- 전기설계업체용 설계 요청서도 함께 드립니다."&amp;CHAR(10)&amp;CHAR(10)&amp;"[날짜] 중 편하신 시간에 찾아뵙겠습니다."&amp;CHAR(10)&amp;CHAR(10)&amp;"한국마이크로닉(주) 배성윤 드림 / [내 전화]"</f>
        <v/>
      </c>
    </row>
    <row r="15">
      <c r="A15" s="4" t="inlineStr">
        <is>
          <t>방문 후 감사 문자</t>
        </is>
      </c>
      <c r="B15" s="13">
        <f>"[한국마이크로닉 배성윤] 오늘 시간 내주셔서 감사합니다. 말씀하신 "&amp;B6&amp;" 자료는 [날짜]까지 보내 드리겠습니다."</f>
        <v/>
      </c>
    </row>
  </sheetData>
  <dataValidations count="1">
    <dataValidation sqref="B3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8" customWidth="1" min="3" max="3"/>
    <col width="15" customWidth="1" min="4" max="4"/>
    <col width="22" customWidth="1" min="5" max="5"/>
    <col width="24" customWidth="1" min="6" max="6"/>
    <col width="44" customWidth="1" min="7" max="7"/>
    <col width="8" customWidth="1" min="8" max="8"/>
    <col width="40" customWidth="1" min="9" max="9"/>
  </cols>
  <sheetData>
    <row r="1">
      <c r="A1" s="4" t="inlineStr">
        <is>
          <t>업체 담당자 메모 — 설계사·시공사 모두. 이름은 3번·3b번 탭 글자와 똑같이(드롭다운은 설계사 목록)</t>
        </is>
      </c>
    </row>
    <row r="2">
      <c r="A2" s="3" t="inlineStr">
        <is>
          <t>업체명(시트 표기)</t>
        </is>
      </c>
      <c r="B2" s="3" t="inlineStr">
        <is>
          <t>담당자</t>
        </is>
      </c>
      <c r="C2" s="3" t="inlineStr">
        <is>
          <t>직함</t>
        </is>
      </c>
      <c r="D2" s="3" t="inlineStr">
        <is>
          <t>전화</t>
        </is>
      </c>
      <c r="E2" s="3" t="inlineStr">
        <is>
          <t>이메일</t>
        </is>
      </c>
      <c r="F2" s="3" t="inlineStr">
        <is>
          <t>주소·지역</t>
        </is>
      </c>
      <c r="G2" s="3" t="inlineStr">
        <is>
          <t>메모</t>
        </is>
      </c>
      <c r="H2" s="3" t="inlineStr">
        <is>
          <t>확신도</t>
        </is>
      </c>
      <c r="I2" s="3" t="inlineStr">
        <is>
          <t>출처</t>
        </is>
      </c>
    </row>
    <row r="3">
      <c r="A3" s="10" t="inlineStr">
        <is>
          <t>상지이앤에이건축…</t>
        </is>
      </c>
      <c r="B3" s="10" t="inlineStr"/>
      <c r="C3" s="10" t="inlineStr"/>
      <c r="D3" s="10" t="inlineStr">
        <is>
          <t>051-247-0208 (또는 051-461-4114 — 확인 필요)</t>
        </is>
      </c>
      <c r="E3" s="10" t="inlineStr"/>
      <c r="F3" s="10" t="inlineStr">
        <is>
          <t>부산 중구 자갈치로 42 513호(남포동5가, 신동아빌딩)</t>
        </is>
      </c>
      <c r="G3" s="10" t="inlineStr">
        <is>
          <t>정식 이름 추정: (주)상지이앤에이건축사사무소(2003 부산 설립, 상지엔지니어링건축사사무소 계열). 홈페이지 sangji21c.co.kr. 번호 2개가 갈려 방문 전 확인</t>
        </is>
      </c>
      <c r="H3" s="10" t="inlineStr">
        <is>
          <t>추정</t>
        </is>
      </c>
      <c r="I3" s="10" t="inlineStr">
        <is>
          <t>saramin.co.kr 기업정보 / jobplanet.co.kr/companies/90750 / busan.com 2024-04-06 기사</t>
        </is>
      </c>
    </row>
    <row r="4">
      <c r="A4" s="10" t="inlineStr">
        <is>
          <t>아이디어키텍…</t>
        </is>
      </c>
      <c r="B4" s="10" t="inlineStr"/>
      <c r="C4" s="10" t="inlineStr"/>
      <c r="D4" s="10" t="inlineStr"/>
      <c r="E4" s="10" t="inlineStr"/>
      <c r="F4" s="10" t="inlineStr">
        <is>
          <t>서울 용산구 한강대로48길 7, 2층</t>
        </is>
      </c>
      <c r="G4" s="10" t="inlineStr">
        <is>
          <t>정식 이름 추정: (주)아이디아키텍츠건축사사무소(idarchi.kr). 종로5가 16층 관광숙박 4,482㎡ 와 연결된 자료 있음(주택폴리오). 태재연구재단 관계 미확인</t>
        </is>
      </c>
      <c r="H4" s="10" t="inlineStr">
        <is>
          <t>추정</t>
        </is>
      </c>
      <c r="I4" s="10" t="inlineStr">
        <is>
          <t>jootek.com/folio/1005037 / idarchi.kr</t>
        </is>
      </c>
    </row>
    <row r="5">
      <c r="A5" s="10" t="inlineStr">
        <is>
          <t>이진건축사사무소</t>
        </is>
      </c>
      <c r="B5" s="10" t="inlineStr"/>
      <c r="C5" s="10" t="inlineStr"/>
      <c r="D5" s="10" t="inlineStr"/>
      <c r="E5" s="10" t="inlineStr"/>
      <c r="F5" s="10" t="inlineStr">
        <is>
          <t>부산 부산진구 서면문화로 27 유원골든타워 1515호(부전동)</t>
        </is>
      </c>
      <c r="G5" s="10" t="inlineStr">
        <is>
          <t>현장(부전동)과 같은 동네</t>
        </is>
      </c>
      <c r="H5" s="10" t="inlineStr">
        <is>
          <t>추정</t>
        </is>
      </c>
      <c r="I5" s="10" t="inlineStr">
        <is>
          <t>bizno.net 검색 결과</t>
        </is>
      </c>
    </row>
    <row r="6">
      <c r="A6" s="10" t="inlineStr">
        <is>
          <t>오파드건축연구소</t>
        </is>
      </c>
      <c r="B6" s="10" t="inlineStr">
        <is>
          <t>오문석(대표)</t>
        </is>
      </c>
      <c r="C6" s="10" t="inlineStr">
        <is>
          <t>대표</t>
        </is>
      </c>
      <c r="D6" s="10" t="inlineStr">
        <is>
          <t>070-8600-0463</t>
        </is>
      </c>
      <c r="E6" s="10" t="inlineStr"/>
      <c r="F6" s="10" t="inlineStr">
        <is>
          <t>서울 도봉구 우이천로38마길 7-5 1층(쌍문동)</t>
        </is>
      </c>
      <c r="G6" s="10" t="inlineStr">
        <is>
          <t>현장 301㎡로 ✕(면적 미달) — 갈 곳 목록엔 안 나옴. 산군 등록명 「오파드건축사사무소」</t>
        </is>
      </c>
      <c r="H6" s="10" t="inlineStr">
        <is>
          <t>추정</t>
        </is>
      </c>
      <c r="I6" s="10" t="inlineStr">
        <is>
          <t>a-platform.co.kr archigroup / bizno.net/article/1191622328</t>
        </is>
      </c>
    </row>
    <row r="7">
      <c r="A7" s="10" t="inlineStr">
        <is>
          <t>세움건축사사무소</t>
        </is>
      </c>
      <c r="B7" s="10" t="inlineStr"/>
      <c r="C7" s="10" t="inlineStr"/>
      <c r="D7" s="10" t="inlineStr"/>
      <c r="E7" s="10" t="inlineStr"/>
      <c r="F7" s="10" t="inlineStr">
        <is>
          <t>강원 홍천군 홍천읍 희망리 91-4</t>
        </is>
      </c>
      <c r="G7" s="10" t="inlineStr">
        <is>
          <t>현장 97㎡로 ✕. 주택·근생·창고 위주. 동명 사무소 많음</t>
        </is>
      </c>
      <c r="H7" s="10" t="inlineStr">
        <is>
          <t>추정</t>
        </is>
      </c>
      <c r="I7" s="10" t="inlineStr">
        <is>
          <t>jootek.com/folio/1020726</t>
        </is>
      </c>
    </row>
    <row r="8">
      <c r="A8" s="10" t="inlineStr">
        <is>
          <t>태건축사사무소</t>
        </is>
      </c>
      <c r="B8" s="10" t="inlineStr"/>
      <c r="C8" s="10" t="inlineStr"/>
      <c r="D8" s="10" t="inlineStr"/>
      <c r="E8" s="10" t="inlineStr"/>
      <c r="F8" s="10" t="inlineStr"/>
      <c r="G8" s="10" t="inlineStr">
        <is>
          <t>검색으로 못 찾음. 비슷한 이름(고양 태종합건축사사무소 등)은 음성 현장과 연결 근거 없음 → 산군 설계사 상세 화면 또는 대한건축사협회 회원찾기(kira.or.kr)</t>
        </is>
      </c>
      <c r="H8" s="10" t="inlineStr">
        <is>
          <t>미확인</t>
        </is>
      </c>
      <c r="I8" s="10" t="inlineStr">
        <is>
          <t>taearchitects.com / taadg.com (다른 사무소 가능성 높음)</t>
        </is>
      </c>
    </row>
    <row r="9">
      <c r="A9" s="10" t="inlineStr">
        <is>
          <t>파인드건축사사무소</t>
        </is>
      </c>
      <c r="B9" s="10" t="inlineStr"/>
      <c r="C9" s="10" t="inlineStr"/>
      <c r="D9" s="10" t="inlineStr"/>
      <c r="E9" s="10" t="inlineStr"/>
      <c r="F9" s="10" t="inlineStr"/>
      <c r="G9" s="10" t="inlineStr">
        <is>
          <t>검색으로 못 찾음 → 산군 설계사 상세 화면 또는 kira.or.kr 회원찾기</t>
        </is>
      </c>
      <c r="H9" s="10" t="inlineStr">
        <is>
          <t>미확인</t>
        </is>
      </c>
      <c r="I9" s="10" t="inlineStr"/>
    </row>
    <row r="10">
      <c r="A10" s="10" t="inlineStr">
        <is>
          <t>야촌건축사사무소</t>
        </is>
      </c>
      <c r="B10" s="10" t="inlineStr"/>
      <c r="C10" s="10" t="inlineStr"/>
      <c r="D10" s="10" t="inlineStr"/>
      <c r="E10" s="10" t="inlineStr"/>
      <c r="F10" s="10" t="inlineStr"/>
      <c r="G10" s="10" t="inlineStr">
        <is>
          <t>검색으로 못 찾음. 비슷한 이름 (주)예촌건축(yeachon.com)은 같은 곳 근거 없음</t>
        </is>
      </c>
      <c r="H10" s="10" t="inlineStr">
        <is>
          <t>미확인</t>
        </is>
      </c>
      <c r="I10" s="10" t="inlineStr">
        <is>
          <t>yeachon.com</t>
        </is>
      </c>
    </row>
    <row r="11">
      <c r="A11" s="10" t="inlineStr">
        <is>
          <t>건축사무소고강</t>
        </is>
      </c>
      <c r="B11" s="10" t="inlineStr"/>
      <c r="C11" s="10" t="inlineStr"/>
      <c r="D11" s="10" t="inlineStr"/>
      <c r="E11" s="10" t="inlineStr"/>
      <c r="F11" s="10" t="inlineStr"/>
      <c r="G11" s="10" t="inlineStr">
        <is>
          <t>검색으로 못 찾음 → kira.or.kr 회원찾기</t>
        </is>
      </c>
      <c r="H11" s="10" t="inlineStr">
        <is>
          <t>미확인</t>
        </is>
      </c>
      <c r="I11" s="10" t="inlineStr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</row>
  </sheetData>
  <dataValidations count="1">
    <dataValidation sqref="A3:A302" showDropDown="0" showInputMessage="0" showErrorMessage="0" allowBlank="1" type="list">
      <formula1>='3.설계사'!$B$4:$B$303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8" customWidth="1" min="3" max="3"/>
    <col width="16" customWidth="1" min="4" max="4"/>
    <col width="8" customWidth="1" min="5" max="5"/>
    <col width="10" customWidth="1" min="6" max="6"/>
    <col width="44" customWidth="1" min="7" max="7"/>
    <col width="8" customWidth="1" min="8" max="8"/>
    <col width="44" customWidth="1" min="9" max="9"/>
    <col width="11" customWidth="1" min="10" max="10"/>
  </cols>
  <sheetData>
    <row r="1">
      <c r="A1" s="4" t="inlineStr">
        <is>
          <t>현장 조사노트 — 웹검색 결과(출처 포함). 현장명은 2.현장의 현장명과 똑같이</t>
        </is>
      </c>
    </row>
    <row r="2">
      <c r="A2" s="3" t="inlineStr">
        <is>
          <t>현장명(산군 표기)</t>
        </is>
      </c>
      <c r="B2" s="3" t="inlineStr">
        <is>
          <t>사업명·브랜드</t>
        </is>
      </c>
      <c r="C2" s="3" t="inlineStr">
        <is>
          <t>발주처(시행)</t>
        </is>
      </c>
      <c r="D2" s="3" t="inlineStr">
        <is>
          <t>시공사</t>
        </is>
      </c>
      <c r="E2" s="3" t="inlineStr">
        <is>
          <t>객실 수</t>
        </is>
      </c>
      <c r="F2" s="3" t="inlineStr">
        <is>
          <t>준공 예정</t>
        </is>
      </c>
      <c r="G2" s="3" t="inlineStr">
        <is>
          <t>최신 상황</t>
        </is>
      </c>
      <c r="H2" s="3" t="inlineStr">
        <is>
          <t>확신도</t>
        </is>
      </c>
      <c r="I2" s="3" t="inlineStr">
        <is>
          <t>출처</t>
        </is>
      </c>
      <c r="J2" s="3" t="inlineStr">
        <is>
          <t>조사일</t>
        </is>
      </c>
    </row>
    <row r="3">
      <c r="A3" s="10" t="inlineStr">
        <is>
          <t>범방동 1898-7 생활숙박시설</t>
        </is>
      </c>
      <c r="B3" s="10" t="inlineStr">
        <is>
          <t>부산 범방동 생활형숙박시설 신축공사(적산 자료명)</t>
        </is>
      </c>
      <c r="C3" s="10" t="inlineStr">
        <is>
          <t>미확인</t>
        </is>
      </c>
      <c r="D3" s="10" t="inlineStr">
        <is>
          <t>미확인</t>
        </is>
      </c>
      <c r="E3" s="10" t="inlineStr">
        <is>
          <t>460</t>
        </is>
      </c>
      <c r="F3" s="10" t="inlineStr">
        <is>
          <t>미확인</t>
        </is>
      </c>
      <c r="G3" s="10" t="inlineStr">
        <is>
          <t>자료상 지번 1898-1, 연면적 약 22,470㎡·지하2~지상27층 — 산군 값과 거의 같으나 지번 불일치</t>
        </is>
      </c>
      <c r="H3" s="10" t="inlineStr">
        <is>
          <t>추정</t>
        </is>
      </c>
      <c r="I3" s="10" t="inlineStr">
        <is>
          <t>thinkzon.com/share_biz/1161340 (검색 요약만)</t>
        </is>
      </c>
      <c r="J3" s="10" t="inlineStr">
        <is>
          <t>2026-09-27</t>
        </is>
      </c>
    </row>
    <row r="4">
      <c r="A4" s="10" t="inlineStr">
        <is>
          <t>대소면 성본리 115-5 숙박시설</t>
        </is>
      </c>
      <c r="B4" s="10" t="inlineStr"/>
      <c r="C4" s="10" t="inlineStr">
        <is>
          <t>미확인</t>
        </is>
      </c>
      <c r="D4" s="10" t="inlineStr">
        <is>
          <t>미확인</t>
        </is>
      </c>
      <c r="E4" s="10" t="inlineStr"/>
      <c r="F4" s="10" t="inlineStr">
        <is>
          <t>미확인</t>
        </is>
      </c>
      <c r="G4" s="10" t="inlineStr">
        <is>
          <t>성본산단 배후 개발 중이라는 것만 확인. 현장 자체 기사 없음</t>
        </is>
      </c>
      <c r="H4" s="10" t="inlineStr">
        <is>
          <t>미확인</t>
        </is>
      </c>
      <c r="I4" s="10" t="inlineStr">
        <is>
          <t>biz.heraldcorp.com/article/10867296</t>
        </is>
      </c>
      <c r="J4" s="10" t="inlineStr">
        <is>
          <t>2026-09-27</t>
        </is>
      </c>
    </row>
    <row r="5">
      <c r="A5" s="10" t="inlineStr">
        <is>
          <t>조양동 1558-3 생활숙박시설</t>
        </is>
      </c>
      <c r="B5" s="10" t="inlineStr"/>
      <c r="C5" s="10" t="inlineStr">
        <is>
          <t>미확인</t>
        </is>
      </c>
      <c r="D5" s="10" t="inlineStr">
        <is>
          <t>미확인</t>
        </is>
      </c>
      <c r="E5" s="10" t="inlineStr"/>
      <c r="F5" s="10" t="inlineStr">
        <is>
          <t>미확인</t>
        </is>
      </c>
      <c r="G5" s="10" t="inlineStr">
        <is>
          <t>조양동 다른 생숙(1464-5 한라 724실, 하워드존슨 1111-1, 리슈빌S 1452)은 번지가 달라 별건</t>
        </is>
      </c>
      <c r="H5" s="10" t="inlineStr">
        <is>
          <t>미확인</t>
        </is>
      </c>
      <c r="I5" s="10" t="inlineStr">
        <is>
          <t>etoday.co.kr/news/view/1645764 외</t>
        </is>
      </c>
      <c r="J5" s="10" t="inlineStr">
        <is>
          <t>2026-09-27</t>
        </is>
      </c>
    </row>
    <row r="6">
      <c r="A6" s="10" t="inlineStr">
        <is>
          <t>명동2가 95-1 생활숙박시설 신축공사</t>
        </is>
      </c>
      <c r="B6" s="10" t="inlineStr"/>
      <c r="C6" s="10" t="inlineStr">
        <is>
          <t>미확인(시경개발 역할 미확인)</t>
        </is>
      </c>
      <c r="D6" s="10" t="inlineStr">
        <is>
          <t>미확인</t>
        </is>
      </c>
      <c r="E6" s="10" t="inlineStr"/>
      <c r="F6" s="10" t="inlineStr">
        <is>
          <t>미확인</t>
        </is>
      </c>
      <c r="G6" s="10" t="inlineStr">
        <is>
          <t>이 주소 생숙 기사 없음. 명동2가 89 호텔(75실)은 별건</t>
        </is>
      </c>
      <c r="H6" s="10" t="inlineStr">
        <is>
          <t>미확인</t>
        </is>
      </c>
      <c r="I6" s="10" t="inlineStr">
        <is>
          <t>etoday.co.kr/news/view/1687748</t>
        </is>
      </c>
      <c r="J6" s="10" t="inlineStr">
        <is>
          <t>2026-09-27</t>
        </is>
      </c>
    </row>
    <row r="7">
      <c r="A7" s="10" t="inlineStr">
        <is>
          <t>부산시 중구 남포동3가 생활형숙박시설</t>
        </is>
      </c>
      <c r="B7" s="10" t="inlineStr">
        <is>
          <t>후보: 와이컬렉션 바이 남포</t>
        </is>
      </c>
      <c r="C7" s="10" t="inlineStr">
        <is>
          <t>미확인(평광이앤씨 역할 미확인)</t>
        </is>
      </c>
      <c r="D7" s="10" t="inlineStr">
        <is>
          <t>미확인</t>
        </is>
      </c>
      <c r="E7" s="10" t="inlineStr">
        <is>
          <t>276</t>
        </is>
      </c>
      <c r="F7" s="10" t="inlineStr">
        <is>
          <t>미확인</t>
        </is>
      </c>
      <c r="G7" s="10" t="inlineStr">
        <is>
          <t>지하2~지상27층, 운영사 ㈜지냄(야놀자 투자), 분양 홍보 중. 번지 일치 미확인</t>
        </is>
      </c>
      <c r="H7" s="10" t="inlineStr">
        <is>
          <t>추정</t>
        </is>
      </c>
      <c r="I7" s="10" t="inlineStr">
        <is>
          <t>enetnews.co.kr/news/articleView.html?idxno=54525 / theviewers.co.kr 4228259</t>
        </is>
      </c>
      <c r="J7" s="10" t="inlineStr">
        <is>
          <t>2026-09-27</t>
        </is>
      </c>
    </row>
    <row r="8">
      <c r="A8" s="10" t="inlineStr">
        <is>
          <t>경서동 경서3구역 11블록 2로트 숙박시설</t>
        </is>
      </c>
      <c r="B8" s="10" t="inlineStr"/>
      <c r="C8" s="10" t="inlineStr">
        <is>
          <t>미확인</t>
        </is>
      </c>
      <c r="D8" s="10" t="inlineStr">
        <is>
          <t>미확인</t>
        </is>
      </c>
      <c r="E8" s="10" t="inlineStr"/>
      <c r="F8" s="10" t="inlineStr">
        <is>
          <t>미확인</t>
        </is>
      </c>
      <c r="G8" s="10" t="inlineStr">
        <is>
          <t>경서3구역 보람그룹 5성급 호텔 MOU(2024.2)는 규모가 달라 별건 가능성 높음</t>
        </is>
      </c>
      <c r="H8" s="10" t="inlineStr">
        <is>
          <t>미확인</t>
        </is>
      </c>
      <c r="I8" s="10" t="inlineStr">
        <is>
          <t>joongboo.com 363725457 / 1gan.co.kr 236208</t>
        </is>
      </c>
      <c r="J8" s="10" t="inlineStr">
        <is>
          <t>2026-09-27</t>
        </is>
      </c>
    </row>
    <row r="9">
      <c r="A9" s="10" t="inlineStr">
        <is>
          <t>종로5가 193-17,3번지 관광숙박시설</t>
        </is>
      </c>
      <c r="B9" s="10" t="inlineStr"/>
      <c r="C9" s="10" t="inlineStr">
        <is>
          <t>미확인(태재연구재단 역할 미확인)</t>
        </is>
      </c>
      <c r="D9" s="10" t="inlineStr">
        <is>
          <t>미확인</t>
        </is>
      </c>
      <c r="E9" s="10" t="inlineStr"/>
      <c r="F9" s="10" t="inlineStr">
        <is>
          <t>미확인</t>
        </is>
      </c>
      <c r="G9" s="10" t="inlineStr">
        <is>
          <t>16층 관광숙박 4,482㎡ — 설계 (주)아이디아키텍츠 연결 자료. 종로5가 138-4 호텔(360실)은 무산된 다른 부지</t>
        </is>
      </c>
      <c r="H9" s="10" t="inlineStr">
        <is>
          <t>미확인</t>
        </is>
      </c>
      <c r="I9" s="10" t="inlineStr">
        <is>
          <t>jootek.com/folio/1005037 / etoday.co.kr/news/view/876222</t>
        </is>
      </c>
      <c r="J9" s="10" t="inlineStr">
        <is>
          <t>2026-09-27</t>
        </is>
      </c>
    </row>
    <row r="10">
      <c r="A10" s="10" t="inlineStr">
        <is>
          <t>부전동 숙박시설</t>
        </is>
      </c>
      <c r="B10" s="10" t="inlineStr"/>
      <c r="C10" s="10" t="inlineStr">
        <is>
          <t>미확인</t>
        </is>
      </c>
      <c r="D10" s="10" t="inlineStr">
        <is>
          <t>미확인</t>
        </is>
      </c>
      <c r="E10" s="10" t="inlineStr"/>
      <c r="F10" s="10" t="inlineStr">
        <is>
          <t>미확인</t>
        </is>
      </c>
      <c r="G10" s="10" t="inlineStr">
        <is>
          <t>기존 모텔 정보만 나옴</t>
        </is>
      </c>
      <c r="H10" s="10" t="inlineStr">
        <is>
          <t>미확인</t>
        </is>
      </c>
      <c r="I10" s="10" t="inlineStr"/>
      <c r="J10" s="10" t="inlineStr">
        <is>
          <t>2026-09-27</t>
        </is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10" customWidth="1" min="4" max="4"/>
    <col width="12" customWidth="1" min="5" max="5"/>
    <col width="6" customWidth="1" min="6" max="6"/>
    <col width="22" customWidth="1" min="7" max="7"/>
    <col width="16" customWidth="1" min="8" max="8"/>
    <col width="8" customWidth="1" min="9" max="9"/>
    <col width="10" customWidth="1" min="10" max="10"/>
    <col width="8" customWidth="1" min="11" max="11"/>
    <col width="11" customWidth="1" min="12" max="12"/>
    <col width="11" customWidth="1" min="13" max="13"/>
    <col width="14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width="10" customWidth="1" min="21" max="21"/>
    <col width="18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width="6" customWidth="1" min="27" max="27"/>
    <col width="8" customWidth="1" min="28" max="28"/>
    <col hidden="1" width="13" customWidth="1" min="29" max="29"/>
    <col hidden="1" width="13" customWidth="1" min="30" max="30"/>
  </cols>
  <sheetData>
    <row r="1">
      <c r="A1" s="3" t="inlineStr">
        <is>
          <t>원본행</t>
        </is>
      </c>
      <c r="B1" s="3" t="inlineStr">
        <is>
          <t>주소</t>
        </is>
      </c>
      <c r="C1" s="3" t="inlineStr">
        <is>
          <t>현장명</t>
        </is>
      </c>
      <c r="D1" s="3" t="inlineStr">
        <is>
          <t>연면적(㎡)</t>
        </is>
      </c>
      <c r="E1" s="3" t="inlineStr">
        <is>
          <t>주용도</t>
        </is>
      </c>
      <c r="F1" s="3" t="inlineStr">
        <is>
          <t>허가구분</t>
        </is>
      </c>
      <c r="G1" s="3" t="inlineStr">
        <is>
          <t>설계사</t>
        </is>
      </c>
      <c r="H1" s="3" t="inlineStr">
        <is>
          <t>시공사</t>
        </is>
      </c>
      <c r="I1" s="3" t="inlineStr">
        <is>
          <t>감리</t>
        </is>
      </c>
      <c r="J1" s="3" t="inlineStr">
        <is>
          <t>건축주</t>
        </is>
      </c>
      <c r="K1" s="3" t="inlineStr">
        <is>
          <t>공사단계</t>
        </is>
      </c>
      <c r="L1" s="3" t="inlineStr">
        <is>
          <t>허가일</t>
        </is>
      </c>
      <c r="M1" s="3" t="inlineStr">
        <is>
          <t>착공일</t>
        </is>
      </c>
      <c r="N1" s="3" t="inlineStr">
        <is>
          <t>시·도</t>
        </is>
      </c>
      <c r="O1" s="3" t="inlineStr">
        <is>
          <t>유효</t>
        </is>
      </c>
      <c r="P1" s="3" t="inlineStr">
        <is>
          <t>키</t>
        </is>
      </c>
      <c r="Q1" s="3" t="inlineStr">
        <is>
          <t>최신</t>
        </is>
      </c>
      <c r="R1" s="3" t="inlineStr">
        <is>
          <t>용도맞음</t>
        </is>
      </c>
      <c r="S1" s="3" t="inlineStr">
        <is>
          <t>면적맞음</t>
        </is>
      </c>
      <c r="T1" s="3" t="inlineStr">
        <is>
          <t>대상</t>
        </is>
      </c>
      <c r="U1" s="3" t="inlineStr">
        <is>
          <t>누구를 만나나</t>
        </is>
      </c>
      <c r="V1" s="3" t="inlineStr">
        <is>
          <t>설계사(정리)</t>
        </is>
      </c>
      <c r="W1" s="3" t="inlineStr">
        <is>
          <t>설계사번호</t>
        </is>
      </c>
      <c r="X1" s="3" t="inlineStr">
        <is>
          <t>허가일원문</t>
        </is>
      </c>
      <c r="Y1" s="3" t="inlineStr">
        <is>
          <t>착공일원문</t>
        </is>
      </c>
      <c r="Z1" s="3" t="inlineStr">
        <is>
          <t>대상키</t>
        </is>
      </c>
      <c r="AA1" s="3" t="inlineStr">
        <is>
          <t>판정</t>
        </is>
      </c>
      <c r="AB1" s="3" t="inlineStr">
        <is>
          <t>현장점수</t>
        </is>
      </c>
      <c r="AC1" s="3" t="inlineStr">
        <is>
          <t>시공사(정리)</t>
        </is>
      </c>
      <c r="AD1" s="3" t="inlineStr">
        <is>
          <t>시공사번호</t>
        </is>
      </c>
    </row>
    <row r="2">
      <c r="A2">
        <f>ROW()</f>
        <v/>
      </c>
      <c r="B2">
        <f>IF(설정!$C$4="","",IFERROR(INDEX('1.산군_붙여넣기'!$A$1:$AZ$1001,ROW(),설정!$C$4)&amp;"",""))</f>
        <v/>
      </c>
      <c r="C2">
        <f>IF(설정!$C$5="","",IFERROR(INDEX('1.산군_붙여넣기'!$A$1:$AZ$1001,ROW(),설정!$C$5)&amp;"",""))</f>
        <v/>
      </c>
      <c r="D2" s="5">
        <f>IFERROR(VALUE(SUBSTITUTE(SUBSTITUTE(SUBSTITUTE(IF(설정!$C$6="","",IFERROR(INDEX('1.산군_붙여넣기'!$A$1:$AZ$1001,ROW(),설정!$C$6)&amp;"","")),",",""),"㎡",""),"m2","")),"")</f>
        <v/>
      </c>
      <c r="E2">
        <f>IF(설정!$C$7="","",IFERROR(INDEX('1.산군_붙여넣기'!$A$1:$AZ$1001,ROW(),설정!$C$7)&amp;"",""))</f>
        <v/>
      </c>
      <c r="F2">
        <f>IF(설정!$C$8="","",IFERROR(INDEX('1.산군_붙여넣기'!$A$1:$AZ$1001,ROW(),설정!$C$8)&amp;"",""))</f>
        <v/>
      </c>
      <c r="G2">
        <f>IF(설정!$C$9="","",IFERROR(INDEX('1.산군_붙여넣기'!$A$1:$AZ$1001,ROW(),설정!$C$9)&amp;"",""))</f>
        <v/>
      </c>
      <c r="H2">
        <f>IF(설정!$C$10="","",IFERROR(INDEX('1.산군_붙여넣기'!$A$1:$AZ$1001,ROW(),설정!$C$10)&amp;"",""))</f>
        <v/>
      </c>
      <c r="I2">
        <f>IF(설정!$C$11="","",IFERROR(INDEX('1.산군_붙여넣기'!$A$1:$AZ$1001,ROW(),설정!$C$11)&amp;"",""))</f>
        <v/>
      </c>
      <c r="J2">
        <f>IF(설정!$C$12="","",IFERROR(INDEX('1.산군_붙여넣기'!$A$1:$AZ$1001,ROW(),설정!$C$12)&amp;"",""))</f>
        <v/>
      </c>
      <c r="K2">
        <f>IF(설정!$C$13="","",IFERROR(INDEX('1.산군_붙여넣기'!$A$1:$AZ$1001,ROW(),설정!$C$13)&amp;"",""))</f>
        <v/>
      </c>
      <c r="L2" s="7">
        <f>IF(X2="","",IF(AND(LEN(X2)=8,ISNUMBER(X2*1)),DATE(LEFT(X2,4),MID(X2,5,2),RIGHT(X2,2)),IFERROR(DATEVALUE(SUBSTITUTE(SUBSTITUTE(X2,".","-"),"/","-")),IFERROR(X2*1,""))))</f>
        <v/>
      </c>
      <c r="M2" s="7">
        <f>IF(Y2="","",IF(AND(LEN(Y2)=8,ISNUMBER(Y2*1)),DATE(LEFT(Y2,4),MID(Y2,5,2),RIGHT(Y2,2)),IFERROR(DATEVALUE(SUBSTITUTE(SUBSTITUTE(Y2,".","-"),"/","-")),IFERROR(Y2*1,""))))</f>
        <v/>
      </c>
      <c r="N2">
        <f>IFERROR(LEFT(B2,FIND(" ",B2)-1),B2)</f>
        <v/>
      </c>
      <c r="O2">
        <f>AND(B2&lt;&gt;"",B2&lt;&gt;설정!$B$4,C2&lt;&gt;설정!$B$5)</f>
        <v/>
      </c>
      <c r="P2">
        <f>IF(O2,B2&amp;"|"&amp;C2,"")</f>
        <v/>
      </c>
      <c r="Q2">
        <f>AND(O2,COUNTIF(P3:P$1002,P2)=0)</f>
        <v/>
      </c>
      <c r="R2">
        <f>OR(AND(설정!$A$42&lt;&gt;"",ISNUMBER(SEARCH(설정!$A$42,E2&amp;" "&amp;C2))),AND(설정!$A$43&lt;&gt;"",ISNUMBER(SEARCH(설정!$A$43,E2&amp;" "&amp;C2))),AND(설정!$A$44&lt;&gt;"",ISNUMBER(SEARCH(설정!$A$44,E2&amp;" "&amp;C2))),AND(설정!$A$45&lt;&gt;"",ISNUMBER(SEARCH(설정!$A$45,E2&amp;" "&amp;C2))),AND(설정!$A$46&lt;&gt;"",ISNUMBER(SEARCH(설정!$A$46,E2&amp;" "&amp;C2))),AND(설정!$A$47&lt;&gt;"",ISNUMBER(SEARCH(설정!$A$47,E2&amp;" "&amp;C2))),AND(설정!$A$48&lt;&gt;"",ISNUMBER(SEARCH(설정!$A$48,E2&amp;" "&amp;C2))),AND(설정!$A$49&lt;&gt;"",ISNUMBER(SEARCH(설정!$A$49,E2&amp;" "&amp;C2))),AND(설정!$A$50&lt;&gt;"",ISNUMBER(SEARCH(설정!$A$50,E2&amp;" "&amp;C2))),AND(설정!$A$51&lt;&gt;"",ISNUMBER(SEARCH(설정!$A$51,E2&amp;" "&amp;C2))))</f>
        <v/>
      </c>
      <c r="S2">
        <f>OR(D2="",D2&gt;=설정!$B$19)</f>
        <v/>
      </c>
      <c r="T2">
        <f>AND(Q2,R2,S2)</f>
        <v/>
      </c>
      <c r="U2">
        <f>IF(T2,IF(AND(설정!$A$54&lt;&gt;"",ISNUMBER(SEARCH(설정!$A$54,K2))),설정!$B$54,IF(AND(설정!$A$55&lt;&gt;"",ISNUMBER(SEARCH(설정!$A$55,K2))),설정!$B$55,IF(AND(설정!$A$56&lt;&gt;"",ISNUMBER(SEARCH(설정!$A$56,K2))),설정!$B$56,IF(AND(설정!$A$57&lt;&gt;"",ISNUMBER(SEARCH(설정!$A$57,K2))),설정!$B$57,IF(AND(설정!$A$58&lt;&gt;"",ISNUMBER(SEARCH(설정!$A$58,K2))),설정!$B$58,IF(AND(설정!$A$59&lt;&gt;"",ISNUMBER(SEARCH(설정!$A$59,K2))),설정!$B$59,IF(AND(설정!$A$60&lt;&gt;"",ISNUMBER(SEARCH(설정!$A$60,K2))),설정!$B$60,IF(AND(설정!$A$61&lt;&gt;"",ISNUMBER(SEARCH(설정!$A$61,K2))),설정!$B$61,IF(M2="","설계사","시공사"))))))))),"")</f>
        <v/>
      </c>
      <c r="V2">
        <f>SUBSTITUTE(SUBSTITUTE(SUBSTITUTE(SUBSTITUTE(G2,"(주)",""),"㈜",""),"주식회사","")," ","")</f>
        <v/>
      </c>
      <c r="W2">
        <f>IF(AND(T2,V2&lt;&gt;""),IF(COUNTIFS(V$2:V2,V2,T$2:T2,TRUE)=1,MAX(W$1:W1)+1,""),"")</f>
        <v/>
      </c>
      <c r="X2">
        <f>IF(설정!$C$14="","",IFERROR(INDEX('1.산군_붙여넣기'!$A$1:$AZ$1001,ROW(),설정!$C$14)&amp;"",""))</f>
        <v/>
      </c>
      <c r="Y2">
        <f>IF(설정!$C$15="","",IFERROR(INDEX('1.산군_붙여넣기'!$A$1:$AZ$1001,ROW(),설정!$C$15)&amp;"",""))</f>
        <v/>
      </c>
      <c r="Z2">
        <f>IF(T2,V2&amp;"|"&amp;U2,"")</f>
        <v/>
      </c>
      <c r="AA2">
        <f>IF(NOT(Q2),"",IF(NOT(AND(R2,S2)),"✕",IF(OR(OR(AND(L2&lt;&gt;"",M2&lt;&gt;"",N(M2)-N(L2)&gt;설정!$B$27),AND(L2&lt;&gt;"",M2="",설정!$B$24-N(L2)&gt;설정!$B$27)),AND(D2&lt;&gt;"",D2&lt;설정!$B$26)),"△","★")))</f>
        <v/>
      </c>
      <c r="AB2">
        <f>IF(NOT(T2),"",IF(U2="설계사",설정!$B$31,IF(U2="시공사",IF(OR(M2="",설정!$B$24-N(M2)&lt;=설정!$B$28*30.4),설정!$B$32,설정!$B$33),설정!$B$34))+IF(AA2="★",설정!$B$35,0))</f>
        <v/>
      </c>
      <c r="AC2">
        <f>SUBSTITUTE(SUBSTITUTE(SUBSTITUTE(SUBSTITUTE(H2,"(주)",""),"㈜",""),"주식회사","")," ","")</f>
        <v/>
      </c>
      <c r="AD2">
        <f>IF(AND(T2,AC2&lt;&gt;""),IF(COUNTIFS(AC$2:AC2,AC2,T$2:T2,TRUE)=1,MAX(AD$1:AD1)+1,""),"")</f>
        <v/>
      </c>
    </row>
    <row r="3">
      <c r="A3">
        <f>ROW()</f>
        <v/>
      </c>
      <c r="B3">
        <f>IF(설정!$C$4="","",IFERROR(INDEX('1.산군_붙여넣기'!$A$1:$AZ$1001,ROW(),설정!$C$4)&amp;"",""))</f>
        <v/>
      </c>
      <c r="C3">
        <f>IF(설정!$C$5="","",IFERROR(INDEX('1.산군_붙여넣기'!$A$1:$AZ$1001,ROW(),설정!$C$5)&amp;"",""))</f>
        <v/>
      </c>
      <c r="D3" s="5">
        <f>IFERROR(VALUE(SUBSTITUTE(SUBSTITUTE(SUBSTITUTE(IF(설정!$C$6="","",IFERROR(INDEX('1.산군_붙여넣기'!$A$1:$AZ$1001,ROW(),설정!$C$6)&amp;"","")),",",""),"㎡",""),"m2","")),"")</f>
        <v/>
      </c>
      <c r="E3">
        <f>IF(설정!$C$7="","",IFERROR(INDEX('1.산군_붙여넣기'!$A$1:$AZ$1001,ROW(),설정!$C$7)&amp;"",""))</f>
        <v/>
      </c>
      <c r="F3">
        <f>IF(설정!$C$8="","",IFERROR(INDEX('1.산군_붙여넣기'!$A$1:$AZ$1001,ROW(),설정!$C$8)&amp;"",""))</f>
        <v/>
      </c>
      <c r="G3">
        <f>IF(설정!$C$9="","",IFERROR(INDEX('1.산군_붙여넣기'!$A$1:$AZ$1001,ROW(),설정!$C$9)&amp;"",""))</f>
        <v/>
      </c>
      <c r="H3">
        <f>IF(설정!$C$10="","",IFERROR(INDEX('1.산군_붙여넣기'!$A$1:$AZ$1001,ROW(),설정!$C$10)&amp;"",""))</f>
        <v/>
      </c>
      <c r="I3">
        <f>IF(설정!$C$11="","",IFERROR(INDEX('1.산군_붙여넣기'!$A$1:$AZ$1001,ROW(),설정!$C$11)&amp;"",""))</f>
        <v/>
      </c>
      <c r="J3">
        <f>IF(설정!$C$12="","",IFERROR(INDEX('1.산군_붙여넣기'!$A$1:$AZ$1001,ROW(),설정!$C$12)&amp;"",""))</f>
        <v/>
      </c>
      <c r="K3">
        <f>IF(설정!$C$13="","",IFERROR(INDEX('1.산군_붙여넣기'!$A$1:$AZ$1001,ROW(),설정!$C$13)&amp;"",""))</f>
        <v/>
      </c>
      <c r="L3" s="7">
        <f>IF(X3="","",IF(AND(LEN(X3)=8,ISNUMBER(X3*1)),DATE(LEFT(X3,4),MID(X3,5,2),RIGHT(X3,2)),IFERROR(DATEVALUE(SUBSTITUTE(SUBSTITUTE(X3,".","-"),"/","-")),IFERROR(X3*1,""))))</f>
        <v/>
      </c>
      <c r="M3" s="7">
        <f>IF(Y3="","",IF(AND(LEN(Y3)=8,ISNUMBER(Y3*1)),DATE(LEFT(Y3,4),MID(Y3,5,2),RIGHT(Y3,2)),IFERROR(DATEVALUE(SUBSTITUTE(SUBSTITUTE(Y3,".","-"),"/","-")),IFERROR(Y3*1,""))))</f>
        <v/>
      </c>
      <c r="N3">
        <f>IFERROR(LEFT(B3,FIND(" ",B3)-1),B3)</f>
        <v/>
      </c>
      <c r="O3">
        <f>AND(B3&lt;&gt;"",B3&lt;&gt;설정!$B$4,C3&lt;&gt;설정!$B$5)</f>
        <v/>
      </c>
      <c r="P3">
        <f>IF(O3,B3&amp;"|"&amp;C3,"")</f>
        <v/>
      </c>
      <c r="Q3">
        <f>AND(O3,COUNTIF(P4:P$1002,P3)=0)</f>
        <v/>
      </c>
      <c r="R3">
        <f>OR(AND(설정!$A$42&lt;&gt;"",ISNUMBER(SEARCH(설정!$A$42,E3&amp;" "&amp;C3))),AND(설정!$A$43&lt;&gt;"",ISNUMBER(SEARCH(설정!$A$43,E3&amp;" "&amp;C3))),AND(설정!$A$44&lt;&gt;"",ISNUMBER(SEARCH(설정!$A$44,E3&amp;" "&amp;C3))),AND(설정!$A$45&lt;&gt;"",ISNUMBER(SEARCH(설정!$A$45,E3&amp;" "&amp;C3))),AND(설정!$A$46&lt;&gt;"",ISNUMBER(SEARCH(설정!$A$46,E3&amp;" "&amp;C3))),AND(설정!$A$47&lt;&gt;"",ISNUMBER(SEARCH(설정!$A$47,E3&amp;" "&amp;C3))),AND(설정!$A$48&lt;&gt;"",ISNUMBER(SEARCH(설정!$A$48,E3&amp;" "&amp;C3))),AND(설정!$A$49&lt;&gt;"",ISNUMBER(SEARCH(설정!$A$49,E3&amp;" "&amp;C3))),AND(설정!$A$50&lt;&gt;"",ISNUMBER(SEARCH(설정!$A$50,E3&amp;" "&amp;C3))),AND(설정!$A$51&lt;&gt;"",ISNUMBER(SEARCH(설정!$A$51,E3&amp;" "&amp;C3))))</f>
        <v/>
      </c>
      <c r="S3">
        <f>OR(D3="",D3&gt;=설정!$B$19)</f>
        <v/>
      </c>
      <c r="T3">
        <f>AND(Q3,R3,S3)</f>
        <v/>
      </c>
      <c r="U3">
        <f>IF(T3,IF(AND(설정!$A$54&lt;&gt;"",ISNUMBER(SEARCH(설정!$A$54,K3))),설정!$B$54,IF(AND(설정!$A$55&lt;&gt;"",ISNUMBER(SEARCH(설정!$A$55,K3))),설정!$B$55,IF(AND(설정!$A$56&lt;&gt;"",ISNUMBER(SEARCH(설정!$A$56,K3))),설정!$B$56,IF(AND(설정!$A$57&lt;&gt;"",ISNUMBER(SEARCH(설정!$A$57,K3))),설정!$B$57,IF(AND(설정!$A$58&lt;&gt;"",ISNUMBER(SEARCH(설정!$A$58,K3))),설정!$B$58,IF(AND(설정!$A$59&lt;&gt;"",ISNUMBER(SEARCH(설정!$A$59,K3))),설정!$B$59,IF(AND(설정!$A$60&lt;&gt;"",ISNUMBER(SEARCH(설정!$A$60,K3))),설정!$B$60,IF(AND(설정!$A$61&lt;&gt;"",ISNUMBER(SEARCH(설정!$A$61,K3))),설정!$B$61,IF(M3="","설계사","시공사"))))))))),"")</f>
        <v/>
      </c>
      <c r="V3">
        <f>SUBSTITUTE(SUBSTITUTE(SUBSTITUTE(SUBSTITUTE(G3,"(주)",""),"㈜",""),"주식회사","")," ","")</f>
        <v/>
      </c>
      <c r="W3">
        <f>IF(AND(T3,V3&lt;&gt;""),IF(COUNTIFS(V$2:V3,V3,T$2:T3,TRUE)=1,MAX(W$1:W2)+1,""),"")</f>
        <v/>
      </c>
      <c r="X3">
        <f>IF(설정!$C$14="","",IFERROR(INDEX('1.산군_붙여넣기'!$A$1:$AZ$1001,ROW(),설정!$C$14)&amp;"",""))</f>
        <v/>
      </c>
      <c r="Y3">
        <f>IF(설정!$C$15="","",IFERROR(INDEX('1.산군_붙여넣기'!$A$1:$AZ$1001,ROW(),설정!$C$15)&amp;"",""))</f>
        <v/>
      </c>
      <c r="Z3">
        <f>IF(T3,V3&amp;"|"&amp;U3,"")</f>
        <v/>
      </c>
      <c r="AA3">
        <f>IF(NOT(Q3),"",IF(NOT(AND(R3,S3)),"✕",IF(OR(OR(AND(L3&lt;&gt;"",M3&lt;&gt;"",N(M3)-N(L3)&gt;설정!$B$27),AND(L3&lt;&gt;"",M3="",설정!$B$24-N(L3)&gt;설정!$B$27)),AND(D3&lt;&gt;"",D3&lt;설정!$B$26)),"△","★")))</f>
        <v/>
      </c>
      <c r="AB3">
        <f>IF(NOT(T3),"",IF(U3="설계사",설정!$B$31,IF(U3="시공사",IF(OR(M3="",설정!$B$24-N(M3)&lt;=설정!$B$28*30.4),설정!$B$32,설정!$B$33),설정!$B$34))+IF(AA3="★",설정!$B$35,0))</f>
        <v/>
      </c>
      <c r="AC3">
        <f>SUBSTITUTE(SUBSTITUTE(SUBSTITUTE(SUBSTITUTE(H3,"(주)",""),"㈜",""),"주식회사","")," ","")</f>
        <v/>
      </c>
      <c r="AD3">
        <f>IF(AND(T3,AC3&lt;&gt;""),IF(COUNTIFS(AC$2:AC3,AC3,T$2:T3,TRUE)=1,MAX(AD$1:AD2)+1,""),"")</f>
        <v/>
      </c>
    </row>
    <row r="4">
      <c r="A4">
        <f>ROW()</f>
        <v/>
      </c>
      <c r="B4">
        <f>IF(설정!$C$4="","",IFERROR(INDEX('1.산군_붙여넣기'!$A$1:$AZ$1001,ROW(),설정!$C$4)&amp;"",""))</f>
        <v/>
      </c>
      <c r="C4">
        <f>IF(설정!$C$5="","",IFERROR(INDEX('1.산군_붙여넣기'!$A$1:$AZ$1001,ROW(),설정!$C$5)&amp;"",""))</f>
        <v/>
      </c>
      <c r="D4" s="5">
        <f>IFERROR(VALUE(SUBSTITUTE(SUBSTITUTE(SUBSTITUTE(IF(설정!$C$6="","",IFERROR(INDEX('1.산군_붙여넣기'!$A$1:$AZ$1001,ROW(),설정!$C$6)&amp;"","")),",",""),"㎡",""),"m2","")),"")</f>
        <v/>
      </c>
      <c r="E4">
        <f>IF(설정!$C$7="","",IFERROR(INDEX('1.산군_붙여넣기'!$A$1:$AZ$1001,ROW(),설정!$C$7)&amp;"",""))</f>
        <v/>
      </c>
      <c r="F4">
        <f>IF(설정!$C$8="","",IFERROR(INDEX('1.산군_붙여넣기'!$A$1:$AZ$1001,ROW(),설정!$C$8)&amp;"",""))</f>
        <v/>
      </c>
      <c r="G4">
        <f>IF(설정!$C$9="","",IFERROR(INDEX('1.산군_붙여넣기'!$A$1:$AZ$1001,ROW(),설정!$C$9)&amp;"",""))</f>
        <v/>
      </c>
      <c r="H4">
        <f>IF(설정!$C$10="","",IFERROR(INDEX('1.산군_붙여넣기'!$A$1:$AZ$1001,ROW(),설정!$C$10)&amp;"",""))</f>
        <v/>
      </c>
      <c r="I4">
        <f>IF(설정!$C$11="","",IFERROR(INDEX('1.산군_붙여넣기'!$A$1:$AZ$1001,ROW(),설정!$C$11)&amp;"",""))</f>
        <v/>
      </c>
      <c r="J4">
        <f>IF(설정!$C$12="","",IFERROR(INDEX('1.산군_붙여넣기'!$A$1:$AZ$1001,ROW(),설정!$C$12)&amp;"",""))</f>
        <v/>
      </c>
      <c r="K4">
        <f>IF(설정!$C$13="","",IFERROR(INDEX('1.산군_붙여넣기'!$A$1:$AZ$1001,ROW(),설정!$C$13)&amp;"",""))</f>
        <v/>
      </c>
      <c r="L4" s="7">
        <f>IF(X4="","",IF(AND(LEN(X4)=8,ISNUMBER(X4*1)),DATE(LEFT(X4,4),MID(X4,5,2),RIGHT(X4,2)),IFERROR(DATEVALUE(SUBSTITUTE(SUBSTITUTE(X4,".","-"),"/","-")),IFERROR(X4*1,""))))</f>
        <v/>
      </c>
      <c r="M4" s="7">
        <f>IF(Y4="","",IF(AND(LEN(Y4)=8,ISNUMBER(Y4*1)),DATE(LEFT(Y4,4),MID(Y4,5,2),RIGHT(Y4,2)),IFERROR(DATEVALUE(SUBSTITUTE(SUBSTITUTE(Y4,".","-"),"/","-")),IFERROR(Y4*1,""))))</f>
        <v/>
      </c>
      <c r="N4">
        <f>IFERROR(LEFT(B4,FIND(" ",B4)-1),B4)</f>
        <v/>
      </c>
      <c r="O4">
        <f>AND(B4&lt;&gt;"",B4&lt;&gt;설정!$B$4,C4&lt;&gt;설정!$B$5)</f>
        <v/>
      </c>
      <c r="P4">
        <f>IF(O4,B4&amp;"|"&amp;C4,"")</f>
        <v/>
      </c>
      <c r="Q4">
        <f>AND(O4,COUNTIF(P5:P$1002,P4)=0)</f>
        <v/>
      </c>
      <c r="R4">
        <f>OR(AND(설정!$A$42&lt;&gt;"",ISNUMBER(SEARCH(설정!$A$42,E4&amp;" "&amp;C4))),AND(설정!$A$43&lt;&gt;"",ISNUMBER(SEARCH(설정!$A$43,E4&amp;" "&amp;C4))),AND(설정!$A$44&lt;&gt;"",ISNUMBER(SEARCH(설정!$A$44,E4&amp;" "&amp;C4))),AND(설정!$A$45&lt;&gt;"",ISNUMBER(SEARCH(설정!$A$45,E4&amp;" "&amp;C4))),AND(설정!$A$46&lt;&gt;"",ISNUMBER(SEARCH(설정!$A$46,E4&amp;" "&amp;C4))),AND(설정!$A$47&lt;&gt;"",ISNUMBER(SEARCH(설정!$A$47,E4&amp;" "&amp;C4))),AND(설정!$A$48&lt;&gt;"",ISNUMBER(SEARCH(설정!$A$48,E4&amp;" "&amp;C4))),AND(설정!$A$49&lt;&gt;"",ISNUMBER(SEARCH(설정!$A$49,E4&amp;" "&amp;C4))),AND(설정!$A$50&lt;&gt;"",ISNUMBER(SEARCH(설정!$A$50,E4&amp;" "&amp;C4))),AND(설정!$A$51&lt;&gt;"",ISNUMBER(SEARCH(설정!$A$51,E4&amp;" "&amp;C4))))</f>
        <v/>
      </c>
      <c r="S4">
        <f>OR(D4="",D4&gt;=설정!$B$19)</f>
        <v/>
      </c>
      <c r="T4">
        <f>AND(Q4,R4,S4)</f>
        <v/>
      </c>
      <c r="U4">
        <f>IF(T4,IF(AND(설정!$A$54&lt;&gt;"",ISNUMBER(SEARCH(설정!$A$54,K4))),설정!$B$54,IF(AND(설정!$A$55&lt;&gt;"",ISNUMBER(SEARCH(설정!$A$55,K4))),설정!$B$55,IF(AND(설정!$A$56&lt;&gt;"",ISNUMBER(SEARCH(설정!$A$56,K4))),설정!$B$56,IF(AND(설정!$A$57&lt;&gt;"",ISNUMBER(SEARCH(설정!$A$57,K4))),설정!$B$57,IF(AND(설정!$A$58&lt;&gt;"",ISNUMBER(SEARCH(설정!$A$58,K4))),설정!$B$58,IF(AND(설정!$A$59&lt;&gt;"",ISNUMBER(SEARCH(설정!$A$59,K4))),설정!$B$59,IF(AND(설정!$A$60&lt;&gt;"",ISNUMBER(SEARCH(설정!$A$60,K4))),설정!$B$60,IF(AND(설정!$A$61&lt;&gt;"",ISNUMBER(SEARCH(설정!$A$61,K4))),설정!$B$61,IF(M4="","설계사","시공사"))))))))),"")</f>
        <v/>
      </c>
      <c r="V4">
        <f>SUBSTITUTE(SUBSTITUTE(SUBSTITUTE(SUBSTITUTE(G4,"(주)",""),"㈜",""),"주식회사","")," ","")</f>
        <v/>
      </c>
      <c r="W4">
        <f>IF(AND(T4,V4&lt;&gt;""),IF(COUNTIFS(V$2:V4,V4,T$2:T4,TRUE)=1,MAX(W$1:W3)+1,""),"")</f>
        <v/>
      </c>
      <c r="X4">
        <f>IF(설정!$C$14="","",IFERROR(INDEX('1.산군_붙여넣기'!$A$1:$AZ$1001,ROW(),설정!$C$14)&amp;"",""))</f>
        <v/>
      </c>
      <c r="Y4">
        <f>IF(설정!$C$15="","",IFERROR(INDEX('1.산군_붙여넣기'!$A$1:$AZ$1001,ROW(),설정!$C$15)&amp;"",""))</f>
        <v/>
      </c>
      <c r="Z4">
        <f>IF(T4,V4&amp;"|"&amp;U4,"")</f>
        <v/>
      </c>
      <c r="AA4">
        <f>IF(NOT(Q4),"",IF(NOT(AND(R4,S4)),"✕",IF(OR(OR(AND(L4&lt;&gt;"",M4&lt;&gt;"",N(M4)-N(L4)&gt;설정!$B$27),AND(L4&lt;&gt;"",M4="",설정!$B$24-N(L4)&gt;설정!$B$27)),AND(D4&lt;&gt;"",D4&lt;설정!$B$26)),"△","★")))</f>
        <v/>
      </c>
      <c r="AB4">
        <f>IF(NOT(T4),"",IF(U4="설계사",설정!$B$31,IF(U4="시공사",IF(OR(M4="",설정!$B$24-N(M4)&lt;=설정!$B$28*30.4),설정!$B$32,설정!$B$33),설정!$B$34))+IF(AA4="★",설정!$B$35,0))</f>
        <v/>
      </c>
      <c r="AC4">
        <f>SUBSTITUTE(SUBSTITUTE(SUBSTITUTE(SUBSTITUTE(H4,"(주)",""),"㈜",""),"주식회사","")," ","")</f>
        <v/>
      </c>
      <c r="AD4">
        <f>IF(AND(T4,AC4&lt;&gt;""),IF(COUNTIFS(AC$2:AC4,AC4,T$2:T4,TRUE)=1,MAX(AD$1:AD3)+1,""),"")</f>
        <v/>
      </c>
    </row>
    <row r="5">
      <c r="A5">
        <f>ROW()</f>
        <v/>
      </c>
      <c r="B5">
        <f>IF(설정!$C$4="","",IFERROR(INDEX('1.산군_붙여넣기'!$A$1:$AZ$1001,ROW(),설정!$C$4)&amp;"",""))</f>
        <v/>
      </c>
      <c r="C5">
        <f>IF(설정!$C$5="","",IFERROR(INDEX('1.산군_붙여넣기'!$A$1:$AZ$1001,ROW(),설정!$C$5)&amp;"",""))</f>
        <v/>
      </c>
      <c r="D5" s="5">
        <f>IFERROR(VALUE(SUBSTITUTE(SUBSTITUTE(SUBSTITUTE(IF(설정!$C$6="","",IFERROR(INDEX('1.산군_붙여넣기'!$A$1:$AZ$1001,ROW(),설정!$C$6)&amp;"","")),",",""),"㎡",""),"m2","")),"")</f>
        <v/>
      </c>
      <c r="E5">
        <f>IF(설정!$C$7="","",IFERROR(INDEX('1.산군_붙여넣기'!$A$1:$AZ$1001,ROW(),설정!$C$7)&amp;"",""))</f>
        <v/>
      </c>
      <c r="F5">
        <f>IF(설정!$C$8="","",IFERROR(INDEX('1.산군_붙여넣기'!$A$1:$AZ$1001,ROW(),설정!$C$8)&amp;"",""))</f>
        <v/>
      </c>
      <c r="G5">
        <f>IF(설정!$C$9="","",IFERROR(INDEX('1.산군_붙여넣기'!$A$1:$AZ$1001,ROW(),설정!$C$9)&amp;"",""))</f>
        <v/>
      </c>
      <c r="H5">
        <f>IF(설정!$C$10="","",IFERROR(INDEX('1.산군_붙여넣기'!$A$1:$AZ$1001,ROW(),설정!$C$10)&amp;"",""))</f>
        <v/>
      </c>
      <c r="I5">
        <f>IF(설정!$C$11="","",IFERROR(INDEX('1.산군_붙여넣기'!$A$1:$AZ$1001,ROW(),설정!$C$11)&amp;"",""))</f>
        <v/>
      </c>
      <c r="J5">
        <f>IF(설정!$C$12="","",IFERROR(INDEX('1.산군_붙여넣기'!$A$1:$AZ$1001,ROW(),설정!$C$12)&amp;"",""))</f>
        <v/>
      </c>
      <c r="K5">
        <f>IF(설정!$C$13="","",IFERROR(INDEX('1.산군_붙여넣기'!$A$1:$AZ$1001,ROW(),설정!$C$13)&amp;"",""))</f>
        <v/>
      </c>
      <c r="L5" s="7">
        <f>IF(X5="","",IF(AND(LEN(X5)=8,ISNUMBER(X5*1)),DATE(LEFT(X5,4),MID(X5,5,2),RIGHT(X5,2)),IFERROR(DATEVALUE(SUBSTITUTE(SUBSTITUTE(X5,".","-"),"/","-")),IFERROR(X5*1,""))))</f>
        <v/>
      </c>
      <c r="M5" s="7">
        <f>IF(Y5="","",IF(AND(LEN(Y5)=8,ISNUMBER(Y5*1)),DATE(LEFT(Y5,4),MID(Y5,5,2),RIGHT(Y5,2)),IFERROR(DATEVALUE(SUBSTITUTE(SUBSTITUTE(Y5,".","-"),"/","-")),IFERROR(Y5*1,""))))</f>
        <v/>
      </c>
      <c r="N5">
        <f>IFERROR(LEFT(B5,FIND(" ",B5)-1),B5)</f>
        <v/>
      </c>
      <c r="O5">
        <f>AND(B5&lt;&gt;"",B5&lt;&gt;설정!$B$4,C5&lt;&gt;설정!$B$5)</f>
        <v/>
      </c>
      <c r="P5">
        <f>IF(O5,B5&amp;"|"&amp;C5,"")</f>
        <v/>
      </c>
      <c r="Q5">
        <f>AND(O5,COUNTIF(P6:P$1002,P5)=0)</f>
        <v/>
      </c>
      <c r="R5">
        <f>OR(AND(설정!$A$42&lt;&gt;"",ISNUMBER(SEARCH(설정!$A$42,E5&amp;" "&amp;C5))),AND(설정!$A$43&lt;&gt;"",ISNUMBER(SEARCH(설정!$A$43,E5&amp;" "&amp;C5))),AND(설정!$A$44&lt;&gt;"",ISNUMBER(SEARCH(설정!$A$44,E5&amp;" "&amp;C5))),AND(설정!$A$45&lt;&gt;"",ISNUMBER(SEARCH(설정!$A$45,E5&amp;" "&amp;C5))),AND(설정!$A$46&lt;&gt;"",ISNUMBER(SEARCH(설정!$A$46,E5&amp;" "&amp;C5))),AND(설정!$A$47&lt;&gt;"",ISNUMBER(SEARCH(설정!$A$47,E5&amp;" "&amp;C5))),AND(설정!$A$48&lt;&gt;"",ISNUMBER(SEARCH(설정!$A$48,E5&amp;" "&amp;C5))),AND(설정!$A$49&lt;&gt;"",ISNUMBER(SEARCH(설정!$A$49,E5&amp;" "&amp;C5))),AND(설정!$A$50&lt;&gt;"",ISNUMBER(SEARCH(설정!$A$50,E5&amp;" "&amp;C5))),AND(설정!$A$51&lt;&gt;"",ISNUMBER(SEARCH(설정!$A$51,E5&amp;" "&amp;C5))))</f>
        <v/>
      </c>
      <c r="S5">
        <f>OR(D5="",D5&gt;=설정!$B$19)</f>
        <v/>
      </c>
      <c r="T5">
        <f>AND(Q5,R5,S5)</f>
        <v/>
      </c>
      <c r="U5">
        <f>IF(T5,IF(AND(설정!$A$54&lt;&gt;"",ISNUMBER(SEARCH(설정!$A$54,K5))),설정!$B$54,IF(AND(설정!$A$55&lt;&gt;"",ISNUMBER(SEARCH(설정!$A$55,K5))),설정!$B$55,IF(AND(설정!$A$56&lt;&gt;"",ISNUMBER(SEARCH(설정!$A$56,K5))),설정!$B$56,IF(AND(설정!$A$57&lt;&gt;"",ISNUMBER(SEARCH(설정!$A$57,K5))),설정!$B$57,IF(AND(설정!$A$58&lt;&gt;"",ISNUMBER(SEARCH(설정!$A$58,K5))),설정!$B$58,IF(AND(설정!$A$59&lt;&gt;"",ISNUMBER(SEARCH(설정!$A$59,K5))),설정!$B$59,IF(AND(설정!$A$60&lt;&gt;"",ISNUMBER(SEARCH(설정!$A$60,K5))),설정!$B$60,IF(AND(설정!$A$61&lt;&gt;"",ISNUMBER(SEARCH(설정!$A$61,K5))),설정!$B$61,IF(M5="","설계사","시공사"))))))))),"")</f>
        <v/>
      </c>
      <c r="V5">
        <f>SUBSTITUTE(SUBSTITUTE(SUBSTITUTE(SUBSTITUTE(G5,"(주)",""),"㈜",""),"주식회사","")," ","")</f>
        <v/>
      </c>
      <c r="W5">
        <f>IF(AND(T5,V5&lt;&gt;""),IF(COUNTIFS(V$2:V5,V5,T$2:T5,TRUE)=1,MAX(W$1:W4)+1,""),"")</f>
        <v/>
      </c>
      <c r="X5">
        <f>IF(설정!$C$14="","",IFERROR(INDEX('1.산군_붙여넣기'!$A$1:$AZ$1001,ROW(),설정!$C$14)&amp;"",""))</f>
        <v/>
      </c>
      <c r="Y5">
        <f>IF(설정!$C$15="","",IFERROR(INDEX('1.산군_붙여넣기'!$A$1:$AZ$1001,ROW(),설정!$C$15)&amp;"",""))</f>
        <v/>
      </c>
      <c r="Z5">
        <f>IF(T5,V5&amp;"|"&amp;U5,"")</f>
        <v/>
      </c>
      <c r="AA5">
        <f>IF(NOT(Q5),"",IF(NOT(AND(R5,S5)),"✕",IF(OR(OR(AND(L5&lt;&gt;"",M5&lt;&gt;"",N(M5)-N(L5)&gt;설정!$B$27),AND(L5&lt;&gt;"",M5="",설정!$B$24-N(L5)&gt;설정!$B$27)),AND(D5&lt;&gt;"",D5&lt;설정!$B$26)),"△","★")))</f>
        <v/>
      </c>
      <c r="AB5">
        <f>IF(NOT(T5),"",IF(U5="설계사",설정!$B$31,IF(U5="시공사",IF(OR(M5="",설정!$B$24-N(M5)&lt;=설정!$B$28*30.4),설정!$B$32,설정!$B$33),설정!$B$34))+IF(AA5="★",설정!$B$35,0))</f>
        <v/>
      </c>
      <c r="AC5">
        <f>SUBSTITUTE(SUBSTITUTE(SUBSTITUTE(SUBSTITUTE(H5,"(주)",""),"㈜",""),"주식회사","")," ","")</f>
        <v/>
      </c>
      <c r="AD5">
        <f>IF(AND(T5,AC5&lt;&gt;""),IF(COUNTIFS(AC$2:AC5,AC5,T$2:T5,TRUE)=1,MAX(AD$1:AD4)+1,""),"")</f>
        <v/>
      </c>
    </row>
    <row r="6">
      <c r="A6">
        <f>ROW()</f>
        <v/>
      </c>
      <c r="B6">
        <f>IF(설정!$C$4="","",IFERROR(INDEX('1.산군_붙여넣기'!$A$1:$AZ$1001,ROW(),설정!$C$4)&amp;"",""))</f>
        <v/>
      </c>
      <c r="C6">
        <f>IF(설정!$C$5="","",IFERROR(INDEX('1.산군_붙여넣기'!$A$1:$AZ$1001,ROW(),설정!$C$5)&amp;"",""))</f>
        <v/>
      </c>
      <c r="D6" s="5">
        <f>IFERROR(VALUE(SUBSTITUTE(SUBSTITUTE(SUBSTITUTE(IF(설정!$C$6="","",IFERROR(INDEX('1.산군_붙여넣기'!$A$1:$AZ$1001,ROW(),설정!$C$6)&amp;"","")),",",""),"㎡",""),"m2","")),"")</f>
        <v/>
      </c>
      <c r="E6">
        <f>IF(설정!$C$7="","",IFERROR(INDEX('1.산군_붙여넣기'!$A$1:$AZ$1001,ROW(),설정!$C$7)&amp;"",""))</f>
        <v/>
      </c>
      <c r="F6">
        <f>IF(설정!$C$8="","",IFERROR(INDEX('1.산군_붙여넣기'!$A$1:$AZ$1001,ROW(),설정!$C$8)&amp;"",""))</f>
        <v/>
      </c>
      <c r="G6">
        <f>IF(설정!$C$9="","",IFERROR(INDEX('1.산군_붙여넣기'!$A$1:$AZ$1001,ROW(),설정!$C$9)&amp;"",""))</f>
        <v/>
      </c>
      <c r="H6">
        <f>IF(설정!$C$10="","",IFERROR(INDEX('1.산군_붙여넣기'!$A$1:$AZ$1001,ROW(),설정!$C$10)&amp;"",""))</f>
        <v/>
      </c>
      <c r="I6">
        <f>IF(설정!$C$11="","",IFERROR(INDEX('1.산군_붙여넣기'!$A$1:$AZ$1001,ROW(),설정!$C$11)&amp;"",""))</f>
        <v/>
      </c>
      <c r="J6">
        <f>IF(설정!$C$12="","",IFERROR(INDEX('1.산군_붙여넣기'!$A$1:$AZ$1001,ROW(),설정!$C$12)&amp;"",""))</f>
        <v/>
      </c>
      <c r="K6">
        <f>IF(설정!$C$13="","",IFERROR(INDEX('1.산군_붙여넣기'!$A$1:$AZ$1001,ROW(),설정!$C$13)&amp;"",""))</f>
        <v/>
      </c>
      <c r="L6" s="7">
        <f>IF(X6="","",IF(AND(LEN(X6)=8,ISNUMBER(X6*1)),DATE(LEFT(X6,4),MID(X6,5,2),RIGHT(X6,2)),IFERROR(DATEVALUE(SUBSTITUTE(SUBSTITUTE(X6,".","-"),"/","-")),IFERROR(X6*1,""))))</f>
        <v/>
      </c>
      <c r="M6" s="7">
        <f>IF(Y6="","",IF(AND(LEN(Y6)=8,ISNUMBER(Y6*1)),DATE(LEFT(Y6,4),MID(Y6,5,2),RIGHT(Y6,2)),IFERROR(DATEVALUE(SUBSTITUTE(SUBSTITUTE(Y6,".","-"),"/","-")),IFERROR(Y6*1,""))))</f>
        <v/>
      </c>
      <c r="N6">
        <f>IFERROR(LEFT(B6,FIND(" ",B6)-1),B6)</f>
        <v/>
      </c>
      <c r="O6">
        <f>AND(B6&lt;&gt;"",B6&lt;&gt;설정!$B$4,C6&lt;&gt;설정!$B$5)</f>
        <v/>
      </c>
      <c r="P6">
        <f>IF(O6,B6&amp;"|"&amp;C6,"")</f>
        <v/>
      </c>
      <c r="Q6">
        <f>AND(O6,COUNTIF(P7:P$1002,P6)=0)</f>
        <v/>
      </c>
      <c r="R6">
        <f>OR(AND(설정!$A$42&lt;&gt;"",ISNUMBER(SEARCH(설정!$A$42,E6&amp;" "&amp;C6))),AND(설정!$A$43&lt;&gt;"",ISNUMBER(SEARCH(설정!$A$43,E6&amp;" "&amp;C6))),AND(설정!$A$44&lt;&gt;"",ISNUMBER(SEARCH(설정!$A$44,E6&amp;" "&amp;C6))),AND(설정!$A$45&lt;&gt;"",ISNUMBER(SEARCH(설정!$A$45,E6&amp;" "&amp;C6))),AND(설정!$A$46&lt;&gt;"",ISNUMBER(SEARCH(설정!$A$46,E6&amp;" "&amp;C6))),AND(설정!$A$47&lt;&gt;"",ISNUMBER(SEARCH(설정!$A$47,E6&amp;" "&amp;C6))),AND(설정!$A$48&lt;&gt;"",ISNUMBER(SEARCH(설정!$A$48,E6&amp;" "&amp;C6))),AND(설정!$A$49&lt;&gt;"",ISNUMBER(SEARCH(설정!$A$49,E6&amp;" "&amp;C6))),AND(설정!$A$50&lt;&gt;"",ISNUMBER(SEARCH(설정!$A$50,E6&amp;" "&amp;C6))),AND(설정!$A$51&lt;&gt;"",ISNUMBER(SEARCH(설정!$A$51,E6&amp;" "&amp;C6))))</f>
        <v/>
      </c>
      <c r="S6">
        <f>OR(D6="",D6&gt;=설정!$B$19)</f>
        <v/>
      </c>
      <c r="T6">
        <f>AND(Q6,R6,S6)</f>
        <v/>
      </c>
      <c r="U6">
        <f>IF(T6,IF(AND(설정!$A$54&lt;&gt;"",ISNUMBER(SEARCH(설정!$A$54,K6))),설정!$B$54,IF(AND(설정!$A$55&lt;&gt;"",ISNUMBER(SEARCH(설정!$A$55,K6))),설정!$B$55,IF(AND(설정!$A$56&lt;&gt;"",ISNUMBER(SEARCH(설정!$A$56,K6))),설정!$B$56,IF(AND(설정!$A$57&lt;&gt;"",ISNUMBER(SEARCH(설정!$A$57,K6))),설정!$B$57,IF(AND(설정!$A$58&lt;&gt;"",ISNUMBER(SEARCH(설정!$A$58,K6))),설정!$B$58,IF(AND(설정!$A$59&lt;&gt;"",ISNUMBER(SEARCH(설정!$A$59,K6))),설정!$B$59,IF(AND(설정!$A$60&lt;&gt;"",ISNUMBER(SEARCH(설정!$A$60,K6))),설정!$B$60,IF(AND(설정!$A$61&lt;&gt;"",ISNUMBER(SEARCH(설정!$A$61,K6))),설정!$B$61,IF(M6="","설계사","시공사"))))))))),"")</f>
        <v/>
      </c>
      <c r="V6">
        <f>SUBSTITUTE(SUBSTITUTE(SUBSTITUTE(SUBSTITUTE(G6,"(주)",""),"㈜",""),"주식회사","")," ","")</f>
        <v/>
      </c>
      <c r="W6">
        <f>IF(AND(T6,V6&lt;&gt;""),IF(COUNTIFS(V$2:V6,V6,T$2:T6,TRUE)=1,MAX(W$1:W5)+1,""),"")</f>
        <v/>
      </c>
      <c r="X6">
        <f>IF(설정!$C$14="","",IFERROR(INDEX('1.산군_붙여넣기'!$A$1:$AZ$1001,ROW(),설정!$C$14)&amp;"",""))</f>
        <v/>
      </c>
      <c r="Y6">
        <f>IF(설정!$C$15="","",IFERROR(INDEX('1.산군_붙여넣기'!$A$1:$AZ$1001,ROW(),설정!$C$15)&amp;"",""))</f>
        <v/>
      </c>
      <c r="Z6">
        <f>IF(T6,V6&amp;"|"&amp;U6,"")</f>
        <v/>
      </c>
      <c r="AA6">
        <f>IF(NOT(Q6),"",IF(NOT(AND(R6,S6)),"✕",IF(OR(OR(AND(L6&lt;&gt;"",M6&lt;&gt;"",N(M6)-N(L6)&gt;설정!$B$27),AND(L6&lt;&gt;"",M6="",설정!$B$24-N(L6)&gt;설정!$B$27)),AND(D6&lt;&gt;"",D6&lt;설정!$B$26)),"△","★")))</f>
        <v/>
      </c>
      <c r="AB6">
        <f>IF(NOT(T6),"",IF(U6="설계사",설정!$B$31,IF(U6="시공사",IF(OR(M6="",설정!$B$24-N(M6)&lt;=설정!$B$28*30.4),설정!$B$32,설정!$B$33),설정!$B$34))+IF(AA6="★",설정!$B$35,0))</f>
        <v/>
      </c>
      <c r="AC6">
        <f>SUBSTITUTE(SUBSTITUTE(SUBSTITUTE(SUBSTITUTE(H6,"(주)",""),"㈜",""),"주식회사","")," ","")</f>
        <v/>
      </c>
      <c r="AD6">
        <f>IF(AND(T6,AC6&lt;&gt;""),IF(COUNTIFS(AC$2:AC6,AC6,T$2:T6,TRUE)=1,MAX(AD$1:AD5)+1,""),"")</f>
        <v/>
      </c>
    </row>
    <row r="7">
      <c r="A7">
        <f>ROW()</f>
        <v/>
      </c>
      <c r="B7">
        <f>IF(설정!$C$4="","",IFERROR(INDEX('1.산군_붙여넣기'!$A$1:$AZ$1001,ROW(),설정!$C$4)&amp;"",""))</f>
        <v/>
      </c>
      <c r="C7">
        <f>IF(설정!$C$5="","",IFERROR(INDEX('1.산군_붙여넣기'!$A$1:$AZ$1001,ROW(),설정!$C$5)&amp;"",""))</f>
        <v/>
      </c>
      <c r="D7" s="5">
        <f>IFERROR(VALUE(SUBSTITUTE(SUBSTITUTE(SUBSTITUTE(IF(설정!$C$6="","",IFERROR(INDEX('1.산군_붙여넣기'!$A$1:$AZ$1001,ROW(),설정!$C$6)&amp;"","")),",",""),"㎡",""),"m2","")),"")</f>
        <v/>
      </c>
      <c r="E7">
        <f>IF(설정!$C$7="","",IFERROR(INDEX('1.산군_붙여넣기'!$A$1:$AZ$1001,ROW(),설정!$C$7)&amp;"",""))</f>
        <v/>
      </c>
      <c r="F7">
        <f>IF(설정!$C$8="","",IFERROR(INDEX('1.산군_붙여넣기'!$A$1:$AZ$1001,ROW(),설정!$C$8)&amp;"",""))</f>
        <v/>
      </c>
      <c r="G7">
        <f>IF(설정!$C$9="","",IFERROR(INDEX('1.산군_붙여넣기'!$A$1:$AZ$1001,ROW(),설정!$C$9)&amp;"",""))</f>
        <v/>
      </c>
      <c r="H7">
        <f>IF(설정!$C$10="","",IFERROR(INDEX('1.산군_붙여넣기'!$A$1:$AZ$1001,ROW(),설정!$C$10)&amp;"",""))</f>
        <v/>
      </c>
      <c r="I7">
        <f>IF(설정!$C$11="","",IFERROR(INDEX('1.산군_붙여넣기'!$A$1:$AZ$1001,ROW(),설정!$C$11)&amp;"",""))</f>
        <v/>
      </c>
      <c r="J7">
        <f>IF(설정!$C$12="","",IFERROR(INDEX('1.산군_붙여넣기'!$A$1:$AZ$1001,ROW(),설정!$C$12)&amp;"",""))</f>
        <v/>
      </c>
      <c r="K7">
        <f>IF(설정!$C$13="","",IFERROR(INDEX('1.산군_붙여넣기'!$A$1:$AZ$1001,ROW(),설정!$C$13)&amp;"",""))</f>
        <v/>
      </c>
      <c r="L7" s="7">
        <f>IF(X7="","",IF(AND(LEN(X7)=8,ISNUMBER(X7*1)),DATE(LEFT(X7,4),MID(X7,5,2),RIGHT(X7,2)),IFERROR(DATEVALUE(SUBSTITUTE(SUBSTITUTE(X7,".","-"),"/","-")),IFERROR(X7*1,""))))</f>
        <v/>
      </c>
      <c r="M7" s="7">
        <f>IF(Y7="","",IF(AND(LEN(Y7)=8,ISNUMBER(Y7*1)),DATE(LEFT(Y7,4),MID(Y7,5,2),RIGHT(Y7,2)),IFERROR(DATEVALUE(SUBSTITUTE(SUBSTITUTE(Y7,".","-"),"/","-")),IFERROR(Y7*1,""))))</f>
        <v/>
      </c>
      <c r="N7">
        <f>IFERROR(LEFT(B7,FIND(" ",B7)-1),B7)</f>
        <v/>
      </c>
      <c r="O7">
        <f>AND(B7&lt;&gt;"",B7&lt;&gt;설정!$B$4,C7&lt;&gt;설정!$B$5)</f>
        <v/>
      </c>
      <c r="P7">
        <f>IF(O7,B7&amp;"|"&amp;C7,"")</f>
        <v/>
      </c>
      <c r="Q7">
        <f>AND(O7,COUNTIF(P8:P$1002,P7)=0)</f>
        <v/>
      </c>
      <c r="R7">
        <f>OR(AND(설정!$A$42&lt;&gt;"",ISNUMBER(SEARCH(설정!$A$42,E7&amp;" "&amp;C7))),AND(설정!$A$43&lt;&gt;"",ISNUMBER(SEARCH(설정!$A$43,E7&amp;" "&amp;C7))),AND(설정!$A$44&lt;&gt;"",ISNUMBER(SEARCH(설정!$A$44,E7&amp;" "&amp;C7))),AND(설정!$A$45&lt;&gt;"",ISNUMBER(SEARCH(설정!$A$45,E7&amp;" "&amp;C7))),AND(설정!$A$46&lt;&gt;"",ISNUMBER(SEARCH(설정!$A$46,E7&amp;" "&amp;C7))),AND(설정!$A$47&lt;&gt;"",ISNUMBER(SEARCH(설정!$A$47,E7&amp;" "&amp;C7))),AND(설정!$A$48&lt;&gt;"",ISNUMBER(SEARCH(설정!$A$48,E7&amp;" "&amp;C7))),AND(설정!$A$49&lt;&gt;"",ISNUMBER(SEARCH(설정!$A$49,E7&amp;" "&amp;C7))),AND(설정!$A$50&lt;&gt;"",ISNUMBER(SEARCH(설정!$A$50,E7&amp;" "&amp;C7))),AND(설정!$A$51&lt;&gt;"",ISNUMBER(SEARCH(설정!$A$51,E7&amp;" "&amp;C7))))</f>
        <v/>
      </c>
      <c r="S7">
        <f>OR(D7="",D7&gt;=설정!$B$19)</f>
        <v/>
      </c>
      <c r="T7">
        <f>AND(Q7,R7,S7)</f>
        <v/>
      </c>
      <c r="U7">
        <f>IF(T7,IF(AND(설정!$A$54&lt;&gt;"",ISNUMBER(SEARCH(설정!$A$54,K7))),설정!$B$54,IF(AND(설정!$A$55&lt;&gt;"",ISNUMBER(SEARCH(설정!$A$55,K7))),설정!$B$55,IF(AND(설정!$A$56&lt;&gt;"",ISNUMBER(SEARCH(설정!$A$56,K7))),설정!$B$56,IF(AND(설정!$A$57&lt;&gt;"",ISNUMBER(SEARCH(설정!$A$57,K7))),설정!$B$57,IF(AND(설정!$A$58&lt;&gt;"",ISNUMBER(SEARCH(설정!$A$58,K7))),설정!$B$58,IF(AND(설정!$A$59&lt;&gt;"",ISNUMBER(SEARCH(설정!$A$59,K7))),설정!$B$59,IF(AND(설정!$A$60&lt;&gt;"",ISNUMBER(SEARCH(설정!$A$60,K7))),설정!$B$60,IF(AND(설정!$A$61&lt;&gt;"",ISNUMBER(SEARCH(설정!$A$61,K7))),설정!$B$61,IF(M7="","설계사","시공사"))))))))),"")</f>
        <v/>
      </c>
      <c r="V7">
        <f>SUBSTITUTE(SUBSTITUTE(SUBSTITUTE(SUBSTITUTE(G7,"(주)",""),"㈜",""),"주식회사","")," ","")</f>
        <v/>
      </c>
      <c r="W7">
        <f>IF(AND(T7,V7&lt;&gt;""),IF(COUNTIFS(V$2:V7,V7,T$2:T7,TRUE)=1,MAX(W$1:W6)+1,""),"")</f>
        <v/>
      </c>
      <c r="X7">
        <f>IF(설정!$C$14="","",IFERROR(INDEX('1.산군_붙여넣기'!$A$1:$AZ$1001,ROW(),설정!$C$14)&amp;"",""))</f>
        <v/>
      </c>
      <c r="Y7">
        <f>IF(설정!$C$15="","",IFERROR(INDEX('1.산군_붙여넣기'!$A$1:$AZ$1001,ROW(),설정!$C$15)&amp;"",""))</f>
        <v/>
      </c>
      <c r="Z7">
        <f>IF(T7,V7&amp;"|"&amp;U7,"")</f>
        <v/>
      </c>
      <c r="AA7">
        <f>IF(NOT(Q7),"",IF(NOT(AND(R7,S7)),"✕",IF(OR(OR(AND(L7&lt;&gt;"",M7&lt;&gt;"",N(M7)-N(L7)&gt;설정!$B$27),AND(L7&lt;&gt;"",M7="",설정!$B$24-N(L7)&gt;설정!$B$27)),AND(D7&lt;&gt;"",D7&lt;설정!$B$26)),"△","★")))</f>
        <v/>
      </c>
      <c r="AB7">
        <f>IF(NOT(T7),"",IF(U7="설계사",설정!$B$31,IF(U7="시공사",IF(OR(M7="",설정!$B$24-N(M7)&lt;=설정!$B$28*30.4),설정!$B$32,설정!$B$33),설정!$B$34))+IF(AA7="★",설정!$B$35,0))</f>
        <v/>
      </c>
      <c r="AC7">
        <f>SUBSTITUTE(SUBSTITUTE(SUBSTITUTE(SUBSTITUTE(H7,"(주)",""),"㈜",""),"주식회사","")," ","")</f>
        <v/>
      </c>
      <c r="AD7">
        <f>IF(AND(T7,AC7&lt;&gt;""),IF(COUNTIFS(AC$2:AC7,AC7,T$2:T7,TRUE)=1,MAX(AD$1:AD6)+1,""),"")</f>
        <v/>
      </c>
    </row>
    <row r="8">
      <c r="A8">
        <f>ROW()</f>
        <v/>
      </c>
      <c r="B8">
        <f>IF(설정!$C$4="","",IFERROR(INDEX('1.산군_붙여넣기'!$A$1:$AZ$1001,ROW(),설정!$C$4)&amp;"",""))</f>
        <v/>
      </c>
      <c r="C8">
        <f>IF(설정!$C$5="","",IFERROR(INDEX('1.산군_붙여넣기'!$A$1:$AZ$1001,ROW(),설정!$C$5)&amp;"",""))</f>
        <v/>
      </c>
      <c r="D8" s="5">
        <f>IFERROR(VALUE(SUBSTITUTE(SUBSTITUTE(SUBSTITUTE(IF(설정!$C$6="","",IFERROR(INDEX('1.산군_붙여넣기'!$A$1:$AZ$1001,ROW(),설정!$C$6)&amp;"","")),",",""),"㎡",""),"m2","")),"")</f>
        <v/>
      </c>
      <c r="E8">
        <f>IF(설정!$C$7="","",IFERROR(INDEX('1.산군_붙여넣기'!$A$1:$AZ$1001,ROW(),설정!$C$7)&amp;"",""))</f>
        <v/>
      </c>
      <c r="F8">
        <f>IF(설정!$C$8="","",IFERROR(INDEX('1.산군_붙여넣기'!$A$1:$AZ$1001,ROW(),설정!$C$8)&amp;"",""))</f>
        <v/>
      </c>
      <c r="G8">
        <f>IF(설정!$C$9="","",IFERROR(INDEX('1.산군_붙여넣기'!$A$1:$AZ$1001,ROW(),설정!$C$9)&amp;"",""))</f>
        <v/>
      </c>
      <c r="H8">
        <f>IF(설정!$C$10="","",IFERROR(INDEX('1.산군_붙여넣기'!$A$1:$AZ$1001,ROW(),설정!$C$10)&amp;"",""))</f>
        <v/>
      </c>
      <c r="I8">
        <f>IF(설정!$C$11="","",IFERROR(INDEX('1.산군_붙여넣기'!$A$1:$AZ$1001,ROW(),설정!$C$11)&amp;"",""))</f>
        <v/>
      </c>
      <c r="J8">
        <f>IF(설정!$C$12="","",IFERROR(INDEX('1.산군_붙여넣기'!$A$1:$AZ$1001,ROW(),설정!$C$12)&amp;"",""))</f>
        <v/>
      </c>
      <c r="K8">
        <f>IF(설정!$C$13="","",IFERROR(INDEX('1.산군_붙여넣기'!$A$1:$AZ$1001,ROW(),설정!$C$13)&amp;"",""))</f>
        <v/>
      </c>
      <c r="L8" s="7">
        <f>IF(X8="","",IF(AND(LEN(X8)=8,ISNUMBER(X8*1)),DATE(LEFT(X8,4),MID(X8,5,2),RIGHT(X8,2)),IFERROR(DATEVALUE(SUBSTITUTE(SUBSTITUTE(X8,".","-"),"/","-")),IFERROR(X8*1,""))))</f>
        <v/>
      </c>
      <c r="M8" s="7">
        <f>IF(Y8="","",IF(AND(LEN(Y8)=8,ISNUMBER(Y8*1)),DATE(LEFT(Y8,4),MID(Y8,5,2),RIGHT(Y8,2)),IFERROR(DATEVALUE(SUBSTITUTE(SUBSTITUTE(Y8,".","-"),"/","-")),IFERROR(Y8*1,""))))</f>
        <v/>
      </c>
      <c r="N8">
        <f>IFERROR(LEFT(B8,FIND(" ",B8)-1),B8)</f>
        <v/>
      </c>
      <c r="O8">
        <f>AND(B8&lt;&gt;"",B8&lt;&gt;설정!$B$4,C8&lt;&gt;설정!$B$5)</f>
        <v/>
      </c>
      <c r="P8">
        <f>IF(O8,B8&amp;"|"&amp;C8,"")</f>
        <v/>
      </c>
      <c r="Q8">
        <f>AND(O8,COUNTIF(P9:P$1002,P8)=0)</f>
        <v/>
      </c>
      <c r="R8">
        <f>OR(AND(설정!$A$42&lt;&gt;"",ISNUMBER(SEARCH(설정!$A$42,E8&amp;" "&amp;C8))),AND(설정!$A$43&lt;&gt;"",ISNUMBER(SEARCH(설정!$A$43,E8&amp;" "&amp;C8))),AND(설정!$A$44&lt;&gt;"",ISNUMBER(SEARCH(설정!$A$44,E8&amp;" "&amp;C8))),AND(설정!$A$45&lt;&gt;"",ISNUMBER(SEARCH(설정!$A$45,E8&amp;" "&amp;C8))),AND(설정!$A$46&lt;&gt;"",ISNUMBER(SEARCH(설정!$A$46,E8&amp;" "&amp;C8))),AND(설정!$A$47&lt;&gt;"",ISNUMBER(SEARCH(설정!$A$47,E8&amp;" "&amp;C8))),AND(설정!$A$48&lt;&gt;"",ISNUMBER(SEARCH(설정!$A$48,E8&amp;" "&amp;C8))),AND(설정!$A$49&lt;&gt;"",ISNUMBER(SEARCH(설정!$A$49,E8&amp;" "&amp;C8))),AND(설정!$A$50&lt;&gt;"",ISNUMBER(SEARCH(설정!$A$50,E8&amp;" "&amp;C8))),AND(설정!$A$51&lt;&gt;"",ISNUMBER(SEARCH(설정!$A$51,E8&amp;" "&amp;C8))))</f>
        <v/>
      </c>
      <c r="S8">
        <f>OR(D8="",D8&gt;=설정!$B$19)</f>
        <v/>
      </c>
      <c r="T8">
        <f>AND(Q8,R8,S8)</f>
        <v/>
      </c>
      <c r="U8">
        <f>IF(T8,IF(AND(설정!$A$54&lt;&gt;"",ISNUMBER(SEARCH(설정!$A$54,K8))),설정!$B$54,IF(AND(설정!$A$55&lt;&gt;"",ISNUMBER(SEARCH(설정!$A$55,K8))),설정!$B$55,IF(AND(설정!$A$56&lt;&gt;"",ISNUMBER(SEARCH(설정!$A$56,K8))),설정!$B$56,IF(AND(설정!$A$57&lt;&gt;"",ISNUMBER(SEARCH(설정!$A$57,K8))),설정!$B$57,IF(AND(설정!$A$58&lt;&gt;"",ISNUMBER(SEARCH(설정!$A$58,K8))),설정!$B$58,IF(AND(설정!$A$59&lt;&gt;"",ISNUMBER(SEARCH(설정!$A$59,K8))),설정!$B$59,IF(AND(설정!$A$60&lt;&gt;"",ISNUMBER(SEARCH(설정!$A$60,K8))),설정!$B$60,IF(AND(설정!$A$61&lt;&gt;"",ISNUMBER(SEARCH(설정!$A$61,K8))),설정!$B$61,IF(M8="","설계사","시공사"))))))))),"")</f>
        <v/>
      </c>
      <c r="V8">
        <f>SUBSTITUTE(SUBSTITUTE(SUBSTITUTE(SUBSTITUTE(G8,"(주)",""),"㈜",""),"주식회사","")," ","")</f>
        <v/>
      </c>
      <c r="W8">
        <f>IF(AND(T8,V8&lt;&gt;""),IF(COUNTIFS(V$2:V8,V8,T$2:T8,TRUE)=1,MAX(W$1:W7)+1,""),"")</f>
        <v/>
      </c>
      <c r="X8">
        <f>IF(설정!$C$14="","",IFERROR(INDEX('1.산군_붙여넣기'!$A$1:$AZ$1001,ROW(),설정!$C$14)&amp;"",""))</f>
        <v/>
      </c>
      <c r="Y8">
        <f>IF(설정!$C$15="","",IFERROR(INDEX('1.산군_붙여넣기'!$A$1:$AZ$1001,ROW(),설정!$C$15)&amp;"",""))</f>
        <v/>
      </c>
      <c r="Z8">
        <f>IF(T8,V8&amp;"|"&amp;U8,"")</f>
        <v/>
      </c>
      <c r="AA8">
        <f>IF(NOT(Q8),"",IF(NOT(AND(R8,S8)),"✕",IF(OR(OR(AND(L8&lt;&gt;"",M8&lt;&gt;"",N(M8)-N(L8)&gt;설정!$B$27),AND(L8&lt;&gt;"",M8="",설정!$B$24-N(L8)&gt;설정!$B$27)),AND(D8&lt;&gt;"",D8&lt;설정!$B$26)),"△","★")))</f>
        <v/>
      </c>
      <c r="AB8">
        <f>IF(NOT(T8),"",IF(U8="설계사",설정!$B$31,IF(U8="시공사",IF(OR(M8="",설정!$B$24-N(M8)&lt;=설정!$B$28*30.4),설정!$B$32,설정!$B$33),설정!$B$34))+IF(AA8="★",설정!$B$35,0))</f>
        <v/>
      </c>
      <c r="AC8">
        <f>SUBSTITUTE(SUBSTITUTE(SUBSTITUTE(SUBSTITUTE(H8,"(주)",""),"㈜",""),"주식회사","")," ","")</f>
        <v/>
      </c>
      <c r="AD8">
        <f>IF(AND(T8,AC8&lt;&gt;""),IF(COUNTIFS(AC$2:AC8,AC8,T$2:T8,TRUE)=1,MAX(AD$1:AD7)+1,""),"")</f>
        <v/>
      </c>
    </row>
    <row r="9">
      <c r="A9">
        <f>ROW()</f>
        <v/>
      </c>
      <c r="B9">
        <f>IF(설정!$C$4="","",IFERROR(INDEX('1.산군_붙여넣기'!$A$1:$AZ$1001,ROW(),설정!$C$4)&amp;"",""))</f>
        <v/>
      </c>
      <c r="C9">
        <f>IF(설정!$C$5="","",IFERROR(INDEX('1.산군_붙여넣기'!$A$1:$AZ$1001,ROW(),설정!$C$5)&amp;"",""))</f>
        <v/>
      </c>
      <c r="D9" s="5">
        <f>IFERROR(VALUE(SUBSTITUTE(SUBSTITUTE(SUBSTITUTE(IF(설정!$C$6="","",IFERROR(INDEX('1.산군_붙여넣기'!$A$1:$AZ$1001,ROW(),설정!$C$6)&amp;"","")),",",""),"㎡",""),"m2","")),"")</f>
        <v/>
      </c>
      <c r="E9">
        <f>IF(설정!$C$7="","",IFERROR(INDEX('1.산군_붙여넣기'!$A$1:$AZ$1001,ROW(),설정!$C$7)&amp;"",""))</f>
        <v/>
      </c>
      <c r="F9">
        <f>IF(설정!$C$8="","",IFERROR(INDEX('1.산군_붙여넣기'!$A$1:$AZ$1001,ROW(),설정!$C$8)&amp;"",""))</f>
        <v/>
      </c>
      <c r="G9">
        <f>IF(설정!$C$9="","",IFERROR(INDEX('1.산군_붙여넣기'!$A$1:$AZ$1001,ROW(),설정!$C$9)&amp;"",""))</f>
        <v/>
      </c>
      <c r="H9">
        <f>IF(설정!$C$10="","",IFERROR(INDEX('1.산군_붙여넣기'!$A$1:$AZ$1001,ROW(),설정!$C$10)&amp;"",""))</f>
        <v/>
      </c>
      <c r="I9">
        <f>IF(설정!$C$11="","",IFERROR(INDEX('1.산군_붙여넣기'!$A$1:$AZ$1001,ROW(),설정!$C$11)&amp;"",""))</f>
        <v/>
      </c>
      <c r="J9">
        <f>IF(설정!$C$12="","",IFERROR(INDEX('1.산군_붙여넣기'!$A$1:$AZ$1001,ROW(),설정!$C$12)&amp;"",""))</f>
        <v/>
      </c>
      <c r="K9">
        <f>IF(설정!$C$13="","",IFERROR(INDEX('1.산군_붙여넣기'!$A$1:$AZ$1001,ROW(),설정!$C$13)&amp;"",""))</f>
        <v/>
      </c>
      <c r="L9" s="7">
        <f>IF(X9="","",IF(AND(LEN(X9)=8,ISNUMBER(X9*1)),DATE(LEFT(X9,4),MID(X9,5,2),RIGHT(X9,2)),IFERROR(DATEVALUE(SUBSTITUTE(SUBSTITUTE(X9,".","-"),"/","-")),IFERROR(X9*1,""))))</f>
        <v/>
      </c>
      <c r="M9" s="7">
        <f>IF(Y9="","",IF(AND(LEN(Y9)=8,ISNUMBER(Y9*1)),DATE(LEFT(Y9,4),MID(Y9,5,2),RIGHT(Y9,2)),IFERROR(DATEVALUE(SUBSTITUTE(SUBSTITUTE(Y9,".","-"),"/","-")),IFERROR(Y9*1,""))))</f>
        <v/>
      </c>
      <c r="N9">
        <f>IFERROR(LEFT(B9,FIND(" ",B9)-1),B9)</f>
        <v/>
      </c>
      <c r="O9">
        <f>AND(B9&lt;&gt;"",B9&lt;&gt;설정!$B$4,C9&lt;&gt;설정!$B$5)</f>
        <v/>
      </c>
      <c r="P9">
        <f>IF(O9,B9&amp;"|"&amp;C9,"")</f>
        <v/>
      </c>
      <c r="Q9">
        <f>AND(O9,COUNTIF(P10:P$1002,P9)=0)</f>
        <v/>
      </c>
      <c r="R9">
        <f>OR(AND(설정!$A$42&lt;&gt;"",ISNUMBER(SEARCH(설정!$A$42,E9&amp;" "&amp;C9))),AND(설정!$A$43&lt;&gt;"",ISNUMBER(SEARCH(설정!$A$43,E9&amp;" "&amp;C9))),AND(설정!$A$44&lt;&gt;"",ISNUMBER(SEARCH(설정!$A$44,E9&amp;" "&amp;C9))),AND(설정!$A$45&lt;&gt;"",ISNUMBER(SEARCH(설정!$A$45,E9&amp;" "&amp;C9))),AND(설정!$A$46&lt;&gt;"",ISNUMBER(SEARCH(설정!$A$46,E9&amp;" "&amp;C9))),AND(설정!$A$47&lt;&gt;"",ISNUMBER(SEARCH(설정!$A$47,E9&amp;" "&amp;C9))),AND(설정!$A$48&lt;&gt;"",ISNUMBER(SEARCH(설정!$A$48,E9&amp;" "&amp;C9))),AND(설정!$A$49&lt;&gt;"",ISNUMBER(SEARCH(설정!$A$49,E9&amp;" "&amp;C9))),AND(설정!$A$50&lt;&gt;"",ISNUMBER(SEARCH(설정!$A$50,E9&amp;" "&amp;C9))),AND(설정!$A$51&lt;&gt;"",ISNUMBER(SEARCH(설정!$A$51,E9&amp;" "&amp;C9))))</f>
        <v/>
      </c>
      <c r="S9">
        <f>OR(D9="",D9&gt;=설정!$B$19)</f>
        <v/>
      </c>
      <c r="T9">
        <f>AND(Q9,R9,S9)</f>
        <v/>
      </c>
      <c r="U9">
        <f>IF(T9,IF(AND(설정!$A$54&lt;&gt;"",ISNUMBER(SEARCH(설정!$A$54,K9))),설정!$B$54,IF(AND(설정!$A$55&lt;&gt;"",ISNUMBER(SEARCH(설정!$A$55,K9))),설정!$B$55,IF(AND(설정!$A$56&lt;&gt;"",ISNUMBER(SEARCH(설정!$A$56,K9))),설정!$B$56,IF(AND(설정!$A$57&lt;&gt;"",ISNUMBER(SEARCH(설정!$A$57,K9))),설정!$B$57,IF(AND(설정!$A$58&lt;&gt;"",ISNUMBER(SEARCH(설정!$A$58,K9))),설정!$B$58,IF(AND(설정!$A$59&lt;&gt;"",ISNUMBER(SEARCH(설정!$A$59,K9))),설정!$B$59,IF(AND(설정!$A$60&lt;&gt;"",ISNUMBER(SEARCH(설정!$A$60,K9))),설정!$B$60,IF(AND(설정!$A$61&lt;&gt;"",ISNUMBER(SEARCH(설정!$A$61,K9))),설정!$B$61,IF(M9="","설계사","시공사"))))))))),"")</f>
        <v/>
      </c>
      <c r="V9">
        <f>SUBSTITUTE(SUBSTITUTE(SUBSTITUTE(SUBSTITUTE(G9,"(주)",""),"㈜",""),"주식회사","")," ","")</f>
        <v/>
      </c>
      <c r="W9">
        <f>IF(AND(T9,V9&lt;&gt;""),IF(COUNTIFS(V$2:V9,V9,T$2:T9,TRUE)=1,MAX(W$1:W8)+1,""),"")</f>
        <v/>
      </c>
      <c r="X9">
        <f>IF(설정!$C$14="","",IFERROR(INDEX('1.산군_붙여넣기'!$A$1:$AZ$1001,ROW(),설정!$C$14)&amp;"",""))</f>
        <v/>
      </c>
      <c r="Y9">
        <f>IF(설정!$C$15="","",IFERROR(INDEX('1.산군_붙여넣기'!$A$1:$AZ$1001,ROW(),설정!$C$15)&amp;"",""))</f>
        <v/>
      </c>
      <c r="Z9">
        <f>IF(T9,V9&amp;"|"&amp;U9,"")</f>
        <v/>
      </c>
      <c r="AA9">
        <f>IF(NOT(Q9),"",IF(NOT(AND(R9,S9)),"✕",IF(OR(OR(AND(L9&lt;&gt;"",M9&lt;&gt;"",N(M9)-N(L9)&gt;설정!$B$27),AND(L9&lt;&gt;"",M9="",설정!$B$24-N(L9)&gt;설정!$B$27)),AND(D9&lt;&gt;"",D9&lt;설정!$B$26)),"△","★")))</f>
        <v/>
      </c>
      <c r="AB9">
        <f>IF(NOT(T9),"",IF(U9="설계사",설정!$B$31,IF(U9="시공사",IF(OR(M9="",설정!$B$24-N(M9)&lt;=설정!$B$28*30.4),설정!$B$32,설정!$B$33),설정!$B$34))+IF(AA9="★",설정!$B$35,0))</f>
        <v/>
      </c>
      <c r="AC9">
        <f>SUBSTITUTE(SUBSTITUTE(SUBSTITUTE(SUBSTITUTE(H9,"(주)",""),"㈜",""),"주식회사","")," ","")</f>
        <v/>
      </c>
      <c r="AD9">
        <f>IF(AND(T9,AC9&lt;&gt;""),IF(COUNTIFS(AC$2:AC9,AC9,T$2:T9,TRUE)=1,MAX(AD$1:AD8)+1,""),"")</f>
        <v/>
      </c>
    </row>
    <row r="10">
      <c r="A10">
        <f>ROW()</f>
        <v/>
      </c>
      <c r="B10">
        <f>IF(설정!$C$4="","",IFERROR(INDEX('1.산군_붙여넣기'!$A$1:$AZ$1001,ROW(),설정!$C$4)&amp;"",""))</f>
        <v/>
      </c>
      <c r="C10">
        <f>IF(설정!$C$5="","",IFERROR(INDEX('1.산군_붙여넣기'!$A$1:$AZ$1001,ROW(),설정!$C$5)&amp;"",""))</f>
        <v/>
      </c>
      <c r="D10" s="5">
        <f>IFERROR(VALUE(SUBSTITUTE(SUBSTITUTE(SUBSTITUTE(IF(설정!$C$6="","",IFERROR(INDEX('1.산군_붙여넣기'!$A$1:$AZ$1001,ROW(),설정!$C$6)&amp;"","")),",",""),"㎡",""),"m2","")),"")</f>
        <v/>
      </c>
      <c r="E10">
        <f>IF(설정!$C$7="","",IFERROR(INDEX('1.산군_붙여넣기'!$A$1:$AZ$1001,ROW(),설정!$C$7)&amp;"",""))</f>
        <v/>
      </c>
      <c r="F10">
        <f>IF(설정!$C$8="","",IFERROR(INDEX('1.산군_붙여넣기'!$A$1:$AZ$1001,ROW(),설정!$C$8)&amp;"",""))</f>
        <v/>
      </c>
      <c r="G10">
        <f>IF(설정!$C$9="","",IFERROR(INDEX('1.산군_붙여넣기'!$A$1:$AZ$1001,ROW(),설정!$C$9)&amp;"",""))</f>
        <v/>
      </c>
      <c r="H10">
        <f>IF(설정!$C$10="","",IFERROR(INDEX('1.산군_붙여넣기'!$A$1:$AZ$1001,ROW(),설정!$C$10)&amp;"",""))</f>
        <v/>
      </c>
      <c r="I10">
        <f>IF(설정!$C$11="","",IFERROR(INDEX('1.산군_붙여넣기'!$A$1:$AZ$1001,ROW(),설정!$C$11)&amp;"",""))</f>
        <v/>
      </c>
      <c r="J10">
        <f>IF(설정!$C$12="","",IFERROR(INDEX('1.산군_붙여넣기'!$A$1:$AZ$1001,ROW(),설정!$C$12)&amp;"",""))</f>
        <v/>
      </c>
      <c r="K10">
        <f>IF(설정!$C$13="","",IFERROR(INDEX('1.산군_붙여넣기'!$A$1:$AZ$1001,ROW(),설정!$C$13)&amp;"",""))</f>
        <v/>
      </c>
      <c r="L10" s="7">
        <f>IF(X10="","",IF(AND(LEN(X10)=8,ISNUMBER(X10*1)),DATE(LEFT(X10,4),MID(X10,5,2),RIGHT(X10,2)),IFERROR(DATEVALUE(SUBSTITUTE(SUBSTITUTE(X10,".","-"),"/","-")),IFERROR(X10*1,""))))</f>
        <v/>
      </c>
      <c r="M10" s="7">
        <f>IF(Y10="","",IF(AND(LEN(Y10)=8,ISNUMBER(Y10*1)),DATE(LEFT(Y10,4),MID(Y10,5,2),RIGHT(Y10,2)),IFERROR(DATEVALUE(SUBSTITUTE(SUBSTITUTE(Y10,".","-"),"/","-")),IFERROR(Y10*1,""))))</f>
        <v/>
      </c>
      <c r="N10">
        <f>IFERROR(LEFT(B10,FIND(" ",B10)-1),B10)</f>
        <v/>
      </c>
      <c r="O10">
        <f>AND(B10&lt;&gt;"",B10&lt;&gt;설정!$B$4,C10&lt;&gt;설정!$B$5)</f>
        <v/>
      </c>
      <c r="P10">
        <f>IF(O10,B10&amp;"|"&amp;C10,"")</f>
        <v/>
      </c>
      <c r="Q10">
        <f>AND(O10,COUNTIF(P11:P$1002,P10)=0)</f>
        <v/>
      </c>
      <c r="R10">
        <f>OR(AND(설정!$A$42&lt;&gt;"",ISNUMBER(SEARCH(설정!$A$42,E10&amp;" "&amp;C10))),AND(설정!$A$43&lt;&gt;"",ISNUMBER(SEARCH(설정!$A$43,E10&amp;" "&amp;C10))),AND(설정!$A$44&lt;&gt;"",ISNUMBER(SEARCH(설정!$A$44,E10&amp;" "&amp;C10))),AND(설정!$A$45&lt;&gt;"",ISNUMBER(SEARCH(설정!$A$45,E10&amp;" "&amp;C10))),AND(설정!$A$46&lt;&gt;"",ISNUMBER(SEARCH(설정!$A$46,E10&amp;" "&amp;C10))),AND(설정!$A$47&lt;&gt;"",ISNUMBER(SEARCH(설정!$A$47,E10&amp;" "&amp;C10))),AND(설정!$A$48&lt;&gt;"",ISNUMBER(SEARCH(설정!$A$48,E10&amp;" "&amp;C10))),AND(설정!$A$49&lt;&gt;"",ISNUMBER(SEARCH(설정!$A$49,E10&amp;" "&amp;C10))),AND(설정!$A$50&lt;&gt;"",ISNUMBER(SEARCH(설정!$A$50,E10&amp;" "&amp;C10))),AND(설정!$A$51&lt;&gt;"",ISNUMBER(SEARCH(설정!$A$51,E10&amp;" "&amp;C10))))</f>
        <v/>
      </c>
      <c r="S10">
        <f>OR(D10="",D10&gt;=설정!$B$19)</f>
        <v/>
      </c>
      <c r="T10">
        <f>AND(Q10,R10,S10)</f>
        <v/>
      </c>
      <c r="U10">
        <f>IF(T10,IF(AND(설정!$A$54&lt;&gt;"",ISNUMBER(SEARCH(설정!$A$54,K10))),설정!$B$54,IF(AND(설정!$A$55&lt;&gt;"",ISNUMBER(SEARCH(설정!$A$55,K10))),설정!$B$55,IF(AND(설정!$A$56&lt;&gt;"",ISNUMBER(SEARCH(설정!$A$56,K10))),설정!$B$56,IF(AND(설정!$A$57&lt;&gt;"",ISNUMBER(SEARCH(설정!$A$57,K10))),설정!$B$57,IF(AND(설정!$A$58&lt;&gt;"",ISNUMBER(SEARCH(설정!$A$58,K10))),설정!$B$58,IF(AND(설정!$A$59&lt;&gt;"",ISNUMBER(SEARCH(설정!$A$59,K10))),설정!$B$59,IF(AND(설정!$A$60&lt;&gt;"",ISNUMBER(SEARCH(설정!$A$60,K10))),설정!$B$60,IF(AND(설정!$A$61&lt;&gt;"",ISNUMBER(SEARCH(설정!$A$61,K10))),설정!$B$61,IF(M10="","설계사","시공사"))))))))),"")</f>
        <v/>
      </c>
      <c r="V10">
        <f>SUBSTITUTE(SUBSTITUTE(SUBSTITUTE(SUBSTITUTE(G10,"(주)",""),"㈜",""),"주식회사","")," ","")</f>
        <v/>
      </c>
      <c r="W10">
        <f>IF(AND(T10,V10&lt;&gt;""),IF(COUNTIFS(V$2:V10,V10,T$2:T10,TRUE)=1,MAX(W$1:W9)+1,""),"")</f>
        <v/>
      </c>
      <c r="X10">
        <f>IF(설정!$C$14="","",IFERROR(INDEX('1.산군_붙여넣기'!$A$1:$AZ$1001,ROW(),설정!$C$14)&amp;"",""))</f>
        <v/>
      </c>
      <c r="Y10">
        <f>IF(설정!$C$15="","",IFERROR(INDEX('1.산군_붙여넣기'!$A$1:$AZ$1001,ROW(),설정!$C$15)&amp;"",""))</f>
        <v/>
      </c>
      <c r="Z10">
        <f>IF(T10,V10&amp;"|"&amp;U10,"")</f>
        <v/>
      </c>
      <c r="AA10">
        <f>IF(NOT(Q10),"",IF(NOT(AND(R10,S10)),"✕",IF(OR(OR(AND(L10&lt;&gt;"",M10&lt;&gt;"",N(M10)-N(L10)&gt;설정!$B$27),AND(L10&lt;&gt;"",M10="",설정!$B$24-N(L10)&gt;설정!$B$27)),AND(D10&lt;&gt;"",D10&lt;설정!$B$26)),"△","★")))</f>
        <v/>
      </c>
      <c r="AB10">
        <f>IF(NOT(T10),"",IF(U10="설계사",설정!$B$31,IF(U10="시공사",IF(OR(M10="",설정!$B$24-N(M10)&lt;=설정!$B$28*30.4),설정!$B$32,설정!$B$33),설정!$B$34))+IF(AA10="★",설정!$B$35,0))</f>
        <v/>
      </c>
      <c r="AC10">
        <f>SUBSTITUTE(SUBSTITUTE(SUBSTITUTE(SUBSTITUTE(H10,"(주)",""),"㈜",""),"주식회사","")," ","")</f>
        <v/>
      </c>
      <c r="AD10">
        <f>IF(AND(T10,AC10&lt;&gt;""),IF(COUNTIFS(AC$2:AC10,AC10,T$2:T10,TRUE)=1,MAX(AD$1:AD9)+1,""),"")</f>
        <v/>
      </c>
    </row>
    <row r="11">
      <c r="A11">
        <f>ROW()</f>
        <v/>
      </c>
      <c r="B11">
        <f>IF(설정!$C$4="","",IFERROR(INDEX('1.산군_붙여넣기'!$A$1:$AZ$1001,ROW(),설정!$C$4)&amp;"",""))</f>
        <v/>
      </c>
      <c r="C11">
        <f>IF(설정!$C$5="","",IFERROR(INDEX('1.산군_붙여넣기'!$A$1:$AZ$1001,ROW(),설정!$C$5)&amp;"",""))</f>
        <v/>
      </c>
      <c r="D11" s="5">
        <f>IFERROR(VALUE(SUBSTITUTE(SUBSTITUTE(SUBSTITUTE(IF(설정!$C$6="","",IFERROR(INDEX('1.산군_붙여넣기'!$A$1:$AZ$1001,ROW(),설정!$C$6)&amp;"","")),",",""),"㎡",""),"m2","")),"")</f>
        <v/>
      </c>
      <c r="E11">
        <f>IF(설정!$C$7="","",IFERROR(INDEX('1.산군_붙여넣기'!$A$1:$AZ$1001,ROW(),설정!$C$7)&amp;"",""))</f>
        <v/>
      </c>
      <c r="F11">
        <f>IF(설정!$C$8="","",IFERROR(INDEX('1.산군_붙여넣기'!$A$1:$AZ$1001,ROW(),설정!$C$8)&amp;"",""))</f>
        <v/>
      </c>
      <c r="G11">
        <f>IF(설정!$C$9="","",IFERROR(INDEX('1.산군_붙여넣기'!$A$1:$AZ$1001,ROW(),설정!$C$9)&amp;"",""))</f>
        <v/>
      </c>
      <c r="H11">
        <f>IF(설정!$C$10="","",IFERROR(INDEX('1.산군_붙여넣기'!$A$1:$AZ$1001,ROW(),설정!$C$10)&amp;"",""))</f>
        <v/>
      </c>
      <c r="I11">
        <f>IF(설정!$C$11="","",IFERROR(INDEX('1.산군_붙여넣기'!$A$1:$AZ$1001,ROW(),설정!$C$11)&amp;"",""))</f>
        <v/>
      </c>
      <c r="J11">
        <f>IF(설정!$C$12="","",IFERROR(INDEX('1.산군_붙여넣기'!$A$1:$AZ$1001,ROW(),설정!$C$12)&amp;"",""))</f>
        <v/>
      </c>
      <c r="K11">
        <f>IF(설정!$C$13="","",IFERROR(INDEX('1.산군_붙여넣기'!$A$1:$AZ$1001,ROW(),설정!$C$13)&amp;"",""))</f>
        <v/>
      </c>
      <c r="L11" s="7">
        <f>IF(X11="","",IF(AND(LEN(X11)=8,ISNUMBER(X11*1)),DATE(LEFT(X11,4),MID(X11,5,2),RIGHT(X11,2)),IFERROR(DATEVALUE(SUBSTITUTE(SUBSTITUTE(X11,".","-"),"/","-")),IFERROR(X11*1,""))))</f>
        <v/>
      </c>
      <c r="M11" s="7">
        <f>IF(Y11="","",IF(AND(LEN(Y11)=8,ISNUMBER(Y11*1)),DATE(LEFT(Y11,4),MID(Y11,5,2),RIGHT(Y11,2)),IFERROR(DATEVALUE(SUBSTITUTE(SUBSTITUTE(Y11,".","-"),"/","-")),IFERROR(Y11*1,""))))</f>
        <v/>
      </c>
      <c r="N11">
        <f>IFERROR(LEFT(B11,FIND(" ",B11)-1),B11)</f>
        <v/>
      </c>
      <c r="O11">
        <f>AND(B11&lt;&gt;"",B11&lt;&gt;설정!$B$4,C11&lt;&gt;설정!$B$5)</f>
        <v/>
      </c>
      <c r="P11">
        <f>IF(O11,B11&amp;"|"&amp;C11,"")</f>
        <v/>
      </c>
      <c r="Q11">
        <f>AND(O11,COUNTIF(P12:P$1002,P11)=0)</f>
        <v/>
      </c>
      <c r="R11">
        <f>OR(AND(설정!$A$42&lt;&gt;"",ISNUMBER(SEARCH(설정!$A$42,E11&amp;" "&amp;C11))),AND(설정!$A$43&lt;&gt;"",ISNUMBER(SEARCH(설정!$A$43,E11&amp;" "&amp;C11))),AND(설정!$A$44&lt;&gt;"",ISNUMBER(SEARCH(설정!$A$44,E11&amp;" "&amp;C11))),AND(설정!$A$45&lt;&gt;"",ISNUMBER(SEARCH(설정!$A$45,E11&amp;" "&amp;C11))),AND(설정!$A$46&lt;&gt;"",ISNUMBER(SEARCH(설정!$A$46,E11&amp;" "&amp;C11))),AND(설정!$A$47&lt;&gt;"",ISNUMBER(SEARCH(설정!$A$47,E11&amp;" "&amp;C11))),AND(설정!$A$48&lt;&gt;"",ISNUMBER(SEARCH(설정!$A$48,E11&amp;" "&amp;C11))),AND(설정!$A$49&lt;&gt;"",ISNUMBER(SEARCH(설정!$A$49,E11&amp;" "&amp;C11))),AND(설정!$A$50&lt;&gt;"",ISNUMBER(SEARCH(설정!$A$50,E11&amp;" "&amp;C11))),AND(설정!$A$51&lt;&gt;"",ISNUMBER(SEARCH(설정!$A$51,E11&amp;" "&amp;C11))))</f>
        <v/>
      </c>
      <c r="S11">
        <f>OR(D11="",D11&gt;=설정!$B$19)</f>
        <v/>
      </c>
      <c r="T11">
        <f>AND(Q11,R11,S11)</f>
        <v/>
      </c>
      <c r="U11">
        <f>IF(T11,IF(AND(설정!$A$54&lt;&gt;"",ISNUMBER(SEARCH(설정!$A$54,K11))),설정!$B$54,IF(AND(설정!$A$55&lt;&gt;"",ISNUMBER(SEARCH(설정!$A$55,K11))),설정!$B$55,IF(AND(설정!$A$56&lt;&gt;"",ISNUMBER(SEARCH(설정!$A$56,K11))),설정!$B$56,IF(AND(설정!$A$57&lt;&gt;"",ISNUMBER(SEARCH(설정!$A$57,K11))),설정!$B$57,IF(AND(설정!$A$58&lt;&gt;"",ISNUMBER(SEARCH(설정!$A$58,K11))),설정!$B$58,IF(AND(설정!$A$59&lt;&gt;"",ISNUMBER(SEARCH(설정!$A$59,K11))),설정!$B$59,IF(AND(설정!$A$60&lt;&gt;"",ISNUMBER(SEARCH(설정!$A$60,K11))),설정!$B$60,IF(AND(설정!$A$61&lt;&gt;"",ISNUMBER(SEARCH(설정!$A$61,K11))),설정!$B$61,IF(M11="","설계사","시공사"))))))))),"")</f>
        <v/>
      </c>
      <c r="V11">
        <f>SUBSTITUTE(SUBSTITUTE(SUBSTITUTE(SUBSTITUTE(G11,"(주)",""),"㈜",""),"주식회사","")," ","")</f>
        <v/>
      </c>
      <c r="W11">
        <f>IF(AND(T11,V11&lt;&gt;""),IF(COUNTIFS(V$2:V11,V11,T$2:T11,TRUE)=1,MAX(W$1:W10)+1,""),"")</f>
        <v/>
      </c>
      <c r="X11">
        <f>IF(설정!$C$14="","",IFERROR(INDEX('1.산군_붙여넣기'!$A$1:$AZ$1001,ROW(),설정!$C$14)&amp;"",""))</f>
        <v/>
      </c>
      <c r="Y11">
        <f>IF(설정!$C$15="","",IFERROR(INDEX('1.산군_붙여넣기'!$A$1:$AZ$1001,ROW(),설정!$C$15)&amp;"",""))</f>
        <v/>
      </c>
      <c r="Z11">
        <f>IF(T11,V11&amp;"|"&amp;U11,"")</f>
        <v/>
      </c>
      <c r="AA11">
        <f>IF(NOT(Q11),"",IF(NOT(AND(R11,S11)),"✕",IF(OR(OR(AND(L11&lt;&gt;"",M11&lt;&gt;"",N(M11)-N(L11)&gt;설정!$B$27),AND(L11&lt;&gt;"",M11="",설정!$B$24-N(L11)&gt;설정!$B$27)),AND(D11&lt;&gt;"",D11&lt;설정!$B$26)),"△","★")))</f>
        <v/>
      </c>
      <c r="AB11">
        <f>IF(NOT(T11),"",IF(U11="설계사",설정!$B$31,IF(U11="시공사",IF(OR(M11="",설정!$B$24-N(M11)&lt;=설정!$B$28*30.4),설정!$B$32,설정!$B$33),설정!$B$34))+IF(AA11="★",설정!$B$35,0))</f>
        <v/>
      </c>
      <c r="AC11">
        <f>SUBSTITUTE(SUBSTITUTE(SUBSTITUTE(SUBSTITUTE(H11,"(주)",""),"㈜",""),"주식회사","")," ","")</f>
        <v/>
      </c>
      <c r="AD11">
        <f>IF(AND(T11,AC11&lt;&gt;""),IF(COUNTIFS(AC$2:AC11,AC11,T$2:T11,TRUE)=1,MAX(AD$1:AD10)+1,""),"")</f>
        <v/>
      </c>
    </row>
    <row r="12">
      <c r="A12">
        <f>ROW()</f>
        <v/>
      </c>
      <c r="B12">
        <f>IF(설정!$C$4="","",IFERROR(INDEX('1.산군_붙여넣기'!$A$1:$AZ$1001,ROW(),설정!$C$4)&amp;"",""))</f>
        <v/>
      </c>
      <c r="C12">
        <f>IF(설정!$C$5="","",IFERROR(INDEX('1.산군_붙여넣기'!$A$1:$AZ$1001,ROW(),설정!$C$5)&amp;"",""))</f>
        <v/>
      </c>
      <c r="D12" s="5">
        <f>IFERROR(VALUE(SUBSTITUTE(SUBSTITUTE(SUBSTITUTE(IF(설정!$C$6="","",IFERROR(INDEX('1.산군_붙여넣기'!$A$1:$AZ$1001,ROW(),설정!$C$6)&amp;"","")),",",""),"㎡",""),"m2","")),"")</f>
        <v/>
      </c>
      <c r="E12">
        <f>IF(설정!$C$7="","",IFERROR(INDEX('1.산군_붙여넣기'!$A$1:$AZ$1001,ROW(),설정!$C$7)&amp;"",""))</f>
        <v/>
      </c>
      <c r="F12">
        <f>IF(설정!$C$8="","",IFERROR(INDEX('1.산군_붙여넣기'!$A$1:$AZ$1001,ROW(),설정!$C$8)&amp;"",""))</f>
        <v/>
      </c>
      <c r="G12">
        <f>IF(설정!$C$9="","",IFERROR(INDEX('1.산군_붙여넣기'!$A$1:$AZ$1001,ROW(),설정!$C$9)&amp;"",""))</f>
        <v/>
      </c>
      <c r="H12">
        <f>IF(설정!$C$10="","",IFERROR(INDEX('1.산군_붙여넣기'!$A$1:$AZ$1001,ROW(),설정!$C$10)&amp;"",""))</f>
        <v/>
      </c>
      <c r="I12">
        <f>IF(설정!$C$11="","",IFERROR(INDEX('1.산군_붙여넣기'!$A$1:$AZ$1001,ROW(),설정!$C$11)&amp;"",""))</f>
        <v/>
      </c>
      <c r="J12">
        <f>IF(설정!$C$12="","",IFERROR(INDEX('1.산군_붙여넣기'!$A$1:$AZ$1001,ROW(),설정!$C$12)&amp;"",""))</f>
        <v/>
      </c>
      <c r="K12">
        <f>IF(설정!$C$13="","",IFERROR(INDEX('1.산군_붙여넣기'!$A$1:$AZ$1001,ROW(),설정!$C$13)&amp;"",""))</f>
        <v/>
      </c>
      <c r="L12" s="7">
        <f>IF(X12="","",IF(AND(LEN(X12)=8,ISNUMBER(X12*1)),DATE(LEFT(X12,4),MID(X12,5,2),RIGHT(X12,2)),IFERROR(DATEVALUE(SUBSTITUTE(SUBSTITUTE(X12,".","-"),"/","-")),IFERROR(X12*1,""))))</f>
        <v/>
      </c>
      <c r="M12" s="7">
        <f>IF(Y12="","",IF(AND(LEN(Y12)=8,ISNUMBER(Y12*1)),DATE(LEFT(Y12,4),MID(Y12,5,2),RIGHT(Y12,2)),IFERROR(DATEVALUE(SUBSTITUTE(SUBSTITUTE(Y12,".","-"),"/","-")),IFERROR(Y12*1,""))))</f>
        <v/>
      </c>
      <c r="N12">
        <f>IFERROR(LEFT(B12,FIND(" ",B12)-1),B12)</f>
        <v/>
      </c>
      <c r="O12">
        <f>AND(B12&lt;&gt;"",B12&lt;&gt;설정!$B$4,C12&lt;&gt;설정!$B$5)</f>
        <v/>
      </c>
      <c r="P12">
        <f>IF(O12,B12&amp;"|"&amp;C12,"")</f>
        <v/>
      </c>
      <c r="Q12">
        <f>AND(O12,COUNTIF(P13:P$1002,P12)=0)</f>
        <v/>
      </c>
      <c r="R12">
        <f>OR(AND(설정!$A$42&lt;&gt;"",ISNUMBER(SEARCH(설정!$A$42,E12&amp;" "&amp;C12))),AND(설정!$A$43&lt;&gt;"",ISNUMBER(SEARCH(설정!$A$43,E12&amp;" "&amp;C12))),AND(설정!$A$44&lt;&gt;"",ISNUMBER(SEARCH(설정!$A$44,E12&amp;" "&amp;C12))),AND(설정!$A$45&lt;&gt;"",ISNUMBER(SEARCH(설정!$A$45,E12&amp;" "&amp;C12))),AND(설정!$A$46&lt;&gt;"",ISNUMBER(SEARCH(설정!$A$46,E12&amp;" "&amp;C12))),AND(설정!$A$47&lt;&gt;"",ISNUMBER(SEARCH(설정!$A$47,E12&amp;" "&amp;C12))),AND(설정!$A$48&lt;&gt;"",ISNUMBER(SEARCH(설정!$A$48,E12&amp;" "&amp;C12))),AND(설정!$A$49&lt;&gt;"",ISNUMBER(SEARCH(설정!$A$49,E12&amp;" "&amp;C12))),AND(설정!$A$50&lt;&gt;"",ISNUMBER(SEARCH(설정!$A$50,E12&amp;" "&amp;C12))),AND(설정!$A$51&lt;&gt;"",ISNUMBER(SEARCH(설정!$A$51,E12&amp;" "&amp;C12))))</f>
        <v/>
      </c>
      <c r="S12">
        <f>OR(D12="",D12&gt;=설정!$B$19)</f>
        <v/>
      </c>
      <c r="T12">
        <f>AND(Q12,R12,S12)</f>
        <v/>
      </c>
      <c r="U12">
        <f>IF(T12,IF(AND(설정!$A$54&lt;&gt;"",ISNUMBER(SEARCH(설정!$A$54,K12))),설정!$B$54,IF(AND(설정!$A$55&lt;&gt;"",ISNUMBER(SEARCH(설정!$A$55,K12))),설정!$B$55,IF(AND(설정!$A$56&lt;&gt;"",ISNUMBER(SEARCH(설정!$A$56,K12))),설정!$B$56,IF(AND(설정!$A$57&lt;&gt;"",ISNUMBER(SEARCH(설정!$A$57,K12))),설정!$B$57,IF(AND(설정!$A$58&lt;&gt;"",ISNUMBER(SEARCH(설정!$A$58,K12))),설정!$B$58,IF(AND(설정!$A$59&lt;&gt;"",ISNUMBER(SEARCH(설정!$A$59,K12))),설정!$B$59,IF(AND(설정!$A$60&lt;&gt;"",ISNUMBER(SEARCH(설정!$A$60,K12))),설정!$B$60,IF(AND(설정!$A$61&lt;&gt;"",ISNUMBER(SEARCH(설정!$A$61,K12))),설정!$B$61,IF(M12="","설계사","시공사"))))))))),"")</f>
        <v/>
      </c>
      <c r="V12">
        <f>SUBSTITUTE(SUBSTITUTE(SUBSTITUTE(SUBSTITUTE(G12,"(주)",""),"㈜",""),"주식회사","")," ","")</f>
        <v/>
      </c>
      <c r="W12">
        <f>IF(AND(T12,V12&lt;&gt;""),IF(COUNTIFS(V$2:V12,V12,T$2:T12,TRUE)=1,MAX(W$1:W11)+1,""),"")</f>
        <v/>
      </c>
      <c r="X12">
        <f>IF(설정!$C$14="","",IFERROR(INDEX('1.산군_붙여넣기'!$A$1:$AZ$1001,ROW(),설정!$C$14)&amp;"",""))</f>
        <v/>
      </c>
      <c r="Y12">
        <f>IF(설정!$C$15="","",IFERROR(INDEX('1.산군_붙여넣기'!$A$1:$AZ$1001,ROW(),설정!$C$15)&amp;"",""))</f>
        <v/>
      </c>
      <c r="Z12">
        <f>IF(T12,V12&amp;"|"&amp;U12,"")</f>
        <v/>
      </c>
      <c r="AA12">
        <f>IF(NOT(Q12),"",IF(NOT(AND(R12,S12)),"✕",IF(OR(OR(AND(L12&lt;&gt;"",M12&lt;&gt;"",N(M12)-N(L12)&gt;설정!$B$27),AND(L12&lt;&gt;"",M12="",설정!$B$24-N(L12)&gt;설정!$B$27)),AND(D12&lt;&gt;"",D12&lt;설정!$B$26)),"△","★")))</f>
        <v/>
      </c>
      <c r="AB12">
        <f>IF(NOT(T12),"",IF(U12="설계사",설정!$B$31,IF(U12="시공사",IF(OR(M12="",설정!$B$24-N(M12)&lt;=설정!$B$28*30.4),설정!$B$32,설정!$B$33),설정!$B$34))+IF(AA12="★",설정!$B$35,0))</f>
        <v/>
      </c>
      <c r="AC12">
        <f>SUBSTITUTE(SUBSTITUTE(SUBSTITUTE(SUBSTITUTE(H12,"(주)",""),"㈜",""),"주식회사","")," ","")</f>
        <v/>
      </c>
      <c r="AD12">
        <f>IF(AND(T12,AC12&lt;&gt;""),IF(COUNTIFS(AC$2:AC12,AC12,T$2:T12,TRUE)=1,MAX(AD$1:AD11)+1,""),"")</f>
        <v/>
      </c>
    </row>
    <row r="13">
      <c r="A13">
        <f>ROW()</f>
        <v/>
      </c>
      <c r="B13">
        <f>IF(설정!$C$4="","",IFERROR(INDEX('1.산군_붙여넣기'!$A$1:$AZ$1001,ROW(),설정!$C$4)&amp;"",""))</f>
        <v/>
      </c>
      <c r="C13">
        <f>IF(설정!$C$5="","",IFERROR(INDEX('1.산군_붙여넣기'!$A$1:$AZ$1001,ROW(),설정!$C$5)&amp;"",""))</f>
        <v/>
      </c>
      <c r="D13" s="5">
        <f>IFERROR(VALUE(SUBSTITUTE(SUBSTITUTE(SUBSTITUTE(IF(설정!$C$6="","",IFERROR(INDEX('1.산군_붙여넣기'!$A$1:$AZ$1001,ROW(),설정!$C$6)&amp;"","")),",",""),"㎡",""),"m2","")),"")</f>
        <v/>
      </c>
      <c r="E13">
        <f>IF(설정!$C$7="","",IFERROR(INDEX('1.산군_붙여넣기'!$A$1:$AZ$1001,ROW(),설정!$C$7)&amp;"",""))</f>
        <v/>
      </c>
      <c r="F13">
        <f>IF(설정!$C$8="","",IFERROR(INDEX('1.산군_붙여넣기'!$A$1:$AZ$1001,ROW(),설정!$C$8)&amp;"",""))</f>
        <v/>
      </c>
      <c r="G13">
        <f>IF(설정!$C$9="","",IFERROR(INDEX('1.산군_붙여넣기'!$A$1:$AZ$1001,ROW(),설정!$C$9)&amp;"",""))</f>
        <v/>
      </c>
      <c r="H13">
        <f>IF(설정!$C$10="","",IFERROR(INDEX('1.산군_붙여넣기'!$A$1:$AZ$1001,ROW(),설정!$C$10)&amp;"",""))</f>
        <v/>
      </c>
      <c r="I13">
        <f>IF(설정!$C$11="","",IFERROR(INDEX('1.산군_붙여넣기'!$A$1:$AZ$1001,ROW(),설정!$C$11)&amp;"",""))</f>
        <v/>
      </c>
      <c r="J13">
        <f>IF(설정!$C$12="","",IFERROR(INDEX('1.산군_붙여넣기'!$A$1:$AZ$1001,ROW(),설정!$C$12)&amp;"",""))</f>
        <v/>
      </c>
      <c r="K13">
        <f>IF(설정!$C$13="","",IFERROR(INDEX('1.산군_붙여넣기'!$A$1:$AZ$1001,ROW(),설정!$C$13)&amp;"",""))</f>
        <v/>
      </c>
      <c r="L13" s="7">
        <f>IF(X13="","",IF(AND(LEN(X13)=8,ISNUMBER(X13*1)),DATE(LEFT(X13,4),MID(X13,5,2),RIGHT(X13,2)),IFERROR(DATEVALUE(SUBSTITUTE(SUBSTITUTE(X13,".","-"),"/","-")),IFERROR(X13*1,""))))</f>
        <v/>
      </c>
      <c r="M13" s="7">
        <f>IF(Y13="","",IF(AND(LEN(Y13)=8,ISNUMBER(Y13*1)),DATE(LEFT(Y13,4),MID(Y13,5,2),RIGHT(Y13,2)),IFERROR(DATEVALUE(SUBSTITUTE(SUBSTITUTE(Y13,".","-"),"/","-")),IFERROR(Y13*1,""))))</f>
        <v/>
      </c>
      <c r="N13">
        <f>IFERROR(LEFT(B13,FIND(" ",B13)-1),B13)</f>
        <v/>
      </c>
      <c r="O13">
        <f>AND(B13&lt;&gt;"",B13&lt;&gt;설정!$B$4,C13&lt;&gt;설정!$B$5)</f>
        <v/>
      </c>
      <c r="P13">
        <f>IF(O13,B13&amp;"|"&amp;C13,"")</f>
        <v/>
      </c>
      <c r="Q13">
        <f>AND(O13,COUNTIF(P14:P$1002,P13)=0)</f>
        <v/>
      </c>
      <c r="R13">
        <f>OR(AND(설정!$A$42&lt;&gt;"",ISNUMBER(SEARCH(설정!$A$42,E13&amp;" "&amp;C13))),AND(설정!$A$43&lt;&gt;"",ISNUMBER(SEARCH(설정!$A$43,E13&amp;" "&amp;C13))),AND(설정!$A$44&lt;&gt;"",ISNUMBER(SEARCH(설정!$A$44,E13&amp;" "&amp;C13))),AND(설정!$A$45&lt;&gt;"",ISNUMBER(SEARCH(설정!$A$45,E13&amp;" "&amp;C13))),AND(설정!$A$46&lt;&gt;"",ISNUMBER(SEARCH(설정!$A$46,E13&amp;" "&amp;C13))),AND(설정!$A$47&lt;&gt;"",ISNUMBER(SEARCH(설정!$A$47,E13&amp;" "&amp;C13))),AND(설정!$A$48&lt;&gt;"",ISNUMBER(SEARCH(설정!$A$48,E13&amp;" "&amp;C13))),AND(설정!$A$49&lt;&gt;"",ISNUMBER(SEARCH(설정!$A$49,E13&amp;" "&amp;C13))),AND(설정!$A$50&lt;&gt;"",ISNUMBER(SEARCH(설정!$A$50,E13&amp;" "&amp;C13))),AND(설정!$A$51&lt;&gt;"",ISNUMBER(SEARCH(설정!$A$51,E13&amp;" "&amp;C13))))</f>
        <v/>
      </c>
      <c r="S13">
        <f>OR(D13="",D13&gt;=설정!$B$19)</f>
        <v/>
      </c>
      <c r="T13">
        <f>AND(Q13,R13,S13)</f>
        <v/>
      </c>
      <c r="U13">
        <f>IF(T13,IF(AND(설정!$A$54&lt;&gt;"",ISNUMBER(SEARCH(설정!$A$54,K13))),설정!$B$54,IF(AND(설정!$A$55&lt;&gt;"",ISNUMBER(SEARCH(설정!$A$55,K13))),설정!$B$55,IF(AND(설정!$A$56&lt;&gt;"",ISNUMBER(SEARCH(설정!$A$56,K13))),설정!$B$56,IF(AND(설정!$A$57&lt;&gt;"",ISNUMBER(SEARCH(설정!$A$57,K13))),설정!$B$57,IF(AND(설정!$A$58&lt;&gt;"",ISNUMBER(SEARCH(설정!$A$58,K13))),설정!$B$58,IF(AND(설정!$A$59&lt;&gt;"",ISNUMBER(SEARCH(설정!$A$59,K13))),설정!$B$59,IF(AND(설정!$A$60&lt;&gt;"",ISNUMBER(SEARCH(설정!$A$60,K13))),설정!$B$60,IF(AND(설정!$A$61&lt;&gt;"",ISNUMBER(SEARCH(설정!$A$61,K13))),설정!$B$61,IF(M13="","설계사","시공사"))))))))),"")</f>
        <v/>
      </c>
      <c r="V13">
        <f>SUBSTITUTE(SUBSTITUTE(SUBSTITUTE(SUBSTITUTE(G13,"(주)",""),"㈜",""),"주식회사","")," ","")</f>
        <v/>
      </c>
      <c r="W13">
        <f>IF(AND(T13,V13&lt;&gt;""),IF(COUNTIFS(V$2:V13,V13,T$2:T13,TRUE)=1,MAX(W$1:W12)+1,""),"")</f>
        <v/>
      </c>
      <c r="X13">
        <f>IF(설정!$C$14="","",IFERROR(INDEX('1.산군_붙여넣기'!$A$1:$AZ$1001,ROW(),설정!$C$14)&amp;"",""))</f>
        <v/>
      </c>
      <c r="Y13">
        <f>IF(설정!$C$15="","",IFERROR(INDEX('1.산군_붙여넣기'!$A$1:$AZ$1001,ROW(),설정!$C$15)&amp;"",""))</f>
        <v/>
      </c>
      <c r="Z13">
        <f>IF(T13,V13&amp;"|"&amp;U13,"")</f>
        <v/>
      </c>
      <c r="AA13">
        <f>IF(NOT(Q13),"",IF(NOT(AND(R13,S13)),"✕",IF(OR(OR(AND(L13&lt;&gt;"",M13&lt;&gt;"",N(M13)-N(L13)&gt;설정!$B$27),AND(L13&lt;&gt;"",M13="",설정!$B$24-N(L13)&gt;설정!$B$27)),AND(D13&lt;&gt;"",D13&lt;설정!$B$26)),"△","★")))</f>
        <v/>
      </c>
      <c r="AB13">
        <f>IF(NOT(T13),"",IF(U13="설계사",설정!$B$31,IF(U13="시공사",IF(OR(M13="",설정!$B$24-N(M13)&lt;=설정!$B$28*30.4),설정!$B$32,설정!$B$33),설정!$B$34))+IF(AA13="★",설정!$B$35,0))</f>
        <v/>
      </c>
      <c r="AC13">
        <f>SUBSTITUTE(SUBSTITUTE(SUBSTITUTE(SUBSTITUTE(H13,"(주)",""),"㈜",""),"주식회사","")," ","")</f>
        <v/>
      </c>
      <c r="AD13">
        <f>IF(AND(T13,AC13&lt;&gt;""),IF(COUNTIFS(AC$2:AC13,AC13,T$2:T13,TRUE)=1,MAX(AD$1:AD12)+1,""),"")</f>
        <v/>
      </c>
    </row>
    <row r="14">
      <c r="A14">
        <f>ROW()</f>
        <v/>
      </c>
      <c r="B14">
        <f>IF(설정!$C$4="","",IFERROR(INDEX('1.산군_붙여넣기'!$A$1:$AZ$1001,ROW(),설정!$C$4)&amp;"",""))</f>
        <v/>
      </c>
      <c r="C14">
        <f>IF(설정!$C$5="","",IFERROR(INDEX('1.산군_붙여넣기'!$A$1:$AZ$1001,ROW(),설정!$C$5)&amp;"",""))</f>
        <v/>
      </c>
      <c r="D14" s="5">
        <f>IFERROR(VALUE(SUBSTITUTE(SUBSTITUTE(SUBSTITUTE(IF(설정!$C$6="","",IFERROR(INDEX('1.산군_붙여넣기'!$A$1:$AZ$1001,ROW(),설정!$C$6)&amp;"","")),",",""),"㎡",""),"m2","")),"")</f>
        <v/>
      </c>
      <c r="E14">
        <f>IF(설정!$C$7="","",IFERROR(INDEX('1.산군_붙여넣기'!$A$1:$AZ$1001,ROW(),설정!$C$7)&amp;"",""))</f>
        <v/>
      </c>
      <c r="F14">
        <f>IF(설정!$C$8="","",IFERROR(INDEX('1.산군_붙여넣기'!$A$1:$AZ$1001,ROW(),설정!$C$8)&amp;"",""))</f>
        <v/>
      </c>
      <c r="G14">
        <f>IF(설정!$C$9="","",IFERROR(INDEX('1.산군_붙여넣기'!$A$1:$AZ$1001,ROW(),설정!$C$9)&amp;"",""))</f>
        <v/>
      </c>
      <c r="H14">
        <f>IF(설정!$C$10="","",IFERROR(INDEX('1.산군_붙여넣기'!$A$1:$AZ$1001,ROW(),설정!$C$10)&amp;"",""))</f>
        <v/>
      </c>
      <c r="I14">
        <f>IF(설정!$C$11="","",IFERROR(INDEX('1.산군_붙여넣기'!$A$1:$AZ$1001,ROW(),설정!$C$11)&amp;"",""))</f>
        <v/>
      </c>
      <c r="J14">
        <f>IF(설정!$C$12="","",IFERROR(INDEX('1.산군_붙여넣기'!$A$1:$AZ$1001,ROW(),설정!$C$12)&amp;"",""))</f>
        <v/>
      </c>
      <c r="K14">
        <f>IF(설정!$C$13="","",IFERROR(INDEX('1.산군_붙여넣기'!$A$1:$AZ$1001,ROW(),설정!$C$13)&amp;"",""))</f>
        <v/>
      </c>
      <c r="L14" s="7">
        <f>IF(X14="","",IF(AND(LEN(X14)=8,ISNUMBER(X14*1)),DATE(LEFT(X14,4),MID(X14,5,2),RIGHT(X14,2)),IFERROR(DATEVALUE(SUBSTITUTE(SUBSTITUTE(X14,".","-"),"/","-")),IFERROR(X14*1,""))))</f>
        <v/>
      </c>
      <c r="M14" s="7">
        <f>IF(Y14="","",IF(AND(LEN(Y14)=8,ISNUMBER(Y14*1)),DATE(LEFT(Y14,4),MID(Y14,5,2),RIGHT(Y14,2)),IFERROR(DATEVALUE(SUBSTITUTE(SUBSTITUTE(Y14,".","-"),"/","-")),IFERROR(Y14*1,""))))</f>
        <v/>
      </c>
      <c r="N14">
        <f>IFERROR(LEFT(B14,FIND(" ",B14)-1),B14)</f>
        <v/>
      </c>
      <c r="O14">
        <f>AND(B14&lt;&gt;"",B14&lt;&gt;설정!$B$4,C14&lt;&gt;설정!$B$5)</f>
        <v/>
      </c>
      <c r="P14">
        <f>IF(O14,B14&amp;"|"&amp;C14,"")</f>
        <v/>
      </c>
      <c r="Q14">
        <f>AND(O14,COUNTIF(P15:P$1002,P14)=0)</f>
        <v/>
      </c>
      <c r="R14">
        <f>OR(AND(설정!$A$42&lt;&gt;"",ISNUMBER(SEARCH(설정!$A$42,E14&amp;" "&amp;C14))),AND(설정!$A$43&lt;&gt;"",ISNUMBER(SEARCH(설정!$A$43,E14&amp;" "&amp;C14))),AND(설정!$A$44&lt;&gt;"",ISNUMBER(SEARCH(설정!$A$44,E14&amp;" "&amp;C14))),AND(설정!$A$45&lt;&gt;"",ISNUMBER(SEARCH(설정!$A$45,E14&amp;" "&amp;C14))),AND(설정!$A$46&lt;&gt;"",ISNUMBER(SEARCH(설정!$A$46,E14&amp;" "&amp;C14))),AND(설정!$A$47&lt;&gt;"",ISNUMBER(SEARCH(설정!$A$47,E14&amp;" "&amp;C14))),AND(설정!$A$48&lt;&gt;"",ISNUMBER(SEARCH(설정!$A$48,E14&amp;" "&amp;C14))),AND(설정!$A$49&lt;&gt;"",ISNUMBER(SEARCH(설정!$A$49,E14&amp;" "&amp;C14))),AND(설정!$A$50&lt;&gt;"",ISNUMBER(SEARCH(설정!$A$50,E14&amp;" "&amp;C14))),AND(설정!$A$51&lt;&gt;"",ISNUMBER(SEARCH(설정!$A$51,E14&amp;" "&amp;C14))))</f>
        <v/>
      </c>
      <c r="S14">
        <f>OR(D14="",D14&gt;=설정!$B$19)</f>
        <v/>
      </c>
      <c r="T14">
        <f>AND(Q14,R14,S14)</f>
        <v/>
      </c>
      <c r="U14">
        <f>IF(T14,IF(AND(설정!$A$54&lt;&gt;"",ISNUMBER(SEARCH(설정!$A$54,K14))),설정!$B$54,IF(AND(설정!$A$55&lt;&gt;"",ISNUMBER(SEARCH(설정!$A$55,K14))),설정!$B$55,IF(AND(설정!$A$56&lt;&gt;"",ISNUMBER(SEARCH(설정!$A$56,K14))),설정!$B$56,IF(AND(설정!$A$57&lt;&gt;"",ISNUMBER(SEARCH(설정!$A$57,K14))),설정!$B$57,IF(AND(설정!$A$58&lt;&gt;"",ISNUMBER(SEARCH(설정!$A$58,K14))),설정!$B$58,IF(AND(설정!$A$59&lt;&gt;"",ISNUMBER(SEARCH(설정!$A$59,K14))),설정!$B$59,IF(AND(설정!$A$60&lt;&gt;"",ISNUMBER(SEARCH(설정!$A$60,K14))),설정!$B$60,IF(AND(설정!$A$61&lt;&gt;"",ISNUMBER(SEARCH(설정!$A$61,K14))),설정!$B$61,IF(M14="","설계사","시공사"))))))))),"")</f>
        <v/>
      </c>
      <c r="V14">
        <f>SUBSTITUTE(SUBSTITUTE(SUBSTITUTE(SUBSTITUTE(G14,"(주)",""),"㈜",""),"주식회사","")," ","")</f>
        <v/>
      </c>
      <c r="W14">
        <f>IF(AND(T14,V14&lt;&gt;""),IF(COUNTIFS(V$2:V14,V14,T$2:T14,TRUE)=1,MAX(W$1:W13)+1,""),"")</f>
        <v/>
      </c>
      <c r="X14">
        <f>IF(설정!$C$14="","",IFERROR(INDEX('1.산군_붙여넣기'!$A$1:$AZ$1001,ROW(),설정!$C$14)&amp;"",""))</f>
        <v/>
      </c>
      <c r="Y14">
        <f>IF(설정!$C$15="","",IFERROR(INDEX('1.산군_붙여넣기'!$A$1:$AZ$1001,ROW(),설정!$C$15)&amp;"",""))</f>
        <v/>
      </c>
      <c r="Z14">
        <f>IF(T14,V14&amp;"|"&amp;U14,"")</f>
        <v/>
      </c>
      <c r="AA14">
        <f>IF(NOT(Q14),"",IF(NOT(AND(R14,S14)),"✕",IF(OR(OR(AND(L14&lt;&gt;"",M14&lt;&gt;"",N(M14)-N(L14)&gt;설정!$B$27),AND(L14&lt;&gt;"",M14="",설정!$B$24-N(L14)&gt;설정!$B$27)),AND(D14&lt;&gt;"",D14&lt;설정!$B$26)),"△","★")))</f>
        <v/>
      </c>
      <c r="AB14">
        <f>IF(NOT(T14),"",IF(U14="설계사",설정!$B$31,IF(U14="시공사",IF(OR(M14="",설정!$B$24-N(M14)&lt;=설정!$B$28*30.4),설정!$B$32,설정!$B$33),설정!$B$34))+IF(AA14="★",설정!$B$35,0))</f>
        <v/>
      </c>
      <c r="AC14">
        <f>SUBSTITUTE(SUBSTITUTE(SUBSTITUTE(SUBSTITUTE(H14,"(주)",""),"㈜",""),"주식회사","")," ","")</f>
        <v/>
      </c>
      <c r="AD14">
        <f>IF(AND(T14,AC14&lt;&gt;""),IF(COUNTIFS(AC$2:AC14,AC14,T$2:T14,TRUE)=1,MAX(AD$1:AD13)+1,""),"")</f>
        <v/>
      </c>
    </row>
    <row r="15">
      <c r="A15">
        <f>ROW()</f>
        <v/>
      </c>
      <c r="B15">
        <f>IF(설정!$C$4="","",IFERROR(INDEX('1.산군_붙여넣기'!$A$1:$AZ$1001,ROW(),설정!$C$4)&amp;"",""))</f>
        <v/>
      </c>
      <c r="C15">
        <f>IF(설정!$C$5="","",IFERROR(INDEX('1.산군_붙여넣기'!$A$1:$AZ$1001,ROW(),설정!$C$5)&amp;"",""))</f>
        <v/>
      </c>
      <c r="D15" s="5">
        <f>IFERROR(VALUE(SUBSTITUTE(SUBSTITUTE(SUBSTITUTE(IF(설정!$C$6="","",IFERROR(INDEX('1.산군_붙여넣기'!$A$1:$AZ$1001,ROW(),설정!$C$6)&amp;"","")),",",""),"㎡",""),"m2","")),"")</f>
        <v/>
      </c>
      <c r="E15">
        <f>IF(설정!$C$7="","",IFERROR(INDEX('1.산군_붙여넣기'!$A$1:$AZ$1001,ROW(),설정!$C$7)&amp;"",""))</f>
        <v/>
      </c>
      <c r="F15">
        <f>IF(설정!$C$8="","",IFERROR(INDEX('1.산군_붙여넣기'!$A$1:$AZ$1001,ROW(),설정!$C$8)&amp;"",""))</f>
        <v/>
      </c>
      <c r="G15">
        <f>IF(설정!$C$9="","",IFERROR(INDEX('1.산군_붙여넣기'!$A$1:$AZ$1001,ROW(),설정!$C$9)&amp;"",""))</f>
        <v/>
      </c>
      <c r="H15">
        <f>IF(설정!$C$10="","",IFERROR(INDEX('1.산군_붙여넣기'!$A$1:$AZ$1001,ROW(),설정!$C$10)&amp;"",""))</f>
        <v/>
      </c>
      <c r="I15">
        <f>IF(설정!$C$11="","",IFERROR(INDEX('1.산군_붙여넣기'!$A$1:$AZ$1001,ROW(),설정!$C$11)&amp;"",""))</f>
        <v/>
      </c>
      <c r="J15">
        <f>IF(설정!$C$12="","",IFERROR(INDEX('1.산군_붙여넣기'!$A$1:$AZ$1001,ROW(),설정!$C$12)&amp;"",""))</f>
        <v/>
      </c>
      <c r="K15">
        <f>IF(설정!$C$13="","",IFERROR(INDEX('1.산군_붙여넣기'!$A$1:$AZ$1001,ROW(),설정!$C$13)&amp;"",""))</f>
        <v/>
      </c>
      <c r="L15" s="7">
        <f>IF(X15="","",IF(AND(LEN(X15)=8,ISNUMBER(X15*1)),DATE(LEFT(X15,4),MID(X15,5,2),RIGHT(X15,2)),IFERROR(DATEVALUE(SUBSTITUTE(SUBSTITUTE(X15,".","-"),"/","-")),IFERROR(X15*1,""))))</f>
        <v/>
      </c>
      <c r="M15" s="7">
        <f>IF(Y15="","",IF(AND(LEN(Y15)=8,ISNUMBER(Y15*1)),DATE(LEFT(Y15,4),MID(Y15,5,2),RIGHT(Y15,2)),IFERROR(DATEVALUE(SUBSTITUTE(SUBSTITUTE(Y15,".","-"),"/","-")),IFERROR(Y15*1,""))))</f>
        <v/>
      </c>
      <c r="N15">
        <f>IFERROR(LEFT(B15,FIND(" ",B15)-1),B15)</f>
        <v/>
      </c>
      <c r="O15">
        <f>AND(B15&lt;&gt;"",B15&lt;&gt;설정!$B$4,C15&lt;&gt;설정!$B$5)</f>
        <v/>
      </c>
      <c r="P15">
        <f>IF(O15,B15&amp;"|"&amp;C15,"")</f>
        <v/>
      </c>
      <c r="Q15">
        <f>AND(O15,COUNTIF(P16:P$1002,P15)=0)</f>
        <v/>
      </c>
      <c r="R15">
        <f>OR(AND(설정!$A$42&lt;&gt;"",ISNUMBER(SEARCH(설정!$A$42,E15&amp;" "&amp;C15))),AND(설정!$A$43&lt;&gt;"",ISNUMBER(SEARCH(설정!$A$43,E15&amp;" "&amp;C15))),AND(설정!$A$44&lt;&gt;"",ISNUMBER(SEARCH(설정!$A$44,E15&amp;" "&amp;C15))),AND(설정!$A$45&lt;&gt;"",ISNUMBER(SEARCH(설정!$A$45,E15&amp;" "&amp;C15))),AND(설정!$A$46&lt;&gt;"",ISNUMBER(SEARCH(설정!$A$46,E15&amp;" "&amp;C15))),AND(설정!$A$47&lt;&gt;"",ISNUMBER(SEARCH(설정!$A$47,E15&amp;" "&amp;C15))),AND(설정!$A$48&lt;&gt;"",ISNUMBER(SEARCH(설정!$A$48,E15&amp;" "&amp;C15))),AND(설정!$A$49&lt;&gt;"",ISNUMBER(SEARCH(설정!$A$49,E15&amp;" "&amp;C15))),AND(설정!$A$50&lt;&gt;"",ISNUMBER(SEARCH(설정!$A$50,E15&amp;" "&amp;C15))),AND(설정!$A$51&lt;&gt;"",ISNUMBER(SEARCH(설정!$A$51,E15&amp;" "&amp;C15))))</f>
        <v/>
      </c>
      <c r="S15">
        <f>OR(D15="",D15&gt;=설정!$B$19)</f>
        <v/>
      </c>
      <c r="T15">
        <f>AND(Q15,R15,S15)</f>
        <v/>
      </c>
      <c r="U15">
        <f>IF(T15,IF(AND(설정!$A$54&lt;&gt;"",ISNUMBER(SEARCH(설정!$A$54,K15))),설정!$B$54,IF(AND(설정!$A$55&lt;&gt;"",ISNUMBER(SEARCH(설정!$A$55,K15))),설정!$B$55,IF(AND(설정!$A$56&lt;&gt;"",ISNUMBER(SEARCH(설정!$A$56,K15))),설정!$B$56,IF(AND(설정!$A$57&lt;&gt;"",ISNUMBER(SEARCH(설정!$A$57,K15))),설정!$B$57,IF(AND(설정!$A$58&lt;&gt;"",ISNUMBER(SEARCH(설정!$A$58,K15))),설정!$B$58,IF(AND(설정!$A$59&lt;&gt;"",ISNUMBER(SEARCH(설정!$A$59,K15))),설정!$B$59,IF(AND(설정!$A$60&lt;&gt;"",ISNUMBER(SEARCH(설정!$A$60,K15))),설정!$B$60,IF(AND(설정!$A$61&lt;&gt;"",ISNUMBER(SEARCH(설정!$A$61,K15))),설정!$B$61,IF(M15="","설계사","시공사"))))))))),"")</f>
        <v/>
      </c>
      <c r="V15">
        <f>SUBSTITUTE(SUBSTITUTE(SUBSTITUTE(SUBSTITUTE(G15,"(주)",""),"㈜",""),"주식회사","")," ","")</f>
        <v/>
      </c>
      <c r="W15">
        <f>IF(AND(T15,V15&lt;&gt;""),IF(COUNTIFS(V$2:V15,V15,T$2:T15,TRUE)=1,MAX(W$1:W14)+1,""),"")</f>
        <v/>
      </c>
      <c r="X15">
        <f>IF(설정!$C$14="","",IFERROR(INDEX('1.산군_붙여넣기'!$A$1:$AZ$1001,ROW(),설정!$C$14)&amp;"",""))</f>
        <v/>
      </c>
      <c r="Y15">
        <f>IF(설정!$C$15="","",IFERROR(INDEX('1.산군_붙여넣기'!$A$1:$AZ$1001,ROW(),설정!$C$15)&amp;"",""))</f>
        <v/>
      </c>
      <c r="Z15">
        <f>IF(T15,V15&amp;"|"&amp;U15,"")</f>
        <v/>
      </c>
      <c r="AA15">
        <f>IF(NOT(Q15),"",IF(NOT(AND(R15,S15)),"✕",IF(OR(OR(AND(L15&lt;&gt;"",M15&lt;&gt;"",N(M15)-N(L15)&gt;설정!$B$27),AND(L15&lt;&gt;"",M15="",설정!$B$24-N(L15)&gt;설정!$B$27)),AND(D15&lt;&gt;"",D15&lt;설정!$B$26)),"△","★")))</f>
        <v/>
      </c>
      <c r="AB15">
        <f>IF(NOT(T15),"",IF(U15="설계사",설정!$B$31,IF(U15="시공사",IF(OR(M15="",설정!$B$24-N(M15)&lt;=설정!$B$28*30.4),설정!$B$32,설정!$B$33),설정!$B$34))+IF(AA15="★",설정!$B$35,0))</f>
        <v/>
      </c>
      <c r="AC15">
        <f>SUBSTITUTE(SUBSTITUTE(SUBSTITUTE(SUBSTITUTE(H15,"(주)",""),"㈜",""),"주식회사","")," ","")</f>
        <v/>
      </c>
      <c r="AD15">
        <f>IF(AND(T15,AC15&lt;&gt;""),IF(COUNTIFS(AC$2:AC15,AC15,T$2:T15,TRUE)=1,MAX(AD$1:AD14)+1,""),"")</f>
        <v/>
      </c>
    </row>
    <row r="16">
      <c r="A16">
        <f>ROW()</f>
        <v/>
      </c>
      <c r="B16">
        <f>IF(설정!$C$4="","",IFERROR(INDEX('1.산군_붙여넣기'!$A$1:$AZ$1001,ROW(),설정!$C$4)&amp;"",""))</f>
        <v/>
      </c>
      <c r="C16">
        <f>IF(설정!$C$5="","",IFERROR(INDEX('1.산군_붙여넣기'!$A$1:$AZ$1001,ROW(),설정!$C$5)&amp;"",""))</f>
        <v/>
      </c>
      <c r="D16" s="5">
        <f>IFERROR(VALUE(SUBSTITUTE(SUBSTITUTE(SUBSTITUTE(IF(설정!$C$6="","",IFERROR(INDEX('1.산군_붙여넣기'!$A$1:$AZ$1001,ROW(),설정!$C$6)&amp;"","")),",",""),"㎡",""),"m2","")),"")</f>
        <v/>
      </c>
      <c r="E16">
        <f>IF(설정!$C$7="","",IFERROR(INDEX('1.산군_붙여넣기'!$A$1:$AZ$1001,ROW(),설정!$C$7)&amp;"",""))</f>
        <v/>
      </c>
      <c r="F16">
        <f>IF(설정!$C$8="","",IFERROR(INDEX('1.산군_붙여넣기'!$A$1:$AZ$1001,ROW(),설정!$C$8)&amp;"",""))</f>
        <v/>
      </c>
      <c r="G16">
        <f>IF(설정!$C$9="","",IFERROR(INDEX('1.산군_붙여넣기'!$A$1:$AZ$1001,ROW(),설정!$C$9)&amp;"",""))</f>
        <v/>
      </c>
      <c r="H16">
        <f>IF(설정!$C$10="","",IFERROR(INDEX('1.산군_붙여넣기'!$A$1:$AZ$1001,ROW(),설정!$C$10)&amp;"",""))</f>
        <v/>
      </c>
      <c r="I16">
        <f>IF(설정!$C$11="","",IFERROR(INDEX('1.산군_붙여넣기'!$A$1:$AZ$1001,ROW(),설정!$C$11)&amp;"",""))</f>
        <v/>
      </c>
      <c r="J16">
        <f>IF(설정!$C$12="","",IFERROR(INDEX('1.산군_붙여넣기'!$A$1:$AZ$1001,ROW(),설정!$C$12)&amp;"",""))</f>
        <v/>
      </c>
      <c r="K16">
        <f>IF(설정!$C$13="","",IFERROR(INDEX('1.산군_붙여넣기'!$A$1:$AZ$1001,ROW(),설정!$C$13)&amp;"",""))</f>
        <v/>
      </c>
      <c r="L16" s="7">
        <f>IF(X16="","",IF(AND(LEN(X16)=8,ISNUMBER(X16*1)),DATE(LEFT(X16,4),MID(X16,5,2),RIGHT(X16,2)),IFERROR(DATEVALUE(SUBSTITUTE(SUBSTITUTE(X16,".","-"),"/","-")),IFERROR(X16*1,""))))</f>
        <v/>
      </c>
      <c r="M16" s="7">
        <f>IF(Y16="","",IF(AND(LEN(Y16)=8,ISNUMBER(Y16*1)),DATE(LEFT(Y16,4),MID(Y16,5,2),RIGHT(Y16,2)),IFERROR(DATEVALUE(SUBSTITUTE(SUBSTITUTE(Y16,".","-"),"/","-")),IFERROR(Y16*1,""))))</f>
        <v/>
      </c>
      <c r="N16">
        <f>IFERROR(LEFT(B16,FIND(" ",B16)-1),B16)</f>
        <v/>
      </c>
      <c r="O16">
        <f>AND(B16&lt;&gt;"",B16&lt;&gt;설정!$B$4,C16&lt;&gt;설정!$B$5)</f>
        <v/>
      </c>
      <c r="P16">
        <f>IF(O16,B16&amp;"|"&amp;C16,"")</f>
        <v/>
      </c>
      <c r="Q16">
        <f>AND(O16,COUNTIF(P17:P$1002,P16)=0)</f>
        <v/>
      </c>
      <c r="R16">
        <f>OR(AND(설정!$A$42&lt;&gt;"",ISNUMBER(SEARCH(설정!$A$42,E16&amp;" "&amp;C16))),AND(설정!$A$43&lt;&gt;"",ISNUMBER(SEARCH(설정!$A$43,E16&amp;" "&amp;C16))),AND(설정!$A$44&lt;&gt;"",ISNUMBER(SEARCH(설정!$A$44,E16&amp;" "&amp;C16))),AND(설정!$A$45&lt;&gt;"",ISNUMBER(SEARCH(설정!$A$45,E16&amp;" "&amp;C16))),AND(설정!$A$46&lt;&gt;"",ISNUMBER(SEARCH(설정!$A$46,E16&amp;" "&amp;C16))),AND(설정!$A$47&lt;&gt;"",ISNUMBER(SEARCH(설정!$A$47,E16&amp;" "&amp;C16))),AND(설정!$A$48&lt;&gt;"",ISNUMBER(SEARCH(설정!$A$48,E16&amp;" "&amp;C16))),AND(설정!$A$49&lt;&gt;"",ISNUMBER(SEARCH(설정!$A$49,E16&amp;" "&amp;C16))),AND(설정!$A$50&lt;&gt;"",ISNUMBER(SEARCH(설정!$A$50,E16&amp;" "&amp;C16))),AND(설정!$A$51&lt;&gt;"",ISNUMBER(SEARCH(설정!$A$51,E16&amp;" "&amp;C16))))</f>
        <v/>
      </c>
      <c r="S16">
        <f>OR(D16="",D16&gt;=설정!$B$19)</f>
        <v/>
      </c>
      <c r="T16">
        <f>AND(Q16,R16,S16)</f>
        <v/>
      </c>
      <c r="U16">
        <f>IF(T16,IF(AND(설정!$A$54&lt;&gt;"",ISNUMBER(SEARCH(설정!$A$54,K16))),설정!$B$54,IF(AND(설정!$A$55&lt;&gt;"",ISNUMBER(SEARCH(설정!$A$55,K16))),설정!$B$55,IF(AND(설정!$A$56&lt;&gt;"",ISNUMBER(SEARCH(설정!$A$56,K16))),설정!$B$56,IF(AND(설정!$A$57&lt;&gt;"",ISNUMBER(SEARCH(설정!$A$57,K16))),설정!$B$57,IF(AND(설정!$A$58&lt;&gt;"",ISNUMBER(SEARCH(설정!$A$58,K16))),설정!$B$58,IF(AND(설정!$A$59&lt;&gt;"",ISNUMBER(SEARCH(설정!$A$59,K16))),설정!$B$59,IF(AND(설정!$A$60&lt;&gt;"",ISNUMBER(SEARCH(설정!$A$60,K16))),설정!$B$60,IF(AND(설정!$A$61&lt;&gt;"",ISNUMBER(SEARCH(설정!$A$61,K16))),설정!$B$61,IF(M16="","설계사","시공사"))))))))),"")</f>
        <v/>
      </c>
      <c r="V16">
        <f>SUBSTITUTE(SUBSTITUTE(SUBSTITUTE(SUBSTITUTE(G16,"(주)",""),"㈜",""),"주식회사","")," ","")</f>
        <v/>
      </c>
      <c r="W16">
        <f>IF(AND(T16,V16&lt;&gt;""),IF(COUNTIFS(V$2:V16,V16,T$2:T16,TRUE)=1,MAX(W$1:W15)+1,""),"")</f>
        <v/>
      </c>
      <c r="X16">
        <f>IF(설정!$C$14="","",IFERROR(INDEX('1.산군_붙여넣기'!$A$1:$AZ$1001,ROW(),설정!$C$14)&amp;"",""))</f>
        <v/>
      </c>
      <c r="Y16">
        <f>IF(설정!$C$15="","",IFERROR(INDEX('1.산군_붙여넣기'!$A$1:$AZ$1001,ROW(),설정!$C$15)&amp;"",""))</f>
        <v/>
      </c>
      <c r="Z16">
        <f>IF(T16,V16&amp;"|"&amp;U16,"")</f>
        <v/>
      </c>
      <c r="AA16">
        <f>IF(NOT(Q16),"",IF(NOT(AND(R16,S16)),"✕",IF(OR(OR(AND(L16&lt;&gt;"",M16&lt;&gt;"",N(M16)-N(L16)&gt;설정!$B$27),AND(L16&lt;&gt;"",M16="",설정!$B$24-N(L16)&gt;설정!$B$27)),AND(D16&lt;&gt;"",D16&lt;설정!$B$26)),"△","★")))</f>
        <v/>
      </c>
      <c r="AB16">
        <f>IF(NOT(T16),"",IF(U16="설계사",설정!$B$31,IF(U16="시공사",IF(OR(M16="",설정!$B$24-N(M16)&lt;=설정!$B$28*30.4),설정!$B$32,설정!$B$33),설정!$B$34))+IF(AA16="★",설정!$B$35,0))</f>
        <v/>
      </c>
      <c r="AC16">
        <f>SUBSTITUTE(SUBSTITUTE(SUBSTITUTE(SUBSTITUTE(H16,"(주)",""),"㈜",""),"주식회사","")," ","")</f>
        <v/>
      </c>
      <c r="AD16">
        <f>IF(AND(T16,AC16&lt;&gt;""),IF(COUNTIFS(AC$2:AC16,AC16,T$2:T16,TRUE)=1,MAX(AD$1:AD15)+1,""),"")</f>
        <v/>
      </c>
    </row>
    <row r="17">
      <c r="A17">
        <f>ROW()</f>
        <v/>
      </c>
      <c r="B17">
        <f>IF(설정!$C$4="","",IFERROR(INDEX('1.산군_붙여넣기'!$A$1:$AZ$1001,ROW(),설정!$C$4)&amp;"",""))</f>
        <v/>
      </c>
      <c r="C17">
        <f>IF(설정!$C$5="","",IFERROR(INDEX('1.산군_붙여넣기'!$A$1:$AZ$1001,ROW(),설정!$C$5)&amp;"",""))</f>
        <v/>
      </c>
      <c r="D17" s="5">
        <f>IFERROR(VALUE(SUBSTITUTE(SUBSTITUTE(SUBSTITUTE(IF(설정!$C$6="","",IFERROR(INDEX('1.산군_붙여넣기'!$A$1:$AZ$1001,ROW(),설정!$C$6)&amp;"","")),",",""),"㎡",""),"m2","")),"")</f>
        <v/>
      </c>
      <c r="E17">
        <f>IF(설정!$C$7="","",IFERROR(INDEX('1.산군_붙여넣기'!$A$1:$AZ$1001,ROW(),설정!$C$7)&amp;"",""))</f>
        <v/>
      </c>
      <c r="F17">
        <f>IF(설정!$C$8="","",IFERROR(INDEX('1.산군_붙여넣기'!$A$1:$AZ$1001,ROW(),설정!$C$8)&amp;"",""))</f>
        <v/>
      </c>
      <c r="G17">
        <f>IF(설정!$C$9="","",IFERROR(INDEX('1.산군_붙여넣기'!$A$1:$AZ$1001,ROW(),설정!$C$9)&amp;"",""))</f>
        <v/>
      </c>
      <c r="H17">
        <f>IF(설정!$C$10="","",IFERROR(INDEX('1.산군_붙여넣기'!$A$1:$AZ$1001,ROW(),설정!$C$10)&amp;"",""))</f>
        <v/>
      </c>
      <c r="I17">
        <f>IF(설정!$C$11="","",IFERROR(INDEX('1.산군_붙여넣기'!$A$1:$AZ$1001,ROW(),설정!$C$11)&amp;"",""))</f>
        <v/>
      </c>
      <c r="J17">
        <f>IF(설정!$C$12="","",IFERROR(INDEX('1.산군_붙여넣기'!$A$1:$AZ$1001,ROW(),설정!$C$12)&amp;"",""))</f>
        <v/>
      </c>
      <c r="K17">
        <f>IF(설정!$C$13="","",IFERROR(INDEX('1.산군_붙여넣기'!$A$1:$AZ$1001,ROW(),설정!$C$13)&amp;"",""))</f>
        <v/>
      </c>
      <c r="L17" s="7">
        <f>IF(X17="","",IF(AND(LEN(X17)=8,ISNUMBER(X17*1)),DATE(LEFT(X17,4),MID(X17,5,2),RIGHT(X17,2)),IFERROR(DATEVALUE(SUBSTITUTE(SUBSTITUTE(X17,".","-"),"/","-")),IFERROR(X17*1,""))))</f>
        <v/>
      </c>
      <c r="M17" s="7">
        <f>IF(Y17="","",IF(AND(LEN(Y17)=8,ISNUMBER(Y17*1)),DATE(LEFT(Y17,4),MID(Y17,5,2),RIGHT(Y17,2)),IFERROR(DATEVALUE(SUBSTITUTE(SUBSTITUTE(Y17,".","-"),"/","-")),IFERROR(Y17*1,""))))</f>
        <v/>
      </c>
      <c r="N17">
        <f>IFERROR(LEFT(B17,FIND(" ",B17)-1),B17)</f>
        <v/>
      </c>
      <c r="O17">
        <f>AND(B17&lt;&gt;"",B17&lt;&gt;설정!$B$4,C17&lt;&gt;설정!$B$5)</f>
        <v/>
      </c>
      <c r="P17">
        <f>IF(O17,B17&amp;"|"&amp;C17,"")</f>
        <v/>
      </c>
      <c r="Q17">
        <f>AND(O17,COUNTIF(P18:P$1002,P17)=0)</f>
        <v/>
      </c>
      <c r="R17">
        <f>OR(AND(설정!$A$42&lt;&gt;"",ISNUMBER(SEARCH(설정!$A$42,E17&amp;" "&amp;C17))),AND(설정!$A$43&lt;&gt;"",ISNUMBER(SEARCH(설정!$A$43,E17&amp;" "&amp;C17))),AND(설정!$A$44&lt;&gt;"",ISNUMBER(SEARCH(설정!$A$44,E17&amp;" "&amp;C17))),AND(설정!$A$45&lt;&gt;"",ISNUMBER(SEARCH(설정!$A$45,E17&amp;" "&amp;C17))),AND(설정!$A$46&lt;&gt;"",ISNUMBER(SEARCH(설정!$A$46,E17&amp;" "&amp;C17))),AND(설정!$A$47&lt;&gt;"",ISNUMBER(SEARCH(설정!$A$47,E17&amp;" "&amp;C17))),AND(설정!$A$48&lt;&gt;"",ISNUMBER(SEARCH(설정!$A$48,E17&amp;" "&amp;C17))),AND(설정!$A$49&lt;&gt;"",ISNUMBER(SEARCH(설정!$A$49,E17&amp;" "&amp;C17))),AND(설정!$A$50&lt;&gt;"",ISNUMBER(SEARCH(설정!$A$50,E17&amp;" "&amp;C17))),AND(설정!$A$51&lt;&gt;"",ISNUMBER(SEARCH(설정!$A$51,E17&amp;" "&amp;C17))))</f>
        <v/>
      </c>
      <c r="S17">
        <f>OR(D17="",D17&gt;=설정!$B$19)</f>
        <v/>
      </c>
      <c r="T17">
        <f>AND(Q17,R17,S17)</f>
        <v/>
      </c>
      <c r="U17">
        <f>IF(T17,IF(AND(설정!$A$54&lt;&gt;"",ISNUMBER(SEARCH(설정!$A$54,K17))),설정!$B$54,IF(AND(설정!$A$55&lt;&gt;"",ISNUMBER(SEARCH(설정!$A$55,K17))),설정!$B$55,IF(AND(설정!$A$56&lt;&gt;"",ISNUMBER(SEARCH(설정!$A$56,K17))),설정!$B$56,IF(AND(설정!$A$57&lt;&gt;"",ISNUMBER(SEARCH(설정!$A$57,K17))),설정!$B$57,IF(AND(설정!$A$58&lt;&gt;"",ISNUMBER(SEARCH(설정!$A$58,K17))),설정!$B$58,IF(AND(설정!$A$59&lt;&gt;"",ISNUMBER(SEARCH(설정!$A$59,K17))),설정!$B$59,IF(AND(설정!$A$60&lt;&gt;"",ISNUMBER(SEARCH(설정!$A$60,K17))),설정!$B$60,IF(AND(설정!$A$61&lt;&gt;"",ISNUMBER(SEARCH(설정!$A$61,K17))),설정!$B$61,IF(M17="","설계사","시공사"))))))))),"")</f>
        <v/>
      </c>
      <c r="V17">
        <f>SUBSTITUTE(SUBSTITUTE(SUBSTITUTE(SUBSTITUTE(G17,"(주)",""),"㈜",""),"주식회사","")," ","")</f>
        <v/>
      </c>
      <c r="W17">
        <f>IF(AND(T17,V17&lt;&gt;""),IF(COUNTIFS(V$2:V17,V17,T$2:T17,TRUE)=1,MAX(W$1:W16)+1,""),"")</f>
        <v/>
      </c>
      <c r="X17">
        <f>IF(설정!$C$14="","",IFERROR(INDEX('1.산군_붙여넣기'!$A$1:$AZ$1001,ROW(),설정!$C$14)&amp;"",""))</f>
        <v/>
      </c>
      <c r="Y17">
        <f>IF(설정!$C$15="","",IFERROR(INDEX('1.산군_붙여넣기'!$A$1:$AZ$1001,ROW(),설정!$C$15)&amp;"",""))</f>
        <v/>
      </c>
      <c r="Z17">
        <f>IF(T17,V17&amp;"|"&amp;U17,"")</f>
        <v/>
      </c>
      <c r="AA17">
        <f>IF(NOT(Q17),"",IF(NOT(AND(R17,S17)),"✕",IF(OR(OR(AND(L17&lt;&gt;"",M17&lt;&gt;"",N(M17)-N(L17)&gt;설정!$B$27),AND(L17&lt;&gt;"",M17="",설정!$B$24-N(L17)&gt;설정!$B$27)),AND(D17&lt;&gt;"",D17&lt;설정!$B$26)),"△","★")))</f>
        <v/>
      </c>
      <c r="AB17">
        <f>IF(NOT(T17),"",IF(U17="설계사",설정!$B$31,IF(U17="시공사",IF(OR(M17="",설정!$B$24-N(M17)&lt;=설정!$B$28*30.4),설정!$B$32,설정!$B$33),설정!$B$34))+IF(AA17="★",설정!$B$35,0))</f>
        <v/>
      </c>
      <c r="AC17">
        <f>SUBSTITUTE(SUBSTITUTE(SUBSTITUTE(SUBSTITUTE(H17,"(주)",""),"㈜",""),"주식회사","")," ","")</f>
        <v/>
      </c>
      <c r="AD17">
        <f>IF(AND(T17,AC17&lt;&gt;""),IF(COUNTIFS(AC$2:AC17,AC17,T$2:T17,TRUE)=1,MAX(AD$1:AD16)+1,""),"")</f>
        <v/>
      </c>
    </row>
    <row r="18">
      <c r="A18">
        <f>ROW()</f>
        <v/>
      </c>
      <c r="B18">
        <f>IF(설정!$C$4="","",IFERROR(INDEX('1.산군_붙여넣기'!$A$1:$AZ$1001,ROW(),설정!$C$4)&amp;"",""))</f>
        <v/>
      </c>
      <c r="C18">
        <f>IF(설정!$C$5="","",IFERROR(INDEX('1.산군_붙여넣기'!$A$1:$AZ$1001,ROW(),설정!$C$5)&amp;"",""))</f>
        <v/>
      </c>
      <c r="D18" s="5">
        <f>IFERROR(VALUE(SUBSTITUTE(SUBSTITUTE(SUBSTITUTE(IF(설정!$C$6="","",IFERROR(INDEX('1.산군_붙여넣기'!$A$1:$AZ$1001,ROW(),설정!$C$6)&amp;"","")),",",""),"㎡",""),"m2","")),"")</f>
        <v/>
      </c>
      <c r="E18">
        <f>IF(설정!$C$7="","",IFERROR(INDEX('1.산군_붙여넣기'!$A$1:$AZ$1001,ROW(),설정!$C$7)&amp;"",""))</f>
        <v/>
      </c>
      <c r="F18">
        <f>IF(설정!$C$8="","",IFERROR(INDEX('1.산군_붙여넣기'!$A$1:$AZ$1001,ROW(),설정!$C$8)&amp;"",""))</f>
        <v/>
      </c>
      <c r="G18">
        <f>IF(설정!$C$9="","",IFERROR(INDEX('1.산군_붙여넣기'!$A$1:$AZ$1001,ROW(),설정!$C$9)&amp;"",""))</f>
        <v/>
      </c>
      <c r="H18">
        <f>IF(설정!$C$10="","",IFERROR(INDEX('1.산군_붙여넣기'!$A$1:$AZ$1001,ROW(),설정!$C$10)&amp;"",""))</f>
        <v/>
      </c>
      <c r="I18">
        <f>IF(설정!$C$11="","",IFERROR(INDEX('1.산군_붙여넣기'!$A$1:$AZ$1001,ROW(),설정!$C$11)&amp;"",""))</f>
        <v/>
      </c>
      <c r="J18">
        <f>IF(설정!$C$12="","",IFERROR(INDEX('1.산군_붙여넣기'!$A$1:$AZ$1001,ROW(),설정!$C$12)&amp;"",""))</f>
        <v/>
      </c>
      <c r="K18">
        <f>IF(설정!$C$13="","",IFERROR(INDEX('1.산군_붙여넣기'!$A$1:$AZ$1001,ROW(),설정!$C$13)&amp;"",""))</f>
        <v/>
      </c>
      <c r="L18" s="7">
        <f>IF(X18="","",IF(AND(LEN(X18)=8,ISNUMBER(X18*1)),DATE(LEFT(X18,4),MID(X18,5,2),RIGHT(X18,2)),IFERROR(DATEVALUE(SUBSTITUTE(SUBSTITUTE(X18,".","-"),"/","-")),IFERROR(X18*1,""))))</f>
        <v/>
      </c>
      <c r="M18" s="7">
        <f>IF(Y18="","",IF(AND(LEN(Y18)=8,ISNUMBER(Y18*1)),DATE(LEFT(Y18,4),MID(Y18,5,2),RIGHT(Y18,2)),IFERROR(DATEVALUE(SUBSTITUTE(SUBSTITUTE(Y18,".","-"),"/","-")),IFERROR(Y18*1,""))))</f>
        <v/>
      </c>
      <c r="N18">
        <f>IFERROR(LEFT(B18,FIND(" ",B18)-1),B18)</f>
        <v/>
      </c>
      <c r="O18">
        <f>AND(B18&lt;&gt;"",B18&lt;&gt;설정!$B$4,C18&lt;&gt;설정!$B$5)</f>
        <v/>
      </c>
      <c r="P18">
        <f>IF(O18,B18&amp;"|"&amp;C18,"")</f>
        <v/>
      </c>
      <c r="Q18">
        <f>AND(O18,COUNTIF(P19:P$1002,P18)=0)</f>
        <v/>
      </c>
      <c r="R18">
        <f>OR(AND(설정!$A$42&lt;&gt;"",ISNUMBER(SEARCH(설정!$A$42,E18&amp;" "&amp;C18))),AND(설정!$A$43&lt;&gt;"",ISNUMBER(SEARCH(설정!$A$43,E18&amp;" "&amp;C18))),AND(설정!$A$44&lt;&gt;"",ISNUMBER(SEARCH(설정!$A$44,E18&amp;" "&amp;C18))),AND(설정!$A$45&lt;&gt;"",ISNUMBER(SEARCH(설정!$A$45,E18&amp;" "&amp;C18))),AND(설정!$A$46&lt;&gt;"",ISNUMBER(SEARCH(설정!$A$46,E18&amp;" "&amp;C18))),AND(설정!$A$47&lt;&gt;"",ISNUMBER(SEARCH(설정!$A$47,E18&amp;" "&amp;C18))),AND(설정!$A$48&lt;&gt;"",ISNUMBER(SEARCH(설정!$A$48,E18&amp;" "&amp;C18))),AND(설정!$A$49&lt;&gt;"",ISNUMBER(SEARCH(설정!$A$49,E18&amp;" "&amp;C18))),AND(설정!$A$50&lt;&gt;"",ISNUMBER(SEARCH(설정!$A$50,E18&amp;" "&amp;C18))),AND(설정!$A$51&lt;&gt;"",ISNUMBER(SEARCH(설정!$A$51,E18&amp;" "&amp;C18))))</f>
        <v/>
      </c>
      <c r="S18">
        <f>OR(D18="",D18&gt;=설정!$B$19)</f>
        <v/>
      </c>
      <c r="T18">
        <f>AND(Q18,R18,S18)</f>
        <v/>
      </c>
      <c r="U18">
        <f>IF(T18,IF(AND(설정!$A$54&lt;&gt;"",ISNUMBER(SEARCH(설정!$A$54,K18))),설정!$B$54,IF(AND(설정!$A$55&lt;&gt;"",ISNUMBER(SEARCH(설정!$A$55,K18))),설정!$B$55,IF(AND(설정!$A$56&lt;&gt;"",ISNUMBER(SEARCH(설정!$A$56,K18))),설정!$B$56,IF(AND(설정!$A$57&lt;&gt;"",ISNUMBER(SEARCH(설정!$A$57,K18))),설정!$B$57,IF(AND(설정!$A$58&lt;&gt;"",ISNUMBER(SEARCH(설정!$A$58,K18))),설정!$B$58,IF(AND(설정!$A$59&lt;&gt;"",ISNUMBER(SEARCH(설정!$A$59,K18))),설정!$B$59,IF(AND(설정!$A$60&lt;&gt;"",ISNUMBER(SEARCH(설정!$A$60,K18))),설정!$B$60,IF(AND(설정!$A$61&lt;&gt;"",ISNUMBER(SEARCH(설정!$A$61,K18))),설정!$B$61,IF(M18="","설계사","시공사"))))))))),"")</f>
        <v/>
      </c>
      <c r="V18">
        <f>SUBSTITUTE(SUBSTITUTE(SUBSTITUTE(SUBSTITUTE(G18,"(주)",""),"㈜",""),"주식회사","")," ","")</f>
        <v/>
      </c>
      <c r="W18">
        <f>IF(AND(T18,V18&lt;&gt;""),IF(COUNTIFS(V$2:V18,V18,T$2:T18,TRUE)=1,MAX(W$1:W17)+1,""),"")</f>
        <v/>
      </c>
      <c r="X18">
        <f>IF(설정!$C$14="","",IFERROR(INDEX('1.산군_붙여넣기'!$A$1:$AZ$1001,ROW(),설정!$C$14)&amp;"",""))</f>
        <v/>
      </c>
      <c r="Y18">
        <f>IF(설정!$C$15="","",IFERROR(INDEX('1.산군_붙여넣기'!$A$1:$AZ$1001,ROW(),설정!$C$15)&amp;"",""))</f>
        <v/>
      </c>
      <c r="Z18">
        <f>IF(T18,V18&amp;"|"&amp;U18,"")</f>
        <v/>
      </c>
      <c r="AA18">
        <f>IF(NOT(Q18),"",IF(NOT(AND(R18,S18)),"✕",IF(OR(OR(AND(L18&lt;&gt;"",M18&lt;&gt;"",N(M18)-N(L18)&gt;설정!$B$27),AND(L18&lt;&gt;"",M18="",설정!$B$24-N(L18)&gt;설정!$B$27)),AND(D18&lt;&gt;"",D18&lt;설정!$B$26)),"△","★")))</f>
        <v/>
      </c>
      <c r="AB18">
        <f>IF(NOT(T18),"",IF(U18="설계사",설정!$B$31,IF(U18="시공사",IF(OR(M18="",설정!$B$24-N(M18)&lt;=설정!$B$28*30.4),설정!$B$32,설정!$B$33),설정!$B$34))+IF(AA18="★",설정!$B$35,0))</f>
        <v/>
      </c>
      <c r="AC18">
        <f>SUBSTITUTE(SUBSTITUTE(SUBSTITUTE(SUBSTITUTE(H18,"(주)",""),"㈜",""),"주식회사","")," ","")</f>
        <v/>
      </c>
      <c r="AD18">
        <f>IF(AND(T18,AC18&lt;&gt;""),IF(COUNTIFS(AC$2:AC18,AC18,T$2:T18,TRUE)=1,MAX(AD$1:AD17)+1,""),"")</f>
        <v/>
      </c>
    </row>
    <row r="19">
      <c r="A19">
        <f>ROW()</f>
        <v/>
      </c>
      <c r="B19">
        <f>IF(설정!$C$4="","",IFERROR(INDEX('1.산군_붙여넣기'!$A$1:$AZ$1001,ROW(),설정!$C$4)&amp;"",""))</f>
        <v/>
      </c>
      <c r="C19">
        <f>IF(설정!$C$5="","",IFERROR(INDEX('1.산군_붙여넣기'!$A$1:$AZ$1001,ROW(),설정!$C$5)&amp;"",""))</f>
        <v/>
      </c>
      <c r="D19" s="5">
        <f>IFERROR(VALUE(SUBSTITUTE(SUBSTITUTE(SUBSTITUTE(IF(설정!$C$6="","",IFERROR(INDEX('1.산군_붙여넣기'!$A$1:$AZ$1001,ROW(),설정!$C$6)&amp;"","")),",",""),"㎡",""),"m2","")),"")</f>
        <v/>
      </c>
      <c r="E19">
        <f>IF(설정!$C$7="","",IFERROR(INDEX('1.산군_붙여넣기'!$A$1:$AZ$1001,ROW(),설정!$C$7)&amp;"",""))</f>
        <v/>
      </c>
      <c r="F19">
        <f>IF(설정!$C$8="","",IFERROR(INDEX('1.산군_붙여넣기'!$A$1:$AZ$1001,ROW(),설정!$C$8)&amp;"",""))</f>
        <v/>
      </c>
      <c r="G19">
        <f>IF(설정!$C$9="","",IFERROR(INDEX('1.산군_붙여넣기'!$A$1:$AZ$1001,ROW(),설정!$C$9)&amp;"",""))</f>
        <v/>
      </c>
      <c r="H19">
        <f>IF(설정!$C$10="","",IFERROR(INDEX('1.산군_붙여넣기'!$A$1:$AZ$1001,ROW(),설정!$C$10)&amp;"",""))</f>
        <v/>
      </c>
      <c r="I19">
        <f>IF(설정!$C$11="","",IFERROR(INDEX('1.산군_붙여넣기'!$A$1:$AZ$1001,ROW(),설정!$C$11)&amp;"",""))</f>
        <v/>
      </c>
      <c r="J19">
        <f>IF(설정!$C$12="","",IFERROR(INDEX('1.산군_붙여넣기'!$A$1:$AZ$1001,ROW(),설정!$C$12)&amp;"",""))</f>
        <v/>
      </c>
      <c r="K19">
        <f>IF(설정!$C$13="","",IFERROR(INDEX('1.산군_붙여넣기'!$A$1:$AZ$1001,ROW(),설정!$C$13)&amp;"",""))</f>
        <v/>
      </c>
      <c r="L19" s="7">
        <f>IF(X19="","",IF(AND(LEN(X19)=8,ISNUMBER(X19*1)),DATE(LEFT(X19,4),MID(X19,5,2),RIGHT(X19,2)),IFERROR(DATEVALUE(SUBSTITUTE(SUBSTITUTE(X19,".","-"),"/","-")),IFERROR(X19*1,""))))</f>
        <v/>
      </c>
      <c r="M19" s="7">
        <f>IF(Y19="","",IF(AND(LEN(Y19)=8,ISNUMBER(Y19*1)),DATE(LEFT(Y19,4),MID(Y19,5,2),RIGHT(Y19,2)),IFERROR(DATEVALUE(SUBSTITUTE(SUBSTITUTE(Y19,".","-"),"/","-")),IFERROR(Y19*1,""))))</f>
        <v/>
      </c>
      <c r="N19">
        <f>IFERROR(LEFT(B19,FIND(" ",B19)-1),B19)</f>
        <v/>
      </c>
      <c r="O19">
        <f>AND(B19&lt;&gt;"",B19&lt;&gt;설정!$B$4,C19&lt;&gt;설정!$B$5)</f>
        <v/>
      </c>
      <c r="P19">
        <f>IF(O19,B19&amp;"|"&amp;C19,"")</f>
        <v/>
      </c>
      <c r="Q19">
        <f>AND(O19,COUNTIF(P20:P$1002,P19)=0)</f>
        <v/>
      </c>
      <c r="R19">
        <f>OR(AND(설정!$A$42&lt;&gt;"",ISNUMBER(SEARCH(설정!$A$42,E19&amp;" "&amp;C19))),AND(설정!$A$43&lt;&gt;"",ISNUMBER(SEARCH(설정!$A$43,E19&amp;" "&amp;C19))),AND(설정!$A$44&lt;&gt;"",ISNUMBER(SEARCH(설정!$A$44,E19&amp;" "&amp;C19))),AND(설정!$A$45&lt;&gt;"",ISNUMBER(SEARCH(설정!$A$45,E19&amp;" "&amp;C19))),AND(설정!$A$46&lt;&gt;"",ISNUMBER(SEARCH(설정!$A$46,E19&amp;" "&amp;C19))),AND(설정!$A$47&lt;&gt;"",ISNUMBER(SEARCH(설정!$A$47,E19&amp;" "&amp;C19))),AND(설정!$A$48&lt;&gt;"",ISNUMBER(SEARCH(설정!$A$48,E19&amp;" "&amp;C19))),AND(설정!$A$49&lt;&gt;"",ISNUMBER(SEARCH(설정!$A$49,E19&amp;" "&amp;C19))),AND(설정!$A$50&lt;&gt;"",ISNUMBER(SEARCH(설정!$A$50,E19&amp;" "&amp;C19))),AND(설정!$A$51&lt;&gt;"",ISNUMBER(SEARCH(설정!$A$51,E19&amp;" "&amp;C19))))</f>
        <v/>
      </c>
      <c r="S19">
        <f>OR(D19="",D19&gt;=설정!$B$19)</f>
        <v/>
      </c>
      <c r="T19">
        <f>AND(Q19,R19,S19)</f>
        <v/>
      </c>
      <c r="U19">
        <f>IF(T19,IF(AND(설정!$A$54&lt;&gt;"",ISNUMBER(SEARCH(설정!$A$54,K19))),설정!$B$54,IF(AND(설정!$A$55&lt;&gt;"",ISNUMBER(SEARCH(설정!$A$55,K19))),설정!$B$55,IF(AND(설정!$A$56&lt;&gt;"",ISNUMBER(SEARCH(설정!$A$56,K19))),설정!$B$56,IF(AND(설정!$A$57&lt;&gt;"",ISNUMBER(SEARCH(설정!$A$57,K19))),설정!$B$57,IF(AND(설정!$A$58&lt;&gt;"",ISNUMBER(SEARCH(설정!$A$58,K19))),설정!$B$58,IF(AND(설정!$A$59&lt;&gt;"",ISNUMBER(SEARCH(설정!$A$59,K19))),설정!$B$59,IF(AND(설정!$A$60&lt;&gt;"",ISNUMBER(SEARCH(설정!$A$60,K19))),설정!$B$60,IF(AND(설정!$A$61&lt;&gt;"",ISNUMBER(SEARCH(설정!$A$61,K19))),설정!$B$61,IF(M19="","설계사","시공사"))))))))),"")</f>
        <v/>
      </c>
      <c r="V19">
        <f>SUBSTITUTE(SUBSTITUTE(SUBSTITUTE(SUBSTITUTE(G19,"(주)",""),"㈜",""),"주식회사","")," ","")</f>
        <v/>
      </c>
      <c r="W19">
        <f>IF(AND(T19,V19&lt;&gt;""),IF(COUNTIFS(V$2:V19,V19,T$2:T19,TRUE)=1,MAX(W$1:W18)+1,""),"")</f>
        <v/>
      </c>
      <c r="X19">
        <f>IF(설정!$C$14="","",IFERROR(INDEX('1.산군_붙여넣기'!$A$1:$AZ$1001,ROW(),설정!$C$14)&amp;"",""))</f>
        <v/>
      </c>
      <c r="Y19">
        <f>IF(설정!$C$15="","",IFERROR(INDEX('1.산군_붙여넣기'!$A$1:$AZ$1001,ROW(),설정!$C$15)&amp;"",""))</f>
        <v/>
      </c>
      <c r="Z19">
        <f>IF(T19,V19&amp;"|"&amp;U19,"")</f>
        <v/>
      </c>
      <c r="AA19">
        <f>IF(NOT(Q19),"",IF(NOT(AND(R19,S19)),"✕",IF(OR(OR(AND(L19&lt;&gt;"",M19&lt;&gt;"",N(M19)-N(L19)&gt;설정!$B$27),AND(L19&lt;&gt;"",M19="",설정!$B$24-N(L19)&gt;설정!$B$27)),AND(D19&lt;&gt;"",D19&lt;설정!$B$26)),"△","★")))</f>
        <v/>
      </c>
      <c r="AB19">
        <f>IF(NOT(T19),"",IF(U19="설계사",설정!$B$31,IF(U19="시공사",IF(OR(M19="",설정!$B$24-N(M19)&lt;=설정!$B$28*30.4),설정!$B$32,설정!$B$33),설정!$B$34))+IF(AA19="★",설정!$B$35,0))</f>
        <v/>
      </c>
      <c r="AC19">
        <f>SUBSTITUTE(SUBSTITUTE(SUBSTITUTE(SUBSTITUTE(H19,"(주)",""),"㈜",""),"주식회사","")," ","")</f>
        <v/>
      </c>
      <c r="AD19">
        <f>IF(AND(T19,AC19&lt;&gt;""),IF(COUNTIFS(AC$2:AC19,AC19,T$2:T19,TRUE)=1,MAX(AD$1:AD18)+1,""),"")</f>
        <v/>
      </c>
    </row>
    <row r="20">
      <c r="A20">
        <f>ROW()</f>
        <v/>
      </c>
      <c r="B20">
        <f>IF(설정!$C$4="","",IFERROR(INDEX('1.산군_붙여넣기'!$A$1:$AZ$1001,ROW(),설정!$C$4)&amp;"",""))</f>
        <v/>
      </c>
      <c r="C20">
        <f>IF(설정!$C$5="","",IFERROR(INDEX('1.산군_붙여넣기'!$A$1:$AZ$1001,ROW(),설정!$C$5)&amp;"",""))</f>
        <v/>
      </c>
      <c r="D20" s="5">
        <f>IFERROR(VALUE(SUBSTITUTE(SUBSTITUTE(SUBSTITUTE(IF(설정!$C$6="","",IFERROR(INDEX('1.산군_붙여넣기'!$A$1:$AZ$1001,ROW(),설정!$C$6)&amp;"","")),",",""),"㎡",""),"m2","")),"")</f>
        <v/>
      </c>
      <c r="E20">
        <f>IF(설정!$C$7="","",IFERROR(INDEX('1.산군_붙여넣기'!$A$1:$AZ$1001,ROW(),설정!$C$7)&amp;"",""))</f>
        <v/>
      </c>
      <c r="F20">
        <f>IF(설정!$C$8="","",IFERROR(INDEX('1.산군_붙여넣기'!$A$1:$AZ$1001,ROW(),설정!$C$8)&amp;"",""))</f>
        <v/>
      </c>
      <c r="G20">
        <f>IF(설정!$C$9="","",IFERROR(INDEX('1.산군_붙여넣기'!$A$1:$AZ$1001,ROW(),설정!$C$9)&amp;"",""))</f>
        <v/>
      </c>
      <c r="H20">
        <f>IF(설정!$C$10="","",IFERROR(INDEX('1.산군_붙여넣기'!$A$1:$AZ$1001,ROW(),설정!$C$10)&amp;"",""))</f>
        <v/>
      </c>
      <c r="I20">
        <f>IF(설정!$C$11="","",IFERROR(INDEX('1.산군_붙여넣기'!$A$1:$AZ$1001,ROW(),설정!$C$11)&amp;"",""))</f>
        <v/>
      </c>
      <c r="J20">
        <f>IF(설정!$C$12="","",IFERROR(INDEX('1.산군_붙여넣기'!$A$1:$AZ$1001,ROW(),설정!$C$12)&amp;"",""))</f>
        <v/>
      </c>
      <c r="K20">
        <f>IF(설정!$C$13="","",IFERROR(INDEX('1.산군_붙여넣기'!$A$1:$AZ$1001,ROW(),설정!$C$13)&amp;"",""))</f>
        <v/>
      </c>
      <c r="L20" s="7">
        <f>IF(X20="","",IF(AND(LEN(X20)=8,ISNUMBER(X20*1)),DATE(LEFT(X20,4),MID(X20,5,2),RIGHT(X20,2)),IFERROR(DATEVALUE(SUBSTITUTE(SUBSTITUTE(X20,".","-"),"/","-")),IFERROR(X20*1,""))))</f>
        <v/>
      </c>
      <c r="M20" s="7">
        <f>IF(Y20="","",IF(AND(LEN(Y20)=8,ISNUMBER(Y20*1)),DATE(LEFT(Y20,4),MID(Y20,5,2),RIGHT(Y20,2)),IFERROR(DATEVALUE(SUBSTITUTE(SUBSTITUTE(Y20,".","-"),"/","-")),IFERROR(Y20*1,""))))</f>
        <v/>
      </c>
      <c r="N20">
        <f>IFERROR(LEFT(B20,FIND(" ",B20)-1),B20)</f>
        <v/>
      </c>
      <c r="O20">
        <f>AND(B20&lt;&gt;"",B20&lt;&gt;설정!$B$4,C20&lt;&gt;설정!$B$5)</f>
        <v/>
      </c>
      <c r="P20">
        <f>IF(O20,B20&amp;"|"&amp;C20,"")</f>
        <v/>
      </c>
      <c r="Q20">
        <f>AND(O20,COUNTIF(P21:P$1002,P20)=0)</f>
        <v/>
      </c>
      <c r="R20">
        <f>OR(AND(설정!$A$42&lt;&gt;"",ISNUMBER(SEARCH(설정!$A$42,E20&amp;" "&amp;C20))),AND(설정!$A$43&lt;&gt;"",ISNUMBER(SEARCH(설정!$A$43,E20&amp;" "&amp;C20))),AND(설정!$A$44&lt;&gt;"",ISNUMBER(SEARCH(설정!$A$44,E20&amp;" "&amp;C20))),AND(설정!$A$45&lt;&gt;"",ISNUMBER(SEARCH(설정!$A$45,E20&amp;" "&amp;C20))),AND(설정!$A$46&lt;&gt;"",ISNUMBER(SEARCH(설정!$A$46,E20&amp;" "&amp;C20))),AND(설정!$A$47&lt;&gt;"",ISNUMBER(SEARCH(설정!$A$47,E20&amp;" "&amp;C20))),AND(설정!$A$48&lt;&gt;"",ISNUMBER(SEARCH(설정!$A$48,E20&amp;" "&amp;C20))),AND(설정!$A$49&lt;&gt;"",ISNUMBER(SEARCH(설정!$A$49,E20&amp;" "&amp;C20))),AND(설정!$A$50&lt;&gt;"",ISNUMBER(SEARCH(설정!$A$50,E20&amp;" "&amp;C20))),AND(설정!$A$51&lt;&gt;"",ISNUMBER(SEARCH(설정!$A$51,E20&amp;" "&amp;C20))))</f>
        <v/>
      </c>
      <c r="S20">
        <f>OR(D20="",D20&gt;=설정!$B$19)</f>
        <v/>
      </c>
      <c r="T20">
        <f>AND(Q20,R20,S20)</f>
        <v/>
      </c>
      <c r="U20">
        <f>IF(T20,IF(AND(설정!$A$54&lt;&gt;"",ISNUMBER(SEARCH(설정!$A$54,K20))),설정!$B$54,IF(AND(설정!$A$55&lt;&gt;"",ISNUMBER(SEARCH(설정!$A$55,K20))),설정!$B$55,IF(AND(설정!$A$56&lt;&gt;"",ISNUMBER(SEARCH(설정!$A$56,K20))),설정!$B$56,IF(AND(설정!$A$57&lt;&gt;"",ISNUMBER(SEARCH(설정!$A$57,K20))),설정!$B$57,IF(AND(설정!$A$58&lt;&gt;"",ISNUMBER(SEARCH(설정!$A$58,K20))),설정!$B$58,IF(AND(설정!$A$59&lt;&gt;"",ISNUMBER(SEARCH(설정!$A$59,K20))),설정!$B$59,IF(AND(설정!$A$60&lt;&gt;"",ISNUMBER(SEARCH(설정!$A$60,K20))),설정!$B$60,IF(AND(설정!$A$61&lt;&gt;"",ISNUMBER(SEARCH(설정!$A$61,K20))),설정!$B$61,IF(M20="","설계사","시공사"))))))))),"")</f>
        <v/>
      </c>
      <c r="V20">
        <f>SUBSTITUTE(SUBSTITUTE(SUBSTITUTE(SUBSTITUTE(G20,"(주)",""),"㈜",""),"주식회사","")," ","")</f>
        <v/>
      </c>
      <c r="W20">
        <f>IF(AND(T20,V20&lt;&gt;""),IF(COUNTIFS(V$2:V20,V20,T$2:T20,TRUE)=1,MAX(W$1:W19)+1,""),"")</f>
        <v/>
      </c>
      <c r="X20">
        <f>IF(설정!$C$14="","",IFERROR(INDEX('1.산군_붙여넣기'!$A$1:$AZ$1001,ROW(),설정!$C$14)&amp;"",""))</f>
        <v/>
      </c>
      <c r="Y20">
        <f>IF(설정!$C$15="","",IFERROR(INDEX('1.산군_붙여넣기'!$A$1:$AZ$1001,ROW(),설정!$C$15)&amp;"",""))</f>
        <v/>
      </c>
      <c r="Z20">
        <f>IF(T20,V20&amp;"|"&amp;U20,"")</f>
        <v/>
      </c>
      <c r="AA20">
        <f>IF(NOT(Q20),"",IF(NOT(AND(R20,S20)),"✕",IF(OR(OR(AND(L20&lt;&gt;"",M20&lt;&gt;"",N(M20)-N(L20)&gt;설정!$B$27),AND(L20&lt;&gt;"",M20="",설정!$B$24-N(L20)&gt;설정!$B$27)),AND(D20&lt;&gt;"",D20&lt;설정!$B$26)),"△","★")))</f>
        <v/>
      </c>
      <c r="AB20">
        <f>IF(NOT(T20),"",IF(U20="설계사",설정!$B$31,IF(U20="시공사",IF(OR(M20="",설정!$B$24-N(M20)&lt;=설정!$B$28*30.4),설정!$B$32,설정!$B$33),설정!$B$34))+IF(AA20="★",설정!$B$35,0))</f>
        <v/>
      </c>
      <c r="AC20">
        <f>SUBSTITUTE(SUBSTITUTE(SUBSTITUTE(SUBSTITUTE(H20,"(주)",""),"㈜",""),"주식회사","")," ","")</f>
        <v/>
      </c>
      <c r="AD20">
        <f>IF(AND(T20,AC20&lt;&gt;""),IF(COUNTIFS(AC$2:AC20,AC20,T$2:T20,TRUE)=1,MAX(AD$1:AD19)+1,""),"")</f>
        <v/>
      </c>
    </row>
    <row r="21">
      <c r="A21">
        <f>ROW()</f>
        <v/>
      </c>
      <c r="B21">
        <f>IF(설정!$C$4="","",IFERROR(INDEX('1.산군_붙여넣기'!$A$1:$AZ$1001,ROW(),설정!$C$4)&amp;"",""))</f>
        <v/>
      </c>
      <c r="C21">
        <f>IF(설정!$C$5="","",IFERROR(INDEX('1.산군_붙여넣기'!$A$1:$AZ$1001,ROW(),설정!$C$5)&amp;"",""))</f>
        <v/>
      </c>
      <c r="D21" s="5">
        <f>IFERROR(VALUE(SUBSTITUTE(SUBSTITUTE(SUBSTITUTE(IF(설정!$C$6="","",IFERROR(INDEX('1.산군_붙여넣기'!$A$1:$AZ$1001,ROW(),설정!$C$6)&amp;"","")),",",""),"㎡",""),"m2","")),"")</f>
        <v/>
      </c>
      <c r="E21">
        <f>IF(설정!$C$7="","",IFERROR(INDEX('1.산군_붙여넣기'!$A$1:$AZ$1001,ROW(),설정!$C$7)&amp;"",""))</f>
        <v/>
      </c>
      <c r="F21">
        <f>IF(설정!$C$8="","",IFERROR(INDEX('1.산군_붙여넣기'!$A$1:$AZ$1001,ROW(),설정!$C$8)&amp;"",""))</f>
        <v/>
      </c>
      <c r="G21">
        <f>IF(설정!$C$9="","",IFERROR(INDEX('1.산군_붙여넣기'!$A$1:$AZ$1001,ROW(),설정!$C$9)&amp;"",""))</f>
        <v/>
      </c>
      <c r="H21">
        <f>IF(설정!$C$10="","",IFERROR(INDEX('1.산군_붙여넣기'!$A$1:$AZ$1001,ROW(),설정!$C$10)&amp;"",""))</f>
        <v/>
      </c>
      <c r="I21">
        <f>IF(설정!$C$11="","",IFERROR(INDEX('1.산군_붙여넣기'!$A$1:$AZ$1001,ROW(),설정!$C$11)&amp;"",""))</f>
        <v/>
      </c>
      <c r="J21">
        <f>IF(설정!$C$12="","",IFERROR(INDEX('1.산군_붙여넣기'!$A$1:$AZ$1001,ROW(),설정!$C$12)&amp;"",""))</f>
        <v/>
      </c>
      <c r="K21">
        <f>IF(설정!$C$13="","",IFERROR(INDEX('1.산군_붙여넣기'!$A$1:$AZ$1001,ROW(),설정!$C$13)&amp;"",""))</f>
        <v/>
      </c>
      <c r="L21" s="7">
        <f>IF(X21="","",IF(AND(LEN(X21)=8,ISNUMBER(X21*1)),DATE(LEFT(X21,4),MID(X21,5,2),RIGHT(X21,2)),IFERROR(DATEVALUE(SUBSTITUTE(SUBSTITUTE(X21,".","-"),"/","-")),IFERROR(X21*1,""))))</f>
        <v/>
      </c>
      <c r="M21" s="7">
        <f>IF(Y21="","",IF(AND(LEN(Y21)=8,ISNUMBER(Y21*1)),DATE(LEFT(Y21,4),MID(Y21,5,2),RIGHT(Y21,2)),IFERROR(DATEVALUE(SUBSTITUTE(SUBSTITUTE(Y21,".","-"),"/","-")),IFERROR(Y21*1,""))))</f>
        <v/>
      </c>
      <c r="N21">
        <f>IFERROR(LEFT(B21,FIND(" ",B21)-1),B21)</f>
        <v/>
      </c>
      <c r="O21">
        <f>AND(B21&lt;&gt;"",B21&lt;&gt;설정!$B$4,C21&lt;&gt;설정!$B$5)</f>
        <v/>
      </c>
      <c r="P21">
        <f>IF(O21,B21&amp;"|"&amp;C21,"")</f>
        <v/>
      </c>
      <c r="Q21">
        <f>AND(O21,COUNTIF(P22:P$1002,P21)=0)</f>
        <v/>
      </c>
      <c r="R21">
        <f>OR(AND(설정!$A$42&lt;&gt;"",ISNUMBER(SEARCH(설정!$A$42,E21&amp;" "&amp;C21))),AND(설정!$A$43&lt;&gt;"",ISNUMBER(SEARCH(설정!$A$43,E21&amp;" "&amp;C21))),AND(설정!$A$44&lt;&gt;"",ISNUMBER(SEARCH(설정!$A$44,E21&amp;" "&amp;C21))),AND(설정!$A$45&lt;&gt;"",ISNUMBER(SEARCH(설정!$A$45,E21&amp;" "&amp;C21))),AND(설정!$A$46&lt;&gt;"",ISNUMBER(SEARCH(설정!$A$46,E21&amp;" "&amp;C21))),AND(설정!$A$47&lt;&gt;"",ISNUMBER(SEARCH(설정!$A$47,E21&amp;" "&amp;C21))),AND(설정!$A$48&lt;&gt;"",ISNUMBER(SEARCH(설정!$A$48,E21&amp;" "&amp;C21))),AND(설정!$A$49&lt;&gt;"",ISNUMBER(SEARCH(설정!$A$49,E21&amp;" "&amp;C21))),AND(설정!$A$50&lt;&gt;"",ISNUMBER(SEARCH(설정!$A$50,E21&amp;" "&amp;C21))),AND(설정!$A$51&lt;&gt;"",ISNUMBER(SEARCH(설정!$A$51,E21&amp;" "&amp;C21))))</f>
        <v/>
      </c>
      <c r="S21">
        <f>OR(D21="",D21&gt;=설정!$B$19)</f>
        <v/>
      </c>
      <c r="T21">
        <f>AND(Q21,R21,S21)</f>
        <v/>
      </c>
      <c r="U21">
        <f>IF(T21,IF(AND(설정!$A$54&lt;&gt;"",ISNUMBER(SEARCH(설정!$A$54,K21))),설정!$B$54,IF(AND(설정!$A$55&lt;&gt;"",ISNUMBER(SEARCH(설정!$A$55,K21))),설정!$B$55,IF(AND(설정!$A$56&lt;&gt;"",ISNUMBER(SEARCH(설정!$A$56,K21))),설정!$B$56,IF(AND(설정!$A$57&lt;&gt;"",ISNUMBER(SEARCH(설정!$A$57,K21))),설정!$B$57,IF(AND(설정!$A$58&lt;&gt;"",ISNUMBER(SEARCH(설정!$A$58,K21))),설정!$B$58,IF(AND(설정!$A$59&lt;&gt;"",ISNUMBER(SEARCH(설정!$A$59,K21))),설정!$B$59,IF(AND(설정!$A$60&lt;&gt;"",ISNUMBER(SEARCH(설정!$A$60,K21))),설정!$B$60,IF(AND(설정!$A$61&lt;&gt;"",ISNUMBER(SEARCH(설정!$A$61,K21))),설정!$B$61,IF(M21="","설계사","시공사"))))))))),"")</f>
        <v/>
      </c>
      <c r="V21">
        <f>SUBSTITUTE(SUBSTITUTE(SUBSTITUTE(SUBSTITUTE(G21,"(주)",""),"㈜",""),"주식회사","")," ","")</f>
        <v/>
      </c>
      <c r="W21">
        <f>IF(AND(T21,V21&lt;&gt;""),IF(COUNTIFS(V$2:V21,V21,T$2:T21,TRUE)=1,MAX(W$1:W20)+1,""),"")</f>
        <v/>
      </c>
      <c r="X21">
        <f>IF(설정!$C$14="","",IFERROR(INDEX('1.산군_붙여넣기'!$A$1:$AZ$1001,ROW(),설정!$C$14)&amp;"",""))</f>
        <v/>
      </c>
      <c r="Y21">
        <f>IF(설정!$C$15="","",IFERROR(INDEX('1.산군_붙여넣기'!$A$1:$AZ$1001,ROW(),설정!$C$15)&amp;"",""))</f>
        <v/>
      </c>
      <c r="Z21">
        <f>IF(T21,V21&amp;"|"&amp;U21,"")</f>
        <v/>
      </c>
      <c r="AA21">
        <f>IF(NOT(Q21),"",IF(NOT(AND(R21,S21)),"✕",IF(OR(OR(AND(L21&lt;&gt;"",M21&lt;&gt;"",N(M21)-N(L21)&gt;설정!$B$27),AND(L21&lt;&gt;"",M21="",설정!$B$24-N(L21)&gt;설정!$B$27)),AND(D21&lt;&gt;"",D21&lt;설정!$B$26)),"△","★")))</f>
        <v/>
      </c>
      <c r="AB21">
        <f>IF(NOT(T21),"",IF(U21="설계사",설정!$B$31,IF(U21="시공사",IF(OR(M21="",설정!$B$24-N(M21)&lt;=설정!$B$28*30.4),설정!$B$32,설정!$B$33),설정!$B$34))+IF(AA21="★",설정!$B$35,0))</f>
        <v/>
      </c>
      <c r="AC21">
        <f>SUBSTITUTE(SUBSTITUTE(SUBSTITUTE(SUBSTITUTE(H21,"(주)",""),"㈜",""),"주식회사","")," ","")</f>
        <v/>
      </c>
      <c r="AD21">
        <f>IF(AND(T21,AC21&lt;&gt;""),IF(COUNTIFS(AC$2:AC21,AC21,T$2:T21,TRUE)=1,MAX(AD$1:AD20)+1,""),"")</f>
        <v/>
      </c>
    </row>
    <row r="22">
      <c r="A22">
        <f>ROW()</f>
        <v/>
      </c>
      <c r="B22">
        <f>IF(설정!$C$4="","",IFERROR(INDEX('1.산군_붙여넣기'!$A$1:$AZ$1001,ROW(),설정!$C$4)&amp;"",""))</f>
        <v/>
      </c>
      <c r="C22">
        <f>IF(설정!$C$5="","",IFERROR(INDEX('1.산군_붙여넣기'!$A$1:$AZ$1001,ROW(),설정!$C$5)&amp;"",""))</f>
        <v/>
      </c>
      <c r="D22" s="5">
        <f>IFERROR(VALUE(SUBSTITUTE(SUBSTITUTE(SUBSTITUTE(IF(설정!$C$6="","",IFERROR(INDEX('1.산군_붙여넣기'!$A$1:$AZ$1001,ROW(),설정!$C$6)&amp;"","")),",",""),"㎡",""),"m2","")),"")</f>
        <v/>
      </c>
      <c r="E22">
        <f>IF(설정!$C$7="","",IFERROR(INDEX('1.산군_붙여넣기'!$A$1:$AZ$1001,ROW(),설정!$C$7)&amp;"",""))</f>
        <v/>
      </c>
      <c r="F22">
        <f>IF(설정!$C$8="","",IFERROR(INDEX('1.산군_붙여넣기'!$A$1:$AZ$1001,ROW(),설정!$C$8)&amp;"",""))</f>
        <v/>
      </c>
      <c r="G22">
        <f>IF(설정!$C$9="","",IFERROR(INDEX('1.산군_붙여넣기'!$A$1:$AZ$1001,ROW(),설정!$C$9)&amp;"",""))</f>
        <v/>
      </c>
      <c r="H22">
        <f>IF(설정!$C$10="","",IFERROR(INDEX('1.산군_붙여넣기'!$A$1:$AZ$1001,ROW(),설정!$C$10)&amp;"",""))</f>
        <v/>
      </c>
      <c r="I22">
        <f>IF(설정!$C$11="","",IFERROR(INDEX('1.산군_붙여넣기'!$A$1:$AZ$1001,ROW(),설정!$C$11)&amp;"",""))</f>
        <v/>
      </c>
      <c r="J22">
        <f>IF(설정!$C$12="","",IFERROR(INDEX('1.산군_붙여넣기'!$A$1:$AZ$1001,ROW(),설정!$C$12)&amp;"",""))</f>
        <v/>
      </c>
      <c r="K22">
        <f>IF(설정!$C$13="","",IFERROR(INDEX('1.산군_붙여넣기'!$A$1:$AZ$1001,ROW(),설정!$C$13)&amp;"",""))</f>
        <v/>
      </c>
      <c r="L22" s="7">
        <f>IF(X22="","",IF(AND(LEN(X22)=8,ISNUMBER(X22*1)),DATE(LEFT(X22,4),MID(X22,5,2),RIGHT(X22,2)),IFERROR(DATEVALUE(SUBSTITUTE(SUBSTITUTE(X22,".","-"),"/","-")),IFERROR(X22*1,""))))</f>
        <v/>
      </c>
      <c r="M22" s="7">
        <f>IF(Y22="","",IF(AND(LEN(Y22)=8,ISNUMBER(Y22*1)),DATE(LEFT(Y22,4),MID(Y22,5,2),RIGHT(Y22,2)),IFERROR(DATEVALUE(SUBSTITUTE(SUBSTITUTE(Y22,".","-"),"/","-")),IFERROR(Y22*1,""))))</f>
        <v/>
      </c>
      <c r="N22">
        <f>IFERROR(LEFT(B22,FIND(" ",B22)-1),B22)</f>
        <v/>
      </c>
      <c r="O22">
        <f>AND(B22&lt;&gt;"",B22&lt;&gt;설정!$B$4,C22&lt;&gt;설정!$B$5)</f>
        <v/>
      </c>
      <c r="P22">
        <f>IF(O22,B22&amp;"|"&amp;C22,"")</f>
        <v/>
      </c>
      <c r="Q22">
        <f>AND(O22,COUNTIF(P23:P$1002,P22)=0)</f>
        <v/>
      </c>
      <c r="R22">
        <f>OR(AND(설정!$A$42&lt;&gt;"",ISNUMBER(SEARCH(설정!$A$42,E22&amp;" "&amp;C22))),AND(설정!$A$43&lt;&gt;"",ISNUMBER(SEARCH(설정!$A$43,E22&amp;" "&amp;C22))),AND(설정!$A$44&lt;&gt;"",ISNUMBER(SEARCH(설정!$A$44,E22&amp;" "&amp;C22))),AND(설정!$A$45&lt;&gt;"",ISNUMBER(SEARCH(설정!$A$45,E22&amp;" "&amp;C22))),AND(설정!$A$46&lt;&gt;"",ISNUMBER(SEARCH(설정!$A$46,E22&amp;" "&amp;C22))),AND(설정!$A$47&lt;&gt;"",ISNUMBER(SEARCH(설정!$A$47,E22&amp;" "&amp;C22))),AND(설정!$A$48&lt;&gt;"",ISNUMBER(SEARCH(설정!$A$48,E22&amp;" "&amp;C22))),AND(설정!$A$49&lt;&gt;"",ISNUMBER(SEARCH(설정!$A$49,E22&amp;" "&amp;C22))),AND(설정!$A$50&lt;&gt;"",ISNUMBER(SEARCH(설정!$A$50,E22&amp;" "&amp;C22))),AND(설정!$A$51&lt;&gt;"",ISNUMBER(SEARCH(설정!$A$51,E22&amp;" "&amp;C22))))</f>
        <v/>
      </c>
      <c r="S22">
        <f>OR(D22="",D22&gt;=설정!$B$19)</f>
        <v/>
      </c>
      <c r="T22">
        <f>AND(Q22,R22,S22)</f>
        <v/>
      </c>
      <c r="U22">
        <f>IF(T22,IF(AND(설정!$A$54&lt;&gt;"",ISNUMBER(SEARCH(설정!$A$54,K22))),설정!$B$54,IF(AND(설정!$A$55&lt;&gt;"",ISNUMBER(SEARCH(설정!$A$55,K22))),설정!$B$55,IF(AND(설정!$A$56&lt;&gt;"",ISNUMBER(SEARCH(설정!$A$56,K22))),설정!$B$56,IF(AND(설정!$A$57&lt;&gt;"",ISNUMBER(SEARCH(설정!$A$57,K22))),설정!$B$57,IF(AND(설정!$A$58&lt;&gt;"",ISNUMBER(SEARCH(설정!$A$58,K22))),설정!$B$58,IF(AND(설정!$A$59&lt;&gt;"",ISNUMBER(SEARCH(설정!$A$59,K22))),설정!$B$59,IF(AND(설정!$A$60&lt;&gt;"",ISNUMBER(SEARCH(설정!$A$60,K22))),설정!$B$60,IF(AND(설정!$A$61&lt;&gt;"",ISNUMBER(SEARCH(설정!$A$61,K22))),설정!$B$61,IF(M22="","설계사","시공사"))))))))),"")</f>
        <v/>
      </c>
      <c r="V22">
        <f>SUBSTITUTE(SUBSTITUTE(SUBSTITUTE(SUBSTITUTE(G22,"(주)",""),"㈜",""),"주식회사","")," ","")</f>
        <v/>
      </c>
      <c r="W22">
        <f>IF(AND(T22,V22&lt;&gt;""),IF(COUNTIFS(V$2:V22,V22,T$2:T22,TRUE)=1,MAX(W$1:W21)+1,""),"")</f>
        <v/>
      </c>
      <c r="X22">
        <f>IF(설정!$C$14="","",IFERROR(INDEX('1.산군_붙여넣기'!$A$1:$AZ$1001,ROW(),설정!$C$14)&amp;"",""))</f>
        <v/>
      </c>
      <c r="Y22">
        <f>IF(설정!$C$15="","",IFERROR(INDEX('1.산군_붙여넣기'!$A$1:$AZ$1001,ROW(),설정!$C$15)&amp;"",""))</f>
        <v/>
      </c>
      <c r="Z22">
        <f>IF(T22,V22&amp;"|"&amp;U22,"")</f>
        <v/>
      </c>
      <c r="AA22">
        <f>IF(NOT(Q22),"",IF(NOT(AND(R22,S22)),"✕",IF(OR(OR(AND(L22&lt;&gt;"",M22&lt;&gt;"",N(M22)-N(L22)&gt;설정!$B$27),AND(L22&lt;&gt;"",M22="",설정!$B$24-N(L22)&gt;설정!$B$27)),AND(D22&lt;&gt;"",D22&lt;설정!$B$26)),"△","★")))</f>
        <v/>
      </c>
      <c r="AB22">
        <f>IF(NOT(T22),"",IF(U22="설계사",설정!$B$31,IF(U22="시공사",IF(OR(M22="",설정!$B$24-N(M22)&lt;=설정!$B$28*30.4),설정!$B$32,설정!$B$33),설정!$B$34))+IF(AA22="★",설정!$B$35,0))</f>
        <v/>
      </c>
      <c r="AC22">
        <f>SUBSTITUTE(SUBSTITUTE(SUBSTITUTE(SUBSTITUTE(H22,"(주)",""),"㈜",""),"주식회사","")," ","")</f>
        <v/>
      </c>
      <c r="AD22">
        <f>IF(AND(T22,AC22&lt;&gt;""),IF(COUNTIFS(AC$2:AC22,AC22,T$2:T22,TRUE)=1,MAX(AD$1:AD21)+1,""),"")</f>
        <v/>
      </c>
    </row>
    <row r="23">
      <c r="A23">
        <f>ROW()</f>
        <v/>
      </c>
      <c r="B23">
        <f>IF(설정!$C$4="","",IFERROR(INDEX('1.산군_붙여넣기'!$A$1:$AZ$1001,ROW(),설정!$C$4)&amp;"",""))</f>
        <v/>
      </c>
      <c r="C23">
        <f>IF(설정!$C$5="","",IFERROR(INDEX('1.산군_붙여넣기'!$A$1:$AZ$1001,ROW(),설정!$C$5)&amp;"",""))</f>
        <v/>
      </c>
      <c r="D23" s="5">
        <f>IFERROR(VALUE(SUBSTITUTE(SUBSTITUTE(SUBSTITUTE(IF(설정!$C$6="","",IFERROR(INDEX('1.산군_붙여넣기'!$A$1:$AZ$1001,ROW(),설정!$C$6)&amp;"","")),",",""),"㎡",""),"m2","")),"")</f>
        <v/>
      </c>
      <c r="E23">
        <f>IF(설정!$C$7="","",IFERROR(INDEX('1.산군_붙여넣기'!$A$1:$AZ$1001,ROW(),설정!$C$7)&amp;"",""))</f>
        <v/>
      </c>
      <c r="F23">
        <f>IF(설정!$C$8="","",IFERROR(INDEX('1.산군_붙여넣기'!$A$1:$AZ$1001,ROW(),설정!$C$8)&amp;"",""))</f>
        <v/>
      </c>
      <c r="G23">
        <f>IF(설정!$C$9="","",IFERROR(INDEX('1.산군_붙여넣기'!$A$1:$AZ$1001,ROW(),설정!$C$9)&amp;"",""))</f>
        <v/>
      </c>
      <c r="H23">
        <f>IF(설정!$C$10="","",IFERROR(INDEX('1.산군_붙여넣기'!$A$1:$AZ$1001,ROW(),설정!$C$10)&amp;"",""))</f>
        <v/>
      </c>
      <c r="I23">
        <f>IF(설정!$C$11="","",IFERROR(INDEX('1.산군_붙여넣기'!$A$1:$AZ$1001,ROW(),설정!$C$11)&amp;"",""))</f>
        <v/>
      </c>
      <c r="J23">
        <f>IF(설정!$C$12="","",IFERROR(INDEX('1.산군_붙여넣기'!$A$1:$AZ$1001,ROW(),설정!$C$12)&amp;"",""))</f>
        <v/>
      </c>
      <c r="K23">
        <f>IF(설정!$C$13="","",IFERROR(INDEX('1.산군_붙여넣기'!$A$1:$AZ$1001,ROW(),설정!$C$13)&amp;"",""))</f>
        <v/>
      </c>
      <c r="L23" s="7">
        <f>IF(X23="","",IF(AND(LEN(X23)=8,ISNUMBER(X23*1)),DATE(LEFT(X23,4),MID(X23,5,2),RIGHT(X23,2)),IFERROR(DATEVALUE(SUBSTITUTE(SUBSTITUTE(X23,".","-"),"/","-")),IFERROR(X23*1,""))))</f>
        <v/>
      </c>
      <c r="M23" s="7">
        <f>IF(Y23="","",IF(AND(LEN(Y23)=8,ISNUMBER(Y23*1)),DATE(LEFT(Y23,4),MID(Y23,5,2),RIGHT(Y23,2)),IFERROR(DATEVALUE(SUBSTITUTE(SUBSTITUTE(Y23,".","-"),"/","-")),IFERROR(Y23*1,""))))</f>
        <v/>
      </c>
      <c r="N23">
        <f>IFERROR(LEFT(B23,FIND(" ",B23)-1),B23)</f>
        <v/>
      </c>
      <c r="O23">
        <f>AND(B23&lt;&gt;"",B23&lt;&gt;설정!$B$4,C23&lt;&gt;설정!$B$5)</f>
        <v/>
      </c>
      <c r="P23">
        <f>IF(O23,B23&amp;"|"&amp;C23,"")</f>
        <v/>
      </c>
      <c r="Q23">
        <f>AND(O23,COUNTIF(P24:P$1002,P23)=0)</f>
        <v/>
      </c>
      <c r="R23">
        <f>OR(AND(설정!$A$42&lt;&gt;"",ISNUMBER(SEARCH(설정!$A$42,E23&amp;" "&amp;C23))),AND(설정!$A$43&lt;&gt;"",ISNUMBER(SEARCH(설정!$A$43,E23&amp;" "&amp;C23))),AND(설정!$A$44&lt;&gt;"",ISNUMBER(SEARCH(설정!$A$44,E23&amp;" "&amp;C23))),AND(설정!$A$45&lt;&gt;"",ISNUMBER(SEARCH(설정!$A$45,E23&amp;" "&amp;C23))),AND(설정!$A$46&lt;&gt;"",ISNUMBER(SEARCH(설정!$A$46,E23&amp;" "&amp;C23))),AND(설정!$A$47&lt;&gt;"",ISNUMBER(SEARCH(설정!$A$47,E23&amp;" "&amp;C23))),AND(설정!$A$48&lt;&gt;"",ISNUMBER(SEARCH(설정!$A$48,E23&amp;" "&amp;C23))),AND(설정!$A$49&lt;&gt;"",ISNUMBER(SEARCH(설정!$A$49,E23&amp;" "&amp;C23))),AND(설정!$A$50&lt;&gt;"",ISNUMBER(SEARCH(설정!$A$50,E23&amp;" "&amp;C23))),AND(설정!$A$51&lt;&gt;"",ISNUMBER(SEARCH(설정!$A$51,E23&amp;" "&amp;C23))))</f>
        <v/>
      </c>
      <c r="S23">
        <f>OR(D23="",D23&gt;=설정!$B$19)</f>
        <v/>
      </c>
      <c r="T23">
        <f>AND(Q23,R23,S23)</f>
        <v/>
      </c>
      <c r="U23">
        <f>IF(T23,IF(AND(설정!$A$54&lt;&gt;"",ISNUMBER(SEARCH(설정!$A$54,K23))),설정!$B$54,IF(AND(설정!$A$55&lt;&gt;"",ISNUMBER(SEARCH(설정!$A$55,K23))),설정!$B$55,IF(AND(설정!$A$56&lt;&gt;"",ISNUMBER(SEARCH(설정!$A$56,K23))),설정!$B$56,IF(AND(설정!$A$57&lt;&gt;"",ISNUMBER(SEARCH(설정!$A$57,K23))),설정!$B$57,IF(AND(설정!$A$58&lt;&gt;"",ISNUMBER(SEARCH(설정!$A$58,K23))),설정!$B$58,IF(AND(설정!$A$59&lt;&gt;"",ISNUMBER(SEARCH(설정!$A$59,K23))),설정!$B$59,IF(AND(설정!$A$60&lt;&gt;"",ISNUMBER(SEARCH(설정!$A$60,K23))),설정!$B$60,IF(AND(설정!$A$61&lt;&gt;"",ISNUMBER(SEARCH(설정!$A$61,K23))),설정!$B$61,IF(M23="","설계사","시공사"))))))))),"")</f>
        <v/>
      </c>
      <c r="V23">
        <f>SUBSTITUTE(SUBSTITUTE(SUBSTITUTE(SUBSTITUTE(G23,"(주)",""),"㈜",""),"주식회사","")," ","")</f>
        <v/>
      </c>
      <c r="W23">
        <f>IF(AND(T23,V23&lt;&gt;""),IF(COUNTIFS(V$2:V23,V23,T$2:T23,TRUE)=1,MAX(W$1:W22)+1,""),"")</f>
        <v/>
      </c>
      <c r="X23">
        <f>IF(설정!$C$14="","",IFERROR(INDEX('1.산군_붙여넣기'!$A$1:$AZ$1001,ROW(),설정!$C$14)&amp;"",""))</f>
        <v/>
      </c>
      <c r="Y23">
        <f>IF(설정!$C$15="","",IFERROR(INDEX('1.산군_붙여넣기'!$A$1:$AZ$1001,ROW(),설정!$C$15)&amp;"",""))</f>
        <v/>
      </c>
      <c r="Z23">
        <f>IF(T23,V23&amp;"|"&amp;U23,"")</f>
        <v/>
      </c>
      <c r="AA23">
        <f>IF(NOT(Q23),"",IF(NOT(AND(R23,S23)),"✕",IF(OR(OR(AND(L23&lt;&gt;"",M23&lt;&gt;"",N(M23)-N(L23)&gt;설정!$B$27),AND(L23&lt;&gt;"",M23="",설정!$B$24-N(L23)&gt;설정!$B$27)),AND(D23&lt;&gt;"",D23&lt;설정!$B$26)),"△","★")))</f>
        <v/>
      </c>
      <c r="AB23">
        <f>IF(NOT(T23),"",IF(U23="설계사",설정!$B$31,IF(U23="시공사",IF(OR(M23="",설정!$B$24-N(M23)&lt;=설정!$B$28*30.4),설정!$B$32,설정!$B$33),설정!$B$34))+IF(AA23="★",설정!$B$35,0))</f>
        <v/>
      </c>
      <c r="AC23">
        <f>SUBSTITUTE(SUBSTITUTE(SUBSTITUTE(SUBSTITUTE(H23,"(주)",""),"㈜",""),"주식회사","")," ","")</f>
        <v/>
      </c>
      <c r="AD23">
        <f>IF(AND(T23,AC23&lt;&gt;""),IF(COUNTIFS(AC$2:AC23,AC23,T$2:T23,TRUE)=1,MAX(AD$1:AD22)+1,""),"")</f>
        <v/>
      </c>
    </row>
    <row r="24">
      <c r="A24">
        <f>ROW()</f>
        <v/>
      </c>
      <c r="B24">
        <f>IF(설정!$C$4="","",IFERROR(INDEX('1.산군_붙여넣기'!$A$1:$AZ$1001,ROW(),설정!$C$4)&amp;"",""))</f>
        <v/>
      </c>
      <c r="C24">
        <f>IF(설정!$C$5="","",IFERROR(INDEX('1.산군_붙여넣기'!$A$1:$AZ$1001,ROW(),설정!$C$5)&amp;"",""))</f>
        <v/>
      </c>
      <c r="D24" s="5">
        <f>IFERROR(VALUE(SUBSTITUTE(SUBSTITUTE(SUBSTITUTE(IF(설정!$C$6="","",IFERROR(INDEX('1.산군_붙여넣기'!$A$1:$AZ$1001,ROW(),설정!$C$6)&amp;"","")),",",""),"㎡",""),"m2","")),"")</f>
        <v/>
      </c>
      <c r="E24">
        <f>IF(설정!$C$7="","",IFERROR(INDEX('1.산군_붙여넣기'!$A$1:$AZ$1001,ROW(),설정!$C$7)&amp;"",""))</f>
        <v/>
      </c>
      <c r="F24">
        <f>IF(설정!$C$8="","",IFERROR(INDEX('1.산군_붙여넣기'!$A$1:$AZ$1001,ROW(),설정!$C$8)&amp;"",""))</f>
        <v/>
      </c>
      <c r="G24">
        <f>IF(설정!$C$9="","",IFERROR(INDEX('1.산군_붙여넣기'!$A$1:$AZ$1001,ROW(),설정!$C$9)&amp;"",""))</f>
        <v/>
      </c>
      <c r="H24">
        <f>IF(설정!$C$10="","",IFERROR(INDEX('1.산군_붙여넣기'!$A$1:$AZ$1001,ROW(),설정!$C$10)&amp;"",""))</f>
        <v/>
      </c>
      <c r="I24">
        <f>IF(설정!$C$11="","",IFERROR(INDEX('1.산군_붙여넣기'!$A$1:$AZ$1001,ROW(),설정!$C$11)&amp;"",""))</f>
        <v/>
      </c>
      <c r="J24">
        <f>IF(설정!$C$12="","",IFERROR(INDEX('1.산군_붙여넣기'!$A$1:$AZ$1001,ROW(),설정!$C$12)&amp;"",""))</f>
        <v/>
      </c>
      <c r="K24">
        <f>IF(설정!$C$13="","",IFERROR(INDEX('1.산군_붙여넣기'!$A$1:$AZ$1001,ROW(),설정!$C$13)&amp;"",""))</f>
        <v/>
      </c>
      <c r="L24" s="7">
        <f>IF(X24="","",IF(AND(LEN(X24)=8,ISNUMBER(X24*1)),DATE(LEFT(X24,4),MID(X24,5,2),RIGHT(X24,2)),IFERROR(DATEVALUE(SUBSTITUTE(SUBSTITUTE(X24,".","-"),"/","-")),IFERROR(X24*1,""))))</f>
        <v/>
      </c>
      <c r="M24" s="7">
        <f>IF(Y24="","",IF(AND(LEN(Y24)=8,ISNUMBER(Y24*1)),DATE(LEFT(Y24,4),MID(Y24,5,2),RIGHT(Y24,2)),IFERROR(DATEVALUE(SUBSTITUTE(SUBSTITUTE(Y24,".","-"),"/","-")),IFERROR(Y24*1,""))))</f>
        <v/>
      </c>
      <c r="N24">
        <f>IFERROR(LEFT(B24,FIND(" ",B24)-1),B24)</f>
        <v/>
      </c>
      <c r="O24">
        <f>AND(B24&lt;&gt;"",B24&lt;&gt;설정!$B$4,C24&lt;&gt;설정!$B$5)</f>
        <v/>
      </c>
      <c r="P24">
        <f>IF(O24,B24&amp;"|"&amp;C24,"")</f>
        <v/>
      </c>
      <c r="Q24">
        <f>AND(O24,COUNTIF(P25:P$1002,P24)=0)</f>
        <v/>
      </c>
      <c r="R24">
        <f>OR(AND(설정!$A$42&lt;&gt;"",ISNUMBER(SEARCH(설정!$A$42,E24&amp;" "&amp;C24))),AND(설정!$A$43&lt;&gt;"",ISNUMBER(SEARCH(설정!$A$43,E24&amp;" "&amp;C24))),AND(설정!$A$44&lt;&gt;"",ISNUMBER(SEARCH(설정!$A$44,E24&amp;" "&amp;C24))),AND(설정!$A$45&lt;&gt;"",ISNUMBER(SEARCH(설정!$A$45,E24&amp;" "&amp;C24))),AND(설정!$A$46&lt;&gt;"",ISNUMBER(SEARCH(설정!$A$46,E24&amp;" "&amp;C24))),AND(설정!$A$47&lt;&gt;"",ISNUMBER(SEARCH(설정!$A$47,E24&amp;" "&amp;C24))),AND(설정!$A$48&lt;&gt;"",ISNUMBER(SEARCH(설정!$A$48,E24&amp;" "&amp;C24))),AND(설정!$A$49&lt;&gt;"",ISNUMBER(SEARCH(설정!$A$49,E24&amp;" "&amp;C24))),AND(설정!$A$50&lt;&gt;"",ISNUMBER(SEARCH(설정!$A$50,E24&amp;" "&amp;C24))),AND(설정!$A$51&lt;&gt;"",ISNUMBER(SEARCH(설정!$A$51,E24&amp;" "&amp;C24))))</f>
        <v/>
      </c>
      <c r="S24">
        <f>OR(D24="",D24&gt;=설정!$B$19)</f>
        <v/>
      </c>
      <c r="T24">
        <f>AND(Q24,R24,S24)</f>
        <v/>
      </c>
      <c r="U24">
        <f>IF(T24,IF(AND(설정!$A$54&lt;&gt;"",ISNUMBER(SEARCH(설정!$A$54,K24))),설정!$B$54,IF(AND(설정!$A$55&lt;&gt;"",ISNUMBER(SEARCH(설정!$A$55,K24))),설정!$B$55,IF(AND(설정!$A$56&lt;&gt;"",ISNUMBER(SEARCH(설정!$A$56,K24))),설정!$B$56,IF(AND(설정!$A$57&lt;&gt;"",ISNUMBER(SEARCH(설정!$A$57,K24))),설정!$B$57,IF(AND(설정!$A$58&lt;&gt;"",ISNUMBER(SEARCH(설정!$A$58,K24))),설정!$B$58,IF(AND(설정!$A$59&lt;&gt;"",ISNUMBER(SEARCH(설정!$A$59,K24))),설정!$B$59,IF(AND(설정!$A$60&lt;&gt;"",ISNUMBER(SEARCH(설정!$A$60,K24))),설정!$B$60,IF(AND(설정!$A$61&lt;&gt;"",ISNUMBER(SEARCH(설정!$A$61,K24))),설정!$B$61,IF(M24="","설계사","시공사"))))))))),"")</f>
        <v/>
      </c>
      <c r="V24">
        <f>SUBSTITUTE(SUBSTITUTE(SUBSTITUTE(SUBSTITUTE(G24,"(주)",""),"㈜",""),"주식회사","")," ","")</f>
        <v/>
      </c>
      <c r="W24">
        <f>IF(AND(T24,V24&lt;&gt;""),IF(COUNTIFS(V$2:V24,V24,T$2:T24,TRUE)=1,MAX(W$1:W23)+1,""),"")</f>
        <v/>
      </c>
      <c r="X24">
        <f>IF(설정!$C$14="","",IFERROR(INDEX('1.산군_붙여넣기'!$A$1:$AZ$1001,ROW(),설정!$C$14)&amp;"",""))</f>
        <v/>
      </c>
      <c r="Y24">
        <f>IF(설정!$C$15="","",IFERROR(INDEX('1.산군_붙여넣기'!$A$1:$AZ$1001,ROW(),설정!$C$15)&amp;"",""))</f>
        <v/>
      </c>
      <c r="Z24">
        <f>IF(T24,V24&amp;"|"&amp;U24,"")</f>
        <v/>
      </c>
      <c r="AA24">
        <f>IF(NOT(Q24),"",IF(NOT(AND(R24,S24)),"✕",IF(OR(OR(AND(L24&lt;&gt;"",M24&lt;&gt;"",N(M24)-N(L24)&gt;설정!$B$27),AND(L24&lt;&gt;"",M24="",설정!$B$24-N(L24)&gt;설정!$B$27)),AND(D24&lt;&gt;"",D24&lt;설정!$B$26)),"△","★")))</f>
        <v/>
      </c>
      <c r="AB24">
        <f>IF(NOT(T24),"",IF(U24="설계사",설정!$B$31,IF(U24="시공사",IF(OR(M24="",설정!$B$24-N(M24)&lt;=설정!$B$28*30.4),설정!$B$32,설정!$B$33),설정!$B$34))+IF(AA24="★",설정!$B$35,0))</f>
        <v/>
      </c>
      <c r="AC24">
        <f>SUBSTITUTE(SUBSTITUTE(SUBSTITUTE(SUBSTITUTE(H24,"(주)",""),"㈜",""),"주식회사","")," ","")</f>
        <v/>
      </c>
      <c r="AD24">
        <f>IF(AND(T24,AC24&lt;&gt;""),IF(COUNTIFS(AC$2:AC24,AC24,T$2:T24,TRUE)=1,MAX(AD$1:AD23)+1,""),"")</f>
        <v/>
      </c>
    </row>
    <row r="25">
      <c r="A25">
        <f>ROW()</f>
        <v/>
      </c>
      <c r="B25">
        <f>IF(설정!$C$4="","",IFERROR(INDEX('1.산군_붙여넣기'!$A$1:$AZ$1001,ROW(),설정!$C$4)&amp;"",""))</f>
        <v/>
      </c>
      <c r="C25">
        <f>IF(설정!$C$5="","",IFERROR(INDEX('1.산군_붙여넣기'!$A$1:$AZ$1001,ROW(),설정!$C$5)&amp;"",""))</f>
        <v/>
      </c>
      <c r="D25" s="5">
        <f>IFERROR(VALUE(SUBSTITUTE(SUBSTITUTE(SUBSTITUTE(IF(설정!$C$6="","",IFERROR(INDEX('1.산군_붙여넣기'!$A$1:$AZ$1001,ROW(),설정!$C$6)&amp;"","")),",",""),"㎡",""),"m2","")),"")</f>
        <v/>
      </c>
      <c r="E25">
        <f>IF(설정!$C$7="","",IFERROR(INDEX('1.산군_붙여넣기'!$A$1:$AZ$1001,ROW(),설정!$C$7)&amp;"",""))</f>
        <v/>
      </c>
      <c r="F25">
        <f>IF(설정!$C$8="","",IFERROR(INDEX('1.산군_붙여넣기'!$A$1:$AZ$1001,ROW(),설정!$C$8)&amp;"",""))</f>
        <v/>
      </c>
      <c r="G25">
        <f>IF(설정!$C$9="","",IFERROR(INDEX('1.산군_붙여넣기'!$A$1:$AZ$1001,ROW(),설정!$C$9)&amp;"",""))</f>
        <v/>
      </c>
      <c r="H25">
        <f>IF(설정!$C$10="","",IFERROR(INDEX('1.산군_붙여넣기'!$A$1:$AZ$1001,ROW(),설정!$C$10)&amp;"",""))</f>
        <v/>
      </c>
      <c r="I25">
        <f>IF(설정!$C$11="","",IFERROR(INDEX('1.산군_붙여넣기'!$A$1:$AZ$1001,ROW(),설정!$C$11)&amp;"",""))</f>
        <v/>
      </c>
      <c r="J25">
        <f>IF(설정!$C$12="","",IFERROR(INDEX('1.산군_붙여넣기'!$A$1:$AZ$1001,ROW(),설정!$C$12)&amp;"",""))</f>
        <v/>
      </c>
      <c r="K25">
        <f>IF(설정!$C$13="","",IFERROR(INDEX('1.산군_붙여넣기'!$A$1:$AZ$1001,ROW(),설정!$C$13)&amp;"",""))</f>
        <v/>
      </c>
      <c r="L25" s="7">
        <f>IF(X25="","",IF(AND(LEN(X25)=8,ISNUMBER(X25*1)),DATE(LEFT(X25,4),MID(X25,5,2),RIGHT(X25,2)),IFERROR(DATEVALUE(SUBSTITUTE(SUBSTITUTE(X25,".","-"),"/","-")),IFERROR(X25*1,""))))</f>
        <v/>
      </c>
      <c r="M25" s="7">
        <f>IF(Y25="","",IF(AND(LEN(Y25)=8,ISNUMBER(Y25*1)),DATE(LEFT(Y25,4),MID(Y25,5,2),RIGHT(Y25,2)),IFERROR(DATEVALUE(SUBSTITUTE(SUBSTITUTE(Y25,".","-"),"/","-")),IFERROR(Y25*1,""))))</f>
        <v/>
      </c>
      <c r="N25">
        <f>IFERROR(LEFT(B25,FIND(" ",B25)-1),B25)</f>
        <v/>
      </c>
      <c r="O25">
        <f>AND(B25&lt;&gt;"",B25&lt;&gt;설정!$B$4,C25&lt;&gt;설정!$B$5)</f>
        <v/>
      </c>
      <c r="P25">
        <f>IF(O25,B25&amp;"|"&amp;C25,"")</f>
        <v/>
      </c>
      <c r="Q25">
        <f>AND(O25,COUNTIF(P26:P$1002,P25)=0)</f>
        <v/>
      </c>
      <c r="R25">
        <f>OR(AND(설정!$A$42&lt;&gt;"",ISNUMBER(SEARCH(설정!$A$42,E25&amp;" "&amp;C25))),AND(설정!$A$43&lt;&gt;"",ISNUMBER(SEARCH(설정!$A$43,E25&amp;" "&amp;C25))),AND(설정!$A$44&lt;&gt;"",ISNUMBER(SEARCH(설정!$A$44,E25&amp;" "&amp;C25))),AND(설정!$A$45&lt;&gt;"",ISNUMBER(SEARCH(설정!$A$45,E25&amp;" "&amp;C25))),AND(설정!$A$46&lt;&gt;"",ISNUMBER(SEARCH(설정!$A$46,E25&amp;" "&amp;C25))),AND(설정!$A$47&lt;&gt;"",ISNUMBER(SEARCH(설정!$A$47,E25&amp;" "&amp;C25))),AND(설정!$A$48&lt;&gt;"",ISNUMBER(SEARCH(설정!$A$48,E25&amp;" "&amp;C25))),AND(설정!$A$49&lt;&gt;"",ISNUMBER(SEARCH(설정!$A$49,E25&amp;" "&amp;C25))),AND(설정!$A$50&lt;&gt;"",ISNUMBER(SEARCH(설정!$A$50,E25&amp;" "&amp;C25))),AND(설정!$A$51&lt;&gt;"",ISNUMBER(SEARCH(설정!$A$51,E25&amp;" "&amp;C25))))</f>
        <v/>
      </c>
      <c r="S25">
        <f>OR(D25="",D25&gt;=설정!$B$19)</f>
        <v/>
      </c>
      <c r="T25">
        <f>AND(Q25,R25,S25)</f>
        <v/>
      </c>
      <c r="U25">
        <f>IF(T25,IF(AND(설정!$A$54&lt;&gt;"",ISNUMBER(SEARCH(설정!$A$54,K25))),설정!$B$54,IF(AND(설정!$A$55&lt;&gt;"",ISNUMBER(SEARCH(설정!$A$55,K25))),설정!$B$55,IF(AND(설정!$A$56&lt;&gt;"",ISNUMBER(SEARCH(설정!$A$56,K25))),설정!$B$56,IF(AND(설정!$A$57&lt;&gt;"",ISNUMBER(SEARCH(설정!$A$57,K25))),설정!$B$57,IF(AND(설정!$A$58&lt;&gt;"",ISNUMBER(SEARCH(설정!$A$58,K25))),설정!$B$58,IF(AND(설정!$A$59&lt;&gt;"",ISNUMBER(SEARCH(설정!$A$59,K25))),설정!$B$59,IF(AND(설정!$A$60&lt;&gt;"",ISNUMBER(SEARCH(설정!$A$60,K25))),설정!$B$60,IF(AND(설정!$A$61&lt;&gt;"",ISNUMBER(SEARCH(설정!$A$61,K25))),설정!$B$61,IF(M25="","설계사","시공사"))))))))),"")</f>
        <v/>
      </c>
      <c r="V25">
        <f>SUBSTITUTE(SUBSTITUTE(SUBSTITUTE(SUBSTITUTE(G25,"(주)",""),"㈜",""),"주식회사","")," ","")</f>
        <v/>
      </c>
      <c r="W25">
        <f>IF(AND(T25,V25&lt;&gt;""),IF(COUNTIFS(V$2:V25,V25,T$2:T25,TRUE)=1,MAX(W$1:W24)+1,""),"")</f>
        <v/>
      </c>
      <c r="X25">
        <f>IF(설정!$C$14="","",IFERROR(INDEX('1.산군_붙여넣기'!$A$1:$AZ$1001,ROW(),설정!$C$14)&amp;"",""))</f>
        <v/>
      </c>
      <c r="Y25">
        <f>IF(설정!$C$15="","",IFERROR(INDEX('1.산군_붙여넣기'!$A$1:$AZ$1001,ROW(),설정!$C$15)&amp;"",""))</f>
        <v/>
      </c>
      <c r="Z25">
        <f>IF(T25,V25&amp;"|"&amp;U25,"")</f>
        <v/>
      </c>
      <c r="AA25">
        <f>IF(NOT(Q25),"",IF(NOT(AND(R25,S25)),"✕",IF(OR(OR(AND(L25&lt;&gt;"",M25&lt;&gt;"",N(M25)-N(L25)&gt;설정!$B$27),AND(L25&lt;&gt;"",M25="",설정!$B$24-N(L25)&gt;설정!$B$27)),AND(D25&lt;&gt;"",D25&lt;설정!$B$26)),"△","★")))</f>
        <v/>
      </c>
      <c r="AB25">
        <f>IF(NOT(T25),"",IF(U25="설계사",설정!$B$31,IF(U25="시공사",IF(OR(M25="",설정!$B$24-N(M25)&lt;=설정!$B$28*30.4),설정!$B$32,설정!$B$33),설정!$B$34))+IF(AA25="★",설정!$B$35,0))</f>
        <v/>
      </c>
      <c r="AC25">
        <f>SUBSTITUTE(SUBSTITUTE(SUBSTITUTE(SUBSTITUTE(H25,"(주)",""),"㈜",""),"주식회사","")," ","")</f>
        <v/>
      </c>
      <c r="AD25">
        <f>IF(AND(T25,AC25&lt;&gt;""),IF(COUNTIFS(AC$2:AC25,AC25,T$2:T25,TRUE)=1,MAX(AD$1:AD24)+1,""),"")</f>
        <v/>
      </c>
    </row>
    <row r="26">
      <c r="A26">
        <f>ROW()</f>
        <v/>
      </c>
      <c r="B26">
        <f>IF(설정!$C$4="","",IFERROR(INDEX('1.산군_붙여넣기'!$A$1:$AZ$1001,ROW(),설정!$C$4)&amp;"",""))</f>
        <v/>
      </c>
      <c r="C26">
        <f>IF(설정!$C$5="","",IFERROR(INDEX('1.산군_붙여넣기'!$A$1:$AZ$1001,ROW(),설정!$C$5)&amp;"",""))</f>
        <v/>
      </c>
      <c r="D26" s="5">
        <f>IFERROR(VALUE(SUBSTITUTE(SUBSTITUTE(SUBSTITUTE(IF(설정!$C$6="","",IFERROR(INDEX('1.산군_붙여넣기'!$A$1:$AZ$1001,ROW(),설정!$C$6)&amp;"","")),",",""),"㎡",""),"m2","")),"")</f>
        <v/>
      </c>
      <c r="E26">
        <f>IF(설정!$C$7="","",IFERROR(INDEX('1.산군_붙여넣기'!$A$1:$AZ$1001,ROW(),설정!$C$7)&amp;"",""))</f>
        <v/>
      </c>
      <c r="F26">
        <f>IF(설정!$C$8="","",IFERROR(INDEX('1.산군_붙여넣기'!$A$1:$AZ$1001,ROW(),설정!$C$8)&amp;"",""))</f>
        <v/>
      </c>
      <c r="G26">
        <f>IF(설정!$C$9="","",IFERROR(INDEX('1.산군_붙여넣기'!$A$1:$AZ$1001,ROW(),설정!$C$9)&amp;"",""))</f>
        <v/>
      </c>
      <c r="H26">
        <f>IF(설정!$C$10="","",IFERROR(INDEX('1.산군_붙여넣기'!$A$1:$AZ$1001,ROW(),설정!$C$10)&amp;"",""))</f>
        <v/>
      </c>
      <c r="I26">
        <f>IF(설정!$C$11="","",IFERROR(INDEX('1.산군_붙여넣기'!$A$1:$AZ$1001,ROW(),설정!$C$11)&amp;"",""))</f>
        <v/>
      </c>
      <c r="J26">
        <f>IF(설정!$C$12="","",IFERROR(INDEX('1.산군_붙여넣기'!$A$1:$AZ$1001,ROW(),설정!$C$12)&amp;"",""))</f>
        <v/>
      </c>
      <c r="K26">
        <f>IF(설정!$C$13="","",IFERROR(INDEX('1.산군_붙여넣기'!$A$1:$AZ$1001,ROW(),설정!$C$13)&amp;"",""))</f>
        <v/>
      </c>
      <c r="L26" s="7">
        <f>IF(X26="","",IF(AND(LEN(X26)=8,ISNUMBER(X26*1)),DATE(LEFT(X26,4),MID(X26,5,2),RIGHT(X26,2)),IFERROR(DATEVALUE(SUBSTITUTE(SUBSTITUTE(X26,".","-"),"/","-")),IFERROR(X26*1,""))))</f>
        <v/>
      </c>
      <c r="M26" s="7">
        <f>IF(Y26="","",IF(AND(LEN(Y26)=8,ISNUMBER(Y26*1)),DATE(LEFT(Y26,4),MID(Y26,5,2),RIGHT(Y26,2)),IFERROR(DATEVALUE(SUBSTITUTE(SUBSTITUTE(Y26,".","-"),"/","-")),IFERROR(Y26*1,""))))</f>
        <v/>
      </c>
      <c r="N26">
        <f>IFERROR(LEFT(B26,FIND(" ",B26)-1),B26)</f>
        <v/>
      </c>
      <c r="O26">
        <f>AND(B26&lt;&gt;"",B26&lt;&gt;설정!$B$4,C26&lt;&gt;설정!$B$5)</f>
        <v/>
      </c>
      <c r="P26">
        <f>IF(O26,B26&amp;"|"&amp;C26,"")</f>
        <v/>
      </c>
      <c r="Q26">
        <f>AND(O26,COUNTIF(P27:P$1002,P26)=0)</f>
        <v/>
      </c>
      <c r="R26">
        <f>OR(AND(설정!$A$42&lt;&gt;"",ISNUMBER(SEARCH(설정!$A$42,E26&amp;" "&amp;C26))),AND(설정!$A$43&lt;&gt;"",ISNUMBER(SEARCH(설정!$A$43,E26&amp;" "&amp;C26))),AND(설정!$A$44&lt;&gt;"",ISNUMBER(SEARCH(설정!$A$44,E26&amp;" "&amp;C26))),AND(설정!$A$45&lt;&gt;"",ISNUMBER(SEARCH(설정!$A$45,E26&amp;" "&amp;C26))),AND(설정!$A$46&lt;&gt;"",ISNUMBER(SEARCH(설정!$A$46,E26&amp;" "&amp;C26))),AND(설정!$A$47&lt;&gt;"",ISNUMBER(SEARCH(설정!$A$47,E26&amp;" "&amp;C26))),AND(설정!$A$48&lt;&gt;"",ISNUMBER(SEARCH(설정!$A$48,E26&amp;" "&amp;C26))),AND(설정!$A$49&lt;&gt;"",ISNUMBER(SEARCH(설정!$A$49,E26&amp;" "&amp;C26))),AND(설정!$A$50&lt;&gt;"",ISNUMBER(SEARCH(설정!$A$50,E26&amp;" "&amp;C26))),AND(설정!$A$51&lt;&gt;"",ISNUMBER(SEARCH(설정!$A$51,E26&amp;" "&amp;C26))))</f>
        <v/>
      </c>
      <c r="S26">
        <f>OR(D26="",D26&gt;=설정!$B$19)</f>
        <v/>
      </c>
      <c r="T26">
        <f>AND(Q26,R26,S26)</f>
        <v/>
      </c>
      <c r="U26">
        <f>IF(T26,IF(AND(설정!$A$54&lt;&gt;"",ISNUMBER(SEARCH(설정!$A$54,K26))),설정!$B$54,IF(AND(설정!$A$55&lt;&gt;"",ISNUMBER(SEARCH(설정!$A$55,K26))),설정!$B$55,IF(AND(설정!$A$56&lt;&gt;"",ISNUMBER(SEARCH(설정!$A$56,K26))),설정!$B$56,IF(AND(설정!$A$57&lt;&gt;"",ISNUMBER(SEARCH(설정!$A$57,K26))),설정!$B$57,IF(AND(설정!$A$58&lt;&gt;"",ISNUMBER(SEARCH(설정!$A$58,K26))),설정!$B$58,IF(AND(설정!$A$59&lt;&gt;"",ISNUMBER(SEARCH(설정!$A$59,K26))),설정!$B$59,IF(AND(설정!$A$60&lt;&gt;"",ISNUMBER(SEARCH(설정!$A$60,K26))),설정!$B$60,IF(AND(설정!$A$61&lt;&gt;"",ISNUMBER(SEARCH(설정!$A$61,K26))),설정!$B$61,IF(M26="","설계사","시공사"))))))))),"")</f>
        <v/>
      </c>
      <c r="V26">
        <f>SUBSTITUTE(SUBSTITUTE(SUBSTITUTE(SUBSTITUTE(G26,"(주)",""),"㈜",""),"주식회사","")," ","")</f>
        <v/>
      </c>
      <c r="W26">
        <f>IF(AND(T26,V26&lt;&gt;""),IF(COUNTIFS(V$2:V26,V26,T$2:T26,TRUE)=1,MAX(W$1:W25)+1,""),"")</f>
        <v/>
      </c>
      <c r="X26">
        <f>IF(설정!$C$14="","",IFERROR(INDEX('1.산군_붙여넣기'!$A$1:$AZ$1001,ROW(),설정!$C$14)&amp;"",""))</f>
        <v/>
      </c>
      <c r="Y26">
        <f>IF(설정!$C$15="","",IFERROR(INDEX('1.산군_붙여넣기'!$A$1:$AZ$1001,ROW(),설정!$C$15)&amp;"",""))</f>
        <v/>
      </c>
      <c r="Z26">
        <f>IF(T26,V26&amp;"|"&amp;U26,"")</f>
        <v/>
      </c>
      <c r="AA26">
        <f>IF(NOT(Q26),"",IF(NOT(AND(R26,S26)),"✕",IF(OR(OR(AND(L26&lt;&gt;"",M26&lt;&gt;"",N(M26)-N(L26)&gt;설정!$B$27),AND(L26&lt;&gt;"",M26="",설정!$B$24-N(L26)&gt;설정!$B$27)),AND(D26&lt;&gt;"",D26&lt;설정!$B$26)),"△","★")))</f>
        <v/>
      </c>
      <c r="AB26">
        <f>IF(NOT(T26),"",IF(U26="설계사",설정!$B$31,IF(U26="시공사",IF(OR(M26="",설정!$B$24-N(M26)&lt;=설정!$B$28*30.4),설정!$B$32,설정!$B$33),설정!$B$34))+IF(AA26="★",설정!$B$35,0))</f>
        <v/>
      </c>
      <c r="AC26">
        <f>SUBSTITUTE(SUBSTITUTE(SUBSTITUTE(SUBSTITUTE(H26,"(주)",""),"㈜",""),"주식회사","")," ","")</f>
        <v/>
      </c>
      <c r="AD26">
        <f>IF(AND(T26,AC26&lt;&gt;""),IF(COUNTIFS(AC$2:AC26,AC26,T$2:T26,TRUE)=1,MAX(AD$1:AD25)+1,""),"")</f>
        <v/>
      </c>
    </row>
    <row r="27">
      <c r="A27">
        <f>ROW()</f>
        <v/>
      </c>
      <c r="B27">
        <f>IF(설정!$C$4="","",IFERROR(INDEX('1.산군_붙여넣기'!$A$1:$AZ$1001,ROW(),설정!$C$4)&amp;"",""))</f>
        <v/>
      </c>
      <c r="C27">
        <f>IF(설정!$C$5="","",IFERROR(INDEX('1.산군_붙여넣기'!$A$1:$AZ$1001,ROW(),설정!$C$5)&amp;"",""))</f>
        <v/>
      </c>
      <c r="D27" s="5">
        <f>IFERROR(VALUE(SUBSTITUTE(SUBSTITUTE(SUBSTITUTE(IF(설정!$C$6="","",IFERROR(INDEX('1.산군_붙여넣기'!$A$1:$AZ$1001,ROW(),설정!$C$6)&amp;"","")),",",""),"㎡",""),"m2","")),"")</f>
        <v/>
      </c>
      <c r="E27">
        <f>IF(설정!$C$7="","",IFERROR(INDEX('1.산군_붙여넣기'!$A$1:$AZ$1001,ROW(),설정!$C$7)&amp;"",""))</f>
        <v/>
      </c>
      <c r="F27">
        <f>IF(설정!$C$8="","",IFERROR(INDEX('1.산군_붙여넣기'!$A$1:$AZ$1001,ROW(),설정!$C$8)&amp;"",""))</f>
        <v/>
      </c>
      <c r="G27">
        <f>IF(설정!$C$9="","",IFERROR(INDEX('1.산군_붙여넣기'!$A$1:$AZ$1001,ROW(),설정!$C$9)&amp;"",""))</f>
        <v/>
      </c>
      <c r="H27">
        <f>IF(설정!$C$10="","",IFERROR(INDEX('1.산군_붙여넣기'!$A$1:$AZ$1001,ROW(),설정!$C$10)&amp;"",""))</f>
        <v/>
      </c>
      <c r="I27">
        <f>IF(설정!$C$11="","",IFERROR(INDEX('1.산군_붙여넣기'!$A$1:$AZ$1001,ROW(),설정!$C$11)&amp;"",""))</f>
        <v/>
      </c>
      <c r="J27">
        <f>IF(설정!$C$12="","",IFERROR(INDEX('1.산군_붙여넣기'!$A$1:$AZ$1001,ROW(),설정!$C$12)&amp;"",""))</f>
        <v/>
      </c>
      <c r="K27">
        <f>IF(설정!$C$13="","",IFERROR(INDEX('1.산군_붙여넣기'!$A$1:$AZ$1001,ROW(),설정!$C$13)&amp;"",""))</f>
        <v/>
      </c>
      <c r="L27" s="7">
        <f>IF(X27="","",IF(AND(LEN(X27)=8,ISNUMBER(X27*1)),DATE(LEFT(X27,4),MID(X27,5,2),RIGHT(X27,2)),IFERROR(DATEVALUE(SUBSTITUTE(SUBSTITUTE(X27,".","-"),"/","-")),IFERROR(X27*1,""))))</f>
        <v/>
      </c>
      <c r="M27" s="7">
        <f>IF(Y27="","",IF(AND(LEN(Y27)=8,ISNUMBER(Y27*1)),DATE(LEFT(Y27,4),MID(Y27,5,2),RIGHT(Y27,2)),IFERROR(DATEVALUE(SUBSTITUTE(SUBSTITUTE(Y27,".","-"),"/","-")),IFERROR(Y27*1,""))))</f>
        <v/>
      </c>
      <c r="N27">
        <f>IFERROR(LEFT(B27,FIND(" ",B27)-1),B27)</f>
        <v/>
      </c>
      <c r="O27">
        <f>AND(B27&lt;&gt;"",B27&lt;&gt;설정!$B$4,C27&lt;&gt;설정!$B$5)</f>
        <v/>
      </c>
      <c r="P27">
        <f>IF(O27,B27&amp;"|"&amp;C27,"")</f>
        <v/>
      </c>
      <c r="Q27">
        <f>AND(O27,COUNTIF(P28:P$1002,P27)=0)</f>
        <v/>
      </c>
      <c r="R27">
        <f>OR(AND(설정!$A$42&lt;&gt;"",ISNUMBER(SEARCH(설정!$A$42,E27&amp;" "&amp;C27))),AND(설정!$A$43&lt;&gt;"",ISNUMBER(SEARCH(설정!$A$43,E27&amp;" "&amp;C27))),AND(설정!$A$44&lt;&gt;"",ISNUMBER(SEARCH(설정!$A$44,E27&amp;" "&amp;C27))),AND(설정!$A$45&lt;&gt;"",ISNUMBER(SEARCH(설정!$A$45,E27&amp;" "&amp;C27))),AND(설정!$A$46&lt;&gt;"",ISNUMBER(SEARCH(설정!$A$46,E27&amp;" "&amp;C27))),AND(설정!$A$47&lt;&gt;"",ISNUMBER(SEARCH(설정!$A$47,E27&amp;" "&amp;C27))),AND(설정!$A$48&lt;&gt;"",ISNUMBER(SEARCH(설정!$A$48,E27&amp;" "&amp;C27))),AND(설정!$A$49&lt;&gt;"",ISNUMBER(SEARCH(설정!$A$49,E27&amp;" "&amp;C27))),AND(설정!$A$50&lt;&gt;"",ISNUMBER(SEARCH(설정!$A$50,E27&amp;" "&amp;C27))),AND(설정!$A$51&lt;&gt;"",ISNUMBER(SEARCH(설정!$A$51,E27&amp;" "&amp;C27))))</f>
        <v/>
      </c>
      <c r="S27">
        <f>OR(D27="",D27&gt;=설정!$B$19)</f>
        <v/>
      </c>
      <c r="T27">
        <f>AND(Q27,R27,S27)</f>
        <v/>
      </c>
      <c r="U27">
        <f>IF(T27,IF(AND(설정!$A$54&lt;&gt;"",ISNUMBER(SEARCH(설정!$A$54,K27))),설정!$B$54,IF(AND(설정!$A$55&lt;&gt;"",ISNUMBER(SEARCH(설정!$A$55,K27))),설정!$B$55,IF(AND(설정!$A$56&lt;&gt;"",ISNUMBER(SEARCH(설정!$A$56,K27))),설정!$B$56,IF(AND(설정!$A$57&lt;&gt;"",ISNUMBER(SEARCH(설정!$A$57,K27))),설정!$B$57,IF(AND(설정!$A$58&lt;&gt;"",ISNUMBER(SEARCH(설정!$A$58,K27))),설정!$B$58,IF(AND(설정!$A$59&lt;&gt;"",ISNUMBER(SEARCH(설정!$A$59,K27))),설정!$B$59,IF(AND(설정!$A$60&lt;&gt;"",ISNUMBER(SEARCH(설정!$A$60,K27))),설정!$B$60,IF(AND(설정!$A$61&lt;&gt;"",ISNUMBER(SEARCH(설정!$A$61,K27))),설정!$B$61,IF(M27="","설계사","시공사"))))))))),"")</f>
        <v/>
      </c>
      <c r="V27">
        <f>SUBSTITUTE(SUBSTITUTE(SUBSTITUTE(SUBSTITUTE(G27,"(주)",""),"㈜",""),"주식회사","")," ","")</f>
        <v/>
      </c>
      <c r="W27">
        <f>IF(AND(T27,V27&lt;&gt;""),IF(COUNTIFS(V$2:V27,V27,T$2:T27,TRUE)=1,MAX(W$1:W26)+1,""),"")</f>
        <v/>
      </c>
      <c r="X27">
        <f>IF(설정!$C$14="","",IFERROR(INDEX('1.산군_붙여넣기'!$A$1:$AZ$1001,ROW(),설정!$C$14)&amp;"",""))</f>
        <v/>
      </c>
      <c r="Y27">
        <f>IF(설정!$C$15="","",IFERROR(INDEX('1.산군_붙여넣기'!$A$1:$AZ$1001,ROW(),설정!$C$15)&amp;"",""))</f>
        <v/>
      </c>
      <c r="Z27">
        <f>IF(T27,V27&amp;"|"&amp;U27,"")</f>
        <v/>
      </c>
      <c r="AA27">
        <f>IF(NOT(Q27),"",IF(NOT(AND(R27,S27)),"✕",IF(OR(OR(AND(L27&lt;&gt;"",M27&lt;&gt;"",N(M27)-N(L27)&gt;설정!$B$27),AND(L27&lt;&gt;"",M27="",설정!$B$24-N(L27)&gt;설정!$B$27)),AND(D27&lt;&gt;"",D27&lt;설정!$B$26)),"△","★")))</f>
        <v/>
      </c>
      <c r="AB27">
        <f>IF(NOT(T27),"",IF(U27="설계사",설정!$B$31,IF(U27="시공사",IF(OR(M27="",설정!$B$24-N(M27)&lt;=설정!$B$28*30.4),설정!$B$32,설정!$B$33),설정!$B$34))+IF(AA27="★",설정!$B$35,0))</f>
        <v/>
      </c>
      <c r="AC27">
        <f>SUBSTITUTE(SUBSTITUTE(SUBSTITUTE(SUBSTITUTE(H27,"(주)",""),"㈜",""),"주식회사","")," ","")</f>
        <v/>
      </c>
      <c r="AD27">
        <f>IF(AND(T27,AC27&lt;&gt;""),IF(COUNTIFS(AC$2:AC27,AC27,T$2:T27,TRUE)=1,MAX(AD$1:AD26)+1,""),"")</f>
        <v/>
      </c>
    </row>
    <row r="28">
      <c r="A28">
        <f>ROW()</f>
        <v/>
      </c>
      <c r="B28">
        <f>IF(설정!$C$4="","",IFERROR(INDEX('1.산군_붙여넣기'!$A$1:$AZ$1001,ROW(),설정!$C$4)&amp;"",""))</f>
        <v/>
      </c>
      <c r="C28">
        <f>IF(설정!$C$5="","",IFERROR(INDEX('1.산군_붙여넣기'!$A$1:$AZ$1001,ROW(),설정!$C$5)&amp;"",""))</f>
        <v/>
      </c>
      <c r="D28" s="5">
        <f>IFERROR(VALUE(SUBSTITUTE(SUBSTITUTE(SUBSTITUTE(IF(설정!$C$6="","",IFERROR(INDEX('1.산군_붙여넣기'!$A$1:$AZ$1001,ROW(),설정!$C$6)&amp;"","")),",",""),"㎡",""),"m2","")),"")</f>
        <v/>
      </c>
      <c r="E28">
        <f>IF(설정!$C$7="","",IFERROR(INDEX('1.산군_붙여넣기'!$A$1:$AZ$1001,ROW(),설정!$C$7)&amp;"",""))</f>
        <v/>
      </c>
      <c r="F28">
        <f>IF(설정!$C$8="","",IFERROR(INDEX('1.산군_붙여넣기'!$A$1:$AZ$1001,ROW(),설정!$C$8)&amp;"",""))</f>
        <v/>
      </c>
      <c r="G28">
        <f>IF(설정!$C$9="","",IFERROR(INDEX('1.산군_붙여넣기'!$A$1:$AZ$1001,ROW(),설정!$C$9)&amp;"",""))</f>
        <v/>
      </c>
      <c r="H28">
        <f>IF(설정!$C$10="","",IFERROR(INDEX('1.산군_붙여넣기'!$A$1:$AZ$1001,ROW(),설정!$C$10)&amp;"",""))</f>
        <v/>
      </c>
      <c r="I28">
        <f>IF(설정!$C$11="","",IFERROR(INDEX('1.산군_붙여넣기'!$A$1:$AZ$1001,ROW(),설정!$C$11)&amp;"",""))</f>
        <v/>
      </c>
      <c r="J28">
        <f>IF(설정!$C$12="","",IFERROR(INDEX('1.산군_붙여넣기'!$A$1:$AZ$1001,ROW(),설정!$C$12)&amp;"",""))</f>
        <v/>
      </c>
      <c r="K28">
        <f>IF(설정!$C$13="","",IFERROR(INDEX('1.산군_붙여넣기'!$A$1:$AZ$1001,ROW(),설정!$C$13)&amp;"",""))</f>
        <v/>
      </c>
      <c r="L28" s="7">
        <f>IF(X28="","",IF(AND(LEN(X28)=8,ISNUMBER(X28*1)),DATE(LEFT(X28,4),MID(X28,5,2),RIGHT(X28,2)),IFERROR(DATEVALUE(SUBSTITUTE(SUBSTITUTE(X28,".","-"),"/","-")),IFERROR(X28*1,""))))</f>
        <v/>
      </c>
      <c r="M28" s="7">
        <f>IF(Y28="","",IF(AND(LEN(Y28)=8,ISNUMBER(Y28*1)),DATE(LEFT(Y28,4),MID(Y28,5,2),RIGHT(Y28,2)),IFERROR(DATEVALUE(SUBSTITUTE(SUBSTITUTE(Y28,".","-"),"/","-")),IFERROR(Y28*1,""))))</f>
        <v/>
      </c>
      <c r="N28">
        <f>IFERROR(LEFT(B28,FIND(" ",B28)-1),B28)</f>
        <v/>
      </c>
      <c r="O28">
        <f>AND(B28&lt;&gt;"",B28&lt;&gt;설정!$B$4,C28&lt;&gt;설정!$B$5)</f>
        <v/>
      </c>
      <c r="P28">
        <f>IF(O28,B28&amp;"|"&amp;C28,"")</f>
        <v/>
      </c>
      <c r="Q28">
        <f>AND(O28,COUNTIF(P29:P$1002,P28)=0)</f>
        <v/>
      </c>
      <c r="R28">
        <f>OR(AND(설정!$A$42&lt;&gt;"",ISNUMBER(SEARCH(설정!$A$42,E28&amp;" "&amp;C28))),AND(설정!$A$43&lt;&gt;"",ISNUMBER(SEARCH(설정!$A$43,E28&amp;" "&amp;C28))),AND(설정!$A$44&lt;&gt;"",ISNUMBER(SEARCH(설정!$A$44,E28&amp;" "&amp;C28))),AND(설정!$A$45&lt;&gt;"",ISNUMBER(SEARCH(설정!$A$45,E28&amp;" "&amp;C28))),AND(설정!$A$46&lt;&gt;"",ISNUMBER(SEARCH(설정!$A$46,E28&amp;" "&amp;C28))),AND(설정!$A$47&lt;&gt;"",ISNUMBER(SEARCH(설정!$A$47,E28&amp;" "&amp;C28))),AND(설정!$A$48&lt;&gt;"",ISNUMBER(SEARCH(설정!$A$48,E28&amp;" "&amp;C28))),AND(설정!$A$49&lt;&gt;"",ISNUMBER(SEARCH(설정!$A$49,E28&amp;" "&amp;C28))),AND(설정!$A$50&lt;&gt;"",ISNUMBER(SEARCH(설정!$A$50,E28&amp;" "&amp;C28))),AND(설정!$A$51&lt;&gt;"",ISNUMBER(SEARCH(설정!$A$51,E28&amp;" "&amp;C28))))</f>
        <v/>
      </c>
      <c r="S28">
        <f>OR(D28="",D28&gt;=설정!$B$19)</f>
        <v/>
      </c>
      <c r="T28">
        <f>AND(Q28,R28,S28)</f>
        <v/>
      </c>
      <c r="U28">
        <f>IF(T28,IF(AND(설정!$A$54&lt;&gt;"",ISNUMBER(SEARCH(설정!$A$54,K28))),설정!$B$54,IF(AND(설정!$A$55&lt;&gt;"",ISNUMBER(SEARCH(설정!$A$55,K28))),설정!$B$55,IF(AND(설정!$A$56&lt;&gt;"",ISNUMBER(SEARCH(설정!$A$56,K28))),설정!$B$56,IF(AND(설정!$A$57&lt;&gt;"",ISNUMBER(SEARCH(설정!$A$57,K28))),설정!$B$57,IF(AND(설정!$A$58&lt;&gt;"",ISNUMBER(SEARCH(설정!$A$58,K28))),설정!$B$58,IF(AND(설정!$A$59&lt;&gt;"",ISNUMBER(SEARCH(설정!$A$59,K28))),설정!$B$59,IF(AND(설정!$A$60&lt;&gt;"",ISNUMBER(SEARCH(설정!$A$60,K28))),설정!$B$60,IF(AND(설정!$A$61&lt;&gt;"",ISNUMBER(SEARCH(설정!$A$61,K28))),설정!$B$61,IF(M28="","설계사","시공사"))))))))),"")</f>
        <v/>
      </c>
      <c r="V28">
        <f>SUBSTITUTE(SUBSTITUTE(SUBSTITUTE(SUBSTITUTE(G28,"(주)",""),"㈜",""),"주식회사","")," ","")</f>
        <v/>
      </c>
      <c r="W28">
        <f>IF(AND(T28,V28&lt;&gt;""),IF(COUNTIFS(V$2:V28,V28,T$2:T28,TRUE)=1,MAX(W$1:W27)+1,""),"")</f>
        <v/>
      </c>
      <c r="X28">
        <f>IF(설정!$C$14="","",IFERROR(INDEX('1.산군_붙여넣기'!$A$1:$AZ$1001,ROW(),설정!$C$14)&amp;"",""))</f>
        <v/>
      </c>
      <c r="Y28">
        <f>IF(설정!$C$15="","",IFERROR(INDEX('1.산군_붙여넣기'!$A$1:$AZ$1001,ROW(),설정!$C$15)&amp;"",""))</f>
        <v/>
      </c>
      <c r="Z28">
        <f>IF(T28,V28&amp;"|"&amp;U28,"")</f>
        <v/>
      </c>
      <c r="AA28">
        <f>IF(NOT(Q28),"",IF(NOT(AND(R28,S28)),"✕",IF(OR(OR(AND(L28&lt;&gt;"",M28&lt;&gt;"",N(M28)-N(L28)&gt;설정!$B$27),AND(L28&lt;&gt;"",M28="",설정!$B$24-N(L28)&gt;설정!$B$27)),AND(D28&lt;&gt;"",D28&lt;설정!$B$26)),"△","★")))</f>
        <v/>
      </c>
      <c r="AB28">
        <f>IF(NOT(T28),"",IF(U28="설계사",설정!$B$31,IF(U28="시공사",IF(OR(M28="",설정!$B$24-N(M28)&lt;=설정!$B$28*30.4),설정!$B$32,설정!$B$33),설정!$B$34))+IF(AA28="★",설정!$B$35,0))</f>
        <v/>
      </c>
      <c r="AC28">
        <f>SUBSTITUTE(SUBSTITUTE(SUBSTITUTE(SUBSTITUTE(H28,"(주)",""),"㈜",""),"주식회사","")," ","")</f>
        <v/>
      </c>
      <c r="AD28">
        <f>IF(AND(T28,AC28&lt;&gt;""),IF(COUNTIFS(AC$2:AC28,AC28,T$2:T28,TRUE)=1,MAX(AD$1:AD27)+1,""),"")</f>
        <v/>
      </c>
    </row>
    <row r="29">
      <c r="A29">
        <f>ROW()</f>
        <v/>
      </c>
      <c r="B29">
        <f>IF(설정!$C$4="","",IFERROR(INDEX('1.산군_붙여넣기'!$A$1:$AZ$1001,ROW(),설정!$C$4)&amp;"",""))</f>
        <v/>
      </c>
      <c r="C29">
        <f>IF(설정!$C$5="","",IFERROR(INDEX('1.산군_붙여넣기'!$A$1:$AZ$1001,ROW(),설정!$C$5)&amp;"",""))</f>
        <v/>
      </c>
      <c r="D29" s="5">
        <f>IFERROR(VALUE(SUBSTITUTE(SUBSTITUTE(SUBSTITUTE(IF(설정!$C$6="","",IFERROR(INDEX('1.산군_붙여넣기'!$A$1:$AZ$1001,ROW(),설정!$C$6)&amp;"","")),",",""),"㎡",""),"m2","")),"")</f>
        <v/>
      </c>
      <c r="E29">
        <f>IF(설정!$C$7="","",IFERROR(INDEX('1.산군_붙여넣기'!$A$1:$AZ$1001,ROW(),설정!$C$7)&amp;"",""))</f>
        <v/>
      </c>
      <c r="F29">
        <f>IF(설정!$C$8="","",IFERROR(INDEX('1.산군_붙여넣기'!$A$1:$AZ$1001,ROW(),설정!$C$8)&amp;"",""))</f>
        <v/>
      </c>
      <c r="G29">
        <f>IF(설정!$C$9="","",IFERROR(INDEX('1.산군_붙여넣기'!$A$1:$AZ$1001,ROW(),설정!$C$9)&amp;"",""))</f>
        <v/>
      </c>
      <c r="H29">
        <f>IF(설정!$C$10="","",IFERROR(INDEX('1.산군_붙여넣기'!$A$1:$AZ$1001,ROW(),설정!$C$10)&amp;"",""))</f>
        <v/>
      </c>
      <c r="I29">
        <f>IF(설정!$C$11="","",IFERROR(INDEX('1.산군_붙여넣기'!$A$1:$AZ$1001,ROW(),설정!$C$11)&amp;"",""))</f>
        <v/>
      </c>
      <c r="J29">
        <f>IF(설정!$C$12="","",IFERROR(INDEX('1.산군_붙여넣기'!$A$1:$AZ$1001,ROW(),설정!$C$12)&amp;"",""))</f>
        <v/>
      </c>
      <c r="K29">
        <f>IF(설정!$C$13="","",IFERROR(INDEX('1.산군_붙여넣기'!$A$1:$AZ$1001,ROW(),설정!$C$13)&amp;"",""))</f>
        <v/>
      </c>
      <c r="L29" s="7">
        <f>IF(X29="","",IF(AND(LEN(X29)=8,ISNUMBER(X29*1)),DATE(LEFT(X29,4),MID(X29,5,2),RIGHT(X29,2)),IFERROR(DATEVALUE(SUBSTITUTE(SUBSTITUTE(X29,".","-"),"/","-")),IFERROR(X29*1,""))))</f>
        <v/>
      </c>
      <c r="M29" s="7">
        <f>IF(Y29="","",IF(AND(LEN(Y29)=8,ISNUMBER(Y29*1)),DATE(LEFT(Y29,4),MID(Y29,5,2),RIGHT(Y29,2)),IFERROR(DATEVALUE(SUBSTITUTE(SUBSTITUTE(Y29,".","-"),"/","-")),IFERROR(Y29*1,""))))</f>
        <v/>
      </c>
      <c r="N29">
        <f>IFERROR(LEFT(B29,FIND(" ",B29)-1),B29)</f>
        <v/>
      </c>
      <c r="O29">
        <f>AND(B29&lt;&gt;"",B29&lt;&gt;설정!$B$4,C29&lt;&gt;설정!$B$5)</f>
        <v/>
      </c>
      <c r="P29">
        <f>IF(O29,B29&amp;"|"&amp;C29,"")</f>
        <v/>
      </c>
      <c r="Q29">
        <f>AND(O29,COUNTIF(P30:P$1002,P29)=0)</f>
        <v/>
      </c>
      <c r="R29">
        <f>OR(AND(설정!$A$42&lt;&gt;"",ISNUMBER(SEARCH(설정!$A$42,E29&amp;" "&amp;C29))),AND(설정!$A$43&lt;&gt;"",ISNUMBER(SEARCH(설정!$A$43,E29&amp;" "&amp;C29))),AND(설정!$A$44&lt;&gt;"",ISNUMBER(SEARCH(설정!$A$44,E29&amp;" "&amp;C29))),AND(설정!$A$45&lt;&gt;"",ISNUMBER(SEARCH(설정!$A$45,E29&amp;" "&amp;C29))),AND(설정!$A$46&lt;&gt;"",ISNUMBER(SEARCH(설정!$A$46,E29&amp;" "&amp;C29))),AND(설정!$A$47&lt;&gt;"",ISNUMBER(SEARCH(설정!$A$47,E29&amp;" "&amp;C29))),AND(설정!$A$48&lt;&gt;"",ISNUMBER(SEARCH(설정!$A$48,E29&amp;" "&amp;C29))),AND(설정!$A$49&lt;&gt;"",ISNUMBER(SEARCH(설정!$A$49,E29&amp;" "&amp;C29))),AND(설정!$A$50&lt;&gt;"",ISNUMBER(SEARCH(설정!$A$50,E29&amp;" "&amp;C29))),AND(설정!$A$51&lt;&gt;"",ISNUMBER(SEARCH(설정!$A$51,E29&amp;" "&amp;C29))))</f>
        <v/>
      </c>
      <c r="S29">
        <f>OR(D29="",D29&gt;=설정!$B$19)</f>
        <v/>
      </c>
      <c r="T29">
        <f>AND(Q29,R29,S29)</f>
        <v/>
      </c>
      <c r="U29">
        <f>IF(T29,IF(AND(설정!$A$54&lt;&gt;"",ISNUMBER(SEARCH(설정!$A$54,K29))),설정!$B$54,IF(AND(설정!$A$55&lt;&gt;"",ISNUMBER(SEARCH(설정!$A$55,K29))),설정!$B$55,IF(AND(설정!$A$56&lt;&gt;"",ISNUMBER(SEARCH(설정!$A$56,K29))),설정!$B$56,IF(AND(설정!$A$57&lt;&gt;"",ISNUMBER(SEARCH(설정!$A$57,K29))),설정!$B$57,IF(AND(설정!$A$58&lt;&gt;"",ISNUMBER(SEARCH(설정!$A$58,K29))),설정!$B$58,IF(AND(설정!$A$59&lt;&gt;"",ISNUMBER(SEARCH(설정!$A$59,K29))),설정!$B$59,IF(AND(설정!$A$60&lt;&gt;"",ISNUMBER(SEARCH(설정!$A$60,K29))),설정!$B$60,IF(AND(설정!$A$61&lt;&gt;"",ISNUMBER(SEARCH(설정!$A$61,K29))),설정!$B$61,IF(M29="","설계사","시공사"))))))))),"")</f>
        <v/>
      </c>
      <c r="V29">
        <f>SUBSTITUTE(SUBSTITUTE(SUBSTITUTE(SUBSTITUTE(G29,"(주)",""),"㈜",""),"주식회사","")," ","")</f>
        <v/>
      </c>
      <c r="W29">
        <f>IF(AND(T29,V29&lt;&gt;""),IF(COUNTIFS(V$2:V29,V29,T$2:T29,TRUE)=1,MAX(W$1:W28)+1,""),"")</f>
        <v/>
      </c>
      <c r="X29">
        <f>IF(설정!$C$14="","",IFERROR(INDEX('1.산군_붙여넣기'!$A$1:$AZ$1001,ROW(),설정!$C$14)&amp;"",""))</f>
        <v/>
      </c>
      <c r="Y29">
        <f>IF(설정!$C$15="","",IFERROR(INDEX('1.산군_붙여넣기'!$A$1:$AZ$1001,ROW(),설정!$C$15)&amp;"",""))</f>
        <v/>
      </c>
      <c r="Z29">
        <f>IF(T29,V29&amp;"|"&amp;U29,"")</f>
        <v/>
      </c>
      <c r="AA29">
        <f>IF(NOT(Q29),"",IF(NOT(AND(R29,S29)),"✕",IF(OR(OR(AND(L29&lt;&gt;"",M29&lt;&gt;"",N(M29)-N(L29)&gt;설정!$B$27),AND(L29&lt;&gt;"",M29="",설정!$B$24-N(L29)&gt;설정!$B$27)),AND(D29&lt;&gt;"",D29&lt;설정!$B$26)),"△","★")))</f>
        <v/>
      </c>
      <c r="AB29">
        <f>IF(NOT(T29),"",IF(U29="설계사",설정!$B$31,IF(U29="시공사",IF(OR(M29="",설정!$B$24-N(M29)&lt;=설정!$B$28*30.4),설정!$B$32,설정!$B$33),설정!$B$34))+IF(AA29="★",설정!$B$35,0))</f>
        <v/>
      </c>
      <c r="AC29">
        <f>SUBSTITUTE(SUBSTITUTE(SUBSTITUTE(SUBSTITUTE(H29,"(주)",""),"㈜",""),"주식회사","")," ","")</f>
        <v/>
      </c>
      <c r="AD29">
        <f>IF(AND(T29,AC29&lt;&gt;""),IF(COUNTIFS(AC$2:AC29,AC29,T$2:T29,TRUE)=1,MAX(AD$1:AD28)+1,""),"")</f>
        <v/>
      </c>
    </row>
    <row r="30">
      <c r="A30">
        <f>ROW()</f>
        <v/>
      </c>
      <c r="B30">
        <f>IF(설정!$C$4="","",IFERROR(INDEX('1.산군_붙여넣기'!$A$1:$AZ$1001,ROW(),설정!$C$4)&amp;"",""))</f>
        <v/>
      </c>
      <c r="C30">
        <f>IF(설정!$C$5="","",IFERROR(INDEX('1.산군_붙여넣기'!$A$1:$AZ$1001,ROW(),설정!$C$5)&amp;"",""))</f>
        <v/>
      </c>
      <c r="D30" s="5">
        <f>IFERROR(VALUE(SUBSTITUTE(SUBSTITUTE(SUBSTITUTE(IF(설정!$C$6="","",IFERROR(INDEX('1.산군_붙여넣기'!$A$1:$AZ$1001,ROW(),설정!$C$6)&amp;"","")),",",""),"㎡",""),"m2","")),"")</f>
        <v/>
      </c>
      <c r="E30">
        <f>IF(설정!$C$7="","",IFERROR(INDEX('1.산군_붙여넣기'!$A$1:$AZ$1001,ROW(),설정!$C$7)&amp;"",""))</f>
        <v/>
      </c>
      <c r="F30">
        <f>IF(설정!$C$8="","",IFERROR(INDEX('1.산군_붙여넣기'!$A$1:$AZ$1001,ROW(),설정!$C$8)&amp;"",""))</f>
        <v/>
      </c>
      <c r="G30">
        <f>IF(설정!$C$9="","",IFERROR(INDEX('1.산군_붙여넣기'!$A$1:$AZ$1001,ROW(),설정!$C$9)&amp;"",""))</f>
        <v/>
      </c>
      <c r="H30">
        <f>IF(설정!$C$10="","",IFERROR(INDEX('1.산군_붙여넣기'!$A$1:$AZ$1001,ROW(),설정!$C$10)&amp;"",""))</f>
        <v/>
      </c>
      <c r="I30">
        <f>IF(설정!$C$11="","",IFERROR(INDEX('1.산군_붙여넣기'!$A$1:$AZ$1001,ROW(),설정!$C$11)&amp;"",""))</f>
        <v/>
      </c>
      <c r="J30">
        <f>IF(설정!$C$12="","",IFERROR(INDEX('1.산군_붙여넣기'!$A$1:$AZ$1001,ROW(),설정!$C$12)&amp;"",""))</f>
        <v/>
      </c>
      <c r="K30">
        <f>IF(설정!$C$13="","",IFERROR(INDEX('1.산군_붙여넣기'!$A$1:$AZ$1001,ROW(),설정!$C$13)&amp;"",""))</f>
        <v/>
      </c>
      <c r="L30" s="7">
        <f>IF(X30="","",IF(AND(LEN(X30)=8,ISNUMBER(X30*1)),DATE(LEFT(X30,4),MID(X30,5,2),RIGHT(X30,2)),IFERROR(DATEVALUE(SUBSTITUTE(SUBSTITUTE(X30,".","-"),"/","-")),IFERROR(X30*1,""))))</f>
        <v/>
      </c>
      <c r="M30" s="7">
        <f>IF(Y30="","",IF(AND(LEN(Y30)=8,ISNUMBER(Y30*1)),DATE(LEFT(Y30,4),MID(Y30,5,2),RIGHT(Y30,2)),IFERROR(DATEVALUE(SUBSTITUTE(SUBSTITUTE(Y30,".","-"),"/","-")),IFERROR(Y30*1,""))))</f>
        <v/>
      </c>
      <c r="N30">
        <f>IFERROR(LEFT(B30,FIND(" ",B30)-1),B30)</f>
        <v/>
      </c>
      <c r="O30">
        <f>AND(B30&lt;&gt;"",B30&lt;&gt;설정!$B$4,C30&lt;&gt;설정!$B$5)</f>
        <v/>
      </c>
      <c r="P30">
        <f>IF(O30,B30&amp;"|"&amp;C30,"")</f>
        <v/>
      </c>
      <c r="Q30">
        <f>AND(O30,COUNTIF(P31:P$1002,P30)=0)</f>
        <v/>
      </c>
      <c r="R30">
        <f>OR(AND(설정!$A$42&lt;&gt;"",ISNUMBER(SEARCH(설정!$A$42,E30&amp;" "&amp;C30))),AND(설정!$A$43&lt;&gt;"",ISNUMBER(SEARCH(설정!$A$43,E30&amp;" "&amp;C30))),AND(설정!$A$44&lt;&gt;"",ISNUMBER(SEARCH(설정!$A$44,E30&amp;" "&amp;C30))),AND(설정!$A$45&lt;&gt;"",ISNUMBER(SEARCH(설정!$A$45,E30&amp;" "&amp;C30))),AND(설정!$A$46&lt;&gt;"",ISNUMBER(SEARCH(설정!$A$46,E30&amp;" "&amp;C30))),AND(설정!$A$47&lt;&gt;"",ISNUMBER(SEARCH(설정!$A$47,E30&amp;" "&amp;C30))),AND(설정!$A$48&lt;&gt;"",ISNUMBER(SEARCH(설정!$A$48,E30&amp;" "&amp;C30))),AND(설정!$A$49&lt;&gt;"",ISNUMBER(SEARCH(설정!$A$49,E30&amp;" "&amp;C30))),AND(설정!$A$50&lt;&gt;"",ISNUMBER(SEARCH(설정!$A$50,E30&amp;" "&amp;C30))),AND(설정!$A$51&lt;&gt;"",ISNUMBER(SEARCH(설정!$A$51,E30&amp;" "&amp;C30))))</f>
        <v/>
      </c>
      <c r="S30">
        <f>OR(D30="",D30&gt;=설정!$B$19)</f>
        <v/>
      </c>
      <c r="T30">
        <f>AND(Q30,R30,S30)</f>
        <v/>
      </c>
      <c r="U30">
        <f>IF(T30,IF(AND(설정!$A$54&lt;&gt;"",ISNUMBER(SEARCH(설정!$A$54,K30))),설정!$B$54,IF(AND(설정!$A$55&lt;&gt;"",ISNUMBER(SEARCH(설정!$A$55,K30))),설정!$B$55,IF(AND(설정!$A$56&lt;&gt;"",ISNUMBER(SEARCH(설정!$A$56,K30))),설정!$B$56,IF(AND(설정!$A$57&lt;&gt;"",ISNUMBER(SEARCH(설정!$A$57,K30))),설정!$B$57,IF(AND(설정!$A$58&lt;&gt;"",ISNUMBER(SEARCH(설정!$A$58,K30))),설정!$B$58,IF(AND(설정!$A$59&lt;&gt;"",ISNUMBER(SEARCH(설정!$A$59,K30))),설정!$B$59,IF(AND(설정!$A$60&lt;&gt;"",ISNUMBER(SEARCH(설정!$A$60,K30))),설정!$B$60,IF(AND(설정!$A$61&lt;&gt;"",ISNUMBER(SEARCH(설정!$A$61,K30))),설정!$B$61,IF(M30="","설계사","시공사"))))))))),"")</f>
        <v/>
      </c>
      <c r="V30">
        <f>SUBSTITUTE(SUBSTITUTE(SUBSTITUTE(SUBSTITUTE(G30,"(주)",""),"㈜",""),"주식회사","")," ","")</f>
        <v/>
      </c>
      <c r="W30">
        <f>IF(AND(T30,V30&lt;&gt;""),IF(COUNTIFS(V$2:V30,V30,T$2:T30,TRUE)=1,MAX(W$1:W29)+1,""),"")</f>
        <v/>
      </c>
      <c r="X30">
        <f>IF(설정!$C$14="","",IFERROR(INDEX('1.산군_붙여넣기'!$A$1:$AZ$1001,ROW(),설정!$C$14)&amp;"",""))</f>
        <v/>
      </c>
      <c r="Y30">
        <f>IF(설정!$C$15="","",IFERROR(INDEX('1.산군_붙여넣기'!$A$1:$AZ$1001,ROW(),설정!$C$15)&amp;"",""))</f>
        <v/>
      </c>
      <c r="Z30">
        <f>IF(T30,V30&amp;"|"&amp;U30,"")</f>
        <v/>
      </c>
      <c r="AA30">
        <f>IF(NOT(Q30),"",IF(NOT(AND(R30,S30)),"✕",IF(OR(OR(AND(L30&lt;&gt;"",M30&lt;&gt;"",N(M30)-N(L30)&gt;설정!$B$27),AND(L30&lt;&gt;"",M30="",설정!$B$24-N(L30)&gt;설정!$B$27)),AND(D30&lt;&gt;"",D30&lt;설정!$B$26)),"△","★")))</f>
        <v/>
      </c>
      <c r="AB30">
        <f>IF(NOT(T30),"",IF(U30="설계사",설정!$B$31,IF(U30="시공사",IF(OR(M30="",설정!$B$24-N(M30)&lt;=설정!$B$28*30.4),설정!$B$32,설정!$B$33),설정!$B$34))+IF(AA30="★",설정!$B$35,0))</f>
        <v/>
      </c>
      <c r="AC30">
        <f>SUBSTITUTE(SUBSTITUTE(SUBSTITUTE(SUBSTITUTE(H30,"(주)",""),"㈜",""),"주식회사","")," ","")</f>
        <v/>
      </c>
      <c r="AD30">
        <f>IF(AND(T30,AC30&lt;&gt;""),IF(COUNTIFS(AC$2:AC30,AC30,T$2:T30,TRUE)=1,MAX(AD$1:AD29)+1,""),"")</f>
        <v/>
      </c>
    </row>
    <row r="31">
      <c r="A31">
        <f>ROW()</f>
        <v/>
      </c>
      <c r="B31">
        <f>IF(설정!$C$4="","",IFERROR(INDEX('1.산군_붙여넣기'!$A$1:$AZ$1001,ROW(),설정!$C$4)&amp;"",""))</f>
        <v/>
      </c>
      <c r="C31">
        <f>IF(설정!$C$5="","",IFERROR(INDEX('1.산군_붙여넣기'!$A$1:$AZ$1001,ROW(),설정!$C$5)&amp;"",""))</f>
        <v/>
      </c>
      <c r="D31" s="5">
        <f>IFERROR(VALUE(SUBSTITUTE(SUBSTITUTE(SUBSTITUTE(IF(설정!$C$6="","",IFERROR(INDEX('1.산군_붙여넣기'!$A$1:$AZ$1001,ROW(),설정!$C$6)&amp;"","")),",",""),"㎡",""),"m2","")),"")</f>
        <v/>
      </c>
      <c r="E31">
        <f>IF(설정!$C$7="","",IFERROR(INDEX('1.산군_붙여넣기'!$A$1:$AZ$1001,ROW(),설정!$C$7)&amp;"",""))</f>
        <v/>
      </c>
      <c r="F31">
        <f>IF(설정!$C$8="","",IFERROR(INDEX('1.산군_붙여넣기'!$A$1:$AZ$1001,ROW(),설정!$C$8)&amp;"",""))</f>
        <v/>
      </c>
      <c r="G31">
        <f>IF(설정!$C$9="","",IFERROR(INDEX('1.산군_붙여넣기'!$A$1:$AZ$1001,ROW(),설정!$C$9)&amp;"",""))</f>
        <v/>
      </c>
      <c r="H31">
        <f>IF(설정!$C$10="","",IFERROR(INDEX('1.산군_붙여넣기'!$A$1:$AZ$1001,ROW(),설정!$C$10)&amp;"",""))</f>
        <v/>
      </c>
      <c r="I31">
        <f>IF(설정!$C$11="","",IFERROR(INDEX('1.산군_붙여넣기'!$A$1:$AZ$1001,ROW(),설정!$C$11)&amp;"",""))</f>
        <v/>
      </c>
      <c r="J31">
        <f>IF(설정!$C$12="","",IFERROR(INDEX('1.산군_붙여넣기'!$A$1:$AZ$1001,ROW(),설정!$C$12)&amp;"",""))</f>
        <v/>
      </c>
      <c r="K31">
        <f>IF(설정!$C$13="","",IFERROR(INDEX('1.산군_붙여넣기'!$A$1:$AZ$1001,ROW(),설정!$C$13)&amp;"",""))</f>
        <v/>
      </c>
      <c r="L31" s="7">
        <f>IF(X31="","",IF(AND(LEN(X31)=8,ISNUMBER(X31*1)),DATE(LEFT(X31,4),MID(X31,5,2),RIGHT(X31,2)),IFERROR(DATEVALUE(SUBSTITUTE(SUBSTITUTE(X31,".","-"),"/","-")),IFERROR(X31*1,""))))</f>
        <v/>
      </c>
      <c r="M31" s="7">
        <f>IF(Y31="","",IF(AND(LEN(Y31)=8,ISNUMBER(Y31*1)),DATE(LEFT(Y31,4),MID(Y31,5,2),RIGHT(Y31,2)),IFERROR(DATEVALUE(SUBSTITUTE(SUBSTITUTE(Y31,".","-"),"/","-")),IFERROR(Y31*1,""))))</f>
        <v/>
      </c>
      <c r="N31">
        <f>IFERROR(LEFT(B31,FIND(" ",B31)-1),B31)</f>
        <v/>
      </c>
      <c r="O31">
        <f>AND(B31&lt;&gt;"",B31&lt;&gt;설정!$B$4,C31&lt;&gt;설정!$B$5)</f>
        <v/>
      </c>
      <c r="P31">
        <f>IF(O31,B31&amp;"|"&amp;C31,"")</f>
        <v/>
      </c>
      <c r="Q31">
        <f>AND(O31,COUNTIF(P32:P$1002,P31)=0)</f>
        <v/>
      </c>
      <c r="R31">
        <f>OR(AND(설정!$A$42&lt;&gt;"",ISNUMBER(SEARCH(설정!$A$42,E31&amp;" "&amp;C31))),AND(설정!$A$43&lt;&gt;"",ISNUMBER(SEARCH(설정!$A$43,E31&amp;" "&amp;C31))),AND(설정!$A$44&lt;&gt;"",ISNUMBER(SEARCH(설정!$A$44,E31&amp;" "&amp;C31))),AND(설정!$A$45&lt;&gt;"",ISNUMBER(SEARCH(설정!$A$45,E31&amp;" "&amp;C31))),AND(설정!$A$46&lt;&gt;"",ISNUMBER(SEARCH(설정!$A$46,E31&amp;" "&amp;C31))),AND(설정!$A$47&lt;&gt;"",ISNUMBER(SEARCH(설정!$A$47,E31&amp;" "&amp;C31))),AND(설정!$A$48&lt;&gt;"",ISNUMBER(SEARCH(설정!$A$48,E31&amp;" "&amp;C31))),AND(설정!$A$49&lt;&gt;"",ISNUMBER(SEARCH(설정!$A$49,E31&amp;" "&amp;C31))),AND(설정!$A$50&lt;&gt;"",ISNUMBER(SEARCH(설정!$A$50,E31&amp;" "&amp;C31))),AND(설정!$A$51&lt;&gt;"",ISNUMBER(SEARCH(설정!$A$51,E31&amp;" "&amp;C31))))</f>
        <v/>
      </c>
      <c r="S31">
        <f>OR(D31="",D31&gt;=설정!$B$19)</f>
        <v/>
      </c>
      <c r="T31">
        <f>AND(Q31,R31,S31)</f>
        <v/>
      </c>
      <c r="U31">
        <f>IF(T31,IF(AND(설정!$A$54&lt;&gt;"",ISNUMBER(SEARCH(설정!$A$54,K31))),설정!$B$54,IF(AND(설정!$A$55&lt;&gt;"",ISNUMBER(SEARCH(설정!$A$55,K31))),설정!$B$55,IF(AND(설정!$A$56&lt;&gt;"",ISNUMBER(SEARCH(설정!$A$56,K31))),설정!$B$56,IF(AND(설정!$A$57&lt;&gt;"",ISNUMBER(SEARCH(설정!$A$57,K31))),설정!$B$57,IF(AND(설정!$A$58&lt;&gt;"",ISNUMBER(SEARCH(설정!$A$58,K31))),설정!$B$58,IF(AND(설정!$A$59&lt;&gt;"",ISNUMBER(SEARCH(설정!$A$59,K31))),설정!$B$59,IF(AND(설정!$A$60&lt;&gt;"",ISNUMBER(SEARCH(설정!$A$60,K31))),설정!$B$60,IF(AND(설정!$A$61&lt;&gt;"",ISNUMBER(SEARCH(설정!$A$61,K31))),설정!$B$61,IF(M31="","설계사","시공사"))))))))),"")</f>
        <v/>
      </c>
      <c r="V31">
        <f>SUBSTITUTE(SUBSTITUTE(SUBSTITUTE(SUBSTITUTE(G31,"(주)",""),"㈜",""),"주식회사","")," ","")</f>
        <v/>
      </c>
      <c r="W31">
        <f>IF(AND(T31,V31&lt;&gt;""),IF(COUNTIFS(V$2:V31,V31,T$2:T31,TRUE)=1,MAX(W$1:W30)+1,""),"")</f>
        <v/>
      </c>
      <c r="X31">
        <f>IF(설정!$C$14="","",IFERROR(INDEX('1.산군_붙여넣기'!$A$1:$AZ$1001,ROW(),설정!$C$14)&amp;"",""))</f>
        <v/>
      </c>
      <c r="Y31">
        <f>IF(설정!$C$15="","",IFERROR(INDEX('1.산군_붙여넣기'!$A$1:$AZ$1001,ROW(),설정!$C$15)&amp;"",""))</f>
        <v/>
      </c>
      <c r="Z31">
        <f>IF(T31,V31&amp;"|"&amp;U31,"")</f>
        <v/>
      </c>
      <c r="AA31">
        <f>IF(NOT(Q31),"",IF(NOT(AND(R31,S31)),"✕",IF(OR(OR(AND(L31&lt;&gt;"",M31&lt;&gt;"",N(M31)-N(L31)&gt;설정!$B$27),AND(L31&lt;&gt;"",M31="",설정!$B$24-N(L31)&gt;설정!$B$27)),AND(D31&lt;&gt;"",D31&lt;설정!$B$26)),"△","★")))</f>
        <v/>
      </c>
      <c r="AB31">
        <f>IF(NOT(T31),"",IF(U31="설계사",설정!$B$31,IF(U31="시공사",IF(OR(M31="",설정!$B$24-N(M31)&lt;=설정!$B$28*30.4),설정!$B$32,설정!$B$33),설정!$B$34))+IF(AA31="★",설정!$B$35,0))</f>
        <v/>
      </c>
      <c r="AC31">
        <f>SUBSTITUTE(SUBSTITUTE(SUBSTITUTE(SUBSTITUTE(H31,"(주)",""),"㈜",""),"주식회사","")," ","")</f>
        <v/>
      </c>
      <c r="AD31">
        <f>IF(AND(T31,AC31&lt;&gt;""),IF(COUNTIFS(AC$2:AC31,AC31,T$2:T31,TRUE)=1,MAX(AD$1:AD30)+1,""),"")</f>
        <v/>
      </c>
    </row>
    <row r="32">
      <c r="A32">
        <f>ROW()</f>
        <v/>
      </c>
      <c r="B32">
        <f>IF(설정!$C$4="","",IFERROR(INDEX('1.산군_붙여넣기'!$A$1:$AZ$1001,ROW(),설정!$C$4)&amp;"",""))</f>
        <v/>
      </c>
      <c r="C32">
        <f>IF(설정!$C$5="","",IFERROR(INDEX('1.산군_붙여넣기'!$A$1:$AZ$1001,ROW(),설정!$C$5)&amp;"",""))</f>
        <v/>
      </c>
      <c r="D32" s="5">
        <f>IFERROR(VALUE(SUBSTITUTE(SUBSTITUTE(SUBSTITUTE(IF(설정!$C$6="","",IFERROR(INDEX('1.산군_붙여넣기'!$A$1:$AZ$1001,ROW(),설정!$C$6)&amp;"","")),",",""),"㎡",""),"m2","")),"")</f>
        <v/>
      </c>
      <c r="E32">
        <f>IF(설정!$C$7="","",IFERROR(INDEX('1.산군_붙여넣기'!$A$1:$AZ$1001,ROW(),설정!$C$7)&amp;"",""))</f>
        <v/>
      </c>
      <c r="F32">
        <f>IF(설정!$C$8="","",IFERROR(INDEX('1.산군_붙여넣기'!$A$1:$AZ$1001,ROW(),설정!$C$8)&amp;"",""))</f>
        <v/>
      </c>
      <c r="G32">
        <f>IF(설정!$C$9="","",IFERROR(INDEX('1.산군_붙여넣기'!$A$1:$AZ$1001,ROW(),설정!$C$9)&amp;"",""))</f>
        <v/>
      </c>
      <c r="H32">
        <f>IF(설정!$C$10="","",IFERROR(INDEX('1.산군_붙여넣기'!$A$1:$AZ$1001,ROW(),설정!$C$10)&amp;"",""))</f>
        <v/>
      </c>
      <c r="I32">
        <f>IF(설정!$C$11="","",IFERROR(INDEX('1.산군_붙여넣기'!$A$1:$AZ$1001,ROW(),설정!$C$11)&amp;"",""))</f>
        <v/>
      </c>
      <c r="J32">
        <f>IF(설정!$C$12="","",IFERROR(INDEX('1.산군_붙여넣기'!$A$1:$AZ$1001,ROW(),설정!$C$12)&amp;"",""))</f>
        <v/>
      </c>
      <c r="K32">
        <f>IF(설정!$C$13="","",IFERROR(INDEX('1.산군_붙여넣기'!$A$1:$AZ$1001,ROW(),설정!$C$13)&amp;"",""))</f>
        <v/>
      </c>
      <c r="L32" s="7">
        <f>IF(X32="","",IF(AND(LEN(X32)=8,ISNUMBER(X32*1)),DATE(LEFT(X32,4),MID(X32,5,2),RIGHT(X32,2)),IFERROR(DATEVALUE(SUBSTITUTE(SUBSTITUTE(X32,".","-"),"/","-")),IFERROR(X32*1,""))))</f>
        <v/>
      </c>
      <c r="M32" s="7">
        <f>IF(Y32="","",IF(AND(LEN(Y32)=8,ISNUMBER(Y32*1)),DATE(LEFT(Y32,4),MID(Y32,5,2),RIGHT(Y32,2)),IFERROR(DATEVALUE(SUBSTITUTE(SUBSTITUTE(Y32,".","-"),"/","-")),IFERROR(Y32*1,""))))</f>
        <v/>
      </c>
      <c r="N32">
        <f>IFERROR(LEFT(B32,FIND(" ",B32)-1),B32)</f>
        <v/>
      </c>
      <c r="O32">
        <f>AND(B32&lt;&gt;"",B32&lt;&gt;설정!$B$4,C32&lt;&gt;설정!$B$5)</f>
        <v/>
      </c>
      <c r="P32">
        <f>IF(O32,B32&amp;"|"&amp;C32,"")</f>
        <v/>
      </c>
      <c r="Q32">
        <f>AND(O32,COUNTIF(P33:P$1002,P32)=0)</f>
        <v/>
      </c>
      <c r="R32">
        <f>OR(AND(설정!$A$42&lt;&gt;"",ISNUMBER(SEARCH(설정!$A$42,E32&amp;" "&amp;C32))),AND(설정!$A$43&lt;&gt;"",ISNUMBER(SEARCH(설정!$A$43,E32&amp;" "&amp;C32))),AND(설정!$A$44&lt;&gt;"",ISNUMBER(SEARCH(설정!$A$44,E32&amp;" "&amp;C32))),AND(설정!$A$45&lt;&gt;"",ISNUMBER(SEARCH(설정!$A$45,E32&amp;" "&amp;C32))),AND(설정!$A$46&lt;&gt;"",ISNUMBER(SEARCH(설정!$A$46,E32&amp;" "&amp;C32))),AND(설정!$A$47&lt;&gt;"",ISNUMBER(SEARCH(설정!$A$47,E32&amp;" "&amp;C32))),AND(설정!$A$48&lt;&gt;"",ISNUMBER(SEARCH(설정!$A$48,E32&amp;" "&amp;C32))),AND(설정!$A$49&lt;&gt;"",ISNUMBER(SEARCH(설정!$A$49,E32&amp;" "&amp;C32))),AND(설정!$A$50&lt;&gt;"",ISNUMBER(SEARCH(설정!$A$50,E32&amp;" "&amp;C32))),AND(설정!$A$51&lt;&gt;"",ISNUMBER(SEARCH(설정!$A$51,E32&amp;" "&amp;C32))))</f>
        <v/>
      </c>
      <c r="S32">
        <f>OR(D32="",D32&gt;=설정!$B$19)</f>
        <v/>
      </c>
      <c r="T32">
        <f>AND(Q32,R32,S32)</f>
        <v/>
      </c>
      <c r="U32">
        <f>IF(T32,IF(AND(설정!$A$54&lt;&gt;"",ISNUMBER(SEARCH(설정!$A$54,K32))),설정!$B$54,IF(AND(설정!$A$55&lt;&gt;"",ISNUMBER(SEARCH(설정!$A$55,K32))),설정!$B$55,IF(AND(설정!$A$56&lt;&gt;"",ISNUMBER(SEARCH(설정!$A$56,K32))),설정!$B$56,IF(AND(설정!$A$57&lt;&gt;"",ISNUMBER(SEARCH(설정!$A$57,K32))),설정!$B$57,IF(AND(설정!$A$58&lt;&gt;"",ISNUMBER(SEARCH(설정!$A$58,K32))),설정!$B$58,IF(AND(설정!$A$59&lt;&gt;"",ISNUMBER(SEARCH(설정!$A$59,K32))),설정!$B$59,IF(AND(설정!$A$60&lt;&gt;"",ISNUMBER(SEARCH(설정!$A$60,K32))),설정!$B$60,IF(AND(설정!$A$61&lt;&gt;"",ISNUMBER(SEARCH(설정!$A$61,K32))),설정!$B$61,IF(M32="","설계사","시공사"))))))))),"")</f>
        <v/>
      </c>
      <c r="V32">
        <f>SUBSTITUTE(SUBSTITUTE(SUBSTITUTE(SUBSTITUTE(G32,"(주)",""),"㈜",""),"주식회사","")," ","")</f>
        <v/>
      </c>
      <c r="W32">
        <f>IF(AND(T32,V32&lt;&gt;""),IF(COUNTIFS(V$2:V32,V32,T$2:T32,TRUE)=1,MAX(W$1:W31)+1,""),"")</f>
        <v/>
      </c>
      <c r="X32">
        <f>IF(설정!$C$14="","",IFERROR(INDEX('1.산군_붙여넣기'!$A$1:$AZ$1001,ROW(),설정!$C$14)&amp;"",""))</f>
        <v/>
      </c>
      <c r="Y32">
        <f>IF(설정!$C$15="","",IFERROR(INDEX('1.산군_붙여넣기'!$A$1:$AZ$1001,ROW(),설정!$C$15)&amp;"",""))</f>
        <v/>
      </c>
      <c r="Z32">
        <f>IF(T32,V32&amp;"|"&amp;U32,"")</f>
        <v/>
      </c>
      <c r="AA32">
        <f>IF(NOT(Q32),"",IF(NOT(AND(R32,S32)),"✕",IF(OR(OR(AND(L32&lt;&gt;"",M32&lt;&gt;"",N(M32)-N(L32)&gt;설정!$B$27),AND(L32&lt;&gt;"",M32="",설정!$B$24-N(L32)&gt;설정!$B$27)),AND(D32&lt;&gt;"",D32&lt;설정!$B$26)),"△","★")))</f>
        <v/>
      </c>
      <c r="AB32">
        <f>IF(NOT(T32),"",IF(U32="설계사",설정!$B$31,IF(U32="시공사",IF(OR(M32="",설정!$B$24-N(M32)&lt;=설정!$B$28*30.4),설정!$B$32,설정!$B$33),설정!$B$34))+IF(AA32="★",설정!$B$35,0))</f>
        <v/>
      </c>
      <c r="AC32">
        <f>SUBSTITUTE(SUBSTITUTE(SUBSTITUTE(SUBSTITUTE(H32,"(주)",""),"㈜",""),"주식회사","")," ","")</f>
        <v/>
      </c>
      <c r="AD32">
        <f>IF(AND(T32,AC32&lt;&gt;""),IF(COUNTIFS(AC$2:AC32,AC32,T$2:T32,TRUE)=1,MAX(AD$1:AD31)+1,""),"")</f>
        <v/>
      </c>
    </row>
    <row r="33">
      <c r="A33">
        <f>ROW()</f>
        <v/>
      </c>
      <c r="B33">
        <f>IF(설정!$C$4="","",IFERROR(INDEX('1.산군_붙여넣기'!$A$1:$AZ$1001,ROW(),설정!$C$4)&amp;"",""))</f>
        <v/>
      </c>
      <c r="C33">
        <f>IF(설정!$C$5="","",IFERROR(INDEX('1.산군_붙여넣기'!$A$1:$AZ$1001,ROW(),설정!$C$5)&amp;"",""))</f>
        <v/>
      </c>
      <c r="D33" s="5">
        <f>IFERROR(VALUE(SUBSTITUTE(SUBSTITUTE(SUBSTITUTE(IF(설정!$C$6="","",IFERROR(INDEX('1.산군_붙여넣기'!$A$1:$AZ$1001,ROW(),설정!$C$6)&amp;"","")),",",""),"㎡",""),"m2","")),"")</f>
        <v/>
      </c>
      <c r="E33">
        <f>IF(설정!$C$7="","",IFERROR(INDEX('1.산군_붙여넣기'!$A$1:$AZ$1001,ROW(),설정!$C$7)&amp;"",""))</f>
        <v/>
      </c>
      <c r="F33">
        <f>IF(설정!$C$8="","",IFERROR(INDEX('1.산군_붙여넣기'!$A$1:$AZ$1001,ROW(),설정!$C$8)&amp;"",""))</f>
        <v/>
      </c>
      <c r="G33">
        <f>IF(설정!$C$9="","",IFERROR(INDEX('1.산군_붙여넣기'!$A$1:$AZ$1001,ROW(),설정!$C$9)&amp;"",""))</f>
        <v/>
      </c>
      <c r="H33">
        <f>IF(설정!$C$10="","",IFERROR(INDEX('1.산군_붙여넣기'!$A$1:$AZ$1001,ROW(),설정!$C$10)&amp;"",""))</f>
        <v/>
      </c>
      <c r="I33">
        <f>IF(설정!$C$11="","",IFERROR(INDEX('1.산군_붙여넣기'!$A$1:$AZ$1001,ROW(),설정!$C$11)&amp;"",""))</f>
        <v/>
      </c>
      <c r="J33">
        <f>IF(설정!$C$12="","",IFERROR(INDEX('1.산군_붙여넣기'!$A$1:$AZ$1001,ROW(),설정!$C$12)&amp;"",""))</f>
        <v/>
      </c>
      <c r="K33">
        <f>IF(설정!$C$13="","",IFERROR(INDEX('1.산군_붙여넣기'!$A$1:$AZ$1001,ROW(),설정!$C$13)&amp;"",""))</f>
        <v/>
      </c>
      <c r="L33" s="7">
        <f>IF(X33="","",IF(AND(LEN(X33)=8,ISNUMBER(X33*1)),DATE(LEFT(X33,4),MID(X33,5,2),RIGHT(X33,2)),IFERROR(DATEVALUE(SUBSTITUTE(SUBSTITUTE(X33,".","-"),"/","-")),IFERROR(X33*1,""))))</f>
        <v/>
      </c>
      <c r="M33" s="7">
        <f>IF(Y33="","",IF(AND(LEN(Y33)=8,ISNUMBER(Y33*1)),DATE(LEFT(Y33,4),MID(Y33,5,2),RIGHT(Y33,2)),IFERROR(DATEVALUE(SUBSTITUTE(SUBSTITUTE(Y33,".","-"),"/","-")),IFERROR(Y33*1,""))))</f>
        <v/>
      </c>
      <c r="N33">
        <f>IFERROR(LEFT(B33,FIND(" ",B33)-1),B33)</f>
        <v/>
      </c>
      <c r="O33">
        <f>AND(B33&lt;&gt;"",B33&lt;&gt;설정!$B$4,C33&lt;&gt;설정!$B$5)</f>
        <v/>
      </c>
      <c r="P33">
        <f>IF(O33,B33&amp;"|"&amp;C33,"")</f>
        <v/>
      </c>
      <c r="Q33">
        <f>AND(O33,COUNTIF(P34:P$1002,P33)=0)</f>
        <v/>
      </c>
      <c r="R33">
        <f>OR(AND(설정!$A$42&lt;&gt;"",ISNUMBER(SEARCH(설정!$A$42,E33&amp;" "&amp;C33))),AND(설정!$A$43&lt;&gt;"",ISNUMBER(SEARCH(설정!$A$43,E33&amp;" "&amp;C33))),AND(설정!$A$44&lt;&gt;"",ISNUMBER(SEARCH(설정!$A$44,E33&amp;" "&amp;C33))),AND(설정!$A$45&lt;&gt;"",ISNUMBER(SEARCH(설정!$A$45,E33&amp;" "&amp;C33))),AND(설정!$A$46&lt;&gt;"",ISNUMBER(SEARCH(설정!$A$46,E33&amp;" "&amp;C33))),AND(설정!$A$47&lt;&gt;"",ISNUMBER(SEARCH(설정!$A$47,E33&amp;" "&amp;C33))),AND(설정!$A$48&lt;&gt;"",ISNUMBER(SEARCH(설정!$A$48,E33&amp;" "&amp;C33))),AND(설정!$A$49&lt;&gt;"",ISNUMBER(SEARCH(설정!$A$49,E33&amp;" "&amp;C33))),AND(설정!$A$50&lt;&gt;"",ISNUMBER(SEARCH(설정!$A$50,E33&amp;" "&amp;C33))),AND(설정!$A$51&lt;&gt;"",ISNUMBER(SEARCH(설정!$A$51,E33&amp;" "&amp;C33))))</f>
        <v/>
      </c>
      <c r="S33">
        <f>OR(D33="",D33&gt;=설정!$B$19)</f>
        <v/>
      </c>
      <c r="T33">
        <f>AND(Q33,R33,S33)</f>
        <v/>
      </c>
      <c r="U33">
        <f>IF(T33,IF(AND(설정!$A$54&lt;&gt;"",ISNUMBER(SEARCH(설정!$A$54,K33))),설정!$B$54,IF(AND(설정!$A$55&lt;&gt;"",ISNUMBER(SEARCH(설정!$A$55,K33))),설정!$B$55,IF(AND(설정!$A$56&lt;&gt;"",ISNUMBER(SEARCH(설정!$A$56,K33))),설정!$B$56,IF(AND(설정!$A$57&lt;&gt;"",ISNUMBER(SEARCH(설정!$A$57,K33))),설정!$B$57,IF(AND(설정!$A$58&lt;&gt;"",ISNUMBER(SEARCH(설정!$A$58,K33))),설정!$B$58,IF(AND(설정!$A$59&lt;&gt;"",ISNUMBER(SEARCH(설정!$A$59,K33))),설정!$B$59,IF(AND(설정!$A$60&lt;&gt;"",ISNUMBER(SEARCH(설정!$A$60,K33))),설정!$B$60,IF(AND(설정!$A$61&lt;&gt;"",ISNUMBER(SEARCH(설정!$A$61,K33))),설정!$B$61,IF(M33="","설계사","시공사"))))))))),"")</f>
        <v/>
      </c>
      <c r="V33">
        <f>SUBSTITUTE(SUBSTITUTE(SUBSTITUTE(SUBSTITUTE(G33,"(주)",""),"㈜",""),"주식회사","")," ","")</f>
        <v/>
      </c>
      <c r="W33">
        <f>IF(AND(T33,V33&lt;&gt;""),IF(COUNTIFS(V$2:V33,V33,T$2:T33,TRUE)=1,MAX(W$1:W32)+1,""),"")</f>
        <v/>
      </c>
      <c r="X33">
        <f>IF(설정!$C$14="","",IFERROR(INDEX('1.산군_붙여넣기'!$A$1:$AZ$1001,ROW(),설정!$C$14)&amp;"",""))</f>
        <v/>
      </c>
      <c r="Y33">
        <f>IF(설정!$C$15="","",IFERROR(INDEX('1.산군_붙여넣기'!$A$1:$AZ$1001,ROW(),설정!$C$15)&amp;"",""))</f>
        <v/>
      </c>
      <c r="Z33">
        <f>IF(T33,V33&amp;"|"&amp;U33,"")</f>
        <v/>
      </c>
      <c r="AA33">
        <f>IF(NOT(Q33),"",IF(NOT(AND(R33,S33)),"✕",IF(OR(OR(AND(L33&lt;&gt;"",M33&lt;&gt;"",N(M33)-N(L33)&gt;설정!$B$27),AND(L33&lt;&gt;"",M33="",설정!$B$24-N(L33)&gt;설정!$B$27)),AND(D33&lt;&gt;"",D33&lt;설정!$B$26)),"△","★")))</f>
        <v/>
      </c>
      <c r="AB33">
        <f>IF(NOT(T33),"",IF(U33="설계사",설정!$B$31,IF(U33="시공사",IF(OR(M33="",설정!$B$24-N(M33)&lt;=설정!$B$28*30.4),설정!$B$32,설정!$B$33),설정!$B$34))+IF(AA33="★",설정!$B$35,0))</f>
        <v/>
      </c>
      <c r="AC33">
        <f>SUBSTITUTE(SUBSTITUTE(SUBSTITUTE(SUBSTITUTE(H33,"(주)",""),"㈜",""),"주식회사","")," ","")</f>
        <v/>
      </c>
      <c r="AD33">
        <f>IF(AND(T33,AC33&lt;&gt;""),IF(COUNTIFS(AC$2:AC33,AC33,T$2:T33,TRUE)=1,MAX(AD$1:AD32)+1,""),"")</f>
        <v/>
      </c>
    </row>
    <row r="34">
      <c r="A34">
        <f>ROW()</f>
        <v/>
      </c>
      <c r="B34">
        <f>IF(설정!$C$4="","",IFERROR(INDEX('1.산군_붙여넣기'!$A$1:$AZ$1001,ROW(),설정!$C$4)&amp;"",""))</f>
        <v/>
      </c>
      <c r="C34">
        <f>IF(설정!$C$5="","",IFERROR(INDEX('1.산군_붙여넣기'!$A$1:$AZ$1001,ROW(),설정!$C$5)&amp;"",""))</f>
        <v/>
      </c>
      <c r="D34" s="5">
        <f>IFERROR(VALUE(SUBSTITUTE(SUBSTITUTE(SUBSTITUTE(IF(설정!$C$6="","",IFERROR(INDEX('1.산군_붙여넣기'!$A$1:$AZ$1001,ROW(),설정!$C$6)&amp;"","")),",",""),"㎡",""),"m2","")),"")</f>
        <v/>
      </c>
      <c r="E34">
        <f>IF(설정!$C$7="","",IFERROR(INDEX('1.산군_붙여넣기'!$A$1:$AZ$1001,ROW(),설정!$C$7)&amp;"",""))</f>
        <v/>
      </c>
      <c r="F34">
        <f>IF(설정!$C$8="","",IFERROR(INDEX('1.산군_붙여넣기'!$A$1:$AZ$1001,ROW(),설정!$C$8)&amp;"",""))</f>
        <v/>
      </c>
      <c r="G34">
        <f>IF(설정!$C$9="","",IFERROR(INDEX('1.산군_붙여넣기'!$A$1:$AZ$1001,ROW(),설정!$C$9)&amp;"",""))</f>
        <v/>
      </c>
      <c r="H34">
        <f>IF(설정!$C$10="","",IFERROR(INDEX('1.산군_붙여넣기'!$A$1:$AZ$1001,ROW(),설정!$C$10)&amp;"",""))</f>
        <v/>
      </c>
      <c r="I34">
        <f>IF(설정!$C$11="","",IFERROR(INDEX('1.산군_붙여넣기'!$A$1:$AZ$1001,ROW(),설정!$C$11)&amp;"",""))</f>
        <v/>
      </c>
      <c r="J34">
        <f>IF(설정!$C$12="","",IFERROR(INDEX('1.산군_붙여넣기'!$A$1:$AZ$1001,ROW(),설정!$C$12)&amp;"",""))</f>
        <v/>
      </c>
      <c r="K34">
        <f>IF(설정!$C$13="","",IFERROR(INDEX('1.산군_붙여넣기'!$A$1:$AZ$1001,ROW(),설정!$C$13)&amp;"",""))</f>
        <v/>
      </c>
      <c r="L34" s="7">
        <f>IF(X34="","",IF(AND(LEN(X34)=8,ISNUMBER(X34*1)),DATE(LEFT(X34,4),MID(X34,5,2),RIGHT(X34,2)),IFERROR(DATEVALUE(SUBSTITUTE(SUBSTITUTE(X34,".","-"),"/","-")),IFERROR(X34*1,""))))</f>
        <v/>
      </c>
      <c r="M34" s="7">
        <f>IF(Y34="","",IF(AND(LEN(Y34)=8,ISNUMBER(Y34*1)),DATE(LEFT(Y34,4),MID(Y34,5,2),RIGHT(Y34,2)),IFERROR(DATEVALUE(SUBSTITUTE(SUBSTITUTE(Y34,".","-"),"/","-")),IFERROR(Y34*1,""))))</f>
        <v/>
      </c>
      <c r="N34">
        <f>IFERROR(LEFT(B34,FIND(" ",B34)-1),B34)</f>
        <v/>
      </c>
      <c r="O34">
        <f>AND(B34&lt;&gt;"",B34&lt;&gt;설정!$B$4,C34&lt;&gt;설정!$B$5)</f>
        <v/>
      </c>
      <c r="P34">
        <f>IF(O34,B34&amp;"|"&amp;C34,"")</f>
        <v/>
      </c>
      <c r="Q34">
        <f>AND(O34,COUNTIF(P35:P$1002,P34)=0)</f>
        <v/>
      </c>
      <c r="R34">
        <f>OR(AND(설정!$A$42&lt;&gt;"",ISNUMBER(SEARCH(설정!$A$42,E34&amp;" "&amp;C34))),AND(설정!$A$43&lt;&gt;"",ISNUMBER(SEARCH(설정!$A$43,E34&amp;" "&amp;C34))),AND(설정!$A$44&lt;&gt;"",ISNUMBER(SEARCH(설정!$A$44,E34&amp;" "&amp;C34))),AND(설정!$A$45&lt;&gt;"",ISNUMBER(SEARCH(설정!$A$45,E34&amp;" "&amp;C34))),AND(설정!$A$46&lt;&gt;"",ISNUMBER(SEARCH(설정!$A$46,E34&amp;" "&amp;C34))),AND(설정!$A$47&lt;&gt;"",ISNUMBER(SEARCH(설정!$A$47,E34&amp;" "&amp;C34))),AND(설정!$A$48&lt;&gt;"",ISNUMBER(SEARCH(설정!$A$48,E34&amp;" "&amp;C34))),AND(설정!$A$49&lt;&gt;"",ISNUMBER(SEARCH(설정!$A$49,E34&amp;" "&amp;C34))),AND(설정!$A$50&lt;&gt;"",ISNUMBER(SEARCH(설정!$A$50,E34&amp;" "&amp;C34))),AND(설정!$A$51&lt;&gt;"",ISNUMBER(SEARCH(설정!$A$51,E34&amp;" "&amp;C34))))</f>
        <v/>
      </c>
      <c r="S34">
        <f>OR(D34="",D34&gt;=설정!$B$19)</f>
        <v/>
      </c>
      <c r="T34">
        <f>AND(Q34,R34,S34)</f>
        <v/>
      </c>
      <c r="U34">
        <f>IF(T34,IF(AND(설정!$A$54&lt;&gt;"",ISNUMBER(SEARCH(설정!$A$54,K34))),설정!$B$54,IF(AND(설정!$A$55&lt;&gt;"",ISNUMBER(SEARCH(설정!$A$55,K34))),설정!$B$55,IF(AND(설정!$A$56&lt;&gt;"",ISNUMBER(SEARCH(설정!$A$56,K34))),설정!$B$56,IF(AND(설정!$A$57&lt;&gt;"",ISNUMBER(SEARCH(설정!$A$57,K34))),설정!$B$57,IF(AND(설정!$A$58&lt;&gt;"",ISNUMBER(SEARCH(설정!$A$58,K34))),설정!$B$58,IF(AND(설정!$A$59&lt;&gt;"",ISNUMBER(SEARCH(설정!$A$59,K34))),설정!$B$59,IF(AND(설정!$A$60&lt;&gt;"",ISNUMBER(SEARCH(설정!$A$60,K34))),설정!$B$60,IF(AND(설정!$A$61&lt;&gt;"",ISNUMBER(SEARCH(설정!$A$61,K34))),설정!$B$61,IF(M34="","설계사","시공사"))))))))),"")</f>
        <v/>
      </c>
      <c r="V34">
        <f>SUBSTITUTE(SUBSTITUTE(SUBSTITUTE(SUBSTITUTE(G34,"(주)",""),"㈜",""),"주식회사","")," ","")</f>
        <v/>
      </c>
      <c r="W34">
        <f>IF(AND(T34,V34&lt;&gt;""),IF(COUNTIFS(V$2:V34,V34,T$2:T34,TRUE)=1,MAX(W$1:W33)+1,""),"")</f>
        <v/>
      </c>
      <c r="X34">
        <f>IF(설정!$C$14="","",IFERROR(INDEX('1.산군_붙여넣기'!$A$1:$AZ$1001,ROW(),설정!$C$14)&amp;"",""))</f>
        <v/>
      </c>
      <c r="Y34">
        <f>IF(설정!$C$15="","",IFERROR(INDEX('1.산군_붙여넣기'!$A$1:$AZ$1001,ROW(),설정!$C$15)&amp;"",""))</f>
        <v/>
      </c>
      <c r="Z34">
        <f>IF(T34,V34&amp;"|"&amp;U34,"")</f>
        <v/>
      </c>
      <c r="AA34">
        <f>IF(NOT(Q34),"",IF(NOT(AND(R34,S34)),"✕",IF(OR(OR(AND(L34&lt;&gt;"",M34&lt;&gt;"",N(M34)-N(L34)&gt;설정!$B$27),AND(L34&lt;&gt;"",M34="",설정!$B$24-N(L34)&gt;설정!$B$27)),AND(D34&lt;&gt;"",D34&lt;설정!$B$26)),"△","★")))</f>
        <v/>
      </c>
      <c r="AB34">
        <f>IF(NOT(T34),"",IF(U34="설계사",설정!$B$31,IF(U34="시공사",IF(OR(M34="",설정!$B$24-N(M34)&lt;=설정!$B$28*30.4),설정!$B$32,설정!$B$33),설정!$B$34))+IF(AA34="★",설정!$B$35,0))</f>
        <v/>
      </c>
      <c r="AC34">
        <f>SUBSTITUTE(SUBSTITUTE(SUBSTITUTE(SUBSTITUTE(H34,"(주)",""),"㈜",""),"주식회사","")," ","")</f>
        <v/>
      </c>
      <c r="AD34">
        <f>IF(AND(T34,AC34&lt;&gt;""),IF(COUNTIFS(AC$2:AC34,AC34,T$2:T34,TRUE)=1,MAX(AD$1:AD33)+1,""),"")</f>
        <v/>
      </c>
    </row>
    <row r="35">
      <c r="A35">
        <f>ROW()</f>
        <v/>
      </c>
      <c r="B35">
        <f>IF(설정!$C$4="","",IFERROR(INDEX('1.산군_붙여넣기'!$A$1:$AZ$1001,ROW(),설정!$C$4)&amp;"",""))</f>
        <v/>
      </c>
      <c r="C35">
        <f>IF(설정!$C$5="","",IFERROR(INDEX('1.산군_붙여넣기'!$A$1:$AZ$1001,ROW(),설정!$C$5)&amp;"",""))</f>
        <v/>
      </c>
      <c r="D35" s="5">
        <f>IFERROR(VALUE(SUBSTITUTE(SUBSTITUTE(SUBSTITUTE(IF(설정!$C$6="","",IFERROR(INDEX('1.산군_붙여넣기'!$A$1:$AZ$1001,ROW(),설정!$C$6)&amp;"","")),",",""),"㎡",""),"m2","")),"")</f>
        <v/>
      </c>
      <c r="E35">
        <f>IF(설정!$C$7="","",IFERROR(INDEX('1.산군_붙여넣기'!$A$1:$AZ$1001,ROW(),설정!$C$7)&amp;"",""))</f>
        <v/>
      </c>
      <c r="F35">
        <f>IF(설정!$C$8="","",IFERROR(INDEX('1.산군_붙여넣기'!$A$1:$AZ$1001,ROW(),설정!$C$8)&amp;"",""))</f>
        <v/>
      </c>
      <c r="G35">
        <f>IF(설정!$C$9="","",IFERROR(INDEX('1.산군_붙여넣기'!$A$1:$AZ$1001,ROW(),설정!$C$9)&amp;"",""))</f>
        <v/>
      </c>
      <c r="H35">
        <f>IF(설정!$C$10="","",IFERROR(INDEX('1.산군_붙여넣기'!$A$1:$AZ$1001,ROW(),설정!$C$10)&amp;"",""))</f>
        <v/>
      </c>
      <c r="I35">
        <f>IF(설정!$C$11="","",IFERROR(INDEX('1.산군_붙여넣기'!$A$1:$AZ$1001,ROW(),설정!$C$11)&amp;"",""))</f>
        <v/>
      </c>
      <c r="J35">
        <f>IF(설정!$C$12="","",IFERROR(INDEX('1.산군_붙여넣기'!$A$1:$AZ$1001,ROW(),설정!$C$12)&amp;"",""))</f>
        <v/>
      </c>
      <c r="K35">
        <f>IF(설정!$C$13="","",IFERROR(INDEX('1.산군_붙여넣기'!$A$1:$AZ$1001,ROW(),설정!$C$13)&amp;"",""))</f>
        <v/>
      </c>
      <c r="L35" s="7">
        <f>IF(X35="","",IF(AND(LEN(X35)=8,ISNUMBER(X35*1)),DATE(LEFT(X35,4),MID(X35,5,2),RIGHT(X35,2)),IFERROR(DATEVALUE(SUBSTITUTE(SUBSTITUTE(X35,".","-"),"/","-")),IFERROR(X35*1,""))))</f>
        <v/>
      </c>
      <c r="M35" s="7">
        <f>IF(Y35="","",IF(AND(LEN(Y35)=8,ISNUMBER(Y35*1)),DATE(LEFT(Y35,4),MID(Y35,5,2),RIGHT(Y35,2)),IFERROR(DATEVALUE(SUBSTITUTE(SUBSTITUTE(Y35,".","-"),"/","-")),IFERROR(Y35*1,""))))</f>
        <v/>
      </c>
      <c r="N35">
        <f>IFERROR(LEFT(B35,FIND(" ",B35)-1),B35)</f>
        <v/>
      </c>
      <c r="O35">
        <f>AND(B35&lt;&gt;"",B35&lt;&gt;설정!$B$4,C35&lt;&gt;설정!$B$5)</f>
        <v/>
      </c>
      <c r="P35">
        <f>IF(O35,B35&amp;"|"&amp;C35,"")</f>
        <v/>
      </c>
      <c r="Q35">
        <f>AND(O35,COUNTIF(P36:P$1002,P35)=0)</f>
        <v/>
      </c>
      <c r="R35">
        <f>OR(AND(설정!$A$42&lt;&gt;"",ISNUMBER(SEARCH(설정!$A$42,E35&amp;" "&amp;C35))),AND(설정!$A$43&lt;&gt;"",ISNUMBER(SEARCH(설정!$A$43,E35&amp;" "&amp;C35))),AND(설정!$A$44&lt;&gt;"",ISNUMBER(SEARCH(설정!$A$44,E35&amp;" "&amp;C35))),AND(설정!$A$45&lt;&gt;"",ISNUMBER(SEARCH(설정!$A$45,E35&amp;" "&amp;C35))),AND(설정!$A$46&lt;&gt;"",ISNUMBER(SEARCH(설정!$A$46,E35&amp;" "&amp;C35))),AND(설정!$A$47&lt;&gt;"",ISNUMBER(SEARCH(설정!$A$47,E35&amp;" "&amp;C35))),AND(설정!$A$48&lt;&gt;"",ISNUMBER(SEARCH(설정!$A$48,E35&amp;" "&amp;C35))),AND(설정!$A$49&lt;&gt;"",ISNUMBER(SEARCH(설정!$A$49,E35&amp;" "&amp;C35))),AND(설정!$A$50&lt;&gt;"",ISNUMBER(SEARCH(설정!$A$50,E35&amp;" "&amp;C35))),AND(설정!$A$51&lt;&gt;"",ISNUMBER(SEARCH(설정!$A$51,E35&amp;" "&amp;C35))))</f>
        <v/>
      </c>
      <c r="S35">
        <f>OR(D35="",D35&gt;=설정!$B$19)</f>
        <v/>
      </c>
      <c r="T35">
        <f>AND(Q35,R35,S35)</f>
        <v/>
      </c>
      <c r="U35">
        <f>IF(T35,IF(AND(설정!$A$54&lt;&gt;"",ISNUMBER(SEARCH(설정!$A$54,K35))),설정!$B$54,IF(AND(설정!$A$55&lt;&gt;"",ISNUMBER(SEARCH(설정!$A$55,K35))),설정!$B$55,IF(AND(설정!$A$56&lt;&gt;"",ISNUMBER(SEARCH(설정!$A$56,K35))),설정!$B$56,IF(AND(설정!$A$57&lt;&gt;"",ISNUMBER(SEARCH(설정!$A$57,K35))),설정!$B$57,IF(AND(설정!$A$58&lt;&gt;"",ISNUMBER(SEARCH(설정!$A$58,K35))),설정!$B$58,IF(AND(설정!$A$59&lt;&gt;"",ISNUMBER(SEARCH(설정!$A$59,K35))),설정!$B$59,IF(AND(설정!$A$60&lt;&gt;"",ISNUMBER(SEARCH(설정!$A$60,K35))),설정!$B$60,IF(AND(설정!$A$61&lt;&gt;"",ISNUMBER(SEARCH(설정!$A$61,K35))),설정!$B$61,IF(M35="","설계사","시공사"))))))))),"")</f>
        <v/>
      </c>
      <c r="V35">
        <f>SUBSTITUTE(SUBSTITUTE(SUBSTITUTE(SUBSTITUTE(G35,"(주)",""),"㈜",""),"주식회사","")," ","")</f>
        <v/>
      </c>
      <c r="W35">
        <f>IF(AND(T35,V35&lt;&gt;""),IF(COUNTIFS(V$2:V35,V35,T$2:T35,TRUE)=1,MAX(W$1:W34)+1,""),"")</f>
        <v/>
      </c>
      <c r="X35">
        <f>IF(설정!$C$14="","",IFERROR(INDEX('1.산군_붙여넣기'!$A$1:$AZ$1001,ROW(),설정!$C$14)&amp;"",""))</f>
        <v/>
      </c>
      <c r="Y35">
        <f>IF(설정!$C$15="","",IFERROR(INDEX('1.산군_붙여넣기'!$A$1:$AZ$1001,ROW(),설정!$C$15)&amp;"",""))</f>
        <v/>
      </c>
      <c r="Z35">
        <f>IF(T35,V35&amp;"|"&amp;U35,"")</f>
        <v/>
      </c>
      <c r="AA35">
        <f>IF(NOT(Q35),"",IF(NOT(AND(R35,S35)),"✕",IF(OR(OR(AND(L35&lt;&gt;"",M35&lt;&gt;"",N(M35)-N(L35)&gt;설정!$B$27),AND(L35&lt;&gt;"",M35="",설정!$B$24-N(L35)&gt;설정!$B$27)),AND(D35&lt;&gt;"",D35&lt;설정!$B$26)),"△","★")))</f>
        <v/>
      </c>
      <c r="AB35">
        <f>IF(NOT(T35),"",IF(U35="설계사",설정!$B$31,IF(U35="시공사",IF(OR(M35="",설정!$B$24-N(M35)&lt;=설정!$B$28*30.4),설정!$B$32,설정!$B$33),설정!$B$34))+IF(AA35="★",설정!$B$35,0))</f>
        <v/>
      </c>
      <c r="AC35">
        <f>SUBSTITUTE(SUBSTITUTE(SUBSTITUTE(SUBSTITUTE(H35,"(주)",""),"㈜",""),"주식회사","")," ","")</f>
        <v/>
      </c>
      <c r="AD35">
        <f>IF(AND(T35,AC35&lt;&gt;""),IF(COUNTIFS(AC$2:AC35,AC35,T$2:T35,TRUE)=1,MAX(AD$1:AD34)+1,""),"")</f>
        <v/>
      </c>
    </row>
    <row r="36">
      <c r="A36">
        <f>ROW()</f>
        <v/>
      </c>
      <c r="B36">
        <f>IF(설정!$C$4="","",IFERROR(INDEX('1.산군_붙여넣기'!$A$1:$AZ$1001,ROW(),설정!$C$4)&amp;"",""))</f>
        <v/>
      </c>
      <c r="C36">
        <f>IF(설정!$C$5="","",IFERROR(INDEX('1.산군_붙여넣기'!$A$1:$AZ$1001,ROW(),설정!$C$5)&amp;"",""))</f>
        <v/>
      </c>
      <c r="D36" s="5">
        <f>IFERROR(VALUE(SUBSTITUTE(SUBSTITUTE(SUBSTITUTE(IF(설정!$C$6="","",IFERROR(INDEX('1.산군_붙여넣기'!$A$1:$AZ$1001,ROW(),설정!$C$6)&amp;"","")),",",""),"㎡",""),"m2","")),"")</f>
        <v/>
      </c>
      <c r="E36">
        <f>IF(설정!$C$7="","",IFERROR(INDEX('1.산군_붙여넣기'!$A$1:$AZ$1001,ROW(),설정!$C$7)&amp;"",""))</f>
        <v/>
      </c>
      <c r="F36">
        <f>IF(설정!$C$8="","",IFERROR(INDEX('1.산군_붙여넣기'!$A$1:$AZ$1001,ROW(),설정!$C$8)&amp;"",""))</f>
        <v/>
      </c>
      <c r="G36">
        <f>IF(설정!$C$9="","",IFERROR(INDEX('1.산군_붙여넣기'!$A$1:$AZ$1001,ROW(),설정!$C$9)&amp;"",""))</f>
        <v/>
      </c>
      <c r="H36">
        <f>IF(설정!$C$10="","",IFERROR(INDEX('1.산군_붙여넣기'!$A$1:$AZ$1001,ROW(),설정!$C$10)&amp;"",""))</f>
        <v/>
      </c>
      <c r="I36">
        <f>IF(설정!$C$11="","",IFERROR(INDEX('1.산군_붙여넣기'!$A$1:$AZ$1001,ROW(),설정!$C$11)&amp;"",""))</f>
        <v/>
      </c>
      <c r="J36">
        <f>IF(설정!$C$12="","",IFERROR(INDEX('1.산군_붙여넣기'!$A$1:$AZ$1001,ROW(),설정!$C$12)&amp;"",""))</f>
        <v/>
      </c>
      <c r="K36">
        <f>IF(설정!$C$13="","",IFERROR(INDEX('1.산군_붙여넣기'!$A$1:$AZ$1001,ROW(),설정!$C$13)&amp;"",""))</f>
        <v/>
      </c>
      <c r="L36" s="7">
        <f>IF(X36="","",IF(AND(LEN(X36)=8,ISNUMBER(X36*1)),DATE(LEFT(X36,4),MID(X36,5,2),RIGHT(X36,2)),IFERROR(DATEVALUE(SUBSTITUTE(SUBSTITUTE(X36,".","-"),"/","-")),IFERROR(X36*1,""))))</f>
        <v/>
      </c>
      <c r="M36" s="7">
        <f>IF(Y36="","",IF(AND(LEN(Y36)=8,ISNUMBER(Y36*1)),DATE(LEFT(Y36,4),MID(Y36,5,2),RIGHT(Y36,2)),IFERROR(DATEVALUE(SUBSTITUTE(SUBSTITUTE(Y36,".","-"),"/","-")),IFERROR(Y36*1,""))))</f>
        <v/>
      </c>
      <c r="N36">
        <f>IFERROR(LEFT(B36,FIND(" ",B36)-1),B36)</f>
        <v/>
      </c>
      <c r="O36">
        <f>AND(B36&lt;&gt;"",B36&lt;&gt;설정!$B$4,C36&lt;&gt;설정!$B$5)</f>
        <v/>
      </c>
      <c r="P36">
        <f>IF(O36,B36&amp;"|"&amp;C36,"")</f>
        <v/>
      </c>
      <c r="Q36">
        <f>AND(O36,COUNTIF(P37:P$1002,P36)=0)</f>
        <v/>
      </c>
      <c r="R36">
        <f>OR(AND(설정!$A$42&lt;&gt;"",ISNUMBER(SEARCH(설정!$A$42,E36&amp;" "&amp;C36))),AND(설정!$A$43&lt;&gt;"",ISNUMBER(SEARCH(설정!$A$43,E36&amp;" "&amp;C36))),AND(설정!$A$44&lt;&gt;"",ISNUMBER(SEARCH(설정!$A$44,E36&amp;" "&amp;C36))),AND(설정!$A$45&lt;&gt;"",ISNUMBER(SEARCH(설정!$A$45,E36&amp;" "&amp;C36))),AND(설정!$A$46&lt;&gt;"",ISNUMBER(SEARCH(설정!$A$46,E36&amp;" "&amp;C36))),AND(설정!$A$47&lt;&gt;"",ISNUMBER(SEARCH(설정!$A$47,E36&amp;" "&amp;C36))),AND(설정!$A$48&lt;&gt;"",ISNUMBER(SEARCH(설정!$A$48,E36&amp;" "&amp;C36))),AND(설정!$A$49&lt;&gt;"",ISNUMBER(SEARCH(설정!$A$49,E36&amp;" "&amp;C36))),AND(설정!$A$50&lt;&gt;"",ISNUMBER(SEARCH(설정!$A$50,E36&amp;" "&amp;C36))),AND(설정!$A$51&lt;&gt;"",ISNUMBER(SEARCH(설정!$A$51,E36&amp;" "&amp;C36))))</f>
        <v/>
      </c>
      <c r="S36">
        <f>OR(D36="",D36&gt;=설정!$B$19)</f>
        <v/>
      </c>
      <c r="T36">
        <f>AND(Q36,R36,S36)</f>
        <v/>
      </c>
      <c r="U36">
        <f>IF(T36,IF(AND(설정!$A$54&lt;&gt;"",ISNUMBER(SEARCH(설정!$A$54,K36))),설정!$B$54,IF(AND(설정!$A$55&lt;&gt;"",ISNUMBER(SEARCH(설정!$A$55,K36))),설정!$B$55,IF(AND(설정!$A$56&lt;&gt;"",ISNUMBER(SEARCH(설정!$A$56,K36))),설정!$B$56,IF(AND(설정!$A$57&lt;&gt;"",ISNUMBER(SEARCH(설정!$A$57,K36))),설정!$B$57,IF(AND(설정!$A$58&lt;&gt;"",ISNUMBER(SEARCH(설정!$A$58,K36))),설정!$B$58,IF(AND(설정!$A$59&lt;&gt;"",ISNUMBER(SEARCH(설정!$A$59,K36))),설정!$B$59,IF(AND(설정!$A$60&lt;&gt;"",ISNUMBER(SEARCH(설정!$A$60,K36))),설정!$B$60,IF(AND(설정!$A$61&lt;&gt;"",ISNUMBER(SEARCH(설정!$A$61,K36))),설정!$B$61,IF(M36="","설계사","시공사"))))))))),"")</f>
        <v/>
      </c>
      <c r="V36">
        <f>SUBSTITUTE(SUBSTITUTE(SUBSTITUTE(SUBSTITUTE(G36,"(주)",""),"㈜",""),"주식회사","")," ","")</f>
        <v/>
      </c>
      <c r="W36">
        <f>IF(AND(T36,V36&lt;&gt;""),IF(COUNTIFS(V$2:V36,V36,T$2:T36,TRUE)=1,MAX(W$1:W35)+1,""),"")</f>
        <v/>
      </c>
      <c r="X36">
        <f>IF(설정!$C$14="","",IFERROR(INDEX('1.산군_붙여넣기'!$A$1:$AZ$1001,ROW(),설정!$C$14)&amp;"",""))</f>
        <v/>
      </c>
      <c r="Y36">
        <f>IF(설정!$C$15="","",IFERROR(INDEX('1.산군_붙여넣기'!$A$1:$AZ$1001,ROW(),설정!$C$15)&amp;"",""))</f>
        <v/>
      </c>
      <c r="Z36">
        <f>IF(T36,V36&amp;"|"&amp;U36,"")</f>
        <v/>
      </c>
      <c r="AA36">
        <f>IF(NOT(Q36),"",IF(NOT(AND(R36,S36)),"✕",IF(OR(OR(AND(L36&lt;&gt;"",M36&lt;&gt;"",N(M36)-N(L36)&gt;설정!$B$27),AND(L36&lt;&gt;"",M36="",설정!$B$24-N(L36)&gt;설정!$B$27)),AND(D36&lt;&gt;"",D36&lt;설정!$B$26)),"△","★")))</f>
        <v/>
      </c>
      <c r="AB36">
        <f>IF(NOT(T36),"",IF(U36="설계사",설정!$B$31,IF(U36="시공사",IF(OR(M36="",설정!$B$24-N(M36)&lt;=설정!$B$28*30.4),설정!$B$32,설정!$B$33),설정!$B$34))+IF(AA36="★",설정!$B$35,0))</f>
        <v/>
      </c>
      <c r="AC36">
        <f>SUBSTITUTE(SUBSTITUTE(SUBSTITUTE(SUBSTITUTE(H36,"(주)",""),"㈜",""),"주식회사","")," ","")</f>
        <v/>
      </c>
      <c r="AD36">
        <f>IF(AND(T36,AC36&lt;&gt;""),IF(COUNTIFS(AC$2:AC36,AC36,T$2:T36,TRUE)=1,MAX(AD$1:AD35)+1,""),"")</f>
        <v/>
      </c>
    </row>
    <row r="37">
      <c r="A37">
        <f>ROW()</f>
        <v/>
      </c>
      <c r="B37">
        <f>IF(설정!$C$4="","",IFERROR(INDEX('1.산군_붙여넣기'!$A$1:$AZ$1001,ROW(),설정!$C$4)&amp;"",""))</f>
        <v/>
      </c>
      <c r="C37">
        <f>IF(설정!$C$5="","",IFERROR(INDEX('1.산군_붙여넣기'!$A$1:$AZ$1001,ROW(),설정!$C$5)&amp;"",""))</f>
        <v/>
      </c>
      <c r="D37" s="5">
        <f>IFERROR(VALUE(SUBSTITUTE(SUBSTITUTE(SUBSTITUTE(IF(설정!$C$6="","",IFERROR(INDEX('1.산군_붙여넣기'!$A$1:$AZ$1001,ROW(),설정!$C$6)&amp;"","")),",",""),"㎡",""),"m2","")),"")</f>
        <v/>
      </c>
      <c r="E37">
        <f>IF(설정!$C$7="","",IFERROR(INDEX('1.산군_붙여넣기'!$A$1:$AZ$1001,ROW(),설정!$C$7)&amp;"",""))</f>
        <v/>
      </c>
      <c r="F37">
        <f>IF(설정!$C$8="","",IFERROR(INDEX('1.산군_붙여넣기'!$A$1:$AZ$1001,ROW(),설정!$C$8)&amp;"",""))</f>
        <v/>
      </c>
      <c r="G37">
        <f>IF(설정!$C$9="","",IFERROR(INDEX('1.산군_붙여넣기'!$A$1:$AZ$1001,ROW(),설정!$C$9)&amp;"",""))</f>
        <v/>
      </c>
      <c r="H37">
        <f>IF(설정!$C$10="","",IFERROR(INDEX('1.산군_붙여넣기'!$A$1:$AZ$1001,ROW(),설정!$C$10)&amp;"",""))</f>
        <v/>
      </c>
      <c r="I37">
        <f>IF(설정!$C$11="","",IFERROR(INDEX('1.산군_붙여넣기'!$A$1:$AZ$1001,ROW(),설정!$C$11)&amp;"",""))</f>
        <v/>
      </c>
      <c r="J37">
        <f>IF(설정!$C$12="","",IFERROR(INDEX('1.산군_붙여넣기'!$A$1:$AZ$1001,ROW(),설정!$C$12)&amp;"",""))</f>
        <v/>
      </c>
      <c r="K37">
        <f>IF(설정!$C$13="","",IFERROR(INDEX('1.산군_붙여넣기'!$A$1:$AZ$1001,ROW(),설정!$C$13)&amp;"",""))</f>
        <v/>
      </c>
      <c r="L37" s="7">
        <f>IF(X37="","",IF(AND(LEN(X37)=8,ISNUMBER(X37*1)),DATE(LEFT(X37,4),MID(X37,5,2),RIGHT(X37,2)),IFERROR(DATEVALUE(SUBSTITUTE(SUBSTITUTE(X37,".","-"),"/","-")),IFERROR(X37*1,""))))</f>
        <v/>
      </c>
      <c r="M37" s="7">
        <f>IF(Y37="","",IF(AND(LEN(Y37)=8,ISNUMBER(Y37*1)),DATE(LEFT(Y37,4),MID(Y37,5,2),RIGHT(Y37,2)),IFERROR(DATEVALUE(SUBSTITUTE(SUBSTITUTE(Y37,".","-"),"/","-")),IFERROR(Y37*1,""))))</f>
        <v/>
      </c>
      <c r="N37">
        <f>IFERROR(LEFT(B37,FIND(" ",B37)-1),B37)</f>
        <v/>
      </c>
      <c r="O37">
        <f>AND(B37&lt;&gt;"",B37&lt;&gt;설정!$B$4,C37&lt;&gt;설정!$B$5)</f>
        <v/>
      </c>
      <c r="P37">
        <f>IF(O37,B37&amp;"|"&amp;C37,"")</f>
        <v/>
      </c>
      <c r="Q37">
        <f>AND(O37,COUNTIF(P38:P$1002,P37)=0)</f>
        <v/>
      </c>
      <c r="R37">
        <f>OR(AND(설정!$A$42&lt;&gt;"",ISNUMBER(SEARCH(설정!$A$42,E37&amp;" "&amp;C37))),AND(설정!$A$43&lt;&gt;"",ISNUMBER(SEARCH(설정!$A$43,E37&amp;" "&amp;C37))),AND(설정!$A$44&lt;&gt;"",ISNUMBER(SEARCH(설정!$A$44,E37&amp;" "&amp;C37))),AND(설정!$A$45&lt;&gt;"",ISNUMBER(SEARCH(설정!$A$45,E37&amp;" "&amp;C37))),AND(설정!$A$46&lt;&gt;"",ISNUMBER(SEARCH(설정!$A$46,E37&amp;" "&amp;C37))),AND(설정!$A$47&lt;&gt;"",ISNUMBER(SEARCH(설정!$A$47,E37&amp;" "&amp;C37))),AND(설정!$A$48&lt;&gt;"",ISNUMBER(SEARCH(설정!$A$48,E37&amp;" "&amp;C37))),AND(설정!$A$49&lt;&gt;"",ISNUMBER(SEARCH(설정!$A$49,E37&amp;" "&amp;C37))),AND(설정!$A$50&lt;&gt;"",ISNUMBER(SEARCH(설정!$A$50,E37&amp;" "&amp;C37))),AND(설정!$A$51&lt;&gt;"",ISNUMBER(SEARCH(설정!$A$51,E37&amp;" "&amp;C37))))</f>
        <v/>
      </c>
      <c r="S37">
        <f>OR(D37="",D37&gt;=설정!$B$19)</f>
        <v/>
      </c>
      <c r="T37">
        <f>AND(Q37,R37,S37)</f>
        <v/>
      </c>
      <c r="U37">
        <f>IF(T37,IF(AND(설정!$A$54&lt;&gt;"",ISNUMBER(SEARCH(설정!$A$54,K37))),설정!$B$54,IF(AND(설정!$A$55&lt;&gt;"",ISNUMBER(SEARCH(설정!$A$55,K37))),설정!$B$55,IF(AND(설정!$A$56&lt;&gt;"",ISNUMBER(SEARCH(설정!$A$56,K37))),설정!$B$56,IF(AND(설정!$A$57&lt;&gt;"",ISNUMBER(SEARCH(설정!$A$57,K37))),설정!$B$57,IF(AND(설정!$A$58&lt;&gt;"",ISNUMBER(SEARCH(설정!$A$58,K37))),설정!$B$58,IF(AND(설정!$A$59&lt;&gt;"",ISNUMBER(SEARCH(설정!$A$59,K37))),설정!$B$59,IF(AND(설정!$A$60&lt;&gt;"",ISNUMBER(SEARCH(설정!$A$60,K37))),설정!$B$60,IF(AND(설정!$A$61&lt;&gt;"",ISNUMBER(SEARCH(설정!$A$61,K37))),설정!$B$61,IF(M37="","설계사","시공사"))))))))),"")</f>
        <v/>
      </c>
      <c r="V37">
        <f>SUBSTITUTE(SUBSTITUTE(SUBSTITUTE(SUBSTITUTE(G37,"(주)",""),"㈜",""),"주식회사","")," ","")</f>
        <v/>
      </c>
      <c r="W37">
        <f>IF(AND(T37,V37&lt;&gt;""),IF(COUNTIFS(V$2:V37,V37,T$2:T37,TRUE)=1,MAX(W$1:W36)+1,""),"")</f>
        <v/>
      </c>
      <c r="X37">
        <f>IF(설정!$C$14="","",IFERROR(INDEX('1.산군_붙여넣기'!$A$1:$AZ$1001,ROW(),설정!$C$14)&amp;"",""))</f>
        <v/>
      </c>
      <c r="Y37">
        <f>IF(설정!$C$15="","",IFERROR(INDEX('1.산군_붙여넣기'!$A$1:$AZ$1001,ROW(),설정!$C$15)&amp;"",""))</f>
        <v/>
      </c>
      <c r="Z37">
        <f>IF(T37,V37&amp;"|"&amp;U37,"")</f>
        <v/>
      </c>
      <c r="AA37">
        <f>IF(NOT(Q37),"",IF(NOT(AND(R37,S37)),"✕",IF(OR(OR(AND(L37&lt;&gt;"",M37&lt;&gt;"",N(M37)-N(L37)&gt;설정!$B$27),AND(L37&lt;&gt;"",M37="",설정!$B$24-N(L37)&gt;설정!$B$27)),AND(D37&lt;&gt;"",D37&lt;설정!$B$26)),"△","★")))</f>
        <v/>
      </c>
      <c r="AB37">
        <f>IF(NOT(T37),"",IF(U37="설계사",설정!$B$31,IF(U37="시공사",IF(OR(M37="",설정!$B$24-N(M37)&lt;=설정!$B$28*30.4),설정!$B$32,설정!$B$33),설정!$B$34))+IF(AA37="★",설정!$B$35,0))</f>
        <v/>
      </c>
      <c r="AC37">
        <f>SUBSTITUTE(SUBSTITUTE(SUBSTITUTE(SUBSTITUTE(H37,"(주)",""),"㈜",""),"주식회사","")," ","")</f>
        <v/>
      </c>
      <c r="AD37">
        <f>IF(AND(T37,AC37&lt;&gt;""),IF(COUNTIFS(AC$2:AC37,AC37,T$2:T37,TRUE)=1,MAX(AD$1:AD36)+1,""),"")</f>
        <v/>
      </c>
    </row>
    <row r="38">
      <c r="A38">
        <f>ROW()</f>
        <v/>
      </c>
      <c r="B38">
        <f>IF(설정!$C$4="","",IFERROR(INDEX('1.산군_붙여넣기'!$A$1:$AZ$1001,ROW(),설정!$C$4)&amp;"",""))</f>
        <v/>
      </c>
      <c r="C38">
        <f>IF(설정!$C$5="","",IFERROR(INDEX('1.산군_붙여넣기'!$A$1:$AZ$1001,ROW(),설정!$C$5)&amp;"",""))</f>
        <v/>
      </c>
      <c r="D38" s="5">
        <f>IFERROR(VALUE(SUBSTITUTE(SUBSTITUTE(SUBSTITUTE(IF(설정!$C$6="","",IFERROR(INDEX('1.산군_붙여넣기'!$A$1:$AZ$1001,ROW(),설정!$C$6)&amp;"","")),",",""),"㎡",""),"m2","")),"")</f>
        <v/>
      </c>
      <c r="E38">
        <f>IF(설정!$C$7="","",IFERROR(INDEX('1.산군_붙여넣기'!$A$1:$AZ$1001,ROW(),설정!$C$7)&amp;"",""))</f>
        <v/>
      </c>
      <c r="F38">
        <f>IF(설정!$C$8="","",IFERROR(INDEX('1.산군_붙여넣기'!$A$1:$AZ$1001,ROW(),설정!$C$8)&amp;"",""))</f>
        <v/>
      </c>
      <c r="G38">
        <f>IF(설정!$C$9="","",IFERROR(INDEX('1.산군_붙여넣기'!$A$1:$AZ$1001,ROW(),설정!$C$9)&amp;"",""))</f>
        <v/>
      </c>
      <c r="H38">
        <f>IF(설정!$C$10="","",IFERROR(INDEX('1.산군_붙여넣기'!$A$1:$AZ$1001,ROW(),설정!$C$10)&amp;"",""))</f>
        <v/>
      </c>
      <c r="I38">
        <f>IF(설정!$C$11="","",IFERROR(INDEX('1.산군_붙여넣기'!$A$1:$AZ$1001,ROW(),설정!$C$11)&amp;"",""))</f>
        <v/>
      </c>
      <c r="J38">
        <f>IF(설정!$C$12="","",IFERROR(INDEX('1.산군_붙여넣기'!$A$1:$AZ$1001,ROW(),설정!$C$12)&amp;"",""))</f>
        <v/>
      </c>
      <c r="K38">
        <f>IF(설정!$C$13="","",IFERROR(INDEX('1.산군_붙여넣기'!$A$1:$AZ$1001,ROW(),설정!$C$13)&amp;"",""))</f>
        <v/>
      </c>
      <c r="L38" s="7">
        <f>IF(X38="","",IF(AND(LEN(X38)=8,ISNUMBER(X38*1)),DATE(LEFT(X38,4),MID(X38,5,2),RIGHT(X38,2)),IFERROR(DATEVALUE(SUBSTITUTE(SUBSTITUTE(X38,".","-"),"/","-")),IFERROR(X38*1,""))))</f>
        <v/>
      </c>
      <c r="M38" s="7">
        <f>IF(Y38="","",IF(AND(LEN(Y38)=8,ISNUMBER(Y38*1)),DATE(LEFT(Y38,4),MID(Y38,5,2),RIGHT(Y38,2)),IFERROR(DATEVALUE(SUBSTITUTE(SUBSTITUTE(Y38,".","-"),"/","-")),IFERROR(Y38*1,""))))</f>
        <v/>
      </c>
      <c r="N38">
        <f>IFERROR(LEFT(B38,FIND(" ",B38)-1),B38)</f>
        <v/>
      </c>
      <c r="O38">
        <f>AND(B38&lt;&gt;"",B38&lt;&gt;설정!$B$4,C38&lt;&gt;설정!$B$5)</f>
        <v/>
      </c>
      <c r="P38">
        <f>IF(O38,B38&amp;"|"&amp;C38,"")</f>
        <v/>
      </c>
      <c r="Q38">
        <f>AND(O38,COUNTIF(P39:P$1002,P38)=0)</f>
        <v/>
      </c>
      <c r="R38">
        <f>OR(AND(설정!$A$42&lt;&gt;"",ISNUMBER(SEARCH(설정!$A$42,E38&amp;" "&amp;C38))),AND(설정!$A$43&lt;&gt;"",ISNUMBER(SEARCH(설정!$A$43,E38&amp;" "&amp;C38))),AND(설정!$A$44&lt;&gt;"",ISNUMBER(SEARCH(설정!$A$44,E38&amp;" "&amp;C38))),AND(설정!$A$45&lt;&gt;"",ISNUMBER(SEARCH(설정!$A$45,E38&amp;" "&amp;C38))),AND(설정!$A$46&lt;&gt;"",ISNUMBER(SEARCH(설정!$A$46,E38&amp;" "&amp;C38))),AND(설정!$A$47&lt;&gt;"",ISNUMBER(SEARCH(설정!$A$47,E38&amp;" "&amp;C38))),AND(설정!$A$48&lt;&gt;"",ISNUMBER(SEARCH(설정!$A$48,E38&amp;" "&amp;C38))),AND(설정!$A$49&lt;&gt;"",ISNUMBER(SEARCH(설정!$A$49,E38&amp;" "&amp;C38))),AND(설정!$A$50&lt;&gt;"",ISNUMBER(SEARCH(설정!$A$50,E38&amp;" "&amp;C38))),AND(설정!$A$51&lt;&gt;"",ISNUMBER(SEARCH(설정!$A$51,E38&amp;" "&amp;C38))))</f>
        <v/>
      </c>
      <c r="S38">
        <f>OR(D38="",D38&gt;=설정!$B$19)</f>
        <v/>
      </c>
      <c r="T38">
        <f>AND(Q38,R38,S38)</f>
        <v/>
      </c>
      <c r="U38">
        <f>IF(T38,IF(AND(설정!$A$54&lt;&gt;"",ISNUMBER(SEARCH(설정!$A$54,K38))),설정!$B$54,IF(AND(설정!$A$55&lt;&gt;"",ISNUMBER(SEARCH(설정!$A$55,K38))),설정!$B$55,IF(AND(설정!$A$56&lt;&gt;"",ISNUMBER(SEARCH(설정!$A$56,K38))),설정!$B$56,IF(AND(설정!$A$57&lt;&gt;"",ISNUMBER(SEARCH(설정!$A$57,K38))),설정!$B$57,IF(AND(설정!$A$58&lt;&gt;"",ISNUMBER(SEARCH(설정!$A$58,K38))),설정!$B$58,IF(AND(설정!$A$59&lt;&gt;"",ISNUMBER(SEARCH(설정!$A$59,K38))),설정!$B$59,IF(AND(설정!$A$60&lt;&gt;"",ISNUMBER(SEARCH(설정!$A$60,K38))),설정!$B$60,IF(AND(설정!$A$61&lt;&gt;"",ISNUMBER(SEARCH(설정!$A$61,K38))),설정!$B$61,IF(M38="","설계사","시공사"))))))))),"")</f>
        <v/>
      </c>
      <c r="V38">
        <f>SUBSTITUTE(SUBSTITUTE(SUBSTITUTE(SUBSTITUTE(G38,"(주)",""),"㈜",""),"주식회사","")," ","")</f>
        <v/>
      </c>
      <c r="W38">
        <f>IF(AND(T38,V38&lt;&gt;""),IF(COUNTIFS(V$2:V38,V38,T$2:T38,TRUE)=1,MAX(W$1:W37)+1,""),"")</f>
        <v/>
      </c>
      <c r="X38">
        <f>IF(설정!$C$14="","",IFERROR(INDEX('1.산군_붙여넣기'!$A$1:$AZ$1001,ROW(),설정!$C$14)&amp;"",""))</f>
        <v/>
      </c>
      <c r="Y38">
        <f>IF(설정!$C$15="","",IFERROR(INDEX('1.산군_붙여넣기'!$A$1:$AZ$1001,ROW(),설정!$C$15)&amp;"",""))</f>
        <v/>
      </c>
      <c r="Z38">
        <f>IF(T38,V38&amp;"|"&amp;U38,"")</f>
        <v/>
      </c>
      <c r="AA38">
        <f>IF(NOT(Q38),"",IF(NOT(AND(R38,S38)),"✕",IF(OR(OR(AND(L38&lt;&gt;"",M38&lt;&gt;"",N(M38)-N(L38)&gt;설정!$B$27),AND(L38&lt;&gt;"",M38="",설정!$B$24-N(L38)&gt;설정!$B$27)),AND(D38&lt;&gt;"",D38&lt;설정!$B$26)),"△","★")))</f>
        <v/>
      </c>
      <c r="AB38">
        <f>IF(NOT(T38),"",IF(U38="설계사",설정!$B$31,IF(U38="시공사",IF(OR(M38="",설정!$B$24-N(M38)&lt;=설정!$B$28*30.4),설정!$B$32,설정!$B$33),설정!$B$34))+IF(AA38="★",설정!$B$35,0))</f>
        <v/>
      </c>
      <c r="AC38">
        <f>SUBSTITUTE(SUBSTITUTE(SUBSTITUTE(SUBSTITUTE(H38,"(주)",""),"㈜",""),"주식회사","")," ","")</f>
        <v/>
      </c>
      <c r="AD38">
        <f>IF(AND(T38,AC38&lt;&gt;""),IF(COUNTIFS(AC$2:AC38,AC38,T$2:T38,TRUE)=1,MAX(AD$1:AD37)+1,""),"")</f>
        <v/>
      </c>
    </row>
    <row r="39">
      <c r="A39">
        <f>ROW()</f>
        <v/>
      </c>
      <c r="B39">
        <f>IF(설정!$C$4="","",IFERROR(INDEX('1.산군_붙여넣기'!$A$1:$AZ$1001,ROW(),설정!$C$4)&amp;"",""))</f>
        <v/>
      </c>
      <c r="C39">
        <f>IF(설정!$C$5="","",IFERROR(INDEX('1.산군_붙여넣기'!$A$1:$AZ$1001,ROW(),설정!$C$5)&amp;"",""))</f>
        <v/>
      </c>
      <c r="D39" s="5">
        <f>IFERROR(VALUE(SUBSTITUTE(SUBSTITUTE(SUBSTITUTE(IF(설정!$C$6="","",IFERROR(INDEX('1.산군_붙여넣기'!$A$1:$AZ$1001,ROW(),설정!$C$6)&amp;"","")),",",""),"㎡",""),"m2","")),"")</f>
        <v/>
      </c>
      <c r="E39">
        <f>IF(설정!$C$7="","",IFERROR(INDEX('1.산군_붙여넣기'!$A$1:$AZ$1001,ROW(),설정!$C$7)&amp;"",""))</f>
        <v/>
      </c>
      <c r="F39">
        <f>IF(설정!$C$8="","",IFERROR(INDEX('1.산군_붙여넣기'!$A$1:$AZ$1001,ROW(),설정!$C$8)&amp;"",""))</f>
        <v/>
      </c>
      <c r="G39">
        <f>IF(설정!$C$9="","",IFERROR(INDEX('1.산군_붙여넣기'!$A$1:$AZ$1001,ROW(),설정!$C$9)&amp;"",""))</f>
        <v/>
      </c>
      <c r="H39">
        <f>IF(설정!$C$10="","",IFERROR(INDEX('1.산군_붙여넣기'!$A$1:$AZ$1001,ROW(),설정!$C$10)&amp;"",""))</f>
        <v/>
      </c>
      <c r="I39">
        <f>IF(설정!$C$11="","",IFERROR(INDEX('1.산군_붙여넣기'!$A$1:$AZ$1001,ROW(),설정!$C$11)&amp;"",""))</f>
        <v/>
      </c>
      <c r="J39">
        <f>IF(설정!$C$12="","",IFERROR(INDEX('1.산군_붙여넣기'!$A$1:$AZ$1001,ROW(),설정!$C$12)&amp;"",""))</f>
        <v/>
      </c>
      <c r="K39">
        <f>IF(설정!$C$13="","",IFERROR(INDEX('1.산군_붙여넣기'!$A$1:$AZ$1001,ROW(),설정!$C$13)&amp;"",""))</f>
        <v/>
      </c>
      <c r="L39" s="7">
        <f>IF(X39="","",IF(AND(LEN(X39)=8,ISNUMBER(X39*1)),DATE(LEFT(X39,4),MID(X39,5,2),RIGHT(X39,2)),IFERROR(DATEVALUE(SUBSTITUTE(SUBSTITUTE(X39,".","-"),"/","-")),IFERROR(X39*1,""))))</f>
        <v/>
      </c>
      <c r="M39" s="7">
        <f>IF(Y39="","",IF(AND(LEN(Y39)=8,ISNUMBER(Y39*1)),DATE(LEFT(Y39,4),MID(Y39,5,2),RIGHT(Y39,2)),IFERROR(DATEVALUE(SUBSTITUTE(SUBSTITUTE(Y39,".","-"),"/","-")),IFERROR(Y39*1,""))))</f>
        <v/>
      </c>
      <c r="N39">
        <f>IFERROR(LEFT(B39,FIND(" ",B39)-1),B39)</f>
        <v/>
      </c>
      <c r="O39">
        <f>AND(B39&lt;&gt;"",B39&lt;&gt;설정!$B$4,C39&lt;&gt;설정!$B$5)</f>
        <v/>
      </c>
      <c r="P39">
        <f>IF(O39,B39&amp;"|"&amp;C39,"")</f>
        <v/>
      </c>
      <c r="Q39">
        <f>AND(O39,COUNTIF(P40:P$1002,P39)=0)</f>
        <v/>
      </c>
      <c r="R39">
        <f>OR(AND(설정!$A$42&lt;&gt;"",ISNUMBER(SEARCH(설정!$A$42,E39&amp;" "&amp;C39))),AND(설정!$A$43&lt;&gt;"",ISNUMBER(SEARCH(설정!$A$43,E39&amp;" "&amp;C39))),AND(설정!$A$44&lt;&gt;"",ISNUMBER(SEARCH(설정!$A$44,E39&amp;" "&amp;C39))),AND(설정!$A$45&lt;&gt;"",ISNUMBER(SEARCH(설정!$A$45,E39&amp;" "&amp;C39))),AND(설정!$A$46&lt;&gt;"",ISNUMBER(SEARCH(설정!$A$46,E39&amp;" "&amp;C39))),AND(설정!$A$47&lt;&gt;"",ISNUMBER(SEARCH(설정!$A$47,E39&amp;" "&amp;C39))),AND(설정!$A$48&lt;&gt;"",ISNUMBER(SEARCH(설정!$A$48,E39&amp;" "&amp;C39))),AND(설정!$A$49&lt;&gt;"",ISNUMBER(SEARCH(설정!$A$49,E39&amp;" "&amp;C39))),AND(설정!$A$50&lt;&gt;"",ISNUMBER(SEARCH(설정!$A$50,E39&amp;" "&amp;C39))),AND(설정!$A$51&lt;&gt;"",ISNUMBER(SEARCH(설정!$A$51,E39&amp;" "&amp;C39))))</f>
        <v/>
      </c>
      <c r="S39">
        <f>OR(D39="",D39&gt;=설정!$B$19)</f>
        <v/>
      </c>
      <c r="T39">
        <f>AND(Q39,R39,S39)</f>
        <v/>
      </c>
      <c r="U39">
        <f>IF(T39,IF(AND(설정!$A$54&lt;&gt;"",ISNUMBER(SEARCH(설정!$A$54,K39))),설정!$B$54,IF(AND(설정!$A$55&lt;&gt;"",ISNUMBER(SEARCH(설정!$A$55,K39))),설정!$B$55,IF(AND(설정!$A$56&lt;&gt;"",ISNUMBER(SEARCH(설정!$A$56,K39))),설정!$B$56,IF(AND(설정!$A$57&lt;&gt;"",ISNUMBER(SEARCH(설정!$A$57,K39))),설정!$B$57,IF(AND(설정!$A$58&lt;&gt;"",ISNUMBER(SEARCH(설정!$A$58,K39))),설정!$B$58,IF(AND(설정!$A$59&lt;&gt;"",ISNUMBER(SEARCH(설정!$A$59,K39))),설정!$B$59,IF(AND(설정!$A$60&lt;&gt;"",ISNUMBER(SEARCH(설정!$A$60,K39))),설정!$B$60,IF(AND(설정!$A$61&lt;&gt;"",ISNUMBER(SEARCH(설정!$A$61,K39))),설정!$B$61,IF(M39="","설계사","시공사"))))))))),"")</f>
        <v/>
      </c>
      <c r="V39">
        <f>SUBSTITUTE(SUBSTITUTE(SUBSTITUTE(SUBSTITUTE(G39,"(주)",""),"㈜",""),"주식회사","")," ","")</f>
        <v/>
      </c>
      <c r="W39">
        <f>IF(AND(T39,V39&lt;&gt;""),IF(COUNTIFS(V$2:V39,V39,T$2:T39,TRUE)=1,MAX(W$1:W38)+1,""),"")</f>
        <v/>
      </c>
      <c r="X39">
        <f>IF(설정!$C$14="","",IFERROR(INDEX('1.산군_붙여넣기'!$A$1:$AZ$1001,ROW(),설정!$C$14)&amp;"",""))</f>
        <v/>
      </c>
      <c r="Y39">
        <f>IF(설정!$C$15="","",IFERROR(INDEX('1.산군_붙여넣기'!$A$1:$AZ$1001,ROW(),설정!$C$15)&amp;"",""))</f>
        <v/>
      </c>
      <c r="Z39">
        <f>IF(T39,V39&amp;"|"&amp;U39,"")</f>
        <v/>
      </c>
      <c r="AA39">
        <f>IF(NOT(Q39),"",IF(NOT(AND(R39,S39)),"✕",IF(OR(OR(AND(L39&lt;&gt;"",M39&lt;&gt;"",N(M39)-N(L39)&gt;설정!$B$27),AND(L39&lt;&gt;"",M39="",설정!$B$24-N(L39)&gt;설정!$B$27)),AND(D39&lt;&gt;"",D39&lt;설정!$B$26)),"△","★")))</f>
        <v/>
      </c>
      <c r="AB39">
        <f>IF(NOT(T39),"",IF(U39="설계사",설정!$B$31,IF(U39="시공사",IF(OR(M39="",설정!$B$24-N(M39)&lt;=설정!$B$28*30.4),설정!$B$32,설정!$B$33),설정!$B$34))+IF(AA39="★",설정!$B$35,0))</f>
        <v/>
      </c>
      <c r="AC39">
        <f>SUBSTITUTE(SUBSTITUTE(SUBSTITUTE(SUBSTITUTE(H39,"(주)",""),"㈜",""),"주식회사","")," ","")</f>
        <v/>
      </c>
      <c r="AD39">
        <f>IF(AND(T39,AC39&lt;&gt;""),IF(COUNTIFS(AC$2:AC39,AC39,T$2:T39,TRUE)=1,MAX(AD$1:AD38)+1,""),"")</f>
        <v/>
      </c>
    </row>
    <row r="40">
      <c r="A40">
        <f>ROW()</f>
        <v/>
      </c>
      <c r="B40">
        <f>IF(설정!$C$4="","",IFERROR(INDEX('1.산군_붙여넣기'!$A$1:$AZ$1001,ROW(),설정!$C$4)&amp;"",""))</f>
        <v/>
      </c>
      <c r="C40">
        <f>IF(설정!$C$5="","",IFERROR(INDEX('1.산군_붙여넣기'!$A$1:$AZ$1001,ROW(),설정!$C$5)&amp;"",""))</f>
        <v/>
      </c>
      <c r="D40" s="5">
        <f>IFERROR(VALUE(SUBSTITUTE(SUBSTITUTE(SUBSTITUTE(IF(설정!$C$6="","",IFERROR(INDEX('1.산군_붙여넣기'!$A$1:$AZ$1001,ROW(),설정!$C$6)&amp;"","")),",",""),"㎡",""),"m2","")),"")</f>
        <v/>
      </c>
      <c r="E40">
        <f>IF(설정!$C$7="","",IFERROR(INDEX('1.산군_붙여넣기'!$A$1:$AZ$1001,ROW(),설정!$C$7)&amp;"",""))</f>
        <v/>
      </c>
      <c r="F40">
        <f>IF(설정!$C$8="","",IFERROR(INDEX('1.산군_붙여넣기'!$A$1:$AZ$1001,ROW(),설정!$C$8)&amp;"",""))</f>
        <v/>
      </c>
      <c r="G40">
        <f>IF(설정!$C$9="","",IFERROR(INDEX('1.산군_붙여넣기'!$A$1:$AZ$1001,ROW(),설정!$C$9)&amp;"",""))</f>
        <v/>
      </c>
      <c r="H40">
        <f>IF(설정!$C$10="","",IFERROR(INDEX('1.산군_붙여넣기'!$A$1:$AZ$1001,ROW(),설정!$C$10)&amp;"",""))</f>
        <v/>
      </c>
      <c r="I40">
        <f>IF(설정!$C$11="","",IFERROR(INDEX('1.산군_붙여넣기'!$A$1:$AZ$1001,ROW(),설정!$C$11)&amp;"",""))</f>
        <v/>
      </c>
      <c r="J40">
        <f>IF(설정!$C$12="","",IFERROR(INDEX('1.산군_붙여넣기'!$A$1:$AZ$1001,ROW(),설정!$C$12)&amp;"",""))</f>
        <v/>
      </c>
      <c r="K40">
        <f>IF(설정!$C$13="","",IFERROR(INDEX('1.산군_붙여넣기'!$A$1:$AZ$1001,ROW(),설정!$C$13)&amp;"",""))</f>
        <v/>
      </c>
      <c r="L40" s="7">
        <f>IF(X40="","",IF(AND(LEN(X40)=8,ISNUMBER(X40*1)),DATE(LEFT(X40,4),MID(X40,5,2),RIGHT(X40,2)),IFERROR(DATEVALUE(SUBSTITUTE(SUBSTITUTE(X40,".","-"),"/","-")),IFERROR(X40*1,""))))</f>
        <v/>
      </c>
      <c r="M40" s="7">
        <f>IF(Y40="","",IF(AND(LEN(Y40)=8,ISNUMBER(Y40*1)),DATE(LEFT(Y40,4),MID(Y40,5,2),RIGHT(Y40,2)),IFERROR(DATEVALUE(SUBSTITUTE(SUBSTITUTE(Y40,".","-"),"/","-")),IFERROR(Y40*1,""))))</f>
        <v/>
      </c>
      <c r="N40">
        <f>IFERROR(LEFT(B40,FIND(" ",B40)-1),B40)</f>
        <v/>
      </c>
      <c r="O40">
        <f>AND(B40&lt;&gt;"",B40&lt;&gt;설정!$B$4,C40&lt;&gt;설정!$B$5)</f>
        <v/>
      </c>
      <c r="P40">
        <f>IF(O40,B40&amp;"|"&amp;C40,"")</f>
        <v/>
      </c>
      <c r="Q40">
        <f>AND(O40,COUNTIF(P41:P$1002,P40)=0)</f>
        <v/>
      </c>
      <c r="R40">
        <f>OR(AND(설정!$A$42&lt;&gt;"",ISNUMBER(SEARCH(설정!$A$42,E40&amp;" "&amp;C40))),AND(설정!$A$43&lt;&gt;"",ISNUMBER(SEARCH(설정!$A$43,E40&amp;" "&amp;C40))),AND(설정!$A$44&lt;&gt;"",ISNUMBER(SEARCH(설정!$A$44,E40&amp;" "&amp;C40))),AND(설정!$A$45&lt;&gt;"",ISNUMBER(SEARCH(설정!$A$45,E40&amp;" "&amp;C40))),AND(설정!$A$46&lt;&gt;"",ISNUMBER(SEARCH(설정!$A$46,E40&amp;" "&amp;C40))),AND(설정!$A$47&lt;&gt;"",ISNUMBER(SEARCH(설정!$A$47,E40&amp;" "&amp;C40))),AND(설정!$A$48&lt;&gt;"",ISNUMBER(SEARCH(설정!$A$48,E40&amp;" "&amp;C40))),AND(설정!$A$49&lt;&gt;"",ISNUMBER(SEARCH(설정!$A$49,E40&amp;" "&amp;C40))),AND(설정!$A$50&lt;&gt;"",ISNUMBER(SEARCH(설정!$A$50,E40&amp;" "&amp;C40))),AND(설정!$A$51&lt;&gt;"",ISNUMBER(SEARCH(설정!$A$51,E40&amp;" "&amp;C40))))</f>
        <v/>
      </c>
      <c r="S40">
        <f>OR(D40="",D40&gt;=설정!$B$19)</f>
        <v/>
      </c>
      <c r="T40">
        <f>AND(Q40,R40,S40)</f>
        <v/>
      </c>
      <c r="U40">
        <f>IF(T40,IF(AND(설정!$A$54&lt;&gt;"",ISNUMBER(SEARCH(설정!$A$54,K40))),설정!$B$54,IF(AND(설정!$A$55&lt;&gt;"",ISNUMBER(SEARCH(설정!$A$55,K40))),설정!$B$55,IF(AND(설정!$A$56&lt;&gt;"",ISNUMBER(SEARCH(설정!$A$56,K40))),설정!$B$56,IF(AND(설정!$A$57&lt;&gt;"",ISNUMBER(SEARCH(설정!$A$57,K40))),설정!$B$57,IF(AND(설정!$A$58&lt;&gt;"",ISNUMBER(SEARCH(설정!$A$58,K40))),설정!$B$58,IF(AND(설정!$A$59&lt;&gt;"",ISNUMBER(SEARCH(설정!$A$59,K40))),설정!$B$59,IF(AND(설정!$A$60&lt;&gt;"",ISNUMBER(SEARCH(설정!$A$60,K40))),설정!$B$60,IF(AND(설정!$A$61&lt;&gt;"",ISNUMBER(SEARCH(설정!$A$61,K40))),설정!$B$61,IF(M40="","설계사","시공사"))))))))),"")</f>
        <v/>
      </c>
      <c r="V40">
        <f>SUBSTITUTE(SUBSTITUTE(SUBSTITUTE(SUBSTITUTE(G40,"(주)",""),"㈜",""),"주식회사","")," ","")</f>
        <v/>
      </c>
      <c r="W40">
        <f>IF(AND(T40,V40&lt;&gt;""),IF(COUNTIFS(V$2:V40,V40,T$2:T40,TRUE)=1,MAX(W$1:W39)+1,""),"")</f>
        <v/>
      </c>
      <c r="X40">
        <f>IF(설정!$C$14="","",IFERROR(INDEX('1.산군_붙여넣기'!$A$1:$AZ$1001,ROW(),설정!$C$14)&amp;"",""))</f>
        <v/>
      </c>
      <c r="Y40">
        <f>IF(설정!$C$15="","",IFERROR(INDEX('1.산군_붙여넣기'!$A$1:$AZ$1001,ROW(),설정!$C$15)&amp;"",""))</f>
        <v/>
      </c>
      <c r="Z40">
        <f>IF(T40,V40&amp;"|"&amp;U40,"")</f>
        <v/>
      </c>
      <c r="AA40">
        <f>IF(NOT(Q40),"",IF(NOT(AND(R40,S40)),"✕",IF(OR(OR(AND(L40&lt;&gt;"",M40&lt;&gt;"",N(M40)-N(L40)&gt;설정!$B$27),AND(L40&lt;&gt;"",M40="",설정!$B$24-N(L40)&gt;설정!$B$27)),AND(D40&lt;&gt;"",D40&lt;설정!$B$26)),"△","★")))</f>
        <v/>
      </c>
      <c r="AB40">
        <f>IF(NOT(T40),"",IF(U40="설계사",설정!$B$31,IF(U40="시공사",IF(OR(M40="",설정!$B$24-N(M40)&lt;=설정!$B$28*30.4),설정!$B$32,설정!$B$33),설정!$B$34))+IF(AA40="★",설정!$B$35,0))</f>
        <v/>
      </c>
      <c r="AC40">
        <f>SUBSTITUTE(SUBSTITUTE(SUBSTITUTE(SUBSTITUTE(H40,"(주)",""),"㈜",""),"주식회사","")," ","")</f>
        <v/>
      </c>
      <c r="AD40">
        <f>IF(AND(T40,AC40&lt;&gt;""),IF(COUNTIFS(AC$2:AC40,AC40,T$2:T40,TRUE)=1,MAX(AD$1:AD39)+1,""),"")</f>
        <v/>
      </c>
    </row>
    <row r="41">
      <c r="A41">
        <f>ROW()</f>
        <v/>
      </c>
      <c r="B41">
        <f>IF(설정!$C$4="","",IFERROR(INDEX('1.산군_붙여넣기'!$A$1:$AZ$1001,ROW(),설정!$C$4)&amp;"",""))</f>
        <v/>
      </c>
      <c r="C41">
        <f>IF(설정!$C$5="","",IFERROR(INDEX('1.산군_붙여넣기'!$A$1:$AZ$1001,ROW(),설정!$C$5)&amp;"",""))</f>
        <v/>
      </c>
      <c r="D41" s="5">
        <f>IFERROR(VALUE(SUBSTITUTE(SUBSTITUTE(SUBSTITUTE(IF(설정!$C$6="","",IFERROR(INDEX('1.산군_붙여넣기'!$A$1:$AZ$1001,ROW(),설정!$C$6)&amp;"","")),",",""),"㎡",""),"m2","")),"")</f>
        <v/>
      </c>
      <c r="E41">
        <f>IF(설정!$C$7="","",IFERROR(INDEX('1.산군_붙여넣기'!$A$1:$AZ$1001,ROW(),설정!$C$7)&amp;"",""))</f>
        <v/>
      </c>
      <c r="F41">
        <f>IF(설정!$C$8="","",IFERROR(INDEX('1.산군_붙여넣기'!$A$1:$AZ$1001,ROW(),설정!$C$8)&amp;"",""))</f>
        <v/>
      </c>
      <c r="G41">
        <f>IF(설정!$C$9="","",IFERROR(INDEX('1.산군_붙여넣기'!$A$1:$AZ$1001,ROW(),설정!$C$9)&amp;"",""))</f>
        <v/>
      </c>
      <c r="H41">
        <f>IF(설정!$C$10="","",IFERROR(INDEX('1.산군_붙여넣기'!$A$1:$AZ$1001,ROW(),설정!$C$10)&amp;"",""))</f>
        <v/>
      </c>
      <c r="I41">
        <f>IF(설정!$C$11="","",IFERROR(INDEX('1.산군_붙여넣기'!$A$1:$AZ$1001,ROW(),설정!$C$11)&amp;"",""))</f>
        <v/>
      </c>
      <c r="J41">
        <f>IF(설정!$C$12="","",IFERROR(INDEX('1.산군_붙여넣기'!$A$1:$AZ$1001,ROW(),설정!$C$12)&amp;"",""))</f>
        <v/>
      </c>
      <c r="K41">
        <f>IF(설정!$C$13="","",IFERROR(INDEX('1.산군_붙여넣기'!$A$1:$AZ$1001,ROW(),설정!$C$13)&amp;"",""))</f>
        <v/>
      </c>
      <c r="L41" s="7">
        <f>IF(X41="","",IF(AND(LEN(X41)=8,ISNUMBER(X41*1)),DATE(LEFT(X41,4),MID(X41,5,2),RIGHT(X41,2)),IFERROR(DATEVALUE(SUBSTITUTE(SUBSTITUTE(X41,".","-"),"/","-")),IFERROR(X41*1,""))))</f>
        <v/>
      </c>
      <c r="M41" s="7">
        <f>IF(Y41="","",IF(AND(LEN(Y41)=8,ISNUMBER(Y41*1)),DATE(LEFT(Y41,4),MID(Y41,5,2),RIGHT(Y41,2)),IFERROR(DATEVALUE(SUBSTITUTE(SUBSTITUTE(Y41,".","-"),"/","-")),IFERROR(Y41*1,""))))</f>
        <v/>
      </c>
      <c r="N41">
        <f>IFERROR(LEFT(B41,FIND(" ",B41)-1),B41)</f>
        <v/>
      </c>
      <c r="O41">
        <f>AND(B41&lt;&gt;"",B41&lt;&gt;설정!$B$4,C41&lt;&gt;설정!$B$5)</f>
        <v/>
      </c>
      <c r="P41">
        <f>IF(O41,B41&amp;"|"&amp;C41,"")</f>
        <v/>
      </c>
      <c r="Q41">
        <f>AND(O41,COUNTIF(P42:P$1002,P41)=0)</f>
        <v/>
      </c>
      <c r="R41">
        <f>OR(AND(설정!$A$42&lt;&gt;"",ISNUMBER(SEARCH(설정!$A$42,E41&amp;" "&amp;C41))),AND(설정!$A$43&lt;&gt;"",ISNUMBER(SEARCH(설정!$A$43,E41&amp;" "&amp;C41))),AND(설정!$A$44&lt;&gt;"",ISNUMBER(SEARCH(설정!$A$44,E41&amp;" "&amp;C41))),AND(설정!$A$45&lt;&gt;"",ISNUMBER(SEARCH(설정!$A$45,E41&amp;" "&amp;C41))),AND(설정!$A$46&lt;&gt;"",ISNUMBER(SEARCH(설정!$A$46,E41&amp;" "&amp;C41))),AND(설정!$A$47&lt;&gt;"",ISNUMBER(SEARCH(설정!$A$47,E41&amp;" "&amp;C41))),AND(설정!$A$48&lt;&gt;"",ISNUMBER(SEARCH(설정!$A$48,E41&amp;" "&amp;C41))),AND(설정!$A$49&lt;&gt;"",ISNUMBER(SEARCH(설정!$A$49,E41&amp;" "&amp;C41))),AND(설정!$A$50&lt;&gt;"",ISNUMBER(SEARCH(설정!$A$50,E41&amp;" "&amp;C41))),AND(설정!$A$51&lt;&gt;"",ISNUMBER(SEARCH(설정!$A$51,E41&amp;" "&amp;C41))))</f>
        <v/>
      </c>
      <c r="S41">
        <f>OR(D41="",D41&gt;=설정!$B$19)</f>
        <v/>
      </c>
      <c r="T41">
        <f>AND(Q41,R41,S41)</f>
        <v/>
      </c>
      <c r="U41">
        <f>IF(T41,IF(AND(설정!$A$54&lt;&gt;"",ISNUMBER(SEARCH(설정!$A$54,K41))),설정!$B$54,IF(AND(설정!$A$55&lt;&gt;"",ISNUMBER(SEARCH(설정!$A$55,K41))),설정!$B$55,IF(AND(설정!$A$56&lt;&gt;"",ISNUMBER(SEARCH(설정!$A$56,K41))),설정!$B$56,IF(AND(설정!$A$57&lt;&gt;"",ISNUMBER(SEARCH(설정!$A$57,K41))),설정!$B$57,IF(AND(설정!$A$58&lt;&gt;"",ISNUMBER(SEARCH(설정!$A$58,K41))),설정!$B$58,IF(AND(설정!$A$59&lt;&gt;"",ISNUMBER(SEARCH(설정!$A$59,K41))),설정!$B$59,IF(AND(설정!$A$60&lt;&gt;"",ISNUMBER(SEARCH(설정!$A$60,K41))),설정!$B$60,IF(AND(설정!$A$61&lt;&gt;"",ISNUMBER(SEARCH(설정!$A$61,K41))),설정!$B$61,IF(M41="","설계사","시공사"))))))))),"")</f>
        <v/>
      </c>
      <c r="V41">
        <f>SUBSTITUTE(SUBSTITUTE(SUBSTITUTE(SUBSTITUTE(G41,"(주)",""),"㈜",""),"주식회사","")," ","")</f>
        <v/>
      </c>
      <c r="W41">
        <f>IF(AND(T41,V41&lt;&gt;""),IF(COUNTIFS(V$2:V41,V41,T$2:T41,TRUE)=1,MAX(W$1:W40)+1,""),"")</f>
        <v/>
      </c>
      <c r="X41">
        <f>IF(설정!$C$14="","",IFERROR(INDEX('1.산군_붙여넣기'!$A$1:$AZ$1001,ROW(),설정!$C$14)&amp;"",""))</f>
        <v/>
      </c>
      <c r="Y41">
        <f>IF(설정!$C$15="","",IFERROR(INDEX('1.산군_붙여넣기'!$A$1:$AZ$1001,ROW(),설정!$C$15)&amp;"",""))</f>
        <v/>
      </c>
      <c r="Z41">
        <f>IF(T41,V41&amp;"|"&amp;U41,"")</f>
        <v/>
      </c>
      <c r="AA41">
        <f>IF(NOT(Q41),"",IF(NOT(AND(R41,S41)),"✕",IF(OR(OR(AND(L41&lt;&gt;"",M41&lt;&gt;"",N(M41)-N(L41)&gt;설정!$B$27),AND(L41&lt;&gt;"",M41="",설정!$B$24-N(L41)&gt;설정!$B$27)),AND(D41&lt;&gt;"",D41&lt;설정!$B$26)),"△","★")))</f>
        <v/>
      </c>
      <c r="AB41">
        <f>IF(NOT(T41),"",IF(U41="설계사",설정!$B$31,IF(U41="시공사",IF(OR(M41="",설정!$B$24-N(M41)&lt;=설정!$B$28*30.4),설정!$B$32,설정!$B$33),설정!$B$34))+IF(AA41="★",설정!$B$35,0))</f>
        <v/>
      </c>
      <c r="AC41">
        <f>SUBSTITUTE(SUBSTITUTE(SUBSTITUTE(SUBSTITUTE(H41,"(주)",""),"㈜",""),"주식회사","")," ","")</f>
        <v/>
      </c>
      <c r="AD41">
        <f>IF(AND(T41,AC41&lt;&gt;""),IF(COUNTIFS(AC$2:AC41,AC41,T$2:T41,TRUE)=1,MAX(AD$1:AD40)+1,""),"")</f>
        <v/>
      </c>
    </row>
    <row r="42">
      <c r="A42">
        <f>ROW()</f>
        <v/>
      </c>
      <c r="B42">
        <f>IF(설정!$C$4="","",IFERROR(INDEX('1.산군_붙여넣기'!$A$1:$AZ$1001,ROW(),설정!$C$4)&amp;"",""))</f>
        <v/>
      </c>
      <c r="C42">
        <f>IF(설정!$C$5="","",IFERROR(INDEX('1.산군_붙여넣기'!$A$1:$AZ$1001,ROW(),설정!$C$5)&amp;"",""))</f>
        <v/>
      </c>
      <c r="D42" s="5">
        <f>IFERROR(VALUE(SUBSTITUTE(SUBSTITUTE(SUBSTITUTE(IF(설정!$C$6="","",IFERROR(INDEX('1.산군_붙여넣기'!$A$1:$AZ$1001,ROW(),설정!$C$6)&amp;"","")),",",""),"㎡",""),"m2","")),"")</f>
        <v/>
      </c>
      <c r="E42">
        <f>IF(설정!$C$7="","",IFERROR(INDEX('1.산군_붙여넣기'!$A$1:$AZ$1001,ROW(),설정!$C$7)&amp;"",""))</f>
        <v/>
      </c>
      <c r="F42">
        <f>IF(설정!$C$8="","",IFERROR(INDEX('1.산군_붙여넣기'!$A$1:$AZ$1001,ROW(),설정!$C$8)&amp;"",""))</f>
        <v/>
      </c>
      <c r="G42">
        <f>IF(설정!$C$9="","",IFERROR(INDEX('1.산군_붙여넣기'!$A$1:$AZ$1001,ROW(),설정!$C$9)&amp;"",""))</f>
        <v/>
      </c>
      <c r="H42">
        <f>IF(설정!$C$10="","",IFERROR(INDEX('1.산군_붙여넣기'!$A$1:$AZ$1001,ROW(),설정!$C$10)&amp;"",""))</f>
        <v/>
      </c>
      <c r="I42">
        <f>IF(설정!$C$11="","",IFERROR(INDEX('1.산군_붙여넣기'!$A$1:$AZ$1001,ROW(),설정!$C$11)&amp;"",""))</f>
        <v/>
      </c>
      <c r="J42">
        <f>IF(설정!$C$12="","",IFERROR(INDEX('1.산군_붙여넣기'!$A$1:$AZ$1001,ROW(),설정!$C$12)&amp;"",""))</f>
        <v/>
      </c>
      <c r="K42">
        <f>IF(설정!$C$13="","",IFERROR(INDEX('1.산군_붙여넣기'!$A$1:$AZ$1001,ROW(),설정!$C$13)&amp;"",""))</f>
        <v/>
      </c>
      <c r="L42" s="7">
        <f>IF(X42="","",IF(AND(LEN(X42)=8,ISNUMBER(X42*1)),DATE(LEFT(X42,4),MID(X42,5,2),RIGHT(X42,2)),IFERROR(DATEVALUE(SUBSTITUTE(SUBSTITUTE(X42,".","-"),"/","-")),IFERROR(X42*1,""))))</f>
        <v/>
      </c>
      <c r="M42" s="7">
        <f>IF(Y42="","",IF(AND(LEN(Y42)=8,ISNUMBER(Y42*1)),DATE(LEFT(Y42,4),MID(Y42,5,2),RIGHT(Y42,2)),IFERROR(DATEVALUE(SUBSTITUTE(SUBSTITUTE(Y42,".","-"),"/","-")),IFERROR(Y42*1,""))))</f>
        <v/>
      </c>
      <c r="N42">
        <f>IFERROR(LEFT(B42,FIND(" ",B42)-1),B42)</f>
        <v/>
      </c>
      <c r="O42">
        <f>AND(B42&lt;&gt;"",B42&lt;&gt;설정!$B$4,C42&lt;&gt;설정!$B$5)</f>
        <v/>
      </c>
      <c r="P42">
        <f>IF(O42,B42&amp;"|"&amp;C42,"")</f>
        <v/>
      </c>
      <c r="Q42">
        <f>AND(O42,COUNTIF(P43:P$1002,P42)=0)</f>
        <v/>
      </c>
      <c r="R42">
        <f>OR(AND(설정!$A$42&lt;&gt;"",ISNUMBER(SEARCH(설정!$A$42,E42&amp;" "&amp;C42))),AND(설정!$A$43&lt;&gt;"",ISNUMBER(SEARCH(설정!$A$43,E42&amp;" "&amp;C42))),AND(설정!$A$44&lt;&gt;"",ISNUMBER(SEARCH(설정!$A$44,E42&amp;" "&amp;C42))),AND(설정!$A$45&lt;&gt;"",ISNUMBER(SEARCH(설정!$A$45,E42&amp;" "&amp;C42))),AND(설정!$A$46&lt;&gt;"",ISNUMBER(SEARCH(설정!$A$46,E42&amp;" "&amp;C42))),AND(설정!$A$47&lt;&gt;"",ISNUMBER(SEARCH(설정!$A$47,E42&amp;" "&amp;C42))),AND(설정!$A$48&lt;&gt;"",ISNUMBER(SEARCH(설정!$A$48,E42&amp;" "&amp;C42))),AND(설정!$A$49&lt;&gt;"",ISNUMBER(SEARCH(설정!$A$49,E42&amp;" "&amp;C42))),AND(설정!$A$50&lt;&gt;"",ISNUMBER(SEARCH(설정!$A$50,E42&amp;" "&amp;C42))),AND(설정!$A$51&lt;&gt;"",ISNUMBER(SEARCH(설정!$A$51,E42&amp;" "&amp;C42))))</f>
        <v/>
      </c>
      <c r="S42">
        <f>OR(D42="",D42&gt;=설정!$B$19)</f>
        <v/>
      </c>
      <c r="T42">
        <f>AND(Q42,R42,S42)</f>
        <v/>
      </c>
      <c r="U42">
        <f>IF(T42,IF(AND(설정!$A$54&lt;&gt;"",ISNUMBER(SEARCH(설정!$A$54,K42))),설정!$B$54,IF(AND(설정!$A$55&lt;&gt;"",ISNUMBER(SEARCH(설정!$A$55,K42))),설정!$B$55,IF(AND(설정!$A$56&lt;&gt;"",ISNUMBER(SEARCH(설정!$A$56,K42))),설정!$B$56,IF(AND(설정!$A$57&lt;&gt;"",ISNUMBER(SEARCH(설정!$A$57,K42))),설정!$B$57,IF(AND(설정!$A$58&lt;&gt;"",ISNUMBER(SEARCH(설정!$A$58,K42))),설정!$B$58,IF(AND(설정!$A$59&lt;&gt;"",ISNUMBER(SEARCH(설정!$A$59,K42))),설정!$B$59,IF(AND(설정!$A$60&lt;&gt;"",ISNUMBER(SEARCH(설정!$A$60,K42))),설정!$B$60,IF(AND(설정!$A$61&lt;&gt;"",ISNUMBER(SEARCH(설정!$A$61,K42))),설정!$B$61,IF(M42="","설계사","시공사"))))))))),"")</f>
        <v/>
      </c>
      <c r="V42">
        <f>SUBSTITUTE(SUBSTITUTE(SUBSTITUTE(SUBSTITUTE(G42,"(주)",""),"㈜",""),"주식회사","")," ","")</f>
        <v/>
      </c>
      <c r="W42">
        <f>IF(AND(T42,V42&lt;&gt;""),IF(COUNTIFS(V$2:V42,V42,T$2:T42,TRUE)=1,MAX(W$1:W41)+1,""),"")</f>
        <v/>
      </c>
      <c r="X42">
        <f>IF(설정!$C$14="","",IFERROR(INDEX('1.산군_붙여넣기'!$A$1:$AZ$1001,ROW(),설정!$C$14)&amp;"",""))</f>
        <v/>
      </c>
      <c r="Y42">
        <f>IF(설정!$C$15="","",IFERROR(INDEX('1.산군_붙여넣기'!$A$1:$AZ$1001,ROW(),설정!$C$15)&amp;"",""))</f>
        <v/>
      </c>
      <c r="Z42">
        <f>IF(T42,V42&amp;"|"&amp;U42,"")</f>
        <v/>
      </c>
      <c r="AA42">
        <f>IF(NOT(Q42),"",IF(NOT(AND(R42,S42)),"✕",IF(OR(OR(AND(L42&lt;&gt;"",M42&lt;&gt;"",N(M42)-N(L42)&gt;설정!$B$27),AND(L42&lt;&gt;"",M42="",설정!$B$24-N(L42)&gt;설정!$B$27)),AND(D42&lt;&gt;"",D42&lt;설정!$B$26)),"△","★")))</f>
        <v/>
      </c>
      <c r="AB42">
        <f>IF(NOT(T42),"",IF(U42="설계사",설정!$B$31,IF(U42="시공사",IF(OR(M42="",설정!$B$24-N(M42)&lt;=설정!$B$28*30.4),설정!$B$32,설정!$B$33),설정!$B$34))+IF(AA42="★",설정!$B$35,0))</f>
        <v/>
      </c>
      <c r="AC42">
        <f>SUBSTITUTE(SUBSTITUTE(SUBSTITUTE(SUBSTITUTE(H42,"(주)",""),"㈜",""),"주식회사","")," ","")</f>
        <v/>
      </c>
      <c r="AD42">
        <f>IF(AND(T42,AC42&lt;&gt;""),IF(COUNTIFS(AC$2:AC42,AC42,T$2:T42,TRUE)=1,MAX(AD$1:AD41)+1,""),"")</f>
        <v/>
      </c>
    </row>
    <row r="43">
      <c r="A43">
        <f>ROW()</f>
        <v/>
      </c>
      <c r="B43">
        <f>IF(설정!$C$4="","",IFERROR(INDEX('1.산군_붙여넣기'!$A$1:$AZ$1001,ROW(),설정!$C$4)&amp;"",""))</f>
        <v/>
      </c>
      <c r="C43">
        <f>IF(설정!$C$5="","",IFERROR(INDEX('1.산군_붙여넣기'!$A$1:$AZ$1001,ROW(),설정!$C$5)&amp;"",""))</f>
        <v/>
      </c>
      <c r="D43" s="5">
        <f>IFERROR(VALUE(SUBSTITUTE(SUBSTITUTE(SUBSTITUTE(IF(설정!$C$6="","",IFERROR(INDEX('1.산군_붙여넣기'!$A$1:$AZ$1001,ROW(),설정!$C$6)&amp;"","")),",",""),"㎡",""),"m2","")),"")</f>
        <v/>
      </c>
      <c r="E43">
        <f>IF(설정!$C$7="","",IFERROR(INDEX('1.산군_붙여넣기'!$A$1:$AZ$1001,ROW(),설정!$C$7)&amp;"",""))</f>
        <v/>
      </c>
      <c r="F43">
        <f>IF(설정!$C$8="","",IFERROR(INDEX('1.산군_붙여넣기'!$A$1:$AZ$1001,ROW(),설정!$C$8)&amp;"",""))</f>
        <v/>
      </c>
      <c r="G43">
        <f>IF(설정!$C$9="","",IFERROR(INDEX('1.산군_붙여넣기'!$A$1:$AZ$1001,ROW(),설정!$C$9)&amp;"",""))</f>
        <v/>
      </c>
      <c r="H43">
        <f>IF(설정!$C$10="","",IFERROR(INDEX('1.산군_붙여넣기'!$A$1:$AZ$1001,ROW(),설정!$C$10)&amp;"",""))</f>
        <v/>
      </c>
      <c r="I43">
        <f>IF(설정!$C$11="","",IFERROR(INDEX('1.산군_붙여넣기'!$A$1:$AZ$1001,ROW(),설정!$C$11)&amp;"",""))</f>
        <v/>
      </c>
      <c r="J43">
        <f>IF(설정!$C$12="","",IFERROR(INDEX('1.산군_붙여넣기'!$A$1:$AZ$1001,ROW(),설정!$C$12)&amp;"",""))</f>
        <v/>
      </c>
      <c r="K43">
        <f>IF(설정!$C$13="","",IFERROR(INDEX('1.산군_붙여넣기'!$A$1:$AZ$1001,ROW(),설정!$C$13)&amp;"",""))</f>
        <v/>
      </c>
      <c r="L43" s="7">
        <f>IF(X43="","",IF(AND(LEN(X43)=8,ISNUMBER(X43*1)),DATE(LEFT(X43,4),MID(X43,5,2),RIGHT(X43,2)),IFERROR(DATEVALUE(SUBSTITUTE(SUBSTITUTE(X43,".","-"),"/","-")),IFERROR(X43*1,""))))</f>
        <v/>
      </c>
      <c r="M43" s="7">
        <f>IF(Y43="","",IF(AND(LEN(Y43)=8,ISNUMBER(Y43*1)),DATE(LEFT(Y43,4),MID(Y43,5,2),RIGHT(Y43,2)),IFERROR(DATEVALUE(SUBSTITUTE(SUBSTITUTE(Y43,".","-"),"/","-")),IFERROR(Y43*1,""))))</f>
        <v/>
      </c>
      <c r="N43">
        <f>IFERROR(LEFT(B43,FIND(" ",B43)-1),B43)</f>
        <v/>
      </c>
      <c r="O43">
        <f>AND(B43&lt;&gt;"",B43&lt;&gt;설정!$B$4,C43&lt;&gt;설정!$B$5)</f>
        <v/>
      </c>
      <c r="P43">
        <f>IF(O43,B43&amp;"|"&amp;C43,"")</f>
        <v/>
      </c>
      <c r="Q43">
        <f>AND(O43,COUNTIF(P44:P$1002,P43)=0)</f>
        <v/>
      </c>
      <c r="R43">
        <f>OR(AND(설정!$A$42&lt;&gt;"",ISNUMBER(SEARCH(설정!$A$42,E43&amp;" "&amp;C43))),AND(설정!$A$43&lt;&gt;"",ISNUMBER(SEARCH(설정!$A$43,E43&amp;" "&amp;C43))),AND(설정!$A$44&lt;&gt;"",ISNUMBER(SEARCH(설정!$A$44,E43&amp;" "&amp;C43))),AND(설정!$A$45&lt;&gt;"",ISNUMBER(SEARCH(설정!$A$45,E43&amp;" "&amp;C43))),AND(설정!$A$46&lt;&gt;"",ISNUMBER(SEARCH(설정!$A$46,E43&amp;" "&amp;C43))),AND(설정!$A$47&lt;&gt;"",ISNUMBER(SEARCH(설정!$A$47,E43&amp;" "&amp;C43))),AND(설정!$A$48&lt;&gt;"",ISNUMBER(SEARCH(설정!$A$48,E43&amp;" "&amp;C43))),AND(설정!$A$49&lt;&gt;"",ISNUMBER(SEARCH(설정!$A$49,E43&amp;" "&amp;C43))),AND(설정!$A$50&lt;&gt;"",ISNUMBER(SEARCH(설정!$A$50,E43&amp;" "&amp;C43))),AND(설정!$A$51&lt;&gt;"",ISNUMBER(SEARCH(설정!$A$51,E43&amp;" "&amp;C43))))</f>
        <v/>
      </c>
      <c r="S43">
        <f>OR(D43="",D43&gt;=설정!$B$19)</f>
        <v/>
      </c>
      <c r="T43">
        <f>AND(Q43,R43,S43)</f>
        <v/>
      </c>
      <c r="U43">
        <f>IF(T43,IF(AND(설정!$A$54&lt;&gt;"",ISNUMBER(SEARCH(설정!$A$54,K43))),설정!$B$54,IF(AND(설정!$A$55&lt;&gt;"",ISNUMBER(SEARCH(설정!$A$55,K43))),설정!$B$55,IF(AND(설정!$A$56&lt;&gt;"",ISNUMBER(SEARCH(설정!$A$56,K43))),설정!$B$56,IF(AND(설정!$A$57&lt;&gt;"",ISNUMBER(SEARCH(설정!$A$57,K43))),설정!$B$57,IF(AND(설정!$A$58&lt;&gt;"",ISNUMBER(SEARCH(설정!$A$58,K43))),설정!$B$58,IF(AND(설정!$A$59&lt;&gt;"",ISNUMBER(SEARCH(설정!$A$59,K43))),설정!$B$59,IF(AND(설정!$A$60&lt;&gt;"",ISNUMBER(SEARCH(설정!$A$60,K43))),설정!$B$60,IF(AND(설정!$A$61&lt;&gt;"",ISNUMBER(SEARCH(설정!$A$61,K43))),설정!$B$61,IF(M43="","설계사","시공사"))))))))),"")</f>
        <v/>
      </c>
      <c r="V43">
        <f>SUBSTITUTE(SUBSTITUTE(SUBSTITUTE(SUBSTITUTE(G43,"(주)",""),"㈜",""),"주식회사","")," ","")</f>
        <v/>
      </c>
      <c r="W43">
        <f>IF(AND(T43,V43&lt;&gt;""),IF(COUNTIFS(V$2:V43,V43,T$2:T43,TRUE)=1,MAX(W$1:W42)+1,""),"")</f>
        <v/>
      </c>
      <c r="X43">
        <f>IF(설정!$C$14="","",IFERROR(INDEX('1.산군_붙여넣기'!$A$1:$AZ$1001,ROW(),설정!$C$14)&amp;"",""))</f>
        <v/>
      </c>
      <c r="Y43">
        <f>IF(설정!$C$15="","",IFERROR(INDEX('1.산군_붙여넣기'!$A$1:$AZ$1001,ROW(),설정!$C$15)&amp;"",""))</f>
        <v/>
      </c>
      <c r="Z43">
        <f>IF(T43,V43&amp;"|"&amp;U43,"")</f>
        <v/>
      </c>
      <c r="AA43">
        <f>IF(NOT(Q43),"",IF(NOT(AND(R43,S43)),"✕",IF(OR(OR(AND(L43&lt;&gt;"",M43&lt;&gt;"",N(M43)-N(L43)&gt;설정!$B$27),AND(L43&lt;&gt;"",M43="",설정!$B$24-N(L43)&gt;설정!$B$27)),AND(D43&lt;&gt;"",D43&lt;설정!$B$26)),"△","★")))</f>
        <v/>
      </c>
      <c r="AB43">
        <f>IF(NOT(T43),"",IF(U43="설계사",설정!$B$31,IF(U43="시공사",IF(OR(M43="",설정!$B$24-N(M43)&lt;=설정!$B$28*30.4),설정!$B$32,설정!$B$33),설정!$B$34))+IF(AA43="★",설정!$B$35,0))</f>
        <v/>
      </c>
      <c r="AC43">
        <f>SUBSTITUTE(SUBSTITUTE(SUBSTITUTE(SUBSTITUTE(H43,"(주)",""),"㈜",""),"주식회사","")," ","")</f>
        <v/>
      </c>
      <c r="AD43">
        <f>IF(AND(T43,AC43&lt;&gt;""),IF(COUNTIFS(AC$2:AC43,AC43,T$2:T43,TRUE)=1,MAX(AD$1:AD42)+1,""),"")</f>
        <v/>
      </c>
    </row>
    <row r="44">
      <c r="A44">
        <f>ROW()</f>
        <v/>
      </c>
      <c r="B44">
        <f>IF(설정!$C$4="","",IFERROR(INDEX('1.산군_붙여넣기'!$A$1:$AZ$1001,ROW(),설정!$C$4)&amp;"",""))</f>
        <v/>
      </c>
      <c r="C44">
        <f>IF(설정!$C$5="","",IFERROR(INDEX('1.산군_붙여넣기'!$A$1:$AZ$1001,ROW(),설정!$C$5)&amp;"",""))</f>
        <v/>
      </c>
      <c r="D44" s="5">
        <f>IFERROR(VALUE(SUBSTITUTE(SUBSTITUTE(SUBSTITUTE(IF(설정!$C$6="","",IFERROR(INDEX('1.산군_붙여넣기'!$A$1:$AZ$1001,ROW(),설정!$C$6)&amp;"","")),",",""),"㎡",""),"m2","")),"")</f>
        <v/>
      </c>
      <c r="E44">
        <f>IF(설정!$C$7="","",IFERROR(INDEX('1.산군_붙여넣기'!$A$1:$AZ$1001,ROW(),설정!$C$7)&amp;"",""))</f>
        <v/>
      </c>
      <c r="F44">
        <f>IF(설정!$C$8="","",IFERROR(INDEX('1.산군_붙여넣기'!$A$1:$AZ$1001,ROW(),설정!$C$8)&amp;"",""))</f>
        <v/>
      </c>
      <c r="G44">
        <f>IF(설정!$C$9="","",IFERROR(INDEX('1.산군_붙여넣기'!$A$1:$AZ$1001,ROW(),설정!$C$9)&amp;"",""))</f>
        <v/>
      </c>
      <c r="H44">
        <f>IF(설정!$C$10="","",IFERROR(INDEX('1.산군_붙여넣기'!$A$1:$AZ$1001,ROW(),설정!$C$10)&amp;"",""))</f>
        <v/>
      </c>
      <c r="I44">
        <f>IF(설정!$C$11="","",IFERROR(INDEX('1.산군_붙여넣기'!$A$1:$AZ$1001,ROW(),설정!$C$11)&amp;"",""))</f>
        <v/>
      </c>
      <c r="J44">
        <f>IF(설정!$C$12="","",IFERROR(INDEX('1.산군_붙여넣기'!$A$1:$AZ$1001,ROW(),설정!$C$12)&amp;"",""))</f>
        <v/>
      </c>
      <c r="K44">
        <f>IF(설정!$C$13="","",IFERROR(INDEX('1.산군_붙여넣기'!$A$1:$AZ$1001,ROW(),설정!$C$13)&amp;"",""))</f>
        <v/>
      </c>
      <c r="L44" s="7">
        <f>IF(X44="","",IF(AND(LEN(X44)=8,ISNUMBER(X44*1)),DATE(LEFT(X44,4),MID(X44,5,2),RIGHT(X44,2)),IFERROR(DATEVALUE(SUBSTITUTE(SUBSTITUTE(X44,".","-"),"/","-")),IFERROR(X44*1,""))))</f>
        <v/>
      </c>
      <c r="M44" s="7">
        <f>IF(Y44="","",IF(AND(LEN(Y44)=8,ISNUMBER(Y44*1)),DATE(LEFT(Y44,4),MID(Y44,5,2),RIGHT(Y44,2)),IFERROR(DATEVALUE(SUBSTITUTE(SUBSTITUTE(Y44,".","-"),"/","-")),IFERROR(Y44*1,""))))</f>
        <v/>
      </c>
      <c r="N44">
        <f>IFERROR(LEFT(B44,FIND(" ",B44)-1),B44)</f>
        <v/>
      </c>
      <c r="O44">
        <f>AND(B44&lt;&gt;"",B44&lt;&gt;설정!$B$4,C44&lt;&gt;설정!$B$5)</f>
        <v/>
      </c>
      <c r="P44">
        <f>IF(O44,B44&amp;"|"&amp;C44,"")</f>
        <v/>
      </c>
      <c r="Q44">
        <f>AND(O44,COUNTIF(P45:P$1002,P44)=0)</f>
        <v/>
      </c>
      <c r="R44">
        <f>OR(AND(설정!$A$42&lt;&gt;"",ISNUMBER(SEARCH(설정!$A$42,E44&amp;" "&amp;C44))),AND(설정!$A$43&lt;&gt;"",ISNUMBER(SEARCH(설정!$A$43,E44&amp;" "&amp;C44))),AND(설정!$A$44&lt;&gt;"",ISNUMBER(SEARCH(설정!$A$44,E44&amp;" "&amp;C44))),AND(설정!$A$45&lt;&gt;"",ISNUMBER(SEARCH(설정!$A$45,E44&amp;" "&amp;C44))),AND(설정!$A$46&lt;&gt;"",ISNUMBER(SEARCH(설정!$A$46,E44&amp;" "&amp;C44))),AND(설정!$A$47&lt;&gt;"",ISNUMBER(SEARCH(설정!$A$47,E44&amp;" "&amp;C44))),AND(설정!$A$48&lt;&gt;"",ISNUMBER(SEARCH(설정!$A$48,E44&amp;" "&amp;C44))),AND(설정!$A$49&lt;&gt;"",ISNUMBER(SEARCH(설정!$A$49,E44&amp;" "&amp;C44))),AND(설정!$A$50&lt;&gt;"",ISNUMBER(SEARCH(설정!$A$50,E44&amp;" "&amp;C44))),AND(설정!$A$51&lt;&gt;"",ISNUMBER(SEARCH(설정!$A$51,E44&amp;" "&amp;C44))))</f>
        <v/>
      </c>
      <c r="S44">
        <f>OR(D44="",D44&gt;=설정!$B$19)</f>
        <v/>
      </c>
      <c r="T44">
        <f>AND(Q44,R44,S44)</f>
        <v/>
      </c>
      <c r="U44">
        <f>IF(T44,IF(AND(설정!$A$54&lt;&gt;"",ISNUMBER(SEARCH(설정!$A$54,K44))),설정!$B$54,IF(AND(설정!$A$55&lt;&gt;"",ISNUMBER(SEARCH(설정!$A$55,K44))),설정!$B$55,IF(AND(설정!$A$56&lt;&gt;"",ISNUMBER(SEARCH(설정!$A$56,K44))),설정!$B$56,IF(AND(설정!$A$57&lt;&gt;"",ISNUMBER(SEARCH(설정!$A$57,K44))),설정!$B$57,IF(AND(설정!$A$58&lt;&gt;"",ISNUMBER(SEARCH(설정!$A$58,K44))),설정!$B$58,IF(AND(설정!$A$59&lt;&gt;"",ISNUMBER(SEARCH(설정!$A$59,K44))),설정!$B$59,IF(AND(설정!$A$60&lt;&gt;"",ISNUMBER(SEARCH(설정!$A$60,K44))),설정!$B$60,IF(AND(설정!$A$61&lt;&gt;"",ISNUMBER(SEARCH(설정!$A$61,K44))),설정!$B$61,IF(M44="","설계사","시공사"))))))))),"")</f>
        <v/>
      </c>
      <c r="V44">
        <f>SUBSTITUTE(SUBSTITUTE(SUBSTITUTE(SUBSTITUTE(G44,"(주)",""),"㈜",""),"주식회사","")," ","")</f>
        <v/>
      </c>
      <c r="W44">
        <f>IF(AND(T44,V44&lt;&gt;""),IF(COUNTIFS(V$2:V44,V44,T$2:T44,TRUE)=1,MAX(W$1:W43)+1,""),"")</f>
        <v/>
      </c>
      <c r="X44">
        <f>IF(설정!$C$14="","",IFERROR(INDEX('1.산군_붙여넣기'!$A$1:$AZ$1001,ROW(),설정!$C$14)&amp;"",""))</f>
        <v/>
      </c>
      <c r="Y44">
        <f>IF(설정!$C$15="","",IFERROR(INDEX('1.산군_붙여넣기'!$A$1:$AZ$1001,ROW(),설정!$C$15)&amp;"",""))</f>
        <v/>
      </c>
      <c r="Z44">
        <f>IF(T44,V44&amp;"|"&amp;U44,"")</f>
        <v/>
      </c>
      <c r="AA44">
        <f>IF(NOT(Q44),"",IF(NOT(AND(R44,S44)),"✕",IF(OR(OR(AND(L44&lt;&gt;"",M44&lt;&gt;"",N(M44)-N(L44)&gt;설정!$B$27),AND(L44&lt;&gt;"",M44="",설정!$B$24-N(L44)&gt;설정!$B$27)),AND(D44&lt;&gt;"",D44&lt;설정!$B$26)),"△","★")))</f>
        <v/>
      </c>
      <c r="AB44">
        <f>IF(NOT(T44),"",IF(U44="설계사",설정!$B$31,IF(U44="시공사",IF(OR(M44="",설정!$B$24-N(M44)&lt;=설정!$B$28*30.4),설정!$B$32,설정!$B$33),설정!$B$34))+IF(AA44="★",설정!$B$35,0))</f>
        <v/>
      </c>
      <c r="AC44">
        <f>SUBSTITUTE(SUBSTITUTE(SUBSTITUTE(SUBSTITUTE(H44,"(주)",""),"㈜",""),"주식회사","")," ","")</f>
        <v/>
      </c>
      <c r="AD44">
        <f>IF(AND(T44,AC44&lt;&gt;""),IF(COUNTIFS(AC$2:AC44,AC44,T$2:T44,TRUE)=1,MAX(AD$1:AD43)+1,""),"")</f>
        <v/>
      </c>
    </row>
    <row r="45">
      <c r="A45">
        <f>ROW()</f>
        <v/>
      </c>
      <c r="B45">
        <f>IF(설정!$C$4="","",IFERROR(INDEX('1.산군_붙여넣기'!$A$1:$AZ$1001,ROW(),설정!$C$4)&amp;"",""))</f>
        <v/>
      </c>
      <c r="C45">
        <f>IF(설정!$C$5="","",IFERROR(INDEX('1.산군_붙여넣기'!$A$1:$AZ$1001,ROW(),설정!$C$5)&amp;"",""))</f>
        <v/>
      </c>
      <c r="D45" s="5">
        <f>IFERROR(VALUE(SUBSTITUTE(SUBSTITUTE(SUBSTITUTE(IF(설정!$C$6="","",IFERROR(INDEX('1.산군_붙여넣기'!$A$1:$AZ$1001,ROW(),설정!$C$6)&amp;"","")),",",""),"㎡",""),"m2","")),"")</f>
        <v/>
      </c>
      <c r="E45">
        <f>IF(설정!$C$7="","",IFERROR(INDEX('1.산군_붙여넣기'!$A$1:$AZ$1001,ROW(),설정!$C$7)&amp;"",""))</f>
        <v/>
      </c>
      <c r="F45">
        <f>IF(설정!$C$8="","",IFERROR(INDEX('1.산군_붙여넣기'!$A$1:$AZ$1001,ROW(),설정!$C$8)&amp;"",""))</f>
        <v/>
      </c>
      <c r="G45">
        <f>IF(설정!$C$9="","",IFERROR(INDEX('1.산군_붙여넣기'!$A$1:$AZ$1001,ROW(),설정!$C$9)&amp;"",""))</f>
        <v/>
      </c>
      <c r="H45">
        <f>IF(설정!$C$10="","",IFERROR(INDEX('1.산군_붙여넣기'!$A$1:$AZ$1001,ROW(),설정!$C$10)&amp;"",""))</f>
        <v/>
      </c>
      <c r="I45">
        <f>IF(설정!$C$11="","",IFERROR(INDEX('1.산군_붙여넣기'!$A$1:$AZ$1001,ROW(),설정!$C$11)&amp;"",""))</f>
        <v/>
      </c>
      <c r="J45">
        <f>IF(설정!$C$12="","",IFERROR(INDEX('1.산군_붙여넣기'!$A$1:$AZ$1001,ROW(),설정!$C$12)&amp;"",""))</f>
        <v/>
      </c>
      <c r="K45">
        <f>IF(설정!$C$13="","",IFERROR(INDEX('1.산군_붙여넣기'!$A$1:$AZ$1001,ROW(),설정!$C$13)&amp;"",""))</f>
        <v/>
      </c>
      <c r="L45" s="7">
        <f>IF(X45="","",IF(AND(LEN(X45)=8,ISNUMBER(X45*1)),DATE(LEFT(X45,4),MID(X45,5,2),RIGHT(X45,2)),IFERROR(DATEVALUE(SUBSTITUTE(SUBSTITUTE(X45,".","-"),"/","-")),IFERROR(X45*1,""))))</f>
        <v/>
      </c>
      <c r="M45" s="7">
        <f>IF(Y45="","",IF(AND(LEN(Y45)=8,ISNUMBER(Y45*1)),DATE(LEFT(Y45,4),MID(Y45,5,2),RIGHT(Y45,2)),IFERROR(DATEVALUE(SUBSTITUTE(SUBSTITUTE(Y45,".","-"),"/","-")),IFERROR(Y45*1,""))))</f>
        <v/>
      </c>
      <c r="N45">
        <f>IFERROR(LEFT(B45,FIND(" ",B45)-1),B45)</f>
        <v/>
      </c>
      <c r="O45">
        <f>AND(B45&lt;&gt;"",B45&lt;&gt;설정!$B$4,C45&lt;&gt;설정!$B$5)</f>
        <v/>
      </c>
      <c r="P45">
        <f>IF(O45,B45&amp;"|"&amp;C45,"")</f>
        <v/>
      </c>
      <c r="Q45">
        <f>AND(O45,COUNTIF(P46:P$1002,P45)=0)</f>
        <v/>
      </c>
      <c r="R45">
        <f>OR(AND(설정!$A$42&lt;&gt;"",ISNUMBER(SEARCH(설정!$A$42,E45&amp;" "&amp;C45))),AND(설정!$A$43&lt;&gt;"",ISNUMBER(SEARCH(설정!$A$43,E45&amp;" "&amp;C45))),AND(설정!$A$44&lt;&gt;"",ISNUMBER(SEARCH(설정!$A$44,E45&amp;" "&amp;C45))),AND(설정!$A$45&lt;&gt;"",ISNUMBER(SEARCH(설정!$A$45,E45&amp;" "&amp;C45))),AND(설정!$A$46&lt;&gt;"",ISNUMBER(SEARCH(설정!$A$46,E45&amp;" "&amp;C45))),AND(설정!$A$47&lt;&gt;"",ISNUMBER(SEARCH(설정!$A$47,E45&amp;" "&amp;C45))),AND(설정!$A$48&lt;&gt;"",ISNUMBER(SEARCH(설정!$A$48,E45&amp;" "&amp;C45))),AND(설정!$A$49&lt;&gt;"",ISNUMBER(SEARCH(설정!$A$49,E45&amp;" "&amp;C45))),AND(설정!$A$50&lt;&gt;"",ISNUMBER(SEARCH(설정!$A$50,E45&amp;" "&amp;C45))),AND(설정!$A$51&lt;&gt;"",ISNUMBER(SEARCH(설정!$A$51,E45&amp;" "&amp;C45))))</f>
        <v/>
      </c>
      <c r="S45">
        <f>OR(D45="",D45&gt;=설정!$B$19)</f>
        <v/>
      </c>
      <c r="T45">
        <f>AND(Q45,R45,S45)</f>
        <v/>
      </c>
      <c r="U45">
        <f>IF(T45,IF(AND(설정!$A$54&lt;&gt;"",ISNUMBER(SEARCH(설정!$A$54,K45))),설정!$B$54,IF(AND(설정!$A$55&lt;&gt;"",ISNUMBER(SEARCH(설정!$A$55,K45))),설정!$B$55,IF(AND(설정!$A$56&lt;&gt;"",ISNUMBER(SEARCH(설정!$A$56,K45))),설정!$B$56,IF(AND(설정!$A$57&lt;&gt;"",ISNUMBER(SEARCH(설정!$A$57,K45))),설정!$B$57,IF(AND(설정!$A$58&lt;&gt;"",ISNUMBER(SEARCH(설정!$A$58,K45))),설정!$B$58,IF(AND(설정!$A$59&lt;&gt;"",ISNUMBER(SEARCH(설정!$A$59,K45))),설정!$B$59,IF(AND(설정!$A$60&lt;&gt;"",ISNUMBER(SEARCH(설정!$A$60,K45))),설정!$B$60,IF(AND(설정!$A$61&lt;&gt;"",ISNUMBER(SEARCH(설정!$A$61,K45))),설정!$B$61,IF(M45="","설계사","시공사"))))))))),"")</f>
        <v/>
      </c>
      <c r="V45">
        <f>SUBSTITUTE(SUBSTITUTE(SUBSTITUTE(SUBSTITUTE(G45,"(주)",""),"㈜",""),"주식회사","")," ","")</f>
        <v/>
      </c>
      <c r="W45">
        <f>IF(AND(T45,V45&lt;&gt;""),IF(COUNTIFS(V$2:V45,V45,T$2:T45,TRUE)=1,MAX(W$1:W44)+1,""),"")</f>
        <v/>
      </c>
      <c r="X45">
        <f>IF(설정!$C$14="","",IFERROR(INDEX('1.산군_붙여넣기'!$A$1:$AZ$1001,ROW(),설정!$C$14)&amp;"",""))</f>
        <v/>
      </c>
      <c r="Y45">
        <f>IF(설정!$C$15="","",IFERROR(INDEX('1.산군_붙여넣기'!$A$1:$AZ$1001,ROW(),설정!$C$15)&amp;"",""))</f>
        <v/>
      </c>
      <c r="Z45">
        <f>IF(T45,V45&amp;"|"&amp;U45,"")</f>
        <v/>
      </c>
      <c r="AA45">
        <f>IF(NOT(Q45),"",IF(NOT(AND(R45,S45)),"✕",IF(OR(OR(AND(L45&lt;&gt;"",M45&lt;&gt;"",N(M45)-N(L45)&gt;설정!$B$27),AND(L45&lt;&gt;"",M45="",설정!$B$24-N(L45)&gt;설정!$B$27)),AND(D45&lt;&gt;"",D45&lt;설정!$B$26)),"△","★")))</f>
        <v/>
      </c>
      <c r="AB45">
        <f>IF(NOT(T45),"",IF(U45="설계사",설정!$B$31,IF(U45="시공사",IF(OR(M45="",설정!$B$24-N(M45)&lt;=설정!$B$28*30.4),설정!$B$32,설정!$B$33),설정!$B$34))+IF(AA45="★",설정!$B$35,0))</f>
        <v/>
      </c>
      <c r="AC45">
        <f>SUBSTITUTE(SUBSTITUTE(SUBSTITUTE(SUBSTITUTE(H45,"(주)",""),"㈜",""),"주식회사","")," ","")</f>
        <v/>
      </c>
      <c r="AD45">
        <f>IF(AND(T45,AC45&lt;&gt;""),IF(COUNTIFS(AC$2:AC45,AC45,T$2:T45,TRUE)=1,MAX(AD$1:AD44)+1,""),"")</f>
        <v/>
      </c>
    </row>
    <row r="46">
      <c r="A46">
        <f>ROW()</f>
        <v/>
      </c>
      <c r="B46">
        <f>IF(설정!$C$4="","",IFERROR(INDEX('1.산군_붙여넣기'!$A$1:$AZ$1001,ROW(),설정!$C$4)&amp;"",""))</f>
        <v/>
      </c>
      <c r="C46">
        <f>IF(설정!$C$5="","",IFERROR(INDEX('1.산군_붙여넣기'!$A$1:$AZ$1001,ROW(),설정!$C$5)&amp;"",""))</f>
        <v/>
      </c>
      <c r="D46" s="5">
        <f>IFERROR(VALUE(SUBSTITUTE(SUBSTITUTE(SUBSTITUTE(IF(설정!$C$6="","",IFERROR(INDEX('1.산군_붙여넣기'!$A$1:$AZ$1001,ROW(),설정!$C$6)&amp;"","")),",",""),"㎡",""),"m2","")),"")</f>
        <v/>
      </c>
      <c r="E46">
        <f>IF(설정!$C$7="","",IFERROR(INDEX('1.산군_붙여넣기'!$A$1:$AZ$1001,ROW(),설정!$C$7)&amp;"",""))</f>
        <v/>
      </c>
      <c r="F46">
        <f>IF(설정!$C$8="","",IFERROR(INDEX('1.산군_붙여넣기'!$A$1:$AZ$1001,ROW(),설정!$C$8)&amp;"",""))</f>
        <v/>
      </c>
      <c r="G46">
        <f>IF(설정!$C$9="","",IFERROR(INDEX('1.산군_붙여넣기'!$A$1:$AZ$1001,ROW(),설정!$C$9)&amp;"",""))</f>
        <v/>
      </c>
      <c r="H46">
        <f>IF(설정!$C$10="","",IFERROR(INDEX('1.산군_붙여넣기'!$A$1:$AZ$1001,ROW(),설정!$C$10)&amp;"",""))</f>
        <v/>
      </c>
      <c r="I46">
        <f>IF(설정!$C$11="","",IFERROR(INDEX('1.산군_붙여넣기'!$A$1:$AZ$1001,ROW(),설정!$C$11)&amp;"",""))</f>
        <v/>
      </c>
      <c r="J46">
        <f>IF(설정!$C$12="","",IFERROR(INDEX('1.산군_붙여넣기'!$A$1:$AZ$1001,ROW(),설정!$C$12)&amp;"",""))</f>
        <v/>
      </c>
      <c r="K46">
        <f>IF(설정!$C$13="","",IFERROR(INDEX('1.산군_붙여넣기'!$A$1:$AZ$1001,ROW(),설정!$C$13)&amp;"",""))</f>
        <v/>
      </c>
      <c r="L46" s="7">
        <f>IF(X46="","",IF(AND(LEN(X46)=8,ISNUMBER(X46*1)),DATE(LEFT(X46,4),MID(X46,5,2),RIGHT(X46,2)),IFERROR(DATEVALUE(SUBSTITUTE(SUBSTITUTE(X46,".","-"),"/","-")),IFERROR(X46*1,""))))</f>
        <v/>
      </c>
      <c r="M46" s="7">
        <f>IF(Y46="","",IF(AND(LEN(Y46)=8,ISNUMBER(Y46*1)),DATE(LEFT(Y46,4),MID(Y46,5,2),RIGHT(Y46,2)),IFERROR(DATEVALUE(SUBSTITUTE(SUBSTITUTE(Y46,".","-"),"/","-")),IFERROR(Y46*1,""))))</f>
        <v/>
      </c>
      <c r="N46">
        <f>IFERROR(LEFT(B46,FIND(" ",B46)-1),B46)</f>
        <v/>
      </c>
      <c r="O46">
        <f>AND(B46&lt;&gt;"",B46&lt;&gt;설정!$B$4,C46&lt;&gt;설정!$B$5)</f>
        <v/>
      </c>
      <c r="P46">
        <f>IF(O46,B46&amp;"|"&amp;C46,"")</f>
        <v/>
      </c>
      <c r="Q46">
        <f>AND(O46,COUNTIF(P47:P$1002,P46)=0)</f>
        <v/>
      </c>
      <c r="R46">
        <f>OR(AND(설정!$A$42&lt;&gt;"",ISNUMBER(SEARCH(설정!$A$42,E46&amp;" "&amp;C46))),AND(설정!$A$43&lt;&gt;"",ISNUMBER(SEARCH(설정!$A$43,E46&amp;" "&amp;C46))),AND(설정!$A$44&lt;&gt;"",ISNUMBER(SEARCH(설정!$A$44,E46&amp;" "&amp;C46))),AND(설정!$A$45&lt;&gt;"",ISNUMBER(SEARCH(설정!$A$45,E46&amp;" "&amp;C46))),AND(설정!$A$46&lt;&gt;"",ISNUMBER(SEARCH(설정!$A$46,E46&amp;" "&amp;C46))),AND(설정!$A$47&lt;&gt;"",ISNUMBER(SEARCH(설정!$A$47,E46&amp;" "&amp;C46))),AND(설정!$A$48&lt;&gt;"",ISNUMBER(SEARCH(설정!$A$48,E46&amp;" "&amp;C46))),AND(설정!$A$49&lt;&gt;"",ISNUMBER(SEARCH(설정!$A$49,E46&amp;" "&amp;C46))),AND(설정!$A$50&lt;&gt;"",ISNUMBER(SEARCH(설정!$A$50,E46&amp;" "&amp;C46))),AND(설정!$A$51&lt;&gt;"",ISNUMBER(SEARCH(설정!$A$51,E46&amp;" "&amp;C46))))</f>
        <v/>
      </c>
      <c r="S46">
        <f>OR(D46="",D46&gt;=설정!$B$19)</f>
        <v/>
      </c>
      <c r="T46">
        <f>AND(Q46,R46,S46)</f>
        <v/>
      </c>
      <c r="U46">
        <f>IF(T46,IF(AND(설정!$A$54&lt;&gt;"",ISNUMBER(SEARCH(설정!$A$54,K46))),설정!$B$54,IF(AND(설정!$A$55&lt;&gt;"",ISNUMBER(SEARCH(설정!$A$55,K46))),설정!$B$55,IF(AND(설정!$A$56&lt;&gt;"",ISNUMBER(SEARCH(설정!$A$56,K46))),설정!$B$56,IF(AND(설정!$A$57&lt;&gt;"",ISNUMBER(SEARCH(설정!$A$57,K46))),설정!$B$57,IF(AND(설정!$A$58&lt;&gt;"",ISNUMBER(SEARCH(설정!$A$58,K46))),설정!$B$58,IF(AND(설정!$A$59&lt;&gt;"",ISNUMBER(SEARCH(설정!$A$59,K46))),설정!$B$59,IF(AND(설정!$A$60&lt;&gt;"",ISNUMBER(SEARCH(설정!$A$60,K46))),설정!$B$60,IF(AND(설정!$A$61&lt;&gt;"",ISNUMBER(SEARCH(설정!$A$61,K46))),설정!$B$61,IF(M46="","설계사","시공사"))))))))),"")</f>
        <v/>
      </c>
      <c r="V46">
        <f>SUBSTITUTE(SUBSTITUTE(SUBSTITUTE(SUBSTITUTE(G46,"(주)",""),"㈜",""),"주식회사","")," ","")</f>
        <v/>
      </c>
      <c r="W46">
        <f>IF(AND(T46,V46&lt;&gt;""),IF(COUNTIFS(V$2:V46,V46,T$2:T46,TRUE)=1,MAX(W$1:W45)+1,""),"")</f>
        <v/>
      </c>
      <c r="X46">
        <f>IF(설정!$C$14="","",IFERROR(INDEX('1.산군_붙여넣기'!$A$1:$AZ$1001,ROW(),설정!$C$14)&amp;"",""))</f>
        <v/>
      </c>
      <c r="Y46">
        <f>IF(설정!$C$15="","",IFERROR(INDEX('1.산군_붙여넣기'!$A$1:$AZ$1001,ROW(),설정!$C$15)&amp;"",""))</f>
        <v/>
      </c>
      <c r="Z46">
        <f>IF(T46,V46&amp;"|"&amp;U46,"")</f>
        <v/>
      </c>
      <c r="AA46">
        <f>IF(NOT(Q46),"",IF(NOT(AND(R46,S46)),"✕",IF(OR(OR(AND(L46&lt;&gt;"",M46&lt;&gt;"",N(M46)-N(L46)&gt;설정!$B$27),AND(L46&lt;&gt;"",M46="",설정!$B$24-N(L46)&gt;설정!$B$27)),AND(D46&lt;&gt;"",D46&lt;설정!$B$26)),"△","★")))</f>
        <v/>
      </c>
      <c r="AB46">
        <f>IF(NOT(T46),"",IF(U46="설계사",설정!$B$31,IF(U46="시공사",IF(OR(M46="",설정!$B$24-N(M46)&lt;=설정!$B$28*30.4),설정!$B$32,설정!$B$33),설정!$B$34))+IF(AA46="★",설정!$B$35,0))</f>
        <v/>
      </c>
      <c r="AC46">
        <f>SUBSTITUTE(SUBSTITUTE(SUBSTITUTE(SUBSTITUTE(H46,"(주)",""),"㈜",""),"주식회사","")," ","")</f>
        <v/>
      </c>
      <c r="AD46">
        <f>IF(AND(T46,AC46&lt;&gt;""),IF(COUNTIFS(AC$2:AC46,AC46,T$2:T46,TRUE)=1,MAX(AD$1:AD45)+1,""),"")</f>
        <v/>
      </c>
    </row>
    <row r="47">
      <c r="A47">
        <f>ROW()</f>
        <v/>
      </c>
      <c r="B47">
        <f>IF(설정!$C$4="","",IFERROR(INDEX('1.산군_붙여넣기'!$A$1:$AZ$1001,ROW(),설정!$C$4)&amp;"",""))</f>
        <v/>
      </c>
      <c r="C47">
        <f>IF(설정!$C$5="","",IFERROR(INDEX('1.산군_붙여넣기'!$A$1:$AZ$1001,ROW(),설정!$C$5)&amp;"",""))</f>
        <v/>
      </c>
      <c r="D47" s="5">
        <f>IFERROR(VALUE(SUBSTITUTE(SUBSTITUTE(SUBSTITUTE(IF(설정!$C$6="","",IFERROR(INDEX('1.산군_붙여넣기'!$A$1:$AZ$1001,ROW(),설정!$C$6)&amp;"","")),",",""),"㎡",""),"m2","")),"")</f>
        <v/>
      </c>
      <c r="E47">
        <f>IF(설정!$C$7="","",IFERROR(INDEX('1.산군_붙여넣기'!$A$1:$AZ$1001,ROW(),설정!$C$7)&amp;"",""))</f>
        <v/>
      </c>
      <c r="F47">
        <f>IF(설정!$C$8="","",IFERROR(INDEX('1.산군_붙여넣기'!$A$1:$AZ$1001,ROW(),설정!$C$8)&amp;"",""))</f>
        <v/>
      </c>
      <c r="G47">
        <f>IF(설정!$C$9="","",IFERROR(INDEX('1.산군_붙여넣기'!$A$1:$AZ$1001,ROW(),설정!$C$9)&amp;"",""))</f>
        <v/>
      </c>
      <c r="H47">
        <f>IF(설정!$C$10="","",IFERROR(INDEX('1.산군_붙여넣기'!$A$1:$AZ$1001,ROW(),설정!$C$10)&amp;"",""))</f>
        <v/>
      </c>
      <c r="I47">
        <f>IF(설정!$C$11="","",IFERROR(INDEX('1.산군_붙여넣기'!$A$1:$AZ$1001,ROW(),설정!$C$11)&amp;"",""))</f>
        <v/>
      </c>
      <c r="J47">
        <f>IF(설정!$C$12="","",IFERROR(INDEX('1.산군_붙여넣기'!$A$1:$AZ$1001,ROW(),설정!$C$12)&amp;"",""))</f>
        <v/>
      </c>
      <c r="K47">
        <f>IF(설정!$C$13="","",IFERROR(INDEX('1.산군_붙여넣기'!$A$1:$AZ$1001,ROW(),설정!$C$13)&amp;"",""))</f>
        <v/>
      </c>
      <c r="L47" s="7">
        <f>IF(X47="","",IF(AND(LEN(X47)=8,ISNUMBER(X47*1)),DATE(LEFT(X47,4),MID(X47,5,2),RIGHT(X47,2)),IFERROR(DATEVALUE(SUBSTITUTE(SUBSTITUTE(X47,".","-"),"/","-")),IFERROR(X47*1,""))))</f>
        <v/>
      </c>
      <c r="M47" s="7">
        <f>IF(Y47="","",IF(AND(LEN(Y47)=8,ISNUMBER(Y47*1)),DATE(LEFT(Y47,4),MID(Y47,5,2),RIGHT(Y47,2)),IFERROR(DATEVALUE(SUBSTITUTE(SUBSTITUTE(Y47,".","-"),"/","-")),IFERROR(Y47*1,""))))</f>
        <v/>
      </c>
      <c r="N47">
        <f>IFERROR(LEFT(B47,FIND(" ",B47)-1),B47)</f>
        <v/>
      </c>
      <c r="O47">
        <f>AND(B47&lt;&gt;"",B47&lt;&gt;설정!$B$4,C47&lt;&gt;설정!$B$5)</f>
        <v/>
      </c>
      <c r="P47">
        <f>IF(O47,B47&amp;"|"&amp;C47,"")</f>
        <v/>
      </c>
      <c r="Q47">
        <f>AND(O47,COUNTIF(P48:P$1002,P47)=0)</f>
        <v/>
      </c>
      <c r="R47">
        <f>OR(AND(설정!$A$42&lt;&gt;"",ISNUMBER(SEARCH(설정!$A$42,E47&amp;" "&amp;C47))),AND(설정!$A$43&lt;&gt;"",ISNUMBER(SEARCH(설정!$A$43,E47&amp;" "&amp;C47))),AND(설정!$A$44&lt;&gt;"",ISNUMBER(SEARCH(설정!$A$44,E47&amp;" "&amp;C47))),AND(설정!$A$45&lt;&gt;"",ISNUMBER(SEARCH(설정!$A$45,E47&amp;" "&amp;C47))),AND(설정!$A$46&lt;&gt;"",ISNUMBER(SEARCH(설정!$A$46,E47&amp;" "&amp;C47))),AND(설정!$A$47&lt;&gt;"",ISNUMBER(SEARCH(설정!$A$47,E47&amp;" "&amp;C47))),AND(설정!$A$48&lt;&gt;"",ISNUMBER(SEARCH(설정!$A$48,E47&amp;" "&amp;C47))),AND(설정!$A$49&lt;&gt;"",ISNUMBER(SEARCH(설정!$A$49,E47&amp;" "&amp;C47))),AND(설정!$A$50&lt;&gt;"",ISNUMBER(SEARCH(설정!$A$50,E47&amp;" "&amp;C47))),AND(설정!$A$51&lt;&gt;"",ISNUMBER(SEARCH(설정!$A$51,E47&amp;" "&amp;C47))))</f>
        <v/>
      </c>
      <c r="S47">
        <f>OR(D47="",D47&gt;=설정!$B$19)</f>
        <v/>
      </c>
      <c r="T47">
        <f>AND(Q47,R47,S47)</f>
        <v/>
      </c>
      <c r="U47">
        <f>IF(T47,IF(AND(설정!$A$54&lt;&gt;"",ISNUMBER(SEARCH(설정!$A$54,K47))),설정!$B$54,IF(AND(설정!$A$55&lt;&gt;"",ISNUMBER(SEARCH(설정!$A$55,K47))),설정!$B$55,IF(AND(설정!$A$56&lt;&gt;"",ISNUMBER(SEARCH(설정!$A$56,K47))),설정!$B$56,IF(AND(설정!$A$57&lt;&gt;"",ISNUMBER(SEARCH(설정!$A$57,K47))),설정!$B$57,IF(AND(설정!$A$58&lt;&gt;"",ISNUMBER(SEARCH(설정!$A$58,K47))),설정!$B$58,IF(AND(설정!$A$59&lt;&gt;"",ISNUMBER(SEARCH(설정!$A$59,K47))),설정!$B$59,IF(AND(설정!$A$60&lt;&gt;"",ISNUMBER(SEARCH(설정!$A$60,K47))),설정!$B$60,IF(AND(설정!$A$61&lt;&gt;"",ISNUMBER(SEARCH(설정!$A$61,K47))),설정!$B$61,IF(M47="","설계사","시공사"))))))))),"")</f>
        <v/>
      </c>
      <c r="V47">
        <f>SUBSTITUTE(SUBSTITUTE(SUBSTITUTE(SUBSTITUTE(G47,"(주)",""),"㈜",""),"주식회사","")," ","")</f>
        <v/>
      </c>
      <c r="W47">
        <f>IF(AND(T47,V47&lt;&gt;""),IF(COUNTIFS(V$2:V47,V47,T$2:T47,TRUE)=1,MAX(W$1:W46)+1,""),"")</f>
        <v/>
      </c>
      <c r="X47">
        <f>IF(설정!$C$14="","",IFERROR(INDEX('1.산군_붙여넣기'!$A$1:$AZ$1001,ROW(),설정!$C$14)&amp;"",""))</f>
        <v/>
      </c>
      <c r="Y47">
        <f>IF(설정!$C$15="","",IFERROR(INDEX('1.산군_붙여넣기'!$A$1:$AZ$1001,ROW(),설정!$C$15)&amp;"",""))</f>
        <v/>
      </c>
      <c r="Z47">
        <f>IF(T47,V47&amp;"|"&amp;U47,"")</f>
        <v/>
      </c>
      <c r="AA47">
        <f>IF(NOT(Q47),"",IF(NOT(AND(R47,S47)),"✕",IF(OR(OR(AND(L47&lt;&gt;"",M47&lt;&gt;"",N(M47)-N(L47)&gt;설정!$B$27),AND(L47&lt;&gt;"",M47="",설정!$B$24-N(L47)&gt;설정!$B$27)),AND(D47&lt;&gt;"",D47&lt;설정!$B$26)),"△","★")))</f>
        <v/>
      </c>
      <c r="AB47">
        <f>IF(NOT(T47),"",IF(U47="설계사",설정!$B$31,IF(U47="시공사",IF(OR(M47="",설정!$B$24-N(M47)&lt;=설정!$B$28*30.4),설정!$B$32,설정!$B$33),설정!$B$34))+IF(AA47="★",설정!$B$35,0))</f>
        <v/>
      </c>
      <c r="AC47">
        <f>SUBSTITUTE(SUBSTITUTE(SUBSTITUTE(SUBSTITUTE(H47,"(주)",""),"㈜",""),"주식회사","")," ","")</f>
        <v/>
      </c>
      <c r="AD47">
        <f>IF(AND(T47,AC47&lt;&gt;""),IF(COUNTIFS(AC$2:AC47,AC47,T$2:T47,TRUE)=1,MAX(AD$1:AD46)+1,""),"")</f>
        <v/>
      </c>
    </row>
    <row r="48">
      <c r="A48">
        <f>ROW()</f>
        <v/>
      </c>
      <c r="B48">
        <f>IF(설정!$C$4="","",IFERROR(INDEX('1.산군_붙여넣기'!$A$1:$AZ$1001,ROW(),설정!$C$4)&amp;"",""))</f>
        <v/>
      </c>
      <c r="C48">
        <f>IF(설정!$C$5="","",IFERROR(INDEX('1.산군_붙여넣기'!$A$1:$AZ$1001,ROW(),설정!$C$5)&amp;"",""))</f>
        <v/>
      </c>
      <c r="D48" s="5">
        <f>IFERROR(VALUE(SUBSTITUTE(SUBSTITUTE(SUBSTITUTE(IF(설정!$C$6="","",IFERROR(INDEX('1.산군_붙여넣기'!$A$1:$AZ$1001,ROW(),설정!$C$6)&amp;"","")),",",""),"㎡",""),"m2","")),"")</f>
        <v/>
      </c>
      <c r="E48">
        <f>IF(설정!$C$7="","",IFERROR(INDEX('1.산군_붙여넣기'!$A$1:$AZ$1001,ROW(),설정!$C$7)&amp;"",""))</f>
        <v/>
      </c>
      <c r="F48">
        <f>IF(설정!$C$8="","",IFERROR(INDEX('1.산군_붙여넣기'!$A$1:$AZ$1001,ROW(),설정!$C$8)&amp;"",""))</f>
        <v/>
      </c>
      <c r="G48">
        <f>IF(설정!$C$9="","",IFERROR(INDEX('1.산군_붙여넣기'!$A$1:$AZ$1001,ROW(),설정!$C$9)&amp;"",""))</f>
        <v/>
      </c>
      <c r="H48">
        <f>IF(설정!$C$10="","",IFERROR(INDEX('1.산군_붙여넣기'!$A$1:$AZ$1001,ROW(),설정!$C$10)&amp;"",""))</f>
        <v/>
      </c>
      <c r="I48">
        <f>IF(설정!$C$11="","",IFERROR(INDEX('1.산군_붙여넣기'!$A$1:$AZ$1001,ROW(),설정!$C$11)&amp;"",""))</f>
        <v/>
      </c>
      <c r="J48">
        <f>IF(설정!$C$12="","",IFERROR(INDEX('1.산군_붙여넣기'!$A$1:$AZ$1001,ROW(),설정!$C$12)&amp;"",""))</f>
        <v/>
      </c>
      <c r="K48">
        <f>IF(설정!$C$13="","",IFERROR(INDEX('1.산군_붙여넣기'!$A$1:$AZ$1001,ROW(),설정!$C$13)&amp;"",""))</f>
        <v/>
      </c>
      <c r="L48" s="7">
        <f>IF(X48="","",IF(AND(LEN(X48)=8,ISNUMBER(X48*1)),DATE(LEFT(X48,4),MID(X48,5,2),RIGHT(X48,2)),IFERROR(DATEVALUE(SUBSTITUTE(SUBSTITUTE(X48,".","-"),"/","-")),IFERROR(X48*1,""))))</f>
        <v/>
      </c>
      <c r="M48" s="7">
        <f>IF(Y48="","",IF(AND(LEN(Y48)=8,ISNUMBER(Y48*1)),DATE(LEFT(Y48,4),MID(Y48,5,2),RIGHT(Y48,2)),IFERROR(DATEVALUE(SUBSTITUTE(SUBSTITUTE(Y48,".","-"),"/","-")),IFERROR(Y48*1,""))))</f>
        <v/>
      </c>
      <c r="N48">
        <f>IFERROR(LEFT(B48,FIND(" ",B48)-1),B48)</f>
        <v/>
      </c>
      <c r="O48">
        <f>AND(B48&lt;&gt;"",B48&lt;&gt;설정!$B$4,C48&lt;&gt;설정!$B$5)</f>
        <v/>
      </c>
      <c r="P48">
        <f>IF(O48,B48&amp;"|"&amp;C48,"")</f>
        <v/>
      </c>
      <c r="Q48">
        <f>AND(O48,COUNTIF(P49:P$1002,P48)=0)</f>
        <v/>
      </c>
      <c r="R48">
        <f>OR(AND(설정!$A$42&lt;&gt;"",ISNUMBER(SEARCH(설정!$A$42,E48&amp;" "&amp;C48))),AND(설정!$A$43&lt;&gt;"",ISNUMBER(SEARCH(설정!$A$43,E48&amp;" "&amp;C48))),AND(설정!$A$44&lt;&gt;"",ISNUMBER(SEARCH(설정!$A$44,E48&amp;" "&amp;C48))),AND(설정!$A$45&lt;&gt;"",ISNUMBER(SEARCH(설정!$A$45,E48&amp;" "&amp;C48))),AND(설정!$A$46&lt;&gt;"",ISNUMBER(SEARCH(설정!$A$46,E48&amp;" "&amp;C48))),AND(설정!$A$47&lt;&gt;"",ISNUMBER(SEARCH(설정!$A$47,E48&amp;" "&amp;C48))),AND(설정!$A$48&lt;&gt;"",ISNUMBER(SEARCH(설정!$A$48,E48&amp;" "&amp;C48))),AND(설정!$A$49&lt;&gt;"",ISNUMBER(SEARCH(설정!$A$49,E48&amp;" "&amp;C48))),AND(설정!$A$50&lt;&gt;"",ISNUMBER(SEARCH(설정!$A$50,E48&amp;" "&amp;C48))),AND(설정!$A$51&lt;&gt;"",ISNUMBER(SEARCH(설정!$A$51,E48&amp;" "&amp;C48))))</f>
        <v/>
      </c>
      <c r="S48">
        <f>OR(D48="",D48&gt;=설정!$B$19)</f>
        <v/>
      </c>
      <c r="T48">
        <f>AND(Q48,R48,S48)</f>
        <v/>
      </c>
      <c r="U48">
        <f>IF(T48,IF(AND(설정!$A$54&lt;&gt;"",ISNUMBER(SEARCH(설정!$A$54,K48))),설정!$B$54,IF(AND(설정!$A$55&lt;&gt;"",ISNUMBER(SEARCH(설정!$A$55,K48))),설정!$B$55,IF(AND(설정!$A$56&lt;&gt;"",ISNUMBER(SEARCH(설정!$A$56,K48))),설정!$B$56,IF(AND(설정!$A$57&lt;&gt;"",ISNUMBER(SEARCH(설정!$A$57,K48))),설정!$B$57,IF(AND(설정!$A$58&lt;&gt;"",ISNUMBER(SEARCH(설정!$A$58,K48))),설정!$B$58,IF(AND(설정!$A$59&lt;&gt;"",ISNUMBER(SEARCH(설정!$A$59,K48))),설정!$B$59,IF(AND(설정!$A$60&lt;&gt;"",ISNUMBER(SEARCH(설정!$A$60,K48))),설정!$B$60,IF(AND(설정!$A$61&lt;&gt;"",ISNUMBER(SEARCH(설정!$A$61,K48))),설정!$B$61,IF(M48="","설계사","시공사"))))))))),"")</f>
        <v/>
      </c>
      <c r="V48">
        <f>SUBSTITUTE(SUBSTITUTE(SUBSTITUTE(SUBSTITUTE(G48,"(주)",""),"㈜",""),"주식회사","")," ","")</f>
        <v/>
      </c>
      <c r="W48">
        <f>IF(AND(T48,V48&lt;&gt;""),IF(COUNTIFS(V$2:V48,V48,T$2:T48,TRUE)=1,MAX(W$1:W47)+1,""),"")</f>
        <v/>
      </c>
      <c r="X48">
        <f>IF(설정!$C$14="","",IFERROR(INDEX('1.산군_붙여넣기'!$A$1:$AZ$1001,ROW(),설정!$C$14)&amp;"",""))</f>
        <v/>
      </c>
      <c r="Y48">
        <f>IF(설정!$C$15="","",IFERROR(INDEX('1.산군_붙여넣기'!$A$1:$AZ$1001,ROW(),설정!$C$15)&amp;"",""))</f>
        <v/>
      </c>
      <c r="Z48">
        <f>IF(T48,V48&amp;"|"&amp;U48,"")</f>
        <v/>
      </c>
      <c r="AA48">
        <f>IF(NOT(Q48),"",IF(NOT(AND(R48,S48)),"✕",IF(OR(OR(AND(L48&lt;&gt;"",M48&lt;&gt;"",N(M48)-N(L48)&gt;설정!$B$27),AND(L48&lt;&gt;"",M48="",설정!$B$24-N(L48)&gt;설정!$B$27)),AND(D48&lt;&gt;"",D48&lt;설정!$B$26)),"△","★")))</f>
        <v/>
      </c>
      <c r="AB48">
        <f>IF(NOT(T48),"",IF(U48="설계사",설정!$B$31,IF(U48="시공사",IF(OR(M48="",설정!$B$24-N(M48)&lt;=설정!$B$28*30.4),설정!$B$32,설정!$B$33),설정!$B$34))+IF(AA48="★",설정!$B$35,0))</f>
        <v/>
      </c>
      <c r="AC48">
        <f>SUBSTITUTE(SUBSTITUTE(SUBSTITUTE(SUBSTITUTE(H48,"(주)",""),"㈜",""),"주식회사","")," ","")</f>
        <v/>
      </c>
      <c r="AD48">
        <f>IF(AND(T48,AC48&lt;&gt;""),IF(COUNTIFS(AC$2:AC48,AC48,T$2:T48,TRUE)=1,MAX(AD$1:AD47)+1,""),"")</f>
        <v/>
      </c>
    </row>
    <row r="49">
      <c r="A49">
        <f>ROW()</f>
        <v/>
      </c>
      <c r="B49">
        <f>IF(설정!$C$4="","",IFERROR(INDEX('1.산군_붙여넣기'!$A$1:$AZ$1001,ROW(),설정!$C$4)&amp;"",""))</f>
        <v/>
      </c>
      <c r="C49">
        <f>IF(설정!$C$5="","",IFERROR(INDEX('1.산군_붙여넣기'!$A$1:$AZ$1001,ROW(),설정!$C$5)&amp;"",""))</f>
        <v/>
      </c>
      <c r="D49" s="5">
        <f>IFERROR(VALUE(SUBSTITUTE(SUBSTITUTE(SUBSTITUTE(IF(설정!$C$6="","",IFERROR(INDEX('1.산군_붙여넣기'!$A$1:$AZ$1001,ROW(),설정!$C$6)&amp;"","")),",",""),"㎡",""),"m2","")),"")</f>
        <v/>
      </c>
      <c r="E49">
        <f>IF(설정!$C$7="","",IFERROR(INDEX('1.산군_붙여넣기'!$A$1:$AZ$1001,ROW(),설정!$C$7)&amp;"",""))</f>
        <v/>
      </c>
      <c r="F49">
        <f>IF(설정!$C$8="","",IFERROR(INDEX('1.산군_붙여넣기'!$A$1:$AZ$1001,ROW(),설정!$C$8)&amp;"",""))</f>
        <v/>
      </c>
      <c r="G49">
        <f>IF(설정!$C$9="","",IFERROR(INDEX('1.산군_붙여넣기'!$A$1:$AZ$1001,ROW(),설정!$C$9)&amp;"",""))</f>
        <v/>
      </c>
      <c r="H49">
        <f>IF(설정!$C$10="","",IFERROR(INDEX('1.산군_붙여넣기'!$A$1:$AZ$1001,ROW(),설정!$C$10)&amp;"",""))</f>
        <v/>
      </c>
      <c r="I49">
        <f>IF(설정!$C$11="","",IFERROR(INDEX('1.산군_붙여넣기'!$A$1:$AZ$1001,ROW(),설정!$C$11)&amp;"",""))</f>
        <v/>
      </c>
      <c r="J49">
        <f>IF(설정!$C$12="","",IFERROR(INDEX('1.산군_붙여넣기'!$A$1:$AZ$1001,ROW(),설정!$C$12)&amp;"",""))</f>
        <v/>
      </c>
      <c r="K49">
        <f>IF(설정!$C$13="","",IFERROR(INDEX('1.산군_붙여넣기'!$A$1:$AZ$1001,ROW(),설정!$C$13)&amp;"",""))</f>
        <v/>
      </c>
      <c r="L49" s="7">
        <f>IF(X49="","",IF(AND(LEN(X49)=8,ISNUMBER(X49*1)),DATE(LEFT(X49,4),MID(X49,5,2),RIGHT(X49,2)),IFERROR(DATEVALUE(SUBSTITUTE(SUBSTITUTE(X49,".","-"),"/","-")),IFERROR(X49*1,""))))</f>
        <v/>
      </c>
      <c r="M49" s="7">
        <f>IF(Y49="","",IF(AND(LEN(Y49)=8,ISNUMBER(Y49*1)),DATE(LEFT(Y49,4),MID(Y49,5,2),RIGHT(Y49,2)),IFERROR(DATEVALUE(SUBSTITUTE(SUBSTITUTE(Y49,".","-"),"/","-")),IFERROR(Y49*1,""))))</f>
        <v/>
      </c>
      <c r="N49">
        <f>IFERROR(LEFT(B49,FIND(" ",B49)-1),B49)</f>
        <v/>
      </c>
      <c r="O49">
        <f>AND(B49&lt;&gt;"",B49&lt;&gt;설정!$B$4,C49&lt;&gt;설정!$B$5)</f>
        <v/>
      </c>
      <c r="P49">
        <f>IF(O49,B49&amp;"|"&amp;C49,"")</f>
        <v/>
      </c>
      <c r="Q49">
        <f>AND(O49,COUNTIF(P50:P$1002,P49)=0)</f>
        <v/>
      </c>
      <c r="R49">
        <f>OR(AND(설정!$A$42&lt;&gt;"",ISNUMBER(SEARCH(설정!$A$42,E49&amp;" "&amp;C49))),AND(설정!$A$43&lt;&gt;"",ISNUMBER(SEARCH(설정!$A$43,E49&amp;" "&amp;C49))),AND(설정!$A$44&lt;&gt;"",ISNUMBER(SEARCH(설정!$A$44,E49&amp;" "&amp;C49))),AND(설정!$A$45&lt;&gt;"",ISNUMBER(SEARCH(설정!$A$45,E49&amp;" "&amp;C49))),AND(설정!$A$46&lt;&gt;"",ISNUMBER(SEARCH(설정!$A$46,E49&amp;" "&amp;C49))),AND(설정!$A$47&lt;&gt;"",ISNUMBER(SEARCH(설정!$A$47,E49&amp;" "&amp;C49))),AND(설정!$A$48&lt;&gt;"",ISNUMBER(SEARCH(설정!$A$48,E49&amp;" "&amp;C49))),AND(설정!$A$49&lt;&gt;"",ISNUMBER(SEARCH(설정!$A$49,E49&amp;" "&amp;C49))),AND(설정!$A$50&lt;&gt;"",ISNUMBER(SEARCH(설정!$A$50,E49&amp;" "&amp;C49))),AND(설정!$A$51&lt;&gt;"",ISNUMBER(SEARCH(설정!$A$51,E49&amp;" "&amp;C49))))</f>
        <v/>
      </c>
      <c r="S49">
        <f>OR(D49="",D49&gt;=설정!$B$19)</f>
        <v/>
      </c>
      <c r="T49">
        <f>AND(Q49,R49,S49)</f>
        <v/>
      </c>
      <c r="U49">
        <f>IF(T49,IF(AND(설정!$A$54&lt;&gt;"",ISNUMBER(SEARCH(설정!$A$54,K49))),설정!$B$54,IF(AND(설정!$A$55&lt;&gt;"",ISNUMBER(SEARCH(설정!$A$55,K49))),설정!$B$55,IF(AND(설정!$A$56&lt;&gt;"",ISNUMBER(SEARCH(설정!$A$56,K49))),설정!$B$56,IF(AND(설정!$A$57&lt;&gt;"",ISNUMBER(SEARCH(설정!$A$57,K49))),설정!$B$57,IF(AND(설정!$A$58&lt;&gt;"",ISNUMBER(SEARCH(설정!$A$58,K49))),설정!$B$58,IF(AND(설정!$A$59&lt;&gt;"",ISNUMBER(SEARCH(설정!$A$59,K49))),설정!$B$59,IF(AND(설정!$A$60&lt;&gt;"",ISNUMBER(SEARCH(설정!$A$60,K49))),설정!$B$60,IF(AND(설정!$A$61&lt;&gt;"",ISNUMBER(SEARCH(설정!$A$61,K49))),설정!$B$61,IF(M49="","설계사","시공사"))))))))),"")</f>
        <v/>
      </c>
      <c r="V49">
        <f>SUBSTITUTE(SUBSTITUTE(SUBSTITUTE(SUBSTITUTE(G49,"(주)",""),"㈜",""),"주식회사","")," ","")</f>
        <v/>
      </c>
      <c r="W49">
        <f>IF(AND(T49,V49&lt;&gt;""),IF(COUNTIFS(V$2:V49,V49,T$2:T49,TRUE)=1,MAX(W$1:W48)+1,""),"")</f>
        <v/>
      </c>
      <c r="X49">
        <f>IF(설정!$C$14="","",IFERROR(INDEX('1.산군_붙여넣기'!$A$1:$AZ$1001,ROW(),설정!$C$14)&amp;"",""))</f>
        <v/>
      </c>
      <c r="Y49">
        <f>IF(설정!$C$15="","",IFERROR(INDEX('1.산군_붙여넣기'!$A$1:$AZ$1001,ROW(),설정!$C$15)&amp;"",""))</f>
        <v/>
      </c>
      <c r="Z49">
        <f>IF(T49,V49&amp;"|"&amp;U49,"")</f>
        <v/>
      </c>
      <c r="AA49">
        <f>IF(NOT(Q49),"",IF(NOT(AND(R49,S49)),"✕",IF(OR(OR(AND(L49&lt;&gt;"",M49&lt;&gt;"",N(M49)-N(L49)&gt;설정!$B$27),AND(L49&lt;&gt;"",M49="",설정!$B$24-N(L49)&gt;설정!$B$27)),AND(D49&lt;&gt;"",D49&lt;설정!$B$26)),"△","★")))</f>
        <v/>
      </c>
      <c r="AB49">
        <f>IF(NOT(T49),"",IF(U49="설계사",설정!$B$31,IF(U49="시공사",IF(OR(M49="",설정!$B$24-N(M49)&lt;=설정!$B$28*30.4),설정!$B$32,설정!$B$33),설정!$B$34))+IF(AA49="★",설정!$B$35,0))</f>
        <v/>
      </c>
      <c r="AC49">
        <f>SUBSTITUTE(SUBSTITUTE(SUBSTITUTE(SUBSTITUTE(H49,"(주)",""),"㈜",""),"주식회사","")," ","")</f>
        <v/>
      </c>
      <c r="AD49">
        <f>IF(AND(T49,AC49&lt;&gt;""),IF(COUNTIFS(AC$2:AC49,AC49,T$2:T49,TRUE)=1,MAX(AD$1:AD48)+1,""),"")</f>
        <v/>
      </c>
    </row>
    <row r="50">
      <c r="A50">
        <f>ROW()</f>
        <v/>
      </c>
      <c r="B50">
        <f>IF(설정!$C$4="","",IFERROR(INDEX('1.산군_붙여넣기'!$A$1:$AZ$1001,ROW(),설정!$C$4)&amp;"",""))</f>
        <v/>
      </c>
      <c r="C50">
        <f>IF(설정!$C$5="","",IFERROR(INDEX('1.산군_붙여넣기'!$A$1:$AZ$1001,ROW(),설정!$C$5)&amp;"",""))</f>
        <v/>
      </c>
      <c r="D50" s="5">
        <f>IFERROR(VALUE(SUBSTITUTE(SUBSTITUTE(SUBSTITUTE(IF(설정!$C$6="","",IFERROR(INDEX('1.산군_붙여넣기'!$A$1:$AZ$1001,ROW(),설정!$C$6)&amp;"","")),",",""),"㎡",""),"m2","")),"")</f>
        <v/>
      </c>
      <c r="E50">
        <f>IF(설정!$C$7="","",IFERROR(INDEX('1.산군_붙여넣기'!$A$1:$AZ$1001,ROW(),설정!$C$7)&amp;"",""))</f>
        <v/>
      </c>
      <c r="F50">
        <f>IF(설정!$C$8="","",IFERROR(INDEX('1.산군_붙여넣기'!$A$1:$AZ$1001,ROW(),설정!$C$8)&amp;"",""))</f>
        <v/>
      </c>
      <c r="G50">
        <f>IF(설정!$C$9="","",IFERROR(INDEX('1.산군_붙여넣기'!$A$1:$AZ$1001,ROW(),설정!$C$9)&amp;"",""))</f>
        <v/>
      </c>
      <c r="H50">
        <f>IF(설정!$C$10="","",IFERROR(INDEX('1.산군_붙여넣기'!$A$1:$AZ$1001,ROW(),설정!$C$10)&amp;"",""))</f>
        <v/>
      </c>
      <c r="I50">
        <f>IF(설정!$C$11="","",IFERROR(INDEX('1.산군_붙여넣기'!$A$1:$AZ$1001,ROW(),설정!$C$11)&amp;"",""))</f>
        <v/>
      </c>
      <c r="J50">
        <f>IF(설정!$C$12="","",IFERROR(INDEX('1.산군_붙여넣기'!$A$1:$AZ$1001,ROW(),설정!$C$12)&amp;"",""))</f>
        <v/>
      </c>
      <c r="K50">
        <f>IF(설정!$C$13="","",IFERROR(INDEX('1.산군_붙여넣기'!$A$1:$AZ$1001,ROW(),설정!$C$13)&amp;"",""))</f>
        <v/>
      </c>
      <c r="L50" s="7">
        <f>IF(X50="","",IF(AND(LEN(X50)=8,ISNUMBER(X50*1)),DATE(LEFT(X50,4),MID(X50,5,2),RIGHT(X50,2)),IFERROR(DATEVALUE(SUBSTITUTE(SUBSTITUTE(X50,".","-"),"/","-")),IFERROR(X50*1,""))))</f>
        <v/>
      </c>
      <c r="M50" s="7">
        <f>IF(Y50="","",IF(AND(LEN(Y50)=8,ISNUMBER(Y50*1)),DATE(LEFT(Y50,4),MID(Y50,5,2),RIGHT(Y50,2)),IFERROR(DATEVALUE(SUBSTITUTE(SUBSTITUTE(Y50,".","-"),"/","-")),IFERROR(Y50*1,""))))</f>
        <v/>
      </c>
      <c r="N50">
        <f>IFERROR(LEFT(B50,FIND(" ",B50)-1),B50)</f>
        <v/>
      </c>
      <c r="O50">
        <f>AND(B50&lt;&gt;"",B50&lt;&gt;설정!$B$4,C50&lt;&gt;설정!$B$5)</f>
        <v/>
      </c>
      <c r="P50">
        <f>IF(O50,B50&amp;"|"&amp;C50,"")</f>
        <v/>
      </c>
      <c r="Q50">
        <f>AND(O50,COUNTIF(P51:P$1002,P50)=0)</f>
        <v/>
      </c>
      <c r="R50">
        <f>OR(AND(설정!$A$42&lt;&gt;"",ISNUMBER(SEARCH(설정!$A$42,E50&amp;" "&amp;C50))),AND(설정!$A$43&lt;&gt;"",ISNUMBER(SEARCH(설정!$A$43,E50&amp;" "&amp;C50))),AND(설정!$A$44&lt;&gt;"",ISNUMBER(SEARCH(설정!$A$44,E50&amp;" "&amp;C50))),AND(설정!$A$45&lt;&gt;"",ISNUMBER(SEARCH(설정!$A$45,E50&amp;" "&amp;C50))),AND(설정!$A$46&lt;&gt;"",ISNUMBER(SEARCH(설정!$A$46,E50&amp;" "&amp;C50))),AND(설정!$A$47&lt;&gt;"",ISNUMBER(SEARCH(설정!$A$47,E50&amp;" "&amp;C50))),AND(설정!$A$48&lt;&gt;"",ISNUMBER(SEARCH(설정!$A$48,E50&amp;" "&amp;C50))),AND(설정!$A$49&lt;&gt;"",ISNUMBER(SEARCH(설정!$A$49,E50&amp;" "&amp;C50))),AND(설정!$A$50&lt;&gt;"",ISNUMBER(SEARCH(설정!$A$50,E50&amp;" "&amp;C50))),AND(설정!$A$51&lt;&gt;"",ISNUMBER(SEARCH(설정!$A$51,E50&amp;" "&amp;C50))))</f>
        <v/>
      </c>
      <c r="S50">
        <f>OR(D50="",D50&gt;=설정!$B$19)</f>
        <v/>
      </c>
      <c r="T50">
        <f>AND(Q50,R50,S50)</f>
        <v/>
      </c>
      <c r="U50">
        <f>IF(T50,IF(AND(설정!$A$54&lt;&gt;"",ISNUMBER(SEARCH(설정!$A$54,K50))),설정!$B$54,IF(AND(설정!$A$55&lt;&gt;"",ISNUMBER(SEARCH(설정!$A$55,K50))),설정!$B$55,IF(AND(설정!$A$56&lt;&gt;"",ISNUMBER(SEARCH(설정!$A$56,K50))),설정!$B$56,IF(AND(설정!$A$57&lt;&gt;"",ISNUMBER(SEARCH(설정!$A$57,K50))),설정!$B$57,IF(AND(설정!$A$58&lt;&gt;"",ISNUMBER(SEARCH(설정!$A$58,K50))),설정!$B$58,IF(AND(설정!$A$59&lt;&gt;"",ISNUMBER(SEARCH(설정!$A$59,K50))),설정!$B$59,IF(AND(설정!$A$60&lt;&gt;"",ISNUMBER(SEARCH(설정!$A$60,K50))),설정!$B$60,IF(AND(설정!$A$61&lt;&gt;"",ISNUMBER(SEARCH(설정!$A$61,K50))),설정!$B$61,IF(M50="","설계사","시공사"))))))))),"")</f>
        <v/>
      </c>
      <c r="V50">
        <f>SUBSTITUTE(SUBSTITUTE(SUBSTITUTE(SUBSTITUTE(G50,"(주)",""),"㈜",""),"주식회사","")," ","")</f>
        <v/>
      </c>
      <c r="W50">
        <f>IF(AND(T50,V50&lt;&gt;""),IF(COUNTIFS(V$2:V50,V50,T$2:T50,TRUE)=1,MAX(W$1:W49)+1,""),"")</f>
        <v/>
      </c>
      <c r="X50">
        <f>IF(설정!$C$14="","",IFERROR(INDEX('1.산군_붙여넣기'!$A$1:$AZ$1001,ROW(),설정!$C$14)&amp;"",""))</f>
        <v/>
      </c>
      <c r="Y50">
        <f>IF(설정!$C$15="","",IFERROR(INDEX('1.산군_붙여넣기'!$A$1:$AZ$1001,ROW(),설정!$C$15)&amp;"",""))</f>
        <v/>
      </c>
      <c r="Z50">
        <f>IF(T50,V50&amp;"|"&amp;U50,"")</f>
        <v/>
      </c>
      <c r="AA50">
        <f>IF(NOT(Q50),"",IF(NOT(AND(R50,S50)),"✕",IF(OR(OR(AND(L50&lt;&gt;"",M50&lt;&gt;"",N(M50)-N(L50)&gt;설정!$B$27),AND(L50&lt;&gt;"",M50="",설정!$B$24-N(L50)&gt;설정!$B$27)),AND(D50&lt;&gt;"",D50&lt;설정!$B$26)),"△","★")))</f>
        <v/>
      </c>
      <c r="AB50">
        <f>IF(NOT(T50),"",IF(U50="설계사",설정!$B$31,IF(U50="시공사",IF(OR(M50="",설정!$B$24-N(M50)&lt;=설정!$B$28*30.4),설정!$B$32,설정!$B$33),설정!$B$34))+IF(AA50="★",설정!$B$35,0))</f>
        <v/>
      </c>
      <c r="AC50">
        <f>SUBSTITUTE(SUBSTITUTE(SUBSTITUTE(SUBSTITUTE(H50,"(주)",""),"㈜",""),"주식회사","")," ","")</f>
        <v/>
      </c>
      <c r="AD50">
        <f>IF(AND(T50,AC50&lt;&gt;""),IF(COUNTIFS(AC$2:AC50,AC50,T$2:T50,TRUE)=1,MAX(AD$1:AD49)+1,""),"")</f>
        <v/>
      </c>
    </row>
    <row r="51">
      <c r="A51">
        <f>ROW()</f>
        <v/>
      </c>
      <c r="B51">
        <f>IF(설정!$C$4="","",IFERROR(INDEX('1.산군_붙여넣기'!$A$1:$AZ$1001,ROW(),설정!$C$4)&amp;"",""))</f>
        <v/>
      </c>
      <c r="C51">
        <f>IF(설정!$C$5="","",IFERROR(INDEX('1.산군_붙여넣기'!$A$1:$AZ$1001,ROW(),설정!$C$5)&amp;"",""))</f>
        <v/>
      </c>
      <c r="D51" s="5">
        <f>IFERROR(VALUE(SUBSTITUTE(SUBSTITUTE(SUBSTITUTE(IF(설정!$C$6="","",IFERROR(INDEX('1.산군_붙여넣기'!$A$1:$AZ$1001,ROW(),설정!$C$6)&amp;"","")),",",""),"㎡",""),"m2","")),"")</f>
        <v/>
      </c>
      <c r="E51">
        <f>IF(설정!$C$7="","",IFERROR(INDEX('1.산군_붙여넣기'!$A$1:$AZ$1001,ROW(),설정!$C$7)&amp;"",""))</f>
        <v/>
      </c>
      <c r="F51">
        <f>IF(설정!$C$8="","",IFERROR(INDEX('1.산군_붙여넣기'!$A$1:$AZ$1001,ROW(),설정!$C$8)&amp;"",""))</f>
        <v/>
      </c>
      <c r="G51">
        <f>IF(설정!$C$9="","",IFERROR(INDEX('1.산군_붙여넣기'!$A$1:$AZ$1001,ROW(),설정!$C$9)&amp;"",""))</f>
        <v/>
      </c>
      <c r="H51">
        <f>IF(설정!$C$10="","",IFERROR(INDEX('1.산군_붙여넣기'!$A$1:$AZ$1001,ROW(),설정!$C$10)&amp;"",""))</f>
        <v/>
      </c>
      <c r="I51">
        <f>IF(설정!$C$11="","",IFERROR(INDEX('1.산군_붙여넣기'!$A$1:$AZ$1001,ROW(),설정!$C$11)&amp;"",""))</f>
        <v/>
      </c>
      <c r="J51">
        <f>IF(설정!$C$12="","",IFERROR(INDEX('1.산군_붙여넣기'!$A$1:$AZ$1001,ROW(),설정!$C$12)&amp;"",""))</f>
        <v/>
      </c>
      <c r="K51">
        <f>IF(설정!$C$13="","",IFERROR(INDEX('1.산군_붙여넣기'!$A$1:$AZ$1001,ROW(),설정!$C$13)&amp;"",""))</f>
        <v/>
      </c>
      <c r="L51" s="7">
        <f>IF(X51="","",IF(AND(LEN(X51)=8,ISNUMBER(X51*1)),DATE(LEFT(X51,4),MID(X51,5,2),RIGHT(X51,2)),IFERROR(DATEVALUE(SUBSTITUTE(SUBSTITUTE(X51,".","-"),"/","-")),IFERROR(X51*1,""))))</f>
        <v/>
      </c>
      <c r="M51" s="7">
        <f>IF(Y51="","",IF(AND(LEN(Y51)=8,ISNUMBER(Y51*1)),DATE(LEFT(Y51,4),MID(Y51,5,2),RIGHT(Y51,2)),IFERROR(DATEVALUE(SUBSTITUTE(SUBSTITUTE(Y51,".","-"),"/","-")),IFERROR(Y51*1,""))))</f>
        <v/>
      </c>
      <c r="N51">
        <f>IFERROR(LEFT(B51,FIND(" ",B51)-1),B51)</f>
        <v/>
      </c>
      <c r="O51">
        <f>AND(B51&lt;&gt;"",B51&lt;&gt;설정!$B$4,C51&lt;&gt;설정!$B$5)</f>
        <v/>
      </c>
      <c r="P51">
        <f>IF(O51,B51&amp;"|"&amp;C51,"")</f>
        <v/>
      </c>
      <c r="Q51">
        <f>AND(O51,COUNTIF(P52:P$1002,P51)=0)</f>
        <v/>
      </c>
      <c r="R51">
        <f>OR(AND(설정!$A$42&lt;&gt;"",ISNUMBER(SEARCH(설정!$A$42,E51&amp;" "&amp;C51))),AND(설정!$A$43&lt;&gt;"",ISNUMBER(SEARCH(설정!$A$43,E51&amp;" "&amp;C51))),AND(설정!$A$44&lt;&gt;"",ISNUMBER(SEARCH(설정!$A$44,E51&amp;" "&amp;C51))),AND(설정!$A$45&lt;&gt;"",ISNUMBER(SEARCH(설정!$A$45,E51&amp;" "&amp;C51))),AND(설정!$A$46&lt;&gt;"",ISNUMBER(SEARCH(설정!$A$46,E51&amp;" "&amp;C51))),AND(설정!$A$47&lt;&gt;"",ISNUMBER(SEARCH(설정!$A$47,E51&amp;" "&amp;C51))),AND(설정!$A$48&lt;&gt;"",ISNUMBER(SEARCH(설정!$A$48,E51&amp;" "&amp;C51))),AND(설정!$A$49&lt;&gt;"",ISNUMBER(SEARCH(설정!$A$49,E51&amp;" "&amp;C51))),AND(설정!$A$50&lt;&gt;"",ISNUMBER(SEARCH(설정!$A$50,E51&amp;" "&amp;C51))),AND(설정!$A$51&lt;&gt;"",ISNUMBER(SEARCH(설정!$A$51,E51&amp;" "&amp;C51))))</f>
        <v/>
      </c>
      <c r="S51">
        <f>OR(D51="",D51&gt;=설정!$B$19)</f>
        <v/>
      </c>
      <c r="T51">
        <f>AND(Q51,R51,S51)</f>
        <v/>
      </c>
      <c r="U51">
        <f>IF(T51,IF(AND(설정!$A$54&lt;&gt;"",ISNUMBER(SEARCH(설정!$A$54,K51))),설정!$B$54,IF(AND(설정!$A$55&lt;&gt;"",ISNUMBER(SEARCH(설정!$A$55,K51))),설정!$B$55,IF(AND(설정!$A$56&lt;&gt;"",ISNUMBER(SEARCH(설정!$A$56,K51))),설정!$B$56,IF(AND(설정!$A$57&lt;&gt;"",ISNUMBER(SEARCH(설정!$A$57,K51))),설정!$B$57,IF(AND(설정!$A$58&lt;&gt;"",ISNUMBER(SEARCH(설정!$A$58,K51))),설정!$B$58,IF(AND(설정!$A$59&lt;&gt;"",ISNUMBER(SEARCH(설정!$A$59,K51))),설정!$B$59,IF(AND(설정!$A$60&lt;&gt;"",ISNUMBER(SEARCH(설정!$A$60,K51))),설정!$B$60,IF(AND(설정!$A$61&lt;&gt;"",ISNUMBER(SEARCH(설정!$A$61,K51))),설정!$B$61,IF(M51="","설계사","시공사"))))))))),"")</f>
        <v/>
      </c>
      <c r="V51">
        <f>SUBSTITUTE(SUBSTITUTE(SUBSTITUTE(SUBSTITUTE(G51,"(주)",""),"㈜",""),"주식회사","")," ","")</f>
        <v/>
      </c>
      <c r="W51">
        <f>IF(AND(T51,V51&lt;&gt;""),IF(COUNTIFS(V$2:V51,V51,T$2:T51,TRUE)=1,MAX(W$1:W50)+1,""),"")</f>
        <v/>
      </c>
      <c r="X51">
        <f>IF(설정!$C$14="","",IFERROR(INDEX('1.산군_붙여넣기'!$A$1:$AZ$1001,ROW(),설정!$C$14)&amp;"",""))</f>
        <v/>
      </c>
      <c r="Y51">
        <f>IF(설정!$C$15="","",IFERROR(INDEX('1.산군_붙여넣기'!$A$1:$AZ$1001,ROW(),설정!$C$15)&amp;"",""))</f>
        <v/>
      </c>
      <c r="Z51">
        <f>IF(T51,V51&amp;"|"&amp;U51,"")</f>
        <v/>
      </c>
      <c r="AA51">
        <f>IF(NOT(Q51),"",IF(NOT(AND(R51,S51)),"✕",IF(OR(OR(AND(L51&lt;&gt;"",M51&lt;&gt;"",N(M51)-N(L51)&gt;설정!$B$27),AND(L51&lt;&gt;"",M51="",설정!$B$24-N(L51)&gt;설정!$B$27)),AND(D51&lt;&gt;"",D51&lt;설정!$B$26)),"△","★")))</f>
        <v/>
      </c>
      <c r="AB51">
        <f>IF(NOT(T51),"",IF(U51="설계사",설정!$B$31,IF(U51="시공사",IF(OR(M51="",설정!$B$24-N(M51)&lt;=설정!$B$28*30.4),설정!$B$32,설정!$B$33),설정!$B$34))+IF(AA51="★",설정!$B$35,0))</f>
        <v/>
      </c>
      <c r="AC51">
        <f>SUBSTITUTE(SUBSTITUTE(SUBSTITUTE(SUBSTITUTE(H51,"(주)",""),"㈜",""),"주식회사","")," ","")</f>
        <v/>
      </c>
      <c r="AD51">
        <f>IF(AND(T51,AC51&lt;&gt;""),IF(COUNTIFS(AC$2:AC51,AC51,T$2:T51,TRUE)=1,MAX(AD$1:AD50)+1,""),"")</f>
        <v/>
      </c>
    </row>
    <row r="52">
      <c r="A52">
        <f>ROW()</f>
        <v/>
      </c>
      <c r="B52">
        <f>IF(설정!$C$4="","",IFERROR(INDEX('1.산군_붙여넣기'!$A$1:$AZ$1001,ROW(),설정!$C$4)&amp;"",""))</f>
        <v/>
      </c>
      <c r="C52">
        <f>IF(설정!$C$5="","",IFERROR(INDEX('1.산군_붙여넣기'!$A$1:$AZ$1001,ROW(),설정!$C$5)&amp;"",""))</f>
        <v/>
      </c>
      <c r="D52" s="5">
        <f>IFERROR(VALUE(SUBSTITUTE(SUBSTITUTE(SUBSTITUTE(IF(설정!$C$6="","",IFERROR(INDEX('1.산군_붙여넣기'!$A$1:$AZ$1001,ROW(),설정!$C$6)&amp;"","")),",",""),"㎡",""),"m2","")),"")</f>
        <v/>
      </c>
      <c r="E52">
        <f>IF(설정!$C$7="","",IFERROR(INDEX('1.산군_붙여넣기'!$A$1:$AZ$1001,ROW(),설정!$C$7)&amp;"",""))</f>
        <v/>
      </c>
      <c r="F52">
        <f>IF(설정!$C$8="","",IFERROR(INDEX('1.산군_붙여넣기'!$A$1:$AZ$1001,ROW(),설정!$C$8)&amp;"",""))</f>
        <v/>
      </c>
      <c r="G52">
        <f>IF(설정!$C$9="","",IFERROR(INDEX('1.산군_붙여넣기'!$A$1:$AZ$1001,ROW(),설정!$C$9)&amp;"",""))</f>
        <v/>
      </c>
      <c r="H52">
        <f>IF(설정!$C$10="","",IFERROR(INDEX('1.산군_붙여넣기'!$A$1:$AZ$1001,ROW(),설정!$C$10)&amp;"",""))</f>
        <v/>
      </c>
      <c r="I52">
        <f>IF(설정!$C$11="","",IFERROR(INDEX('1.산군_붙여넣기'!$A$1:$AZ$1001,ROW(),설정!$C$11)&amp;"",""))</f>
        <v/>
      </c>
      <c r="J52">
        <f>IF(설정!$C$12="","",IFERROR(INDEX('1.산군_붙여넣기'!$A$1:$AZ$1001,ROW(),설정!$C$12)&amp;"",""))</f>
        <v/>
      </c>
      <c r="K52">
        <f>IF(설정!$C$13="","",IFERROR(INDEX('1.산군_붙여넣기'!$A$1:$AZ$1001,ROW(),설정!$C$13)&amp;"",""))</f>
        <v/>
      </c>
      <c r="L52" s="7">
        <f>IF(X52="","",IF(AND(LEN(X52)=8,ISNUMBER(X52*1)),DATE(LEFT(X52,4),MID(X52,5,2),RIGHT(X52,2)),IFERROR(DATEVALUE(SUBSTITUTE(SUBSTITUTE(X52,".","-"),"/","-")),IFERROR(X52*1,""))))</f>
        <v/>
      </c>
      <c r="M52" s="7">
        <f>IF(Y52="","",IF(AND(LEN(Y52)=8,ISNUMBER(Y52*1)),DATE(LEFT(Y52,4),MID(Y52,5,2),RIGHT(Y52,2)),IFERROR(DATEVALUE(SUBSTITUTE(SUBSTITUTE(Y52,".","-"),"/","-")),IFERROR(Y52*1,""))))</f>
        <v/>
      </c>
      <c r="N52">
        <f>IFERROR(LEFT(B52,FIND(" ",B52)-1),B52)</f>
        <v/>
      </c>
      <c r="O52">
        <f>AND(B52&lt;&gt;"",B52&lt;&gt;설정!$B$4,C52&lt;&gt;설정!$B$5)</f>
        <v/>
      </c>
      <c r="P52">
        <f>IF(O52,B52&amp;"|"&amp;C52,"")</f>
        <v/>
      </c>
      <c r="Q52">
        <f>AND(O52,COUNTIF(P53:P$1002,P52)=0)</f>
        <v/>
      </c>
      <c r="R52">
        <f>OR(AND(설정!$A$42&lt;&gt;"",ISNUMBER(SEARCH(설정!$A$42,E52&amp;" "&amp;C52))),AND(설정!$A$43&lt;&gt;"",ISNUMBER(SEARCH(설정!$A$43,E52&amp;" "&amp;C52))),AND(설정!$A$44&lt;&gt;"",ISNUMBER(SEARCH(설정!$A$44,E52&amp;" "&amp;C52))),AND(설정!$A$45&lt;&gt;"",ISNUMBER(SEARCH(설정!$A$45,E52&amp;" "&amp;C52))),AND(설정!$A$46&lt;&gt;"",ISNUMBER(SEARCH(설정!$A$46,E52&amp;" "&amp;C52))),AND(설정!$A$47&lt;&gt;"",ISNUMBER(SEARCH(설정!$A$47,E52&amp;" "&amp;C52))),AND(설정!$A$48&lt;&gt;"",ISNUMBER(SEARCH(설정!$A$48,E52&amp;" "&amp;C52))),AND(설정!$A$49&lt;&gt;"",ISNUMBER(SEARCH(설정!$A$49,E52&amp;" "&amp;C52))),AND(설정!$A$50&lt;&gt;"",ISNUMBER(SEARCH(설정!$A$50,E52&amp;" "&amp;C52))),AND(설정!$A$51&lt;&gt;"",ISNUMBER(SEARCH(설정!$A$51,E52&amp;" "&amp;C52))))</f>
        <v/>
      </c>
      <c r="S52">
        <f>OR(D52="",D52&gt;=설정!$B$19)</f>
        <v/>
      </c>
      <c r="T52">
        <f>AND(Q52,R52,S52)</f>
        <v/>
      </c>
      <c r="U52">
        <f>IF(T52,IF(AND(설정!$A$54&lt;&gt;"",ISNUMBER(SEARCH(설정!$A$54,K52))),설정!$B$54,IF(AND(설정!$A$55&lt;&gt;"",ISNUMBER(SEARCH(설정!$A$55,K52))),설정!$B$55,IF(AND(설정!$A$56&lt;&gt;"",ISNUMBER(SEARCH(설정!$A$56,K52))),설정!$B$56,IF(AND(설정!$A$57&lt;&gt;"",ISNUMBER(SEARCH(설정!$A$57,K52))),설정!$B$57,IF(AND(설정!$A$58&lt;&gt;"",ISNUMBER(SEARCH(설정!$A$58,K52))),설정!$B$58,IF(AND(설정!$A$59&lt;&gt;"",ISNUMBER(SEARCH(설정!$A$59,K52))),설정!$B$59,IF(AND(설정!$A$60&lt;&gt;"",ISNUMBER(SEARCH(설정!$A$60,K52))),설정!$B$60,IF(AND(설정!$A$61&lt;&gt;"",ISNUMBER(SEARCH(설정!$A$61,K52))),설정!$B$61,IF(M52="","설계사","시공사"))))))))),"")</f>
        <v/>
      </c>
      <c r="V52">
        <f>SUBSTITUTE(SUBSTITUTE(SUBSTITUTE(SUBSTITUTE(G52,"(주)",""),"㈜",""),"주식회사","")," ","")</f>
        <v/>
      </c>
      <c r="W52">
        <f>IF(AND(T52,V52&lt;&gt;""),IF(COUNTIFS(V$2:V52,V52,T$2:T52,TRUE)=1,MAX(W$1:W51)+1,""),"")</f>
        <v/>
      </c>
      <c r="X52">
        <f>IF(설정!$C$14="","",IFERROR(INDEX('1.산군_붙여넣기'!$A$1:$AZ$1001,ROW(),설정!$C$14)&amp;"",""))</f>
        <v/>
      </c>
      <c r="Y52">
        <f>IF(설정!$C$15="","",IFERROR(INDEX('1.산군_붙여넣기'!$A$1:$AZ$1001,ROW(),설정!$C$15)&amp;"",""))</f>
        <v/>
      </c>
      <c r="Z52">
        <f>IF(T52,V52&amp;"|"&amp;U52,"")</f>
        <v/>
      </c>
      <c r="AA52">
        <f>IF(NOT(Q52),"",IF(NOT(AND(R52,S52)),"✕",IF(OR(OR(AND(L52&lt;&gt;"",M52&lt;&gt;"",N(M52)-N(L52)&gt;설정!$B$27),AND(L52&lt;&gt;"",M52="",설정!$B$24-N(L52)&gt;설정!$B$27)),AND(D52&lt;&gt;"",D52&lt;설정!$B$26)),"△","★")))</f>
        <v/>
      </c>
      <c r="AB52">
        <f>IF(NOT(T52),"",IF(U52="설계사",설정!$B$31,IF(U52="시공사",IF(OR(M52="",설정!$B$24-N(M52)&lt;=설정!$B$28*30.4),설정!$B$32,설정!$B$33),설정!$B$34))+IF(AA52="★",설정!$B$35,0))</f>
        <v/>
      </c>
      <c r="AC52">
        <f>SUBSTITUTE(SUBSTITUTE(SUBSTITUTE(SUBSTITUTE(H52,"(주)",""),"㈜",""),"주식회사","")," ","")</f>
        <v/>
      </c>
      <c r="AD52">
        <f>IF(AND(T52,AC52&lt;&gt;""),IF(COUNTIFS(AC$2:AC52,AC52,T$2:T52,TRUE)=1,MAX(AD$1:AD51)+1,""),"")</f>
        <v/>
      </c>
    </row>
    <row r="53">
      <c r="A53">
        <f>ROW()</f>
        <v/>
      </c>
      <c r="B53">
        <f>IF(설정!$C$4="","",IFERROR(INDEX('1.산군_붙여넣기'!$A$1:$AZ$1001,ROW(),설정!$C$4)&amp;"",""))</f>
        <v/>
      </c>
      <c r="C53">
        <f>IF(설정!$C$5="","",IFERROR(INDEX('1.산군_붙여넣기'!$A$1:$AZ$1001,ROW(),설정!$C$5)&amp;"",""))</f>
        <v/>
      </c>
      <c r="D53" s="5">
        <f>IFERROR(VALUE(SUBSTITUTE(SUBSTITUTE(SUBSTITUTE(IF(설정!$C$6="","",IFERROR(INDEX('1.산군_붙여넣기'!$A$1:$AZ$1001,ROW(),설정!$C$6)&amp;"","")),",",""),"㎡",""),"m2","")),"")</f>
        <v/>
      </c>
      <c r="E53">
        <f>IF(설정!$C$7="","",IFERROR(INDEX('1.산군_붙여넣기'!$A$1:$AZ$1001,ROW(),설정!$C$7)&amp;"",""))</f>
        <v/>
      </c>
      <c r="F53">
        <f>IF(설정!$C$8="","",IFERROR(INDEX('1.산군_붙여넣기'!$A$1:$AZ$1001,ROW(),설정!$C$8)&amp;"",""))</f>
        <v/>
      </c>
      <c r="G53">
        <f>IF(설정!$C$9="","",IFERROR(INDEX('1.산군_붙여넣기'!$A$1:$AZ$1001,ROW(),설정!$C$9)&amp;"",""))</f>
        <v/>
      </c>
      <c r="H53">
        <f>IF(설정!$C$10="","",IFERROR(INDEX('1.산군_붙여넣기'!$A$1:$AZ$1001,ROW(),설정!$C$10)&amp;"",""))</f>
        <v/>
      </c>
      <c r="I53">
        <f>IF(설정!$C$11="","",IFERROR(INDEX('1.산군_붙여넣기'!$A$1:$AZ$1001,ROW(),설정!$C$11)&amp;"",""))</f>
        <v/>
      </c>
      <c r="J53">
        <f>IF(설정!$C$12="","",IFERROR(INDEX('1.산군_붙여넣기'!$A$1:$AZ$1001,ROW(),설정!$C$12)&amp;"",""))</f>
        <v/>
      </c>
      <c r="K53">
        <f>IF(설정!$C$13="","",IFERROR(INDEX('1.산군_붙여넣기'!$A$1:$AZ$1001,ROW(),설정!$C$13)&amp;"",""))</f>
        <v/>
      </c>
      <c r="L53" s="7">
        <f>IF(X53="","",IF(AND(LEN(X53)=8,ISNUMBER(X53*1)),DATE(LEFT(X53,4),MID(X53,5,2),RIGHT(X53,2)),IFERROR(DATEVALUE(SUBSTITUTE(SUBSTITUTE(X53,".","-"),"/","-")),IFERROR(X53*1,""))))</f>
        <v/>
      </c>
      <c r="M53" s="7">
        <f>IF(Y53="","",IF(AND(LEN(Y53)=8,ISNUMBER(Y53*1)),DATE(LEFT(Y53,4),MID(Y53,5,2),RIGHT(Y53,2)),IFERROR(DATEVALUE(SUBSTITUTE(SUBSTITUTE(Y53,".","-"),"/","-")),IFERROR(Y53*1,""))))</f>
        <v/>
      </c>
      <c r="N53">
        <f>IFERROR(LEFT(B53,FIND(" ",B53)-1),B53)</f>
        <v/>
      </c>
      <c r="O53">
        <f>AND(B53&lt;&gt;"",B53&lt;&gt;설정!$B$4,C53&lt;&gt;설정!$B$5)</f>
        <v/>
      </c>
      <c r="P53">
        <f>IF(O53,B53&amp;"|"&amp;C53,"")</f>
        <v/>
      </c>
      <c r="Q53">
        <f>AND(O53,COUNTIF(P54:P$1002,P53)=0)</f>
        <v/>
      </c>
      <c r="R53">
        <f>OR(AND(설정!$A$42&lt;&gt;"",ISNUMBER(SEARCH(설정!$A$42,E53&amp;" "&amp;C53))),AND(설정!$A$43&lt;&gt;"",ISNUMBER(SEARCH(설정!$A$43,E53&amp;" "&amp;C53))),AND(설정!$A$44&lt;&gt;"",ISNUMBER(SEARCH(설정!$A$44,E53&amp;" "&amp;C53))),AND(설정!$A$45&lt;&gt;"",ISNUMBER(SEARCH(설정!$A$45,E53&amp;" "&amp;C53))),AND(설정!$A$46&lt;&gt;"",ISNUMBER(SEARCH(설정!$A$46,E53&amp;" "&amp;C53))),AND(설정!$A$47&lt;&gt;"",ISNUMBER(SEARCH(설정!$A$47,E53&amp;" "&amp;C53))),AND(설정!$A$48&lt;&gt;"",ISNUMBER(SEARCH(설정!$A$48,E53&amp;" "&amp;C53))),AND(설정!$A$49&lt;&gt;"",ISNUMBER(SEARCH(설정!$A$49,E53&amp;" "&amp;C53))),AND(설정!$A$50&lt;&gt;"",ISNUMBER(SEARCH(설정!$A$50,E53&amp;" "&amp;C53))),AND(설정!$A$51&lt;&gt;"",ISNUMBER(SEARCH(설정!$A$51,E53&amp;" "&amp;C53))))</f>
        <v/>
      </c>
      <c r="S53">
        <f>OR(D53="",D53&gt;=설정!$B$19)</f>
        <v/>
      </c>
      <c r="T53">
        <f>AND(Q53,R53,S53)</f>
        <v/>
      </c>
      <c r="U53">
        <f>IF(T53,IF(AND(설정!$A$54&lt;&gt;"",ISNUMBER(SEARCH(설정!$A$54,K53))),설정!$B$54,IF(AND(설정!$A$55&lt;&gt;"",ISNUMBER(SEARCH(설정!$A$55,K53))),설정!$B$55,IF(AND(설정!$A$56&lt;&gt;"",ISNUMBER(SEARCH(설정!$A$56,K53))),설정!$B$56,IF(AND(설정!$A$57&lt;&gt;"",ISNUMBER(SEARCH(설정!$A$57,K53))),설정!$B$57,IF(AND(설정!$A$58&lt;&gt;"",ISNUMBER(SEARCH(설정!$A$58,K53))),설정!$B$58,IF(AND(설정!$A$59&lt;&gt;"",ISNUMBER(SEARCH(설정!$A$59,K53))),설정!$B$59,IF(AND(설정!$A$60&lt;&gt;"",ISNUMBER(SEARCH(설정!$A$60,K53))),설정!$B$60,IF(AND(설정!$A$61&lt;&gt;"",ISNUMBER(SEARCH(설정!$A$61,K53))),설정!$B$61,IF(M53="","설계사","시공사"))))))))),"")</f>
        <v/>
      </c>
      <c r="V53">
        <f>SUBSTITUTE(SUBSTITUTE(SUBSTITUTE(SUBSTITUTE(G53,"(주)",""),"㈜",""),"주식회사","")," ","")</f>
        <v/>
      </c>
      <c r="W53">
        <f>IF(AND(T53,V53&lt;&gt;""),IF(COUNTIFS(V$2:V53,V53,T$2:T53,TRUE)=1,MAX(W$1:W52)+1,""),"")</f>
        <v/>
      </c>
      <c r="X53">
        <f>IF(설정!$C$14="","",IFERROR(INDEX('1.산군_붙여넣기'!$A$1:$AZ$1001,ROW(),설정!$C$14)&amp;"",""))</f>
        <v/>
      </c>
      <c r="Y53">
        <f>IF(설정!$C$15="","",IFERROR(INDEX('1.산군_붙여넣기'!$A$1:$AZ$1001,ROW(),설정!$C$15)&amp;"",""))</f>
        <v/>
      </c>
      <c r="Z53">
        <f>IF(T53,V53&amp;"|"&amp;U53,"")</f>
        <v/>
      </c>
      <c r="AA53">
        <f>IF(NOT(Q53),"",IF(NOT(AND(R53,S53)),"✕",IF(OR(OR(AND(L53&lt;&gt;"",M53&lt;&gt;"",N(M53)-N(L53)&gt;설정!$B$27),AND(L53&lt;&gt;"",M53="",설정!$B$24-N(L53)&gt;설정!$B$27)),AND(D53&lt;&gt;"",D53&lt;설정!$B$26)),"△","★")))</f>
        <v/>
      </c>
      <c r="AB53">
        <f>IF(NOT(T53),"",IF(U53="설계사",설정!$B$31,IF(U53="시공사",IF(OR(M53="",설정!$B$24-N(M53)&lt;=설정!$B$28*30.4),설정!$B$32,설정!$B$33),설정!$B$34))+IF(AA53="★",설정!$B$35,0))</f>
        <v/>
      </c>
      <c r="AC53">
        <f>SUBSTITUTE(SUBSTITUTE(SUBSTITUTE(SUBSTITUTE(H53,"(주)",""),"㈜",""),"주식회사","")," ","")</f>
        <v/>
      </c>
      <c r="AD53">
        <f>IF(AND(T53,AC53&lt;&gt;""),IF(COUNTIFS(AC$2:AC53,AC53,T$2:T53,TRUE)=1,MAX(AD$1:AD52)+1,""),"")</f>
        <v/>
      </c>
    </row>
    <row r="54">
      <c r="A54">
        <f>ROW()</f>
        <v/>
      </c>
      <c r="B54">
        <f>IF(설정!$C$4="","",IFERROR(INDEX('1.산군_붙여넣기'!$A$1:$AZ$1001,ROW(),설정!$C$4)&amp;"",""))</f>
        <v/>
      </c>
      <c r="C54">
        <f>IF(설정!$C$5="","",IFERROR(INDEX('1.산군_붙여넣기'!$A$1:$AZ$1001,ROW(),설정!$C$5)&amp;"",""))</f>
        <v/>
      </c>
      <c r="D54" s="5">
        <f>IFERROR(VALUE(SUBSTITUTE(SUBSTITUTE(SUBSTITUTE(IF(설정!$C$6="","",IFERROR(INDEX('1.산군_붙여넣기'!$A$1:$AZ$1001,ROW(),설정!$C$6)&amp;"","")),",",""),"㎡",""),"m2","")),"")</f>
        <v/>
      </c>
      <c r="E54">
        <f>IF(설정!$C$7="","",IFERROR(INDEX('1.산군_붙여넣기'!$A$1:$AZ$1001,ROW(),설정!$C$7)&amp;"",""))</f>
        <v/>
      </c>
      <c r="F54">
        <f>IF(설정!$C$8="","",IFERROR(INDEX('1.산군_붙여넣기'!$A$1:$AZ$1001,ROW(),설정!$C$8)&amp;"",""))</f>
        <v/>
      </c>
      <c r="G54">
        <f>IF(설정!$C$9="","",IFERROR(INDEX('1.산군_붙여넣기'!$A$1:$AZ$1001,ROW(),설정!$C$9)&amp;"",""))</f>
        <v/>
      </c>
      <c r="H54">
        <f>IF(설정!$C$10="","",IFERROR(INDEX('1.산군_붙여넣기'!$A$1:$AZ$1001,ROW(),설정!$C$10)&amp;"",""))</f>
        <v/>
      </c>
      <c r="I54">
        <f>IF(설정!$C$11="","",IFERROR(INDEX('1.산군_붙여넣기'!$A$1:$AZ$1001,ROW(),설정!$C$11)&amp;"",""))</f>
        <v/>
      </c>
      <c r="J54">
        <f>IF(설정!$C$12="","",IFERROR(INDEX('1.산군_붙여넣기'!$A$1:$AZ$1001,ROW(),설정!$C$12)&amp;"",""))</f>
        <v/>
      </c>
      <c r="K54">
        <f>IF(설정!$C$13="","",IFERROR(INDEX('1.산군_붙여넣기'!$A$1:$AZ$1001,ROW(),설정!$C$13)&amp;"",""))</f>
        <v/>
      </c>
      <c r="L54" s="7">
        <f>IF(X54="","",IF(AND(LEN(X54)=8,ISNUMBER(X54*1)),DATE(LEFT(X54,4),MID(X54,5,2),RIGHT(X54,2)),IFERROR(DATEVALUE(SUBSTITUTE(SUBSTITUTE(X54,".","-"),"/","-")),IFERROR(X54*1,""))))</f>
        <v/>
      </c>
      <c r="M54" s="7">
        <f>IF(Y54="","",IF(AND(LEN(Y54)=8,ISNUMBER(Y54*1)),DATE(LEFT(Y54,4),MID(Y54,5,2),RIGHT(Y54,2)),IFERROR(DATEVALUE(SUBSTITUTE(SUBSTITUTE(Y54,".","-"),"/","-")),IFERROR(Y54*1,""))))</f>
        <v/>
      </c>
      <c r="N54">
        <f>IFERROR(LEFT(B54,FIND(" ",B54)-1),B54)</f>
        <v/>
      </c>
      <c r="O54">
        <f>AND(B54&lt;&gt;"",B54&lt;&gt;설정!$B$4,C54&lt;&gt;설정!$B$5)</f>
        <v/>
      </c>
      <c r="P54">
        <f>IF(O54,B54&amp;"|"&amp;C54,"")</f>
        <v/>
      </c>
      <c r="Q54">
        <f>AND(O54,COUNTIF(P55:P$1002,P54)=0)</f>
        <v/>
      </c>
      <c r="R54">
        <f>OR(AND(설정!$A$42&lt;&gt;"",ISNUMBER(SEARCH(설정!$A$42,E54&amp;" "&amp;C54))),AND(설정!$A$43&lt;&gt;"",ISNUMBER(SEARCH(설정!$A$43,E54&amp;" "&amp;C54))),AND(설정!$A$44&lt;&gt;"",ISNUMBER(SEARCH(설정!$A$44,E54&amp;" "&amp;C54))),AND(설정!$A$45&lt;&gt;"",ISNUMBER(SEARCH(설정!$A$45,E54&amp;" "&amp;C54))),AND(설정!$A$46&lt;&gt;"",ISNUMBER(SEARCH(설정!$A$46,E54&amp;" "&amp;C54))),AND(설정!$A$47&lt;&gt;"",ISNUMBER(SEARCH(설정!$A$47,E54&amp;" "&amp;C54))),AND(설정!$A$48&lt;&gt;"",ISNUMBER(SEARCH(설정!$A$48,E54&amp;" "&amp;C54))),AND(설정!$A$49&lt;&gt;"",ISNUMBER(SEARCH(설정!$A$49,E54&amp;" "&amp;C54))),AND(설정!$A$50&lt;&gt;"",ISNUMBER(SEARCH(설정!$A$50,E54&amp;" "&amp;C54))),AND(설정!$A$51&lt;&gt;"",ISNUMBER(SEARCH(설정!$A$51,E54&amp;" "&amp;C54))))</f>
        <v/>
      </c>
      <c r="S54">
        <f>OR(D54="",D54&gt;=설정!$B$19)</f>
        <v/>
      </c>
      <c r="T54">
        <f>AND(Q54,R54,S54)</f>
        <v/>
      </c>
      <c r="U54">
        <f>IF(T54,IF(AND(설정!$A$54&lt;&gt;"",ISNUMBER(SEARCH(설정!$A$54,K54))),설정!$B$54,IF(AND(설정!$A$55&lt;&gt;"",ISNUMBER(SEARCH(설정!$A$55,K54))),설정!$B$55,IF(AND(설정!$A$56&lt;&gt;"",ISNUMBER(SEARCH(설정!$A$56,K54))),설정!$B$56,IF(AND(설정!$A$57&lt;&gt;"",ISNUMBER(SEARCH(설정!$A$57,K54))),설정!$B$57,IF(AND(설정!$A$58&lt;&gt;"",ISNUMBER(SEARCH(설정!$A$58,K54))),설정!$B$58,IF(AND(설정!$A$59&lt;&gt;"",ISNUMBER(SEARCH(설정!$A$59,K54))),설정!$B$59,IF(AND(설정!$A$60&lt;&gt;"",ISNUMBER(SEARCH(설정!$A$60,K54))),설정!$B$60,IF(AND(설정!$A$61&lt;&gt;"",ISNUMBER(SEARCH(설정!$A$61,K54))),설정!$B$61,IF(M54="","설계사","시공사"))))))))),"")</f>
        <v/>
      </c>
      <c r="V54">
        <f>SUBSTITUTE(SUBSTITUTE(SUBSTITUTE(SUBSTITUTE(G54,"(주)",""),"㈜",""),"주식회사","")," ","")</f>
        <v/>
      </c>
      <c r="W54">
        <f>IF(AND(T54,V54&lt;&gt;""),IF(COUNTIFS(V$2:V54,V54,T$2:T54,TRUE)=1,MAX(W$1:W53)+1,""),"")</f>
        <v/>
      </c>
      <c r="X54">
        <f>IF(설정!$C$14="","",IFERROR(INDEX('1.산군_붙여넣기'!$A$1:$AZ$1001,ROW(),설정!$C$14)&amp;"",""))</f>
        <v/>
      </c>
      <c r="Y54">
        <f>IF(설정!$C$15="","",IFERROR(INDEX('1.산군_붙여넣기'!$A$1:$AZ$1001,ROW(),설정!$C$15)&amp;"",""))</f>
        <v/>
      </c>
      <c r="Z54">
        <f>IF(T54,V54&amp;"|"&amp;U54,"")</f>
        <v/>
      </c>
      <c r="AA54">
        <f>IF(NOT(Q54),"",IF(NOT(AND(R54,S54)),"✕",IF(OR(OR(AND(L54&lt;&gt;"",M54&lt;&gt;"",N(M54)-N(L54)&gt;설정!$B$27),AND(L54&lt;&gt;"",M54="",설정!$B$24-N(L54)&gt;설정!$B$27)),AND(D54&lt;&gt;"",D54&lt;설정!$B$26)),"△","★")))</f>
        <v/>
      </c>
      <c r="AB54">
        <f>IF(NOT(T54),"",IF(U54="설계사",설정!$B$31,IF(U54="시공사",IF(OR(M54="",설정!$B$24-N(M54)&lt;=설정!$B$28*30.4),설정!$B$32,설정!$B$33),설정!$B$34))+IF(AA54="★",설정!$B$35,0))</f>
        <v/>
      </c>
      <c r="AC54">
        <f>SUBSTITUTE(SUBSTITUTE(SUBSTITUTE(SUBSTITUTE(H54,"(주)",""),"㈜",""),"주식회사","")," ","")</f>
        <v/>
      </c>
      <c r="AD54">
        <f>IF(AND(T54,AC54&lt;&gt;""),IF(COUNTIFS(AC$2:AC54,AC54,T$2:T54,TRUE)=1,MAX(AD$1:AD53)+1,""),"")</f>
        <v/>
      </c>
    </row>
    <row r="55">
      <c r="A55">
        <f>ROW()</f>
        <v/>
      </c>
      <c r="B55">
        <f>IF(설정!$C$4="","",IFERROR(INDEX('1.산군_붙여넣기'!$A$1:$AZ$1001,ROW(),설정!$C$4)&amp;"",""))</f>
        <v/>
      </c>
      <c r="C55">
        <f>IF(설정!$C$5="","",IFERROR(INDEX('1.산군_붙여넣기'!$A$1:$AZ$1001,ROW(),설정!$C$5)&amp;"",""))</f>
        <v/>
      </c>
      <c r="D55" s="5">
        <f>IFERROR(VALUE(SUBSTITUTE(SUBSTITUTE(SUBSTITUTE(IF(설정!$C$6="","",IFERROR(INDEX('1.산군_붙여넣기'!$A$1:$AZ$1001,ROW(),설정!$C$6)&amp;"","")),",",""),"㎡",""),"m2","")),"")</f>
        <v/>
      </c>
      <c r="E55">
        <f>IF(설정!$C$7="","",IFERROR(INDEX('1.산군_붙여넣기'!$A$1:$AZ$1001,ROW(),설정!$C$7)&amp;"",""))</f>
        <v/>
      </c>
      <c r="F55">
        <f>IF(설정!$C$8="","",IFERROR(INDEX('1.산군_붙여넣기'!$A$1:$AZ$1001,ROW(),설정!$C$8)&amp;"",""))</f>
        <v/>
      </c>
      <c r="G55">
        <f>IF(설정!$C$9="","",IFERROR(INDEX('1.산군_붙여넣기'!$A$1:$AZ$1001,ROW(),설정!$C$9)&amp;"",""))</f>
        <v/>
      </c>
      <c r="H55">
        <f>IF(설정!$C$10="","",IFERROR(INDEX('1.산군_붙여넣기'!$A$1:$AZ$1001,ROW(),설정!$C$10)&amp;"",""))</f>
        <v/>
      </c>
      <c r="I55">
        <f>IF(설정!$C$11="","",IFERROR(INDEX('1.산군_붙여넣기'!$A$1:$AZ$1001,ROW(),설정!$C$11)&amp;"",""))</f>
        <v/>
      </c>
      <c r="J55">
        <f>IF(설정!$C$12="","",IFERROR(INDEX('1.산군_붙여넣기'!$A$1:$AZ$1001,ROW(),설정!$C$12)&amp;"",""))</f>
        <v/>
      </c>
      <c r="K55">
        <f>IF(설정!$C$13="","",IFERROR(INDEX('1.산군_붙여넣기'!$A$1:$AZ$1001,ROW(),설정!$C$13)&amp;"",""))</f>
        <v/>
      </c>
      <c r="L55" s="7">
        <f>IF(X55="","",IF(AND(LEN(X55)=8,ISNUMBER(X55*1)),DATE(LEFT(X55,4),MID(X55,5,2),RIGHT(X55,2)),IFERROR(DATEVALUE(SUBSTITUTE(SUBSTITUTE(X55,".","-"),"/","-")),IFERROR(X55*1,""))))</f>
        <v/>
      </c>
      <c r="M55" s="7">
        <f>IF(Y55="","",IF(AND(LEN(Y55)=8,ISNUMBER(Y55*1)),DATE(LEFT(Y55,4),MID(Y55,5,2),RIGHT(Y55,2)),IFERROR(DATEVALUE(SUBSTITUTE(SUBSTITUTE(Y55,".","-"),"/","-")),IFERROR(Y55*1,""))))</f>
        <v/>
      </c>
      <c r="N55">
        <f>IFERROR(LEFT(B55,FIND(" ",B55)-1),B55)</f>
        <v/>
      </c>
      <c r="O55">
        <f>AND(B55&lt;&gt;"",B55&lt;&gt;설정!$B$4,C55&lt;&gt;설정!$B$5)</f>
        <v/>
      </c>
      <c r="P55">
        <f>IF(O55,B55&amp;"|"&amp;C55,"")</f>
        <v/>
      </c>
      <c r="Q55">
        <f>AND(O55,COUNTIF(P56:P$1002,P55)=0)</f>
        <v/>
      </c>
      <c r="R55">
        <f>OR(AND(설정!$A$42&lt;&gt;"",ISNUMBER(SEARCH(설정!$A$42,E55&amp;" "&amp;C55))),AND(설정!$A$43&lt;&gt;"",ISNUMBER(SEARCH(설정!$A$43,E55&amp;" "&amp;C55))),AND(설정!$A$44&lt;&gt;"",ISNUMBER(SEARCH(설정!$A$44,E55&amp;" "&amp;C55))),AND(설정!$A$45&lt;&gt;"",ISNUMBER(SEARCH(설정!$A$45,E55&amp;" "&amp;C55))),AND(설정!$A$46&lt;&gt;"",ISNUMBER(SEARCH(설정!$A$46,E55&amp;" "&amp;C55))),AND(설정!$A$47&lt;&gt;"",ISNUMBER(SEARCH(설정!$A$47,E55&amp;" "&amp;C55))),AND(설정!$A$48&lt;&gt;"",ISNUMBER(SEARCH(설정!$A$48,E55&amp;" "&amp;C55))),AND(설정!$A$49&lt;&gt;"",ISNUMBER(SEARCH(설정!$A$49,E55&amp;" "&amp;C55))),AND(설정!$A$50&lt;&gt;"",ISNUMBER(SEARCH(설정!$A$50,E55&amp;" "&amp;C55))),AND(설정!$A$51&lt;&gt;"",ISNUMBER(SEARCH(설정!$A$51,E55&amp;" "&amp;C55))))</f>
        <v/>
      </c>
      <c r="S55">
        <f>OR(D55="",D55&gt;=설정!$B$19)</f>
        <v/>
      </c>
      <c r="T55">
        <f>AND(Q55,R55,S55)</f>
        <v/>
      </c>
      <c r="U55">
        <f>IF(T55,IF(AND(설정!$A$54&lt;&gt;"",ISNUMBER(SEARCH(설정!$A$54,K55))),설정!$B$54,IF(AND(설정!$A$55&lt;&gt;"",ISNUMBER(SEARCH(설정!$A$55,K55))),설정!$B$55,IF(AND(설정!$A$56&lt;&gt;"",ISNUMBER(SEARCH(설정!$A$56,K55))),설정!$B$56,IF(AND(설정!$A$57&lt;&gt;"",ISNUMBER(SEARCH(설정!$A$57,K55))),설정!$B$57,IF(AND(설정!$A$58&lt;&gt;"",ISNUMBER(SEARCH(설정!$A$58,K55))),설정!$B$58,IF(AND(설정!$A$59&lt;&gt;"",ISNUMBER(SEARCH(설정!$A$59,K55))),설정!$B$59,IF(AND(설정!$A$60&lt;&gt;"",ISNUMBER(SEARCH(설정!$A$60,K55))),설정!$B$60,IF(AND(설정!$A$61&lt;&gt;"",ISNUMBER(SEARCH(설정!$A$61,K55))),설정!$B$61,IF(M55="","설계사","시공사"))))))))),"")</f>
        <v/>
      </c>
      <c r="V55">
        <f>SUBSTITUTE(SUBSTITUTE(SUBSTITUTE(SUBSTITUTE(G55,"(주)",""),"㈜",""),"주식회사","")," ","")</f>
        <v/>
      </c>
      <c r="W55">
        <f>IF(AND(T55,V55&lt;&gt;""),IF(COUNTIFS(V$2:V55,V55,T$2:T55,TRUE)=1,MAX(W$1:W54)+1,""),"")</f>
        <v/>
      </c>
      <c r="X55">
        <f>IF(설정!$C$14="","",IFERROR(INDEX('1.산군_붙여넣기'!$A$1:$AZ$1001,ROW(),설정!$C$14)&amp;"",""))</f>
        <v/>
      </c>
      <c r="Y55">
        <f>IF(설정!$C$15="","",IFERROR(INDEX('1.산군_붙여넣기'!$A$1:$AZ$1001,ROW(),설정!$C$15)&amp;"",""))</f>
        <v/>
      </c>
      <c r="Z55">
        <f>IF(T55,V55&amp;"|"&amp;U55,"")</f>
        <v/>
      </c>
      <c r="AA55">
        <f>IF(NOT(Q55),"",IF(NOT(AND(R55,S55)),"✕",IF(OR(OR(AND(L55&lt;&gt;"",M55&lt;&gt;"",N(M55)-N(L55)&gt;설정!$B$27),AND(L55&lt;&gt;"",M55="",설정!$B$24-N(L55)&gt;설정!$B$27)),AND(D55&lt;&gt;"",D55&lt;설정!$B$26)),"△","★")))</f>
        <v/>
      </c>
      <c r="AB55">
        <f>IF(NOT(T55),"",IF(U55="설계사",설정!$B$31,IF(U55="시공사",IF(OR(M55="",설정!$B$24-N(M55)&lt;=설정!$B$28*30.4),설정!$B$32,설정!$B$33),설정!$B$34))+IF(AA55="★",설정!$B$35,0))</f>
        <v/>
      </c>
      <c r="AC55">
        <f>SUBSTITUTE(SUBSTITUTE(SUBSTITUTE(SUBSTITUTE(H55,"(주)",""),"㈜",""),"주식회사","")," ","")</f>
        <v/>
      </c>
      <c r="AD55">
        <f>IF(AND(T55,AC55&lt;&gt;""),IF(COUNTIFS(AC$2:AC55,AC55,T$2:T55,TRUE)=1,MAX(AD$1:AD54)+1,""),"")</f>
        <v/>
      </c>
    </row>
    <row r="56">
      <c r="A56">
        <f>ROW()</f>
        <v/>
      </c>
      <c r="B56">
        <f>IF(설정!$C$4="","",IFERROR(INDEX('1.산군_붙여넣기'!$A$1:$AZ$1001,ROW(),설정!$C$4)&amp;"",""))</f>
        <v/>
      </c>
      <c r="C56">
        <f>IF(설정!$C$5="","",IFERROR(INDEX('1.산군_붙여넣기'!$A$1:$AZ$1001,ROW(),설정!$C$5)&amp;"",""))</f>
        <v/>
      </c>
      <c r="D56" s="5">
        <f>IFERROR(VALUE(SUBSTITUTE(SUBSTITUTE(SUBSTITUTE(IF(설정!$C$6="","",IFERROR(INDEX('1.산군_붙여넣기'!$A$1:$AZ$1001,ROW(),설정!$C$6)&amp;"","")),",",""),"㎡",""),"m2","")),"")</f>
        <v/>
      </c>
      <c r="E56">
        <f>IF(설정!$C$7="","",IFERROR(INDEX('1.산군_붙여넣기'!$A$1:$AZ$1001,ROW(),설정!$C$7)&amp;"",""))</f>
        <v/>
      </c>
      <c r="F56">
        <f>IF(설정!$C$8="","",IFERROR(INDEX('1.산군_붙여넣기'!$A$1:$AZ$1001,ROW(),설정!$C$8)&amp;"",""))</f>
        <v/>
      </c>
      <c r="G56">
        <f>IF(설정!$C$9="","",IFERROR(INDEX('1.산군_붙여넣기'!$A$1:$AZ$1001,ROW(),설정!$C$9)&amp;"",""))</f>
        <v/>
      </c>
      <c r="H56">
        <f>IF(설정!$C$10="","",IFERROR(INDEX('1.산군_붙여넣기'!$A$1:$AZ$1001,ROW(),설정!$C$10)&amp;"",""))</f>
        <v/>
      </c>
      <c r="I56">
        <f>IF(설정!$C$11="","",IFERROR(INDEX('1.산군_붙여넣기'!$A$1:$AZ$1001,ROW(),설정!$C$11)&amp;"",""))</f>
        <v/>
      </c>
      <c r="J56">
        <f>IF(설정!$C$12="","",IFERROR(INDEX('1.산군_붙여넣기'!$A$1:$AZ$1001,ROW(),설정!$C$12)&amp;"",""))</f>
        <v/>
      </c>
      <c r="K56">
        <f>IF(설정!$C$13="","",IFERROR(INDEX('1.산군_붙여넣기'!$A$1:$AZ$1001,ROW(),설정!$C$13)&amp;"",""))</f>
        <v/>
      </c>
      <c r="L56" s="7">
        <f>IF(X56="","",IF(AND(LEN(X56)=8,ISNUMBER(X56*1)),DATE(LEFT(X56,4),MID(X56,5,2),RIGHT(X56,2)),IFERROR(DATEVALUE(SUBSTITUTE(SUBSTITUTE(X56,".","-"),"/","-")),IFERROR(X56*1,""))))</f>
        <v/>
      </c>
      <c r="M56" s="7">
        <f>IF(Y56="","",IF(AND(LEN(Y56)=8,ISNUMBER(Y56*1)),DATE(LEFT(Y56,4),MID(Y56,5,2),RIGHT(Y56,2)),IFERROR(DATEVALUE(SUBSTITUTE(SUBSTITUTE(Y56,".","-"),"/","-")),IFERROR(Y56*1,""))))</f>
        <v/>
      </c>
      <c r="N56">
        <f>IFERROR(LEFT(B56,FIND(" ",B56)-1),B56)</f>
        <v/>
      </c>
      <c r="O56">
        <f>AND(B56&lt;&gt;"",B56&lt;&gt;설정!$B$4,C56&lt;&gt;설정!$B$5)</f>
        <v/>
      </c>
      <c r="P56">
        <f>IF(O56,B56&amp;"|"&amp;C56,"")</f>
        <v/>
      </c>
      <c r="Q56">
        <f>AND(O56,COUNTIF(P57:P$1002,P56)=0)</f>
        <v/>
      </c>
      <c r="R56">
        <f>OR(AND(설정!$A$42&lt;&gt;"",ISNUMBER(SEARCH(설정!$A$42,E56&amp;" "&amp;C56))),AND(설정!$A$43&lt;&gt;"",ISNUMBER(SEARCH(설정!$A$43,E56&amp;" "&amp;C56))),AND(설정!$A$44&lt;&gt;"",ISNUMBER(SEARCH(설정!$A$44,E56&amp;" "&amp;C56))),AND(설정!$A$45&lt;&gt;"",ISNUMBER(SEARCH(설정!$A$45,E56&amp;" "&amp;C56))),AND(설정!$A$46&lt;&gt;"",ISNUMBER(SEARCH(설정!$A$46,E56&amp;" "&amp;C56))),AND(설정!$A$47&lt;&gt;"",ISNUMBER(SEARCH(설정!$A$47,E56&amp;" "&amp;C56))),AND(설정!$A$48&lt;&gt;"",ISNUMBER(SEARCH(설정!$A$48,E56&amp;" "&amp;C56))),AND(설정!$A$49&lt;&gt;"",ISNUMBER(SEARCH(설정!$A$49,E56&amp;" "&amp;C56))),AND(설정!$A$50&lt;&gt;"",ISNUMBER(SEARCH(설정!$A$50,E56&amp;" "&amp;C56))),AND(설정!$A$51&lt;&gt;"",ISNUMBER(SEARCH(설정!$A$51,E56&amp;" "&amp;C56))))</f>
        <v/>
      </c>
      <c r="S56">
        <f>OR(D56="",D56&gt;=설정!$B$19)</f>
        <v/>
      </c>
      <c r="T56">
        <f>AND(Q56,R56,S56)</f>
        <v/>
      </c>
      <c r="U56">
        <f>IF(T56,IF(AND(설정!$A$54&lt;&gt;"",ISNUMBER(SEARCH(설정!$A$54,K56))),설정!$B$54,IF(AND(설정!$A$55&lt;&gt;"",ISNUMBER(SEARCH(설정!$A$55,K56))),설정!$B$55,IF(AND(설정!$A$56&lt;&gt;"",ISNUMBER(SEARCH(설정!$A$56,K56))),설정!$B$56,IF(AND(설정!$A$57&lt;&gt;"",ISNUMBER(SEARCH(설정!$A$57,K56))),설정!$B$57,IF(AND(설정!$A$58&lt;&gt;"",ISNUMBER(SEARCH(설정!$A$58,K56))),설정!$B$58,IF(AND(설정!$A$59&lt;&gt;"",ISNUMBER(SEARCH(설정!$A$59,K56))),설정!$B$59,IF(AND(설정!$A$60&lt;&gt;"",ISNUMBER(SEARCH(설정!$A$60,K56))),설정!$B$60,IF(AND(설정!$A$61&lt;&gt;"",ISNUMBER(SEARCH(설정!$A$61,K56))),설정!$B$61,IF(M56="","설계사","시공사"))))))))),"")</f>
        <v/>
      </c>
      <c r="V56">
        <f>SUBSTITUTE(SUBSTITUTE(SUBSTITUTE(SUBSTITUTE(G56,"(주)",""),"㈜",""),"주식회사","")," ","")</f>
        <v/>
      </c>
      <c r="W56">
        <f>IF(AND(T56,V56&lt;&gt;""),IF(COUNTIFS(V$2:V56,V56,T$2:T56,TRUE)=1,MAX(W$1:W55)+1,""),"")</f>
        <v/>
      </c>
      <c r="X56">
        <f>IF(설정!$C$14="","",IFERROR(INDEX('1.산군_붙여넣기'!$A$1:$AZ$1001,ROW(),설정!$C$14)&amp;"",""))</f>
        <v/>
      </c>
      <c r="Y56">
        <f>IF(설정!$C$15="","",IFERROR(INDEX('1.산군_붙여넣기'!$A$1:$AZ$1001,ROW(),설정!$C$15)&amp;"",""))</f>
        <v/>
      </c>
      <c r="Z56">
        <f>IF(T56,V56&amp;"|"&amp;U56,"")</f>
        <v/>
      </c>
      <c r="AA56">
        <f>IF(NOT(Q56),"",IF(NOT(AND(R56,S56)),"✕",IF(OR(OR(AND(L56&lt;&gt;"",M56&lt;&gt;"",N(M56)-N(L56)&gt;설정!$B$27),AND(L56&lt;&gt;"",M56="",설정!$B$24-N(L56)&gt;설정!$B$27)),AND(D56&lt;&gt;"",D56&lt;설정!$B$26)),"△","★")))</f>
        <v/>
      </c>
      <c r="AB56">
        <f>IF(NOT(T56),"",IF(U56="설계사",설정!$B$31,IF(U56="시공사",IF(OR(M56="",설정!$B$24-N(M56)&lt;=설정!$B$28*30.4),설정!$B$32,설정!$B$33),설정!$B$34))+IF(AA56="★",설정!$B$35,0))</f>
        <v/>
      </c>
      <c r="AC56">
        <f>SUBSTITUTE(SUBSTITUTE(SUBSTITUTE(SUBSTITUTE(H56,"(주)",""),"㈜",""),"주식회사","")," ","")</f>
        <v/>
      </c>
      <c r="AD56">
        <f>IF(AND(T56,AC56&lt;&gt;""),IF(COUNTIFS(AC$2:AC56,AC56,T$2:T56,TRUE)=1,MAX(AD$1:AD55)+1,""),"")</f>
        <v/>
      </c>
    </row>
    <row r="57">
      <c r="A57">
        <f>ROW()</f>
        <v/>
      </c>
      <c r="B57">
        <f>IF(설정!$C$4="","",IFERROR(INDEX('1.산군_붙여넣기'!$A$1:$AZ$1001,ROW(),설정!$C$4)&amp;"",""))</f>
        <v/>
      </c>
      <c r="C57">
        <f>IF(설정!$C$5="","",IFERROR(INDEX('1.산군_붙여넣기'!$A$1:$AZ$1001,ROW(),설정!$C$5)&amp;"",""))</f>
        <v/>
      </c>
      <c r="D57" s="5">
        <f>IFERROR(VALUE(SUBSTITUTE(SUBSTITUTE(SUBSTITUTE(IF(설정!$C$6="","",IFERROR(INDEX('1.산군_붙여넣기'!$A$1:$AZ$1001,ROW(),설정!$C$6)&amp;"","")),",",""),"㎡",""),"m2","")),"")</f>
        <v/>
      </c>
      <c r="E57">
        <f>IF(설정!$C$7="","",IFERROR(INDEX('1.산군_붙여넣기'!$A$1:$AZ$1001,ROW(),설정!$C$7)&amp;"",""))</f>
        <v/>
      </c>
      <c r="F57">
        <f>IF(설정!$C$8="","",IFERROR(INDEX('1.산군_붙여넣기'!$A$1:$AZ$1001,ROW(),설정!$C$8)&amp;"",""))</f>
        <v/>
      </c>
      <c r="G57">
        <f>IF(설정!$C$9="","",IFERROR(INDEX('1.산군_붙여넣기'!$A$1:$AZ$1001,ROW(),설정!$C$9)&amp;"",""))</f>
        <v/>
      </c>
      <c r="H57">
        <f>IF(설정!$C$10="","",IFERROR(INDEX('1.산군_붙여넣기'!$A$1:$AZ$1001,ROW(),설정!$C$10)&amp;"",""))</f>
        <v/>
      </c>
      <c r="I57">
        <f>IF(설정!$C$11="","",IFERROR(INDEX('1.산군_붙여넣기'!$A$1:$AZ$1001,ROW(),설정!$C$11)&amp;"",""))</f>
        <v/>
      </c>
      <c r="J57">
        <f>IF(설정!$C$12="","",IFERROR(INDEX('1.산군_붙여넣기'!$A$1:$AZ$1001,ROW(),설정!$C$12)&amp;"",""))</f>
        <v/>
      </c>
      <c r="K57">
        <f>IF(설정!$C$13="","",IFERROR(INDEX('1.산군_붙여넣기'!$A$1:$AZ$1001,ROW(),설정!$C$13)&amp;"",""))</f>
        <v/>
      </c>
      <c r="L57" s="7">
        <f>IF(X57="","",IF(AND(LEN(X57)=8,ISNUMBER(X57*1)),DATE(LEFT(X57,4),MID(X57,5,2),RIGHT(X57,2)),IFERROR(DATEVALUE(SUBSTITUTE(SUBSTITUTE(X57,".","-"),"/","-")),IFERROR(X57*1,""))))</f>
        <v/>
      </c>
      <c r="M57" s="7">
        <f>IF(Y57="","",IF(AND(LEN(Y57)=8,ISNUMBER(Y57*1)),DATE(LEFT(Y57,4),MID(Y57,5,2),RIGHT(Y57,2)),IFERROR(DATEVALUE(SUBSTITUTE(SUBSTITUTE(Y57,".","-"),"/","-")),IFERROR(Y57*1,""))))</f>
        <v/>
      </c>
      <c r="N57">
        <f>IFERROR(LEFT(B57,FIND(" ",B57)-1),B57)</f>
        <v/>
      </c>
      <c r="O57">
        <f>AND(B57&lt;&gt;"",B57&lt;&gt;설정!$B$4,C57&lt;&gt;설정!$B$5)</f>
        <v/>
      </c>
      <c r="P57">
        <f>IF(O57,B57&amp;"|"&amp;C57,"")</f>
        <v/>
      </c>
      <c r="Q57">
        <f>AND(O57,COUNTIF(P58:P$1002,P57)=0)</f>
        <v/>
      </c>
      <c r="R57">
        <f>OR(AND(설정!$A$42&lt;&gt;"",ISNUMBER(SEARCH(설정!$A$42,E57&amp;" "&amp;C57))),AND(설정!$A$43&lt;&gt;"",ISNUMBER(SEARCH(설정!$A$43,E57&amp;" "&amp;C57))),AND(설정!$A$44&lt;&gt;"",ISNUMBER(SEARCH(설정!$A$44,E57&amp;" "&amp;C57))),AND(설정!$A$45&lt;&gt;"",ISNUMBER(SEARCH(설정!$A$45,E57&amp;" "&amp;C57))),AND(설정!$A$46&lt;&gt;"",ISNUMBER(SEARCH(설정!$A$46,E57&amp;" "&amp;C57))),AND(설정!$A$47&lt;&gt;"",ISNUMBER(SEARCH(설정!$A$47,E57&amp;" "&amp;C57))),AND(설정!$A$48&lt;&gt;"",ISNUMBER(SEARCH(설정!$A$48,E57&amp;" "&amp;C57))),AND(설정!$A$49&lt;&gt;"",ISNUMBER(SEARCH(설정!$A$49,E57&amp;" "&amp;C57))),AND(설정!$A$50&lt;&gt;"",ISNUMBER(SEARCH(설정!$A$50,E57&amp;" "&amp;C57))),AND(설정!$A$51&lt;&gt;"",ISNUMBER(SEARCH(설정!$A$51,E57&amp;" "&amp;C57))))</f>
        <v/>
      </c>
      <c r="S57">
        <f>OR(D57="",D57&gt;=설정!$B$19)</f>
        <v/>
      </c>
      <c r="T57">
        <f>AND(Q57,R57,S57)</f>
        <v/>
      </c>
      <c r="U57">
        <f>IF(T57,IF(AND(설정!$A$54&lt;&gt;"",ISNUMBER(SEARCH(설정!$A$54,K57))),설정!$B$54,IF(AND(설정!$A$55&lt;&gt;"",ISNUMBER(SEARCH(설정!$A$55,K57))),설정!$B$55,IF(AND(설정!$A$56&lt;&gt;"",ISNUMBER(SEARCH(설정!$A$56,K57))),설정!$B$56,IF(AND(설정!$A$57&lt;&gt;"",ISNUMBER(SEARCH(설정!$A$57,K57))),설정!$B$57,IF(AND(설정!$A$58&lt;&gt;"",ISNUMBER(SEARCH(설정!$A$58,K57))),설정!$B$58,IF(AND(설정!$A$59&lt;&gt;"",ISNUMBER(SEARCH(설정!$A$59,K57))),설정!$B$59,IF(AND(설정!$A$60&lt;&gt;"",ISNUMBER(SEARCH(설정!$A$60,K57))),설정!$B$60,IF(AND(설정!$A$61&lt;&gt;"",ISNUMBER(SEARCH(설정!$A$61,K57))),설정!$B$61,IF(M57="","설계사","시공사"))))))))),"")</f>
        <v/>
      </c>
      <c r="V57">
        <f>SUBSTITUTE(SUBSTITUTE(SUBSTITUTE(SUBSTITUTE(G57,"(주)",""),"㈜",""),"주식회사","")," ","")</f>
        <v/>
      </c>
      <c r="W57">
        <f>IF(AND(T57,V57&lt;&gt;""),IF(COUNTIFS(V$2:V57,V57,T$2:T57,TRUE)=1,MAX(W$1:W56)+1,""),"")</f>
        <v/>
      </c>
      <c r="X57">
        <f>IF(설정!$C$14="","",IFERROR(INDEX('1.산군_붙여넣기'!$A$1:$AZ$1001,ROW(),설정!$C$14)&amp;"",""))</f>
        <v/>
      </c>
      <c r="Y57">
        <f>IF(설정!$C$15="","",IFERROR(INDEX('1.산군_붙여넣기'!$A$1:$AZ$1001,ROW(),설정!$C$15)&amp;"",""))</f>
        <v/>
      </c>
      <c r="Z57">
        <f>IF(T57,V57&amp;"|"&amp;U57,"")</f>
        <v/>
      </c>
      <c r="AA57">
        <f>IF(NOT(Q57),"",IF(NOT(AND(R57,S57)),"✕",IF(OR(OR(AND(L57&lt;&gt;"",M57&lt;&gt;"",N(M57)-N(L57)&gt;설정!$B$27),AND(L57&lt;&gt;"",M57="",설정!$B$24-N(L57)&gt;설정!$B$27)),AND(D57&lt;&gt;"",D57&lt;설정!$B$26)),"△","★")))</f>
        <v/>
      </c>
      <c r="AB57">
        <f>IF(NOT(T57),"",IF(U57="설계사",설정!$B$31,IF(U57="시공사",IF(OR(M57="",설정!$B$24-N(M57)&lt;=설정!$B$28*30.4),설정!$B$32,설정!$B$33),설정!$B$34))+IF(AA57="★",설정!$B$35,0))</f>
        <v/>
      </c>
      <c r="AC57">
        <f>SUBSTITUTE(SUBSTITUTE(SUBSTITUTE(SUBSTITUTE(H57,"(주)",""),"㈜",""),"주식회사","")," ","")</f>
        <v/>
      </c>
      <c r="AD57">
        <f>IF(AND(T57,AC57&lt;&gt;""),IF(COUNTIFS(AC$2:AC57,AC57,T$2:T57,TRUE)=1,MAX(AD$1:AD56)+1,""),"")</f>
        <v/>
      </c>
    </row>
    <row r="58">
      <c r="A58">
        <f>ROW()</f>
        <v/>
      </c>
      <c r="B58">
        <f>IF(설정!$C$4="","",IFERROR(INDEX('1.산군_붙여넣기'!$A$1:$AZ$1001,ROW(),설정!$C$4)&amp;"",""))</f>
        <v/>
      </c>
      <c r="C58">
        <f>IF(설정!$C$5="","",IFERROR(INDEX('1.산군_붙여넣기'!$A$1:$AZ$1001,ROW(),설정!$C$5)&amp;"",""))</f>
        <v/>
      </c>
      <c r="D58" s="5">
        <f>IFERROR(VALUE(SUBSTITUTE(SUBSTITUTE(SUBSTITUTE(IF(설정!$C$6="","",IFERROR(INDEX('1.산군_붙여넣기'!$A$1:$AZ$1001,ROW(),설정!$C$6)&amp;"","")),",",""),"㎡",""),"m2","")),"")</f>
        <v/>
      </c>
      <c r="E58">
        <f>IF(설정!$C$7="","",IFERROR(INDEX('1.산군_붙여넣기'!$A$1:$AZ$1001,ROW(),설정!$C$7)&amp;"",""))</f>
        <v/>
      </c>
      <c r="F58">
        <f>IF(설정!$C$8="","",IFERROR(INDEX('1.산군_붙여넣기'!$A$1:$AZ$1001,ROW(),설정!$C$8)&amp;"",""))</f>
        <v/>
      </c>
      <c r="G58">
        <f>IF(설정!$C$9="","",IFERROR(INDEX('1.산군_붙여넣기'!$A$1:$AZ$1001,ROW(),설정!$C$9)&amp;"",""))</f>
        <v/>
      </c>
      <c r="H58">
        <f>IF(설정!$C$10="","",IFERROR(INDEX('1.산군_붙여넣기'!$A$1:$AZ$1001,ROW(),설정!$C$10)&amp;"",""))</f>
        <v/>
      </c>
      <c r="I58">
        <f>IF(설정!$C$11="","",IFERROR(INDEX('1.산군_붙여넣기'!$A$1:$AZ$1001,ROW(),설정!$C$11)&amp;"",""))</f>
        <v/>
      </c>
      <c r="J58">
        <f>IF(설정!$C$12="","",IFERROR(INDEX('1.산군_붙여넣기'!$A$1:$AZ$1001,ROW(),설정!$C$12)&amp;"",""))</f>
        <v/>
      </c>
      <c r="K58">
        <f>IF(설정!$C$13="","",IFERROR(INDEX('1.산군_붙여넣기'!$A$1:$AZ$1001,ROW(),설정!$C$13)&amp;"",""))</f>
        <v/>
      </c>
      <c r="L58" s="7">
        <f>IF(X58="","",IF(AND(LEN(X58)=8,ISNUMBER(X58*1)),DATE(LEFT(X58,4),MID(X58,5,2),RIGHT(X58,2)),IFERROR(DATEVALUE(SUBSTITUTE(SUBSTITUTE(X58,".","-"),"/","-")),IFERROR(X58*1,""))))</f>
        <v/>
      </c>
      <c r="M58" s="7">
        <f>IF(Y58="","",IF(AND(LEN(Y58)=8,ISNUMBER(Y58*1)),DATE(LEFT(Y58,4),MID(Y58,5,2),RIGHT(Y58,2)),IFERROR(DATEVALUE(SUBSTITUTE(SUBSTITUTE(Y58,".","-"),"/","-")),IFERROR(Y58*1,""))))</f>
        <v/>
      </c>
      <c r="N58">
        <f>IFERROR(LEFT(B58,FIND(" ",B58)-1),B58)</f>
        <v/>
      </c>
      <c r="O58">
        <f>AND(B58&lt;&gt;"",B58&lt;&gt;설정!$B$4,C58&lt;&gt;설정!$B$5)</f>
        <v/>
      </c>
      <c r="P58">
        <f>IF(O58,B58&amp;"|"&amp;C58,"")</f>
        <v/>
      </c>
      <c r="Q58">
        <f>AND(O58,COUNTIF(P59:P$1002,P58)=0)</f>
        <v/>
      </c>
      <c r="R58">
        <f>OR(AND(설정!$A$42&lt;&gt;"",ISNUMBER(SEARCH(설정!$A$42,E58&amp;" "&amp;C58))),AND(설정!$A$43&lt;&gt;"",ISNUMBER(SEARCH(설정!$A$43,E58&amp;" "&amp;C58))),AND(설정!$A$44&lt;&gt;"",ISNUMBER(SEARCH(설정!$A$44,E58&amp;" "&amp;C58))),AND(설정!$A$45&lt;&gt;"",ISNUMBER(SEARCH(설정!$A$45,E58&amp;" "&amp;C58))),AND(설정!$A$46&lt;&gt;"",ISNUMBER(SEARCH(설정!$A$46,E58&amp;" "&amp;C58))),AND(설정!$A$47&lt;&gt;"",ISNUMBER(SEARCH(설정!$A$47,E58&amp;" "&amp;C58))),AND(설정!$A$48&lt;&gt;"",ISNUMBER(SEARCH(설정!$A$48,E58&amp;" "&amp;C58))),AND(설정!$A$49&lt;&gt;"",ISNUMBER(SEARCH(설정!$A$49,E58&amp;" "&amp;C58))),AND(설정!$A$50&lt;&gt;"",ISNUMBER(SEARCH(설정!$A$50,E58&amp;" "&amp;C58))),AND(설정!$A$51&lt;&gt;"",ISNUMBER(SEARCH(설정!$A$51,E58&amp;" "&amp;C58))))</f>
        <v/>
      </c>
      <c r="S58">
        <f>OR(D58="",D58&gt;=설정!$B$19)</f>
        <v/>
      </c>
      <c r="T58">
        <f>AND(Q58,R58,S58)</f>
        <v/>
      </c>
      <c r="U58">
        <f>IF(T58,IF(AND(설정!$A$54&lt;&gt;"",ISNUMBER(SEARCH(설정!$A$54,K58))),설정!$B$54,IF(AND(설정!$A$55&lt;&gt;"",ISNUMBER(SEARCH(설정!$A$55,K58))),설정!$B$55,IF(AND(설정!$A$56&lt;&gt;"",ISNUMBER(SEARCH(설정!$A$56,K58))),설정!$B$56,IF(AND(설정!$A$57&lt;&gt;"",ISNUMBER(SEARCH(설정!$A$57,K58))),설정!$B$57,IF(AND(설정!$A$58&lt;&gt;"",ISNUMBER(SEARCH(설정!$A$58,K58))),설정!$B$58,IF(AND(설정!$A$59&lt;&gt;"",ISNUMBER(SEARCH(설정!$A$59,K58))),설정!$B$59,IF(AND(설정!$A$60&lt;&gt;"",ISNUMBER(SEARCH(설정!$A$60,K58))),설정!$B$60,IF(AND(설정!$A$61&lt;&gt;"",ISNUMBER(SEARCH(설정!$A$61,K58))),설정!$B$61,IF(M58="","설계사","시공사"))))))))),"")</f>
        <v/>
      </c>
      <c r="V58">
        <f>SUBSTITUTE(SUBSTITUTE(SUBSTITUTE(SUBSTITUTE(G58,"(주)",""),"㈜",""),"주식회사","")," ","")</f>
        <v/>
      </c>
      <c r="W58">
        <f>IF(AND(T58,V58&lt;&gt;""),IF(COUNTIFS(V$2:V58,V58,T$2:T58,TRUE)=1,MAX(W$1:W57)+1,""),"")</f>
        <v/>
      </c>
      <c r="X58">
        <f>IF(설정!$C$14="","",IFERROR(INDEX('1.산군_붙여넣기'!$A$1:$AZ$1001,ROW(),설정!$C$14)&amp;"",""))</f>
        <v/>
      </c>
      <c r="Y58">
        <f>IF(설정!$C$15="","",IFERROR(INDEX('1.산군_붙여넣기'!$A$1:$AZ$1001,ROW(),설정!$C$15)&amp;"",""))</f>
        <v/>
      </c>
      <c r="Z58">
        <f>IF(T58,V58&amp;"|"&amp;U58,"")</f>
        <v/>
      </c>
      <c r="AA58">
        <f>IF(NOT(Q58),"",IF(NOT(AND(R58,S58)),"✕",IF(OR(OR(AND(L58&lt;&gt;"",M58&lt;&gt;"",N(M58)-N(L58)&gt;설정!$B$27),AND(L58&lt;&gt;"",M58="",설정!$B$24-N(L58)&gt;설정!$B$27)),AND(D58&lt;&gt;"",D58&lt;설정!$B$26)),"△","★")))</f>
        <v/>
      </c>
      <c r="AB58">
        <f>IF(NOT(T58),"",IF(U58="설계사",설정!$B$31,IF(U58="시공사",IF(OR(M58="",설정!$B$24-N(M58)&lt;=설정!$B$28*30.4),설정!$B$32,설정!$B$33),설정!$B$34))+IF(AA58="★",설정!$B$35,0))</f>
        <v/>
      </c>
      <c r="AC58">
        <f>SUBSTITUTE(SUBSTITUTE(SUBSTITUTE(SUBSTITUTE(H58,"(주)",""),"㈜",""),"주식회사","")," ","")</f>
        <v/>
      </c>
      <c r="AD58">
        <f>IF(AND(T58,AC58&lt;&gt;""),IF(COUNTIFS(AC$2:AC58,AC58,T$2:T58,TRUE)=1,MAX(AD$1:AD57)+1,""),"")</f>
        <v/>
      </c>
    </row>
    <row r="59">
      <c r="A59">
        <f>ROW()</f>
        <v/>
      </c>
      <c r="B59">
        <f>IF(설정!$C$4="","",IFERROR(INDEX('1.산군_붙여넣기'!$A$1:$AZ$1001,ROW(),설정!$C$4)&amp;"",""))</f>
        <v/>
      </c>
      <c r="C59">
        <f>IF(설정!$C$5="","",IFERROR(INDEX('1.산군_붙여넣기'!$A$1:$AZ$1001,ROW(),설정!$C$5)&amp;"",""))</f>
        <v/>
      </c>
      <c r="D59" s="5">
        <f>IFERROR(VALUE(SUBSTITUTE(SUBSTITUTE(SUBSTITUTE(IF(설정!$C$6="","",IFERROR(INDEX('1.산군_붙여넣기'!$A$1:$AZ$1001,ROW(),설정!$C$6)&amp;"","")),",",""),"㎡",""),"m2","")),"")</f>
        <v/>
      </c>
      <c r="E59">
        <f>IF(설정!$C$7="","",IFERROR(INDEX('1.산군_붙여넣기'!$A$1:$AZ$1001,ROW(),설정!$C$7)&amp;"",""))</f>
        <v/>
      </c>
      <c r="F59">
        <f>IF(설정!$C$8="","",IFERROR(INDEX('1.산군_붙여넣기'!$A$1:$AZ$1001,ROW(),설정!$C$8)&amp;"",""))</f>
        <v/>
      </c>
      <c r="G59">
        <f>IF(설정!$C$9="","",IFERROR(INDEX('1.산군_붙여넣기'!$A$1:$AZ$1001,ROW(),설정!$C$9)&amp;"",""))</f>
        <v/>
      </c>
      <c r="H59">
        <f>IF(설정!$C$10="","",IFERROR(INDEX('1.산군_붙여넣기'!$A$1:$AZ$1001,ROW(),설정!$C$10)&amp;"",""))</f>
        <v/>
      </c>
      <c r="I59">
        <f>IF(설정!$C$11="","",IFERROR(INDEX('1.산군_붙여넣기'!$A$1:$AZ$1001,ROW(),설정!$C$11)&amp;"",""))</f>
        <v/>
      </c>
      <c r="J59">
        <f>IF(설정!$C$12="","",IFERROR(INDEX('1.산군_붙여넣기'!$A$1:$AZ$1001,ROW(),설정!$C$12)&amp;"",""))</f>
        <v/>
      </c>
      <c r="K59">
        <f>IF(설정!$C$13="","",IFERROR(INDEX('1.산군_붙여넣기'!$A$1:$AZ$1001,ROW(),설정!$C$13)&amp;"",""))</f>
        <v/>
      </c>
      <c r="L59" s="7">
        <f>IF(X59="","",IF(AND(LEN(X59)=8,ISNUMBER(X59*1)),DATE(LEFT(X59,4),MID(X59,5,2),RIGHT(X59,2)),IFERROR(DATEVALUE(SUBSTITUTE(SUBSTITUTE(X59,".","-"),"/","-")),IFERROR(X59*1,""))))</f>
        <v/>
      </c>
      <c r="M59" s="7">
        <f>IF(Y59="","",IF(AND(LEN(Y59)=8,ISNUMBER(Y59*1)),DATE(LEFT(Y59,4),MID(Y59,5,2),RIGHT(Y59,2)),IFERROR(DATEVALUE(SUBSTITUTE(SUBSTITUTE(Y59,".","-"),"/","-")),IFERROR(Y59*1,""))))</f>
        <v/>
      </c>
      <c r="N59">
        <f>IFERROR(LEFT(B59,FIND(" ",B59)-1),B59)</f>
        <v/>
      </c>
      <c r="O59">
        <f>AND(B59&lt;&gt;"",B59&lt;&gt;설정!$B$4,C59&lt;&gt;설정!$B$5)</f>
        <v/>
      </c>
      <c r="P59">
        <f>IF(O59,B59&amp;"|"&amp;C59,"")</f>
        <v/>
      </c>
      <c r="Q59">
        <f>AND(O59,COUNTIF(P60:P$1002,P59)=0)</f>
        <v/>
      </c>
      <c r="R59">
        <f>OR(AND(설정!$A$42&lt;&gt;"",ISNUMBER(SEARCH(설정!$A$42,E59&amp;" "&amp;C59))),AND(설정!$A$43&lt;&gt;"",ISNUMBER(SEARCH(설정!$A$43,E59&amp;" "&amp;C59))),AND(설정!$A$44&lt;&gt;"",ISNUMBER(SEARCH(설정!$A$44,E59&amp;" "&amp;C59))),AND(설정!$A$45&lt;&gt;"",ISNUMBER(SEARCH(설정!$A$45,E59&amp;" "&amp;C59))),AND(설정!$A$46&lt;&gt;"",ISNUMBER(SEARCH(설정!$A$46,E59&amp;" "&amp;C59))),AND(설정!$A$47&lt;&gt;"",ISNUMBER(SEARCH(설정!$A$47,E59&amp;" "&amp;C59))),AND(설정!$A$48&lt;&gt;"",ISNUMBER(SEARCH(설정!$A$48,E59&amp;" "&amp;C59))),AND(설정!$A$49&lt;&gt;"",ISNUMBER(SEARCH(설정!$A$49,E59&amp;" "&amp;C59))),AND(설정!$A$50&lt;&gt;"",ISNUMBER(SEARCH(설정!$A$50,E59&amp;" "&amp;C59))),AND(설정!$A$51&lt;&gt;"",ISNUMBER(SEARCH(설정!$A$51,E59&amp;" "&amp;C59))))</f>
        <v/>
      </c>
      <c r="S59">
        <f>OR(D59="",D59&gt;=설정!$B$19)</f>
        <v/>
      </c>
      <c r="T59">
        <f>AND(Q59,R59,S59)</f>
        <v/>
      </c>
      <c r="U59">
        <f>IF(T59,IF(AND(설정!$A$54&lt;&gt;"",ISNUMBER(SEARCH(설정!$A$54,K59))),설정!$B$54,IF(AND(설정!$A$55&lt;&gt;"",ISNUMBER(SEARCH(설정!$A$55,K59))),설정!$B$55,IF(AND(설정!$A$56&lt;&gt;"",ISNUMBER(SEARCH(설정!$A$56,K59))),설정!$B$56,IF(AND(설정!$A$57&lt;&gt;"",ISNUMBER(SEARCH(설정!$A$57,K59))),설정!$B$57,IF(AND(설정!$A$58&lt;&gt;"",ISNUMBER(SEARCH(설정!$A$58,K59))),설정!$B$58,IF(AND(설정!$A$59&lt;&gt;"",ISNUMBER(SEARCH(설정!$A$59,K59))),설정!$B$59,IF(AND(설정!$A$60&lt;&gt;"",ISNUMBER(SEARCH(설정!$A$60,K59))),설정!$B$60,IF(AND(설정!$A$61&lt;&gt;"",ISNUMBER(SEARCH(설정!$A$61,K59))),설정!$B$61,IF(M59="","설계사","시공사"))))))))),"")</f>
        <v/>
      </c>
      <c r="V59">
        <f>SUBSTITUTE(SUBSTITUTE(SUBSTITUTE(SUBSTITUTE(G59,"(주)",""),"㈜",""),"주식회사","")," ","")</f>
        <v/>
      </c>
      <c r="W59">
        <f>IF(AND(T59,V59&lt;&gt;""),IF(COUNTIFS(V$2:V59,V59,T$2:T59,TRUE)=1,MAX(W$1:W58)+1,""),"")</f>
        <v/>
      </c>
      <c r="X59">
        <f>IF(설정!$C$14="","",IFERROR(INDEX('1.산군_붙여넣기'!$A$1:$AZ$1001,ROW(),설정!$C$14)&amp;"",""))</f>
        <v/>
      </c>
      <c r="Y59">
        <f>IF(설정!$C$15="","",IFERROR(INDEX('1.산군_붙여넣기'!$A$1:$AZ$1001,ROW(),설정!$C$15)&amp;"",""))</f>
        <v/>
      </c>
      <c r="Z59">
        <f>IF(T59,V59&amp;"|"&amp;U59,"")</f>
        <v/>
      </c>
      <c r="AA59">
        <f>IF(NOT(Q59),"",IF(NOT(AND(R59,S59)),"✕",IF(OR(OR(AND(L59&lt;&gt;"",M59&lt;&gt;"",N(M59)-N(L59)&gt;설정!$B$27),AND(L59&lt;&gt;"",M59="",설정!$B$24-N(L59)&gt;설정!$B$27)),AND(D59&lt;&gt;"",D59&lt;설정!$B$26)),"△","★")))</f>
        <v/>
      </c>
      <c r="AB59">
        <f>IF(NOT(T59),"",IF(U59="설계사",설정!$B$31,IF(U59="시공사",IF(OR(M59="",설정!$B$24-N(M59)&lt;=설정!$B$28*30.4),설정!$B$32,설정!$B$33),설정!$B$34))+IF(AA59="★",설정!$B$35,0))</f>
        <v/>
      </c>
      <c r="AC59">
        <f>SUBSTITUTE(SUBSTITUTE(SUBSTITUTE(SUBSTITUTE(H59,"(주)",""),"㈜",""),"주식회사","")," ","")</f>
        <v/>
      </c>
      <c r="AD59">
        <f>IF(AND(T59,AC59&lt;&gt;""),IF(COUNTIFS(AC$2:AC59,AC59,T$2:T59,TRUE)=1,MAX(AD$1:AD58)+1,""),"")</f>
        <v/>
      </c>
    </row>
    <row r="60">
      <c r="A60">
        <f>ROW()</f>
        <v/>
      </c>
      <c r="B60">
        <f>IF(설정!$C$4="","",IFERROR(INDEX('1.산군_붙여넣기'!$A$1:$AZ$1001,ROW(),설정!$C$4)&amp;"",""))</f>
        <v/>
      </c>
      <c r="C60">
        <f>IF(설정!$C$5="","",IFERROR(INDEX('1.산군_붙여넣기'!$A$1:$AZ$1001,ROW(),설정!$C$5)&amp;"",""))</f>
        <v/>
      </c>
      <c r="D60" s="5">
        <f>IFERROR(VALUE(SUBSTITUTE(SUBSTITUTE(SUBSTITUTE(IF(설정!$C$6="","",IFERROR(INDEX('1.산군_붙여넣기'!$A$1:$AZ$1001,ROW(),설정!$C$6)&amp;"","")),",",""),"㎡",""),"m2","")),"")</f>
        <v/>
      </c>
      <c r="E60">
        <f>IF(설정!$C$7="","",IFERROR(INDEX('1.산군_붙여넣기'!$A$1:$AZ$1001,ROW(),설정!$C$7)&amp;"",""))</f>
        <v/>
      </c>
      <c r="F60">
        <f>IF(설정!$C$8="","",IFERROR(INDEX('1.산군_붙여넣기'!$A$1:$AZ$1001,ROW(),설정!$C$8)&amp;"",""))</f>
        <v/>
      </c>
      <c r="G60">
        <f>IF(설정!$C$9="","",IFERROR(INDEX('1.산군_붙여넣기'!$A$1:$AZ$1001,ROW(),설정!$C$9)&amp;"",""))</f>
        <v/>
      </c>
      <c r="H60">
        <f>IF(설정!$C$10="","",IFERROR(INDEX('1.산군_붙여넣기'!$A$1:$AZ$1001,ROW(),설정!$C$10)&amp;"",""))</f>
        <v/>
      </c>
      <c r="I60">
        <f>IF(설정!$C$11="","",IFERROR(INDEX('1.산군_붙여넣기'!$A$1:$AZ$1001,ROW(),설정!$C$11)&amp;"",""))</f>
        <v/>
      </c>
      <c r="J60">
        <f>IF(설정!$C$12="","",IFERROR(INDEX('1.산군_붙여넣기'!$A$1:$AZ$1001,ROW(),설정!$C$12)&amp;"",""))</f>
        <v/>
      </c>
      <c r="K60">
        <f>IF(설정!$C$13="","",IFERROR(INDEX('1.산군_붙여넣기'!$A$1:$AZ$1001,ROW(),설정!$C$13)&amp;"",""))</f>
        <v/>
      </c>
      <c r="L60" s="7">
        <f>IF(X60="","",IF(AND(LEN(X60)=8,ISNUMBER(X60*1)),DATE(LEFT(X60,4),MID(X60,5,2),RIGHT(X60,2)),IFERROR(DATEVALUE(SUBSTITUTE(SUBSTITUTE(X60,".","-"),"/","-")),IFERROR(X60*1,""))))</f>
        <v/>
      </c>
      <c r="M60" s="7">
        <f>IF(Y60="","",IF(AND(LEN(Y60)=8,ISNUMBER(Y60*1)),DATE(LEFT(Y60,4),MID(Y60,5,2),RIGHT(Y60,2)),IFERROR(DATEVALUE(SUBSTITUTE(SUBSTITUTE(Y60,".","-"),"/","-")),IFERROR(Y60*1,""))))</f>
        <v/>
      </c>
      <c r="N60">
        <f>IFERROR(LEFT(B60,FIND(" ",B60)-1),B60)</f>
        <v/>
      </c>
      <c r="O60">
        <f>AND(B60&lt;&gt;"",B60&lt;&gt;설정!$B$4,C60&lt;&gt;설정!$B$5)</f>
        <v/>
      </c>
      <c r="P60">
        <f>IF(O60,B60&amp;"|"&amp;C60,"")</f>
        <v/>
      </c>
      <c r="Q60">
        <f>AND(O60,COUNTIF(P61:P$1002,P60)=0)</f>
        <v/>
      </c>
      <c r="R60">
        <f>OR(AND(설정!$A$42&lt;&gt;"",ISNUMBER(SEARCH(설정!$A$42,E60&amp;" "&amp;C60))),AND(설정!$A$43&lt;&gt;"",ISNUMBER(SEARCH(설정!$A$43,E60&amp;" "&amp;C60))),AND(설정!$A$44&lt;&gt;"",ISNUMBER(SEARCH(설정!$A$44,E60&amp;" "&amp;C60))),AND(설정!$A$45&lt;&gt;"",ISNUMBER(SEARCH(설정!$A$45,E60&amp;" "&amp;C60))),AND(설정!$A$46&lt;&gt;"",ISNUMBER(SEARCH(설정!$A$46,E60&amp;" "&amp;C60))),AND(설정!$A$47&lt;&gt;"",ISNUMBER(SEARCH(설정!$A$47,E60&amp;" "&amp;C60))),AND(설정!$A$48&lt;&gt;"",ISNUMBER(SEARCH(설정!$A$48,E60&amp;" "&amp;C60))),AND(설정!$A$49&lt;&gt;"",ISNUMBER(SEARCH(설정!$A$49,E60&amp;" "&amp;C60))),AND(설정!$A$50&lt;&gt;"",ISNUMBER(SEARCH(설정!$A$50,E60&amp;" "&amp;C60))),AND(설정!$A$51&lt;&gt;"",ISNUMBER(SEARCH(설정!$A$51,E60&amp;" "&amp;C60))))</f>
        <v/>
      </c>
      <c r="S60">
        <f>OR(D60="",D60&gt;=설정!$B$19)</f>
        <v/>
      </c>
      <c r="T60">
        <f>AND(Q60,R60,S60)</f>
        <v/>
      </c>
      <c r="U60">
        <f>IF(T60,IF(AND(설정!$A$54&lt;&gt;"",ISNUMBER(SEARCH(설정!$A$54,K60))),설정!$B$54,IF(AND(설정!$A$55&lt;&gt;"",ISNUMBER(SEARCH(설정!$A$55,K60))),설정!$B$55,IF(AND(설정!$A$56&lt;&gt;"",ISNUMBER(SEARCH(설정!$A$56,K60))),설정!$B$56,IF(AND(설정!$A$57&lt;&gt;"",ISNUMBER(SEARCH(설정!$A$57,K60))),설정!$B$57,IF(AND(설정!$A$58&lt;&gt;"",ISNUMBER(SEARCH(설정!$A$58,K60))),설정!$B$58,IF(AND(설정!$A$59&lt;&gt;"",ISNUMBER(SEARCH(설정!$A$59,K60))),설정!$B$59,IF(AND(설정!$A$60&lt;&gt;"",ISNUMBER(SEARCH(설정!$A$60,K60))),설정!$B$60,IF(AND(설정!$A$61&lt;&gt;"",ISNUMBER(SEARCH(설정!$A$61,K60))),설정!$B$61,IF(M60="","설계사","시공사"))))))))),"")</f>
        <v/>
      </c>
      <c r="V60">
        <f>SUBSTITUTE(SUBSTITUTE(SUBSTITUTE(SUBSTITUTE(G60,"(주)",""),"㈜",""),"주식회사","")," ","")</f>
        <v/>
      </c>
      <c r="W60">
        <f>IF(AND(T60,V60&lt;&gt;""),IF(COUNTIFS(V$2:V60,V60,T$2:T60,TRUE)=1,MAX(W$1:W59)+1,""),"")</f>
        <v/>
      </c>
      <c r="X60">
        <f>IF(설정!$C$14="","",IFERROR(INDEX('1.산군_붙여넣기'!$A$1:$AZ$1001,ROW(),설정!$C$14)&amp;"",""))</f>
        <v/>
      </c>
      <c r="Y60">
        <f>IF(설정!$C$15="","",IFERROR(INDEX('1.산군_붙여넣기'!$A$1:$AZ$1001,ROW(),설정!$C$15)&amp;"",""))</f>
        <v/>
      </c>
      <c r="Z60">
        <f>IF(T60,V60&amp;"|"&amp;U60,"")</f>
        <v/>
      </c>
      <c r="AA60">
        <f>IF(NOT(Q60),"",IF(NOT(AND(R60,S60)),"✕",IF(OR(OR(AND(L60&lt;&gt;"",M60&lt;&gt;"",N(M60)-N(L60)&gt;설정!$B$27),AND(L60&lt;&gt;"",M60="",설정!$B$24-N(L60)&gt;설정!$B$27)),AND(D60&lt;&gt;"",D60&lt;설정!$B$26)),"△","★")))</f>
        <v/>
      </c>
      <c r="AB60">
        <f>IF(NOT(T60),"",IF(U60="설계사",설정!$B$31,IF(U60="시공사",IF(OR(M60="",설정!$B$24-N(M60)&lt;=설정!$B$28*30.4),설정!$B$32,설정!$B$33),설정!$B$34))+IF(AA60="★",설정!$B$35,0))</f>
        <v/>
      </c>
      <c r="AC60">
        <f>SUBSTITUTE(SUBSTITUTE(SUBSTITUTE(SUBSTITUTE(H60,"(주)",""),"㈜",""),"주식회사","")," ","")</f>
        <v/>
      </c>
      <c r="AD60">
        <f>IF(AND(T60,AC60&lt;&gt;""),IF(COUNTIFS(AC$2:AC60,AC60,T$2:T60,TRUE)=1,MAX(AD$1:AD59)+1,""),"")</f>
        <v/>
      </c>
    </row>
    <row r="61">
      <c r="A61">
        <f>ROW()</f>
        <v/>
      </c>
      <c r="B61">
        <f>IF(설정!$C$4="","",IFERROR(INDEX('1.산군_붙여넣기'!$A$1:$AZ$1001,ROW(),설정!$C$4)&amp;"",""))</f>
        <v/>
      </c>
      <c r="C61">
        <f>IF(설정!$C$5="","",IFERROR(INDEX('1.산군_붙여넣기'!$A$1:$AZ$1001,ROW(),설정!$C$5)&amp;"",""))</f>
        <v/>
      </c>
      <c r="D61" s="5">
        <f>IFERROR(VALUE(SUBSTITUTE(SUBSTITUTE(SUBSTITUTE(IF(설정!$C$6="","",IFERROR(INDEX('1.산군_붙여넣기'!$A$1:$AZ$1001,ROW(),설정!$C$6)&amp;"","")),",",""),"㎡",""),"m2","")),"")</f>
        <v/>
      </c>
      <c r="E61">
        <f>IF(설정!$C$7="","",IFERROR(INDEX('1.산군_붙여넣기'!$A$1:$AZ$1001,ROW(),설정!$C$7)&amp;"",""))</f>
        <v/>
      </c>
      <c r="F61">
        <f>IF(설정!$C$8="","",IFERROR(INDEX('1.산군_붙여넣기'!$A$1:$AZ$1001,ROW(),설정!$C$8)&amp;"",""))</f>
        <v/>
      </c>
      <c r="G61">
        <f>IF(설정!$C$9="","",IFERROR(INDEX('1.산군_붙여넣기'!$A$1:$AZ$1001,ROW(),설정!$C$9)&amp;"",""))</f>
        <v/>
      </c>
      <c r="H61">
        <f>IF(설정!$C$10="","",IFERROR(INDEX('1.산군_붙여넣기'!$A$1:$AZ$1001,ROW(),설정!$C$10)&amp;"",""))</f>
        <v/>
      </c>
      <c r="I61">
        <f>IF(설정!$C$11="","",IFERROR(INDEX('1.산군_붙여넣기'!$A$1:$AZ$1001,ROW(),설정!$C$11)&amp;"",""))</f>
        <v/>
      </c>
      <c r="J61">
        <f>IF(설정!$C$12="","",IFERROR(INDEX('1.산군_붙여넣기'!$A$1:$AZ$1001,ROW(),설정!$C$12)&amp;"",""))</f>
        <v/>
      </c>
      <c r="K61">
        <f>IF(설정!$C$13="","",IFERROR(INDEX('1.산군_붙여넣기'!$A$1:$AZ$1001,ROW(),설정!$C$13)&amp;"",""))</f>
        <v/>
      </c>
      <c r="L61" s="7">
        <f>IF(X61="","",IF(AND(LEN(X61)=8,ISNUMBER(X61*1)),DATE(LEFT(X61,4),MID(X61,5,2),RIGHT(X61,2)),IFERROR(DATEVALUE(SUBSTITUTE(SUBSTITUTE(X61,".","-"),"/","-")),IFERROR(X61*1,""))))</f>
        <v/>
      </c>
      <c r="M61" s="7">
        <f>IF(Y61="","",IF(AND(LEN(Y61)=8,ISNUMBER(Y61*1)),DATE(LEFT(Y61,4),MID(Y61,5,2),RIGHT(Y61,2)),IFERROR(DATEVALUE(SUBSTITUTE(SUBSTITUTE(Y61,".","-"),"/","-")),IFERROR(Y61*1,""))))</f>
        <v/>
      </c>
      <c r="N61">
        <f>IFERROR(LEFT(B61,FIND(" ",B61)-1),B61)</f>
        <v/>
      </c>
      <c r="O61">
        <f>AND(B61&lt;&gt;"",B61&lt;&gt;설정!$B$4,C61&lt;&gt;설정!$B$5)</f>
        <v/>
      </c>
      <c r="P61">
        <f>IF(O61,B61&amp;"|"&amp;C61,"")</f>
        <v/>
      </c>
      <c r="Q61">
        <f>AND(O61,COUNTIF(P62:P$1002,P61)=0)</f>
        <v/>
      </c>
      <c r="R61">
        <f>OR(AND(설정!$A$42&lt;&gt;"",ISNUMBER(SEARCH(설정!$A$42,E61&amp;" "&amp;C61))),AND(설정!$A$43&lt;&gt;"",ISNUMBER(SEARCH(설정!$A$43,E61&amp;" "&amp;C61))),AND(설정!$A$44&lt;&gt;"",ISNUMBER(SEARCH(설정!$A$44,E61&amp;" "&amp;C61))),AND(설정!$A$45&lt;&gt;"",ISNUMBER(SEARCH(설정!$A$45,E61&amp;" "&amp;C61))),AND(설정!$A$46&lt;&gt;"",ISNUMBER(SEARCH(설정!$A$46,E61&amp;" "&amp;C61))),AND(설정!$A$47&lt;&gt;"",ISNUMBER(SEARCH(설정!$A$47,E61&amp;" "&amp;C61))),AND(설정!$A$48&lt;&gt;"",ISNUMBER(SEARCH(설정!$A$48,E61&amp;" "&amp;C61))),AND(설정!$A$49&lt;&gt;"",ISNUMBER(SEARCH(설정!$A$49,E61&amp;" "&amp;C61))),AND(설정!$A$50&lt;&gt;"",ISNUMBER(SEARCH(설정!$A$50,E61&amp;" "&amp;C61))),AND(설정!$A$51&lt;&gt;"",ISNUMBER(SEARCH(설정!$A$51,E61&amp;" "&amp;C61))))</f>
        <v/>
      </c>
      <c r="S61">
        <f>OR(D61="",D61&gt;=설정!$B$19)</f>
        <v/>
      </c>
      <c r="T61">
        <f>AND(Q61,R61,S61)</f>
        <v/>
      </c>
      <c r="U61">
        <f>IF(T61,IF(AND(설정!$A$54&lt;&gt;"",ISNUMBER(SEARCH(설정!$A$54,K61))),설정!$B$54,IF(AND(설정!$A$55&lt;&gt;"",ISNUMBER(SEARCH(설정!$A$55,K61))),설정!$B$55,IF(AND(설정!$A$56&lt;&gt;"",ISNUMBER(SEARCH(설정!$A$56,K61))),설정!$B$56,IF(AND(설정!$A$57&lt;&gt;"",ISNUMBER(SEARCH(설정!$A$57,K61))),설정!$B$57,IF(AND(설정!$A$58&lt;&gt;"",ISNUMBER(SEARCH(설정!$A$58,K61))),설정!$B$58,IF(AND(설정!$A$59&lt;&gt;"",ISNUMBER(SEARCH(설정!$A$59,K61))),설정!$B$59,IF(AND(설정!$A$60&lt;&gt;"",ISNUMBER(SEARCH(설정!$A$60,K61))),설정!$B$60,IF(AND(설정!$A$61&lt;&gt;"",ISNUMBER(SEARCH(설정!$A$61,K61))),설정!$B$61,IF(M61="","설계사","시공사"))))))))),"")</f>
        <v/>
      </c>
      <c r="V61">
        <f>SUBSTITUTE(SUBSTITUTE(SUBSTITUTE(SUBSTITUTE(G61,"(주)",""),"㈜",""),"주식회사","")," ","")</f>
        <v/>
      </c>
      <c r="W61">
        <f>IF(AND(T61,V61&lt;&gt;""),IF(COUNTIFS(V$2:V61,V61,T$2:T61,TRUE)=1,MAX(W$1:W60)+1,""),"")</f>
        <v/>
      </c>
      <c r="X61">
        <f>IF(설정!$C$14="","",IFERROR(INDEX('1.산군_붙여넣기'!$A$1:$AZ$1001,ROW(),설정!$C$14)&amp;"",""))</f>
        <v/>
      </c>
      <c r="Y61">
        <f>IF(설정!$C$15="","",IFERROR(INDEX('1.산군_붙여넣기'!$A$1:$AZ$1001,ROW(),설정!$C$15)&amp;"",""))</f>
        <v/>
      </c>
      <c r="Z61">
        <f>IF(T61,V61&amp;"|"&amp;U61,"")</f>
        <v/>
      </c>
      <c r="AA61">
        <f>IF(NOT(Q61),"",IF(NOT(AND(R61,S61)),"✕",IF(OR(OR(AND(L61&lt;&gt;"",M61&lt;&gt;"",N(M61)-N(L61)&gt;설정!$B$27),AND(L61&lt;&gt;"",M61="",설정!$B$24-N(L61)&gt;설정!$B$27)),AND(D61&lt;&gt;"",D61&lt;설정!$B$26)),"△","★")))</f>
        <v/>
      </c>
      <c r="AB61">
        <f>IF(NOT(T61),"",IF(U61="설계사",설정!$B$31,IF(U61="시공사",IF(OR(M61="",설정!$B$24-N(M61)&lt;=설정!$B$28*30.4),설정!$B$32,설정!$B$33),설정!$B$34))+IF(AA61="★",설정!$B$35,0))</f>
        <v/>
      </c>
      <c r="AC61">
        <f>SUBSTITUTE(SUBSTITUTE(SUBSTITUTE(SUBSTITUTE(H61,"(주)",""),"㈜",""),"주식회사","")," ","")</f>
        <v/>
      </c>
      <c r="AD61">
        <f>IF(AND(T61,AC61&lt;&gt;""),IF(COUNTIFS(AC$2:AC61,AC61,T$2:T61,TRUE)=1,MAX(AD$1:AD60)+1,""),"")</f>
        <v/>
      </c>
    </row>
    <row r="62">
      <c r="A62">
        <f>ROW()</f>
        <v/>
      </c>
      <c r="B62">
        <f>IF(설정!$C$4="","",IFERROR(INDEX('1.산군_붙여넣기'!$A$1:$AZ$1001,ROW(),설정!$C$4)&amp;"",""))</f>
        <v/>
      </c>
      <c r="C62">
        <f>IF(설정!$C$5="","",IFERROR(INDEX('1.산군_붙여넣기'!$A$1:$AZ$1001,ROW(),설정!$C$5)&amp;"",""))</f>
        <v/>
      </c>
      <c r="D62" s="5">
        <f>IFERROR(VALUE(SUBSTITUTE(SUBSTITUTE(SUBSTITUTE(IF(설정!$C$6="","",IFERROR(INDEX('1.산군_붙여넣기'!$A$1:$AZ$1001,ROW(),설정!$C$6)&amp;"","")),",",""),"㎡",""),"m2","")),"")</f>
        <v/>
      </c>
      <c r="E62">
        <f>IF(설정!$C$7="","",IFERROR(INDEX('1.산군_붙여넣기'!$A$1:$AZ$1001,ROW(),설정!$C$7)&amp;"",""))</f>
        <v/>
      </c>
      <c r="F62">
        <f>IF(설정!$C$8="","",IFERROR(INDEX('1.산군_붙여넣기'!$A$1:$AZ$1001,ROW(),설정!$C$8)&amp;"",""))</f>
        <v/>
      </c>
      <c r="G62">
        <f>IF(설정!$C$9="","",IFERROR(INDEX('1.산군_붙여넣기'!$A$1:$AZ$1001,ROW(),설정!$C$9)&amp;"",""))</f>
        <v/>
      </c>
      <c r="H62">
        <f>IF(설정!$C$10="","",IFERROR(INDEX('1.산군_붙여넣기'!$A$1:$AZ$1001,ROW(),설정!$C$10)&amp;"",""))</f>
        <v/>
      </c>
      <c r="I62">
        <f>IF(설정!$C$11="","",IFERROR(INDEX('1.산군_붙여넣기'!$A$1:$AZ$1001,ROW(),설정!$C$11)&amp;"",""))</f>
        <v/>
      </c>
      <c r="J62">
        <f>IF(설정!$C$12="","",IFERROR(INDEX('1.산군_붙여넣기'!$A$1:$AZ$1001,ROW(),설정!$C$12)&amp;"",""))</f>
        <v/>
      </c>
      <c r="K62">
        <f>IF(설정!$C$13="","",IFERROR(INDEX('1.산군_붙여넣기'!$A$1:$AZ$1001,ROW(),설정!$C$13)&amp;"",""))</f>
        <v/>
      </c>
      <c r="L62" s="7">
        <f>IF(X62="","",IF(AND(LEN(X62)=8,ISNUMBER(X62*1)),DATE(LEFT(X62,4),MID(X62,5,2),RIGHT(X62,2)),IFERROR(DATEVALUE(SUBSTITUTE(SUBSTITUTE(X62,".","-"),"/","-")),IFERROR(X62*1,""))))</f>
        <v/>
      </c>
      <c r="M62" s="7">
        <f>IF(Y62="","",IF(AND(LEN(Y62)=8,ISNUMBER(Y62*1)),DATE(LEFT(Y62,4),MID(Y62,5,2),RIGHT(Y62,2)),IFERROR(DATEVALUE(SUBSTITUTE(SUBSTITUTE(Y62,".","-"),"/","-")),IFERROR(Y62*1,""))))</f>
        <v/>
      </c>
      <c r="N62">
        <f>IFERROR(LEFT(B62,FIND(" ",B62)-1),B62)</f>
        <v/>
      </c>
      <c r="O62">
        <f>AND(B62&lt;&gt;"",B62&lt;&gt;설정!$B$4,C62&lt;&gt;설정!$B$5)</f>
        <v/>
      </c>
      <c r="P62">
        <f>IF(O62,B62&amp;"|"&amp;C62,"")</f>
        <v/>
      </c>
      <c r="Q62">
        <f>AND(O62,COUNTIF(P63:P$1002,P62)=0)</f>
        <v/>
      </c>
      <c r="R62">
        <f>OR(AND(설정!$A$42&lt;&gt;"",ISNUMBER(SEARCH(설정!$A$42,E62&amp;" "&amp;C62))),AND(설정!$A$43&lt;&gt;"",ISNUMBER(SEARCH(설정!$A$43,E62&amp;" "&amp;C62))),AND(설정!$A$44&lt;&gt;"",ISNUMBER(SEARCH(설정!$A$44,E62&amp;" "&amp;C62))),AND(설정!$A$45&lt;&gt;"",ISNUMBER(SEARCH(설정!$A$45,E62&amp;" "&amp;C62))),AND(설정!$A$46&lt;&gt;"",ISNUMBER(SEARCH(설정!$A$46,E62&amp;" "&amp;C62))),AND(설정!$A$47&lt;&gt;"",ISNUMBER(SEARCH(설정!$A$47,E62&amp;" "&amp;C62))),AND(설정!$A$48&lt;&gt;"",ISNUMBER(SEARCH(설정!$A$48,E62&amp;" "&amp;C62))),AND(설정!$A$49&lt;&gt;"",ISNUMBER(SEARCH(설정!$A$49,E62&amp;" "&amp;C62))),AND(설정!$A$50&lt;&gt;"",ISNUMBER(SEARCH(설정!$A$50,E62&amp;" "&amp;C62))),AND(설정!$A$51&lt;&gt;"",ISNUMBER(SEARCH(설정!$A$51,E62&amp;" "&amp;C62))))</f>
        <v/>
      </c>
      <c r="S62">
        <f>OR(D62="",D62&gt;=설정!$B$19)</f>
        <v/>
      </c>
      <c r="T62">
        <f>AND(Q62,R62,S62)</f>
        <v/>
      </c>
      <c r="U62">
        <f>IF(T62,IF(AND(설정!$A$54&lt;&gt;"",ISNUMBER(SEARCH(설정!$A$54,K62))),설정!$B$54,IF(AND(설정!$A$55&lt;&gt;"",ISNUMBER(SEARCH(설정!$A$55,K62))),설정!$B$55,IF(AND(설정!$A$56&lt;&gt;"",ISNUMBER(SEARCH(설정!$A$56,K62))),설정!$B$56,IF(AND(설정!$A$57&lt;&gt;"",ISNUMBER(SEARCH(설정!$A$57,K62))),설정!$B$57,IF(AND(설정!$A$58&lt;&gt;"",ISNUMBER(SEARCH(설정!$A$58,K62))),설정!$B$58,IF(AND(설정!$A$59&lt;&gt;"",ISNUMBER(SEARCH(설정!$A$59,K62))),설정!$B$59,IF(AND(설정!$A$60&lt;&gt;"",ISNUMBER(SEARCH(설정!$A$60,K62))),설정!$B$60,IF(AND(설정!$A$61&lt;&gt;"",ISNUMBER(SEARCH(설정!$A$61,K62))),설정!$B$61,IF(M62="","설계사","시공사"))))))))),"")</f>
        <v/>
      </c>
      <c r="V62">
        <f>SUBSTITUTE(SUBSTITUTE(SUBSTITUTE(SUBSTITUTE(G62,"(주)",""),"㈜",""),"주식회사","")," ","")</f>
        <v/>
      </c>
      <c r="W62">
        <f>IF(AND(T62,V62&lt;&gt;""),IF(COUNTIFS(V$2:V62,V62,T$2:T62,TRUE)=1,MAX(W$1:W61)+1,""),"")</f>
        <v/>
      </c>
      <c r="X62">
        <f>IF(설정!$C$14="","",IFERROR(INDEX('1.산군_붙여넣기'!$A$1:$AZ$1001,ROW(),설정!$C$14)&amp;"",""))</f>
        <v/>
      </c>
      <c r="Y62">
        <f>IF(설정!$C$15="","",IFERROR(INDEX('1.산군_붙여넣기'!$A$1:$AZ$1001,ROW(),설정!$C$15)&amp;"",""))</f>
        <v/>
      </c>
      <c r="Z62">
        <f>IF(T62,V62&amp;"|"&amp;U62,"")</f>
        <v/>
      </c>
      <c r="AA62">
        <f>IF(NOT(Q62),"",IF(NOT(AND(R62,S62)),"✕",IF(OR(OR(AND(L62&lt;&gt;"",M62&lt;&gt;"",N(M62)-N(L62)&gt;설정!$B$27),AND(L62&lt;&gt;"",M62="",설정!$B$24-N(L62)&gt;설정!$B$27)),AND(D62&lt;&gt;"",D62&lt;설정!$B$26)),"△","★")))</f>
        <v/>
      </c>
      <c r="AB62">
        <f>IF(NOT(T62),"",IF(U62="설계사",설정!$B$31,IF(U62="시공사",IF(OR(M62="",설정!$B$24-N(M62)&lt;=설정!$B$28*30.4),설정!$B$32,설정!$B$33),설정!$B$34))+IF(AA62="★",설정!$B$35,0))</f>
        <v/>
      </c>
      <c r="AC62">
        <f>SUBSTITUTE(SUBSTITUTE(SUBSTITUTE(SUBSTITUTE(H62,"(주)",""),"㈜",""),"주식회사","")," ","")</f>
        <v/>
      </c>
      <c r="AD62">
        <f>IF(AND(T62,AC62&lt;&gt;""),IF(COUNTIFS(AC$2:AC62,AC62,T$2:T62,TRUE)=1,MAX(AD$1:AD61)+1,""),"")</f>
        <v/>
      </c>
    </row>
    <row r="63">
      <c r="A63">
        <f>ROW()</f>
        <v/>
      </c>
      <c r="B63">
        <f>IF(설정!$C$4="","",IFERROR(INDEX('1.산군_붙여넣기'!$A$1:$AZ$1001,ROW(),설정!$C$4)&amp;"",""))</f>
        <v/>
      </c>
      <c r="C63">
        <f>IF(설정!$C$5="","",IFERROR(INDEX('1.산군_붙여넣기'!$A$1:$AZ$1001,ROW(),설정!$C$5)&amp;"",""))</f>
        <v/>
      </c>
      <c r="D63" s="5">
        <f>IFERROR(VALUE(SUBSTITUTE(SUBSTITUTE(SUBSTITUTE(IF(설정!$C$6="","",IFERROR(INDEX('1.산군_붙여넣기'!$A$1:$AZ$1001,ROW(),설정!$C$6)&amp;"","")),",",""),"㎡",""),"m2","")),"")</f>
        <v/>
      </c>
      <c r="E63">
        <f>IF(설정!$C$7="","",IFERROR(INDEX('1.산군_붙여넣기'!$A$1:$AZ$1001,ROW(),설정!$C$7)&amp;"",""))</f>
        <v/>
      </c>
      <c r="F63">
        <f>IF(설정!$C$8="","",IFERROR(INDEX('1.산군_붙여넣기'!$A$1:$AZ$1001,ROW(),설정!$C$8)&amp;"",""))</f>
        <v/>
      </c>
      <c r="G63">
        <f>IF(설정!$C$9="","",IFERROR(INDEX('1.산군_붙여넣기'!$A$1:$AZ$1001,ROW(),설정!$C$9)&amp;"",""))</f>
        <v/>
      </c>
      <c r="H63">
        <f>IF(설정!$C$10="","",IFERROR(INDEX('1.산군_붙여넣기'!$A$1:$AZ$1001,ROW(),설정!$C$10)&amp;"",""))</f>
        <v/>
      </c>
      <c r="I63">
        <f>IF(설정!$C$11="","",IFERROR(INDEX('1.산군_붙여넣기'!$A$1:$AZ$1001,ROW(),설정!$C$11)&amp;"",""))</f>
        <v/>
      </c>
      <c r="J63">
        <f>IF(설정!$C$12="","",IFERROR(INDEX('1.산군_붙여넣기'!$A$1:$AZ$1001,ROW(),설정!$C$12)&amp;"",""))</f>
        <v/>
      </c>
      <c r="K63">
        <f>IF(설정!$C$13="","",IFERROR(INDEX('1.산군_붙여넣기'!$A$1:$AZ$1001,ROW(),설정!$C$13)&amp;"",""))</f>
        <v/>
      </c>
      <c r="L63" s="7">
        <f>IF(X63="","",IF(AND(LEN(X63)=8,ISNUMBER(X63*1)),DATE(LEFT(X63,4),MID(X63,5,2),RIGHT(X63,2)),IFERROR(DATEVALUE(SUBSTITUTE(SUBSTITUTE(X63,".","-"),"/","-")),IFERROR(X63*1,""))))</f>
        <v/>
      </c>
      <c r="M63" s="7">
        <f>IF(Y63="","",IF(AND(LEN(Y63)=8,ISNUMBER(Y63*1)),DATE(LEFT(Y63,4),MID(Y63,5,2),RIGHT(Y63,2)),IFERROR(DATEVALUE(SUBSTITUTE(SUBSTITUTE(Y63,".","-"),"/","-")),IFERROR(Y63*1,""))))</f>
        <v/>
      </c>
      <c r="N63">
        <f>IFERROR(LEFT(B63,FIND(" ",B63)-1),B63)</f>
        <v/>
      </c>
      <c r="O63">
        <f>AND(B63&lt;&gt;"",B63&lt;&gt;설정!$B$4,C63&lt;&gt;설정!$B$5)</f>
        <v/>
      </c>
      <c r="P63">
        <f>IF(O63,B63&amp;"|"&amp;C63,"")</f>
        <v/>
      </c>
      <c r="Q63">
        <f>AND(O63,COUNTIF(P64:P$1002,P63)=0)</f>
        <v/>
      </c>
      <c r="R63">
        <f>OR(AND(설정!$A$42&lt;&gt;"",ISNUMBER(SEARCH(설정!$A$42,E63&amp;" "&amp;C63))),AND(설정!$A$43&lt;&gt;"",ISNUMBER(SEARCH(설정!$A$43,E63&amp;" "&amp;C63))),AND(설정!$A$44&lt;&gt;"",ISNUMBER(SEARCH(설정!$A$44,E63&amp;" "&amp;C63))),AND(설정!$A$45&lt;&gt;"",ISNUMBER(SEARCH(설정!$A$45,E63&amp;" "&amp;C63))),AND(설정!$A$46&lt;&gt;"",ISNUMBER(SEARCH(설정!$A$46,E63&amp;" "&amp;C63))),AND(설정!$A$47&lt;&gt;"",ISNUMBER(SEARCH(설정!$A$47,E63&amp;" "&amp;C63))),AND(설정!$A$48&lt;&gt;"",ISNUMBER(SEARCH(설정!$A$48,E63&amp;" "&amp;C63))),AND(설정!$A$49&lt;&gt;"",ISNUMBER(SEARCH(설정!$A$49,E63&amp;" "&amp;C63))),AND(설정!$A$50&lt;&gt;"",ISNUMBER(SEARCH(설정!$A$50,E63&amp;" "&amp;C63))),AND(설정!$A$51&lt;&gt;"",ISNUMBER(SEARCH(설정!$A$51,E63&amp;" "&amp;C63))))</f>
        <v/>
      </c>
      <c r="S63">
        <f>OR(D63="",D63&gt;=설정!$B$19)</f>
        <v/>
      </c>
      <c r="T63">
        <f>AND(Q63,R63,S63)</f>
        <v/>
      </c>
      <c r="U63">
        <f>IF(T63,IF(AND(설정!$A$54&lt;&gt;"",ISNUMBER(SEARCH(설정!$A$54,K63))),설정!$B$54,IF(AND(설정!$A$55&lt;&gt;"",ISNUMBER(SEARCH(설정!$A$55,K63))),설정!$B$55,IF(AND(설정!$A$56&lt;&gt;"",ISNUMBER(SEARCH(설정!$A$56,K63))),설정!$B$56,IF(AND(설정!$A$57&lt;&gt;"",ISNUMBER(SEARCH(설정!$A$57,K63))),설정!$B$57,IF(AND(설정!$A$58&lt;&gt;"",ISNUMBER(SEARCH(설정!$A$58,K63))),설정!$B$58,IF(AND(설정!$A$59&lt;&gt;"",ISNUMBER(SEARCH(설정!$A$59,K63))),설정!$B$59,IF(AND(설정!$A$60&lt;&gt;"",ISNUMBER(SEARCH(설정!$A$60,K63))),설정!$B$60,IF(AND(설정!$A$61&lt;&gt;"",ISNUMBER(SEARCH(설정!$A$61,K63))),설정!$B$61,IF(M63="","설계사","시공사"))))))))),"")</f>
        <v/>
      </c>
      <c r="V63">
        <f>SUBSTITUTE(SUBSTITUTE(SUBSTITUTE(SUBSTITUTE(G63,"(주)",""),"㈜",""),"주식회사","")," ","")</f>
        <v/>
      </c>
      <c r="W63">
        <f>IF(AND(T63,V63&lt;&gt;""),IF(COUNTIFS(V$2:V63,V63,T$2:T63,TRUE)=1,MAX(W$1:W62)+1,""),"")</f>
        <v/>
      </c>
      <c r="X63">
        <f>IF(설정!$C$14="","",IFERROR(INDEX('1.산군_붙여넣기'!$A$1:$AZ$1001,ROW(),설정!$C$14)&amp;"",""))</f>
        <v/>
      </c>
      <c r="Y63">
        <f>IF(설정!$C$15="","",IFERROR(INDEX('1.산군_붙여넣기'!$A$1:$AZ$1001,ROW(),설정!$C$15)&amp;"",""))</f>
        <v/>
      </c>
      <c r="Z63">
        <f>IF(T63,V63&amp;"|"&amp;U63,"")</f>
        <v/>
      </c>
      <c r="AA63">
        <f>IF(NOT(Q63),"",IF(NOT(AND(R63,S63)),"✕",IF(OR(OR(AND(L63&lt;&gt;"",M63&lt;&gt;"",N(M63)-N(L63)&gt;설정!$B$27),AND(L63&lt;&gt;"",M63="",설정!$B$24-N(L63)&gt;설정!$B$27)),AND(D63&lt;&gt;"",D63&lt;설정!$B$26)),"△","★")))</f>
        <v/>
      </c>
      <c r="AB63">
        <f>IF(NOT(T63),"",IF(U63="설계사",설정!$B$31,IF(U63="시공사",IF(OR(M63="",설정!$B$24-N(M63)&lt;=설정!$B$28*30.4),설정!$B$32,설정!$B$33),설정!$B$34))+IF(AA63="★",설정!$B$35,0))</f>
        <v/>
      </c>
      <c r="AC63">
        <f>SUBSTITUTE(SUBSTITUTE(SUBSTITUTE(SUBSTITUTE(H63,"(주)",""),"㈜",""),"주식회사","")," ","")</f>
        <v/>
      </c>
      <c r="AD63">
        <f>IF(AND(T63,AC63&lt;&gt;""),IF(COUNTIFS(AC$2:AC63,AC63,T$2:T63,TRUE)=1,MAX(AD$1:AD62)+1,""),"")</f>
        <v/>
      </c>
    </row>
    <row r="64">
      <c r="A64">
        <f>ROW()</f>
        <v/>
      </c>
      <c r="B64">
        <f>IF(설정!$C$4="","",IFERROR(INDEX('1.산군_붙여넣기'!$A$1:$AZ$1001,ROW(),설정!$C$4)&amp;"",""))</f>
        <v/>
      </c>
      <c r="C64">
        <f>IF(설정!$C$5="","",IFERROR(INDEX('1.산군_붙여넣기'!$A$1:$AZ$1001,ROW(),설정!$C$5)&amp;"",""))</f>
        <v/>
      </c>
      <c r="D64" s="5">
        <f>IFERROR(VALUE(SUBSTITUTE(SUBSTITUTE(SUBSTITUTE(IF(설정!$C$6="","",IFERROR(INDEX('1.산군_붙여넣기'!$A$1:$AZ$1001,ROW(),설정!$C$6)&amp;"","")),",",""),"㎡",""),"m2","")),"")</f>
        <v/>
      </c>
      <c r="E64">
        <f>IF(설정!$C$7="","",IFERROR(INDEX('1.산군_붙여넣기'!$A$1:$AZ$1001,ROW(),설정!$C$7)&amp;"",""))</f>
        <v/>
      </c>
      <c r="F64">
        <f>IF(설정!$C$8="","",IFERROR(INDEX('1.산군_붙여넣기'!$A$1:$AZ$1001,ROW(),설정!$C$8)&amp;"",""))</f>
        <v/>
      </c>
      <c r="G64">
        <f>IF(설정!$C$9="","",IFERROR(INDEX('1.산군_붙여넣기'!$A$1:$AZ$1001,ROW(),설정!$C$9)&amp;"",""))</f>
        <v/>
      </c>
      <c r="H64">
        <f>IF(설정!$C$10="","",IFERROR(INDEX('1.산군_붙여넣기'!$A$1:$AZ$1001,ROW(),설정!$C$10)&amp;"",""))</f>
        <v/>
      </c>
      <c r="I64">
        <f>IF(설정!$C$11="","",IFERROR(INDEX('1.산군_붙여넣기'!$A$1:$AZ$1001,ROW(),설정!$C$11)&amp;"",""))</f>
        <v/>
      </c>
      <c r="J64">
        <f>IF(설정!$C$12="","",IFERROR(INDEX('1.산군_붙여넣기'!$A$1:$AZ$1001,ROW(),설정!$C$12)&amp;"",""))</f>
        <v/>
      </c>
      <c r="K64">
        <f>IF(설정!$C$13="","",IFERROR(INDEX('1.산군_붙여넣기'!$A$1:$AZ$1001,ROW(),설정!$C$13)&amp;"",""))</f>
        <v/>
      </c>
      <c r="L64" s="7">
        <f>IF(X64="","",IF(AND(LEN(X64)=8,ISNUMBER(X64*1)),DATE(LEFT(X64,4),MID(X64,5,2),RIGHT(X64,2)),IFERROR(DATEVALUE(SUBSTITUTE(SUBSTITUTE(X64,".","-"),"/","-")),IFERROR(X64*1,""))))</f>
        <v/>
      </c>
      <c r="M64" s="7">
        <f>IF(Y64="","",IF(AND(LEN(Y64)=8,ISNUMBER(Y64*1)),DATE(LEFT(Y64,4),MID(Y64,5,2),RIGHT(Y64,2)),IFERROR(DATEVALUE(SUBSTITUTE(SUBSTITUTE(Y64,".","-"),"/","-")),IFERROR(Y64*1,""))))</f>
        <v/>
      </c>
      <c r="N64">
        <f>IFERROR(LEFT(B64,FIND(" ",B64)-1),B64)</f>
        <v/>
      </c>
      <c r="O64">
        <f>AND(B64&lt;&gt;"",B64&lt;&gt;설정!$B$4,C64&lt;&gt;설정!$B$5)</f>
        <v/>
      </c>
      <c r="P64">
        <f>IF(O64,B64&amp;"|"&amp;C64,"")</f>
        <v/>
      </c>
      <c r="Q64">
        <f>AND(O64,COUNTIF(P65:P$1002,P64)=0)</f>
        <v/>
      </c>
      <c r="R64">
        <f>OR(AND(설정!$A$42&lt;&gt;"",ISNUMBER(SEARCH(설정!$A$42,E64&amp;" "&amp;C64))),AND(설정!$A$43&lt;&gt;"",ISNUMBER(SEARCH(설정!$A$43,E64&amp;" "&amp;C64))),AND(설정!$A$44&lt;&gt;"",ISNUMBER(SEARCH(설정!$A$44,E64&amp;" "&amp;C64))),AND(설정!$A$45&lt;&gt;"",ISNUMBER(SEARCH(설정!$A$45,E64&amp;" "&amp;C64))),AND(설정!$A$46&lt;&gt;"",ISNUMBER(SEARCH(설정!$A$46,E64&amp;" "&amp;C64))),AND(설정!$A$47&lt;&gt;"",ISNUMBER(SEARCH(설정!$A$47,E64&amp;" "&amp;C64))),AND(설정!$A$48&lt;&gt;"",ISNUMBER(SEARCH(설정!$A$48,E64&amp;" "&amp;C64))),AND(설정!$A$49&lt;&gt;"",ISNUMBER(SEARCH(설정!$A$49,E64&amp;" "&amp;C64))),AND(설정!$A$50&lt;&gt;"",ISNUMBER(SEARCH(설정!$A$50,E64&amp;" "&amp;C64))),AND(설정!$A$51&lt;&gt;"",ISNUMBER(SEARCH(설정!$A$51,E64&amp;" "&amp;C64))))</f>
        <v/>
      </c>
      <c r="S64">
        <f>OR(D64="",D64&gt;=설정!$B$19)</f>
        <v/>
      </c>
      <c r="T64">
        <f>AND(Q64,R64,S64)</f>
        <v/>
      </c>
      <c r="U64">
        <f>IF(T64,IF(AND(설정!$A$54&lt;&gt;"",ISNUMBER(SEARCH(설정!$A$54,K64))),설정!$B$54,IF(AND(설정!$A$55&lt;&gt;"",ISNUMBER(SEARCH(설정!$A$55,K64))),설정!$B$55,IF(AND(설정!$A$56&lt;&gt;"",ISNUMBER(SEARCH(설정!$A$56,K64))),설정!$B$56,IF(AND(설정!$A$57&lt;&gt;"",ISNUMBER(SEARCH(설정!$A$57,K64))),설정!$B$57,IF(AND(설정!$A$58&lt;&gt;"",ISNUMBER(SEARCH(설정!$A$58,K64))),설정!$B$58,IF(AND(설정!$A$59&lt;&gt;"",ISNUMBER(SEARCH(설정!$A$59,K64))),설정!$B$59,IF(AND(설정!$A$60&lt;&gt;"",ISNUMBER(SEARCH(설정!$A$60,K64))),설정!$B$60,IF(AND(설정!$A$61&lt;&gt;"",ISNUMBER(SEARCH(설정!$A$61,K64))),설정!$B$61,IF(M64="","설계사","시공사"))))))))),"")</f>
        <v/>
      </c>
      <c r="V64">
        <f>SUBSTITUTE(SUBSTITUTE(SUBSTITUTE(SUBSTITUTE(G64,"(주)",""),"㈜",""),"주식회사","")," ","")</f>
        <v/>
      </c>
      <c r="W64">
        <f>IF(AND(T64,V64&lt;&gt;""),IF(COUNTIFS(V$2:V64,V64,T$2:T64,TRUE)=1,MAX(W$1:W63)+1,""),"")</f>
        <v/>
      </c>
      <c r="X64">
        <f>IF(설정!$C$14="","",IFERROR(INDEX('1.산군_붙여넣기'!$A$1:$AZ$1001,ROW(),설정!$C$14)&amp;"",""))</f>
        <v/>
      </c>
      <c r="Y64">
        <f>IF(설정!$C$15="","",IFERROR(INDEX('1.산군_붙여넣기'!$A$1:$AZ$1001,ROW(),설정!$C$15)&amp;"",""))</f>
        <v/>
      </c>
      <c r="Z64">
        <f>IF(T64,V64&amp;"|"&amp;U64,"")</f>
        <v/>
      </c>
      <c r="AA64">
        <f>IF(NOT(Q64),"",IF(NOT(AND(R64,S64)),"✕",IF(OR(OR(AND(L64&lt;&gt;"",M64&lt;&gt;"",N(M64)-N(L64)&gt;설정!$B$27),AND(L64&lt;&gt;"",M64="",설정!$B$24-N(L64)&gt;설정!$B$27)),AND(D64&lt;&gt;"",D64&lt;설정!$B$26)),"△","★")))</f>
        <v/>
      </c>
      <c r="AB64">
        <f>IF(NOT(T64),"",IF(U64="설계사",설정!$B$31,IF(U64="시공사",IF(OR(M64="",설정!$B$24-N(M64)&lt;=설정!$B$28*30.4),설정!$B$32,설정!$B$33),설정!$B$34))+IF(AA64="★",설정!$B$35,0))</f>
        <v/>
      </c>
      <c r="AC64">
        <f>SUBSTITUTE(SUBSTITUTE(SUBSTITUTE(SUBSTITUTE(H64,"(주)",""),"㈜",""),"주식회사","")," ","")</f>
        <v/>
      </c>
      <c r="AD64">
        <f>IF(AND(T64,AC64&lt;&gt;""),IF(COUNTIFS(AC$2:AC64,AC64,T$2:T64,TRUE)=1,MAX(AD$1:AD63)+1,""),"")</f>
        <v/>
      </c>
    </row>
    <row r="65">
      <c r="A65">
        <f>ROW()</f>
        <v/>
      </c>
      <c r="B65">
        <f>IF(설정!$C$4="","",IFERROR(INDEX('1.산군_붙여넣기'!$A$1:$AZ$1001,ROW(),설정!$C$4)&amp;"",""))</f>
        <v/>
      </c>
      <c r="C65">
        <f>IF(설정!$C$5="","",IFERROR(INDEX('1.산군_붙여넣기'!$A$1:$AZ$1001,ROW(),설정!$C$5)&amp;"",""))</f>
        <v/>
      </c>
      <c r="D65" s="5">
        <f>IFERROR(VALUE(SUBSTITUTE(SUBSTITUTE(SUBSTITUTE(IF(설정!$C$6="","",IFERROR(INDEX('1.산군_붙여넣기'!$A$1:$AZ$1001,ROW(),설정!$C$6)&amp;"","")),",",""),"㎡",""),"m2","")),"")</f>
        <v/>
      </c>
      <c r="E65">
        <f>IF(설정!$C$7="","",IFERROR(INDEX('1.산군_붙여넣기'!$A$1:$AZ$1001,ROW(),설정!$C$7)&amp;"",""))</f>
        <v/>
      </c>
      <c r="F65">
        <f>IF(설정!$C$8="","",IFERROR(INDEX('1.산군_붙여넣기'!$A$1:$AZ$1001,ROW(),설정!$C$8)&amp;"",""))</f>
        <v/>
      </c>
      <c r="G65">
        <f>IF(설정!$C$9="","",IFERROR(INDEX('1.산군_붙여넣기'!$A$1:$AZ$1001,ROW(),설정!$C$9)&amp;"",""))</f>
        <v/>
      </c>
      <c r="H65">
        <f>IF(설정!$C$10="","",IFERROR(INDEX('1.산군_붙여넣기'!$A$1:$AZ$1001,ROW(),설정!$C$10)&amp;"",""))</f>
        <v/>
      </c>
      <c r="I65">
        <f>IF(설정!$C$11="","",IFERROR(INDEX('1.산군_붙여넣기'!$A$1:$AZ$1001,ROW(),설정!$C$11)&amp;"",""))</f>
        <v/>
      </c>
      <c r="J65">
        <f>IF(설정!$C$12="","",IFERROR(INDEX('1.산군_붙여넣기'!$A$1:$AZ$1001,ROW(),설정!$C$12)&amp;"",""))</f>
        <v/>
      </c>
      <c r="K65">
        <f>IF(설정!$C$13="","",IFERROR(INDEX('1.산군_붙여넣기'!$A$1:$AZ$1001,ROW(),설정!$C$13)&amp;"",""))</f>
        <v/>
      </c>
      <c r="L65" s="7">
        <f>IF(X65="","",IF(AND(LEN(X65)=8,ISNUMBER(X65*1)),DATE(LEFT(X65,4),MID(X65,5,2),RIGHT(X65,2)),IFERROR(DATEVALUE(SUBSTITUTE(SUBSTITUTE(X65,".","-"),"/","-")),IFERROR(X65*1,""))))</f>
        <v/>
      </c>
      <c r="M65" s="7">
        <f>IF(Y65="","",IF(AND(LEN(Y65)=8,ISNUMBER(Y65*1)),DATE(LEFT(Y65,4),MID(Y65,5,2),RIGHT(Y65,2)),IFERROR(DATEVALUE(SUBSTITUTE(SUBSTITUTE(Y65,".","-"),"/","-")),IFERROR(Y65*1,""))))</f>
        <v/>
      </c>
      <c r="N65">
        <f>IFERROR(LEFT(B65,FIND(" ",B65)-1),B65)</f>
        <v/>
      </c>
      <c r="O65">
        <f>AND(B65&lt;&gt;"",B65&lt;&gt;설정!$B$4,C65&lt;&gt;설정!$B$5)</f>
        <v/>
      </c>
      <c r="P65">
        <f>IF(O65,B65&amp;"|"&amp;C65,"")</f>
        <v/>
      </c>
      <c r="Q65">
        <f>AND(O65,COUNTIF(P66:P$1002,P65)=0)</f>
        <v/>
      </c>
      <c r="R65">
        <f>OR(AND(설정!$A$42&lt;&gt;"",ISNUMBER(SEARCH(설정!$A$42,E65&amp;" "&amp;C65))),AND(설정!$A$43&lt;&gt;"",ISNUMBER(SEARCH(설정!$A$43,E65&amp;" "&amp;C65))),AND(설정!$A$44&lt;&gt;"",ISNUMBER(SEARCH(설정!$A$44,E65&amp;" "&amp;C65))),AND(설정!$A$45&lt;&gt;"",ISNUMBER(SEARCH(설정!$A$45,E65&amp;" "&amp;C65))),AND(설정!$A$46&lt;&gt;"",ISNUMBER(SEARCH(설정!$A$46,E65&amp;" "&amp;C65))),AND(설정!$A$47&lt;&gt;"",ISNUMBER(SEARCH(설정!$A$47,E65&amp;" "&amp;C65))),AND(설정!$A$48&lt;&gt;"",ISNUMBER(SEARCH(설정!$A$48,E65&amp;" "&amp;C65))),AND(설정!$A$49&lt;&gt;"",ISNUMBER(SEARCH(설정!$A$49,E65&amp;" "&amp;C65))),AND(설정!$A$50&lt;&gt;"",ISNUMBER(SEARCH(설정!$A$50,E65&amp;" "&amp;C65))),AND(설정!$A$51&lt;&gt;"",ISNUMBER(SEARCH(설정!$A$51,E65&amp;" "&amp;C65))))</f>
        <v/>
      </c>
      <c r="S65">
        <f>OR(D65="",D65&gt;=설정!$B$19)</f>
        <v/>
      </c>
      <c r="T65">
        <f>AND(Q65,R65,S65)</f>
        <v/>
      </c>
      <c r="U65">
        <f>IF(T65,IF(AND(설정!$A$54&lt;&gt;"",ISNUMBER(SEARCH(설정!$A$54,K65))),설정!$B$54,IF(AND(설정!$A$55&lt;&gt;"",ISNUMBER(SEARCH(설정!$A$55,K65))),설정!$B$55,IF(AND(설정!$A$56&lt;&gt;"",ISNUMBER(SEARCH(설정!$A$56,K65))),설정!$B$56,IF(AND(설정!$A$57&lt;&gt;"",ISNUMBER(SEARCH(설정!$A$57,K65))),설정!$B$57,IF(AND(설정!$A$58&lt;&gt;"",ISNUMBER(SEARCH(설정!$A$58,K65))),설정!$B$58,IF(AND(설정!$A$59&lt;&gt;"",ISNUMBER(SEARCH(설정!$A$59,K65))),설정!$B$59,IF(AND(설정!$A$60&lt;&gt;"",ISNUMBER(SEARCH(설정!$A$60,K65))),설정!$B$60,IF(AND(설정!$A$61&lt;&gt;"",ISNUMBER(SEARCH(설정!$A$61,K65))),설정!$B$61,IF(M65="","설계사","시공사"))))))))),"")</f>
        <v/>
      </c>
      <c r="V65">
        <f>SUBSTITUTE(SUBSTITUTE(SUBSTITUTE(SUBSTITUTE(G65,"(주)",""),"㈜",""),"주식회사","")," ","")</f>
        <v/>
      </c>
      <c r="W65">
        <f>IF(AND(T65,V65&lt;&gt;""),IF(COUNTIFS(V$2:V65,V65,T$2:T65,TRUE)=1,MAX(W$1:W64)+1,""),"")</f>
        <v/>
      </c>
      <c r="X65">
        <f>IF(설정!$C$14="","",IFERROR(INDEX('1.산군_붙여넣기'!$A$1:$AZ$1001,ROW(),설정!$C$14)&amp;"",""))</f>
        <v/>
      </c>
      <c r="Y65">
        <f>IF(설정!$C$15="","",IFERROR(INDEX('1.산군_붙여넣기'!$A$1:$AZ$1001,ROW(),설정!$C$15)&amp;"",""))</f>
        <v/>
      </c>
      <c r="Z65">
        <f>IF(T65,V65&amp;"|"&amp;U65,"")</f>
        <v/>
      </c>
      <c r="AA65">
        <f>IF(NOT(Q65),"",IF(NOT(AND(R65,S65)),"✕",IF(OR(OR(AND(L65&lt;&gt;"",M65&lt;&gt;"",N(M65)-N(L65)&gt;설정!$B$27),AND(L65&lt;&gt;"",M65="",설정!$B$24-N(L65)&gt;설정!$B$27)),AND(D65&lt;&gt;"",D65&lt;설정!$B$26)),"△","★")))</f>
        <v/>
      </c>
      <c r="AB65">
        <f>IF(NOT(T65),"",IF(U65="설계사",설정!$B$31,IF(U65="시공사",IF(OR(M65="",설정!$B$24-N(M65)&lt;=설정!$B$28*30.4),설정!$B$32,설정!$B$33),설정!$B$34))+IF(AA65="★",설정!$B$35,0))</f>
        <v/>
      </c>
      <c r="AC65">
        <f>SUBSTITUTE(SUBSTITUTE(SUBSTITUTE(SUBSTITUTE(H65,"(주)",""),"㈜",""),"주식회사","")," ","")</f>
        <v/>
      </c>
      <c r="AD65">
        <f>IF(AND(T65,AC65&lt;&gt;""),IF(COUNTIFS(AC$2:AC65,AC65,T$2:T65,TRUE)=1,MAX(AD$1:AD64)+1,""),"")</f>
        <v/>
      </c>
    </row>
    <row r="66">
      <c r="A66">
        <f>ROW()</f>
        <v/>
      </c>
      <c r="B66">
        <f>IF(설정!$C$4="","",IFERROR(INDEX('1.산군_붙여넣기'!$A$1:$AZ$1001,ROW(),설정!$C$4)&amp;"",""))</f>
        <v/>
      </c>
      <c r="C66">
        <f>IF(설정!$C$5="","",IFERROR(INDEX('1.산군_붙여넣기'!$A$1:$AZ$1001,ROW(),설정!$C$5)&amp;"",""))</f>
        <v/>
      </c>
      <c r="D66" s="5">
        <f>IFERROR(VALUE(SUBSTITUTE(SUBSTITUTE(SUBSTITUTE(IF(설정!$C$6="","",IFERROR(INDEX('1.산군_붙여넣기'!$A$1:$AZ$1001,ROW(),설정!$C$6)&amp;"","")),",",""),"㎡",""),"m2","")),"")</f>
        <v/>
      </c>
      <c r="E66">
        <f>IF(설정!$C$7="","",IFERROR(INDEX('1.산군_붙여넣기'!$A$1:$AZ$1001,ROW(),설정!$C$7)&amp;"",""))</f>
        <v/>
      </c>
      <c r="F66">
        <f>IF(설정!$C$8="","",IFERROR(INDEX('1.산군_붙여넣기'!$A$1:$AZ$1001,ROW(),설정!$C$8)&amp;"",""))</f>
        <v/>
      </c>
      <c r="G66">
        <f>IF(설정!$C$9="","",IFERROR(INDEX('1.산군_붙여넣기'!$A$1:$AZ$1001,ROW(),설정!$C$9)&amp;"",""))</f>
        <v/>
      </c>
      <c r="H66">
        <f>IF(설정!$C$10="","",IFERROR(INDEX('1.산군_붙여넣기'!$A$1:$AZ$1001,ROW(),설정!$C$10)&amp;"",""))</f>
        <v/>
      </c>
      <c r="I66">
        <f>IF(설정!$C$11="","",IFERROR(INDEX('1.산군_붙여넣기'!$A$1:$AZ$1001,ROW(),설정!$C$11)&amp;"",""))</f>
        <v/>
      </c>
      <c r="J66">
        <f>IF(설정!$C$12="","",IFERROR(INDEX('1.산군_붙여넣기'!$A$1:$AZ$1001,ROW(),설정!$C$12)&amp;"",""))</f>
        <v/>
      </c>
      <c r="K66">
        <f>IF(설정!$C$13="","",IFERROR(INDEX('1.산군_붙여넣기'!$A$1:$AZ$1001,ROW(),설정!$C$13)&amp;"",""))</f>
        <v/>
      </c>
      <c r="L66" s="7">
        <f>IF(X66="","",IF(AND(LEN(X66)=8,ISNUMBER(X66*1)),DATE(LEFT(X66,4),MID(X66,5,2),RIGHT(X66,2)),IFERROR(DATEVALUE(SUBSTITUTE(SUBSTITUTE(X66,".","-"),"/","-")),IFERROR(X66*1,""))))</f>
        <v/>
      </c>
      <c r="M66" s="7">
        <f>IF(Y66="","",IF(AND(LEN(Y66)=8,ISNUMBER(Y66*1)),DATE(LEFT(Y66,4),MID(Y66,5,2),RIGHT(Y66,2)),IFERROR(DATEVALUE(SUBSTITUTE(SUBSTITUTE(Y66,".","-"),"/","-")),IFERROR(Y66*1,""))))</f>
        <v/>
      </c>
      <c r="N66">
        <f>IFERROR(LEFT(B66,FIND(" ",B66)-1),B66)</f>
        <v/>
      </c>
      <c r="O66">
        <f>AND(B66&lt;&gt;"",B66&lt;&gt;설정!$B$4,C66&lt;&gt;설정!$B$5)</f>
        <v/>
      </c>
      <c r="P66">
        <f>IF(O66,B66&amp;"|"&amp;C66,"")</f>
        <v/>
      </c>
      <c r="Q66">
        <f>AND(O66,COUNTIF(P67:P$1002,P66)=0)</f>
        <v/>
      </c>
      <c r="R66">
        <f>OR(AND(설정!$A$42&lt;&gt;"",ISNUMBER(SEARCH(설정!$A$42,E66&amp;" "&amp;C66))),AND(설정!$A$43&lt;&gt;"",ISNUMBER(SEARCH(설정!$A$43,E66&amp;" "&amp;C66))),AND(설정!$A$44&lt;&gt;"",ISNUMBER(SEARCH(설정!$A$44,E66&amp;" "&amp;C66))),AND(설정!$A$45&lt;&gt;"",ISNUMBER(SEARCH(설정!$A$45,E66&amp;" "&amp;C66))),AND(설정!$A$46&lt;&gt;"",ISNUMBER(SEARCH(설정!$A$46,E66&amp;" "&amp;C66))),AND(설정!$A$47&lt;&gt;"",ISNUMBER(SEARCH(설정!$A$47,E66&amp;" "&amp;C66))),AND(설정!$A$48&lt;&gt;"",ISNUMBER(SEARCH(설정!$A$48,E66&amp;" "&amp;C66))),AND(설정!$A$49&lt;&gt;"",ISNUMBER(SEARCH(설정!$A$49,E66&amp;" "&amp;C66))),AND(설정!$A$50&lt;&gt;"",ISNUMBER(SEARCH(설정!$A$50,E66&amp;" "&amp;C66))),AND(설정!$A$51&lt;&gt;"",ISNUMBER(SEARCH(설정!$A$51,E66&amp;" "&amp;C66))))</f>
        <v/>
      </c>
      <c r="S66">
        <f>OR(D66="",D66&gt;=설정!$B$19)</f>
        <v/>
      </c>
      <c r="T66">
        <f>AND(Q66,R66,S66)</f>
        <v/>
      </c>
      <c r="U66">
        <f>IF(T66,IF(AND(설정!$A$54&lt;&gt;"",ISNUMBER(SEARCH(설정!$A$54,K66))),설정!$B$54,IF(AND(설정!$A$55&lt;&gt;"",ISNUMBER(SEARCH(설정!$A$55,K66))),설정!$B$55,IF(AND(설정!$A$56&lt;&gt;"",ISNUMBER(SEARCH(설정!$A$56,K66))),설정!$B$56,IF(AND(설정!$A$57&lt;&gt;"",ISNUMBER(SEARCH(설정!$A$57,K66))),설정!$B$57,IF(AND(설정!$A$58&lt;&gt;"",ISNUMBER(SEARCH(설정!$A$58,K66))),설정!$B$58,IF(AND(설정!$A$59&lt;&gt;"",ISNUMBER(SEARCH(설정!$A$59,K66))),설정!$B$59,IF(AND(설정!$A$60&lt;&gt;"",ISNUMBER(SEARCH(설정!$A$60,K66))),설정!$B$60,IF(AND(설정!$A$61&lt;&gt;"",ISNUMBER(SEARCH(설정!$A$61,K66))),설정!$B$61,IF(M66="","설계사","시공사"))))))))),"")</f>
        <v/>
      </c>
      <c r="V66">
        <f>SUBSTITUTE(SUBSTITUTE(SUBSTITUTE(SUBSTITUTE(G66,"(주)",""),"㈜",""),"주식회사","")," ","")</f>
        <v/>
      </c>
      <c r="W66">
        <f>IF(AND(T66,V66&lt;&gt;""),IF(COUNTIFS(V$2:V66,V66,T$2:T66,TRUE)=1,MAX(W$1:W65)+1,""),"")</f>
        <v/>
      </c>
      <c r="X66">
        <f>IF(설정!$C$14="","",IFERROR(INDEX('1.산군_붙여넣기'!$A$1:$AZ$1001,ROW(),설정!$C$14)&amp;"",""))</f>
        <v/>
      </c>
      <c r="Y66">
        <f>IF(설정!$C$15="","",IFERROR(INDEX('1.산군_붙여넣기'!$A$1:$AZ$1001,ROW(),설정!$C$15)&amp;"",""))</f>
        <v/>
      </c>
      <c r="Z66">
        <f>IF(T66,V66&amp;"|"&amp;U66,"")</f>
        <v/>
      </c>
      <c r="AA66">
        <f>IF(NOT(Q66),"",IF(NOT(AND(R66,S66)),"✕",IF(OR(OR(AND(L66&lt;&gt;"",M66&lt;&gt;"",N(M66)-N(L66)&gt;설정!$B$27),AND(L66&lt;&gt;"",M66="",설정!$B$24-N(L66)&gt;설정!$B$27)),AND(D66&lt;&gt;"",D66&lt;설정!$B$26)),"△","★")))</f>
        <v/>
      </c>
      <c r="AB66">
        <f>IF(NOT(T66),"",IF(U66="설계사",설정!$B$31,IF(U66="시공사",IF(OR(M66="",설정!$B$24-N(M66)&lt;=설정!$B$28*30.4),설정!$B$32,설정!$B$33),설정!$B$34))+IF(AA66="★",설정!$B$35,0))</f>
        <v/>
      </c>
      <c r="AC66">
        <f>SUBSTITUTE(SUBSTITUTE(SUBSTITUTE(SUBSTITUTE(H66,"(주)",""),"㈜",""),"주식회사","")," ","")</f>
        <v/>
      </c>
      <c r="AD66">
        <f>IF(AND(T66,AC66&lt;&gt;""),IF(COUNTIFS(AC$2:AC66,AC66,T$2:T66,TRUE)=1,MAX(AD$1:AD65)+1,""),"")</f>
        <v/>
      </c>
    </row>
    <row r="67">
      <c r="A67">
        <f>ROW()</f>
        <v/>
      </c>
      <c r="B67">
        <f>IF(설정!$C$4="","",IFERROR(INDEX('1.산군_붙여넣기'!$A$1:$AZ$1001,ROW(),설정!$C$4)&amp;"",""))</f>
        <v/>
      </c>
      <c r="C67">
        <f>IF(설정!$C$5="","",IFERROR(INDEX('1.산군_붙여넣기'!$A$1:$AZ$1001,ROW(),설정!$C$5)&amp;"",""))</f>
        <v/>
      </c>
      <c r="D67" s="5">
        <f>IFERROR(VALUE(SUBSTITUTE(SUBSTITUTE(SUBSTITUTE(IF(설정!$C$6="","",IFERROR(INDEX('1.산군_붙여넣기'!$A$1:$AZ$1001,ROW(),설정!$C$6)&amp;"","")),",",""),"㎡",""),"m2","")),"")</f>
        <v/>
      </c>
      <c r="E67">
        <f>IF(설정!$C$7="","",IFERROR(INDEX('1.산군_붙여넣기'!$A$1:$AZ$1001,ROW(),설정!$C$7)&amp;"",""))</f>
        <v/>
      </c>
      <c r="F67">
        <f>IF(설정!$C$8="","",IFERROR(INDEX('1.산군_붙여넣기'!$A$1:$AZ$1001,ROW(),설정!$C$8)&amp;"",""))</f>
        <v/>
      </c>
      <c r="G67">
        <f>IF(설정!$C$9="","",IFERROR(INDEX('1.산군_붙여넣기'!$A$1:$AZ$1001,ROW(),설정!$C$9)&amp;"",""))</f>
        <v/>
      </c>
      <c r="H67">
        <f>IF(설정!$C$10="","",IFERROR(INDEX('1.산군_붙여넣기'!$A$1:$AZ$1001,ROW(),설정!$C$10)&amp;"",""))</f>
        <v/>
      </c>
      <c r="I67">
        <f>IF(설정!$C$11="","",IFERROR(INDEX('1.산군_붙여넣기'!$A$1:$AZ$1001,ROW(),설정!$C$11)&amp;"",""))</f>
        <v/>
      </c>
      <c r="J67">
        <f>IF(설정!$C$12="","",IFERROR(INDEX('1.산군_붙여넣기'!$A$1:$AZ$1001,ROW(),설정!$C$12)&amp;"",""))</f>
        <v/>
      </c>
      <c r="K67">
        <f>IF(설정!$C$13="","",IFERROR(INDEX('1.산군_붙여넣기'!$A$1:$AZ$1001,ROW(),설정!$C$13)&amp;"",""))</f>
        <v/>
      </c>
      <c r="L67" s="7">
        <f>IF(X67="","",IF(AND(LEN(X67)=8,ISNUMBER(X67*1)),DATE(LEFT(X67,4),MID(X67,5,2),RIGHT(X67,2)),IFERROR(DATEVALUE(SUBSTITUTE(SUBSTITUTE(X67,".","-"),"/","-")),IFERROR(X67*1,""))))</f>
        <v/>
      </c>
      <c r="M67" s="7">
        <f>IF(Y67="","",IF(AND(LEN(Y67)=8,ISNUMBER(Y67*1)),DATE(LEFT(Y67,4),MID(Y67,5,2),RIGHT(Y67,2)),IFERROR(DATEVALUE(SUBSTITUTE(SUBSTITUTE(Y67,".","-"),"/","-")),IFERROR(Y67*1,""))))</f>
        <v/>
      </c>
      <c r="N67">
        <f>IFERROR(LEFT(B67,FIND(" ",B67)-1),B67)</f>
        <v/>
      </c>
      <c r="O67">
        <f>AND(B67&lt;&gt;"",B67&lt;&gt;설정!$B$4,C67&lt;&gt;설정!$B$5)</f>
        <v/>
      </c>
      <c r="P67">
        <f>IF(O67,B67&amp;"|"&amp;C67,"")</f>
        <v/>
      </c>
      <c r="Q67">
        <f>AND(O67,COUNTIF(P68:P$1002,P67)=0)</f>
        <v/>
      </c>
      <c r="R67">
        <f>OR(AND(설정!$A$42&lt;&gt;"",ISNUMBER(SEARCH(설정!$A$42,E67&amp;" "&amp;C67))),AND(설정!$A$43&lt;&gt;"",ISNUMBER(SEARCH(설정!$A$43,E67&amp;" "&amp;C67))),AND(설정!$A$44&lt;&gt;"",ISNUMBER(SEARCH(설정!$A$44,E67&amp;" "&amp;C67))),AND(설정!$A$45&lt;&gt;"",ISNUMBER(SEARCH(설정!$A$45,E67&amp;" "&amp;C67))),AND(설정!$A$46&lt;&gt;"",ISNUMBER(SEARCH(설정!$A$46,E67&amp;" "&amp;C67))),AND(설정!$A$47&lt;&gt;"",ISNUMBER(SEARCH(설정!$A$47,E67&amp;" "&amp;C67))),AND(설정!$A$48&lt;&gt;"",ISNUMBER(SEARCH(설정!$A$48,E67&amp;" "&amp;C67))),AND(설정!$A$49&lt;&gt;"",ISNUMBER(SEARCH(설정!$A$49,E67&amp;" "&amp;C67))),AND(설정!$A$50&lt;&gt;"",ISNUMBER(SEARCH(설정!$A$50,E67&amp;" "&amp;C67))),AND(설정!$A$51&lt;&gt;"",ISNUMBER(SEARCH(설정!$A$51,E67&amp;" "&amp;C67))))</f>
        <v/>
      </c>
      <c r="S67">
        <f>OR(D67="",D67&gt;=설정!$B$19)</f>
        <v/>
      </c>
      <c r="T67">
        <f>AND(Q67,R67,S67)</f>
        <v/>
      </c>
      <c r="U67">
        <f>IF(T67,IF(AND(설정!$A$54&lt;&gt;"",ISNUMBER(SEARCH(설정!$A$54,K67))),설정!$B$54,IF(AND(설정!$A$55&lt;&gt;"",ISNUMBER(SEARCH(설정!$A$55,K67))),설정!$B$55,IF(AND(설정!$A$56&lt;&gt;"",ISNUMBER(SEARCH(설정!$A$56,K67))),설정!$B$56,IF(AND(설정!$A$57&lt;&gt;"",ISNUMBER(SEARCH(설정!$A$57,K67))),설정!$B$57,IF(AND(설정!$A$58&lt;&gt;"",ISNUMBER(SEARCH(설정!$A$58,K67))),설정!$B$58,IF(AND(설정!$A$59&lt;&gt;"",ISNUMBER(SEARCH(설정!$A$59,K67))),설정!$B$59,IF(AND(설정!$A$60&lt;&gt;"",ISNUMBER(SEARCH(설정!$A$60,K67))),설정!$B$60,IF(AND(설정!$A$61&lt;&gt;"",ISNUMBER(SEARCH(설정!$A$61,K67))),설정!$B$61,IF(M67="","설계사","시공사"))))))))),"")</f>
        <v/>
      </c>
      <c r="V67">
        <f>SUBSTITUTE(SUBSTITUTE(SUBSTITUTE(SUBSTITUTE(G67,"(주)",""),"㈜",""),"주식회사","")," ","")</f>
        <v/>
      </c>
      <c r="W67">
        <f>IF(AND(T67,V67&lt;&gt;""),IF(COUNTIFS(V$2:V67,V67,T$2:T67,TRUE)=1,MAX(W$1:W66)+1,""),"")</f>
        <v/>
      </c>
      <c r="X67">
        <f>IF(설정!$C$14="","",IFERROR(INDEX('1.산군_붙여넣기'!$A$1:$AZ$1001,ROW(),설정!$C$14)&amp;"",""))</f>
        <v/>
      </c>
      <c r="Y67">
        <f>IF(설정!$C$15="","",IFERROR(INDEX('1.산군_붙여넣기'!$A$1:$AZ$1001,ROW(),설정!$C$15)&amp;"",""))</f>
        <v/>
      </c>
      <c r="Z67">
        <f>IF(T67,V67&amp;"|"&amp;U67,"")</f>
        <v/>
      </c>
      <c r="AA67">
        <f>IF(NOT(Q67),"",IF(NOT(AND(R67,S67)),"✕",IF(OR(OR(AND(L67&lt;&gt;"",M67&lt;&gt;"",N(M67)-N(L67)&gt;설정!$B$27),AND(L67&lt;&gt;"",M67="",설정!$B$24-N(L67)&gt;설정!$B$27)),AND(D67&lt;&gt;"",D67&lt;설정!$B$26)),"△","★")))</f>
        <v/>
      </c>
      <c r="AB67">
        <f>IF(NOT(T67),"",IF(U67="설계사",설정!$B$31,IF(U67="시공사",IF(OR(M67="",설정!$B$24-N(M67)&lt;=설정!$B$28*30.4),설정!$B$32,설정!$B$33),설정!$B$34))+IF(AA67="★",설정!$B$35,0))</f>
        <v/>
      </c>
      <c r="AC67">
        <f>SUBSTITUTE(SUBSTITUTE(SUBSTITUTE(SUBSTITUTE(H67,"(주)",""),"㈜",""),"주식회사","")," ","")</f>
        <v/>
      </c>
      <c r="AD67">
        <f>IF(AND(T67,AC67&lt;&gt;""),IF(COUNTIFS(AC$2:AC67,AC67,T$2:T67,TRUE)=1,MAX(AD$1:AD66)+1,""),"")</f>
        <v/>
      </c>
    </row>
    <row r="68">
      <c r="A68">
        <f>ROW()</f>
        <v/>
      </c>
      <c r="B68">
        <f>IF(설정!$C$4="","",IFERROR(INDEX('1.산군_붙여넣기'!$A$1:$AZ$1001,ROW(),설정!$C$4)&amp;"",""))</f>
        <v/>
      </c>
      <c r="C68">
        <f>IF(설정!$C$5="","",IFERROR(INDEX('1.산군_붙여넣기'!$A$1:$AZ$1001,ROW(),설정!$C$5)&amp;"",""))</f>
        <v/>
      </c>
      <c r="D68" s="5">
        <f>IFERROR(VALUE(SUBSTITUTE(SUBSTITUTE(SUBSTITUTE(IF(설정!$C$6="","",IFERROR(INDEX('1.산군_붙여넣기'!$A$1:$AZ$1001,ROW(),설정!$C$6)&amp;"","")),",",""),"㎡",""),"m2","")),"")</f>
        <v/>
      </c>
      <c r="E68">
        <f>IF(설정!$C$7="","",IFERROR(INDEX('1.산군_붙여넣기'!$A$1:$AZ$1001,ROW(),설정!$C$7)&amp;"",""))</f>
        <v/>
      </c>
      <c r="F68">
        <f>IF(설정!$C$8="","",IFERROR(INDEX('1.산군_붙여넣기'!$A$1:$AZ$1001,ROW(),설정!$C$8)&amp;"",""))</f>
        <v/>
      </c>
      <c r="G68">
        <f>IF(설정!$C$9="","",IFERROR(INDEX('1.산군_붙여넣기'!$A$1:$AZ$1001,ROW(),설정!$C$9)&amp;"",""))</f>
        <v/>
      </c>
      <c r="H68">
        <f>IF(설정!$C$10="","",IFERROR(INDEX('1.산군_붙여넣기'!$A$1:$AZ$1001,ROW(),설정!$C$10)&amp;"",""))</f>
        <v/>
      </c>
      <c r="I68">
        <f>IF(설정!$C$11="","",IFERROR(INDEX('1.산군_붙여넣기'!$A$1:$AZ$1001,ROW(),설정!$C$11)&amp;"",""))</f>
        <v/>
      </c>
      <c r="J68">
        <f>IF(설정!$C$12="","",IFERROR(INDEX('1.산군_붙여넣기'!$A$1:$AZ$1001,ROW(),설정!$C$12)&amp;"",""))</f>
        <v/>
      </c>
      <c r="K68">
        <f>IF(설정!$C$13="","",IFERROR(INDEX('1.산군_붙여넣기'!$A$1:$AZ$1001,ROW(),설정!$C$13)&amp;"",""))</f>
        <v/>
      </c>
      <c r="L68" s="7">
        <f>IF(X68="","",IF(AND(LEN(X68)=8,ISNUMBER(X68*1)),DATE(LEFT(X68,4),MID(X68,5,2),RIGHT(X68,2)),IFERROR(DATEVALUE(SUBSTITUTE(SUBSTITUTE(X68,".","-"),"/","-")),IFERROR(X68*1,""))))</f>
        <v/>
      </c>
      <c r="M68" s="7">
        <f>IF(Y68="","",IF(AND(LEN(Y68)=8,ISNUMBER(Y68*1)),DATE(LEFT(Y68,4),MID(Y68,5,2),RIGHT(Y68,2)),IFERROR(DATEVALUE(SUBSTITUTE(SUBSTITUTE(Y68,".","-"),"/","-")),IFERROR(Y68*1,""))))</f>
        <v/>
      </c>
      <c r="N68">
        <f>IFERROR(LEFT(B68,FIND(" ",B68)-1),B68)</f>
        <v/>
      </c>
      <c r="O68">
        <f>AND(B68&lt;&gt;"",B68&lt;&gt;설정!$B$4,C68&lt;&gt;설정!$B$5)</f>
        <v/>
      </c>
      <c r="P68">
        <f>IF(O68,B68&amp;"|"&amp;C68,"")</f>
        <v/>
      </c>
      <c r="Q68">
        <f>AND(O68,COUNTIF(P69:P$1002,P68)=0)</f>
        <v/>
      </c>
      <c r="R68">
        <f>OR(AND(설정!$A$42&lt;&gt;"",ISNUMBER(SEARCH(설정!$A$42,E68&amp;" "&amp;C68))),AND(설정!$A$43&lt;&gt;"",ISNUMBER(SEARCH(설정!$A$43,E68&amp;" "&amp;C68))),AND(설정!$A$44&lt;&gt;"",ISNUMBER(SEARCH(설정!$A$44,E68&amp;" "&amp;C68))),AND(설정!$A$45&lt;&gt;"",ISNUMBER(SEARCH(설정!$A$45,E68&amp;" "&amp;C68))),AND(설정!$A$46&lt;&gt;"",ISNUMBER(SEARCH(설정!$A$46,E68&amp;" "&amp;C68))),AND(설정!$A$47&lt;&gt;"",ISNUMBER(SEARCH(설정!$A$47,E68&amp;" "&amp;C68))),AND(설정!$A$48&lt;&gt;"",ISNUMBER(SEARCH(설정!$A$48,E68&amp;" "&amp;C68))),AND(설정!$A$49&lt;&gt;"",ISNUMBER(SEARCH(설정!$A$49,E68&amp;" "&amp;C68))),AND(설정!$A$50&lt;&gt;"",ISNUMBER(SEARCH(설정!$A$50,E68&amp;" "&amp;C68))),AND(설정!$A$51&lt;&gt;"",ISNUMBER(SEARCH(설정!$A$51,E68&amp;" "&amp;C68))))</f>
        <v/>
      </c>
      <c r="S68">
        <f>OR(D68="",D68&gt;=설정!$B$19)</f>
        <v/>
      </c>
      <c r="T68">
        <f>AND(Q68,R68,S68)</f>
        <v/>
      </c>
      <c r="U68">
        <f>IF(T68,IF(AND(설정!$A$54&lt;&gt;"",ISNUMBER(SEARCH(설정!$A$54,K68))),설정!$B$54,IF(AND(설정!$A$55&lt;&gt;"",ISNUMBER(SEARCH(설정!$A$55,K68))),설정!$B$55,IF(AND(설정!$A$56&lt;&gt;"",ISNUMBER(SEARCH(설정!$A$56,K68))),설정!$B$56,IF(AND(설정!$A$57&lt;&gt;"",ISNUMBER(SEARCH(설정!$A$57,K68))),설정!$B$57,IF(AND(설정!$A$58&lt;&gt;"",ISNUMBER(SEARCH(설정!$A$58,K68))),설정!$B$58,IF(AND(설정!$A$59&lt;&gt;"",ISNUMBER(SEARCH(설정!$A$59,K68))),설정!$B$59,IF(AND(설정!$A$60&lt;&gt;"",ISNUMBER(SEARCH(설정!$A$60,K68))),설정!$B$60,IF(AND(설정!$A$61&lt;&gt;"",ISNUMBER(SEARCH(설정!$A$61,K68))),설정!$B$61,IF(M68="","설계사","시공사"))))))))),"")</f>
        <v/>
      </c>
      <c r="V68">
        <f>SUBSTITUTE(SUBSTITUTE(SUBSTITUTE(SUBSTITUTE(G68,"(주)",""),"㈜",""),"주식회사","")," ","")</f>
        <v/>
      </c>
      <c r="W68">
        <f>IF(AND(T68,V68&lt;&gt;""),IF(COUNTIFS(V$2:V68,V68,T$2:T68,TRUE)=1,MAX(W$1:W67)+1,""),"")</f>
        <v/>
      </c>
      <c r="X68">
        <f>IF(설정!$C$14="","",IFERROR(INDEX('1.산군_붙여넣기'!$A$1:$AZ$1001,ROW(),설정!$C$14)&amp;"",""))</f>
        <v/>
      </c>
      <c r="Y68">
        <f>IF(설정!$C$15="","",IFERROR(INDEX('1.산군_붙여넣기'!$A$1:$AZ$1001,ROW(),설정!$C$15)&amp;"",""))</f>
        <v/>
      </c>
      <c r="Z68">
        <f>IF(T68,V68&amp;"|"&amp;U68,"")</f>
        <v/>
      </c>
      <c r="AA68">
        <f>IF(NOT(Q68),"",IF(NOT(AND(R68,S68)),"✕",IF(OR(OR(AND(L68&lt;&gt;"",M68&lt;&gt;"",N(M68)-N(L68)&gt;설정!$B$27),AND(L68&lt;&gt;"",M68="",설정!$B$24-N(L68)&gt;설정!$B$27)),AND(D68&lt;&gt;"",D68&lt;설정!$B$26)),"△","★")))</f>
        <v/>
      </c>
      <c r="AB68">
        <f>IF(NOT(T68),"",IF(U68="설계사",설정!$B$31,IF(U68="시공사",IF(OR(M68="",설정!$B$24-N(M68)&lt;=설정!$B$28*30.4),설정!$B$32,설정!$B$33),설정!$B$34))+IF(AA68="★",설정!$B$35,0))</f>
        <v/>
      </c>
      <c r="AC68">
        <f>SUBSTITUTE(SUBSTITUTE(SUBSTITUTE(SUBSTITUTE(H68,"(주)",""),"㈜",""),"주식회사","")," ","")</f>
        <v/>
      </c>
      <c r="AD68">
        <f>IF(AND(T68,AC68&lt;&gt;""),IF(COUNTIFS(AC$2:AC68,AC68,T$2:T68,TRUE)=1,MAX(AD$1:AD67)+1,""),"")</f>
        <v/>
      </c>
    </row>
    <row r="69">
      <c r="A69">
        <f>ROW()</f>
        <v/>
      </c>
      <c r="B69">
        <f>IF(설정!$C$4="","",IFERROR(INDEX('1.산군_붙여넣기'!$A$1:$AZ$1001,ROW(),설정!$C$4)&amp;"",""))</f>
        <v/>
      </c>
      <c r="C69">
        <f>IF(설정!$C$5="","",IFERROR(INDEX('1.산군_붙여넣기'!$A$1:$AZ$1001,ROW(),설정!$C$5)&amp;"",""))</f>
        <v/>
      </c>
      <c r="D69" s="5">
        <f>IFERROR(VALUE(SUBSTITUTE(SUBSTITUTE(SUBSTITUTE(IF(설정!$C$6="","",IFERROR(INDEX('1.산군_붙여넣기'!$A$1:$AZ$1001,ROW(),설정!$C$6)&amp;"","")),",",""),"㎡",""),"m2","")),"")</f>
        <v/>
      </c>
      <c r="E69">
        <f>IF(설정!$C$7="","",IFERROR(INDEX('1.산군_붙여넣기'!$A$1:$AZ$1001,ROW(),설정!$C$7)&amp;"",""))</f>
        <v/>
      </c>
      <c r="F69">
        <f>IF(설정!$C$8="","",IFERROR(INDEX('1.산군_붙여넣기'!$A$1:$AZ$1001,ROW(),설정!$C$8)&amp;"",""))</f>
        <v/>
      </c>
      <c r="G69">
        <f>IF(설정!$C$9="","",IFERROR(INDEX('1.산군_붙여넣기'!$A$1:$AZ$1001,ROW(),설정!$C$9)&amp;"",""))</f>
        <v/>
      </c>
      <c r="H69">
        <f>IF(설정!$C$10="","",IFERROR(INDEX('1.산군_붙여넣기'!$A$1:$AZ$1001,ROW(),설정!$C$10)&amp;"",""))</f>
        <v/>
      </c>
      <c r="I69">
        <f>IF(설정!$C$11="","",IFERROR(INDEX('1.산군_붙여넣기'!$A$1:$AZ$1001,ROW(),설정!$C$11)&amp;"",""))</f>
        <v/>
      </c>
      <c r="J69">
        <f>IF(설정!$C$12="","",IFERROR(INDEX('1.산군_붙여넣기'!$A$1:$AZ$1001,ROW(),설정!$C$12)&amp;"",""))</f>
        <v/>
      </c>
      <c r="K69">
        <f>IF(설정!$C$13="","",IFERROR(INDEX('1.산군_붙여넣기'!$A$1:$AZ$1001,ROW(),설정!$C$13)&amp;"",""))</f>
        <v/>
      </c>
      <c r="L69" s="7">
        <f>IF(X69="","",IF(AND(LEN(X69)=8,ISNUMBER(X69*1)),DATE(LEFT(X69,4),MID(X69,5,2),RIGHT(X69,2)),IFERROR(DATEVALUE(SUBSTITUTE(SUBSTITUTE(X69,".","-"),"/","-")),IFERROR(X69*1,""))))</f>
        <v/>
      </c>
      <c r="M69" s="7">
        <f>IF(Y69="","",IF(AND(LEN(Y69)=8,ISNUMBER(Y69*1)),DATE(LEFT(Y69,4),MID(Y69,5,2),RIGHT(Y69,2)),IFERROR(DATEVALUE(SUBSTITUTE(SUBSTITUTE(Y69,".","-"),"/","-")),IFERROR(Y69*1,""))))</f>
        <v/>
      </c>
      <c r="N69">
        <f>IFERROR(LEFT(B69,FIND(" ",B69)-1),B69)</f>
        <v/>
      </c>
      <c r="O69">
        <f>AND(B69&lt;&gt;"",B69&lt;&gt;설정!$B$4,C69&lt;&gt;설정!$B$5)</f>
        <v/>
      </c>
      <c r="P69">
        <f>IF(O69,B69&amp;"|"&amp;C69,"")</f>
        <v/>
      </c>
      <c r="Q69">
        <f>AND(O69,COUNTIF(P70:P$1002,P69)=0)</f>
        <v/>
      </c>
      <c r="R69">
        <f>OR(AND(설정!$A$42&lt;&gt;"",ISNUMBER(SEARCH(설정!$A$42,E69&amp;" "&amp;C69))),AND(설정!$A$43&lt;&gt;"",ISNUMBER(SEARCH(설정!$A$43,E69&amp;" "&amp;C69))),AND(설정!$A$44&lt;&gt;"",ISNUMBER(SEARCH(설정!$A$44,E69&amp;" "&amp;C69))),AND(설정!$A$45&lt;&gt;"",ISNUMBER(SEARCH(설정!$A$45,E69&amp;" "&amp;C69))),AND(설정!$A$46&lt;&gt;"",ISNUMBER(SEARCH(설정!$A$46,E69&amp;" "&amp;C69))),AND(설정!$A$47&lt;&gt;"",ISNUMBER(SEARCH(설정!$A$47,E69&amp;" "&amp;C69))),AND(설정!$A$48&lt;&gt;"",ISNUMBER(SEARCH(설정!$A$48,E69&amp;" "&amp;C69))),AND(설정!$A$49&lt;&gt;"",ISNUMBER(SEARCH(설정!$A$49,E69&amp;" "&amp;C69))),AND(설정!$A$50&lt;&gt;"",ISNUMBER(SEARCH(설정!$A$50,E69&amp;" "&amp;C69))),AND(설정!$A$51&lt;&gt;"",ISNUMBER(SEARCH(설정!$A$51,E69&amp;" "&amp;C69))))</f>
        <v/>
      </c>
      <c r="S69">
        <f>OR(D69="",D69&gt;=설정!$B$19)</f>
        <v/>
      </c>
      <c r="T69">
        <f>AND(Q69,R69,S69)</f>
        <v/>
      </c>
      <c r="U69">
        <f>IF(T69,IF(AND(설정!$A$54&lt;&gt;"",ISNUMBER(SEARCH(설정!$A$54,K69))),설정!$B$54,IF(AND(설정!$A$55&lt;&gt;"",ISNUMBER(SEARCH(설정!$A$55,K69))),설정!$B$55,IF(AND(설정!$A$56&lt;&gt;"",ISNUMBER(SEARCH(설정!$A$56,K69))),설정!$B$56,IF(AND(설정!$A$57&lt;&gt;"",ISNUMBER(SEARCH(설정!$A$57,K69))),설정!$B$57,IF(AND(설정!$A$58&lt;&gt;"",ISNUMBER(SEARCH(설정!$A$58,K69))),설정!$B$58,IF(AND(설정!$A$59&lt;&gt;"",ISNUMBER(SEARCH(설정!$A$59,K69))),설정!$B$59,IF(AND(설정!$A$60&lt;&gt;"",ISNUMBER(SEARCH(설정!$A$60,K69))),설정!$B$60,IF(AND(설정!$A$61&lt;&gt;"",ISNUMBER(SEARCH(설정!$A$61,K69))),설정!$B$61,IF(M69="","설계사","시공사"))))))))),"")</f>
        <v/>
      </c>
      <c r="V69">
        <f>SUBSTITUTE(SUBSTITUTE(SUBSTITUTE(SUBSTITUTE(G69,"(주)",""),"㈜",""),"주식회사","")," ","")</f>
        <v/>
      </c>
      <c r="W69">
        <f>IF(AND(T69,V69&lt;&gt;""),IF(COUNTIFS(V$2:V69,V69,T$2:T69,TRUE)=1,MAX(W$1:W68)+1,""),"")</f>
        <v/>
      </c>
      <c r="X69">
        <f>IF(설정!$C$14="","",IFERROR(INDEX('1.산군_붙여넣기'!$A$1:$AZ$1001,ROW(),설정!$C$14)&amp;"",""))</f>
        <v/>
      </c>
      <c r="Y69">
        <f>IF(설정!$C$15="","",IFERROR(INDEX('1.산군_붙여넣기'!$A$1:$AZ$1001,ROW(),설정!$C$15)&amp;"",""))</f>
        <v/>
      </c>
      <c r="Z69">
        <f>IF(T69,V69&amp;"|"&amp;U69,"")</f>
        <v/>
      </c>
      <c r="AA69">
        <f>IF(NOT(Q69),"",IF(NOT(AND(R69,S69)),"✕",IF(OR(OR(AND(L69&lt;&gt;"",M69&lt;&gt;"",N(M69)-N(L69)&gt;설정!$B$27),AND(L69&lt;&gt;"",M69="",설정!$B$24-N(L69)&gt;설정!$B$27)),AND(D69&lt;&gt;"",D69&lt;설정!$B$26)),"△","★")))</f>
        <v/>
      </c>
      <c r="AB69">
        <f>IF(NOT(T69),"",IF(U69="설계사",설정!$B$31,IF(U69="시공사",IF(OR(M69="",설정!$B$24-N(M69)&lt;=설정!$B$28*30.4),설정!$B$32,설정!$B$33),설정!$B$34))+IF(AA69="★",설정!$B$35,0))</f>
        <v/>
      </c>
      <c r="AC69">
        <f>SUBSTITUTE(SUBSTITUTE(SUBSTITUTE(SUBSTITUTE(H69,"(주)",""),"㈜",""),"주식회사","")," ","")</f>
        <v/>
      </c>
      <c r="AD69">
        <f>IF(AND(T69,AC69&lt;&gt;""),IF(COUNTIFS(AC$2:AC69,AC69,T$2:T69,TRUE)=1,MAX(AD$1:AD68)+1,""),"")</f>
        <v/>
      </c>
    </row>
    <row r="70">
      <c r="A70">
        <f>ROW()</f>
        <v/>
      </c>
      <c r="B70">
        <f>IF(설정!$C$4="","",IFERROR(INDEX('1.산군_붙여넣기'!$A$1:$AZ$1001,ROW(),설정!$C$4)&amp;"",""))</f>
        <v/>
      </c>
      <c r="C70">
        <f>IF(설정!$C$5="","",IFERROR(INDEX('1.산군_붙여넣기'!$A$1:$AZ$1001,ROW(),설정!$C$5)&amp;"",""))</f>
        <v/>
      </c>
      <c r="D70" s="5">
        <f>IFERROR(VALUE(SUBSTITUTE(SUBSTITUTE(SUBSTITUTE(IF(설정!$C$6="","",IFERROR(INDEX('1.산군_붙여넣기'!$A$1:$AZ$1001,ROW(),설정!$C$6)&amp;"","")),",",""),"㎡",""),"m2","")),"")</f>
        <v/>
      </c>
      <c r="E70">
        <f>IF(설정!$C$7="","",IFERROR(INDEX('1.산군_붙여넣기'!$A$1:$AZ$1001,ROW(),설정!$C$7)&amp;"",""))</f>
        <v/>
      </c>
      <c r="F70">
        <f>IF(설정!$C$8="","",IFERROR(INDEX('1.산군_붙여넣기'!$A$1:$AZ$1001,ROW(),설정!$C$8)&amp;"",""))</f>
        <v/>
      </c>
      <c r="G70">
        <f>IF(설정!$C$9="","",IFERROR(INDEX('1.산군_붙여넣기'!$A$1:$AZ$1001,ROW(),설정!$C$9)&amp;"",""))</f>
        <v/>
      </c>
      <c r="H70">
        <f>IF(설정!$C$10="","",IFERROR(INDEX('1.산군_붙여넣기'!$A$1:$AZ$1001,ROW(),설정!$C$10)&amp;"",""))</f>
        <v/>
      </c>
      <c r="I70">
        <f>IF(설정!$C$11="","",IFERROR(INDEX('1.산군_붙여넣기'!$A$1:$AZ$1001,ROW(),설정!$C$11)&amp;"",""))</f>
        <v/>
      </c>
      <c r="J70">
        <f>IF(설정!$C$12="","",IFERROR(INDEX('1.산군_붙여넣기'!$A$1:$AZ$1001,ROW(),설정!$C$12)&amp;"",""))</f>
        <v/>
      </c>
      <c r="K70">
        <f>IF(설정!$C$13="","",IFERROR(INDEX('1.산군_붙여넣기'!$A$1:$AZ$1001,ROW(),설정!$C$13)&amp;"",""))</f>
        <v/>
      </c>
      <c r="L70" s="7">
        <f>IF(X70="","",IF(AND(LEN(X70)=8,ISNUMBER(X70*1)),DATE(LEFT(X70,4),MID(X70,5,2),RIGHT(X70,2)),IFERROR(DATEVALUE(SUBSTITUTE(SUBSTITUTE(X70,".","-"),"/","-")),IFERROR(X70*1,""))))</f>
        <v/>
      </c>
      <c r="M70" s="7">
        <f>IF(Y70="","",IF(AND(LEN(Y70)=8,ISNUMBER(Y70*1)),DATE(LEFT(Y70,4),MID(Y70,5,2),RIGHT(Y70,2)),IFERROR(DATEVALUE(SUBSTITUTE(SUBSTITUTE(Y70,".","-"),"/","-")),IFERROR(Y70*1,""))))</f>
        <v/>
      </c>
      <c r="N70">
        <f>IFERROR(LEFT(B70,FIND(" ",B70)-1),B70)</f>
        <v/>
      </c>
      <c r="O70">
        <f>AND(B70&lt;&gt;"",B70&lt;&gt;설정!$B$4,C70&lt;&gt;설정!$B$5)</f>
        <v/>
      </c>
      <c r="P70">
        <f>IF(O70,B70&amp;"|"&amp;C70,"")</f>
        <v/>
      </c>
      <c r="Q70">
        <f>AND(O70,COUNTIF(P71:P$1002,P70)=0)</f>
        <v/>
      </c>
      <c r="R70">
        <f>OR(AND(설정!$A$42&lt;&gt;"",ISNUMBER(SEARCH(설정!$A$42,E70&amp;" "&amp;C70))),AND(설정!$A$43&lt;&gt;"",ISNUMBER(SEARCH(설정!$A$43,E70&amp;" "&amp;C70))),AND(설정!$A$44&lt;&gt;"",ISNUMBER(SEARCH(설정!$A$44,E70&amp;" "&amp;C70))),AND(설정!$A$45&lt;&gt;"",ISNUMBER(SEARCH(설정!$A$45,E70&amp;" "&amp;C70))),AND(설정!$A$46&lt;&gt;"",ISNUMBER(SEARCH(설정!$A$46,E70&amp;" "&amp;C70))),AND(설정!$A$47&lt;&gt;"",ISNUMBER(SEARCH(설정!$A$47,E70&amp;" "&amp;C70))),AND(설정!$A$48&lt;&gt;"",ISNUMBER(SEARCH(설정!$A$48,E70&amp;" "&amp;C70))),AND(설정!$A$49&lt;&gt;"",ISNUMBER(SEARCH(설정!$A$49,E70&amp;" "&amp;C70))),AND(설정!$A$50&lt;&gt;"",ISNUMBER(SEARCH(설정!$A$50,E70&amp;" "&amp;C70))),AND(설정!$A$51&lt;&gt;"",ISNUMBER(SEARCH(설정!$A$51,E70&amp;" "&amp;C70))))</f>
        <v/>
      </c>
      <c r="S70">
        <f>OR(D70="",D70&gt;=설정!$B$19)</f>
        <v/>
      </c>
      <c r="T70">
        <f>AND(Q70,R70,S70)</f>
        <v/>
      </c>
      <c r="U70">
        <f>IF(T70,IF(AND(설정!$A$54&lt;&gt;"",ISNUMBER(SEARCH(설정!$A$54,K70))),설정!$B$54,IF(AND(설정!$A$55&lt;&gt;"",ISNUMBER(SEARCH(설정!$A$55,K70))),설정!$B$55,IF(AND(설정!$A$56&lt;&gt;"",ISNUMBER(SEARCH(설정!$A$56,K70))),설정!$B$56,IF(AND(설정!$A$57&lt;&gt;"",ISNUMBER(SEARCH(설정!$A$57,K70))),설정!$B$57,IF(AND(설정!$A$58&lt;&gt;"",ISNUMBER(SEARCH(설정!$A$58,K70))),설정!$B$58,IF(AND(설정!$A$59&lt;&gt;"",ISNUMBER(SEARCH(설정!$A$59,K70))),설정!$B$59,IF(AND(설정!$A$60&lt;&gt;"",ISNUMBER(SEARCH(설정!$A$60,K70))),설정!$B$60,IF(AND(설정!$A$61&lt;&gt;"",ISNUMBER(SEARCH(설정!$A$61,K70))),설정!$B$61,IF(M70="","설계사","시공사"))))))))),"")</f>
        <v/>
      </c>
      <c r="V70">
        <f>SUBSTITUTE(SUBSTITUTE(SUBSTITUTE(SUBSTITUTE(G70,"(주)",""),"㈜",""),"주식회사","")," ","")</f>
        <v/>
      </c>
      <c r="W70">
        <f>IF(AND(T70,V70&lt;&gt;""),IF(COUNTIFS(V$2:V70,V70,T$2:T70,TRUE)=1,MAX(W$1:W69)+1,""),"")</f>
        <v/>
      </c>
      <c r="X70">
        <f>IF(설정!$C$14="","",IFERROR(INDEX('1.산군_붙여넣기'!$A$1:$AZ$1001,ROW(),설정!$C$14)&amp;"",""))</f>
        <v/>
      </c>
      <c r="Y70">
        <f>IF(설정!$C$15="","",IFERROR(INDEX('1.산군_붙여넣기'!$A$1:$AZ$1001,ROW(),설정!$C$15)&amp;"",""))</f>
        <v/>
      </c>
      <c r="Z70">
        <f>IF(T70,V70&amp;"|"&amp;U70,"")</f>
        <v/>
      </c>
      <c r="AA70">
        <f>IF(NOT(Q70),"",IF(NOT(AND(R70,S70)),"✕",IF(OR(OR(AND(L70&lt;&gt;"",M70&lt;&gt;"",N(M70)-N(L70)&gt;설정!$B$27),AND(L70&lt;&gt;"",M70="",설정!$B$24-N(L70)&gt;설정!$B$27)),AND(D70&lt;&gt;"",D70&lt;설정!$B$26)),"△","★")))</f>
        <v/>
      </c>
      <c r="AB70">
        <f>IF(NOT(T70),"",IF(U70="설계사",설정!$B$31,IF(U70="시공사",IF(OR(M70="",설정!$B$24-N(M70)&lt;=설정!$B$28*30.4),설정!$B$32,설정!$B$33),설정!$B$34))+IF(AA70="★",설정!$B$35,0))</f>
        <v/>
      </c>
      <c r="AC70">
        <f>SUBSTITUTE(SUBSTITUTE(SUBSTITUTE(SUBSTITUTE(H70,"(주)",""),"㈜",""),"주식회사","")," ","")</f>
        <v/>
      </c>
      <c r="AD70">
        <f>IF(AND(T70,AC70&lt;&gt;""),IF(COUNTIFS(AC$2:AC70,AC70,T$2:T70,TRUE)=1,MAX(AD$1:AD69)+1,""),"")</f>
        <v/>
      </c>
    </row>
    <row r="71">
      <c r="A71">
        <f>ROW()</f>
        <v/>
      </c>
      <c r="B71">
        <f>IF(설정!$C$4="","",IFERROR(INDEX('1.산군_붙여넣기'!$A$1:$AZ$1001,ROW(),설정!$C$4)&amp;"",""))</f>
        <v/>
      </c>
      <c r="C71">
        <f>IF(설정!$C$5="","",IFERROR(INDEX('1.산군_붙여넣기'!$A$1:$AZ$1001,ROW(),설정!$C$5)&amp;"",""))</f>
        <v/>
      </c>
      <c r="D71" s="5">
        <f>IFERROR(VALUE(SUBSTITUTE(SUBSTITUTE(SUBSTITUTE(IF(설정!$C$6="","",IFERROR(INDEX('1.산군_붙여넣기'!$A$1:$AZ$1001,ROW(),설정!$C$6)&amp;"","")),",",""),"㎡",""),"m2","")),"")</f>
        <v/>
      </c>
      <c r="E71">
        <f>IF(설정!$C$7="","",IFERROR(INDEX('1.산군_붙여넣기'!$A$1:$AZ$1001,ROW(),설정!$C$7)&amp;"",""))</f>
        <v/>
      </c>
      <c r="F71">
        <f>IF(설정!$C$8="","",IFERROR(INDEX('1.산군_붙여넣기'!$A$1:$AZ$1001,ROW(),설정!$C$8)&amp;"",""))</f>
        <v/>
      </c>
      <c r="G71">
        <f>IF(설정!$C$9="","",IFERROR(INDEX('1.산군_붙여넣기'!$A$1:$AZ$1001,ROW(),설정!$C$9)&amp;"",""))</f>
        <v/>
      </c>
      <c r="H71">
        <f>IF(설정!$C$10="","",IFERROR(INDEX('1.산군_붙여넣기'!$A$1:$AZ$1001,ROW(),설정!$C$10)&amp;"",""))</f>
        <v/>
      </c>
      <c r="I71">
        <f>IF(설정!$C$11="","",IFERROR(INDEX('1.산군_붙여넣기'!$A$1:$AZ$1001,ROW(),설정!$C$11)&amp;"",""))</f>
        <v/>
      </c>
      <c r="J71">
        <f>IF(설정!$C$12="","",IFERROR(INDEX('1.산군_붙여넣기'!$A$1:$AZ$1001,ROW(),설정!$C$12)&amp;"",""))</f>
        <v/>
      </c>
      <c r="K71">
        <f>IF(설정!$C$13="","",IFERROR(INDEX('1.산군_붙여넣기'!$A$1:$AZ$1001,ROW(),설정!$C$13)&amp;"",""))</f>
        <v/>
      </c>
      <c r="L71" s="7">
        <f>IF(X71="","",IF(AND(LEN(X71)=8,ISNUMBER(X71*1)),DATE(LEFT(X71,4),MID(X71,5,2),RIGHT(X71,2)),IFERROR(DATEVALUE(SUBSTITUTE(SUBSTITUTE(X71,".","-"),"/","-")),IFERROR(X71*1,""))))</f>
        <v/>
      </c>
      <c r="M71" s="7">
        <f>IF(Y71="","",IF(AND(LEN(Y71)=8,ISNUMBER(Y71*1)),DATE(LEFT(Y71,4),MID(Y71,5,2),RIGHT(Y71,2)),IFERROR(DATEVALUE(SUBSTITUTE(SUBSTITUTE(Y71,".","-"),"/","-")),IFERROR(Y71*1,""))))</f>
        <v/>
      </c>
      <c r="N71">
        <f>IFERROR(LEFT(B71,FIND(" ",B71)-1),B71)</f>
        <v/>
      </c>
      <c r="O71">
        <f>AND(B71&lt;&gt;"",B71&lt;&gt;설정!$B$4,C71&lt;&gt;설정!$B$5)</f>
        <v/>
      </c>
      <c r="P71">
        <f>IF(O71,B71&amp;"|"&amp;C71,"")</f>
        <v/>
      </c>
      <c r="Q71">
        <f>AND(O71,COUNTIF(P72:P$1002,P71)=0)</f>
        <v/>
      </c>
      <c r="R71">
        <f>OR(AND(설정!$A$42&lt;&gt;"",ISNUMBER(SEARCH(설정!$A$42,E71&amp;" "&amp;C71))),AND(설정!$A$43&lt;&gt;"",ISNUMBER(SEARCH(설정!$A$43,E71&amp;" "&amp;C71))),AND(설정!$A$44&lt;&gt;"",ISNUMBER(SEARCH(설정!$A$44,E71&amp;" "&amp;C71))),AND(설정!$A$45&lt;&gt;"",ISNUMBER(SEARCH(설정!$A$45,E71&amp;" "&amp;C71))),AND(설정!$A$46&lt;&gt;"",ISNUMBER(SEARCH(설정!$A$46,E71&amp;" "&amp;C71))),AND(설정!$A$47&lt;&gt;"",ISNUMBER(SEARCH(설정!$A$47,E71&amp;" "&amp;C71))),AND(설정!$A$48&lt;&gt;"",ISNUMBER(SEARCH(설정!$A$48,E71&amp;" "&amp;C71))),AND(설정!$A$49&lt;&gt;"",ISNUMBER(SEARCH(설정!$A$49,E71&amp;" "&amp;C71))),AND(설정!$A$50&lt;&gt;"",ISNUMBER(SEARCH(설정!$A$50,E71&amp;" "&amp;C71))),AND(설정!$A$51&lt;&gt;"",ISNUMBER(SEARCH(설정!$A$51,E71&amp;" "&amp;C71))))</f>
        <v/>
      </c>
      <c r="S71">
        <f>OR(D71="",D71&gt;=설정!$B$19)</f>
        <v/>
      </c>
      <c r="T71">
        <f>AND(Q71,R71,S71)</f>
        <v/>
      </c>
      <c r="U71">
        <f>IF(T71,IF(AND(설정!$A$54&lt;&gt;"",ISNUMBER(SEARCH(설정!$A$54,K71))),설정!$B$54,IF(AND(설정!$A$55&lt;&gt;"",ISNUMBER(SEARCH(설정!$A$55,K71))),설정!$B$55,IF(AND(설정!$A$56&lt;&gt;"",ISNUMBER(SEARCH(설정!$A$56,K71))),설정!$B$56,IF(AND(설정!$A$57&lt;&gt;"",ISNUMBER(SEARCH(설정!$A$57,K71))),설정!$B$57,IF(AND(설정!$A$58&lt;&gt;"",ISNUMBER(SEARCH(설정!$A$58,K71))),설정!$B$58,IF(AND(설정!$A$59&lt;&gt;"",ISNUMBER(SEARCH(설정!$A$59,K71))),설정!$B$59,IF(AND(설정!$A$60&lt;&gt;"",ISNUMBER(SEARCH(설정!$A$60,K71))),설정!$B$60,IF(AND(설정!$A$61&lt;&gt;"",ISNUMBER(SEARCH(설정!$A$61,K71))),설정!$B$61,IF(M71="","설계사","시공사"))))))))),"")</f>
        <v/>
      </c>
      <c r="V71">
        <f>SUBSTITUTE(SUBSTITUTE(SUBSTITUTE(SUBSTITUTE(G71,"(주)",""),"㈜",""),"주식회사","")," ","")</f>
        <v/>
      </c>
      <c r="W71">
        <f>IF(AND(T71,V71&lt;&gt;""),IF(COUNTIFS(V$2:V71,V71,T$2:T71,TRUE)=1,MAX(W$1:W70)+1,""),"")</f>
        <v/>
      </c>
      <c r="X71">
        <f>IF(설정!$C$14="","",IFERROR(INDEX('1.산군_붙여넣기'!$A$1:$AZ$1001,ROW(),설정!$C$14)&amp;"",""))</f>
        <v/>
      </c>
      <c r="Y71">
        <f>IF(설정!$C$15="","",IFERROR(INDEX('1.산군_붙여넣기'!$A$1:$AZ$1001,ROW(),설정!$C$15)&amp;"",""))</f>
        <v/>
      </c>
      <c r="Z71">
        <f>IF(T71,V71&amp;"|"&amp;U71,"")</f>
        <v/>
      </c>
      <c r="AA71">
        <f>IF(NOT(Q71),"",IF(NOT(AND(R71,S71)),"✕",IF(OR(OR(AND(L71&lt;&gt;"",M71&lt;&gt;"",N(M71)-N(L71)&gt;설정!$B$27),AND(L71&lt;&gt;"",M71="",설정!$B$24-N(L71)&gt;설정!$B$27)),AND(D71&lt;&gt;"",D71&lt;설정!$B$26)),"△","★")))</f>
        <v/>
      </c>
      <c r="AB71">
        <f>IF(NOT(T71),"",IF(U71="설계사",설정!$B$31,IF(U71="시공사",IF(OR(M71="",설정!$B$24-N(M71)&lt;=설정!$B$28*30.4),설정!$B$32,설정!$B$33),설정!$B$34))+IF(AA71="★",설정!$B$35,0))</f>
        <v/>
      </c>
      <c r="AC71">
        <f>SUBSTITUTE(SUBSTITUTE(SUBSTITUTE(SUBSTITUTE(H71,"(주)",""),"㈜",""),"주식회사","")," ","")</f>
        <v/>
      </c>
      <c r="AD71">
        <f>IF(AND(T71,AC71&lt;&gt;""),IF(COUNTIFS(AC$2:AC71,AC71,T$2:T71,TRUE)=1,MAX(AD$1:AD70)+1,""),"")</f>
        <v/>
      </c>
    </row>
    <row r="72">
      <c r="A72">
        <f>ROW()</f>
        <v/>
      </c>
      <c r="B72">
        <f>IF(설정!$C$4="","",IFERROR(INDEX('1.산군_붙여넣기'!$A$1:$AZ$1001,ROW(),설정!$C$4)&amp;"",""))</f>
        <v/>
      </c>
      <c r="C72">
        <f>IF(설정!$C$5="","",IFERROR(INDEX('1.산군_붙여넣기'!$A$1:$AZ$1001,ROW(),설정!$C$5)&amp;"",""))</f>
        <v/>
      </c>
      <c r="D72" s="5">
        <f>IFERROR(VALUE(SUBSTITUTE(SUBSTITUTE(SUBSTITUTE(IF(설정!$C$6="","",IFERROR(INDEX('1.산군_붙여넣기'!$A$1:$AZ$1001,ROW(),설정!$C$6)&amp;"","")),",",""),"㎡",""),"m2","")),"")</f>
        <v/>
      </c>
      <c r="E72">
        <f>IF(설정!$C$7="","",IFERROR(INDEX('1.산군_붙여넣기'!$A$1:$AZ$1001,ROW(),설정!$C$7)&amp;"",""))</f>
        <v/>
      </c>
      <c r="F72">
        <f>IF(설정!$C$8="","",IFERROR(INDEX('1.산군_붙여넣기'!$A$1:$AZ$1001,ROW(),설정!$C$8)&amp;"",""))</f>
        <v/>
      </c>
      <c r="G72">
        <f>IF(설정!$C$9="","",IFERROR(INDEX('1.산군_붙여넣기'!$A$1:$AZ$1001,ROW(),설정!$C$9)&amp;"",""))</f>
        <v/>
      </c>
      <c r="H72">
        <f>IF(설정!$C$10="","",IFERROR(INDEX('1.산군_붙여넣기'!$A$1:$AZ$1001,ROW(),설정!$C$10)&amp;"",""))</f>
        <v/>
      </c>
      <c r="I72">
        <f>IF(설정!$C$11="","",IFERROR(INDEX('1.산군_붙여넣기'!$A$1:$AZ$1001,ROW(),설정!$C$11)&amp;"",""))</f>
        <v/>
      </c>
      <c r="J72">
        <f>IF(설정!$C$12="","",IFERROR(INDEX('1.산군_붙여넣기'!$A$1:$AZ$1001,ROW(),설정!$C$12)&amp;"",""))</f>
        <v/>
      </c>
      <c r="K72">
        <f>IF(설정!$C$13="","",IFERROR(INDEX('1.산군_붙여넣기'!$A$1:$AZ$1001,ROW(),설정!$C$13)&amp;"",""))</f>
        <v/>
      </c>
      <c r="L72" s="7">
        <f>IF(X72="","",IF(AND(LEN(X72)=8,ISNUMBER(X72*1)),DATE(LEFT(X72,4),MID(X72,5,2),RIGHT(X72,2)),IFERROR(DATEVALUE(SUBSTITUTE(SUBSTITUTE(X72,".","-"),"/","-")),IFERROR(X72*1,""))))</f>
        <v/>
      </c>
      <c r="M72" s="7">
        <f>IF(Y72="","",IF(AND(LEN(Y72)=8,ISNUMBER(Y72*1)),DATE(LEFT(Y72,4),MID(Y72,5,2),RIGHT(Y72,2)),IFERROR(DATEVALUE(SUBSTITUTE(SUBSTITUTE(Y72,".","-"),"/","-")),IFERROR(Y72*1,""))))</f>
        <v/>
      </c>
      <c r="N72">
        <f>IFERROR(LEFT(B72,FIND(" ",B72)-1),B72)</f>
        <v/>
      </c>
      <c r="O72">
        <f>AND(B72&lt;&gt;"",B72&lt;&gt;설정!$B$4,C72&lt;&gt;설정!$B$5)</f>
        <v/>
      </c>
      <c r="P72">
        <f>IF(O72,B72&amp;"|"&amp;C72,"")</f>
        <v/>
      </c>
      <c r="Q72">
        <f>AND(O72,COUNTIF(P73:P$1002,P72)=0)</f>
        <v/>
      </c>
      <c r="R72">
        <f>OR(AND(설정!$A$42&lt;&gt;"",ISNUMBER(SEARCH(설정!$A$42,E72&amp;" "&amp;C72))),AND(설정!$A$43&lt;&gt;"",ISNUMBER(SEARCH(설정!$A$43,E72&amp;" "&amp;C72))),AND(설정!$A$44&lt;&gt;"",ISNUMBER(SEARCH(설정!$A$44,E72&amp;" "&amp;C72))),AND(설정!$A$45&lt;&gt;"",ISNUMBER(SEARCH(설정!$A$45,E72&amp;" "&amp;C72))),AND(설정!$A$46&lt;&gt;"",ISNUMBER(SEARCH(설정!$A$46,E72&amp;" "&amp;C72))),AND(설정!$A$47&lt;&gt;"",ISNUMBER(SEARCH(설정!$A$47,E72&amp;" "&amp;C72))),AND(설정!$A$48&lt;&gt;"",ISNUMBER(SEARCH(설정!$A$48,E72&amp;" "&amp;C72))),AND(설정!$A$49&lt;&gt;"",ISNUMBER(SEARCH(설정!$A$49,E72&amp;" "&amp;C72))),AND(설정!$A$50&lt;&gt;"",ISNUMBER(SEARCH(설정!$A$50,E72&amp;" "&amp;C72))),AND(설정!$A$51&lt;&gt;"",ISNUMBER(SEARCH(설정!$A$51,E72&amp;" "&amp;C72))))</f>
        <v/>
      </c>
      <c r="S72">
        <f>OR(D72="",D72&gt;=설정!$B$19)</f>
        <v/>
      </c>
      <c r="T72">
        <f>AND(Q72,R72,S72)</f>
        <v/>
      </c>
      <c r="U72">
        <f>IF(T72,IF(AND(설정!$A$54&lt;&gt;"",ISNUMBER(SEARCH(설정!$A$54,K72))),설정!$B$54,IF(AND(설정!$A$55&lt;&gt;"",ISNUMBER(SEARCH(설정!$A$55,K72))),설정!$B$55,IF(AND(설정!$A$56&lt;&gt;"",ISNUMBER(SEARCH(설정!$A$56,K72))),설정!$B$56,IF(AND(설정!$A$57&lt;&gt;"",ISNUMBER(SEARCH(설정!$A$57,K72))),설정!$B$57,IF(AND(설정!$A$58&lt;&gt;"",ISNUMBER(SEARCH(설정!$A$58,K72))),설정!$B$58,IF(AND(설정!$A$59&lt;&gt;"",ISNUMBER(SEARCH(설정!$A$59,K72))),설정!$B$59,IF(AND(설정!$A$60&lt;&gt;"",ISNUMBER(SEARCH(설정!$A$60,K72))),설정!$B$60,IF(AND(설정!$A$61&lt;&gt;"",ISNUMBER(SEARCH(설정!$A$61,K72))),설정!$B$61,IF(M72="","설계사","시공사"))))))))),"")</f>
        <v/>
      </c>
      <c r="V72">
        <f>SUBSTITUTE(SUBSTITUTE(SUBSTITUTE(SUBSTITUTE(G72,"(주)",""),"㈜",""),"주식회사","")," ","")</f>
        <v/>
      </c>
      <c r="W72">
        <f>IF(AND(T72,V72&lt;&gt;""),IF(COUNTIFS(V$2:V72,V72,T$2:T72,TRUE)=1,MAX(W$1:W71)+1,""),"")</f>
        <v/>
      </c>
      <c r="X72">
        <f>IF(설정!$C$14="","",IFERROR(INDEX('1.산군_붙여넣기'!$A$1:$AZ$1001,ROW(),설정!$C$14)&amp;"",""))</f>
        <v/>
      </c>
      <c r="Y72">
        <f>IF(설정!$C$15="","",IFERROR(INDEX('1.산군_붙여넣기'!$A$1:$AZ$1001,ROW(),설정!$C$15)&amp;"",""))</f>
        <v/>
      </c>
      <c r="Z72">
        <f>IF(T72,V72&amp;"|"&amp;U72,"")</f>
        <v/>
      </c>
      <c r="AA72">
        <f>IF(NOT(Q72),"",IF(NOT(AND(R72,S72)),"✕",IF(OR(OR(AND(L72&lt;&gt;"",M72&lt;&gt;"",N(M72)-N(L72)&gt;설정!$B$27),AND(L72&lt;&gt;"",M72="",설정!$B$24-N(L72)&gt;설정!$B$27)),AND(D72&lt;&gt;"",D72&lt;설정!$B$26)),"△","★")))</f>
        <v/>
      </c>
      <c r="AB72">
        <f>IF(NOT(T72),"",IF(U72="설계사",설정!$B$31,IF(U72="시공사",IF(OR(M72="",설정!$B$24-N(M72)&lt;=설정!$B$28*30.4),설정!$B$32,설정!$B$33),설정!$B$34))+IF(AA72="★",설정!$B$35,0))</f>
        <v/>
      </c>
      <c r="AC72">
        <f>SUBSTITUTE(SUBSTITUTE(SUBSTITUTE(SUBSTITUTE(H72,"(주)",""),"㈜",""),"주식회사","")," ","")</f>
        <v/>
      </c>
      <c r="AD72">
        <f>IF(AND(T72,AC72&lt;&gt;""),IF(COUNTIFS(AC$2:AC72,AC72,T$2:T72,TRUE)=1,MAX(AD$1:AD71)+1,""),"")</f>
        <v/>
      </c>
    </row>
    <row r="73">
      <c r="A73">
        <f>ROW()</f>
        <v/>
      </c>
      <c r="B73">
        <f>IF(설정!$C$4="","",IFERROR(INDEX('1.산군_붙여넣기'!$A$1:$AZ$1001,ROW(),설정!$C$4)&amp;"",""))</f>
        <v/>
      </c>
      <c r="C73">
        <f>IF(설정!$C$5="","",IFERROR(INDEX('1.산군_붙여넣기'!$A$1:$AZ$1001,ROW(),설정!$C$5)&amp;"",""))</f>
        <v/>
      </c>
      <c r="D73" s="5">
        <f>IFERROR(VALUE(SUBSTITUTE(SUBSTITUTE(SUBSTITUTE(IF(설정!$C$6="","",IFERROR(INDEX('1.산군_붙여넣기'!$A$1:$AZ$1001,ROW(),설정!$C$6)&amp;"","")),",",""),"㎡",""),"m2","")),"")</f>
        <v/>
      </c>
      <c r="E73">
        <f>IF(설정!$C$7="","",IFERROR(INDEX('1.산군_붙여넣기'!$A$1:$AZ$1001,ROW(),설정!$C$7)&amp;"",""))</f>
        <v/>
      </c>
      <c r="F73">
        <f>IF(설정!$C$8="","",IFERROR(INDEX('1.산군_붙여넣기'!$A$1:$AZ$1001,ROW(),설정!$C$8)&amp;"",""))</f>
        <v/>
      </c>
      <c r="G73">
        <f>IF(설정!$C$9="","",IFERROR(INDEX('1.산군_붙여넣기'!$A$1:$AZ$1001,ROW(),설정!$C$9)&amp;"",""))</f>
        <v/>
      </c>
      <c r="H73">
        <f>IF(설정!$C$10="","",IFERROR(INDEX('1.산군_붙여넣기'!$A$1:$AZ$1001,ROW(),설정!$C$10)&amp;"",""))</f>
        <v/>
      </c>
      <c r="I73">
        <f>IF(설정!$C$11="","",IFERROR(INDEX('1.산군_붙여넣기'!$A$1:$AZ$1001,ROW(),설정!$C$11)&amp;"",""))</f>
        <v/>
      </c>
      <c r="J73">
        <f>IF(설정!$C$12="","",IFERROR(INDEX('1.산군_붙여넣기'!$A$1:$AZ$1001,ROW(),설정!$C$12)&amp;"",""))</f>
        <v/>
      </c>
      <c r="K73">
        <f>IF(설정!$C$13="","",IFERROR(INDEX('1.산군_붙여넣기'!$A$1:$AZ$1001,ROW(),설정!$C$13)&amp;"",""))</f>
        <v/>
      </c>
      <c r="L73" s="7">
        <f>IF(X73="","",IF(AND(LEN(X73)=8,ISNUMBER(X73*1)),DATE(LEFT(X73,4),MID(X73,5,2),RIGHT(X73,2)),IFERROR(DATEVALUE(SUBSTITUTE(SUBSTITUTE(X73,".","-"),"/","-")),IFERROR(X73*1,""))))</f>
        <v/>
      </c>
      <c r="M73" s="7">
        <f>IF(Y73="","",IF(AND(LEN(Y73)=8,ISNUMBER(Y73*1)),DATE(LEFT(Y73,4),MID(Y73,5,2),RIGHT(Y73,2)),IFERROR(DATEVALUE(SUBSTITUTE(SUBSTITUTE(Y73,".","-"),"/","-")),IFERROR(Y73*1,""))))</f>
        <v/>
      </c>
      <c r="N73">
        <f>IFERROR(LEFT(B73,FIND(" ",B73)-1),B73)</f>
        <v/>
      </c>
      <c r="O73">
        <f>AND(B73&lt;&gt;"",B73&lt;&gt;설정!$B$4,C73&lt;&gt;설정!$B$5)</f>
        <v/>
      </c>
      <c r="P73">
        <f>IF(O73,B73&amp;"|"&amp;C73,"")</f>
        <v/>
      </c>
      <c r="Q73">
        <f>AND(O73,COUNTIF(P74:P$1002,P73)=0)</f>
        <v/>
      </c>
      <c r="R73">
        <f>OR(AND(설정!$A$42&lt;&gt;"",ISNUMBER(SEARCH(설정!$A$42,E73&amp;" "&amp;C73))),AND(설정!$A$43&lt;&gt;"",ISNUMBER(SEARCH(설정!$A$43,E73&amp;" "&amp;C73))),AND(설정!$A$44&lt;&gt;"",ISNUMBER(SEARCH(설정!$A$44,E73&amp;" "&amp;C73))),AND(설정!$A$45&lt;&gt;"",ISNUMBER(SEARCH(설정!$A$45,E73&amp;" "&amp;C73))),AND(설정!$A$46&lt;&gt;"",ISNUMBER(SEARCH(설정!$A$46,E73&amp;" "&amp;C73))),AND(설정!$A$47&lt;&gt;"",ISNUMBER(SEARCH(설정!$A$47,E73&amp;" "&amp;C73))),AND(설정!$A$48&lt;&gt;"",ISNUMBER(SEARCH(설정!$A$48,E73&amp;" "&amp;C73))),AND(설정!$A$49&lt;&gt;"",ISNUMBER(SEARCH(설정!$A$49,E73&amp;" "&amp;C73))),AND(설정!$A$50&lt;&gt;"",ISNUMBER(SEARCH(설정!$A$50,E73&amp;" "&amp;C73))),AND(설정!$A$51&lt;&gt;"",ISNUMBER(SEARCH(설정!$A$51,E73&amp;" "&amp;C73))))</f>
        <v/>
      </c>
      <c r="S73">
        <f>OR(D73="",D73&gt;=설정!$B$19)</f>
        <v/>
      </c>
      <c r="T73">
        <f>AND(Q73,R73,S73)</f>
        <v/>
      </c>
      <c r="U73">
        <f>IF(T73,IF(AND(설정!$A$54&lt;&gt;"",ISNUMBER(SEARCH(설정!$A$54,K73))),설정!$B$54,IF(AND(설정!$A$55&lt;&gt;"",ISNUMBER(SEARCH(설정!$A$55,K73))),설정!$B$55,IF(AND(설정!$A$56&lt;&gt;"",ISNUMBER(SEARCH(설정!$A$56,K73))),설정!$B$56,IF(AND(설정!$A$57&lt;&gt;"",ISNUMBER(SEARCH(설정!$A$57,K73))),설정!$B$57,IF(AND(설정!$A$58&lt;&gt;"",ISNUMBER(SEARCH(설정!$A$58,K73))),설정!$B$58,IF(AND(설정!$A$59&lt;&gt;"",ISNUMBER(SEARCH(설정!$A$59,K73))),설정!$B$59,IF(AND(설정!$A$60&lt;&gt;"",ISNUMBER(SEARCH(설정!$A$60,K73))),설정!$B$60,IF(AND(설정!$A$61&lt;&gt;"",ISNUMBER(SEARCH(설정!$A$61,K73))),설정!$B$61,IF(M73="","설계사","시공사"))))))))),"")</f>
        <v/>
      </c>
      <c r="V73">
        <f>SUBSTITUTE(SUBSTITUTE(SUBSTITUTE(SUBSTITUTE(G73,"(주)",""),"㈜",""),"주식회사","")," ","")</f>
        <v/>
      </c>
      <c r="W73">
        <f>IF(AND(T73,V73&lt;&gt;""),IF(COUNTIFS(V$2:V73,V73,T$2:T73,TRUE)=1,MAX(W$1:W72)+1,""),"")</f>
        <v/>
      </c>
      <c r="X73">
        <f>IF(설정!$C$14="","",IFERROR(INDEX('1.산군_붙여넣기'!$A$1:$AZ$1001,ROW(),설정!$C$14)&amp;"",""))</f>
        <v/>
      </c>
      <c r="Y73">
        <f>IF(설정!$C$15="","",IFERROR(INDEX('1.산군_붙여넣기'!$A$1:$AZ$1001,ROW(),설정!$C$15)&amp;"",""))</f>
        <v/>
      </c>
      <c r="Z73">
        <f>IF(T73,V73&amp;"|"&amp;U73,"")</f>
        <v/>
      </c>
      <c r="AA73">
        <f>IF(NOT(Q73),"",IF(NOT(AND(R73,S73)),"✕",IF(OR(OR(AND(L73&lt;&gt;"",M73&lt;&gt;"",N(M73)-N(L73)&gt;설정!$B$27),AND(L73&lt;&gt;"",M73="",설정!$B$24-N(L73)&gt;설정!$B$27)),AND(D73&lt;&gt;"",D73&lt;설정!$B$26)),"△","★")))</f>
        <v/>
      </c>
      <c r="AB73">
        <f>IF(NOT(T73),"",IF(U73="설계사",설정!$B$31,IF(U73="시공사",IF(OR(M73="",설정!$B$24-N(M73)&lt;=설정!$B$28*30.4),설정!$B$32,설정!$B$33),설정!$B$34))+IF(AA73="★",설정!$B$35,0))</f>
        <v/>
      </c>
      <c r="AC73">
        <f>SUBSTITUTE(SUBSTITUTE(SUBSTITUTE(SUBSTITUTE(H73,"(주)",""),"㈜",""),"주식회사","")," ","")</f>
        <v/>
      </c>
      <c r="AD73">
        <f>IF(AND(T73,AC73&lt;&gt;""),IF(COUNTIFS(AC$2:AC73,AC73,T$2:T73,TRUE)=1,MAX(AD$1:AD72)+1,""),"")</f>
        <v/>
      </c>
    </row>
    <row r="74">
      <c r="A74">
        <f>ROW()</f>
        <v/>
      </c>
      <c r="B74">
        <f>IF(설정!$C$4="","",IFERROR(INDEX('1.산군_붙여넣기'!$A$1:$AZ$1001,ROW(),설정!$C$4)&amp;"",""))</f>
        <v/>
      </c>
      <c r="C74">
        <f>IF(설정!$C$5="","",IFERROR(INDEX('1.산군_붙여넣기'!$A$1:$AZ$1001,ROW(),설정!$C$5)&amp;"",""))</f>
        <v/>
      </c>
      <c r="D74" s="5">
        <f>IFERROR(VALUE(SUBSTITUTE(SUBSTITUTE(SUBSTITUTE(IF(설정!$C$6="","",IFERROR(INDEX('1.산군_붙여넣기'!$A$1:$AZ$1001,ROW(),설정!$C$6)&amp;"","")),",",""),"㎡",""),"m2","")),"")</f>
        <v/>
      </c>
      <c r="E74">
        <f>IF(설정!$C$7="","",IFERROR(INDEX('1.산군_붙여넣기'!$A$1:$AZ$1001,ROW(),설정!$C$7)&amp;"",""))</f>
        <v/>
      </c>
      <c r="F74">
        <f>IF(설정!$C$8="","",IFERROR(INDEX('1.산군_붙여넣기'!$A$1:$AZ$1001,ROW(),설정!$C$8)&amp;"",""))</f>
        <v/>
      </c>
      <c r="G74">
        <f>IF(설정!$C$9="","",IFERROR(INDEX('1.산군_붙여넣기'!$A$1:$AZ$1001,ROW(),설정!$C$9)&amp;"",""))</f>
        <v/>
      </c>
      <c r="H74">
        <f>IF(설정!$C$10="","",IFERROR(INDEX('1.산군_붙여넣기'!$A$1:$AZ$1001,ROW(),설정!$C$10)&amp;"",""))</f>
        <v/>
      </c>
      <c r="I74">
        <f>IF(설정!$C$11="","",IFERROR(INDEX('1.산군_붙여넣기'!$A$1:$AZ$1001,ROW(),설정!$C$11)&amp;"",""))</f>
        <v/>
      </c>
      <c r="J74">
        <f>IF(설정!$C$12="","",IFERROR(INDEX('1.산군_붙여넣기'!$A$1:$AZ$1001,ROW(),설정!$C$12)&amp;"",""))</f>
        <v/>
      </c>
      <c r="K74">
        <f>IF(설정!$C$13="","",IFERROR(INDEX('1.산군_붙여넣기'!$A$1:$AZ$1001,ROW(),설정!$C$13)&amp;"",""))</f>
        <v/>
      </c>
      <c r="L74" s="7">
        <f>IF(X74="","",IF(AND(LEN(X74)=8,ISNUMBER(X74*1)),DATE(LEFT(X74,4),MID(X74,5,2),RIGHT(X74,2)),IFERROR(DATEVALUE(SUBSTITUTE(SUBSTITUTE(X74,".","-"),"/","-")),IFERROR(X74*1,""))))</f>
        <v/>
      </c>
      <c r="M74" s="7">
        <f>IF(Y74="","",IF(AND(LEN(Y74)=8,ISNUMBER(Y74*1)),DATE(LEFT(Y74,4),MID(Y74,5,2),RIGHT(Y74,2)),IFERROR(DATEVALUE(SUBSTITUTE(SUBSTITUTE(Y74,".","-"),"/","-")),IFERROR(Y74*1,""))))</f>
        <v/>
      </c>
      <c r="N74">
        <f>IFERROR(LEFT(B74,FIND(" ",B74)-1),B74)</f>
        <v/>
      </c>
      <c r="O74">
        <f>AND(B74&lt;&gt;"",B74&lt;&gt;설정!$B$4,C74&lt;&gt;설정!$B$5)</f>
        <v/>
      </c>
      <c r="P74">
        <f>IF(O74,B74&amp;"|"&amp;C74,"")</f>
        <v/>
      </c>
      <c r="Q74">
        <f>AND(O74,COUNTIF(P75:P$1002,P74)=0)</f>
        <v/>
      </c>
      <c r="R74">
        <f>OR(AND(설정!$A$42&lt;&gt;"",ISNUMBER(SEARCH(설정!$A$42,E74&amp;" "&amp;C74))),AND(설정!$A$43&lt;&gt;"",ISNUMBER(SEARCH(설정!$A$43,E74&amp;" "&amp;C74))),AND(설정!$A$44&lt;&gt;"",ISNUMBER(SEARCH(설정!$A$44,E74&amp;" "&amp;C74))),AND(설정!$A$45&lt;&gt;"",ISNUMBER(SEARCH(설정!$A$45,E74&amp;" "&amp;C74))),AND(설정!$A$46&lt;&gt;"",ISNUMBER(SEARCH(설정!$A$46,E74&amp;" "&amp;C74))),AND(설정!$A$47&lt;&gt;"",ISNUMBER(SEARCH(설정!$A$47,E74&amp;" "&amp;C74))),AND(설정!$A$48&lt;&gt;"",ISNUMBER(SEARCH(설정!$A$48,E74&amp;" "&amp;C74))),AND(설정!$A$49&lt;&gt;"",ISNUMBER(SEARCH(설정!$A$49,E74&amp;" "&amp;C74))),AND(설정!$A$50&lt;&gt;"",ISNUMBER(SEARCH(설정!$A$50,E74&amp;" "&amp;C74))),AND(설정!$A$51&lt;&gt;"",ISNUMBER(SEARCH(설정!$A$51,E74&amp;" "&amp;C74))))</f>
        <v/>
      </c>
      <c r="S74">
        <f>OR(D74="",D74&gt;=설정!$B$19)</f>
        <v/>
      </c>
      <c r="T74">
        <f>AND(Q74,R74,S74)</f>
        <v/>
      </c>
      <c r="U74">
        <f>IF(T74,IF(AND(설정!$A$54&lt;&gt;"",ISNUMBER(SEARCH(설정!$A$54,K74))),설정!$B$54,IF(AND(설정!$A$55&lt;&gt;"",ISNUMBER(SEARCH(설정!$A$55,K74))),설정!$B$55,IF(AND(설정!$A$56&lt;&gt;"",ISNUMBER(SEARCH(설정!$A$56,K74))),설정!$B$56,IF(AND(설정!$A$57&lt;&gt;"",ISNUMBER(SEARCH(설정!$A$57,K74))),설정!$B$57,IF(AND(설정!$A$58&lt;&gt;"",ISNUMBER(SEARCH(설정!$A$58,K74))),설정!$B$58,IF(AND(설정!$A$59&lt;&gt;"",ISNUMBER(SEARCH(설정!$A$59,K74))),설정!$B$59,IF(AND(설정!$A$60&lt;&gt;"",ISNUMBER(SEARCH(설정!$A$60,K74))),설정!$B$60,IF(AND(설정!$A$61&lt;&gt;"",ISNUMBER(SEARCH(설정!$A$61,K74))),설정!$B$61,IF(M74="","설계사","시공사"))))))))),"")</f>
        <v/>
      </c>
      <c r="V74">
        <f>SUBSTITUTE(SUBSTITUTE(SUBSTITUTE(SUBSTITUTE(G74,"(주)",""),"㈜",""),"주식회사","")," ","")</f>
        <v/>
      </c>
      <c r="W74">
        <f>IF(AND(T74,V74&lt;&gt;""),IF(COUNTIFS(V$2:V74,V74,T$2:T74,TRUE)=1,MAX(W$1:W73)+1,""),"")</f>
        <v/>
      </c>
      <c r="X74">
        <f>IF(설정!$C$14="","",IFERROR(INDEX('1.산군_붙여넣기'!$A$1:$AZ$1001,ROW(),설정!$C$14)&amp;"",""))</f>
        <v/>
      </c>
      <c r="Y74">
        <f>IF(설정!$C$15="","",IFERROR(INDEX('1.산군_붙여넣기'!$A$1:$AZ$1001,ROW(),설정!$C$15)&amp;"",""))</f>
        <v/>
      </c>
      <c r="Z74">
        <f>IF(T74,V74&amp;"|"&amp;U74,"")</f>
        <v/>
      </c>
      <c r="AA74">
        <f>IF(NOT(Q74),"",IF(NOT(AND(R74,S74)),"✕",IF(OR(OR(AND(L74&lt;&gt;"",M74&lt;&gt;"",N(M74)-N(L74)&gt;설정!$B$27),AND(L74&lt;&gt;"",M74="",설정!$B$24-N(L74)&gt;설정!$B$27)),AND(D74&lt;&gt;"",D74&lt;설정!$B$26)),"△","★")))</f>
        <v/>
      </c>
      <c r="AB74">
        <f>IF(NOT(T74),"",IF(U74="설계사",설정!$B$31,IF(U74="시공사",IF(OR(M74="",설정!$B$24-N(M74)&lt;=설정!$B$28*30.4),설정!$B$32,설정!$B$33),설정!$B$34))+IF(AA74="★",설정!$B$35,0))</f>
        <v/>
      </c>
      <c r="AC74">
        <f>SUBSTITUTE(SUBSTITUTE(SUBSTITUTE(SUBSTITUTE(H74,"(주)",""),"㈜",""),"주식회사","")," ","")</f>
        <v/>
      </c>
      <c r="AD74">
        <f>IF(AND(T74,AC74&lt;&gt;""),IF(COUNTIFS(AC$2:AC74,AC74,T$2:T74,TRUE)=1,MAX(AD$1:AD73)+1,""),"")</f>
        <v/>
      </c>
    </row>
    <row r="75">
      <c r="A75">
        <f>ROW()</f>
        <v/>
      </c>
      <c r="B75">
        <f>IF(설정!$C$4="","",IFERROR(INDEX('1.산군_붙여넣기'!$A$1:$AZ$1001,ROW(),설정!$C$4)&amp;"",""))</f>
        <v/>
      </c>
      <c r="C75">
        <f>IF(설정!$C$5="","",IFERROR(INDEX('1.산군_붙여넣기'!$A$1:$AZ$1001,ROW(),설정!$C$5)&amp;"",""))</f>
        <v/>
      </c>
      <c r="D75" s="5">
        <f>IFERROR(VALUE(SUBSTITUTE(SUBSTITUTE(SUBSTITUTE(IF(설정!$C$6="","",IFERROR(INDEX('1.산군_붙여넣기'!$A$1:$AZ$1001,ROW(),설정!$C$6)&amp;"","")),",",""),"㎡",""),"m2","")),"")</f>
        <v/>
      </c>
      <c r="E75">
        <f>IF(설정!$C$7="","",IFERROR(INDEX('1.산군_붙여넣기'!$A$1:$AZ$1001,ROW(),설정!$C$7)&amp;"",""))</f>
        <v/>
      </c>
      <c r="F75">
        <f>IF(설정!$C$8="","",IFERROR(INDEX('1.산군_붙여넣기'!$A$1:$AZ$1001,ROW(),설정!$C$8)&amp;"",""))</f>
        <v/>
      </c>
      <c r="G75">
        <f>IF(설정!$C$9="","",IFERROR(INDEX('1.산군_붙여넣기'!$A$1:$AZ$1001,ROW(),설정!$C$9)&amp;"",""))</f>
        <v/>
      </c>
      <c r="H75">
        <f>IF(설정!$C$10="","",IFERROR(INDEX('1.산군_붙여넣기'!$A$1:$AZ$1001,ROW(),설정!$C$10)&amp;"",""))</f>
        <v/>
      </c>
      <c r="I75">
        <f>IF(설정!$C$11="","",IFERROR(INDEX('1.산군_붙여넣기'!$A$1:$AZ$1001,ROW(),설정!$C$11)&amp;"",""))</f>
        <v/>
      </c>
      <c r="J75">
        <f>IF(설정!$C$12="","",IFERROR(INDEX('1.산군_붙여넣기'!$A$1:$AZ$1001,ROW(),설정!$C$12)&amp;"",""))</f>
        <v/>
      </c>
      <c r="K75">
        <f>IF(설정!$C$13="","",IFERROR(INDEX('1.산군_붙여넣기'!$A$1:$AZ$1001,ROW(),설정!$C$13)&amp;"",""))</f>
        <v/>
      </c>
      <c r="L75" s="7">
        <f>IF(X75="","",IF(AND(LEN(X75)=8,ISNUMBER(X75*1)),DATE(LEFT(X75,4),MID(X75,5,2),RIGHT(X75,2)),IFERROR(DATEVALUE(SUBSTITUTE(SUBSTITUTE(X75,".","-"),"/","-")),IFERROR(X75*1,""))))</f>
        <v/>
      </c>
      <c r="M75" s="7">
        <f>IF(Y75="","",IF(AND(LEN(Y75)=8,ISNUMBER(Y75*1)),DATE(LEFT(Y75,4),MID(Y75,5,2),RIGHT(Y75,2)),IFERROR(DATEVALUE(SUBSTITUTE(SUBSTITUTE(Y75,".","-"),"/","-")),IFERROR(Y75*1,""))))</f>
        <v/>
      </c>
      <c r="N75">
        <f>IFERROR(LEFT(B75,FIND(" ",B75)-1),B75)</f>
        <v/>
      </c>
      <c r="O75">
        <f>AND(B75&lt;&gt;"",B75&lt;&gt;설정!$B$4,C75&lt;&gt;설정!$B$5)</f>
        <v/>
      </c>
      <c r="P75">
        <f>IF(O75,B75&amp;"|"&amp;C75,"")</f>
        <v/>
      </c>
      <c r="Q75">
        <f>AND(O75,COUNTIF(P76:P$1002,P75)=0)</f>
        <v/>
      </c>
      <c r="R75">
        <f>OR(AND(설정!$A$42&lt;&gt;"",ISNUMBER(SEARCH(설정!$A$42,E75&amp;" "&amp;C75))),AND(설정!$A$43&lt;&gt;"",ISNUMBER(SEARCH(설정!$A$43,E75&amp;" "&amp;C75))),AND(설정!$A$44&lt;&gt;"",ISNUMBER(SEARCH(설정!$A$44,E75&amp;" "&amp;C75))),AND(설정!$A$45&lt;&gt;"",ISNUMBER(SEARCH(설정!$A$45,E75&amp;" "&amp;C75))),AND(설정!$A$46&lt;&gt;"",ISNUMBER(SEARCH(설정!$A$46,E75&amp;" "&amp;C75))),AND(설정!$A$47&lt;&gt;"",ISNUMBER(SEARCH(설정!$A$47,E75&amp;" "&amp;C75))),AND(설정!$A$48&lt;&gt;"",ISNUMBER(SEARCH(설정!$A$48,E75&amp;" "&amp;C75))),AND(설정!$A$49&lt;&gt;"",ISNUMBER(SEARCH(설정!$A$49,E75&amp;" "&amp;C75))),AND(설정!$A$50&lt;&gt;"",ISNUMBER(SEARCH(설정!$A$50,E75&amp;" "&amp;C75))),AND(설정!$A$51&lt;&gt;"",ISNUMBER(SEARCH(설정!$A$51,E75&amp;" "&amp;C75))))</f>
        <v/>
      </c>
      <c r="S75">
        <f>OR(D75="",D75&gt;=설정!$B$19)</f>
        <v/>
      </c>
      <c r="T75">
        <f>AND(Q75,R75,S75)</f>
        <v/>
      </c>
      <c r="U75">
        <f>IF(T75,IF(AND(설정!$A$54&lt;&gt;"",ISNUMBER(SEARCH(설정!$A$54,K75))),설정!$B$54,IF(AND(설정!$A$55&lt;&gt;"",ISNUMBER(SEARCH(설정!$A$55,K75))),설정!$B$55,IF(AND(설정!$A$56&lt;&gt;"",ISNUMBER(SEARCH(설정!$A$56,K75))),설정!$B$56,IF(AND(설정!$A$57&lt;&gt;"",ISNUMBER(SEARCH(설정!$A$57,K75))),설정!$B$57,IF(AND(설정!$A$58&lt;&gt;"",ISNUMBER(SEARCH(설정!$A$58,K75))),설정!$B$58,IF(AND(설정!$A$59&lt;&gt;"",ISNUMBER(SEARCH(설정!$A$59,K75))),설정!$B$59,IF(AND(설정!$A$60&lt;&gt;"",ISNUMBER(SEARCH(설정!$A$60,K75))),설정!$B$60,IF(AND(설정!$A$61&lt;&gt;"",ISNUMBER(SEARCH(설정!$A$61,K75))),설정!$B$61,IF(M75="","설계사","시공사"))))))))),"")</f>
        <v/>
      </c>
      <c r="V75">
        <f>SUBSTITUTE(SUBSTITUTE(SUBSTITUTE(SUBSTITUTE(G75,"(주)",""),"㈜",""),"주식회사","")," ","")</f>
        <v/>
      </c>
      <c r="W75">
        <f>IF(AND(T75,V75&lt;&gt;""),IF(COUNTIFS(V$2:V75,V75,T$2:T75,TRUE)=1,MAX(W$1:W74)+1,""),"")</f>
        <v/>
      </c>
      <c r="X75">
        <f>IF(설정!$C$14="","",IFERROR(INDEX('1.산군_붙여넣기'!$A$1:$AZ$1001,ROW(),설정!$C$14)&amp;"",""))</f>
        <v/>
      </c>
      <c r="Y75">
        <f>IF(설정!$C$15="","",IFERROR(INDEX('1.산군_붙여넣기'!$A$1:$AZ$1001,ROW(),설정!$C$15)&amp;"",""))</f>
        <v/>
      </c>
      <c r="Z75">
        <f>IF(T75,V75&amp;"|"&amp;U75,"")</f>
        <v/>
      </c>
      <c r="AA75">
        <f>IF(NOT(Q75),"",IF(NOT(AND(R75,S75)),"✕",IF(OR(OR(AND(L75&lt;&gt;"",M75&lt;&gt;"",N(M75)-N(L75)&gt;설정!$B$27),AND(L75&lt;&gt;"",M75="",설정!$B$24-N(L75)&gt;설정!$B$27)),AND(D75&lt;&gt;"",D75&lt;설정!$B$26)),"△","★")))</f>
        <v/>
      </c>
      <c r="AB75">
        <f>IF(NOT(T75),"",IF(U75="설계사",설정!$B$31,IF(U75="시공사",IF(OR(M75="",설정!$B$24-N(M75)&lt;=설정!$B$28*30.4),설정!$B$32,설정!$B$33),설정!$B$34))+IF(AA75="★",설정!$B$35,0))</f>
        <v/>
      </c>
      <c r="AC75">
        <f>SUBSTITUTE(SUBSTITUTE(SUBSTITUTE(SUBSTITUTE(H75,"(주)",""),"㈜",""),"주식회사","")," ","")</f>
        <v/>
      </c>
      <c r="AD75">
        <f>IF(AND(T75,AC75&lt;&gt;""),IF(COUNTIFS(AC$2:AC75,AC75,T$2:T75,TRUE)=1,MAX(AD$1:AD74)+1,""),"")</f>
        <v/>
      </c>
    </row>
    <row r="76">
      <c r="A76">
        <f>ROW()</f>
        <v/>
      </c>
      <c r="B76">
        <f>IF(설정!$C$4="","",IFERROR(INDEX('1.산군_붙여넣기'!$A$1:$AZ$1001,ROW(),설정!$C$4)&amp;"",""))</f>
        <v/>
      </c>
      <c r="C76">
        <f>IF(설정!$C$5="","",IFERROR(INDEX('1.산군_붙여넣기'!$A$1:$AZ$1001,ROW(),설정!$C$5)&amp;"",""))</f>
        <v/>
      </c>
      <c r="D76" s="5">
        <f>IFERROR(VALUE(SUBSTITUTE(SUBSTITUTE(SUBSTITUTE(IF(설정!$C$6="","",IFERROR(INDEX('1.산군_붙여넣기'!$A$1:$AZ$1001,ROW(),설정!$C$6)&amp;"","")),",",""),"㎡",""),"m2","")),"")</f>
        <v/>
      </c>
      <c r="E76">
        <f>IF(설정!$C$7="","",IFERROR(INDEX('1.산군_붙여넣기'!$A$1:$AZ$1001,ROW(),설정!$C$7)&amp;"",""))</f>
        <v/>
      </c>
      <c r="F76">
        <f>IF(설정!$C$8="","",IFERROR(INDEX('1.산군_붙여넣기'!$A$1:$AZ$1001,ROW(),설정!$C$8)&amp;"",""))</f>
        <v/>
      </c>
      <c r="G76">
        <f>IF(설정!$C$9="","",IFERROR(INDEX('1.산군_붙여넣기'!$A$1:$AZ$1001,ROW(),설정!$C$9)&amp;"",""))</f>
        <v/>
      </c>
      <c r="H76">
        <f>IF(설정!$C$10="","",IFERROR(INDEX('1.산군_붙여넣기'!$A$1:$AZ$1001,ROW(),설정!$C$10)&amp;"",""))</f>
        <v/>
      </c>
      <c r="I76">
        <f>IF(설정!$C$11="","",IFERROR(INDEX('1.산군_붙여넣기'!$A$1:$AZ$1001,ROW(),설정!$C$11)&amp;"",""))</f>
        <v/>
      </c>
      <c r="J76">
        <f>IF(설정!$C$12="","",IFERROR(INDEX('1.산군_붙여넣기'!$A$1:$AZ$1001,ROW(),설정!$C$12)&amp;"",""))</f>
        <v/>
      </c>
      <c r="K76">
        <f>IF(설정!$C$13="","",IFERROR(INDEX('1.산군_붙여넣기'!$A$1:$AZ$1001,ROW(),설정!$C$13)&amp;"",""))</f>
        <v/>
      </c>
      <c r="L76" s="7">
        <f>IF(X76="","",IF(AND(LEN(X76)=8,ISNUMBER(X76*1)),DATE(LEFT(X76,4),MID(X76,5,2),RIGHT(X76,2)),IFERROR(DATEVALUE(SUBSTITUTE(SUBSTITUTE(X76,".","-"),"/","-")),IFERROR(X76*1,""))))</f>
        <v/>
      </c>
      <c r="M76" s="7">
        <f>IF(Y76="","",IF(AND(LEN(Y76)=8,ISNUMBER(Y76*1)),DATE(LEFT(Y76,4),MID(Y76,5,2),RIGHT(Y76,2)),IFERROR(DATEVALUE(SUBSTITUTE(SUBSTITUTE(Y76,".","-"),"/","-")),IFERROR(Y76*1,""))))</f>
        <v/>
      </c>
      <c r="N76">
        <f>IFERROR(LEFT(B76,FIND(" ",B76)-1),B76)</f>
        <v/>
      </c>
      <c r="O76">
        <f>AND(B76&lt;&gt;"",B76&lt;&gt;설정!$B$4,C76&lt;&gt;설정!$B$5)</f>
        <v/>
      </c>
      <c r="P76">
        <f>IF(O76,B76&amp;"|"&amp;C76,"")</f>
        <v/>
      </c>
      <c r="Q76">
        <f>AND(O76,COUNTIF(P77:P$1002,P76)=0)</f>
        <v/>
      </c>
      <c r="R76">
        <f>OR(AND(설정!$A$42&lt;&gt;"",ISNUMBER(SEARCH(설정!$A$42,E76&amp;" "&amp;C76))),AND(설정!$A$43&lt;&gt;"",ISNUMBER(SEARCH(설정!$A$43,E76&amp;" "&amp;C76))),AND(설정!$A$44&lt;&gt;"",ISNUMBER(SEARCH(설정!$A$44,E76&amp;" "&amp;C76))),AND(설정!$A$45&lt;&gt;"",ISNUMBER(SEARCH(설정!$A$45,E76&amp;" "&amp;C76))),AND(설정!$A$46&lt;&gt;"",ISNUMBER(SEARCH(설정!$A$46,E76&amp;" "&amp;C76))),AND(설정!$A$47&lt;&gt;"",ISNUMBER(SEARCH(설정!$A$47,E76&amp;" "&amp;C76))),AND(설정!$A$48&lt;&gt;"",ISNUMBER(SEARCH(설정!$A$48,E76&amp;" "&amp;C76))),AND(설정!$A$49&lt;&gt;"",ISNUMBER(SEARCH(설정!$A$49,E76&amp;" "&amp;C76))),AND(설정!$A$50&lt;&gt;"",ISNUMBER(SEARCH(설정!$A$50,E76&amp;" "&amp;C76))),AND(설정!$A$51&lt;&gt;"",ISNUMBER(SEARCH(설정!$A$51,E76&amp;" "&amp;C76))))</f>
        <v/>
      </c>
      <c r="S76">
        <f>OR(D76="",D76&gt;=설정!$B$19)</f>
        <v/>
      </c>
      <c r="T76">
        <f>AND(Q76,R76,S76)</f>
        <v/>
      </c>
      <c r="U76">
        <f>IF(T76,IF(AND(설정!$A$54&lt;&gt;"",ISNUMBER(SEARCH(설정!$A$54,K76))),설정!$B$54,IF(AND(설정!$A$55&lt;&gt;"",ISNUMBER(SEARCH(설정!$A$55,K76))),설정!$B$55,IF(AND(설정!$A$56&lt;&gt;"",ISNUMBER(SEARCH(설정!$A$56,K76))),설정!$B$56,IF(AND(설정!$A$57&lt;&gt;"",ISNUMBER(SEARCH(설정!$A$57,K76))),설정!$B$57,IF(AND(설정!$A$58&lt;&gt;"",ISNUMBER(SEARCH(설정!$A$58,K76))),설정!$B$58,IF(AND(설정!$A$59&lt;&gt;"",ISNUMBER(SEARCH(설정!$A$59,K76))),설정!$B$59,IF(AND(설정!$A$60&lt;&gt;"",ISNUMBER(SEARCH(설정!$A$60,K76))),설정!$B$60,IF(AND(설정!$A$61&lt;&gt;"",ISNUMBER(SEARCH(설정!$A$61,K76))),설정!$B$61,IF(M76="","설계사","시공사"))))))))),"")</f>
        <v/>
      </c>
      <c r="V76">
        <f>SUBSTITUTE(SUBSTITUTE(SUBSTITUTE(SUBSTITUTE(G76,"(주)",""),"㈜",""),"주식회사","")," ","")</f>
        <v/>
      </c>
      <c r="W76">
        <f>IF(AND(T76,V76&lt;&gt;""),IF(COUNTIFS(V$2:V76,V76,T$2:T76,TRUE)=1,MAX(W$1:W75)+1,""),"")</f>
        <v/>
      </c>
      <c r="X76">
        <f>IF(설정!$C$14="","",IFERROR(INDEX('1.산군_붙여넣기'!$A$1:$AZ$1001,ROW(),설정!$C$14)&amp;"",""))</f>
        <v/>
      </c>
      <c r="Y76">
        <f>IF(설정!$C$15="","",IFERROR(INDEX('1.산군_붙여넣기'!$A$1:$AZ$1001,ROW(),설정!$C$15)&amp;"",""))</f>
        <v/>
      </c>
      <c r="Z76">
        <f>IF(T76,V76&amp;"|"&amp;U76,"")</f>
        <v/>
      </c>
      <c r="AA76">
        <f>IF(NOT(Q76),"",IF(NOT(AND(R76,S76)),"✕",IF(OR(OR(AND(L76&lt;&gt;"",M76&lt;&gt;"",N(M76)-N(L76)&gt;설정!$B$27),AND(L76&lt;&gt;"",M76="",설정!$B$24-N(L76)&gt;설정!$B$27)),AND(D76&lt;&gt;"",D76&lt;설정!$B$26)),"△","★")))</f>
        <v/>
      </c>
      <c r="AB76">
        <f>IF(NOT(T76),"",IF(U76="설계사",설정!$B$31,IF(U76="시공사",IF(OR(M76="",설정!$B$24-N(M76)&lt;=설정!$B$28*30.4),설정!$B$32,설정!$B$33),설정!$B$34))+IF(AA76="★",설정!$B$35,0))</f>
        <v/>
      </c>
      <c r="AC76">
        <f>SUBSTITUTE(SUBSTITUTE(SUBSTITUTE(SUBSTITUTE(H76,"(주)",""),"㈜",""),"주식회사","")," ","")</f>
        <v/>
      </c>
      <c r="AD76">
        <f>IF(AND(T76,AC76&lt;&gt;""),IF(COUNTIFS(AC$2:AC76,AC76,T$2:T76,TRUE)=1,MAX(AD$1:AD75)+1,""),"")</f>
        <v/>
      </c>
    </row>
    <row r="77">
      <c r="A77">
        <f>ROW()</f>
        <v/>
      </c>
      <c r="B77">
        <f>IF(설정!$C$4="","",IFERROR(INDEX('1.산군_붙여넣기'!$A$1:$AZ$1001,ROW(),설정!$C$4)&amp;"",""))</f>
        <v/>
      </c>
      <c r="C77">
        <f>IF(설정!$C$5="","",IFERROR(INDEX('1.산군_붙여넣기'!$A$1:$AZ$1001,ROW(),설정!$C$5)&amp;"",""))</f>
        <v/>
      </c>
      <c r="D77" s="5">
        <f>IFERROR(VALUE(SUBSTITUTE(SUBSTITUTE(SUBSTITUTE(IF(설정!$C$6="","",IFERROR(INDEX('1.산군_붙여넣기'!$A$1:$AZ$1001,ROW(),설정!$C$6)&amp;"","")),",",""),"㎡",""),"m2","")),"")</f>
        <v/>
      </c>
      <c r="E77">
        <f>IF(설정!$C$7="","",IFERROR(INDEX('1.산군_붙여넣기'!$A$1:$AZ$1001,ROW(),설정!$C$7)&amp;"",""))</f>
        <v/>
      </c>
      <c r="F77">
        <f>IF(설정!$C$8="","",IFERROR(INDEX('1.산군_붙여넣기'!$A$1:$AZ$1001,ROW(),설정!$C$8)&amp;"",""))</f>
        <v/>
      </c>
      <c r="G77">
        <f>IF(설정!$C$9="","",IFERROR(INDEX('1.산군_붙여넣기'!$A$1:$AZ$1001,ROW(),설정!$C$9)&amp;"",""))</f>
        <v/>
      </c>
      <c r="H77">
        <f>IF(설정!$C$10="","",IFERROR(INDEX('1.산군_붙여넣기'!$A$1:$AZ$1001,ROW(),설정!$C$10)&amp;"",""))</f>
        <v/>
      </c>
      <c r="I77">
        <f>IF(설정!$C$11="","",IFERROR(INDEX('1.산군_붙여넣기'!$A$1:$AZ$1001,ROW(),설정!$C$11)&amp;"",""))</f>
        <v/>
      </c>
      <c r="J77">
        <f>IF(설정!$C$12="","",IFERROR(INDEX('1.산군_붙여넣기'!$A$1:$AZ$1001,ROW(),설정!$C$12)&amp;"",""))</f>
        <v/>
      </c>
      <c r="K77">
        <f>IF(설정!$C$13="","",IFERROR(INDEX('1.산군_붙여넣기'!$A$1:$AZ$1001,ROW(),설정!$C$13)&amp;"",""))</f>
        <v/>
      </c>
      <c r="L77" s="7">
        <f>IF(X77="","",IF(AND(LEN(X77)=8,ISNUMBER(X77*1)),DATE(LEFT(X77,4),MID(X77,5,2),RIGHT(X77,2)),IFERROR(DATEVALUE(SUBSTITUTE(SUBSTITUTE(X77,".","-"),"/","-")),IFERROR(X77*1,""))))</f>
        <v/>
      </c>
      <c r="M77" s="7">
        <f>IF(Y77="","",IF(AND(LEN(Y77)=8,ISNUMBER(Y77*1)),DATE(LEFT(Y77,4),MID(Y77,5,2),RIGHT(Y77,2)),IFERROR(DATEVALUE(SUBSTITUTE(SUBSTITUTE(Y77,".","-"),"/","-")),IFERROR(Y77*1,""))))</f>
        <v/>
      </c>
      <c r="N77">
        <f>IFERROR(LEFT(B77,FIND(" ",B77)-1),B77)</f>
        <v/>
      </c>
      <c r="O77">
        <f>AND(B77&lt;&gt;"",B77&lt;&gt;설정!$B$4,C77&lt;&gt;설정!$B$5)</f>
        <v/>
      </c>
      <c r="P77">
        <f>IF(O77,B77&amp;"|"&amp;C77,"")</f>
        <v/>
      </c>
      <c r="Q77">
        <f>AND(O77,COUNTIF(P78:P$1002,P77)=0)</f>
        <v/>
      </c>
      <c r="R77">
        <f>OR(AND(설정!$A$42&lt;&gt;"",ISNUMBER(SEARCH(설정!$A$42,E77&amp;" "&amp;C77))),AND(설정!$A$43&lt;&gt;"",ISNUMBER(SEARCH(설정!$A$43,E77&amp;" "&amp;C77))),AND(설정!$A$44&lt;&gt;"",ISNUMBER(SEARCH(설정!$A$44,E77&amp;" "&amp;C77))),AND(설정!$A$45&lt;&gt;"",ISNUMBER(SEARCH(설정!$A$45,E77&amp;" "&amp;C77))),AND(설정!$A$46&lt;&gt;"",ISNUMBER(SEARCH(설정!$A$46,E77&amp;" "&amp;C77))),AND(설정!$A$47&lt;&gt;"",ISNUMBER(SEARCH(설정!$A$47,E77&amp;" "&amp;C77))),AND(설정!$A$48&lt;&gt;"",ISNUMBER(SEARCH(설정!$A$48,E77&amp;" "&amp;C77))),AND(설정!$A$49&lt;&gt;"",ISNUMBER(SEARCH(설정!$A$49,E77&amp;" "&amp;C77))),AND(설정!$A$50&lt;&gt;"",ISNUMBER(SEARCH(설정!$A$50,E77&amp;" "&amp;C77))),AND(설정!$A$51&lt;&gt;"",ISNUMBER(SEARCH(설정!$A$51,E77&amp;" "&amp;C77))))</f>
        <v/>
      </c>
      <c r="S77">
        <f>OR(D77="",D77&gt;=설정!$B$19)</f>
        <v/>
      </c>
      <c r="T77">
        <f>AND(Q77,R77,S77)</f>
        <v/>
      </c>
      <c r="U77">
        <f>IF(T77,IF(AND(설정!$A$54&lt;&gt;"",ISNUMBER(SEARCH(설정!$A$54,K77))),설정!$B$54,IF(AND(설정!$A$55&lt;&gt;"",ISNUMBER(SEARCH(설정!$A$55,K77))),설정!$B$55,IF(AND(설정!$A$56&lt;&gt;"",ISNUMBER(SEARCH(설정!$A$56,K77))),설정!$B$56,IF(AND(설정!$A$57&lt;&gt;"",ISNUMBER(SEARCH(설정!$A$57,K77))),설정!$B$57,IF(AND(설정!$A$58&lt;&gt;"",ISNUMBER(SEARCH(설정!$A$58,K77))),설정!$B$58,IF(AND(설정!$A$59&lt;&gt;"",ISNUMBER(SEARCH(설정!$A$59,K77))),설정!$B$59,IF(AND(설정!$A$60&lt;&gt;"",ISNUMBER(SEARCH(설정!$A$60,K77))),설정!$B$60,IF(AND(설정!$A$61&lt;&gt;"",ISNUMBER(SEARCH(설정!$A$61,K77))),설정!$B$61,IF(M77="","설계사","시공사"))))))))),"")</f>
        <v/>
      </c>
      <c r="V77">
        <f>SUBSTITUTE(SUBSTITUTE(SUBSTITUTE(SUBSTITUTE(G77,"(주)",""),"㈜",""),"주식회사","")," ","")</f>
        <v/>
      </c>
      <c r="W77">
        <f>IF(AND(T77,V77&lt;&gt;""),IF(COUNTIFS(V$2:V77,V77,T$2:T77,TRUE)=1,MAX(W$1:W76)+1,""),"")</f>
        <v/>
      </c>
      <c r="X77">
        <f>IF(설정!$C$14="","",IFERROR(INDEX('1.산군_붙여넣기'!$A$1:$AZ$1001,ROW(),설정!$C$14)&amp;"",""))</f>
        <v/>
      </c>
      <c r="Y77">
        <f>IF(설정!$C$15="","",IFERROR(INDEX('1.산군_붙여넣기'!$A$1:$AZ$1001,ROW(),설정!$C$15)&amp;"",""))</f>
        <v/>
      </c>
      <c r="Z77">
        <f>IF(T77,V77&amp;"|"&amp;U77,"")</f>
        <v/>
      </c>
      <c r="AA77">
        <f>IF(NOT(Q77),"",IF(NOT(AND(R77,S77)),"✕",IF(OR(OR(AND(L77&lt;&gt;"",M77&lt;&gt;"",N(M77)-N(L77)&gt;설정!$B$27),AND(L77&lt;&gt;"",M77="",설정!$B$24-N(L77)&gt;설정!$B$27)),AND(D77&lt;&gt;"",D77&lt;설정!$B$26)),"△","★")))</f>
        <v/>
      </c>
      <c r="AB77">
        <f>IF(NOT(T77),"",IF(U77="설계사",설정!$B$31,IF(U77="시공사",IF(OR(M77="",설정!$B$24-N(M77)&lt;=설정!$B$28*30.4),설정!$B$32,설정!$B$33),설정!$B$34))+IF(AA77="★",설정!$B$35,0))</f>
        <v/>
      </c>
      <c r="AC77">
        <f>SUBSTITUTE(SUBSTITUTE(SUBSTITUTE(SUBSTITUTE(H77,"(주)",""),"㈜",""),"주식회사","")," ","")</f>
        <v/>
      </c>
      <c r="AD77">
        <f>IF(AND(T77,AC77&lt;&gt;""),IF(COUNTIFS(AC$2:AC77,AC77,T$2:T77,TRUE)=1,MAX(AD$1:AD76)+1,""),"")</f>
        <v/>
      </c>
    </row>
    <row r="78">
      <c r="A78">
        <f>ROW()</f>
        <v/>
      </c>
      <c r="B78">
        <f>IF(설정!$C$4="","",IFERROR(INDEX('1.산군_붙여넣기'!$A$1:$AZ$1001,ROW(),설정!$C$4)&amp;"",""))</f>
        <v/>
      </c>
      <c r="C78">
        <f>IF(설정!$C$5="","",IFERROR(INDEX('1.산군_붙여넣기'!$A$1:$AZ$1001,ROW(),설정!$C$5)&amp;"",""))</f>
        <v/>
      </c>
      <c r="D78" s="5">
        <f>IFERROR(VALUE(SUBSTITUTE(SUBSTITUTE(SUBSTITUTE(IF(설정!$C$6="","",IFERROR(INDEX('1.산군_붙여넣기'!$A$1:$AZ$1001,ROW(),설정!$C$6)&amp;"","")),",",""),"㎡",""),"m2","")),"")</f>
        <v/>
      </c>
      <c r="E78">
        <f>IF(설정!$C$7="","",IFERROR(INDEX('1.산군_붙여넣기'!$A$1:$AZ$1001,ROW(),설정!$C$7)&amp;"",""))</f>
        <v/>
      </c>
      <c r="F78">
        <f>IF(설정!$C$8="","",IFERROR(INDEX('1.산군_붙여넣기'!$A$1:$AZ$1001,ROW(),설정!$C$8)&amp;"",""))</f>
        <v/>
      </c>
      <c r="G78">
        <f>IF(설정!$C$9="","",IFERROR(INDEX('1.산군_붙여넣기'!$A$1:$AZ$1001,ROW(),설정!$C$9)&amp;"",""))</f>
        <v/>
      </c>
      <c r="H78">
        <f>IF(설정!$C$10="","",IFERROR(INDEX('1.산군_붙여넣기'!$A$1:$AZ$1001,ROW(),설정!$C$10)&amp;"",""))</f>
        <v/>
      </c>
      <c r="I78">
        <f>IF(설정!$C$11="","",IFERROR(INDEX('1.산군_붙여넣기'!$A$1:$AZ$1001,ROW(),설정!$C$11)&amp;"",""))</f>
        <v/>
      </c>
      <c r="J78">
        <f>IF(설정!$C$12="","",IFERROR(INDEX('1.산군_붙여넣기'!$A$1:$AZ$1001,ROW(),설정!$C$12)&amp;"",""))</f>
        <v/>
      </c>
      <c r="K78">
        <f>IF(설정!$C$13="","",IFERROR(INDEX('1.산군_붙여넣기'!$A$1:$AZ$1001,ROW(),설정!$C$13)&amp;"",""))</f>
        <v/>
      </c>
      <c r="L78" s="7">
        <f>IF(X78="","",IF(AND(LEN(X78)=8,ISNUMBER(X78*1)),DATE(LEFT(X78,4),MID(X78,5,2),RIGHT(X78,2)),IFERROR(DATEVALUE(SUBSTITUTE(SUBSTITUTE(X78,".","-"),"/","-")),IFERROR(X78*1,""))))</f>
        <v/>
      </c>
      <c r="M78" s="7">
        <f>IF(Y78="","",IF(AND(LEN(Y78)=8,ISNUMBER(Y78*1)),DATE(LEFT(Y78,4),MID(Y78,5,2),RIGHT(Y78,2)),IFERROR(DATEVALUE(SUBSTITUTE(SUBSTITUTE(Y78,".","-"),"/","-")),IFERROR(Y78*1,""))))</f>
        <v/>
      </c>
      <c r="N78">
        <f>IFERROR(LEFT(B78,FIND(" ",B78)-1),B78)</f>
        <v/>
      </c>
      <c r="O78">
        <f>AND(B78&lt;&gt;"",B78&lt;&gt;설정!$B$4,C78&lt;&gt;설정!$B$5)</f>
        <v/>
      </c>
      <c r="P78">
        <f>IF(O78,B78&amp;"|"&amp;C78,"")</f>
        <v/>
      </c>
      <c r="Q78">
        <f>AND(O78,COUNTIF(P79:P$1002,P78)=0)</f>
        <v/>
      </c>
      <c r="R78">
        <f>OR(AND(설정!$A$42&lt;&gt;"",ISNUMBER(SEARCH(설정!$A$42,E78&amp;" "&amp;C78))),AND(설정!$A$43&lt;&gt;"",ISNUMBER(SEARCH(설정!$A$43,E78&amp;" "&amp;C78))),AND(설정!$A$44&lt;&gt;"",ISNUMBER(SEARCH(설정!$A$44,E78&amp;" "&amp;C78))),AND(설정!$A$45&lt;&gt;"",ISNUMBER(SEARCH(설정!$A$45,E78&amp;" "&amp;C78))),AND(설정!$A$46&lt;&gt;"",ISNUMBER(SEARCH(설정!$A$46,E78&amp;" "&amp;C78))),AND(설정!$A$47&lt;&gt;"",ISNUMBER(SEARCH(설정!$A$47,E78&amp;" "&amp;C78))),AND(설정!$A$48&lt;&gt;"",ISNUMBER(SEARCH(설정!$A$48,E78&amp;" "&amp;C78))),AND(설정!$A$49&lt;&gt;"",ISNUMBER(SEARCH(설정!$A$49,E78&amp;" "&amp;C78))),AND(설정!$A$50&lt;&gt;"",ISNUMBER(SEARCH(설정!$A$50,E78&amp;" "&amp;C78))),AND(설정!$A$51&lt;&gt;"",ISNUMBER(SEARCH(설정!$A$51,E78&amp;" "&amp;C78))))</f>
        <v/>
      </c>
      <c r="S78">
        <f>OR(D78="",D78&gt;=설정!$B$19)</f>
        <v/>
      </c>
      <c r="T78">
        <f>AND(Q78,R78,S78)</f>
        <v/>
      </c>
      <c r="U78">
        <f>IF(T78,IF(AND(설정!$A$54&lt;&gt;"",ISNUMBER(SEARCH(설정!$A$54,K78))),설정!$B$54,IF(AND(설정!$A$55&lt;&gt;"",ISNUMBER(SEARCH(설정!$A$55,K78))),설정!$B$55,IF(AND(설정!$A$56&lt;&gt;"",ISNUMBER(SEARCH(설정!$A$56,K78))),설정!$B$56,IF(AND(설정!$A$57&lt;&gt;"",ISNUMBER(SEARCH(설정!$A$57,K78))),설정!$B$57,IF(AND(설정!$A$58&lt;&gt;"",ISNUMBER(SEARCH(설정!$A$58,K78))),설정!$B$58,IF(AND(설정!$A$59&lt;&gt;"",ISNUMBER(SEARCH(설정!$A$59,K78))),설정!$B$59,IF(AND(설정!$A$60&lt;&gt;"",ISNUMBER(SEARCH(설정!$A$60,K78))),설정!$B$60,IF(AND(설정!$A$61&lt;&gt;"",ISNUMBER(SEARCH(설정!$A$61,K78))),설정!$B$61,IF(M78="","설계사","시공사"))))))))),"")</f>
        <v/>
      </c>
      <c r="V78">
        <f>SUBSTITUTE(SUBSTITUTE(SUBSTITUTE(SUBSTITUTE(G78,"(주)",""),"㈜",""),"주식회사","")," ","")</f>
        <v/>
      </c>
      <c r="W78">
        <f>IF(AND(T78,V78&lt;&gt;""),IF(COUNTIFS(V$2:V78,V78,T$2:T78,TRUE)=1,MAX(W$1:W77)+1,""),"")</f>
        <v/>
      </c>
      <c r="X78">
        <f>IF(설정!$C$14="","",IFERROR(INDEX('1.산군_붙여넣기'!$A$1:$AZ$1001,ROW(),설정!$C$14)&amp;"",""))</f>
        <v/>
      </c>
      <c r="Y78">
        <f>IF(설정!$C$15="","",IFERROR(INDEX('1.산군_붙여넣기'!$A$1:$AZ$1001,ROW(),설정!$C$15)&amp;"",""))</f>
        <v/>
      </c>
      <c r="Z78">
        <f>IF(T78,V78&amp;"|"&amp;U78,"")</f>
        <v/>
      </c>
      <c r="AA78">
        <f>IF(NOT(Q78),"",IF(NOT(AND(R78,S78)),"✕",IF(OR(OR(AND(L78&lt;&gt;"",M78&lt;&gt;"",N(M78)-N(L78)&gt;설정!$B$27),AND(L78&lt;&gt;"",M78="",설정!$B$24-N(L78)&gt;설정!$B$27)),AND(D78&lt;&gt;"",D78&lt;설정!$B$26)),"△","★")))</f>
        <v/>
      </c>
      <c r="AB78">
        <f>IF(NOT(T78),"",IF(U78="설계사",설정!$B$31,IF(U78="시공사",IF(OR(M78="",설정!$B$24-N(M78)&lt;=설정!$B$28*30.4),설정!$B$32,설정!$B$33),설정!$B$34))+IF(AA78="★",설정!$B$35,0))</f>
        <v/>
      </c>
      <c r="AC78">
        <f>SUBSTITUTE(SUBSTITUTE(SUBSTITUTE(SUBSTITUTE(H78,"(주)",""),"㈜",""),"주식회사","")," ","")</f>
        <v/>
      </c>
      <c r="AD78">
        <f>IF(AND(T78,AC78&lt;&gt;""),IF(COUNTIFS(AC$2:AC78,AC78,T$2:T78,TRUE)=1,MAX(AD$1:AD77)+1,""),"")</f>
        <v/>
      </c>
    </row>
    <row r="79">
      <c r="A79">
        <f>ROW()</f>
        <v/>
      </c>
      <c r="B79">
        <f>IF(설정!$C$4="","",IFERROR(INDEX('1.산군_붙여넣기'!$A$1:$AZ$1001,ROW(),설정!$C$4)&amp;"",""))</f>
        <v/>
      </c>
      <c r="C79">
        <f>IF(설정!$C$5="","",IFERROR(INDEX('1.산군_붙여넣기'!$A$1:$AZ$1001,ROW(),설정!$C$5)&amp;"",""))</f>
        <v/>
      </c>
      <c r="D79" s="5">
        <f>IFERROR(VALUE(SUBSTITUTE(SUBSTITUTE(SUBSTITUTE(IF(설정!$C$6="","",IFERROR(INDEX('1.산군_붙여넣기'!$A$1:$AZ$1001,ROW(),설정!$C$6)&amp;"","")),",",""),"㎡",""),"m2","")),"")</f>
        <v/>
      </c>
      <c r="E79">
        <f>IF(설정!$C$7="","",IFERROR(INDEX('1.산군_붙여넣기'!$A$1:$AZ$1001,ROW(),설정!$C$7)&amp;"",""))</f>
        <v/>
      </c>
      <c r="F79">
        <f>IF(설정!$C$8="","",IFERROR(INDEX('1.산군_붙여넣기'!$A$1:$AZ$1001,ROW(),설정!$C$8)&amp;"",""))</f>
        <v/>
      </c>
      <c r="G79">
        <f>IF(설정!$C$9="","",IFERROR(INDEX('1.산군_붙여넣기'!$A$1:$AZ$1001,ROW(),설정!$C$9)&amp;"",""))</f>
        <v/>
      </c>
      <c r="H79">
        <f>IF(설정!$C$10="","",IFERROR(INDEX('1.산군_붙여넣기'!$A$1:$AZ$1001,ROW(),설정!$C$10)&amp;"",""))</f>
        <v/>
      </c>
      <c r="I79">
        <f>IF(설정!$C$11="","",IFERROR(INDEX('1.산군_붙여넣기'!$A$1:$AZ$1001,ROW(),설정!$C$11)&amp;"",""))</f>
        <v/>
      </c>
      <c r="J79">
        <f>IF(설정!$C$12="","",IFERROR(INDEX('1.산군_붙여넣기'!$A$1:$AZ$1001,ROW(),설정!$C$12)&amp;"",""))</f>
        <v/>
      </c>
      <c r="K79">
        <f>IF(설정!$C$13="","",IFERROR(INDEX('1.산군_붙여넣기'!$A$1:$AZ$1001,ROW(),설정!$C$13)&amp;"",""))</f>
        <v/>
      </c>
      <c r="L79" s="7">
        <f>IF(X79="","",IF(AND(LEN(X79)=8,ISNUMBER(X79*1)),DATE(LEFT(X79,4),MID(X79,5,2),RIGHT(X79,2)),IFERROR(DATEVALUE(SUBSTITUTE(SUBSTITUTE(X79,".","-"),"/","-")),IFERROR(X79*1,""))))</f>
        <v/>
      </c>
      <c r="M79" s="7">
        <f>IF(Y79="","",IF(AND(LEN(Y79)=8,ISNUMBER(Y79*1)),DATE(LEFT(Y79,4),MID(Y79,5,2),RIGHT(Y79,2)),IFERROR(DATEVALUE(SUBSTITUTE(SUBSTITUTE(Y79,".","-"),"/","-")),IFERROR(Y79*1,""))))</f>
        <v/>
      </c>
      <c r="N79">
        <f>IFERROR(LEFT(B79,FIND(" ",B79)-1),B79)</f>
        <v/>
      </c>
      <c r="O79">
        <f>AND(B79&lt;&gt;"",B79&lt;&gt;설정!$B$4,C79&lt;&gt;설정!$B$5)</f>
        <v/>
      </c>
      <c r="P79">
        <f>IF(O79,B79&amp;"|"&amp;C79,"")</f>
        <v/>
      </c>
      <c r="Q79">
        <f>AND(O79,COUNTIF(P80:P$1002,P79)=0)</f>
        <v/>
      </c>
      <c r="R79">
        <f>OR(AND(설정!$A$42&lt;&gt;"",ISNUMBER(SEARCH(설정!$A$42,E79&amp;" "&amp;C79))),AND(설정!$A$43&lt;&gt;"",ISNUMBER(SEARCH(설정!$A$43,E79&amp;" "&amp;C79))),AND(설정!$A$44&lt;&gt;"",ISNUMBER(SEARCH(설정!$A$44,E79&amp;" "&amp;C79))),AND(설정!$A$45&lt;&gt;"",ISNUMBER(SEARCH(설정!$A$45,E79&amp;" "&amp;C79))),AND(설정!$A$46&lt;&gt;"",ISNUMBER(SEARCH(설정!$A$46,E79&amp;" "&amp;C79))),AND(설정!$A$47&lt;&gt;"",ISNUMBER(SEARCH(설정!$A$47,E79&amp;" "&amp;C79))),AND(설정!$A$48&lt;&gt;"",ISNUMBER(SEARCH(설정!$A$48,E79&amp;" "&amp;C79))),AND(설정!$A$49&lt;&gt;"",ISNUMBER(SEARCH(설정!$A$49,E79&amp;" "&amp;C79))),AND(설정!$A$50&lt;&gt;"",ISNUMBER(SEARCH(설정!$A$50,E79&amp;" "&amp;C79))),AND(설정!$A$51&lt;&gt;"",ISNUMBER(SEARCH(설정!$A$51,E79&amp;" "&amp;C79))))</f>
        <v/>
      </c>
      <c r="S79">
        <f>OR(D79="",D79&gt;=설정!$B$19)</f>
        <v/>
      </c>
      <c r="T79">
        <f>AND(Q79,R79,S79)</f>
        <v/>
      </c>
      <c r="U79">
        <f>IF(T79,IF(AND(설정!$A$54&lt;&gt;"",ISNUMBER(SEARCH(설정!$A$54,K79))),설정!$B$54,IF(AND(설정!$A$55&lt;&gt;"",ISNUMBER(SEARCH(설정!$A$55,K79))),설정!$B$55,IF(AND(설정!$A$56&lt;&gt;"",ISNUMBER(SEARCH(설정!$A$56,K79))),설정!$B$56,IF(AND(설정!$A$57&lt;&gt;"",ISNUMBER(SEARCH(설정!$A$57,K79))),설정!$B$57,IF(AND(설정!$A$58&lt;&gt;"",ISNUMBER(SEARCH(설정!$A$58,K79))),설정!$B$58,IF(AND(설정!$A$59&lt;&gt;"",ISNUMBER(SEARCH(설정!$A$59,K79))),설정!$B$59,IF(AND(설정!$A$60&lt;&gt;"",ISNUMBER(SEARCH(설정!$A$60,K79))),설정!$B$60,IF(AND(설정!$A$61&lt;&gt;"",ISNUMBER(SEARCH(설정!$A$61,K79))),설정!$B$61,IF(M79="","설계사","시공사"))))))))),"")</f>
        <v/>
      </c>
      <c r="V79">
        <f>SUBSTITUTE(SUBSTITUTE(SUBSTITUTE(SUBSTITUTE(G79,"(주)",""),"㈜",""),"주식회사","")," ","")</f>
        <v/>
      </c>
      <c r="W79">
        <f>IF(AND(T79,V79&lt;&gt;""),IF(COUNTIFS(V$2:V79,V79,T$2:T79,TRUE)=1,MAX(W$1:W78)+1,""),"")</f>
        <v/>
      </c>
      <c r="X79">
        <f>IF(설정!$C$14="","",IFERROR(INDEX('1.산군_붙여넣기'!$A$1:$AZ$1001,ROW(),설정!$C$14)&amp;"",""))</f>
        <v/>
      </c>
      <c r="Y79">
        <f>IF(설정!$C$15="","",IFERROR(INDEX('1.산군_붙여넣기'!$A$1:$AZ$1001,ROW(),설정!$C$15)&amp;"",""))</f>
        <v/>
      </c>
      <c r="Z79">
        <f>IF(T79,V79&amp;"|"&amp;U79,"")</f>
        <v/>
      </c>
      <c r="AA79">
        <f>IF(NOT(Q79),"",IF(NOT(AND(R79,S79)),"✕",IF(OR(OR(AND(L79&lt;&gt;"",M79&lt;&gt;"",N(M79)-N(L79)&gt;설정!$B$27),AND(L79&lt;&gt;"",M79="",설정!$B$24-N(L79)&gt;설정!$B$27)),AND(D79&lt;&gt;"",D79&lt;설정!$B$26)),"△","★")))</f>
        <v/>
      </c>
      <c r="AB79">
        <f>IF(NOT(T79),"",IF(U79="설계사",설정!$B$31,IF(U79="시공사",IF(OR(M79="",설정!$B$24-N(M79)&lt;=설정!$B$28*30.4),설정!$B$32,설정!$B$33),설정!$B$34))+IF(AA79="★",설정!$B$35,0))</f>
        <v/>
      </c>
      <c r="AC79">
        <f>SUBSTITUTE(SUBSTITUTE(SUBSTITUTE(SUBSTITUTE(H79,"(주)",""),"㈜",""),"주식회사","")," ","")</f>
        <v/>
      </c>
      <c r="AD79">
        <f>IF(AND(T79,AC79&lt;&gt;""),IF(COUNTIFS(AC$2:AC79,AC79,T$2:T79,TRUE)=1,MAX(AD$1:AD78)+1,""),"")</f>
        <v/>
      </c>
    </row>
    <row r="80">
      <c r="A80">
        <f>ROW()</f>
        <v/>
      </c>
      <c r="B80">
        <f>IF(설정!$C$4="","",IFERROR(INDEX('1.산군_붙여넣기'!$A$1:$AZ$1001,ROW(),설정!$C$4)&amp;"",""))</f>
        <v/>
      </c>
      <c r="C80">
        <f>IF(설정!$C$5="","",IFERROR(INDEX('1.산군_붙여넣기'!$A$1:$AZ$1001,ROW(),설정!$C$5)&amp;"",""))</f>
        <v/>
      </c>
      <c r="D80" s="5">
        <f>IFERROR(VALUE(SUBSTITUTE(SUBSTITUTE(SUBSTITUTE(IF(설정!$C$6="","",IFERROR(INDEX('1.산군_붙여넣기'!$A$1:$AZ$1001,ROW(),설정!$C$6)&amp;"","")),",",""),"㎡",""),"m2","")),"")</f>
        <v/>
      </c>
      <c r="E80">
        <f>IF(설정!$C$7="","",IFERROR(INDEX('1.산군_붙여넣기'!$A$1:$AZ$1001,ROW(),설정!$C$7)&amp;"",""))</f>
        <v/>
      </c>
      <c r="F80">
        <f>IF(설정!$C$8="","",IFERROR(INDEX('1.산군_붙여넣기'!$A$1:$AZ$1001,ROW(),설정!$C$8)&amp;"",""))</f>
        <v/>
      </c>
      <c r="G80">
        <f>IF(설정!$C$9="","",IFERROR(INDEX('1.산군_붙여넣기'!$A$1:$AZ$1001,ROW(),설정!$C$9)&amp;"",""))</f>
        <v/>
      </c>
      <c r="H80">
        <f>IF(설정!$C$10="","",IFERROR(INDEX('1.산군_붙여넣기'!$A$1:$AZ$1001,ROW(),설정!$C$10)&amp;"",""))</f>
        <v/>
      </c>
      <c r="I80">
        <f>IF(설정!$C$11="","",IFERROR(INDEX('1.산군_붙여넣기'!$A$1:$AZ$1001,ROW(),설정!$C$11)&amp;"",""))</f>
        <v/>
      </c>
      <c r="J80">
        <f>IF(설정!$C$12="","",IFERROR(INDEX('1.산군_붙여넣기'!$A$1:$AZ$1001,ROW(),설정!$C$12)&amp;"",""))</f>
        <v/>
      </c>
      <c r="K80">
        <f>IF(설정!$C$13="","",IFERROR(INDEX('1.산군_붙여넣기'!$A$1:$AZ$1001,ROW(),설정!$C$13)&amp;"",""))</f>
        <v/>
      </c>
      <c r="L80" s="7">
        <f>IF(X80="","",IF(AND(LEN(X80)=8,ISNUMBER(X80*1)),DATE(LEFT(X80,4),MID(X80,5,2),RIGHT(X80,2)),IFERROR(DATEVALUE(SUBSTITUTE(SUBSTITUTE(X80,".","-"),"/","-")),IFERROR(X80*1,""))))</f>
        <v/>
      </c>
      <c r="M80" s="7">
        <f>IF(Y80="","",IF(AND(LEN(Y80)=8,ISNUMBER(Y80*1)),DATE(LEFT(Y80,4),MID(Y80,5,2),RIGHT(Y80,2)),IFERROR(DATEVALUE(SUBSTITUTE(SUBSTITUTE(Y80,".","-"),"/","-")),IFERROR(Y80*1,""))))</f>
        <v/>
      </c>
      <c r="N80">
        <f>IFERROR(LEFT(B80,FIND(" ",B80)-1),B80)</f>
        <v/>
      </c>
      <c r="O80">
        <f>AND(B80&lt;&gt;"",B80&lt;&gt;설정!$B$4,C80&lt;&gt;설정!$B$5)</f>
        <v/>
      </c>
      <c r="P80">
        <f>IF(O80,B80&amp;"|"&amp;C80,"")</f>
        <v/>
      </c>
      <c r="Q80">
        <f>AND(O80,COUNTIF(P81:P$1002,P80)=0)</f>
        <v/>
      </c>
      <c r="R80">
        <f>OR(AND(설정!$A$42&lt;&gt;"",ISNUMBER(SEARCH(설정!$A$42,E80&amp;" "&amp;C80))),AND(설정!$A$43&lt;&gt;"",ISNUMBER(SEARCH(설정!$A$43,E80&amp;" "&amp;C80))),AND(설정!$A$44&lt;&gt;"",ISNUMBER(SEARCH(설정!$A$44,E80&amp;" "&amp;C80))),AND(설정!$A$45&lt;&gt;"",ISNUMBER(SEARCH(설정!$A$45,E80&amp;" "&amp;C80))),AND(설정!$A$46&lt;&gt;"",ISNUMBER(SEARCH(설정!$A$46,E80&amp;" "&amp;C80))),AND(설정!$A$47&lt;&gt;"",ISNUMBER(SEARCH(설정!$A$47,E80&amp;" "&amp;C80))),AND(설정!$A$48&lt;&gt;"",ISNUMBER(SEARCH(설정!$A$48,E80&amp;" "&amp;C80))),AND(설정!$A$49&lt;&gt;"",ISNUMBER(SEARCH(설정!$A$49,E80&amp;" "&amp;C80))),AND(설정!$A$50&lt;&gt;"",ISNUMBER(SEARCH(설정!$A$50,E80&amp;" "&amp;C80))),AND(설정!$A$51&lt;&gt;"",ISNUMBER(SEARCH(설정!$A$51,E80&amp;" "&amp;C80))))</f>
        <v/>
      </c>
      <c r="S80">
        <f>OR(D80="",D80&gt;=설정!$B$19)</f>
        <v/>
      </c>
      <c r="T80">
        <f>AND(Q80,R80,S80)</f>
        <v/>
      </c>
      <c r="U80">
        <f>IF(T80,IF(AND(설정!$A$54&lt;&gt;"",ISNUMBER(SEARCH(설정!$A$54,K80))),설정!$B$54,IF(AND(설정!$A$55&lt;&gt;"",ISNUMBER(SEARCH(설정!$A$55,K80))),설정!$B$55,IF(AND(설정!$A$56&lt;&gt;"",ISNUMBER(SEARCH(설정!$A$56,K80))),설정!$B$56,IF(AND(설정!$A$57&lt;&gt;"",ISNUMBER(SEARCH(설정!$A$57,K80))),설정!$B$57,IF(AND(설정!$A$58&lt;&gt;"",ISNUMBER(SEARCH(설정!$A$58,K80))),설정!$B$58,IF(AND(설정!$A$59&lt;&gt;"",ISNUMBER(SEARCH(설정!$A$59,K80))),설정!$B$59,IF(AND(설정!$A$60&lt;&gt;"",ISNUMBER(SEARCH(설정!$A$60,K80))),설정!$B$60,IF(AND(설정!$A$61&lt;&gt;"",ISNUMBER(SEARCH(설정!$A$61,K80))),설정!$B$61,IF(M80="","설계사","시공사"))))))))),"")</f>
        <v/>
      </c>
      <c r="V80">
        <f>SUBSTITUTE(SUBSTITUTE(SUBSTITUTE(SUBSTITUTE(G80,"(주)",""),"㈜",""),"주식회사","")," ","")</f>
        <v/>
      </c>
      <c r="W80">
        <f>IF(AND(T80,V80&lt;&gt;""),IF(COUNTIFS(V$2:V80,V80,T$2:T80,TRUE)=1,MAX(W$1:W79)+1,""),"")</f>
        <v/>
      </c>
      <c r="X80">
        <f>IF(설정!$C$14="","",IFERROR(INDEX('1.산군_붙여넣기'!$A$1:$AZ$1001,ROW(),설정!$C$14)&amp;"",""))</f>
        <v/>
      </c>
      <c r="Y80">
        <f>IF(설정!$C$15="","",IFERROR(INDEX('1.산군_붙여넣기'!$A$1:$AZ$1001,ROW(),설정!$C$15)&amp;"",""))</f>
        <v/>
      </c>
      <c r="Z80">
        <f>IF(T80,V80&amp;"|"&amp;U80,"")</f>
        <v/>
      </c>
      <c r="AA80">
        <f>IF(NOT(Q80),"",IF(NOT(AND(R80,S80)),"✕",IF(OR(OR(AND(L80&lt;&gt;"",M80&lt;&gt;"",N(M80)-N(L80)&gt;설정!$B$27),AND(L80&lt;&gt;"",M80="",설정!$B$24-N(L80)&gt;설정!$B$27)),AND(D80&lt;&gt;"",D80&lt;설정!$B$26)),"△","★")))</f>
        <v/>
      </c>
      <c r="AB80">
        <f>IF(NOT(T80),"",IF(U80="설계사",설정!$B$31,IF(U80="시공사",IF(OR(M80="",설정!$B$24-N(M80)&lt;=설정!$B$28*30.4),설정!$B$32,설정!$B$33),설정!$B$34))+IF(AA80="★",설정!$B$35,0))</f>
        <v/>
      </c>
      <c r="AC80">
        <f>SUBSTITUTE(SUBSTITUTE(SUBSTITUTE(SUBSTITUTE(H80,"(주)",""),"㈜",""),"주식회사","")," ","")</f>
        <v/>
      </c>
      <c r="AD80">
        <f>IF(AND(T80,AC80&lt;&gt;""),IF(COUNTIFS(AC$2:AC80,AC80,T$2:T80,TRUE)=1,MAX(AD$1:AD79)+1,""),"")</f>
        <v/>
      </c>
    </row>
    <row r="81">
      <c r="A81">
        <f>ROW()</f>
        <v/>
      </c>
      <c r="B81">
        <f>IF(설정!$C$4="","",IFERROR(INDEX('1.산군_붙여넣기'!$A$1:$AZ$1001,ROW(),설정!$C$4)&amp;"",""))</f>
        <v/>
      </c>
      <c r="C81">
        <f>IF(설정!$C$5="","",IFERROR(INDEX('1.산군_붙여넣기'!$A$1:$AZ$1001,ROW(),설정!$C$5)&amp;"",""))</f>
        <v/>
      </c>
      <c r="D81" s="5">
        <f>IFERROR(VALUE(SUBSTITUTE(SUBSTITUTE(SUBSTITUTE(IF(설정!$C$6="","",IFERROR(INDEX('1.산군_붙여넣기'!$A$1:$AZ$1001,ROW(),설정!$C$6)&amp;"","")),",",""),"㎡",""),"m2","")),"")</f>
        <v/>
      </c>
      <c r="E81">
        <f>IF(설정!$C$7="","",IFERROR(INDEX('1.산군_붙여넣기'!$A$1:$AZ$1001,ROW(),설정!$C$7)&amp;"",""))</f>
        <v/>
      </c>
      <c r="F81">
        <f>IF(설정!$C$8="","",IFERROR(INDEX('1.산군_붙여넣기'!$A$1:$AZ$1001,ROW(),설정!$C$8)&amp;"",""))</f>
        <v/>
      </c>
      <c r="G81">
        <f>IF(설정!$C$9="","",IFERROR(INDEX('1.산군_붙여넣기'!$A$1:$AZ$1001,ROW(),설정!$C$9)&amp;"",""))</f>
        <v/>
      </c>
      <c r="H81">
        <f>IF(설정!$C$10="","",IFERROR(INDEX('1.산군_붙여넣기'!$A$1:$AZ$1001,ROW(),설정!$C$10)&amp;"",""))</f>
        <v/>
      </c>
      <c r="I81">
        <f>IF(설정!$C$11="","",IFERROR(INDEX('1.산군_붙여넣기'!$A$1:$AZ$1001,ROW(),설정!$C$11)&amp;"",""))</f>
        <v/>
      </c>
      <c r="J81">
        <f>IF(설정!$C$12="","",IFERROR(INDEX('1.산군_붙여넣기'!$A$1:$AZ$1001,ROW(),설정!$C$12)&amp;"",""))</f>
        <v/>
      </c>
      <c r="K81">
        <f>IF(설정!$C$13="","",IFERROR(INDEX('1.산군_붙여넣기'!$A$1:$AZ$1001,ROW(),설정!$C$13)&amp;"",""))</f>
        <v/>
      </c>
      <c r="L81" s="7">
        <f>IF(X81="","",IF(AND(LEN(X81)=8,ISNUMBER(X81*1)),DATE(LEFT(X81,4),MID(X81,5,2),RIGHT(X81,2)),IFERROR(DATEVALUE(SUBSTITUTE(SUBSTITUTE(X81,".","-"),"/","-")),IFERROR(X81*1,""))))</f>
        <v/>
      </c>
      <c r="M81" s="7">
        <f>IF(Y81="","",IF(AND(LEN(Y81)=8,ISNUMBER(Y81*1)),DATE(LEFT(Y81,4),MID(Y81,5,2),RIGHT(Y81,2)),IFERROR(DATEVALUE(SUBSTITUTE(SUBSTITUTE(Y81,".","-"),"/","-")),IFERROR(Y81*1,""))))</f>
        <v/>
      </c>
      <c r="N81">
        <f>IFERROR(LEFT(B81,FIND(" ",B81)-1),B81)</f>
        <v/>
      </c>
      <c r="O81">
        <f>AND(B81&lt;&gt;"",B81&lt;&gt;설정!$B$4,C81&lt;&gt;설정!$B$5)</f>
        <v/>
      </c>
      <c r="P81">
        <f>IF(O81,B81&amp;"|"&amp;C81,"")</f>
        <v/>
      </c>
      <c r="Q81">
        <f>AND(O81,COUNTIF(P82:P$1002,P81)=0)</f>
        <v/>
      </c>
      <c r="R81">
        <f>OR(AND(설정!$A$42&lt;&gt;"",ISNUMBER(SEARCH(설정!$A$42,E81&amp;" "&amp;C81))),AND(설정!$A$43&lt;&gt;"",ISNUMBER(SEARCH(설정!$A$43,E81&amp;" "&amp;C81))),AND(설정!$A$44&lt;&gt;"",ISNUMBER(SEARCH(설정!$A$44,E81&amp;" "&amp;C81))),AND(설정!$A$45&lt;&gt;"",ISNUMBER(SEARCH(설정!$A$45,E81&amp;" "&amp;C81))),AND(설정!$A$46&lt;&gt;"",ISNUMBER(SEARCH(설정!$A$46,E81&amp;" "&amp;C81))),AND(설정!$A$47&lt;&gt;"",ISNUMBER(SEARCH(설정!$A$47,E81&amp;" "&amp;C81))),AND(설정!$A$48&lt;&gt;"",ISNUMBER(SEARCH(설정!$A$48,E81&amp;" "&amp;C81))),AND(설정!$A$49&lt;&gt;"",ISNUMBER(SEARCH(설정!$A$49,E81&amp;" "&amp;C81))),AND(설정!$A$50&lt;&gt;"",ISNUMBER(SEARCH(설정!$A$50,E81&amp;" "&amp;C81))),AND(설정!$A$51&lt;&gt;"",ISNUMBER(SEARCH(설정!$A$51,E81&amp;" "&amp;C81))))</f>
        <v/>
      </c>
      <c r="S81">
        <f>OR(D81="",D81&gt;=설정!$B$19)</f>
        <v/>
      </c>
      <c r="T81">
        <f>AND(Q81,R81,S81)</f>
        <v/>
      </c>
      <c r="U81">
        <f>IF(T81,IF(AND(설정!$A$54&lt;&gt;"",ISNUMBER(SEARCH(설정!$A$54,K81))),설정!$B$54,IF(AND(설정!$A$55&lt;&gt;"",ISNUMBER(SEARCH(설정!$A$55,K81))),설정!$B$55,IF(AND(설정!$A$56&lt;&gt;"",ISNUMBER(SEARCH(설정!$A$56,K81))),설정!$B$56,IF(AND(설정!$A$57&lt;&gt;"",ISNUMBER(SEARCH(설정!$A$57,K81))),설정!$B$57,IF(AND(설정!$A$58&lt;&gt;"",ISNUMBER(SEARCH(설정!$A$58,K81))),설정!$B$58,IF(AND(설정!$A$59&lt;&gt;"",ISNUMBER(SEARCH(설정!$A$59,K81))),설정!$B$59,IF(AND(설정!$A$60&lt;&gt;"",ISNUMBER(SEARCH(설정!$A$60,K81))),설정!$B$60,IF(AND(설정!$A$61&lt;&gt;"",ISNUMBER(SEARCH(설정!$A$61,K81))),설정!$B$61,IF(M81="","설계사","시공사"))))))))),"")</f>
        <v/>
      </c>
      <c r="V81">
        <f>SUBSTITUTE(SUBSTITUTE(SUBSTITUTE(SUBSTITUTE(G81,"(주)",""),"㈜",""),"주식회사","")," ","")</f>
        <v/>
      </c>
      <c r="W81">
        <f>IF(AND(T81,V81&lt;&gt;""),IF(COUNTIFS(V$2:V81,V81,T$2:T81,TRUE)=1,MAX(W$1:W80)+1,""),"")</f>
        <v/>
      </c>
      <c r="X81">
        <f>IF(설정!$C$14="","",IFERROR(INDEX('1.산군_붙여넣기'!$A$1:$AZ$1001,ROW(),설정!$C$14)&amp;"",""))</f>
        <v/>
      </c>
      <c r="Y81">
        <f>IF(설정!$C$15="","",IFERROR(INDEX('1.산군_붙여넣기'!$A$1:$AZ$1001,ROW(),설정!$C$15)&amp;"",""))</f>
        <v/>
      </c>
      <c r="Z81">
        <f>IF(T81,V81&amp;"|"&amp;U81,"")</f>
        <v/>
      </c>
      <c r="AA81">
        <f>IF(NOT(Q81),"",IF(NOT(AND(R81,S81)),"✕",IF(OR(OR(AND(L81&lt;&gt;"",M81&lt;&gt;"",N(M81)-N(L81)&gt;설정!$B$27),AND(L81&lt;&gt;"",M81="",설정!$B$24-N(L81)&gt;설정!$B$27)),AND(D81&lt;&gt;"",D81&lt;설정!$B$26)),"△","★")))</f>
        <v/>
      </c>
      <c r="AB81">
        <f>IF(NOT(T81),"",IF(U81="설계사",설정!$B$31,IF(U81="시공사",IF(OR(M81="",설정!$B$24-N(M81)&lt;=설정!$B$28*30.4),설정!$B$32,설정!$B$33),설정!$B$34))+IF(AA81="★",설정!$B$35,0))</f>
        <v/>
      </c>
      <c r="AC81">
        <f>SUBSTITUTE(SUBSTITUTE(SUBSTITUTE(SUBSTITUTE(H81,"(주)",""),"㈜",""),"주식회사","")," ","")</f>
        <v/>
      </c>
      <c r="AD81">
        <f>IF(AND(T81,AC81&lt;&gt;""),IF(COUNTIFS(AC$2:AC81,AC81,T$2:T81,TRUE)=1,MAX(AD$1:AD80)+1,""),"")</f>
        <v/>
      </c>
    </row>
    <row r="82">
      <c r="A82">
        <f>ROW()</f>
        <v/>
      </c>
      <c r="B82">
        <f>IF(설정!$C$4="","",IFERROR(INDEX('1.산군_붙여넣기'!$A$1:$AZ$1001,ROW(),설정!$C$4)&amp;"",""))</f>
        <v/>
      </c>
      <c r="C82">
        <f>IF(설정!$C$5="","",IFERROR(INDEX('1.산군_붙여넣기'!$A$1:$AZ$1001,ROW(),설정!$C$5)&amp;"",""))</f>
        <v/>
      </c>
      <c r="D82" s="5">
        <f>IFERROR(VALUE(SUBSTITUTE(SUBSTITUTE(SUBSTITUTE(IF(설정!$C$6="","",IFERROR(INDEX('1.산군_붙여넣기'!$A$1:$AZ$1001,ROW(),설정!$C$6)&amp;"","")),",",""),"㎡",""),"m2","")),"")</f>
        <v/>
      </c>
      <c r="E82">
        <f>IF(설정!$C$7="","",IFERROR(INDEX('1.산군_붙여넣기'!$A$1:$AZ$1001,ROW(),설정!$C$7)&amp;"",""))</f>
        <v/>
      </c>
      <c r="F82">
        <f>IF(설정!$C$8="","",IFERROR(INDEX('1.산군_붙여넣기'!$A$1:$AZ$1001,ROW(),설정!$C$8)&amp;"",""))</f>
        <v/>
      </c>
      <c r="G82">
        <f>IF(설정!$C$9="","",IFERROR(INDEX('1.산군_붙여넣기'!$A$1:$AZ$1001,ROW(),설정!$C$9)&amp;"",""))</f>
        <v/>
      </c>
      <c r="H82">
        <f>IF(설정!$C$10="","",IFERROR(INDEX('1.산군_붙여넣기'!$A$1:$AZ$1001,ROW(),설정!$C$10)&amp;"",""))</f>
        <v/>
      </c>
      <c r="I82">
        <f>IF(설정!$C$11="","",IFERROR(INDEX('1.산군_붙여넣기'!$A$1:$AZ$1001,ROW(),설정!$C$11)&amp;"",""))</f>
        <v/>
      </c>
      <c r="J82">
        <f>IF(설정!$C$12="","",IFERROR(INDEX('1.산군_붙여넣기'!$A$1:$AZ$1001,ROW(),설정!$C$12)&amp;"",""))</f>
        <v/>
      </c>
      <c r="K82">
        <f>IF(설정!$C$13="","",IFERROR(INDEX('1.산군_붙여넣기'!$A$1:$AZ$1001,ROW(),설정!$C$13)&amp;"",""))</f>
        <v/>
      </c>
      <c r="L82" s="7">
        <f>IF(X82="","",IF(AND(LEN(X82)=8,ISNUMBER(X82*1)),DATE(LEFT(X82,4),MID(X82,5,2),RIGHT(X82,2)),IFERROR(DATEVALUE(SUBSTITUTE(SUBSTITUTE(X82,".","-"),"/","-")),IFERROR(X82*1,""))))</f>
        <v/>
      </c>
      <c r="M82" s="7">
        <f>IF(Y82="","",IF(AND(LEN(Y82)=8,ISNUMBER(Y82*1)),DATE(LEFT(Y82,4),MID(Y82,5,2),RIGHT(Y82,2)),IFERROR(DATEVALUE(SUBSTITUTE(SUBSTITUTE(Y82,".","-"),"/","-")),IFERROR(Y82*1,""))))</f>
        <v/>
      </c>
      <c r="N82">
        <f>IFERROR(LEFT(B82,FIND(" ",B82)-1),B82)</f>
        <v/>
      </c>
      <c r="O82">
        <f>AND(B82&lt;&gt;"",B82&lt;&gt;설정!$B$4,C82&lt;&gt;설정!$B$5)</f>
        <v/>
      </c>
      <c r="P82">
        <f>IF(O82,B82&amp;"|"&amp;C82,"")</f>
        <v/>
      </c>
      <c r="Q82">
        <f>AND(O82,COUNTIF(P83:P$1002,P82)=0)</f>
        <v/>
      </c>
      <c r="R82">
        <f>OR(AND(설정!$A$42&lt;&gt;"",ISNUMBER(SEARCH(설정!$A$42,E82&amp;" "&amp;C82))),AND(설정!$A$43&lt;&gt;"",ISNUMBER(SEARCH(설정!$A$43,E82&amp;" "&amp;C82))),AND(설정!$A$44&lt;&gt;"",ISNUMBER(SEARCH(설정!$A$44,E82&amp;" "&amp;C82))),AND(설정!$A$45&lt;&gt;"",ISNUMBER(SEARCH(설정!$A$45,E82&amp;" "&amp;C82))),AND(설정!$A$46&lt;&gt;"",ISNUMBER(SEARCH(설정!$A$46,E82&amp;" "&amp;C82))),AND(설정!$A$47&lt;&gt;"",ISNUMBER(SEARCH(설정!$A$47,E82&amp;" "&amp;C82))),AND(설정!$A$48&lt;&gt;"",ISNUMBER(SEARCH(설정!$A$48,E82&amp;" "&amp;C82))),AND(설정!$A$49&lt;&gt;"",ISNUMBER(SEARCH(설정!$A$49,E82&amp;" "&amp;C82))),AND(설정!$A$50&lt;&gt;"",ISNUMBER(SEARCH(설정!$A$50,E82&amp;" "&amp;C82))),AND(설정!$A$51&lt;&gt;"",ISNUMBER(SEARCH(설정!$A$51,E82&amp;" "&amp;C82))))</f>
        <v/>
      </c>
      <c r="S82">
        <f>OR(D82="",D82&gt;=설정!$B$19)</f>
        <v/>
      </c>
      <c r="T82">
        <f>AND(Q82,R82,S82)</f>
        <v/>
      </c>
      <c r="U82">
        <f>IF(T82,IF(AND(설정!$A$54&lt;&gt;"",ISNUMBER(SEARCH(설정!$A$54,K82))),설정!$B$54,IF(AND(설정!$A$55&lt;&gt;"",ISNUMBER(SEARCH(설정!$A$55,K82))),설정!$B$55,IF(AND(설정!$A$56&lt;&gt;"",ISNUMBER(SEARCH(설정!$A$56,K82))),설정!$B$56,IF(AND(설정!$A$57&lt;&gt;"",ISNUMBER(SEARCH(설정!$A$57,K82))),설정!$B$57,IF(AND(설정!$A$58&lt;&gt;"",ISNUMBER(SEARCH(설정!$A$58,K82))),설정!$B$58,IF(AND(설정!$A$59&lt;&gt;"",ISNUMBER(SEARCH(설정!$A$59,K82))),설정!$B$59,IF(AND(설정!$A$60&lt;&gt;"",ISNUMBER(SEARCH(설정!$A$60,K82))),설정!$B$60,IF(AND(설정!$A$61&lt;&gt;"",ISNUMBER(SEARCH(설정!$A$61,K82))),설정!$B$61,IF(M82="","설계사","시공사"))))))))),"")</f>
        <v/>
      </c>
      <c r="V82">
        <f>SUBSTITUTE(SUBSTITUTE(SUBSTITUTE(SUBSTITUTE(G82,"(주)",""),"㈜",""),"주식회사","")," ","")</f>
        <v/>
      </c>
      <c r="W82">
        <f>IF(AND(T82,V82&lt;&gt;""),IF(COUNTIFS(V$2:V82,V82,T$2:T82,TRUE)=1,MAX(W$1:W81)+1,""),"")</f>
        <v/>
      </c>
      <c r="X82">
        <f>IF(설정!$C$14="","",IFERROR(INDEX('1.산군_붙여넣기'!$A$1:$AZ$1001,ROW(),설정!$C$14)&amp;"",""))</f>
        <v/>
      </c>
      <c r="Y82">
        <f>IF(설정!$C$15="","",IFERROR(INDEX('1.산군_붙여넣기'!$A$1:$AZ$1001,ROW(),설정!$C$15)&amp;"",""))</f>
        <v/>
      </c>
      <c r="Z82">
        <f>IF(T82,V82&amp;"|"&amp;U82,"")</f>
        <v/>
      </c>
      <c r="AA82">
        <f>IF(NOT(Q82),"",IF(NOT(AND(R82,S82)),"✕",IF(OR(OR(AND(L82&lt;&gt;"",M82&lt;&gt;"",N(M82)-N(L82)&gt;설정!$B$27),AND(L82&lt;&gt;"",M82="",설정!$B$24-N(L82)&gt;설정!$B$27)),AND(D82&lt;&gt;"",D82&lt;설정!$B$26)),"△","★")))</f>
        <v/>
      </c>
      <c r="AB82">
        <f>IF(NOT(T82),"",IF(U82="설계사",설정!$B$31,IF(U82="시공사",IF(OR(M82="",설정!$B$24-N(M82)&lt;=설정!$B$28*30.4),설정!$B$32,설정!$B$33),설정!$B$34))+IF(AA82="★",설정!$B$35,0))</f>
        <v/>
      </c>
      <c r="AC82">
        <f>SUBSTITUTE(SUBSTITUTE(SUBSTITUTE(SUBSTITUTE(H82,"(주)",""),"㈜",""),"주식회사","")," ","")</f>
        <v/>
      </c>
      <c r="AD82">
        <f>IF(AND(T82,AC82&lt;&gt;""),IF(COUNTIFS(AC$2:AC82,AC82,T$2:T82,TRUE)=1,MAX(AD$1:AD81)+1,""),"")</f>
        <v/>
      </c>
    </row>
    <row r="83">
      <c r="A83">
        <f>ROW()</f>
        <v/>
      </c>
      <c r="B83">
        <f>IF(설정!$C$4="","",IFERROR(INDEX('1.산군_붙여넣기'!$A$1:$AZ$1001,ROW(),설정!$C$4)&amp;"",""))</f>
        <v/>
      </c>
      <c r="C83">
        <f>IF(설정!$C$5="","",IFERROR(INDEX('1.산군_붙여넣기'!$A$1:$AZ$1001,ROW(),설정!$C$5)&amp;"",""))</f>
        <v/>
      </c>
      <c r="D83" s="5">
        <f>IFERROR(VALUE(SUBSTITUTE(SUBSTITUTE(SUBSTITUTE(IF(설정!$C$6="","",IFERROR(INDEX('1.산군_붙여넣기'!$A$1:$AZ$1001,ROW(),설정!$C$6)&amp;"","")),",",""),"㎡",""),"m2","")),"")</f>
        <v/>
      </c>
      <c r="E83">
        <f>IF(설정!$C$7="","",IFERROR(INDEX('1.산군_붙여넣기'!$A$1:$AZ$1001,ROW(),설정!$C$7)&amp;"",""))</f>
        <v/>
      </c>
      <c r="F83">
        <f>IF(설정!$C$8="","",IFERROR(INDEX('1.산군_붙여넣기'!$A$1:$AZ$1001,ROW(),설정!$C$8)&amp;"",""))</f>
        <v/>
      </c>
      <c r="G83">
        <f>IF(설정!$C$9="","",IFERROR(INDEX('1.산군_붙여넣기'!$A$1:$AZ$1001,ROW(),설정!$C$9)&amp;"",""))</f>
        <v/>
      </c>
      <c r="H83">
        <f>IF(설정!$C$10="","",IFERROR(INDEX('1.산군_붙여넣기'!$A$1:$AZ$1001,ROW(),설정!$C$10)&amp;"",""))</f>
        <v/>
      </c>
      <c r="I83">
        <f>IF(설정!$C$11="","",IFERROR(INDEX('1.산군_붙여넣기'!$A$1:$AZ$1001,ROW(),설정!$C$11)&amp;"",""))</f>
        <v/>
      </c>
      <c r="J83">
        <f>IF(설정!$C$12="","",IFERROR(INDEX('1.산군_붙여넣기'!$A$1:$AZ$1001,ROW(),설정!$C$12)&amp;"",""))</f>
        <v/>
      </c>
      <c r="K83">
        <f>IF(설정!$C$13="","",IFERROR(INDEX('1.산군_붙여넣기'!$A$1:$AZ$1001,ROW(),설정!$C$13)&amp;"",""))</f>
        <v/>
      </c>
      <c r="L83" s="7">
        <f>IF(X83="","",IF(AND(LEN(X83)=8,ISNUMBER(X83*1)),DATE(LEFT(X83,4),MID(X83,5,2),RIGHT(X83,2)),IFERROR(DATEVALUE(SUBSTITUTE(SUBSTITUTE(X83,".","-"),"/","-")),IFERROR(X83*1,""))))</f>
        <v/>
      </c>
      <c r="M83" s="7">
        <f>IF(Y83="","",IF(AND(LEN(Y83)=8,ISNUMBER(Y83*1)),DATE(LEFT(Y83,4),MID(Y83,5,2),RIGHT(Y83,2)),IFERROR(DATEVALUE(SUBSTITUTE(SUBSTITUTE(Y83,".","-"),"/","-")),IFERROR(Y83*1,""))))</f>
        <v/>
      </c>
      <c r="N83">
        <f>IFERROR(LEFT(B83,FIND(" ",B83)-1),B83)</f>
        <v/>
      </c>
      <c r="O83">
        <f>AND(B83&lt;&gt;"",B83&lt;&gt;설정!$B$4,C83&lt;&gt;설정!$B$5)</f>
        <v/>
      </c>
      <c r="P83">
        <f>IF(O83,B83&amp;"|"&amp;C83,"")</f>
        <v/>
      </c>
      <c r="Q83">
        <f>AND(O83,COUNTIF(P84:P$1002,P83)=0)</f>
        <v/>
      </c>
      <c r="R83">
        <f>OR(AND(설정!$A$42&lt;&gt;"",ISNUMBER(SEARCH(설정!$A$42,E83&amp;" "&amp;C83))),AND(설정!$A$43&lt;&gt;"",ISNUMBER(SEARCH(설정!$A$43,E83&amp;" "&amp;C83))),AND(설정!$A$44&lt;&gt;"",ISNUMBER(SEARCH(설정!$A$44,E83&amp;" "&amp;C83))),AND(설정!$A$45&lt;&gt;"",ISNUMBER(SEARCH(설정!$A$45,E83&amp;" "&amp;C83))),AND(설정!$A$46&lt;&gt;"",ISNUMBER(SEARCH(설정!$A$46,E83&amp;" "&amp;C83))),AND(설정!$A$47&lt;&gt;"",ISNUMBER(SEARCH(설정!$A$47,E83&amp;" "&amp;C83))),AND(설정!$A$48&lt;&gt;"",ISNUMBER(SEARCH(설정!$A$48,E83&amp;" "&amp;C83))),AND(설정!$A$49&lt;&gt;"",ISNUMBER(SEARCH(설정!$A$49,E83&amp;" "&amp;C83))),AND(설정!$A$50&lt;&gt;"",ISNUMBER(SEARCH(설정!$A$50,E83&amp;" "&amp;C83))),AND(설정!$A$51&lt;&gt;"",ISNUMBER(SEARCH(설정!$A$51,E83&amp;" "&amp;C83))))</f>
        <v/>
      </c>
      <c r="S83">
        <f>OR(D83="",D83&gt;=설정!$B$19)</f>
        <v/>
      </c>
      <c r="T83">
        <f>AND(Q83,R83,S83)</f>
        <v/>
      </c>
      <c r="U83">
        <f>IF(T83,IF(AND(설정!$A$54&lt;&gt;"",ISNUMBER(SEARCH(설정!$A$54,K83))),설정!$B$54,IF(AND(설정!$A$55&lt;&gt;"",ISNUMBER(SEARCH(설정!$A$55,K83))),설정!$B$55,IF(AND(설정!$A$56&lt;&gt;"",ISNUMBER(SEARCH(설정!$A$56,K83))),설정!$B$56,IF(AND(설정!$A$57&lt;&gt;"",ISNUMBER(SEARCH(설정!$A$57,K83))),설정!$B$57,IF(AND(설정!$A$58&lt;&gt;"",ISNUMBER(SEARCH(설정!$A$58,K83))),설정!$B$58,IF(AND(설정!$A$59&lt;&gt;"",ISNUMBER(SEARCH(설정!$A$59,K83))),설정!$B$59,IF(AND(설정!$A$60&lt;&gt;"",ISNUMBER(SEARCH(설정!$A$60,K83))),설정!$B$60,IF(AND(설정!$A$61&lt;&gt;"",ISNUMBER(SEARCH(설정!$A$61,K83))),설정!$B$61,IF(M83="","설계사","시공사"))))))))),"")</f>
        <v/>
      </c>
      <c r="V83">
        <f>SUBSTITUTE(SUBSTITUTE(SUBSTITUTE(SUBSTITUTE(G83,"(주)",""),"㈜",""),"주식회사","")," ","")</f>
        <v/>
      </c>
      <c r="W83">
        <f>IF(AND(T83,V83&lt;&gt;""),IF(COUNTIFS(V$2:V83,V83,T$2:T83,TRUE)=1,MAX(W$1:W82)+1,""),"")</f>
        <v/>
      </c>
      <c r="X83">
        <f>IF(설정!$C$14="","",IFERROR(INDEX('1.산군_붙여넣기'!$A$1:$AZ$1001,ROW(),설정!$C$14)&amp;"",""))</f>
        <v/>
      </c>
      <c r="Y83">
        <f>IF(설정!$C$15="","",IFERROR(INDEX('1.산군_붙여넣기'!$A$1:$AZ$1001,ROW(),설정!$C$15)&amp;"",""))</f>
        <v/>
      </c>
      <c r="Z83">
        <f>IF(T83,V83&amp;"|"&amp;U83,"")</f>
        <v/>
      </c>
      <c r="AA83">
        <f>IF(NOT(Q83),"",IF(NOT(AND(R83,S83)),"✕",IF(OR(OR(AND(L83&lt;&gt;"",M83&lt;&gt;"",N(M83)-N(L83)&gt;설정!$B$27),AND(L83&lt;&gt;"",M83="",설정!$B$24-N(L83)&gt;설정!$B$27)),AND(D83&lt;&gt;"",D83&lt;설정!$B$26)),"△","★")))</f>
        <v/>
      </c>
      <c r="AB83">
        <f>IF(NOT(T83),"",IF(U83="설계사",설정!$B$31,IF(U83="시공사",IF(OR(M83="",설정!$B$24-N(M83)&lt;=설정!$B$28*30.4),설정!$B$32,설정!$B$33),설정!$B$34))+IF(AA83="★",설정!$B$35,0))</f>
        <v/>
      </c>
      <c r="AC83">
        <f>SUBSTITUTE(SUBSTITUTE(SUBSTITUTE(SUBSTITUTE(H83,"(주)",""),"㈜",""),"주식회사","")," ","")</f>
        <v/>
      </c>
      <c r="AD83">
        <f>IF(AND(T83,AC83&lt;&gt;""),IF(COUNTIFS(AC$2:AC83,AC83,T$2:T83,TRUE)=1,MAX(AD$1:AD82)+1,""),"")</f>
        <v/>
      </c>
    </row>
    <row r="84">
      <c r="A84">
        <f>ROW()</f>
        <v/>
      </c>
      <c r="B84">
        <f>IF(설정!$C$4="","",IFERROR(INDEX('1.산군_붙여넣기'!$A$1:$AZ$1001,ROW(),설정!$C$4)&amp;"",""))</f>
        <v/>
      </c>
      <c r="C84">
        <f>IF(설정!$C$5="","",IFERROR(INDEX('1.산군_붙여넣기'!$A$1:$AZ$1001,ROW(),설정!$C$5)&amp;"",""))</f>
        <v/>
      </c>
      <c r="D84" s="5">
        <f>IFERROR(VALUE(SUBSTITUTE(SUBSTITUTE(SUBSTITUTE(IF(설정!$C$6="","",IFERROR(INDEX('1.산군_붙여넣기'!$A$1:$AZ$1001,ROW(),설정!$C$6)&amp;"","")),",",""),"㎡",""),"m2","")),"")</f>
        <v/>
      </c>
      <c r="E84">
        <f>IF(설정!$C$7="","",IFERROR(INDEX('1.산군_붙여넣기'!$A$1:$AZ$1001,ROW(),설정!$C$7)&amp;"",""))</f>
        <v/>
      </c>
      <c r="F84">
        <f>IF(설정!$C$8="","",IFERROR(INDEX('1.산군_붙여넣기'!$A$1:$AZ$1001,ROW(),설정!$C$8)&amp;"",""))</f>
        <v/>
      </c>
      <c r="G84">
        <f>IF(설정!$C$9="","",IFERROR(INDEX('1.산군_붙여넣기'!$A$1:$AZ$1001,ROW(),설정!$C$9)&amp;"",""))</f>
        <v/>
      </c>
      <c r="H84">
        <f>IF(설정!$C$10="","",IFERROR(INDEX('1.산군_붙여넣기'!$A$1:$AZ$1001,ROW(),설정!$C$10)&amp;"",""))</f>
        <v/>
      </c>
      <c r="I84">
        <f>IF(설정!$C$11="","",IFERROR(INDEX('1.산군_붙여넣기'!$A$1:$AZ$1001,ROW(),설정!$C$11)&amp;"",""))</f>
        <v/>
      </c>
      <c r="J84">
        <f>IF(설정!$C$12="","",IFERROR(INDEX('1.산군_붙여넣기'!$A$1:$AZ$1001,ROW(),설정!$C$12)&amp;"",""))</f>
        <v/>
      </c>
      <c r="K84">
        <f>IF(설정!$C$13="","",IFERROR(INDEX('1.산군_붙여넣기'!$A$1:$AZ$1001,ROW(),설정!$C$13)&amp;"",""))</f>
        <v/>
      </c>
      <c r="L84" s="7">
        <f>IF(X84="","",IF(AND(LEN(X84)=8,ISNUMBER(X84*1)),DATE(LEFT(X84,4),MID(X84,5,2),RIGHT(X84,2)),IFERROR(DATEVALUE(SUBSTITUTE(SUBSTITUTE(X84,".","-"),"/","-")),IFERROR(X84*1,""))))</f>
        <v/>
      </c>
      <c r="M84" s="7">
        <f>IF(Y84="","",IF(AND(LEN(Y84)=8,ISNUMBER(Y84*1)),DATE(LEFT(Y84,4),MID(Y84,5,2),RIGHT(Y84,2)),IFERROR(DATEVALUE(SUBSTITUTE(SUBSTITUTE(Y84,".","-"),"/","-")),IFERROR(Y84*1,""))))</f>
        <v/>
      </c>
      <c r="N84">
        <f>IFERROR(LEFT(B84,FIND(" ",B84)-1),B84)</f>
        <v/>
      </c>
      <c r="O84">
        <f>AND(B84&lt;&gt;"",B84&lt;&gt;설정!$B$4,C84&lt;&gt;설정!$B$5)</f>
        <v/>
      </c>
      <c r="P84">
        <f>IF(O84,B84&amp;"|"&amp;C84,"")</f>
        <v/>
      </c>
      <c r="Q84">
        <f>AND(O84,COUNTIF(P85:P$1002,P84)=0)</f>
        <v/>
      </c>
      <c r="R84">
        <f>OR(AND(설정!$A$42&lt;&gt;"",ISNUMBER(SEARCH(설정!$A$42,E84&amp;" "&amp;C84))),AND(설정!$A$43&lt;&gt;"",ISNUMBER(SEARCH(설정!$A$43,E84&amp;" "&amp;C84))),AND(설정!$A$44&lt;&gt;"",ISNUMBER(SEARCH(설정!$A$44,E84&amp;" "&amp;C84))),AND(설정!$A$45&lt;&gt;"",ISNUMBER(SEARCH(설정!$A$45,E84&amp;" "&amp;C84))),AND(설정!$A$46&lt;&gt;"",ISNUMBER(SEARCH(설정!$A$46,E84&amp;" "&amp;C84))),AND(설정!$A$47&lt;&gt;"",ISNUMBER(SEARCH(설정!$A$47,E84&amp;" "&amp;C84))),AND(설정!$A$48&lt;&gt;"",ISNUMBER(SEARCH(설정!$A$48,E84&amp;" "&amp;C84))),AND(설정!$A$49&lt;&gt;"",ISNUMBER(SEARCH(설정!$A$49,E84&amp;" "&amp;C84))),AND(설정!$A$50&lt;&gt;"",ISNUMBER(SEARCH(설정!$A$50,E84&amp;" "&amp;C84))),AND(설정!$A$51&lt;&gt;"",ISNUMBER(SEARCH(설정!$A$51,E84&amp;" "&amp;C84))))</f>
        <v/>
      </c>
      <c r="S84">
        <f>OR(D84="",D84&gt;=설정!$B$19)</f>
        <v/>
      </c>
      <c r="T84">
        <f>AND(Q84,R84,S84)</f>
        <v/>
      </c>
      <c r="U84">
        <f>IF(T84,IF(AND(설정!$A$54&lt;&gt;"",ISNUMBER(SEARCH(설정!$A$54,K84))),설정!$B$54,IF(AND(설정!$A$55&lt;&gt;"",ISNUMBER(SEARCH(설정!$A$55,K84))),설정!$B$55,IF(AND(설정!$A$56&lt;&gt;"",ISNUMBER(SEARCH(설정!$A$56,K84))),설정!$B$56,IF(AND(설정!$A$57&lt;&gt;"",ISNUMBER(SEARCH(설정!$A$57,K84))),설정!$B$57,IF(AND(설정!$A$58&lt;&gt;"",ISNUMBER(SEARCH(설정!$A$58,K84))),설정!$B$58,IF(AND(설정!$A$59&lt;&gt;"",ISNUMBER(SEARCH(설정!$A$59,K84))),설정!$B$59,IF(AND(설정!$A$60&lt;&gt;"",ISNUMBER(SEARCH(설정!$A$60,K84))),설정!$B$60,IF(AND(설정!$A$61&lt;&gt;"",ISNUMBER(SEARCH(설정!$A$61,K84))),설정!$B$61,IF(M84="","설계사","시공사"))))))))),"")</f>
        <v/>
      </c>
      <c r="V84">
        <f>SUBSTITUTE(SUBSTITUTE(SUBSTITUTE(SUBSTITUTE(G84,"(주)",""),"㈜",""),"주식회사","")," ","")</f>
        <v/>
      </c>
      <c r="W84">
        <f>IF(AND(T84,V84&lt;&gt;""),IF(COUNTIFS(V$2:V84,V84,T$2:T84,TRUE)=1,MAX(W$1:W83)+1,""),"")</f>
        <v/>
      </c>
      <c r="X84">
        <f>IF(설정!$C$14="","",IFERROR(INDEX('1.산군_붙여넣기'!$A$1:$AZ$1001,ROW(),설정!$C$14)&amp;"",""))</f>
        <v/>
      </c>
      <c r="Y84">
        <f>IF(설정!$C$15="","",IFERROR(INDEX('1.산군_붙여넣기'!$A$1:$AZ$1001,ROW(),설정!$C$15)&amp;"",""))</f>
        <v/>
      </c>
      <c r="Z84">
        <f>IF(T84,V84&amp;"|"&amp;U84,"")</f>
        <v/>
      </c>
      <c r="AA84">
        <f>IF(NOT(Q84),"",IF(NOT(AND(R84,S84)),"✕",IF(OR(OR(AND(L84&lt;&gt;"",M84&lt;&gt;"",N(M84)-N(L84)&gt;설정!$B$27),AND(L84&lt;&gt;"",M84="",설정!$B$24-N(L84)&gt;설정!$B$27)),AND(D84&lt;&gt;"",D84&lt;설정!$B$26)),"△","★")))</f>
        <v/>
      </c>
      <c r="AB84">
        <f>IF(NOT(T84),"",IF(U84="설계사",설정!$B$31,IF(U84="시공사",IF(OR(M84="",설정!$B$24-N(M84)&lt;=설정!$B$28*30.4),설정!$B$32,설정!$B$33),설정!$B$34))+IF(AA84="★",설정!$B$35,0))</f>
        <v/>
      </c>
      <c r="AC84">
        <f>SUBSTITUTE(SUBSTITUTE(SUBSTITUTE(SUBSTITUTE(H84,"(주)",""),"㈜",""),"주식회사","")," ","")</f>
        <v/>
      </c>
      <c r="AD84">
        <f>IF(AND(T84,AC84&lt;&gt;""),IF(COUNTIFS(AC$2:AC84,AC84,T$2:T84,TRUE)=1,MAX(AD$1:AD83)+1,""),"")</f>
        <v/>
      </c>
    </row>
    <row r="85">
      <c r="A85">
        <f>ROW()</f>
        <v/>
      </c>
      <c r="B85">
        <f>IF(설정!$C$4="","",IFERROR(INDEX('1.산군_붙여넣기'!$A$1:$AZ$1001,ROW(),설정!$C$4)&amp;"",""))</f>
        <v/>
      </c>
      <c r="C85">
        <f>IF(설정!$C$5="","",IFERROR(INDEX('1.산군_붙여넣기'!$A$1:$AZ$1001,ROW(),설정!$C$5)&amp;"",""))</f>
        <v/>
      </c>
      <c r="D85" s="5">
        <f>IFERROR(VALUE(SUBSTITUTE(SUBSTITUTE(SUBSTITUTE(IF(설정!$C$6="","",IFERROR(INDEX('1.산군_붙여넣기'!$A$1:$AZ$1001,ROW(),설정!$C$6)&amp;"","")),",",""),"㎡",""),"m2","")),"")</f>
        <v/>
      </c>
      <c r="E85">
        <f>IF(설정!$C$7="","",IFERROR(INDEX('1.산군_붙여넣기'!$A$1:$AZ$1001,ROW(),설정!$C$7)&amp;"",""))</f>
        <v/>
      </c>
      <c r="F85">
        <f>IF(설정!$C$8="","",IFERROR(INDEX('1.산군_붙여넣기'!$A$1:$AZ$1001,ROW(),설정!$C$8)&amp;"",""))</f>
        <v/>
      </c>
      <c r="G85">
        <f>IF(설정!$C$9="","",IFERROR(INDEX('1.산군_붙여넣기'!$A$1:$AZ$1001,ROW(),설정!$C$9)&amp;"",""))</f>
        <v/>
      </c>
      <c r="H85">
        <f>IF(설정!$C$10="","",IFERROR(INDEX('1.산군_붙여넣기'!$A$1:$AZ$1001,ROW(),설정!$C$10)&amp;"",""))</f>
        <v/>
      </c>
      <c r="I85">
        <f>IF(설정!$C$11="","",IFERROR(INDEX('1.산군_붙여넣기'!$A$1:$AZ$1001,ROW(),설정!$C$11)&amp;"",""))</f>
        <v/>
      </c>
      <c r="J85">
        <f>IF(설정!$C$12="","",IFERROR(INDEX('1.산군_붙여넣기'!$A$1:$AZ$1001,ROW(),설정!$C$12)&amp;"",""))</f>
        <v/>
      </c>
      <c r="K85">
        <f>IF(설정!$C$13="","",IFERROR(INDEX('1.산군_붙여넣기'!$A$1:$AZ$1001,ROW(),설정!$C$13)&amp;"",""))</f>
        <v/>
      </c>
      <c r="L85" s="7">
        <f>IF(X85="","",IF(AND(LEN(X85)=8,ISNUMBER(X85*1)),DATE(LEFT(X85,4),MID(X85,5,2),RIGHT(X85,2)),IFERROR(DATEVALUE(SUBSTITUTE(SUBSTITUTE(X85,".","-"),"/","-")),IFERROR(X85*1,""))))</f>
        <v/>
      </c>
      <c r="M85" s="7">
        <f>IF(Y85="","",IF(AND(LEN(Y85)=8,ISNUMBER(Y85*1)),DATE(LEFT(Y85,4),MID(Y85,5,2),RIGHT(Y85,2)),IFERROR(DATEVALUE(SUBSTITUTE(SUBSTITUTE(Y85,".","-"),"/","-")),IFERROR(Y85*1,""))))</f>
        <v/>
      </c>
      <c r="N85">
        <f>IFERROR(LEFT(B85,FIND(" ",B85)-1),B85)</f>
        <v/>
      </c>
      <c r="O85">
        <f>AND(B85&lt;&gt;"",B85&lt;&gt;설정!$B$4,C85&lt;&gt;설정!$B$5)</f>
        <v/>
      </c>
      <c r="P85">
        <f>IF(O85,B85&amp;"|"&amp;C85,"")</f>
        <v/>
      </c>
      <c r="Q85">
        <f>AND(O85,COUNTIF(P86:P$1002,P85)=0)</f>
        <v/>
      </c>
      <c r="R85">
        <f>OR(AND(설정!$A$42&lt;&gt;"",ISNUMBER(SEARCH(설정!$A$42,E85&amp;" "&amp;C85))),AND(설정!$A$43&lt;&gt;"",ISNUMBER(SEARCH(설정!$A$43,E85&amp;" "&amp;C85))),AND(설정!$A$44&lt;&gt;"",ISNUMBER(SEARCH(설정!$A$44,E85&amp;" "&amp;C85))),AND(설정!$A$45&lt;&gt;"",ISNUMBER(SEARCH(설정!$A$45,E85&amp;" "&amp;C85))),AND(설정!$A$46&lt;&gt;"",ISNUMBER(SEARCH(설정!$A$46,E85&amp;" "&amp;C85))),AND(설정!$A$47&lt;&gt;"",ISNUMBER(SEARCH(설정!$A$47,E85&amp;" "&amp;C85))),AND(설정!$A$48&lt;&gt;"",ISNUMBER(SEARCH(설정!$A$48,E85&amp;" "&amp;C85))),AND(설정!$A$49&lt;&gt;"",ISNUMBER(SEARCH(설정!$A$49,E85&amp;" "&amp;C85))),AND(설정!$A$50&lt;&gt;"",ISNUMBER(SEARCH(설정!$A$50,E85&amp;" "&amp;C85))),AND(설정!$A$51&lt;&gt;"",ISNUMBER(SEARCH(설정!$A$51,E85&amp;" "&amp;C85))))</f>
        <v/>
      </c>
      <c r="S85">
        <f>OR(D85="",D85&gt;=설정!$B$19)</f>
        <v/>
      </c>
      <c r="T85">
        <f>AND(Q85,R85,S85)</f>
        <v/>
      </c>
      <c r="U85">
        <f>IF(T85,IF(AND(설정!$A$54&lt;&gt;"",ISNUMBER(SEARCH(설정!$A$54,K85))),설정!$B$54,IF(AND(설정!$A$55&lt;&gt;"",ISNUMBER(SEARCH(설정!$A$55,K85))),설정!$B$55,IF(AND(설정!$A$56&lt;&gt;"",ISNUMBER(SEARCH(설정!$A$56,K85))),설정!$B$56,IF(AND(설정!$A$57&lt;&gt;"",ISNUMBER(SEARCH(설정!$A$57,K85))),설정!$B$57,IF(AND(설정!$A$58&lt;&gt;"",ISNUMBER(SEARCH(설정!$A$58,K85))),설정!$B$58,IF(AND(설정!$A$59&lt;&gt;"",ISNUMBER(SEARCH(설정!$A$59,K85))),설정!$B$59,IF(AND(설정!$A$60&lt;&gt;"",ISNUMBER(SEARCH(설정!$A$60,K85))),설정!$B$60,IF(AND(설정!$A$61&lt;&gt;"",ISNUMBER(SEARCH(설정!$A$61,K85))),설정!$B$61,IF(M85="","설계사","시공사"))))))))),"")</f>
        <v/>
      </c>
      <c r="V85">
        <f>SUBSTITUTE(SUBSTITUTE(SUBSTITUTE(SUBSTITUTE(G85,"(주)",""),"㈜",""),"주식회사","")," ","")</f>
        <v/>
      </c>
      <c r="W85">
        <f>IF(AND(T85,V85&lt;&gt;""),IF(COUNTIFS(V$2:V85,V85,T$2:T85,TRUE)=1,MAX(W$1:W84)+1,""),"")</f>
        <v/>
      </c>
      <c r="X85">
        <f>IF(설정!$C$14="","",IFERROR(INDEX('1.산군_붙여넣기'!$A$1:$AZ$1001,ROW(),설정!$C$14)&amp;"",""))</f>
        <v/>
      </c>
      <c r="Y85">
        <f>IF(설정!$C$15="","",IFERROR(INDEX('1.산군_붙여넣기'!$A$1:$AZ$1001,ROW(),설정!$C$15)&amp;"",""))</f>
        <v/>
      </c>
      <c r="Z85">
        <f>IF(T85,V85&amp;"|"&amp;U85,"")</f>
        <v/>
      </c>
      <c r="AA85">
        <f>IF(NOT(Q85),"",IF(NOT(AND(R85,S85)),"✕",IF(OR(OR(AND(L85&lt;&gt;"",M85&lt;&gt;"",N(M85)-N(L85)&gt;설정!$B$27),AND(L85&lt;&gt;"",M85="",설정!$B$24-N(L85)&gt;설정!$B$27)),AND(D85&lt;&gt;"",D85&lt;설정!$B$26)),"△","★")))</f>
        <v/>
      </c>
      <c r="AB85">
        <f>IF(NOT(T85),"",IF(U85="설계사",설정!$B$31,IF(U85="시공사",IF(OR(M85="",설정!$B$24-N(M85)&lt;=설정!$B$28*30.4),설정!$B$32,설정!$B$33),설정!$B$34))+IF(AA85="★",설정!$B$35,0))</f>
        <v/>
      </c>
      <c r="AC85">
        <f>SUBSTITUTE(SUBSTITUTE(SUBSTITUTE(SUBSTITUTE(H85,"(주)",""),"㈜",""),"주식회사","")," ","")</f>
        <v/>
      </c>
      <c r="AD85">
        <f>IF(AND(T85,AC85&lt;&gt;""),IF(COUNTIFS(AC$2:AC85,AC85,T$2:T85,TRUE)=1,MAX(AD$1:AD84)+1,""),"")</f>
        <v/>
      </c>
    </row>
    <row r="86">
      <c r="A86">
        <f>ROW()</f>
        <v/>
      </c>
      <c r="B86">
        <f>IF(설정!$C$4="","",IFERROR(INDEX('1.산군_붙여넣기'!$A$1:$AZ$1001,ROW(),설정!$C$4)&amp;"",""))</f>
        <v/>
      </c>
      <c r="C86">
        <f>IF(설정!$C$5="","",IFERROR(INDEX('1.산군_붙여넣기'!$A$1:$AZ$1001,ROW(),설정!$C$5)&amp;"",""))</f>
        <v/>
      </c>
      <c r="D86" s="5">
        <f>IFERROR(VALUE(SUBSTITUTE(SUBSTITUTE(SUBSTITUTE(IF(설정!$C$6="","",IFERROR(INDEX('1.산군_붙여넣기'!$A$1:$AZ$1001,ROW(),설정!$C$6)&amp;"","")),",",""),"㎡",""),"m2","")),"")</f>
        <v/>
      </c>
      <c r="E86">
        <f>IF(설정!$C$7="","",IFERROR(INDEX('1.산군_붙여넣기'!$A$1:$AZ$1001,ROW(),설정!$C$7)&amp;"",""))</f>
        <v/>
      </c>
      <c r="F86">
        <f>IF(설정!$C$8="","",IFERROR(INDEX('1.산군_붙여넣기'!$A$1:$AZ$1001,ROW(),설정!$C$8)&amp;"",""))</f>
        <v/>
      </c>
      <c r="G86">
        <f>IF(설정!$C$9="","",IFERROR(INDEX('1.산군_붙여넣기'!$A$1:$AZ$1001,ROW(),설정!$C$9)&amp;"",""))</f>
        <v/>
      </c>
      <c r="H86">
        <f>IF(설정!$C$10="","",IFERROR(INDEX('1.산군_붙여넣기'!$A$1:$AZ$1001,ROW(),설정!$C$10)&amp;"",""))</f>
        <v/>
      </c>
      <c r="I86">
        <f>IF(설정!$C$11="","",IFERROR(INDEX('1.산군_붙여넣기'!$A$1:$AZ$1001,ROW(),설정!$C$11)&amp;"",""))</f>
        <v/>
      </c>
      <c r="J86">
        <f>IF(설정!$C$12="","",IFERROR(INDEX('1.산군_붙여넣기'!$A$1:$AZ$1001,ROW(),설정!$C$12)&amp;"",""))</f>
        <v/>
      </c>
      <c r="K86">
        <f>IF(설정!$C$13="","",IFERROR(INDEX('1.산군_붙여넣기'!$A$1:$AZ$1001,ROW(),설정!$C$13)&amp;"",""))</f>
        <v/>
      </c>
      <c r="L86" s="7">
        <f>IF(X86="","",IF(AND(LEN(X86)=8,ISNUMBER(X86*1)),DATE(LEFT(X86,4),MID(X86,5,2),RIGHT(X86,2)),IFERROR(DATEVALUE(SUBSTITUTE(SUBSTITUTE(X86,".","-"),"/","-")),IFERROR(X86*1,""))))</f>
        <v/>
      </c>
      <c r="M86" s="7">
        <f>IF(Y86="","",IF(AND(LEN(Y86)=8,ISNUMBER(Y86*1)),DATE(LEFT(Y86,4),MID(Y86,5,2),RIGHT(Y86,2)),IFERROR(DATEVALUE(SUBSTITUTE(SUBSTITUTE(Y86,".","-"),"/","-")),IFERROR(Y86*1,""))))</f>
        <v/>
      </c>
      <c r="N86">
        <f>IFERROR(LEFT(B86,FIND(" ",B86)-1),B86)</f>
        <v/>
      </c>
      <c r="O86">
        <f>AND(B86&lt;&gt;"",B86&lt;&gt;설정!$B$4,C86&lt;&gt;설정!$B$5)</f>
        <v/>
      </c>
      <c r="P86">
        <f>IF(O86,B86&amp;"|"&amp;C86,"")</f>
        <v/>
      </c>
      <c r="Q86">
        <f>AND(O86,COUNTIF(P87:P$1002,P86)=0)</f>
        <v/>
      </c>
      <c r="R86">
        <f>OR(AND(설정!$A$42&lt;&gt;"",ISNUMBER(SEARCH(설정!$A$42,E86&amp;" "&amp;C86))),AND(설정!$A$43&lt;&gt;"",ISNUMBER(SEARCH(설정!$A$43,E86&amp;" "&amp;C86))),AND(설정!$A$44&lt;&gt;"",ISNUMBER(SEARCH(설정!$A$44,E86&amp;" "&amp;C86))),AND(설정!$A$45&lt;&gt;"",ISNUMBER(SEARCH(설정!$A$45,E86&amp;" "&amp;C86))),AND(설정!$A$46&lt;&gt;"",ISNUMBER(SEARCH(설정!$A$46,E86&amp;" "&amp;C86))),AND(설정!$A$47&lt;&gt;"",ISNUMBER(SEARCH(설정!$A$47,E86&amp;" "&amp;C86))),AND(설정!$A$48&lt;&gt;"",ISNUMBER(SEARCH(설정!$A$48,E86&amp;" "&amp;C86))),AND(설정!$A$49&lt;&gt;"",ISNUMBER(SEARCH(설정!$A$49,E86&amp;" "&amp;C86))),AND(설정!$A$50&lt;&gt;"",ISNUMBER(SEARCH(설정!$A$50,E86&amp;" "&amp;C86))),AND(설정!$A$51&lt;&gt;"",ISNUMBER(SEARCH(설정!$A$51,E86&amp;" "&amp;C86))))</f>
        <v/>
      </c>
      <c r="S86">
        <f>OR(D86="",D86&gt;=설정!$B$19)</f>
        <v/>
      </c>
      <c r="T86">
        <f>AND(Q86,R86,S86)</f>
        <v/>
      </c>
      <c r="U86">
        <f>IF(T86,IF(AND(설정!$A$54&lt;&gt;"",ISNUMBER(SEARCH(설정!$A$54,K86))),설정!$B$54,IF(AND(설정!$A$55&lt;&gt;"",ISNUMBER(SEARCH(설정!$A$55,K86))),설정!$B$55,IF(AND(설정!$A$56&lt;&gt;"",ISNUMBER(SEARCH(설정!$A$56,K86))),설정!$B$56,IF(AND(설정!$A$57&lt;&gt;"",ISNUMBER(SEARCH(설정!$A$57,K86))),설정!$B$57,IF(AND(설정!$A$58&lt;&gt;"",ISNUMBER(SEARCH(설정!$A$58,K86))),설정!$B$58,IF(AND(설정!$A$59&lt;&gt;"",ISNUMBER(SEARCH(설정!$A$59,K86))),설정!$B$59,IF(AND(설정!$A$60&lt;&gt;"",ISNUMBER(SEARCH(설정!$A$60,K86))),설정!$B$60,IF(AND(설정!$A$61&lt;&gt;"",ISNUMBER(SEARCH(설정!$A$61,K86))),설정!$B$61,IF(M86="","설계사","시공사"))))))))),"")</f>
        <v/>
      </c>
      <c r="V86">
        <f>SUBSTITUTE(SUBSTITUTE(SUBSTITUTE(SUBSTITUTE(G86,"(주)",""),"㈜",""),"주식회사","")," ","")</f>
        <v/>
      </c>
      <c r="W86">
        <f>IF(AND(T86,V86&lt;&gt;""),IF(COUNTIFS(V$2:V86,V86,T$2:T86,TRUE)=1,MAX(W$1:W85)+1,""),"")</f>
        <v/>
      </c>
      <c r="X86">
        <f>IF(설정!$C$14="","",IFERROR(INDEX('1.산군_붙여넣기'!$A$1:$AZ$1001,ROW(),설정!$C$14)&amp;"",""))</f>
        <v/>
      </c>
      <c r="Y86">
        <f>IF(설정!$C$15="","",IFERROR(INDEX('1.산군_붙여넣기'!$A$1:$AZ$1001,ROW(),설정!$C$15)&amp;"",""))</f>
        <v/>
      </c>
      <c r="Z86">
        <f>IF(T86,V86&amp;"|"&amp;U86,"")</f>
        <v/>
      </c>
      <c r="AA86">
        <f>IF(NOT(Q86),"",IF(NOT(AND(R86,S86)),"✕",IF(OR(OR(AND(L86&lt;&gt;"",M86&lt;&gt;"",N(M86)-N(L86)&gt;설정!$B$27),AND(L86&lt;&gt;"",M86="",설정!$B$24-N(L86)&gt;설정!$B$27)),AND(D86&lt;&gt;"",D86&lt;설정!$B$26)),"△","★")))</f>
        <v/>
      </c>
      <c r="AB86">
        <f>IF(NOT(T86),"",IF(U86="설계사",설정!$B$31,IF(U86="시공사",IF(OR(M86="",설정!$B$24-N(M86)&lt;=설정!$B$28*30.4),설정!$B$32,설정!$B$33),설정!$B$34))+IF(AA86="★",설정!$B$35,0))</f>
        <v/>
      </c>
      <c r="AC86">
        <f>SUBSTITUTE(SUBSTITUTE(SUBSTITUTE(SUBSTITUTE(H86,"(주)",""),"㈜",""),"주식회사","")," ","")</f>
        <v/>
      </c>
      <c r="AD86">
        <f>IF(AND(T86,AC86&lt;&gt;""),IF(COUNTIFS(AC$2:AC86,AC86,T$2:T86,TRUE)=1,MAX(AD$1:AD85)+1,""),"")</f>
        <v/>
      </c>
    </row>
    <row r="87">
      <c r="A87">
        <f>ROW()</f>
        <v/>
      </c>
      <c r="B87">
        <f>IF(설정!$C$4="","",IFERROR(INDEX('1.산군_붙여넣기'!$A$1:$AZ$1001,ROW(),설정!$C$4)&amp;"",""))</f>
        <v/>
      </c>
      <c r="C87">
        <f>IF(설정!$C$5="","",IFERROR(INDEX('1.산군_붙여넣기'!$A$1:$AZ$1001,ROW(),설정!$C$5)&amp;"",""))</f>
        <v/>
      </c>
      <c r="D87" s="5">
        <f>IFERROR(VALUE(SUBSTITUTE(SUBSTITUTE(SUBSTITUTE(IF(설정!$C$6="","",IFERROR(INDEX('1.산군_붙여넣기'!$A$1:$AZ$1001,ROW(),설정!$C$6)&amp;"","")),",",""),"㎡",""),"m2","")),"")</f>
        <v/>
      </c>
      <c r="E87">
        <f>IF(설정!$C$7="","",IFERROR(INDEX('1.산군_붙여넣기'!$A$1:$AZ$1001,ROW(),설정!$C$7)&amp;"",""))</f>
        <v/>
      </c>
      <c r="F87">
        <f>IF(설정!$C$8="","",IFERROR(INDEX('1.산군_붙여넣기'!$A$1:$AZ$1001,ROW(),설정!$C$8)&amp;"",""))</f>
        <v/>
      </c>
      <c r="G87">
        <f>IF(설정!$C$9="","",IFERROR(INDEX('1.산군_붙여넣기'!$A$1:$AZ$1001,ROW(),설정!$C$9)&amp;"",""))</f>
        <v/>
      </c>
      <c r="H87">
        <f>IF(설정!$C$10="","",IFERROR(INDEX('1.산군_붙여넣기'!$A$1:$AZ$1001,ROW(),설정!$C$10)&amp;"",""))</f>
        <v/>
      </c>
      <c r="I87">
        <f>IF(설정!$C$11="","",IFERROR(INDEX('1.산군_붙여넣기'!$A$1:$AZ$1001,ROW(),설정!$C$11)&amp;"",""))</f>
        <v/>
      </c>
      <c r="J87">
        <f>IF(설정!$C$12="","",IFERROR(INDEX('1.산군_붙여넣기'!$A$1:$AZ$1001,ROW(),설정!$C$12)&amp;"",""))</f>
        <v/>
      </c>
      <c r="K87">
        <f>IF(설정!$C$13="","",IFERROR(INDEX('1.산군_붙여넣기'!$A$1:$AZ$1001,ROW(),설정!$C$13)&amp;"",""))</f>
        <v/>
      </c>
      <c r="L87" s="7">
        <f>IF(X87="","",IF(AND(LEN(X87)=8,ISNUMBER(X87*1)),DATE(LEFT(X87,4),MID(X87,5,2),RIGHT(X87,2)),IFERROR(DATEVALUE(SUBSTITUTE(SUBSTITUTE(X87,".","-"),"/","-")),IFERROR(X87*1,""))))</f>
        <v/>
      </c>
      <c r="M87" s="7">
        <f>IF(Y87="","",IF(AND(LEN(Y87)=8,ISNUMBER(Y87*1)),DATE(LEFT(Y87,4),MID(Y87,5,2),RIGHT(Y87,2)),IFERROR(DATEVALUE(SUBSTITUTE(SUBSTITUTE(Y87,".","-"),"/","-")),IFERROR(Y87*1,""))))</f>
        <v/>
      </c>
      <c r="N87">
        <f>IFERROR(LEFT(B87,FIND(" ",B87)-1),B87)</f>
        <v/>
      </c>
      <c r="O87">
        <f>AND(B87&lt;&gt;"",B87&lt;&gt;설정!$B$4,C87&lt;&gt;설정!$B$5)</f>
        <v/>
      </c>
      <c r="P87">
        <f>IF(O87,B87&amp;"|"&amp;C87,"")</f>
        <v/>
      </c>
      <c r="Q87">
        <f>AND(O87,COUNTIF(P88:P$1002,P87)=0)</f>
        <v/>
      </c>
      <c r="R87">
        <f>OR(AND(설정!$A$42&lt;&gt;"",ISNUMBER(SEARCH(설정!$A$42,E87&amp;" "&amp;C87))),AND(설정!$A$43&lt;&gt;"",ISNUMBER(SEARCH(설정!$A$43,E87&amp;" "&amp;C87))),AND(설정!$A$44&lt;&gt;"",ISNUMBER(SEARCH(설정!$A$44,E87&amp;" "&amp;C87))),AND(설정!$A$45&lt;&gt;"",ISNUMBER(SEARCH(설정!$A$45,E87&amp;" "&amp;C87))),AND(설정!$A$46&lt;&gt;"",ISNUMBER(SEARCH(설정!$A$46,E87&amp;" "&amp;C87))),AND(설정!$A$47&lt;&gt;"",ISNUMBER(SEARCH(설정!$A$47,E87&amp;" "&amp;C87))),AND(설정!$A$48&lt;&gt;"",ISNUMBER(SEARCH(설정!$A$48,E87&amp;" "&amp;C87))),AND(설정!$A$49&lt;&gt;"",ISNUMBER(SEARCH(설정!$A$49,E87&amp;" "&amp;C87))),AND(설정!$A$50&lt;&gt;"",ISNUMBER(SEARCH(설정!$A$50,E87&amp;" "&amp;C87))),AND(설정!$A$51&lt;&gt;"",ISNUMBER(SEARCH(설정!$A$51,E87&amp;" "&amp;C87))))</f>
        <v/>
      </c>
      <c r="S87">
        <f>OR(D87="",D87&gt;=설정!$B$19)</f>
        <v/>
      </c>
      <c r="T87">
        <f>AND(Q87,R87,S87)</f>
        <v/>
      </c>
      <c r="U87">
        <f>IF(T87,IF(AND(설정!$A$54&lt;&gt;"",ISNUMBER(SEARCH(설정!$A$54,K87))),설정!$B$54,IF(AND(설정!$A$55&lt;&gt;"",ISNUMBER(SEARCH(설정!$A$55,K87))),설정!$B$55,IF(AND(설정!$A$56&lt;&gt;"",ISNUMBER(SEARCH(설정!$A$56,K87))),설정!$B$56,IF(AND(설정!$A$57&lt;&gt;"",ISNUMBER(SEARCH(설정!$A$57,K87))),설정!$B$57,IF(AND(설정!$A$58&lt;&gt;"",ISNUMBER(SEARCH(설정!$A$58,K87))),설정!$B$58,IF(AND(설정!$A$59&lt;&gt;"",ISNUMBER(SEARCH(설정!$A$59,K87))),설정!$B$59,IF(AND(설정!$A$60&lt;&gt;"",ISNUMBER(SEARCH(설정!$A$60,K87))),설정!$B$60,IF(AND(설정!$A$61&lt;&gt;"",ISNUMBER(SEARCH(설정!$A$61,K87))),설정!$B$61,IF(M87="","설계사","시공사"))))))))),"")</f>
        <v/>
      </c>
      <c r="V87">
        <f>SUBSTITUTE(SUBSTITUTE(SUBSTITUTE(SUBSTITUTE(G87,"(주)",""),"㈜",""),"주식회사","")," ","")</f>
        <v/>
      </c>
      <c r="W87">
        <f>IF(AND(T87,V87&lt;&gt;""),IF(COUNTIFS(V$2:V87,V87,T$2:T87,TRUE)=1,MAX(W$1:W86)+1,""),"")</f>
        <v/>
      </c>
      <c r="X87">
        <f>IF(설정!$C$14="","",IFERROR(INDEX('1.산군_붙여넣기'!$A$1:$AZ$1001,ROW(),설정!$C$14)&amp;"",""))</f>
        <v/>
      </c>
      <c r="Y87">
        <f>IF(설정!$C$15="","",IFERROR(INDEX('1.산군_붙여넣기'!$A$1:$AZ$1001,ROW(),설정!$C$15)&amp;"",""))</f>
        <v/>
      </c>
      <c r="Z87">
        <f>IF(T87,V87&amp;"|"&amp;U87,"")</f>
        <v/>
      </c>
      <c r="AA87">
        <f>IF(NOT(Q87),"",IF(NOT(AND(R87,S87)),"✕",IF(OR(OR(AND(L87&lt;&gt;"",M87&lt;&gt;"",N(M87)-N(L87)&gt;설정!$B$27),AND(L87&lt;&gt;"",M87="",설정!$B$24-N(L87)&gt;설정!$B$27)),AND(D87&lt;&gt;"",D87&lt;설정!$B$26)),"△","★")))</f>
        <v/>
      </c>
      <c r="AB87">
        <f>IF(NOT(T87),"",IF(U87="설계사",설정!$B$31,IF(U87="시공사",IF(OR(M87="",설정!$B$24-N(M87)&lt;=설정!$B$28*30.4),설정!$B$32,설정!$B$33),설정!$B$34))+IF(AA87="★",설정!$B$35,0))</f>
        <v/>
      </c>
      <c r="AC87">
        <f>SUBSTITUTE(SUBSTITUTE(SUBSTITUTE(SUBSTITUTE(H87,"(주)",""),"㈜",""),"주식회사","")," ","")</f>
        <v/>
      </c>
      <c r="AD87">
        <f>IF(AND(T87,AC87&lt;&gt;""),IF(COUNTIFS(AC$2:AC87,AC87,T$2:T87,TRUE)=1,MAX(AD$1:AD86)+1,""),"")</f>
        <v/>
      </c>
    </row>
    <row r="88">
      <c r="A88">
        <f>ROW()</f>
        <v/>
      </c>
      <c r="B88">
        <f>IF(설정!$C$4="","",IFERROR(INDEX('1.산군_붙여넣기'!$A$1:$AZ$1001,ROW(),설정!$C$4)&amp;"",""))</f>
        <v/>
      </c>
      <c r="C88">
        <f>IF(설정!$C$5="","",IFERROR(INDEX('1.산군_붙여넣기'!$A$1:$AZ$1001,ROW(),설정!$C$5)&amp;"",""))</f>
        <v/>
      </c>
      <c r="D88" s="5">
        <f>IFERROR(VALUE(SUBSTITUTE(SUBSTITUTE(SUBSTITUTE(IF(설정!$C$6="","",IFERROR(INDEX('1.산군_붙여넣기'!$A$1:$AZ$1001,ROW(),설정!$C$6)&amp;"","")),",",""),"㎡",""),"m2","")),"")</f>
        <v/>
      </c>
      <c r="E88">
        <f>IF(설정!$C$7="","",IFERROR(INDEX('1.산군_붙여넣기'!$A$1:$AZ$1001,ROW(),설정!$C$7)&amp;"",""))</f>
        <v/>
      </c>
      <c r="F88">
        <f>IF(설정!$C$8="","",IFERROR(INDEX('1.산군_붙여넣기'!$A$1:$AZ$1001,ROW(),설정!$C$8)&amp;"",""))</f>
        <v/>
      </c>
      <c r="G88">
        <f>IF(설정!$C$9="","",IFERROR(INDEX('1.산군_붙여넣기'!$A$1:$AZ$1001,ROW(),설정!$C$9)&amp;"",""))</f>
        <v/>
      </c>
      <c r="H88">
        <f>IF(설정!$C$10="","",IFERROR(INDEX('1.산군_붙여넣기'!$A$1:$AZ$1001,ROW(),설정!$C$10)&amp;"",""))</f>
        <v/>
      </c>
      <c r="I88">
        <f>IF(설정!$C$11="","",IFERROR(INDEX('1.산군_붙여넣기'!$A$1:$AZ$1001,ROW(),설정!$C$11)&amp;"",""))</f>
        <v/>
      </c>
      <c r="J88">
        <f>IF(설정!$C$12="","",IFERROR(INDEX('1.산군_붙여넣기'!$A$1:$AZ$1001,ROW(),설정!$C$12)&amp;"",""))</f>
        <v/>
      </c>
      <c r="K88">
        <f>IF(설정!$C$13="","",IFERROR(INDEX('1.산군_붙여넣기'!$A$1:$AZ$1001,ROW(),설정!$C$13)&amp;"",""))</f>
        <v/>
      </c>
      <c r="L88" s="7">
        <f>IF(X88="","",IF(AND(LEN(X88)=8,ISNUMBER(X88*1)),DATE(LEFT(X88,4),MID(X88,5,2),RIGHT(X88,2)),IFERROR(DATEVALUE(SUBSTITUTE(SUBSTITUTE(X88,".","-"),"/","-")),IFERROR(X88*1,""))))</f>
        <v/>
      </c>
      <c r="M88" s="7">
        <f>IF(Y88="","",IF(AND(LEN(Y88)=8,ISNUMBER(Y88*1)),DATE(LEFT(Y88,4),MID(Y88,5,2),RIGHT(Y88,2)),IFERROR(DATEVALUE(SUBSTITUTE(SUBSTITUTE(Y88,".","-"),"/","-")),IFERROR(Y88*1,""))))</f>
        <v/>
      </c>
      <c r="N88">
        <f>IFERROR(LEFT(B88,FIND(" ",B88)-1),B88)</f>
        <v/>
      </c>
      <c r="O88">
        <f>AND(B88&lt;&gt;"",B88&lt;&gt;설정!$B$4,C88&lt;&gt;설정!$B$5)</f>
        <v/>
      </c>
      <c r="P88">
        <f>IF(O88,B88&amp;"|"&amp;C88,"")</f>
        <v/>
      </c>
      <c r="Q88">
        <f>AND(O88,COUNTIF(P89:P$1002,P88)=0)</f>
        <v/>
      </c>
      <c r="R88">
        <f>OR(AND(설정!$A$42&lt;&gt;"",ISNUMBER(SEARCH(설정!$A$42,E88&amp;" "&amp;C88))),AND(설정!$A$43&lt;&gt;"",ISNUMBER(SEARCH(설정!$A$43,E88&amp;" "&amp;C88))),AND(설정!$A$44&lt;&gt;"",ISNUMBER(SEARCH(설정!$A$44,E88&amp;" "&amp;C88))),AND(설정!$A$45&lt;&gt;"",ISNUMBER(SEARCH(설정!$A$45,E88&amp;" "&amp;C88))),AND(설정!$A$46&lt;&gt;"",ISNUMBER(SEARCH(설정!$A$46,E88&amp;" "&amp;C88))),AND(설정!$A$47&lt;&gt;"",ISNUMBER(SEARCH(설정!$A$47,E88&amp;" "&amp;C88))),AND(설정!$A$48&lt;&gt;"",ISNUMBER(SEARCH(설정!$A$48,E88&amp;" "&amp;C88))),AND(설정!$A$49&lt;&gt;"",ISNUMBER(SEARCH(설정!$A$49,E88&amp;" "&amp;C88))),AND(설정!$A$50&lt;&gt;"",ISNUMBER(SEARCH(설정!$A$50,E88&amp;" "&amp;C88))),AND(설정!$A$51&lt;&gt;"",ISNUMBER(SEARCH(설정!$A$51,E88&amp;" "&amp;C88))))</f>
        <v/>
      </c>
      <c r="S88">
        <f>OR(D88="",D88&gt;=설정!$B$19)</f>
        <v/>
      </c>
      <c r="T88">
        <f>AND(Q88,R88,S88)</f>
        <v/>
      </c>
      <c r="U88">
        <f>IF(T88,IF(AND(설정!$A$54&lt;&gt;"",ISNUMBER(SEARCH(설정!$A$54,K88))),설정!$B$54,IF(AND(설정!$A$55&lt;&gt;"",ISNUMBER(SEARCH(설정!$A$55,K88))),설정!$B$55,IF(AND(설정!$A$56&lt;&gt;"",ISNUMBER(SEARCH(설정!$A$56,K88))),설정!$B$56,IF(AND(설정!$A$57&lt;&gt;"",ISNUMBER(SEARCH(설정!$A$57,K88))),설정!$B$57,IF(AND(설정!$A$58&lt;&gt;"",ISNUMBER(SEARCH(설정!$A$58,K88))),설정!$B$58,IF(AND(설정!$A$59&lt;&gt;"",ISNUMBER(SEARCH(설정!$A$59,K88))),설정!$B$59,IF(AND(설정!$A$60&lt;&gt;"",ISNUMBER(SEARCH(설정!$A$60,K88))),설정!$B$60,IF(AND(설정!$A$61&lt;&gt;"",ISNUMBER(SEARCH(설정!$A$61,K88))),설정!$B$61,IF(M88="","설계사","시공사"))))))))),"")</f>
        <v/>
      </c>
      <c r="V88">
        <f>SUBSTITUTE(SUBSTITUTE(SUBSTITUTE(SUBSTITUTE(G88,"(주)",""),"㈜",""),"주식회사","")," ","")</f>
        <v/>
      </c>
      <c r="W88">
        <f>IF(AND(T88,V88&lt;&gt;""),IF(COUNTIFS(V$2:V88,V88,T$2:T88,TRUE)=1,MAX(W$1:W87)+1,""),"")</f>
        <v/>
      </c>
      <c r="X88">
        <f>IF(설정!$C$14="","",IFERROR(INDEX('1.산군_붙여넣기'!$A$1:$AZ$1001,ROW(),설정!$C$14)&amp;"",""))</f>
        <v/>
      </c>
      <c r="Y88">
        <f>IF(설정!$C$15="","",IFERROR(INDEX('1.산군_붙여넣기'!$A$1:$AZ$1001,ROW(),설정!$C$15)&amp;"",""))</f>
        <v/>
      </c>
      <c r="Z88">
        <f>IF(T88,V88&amp;"|"&amp;U88,"")</f>
        <v/>
      </c>
      <c r="AA88">
        <f>IF(NOT(Q88),"",IF(NOT(AND(R88,S88)),"✕",IF(OR(OR(AND(L88&lt;&gt;"",M88&lt;&gt;"",N(M88)-N(L88)&gt;설정!$B$27),AND(L88&lt;&gt;"",M88="",설정!$B$24-N(L88)&gt;설정!$B$27)),AND(D88&lt;&gt;"",D88&lt;설정!$B$26)),"△","★")))</f>
        <v/>
      </c>
      <c r="AB88">
        <f>IF(NOT(T88),"",IF(U88="설계사",설정!$B$31,IF(U88="시공사",IF(OR(M88="",설정!$B$24-N(M88)&lt;=설정!$B$28*30.4),설정!$B$32,설정!$B$33),설정!$B$34))+IF(AA88="★",설정!$B$35,0))</f>
        <v/>
      </c>
      <c r="AC88">
        <f>SUBSTITUTE(SUBSTITUTE(SUBSTITUTE(SUBSTITUTE(H88,"(주)",""),"㈜",""),"주식회사","")," ","")</f>
        <v/>
      </c>
      <c r="AD88">
        <f>IF(AND(T88,AC88&lt;&gt;""),IF(COUNTIFS(AC$2:AC88,AC88,T$2:T88,TRUE)=1,MAX(AD$1:AD87)+1,""),"")</f>
        <v/>
      </c>
    </row>
    <row r="89">
      <c r="A89">
        <f>ROW()</f>
        <v/>
      </c>
      <c r="B89">
        <f>IF(설정!$C$4="","",IFERROR(INDEX('1.산군_붙여넣기'!$A$1:$AZ$1001,ROW(),설정!$C$4)&amp;"",""))</f>
        <v/>
      </c>
      <c r="C89">
        <f>IF(설정!$C$5="","",IFERROR(INDEX('1.산군_붙여넣기'!$A$1:$AZ$1001,ROW(),설정!$C$5)&amp;"",""))</f>
        <v/>
      </c>
      <c r="D89" s="5">
        <f>IFERROR(VALUE(SUBSTITUTE(SUBSTITUTE(SUBSTITUTE(IF(설정!$C$6="","",IFERROR(INDEX('1.산군_붙여넣기'!$A$1:$AZ$1001,ROW(),설정!$C$6)&amp;"","")),",",""),"㎡",""),"m2","")),"")</f>
        <v/>
      </c>
      <c r="E89">
        <f>IF(설정!$C$7="","",IFERROR(INDEX('1.산군_붙여넣기'!$A$1:$AZ$1001,ROW(),설정!$C$7)&amp;"",""))</f>
        <v/>
      </c>
      <c r="F89">
        <f>IF(설정!$C$8="","",IFERROR(INDEX('1.산군_붙여넣기'!$A$1:$AZ$1001,ROW(),설정!$C$8)&amp;"",""))</f>
        <v/>
      </c>
      <c r="G89">
        <f>IF(설정!$C$9="","",IFERROR(INDEX('1.산군_붙여넣기'!$A$1:$AZ$1001,ROW(),설정!$C$9)&amp;"",""))</f>
        <v/>
      </c>
      <c r="H89">
        <f>IF(설정!$C$10="","",IFERROR(INDEX('1.산군_붙여넣기'!$A$1:$AZ$1001,ROW(),설정!$C$10)&amp;"",""))</f>
        <v/>
      </c>
      <c r="I89">
        <f>IF(설정!$C$11="","",IFERROR(INDEX('1.산군_붙여넣기'!$A$1:$AZ$1001,ROW(),설정!$C$11)&amp;"",""))</f>
        <v/>
      </c>
      <c r="J89">
        <f>IF(설정!$C$12="","",IFERROR(INDEX('1.산군_붙여넣기'!$A$1:$AZ$1001,ROW(),설정!$C$12)&amp;"",""))</f>
        <v/>
      </c>
      <c r="K89">
        <f>IF(설정!$C$13="","",IFERROR(INDEX('1.산군_붙여넣기'!$A$1:$AZ$1001,ROW(),설정!$C$13)&amp;"",""))</f>
        <v/>
      </c>
      <c r="L89" s="7">
        <f>IF(X89="","",IF(AND(LEN(X89)=8,ISNUMBER(X89*1)),DATE(LEFT(X89,4),MID(X89,5,2),RIGHT(X89,2)),IFERROR(DATEVALUE(SUBSTITUTE(SUBSTITUTE(X89,".","-"),"/","-")),IFERROR(X89*1,""))))</f>
        <v/>
      </c>
      <c r="M89" s="7">
        <f>IF(Y89="","",IF(AND(LEN(Y89)=8,ISNUMBER(Y89*1)),DATE(LEFT(Y89,4),MID(Y89,5,2),RIGHT(Y89,2)),IFERROR(DATEVALUE(SUBSTITUTE(SUBSTITUTE(Y89,".","-"),"/","-")),IFERROR(Y89*1,""))))</f>
        <v/>
      </c>
      <c r="N89">
        <f>IFERROR(LEFT(B89,FIND(" ",B89)-1),B89)</f>
        <v/>
      </c>
      <c r="O89">
        <f>AND(B89&lt;&gt;"",B89&lt;&gt;설정!$B$4,C89&lt;&gt;설정!$B$5)</f>
        <v/>
      </c>
      <c r="P89">
        <f>IF(O89,B89&amp;"|"&amp;C89,"")</f>
        <v/>
      </c>
      <c r="Q89">
        <f>AND(O89,COUNTIF(P90:P$1002,P89)=0)</f>
        <v/>
      </c>
      <c r="R89">
        <f>OR(AND(설정!$A$42&lt;&gt;"",ISNUMBER(SEARCH(설정!$A$42,E89&amp;" "&amp;C89))),AND(설정!$A$43&lt;&gt;"",ISNUMBER(SEARCH(설정!$A$43,E89&amp;" "&amp;C89))),AND(설정!$A$44&lt;&gt;"",ISNUMBER(SEARCH(설정!$A$44,E89&amp;" "&amp;C89))),AND(설정!$A$45&lt;&gt;"",ISNUMBER(SEARCH(설정!$A$45,E89&amp;" "&amp;C89))),AND(설정!$A$46&lt;&gt;"",ISNUMBER(SEARCH(설정!$A$46,E89&amp;" "&amp;C89))),AND(설정!$A$47&lt;&gt;"",ISNUMBER(SEARCH(설정!$A$47,E89&amp;" "&amp;C89))),AND(설정!$A$48&lt;&gt;"",ISNUMBER(SEARCH(설정!$A$48,E89&amp;" "&amp;C89))),AND(설정!$A$49&lt;&gt;"",ISNUMBER(SEARCH(설정!$A$49,E89&amp;" "&amp;C89))),AND(설정!$A$50&lt;&gt;"",ISNUMBER(SEARCH(설정!$A$50,E89&amp;" "&amp;C89))),AND(설정!$A$51&lt;&gt;"",ISNUMBER(SEARCH(설정!$A$51,E89&amp;" "&amp;C89))))</f>
        <v/>
      </c>
      <c r="S89">
        <f>OR(D89="",D89&gt;=설정!$B$19)</f>
        <v/>
      </c>
      <c r="T89">
        <f>AND(Q89,R89,S89)</f>
        <v/>
      </c>
      <c r="U89">
        <f>IF(T89,IF(AND(설정!$A$54&lt;&gt;"",ISNUMBER(SEARCH(설정!$A$54,K89))),설정!$B$54,IF(AND(설정!$A$55&lt;&gt;"",ISNUMBER(SEARCH(설정!$A$55,K89))),설정!$B$55,IF(AND(설정!$A$56&lt;&gt;"",ISNUMBER(SEARCH(설정!$A$56,K89))),설정!$B$56,IF(AND(설정!$A$57&lt;&gt;"",ISNUMBER(SEARCH(설정!$A$57,K89))),설정!$B$57,IF(AND(설정!$A$58&lt;&gt;"",ISNUMBER(SEARCH(설정!$A$58,K89))),설정!$B$58,IF(AND(설정!$A$59&lt;&gt;"",ISNUMBER(SEARCH(설정!$A$59,K89))),설정!$B$59,IF(AND(설정!$A$60&lt;&gt;"",ISNUMBER(SEARCH(설정!$A$60,K89))),설정!$B$60,IF(AND(설정!$A$61&lt;&gt;"",ISNUMBER(SEARCH(설정!$A$61,K89))),설정!$B$61,IF(M89="","설계사","시공사"))))))))),"")</f>
        <v/>
      </c>
      <c r="V89">
        <f>SUBSTITUTE(SUBSTITUTE(SUBSTITUTE(SUBSTITUTE(G89,"(주)",""),"㈜",""),"주식회사","")," ","")</f>
        <v/>
      </c>
      <c r="W89">
        <f>IF(AND(T89,V89&lt;&gt;""),IF(COUNTIFS(V$2:V89,V89,T$2:T89,TRUE)=1,MAX(W$1:W88)+1,""),"")</f>
        <v/>
      </c>
      <c r="X89">
        <f>IF(설정!$C$14="","",IFERROR(INDEX('1.산군_붙여넣기'!$A$1:$AZ$1001,ROW(),설정!$C$14)&amp;"",""))</f>
        <v/>
      </c>
      <c r="Y89">
        <f>IF(설정!$C$15="","",IFERROR(INDEX('1.산군_붙여넣기'!$A$1:$AZ$1001,ROW(),설정!$C$15)&amp;"",""))</f>
        <v/>
      </c>
      <c r="Z89">
        <f>IF(T89,V89&amp;"|"&amp;U89,"")</f>
        <v/>
      </c>
      <c r="AA89">
        <f>IF(NOT(Q89),"",IF(NOT(AND(R89,S89)),"✕",IF(OR(OR(AND(L89&lt;&gt;"",M89&lt;&gt;"",N(M89)-N(L89)&gt;설정!$B$27),AND(L89&lt;&gt;"",M89="",설정!$B$24-N(L89)&gt;설정!$B$27)),AND(D89&lt;&gt;"",D89&lt;설정!$B$26)),"△","★")))</f>
        <v/>
      </c>
      <c r="AB89">
        <f>IF(NOT(T89),"",IF(U89="설계사",설정!$B$31,IF(U89="시공사",IF(OR(M89="",설정!$B$24-N(M89)&lt;=설정!$B$28*30.4),설정!$B$32,설정!$B$33),설정!$B$34))+IF(AA89="★",설정!$B$35,0))</f>
        <v/>
      </c>
      <c r="AC89">
        <f>SUBSTITUTE(SUBSTITUTE(SUBSTITUTE(SUBSTITUTE(H89,"(주)",""),"㈜",""),"주식회사","")," ","")</f>
        <v/>
      </c>
      <c r="AD89">
        <f>IF(AND(T89,AC89&lt;&gt;""),IF(COUNTIFS(AC$2:AC89,AC89,T$2:T89,TRUE)=1,MAX(AD$1:AD88)+1,""),"")</f>
        <v/>
      </c>
    </row>
    <row r="90">
      <c r="A90">
        <f>ROW()</f>
        <v/>
      </c>
      <c r="B90">
        <f>IF(설정!$C$4="","",IFERROR(INDEX('1.산군_붙여넣기'!$A$1:$AZ$1001,ROW(),설정!$C$4)&amp;"",""))</f>
        <v/>
      </c>
      <c r="C90">
        <f>IF(설정!$C$5="","",IFERROR(INDEX('1.산군_붙여넣기'!$A$1:$AZ$1001,ROW(),설정!$C$5)&amp;"",""))</f>
        <v/>
      </c>
      <c r="D90" s="5">
        <f>IFERROR(VALUE(SUBSTITUTE(SUBSTITUTE(SUBSTITUTE(IF(설정!$C$6="","",IFERROR(INDEX('1.산군_붙여넣기'!$A$1:$AZ$1001,ROW(),설정!$C$6)&amp;"","")),",",""),"㎡",""),"m2","")),"")</f>
        <v/>
      </c>
      <c r="E90">
        <f>IF(설정!$C$7="","",IFERROR(INDEX('1.산군_붙여넣기'!$A$1:$AZ$1001,ROW(),설정!$C$7)&amp;"",""))</f>
        <v/>
      </c>
      <c r="F90">
        <f>IF(설정!$C$8="","",IFERROR(INDEX('1.산군_붙여넣기'!$A$1:$AZ$1001,ROW(),설정!$C$8)&amp;"",""))</f>
        <v/>
      </c>
      <c r="G90">
        <f>IF(설정!$C$9="","",IFERROR(INDEX('1.산군_붙여넣기'!$A$1:$AZ$1001,ROW(),설정!$C$9)&amp;"",""))</f>
        <v/>
      </c>
      <c r="H90">
        <f>IF(설정!$C$10="","",IFERROR(INDEX('1.산군_붙여넣기'!$A$1:$AZ$1001,ROW(),설정!$C$10)&amp;"",""))</f>
        <v/>
      </c>
      <c r="I90">
        <f>IF(설정!$C$11="","",IFERROR(INDEX('1.산군_붙여넣기'!$A$1:$AZ$1001,ROW(),설정!$C$11)&amp;"",""))</f>
        <v/>
      </c>
      <c r="J90">
        <f>IF(설정!$C$12="","",IFERROR(INDEX('1.산군_붙여넣기'!$A$1:$AZ$1001,ROW(),설정!$C$12)&amp;"",""))</f>
        <v/>
      </c>
      <c r="K90">
        <f>IF(설정!$C$13="","",IFERROR(INDEX('1.산군_붙여넣기'!$A$1:$AZ$1001,ROW(),설정!$C$13)&amp;"",""))</f>
        <v/>
      </c>
      <c r="L90" s="7">
        <f>IF(X90="","",IF(AND(LEN(X90)=8,ISNUMBER(X90*1)),DATE(LEFT(X90,4),MID(X90,5,2),RIGHT(X90,2)),IFERROR(DATEVALUE(SUBSTITUTE(SUBSTITUTE(X90,".","-"),"/","-")),IFERROR(X90*1,""))))</f>
        <v/>
      </c>
      <c r="M90" s="7">
        <f>IF(Y90="","",IF(AND(LEN(Y90)=8,ISNUMBER(Y90*1)),DATE(LEFT(Y90,4),MID(Y90,5,2),RIGHT(Y90,2)),IFERROR(DATEVALUE(SUBSTITUTE(SUBSTITUTE(Y90,".","-"),"/","-")),IFERROR(Y90*1,""))))</f>
        <v/>
      </c>
      <c r="N90">
        <f>IFERROR(LEFT(B90,FIND(" ",B90)-1),B90)</f>
        <v/>
      </c>
      <c r="O90">
        <f>AND(B90&lt;&gt;"",B90&lt;&gt;설정!$B$4,C90&lt;&gt;설정!$B$5)</f>
        <v/>
      </c>
      <c r="P90">
        <f>IF(O90,B90&amp;"|"&amp;C90,"")</f>
        <v/>
      </c>
      <c r="Q90">
        <f>AND(O90,COUNTIF(P91:P$1002,P90)=0)</f>
        <v/>
      </c>
      <c r="R90">
        <f>OR(AND(설정!$A$42&lt;&gt;"",ISNUMBER(SEARCH(설정!$A$42,E90&amp;" "&amp;C90))),AND(설정!$A$43&lt;&gt;"",ISNUMBER(SEARCH(설정!$A$43,E90&amp;" "&amp;C90))),AND(설정!$A$44&lt;&gt;"",ISNUMBER(SEARCH(설정!$A$44,E90&amp;" "&amp;C90))),AND(설정!$A$45&lt;&gt;"",ISNUMBER(SEARCH(설정!$A$45,E90&amp;" "&amp;C90))),AND(설정!$A$46&lt;&gt;"",ISNUMBER(SEARCH(설정!$A$46,E90&amp;" "&amp;C90))),AND(설정!$A$47&lt;&gt;"",ISNUMBER(SEARCH(설정!$A$47,E90&amp;" "&amp;C90))),AND(설정!$A$48&lt;&gt;"",ISNUMBER(SEARCH(설정!$A$48,E90&amp;" "&amp;C90))),AND(설정!$A$49&lt;&gt;"",ISNUMBER(SEARCH(설정!$A$49,E90&amp;" "&amp;C90))),AND(설정!$A$50&lt;&gt;"",ISNUMBER(SEARCH(설정!$A$50,E90&amp;" "&amp;C90))),AND(설정!$A$51&lt;&gt;"",ISNUMBER(SEARCH(설정!$A$51,E90&amp;" "&amp;C90))))</f>
        <v/>
      </c>
      <c r="S90">
        <f>OR(D90="",D90&gt;=설정!$B$19)</f>
        <v/>
      </c>
      <c r="T90">
        <f>AND(Q90,R90,S90)</f>
        <v/>
      </c>
      <c r="U90">
        <f>IF(T90,IF(AND(설정!$A$54&lt;&gt;"",ISNUMBER(SEARCH(설정!$A$54,K90))),설정!$B$54,IF(AND(설정!$A$55&lt;&gt;"",ISNUMBER(SEARCH(설정!$A$55,K90))),설정!$B$55,IF(AND(설정!$A$56&lt;&gt;"",ISNUMBER(SEARCH(설정!$A$56,K90))),설정!$B$56,IF(AND(설정!$A$57&lt;&gt;"",ISNUMBER(SEARCH(설정!$A$57,K90))),설정!$B$57,IF(AND(설정!$A$58&lt;&gt;"",ISNUMBER(SEARCH(설정!$A$58,K90))),설정!$B$58,IF(AND(설정!$A$59&lt;&gt;"",ISNUMBER(SEARCH(설정!$A$59,K90))),설정!$B$59,IF(AND(설정!$A$60&lt;&gt;"",ISNUMBER(SEARCH(설정!$A$60,K90))),설정!$B$60,IF(AND(설정!$A$61&lt;&gt;"",ISNUMBER(SEARCH(설정!$A$61,K90))),설정!$B$61,IF(M90="","설계사","시공사"))))))))),"")</f>
        <v/>
      </c>
      <c r="V90">
        <f>SUBSTITUTE(SUBSTITUTE(SUBSTITUTE(SUBSTITUTE(G90,"(주)",""),"㈜",""),"주식회사","")," ","")</f>
        <v/>
      </c>
      <c r="W90">
        <f>IF(AND(T90,V90&lt;&gt;""),IF(COUNTIFS(V$2:V90,V90,T$2:T90,TRUE)=1,MAX(W$1:W89)+1,""),"")</f>
        <v/>
      </c>
      <c r="X90">
        <f>IF(설정!$C$14="","",IFERROR(INDEX('1.산군_붙여넣기'!$A$1:$AZ$1001,ROW(),설정!$C$14)&amp;"",""))</f>
        <v/>
      </c>
      <c r="Y90">
        <f>IF(설정!$C$15="","",IFERROR(INDEX('1.산군_붙여넣기'!$A$1:$AZ$1001,ROW(),설정!$C$15)&amp;"",""))</f>
        <v/>
      </c>
      <c r="Z90">
        <f>IF(T90,V90&amp;"|"&amp;U90,"")</f>
        <v/>
      </c>
      <c r="AA90">
        <f>IF(NOT(Q90),"",IF(NOT(AND(R90,S90)),"✕",IF(OR(OR(AND(L90&lt;&gt;"",M90&lt;&gt;"",N(M90)-N(L90)&gt;설정!$B$27),AND(L90&lt;&gt;"",M90="",설정!$B$24-N(L90)&gt;설정!$B$27)),AND(D90&lt;&gt;"",D90&lt;설정!$B$26)),"△","★")))</f>
        <v/>
      </c>
      <c r="AB90">
        <f>IF(NOT(T90),"",IF(U90="설계사",설정!$B$31,IF(U90="시공사",IF(OR(M90="",설정!$B$24-N(M90)&lt;=설정!$B$28*30.4),설정!$B$32,설정!$B$33),설정!$B$34))+IF(AA90="★",설정!$B$35,0))</f>
        <v/>
      </c>
      <c r="AC90">
        <f>SUBSTITUTE(SUBSTITUTE(SUBSTITUTE(SUBSTITUTE(H90,"(주)",""),"㈜",""),"주식회사","")," ","")</f>
        <v/>
      </c>
      <c r="AD90">
        <f>IF(AND(T90,AC90&lt;&gt;""),IF(COUNTIFS(AC$2:AC90,AC90,T$2:T90,TRUE)=1,MAX(AD$1:AD89)+1,""),"")</f>
        <v/>
      </c>
    </row>
    <row r="91">
      <c r="A91">
        <f>ROW()</f>
        <v/>
      </c>
      <c r="B91">
        <f>IF(설정!$C$4="","",IFERROR(INDEX('1.산군_붙여넣기'!$A$1:$AZ$1001,ROW(),설정!$C$4)&amp;"",""))</f>
        <v/>
      </c>
      <c r="C91">
        <f>IF(설정!$C$5="","",IFERROR(INDEX('1.산군_붙여넣기'!$A$1:$AZ$1001,ROW(),설정!$C$5)&amp;"",""))</f>
        <v/>
      </c>
      <c r="D91" s="5">
        <f>IFERROR(VALUE(SUBSTITUTE(SUBSTITUTE(SUBSTITUTE(IF(설정!$C$6="","",IFERROR(INDEX('1.산군_붙여넣기'!$A$1:$AZ$1001,ROW(),설정!$C$6)&amp;"","")),",",""),"㎡",""),"m2","")),"")</f>
        <v/>
      </c>
      <c r="E91">
        <f>IF(설정!$C$7="","",IFERROR(INDEX('1.산군_붙여넣기'!$A$1:$AZ$1001,ROW(),설정!$C$7)&amp;"",""))</f>
        <v/>
      </c>
      <c r="F91">
        <f>IF(설정!$C$8="","",IFERROR(INDEX('1.산군_붙여넣기'!$A$1:$AZ$1001,ROW(),설정!$C$8)&amp;"",""))</f>
        <v/>
      </c>
      <c r="G91">
        <f>IF(설정!$C$9="","",IFERROR(INDEX('1.산군_붙여넣기'!$A$1:$AZ$1001,ROW(),설정!$C$9)&amp;"",""))</f>
        <v/>
      </c>
      <c r="H91">
        <f>IF(설정!$C$10="","",IFERROR(INDEX('1.산군_붙여넣기'!$A$1:$AZ$1001,ROW(),설정!$C$10)&amp;"",""))</f>
        <v/>
      </c>
      <c r="I91">
        <f>IF(설정!$C$11="","",IFERROR(INDEX('1.산군_붙여넣기'!$A$1:$AZ$1001,ROW(),설정!$C$11)&amp;"",""))</f>
        <v/>
      </c>
      <c r="J91">
        <f>IF(설정!$C$12="","",IFERROR(INDEX('1.산군_붙여넣기'!$A$1:$AZ$1001,ROW(),설정!$C$12)&amp;"",""))</f>
        <v/>
      </c>
      <c r="K91">
        <f>IF(설정!$C$13="","",IFERROR(INDEX('1.산군_붙여넣기'!$A$1:$AZ$1001,ROW(),설정!$C$13)&amp;"",""))</f>
        <v/>
      </c>
      <c r="L91" s="7">
        <f>IF(X91="","",IF(AND(LEN(X91)=8,ISNUMBER(X91*1)),DATE(LEFT(X91,4),MID(X91,5,2),RIGHT(X91,2)),IFERROR(DATEVALUE(SUBSTITUTE(SUBSTITUTE(X91,".","-"),"/","-")),IFERROR(X91*1,""))))</f>
        <v/>
      </c>
      <c r="M91" s="7">
        <f>IF(Y91="","",IF(AND(LEN(Y91)=8,ISNUMBER(Y91*1)),DATE(LEFT(Y91,4),MID(Y91,5,2),RIGHT(Y91,2)),IFERROR(DATEVALUE(SUBSTITUTE(SUBSTITUTE(Y91,".","-"),"/","-")),IFERROR(Y91*1,""))))</f>
        <v/>
      </c>
      <c r="N91">
        <f>IFERROR(LEFT(B91,FIND(" ",B91)-1),B91)</f>
        <v/>
      </c>
      <c r="O91">
        <f>AND(B91&lt;&gt;"",B91&lt;&gt;설정!$B$4,C91&lt;&gt;설정!$B$5)</f>
        <v/>
      </c>
      <c r="P91">
        <f>IF(O91,B91&amp;"|"&amp;C91,"")</f>
        <v/>
      </c>
      <c r="Q91">
        <f>AND(O91,COUNTIF(P92:P$1002,P91)=0)</f>
        <v/>
      </c>
      <c r="R91">
        <f>OR(AND(설정!$A$42&lt;&gt;"",ISNUMBER(SEARCH(설정!$A$42,E91&amp;" "&amp;C91))),AND(설정!$A$43&lt;&gt;"",ISNUMBER(SEARCH(설정!$A$43,E91&amp;" "&amp;C91))),AND(설정!$A$44&lt;&gt;"",ISNUMBER(SEARCH(설정!$A$44,E91&amp;" "&amp;C91))),AND(설정!$A$45&lt;&gt;"",ISNUMBER(SEARCH(설정!$A$45,E91&amp;" "&amp;C91))),AND(설정!$A$46&lt;&gt;"",ISNUMBER(SEARCH(설정!$A$46,E91&amp;" "&amp;C91))),AND(설정!$A$47&lt;&gt;"",ISNUMBER(SEARCH(설정!$A$47,E91&amp;" "&amp;C91))),AND(설정!$A$48&lt;&gt;"",ISNUMBER(SEARCH(설정!$A$48,E91&amp;" "&amp;C91))),AND(설정!$A$49&lt;&gt;"",ISNUMBER(SEARCH(설정!$A$49,E91&amp;" "&amp;C91))),AND(설정!$A$50&lt;&gt;"",ISNUMBER(SEARCH(설정!$A$50,E91&amp;" "&amp;C91))),AND(설정!$A$51&lt;&gt;"",ISNUMBER(SEARCH(설정!$A$51,E91&amp;" "&amp;C91))))</f>
        <v/>
      </c>
      <c r="S91">
        <f>OR(D91="",D91&gt;=설정!$B$19)</f>
        <v/>
      </c>
      <c r="T91">
        <f>AND(Q91,R91,S91)</f>
        <v/>
      </c>
      <c r="U91">
        <f>IF(T91,IF(AND(설정!$A$54&lt;&gt;"",ISNUMBER(SEARCH(설정!$A$54,K91))),설정!$B$54,IF(AND(설정!$A$55&lt;&gt;"",ISNUMBER(SEARCH(설정!$A$55,K91))),설정!$B$55,IF(AND(설정!$A$56&lt;&gt;"",ISNUMBER(SEARCH(설정!$A$56,K91))),설정!$B$56,IF(AND(설정!$A$57&lt;&gt;"",ISNUMBER(SEARCH(설정!$A$57,K91))),설정!$B$57,IF(AND(설정!$A$58&lt;&gt;"",ISNUMBER(SEARCH(설정!$A$58,K91))),설정!$B$58,IF(AND(설정!$A$59&lt;&gt;"",ISNUMBER(SEARCH(설정!$A$59,K91))),설정!$B$59,IF(AND(설정!$A$60&lt;&gt;"",ISNUMBER(SEARCH(설정!$A$60,K91))),설정!$B$60,IF(AND(설정!$A$61&lt;&gt;"",ISNUMBER(SEARCH(설정!$A$61,K91))),설정!$B$61,IF(M91="","설계사","시공사"))))))))),"")</f>
        <v/>
      </c>
      <c r="V91">
        <f>SUBSTITUTE(SUBSTITUTE(SUBSTITUTE(SUBSTITUTE(G91,"(주)",""),"㈜",""),"주식회사","")," ","")</f>
        <v/>
      </c>
      <c r="W91">
        <f>IF(AND(T91,V91&lt;&gt;""),IF(COUNTIFS(V$2:V91,V91,T$2:T91,TRUE)=1,MAX(W$1:W90)+1,""),"")</f>
        <v/>
      </c>
      <c r="X91">
        <f>IF(설정!$C$14="","",IFERROR(INDEX('1.산군_붙여넣기'!$A$1:$AZ$1001,ROW(),설정!$C$14)&amp;"",""))</f>
        <v/>
      </c>
      <c r="Y91">
        <f>IF(설정!$C$15="","",IFERROR(INDEX('1.산군_붙여넣기'!$A$1:$AZ$1001,ROW(),설정!$C$15)&amp;"",""))</f>
        <v/>
      </c>
      <c r="Z91">
        <f>IF(T91,V91&amp;"|"&amp;U91,"")</f>
        <v/>
      </c>
      <c r="AA91">
        <f>IF(NOT(Q91),"",IF(NOT(AND(R91,S91)),"✕",IF(OR(OR(AND(L91&lt;&gt;"",M91&lt;&gt;"",N(M91)-N(L91)&gt;설정!$B$27),AND(L91&lt;&gt;"",M91="",설정!$B$24-N(L91)&gt;설정!$B$27)),AND(D91&lt;&gt;"",D91&lt;설정!$B$26)),"△","★")))</f>
        <v/>
      </c>
      <c r="AB91">
        <f>IF(NOT(T91),"",IF(U91="설계사",설정!$B$31,IF(U91="시공사",IF(OR(M91="",설정!$B$24-N(M91)&lt;=설정!$B$28*30.4),설정!$B$32,설정!$B$33),설정!$B$34))+IF(AA91="★",설정!$B$35,0))</f>
        <v/>
      </c>
      <c r="AC91">
        <f>SUBSTITUTE(SUBSTITUTE(SUBSTITUTE(SUBSTITUTE(H91,"(주)",""),"㈜",""),"주식회사","")," ","")</f>
        <v/>
      </c>
      <c r="AD91">
        <f>IF(AND(T91,AC91&lt;&gt;""),IF(COUNTIFS(AC$2:AC91,AC91,T$2:T91,TRUE)=1,MAX(AD$1:AD90)+1,""),"")</f>
        <v/>
      </c>
    </row>
    <row r="92">
      <c r="A92">
        <f>ROW()</f>
        <v/>
      </c>
      <c r="B92">
        <f>IF(설정!$C$4="","",IFERROR(INDEX('1.산군_붙여넣기'!$A$1:$AZ$1001,ROW(),설정!$C$4)&amp;"",""))</f>
        <v/>
      </c>
      <c r="C92">
        <f>IF(설정!$C$5="","",IFERROR(INDEX('1.산군_붙여넣기'!$A$1:$AZ$1001,ROW(),설정!$C$5)&amp;"",""))</f>
        <v/>
      </c>
      <c r="D92" s="5">
        <f>IFERROR(VALUE(SUBSTITUTE(SUBSTITUTE(SUBSTITUTE(IF(설정!$C$6="","",IFERROR(INDEX('1.산군_붙여넣기'!$A$1:$AZ$1001,ROW(),설정!$C$6)&amp;"","")),",",""),"㎡",""),"m2","")),"")</f>
        <v/>
      </c>
      <c r="E92">
        <f>IF(설정!$C$7="","",IFERROR(INDEX('1.산군_붙여넣기'!$A$1:$AZ$1001,ROW(),설정!$C$7)&amp;"",""))</f>
        <v/>
      </c>
      <c r="F92">
        <f>IF(설정!$C$8="","",IFERROR(INDEX('1.산군_붙여넣기'!$A$1:$AZ$1001,ROW(),설정!$C$8)&amp;"",""))</f>
        <v/>
      </c>
      <c r="G92">
        <f>IF(설정!$C$9="","",IFERROR(INDEX('1.산군_붙여넣기'!$A$1:$AZ$1001,ROW(),설정!$C$9)&amp;"",""))</f>
        <v/>
      </c>
      <c r="H92">
        <f>IF(설정!$C$10="","",IFERROR(INDEX('1.산군_붙여넣기'!$A$1:$AZ$1001,ROW(),설정!$C$10)&amp;"",""))</f>
        <v/>
      </c>
      <c r="I92">
        <f>IF(설정!$C$11="","",IFERROR(INDEX('1.산군_붙여넣기'!$A$1:$AZ$1001,ROW(),설정!$C$11)&amp;"",""))</f>
        <v/>
      </c>
      <c r="J92">
        <f>IF(설정!$C$12="","",IFERROR(INDEX('1.산군_붙여넣기'!$A$1:$AZ$1001,ROW(),설정!$C$12)&amp;"",""))</f>
        <v/>
      </c>
      <c r="K92">
        <f>IF(설정!$C$13="","",IFERROR(INDEX('1.산군_붙여넣기'!$A$1:$AZ$1001,ROW(),설정!$C$13)&amp;"",""))</f>
        <v/>
      </c>
      <c r="L92" s="7">
        <f>IF(X92="","",IF(AND(LEN(X92)=8,ISNUMBER(X92*1)),DATE(LEFT(X92,4),MID(X92,5,2),RIGHT(X92,2)),IFERROR(DATEVALUE(SUBSTITUTE(SUBSTITUTE(X92,".","-"),"/","-")),IFERROR(X92*1,""))))</f>
        <v/>
      </c>
      <c r="M92" s="7">
        <f>IF(Y92="","",IF(AND(LEN(Y92)=8,ISNUMBER(Y92*1)),DATE(LEFT(Y92,4),MID(Y92,5,2),RIGHT(Y92,2)),IFERROR(DATEVALUE(SUBSTITUTE(SUBSTITUTE(Y92,".","-"),"/","-")),IFERROR(Y92*1,""))))</f>
        <v/>
      </c>
      <c r="N92">
        <f>IFERROR(LEFT(B92,FIND(" ",B92)-1),B92)</f>
        <v/>
      </c>
      <c r="O92">
        <f>AND(B92&lt;&gt;"",B92&lt;&gt;설정!$B$4,C92&lt;&gt;설정!$B$5)</f>
        <v/>
      </c>
      <c r="P92">
        <f>IF(O92,B92&amp;"|"&amp;C92,"")</f>
        <v/>
      </c>
      <c r="Q92">
        <f>AND(O92,COUNTIF(P93:P$1002,P92)=0)</f>
        <v/>
      </c>
      <c r="R92">
        <f>OR(AND(설정!$A$42&lt;&gt;"",ISNUMBER(SEARCH(설정!$A$42,E92&amp;" "&amp;C92))),AND(설정!$A$43&lt;&gt;"",ISNUMBER(SEARCH(설정!$A$43,E92&amp;" "&amp;C92))),AND(설정!$A$44&lt;&gt;"",ISNUMBER(SEARCH(설정!$A$44,E92&amp;" "&amp;C92))),AND(설정!$A$45&lt;&gt;"",ISNUMBER(SEARCH(설정!$A$45,E92&amp;" "&amp;C92))),AND(설정!$A$46&lt;&gt;"",ISNUMBER(SEARCH(설정!$A$46,E92&amp;" "&amp;C92))),AND(설정!$A$47&lt;&gt;"",ISNUMBER(SEARCH(설정!$A$47,E92&amp;" "&amp;C92))),AND(설정!$A$48&lt;&gt;"",ISNUMBER(SEARCH(설정!$A$48,E92&amp;" "&amp;C92))),AND(설정!$A$49&lt;&gt;"",ISNUMBER(SEARCH(설정!$A$49,E92&amp;" "&amp;C92))),AND(설정!$A$50&lt;&gt;"",ISNUMBER(SEARCH(설정!$A$50,E92&amp;" "&amp;C92))),AND(설정!$A$51&lt;&gt;"",ISNUMBER(SEARCH(설정!$A$51,E92&amp;" "&amp;C92))))</f>
        <v/>
      </c>
      <c r="S92">
        <f>OR(D92="",D92&gt;=설정!$B$19)</f>
        <v/>
      </c>
      <c r="T92">
        <f>AND(Q92,R92,S92)</f>
        <v/>
      </c>
      <c r="U92">
        <f>IF(T92,IF(AND(설정!$A$54&lt;&gt;"",ISNUMBER(SEARCH(설정!$A$54,K92))),설정!$B$54,IF(AND(설정!$A$55&lt;&gt;"",ISNUMBER(SEARCH(설정!$A$55,K92))),설정!$B$55,IF(AND(설정!$A$56&lt;&gt;"",ISNUMBER(SEARCH(설정!$A$56,K92))),설정!$B$56,IF(AND(설정!$A$57&lt;&gt;"",ISNUMBER(SEARCH(설정!$A$57,K92))),설정!$B$57,IF(AND(설정!$A$58&lt;&gt;"",ISNUMBER(SEARCH(설정!$A$58,K92))),설정!$B$58,IF(AND(설정!$A$59&lt;&gt;"",ISNUMBER(SEARCH(설정!$A$59,K92))),설정!$B$59,IF(AND(설정!$A$60&lt;&gt;"",ISNUMBER(SEARCH(설정!$A$60,K92))),설정!$B$60,IF(AND(설정!$A$61&lt;&gt;"",ISNUMBER(SEARCH(설정!$A$61,K92))),설정!$B$61,IF(M92="","설계사","시공사"))))))))),"")</f>
        <v/>
      </c>
      <c r="V92">
        <f>SUBSTITUTE(SUBSTITUTE(SUBSTITUTE(SUBSTITUTE(G92,"(주)",""),"㈜",""),"주식회사","")," ","")</f>
        <v/>
      </c>
      <c r="W92">
        <f>IF(AND(T92,V92&lt;&gt;""),IF(COUNTIFS(V$2:V92,V92,T$2:T92,TRUE)=1,MAX(W$1:W91)+1,""),"")</f>
        <v/>
      </c>
      <c r="X92">
        <f>IF(설정!$C$14="","",IFERROR(INDEX('1.산군_붙여넣기'!$A$1:$AZ$1001,ROW(),설정!$C$14)&amp;"",""))</f>
        <v/>
      </c>
      <c r="Y92">
        <f>IF(설정!$C$15="","",IFERROR(INDEX('1.산군_붙여넣기'!$A$1:$AZ$1001,ROW(),설정!$C$15)&amp;"",""))</f>
        <v/>
      </c>
      <c r="Z92">
        <f>IF(T92,V92&amp;"|"&amp;U92,"")</f>
        <v/>
      </c>
      <c r="AA92">
        <f>IF(NOT(Q92),"",IF(NOT(AND(R92,S92)),"✕",IF(OR(OR(AND(L92&lt;&gt;"",M92&lt;&gt;"",N(M92)-N(L92)&gt;설정!$B$27),AND(L92&lt;&gt;"",M92="",설정!$B$24-N(L92)&gt;설정!$B$27)),AND(D92&lt;&gt;"",D92&lt;설정!$B$26)),"△","★")))</f>
        <v/>
      </c>
      <c r="AB92">
        <f>IF(NOT(T92),"",IF(U92="설계사",설정!$B$31,IF(U92="시공사",IF(OR(M92="",설정!$B$24-N(M92)&lt;=설정!$B$28*30.4),설정!$B$32,설정!$B$33),설정!$B$34))+IF(AA92="★",설정!$B$35,0))</f>
        <v/>
      </c>
      <c r="AC92">
        <f>SUBSTITUTE(SUBSTITUTE(SUBSTITUTE(SUBSTITUTE(H92,"(주)",""),"㈜",""),"주식회사","")," ","")</f>
        <v/>
      </c>
      <c r="AD92">
        <f>IF(AND(T92,AC92&lt;&gt;""),IF(COUNTIFS(AC$2:AC92,AC92,T$2:T92,TRUE)=1,MAX(AD$1:AD91)+1,""),"")</f>
        <v/>
      </c>
    </row>
    <row r="93">
      <c r="A93">
        <f>ROW()</f>
        <v/>
      </c>
      <c r="B93">
        <f>IF(설정!$C$4="","",IFERROR(INDEX('1.산군_붙여넣기'!$A$1:$AZ$1001,ROW(),설정!$C$4)&amp;"",""))</f>
        <v/>
      </c>
      <c r="C93">
        <f>IF(설정!$C$5="","",IFERROR(INDEX('1.산군_붙여넣기'!$A$1:$AZ$1001,ROW(),설정!$C$5)&amp;"",""))</f>
        <v/>
      </c>
      <c r="D93" s="5">
        <f>IFERROR(VALUE(SUBSTITUTE(SUBSTITUTE(SUBSTITUTE(IF(설정!$C$6="","",IFERROR(INDEX('1.산군_붙여넣기'!$A$1:$AZ$1001,ROW(),설정!$C$6)&amp;"","")),",",""),"㎡",""),"m2","")),"")</f>
        <v/>
      </c>
      <c r="E93">
        <f>IF(설정!$C$7="","",IFERROR(INDEX('1.산군_붙여넣기'!$A$1:$AZ$1001,ROW(),설정!$C$7)&amp;"",""))</f>
        <v/>
      </c>
      <c r="F93">
        <f>IF(설정!$C$8="","",IFERROR(INDEX('1.산군_붙여넣기'!$A$1:$AZ$1001,ROW(),설정!$C$8)&amp;"",""))</f>
        <v/>
      </c>
      <c r="G93">
        <f>IF(설정!$C$9="","",IFERROR(INDEX('1.산군_붙여넣기'!$A$1:$AZ$1001,ROW(),설정!$C$9)&amp;"",""))</f>
        <v/>
      </c>
      <c r="H93">
        <f>IF(설정!$C$10="","",IFERROR(INDEX('1.산군_붙여넣기'!$A$1:$AZ$1001,ROW(),설정!$C$10)&amp;"",""))</f>
        <v/>
      </c>
      <c r="I93">
        <f>IF(설정!$C$11="","",IFERROR(INDEX('1.산군_붙여넣기'!$A$1:$AZ$1001,ROW(),설정!$C$11)&amp;"",""))</f>
        <v/>
      </c>
      <c r="J93">
        <f>IF(설정!$C$12="","",IFERROR(INDEX('1.산군_붙여넣기'!$A$1:$AZ$1001,ROW(),설정!$C$12)&amp;"",""))</f>
        <v/>
      </c>
      <c r="K93">
        <f>IF(설정!$C$13="","",IFERROR(INDEX('1.산군_붙여넣기'!$A$1:$AZ$1001,ROW(),설정!$C$13)&amp;"",""))</f>
        <v/>
      </c>
      <c r="L93" s="7">
        <f>IF(X93="","",IF(AND(LEN(X93)=8,ISNUMBER(X93*1)),DATE(LEFT(X93,4),MID(X93,5,2),RIGHT(X93,2)),IFERROR(DATEVALUE(SUBSTITUTE(SUBSTITUTE(X93,".","-"),"/","-")),IFERROR(X93*1,""))))</f>
        <v/>
      </c>
      <c r="M93" s="7">
        <f>IF(Y93="","",IF(AND(LEN(Y93)=8,ISNUMBER(Y93*1)),DATE(LEFT(Y93,4),MID(Y93,5,2),RIGHT(Y93,2)),IFERROR(DATEVALUE(SUBSTITUTE(SUBSTITUTE(Y93,".","-"),"/","-")),IFERROR(Y93*1,""))))</f>
        <v/>
      </c>
      <c r="N93">
        <f>IFERROR(LEFT(B93,FIND(" ",B93)-1),B93)</f>
        <v/>
      </c>
      <c r="O93">
        <f>AND(B93&lt;&gt;"",B93&lt;&gt;설정!$B$4,C93&lt;&gt;설정!$B$5)</f>
        <v/>
      </c>
      <c r="P93">
        <f>IF(O93,B93&amp;"|"&amp;C93,"")</f>
        <v/>
      </c>
      <c r="Q93">
        <f>AND(O93,COUNTIF(P94:P$1002,P93)=0)</f>
        <v/>
      </c>
      <c r="R93">
        <f>OR(AND(설정!$A$42&lt;&gt;"",ISNUMBER(SEARCH(설정!$A$42,E93&amp;" "&amp;C93))),AND(설정!$A$43&lt;&gt;"",ISNUMBER(SEARCH(설정!$A$43,E93&amp;" "&amp;C93))),AND(설정!$A$44&lt;&gt;"",ISNUMBER(SEARCH(설정!$A$44,E93&amp;" "&amp;C93))),AND(설정!$A$45&lt;&gt;"",ISNUMBER(SEARCH(설정!$A$45,E93&amp;" "&amp;C93))),AND(설정!$A$46&lt;&gt;"",ISNUMBER(SEARCH(설정!$A$46,E93&amp;" "&amp;C93))),AND(설정!$A$47&lt;&gt;"",ISNUMBER(SEARCH(설정!$A$47,E93&amp;" "&amp;C93))),AND(설정!$A$48&lt;&gt;"",ISNUMBER(SEARCH(설정!$A$48,E93&amp;" "&amp;C93))),AND(설정!$A$49&lt;&gt;"",ISNUMBER(SEARCH(설정!$A$49,E93&amp;" "&amp;C93))),AND(설정!$A$50&lt;&gt;"",ISNUMBER(SEARCH(설정!$A$50,E93&amp;" "&amp;C93))),AND(설정!$A$51&lt;&gt;"",ISNUMBER(SEARCH(설정!$A$51,E93&amp;" "&amp;C93))))</f>
        <v/>
      </c>
      <c r="S93">
        <f>OR(D93="",D93&gt;=설정!$B$19)</f>
        <v/>
      </c>
      <c r="T93">
        <f>AND(Q93,R93,S93)</f>
        <v/>
      </c>
      <c r="U93">
        <f>IF(T93,IF(AND(설정!$A$54&lt;&gt;"",ISNUMBER(SEARCH(설정!$A$54,K93))),설정!$B$54,IF(AND(설정!$A$55&lt;&gt;"",ISNUMBER(SEARCH(설정!$A$55,K93))),설정!$B$55,IF(AND(설정!$A$56&lt;&gt;"",ISNUMBER(SEARCH(설정!$A$56,K93))),설정!$B$56,IF(AND(설정!$A$57&lt;&gt;"",ISNUMBER(SEARCH(설정!$A$57,K93))),설정!$B$57,IF(AND(설정!$A$58&lt;&gt;"",ISNUMBER(SEARCH(설정!$A$58,K93))),설정!$B$58,IF(AND(설정!$A$59&lt;&gt;"",ISNUMBER(SEARCH(설정!$A$59,K93))),설정!$B$59,IF(AND(설정!$A$60&lt;&gt;"",ISNUMBER(SEARCH(설정!$A$60,K93))),설정!$B$60,IF(AND(설정!$A$61&lt;&gt;"",ISNUMBER(SEARCH(설정!$A$61,K93))),설정!$B$61,IF(M93="","설계사","시공사"))))))))),"")</f>
        <v/>
      </c>
      <c r="V93">
        <f>SUBSTITUTE(SUBSTITUTE(SUBSTITUTE(SUBSTITUTE(G93,"(주)",""),"㈜",""),"주식회사","")," ","")</f>
        <v/>
      </c>
      <c r="W93">
        <f>IF(AND(T93,V93&lt;&gt;""),IF(COUNTIFS(V$2:V93,V93,T$2:T93,TRUE)=1,MAX(W$1:W92)+1,""),"")</f>
        <v/>
      </c>
      <c r="X93">
        <f>IF(설정!$C$14="","",IFERROR(INDEX('1.산군_붙여넣기'!$A$1:$AZ$1001,ROW(),설정!$C$14)&amp;"",""))</f>
        <v/>
      </c>
      <c r="Y93">
        <f>IF(설정!$C$15="","",IFERROR(INDEX('1.산군_붙여넣기'!$A$1:$AZ$1001,ROW(),설정!$C$15)&amp;"",""))</f>
        <v/>
      </c>
      <c r="Z93">
        <f>IF(T93,V93&amp;"|"&amp;U93,"")</f>
        <v/>
      </c>
      <c r="AA93">
        <f>IF(NOT(Q93),"",IF(NOT(AND(R93,S93)),"✕",IF(OR(OR(AND(L93&lt;&gt;"",M93&lt;&gt;"",N(M93)-N(L93)&gt;설정!$B$27),AND(L93&lt;&gt;"",M93="",설정!$B$24-N(L93)&gt;설정!$B$27)),AND(D93&lt;&gt;"",D93&lt;설정!$B$26)),"△","★")))</f>
        <v/>
      </c>
      <c r="AB93">
        <f>IF(NOT(T93),"",IF(U93="설계사",설정!$B$31,IF(U93="시공사",IF(OR(M93="",설정!$B$24-N(M93)&lt;=설정!$B$28*30.4),설정!$B$32,설정!$B$33),설정!$B$34))+IF(AA93="★",설정!$B$35,0))</f>
        <v/>
      </c>
      <c r="AC93">
        <f>SUBSTITUTE(SUBSTITUTE(SUBSTITUTE(SUBSTITUTE(H93,"(주)",""),"㈜",""),"주식회사","")," ","")</f>
        <v/>
      </c>
      <c r="AD93">
        <f>IF(AND(T93,AC93&lt;&gt;""),IF(COUNTIFS(AC$2:AC93,AC93,T$2:T93,TRUE)=1,MAX(AD$1:AD92)+1,""),"")</f>
        <v/>
      </c>
    </row>
    <row r="94">
      <c r="A94">
        <f>ROW()</f>
        <v/>
      </c>
      <c r="B94">
        <f>IF(설정!$C$4="","",IFERROR(INDEX('1.산군_붙여넣기'!$A$1:$AZ$1001,ROW(),설정!$C$4)&amp;"",""))</f>
        <v/>
      </c>
      <c r="C94">
        <f>IF(설정!$C$5="","",IFERROR(INDEX('1.산군_붙여넣기'!$A$1:$AZ$1001,ROW(),설정!$C$5)&amp;"",""))</f>
        <v/>
      </c>
      <c r="D94" s="5">
        <f>IFERROR(VALUE(SUBSTITUTE(SUBSTITUTE(SUBSTITUTE(IF(설정!$C$6="","",IFERROR(INDEX('1.산군_붙여넣기'!$A$1:$AZ$1001,ROW(),설정!$C$6)&amp;"","")),",",""),"㎡",""),"m2","")),"")</f>
        <v/>
      </c>
      <c r="E94">
        <f>IF(설정!$C$7="","",IFERROR(INDEX('1.산군_붙여넣기'!$A$1:$AZ$1001,ROW(),설정!$C$7)&amp;"",""))</f>
        <v/>
      </c>
      <c r="F94">
        <f>IF(설정!$C$8="","",IFERROR(INDEX('1.산군_붙여넣기'!$A$1:$AZ$1001,ROW(),설정!$C$8)&amp;"",""))</f>
        <v/>
      </c>
      <c r="G94">
        <f>IF(설정!$C$9="","",IFERROR(INDEX('1.산군_붙여넣기'!$A$1:$AZ$1001,ROW(),설정!$C$9)&amp;"",""))</f>
        <v/>
      </c>
      <c r="H94">
        <f>IF(설정!$C$10="","",IFERROR(INDEX('1.산군_붙여넣기'!$A$1:$AZ$1001,ROW(),설정!$C$10)&amp;"",""))</f>
        <v/>
      </c>
      <c r="I94">
        <f>IF(설정!$C$11="","",IFERROR(INDEX('1.산군_붙여넣기'!$A$1:$AZ$1001,ROW(),설정!$C$11)&amp;"",""))</f>
        <v/>
      </c>
      <c r="J94">
        <f>IF(설정!$C$12="","",IFERROR(INDEX('1.산군_붙여넣기'!$A$1:$AZ$1001,ROW(),설정!$C$12)&amp;"",""))</f>
        <v/>
      </c>
      <c r="K94">
        <f>IF(설정!$C$13="","",IFERROR(INDEX('1.산군_붙여넣기'!$A$1:$AZ$1001,ROW(),설정!$C$13)&amp;"",""))</f>
        <v/>
      </c>
      <c r="L94" s="7">
        <f>IF(X94="","",IF(AND(LEN(X94)=8,ISNUMBER(X94*1)),DATE(LEFT(X94,4),MID(X94,5,2),RIGHT(X94,2)),IFERROR(DATEVALUE(SUBSTITUTE(SUBSTITUTE(X94,".","-"),"/","-")),IFERROR(X94*1,""))))</f>
        <v/>
      </c>
      <c r="M94" s="7">
        <f>IF(Y94="","",IF(AND(LEN(Y94)=8,ISNUMBER(Y94*1)),DATE(LEFT(Y94,4),MID(Y94,5,2),RIGHT(Y94,2)),IFERROR(DATEVALUE(SUBSTITUTE(SUBSTITUTE(Y94,".","-"),"/","-")),IFERROR(Y94*1,""))))</f>
        <v/>
      </c>
      <c r="N94">
        <f>IFERROR(LEFT(B94,FIND(" ",B94)-1),B94)</f>
        <v/>
      </c>
      <c r="O94">
        <f>AND(B94&lt;&gt;"",B94&lt;&gt;설정!$B$4,C94&lt;&gt;설정!$B$5)</f>
        <v/>
      </c>
      <c r="P94">
        <f>IF(O94,B94&amp;"|"&amp;C94,"")</f>
        <v/>
      </c>
      <c r="Q94">
        <f>AND(O94,COUNTIF(P95:P$1002,P94)=0)</f>
        <v/>
      </c>
      <c r="R94">
        <f>OR(AND(설정!$A$42&lt;&gt;"",ISNUMBER(SEARCH(설정!$A$42,E94&amp;" "&amp;C94))),AND(설정!$A$43&lt;&gt;"",ISNUMBER(SEARCH(설정!$A$43,E94&amp;" "&amp;C94))),AND(설정!$A$44&lt;&gt;"",ISNUMBER(SEARCH(설정!$A$44,E94&amp;" "&amp;C94))),AND(설정!$A$45&lt;&gt;"",ISNUMBER(SEARCH(설정!$A$45,E94&amp;" "&amp;C94))),AND(설정!$A$46&lt;&gt;"",ISNUMBER(SEARCH(설정!$A$46,E94&amp;" "&amp;C94))),AND(설정!$A$47&lt;&gt;"",ISNUMBER(SEARCH(설정!$A$47,E94&amp;" "&amp;C94))),AND(설정!$A$48&lt;&gt;"",ISNUMBER(SEARCH(설정!$A$48,E94&amp;" "&amp;C94))),AND(설정!$A$49&lt;&gt;"",ISNUMBER(SEARCH(설정!$A$49,E94&amp;" "&amp;C94))),AND(설정!$A$50&lt;&gt;"",ISNUMBER(SEARCH(설정!$A$50,E94&amp;" "&amp;C94))),AND(설정!$A$51&lt;&gt;"",ISNUMBER(SEARCH(설정!$A$51,E94&amp;" "&amp;C94))))</f>
        <v/>
      </c>
      <c r="S94">
        <f>OR(D94="",D94&gt;=설정!$B$19)</f>
        <v/>
      </c>
      <c r="T94">
        <f>AND(Q94,R94,S94)</f>
        <v/>
      </c>
      <c r="U94">
        <f>IF(T94,IF(AND(설정!$A$54&lt;&gt;"",ISNUMBER(SEARCH(설정!$A$54,K94))),설정!$B$54,IF(AND(설정!$A$55&lt;&gt;"",ISNUMBER(SEARCH(설정!$A$55,K94))),설정!$B$55,IF(AND(설정!$A$56&lt;&gt;"",ISNUMBER(SEARCH(설정!$A$56,K94))),설정!$B$56,IF(AND(설정!$A$57&lt;&gt;"",ISNUMBER(SEARCH(설정!$A$57,K94))),설정!$B$57,IF(AND(설정!$A$58&lt;&gt;"",ISNUMBER(SEARCH(설정!$A$58,K94))),설정!$B$58,IF(AND(설정!$A$59&lt;&gt;"",ISNUMBER(SEARCH(설정!$A$59,K94))),설정!$B$59,IF(AND(설정!$A$60&lt;&gt;"",ISNUMBER(SEARCH(설정!$A$60,K94))),설정!$B$60,IF(AND(설정!$A$61&lt;&gt;"",ISNUMBER(SEARCH(설정!$A$61,K94))),설정!$B$61,IF(M94="","설계사","시공사"))))))))),"")</f>
        <v/>
      </c>
      <c r="V94">
        <f>SUBSTITUTE(SUBSTITUTE(SUBSTITUTE(SUBSTITUTE(G94,"(주)",""),"㈜",""),"주식회사","")," ","")</f>
        <v/>
      </c>
      <c r="W94">
        <f>IF(AND(T94,V94&lt;&gt;""),IF(COUNTIFS(V$2:V94,V94,T$2:T94,TRUE)=1,MAX(W$1:W93)+1,""),"")</f>
        <v/>
      </c>
      <c r="X94">
        <f>IF(설정!$C$14="","",IFERROR(INDEX('1.산군_붙여넣기'!$A$1:$AZ$1001,ROW(),설정!$C$14)&amp;"",""))</f>
        <v/>
      </c>
      <c r="Y94">
        <f>IF(설정!$C$15="","",IFERROR(INDEX('1.산군_붙여넣기'!$A$1:$AZ$1001,ROW(),설정!$C$15)&amp;"",""))</f>
        <v/>
      </c>
      <c r="Z94">
        <f>IF(T94,V94&amp;"|"&amp;U94,"")</f>
        <v/>
      </c>
      <c r="AA94">
        <f>IF(NOT(Q94),"",IF(NOT(AND(R94,S94)),"✕",IF(OR(OR(AND(L94&lt;&gt;"",M94&lt;&gt;"",N(M94)-N(L94)&gt;설정!$B$27),AND(L94&lt;&gt;"",M94="",설정!$B$24-N(L94)&gt;설정!$B$27)),AND(D94&lt;&gt;"",D94&lt;설정!$B$26)),"△","★")))</f>
        <v/>
      </c>
      <c r="AB94">
        <f>IF(NOT(T94),"",IF(U94="설계사",설정!$B$31,IF(U94="시공사",IF(OR(M94="",설정!$B$24-N(M94)&lt;=설정!$B$28*30.4),설정!$B$32,설정!$B$33),설정!$B$34))+IF(AA94="★",설정!$B$35,0))</f>
        <v/>
      </c>
      <c r="AC94">
        <f>SUBSTITUTE(SUBSTITUTE(SUBSTITUTE(SUBSTITUTE(H94,"(주)",""),"㈜",""),"주식회사","")," ","")</f>
        <v/>
      </c>
      <c r="AD94">
        <f>IF(AND(T94,AC94&lt;&gt;""),IF(COUNTIFS(AC$2:AC94,AC94,T$2:T94,TRUE)=1,MAX(AD$1:AD93)+1,""),"")</f>
        <v/>
      </c>
    </row>
    <row r="95">
      <c r="A95">
        <f>ROW()</f>
        <v/>
      </c>
      <c r="B95">
        <f>IF(설정!$C$4="","",IFERROR(INDEX('1.산군_붙여넣기'!$A$1:$AZ$1001,ROW(),설정!$C$4)&amp;"",""))</f>
        <v/>
      </c>
      <c r="C95">
        <f>IF(설정!$C$5="","",IFERROR(INDEX('1.산군_붙여넣기'!$A$1:$AZ$1001,ROW(),설정!$C$5)&amp;"",""))</f>
        <v/>
      </c>
      <c r="D95" s="5">
        <f>IFERROR(VALUE(SUBSTITUTE(SUBSTITUTE(SUBSTITUTE(IF(설정!$C$6="","",IFERROR(INDEX('1.산군_붙여넣기'!$A$1:$AZ$1001,ROW(),설정!$C$6)&amp;"","")),",",""),"㎡",""),"m2","")),"")</f>
        <v/>
      </c>
      <c r="E95">
        <f>IF(설정!$C$7="","",IFERROR(INDEX('1.산군_붙여넣기'!$A$1:$AZ$1001,ROW(),설정!$C$7)&amp;"",""))</f>
        <v/>
      </c>
      <c r="F95">
        <f>IF(설정!$C$8="","",IFERROR(INDEX('1.산군_붙여넣기'!$A$1:$AZ$1001,ROW(),설정!$C$8)&amp;"",""))</f>
        <v/>
      </c>
      <c r="G95">
        <f>IF(설정!$C$9="","",IFERROR(INDEX('1.산군_붙여넣기'!$A$1:$AZ$1001,ROW(),설정!$C$9)&amp;"",""))</f>
        <v/>
      </c>
      <c r="H95">
        <f>IF(설정!$C$10="","",IFERROR(INDEX('1.산군_붙여넣기'!$A$1:$AZ$1001,ROW(),설정!$C$10)&amp;"",""))</f>
        <v/>
      </c>
      <c r="I95">
        <f>IF(설정!$C$11="","",IFERROR(INDEX('1.산군_붙여넣기'!$A$1:$AZ$1001,ROW(),설정!$C$11)&amp;"",""))</f>
        <v/>
      </c>
      <c r="J95">
        <f>IF(설정!$C$12="","",IFERROR(INDEX('1.산군_붙여넣기'!$A$1:$AZ$1001,ROW(),설정!$C$12)&amp;"",""))</f>
        <v/>
      </c>
      <c r="K95">
        <f>IF(설정!$C$13="","",IFERROR(INDEX('1.산군_붙여넣기'!$A$1:$AZ$1001,ROW(),설정!$C$13)&amp;"",""))</f>
        <v/>
      </c>
      <c r="L95" s="7">
        <f>IF(X95="","",IF(AND(LEN(X95)=8,ISNUMBER(X95*1)),DATE(LEFT(X95,4),MID(X95,5,2),RIGHT(X95,2)),IFERROR(DATEVALUE(SUBSTITUTE(SUBSTITUTE(X95,".","-"),"/","-")),IFERROR(X95*1,""))))</f>
        <v/>
      </c>
      <c r="M95" s="7">
        <f>IF(Y95="","",IF(AND(LEN(Y95)=8,ISNUMBER(Y95*1)),DATE(LEFT(Y95,4),MID(Y95,5,2),RIGHT(Y95,2)),IFERROR(DATEVALUE(SUBSTITUTE(SUBSTITUTE(Y95,".","-"),"/","-")),IFERROR(Y95*1,""))))</f>
        <v/>
      </c>
      <c r="N95">
        <f>IFERROR(LEFT(B95,FIND(" ",B95)-1),B95)</f>
        <v/>
      </c>
      <c r="O95">
        <f>AND(B95&lt;&gt;"",B95&lt;&gt;설정!$B$4,C95&lt;&gt;설정!$B$5)</f>
        <v/>
      </c>
      <c r="P95">
        <f>IF(O95,B95&amp;"|"&amp;C95,"")</f>
        <v/>
      </c>
      <c r="Q95">
        <f>AND(O95,COUNTIF(P96:P$1002,P95)=0)</f>
        <v/>
      </c>
      <c r="R95">
        <f>OR(AND(설정!$A$42&lt;&gt;"",ISNUMBER(SEARCH(설정!$A$42,E95&amp;" "&amp;C95))),AND(설정!$A$43&lt;&gt;"",ISNUMBER(SEARCH(설정!$A$43,E95&amp;" "&amp;C95))),AND(설정!$A$44&lt;&gt;"",ISNUMBER(SEARCH(설정!$A$44,E95&amp;" "&amp;C95))),AND(설정!$A$45&lt;&gt;"",ISNUMBER(SEARCH(설정!$A$45,E95&amp;" "&amp;C95))),AND(설정!$A$46&lt;&gt;"",ISNUMBER(SEARCH(설정!$A$46,E95&amp;" "&amp;C95))),AND(설정!$A$47&lt;&gt;"",ISNUMBER(SEARCH(설정!$A$47,E95&amp;" "&amp;C95))),AND(설정!$A$48&lt;&gt;"",ISNUMBER(SEARCH(설정!$A$48,E95&amp;" "&amp;C95))),AND(설정!$A$49&lt;&gt;"",ISNUMBER(SEARCH(설정!$A$49,E95&amp;" "&amp;C95))),AND(설정!$A$50&lt;&gt;"",ISNUMBER(SEARCH(설정!$A$50,E95&amp;" "&amp;C95))),AND(설정!$A$51&lt;&gt;"",ISNUMBER(SEARCH(설정!$A$51,E95&amp;" "&amp;C95))))</f>
        <v/>
      </c>
      <c r="S95">
        <f>OR(D95="",D95&gt;=설정!$B$19)</f>
        <v/>
      </c>
      <c r="T95">
        <f>AND(Q95,R95,S95)</f>
        <v/>
      </c>
      <c r="U95">
        <f>IF(T95,IF(AND(설정!$A$54&lt;&gt;"",ISNUMBER(SEARCH(설정!$A$54,K95))),설정!$B$54,IF(AND(설정!$A$55&lt;&gt;"",ISNUMBER(SEARCH(설정!$A$55,K95))),설정!$B$55,IF(AND(설정!$A$56&lt;&gt;"",ISNUMBER(SEARCH(설정!$A$56,K95))),설정!$B$56,IF(AND(설정!$A$57&lt;&gt;"",ISNUMBER(SEARCH(설정!$A$57,K95))),설정!$B$57,IF(AND(설정!$A$58&lt;&gt;"",ISNUMBER(SEARCH(설정!$A$58,K95))),설정!$B$58,IF(AND(설정!$A$59&lt;&gt;"",ISNUMBER(SEARCH(설정!$A$59,K95))),설정!$B$59,IF(AND(설정!$A$60&lt;&gt;"",ISNUMBER(SEARCH(설정!$A$60,K95))),설정!$B$60,IF(AND(설정!$A$61&lt;&gt;"",ISNUMBER(SEARCH(설정!$A$61,K95))),설정!$B$61,IF(M95="","설계사","시공사"))))))))),"")</f>
        <v/>
      </c>
      <c r="V95">
        <f>SUBSTITUTE(SUBSTITUTE(SUBSTITUTE(SUBSTITUTE(G95,"(주)",""),"㈜",""),"주식회사","")," ","")</f>
        <v/>
      </c>
      <c r="W95">
        <f>IF(AND(T95,V95&lt;&gt;""),IF(COUNTIFS(V$2:V95,V95,T$2:T95,TRUE)=1,MAX(W$1:W94)+1,""),"")</f>
        <v/>
      </c>
      <c r="X95">
        <f>IF(설정!$C$14="","",IFERROR(INDEX('1.산군_붙여넣기'!$A$1:$AZ$1001,ROW(),설정!$C$14)&amp;"",""))</f>
        <v/>
      </c>
      <c r="Y95">
        <f>IF(설정!$C$15="","",IFERROR(INDEX('1.산군_붙여넣기'!$A$1:$AZ$1001,ROW(),설정!$C$15)&amp;"",""))</f>
        <v/>
      </c>
      <c r="Z95">
        <f>IF(T95,V95&amp;"|"&amp;U95,"")</f>
        <v/>
      </c>
      <c r="AA95">
        <f>IF(NOT(Q95),"",IF(NOT(AND(R95,S95)),"✕",IF(OR(OR(AND(L95&lt;&gt;"",M95&lt;&gt;"",N(M95)-N(L95)&gt;설정!$B$27),AND(L95&lt;&gt;"",M95="",설정!$B$24-N(L95)&gt;설정!$B$27)),AND(D95&lt;&gt;"",D95&lt;설정!$B$26)),"△","★")))</f>
        <v/>
      </c>
      <c r="AB95">
        <f>IF(NOT(T95),"",IF(U95="설계사",설정!$B$31,IF(U95="시공사",IF(OR(M95="",설정!$B$24-N(M95)&lt;=설정!$B$28*30.4),설정!$B$32,설정!$B$33),설정!$B$34))+IF(AA95="★",설정!$B$35,0))</f>
        <v/>
      </c>
      <c r="AC95">
        <f>SUBSTITUTE(SUBSTITUTE(SUBSTITUTE(SUBSTITUTE(H95,"(주)",""),"㈜",""),"주식회사","")," ","")</f>
        <v/>
      </c>
      <c r="AD95">
        <f>IF(AND(T95,AC95&lt;&gt;""),IF(COUNTIFS(AC$2:AC95,AC95,T$2:T95,TRUE)=1,MAX(AD$1:AD94)+1,""),"")</f>
        <v/>
      </c>
    </row>
    <row r="96">
      <c r="A96">
        <f>ROW()</f>
        <v/>
      </c>
      <c r="B96">
        <f>IF(설정!$C$4="","",IFERROR(INDEX('1.산군_붙여넣기'!$A$1:$AZ$1001,ROW(),설정!$C$4)&amp;"",""))</f>
        <v/>
      </c>
      <c r="C96">
        <f>IF(설정!$C$5="","",IFERROR(INDEX('1.산군_붙여넣기'!$A$1:$AZ$1001,ROW(),설정!$C$5)&amp;"",""))</f>
        <v/>
      </c>
      <c r="D96" s="5">
        <f>IFERROR(VALUE(SUBSTITUTE(SUBSTITUTE(SUBSTITUTE(IF(설정!$C$6="","",IFERROR(INDEX('1.산군_붙여넣기'!$A$1:$AZ$1001,ROW(),설정!$C$6)&amp;"","")),",",""),"㎡",""),"m2","")),"")</f>
        <v/>
      </c>
      <c r="E96">
        <f>IF(설정!$C$7="","",IFERROR(INDEX('1.산군_붙여넣기'!$A$1:$AZ$1001,ROW(),설정!$C$7)&amp;"",""))</f>
        <v/>
      </c>
      <c r="F96">
        <f>IF(설정!$C$8="","",IFERROR(INDEX('1.산군_붙여넣기'!$A$1:$AZ$1001,ROW(),설정!$C$8)&amp;"",""))</f>
        <v/>
      </c>
      <c r="G96">
        <f>IF(설정!$C$9="","",IFERROR(INDEX('1.산군_붙여넣기'!$A$1:$AZ$1001,ROW(),설정!$C$9)&amp;"",""))</f>
        <v/>
      </c>
      <c r="H96">
        <f>IF(설정!$C$10="","",IFERROR(INDEX('1.산군_붙여넣기'!$A$1:$AZ$1001,ROW(),설정!$C$10)&amp;"",""))</f>
        <v/>
      </c>
      <c r="I96">
        <f>IF(설정!$C$11="","",IFERROR(INDEX('1.산군_붙여넣기'!$A$1:$AZ$1001,ROW(),설정!$C$11)&amp;"",""))</f>
        <v/>
      </c>
      <c r="J96">
        <f>IF(설정!$C$12="","",IFERROR(INDEX('1.산군_붙여넣기'!$A$1:$AZ$1001,ROW(),설정!$C$12)&amp;"",""))</f>
        <v/>
      </c>
      <c r="K96">
        <f>IF(설정!$C$13="","",IFERROR(INDEX('1.산군_붙여넣기'!$A$1:$AZ$1001,ROW(),설정!$C$13)&amp;"",""))</f>
        <v/>
      </c>
      <c r="L96" s="7">
        <f>IF(X96="","",IF(AND(LEN(X96)=8,ISNUMBER(X96*1)),DATE(LEFT(X96,4),MID(X96,5,2),RIGHT(X96,2)),IFERROR(DATEVALUE(SUBSTITUTE(SUBSTITUTE(X96,".","-"),"/","-")),IFERROR(X96*1,""))))</f>
        <v/>
      </c>
      <c r="M96" s="7">
        <f>IF(Y96="","",IF(AND(LEN(Y96)=8,ISNUMBER(Y96*1)),DATE(LEFT(Y96,4),MID(Y96,5,2),RIGHT(Y96,2)),IFERROR(DATEVALUE(SUBSTITUTE(SUBSTITUTE(Y96,".","-"),"/","-")),IFERROR(Y96*1,""))))</f>
        <v/>
      </c>
      <c r="N96">
        <f>IFERROR(LEFT(B96,FIND(" ",B96)-1),B96)</f>
        <v/>
      </c>
      <c r="O96">
        <f>AND(B96&lt;&gt;"",B96&lt;&gt;설정!$B$4,C96&lt;&gt;설정!$B$5)</f>
        <v/>
      </c>
      <c r="P96">
        <f>IF(O96,B96&amp;"|"&amp;C96,"")</f>
        <v/>
      </c>
      <c r="Q96">
        <f>AND(O96,COUNTIF(P97:P$1002,P96)=0)</f>
        <v/>
      </c>
      <c r="R96">
        <f>OR(AND(설정!$A$42&lt;&gt;"",ISNUMBER(SEARCH(설정!$A$42,E96&amp;" "&amp;C96))),AND(설정!$A$43&lt;&gt;"",ISNUMBER(SEARCH(설정!$A$43,E96&amp;" "&amp;C96))),AND(설정!$A$44&lt;&gt;"",ISNUMBER(SEARCH(설정!$A$44,E96&amp;" "&amp;C96))),AND(설정!$A$45&lt;&gt;"",ISNUMBER(SEARCH(설정!$A$45,E96&amp;" "&amp;C96))),AND(설정!$A$46&lt;&gt;"",ISNUMBER(SEARCH(설정!$A$46,E96&amp;" "&amp;C96))),AND(설정!$A$47&lt;&gt;"",ISNUMBER(SEARCH(설정!$A$47,E96&amp;" "&amp;C96))),AND(설정!$A$48&lt;&gt;"",ISNUMBER(SEARCH(설정!$A$48,E96&amp;" "&amp;C96))),AND(설정!$A$49&lt;&gt;"",ISNUMBER(SEARCH(설정!$A$49,E96&amp;" "&amp;C96))),AND(설정!$A$50&lt;&gt;"",ISNUMBER(SEARCH(설정!$A$50,E96&amp;" "&amp;C96))),AND(설정!$A$51&lt;&gt;"",ISNUMBER(SEARCH(설정!$A$51,E96&amp;" "&amp;C96))))</f>
        <v/>
      </c>
      <c r="S96">
        <f>OR(D96="",D96&gt;=설정!$B$19)</f>
        <v/>
      </c>
      <c r="T96">
        <f>AND(Q96,R96,S96)</f>
        <v/>
      </c>
      <c r="U96">
        <f>IF(T96,IF(AND(설정!$A$54&lt;&gt;"",ISNUMBER(SEARCH(설정!$A$54,K96))),설정!$B$54,IF(AND(설정!$A$55&lt;&gt;"",ISNUMBER(SEARCH(설정!$A$55,K96))),설정!$B$55,IF(AND(설정!$A$56&lt;&gt;"",ISNUMBER(SEARCH(설정!$A$56,K96))),설정!$B$56,IF(AND(설정!$A$57&lt;&gt;"",ISNUMBER(SEARCH(설정!$A$57,K96))),설정!$B$57,IF(AND(설정!$A$58&lt;&gt;"",ISNUMBER(SEARCH(설정!$A$58,K96))),설정!$B$58,IF(AND(설정!$A$59&lt;&gt;"",ISNUMBER(SEARCH(설정!$A$59,K96))),설정!$B$59,IF(AND(설정!$A$60&lt;&gt;"",ISNUMBER(SEARCH(설정!$A$60,K96))),설정!$B$60,IF(AND(설정!$A$61&lt;&gt;"",ISNUMBER(SEARCH(설정!$A$61,K96))),설정!$B$61,IF(M96="","설계사","시공사"))))))))),"")</f>
        <v/>
      </c>
      <c r="V96">
        <f>SUBSTITUTE(SUBSTITUTE(SUBSTITUTE(SUBSTITUTE(G96,"(주)",""),"㈜",""),"주식회사","")," ","")</f>
        <v/>
      </c>
      <c r="W96">
        <f>IF(AND(T96,V96&lt;&gt;""),IF(COUNTIFS(V$2:V96,V96,T$2:T96,TRUE)=1,MAX(W$1:W95)+1,""),"")</f>
        <v/>
      </c>
      <c r="X96">
        <f>IF(설정!$C$14="","",IFERROR(INDEX('1.산군_붙여넣기'!$A$1:$AZ$1001,ROW(),설정!$C$14)&amp;"",""))</f>
        <v/>
      </c>
      <c r="Y96">
        <f>IF(설정!$C$15="","",IFERROR(INDEX('1.산군_붙여넣기'!$A$1:$AZ$1001,ROW(),설정!$C$15)&amp;"",""))</f>
        <v/>
      </c>
      <c r="Z96">
        <f>IF(T96,V96&amp;"|"&amp;U96,"")</f>
        <v/>
      </c>
      <c r="AA96">
        <f>IF(NOT(Q96),"",IF(NOT(AND(R96,S96)),"✕",IF(OR(OR(AND(L96&lt;&gt;"",M96&lt;&gt;"",N(M96)-N(L96)&gt;설정!$B$27),AND(L96&lt;&gt;"",M96="",설정!$B$24-N(L96)&gt;설정!$B$27)),AND(D96&lt;&gt;"",D96&lt;설정!$B$26)),"△","★")))</f>
        <v/>
      </c>
      <c r="AB96">
        <f>IF(NOT(T96),"",IF(U96="설계사",설정!$B$31,IF(U96="시공사",IF(OR(M96="",설정!$B$24-N(M96)&lt;=설정!$B$28*30.4),설정!$B$32,설정!$B$33),설정!$B$34))+IF(AA96="★",설정!$B$35,0))</f>
        <v/>
      </c>
      <c r="AC96">
        <f>SUBSTITUTE(SUBSTITUTE(SUBSTITUTE(SUBSTITUTE(H96,"(주)",""),"㈜",""),"주식회사","")," ","")</f>
        <v/>
      </c>
      <c r="AD96">
        <f>IF(AND(T96,AC96&lt;&gt;""),IF(COUNTIFS(AC$2:AC96,AC96,T$2:T96,TRUE)=1,MAX(AD$1:AD95)+1,""),"")</f>
        <v/>
      </c>
    </row>
    <row r="97">
      <c r="A97">
        <f>ROW()</f>
        <v/>
      </c>
      <c r="B97">
        <f>IF(설정!$C$4="","",IFERROR(INDEX('1.산군_붙여넣기'!$A$1:$AZ$1001,ROW(),설정!$C$4)&amp;"",""))</f>
        <v/>
      </c>
      <c r="C97">
        <f>IF(설정!$C$5="","",IFERROR(INDEX('1.산군_붙여넣기'!$A$1:$AZ$1001,ROW(),설정!$C$5)&amp;"",""))</f>
        <v/>
      </c>
      <c r="D97" s="5">
        <f>IFERROR(VALUE(SUBSTITUTE(SUBSTITUTE(SUBSTITUTE(IF(설정!$C$6="","",IFERROR(INDEX('1.산군_붙여넣기'!$A$1:$AZ$1001,ROW(),설정!$C$6)&amp;"","")),",",""),"㎡",""),"m2","")),"")</f>
        <v/>
      </c>
      <c r="E97">
        <f>IF(설정!$C$7="","",IFERROR(INDEX('1.산군_붙여넣기'!$A$1:$AZ$1001,ROW(),설정!$C$7)&amp;"",""))</f>
        <v/>
      </c>
      <c r="F97">
        <f>IF(설정!$C$8="","",IFERROR(INDEX('1.산군_붙여넣기'!$A$1:$AZ$1001,ROW(),설정!$C$8)&amp;"",""))</f>
        <v/>
      </c>
      <c r="G97">
        <f>IF(설정!$C$9="","",IFERROR(INDEX('1.산군_붙여넣기'!$A$1:$AZ$1001,ROW(),설정!$C$9)&amp;"",""))</f>
        <v/>
      </c>
      <c r="H97">
        <f>IF(설정!$C$10="","",IFERROR(INDEX('1.산군_붙여넣기'!$A$1:$AZ$1001,ROW(),설정!$C$10)&amp;"",""))</f>
        <v/>
      </c>
      <c r="I97">
        <f>IF(설정!$C$11="","",IFERROR(INDEX('1.산군_붙여넣기'!$A$1:$AZ$1001,ROW(),설정!$C$11)&amp;"",""))</f>
        <v/>
      </c>
      <c r="J97">
        <f>IF(설정!$C$12="","",IFERROR(INDEX('1.산군_붙여넣기'!$A$1:$AZ$1001,ROW(),설정!$C$12)&amp;"",""))</f>
        <v/>
      </c>
      <c r="K97">
        <f>IF(설정!$C$13="","",IFERROR(INDEX('1.산군_붙여넣기'!$A$1:$AZ$1001,ROW(),설정!$C$13)&amp;"",""))</f>
        <v/>
      </c>
      <c r="L97" s="7">
        <f>IF(X97="","",IF(AND(LEN(X97)=8,ISNUMBER(X97*1)),DATE(LEFT(X97,4),MID(X97,5,2),RIGHT(X97,2)),IFERROR(DATEVALUE(SUBSTITUTE(SUBSTITUTE(X97,".","-"),"/","-")),IFERROR(X97*1,""))))</f>
        <v/>
      </c>
      <c r="M97" s="7">
        <f>IF(Y97="","",IF(AND(LEN(Y97)=8,ISNUMBER(Y97*1)),DATE(LEFT(Y97,4),MID(Y97,5,2),RIGHT(Y97,2)),IFERROR(DATEVALUE(SUBSTITUTE(SUBSTITUTE(Y97,".","-"),"/","-")),IFERROR(Y97*1,""))))</f>
        <v/>
      </c>
      <c r="N97">
        <f>IFERROR(LEFT(B97,FIND(" ",B97)-1),B97)</f>
        <v/>
      </c>
      <c r="O97">
        <f>AND(B97&lt;&gt;"",B97&lt;&gt;설정!$B$4,C97&lt;&gt;설정!$B$5)</f>
        <v/>
      </c>
      <c r="P97">
        <f>IF(O97,B97&amp;"|"&amp;C97,"")</f>
        <v/>
      </c>
      <c r="Q97">
        <f>AND(O97,COUNTIF(P98:P$1002,P97)=0)</f>
        <v/>
      </c>
      <c r="R97">
        <f>OR(AND(설정!$A$42&lt;&gt;"",ISNUMBER(SEARCH(설정!$A$42,E97&amp;" "&amp;C97))),AND(설정!$A$43&lt;&gt;"",ISNUMBER(SEARCH(설정!$A$43,E97&amp;" "&amp;C97))),AND(설정!$A$44&lt;&gt;"",ISNUMBER(SEARCH(설정!$A$44,E97&amp;" "&amp;C97))),AND(설정!$A$45&lt;&gt;"",ISNUMBER(SEARCH(설정!$A$45,E97&amp;" "&amp;C97))),AND(설정!$A$46&lt;&gt;"",ISNUMBER(SEARCH(설정!$A$46,E97&amp;" "&amp;C97))),AND(설정!$A$47&lt;&gt;"",ISNUMBER(SEARCH(설정!$A$47,E97&amp;" "&amp;C97))),AND(설정!$A$48&lt;&gt;"",ISNUMBER(SEARCH(설정!$A$48,E97&amp;" "&amp;C97))),AND(설정!$A$49&lt;&gt;"",ISNUMBER(SEARCH(설정!$A$49,E97&amp;" "&amp;C97))),AND(설정!$A$50&lt;&gt;"",ISNUMBER(SEARCH(설정!$A$50,E97&amp;" "&amp;C97))),AND(설정!$A$51&lt;&gt;"",ISNUMBER(SEARCH(설정!$A$51,E97&amp;" "&amp;C97))))</f>
        <v/>
      </c>
      <c r="S97">
        <f>OR(D97="",D97&gt;=설정!$B$19)</f>
        <v/>
      </c>
      <c r="T97">
        <f>AND(Q97,R97,S97)</f>
        <v/>
      </c>
      <c r="U97">
        <f>IF(T97,IF(AND(설정!$A$54&lt;&gt;"",ISNUMBER(SEARCH(설정!$A$54,K97))),설정!$B$54,IF(AND(설정!$A$55&lt;&gt;"",ISNUMBER(SEARCH(설정!$A$55,K97))),설정!$B$55,IF(AND(설정!$A$56&lt;&gt;"",ISNUMBER(SEARCH(설정!$A$56,K97))),설정!$B$56,IF(AND(설정!$A$57&lt;&gt;"",ISNUMBER(SEARCH(설정!$A$57,K97))),설정!$B$57,IF(AND(설정!$A$58&lt;&gt;"",ISNUMBER(SEARCH(설정!$A$58,K97))),설정!$B$58,IF(AND(설정!$A$59&lt;&gt;"",ISNUMBER(SEARCH(설정!$A$59,K97))),설정!$B$59,IF(AND(설정!$A$60&lt;&gt;"",ISNUMBER(SEARCH(설정!$A$60,K97))),설정!$B$60,IF(AND(설정!$A$61&lt;&gt;"",ISNUMBER(SEARCH(설정!$A$61,K97))),설정!$B$61,IF(M97="","설계사","시공사"))))))))),"")</f>
        <v/>
      </c>
      <c r="V97">
        <f>SUBSTITUTE(SUBSTITUTE(SUBSTITUTE(SUBSTITUTE(G97,"(주)",""),"㈜",""),"주식회사","")," ","")</f>
        <v/>
      </c>
      <c r="W97">
        <f>IF(AND(T97,V97&lt;&gt;""),IF(COUNTIFS(V$2:V97,V97,T$2:T97,TRUE)=1,MAX(W$1:W96)+1,""),"")</f>
        <v/>
      </c>
      <c r="X97">
        <f>IF(설정!$C$14="","",IFERROR(INDEX('1.산군_붙여넣기'!$A$1:$AZ$1001,ROW(),설정!$C$14)&amp;"",""))</f>
        <v/>
      </c>
      <c r="Y97">
        <f>IF(설정!$C$15="","",IFERROR(INDEX('1.산군_붙여넣기'!$A$1:$AZ$1001,ROW(),설정!$C$15)&amp;"",""))</f>
        <v/>
      </c>
      <c r="Z97">
        <f>IF(T97,V97&amp;"|"&amp;U97,"")</f>
        <v/>
      </c>
      <c r="AA97">
        <f>IF(NOT(Q97),"",IF(NOT(AND(R97,S97)),"✕",IF(OR(OR(AND(L97&lt;&gt;"",M97&lt;&gt;"",N(M97)-N(L97)&gt;설정!$B$27),AND(L97&lt;&gt;"",M97="",설정!$B$24-N(L97)&gt;설정!$B$27)),AND(D97&lt;&gt;"",D97&lt;설정!$B$26)),"△","★")))</f>
        <v/>
      </c>
      <c r="AB97">
        <f>IF(NOT(T97),"",IF(U97="설계사",설정!$B$31,IF(U97="시공사",IF(OR(M97="",설정!$B$24-N(M97)&lt;=설정!$B$28*30.4),설정!$B$32,설정!$B$33),설정!$B$34))+IF(AA97="★",설정!$B$35,0))</f>
        <v/>
      </c>
      <c r="AC97">
        <f>SUBSTITUTE(SUBSTITUTE(SUBSTITUTE(SUBSTITUTE(H97,"(주)",""),"㈜",""),"주식회사","")," ","")</f>
        <v/>
      </c>
      <c r="AD97">
        <f>IF(AND(T97,AC97&lt;&gt;""),IF(COUNTIFS(AC$2:AC97,AC97,T$2:T97,TRUE)=1,MAX(AD$1:AD96)+1,""),"")</f>
        <v/>
      </c>
    </row>
    <row r="98">
      <c r="A98">
        <f>ROW()</f>
        <v/>
      </c>
      <c r="B98">
        <f>IF(설정!$C$4="","",IFERROR(INDEX('1.산군_붙여넣기'!$A$1:$AZ$1001,ROW(),설정!$C$4)&amp;"",""))</f>
        <v/>
      </c>
      <c r="C98">
        <f>IF(설정!$C$5="","",IFERROR(INDEX('1.산군_붙여넣기'!$A$1:$AZ$1001,ROW(),설정!$C$5)&amp;"",""))</f>
        <v/>
      </c>
      <c r="D98" s="5">
        <f>IFERROR(VALUE(SUBSTITUTE(SUBSTITUTE(SUBSTITUTE(IF(설정!$C$6="","",IFERROR(INDEX('1.산군_붙여넣기'!$A$1:$AZ$1001,ROW(),설정!$C$6)&amp;"","")),",",""),"㎡",""),"m2","")),"")</f>
        <v/>
      </c>
      <c r="E98">
        <f>IF(설정!$C$7="","",IFERROR(INDEX('1.산군_붙여넣기'!$A$1:$AZ$1001,ROW(),설정!$C$7)&amp;"",""))</f>
        <v/>
      </c>
      <c r="F98">
        <f>IF(설정!$C$8="","",IFERROR(INDEX('1.산군_붙여넣기'!$A$1:$AZ$1001,ROW(),설정!$C$8)&amp;"",""))</f>
        <v/>
      </c>
      <c r="G98">
        <f>IF(설정!$C$9="","",IFERROR(INDEX('1.산군_붙여넣기'!$A$1:$AZ$1001,ROW(),설정!$C$9)&amp;"",""))</f>
        <v/>
      </c>
      <c r="H98">
        <f>IF(설정!$C$10="","",IFERROR(INDEX('1.산군_붙여넣기'!$A$1:$AZ$1001,ROW(),설정!$C$10)&amp;"",""))</f>
        <v/>
      </c>
      <c r="I98">
        <f>IF(설정!$C$11="","",IFERROR(INDEX('1.산군_붙여넣기'!$A$1:$AZ$1001,ROW(),설정!$C$11)&amp;"",""))</f>
        <v/>
      </c>
      <c r="J98">
        <f>IF(설정!$C$12="","",IFERROR(INDEX('1.산군_붙여넣기'!$A$1:$AZ$1001,ROW(),설정!$C$12)&amp;"",""))</f>
        <v/>
      </c>
      <c r="K98">
        <f>IF(설정!$C$13="","",IFERROR(INDEX('1.산군_붙여넣기'!$A$1:$AZ$1001,ROW(),설정!$C$13)&amp;"",""))</f>
        <v/>
      </c>
      <c r="L98" s="7">
        <f>IF(X98="","",IF(AND(LEN(X98)=8,ISNUMBER(X98*1)),DATE(LEFT(X98,4),MID(X98,5,2),RIGHT(X98,2)),IFERROR(DATEVALUE(SUBSTITUTE(SUBSTITUTE(X98,".","-"),"/","-")),IFERROR(X98*1,""))))</f>
        <v/>
      </c>
      <c r="M98" s="7">
        <f>IF(Y98="","",IF(AND(LEN(Y98)=8,ISNUMBER(Y98*1)),DATE(LEFT(Y98,4),MID(Y98,5,2),RIGHT(Y98,2)),IFERROR(DATEVALUE(SUBSTITUTE(SUBSTITUTE(Y98,".","-"),"/","-")),IFERROR(Y98*1,""))))</f>
        <v/>
      </c>
      <c r="N98">
        <f>IFERROR(LEFT(B98,FIND(" ",B98)-1),B98)</f>
        <v/>
      </c>
      <c r="O98">
        <f>AND(B98&lt;&gt;"",B98&lt;&gt;설정!$B$4,C98&lt;&gt;설정!$B$5)</f>
        <v/>
      </c>
      <c r="P98">
        <f>IF(O98,B98&amp;"|"&amp;C98,"")</f>
        <v/>
      </c>
      <c r="Q98">
        <f>AND(O98,COUNTIF(P99:P$1002,P98)=0)</f>
        <v/>
      </c>
      <c r="R98">
        <f>OR(AND(설정!$A$42&lt;&gt;"",ISNUMBER(SEARCH(설정!$A$42,E98&amp;" "&amp;C98))),AND(설정!$A$43&lt;&gt;"",ISNUMBER(SEARCH(설정!$A$43,E98&amp;" "&amp;C98))),AND(설정!$A$44&lt;&gt;"",ISNUMBER(SEARCH(설정!$A$44,E98&amp;" "&amp;C98))),AND(설정!$A$45&lt;&gt;"",ISNUMBER(SEARCH(설정!$A$45,E98&amp;" "&amp;C98))),AND(설정!$A$46&lt;&gt;"",ISNUMBER(SEARCH(설정!$A$46,E98&amp;" "&amp;C98))),AND(설정!$A$47&lt;&gt;"",ISNUMBER(SEARCH(설정!$A$47,E98&amp;" "&amp;C98))),AND(설정!$A$48&lt;&gt;"",ISNUMBER(SEARCH(설정!$A$48,E98&amp;" "&amp;C98))),AND(설정!$A$49&lt;&gt;"",ISNUMBER(SEARCH(설정!$A$49,E98&amp;" "&amp;C98))),AND(설정!$A$50&lt;&gt;"",ISNUMBER(SEARCH(설정!$A$50,E98&amp;" "&amp;C98))),AND(설정!$A$51&lt;&gt;"",ISNUMBER(SEARCH(설정!$A$51,E98&amp;" "&amp;C98))))</f>
        <v/>
      </c>
      <c r="S98">
        <f>OR(D98="",D98&gt;=설정!$B$19)</f>
        <v/>
      </c>
      <c r="T98">
        <f>AND(Q98,R98,S98)</f>
        <v/>
      </c>
      <c r="U98">
        <f>IF(T98,IF(AND(설정!$A$54&lt;&gt;"",ISNUMBER(SEARCH(설정!$A$54,K98))),설정!$B$54,IF(AND(설정!$A$55&lt;&gt;"",ISNUMBER(SEARCH(설정!$A$55,K98))),설정!$B$55,IF(AND(설정!$A$56&lt;&gt;"",ISNUMBER(SEARCH(설정!$A$56,K98))),설정!$B$56,IF(AND(설정!$A$57&lt;&gt;"",ISNUMBER(SEARCH(설정!$A$57,K98))),설정!$B$57,IF(AND(설정!$A$58&lt;&gt;"",ISNUMBER(SEARCH(설정!$A$58,K98))),설정!$B$58,IF(AND(설정!$A$59&lt;&gt;"",ISNUMBER(SEARCH(설정!$A$59,K98))),설정!$B$59,IF(AND(설정!$A$60&lt;&gt;"",ISNUMBER(SEARCH(설정!$A$60,K98))),설정!$B$60,IF(AND(설정!$A$61&lt;&gt;"",ISNUMBER(SEARCH(설정!$A$61,K98))),설정!$B$61,IF(M98="","설계사","시공사"))))))))),"")</f>
        <v/>
      </c>
      <c r="V98">
        <f>SUBSTITUTE(SUBSTITUTE(SUBSTITUTE(SUBSTITUTE(G98,"(주)",""),"㈜",""),"주식회사","")," ","")</f>
        <v/>
      </c>
      <c r="W98">
        <f>IF(AND(T98,V98&lt;&gt;""),IF(COUNTIFS(V$2:V98,V98,T$2:T98,TRUE)=1,MAX(W$1:W97)+1,""),"")</f>
        <v/>
      </c>
      <c r="X98">
        <f>IF(설정!$C$14="","",IFERROR(INDEX('1.산군_붙여넣기'!$A$1:$AZ$1001,ROW(),설정!$C$14)&amp;"",""))</f>
        <v/>
      </c>
      <c r="Y98">
        <f>IF(설정!$C$15="","",IFERROR(INDEX('1.산군_붙여넣기'!$A$1:$AZ$1001,ROW(),설정!$C$15)&amp;"",""))</f>
        <v/>
      </c>
      <c r="Z98">
        <f>IF(T98,V98&amp;"|"&amp;U98,"")</f>
        <v/>
      </c>
      <c r="AA98">
        <f>IF(NOT(Q98),"",IF(NOT(AND(R98,S98)),"✕",IF(OR(OR(AND(L98&lt;&gt;"",M98&lt;&gt;"",N(M98)-N(L98)&gt;설정!$B$27),AND(L98&lt;&gt;"",M98="",설정!$B$24-N(L98)&gt;설정!$B$27)),AND(D98&lt;&gt;"",D98&lt;설정!$B$26)),"△","★")))</f>
        <v/>
      </c>
      <c r="AB98">
        <f>IF(NOT(T98),"",IF(U98="설계사",설정!$B$31,IF(U98="시공사",IF(OR(M98="",설정!$B$24-N(M98)&lt;=설정!$B$28*30.4),설정!$B$32,설정!$B$33),설정!$B$34))+IF(AA98="★",설정!$B$35,0))</f>
        <v/>
      </c>
      <c r="AC98">
        <f>SUBSTITUTE(SUBSTITUTE(SUBSTITUTE(SUBSTITUTE(H98,"(주)",""),"㈜",""),"주식회사","")," ","")</f>
        <v/>
      </c>
      <c r="AD98">
        <f>IF(AND(T98,AC98&lt;&gt;""),IF(COUNTIFS(AC$2:AC98,AC98,T$2:T98,TRUE)=1,MAX(AD$1:AD97)+1,""),"")</f>
        <v/>
      </c>
    </row>
    <row r="99">
      <c r="A99">
        <f>ROW()</f>
        <v/>
      </c>
      <c r="B99">
        <f>IF(설정!$C$4="","",IFERROR(INDEX('1.산군_붙여넣기'!$A$1:$AZ$1001,ROW(),설정!$C$4)&amp;"",""))</f>
        <v/>
      </c>
      <c r="C99">
        <f>IF(설정!$C$5="","",IFERROR(INDEX('1.산군_붙여넣기'!$A$1:$AZ$1001,ROW(),설정!$C$5)&amp;"",""))</f>
        <v/>
      </c>
      <c r="D99" s="5">
        <f>IFERROR(VALUE(SUBSTITUTE(SUBSTITUTE(SUBSTITUTE(IF(설정!$C$6="","",IFERROR(INDEX('1.산군_붙여넣기'!$A$1:$AZ$1001,ROW(),설정!$C$6)&amp;"","")),",",""),"㎡",""),"m2","")),"")</f>
        <v/>
      </c>
      <c r="E99">
        <f>IF(설정!$C$7="","",IFERROR(INDEX('1.산군_붙여넣기'!$A$1:$AZ$1001,ROW(),설정!$C$7)&amp;"",""))</f>
        <v/>
      </c>
      <c r="F99">
        <f>IF(설정!$C$8="","",IFERROR(INDEX('1.산군_붙여넣기'!$A$1:$AZ$1001,ROW(),설정!$C$8)&amp;"",""))</f>
        <v/>
      </c>
      <c r="G99">
        <f>IF(설정!$C$9="","",IFERROR(INDEX('1.산군_붙여넣기'!$A$1:$AZ$1001,ROW(),설정!$C$9)&amp;"",""))</f>
        <v/>
      </c>
      <c r="H99">
        <f>IF(설정!$C$10="","",IFERROR(INDEX('1.산군_붙여넣기'!$A$1:$AZ$1001,ROW(),설정!$C$10)&amp;"",""))</f>
        <v/>
      </c>
      <c r="I99">
        <f>IF(설정!$C$11="","",IFERROR(INDEX('1.산군_붙여넣기'!$A$1:$AZ$1001,ROW(),설정!$C$11)&amp;"",""))</f>
        <v/>
      </c>
      <c r="J99">
        <f>IF(설정!$C$12="","",IFERROR(INDEX('1.산군_붙여넣기'!$A$1:$AZ$1001,ROW(),설정!$C$12)&amp;"",""))</f>
        <v/>
      </c>
      <c r="K99">
        <f>IF(설정!$C$13="","",IFERROR(INDEX('1.산군_붙여넣기'!$A$1:$AZ$1001,ROW(),설정!$C$13)&amp;"",""))</f>
        <v/>
      </c>
      <c r="L99" s="7">
        <f>IF(X99="","",IF(AND(LEN(X99)=8,ISNUMBER(X99*1)),DATE(LEFT(X99,4),MID(X99,5,2),RIGHT(X99,2)),IFERROR(DATEVALUE(SUBSTITUTE(SUBSTITUTE(X99,".","-"),"/","-")),IFERROR(X99*1,""))))</f>
        <v/>
      </c>
      <c r="M99" s="7">
        <f>IF(Y99="","",IF(AND(LEN(Y99)=8,ISNUMBER(Y99*1)),DATE(LEFT(Y99,4),MID(Y99,5,2),RIGHT(Y99,2)),IFERROR(DATEVALUE(SUBSTITUTE(SUBSTITUTE(Y99,".","-"),"/","-")),IFERROR(Y99*1,""))))</f>
        <v/>
      </c>
      <c r="N99">
        <f>IFERROR(LEFT(B99,FIND(" ",B99)-1),B99)</f>
        <v/>
      </c>
      <c r="O99">
        <f>AND(B99&lt;&gt;"",B99&lt;&gt;설정!$B$4,C99&lt;&gt;설정!$B$5)</f>
        <v/>
      </c>
      <c r="P99">
        <f>IF(O99,B99&amp;"|"&amp;C99,"")</f>
        <v/>
      </c>
      <c r="Q99">
        <f>AND(O99,COUNTIF(P100:P$1002,P99)=0)</f>
        <v/>
      </c>
      <c r="R99">
        <f>OR(AND(설정!$A$42&lt;&gt;"",ISNUMBER(SEARCH(설정!$A$42,E99&amp;" "&amp;C99))),AND(설정!$A$43&lt;&gt;"",ISNUMBER(SEARCH(설정!$A$43,E99&amp;" "&amp;C99))),AND(설정!$A$44&lt;&gt;"",ISNUMBER(SEARCH(설정!$A$44,E99&amp;" "&amp;C99))),AND(설정!$A$45&lt;&gt;"",ISNUMBER(SEARCH(설정!$A$45,E99&amp;" "&amp;C99))),AND(설정!$A$46&lt;&gt;"",ISNUMBER(SEARCH(설정!$A$46,E99&amp;" "&amp;C99))),AND(설정!$A$47&lt;&gt;"",ISNUMBER(SEARCH(설정!$A$47,E99&amp;" "&amp;C99))),AND(설정!$A$48&lt;&gt;"",ISNUMBER(SEARCH(설정!$A$48,E99&amp;" "&amp;C99))),AND(설정!$A$49&lt;&gt;"",ISNUMBER(SEARCH(설정!$A$49,E99&amp;" "&amp;C99))),AND(설정!$A$50&lt;&gt;"",ISNUMBER(SEARCH(설정!$A$50,E99&amp;" "&amp;C99))),AND(설정!$A$51&lt;&gt;"",ISNUMBER(SEARCH(설정!$A$51,E99&amp;" "&amp;C99))))</f>
        <v/>
      </c>
      <c r="S99">
        <f>OR(D99="",D99&gt;=설정!$B$19)</f>
        <v/>
      </c>
      <c r="T99">
        <f>AND(Q99,R99,S99)</f>
        <v/>
      </c>
      <c r="U99">
        <f>IF(T99,IF(AND(설정!$A$54&lt;&gt;"",ISNUMBER(SEARCH(설정!$A$54,K99))),설정!$B$54,IF(AND(설정!$A$55&lt;&gt;"",ISNUMBER(SEARCH(설정!$A$55,K99))),설정!$B$55,IF(AND(설정!$A$56&lt;&gt;"",ISNUMBER(SEARCH(설정!$A$56,K99))),설정!$B$56,IF(AND(설정!$A$57&lt;&gt;"",ISNUMBER(SEARCH(설정!$A$57,K99))),설정!$B$57,IF(AND(설정!$A$58&lt;&gt;"",ISNUMBER(SEARCH(설정!$A$58,K99))),설정!$B$58,IF(AND(설정!$A$59&lt;&gt;"",ISNUMBER(SEARCH(설정!$A$59,K99))),설정!$B$59,IF(AND(설정!$A$60&lt;&gt;"",ISNUMBER(SEARCH(설정!$A$60,K99))),설정!$B$60,IF(AND(설정!$A$61&lt;&gt;"",ISNUMBER(SEARCH(설정!$A$61,K99))),설정!$B$61,IF(M99="","설계사","시공사"))))))))),"")</f>
        <v/>
      </c>
      <c r="V99">
        <f>SUBSTITUTE(SUBSTITUTE(SUBSTITUTE(SUBSTITUTE(G99,"(주)",""),"㈜",""),"주식회사","")," ","")</f>
        <v/>
      </c>
      <c r="W99">
        <f>IF(AND(T99,V99&lt;&gt;""),IF(COUNTIFS(V$2:V99,V99,T$2:T99,TRUE)=1,MAX(W$1:W98)+1,""),"")</f>
        <v/>
      </c>
      <c r="X99">
        <f>IF(설정!$C$14="","",IFERROR(INDEX('1.산군_붙여넣기'!$A$1:$AZ$1001,ROW(),설정!$C$14)&amp;"",""))</f>
        <v/>
      </c>
      <c r="Y99">
        <f>IF(설정!$C$15="","",IFERROR(INDEX('1.산군_붙여넣기'!$A$1:$AZ$1001,ROW(),설정!$C$15)&amp;"",""))</f>
        <v/>
      </c>
      <c r="Z99">
        <f>IF(T99,V99&amp;"|"&amp;U99,"")</f>
        <v/>
      </c>
      <c r="AA99">
        <f>IF(NOT(Q99),"",IF(NOT(AND(R99,S99)),"✕",IF(OR(OR(AND(L99&lt;&gt;"",M99&lt;&gt;"",N(M99)-N(L99)&gt;설정!$B$27),AND(L99&lt;&gt;"",M99="",설정!$B$24-N(L99)&gt;설정!$B$27)),AND(D99&lt;&gt;"",D99&lt;설정!$B$26)),"△","★")))</f>
        <v/>
      </c>
      <c r="AB99">
        <f>IF(NOT(T99),"",IF(U99="설계사",설정!$B$31,IF(U99="시공사",IF(OR(M99="",설정!$B$24-N(M99)&lt;=설정!$B$28*30.4),설정!$B$32,설정!$B$33),설정!$B$34))+IF(AA99="★",설정!$B$35,0))</f>
        <v/>
      </c>
      <c r="AC99">
        <f>SUBSTITUTE(SUBSTITUTE(SUBSTITUTE(SUBSTITUTE(H99,"(주)",""),"㈜",""),"주식회사","")," ","")</f>
        <v/>
      </c>
      <c r="AD99">
        <f>IF(AND(T99,AC99&lt;&gt;""),IF(COUNTIFS(AC$2:AC99,AC99,T$2:T99,TRUE)=1,MAX(AD$1:AD98)+1,""),"")</f>
        <v/>
      </c>
    </row>
    <row r="100">
      <c r="A100">
        <f>ROW()</f>
        <v/>
      </c>
      <c r="B100">
        <f>IF(설정!$C$4="","",IFERROR(INDEX('1.산군_붙여넣기'!$A$1:$AZ$1001,ROW(),설정!$C$4)&amp;"",""))</f>
        <v/>
      </c>
      <c r="C100">
        <f>IF(설정!$C$5="","",IFERROR(INDEX('1.산군_붙여넣기'!$A$1:$AZ$1001,ROW(),설정!$C$5)&amp;"",""))</f>
        <v/>
      </c>
      <c r="D100" s="5">
        <f>IFERROR(VALUE(SUBSTITUTE(SUBSTITUTE(SUBSTITUTE(IF(설정!$C$6="","",IFERROR(INDEX('1.산군_붙여넣기'!$A$1:$AZ$1001,ROW(),설정!$C$6)&amp;"","")),",",""),"㎡",""),"m2","")),"")</f>
        <v/>
      </c>
      <c r="E100">
        <f>IF(설정!$C$7="","",IFERROR(INDEX('1.산군_붙여넣기'!$A$1:$AZ$1001,ROW(),설정!$C$7)&amp;"",""))</f>
        <v/>
      </c>
      <c r="F100">
        <f>IF(설정!$C$8="","",IFERROR(INDEX('1.산군_붙여넣기'!$A$1:$AZ$1001,ROW(),설정!$C$8)&amp;"",""))</f>
        <v/>
      </c>
      <c r="G100">
        <f>IF(설정!$C$9="","",IFERROR(INDEX('1.산군_붙여넣기'!$A$1:$AZ$1001,ROW(),설정!$C$9)&amp;"",""))</f>
        <v/>
      </c>
      <c r="H100">
        <f>IF(설정!$C$10="","",IFERROR(INDEX('1.산군_붙여넣기'!$A$1:$AZ$1001,ROW(),설정!$C$10)&amp;"",""))</f>
        <v/>
      </c>
      <c r="I100">
        <f>IF(설정!$C$11="","",IFERROR(INDEX('1.산군_붙여넣기'!$A$1:$AZ$1001,ROW(),설정!$C$11)&amp;"",""))</f>
        <v/>
      </c>
      <c r="J100">
        <f>IF(설정!$C$12="","",IFERROR(INDEX('1.산군_붙여넣기'!$A$1:$AZ$1001,ROW(),설정!$C$12)&amp;"",""))</f>
        <v/>
      </c>
      <c r="K100">
        <f>IF(설정!$C$13="","",IFERROR(INDEX('1.산군_붙여넣기'!$A$1:$AZ$1001,ROW(),설정!$C$13)&amp;"",""))</f>
        <v/>
      </c>
      <c r="L100" s="7">
        <f>IF(X100="","",IF(AND(LEN(X100)=8,ISNUMBER(X100*1)),DATE(LEFT(X100,4),MID(X100,5,2),RIGHT(X100,2)),IFERROR(DATEVALUE(SUBSTITUTE(SUBSTITUTE(X100,".","-"),"/","-")),IFERROR(X100*1,""))))</f>
        <v/>
      </c>
      <c r="M100" s="7">
        <f>IF(Y100="","",IF(AND(LEN(Y100)=8,ISNUMBER(Y100*1)),DATE(LEFT(Y100,4),MID(Y100,5,2),RIGHT(Y100,2)),IFERROR(DATEVALUE(SUBSTITUTE(SUBSTITUTE(Y100,".","-"),"/","-")),IFERROR(Y100*1,""))))</f>
        <v/>
      </c>
      <c r="N100">
        <f>IFERROR(LEFT(B100,FIND(" ",B100)-1),B100)</f>
        <v/>
      </c>
      <c r="O100">
        <f>AND(B100&lt;&gt;"",B100&lt;&gt;설정!$B$4,C100&lt;&gt;설정!$B$5)</f>
        <v/>
      </c>
      <c r="P100">
        <f>IF(O100,B100&amp;"|"&amp;C100,"")</f>
        <v/>
      </c>
      <c r="Q100">
        <f>AND(O100,COUNTIF(P101:P$1002,P100)=0)</f>
        <v/>
      </c>
      <c r="R100">
        <f>OR(AND(설정!$A$42&lt;&gt;"",ISNUMBER(SEARCH(설정!$A$42,E100&amp;" "&amp;C100))),AND(설정!$A$43&lt;&gt;"",ISNUMBER(SEARCH(설정!$A$43,E100&amp;" "&amp;C100))),AND(설정!$A$44&lt;&gt;"",ISNUMBER(SEARCH(설정!$A$44,E100&amp;" "&amp;C100))),AND(설정!$A$45&lt;&gt;"",ISNUMBER(SEARCH(설정!$A$45,E100&amp;" "&amp;C100))),AND(설정!$A$46&lt;&gt;"",ISNUMBER(SEARCH(설정!$A$46,E100&amp;" "&amp;C100))),AND(설정!$A$47&lt;&gt;"",ISNUMBER(SEARCH(설정!$A$47,E100&amp;" "&amp;C100))),AND(설정!$A$48&lt;&gt;"",ISNUMBER(SEARCH(설정!$A$48,E100&amp;" "&amp;C100))),AND(설정!$A$49&lt;&gt;"",ISNUMBER(SEARCH(설정!$A$49,E100&amp;" "&amp;C100))),AND(설정!$A$50&lt;&gt;"",ISNUMBER(SEARCH(설정!$A$50,E100&amp;" "&amp;C100))),AND(설정!$A$51&lt;&gt;"",ISNUMBER(SEARCH(설정!$A$51,E100&amp;" "&amp;C100))))</f>
        <v/>
      </c>
      <c r="S100">
        <f>OR(D100="",D100&gt;=설정!$B$19)</f>
        <v/>
      </c>
      <c r="T100">
        <f>AND(Q100,R100,S100)</f>
        <v/>
      </c>
      <c r="U100">
        <f>IF(T100,IF(AND(설정!$A$54&lt;&gt;"",ISNUMBER(SEARCH(설정!$A$54,K100))),설정!$B$54,IF(AND(설정!$A$55&lt;&gt;"",ISNUMBER(SEARCH(설정!$A$55,K100))),설정!$B$55,IF(AND(설정!$A$56&lt;&gt;"",ISNUMBER(SEARCH(설정!$A$56,K100))),설정!$B$56,IF(AND(설정!$A$57&lt;&gt;"",ISNUMBER(SEARCH(설정!$A$57,K100))),설정!$B$57,IF(AND(설정!$A$58&lt;&gt;"",ISNUMBER(SEARCH(설정!$A$58,K100))),설정!$B$58,IF(AND(설정!$A$59&lt;&gt;"",ISNUMBER(SEARCH(설정!$A$59,K100))),설정!$B$59,IF(AND(설정!$A$60&lt;&gt;"",ISNUMBER(SEARCH(설정!$A$60,K100))),설정!$B$60,IF(AND(설정!$A$61&lt;&gt;"",ISNUMBER(SEARCH(설정!$A$61,K100))),설정!$B$61,IF(M100="","설계사","시공사"))))))))),"")</f>
        <v/>
      </c>
      <c r="V100">
        <f>SUBSTITUTE(SUBSTITUTE(SUBSTITUTE(SUBSTITUTE(G100,"(주)",""),"㈜",""),"주식회사","")," ","")</f>
        <v/>
      </c>
      <c r="W100">
        <f>IF(AND(T100,V100&lt;&gt;""),IF(COUNTIFS(V$2:V100,V100,T$2:T100,TRUE)=1,MAX(W$1:W99)+1,""),"")</f>
        <v/>
      </c>
      <c r="X100">
        <f>IF(설정!$C$14="","",IFERROR(INDEX('1.산군_붙여넣기'!$A$1:$AZ$1001,ROW(),설정!$C$14)&amp;"",""))</f>
        <v/>
      </c>
      <c r="Y100">
        <f>IF(설정!$C$15="","",IFERROR(INDEX('1.산군_붙여넣기'!$A$1:$AZ$1001,ROW(),설정!$C$15)&amp;"",""))</f>
        <v/>
      </c>
      <c r="Z100">
        <f>IF(T100,V100&amp;"|"&amp;U100,"")</f>
        <v/>
      </c>
      <c r="AA100">
        <f>IF(NOT(Q100),"",IF(NOT(AND(R100,S100)),"✕",IF(OR(OR(AND(L100&lt;&gt;"",M100&lt;&gt;"",N(M100)-N(L100)&gt;설정!$B$27),AND(L100&lt;&gt;"",M100="",설정!$B$24-N(L100)&gt;설정!$B$27)),AND(D100&lt;&gt;"",D100&lt;설정!$B$26)),"△","★")))</f>
        <v/>
      </c>
      <c r="AB100">
        <f>IF(NOT(T100),"",IF(U100="설계사",설정!$B$31,IF(U100="시공사",IF(OR(M100="",설정!$B$24-N(M100)&lt;=설정!$B$28*30.4),설정!$B$32,설정!$B$33),설정!$B$34))+IF(AA100="★",설정!$B$35,0))</f>
        <v/>
      </c>
      <c r="AC100">
        <f>SUBSTITUTE(SUBSTITUTE(SUBSTITUTE(SUBSTITUTE(H100,"(주)",""),"㈜",""),"주식회사","")," ","")</f>
        <v/>
      </c>
      <c r="AD100">
        <f>IF(AND(T100,AC100&lt;&gt;""),IF(COUNTIFS(AC$2:AC100,AC100,T$2:T100,TRUE)=1,MAX(AD$1:AD99)+1,""),"")</f>
        <v/>
      </c>
    </row>
    <row r="101">
      <c r="A101">
        <f>ROW()</f>
        <v/>
      </c>
      <c r="B101">
        <f>IF(설정!$C$4="","",IFERROR(INDEX('1.산군_붙여넣기'!$A$1:$AZ$1001,ROW(),설정!$C$4)&amp;"",""))</f>
        <v/>
      </c>
      <c r="C101">
        <f>IF(설정!$C$5="","",IFERROR(INDEX('1.산군_붙여넣기'!$A$1:$AZ$1001,ROW(),설정!$C$5)&amp;"",""))</f>
        <v/>
      </c>
      <c r="D101" s="5">
        <f>IFERROR(VALUE(SUBSTITUTE(SUBSTITUTE(SUBSTITUTE(IF(설정!$C$6="","",IFERROR(INDEX('1.산군_붙여넣기'!$A$1:$AZ$1001,ROW(),설정!$C$6)&amp;"","")),",",""),"㎡",""),"m2","")),"")</f>
        <v/>
      </c>
      <c r="E101">
        <f>IF(설정!$C$7="","",IFERROR(INDEX('1.산군_붙여넣기'!$A$1:$AZ$1001,ROW(),설정!$C$7)&amp;"",""))</f>
        <v/>
      </c>
      <c r="F101">
        <f>IF(설정!$C$8="","",IFERROR(INDEX('1.산군_붙여넣기'!$A$1:$AZ$1001,ROW(),설정!$C$8)&amp;"",""))</f>
        <v/>
      </c>
      <c r="G101">
        <f>IF(설정!$C$9="","",IFERROR(INDEX('1.산군_붙여넣기'!$A$1:$AZ$1001,ROW(),설정!$C$9)&amp;"",""))</f>
        <v/>
      </c>
      <c r="H101">
        <f>IF(설정!$C$10="","",IFERROR(INDEX('1.산군_붙여넣기'!$A$1:$AZ$1001,ROW(),설정!$C$10)&amp;"",""))</f>
        <v/>
      </c>
      <c r="I101">
        <f>IF(설정!$C$11="","",IFERROR(INDEX('1.산군_붙여넣기'!$A$1:$AZ$1001,ROW(),설정!$C$11)&amp;"",""))</f>
        <v/>
      </c>
      <c r="J101">
        <f>IF(설정!$C$12="","",IFERROR(INDEX('1.산군_붙여넣기'!$A$1:$AZ$1001,ROW(),설정!$C$12)&amp;"",""))</f>
        <v/>
      </c>
      <c r="K101">
        <f>IF(설정!$C$13="","",IFERROR(INDEX('1.산군_붙여넣기'!$A$1:$AZ$1001,ROW(),설정!$C$13)&amp;"",""))</f>
        <v/>
      </c>
      <c r="L101" s="7">
        <f>IF(X101="","",IF(AND(LEN(X101)=8,ISNUMBER(X101*1)),DATE(LEFT(X101,4),MID(X101,5,2),RIGHT(X101,2)),IFERROR(DATEVALUE(SUBSTITUTE(SUBSTITUTE(X101,".","-"),"/","-")),IFERROR(X101*1,""))))</f>
        <v/>
      </c>
      <c r="M101" s="7">
        <f>IF(Y101="","",IF(AND(LEN(Y101)=8,ISNUMBER(Y101*1)),DATE(LEFT(Y101,4),MID(Y101,5,2),RIGHT(Y101,2)),IFERROR(DATEVALUE(SUBSTITUTE(SUBSTITUTE(Y101,".","-"),"/","-")),IFERROR(Y101*1,""))))</f>
        <v/>
      </c>
      <c r="N101">
        <f>IFERROR(LEFT(B101,FIND(" ",B101)-1),B101)</f>
        <v/>
      </c>
      <c r="O101">
        <f>AND(B101&lt;&gt;"",B101&lt;&gt;설정!$B$4,C101&lt;&gt;설정!$B$5)</f>
        <v/>
      </c>
      <c r="P101">
        <f>IF(O101,B101&amp;"|"&amp;C101,"")</f>
        <v/>
      </c>
      <c r="Q101">
        <f>AND(O101,COUNTIF(P102:P$1002,P101)=0)</f>
        <v/>
      </c>
      <c r="R101">
        <f>OR(AND(설정!$A$42&lt;&gt;"",ISNUMBER(SEARCH(설정!$A$42,E101&amp;" "&amp;C101))),AND(설정!$A$43&lt;&gt;"",ISNUMBER(SEARCH(설정!$A$43,E101&amp;" "&amp;C101))),AND(설정!$A$44&lt;&gt;"",ISNUMBER(SEARCH(설정!$A$44,E101&amp;" "&amp;C101))),AND(설정!$A$45&lt;&gt;"",ISNUMBER(SEARCH(설정!$A$45,E101&amp;" "&amp;C101))),AND(설정!$A$46&lt;&gt;"",ISNUMBER(SEARCH(설정!$A$46,E101&amp;" "&amp;C101))),AND(설정!$A$47&lt;&gt;"",ISNUMBER(SEARCH(설정!$A$47,E101&amp;" "&amp;C101))),AND(설정!$A$48&lt;&gt;"",ISNUMBER(SEARCH(설정!$A$48,E101&amp;" "&amp;C101))),AND(설정!$A$49&lt;&gt;"",ISNUMBER(SEARCH(설정!$A$49,E101&amp;" "&amp;C101))),AND(설정!$A$50&lt;&gt;"",ISNUMBER(SEARCH(설정!$A$50,E101&amp;" "&amp;C101))),AND(설정!$A$51&lt;&gt;"",ISNUMBER(SEARCH(설정!$A$51,E101&amp;" "&amp;C101))))</f>
        <v/>
      </c>
      <c r="S101">
        <f>OR(D101="",D101&gt;=설정!$B$19)</f>
        <v/>
      </c>
      <c r="T101">
        <f>AND(Q101,R101,S101)</f>
        <v/>
      </c>
      <c r="U101">
        <f>IF(T101,IF(AND(설정!$A$54&lt;&gt;"",ISNUMBER(SEARCH(설정!$A$54,K101))),설정!$B$54,IF(AND(설정!$A$55&lt;&gt;"",ISNUMBER(SEARCH(설정!$A$55,K101))),설정!$B$55,IF(AND(설정!$A$56&lt;&gt;"",ISNUMBER(SEARCH(설정!$A$56,K101))),설정!$B$56,IF(AND(설정!$A$57&lt;&gt;"",ISNUMBER(SEARCH(설정!$A$57,K101))),설정!$B$57,IF(AND(설정!$A$58&lt;&gt;"",ISNUMBER(SEARCH(설정!$A$58,K101))),설정!$B$58,IF(AND(설정!$A$59&lt;&gt;"",ISNUMBER(SEARCH(설정!$A$59,K101))),설정!$B$59,IF(AND(설정!$A$60&lt;&gt;"",ISNUMBER(SEARCH(설정!$A$60,K101))),설정!$B$60,IF(AND(설정!$A$61&lt;&gt;"",ISNUMBER(SEARCH(설정!$A$61,K101))),설정!$B$61,IF(M101="","설계사","시공사"))))))))),"")</f>
        <v/>
      </c>
      <c r="V101">
        <f>SUBSTITUTE(SUBSTITUTE(SUBSTITUTE(SUBSTITUTE(G101,"(주)",""),"㈜",""),"주식회사","")," ","")</f>
        <v/>
      </c>
      <c r="W101">
        <f>IF(AND(T101,V101&lt;&gt;""),IF(COUNTIFS(V$2:V101,V101,T$2:T101,TRUE)=1,MAX(W$1:W100)+1,""),"")</f>
        <v/>
      </c>
      <c r="X101">
        <f>IF(설정!$C$14="","",IFERROR(INDEX('1.산군_붙여넣기'!$A$1:$AZ$1001,ROW(),설정!$C$14)&amp;"",""))</f>
        <v/>
      </c>
      <c r="Y101">
        <f>IF(설정!$C$15="","",IFERROR(INDEX('1.산군_붙여넣기'!$A$1:$AZ$1001,ROW(),설정!$C$15)&amp;"",""))</f>
        <v/>
      </c>
      <c r="Z101">
        <f>IF(T101,V101&amp;"|"&amp;U101,"")</f>
        <v/>
      </c>
      <c r="AA101">
        <f>IF(NOT(Q101),"",IF(NOT(AND(R101,S101)),"✕",IF(OR(OR(AND(L101&lt;&gt;"",M101&lt;&gt;"",N(M101)-N(L101)&gt;설정!$B$27),AND(L101&lt;&gt;"",M101="",설정!$B$24-N(L101)&gt;설정!$B$27)),AND(D101&lt;&gt;"",D101&lt;설정!$B$26)),"△","★")))</f>
        <v/>
      </c>
      <c r="AB101">
        <f>IF(NOT(T101),"",IF(U101="설계사",설정!$B$31,IF(U101="시공사",IF(OR(M101="",설정!$B$24-N(M101)&lt;=설정!$B$28*30.4),설정!$B$32,설정!$B$33),설정!$B$34))+IF(AA101="★",설정!$B$35,0))</f>
        <v/>
      </c>
      <c r="AC101">
        <f>SUBSTITUTE(SUBSTITUTE(SUBSTITUTE(SUBSTITUTE(H101,"(주)",""),"㈜",""),"주식회사","")," ","")</f>
        <v/>
      </c>
      <c r="AD101">
        <f>IF(AND(T101,AC101&lt;&gt;""),IF(COUNTIFS(AC$2:AC101,AC101,T$2:T101,TRUE)=1,MAX(AD$1:AD100)+1,""),"")</f>
        <v/>
      </c>
    </row>
    <row r="102">
      <c r="A102">
        <f>ROW()</f>
        <v/>
      </c>
      <c r="B102">
        <f>IF(설정!$C$4="","",IFERROR(INDEX('1.산군_붙여넣기'!$A$1:$AZ$1001,ROW(),설정!$C$4)&amp;"",""))</f>
        <v/>
      </c>
      <c r="C102">
        <f>IF(설정!$C$5="","",IFERROR(INDEX('1.산군_붙여넣기'!$A$1:$AZ$1001,ROW(),설정!$C$5)&amp;"",""))</f>
        <v/>
      </c>
      <c r="D102" s="5">
        <f>IFERROR(VALUE(SUBSTITUTE(SUBSTITUTE(SUBSTITUTE(IF(설정!$C$6="","",IFERROR(INDEX('1.산군_붙여넣기'!$A$1:$AZ$1001,ROW(),설정!$C$6)&amp;"","")),",",""),"㎡",""),"m2","")),"")</f>
        <v/>
      </c>
      <c r="E102">
        <f>IF(설정!$C$7="","",IFERROR(INDEX('1.산군_붙여넣기'!$A$1:$AZ$1001,ROW(),설정!$C$7)&amp;"",""))</f>
        <v/>
      </c>
      <c r="F102">
        <f>IF(설정!$C$8="","",IFERROR(INDEX('1.산군_붙여넣기'!$A$1:$AZ$1001,ROW(),설정!$C$8)&amp;"",""))</f>
        <v/>
      </c>
      <c r="G102">
        <f>IF(설정!$C$9="","",IFERROR(INDEX('1.산군_붙여넣기'!$A$1:$AZ$1001,ROW(),설정!$C$9)&amp;"",""))</f>
        <v/>
      </c>
      <c r="H102">
        <f>IF(설정!$C$10="","",IFERROR(INDEX('1.산군_붙여넣기'!$A$1:$AZ$1001,ROW(),설정!$C$10)&amp;"",""))</f>
        <v/>
      </c>
      <c r="I102">
        <f>IF(설정!$C$11="","",IFERROR(INDEX('1.산군_붙여넣기'!$A$1:$AZ$1001,ROW(),설정!$C$11)&amp;"",""))</f>
        <v/>
      </c>
      <c r="J102">
        <f>IF(설정!$C$12="","",IFERROR(INDEX('1.산군_붙여넣기'!$A$1:$AZ$1001,ROW(),설정!$C$12)&amp;"",""))</f>
        <v/>
      </c>
      <c r="K102">
        <f>IF(설정!$C$13="","",IFERROR(INDEX('1.산군_붙여넣기'!$A$1:$AZ$1001,ROW(),설정!$C$13)&amp;"",""))</f>
        <v/>
      </c>
      <c r="L102" s="7">
        <f>IF(X102="","",IF(AND(LEN(X102)=8,ISNUMBER(X102*1)),DATE(LEFT(X102,4),MID(X102,5,2),RIGHT(X102,2)),IFERROR(DATEVALUE(SUBSTITUTE(SUBSTITUTE(X102,".","-"),"/","-")),IFERROR(X102*1,""))))</f>
        <v/>
      </c>
      <c r="M102" s="7">
        <f>IF(Y102="","",IF(AND(LEN(Y102)=8,ISNUMBER(Y102*1)),DATE(LEFT(Y102,4),MID(Y102,5,2),RIGHT(Y102,2)),IFERROR(DATEVALUE(SUBSTITUTE(SUBSTITUTE(Y102,".","-"),"/","-")),IFERROR(Y102*1,""))))</f>
        <v/>
      </c>
      <c r="N102">
        <f>IFERROR(LEFT(B102,FIND(" ",B102)-1),B102)</f>
        <v/>
      </c>
      <c r="O102">
        <f>AND(B102&lt;&gt;"",B102&lt;&gt;설정!$B$4,C102&lt;&gt;설정!$B$5)</f>
        <v/>
      </c>
      <c r="P102">
        <f>IF(O102,B102&amp;"|"&amp;C102,"")</f>
        <v/>
      </c>
      <c r="Q102">
        <f>AND(O102,COUNTIF(P103:P$1002,P102)=0)</f>
        <v/>
      </c>
      <c r="R102">
        <f>OR(AND(설정!$A$42&lt;&gt;"",ISNUMBER(SEARCH(설정!$A$42,E102&amp;" "&amp;C102))),AND(설정!$A$43&lt;&gt;"",ISNUMBER(SEARCH(설정!$A$43,E102&amp;" "&amp;C102))),AND(설정!$A$44&lt;&gt;"",ISNUMBER(SEARCH(설정!$A$44,E102&amp;" "&amp;C102))),AND(설정!$A$45&lt;&gt;"",ISNUMBER(SEARCH(설정!$A$45,E102&amp;" "&amp;C102))),AND(설정!$A$46&lt;&gt;"",ISNUMBER(SEARCH(설정!$A$46,E102&amp;" "&amp;C102))),AND(설정!$A$47&lt;&gt;"",ISNUMBER(SEARCH(설정!$A$47,E102&amp;" "&amp;C102))),AND(설정!$A$48&lt;&gt;"",ISNUMBER(SEARCH(설정!$A$48,E102&amp;" "&amp;C102))),AND(설정!$A$49&lt;&gt;"",ISNUMBER(SEARCH(설정!$A$49,E102&amp;" "&amp;C102))),AND(설정!$A$50&lt;&gt;"",ISNUMBER(SEARCH(설정!$A$50,E102&amp;" "&amp;C102))),AND(설정!$A$51&lt;&gt;"",ISNUMBER(SEARCH(설정!$A$51,E102&amp;" "&amp;C102))))</f>
        <v/>
      </c>
      <c r="S102">
        <f>OR(D102="",D102&gt;=설정!$B$19)</f>
        <v/>
      </c>
      <c r="T102">
        <f>AND(Q102,R102,S102)</f>
        <v/>
      </c>
      <c r="U102">
        <f>IF(T102,IF(AND(설정!$A$54&lt;&gt;"",ISNUMBER(SEARCH(설정!$A$54,K102))),설정!$B$54,IF(AND(설정!$A$55&lt;&gt;"",ISNUMBER(SEARCH(설정!$A$55,K102))),설정!$B$55,IF(AND(설정!$A$56&lt;&gt;"",ISNUMBER(SEARCH(설정!$A$56,K102))),설정!$B$56,IF(AND(설정!$A$57&lt;&gt;"",ISNUMBER(SEARCH(설정!$A$57,K102))),설정!$B$57,IF(AND(설정!$A$58&lt;&gt;"",ISNUMBER(SEARCH(설정!$A$58,K102))),설정!$B$58,IF(AND(설정!$A$59&lt;&gt;"",ISNUMBER(SEARCH(설정!$A$59,K102))),설정!$B$59,IF(AND(설정!$A$60&lt;&gt;"",ISNUMBER(SEARCH(설정!$A$60,K102))),설정!$B$60,IF(AND(설정!$A$61&lt;&gt;"",ISNUMBER(SEARCH(설정!$A$61,K102))),설정!$B$61,IF(M102="","설계사","시공사"))))))))),"")</f>
        <v/>
      </c>
      <c r="V102">
        <f>SUBSTITUTE(SUBSTITUTE(SUBSTITUTE(SUBSTITUTE(G102,"(주)",""),"㈜",""),"주식회사","")," ","")</f>
        <v/>
      </c>
      <c r="W102">
        <f>IF(AND(T102,V102&lt;&gt;""),IF(COUNTIFS(V$2:V102,V102,T$2:T102,TRUE)=1,MAX(W$1:W101)+1,""),"")</f>
        <v/>
      </c>
      <c r="X102">
        <f>IF(설정!$C$14="","",IFERROR(INDEX('1.산군_붙여넣기'!$A$1:$AZ$1001,ROW(),설정!$C$14)&amp;"",""))</f>
        <v/>
      </c>
      <c r="Y102">
        <f>IF(설정!$C$15="","",IFERROR(INDEX('1.산군_붙여넣기'!$A$1:$AZ$1001,ROW(),설정!$C$15)&amp;"",""))</f>
        <v/>
      </c>
      <c r="Z102">
        <f>IF(T102,V102&amp;"|"&amp;U102,"")</f>
        <v/>
      </c>
      <c r="AA102">
        <f>IF(NOT(Q102),"",IF(NOT(AND(R102,S102)),"✕",IF(OR(OR(AND(L102&lt;&gt;"",M102&lt;&gt;"",N(M102)-N(L102)&gt;설정!$B$27),AND(L102&lt;&gt;"",M102="",설정!$B$24-N(L102)&gt;설정!$B$27)),AND(D102&lt;&gt;"",D102&lt;설정!$B$26)),"△","★")))</f>
        <v/>
      </c>
      <c r="AB102">
        <f>IF(NOT(T102),"",IF(U102="설계사",설정!$B$31,IF(U102="시공사",IF(OR(M102="",설정!$B$24-N(M102)&lt;=설정!$B$28*30.4),설정!$B$32,설정!$B$33),설정!$B$34))+IF(AA102="★",설정!$B$35,0))</f>
        <v/>
      </c>
      <c r="AC102">
        <f>SUBSTITUTE(SUBSTITUTE(SUBSTITUTE(SUBSTITUTE(H102,"(주)",""),"㈜",""),"주식회사","")," ","")</f>
        <v/>
      </c>
      <c r="AD102">
        <f>IF(AND(T102,AC102&lt;&gt;""),IF(COUNTIFS(AC$2:AC102,AC102,T$2:T102,TRUE)=1,MAX(AD$1:AD101)+1,""),"")</f>
        <v/>
      </c>
    </row>
    <row r="103">
      <c r="A103">
        <f>ROW()</f>
        <v/>
      </c>
      <c r="B103">
        <f>IF(설정!$C$4="","",IFERROR(INDEX('1.산군_붙여넣기'!$A$1:$AZ$1001,ROW(),설정!$C$4)&amp;"",""))</f>
        <v/>
      </c>
      <c r="C103">
        <f>IF(설정!$C$5="","",IFERROR(INDEX('1.산군_붙여넣기'!$A$1:$AZ$1001,ROW(),설정!$C$5)&amp;"",""))</f>
        <v/>
      </c>
      <c r="D103" s="5">
        <f>IFERROR(VALUE(SUBSTITUTE(SUBSTITUTE(SUBSTITUTE(IF(설정!$C$6="","",IFERROR(INDEX('1.산군_붙여넣기'!$A$1:$AZ$1001,ROW(),설정!$C$6)&amp;"","")),",",""),"㎡",""),"m2","")),"")</f>
        <v/>
      </c>
      <c r="E103">
        <f>IF(설정!$C$7="","",IFERROR(INDEX('1.산군_붙여넣기'!$A$1:$AZ$1001,ROW(),설정!$C$7)&amp;"",""))</f>
        <v/>
      </c>
      <c r="F103">
        <f>IF(설정!$C$8="","",IFERROR(INDEX('1.산군_붙여넣기'!$A$1:$AZ$1001,ROW(),설정!$C$8)&amp;"",""))</f>
        <v/>
      </c>
      <c r="G103">
        <f>IF(설정!$C$9="","",IFERROR(INDEX('1.산군_붙여넣기'!$A$1:$AZ$1001,ROW(),설정!$C$9)&amp;"",""))</f>
        <v/>
      </c>
      <c r="H103">
        <f>IF(설정!$C$10="","",IFERROR(INDEX('1.산군_붙여넣기'!$A$1:$AZ$1001,ROW(),설정!$C$10)&amp;"",""))</f>
        <v/>
      </c>
      <c r="I103">
        <f>IF(설정!$C$11="","",IFERROR(INDEX('1.산군_붙여넣기'!$A$1:$AZ$1001,ROW(),설정!$C$11)&amp;"",""))</f>
        <v/>
      </c>
      <c r="J103">
        <f>IF(설정!$C$12="","",IFERROR(INDEX('1.산군_붙여넣기'!$A$1:$AZ$1001,ROW(),설정!$C$12)&amp;"",""))</f>
        <v/>
      </c>
      <c r="K103">
        <f>IF(설정!$C$13="","",IFERROR(INDEX('1.산군_붙여넣기'!$A$1:$AZ$1001,ROW(),설정!$C$13)&amp;"",""))</f>
        <v/>
      </c>
      <c r="L103" s="7">
        <f>IF(X103="","",IF(AND(LEN(X103)=8,ISNUMBER(X103*1)),DATE(LEFT(X103,4),MID(X103,5,2),RIGHT(X103,2)),IFERROR(DATEVALUE(SUBSTITUTE(SUBSTITUTE(X103,".","-"),"/","-")),IFERROR(X103*1,""))))</f>
        <v/>
      </c>
      <c r="M103" s="7">
        <f>IF(Y103="","",IF(AND(LEN(Y103)=8,ISNUMBER(Y103*1)),DATE(LEFT(Y103,4),MID(Y103,5,2),RIGHT(Y103,2)),IFERROR(DATEVALUE(SUBSTITUTE(SUBSTITUTE(Y103,".","-"),"/","-")),IFERROR(Y103*1,""))))</f>
        <v/>
      </c>
      <c r="N103">
        <f>IFERROR(LEFT(B103,FIND(" ",B103)-1),B103)</f>
        <v/>
      </c>
      <c r="O103">
        <f>AND(B103&lt;&gt;"",B103&lt;&gt;설정!$B$4,C103&lt;&gt;설정!$B$5)</f>
        <v/>
      </c>
      <c r="P103">
        <f>IF(O103,B103&amp;"|"&amp;C103,"")</f>
        <v/>
      </c>
      <c r="Q103">
        <f>AND(O103,COUNTIF(P104:P$1002,P103)=0)</f>
        <v/>
      </c>
      <c r="R103">
        <f>OR(AND(설정!$A$42&lt;&gt;"",ISNUMBER(SEARCH(설정!$A$42,E103&amp;" "&amp;C103))),AND(설정!$A$43&lt;&gt;"",ISNUMBER(SEARCH(설정!$A$43,E103&amp;" "&amp;C103))),AND(설정!$A$44&lt;&gt;"",ISNUMBER(SEARCH(설정!$A$44,E103&amp;" "&amp;C103))),AND(설정!$A$45&lt;&gt;"",ISNUMBER(SEARCH(설정!$A$45,E103&amp;" "&amp;C103))),AND(설정!$A$46&lt;&gt;"",ISNUMBER(SEARCH(설정!$A$46,E103&amp;" "&amp;C103))),AND(설정!$A$47&lt;&gt;"",ISNUMBER(SEARCH(설정!$A$47,E103&amp;" "&amp;C103))),AND(설정!$A$48&lt;&gt;"",ISNUMBER(SEARCH(설정!$A$48,E103&amp;" "&amp;C103))),AND(설정!$A$49&lt;&gt;"",ISNUMBER(SEARCH(설정!$A$49,E103&amp;" "&amp;C103))),AND(설정!$A$50&lt;&gt;"",ISNUMBER(SEARCH(설정!$A$50,E103&amp;" "&amp;C103))),AND(설정!$A$51&lt;&gt;"",ISNUMBER(SEARCH(설정!$A$51,E103&amp;" "&amp;C103))))</f>
        <v/>
      </c>
      <c r="S103">
        <f>OR(D103="",D103&gt;=설정!$B$19)</f>
        <v/>
      </c>
      <c r="T103">
        <f>AND(Q103,R103,S103)</f>
        <v/>
      </c>
      <c r="U103">
        <f>IF(T103,IF(AND(설정!$A$54&lt;&gt;"",ISNUMBER(SEARCH(설정!$A$54,K103))),설정!$B$54,IF(AND(설정!$A$55&lt;&gt;"",ISNUMBER(SEARCH(설정!$A$55,K103))),설정!$B$55,IF(AND(설정!$A$56&lt;&gt;"",ISNUMBER(SEARCH(설정!$A$56,K103))),설정!$B$56,IF(AND(설정!$A$57&lt;&gt;"",ISNUMBER(SEARCH(설정!$A$57,K103))),설정!$B$57,IF(AND(설정!$A$58&lt;&gt;"",ISNUMBER(SEARCH(설정!$A$58,K103))),설정!$B$58,IF(AND(설정!$A$59&lt;&gt;"",ISNUMBER(SEARCH(설정!$A$59,K103))),설정!$B$59,IF(AND(설정!$A$60&lt;&gt;"",ISNUMBER(SEARCH(설정!$A$60,K103))),설정!$B$60,IF(AND(설정!$A$61&lt;&gt;"",ISNUMBER(SEARCH(설정!$A$61,K103))),설정!$B$61,IF(M103="","설계사","시공사"))))))))),"")</f>
        <v/>
      </c>
      <c r="V103">
        <f>SUBSTITUTE(SUBSTITUTE(SUBSTITUTE(SUBSTITUTE(G103,"(주)",""),"㈜",""),"주식회사","")," ","")</f>
        <v/>
      </c>
      <c r="W103">
        <f>IF(AND(T103,V103&lt;&gt;""),IF(COUNTIFS(V$2:V103,V103,T$2:T103,TRUE)=1,MAX(W$1:W102)+1,""),"")</f>
        <v/>
      </c>
      <c r="X103">
        <f>IF(설정!$C$14="","",IFERROR(INDEX('1.산군_붙여넣기'!$A$1:$AZ$1001,ROW(),설정!$C$14)&amp;"",""))</f>
        <v/>
      </c>
      <c r="Y103">
        <f>IF(설정!$C$15="","",IFERROR(INDEX('1.산군_붙여넣기'!$A$1:$AZ$1001,ROW(),설정!$C$15)&amp;"",""))</f>
        <v/>
      </c>
      <c r="Z103">
        <f>IF(T103,V103&amp;"|"&amp;U103,"")</f>
        <v/>
      </c>
      <c r="AA103">
        <f>IF(NOT(Q103),"",IF(NOT(AND(R103,S103)),"✕",IF(OR(OR(AND(L103&lt;&gt;"",M103&lt;&gt;"",N(M103)-N(L103)&gt;설정!$B$27),AND(L103&lt;&gt;"",M103="",설정!$B$24-N(L103)&gt;설정!$B$27)),AND(D103&lt;&gt;"",D103&lt;설정!$B$26)),"△","★")))</f>
        <v/>
      </c>
      <c r="AB103">
        <f>IF(NOT(T103),"",IF(U103="설계사",설정!$B$31,IF(U103="시공사",IF(OR(M103="",설정!$B$24-N(M103)&lt;=설정!$B$28*30.4),설정!$B$32,설정!$B$33),설정!$B$34))+IF(AA103="★",설정!$B$35,0))</f>
        <v/>
      </c>
      <c r="AC103">
        <f>SUBSTITUTE(SUBSTITUTE(SUBSTITUTE(SUBSTITUTE(H103,"(주)",""),"㈜",""),"주식회사","")," ","")</f>
        <v/>
      </c>
      <c r="AD103">
        <f>IF(AND(T103,AC103&lt;&gt;""),IF(COUNTIFS(AC$2:AC103,AC103,T$2:T103,TRUE)=1,MAX(AD$1:AD102)+1,""),"")</f>
        <v/>
      </c>
    </row>
    <row r="104">
      <c r="A104">
        <f>ROW()</f>
        <v/>
      </c>
      <c r="B104">
        <f>IF(설정!$C$4="","",IFERROR(INDEX('1.산군_붙여넣기'!$A$1:$AZ$1001,ROW(),설정!$C$4)&amp;"",""))</f>
        <v/>
      </c>
      <c r="C104">
        <f>IF(설정!$C$5="","",IFERROR(INDEX('1.산군_붙여넣기'!$A$1:$AZ$1001,ROW(),설정!$C$5)&amp;"",""))</f>
        <v/>
      </c>
      <c r="D104" s="5">
        <f>IFERROR(VALUE(SUBSTITUTE(SUBSTITUTE(SUBSTITUTE(IF(설정!$C$6="","",IFERROR(INDEX('1.산군_붙여넣기'!$A$1:$AZ$1001,ROW(),설정!$C$6)&amp;"","")),",",""),"㎡",""),"m2","")),"")</f>
        <v/>
      </c>
      <c r="E104">
        <f>IF(설정!$C$7="","",IFERROR(INDEX('1.산군_붙여넣기'!$A$1:$AZ$1001,ROW(),설정!$C$7)&amp;"",""))</f>
        <v/>
      </c>
      <c r="F104">
        <f>IF(설정!$C$8="","",IFERROR(INDEX('1.산군_붙여넣기'!$A$1:$AZ$1001,ROW(),설정!$C$8)&amp;"",""))</f>
        <v/>
      </c>
      <c r="G104">
        <f>IF(설정!$C$9="","",IFERROR(INDEX('1.산군_붙여넣기'!$A$1:$AZ$1001,ROW(),설정!$C$9)&amp;"",""))</f>
        <v/>
      </c>
      <c r="H104">
        <f>IF(설정!$C$10="","",IFERROR(INDEX('1.산군_붙여넣기'!$A$1:$AZ$1001,ROW(),설정!$C$10)&amp;"",""))</f>
        <v/>
      </c>
      <c r="I104">
        <f>IF(설정!$C$11="","",IFERROR(INDEX('1.산군_붙여넣기'!$A$1:$AZ$1001,ROW(),설정!$C$11)&amp;"",""))</f>
        <v/>
      </c>
      <c r="J104">
        <f>IF(설정!$C$12="","",IFERROR(INDEX('1.산군_붙여넣기'!$A$1:$AZ$1001,ROW(),설정!$C$12)&amp;"",""))</f>
        <v/>
      </c>
      <c r="K104">
        <f>IF(설정!$C$13="","",IFERROR(INDEX('1.산군_붙여넣기'!$A$1:$AZ$1001,ROW(),설정!$C$13)&amp;"",""))</f>
        <v/>
      </c>
      <c r="L104" s="7">
        <f>IF(X104="","",IF(AND(LEN(X104)=8,ISNUMBER(X104*1)),DATE(LEFT(X104,4),MID(X104,5,2),RIGHT(X104,2)),IFERROR(DATEVALUE(SUBSTITUTE(SUBSTITUTE(X104,".","-"),"/","-")),IFERROR(X104*1,""))))</f>
        <v/>
      </c>
      <c r="M104" s="7">
        <f>IF(Y104="","",IF(AND(LEN(Y104)=8,ISNUMBER(Y104*1)),DATE(LEFT(Y104,4),MID(Y104,5,2),RIGHT(Y104,2)),IFERROR(DATEVALUE(SUBSTITUTE(SUBSTITUTE(Y104,".","-"),"/","-")),IFERROR(Y104*1,""))))</f>
        <v/>
      </c>
      <c r="N104">
        <f>IFERROR(LEFT(B104,FIND(" ",B104)-1),B104)</f>
        <v/>
      </c>
      <c r="O104">
        <f>AND(B104&lt;&gt;"",B104&lt;&gt;설정!$B$4,C104&lt;&gt;설정!$B$5)</f>
        <v/>
      </c>
      <c r="P104">
        <f>IF(O104,B104&amp;"|"&amp;C104,"")</f>
        <v/>
      </c>
      <c r="Q104">
        <f>AND(O104,COUNTIF(P105:P$1002,P104)=0)</f>
        <v/>
      </c>
      <c r="R104">
        <f>OR(AND(설정!$A$42&lt;&gt;"",ISNUMBER(SEARCH(설정!$A$42,E104&amp;" "&amp;C104))),AND(설정!$A$43&lt;&gt;"",ISNUMBER(SEARCH(설정!$A$43,E104&amp;" "&amp;C104))),AND(설정!$A$44&lt;&gt;"",ISNUMBER(SEARCH(설정!$A$44,E104&amp;" "&amp;C104))),AND(설정!$A$45&lt;&gt;"",ISNUMBER(SEARCH(설정!$A$45,E104&amp;" "&amp;C104))),AND(설정!$A$46&lt;&gt;"",ISNUMBER(SEARCH(설정!$A$46,E104&amp;" "&amp;C104))),AND(설정!$A$47&lt;&gt;"",ISNUMBER(SEARCH(설정!$A$47,E104&amp;" "&amp;C104))),AND(설정!$A$48&lt;&gt;"",ISNUMBER(SEARCH(설정!$A$48,E104&amp;" "&amp;C104))),AND(설정!$A$49&lt;&gt;"",ISNUMBER(SEARCH(설정!$A$49,E104&amp;" "&amp;C104))),AND(설정!$A$50&lt;&gt;"",ISNUMBER(SEARCH(설정!$A$50,E104&amp;" "&amp;C104))),AND(설정!$A$51&lt;&gt;"",ISNUMBER(SEARCH(설정!$A$51,E104&amp;" "&amp;C104))))</f>
        <v/>
      </c>
      <c r="S104">
        <f>OR(D104="",D104&gt;=설정!$B$19)</f>
        <v/>
      </c>
      <c r="T104">
        <f>AND(Q104,R104,S104)</f>
        <v/>
      </c>
      <c r="U104">
        <f>IF(T104,IF(AND(설정!$A$54&lt;&gt;"",ISNUMBER(SEARCH(설정!$A$54,K104))),설정!$B$54,IF(AND(설정!$A$55&lt;&gt;"",ISNUMBER(SEARCH(설정!$A$55,K104))),설정!$B$55,IF(AND(설정!$A$56&lt;&gt;"",ISNUMBER(SEARCH(설정!$A$56,K104))),설정!$B$56,IF(AND(설정!$A$57&lt;&gt;"",ISNUMBER(SEARCH(설정!$A$57,K104))),설정!$B$57,IF(AND(설정!$A$58&lt;&gt;"",ISNUMBER(SEARCH(설정!$A$58,K104))),설정!$B$58,IF(AND(설정!$A$59&lt;&gt;"",ISNUMBER(SEARCH(설정!$A$59,K104))),설정!$B$59,IF(AND(설정!$A$60&lt;&gt;"",ISNUMBER(SEARCH(설정!$A$60,K104))),설정!$B$60,IF(AND(설정!$A$61&lt;&gt;"",ISNUMBER(SEARCH(설정!$A$61,K104))),설정!$B$61,IF(M104="","설계사","시공사"))))))))),"")</f>
        <v/>
      </c>
      <c r="V104">
        <f>SUBSTITUTE(SUBSTITUTE(SUBSTITUTE(SUBSTITUTE(G104,"(주)",""),"㈜",""),"주식회사","")," ","")</f>
        <v/>
      </c>
      <c r="W104">
        <f>IF(AND(T104,V104&lt;&gt;""),IF(COUNTIFS(V$2:V104,V104,T$2:T104,TRUE)=1,MAX(W$1:W103)+1,""),"")</f>
        <v/>
      </c>
      <c r="X104">
        <f>IF(설정!$C$14="","",IFERROR(INDEX('1.산군_붙여넣기'!$A$1:$AZ$1001,ROW(),설정!$C$14)&amp;"",""))</f>
        <v/>
      </c>
      <c r="Y104">
        <f>IF(설정!$C$15="","",IFERROR(INDEX('1.산군_붙여넣기'!$A$1:$AZ$1001,ROW(),설정!$C$15)&amp;"",""))</f>
        <v/>
      </c>
      <c r="Z104">
        <f>IF(T104,V104&amp;"|"&amp;U104,"")</f>
        <v/>
      </c>
      <c r="AA104">
        <f>IF(NOT(Q104),"",IF(NOT(AND(R104,S104)),"✕",IF(OR(OR(AND(L104&lt;&gt;"",M104&lt;&gt;"",N(M104)-N(L104)&gt;설정!$B$27),AND(L104&lt;&gt;"",M104="",설정!$B$24-N(L104)&gt;설정!$B$27)),AND(D104&lt;&gt;"",D104&lt;설정!$B$26)),"△","★")))</f>
        <v/>
      </c>
      <c r="AB104">
        <f>IF(NOT(T104),"",IF(U104="설계사",설정!$B$31,IF(U104="시공사",IF(OR(M104="",설정!$B$24-N(M104)&lt;=설정!$B$28*30.4),설정!$B$32,설정!$B$33),설정!$B$34))+IF(AA104="★",설정!$B$35,0))</f>
        <v/>
      </c>
      <c r="AC104">
        <f>SUBSTITUTE(SUBSTITUTE(SUBSTITUTE(SUBSTITUTE(H104,"(주)",""),"㈜",""),"주식회사","")," ","")</f>
        <v/>
      </c>
      <c r="AD104">
        <f>IF(AND(T104,AC104&lt;&gt;""),IF(COUNTIFS(AC$2:AC104,AC104,T$2:T104,TRUE)=1,MAX(AD$1:AD103)+1,""),"")</f>
        <v/>
      </c>
    </row>
    <row r="105">
      <c r="A105">
        <f>ROW()</f>
        <v/>
      </c>
      <c r="B105">
        <f>IF(설정!$C$4="","",IFERROR(INDEX('1.산군_붙여넣기'!$A$1:$AZ$1001,ROW(),설정!$C$4)&amp;"",""))</f>
        <v/>
      </c>
      <c r="C105">
        <f>IF(설정!$C$5="","",IFERROR(INDEX('1.산군_붙여넣기'!$A$1:$AZ$1001,ROW(),설정!$C$5)&amp;"",""))</f>
        <v/>
      </c>
      <c r="D105" s="5">
        <f>IFERROR(VALUE(SUBSTITUTE(SUBSTITUTE(SUBSTITUTE(IF(설정!$C$6="","",IFERROR(INDEX('1.산군_붙여넣기'!$A$1:$AZ$1001,ROW(),설정!$C$6)&amp;"","")),",",""),"㎡",""),"m2","")),"")</f>
        <v/>
      </c>
      <c r="E105">
        <f>IF(설정!$C$7="","",IFERROR(INDEX('1.산군_붙여넣기'!$A$1:$AZ$1001,ROW(),설정!$C$7)&amp;"",""))</f>
        <v/>
      </c>
      <c r="F105">
        <f>IF(설정!$C$8="","",IFERROR(INDEX('1.산군_붙여넣기'!$A$1:$AZ$1001,ROW(),설정!$C$8)&amp;"",""))</f>
        <v/>
      </c>
      <c r="G105">
        <f>IF(설정!$C$9="","",IFERROR(INDEX('1.산군_붙여넣기'!$A$1:$AZ$1001,ROW(),설정!$C$9)&amp;"",""))</f>
        <v/>
      </c>
      <c r="H105">
        <f>IF(설정!$C$10="","",IFERROR(INDEX('1.산군_붙여넣기'!$A$1:$AZ$1001,ROW(),설정!$C$10)&amp;"",""))</f>
        <v/>
      </c>
      <c r="I105">
        <f>IF(설정!$C$11="","",IFERROR(INDEX('1.산군_붙여넣기'!$A$1:$AZ$1001,ROW(),설정!$C$11)&amp;"",""))</f>
        <v/>
      </c>
      <c r="J105">
        <f>IF(설정!$C$12="","",IFERROR(INDEX('1.산군_붙여넣기'!$A$1:$AZ$1001,ROW(),설정!$C$12)&amp;"",""))</f>
        <v/>
      </c>
      <c r="K105">
        <f>IF(설정!$C$13="","",IFERROR(INDEX('1.산군_붙여넣기'!$A$1:$AZ$1001,ROW(),설정!$C$13)&amp;"",""))</f>
        <v/>
      </c>
      <c r="L105" s="7">
        <f>IF(X105="","",IF(AND(LEN(X105)=8,ISNUMBER(X105*1)),DATE(LEFT(X105,4),MID(X105,5,2),RIGHT(X105,2)),IFERROR(DATEVALUE(SUBSTITUTE(SUBSTITUTE(X105,".","-"),"/","-")),IFERROR(X105*1,""))))</f>
        <v/>
      </c>
      <c r="M105" s="7">
        <f>IF(Y105="","",IF(AND(LEN(Y105)=8,ISNUMBER(Y105*1)),DATE(LEFT(Y105,4),MID(Y105,5,2),RIGHT(Y105,2)),IFERROR(DATEVALUE(SUBSTITUTE(SUBSTITUTE(Y105,".","-"),"/","-")),IFERROR(Y105*1,""))))</f>
        <v/>
      </c>
      <c r="N105">
        <f>IFERROR(LEFT(B105,FIND(" ",B105)-1),B105)</f>
        <v/>
      </c>
      <c r="O105">
        <f>AND(B105&lt;&gt;"",B105&lt;&gt;설정!$B$4,C105&lt;&gt;설정!$B$5)</f>
        <v/>
      </c>
      <c r="P105">
        <f>IF(O105,B105&amp;"|"&amp;C105,"")</f>
        <v/>
      </c>
      <c r="Q105">
        <f>AND(O105,COUNTIF(P106:P$1002,P105)=0)</f>
        <v/>
      </c>
      <c r="R105">
        <f>OR(AND(설정!$A$42&lt;&gt;"",ISNUMBER(SEARCH(설정!$A$42,E105&amp;" "&amp;C105))),AND(설정!$A$43&lt;&gt;"",ISNUMBER(SEARCH(설정!$A$43,E105&amp;" "&amp;C105))),AND(설정!$A$44&lt;&gt;"",ISNUMBER(SEARCH(설정!$A$44,E105&amp;" "&amp;C105))),AND(설정!$A$45&lt;&gt;"",ISNUMBER(SEARCH(설정!$A$45,E105&amp;" "&amp;C105))),AND(설정!$A$46&lt;&gt;"",ISNUMBER(SEARCH(설정!$A$46,E105&amp;" "&amp;C105))),AND(설정!$A$47&lt;&gt;"",ISNUMBER(SEARCH(설정!$A$47,E105&amp;" "&amp;C105))),AND(설정!$A$48&lt;&gt;"",ISNUMBER(SEARCH(설정!$A$48,E105&amp;" "&amp;C105))),AND(설정!$A$49&lt;&gt;"",ISNUMBER(SEARCH(설정!$A$49,E105&amp;" "&amp;C105))),AND(설정!$A$50&lt;&gt;"",ISNUMBER(SEARCH(설정!$A$50,E105&amp;" "&amp;C105))),AND(설정!$A$51&lt;&gt;"",ISNUMBER(SEARCH(설정!$A$51,E105&amp;" "&amp;C105))))</f>
        <v/>
      </c>
      <c r="S105">
        <f>OR(D105="",D105&gt;=설정!$B$19)</f>
        <v/>
      </c>
      <c r="T105">
        <f>AND(Q105,R105,S105)</f>
        <v/>
      </c>
      <c r="U105">
        <f>IF(T105,IF(AND(설정!$A$54&lt;&gt;"",ISNUMBER(SEARCH(설정!$A$54,K105))),설정!$B$54,IF(AND(설정!$A$55&lt;&gt;"",ISNUMBER(SEARCH(설정!$A$55,K105))),설정!$B$55,IF(AND(설정!$A$56&lt;&gt;"",ISNUMBER(SEARCH(설정!$A$56,K105))),설정!$B$56,IF(AND(설정!$A$57&lt;&gt;"",ISNUMBER(SEARCH(설정!$A$57,K105))),설정!$B$57,IF(AND(설정!$A$58&lt;&gt;"",ISNUMBER(SEARCH(설정!$A$58,K105))),설정!$B$58,IF(AND(설정!$A$59&lt;&gt;"",ISNUMBER(SEARCH(설정!$A$59,K105))),설정!$B$59,IF(AND(설정!$A$60&lt;&gt;"",ISNUMBER(SEARCH(설정!$A$60,K105))),설정!$B$60,IF(AND(설정!$A$61&lt;&gt;"",ISNUMBER(SEARCH(설정!$A$61,K105))),설정!$B$61,IF(M105="","설계사","시공사"))))))))),"")</f>
        <v/>
      </c>
      <c r="V105">
        <f>SUBSTITUTE(SUBSTITUTE(SUBSTITUTE(SUBSTITUTE(G105,"(주)",""),"㈜",""),"주식회사","")," ","")</f>
        <v/>
      </c>
      <c r="W105">
        <f>IF(AND(T105,V105&lt;&gt;""),IF(COUNTIFS(V$2:V105,V105,T$2:T105,TRUE)=1,MAX(W$1:W104)+1,""),"")</f>
        <v/>
      </c>
      <c r="X105">
        <f>IF(설정!$C$14="","",IFERROR(INDEX('1.산군_붙여넣기'!$A$1:$AZ$1001,ROW(),설정!$C$14)&amp;"",""))</f>
        <v/>
      </c>
      <c r="Y105">
        <f>IF(설정!$C$15="","",IFERROR(INDEX('1.산군_붙여넣기'!$A$1:$AZ$1001,ROW(),설정!$C$15)&amp;"",""))</f>
        <v/>
      </c>
      <c r="Z105">
        <f>IF(T105,V105&amp;"|"&amp;U105,"")</f>
        <v/>
      </c>
      <c r="AA105">
        <f>IF(NOT(Q105),"",IF(NOT(AND(R105,S105)),"✕",IF(OR(OR(AND(L105&lt;&gt;"",M105&lt;&gt;"",N(M105)-N(L105)&gt;설정!$B$27),AND(L105&lt;&gt;"",M105="",설정!$B$24-N(L105)&gt;설정!$B$27)),AND(D105&lt;&gt;"",D105&lt;설정!$B$26)),"△","★")))</f>
        <v/>
      </c>
      <c r="AB105">
        <f>IF(NOT(T105),"",IF(U105="설계사",설정!$B$31,IF(U105="시공사",IF(OR(M105="",설정!$B$24-N(M105)&lt;=설정!$B$28*30.4),설정!$B$32,설정!$B$33),설정!$B$34))+IF(AA105="★",설정!$B$35,0))</f>
        <v/>
      </c>
      <c r="AC105">
        <f>SUBSTITUTE(SUBSTITUTE(SUBSTITUTE(SUBSTITUTE(H105,"(주)",""),"㈜",""),"주식회사","")," ","")</f>
        <v/>
      </c>
      <c r="AD105">
        <f>IF(AND(T105,AC105&lt;&gt;""),IF(COUNTIFS(AC$2:AC105,AC105,T$2:T105,TRUE)=1,MAX(AD$1:AD104)+1,""),"")</f>
        <v/>
      </c>
    </row>
    <row r="106">
      <c r="A106">
        <f>ROW()</f>
        <v/>
      </c>
      <c r="B106">
        <f>IF(설정!$C$4="","",IFERROR(INDEX('1.산군_붙여넣기'!$A$1:$AZ$1001,ROW(),설정!$C$4)&amp;"",""))</f>
        <v/>
      </c>
      <c r="C106">
        <f>IF(설정!$C$5="","",IFERROR(INDEX('1.산군_붙여넣기'!$A$1:$AZ$1001,ROW(),설정!$C$5)&amp;"",""))</f>
        <v/>
      </c>
      <c r="D106" s="5">
        <f>IFERROR(VALUE(SUBSTITUTE(SUBSTITUTE(SUBSTITUTE(IF(설정!$C$6="","",IFERROR(INDEX('1.산군_붙여넣기'!$A$1:$AZ$1001,ROW(),설정!$C$6)&amp;"","")),",",""),"㎡",""),"m2","")),"")</f>
        <v/>
      </c>
      <c r="E106">
        <f>IF(설정!$C$7="","",IFERROR(INDEX('1.산군_붙여넣기'!$A$1:$AZ$1001,ROW(),설정!$C$7)&amp;"",""))</f>
        <v/>
      </c>
      <c r="F106">
        <f>IF(설정!$C$8="","",IFERROR(INDEX('1.산군_붙여넣기'!$A$1:$AZ$1001,ROW(),설정!$C$8)&amp;"",""))</f>
        <v/>
      </c>
      <c r="G106">
        <f>IF(설정!$C$9="","",IFERROR(INDEX('1.산군_붙여넣기'!$A$1:$AZ$1001,ROW(),설정!$C$9)&amp;"",""))</f>
        <v/>
      </c>
      <c r="H106">
        <f>IF(설정!$C$10="","",IFERROR(INDEX('1.산군_붙여넣기'!$A$1:$AZ$1001,ROW(),설정!$C$10)&amp;"",""))</f>
        <v/>
      </c>
      <c r="I106">
        <f>IF(설정!$C$11="","",IFERROR(INDEX('1.산군_붙여넣기'!$A$1:$AZ$1001,ROW(),설정!$C$11)&amp;"",""))</f>
        <v/>
      </c>
      <c r="J106">
        <f>IF(설정!$C$12="","",IFERROR(INDEX('1.산군_붙여넣기'!$A$1:$AZ$1001,ROW(),설정!$C$12)&amp;"",""))</f>
        <v/>
      </c>
      <c r="K106">
        <f>IF(설정!$C$13="","",IFERROR(INDEX('1.산군_붙여넣기'!$A$1:$AZ$1001,ROW(),설정!$C$13)&amp;"",""))</f>
        <v/>
      </c>
      <c r="L106" s="7">
        <f>IF(X106="","",IF(AND(LEN(X106)=8,ISNUMBER(X106*1)),DATE(LEFT(X106,4),MID(X106,5,2),RIGHT(X106,2)),IFERROR(DATEVALUE(SUBSTITUTE(SUBSTITUTE(X106,".","-"),"/","-")),IFERROR(X106*1,""))))</f>
        <v/>
      </c>
      <c r="M106" s="7">
        <f>IF(Y106="","",IF(AND(LEN(Y106)=8,ISNUMBER(Y106*1)),DATE(LEFT(Y106,4),MID(Y106,5,2),RIGHT(Y106,2)),IFERROR(DATEVALUE(SUBSTITUTE(SUBSTITUTE(Y106,".","-"),"/","-")),IFERROR(Y106*1,""))))</f>
        <v/>
      </c>
      <c r="N106">
        <f>IFERROR(LEFT(B106,FIND(" ",B106)-1),B106)</f>
        <v/>
      </c>
      <c r="O106">
        <f>AND(B106&lt;&gt;"",B106&lt;&gt;설정!$B$4,C106&lt;&gt;설정!$B$5)</f>
        <v/>
      </c>
      <c r="P106">
        <f>IF(O106,B106&amp;"|"&amp;C106,"")</f>
        <v/>
      </c>
      <c r="Q106">
        <f>AND(O106,COUNTIF(P107:P$1002,P106)=0)</f>
        <v/>
      </c>
      <c r="R106">
        <f>OR(AND(설정!$A$42&lt;&gt;"",ISNUMBER(SEARCH(설정!$A$42,E106&amp;" "&amp;C106))),AND(설정!$A$43&lt;&gt;"",ISNUMBER(SEARCH(설정!$A$43,E106&amp;" "&amp;C106))),AND(설정!$A$44&lt;&gt;"",ISNUMBER(SEARCH(설정!$A$44,E106&amp;" "&amp;C106))),AND(설정!$A$45&lt;&gt;"",ISNUMBER(SEARCH(설정!$A$45,E106&amp;" "&amp;C106))),AND(설정!$A$46&lt;&gt;"",ISNUMBER(SEARCH(설정!$A$46,E106&amp;" "&amp;C106))),AND(설정!$A$47&lt;&gt;"",ISNUMBER(SEARCH(설정!$A$47,E106&amp;" "&amp;C106))),AND(설정!$A$48&lt;&gt;"",ISNUMBER(SEARCH(설정!$A$48,E106&amp;" "&amp;C106))),AND(설정!$A$49&lt;&gt;"",ISNUMBER(SEARCH(설정!$A$49,E106&amp;" "&amp;C106))),AND(설정!$A$50&lt;&gt;"",ISNUMBER(SEARCH(설정!$A$50,E106&amp;" "&amp;C106))),AND(설정!$A$51&lt;&gt;"",ISNUMBER(SEARCH(설정!$A$51,E106&amp;" "&amp;C106))))</f>
        <v/>
      </c>
      <c r="S106">
        <f>OR(D106="",D106&gt;=설정!$B$19)</f>
        <v/>
      </c>
      <c r="T106">
        <f>AND(Q106,R106,S106)</f>
        <v/>
      </c>
      <c r="U106">
        <f>IF(T106,IF(AND(설정!$A$54&lt;&gt;"",ISNUMBER(SEARCH(설정!$A$54,K106))),설정!$B$54,IF(AND(설정!$A$55&lt;&gt;"",ISNUMBER(SEARCH(설정!$A$55,K106))),설정!$B$55,IF(AND(설정!$A$56&lt;&gt;"",ISNUMBER(SEARCH(설정!$A$56,K106))),설정!$B$56,IF(AND(설정!$A$57&lt;&gt;"",ISNUMBER(SEARCH(설정!$A$57,K106))),설정!$B$57,IF(AND(설정!$A$58&lt;&gt;"",ISNUMBER(SEARCH(설정!$A$58,K106))),설정!$B$58,IF(AND(설정!$A$59&lt;&gt;"",ISNUMBER(SEARCH(설정!$A$59,K106))),설정!$B$59,IF(AND(설정!$A$60&lt;&gt;"",ISNUMBER(SEARCH(설정!$A$60,K106))),설정!$B$60,IF(AND(설정!$A$61&lt;&gt;"",ISNUMBER(SEARCH(설정!$A$61,K106))),설정!$B$61,IF(M106="","설계사","시공사"))))))))),"")</f>
        <v/>
      </c>
      <c r="V106">
        <f>SUBSTITUTE(SUBSTITUTE(SUBSTITUTE(SUBSTITUTE(G106,"(주)",""),"㈜",""),"주식회사","")," ","")</f>
        <v/>
      </c>
      <c r="W106">
        <f>IF(AND(T106,V106&lt;&gt;""),IF(COUNTIFS(V$2:V106,V106,T$2:T106,TRUE)=1,MAX(W$1:W105)+1,""),"")</f>
        <v/>
      </c>
      <c r="X106">
        <f>IF(설정!$C$14="","",IFERROR(INDEX('1.산군_붙여넣기'!$A$1:$AZ$1001,ROW(),설정!$C$14)&amp;"",""))</f>
        <v/>
      </c>
      <c r="Y106">
        <f>IF(설정!$C$15="","",IFERROR(INDEX('1.산군_붙여넣기'!$A$1:$AZ$1001,ROW(),설정!$C$15)&amp;"",""))</f>
        <v/>
      </c>
      <c r="Z106">
        <f>IF(T106,V106&amp;"|"&amp;U106,"")</f>
        <v/>
      </c>
      <c r="AA106">
        <f>IF(NOT(Q106),"",IF(NOT(AND(R106,S106)),"✕",IF(OR(OR(AND(L106&lt;&gt;"",M106&lt;&gt;"",N(M106)-N(L106)&gt;설정!$B$27),AND(L106&lt;&gt;"",M106="",설정!$B$24-N(L106)&gt;설정!$B$27)),AND(D106&lt;&gt;"",D106&lt;설정!$B$26)),"△","★")))</f>
        <v/>
      </c>
      <c r="AB106">
        <f>IF(NOT(T106),"",IF(U106="설계사",설정!$B$31,IF(U106="시공사",IF(OR(M106="",설정!$B$24-N(M106)&lt;=설정!$B$28*30.4),설정!$B$32,설정!$B$33),설정!$B$34))+IF(AA106="★",설정!$B$35,0))</f>
        <v/>
      </c>
      <c r="AC106">
        <f>SUBSTITUTE(SUBSTITUTE(SUBSTITUTE(SUBSTITUTE(H106,"(주)",""),"㈜",""),"주식회사","")," ","")</f>
        <v/>
      </c>
      <c r="AD106">
        <f>IF(AND(T106,AC106&lt;&gt;""),IF(COUNTIFS(AC$2:AC106,AC106,T$2:T106,TRUE)=1,MAX(AD$1:AD105)+1,""),"")</f>
        <v/>
      </c>
    </row>
    <row r="107">
      <c r="A107">
        <f>ROW()</f>
        <v/>
      </c>
      <c r="B107">
        <f>IF(설정!$C$4="","",IFERROR(INDEX('1.산군_붙여넣기'!$A$1:$AZ$1001,ROW(),설정!$C$4)&amp;"",""))</f>
        <v/>
      </c>
      <c r="C107">
        <f>IF(설정!$C$5="","",IFERROR(INDEX('1.산군_붙여넣기'!$A$1:$AZ$1001,ROW(),설정!$C$5)&amp;"",""))</f>
        <v/>
      </c>
      <c r="D107" s="5">
        <f>IFERROR(VALUE(SUBSTITUTE(SUBSTITUTE(SUBSTITUTE(IF(설정!$C$6="","",IFERROR(INDEX('1.산군_붙여넣기'!$A$1:$AZ$1001,ROW(),설정!$C$6)&amp;"","")),",",""),"㎡",""),"m2","")),"")</f>
        <v/>
      </c>
      <c r="E107">
        <f>IF(설정!$C$7="","",IFERROR(INDEX('1.산군_붙여넣기'!$A$1:$AZ$1001,ROW(),설정!$C$7)&amp;"",""))</f>
        <v/>
      </c>
      <c r="F107">
        <f>IF(설정!$C$8="","",IFERROR(INDEX('1.산군_붙여넣기'!$A$1:$AZ$1001,ROW(),설정!$C$8)&amp;"",""))</f>
        <v/>
      </c>
      <c r="G107">
        <f>IF(설정!$C$9="","",IFERROR(INDEX('1.산군_붙여넣기'!$A$1:$AZ$1001,ROW(),설정!$C$9)&amp;"",""))</f>
        <v/>
      </c>
      <c r="H107">
        <f>IF(설정!$C$10="","",IFERROR(INDEX('1.산군_붙여넣기'!$A$1:$AZ$1001,ROW(),설정!$C$10)&amp;"",""))</f>
        <v/>
      </c>
      <c r="I107">
        <f>IF(설정!$C$11="","",IFERROR(INDEX('1.산군_붙여넣기'!$A$1:$AZ$1001,ROW(),설정!$C$11)&amp;"",""))</f>
        <v/>
      </c>
      <c r="J107">
        <f>IF(설정!$C$12="","",IFERROR(INDEX('1.산군_붙여넣기'!$A$1:$AZ$1001,ROW(),설정!$C$12)&amp;"",""))</f>
        <v/>
      </c>
      <c r="K107">
        <f>IF(설정!$C$13="","",IFERROR(INDEX('1.산군_붙여넣기'!$A$1:$AZ$1001,ROW(),설정!$C$13)&amp;"",""))</f>
        <v/>
      </c>
      <c r="L107" s="7">
        <f>IF(X107="","",IF(AND(LEN(X107)=8,ISNUMBER(X107*1)),DATE(LEFT(X107,4),MID(X107,5,2),RIGHT(X107,2)),IFERROR(DATEVALUE(SUBSTITUTE(SUBSTITUTE(X107,".","-"),"/","-")),IFERROR(X107*1,""))))</f>
        <v/>
      </c>
      <c r="M107" s="7">
        <f>IF(Y107="","",IF(AND(LEN(Y107)=8,ISNUMBER(Y107*1)),DATE(LEFT(Y107,4),MID(Y107,5,2),RIGHT(Y107,2)),IFERROR(DATEVALUE(SUBSTITUTE(SUBSTITUTE(Y107,".","-"),"/","-")),IFERROR(Y107*1,""))))</f>
        <v/>
      </c>
      <c r="N107">
        <f>IFERROR(LEFT(B107,FIND(" ",B107)-1),B107)</f>
        <v/>
      </c>
      <c r="O107">
        <f>AND(B107&lt;&gt;"",B107&lt;&gt;설정!$B$4,C107&lt;&gt;설정!$B$5)</f>
        <v/>
      </c>
      <c r="P107">
        <f>IF(O107,B107&amp;"|"&amp;C107,"")</f>
        <v/>
      </c>
      <c r="Q107">
        <f>AND(O107,COUNTIF(P108:P$1002,P107)=0)</f>
        <v/>
      </c>
      <c r="R107">
        <f>OR(AND(설정!$A$42&lt;&gt;"",ISNUMBER(SEARCH(설정!$A$42,E107&amp;" "&amp;C107))),AND(설정!$A$43&lt;&gt;"",ISNUMBER(SEARCH(설정!$A$43,E107&amp;" "&amp;C107))),AND(설정!$A$44&lt;&gt;"",ISNUMBER(SEARCH(설정!$A$44,E107&amp;" "&amp;C107))),AND(설정!$A$45&lt;&gt;"",ISNUMBER(SEARCH(설정!$A$45,E107&amp;" "&amp;C107))),AND(설정!$A$46&lt;&gt;"",ISNUMBER(SEARCH(설정!$A$46,E107&amp;" "&amp;C107))),AND(설정!$A$47&lt;&gt;"",ISNUMBER(SEARCH(설정!$A$47,E107&amp;" "&amp;C107))),AND(설정!$A$48&lt;&gt;"",ISNUMBER(SEARCH(설정!$A$48,E107&amp;" "&amp;C107))),AND(설정!$A$49&lt;&gt;"",ISNUMBER(SEARCH(설정!$A$49,E107&amp;" "&amp;C107))),AND(설정!$A$50&lt;&gt;"",ISNUMBER(SEARCH(설정!$A$50,E107&amp;" "&amp;C107))),AND(설정!$A$51&lt;&gt;"",ISNUMBER(SEARCH(설정!$A$51,E107&amp;" "&amp;C107))))</f>
        <v/>
      </c>
      <c r="S107">
        <f>OR(D107="",D107&gt;=설정!$B$19)</f>
        <v/>
      </c>
      <c r="T107">
        <f>AND(Q107,R107,S107)</f>
        <v/>
      </c>
      <c r="U107">
        <f>IF(T107,IF(AND(설정!$A$54&lt;&gt;"",ISNUMBER(SEARCH(설정!$A$54,K107))),설정!$B$54,IF(AND(설정!$A$55&lt;&gt;"",ISNUMBER(SEARCH(설정!$A$55,K107))),설정!$B$55,IF(AND(설정!$A$56&lt;&gt;"",ISNUMBER(SEARCH(설정!$A$56,K107))),설정!$B$56,IF(AND(설정!$A$57&lt;&gt;"",ISNUMBER(SEARCH(설정!$A$57,K107))),설정!$B$57,IF(AND(설정!$A$58&lt;&gt;"",ISNUMBER(SEARCH(설정!$A$58,K107))),설정!$B$58,IF(AND(설정!$A$59&lt;&gt;"",ISNUMBER(SEARCH(설정!$A$59,K107))),설정!$B$59,IF(AND(설정!$A$60&lt;&gt;"",ISNUMBER(SEARCH(설정!$A$60,K107))),설정!$B$60,IF(AND(설정!$A$61&lt;&gt;"",ISNUMBER(SEARCH(설정!$A$61,K107))),설정!$B$61,IF(M107="","설계사","시공사"))))))))),"")</f>
        <v/>
      </c>
      <c r="V107">
        <f>SUBSTITUTE(SUBSTITUTE(SUBSTITUTE(SUBSTITUTE(G107,"(주)",""),"㈜",""),"주식회사","")," ","")</f>
        <v/>
      </c>
      <c r="W107">
        <f>IF(AND(T107,V107&lt;&gt;""),IF(COUNTIFS(V$2:V107,V107,T$2:T107,TRUE)=1,MAX(W$1:W106)+1,""),"")</f>
        <v/>
      </c>
      <c r="X107">
        <f>IF(설정!$C$14="","",IFERROR(INDEX('1.산군_붙여넣기'!$A$1:$AZ$1001,ROW(),설정!$C$14)&amp;"",""))</f>
        <v/>
      </c>
      <c r="Y107">
        <f>IF(설정!$C$15="","",IFERROR(INDEX('1.산군_붙여넣기'!$A$1:$AZ$1001,ROW(),설정!$C$15)&amp;"",""))</f>
        <v/>
      </c>
      <c r="Z107">
        <f>IF(T107,V107&amp;"|"&amp;U107,"")</f>
        <v/>
      </c>
      <c r="AA107">
        <f>IF(NOT(Q107),"",IF(NOT(AND(R107,S107)),"✕",IF(OR(OR(AND(L107&lt;&gt;"",M107&lt;&gt;"",N(M107)-N(L107)&gt;설정!$B$27),AND(L107&lt;&gt;"",M107="",설정!$B$24-N(L107)&gt;설정!$B$27)),AND(D107&lt;&gt;"",D107&lt;설정!$B$26)),"△","★")))</f>
        <v/>
      </c>
      <c r="AB107">
        <f>IF(NOT(T107),"",IF(U107="설계사",설정!$B$31,IF(U107="시공사",IF(OR(M107="",설정!$B$24-N(M107)&lt;=설정!$B$28*30.4),설정!$B$32,설정!$B$33),설정!$B$34))+IF(AA107="★",설정!$B$35,0))</f>
        <v/>
      </c>
      <c r="AC107">
        <f>SUBSTITUTE(SUBSTITUTE(SUBSTITUTE(SUBSTITUTE(H107,"(주)",""),"㈜",""),"주식회사","")," ","")</f>
        <v/>
      </c>
      <c r="AD107">
        <f>IF(AND(T107,AC107&lt;&gt;""),IF(COUNTIFS(AC$2:AC107,AC107,T$2:T107,TRUE)=1,MAX(AD$1:AD106)+1,""),"")</f>
        <v/>
      </c>
    </row>
    <row r="108">
      <c r="A108">
        <f>ROW()</f>
        <v/>
      </c>
      <c r="B108">
        <f>IF(설정!$C$4="","",IFERROR(INDEX('1.산군_붙여넣기'!$A$1:$AZ$1001,ROW(),설정!$C$4)&amp;"",""))</f>
        <v/>
      </c>
      <c r="C108">
        <f>IF(설정!$C$5="","",IFERROR(INDEX('1.산군_붙여넣기'!$A$1:$AZ$1001,ROW(),설정!$C$5)&amp;"",""))</f>
        <v/>
      </c>
      <c r="D108" s="5">
        <f>IFERROR(VALUE(SUBSTITUTE(SUBSTITUTE(SUBSTITUTE(IF(설정!$C$6="","",IFERROR(INDEX('1.산군_붙여넣기'!$A$1:$AZ$1001,ROW(),설정!$C$6)&amp;"","")),",",""),"㎡",""),"m2","")),"")</f>
        <v/>
      </c>
      <c r="E108">
        <f>IF(설정!$C$7="","",IFERROR(INDEX('1.산군_붙여넣기'!$A$1:$AZ$1001,ROW(),설정!$C$7)&amp;"",""))</f>
        <v/>
      </c>
      <c r="F108">
        <f>IF(설정!$C$8="","",IFERROR(INDEX('1.산군_붙여넣기'!$A$1:$AZ$1001,ROW(),설정!$C$8)&amp;"",""))</f>
        <v/>
      </c>
      <c r="G108">
        <f>IF(설정!$C$9="","",IFERROR(INDEX('1.산군_붙여넣기'!$A$1:$AZ$1001,ROW(),설정!$C$9)&amp;"",""))</f>
        <v/>
      </c>
      <c r="H108">
        <f>IF(설정!$C$10="","",IFERROR(INDEX('1.산군_붙여넣기'!$A$1:$AZ$1001,ROW(),설정!$C$10)&amp;"",""))</f>
        <v/>
      </c>
      <c r="I108">
        <f>IF(설정!$C$11="","",IFERROR(INDEX('1.산군_붙여넣기'!$A$1:$AZ$1001,ROW(),설정!$C$11)&amp;"",""))</f>
        <v/>
      </c>
      <c r="J108">
        <f>IF(설정!$C$12="","",IFERROR(INDEX('1.산군_붙여넣기'!$A$1:$AZ$1001,ROW(),설정!$C$12)&amp;"",""))</f>
        <v/>
      </c>
      <c r="K108">
        <f>IF(설정!$C$13="","",IFERROR(INDEX('1.산군_붙여넣기'!$A$1:$AZ$1001,ROW(),설정!$C$13)&amp;"",""))</f>
        <v/>
      </c>
      <c r="L108" s="7">
        <f>IF(X108="","",IF(AND(LEN(X108)=8,ISNUMBER(X108*1)),DATE(LEFT(X108,4),MID(X108,5,2),RIGHT(X108,2)),IFERROR(DATEVALUE(SUBSTITUTE(SUBSTITUTE(X108,".","-"),"/","-")),IFERROR(X108*1,""))))</f>
        <v/>
      </c>
      <c r="M108" s="7">
        <f>IF(Y108="","",IF(AND(LEN(Y108)=8,ISNUMBER(Y108*1)),DATE(LEFT(Y108,4),MID(Y108,5,2),RIGHT(Y108,2)),IFERROR(DATEVALUE(SUBSTITUTE(SUBSTITUTE(Y108,".","-"),"/","-")),IFERROR(Y108*1,""))))</f>
        <v/>
      </c>
      <c r="N108">
        <f>IFERROR(LEFT(B108,FIND(" ",B108)-1),B108)</f>
        <v/>
      </c>
      <c r="O108">
        <f>AND(B108&lt;&gt;"",B108&lt;&gt;설정!$B$4,C108&lt;&gt;설정!$B$5)</f>
        <v/>
      </c>
      <c r="P108">
        <f>IF(O108,B108&amp;"|"&amp;C108,"")</f>
        <v/>
      </c>
      <c r="Q108">
        <f>AND(O108,COUNTIF(P109:P$1002,P108)=0)</f>
        <v/>
      </c>
      <c r="R108">
        <f>OR(AND(설정!$A$42&lt;&gt;"",ISNUMBER(SEARCH(설정!$A$42,E108&amp;" "&amp;C108))),AND(설정!$A$43&lt;&gt;"",ISNUMBER(SEARCH(설정!$A$43,E108&amp;" "&amp;C108))),AND(설정!$A$44&lt;&gt;"",ISNUMBER(SEARCH(설정!$A$44,E108&amp;" "&amp;C108))),AND(설정!$A$45&lt;&gt;"",ISNUMBER(SEARCH(설정!$A$45,E108&amp;" "&amp;C108))),AND(설정!$A$46&lt;&gt;"",ISNUMBER(SEARCH(설정!$A$46,E108&amp;" "&amp;C108))),AND(설정!$A$47&lt;&gt;"",ISNUMBER(SEARCH(설정!$A$47,E108&amp;" "&amp;C108))),AND(설정!$A$48&lt;&gt;"",ISNUMBER(SEARCH(설정!$A$48,E108&amp;" "&amp;C108))),AND(설정!$A$49&lt;&gt;"",ISNUMBER(SEARCH(설정!$A$49,E108&amp;" "&amp;C108))),AND(설정!$A$50&lt;&gt;"",ISNUMBER(SEARCH(설정!$A$50,E108&amp;" "&amp;C108))),AND(설정!$A$51&lt;&gt;"",ISNUMBER(SEARCH(설정!$A$51,E108&amp;" "&amp;C108))))</f>
        <v/>
      </c>
      <c r="S108">
        <f>OR(D108="",D108&gt;=설정!$B$19)</f>
        <v/>
      </c>
      <c r="T108">
        <f>AND(Q108,R108,S108)</f>
        <v/>
      </c>
      <c r="U108">
        <f>IF(T108,IF(AND(설정!$A$54&lt;&gt;"",ISNUMBER(SEARCH(설정!$A$54,K108))),설정!$B$54,IF(AND(설정!$A$55&lt;&gt;"",ISNUMBER(SEARCH(설정!$A$55,K108))),설정!$B$55,IF(AND(설정!$A$56&lt;&gt;"",ISNUMBER(SEARCH(설정!$A$56,K108))),설정!$B$56,IF(AND(설정!$A$57&lt;&gt;"",ISNUMBER(SEARCH(설정!$A$57,K108))),설정!$B$57,IF(AND(설정!$A$58&lt;&gt;"",ISNUMBER(SEARCH(설정!$A$58,K108))),설정!$B$58,IF(AND(설정!$A$59&lt;&gt;"",ISNUMBER(SEARCH(설정!$A$59,K108))),설정!$B$59,IF(AND(설정!$A$60&lt;&gt;"",ISNUMBER(SEARCH(설정!$A$60,K108))),설정!$B$60,IF(AND(설정!$A$61&lt;&gt;"",ISNUMBER(SEARCH(설정!$A$61,K108))),설정!$B$61,IF(M108="","설계사","시공사"))))))))),"")</f>
        <v/>
      </c>
      <c r="V108">
        <f>SUBSTITUTE(SUBSTITUTE(SUBSTITUTE(SUBSTITUTE(G108,"(주)",""),"㈜",""),"주식회사","")," ","")</f>
        <v/>
      </c>
      <c r="W108">
        <f>IF(AND(T108,V108&lt;&gt;""),IF(COUNTIFS(V$2:V108,V108,T$2:T108,TRUE)=1,MAX(W$1:W107)+1,""),"")</f>
        <v/>
      </c>
      <c r="X108">
        <f>IF(설정!$C$14="","",IFERROR(INDEX('1.산군_붙여넣기'!$A$1:$AZ$1001,ROW(),설정!$C$14)&amp;"",""))</f>
        <v/>
      </c>
      <c r="Y108">
        <f>IF(설정!$C$15="","",IFERROR(INDEX('1.산군_붙여넣기'!$A$1:$AZ$1001,ROW(),설정!$C$15)&amp;"",""))</f>
        <v/>
      </c>
      <c r="Z108">
        <f>IF(T108,V108&amp;"|"&amp;U108,"")</f>
        <v/>
      </c>
      <c r="AA108">
        <f>IF(NOT(Q108),"",IF(NOT(AND(R108,S108)),"✕",IF(OR(OR(AND(L108&lt;&gt;"",M108&lt;&gt;"",N(M108)-N(L108)&gt;설정!$B$27),AND(L108&lt;&gt;"",M108="",설정!$B$24-N(L108)&gt;설정!$B$27)),AND(D108&lt;&gt;"",D108&lt;설정!$B$26)),"△","★")))</f>
        <v/>
      </c>
      <c r="AB108">
        <f>IF(NOT(T108),"",IF(U108="설계사",설정!$B$31,IF(U108="시공사",IF(OR(M108="",설정!$B$24-N(M108)&lt;=설정!$B$28*30.4),설정!$B$32,설정!$B$33),설정!$B$34))+IF(AA108="★",설정!$B$35,0))</f>
        <v/>
      </c>
      <c r="AC108">
        <f>SUBSTITUTE(SUBSTITUTE(SUBSTITUTE(SUBSTITUTE(H108,"(주)",""),"㈜",""),"주식회사","")," ","")</f>
        <v/>
      </c>
      <c r="AD108">
        <f>IF(AND(T108,AC108&lt;&gt;""),IF(COUNTIFS(AC$2:AC108,AC108,T$2:T108,TRUE)=1,MAX(AD$1:AD107)+1,""),"")</f>
        <v/>
      </c>
    </row>
    <row r="109">
      <c r="A109">
        <f>ROW()</f>
        <v/>
      </c>
      <c r="B109">
        <f>IF(설정!$C$4="","",IFERROR(INDEX('1.산군_붙여넣기'!$A$1:$AZ$1001,ROW(),설정!$C$4)&amp;"",""))</f>
        <v/>
      </c>
      <c r="C109">
        <f>IF(설정!$C$5="","",IFERROR(INDEX('1.산군_붙여넣기'!$A$1:$AZ$1001,ROW(),설정!$C$5)&amp;"",""))</f>
        <v/>
      </c>
      <c r="D109" s="5">
        <f>IFERROR(VALUE(SUBSTITUTE(SUBSTITUTE(SUBSTITUTE(IF(설정!$C$6="","",IFERROR(INDEX('1.산군_붙여넣기'!$A$1:$AZ$1001,ROW(),설정!$C$6)&amp;"","")),",",""),"㎡",""),"m2","")),"")</f>
        <v/>
      </c>
      <c r="E109">
        <f>IF(설정!$C$7="","",IFERROR(INDEX('1.산군_붙여넣기'!$A$1:$AZ$1001,ROW(),설정!$C$7)&amp;"",""))</f>
        <v/>
      </c>
      <c r="F109">
        <f>IF(설정!$C$8="","",IFERROR(INDEX('1.산군_붙여넣기'!$A$1:$AZ$1001,ROW(),설정!$C$8)&amp;"",""))</f>
        <v/>
      </c>
      <c r="G109">
        <f>IF(설정!$C$9="","",IFERROR(INDEX('1.산군_붙여넣기'!$A$1:$AZ$1001,ROW(),설정!$C$9)&amp;"",""))</f>
        <v/>
      </c>
      <c r="H109">
        <f>IF(설정!$C$10="","",IFERROR(INDEX('1.산군_붙여넣기'!$A$1:$AZ$1001,ROW(),설정!$C$10)&amp;"",""))</f>
        <v/>
      </c>
      <c r="I109">
        <f>IF(설정!$C$11="","",IFERROR(INDEX('1.산군_붙여넣기'!$A$1:$AZ$1001,ROW(),설정!$C$11)&amp;"",""))</f>
        <v/>
      </c>
      <c r="J109">
        <f>IF(설정!$C$12="","",IFERROR(INDEX('1.산군_붙여넣기'!$A$1:$AZ$1001,ROW(),설정!$C$12)&amp;"",""))</f>
        <v/>
      </c>
      <c r="K109">
        <f>IF(설정!$C$13="","",IFERROR(INDEX('1.산군_붙여넣기'!$A$1:$AZ$1001,ROW(),설정!$C$13)&amp;"",""))</f>
        <v/>
      </c>
      <c r="L109" s="7">
        <f>IF(X109="","",IF(AND(LEN(X109)=8,ISNUMBER(X109*1)),DATE(LEFT(X109,4),MID(X109,5,2),RIGHT(X109,2)),IFERROR(DATEVALUE(SUBSTITUTE(SUBSTITUTE(X109,".","-"),"/","-")),IFERROR(X109*1,""))))</f>
        <v/>
      </c>
      <c r="M109" s="7">
        <f>IF(Y109="","",IF(AND(LEN(Y109)=8,ISNUMBER(Y109*1)),DATE(LEFT(Y109,4),MID(Y109,5,2),RIGHT(Y109,2)),IFERROR(DATEVALUE(SUBSTITUTE(SUBSTITUTE(Y109,".","-"),"/","-")),IFERROR(Y109*1,""))))</f>
        <v/>
      </c>
      <c r="N109">
        <f>IFERROR(LEFT(B109,FIND(" ",B109)-1),B109)</f>
        <v/>
      </c>
      <c r="O109">
        <f>AND(B109&lt;&gt;"",B109&lt;&gt;설정!$B$4,C109&lt;&gt;설정!$B$5)</f>
        <v/>
      </c>
      <c r="P109">
        <f>IF(O109,B109&amp;"|"&amp;C109,"")</f>
        <v/>
      </c>
      <c r="Q109">
        <f>AND(O109,COUNTIF(P110:P$1002,P109)=0)</f>
        <v/>
      </c>
      <c r="R109">
        <f>OR(AND(설정!$A$42&lt;&gt;"",ISNUMBER(SEARCH(설정!$A$42,E109&amp;" "&amp;C109))),AND(설정!$A$43&lt;&gt;"",ISNUMBER(SEARCH(설정!$A$43,E109&amp;" "&amp;C109))),AND(설정!$A$44&lt;&gt;"",ISNUMBER(SEARCH(설정!$A$44,E109&amp;" "&amp;C109))),AND(설정!$A$45&lt;&gt;"",ISNUMBER(SEARCH(설정!$A$45,E109&amp;" "&amp;C109))),AND(설정!$A$46&lt;&gt;"",ISNUMBER(SEARCH(설정!$A$46,E109&amp;" "&amp;C109))),AND(설정!$A$47&lt;&gt;"",ISNUMBER(SEARCH(설정!$A$47,E109&amp;" "&amp;C109))),AND(설정!$A$48&lt;&gt;"",ISNUMBER(SEARCH(설정!$A$48,E109&amp;" "&amp;C109))),AND(설정!$A$49&lt;&gt;"",ISNUMBER(SEARCH(설정!$A$49,E109&amp;" "&amp;C109))),AND(설정!$A$50&lt;&gt;"",ISNUMBER(SEARCH(설정!$A$50,E109&amp;" "&amp;C109))),AND(설정!$A$51&lt;&gt;"",ISNUMBER(SEARCH(설정!$A$51,E109&amp;" "&amp;C109))))</f>
        <v/>
      </c>
      <c r="S109">
        <f>OR(D109="",D109&gt;=설정!$B$19)</f>
        <v/>
      </c>
      <c r="T109">
        <f>AND(Q109,R109,S109)</f>
        <v/>
      </c>
      <c r="U109">
        <f>IF(T109,IF(AND(설정!$A$54&lt;&gt;"",ISNUMBER(SEARCH(설정!$A$54,K109))),설정!$B$54,IF(AND(설정!$A$55&lt;&gt;"",ISNUMBER(SEARCH(설정!$A$55,K109))),설정!$B$55,IF(AND(설정!$A$56&lt;&gt;"",ISNUMBER(SEARCH(설정!$A$56,K109))),설정!$B$56,IF(AND(설정!$A$57&lt;&gt;"",ISNUMBER(SEARCH(설정!$A$57,K109))),설정!$B$57,IF(AND(설정!$A$58&lt;&gt;"",ISNUMBER(SEARCH(설정!$A$58,K109))),설정!$B$58,IF(AND(설정!$A$59&lt;&gt;"",ISNUMBER(SEARCH(설정!$A$59,K109))),설정!$B$59,IF(AND(설정!$A$60&lt;&gt;"",ISNUMBER(SEARCH(설정!$A$60,K109))),설정!$B$60,IF(AND(설정!$A$61&lt;&gt;"",ISNUMBER(SEARCH(설정!$A$61,K109))),설정!$B$61,IF(M109="","설계사","시공사"))))))))),"")</f>
        <v/>
      </c>
      <c r="V109">
        <f>SUBSTITUTE(SUBSTITUTE(SUBSTITUTE(SUBSTITUTE(G109,"(주)",""),"㈜",""),"주식회사","")," ","")</f>
        <v/>
      </c>
      <c r="W109">
        <f>IF(AND(T109,V109&lt;&gt;""),IF(COUNTIFS(V$2:V109,V109,T$2:T109,TRUE)=1,MAX(W$1:W108)+1,""),"")</f>
        <v/>
      </c>
      <c r="X109">
        <f>IF(설정!$C$14="","",IFERROR(INDEX('1.산군_붙여넣기'!$A$1:$AZ$1001,ROW(),설정!$C$14)&amp;"",""))</f>
        <v/>
      </c>
      <c r="Y109">
        <f>IF(설정!$C$15="","",IFERROR(INDEX('1.산군_붙여넣기'!$A$1:$AZ$1001,ROW(),설정!$C$15)&amp;"",""))</f>
        <v/>
      </c>
      <c r="Z109">
        <f>IF(T109,V109&amp;"|"&amp;U109,"")</f>
        <v/>
      </c>
      <c r="AA109">
        <f>IF(NOT(Q109),"",IF(NOT(AND(R109,S109)),"✕",IF(OR(OR(AND(L109&lt;&gt;"",M109&lt;&gt;"",N(M109)-N(L109)&gt;설정!$B$27),AND(L109&lt;&gt;"",M109="",설정!$B$24-N(L109)&gt;설정!$B$27)),AND(D109&lt;&gt;"",D109&lt;설정!$B$26)),"△","★")))</f>
        <v/>
      </c>
      <c r="AB109">
        <f>IF(NOT(T109),"",IF(U109="설계사",설정!$B$31,IF(U109="시공사",IF(OR(M109="",설정!$B$24-N(M109)&lt;=설정!$B$28*30.4),설정!$B$32,설정!$B$33),설정!$B$34))+IF(AA109="★",설정!$B$35,0))</f>
        <v/>
      </c>
      <c r="AC109">
        <f>SUBSTITUTE(SUBSTITUTE(SUBSTITUTE(SUBSTITUTE(H109,"(주)",""),"㈜",""),"주식회사","")," ","")</f>
        <v/>
      </c>
      <c r="AD109">
        <f>IF(AND(T109,AC109&lt;&gt;""),IF(COUNTIFS(AC$2:AC109,AC109,T$2:T109,TRUE)=1,MAX(AD$1:AD108)+1,""),"")</f>
        <v/>
      </c>
    </row>
    <row r="110">
      <c r="A110">
        <f>ROW()</f>
        <v/>
      </c>
      <c r="B110">
        <f>IF(설정!$C$4="","",IFERROR(INDEX('1.산군_붙여넣기'!$A$1:$AZ$1001,ROW(),설정!$C$4)&amp;"",""))</f>
        <v/>
      </c>
      <c r="C110">
        <f>IF(설정!$C$5="","",IFERROR(INDEX('1.산군_붙여넣기'!$A$1:$AZ$1001,ROW(),설정!$C$5)&amp;"",""))</f>
        <v/>
      </c>
      <c r="D110" s="5">
        <f>IFERROR(VALUE(SUBSTITUTE(SUBSTITUTE(SUBSTITUTE(IF(설정!$C$6="","",IFERROR(INDEX('1.산군_붙여넣기'!$A$1:$AZ$1001,ROW(),설정!$C$6)&amp;"","")),",",""),"㎡",""),"m2","")),"")</f>
        <v/>
      </c>
      <c r="E110">
        <f>IF(설정!$C$7="","",IFERROR(INDEX('1.산군_붙여넣기'!$A$1:$AZ$1001,ROW(),설정!$C$7)&amp;"",""))</f>
        <v/>
      </c>
      <c r="F110">
        <f>IF(설정!$C$8="","",IFERROR(INDEX('1.산군_붙여넣기'!$A$1:$AZ$1001,ROW(),설정!$C$8)&amp;"",""))</f>
        <v/>
      </c>
      <c r="G110">
        <f>IF(설정!$C$9="","",IFERROR(INDEX('1.산군_붙여넣기'!$A$1:$AZ$1001,ROW(),설정!$C$9)&amp;"",""))</f>
        <v/>
      </c>
      <c r="H110">
        <f>IF(설정!$C$10="","",IFERROR(INDEX('1.산군_붙여넣기'!$A$1:$AZ$1001,ROW(),설정!$C$10)&amp;"",""))</f>
        <v/>
      </c>
      <c r="I110">
        <f>IF(설정!$C$11="","",IFERROR(INDEX('1.산군_붙여넣기'!$A$1:$AZ$1001,ROW(),설정!$C$11)&amp;"",""))</f>
        <v/>
      </c>
      <c r="J110">
        <f>IF(설정!$C$12="","",IFERROR(INDEX('1.산군_붙여넣기'!$A$1:$AZ$1001,ROW(),설정!$C$12)&amp;"",""))</f>
        <v/>
      </c>
      <c r="K110">
        <f>IF(설정!$C$13="","",IFERROR(INDEX('1.산군_붙여넣기'!$A$1:$AZ$1001,ROW(),설정!$C$13)&amp;"",""))</f>
        <v/>
      </c>
      <c r="L110" s="7">
        <f>IF(X110="","",IF(AND(LEN(X110)=8,ISNUMBER(X110*1)),DATE(LEFT(X110,4),MID(X110,5,2),RIGHT(X110,2)),IFERROR(DATEVALUE(SUBSTITUTE(SUBSTITUTE(X110,".","-"),"/","-")),IFERROR(X110*1,""))))</f>
        <v/>
      </c>
      <c r="M110" s="7">
        <f>IF(Y110="","",IF(AND(LEN(Y110)=8,ISNUMBER(Y110*1)),DATE(LEFT(Y110,4),MID(Y110,5,2),RIGHT(Y110,2)),IFERROR(DATEVALUE(SUBSTITUTE(SUBSTITUTE(Y110,".","-"),"/","-")),IFERROR(Y110*1,""))))</f>
        <v/>
      </c>
      <c r="N110">
        <f>IFERROR(LEFT(B110,FIND(" ",B110)-1),B110)</f>
        <v/>
      </c>
      <c r="O110">
        <f>AND(B110&lt;&gt;"",B110&lt;&gt;설정!$B$4,C110&lt;&gt;설정!$B$5)</f>
        <v/>
      </c>
      <c r="P110">
        <f>IF(O110,B110&amp;"|"&amp;C110,"")</f>
        <v/>
      </c>
      <c r="Q110">
        <f>AND(O110,COUNTIF(P111:P$1002,P110)=0)</f>
        <v/>
      </c>
      <c r="R110">
        <f>OR(AND(설정!$A$42&lt;&gt;"",ISNUMBER(SEARCH(설정!$A$42,E110&amp;" "&amp;C110))),AND(설정!$A$43&lt;&gt;"",ISNUMBER(SEARCH(설정!$A$43,E110&amp;" "&amp;C110))),AND(설정!$A$44&lt;&gt;"",ISNUMBER(SEARCH(설정!$A$44,E110&amp;" "&amp;C110))),AND(설정!$A$45&lt;&gt;"",ISNUMBER(SEARCH(설정!$A$45,E110&amp;" "&amp;C110))),AND(설정!$A$46&lt;&gt;"",ISNUMBER(SEARCH(설정!$A$46,E110&amp;" "&amp;C110))),AND(설정!$A$47&lt;&gt;"",ISNUMBER(SEARCH(설정!$A$47,E110&amp;" "&amp;C110))),AND(설정!$A$48&lt;&gt;"",ISNUMBER(SEARCH(설정!$A$48,E110&amp;" "&amp;C110))),AND(설정!$A$49&lt;&gt;"",ISNUMBER(SEARCH(설정!$A$49,E110&amp;" "&amp;C110))),AND(설정!$A$50&lt;&gt;"",ISNUMBER(SEARCH(설정!$A$50,E110&amp;" "&amp;C110))),AND(설정!$A$51&lt;&gt;"",ISNUMBER(SEARCH(설정!$A$51,E110&amp;" "&amp;C110))))</f>
        <v/>
      </c>
      <c r="S110">
        <f>OR(D110="",D110&gt;=설정!$B$19)</f>
        <v/>
      </c>
      <c r="T110">
        <f>AND(Q110,R110,S110)</f>
        <v/>
      </c>
      <c r="U110">
        <f>IF(T110,IF(AND(설정!$A$54&lt;&gt;"",ISNUMBER(SEARCH(설정!$A$54,K110))),설정!$B$54,IF(AND(설정!$A$55&lt;&gt;"",ISNUMBER(SEARCH(설정!$A$55,K110))),설정!$B$55,IF(AND(설정!$A$56&lt;&gt;"",ISNUMBER(SEARCH(설정!$A$56,K110))),설정!$B$56,IF(AND(설정!$A$57&lt;&gt;"",ISNUMBER(SEARCH(설정!$A$57,K110))),설정!$B$57,IF(AND(설정!$A$58&lt;&gt;"",ISNUMBER(SEARCH(설정!$A$58,K110))),설정!$B$58,IF(AND(설정!$A$59&lt;&gt;"",ISNUMBER(SEARCH(설정!$A$59,K110))),설정!$B$59,IF(AND(설정!$A$60&lt;&gt;"",ISNUMBER(SEARCH(설정!$A$60,K110))),설정!$B$60,IF(AND(설정!$A$61&lt;&gt;"",ISNUMBER(SEARCH(설정!$A$61,K110))),설정!$B$61,IF(M110="","설계사","시공사"))))))))),"")</f>
        <v/>
      </c>
      <c r="V110">
        <f>SUBSTITUTE(SUBSTITUTE(SUBSTITUTE(SUBSTITUTE(G110,"(주)",""),"㈜",""),"주식회사","")," ","")</f>
        <v/>
      </c>
      <c r="W110">
        <f>IF(AND(T110,V110&lt;&gt;""),IF(COUNTIFS(V$2:V110,V110,T$2:T110,TRUE)=1,MAX(W$1:W109)+1,""),"")</f>
        <v/>
      </c>
      <c r="X110">
        <f>IF(설정!$C$14="","",IFERROR(INDEX('1.산군_붙여넣기'!$A$1:$AZ$1001,ROW(),설정!$C$14)&amp;"",""))</f>
        <v/>
      </c>
      <c r="Y110">
        <f>IF(설정!$C$15="","",IFERROR(INDEX('1.산군_붙여넣기'!$A$1:$AZ$1001,ROW(),설정!$C$15)&amp;"",""))</f>
        <v/>
      </c>
      <c r="Z110">
        <f>IF(T110,V110&amp;"|"&amp;U110,"")</f>
        <v/>
      </c>
      <c r="AA110">
        <f>IF(NOT(Q110),"",IF(NOT(AND(R110,S110)),"✕",IF(OR(OR(AND(L110&lt;&gt;"",M110&lt;&gt;"",N(M110)-N(L110)&gt;설정!$B$27),AND(L110&lt;&gt;"",M110="",설정!$B$24-N(L110)&gt;설정!$B$27)),AND(D110&lt;&gt;"",D110&lt;설정!$B$26)),"△","★")))</f>
        <v/>
      </c>
      <c r="AB110">
        <f>IF(NOT(T110),"",IF(U110="설계사",설정!$B$31,IF(U110="시공사",IF(OR(M110="",설정!$B$24-N(M110)&lt;=설정!$B$28*30.4),설정!$B$32,설정!$B$33),설정!$B$34))+IF(AA110="★",설정!$B$35,0))</f>
        <v/>
      </c>
      <c r="AC110">
        <f>SUBSTITUTE(SUBSTITUTE(SUBSTITUTE(SUBSTITUTE(H110,"(주)",""),"㈜",""),"주식회사","")," ","")</f>
        <v/>
      </c>
      <c r="AD110">
        <f>IF(AND(T110,AC110&lt;&gt;""),IF(COUNTIFS(AC$2:AC110,AC110,T$2:T110,TRUE)=1,MAX(AD$1:AD109)+1,""),"")</f>
        <v/>
      </c>
    </row>
    <row r="111">
      <c r="A111">
        <f>ROW()</f>
        <v/>
      </c>
      <c r="B111">
        <f>IF(설정!$C$4="","",IFERROR(INDEX('1.산군_붙여넣기'!$A$1:$AZ$1001,ROW(),설정!$C$4)&amp;"",""))</f>
        <v/>
      </c>
      <c r="C111">
        <f>IF(설정!$C$5="","",IFERROR(INDEX('1.산군_붙여넣기'!$A$1:$AZ$1001,ROW(),설정!$C$5)&amp;"",""))</f>
        <v/>
      </c>
      <c r="D111" s="5">
        <f>IFERROR(VALUE(SUBSTITUTE(SUBSTITUTE(SUBSTITUTE(IF(설정!$C$6="","",IFERROR(INDEX('1.산군_붙여넣기'!$A$1:$AZ$1001,ROW(),설정!$C$6)&amp;"","")),",",""),"㎡",""),"m2","")),"")</f>
        <v/>
      </c>
      <c r="E111">
        <f>IF(설정!$C$7="","",IFERROR(INDEX('1.산군_붙여넣기'!$A$1:$AZ$1001,ROW(),설정!$C$7)&amp;"",""))</f>
        <v/>
      </c>
      <c r="F111">
        <f>IF(설정!$C$8="","",IFERROR(INDEX('1.산군_붙여넣기'!$A$1:$AZ$1001,ROW(),설정!$C$8)&amp;"",""))</f>
        <v/>
      </c>
      <c r="G111">
        <f>IF(설정!$C$9="","",IFERROR(INDEX('1.산군_붙여넣기'!$A$1:$AZ$1001,ROW(),설정!$C$9)&amp;"",""))</f>
        <v/>
      </c>
      <c r="H111">
        <f>IF(설정!$C$10="","",IFERROR(INDEX('1.산군_붙여넣기'!$A$1:$AZ$1001,ROW(),설정!$C$10)&amp;"",""))</f>
        <v/>
      </c>
      <c r="I111">
        <f>IF(설정!$C$11="","",IFERROR(INDEX('1.산군_붙여넣기'!$A$1:$AZ$1001,ROW(),설정!$C$11)&amp;"",""))</f>
        <v/>
      </c>
      <c r="J111">
        <f>IF(설정!$C$12="","",IFERROR(INDEX('1.산군_붙여넣기'!$A$1:$AZ$1001,ROW(),설정!$C$12)&amp;"",""))</f>
        <v/>
      </c>
      <c r="K111">
        <f>IF(설정!$C$13="","",IFERROR(INDEX('1.산군_붙여넣기'!$A$1:$AZ$1001,ROW(),설정!$C$13)&amp;"",""))</f>
        <v/>
      </c>
      <c r="L111" s="7">
        <f>IF(X111="","",IF(AND(LEN(X111)=8,ISNUMBER(X111*1)),DATE(LEFT(X111,4),MID(X111,5,2),RIGHT(X111,2)),IFERROR(DATEVALUE(SUBSTITUTE(SUBSTITUTE(X111,".","-"),"/","-")),IFERROR(X111*1,""))))</f>
        <v/>
      </c>
      <c r="M111" s="7">
        <f>IF(Y111="","",IF(AND(LEN(Y111)=8,ISNUMBER(Y111*1)),DATE(LEFT(Y111,4),MID(Y111,5,2),RIGHT(Y111,2)),IFERROR(DATEVALUE(SUBSTITUTE(SUBSTITUTE(Y111,".","-"),"/","-")),IFERROR(Y111*1,""))))</f>
        <v/>
      </c>
      <c r="N111">
        <f>IFERROR(LEFT(B111,FIND(" ",B111)-1),B111)</f>
        <v/>
      </c>
      <c r="O111">
        <f>AND(B111&lt;&gt;"",B111&lt;&gt;설정!$B$4,C111&lt;&gt;설정!$B$5)</f>
        <v/>
      </c>
      <c r="P111">
        <f>IF(O111,B111&amp;"|"&amp;C111,"")</f>
        <v/>
      </c>
      <c r="Q111">
        <f>AND(O111,COUNTIF(P112:P$1002,P111)=0)</f>
        <v/>
      </c>
      <c r="R111">
        <f>OR(AND(설정!$A$42&lt;&gt;"",ISNUMBER(SEARCH(설정!$A$42,E111&amp;" "&amp;C111))),AND(설정!$A$43&lt;&gt;"",ISNUMBER(SEARCH(설정!$A$43,E111&amp;" "&amp;C111))),AND(설정!$A$44&lt;&gt;"",ISNUMBER(SEARCH(설정!$A$44,E111&amp;" "&amp;C111))),AND(설정!$A$45&lt;&gt;"",ISNUMBER(SEARCH(설정!$A$45,E111&amp;" "&amp;C111))),AND(설정!$A$46&lt;&gt;"",ISNUMBER(SEARCH(설정!$A$46,E111&amp;" "&amp;C111))),AND(설정!$A$47&lt;&gt;"",ISNUMBER(SEARCH(설정!$A$47,E111&amp;" "&amp;C111))),AND(설정!$A$48&lt;&gt;"",ISNUMBER(SEARCH(설정!$A$48,E111&amp;" "&amp;C111))),AND(설정!$A$49&lt;&gt;"",ISNUMBER(SEARCH(설정!$A$49,E111&amp;" "&amp;C111))),AND(설정!$A$50&lt;&gt;"",ISNUMBER(SEARCH(설정!$A$50,E111&amp;" "&amp;C111))),AND(설정!$A$51&lt;&gt;"",ISNUMBER(SEARCH(설정!$A$51,E111&amp;" "&amp;C111))))</f>
        <v/>
      </c>
      <c r="S111">
        <f>OR(D111="",D111&gt;=설정!$B$19)</f>
        <v/>
      </c>
      <c r="T111">
        <f>AND(Q111,R111,S111)</f>
        <v/>
      </c>
      <c r="U111">
        <f>IF(T111,IF(AND(설정!$A$54&lt;&gt;"",ISNUMBER(SEARCH(설정!$A$54,K111))),설정!$B$54,IF(AND(설정!$A$55&lt;&gt;"",ISNUMBER(SEARCH(설정!$A$55,K111))),설정!$B$55,IF(AND(설정!$A$56&lt;&gt;"",ISNUMBER(SEARCH(설정!$A$56,K111))),설정!$B$56,IF(AND(설정!$A$57&lt;&gt;"",ISNUMBER(SEARCH(설정!$A$57,K111))),설정!$B$57,IF(AND(설정!$A$58&lt;&gt;"",ISNUMBER(SEARCH(설정!$A$58,K111))),설정!$B$58,IF(AND(설정!$A$59&lt;&gt;"",ISNUMBER(SEARCH(설정!$A$59,K111))),설정!$B$59,IF(AND(설정!$A$60&lt;&gt;"",ISNUMBER(SEARCH(설정!$A$60,K111))),설정!$B$60,IF(AND(설정!$A$61&lt;&gt;"",ISNUMBER(SEARCH(설정!$A$61,K111))),설정!$B$61,IF(M111="","설계사","시공사"))))))))),"")</f>
        <v/>
      </c>
      <c r="V111">
        <f>SUBSTITUTE(SUBSTITUTE(SUBSTITUTE(SUBSTITUTE(G111,"(주)",""),"㈜",""),"주식회사","")," ","")</f>
        <v/>
      </c>
      <c r="W111">
        <f>IF(AND(T111,V111&lt;&gt;""),IF(COUNTIFS(V$2:V111,V111,T$2:T111,TRUE)=1,MAX(W$1:W110)+1,""),"")</f>
        <v/>
      </c>
      <c r="X111">
        <f>IF(설정!$C$14="","",IFERROR(INDEX('1.산군_붙여넣기'!$A$1:$AZ$1001,ROW(),설정!$C$14)&amp;"",""))</f>
        <v/>
      </c>
      <c r="Y111">
        <f>IF(설정!$C$15="","",IFERROR(INDEX('1.산군_붙여넣기'!$A$1:$AZ$1001,ROW(),설정!$C$15)&amp;"",""))</f>
        <v/>
      </c>
      <c r="Z111">
        <f>IF(T111,V111&amp;"|"&amp;U111,"")</f>
        <v/>
      </c>
      <c r="AA111">
        <f>IF(NOT(Q111),"",IF(NOT(AND(R111,S111)),"✕",IF(OR(OR(AND(L111&lt;&gt;"",M111&lt;&gt;"",N(M111)-N(L111)&gt;설정!$B$27),AND(L111&lt;&gt;"",M111="",설정!$B$24-N(L111)&gt;설정!$B$27)),AND(D111&lt;&gt;"",D111&lt;설정!$B$26)),"△","★")))</f>
        <v/>
      </c>
      <c r="AB111">
        <f>IF(NOT(T111),"",IF(U111="설계사",설정!$B$31,IF(U111="시공사",IF(OR(M111="",설정!$B$24-N(M111)&lt;=설정!$B$28*30.4),설정!$B$32,설정!$B$33),설정!$B$34))+IF(AA111="★",설정!$B$35,0))</f>
        <v/>
      </c>
      <c r="AC111">
        <f>SUBSTITUTE(SUBSTITUTE(SUBSTITUTE(SUBSTITUTE(H111,"(주)",""),"㈜",""),"주식회사","")," ","")</f>
        <v/>
      </c>
      <c r="AD111">
        <f>IF(AND(T111,AC111&lt;&gt;""),IF(COUNTIFS(AC$2:AC111,AC111,T$2:T111,TRUE)=1,MAX(AD$1:AD110)+1,""),"")</f>
        <v/>
      </c>
    </row>
    <row r="112">
      <c r="A112">
        <f>ROW()</f>
        <v/>
      </c>
      <c r="B112">
        <f>IF(설정!$C$4="","",IFERROR(INDEX('1.산군_붙여넣기'!$A$1:$AZ$1001,ROW(),설정!$C$4)&amp;"",""))</f>
        <v/>
      </c>
      <c r="C112">
        <f>IF(설정!$C$5="","",IFERROR(INDEX('1.산군_붙여넣기'!$A$1:$AZ$1001,ROW(),설정!$C$5)&amp;"",""))</f>
        <v/>
      </c>
      <c r="D112" s="5">
        <f>IFERROR(VALUE(SUBSTITUTE(SUBSTITUTE(SUBSTITUTE(IF(설정!$C$6="","",IFERROR(INDEX('1.산군_붙여넣기'!$A$1:$AZ$1001,ROW(),설정!$C$6)&amp;"","")),",",""),"㎡",""),"m2","")),"")</f>
        <v/>
      </c>
      <c r="E112">
        <f>IF(설정!$C$7="","",IFERROR(INDEX('1.산군_붙여넣기'!$A$1:$AZ$1001,ROW(),설정!$C$7)&amp;"",""))</f>
        <v/>
      </c>
      <c r="F112">
        <f>IF(설정!$C$8="","",IFERROR(INDEX('1.산군_붙여넣기'!$A$1:$AZ$1001,ROW(),설정!$C$8)&amp;"",""))</f>
        <v/>
      </c>
      <c r="G112">
        <f>IF(설정!$C$9="","",IFERROR(INDEX('1.산군_붙여넣기'!$A$1:$AZ$1001,ROW(),설정!$C$9)&amp;"",""))</f>
        <v/>
      </c>
      <c r="H112">
        <f>IF(설정!$C$10="","",IFERROR(INDEX('1.산군_붙여넣기'!$A$1:$AZ$1001,ROW(),설정!$C$10)&amp;"",""))</f>
        <v/>
      </c>
      <c r="I112">
        <f>IF(설정!$C$11="","",IFERROR(INDEX('1.산군_붙여넣기'!$A$1:$AZ$1001,ROW(),설정!$C$11)&amp;"",""))</f>
        <v/>
      </c>
      <c r="J112">
        <f>IF(설정!$C$12="","",IFERROR(INDEX('1.산군_붙여넣기'!$A$1:$AZ$1001,ROW(),설정!$C$12)&amp;"",""))</f>
        <v/>
      </c>
      <c r="K112">
        <f>IF(설정!$C$13="","",IFERROR(INDEX('1.산군_붙여넣기'!$A$1:$AZ$1001,ROW(),설정!$C$13)&amp;"",""))</f>
        <v/>
      </c>
      <c r="L112" s="7">
        <f>IF(X112="","",IF(AND(LEN(X112)=8,ISNUMBER(X112*1)),DATE(LEFT(X112,4),MID(X112,5,2),RIGHT(X112,2)),IFERROR(DATEVALUE(SUBSTITUTE(SUBSTITUTE(X112,".","-"),"/","-")),IFERROR(X112*1,""))))</f>
        <v/>
      </c>
      <c r="M112" s="7">
        <f>IF(Y112="","",IF(AND(LEN(Y112)=8,ISNUMBER(Y112*1)),DATE(LEFT(Y112,4),MID(Y112,5,2),RIGHT(Y112,2)),IFERROR(DATEVALUE(SUBSTITUTE(SUBSTITUTE(Y112,".","-"),"/","-")),IFERROR(Y112*1,""))))</f>
        <v/>
      </c>
      <c r="N112">
        <f>IFERROR(LEFT(B112,FIND(" ",B112)-1),B112)</f>
        <v/>
      </c>
      <c r="O112">
        <f>AND(B112&lt;&gt;"",B112&lt;&gt;설정!$B$4,C112&lt;&gt;설정!$B$5)</f>
        <v/>
      </c>
      <c r="P112">
        <f>IF(O112,B112&amp;"|"&amp;C112,"")</f>
        <v/>
      </c>
      <c r="Q112">
        <f>AND(O112,COUNTIF(P113:P$1002,P112)=0)</f>
        <v/>
      </c>
      <c r="R112">
        <f>OR(AND(설정!$A$42&lt;&gt;"",ISNUMBER(SEARCH(설정!$A$42,E112&amp;" "&amp;C112))),AND(설정!$A$43&lt;&gt;"",ISNUMBER(SEARCH(설정!$A$43,E112&amp;" "&amp;C112))),AND(설정!$A$44&lt;&gt;"",ISNUMBER(SEARCH(설정!$A$44,E112&amp;" "&amp;C112))),AND(설정!$A$45&lt;&gt;"",ISNUMBER(SEARCH(설정!$A$45,E112&amp;" "&amp;C112))),AND(설정!$A$46&lt;&gt;"",ISNUMBER(SEARCH(설정!$A$46,E112&amp;" "&amp;C112))),AND(설정!$A$47&lt;&gt;"",ISNUMBER(SEARCH(설정!$A$47,E112&amp;" "&amp;C112))),AND(설정!$A$48&lt;&gt;"",ISNUMBER(SEARCH(설정!$A$48,E112&amp;" "&amp;C112))),AND(설정!$A$49&lt;&gt;"",ISNUMBER(SEARCH(설정!$A$49,E112&amp;" "&amp;C112))),AND(설정!$A$50&lt;&gt;"",ISNUMBER(SEARCH(설정!$A$50,E112&amp;" "&amp;C112))),AND(설정!$A$51&lt;&gt;"",ISNUMBER(SEARCH(설정!$A$51,E112&amp;" "&amp;C112))))</f>
        <v/>
      </c>
      <c r="S112">
        <f>OR(D112="",D112&gt;=설정!$B$19)</f>
        <v/>
      </c>
      <c r="T112">
        <f>AND(Q112,R112,S112)</f>
        <v/>
      </c>
      <c r="U112">
        <f>IF(T112,IF(AND(설정!$A$54&lt;&gt;"",ISNUMBER(SEARCH(설정!$A$54,K112))),설정!$B$54,IF(AND(설정!$A$55&lt;&gt;"",ISNUMBER(SEARCH(설정!$A$55,K112))),설정!$B$55,IF(AND(설정!$A$56&lt;&gt;"",ISNUMBER(SEARCH(설정!$A$56,K112))),설정!$B$56,IF(AND(설정!$A$57&lt;&gt;"",ISNUMBER(SEARCH(설정!$A$57,K112))),설정!$B$57,IF(AND(설정!$A$58&lt;&gt;"",ISNUMBER(SEARCH(설정!$A$58,K112))),설정!$B$58,IF(AND(설정!$A$59&lt;&gt;"",ISNUMBER(SEARCH(설정!$A$59,K112))),설정!$B$59,IF(AND(설정!$A$60&lt;&gt;"",ISNUMBER(SEARCH(설정!$A$60,K112))),설정!$B$60,IF(AND(설정!$A$61&lt;&gt;"",ISNUMBER(SEARCH(설정!$A$61,K112))),설정!$B$61,IF(M112="","설계사","시공사"))))))))),"")</f>
        <v/>
      </c>
      <c r="V112">
        <f>SUBSTITUTE(SUBSTITUTE(SUBSTITUTE(SUBSTITUTE(G112,"(주)",""),"㈜",""),"주식회사","")," ","")</f>
        <v/>
      </c>
      <c r="W112">
        <f>IF(AND(T112,V112&lt;&gt;""),IF(COUNTIFS(V$2:V112,V112,T$2:T112,TRUE)=1,MAX(W$1:W111)+1,""),"")</f>
        <v/>
      </c>
      <c r="X112">
        <f>IF(설정!$C$14="","",IFERROR(INDEX('1.산군_붙여넣기'!$A$1:$AZ$1001,ROW(),설정!$C$14)&amp;"",""))</f>
        <v/>
      </c>
      <c r="Y112">
        <f>IF(설정!$C$15="","",IFERROR(INDEX('1.산군_붙여넣기'!$A$1:$AZ$1001,ROW(),설정!$C$15)&amp;"",""))</f>
        <v/>
      </c>
      <c r="Z112">
        <f>IF(T112,V112&amp;"|"&amp;U112,"")</f>
        <v/>
      </c>
      <c r="AA112">
        <f>IF(NOT(Q112),"",IF(NOT(AND(R112,S112)),"✕",IF(OR(OR(AND(L112&lt;&gt;"",M112&lt;&gt;"",N(M112)-N(L112)&gt;설정!$B$27),AND(L112&lt;&gt;"",M112="",설정!$B$24-N(L112)&gt;설정!$B$27)),AND(D112&lt;&gt;"",D112&lt;설정!$B$26)),"△","★")))</f>
        <v/>
      </c>
      <c r="AB112">
        <f>IF(NOT(T112),"",IF(U112="설계사",설정!$B$31,IF(U112="시공사",IF(OR(M112="",설정!$B$24-N(M112)&lt;=설정!$B$28*30.4),설정!$B$32,설정!$B$33),설정!$B$34))+IF(AA112="★",설정!$B$35,0))</f>
        <v/>
      </c>
      <c r="AC112">
        <f>SUBSTITUTE(SUBSTITUTE(SUBSTITUTE(SUBSTITUTE(H112,"(주)",""),"㈜",""),"주식회사","")," ","")</f>
        <v/>
      </c>
      <c r="AD112">
        <f>IF(AND(T112,AC112&lt;&gt;""),IF(COUNTIFS(AC$2:AC112,AC112,T$2:T112,TRUE)=1,MAX(AD$1:AD111)+1,""),"")</f>
        <v/>
      </c>
    </row>
    <row r="113">
      <c r="A113">
        <f>ROW()</f>
        <v/>
      </c>
      <c r="B113">
        <f>IF(설정!$C$4="","",IFERROR(INDEX('1.산군_붙여넣기'!$A$1:$AZ$1001,ROW(),설정!$C$4)&amp;"",""))</f>
        <v/>
      </c>
      <c r="C113">
        <f>IF(설정!$C$5="","",IFERROR(INDEX('1.산군_붙여넣기'!$A$1:$AZ$1001,ROW(),설정!$C$5)&amp;"",""))</f>
        <v/>
      </c>
      <c r="D113" s="5">
        <f>IFERROR(VALUE(SUBSTITUTE(SUBSTITUTE(SUBSTITUTE(IF(설정!$C$6="","",IFERROR(INDEX('1.산군_붙여넣기'!$A$1:$AZ$1001,ROW(),설정!$C$6)&amp;"","")),",",""),"㎡",""),"m2","")),"")</f>
        <v/>
      </c>
      <c r="E113">
        <f>IF(설정!$C$7="","",IFERROR(INDEX('1.산군_붙여넣기'!$A$1:$AZ$1001,ROW(),설정!$C$7)&amp;"",""))</f>
        <v/>
      </c>
      <c r="F113">
        <f>IF(설정!$C$8="","",IFERROR(INDEX('1.산군_붙여넣기'!$A$1:$AZ$1001,ROW(),설정!$C$8)&amp;"",""))</f>
        <v/>
      </c>
      <c r="G113">
        <f>IF(설정!$C$9="","",IFERROR(INDEX('1.산군_붙여넣기'!$A$1:$AZ$1001,ROW(),설정!$C$9)&amp;"",""))</f>
        <v/>
      </c>
      <c r="H113">
        <f>IF(설정!$C$10="","",IFERROR(INDEX('1.산군_붙여넣기'!$A$1:$AZ$1001,ROW(),설정!$C$10)&amp;"",""))</f>
        <v/>
      </c>
      <c r="I113">
        <f>IF(설정!$C$11="","",IFERROR(INDEX('1.산군_붙여넣기'!$A$1:$AZ$1001,ROW(),설정!$C$11)&amp;"",""))</f>
        <v/>
      </c>
      <c r="J113">
        <f>IF(설정!$C$12="","",IFERROR(INDEX('1.산군_붙여넣기'!$A$1:$AZ$1001,ROW(),설정!$C$12)&amp;"",""))</f>
        <v/>
      </c>
      <c r="K113">
        <f>IF(설정!$C$13="","",IFERROR(INDEX('1.산군_붙여넣기'!$A$1:$AZ$1001,ROW(),설정!$C$13)&amp;"",""))</f>
        <v/>
      </c>
      <c r="L113" s="7">
        <f>IF(X113="","",IF(AND(LEN(X113)=8,ISNUMBER(X113*1)),DATE(LEFT(X113,4),MID(X113,5,2),RIGHT(X113,2)),IFERROR(DATEVALUE(SUBSTITUTE(SUBSTITUTE(X113,".","-"),"/","-")),IFERROR(X113*1,""))))</f>
        <v/>
      </c>
      <c r="M113" s="7">
        <f>IF(Y113="","",IF(AND(LEN(Y113)=8,ISNUMBER(Y113*1)),DATE(LEFT(Y113,4),MID(Y113,5,2),RIGHT(Y113,2)),IFERROR(DATEVALUE(SUBSTITUTE(SUBSTITUTE(Y113,".","-"),"/","-")),IFERROR(Y113*1,""))))</f>
        <v/>
      </c>
      <c r="N113">
        <f>IFERROR(LEFT(B113,FIND(" ",B113)-1),B113)</f>
        <v/>
      </c>
      <c r="O113">
        <f>AND(B113&lt;&gt;"",B113&lt;&gt;설정!$B$4,C113&lt;&gt;설정!$B$5)</f>
        <v/>
      </c>
      <c r="P113">
        <f>IF(O113,B113&amp;"|"&amp;C113,"")</f>
        <v/>
      </c>
      <c r="Q113">
        <f>AND(O113,COUNTIF(P114:P$1002,P113)=0)</f>
        <v/>
      </c>
      <c r="R113">
        <f>OR(AND(설정!$A$42&lt;&gt;"",ISNUMBER(SEARCH(설정!$A$42,E113&amp;" "&amp;C113))),AND(설정!$A$43&lt;&gt;"",ISNUMBER(SEARCH(설정!$A$43,E113&amp;" "&amp;C113))),AND(설정!$A$44&lt;&gt;"",ISNUMBER(SEARCH(설정!$A$44,E113&amp;" "&amp;C113))),AND(설정!$A$45&lt;&gt;"",ISNUMBER(SEARCH(설정!$A$45,E113&amp;" "&amp;C113))),AND(설정!$A$46&lt;&gt;"",ISNUMBER(SEARCH(설정!$A$46,E113&amp;" "&amp;C113))),AND(설정!$A$47&lt;&gt;"",ISNUMBER(SEARCH(설정!$A$47,E113&amp;" "&amp;C113))),AND(설정!$A$48&lt;&gt;"",ISNUMBER(SEARCH(설정!$A$48,E113&amp;" "&amp;C113))),AND(설정!$A$49&lt;&gt;"",ISNUMBER(SEARCH(설정!$A$49,E113&amp;" "&amp;C113))),AND(설정!$A$50&lt;&gt;"",ISNUMBER(SEARCH(설정!$A$50,E113&amp;" "&amp;C113))),AND(설정!$A$51&lt;&gt;"",ISNUMBER(SEARCH(설정!$A$51,E113&amp;" "&amp;C113))))</f>
        <v/>
      </c>
      <c r="S113">
        <f>OR(D113="",D113&gt;=설정!$B$19)</f>
        <v/>
      </c>
      <c r="T113">
        <f>AND(Q113,R113,S113)</f>
        <v/>
      </c>
      <c r="U113">
        <f>IF(T113,IF(AND(설정!$A$54&lt;&gt;"",ISNUMBER(SEARCH(설정!$A$54,K113))),설정!$B$54,IF(AND(설정!$A$55&lt;&gt;"",ISNUMBER(SEARCH(설정!$A$55,K113))),설정!$B$55,IF(AND(설정!$A$56&lt;&gt;"",ISNUMBER(SEARCH(설정!$A$56,K113))),설정!$B$56,IF(AND(설정!$A$57&lt;&gt;"",ISNUMBER(SEARCH(설정!$A$57,K113))),설정!$B$57,IF(AND(설정!$A$58&lt;&gt;"",ISNUMBER(SEARCH(설정!$A$58,K113))),설정!$B$58,IF(AND(설정!$A$59&lt;&gt;"",ISNUMBER(SEARCH(설정!$A$59,K113))),설정!$B$59,IF(AND(설정!$A$60&lt;&gt;"",ISNUMBER(SEARCH(설정!$A$60,K113))),설정!$B$60,IF(AND(설정!$A$61&lt;&gt;"",ISNUMBER(SEARCH(설정!$A$61,K113))),설정!$B$61,IF(M113="","설계사","시공사"))))))))),"")</f>
        <v/>
      </c>
      <c r="V113">
        <f>SUBSTITUTE(SUBSTITUTE(SUBSTITUTE(SUBSTITUTE(G113,"(주)",""),"㈜",""),"주식회사","")," ","")</f>
        <v/>
      </c>
      <c r="W113">
        <f>IF(AND(T113,V113&lt;&gt;""),IF(COUNTIFS(V$2:V113,V113,T$2:T113,TRUE)=1,MAX(W$1:W112)+1,""),"")</f>
        <v/>
      </c>
      <c r="X113">
        <f>IF(설정!$C$14="","",IFERROR(INDEX('1.산군_붙여넣기'!$A$1:$AZ$1001,ROW(),설정!$C$14)&amp;"",""))</f>
        <v/>
      </c>
      <c r="Y113">
        <f>IF(설정!$C$15="","",IFERROR(INDEX('1.산군_붙여넣기'!$A$1:$AZ$1001,ROW(),설정!$C$15)&amp;"",""))</f>
        <v/>
      </c>
      <c r="Z113">
        <f>IF(T113,V113&amp;"|"&amp;U113,"")</f>
        <v/>
      </c>
      <c r="AA113">
        <f>IF(NOT(Q113),"",IF(NOT(AND(R113,S113)),"✕",IF(OR(OR(AND(L113&lt;&gt;"",M113&lt;&gt;"",N(M113)-N(L113)&gt;설정!$B$27),AND(L113&lt;&gt;"",M113="",설정!$B$24-N(L113)&gt;설정!$B$27)),AND(D113&lt;&gt;"",D113&lt;설정!$B$26)),"△","★")))</f>
        <v/>
      </c>
      <c r="AB113">
        <f>IF(NOT(T113),"",IF(U113="설계사",설정!$B$31,IF(U113="시공사",IF(OR(M113="",설정!$B$24-N(M113)&lt;=설정!$B$28*30.4),설정!$B$32,설정!$B$33),설정!$B$34))+IF(AA113="★",설정!$B$35,0))</f>
        <v/>
      </c>
      <c r="AC113">
        <f>SUBSTITUTE(SUBSTITUTE(SUBSTITUTE(SUBSTITUTE(H113,"(주)",""),"㈜",""),"주식회사","")," ","")</f>
        <v/>
      </c>
      <c r="AD113">
        <f>IF(AND(T113,AC113&lt;&gt;""),IF(COUNTIFS(AC$2:AC113,AC113,T$2:T113,TRUE)=1,MAX(AD$1:AD112)+1,""),"")</f>
        <v/>
      </c>
    </row>
    <row r="114">
      <c r="A114">
        <f>ROW()</f>
        <v/>
      </c>
      <c r="B114">
        <f>IF(설정!$C$4="","",IFERROR(INDEX('1.산군_붙여넣기'!$A$1:$AZ$1001,ROW(),설정!$C$4)&amp;"",""))</f>
        <v/>
      </c>
      <c r="C114">
        <f>IF(설정!$C$5="","",IFERROR(INDEX('1.산군_붙여넣기'!$A$1:$AZ$1001,ROW(),설정!$C$5)&amp;"",""))</f>
        <v/>
      </c>
      <c r="D114" s="5">
        <f>IFERROR(VALUE(SUBSTITUTE(SUBSTITUTE(SUBSTITUTE(IF(설정!$C$6="","",IFERROR(INDEX('1.산군_붙여넣기'!$A$1:$AZ$1001,ROW(),설정!$C$6)&amp;"","")),",",""),"㎡",""),"m2","")),"")</f>
        <v/>
      </c>
      <c r="E114">
        <f>IF(설정!$C$7="","",IFERROR(INDEX('1.산군_붙여넣기'!$A$1:$AZ$1001,ROW(),설정!$C$7)&amp;"",""))</f>
        <v/>
      </c>
      <c r="F114">
        <f>IF(설정!$C$8="","",IFERROR(INDEX('1.산군_붙여넣기'!$A$1:$AZ$1001,ROW(),설정!$C$8)&amp;"",""))</f>
        <v/>
      </c>
      <c r="G114">
        <f>IF(설정!$C$9="","",IFERROR(INDEX('1.산군_붙여넣기'!$A$1:$AZ$1001,ROW(),설정!$C$9)&amp;"",""))</f>
        <v/>
      </c>
      <c r="H114">
        <f>IF(설정!$C$10="","",IFERROR(INDEX('1.산군_붙여넣기'!$A$1:$AZ$1001,ROW(),설정!$C$10)&amp;"",""))</f>
        <v/>
      </c>
      <c r="I114">
        <f>IF(설정!$C$11="","",IFERROR(INDEX('1.산군_붙여넣기'!$A$1:$AZ$1001,ROW(),설정!$C$11)&amp;"",""))</f>
        <v/>
      </c>
      <c r="J114">
        <f>IF(설정!$C$12="","",IFERROR(INDEX('1.산군_붙여넣기'!$A$1:$AZ$1001,ROW(),설정!$C$12)&amp;"",""))</f>
        <v/>
      </c>
      <c r="K114">
        <f>IF(설정!$C$13="","",IFERROR(INDEX('1.산군_붙여넣기'!$A$1:$AZ$1001,ROW(),설정!$C$13)&amp;"",""))</f>
        <v/>
      </c>
      <c r="L114" s="7">
        <f>IF(X114="","",IF(AND(LEN(X114)=8,ISNUMBER(X114*1)),DATE(LEFT(X114,4),MID(X114,5,2),RIGHT(X114,2)),IFERROR(DATEVALUE(SUBSTITUTE(SUBSTITUTE(X114,".","-"),"/","-")),IFERROR(X114*1,""))))</f>
        <v/>
      </c>
      <c r="M114" s="7">
        <f>IF(Y114="","",IF(AND(LEN(Y114)=8,ISNUMBER(Y114*1)),DATE(LEFT(Y114,4),MID(Y114,5,2),RIGHT(Y114,2)),IFERROR(DATEVALUE(SUBSTITUTE(SUBSTITUTE(Y114,".","-"),"/","-")),IFERROR(Y114*1,""))))</f>
        <v/>
      </c>
      <c r="N114">
        <f>IFERROR(LEFT(B114,FIND(" ",B114)-1),B114)</f>
        <v/>
      </c>
      <c r="O114">
        <f>AND(B114&lt;&gt;"",B114&lt;&gt;설정!$B$4,C114&lt;&gt;설정!$B$5)</f>
        <v/>
      </c>
      <c r="P114">
        <f>IF(O114,B114&amp;"|"&amp;C114,"")</f>
        <v/>
      </c>
      <c r="Q114">
        <f>AND(O114,COUNTIF(P115:P$1002,P114)=0)</f>
        <v/>
      </c>
      <c r="R114">
        <f>OR(AND(설정!$A$42&lt;&gt;"",ISNUMBER(SEARCH(설정!$A$42,E114&amp;" "&amp;C114))),AND(설정!$A$43&lt;&gt;"",ISNUMBER(SEARCH(설정!$A$43,E114&amp;" "&amp;C114))),AND(설정!$A$44&lt;&gt;"",ISNUMBER(SEARCH(설정!$A$44,E114&amp;" "&amp;C114))),AND(설정!$A$45&lt;&gt;"",ISNUMBER(SEARCH(설정!$A$45,E114&amp;" "&amp;C114))),AND(설정!$A$46&lt;&gt;"",ISNUMBER(SEARCH(설정!$A$46,E114&amp;" "&amp;C114))),AND(설정!$A$47&lt;&gt;"",ISNUMBER(SEARCH(설정!$A$47,E114&amp;" "&amp;C114))),AND(설정!$A$48&lt;&gt;"",ISNUMBER(SEARCH(설정!$A$48,E114&amp;" "&amp;C114))),AND(설정!$A$49&lt;&gt;"",ISNUMBER(SEARCH(설정!$A$49,E114&amp;" "&amp;C114))),AND(설정!$A$50&lt;&gt;"",ISNUMBER(SEARCH(설정!$A$50,E114&amp;" "&amp;C114))),AND(설정!$A$51&lt;&gt;"",ISNUMBER(SEARCH(설정!$A$51,E114&amp;" "&amp;C114))))</f>
        <v/>
      </c>
      <c r="S114">
        <f>OR(D114="",D114&gt;=설정!$B$19)</f>
        <v/>
      </c>
      <c r="T114">
        <f>AND(Q114,R114,S114)</f>
        <v/>
      </c>
      <c r="U114">
        <f>IF(T114,IF(AND(설정!$A$54&lt;&gt;"",ISNUMBER(SEARCH(설정!$A$54,K114))),설정!$B$54,IF(AND(설정!$A$55&lt;&gt;"",ISNUMBER(SEARCH(설정!$A$55,K114))),설정!$B$55,IF(AND(설정!$A$56&lt;&gt;"",ISNUMBER(SEARCH(설정!$A$56,K114))),설정!$B$56,IF(AND(설정!$A$57&lt;&gt;"",ISNUMBER(SEARCH(설정!$A$57,K114))),설정!$B$57,IF(AND(설정!$A$58&lt;&gt;"",ISNUMBER(SEARCH(설정!$A$58,K114))),설정!$B$58,IF(AND(설정!$A$59&lt;&gt;"",ISNUMBER(SEARCH(설정!$A$59,K114))),설정!$B$59,IF(AND(설정!$A$60&lt;&gt;"",ISNUMBER(SEARCH(설정!$A$60,K114))),설정!$B$60,IF(AND(설정!$A$61&lt;&gt;"",ISNUMBER(SEARCH(설정!$A$61,K114))),설정!$B$61,IF(M114="","설계사","시공사"))))))))),"")</f>
        <v/>
      </c>
      <c r="V114">
        <f>SUBSTITUTE(SUBSTITUTE(SUBSTITUTE(SUBSTITUTE(G114,"(주)",""),"㈜",""),"주식회사","")," ","")</f>
        <v/>
      </c>
      <c r="W114">
        <f>IF(AND(T114,V114&lt;&gt;""),IF(COUNTIFS(V$2:V114,V114,T$2:T114,TRUE)=1,MAX(W$1:W113)+1,""),"")</f>
        <v/>
      </c>
      <c r="X114">
        <f>IF(설정!$C$14="","",IFERROR(INDEX('1.산군_붙여넣기'!$A$1:$AZ$1001,ROW(),설정!$C$14)&amp;"",""))</f>
        <v/>
      </c>
      <c r="Y114">
        <f>IF(설정!$C$15="","",IFERROR(INDEX('1.산군_붙여넣기'!$A$1:$AZ$1001,ROW(),설정!$C$15)&amp;"",""))</f>
        <v/>
      </c>
      <c r="Z114">
        <f>IF(T114,V114&amp;"|"&amp;U114,"")</f>
        <v/>
      </c>
      <c r="AA114">
        <f>IF(NOT(Q114),"",IF(NOT(AND(R114,S114)),"✕",IF(OR(OR(AND(L114&lt;&gt;"",M114&lt;&gt;"",N(M114)-N(L114)&gt;설정!$B$27),AND(L114&lt;&gt;"",M114="",설정!$B$24-N(L114)&gt;설정!$B$27)),AND(D114&lt;&gt;"",D114&lt;설정!$B$26)),"△","★")))</f>
        <v/>
      </c>
      <c r="AB114">
        <f>IF(NOT(T114),"",IF(U114="설계사",설정!$B$31,IF(U114="시공사",IF(OR(M114="",설정!$B$24-N(M114)&lt;=설정!$B$28*30.4),설정!$B$32,설정!$B$33),설정!$B$34))+IF(AA114="★",설정!$B$35,0))</f>
        <v/>
      </c>
      <c r="AC114">
        <f>SUBSTITUTE(SUBSTITUTE(SUBSTITUTE(SUBSTITUTE(H114,"(주)",""),"㈜",""),"주식회사","")," ","")</f>
        <v/>
      </c>
      <c r="AD114">
        <f>IF(AND(T114,AC114&lt;&gt;""),IF(COUNTIFS(AC$2:AC114,AC114,T$2:T114,TRUE)=1,MAX(AD$1:AD113)+1,""),"")</f>
        <v/>
      </c>
    </row>
    <row r="115">
      <c r="A115">
        <f>ROW()</f>
        <v/>
      </c>
      <c r="B115">
        <f>IF(설정!$C$4="","",IFERROR(INDEX('1.산군_붙여넣기'!$A$1:$AZ$1001,ROW(),설정!$C$4)&amp;"",""))</f>
        <v/>
      </c>
      <c r="C115">
        <f>IF(설정!$C$5="","",IFERROR(INDEX('1.산군_붙여넣기'!$A$1:$AZ$1001,ROW(),설정!$C$5)&amp;"",""))</f>
        <v/>
      </c>
      <c r="D115" s="5">
        <f>IFERROR(VALUE(SUBSTITUTE(SUBSTITUTE(SUBSTITUTE(IF(설정!$C$6="","",IFERROR(INDEX('1.산군_붙여넣기'!$A$1:$AZ$1001,ROW(),설정!$C$6)&amp;"","")),",",""),"㎡",""),"m2","")),"")</f>
        <v/>
      </c>
      <c r="E115">
        <f>IF(설정!$C$7="","",IFERROR(INDEX('1.산군_붙여넣기'!$A$1:$AZ$1001,ROW(),설정!$C$7)&amp;"",""))</f>
        <v/>
      </c>
      <c r="F115">
        <f>IF(설정!$C$8="","",IFERROR(INDEX('1.산군_붙여넣기'!$A$1:$AZ$1001,ROW(),설정!$C$8)&amp;"",""))</f>
        <v/>
      </c>
      <c r="G115">
        <f>IF(설정!$C$9="","",IFERROR(INDEX('1.산군_붙여넣기'!$A$1:$AZ$1001,ROW(),설정!$C$9)&amp;"",""))</f>
        <v/>
      </c>
      <c r="H115">
        <f>IF(설정!$C$10="","",IFERROR(INDEX('1.산군_붙여넣기'!$A$1:$AZ$1001,ROW(),설정!$C$10)&amp;"",""))</f>
        <v/>
      </c>
      <c r="I115">
        <f>IF(설정!$C$11="","",IFERROR(INDEX('1.산군_붙여넣기'!$A$1:$AZ$1001,ROW(),설정!$C$11)&amp;"",""))</f>
        <v/>
      </c>
      <c r="J115">
        <f>IF(설정!$C$12="","",IFERROR(INDEX('1.산군_붙여넣기'!$A$1:$AZ$1001,ROW(),설정!$C$12)&amp;"",""))</f>
        <v/>
      </c>
      <c r="K115">
        <f>IF(설정!$C$13="","",IFERROR(INDEX('1.산군_붙여넣기'!$A$1:$AZ$1001,ROW(),설정!$C$13)&amp;"",""))</f>
        <v/>
      </c>
      <c r="L115" s="7">
        <f>IF(X115="","",IF(AND(LEN(X115)=8,ISNUMBER(X115*1)),DATE(LEFT(X115,4),MID(X115,5,2),RIGHT(X115,2)),IFERROR(DATEVALUE(SUBSTITUTE(SUBSTITUTE(X115,".","-"),"/","-")),IFERROR(X115*1,""))))</f>
        <v/>
      </c>
      <c r="M115" s="7">
        <f>IF(Y115="","",IF(AND(LEN(Y115)=8,ISNUMBER(Y115*1)),DATE(LEFT(Y115,4),MID(Y115,5,2),RIGHT(Y115,2)),IFERROR(DATEVALUE(SUBSTITUTE(SUBSTITUTE(Y115,".","-"),"/","-")),IFERROR(Y115*1,""))))</f>
        <v/>
      </c>
      <c r="N115">
        <f>IFERROR(LEFT(B115,FIND(" ",B115)-1),B115)</f>
        <v/>
      </c>
      <c r="O115">
        <f>AND(B115&lt;&gt;"",B115&lt;&gt;설정!$B$4,C115&lt;&gt;설정!$B$5)</f>
        <v/>
      </c>
      <c r="P115">
        <f>IF(O115,B115&amp;"|"&amp;C115,"")</f>
        <v/>
      </c>
      <c r="Q115">
        <f>AND(O115,COUNTIF(P116:P$1002,P115)=0)</f>
        <v/>
      </c>
      <c r="R115">
        <f>OR(AND(설정!$A$42&lt;&gt;"",ISNUMBER(SEARCH(설정!$A$42,E115&amp;" "&amp;C115))),AND(설정!$A$43&lt;&gt;"",ISNUMBER(SEARCH(설정!$A$43,E115&amp;" "&amp;C115))),AND(설정!$A$44&lt;&gt;"",ISNUMBER(SEARCH(설정!$A$44,E115&amp;" "&amp;C115))),AND(설정!$A$45&lt;&gt;"",ISNUMBER(SEARCH(설정!$A$45,E115&amp;" "&amp;C115))),AND(설정!$A$46&lt;&gt;"",ISNUMBER(SEARCH(설정!$A$46,E115&amp;" "&amp;C115))),AND(설정!$A$47&lt;&gt;"",ISNUMBER(SEARCH(설정!$A$47,E115&amp;" "&amp;C115))),AND(설정!$A$48&lt;&gt;"",ISNUMBER(SEARCH(설정!$A$48,E115&amp;" "&amp;C115))),AND(설정!$A$49&lt;&gt;"",ISNUMBER(SEARCH(설정!$A$49,E115&amp;" "&amp;C115))),AND(설정!$A$50&lt;&gt;"",ISNUMBER(SEARCH(설정!$A$50,E115&amp;" "&amp;C115))),AND(설정!$A$51&lt;&gt;"",ISNUMBER(SEARCH(설정!$A$51,E115&amp;" "&amp;C115))))</f>
        <v/>
      </c>
      <c r="S115">
        <f>OR(D115="",D115&gt;=설정!$B$19)</f>
        <v/>
      </c>
      <c r="T115">
        <f>AND(Q115,R115,S115)</f>
        <v/>
      </c>
      <c r="U115">
        <f>IF(T115,IF(AND(설정!$A$54&lt;&gt;"",ISNUMBER(SEARCH(설정!$A$54,K115))),설정!$B$54,IF(AND(설정!$A$55&lt;&gt;"",ISNUMBER(SEARCH(설정!$A$55,K115))),설정!$B$55,IF(AND(설정!$A$56&lt;&gt;"",ISNUMBER(SEARCH(설정!$A$56,K115))),설정!$B$56,IF(AND(설정!$A$57&lt;&gt;"",ISNUMBER(SEARCH(설정!$A$57,K115))),설정!$B$57,IF(AND(설정!$A$58&lt;&gt;"",ISNUMBER(SEARCH(설정!$A$58,K115))),설정!$B$58,IF(AND(설정!$A$59&lt;&gt;"",ISNUMBER(SEARCH(설정!$A$59,K115))),설정!$B$59,IF(AND(설정!$A$60&lt;&gt;"",ISNUMBER(SEARCH(설정!$A$60,K115))),설정!$B$60,IF(AND(설정!$A$61&lt;&gt;"",ISNUMBER(SEARCH(설정!$A$61,K115))),설정!$B$61,IF(M115="","설계사","시공사"))))))))),"")</f>
        <v/>
      </c>
      <c r="V115">
        <f>SUBSTITUTE(SUBSTITUTE(SUBSTITUTE(SUBSTITUTE(G115,"(주)",""),"㈜",""),"주식회사","")," ","")</f>
        <v/>
      </c>
      <c r="W115">
        <f>IF(AND(T115,V115&lt;&gt;""),IF(COUNTIFS(V$2:V115,V115,T$2:T115,TRUE)=1,MAX(W$1:W114)+1,""),"")</f>
        <v/>
      </c>
      <c r="X115">
        <f>IF(설정!$C$14="","",IFERROR(INDEX('1.산군_붙여넣기'!$A$1:$AZ$1001,ROW(),설정!$C$14)&amp;"",""))</f>
        <v/>
      </c>
      <c r="Y115">
        <f>IF(설정!$C$15="","",IFERROR(INDEX('1.산군_붙여넣기'!$A$1:$AZ$1001,ROW(),설정!$C$15)&amp;"",""))</f>
        <v/>
      </c>
      <c r="Z115">
        <f>IF(T115,V115&amp;"|"&amp;U115,"")</f>
        <v/>
      </c>
      <c r="AA115">
        <f>IF(NOT(Q115),"",IF(NOT(AND(R115,S115)),"✕",IF(OR(OR(AND(L115&lt;&gt;"",M115&lt;&gt;"",N(M115)-N(L115)&gt;설정!$B$27),AND(L115&lt;&gt;"",M115="",설정!$B$24-N(L115)&gt;설정!$B$27)),AND(D115&lt;&gt;"",D115&lt;설정!$B$26)),"△","★")))</f>
        <v/>
      </c>
      <c r="AB115">
        <f>IF(NOT(T115),"",IF(U115="설계사",설정!$B$31,IF(U115="시공사",IF(OR(M115="",설정!$B$24-N(M115)&lt;=설정!$B$28*30.4),설정!$B$32,설정!$B$33),설정!$B$34))+IF(AA115="★",설정!$B$35,0))</f>
        <v/>
      </c>
      <c r="AC115">
        <f>SUBSTITUTE(SUBSTITUTE(SUBSTITUTE(SUBSTITUTE(H115,"(주)",""),"㈜",""),"주식회사","")," ","")</f>
        <v/>
      </c>
      <c r="AD115">
        <f>IF(AND(T115,AC115&lt;&gt;""),IF(COUNTIFS(AC$2:AC115,AC115,T$2:T115,TRUE)=1,MAX(AD$1:AD114)+1,""),"")</f>
        <v/>
      </c>
    </row>
    <row r="116">
      <c r="A116">
        <f>ROW()</f>
        <v/>
      </c>
      <c r="B116">
        <f>IF(설정!$C$4="","",IFERROR(INDEX('1.산군_붙여넣기'!$A$1:$AZ$1001,ROW(),설정!$C$4)&amp;"",""))</f>
        <v/>
      </c>
      <c r="C116">
        <f>IF(설정!$C$5="","",IFERROR(INDEX('1.산군_붙여넣기'!$A$1:$AZ$1001,ROW(),설정!$C$5)&amp;"",""))</f>
        <v/>
      </c>
      <c r="D116" s="5">
        <f>IFERROR(VALUE(SUBSTITUTE(SUBSTITUTE(SUBSTITUTE(IF(설정!$C$6="","",IFERROR(INDEX('1.산군_붙여넣기'!$A$1:$AZ$1001,ROW(),설정!$C$6)&amp;"","")),",",""),"㎡",""),"m2","")),"")</f>
        <v/>
      </c>
      <c r="E116">
        <f>IF(설정!$C$7="","",IFERROR(INDEX('1.산군_붙여넣기'!$A$1:$AZ$1001,ROW(),설정!$C$7)&amp;"",""))</f>
        <v/>
      </c>
      <c r="F116">
        <f>IF(설정!$C$8="","",IFERROR(INDEX('1.산군_붙여넣기'!$A$1:$AZ$1001,ROW(),설정!$C$8)&amp;"",""))</f>
        <v/>
      </c>
      <c r="G116">
        <f>IF(설정!$C$9="","",IFERROR(INDEX('1.산군_붙여넣기'!$A$1:$AZ$1001,ROW(),설정!$C$9)&amp;"",""))</f>
        <v/>
      </c>
      <c r="H116">
        <f>IF(설정!$C$10="","",IFERROR(INDEX('1.산군_붙여넣기'!$A$1:$AZ$1001,ROW(),설정!$C$10)&amp;"",""))</f>
        <v/>
      </c>
      <c r="I116">
        <f>IF(설정!$C$11="","",IFERROR(INDEX('1.산군_붙여넣기'!$A$1:$AZ$1001,ROW(),설정!$C$11)&amp;"",""))</f>
        <v/>
      </c>
      <c r="J116">
        <f>IF(설정!$C$12="","",IFERROR(INDEX('1.산군_붙여넣기'!$A$1:$AZ$1001,ROW(),설정!$C$12)&amp;"",""))</f>
        <v/>
      </c>
      <c r="K116">
        <f>IF(설정!$C$13="","",IFERROR(INDEX('1.산군_붙여넣기'!$A$1:$AZ$1001,ROW(),설정!$C$13)&amp;"",""))</f>
        <v/>
      </c>
      <c r="L116" s="7">
        <f>IF(X116="","",IF(AND(LEN(X116)=8,ISNUMBER(X116*1)),DATE(LEFT(X116,4),MID(X116,5,2),RIGHT(X116,2)),IFERROR(DATEVALUE(SUBSTITUTE(SUBSTITUTE(X116,".","-"),"/","-")),IFERROR(X116*1,""))))</f>
        <v/>
      </c>
      <c r="M116" s="7">
        <f>IF(Y116="","",IF(AND(LEN(Y116)=8,ISNUMBER(Y116*1)),DATE(LEFT(Y116,4),MID(Y116,5,2),RIGHT(Y116,2)),IFERROR(DATEVALUE(SUBSTITUTE(SUBSTITUTE(Y116,".","-"),"/","-")),IFERROR(Y116*1,""))))</f>
        <v/>
      </c>
      <c r="N116">
        <f>IFERROR(LEFT(B116,FIND(" ",B116)-1),B116)</f>
        <v/>
      </c>
      <c r="O116">
        <f>AND(B116&lt;&gt;"",B116&lt;&gt;설정!$B$4,C116&lt;&gt;설정!$B$5)</f>
        <v/>
      </c>
      <c r="P116">
        <f>IF(O116,B116&amp;"|"&amp;C116,"")</f>
        <v/>
      </c>
      <c r="Q116">
        <f>AND(O116,COUNTIF(P117:P$1002,P116)=0)</f>
        <v/>
      </c>
      <c r="R116">
        <f>OR(AND(설정!$A$42&lt;&gt;"",ISNUMBER(SEARCH(설정!$A$42,E116&amp;" "&amp;C116))),AND(설정!$A$43&lt;&gt;"",ISNUMBER(SEARCH(설정!$A$43,E116&amp;" "&amp;C116))),AND(설정!$A$44&lt;&gt;"",ISNUMBER(SEARCH(설정!$A$44,E116&amp;" "&amp;C116))),AND(설정!$A$45&lt;&gt;"",ISNUMBER(SEARCH(설정!$A$45,E116&amp;" "&amp;C116))),AND(설정!$A$46&lt;&gt;"",ISNUMBER(SEARCH(설정!$A$46,E116&amp;" "&amp;C116))),AND(설정!$A$47&lt;&gt;"",ISNUMBER(SEARCH(설정!$A$47,E116&amp;" "&amp;C116))),AND(설정!$A$48&lt;&gt;"",ISNUMBER(SEARCH(설정!$A$48,E116&amp;" "&amp;C116))),AND(설정!$A$49&lt;&gt;"",ISNUMBER(SEARCH(설정!$A$49,E116&amp;" "&amp;C116))),AND(설정!$A$50&lt;&gt;"",ISNUMBER(SEARCH(설정!$A$50,E116&amp;" "&amp;C116))),AND(설정!$A$51&lt;&gt;"",ISNUMBER(SEARCH(설정!$A$51,E116&amp;" "&amp;C116))))</f>
        <v/>
      </c>
      <c r="S116">
        <f>OR(D116="",D116&gt;=설정!$B$19)</f>
        <v/>
      </c>
      <c r="T116">
        <f>AND(Q116,R116,S116)</f>
        <v/>
      </c>
      <c r="U116">
        <f>IF(T116,IF(AND(설정!$A$54&lt;&gt;"",ISNUMBER(SEARCH(설정!$A$54,K116))),설정!$B$54,IF(AND(설정!$A$55&lt;&gt;"",ISNUMBER(SEARCH(설정!$A$55,K116))),설정!$B$55,IF(AND(설정!$A$56&lt;&gt;"",ISNUMBER(SEARCH(설정!$A$56,K116))),설정!$B$56,IF(AND(설정!$A$57&lt;&gt;"",ISNUMBER(SEARCH(설정!$A$57,K116))),설정!$B$57,IF(AND(설정!$A$58&lt;&gt;"",ISNUMBER(SEARCH(설정!$A$58,K116))),설정!$B$58,IF(AND(설정!$A$59&lt;&gt;"",ISNUMBER(SEARCH(설정!$A$59,K116))),설정!$B$59,IF(AND(설정!$A$60&lt;&gt;"",ISNUMBER(SEARCH(설정!$A$60,K116))),설정!$B$60,IF(AND(설정!$A$61&lt;&gt;"",ISNUMBER(SEARCH(설정!$A$61,K116))),설정!$B$61,IF(M116="","설계사","시공사"))))))))),"")</f>
        <v/>
      </c>
      <c r="V116">
        <f>SUBSTITUTE(SUBSTITUTE(SUBSTITUTE(SUBSTITUTE(G116,"(주)",""),"㈜",""),"주식회사","")," ","")</f>
        <v/>
      </c>
      <c r="W116">
        <f>IF(AND(T116,V116&lt;&gt;""),IF(COUNTIFS(V$2:V116,V116,T$2:T116,TRUE)=1,MAX(W$1:W115)+1,""),"")</f>
        <v/>
      </c>
      <c r="X116">
        <f>IF(설정!$C$14="","",IFERROR(INDEX('1.산군_붙여넣기'!$A$1:$AZ$1001,ROW(),설정!$C$14)&amp;"",""))</f>
        <v/>
      </c>
      <c r="Y116">
        <f>IF(설정!$C$15="","",IFERROR(INDEX('1.산군_붙여넣기'!$A$1:$AZ$1001,ROW(),설정!$C$15)&amp;"",""))</f>
        <v/>
      </c>
      <c r="Z116">
        <f>IF(T116,V116&amp;"|"&amp;U116,"")</f>
        <v/>
      </c>
      <c r="AA116">
        <f>IF(NOT(Q116),"",IF(NOT(AND(R116,S116)),"✕",IF(OR(OR(AND(L116&lt;&gt;"",M116&lt;&gt;"",N(M116)-N(L116)&gt;설정!$B$27),AND(L116&lt;&gt;"",M116="",설정!$B$24-N(L116)&gt;설정!$B$27)),AND(D116&lt;&gt;"",D116&lt;설정!$B$26)),"△","★")))</f>
        <v/>
      </c>
      <c r="AB116">
        <f>IF(NOT(T116),"",IF(U116="설계사",설정!$B$31,IF(U116="시공사",IF(OR(M116="",설정!$B$24-N(M116)&lt;=설정!$B$28*30.4),설정!$B$32,설정!$B$33),설정!$B$34))+IF(AA116="★",설정!$B$35,0))</f>
        <v/>
      </c>
      <c r="AC116">
        <f>SUBSTITUTE(SUBSTITUTE(SUBSTITUTE(SUBSTITUTE(H116,"(주)",""),"㈜",""),"주식회사","")," ","")</f>
        <v/>
      </c>
      <c r="AD116">
        <f>IF(AND(T116,AC116&lt;&gt;""),IF(COUNTIFS(AC$2:AC116,AC116,T$2:T116,TRUE)=1,MAX(AD$1:AD115)+1,""),"")</f>
        <v/>
      </c>
    </row>
    <row r="117">
      <c r="A117">
        <f>ROW()</f>
        <v/>
      </c>
      <c r="B117">
        <f>IF(설정!$C$4="","",IFERROR(INDEX('1.산군_붙여넣기'!$A$1:$AZ$1001,ROW(),설정!$C$4)&amp;"",""))</f>
        <v/>
      </c>
      <c r="C117">
        <f>IF(설정!$C$5="","",IFERROR(INDEX('1.산군_붙여넣기'!$A$1:$AZ$1001,ROW(),설정!$C$5)&amp;"",""))</f>
        <v/>
      </c>
      <c r="D117" s="5">
        <f>IFERROR(VALUE(SUBSTITUTE(SUBSTITUTE(SUBSTITUTE(IF(설정!$C$6="","",IFERROR(INDEX('1.산군_붙여넣기'!$A$1:$AZ$1001,ROW(),설정!$C$6)&amp;"","")),",",""),"㎡",""),"m2","")),"")</f>
        <v/>
      </c>
      <c r="E117">
        <f>IF(설정!$C$7="","",IFERROR(INDEX('1.산군_붙여넣기'!$A$1:$AZ$1001,ROW(),설정!$C$7)&amp;"",""))</f>
        <v/>
      </c>
      <c r="F117">
        <f>IF(설정!$C$8="","",IFERROR(INDEX('1.산군_붙여넣기'!$A$1:$AZ$1001,ROW(),설정!$C$8)&amp;"",""))</f>
        <v/>
      </c>
      <c r="G117">
        <f>IF(설정!$C$9="","",IFERROR(INDEX('1.산군_붙여넣기'!$A$1:$AZ$1001,ROW(),설정!$C$9)&amp;"",""))</f>
        <v/>
      </c>
      <c r="H117">
        <f>IF(설정!$C$10="","",IFERROR(INDEX('1.산군_붙여넣기'!$A$1:$AZ$1001,ROW(),설정!$C$10)&amp;"",""))</f>
        <v/>
      </c>
      <c r="I117">
        <f>IF(설정!$C$11="","",IFERROR(INDEX('1.산군_붙여넣기'!$A$1:$AZ$1001,ROW(),설정!$C$11)&amp;"",""))</f>
        <v/>
      </c>
      <c r="J117">
        <f>IF(설정!$C$12="","",IFERROR(INDEX('1.산군_붙여넣기'!$A$1:$AZ$1001,ROW(),설정!$C$12)&amp;"",""))</f>
        <v/>
      </c>
      <c r="K117">
        <f>IF(설정!$C$13="","",IFERROR(INDEX('1.산군_붙여넣기'!$A$1:$AZ$1001,ROW(),설정!$C$13)&amp;"",""))</f>
        <v/>
      </c>
      <c r="L117" s="7">
        <f>IF(X117="","",IF(AND(LEN(X117)=8,ISNUMBER(X117*1)),DATE(LEFT(X117,4),MID(X117,5,2),RIGHT(X117,2)),IFERROR(DATEVALUE(SUBSTITUTE(SUBSTITUTE(X117,".","-"),"/","-")),IFERROR(X117*1,""))))</f>
        <v/>
      </c>
      <c r="M117" s="7">
        <f>IF(Y117="","",IF(AND(LEN(Y117)=8,ISNUMBER(Y117*1)),DATE(LEFT(Y117,4),MID(Y117,5,2),RIGHT(Y117,2)),IFERROR(DATEVALUE(SUBSTITUTE(SUBSTITUTE(Y117,".","-"),"/","-")),IFERROR(Y117*1,""))))</f>
        <v/>
      </c>
      <c r="N117">
        <f>IFERROR(LEFT(B117,FIND(" ",B117)-1),B117)</f>
        <v/>
      </c>
      <c r="O117">
        <f>AND(B117&lt;&gt;"",B117&lt;&gt;설정!$B$4,C117&lt;&gt;설정!$B$5)</f>
        <v/>
      </c>
      <c r="P117">
        <f>IF(O117,B117&amp;"|"&amp;C117,"")</f>
        <v/>
      </c>
      <c r="Q117">
        <f>AND(O117,COUNTIF(P118:P$1002,P117)=0)</f>
        <v/>
      </c>
      <c r="R117">
        <f>OR(AND(설정!$A$42&lt;&gt;"",ISNUMBER(SEARCH(설정!$A$42,E117&amp;" "&amp;C117))),AND(설정!$A$43&lt;&gt;"",ISNUMBER(SEARCH(설정!$A$43,E117&amp;" "&amp;C117))),AND(설정!$A$44&lt;&gt;"",ISNUMBER(SEARCH(설정!$A$44,E117&amp;" "&amp;C117))),AND(설정!$A$45&lt;&gt;"",ISNUMBER(SEARCH(설정!$A$45,E117&amp;" "&amp;C117))),AND(설정!$A$46&lt;&gt;"",ISNUMBER(SEARCH(설정!$A$46,E117&amp;" "&amp;C117))),AND(설정!$A$47&lt;&gt;"",ISNUMBER(SEARCH(설정!$A$47,E117&amp;" "&amp;C117))),AND(설정!$A$48&lt;&gt;"",ISNUMBER(SEARCH(설정!$A$48,E117&amp;" "&amp;C117))),AND(설정!$A$49&lt;&gt;"",ISNUMBER(SEARCH(설정!$A$49,E117&amp;" "&amp;C117))),AND(설정!$A$50&lt;&gt;"",ISNUMBER(SEARCH(설정!$A$50,E117&amp;" "&amp;C117))),AND(설정!$A$51&lt;&gt;"",ISNUMBER(SEARCH(설정!$A$51,E117&amp;" "&amp;C117))))</f>
        <v/>
      </c>
      <c r="S117">
        <f>OR(D117="",D117&gt;=설정!$B$19)</f>
        <v/>
      </c>
      <c r="T117">
        <f>AND(Q117,R117,S117)</f>
        <v/>
      </c>
      <c r="U117">
        <f>IF(T117,IF(AND(설정!$A$54&lt;&gt;"",ISNUMBER(SEARCH(설정!$A$54,K117))),설정!$B$54,IF(AND(설정!$A$55&lt;&gt;"",ISNUMBER(SEARCH(설정!$A$55,K117))),설정!$B$55,IF(AND(설정!$A$56&lt;&gt;"",ISNUMBER(SEARCH(설정!$A$56,K117))),설정!$B$56,IF(AND(설정!$A$57&lt;&gt;"",ISNUMBER(SEARCH(설정!$A$57,K117))),설정!$B$57,IF(AND(설정!$A$58&lt;&gt;"",ISNUMBER(SEARCH(설정!$A$58,K117))),설정!$B$58,IF(AND(설정!$A$59&lt;&gt;"",ISNUMBER(SEARCH(설정!$A$59,K117))),설정!$B$59,IF(AND(설정!$A$60&lt;&gt;"",ISNUMBER(SEARCH(설정!$A$60,K117))),설정!$B$60,IF(AND(설정!$A$61&lt;&gt;"",ISNUMBER(SEARCH(설정!$A$61,K117))),설정!$B$61,IF(M117="","설계사","시공사"))))))))),"")</f>
        <v/>
      </c>
      <c r="V117">
        <f>SUBSTITUTE(SUBSTITUTE(SUBSTITUTE(SUBSTITUTE(G117,"(주)",""),"㈜",""),"주식회사","")," ","")</f>
        <v/>
      </c>
      <c r="W117">
        <f>IF(AND(T117,V117&lt;&gt;""),IF(COUNTIFS(V$2:V117,V117,T$2:T117,TRUE)=1,MAX(W$1:W116)+1,""),"")</f>
        <v/>
      </c>
      <c r="X117">
        <f>IF(설정!$C$14="","",IFERROR(INDEX('1.산군_붙여넣기'!$A$1:$AZ$1001,ROW(),설정!$C$14)&amp;"",""))</f>
        <v/>
      </c>
      <c r="Y117">
        <f>IF(설정!$C$15="","",IFERROR(INDEX('1.산군_붙여넣기'!$A$1:$AZ$1001,ROW(),설정!$C$15)&amp;"",""))</f>
        <v/>
      </c>
      <c r="Z117">
        <f>IF(T117,V117&amp;"|"&amp;U117,"")</f>
        <v/>
      </c>
      <c r="AA117">
        <f>IF(NOT(Q117),"",IF(NOT(AND(R117,S117)),"✕",IF(OR(OR(AND(L117&lt;&gt;"",M117&lt;&gt;"",N(M117)-N(L117)&gt;설정!$B$27),AND(L117&lt;&gt;"",M117="",설정!$B$24-N(L117)&gt;설정!$B$27)),AND(D117&lt;&gt;"",D117&lt;설정!$B$26)),"△","★")))</f>
        <v/>
      </c>
      <c r="AB117">
        <f>IF(NOT(T117),"",IF(U117="설계사",설정!$B$31,IF(U117="시공사",IF(OR(M117="",설정!$B$24-N(M117)&lt;=설정!$B$28*30.4),설정!$B$32,설정!$B$33),설정!$B$34))+IF(AA117="★",설정!$B$35,0))</f>
        <v/>
      </c>
      <c r="AC117">
        <f>SUBSTITUTE(SUBSTITUTE(SUBSTITUTE(SUBSTITUTE(H117,"(주)",""),"㈜",""),"주식회사","")," ","")</f>
        <v/>
      </c>
      <c r="AD117">
        <f>IF(AND(T117,AC117&lt;&gt;""),IF(COUNTIFS(AC$2:AC117,AC117,T$2:T117,TRUE)=1,MAX(AD$1:AD116)+1,""),"")</f>
        <v/>
      </c>
    </row>
    <row r="118">
      <c r="A118">
        <f>ROW()</f>
        <v/>
      </c>
      <c r="B118">
        <f>IF(설정!$C$4="","",IFERROR(INDEX('1.산군_붙여넣기'!$A$1:$AZ$1001,ROW(),설정!$C$4)&amp;"",""))</f>
        <v/>
      </c>
      <c r="C118">
        <f>IF(설정!$C$5="","",IFERROR(INDEX('1.산군_붙여넣기'!$A$1:$AZ$1001,ROW(),설정!$C$5)&amp;"",""))</f>
        <v/>
      </c>
      <c r="D118" s="5">
        <f>IFERROR(VALUE(SUBSTITUTE(SUBSTITUTE(SUBSTITUTE(IF(설정!$C$6="","",IFERROR(INDEX('1.산군_붙여넣기'!$A$1:$AZ$1001,ROW(),설정!$C$6)&amp;"","")),",",""),"㎡",""),"m2","")),"")</f>
        <v/>
      </c>
      <c r="E118">
        <f>IF(설정!$C$7="","",IFERROR(INDEX('1.산군_붙여넣기'!$A$1:$AZ$1001,ROW(),설정!$C$7)&amp;"",""))</f>
        <v/>
      </c>
      <c r="F118">
        <f>IF(설정!$C$8="","",IFERROR(INDEX('1.산군_붙여넣기'!$A$1:$AZ$1001,ROW(),설정!$C$8)&amp;"",""))</f>
        <v/>
      </c>
      <c r="G118">
        <f>IF(설정!$C$9="","",IFERROR(INDEX('1.산군_붙여넣기'!$A$1:$AZ$1001,ROW(),설정!$C$9)&amp;"",""))</f>
        <v/>
      </c>
      <c r="H118">
        <f>IF(설정!$C$10="","",IFERROR(INDEX('1.산군_붙여넣기'!$A$1:$AZ$1001,ROW(),설정!$C$10)&amp;"",""))</f>
        <v/>
      </c>
      <c r="I118">
        <f>IF(설정!$C$11="","",IFERROR(INDEX('1.산군_붙여넣기'!$A$1:$AZ$1001,ROW(),설정!$C$11)&amp;"",""))</f>
        <v/>
      </c>
      <c r="J118">
        <f>IF(설정!$C$12="","",IFERROR(INDEX('1.산군_붙여넣기'!$A$1:$AZ$1001,ROW(),설정!$C$12)&amp;"",""))</f>
        <v/>
      </c>
      <c r="K118">
        <f>IF(설정!$C$13="","",IFERROR(INDEX('1.산군_붙여넣기'!$A$1:$AZ$1001,ROW(),설정!$C$13)&amp;"",""))</f>
        <v/>
      </c>
      <c r="L118" s="7">
        <f>IF(X118="","",IF(AND(LEN(X118)=8,ISNUMBER(X118*1)),DATE(LEFT(X118,4),MID(X118,5,2),RIGHT(X118,2)),IFERROR(DATEVALUE(SUBSTITUTE(SUBSTITUTE(X118,".","-"),"/","-")),IFERROR(X118*1,""))))</f>
        <v/>
      </c>
      <c r="M118" s="7">
        <f>IF(Y118="","",IF(AND(LEN(Y118)=8,ISNUMBER(Y118*1)),DATE(LEFT(Y118,4),MID(Y118,5,2),RIGHT(Y118,2)),IFERROR(DATEVALUE(SUBSTITUTE(SUBSTITUTE(Y118,".","-"),"/","-")),IFERROR(Y118*1,""))))</f>
        <v/>
      </c>
      <c r="N118">
        <f>IFERROR(LEFT(B118,FIND(" ",B118)-1),B118)</f>
        <v/>
      </c>
      <c r="O118">
        <f>AND(B118&lt;&gt;"",B118&lt;&gt;설정!$B$4,C118&lt;&gt;설정!$B$5)</f>
        <v/>
      </c>
      <c r="P118">
        <f>IF(O118,B118&amp;"|"&amp;C118,"")</f>
        <v/>
      </c>
      <c r="Q118">
        <f>AND(O118,COUNTIF(P119:P$1002,P118)=0)</f>
        <v/>
      </c>
      <c r="R118">
        <f>OR(AND(설정!$A$42&lt;&gt;"",ISNUMBER(SEARCH(설정!$A$42,E118&amp;" "&amp;C118))),AND(설정!$A$43&lt;&gt;"",ISNUMBER(SEARCH(설정!$A$43,E118&amp;" "&amp;C118))),AND(설정!$A$44&lt;&gt;"",ISNUMBER(SEARCH(설정!$A$44,E118&amp;" "&amp;C118))),AND(설정!$A$45&lt;&gt;"",ISNUMBER(SEARCH(설정!$A$45,E118&amp;" "&amp;C118))),AND(설정!$A$46&lt;&gt;"",ISNUMBER(SEARCH(설정!$A$46,E118&amp;" "&amp;C118))),AND(설정!$A$47&lt;&gt;"",ISNUMBER(SEARCH(설정!$A$47,E118&amp;" "&amp;C118))),AND(설정!$A$48&lt;&gt;"",ISNUMBER(SEARCH(설정!$A$48,E118&amp;" "&amp;C118))),AND(설정!$A$49&lt;&gt;"",ISNUMBER(SEARCH(설정!$A$49,E118&amp;" "&amp;C118))),AND(설정!$A$50&lt;&gt;"",ISNUMBER(SEARCH(설정!$A$50,E118&amp;" "&amp;C118))),AND(설정!$A$51&lt;&gt;"",ISNUMBER(SEARCH(설정!$A$51,E118&amp;" "&amp;C118))))</f>
        <v/>
      </c>
      <c r="S118">
        <f>OR(D118="",D118&gt;=설정!$B$19)</f>
        <v/>
      </c>
      <c r="T118">
        <f>AND(Q118,R118,S118)</f>
        <v/>
      </c>
      <c r="U118">
        <f>IF(T118,IF(AND(설정!$A$54&lt;&gt;"",ISNUMBER(SEARCH(설정!$A$54,K118))),설정!$B$54,IF(AND(설정!$A$55&lt;&gt;"",ISNUMBER(SEARCH(설정!$A$55,K118))),설정!$B$55,IF(AND(설정!$A$56&lt;&gt;"",ISNUMBER(SEARCH(설정!$A$56,K118))),설정!$B$56,IF(AND(설정!$A$57&lt;&gt;"",ISNUMBER(SEARCH(설정!$A$57,K118))),설정!$B$57,IF(AND(설정!$A$58&lt;&gt;"",ISNUMBER(SEARCH(설정!$A$58,K118))),설정!$B$58,IF(AND(설정!$A$59&lt;&gt;"",ISNUMBER(SEARCH(설정!$A$59,K118))),설정!$B$59,IF(AND(설정!$A$60&lt;&gt;"",ISNUMBER(SEARCH(설정!$A$60,K118))),설정!$B$60,IF(AND(설정!$A$61&lt;&gt;"",ISNUMBER(SEARCH(설정!$A$61,K118))),설정!$B$61,IF(M118="","설계사","시공사"))))))))),"")</f>
        <v/>
      </c>
      <c r="V118">
        <f>SUBSTITUTE(SUBSTITUTE(SUBSTITUTE(SUBSTITUTE(G118,"(주)",""),"㈜",""),"주식회사","")," ","")</f>
        <v/>
      </c>
      <c r="W118">
        <f>IF(AND(T118,V118&lt;&gt;""),IF(COUNTIFS(V$2:V118,V118,T$2:T118,TRUE)=1,MAX(W$1:W117)+1,""),"")</f>
        <v/>
      </c>
      <c r="X118">
        <f>IF(설정!$C$14="","",IFERROR(INDEX('1.산군_붙여넣기'!$A$1:$AZ$1001,ROW(),설정!$C$14)&amp;"",""))</f>
        <v/>
      </c>
      <c r="Y118">
        <f>IF(설정!$C$15="","",IFERROR(INDEX('1.산군_붙여넣기'!$A$1:$AZ$1001,ROW(),설정!$C$15)&amp;"",""))</f>
        <v/>
      </c>
      <c r="Z118">
        <f>IF(T118,V118&amp;"|"&amp;U118,"")</f>
        <v/>
      </c>
      <c r="AA118">
        <f>IF(NOT(Q118),"",IF(NOT(AND(R118,S118)),"✕",IF(OR(OR(AND(L118&lt;&gt;"",M118&lt;&gt;"",N(M118)-N(L118)&gt;설정!$B$27),AND(L118&lt;&gt;"",M118="",설정!$B$24-N(L118)&gt;설정!$B$27)),AND(D118&lt;&gt;"",D118&lt;설정!$B$26)),"△","★")))</f>
        <v/>
      </c>
      <c r="AB118">
        <f>IF(NOT(T118),"",IF(U118="설계사",설정!$B$31,IF(U118="시공사",IF(OR(M118="",설정!$B$24-N(M118)&lt;=설정!$B$28*30.4),설정!$B$32,설정!$B$33),설정!$B$34))+IF(AA118="★",설정!$B$35,0))</f>
        <v/>
      </c>
      <c r="AC118">
        <f>SUBSTITUTE(SUBSTITUTE(SUBSTITUTE(SUBSTITUTE(H118,"(주)",""),"㈜",""),"주식회사","")," ","")</f>
        <v/>
      </c>
      <c r="AD118">
        <f>IF(AND(T118,AC118&lt;&gt;""),IF(COUNTIFS(AC$2:AC118,AC118,T$2:T118,TRUE)=1,MAX(AD$1:AD117)+1,""),"")</f>
        <v/>
      </c>
    </row>
    <row r="119">
      <c r="A119">
        <f>ROW()</f>
        <v/>
      </c>
      <c r="B119">
        <f>IF(설정!$C$4="","",IFERROR(INDEX('1.산군_붙여넣기'!$A$1:$AZ$1001,ROW(),설정!$C$4)&amp;"",""))</f>
        <v/>
      </c>
      <c r="C119">
        <f>IF(설정!$C$5="","",IFERROR(INDEX('1.산군_붙여넣기'!$A$1:$AZ$1001,ROW(),설정!$C$5)&amp;"",""))</f>
        <v/>
      </c>
      <c r="D119" s="5">
        <f>IFERROR(VALUE(SUBSTITUTE(SUBSTITUTE(SUBSTITUTE(IF(설정!$C$6="","",IFERROR(INDEX('1.산군_붙여넣기'!$A$1:$AZ$1001,ROW(),설정!$C$6)&amp;"","")),",",""),"㎡",""),"m2","")),"")</f>
        <v/>
      </c>
      <c r="E119">
        <f>IF(설정!$C$7="","",IFERROR(INDEX('1.산군_붙여넣기'!$A$1:$AZ$1001,ROW(),설정!$C$7)&amp;"",""))</f>
        <v/>
      </c>
      <c r="F119">
        <f>IF(설정!$C$8="","",IFERROR(INDEX('1.산군_붙여넣기'!$A$1:$AZ$1001,ROW(),설정!$C$8)&amp;"",""))</f>
        <v/>
      </c>
      <c r="G119">
        <f>IF(설정!$C$9="","",IFERROR(INDEX('1.산군_붙여넣기'!$A$1:$AZ$1001,ROW(),설정!$C$9)&amp;"",""))</f>
        <v/>
      </c>
      <c r="H119">
        <f>IF(설정!$C$10="","",IFERROR(INDEX('1.산군_붙여넣기'!$A$1:$AZ$1001,ROW(),설정!$C$10)&amp;"",""))</f>
        <v/>
      </c>
      <c r="I119">
        <f>IF(설정!$C$11="","",IFERROR(INDEX('1.산군_붙여넣기'!$A$1:$AZ$1001,ROW(),설정!$C$11)&amp;"",""))</f>
        <v/>
      </c>
      <c r="J119">
        <f>IF(설정!$C$12="","",IFERROR(INDEX('1.산군_붙여넣기'!$A$1:$AZ$1001,ROW(),설정!$C$12)&amp;"",""))</f>
        <v/>
      </c>
      <c r="K119">
        <f>IF(설정!$C$13="","",IFERROR(INDEX('1.산군_붙여넣기'!$A$1:$AZ$1001,ROW(),설정!$C$13)&amp;"",""))</f>
        <v/>
      </c>
      <c r="L119" s="7">
        <f>IF(X119="","",IF(AND(LEN(X119)=8,ISNUMBER(X119*1)),DATE(LEFT(X119,4),MID(X119,5,2),RIGHT(X119,2)),IFERROR(DATEVALUE(SUBSTITUTE(SUBSTITUTE(X119,".","-"),"/","-")),IFERROR(X119*1,""))))</f>
        <v/>
      </c>
      <c r="M119" s="7">
        <f>IF(Y119="","",IF(AND(LEN(Y119)=8,ISNUMBER(Y119*1)),DATE(LEFT(Y119,4),MID(Y119,5,2),RIGHT(Y119,2)),IFERROR(DATEVALUE(SUBSTITUTE(SUBSTITUTE(Y119,".","-"),"/","-")),IFERROR(Y119*1,""))))</f>
        <v/>
      </c>
      <c r="N119">
        <f>IFERROR(LEFT(B119,FIND(" ",B119)-1),B119)</f>
        <v/>
      </c>
      <c r="O119">
        <f>AND(B119&lt;&gt;"",B119&lt;&gt;설정!$B$4,C119&lt;&gt;설정!$B$5)</f>
        <v/>
      </c>
      <c r="P119">
        <f>IF(O119,B119&amp;"|"&amp;C119,"")</f>
        <v/>
      </c>
      <c r="Q119">
        <f>AND(O119,COUNTIF(P120:P$1002,P119)=0)</f>
        <v/>
      </c>
      <c r="R119">
        <f>OR(AND(설정!$A$42&lt;&gt;"",ISNUMBER(SEARCH(설정!$A$42,E119&amp;" "&amp;C119))),AND(설정!$A$43&lt;&gt;"",ISNUMBER(SEARCH(설정!$A$43,E119&amp;" "&amp;C119))),AND(설정!$A$44&lt;&gt;"",ISNUMBER(SEARCH(설정!$A$44,E119&amp;" "&amp;C119))),AND(설정!$A$45&lt;&gt;"",ISNUMBER(SEARCH(설정!$A$45,E119&amp;" "&amp;C119))),AND(설정!$A$46&lt;&gt;"",ISNUMBER(SEARCH(설정!$A$46,E119&amp;" "&amp;C119))),AND(설정!$A$47&lt;&gt;"",ISNUMBER(SEARCH(설정!$A$47,E119&amp;" "&amp;C119))),AND(설정!$A$48&lt;&gt;"",ISNUMBER(SEARCH(설정!$A$48,E119&amp;" "&amp;C119))),AND(설정!$A$49&lt;&gt;"",ISNUMBER(SEARCH(설정!$A$49,E119&amp;" "&amp;C119))),AND(설정!$A$50&lt;&gt;"",ISNUMBER(SEARCH(설정!$A$50,E119&amp;" "&amp;C119))),AND(설정!$A$51&lt;&gt;"",ISNUMBER(SEARCH(설정!$A$51,E119&amp;" "&amp;C119))))</f>
        <v/>
      </c>
      <c r="S119">
        <f>OR(D119="",D119&gt;=설정!$B$19)</f>
        <v/>
      </c>
      <c r="T119">
        <f>AND(Q119,R119,S119)</f>
        <v/>
      </c>
      <c r="U119">
        <f>IF(T119,IF(AND(설정!$A$54&lt;&gt;"",ISNUMBER(SEARCH(설정!$A$54,K119))),설정!$B$54,IF(AND(설정!$A$55&lt;&gt;"",ISNUMBER(SEARCH(설정!$A$55,K119))),설정!$B$55,IF(AND(설정!$A$56&lt;&gt;"",ISNUMBER(SEARCH(설정!$A$56,K119))),설정!$B$56,IF(AND(설정!$A$57&lt;&gt;"",ISNUMBER(SEARCH(설정!$A$57,K119))),설정!$B$57,IF(AND(설정!$A$58&lt;&gt;"",ISNUMBER(SEARCH(설정!$A$58,K119))),설정!$B$58,IF(AND(설정!$A$59&lt;&gt;"",ISNUMBER(SEARCH(설정!$A$59,K119))),설정!$B$59,IF(AND(설정!$A$60&lt;&gt;"",ISNUMBER(SEARCH(설정!$A$60,K119))),설정!$B$60,IF(AND(설정!$A$61&lt;&gt;"",ISNUMBER(SEARCH(설정!$A$61,K119))),설정!$B$61,IF(M119="","설계사","시공사"))))))))),"")</f>
        <v/>
      </c>
      <c r="V119">
        <f>SUBSTITUTE(SUBSTITUTE(SUBSTITUTE(SUBSTITUTE(G119,"(주)",""),"㈜",""),"주식회사","")," ","")</f>
        <v/>
      </c>
      <c r="W119">
        <f>IF(AND(T119,V119&lt;&gt;""),IF(COUNTIFS(V$2:V119,V119,T$2:T119,TRUE)=1,MAX(W$1:W118)+1,""),"")</f>
        <v/>
      </c>
      <c r="X119">
        <f>IF(설정!$C$14="","",IFERROR(INDEX('1.산군_붙여넣기'!$A$1:$AZ$1001,ROW(),설정!$C$14)&amp;"",""))</f>
        <v/>
      </c>
      <c r="Y119">
        <f>IF(설정!$C$15="","",IFERROR(INDEX('1.산군_붙여넣기'!$A$1:$AZ$1001,ROW(),설정!$C$15)&amp;"",""))</f>
        <v/>
      </c>
      <c r="Z119">
        <f>IF(T119,V119&amp;"|"&amp;U119,"")</f>
        <v/>
      </c>
      <c r="AA119">
        <f>IF(NOT(Q119),"",IF(NOT(AND(R119,S119)),"✕",IF(OR(OR(AND(L119&lt;&gt;"",M119&lt;&gt;"",N(M119)-N(L119)&gt;설정!$B$27),AND(L119&lt;&gt;"",M119="",설정!$B$24-N(L119)&gt;설정!$B$27)),AND(D119&lt;&gt;"",D119&lt;설정!$B$26)),"△","★")))</f>
        <v/>
      </c>
      <c r="AB119">
        <f>IF(NOT(T119),"",IF(U119="설계사",설정!$B$31,IF(U119="시공사",IF(OR(M119="",설정!$B$24-N(M119)&lt;=설정!$B$28*30.4),설정!$B$32,설정!$B$33),설정!$B$34))+IF(AA119="★",설정!$B$35,0))</f>
        <v/>
      </c>
      <c r="AC119">
        <f>SUBSTITUTE(SUBSTITUTE(SUBSTITUTE(SUBSTITUTE(H119,"(주)",""),"㈜",""),"주식회사","")," ","")</f>
        <v/>
      </c>
      <c r="AD119">
        <f>IF(AND(T119,AC119&lt;&gt;""),IF(COUNTIFS(AC$2:AC119,AC119,T$2:T119,TRUE)=1,MAX(AD$1:AD118)+1,""),"")</f>
        <v/>
      </c>
    </row>
    <row r="120">
      <c r="A120">
        <f>ROW()</f>
        <v/>
      </c>
      <c r="B120">
        <f>IF(설정!$C$4="","",IFERROR(INDEX('1.산군_붙여넣기'!$A$1:$AZ$1001,ROW(),설정!$C$4)&amp;"",""))</f>
        <v/>
      </c>
      <c r="C120">
        <f>IF(설정!$C$5="","",IFERROR(INDEX('1.산군_붙여넣기'!$A$1:$AZ$1001,ROW(),설정!$C$5)&amp;"",""))</f>
        <v/>
      </c>
      <c r="D120" s="5">
        <f>IFERROR(VALUE(SUBSTITUTE(SUBSTITUTE(SUBSTITUTE(IF(설정!$C$6="","",IFERROR(INDEX('1.산군_붙여넣기'!$A$1:$AZ$1001,ROW(),설정!$C$6)&amp;"","")),",",""),"㎡",""),"m2","")),"")</f>
        <v/>
      </c>
      <c r="E120">
        <f>IF(설정!$C$7="","",IFERROR(INDEX('1.산군_붙여넣기'!$A$1:$AZ$1001,ROW(),설정!$C$7)&amp;"",""))</f>
        <v/>
      </c>
      <c r="F120">
        <f>IF(설정!$C$8="","",IFERROR(INDEX('1.산군_붙여넣기'!$A$1:$AZ$1001,ROW(),설정!$C$8)&amp;"",""))</f>
        <v/>
      </c>
      <c r="G120">
        <f>IF(설정!$C$9="","",IFERROR(INDEX('1.산군_붙여넣기'!$A$1:$AZ$1001,ROW(),설정!$C$9)&amp;"",""))</f>
        <v/>
      </c>
      <c r="H120">
        <f>IF(설정!$C$10="","",IFERROR(INDEX('1.산군_붙여넣기'!$A$1:$AZ$1001,ROW(),설정!$C$10)&amp;"",""))</f>
        <v/>
      </c>
      <c r="I120">
        <f>IF(설정!$C$11="","",IFERROR(INDEX('1.산군_붙여넣기'!$A$1:$AZ$1001,ROW(),설정!$C$11)&amp;"",""))</f>
        <v/>
      </c>
      <c r="J120">
        <f>IF(설정!$C$12="","",IFERROR(INDEX('1.산군_붙여넣기'!$A$1:$AZ$1001,ROW(),설정!$C$12)&amp;"",""))</f>
        <v/>
      </c>
      <c r="K120">
        <f>IF(설정!$C$13="","",IFERROR(INDEX('1.산군_붙여넣기'!$A$1:$AZ$1001,ROW(),설정!$C$13)&amp;"",""))</f>
        <v/>
      </c>
      <c r="L120" s="7">
        <f>IF(X120="","",IF(AND(LEN(X120)=8,ISNUMBER(X120*1)),DATE(LEFT(X120,4),MID(X120,5,2),RIGHT(X120,2)),IFERROR(DATEVALUE(SUBSTITUTE(SUBSTITUTE(X120,".","-"),"/","-")),IFERROR(X120*1,""))))</f>
        <v/>
      </c>
      <c r="M120" s="7">
        <f>IF(Y120="","",IF(AND(LEN(Y120)=8,ISNUMBER(Y120*1)),DATE(LEFT(Y120,4),MID(Y120,5,2),RIGHT(Y120,2)),IFERROR(DATEVALUE(SUBSTITUTE(SUBSTITUTE(Y120,".","-"),"/","-")),IFERROR(Y120*1,""))))</f>
        <v/>
      </c>
      <c r="N120">
        <f>IFERROR(LEFT(B120,FIND(" ",B120)-1),B120)</f>
        <v/>
      </c>
      <c r="O120">
        <f>AND(B120&lt;&gt;"",B120&lt;&gt;설정!$B$4,C120&lt;&gt;설정!$B$5)</f>
        <v/>
      </c>
      <c r="P120">
        <f>IF(O120,B120&amp;"|"&amp;C120,"")</f>
        <v/>
      </c>
      <c r="Q120">
        <f>AND(O120,COUNTIF(P121:P$1002,P120)=0)</f>
        <v/>
      </c>
      <c r="R120">
        <f>OR(AND(설정!$A$42&lt;&gt;"",ISNUMBER(SEARCH(설정!$A$42,E120&amp;" "&amp;C120))),AND(설정!$A$43&lt;&gt;"",ISNUMBER(SEARCH(설정!$A$43,E120&amp;" "&amp;C120))),AND(설정!$A$44&lt;&gt;"",ISNUMBER(SEARCH(설정!$A$44,E120&amp;" "&amp;C120))),AND(설정!$A$45&lt;&gt;"",ISNUMBER(SEARCH(설정!$A$45,E120&amp;" "&amp;C120))),AND(설정!$A$46&lt;&gt;"",ISNUMBER(SEARCH(설정!$A$46,E120&amp;" "&amp;C120))),AND(설정!$A$47&lt;&gt;"",ISNUMBER(SEARCH(설정!$A$47,E120&amp;" "&amp;C120))),AND(설정!$A$48&lt;&gt;"",ISNUMBER(SEARCH(설정!$A$48,E120&amp;" "&amp;C120))),AND(설정!$A$49&lt;&gt;"",ISNUMBER(SEARCH(설정!$A$49,E120&amp;" "&amp;C120))),AND(설정!$A$50&lt;&gt;"",ISNUMBER(SEARCH(설정!$A$50,E120&amp;" "&amp;C120))),AND(설정!$A$51&lt;&gt;"",ISNUMBER(SEARCH(설정!$A$51,E120&amp;" "&amp;C120))))</f>
        <v/>
      </c>
      <c r="S120">
        <f>OR(D120="",D120&gt;=설정!$B$19)</f>
        <v/>
      </c>
      <c r="T120">
        <f>AND(Q120,R120,S120)</f>
        <v/>
      </c>
      <c r="U120">
        <f>IF(T120,IF(AND(설정!$A$54&lt;&gt;"",ISNUMBER(SEARCH(설정!$A$54,K120))),설정!$B$54,IF(AND(설정!$A$55&lt;&gt;"",ISNUMBER(SEARCH(설정!$A$55,K120))),설정!$B$55,IF(AND(설정!$A$56&lt;&gt;"",ISNUMBER(SEARCH(설정!$A$56,K120))),설정!$B$56,IF(AND(설정!$A$57&lt;&gt;"",ISNUMBER(SEARCH(설정!$A$57,K120))),설정!$B$57,IF(AND(설정!$A$58&lt;&gt;"",ISNUMBER(SEARCH(설정!$A$58,K120))),설정!$B$58,IF(AND(설정!$A$59&lt;&gt;"",ISNUMBER(SEARCH(설정!$A$59,K120))),설정!$B$59,IF(AND(설정!$A$60&lt;&gt;"",ISNUMBER(SEARCH(설정!$A$60,K120))),설정!$B$60,IF(AND(설정!$A$61&lt;&gt;"",ISNUMBER(SEARCH(설정!$A$61,K120))),설정!$B$61,IF(M120="","설계사","시공사"))))))))),"")</f>
        <v/>
      </c>
      <c r="V120">
        <f>SUBSTITUTE(SUBSTITUTE(SUBSTITUTE(SUBSTITUTE(G120,"(주)",""),"㈜",""),"주식회사","")," ","")</f>
        <v/>
      </c>
      <c r="W120">
        <f>IF(AND(T120,V120&lt;&gt;""),IF(COUNTIFS(V$2:V120,V120,T$2:T120,TRUE)=1,MAX(W$1:W119)+1,""),"")</f>
        <v/>
      </c>
      <c r="X120">
        <f>IF(설정!$C$14="","",IFERROR(INDEX('1.산군_붙여넣기'!$A$1:$AZ$1001,ROW(),설정!$C$14)&amp;"",""))</f>
        <v/>
      </c>
      <c r="Y120">
        <f>IF(설정!$C$15="","",IFERROR(INDEX('1.산군_붙여넣기'!$A$1:$AZ$1001,ROW(),설정!$C$15)&amp;"",""))</f>
        <v/>
      </c>
      <c r="Z120">
        <f>IF(T120,V120&amp;"|"&amp;U120,"")</f>
        <v/>
      </c>
      <c r="AA120">
        <f>IF(NOT(Q120),"",IF(NOT(AND(R120,S120)),"✕",IF(OR(OR(AND(L120&lt;&gt;"",M120&lt;&gt;"",N(M120)-N(L120)&gt;설정!$B$27),AND(L120&lt;&gt;"",M120="",설정!$B$24-N(L120)&gt;설정!$B$27)),AND(D120&lt;&gt;"",D120&lt;설정!$B$26)),"△","★")))</f>
        <v/>
      </c>
      <c r="AB120">
        <f>IF(NOT(T120),"",IF(U120="설계사",설정!$B$31,IF(U120="시공사",IF(OR(M120="",설정!$B$24-N(M120)&lt;=설정!$B$28*30.4),설정!$B$32,설정!$B$33),설정!$B$34))+IF(AA120="★",설정!$B$35,0))</f>
        <v/>
      </c>
      <c r="AC120">
        <f>SUBSTITUTE(SUBSTITUTE(SUBSTITUTE(SUBSTITUTE(H120,"(주)",""),"㈜",""),"주식회사","")," ","")</f>
        <v/>
      </c>
      <c r="AD120">
        <f>IF(AND(T120,AC120&lt;&gt;""),IF(COUNTIFS(AC$2:AC120,AC120,T$2:T120,TRUE)=1,MAX(AD$1:AD119)+1,""),"")</f>
        <v/>
      </c>
    </row>
    <row r="121">
      <c r="A121">
        <f>ROW()</f>
        <v/>
      </c>
      <c r="B121">
        <f>IF(설정!$C$4="","",IFERROR(INDEX('1.산군_붙여넣기'!$A$1:$AZ$1001,ROW(),설정!$C$4)&amp;"",""))</f>
        <v/>
      </c>
      <c r="C121">
        <f>IF(설정!$C$5="","",IFERROR(INDEX('1.산군_붙여넣기'!$A$1:$AZ$1001,ROW(),설정!$C$5)&amp;"",""))</f>
        <v/>
      </c>
      <c r="D121" s="5">
        <f>IFERROR(VALUE(SUBSTITUTE(SUBSTITUTE(SUBSTITUTE(IF(설정!$C$6="","",IFERROR(INDEX('1.산군_붙여넣기'!$A$1:$AZ$1001,ROW(),설정!$C$6)&amp;"","")),",",""),"㎡",""),"m2","")),"")</f>
        <v/>
      </c>
      <c r="E121">
        <f>IF(설정!$C$7="","",IFERROR(INDEX('1.산군_붙여넣기'!$A$1:$AZ$1001,ROW(),설정!$C$7)&amp;"",""))</f>
        <v/>
      </c>
      <c r="F121">
        <f>IF(설정!$C$8="","",IFERROR(INDEX('1.산군_붙여넣기'!$A$1:$AZ$1001,ROW(),설정!$C$8)&amp;"",""))</f>
        <v/>
      </c>
      <c r="G121">
        <f>IF(설정!$C$9="","",IFERROR(INDEX('1.산군_붙여넣기'!$A$1:$AZ$1001,ROW(),설정!$C$9)&amp;"",""))</f>
        <v/>
      </c>
      <c r="H121">
        <f>IF(설정!$C$10="","",IFERROR(INDEX('1.산군_붙여넣기'!$A$1:$AZ$1001,ROW(),설정!$C$10)&amp;"",""))</f>
        <v/>
      </c>
      <c r="I121">
        <f>IF(설정!$C$11="","",IFERROR(INDEX('1.산군_붙여넣기'!$A$1:$AZ$1001,ROW(),설정!$C$11)&amp;"",""))</f>
        <v/>
      </c>
      <c r="J121">
        <f>IF(설정!$C$12="","",IFERROR(INDEX('1.산군_붙여넣기'!$A$1:$AZ$1001,ROW(),설정!$C$12)&amp;"",""))</f>
        <v/>
      </c>
      <c r="K121">
        <f>IF(설정!$C$13="","",IFERROR(INDEX('1.산군_붙여넣기'!$A$1:$AZ$1001,ROW(),설정!$C$13)&amp;"",""))</f>
        <v/>
      </c>
      <c r="L121" s="7">
        <f>IF(X121="","",IF(AND(LEN(X121)=8,ISNUMBER(X121*1)),DATE(LEFT(X121,4),MID(X121,5,2),RIGHT(X121,2)),IFERROR(DATEVALUE(SUBSTITUTE(SUBSTITUTE(X121,".","-"),"/","-")),IFERROR(X121*1,""))))</f>
        <v/>
      </c>
      <c r="M121" s="7">
        <f>IF(Y121="","",IF(AND(LEN(Y121)=8,ISNUMBER(Y121*1)),DATE(LEFT(Y121,4),MID(Y121,5,2),RIGHT(Y121,2)),IFERROR(DATEVALUE(SUBSTITUTE(SUBSTITUTE(Y121,".","-"),"/","-")),IFERROR(Y121*1,""))))</f>
        <v/>
      </c>
      <c r="N121">
        <f>IFERROR(LEFT(B121,FIND(" ",B121)-1),B121)</f>
        <v/>
      </c>
      <c r="O121">
        <f>AND(B121&lt;&gt;"",B121&lt;&gt;설정!$B$4,C121&lt;&gt;설정!$B$5)</f>
        <v/>
      </c>
      <c r="P121">
        <f>IF(O121,B121&amp;"|"&amp;C121,"")</f>
        <v/>
      </c>
      <c r="Q121">
        <f>AND(O121,COUNTIF(P122:P$1002,P121)=0)</f>
        <v/>
      </c>
      <c r="R121">
        <f>OR(AND(설정!$A$42&lt;&gt;"",ISNUMBER(SEARCH(설정!$A$42,E121&amp;" "&amp;C121))),AND(설정!$A$43&lt;&gt;"",ISNUMBER(SEARCH(설정!$A$43,E121&amp;" "&amp;C121))),AND(설정!$A$44&lt;&gt;"",ISNUMBER(SEARCH(설정!$A$44,E121&amp;" "&amp;C121))),AND(설정!$A$45&lt;&gt;"",ISNUMBER(SEARCH(설정!$A$45,E121&amp;" "&amp;C121))),AND(설정!$A$46&lt;&gt;"",ISNUMBER(SEARCH(설정!$A$46,E121&amp;" "&amp;C121))),AND(설정!$A$47&lt;&gt;"",ISNUMBER(SEARCH(설정!$A$47,E121&amp;" "&amp;C121))),AND(설정!$A$48&lt;&gt;"",ISNUMBER(SEARCH(설정!$A$48,E121&amp;" "&amp;C121))),AND(설정!$A$49&lt;&gt;"",ISNUMBER(SEARCH(설정!$A$49,E121&amp;" "&amp;C121))),AND(설정!$A$50&lt;&gt;"",ISNUMBER(SEARCH(설정!$A$50,E121&amp;" "&amp;C121))),AND(설정!$A$51&lt;&gt;"",ISNUMBER(SEARCH(설정!$A$51,E121&amp;" "&amp;C121))))</f>
        <v/>
      </c>
      <c r="S121">
        <f>OR(D121="",D121&gt;=설정!$B$19)</f>
        <v/>
      </c>
      <c r="T121">
        <f>AND(Q121,R121,S121)</f>
        <v/>
      </c>
      <c r="U121">
        <f>IF(T121,IF(AND(설정!$A$54&lt;&gt;"",ISNUMBER(SEARCH(설정!$A$54,K121))),설정!$B$54,IF(AND(설정!$A$55&lt;&gt;"",ISNUMBER(SEARCH(설정!$A$55,K121))),설정!$B$55,IF(AND(설정!$A$56&lt;&gt;"",ISNUMBER(SEARCH(설정!$A$56,K121))),설정!$B$56,IF(AND(설정!$A$57&lt;&gt;"",ISNUMBER(SEARCH(설정!$A$57,K121))),설정!$B$57,IF(AND(설정!$A$58&lt;&gt;"",ISNUMBER(SEARCH(설정!$A$58,K121))),설정!$B$58,IF(AND(설정!$A$59&lt;&gt;"",ISNUMBER(SEARCH(설정!$A$59,K121))),설정!$B$59,IF(AND(설정!$A$60&lt;&gt;"",ISNUMBER(SEARCH(설정!$A$60,K121))),설정!$B$60,IF(AND(설정!$A$61&lt;&gt;"",ISNUMBER(SEARCH(설정!$A$61,K121))),설정!$B$61,IF(M121="","설계사","시공사"))))))))),"")</f>
        <v/>
      </c>
      <c r="V121">
        <f>SUBSTITUTE(SUBSTITUTE(SUBSTITUTE(SUBSTITUTE(G121,"(주)",""),"㈜",""),"주식회사","")," ","")</f>
        <v/>
      </c>
      <c r="W121">
        <f>IF(AND(T121,V121&lt;&gt;""),IF(COUNTIFS(V$2:V121,V121,T$2:T121,TRUE)=1,MAX(W$1:W120)+1,""),"")</f>
        <v/>
      </c>
      <c r="X121">
        <f>IF(설정!$C$14="","",IFERROR(INDEX('1.산군_붙여넣기'!$A$1:$AZ$1001,ROW(),설정!$C$14)&amp;"",""))</f>
        <v/>
      </c>
      <c r="Y121">
        <f>IF(설정!$C$15="","",IFERROR(INDEX('1.산군_붙여넣기'!$A$1:$AZ$1001,ROW(),설정!$C$15)&amp;"",""))</f>
        <v/>
      </c>
      <c r="Z121">
        <f>IF(T121,V121&amp;"|"&amp;U121,"")</f>
        <v/>
      </c>
      <c r="AA121">
        <f>IF(NOT(Q121),"",IF(NOT(AND(R121,S121)),"✕",IF(OR(OR(AND(L121&lt;&gt;"",M121&lt;&gt;"",N(M121)-N(L121)&gt;설정!$B$27),AND(L121&lt;&gt;"",M121="",설정!$B$24-N(L121)&gt;설정!$B$27)),AND(D121&lt;&gt;"",D121&lt;설정!$B$26)),"△","★")))</f>
        <v/>
      </c>
      <c r="AB121">
        <f>IF(NOT(T121),"",IF(U121="설계사",설정!$B$31,IF(U121="시공사",IF(OR(M121="",설정!$B$24-N(M121)&lt;=설정!$B$28*30.4),설정!$B$32,설정!$B$33),설정!$B$34))+IF(AA121="★",설정!$B$35,0))</f>
        <v/>
      </c>
      <c r="AC121">
        <f>SUBSTITUTE(SUBSTITUTE(SUBSTITUTE(SUBSTITUTE(H121,"(주)",""),"㈜",""),"주식회사","")," ","")</f>
        <v/>
      </c>
      <c r="AD121">
        <f>IF(AND(T121,AC121&lt;&gt;""),IF(COUNTIFS(AC$2:AC121,AC121,T$2:T121,TRUE)=1,MAX(AD$1:AD120)+1,""),"")</f>
        <v/>
      </c>
    </row>
    <row r="122">
      <c r="A122">
        <f>ROW()</f>
        <v/>
      </c>
      <c r="B122">
        <f>IF(설정!$C$4="","",IFERROR(INDEX('1.산군_붙여넣기'!$A$1:$AZ$1001,ROW(),설정!$C$4)&amp;"",""))</f>
        <v/>
      </c>
      <c r="C122">
        <f>IF(설정!$C$5="","",IFERROR(INDEX('1.산군_붙여넣기'!$A$1:$AZ$1001,ROW(),설정!$C$5)&amp;"",""))</f>
        <v/>
      </c>
      <c r="D122" s="5">
        <f>IFERROR(VALUE(SUBSTITUTE(SUBSTITUTE(SUBSTITUTE(IF(설정!$C$6="","",IFERROR(INDEX('1.산군_붙여넣기'!$A$1:$AZ$1001,ROW(),설정!$C$6)&amp;"","")),",",""),"㎡",""),"m2","")),"")</f>
        <v/>
      </c>
      <c r="E122">
        <f>IF(설정!$C$7="","",IFERROR(INDEX('1.산군_붙여넣기'!$A$1:$AZ$1001,ROW(),설정!$C$7)&amp;"",""))</f>
        <v/>
      </c>
      <c r="F122">
        <f>IF(설정!$C$8="","",IFERROR(INDEX('1.산군_붙여넣기'!$A$1:$AZ$1001,ROW(),설정!$C$8)&amp;"",""))</f>
        <v/>
      </c>
      <c r="G122">
        <f>IF(설정!$C$9="","",IFERROR(INDEX('1.산군_붙여넣기'!$A$1:$AZ$1001,ROW(),설정!$C$9)&amp;"",""))</f>
        <v/>
      </c>
      <c r="H122">
        <f>IF(설정!$C$10="","",IFERROR(INDEX('1.산군_붙여넣기'!$A$1:$AZ$1001,ROW(),설정!$C$10)&amp;"",""))</f>
        <v/>
      </c>
      <c r="I122">
        <f>IF(설정!$C$11="","",IFERROR(INDEX('1.산군_붙여넣기'!$A$1:$AZ$1001,ROW(),설정!$C$11)&amp;"",""))</f>
        <v/>
      </c>
      <c r="J122">
        <f>IF(설정!$C$12="","",IFERROR(INDEX('1.산군_붙여넣기'!$A$1:$AZ$1001,ROW(),설정!$C$12)&amp;"",""))</f>
        <v/>
      </c>
      <c r="K122">
        <f>IF(설정!$C$13="","",IFERROR(INDEX('1.산군_붙여넣기'!$A$1:$AZ$1001,ROW(),설정!$C$13)&amp;"",""))</f>
        <v/>
      </c>
      <c r="L122" s="7">
        <f>IF(X122="","",IF(AND(LEN(X122)=8,ISNUMBER(X122*1)),DATE(LEFT(X122,4),MID(X122,5,2),RIGHT(X122,2)),IFERROR(DATEVALUE(SUBSTITUTE(SUBSTITUTE(X122,".","-"),"/","-")),IFERROR(X122*1,""))))</f>
        <v/>
      </c>
      <c r="M122" s="7">
        <f>IF(Y122="","",IF(AND(LEN(Y122)=8,ISNUMBER(Y122*1)),DATE(LEFT(Y122,4),MID(Y122,5,2),RIGHT(Y122,2)),IFERROR(DATEVALUE(SUBSTITUTE(SUBSTITUTE(Y122,".","-"),"/","-")),IFERROR(Y122*1,""))))</f>
        <v/>
      </c>
      <c r="N122">
        <f>IFERROR(LEFT(B122,FIND(" ",B122)-1),B122)</f>
        <v/>
      </c>
      <c r="O122">
        <f>AND(B122&lt;&gt;"",B122&lt;&gt;설정!$B$4,C122&lt;&gt;설정!$B$5)</f>
        <v/>
      </c>
      <c r="P122">
        <f>IF(O122,B122&amp;"|"&amp;C122,"")</f>
        <v/>
      </c>
      <c r="Q122">
        <f>AND(O122,COUNTIF(P123:P$1002,P122)=0)</f>
        <v/>
      </c>
      <c r="R122">
        <f>OR(AND(설정!$A$42&lt;&gt;"",ISNUMBER(SEARCH(설정!$A$42,E122&amp;" "&amp;C122))),AND(설정!$A$43&lt;&gt;"",ISNUMBER(SEARCH(설정!$A$43,E122&amp;" "&amp;C122))),AND(설정!$A$44&lt;&gt;"",ISNUMBER(SEARCH(설정!$A$44,E122&amp;" "&amp;C122))),AND(설정!$A$45&lt;&gt;"",ISNUMBER(SEARCH(설정!$A$45,E122&amp;" "&amp;C122))),AND(설정!$A$46&lt;&gt;"",ISNUMBER(SEARCH(설정!$A$46,E122&amp;" "&amp;C122))),AND(설정!$A$47&lt;&gt;"",ISNUMBER(SEARCH(설정!$A$47,E122&amp;" "&amp;C122))),AND(설정!$A$48&lt;&gt;"",ISNUMBER(SEARCH(설정!$A$48,E122&amp;" "&amp;C122))),AND(설정!$A$49&lt;&gt;"",ISNUMBER(SEARCH(설정!$A$49,E122&amp;" "&amp;C122))),AND(설정!$A$50&lt;&gt;"",ISNUMBER(SEARCH(설정!$A$50,E122&amp;" "&amp;C122))),AND(설정!$A$51&lt;&gt;"",ISNUMBER(SEARCH(설정!$A$51,E122&amp;" "&amp;C122))))</f>
        <v/>
      </c>
      <c r="S122">
        <f>OR(D122="",D122&gt;=설정!$B$19)</f>
        <v/>
      </c>
      <c r="T122">
        <f>AND(Q122,R122,S122)</f>
        <v/>
      </c>
      <c r="U122">
        <f>IF(T122,IF(AND(설정!$A$54&lt;&gt;"",ISNUMBER(SEARCH(설정!$A$54,K122))),설정!$B$54,IF(AND(설정!$A$55&lt;&gt;"",ISNUMBER(SEARCH(설정!$A$55,K122))),설정!$B$55,IF(AND(설정!$A$56&lt;&gt;"",ISNUMBER(SEARCH(설정!$A$56,K122))),설정!$B$56,IF(AND(설정!$A$57&lt;&gt;"",ISNUMBER(SEARCH(설정!$A$57,K122))),설정!$B$57,IF(AND(설정!$A$58&lt;&gt;"",ISNUMBER(SEARCH(설정!$A$58,K122))),설정!$B$58,IF(AND(설정!$A$59&lt;&gt;"",ISNUMBER(SEARCH(설정!$A$59,K122))),설정!$B$59,IF(AND(설정!$A$60&lt;&gt;"",ISNUMBER(SEARCH(설정!$A$60,K122))),설정!$B$60,IF(AND(설정!$A$61&lt;&gt;"",ISNUMBER(SEARCH(설정!$A$61,K122))),설정!$B$61,IF(M122="","설계사","시공사"))))))))),"")</f>
        <v/>
      </c>
      <c r="V122">
        <f>SUBSTITUTE(SUBSTITUTE(SUBSTITUTE(SUBSTITUTE(G122,"(주)",""),"㈜",""),"주식회사","")," ","")</f>
        <v/>
      </c>
      <c r="W122">
        <f>IF(AND(T122,V122&lt;&gt;""),IF(COUNTIFS(V$2:V122,V122,T$2:T122,TRUE)=1,MAX(W$1:W121)+1,""),"")</f>
        <v/>
      </c>
      <c r="X122">
        <f>IF(설정!$C$14="","",IFERROR(INDEX('1.산군_붙여넣기'!$A$1:$AZ$1001,ROW(),설정!$C$14)&amp;"",""))</f>
        <v/>
      </c>
      <c r="Y122">
        <f>IF(설정!$C$15="","",IFERROR(INDEX('1.산군_붙여넣기'!$A$1:$AZ$1001,ROW(),설정!$C$15)&amp;"",""))</f>
        <v/>
      </c>
      <c r="Z122">
        <f>IF(T122,V122&amp;"|"&amp;U122,"")</f>
        <v/>
      </c>
      <c r="AA122">
        <f>IF(NOT(Q122),"",IF(NOT(AND(R122,S122)),"✕",IF(OR(OR(AND(L122&lt;&gt;"",M122&lt;&gt;"",N(M122)-N(L122)&gt;설정!$B$27),AND(L122&lt;&gt;"",M122="",설정!$B$24-N(L122)&gt;설정!$B$27)),AND(D122&lt;&gt;"",D122&lt;설정!$B$26)),"△","★")))</f>
        <v/>
      </c>
      <c r="AB122">
        <f>IF(NOT(T122),"",IF(U122="설계사",설정!$B$31,IF(U122="시공사",IF(OR(M122="",설정!$B$24-N(M122)&lt;=설정!$B$28*30.4),설정!$B$32,설정!$B$33),설정!$B$34))+IF(AA122="★",설정!$B$35,0))</f>
        <v/>
      </c>
      <c r="AC122">
        <f>SUBSTITUTE(SUBSTITUTE(SUBSTITUTE(SUBSTITUTE(H122,"(주)",""),"㈜",""),"주식회사","")," ","")</f>
        <v/>
      </c>
      <c r="AD122">
        <f>IF(AND(T122,AC122&lt;&gt;""),IF(COUNTIFS(AC$2:AC122,AC122,T$2:T122,TRUE)=1,MAX(AD$1:AD121)+1,""),"")</f>
        <v/>
      </c>
    </row>
    <row r="123">
      <c r="A123">
        <f>ROW()</f>
        <v/>
      </c>
      <c r="B123">
        <f>IF(설정!$C$4="","",IFERROR(INDEX('1.산군_붙여넣기'!$A$1:$AZ$1001,ROW(),설정!$C$4)&amp;"",""))</f>
        <v/>
      </c>
      <c r="C123">
        <f>IF(설정!$C$5="","",IFERROR(INDEX('1.산군_붙여넣기'!$A$1:$AZ$1001,ROW(),설정!$C$5)&amp;"",""))</f>
        <v/>
      </c>
      <c r="D123" s="5">
        <f>IFERROR(VALUE(SUBSTITUTE(SUBSTITUTE(SUBSTITUTE(IF(설정!$C$6="","",IFERROR(INDEX('1.산군_붙여넣기'!$A$1:$AZ$1001,ROW(),설정!$C$6)&amp;"","")),",",""),"㎡",""),"m2","")),"")</f>
        <v/>
      </c>
      <c r="E123">
        <f>IF(설정!$C$7="","",IFERROR(INDEX('1.산군_붙여넣기'!$A$1:$AZ$1001,ROW(),설정!$C$7)&amp;"",""))</f>
        <v/>
      </c>
      <c r="F123">
        <f>IF(설정!$C$8="","",IFERROR(INDEX('1.산군_붙여넣기'!$A$1:$AZ$1001,ROW(),설정!$C$8)&amp;"",""))</f>
        <v/>
      </c>
      <c r="G123">
        <f>IF(설정!$C$9="","",IFERROR(INDEX('1.산군_붙여넣기'!$A$1:$AZ$1001,ROW(),설정!$C$9)&amp;"",""))</f>
        <v/>
      </c>
      <c r="H123">
        <f>IF(설정!$C$10="","",IFERROR(INDEX('1.산군_붙여넣기'!$A$1:$AZ$1001,ROW(),설정!$C$10)&amp;"",""))</f>
        <v/>
      </c>
      <c r="I123">
        <f>IF(설정!$C$11="","",IFERROR(INDEX('1.산군_붙여넣기'!$A$1:$AZ$1001,ROW(),설정!$C$11)&amp;"",""))</f>
        <v/>
      </c>
      <c r="J123">
        <f>IF(설정!$C$12="","",IFERROR(INDEX('1.산군_붙여넣기'!$A$1:$AZ$1001,ROW(),설정!$C$12)&amp;"",""))</f>
        <v/>
      </c>
      <c r="K123">
        <f>IF(설정!$C$13="","",IFERROR(INDEX('1.산군_붙여넣기'!$A$1:$AZ$1001,ROW(),설정!$C$13)&amp;"",""))</f>
        <v/>
      </c>
      <c r="L123" s="7">
        <f>IF(X123="","",IF(AND(LEN(X123)=8,ISNUMBER(X123*1)),DATE(LEFT(X123,4),MID(X123,5,2),RIGHT(X123,2)),IFERROR(DATEVALUE(SUBSTITUTE(SUBSTITUTE(X123,".","-"),"/","-")),IFERROR(X123*1,""))))</f>
        <v/>
      </c>
      <c r="M123" s="7">
        <f>IF(Y123="","",IF(AND(LEN(Y123)=8,ISNUMBER(Y123*1)),DATE(LEFT(Y123,4),MID(Y123,5,2),RIGHT(Y123,2)),IFERROR(DATEVALUE(SUBSTITUTE(SUBSTITUTE(Y123,".","-"),"/","-")),IFERROR(Y123*1,""))))</f>
        <v/>
      </c>
      <c r="N123">
        <f>IFERROR(LEFT(B123,FIND(" ",B123)-1),B123)</f>
        <v/>
      </c>
      <c r="O123">
        <f>AND(B123&lt;&gt;"",B123&lt;&gt;설정!$B$4,C123&lt;&gt;설정!$B$5)</f>
        <v/>
      </c>
      <c r="P123">
        <f>IF(O123,B123&amp;"|"&amp;C123,"")</f>
        <v/>
      </c>
      <c r="Q123">
        <f>AND(O123,COUNTIF(P124:P$1002,P123)=0)</f>
        <v/>
      </c>
      <c r="R123">
        <f>OR(AND(설정!$A$42&lt;&gt;"",ISNUMBER(SEARCH(설정!$A$42,E123&amp;" "&amp;C123))),AND(설정!$A$43&lt;&gt;"",ISNUMBER(SEARCH(설정!$A$43,E123&amp;" "&amp;C123))),AND(설정!$A$44&lt;&gt;"",ISNUMBER(SEARCH(설정!$A$44,E123&amp;" "&amp;C123))),AND(설정!$A$45&lt;&gt;"",ISNUMBER(SEARCH(설정!$A$45,E123&amp;" "&amp;C123))),AND(설정!$A$46&lt;&gt;"",ISNUMBER(SEARCH(설정!$A$46,E123&amp;" "&amp;C123))),AND(설정!$A$47&lt;&gt;"",ISNUMBER(SEARCH(설정!$A$47,E123&amp;" "&amp;C123))),AND(설정!$A$48&lt;&gt;"",ISNUMBER(SEARCH(설정!$A$48,E123&amp;" "&amp;C123))),AND(설정!$A$49&lt;&gt;"",ISNUMBER(SEARCH(설정!$A$49,E123&amp;" "&amp;C123))),AND(설정!$A$50&lt;&gt;"",ISNUMBER(SEARCH(설정!$A$50,E123&amp;" "&amp;C123))),AND(설정!$A$51&lt;&gt;"",ISNUMBER(SEARCH(설정!$A$51,E123&amp;" "&amp;C123))))</f>
        <v/>
      </c>
      <c r="S123">
        <f>OR(D123="",D123&gt;=설정!$B$19)</f>
        <v/>
      </c>
      <c r="T123">
        <f>AND(Q123,R123,S123)</f>
        <v/>
      </c>
      <c r="U123">
        <f>IF(T123,IF(AND(설정!$A$54&lt;&gt;"",ISNUMBER(SEARCH(설정!$A$54,K123))),설정!$B$54,IF(AND(설정!$A$55&lt;&gt;"",ISNUMBER(SEARCH(설정!$A$55,K123))),설정!$B$55,IF(AND(설정!$A$56&lt;&gt;"",ISNUMBER(SEARCH(설정!$A$56,K123))),설정!$B$56,IF(AND(설정!$A$57&lt;&gt;"",ISNUMBER(SEARCH(설정!$A$57,K123))),설정!$B$57,IF(AND(설정!$A$58&lt;&gt;"",ISNUMBER(SEARCH(설정!$A$58,K123))),설정!$B$58,IF(AND(설정!$A$59&lt;&gt;"",ISNUMBER(SEARCH(설정!$A$59,K123))),설정!$B$59,IF(AND(설정!$A$60&lt;&gt;"",ISNUMBER(SEARCH(설정!$A$60,K123))),설정!$B$60,IF(AND(설정!$A$61&lt;&gt;"",ISNUMBER(SEARCH(설정!$A$61,K123))),설정!$B$61,IF(M123="","설계사","시공사"))))))))),"")</f>
        <v/>
      </c>
      <c r="V123">
        <f>SUBSTITUTE(SUBSTITUTE(SUBSTITUTE(SUBSTITUTE(G123,"(주)",""),"㈜",""),"주식회사","")," ","")</f>
        <v/>
      </c>
      <c r="W123">
        <f>IF(AND(T123,V123&lt;&gt;""),IF(COUNTIFS(V$2:V123,V123,T$2:T123,TRUE)=1,MAX(W$1:W122)+1,""),"")</f>
        <v/>
      </c>
      <c r="X123">
        <f>IF(설정!$C$14="","",IFERROR(INDEX('1.산군_붙여넣기'!$A$1:$AZ$1001,ROW(),설정!$C$14)&amp;"",""))</f>
        <v/>
      </c>
      <c r="Y123">
        <f>IF(설정!$C$15="","",IFERROR(INDEX('1.산군_붙여넣기'!$A$1:$AZ$1001,ROW(),설정!$C$15)&amp;"",""))</f>
        <v/>
      </c>
      <c r="Z123">
        <f>IF(T123,V123&amp;"|"&amp;U123,"")</f>
        <v/>
      </c>
      <c r="AA123">
        <f>IF(NOT(Q123),"",IF(NOT(AND(R123,S123)),"✕",IF(OR(OR(AND(L123&lt;&gt;"",M123&lt;&gt;"",N(M123)-N(L123)&gt;설정!$B$27),AND(L123&lt;&gt;"",M123="",설정!$B$24-N(L123)&gt;설정!$B$27)),AND(D123&lt;&gt;"",D123&lt;설정!$B$26)),"△","★")))</f>
        <v/>
      </c>
      <c r="AB123">
        <f>IF(NOT(T123),"",IF(U123="설계사",설정!$B$31,IF(U123="시공사",IF(OR(M123="",설정!$B$24-N(M123)&lt;=설정!$B$28*30.4),설정!$B$32,설정!$B$33),설정!$B$34))+IF(AA123="★",설정!$B$35,0))</f>
        <v/>
      </c>
      <c r="AC123">
        <f>SUBSTITUTE(SUBSTITUTE(SUBSTITUTE(SUBSTITUTE(H123,"(주)",""),"㈜",""),"주식회사","")," ","")</f>
        <v/>
      </c>
      <c r="AD123">
        <f>IF(AND(T123,AC123&lt;&gt;""),IF(COUNTIFS(AC$2:AC123,AC123,T$2:T123,TRUE)=1,MAX(AD$1:AD122)+1,""),"")</f>
        <v/>
      </c>
    </row>
    <row r="124">
      <c r="A124">
        <f>ROW()</f>
        <v/>
      </c>
      <c r="B124">
        <f>IF(설정!$C$4="","",IFERROR(INDEX('1.산군_붙여넣기'!$A$1:$AZ$1001,ROW(),설정!$C$4)&amp;"",""))</f>
        <v/>
      </c>
      <c r="C124">
        <f>IF(설정!$C$5="","",IFERROR(INDEX('1.산군_붙여넣기'!$A$1:$AZ$1001,ROW(),설정!$C$5)&amp;"",""))</f>
        <v/>
      </c>
      <c r="D124" s="5">
        <f>IFERROR(VALUE(SUBSTITUTE(SUBSTITUTE(SUBSTITUTE(IF(설정!$C$6="","",IFERROR(INDEX('1.산군_붙여넣기'!$A$1:$AZ$1001,ROW(),설정!$C$6)&amp;"","")),",",""),"㎡",""),"m2","")),"")</f>
        <v/>
      </c>
      <c r="E124">
        <f>IF(설정!$C$7="","",IFERROR(INDEX('1.산군_붙여넣기'!$A$1:$AZ$1001,ROW(),설정!$C$7)&amp;"",""))</f>
        <v/>
      </c>
      <c r="F124">
        <f>IF(설정!$C$8="","",IFERROR(INDEX('1.산군_붙여넣기'!$A$1:$AZ$1001,ROW(),설정!$C$8)&amp;"",""))</f>
        <v/>
      </c>
      <c r="G124">
        <f>IF(설정!$C$9="","",IFERROR(INDEX('1.산군_붙여넣기'!$A$1:$AZ$1001,ROW(),설정!$C$9)&amp;"",""))</f>
        <v/>
      </c>
      <c r="H124">
        <f>IF(설정!$C$10="","",IFERROR(INDEX('1.산군_붙여넣기'!$A$1:$AZ$1001,ROW(),설정!$C$10)&amp;"",""))</f>
        <v/>
      </c>
      <c r="I124">
        <f>IF(설정!$C$11="","",IFERROR(INDEX('1.산군_붙여넣기'!$A$1:$AZ$1001,ROW(),설정!$C$11)&amp;"",""))</f>
        <v/>
      </c>
      <c r="J124">
        <f>IF(설정!$C$12="","",IFERROR(INDEX('1.산군_붙여넣기'!$A$1:$AZ$1001,ROW(),설정!$C$12)&amp;"",""))</f>
        <v/>
      </c>
      <c r="K124">
        <f>IF(설정!$C$13="","",IFERROR(INDEX('1.산군_붙여넣기'!$A$1:$AZ$1001,ROW(),설정!$C$13)&amp;"",""))</f>
        <v/>
      </c>
      <c r="L124" s="7">
        <f>IF(X124="","",IF(AND(LEN(X124)=8,ISNUMBER(X124*1)),DATE(LEFT(X124,4),MID(X124,5,2),RIGHT(X124,2)),IFERROR(DATEVALUE(SUBSTITUTE(SUBSTITUTE(X124,".","-"),"/","-")),IFERROR(X124*1,""))))</f>
        <v/>
      </c>
      <c r="M124" s="7">
        <f>IF(Y124="","",IF(AND(LEN(Y124)=8,ISNUMBER(Y124*1)),DATE(LEFT(Y124,4),MID(Y124,5,2),RIGHT(Y124,2)),IFERROR(DATEVALUE(SUBSTITUTE(SUBSTITUTE(Y124,".","-"),"/","-")),IFERROR(Y124*1,""))))</f>
        <v/>
      </c>
      <c r="N124">
        <f>IFERROR(LEFT(B124,FIND(" ",B124)-1),B124)</f>
        <v/>
      </c>
      <c r="O124">
        <f>AND(B124&lt;&gt;"",B124&lt;&gt;설정!$B$4,C124&lt;&gt;설정!$B$5)</f>
        <v/>
      </c>
      <c r="P124">
        <f>IF(O124,B124&amp;"|"&amp;C124,"")</f>
        <v/>
      </c>
      <c r="Q124">
        <f>AND(O124,COUNTIF(P125:P$1002,P124)=0)</f>
        <v/>
      </c>
      <c r="R124">
        <f>OR(AND(설정!$A$42&lt;&gt;"",ISNUMBER(SEARCH(설정!$A$42,E124&amp;" "&amp;C124))),AND(설정!$A$43&lt;&gt;"",ISNUMBER(SEARCH(설정!$A$43,E124&amp;" "&amp;C124))),AND(설정!$A$44&lt;&gt;"",ISNUMBER(SEARCH(설정!$A$44,E124&amp;" "&amp;C124))),AND(설정!$A$45&lt;&gt;"",ISNUMBER(SEARCH(설정!$A$45,E124&amp;" "&amp;C124))),AND(설정!$A$46&lt;&gt;"",ISNUMBER(SEARCH(설정!$A$46,E124&amp;" "&amp;C124))),AND(설정!$A$47&lt;&gt;"",ISNUMBER(SEARCH(설정!$A$47,E124&amp;" "&amp;C124))),AND(설정!$A$48&lt;&gt;"",ISNUMBER(SEARCH(설정!$A$48,E124&amp;" "&amp;C124))),AND(설정!$A$49&lt;&gt;"",ISNUMBER(SEARCH(설정!$A$49,E124&amp;" "&amp;C124))),AND(설정!$A$50&lt;&gt;"",ISNUMBER(SEARCH(설정!$A$50,E124&amp;" "&amp;C124))),AND(설정!$A$51&lt;&gt;"",ISNUMBER(SEARCH(설정!$A$51,E124&amp;" "&amp;C124))))</f>
        <v/>
      </c>
      <c r="S124">
        <f>OR(D124="",D124&gt;=설정!$B$19)</f>
        <v/>
      </c>
      <c r="T124">
        <f>AND(Q124,R124,S124)</f>
        <v/>
      </c>
      <c r="U124">
        <f>IF(T124,IF(AND(설정!$A$54&lt;&gt;"",ISNUMBER(SEARCH(설정!$A$54,K124))),설정!$B$54,IF(AND(설정!$A$55&lt;&gt;"",ISNUMBER(SEARCH(설정!$A$55,K124))),설정!$B$55,IF(AND(설정!$A$56&lt;&gt;"",ISNUMBER(SEARCH(설정!$A$56,K124))),설정!$B$56,IF(AND(설정!$A$57&lt;&gt;"",ISNUMBER(SEARCH(설정!$A$57,K124))),설정!$B$57,IF(AND(설정!$A$58&lt;&gt;"",ISNUMBER(SEARCH(설정!$A$58,K124))),설정!$B$58,IF(AND(설정!$A$59&lt;&gt;"",ISNUMBER(SEARCH(설정!$A$59,K124))),설정!$B$59,IF(AND(설정!$A$60&lt;&gt;"",ISNUMBER(SEARCH(설정!$A$60,K124))),설정!$B$60,IF(AND(설정!$A$61&lt;&gt;"",ISNUMBER(SEARCH(설정!$A$61,K124))),설정!$B$61,IF(M124="","설계사","시공사"))))))))),"")</f>
        <v/>
      </c>
      <c r="V124">
        <f>SUBSTITUTE(SUBSTITUTE(SUBSTITUTE(SUBSTITUTE(G124,"(주)",""),"㈜",""),"주식회사","")," ","")</f>
        <v/>
      </c>
      <c r="W124">
        <f>IF(AND(T124,V124&lt;&gt;""),IF(COUNTIFS(V$2:V124,V124,T$2:T124,TRUE)=1,MAX(W$1:W123)+1,""),"")</f>
        <v/>
      </c>
      <c r="X124">
        <f>IF(설정!$C$14="","",IFERROR(INDEX('1.산군_붙여넣기'!$A$1:$AZ$1001,ROW(),설정!$C$14)&amp;"",""))</f>
        <v/>
      </c>
      <c r="Y124">
        <f>IF(설정!$C$15="","",IFERROR(INDEX('1.산군_붙여넣기'!$A$1:$AZ$1001,ROW(),설정!$C$15)&amp;"",""))</f>
        <v/>
      </c>
      <c r="Z124">
        <f>IF(T124,V124&amp;"|"&amp;U124,"")</f>
        <v/>
      </c>
      <c r="AA124">
        <f>IF(NOT(Q124),"",IF(NOT(AND(R124,S124)),"✕",IF(OR(OR(AND(L124&lt;&gt;"",M124&lt;&gt;"",N(M124)-N(L124)&gt;설정!$B$27),AND(L124&lt;&gt;"",M124="",설정!$B$24-N(L124)&gt;설정!$B$27)),AND(D124&lt;&gt;"",D124&lt;설정!$B$26)),"△","★")))</f>
        <v/>
      </c>
      <c r="AB124">
        <f>IF(NOT(T124),"",IF(U124="설계사",설정!$B$31,IF(U124="시공사",IF(OR(M124="",설정!$B$24-N(M124)&lt;=설정!$B$28*30.4),설정!$B$32,설정!$B$33),설정!$B$34))+IF(AA124="★",설정!$B$35,0))</f>
        <v/>
      </c>
      <c r="AC124">
        <f>SUBSTITUTE(SUBSTITUTE(SUBSTITUTE(SUBSTITUTE(H124,"(주)",""),"㈜",""),"주식회사","")," ","")</f>
        <v/>
      </c>
      <c r="AD124">
        <f>IF(AND(T124,AC124&lt;&gt;""),IF(COUNTIFS(AC$2:AC124,AC124,T$2:T124,TRUE)=1,MAX(AD$1:AD123)+1,""),"")</f>
        <v/>
      </c>
    </row>
    <row r="125">
      <c r="A125">
        <f>ROW()</f>
        <v/>
      </c>
      <c r="B125">
        <f>IF(설정!$C$4="","",IFERROR(INDEX('1.산군_붙여넣기'!$A$1:$AZ$1001,ROW(),설정!$C$4)&amp;"",""))</f>
        <v/>
      </c>
      <c r="C125">
        <f>IF(설정!$C$5="","",IFERROR(INDEX('1.산군_붙여넣기'!$A$1:$AZ$1001,ROW(),설정!$C$5)&amp;"",""))</f>
        <v/>
      </c>
      <c r="D125" s="5">
        <f>IFERROR(VALUE(SUBSTITUTE(SUBSTITUTE(SUBSTITUTE(IF(설정!$C$6="","",IFERROR(INDEX('1.산군_붙여넣기'!$A$1:$AZ$1001,ROW(),설정!$C$6)&amp;"","")),",",""),"㎡",""),"m2","")),"")</f>
        <v/>
      </c>
      <c r="E125">
        <f>IF(설정!$C$7="","",IFERROR(INDEX('1.산군_붙여넣기'!$A$1:$AZ$1001,ROW(),설정!$C$7)&amp;"",""))</f>
        <v/>
      </c>
      <c r="F125">
        <f>IF(설정!$C$8="","",IFERROR(INDEX('1.산군_붙여넣기'!$A$1:$AZ$1001,ROW(),설정!$C$8)&amp;"",""))</f>
        <v/>
      </c>
      <c r="G125">
        <f>IF(설정!$C$9="","",IFERROR(INDEX('1.산군_붙여넣기'!$A$1:$AZ$1001,ROW(),설정!$C$9)&amp;"",""))</f>
        <v/>
      </c>
      <c r="H125">
        <f>IF(설정!$C$10="","",IFERROR(INDEX('1.산군_붙여넣기'!$A$1:$AZ$1001,ROW(),설정!$C$10)&amp;"",""))</f>
        <v/>
      </c>
      <c r="I125">
        <f>IF(설정!$C$11="","",IFERROR(INDEX('1.산군_붙여넣기'!$A$1:$AZ$1001,ROW(),설정!$C$11)&amp;"",""))</f>
        <v/>
      </c>
      <c r="J125">
        <f>IF(설정!$C$12="","",IFERROR(INDEX('1.산군_붙여넣기'!$A$1:$AZ$1001,ROW(),설정!$C$12)&amp;"",""))</f>
        <v/>
      </c>
      <c r="K125">
        <f>IF(설정!$C$13="","",IFERROR(INDEX('1.산군_붙여넣기'!$A$1:$AZ$1001,ROW(),설정!$C$13)&amp;"",""))</f>
        <v/>
      </c>
      <c r="L125" s="7">
        <f>IF(X125="","",IF(AND(LEN(X125)=8,ISNUMBER(X125*1)),DATE(LEFT(X125,4),MID(X125,5,2),RIGHT(X125,2)),IFERROR(DATEVALUE(SUBSTITUTE(SUBSTITUTE(X125,".","-"),"/","-")),IFERROR(X125*1,""))))</f>
        <v/>
      </c>
      <c r="M125" s="7">
        <f>IF(Y125="","",IF(AND(LEN(Y125)=8,ISNUMBER(Y125*1)),DATE(LEFT(Y125,4),MID(Y125,5,2),RIGHT(Y125,2)),IFERROR(DATEVALUE(SUBSTITUTE(SUBSTITUTE(Y125,".","-"),"/","-")),IFERROR(Y125*1,""))))</f>
        <v/>
      </c>
      <c r="N125">
        <f>IFERROR(LEFT(B125,FIND(" ",B125)-1),B125)</f>
        <v/>
      </c>
      <c r="O125">
        <f>AND(B125&lt;&gt;"",B125&lt;&gt;설정!$B$4,C125&lt;&gt;설정!$B$5)</f>
        <v/>
      </c>
      <c r="P125">
        <f>IF(O125,B125&amp;"|"&amp;C125,"")</f>
        <v/>
      </c>
      <c r="Q125">
        <f>AND(O125,COUNTIF(P126:P$1002,P125)=0)</f>
        <v/>
      </c>
      <c r="R125">
        <f>OR(AND(설정!$A$42&lt;&gt;"",ISNUMBER(SEARCH(설정!$A$42,E125&amp;" "&amp;C125))),AND(설정!$A$43&lt;&gt;"",ISNUMBER(SEARCH(설정!$A$43,E125&amp;" "&amp;C125))),AND(설정!$A$44&lt;&gt;"",ISNUMBER(SEARCH(설정!$A$44,E125&amp;" "&amp;C125))),AND(설정!$A$45&lt;&gt;"",ISNUMBER(SEARCH(설정!$A$45,E125&amp;" "&amp;C125))),AND(설정!$A$46&lt;&gt;"",ISNUMBER(SEARCH(설정!$A$46,E125&amp;" "&amp;C125))),AND(설정!$A$47&lt;&gt;"",ISNUMBER(SEARCH(설정!$A$47,E125&amp;" "&amp;C125))),AND(설정!$A$48&lt;&gt;"",ISNUMBER(SEARCH(설정!$A$48,E125&amp;" "&amp;C125))),AND(설정!$A$49&lt;&gt;"",ISNUMBER(SEARCH(설정!$A$49,E125&amp;" "&amp;C125))),AND(설정!$A$50&lt;&gt;"",ISNUMBER(SEARCH(설정!$A$50,E125&amp;" "&amp;C125))),AND(설정!$A$51&lt;&gt;"",ISNUMBER(SEARCH(설정!$A$51,E125&amp;" "&amp;C125))))</f>
        <v/>
      </c>
      <c r="S125">
        <f>OR(D125="",D125&gt;=설정!$B$19)</f>
        <v/>
      </c>
      <c r="T125">
        <f>AND(Q125,R125,S125)</f>
        <v/>
      </c>
      <c r="U125">
        <f>IF(T125,IF(AND(설정!$A$54&lt;&gt;"",ISNUMBER(SEARCH(설정!$A$54,K125))),설정!$B$54,IF(AND(설정!$A$55&lt;&gt;"",ISNUMBER(SEARCH(설정!$A$55,K125))),설정!$B$55,IF(AND(설정!$A$56&lt;&gt;"",ISNUMBER(SEARCH(설정!$A$56,K125))),설정!$B$56,IF(AND(설정!$A$57&lt;&gt;"",ISNUMBER(SEARCH(설정!$A$57,K125))),설정!$B$57,IF(AND(설정!$A$58&lt;&gt;"",ISNUMBER(SEARCH(설정!$A$58,K125))),설정!$B$58,IF(AND(설정!$A$59&lt;&gt;"",ISNUMBER(SEARCH(설정!$A$59,K125))),설정!$B$59,IF(AND(설정!$A$60&lt;&gt;"",ISNUMBER(SEARCH(설정!$A$60,K125))),설정!$B$60,IF(AND(설정!$A$61&lt;&gt;"",ISNUMBER(SEARCH(설정!$A$61,K125))),설정!$B$61,IF(M125="","설계사","시공사"))))))))),"")</f>
        <v/>
      </c>
      <c r="V125">
        <f>SUBSTITUTE(SUBSTITUTE(SUBSTITUTE(SUBSTITUTE(G125,"(주)",""),"㈜",""),"주식회사","")," ","")</f>
        <v/>
      </c>
      <c r="W125">
        <f>IF(AND(T125,V125&lt;&gt;""),IF(COUNTIFS(V$2:V125,V125,T$2:T125,TRUE)=1,MAX(W$1:W124)+1,""),"")</f>
        <v/>
      </c>
      <c r="X125">
        <f>IF(설정!$C$14="","",IFERROR(INDEX('1.산군_붙여넣기'!$A$1:$AZ$1001,ROW(),설정!$C$14)&amp;"",""))</f>
        <v/>
      </c>
      <c r="Y125">
        <f>IF(설정!$C$15="","",IFERROR(INDEX('1.산군_붙여넣기'!$A$1:$AZ$1001,ROW(),설정!$C$15)&amp;"",""))</f>
        <v/>
      </c>
      <c r="Z125">
        <f>IF(T125,V125&amp;"|"&amp;U125,"")</f>
        <v/>
      </c>
      <c r="AA125">
        <f>IF(NOT(Q125),"",IF(NOT(AND(R125,S125)),"✕",IF(OR(OR(AND(L125&lt;&gt;"",M125&lt;&gt;"",N(M125)-N(L125)&gt;설정!$B$27),AND(L125&lt;&gt;"",M125="",설정!$B$24-N(L125)&gt;설정!$B$27)),AND(D125&lt;&gt;"",D125&lt;설정!$B$26)),"△","★")))</f>
        <v/>
      </c>
      <c r="AB125">
        <f>IF(NOT(T125),"",IF(U125="설계사",설정!$B$31,IF(U125="시공사",IF(OR(M125="",설정!$B$24-N(M125)&lt;=설정!$B$28*30.4),설정!$B$32,설정!$B$33),설정!$B$34))+IF(AA125="★",설정!$B$35,0))</f>
        <v/>
      </c>
      <c r="AC125">
        <f>SUBSTITUTE(SUBSTITUTE(SUBSTITUTE(SUBSTITUTE(H125,"(주)",""),"㈜",""),"주식회사","")," ","")</f>
        <v/>
      </c>
      <c r="AD125">
        <f>IF(AND(T125,AC125&lt;&gt;""),IF(COUNTIFS(AC$2:AC125,AC125,T$2:T125,TRUE)=1,MAX(AD$1:AD124)+1,""),"")</f>
        <v/>
      </c>
    </row>
    <row r="126">
      <c r="A126">
        <f>ROW()</f>
        <v/>
      </c>
      <c r="B126">
        <f>IF(설정!$C$4="","",IFERROR(INDEX('1.산군_붙여넣기'!$A$1:$AZ$1001,ROW(),설정!$C$4)&amp;"",""))</f>
        <v/>
      </c>
      <c r="C126">
        <f>IF(설정!$C$5="","",IFERROR(INDEX('1.산군_붙여넣기'!$A$1:$AZ$1001,ROW(),설정!$C$5)&amp;"",""))</f>
        <v/>
      </c>
      <c r="D126" s="5">
        <f>IFERROR(VALUE(SUBSTITUTE(SUBSTITUTE(SUBSTITUTE(IF(설정!$C$6="","",IFERROR(INDEX('1.산군_붙여넣기'!$A$1:$AZ$1001,ROW(),설정!$C$6)&amp;"","")),",",""),"㎡",""),"m2","")),"")</f>
        <v/>
      </c>
      <c r="E126">
        <f>IF(설정!$C$7="","",IFERROR(INDEX('1.산군_붙여넣기'!$A$1:$AZ$1001,ROW(),설정!$C$7)&amp;"",""))</f>
        <v/>
      </c>
      <c r="F126">
        <f>IF(설정!$C$8="","",IFERROR(INDEX('1.산군_붙여넣기'!$A$1:$AZ$1001,ROW(),설정!$C$8)&amp;"",""))</f>
        <v/>
      </c>
      <c r="G126">
        <f>IF(설정!$C$9="","",IFERROR(INDEX('1.산군_붙여넣기'!$A$1:$AZ$1001,ROW(),설정!$C$9)&amp;"",""))</f>
        <v/>
      </c>
      <c r="H126">
        <f>IF(설정!$C$10="","",IFERROR(INDEX('1.산군_붙여넣기'!$A$1:$AZ$1001,ROW(),설정!$C$10)&amp;"",""))</f>
        <v/>
      </c>
      <c r="I126">
        <f>IF(설정!$C$11="","",IFERROR(INDEX('1.산군_붙여넣기'!$A$1:$AZ$1001,ROW(),설정!$C$11)&amp;"",""))</f>
        <v/>
      </c>
      <c r="J126">
        <f>IF(설정!$C$12="","",IFERROR(INDEX('1.산군_붙여넣기'!$A$1:$AZ$1001,ROW(),설정!$C$12)&amp;"",""))</f>
        <v/>
      </c>
      <c r="K126">
        <f>IF(설정!$C$13="","",IFERROR(INDEX('1.산군_붙여넣기'!$A$1:$AZ$1001,ROW(),설정!$C$13)&amp;"",""))</f>
        <v/>
      </c>
      <c r="L126" s="7">
        <f>IF(X126="","",IF(AND(LEN(X126)=8,ISNUMBER(X126*1)),DATE(LEFT(X126,4),MID(X126,5,2),RIGHT(X126,2)),IFERROR(DATEVALUE(SUBSTITUTE(SUBSTITUTE(X126,".","-"),"/","-")),IFERROR(X126*1,""))))</f>
        <v/>
      </c>
      <c r="M126" s="7">
        <f>IF(Y126="","",IF(AND(LEN(Y126)=8,ISNUMBER(Y126*1)),DATE(LEFT(Y126,4),MID(Y126,5,2),RIGHT(Y126,2)),IFERROR(DATEVALUE(SUBSTITUTE(SUBSTITUTE(Y126,".","-"),"/","-")),IFERROR(Y126*1,""))))</f>
        <v/>
      </c>
      <c r="N126">
        <f>IFERROR(LEFT(B126,FIND(" ",B126)-1),B126)</f>
        <v/>
      </c>
      <c r="O126">
        <f>AND(B126&lt;&gt;"",B126&lt;&gt;설정!$B$4,C126&lt;&gt;설정!$B$5)</f>
        <v/>
      </c>
      <c r="P126">
        <f>IF(O126,B126&amp;"|"&amp;C126,"")</f>
        <v/>
      </c>
      <c r="Q126">
        <f>AND(O126,COUNTIF(P127:P$1002,P126)=0)</f>
        <v/>
      </c>
      <c r="R126">
        <f>OR(AND(설정!$A$42&lt;&gt;"",ISNUMBER(SEARCH(설정!$A$42,E126&amp;" "&amp;C126))),AND(설정!$A$43&lt;&gt;"",ISNUMBER(SEARCH(설정!$A$43,E126&amp;" "&amp;C126))),AND(설정!$A$44&lt;&gt;"",ISNUMBER(SEARCH(설정!$A$44,E126&amp;" "&amp;C126))),AND(설정!$A$45&lt;&gt;"",ISNUMBER(SEARCH(설정!$A$45,E126&amp;" "&amp;C126))),AND(설정!$A$46&lt;&gt;"",ISNUMBER(SEARCH(설정!$A$46,E126&amp;" "&amp;C126))),AND(설정!$A$47&lt;&gt;"",ISNUMBER(SEARCH(설정!$A$47,E126&amp;" "&amp;C126))),AND(설정!$A$48&lt;&gt;"",ISNUMBER(SEARCH(설정!$A$48,E126&amp;" "&amp;C126))),AND(설정!$A$49&lt;&gt;"",ISNUMBER(SEARCH(설정!$A$49,E126&amp;" "&amp;C126))),AND(설정!$A$50&lt;&gt;"",ISNUMBER(SEARCH(설정!$A$50,E126&amp;" "&amp;C126))),AND(설정!$A$51&lt;&gt;"",ISNUMBER(SEARCH(설정!$A$51,E126&amp;" "&amp;C126))))</f>
        <v/>
      </c>
      <c r="S126">
        <f>OR(D126="",D126&gt;=설정!$B$19)</f>
        <v/>
      </c>
      <c r="T126">
        <f>AND(Q126,R126,S126)</f>
        <v/>
      </c>
      <c r="U126">
        <f>IF(T126,IF(AND(설정!$A$54&lt;&gt;"",ISNUMBER(SEARCH(설정!$A$54,K126))),설정!$B$54,IF(AND(설정!$A$55&lt;&gt;"",ISNUMBER(SEARCH(설정!$A$55,K126))),설정!$B$55,IF(AND(설정!$A$56&lt;&gt;"",ISNUMBER(SEARCH(설정!$A$56,K126))),설정!$B$56,IF(AND(설정!$A$57&lt;&gt;"",ISNUMBER(SEARCH(설정!$A$57,K126))),설정!$B$57,IF(AND(설정!$A$58&lt;&gt;"",ISNUMBER(SEARCH(설정!$A$58,K126))),설정!$B$58,IF(AND(설정!$A$59&lt;&gt;"",ISNUMBER(SEARCH(설정!$A$59,K126))),설정!$B$59,IF(AND(설정!$A$60&lt;&gt;"",ISNUMBER(SEARCH(설정!$A$60,K126))),설정!$B$60,IF(AND(설정!$A$61&lt;&gt;"",ISNUMBER(SEARCH(설정!$A$61,K126))),설정!$B$61,IF(M126="","설계사","시공사"))))))))),"")</f>
        <v/>
      </c>
      <c r="V126">
        <f>SUBSTITUTE(SUBSTITUTE(SUBSTITUTE(SUBSTITUTE(G126,"(주)",""),"㈜",""),"주식회사","")," ","")</f>
        <v/>
      </c>
      <c r="W126">
        <f>IF(AND(T126,V126&lt;&gt;""),IF(COUNTIFS(V$2:V126,V126,T$2:T126,TRUE)=1,MAX(W$1:W125)+1,""),"")</f>
        <v/>
      </c>
      <c r="X126">
        <f>IF(설정!$C$14="","",IFERROR(INDEX('1.산군_붙여넣기'!$A$1:$AZ$1001,ROW(),설정!$C$14)&amp;"",""))</f>
        <v/>
      </c>
      <c r="Y126">
        <f>IF(설정!$C$15="","",IFERROR(INDEX('1.산군_붙여넣기'!$A$1:$AZ$1001,ROW(),설정!$C$15)&amp;"",""))</f>
        <v/>
      </c>
      <c r="Z126">
        <f>IF(T126,V126&amp;"|"&amp;U126,"")</f>
        <v/>
      </c>
      <c r="AA126">
        <f>IF(NOT(Q126),"",IF(NOT(AND(R126,S126)),"✕",IF(OR(OR(AND(L126&lt;&gt;"",M126&lt;&gt;"",N(M126)-N(L126)&gt;설정!$B$27),AND(L126&lt;&gt;"",M126="",설정!$B$24-N(L126)&gt;설정!$B$27)),AND(D126&lt;&gt;"",D126&lt;설정!$B$26)),"△","★")))</f>
        <v/>
      </c>
      <c r="AB126">
        <f>IF(NOT(T126),"",IF(U126="설계사",설정!$B$31,IF(U126="시공사",IF(OR(M126="",설정!$B$24-N(M126)&lt;=설정!$B$28*30.4),설정!$B$32,설정!$B$33),설정!$B$34))+IF(AA126="★",설정!$B$35,0))</f>
        <v/>
      </c>
      <c r="AC126">
        <f>SUBSTITUTE(SUBSTITUTE(SUBSTITUTE(SUBSTITUTE(H126,"(주)",""),"㈜",""),"주식회사","")," ","")</f>
        <v/>
      </c>
      <c r="AD126">
        <f>IF(AND(T126,AC126&lt;&gt;""),IF(COUNTIFS(AC$2:AC126,AC126,T$2:T126,TRUE)=1,MAX(AD$1:AD125)+1,""),"")</f>
        <v/>
      </c>
    </row>
    <row r="127">
      <c r="A127">
        <f>ROW()</f>
        <v/>
      </c>
      <c r="B127">
        <f>IF(설정!$C$4="","",IFERROR(INDEX('1.산군_붙여넣기'!$A$1:$AZ$1001,ROW(),설정!$C$4)&amp;"",""))</f>
        <v/>
      </c>
      <c r="C127">
        <f>IF(설정!$C$5="","",IFERROR(INDEX('1.산군_붙여넣기'!$A$1:$AZ$1001,ROW(),설정!$C$5)&amp;"",""))</f>
        <v/>
      </c>
      <c r="D127" s="5">
        <f>IFERROR(VALUE(SUBSTITUTE(SUBSTITUTE(SUBSTITUTE(IF(설정!$C$6="","",IFERROR(INDEX('1.산군_붙여넣기'!$A$1:$AZ$1001,ROW(),설정!$C$6)&amp;"","")),",",""),"㎡",""),"m2","")),"")</f>
        <v/>
      </c>
      <c r="E127">
        <f>IF(설정!$C$7="","",IFERROR(INDEX('1.산군_붙여넣기'!$A$1:$AZ$1001,ROW(),설정!$C$7)&amp;"",""))</f>
        <v/>
      </c>
      <c r="F127">
        <f>IF(설정!$C$8="","",IFERROR(INDEX('1.산군_붙여넣기'!$A$1:$AZ$1001,ROW(),설정!$C$8)&amp;"",""))</f>
        <v/>
      </c>
      <c r="G127">
        <f>IF(설정!$C$9="","",IFERROR(INDEX('1.산군_붙여넣기'!$A$1:$AZ$1001,ROW(),설정!$C$9)&amp;"",""))</f>
        <v/>
      </c>
      <c r="H127">
        <f>IF(설정!$C$10="","",IFERROR(INDEX('1.산군_붙여넣기'!$A$1:$AZ$1001,ROW(),설정!$C$10)&amp;"",""))</f>
        <v/>
      </c>
      <c r="I127">
        <f>IF(설정!$C$11="","",IFERROR(INDEX('1.산군_붙여넣기'!$A$1:$AZ$1001,ROW(),설정!$C$11)&amp;"",""))</f>
        <v/>
      </c>
      <c r="J127">
        <f>IF(설정!$C$12="","",IFERROR(INDEX('1.산군_붙여넣기'!$A$1:$AZ$1001,ROW(),설정!$C$12)&amp;"",""))</f>
        <v/>
      </c>
      <c r="K127">
        <f>IF(설정!$C$13="","",IFERROR(INDEX('1.산군_붙여넣기'!$A$1:$AZ$1001,ROW(),설정!$C$13)&amp;"",""))</f>
        <v/>
      </c>
      <c r="L127" s="7">
        <f>IF(X127="","",IF(AND(LEN(X127)=8,ISNUMBER(X127*1)),DATE(LEFT(X127,4),MID(X127,5,2),RIGHT(X127,2)),IFERROR(DATEVALUE(SUBSTITUTE(SUBSTITUTE(X127,".","-"),"/","-")),IFERROR(X127*1,""))))</f>
        <v/>
      </c>
      <c r="M127" s="7">
        <f>IF(Y127="","",IF(AND(LEN(Y127)=8,ISNUMBER(Y127*1)),DATE(LEFT(Y127,4),MID(Y127,5,2),RIGHT(Y127,2)),IFERROR(DATEVALUE(SUBSTITUTE(SUBSTITUTE(Y127,".","-"),"/","-")),IFERROR(Y127*1,""))))</f>
        <v/>
      </c>
      <c r="N127">
        <f>IFERROR(LEFT(B127,FIND(" ",B127)-1),B127)</f>
        <v/>
      </c>
      <c r="O127">
        <f>AND(B127&lt;&gt;"",B127&lt;&gt;설정!$B$4,C127&lt;&gt;설정!$B$5)</f>
        <v/>
      </c>
      <c r="P127">
        <f>IF(O127,B127&amp;"|"&amp;C127,"")</f>
        <v/>
      </c>
      <c r="Q127">
        <f>AND(O127,COUNTIF(P128:P$1002,P127)=0)</f>
        <v/>
      </c>
      <c r="R127">
        <f>OR(AND(설정!$A$42&lt;&gt;"",ISNUMBER(SEARCH(설정!$A$42,E127&amp;" "&amp;C127))),AND(설정!$A$43&lt;&gt;"",ISNUMBER(SEARCH(설정!$A$43,E127&amp;" "&amp;C127))),AND(설정!$A$44&lt;&gt;"",ISNUMBER(SEARCH(설정!$A$44,E127&amp;" "&amp;C127))),AND(설정!$A$45&lt;&gt;"",ISNUMBER(SEARCH(설정!$A$45,E127&amp;" "&amp;C127))),AND(설정!$A$46&lt;&gt;"",ISNUMBER(SEARCH(설정!$A$46,E127&amp;" "&amp;C127))),AND(설정!$A$47&lt;&gt;"",ISNUMBER(SEARCH(설정!$A$47,E127&amp;" "&amp;C127))),AND(설정!$A$48&lt;&gt;"",ISNUMBER(SEARCH(설정!$A$48,E127&amp;" "&amp;C127))),AND(설정!$A$49&lt;&gt;"",ISNUMBER(SEARCH(설정!$A$49,E127&amp;" "&amp;C127))),AND(설정!$A$50&lt;&gt;"",ISNUMBER(SEARCH(설정!$A$50,E127&amp;" "&amp;C127))),AND(설정!$A$51&lt;&gt;"",ISNUMBER(SEARCH(설정!$A$51,E127&amp;" "&amp;C127))))</f>
        <v/>
      </c>
      <c r="S127">
        <f>OR(D127="",D127&gt;=설정!$B$19)</f>
        <v/>
      </c>
      <c r="T127">
        <f>AND(Q127,R127,S127)</f>
        <v/>
      </c>
      <c r="U127">
        <f>IF(T127,IF(AND(설정!$A$54&lt;&gt;"",ISNUMBER(SEARCH(설정!$A$54,K127))),설정!$B$54,IF(AND(설정!$A$55&lt;&gt;"",ISNUMBER(SEARCH(설정!$A$55,K127))),설정!$B$55,IF(AND(설정!$A$56&lt;&gt;"",ISNUMBER(SEARCH(설정!$A$56,K127))),설정!$B$56,IF(AND(설정!$A$57&lt;&gt;"",ISNUMBER(SEARCH(설정!$A$57,K127))),설정!$B$57,IF(AND(설정!$A$58&lt;&gt;"",ISNUMBER(SEARCH(설정!$A$58,K127))),설정!$B$58,IF(AND(설정!$A$59&lt;&gt;"",ISNUMBER(SEARCH(설정!$A$59,K127))),설정!$B$59,IF(AND(설정!$A$60&lt;&gt;"",ISNUMBER(SEARCH(설정!$A$60,K127))),설정!$B$60,IF(AND(설정!$A$61&lt;&gt;"",ISNUMBER(SEARCH(설정!$A$61,K127))),설정!$B$61,IF(M127="","설계사","시공사"))))))))),"")</f>
        <v/>
      </c>
      <c r="V127">
        <f>SUBSTITUTE(SUBSTITUTE(SUBSTITUTE(SUBSTITUTE(G127,"(주)",""),"㈜",""),"주식회사","")," ","")</f>
        <v/>
      </c>
      <c r="W127">
        <f>IF(AND(T127,V127&lt;&gt;""),IF(COUNTIFS(V$2:V127,V127,T$2:T127,TRUE)=1,MAX(W$1:W126)+1,""),"")</f>
        <v/>
      </c>
      <c r="X127">
        <f>IF(설정!$C$14="","",IFERROR(INDEX('1.산군_붙여넣기'!$A$1:$AZ$1001,ROW(),설정!$C$14)&amp;"",""))</f>
        <v/>
      </c>
      <c r="Y127">
        <f>IF(설정!$C$15="","",IFERROR(INDEX('1.산군_붙여넣기'!$A$1:$AZ$1001,ROW(),설정!$C$15)&amp;"",""))</f>
        <v/>
      </c>
      <c r="Z127">
        <f>IF(T127,V127&amp;"|"&amp;U127,"")</f>
        <v/>
      </c>
      <c r="AA127">
        <f>IF(NOT(Q127),"",IF(NOT(AND(R127,S127)),"✕",IF(OR(OR(AND(L127&lt;&gt;"",M127&lt;&gt;"",N(M127)-N(L127)&gt;설정!$B$27),AND(L127&lt;&gt;"",M127="",설정!$B$24-N(L127)&gt;설정!$B$27)),AND(D127&lt;&gt;"",D127&lt;설정!$B$26)),"△","★")))</f>
        <v/>
      </c>
      <c r="AB127">
        <f>IF(NOT(T127),"",IF(U127="설계사",설정!$B$31,IF(U127="시공사",IF(OR(M127="",설정!$B$24-N(M127)&lt;=설정!$B$28*30.4),설정!$B$32,설정!$B$33),설정!$B$34))+IF(AA127="★",설정!$B$35,0))</f>
        <v/>
      </c>
      <c r="AC127">
        <f>SUBSTITUTE(SUBSTITUTE(SUBSTITUTE(SUBSTITUTE(H127,"(주)",""),"㈜",""),"주식회사","")," ","")</f>
        <v/>
      </c>
      <c r="AD127">
        <f>IF(AND(T127,AC127&lt;&gt;""),IF(COUNTIFS(AC$2:AC127,AC127,T$2:T127,TRUE)=1,MAX(AD$1:AD126)+1,""),"")</f>
        <v/>
      </c>
    </row>
    <row r="128">
      <c r="A128">
        <f>ROW()</f>
        <v/>
      </c>
      <c r="B128">
        <f>IF(설정!$C$4="","",IFERROR(INDEX('1.산군_붙여넣기'!$A$1:$AZ$1001,ROW(),설정!$C$4)&amp;"",""))</f>
        <v/>
      </c>
      <c r="C128">
        <f>IF(설정!$C$5="","",IFERROR(INDEX('1.산군_붙여넣기'!$A$1:$AZ$1001,ROW(),설정!$C$5)&amp;"",""))</f>
        <v/>
      </c>
      <c r="D128" s="5">
        <f>IFERROR(VALUE(SUBSTITUTE(SUBSTITUTE(SUBSTITUTE(IF(설정!$C$6="","",IFERROR(INDEX('1.산군_붙여넣기'!$A$1:$AZ$1001,ROW(),설정!$C$6)&amp;"","")),",",""),"㎡",""),"m2","")),"")</f>
        <v/>
      </c>
      <c r="E128">
        <f>IF(설정!$C$7="","",IFERROR(INDEX('1.산군_붙여넣기'!$A$1:$AZ$1001,ROW(),설정!$C$7)&amp;"",""))</f>
        <v/>
      </c>
      <c r="F128">
        <f>IF(설정!$C$8="","",IFERROR(INDEX('1.산군_붙여넣기'!$A$1:$AZ$1001,ROW(),설정!$C$8)&amp;"",""))</f>
        <v/>
      </c>
      <c r="G128">
        <f>IF(설정!$C$9="","",IFERROR(INDEX('1.산군_붙여넣기'!$A$1:$AZ$1001,ROW(),설정!$C$9)&amp;"",""))</f>
        <v/>
      </c>
      <c r="H128">
        <f>IF(설정!$C$10="","",IFERROR(INDEX('1.산군_붙여넣기'!$A$1:$AZ$1001,ROW(),설정!$C$10)&amp;"",""))</f>
        <v/>
      </c>
      <c r="I128">
        <f>IF(설정!$C$11="","",IFERROR(INDEX('1.산군_붙여넣기'!$A$1:$AZ$1001,ROW(),설정!$C$11)&amp;"",""))</f>
        <v/>
      </c>
      <c r="J128">
        <f>IF(설정!$C$12="","",IFERROR(INDEX('1.산군_붙여넣기'!$A$1:$AZ$1001,ROW(),설정!$C$12)&amp;"",""))</f>
        <v/>
      </c>
      <c r="K128">
        <f>IF(설정!$C$13="","",IFERROR(INDEX('1.산군_붙여넣기'!$A$1:$AZ$1001,ROW(),설정!$C$13)&amp;"",""))</f>
        <v/>
      </c>
      <c r="L128" s="7">
        <f>IF(X128="","",IF(AND(LEN(X128)=8,ISNUMBER(X128*1)),DATE(LEFT(X128,4),MID(X128,5,2),RIGHT(X128,2)),IFERROR(DATEVALUE(SUBSTITUTE(SUBSTITUTE(X128,".","-"),"/","-")),IFERROR(X128*1,""))))</f>
        <v/>
      </c>
      <c r="M128" s="7">
        <f>IF(Y128="","",IF(AND(LEN(Y128)=8,ISNUMBER(Y128*1)),DATE(LEFT(Y128,4),MID(Y128,5,2),RIGHT(Y128,2)),IFERROR(DATEVALUE(SUBSTITUTE(SUBSTITUTE(Y128,".","-"),"/","-")),IFERROR(Y128*1,""))))</f>
        <v/>
      </c>
      <c r="N128">
        <f>IFERROR(LEFT(B128,FIND(" ",B128)-1),B128)</f>
        <v/>
      </c>
      <c r="O128">
        <f>AND(B128&lt;&gt;"",B128&lt;&gt;설정!$B$4,C128&lt;&gt;설정!$B$5)</f>
        <v/>
      </c>
      <c r="P128">
        <f>IF(O128,B128&amp;"|"&amp;C128,"")</f>
        <v/>
      </c>
      <c r="Q128">
        <f>AND(O128,COUNTIF(P129:P$1002,P128)=0)</f>
        <v/>
      </c>
      <c r="R128">
        <f>OR(AND(설정!$A$42&lt;&gt;"",ISNUMBER(SEARCH(설정!$A$42,E128&amp;" "&amp;C128))),AND(설정!$A$43&lt;&gt;"",ISNUMBER(SEARCH(설정!$A$43,E128&amp;" "&amp;C128))),AND(설정!$A$44&lt;&gt;"",ISNUMBER(SEARCH(설정!$A$44,E128&amp;" "&amp;C128))),AND(설정!$A$45&lt;&gt;"",ISNUMBER(SEARCH(설정!$A$45,E128&amp;" "&amp;C128))),AND(설정!$A$46&lt;&gt;"",ISNUMBER(SEARCH(설정!$A$46,E128&amp;" "&amp;C128))),AND(설정!$A$47&lt;&gt;"",ISNUMBER(SEARCH(설정!$A$47,E128&amp;" "&amp;C128))),AND(설정!$A$48&lt;&gt;"",ISNUMBER(SEARCH(설정!$A$48,E128&amp;" "&amp;C128))),AND(설정!$A$49&lt;&gt;"",ISNUMBER(SEARCH(설정!$A$49,E128&amp;" "&amp;C128))),AND(설정!$A$50&lt;&gt;"",ISNUMBER(SEARCH(설정!$A$50,E128&amp;" "&amp;C128))),AND(설정!$A$51&lt;&gt;"",ISNUMBER(SEARCH(설정!$A$51,E128&amp;" "&amp;C128))))</f>
        <v/>
      </c>
      <c r="S128">
        <f>OR(D128="",D128&gt;=설정!$B$19)</f>
        <v/>
      </c>
      <c r="T128">
        <f>AND(Q128,R128,S128)</f>
        <v/>
      </c>
      <c r="U128">
        <f>IF(T128,IF(AND(설정!$A$54&lt;&gt;"",ISNUMBER(SEARCH(설정!$A$54,K128))),설정!$B$54,IF(AND(설정!$A$55&lt;&gt;"",ISNUMBER(SEARCH(설정!$A$55,K128))),설정!$B$55,IF(AND(설정!$A$56&lt;&gt;"",ISNUMBER(SEARCH(설정!$A$56,K128))),설정!$B$56,IF(AND(설정!$A$57&lt;&gt;"",ISNUMBER(SEARCH(설정!$A$57,K128))),설정!$B$57,IF(AND(설정!$A$58&lt;&gt;"",ISNUMBER(SEARCH(설정!$A$58,K128))),설정!$B$58,IF(AND(설정!$A$59&lt;&gt;"",ISNUMBER(SEARCH(설정!$A$59,K128))),설정!$B$59,IF(AND(설정!$A$60&lt;&gt;"",ISNUMBER(SEARCH(설정!$A$60,K128))),설정!$B$60,IF(AND(설정!$A$61&lt;&gt;"",ISNUMBER(SEARCH(설정!$A$61,K128))),설정!$B$61,IF(M128="","설계사","시공사"))))))))),"")</f>
        <v/>
      </c>
      <c r="V128">
        <f>SUBSTITUTE(SUBSTITUTE(SUBSTITUTE(SUBSTITUTE(G128,"(주)",""),"㈜",""),"주식회사","")," ","")</f>
        <v/>
      </c>
      <c r="W128">
        <f>IF(AND(T128,V128&lt;&gt;""),IF(COUNTIFS(V$2:V128,V128,T$2:T128,TRUE)=1,MAX(W$1:W127)+1,""),"")</f>
        <v/>
      </c>
      <c r="X128">
        <f>IF(설정!$C$14="","",IFERROR(INDEX('1.산군_붙여넣기'!$A$1:$AZ$1001,ROW(),설정!$C$14)&amp;"",""))</f>
        <v/>
      </c>
      <c r="Y128">
        <f>IF(설정!$C$15="","",IFERROR(INDEX('1.산군_붙여넣기'!$A$1:$AZ$1001,ROW(),설정!$C$15)&amp;"",""))</f>
        <v/>
      </c>
      <c r="Z128">
        <f>IF(T128,V128&amp;"|"&amp;U128,"")</f>
        <v/>
      </c>
      <c r="AA128">
        <f>IF(NOT(Q128),"",IF(NOT(AND(R128,S128)),"✕",IF(OR(OR(AND(L128&lt;&gt;"",M128&lt;&gt;"",N(M128)-N(L128)&gt;설정!$B$27),AND(L128&lt;&gt;"",M128="",설정!$B$24-N(L128)&gt;설정!$B$27)),AND(D128&lt;&gt;"",D128&lt;설정!$B$26)),"△","★")))</f>
        <v/>
      </c>
      <c r="AB128">
        <f>IF(NOT(T128),"",IF(U128="설계사",설정!$B$31,IF(U128="시공사",IF(OR(M128="",설정!$B$24-N(M128)&lt;=설정!$B$28*30.4),설정!$B$32,설정!$B$33),설정!$B$34))+IF(AA128="★",설정!$B$35,0))</f>
        <v/>
      </c>
      <c r="AC128">
        <f>SUBSTITUTE(SUBSTITUTE(SUBSTITUTE(SUBSTITUTE(H128,"(주)",""),"㈜",""),"주식회사","")," ","")</f>
        <v/>
      </c>
      <c r="AD128">
        <f>IF(AND(T128,AC128&lt;&gt;""),IF(COUNTIFS(AC$2:AC128,AC128,T$2:T128,TRUE)=1,MAX(AD$1:AD127)+1,""),"")</f>
        <v/>
      </c>
    </row>
    <row r="129">
      <c r="A129">
        <f>ROW()</f>
        <v/>
      </c>
      <c r="B129">
        <f>IF(설정!$C$4="","",IFERROR(INDEX('1.산군_붙여넣기'!$A$1:$AZ$1001,ROW(),설정!$C$4)&amp;"",""))</f>
        <v/>
      </c>
      <c r="C129">
        <f>IF(설정!$C$5="","",IFERROR(INDEX('1.산군_붙여넣기'!$A$1:$AZ$1001,ROW(),설정!$C$5)&amp;"",""))</f>
        <v/>
      </c>
      <c r="D129" s="5">
        <f>IFERROR(VALUE(SUBSTITUTE(SUBSTITUTE(SUBSTITUTE(IF(설정!$C$6="","",IFERROR(INDEX('1.산군_붙여넣기'!$A$1:$AZ$1001,ROW(),설정!$C$6)&amp;"","")),",",""),"㎡",""),"m2","")),"")</f>
        <v/>
      </c>
      <c r="E129">
        <f>IF(설정!$C$7="","",IFERROR(INDEX('1.산군_붙여넣기'!$A$1:$AZ$1001,ROW(),설정!$C$7)&amp;"",""))</f>
        <v/>
      </c>
      <c r="F129">
        <f>IF(설정!$C$8="","",IFERROR(INDEX('1.산군_붙여넣기'!$A$1:$AZ$1001,ROW(),설정!$C$8)&amp;"",""))</f>
        <v/>
      </c>
      <c r="G129">
        <f>IF(설정!$C$9="","",IFERROR(INDEX('1.산군_붙여넣기'!$A$1:$AZ$1001,ROW(),설정!$C$9)&amp;"",""))</f>
        <v/>
      </c>
      <c r="H129">
        <f>IF(설정!$C$10="","",IFERROR(INDEX('1.산군_붙여넣기'!$A$1:$AZ$1001,ROW(),설정!$C$10)&amp;"",""))</f>
        <v/>
      </c>
      <c r="I129">
        <f>IF(설정!$C$11="","",IFERROR(INDEX('1.산군_붙여넣기'!$A$1:$AZ$1001,ROW(),설정!$C$11)&amp;"",""))</f>
        <v/>
      </c>
      <c r="J129">
        <f>IF(설정!$C$12="","",IFERROR(INDEX('1.산군_붙여넣기'!$A$1:$AZ$1001,ROW(),설정!$C$12)&amp;"",""))</f>
        <v/>
      </c>
      <c r="K129">
        <f>IF(설정!$C$13="","",IFERROR(INDEX('1.산군_붙여넣기'!$A$1:$AZ$1001,ROW(),설정!$C$13)&amp;"",""))</f>
        <v/>
      </c>
      <c r="L129" s="7">
        <f>IF(X129="","",IF(AND(LEN(X129)=8,ISNUMBER(X129*1)),DATE(LEFT(X129,4),MID(X129,5,2),RIGHT(X129,2)),IFERROR(DATEVALUE(SUBSTITUTE(SUBSTITUTE(X129,".","-"),"/","-")),IFERROR(X129*1,""))))</f>
        <v/>
      </c>
      <c r="M129" s="7">
        <f>IF(Y129="","",IF(AND(LEN(Y129)=8,ISNUMBER(Y129*1)),DATE(LEFT(Y129,4),MID(Y129,5,2),RIGHT(Y129,2)),IFERROR(DATEVALUE(SUBSTITUTE(SUBSTITUTE(Y129,".","-"),"/","-")),IFERROR(Y129*1,""))))</f>
        <v/>
      </c>
      <c r="N129">
        <f>IFERROR(LEFT(B129,FIND(" ",B129)-1),B129)</f>
        <v/>
      </c>
      <c r="O129">
        <f>AND(B129&lt;&gt;"",B129&lt;&gt;설정!$B$4,C129&lt;&gt;설정!$B$5)</f>
        <v/>
      </c>
      <c r="P129">
        <f>IF(O129,B129&amp;"|"&amp;C129,"")</f>
        <v/>
      </c>
      <c r="Q129">
        <f>AND(O129,COUNTIF(P130:P$1002,P129)=0)</f>
        <v/>
      </c>
      <c r="R129">
        <f>OR(AND(설정!$A$42&lt;&gt;"",ISNUMBER(SEARCH(설정!$A$42,E129&amp;" "&amp;C129))),AND(설정!$A$43&lt;&gt;"",ISNUMBER(SEARCH(설정!$A$43,E129&amp;" "&amp;C129))),AND(설정!$A$44&lt;&gt;"",ISNUMBER(SEARCH(설정!$A$44,E129&amp;" "&amp;C129))),AND(설정!$A$45&lt;&gt;"",ISNUMBER(SEARCH(설정!$A$45,E129&amp;" "&amp;C129))),AND(설정!$A$46&lt;&gt;"",ISNUMBER(SEARCH(설정!$A$46,E129&amp;" "&amp;C129))),AND(설정!$A$47&lt;&gt;"",ISNUMBER(SEARCH(설정!$A$47,E129&amp;" "&amp;C129))),AND(설정!$A$48&lt;&gt;"",ISNUMBER(SEARCH(설정!$A$48,E129&amp;" "&amp;C129))),AND(설정!$A$49&lt;&gt;"",ISNUMBER(SEARCH(설정!$A$49,E129&amp;" "&amp;C129))),AND(설정!$A$50&lt;&gt;"",ISNUMBER(SEARCH(설정!$A$50,E129&amp;" "&amp;C129))),AND(설정!$A$51&lt;&gt;"",ISNUMBER(SEARCH(설정!$A$51,E129&amp;" "&amp;C129))))</f>
        <v/>
      </c>
      <c r="S129">
        <f>OR(D129="",D129&gt;=설정!$B$19)</f>
        <v/>
      </c>
      <c r="T129">
        <f>AND(Q129,R129,S129)</f>
        <v/>
      </c>
      <c r="U129">
        <f>IF(T129,IF(AND(설정!$A$54&lt;&gt;"",ISNUMBER(SEARCH(설정!$A$54,K129))),설정!$B$54,IF(AND(설정!$A$55&lt;&gt;"",ISNUMBER(SEARCH(설정!$A$55,K129))),설정!$B$55,IF(AND(설정!$A$56&lt;&gt;"",ISNUMBER(SEARCH(설정!$A$56,K129))),설정!$B$56,IF(AND(설정!$A$57&lt;&gt;"",ISNUMBER(SEARCH(설정!$A$57,K129))),설정!$B$57,IF(AND(설정!$A$58&lt;&gt;"",ISNUMBER(SEARCH(설정!$A$58,K129))),설정!$B$58,IF(AND(설정!$A$59&lt;&gt;"",ISNUMBER(SEARCH(설정!$A$59,K129))),설정!$B$59,IF(AND(설정!$A$60&lt;&gt;"",ISNUMBER(SEARCH(설정!$A$60,K129))),설정!$B$60,IF(AND(설정!$A$61&lt;&gt;"",ISNUMBER(SEARCH(설정!$A$61,K129))),설정!$B$61,IF(M129="","설계사","시공사"))))))))),"")</f>
        <v/>
      </c>
      <c r="V129">
        <f>SUBSTITUTE(SUBSTITUTE(SUBSTITUTE(SUBSTITUTE(G129,"(주)",""),"㈜",""),"주식회사","")," ","")</f>
        <v/>
      </c>
      <c r="W129">
        <f>IF(AND(T129,V129&lt;&gt;""),IF(COUNTIFS(V$2:V129,V129,T$2:T129,TRUE)=1,MAX(W$1:W128)+1,""),"")</f>
        <v/>
      </c>
      <c r="X129">
        <f>IF(설정!$C$14="","",IFERROR(INDEX('1.산군_붙여넣기'!$A$1:$AZ$1001,ROW(),설정!$C$14)&amp;"",""))</f>
        <v/>
      </c>
      <c r="Y129">
        <f>IF(설정!$C$15="","",IFERROR(INDEX('1.산군_붙여넣기'!$A$1:$AZ$1001,ROW(),설정!$C$15)&amp;"",""))</f>
        <v/>
      </c>
      <c r="Z129">
        <f>IF(T129,V129&amp;"|"&amp;U129,"")</f>
        <v/>
      </c>
      <c r="AA129">
        <f>IF(NOT(Q129),"",IF(NOT(AND(R129,S129)),"✕",IF(OR(OR(AND(L129&lt;&gt;"",M129&lt;&gt;"",N(M129)-N(L129)&gt;설정!$B$27),AND(L129&lt;&gt;"",M129="",설정!$B$24-N(L129)&gt;설정!$B$27)),AND(D129&lt;&gt;"",D129&lt;설정!$B$26)),"△","★")))</f>
        <v/>
      </c>
      <c r="AB129">
        <f>IF(NOT(T129),"",IF(U129="설계사",설정!$B$31,IF(U129="시공사",IF(OR(M129="",설정!$B$24-N(M129)&lt;=설정!$B$28*30.4),설정!$B$32,설정!$B$33),설정!$B$34))+IF(AA129="★",설정!$B$35,0))</f>
        <v/>
      </c>
      <c r="AC129">
        <f>SUBSTITUTE(SUBSTITUTE(SUBSTITUTE(SUBSTITUTE(H129,"(주)",""),"㈜",""),"주식회사","")," ","")</f>
        <v/>
      </c>
      <c r="AD129">
        <f>IF(AND(T129,AC129&lt;&gt;""),IF(COUNTIFS(AC$2:AC129,AC129,T$2:T129,TRUE)=1,MAX(AD$1:AD128)+1,""),"")</f>
        <v/>
      </c>
    </row>
    <row r="130">
      <c r="A130">
        <f>ROW()</f>
        <v/>
      </c>
      <c r="B130">
        <f>IF(설정!$C$4="","",IFERROR(INDEX('1.산군_붙여넣기'!$A$1:$AZ$1001,ROW(),설정!$C$4)&amp;"",""))</f>
        <v/>
      </c>
      <c r="C130">
        <f>IF(설정!$C$5="","",IFERROR(INDEX('1.산군_붙여넣기'!$A$1:$AZ$1001,ROW(),설정!$C$5)&amp;"",""))</f>
        <v/>
      </c>
      <c r="D130" s="5">
        <f>IFERROR(VALUE(SUBSTITUTE(SUBSTITUTE(SUBSTITUTE(IF(설정!$C$6="","",IFERROR(INDEX('1.산군_붙여넣기'!$A$1:$AZ$1001,ROW(),설정!$C$6)&amp;"","")),",",""),"㎡",""),"m2","")),"")</f>
        <v/>
      </c>
      <c r="E130">
        <f>IF(설정!$C$7="","",IFERROR(INDEX('1.산군_붙여넣기'!$A$1:$AZ$1001,ROW(),설정!$C$7)&amp;"",""))</f>
        <v/>
      </c>
      <c r="F130">
        <f>IF(설정!$C$8="","",IFERROR(INDEX('1.산군_붙여넣기'!$A$1:$AZ$1001,ROW(),설정!$C$8)&amp;"",""))</f>
        <v/>
      </c>
      <c r="G130">
        <f>IF(설정!$C$9="","",IFERROR(INDEX('1.산군_붙여넣기'!$A$1:$AZ$1001,ROW(),설정!$C$9)&amp;"",""))</f>
        <v/>
      </c>
      <c r="H130">
        <f>IF(설정!$C$10="","",IFERROR(INDEX('1.산군_붙여넣기'!$A$1:$AZ$1001,ROW(),설정!$C$10)&amp;"",""))</f>
        <v/>
      </c>
      <c r="I130">
        <f>IF(설정!$C$11="","",IFERROR(INDEX('1.산군_붙여넣기'!$A$1:$AZ$1001,ROW(),설정!$C$11)&amp;"",""))</f>
        <v/>
      </c>
      <c r="J130">
        <f>IF(설정!$C$12="","",IFERROR(INDEX('1.산군_붙여넣기'!$A$1:$AZ$1001,ROW(),설정!$C$12)&amp;"",""))</f>
        <v/>
      </c>
      <c r="K130">
        <f>IF(설정!$C$13="","",IFERROR(INDEX('1.산군_붙여넣기'!$A$1:$AZ$1001,ROW(),설정!$C$13)&amp;"",""))</f>
        <v/>
      </c>
      <c r="L130" s="7">
        <f>IF(X130="","",IF(AND(LEN(X130)=8,ISNUMBER(X130*1)),DATE(LEFT(X130,4),MID(X130,5,2),RIGHT(X130,2)),IFERROR(DATEVALUE(SUBSTITUTE(SUBSTITUTE(X130,".","-"),"/","-")),IFERROR(X130*1,""))))</f>
        <v/>
      </c>
      <c r="M130" s="7">
        <f>IF(Y130="","",IF(AND(LEN(Y130)=8,ISNUMBER(Y130*1)),DATE(LEFT(Y130,4),MID(Y130,5,2),RIGHT(Y130,2)),IFERROR(DATEVALUE(SUBSTITUTE(SUBSTITUTE(Y130,".","-"),"/","-")),IFERROR(Y130*1,""))))</f>
        <v/>
      </c>
      <c r="N130">
        <f>IFERROR(LEFT(B130,FIND(" ",B130)-1),B130)</f>
        <v/>
      </c>
      <c r="O130">
        <f>AND(B130&lt;&gt;"",B130&lt;&gt;설정!$B$4,C130&lt;&gt;설정!$B$5)</f>
        <v/>
      </c>
      <c r="P130">
        <f>IF(O130,B130&amp;"|"&amp;C130,"")</f>
        <v/>
      </c>
      <c r="Q130">
        <f>AND(O130,COUNTIF(P131:P$1002,P130)=0)</f>
        <v/>
      </c>
      <c r="R130">
        <f>OR(AND(설정!$A$42&lt;&gt;"",ISNUMBER(SEARCH(설정!$A$42,E130&amp;" "&amp;C130))),AND(설정!$A$43&lt;&gt;"",ISNUMBER(SEARCH(설정!$A$43,E130&amp;" "&amp;C130))),AND(설정!$A$44&lt;&gt;"",ISNUMBER(SEARCH(설정!$A$44,E130&amp;" "&amp;C130))),AND(설정!$A$45&lt;&gt;"",ISNUMBER(SEARCH(설정!$A$45,E130&amp;" "&amp;C130))),AND(설정!$A$46&lt;&gt;"",ISNUMBER(SEARCH(설정!$A$46,E130&amp;" "&amp;C130))),AND(설정!$A$47&lt;&gt;"",ISNUMBER(SEARCH(설정!$A$47,E130&amp;" "&amp;C130))),AND(설정!$A$48&lt;&gt;"",ISNUMBER(SEARCH(설정!$A$48,E130&amp;" "&amp;C130))),AND(설정!$A$49&lt;&gt;"",ISNUMBER(SEARCH(설정!$A$49,E130&amp;" "&amp;C130))),AND(설정!$A$50&lt;&gt;"",ISNUMBER(SEARCH(설정!$A$50,E130&amp;" "&amp;C130))),AND(설정!$A$51&lt;&gt;"",ISNUMBER(SEARCH(설정!$A$51,E130&amp;" "&amp;C130))))</f>
        <v/>
      </c>
      <c r="S130">
        <f>OR(D130="",D130&gt;=설정!$B$19)</f>
        <v/>
      </c>
      <c r="T130">
        <f>AND(Q130,R130,S130)</f>
        <v/>
      </c>
      <c r="U130">
        <f>IF(T130,IF(AND(설정!$A$54&lt;&gt;"",ISNUMBER(SEARCH(설정!$A$54,K130))),설정!$B$54,IF(AND(설정!$A$55&lt;&gt;"",ISNUMBER(SEARCH(설정!$A$55,K130))),설정!$B$55,IF(AND(설정!$A$56&lt;&gt;"",ISNUMBER(SEARCH(설정!$A$56,K130))),설정!$B$56,IF(AND(설정!$A$57&lt;&gt;"",ISNUMBER(SEARCH(설정!$A$57,K130))),설정!$B$57,IF(AND(설정!$A$58&lt;&gt;"",ISNUMBER(SEARCH(설정!$A$58,K130))),설정!$B$58,IF(AND(설정!$A$59&lt;&gt;"",ISNUMBER(SEARCH(설정!$A$59,K130))),설정!$B$59,IF(AND(설정!$A$60&lt;&gt;"",ISNUMBER(SEARCH(설정!$A$60,K130))),설정!$B$60,IF(AND(설정!$A$61&lt;&gt;"",ISNUMBER(SEARCH(설정!$A$61,K130))),설정!$B$61,IF(M130="","설계사","시공사"))))))))),"")</f>
        <v/>
      </c>
      <c r="V130">
        <f>SUBSTITUTE(SUBSTITUTE(SUBSTITUTE(SUBSTITUTE(G130,"(주)",""),"㈜",""),"주식회사","")," ","")</f>
        <v/>
      </c>
      <c r="W130">
        <f>IF(AND(T130,V130&lt;&gt;""),IF(COUNTIFS(V$2:V130,V130,T$2:T130,TRUE)=1,MAX(W$1:W129)+1,""),"")</f>
        <v/>
      </c>
      <c r="X130">
        <f>IF(설정!$C$14="","",IFERROR(INDEX('1.산군_붙여넣기'!$A$1:$AZ$1001,ROW(),설정!$C$14)&amp;"",""))</f>
        <v/>
      </c>
      <c r="Y130">
        <f>IF(설정!$C$15="","",IFERROR(INDEX('1.산군_붙여넣기'!$A$1:$AZ$1001,ROW(),설정!$C$15)&amp;"",""))</f>
        <v/>
      </c>
      <c r="Z130">
        <f>IF(T130,V130&amp;"|"&amp;U130,"")</f>
        <v/>
      </c>
      <c r="AA130">
        <f>IF(NOT(Q130),"",IF(NOT(AND(R130,S130)),"✕",IF(OR(OR(AND(L130&lt;&gt;"",M130&lt;&gt;"",N(M130)-N(L130)&gt;설정!$B$27),AND(L130&lt;&gt;"",M130="",설정!$B$24-N(L130)&gt;설정!$B$27)),AND(D130&lt;&gt;"",D130&lt;설정!$B$26)),"△","★")))</f>
        <v/>
      </c>
      <c r="AB130">
        <f>IF(NOT(T130),"",IF(U130="설계사",설정!$B$31,IF(U130="시공사",IF(OR(M130="",설정!$B$24-N(M130)&lt;=설정!$B$28*30.4),설정!$B$32,설정!$B$33),설정!$B$34))+IF(AA130="★",설정!$B$35,0))</f>
        <v/>
      </c>
      <c r="AC130">
        <f>SUBSTITUTE(SUBSTITUTE(SUBSTITUTE(SUBSTITUTE(H130,"(주)",""),"㈜",""),"주식회사","")," ","")</f>
        <v/>
      </c>
      <c r="AD130">
        <f>IF(AND(T130,AC130&lt;&gt;""),IF(COUNTIFS(AC$2:AC130,AC130,T$2:T130,TRUE)=1,MAX(AD$1:AD129)+1,""),"")</f>
        <v/>
      </c>
    </row>
    <row r="131">
      <c r="A131">
        <f>ROW()</f>
        <v/>
      </c>
      <c r="B131">
        <f>IF(설정!$C$4="","",IFERROR(INDEX('1.산군_붙여넣기'!$A$1:$AZ$1001,ROW(),설정!$C$4)&amp;"",""))</f>
        <v/>
      </c>
      <c r="C131">
        <f>IF(설정!$C$5="","",IFERROR(INDEX('1.산군_붙여넣기'!$A$1:$AZ$1001,ROW(),설정!$C$5)&amp;"",""))</f>
        <v/>
      </c>
      <c r="D131" s="5">
        <f>IFERROR(VALUE(SUBSTITUTE(SUBSTITUTE(SUBSTITUTE(IF(설정!$C$6="","",IFERROR(INDEX('1.산군_붙여넣기'!$A$1:$AZ$1001,ROW(),설정!$C$6)&amp;"","")),",",""),"㎡",""),"m2","")),"")</f>
        <v/>
      </c>
      <c r="E131">
        <f>IF(설정!$C$7="","",IFERROR(INDEX('1.산군_붙여넣기'!$A$1:$AZ$1001,ROW(),설정!$C$7)&amp;"",""))</f>
        <v/>
      </c>
      <c r="F131">
        <f>IF(설정!$C$8="","",IFERROR(INDEX('1.산군_붙여넣기'!$A$1:$AZ$1001,ROW(),설정!$C$8)&amp;"",""))</f>
        <v/>
      </c>
      <c r="G131">
        <f>IF(설정!$C$9="","",IFERROR(INDEX('1.산군_붙여넣기'!$A$1:$AZ$1001,ROW(),설정!$C$9)&amp;"",""))</f>
        <v/>
      </c>
      <c r="H131">
        <f>IF(설정!$C$10="","",IFERROR(INDEX('1.산군_붙여넣기'!$A$1:$AZ$1001,ROW(),설정!$C$10)&amp;"",""))</f>
        <v/>
      </c>
      <c r="I131">
        <f>IF(설정!$C$11="","",IFERROR(INDEX('1.산군_붙여넣기'!$A$1:$AZ$1001,ROW(),설정!$C$11)&amp;"",""))</f>
        <v/>
      </c>
      <c r="J131">
        <f>IF(설정!$C$12="","",IFERROR(INDEX('1.산군_붙여넣기'!$A$1:$AZ$1001,ROW(),설정!$C$12)&amp;"",""))</f>
        <v/>
      </c>
      <c r="K131">
        <f>IF(설정!$C$13="","",IFERROR(INDEX('1.산군_붙여넣기'!$A$1:$AZ$1001,ROW(),설정!$C$13)&amp;"",""))</f>
        <v/>
      </c>
      <c r="L131" s="7">
        <f>IF(X131="","",IF(AND(LEN(X131)=8,ISNUMBER(X131*1)),DATE(LEFT(X131,4),MID(X131,5,2),RIGHT(X131,2)),IFERROR(DATEVALUE(SUBSTITUTE(SUBSTITUTE(X131,".","-"),"/","-")),IFERROR(X131*1,""))))</f>
        <v/>
      </c>
      <c r="M131" s="7">
        <f>IF(Y131="","",IF(AND(LEN(Y131)=8,ISNUMBER(Y131*1)),DATE(LEFT(Y131,4),MID(Y131,5,2),RIGHT(Y131,2)),IFERROR(DATEVALUE(SUBSTITUTE(SUBSTITUTE(Y131,".","-"),"/","-")),IFERROR(Y131*1,""))))</f>
        <v/>
      </c>
      <c r="N131">
        <f>IFERROR(LEFT(B131,FIND(" ",B131)-1),B131)</f>
        <v/>
      </c>
      <c r="O131">
        <f>AND(B131&lt;&gt;"",B131&lt;&gt;설정!$B$4,C131&lt;&gt;설정!$B$5)</f>
        <v/>
      </c>
      <c r="P131">
        <f>IF(O131,B131&amp;"|"&amp;C131,"")</f>
        <v/>
      </c>
      <c r="Q131">
        <f>AND(O131,COUNTIF(P132:P$1002,P131)=0)</f>
        <v/>
      </c>
      <c r="R131">
        <f>OR(AND(설정!$A$42&lt;&gt;"",ISNUMBER(SEARCH(설정!$A$42,E131&amp;" "&amp;C131))),AND(설정!$A$43&lt;&gt;"",ISNUMBER(SEARCH(설정!$A$43,E131&amp;" "&amp;C131))),AND(설정!$A$44&lt;&gt;"",ISNUMBER(SEARCH(설정!$A$44,E131&amp;" "&amp;C131))),AND(설정!$A$45&lt;&gt;"",ISNUMBER(SEARCH(설정!$A$45,E131&amp;" "&amp;C131))),AND(설정!$A$46&lt;&gt;"",ISNUMBER(SEARCH(설정!$A$46,E131&amp;" "&amp;C131))),AND(설정!$A$47&lt;&gt;"",ISNUMBER(SEARCH(설정!$A$47,E131&amp;" "&amp;C131))),AND(설정!$A$48&lt;&gt;"",ISNUMBER(SEARCH(설정!$A$48,E131&amp;" "&amp;C131))),AND(설정!$A$49&lt;&gt;"",ISNUMBER(SEARCH(설정!$A$49,E131&amp;" "&amp;C131))),AND(설정!$A$50&lt;&gt;"",ISNUMBER(SEARCH(설정!$A$50,E131&amp;" "&amp;C131))),AND(설정!$A$51&lt;&gt;"",ISNUMBER(SEARCH(설정!$A$51,E131&amp;" "&amp;C131))))</f>
        <v/>
      </c>
      <c r="S131">
        <f>OR(D131="",D131&gt;=설정!$B$19)</f>
        <v/>
      </c>
      <c r="T131">
        <f>AND(Q131,R131,S131)</f>
        <v/>
      </c>
      <c r="U131">
        <f>IF(T131,IF(AND(설정!$A$54&lt;&gt;"",ISNUMBER(SEARCH(설정!$A$54,K131))),설정!$B$54,IF(AND(설정!$A$55&lt;&gt;"",ISNUMBER(SEARCH(설정!$A$55,K131))),설정!$B$55,IF(AND(설정!$A$56&lt;&gt;"",ISNUMBER(SEARCH(설정!$A$56,K131))),설정!$B$56,IF(AND(설정!$A$57&lt;&gt;"",ISNUMBER(SEARCH(설정!$A$57,K131))),설정!$B$57,IF(AND(설정!$A$58&lt;&gt;"",ISNUMBER(SEARCH(설정!$A$58,K131))),설정!$B$58,IF(AND(설정!$A$59&lt;&gt;"",ISNUMBER(SEARCH(설정!$A$59,K131))),설정!$B$59,IF(AND(설정!$A$60&lt;&gt;"",ISNUMBER(SEARCH(설정!$A$60,K131))),설정!$B$60,IF(AND(설정!$A$61&lt;&gt;"",ISNUMBER(SEARCH(설정!$A$61,K131))),설정!$B$61,IF(M131="","설계사","시공사"))))))))),"")</f>
        <v/>
      </c>
      <c r="V131">
        <f>SUBSTITUTE(SUBSTITUTE(SUBSTITUTE(SUBSTITUTE(G131,"(주)",""),"㈜",""),"주식회사","")," ","")</f>
        <v/>
      </c>
      <c r="W131">
        <f>IF(AND(T131,V131&lt;&gt;""),IF(COUNTIFS(V$2:V131,V131,T$2:T131,TRUE)=1,MAX(W$1:W130)+1,""),"")</f>
        <v/>
      </c>
      <c r="X131">
        <f>IF(설정!$C$14="","",IFERROR(INDEX('1.산군_붙여넣기'!$A$1:$AZ$1001,ROW(),설정!$C$14)&amp;"",""))</f>
        <v/>
      </c>
      <c r="Y131">
        <f>IF(설정!$C$15="","",IFERROR(INDEX('1.산군_붙여넣기'!$A$1:$AZ$1001,ROW(),설정!$C$15)&amp;"",""))</f>
        <v/>
      </c>
      <c r="Z131">
        <f>IF(T131,V131&amp;"|"&amp;U131,"")</f>
        <v/>
      </c>
      <c r="AA131">
        <f>IF(NOT(Q131),"",IF(NOT(AND(R131,S131)),"✕",IF(OR(OR(AND(L131&lt;&gt;"",M131&lt;&gt;"",N(M131)-N(L131)&gt;설정!$B$27),AND(L131&lt;&gt;"",M131="",설정!$B$24-N(L131)&gt;설정!$B$27)),AND(D131&lt;&gt;"",D131&lt;설정!$B$26)),"△","★")))</f>
        <v/>
      </c>
      <c r="AB131">
        <f>IF(NOT(T131),"",IF(U131="설계사",설정!$B$31,IF(U131="시공사",IF(OR(M131="",설정!$B$24-N(M131)&lt;=설정!$B$28*30.4),설정!$B$32,설정!$B$33),설정!$B$34))+IF(AA131="★",설정!$B$35,0))</f>
        <v/>
      </c>
      <c r="AC131">
        <f>SUBSTITUTE(SUBSTITUTE(SUBSTITUTE(SUBSTITUTE(H131,"(주)",""),"㈜",""),"주식회사","")," ","")</f>
        <v/>
      </c>
      <c r="AD131">
        <f>IF(AND(T131,AC131&lt;&gt;""),IF(COUNTIFS(AC$2:AC131,AC131,T$2:T131,TRUE)=1,MAX(AD$1:AD130)+1,""),"")</f>
        <v/>
      </c>
    </row>
    <row r="132">
      <c r="A132">
        <f>ROW()</f>
        <v/>
      </c>
      <c r="B132">
        <f>IF(설정!$C$4="","",IFERROR(INDEX('1.산군_붙여넣기'!$A$1:$AZ$1001,ROW(),설정!$C$4)&amp;"",""))</f>
        <v/>
      </c>
      <c r="C132">
        <f>IF(설정!$C$5="","",IFERROR(INDEX('1.산군_붙여넣기'!$A$1:$AZ$1001,ROW(),설정!$C$5)&amp;"",""))</f>
        <v/>
      </c>
      <c r="D132" s="5">
        <f>IFERROR(VALUE(SUBSTITUTE(SUBSTITUTE(SUBSTITUTE(IF(설정!$C$6="","",IFERROR(INDEX('1.산군_붙여넣기'!$A$1:$AZ$1001,ROW(),설정!$C$6)&amp;"","")),",",""),"㎡",""),"m2","")),"")</f>
        <v/>
      </c>
      <c r="E132">
        <f>IF(설정!$C$7="","",IFERROR(INDEX('1.산군_붙여넣기'!$A$1:$AZ$1001,ROW(),설정!$C$7)&amp;"",""))</f>
        <v/>
      </c>
      <c r="F132">
        <f>IF(설정!$C$8="","",IFERROR(INDEX('1.산군_붙여넣기'!$A$1:$AZ$1001,ROW(),설정!$C$8)&amp;"",""))</f>
        <v/>
      </c>
      <c r="G132">
        <f>IF(설정!$C$9="","",IFERROR(INDEX('1.산군_붙여넣기'!$A$1:$AZ$1001,ROW(),설정!$C$9)&amp;"",""))</f>
        <v/>
      </c>
      <c r="H132">
        <f>IF(설정!$C$10="","",IFERROR(INDEX('1.산군_붙여넣기'!$A$1:$AZ$1001,ROW(),설정!$C$10)&amp;"",""))</f>
        <v/>
      </c>
      <c r="I132">
        <f>IF(설정!$C$11="","",IFERROR(INDEX('1.산군_붙여넣기'!$A$1:$AZ$1001,ROW(),설정!$C$11)&amp;"",""))</f>
        <v/>
      </c>
      <c r="J132">
        <f>IF(설정!$C$12="","",IFERROR(INDEX('1.산군_붙여넣기'!$A$1:$AZ$1001,ROW(),설정!$C$12)&amp;"",""))</f>
        <v/>
      </c>
      <c r="K132">
        <f>IF(설정!$C$13="","",IFERROR(INDEX('1.산군_붙여넣기'!$A$1:$AZ$1001,ROW(),설정!$C$13)&amp;"",""))</f>
        <v/>
      </c>
      <c r="L132" s="7">
        <f>IF(X132="","",IF(AND(LEN(X132)=8,ISNUMBER(X132*1)),DATE(LEFT(X132,4),MID(X132,5,2),RIGHT(X132,2)),IFERROR(DATEVALUE(SUBSTITUTE(SUBSTITUTE(X132,".","-"),"/","-")),IFERROR(X132*1,""))))</f>
        <v/>
      </c>
      <c r="M132" s="7">
        <f>IF(Y132="","",IF(AND(LEN(Y132)=8,ISNUMBER(Y132*1)),DATE(LEFT(Y132,4),MID(Y132,5,2),RIGHT(Y132,2)),IFERROR(DATEVALUE(SUBSTITUTE(SUBSTITUTE(Y132,".","-"),"/","-")),IFERROR(Y132*1,""))))</f>
        <v/>
      </c>
      <c r="N132">
        <f>IFERROR(LEFT(B132,FIND(" ",B132)-1),B132)</f>
        <v/>
      </c>
      <c r="O132">
        <f>AND(B132&lt;&gt;"",B132&lt;&gt;설정!$B$4,C132&lt;&gt;설정!$B$5)</f>
        <v/>
      </c>
      <c r="P132">
        <f>IF(O132,B132&amp;"|"&amp;C132,"")</f>
        <v/>
      </c>
      <c r="Q132">
        <f>AND(O132,COUNTIF(P133:P$1002,P132)=0)</f>
        <v/>
      </c>
      <c r="R132">
        <f>OR(AND(설정!$A$42&lt;&gt;"",ISNUMBER(SEARCH(설정!$A$42,E132&amp;" "&amp;C132))),AND(설정!$A$43&lt;&gt;"",ISNUMBER(SEARCH(설정!$A$43,E132&amp;" "&amp;C132))),AND(설정!$A$44&lt;&gt;"",ISNUMBER(SEARCH(설정!$A$44,E132&amp;" "&amp;C132))),AND(설정!$A$45&lt;&gt;"",ISNUMBER(SEARCH(설정!$A$45,E132&amp;" "&amp;C132))),AND(설정!$A$46&lt;&gt;"",ISNUMBER(SEARCH(설정!$A$46,E132&amp;" "&amp;C132))),AND(설정!$A$47&lt;&gt;"",ISNUMBER(SEARCH(설정!$A$47,E132&amp;" "&amp;C132))),AND(설정!$A$48&lt;&gt;"",ISNUMBER(SEARCH(설정!$A$48,E132&amp;" "&amp;C132))),AND(설정!$A$49&lt;&gt;"",ISNUMBER(SEARCH(설정!$A$49,E132&amp;" "&amp;C132))),AND(설정!$A$50&lt;&gt;"",ISNUMBER(SEARCH(설정!$A$50,E132&amp;" "&amp;C132))),AND(설정!$A$51&lt;&gt;"",ISNUMBER(SEARCH(설정!$A$51,E132&amp;" "&amp;C132))))</f>
        <v/>
      </c>
      <c r="S132">
        <f>OR(D132="",D132&gt;=설정!$B$19)</f>
        <v/>
      </c>
      <c r="T132">
        <f>AND(Q132,R132,S132)</f>
        <v/>
      </c>
      <c r="U132">
        <f>IF(T132,IF(AND(설정!$A$54&lt;&gt;"",ISNUMBER(SEARCH(설정!$A$54,K132))),설정!$B$54,IF(AND(설정!$A$55&lt;&gt;"",ISNUMBER(SEARCH(설정!$A$55,K132))),설정!$B$55,IF(AND(설정!$A$56&lt;&gt;"",ISNUMBER(SEARCH(설정!$A$56,K132))),설정!$B$56,IF(AND(설정!$A$57&lt;&gt;"",ISNUMBER(SEARCH(설정!$A$57,K132))),설정!$B$57,IF(AND(설정!$A$58&lt;&gt;"",ISNUMBER(SEARCH(설정!$A$58,K132))),설정!$B$58,IF(AND(설정!$A$59&lt;&gt;"",ISNUMBER(SEARCH(설정!$A$59,K132))),설정!$B$59,IF(AND(설정!$A$60&lt;&gt;"",ISNUMBER(SEARCH(설정!$A$60,K132))),설정!$B$60,IF(AND(설정!$A$61&lt;&gt;"",ISNUMBER(SEARCH(설정!$A$61,K132))),설정!$B$61,IF(M132="","설계사","시공사"))))))))),"")</f>
        <v/>
      </c>
      <c r="V132">
        <f>SUBSTITUTE(SUBSTITUTE(SUBSTITUTE(SUBSTITUTE(G132,"(주)",""),"㈜",""),"주식회사","")," ","")</f>
        <v/>
      </c>
      <c r="W132">
        <f>IF(AND(T132,V132&lt;&gt;""),IF(COUNTIFS(V$2:V132,V132,T$2:T132,TRUE)=1,MAX(W$1:W131)+1,""),"")</f>
        <v/>
      </c>
      <c r="X132">
        <f>IF(설정!$C$14="","",IFERROR(INDEX('1.산군_붙여넣기'!$A$1:$AZ$1001,ROW(),설정!$C$14)&amp;"",""))</f>
        <v/>
      </c>
      <c r="Y132">
        <f>IF(설정!$C$15="","",IFERROR(INDEX('1.산군_붙여넣기'!$A$1:$AZ$1001,ROW(),설정!$C$15)&amp;"",""))</f>
        <v/>
      </c>
      <c r="Z132">
        <f>IF(T132,V132&amp;"|"&amp;U132,"")</f>
        <v/>
      </c>
      <c r="AA132">
        <f>IF(NOT(Q132),"",IF(NOT(AND(R132,S132)),"✕",IF(OR(OR(AND(L132&lt;&gt;"",M132&lt;&gt;"",N(M132)-N(L132)&gt;설정!$B$27),AND(L132&lt;&gt;"",M132="",설정!$B$24-N(L132)&gt;설정!$B$27)),AND(D132&lt;&gt;"",D132&lt;설정!$B$26)),"△","★")))</f>
        <v/>
      </c>
      <c r="AB132">
        <f>IF(NOT(T132),"",IF(U132="설계사",설정!$B$31,IF(U132="시공사",IF(OR(M132="",설정!$B$24-N(M132)&lt;=설정!$B$28*30.4),설정!$B$32,설정!$B$33),설정!$B$34))+IF(AA132="★",설정!$B$35,0))</f>
        <v/>
      </c>
      <c r="AC132">
        <f>SUBSTITUTE(SUBSTITUTE(SUBSTITUTE(SUBSTITUTE(H132,"(주)",""),"㈜",""),"주식회사","")," ","")</f>
        <v/>
      </c>
      <c r="AD132">
        <f>IF(AND(T132,AC132&lt;&gt;""),IF(COUNTIFS(AC$2:AC132,AC132,T$2:T132,TRUE)=1,MAX(AD$1:AD131)+1,""),"")</f>
        <v/>
      </c>
    </row>
    <row r="133">
      <c r="A133">
        <f>ROW()</f>
        <v/>
      </c>
      <c r="B133">
        <f>IF(설정!$C$4="","",IFERROR(INDEX('1.산군_붙여넣기'!$A$1:$AZ$1001,ROW(),설정!$C$4)&amp;"",""))</f>
        <v/>
      </c>
      <c r="C133">
        <f>IF(설정!$C$5="","",IFERROR(INDEX('1.산군_붙여넣기'!$A$1:$AZ$1001,ROW(),설정!$C$5)&amp;"",""))</f>
        <v/>
      </c>
      <c r="D133" s="5">
        <f>IFERROR(VALUE(SUBSTITUTE(SUBSTITUTE(SUBSTITUTE(IF(설정!$C$6="","",IFERROR(INDEX('1.산군_붙여넣기'!$A$1:$AZ$1001,ROW(),설정!$C$6)&amp;"","")),",",""),"㎡",""),"m2","")),"")</f>
        <v/>
      </c>
      <c r="E133">
        <f>IF(설정!$C$7="","",IFERROR(INDEX('1.산군_붙여넣기'!$A$1:$AZ$1001,ROW(),설정!$C$7)&amp;"",""))</f>
        <v/>
      </c>
      <c r="F133">
        <f>IF(설정!$C$8="","",IFERROR(INDEX('1.산군_붙여넣기'!$A$1:$AZ$1001,ROW(),설정!$C$8)&amp;"",""))</f>
        <v/>
      </c>
      <c r="G133">
        <f>IF(설정!$C$9="","",IFERROR(INDEX('1.산군_붙여넣기'!$A$1:$AZ$1001,ROW(),설정!$C$9)&amp;"",""))</f>
        <v/>
      </c>
      <c r="H133">
        <f>IF(설정!$C$10="","",IFERROR(INDEX('1.산군_붙여넣기'!$A$1:$AZ$1001,ROW(),설정!$C$10)&amp;"",""))</f>
        <v/>
      </c>
      <c r="I133">
        <f>IF(설정!$C$11="","",IFERROR(INDEX('1.산군_붙여넣기'!$A$1:$AZ$1001,ROW(),설정!$C$11)&amp;"",""))</f>
        <v/>
      </c>
      <c r="J133">
        <f>IF(설정!$C$12="","",IFERROR(INDEX('1.산군_붙여넣기'!$A$1:$AZ$1001,ROW(),설정!$C$12)&amp;"",""))</f>
        <v/>
      </c>
      <c r="K133">
        <f>IF(설정!$C$13="","",IFERROR(INDEX('1.산군_붙여넣기'!$A$1:$AZ$1001,ROW(),설정!$C$13)&amp;"",""))</f>
        <v/>
      </c>
      <c r="L133" s="7">
        <f>IF(X133="","",IF(AND(LEN(X133)=8,ISNUMBER(X133*1)),DATE(LEFT(X133,4),MID(X133,5,2),RIGHT(X133,2)),IFERROR(DATEVALUE(SUBSTITUTE(SUBSTITUTE(X133,".","-"),"/","-")),IFERROR(X133*1,""))))</f>
        <v/>
      </c>
      <c r="M133" s="7">
        <f>IF(Y133="","",IF(AND(LEN(Y133)=8,ISNUMBER(Y133*1)),DATE(LEFT(Y133,4),MID(Y133,5,2),RIGHT(Y133,2)),IFERROR(DATEVALUE(SUBSTITUTE(SUBSTITUTE(Y133,".","-"),"/","-")),IFERROR(Y133*1,""))))</f>
        <v/>
      </c>
      <c r="N133">
        <f>IFERROR(LEFT(B133,FIND(" ",B133)-1),B133)</f>
        <v/>
      </c>
      <c r="O133">
        <f>AND(B133&lt;&gt;"",B133&lt;&gt;설정!$B$4,C133&lt;&gt;설정!$B$5)</f>
        <v/>
      </c>
      <c r="P133">
        <f>IF(O133,B133&amp;"|"&amp;C133,"")</f>
        <v/>
      </c>
      <c r="Q133">
        <f>AND(O133,COUNTIF(P134:P$1002,P133)=0)</f>
        <v/>
      </c>
      <c r="R133">
        <f>OR(AND(설정!$A$42&lt;&gt;"",ISNUMBER(SEARCH(설정!$A$42,E133&amp;" "&amp;C133))),AND(설정!$A$43&lt;&gt;"",ISNUMBER(SEARCH(설정!$A$43,E133&amp;" "&amp;C133))),AND(설정!$A$44&lt;&gt;"",ISNUMBER(SEARCH(설정!$A$44,E133&amp;" "&amp;C133))),AND(설정!$A$45&lt;&gt;"",ISNUMBER(SEARCH(설정!$A$45,E133&amp;" "&amp;C133))),AND(설정!$A$46&lt;&gt;"",ISNUMBER(SEARCH(설정!$A$46,E133&amp;" "&amp;C133))),AND(설정!$A$47&lt;&gt;"",ISNUMBER(SEARCH(설정!$A$47,E133&amp;" "&amp;C133))),AND(설정!$A$48&lt;&gt;"",ISNUMBER(SEARCH(설정!$A$48,E133&amp;" "&amp;C133))),AND(설정!$A$49&lt;&gt;"",ISNUMBER(SEARCH(설정!$A$49,E133&amp;" "&amp;C133))),AND(설정!$A$50&lt;&gt;"",ISNUMBER(SEARCH(설정!$A$50,E133&amp;" "&amp;C133))),AND(설정!$A$51&lt;&gt;"",ISNUMBER(SEARCH(설정!$A$51,E133&amp;" "&amp;C133))))</f>
        <v/>
      </c>
      <c r="S133">
        <f>OR(D133="",D133&gt;=설정!$B$19)</f>
        <v/>
      </c>
      <c r="T133">
        <f>AND(Q133,R133,S133)</f>
        <v/>
      </c>
      <c r="U133">
        <f>IF(T133,IF(AND(설정!$A$54&lt;&gt;"",ISNUMBER(SEARCH(설정!$A$54,K133))),설정!$B$54,IF(AND(설정!$A$55&lt;&gt;"",ISNUMBER(SEARCH(설정!$A$55,K133))),설정!$B$55,IF(AND(설정!$A$56&lt;&gt;"",ISNUMBER(SEARCH(설정!$A$56,K133))),설정!$B$56,IF(AND(설정!$A$57&lt;&gt;"",ISNUMBER(SEARCH(설정!$A$57,K133))),설정!$B$57,IF(AND(설정!$A$58&lt;&gt;"",ISNUMBER(SEARCH(설정!$A$58,K133))),설정!$B$58,IF(AND(설정!$A$59&lt;&gt;"",ISNUMBER(SEARCH(설정!$A$59,K133))),설정!$B$59,IF(AND(설정!$A$60&lt;&gt;"",ISNUMBER(SEARCH(설정!$A$60,K133))),설정!$B$60,IF(AND(설정!$A$61&lt;&gt;"",ISNUMBER(SEARCH(설정!$A$61,K133))),설정!$B$61,IF(M133="","설계사","시공사"))))))))),"")</f>
        <v/>
      </c>
      <c r="V133">
        <f>SUBSTITUTE(SUBSTITUTE(SUBSTITUTE(SUBSTITUTE(G133,"(주)",""),"㈜",""),"주식회사","")," ","")</f>
        <v/>
      </c>
      <c r="W133">
        <f>IF(AND(T133,V133&lt;&gt;""),IF(COUNTIFS(V$2:V133,V133,T$2:T133,TRUE)=1,MAX(W$1:W132)+1,""),"")</f>
        <v/>
      </c>
      <c r="X133">
        <f>IF(설정!$C$14="","",IFERROR(INDEX('1.산군_붙여넣기'!$A$1:$AZ$1001,ROW(),설정!$C$14)&amp;"",""))</f>
        <v/>
      </c>
      <c r="Y133">
        <f>IF(설정!$C$15="","",IFERROR(INDEX('1.산군_붙여넣기'!$A$1:$AZ$1001,ROW(),설정!$C$15)&amp;"",""))</f>
        <v/>
      </c>
      <c r="Z133">
        <f>IF(T133,V133&amp;"|"&amp;U133,"")</f>
        <v/>
      </c>
      <c r="AA133">
        <f>IF(NOT(Q133),"",IF(NOT(AND(R133,S133)),"✕",IF(OR(OR(AND(L133&lt;&gt;"",M133&lt;&gt;"",N(M133)-N(L133)&gt;설정!$B$27),AND(L133&lt;&gt;"",M133="",설정!$B$24-N(L133)&gt;설정!$B$27)),AND(D133&lt;&gt;"",D133&lt;설정!$B$26)),"△","★")))</f>
        <v/>
      </c>
      <c r="AB133">
        <f>IF(NOT(T133),"",IF(U133="설계사",설정!$B$31,IF(U133="시공사",IF(OR(M133="",설정!$B$24-N(M133)&lt;=설정!$B$28*30.4),설정!$B$32,설정!$B$33),설정!$B$34))+IF(AA133="★",설정!$B$35,0))</f>
        <v/>
      </c>
      <c r="AC133">
        <f>SUBSTITUTE(SUBSTITUTE(SUBSTITUTE(SUBSTITUTE(H133,"(주)",""),"㈜",""),"주식회사","")," ","")</f>
        <v/>
      </c>
      <c r="AD133">
        <f>IF(AND(T133,AC133&lt;&gt;""),IF(COUNTIFS(AC$2:AC133,AC133,T$2:T133,TRUE)=1,MAX(AD$1:AD132)+1,""),"")</f>
        <v/>
      </c>
    </row>
    <row r="134">
      <c r="A134">
        <f>ROW()</f>
        <v/>
      </c>
      <c r="B134">
        <f>IF(설정!$C$4="","",IFERROR(INDEX('1.산군_붙여넣기'!$A$1:$AZ$1001,ROW(),설정!$C$4)&amp;"",""))</f>
        <v/>
      </c>
      <c r="C134">
        <f>IF(설정!$C$5="","",IFERROR(INDEX('1.산군_붙여넣기'!$A$1:$AZ$1001,ROW(),설정!$C$5)&amp;"",""))</f>
        <v/>
      </c>
      <c r="D134" s="5">
        <f>IFERROR(VALUE(SUBSTITUTE(SUBSTITUTE(SUBSTITUTE(IF(설정!$C$6="","",IFERROR(INDEX('1.산군_붙여넣기'!$A$1:$AZ$1001,ROW(),설정!$C$6)&amp;"","")),",",""),"㎡",""),"m2","")),"")</f>
        <v/>
      </c>
      <c r="E134">
        <f>IF(설정!$C$7="","",IFERROR(INDEX('1.산군_붙여넣기'!$A$1:$AZ$1001,ROW(),설정!$C$7)&amp;"",""))</f>
        <v/>
      </c>
      <c r="F134">
        <f>IF(설정!$C$8="","",IFERROR(INDEX('1.산군_붙여넣기'!$A$1:$AZ$1001,ROW(),설정!$C$8)&amp;"",""))</f>
        <v/>
      </c>
      <c r="G134">
        <f>IF(설정!$C$9="","",IFERROR(INDEX('1.산군_붙여넣기'!$A$1:$AZ$1001,ROW(),설정!$C$9)&amp;"",""))</f>
        <v/>
      </c>
      <c r="H134">
        <f>IF(설정!$C$10="","",IFERROR(INDEX('1.산군_붙여넣기'!$A$1:$AZ$1001,ROW(),설정!$C$10)&amp;"",""))</f>
        <v/>
      </c>
      <c r="I134">
        <f>IF(설정!$C$11="","",IFERROR(INDEX('1.산군_붙여넣기'!$A$1:$AZ$1001,ROW(),설정!$C$11)&amp;"",""))</f>
        <v/>
      </c>
      <c r="J134">
        <f>IF(설정!$C$12="","",IFERROR(INDEX('1.산군_붙여넣기'!$A$1:$AZ$1001,ROW(),설정!$C$12)&amp;"",""))</f>
        <v/>
      </c>
      <c r="K134">
        <f>IF(설정!$C$13="","",IFERROR(INDEX('1.산군_붙여넣기'!$A$1:$AZ$1001,ROW(),설정!$C$13)&amp;"",""))</f>
        <v/>
      </c>
      <c r="L134" s="7">
        <f>IF(X134="","",IF(AND(LEN(X134)=8,ISNUMBER(X134*1)),DATE(LEFT(X134,4),MID(X134,5,2),RIGHT(X134,2)),IFERROR(DATEVALUE(SUBSTITUTE(SUBSTITUTE(X134,".","-"),"/","-")),IFERROR(X134*1,""))))</f>
        <v/>
      </c>
      <c r="M134" s="7">
        <f>IF(Y134="","",IF(AND(LEN(Y134)=8,ISNUMBER(Y134*1)),DATE(LEFT(Y134,4),MID(Y134,5,2),RIGHT(Y134,2)),IFERROR(DATEVALUE(SUBSTITUTE(SUBSTITUTE(Y134,".","-"),"/","-")),IFERROR(Y134*1,""))))</f>
        <v/>
      </c>
      <c r="N134">
        <f>IFERROR(LEFT(B134,FIND(" ",B134)-1),B134)</f>
        <v/>
      </c>
      <c r="O134">
        <f>AND(B134&lt;&gt;"",B134&lt;&gt;설정!$B$4,C134&lt;&gt;설정!$B$5)</f>
        <v/>
      </c>
      <c r="P134">
        <f>IF(O134,B134&amp;"|"&amp;C134,"")</f>
        <v/>
      </c>
      <c r="Q134">
        <f>AND(O134,COUNTIF(P135:P$1002,P134)=0)</f>
        <v/>
      </c>
      <c r="R134">
        <f>OR(AND(설정!$A$42&lt;&gt;"",ISNUMBER(SEARCH(설정!$A$42,E134&amp;" "&amp;C134))),AND(설정!$A$43&lt;&gt;"",ISNUMBER(SEARCH(설정!$A$43,E134&amp;" "&amp;C134))),AND(설정!$A$44&lt;&gt;"",ISNUMBER(SEARCH(설정!$A$44,E134&amp;" "&amp;C134))),AND(설정!$A$45&lt;&gt;"",ISNUMBER(SEARCH(설정!$A$45,E134&amp;" "&amp;C134))),AND(설정!$A$46&lt;&gt;"",ISNUMBER(SEARCH(설정!$A$46,E134&amp;" "&amp;C134))),AND(설정!$A$47&lt;&gt;"",ISNUMBER(SEARCH(설정!$A$47,E134&amp;" "&amp;C134))),AND(설정!$A$48&lt;&gt;"",ISNUMBER(SEARCH(설정!$A$48,E134&amp;" "&amp;C134))),AND(설정!$A$49&lt;&gt;"",ISNUMBER(SEARCH(설정!$A$49,E134&amp;" "&amp;C134))),AND(설정!$A$50&lt;&gt;"",ISNUMBER(SEARCH(설정!$A$50,E134&amp;" "&amp;C134))),AND(설정!$A$51&lt;&gt;"",ISNUMBER(SEARCH(설정!$A$51,E134&amp;" "&amp;C134))))</f>
        <v/>
      </c>
      <c r="S134">
        <f>OR(D134="",D134&gt;=설정!$B$19)</f>
        <v/>
      </c>
      <c r="T134">
        <f>AND(Q134,R134,S134)</f>
        <v/>
      </c>
      <c r="U134">
        <f>IF(T134,IF(AND(설정!$A$54&lt;&gt;"",ISNUMBER(SEARCH(설정!$A$54,K134))),설정!$B$54,IF(AND(설정!$A$55&lt;&gt;"",ISNUMBER(SEARCH(설정!$A$55,K134))),설정!$B$55,IF(AND(설정!$A$56&lt;&gt;"",ISNUMBER(SEARCH(설정!$A$56,K134))),설정!$B$56,IF(AND(설정!$A$57&lt;&gt;"",ISNUMBER(SEARCH(설정!$A$57,K134))),설정!$B$57,IF(AND(설정!$A$58&lt;&gt;"",ISNUMBER(SEARCH(설정!$A$58,K134))),설정!$B$58,IF(AND(설정!$A$59&lt;&gt;"",ISNUMBER(SEARCH(설정!$A$59,K134))),설정!$B$59,IF(AND(설정!$A$60&lt;&gt;"",ISNUMBER(SEARCH(설정!$A$60,K134))),설정!$B$60,IF(AND(설정!$A$61&lt;&gt;"",ISNUMBER(SEARCH(설정!$A$61,K134))),설정!$B$61,IF(M134="","설계사","시공사"))))))))),"")</f>
        <v/>
      </c>
      <c r="V134">
        <f>SUBSTITUTE(SUBSTITUTE(SUBSTITUTE(SUBSTITUTE(G134,"(주)",""),"㈜",""),"주식회사","")," ","")</f>
        <v/>
      </c>
      <c r="W134">
        <f>IF(AND(T134,V134&lt;&gt;""),IF(COUNTIFS(V$2:V134,V134,T$2:T134,TRUE)=1,MAX(W$1:W133)+1,""),"")</f>
        <v/>
      </c>
      <c r="X134">
        <f>IF(설정!$C$14="","",IFERROR(INDEX('1.산군_붙여넣기'!$A$1:$AZ$1001,ROW(),설정!$C$14)&amp;"",""))</f>
        <v/>
      </c>
      <c r="Y134">
        <f>IF(설정!$C$15="","",IFERROR(INDEX('1.산군_붙여넣기'!$A$1:$AZ$1001,ROW(),설정!$C$15)&amp;"",""))</f>
        <v/>
      </c>
      <c r="Z134">
        <f>IF(T134,V134&amp;"|"&amp;U134,"")</f>
        <v/>
      </c>
      <c r="AA134">
        <f>IF(NOT(Q134),"",IF(NOT(AND(R134,S134)),"✕",IF(OR(OR(AND(L134&lt;&gt;"",M134&lt;&gt;"",N(M134)-N(L134)&gt;설정!$B$27),AND(L134&lt;&gt;"",M134="",설정!$B$24-N(L134)&gt;설정!$B$27)),AND(D134&lt;&gt;"",D134&lt;설정!$B$26)),"△","★")))</f>
        <v/>
      </c>
      <c r="AB134">
        <f>IF(NOT(T134),"",IF(U134="설계사",설정!$B$31,IF(U134="시공사",IF(OR(M134="",설정!$B$24-N(M134)&lt;=설정!$B$28*30.4),설정!$B$32,설정!$B$33),설정!$B$34))+IF(AA134="★",설정!$B$35,0))</f>
        <v/>
      </c>
      <c r="AC134">
        <f>SUBSTITUTE(SUBSTITUTE(SUBSTITUTE(SUBSTITUTE(H134,"(주)",""),"㈜",""),"주식회사","")," ","")</f>
        <v/>
      </c>
      <c r="AD134">
        <f>IF(AND(T134,AC134&lt;&gt;""),IF(COUNTIFS(AC$2:AC134,AC134,T$2:T134,TRUE)=1,MAX(AD$1:AD133)+1,""),"")</f>
        <v/>
      </c>
    </row>
    <row r="135">
      <c r="A135">
        <f>ROW()</f>
        <v/>
      </c>
      <c r="B135">
        <f>IF(설정!$C$4="","",IFERROR(INDEX('1.산군_붙여넣기'!$A$1:$AZ$1001,ROW(),설정!$C$4)&amp;"",""))</f>
        <v/>
      </c>
      <c r="C135">
        <f>IF(설정!$C$5="","",IFERROR(INDEX('1.산군_붙여넣기'!$A$1:$AZ$1001,ROW(),설정!$C$5)&amp;"",""))</f>
        <v/>
      </c>
      <c r="D135" s="5">
        <f>IFERROR(VALUE(SUBSTITUTE(SUBSTITUTE(SUBSTITUTE(IF(설정!$C$6="","",IFERROR(INDEX('1.산군_붙여넣기'!$A$1:$AZ$1001,ROW(),설정!$C$6)&amp;"","")),",",""),"㎡",""),"m2","")),"")</f>
        <v/>
      </c>
      <c r="E135">
        <f>IF(설정!$C$7="","",IFERROR(INDEX('1.산군_붙여넣기'!$A$1:$AZ$1001,ROW(),설정!$C$7)&amp;"",""))</f>
        <v/>
      </c>
      <c r="F135">
        <f>IF(설정!$C$8="","",IFERROR(INDEX('1.산군_붙여넣기'!$A$1:$AZ$1001,ROW(),설정!$C$8)&amp;"",""))</f>
        <v/>
      </c>
      <c r="G135">
        <f>IF(설정!$C$9="","",IFERROR(INDEX('1.산군_붙여넣기'!$A$1:$AZ$1001,ROW(),설정!$C$9)&amp;"",""))</f>
        <v/>
      </c>
      <c r="H135">
        <f>IF(설정!$C$10="","",IFERROR(INDEX('1.산군_붙여넣기'!$A$1:$AZ$1001,ROW(),설정!$C$10)&amp;"",""))</f>
        <v/>
      </c>
      <c r="I135">
        <f>IF(설정!$C$11="","",IFERROR(INDEX('1.산군_붙여넣기'!$A$1:$AZ$1001,ROW(),설정!$C$11)&amp;"",""))</f>
        <v/>
      </c>
      <c r="J135">
        <f>IF(설정!$C$12="","",IFERROR(INDEX('1.산군_붙여넣기'!$A$1:$AZ$1001,ROW(),설정!$C$12)&amp;"",""))</f>
        <v/>
      </c>
      <c r="K135">
        <f>IF(설정!$C$13="","",IFERROR(INDEX('1.산군_붙여넣기'!$A$1:$AZ$1001,ROW(),설정!$C$13)&amp;"",""))</f>
        <v/>
      </c>
      <c r="L135" s="7">
        <f>IF(X135="","",IF(AND(LEN(X135)=8,ISNUMBER(X135*1)),DATE(LEFT(X135,4),MID(X135,5,2),RIGHT(X135,2)),IFERROR(DATEVALUE(SUBSTITUTE(SUBSTITUTE(X135,".","-"),"/","-")),IFERROR(X135*1,""))))</f>
        <v/>
      </c>
      <c r="M135" s="7">
        <f>IF(Y135="","",IF(AND(LEN(Y135)=8,ISNUMBER(Y135*1)),DATE(LEFT(Y135,4),MID(Y135,5,2),RIGHT(Y135,2)),IFERROR(DATEVALUE(SUBSTITUTE(SUBSTITUTE(Y135,".","-"),"/","-")),IFERROR(Y135*1,""))))</f>
        <v/>
      </c>
      <c r="N135">
        <f>IFERROR(LEFT(B135,FIND(" ",B135)-1),B135)</f>
        <v/>
      </c>
      <c r="O135">
        <f>AND(B135&lt;&gt;"",B135&lt;&gt;설정!$B$4,C135&lt;&gt;설정!$B$5)</f>
        <v/>
      </c>
      <c r="P135">
        <f>IF(O135,B135&amp;"|"&amp;C135,"")</f>
        <v/>
      </c>
      <c r="Q135">
        <f>AND(O135,COUNTIF(P136:P$1002,P135)=0)</f>
        <v/>
      </c>
      <c r="R135">
        <f>OR(AND(설정!$A$42&lt;&gt;"",ISNUMBER(SEARCH(설정!$A$42,E135&amp;" "&amp;C135))),AND(설정!$A$43&lt;&gt;"",ISNUMBER(SEARCH(설정!$A$43,E135&amp;" "&amp;C135))),AND(설정!$A$44&lt;&gt;"",ISNUMBER(SEARCH(설정!$A$44,E135&amp;" "&amp;C135))),AND(설정!$A$45&lt;&gt;"",ISNUMBER(SEARCH(설정!$A$45,E135&amp;" "&amp;C135))),AND(설정!$A$46&lt;&gt;"",ISNUMBER(SEARCH(설정!$A$46,E135&amp;" "&amp;C135))),AND(설정!$A$47&lt;&gt;"",ISNUMBER(SEARCH(설정!$A$47,E135&amp;" "&amp;C135))),AND(설정!$A$48&lt;&gt;"",ISNUMBER(SEARCH(설정!$A$48,E135&amp;" "&amp;C135))),AND(설정!$A$49&lt;&gt;"",ISNUMBER(SEARCH(설정!$A$49,E135&amp;" "&amp;C135))),AND(설정!$A$50&lt;&gt;"",ISNUMBER(SEARCH(설정!$A$50,E135&amp;" "&amp;C135))),AND(설정!$A$51&lt;&gt;"",ISNUMBER(SEARCH(설정!$A$51,E135&amp;" "&amp;C135))))</f>
        <v/>
      </c>
      <c r="S135">
        <f>OR(D135="",D135&gt;=설정!$B$19)</f>
        <v/>
      </c>
      <c r="T135">
        <f>AND(Q135,R135,S135)</f>
        <v/>
      </c>
      <c r="U135">
        <f>IF(T135,IF(AND(설정!$A$54&lt;&gt;"",ISNUMBER(SEARCH(설정!$A$54,K135))),설정!$B$54,IF(AND(설정!$A$55&lt;&gt;"",ISNUMBER(SEARCH(설정!$A$55,K135))),설정!$B$55,IF(AND(설정!$A$56&lt;&gt;"",ISNUMBER(SEARCH(설정!$A$56,K135))),설정!$B$56,IF(AND(설정!$A$57&lt;&gt;"",ISNUMBER(SEARCH(설정!$A$57,K135))),설정!$B$57,IF(AND(설정!$A$58&lt;&gt;"",ISNUMBER(SEARCH(설정!$A$58,K135))),설정!$B$58,IF(AND(설정!$A$59&lt;&gt;"",ISNUMBER(SEARCH(설정!$A$59,K135))),설정!$B$59,IF(AND(설정!$A$60&lt;&gt;"",ISNUMBER(SEARCH(설정!$A$60,K135))),설정!$B$60,IF(AND(설정!$A$61&lt;&gt;"",ISNUMBER(SEARCH(설정!$A$61,K135))),설정!$B$61,IF(M135="","설계사","시공사"))))))))),"")</f>
        <v/>
      </c>
      <c r="V135">
        <f>SUBSTITUTE(SUBSTITUTE(SUBSTITUTE(SUBSTITUTE(G135,"(주)",""),"㈜",""),"주식회사","")," ","")</f>
        <v/>
      </c>
      <c r="W135">
        <f>IF(AND(T135,V135&lt;&gt;""),IF(COUNTIFS(V$2:V135,V135,T$2:T135,TRUE)=1,MAX(W$1:W134)+1,""),"")</f>
        <v/>
      </c>
      <c r="X135">
        <f>IF(설정!$C$14="","",IFERROR(INDEX('1.산군_붙여넣기'!$A$1:$AZ$1001,ROW(),설정!$C$14)&amp;"",""))</f>
        <v/>
      </c>
      <c r="Y135">
        <f>IF(설정!$C$15="","",IFERROR(INDEX('1.산군_붙여넣기'!$A$1:$AZ$1001,ROW(),설정!$C$15)&amp;"",""))</f>
        <v/>
      </c>
      <c r="Z135">
        <f>IF(T135,V135&amp;"|"&amp;U135,"")</f>
        <v/>
      </c>
      <c r="AA135">
        <f>IF(NOT(Q135),"",IF(NOT(AND(R135,S135)),"✕",IF(OR(OR(AND(L135&lt;&gt;"",M135&lt;&gt;"",N(M135)-N(L135)&gt;설정!$B$27),AND(L135&lt;&gt;"",M135="",설정!$B$24-N(L135)&gt;설정!$B$27)),AND(D135&lt;&gt;"",D135&lt;설정!$B$26)),"△","★")))</f>
        <v/>
      </c>
      <c r="AB135">
        <f>IF(NOT(T135),"",IF(U135="설계사",설정!$B$31,IF(U135="시공사",IF(OR(M135="",설정!$B$24-N(M135)&lt;=설정!$B$28*30.4),설정!$B$32,설정!$B$33),설정!$B$34))+IF(AA135="★",설정!$B$35,0))</f>
        <v/>
      </c>
      <c r="AC135">
        <f>SUBSTITUTE(SUBSTITUTE(SUBSTITUTE(SUBSTITUTE(H135,"(주)",""),"㈜",""),"주식회사","")," ","")</f>
        <v/>
      </c>
      <c r="AD135">
        <f>IF(AND(T135,AC135&lt;&gt;""),IF(COUNTIFS(AC$2:AC135,AC135,T$2:T135,TRUE)=1,MAX(AD$1:AD134)+1,""),"")</f>
        <v/>
      </c>
    </row>
    <row r="136">
      <c r="A136">
        <f>ROW()</f>
        <v/>
      </c>
      <c r="B136">
        <f>IF(설정!$C$4="","",IFERROR(INDEX('1.산군_붙여넣기'!$A$1:$AZ$1001,ROW(),설정!$C$4)&amp;"",""))</f>
        <v/>
      </c>
      <c r="C136">
        <f>IF(설정!$C$5="","",IFERROR(INDEX('1.산군_붙여넣기'!$A$1:$AZ$1001,ROW(),설정!$C$5)&amp;"",""))</f>
        <v/>
      </c>
      <c r="D136" s="5">
        <f>IFERROR(VALUE(SUBSTITUTE(SUBSTITUTE(SUBSTITUTE(IF(설정!$C$6="","",IFERROR(INDEX('1.산군_붙여넣기'!$A$1:$AZ$1001,ROW(),설정!$C$6)&amp;"","")),",",""),"㎡",""),"m2","")),"")</f>
        <v/>
      </c>
      <c r="E136">
        <f>IF(설정!$C$7="","",IFERROR(INDEX('1.산군_붙여넣기'!$A$1:$AZ$1001,ROW(),설정!$C$7)&amp;"",""))</f>
        <v/>
      </c>
      <c r="F136">
        <f>IF(설정!$C$8="","",IFERROR(INDEX('1.산군_붙여넣기'!$A$1:$AZ$1001,ROW(),설정!$C$8)&amp;"",""))</f>
        <v/>
      </c>
      <c r="G136">
        <f>IF(설정!$C$9="","",IFERROR(INDEX('1.산군_붙여넣기'!$A$1:$AZ$1001,ROW(),설정!$C$9)&amp;"",""))</f>
        <v/>
      </c>
      <c r="H136">
        <f>IF(설정!$C$10="","",IFERROR(INDEX('1.산군_붙여넣기'!$A$1:$AZ$1001,ROW(),설정!$C$10)&amp;"",""))</f>
        <v/>
      </c>
      <c r="I136">
        <f>IF(설정!$C$11="","",IFERROR(INDEX('1.산군_붙여넣기'!$A$1:$AZ$1001,ROW(),설정!$C$11)&amp;"",""))</f>
        <v/>
      </c>
      <c r="J136">
        <f>IF(설정!$C$12="","",IFERROR(INDEX('1.산군_붙여넣기'!$A$1:$AZ$1001,ROW(),설정!$C$12)&amp;"",""))</f>
        <v/>
      </c>
      <c r="K136">
        <f>IF(설정!$C$13="","",IFERROR(INDEX('1.산군_붙여넣기'!$A$1:$AZ$1001,ROW(),설정!$C$13)&amp;"",""))</f>
        <v/>
      </c>
      <c r="L136" s="7">
        <f>IF(X136="","",IF(AND(LEN(X136)=8,ISNUMBER(X136*1)),DATE(LEFT(X136,4),MID(X136,5,2),RIGHT(X136,2)),IFERROR(DATEVALUE(SUBSTITUTE(SUBSTITUTE(X136,".","-"),"/","-")),IFERROR(X136*1,""))))</f>
        <v/>
      </c>
      <c r="M136" s="7">
        <f>IF(Y136="","",IF(AND(LEN(Y136)=8,ISNUMBER(Y136*1)),DATE(LEFT(Y136,4),MID(Y136,5,2),RIGHT(Y136,2)),IFERROR(DATEVALUE(SUBSTITUTE(SUBSTITUTE(Y136,".","-"),"/","-")),IFERROR(Y136*1,""))))</f>
        <v/>
      </c>
      <c r="N136">
        <f>IFERROR(LEFT(B136,FIND(" ",B136)-1),B136)</f>
        <v/>
      </c>
      <c r="O136">
        <f>AND(B136&lt;&gt;"",B136&lt;&gt;설정!$B$4,C136&lt;&gt;설정!$B$5)</f>
        <v/>
      </c>
      <c r="P136">
        <f>IF(O136,B136&amp;"|"&amp;C136,"")</f>
        <v/>
      </c>
      <c r="Q136">
        <f>AND(O136,COUNTIF(P137:P$1002,P136)=0)</f>
        <v/>
      </c>
      <c r="R136">
        <f>OR(AND(설정!$A$42&lt;&gt;"",ISNUMBER(SEARCH(설정!$A$42,E136&amp;" "&amp;C136))),AND(설정!$A$43&lt;&gt;"",ISNUMBER(SEARCH(설정!$A$43,E136&amp;" "&amp;C136))),AND(설정!$A$44&lt;&gt;"",ISNUMBER(SEARCH(설정!$A$44,E136&amp;" "&amp;C136))),AND(설정!$A$45&lt;&gt;"",ISNUMBER(SEARCH(설정!$A$45,E136&amp;" "&amp;C136))),AND(설정!$A$46&lt;&gt;"",ISNUMBER(SEARCH(설정!$A$46,E136&amp;" "&amp;C136))),AND(설정!$A$47&lt;&gt;"",ISNUMBER(SEARCH(설정!$A$47,E136&amp;" "&amp;C136))),AND(설정!$A$48&lt;&gt;"",ISNUMBER(SEARCH(설정!$A$48,E136&amp;" "&amp;C136))),AND(설정!$A$49&lt;&gt;"",ISNUMBER(SEARCH(설정!$A$49,E136&amp;" "&amp;C136))),AND(설정!$A$50&lt;&gt;"",ISNUMBER(SEARCH(설정!$A$50,E136&amp;" "&amp;C136))),AND(설정!$A$51&lt;&gt;"",ISNUMBER(SEARCH(설정!$A$51,E136&amp;" "&amp;C136))))</f>
        <v/>
      </c>
      <c r="S136">
        <f>OR(D136="",D136&gt;=설정!$B$19)</f>
        <v/>
      </c>
      <c r="T136">
        <f>AND(Q136,R136,S136)</f>
        <v/>
      </c>
      <c r="U136">
        <f>IF(T136,IF(AND(설정!$A$54&lt;&gt;"",ISNUMBER(SEARCH(설정!$A$54,K136))),설정!$B$54,IF(AND(설정!$A$55&lt;&gt;"",ISNUMBER(SEARCH(설정!$A$55,K136))),설정!$B$55,IF(AND(설정!$A$56&lt;&gt;"",ISNUMBER(SEARCH(설정!$A$56,K136))),설정!$B$56,IF(AND(설정!$A$57&lt;&gt;"",ISNUMBER(SEARCH(설정!$A$57,K136))),설정!$B$57,IF(AND(설정!$A$58&lt;&gt;"",ISNUMBER(SEARCH(설정!$A$58,K136))),설정!$B$58,IF(AND(설정!$A$59&lt;&gt;"",ISNUMBER(SEARCH(설정!$A$59,K136))),설정!$B$59,IF(AND(설정!$A$60&lt;&gt;"",ISNUMBER(SEARCH(설정!$A$60,K136))),설정!$B$60,IF(AND(설정!$A$61&lt;&gt;"",ISNUMBER(SEARCH(설정!$A$61,K136))),설정!$B$61,IF(M136="","설계사","시공사"))))))))),"")</f>
        <v/>
      </c>
      <c r="V136">
        <f>SUBSTITUTE(SUBSTITUTE(SUBSTITUTE(SUBSTITUTE(G136,"(주)",""),"㈜",""),"주식회사","")," ","")</f>
        <v/>
      </c>
      <c r="W136">
        <f>IF(AND(T136,V136&lt;&gt;""),IF(COUNTIFS(V$2:V136,V136,T$2:T136,TRUE)=1,MAX(W$1:W135)+1,""),"")</f>
        <v/>
      </c>
      <c r="X136">
        <f>IF(설정!$C$14="","",IFERROR(INDEX('1.산군_붙여넣기'!$A$1:$AZ$1001,ROW(),설정!$C$14)&amp;"",""))</f>
        <v/>
      </c>
      <c r="Y136">
        <f>IF(설정!$C$15="","",IFERROR(INDEX('1.산군_붙여넣기'!$A$1:$AZ$1001,ROW(),설정!$C$15)&amp;"",""))</f>
        <v/>
      </c>
      <c r="Z136">
        <f>IF(T136,V136&amp;"|"&amp;U136,"")</f>
        <v/>
      </c>
      <c r="AA136">
        <f>IF(NOT(Q136),"",IF(NOT(AND(R136,S136)),"✕",IF(OR(OR(AND(L136&lt;&gt;"",M136&lt;&gt;"",N(M136)-N(L136)&gt;설정!$B$27),AND(L136&lt;&gt;"",M136="",설정!$B$24-N(L136)&gt;설정!$B$27)),AND(D136&lt;&gt;"",D136&lt;설정!$B$26)),"△","★")))</f>
        <v/>
      </c>
      <c r="AB136">
        <f>IF(NOT(T136),"",IF(U136="설계사",설정!$B$31,IF(U136="시공사",IF(OR(M136="",설정!$B$24-N(M136)&lt;=설정!$B$28*30.4),설정!$B$32,설정!$B$33),설정!$B$34))+IF(AA136="★",설정!$B$35,0))</f>
        <v/>
      </c>
      <c r="AC136">
        <f>SUBSTITUTE(SUBSTITUTE(SUBSTITUTE(SUBSTITUTE(H136,"(주)",""),"㈜",""),"주식회사","")," ","")</f>
        <v/>
      </c>
      <c r="AD136">
        <f>IF(AND(T136,AC136&lt;&gt;""),IF(COUNTIFS(AC$2:AC136,AC136,T$2:T136,TRUE)=1,MAX(AD$1:AD135)+1,""),"")</f>
        <v/>
      </c>
    </row>
    <row r="137">
      <c r="A137">
        <f>ROW()</f>
        <v/>
      </c>
      <c r="B137">
        <f>IF(설정!$C$4="","",IFERROR(INDEX('1.산군_붙여넣기'!$A$1:$AZ$1001,ROW(),설정!$C$4)&amp;"",""))</f>
        <v/>
      </c>
      <c r="C137">
        <f>IF(설정!$C$5="","",IFERROR(INDEX('1.산군_붙여넣기'!$A$1:$AZ$1001,ROW(),설정!$C$5)&amp;"",""))</f>
        <v/>
      </c>
      <c r="D137" s="5">
        <f>IFERROR(VALUE(SUBSTITUTE(SUBSTITUTE(SUBSTITUTE(IF(설정!$C$6="","",IFERROR(INDEX('1.산군_붙여넣기'!$A$1:$AZ$1001,ROW(),설정!$C$6)&amp;"","")),",",""),"㎡",""),"m2","")),"")</f>
        <v/>
      </c>
      <c r="E137">
        <f>IF(설정!$C$7="","",IFERROR(INDEX('1.산군_붙여넣기'!$A$1:$AZ$1001,ROW(),설정!$C$7)&amp;"",""))</f>
        <v/>
      </c>
      <c r="F137">
        <f>IF(설정!$C$8="","",IFERROR(INDEX('1.산군_붙여넣기'!$A$1:$AZ$1001,ROW(),설정!$C$8)&amp;"",""))</f>
        <v/>
      </c>
      <c r="G137">
        <f>IF(설정!$C$9="","",IFERROR(INDEX('1.산군_붙여넣기'!$A$1:$AZ$1001,ROW(),설정!$C$9)&amp;"",""))</f>
        <v/>
      </c>
      <c r="H137">
        <f>IF(설정!$C$10="","",IFERROR(INDEX('1.산군_붙여넣기'!$A$1:$AZ$1001,ROW(),설정!$C$10)&amp;"",""))</f>
        <v/>
      </c>
      <c r="I137">
        <f>IF(설정!$C$11="","",IFERROR(INDEX('1.산군_붙여넣기'!$A$1:$AZ$1001,ROW(),설정!$C$11)&amp;"",""))</f>
        <v/>
      </c>
      <c r="J137">
        <f>IF(설정!$C$12="","",IFERROR(INDEX('1.산군_붙여넣기'!$A$1:$AZ$1001,ROW(),설정!$C$12)&amp;"",""))</f>
        <v/>
      </c>
      <c r="K137">
        <f>IF(설정!$C$13="","",IFERROR(INDEX('1.산군_붙여넣기'!$A$1:$AZ$1001,ROW(),설정!$C$13)&amp;"",""))</f>
        <v/>
      </c>
      <c r="L137" s="7">
        <f>IF(X137="","",IF(AND(LEN(X137)=8,ISNUMBER(X137*1)),DATE(LEFT(X137,4),MID(X137,5,2),RIGHT(X137,2)),IFERROR(DATEVALUE(SUBSTITUTE(SUBSTITUTE(X137,".","-"),"/","-")),IFERROR(X137*1,""))))</f>
        <v/>
      </c>
      <c r="M137" s="7">
        <f>IF(Y137="","",IF(AND(LEN(Y137)=8,ISNUMBER(Y137*1)),DATE(LEFT(Y137,4),MID(Y137,5,2),RIGHT(Y137,2)),IFERROR(DATEVALUE(SUBSTITUTE(SUBSTITUTE(Y137,".","-"),"/","-")),IFERROR(Y137*1,""))))</f>
        <v/>
      </c>
      <c r="N137">
        <f>IFERROR(LEFT(B137,FIND(" ",B137)-1),B137)</f>
        <v/>
      </c>
      <c r="O137">
        <f>AND(B137&lt;&gt;"",B137&lt;&gt;설정!$B$4,C137&lt;&gt;설정!$B$5)</f>
        <v/>
      </c>
      <c r="P137">
        <f>IF(O137,B137&amp;"|"&amp;C137,"")</f>
        <v/>
      </c>
      <c r="Q137">
        <f>AND(O137,COUNTIF(P138:P$1002,P137)=0)</f>
        <v/>
      </c>
      <c r="R137">
        <f>OR(AND(설정!$A$42&lt;&gt;"",ISNUMBER(SEARCH(설정!$A$42,E137&amp;" "&amp;C137))),AND(설정!$A$43&lt;&gt;"",ISNUMBER(SEARCH(설정!$A$43,E137&amp;" "&amp;C137))),AND(설정!$A$44&lt;&gt;"",ISNUMBER(SEARCH(설정!$A$44,E137&amp;" "&amp;C137))),AND(설정!$A$45&lt;&gt;"",ISNUMBER(SEARCH(설정!$A$45,E137&amp;" "&amp;C137))),AND(설정!$A$46&lt;&gt;"",ISNUMBER(SEARCH(설정!$A$46,E137&amp;" "&amp;C137))),AND(설정!$A$47&lt;&gt;"",ISNUMBER(SEARCH(설정!$A$47,E137&amp;" "&amp;C137))),AND(설정!$A$48&lt;&gt;"",ISNUMBER(SEARCH(설정!$A$48,E137&amp;" "&amp;C137))),AND(설정!$A$49&lt;&gt;"",ISNUMBER(SEARCH(설정!$A$49,E137&amp;" "&amp;C137))),AND(설정!$A$50&lt;&gt;"",ISNUMBER(SEARCH(설정!$A$50,E137&amp;" "&amp;C137))),AND(설정!$A$51&lt;&gt;"",ISNUMBER(SEARCH(설정!$A$51,E137&amp;" "&amp;C137))))</f>
        <v/>
      </c>
      <c r="S137">
        <f>OR(D137="",D137&gt;=설정!$B$19)</f>
        <v/>
      </c>
      <c r="T137">
        <f>AND(Q137,R137,S137)</f>
        <v/>
      </c>
      <c r="U137">
        <f>IF(T137,IF(AND(설정!$A$54&lt;&gt;"",ISNUMBER(SEARCH(설정!$A$54,K137))),설정!$B$54,IF(AND(설정!$A$55&lt;&gt;"",ISNUMBER(SEARCH(설정!$A$55,K137))),설정!$B$55,IF(AND(설정!$A$56&lt;&gt;"",ISNUMBER(SEARCH(설정!$A$56,K137))),설정!$B$56,IF(AND(설정!$A$57&lt;&gt;"",ISNUMBER(SEARCH(설정!$A$57,K137))),설정!$B$57,IF(AND(설정!$A$58&lt;&gt;"",ISNUMBER(SEARCH(설정!$A$58,K137))),설정!$B$58,IF(AND(설정!$A$59&lt;&gt;"",ISNUMBER(SEARCH(설정!$A$59,K137))),설정!$B$59,IF(AND(설정!$A$60&lt;&gt;"",ISNUMBER(SEARCH(설정!$A$60,K137))),설정!$B$60,IF(AND(설정!$A$61&lt;&gt;"",ISNUMBER(SEARCH(설정!$A$61,K137))),설정!$B$61,IF(M137="","설계사","시공사"))))))))),"")</f>
        <v/>
      </c>
      <c r="V137">
        <f>SUBSTITUTE(SUBSTITUTE(SUBSTITUTE(SUBSTITUTE(G137,"(주)",""),"㈜",""),"주식회사","")," ","")</f>
        <v/>
      </c>
      <c r="W137">
        <f>IF(AND(T137,V137&lt;&gt;""),IF(COUNTIFS(V$2:V137,V137,T$2:T137,TRUE)=1,MAX(W$1:W136)+1,""),"")</f>
        <v/>
      </c>
      <c r="X137">
        <f>IF(설정!$C$14="","",IFERROR(INDEX('1.산군_붙여넣기'!$A$1:$AZ$1001,ROW(),설정!$C$14)&amp;"",""))</f>
        <v/>
      </c>
      <c r="Y137">
        <f>IF(설정!$C$15="","",IFERROR(INDEX('1.산군_붙여넣기'!$A$1:$AZ$1001,ROW(),설정!$C$15)&amp;"",""))</f>
        <v/>
      </c>
      <c r="Z137">
        <f>IF(T137,V137&amp;"|"&amp;U137,"")</f>
        <v/>
      </c>
      <c r="AA137">
        <f>IF(NOT(Q137),"",IF(NOT(AND(R137,S137)),"✕",IF(OR(OR(AND(L137&lt;&gt;"",M137&lt;&gt;"",N(M137)-N(L137)&gt;설정!$B$27),AND(L137&lt;&gt;"",M137="",설정!$B$24-N(L137)&gt;설정!$B$27)),AND(D137&lt;&gt;"",D137&lt;설정!$B$26)),"△","★")))</f>
        <v/>
      </c>
      <c r="AB137">
        <f>IF(NOT(T137),"",IF(U137="설계사",설정!$B$31,IF(U137="시공사",IF(OR(M137="",설정!$B$24-N(M137)&lt;=설정!$B$28*30.4),설정!$B$32,설정!$B$33),설정!$B$34))+IF(AA137="★",설정!$B$35,0))</f>
        <v/>
      </c>
      <c r="AC137">
        <f>SUBSTITUTE(SUBSTITUTE(SUBSTITUTE(SUBSTITUTE(H137,"(주)",""),"㈜",""),"주식회사","")," ","")</f>
        <v/>
      </c>
      <c r="AD137">
        <f>IF(AND(T137,AC137&lt;&gt;""),IF(COUNTIFS(AC$2:AC137,AC137,T$2:T137,TRUE)=1,MAX(AD$1:AD136)+1,""),"")</f>
        <v/>
      </c>
    </row>
    <row r="138">
      <c r="A138">
        <f>ROW()</f>
        <v/>
      </c>
      <c r="B138">
        <f>IF(설정!$C$4="","",IFERROR(INDEX('1.산군_붙여넣기'!$A$1:$AZ$1001,ROW(),설정!$C$4)&amp;"",""))</f>
        <v/>
      </c>
      <c r="C138">
        <f>IF(설정!$C$5="","",IFERROR(INDEX('1.산군_붙여넣기'!$A$1:$AZ$1001,ROW(),설정!$C$5)&amp;"",""))</f>
        <v/>
      </c>
      <c r="D138" s="5">
        <f>IFERROR(VALUE(SUBSTITUTE(SUBSTITUTE(SUBSTITUTE(IF(설정!$C$6="","",IFERROR(INDEX('1.산군_붙여넣기'!$A$1:$AZ$1001,ROW(),설정!$C$6)&amp;"","")),",",""),"㎡",""),"m2","")),"")</f>
        <v/>
      </c>
      <c r="E138">
        <f>IF(설정!$C$7="","",IFERROR(INDEX('1.산군_붙여넣기'!$A$1:$AZ$1001,ROW(),설정!$C$7)&amp;"",""))</f>
        <v/>
      </c>
      <c r="F138">
        <f>IF(설정!$C$8="","",IFERROR(INDEX('1.산군_붙여넣기'!$A$1:$AZ$1001,ROW(),설정!$C$8)&amp;"",""))</f>
        <v/>
      </c>
      <c r="G138">
        <f>IF(설정!$C$9="","",IFERROR(INDEX('1.산군_붙여넣기'!$A$1:$AZ$1001,ROW(),설정!$C$9)&amp;"",""))</f>
        <v/>
      </c>
      <c r="H138">
        <f>IF(설정!$C$10="","",IFERROR(INDEX('1.산군_붙여넣기'!$A$1:$AZ$1001,ROW(),설정!$C$10)&amp;"",""))</f>
        <v/>
      </c>
      <c r="I138">
        <f>IF(설정!$C$11="","",IFERROR(INDEX('1.산군_붙여넣기'!$A$1:$AZ$1001,ROW(),설정!$C$11)&amp;"",""))</f>
        <v/>
      </c>
      <c r="J138">
        <f>IF(설정!$C$12="","",IFERROR(INDEX('1.산군_붙여넣기'!$A$1:$AZ$1001,ROW(),설정!$C$12)&amp;"",""))</f>
        <v/>
      </c>
      <c r="K138">
        <f>IF(설정!$C$13="","",IFERROR(INDEX('1.산군_붙여넣기'!$A$1:$AZ$1001,ROW(),설정!$C$13)&amp;"",""))</f>
        <v/>
      </c>
      <c r="L138" s="7">
        <f>IF(X138="","",IF(AND(LEN(X138)=8,ISNUMBER(X138*1)),DATE(LEFT(X138,4),MID(X138,5,2),RIGHT(X138,2)),IFERROR(DATEVALUE(SUBSTITUTE(SUBSTITUTE(X138,".","-"),"/","-")),IFERROR(X138*1,""))))</f>
        <v/>
      </c>
      <c r="M138" s="7">
        <f>IF(Y138="","",IF(AND(LEN(Y138)=8,ISNUMBER(Y138*1)),DATE(LEFT(Y138,4),MID(Y138,5,2),RIGHT(Y138,2)),IFERROR(DATEVALUE(SUBSTITUTE(SUBSTITUTE(Y138,".","-"),"/","-")),IFERROR(Y138*1,""))))</f>
        <v/>
      </c>
      <c r="N138">
        <f>IFERROR(LEFT(B138,FIND(" ",B138)-1),B138)</f>
        <v/>
      </c>
      <c r="O138">
        <f>AND(B138&lt;&gt;"",B138&lt;&gt;설정!$B$4,C138&lt;&gt;설정!$B$5)</f>
        <v/>
      </c>
      <c r="P138">
        <f>IF(O138,B138&amp;"|"&amp;C138,"")</f>
        <v/>
      </c>
      <c r="Q138">
        <f>AND(O138,COUNTIF(P139:P$1002,P138)=0)</f>
        <v/>
      </c>
      <c r="R138">
        <f>OR(AND(설정!$A$42&lt;&gt;"",ISNUMBER(SEARCH(설정!$A$42,E138&amp;" "&amp;C138))),AND(설정!$A$43&lt;&gt;"",ISNUMBER(SEARCH(설정!$A$43,E138&amp;" "&amp;C138))),AND(설정!$A$44&lt;&gt;"",ISNUMBER(SEARCH(설정!$A$44,E138&amp;" "&amp;C138))),AND(설정!$A$45&lt;&gt;"",ISNUMBER(SEARCH(설정!$A$45,E138&amp;" "&amp;C138))),AND(설정!$A$46&lt;&gt;"",ISNUMBER(SEARCH(설정!$A$46,E138&amp;" "&amp;C138))),AND(설정!$A$47&lt;&gt;"",ISNUMBER(SEARCH(설정!$A$47,E138&amp;" "&amp;C138))),AND(설정!$A$48&lt;&gt;"",ISNUMBER(SEARCH(설정!$A$48,E138&amp;" "&amp;C138))),AND(설정!$A$49&lt;&gt;"",ISNUMBER(SEARCH(설정!$A$49,E138&amp;" "&amp;C138))),AND(설정!$A$50&lt;&gt;"",ISNUMBER(SEARCH(설정!$A$50,E138&amp;" "&amp;C138))),AND(설정!$A$51&lt;&gt;"",ISNUMBER(SEARCH(설정!$A$51,E138&amp;" "&amp;C138))))</f>
        <v/>
      </c>
      <c r="S138">
        <f>OR(D138="",D138&gt;=설정!$B$19)</f>
        <v/>
      </c>
      <c r="T138">
        <f>AND(Q138,R138,S138)</f>
        <v/>
      </c>
      <c r="U138">
        <f>IF(T138,IF(AND(설정!$A$54&lt;&gt;"",ISNUMBER(SEARCH(설정!$A$54,K138))),설정!$B$54,IF(AND(설정!$A$55&lt;&gt;"",ISNUMBER(SEARCH(설정!$A$55,K138))),설정!$B$55,IF(AND(설정!$A$56&lt;&gt;"",ISNUMBER(SEARCH(설정!$A$56,K138))),설정!$B$56,IF(AND(설정!$A$57&lt;&gt;"",ISNUMBER(SEARCH(설정!$A$57,K138))),설정!$B$57,IF(AND(설정!$A$58&lt;&gt;"",ISNUMBER(SEARCH(설정!$A$58,K138))),설정!$B$58,IF(AND(설정!$A$59&lt;&gt;"",ISNUMBER(SEARCH(설정!$A$59,K138))),설정!$B$59,IF(AND(설정!$A$60&lt;&gt;"",ISNUMBER(SEARCH(설정!$A$60,K138))),설정!$B$60,IF(AND(설정!$A$61&lt;&gt;"",ISNUMBER(SEARCH(설정!$A$61,K138))),설정!$B$61,IF(M138="","설계사","시공사"))))))))),"")</f>
        <v/>
      </c>
      <c r="V138">
        <f>SUBSTITUTE(SUBSTITUTE(SUBSTITUTE(SUBSTITUTE(G138,"(주)",""),"㈜",""),"주식회사","")," ","")</f>
        <v/>
      </c>
      <c r="W138">
        <f>IF(AND(T138,V138&lt;&gt;""),IF(COUNTIFS(V$2:V138,V138,T$2:T138,TRUE)=1,MAX(W$1:W137)+1,""),"")</f>
        <v/>
      </c>
      <c r="X138">
        <f>IF(설정!$C$14="","",IFERROR(INDEX('1.산군_붙여넣기'!$A$1:$AZ$1001,ROW(),설정!$C$14)&amp;"",""))</f>
        <v/>
      </c>
      <c r="Y138">
        <f>IF(설정!$C$15="","",IFERROR(INDEX('1.산군_붙여넣기'!$A$1:$AZ$1001,ROW(),설정!$C$15)&amp;"",""))</f>
        <v/>
      </c>
      <c r="Z138">
        <f>IF(T138,V138&amp;"|"&amp;U138,"")</f>
        <v/>
      </c>
      <c r="AA138">
        <f>IF(NOT(Q138),"",IF(NOT(AND(R138,S138)),"✕",IF(OR(OR(AND(L138&lt;&gt;"",M138&lt;&gt;"",N(M138)-N(L138)&gt;설정!$B$27),AND(L138&lt;&gt;"",M138="",설정!$B$24-N(L138)&gt;설정!$B$27)),AND(D138&lt;&gt;"",D138&lt;설정!$B$26)),"△","★")))</f>
        <v/>
      </c>
      <c r="AB138">
        <f>IF(NOT(T138),"",IF(U138="설계사",설정!$B$31,IF(U138="시공사",IF(OR(M138="",설정!$B$24-N(M138)&lt;=설정!$B$28*30.4),설정!$B$32,설정!$B$33),설정!$B$34))+IF(AA138="★",설정!$B$35,0))</f>
        <v/>
      </c>
      <c r="AC138">
        <f>SUBSTITUTE(SUBSTITUTE(SUBSTITUTE(SUBSTITUTE(H138,"(주)",""),"㈜",""),"주식회사","")," ","")</f>
        <v/>
      </c>
      <c r="AD138">
        <f>IF(AND(T138,AC138&lt;&gt;""),IF(COUNTIFS(AC$2:AC138,AC138,T$2:T138,TRUE)=1,MAX(AD$1:AD137)+1,""),"")</f>
        <v/>
      </c>
    </row>
    <row r="139">
      <c r="A139">
        <f>ROW()</f>
        <v/>
      </c>
      <c r="B139">
        <f>IF(설정!$C$4="","",IFERROR(INDEX('1.산군_붙여넣기'!$A$1:$AZ$1001,ROW(),설정!$C$4)&amp;"",""))</f>
        <v/>
      </c>
      <c r="C139">
        <f>IF(설정!$C$5="","",IFERROR(INDEX('1.산군_붙여넣기'!$A$1:$AZ$1001,ROW(),설정!$C$5)&amp;"",""))</f>
        <v/>
      </c>
      <c r="D139" s="5">
        <f>IFERROR(VALUE(SUBSTITUTE(SUBSTITUTE(SUBSTITUTE(IF(설정!$C$6="","",IFERROR(INDEX('1.산군_붙여넣기'!$A$1:$AZ$1001,ROW(),설정!$C$6)&amp;"","")),",",""),"㎡",""),"m2","")),"")</f>
        <v/>
      </c>
      <c r="E139">
        <f>IF(설정!$C$7="","",IFERROR(INDEX('1.산군_붙여넣기'!$A$1:$AZ$1001,ROW(),설정!$C$7)&amp;"",""))</f>
        <v/>
      </c>
      <c r="F139">
        <f>IF(설정!$C$8="","",IFERROR(INDEX('1.산군_붙여넣기'!$A$1:$AZ$1001,ROW(),설정!$C$8)&amp;"",""))</f>
        <v/>
      </c>
      <c r="G139">
        <f>IF(설정!$C$9="","",IFERROR(INDEX('1.산군_붙여넣기'!$A$1:$AZ$1001,ROW(),설정!$C$9)&amp;"",""))</f>
        <v/>
      </c>
      <c r="H139">
        <f>IF(설정!$C$10="","",IFERROR(INDEX('1.산군_붙여넣기'!$A$1:$AZ$1001,ROW(),설정!$C$10)&amp;"",""))</f>
        <v/>
      </c>
      <c r="I139">
        <f>IF(설정!$C$11="","",IFERROR(INDEX('1.산군_붙여넣기'!$A$1:$AZ$1001,ROW(),설정!$C$11)&amp;"",""))</f>
        <v/>
      </c>
      <c r="J139">
        <f>IF(설정!$C$12="","",IFERROR(INDEX('1.산군_붙여넣기'!$A$1:$AZ$1001,ROW(),설정!$C$12)&amp;"",""))</f>
        <v/>
      </c>
      <c r="K139">
        <f>IF(설정!$C$13="","",IFERROR(INDEX('1.산군_붙여넣기'!$A$1:$AZ$1001,ROW(),설정!$C$13)&amp;"",""))</f>
        <v/>
      </c>
      <c r="L139" s="7">
        <f>IF(X139="","",IF(AND(LEN(X139)=8,ISNUMBER(X139*1)),DATE(LEFT(X139,4),MID(X139,5,2),RIGHT(X139,2)),IFERROR(DATEVALUE(SUBSTITUTE(SUBSTITUTE(X139,".","-"),"/","-")),IFERROR(X139*1,""))))</f>
        <v/>
      </c>
      <c r="M139" s="7">
        <f>IF(Y139="","",IF(AND(LEN(Y139)=8,ISNUMBER(Y139*1)),DATE(LEFT(Y139,4),MID(Y139,5,2),RIGHT(Y139,2)),IFERROR(DATEVALUE(SUBSTITUTE(SUBSTITUTE(Y139,".","-"),"/","-")),IFERROR(Y139*1,""))))</f>
        <v/>
      </c>
      <c r="N139">
        <f>IFERROR(LEFT(B139,FIND(" ",B139)-1),B139)</f>
        <v/>
      </c>
      <c r="O139">
        <f>AND(B139&lt;&gt;"",B139&lt;&gt;설정!$B$4,C139&lt;&gt;설정!$B$5)</f>
        <v/>
      </c>
      <c r="P139">
        <f>IF(O139,B139&amp;"|"&amp;C139,"")</f>
        <v/>
      </c>
      <c r="Q139">
        <f>AND(O139,COUNTIF(P140:P$1002,P139)=0)</f>
        <v/>
      </c>
      <c r="R139">
        <f>OR(AND(설정!$A$42&lt;&gt;"",ISNUMBER(SEARCH(설정!$A$42,E139&amp;" "&amp;C139))),AND(설정!$A$43&lt;&gt;"",ISNUMBER(SEARCH(설정!$A$43,E139&amp;" "&amp;C139))),AND(설정!$A$44&lt;&gt;"",ISNUMBER(SEARCH(설정!$A$44,E139&amp;" "&amp;C139))),AND(설정!$A$45&lt;&gt;"",ISNUMBER(SEARCH(설정!$A$45,E139&amp;" "&amp;C139))),AND(설정!$A$46&lt;&gt;"",ISNUMBER(SEARCH(설정!$A$46,E139&amp;" "&amp;C139))),AND(설정!$A$47&lt;&gt;"",ISNUMBER(SEARCH(설정!$A$47,E139&amp;" "&amp;C139))),AND(설정!$A$48&lt;&gt;"",ISNUMBER(SEARCH(설정!$A$48,E139&amp;" "&amp;C139))),AND(설정!$A$49&lt;&gt;"",ISNUMBER(SEARCH(설정!$A$49,E139&amp;" "&amp;C139))),AND(설정!$A$50&lt;&gt;"",ISNUMBER(SEARCH(설정!$A$50,E139&amp;" "&amp;C139))),AND(설정!$A$51&lt;&gt;"",ISNUMBER(SEARCH(설정!$A$51,E139&amp;" "&amp;C139))))</f>
        <v/>
      </c>
      <c r="S139">
        <f>OR(D139="",D139&gt;=설정!$B$19)</f>
        <v/>
      </c>
      <c r="T139">
        <f>AND(Q139,R139,S139)</f>
        <v/>
      </c>
      <c r="U139">
        <f>IF(T139,IF(AND(설정!$A$54&lt;&gt;"",ISNUMBER(SEARCH(설정!$A$54,K139))),설정!$B$54,IF(AND(설정!$A$55&lt;&gt;"",ISNUMBER(SEARCH(설정!$A$55,K139))),설정!$B$55,IF(AND(설정!$A$56&lt;&gt;"",ISNUMBER(SEARCH(설정!$A$56,K139))),설정!$B$56,IF(AND(설정!$A$57&lt;&gt;"",ISNUMBER(SEARCH(설정!$A$57,K139))),설정!$B$57,IF(AND(설정!$A$58&lt;&gt;"",ISNUMBER(SEARCH(설정!$A$58,K139))),설정!$B$58,IF(AND(설정!$A$59&lt;&gt;"",ISNUMBER(SEARCH(설정!$A$59,K139))),설정!$B$59,IF(AND(설정!$A$60&lt;&gt;"",ISNUMBER(SEARCH(설정!$A$60,K139))),설정!$B$60,IF(AND(설정!$A$61&lt;&gt;"",ISNUMBER(SEARCH(설정!$A$61,K139))),설정!$B$61,IF(M139="","설계사","시공사"))))))))),"")</f>
        <v/>
      </c>
      <c r="V139">
        <f>SUBSTITUTE(SUBSTITUTE(SUBSTITUTE(SUBSTITUTE(G139,"(주)",""),"㈜",""),"주식회사","")," ","")</f>
        <v/>
      </c>
      <c r="W139">
        <f>IF(AND(T139,V139&lt;&gt;""),IF(COUNTIFS(V$2:V139,V139,T$2:T139,TRUE)=1,MAX(W$1:W138)+1,""),"")</f>
        <v/>
      </c>
      <c r="X139">
        <f>IF(설정!$C$14="","",IFERROR(INDEX('1.산군_붙여넣기'!$A$1:$AZ$1001,ROW(),설정!$C$14)&amp;"",""))</f>
        <v/>
      </c>
      <c r="Y139">
        <f>IF(설정!$C$15="","",IFERROR(INDEX('1.산군_붙여넣기'!$A$1:$AZ$1001,ROW(),설정!$C$15)&amp;"",""))</f>
        <v/>
      </c>
      <c r="Z139">
        <f>IF(T139,V139&amp;"|"&amp;U139,"")</f>
        <v/>
      </c>
      <c r="AA139">
        <f>IF(NOT(Q139),"",IF(NOT(AND(R139,S139)),"✕",IF(OR(OR(AND(L139&lt;&gt;"",M139&lt;&gt;"",N(M139)-N(L139)&gt;설정!$B$27),AND(L139&lt;&gt;"",M139="",설정!$B$24-N(L139)&gt;설정!$B$27)),AND(D139&lt;&gt;"",D139&lt;설정!$B$26)),"△","★")))</f>
        <v/>
      </c>
      <c r="AB139">
        <f>IF(NOT(T139),"",IF(U139="설계사",설정!$B$31,IF(U139="시공사",IF(OR(M139="",설정!$B$24-N(M139)&lt;=설정!$B$28*30.4),설정!$B$32,설정!$B$33),설정!$B$34))+IF(AA139="★",설정!$B$35,0))</f>
        <v/>
      </c>
      <c r="AC139">
        <f>SUBSTITUTE(SUBSTITUTE(SUBSTITUTE(SUBSTITUTE(H139,"(주)",""),"㈜",""),"주식회사","")," ","")</f>
        <v/>
      </c>
      <c r="AD139">
        <f>IF(AND(T139,AC139&lt;&gt;""),IF(COUNTIFS(AC$2:AC139,AC139,T$2:T139,TRUE)=1,MAX(AD$1:AD138)+1,""),"")</f>
        <v/>
      </c>
    </row>
    <row r="140">
      <c r="A140">
        <f>ROW()</f>
        <v/>
      </c>
      <c r="B140">
        <f>IF(설정!$C$4="","",IFERROR(INDEX('1.산군_붙여넣기'!$A$1:$AZ$1001,ROW(),설정!$C$4)&amp;"",""))</f>
        <v/>
      </c>
      <c r="C140">
        <f>IF(설정!$C$5="","",IFERROR(INDEX('1.산군_붙여넣기'!$A$1:$AZ$1001,ROW(),설정!$C$5)&amp;"",""))</f>
        <v/>
      </c>
      <c r="D140" s="5">
        <f>IFERROR(VALUE(SUBSTITUTE(SUBSTITUTE(SUBSTITUTE(IF(설정!$C$6="","",IFERROR(INDEX('1.산군_붙여넣기'!$A$1:$AZ$1001,ROW(),설정!$C$6)&amp;"","")),",",""),"㎡",""),"m2","")),"")</f>
        <v/>
      </c>
      <c r="E140">
        <f>IF(설정!$C$7="","",IFERROR(INDEX('1.산군_붙여넣기'!$A$1:$AZ$1001,ROW(),설정!$C$7)&amp;"",""))</f>
        <v/>
      </c>
      <c r="F140">
        <f>IF(설정!$C$8="","",IFERROR(INDEX('1.산군_붙여넣기'!$A$1:$AZ$1001,ROW(),설정!$C$8)&amp;"",""))</f>
        <v/>
      </c>
      <c r="G140">
        <f>IF(설정!$C$9="","",IFERROR(INDEX('1.산군_붙여넣기'!$A$1:$AZ$1001,ROW(),설정!$C$9)&amp;"",""))</f>
        <v/>
      </c>
      <c r="H140">
        <f>IF(설정!$C$10="","",IFERROR(INDEX('1.산군_붙여넣기'!$A$1:$AZ$1001,ROW(),설정!$C$10)&amp;"",""))</f>
        <v/>
      </c>
      <c r="I140">
        <f>IF(설정!$C$11="","",IFERROR(INDEX('1.산군_붙여넣기'!$A$1:$AZ$1001,ROW(),설정!$C$11)&amp;"",""))</f>
        <v/>
      </c>
      <c r="J140">
        <f>IF(설정!$C$12="","",IFERROR(INDEX('1.산군_붙여넣기'!$A$1:$AZ$1001,ROW(),설정!$C$12)&amp;"",""))</f>
        <v/>
      </c>
      <c r="K140">
        <f>IF(설정!$C$13="","",IFERROR(INDEX('1.산군_붙여넣기'!$A$1:$AZ$1001,ROW(),설정!$C$13)&amp;"",""))</f>
        <v/>
      </c>
      <c r="L140" s="7">
        <f>IF(X140="","",IF(AND(LEN(X140)=8,ISNUMBER(X140*1)),DATE(LEFT(X140,4),MID(X140,5,2),RIGHT(X140,2)),IFERROR(DATEVALUE(SUBSTITUTE(SUBSTITUTE(X140,".","-"),"/","-")),IFERROR(X140*1,""))))</f>
        <v/>
      </c>
      <c r="M140" s="7">
        <f>IF(Y140="","",IF(AND(LEN(Y140)=8,ISNUMBER(Y140*1)),DATE(LEFT(Y140,4),MID(Y140,5,2),RIGHT(Y140,2)),IFERROR(DATEVALUE(SUBSTITUTE(SUBSTITUTE(Y140,".","-"),"/","-")),IFERROR(Y140*1,""))))</f>
        <v/>
      </c>
      <c r="N140">
        <f>IFERROR(LEFT(B140,FIND(" ",B140)-1),B140)</f>
        <v/>
      </c>
      <c r="O140">
        <f>AND(B140&lt;&gt;"",B140&lt;&gt;설정!$B$4,C140&lt;&gt;설정!$B$5)</f>
        <v/>
      </c>
      <c r="P140">
        <f>IF(O140,B140&amp;"|"&amp;C140,"")</f>
        <v/>
      </c>
      <c r="Q140">
        <f>AND(O140,COUNTIF(P141:P$1002,P140)=0)</f>
        <v/>
      </c>
      <c r="R140">
        <f>OR(AND(설정!$A$42&lt;&gt;"",ISNUMBER(SEARCH(설정!$A$42,E140&amp;" "&amp;C140))),AND(설정!$A$43&lt;&gt;"",ISNUMBER(SEARCH(설정!$A$43,E140&amp;" "&amp;C140))),AND(설정!$A$44&lt;&gt;"",ISNUMBER(SEARCH(설정!$A$44,E140&amp;" "&amp;C140))),AND(설정!$A$45&lt;&gt;"",ISNUMBER(SEARCH(설정!$A$45,E140&amp;" "&amp;C140))),AND(설정!$A$46&lt;&gt;"",ISNUMBER(SEARCH(설정!$A$46,E140&amp;" "&amp;C140))),AND(설정!$A$47&lt;&gt;"",ISNUMBER(SEARCH(설정!$A$47,E140&amp;" "&amp;C140))),AND(설정!$A$48&lt;&gt;"",ISNUMBER(SEARCH(설정!$A$48,E140&amp;" "&amp;C140))),AND(설정!$A$49&lt;&gt;"",ISNUMBER(SEARCH(설정!$A$49,E140&amp;" "&amp;C140))),AND(설정!$A$50&lt;&gt;"",ISNUMBER(SEARCH(설정!$A$50,E140&amp;" "&amp;C140))),AND(설정!$A$51&lt;&gt;"",ISNUMBER(SEARCH(설정!$A$51,E140&amp;" "&amp;C140))))</f>
        <v/>
      </c>
      <c r="S140">
        <f>OR(D140="",D140&gt;=설정!$B$19)</f>
        <v/>
      </c>
      <c r="T140">
        <f>AND(Q140,R140,S140)</f>
        <v/>
      </c>
      <c r="U140">
        <f>IF(T140,IF(AND(설정!$A$54&lt;&gt;"",ISNUMBER(SEARCH(설정!$A$54,K140))),설정!$B$54,IF(AND(설정!$A$55&lt;&gt;"",ISNUMBER(SEARCH(설정!$A$55,K140))),설정!$B$55,IF(AND(설정!$A$56&lt;&gt;"",ISNUMBER(SEARCH(설정!$A$56,K140))),설정!$B$56,IF(AND(설정!$A$57&lt;&gt;"",ISNUMBER(SEARCH(설정!$A$57,K140))),설정!$B$57,IF(AND(설정!$A$58&lt;&gt;"",ISNUMBER(SEARCH(설정!$A$58,K140))),설정!$B$58,IF(AND(설정!$A$59&lt;&gt;"",ISNUMBER(SEARCH(설정!$A$59,K140))),설정!$B$59,IF(AND(설정!$A$60&lt;&gt;"",ISNUMBER(SEARCH(설정!$A$60,K140))),설정!$B$60,IF(AND(설정!$A$61&lt;&gt;"",ISNUMBER(SEARCH(설정!$A$61,K140))),설정!$B$61,IF(M140="","설계사","시공사"))))))))),"")</f>
        <v/>
      </c>
      <c r="V140">
        <f>SUBSTITUTE(SUBSTITUTE(SUBSTITUTE(SUBSTITUTE(G140,"(주)",""),"㈜",""),"주식회사","")," ","")</f>
        <v/>
      </c>
      <c r="W140">
        <f>IF(AND(T140,V140&lt;&gt;""),IF(COUNTIFS(V$2:V140,V140,T$2:T140,TRUE)=1,MAX(W$1:W139)+1,""),"")</f>
        <v/>
      </c>
      <c r="X140">
        <f>IF(설정!$C$14="","",IFERROR(INDEX('1.산군_붙여넣기'!$A$1:$AZ$1001,ROW(),설정!$C$14)&amp;"",""))</f>
        <v/>
      </c>
      <c r="Y140">
        <f>IF(설정!$C$15="","",IFERROR(INDEX('1.산군_붙여넣기'!$A$1:$AZ$1001,ROW(),설정!$C$15)&amp;"",""))</f>
        <v/>
      </c>
      <c r="Z140">
        <f>IF(T140,V140&amp;"|"&amp;U140,"")</f>
        <v/>
      </c>
      <c r="AA140">
        <f>IF(NOT(Q140),"",IF(NOT(AND(R140,S140)),"✕",IF(OR(OR(AND(L140&lt;&gt;"",M140&lt;&gt;"",N(M140)-N(L140)&gt;설정!$B$27),AND(L140&lt;&gt;"",M140="",설정!$B$24-N(L140)&gt;설정!$B$27)),AND(D140&lt;&gt;"",D140&lt;설정!$B$26)),"△","★")))</f>
        <v/>
      </c>
      <c r="AB140">
        <f>IF(NOT(T140),"",IF(U140="설계사",설정!$B$31,IF(U140="시공사",IF(OR(M140="",설정!$B$24-N(M140)&lt;=설정!$B$28*30.4),설정!$B$32,설정!$B$33),설정!$B$34))+IF(AA140="★",설정!$B$35,0))</f>
        <v/>
      </c>
      <c r="AC140">
        <f>SUBSTITUTE(SUBSTITUTE(SUBSTITUTE(SUBSTITUTE(H140,"(주)",""),"㈜",""),"주식회사","")," ","")</f>
        <v/>
      </c>
      <c r="AD140">
        <f>IF(AND(T140,AC140&lt;&gt;""),IF(COUNTIFS(AC$2:AC140,AC140,T$2:T140,TRUE)=1,MAX(AD$1:AD139)+1,""),"")</f>
        <v/>
      </c>
    </row>
    <row r="141">
      <c r="A141">
        <f>ROW()</f>
        <v/>
      </c>
      <c r="B141">
        <f>IF(설정!$C$4="","",IFERROR(INDEX('1.산군_붙여넣기'!$A$1:$AZ$1001,ROW(),설정!$C$4)&amp;"",""))</f>
        <v/>
      </c>
      <c r="C141">
        <f>IF(설정!$C$5="","",IFERROR(INDEX('1.산군_붙여넣기'!$A$1:$AZ$1001,ROW(),설정!$C$5)&amp;"",""))</f>
        <v/>
      </c>
      <c r="D141" s="5">
        <f>IFERROR(VALUE(SUBSTITUTE(SUBSTITUTE(SUBSTITUTE(IF(설정!$C$6="","",IFERROR(INDEX('1.산군_붙여넣기'!$A$1:$AZ$1001,ROW(),설정!$C$6)&amp;"","")),",",""),"㎡",""),"m2","")),"")</f>
        <v/>
      </c>
      <c r="E141">
        <f>IF(설정!$C$7="","",IFERROR(INDEX('1.산군_붙여넣기'!$A$1:$AZ$1001,ROW(),설정!$C$7)&amp;"",""))</f>
        <v/>
      </c>
      <c r="F141">
        <f>IF(설정!$C$8="","",IFERROR(INDEX('1.산군_붙여넣기'!$A$1:$AZ$1001,ROW(),설정!$C$8)&amp;"",""))</f>
        <v/>
      </c>
      <c r="G141">
        <f>IF(설정!$C$9="","",IFERROR(INDEX('1.산군_붙여넣기'!$A$1:$AZ$1001,ROW(),설정!$C$9)&amp;"",""))</f>
        <v/>
      </c>
      <c r="H141">
        <f>IF(설정!$C$10="","",IFERROR(INDEX('1.산군_붙여넣기'!$A$1:$AZ$1001,ROW(),설정!$C$10)&amp;"",""))</f>
        <v/>
      </c>
      <c r="I141">
        <f>IF(설정!$C$11="","",IFERROR(INDEX('1.산군_붙여넣기'!$A$1:$AZ$1001,ROW(),설정!$C$11)&amp;"",""))</f>
        <v/>
      </c>
      <c r="J141">
        <f>IF(설정!$C$12="","",IFERROR(INDEX('1.산군_붙여넣기'!$A$1:$AZ$1001,ROW(),설정!$C$12)&amp;"",""))</f>
        <v/>
      </c>
      <c r="K141">
        <f>IF(설정!$C$13="","",IFERROR(INDEX('1.산군_붙여넣기'!$A$1:$AZ$1001,ROW(),설정!$C$13)&amp;"",""))</f>
        <v/>
      </c>
      <c r="L141" s="7">
        <f>IF(X141="","",IF(AND(LEN(X141)=8,ISNUMBER(X141*1)),DATE(LEFT(X141,4),MID(X141,5,2),RIGHT(X141,2)),IFERROR(DATEVALUE(SUBSTITUTE(SUBSTITUTE(X141,".","-"),"/","-")),IFERROR(X141*1,""))))</f>
        <v/>
      </c>
      <c r="M141" s="7">
        <f>IF(Y141="","",IF(AND(LEN(Y141)=8,ISNUMBER(Y141*1)),DATE(LEFT(Y141,4),MID(Y141,5,2),RIGHT(Y141,2)),IFERROR(DATEVALUE(SUBSTITUTE(SUBSTITUTE(Y141,".","-"),"/","-")),IFERROR(Y141*1,""))))</f>
        <v/>
      </c>
      <c r="N141">
        <f>IFERROR(LEFT(B141,FIND(" ",B141)-1),B141)</f>
        <v/>
      </c>
      <c r="O141">
        <f>AND(B141&lt;&gt;"",B141&lt;&gt;설정!$B$4,C141&lt;&gt;설정!$B$5)</f>
        <v/>
      </c>
      <c r="P141">
        <f>IF(O141,B141&amp;"|"&amp;C141,"")</f>
        <v/>
      </c>
      <c r="Q141">
        <f>AND(O141,COUNTIF(P142:P$1002,P141)=0)</f>
        <v/>
      </c>
      <c r="R141">
        <f>OR(AND(설정!$A$42&lt;&gt;"",ISNUMBER(SEARCH(설정!$A$42,E141&amp;" "&amp;C141))),AND(설정!$A$43&lt;&gt;"",ISNUMBER(SEARCH(설정!$A$43,E141&amp;" "&amp;C141))),AND(설정!$A$44&lt;&gt;"",ISNUMBER(SEARCH(설정!$A$44,E141&amp;" "&amp;C141))),AND(설정!$A$45&lt;&gt;"",ISNUMBER(SEARCH(설정!$A$45,E141&amp;" "&amp;C141))),AND(설정!$A$46&lt;&gt;"",ISNUMBER(SEARCH(설정!$A$46,E141&amp;" "&amp;C141))),AND(설정!$A$47&lt;&gt;"",ISNUMBER(SEARCH(설정!$A$47,E141&amp;" "&amp;C141))),AND(설정!$A$48&lt;&gt;"",ISNUMBER(SEARCH(설정!$A$48,E141&amp;" "&amp;C141))),AND(설정!$A$49&lt;&gt;"",ISNUMBER(SEARCH(설정!$A$49,E141&amp;" "&amp;C141))),AND(설정!$A$50&lt;&gt;"",ISNUMBER(SEARCH(설정!$A$50,E141&amp;" "&amp;C141))),AND(설정!$A$51&lt;&gt;"",ISNUMBER(SEARCH(설정!$A$51,E141&amp;" "&amp;C141))))</f>
        <v/>
      </c>
      <c r="S141">
        <f>OR(D141="",D141&gt;=설정!$B$19)</f>
        <v/>
      </c>
      <c r="T141">
        <f>AND(Q141,R141,S141)</f>
        <v/>
      </c>
      <c r="U141">
        <f>IF(T141,IF(AND(설정!$A$54&lt;&gt;"",ISNUMBER(SEARCH(설정!$A$54,K141))),설정!$B$54,IF(AND(설정!$A$55&lt;&gt;"",ISNUMBER(SEARCH(설정!$A$55,K141))),설정!$B$55,IF(AND(설정!$A$56&lt;&gt;"",ISNUMBER(SEARCH(설정!$A$56,K141))),설정!$B$56,IF(AND(설정!$A$57&lt;&gt;"",ISNUMBER(SEARCH(설정!$A$57,K141))),설정!$B$57,IF(AND(설정!$A$58&lt;&gt;"",ISNUMBER(SEARCH(설정!$A$58,K141))),설정!$B$58,IF(AND(설정!$A$59&lt;&gt;"",ISNUMBER(SEARCH(설정!$A$59,K141))),설정!$B$59,IF(AND(설정!$A$60&lt;&gt;"",ISNUMBER(SEARCH(설정!$A$60,K141))),설정!$B$60,IF(AND(설정!$A$61&lt;&gt;"",ISNUMBER(SEARCH(설정!$A$61,K141))),설정!$B$61,IF(M141="","설계사","시공사"))))))))),"")</f>
        <v/>
      </c>
      <c r="V141">
        <f>SUBSTITUTE(SUBSTITUTE(SUBSTITUTE(SUBSTITUTE(G141,"(주)",""),"㈜",""),"주식회사","")," ","")</f>
        <v/>
      </c>
      <c r="W141">
        <f>IF(AND(T141,V141&lt;&gt;""),IF(COUNTIFS(V$2:V141,V141,T$2:T141,TRUE)=1,MAX(W$1:W140)+1,""),"")</f>
        <v/>
      </c>
      <c r="X141">
        <f>IF(설정!$C$14="","",IFERROR(INDEX('1.산군_붙여넣기'!$A$1:$AZ$1001,ROW(),설정!$C$14)&amp;"",""))</f>
        <v/>
      </c>
      <c r="Y141">
        <f>IF(설정!$C$15="","",IFERROR(INDEX('1.산군_붙여넣기'!$A$1:$AZ$1001,ROW(),설정!$C$15)&amp;"",""))</f>
        <v/>
      </c>
      <c r="Z141">
        <f>IF(T141,V141&amp;"|"&amp;U141,"")</f>
        <v/>
      </c>
      <c r="AA141">
        <f>IF(NOT(Q141),"",IF(NOT(AND(R141,S141)),"✕",IF(OR(OR(AND(L141&lt;&gt;"",M141&lt;&gt;"",N(M141)-N(L141)&gt;설정!$B$27),AND(L141&lt;&gt;"",M141="",설정!$B$24-N(L141)&gt;설정!$B$27)),AND(D141&lt;&gt;"",D141&lt;설정!$B$26)),"△","★")))</f>
        <v/>
      </c>
      <c r="AB141">
        <f>IF(NOT(T141),"",IF(U141="설계사",설정!$B$31,IF(U141="시공사",IF(OR(M141="",설정!$B$24-N(M141)&lt;=설정!$B$28*30.4),설정!$B$32,설정!$B$33),설정!$B$34))+IF(AA141="★",설정!$B$35,0))</f>
        <v/>
      </c>
      <c r="AC141">
        <f>SUBSTITUTE(SUBSTITUTE(SUBSTITUTE(SUBSTITUTE(H141,"(주)",""),"㈜",""),"주식회사","")," ","")</f>
        <v/>
      </c>
      <c r="AD141">
        <f>IF(AND(T141,AC141&lt;&gt;""),IF(COUNTIFS(AC$2:AC141,AC141,T$2:T141,TRUE)=1,MAX(AD$1:AD140)+1,""),"")</f>
        <v/>
      </c>
    </row>
    <row r="142">
      <c r="A142">
        <f>ROW()</f>
        <v/>
      </c>
      <c r="B142">
        <f>IF(설정!$C$4="","",IFERROR(INDEX('1.산군_붙여넣기'!$A$1:$AZ$1001,ROW(),설정!$C$4)&amp;"",""))</f>
        <v/>
      </c>
      <c r="C142">
        <f>IF(설정!$C$5="","",IFERROR(INDEX('1.산군_붙여넣기'!$A$1:$AZ$1001,ROW(),설정!$C$5)&amp;"",""))</f>
        <v/>
      </c>
      <c r="D142" s="5">
        <f>IFERROR(VALUE(SUBSTITUTE(SUBSTITUTE(SUBSTITUTE(IF(설정!$C$6="","",IFERROR(INDEX('1.산군_붙여넣기'!$A$1:$AZ$1001,ROW(),설정!$C$6)&amp;"","")),",",""),"㎡",""),"m2","")),"")</f>
        <v/>
      </c>
      <c r="E142">
        <f>IF(설정!$C$7="","",IFERROR(INDEX('1.산군_붙여넣기'!$A$1:$AZ$1001,ROW(),설정!$C$7)&amp;"",""))</f>
        <v/>
      </c>
      <c r="F142">
        <f>IF(설정!$C$8="","",IFERROR(INDEX('1.산군_붙여넣기'!$A$1:$AZ$1001,ROW(),설정!$C$8)&amp;"",""))</f>
        <v/>
      </c>
      <c r="G142">
        <f>IF(설정!$C$9="","",IFERROR(INDEX('1.산군_붙여넣기'!$A$1:$AZ$1001,ROW(),설정!$C$9)&amp;"",""))</f>
        <v/>
      </c>
      <c r="H142">
        <f>IF(설정!$C$10="","",IFERROR(INDEX('1.산군_붙여넣기'!$A$1:$AZ$1001,ROW(),설정!$C$10)&amp;"",""))</f>
        <v/>
      </c>
      <c r="I142">
        <f>IF(설정!$C$11="","",IFERROR(INDEX('1.산군_붙여넣기'!$A$1:$AZ$1001,ROW(),설정!$C$11)&amp;"",""))</f>
        <v/>
      </c>
      <c r="J142">
        <f>IF(설정!$C$12="","",IFERROR(INDEX('1.산군_붙여넣기'!$A$1:$AZ$1001,ROW(),설정!$C$12)&amp;"",""))</f>
        <v/>
      </c>
      <c r="K142">
        <f>IF(설정!$C$13="","",IFERROR(INDEX('1.산군_붙여넣기'!$A$1:$AZ$1001,ROW(),설정!$C$13)&amp;"",""))</f>
        <v/>
      </c>
      <c r="L142" s="7">
        <f>IF(X142="","",IF(AND(LEN(X142)=8,ISNUMBER(X142*1)),DATE(LEFT(X142,4),MID(X142,5,2),RIGHT(X142,2)),IFERROR(DATEVALUE(SUBSTITUTE(SUBSTITUTE(X142,".","-"),"/","-")),IFERROR(X142*1,""))))</f>
        <v/>
      </c>
      <c r="M142" s="7">
        <f>IF(Y142="","",IF(AND(LEN(Y142)=8,ISNUMBER(Y142*1)),DATE(LEFT(Y142,4),MID(Y142,5,2),RIGHT(Y142,2)),IFERROR(DATEVALUE(SUBSTITUTE(SUBSTITUTE(Y142,".","-"),"/","-")),IFERROR(Y142*1,""))))</f>
        <v/>
      </c>
      <c r="N142">
        <f>IFERROR(LEFT(B142,FIND(" ",B142)-1),B142)</f>
        <v/>
      </c>
      <c r="O142">
        <f>AND(B142&lt;&gt;"",B142&lt;&gt;설정!$B$4,C142&lt;&gt;설정!$B$5)</f>
        <v/>
      </c>
      <c r="P142">
        <f>IF(O142,B142&amp;"|"&amp;C142,"")</f>
        <v/>
      </c>
      <c r="Q142">
        <f>AND(O142,COUNTIF(P143:P$1002,P142)=0)</f>
        <v/>
      </c>
      <c r="R142">
        <f>OR(AND(설정!$A$42&lt;&gt;"",ISNUMBER(SEARCH(설정!$A$42,E142&amp;" "&amp;C142))),AND(설정!$A$43&lt;&gt;"",ISNUMBER(SEARCH(설정!$A$43,E142&amp;" "&amp;C142))),AND(설정!$A$44&lt;&gt;"",ISNUMBER(SEARCH(설정!$A$44,E142&amp;" "&amp;C142))),AND(설정!$A$45&lt;&gt;"",ISNUMBER(SEARCH(설정!$A$45,E142&amp;" "&amp;C142))),AND(설정!$A$46&lt;&gt;"",ISNUMBER(SEARCH(설정!$A$46,E142&amp;" "&amp;C142))),AND(설정!$A$47&lt;&gt;"",ISNUMBER(SEARCH(설정!$A$47,E142&amp;" "&amp;C142))),AND(설정!$A$48&lt;&gt;"",ISNUMBER(SEARCH(설정!$A$48,E142&amp;" "&amp;C142))),AND(설정!$A$49&lt;&gt;"",ISNUMBER(SEARCH(설정!$A$49,E142&amp;" "&amp;C142))),AND(설정!$A$50&lt;&gt;"",ISNUMBER(SEARCH(설정!$A$50,E142&amp;" "&amp;C142))),AND(설정!$A$51&lt;&gt;"",ISNUMBER(SEARCH(설정!$A$51,E142&amp;" "&amp;C142))))</f>
        <v/>
      </c>
      <c r="S142">
        <f>OR(D142="",D142&gt;=설정!$B$19)</f>
        <v/>
      </c>
      <c r="T142">
        <f>AND(Q142,R142,S142)</f>
        <v/>
      </c>
      <c r="U142">
        <f>IF(T142,IF(AND(설정!$A$54&lt;&gt;"",ISNUMBER(SEARCH(설정!$A$54,K142))),설정!$B$54,IF(AND(설정!$A$55&lt;&gt;"",ISNUMBER(SEARCH(설정!$A$55,K142))),설정!$B$55,IF(AND(설정!$A$56&lt;&gt;"",ISNUMBER(SEARCH(설정!$A$56,K142))),설정!$B$56,IF(AND(설정!$A$57&lt;&gt;"",ISNUMBER(SEARCH(설정!$A$57,K142))),설정!$B$57,IF(AND(설정!$A$58&lt;&gt;"",ISNUMBER(SEARCH(설정!$A$58,K142))),설정!$B$58,IF(AND(설정!$A$59&lt;&gt;"",ISNUMBER(SEARCH(설정!$A$59,K142))),설정!$B$59,IF(AND(설정!$A$60&lt;&gt;"",ISNUMBER(SEARCH(설정!$A$60,K142))),설정!$B$60,IF(AND(설정!$A$61&lt;&gt;"",ISNUMBER(SEARCH(설정!$A$61,K142))),설정!$B$61,IF(M142="","설계사","시공사"))))))))),"")</f>
        <v/>
      </c>
      <c r="V142">
        <f>SUBSTITUTE(SUBSTITUTE(SUBSTITUTE(SUBSTITUTE(G142,"(주)",""),"㈜",""),"주식회사","")," ","")</f>
        <v/>
      </c>
      <c r="W142">
        <f>IF(AND(T142,V142&lt;&gt;""),IF(COUNTIFS(V$2:V142,V142,T$2:T142,TRUE)=1,MAX(W$1:W141)+1,""),"")</f>
        <v/>
      </c>
      <c r="X142">
        <f>IF(설정!$C$14="","",IFERROR(INDEX('1.산군_붙여넣기'!$A$1:$AZ$1001,ROW(),설정!$C$14)&amp;"",""))</f>
        <v/>
      </c>
      <c r="Y142">
        <f>IF(설정!$C$15="","",IFERROR(INDEX('1.산군_붙여넣기'!$A$1:$AZ$1001,ROW(),설정!$C$15)&amp;"",""))</f>
        <v/>
      </c>
      <c r="Z142">
        <f>IF(T142,V142&amp;"|"&amp;U142,"")</f>
        <v/>
      </c>
      <c r="AA142">
        <f>IF(NOT(Q142),"",IF(NOT(AND(R142,S142)),"✕",IF(OR(OR(AND(L142&lt;&gt;"",M142&lt;&gt;"",N(M142)-N(L142)&gt;설정!$B$27),AND(L142&lt;&gt;"",M142="",설정!$B$24-N(L142)&gt;설정!$B$27)),AND(D142&lt;&gt;"",D142&lt;설정!$B$26)),"△","★")))</f>
        <v/>
      </c>
      <c r="AB142">
        <f>IF(NOT(T142),"",IF(U142="설계사",설정!$B$31,IF(U142="시공사",IF(OR(M142="",설정!$B$24-N(M142)&lt;=설정!$B$28*30.4),설정!$B$32,설정!$B$33),설정!$B$34))+IF(AA142="★",설정!$B$35,0))</f>
        <v/>
      </c>
      <c r="AC142">
        <f>SUBSTITUTE(SUBSTITUTE(SUBSTITUTE(SUBSTITUTE(H142,"(주)",""),"㈜",""),"주식회사","")," ","")</f>
        <v/>
      </c>
      <c r="AD142">
        <f>IF(AND(T142,AC142&lt;&gt;""),IF(COUNTIFS(AC$2:AC142,AC142,T$2:T142,TRUE)=1,MAX(AD$1:AD141)+1,""),"")</f>
        <v/>
      </c>
    </row>
    <row r="143">
      <c r="A143">
        <f>ROW()</f>
        <v/>
      </c>
      <c r="B143">
        <f>IF(설정!$C$4="","",IFERROR(INDEX('1.산군_붙여넣기'!$A$1:$AZ$1001,ROW(),설정!$C$4)&amp;"",""))</f>
        <v/>
      </c>
      <c r="C143">
        <f>IF(설정!$C$5="","",IFERROR(INDEX('1.산군_붙여넣기'!$A$1:$AZ$1001,ROW(),설정!$C$5)&amp;"",""))</f>
        <v/>
      </c>
      <c r="D143" s="5">
        <f>IFERROR(VALUE(SUBSTITUTE(SUBSTITUTE(SUBSTITUTE(IF(설정!$C$6="","",IFERROR(INDEX('1.산군_붙여넣기'!$A$1:$AZ$1001,ROW(),설정!$C$6)&amp;"","")),",",""),"㎡",""),"m2","")),"")</f>
        <v/>
      </c>
      <c r="E143">
        <f>IF(설정!$C$7="","",IFERROR(INDEX('1.산군_붙여넣기'!$A$1:$AZ$1001,ROW(),설정!$C$7)&amp;"",""))</f>
        <v/>
      </c>
      <c r="F143">
        <f>IF(설정!$C$8="","",IFERROR(INDEX('1.산군_붙여넣기'!$A$1:$AZ$1001,ROW(),설정!$C$8)&amp;"",""))</f>
        <v/>
      </c>
      <c r="G143">
        <f>IF(설정!$C$9="","",IFERROR(INDEX('1.산군_붙여넣기'!$A$1:$AZ$1001,ROW(),설정!$C$9)&amp;"",""))</f>
        <v/>
      </c>
      <c r="H143">
        <f>IF(설정!$C$10="","",IFERROR(INDEX('1.산군_붙여넣기'!$A$1:$AZ$1001,ROW(),설정!$C$10)&amp;"",""))</f>
        <v/>
      </c>
      <c r="I143">
        <f>IF(설정!$C$11="","",IFERROR(INDEX('1.산군_붙여넣기'!$A$1:$AZ$1001,ROW(),설정!$C$11)&amp;"",""))</f>
        <v/>
      </c>
      <c r="J143">
        <f>IF(설정!$C$12="","",IFERROR(INDEX('1.산군_붙여넣기'!$A$1:$AZ$1001,ROW(),설정!$C$12)&amp;"",""))</f>
        <v/>
      </c>
      <c r="K143">
        <f>IF(설정!$C$13="","",IFERROR(INDEX('1.산군_붙여넣기'!$A$1:$AZ$1001,ROW(),설정!$C$13)&amp;"",""))</f>
        <v/>
      </c>
      <c r="L143" s="7">
        <f>IF(X143="","",IF(AND(LEN(X143)=8,ISNUMBER(X143*1)),DATE(LEFT(X143,4),MID(X143,5,2),RIGHT(X143,2)),IFERROR(DATEVALUE(SUBSTITUTE(SUBSTITUTE(X143,".","-"),"/","-")),IFERROR(X143*1,""))))</f>
        <v/>
      </c>
      <c r="M143" s="7">
        <f>IF(Y143="","",IF(AND(LEN(Y143)=8,ISNUMBER(Y143*1)),DATE(LEFT(Y143,4),MID(Y143,5,2),RIGHT(Y143,2)),IFERROR(DATEVALUE(SUBSTITUTE(SUBSTITUTE(Y143,".","-"),"/","-")),IFERROR(Y143*1,""))))</f>
        <v/>
      </c>
      <c r="N143">
        <f>IFERROR(LEFT(B143,FIND(" ",B143)-1),B143)</f>
        <v/>
      </c>
      <c r="O143">
        <f>AND(B143&lt;&gt;"",B143&lt;&gt;설정!$B$4,C143&lt;&gt;설정!$B$5)</f>
        <v/>
      </c>
      <c r="P143">
        <f>IF(O143,B143&amp;"|"&amp;C143,"")</f>
        <v/>
      </c>
      <c r="Q143">
        <f>AND(O143,COUNTIF(P144:P$1002,P143)=0)</f>
        <v/>
      </c>
      <c r="R143">
        <f>OR(AND(설정!$A$42&lt;&gt;"",ISNUMBER(SEARCH(설정!$A$42,E143&amp;" "&amp;C143))),AND(설정!$A$43&lt;&gt;"",ISNUMBER(SEARCH(설정!$A$43,E143&amp;" "&amp;C143))),AND(설정!$A$44&lt;&gt;"",ISNUMBER(SEARCH(설정!$A$44,E143&amp;" "&amp;C143))),AND(설정!$A$45&lt;&gt;"",ISNUMBER(SEARCH(설정!$A$45,E143&amp;" "&amp;C143))),AND(설정!$A$46&lt;&gt;"",ISNUMBER(SEARCH(설정!$A$46,E143&amp;" "&amp;C143))),AND(설정!$A$47&lt;&gt;"",ISNUMBER(SEARCH(설정!$A$47,E143&amp;" "&amp;C143))),AND(설정!$A$48&lt;&gt;"",ISNUMBER(SEARCH(설정!$A$48,E143&amp;" "&amp;C143))),AND(설정!$A$49&lt;&gt;"",ISNUMBER(SEARCH(설정!$A$49,E143&amp;" "&amp;C143))),AND(설정!$A$50&lt;&gt;"",ISNUMBER(SEARCH(설정!$A$50,E143&amp;" "&amp;C143))),AND(설정!$A$51&lt;&gt;"",ISNUMBER(SEARCH(설정!$A$51,E143&amp;" "&amp;C143))))</f>
        <v/>
      </c>
      <c r="S143">
        <f>OR(D143="",D143&gt;=설정!$B$19)</f>
        <v/>
      </c>
      <c r="T143">
        <f>AND(Q143,R143,S143)</f>
        <v/>
      </c>
      <c r="U143">
        <f>IF(T143,IF(AND(설정!$A$54&lt;&gt;"",ISNUMBER(SEARCH(설정!$A$54,K143))),설정!$B$54,IF(AND(설정!$A$55&lt;&gt;"",ISNUMBER(SEARCH(설정!$A$55,K143))),설정!$B$55,IF(AND(설정!$A$56&lt;&gt;"",ISNUMBER(SEARCH(설정!$A$56,K143))),설정!$B$56,IF(AND(설정!$A$57&lt;&gt;"",ISNUMBER(SEARCH(설정!$A$57,K143))),설정!$B$57,IF(AND(설정!$A$58&lt;&gt;"",ISNUMBER(SEARCH(설정!$A$58,K143))),설정!$B$58,IF(AND(설정!$A$59&lt;&gt;"",ISNUMBER(SEARCH(설정!$A$59,K143))),설정!$B$59,IF(AND(설정!$A$60&lt;&gt;"",ISNUMBER(SEARCH(설정!$A$60,K143))),설정!$B$60,IF(AND(설정!$A$61&lt;&gt;"",ISNUMBER(SEARCH(설정!$A$61,K143))),설정!$B$61,IF(M143="","설계사","시공사"))))))))),"")</f>
        <v/>
      </c>
      <c r="V143">
        <f>SUBSTITUTE(SUBSTITUTE(SUBSTITUTE(SUBSTITUTE(G143,"(주)",""),"㈜",""),"주식회사","")," ","")</f>
        <v/>
      </c>
      <c r="W143">
        <f>IF(AND(T143,V143&lt;&gt;""),IF(COUNTIFS(V$2:V143,V143,T$2:T143,TRUE)=1,MAX(W$1:W142)+1,""),"")</f>
        <v/>
      </c>
      <c r="X143">
        <f>IF(설정!$C$14="","",IFERROR(INDEX('1.산군_붙여넣기'!$A$1:$AZ$1001,ROW(),설정!$C$14)&amp;"",""))</f>
        <v/>
      </c>
      <c r="Y143">
        <f>IF(설정!$C$15="","",IFERROR(INDEX('1.산군_붙여넣기'!$A$1:$AZ$1001,ROW(),설정!$C$15)&amp;"",""))</f>
        <v/>
      </c>
      <c r="Z143">
        <f>IF(T143,V143&amp;"|"&amp;U143,"")</f>
        <v/>
      </c>
      <c r="AA143">
        <f>IF(NOT(Q143),"",IF(NOT(AND(R143,S143)),"✕",IF(OR(OR(AND(L143&lt;&gt;"",M143&lt;&gt;"",N(M143)-N(L143)&gt;설정!$B$27),AND(L143&lt;&gt;"",M143="",설정!$B$24-N(L143)&gt;설정!$B$27)),AND(D143&lt;&gt;"",D143&lt;설정!$B$26)),"△","★")))</f>
        <v/>
      </c>
      <c r="AB143">
        <f>IF(NOT(T143),"",IF(U143="설계사",설정!$B$31,IF(U143="시공사",IF(OR(M143="",설정!$B$24-N(M143)&lt;=설정!$B$28*30.4),설정!$B$32,설정!$B$33),설정!$B$34))+IF(AA143="★",설정!$B$35,0))</f>
        <v/>
      </c>
      <c r="AC143">
        <f>SUBSTITUTE(SUBSTITUTE(SUBSTITUTE(SUBSTITUTE(H143,"(주)",""),"㈜",""),"주식회사","")," ","")</f>
        <v/>
      </c>
      <c r="AD143">
        <f>IF(AND(T143,AC143&lt;&gt;""),IF(COUNTIFS(AC$2:AC143,AC143,T$2:T143,TRUE)=1,MAX(AD$1:AD142)+1,""),"")</f>
        <v/>
      </c>
    </row>
    <row r="144">
      <c r="A144">
        <f>ROW()</f>
        <v/>
      </c>
      <c r="B144">
        <f>IF(설정!$C$4="","",IFERROR(INDEX('1.산군_붙여넣기'!$A$1:$AZ$1001,ROW(),설정!$C$4)&amp;"",""))</f>
        <v/>
      </c>
      <c r="C144">
        <f>IF(설정!$C$5="","",IFERROR(INDEX('1.산군_붙여넣기'!$A$1:$AZ$1001,ROW(),설정!$C$5)&amp;"",""))</f>
        <v/>
      </c>
      <c r="D144" s="5">
        <f>IFERROR(VALUE(SUBSTITUTE(SUBSTITUTE(SUBSTITUTE(IF(설정!$C$6="","",IFERROR(INDEX('1.산군_붙여넣기'!$A$1:$AZ$1001,ROW(),설정!$C$6)&amp;"","")),",",""),"㎡",""),"m2","")),"")</f>
        <v/>
      </c>
      <c r="E144">
        <f>IF(설정!$C$7="","",IFERROR(INDEX('1.산군_붙여넣기'!$A$1:$AZ$1001,ROW(),설정!$C$7)&amp;"",""))</f>
        <v/>
      </c>
      <c r="F144">
        <f>IF(설정!$C$8="","",IFERROR(INDEX('1.산군_붙여넣기'!$A$1:$AZ$1001,ROW(),설정!$C$8)&amp;"",""))</f>
        <v/>
      </c>
      <c r="G144">
        <f>IF(설정!$C$9="","",IFERROR(INDEX('1.산군_붙여넣기'!$A$1:$AZ$1001,ROW(),설정!$C$9)&amp;"",""))</f>
        <v/>
      </c>
      <c r="H144">
        <f>IF(설정!$C$10="","",IFERROR(INDEX('1.산군_붙여넣기'!$A$1:$AZ$1001,ROW(),설정!$C$10)&amp;"",""))</f>
        <v/>
      </c>
      <c r="I144">
        <f>IF(설정!$C$11="","",IFERROR(INDEX('1.산군_붙여넣기'!$A$1:$AZ$1001,ROW(),설정!$C$11)&amp;"",""))</f>
        <v/>
      </c>
      <c r="J144">
        <f>IF(설정!$C$12="","",IFERROR(INDEX('1.산군_붙여넣기'!$A$1:$AZ$1001,ROW(),설정!$C$12)&amp;"",""))</f>
        <v/>
      </c>
      <c r="K144">
        <f>IF(설정!$C$13="","",IFERROR(INDEX('1.산군_붙여넣기'!$A$1:$AZ$1001,ROW(),설정!$C$13)&amp;"",""))</f>
        <v/>
      </c>
      <c r="L144" s="7">
        <f>IF(X144="","",IF(AND(LEN(X144)=8,ISNUMBER(X144*1)),DATE(LEFT(X144,4),MID(X144,5,2),RIGHT(X144,2)),IFERROR(DATEVALUE(SUBSTITUTE(SUBSTITUTE(X144,".","-"),"/","-")),IFERROR(X144*1,""))))</f>
        <v/>
      </c>
      <c r="M144" s="7">
        <f>IF(Y144="","",IF(AND(LEN(Y144)=8,ISNUMBER(Y144*1)),DATE(LEFT(Y144,4),MID(Y144,5,2),RIGHT(Y144,2)),IFERROR(DATEVALUE(SUBSTITUTE(SUBSTITUTE(Y144,".","-"),"/","-")),IFERROR(Y144*1,""))))</f>
        <v/>
      </c>
      <c r="N144">
        <f>IFERROR(LEFT(B144,FIND(" ",B144)-1),B144)</f>
        <v/>
      </c>
      <c r="O144">
        <f>AND(B144&lt;&gt;"",B144&lt;&gt;설정!$B$4,C144&lt;&gt;설정!$B$5)</f>
        <v/>
      </c>
      <c r="P144">
        <f>IF(O144,B144&amp;"|"&amp;C144,"")</f>
        <v/>
      </c>
      <c r="Q144">
        <f>AND(O144,COUNTIF(P145:P$1002,P144)=0)</f>
        <v/>
      </c>
      <c r="R144">
        <f>OR(AND(설정!$A$42&lt;&gt;"",ISNUMBER(SEARCH(설정!$A$42,E144&amp;" "&amp;C144))),AND(설정!$A$43&lt;&gt;"",ISNUMBER(SEARCH(설정!$A$43,E144&amp;" "&amp;C144))),AND(설정!$A$44&lt;&gt;"",ISNUMBER(SEARCH(설정!$A$44,E144&amp;" "&amp;C144))),AND(설정!$A$45&lt;&gt;"",ISNUMBER(SEARCH(설정!$A$45,E144&amp;" "&amp;C144))),AND(설정!$A$46&lt;&gt;"",ISNUMBER(SEARCH(설정!$A$46,E144&amp;" "&amp;C144))),AND(설정!$A$47&lt;&gt;"",ISNUMBER(SEARCH(설정!$A$47,E144&amp;" "&amp;C144))),AND(설정!$A$48&lt;&gt;"",ISNUMBER(SEARCH(설정!$A$48,E144&amp;" "&amp;C144))),AND(설정!$A$49&lt;&gt;"",ISNUMBER(SEARCH(설정!$A$49,E144&amp;" "&amp;C144))),AND(설정!$A$50&lt;&gt;"",ISNUMBER(SEARCH(설정!$A$50,E144&amp;" "&amp;C144))),AND(설정!$A$51&lt;&gt;"",ISNUMBER(SEARCH(설정!$A$51,E144&amp;" "&amp;C144))))</f>
        <v/>
      </c>
      <c r="S144">
        <f>OR(D144="",D144&gt;=설정!$B$19)</f>
        <v/>
      </c>
      <c r="T144">
        <f>AND(Q144,R144,S144)</f>
        <v/>
      </c>
      <c r="U144">
        <f>IF(T144,IF(AND(설정!$A$54&lt;&gt;"",ISNUMBER(SEARCH(설정!$A$54,K144))),설정!$B$54,IF(AND(설정!$A$55&lt;&gt;"",ISNUMBER(SEARCH(설정!$A$55,K144))),설정!$B$55,IF(AND(설정!$A$56&lt;&gt;"",ISNUMBER(SEARCH(설정!$A$56,K144))),설정!$B$56,IF(AND(설정!$A$57&lt;&gt;"",ISNUMBER(SEARCH(설정!$A$57,K144))),설정!$B$57,IF(AND(설정!$A$58&lt;&gt;"",ISNUMBER(SEARCH(설정!$A$58,K144))),설정!$B$58,IF(AND(설정!$A$59&lt;&gt;"",ISNUMBER(SEARCH(설정!$A$59,K144))),설정!$B$59,IF(AND(설정!$A$60&lt;&gt;"",ISNUMBER(SEARCH(설정!$A$60,K144))),설정!$B$60,IF(AND(설정!$A$61&lt;&gt;"",ISNUMBER(SEARCH(설정!$A$61,K144))),설정!$B$61,IF(M144="","설계사","시공사"))))))))),"")</f>
        <v/>
      </c>
      <c r="V144">
        <f>SUBSTITUTE(SUBSTITUTE(SUBSTITUTE(SUBSTITUTE(G144,"(주)",""),"㈜",""),"주식회사","")," ","")</f>
        <v/>
      </c>
      <c r="W144">
        <f>IF(AND(T144,V144&lt;&gt;""),IF(COUNTIFS(V$2:V144,V144,T$2:T144,TRUE)=1,MAX(W$1:W143)+1,""),"")</f>
        <v/>
      </c>
      <c r="X144">
        <f>IF(설정!$C$14="","",IFERROR(INDEX('1.산군_붙여넣기'!$A$1:$AZ$1001,ROW(),설정!$C$14)&amp;"",""))</f>
        <v/>
      </c>
      <c r="Y144">
        <f>IF(설정!$C$15="","",IFERROR(INDEX('1.산군_붙여넣기'!$A$1:$AZ$1001,ROW(),설정!$C$15)&amp;"",""))</f>
        <v/>
      </c>
      <c r="Z144">
        <f>IF(T144,V144&amp;"|"&amp;U144,"")</f>
        <v/>
      </c>
      <c r="AA144">
        <f>IF(NOT(Q144),"",IF(NOT(AND(R144,S144)),"✕",IF(OR(OR(AND(L144&lt;&gt;"",M144&lt;&gt;"",N(M144)-N(L144)&gt;설정!$B$27),AND(L144&lt;&gt;"",M144="",설정!$B$24-N(L144)&gt;설정!$B$27)),AND(D144&lt;&gt;"",D144&lt;설정!$B$26)),"△","★")))</f>
        <v/>
      </c>
      <c r="AB144">
        <f>IF(NOT(T144),"",IF(U144="설계사",설정!$B$31,IF(U144="시공사",IF(OR(M144="",설정!$B$24-N(M144)&lt;=설정!$B$28*30.4),설정!$B$32,설정!$B$33),설정!$B$34))+IF(AA144="★",설정!$B$35,0))</f>
        <v/>
      </c>
      <c r="AC144">
        <f>SUBSTITUTE(SUBSTITUTE(SUBSTITUTE(SUBSTITUTE(H144,"(주)",""),"㈜",""),"주식회사","")," ","")</f>
        <v/>
      </c>
      <c r="AD144">
        <f>IF(AND(T144,AC144&lt;&gt;""),IF(COUNTIFS(AC$2:AC144,AC144,T$2:T144,TRUE)=1,MAX(AD$1:AD143)+1,""),"")</f>
        <v/>
      </c>
    </row>
    <row r="145">
      <c r="A145">
        <f>ROW()</f>
        <v/>
      </c>
      <c r="B145">
        <f>IF(설정!$C$4="","",IFERROR(INDEX('1.산군_붙여넣기'!$A$1:$AZ$1001,ROW(),설정!$C$4)&amp;"",""))</f>
        <v/>
      </c>
      <c r="C145">
        <f>IF(설정!$C$5="","",IFERROR(INDEX('1.산군_붙여넣기'!$A$1:$AZ$1001,ROW(),설정!$C$5)&amp;"",""))</f>
        <v/>
      </c>
      <c r="D145" s="5">
        <f>IFERROR(VALUE(SUBSTITUTE(SUBSTITUTE(SUBSTITUTE(IF(설정!$C$6="","",IFERROR(INDEX('1.산군_붙여넣기'!$A$1:$AZ$1001,ROW(),설정!$C$6)&amp;"","")),",",""),"㎡",""),"m2","")),"")</f>
        <v/>
      </c>
      <c r="E145">
        <f>IF(설정!$C$7="","",IFERROR(INDEX('1.산군_붙여넣기'!$A$1:$AZ$1001,ROW(),설정!$C$7)&amp;"",""))</f>
        <v/>
      </c>
      <c r="F145">
        <f>IF(설정!$C$8="","",IFERROR(INDEX('1.산군_붙여넣기'!$A$1:$AZ$1001,ROW(),설정!$C$8)&amp;"",""))</f>
        <v/>
      </c>
      <c r="G145">
        <f>IF(설정!$C$9="","",IFERROR(INDEX('1.산군_붙여넣기'!$A$1:$AZ$1001,ROW(),설정!$C$9)&amp;"",""))</f>
        <v/>
      </c>
      <c r="H145">
        <f>IF(설정!$C$10="","",IFERROR(INDEX('1.산군_붙여넣기'!$A$1:$AZ$1001,ROW(),설정!$C$10)&amp;"",""))</f>
        <v/>
      </c>
      <c r="I145">
        <f>IF(설정!$C$11="","",IFERROR(INDEX('1.산군_붙여넣기'!$A$1:$AZ$1001,ROW(),설정!$C$11)&amp;"",""))</f>
        <v/>
      </c>
      <c r="J145">
        <f>IF(설정!$C$12="","",IFERROR(INDEX('1.산군_붙여넣기'!$A$1:$AZ$1001,ROW(),설정!$C$12)&amp;"",""))</f>
        <v/>
      </c>
      <c r="K145">
        <f>IF(설정!$C$13="","",IFERROR(INDEX('1.산군_붙여넣기'!$A$1:$AZ$1001,ROW(),설정!$C$13)&amp;"",""))</f>
        <v/>
      </c>
      <c r="L145" s="7">
        <f>IF(X145="","",IF(AND(LEN(X145)=8,ISNUMBER(X145*1)),DATE(LEFT(X145,4),MID(X145,5,2),RIGHT(X145,2)),IFERROR(DATEVALUE(SUBSTITUTE(SUBSTITUTE(X145,".","-"),"/","-")),IFERROR(X145*1,""))))</f>
        <v/>
      </c>
      <c r="M145" s="7">
        <f>IF(Y145="","",IF(AND(LEN(Y145)=8,ISNUMBER(Y145*1)),DATE(LEFT(Y145,4),MID(Y145,5,2),RIGHT(Y145,2)),IFERROR(DATEVALUE(SUBSTITUTE(SUBSTITUTE(Y145,".","-"),"/","-")),IFERROR(Y145*1,""))))</f>
        <v/>
      </c>
      <c r="N145">
        <f>IFERROR(LEFT(B145,FIND(" ",B145)-1),B145)</f>
        <v/>
      </c>
      <c r="O145">
        <f>AND(B145&lt;&gt;"",B145&lt;&gt;설정!$B$4,C145&lt;&gt;설정!$B$5)</f>
        <v/>
      </c>
      <c r="P145">
        <f>IF(O145,B145&amp;"|"&amp;C145,"")</f>
        <v/>
      </c>
      <c r="Q145">
        <f>AND(O145,COUNTIF(P146:P$1002,P145)=0)</f>
        <v/>
      </c>
      <c r="R145">
        <f>OR(AND(설정!$A$42&lt;&gt;"",ISNUMBER(SEARCH(설정!$A$42,E145&amp;" "&amp;C145))),AND(설정!$A$43&lt;&gt;"",ISNUMBER(SEARCH(설정!$A$43,E145&amp;" "&amp;C145))),AND(설정!$A$44&lt;&gt;"",ISNUMBER(SEARCH(설정!$A$44,E145&amp;" "&amp;C145))),AND(설정!$A$45&lt;&gt;"",ISNUMBER(SEARCH(설정!$A$45,E145&amp;" "&amp;C145))),AND(설정!$A$46&lt;&gt;"",ISNUMBER(SEARCH(설정!$A$46,E145&amp;" "&amp;C145))),AND(설정!$A$47&lt;&gt;"",ISNUMBER(SEARCH(설정!$A$47,E145&amp;" "&amp;C145))),AND(설정!$A$48&lt;&gt;"",ISNUMBER(SEARCH(설정!$A$48,E145&amp;" "&amp;C145))),AND(설정!$A$49&lt;&gt;"",ISNUMBER(SEARCH(설정!$A$49,E145&amp;" "&amp;C145))),AND(설정!$A$50&lt;&gt;"",ISNUMBER(SEARCH(설정!$A$50,E145&amp;" "&amp;C145))),AND(설정!$A$51&lt;&gt;"",ISNUMBER(SEARCH(설정!$A$51,E145&amp;" "&amp;C145))))</f>
        <v/>
      </c>
      <c r="S145">
        <f>OR(D145="",D145&gt;=설정!$B$19)</f>
        <v/>
      </c>
      <c r="T145">
        <f>AND(Q145,R145,S145)</f>
        <v/>
      </c>
      <c r="U145">
        <f>IF(T145,IF(AND(설정!$A$54&lt;&gt;"",ISNUMBER(SEARCH(설정!$A$54,K145))),설정!$B$54,IF(AND(설정!$A$55&lt;&gt;"",ISNUMBER(SEARCH(설정!$A$55,K145))),설정!$B$55,IF(AND(설정!$A$56&lt;&gt;"",ISNUMBER(SEARCH(설정!$A$56,K145))),설정!$B$56,IF(AND(설정!$A$57&lt;&gt;"",ISNUMBER(SEARCH(설정!$A$57,K145))),설정!$B$57,IF(AND(설정!$A$58&lt;&gt;"",ISNUMBER(SEARCH(설정!$A$58,K145))),설정!$B$58,IF(AND(설정!$A$59&lt;&gt;"",ISNUMBER(SEARCH(설정!$A$59,K145))),설정!$B$59,IF(AND(설정!$A$60&lt;&gt;"",ISNUMBER(SEARCH(설정!$A$60,K145))),설정!$B$60,IF(AND(설정!$A$61&lt;&gt;"",ISNUMBER(SEARCH(설정!$A$61,K145))),설정!$B$61,IF(M145="","설계사","시공사"))))))))),"")</f>
        <v/>
      </c>
      <c r="V145">
        <f>SUBSTITUTE(SUBSTITUTE(SUBSTITUTE(SUBSTITUTE(G145,"(주)",""),"㈜",""),"주식회사","")," ","")</f>
        <v/>
      </c>
      <c r="W145">
        <f>IF(AND(T145,V145&lt;&gt;""),IF(COUNTIFS(V$2:V145,V145,T$2:T145,TRUE)=1,MAX(W$1:W144)+1,""),"")</f>
        <v/>
      </c>
      <c r="X145">
        <f>IF(설정!$C$14="","",IFERROR(INDEX('1.산군_붙여넣기'!$A$1:$AZ$1001,ROW(),설정!$C$14)&amp;"",""))</f>
        <v/>
      </c>
      <c r="Y145">
        <f>IF(설정!$C$15="","",IFERROR(INDEX('1.산군_붙여넣기'!$A$1:$AZ$1001,ROW(),설정!$C$15)&amp;"",""))</f>
        <v/>
      </c>
      <c r="Z145">
        <f>IF(T145,V145&amp;"|"&amp;U145,"")</f>
        <v/>
      </c>
      <c r="AA145">
        <f>IF(NOT(Q145),"",IF(NOT(AND(R145,S145)),"✕",IF(OR(OR(AND(L145&lt;&gt;"",M145&lt;&gt;"",N(M145)-N(L145)&gt;설정!$B$27),AND(L145&lt;&gt;"",M145="",설정!$B$24-N(L145)&gt;설정!$B$27)),AND(D145&lt;&gt;"",D145&lt;설정!$B$26)),"△","★")))</f>
        <v/>
      </c>
      <c r="AB145">
        <f>IF(NOT(T145),"",IF(U145="설계사",설정!$B$31,IF(U145="시공사",IF(OR(M145="",설정!$B$24-N(M145)&lt;=설정!$B$28*30.4),설정!$B$32,설정!$B$33),설정!$B$34))+IF(AA145="★",설정!$B$35,0))</f>
        <v/>
      </c>
      <c r="AC145">
        <f>SUBSTITUTE(SUBSTITUTE(SUBSTITUTE(SUBSTITUTE(H145,"(주)",""),"㈜",""),"주식회사","")," ","")</f>
        <v/>
      </c>
      <c r="AD145">
        <f>IF(AND(T145,AC145&lt;&gt;""),IF(COUNTIFS(AC$2:AC145,AC145,T$2:T145,TRUE)=1,MAX(AD$1:AD144)+1,""),"")</f>
        <v/>
      </c>
    </row>
    <row r="146">
      <c r="A146">
        <f>ROW()</f>
        <v/>
      </c>
      <c r="B146">
        <f>IF(설정!$C$4="","",IFERROR(INDEX('1.산군_붙여넣기'!$A$1:$AZ$1001,ROW(),설정!$C$4)&amp;"",""))</f>
        <v/>
      </c>
      <c r="C146">
        <f>IF(설정!$C$5="","",IFERROR(INDEX('1.산군_붙여넣기'!$A$1:$AZ$1001,ROW(),설정!$C$5)&amp;"",""))</f>
        <v/>
      </c>
      <c r="D146" s="5">
        <f>IFERROR(VALUE(SUBSTITUTE(SUBSTITUTE(SUBSTITUTE(IF(설정!$C$6="","",IFERROR(INDEX('1.산군_붙여넣기'!$A$1:$AZ$1001,ROW(),설정!$C$6)&amp;"","")),",",""),"㎡",""),"m2","")),"")</f>
        <v/>
      </c>
      <c r="E146">
        <f>IF(설정!$C$7="","",IFERROR(INDEX('1.산군_붙여넣기'!$A$1:$AZ$1001,ROW(),설정!$C$7)&amp;"",""))</f>
        <v/>
      </c>
      <c r="F146">
        <f>IF(설정!$C$8="","",IFERROR(INDEX('1.산군_붙여넣기'!$A$1:$AZ$1001,ROW(),설정!$C$8)&amp;"",""))</f>
        <v/>
      </c>
      <c r="G146">
        <f>IF(설정!$C$9="","",IFERROR(INDEX('1.산군_붙여넣기'!$A$1:$AZ$1001,ROW(),설정!$C$9)&amp;"",""))</f>
        <v/>
      </c>
      <c r="H146">
        <f>IF(설정!$C$10="","",IFERROR(INDEX('1.산군_붙여넣기'!$A$1:$AZ$1001,ROW(),설정!$C$10)&amp;"",""))</f>
        <v/>
      </c>
      <c r="I146">
        <f>IF(설정!$C$11="","",IFERROR(INDEX('1.산군_붙여넣기'!$A$1:$AZ$1001,ROW(),설정!$C$11)&amp;"",""))</f>
        <v/>
      </c>
      <c r="J146">
        <f>IF(설정!$C$12="","",IFERROR(INDEX('1.산군_붙여넣기'!$A$1:$AZ$1001,ROW(),설정!$C$12)&amp;"",""))</f>
        <v/>
      </c>
      <c r="K146">
        <f>IF(설정!$C$13="","",IFERROR(INDEX('1.산군_붙여넣기'!$A$1:$AZ$1001,ROW(),설정!$C$13)&amp;"",""))</f>
        <v/>
      </c>
      <c r="L146" s="7">
        <f>IF(X146="","",IF(AND(LEN(X146)=8,ISNUMBER(X146*1)),DATE(LEFT(X146,4),MID(X146,5,2),RIGHT(X146,2)),IFERROR(DATEVALUE(SUBSTITUTE(SUBSTITUTE(X146,".","-"),"/","-")),IFERROR(X146*1,""))))</f>
        <v/>
      </c>
      <c r="M146" s="7">
        <f>IF(Y146="","",IF(AND(LEN(Y146)=8,ISNUMBER(Y146*1)),DATE(LEFT(Y146,4),MID(Y146,5,2),RIGHT(Y146,2)),IFERROR(DATEVALUE(SUBSTITUTE(SUBSTITUTE(Y146,".","-"),"/","-")),IFERROR(Y146*1,""))))</f>
        <v/>
      </c>
      <c r="N146">
        <f>IFERROR(LEFT(B146,FIND(" ",B146)-1),B146)</f>
        <v/>
      </c>
      <c r="O146">
        <f>AND(B146&lt;&gt;"",B146&lt;&gt;설정!$B$4,C146&lt;&gt;설정!$B$5)</f>
        <v/>
      </c>
      <c r="P146">
        <f>IF(O146,B146&amp;"|"&amp;C146,"")</f>
        <v/>
      </c>
      <c r="Q146">
        <f>AND(O146,COUNTIF(P147:P$1002,P146)=0)</f>
        <v/>
      </c>
      <c r="R146">
        <f>OR(AND(설정!$A$42&lt;&gt;"",ISNUMBER(SEARCH(설정!$A$42,E146&amp;" "&amp;C146))),AND(설정!$A$43&lt;&gt;"",ISNUMBER(SEARCH(설정!$A$43,E146&amp;" "&amp;C146))),AND(설정!$A$44&lt;&gt;"",ISNUMBER(SEARCH(설정!$A$44,E146&amp;" "&amp;C146))),AND(설정!$A$45&lt;&gt;"",ISNUMBER(SEARCH(설정!$A$45,E146&amp;" "&amp;C146))),AND(설정!$A$46&lt;&gt;"",ISNUMBER(SEARCH(설정!$A$46,E146&amp;" "&amp;C146))),AND(설정!$A$47&lt;&gt;"",ISNUMBER(SEARCH(설정!$A$47,E146&amp;" "&amp;C146))),AND(설정!$A$48&lt;&gt;"",ISNUMBER(SEARCH(설정!$A$48,E146&amp;" "&amp;C146))),AND(설정!$A$49&lt;&gt;"",ISNUMBER(SEARCH(설정!$A$49,E146&amp;" "&amp;C146))),AND(설정!$A$50&lt;&gt;"",ISNUMBER(SEARCH(설정!$A$50,E146&amp;" "&amp;C146))),AND(설정!$A$51&lt;&gt;"",ISNUMBER(SEARCH(설정!$A$51,E146&amp;" "&amp;C146))))</f>
        <v/>
      </c>
      <c r="S146">
        <f>OR(D146="",D146&gt;=설정!$B$19)</f>
        <v/>
      </c>
      <c r="T146">
        <f>AND(Q146,R146,S146)</f>
        <v/>
      </c>
      <c r="U146">
        <f>IF(T146,IF(AND(설정!$A$54&lt;&gt;"",ISNUMBER(SEARCH(설정!$A$54,K146))),설정!$B$54,IF(AND(설정!$A$55&lt;&gt;"",ISNUMBER(SEARCH(설정!$A$55,K146))),설정!$B$55,IF(AND(설정!$A$56&lt;&gt;"",ISNUMBER(SEARCH(설정!$A$56,K146))),설정!$B$56,IF(AND(설정!$A$57&lt;&gt;"",ISNUMBER(SEARCH(설정!$A$57,K146))),설정!$B$57,IF(AND(설정!$A$58&lt;&gt;"",ISNUMBER(SEARCH(설정!$A$58,K146))),설정!$B$58,IF(AND(설정!$A$59&lt;&gt;"",ISNUMBER(SEARCH(설정!$A$59,K146))),설정!$B$59,IF(AND(설정!$A$60&lt;&gt;"",ISNUMBER(SEARCH(설정!$A$60,K146))),설정!$B$60,IF(AND(설정!$A$61&lt;&gt;"",ISNUMBER(SEARCH(설정!$A$61,K146))),설정!$B$61,IF(M146="","설계사","시공사"))))))))),"")</f>
        <v/>
      </c>
      <c r="V146">
        <f>SUBSTITUTE(SUBSTITUTE(SUBSTITUTE(SUBSTITUTE(G146,"(주)",""),"㈜",""),"주식회사","")," ","")</f>
        <v/>
      </c>
      <c r="W146">
        <f>IF(AND(T146,V146&lt;&gt;""),IF(COUNTIFS(V$2:V146,V146,T$2:T146,TRUE)=1,MAX(W$1:W145)+1,""),"")</f>
        <v/>
      </c>
      <c r="X146">
        <f>IF(설정!$C$14="","",IFERROR(INDEX('1.산군_붙여넣기'!$A$1:$AZ$1001,ROW(),설정!$C$14)&amp;"",""))</f>
        <v/>
      </c>
      <c r="Y146">
        <f>IF(설정!$C$15="","",IFERROR(INDEX('1.산군_붙여넣기'!$A$1:$AZ$1001,ROW(),설정!$C$15)&amp;"",""))</f>
        <v/>
      </c>
      <c r="Z146">
        <f>IF(T146,V146&amp;"|"&amp;U146,"")</f>
        <v/>
      </c>
      <c r="AA146">
        <f>IF(NOT(Q146),"",IF(NOT(AND(R146,S146)),"✕",IF(OR(OR(AND(L146&lt;&gt;"",M146&lt;&gt;"",N(M146)-N(L146)&gt;설정!$B$27),AND(L146&lt;&gt;"",M146="",설정!$B$24-N(L146)&gt;설정!$B$27)),AND(D146&lt;&gt;"",D146&lt;설정!$B$26)),"△","★")))</f>
        <v/>
      </c>
      <c r="AB146">
        <f>IF(NOT(T146),"",IF(U146="설계사",설정!$B$31,IF(U146="시공사",IF(OR(M146="",설정!$B$24-N(M146)&lt;=설정!$B$28*30.4),설정!$B$32,설정!$B$33),설정!$B$34))+IF(AA146="★",설정!$B$35,0))</f>
        <v/>
      </c>
      <c r="AC146">
        <f>SUBSTITUTE(SUBSTITUTE(SUBSTITUTE(SUBSTITUTE(H146,"(주)",""),"㈜",""),"주식회사","")," ","")</f>
        <v/>
      </c>
      <c r="AD146">
        <f>IF(AND(T146,AC146&lt;&gt;""),IF(COUNTIFS(AC$2:AC146,AC146,T$2:T146,TRUE)=1,MAX(AD$1:AD145)+1,""),"")</f>
        <v/>
      </c>
    </row>
    <row r="147">
      <c r="A147">
        <f>ROW()</f>
        <v/>
      </c>
      <c r="B147">
        <f>IF(설정!$C$4="","",IFERROR(INDEX('1.산군_붙여넣기'!$A$1:$AZ$1001,ROW(),설정!$C$4)&amp;"",""))</f>
        <v/>
      </c>
      <c r="C147">
        <f>IF(설정!$C$5="","",IFERROR(INDEX('1.산군_붙여넣기'!$A$1:$AZ$1001,ROW(),설정!$C$5)&amp;"",""))</f>
        <v/>
      </c>
      <c r="D147" s="5">
        <f>IFERROR(VALUE(SUBSTITUTE(SUBSTITUTE(SUBSTITUTE(IF(설정!$C$6="","",IFERROR(INDEX('1.산군_붙여넣기'!$A$1:$AZ$1001,ROW(),설정!$C$6)&amp;"","")),",",""),"㎡",""),"m2","")),"")</f>
        <v/>
      </c>
      <c r="E147">
        <f>IF(설정!$C$7="","",IFERROR(INDEX('1.산군_붙여넣기'!$A$1:$AZ$1001,ROW(),설정!$C$7)&amp;"",""))</f>
        <v/>
      </c>
      <c r="F147">
        <f>IF(설정!$C$8="","",IFERROR(INDEX('1.산군_붙여넣기'!$A$1:$AZ$1001,ROW(),설정!$C$8)&amp;"",""))</f>
        <v/>
      </c>
      <c r="G147">
        <f>IF(설정!$C$9="","",IFERROR(INDEX('1.산군_붙여넣기'!$A$1:$AZ$1001,ROW(),설정!$C$9)&amp;"",""))</f>
        <v/>
      </c>
      <c r="H147">
        <f>IF(설정!$C$10="","",IFERROR(INDEX('1.산군_붙여넣기'!$A$1:$AZ$1001,ROW(),설정!$C$10)&amp;"",""))</f>
        <v/>
      </c>
      <c r="I147">
        <f>IF(설정!$C$11="","",IFERROR(INDEX('1.산군_붙여넣기'!$A$1:$AZ$1001,ROW(),설정!$C$11)&amp;"",""))</f>
        <v/>
      </c>
      <c r="J147">
        <f>IF(설정!$C$12="","",IFERROR(INDEX('1.산군_붙여넣기'!$A$1:$AZ$1001,ROW(),설정!$C$12)&amp;"",""))</f>
        <v/>
      </c>
      <c r="K147">
        <f>IF(설정!$C$13="","",IFERROR(INDEX('1.산군_붙여넣기'!$A$1:$AZ$1001,ROW(),설정!$C$13)&amp;"",""))</f>
        <v/>
      </c>
      <c r="L147" s="7">
        <f>IF(X147="","",IF(AND(LEN(X147)=8,ISNUMBER(X147*1)),DATE(LEFT(X147,4),MID(X147,5,2),RIGHT(X147,2)),IFERROR(DATEVALUE(SUBSTITUTE(SUBSTITUTE(X147,".","-"),"/","-")),IFERROR(X147*1,""))))</f>
        <v/>
      </c>
      <c r="M147" s="7">
        <f>IF(Y147="","",IF(AND(LEN(Y147)=8,ISNUMBER(Y147*1)),DATE(LEFT(Y147,4),MID(Y147,5,2),RIGHT(Y147,2)),IFERROR(DATEVALUE(SUBSTITUTE(SUBSTITUTE(Y147,".","-"),"/","-")),IFERROR(Y147*1,""))))</f>
        <v/>
      </c>
      <c r="N147">
        <f>IFERROR(LEFT(B147,FIND(" ",B147)-1),B147)</f>
        <v/>
      </c>
      <c r="O147">
        <f>AND(B147&lt;&gt;"",B147&lt;&gt;설정!$B$4,C147&lt;&gt;설정!$B$5)</f>
        <v/>
      </c>
      <c r="P147">
        <f>IF(O147,B147&amp;"|"&amp;C147,"")</f>
        <v/>
      </c>
      <c r="Q147">
        <f>AND(O147,COUNTIF(P148:P$1002,P147)=0)</f>
        <v/>
      </c>
      <c r="R147">
        <f>OR(AND(설정!$A$42&lt;&gt;"",ISNUMBER(SEARCH(설정!$A$42,E147&amp;" "&amp;C147))),AND(설정!$A$43&lt;&gt;"",ISNUMBER(SEARCH(설정!$A$43,E147&amp;" "&amp;C147))),AND(설정!$A$44&lt;&gt;"",ISNUMBER(SEARCH(설정!$A$44,E147&amp;" "&amp;C147))),AND(설정!$A$45&lt;&gt;"",ISNUMBER(SEARCH(설정!$A$45,E147&amp;" "&amp;C147))),AND(설정!$A$46&lt;&gt;"",ISNUMBER(SEARCH(설정!$A$46,E147&amp;" "&amp;C147))),AND(설정!$A$47&lt;&gt;"",ISNUMBER(SEARCH(설정!$A$47,E147&amp;" "&amp;C147))),AND(설정!$A$48&lt;&gt;"",ISNUMBER(SEARCH(설정!$A$48,E147&amp;" "&amp;C147))),AND(설정!$A$49&lt;&gt;"",ISNUMBER(SEARCH(설정!$A$49,E147&amp;" "&amp;C147))),AND(설정!$A$50&lt;&gt;"",ISNUMBER(SEARCH(설정!$A$50,E147&amp;" "&amp;C147))),AND(설정!$A$51&lt;&gt;"",ISNUMBER(SEARCH(설정!$A$51,E147&amp;" "&amp;C147))))</f>
        <v/>
      </c>
      <c r="S147">
        <f>OR(D147="",D147&gt;=설정!$B$19)</f>
        <v/>
      </c>
      <c r="T147">
        <f>AND(Q147,R147,S147)</f>
        <v/>
      </c>
      <c r="U147">
        <f>IF(T147,IF(AND(설정!$A$54&lt;&gt;"",ISNUMBER(SEARCH(설정!$A$54,K147))),설정!$B$54,IF(AND(설정!$A$55&lt;&gt;"",ISNUMBER(SEARCH(설정!$A$55,K147))),설정!$B$55,IF(AND(설정!$A$56&lt;&gt;"",ISNUMBER(SEARCH(설정!$A$56,K147))),설정!$B$56,IF(AND(설정!$A$57&lt;&gt;"",ISNUMBER(SEARCH(설정!$A$57,K147))),설정!$B$57,IF(AND(설정!$A$58&lt;&gt;"",ISNUMBER(SEARCH(설정!$A$58,K147))),설정!$B$58,IF(AND(설정!$A$59&lt;&gt;"",ISNUMBER(SEARCH(설정!$A$59,K147))),설정!$B$59,IF(AND(설정!$A$60&lt;&gt;"",ISNUMBER(SEARCH(설정!$A$60,K147))),설정!$B$60,IF(AND(설정!$A$61&lt;&gt;"",ISNUMBER(SEARCH(설정!$A$61,K147))),설정!$B$61,IF(M147="","설계사","시공사"))))))))),"")</f>
        <v/>
      </c>
      <c r="V147">
        <f>SUBSTITUTE(SUBSTITUTE(SUBSTITUTE(SUBSTITUTE(G147,"(주)",""),"㈜",""),"주식회사","")," ","")</f>
        <v/>
      </c>
      <c r="W147">
        <f>IF(AND(T147,V147&lt;&gt;""),IF(COUNTIFS(V$2:V147,V147,T$2:T147,TRUE)=1,MAX(W$1:W146)+1,""),"")</f>
        <v/>
      </c>
      <c r="X147">
        <f>IF(설정!$C$14="","",IFERROR(INDEX('1.산군_붙여넣기'!$A$1:$AZ$1001,ROW(),설정!$C$14)&amp;"",""))</f>
        <v/>
      </c>
      <c r="Y147">
        <f>IF(설정!$C$15="","",IFERROR(INDEX('1.산군_붙여넣기'!$A$1:$AZ$1001,ROW(),설정!$C$15)&amp;"",""))</f>
        <v/>
      </c>
      <c r="Z147">
        <f>IF(T147,V147&amp;"|"&amp;U147,"")</f>
        <v/>
      </c>
      <c r="AA147">
        <f>IF(NOT(Q147),"",IF(NOT(AND(R147,S147)),"✕",IF(OR(OR(AND(L147&lt;&gt;"",M147&lt;&gt;"",N(M147)-N(L147)&gt;설정!$B$27),AND(L147&lt;&gt;"",M147="",설정!$B$24-N(L147)&gt;설정!$B$27)),AND(D147&lt;&gt;"",D147&lt;설정!$B$26)),"△","★")))</f>
        <v/>
      </c>
      <c r="AB147">
        <f>IF(NOT(T147),"",IF(U147="설계사",설정!$B$31,IF(U147="시공사",IF(OR(M147="",설정!$B$24-N(M147)&lt;=설정!$B$28*30.4),설정!$B$32,설정!$B$33),설정!$B$34))+IF(AA147="★",설정!$B$35,0))</f>
        <v/>
      </c>
      <c r="AC147">
        <f>SUBSTITUTE(SUBSTITUTE(SUBSTITUTE(SUBSTITUTE(H147,"(주)",""),"㈜",""),"주식회사","")," ","")</f>
        <v/>
      </c>
      <c r="AD147">
        <f>IF(AND(T147,AC147&lt;&gt;""),IF(COUNTIFS(AC$2:AC147,AC147,T$2:T147,TRUE)=1,MAX(AD$1:AD146)+1,""),"")</f>
        <v/>
      </c>
    </row>
    <row r="148">
      <c r="A148">
        <f>ROW()</f>
        <v/>
      </c>
      <c r="B148">
        <f>IF(설정!$C$4="","",IFERROR(INDEX('1.산군_붙여넣기'!$A$1:$AZ$1001,ROW(),설정!$C$4)&amp;"",""))</f>
        <v/>
      </c>
      <c r="C148">
        <f>IF(설정!$C$5="","",IFERROR(INDEX('1.산군_붙여넣기'!$A$1:$AZ$1001,ROW(),설정!$C$5)&amp;"",""))</f>
        <v/>
      </c>
      <c r="D148" s="5">
        <f>IFERROR(VALUE(SUBSTITUTE(SUBSTITUTE(SUBSTITUTE(IF(설정!$C$6="","",IFERROR(INDEX('1.산군_붙여넣기'!$A$1:$AZ$1001,ROW(),설정!$C$6)&amp;"","")),",",""),"㎡",""),"m2","")),"")</f>
        <v/>
      </c>
      <c r="E148">
        <f>IF(설정!$C$7="","",IFERROR(INDEX('1.산군_붙여넣기'!$A$1:$AZ$1001,ROW(),설정!$C$7)&amp;"",""))</f>
        <v/>
      </c>
      <c r="F148">
        <f>IF(설정!$C$8="","",IFERROR(INDEX('1.산군_붙여넣기'!$A$1:$AZ$1001,ROW(),설정!$C$8)&amp;"",""))</f>
        <v/>
      </c>
      <c r="G148">
        <f>IF(설정!$C$9="","",IFERROR(INDEX('1.산군_붙여넣기'!$A$1:$AZ$1001,ROW(),설정!$C$9)&amp;"",""))</f>
        <v/>
      </c>
      <c r="H148">
        <f>IF(설정!$C$10="","",IFERROR(INDEX('1.산군_붙여넣기'!$A$1:$AZ$1001,ROW(),설정!$C$10)&amp;"",""))</f>
        <v/>
      </c>
      <c r="I148">
        <f>IF(설정!$C$11="","",IFERROR(INDEX('1.산군_붙여넣기'!$A$1:$AZ$1001,ROW(),설정!$C$11)&amp;"",""))</f>
        <v/>
      </c>
      <c r="J148">
        <f>IF(설정!$C$12="","",IFERROR(INDEX('1.산군_붙여넣기'!$A$1:$AZ$1001,ROW(),설정!$C$12)&amp;"",""))</f>
        <v/>
      </c>
      <c r="K148">
        <f>IF(설정!$C$13="","",IFERROR(INDEX('1.산군_붙여넣기'!$A$1:$AZ$1001,ROW(),설정!$C$13)&amp;"",""))</f>
        <v/>
      </c>
      <c r="L148" s="7">
        <f>IF(X148="","",IF(AND(LEN(X148)=8,ISNUMBER(X148*1)),DATE(LEFT(X148,4),MID(X148,5,2),RIGHT(X148,2)),IFERROR(DATEVALUE(SUBSTITUTE(SUBSTITUTE(X148,".","-"),"/","-")),IFERROR(X148*1,""))))</f>
        <v/>
      </c>
      <c r="M148" s="7">
        <f>IF(Y148="","",IF(AND(LEN(Y148)=8,ISNUMBER(Y148*1)),DATE(LEFT(Y148,4),MID(Y148,5,2),RIGHT(Y148,2)),IFERROR(DATEVALUE(SUBSTITUTE(SUBSTITUTE(Y148,".","-"),"/","-")),IFERROR(Y148*1,""))))</f>
        <v/>
      </c>
      <c r="N148">
        <f>IFERROR(LEFT(B148,FIND(" ",B148)-1),B148)</f>
        <v/>
      </c>
      <c r="O148">
        <f>AND(B148&lt;&gt;"",B148&lt;&gt;설정!$B$4,C148&lt;&gt;설정!$B$5)</f>
        <v/>
      </c>
      <c r="P148">
        <f>IF(O148,B148&amp;"|"&amp;C148,"")</f>
        <v/>
      </c>
      <c r="Q148">
        <f>AND(O148,COUNTIF(P149:P$1002,P148)=0)</f>
        <v/>
      </c>
      <c r="R148">
        <f>OR(AND(설정!$A$42&lt;&gt;"",ISNUMBER(SEARCH(설정!$A$42,E148&amp;" "&amp;C148))),AND(설정!$A$43&lt;&gt;"",ISNUMBER(SEARCH(설정!$A$43,E148&amp;" "&amp;C148))),AND(설정!$A$44&lt;&gt;"",ISNUMBER(SEARCH(설정!$A$44,E148&amp;" "&amp;C148))),AND(설정!$A$45&lt;&gt;"",ISNUMBER(SEARCH(설정!$A$45,E148&amp;" "&amp;C148))),AND(설정!$A$46&lt;&gt;"",ISNUMBER(SEARCH(설정!$A$46,E148&amp;" "&amp;C148))),AND(설정!$A$47&lt;&gt;"",ISNUMBER(SEARCH(설정!$A$47,E148&amp;" "&amp;C148))),AND(설정!$A$48&lt;&gt;"",ISNUMBER(SEARCH(설정!$A$48,E148&amp;" "&amp;C148))),AND(설정!$A$49&lt;&gt;"",ISNUMBER(SEARCH(설정!$A$49,E148&amp;" "&amp;C148))),AND(설정!$A$50&lt;&gt;"",ISNUMBER(SEARCH(설정!$A$50,E148&amp;" "&amp;C148))),AND(설정!$A$51&lt;&gt;"",ISNUMBER(SEARCH(설정!$A$51,E148&amp;" "&amp;C148))))</f>
        <v/>
      </c>
      <c r="S148">
        <f>OR(D148="",D148&gt;=설정!$B$19)</f>
        <v/>
      </c>
      <c r="T148">
        <f>AND(Q148,R148,S148)</f>
        <v/>
      </c>
      <c r="U148">
        <f>IF(T148,IF(AND(설정!$A$54&lt;&gt;"",ISNUMBER(SEARCH(설정!$A$54,K148))),설정!$B$54,IF(AND(설정!$A$55&lt;&gt;"",ISNUMBER(SEARCH(설정!$A$55,K148))),설정!$B$55,IF(AND(설정!$A$56&lt;&gt;"",ISNUMBER(SEARCH(설정!$A$56,K148))),설정!$B$56,IF(AND(설정!$A$57&lt;&gt;"",ISNUMBER(SEARCH(설정!$A$57,K148))),설정!$B$57,IF(AND(설정!$A$58&lt;&gt;"",ISNUMBER(SEARCH(설정!$A$58,K148))),설정!$B$58,IF(AND(설정!$A$59&lt;&gt;"",ISNUMBER(SEARCH(설정!$A$59,K148))),설정!$B$59,IF(AND(설정!$A$60&lt;&gt;"",ISNUMBER(SEARCH(설정!$A$60,K148))),설정!$B$60,IF(AND(설정!$A$61&lt;&gt;"",ISNUMBER(SEARCH(설정!$A$61,K148))),설정!$B$61,IF(M148="","설계사","시공사"))))))))),"")</f>
        <v/>
      </c>
      <c r="V148">
        <f>SUBSTITUTE(SUBSTITUTE(SUBSTITUTE(SUBSTITUTE(G148,"(주)",""),"㈜",""),"주식회사","")," ","")</f>
        <v/>
      </c>
      <c r="W148">
        <f>IF(AND(T148,V148&lt;&gt;""),IF(COUNTIFS(V$2:V148,V148,T$2:T148,TRUE)=1,MAX(W$1:W147)+1,""),"")</f>
        <v/>
      </c>
      <c r="X148">
        <f>IF(설정!$C$14="","",IFERROR(INDEX('1.산군_붙여넣기'!$A$1:$AZ$1001,ROW(),설정!$C$14)&amp;"",""))</f>
        <v/>
      </c>
      <c r="Y148">
        <f>IF(설정!$C$15="","",IFERROR(INDEX('1.산군_붙여넣기'!$A$1:$AZ$1001,ROW(),설정!$C$15)&amp;"",""))</f>
        <v/>
      </c>
      <c r="Z148">
        <f>IF(T148,V148&amp;"|"&amp;U148,"")</f>
        <v/>
      </c>
      <c r="AA148">
        <f>IF(NOT(Q148),"",IF(NOT(AND(R148,S148)),"✕",IF(OR(OR(AND(L148&lt;&gt;"",M148&lt;&gt;"",N(M148)-N(L148)&gt;설정!$B$27),AND(L148&lt;&gt;"",M148="",설정!$B$24-N(L148)&gt;설정!$B$27)),AND(D148&lt;&gt;"",D148&lt;설정!$B$26)),"△","★")))</f>
        <v/>
      </c>
      <c r="AB148">
        <f>IF(NOT(T148),"",IF(U148="설계사",설정!$B$31,IF(U148="시공사",IF(OR(M148="",설정!$B$24-N(M148)&lt;=설정!$B$28*30.4),설정!$B$32,설정!$B$33),설정!$B$34))+IF(AA148="★",설정!$B$35,0))</f>
        <v/>
      </c>
      <c r="AC148">
        <f>SUBSTITUTE(SUBSTITUTE(SUBSTITUTE(SUBSTITUTE(H148,"(주)",""),"㈜",""),"주식회사","")," ","")</f>
        <v/>
      </c>
      <c r="AD148">
        <f>IF(AND(T148,AC148&lt;&gt;""),IF(COUNTIFS(AC$2:AC148,AC148,T$2:T148,TRUE)=1,MAX(AD$1:AD147)+1,""),"")</f>
        <v/>
      </c>
    </row>
    <row r="149">
      <c r="A149">
        <f>ROW()</f>
        <v/>
      </c>
      <c r="B149">
        <f>IF(설정!$C$4="","",IFERROR(INDEX('1.산군_붙여넣기'!$A$1:$AZ$1001,ROW(),설정!$C$4)&amp;"",""))</f>
        <v/>
      </c>
      <c r="C149">
        <f>IF(설정!$C$5="","",IFERROR(INDEX('1.산군_붙여넣기'!$A$1:$AZ$1001,ROW(),설정!$C$5)&amp;"",""))</f>
        <v/>
      </c>
      <c r="D149" s="5">
        <f>IFERROR(VALUE(SUBSTITUTE(SUBSTITUTE(SUBSTITUTE(IF(설정!$C$6="","",IFERROR(INDEX('1.산군_붙여넣기'!$A$1:$AZ$1001,ROW(),설정!$C$6)&amp;"","")),",",""),"㎡",""),"m2","")),"")</f>
        <v/>
      </c>
      <c r="E149">
        <f>IF(설정!$C$7="","",IFERROR(INDEX('1.산군_붙여넣기'!$A$1:$AZ$1001,ROW(),설정!$C$7)&amp;"",""))</f>
        <v/>
      </c>
      <c r="F149">
        <f>IF(설정!$C$8="","",IFERROR(INDEX('1.산군_붙여넣기'!$A$1:$AZ$1001,ROW(),설정!$C$8)&amp;"",""))</f>
        <v/>
      </c>
      <c r="G149">
        <f>IF(설정!$C$9="","",IFERROR(INDEX('1.산군_붙여넣기'!$A$1:$AZ$1001,ROW(),설정!$C$9)&amp;"",""))</f>
        <v/>
      </c>
      <c r="H149">
        <f>IF(설정!$C$10="","",IFERROR(INDEX('1.산군_붙여넣기'!$A$1:$AZ$1001,ROW(),설정!$C$10)&amp;"",""))</f>
        <v/>
      </c>
      <c r="I149">
        <f>IF(설정!$C$11="","",IFERROR(INDEX('1.산군_붙여넣기'!$A$1:$AZ$1001,ROW(),설정!$C$11)&amp;"",""))</f>
        <v/>
      </c>
      <c r="J149">
        <f>IF(설정!$C$12="","",IFERROR(INDEX('1.산군_붙여넣기'!$A$1:$AZ$1001,ROW(),설정!$C$12)&amp;"",""))</f>
        <v/>
      </c>
      <c r="K149">
        <f>IF(설정!$C$13="","",IFERROR(INDEX('1.산군_붙여넣기'!$A$1:$AZ$1001,ROW(),설정!$C$13)&amp;"",""))</f>
        <v/>
      </c>
      <c r="L149" s="7">
        <f>IF(X149="","",IF(AND(LEN(X149)=8,ISNUMBER(X149*1)),DATE(LEFT(X149,4),MID(X149,5,2),RIGHT(X149,2)),IFERROR(DATEVALUE(SUBSTITUTE(SUBSTITUTE(X149,".","-"),"/","-")),IFERROR(X149*1,""))))</f>
        <v/>
      </c>
      <c r="M149" s="7">
        <f>IF(Y149="","",IF(AND(LEN(Y149)=8,ISNUMBER(Y149*1)),DATE(LEFT(Y149,4),MID(Y149,5,2),RIGHT(Y149,2)),IFERROR(DATEVALUE(SUBSTITUTE(SUBSTITUTE(Y149,".","-"),"/","-")),IFERROR(Y149*1,""))))</f>
        <v/>
      </c>
      <c r="N149">
        <f>IFERROR(LEFT(B149,FIND(" ",B149)-1),B149)</f>
        <v/>
      </c>
      <c r="O149">
        <f>AND(B149&lt;&gt;"",B149&lt;&gt;설정!$B$4,C149&lt;&gt;설정!$B$5)</f>
        <v/>
      </c>
      <c r="P149">
        <f>IF(O149,B149&amp;"|"&amp;C149,"")</f>
        <v/>
      </c>
      <c r="Q149">
        <f>AND(O149,COUNTIF(P150:P$1002,P149)=0)</f>
        <v/>
      </c>
      <c r="R149">
        <f>OR(AND(설정!$A$42&lt;&gt;"",ISNUMBER(SEARCH(설정!$A$42,E149&amp;" "&amp;C149))),AND(설정!$A$43&lt;&gt;"",ISNUMBER(SEARCH(설정!$A$43,E149&amp;" "&amp;C149))),AND(설정!$A$44&lt;&gt;"",ISNUMBER(SEARCH(설정!$A$44,E149&amp;" "&amp;C149))),AND(설정!$A$45&lt;&gt;"",ISNUMBER(SEARCH(설정!$A$45,E149&amp;" "&amp;C149))),AND(설정!$A$46&lt;&gt;"",ISNUMBER(SEARCH(설정!$A$46,E149&amp;" "&amp;C149))),AND(설정!$A$47&lt;&gt;"",ISNUMBER(SEARCH(설정!$A$47,E149&amp;" "&amp;C149))),AND(설정!$A$48&lt;&gt;"",ISNUMBER(SEARCH(설정!$A$48,E149&amp;" "&amp;C149))),AND(설정!$A$49&lt;&gt;"",ISNUMBER(SEARCH(설정!$A$49,E149&amp;" "&amp;C149))),AND(설정!$A$50&lt;&gt;"",ISNUMBER(SEARCH(설정!$A$50,E149&amp;" "&amp;C149))),AND(설정!$A$51&lt;&gt;"",ISNUMBER(SEARCH(설정!$A$51,E149&amp;" "&amp;C149))))</f>
        <v/>
      </c>
      <c r="S149">
        <f>OR(D149="",D149&gt;=설정!$B$19)</f>
        <v/>
      </c>
      <c r="T149">
        <f>AND(Q149,R149,S149)</f>
        <v/>
      </c>
      <c r="U149">
        <f>IF(T149,IF(AND(설정!$A$54&lt;&gt;"",ISNUMBER(SEARCH(설정!$A$54,K149))),설정!$B$54,IF(AND(설정!$A$55&lt;&gt;"",ISNUMBER(SEARCH(설정!$A$55,K149))),설정!$B$55,IF(AND(설정!$A$56&lt;&gt;"",ISNUMBER(SEARCH(설정!$A$56,K149))),설정!$B$56,IF(AND(설정!$A$57&lt;&gt;"",ISNUMBER(SEARCH(설정!$A$57,K149))),설정!$B$57,IF(AND(설정!$A$58&lt;&gt;"",ISNUMBER(SEARCH(설정!$A$58,K149))),설정!$B$58,IF(AND(설정!$A$59&lt;&gt;"",ISNUMBER(SEARCH(설정!$A$59,K149))),설정!$B$59,IF(AND(설정!$A$60&lt;&gt;"",ISNUMBER(SEARCH(설정!$A$60,K149))),설정!$B$60,IF(AND(설정!$A$61&lt;&gt;"",ISNUMBER(SEARCH(설정!$A$61,K149))),설정!$B$61,IF(M149="","설계사","시공사"))))))))),"")</f>
        <v/>
      </c>
      <c r="V149">
        <f>SUBSTITUTE(SUBSTITUTE(SUBSTITUTE(SUBSTITUTE(G149,"(주)",""),"㈜",""),"주식회사","")," ","")</f>
        <v/>
      </c>
      <c r="W149">
        <f>IF(AND(T149,V149&lt;&gt;""),IF(COUNTIFS(V$2:V149,V149,T$2:T149,TRUE)=1,MAX(W$1:W148)+1,""),"")</f>
        <v/>
      </c>
      <c r="X149">
        <f>IF(설정!$C$14="","",IFERROR(INDEX('1.산군_붙여넣기'!$A$1:$AZ$1001,ROW(),설정!$C$14)&amp;"",""))</f>
        <v/>
      </c>
      <c r="Y149">
        <f>IF(설정!$C$15="","",IFERROR(INDEX('1.산군_붙여넣기'!$A$1:$AZ$1001,ROW(),설정!$C$15)&amp;"",""))</f>
        <v/>
      </c>
      <c r="Z149">
        <f>IF(T149,V149&amp;"|"&amp;U149,"")</f>
        <v/>
      </c>
      <c r="AA149">
        <f>IF(NOT(Q149),"",IF(NOT(AND(R149,S149)),"✕",IF(OR(OR(AND(L149&lt;&gt;"",M149&lt;&gt;"",N(M149)-N(L149)&gt;설정!$B$27),AND(L149&lt;&gt;"",M149="",설정!$B$24-N(L149)&gt;설정!$B$27)),AND(D149&lt;&gt;"",D149&lt;설정!$B$26)),"△","★")))</f>
        <v/>
      </c>
      <c r="AB149">
        <f>IF(NOT(T149),"",IF(U149="설계사",설정!$B$31,IF(U149="시공사",IF(OR(M149="",설정!$B$24-N(M149)&lt;=설정!$B$28*30.4),설정!$B$32,설정!$B$33),설정!$B$34))+IF(AA149="★",설정!$B$35,0))</f>
        <v/>
      </c>
      <c r="AC149">
        <f>SUBSTITUTE(SUBSTITUTE(SUBSTITUTE(SUBSTITUTE(H149,"(주)",""),"㈜",""),"주식회사","")," ","")</f>
        <v/>
      </c>
      <c r="AD149">
        <f>IF(AND(T149,AC149&lt;&gt;""),IF(COUNTIFS(AC$2:AC149,AC149,T$2:T149,TRUE)=1,MAX(AD$1:AD148)+1,""),"")</f>
        <v/>
      </c>
    </row>
    <row r="150">
      <c r="A150">
        <f>ROW()</f>
        <v/>
      </c>
      <c r="B150">
        <f>IF(설정!$C$4="","",IFERROR(INDEX('1.산군_붙여넣기'!$A$1:$AZ$1001,ROW(),설정!$C$4)&amp;"",""))</f>
        <v/>
      </c>
      <c r="C150">
        <f>IF(설정!$C$5="","",IFERROR(INDEX('1.산군_붙여넣기'!$A$1:$AZ$1001,ROW(),설정!$C$5)&amp;"",""))</f>
        <v/>
      </c>
      <c r="D150" s="5">
        <f>IFERROR(VALUE(SUBSTITUTE(SUBSTITUTE(SUBSTITUTE(IF(설정!$C$6="","",IFERROR(INDEX('1.산군_붙여넣기'!$A$1:$AZ$1001,ROW(),설정!$C$6)&amp;"","")),",",""),"㎡",""),"m2","")),"")</f>
        <v/>
      </c>
      <c r="E150">
        <f>IF(설정!$C$7="","",IFERROR(INDEX('1.산군_붙여넣기'!$A$1:$AZ$1001,ROW(),설정!$C$7)&amp;"",""))</f>
        <v/>
      </c>
      <c r="F150">
        <f>IF(설정!$C$8="","",IFERROR(INDEX('1.산군_붙여넣기'!$A$1:$AZ$1001,ROW(),설정!$C$8)&amp;"",""))</f>
        <v/>
      </c>
      <c r="G150">
        <f>IF(설정!$C$9="","",IFERROR(INDEX('1.산군_붙여넣기'!$A$1:$AZ$1001,ROW(),설정!$C$9)&amp;"",""))</f>
        <v/>
      </c>
      <c r="H150">
        <f>IF(설정!$C$10="","",IFERROR(INDEX('1.산군_붙여넣기'!$A$1:$AZ$1001,ROW(),설정!$C$10)&amp;"",""))</f>
        <v/>
      </c>
      <c r="I150">
        <f>IF(설정!$C$11="","",IFERROR(INDEX('1.산군_붙여넣기'!$A$1:$AZ$1001,ROW(),설정!$C$11)&amp;"",""))</f>
        <v/>
      </c>
      <c r="J150">
        <f>IF(설정!$C$12="","",IFERROR(INDEX('1.산군_붙여넣기'!$A$1:$AZ$1001,ROW(),설정!$C$12)&amp;"",""))</f>
        <v/>
      </c>
      <c r="K150">
        <f>IF(설정!$C$13="","",IFERROR(INDEX('1.산군_붙여넣기'!$A$1:$AZ$1001,ROW(),설정!$C$13)&amp;"",""))</f>
        <v/>
      </c>
      <c r="L150" s="7">
        <f>IF(X150="","",IF(AND(LEN(X150)=8,ISNUMBER(X150*1)),DATE(LEFT(X150,4),MID(X150,5,2),RIGHT(X150,2)),IFERROR(DATEVALUE(SUBSTITUTE(SUBSTITUTE(X150,".","-"),"/","-")),IFERROR(X150*1,""))))</f>
        <v/>
      </c>
      <c r="M150" s="7">
        <f>IF(Y150="","",IF(AND(LEN(Y150)=8,ISNUMBER(Y150*1)),DATE(LEFT(Y150,4),MID(Y150,5,2),RIGHT(Y150,2)),IFERROR(DATEVALUE(SUBSTITUTE(SUBSTITUTE(Y150,".","-"),"/","-")),IFERROR(Y150*1,""))))</f>
        <v/>
      </c>
      <c r="N150">
        <f>IFERROR(LEFT(B150,FIND(" ",B150)-1),B150)</f>
        <v/>
      </c>
      <c r="O150">
        <f>AND(B150&lt;&gt;"",B150&lt;&gt;설정!$B$4,C150&lt;&gt;설정!$B$5)</f>
        <v/>
      </c>
      <c r="P150">
        <f>IF(O150,B150&amp;"|"&amp;C150,"")</f>
        <v/>
      </c>
      <c r="Q150">
        <f>AND(O150,COUNTIF(P151:P$1002,P150)=0)</f>
        <v/>
      </c>
      <c r="R150">
        <f>OR(AND(설정!$A$42&lt;&gt;"",ISNUMBER(SEARCH(설정!$A$42,E150&amp;" "&amp;C150))),AND(설정!$A$43&lt;&gt;"",ISNUMBER(SEARCH(설정!$A$43,E150&amp;" "&amp;C150))),AND(설정!$A$44&lt;&gt;"",ISNUMBER(SEARCH(설정!$A$44,E150&amp;" "&amp;C150))),AND(설정!$A$45&lt;&gt;"",ISNUMBER(SEARCH(설정!$A$45,E150&amp;" "&amp;C150))),AND(설정!$A$46&lt;&gt;"",ISNUMBER(SEARCH(설정!$A$46,E150&amp;" "&amp;C150))),AND(설정!$A$47&lt;&gt;"",ISNUMBER(SEARCH(설정!$A$47,E150&amp;" "&amp;C150))),AND(설정!$A$48&lt;&gt;"",ISNUMBER(SEARCH(설정!$A$48,E150&amp;" "&amp;C150))),AND(설정!$A$49&lt;&gt;"",ISNUMBER(SEARCH(설정!$A$49,E150&amp;" "&amp;C150))),AND(설정!$A$50&lt;&gt;"",ISNUMBER(SEARCH(설정!$A$50,E150&amp;" "&amp;C150))),AND(설정!$A$51&lt;&gt;"",ISNUMBER(SEARCH(설정!$A$51,E150&amp;" "&amp;C150))))</f>
        <v/>
      </c>
      <c r="S150">
        <f>OR(D150="",D150&gt;=설정!$B$19)</f>
        <v/>
      </c>
      <c r="T150">
        <f>AND(Q150,R150,S150)</f>
        <v/>
      </c>
      <c r="U150">
        <f>IF(T150,IF(AND(설정!$A$54&lt;&gt;"",ISNUMBER(SEARCH(설정!$A$54,K150))),설정!$B$54,IF(AND(설정!$A$55&lt;&gt;"",ISNUMBER(SEARCH(설정!$A$55,K150))),설정!$B$55,IF(AND(설정!$A$56&lt;&gt;"",ISNUMBER(SEARCH(설정!$A$56,K150))),설정!$B$56,IF(AND(설정!$A$57&lt;&gt;"",ISNUMBER(SEARCH(설정!$A$57,K150))),설정!$B$57,IF(AND(설정!$A$58&lt;&gt;"",ISNUMBER(SEARCH(설정!$A$58,K150))),설정!$B$58,IF(AND(설정!$A$59&lt;&gt;"",ISNUMBER(SEARCH(설정!$A$59,K150))),설정!$B$59,IF(AND(설정!$A$60&lt;&gt;"",ISNUMBER(SEARCH(설정!$A$60,K150))),설정!$B$60,IF(AND(설정!$A$61&lt;&gt;"",ISNUMBER(SEARCH(설정!$A$61,K150))),설정!$B$61,IF(M150="","설계사","시공사"))))))))),"")</f>
        <v/>
      </c>
      <c r="V150">
        <f>SUBSTITUTE(SUBSTITUTE(SUBSTITUTE(SUBSTITUTE(G150,"(주)",""),"㈜",""),"주식회사","")," ","")</f>
        <v/>
      </c>
      <c r="W150">
        <f>IF(AND(T150,V150&lt;&gt;""),IF(COUNTIFS(V$2:V150,V150,T$2:T150,TRUE)=1,MAX(W$1:W149)+1,""),"")</f>
        <v/>
      </c>
      <c r="X150">
        <f>IF(설정!$C$14="","",IFERROR(INDEX('1.산군_붙여넣기'!$A$1:$AZ$1001,ROW(),설정!$C$14)&amp;"",""))</f>
        <v/>
      </c>
      <c r="Y150">
        <f>IF(설정!$C$15="","",IFERROR(INDEX('1.산군_붙여넣기'!$A$1:$AZ$1001,ROW(),설정!$C$15)&amp;"",""))</f>
        <v/>
      </c>
      <c r="Z150">
        <f>IF(T150,V150&amp;"|"&amp;U150,"")</f>
        <v/>
      </c>
      <c r="AA150">
        <f>IF(NOT(Q150),"",IF(NOT(AND(R150,S150)),"✕",IF(OR(OR(AND(L150&lt;&gt;"",M150&lt;&gt;"",N(M150)-N(L150)&gt;설정!$B$27),AND(L150&lt;&gt;"",M150="",설정!$B$24-N(L150)&gt;설정!$B$27)),AND(D150&lt;&gt;"",D150&lt;설정!$B$26)),"△","★")))</f>
        <v/>
      </c>
      <c r="AB150">
        <f>IF(NOT(T150),"",IF(U150="설계사",설정!$B$31,IF(U150="시공사",IF(OR(M150="",설정!$B$24-N(M150)&lt;=설정!$B$28*30.4),설정!$B$32,설정!$B$33),설정!$B$34))+IF(AA150="★",설정!$B$35,0))</f>
        <v/>
      </c>
      <c r="AC150">
        <f>SUBSTITUTE(SUBSTITUTE(SUBSTITUTE(SUBSTITUTE(H150,"(주)",""),"㈜",""),"주식회사","")," ","")</f>
        <v/>
      </c>
      <c r="AD150">
        <f>IF(AND(T150,AC150&lt;&gt;""),IF(COUNTIFS(AC$2:AC150,AC150,T$2:T150,TRUE)=1,MAX(AD$1:AD149)+1,""),"")</f>
        <v/>
      </c>
    </row>
    <row r="151">
      <c r="A151">
        <f>ROW()</f>
        <v/>
      </c>
      <c r="B151">
        <f>IF(설정!$C$4="","",IFERROR(INDEX('1.산군_붙여넣기'!$A$1:$AZ$1001,ROW(),설정!$C$4)&amp;"",""))</f>
        <v/>
      </c>
      <c r="C151">
        <f>IF(설정!$C$5="","",IFERROR(INDEX('1.산군_붙여넣기'!$A$1:$AZ$1001,ROW(),설정!$C$5)&amp;"",""))</f>
        <v/>
      </c>
      <c r="D151" s="5">
        <f>IFERROR(VALUE(SUBSTITUTE(SUBSTITUTE(SUBSTITUTE(IF(설정!$C$6="","",IFERROR(INDEX('1.산군_붙여넣기'!$A$1:$AZ$1001,ROW(),설정!$C$6)&amp;"","")),",",""),"㎡",""),"m2","")),"")</f>
        <v/>
      </c>
      <c r="E151">
        <f>IF(설정!$C$7="","",IFERROR(INDEX('1.산군_붙여넣기'!$A$1:$AZ$1001,ROW(),설정!$C$7)&amp;"",""))</f>
        <v/>
      </c>
      <c r="F151">
        <f>IF(설정!$C$8="","",IFERROR(INDEX('1.산군_붙여넣기'!$A$1:$AZ$1001,ROW(),설정!$C$8)&amp;"",""))</f>
        <v/>
      </c>
      <c r="G151">
        <f>IF(설정!$C$9="","",IFERROR(INDEX('1.산군_붙여넣기'!$A$1:$AZ$1001,ROW(),설정!$C$9)&amp;"",""))</f>
        <v/>
      </c>
      <c r="H151">
        <f>IF(설정!$C$10="","",IFERROR(INDEX('1.산군_붙여넣기'!$A$1:$AZ$1001,ROW(),설정!$C$10)&amp;"",""))</f>
        <v/>
      </c>
      <c r="I151">
        <f>IF(설정!$C$11="","",IFERROR(INDEX('1.산군_붙여넣기'!$A$1:$AZ$1001,ROW(),설정!$C$11)&amp;"",""))</f>
        <v/>
      </c>
      <c r="J151">
        <f>IF(설정!$C$12="","",IFERROR(INDEX('1.산군_붙여넣기'!$A$1:$AZ$1001,ROW(),설정!$C$12)&amp;"",""))</f>
        <v/>
      </c>
      <c r="K151">
        <f>IF(설정!$C$13="","",IFERROR(INDEX('1.산군_붙여넣기'!$A$1:$AZ$1001,ROW(),설정!$C$13)&amp;"",""))</f>
        <v/>
      </c>
      <c r="L151" s="7">
        <f>IF(X151="","",IF(AND(LEN(X151)=8,ISNUMBER(X151*1)),DATE(LEFT(X151,4),MID(X151,5,2),RIGHT(X151,2)),IFERROR(DATEVALUE(SUBSTITUTE(SUBSTITUTE(X151,".","-"),"/","-")),IFERROR(X151*1,""))))</f>
        <v/>
      </c>
      <c r="M151" s="7">
        <f>IF(Y151="","",IF(AND(LEN(Y151)=8,ISNUMBER(Y151*1)),DATE(LEFT(Y151,4),MID(Y151,5,2),RIGHT(Y151,2)),IFERROR(DATEVALUE(SUBSTITUTE(SUBSTITUTE(Y151,".","-"),"/","-")),IFERROR(Y151*1,""))))</f>
        <v/>
      </c>
      <c r="N151">
        <f>IFERROR(LEFT(B151,FIND(" ",B151)-1),B151)</f>
        <v/>
      </c>
      <c r="O151">
        <f>AND(B151&lt;&gt;"",B151&lt;&gt;설정!$B$4,C151&lt;&gt;설정!$B$5)</f>
        <v/>
      </c>
      <c r="P151">
        <f>IF(O151,B151&amp;"|"&amp;C151,"")</f>
        <v/>
      </c>
      <c r="Q151">
        <f>AND(O151,COUNTIF(P152:P$1002,P151)=0)</f>
        <v/>
      </c>
      <c r="R151">
        <f>OR(AND(설정!$A$42&lt;&gt;"",ISNUMBER(SEARCH(설정!$A$42,E151&amp;" "&amp;C151))),AND(설정!$A$43&lt;&gt;"",ISNUMBER(SEARCH(설정!$A$43,E151&amp;" "&amp;C151))),AND(설정!$A$44&lt;&gt;"",ISNUMBER(SEARCH(설정!$A$44,E151&amp;" "&amp;C151))),AND(설정!$A$45&lt;&gt;"",ISNUMBER(SEARCH(설정!$A$45,E151&amp;" "&amp;C151))),AND(설정!$A$46&lt;&gt;"",ISNUMBER(SEARCH(설정!$A$46,E151&amp;" "&amp;C151))),AND(설정!$A$47&lt;&gt;"",ISNUMBER(SEARCH(설정!$A$47,E151&amp;" "&amp;C151))),AND(설정!$A$48&lt;&gt;"",ISNUMBER(SEARCH(설정!$A$48,E151&amp;" "&amp;C151))),AND(설정!$A$49&lt;&gt;"",ISNUMBER(SEARCH(설정!$A$49,E151&amp;" "&amp;C151))),AND(설정!$A$50&lt;&gt;"",ISNUMBER(SEARCH(설정!$A$50,E151&amp;" "&amp;C151))),AND(설정!$A$51&lt;&gt;"",ISNUMBER(SEARCH(설정!$A$51,E151&amp;" "&amp;C151))))</f>
        <v/>
      </c>
      <c r="S151">
        <f>OR(D151="",D151&gt;=설정!$B$19)</f>
        <v/>
      </c>
      <c r="T151">
        <f>AND(Q151,R151,S151)</f>
        <v/>
      </c>
      <c r="U151">
        <f>IF(T151,IF(AND(설정!$A$54&lt;&gt;"",ISNUMBER(SEARCH(설정!$A$54,K151))),설정!$B$54,IF(AND(설정!$A$55&lt;&gt;"",ISNUMBER(SEARCH(설정!$A$55,K151))),설정!$B$55,IF(AND(설정!$A$56&lt;&gt;"",ISNUMBER(SEARCH(설정!$A$56,K151))),설정!$B$56,IF(AND(설정!$A$57&lt;&gt;"",ISNUMBER(SEARCH(설정!$A$57,K151))),설정!$B$57,IF(AND(설정!$A$58&lt;&gt;"",ISNUMBER(SEARCH(설정!$A$58,K151))),설정!$B$58,IF(AND(설정!$A$59&lt;&gt;"",ISNUMBER(SEARCH(설정!$A$59,K151))),설정!$B$59,IF(AND(설정!$A$60&lt;&gt;"",ISNUMBER(SEARCH(설정!$A$60,K151))),설정!$B$60,IF(AND(설정!$A$61&lt;&gt;"",ISNUMBER(SEARCH(설정!$A$61,K151))),설정!$B$61,IF(M151="","설계사","시공사"))))))))),"")</f>
        <v/>
      </c>
      <c r="V151">
        <f>SUBSTITUTE(SUBSTITUTE(SUBSTITUTE(SUBSTITUTE(G151,"(주)",""),"㈜",""),"주식회사","")," ","")</f>
        <v/>
      </c>
      <c r="W151">
        <f>IF(AND(T151,V151&lt;&gt;""),IF(COUNTIFS(V$2:V151,V151,T$2:T151,TRUE)=1,MAX(W$1:W150)+1,""),"")</f>
        <v/>
      </c>
      <c r="X151">
        <f>IF(설정!$C$14="","",IFERROR(INDEX('1.산군_붙여넣기'!$A$1:$AZ$1001,ROW(),설정!$C$14)&amp;"",""))</f>
        <v/>
      </c>
      <c r="Y151">
        <f>IF(설정!$C$15="","",IFERROR(INDEX('1.산군_붙여넣기'!$A$1:$AZ$1001,ROW(),설정!$C$15)&amp;"",""))</f>
        <v/>
      </c>
      <c r="Z151">
        <f>IF(T151,V151&amp;"|"&amp;U151,"")</f>
        <v/>
      </c>
      <c r="AA151">
        <f>IF(NOT(Q151),"",IF(NOT(AND(R151,S151)),"✕",IF(OR(OR(AND(L151&lt;&gt;"",M151&lt;&gt;"",N(M151)-N(L151)&gt;설정!$B$27),AND(L151&lt;&gt;"",M151="",설정!$B$24-N(L151)&gt;설정!$B$27)),AND(D151&lt;&gt;"",D151&lt;설정!$B$26)),"△","★")))</f>
        <v/>
      </c>
      <c r="AB151">
        <f>IF(NOT(T151),"",IF(U151="설계사",설정!$B$31,IF(U151="시공사",IF(OR(M151="",설정!$B$24-N(M151)&lt;=설정!$B$28*30.4),설정!$B$32,설정!$B$33),설정!$B$34))+IF(AA151="★",설정!$B$35,0))</f>
        <v/>
      </c>
      <c r="AC151">
        <f>SUBSTITUTE(SUBSTITUTE(SUBSTITUTE(SUBSTITUTE(H151,"(주)",""),"㈜",""),"주식회사","")," ","")</f>
        <v/>
      </c>
      <c r="AD151">
        <f>IF(AND(T151,AC151&lt;&gt;""),IF(COUNTIFS(AC$2:AC151,AC151,T$2:T151,TRUE)=1,MAX(AD$1:AD150)+1,""),"")</f>
        <v/>
      </c>
    </row>
    <row r="152">
      <c r="A152">
        <f>ROW()</f>
        <v/>
      </c>
      <c r="B152">
        <f>IF(설정!$C$4="","",IFERROR(INDEX('1.산군_붙여넣기'!$A$1:$AZ$1001,ROW(),설정!$C$4)&amp;"",""))</f>
        <v/>
      </c>
      <c r="C152">
        <f>IF(설정!$C$5="","",IFERROR(INDEX('1.산군_붙여넣기'!$A$1:$AZ$1001,ROW(),설정!$C$5)&amp;"",""))</f>
        <v/>
      </c>
      <c r="D152" s="5">
        <f>IFERROR(VALUE(SUBSTITUTE(SUBSTITUTE(SUBSTITUTE(IF(설정!$C$6="","",IFERROR(INDEX('1.산군_붙여넣기'!$A$1:$AZ$1001,ROW(),설정!$C$6)&amp;"","")),",",""),"㎡",""),"m2","")),"")</f>
        <v/>
      </c>
      <c r="E152">
        <f>IF(설정!$C$7="","",IFERROR(INDEX('1.산군_붙여넣기'!$A$1:$AZ$1001,ROW(),설정!$C$7)&amp;"",""))</f>
        <v/>
      </c>
      <c r="F152">
        <f>IF(설정!$C$8="","",IFERROR(INDEX('1.산군_붙여넣기'!$A$1:$AZ$1001,ROW(),설정!$C$8)&amp;"",""))</f>
        <v/>
      </c>
      <c r="G152">
        <f>IF(설정!$C$9="","",IFERROR(INDEX('1.산군_붙여넣기'!$A$1:$AZ$1001,ROW(),설정!$C$9)&amp;"",""))</f>
        <v/>
      </c>
      <c r="H152">
        <f>IF(설정!$C$10="","",IFERROR(INDEX('1.산군_붙여넣기'!$A$1:$AZ$1001,ROW(),설정!$C$10)&amp;"",""))</f>
        <v/>
      </c>
      <c r="I152">
        <f>IF(설정!$C$11="","",IFERROR(INDEX('1.산군_붙여넣기'!$A$1:$AZ$1001,ROW(),설정!$C$11)&amp;"",""))</f>
        <v/>
      </c>
      <c r="J152">
        <f>IF(설정!$C$12="","",IFERROR(INDEX('1.산군_붙여넣기'!$A$1:$AZ$1001,ROW(),설정!$C$12)&amp;"",""))</f>
        <v/>
      </c>
      <c r="K152">
        <f>IF(설정!$C$13="","",IFERROR(INDEX('1.산군_붙여넣기'!$A$1:$AZ$1001,ROW(),설정!$C$13)&amp;"",""))</f>
        <v/>
      </c>
      <c r="L152" s="7">
        <f>IF(X152="","",IF(AND(LEN(X152)=8,ISNUMBER(X152*1)),DATE(LEFT(X152,4),MID(X152,5,2),RIGHT(X152,2)),IFERROR(DATEVALUE(SUBSTITUTE(SUBSTITUTE(X152,".","-"),"/","-")),IFERROR(X152*1,""))))</f>
        <v/>
      </c>
      <c r="M152" s="7">
        <f>IF(Y152="","",IF(AND(LEN(Y152)=8,ISNUMBER(Y152*1)),DATE(LEFT(Y152,4),MID(Y152,5,2),RIGHT(Y152,2)),IFERROR(DATEVALUE(SUBSTITUTE(SUBSTITUTE(Y152,".","-"),"/","-")),IFERROR(Y152*1,""))))</f>
        <v/>
      </c>
      <c r="N152">
        <f>IFERROR(LEFT(B152,FIND(" ",B152)-1),B152)</f>
        <v/>
      </c>
      <c r="O152">
        <f>AND(B152&lt;&gt;"",B152&lt;&gt;설정!$B$4,C152&lt;&gt;설정!$B$5)</f>
        <v/>
      </c>
      <c r="P152">
        <f>IF(O152,B152&amp;"|"&amp;C152,"")</f>
        <v/>
      </c>
      <c r="Q152">
        <f>AND(O152,COUNTIF(P153:P$1002,P152)=0)</f>
        <v/>
      </c>
      <c r="R152">
        <f>OR(AND(설정!$A$42&lt;&gt;"",ISNUMBER(SEARCH(설정!$A$42,E152&amp;" "&amp;C152))),AND(설정!$A$43&lt;&gt;"",ISNUMBER(SEARCH(설정!$A$43,E152&amp;" "&amp;C152))),AND(설정!$A$44&lt;&gt;"",ISNUMBER(SEARCH(설정!$A$44,E152&amp;" "&amp;C152))),AND(설정!$A$45&lt;&gt;"",ISNUMBER(SEARCH(설정!$A$45,E152&amp;" "&amp;C152))),AND(설정!$A$46&lt;&gt;"",ISNUMBER(SEARCH(설정!$A$46,E152&amp;" "&amp;C152))),AND(설정!$A$47&lt;&gt;"",ISNUMBER(SEARCH(설정!$A$47,E152&amp;" "&amp;C152))),AND(설정!$A$48&lt;&gt;"",ISNUMBER(SEARCH(설정!$A$48,E152&amp;" "&amp;C152))),AND(설정!$A$49&lt;&gt;"",ISNUMBER(SEARCH(설정!$A$49,E152&amp;" "&amp;C152))),AND(설정!$A$50&lt;&gt;"",ISNUMBER(SEARCH(설정!$A$50,E152&amp;" "&amp;C152))),AND(설정!$A$51&lt;&gt;"",ISNUMBER(SEARCH(설정!$A$51,E152&amp;" "&amp;C152))))</f>
        <v/>
      </c>
      <c r="S152">
        <f>OR(D152="",D152&gt;=설정!$B$19)</f>
        <v/>
      </c>
      <c r="T152">
        <f>AND(Q152,R152,S152)</f>
        <v/>
      </c>
      <c r="U152">
        <f>IF(T152,IF(AND(설정!$A$54&lt;&gt;"",ISNUMBER(SEARCH(설정!$A$54,K152))),설정!$B$54,IF(AND(설정!$A$55&lt;&gt;"",ISNUMBER(SEARCH(설정!$A$55,K152))),설정!$B$55,IF(AND(설정!$A$56&lt;&gt;"",ISNUMBER(SEARCH(설정!$A$56,K152))),설정!$B$56,IF(AND(설정!$A$57&lt;&gt;"",ISNUMBER(SEARCH(설정!$A$57,K152))),설정!$B$57,IF(AND(설정!$A$58&lt;&gt;"",ISNUMBER(SEARCH(설정!$A$58,K152))),설정!$B$58,IF(AND(설정!$A$59&lt;&gt;"",ISNUMBER(SEARCH(설정!$A$59,K152))),설정!$B$59,IF(AND(설정!$A$60&lt;&gt;"",ISNUMBER(SEARCH(설정!$A$60,K152))),설정!$B$60,IF(AND(설정!$A$61&lt;&gt;"",ISNUMBER(SEARCH(설정!$A$61,K152))),설정!$B$61,IF(M152="","설계사","시공사"))))))))),"")</f>
        <v/>
      </c>
      <c r="V152">
        <f>SUBSTITUTE(SUBSTITUTE(SUBSTITUTE(SUBSTITUTE(G152,"(주)",""),"㈜",""),"주식회사","")," ","")</f>
        <v/>
      </c>
      <c r="W152">
        <f>IF(AND(T152,V152&lt;&gt;""),IF(COUNTIFS(V$2:V152,V152,T$2:T152,TRUE)=1,MAX(W$1:W151)+1,""),"")</f>
        <v/>
      </c>
      <c r="X152">
        <f>IF(설정!$C$14="","",IFERROR(INDEX('1.산군_붙여넣기'!$A$1:$AZ$1001,ROW(),설정!$C$14)&amp;"",""))</f>
        <v/>
      </c>
      <c r="Y152">
        <f>IF(설정!$C$15="","",IFERROR(INDEX('1.산군_붙여넣기'!$A$1:$AZ$1001,ROW(),설정!$C$15)&amp;"",""))</f>
        <v/>
      </c>
      <c r="Z152">
        <f>IF(T152,V152&amp;"|"&amp;U152,"")</f>
        <v/>
      </c>
      <c r="AA152">
        <f>IF(NOT(Q152),"",IF(NOT(AND(R152,S152)),"✕",IF(OR(OR(AND(L152&lt;&gt;"",M152&lt;&gt;"",N(M152)-N(L152)&gt;설정!$B$27),AND(L152&lt;&gt;"",M152="",설정!$B$24-N(L152)&gt;설정!$B$27)),AND(D152&lt;&gt;"",D152&lt;설정!$B$26)),"△","★")))</f>
        <v/>
      </c>
      <c r="AB152">
        <f>IF(NOT(T152),"",IF(U152="설계사",설정!$B$31,IF(U152="시공사",IF(OR(M152="",설정!$B$24-N(M152)&lt;=설정!$B$28*30.4),설정!$B$32,설정!$B$33),설정!$B$34))+IF(AA152="★",설정!$B$35,0))</f>
        <v/>
      </c>
      <c r="AC152">
        <f>SUBSTITUTE(SUBSTITUTE(SUBSTITUTE(SUBSTITUTE(H152,"(주)",""),"㈜",""),"주식회사","")," ","")</f>
        <v/>
      </c>
      <c r="AD152">
        <f>IF(AND(T152,AC152&lt;&gt;""),IF(COUNTIFS(AC$2:AC152,AC152,T$2:T152,TRUE)=1,MAX(AD$1:AD151)+1,""),"")</f>
        <v/>
      </c>
    </row>
    <row r="153">
      <c r="A153">
        <f>ROW()</f>
        <v/>
      </c>
      <c r="B153">
        <f>IF(설정!$C$4="","",IFERROR(INDEX('1.산군_붙여넣기'!$A$1:$AZ$1001,ROW(),설정!$C$4)&amp;"",""))</f>
        <v/>
      </c>
      <c r="C153">
        <f>IF(설정!$C$5="","",IFERROR(INDEX('1.산군_붙여넣기'!$A$1:$AZ$1001,ROW(),설정!$C$5)&amp;"",""))</f>
        <v/>
      </c>
      <c r="D153" s="5">
        <f>IFERROR(VALUE(SUBSTITUTE(SUBSTITUTE(SUBSTITUTE(IF(설정!$C$6="","",IFERROR(INDEX('1.산군_붙여넣기'!$A$1:$AZ$1001,ROW(),설정!$C$6)&amp;"","")),",",""),"㎡",""),"m2","")),"")</f>
        <v/>
      </c>
      <c r="E153">
        <f>IF(설정!$C$7="","",IFERROR(INDEX('1.산군_붙여넣기'!$A$1:$AZ$1001,ROW(),설정!$C$7)&amp;"",""))</f>
        <v/>
      </c>
      <c r="F153">
        <f>IF(설정!$C$8="","",IFERROR(INDEX('1.산군_붙여넣기'!$A$1:$AZ$1001,ROW(),설정!$C$8)&amp;"",""))</f>
        <v/>
      </c>
      <c r="G153">
        <f>IF(설정!$C$9="","",IFERROR(INDEX('1.산군_붙여넣기'!$A$1:$AZ$1001,ROW(),설정!$C$9)&amp;"",""))</f>
        <v/>
      </c>
      <c r="H153">
        <f>IF(설정!$C$10="","",IFERROR(INDEX('1.산군_붙여넣기'!$A$1:$AZ$1001,ROW(),설정!$C$10)&amp;"",""))</f>
        <v/>
      </c>
      <c r="I153">
        <f>IF(설정!$C$11="","",IFERROR(INDEX('1.산군_붙여넣기'!$A$1:$AZ$1001,ROW(),설정!$C$11)&amp;"",""))</f>
        <v/>
      </c>
      <c r="J153">
        <f>IF(설정!$C$12="","",IFERROR(INDEX('1.산군_붙여넣기'!$A$1:$AZ$1001,ROW(),설정!$C$12)&amp;"",""))</f>
        <v/>
      </c>
      <c r="K153">
        <f>IF(설정!$C$13="","",IFERROR(INDEX('1.산군_붙여넣기'!$A$1:$AZ$1001,ROW(),설정!$C$13)&amp;"",""))</f>
        <v/>
      </c>
      <c r="L153" s="7">
        <f>IF(X153="","",IF(AND(LEN(X153)=8,ISNUMBER(X153*1)),DATE(LEFT(X153,4),MID(X153,5,2),RIGHT(X153,2)),IFERROR(DATEVALUE(SUBSTITUTE(SUBSTITUTE(X153,".","-"),"/","-")),IFERROR(X153*1,""))))</f>
        <v/>
      </c>
      <c r="M153" s="7">
        <f>IF(Y153="","",IF(AND(LEN(Y153)=8,ISNUMBER(Y153*1)),DATE(LEFT(Y153,4),MID(Y153,5,2),RIGHT(Y153,2)),IFERROR(DATEVALUE(SUBSTITUTE(SUBSTITUTE(Y153,".","-"),"/","-")),IFERROR(Y153*1,""))))</f>
        <v/>
      </c>
      <c r="N153">
        <f>IFERROR(LEFT(B153,FIND(" ",B153)-1),B153)</f>
        <v/>
      </c>
      <c r="O153">
        <f>AND(B153&lt;&gt;"",B153&lt;&gt;설정!$B$4,C153&lt;&gt;설정!$B$5)</f>
        <v/>
      </c>
      <c r="P153">
        <f>IF(O153,B153&amp;"|"&amp;C153,"")</f>
        <v/>
      </c>
      <c r="Q153">
        <f>AND(O153,COUNTIF(P154:P$1002,P153)=0)</f>
        <v/>
      </c>
      <c r="R153">
        <f>OR(AND(설정!$A$42&lt;&gt;"",ISNUMBER(SEARCH(설정!$A$42,E153&amp;" "&amp;C153))),AND(설정!$A$43&lt;&gt;"",ISNUMBER(SEARCH(설정!$A$43,E153&amp;" "&amp;C153))),AND(설정!$A$44&lt;&gt;"",ISNUMBER(SEARCH(설정!$A$44,E153&amp;" "&amp;C153))),AND(설정!$A$45&lt;&gt;"",ISNUMBER(SEARCH(설정!$A$45,E153&amp;" "&amp;C153))),AND(설정!$A$46&lt;&gt;"",ISNUMBER(SEARCH(설정!$A$46,E153&amp;" "&amp;C153))),AND(설정!$A$47&lt;&gt;"",ISNUMBER(SEARCH(설정!$A$47,E153&amp;" "&amp;C153))),AND(설정!$A$48&lt;&gt;"",ISNUMBER(SEARCH(설정!$A$48,E153&amp;" "&amp;C153))),AND(설정!$A$49&lt;&gt;"",ISNUMBER(SEARCH(설정!$A$49,E153&amp;" "&amp;C153))),AND(설정!$A$50&lt;&gt;"",ISNUMBER(SEARCH(설정!$A$50,E153&amp;" "&amp;C153))),AND(설정!$A$51&lt;&gt;"",ISNUMBER(SEARCH(설정!$A$51,E153&amp;" "&amp;C153))))</f>
        <v/>
      </c>
      <c r="S153">
        <f>OR(D153="",D153&gt;=설정!$B$19)</f>
        <v/>
      </c>
      <c r="T153">
        <f>AND(Q153,R153,S153)</f>
        <v/>
      </c>
      <c r="U153">
        <f>IF(T153,IF(AND(설정!$A$54&lt;&gt;"",ISNUMBER(SEARCH(설정!$A$54,K153))),설정!$B$54,IF(AND(설정!$A$55&lt;&gt;"",ISNUMBER(SEARCH(설정!$A$55,K153))),설정!$B$55,IF(AND(설정!$A$56&lt;&gt;"",ISNUMBER(SEARCH(설정!$A$56,K153))),설정!$B$56,IF(AND(설정!$A$57&lt;&gt;"",ISNUMBER(SEARCH(설정!$A$57,K153))),설정!$B$57,IF(AND(설정!$A$58&lt;&gt;"",ISNUMBER(SEARCH(설정!$A$58,K153))),설정!$B$58,IF(AND(설정!$A$59&lt;&gt;"",ISNUMBER(SEARCH(설정!$A$59,K153))),설정!$B$59,IF(AND(설정!$A$60&lt;&gt;"",ISNUMBER(SEARCH(설정!$A$60,K153))),설정!$B$60,IF(AND(설정!$A$61&lt;&gt;"",ISNUMBER(SEARCH(설정!$A$61,K153))),설정!$B$61,IF(M153="","설계사","시공사"))))))))),"")</f>
        <v/>
      </c>
      <c r="V153">
        <f>SUBSTITUTE(SUBSTITUTE(SUBSTITUTE(SUBSTITUTE(G153,"(주)",""),"㈜",""),"주식회사","")," ","")</f>
        <v/>
      </c>
      <c r="W153">
        <f>IF(AND(T153,V153&lt;&gt;""),IF(COUNTIFS(V$2:V153,V153,T$2:T153,TRUE)=1,MAX(W$1:W152)+1,""),"")</f>
        <v/>
      </c>
      <c r="X153">
        <f>IF(설정!$C$14="","",IFERROR(INDEX('1.산군_붙여넣기'!$A$1:$AZ$1001,ROW(),설정!$C$14)&amp;"",""))</f>
        <v/>
      </c>
      <c r="Y153">
        <f>IF(설정!$C$15="","",IFERROR(INDEX('1.산군_붙여넣기'!$A$1:$AZ$1001,ROW(),설정!$C$15)&amp;"",""))</f>
        <v/>
      </c>
      <c r="Z153">
        <f>IF(T153,V153&amp;"|"&amp;U153,"")</f>
        <v/>
      </c>
      <c r="AA153">
        <f>IF(NOT(Q153),"",IF(NOT(AND(R153,S153)),"✕",IF(OR(OR(AND(L153&lt;&gt;"",M153&lt;&gt;"",N(M153)-N(L153)&gt;설정!$B$27),AND(L153&lt;&gt;"",M153="",설정!$B$24-N(L153)&gt;설정!$B$27)),AND(D153&lt;&gt;"",D153&lt;설정!$B$26)),"△","★")))</f>
        <v/>
      </c>
      <c r="AB153">
        <f>IF(NOT(T153),"",IF(U153="설계사",설정!$B$31,IF(U153="시공사",IF(OR(M153="",설정!$B$24-N(M153)&lt;=설정!$B$28*30.4),설정!$B$32,설정!$B$33),설정!$B$34))+IF(AA153="★",설정!$B$35,0))</f>
        <v/>
      </c>
      <c r="AC153">
        <f>SUBSTITUTE(SUBSTITUTE(SUBSTITUTE(SUBSTITUTE(H153,"(주)",""),"㈜",""),"주식회사","")," ","")</f>
        <v/>
      </c>
      <c r="AD153">
        <f>IF(AND(T153,AC153&lt;&gt;""),IF(COUNTIFS(AC$2:AC153,AC153,T$2:T153,TRUE)=1,MAX(AD$1:AD152)+1,""),"")</f>
        <v/>
      </c>
    </row>
    <row r="154">
      <c r="A154">
        <f>ROW()</f>
        <v/>
      </c>
      <c r="B154">
        <f>IF(설정!$C$4="","",IFERROR(INDEX('1.산군_붙여넣기'!$A$1:$AZ$1001,ROW(),설정!$C$4)&amp;"",""))</f>
        <v/>
      </c>
      <c r="C154">
        <f>IF(설정!$C$5="","",IFERROR(INDEX('1.산군_붙여넣기'!$A$1:$AZ$1001,ROW(),설정!$C$5)&amp;"",""))</f>
        <v/>
      </c>
      <c r="D154" s="5">
        <f>IFERROR(VALUE(SUBSTITUTE(SUBSTITUTE(SUBSTITUTE(IF(설정!$C$6="","",IFERROR(INDEX('1.산군_붙여넣기'!$A$1:$AZ$1001,ROW(),설정!$C$6)&amp;"","")),",",""),"㎡",""),"m2","")),"")</f>
        <v/>
      </c>
      <c r="E154">
        <f>IF(설정!$C$7="","",IFERROR(INDEX('1.산군_붙여넣기'!$A$1:$AZ$1001,ROW(),설정!$C$7)&amp;"",""))</f>
        <v/>
      </c>
      <c r="F154">
        <f>IF(설정!$C$8="","",IFERROR(INDEX('1.산군_붙여넣기'!$A$1:$AZ$1001,ROW(),설정!$C$8)&amp;"",""))</f>
        <v/>
      </c>
      <c r="G154">
        <f>IF(설정!$C$9="","",IFERROR(INDEX('1.산군_붙여넣기'!$A$1:$AZ$1001,ROW(),설정!$C$9)&amp;"",""))</f>
        <v/>
      </c>
      <c r="H154">
        <f>IF(설정!$C$10="","",IFERROR(INDEX('1.산군_붙여넣기'!$A$1:$AZ$1001,ROW(),설정!$C$10)&amp;"",""))</f>
        <v/>
      </c>
      <c r="I154">
        <f>IF(설정!$C$11="","",IFERROR(INDEX('1.산군_붙여넣기'!$A$1:$AZ$1001,ROW(),설정!$C$11)&amp;"",""))</f>
        <v/>
      </c>
      <c r="J154">
        <f>IF(설정!$C$12="","",IFERROR(INDEX('1.산군_붙여넣기'!$A$1:$AZ$1001,ROW(),설정!$C$12)&amp;"",""))</f>
        <v/>
      </c>
      <c r="K154">
        <f>IF(설정!$C$13="","",IFERROR(INDEX('1.산군_붙여넣기'!$A$1:$AZ$1001,ROW(),설정!$C$13)&amp;"",""))</f>
        <v/>
      </c>
      <c r="L154" s="7">
        <f>IF(X154="","",IF(AND(LEN(X154)=8,ISNUMBER(X154*1)),DATE(LEFT(X154,4),MID(X154,5,2),RIGHT(X154,2)),IFERROR(DATEVALUE(SUBSTITUTE(SUBSTITUTE(X154,".","-"),"/","-")),IFERROR(X154*1,""))))</f>
        <v/>
      </c>
      <c r="M154" s="7">
        <f>IF(Y154="","",IF(AND(LEN(Y154)=8,ISNUMBER(Y154*1)),DATE(LEFT(Y154,4),MID(Y154,5,2),RIGHT(Y154,2)),IFERROR(DATEVALUE(SUBSTITUTE(SUBSTITUTE(Y154,".","-"),"/","-")),IFERROR(Y154*1,""))))</f>
        <v/>
      </c>
      <c r="N154">
        <f>IFERROR(LEFT(B154,FIND(" ",B154)-1),B154)</f>
        <v/>
      </c>
      <c r="O154">
        <f>AND(B154&lt;&gt;"",B154&lt;&gt;설정!$B$4,C154&lt;&gt;설정!$B$5)</f>
        <v/>
      </c>
      <c r="P154">
        <f>IF(O154,B154&amp;"|"&amp;C154,"")</f>
        <v/>
      </c>
      <c r="Q154">
        <f>AND(O154,COUNTIF(P155:P$1002,P154)=0)</f>
        <v/>
      </c>
      <c r="R154">
        <f>OR(AND(설정!$A$42&lt;&gt;"",ISNUMBER(SEARCH(설정!$A$42,E154&amp;" "&amp;C154))),AND(설정!$A$43&lt;&gt;"",ISNUMBER(SEARCH(설정!$A$43,E154&amp;" "&amp;C154))),AND(설정!$A$44&lt;&gt;"",ISNUMBER(SEARCH(설정!$A$44,E154&amp;" "&amp;C154))),AND(설정!$A$45&lt;&gt;"",ISNUMBER(SEARCH(설정!$A$45,E154&amp;" "&amp;C154))),AND(설정!$A$46&lt;&gt;"",ISNUMBER(SEARCH(설정!$A$46,E154&amp;" "&amp;C154))),AND(설정!$A$47&lt;&gt;"",ISNUMBER(SEARCH(설정!$A$47,E154&amp;" "&amp;C154))),AND(설정!$A$48&lt;&gt;"",ISNUMBER(SEARCH(설정!$A$48,E154&amp;" "&amp;C154))),AND(설정!$A$49&lt;&gt;"",ISNUMBER(SEARCH(설정!$A$49,E154&amp;" "&amp;C154))),AND(설정!$A$50&lt;&gt;"",ISNUMBER(SEARCH(설정!$A$50,E154&amp;" "&amp;C154))),AND(설정!$A$51&lt;&gt;"",ISNUMBER(SEARCH(설정!$A$51,E154&amp;" "&amp;C154))))</f>
        <v/>
      </c>
      <c r="S154">
        <f>OR(D154="",D154&gt;=설정!$B$19)</f>
        <v/>
      </c>
      <c r="T154">
        <f>AND(Q154,R154,S154)</f>
        <v/>
      </c>
      <c r="U154">
        <f>IF(T154,IF(AND(설정!$A$54&lt;&gt;"",ISNUMBER(SEARCH(설정!$A$54,K154))),설정!$B$54,IF(AND(설정!$A$55&lt;&gt;"",ISNUMBER(SEARCH(설정!$A$55,K154))),설정!$B$55,IF(AND(설정!$A$56&lt;&gt;"",ISNUMBER(SEARCH(설정!$A$56,K154))),설정!$B$56,IF(AND(설정!$A$57&lt;&gt;"",ISNUMBER(SEARCH(설정!$A$57,K154))),설정!$B$57,IF(AND(설정!$A$58&lt;&gt;"",ISNUMBER(SEARCH(설정!$A$58,K154))),설정!$B$58,IF(AND(설정!$A$59&lt;&gt;"",ISNUMBER(SEARCH(설정!$A$59,K154))),설정!$B$59,IF(AND(설정!$A$60&lt;&gt;"",ISNUMBER(SEARCH(설정!$A$60,K154))),설정!$B$60,IF(AND(설정!$A$61&lt;&gt;"",ISNUMBER(SEARCH(설정!$A$61,K154))),설정!$B$61,IF(M154="","설계사","시공사"))))))))),"")</f>
        <v/>
      </c>
      <c r="V154">
        <f>SUBSTITUTE(SUBSTITUTE(SUBSTITUTE(SUBSTITUTE(G154,"(주)",""),"㈜",""),"주식회사","")," ","")</f>
        <v/>
      </c>
      <c r="W154">
        <f>IF(AND(T154,V154&lt;&gt;""),IF(COUNTIFS(V$2:V154,V154,T$2:T154,TRUE)=1,MAX(W$1:W153)+1,""),"")</f>
        <v/>
      </c>
      <c r="X154">
        <f>IF(설정!$C$14="","",IFERROR(INDEX('1.산군_붙여넣기'!$A$1:$AZ$1001,ROW(),설정!$C$14)&amp;"",""))</f>
        <v/>
      </c>
      <c r="Y154">
        <f>IF(설정!$C$15="","",IFERROR(INDEX('1.산군_붙여넣기'!$A$1:$AZ$1001,ROW(),설정!$C$15)&amp;"",""))</f>
        <v/>
      </c>
      <c r="Z154">
        <f>IF(T154,V154&amp;"|"&amp;U154,"")</f>
        <v/>
      </c>
      <c r="AA154">
        <f>IF(NOT(Q154),"",IF(NOT(AND(R154,S154)),"✕",IF(OR(OR(AND(L154&lt;&gt;"",M154&lt;&gt;"",N(M154)-N(L154)&gt;설정!$B$27),AND(L154&lt;&gt;"",M154="",설정!$B$24-N(L154)&gt;설정!$B$27)),AND(D154&lt;&gt;"",D154&lt;설정!$B$26)),"△","★")))</f>
        <v/>
      </c>
      <c r="AB154">
        <f>IF(NOT(T154),"",IF(U154="설계사",설정!$B$31,IF(U154="시공사",IF(OR(M154="",설정!$B$24-N(M154)&lt;=설정!$B$28*30.4),설정!$B$32,설정!$B$33),설정!$B$34))+IF(AA154="★",설정!$B$35,0))</f>
        <v/>
      </c>
      <c r="AC154">
        <f>SUBSTITUTE(SUBSTITUTE(SUBSTITUTE(SUBSTITUTE(H154,"(주)",""),"㈜",""),"주식회사","")," ","")</f>
        <v/>
      </c>
      <c r="AD154">
        <f>IF(AND(T154,AC154&lt;&gt;""),IF(COUNTIFS(AC$2:AC154,AC154,T$2:T154,TRUE)=1,MAX(AD$1:AD153)+1,""),"")</f>
        <v/>
      </c>
    </row>
    <row r="155">
      <c r="A155">
        <f>ROW()</f>
        <v/>
      </c>
      <c r="B155">
        <f>IF(설정!$C$4="","",IFERROR(INDEX('1.산군_붙여넣기'!$A$1:$AZ$1001,ROW(),설정!$C$4)&amp;"",""))</f>
        <v/>
      </c>
      <c r="C155">
        <f>IF(설정!$C$5="","",IFERROR(INDEX('1.산군_붙여넣기'!$A$1:$AZ$1001,ROW(),설정!$C$5)&amp;"",""))</f>
        <v/>
      </c>
      <c r="D155" s="5">
        <f>IFERROR(VALUE(SUBSTITUTE(SUBSTITUTE(SUBSTITUTE(IF(설정!$C$6="","",IFERROR(INDEX('1.산군_붙여넣기'!$A$1:$AZ$1001,ROW(),설정!$C$6)&amp;"","")),",",""),"㎡",""),"m2","")),"")</f>
        <v/>
      </c>
      <c r="E155">
        <f>IF(설정!$C$7="","",IFERROR(INDEX('1.산군_붙여넣기'!$A$1:$AZ$1001,ROW(),설정!$C$7)&amp;"",""))</f>
        <v/>
      </c>
      <c r="F155">
        <f>IF(설정!$C$8="","",IFERROR(INDEX('1.산군_붙여넣기'!$A$1:$AZ$1001,ROW(),설정!$C$8)&amp;"",""))</f>
        <v/>
      </c>
      <c r="G155">
        <f>IF(설정!$C$9="","",IFERROR(INDEX('1.산군_붙여넣기'!$A$1:$AZ$1001,ROW(),설정!$C$9)&amp;"",""))</f>
        <v/>
      </c>
      <c r="H155">
        <f>IF(설정!$C$10="","",IFERROR(INDEX('1.산군_붙여넣기'!$A$1:$AZ$1001,ROW(),설정!$C$10)&amp;"",""))</f>
        <v/>
      </c>
      <c r="I155">
        <f>IF(설정!$C$11="","",IFERROR(INDEX('1.산군_붙여넣기'!$A$1:$AZ$1001,ROW(),설정!$C$11)&amp;"",""))</f>
        <v/>
      </c>
      <c r="J155">
        <f>IF(설정!$C$12="","",IFERROR(INDEX('1.산군_붙여넣기'!$A$1:$AZ$1001,ROW(),설정!$C$12)&amp;"",""))</f>
        <v/>
      </c>
      <c r="K155">
        <f>IF(설정!$C$13="","",IFERROR(INDEX('1.산군_붙여넣기'!$A$1:$AZ$1001,ROW(),설정!$C$13)&amp;"",""))</f>
        <v/>
      </c>
      <c r="L155" s="7">
        <f>IF(X155="","",IF(AND(LEN(X155)=8,ISNUMBER(X155*1)),DATE(LEFT(X155,4),MID(X155,5,2),RIGHT(X155,2)),IFERROR(DATEVALUE(SUBSTITUTE(SUBSTITUTE(X155,".","-"),"/","-")),IFERROR(X155*1,""))))</f>
        <v/>
      </c>
      <c r="M155" s="7">
        <f>IF(Y155="","",IF(AND(LEN(Y155)=8,ISNUMBER(Y155*1)),DATE(LEFT(Y155,4),MID(Y155,5,2),RIGHT(Y155,2)),IFERROR(DATEVALUE(SUBSTITUTE(SUBSTITUTE(Y155,".","-"),"/","-")),IFERROR(Y155*1,""))))</f>
        <v/>
      </c>
      <c r="N155">
        <f>IFERROR(LEFT(B155,FIND(" ",B155)-1),B155)</f>
        <v/>
      </c>
      <c r="O155">
        <f>AND(B155&lt;&gt;"",B155&lt;&gt;설정!$B$4,C155&lt;&gt;설정!$B$5)</f>
        <v/>
      </c>
      <c r="P155">
        <f>IF(O155,B155&amp;"|"&amp;C155,"")</f>
        <v/>
      </c>
      <c r="Q155">
        <f>AND(O155,COUNTIF(P156:P$1002,P155)=0)</f>
        <v/>
      </c>
      <c r="R155">
        <f>OR(AND(설정!$A$42&lt;&gt;"",ISNUMBER(SEARCH(설정!$A$42,E155&amp;" "&amp;C155))),AND(설정!$A$43&lt;&gt;"",ISNUMBER(SEARCH(설정!$A$43,E155&amp;" "&amp;C155))),AND(설정!$A$44&lt;&gt;"",ISNUMBER(SEARCH(설정!$A$44,E155&amp;" "&amp;C155))),AND(설정!$A$45&lt;&gt;"",ISNUMBER(SEARCH(설정!$A$45,E155&amp;" "&amp;C155))),AND(설정!$A$46&lt;&gt;"",ISNUMBER(SEARCH(설정!$A$46,E155&amp;" "&amp;C155))),AND(설정!$A$47&lt;&gt;"",ISNUMBER(SEARCH(설정!$A$47,E155&amp;" "&amp;C155))),AND(설정!$A$48&lt;&gt;"",ISNUMBER(SEARCH(설정!$A$48,E155&amp;" "&amp;C155))),AND(설정!$A$49&lt;&gt;"",ISNUMBER(SEARCH(설정!$A$49,E155&amp;" "&amp;C155))),AND(설정!$A$50&lt;&gt;"",ISNUMBER(SEARCH(설정!$A$50,E155&amp;" "&amp;C155))),AND(설정!$A$51&lt;&gt;"",ISNUMBER(SEARCH(설정!$A$51,E155&amp;" "&amp;C155))))</f>
        <v/>
      </c>
      <c r="S155">
        <f>OR(D155="",D155&gt;=설정!$B$19)</f>
        <v/>
      </c>
      <c r="T155">
        <f>AND(Q155,R155,S155)</f>
        <v/>
      </c>
      <c r="U155">
        <f>IF(T155,IF(AND(설정!$A$54&lt;&gt;"",ISNUMBER(SEARCH(설정!$A$54,K155))),설정!$B$54,IF(AND(설정!$A$55&lt;&gt;"",ISNUMBER(SEARCH(설정!$A$55,K155))),설정!$B$55,IF(AND(설정!$A$56&lt;&gt;"",ISNUMBER(SEARCH(설정!$A$56,K155))),설정!$B$56,IF(AND(설정!$A$57&lt;&gt;"",ISNUMBER(SEARCH(설정!$A$57,K155))),설정!$B$57,IF(AND(설정!$A$58&lt;&gt;"",ISNUMBER(SEARCH(설정!$A$58,K155))),설정!$B$58,IF(AND(설정!$A$59&lt;&gt;"",ISNUMBER(SEARCH(설정!$A$59,K155))),설정!$B$59,IF(AND(설정!$A$60&lt;&gt;"",ISNUMBER(SEARCH(설정!$A$60,K155))),설정!$B$60,IF(AND(설정!$A$61&lt;&gt;"",ISNUMBER(SEARCH(설정!$A$61,K155))),설정!$B$61,IF(M155="","설계사","시공사"))))))))),"")</f>
        <v/>
      </c>
      <c r="V155">
        <f>SUBSTITUTE(SUBSTITUTE(SUBSTITUTE(SUBSTITUTE(G155,"(주)",""),"㈜",""),"주식회사","")," ","")</f>
        <v/>
      </c>
      <c r="W155">
        <f>IF(AND(T155,V155&lt;&gt;""),IF(COUNTIFS(V$2:V155,V155,T$2:T155,TRUE)=1,MAX(W$1:W154)+1,""),"")</f>
        <v/>
      </c>
      <c r="X155">
        <f>IF(설정!$C$14="","",IFERROR(INDEX('1.산군_붙여넣기'!$A$1:$AZ$1001,ROW(),설정!$C$14)&amp;"",""))</f>
        <v/>
      </c>
      <c r="Y155">
        <f>IF(설정!$C$15="","",IFERROR(INDEX('1.산군_붙여넣기'!$A$1:$AZ$1001,ROW(),설정!$C$15)&amp;"",""))</f>
        <v/>
      </c>
      <c r="Z155">
        <f>IF(T155,V155&amp;"|"&amp;U155,"")</f>
        <v/>
      </c>
      <c r="AA155">
        <f>IF(NOT(Q155),"",IF(NOT(AND(R155,S155)),"✕",IF(OR(OR(AND(L155&lt;&gt;"",M155&lt;&gt;"",N(M155)-N(L155)&gt;설정!$B$27),AND(L155&lt;&gt;"",M155="",설정!$B$24-N(L155)&gt;설정!$B$27)),AND(D155&lt;&gt;"",D155&lt;설정!$B$26)),"△","★")))</f>
        <v/>
      </c>
      <c r="AB155">
        <f>IF(NOT(T155),"",IF(U155="설계사",설정!$B$31,IF(U155="시공사",IF(OR(M155="",설정!$B$24-N(M155)&lt;=설정!$B$28*30.4),설정!$B$32,설정!$B$33),설정!$B$34))+IF(AA155="★",설정!$B$35,0))</f>
        <v/>
      </c>
      <c r="AC155">
        <f>SUBSTITUTE(SUBSTITUTE(SUBSTITUTE(SUBSTITUTE(H155,"(주)",""),"㈜",""),"주식회사","")," ","")</f>
        <v/>
      </c>
      <c r="AD155">
        <f>IF(AND(T155,AC155&lt;&gt;""),IF(COUNTIFS(AC$2:AC155,AC155,T$2:T155,TRUE)=1,MAX(AD$1:AD154)+1,""),"")</f>
        <v/>
      </c>
    </row>
    <row r="156">
      <c r="A156">
        <f>ROW()</f>
        <v/>
      </c>
      <c r="B156">
        <f>IF(설정!$C$4="","",IFERROR(INDEX('1.산군_붙여넣기'!$A$1:$AZ$1001,ROW(),설정!$C$4)&amp;"",""))</f>
        <v/>
      </c>
      <c r="C156">
        <f>IF(설정!$C$5="","",IFERROR(INDEX('1.산군_붙여넣기'!$A$1:$AZ$1001,ROW(),설정!$C$5)&amp;"",""))</f>
        <v/>
      </c>
      <c r="D156" s="5">
        <f>IFERROR(VALUE(SUBSTITUTE(SUBSTITUTE(SUBSTITUTE(IF(설정!$C$6="","",IFERROR(INDEX('1.산군_붙여넣기'!$A$1:$AZ$1001,ROW(),설정!$C$6)&amp;"","")),",",""),"㎡",""),"m2","")),"")</f>
        <v/>
      </c>
      <c r="E156">
        <f>IF(설정!$C$7="","",IFERROR(INDEX('1.산군_붙여넣기'!$A$1:$AZ$1001,ROW(),설정!$C$7)&amp;"",""))</f>
        <v/>
      </c>
      <c r="F156">
        <f>IF(설정!$C$8="","",IFERROR(INDEX('1.산군_붙여넣기'!$A$1:$AZ$1001,ROW(),설정!$C$8)&amp;"",""))</f>
        <v/>
      </c>
      <c r="G156">
        <f>IF(설정!$C$9="","",IFERROR(INDEX('1.산군_붙여넣기'!$A$1:$AZ$1001,ROW(),설정!$C$9)&amp;"",""))</f>
        <v/>
      </c>
      <c r="H156">
        <f>IF(설정!$C$10="","",IFERROR(INDEX('1.산군_붙여넣기'!$A$1:$AZ$1001,ROW(),설정!$C$10)&amp;"",""))</f>
        <v/>
      </c>
      <c r="I156">
        <f>IF(설정!$C$11="","",IFERROR(INDEX('1.산군_붙여넣기'!$A$1:$AZ$1001,ROW(),설정!$C$11)&amp;"",""))</f>
        <v/>
      </c>
      <c r="J156">
        <f>IF(설정!$C$12="","",IFERROR(INDEX('1.산군_붙여넣기'!$A$1:$AZ$1001,ROW(),설정!$C$12)&amp;"",""))</f>
        <v/>
      </c>
      <c r="K156">
        <f>IF(설정!$C$13="","",IFERROR(INDEX('1.산군_붙여넣기'!$A$1:$AZ$1001,ROW(),설정!$C$13)&amp;"",""))</f>
        <v/>
      </c>
      <c r="L156" s="7">
        <f>IF(X156="","",IF(AND(LEN(X156)=8,ISNUMBER(X156*1)),DATE(LEFT(X156,4),MID(X156,5,2),RIGHT(X156,2)),IFERROR(DATEVALUE(SUBSTITUTE(SUBSTITUTE(X156,".","-"),"/","-")),IFERROR(X156*1,""))))</f>
        <v/>
      </c>
      <c r="M156" s="7">
        <f>IF(Y156="","",IF(AND(LEN(Y156)=8,ISNUMBER(Y156*1)),DATE(LEFT(Y156,4),MID(Y156,5,2),RIGHT(Y156,2)),IFERROR(DATEVALUE(SUBSTITUTE(SUBSTITUTE(Y156,".","-"),"/","-")),IFERROR(Y156*1,""))))</f>
        <v/>
      </c>
      <c r="N156">
        <f>IFERROR(LEFT(B156,FIND(" ",B156)-1),B156)</f>
        <v/>
      </c>
      <c r="O156">
        <f>AND(B156&lt;&gt;"",B156&lt;&gt;설정!$B$4,C156&lt;&gt;설정!$B$5)</f>
        <v/>
      </c>
      <c r="P156">
        <f>IF(O156,B156&amp;"|"&amp;C156,"")</f>
        <v/>
      </c>
      <c r="Q156">
        <f>AND(O156,COUNTIF(P157:P$1002,P156)=0)</f>
        <v/>
      </c>
      <c r="R156">
        <f>OR(AND(설정!$A$42&lt;&gt;"",ISNUMBER(SEARCH(설정!$A$42,E156&amp;" "&amp;C156))),AND(설정!$A$43&lt;&gt;"",ISNUMBER(SEARCH(설정!$A$43,E156&amp;" "&amp;C156))),AND(설정!$A$44&lt;&gt;"",ISNUMBER(SEARCH(설정!$A$44,E156&amp;" "&amp;C156))),AND(설정!$A$45&lt;&gt;"",ISNUMBER(SEARCH(설정!$A$45,E156&amp;" "&amp;C156))),AND(설정!$A$46&lt;&gt;"",ISNUMBER(SEARCH(설정!$A$46,E156&amp;" "&amp;C156))),AND(설정!$A$47&lt;&gt;"",ISNUMBER(SEARCH(설정!$A$47,E156&amp;" "&amp;C156))),AND(설정!$A$48&lt;&gt;"",ISNUMBER(SEARCH(설정!$A$48,E156&amp;" "&amp;C156))),AND(설정!$A$49&lt;&gt;"",ISNUMBER(SEARCH(설정!$A$49,E156&amp;" "&amp;C156))),AND(설정!$A$50&lt;&gt;"",ISNUMBER(SEARCH(설정!$A$50,E156&amp;" "&amp;C156))),AND(설정!$A$51&lt;&gt;"",ISNUMBER(SEARCH(설정!$A$51,E156&amp;" "&amp;C156))))</f>
        <v/>
      </c>
      <c r="S156">
        <f>OR(D156="",D156&gt;=설정!$B$19)</f>
        <v/>
      </c>
      <c r="T156">
        <f>AND(Q156,R156,S156)</f>
        <v/>
      </c>
      <c r="U156">
        <f>IF(T156,IF(AND(설정!$A$54&lt;&gt;"",ISNUMBER(SEARCH(설정!$A$54,K156))),설정!$B$54,IF(AND(설정!$A$55&lt;&gt;"",ISNUMBER(SEARCH(설정!$A$55,K156))),설정!$B$55,IF(AND(설정!$A$56&lt;&gt;"",ISNUMBER(SEARCH(설정!$A$56,K156))),설정!$B$56,IF(AND(설정!$A$57&lt;&gt;"",ISNUMBER(SEARCH(설정!$A$57,K156))),설정!$B$57,IF(AND(설정!$A$58&lt;&gt;"",ISNUMBER(SEARCH(설정!$A$58,K156))),설정!$B$58,IF(AND(설정!$A$59&lt;&gt;"",ISNUMBER(SEARCH(설정!$A$59,K156))),설정!$B$59,IF(AND(설정!$A$60&lt;&gt;"",ISNUMBER(SEARCH(설정!$A$60,K156))),설정!$B$60,IF(AND(설정!$A$61&lt;&gt;"",ISNUMBER(SEARCH(설정!$A$61,K156))),설정!$B$61,IF(M156="","설계사","시공사"))))))))),"")</f>
        <v/>
      </c>
      <c r="V156">
        <f>SUBSTITUTE(SUBSTITUTE(SUBSTITUTE(SUBSTITUTE(G156,"(주)",""),"㈜",""),"주식회사","")," ","")</f>
        <v/>
      </c>
      <c r="W156">
        <f>IF(AND(T156,V156&lt;&gt;""),IF(COUNTIFS(V$2:V156,V156,T$2:T156,TRUE)=1,MAX(W$1:W155)+1,""),"")</f>
        <v/>
      </c>
      <c r="X156">
        <f>IF(설정!$C$14="","",IFERROR(INDEX('1.산군_붙여넣기'!$A$1:$AZ$1001,ROW(),설정!$C$14)&amp;"",""))</f>
        <v/>
      </c>
      <c r="Y156">
        <f>IF(설정!$C$15="","",IFERROR(INDEX('1.산군_붙여넣기'!$A$1:$AZ$1001,ROW(),설정!$C$15)&amp;"",""))</f>
        <v/>
      </c>
      <c r="Z156">
        <f>IF(T156,V156&amp;"|"&amp;U156,"")</f>
        <v/>
      </c>
      <c r="AA156">
        <f>IF(NOT(Q156),"",IF(NOT(AND(R156,S156)),"✕",IF(OR(OR(AND(L156&lt;&gt;"",M156&lt;&gt;"",N(M156)-N(L156)&gt;설정!$B$27),AND(L156&lt;&gt;"",M156="",설정!$B$24-N(L156)&gt;설정!$B$27)),AND(D156&lt;&gt;"",D156&lt;설정!$B$26)),"△","★")))</f>
        <v/>
      </c>
      <c r="AB156">
        <f>IF(NOT(T156),"",IF(U156="설계사",설정!$B$31,IF(U156="시공사",IF(OR(M156="",설정!$B$24-N(M156)&lt;=설정!$B$28*30.4),설정!$B$32,설정!$B$33),설정!$B$34))+IF(AA156="★",설정!$B$35,0))</f>
        <v/>
      </c>
      <c r="AC156">
        <f>SUBSTITUTE(SUBSTITUTE(SUBSTITUTE(SUBSTITUTE(H156,"(주)",""),"㈜",""),"주식회사","")," ","")</f>
        <v/>
      </c>
      <c r="AD156">
        <f>IF(AND(T156,AC156&lt;&gt;""),IF(COUNTIFS(AC$2:AC156,AC156,T$2:T156,TRUE)=1,MAX(AD$1:AD155)+1,""),"")</f>
        <v/>
      </c>
    </row>
    <row r="157">
      <c r="A157">
        <f>ROW()</f>
        <v/>
      </c>
      <c r="B157">
        <f>IF(설정!$C$4="","",IFERROR(INDEX('1.산군_붙여넣기'!$A$1:$AZ$1001,ROW(),설정!$C$4)&amp;"",""))</f>
        <v/>
      </c>
      <c r="C157">
        <f>IF(설정!$C$5="","",IFERROR(INDEX('1.산군_붙여넣기'!$A$1:$AZ$1001,ROW(),설정!$C$5)&amp;"",""))</f>
        <v/>
      </c>
      <c r="D157" s="5">
        <f>IFERROR(VALUE(SUBSTITUTE(SUBSTITUTE(SUBSTITUTE(IF(설정!$C$6="","",IFERROR(INDEX('1.산군_붙여넣기'!$A$1:$AZ$1001,ROW(),설정!$C$6)&amp;"","")),",",""),"㎡",""),"m2","")),"")</f>
        <v/>
      </c>
      <c r="E157">
        <f>IF(설정!$C$7="","",IFERROR(INDEX('1.산군_붙여넣기'!$A$1:$AZ$1001,ROW(),설정!$C$7)&amp;"",""))</f>
        <v/>
      </c>
      <c r="F157">
        <f>IF(설정!$C$8="","",IFERROR(INDEX('1.산군_붙여넣기'!$A$1:$AZ$1001,ROW(),설정!$C$8)&amp;"",""))</f>
        <v/>
      </c>
      <c r="G157">
        <f>IF(설정!$C$9="","",IFERROR(INDEX('1.산군_붙여넣기'!$A$1:$AZ$1001,ROW(),설정!$C$9)&amp;"",""))</f>
        <v/>
      </c>
      <c r="H157">
        <f>IF(설정!$C$10="","",IFERROR(INDEX('1.산군_붙여넣기'!$A$1:$AZ$1001,ROW(),설정!$C$10)&amp;"",""))</f>
        <v/>
      </c>
      <c r="I157">
        <f>IF(설정!$C$11="","",IFERROR(INDEX('1.산군_붙여넣기'!$A$1:$AZ$1001,ROW(),설정!$C$11)&amp;"",""))</f>
        <v/>
      </c>
      <c r="J157">
        <f>IF(설정!$C$12="","",IFERROR(INDEX('1.산군_붙여넣기'!$A$1:$AZ$1001,ROW(),설정!$C$12)&amp;"",""))</f>
        <v/>
      </c>
      <c r="K157">
        <f>IF(설정!$C$13="","",IFERROR(INDEX('1.산군_붙여넣기'!$A$1:$AZ$1001,ROW(),설정!$C$13)&amp;"",""))</f>
        <v/>
      </c>
      <c r="L157" s="7">
        <f>IF(X157="","",IF(AND(LEN(X157)=8,ISNUMBER(X157*1)),DATE(LEFT(X157,4),MID(X157,5,2),RIGHT(X157,2)),IFERROR(DATEVALUE(SUBSTITUTE(SUBSTITUTE(X157,".","-"),"/","-")),IFERROR(X157*1,""))))</f>
        <v/>
      </c>
      <c r="M157" s="7">
        <f>IF(Y157="","",IF(AND(LEN(Y157)=8,ISNUMBER(Y157*1)),DATE(LEFT(Y157,4),MID(Y157,5,2),RIGHT(Y157,2)),IFERROR(DATEVALUE(SUBSTITUTE(SUBSTITUTE(Y157,".","-"),"/","-")),IFERROR(Y157*1,""))))</f>
        <v/>
      </c>
      <c r="N157">
        <f>IFERROR(LEFT(B157,FIND(" ",B157)-1),B157)</f>
        <v/>
      </c>
      <c r="O157">
        <f>AND(B157&lt;&gt;"",B157&lt;&gt;설정!$B$4,C157&lt;&gt;설정!$B$5)</f>
        <v/>
      </c>
      <c r="P157">
        <f>IF(O157,B157&amp;"|"&amp;C157,"")</f>
        <v/>
      </c>
      <c r="Q157">
        <f>AND(O157,COUNTIF(P158:P$1002,P157)=0)</f>
        <v/>
      </c>
      <c r="R157">
        <f>OR(AND(설정!$A$42&lt;&gt;"",ISNUMBER(SEARCH(설정!$A$42,E157&amp;" "&amp;C157))),AND(설정!$A$43&lt;&gt;"",ISNUMBER(SEARCH(설정!$A$43,E157&amp;" "&amp;C157))),AND(설정!$A$44&lt;&gt;"",ISNUMBER(SEARCH(설정!$A$44,E157&amp;" "&amp;C157))),AND(설정!$A$45&lt;&gt;"",ISNUMBER(SEARCH(설정!$A$45,E157&amp;" "&amp;C157))),AND(설정!$A$46&lt;&gt;"",ISNUMBER(SEARCH(설정!$A$46,E157&amp;" "&amp;C157))),AND(설정!$A$47&lt;&gt;"",ISNUMBER(SEARCH(설정!$A$47,E157&amp;" "&amp;C157))),AND(설정!$A$48&lt;&gt;"",ISNUMBER(SEARCH(설정!$A$48,E157&amp;" "&amp;C157))),AND(설정!$A$49&lt;&gt;"",ISNUMBER(SEARCH(설정!$A$49,E157&amp;" "&amp;C157))),AND(설정!$A$50&lt;&gt;"",ISNUMBER(SEARCH(설정!$A$50,E157&amp;" "&amp;C157))),AND(설정!$A$51&lt;&gt;"",ISNUMBER(SEARCH(설정!$A$51,E157&amp;" "&amp;C157))))</f>
        <v/>
      </c>
      <c r="S157">
        <f>OR(D157="",D157&gt;=설정!$B$19)</f>
        <v/>
      </c>
      <c r="T157">
        <f>AND(Q157,R157,S157)</f>
        <v/>
      </c>
      <c r="U157">
        <f>IF(T157,IF(AND(설정!$A$54&lt;&gt;"",ISNUMBER(SEARCH(설정!$A$54,K157))),설정!$B$54,IF(AND(설정!$A$55&lt;&gt;"",ISNUMBER(SEARCH(설정!$A$55,K157))),설정!$B$55,IF(AND(설정!$A$56&lt;&gt;"",ISNUMBER(SEARCH(설정!$A$56,K157))),설정!$B$56,IF(AND(설정!$A$57&lt;&gt;"",ISNUMBER(SEARCH(설정!$A$57,K157))),설정!$B$57,IF(AND(설정!$A$58&lt;&gt;"",ISNUMBER(SEARCH(설정!$A$58,K157))),설정!$B$58,IF(AND(설정!$A$59&lt;&gt;"",ISNUMBER(SEARCH(설정!$A$59,K157))),설정!$B$59,IF(AND(설정!$A$60&lt;&gt;"",ISNUMBER(SEARCH(설정!$A$60,K157))),설정!$B$60,IF(AND(설정!$A$61&lt;&gt;"",ISNUMBER(SEARCH(설정!$A$61,K157))),설정!$B$61,IF(M157="","설계사","시공사"))))))))),"")</f>
        <v/>
      </c>
      <c r="V157">
        <f>SUBSTITUTE(SUBSTITUTE(SUBSTITUTE(SUBSTITUTE(G157,"(주)",""),"㈜",""),"주식회사","")," ","")</f>
        <v/>
      </c>
      <c r="W157">
        <f>IF(AND(T157,V157&lt;&gt;""),IF(COUNTIFS(V$2:V157,V157,T$2:T157,TRUE)=1,MAX(W$1:W156)+1,""),"")</f>
        <v/>
      </c>
      <c r="X157">
        <f>IF(설정!$C$14="","",IFERROR(INDEX('1.산군_붙여넣기'!$A$1:$AZ$1001,ROW(),설정!$C$14)&amp;"",""))</f>
        <v/>
      </c>
      <c r="Y157">
        <f>IF(설정!$C$15="","",IFERROR(INDEX('1.산군_붙여넣기'!$A$1:$AZ$1001,ROW(),설정!$C$15)&amp;"",""))</f>
        <v/>
      </c>
      <c r="Z157">
        <f>IF(T157,V157&amp;"|"&amp;U157,"")</f>
        <v/>
      </c>
      <c r="AA157">
        <f>IF(NOT(Q157),"",IF(NOT(AND(R157,S157)),"✕",IF(OR(OR(AND(L157&lt;&gt;"",M157&lt;&gt;"",N(M157)-N(L157)&gt;설정!$B$27),AND(L157&lt;&gt;"",M157="",설정!$B$24-N(L157)&gt;설정!$B$27)),AND(D157&lt;&gt;"",D157&lt;설정!$B$26)),"△","★")))</f>
        <v/>
      </c>
      <c r="AB157">
        <f>IF(NOT(T157),"",IF(U157="설계사",설정!$B$31,IF(U157="시공사",IF(OR(M157="",설정!$B$24-N(M157)&lt;=설정!$B$28*30.4),설정!$B$32,설정!$B$33),설정!$B$34))+IF(AA157="★",설정!$B$35,0))</f>
        <v/>
      </c>
      <c r="AC157">
        <f>SUBSTITUTE(SUBSTITUTE(SUBSTITUTE(SUBSTITUTE(H157,"(주)",""),"㈜",""),"주식회사","")," ","")</f>
        <v/>
      </c>
      <c r="AD157">
        <f>IF(AND(T157,AC157&lt;&gt;""),IF(COUNTIFS(AC$2:AC157,AC157,T$2:T157,TRUE)=1,MAX(AD$1:AD156)+1,""),"")</f>
        <v/>
      </c>
    </row>
    <row r="158">
      <c r="A158">
        <f>ROW()</f>
        <v/>
      </c>
      <c r="B158">
        <f>IF(설정!$C$4="","",IFERROR(INDEX('1.산군_붙여넣기'!$A$1:$AZ$1001,ROW(),설정!$C$4)&amp;"",""))</f>
        <v/>
      </c>
      <c r="C158">
        <f>IF(설정!$C$5="","",IFERROR(INDEX('1.산군_붙여넣기'!$A$1:$AZ$1001,ROW(),설정!$C$5)&amp;"",""))</f>
        <v/>
      </c>
      <c r="D158" s="5">
        <f>IFERROR(VALUE(SUBSTITUTE(SUBSTITUTE(SUBSTITUTE(IF(설정!$C$6="","",IFERROR(INDEX('1.산군_붙여넣기'!$A$1:$AZ$1001,ROW(),설정!$C$6)&amp;"","")),",",""),"㎡",""),"m2","")),"")</f>
        <v/>
      </c>
      <c r="E158">
        <f>IF(설정!$C$7="","",IFERROR(INDEX('1.산군_붙여넣기'!$A$1:$AZ$1001,ROW(),설정!$C$7)&amp;"",""))</f>
        <v/>
      </c>
      <c r="F158">
        <f>IF(설정!$C$8="","",IFERROR(INDEX('1.산군_붙여넣기'!$A$1:$AZ$1001,ROW(),설정!$C$8)&amp;"",""))</f>
        <v/>
      </c>
      <c r="G158">
        <f>IF(설정!$C$9="","",IFERROR(INDEX('1.산군_붙여넣기'!$A$1:$AZ$1001,ROW(),설정!$C$9)&amp;"",""))</f>
        <v/>
      </c>
      <c r="H158">
        <f>IF(설정!$C$10="","",IFERROR(INDEX('1.산군_붙여넣기'!$A$1:$AZ$1001,ROW(),설정!$C$10)&amp;"",""))</f>
        <v/>
      </c>
      <c r="I158">
        <f>IF(설정!$C$11="","",IFERROR(INDEX('1.산군_붙여넣기'!$A$1:$AZ$1001,ROW(),설정!$C$11)&amp;"",""))</f>
        <v/>
      </c>
      <c r="J158">
        <f>IF(설정!$C$12="","",IFERROR(INDEX('1.산군_붙여넣기'!$A$1:$AZ$1001,ROW(),설정!$C$12)&amp;"",""))</f>
        <v/>
      </c>
      <c r="K158">
        <f>IF(설정!$C$13="","",IFERROR(INDEX('1.산군_붙여넣기'!$A$1:$AZ$1001,ROW(),설정!$C$13)&amp;"",""))</f>
        <v/>
      </c>
      <c r="L158" s="7">
        <f>IF(X158="","",IF(AND(LEN(X158)=8,ISNUMBER(X158*1)),DATE(LEFT(X158,4),MID(X158,5,2),RIGHT(X158,2)),IFERROR(DATEVALUE(SUBSTITUTE(SUBSTITUTE(X158,".","-"),"/","-")),IFERROR(X158*1,""))))</f>
        <v/>
      </c>
      <c r="M158" s="7">
        <f>IF(Y158="","",IF(AND(LEN(Y158)=8,ISNUMBER(Y158*1)),DATE(LEFT(Y158,4),MID(Y158,5,2),RIGHT(Y158,2)),IFERROR(DATEVALUE(SUBSTITUTE(SUBSTITUTE(Y158,".","-"),"/","-")),IFERROR(Y158*1,""))))</f>
        <v/>
      </c>
      <c r="N158">
        <f>IFERROR(LEFT(B158,FIND(" ",B158)-1),B158)</f>
        <v/>
      </c>
      <c r="O158">
        <f>AND(B158&lt;&gt;"",B158&lt;&gt;설정!$B$4,C158&lt;&gt;설정!$B$5)</f>
        <v/>
      </c>
      <c r="P158">
        <f>IF(O158,B158&amp;"|"&amp;C158,"")</f>
        <v/>
      </c>
      <c r="Q158">
        <f>AND(O158,COUNTIF(P159:P$1002,P158)=0)</f>
        <v/>
      </c>
      <c r="R158">
        <f>OR(AND(설정!$A$42&lt;&gt;"",ISNUMBER(SEARCH(설정!$A$42,E158&amp;" "&amp;C158))),AND(설정!$A$43&lt;&gt;"",ISNUMBER(SEARCH(설정!$A$43,E158&amp;" "&amp;C158))),AND(설정!$A$44&lt;&gt;"",ISNUMBER(SEARCH(설정!$A$44,E158&amp;" "&amp;C158))),AND(설정!$A$45&lt;&gt;"",ISNUMBER(SEARCH(설정!$A$45,E158&amp;" "&amp;C158))),AND(설정!$A$46&lt;&gt;"",ISNUMBER(SEARCH(설정!$A$46,E158&amp;" "&amp;C158))),AND(설정!$A$47&lt;&gt;"",ISNUMBER(SEARCH(설정!$A$47,E158&amp;" "&amp;C158))),AND(설정!$A$48&lt;&gt;"",ISNUMBER(SEARCH(설정!$A$48,E158&amp;" "&amp;C158))),AND(설정!$A$49&lt;&gt;"",ISNUMBER(SEARCH(설정!$A$49,E158&amp;" "&amp;C158))),AND(설정!$A$50&lt;&gt;"",ISNUMBER(SEARCH(설정!$A$50,E158&amp;" "&amp;C158))),AND(설정!$A$51&lt;&gt;"",ISNUMBER(SEARCH(설정!$A$51,E158&amp;" "&amp;C158))))</f>
        <v/>
      </c>
      <c r="S158">
        <f>OR(D158="",D158&gt;=설정!$B$19)</f>
        <v/>
      </c>
      <c r="T158">
        <f>AND(Q158,R158,S158)</f>
        <v/>
      </c>
      <c r="U158">
        <f>IF(T158,IF(AND(설정!$A$54&lt;&gt;"",ISNUMBER(SEARCH(설정!$A$54,K158))),설정!$B$54,IF(AND(설정!$A$55&lt;&gt;"",ISNUMBER(SEARCH(설정!$A$55,K158))),설정!$B$55,IF(AND(설정!$A$56&lt;&gt;"",ISNUMBER(SEARCH(설정!$A$56,K158))),설정!$B$56,IF(AND(설정!$A$57&lt;&gt;"",ISNUMBER(SEARCH(설정!$A$57,K158))),설정!$B$57,IF(AND(설정!$A$58&lt;&gt;"",ISNUMBER(SEARCH(설정!$A$58,K158))),설정!$B$58,IF(AND(설정!$A$59&lt;&gt;"",ISNUMBER(SEARCH(설정!$A$59,K158))),설정!$B$59,IF(AND(설정!$A$60&lt;&gt;"",ISNUMBER(SEARCH(설정!$A$60,K158))),설정!$B$60,IF(AND(설정!$A$61&lt;&gt;"",ISNUMBER(SEARCH(설정!$A$61,K158))),설정!$B$61,IF(M158="","설계사","시공사"))))))))),"")</f>
        <v/>
      </c>
      <c r="V158">
        <f>SUBSTITUTE(SUBSTITUTE(SUBSTITUTE(SUBSTITUTE(G158,"(주)",""),"㈜",""),"주식회사","")," ","")</f>
        <v/>
      </c>
      <c r="W158">
        <f>IF(AND(T158,V158&lt;&gt;""),IF(COUNTIFS(V$2:V158,V158,T$2:T158,TRUE)=1,MAX(W$1:W157)+1,""),"")</f>
        <v/>
      </c>
      <c r="X158">
        <f>IF(설정!$C$14="","",IFERROR(INDEX('1.산군_붙여넣기'!$A$1:$AZ$1001,ROW(),설정!$C$14)&amp;"",""))</f>
        <v/>
      </c>
      <c r="Y158">
        <f>IF(설정!$C$15="","",IFERROR(INDEX('1.산군_붙여넣기'!$A$1:$AZ$1001,ROW(),설정!$C$15)&amp;"",""))</f>
        <v/>
      </c>
      <c r="Z158">
        <f>IF(T158,V158&amp;"|"&amp;U158,"")</f>
        <v/>
      </c>
      <c r="AA158">
        <f>IF(NOT(Q158),"",IF(NOT(AND(R158,S158)),"✕",IF(OR(OR(AND(L158&lt;&gt;"",M158&lt;&gt;"",N(M158)-N(L158)&gt;설정!$B$27),AND(L158&lt;&gt;"",M158="",설정!$B$24-N(L158)&gt;설정!$B$27)),AND(D158&lt;&gt;"",D158&lt;설정!$B$26)),"△","★")))</f>
        <v/>
      </c>
      <c r="AB158">
        <f>IF(NOT(T158),"",IF(U158="설계사",설정!$B$31,IF(U158="시공사",IF(OR(M158="",설정!$B$24-N(M158)&lt;=설정!$B$28*30.4),설정!$B$32,설정!$B$33),설정!$B$34))+IF(AA158="★",설정!$B$35,0))</f>
        <v/>
      </c>
      <c r="AC158">
        <f>SUBSTITUTE(SUBSTITUTE(SUBSTITUTE(SUBSTITUTE(H158,"(주)",""),"㈜",""),"주식회사","")," ","")</f>
        <v/>
      </c>
      <c r="AD158">
        <f>IF(AND(T158,AC158&lt;&gt;""),IF(COUNTIFS(AC$2:AC158,AC158,T$2:T158,TRUE)=1,MAX(AD$1:AD157)+1,""),"")</f>
        <v/>
      </c>
    </row>
    <row r="159">
      <c r="A159">
        <f>ROW()</f>
        <v/>
      </c>
      <c r="B159">
        <f>IF(설정!$C$4="","",IFERROR(INDEX('1.산군_붙여넣기'!$A$1:$AZ$1001,ROW(),설정!$C$4)&amp;"",""))</f>
        <v/>
      </c>
      <c r="C159">
        <f>IF(설정!$C$5="","",IFERROR(INDEX('1.산군_붙여넣기'!$A$1:$AZ$1001,ROW(),설정!$C$5)&amp;"",""))</f>
        <v/>
      </c>
      <c r="D159" s="5">
        <f>IFERROR(VALUE(SUBSTITUTE(SUBSTITUTE(SUBSTITUTE(IF(설정!$C$6="","",IFERROR(INDEX('1.산군_붙여넣기'!$A$1:$AZ$1001,ROW(),설정!$C$6)&amp;"","")),",",""),"㎡",""),"m2","")),"")</f>
        <v/>
      </c>
      <c r="E159">
        <f>IF(설정!$C$7="","",IFERROR(INDEX('1.산군_붙여넣기'!$A$1:$AZ$1001,ROW(),설정!$C$7)&amp;"",""))</f>
        <v/>
      </c>
      <c r="F159">
        <f>IF(설정!$C$8="","",IFERROR(INDEX('1.산군_붙여넣기'!$A$1:$AZ$1001,ROW(),설정!$C$8)&amp;"",""))</f>
        <v/>
      </c>
      <c r="G159">
        <f>IF(설정!$C$9="","",IFERROR(INDEX('1.산군_붙여넣기'!$A$1:$AZ$1001,ROW(),설정!$C$9)&amp;"",""))</f>
        <v/>
      </c>
      <c r="H159">
        <f>IF(설정!$C$10="","",IFERROR(INDEX('1.산군_붙여넣기'!$A$1:$AZ$1001,ROW(),설정!$C$10)&amp;"",""))</f>
        <v/>
      </c>
      <c r="I159">
        <f>IF(설정!$C$11="","",IFERROR(INDEX('1.산군_붙여넣기'!$A$1:$AZ$1001,ROW(),설정!$C$11)&amp;"",""))</f>
        <v/>
      </c>
      <c r="J159">
        <f>IF(설정!$C$12="","",IFERROR(INDEX('1.산군_붙여넣기'!$A$1:$AZ$1001,ROW(),설정!$C$12)&amp;"",""))</f>
        <v/>
      </c>
      <c r="K159">
        <f>IF(설정!$C$13="","",IFERROR(INDEX('1.산군_붙여넣기'!$A$1:$AZ$1001,ROW(),설정!$C$13)&amp;"",""))</f>
        <v/>
      </c>
      <c r="L159" s="7">
        <f>IF(X159="","",IF(AND(LEN(X159)=8,ISNUMBER(X159*1)),DATE(LEFT(X159,4),MID(X159,5,2),RIGHT(X159,2)),IFERROR(DATEVALUE(SUBSTITUTE(SUBSTITUTE(X159,".","-"),"/","-")),IFERROR(X159*1,""))))</f>
        <v/>
      </c>
      <c r="M159" s="7">
        <f>IF(Y159="","",IF(AND(LEN(Y159)=8,ISNUMBER(Y159*1)),DATE(LEFT(Y159,4),MID(Y159,5,2),RIGHT(Y159,2)),IFERROR(DATEVALUE(SUBSTITUTE(SUBSTITUTE(Y159,".","-"),"/","-")),IFERROR(Y159*1,""))))</f>
        <v/>
      </c>
      <c r="N159">
        <f>IFERROR(LEFT(B159,FIND(" ",B159)-1),B159)</f>
        <v/>
      </c>
      <c r="O159">
        <f>AND(B159&lt;&gt;"",B159&lt;&gt;설정!$B$4,C159&lt;&gt;설정!$B$5)</f>
        <v/>
      </c>
      <c r="P159">
        <f>IF(O159,B159&amp;"|"&amp;C159,"")</f>
        <v/>
      </c>
      <c r="Q159">
        <f>AND(O159,COUNTIF(P160:P$1002,P159)=0)</f>
        <v/>
      </c>
      <c r="R159">
        <f>OR(AND(설정!$A$42&lt;&gt;"",ISNUMBER(SEARCH(설정!$A$42,E159&amp;" "&amp;C159))),AND(설정!$A$43&lt;&gt;"",ISNUMBER(SEARCH(설정!$A$43,E159&amp;" "&amp;C159))),AND(설정!$A$44&lt;&gt;"",ISNUMBER(SEARCH(설정!$A$44,E159&amp;" "&amp;C159))),AND(설정!$A$45&lt;&gt;"",ISNUMBER(SEARCH(설정!$A$45,E159&amp;" "&amp;C159))),AND(설정!$A$46&lt;&gt;"",ISNUMBER(SEARCH(설정!$A$46,E159&amp;" "&amp;C159))),AND(설정!$A$47&lt;&gt;"",ISNUMBER(SEARCH(설정!$A$47,E159&amp;" "&amp;C159))),AND(설정!$A$48&lt;&gt;"",ISNUMBER(SEARCH(설정!$A$48,E159&amp;" "&amp;C159))),AND(설정!$A$49&lt;&gt;"",ISNUMBER(SEARCH(설정!$A$49,E159&amp;" "&amp;C159))),AND(설정!$A$50&lt;&gt;"",ISNUMBER(SEARCH(설정!$A$50,E159&amp;" "&amp;C159))),AND(설정!$A$51&lt;&gt;"",ISNUMBER(SEARCH(설정!$A$51,E159&amp;" "&amp;C159))))</f>
        <v/>
      </c>
      <c r="S159">
        <f>OR(D159="",D159&gt;=설정!$B$19)</f>
        <v/>
      </c>
      <c r="T159">
        <f>AND(Q159,R159,S159)</f>
        <v/>
      </c>
      <c r="U159">
        <f>IF(T159,IF(AND(설정!$A$54&lt;&gt;"",ISNUMBER(SEARCH(설정!$A$54,K159))),설정!$B$54,IF(AND(설정!$A$55&lt;&gt;"",ISNUMBER(SEARCH(설정!$A$55,K159))),설정!$B$55,IF(AND(설정!$A$56&lt;&gt;"",ISNUMBER(SEARCH(설정!$A$56,K159))),설정!$B$56,IF(AND(설정!$A$57&lt;&gt;"",ISNUMBER(SEARCH(설정!$A$57,K159))),설정!$B$57,IF(AND(설정!$A$58&lt;&gt;"",ISNUMBER(SEARCH(설정!$A$58,K159))),설정!$B$58,IF(AND(설정!$A$59&lt;&gt;"",ISNUMBER(SEARCH(설정!$A$59,K159))),설정!$B$59,IF(AND(설정!$A$60&lt;&gt;"",ISNUMBER(SEARCH(설정!$A$60,K159))),설정!$B$60,IF(AND(설정!$A$61&lt;&gt;"",ISNUMBER(SEARCH(설정!$A$61,K159))),설정!$B$61,IF(M159="","설계사","시공사"))))))))),"")</f>
        <v/>
      </c>
      <c r="V159">
        <f>SUBSTITUTE(SUBSTITUTE(SUBSTITUTE(SUBSTITUTE(G159,"(주)",""),"㈜",""),"주식회사","")," ","")</f>
        <v/>
      </c>
      <c r="W159">
        <f>IF(AND(T159,V159&lt;&gt;""),IF(COUNTIFS(V$2:V159,V159,T$2:T159,TRUE)=1,MAX(W$1:W158)+1,""),"")</f>
        <v/>
      </c>
      <c r="X159">
        <f>IF(설정!$C$14="","",IFERROR(INDEX('1.산군_붙여넣기'!$A$1:$AZ$1001,ROW(),설정!$C$14)&amp;"",""))</f>
        <v/>
      </c>
      <c r="Y159">
        <f>IF(설정!$C$15="","",IFERROR(INDEX('1.산군_붙여넣기'!$A$1:$AZ$1001,ROW(),설정!$C$15)&amp;"",""))</f>
        <v/>
      </c>
      <c r="Z159">
        <f>IF(T159,V159&amp;"|"&amp;U159,"")</f>
        <v/>
      </c>
      <c r="AA159">
        <f>IF(NOT(Q159),"",IF(NOT(AND(R159,S159)),"✕",IF(OR(OR(AND(L159&lt;&gt;"",M159&lt;&gt;"",N(M159)-N(L159)&gt;설정!$B$27),AND(L159&lt;&gt;"",M159="",설정!$B$24-N(L159)&gt;설정!$B$27)),AND(D159&lt;&gt;"",D159&lt;설정!$B$26)),"△","★")))</f>
        <v/>
      </c>
      <c r="AB159">
        <f>IF(NOT(T159),"",IF(U159="설계사",설정!$B$31,IF(U159="시공사",IF(OR(M159="",설정!$B$24-N(M159)&lt;=설정!$B$28*30.4),설정!$B$32,설정!$B$33),설정!$B$34))+IF(AA159="★",설정!$B$35,0))</f>
        <v/>
      </c>
      <c r="AC159">
        <f>SUBSTITUTE(SUBSTITUTE(SUBSTITUTE(SUBSTITUTE(H159,"(주)",""),"㈜",""),"주식회사","")," ","")</f>
        <v/>
      </c>
      <c r="AD159">
        <f>IF(AND(T159,AC159&lt;&gt;""),IF(COUNTIFS(AC$2:AC159,AC159,T$2:T159,TRUE)=1,MAX(AD$1:AD158)+1,""),"")</f>
        <v/>
      </c>
    </row>
    <row r="160">
      <c r="A160">
        <f>ROW()</f>
        <v/>
      </c>
      <c r="B160">
        <f>IF(설정!$C$4="","",IFERROR(INDEX('1.산군_붙여넣기'!$A$1:$AZ$1001,ROW(),설정!$C$4)&amp;"",""))</f>
        <v/>
      </c>
      <c r="C160">
        <f>IF(설정!$C$5="","",IFERROR(INDEX('1.산군_붙여넣기'!$A$1:$AZ$1001,ROW(),설정!$C$5)&amp;"",""))</f>
        <v/>
      </c>
      <c r="D160" s="5">
        <f>IFERROR(VALUE(SUBSTITUTE(SUBSTITUTE(SUBSTITUTE(IF(설정!$C$6="","",IFERROR(INDEX('1.산군_붙여넣기'!$A$1:$AZ$1001,ROW(),설정!$C$6)&amp;"","")),",",""),"㎡",""),"m2","")),"")</f>
        <v/>
      </c>
      <c r="E160">
        <f>IF(설정!$C$7="","",IFERROR(INDEX('1.산군_붙여넣기'!$A$1:$AZ$1001,ROW(),설정!$C$7)&amp;"",""))</f>
        <v/>
      </c>
      <c r="F160">
        <f>IF(설정!$C$8="","",IFERROR(INDEX('1.산군_붙여넣기'!$A$1:$AZ$1001,ROW(),설정!$C$8)&amp;"",""))</f>
        <v/>
      </c>
      <c r="G160">
        <f>IF(설정!$C$9="","",IFERROR(INDEX('1.산군_붙여넣기'!$A$1:$AZ$1001,ROW(),설정!$C$9)&amp;"",""))</f>
        <v/>
      </c>
      <c r="H160">
        <f>IF(설정!$C$10="","",IFERROR(INDEX('1.산군_붙여넣기'!$A$1:$AZ$1001,ROW(),설정!$C$10)&amp;"",""))</f>
        <v/>
      </c>
      <c r="I160">
        <f>IF(설정!$C$11="","",IFERROR(INDEX('1.산군_붙여넣기'!$A$1:$AZ$1001,ROW(),설정!$C$11)&amp;"",""))</f>
        <v/>
      </c>
      <c r="J160">
        <f>IF(설정!$C$12="","",IFERROR(INDEX('1.산군_붙여넣기'!$A$1:$AZ$1001,ROW(),설정!$C$12)&amp;"",""))</f>
        <v/>
      </c>
      <c r="K160">
        <f>IF(설정!$C$13="","",IFERROR(INDEX('1.산군_붙여넣기'!$A$1:$AZ$1001,ROW(),설정!$C$13)&amp;"",""))</f>
        <v/>
      </c>
      <c r="L160" s="7">
        <f>IF(X160="","",IF(AND(LEN(X160)=8,ISNUMBER(X160*1)),DATE(LEFT(X160,4),MID(X160,5,2),RIGHT(X160,2)),IFERROR(DATEVALUE(SUBSTITUTE(SUBSTITUTE(X160,".","-"),"/","-")),IFERROR(X160*1,""))))</f>
        <v/>
      </c>
      <c r="M160" s="7">
        <f>IF(Y160="","",IF(AND(LEN(Y160)=8,ISNUMBER(Y160*1)),DATE(LEFT(Y160,4),MID(Y160,5,2),RIGHT(Y160,2)),IFERROR(DATEVALUE(SUBSTITUTE(SUBSTITUTE(Y160,".","-"),"/","-")),IFERROR(Y160*1,""))))</f>
        <v/>
      </c>
      <c r="N160">
        <f>IFERROR(LEFT(B160,FIND(" ",B160)-1),B160)</f>
        <v/>
      </c>
      <c r="O160">
        <f>AND(B160&lt;&gt;"",B160&lt;&gt;설정!$B$4,C160&lt;&gt;설정!$B$5)</f>
        <v/>
      </c>
      <c r="P160">
        <f>IF(O160,B160&amp;"|"&amp;C160,"")</f>
        <v/>
      </c>
      <c r="Q160">
        <f>AND(O160,COUNTIF(P161:P$1002,P160)=0)</f>
        <v/>
      </c>
      <c r="R160">
        <f>OR(AND(설정!$A$42&lt;&gt;"",ISNUMBER(SEARCH(설정!$A$42,E160&amp;" "&amp;C160))),AND(설정!$A$43&lt;&gt;"",ISNUMBER(SEARCH(설정!$A$43,E160&amp;" "&amp;C160))),AND(설정!$A$44&lt;&gt;"",ISNUMBER(SEARCH(설정!$A$44,E160&amp;" "&amp;C160))),AND(설정!$A$45&lt;&gt;"",ISNUMBER(SEARCH(설정!$A$45,E160&amp;" "&amp;C160))),AND(설정!$A$46&lt;&gt;"",ISNUMBER(SEARCH(설정!$A$46,E160&amp;" "&amp;C160))),AND(설정!$A$47&lt;&gt;"",ISNUMBER(SEARCH(설정!$A$47,E160&amp;" "&amp;C160))),AND(설정!$A$48&lt;&gt;"",ISNUMBER(SEARCH(설정!$A$48,E160&amp;" "&amp;C160))),AND(설정!$A$49&lt;&gt;"",ISNUMBER(SEARCH(설정!$A$49,E160&amp;" "&amp;C160))),AND(설정!$A$50&lt;&gt;"",ISNUMBER(SEARCH(설정!$A$50,E160&amp;" "&amp;C160))),AND(설정!$A$51&lt;&gt;"",ISNUMBER(SEARCH(설정!$A$51,E160&amp;" "&amp;C160))))</f>
        <v/>
      </c>
      <c r="S160">
        <f>OR(D160="",D160&gt;=설정!$B$19)</f>
        <v/>
      </c>
      <c r="T160">
        <f>AND(Q160,R160,S160)</f>
        <v/>
      </c>
      <c r="U160">
        <f>IF(T160,IF(AND(설정!$A$54&lt;&gt;"",ISNUMBER(SEARCH(설정!$A$54,K160))),설정!$B$54,IF(AND(설정!$A$55&lt;&gt;"",ISNUMBER(SEARCH(설정!$A$55,K160))),설정!$B$55,IF(AND(설정!$A$56&lt;&gt;"",ISNUMBER(SEARCH(설정!$A$56,K160))),설정!$B$56,IF(AND(설정!$A$57&lt;&gt;"",ISNUMBER(SEARCH(설정!$A$57,K160))),설정!$B$57,IF(AND(설정!$A$58&lt;&gt;"",ISNUMBER(SEARCH(설정!$A$58,K160))),설정!$B$58,IF(AND(설정!$A$59&lt;&gt;"",ISNUMBER(SEARCH(설정!$A$59,K160))),설정!$B$59,IF(AND(설정!$A$60&lt;&gt;"",ISNUMBER(SEARCH(설정!$A$60,K160))),설정!$B$60,IF(AND(설정!$A$61&lt;&gt;"",ISNUMBER(SEARCH(설정!$A$61,K160))),설정!$B$61,IF(M160="","설계사","시공사"))))))))),"")</f>
        <v/>
      </c>
      <c r="V160">
        <f>SUBSTITUTE(SUBSTITUTE(SUBSTITUTE(SUBSTITUTE(G160,"(주)",""),"㈜",""),"주식회사","")," ","")</f>
        <v/>
      </c>
      <c r="W160">
        <f>IF(AND(T160,V160&lt;&gt;""),IF(COUNTIFS(V$2:V160,V160,T$2:T160,TRUE)=1,MAX(W$1:W159)+1,""),"")</f>
        <v/>
      </c>
      <c r="X160">
        <f>IF(설정!$C$14="","",IFERROR(INDEX('1.산군_붙여넣기'!$A$1:$AZ$1001,ROW(),설정!$C$14)&amp;"",""))</f>
        <v/>
      </c>
      <c r="Y160">
        <f>IF(설정!$C$15="","",IFERROR(INDEX('1.산군_붙여넣기'!$A$1:$AZ$1001,ROW(),설정!$C$15)&amp;"",""))</f>
        <v/>
      </c>
      <c r="Z160">
        <f>IF(T160,V160&amp;"|"&amp;U160,"")</f>
        <v/>
      </c>
      <c r="AA160">
        <f>IF(NOT(Q160),"",IF(NOT(AND(R160,S160)),"✕",IF(OR(OR(AND(L160&lt;&gt;"",M160&lt;&gt;"",N(M160)-N(L160)&gt;설정!$B$27),AND(L160&lt;&gt;"",M160="",설정!$B$24-N(L160)&gt;설정!$B$27)),AND(D160&lt;&gt;"",D160&lt;설정!$B$26)),"△","★")))</f>
        <v/>
      </c>
      <c r="AB160">
        <f>IF(NOT(T160),"",IF(U160="설계사",설정!$B$31,IF(U160="시공사",IF(OR(M160="",설정!$B$24-N(M160)&lt;=설정!$B$28*30.4),설정!$B$32,설정!$B$33),설정!$B$34))+IF(AA160="★",설정!$B$35,0))</f>
        <v/>
      </c>
      <c r="AC160">
        <f>SUBSTITUTE(SUBSTITUTE(SUBSTITUTE(SUBSTITUTE(H160,"(주)",""),"㈜",""),"주식회사","")," ","")</f>
        <v/>
      </c>
      <c r="AD160">
        <f>IF(AND(T160,AC160&lt;&gt;""),IF(COUNTIFS(AC$2:AC160,AC160,T$2:T160,TRUE)=1,MAX(AD$1:AD159)+1,""),"")</f>
        <v/>
      </c>
    </row>
    <row r="161">
      <c r="A161">
        <f>ROW()</f>
        <v/>
      </c>
      <c r="B161">
        <f>IF(설정!$C$4="","",IFERROR(INDEX('1.산군_붙여넣기'!$A$1:$AZ$1001,ROW(),설정!$C$4)&amp;"",""))</f>
        <v/>
      </c>
      <c r="C161">
        <f>IF(설정!$C$5="","",IFERROR(INDEX('1.산군_붙여넣기'!$A$1:$AZ$1001,ROW(),설정!$C$5)&amp;"",""))</f>
        <v/>
      </c>
      <c r="D161" s="5">
        <f>IFERROR(VALUE(SUBSTITUTE(SUBSTITUTE(SUBSTITUTE(IF(설정!$C$6="","",IFERROR(INDEX('1.산군_붙여넣기'!$A$1:$AZ$1001,ROW(),설정!$C$6)&amp;"","")),",",""),"㎡",""),"m2","")),"")</f>
        <v/>
      </c>
      <c r="E161">
        <f>IF(설정!$C$7="","",IFERROR(INDEX('1.산군_붙여넣기'!$A$1:$AZ$1001,ROW(),설정!$C$7)&amp;"",""))</f>
        <v/>
      </c>
      <c r="F161">
        <f>IF(설정!$C$8="","",IFERROR(INDEX('1.산군_붙여넣기'!$A$1:$AZ$1001,ROW(),설정!$C$8)&amp;"",""))</f>
        <v/>
      </c>
      <c r="G161">
        <f>IF(설정!$C$9="","",IFERROR(INDEX('1.산군_붙여넣기'!$A$1:$AZ$1001,ROW(),설정!$C$9)&amp;"",""))</f>
        <v/>
      </c>
      <c r="H161">
        <f>IF(설정!$C$10="","",IFERROR(INDEX('1.산군_붙여넣기'!$A$1:$AZ$1001,ROW(),설정!$C$10)&amp;"",""))</f>
        <v/>
      </c>
      <c r="I161">
        <f>IF(설정!$C$11="","",IFERROR(INDEX('1.산군_붙여넣기'!$A$1:$AZ$1001,ROW(),설정!$C$11)&amp;"",""))</f>
        <v/>
      </c>
      <c r="J161">
        <f>IF(설정!$C$12="","",IFERROR(INDEX('1.산군_붙여넣기'!$A$1:$AZ$1001,ROW(),설정!$C$12)&amp;"",""))</f>
        <v/>
      </c>
      <c r="K161">
        <f>IF(설정!$C$13="","",IFERROR(INDEX('1.산군_붙여넣기'!$A$1:$AZ$1001,ROW(),설정!$C$13)&amp;"",""))</f>
        <v/>
      </c>
      <c r="L161" s="7">
        <f>IF(X161="","",IF(AND(LEN(X161)=8,ISNUMBER(X161*1)),DATE(LEFT(X161,4),MID(X161,5,2),RIGHT(X161,2)),IFERROR(DATEVALUE(SUBSTITUTE(SUBSTITUTE(X161,".","-"),"/","-")),IFERROR(X161*1,""))))</f>
        <v/>
      </c>
      <c r="M161" s="7">
        <f>IF(Y161="","",IF(AND(LEN(Y161)=8,ISNUMBER(Y161*1)),DATE(LEFT(Y161,4),MID(Y161,5,2),RIGHT(Y161,2)),IFERROR(DATEVALUE(SUBSTITUTE(SUBSTITUTE(Y161,".","-"),"/","-")),IFERROR(Y161*1,""))))</f>
        <v/>
      </c>
      <c r="N161">
        <f>IFERROR(LEFT(B161,FIND(" ",B161)-1),B161)</f>
        <v/>
      </c>
      <c r="O161">
        <f>AND(B161&lt;&gt;"",B161&lt;&gt;설정!$B$4,C161&lt;&gt;설정!$B$5)</f>
        <v/>
      </c>
      <c r="P161">
        <f>IF(O161,B161&amp;"|"&amp;C161,"")</f>
        <v/>
      </c>
      <c r="Q161">
        <f>AND(O161,COUNTIF(P162:P$1002,P161)=0)</f>
        <v/>
      </c>
      <c r="R161">
        <f>OR(AND(설정!$A$42&lt;&gt;"",ISNUMBER(SEARCH(설정!$A$42,E161&amp;" "&amp;C161))),AND(설정!$A$43&lt;&gt;"",ISNUMBER(SEARCH(설정!$A$43,E161&amp;" "&amp;C161))),AND(설정!$A$44&lt;&gt;"",ISNUMBER(SEARCH(설정!$A$44,E161&amp;" "&amp;C161))),AND(설정!$A$45&lt;&gt;"",ISNUMBER(SEARCH(설정!$A$45,E161&amp;" "&amp;C161))),AND(설정!$A$46&lt;&gt;"",ISNUMBER(SEARCH(설정!$A$46,E161&amp;" "&amp;C161))),AND(설정!$A$47&lt;&gt;"",ISNUMBER(SEARCH(설정!$A$47,E161&amp;" "&amp;C161))),AND(설정!$A$48&lt;&gt;"",ISNUMBER(SEARCH(설정!$A$48,E161&amp;" "&amp;C161))),AND(설정!$A$49&lt;&gt;"",ISNUMBER(SEARCH(설정!$A$49,E161&amp;" "&amp;C161))),AND(설정!$A$50&lt;&gt;"",ISNUMBER(SEARCH(설정!$A$50,E161&amp;" "&amp;C161))),AND(설정!$A$51&lt;&gt;"",ISNUMBER(SEARCH(설정!$A$51,E161&amp;" "&amp;C161))))</f>
        <v/>
      </c>
      <c r="S161">
        <f>OR(D161="",D161&gt;=설정!$B$19)</f>
        <v/>
      </c>
      <c r="T161">
        <f>AND(Q161,R161,S161)</f>
        <v/>
      </c>
      <c r="U161">
        <f>IF(T161,IF(AND(설정!$A$54&lt;&gt;"",ISNUMBER(SEARCH(설정!$A$54,K161))),설정!$B$54,IF(AND(설정!$A$55&lt;&gt;"",ISNUMBER(SEARCH(설정!$A$55,K161))),설정!$B$55,IF(AND(설정!$A$56&lt;&gt;"",ISNUMBER(SEARCH(설정!$A$56,K161))),설정!$B$56,IF(AND(설정!$A$57&lt;&gt;"",ISNUMBER(SEARCH(설정!$A$57,K161))),설정!$B$57,IF(AND(설정!$A$58&lt;&gt;"",ISNUMBER(SEARCH(설정!$A$58,K161))),설정!$B$58,IF(AND(설정!$A$59&lt;&gt;"",ISNUMBER(SEARCH(설정!$A$59,K161))),설정!$B$59,IF(AND(설정!$A$60&lt;&gt;"",ISNUMBER(SEARCH(설정!$A$60,K161))),설정!$B$60,IF(AND(설정!$A$61&lt;&gt;"",ISNUMBER(SEARCH(설정!$A$61,K161))),설정!$B$61,IF(M161="","설계사","시공사"))))))))),"")</f>
        <v/>
      </c>
      <c r="V161">
        <f>SUBSTITUTE(SUBSTITUTE(SUBSTITUTE(SUBSTITUTE(G161,"(주)",""),"㈜",""),"주식회사","")," ","")</f>
        <v/>
      </c>
      <c r="W161">
        <f>IF(AND(T161,V161&lt;&gt;""),IF(COUNTIFS(V$2:V161,V161,T$2:T161,TRUE)=1,MAX(W$1:W160)+1,""),"")</f>
        <v/>
      </c>
      <c r="X161">
        <f>IF(설정!$C$14="","",IFERROR(INDEX('1.산군_붙여넣기'!$A$1:$AZ$1001,ROW(),설정!$C$14)&amp;"",""))</f>
        <v/>
      </c>
      <c r="Y161">
        <f>IF(설정!$C$15="","",IFERROR(INDEX('1.산군_붙여넣기'!$A$1:$AZ$1001,ROW(),설정!$C$15)&amp;"",""))</f>
        <v/>
      </c>
      <c r="Z161">
        <f>IF(T161,V161&amp;"|"&amp;U161,"")</f>
        <v/>
      </c>
      <c r="AA161">
        <f>IF(NOT(Q161),"",IF(NOT(AND(R161,S161)),"✕",IF(OR(OR(AND(L161&lt;&gt;"",M161&lt;&gt;"",N(M161)-N(L161)&gt;설정!$B$27),AND(L161&lt;&gt;"",M161="",설정!$B$24-N(L161)&gt;설정!$B$27)),AND(D161&lt;&gt;"",D161&lt;설정!$B$26)),"△","★")))</f>
        <v/>
      </c>
      <c r="AB161">
        <f>IF(NOT(T161),"",IF(U161="설계사",설정!$B$31,IF(U161="시공사",IF(OR(M161="",설정!$B$24-N(M161)&lt;=설정!$B$28*30.4),설정!$B$32,설정!$B$33),설정!$B$34))+IF(AA161="★",설정!$B$35,0))</f>
        <v/>
      </c>
      <c r="AC161">
        <f>SUBSTITUTE(SUBSTITUTE(SUBSTITUTE(SUBSTITUTE(H161,"(주)",""),"㈜",""),"주식회사","")," ","")</f>
        <v/>
      </c>
      <c r="AD161">
        <f>IF(AND(T161,AC161&lt;&gt;""),IF(COUNTIFS(AC$2:AC161,AC161,T$2:T161,TRUE)=1,MAX(AD$1:AD160)+1,""),"")</f>
        <v/>
      </c>
    </row>
    <row r="162">
      <c r="A162">
        <f>ROW()</f>
        <v/>
      </c>
      <c r="B162">
        <f>IF(설정!$C$4="","",IFERROR(INDEX('1.산군_붙여넣기'!$A$1:$AZ$1001,ROW(),설정!$C$4)&amp;"",""))</f>
        <v/>
      </c>
      <c r="C162">
        <f>IF(설정!$C$5="","",IFERROR(INDEX('1.산군_붙여넣기'!$A$1:$AZ$1001,ROW(),설정!$C$5)&amp;"",""))</f>
        <v/>
      </c>
      <c r="D162" s="5">
        <f>IFERROR(VALUE(SUBSTITUTE(SUBSTITUTE(SUBSTITUTE(IF(설정!$C$6="","",IFERROR(INDEX('1.산군_붙여넣기'!$A$1:$AZ$1001,ROW(),설정!$C$6)&amp;"","")),",",""),"㎡",""),"m2","")),"")</f>
        <v/>
      </c>
      <c r="E162">
        <f>IF(설정!$C$7="","",IFERROR(INDEX('1.산군_붙여넣기'!$A$1:$AZ$1001,ROW(),설정!$C$7)&amp;"",""))</f>
        <v/>
      </c>
      <c r="F162">
        <f>IF(설정!$C$8="","",IFERROR(INDEX('1.산군_붙여넣기'!$A$1:$AZ$1001,ROW(),설정!$C$8)&amp;"",""))</f>
        <v/>
      </c>
      <c r="G162">
        <f>IF(설정!$C$9="","",IFERROR(INDEX('1.산군_붙여넣기'!$A$1:$AZ$1001,ROW(),설정!$C$9)&amp;"",""))</f>
        <v/>
      </c>
      <c r="H162">
        <f>IF(설정!$C$10="","",IFERROR(INDEX('1.산군_붙여넣기'!$A$1:$AZ$1001,ROW(),설정!$C$10)&amp;"",""))</f>
        <v/>
      </c>
      <c r="I162">
        <f>IF(설정!$C$11="","",IFERROR(INDEX('1.산군_붙여넣기'!$A$1:$AZ$1001,ROW(),설정!$C$11)&amp;"",""))</f>
        <v/>
      </c>
      <c r="J162">
        <f>IF(설정!$C$12="","",IFERROR(INDEX('1.산군_붙여넣기'!$A$1:$AZ$1001,ROW(),설정!$C$12)&amp;"",""))</f>
        <v/>
      </c>
      <c r="K162">
        <f>IF(설정!$C$13="","",IFERROR(INDEX('1.산군_붙여넣기'!$A$1:$AZ$1001,ROW(),설정!$C$13)&amp;"",""))</f>
        <v/>
      </c>
      <c r="L162" s="7">
        <f>IF(X162="","",IF(AND(LEN(X162)=8,ISNUMBER(X162*1)),DATE(LEFT(X162,4),MID(X162,5,2),RIGHT(X162,2)),IFERROR(DATEVALUE(SUBSTITUTE(SUBSTITUTE(X162,".","-"),"/","-")),IFERROR(X162*1,""))))</f>
        <v/>
      </c>
      <c r="M162" s="7">
        <f>IF(Y162="","",IF(AND(LEN(Y162)=8,ISNUMBER(Y162*1)),DATE(LEFT(Y162,4),MID(Y162,5,2),RIGHT(Y162,2)),IFERROR(DATEVALUE(SUBSTITUTE(SUBSTITUTE(Y162,".","-"),"/","-")),IFERROR(Y162*1,""))))</f>
        <v/>
      </c>
      <c r="N162">
        <f>IFERROR(LEFT(B162,FIND(" ",B162)-1),B162)</f>
        <v/>
      </c>
      <c r="O162">
        <f>AND(B162&lt;&gt;"",B162&lt;&gt;설정!$B$4,C162&lt;&gt;설정!$B$5)</f>
        <v/>
      </c>
      <c r="P162">
        <f>IF(O162,B162&amp;"|"&amp;C162,"")</f>
        <v/>
      </c>
      <c r="Q162">
        <f>AND(O162,COUNTIF(P163:P$1002,P162)=0)</f>
        <v/>
      </c>
      <c r="R162">
        <f>OR(AND(설정!$A$42&lt;&gt;"",ISNUMBER(SEARCH(설정!$A$42,E162&amp;" "&amp;C162))),AND(설정!$A$43&lt;&gt;"",ISNUMBER(SEARCH(설정!$A$43,E162&amp;" "&amp;C162))),AND(설정!$A$44&lt;&gt;"",ISNUMBER(SEARCH(설정!$A$44,E162&amp;" "&amp;C162))),AND(설정!$A$45&lt;&gt;"",ISNUMBER(SEARCH(설정!$A$45,E162&amp;" "&amp;C162))),AND(설정!$A$46&lt;&gt;"",ISNUMBER(SEARCH(설정!$A$46,E162&amp;" "&amp;C162))),AND(설정!$A$47&lt;&gt;"",ISNUMBER(SEARCH(설정!$A$47,E162&amp;" "&amp;C162))),AND(설정!$A$48&lt;&gt;"",ISNUMBER(SEARCH(설정!$A$48,E162&amp;" "&amp;C162))),AND(설정!$A$49&lt;&gt;"",ISNUMBER(SEARCH(설정!$A$49,E162&amp;" "&amp;C162))),AND(설정!$A$50&lt;&gt;"",ISNUMBER(SEARCH(설정!$A$50,E162&amp;" "&amp;C162))),AND(설정!$A$51&lt;&gt;"",ISNUMBER(SEARCH(설정!$A$51,E162&amp;" "&amp;C162))))</f>
        <v/>
      </c>
      <c r="S162">
        <f>OR(D162="",D162&gt;=설정!$B$19)</f>
        <v/>
      </c>
      <c r="T162">
        <f>AND(Q162,R162,S162)</f>
        <v/>
      </c>
      <c r="U162">
        <f>IF(T162,IF(AND(설정!$A$54&lt;&gt;"",ISNUMBER(SEARCH(설정!$A$54,K162))),설정!$B$54,IF(AND(설정!$A$55&lt;&gt;"",ISNUMBER(SEARCH(설정!$A$55,K162))),설정!$B$55,IF(AND(설정!$A$56&lt;&gt;"",ISNUMBER(SEARCH(설정!$A$56,K162))),설정!$B$56,IF(AND(설정!$A$57&lt;&gt;"",ISNUMBER(SEARCH(설정!$A$57,K162))),설정!$B$57,IF(AND(설정!$A$58&lt;&gt;"",ISNUMBER(SEARCH(설정!$A$58,K162))),설정!$B$58,IF(AND(설정!$A$59&lt;&gt;"",ISNUMBER(SEARCH(설정!$A$59,K162))),설정!$B$59,IF(AND(설정!$A$60&lt;&gt;"",ISNUMBER(SEARCH(설정!$A$60,K162))),설정!$B$60,IF(AND(설정!$A$61&lt;&gt;"",ISNUMBER(SEARCH(설정!$A$61,K162))),설정!$B$61,IF(M162="","설계사","시공사"))))))))),"")</f>
        <v/>
      </c>
      <c r="V162">
        <f>SUBSTITUTE(SUBSTITUTE(SUBSTITUTE(SUBSTITUTE(G162,"(주)",""),"㈜",""),"주식회사","")," ","")</f>
        <v/>
      </c>
      <c r="W162">
        <f>IF(AND(T162,V162&lt;&gt;""),IF(COUNTIFS(V$2:V162,V162,T$2:T162,TRUE)=1,MAX(W$1:W161)+1,""),"")</f>
        <v/>
      </c>
      <c r="X162">
        <f>IF(설정!$C$14="","",IFERROR(INDEX('1.산군_붙여넣기'!$A$1:$AZ$1001,ROW(),설정!$C$14)&amp;"",""))</f>
        <v/>
      </c>
      <c r="Y162">
        <f>IF(설정!$C$15="","",IFERROR(INDEX('1.산군_붙여넣기'!$A$1:$AZ$1001,ROW(),설정!$C$15)&amp;"",""))</f>
        <v/>
      </c>
      <c r="Z162">
        <f>IF(T162,V162&amp;"|"&amp;U162,"")</f>
        <v/>
      </c>
      <c r="AA162">
        <f>IF(NOT(Q162),"",IF(NOT(AND(R162,S162)),"✕",IF(OR(OR(AND(L162&lt;&gt;"",M162&lt;&gt;"",N(M162)-N(L162)&gt;설정!$B$27),AND(L162&lt;&gt;"",M162="",설정!$B$24-N(L162)&gt;설정!$B$27)),AND(D162&lt;&gt;"",D162&lt;설정!$B$26)),"△","★")))</f>
        <v/>
      </c>
      <c r="AB162">
        <f>IF(NOT(T162),"",IF(U162="설계사",설정!$B$31,IF(U162="시공사",IF(OR(M162="",설정!$B$24-N(M162)&lt;=설정!$B$28*30.4),설정!$B$32,설정!$B$33),설정!$B$34))+IF(AA162="★",설정!$B$35,0))</f>
        <v/>
      </c>
      <c r="AC162">
        <f>SUBSTITUTE(SUBSTITUTE(SUBSTITUTE(SUBSTITUTE(H162,"(주)",""),"㈜",""),"주식회사","")," ","")</f>
        <v/>
      </c>
      <c r="AD162">
        <f>IF(AND(T162,AC162&lt;&gt;""),IF(COUNTIFS(AC$2:AC162,AC162,T$2:T162,TRUE)=1,MAX(AD$1:AD161)+1,""),"")</f>
        <v/>
      </c>
    </row>
    <row r="163">
      <c r="A163">
        <f>ROW()</f>
        <v/>
      </c>
      <c r="B163">
        <f>IF(설정!$C$4="","",IFERROR(INDEX('1.산군_붙여넣기'!$A$1:$AZ$1001,ROW(),설정!$C$4)&amp;"",""))</f>
        <v/>
      </c>
      <c r="C163">
        <f>IF(설정!$C$5="","",IFERROR(INDEX('1.산군_붙여넣기'!$A$1:$AZ$1001,ROW(),설정!$C$5)&amp;"",""))</f>
        <v/>
      </c>
      <c r="D163" s="5">
        <f>IFERROR(VALUE(SUBSTITUTE(SUBSTITUTE(SUBSTITUTE(IF(설정!$C$6="","",IFERROR(INDEX('1.산군_붙여넣기'!$A$1:$AZ$1001,ROW(),설정!$C$6)&amp;"","")),",",""),"㎡",""),"m2","")),"")</f>
        <v/>
      </c>
      <c r="E163">
        <f>IF(설정!$C$7="","",IFERROR(INDEX('1.산군_붙여넣기'!$A$1:$AZ$1001,ROW(),설정!$C$7)&amp;"",""))</f>
        <v/>
      </c>
      <c r="F163">
        <f>IF(설정!$C$8="","",IFERROR(INDEX('1.산군_붙여넣기'!$A$1:$AZ$1001,ROW(),설정!$C$8)&amp;"",""))</f>
        <v/>
      </c>
      <c r="G163">
        <f>IF(설정!$C$9="","",IFERROR(INDEX('1.산군_붙여넣기'!$A$1:$AZ$1001,ROW(),설정!$C$9)&amp;"",""))</f>
        <v/>
      </c>
      <c r="H163">
        <f>IF(설정!$C$10="","",IFERROR(INDEX('1.산군_붙여넣기'!$A$1:$AZ$1001,ROW(),설정!$C$10)&amp;"",""))</f>
        <v/>
      </c>
      <c r="I163">
        <f>IF(설정!$C$11="","",IFERROR(INDEX('1.산군_붙여넣기'!$A$1:$AZ$1001,ROW(),설정!$C$11)&amp;"",""))</f>
        <v/>
      </c>
      <c r="J163">
        <f>IF(설정!$C$12="","",IFERROR(INDEX('1.산군_붙여넣기'!$A$1:$AZ$1001,ROW(),설정!$C$12)&amp;"",""))</f>
        <v/>
      </c>
      <c r="K163">
        <f>IF(설정!$C$13="","",IFERROR(INDEX('1.산군_붙여넣기'!$A$1:$AZ$1001,ROW(),설정!$C$13)&amp;"",""))</f>
        <v/>
      </c>
      <c r="L163" s="7">
        <f>IF(X163="","",IF(AND(LEN(X163)=8,ISNUMBER(X163*1)),DATE(LEFT(X163,4),MID(X163,5,2),RIGHT(X163,2)),IFERROR(DATEVALUE(SUBSTITUTE(SUBSTITUTE(X163,".","-"),"/","-")),IFERROR(X163*1,""))))</f>
        <v/>
      </c>
      <c r="M163" s="7">
        <f>IF(Y163="","",IF(AND(LEN(Y163)=8,ISNUMBER(Y163*1)),DATE(LEFT(Y163,4),MID(Y163,5,2),RIGHT(Y163,2)),IFERROR(DATEVALUE(SUBSTITUTE(SUBSTITUTE(Y163,".","-"),"/","-")),IFERROR(Y163*1,""))))</f>
        <v/>
      </c>
      <c r="N163">
        <f>IFERROR(LEFT(B163,FIND(" ",B163)-1),B163)</f>
        <v/>
      </c>
      <c r="O163">
        <f>AND(B163&lt;&gt;"",B163&lt;&gt;설정!$B$4,C163&lt;&gt;설정!$B$5)</f>
        <v/>
      </c>
      <c r="P163">
        <f>IF(O163,B163&amp;"|"&amp;C163,"")</f>
        <v/>
      </c>
      <c r="Q163">
        <f>AND(O163,COUNTIF(P164:P$1002,P163)=0)</f>
        <v/>
      </c>
      <c r="R163">
        <f>OR(AND(설정!$A$42&lt;&gt;"",ISNUMBER(SEARCH(설정!$A$42,E163&amp;" "&amp;C163))),AND(설정!$A$43&lt;&gt;"",ISNUMBER(SEARCH(설정!$A$43,E163&amp;" "&amp;C163))),AND(설정!$A$44&lt;&gt;"",ISNUMBER(SEARCH(설정!$A$44,E163&amp;" "&amp;C163))),AND(설정!$A$45&lt;&gt;"",ISNUMBER(SEARCH(설정!$A$45,E163&amp;" "&amp;C163))),AND(설정!$A$46&lt;&gt;"",ISNUMBER(SEARCH(설정!$A$46,E163&amp;" "&amp;C163))),AND(설정!$A$47&lt;&gt;"",ISNUMBER(SEARCH(설정!$A$47,E163&amp;" "&amp;C163))),AND(설정!$A$48&lt;&gt;"",ISNUMBER(SEARCH(설정!$A$48,E163&amp;" "&amp;C163))),AND(설정!$A$49&lt;&gt;"",ISNUMBER(SEARCH(설정!$A$49,E163&amp;" "&amp;C163))),AND(설정!$A$50&lt;&gt;"",ISNUMBER(SEARCH(설정!$A$50,E163&amp;" "&amp;C163))),AND(설정!$A$51&lt;&gt;"",ISNUMBER(SEARCH(설정!$A$51,E163&amp;" "&amp;C163))))</f>
        <v/>
      </c>
      <c r="S163">
        <f>OR(D163="",D163&gt;=설정!$B$19)</f>
        <v/>
      </c>
      <c r="T163">
        <f>AND(Q163,R163,S163)</f>
        <v/>
      </c>
      <c r="U163">
        <f>IF(T163,IF(AND(설정!$A$54&lt;&gt;"",ISNUMBER(SEARCH(설정!$A$54,K163))),설정!$B$54,IF(AND(설정!$A$55&lt;&gt;"",ISNUMBER(SEARCH(설정!$A$55,K163))),설정!$B$55,IF(AND(설정!$A$56&lt;&gt;"",ISNUMBER(SEARCH(설정!$A$56,K163))),설정!$B$56,IF(AND(설정!$A$57&lt;&gt;"",ISNUMBER(SEARCH(설정!$A$57,K163))),설정!$B$57,IF(AND(설정!$A$58&lt;&gt;"",ISNUMBER(SEARCH(설정!$A$58,K163))),설정!$B$58,IF(AND(설정!$A$59&lt;&gt;"",ISNUMBER(SEARCH(설정!$A$59,K163))),설정!$B$59,IF(AND(설정!$A$60&lt;&gt;"",ISNUMBER(SEARCH(설정!$A$60,K163))),설정!$B$60,IF(AND(설정!$A$61&lt;&gt;"",ISNUMBER(SEARCH(설정!$A$61,K163))),설정!$B$61,IF(M163="","설계사","시공사"))))))))),"")</f>
        <v/>
      </c>
      <c r="V163">
        <f>SUBSTITUTE(SUBSTITUTE(SUBSTITUTE(SUBSTITUTE(G163,"(주)",""),"㈜",""),"주식회사","")," ","")</f>
        <v/>
      </c>
      <c r="W163">
        <f>IF(AND(T163,V163&lt;&gt;""),IF(COUNTIFS(V$2:V163,V163,T$2:T163,TRUE)=1,MAX(W$1:W162)+1,""),"")</f>
        <v/>
      </c>
      <c r="X163">
        <f>IF(설정!$C$14="","",IFERROR(INDEX('1.산군_붙여넣기'!$A$1:$AZ$1001,ROW(),설정!$C$14)&amp;"",""))</f>
        <v/>
      </c>
      <c r="Y163">
        <f>IF(설정!$C$15="","",IFERROR(INDEX('1.산군_붙여넣기'!$A$1:$AZ$1001,ROW(),설정!$C$15)&amp;"",""))</f>
        <v/>
      </c>
      <c r="Z163">
        <f>IF(T163,V163&amp;"|"&amp;U163,"")</f>
        <v/>
      </c>
      <c r="AA163">
        <f>IF(NOT(Q163),"",IF(NOT(AND(R163,S163)),"✕",IF(OR(OR(AND(L163&lt;&gt;"",M163&lt;&gt;"",N(M163)-N(L163)&gt;설정!$B$27),AND(L163&lt;&gt;"",M163="",설정!$B$24-N(L163)&gt;설정!$B$27)),AND(D163&lt;&gt;"",D163&lt;설정!$B$26)),"△","★")))</f>
        <v/>
      </c>
      <c r="AB163">
        <f>IF(NOT(T163),"",IF(U163="설계사",설정!$B$31,IF(U163="시공사",IF(OR(M163="",설정!$B$24-N(M163)&lt;=설정!$B$28*30.4),설정!$B$32,설정!$B$33),설정!$B$34))+IF(AA163="★",설정!$B$35,0))</f>
        <v/>
      </c>
      <c r="AC163">
        <f>SUBSTITUTE(SUBSTITUTE(SUBSTITUTE(SUBSTITUTE(H163,"(주)",""),"㈜",""),"주식회사","")," ","")</f>
        <v/>
      </c>
      <c r="AD163">
        <f>IF(AND(T163,AC163&lt;&gt;""),IF(COUNTIFS(AC$2:AC163,AC163,T$2:T163,TRUE)=1,MAX(AD$1:AD162)+1,""),"")</f>
        <v/>
      </c>
    </row>
    <row r="164">
      <c r="A164">
        <f>ROW()</f>
        <v/>
      </c>
      <c r="B164">
        <f>IF(설정!$C$4="","",IFERROR(INDEX('1.산군_붙여넣기'!$A$1:$AZ$1001,ROW(),설정!$C$4)&amp;"",""))</f>
        <v/>
      </c>
      <c r="C164">
        <f>IF(설정!$C$5="","",IFERROR(INDEX('1.산군_붙여넣기'!$A$1:$AZ$1001,ROW(),설정!$C$5)&amp;"",""))</f>
        <v/>
      </c>
      <c r="D164" s="5">
        <f>IFERROR(VALUE(SUBSTITUTE(SUBSTITUTE(SUBSTITUTE(IF(설정!$C$6="","",IFERROR(INDEX('1.산군_붙여넣기'!$A$1:$AZ$1001,ROW(),설정!$C$6)&amp;"","")),",",""),"㎡",""),"m2","")),"")</f>
        <v/>
      </c>
      <c r="E164">
        <f>IF(설정!$C$7="","",IFERROR(INDEX('1.산군_붙여넣기'!$A$1:$AZ$1001,ROW(),설정!$C$7)&amp;"",""))</f>
        <v/>
      </c>
      <c r="F164">
        <f>IF(설정!$C$8="","",IFERROR(INDEX('1.산군_붙여넣기'!$A$1:$AZ$1001,ROW(),설정!$C$8)&amp;"",""))</f>
        <v/>
      </c>
      <c r="G164">
        <f>IF(설정!$C$9="","",IFERROR(INDEX('1.산군_붙여넣기'!$A$1:$AZ$1001,ROW(),설정!$C$9)&amp;"",""))</f>
        <v/>
      </c>
      <c r="H164">
        <f>IF(설정!$C$10="","",IFERROR(INDEX('1.산군_붙여넣기'!$A$1:$AZ$1001,ROW(),설정!$C$10)&amp;"",""))</f>
        <v/>
      </c>
      <c r="I164">
        <f>IF(설정!$C$11="","",IFERROR(INDEX('1.산군_붙여넣기'!$A$1:$AZ$1001,ROW(),설정!$C$11)&amp;"",""))</f>
        <v/>
      </c>
      <c r="J164">
        <f>IF(설정!$C$12="","",IFERROR(INDEX('1.산군_붙여넣기'!$A$1:$AZ$1001,ROW(),설정!$C$12)&amp;"",""))</f>
        <v/>
      </c>
      <c r="K164">
        <f>IF(설정!$C$13="","",IFERROR(INDEX('1.산군_붙여넣기'!$A$1:$AZ$1001,ROW(),설정!$C$13)&amp;"",""))</f>
        <v/>
      </c>
      <c r="L164" s="7">
        <f>IF(X164="","",IF(AND(LEN(X164)=8,ISNUMBER(X164*1)),DATE(LEFT(X164,4),MID(X164,5,2),RIGHT(X164,2)),IFERROR(DATEVALUE(SUBSTITUTE(SUBSTITUTE(X164,".","-"),"/","-")),IFERROR(X164*1,""))))</f>
        <v/>
      </c>
      <c r="M164" s="7">
        <f>IF(Y164="","",IF(AND(LEN(Y164)=8,ISNUMBER(Y164*1)),DATE(LEFT(Y164,4),MID(Y164,5,2),RIGHT(Y164,2)),IFERROR(DATEVALUE(SUBSTITUTE(SUBSTITUTE(Y164,".","-"),"/","-")),IFERROR(Y164*1,""))))</f>
        <v/>
      </c>
      <c r="N164">
        <f>IFERROR(LEFT(B164,FIND(" ",B164)-1),B164)</f>
        <v/>
      </c>
      <c r="O164">
        <f>AND(B164&lt;&gt;"",B164&lt;&gt;설정!$B$4,C164&lt;&gt;설정!$B$5)</f>
        <v/>
      </c>
      <c r="P164">
        <f>IF(O164,B164&amp;"|"&amp;C164,"")</f>
        <v/>
      </c>
      <c r="Q164">
        <f>AND(O164,COUNTIF(P165:P$1002,P164)=0)</f>
        <v/>
      </c>
      <c r="R164">
        <f>OR(AND(설정!$A$42&lt;&gt;"",ISNUMBER(SEARCH(설정!$A$42,E164&amp;" "&amp;C164))),AND(설정!$A$43&lt;&gt;"",ISNUMBER(SEARCH(설정!$A$43,E164&amp;" "&amp;C164))),AND(설정!$A$44&lt;&gt;"",ISNUMBER(SEARCH(설정!$A$44,E164&amp;" "&amp;C164))),AND(설정!$A$45&lt;&gt;"",ISNUMBER(SEARCH(설정!$A$45,E164&amp;" "&amp;C164))),AND(설정!$A$46&lt;&gt;"",ISNUMBER(SEARCH(설정!$A$46,E164&amp;" "&amp;C164))),AND(설정!$A$47&lt;&gt;"",ISNUMBER(SEARCH(설정!$A$47,E164&amp;" "&amp;C164))),AND(설정!$A$48&lt;&gt;"",ISNUMBER(SEARCH(설정!$A$48,E164&amp;" "&amp;C164))),AND(설정!$A$49&lt;&gt;"",ISNUMBER(SEARCH(설정!$A$49,E164&amp;" "&amp;C164))),AND(설정!$A$50&lt;&gt;"",ISNUMBER(SEARCH(설정!$A$50,E164&amp;" "&amp;C164))),AND(설정!$A$51&lt;&gt;"",ISNUMBER(SEARCH(설정!$A$51,E164&amp;" "&amp;C164))))</f>
        <v/>
      </c>
      <c r="S164">
        <f>OR(D164="",D164&gt;=설정!$B$19)</f>
        <v/>
      </c>
      <c r="T164">
        <f>AND(Q164,R164,S164)</f>
        <v/>
      </c>
      <c r="U164">
        <f>IF(T164,IF(AND(설정!$A$54&lt;&gt;"",ISNUMBER(SEARCH(설정!$A$54,K164))),설정!$B$54,IF(AND(설정!$A$55&lt;&gt;"",ISNUMBER(SEARCH(설정!$A$55,K164))),설정!$B$55,IF(AND(설정!$A$56&lt;&gt;"",ISNUMBER(SEARCH(설정!$A$56,K164))),설정!$B$56,IF(AND(설정!$A$57&lt;&gt;"",ISNUMBER(SEARCH(설정!$A$57,K164))),설정!$B$57,IF(AND(설정!$A$58&lt;&gt;"",ISNUMBER(SEARCH(설정!$A$58,K164))),설정!$B$58,IF(AND(설정!$A$59&lt;&gt;"",ISNUMBER(SEARCH(설정!$A$59,K164))),설정!$B$59,IF(AND(설정!$A$60&lt;&gt;"",ISNUMBER(SEARCH(설정!$A$60,K164))),설정!$B$60,IF(AND(설정!$A$61&lt;&gt;"",ISNUMBER(SEARCH(설정!$A$61,K164))),설정!$B$61,IF(M164="","설계사","시공사"))))))))),"")</f>
        <v/>
      </c>
      <c r="V164">
        <f>SUBSTITUTE(SUBSTITUTE(SUBSTITUTE(SUBSTITUTE(G164,"(주)",""),"㈜",""),"주식회사","")," ","")</f>
        <v/>
      </c>
      <c r="W164">
        <f>IF(AND(T164,V164&lt;&gt;""),IF(COUNTIFS(V$2:V164,V164,T$2:T164,TRUE)=1,MAX(W$1:W163)+1,""),"")</f>
        <v/>
      </c>
      <c r="X164">
        <f>IF(설정!$C$14="","",IFERROR(INDEX('1.산군_붙여넣기'!$A$1:$AZ$1001,ROW(),설정!$C$14)&amp;"",""))</f>
        <v/>
      </c>
      <c r="Y164">
        <f>IF(설정!$C$15="","",IFERROR(INDEX('1.산군_붙여넣기'!$A$1:$AZ$1001,ROW(),설정!$C$15)&amp;"",""))</f>
        <v/>
      </c>
      <c r="Z164">
        <f>IF(T164,V164&amp;"|"&amp;U164,"")</f>
        <v/>
      </c>
      <c r="AA164">
        <f>IF(NOT(Q164),"",IF(NOT(AND(R164,S164)),"✕",IF(OR(OR(AND(L164&lt;&gt;"",M164&lt;&gt;"",N(M164)-N(L164)&gt;설정!$B$27),AND(L164&lt;&gt;"",M164="",설정!$B$24-N(L164)&gt;설정!$B$27)),AND(D164&lt;&gt;"",D164&lt;설정!$B$26)),"△","★")))</f>
        <v/>
      </c>
      <c r="AB164">
        <f>IF(NOT(T164),"",IF(U164="설계사",설정!$B$31,IF(U164="시공사",IF(OR(M164="",설정!$B$24-N(M164)&lt;=설정!$B$28*30.4),설정!$B$32,설정!$B$33),설정!$B$34))+IF(AA164="★",설정!$B$35,0))</f>
        <v/>
      </c>
      <c r="AC164">
        <f>SUBSTITUTE(SUBSTITUTE(SUBSTITUTE(SUBSTITUTE(H164,"(주)",""),"㈜",""),"주식회사","")," ","")</f>
        <v/>
      </c>
      <c r="AD164">
        <f>IF(AND(T164,AC164&lt;&gt;""),IF(COUNTIFS(AC$2:AC164,AC164,T$2:T164,TRUE)=1,MAX(AD$1:AD163)+1,""),"")</f>
        <v/>
      </c>
    </row>
    <row r="165">
      <c r="A165">
        <f>ROW()</f>
        <v/>
      </c>
      <c r="B165">
        <f>IF(설정!$C$4="","",IFERROR(INDEX('1.산군_붙여넣기'!$A$1:$AZ$1001,ROW(),설정!$C$4)&amp;"",""))</f>
        <v/>
      </c>
      <c r="C165">
        <f>IF(설정!$C$5="","",IFERROR(INDEX('1.산군_붙여넣기'!$A$1:$AZ$1001,ROW(),설정!$C$5)&amp;"",""))</f>
        <v/>
      </c>
      <c r="D165" s="5">
        <f>IFERROR(VALUE(SUBSTITUTE(SUBSTITUTE(SUBSTITUTE(IF(설정!$C$6="","",IFERROR(INDEX('1.산군_붙여넣기'!$A$1:$AZ$1001,ROW(),설정!$C$6)&amp;"","")),",",""),"㎡",""),"m2","")),"")</f>
        <v/>
      </c>
      <c r="E165">
        <f>IF(설정!$C$7="","",IFERROR(INDEX('1.산군_붙여넣기'!$A$1:$AZ$1001,ROW(),설정!$C$7)&amp;"",""))</f>
        <v/>
      </c>
      <c r="F165">
        <f>IF(설정!$C$8="","",IFERROR(INDEX('1.산군_붙여넣기'!$A$1:$AZ$1001,ROW(),설정!$C$8)&amp;"",""))</f>
        <v/>
      </c>
      <c r="G165">
        <f>IF(설정!$C$9="","",IFERROR(INDEX('1.산군_붙여넣기'!$A$1:$AZ$1001,ROW(),설정!$C$9)&amp;"",""))</f>
        <v/>
      </c>
      <c r="H165">
        <f>IF(설정!$C$10="","",IFERROR(INDEX('1.산군_붙여넣기'!$A$1:$AZ$1001,ROW(),설정!$C$10)&amp;"",""))</f>
        <v/>
      </c>
      <c r="I165">
        <f>IF(설정!$C$11="","",IFERROR(INDEX('1.산군_붙여넣기'!$A$1:$AZ$1001,ROW(),설정!$C$11)&amp;"",""))</f>
        <v/>
      </c>
      <c r="J165">
        <f>IF(설정!$C$12="","",IFERROR(INDEX('1.산군_붙여넣기'!$A$1:$AZ$1001,ROW(),설정!$C$12)&amp;"",""))</f>
        <v/>
      </c>
      <c r="K165">
        <f>IF(설정!$C$13="","",IFERROR(INDEX('1.산군_붙여넣기'!$A$1:$AZ$1001,ROW(),설정!$C$13)&amp;"",""))</f>
        <v/>
      </c>
      <c r="L165" s="7">
        <f>IF(X165="","",IF(AND(LEN(X165)=8,ISNUMBER(X165*1)),DATE(LEFT(X165,4),MID(X165,5,2),RIGHT(X165,2)),IFERROR(DATEVALUE(SUBSTITUTE(SUBSTITUTE(X165,".","-"),"/","-")),IFERROR(X165*1,""))))</f>
        <v/>
      </c>
      <c r="M165" s="7">
        <f>IF(Y165="","",IF(AND(LEN(Y165)=8,ISNUMBER(Y165*1)),DATE(LEFT(Y165,4),MID(Y165,5,2),RIGHT(Y165,2)),IFERROR(DATEVALUE(SUBSTITUTE(SUBSTITUTE(Y165,".","-"),"/","-")),IFERROR(Y165*1,""))))</f>
        <v/>
      </c>
      <c r="N165">
        <f>IFERROR(LEFT(B165,FIND(" ",B165)-1),B165)</f>
        <v/>
      </c>
      <c r="O165">
        <f>AND(B165&lt;&gt;"",B165&lt;&gt;설정!$B$4,C165&lt;&gt;설정!$B$5)</f>
        <v/>
      </c>
      <c r="P165">
        <f>IF(O165,B165&amp;"|"&amp;C165,"")</f>
        <v/>
      </c>
      <c r="Q165">
        <f>AND(O165,COUNTIF(P166:P$1002,P165)=0)</f>
        <v/>
      </c>
      <c r="R165">
        <f>OR(AND(설정!$A$42&lt;&gt;"",ISNUMBER(SEARCH(설정!$A$42,E165&amp;" "&amp;C165))),AND(설정!$A$43&lt;&gt;"",ISNUMBER(SEARCH(설정!$A$43,E165&amp;" "&amp;C165))),AND(설정!$A$44&lt;&gt;"",ISNUMBER(SEARCH(설정!$A$44,E165&amp;" "&amp;C165))),AND(설정!$A$45&lt;&gt;"",ISNUMBER(SEARCH(설정!$A$45,E165&amp;" "&amp;C165))),AND(설정!$A$46&lt;&gt;"",ISNUMBER(SEARCH(설정!$A$46,E165&amp;" "&amp;C165))),AND(설정!$A$47&lt;&gt;"",ISNUMBER(SEARCH(설정!$A$47,E165&amp;" "&amp;C165))),AND(설정!$A$48&lt;&gt;"",ISNUMBER(SEARCH(설정!$A$48,E165&amp;" "&amp;C165))),AND(설정!$A$49&lt;&gt;"",ISNUMBER(SEARCH(설정!$A$49,E165&amp;" "&amp;C165))),AND(설정!$A$50&lt;&gt;"",ISNUMBER(SEARCH(설정!$A$50,E165&amp;" "&amp;C165))),AND(설정!$A$51&lt;&gt;"",ISNUMBER(SEARCH(설정!$A$51,E165&amp;" "&amp;C165))))</f>
        <v/>
      </c>
      <c r="S165">
        <f>OR(D165="",D165&gt;=설정!$B$19)</f>
        <v/>
      </c>
      <c r="T165">
        <f>AND(Q165,R165,S165)</f>
        <v/>
      </c>
      <c r="U165">
        <f>IF(T165,IF(AND(설정!$A$54&lt;&gt;"",ISNUMBER(SEARCH(설정!$A$54,K165))),설정!$B$54,IF(AND(설정!$A$55&lt;&gt;"",ISNUMBER(SEARCH(설정!$A$55,K165))),설정!$B$55,IF(AND(설정!$A$56&lt;&gt;"",ISNUMBER(SEARCH(설정!$A$56,K165))),설정!$B$56,IF(AND(설정!$A$57&lt;&gt;"",ISNUMBER(SEARCH(설정!$A$57,K165))),설정!$B$57,IF(AND(설정!$A$58&lt;&gt;"",ISNUMBER(SEARCH(설정!$A$58,K165))),설정!$B$58,IF(AND(설정!$A$59&lt;&gt;"",ISNUMBER(SEARCH(설정!$A$59,K165))),설정!$B$59,IF(AND(설정!$A$60&lt;&gt;"",ISNUMBER(SEARCH(설정!$A$60,K165))),설정!$B$60,IF(AND(설정!$A$61&lt;&gt;"",ISNUMBER(SEARCH(설정!$A$61,K165))),설정!$B$61,IF(M165="","설계사","시공사"))))))))),"")</f>
        <v/>
      </c>
      <c r="V165">
        <f>SUBSTITUTE(SUBSTITUTE(SUBSTITUTE(SUBSTITUTE(G165,"(주)",""),"㈜",""),"주식회사","")," ","")</f>
        <v/>
      </c>
      <c r="W165">
        <f>IF(AND(T165,V165&lt;&gt;""),IF(COUNTIFS(V$2:V165,V165,T$2:T165,TRUE)=1,MAX(W$1:W164)+1,""),"")</f>
        <v/>
      </c>
      <c r="X165">
        <f>IF(설정!$C$14="","",IFERROR(INDEX('1.산군_붙여넣기'!$A$1:$AZ$1001,ROW(),설정!$C$14)&amp;"",""))</f>
        <v/>
      </c>
      <c r="Y165">
        <f>IF(설정!$C$15="","",IFERROR(INDEX('1.산군_붙여넣기'!$A$1:$AZ$1001,ROW(),설정!$C$15)&amp;"",""))</f>
        <v/>
      </c>
      <c r="Z165">
        <f>IF(T165,V165&amp;"|"&amp;U165,"")</f>
        <v/>
      </c>
      <c r="AA165">
        <f>IF(NOT(Q165),"",IF(NOT(AND(R165,S165)),"✕",IF(OR(OR(AND(L165&lt;&gt;"",M165&lt;&gt;"",N(M165)-N(L165)&gt;설정!$B$27),AND(L165&lt;&gt;"",M165="",설정!$B$24-N(L165)&gt;설정!$B$27)),AND(D165&lt;&gt;"",D165&lt;설정!$B$26)),"△","★")))</f>
        <v/>
      </c>
      <c r="AB165">
        <f>IF(NOT(T165),"",IF(U165="설계사",설정!$B$31,IF(U165="시공사",IF(OR(M165="",설정!$B$24-N(M165)&lt;=설정!$B$28*30.4),설정!$B$32,설정!$B$33),설정!$B$34))+IF(AA165="★",설정!$B$35,0))</f>
        <v/>
      </c>
      <c r="AC165">
        <f>SUBSTITUTE(SUBSTITUTE(SUBSTITUTE(SUBSTITUTE(H165,"(주)",""),"㈜",""),"주식회사","")," ","")</f>
        <v/>
      </c>
      <c r="AD165">
        <f>IF(AND(T165,AC165&lt;&gt;""),IF(COUNTIFS(AC$2:AC165,AC165,T$2:T165,TRUE)=1,MAX(AD$1:AD164)+1,""),"")</f>
        <v/>
      </c>
    </row>
    <row r="166">
      <c r="A166">
        <f>ROW()</f>
        <v/>
      </c>
      <c r="B166">
        <f>IF(설정!$C$4="","",IFERROR(INDEX('1.산군_붙여넣기'!$A$1:$AZ$1001,ROW(),설정!$C$4)&amp;"",""))</f>
        <v/>
      </c>
      <c r="C166">
        <f>IF(설정!$C$5="","",IFERROR(INDEX('1.산군_붙여넣기'!$A$1:$AZ$1001,ROW(),설정!$C$5)&amp;"",""))</f>
        <v/>
      </c>
      <c r="D166" s="5">
        <f>IFERROR(VALUE(SUBSTITUTE(SUBSTITUTE(SUBSTITUTE(IF(설정!$C$6="","",IFERROR(INDEX('1.산군_붙여넣기'!$A$1:$AZ$1001,ROW(),설정!$C$6)&amp;"","")),",",""),"㎡",""),"m2","")),"")</f>
        <v/>
      </c>
      <c r="E166">
        <f>IF(설정!$C$7="","",IFERROR(INDEX('1.산군_붙여넣기'!$A$1:$AZ$1001,ROW(),설정!$C$7)&amp;"",""))</f>
        <v/>
      </c>
      <c r="F166">
        <f>IF(설정!$C$8="","",IFERROR(INDEX('1.산군_붙여넣기'!$A$1:$AZ$1001,ROW(),설정!$C$8)&amp;"",""))</f>
        <v/>
      </c>
      <c r="G166">
        <f>IF(설정!$C$9="","",IFERROR(INDEX('1.산군_붙여넣기'!$A$1:$AZ$1001,ROW(),설정!$C$9)&amp;"",""))</f>
        <v/>
      </c>
      <c r="H166">
        <f>IF(설정!$C$10="","",IFERROR(INDEX('1.산군_붙여넣기'!$A$1:$AZ$1001,ROW(),설정!$C$10)&amp;"",""))</f>
        <v/>
      </c>
      <c r="I166">
        <f>IF(설정!$C$11="","",IFERROR(INDEX('1.산군_붙여넣기'!$A$1:$AZ$1001,ROW(),설정!$C$11)&amp;"",""))</f>
        <v/>
      </c>
      <c r="J166">
        <f>IF(설정!$C$12="","",IFERROR(INDEX('1.산군_붙여넣기'!$A$1:$AZ$1001,ROW(),설정!$C$12)&amp;"",""))</f>
        <v/>
      </c>
      <c r="K166">
        <f>IF(설정!$C$13="","",IFERROR(INDEX('1.산군_붙여넣기'!$A$1:$AZ$1001,ROW(),설정!$C$13)&amp;"",""))</f>
        <v/>
      </c>
      <c r="L166" s="7">
        <f>IF(X166="","",IF(AND(LEN(X166)=8,ISNUMBER(X166*1)),DATE(LEFT(X166,4),MID(X166,5,2),RIGHT(X166,2)),IFERROR(DATEVALUE(SUBSTITUTE(SUBSTITUTE(X166,".","-"),"/","-")),IFERROR(X166*1,""))))</f>
        <v/>
      </c>
      <c r="M166" s="7">
        <f>IF(Y166="","",IF(AND(LEN(Y166)=8,ISNUMBER(Y166*1)),DATE(LEFT(Y166,4),MID(Y166,5,2),RIGHT(Y166,2)),IFERROR(DATEVALUE(SUBSTITUTE(SUBSTITUTE(Y166,".","-"),"/","-")),IFERROR(Y166*1,""))))</f>
        <v/>
      </c>
      <c r="N166">
        <f>IFERROR(LEFT(B166,FIND(" ",B166)-1),B166)</f>
        <v/>
      </c>
      <c r="O166">
        <f>AND(B166&lt;&gt;"",B166&lt;&gt;설정!$B$4,C166&lt;&gt;설정!$B$5)</f>
        <v/>
      </c>
      <c r="P166">
        <f>IF(O166,B166&amp;"|"&amp;C166,"")</f>
        <v/>
      </c>
      <c r="Q166">
        <f>AND(O166,COUNTIF(P167:P$1002,P166)=0)</f>
        <v/>
      </c>
      <c r="R166">
        <f>OR(AND(설정!$A$42&lt;&gt;"",ISNUMBER(SEARCH(설정!$A$42,E166&amp;" "&amp;C166))),AND(설정!$A$43&lt;&gt;"",ISNUMBER(SEARCH(설정!$A$43,E166&amp;" "&amp;C166))),AND(설정!$A$44&lt;&gt;"",ISNUMBER(SEARCH(설정!$A$44,E166&amp;" "&amp;C166))),AND(설정!$A$45&lt;&gt;"",ISNUMBER(SEARCH(설정!$A$45,E166&amp;" "&amp;C166))),AND(설정!$A$46&lt;&gt;"",ISNUMBER(SEARCH(설정!$A$46,E166&amp;" "&amp;C166))),AND(설정!$A$47&lt;&gt;"",ISNUMBER(SEARCH(설정!$A$47,E166&amp;" "&amp;C166))),AND(설정!$A$48&lt;&gt;"",ISNUMBER(SEARCH(설정!$A$48,E166&amp;" "&amp;C166))),AND(설정!$A$49&lt;&gt;"",ISNUMBER(SEARCH(설정!$A$49,E166&amp;" "&amp;C166))),AND(설정!$A$50&lt;&gt;"",ISNUMBER(SEARCH(설정!$A$50,E166&amp;" "&amp;C166))),AND(설정!$A$51&lt;&gt;"",ISNUMBER(SEARCH(설정!$A$51,E166&amp;" "&amp;C166))))</f>
        <v/>
      </c>
      <c r="S166">
        <f>OR(D166="",D166&gt;=설정!$B$19)</f>
        <v/>
      </c>
      <c r="T166">
        <f>AND(Q166,R166,S166)</f>
        <v/>
      </c>
      <c r="U166">
        <f>IF(T166,IF(AND(설정!$A$54&lt;&gt;"",ISNUMBER(SEARCH(설정!$A$54,K166))),설정!$B$54,IF(AND(설정!$A$55&lt;&gt;"",ISNUMBER(SEARCH(설정!$A$55,K166))),설정!$B$55,IF(AND(설정!$A$56&lt;&gt;"",ISNUMBER(SEARCH(설정!$A$56,K166))),설정!$B$56,IF(AND(설정!$A$57&lt;&gt;"",ISNUMBER(SEARCH(설정!$A$57,K166))),설정!$B$57,IF(AND(설정!$A$58&lt;&gt;"",ISNUMBER(SEARCH(설정!$A$58,K166))),설정!$B$58,IF(AND(설정!$A$59&lt;&gt;"",ISNUMBER(SEARCH(설정!$A$59,K166))),설정!$B$59,IF(AND(설정!$A$60&lt;&gt;"",ISNUMBER(SEARCH(설정!$A$60,K166))),설정!$B$60,IF(AND(설정!$A$61&lt;&gt;"",ISNUMBER(SEARCH(설정!$A$61,K166))),설정!$B$61,IF(M166="","설계사","시공사"))))))))),"")</f>
        <v/>
      </c>
      <c r="V166">
        <f>SUBSTITUTE(SUBSTITUTE(SUBSTITUTE(SUBSTITUTE(G166,"(주)",""),"㈜",""),"주식회사","")," ","")</f>
        <v/>
      </c>
      <c r="W166">
        <f>IF(AND(T166,V166&lt;&gt;""),IF(COUNTIFS(V$2:V166,V166,T$2:T166,TRUE)=1,MAX(W$1:W165)+1,""),"")</f>
        <v/>
      </c>
      <c r="X166">
        <f>IF(설정!$C$14="","",IFERROR(INDEX('1.산군_붙여넣기'!$A$1:$AZ$1001,ROW(),설정!$C$14)&amp;"",""))</f>
        <v/>
      </c>
      <c r="Y166">
        <f>IF(설정!$C$15="","",IFERROR(INDEX('1.산군_붙여넣기'!$A$1:$AZ$1001,ROW(),설정!$C$15)&amp;"",""))</f>
        <v/>
      </c>
      <c r="Z166">
        <f>IF(T166,V166&amp;"|"&amp;U166,"")</f>
        <v/>
      </c>
      <c r="AA166">
        <f>IF(NOT(Q166),"",IF(NOT(AND(R166,S166)),"✕",IF(OR(OR(AND(L166&lt;&gt;"",M166&lt;&gt;"",N(M166)-N(L166)&gt;설정!$B$27),AND(L166&lt;&gt;"",M166="",설정!$B$24-N(L166)&gt;설정!$B$27)),AND(D166&lt;&gt;"",D166&lt;설정!$B$26)),"△","★")))</f>
        <v/>
      </c>
      <c r="AB166">
        <f>IF(NOT(T166),"",IF(U166="설계사",설정!$B$31,IF(U166="시공사",IF(OR(M166="",설정!$B$24-N(M166)&lt;=설정!$B$28*30.4),설정!$B$32,설정!$B$33),설정!$B$34))+IF(AA166="★",설정!$B$35,0))</f>
        <v/>
      </c>
      <c r="AC166">
        <f>SUBSTITUTE(SUBSTITUTE(SUBSTITUTE(SUBSTITUTE(H166,"(주)",""),"㈜",""),"주식회사","")," ","")</f>
        <v/>
      </c>
      <c r="AD166">
        <f>IF(AND(T166,AC166&lt;&gt;""),IF(COUNTIFS(AC$2:AC166,AC166,T$2:T166,TRUE)=1,MAX(AD$1:AD165)+1,""),"")</f>
        <v/>
      </c>
    </row>
    <row r="167">
      <c r="A167">
        <f>ROW()</f>
        <v/>
      </c>
      <c r="B167">
        <f>IF(설정!$C$4="","",IFERROR(INDEX('1.산군_붙여넣기'!$A$1:$AZ$1001,ROW(),설정!$C$4)&amp;"",""))</f>
        <v/>
      </c>
      <c r="C167">
        <f>IF(설정!$C$5="","",IFERROR(INDEX('1.산군_붙여넣기'!$A$1:$AZ$1001,ROW(),설정!$C$5)&amp;"",""))</f>
        <v/>
      </c>
      <c r="D167" s="5">
        <f>IFERROR(VALUE(SUBSTITUTE(SUBSTITUTE(SUBSTITUTE(IF(설정!$C$6="","",IFERROR(INDEX('1.산군_붙여넣기'!$A$1:$AZ$1001,ROW(),설정!$C$6)&amp;"","")),",",""),"㎡",""),"m2","")),"")</f>
        <v/>
      </c>
      <c r="E167">
        <f>IF(설정!$C$7="","",IFERROR(INDEX('1.산군_붙여넣기'!$A$1:$AZ$1001,ROW(),설정!$C$7)&amp;"",""))</f>
        <v/>
      </c>
      <c r="F167">
        <f>IF(설정!$C$8="","",IFERROR(INDEX('1.산군_붙여넣기'!$A$1:$AZ$1001,ROW(),설정!$C$8)&amp;"",""))</f>
        <v/>
      </c>
      <c r="G167">
        <f>IF(설정!$C$9="","",IFERROR(INDEX('1.산군_붙여넣기'!$A$1:$AZ$1001,ROW(),설정!$C$9)&amp;"",""))</f>
        <v/>
      </c>
      <c r="H167">
        <f>IF(설정!$C$10="","",IFERROR(INDEX('1.산군_붙여넣기'!$A$1:$AZ$1001,ROW(),설정!$C$10)&amp;"",""))</f>
        <v/>
      </c>
      <c r="I167">
        <f>IF(설정!$C$11="","",IFERROR(INDEX('1.산군_붙여넣기'!$A$1:$AZ$1001,ROW(),설정!$C$11)&amp;"",""))</f>
        <v/>
      </c>
      <c r="J167">
        <f>IF(설정!$C$12="","",IFERROR(INDEX('1.산군_붙여넣기'!$A$1:$AZ$1001,ROW(),설정!$C$12)&amp;"",""))</f>
        <v/>
      </c>
      <c r="K167">
        <f>IF(설정!$C$13="","",IFERROR(INDEX('1.산군_붙여넣기'!$A$1:$AZ$1001,ROW(),설정!$C$13)&amp;"",""))</f>
        <v/>
      </c>
      <c r="L167" s="7">
        <f>IF(X167="","",IF(AND(LEN(X167)=8,ISNUMBER(X167*1)),DATE(LEFT(X167,4),MID(X167,5,2),RIGHT(X167,2)),IFERROR(DATEVALUE(SUBSTITUTE(SUBSTITUTE(X167,".","-"),"/","-")),IFERROR(X167*1,""))))</f>
        <v/>
      </c>
      <c r="M167" s="7">
        <f>IF(Y167="","",IF(AND(LEN(Y167)=8,ISNUMBER(Y167*1)),DATE(LEFT(Y167,4),MID(Y167,5,2),RIGHT(Y167,2)),IFERROR(DATEVALUE(SUBSTITUTE(SUBSTITUTE(Y167,".","-"),"/","-")),IFERROR(Y167*1,""))))</f>
        <v/>
      </c>
      <c r="N167">
        <f>IFERROR(LEFT(B167,FIND(" ",B167)-1),B167)</f>
        <v/>
      </c>
      <c r="O167">
        <f>AND(B167&lt;&gt;"",B167&lt;&gt;설정!$B$4,C167&lt;&gt;설정!$B$5)</f>
        <v/>
      </c>
      <c r="P167">
        <f>IF(O167,B167&amp;"|"&amp;C167,"")</f>
        <v/>
      </c>
      <c r="Q167">
        <f>AND(O167,COUNTIF(P168:P$1002,P167)=0)</f>
        <v/>
      </c>
      <c r="R167">
        <f>OR(AND(설정!$A$42&lt;&gt;"",ISNUMBER(SEARCH(설정!$A$42,E167&amp;" "&amp;C167))),AND(설정!$A$43&lt;&gt;"",ISNUMBER(SEARCH(설정!$A$43,E167&amp;" "&amp;C167))),AND(설정!$A$44&lt;&gt;"",ISNUMBER(SEARCH(설정!$A$44,E167&amp;" "&amp;C167))),AND(설정!$A$45&lt;&gt;"",ISNUMBER(SEARCH(설정!$A$45,E167&amp;" "&amp;C167))),AND(설정!$A$46&lt;&gt;"",ISNUMBER(SEARCH(설정!$A$46,E167&amp;" "&amp;C167))),AND(설정!$A$47&lt;&gt;"",ISNUMBER(SEARCH(설정!$A$47,E167&amp;" "&amp;C167))),AND(설정!$A$48&lt;&gt;"",ISNUMBER(SEARCH(설정!$A$48,E167&amp;" "&amp;C167))),AND(설정!$A$49&lt;&gt;"",ISNUMBER(SEARCH(설정!$A$49,E167&amp;" "&amp;C167))),AND(설정!$A$50&lt;&gt;"",ISNUMBER(SEARCH(설정!$A$50,E167&amp;" "&amp;C167))),AND(설정!$A$51&lt;&gt;"",ISNUMBER(SEARCH(설정!$A$51,E167&amp;" "&amp;C167))))</f>
        <v/>
      </c>
      <c r="S167">
        <f>OR(D167="",D167&gt;=설정!$B$19)</f>
        <v/>
      </c>
      <c r="T167">
        <f>AND(Q167,R167,S167)</f>
        <v/>
      </c>
      <c r="U167">
        <f>IF(T167,IF(AND(설정!$A$54&lt;&gt;"",ISNUMBER(SEARCH(설정!$A$54,K167))),설정!$B$54,IF(AND(설정!$A$55&lt;&gt;"",ISNUMBER(SEARCH(설정!$A$55,K167))),설정!$B$55,IF(AND(설정!$A$56&lt;&gt;"",ISNUMBER(SEARCH(설정!$A$56,K167))),설정!$B$56,IF(AND(설정!$A$57&lt;&gt;"",ISNUMBER(SEARCH(설정!$A$57,K167))),설정!$B$57,IF(AND(설정!$A$58&lt;&gt;"",ISNUMBER(SEARCH(설정!$A$58,K167))),설정!$B$58,IF(AND(설정!$A$59&lt;&gt;"",ISNUMBER(SEARCH(설정!$A$59,K167))),설정!$B$59,IF(AND(설정!$A$60&lt;&gt;"",ISNUMBER(SEARCH(설정!$A$60,K167))),설정!$B$60,IF(AND(설정!$A$61&lt;&gt;"",ISNUMBER(SEARCH(설정!$A$61,K167))),설정!$B$61,IF(M167="","설계사","시공사"))))))))),"")</f>
        <v/>
      </c>
      <c r="V167">
        <f>SUBSTITUTE(SUBSTITUTE(SUBSTITUTE(SUBSTITUTE(G167,"(주)",""),"㈜",""),"주식회사","")," ","")</f>
        <v/>
      </c>
      <c r="W167">
        <f>IF(AND(T167,V167&lt;&gt;""),IF(COUNTIFS(V$2:V167,V167,T$2:T167,TRUE)=1,MAX(W$1:W166)+1,""),"")</f>
        <v/>
      </c>
      <c r="X167">
        <f>IF(설정!$C$14="","",IFERROR(INDEX('1.산군_붙여넣기'!$A$1:$AZ$1001,ROW(),설정!$C$14)&amp;"",""))</f>
        <v/>
      </c>
      <c r="Y167">
        <f>IF(설정!$C$15="","",IFERROR(INDEX('1.산군_붙여넣기'!$A$1:$AZ$1001,ROW(),설정!$C$15)&amp;"",""))</f>
        <v/>
      </c>
      <c r="Z167">
        <f>IF(T167,V167&amp;"|"&amp;U167,"")</f>
        <v/>
      </c>
      <c r="AA167">
        <f>IF(NOT(Q167),"",IF(NOT(AND(R167,S167)),"✕",IF(OR(OR(AND(L167&lt;&gt;"",M167&lt;&gt;"",N(M167)-N(L167)&gt;설정!$B$27),AND(L167&lt;&gt;"",M167="",설정!$B$24-N(L167)&gt;설정!$B$27)),AND(D167&lt;&gt;"",D167&lt;설정!$B$26)),"△","★")))</f>
        <v/>
      </c>
      <c r="AB167">
        <f>IF(NOT(T167),"",IF(U167="설계사",설정!$B$31,IF(U167="시공사",IF(OR(M167="",설정!$B$24-N(M167)&lt;=설정!$B$28*30.4),설정!$B$32,설정!$B$33),설정!$B$34))+IF(AA167="★",설정!$B$35,0))</f>
        <v/>
      </c>
      <c r="AC167">
        <f>SUBSTITUTE(SUBSTITUTE(SUBSTITUTE(SUBSTITUTE(H167,"(주)",""),"㈜",""),"주식회사","")," ","")</f>
        <v/>
      </c>
      <c r="AD167">
        <f>IF(AND(T167,AC167&lt;&gt;""),IF(COUNTIFS(AC$2:AC167,AC167,T$2:T167,TRUE)=1,MAX(AD$1:AD166)+1,""),"")</f>
        <v/>
      </c>
    </row>
    <row r="168">
      <c r="A168">
        <f>ROW()</f>
        <v/>
      </c>
      <c r="B168">
        <f>IF(설정!$C$4="","",IFERROR(INDEX('1.산군_붙여넣기'!$A$1:$AZ$1001,ROW(),설정!$C$4)&amp;"",""))</f>
        <v/>
      </c>
      <c r="C168">
        <f>IF(설정!$C$5="","",IFERROR(INDEX('1.산군_붙여넣기'!$A$1:$AZ$1001,ROW(),설정!$C$5)&amp;"",""))</f>
        <v/>
      </c>
      <c r="D168" s="5">
        <f>IFERROR(VALUE(SUBSTITUTE(SUBSTITUTE(SUBSTITUTE(IF(설정!$C$6="","",IFERROR(INDEX('1.산군_붙여넣기'!$A$1:$AZ$1001,ROW(),설정!$C$6)&amp;"","")),",",""),"㎡",""),"m2","")),"")</f>
        <v/>
      </c>
      <c r="E168">
        <f>IF(설정!$C$7="","",IFERROR(INDEX('1.산군_붙여넣기'!$A$1:$AZ$1001,ROW(),설정!$C$7)&amp;"",""))</f>
        <v/>
      </c>
      <c r="F168">
        <f>IF(설정!$C$8="","",IFERROR(INDEX('1.산군_붙여넣기'!$A$1:$AZ$1001,ROW(),설정!$C$8)&amp;"",""))</f>
        <v/>
      </c>
      <c r="G168">
        <f>IF(설정!$C$9="","",IFERROR(INDEX('1.산군_붙여넣기'!$A$1:$AZ$1001,ROW(),설정!$C$9)&amp;"",""))</f>
        <v/>
      </c>
      <c r="H168">
        <f>IF(설정!$C$10="","",IFERROR(INDEX('1.산군_붙여넣기'!$A$1:$AZ$1001,ROW(),설정!$C$10)&amp;"",""))</f>
        <v/>
      </c>
      <c r="I168">
        <f>IF(설정!$C$11="","",IFERROR(INDEX('1.산군_붙여넣기'!$A$1:$AZ$1001,ROW(),설정!$C$11)&amp;"",""))</f>
        <v/>
      </c>
      <c r="J168">
        <f>IF(설정!$C$12="","",IFERROR(INDEX('1.산군_붙여넣기'!$A$1:$AZ$1001,ROW(),설정!$C$12)&amp;"",""))</f>
        <v/>
      </c>
      <c r="K168">
        <f>IF(설정!$C$13="","",IFERROR(INDEX('1.산군_붙여넣기'!$A$1:$AZ$1001,ROW(),설정!$C$13)&amp;"",""))</f>
        <v/>
      </c>
      <c r="L168" s="7">
        <f>IF(X168="","",IF(AND(LEN(X168)=8,ISNUMBER(X168*1)),DATE(LEFT(X168,4),MID(X168,5,2),RIGHT(X168,2)),IFERROR(DATEVALUE(SUBSTITUTE(SUBSTITUTE(X168,".","-"),"/","-")),IFERROR(X168*1,""))))</f>
        <v/>
      </c>
      <c r="M168" s="7">
        <f>IF(Y168="","",IF(AND(LEN(Y168)=8,ISNUMBER(Y168*1)),DATE(LEFT(Y168,4),MID(Y168,5,2),RIGHT(Y168,2)),IFERROR(DATEVALUE(SUBSTITUTE(SUBSTITUTE(Y168,".","-"),"/","-")),IFERROR(Y168*1,""))))</f>
        <v/>
      </c>
      <c r="N168">
        <f>IFERROR(LEFT(B168,FIND(" ",B168)-1),B168)</f>
        <v/>
      </c>
      <c r="O168">
        <f>AND(B168&lt;&gt;"",B168&lt;&gt;설정!$B$4,C168&lt;&gt;설정!$B$5)</f>
        <v/>
      </c>
      <c r="P168">
        <f>IF(O168,B168&amp;"|"&amp;C168,"")</f>
        <v/>
      </c>
      <c r="Q168">
        <f>AND(O168,COUNTIF(P169:P$1002,P168)=0)</f>
        <v/>
      </c>
      <c r="R168">
        <f>OR(AND(설정!$A$42&lt;&gt;"",ISNUMBER(SEARCH(설정!$A$42,E168&amp;" "&amp;C168))),AND(설정!$A$43&lt;&gt;"",ISNUMBER(SEARCH(설정!$A$43,E168&amp;" "&amp;C168))),AND(설정!$A$44&lt;&gt;"",ISNUMBER(SEARCH(설정!$A$44,E168&amp;" "&amp;C168))),AND(설정!$A$45&lt;&gt;"",ISNUMBER(SEARCH(설정!$A$45,E168&amp;" "&amp;C168))),AND(설정!$A$46&lt;&gt;"",ISNUMBER(SEARCH(설정!$A$46,E168&amp;" "&amp;C168))),AND(설정!$A$47&lt;&gt;"",ISNUMBER(SEARCH(설정!$A$47,E168&amp;" "&amp;C168))),AND(설정!$A$48&lt;&gt;"",ISNUMBER(SEARCH(설정!$A$48,E168&amp;" "&amp;C168))),AND(설정!$A$49&lt;&gt;"",ISNUMBER(SEARCH(설정!$A$49,E168&amp;" "&amp;C168))),AND(설정!$A$50&lt;&gt;"",ISNUMBER(SEARCH(설정!$A$50,E168&amp;" "&amp;C168))),AND(설정!$A$51&lt;&gt;"",ISNUMBER(SEARCH(설정!$A$51,E168&amp;" "&amp;C168))))</f>
        <v/>
      </c>
      <c r="S168">
        <f>OR(D168="",D168&gt;=설정!$B$19)</f>
        <v/>
      </c>
      <c r="T168">
        <f>AND(Q168,R168,S168)</f>
        <v/>
      </c>
      <c r="U168">
        <f>IF(T168,IF(AND(설정!$A$54&lt;&gt;"",ISNUMBER(SEARCH(설정!$A$54,K168))),설정!$B$54,IF(AND(설정!$A$55&lt;&gt;"",ISNUMBER(SEARCH(설정!$A$55,K168))),설정!$B$55,IF(AND(설정!$A$56&lt;&gt;"",ISNUMBER(SEARCH(설정!$A$56,K168))),설정!$B$56,IF(AND(설정!$A$57&lt;&gt;"",ISNUMBER(SEARCH(설정!$A$57,K168))),설정!$B$57,IF(AND(설정!$A$58&lt;&gt;"",ISNUMBER(SEARCH(설정!$A$58,K168))),설정!$B$58,IF(AND(설정!$A$59&lt;&gt;"",ISNUMBER(SEARCH(설정!$A$59,K168))),설정!$B$59,IF(AND(설정!$A$60&lt;&gt;"",ISNUMBER(SEARCH(설정!$A$60,K168))),설정!$B$60,IF(AND(설정!$A$61&lt;&gt;"",ISNUMBER(SEARCH(설정!$A$61,K168))),설정!$B$61,IF(M168="","설계사","시공사"))))))))),"")</f>
        <v/>
      </c>
      <c r="V168">
        <f>SUBSTITUTE(SUBSTITUTE(SUBSTITUTE(SUBSTITUTE(G168,"(주)",""),"㈜",""),"주식회사","")," ","")</f>
        <v/>
      </c>
      <c r="W168">
        <f>IF(AND(T168,V168&lt;&gt;""),IF(COUNTIFS(V$2:V168,V168,T$2:T168,TRUE)=1,MAX(W$1:W167)+1,""),"")</f>
        <v/>
      </c>
      <c r="X168">
        <f>IF(설정!$C$14="","",IFERROR(INDEX('1.산군_붙여넣기'!$A$1:$AZ$1001,ROW(),설정!$C$14)&amp;"",""))</f>
        <v/>
      </c>
      <c r="Y168">
        <f>IF(설정!$C$15="","",IFERROR(INDEX('1.산군_붙여넣기'!$A$1:$AZ$1001,ROW(),설정!$C$15)&amp;"",""))</f>
        <v/>
      </c>
      <c r="Z168">
        <f>IF(T168,V168&amp;"|"&amp;U168,"")</f>
        <v/>
      </c>
      <c r="AA168">
        <f>IF(NOT(Q168),"",IF(NOT(AND(R168,S168)),"✕",IF(OR(OR(AND(L168&lt;&gt;"",M168&lt;&gt;"",N(M168)-N(L168)&gt;설정!$B$27),AND(L168&lt;&gt;"",M168="",설정!$B$24-N(L168)&gt;설정!$B$27)),AND(D168&lt;&gt;"",D168&lt;설정!$B$26)),"△","★")))</f>
        <v/>
      </c>
      <c r="AB168">
        <f>IF(NOT(T168),"",IF(U168="설계사",설정!$B$31,IF(U168="시공사",IF(OR(M168="",설정!$B$24-N(M168)&lt;=설정!$B$28*30.4),설정!$B$32,설정!$B$33),설정!$B$34))+IF(AA168="★",설정!$B$35,0))</f>
        <v/>
      </c>
      <c r="AC168">
        <f>SUBSTITUTE(SUBSTITUTE(SUBSTITUTE(SUBSTITUTE(H168,"(주)",""),"㈜",""),"주식회사","")," ","")</f>
        <v/>
      </c>
      <c r="AD168">
        <f>IF(AND(T168,AC168&lt;&gt;""),IF(COUNTIFS(AC$2:AC168,AC168,T$2:T168,TRUE)=1,MAX(AD$1:AD167)+1,""),"")</f>
        <v/>
      </c>
    </row>
    <row r="169">
      <c r="A169">
        <f>ROW()</f>
        <v/>
      </c>
      <c r="B169">
        <f>IF(설정!$C$4="","",IFERROR(INDEX('1.산군_붙여넣기'!$A$1:$AZ$1001,ROW(),설정!$C$4)&amp;"",""))</f>
        <v/>
      </c>
      <c r="C169">
        <f>IF(설정!$C$5="","",IFERROR(INDEX('1.산군_붙여넣기'!$A$1:$AZ$1001,ROW(),설정!$C$5)&amp;"",""))</f>
        <v/>
      </c>
      <c r="D169" s="5">
        <f>IFERROR(VALUE(SUBSTITUTE(SUBSTITUTE(SUBSTITUTE(IF(설정!$C$6="","",IFERROR(INDEX('1.산군_붙여넣기'!$A$1:$AZ$1001,ROW(),설정!$C$6)&amp;"","")),",",""),"㎡",""),"m2","")),"")</f>
        <v/>
      </c>
      <c r="E169">
        <f>IF(설정!$C$7="","",IFERROR(INDEX('1.산군_붙여넣기'!$A$1:$AZ$1001,ROW(),설정!$C$7)&amp;"",""))</f>
        <v/>
      </c>
      <c r="F169">
        <f>IF(설정!$C$8="","",IFERROR(INDEX('1.산군_붙여넣기'!$A$1:$AZ$1001,ROW(),설정!$C$8)&amp;"",""))</f>
        <v/>
      </c>
      <c r="G169">
        <f>IF(설정!$C$9="","",IFERROR(INDEX('1.산군_붙여넣기'!$A$1:$AZ$1001,ROW(),설정!$C$9)&amp;"",""))</f>
        <v/>
      </c>
      <c r="H169">
        <f>IF(설정!$C$10="","",IFERROR(INDEX('1.산군_붙여넣기'!$A$1:$AZ$1001,ROW(),설정!$C$10)&amp;"",""))</f>
        <v/>
      </c>
      <c r="I169">
        <f>IF(설정!$C$11="","",IFERROR(INDEX('1.산군_붙여넣기'!$A$1:$AZ$1001,ROW(),설정!$C$11)&amp;"",""))</f>
        <v/>
      </c>
      <c r="J169">
        <f>IF(설정!$C$12="","",IFERROR(INDEX('1.산군_붙여넣기'!$A$1:$AZ$1001,ROW(),설정!$C$12)&amp;"",""))</f>
        <v/>
      </c>
      <c r="K169">
        <f>IF(설정!$C$13="","",IFERROR(INDEX('1.산군_붙여넣기'!$A$1:$AZ$1001,ROW(),설정!$C$13)&amp;"",""))</f>
        <v/>
      </c>
      <c r="L169" s="7">
        <f>IF(X169="","",IF(AND(LEN(X169)=8,ISNUMBER(X169*1)),DATE(LEFT(X169,4),MID(X169,5,2),RIGHT(X169,2)),IFERROR(DATEVALUE(SUBSTITUTE(SUBSTITUTE(X169,".","-"),"/","-")),IFERROR(X169*1,""))))</f>
        <v/>
      </c>
      <c r="M169" s="7">
        <f>IF(Y169="","",IF(AND(LEN(Y169)=8,ISNUMBER(Y169*1)),DATE(LEFT(Y169,4),MID(Y169,5,2),RIGHT(Y169,2)),IFERROR(DATEVALUE(SUBSTITUTE(SUBSTITUTE(Y169,".","-"),"/","-")),IFERROR(Y169*1,""))))</f>
        <v/>
      </c>
      <c r="N169">
        <f>IFERROR(LEFT(B169,FIND(" ",B169)-1),B169)</f>
        <v/>
      </c>
      <c r="O169">
        <f>AND(B169&lt;&gt;"",B169&lt;&gt;설정!$B$4,C169&lt;&gt;설정!$B$5)</f>
        <v/>
      </c>
      <c r="P169">
        <f>IF(O169,B169&amp;"|"&amp;C169,"")</f>
        <v/>
      </c>
      <c r="Q169">
        <f>AND(O169,COUNTIF(P170:P$1002,P169)=0)</f>
        <v/>
      </c>
      <c r="R169">
        <f>OR(AND(설정!$A$42&lt;&gt;"",ISNUMBER(SEARCH(설정!$A$42,E169&amp;" "&amp;C169))),AND(설정!$A$43&lt;&gt;"",ISNUMBER(SEARCH(설정!$A$43,E169&amp;" "&amp;C169))),AND(설정!$A$44&lt;&gt;"",ISNUMBER(SEARCH(설정!$A$44,E169&amp;" "&amp;C169))),AND(설정!$A$45&lt;&gt;"",ISNUMBER(SEARCH(설정!$A$45,E169&amp;" "&amp;C169))),AND(설정!$A$46&lt;&gt;"",ISNUMBER(SEARCH(설정!$A$46,E169&amp;" "&amp;C169))),AND(설정!$A$47&lt;&gt;"",ISNUMBER(SEARCH(설정!$A$47,E169&amp;" "&amp;C169))),AND(설정!$A$48&lt;&gt;"",ISNUMBER(SEARCH(설정!$A$48,E169&amp;" "&amp;C169))),AND(설정!$A$49&lt;&gt;"",ISNUMBER(SEARCH(설정!$A$49,E169&amp;" "&amp;C169))),AND(설정!$A$50&lt;&gt;"",ISNUMBER(SEARCH(설정!$A$50,E169&amp;" "&amp;C169))),AND(설정!$A$51&lt;&gt;"",ISNUMBER(SEARCH(설정!$A$51,E169&amp;" "&amp;C169))))</f>
        <v/>
      </c>
      <c r="S169">
        <f>OR(D169="",D169&gt;=설정!$B$19)</f>
        <v/>
      </c>
      <c r="T169">
        <f>AND(Q169,R169,S169)</f>
        <v/>
      </c>
      <c r="U169">
        <f>IF(T169,IF(AND(설정!$A$54&lt;&gt;"",ISNUMBER(SEARCH(설정!$A$54,K169))),설정!$B$54,IF(AND(설정!$A$55&lt;&gt;"",ISNUMBER(SEARCH(설정!$A$55,K169))),설정!$B$55,IF(AND(설정!$A$56&lt;&gt;"",ISNUMBER(SEARCH(설정!$A$56,K169))),설정!$B$56,IF(AND(설정!$A$57&lt;&gt;"",ISNUMBER(SEARCH(설정!$A$57,K169))),설정!$B$57,IF(AND(설정!$A$58&lt;&gt;"",ISNUMBER(SEARCH(설정!$A$58,K169))),설정!$B$58,IF(AND(설정!$A$59&lt;&gt;"",ISNUMBER(SEARCH(설정!$A$59,K169))),설정!$B$59,IF(AND(설정!$A$60&lt;&gt;"",ISNUMBER(SEARCH(설정!$A$60,K169))),설정!$B$60,IF(AND(설정!$A$61&lt;&gt;"",ISNUMBER(SEARCH(설정!$A$61,K169))),설정!$B$61,IF(M169="","설계사","시공사"))))))))),"")</f>
        <v/>
      </c>
      <c r="V169">
        <f>SUBSTITUTE(SUBSTITUTE(SUBSTITUTE(SUBSTITUTE(G169,"(주)",""),"㈜",""),"주식회사","")," ","")</f>
        <v/>
      </c>
      <c r="W169">
        <f>IF(AND(T169,V169&lt;&gt;""),IF(COUNTIFS(V$2:V169,V169,T$2:T169,TRUE)=1,MAX(W$1:W168)+1,""),"")</f>
        <v/>
      </c>
      <c r="X169">
        <f>IF(설정!$C$14="","",IFERROR(INDEX('1.산군_붙여넣기'!$A$1:$AZ$1001,ROW(),설정!$C$14)&amp;"",""))</f>
        <v/>
      </c>
      <c r="Y169">
        <f>IF(설정!$C$15="","",IFERROR(INDEX('1.산군_붙여넣기'!$A$1:$AZ$1001,ROW(),설정!$C$15)&amp;"",""))</f>
        <v/>
      </c>
      <c r="Z169">
        <f>IF(T169,V169&amp;"|"&amp;U169,"")</f>
        <v/>
      </c>
      <c r="AA169">
        <f>IF(NOT(Q169),"",IF(NOT(AND(R169,S169)),"✕",IF(OR(OR(AND(L169&lt;&gt;"",M169&lt;&gt;"",N(M169)-N(L169)&gt;설정!$B$27),AND(L169&lt;&gt;"",M169="",설정!$B$24-N(L169)&gt;설정!$B$27)),AND(D169&lt;&gt;"",D169&lt;설정!$B$26)),"△","★")))</f>
        <v/>
      </c>
      <c r="AB169">
        <f>IF(NOT(T169),"",IF(U169="설계사",설정!$B$31,IF(U169="시공사",IF(OR(M169="",설정!$B$24-N(M169)&lt;=설정!$B$28*30.4),설정!$B$32,설정!$B$33),설정!$B$34))+IF(AA169="★",설정!$B$35,0))</f>
        <v/>
      </c>
      <c r="AC169">
        <f>SUBSTITUTE(SUBSTITUTE(SUBSTITUTE(SUBSTITUTE(H169,"(주)",""),"㈜",""),"주식회사","")," ","")</f>
        <v/>
      </c>
      <c r="AD169">
        <f>IF(AND(T169,AC169&lt;&gt;""),IF(COUNTIFS(AC$2:AC169,AC169,T$2:T169,TRUE)=1,MAX(AD$1:AD168)+1,""),"")</f>
        <v/>
      </c>
    </row>
    <row r="170">
      <c r="A170">
        <f>ROW()</f>
        <v/>
      </c>
      <c r="B170">
        <f>IF(설정!$C$4="","",IFERROR(INDEX('1.산군_붙여넣기'!$A$1:$AZ$1001,ROW(),설정!$C$4)&amp;"",""))</f>
        <v/>
      </c>
      <c r="C170">
        <f>IF(설정!$C$5="","",IFERROR(INDEX('1.산군_붙여넣기'!$A$1:$AZ$1001,ROW(),설정!$C$5)&amp;"",""))</f>
        <v/>
      </c>
      <c r="D170" s="5">
        <f>IFERROR(VALUE(SUBSTITUTE(SUBSTITUTE(SUBSTITUTE(IF(설정!$C$6="","",IFERROR(INDEX('1.산군_붙여넣기'!$A$1:$AZ$1001,ROW(),설정!$C$6)&amp;"","")),",",""),"㎡",""),"m2","")),"")</f>
        <v/>
      </c>
      <c r="E170">
        <f>IF(설정!$C$7="","",IFERROR(INDEX('1.산군_붙여넣기'!$A$1:$AZ$1001,ROW(),설정!$C$7)&amp;"",""))</f>
        <v/>
      </c>
      <c r="F170">
        <f>IF(설정!$C$8="","",IFERROR(INDEX('1.산군_붙여넣기'!$A$1:$AZ$1001,ROW(),설정!$C$8)&amp;"",""))</f>
        <v/>
      </c>
      <c r="G170">
        <f>IF(설정!$C$9="","",IFERROR(INDEX('1.산군_붙여넣기'!$A$1:$AZ$1001,ROW(),설정!$C$9)&amp;"",""))</f>
        <v/>
      </c>
      <c r="H170">
        <f>IF(설정!$C$10="","",IFERROR(INDEX('1.산군_붙여넣기'!$A$1:$AZ$1001,ROW(),설정!$C$10)&amp;"",""))</f>
        <v/>
      </c>
      <c r="I170">
        <f>IF(설정!$C$11="","",IFERROR(INDEX('1.산군_붙여넣기'!$A$1:$AZ$1001,ROW(),설정!$C$11)&amp;"",""))</f>
        <v/>
      </c>
      <c r="J170">
        <f>IF(설정!$C$12="","",IFERROR(INDEX('1.산군_붙여넣기'!$A$1:$AZ$1001,ROW(),설정!$C$12)&amp;"",""))</f>
        <v/>
      </c>
      <c r="K170">
        <f>IF(설정!$C$13="","",IFERROR(INDEX('1.산군_붙여넣기'!$A$1:$AZ$1001,ROW(),설정!$C$13)&amp;"",""))</f>
        <v/>
      </c>
      <c r="L170" s="7">
        <f>IF(X170="","",IF(AND(LEN(X170)=8,ISNUMBER(X170*1)),DATE(LEFT(X170,4),MID(X170,5,2),RIGHT(X170,2)),IFERROR(DATEVALUE(SUBSTITUTE(SUBSTITUTE(X170,".","-"),"/","-")),IFERROR(X170*1,""))))</f>
        <v/>
      </c>
      <c r="M170" s="7">
        <f>IF(Y170="","",IF(AND(LEN(Y170)=8,ISNUMBER(Y170*1)),DATE(LEFT(Y170,4),MID(Y170,5,2),RIGHT(Y170,2)),IFERROR(DATEVALUE(SUBSTITUTE(SUBSTITUTE(Y170,".","-"),"/","-")),IFERROR(Y170*1,""))))</f>
        <v/>
      </c>
      <c r="N170">
        <f>IFERROR(LEFT(B170,FIND(" ",B170)-1),B170)</f>
        <v/>
      </c>
      <c r="O170">
        <f>AND(B170&lt;&gt;"",B170&lt;&gt;설정!$B$4,C170&lt;&gt;설정!$B$5)</f>
        <v/>
      </c>
      <c r="P170">
        <f>IF(O170,B170&amp;"|"&amp;C170,"")</f>
        <v/>
      </c>
      <c r="Q170">
        <f>AND(O170,COUNTIF(P171:P$1002,P170)=0)</f>
        <v/>
      </c>
      <c r="R170">
        <f>OR(AND(설정!$A$42&lt;&gt;"",ISNUMBER(SEARCH(설정!$A$42,E170&amp;" "&amp;C170))),AND(설정!$A$43&lt;&gt;"",ISNUMBER(SEARCH(설정!$A$43,E170&amp;" "&amp;C170))),AND(설정!$A$44&lt;&gt;"",ISNUMBER(SEARCH(설정!$A$44,E170&amp;" "&amp;C170))),AND(설정!$A$45&lt;&gt;"",ISNUMBER(SEARCH(설정!$A$45,E170&amp;" "&amp;C170))),AND(설정!$A$46&lt;&gt;"",ISNUMBER(SEARCH(설정!$A$46,E170&amp;" "&amp;C170))),AND(설정!$A$47&lt;&gt;"",ISNUMBER(SEARCH(설정!$A$47,E170&amp;" "&amp;C170))),AND(설정!$A$48&lt;&gt;"",ISNUMBER(SEARCH(설정!$A$48,E170&amp;" "&amp;C170))),AND(설정!$A$49&lt;&gt;"",ISNUMBER(SEARCH(설정!$A$49,E170&amp;" "&amp;C170))),AND(설정!$A$50&lt;&gt;"",ISNUMBER(SEARCH(설정!$A$50,E170&amp;" "&amp;C170))),AND(설정!$A$51&lt;&gt;"",ISNUMBER(SEARCH(설정!$A$51,E170&amp;" "&amp;C170))))</f>
        <v/>
      </c>
      <c r="S170">
        <f>OR(D170="",D170&gt;=설정!$B$19)</f>
        <v/>
      </c>
      <c r="T170">
        <f>AND(Q170,R170,S170)</f>
        <v/>
      </c>
      <c r="U170">
        <f>IF(T170,IF(AND(설정!$A$54&lt;&gt;"",ISNUMBER(SEARCH(설정!$A$54,K170))),설정!$B$54,IF(AND(설정!$A$55&lt;&gt;"",ISNUMBER(SEARCH(설정!$A$55,K170))),설정!$B$55,IF(AND(설정!$A$56&lt;&gt;"",ISNUMBER(SEARCH(설정!$A$56,K170))),설정!$B$56,IF(AND(설정!$A$57&lt;&gt;"",ISNUMBER(SEARCH(설정!$A$57,K170))),설정!$B$57,IF(AND(설정!$A$58&lt;&gt;"",ISNUMBER(SEARCH(설정!$A$58,K170))),설정!$B$58,IF(AND(설정!$A$59&lt;&gt;"",ISNUMBER(SEARCH(설정!$A$59,K170))),설정!$B$59,IF(AND(설정!$A$60&lt;&gt;"",ISNUMBER(SEARCH(설정!$A$60,K170))),설정!$B$60,IF(AND(설정!$A$61&lt;&gt;"",ISNUMBER(SEARCH(설정!$A$61,K170))),설정!$B$61,IF(M170="","설계사","시공사"))))))))),"")</f>
        <v/>
      </c>
      <c r="V170">
        <f>SUBSTITUTE(SUBSTITUTE(SUBSTITUTE(SUBSTITUTE(G170,"(주)",""),"㈜",""),"주식회사","")," ","")</f>
        <v/>
      </c>
      <c r="W170">
        <f>IF(AND(T170,V170&lt;&gt;""),IF(COUNTIFS(V$2:V170,V170,T$2:T170,TRUE)=1,MAX(W$1:W169)+1,""),"")</f>
        <v/>
      </c>
      <c r="X170">
        <f>IF(설정!$C$14="","",IFERROR(INDEX('1.산군_붙여넣기'!$A$1:$AZ$1001,ROW(),설정!$C$14)&amp;"",""))</f>
        <v/>
      </c>
      <c r="Y170">
        <f>IF(설정!$C$15="","",IFERROR(INDEX('1.산군_붙여넣기'!$A$1:$AZ$1001,ROW(),설정!$C$15)&amp;"",""))</f>
        <v/>
      </c>
      <c r="Z170">
        <f>IF(T170,V170&amp;"|"&amp;U170,"")</f>
        <v/>
      </c>
      <c r="AA170">
        <f>IF(NOT(Q170),"",IF(NOT(AND(R170,S170)),"✕",IF(OR(OR(AND(L170&lt;&gt;"",M170&lt;&gt;"",N(M170)-N(L170)&gt;설정!$B$27),AND(L170&lt;&gt;"",M170="",설정!$B$24-N(L170)&gt;설정!$B$27)),AND(D170&lt;&gt;"",D170&lt;설정!$B$26)),"△","★")))</f>
        <v/>
      </c>
      <c r="AB170">
        <f>IF(NOT(T170),"",IF(U170="설계사",설정!$B$31,IF(U170="시공사",IF(OR(M170="",설정!$B$24-N(M170)&lt;=설정!$B$28*30.4),설정!$B$32,설정!$B$33),설정!$B$34))+IF(AA170="★",설정!$B$35,0))</f>
        <v/>
      </c>
      <c r="AC170">
        <f>SUBSTITUTE(SUBSTITUTE(SUBSTITUTE(SUBSTITUTE(H170,"(주)",""),"㈜",""),"주식회사","")," ","")</f>
        <v/>
      </c>
      <c r="AD170">
        <f>IF(AND(T170,AC170&lt;&gt;""),IF(COUNTIFS(AC$2:AC170,AC170,T$2:T170,TRUE)=1,MAX(AD$1:AD169)+1,""),"")</f>
        <v/>
      </c>
    </row>
    <row r="171">
      <c r="A171">
        <f>ROW()</f>
        <v/>
      </c>
      <c r="B171">
        <f>IF(설정!$C$4="","",IFERROR(INDEX('1.산군_붙여넣기'!$A$1:$AZ$1001,ROW(),설정!$C$4)&amp;"",""))</f>
        <v/>
      </c>
      <c r="C171">
        <f>IF(설정!$C$5="","",IFERROR(INDEX('1.산군_붙여넣기'!$A$1:$AZ$1001,ROW(),설정!$C$5)&amp;"",""))</f>
        <v/>
      </c>
      <c r="D171" s="5">
        <f>IFERROR(VALUE(SUBSTITUTE(SUBSTITUTE(SUBSTITUTE(IF(설정!$C$6="","",IFERROR(INDEX('1.산군_붙여넣기'!$A$1:$AZ$1001,ROW(),설정!$C$6)&amp;"","")),",",""),"㎡",""),"m2","")),"")</f>
        <v/>
      </c>
      <c r="E171">
        <f>IF(설정!$C$7="","",IFERROR(INDEX('1.산군_붙여넣기'!$A$1:$AZ$1001,ROW(),설정!$C$7)&amp;"",""))</f>
        <v/>
      </c>
      <c r="F171">
        <f>IF(설정!$C$8="","",IFERROR(INDEX('1.산군_붙여넣기'!$A$1:$AZ$1001,ROW(),설정!$C$8)&amp;"",""))</f>
        <v/>
      </c>
      <c r="G171">
        <f>IF(설정!$C$9="","",IFERROR(INDEX('1.산군_붙여넣기'!$A$1:$AZ$1001,ROW(),설정!$C$9)&amp;"",""))</f>
        <v/>
      </c>
      <c r="H171">
        <f>IF(설정!$C$10="","",IFERROR(INDEX('1.산군_붙여넣기'!$A$1:$AZ$1001,ROW(),설정!$C$10)&amp;"",""))</f>
        <v/>
      </c>
      <c r="I171">
        <f>IF(설정!$C$11="","",IFERROR(INDEX('1.산군_붙여넣기'!$A$1:$AZ$1001,ROW(),설정!$C$11)&amp;"",""))</f>
        <v/>
      </c>
      <c r="J171">
        <f>IF(설정!$C$12="","",IFERROR(INDEX('1.산군_붙여넣기'!$A$1:$AZ$1001,ROW(),설정!$C$12)&amp;"",""))</f>
        <v/>
      </c>
      <c r="K171">
        <f>IF(설정!$C$13="","",IFERROR(INDEX('1.산군_붙여넣기'!$A$1:$AZ$1001,ROW(),설정!$C$13)&amp;"",""))</f>
        <v/>
      </c>
      <c r="L171" s="7">
        <f>IF(X171="","",IF(AND(LEN(X171)=8,ISNUMBER(X171*1)),DATE(LEFT(X171,4),MID(X171,5,2),RIGHT(X171,2)),IFERROR(DATEVALUE(SUBSTITUTE(SUBSTITUTE(X171,".","-"),"/","-")),IFERROR(X171*1,""))))</f>
        <v/>
      </c>
      <c r="M171" s="7">
        <f>IF(Y171="","",IF(AND(LEN(Y171)=8,ISNUMBER(Y171*1)),DATE(LEFT(Y171,4),MID(Y171,5,2),RIGHT(Y171,2)),IFERROR(DATEVALUE(SUBSTITUTE(SUBSTITUTE(Y171,".","-"),"/","-")),IFERROR(Y171*1,""))))</f>
        <v/>
      </c>
      <c r="N171">
        <f>IFERROR(LEFT(B171,FIND(" ",B171)-1),B171)</f>
        <v/>
      </c>
      <c r="O171">
        <f>AND(B171&lt;&gt;"",B171&lt;&gt;설정!$B$4,C171&lt;&gt;설정!$B$5)</f>
        <v/>
      </c>
      <c r="P171">
        <f>IF(O171,B171&amp;"|"&amp;C171,"")</f>
        <v/>
      </c>
      <c r="Q171">
        <f>AND(O171,COUNTIF(P172:P$1002,P171)=0)</f>
        <v/>
      </c>
      <c r="R171">
        <f>OR(AND(설정!$A$42&lt;&gt;"",ISNUMBER(SEARCH(설정!$A$42,E171&amp;" "&amp;C171))),AND(설정!$A$43&lt;&gt;"",ISNUMBER(SEARCH(설정!$A$43,E171&amp;" "&amp;C171))),AND(설정!$A$44&lt;&gt;"",ISNUMBER(SEARCH(설정!$A$44,E171&amp;" "&amp;C171))),AND(설정!$A$45&lt;&gt;"",ISNUMBER(SEARCH(설정!$A$45,E171&amp;" "&amp;C171))),AND(설정!$A$46&lt;&gt;"",ISNUMBER(SEARCH(설정!$A$46,E171&amp;" "&amp;C171))),AND(설정!$A$47&lt;&gt;"",ISNUMBER(SEARCH(설정!$A$47,E171&amp;" "&amp;C171))),AND(설정!$A$48&lt;&gt;"",ISNUMBER(SEARCH(설정!$A$48,E171&amp;" "&amp;C171))),AND(설정!$A$49&lt;&gt;"",ISNUMBER(SEARCH(설정!$A$49,E171&amp;" "&amp;C171))),AND(설정!$A$50&lt;&gt;"",ISNUMBER(SEARCH(설정!$A$50,E171&amp;" "&amp;C171))),AND(설정!$A$51&lt;&gt;"",ISNUMBER(SEARCH(설정!$A$51,E171&amp;" "&amp;C171))))</f>
        <v/>
      </c>
      <c r="S171">
        <f>OR(D171="",D171&gt;=설정!$B$19)</f>
        <v/>
      </c>
      <c r="T171">
        <f>AND(Q171,R171,S171)</f>
        <v/>
      </c>
      <c r="U171">
        <f>IF(T171,IF(AND(설정!$A$54&lt;&gt;"",ISNUMBER(SEARCH(설정!$A$54,K171))),설정!$B$54,IF(AND(설정!$A$55&lt;&gt;"",ISNUMBER(SEARCH(설정!$A$55,K171))),설정!$B$55,IF(AND(설정!$A$56&lt;&gt;"",ISNUMBER(SEARCH(설정!$A$56,K171))),설정!$B$56,IF(AND(설정!$A$57&lt;&gt;"",ISNUMBER(SEARCH(설정!$A$57,K171))),설정!$B$57,IF(AND(설정!$A$58&lt;&gt;"",ISNUMBER(SEARCH(설정!$A$58,K171))),설정!$B$58,IF(AND(설정!$A$59&lt;&gt;"",ISNUMBER(SEARCH(설정!$A$59,K171))),설정!$B$59,IF(AND(설정!$A$60&lt;&gt;"",ISNUMBER(SEARCH(설정!$A$60,K171))),설정!$B$60,IF(AND(설정!$A$61&lt;&gt;"",ISNUMBER(SEARCH(설정!$A$61,K171))),설정!$B$61,IF(M171="","설계사","시공사"))))))))),"")</f>
        <v/>
      </c>
      <c r="V171">
        <f>SUBSTITUTE(SUBSTITUTE(SUBSTITUTE(SUBSTITUTE(G171,"(주)",""),"㈜",""),"주식회사","")," ","")</f>
        <v/>
      </c>
      <c r="W171">
        <f>IF(AND(T171,V171&lt;&gt;""),IF(COUNTIFS(V$2:V171,V171,T$2:T171,TRUE)=1,MAX(W$1:W170)+1,""),"")</f>
        <v/>
      </c>
      <c r="X171">
        <f>IF(설정!$C$14="","",IFERROR(INDEX('1.산군_붙여넣기'!$A$1:$AZ$1001,ROW(),설정!$C$14)&amp;"",""))</f>
        <v/>
      </c>
      <c r="Y171">
        <f>IF(설정!$C$15="","",IFERROR(INDEX('1.산군_붙여넣기'!$A$1:$AZ$1001,ROW(),설정!$C$15)&amp;"",""))</f>
        <v/>
      </c>
      <c r="Z171">
        <f>IF(T171,V171&amp;"|"&amp;U171,"")</f>
        <v/>
      </c>
      <c r="AA171">
        <f>IF(NOT(Q171),"",IF(NOT(AND(R171,S171)),"✕",IF(OR(OR(AND(L171&lt;&gt;"",M171&lt;&gt;"",N(M171)-N(L171)&gt;설정!$B$27),AND(L171&lt;&gt;"",M171="",설정!$B$24-N(L171)&gt;설정!$B$27)),AND(D171&lt;&gt;"",D171&lt;설정!$B$26)),"△","★")))</f>
        <v/>
      </c>
      <c r="AB171">
        <f>IF(NOT(T171),"",IF(U171="설계사",설정!$B$31,IF(U171="시공사",IF(OR(M171="",설정!$B$24-N(M171)&lt;=설정!$B$28*30.4),설정!$B$32,설정!$B$33),설정!$B$34))+IF(AA171="★",설정!$B$35,0))</f>
        <v/>
      </c>
      <c r="AC171">
        <f>SUBSTITUTE(SUBSTITUTE(SUBSTITUTE(SUBSTITUTE(H171,"(주)",""),"㈜",""),"주식회사","")," ","")</f>
        <v/>
      </c>
      <c r="AD171">
        <f>IF(AND(T171,AC171&lt;&gt;""),IF(COUNTIFS(AC$2:AC171,AC171,T$2:T171,TRUE)=1,MAX(AD$1:AD170)+1,""),"")</f>
        <v/>
      </c>
    </row>
    <row r="172">
      <c r="A172">
        <f>ROW()</f>
        <v/>
      </c>
      <c r="B172">
        <f>IF(설정!$C$4="","",IFERROR(INDEX('1.산군_붙여넣기'!$A$1:$AZ$1001,ROW(),설정!$C$4)&amp;"",""))</f>
        <v/>
      </c>
      <c r="C172">
        <f>IF(설정!$C$5="","",IFERROR(INDEX('1.산군_붙여넣기'!$A$1:$AZ$1001,ROW(),설정!$C$5)&amp;"",""))</f>
        <v/>
      </c>
      <c r="D172" s="5">
        <f>IFERROR(VALUE(SUBSTITUTE(SUBSTITUTE(SUBSTITUTE(IF(설정!$C$6="","",IFERROR(INDEX('1.산군_붙여넣기'!$A$1:$AZ$1001,ROW(),설정!$C$6)&amp;"","")),",",""),"㎡",""),"m2","")),"")</f>
        <v/>
      </c>
      <c r="E172">
        <f>IF(설정!$C$7="","",IFERROR(INDEX('1.산군_붙여넣기'!$A$1:$AZ$1001,ROW(),설정!$C$7)&amp;"",""))</f>
        <v/>
      </c>
      <c r="F172">
        <f>IF(설정!$C$8="","",IFERROR(INDEX('1.산군_붙여넣기'!$A$1:$AZ$1001,ROW(),설정!$C$8)&amp;"",""))</f>
        <v/>
      </c>
      <c r="G172">
        <f>IF(설정!$C$9="","",IFERROR(INDEX('1.산군_붙여넣기'!$A$1:$AZ$1001,ROW(),설정!$C$9)&amp;"",""))</f>
        <v/>
      </c>
      <c r="H172">
        <f>IF(설정!$C$10="","",IFERROR(INDEX('1.산군_붙여넣기'!$A$1:$AZ$1001,ROW(),설정!$C$10)&amp;"",""))</f>
        <v/>
      </c>
      <c r="I172">
        <f>IF(설정!$C$11="","",IFERROR(INDEX('1.산군_붙여넣기'!$A$1:$AZ$1001,ROW(),설정!$C$11)&amp;"",""))</f>
        <v/>
      </c>
      <c r="J172">
        <f>IF(설정!$C$12="","",IFERROR(INDEX('1.산군_붙여넣기'!$A$1:$AZ$1001,ROW(),설정!$C$12)&amp;"",""))</f>
        <v/>
      </c>
      <c r="K172">
        <f>IF(설정!$C$13="","",IFERROR(INDEX('1.산군_붙여넣기'!$A$1:$AZ$1001,ROW(),설정!$C$13)&amp;"",""))</f>
        <v/>
      </c>
      <c r="L172" s="7">
        <f>IF(X172="","",IF(AND(LEN(X172)=8,ISNUMBER(X172*1)),DATE(LEFT(X172,4),MID(X172,5,2),RIGHT(X172,2)),IFERROR(DATEVALUE(SUBSTITUTE(SUBSTITUTE(X172,".","-"),"/","-")),IFERROR(X172*1,""))))</f>
        <v/>
      </c>
      <c r="M172" s="7">
        <f>IF(Y172="","",IF(AND(LEN(Y172)=8,ISNUMBER(Y172*1)),DATE(LEFT(Y172,4),MID(Y172,5,2),RIGHT(Y172,2)),IFERROR(DATEVALUE(SUBSTITUTE(SUBSTITUTE(Y172,".","-"),"/","-")),IFERROR(Y172*1,""))))</f>
        <v/>
      </c>
      <c r="N172">
        <f>IFERROR(LEFT(B172,FIND(" ",B172)-1),B172)</f>
        <v/>
      </c>
      <c r="O172">
        <f>AND(B172&lt;&gt;"",B172&lt;&gt;설정!$B$4,C172&lt;&gt;설정!$B$5)</f>
        <v/>
      </c>
      <c r="P172">
        <f>IF(O172,B172&amp;"|"&amp;C172,"")</f>
        <v/>
      </c>
      <c r="Q172">
        <f>AND(O172,COUNTIF(P173:P$1002,P172)=0)</f>
        <v/>
      </c>
      <c r="R172">
        <f>OR(AND(설정!$A$42&lt;&gt;"",ISNUMBER(SEARCH(설정!$A$42,E172&amp;" "&amp;C172))),AND(설정!$A$43&lt;&gt;"",ISNUMBER(SEARCH(설정!$A$43,E172&amp;" "&amp;C172))),AND(설정!$A$44&lt;&gt;"",ISNUMBER(SEARCH(설정!$A$44,E172&amp;" "&amp;C172))),AND(설정!$A$45&lt;&gt;"",ISNUMBER(SEARCH(설정!$A$45,E172&amp;" "&amp;C172))),AND(설정!$A$46&lt;&gt;"",ISNUMBER(SEARCH(설정!$A$46,E172&amp;" "&amp;C172))),AND(설정!$A$47&lt;&gt;"",ISNUMBER(SEARCH(설정!$A$47,E172&amp;" "&amp;C172))),AND(설정!$A$48&lt;&gt;"",ISNUMBER(SEARCH(설정!$A$48,E172&amp;" "&amp;C172))),AND(설정!$A$49&lt;&gt;"",ISNUMBER(SEARCH(설정!$A$49,E172&amp;" "&amp;C172))),AND(설정!$A$50&lt;&gt;"",ISNUMBER(SEARCH(설정!$A$50,E172&amp;" "&amp;C172))),AND(설정!$A$51&lt;&gt;"",ISNUMBER(SEARCH(설정!$A$51,E172&amp;" "&amp;C172))))</f>
        <v/>
      </c>
      <c r="S172">
        <f>OR(D172="",D172&gt;=설정!$B$19)</f>
        <v/>
      </c>
      <c r="T172">
        <f>AND(Q172,R172,S172)</f>
        <v/>
      </c>
      <c r="U172">
        <f>IF(T172,IF(AND(설정!$A$54&lt;&gt;"",ISNUMBER(SEARCH(설정!$A$54,K172))),설정!$B$54,IF(AND(설정!$A$55&lt;&gt;"",ISNUMBER(SEARCH(설정!$A$55,K172))),설정!$B$55,IF(AND(설정!$A$56&lt;&gt;"",ISNUMBER(SEARCH(설정!$A$56,K172))),설정!$B$56,IF(AND(설정!$A$57&lt;&gt;"",ISNUMBER(SEARCH(설정!$A$57,K172))),설정!$B$57,IF(AND(설정!$A$58&lt;&gt;"",ISNUMBER(SEARCH(설정!$A$58,K172))),설정!$B$58,IF(AND(설정!$A$59&lt;&gt;"",ISNUMBER(SEARCH(설정!$A$59,K172))),설정!$B$59,IF(AND(설정!$A$60&lt;&gt;"",ISNUMBER(SEARCH(설정!$A$60,K172))),설정!$B$60,IF(AND(설정!$A$61&lt;&gt;"",ISNUMBER(SEARCH(설정!$A$61,K172))),설정!$B$61,IF(M172="","설계사","시공사"))))))))),"")</f>
        <v/>
      </c>
      <c r="V172">
        <f>SUBSTITUTE(SUBSTITUTE(SUBSTITUTE(SUBSTITUTE(G172,"(주)",""),"㈜",""),"주식회사","")," ","")</f>
        <v/>
      </c>
      <c r="W172">
        <f>IF(AND(T172,V172&lt;&gt;""),IF(COUNTIFS(V$2:V172,V172,T$2:T172,TRUE)=1,MAX(W$1:W171)+1,""),"")</f>
        <v/>
      </c>
      <c r="X172">
        <f>IF(설정!$C$14="","",IFERROR(INDEX('1.산군_붙여넣기'!$A$1:$AZ$1001,ROW(),설정!$C$14)&amp;"",""))</f>
        <v/>
      </c>
      <c r="Y172">
        <f>IF(설정!$C$15="","",IFERROR(INDEX('1.산군_붙여넣기'!$A$1:$AZ$1001,ROW(),설정!$C$15)&amp;"",""))</f>
        <v/>
      </c>
      <c r="Z172">
        <f>IF(T172,V172&amp;"|"&amp;U172,"")</f>
        <v/>
      </c>
      <c r="AA172">
        <f>IF(NOT(Q172),"",IF(NOT(AND(R172,S172)),"✕",IF(OR(OR(AND(L172&lt;&gt;"",M172&lt;&gt;"",N(M172)-N(L172)&gt;설정!$B$27),AND(L172&lt;&gt;"",M172="",설정!$B$24-N(L172)&gt;설정!$B$27)),AND(D172&lt;&gt;"",D172&lt;설정!$B$26)),"△","★")))</f>
        <v/>
      </c>
      <c r="AB172">
        <f>IF(NOT(T172),"",IF(U172="설계사",설정!$B$31,IF(U172="시공사",IF(OR(M172="",설정!$B$24-N(M172)&lt;=설정!$B$28*30.4),설정!$B$32,설정!$B$33),설정!$B$34))+IF(AA172="★",설정!$B$35,0))</f>
        <v/>
      </c>
      <c r="AC172">
        <f>SUBSTITUTE(SUBSTITUTE(SUBSTITUTE(SUBSTITUTE(H172,"(주)",""),"㈜",""),"주식회사","")," ","")</f>
        <v/>
      </c>
      <c r="AD172">
        <f>IF(AND(T172,AC172&lt;&gt;""),IF(COUNTIFS(AC$2:AC172,AC172,T$2:T172,TRUE)=1,MAX(AD$1:AD171)+1,""),"")</f>
        <v/>
      </c>
    </row>
    <row r="173">
      <c r="A173">
        <f>ROW()</f>
        <v/>
      </c>
      <c r="B173">
        <f>IF(설정!$C$4="","",IFERROR(INDEX('1.산군_붙여넣기'!$A$1:$AZ$1001,ROW(),설정!$C$4)&amp;"",""))</f>
        <v/>
      </c>
      <c r="C173">
        <f>IF(설정!$C$5="","",IFERROR(INDEX('1.산군_붙여넣기'!$A$1:$AZ$1001,ROW(),설정!$C$5)&amp;"",""))</f>
        <v/>
      </c>
      <c r="D173" s="5">
        <f>IFERROR(VALUE(SUBSTITUTE(SUBSTITUTE(SUBSTITUTE(IF(설정!$C$6="","",IFERROR(INDEX('1.산군_붙여넣기'!$A$1:$AZ$1001,ROW(),설정!$C$6)&amp;"","")),",",""),"㎡",""),"m2","")),"")</f>
        <v/>
      </c>
      <c r="E173">
        <f>IF(설정!$C$7="","",IFERROR(INDEX('1.산군_붙여넣기'!$A$1:$AZ$1001,ROW(),설정!$C$7)&amp;"",""))</f>
        <v/>
      </c>
      <c r="F173">
        <f>IF(설정!$C$8="","",IFERROR(INDEX('1.산군_붙여넣기'!$A$1:$AZ$1001,ROW(),설정!$C$8)&amp;"",""))</f>
        <v/>
      </c>
      <c r="G173">
        <f>IF(설정!$C$9="","",IFERROR(INDEX('1.산군_붙여넣기'!$A$1:$AZ$1001,ROW(),설정!$C$9)&amp;"",""))</f>
        <v/>
      </c>
      <c r="H173">
        <f>IF(설정!$C$10="","",IFERROR(INDEX('1.산군_붙여넣기'!$A$1:$AZ$1001,ROW(),설정!$C$10)&amp;"",""))</f>
        <v/>
      </c>
      <c r="I173">
        <f>IF(설정!$C$11="","",IFERROR(INDEX('1.산군_붙여넣기'!$A$1:$AZ$1001,ROW(),설정!$C$11)&amp;"",""))</f>
        <v/>
      </c>
      <c r="J173">
        <f>IF(설정!$C$12="","",IFERROR(INDEX('1.산군_붙여넣기'!$A$1:$AZ$1001,ROW(),설정!$C$12)&amp;"",""))</f>
        <v/>
      </c>
      <c r="K173">
        <f>IF(설정!$C$13="","",IFERROR(INDEX('1.산군_붙여넣기'!$A$1:$AZ$1001,ROW(),설정!$C$13)&amp;"",""))</f>
        <v/>
      </c>
      <c r="L173" s="7">
        <f>IF(X173="","",IF(AND(LEN(X173)=8,ISNUMBER(X173*1)),DATE(LEFT(X173,4),MID(X173,5,2),RIGHT(X173,2)),IFERROR(DATEVALUE(SUBSTITUTE(SUBSTITUTE(X173,".","-"),"/","-")),IFERROR(X173*1,""))))</f>
        <v/>
      </c>
      <c r="M173" s="7">
        <f>IF(Y173="","",IF(AND(LEN(Y173)=8,ISNUMBER(Y173*1)),DATE(LEFT(Y173,4),MID(Y173,5,2),RIGHT(Y173,2)),IFERROR(DATEVALUE(SUBSTITUTE(SUBSTITUTE(Y173,".","-"),"/","-")),IFERROR(Y173*1,""))))</f>
        <v/>
      </c>
      <c r="N173">
        <f>IFERROR(LEFT(B173,FIND(" ",B173)-1),B173)</f>
        <v/>
      </c>
      <c r="O173">
        <f>AND(B173&lt;&gt;"",B173&lt;&gt;설정!$B$4,C173&lt;&gt;설정!$B$5)</f>
        <v/>
      </c>
      <c r="P173">
        <f>IF(O173,B173&amp;"|"&amp;C173,"")</f>
        <v/>
      </c>
      <c r="Q173">
        <f>AND(O173,COUNTIF(P174:P$1002,P173)=0)</f>
        <v/>
      </c>
      <c r="R173">
        <f>OR(AND(설정!$A$42&lt;&gt;"",ISNUMBER(SEARCH(설정!$A$42,E173&amp;" "&amp;C173))),AND(설정!$A$43&lt;&gt;"",ISNUMBER(SEARCH(설정!$A$43,E173&amp;" "&amp;C173))),AND(설정!$A$44&lt;&gt;"",ISNUMBER(SEARCH(설정!$A$44,E173&amp;" "&amp;C173))),AND(설정!$A$45&lt;&gt;"",ISNUMBER(SEARCH(설정!$A$45,E173&amp;" "&amp;C173))),AND(설정!$A$46&lt;&gt;"",ISNUMBER(SEARCH(설정!$A$46,E173&amp;" "&amp;C173))),AND(설정!$A$47&lt;&gt;"",ISNUMBER(SEARCH(설정!$A$47,E173&amp;" "&amp;C173))),AND(설정!$A$48&lt;&gt;"",ISNUMBER(SEARCH(설정!$A$48,E173&amp;" "&amp;C173))),AND(설정!$A$49&lt;&gt;"",ISNUMBER(SEARCH(설정!$A$49,E173&amp;" "&amp;C173))),AND(설정!$A$50&lt;&gt;"",ISNUMBER(SEARCH(설정!$A$50,E173&amp;" "&amp;C173))),AND(설정!$A$51&lt;&gt;"",ISNUMBER(SEARCH(설정!$A$51,E173&amp;" "&amp;C173))))</f>
        <v/>
      </c>
      <c r="S173">
        <f>OR(D173="",D173&gt;=설정!$B$19)</f>
        <v/>
      </c>
      <c r="T173">
        <f>AND(Q173,R173,S173)</f>
        <v/>
      </c>
      <c r="U173">
        <f>IF(T173,IF(AND(설정!$A$54&lt;&gt;"",ISNUMBER(SEARCH(설정!$A$54,K173))),설정!$B$54,IF(AND(설정!$A$55&lt;&gt;"",ISNUMBER(SEARCH(설정!$A$55,K173))),설정!$B$55,IF(AND(설정!$A$56&lt;&gt;"",ISNUMBER(SEARCH(설정!$A$56,K173))),설정!$B$56,IF(AND(설정!$A$57&lt;&gt;"",ISNUMBER(SEARCH(설정!$A$57,K173))),설정!$B$57,IF(AND(설정!$A$58&lt;&gt;"",ISNUMBER(SEARCH(설정!$A$58,K173))),설정!$B$58,IF(AND(설정!$A$59&lt;&gt;"",ISNUMBER(SEARCH(설정!$A$59,K173))),설정!$B$59,IF(AND(설정!$A$60&lt;&gt;"",ISNUMBER(SEARCH(설정!$A$60,K173))),설정!$B$60,IF(AND(설정!$A$61&lt;&gt;"",ISNUMBER(SEARCH(설정!$A$61,K173))),설정!$B$61,IF(M173="","설계사","시공사"))))))))),"")</f>
        <v/>
      </c>
      <c r="V173">
        <f>SUBSTITUTE(SUBSTITUTE(SUBSTITUTE(SUBSTITUTE(G173,"(주)",""),"㈜",""),"주식회사","")," ","")</f>
        <v/>
      </c>
      <c r="W173">
        <f>IF(AND(T173,V173&lt;&gt;""),IF(COUNTIFS(V$2:V173,V173,T$2:T173,TRUE)=1,MAX(W$1:W172)+1,""),"")</f>
        <v/>
      </c>
      <c r="X173">
        <f>IF(설정!$C$14="","",IFERROR(INDEX('1.산군_붙여넣기'!$A$1:$AZ$1001,ROW(),설정!$C$14)&amp;"",""))</f>
        <v/>
      </c>
      <c r="Y173">
        <f>IF(설정!$C$15="","",IFERROR(INDEX('1.산군_붙여넣기'!$A$1:$AZ$1001,ROW(),설정!$C$15)&amp;"",""))</f>
        <v/>
      </c>
      <c r="Z173">
        <f>IF(T173,V173&amp;"|"&amp;U173,"")</f>
        <v/>
      </c>
      <c r="AA173">
        <f>IF(NOT(Q173),"",IF(NOT(AND(R173,S173)),"✕",IF(OR(OR(AND(L173&lt;&gt;"",M173&lt;&gt;"",N(M173)-N(L173)&gt;설정!$B$27),AND(L173&lt;&gt;"",M173="",설정!$B$24-N(L173)&gt;설정!$B$27)),AND(D173&lt;&gt;"",D173&lt;설정!$B$26)),"△","★")))</f>
        <v/>
      </c>
      <c r="AB173">
        <f>IF(NOT(T173),"",IF(U173="설계사",설정!$B$31,IF(U173="시공사",IF(OR(M173="",설정!$B$24-N(M173)&lt;=설정!$B$28*30.4),설정!$B$32,설정!$B$33),설정!$B$34))+IF(AA173="★",설정!$B$35,0))</f>
        <v/>
      </c>
      <c r="AC173">
        <f>SUBSTITUTE(SUBSTITUTE(SUBSTITUTE(SUBSTITUTE(H173,"(주)",""),"㈜",""),"주식회사","")," ","")</f>
        <v/>
      </c>
      <c r="AD173">
        <f>IF(AND(T173,AC173&lt;&gt;""),IF(COUNTIFS(AC$2:AC173,AC173,T$2:T173,TRUE)=1,MAX(AD$1:AD172)+1,""),"")</f>
        <v/>
      </c>
    </row>
    <row r="174">
      <c r="A174">
        <f>ROW()</f>
        <v/>
      </c>
      <c r="B174">
        <f>IF(설정!$C$4="","",IFERROR(INDEX('1.산군_붙여넣기'!$A$1:$AZ$1001,ROW(),설정!$C$4)&amp;"",""))</f>
        <v/>
      </c>
      <c r="C174">
        <f>IF(설정!$C$5="","",IFERROR(INDEX('1.산군_붙여넣기'!$A$1:$AZ$1001,ROW(),설정!$C$5)&amp;"",""))</f>
        <v/>
      </c>
      <c r="D174" s="5">
        <f>IFERROR(VALUE(SUBSTITUTE(SUBSTITUTE(SUBSTITUTE(IF(설정!$C$6="","",IFERROR(INDEX('1.산군_붙여넣기'!$A$1:$AZ$1001,ROW(),설정!$C$6)&amp;"","")),",",""),"㎡",""),"m2","")),"")</f>
        <v/>
      </c>
      <c r="E174">
        <f>IF(설정!$C$7="","",IFERROR(INDEX('1.산군_붙여넣기'!$A$1:$AZ$1001,ROW(),설정!$C$7)&amp;"",""))</f>
        <v/>
      </c>
      <c r="F174">
        <f>IF(설정!$C$8="","",IFERROR(INDEX('1.산군_붙여넣기'!$A$1:$AZ$1001,ROW(),설정!$C$8)&amp;"",""))</f>
        <v/>
      </c>
      <c r="G174">
        <f>IF(설정!$C$9="","",IFERROR(INDEX('1.산군_붙여넣기'!$A$1:$AZ$1001,ROW(),설정!$C$9)&amp;"",""))</f>
        <v/>
      </c>
      <c r="H174">
        <f>IF(설정!$C$10="","",IFERROR(INDEX('1.산군_붙여넣기'!$A$1:$AZ$1001,ROW(),설정!$C$10)&amp;"",""))</f>
        <v/>
      </c>
      <c r="I174">
        <f>IF(설정!$C$11="","",IFERROR(INDEX('1.산군_붙여넣기'!$A$1:$AZ$1001,ROW(),설정!$C$11)&amp;"",""))</f>
        <v/>
      </c>
      <c r="J174">
        <f>IF(설정!$C$12="","",IFERROR(INDEX('1.산군_붙여넣기'!$A$1:$AZ$1001,ROW(),설정!$C$12)&amp;"",""))</f>
        <v/>
      </c>
      <c r="K174">
        <f>IF(설정!$C$13="","",IFERROR(INDEX('1.산군_붙여넣기'!$A$1:$AZ$1001,ROW(),설정!$C$13)&amp;"",""))</f>
        <v/>
      </c>
      <c r="L174" s="7">
        <f>IF(X174="","",IF(AND(LEN(X174)=8,ISNUMBER(X174*1)),DATE(LEFT(X174,4),MID(X174,5,2),RIGHT(X174,2)),IFERROR(DATEVALUE(SUBSTITUTE(SUBSTITUTE(X174,".","-"),"/","-")),IFERROR(X174*1,""))))</f>
        <v/>
      </c>
      <c r="M174" s="7">
        <f>IF(Y174="","",IF(AND(LEN(Y174)=8,ISNUMBER(Y174*1)),DATE(LEFT(Y174,4),MID(Y174,5,2),RIGHT(Y174,2)),IFERROR(DATEVALUE(SUBSTITUTE(SUBSTITUTE(Y174,".","-"),"/","-")),IFERROR(Y174*1,""))))</f>
        <v/>
      </c>
      <c r="N174">
        <f>IFERROR(LEFT(B174,FIND(" ",B174)-1),B174)</f>
        <v/>
      </c>
      <c r="O174">
        <f>AND(B174&lt;&gt;"",B174&lt;&gt;설정!$B$4,C174&lt;&gt;설정!$B$5)</f>
        <v/>
      </c>
      <c r="P174">
        <f>IF(O174,B174&amp;"|"&amp;C174,"")</f>
        <v/>
      </c>
      <c r="Q174">
        <f>AND(O174,COUNTIF(P175:P$1002,P174)=0)</f>
        <v/>
      </c>
      <c r="R174">
        <f>OR(AND(설정!$A$42&lt;&gt;"",ISNUMBER(SEARCH(설정!$A$42,E174&amp;" "&amp;C174))),AND(설정!$A$43&lt;&gt;"",ISNUMBER(SEARCH(설정!$A$43,E174&amp;" "&amp;C174))),AND(설정!$A$44&lt;&gt;"",ISNUMBER(SEARCH(설정!$A$44,E174&amp;" "&amp;C174))),AND(설정!$A$45&lt;&gt;"",ISNUMBER(SEARCH(설정!$A$45,E174&amp;" "&amp;C174))),AND(설정!$A$46&lt;&gt;"",ISNUMBER(SEARCH(설정!$A$46,E174&amp;" "&amp;C174))),AND(설정!$A$47&lt;&gt;"",ISNUMBER(SEARCH(설정!$A$47,E174&amp;" "&amp;C174))),AND(설정!$A$48&lt;&gt;"",ISNUMBER(SEARCH(설정!$A$48,E174&amp;" "&amp;C174))),AND(설정!$A$49&lt;&gt;"",ISNUMBER(SEARCH(설정!$A$49,E174&amp;" "&amp;C174))),AND(설정!$A$50&lt;&gt;"",ISNUMBER(SEARCH(설정!$A$50,E174&amp;" "&amp;C174))),AND(설정!$A$51&lt;&gt;"",ISNUMBER(SEARCH(설정!$A$51,E174&amp;" "&amp;C174))))</f>
        <v/>
      </c>
      <c r="S174">
        <f>OR(D174="",D174&gt;=설정!$B$19)</f>
        <v/>
      </c>
      <c r="T174">
        <f>AND(Q174,R174,S174)</f>
        <v/>
      </c>
      <c r="U174">
        <f>IF(T174,IF(AND(설정!$A$54&lt;&gt;"",ISNUMBER(SEARCH(설정!$A$54,K174))),설정!$B$54,IF(AND(설정!$A$55&lt;&gt;"",ISNUMBER(SEARCH(설정!$A$55,K174))),설정!$B$55,IF(AND(설정!$A$56&lt;&gt;"",ISNUMBER(SEARCH(설정!$A$56,K174))),설정!$B$56,IF(AND(설정!$A$57&lt;&gt;"",ISNUMBER(SEARCH(설정!$A$57,K174))),설정!$B$57,IF(AND(설정!$A$58&lt;&gt;"",ISNUMBER(SEARCH(설정!$A$58,K174))),설정!$B$58,IF(AND(설정!$A$59&lt;&gt;"",ISNUMBER(SEARCH(설정!$A$59,K174))),설정!$B$59,IF(AND(설정!$A$60&lt;&gt;"",ISNUMBER(SEARCH(설정!$A$60,K174))),설정!$B$60,IF(AND(설정!$A$61&lt;&gt;"",ISNUMBER(SEARCH(설정!$A$61,K174))),설정!$B$61,IF(M174="","설계사","시공사"))))))))),"")</f>
        <v/>
      </c>
      <c r="V174">
        <f>SUBSTITUTE(SUBSTITUTE(SUBSTITUTE(SUBSTITUTE(G174,"(주)",""),"㈜",""),"주식회사","")," ","")</f>
        <v/>
      </c>
      <c r="W174">
        <f>IF(AND(T174,V174&lt;&gt;""),IF(COUNTIFS(V$2:V174,V174,T$2:T174,TRUE)=1,MAX(W$1:W173)+1,""),"")</f>
        <v/>
      </c>
      <c r="X174">
        <f>IF(설정!$C$14="","",IFERROR(INDEX('1.산군_붙여넣기'!$A$1:$AZ$1001,ROW(),설정!$C$14)&amp;"",""))</f>
        <v/>
      </c>
      <c r="Y174">
        <f>IF(설정!$C$15="","",IFERROR(INDEX('1.산군_붙여넣기'!$A$1:$AZ$1001,ROW(),설정!$C$15)&amp;"",""))</f>
        <v/>
      </c>
      <c r="Z174">
        <f>IF(T174,V174&amp;"|"&amp;U174,"")</f>
        <v/>
      </c>
      <c r="AA174">
        <f>IF(NOT(Q174),"",IF(NOT(AND(R174,S174)),"✕",IF(OR(OR(AND(L174&lt;&gt;"",M174&lt;&gt;"",N(M174)-N(L174)&gt;설정!$B$27),AND(L174&lt;&gt;"",M174="",설정!$B$24-N(L174)&gt;설정!$B$27)),AND(D174&lt;&gt;"",D174&lt;설정!$B$26)),"△","★")))</f>
        <v/>
      </c>
      <c r="AB174">
        <f>IF(NOT(T174),"",IF(U174="설계사",설정!$B$31,IF(U174="시공사",IF(OR(M174="",설정!$B$24-N(M174)&lt;=설정!$B$28*30.4),설정!$B$32,설정!$B$33),설정!$B$34))+IF(AA174="★",설정!$B$35,0))</f>
        <v/>
      </c>
      <c r="AC174">
        <f>SUBSTITUTE(SUBSTITUTE(SUBSTITUTE(SUBSTITUTE(H174,"(주)",""),"㈜",""),"주식회사","")," ","")</f>
        <v/>
      </c>
      <c r="AD174">
        <f>IF(AND(T174,AC174&lt;&gt;""),IF(COUNTIFS(AC$2:AC174,AC174,T$2:T174,TRUE)=1,MAX(AD$1:AD173)+1,""),"")</f>
        <v/>
      </c>
    </row>
    <row r="175">
      <c r="A175">
        <f>ROW()</f>
        <v/>
      </c>
      <c r="B175">
        <f>IF(설정!$C$4="","",IFERROR(INDEX('1.산군_붙여넣기'!$A$1:$AZ$1001,ROW(),설정!$C$4)&amp;"",""))</f>
        <v/>
      </c>
      <c r="C175">
        <f>IF(설정!$C$5="","",IFERROR(INDEX('1.산군_붙여넣기'!$A$1:$AZ$1001,ROW(),설정!$C$5)&amp;"",""))</f>
        <v/>
      </c>
      <c r="D175" s="5">
        <f>IFERROR(VALUE(SUBSTITUTE(SUBSTITUTE(SUBSTITUTE(IF(설정!$C$6="","",IFERROR(INDEX('1.산군_붙여넣기'!$A$1:$AZ$1001,ROW(),설정!$C$6)&amp;"","")),",",""),"㎡",""),"m2","")),"")</f>
        <v/>
      </c>
      <c r="E175">
        <f>IF(설정!$C$7="","",IFERROR(INDEX('1.산군_붙여넣기'!$A$1:$AZ$1001,ROW(),설정!$C$7)&amp;"",""))</f>
        <v/>
      </c>
      <c r="F175">
        <f>IF(설정!$C$8="","",IFERROR(INDEX('1.산군_붙여넣기'!$A$1:$AZ$1001,ROW(),설정!$C$8)&amp;"",""))</f>
        <v/>
      </c>
      <c r="G175">
        <f>IF(설정!$C$9="","",IFERROR(INDEX('1.산군_붙여넣기'!$A$1:$AZ$1001,ROW(),설정!$C$9)&amp;"",""))</f>
        <v/>
      </c>
      <c r="H175">
        <f>IF(설정!$C$10="","",IFERROR(INDEX('1.산군_붙여넣기'!$A$1:$AZ$1001,ROW(),설정!$C$10)&amp;"",""))</f>
        <v/>
      </c>
      <c r="I175">
        <f>IF(설정!$C$11="","",IFERROR(INDEX('1.산군_붙여넣기'!$A$1:$AZ$1001,ROW(),설정!$C$11)&amp;"",""))</f>
        <v/>
      </c>
      <c r="J175">
        <f>IF(설정!$C$12="","",IFERROR(INDEX('1.산군_붙여넣기'!$A$1:$AZ$1001,ROW(),설정!$C$12)&amp;"",""))</f>
        <v/>
      </c>
      <c r="K175">
        <f>IF(설정!$C$13="","",IFERROR(INDEX('1.산군_붙여넣기'!$A$1:$AZ$1001,ROW(),설정!$C$13)&amp;"",""))</f>
        <v/>
      </c>
      <c r="L175" s="7">
        <f>IF(X175="","",IF(AND(LEN(X175)=8,ISNUMBER(X175*1)),DATE(LEFT(X175,4),MID(X175,5,2),RIGHT(X175,2)),IFERROR(DATEVALUE(SUBSTITUTE(SUBSTITUTE(X175,".","-"),"/","-")),IFERROR(X175*1,""))))</f>
        <v/>
      </c>
      <c r="M175" s="7">
        <f>IF(Y175="","",IF(AND(LEN(Y175)=8,ISNUMBER(Y175*1)),DATE(LEFT(Y175,4),MID(Y175,5,2),RIGHT(Y175,2)),IFERROR(DATEVALUE(SUBSTITUTE(SUBSTITUTE(Y175,".","-"),"/","-")),IFERROR(Y175*1,""))))</f>
        <v/>
      </c>
      <c r="N175">
        <f>IFERROR(LEFT(B175,FIND(" ",B175)-1),B175)</f>
        <v/>
      </c>
      <c r="O175">
        <f>AND(B175&lt;&gt;"",B175&lt;&gt;설정!$B$4,C175&lt;&gt;설정!$B$5)</f>
        <v/>
      </c>
      <c r="P175">
        <f>IF(O175,B175&amp;"|"&amp;C175,"")</f>
        <v/>
      </c>
      <c r="Q175">
        <f>AND(O175,COUNTIF(P176:P$1002,P175)=0)</f>
        <v/>
      </c>
      <c r="R175">
        <f>OR(AND(설정!$A$42&lt;&gt;"",ISNUMBER(SEARCH(설정!$A$42,E175&amp;" "&amp;C175))),AND(설정!$A$43&lt;&gt;"",ISNUMBER(SEARCH(설정!$A$43,E175&amp;" "&amp;C175))),AND(설정!$A$44&lt;&gt;"",ISNUMBER(SEARCH(설정!$A$44,E175&amp;" "&amp;C175))),AND(설정!$A$45&lt;&gt;"",ISNUMBER(SEARCH(설정!$A$45,E175&amp;" "&amp;C175))),AND(설정!$A$46&lt;&gt;"",ISNUMBER(SEARCH(설정!$A$46,E175&amp;" "&amp;C175))),AND(설정!$A$47&lt;&gt;"",ISNUMBER(SEARCH(설정!$A$47,E175&amp;" "&amp;C175))),AND(설정!$A$48&lt;&gt;"",ISNUMBER(SEARCH(설정!$A$48,E175&amp;" "&amp;C175))),AND(설정!$A$49&lt;&gt;"",ISNUMBER(SEARCH(설정!$A$49,E175&amp;" "&amp;C175))),AND(설정!$A$50&lt;&gt;"",ISNUMBER(SEARCH(설정!$A$50,E175&amp;" "&amp;C175))),AND(설정!$A$51&lt;&gt;"",ISNUMBER(SEARCH(설정!$A$51,E175&amp;" "&amp;C175))))</f>
        <v/>
      </c>
      <c r="S175">
        <f>OR(D175="",D175&gt;=설정!$B$19)</f>
        <v/>
      </c>
      <c r="T175">
        <f>AND(Q175,R175,S175)</f>
        <v/>
      </c>
      <c r="U175">
        <f>IF(T175,IF(AND(설정!$A$54&lt;&gt;"",ISNUMBER(SEARCH(설정!$A$54,K175))),설정!$B$54,IF(AND(설정!$A$55&lt;&gt;"",ISNUMBER(SEARCH(설정!$A$55,K175))),설정!$B$55,IF(AND(설정!$A$56&lt;&gt;"",ISNUMBER(SEARCH(설정!$A$56,K175))),설정!$B$56,IF(AND(설정!$A$57&lt;&gt;"",ISNUMBER(SEARCH(설정!$A$57,K175))),설정!$B$57,IF(AND(설정!$A$58&lt;&gt;"",ISNUMBER(SEARCH(설정!$A$58,K175))),설정!$B$58,IF(AND(설정!$A$59&lt;&gt;"",ISNUMBER(SEARCH(설정!$A$59,K175))),설정!$B$59,IF(AND(설정!$A$60&lt;&gt;"",ISNUMBER(SEARCH(설정!$A$60,K175))),설정!$B$60,IF(AND(설정!$A$61&lt;&gt;"",ISNUMBER(SEARCH(설정!$A$61,K175))),설정!$B$61,IF(M175="","설계사","시공사"))))))))),"")</f>
        <v/>
      </c>
      <c r="V175">
        <f>SUBSTITUTE(SUBSTITUTE(SUBSTITUTE(SUBSTITUTE(G175,"(주)",""),"㈜",""),"주식회사","")," ","")</f>
        <v/>
      </c>
      <c r="W175">
        <f>IF(AND(T175,V175&lt;&gt;""),IF(COUNTIFS(V$2:V175,V175,T$2:T175,TRUE)=1,MAX(W$1:W174)+1,""),"")</f>
        <v/>
      </c>
      <c r="X175">
        <f>IF(설정!$C$14="","",IFERROR(INDEX('1.산군_붙여넣기'!$A$1:$AZ$1001,ROW(),설정!$C$14)&amp;"",""))</f>
        <v/>
      </c>
      <c r="Y175">
        <f>IF(설정!$C$15="","",IFERROR(INDEX('1.산군_붙여넣기'!$A$1:$AZ$1001,ROW(),설정!$C$15)&amp;"",""))</f>
        <v/>
      </c>
      <c r="Z175">
        <f>IF(T175,V175&amp;"|"&amp;U175,"")</f>
        <v/>
      </c>
      <c r="AA175">
        <f>IF(NOT(Q175),"",IF(NOT(AND(R175,S175)),"✕",IF(OR(OR(AND(L175&lt;&gt;"",M175&lt;&gt;"",N(M175)-N(L175)&gt;설정!$B$27),AND(L175&lt;&gt;"",M175="",설정!$B$24-N(L175)&gt;설정!$B$27)),AND(D175&lt;&gt;"",D175&lt;설정!$B$26)),"△","★")))</f>
        <v/>
      </c>
      <c r="AB175">
        <f>IF(NOT(T175),"",IF(U175="설계사",설정!$B$31,IF(U175="시공사",IF(OR(M175="",설정!$B$24-N(M175)&lt;=설정!$B$28*30.4),설정!$B$32,설정!$B$33),설정!$B$34))+IF(AA175="★",설정!$B$35,0))</f>
        <v/>
      </c>
      <c r="AC175">
        <f>SUBSTITUTE(SUBSTITUTE(SUBSTITUTE(SUBSTITUTE(H175,"(주)",""),"㈜",""),"주식회사","")," ","")</f>
        <v/>
      </c>
      <c r="AD175">
        <f>IF(AND(T175,AC175&lt;&gt;""),IF(COUNTIFS(AC$2:AC175,AC175,T$2:T175,TRUE)=1,MAX(AD$1:AD174)+1,""),"")</f>
        <v/>
      </c>
    </row>
    <row r="176">
      <c r="A176">
        <f>ROW()</f>
        <v/>
      </c>
      <c r="B176">
        <f>IF(설정!$C$4="","",IFERROR(INDEX('1.산군_붙여넣기'!$A$1:$AZ$1001,ROW(),설정!$C$4)&amp;"",""))</f>
        <v/>
      </c>
      <c r="C176">
        <f>IF(설정!$C$5="","",IFERROR(INDEX('1.산군_붙여넣기'!$A$1:$AZ$1001,ROW(),설정!$C$5)&amp;"",""))</f>
        <v/>
      </c>
      <c r="D176" s="5">
        <f>IFERROR(VALUE(SUBSTITUTE(SUBSTITUTE(SUBSTITUTE(IF(설정!$C$6="","",IFERROR(INDEX('1.산군_붙여넣기'!$A$1:$AZ$1001,ROW(),설정!$C$6)&amp;"","")),",",""),"㎡",""),"m2","")),"")</f>
        <v/>
      </c>
      <c r="E176">
        <f>IF(설정!$C$7="","",IFERROR(INDEX('1.산군_붙여넣기'!$A$1:$AZ$1001,ROW(),설정!$C$7)&amp;"",""))</f>
        <v/>
      </c>
      <c r="F176">
        <f>IF(설정!$C$8="","",IFERROR(INDEX('1.산군_붙여넣기'!$A$1:$AZ$1001,ROW(),설정!$C$8)&amp;"",""))</f>
        <v/>
      </c>
      <c r="G176">
        <f>IF(설정!$C$9="","",IFERROR(INDEX('1.산군_붙여넣기'!$A$1:$AZ$1001,ROW(),설정!$C$9)&amp;"",""))</f>
        <v/>
      </c>
      <c r="H176">
        <f>IF(설정!$C$10="","",IFERROR(INDEX('1.산군_붙여넣기'!$A$1:$AZ$1001,ROW(),설정!$C$10)&amp;"",""))</f>
        <v/>
      </c>
      <c r="I176">
        <f>IF(설정!$C$11="","",IFERROR(INDEX('1.산군_붙여넣기'!$A$1:$AZ$1001,ROW(),설정!$C$11)&amp;"",""))</f>
        <v/>
      </c>
      <c r="J176">
        <f>IF(설정!$C$12="","",IFERROR(INDEX('1.산군_붙여넣기'!$A$1:$AZ$1001,ROW(),설정!$C$12)&amp;"",""))</f>
        <v/>
      </c>
      <c r="K176">
        <f>IF(설정!$C$13="","",IFERROR(INDEX('1.산군_붙여넣기'!$A$1:$AZ$1001,ROW(),설정!$C$13)&amp;"",""))</f>
        <v/>
      </c>
      <c r="L176" s="7">
        <f>IF(X176="","",IF(AND(LEN(X176)=8,ISNUMBER(X176*1)),DATE(LEFT(X176,4),MID(X176,5,2),RIGHT(X176,2)),IFERROR(DATEVALUE(SUBSTITUTE(SUBSTITUTE(X176,".","-"),"/","-")),IFERROR(X176*1,""))))</f>
        <v/>
      </c>
      <c r="M176" s="7">
        <f>IF(Y176="","",IF(AND(LEN(Y176)=8,ISNUMBER(Y176*1)),DATE(LEFT(Y176,4),MID(Y176,5,2),RIGHT(Y176,2)),IFERROR(DATEVALUE(SUBSTITUTE(SUBSTITUTE(Y176,".","-"),"/","-")),IFERROR(Y176*1,""))))</f>
        <v/>
      </c>
      <c r="N176">
        <f>IFERROR(LEFT(B176,FIND(" ",B176)-1),B176)</f>
        <v/>
      </c>
      <c r="O176">
        <f>AND(B176&lt;&gt;"",B176&lt;&gt;설정!$B$4,C176&lt;&gt;설정!$B$5)</f>
        <v/>
      </c>
      <c r="P176">
        <f>IF(O176,B176&amp;"|"&amp;C176,"")</f>
        <v/>
      </c>
      <c r="Q176">
        <f>AND(O176,COUNTIF(P177:P$1002,P176)=0)</f>
        <v/>
      </c>
      <c r="R176">
        <f>OR(AND(설정!$A$42&lt;&gt;"",ISNUMBER(SEARCH(설정!$A$42,E176&amp;" "&amp;C176))),AND(설정!$A$43&lt;&gt;"",ISNUMBER(SEARCH(설정!$A$43,E176&amp;" "&amp;C176))),AND(설정!$A$44&lt;&gt;"",ISNUMBER(SEARCH(설정!$A$44,E176&amp;" "&amp;C176))),AND(설정!$A$45&lt;&gt;"",ISNUMBER(SEARCH(설정!$A$45,E176&amp;" "&amp;C176))),AND(설정!$A$46&lt;&gt;"",ISNUMBER(SEARCH(설정!$A$46,E176&amp;" "&amp;C176))),AND(설정!$A$47&lt;&gt;"",ISNUMBER(SEARCH(설정!$A$47,E176&amp;" "&amp;C176))),AND(설정!$A$48&lt;&gt;"",ISNUMBER(SEARCH(설정!$A$48,E176&amp;" "&amp;C176))),AND(설정!$A$49&lt;&gt;"",ISNUMBER(SEARCH(설정!$A$49,E176&amp;" "&amp;C176))),AND(설정!$A$50&lt;&gt;"",ISNUMBER(SEARCH(설정!$A$50,E176&amp;" "&amp;C176))),AND(설정!$A$51&lt;&gt;"",ISNUMBER(SEARCH(설정!$A$51,E176&amp;" "&amp;C176))))</f>
        <v/>
      </c>
      <c r="S176">
        <f>OR(D176="",D176&gt;=설정!$B$19)</f>
        <v/>
      </c>
      <c r="T176">
        <f>AND(Q176,R176,S176)</f>
        <v/>
      </c>
      <c r="U176">
        <f>IF(T176,IF(AND(설정!$A$54&lt;&gt;"",ISNUMBER(SEARCH(설정!$A$54,K176))),설정!$B$54,IF(AND(설정!$A$55&lt;&gt;"",ISNUMBER(SEARCH(설정!$A$55,K176))),설정!$B$55,IF(AND(설정!$A$56&lt;&gt;"",ISNUMBER(SEARCH(설정!$A$56,K176))),설정!$B$56,IF(AND(설정!$A$57&lt;&gt;"",ISNUMBER(SEARCH(설정!$A$57,K176))),설정!$B$57,IF(AND(설정!$A$58&lt;&gt;"",ISNUMBER(SEARCH(설정!$A$58,K176))),설정!$B$58,IF(AND(설정!$A$59&lt;&gt;"",ISNUMBER(SEARCH(설정!$A$59,K176))),설정!$B$59,IF(AND(설정!$A$60&lt;&gt;"",ISNUMBER(SEARCH(설정!$A$60,K176))),설정!$B$60,IF(AND(설정!$A$61&lt;&gt;"",ISNUMBER(SEARCH(설정!$A$61,K176))),설정!$B$61,IF(M176="","설계사","시공사"))))))))),"")</f>
        <v/>
      </c>
      <c r="V176">
        <f>SUBSTITUTE(SUBSTITUTE(SUBSTITUTE(SUBSTITUTE(G176,"(주)",""),"㈜",""),"주식회사","")," ","")</f>
        <v/>
      </c>
      <c r="W176">
        <f>IF(AND(T176,V176&lt;&gt;""),IF(COUNTIFS(V$2:V176,V176,T$2:T176,TRUE)=1,MAX(W$1:W175)+1,""),"")</f>
        <v/>
      </c>
      <c r="X176">
        <f>IF(설정!$C$14="","",IFERROR(INDEX('1.산군_붙여넣기'!$A$1:$AZ$1001,ROW(),설정!$C$14)&amp;"",""))</f>
        <v/>
      </c>
      <c r="Y176">
        <f>IF(설정!$C$15="","",IFERROR(INDEX('1.산군_붙여넣기'!$A$1:$AZ$1001,ROW(),설정!$C$15)&amp;"",""))</f>
        <v/>
      </c>
      <c r="Z176">
        <f>IF(T176,V176&amp;"|"&amp;U176,"")</f>
        <v/>
      </c>
      <c r="AA176">
        <f>IF(NOT(Q176),"",IF(NOT(AND(R176,S176)),"✕",IF(OR(OR(AND(L176&lt;&gt;"",M176&lt;&gt;"",N(M176)-N(L176)&gt;설정!$B$27),AND(L176&lt;&gt;"",M176="",설정!$B$24-N(L176)&gt;설정!$B$27)),AND(D176&lt;&gt;"",D176&lt;설정!$B$26)),"△","★")))</f>
        <v/>
      </c>
      <c r="AB176">
        <f>IF(NOT(T176),"",IF(U176="설계사",설정!$B$31,IF(U176="시공사",IF(OR(M176="",설정!$B$24-N(M176)&lt;=설정!$B$28*30.4),설정!$B$32,설정!$B$33),설정!$B$34))+IF(AA176="★",설정!$B$35,0))</f>
        <v/>
      </c>
      <c r="AC176">
        <f>SUBSTITUTE(SUBSTITUTE(SUBSTITUTE(SUBSTITUTE(H176,"(주)",""),"㈜",""),"주식회사","")," ","")</f>
        <v/>
      </c>
      <c r="AD176">
        <f>IF(AND(T176,AC176&lt;&gt;""),IF(COUNTIFS(AC$2:AC176,AC176,T$2:T176,TRUE)=1,MAX(AD$1:AD175)+1,""),"")</f>
        <v/>
      </c>
    </row>
    <row r="177">
      <c r="A177">
        <f>ROW()</f>
        <v/>
      </c>
      <c r="B177">
        <f>IF(설정!$C$4="","",IFERROR(INDEX('1.산군_붙여넣기'!$A$1:$AZ$1001,ROW(),설정!$C$4)&amp;"",""))</f>
        <v/>
      </c>
      <c r="C177">
        <f>IF(설정!$C$5="","",IFERROR(INDEX('1.산군_붙여넣기'!$A$1:$AZ$1001,ROW(),설정!$C$5)&amp;"",""))</f>
        <v/>
      </c>
      <c r="D177" s="5">
        <f>IFERROR(VALUE(SUBSTITUTE(SUBSTITUTE(SUBSTITUTE(IF(설정!$C$6="","",IFERROR(INDEX('1.산군_붙여넣기'!$A$1:$AZ$1001,ROW(),설정!$C$6)&amp;"","")),",",""),"㎡",""),"m2","")),"")</f>
        <v/>
      </c>
      <c r="E177">
        <f>IF(설정!$C$7="","",IFERROR(INDEX('1.산군_붙여넣기'!$A$1:$AZ$1001,ROW(),설정!$C$7)&amp;"",""))</f>
        <v/>
      </c>
      <c r="F177">
        <f>IF(설정!$C$8="","",IFERROR(INDEX('1.산군_붙여넣기'!$A$1:$AZ$1001,ROW(),설정!$C$8)&amp;"",""))</f>
        <v/>
      </c>
      <c r="G177">
        <f>IF(설정!$C$9="","",IFERROR(INDEX('1.산군_붙여넣기'!$A$1:$AZ$1001,ROW(),설정!$C$9)&amp;"",""))</f>
        <v/>
      </c>
      <c r="H177">
        <f>IF(설정!$C$10="","",IFERROR(INDEX('1.산군_붙여넣기'!$A$1:$AZ$1001,ROW(),설정!$C$10)&amp;"",""))</f>
        <v/>
      </c>
      <c r="I177">
        <f>IF(설정!$C$11="","",IFERROR(INDEX('1.산군_붙여넣기'!$A$1:$AZ$1001,ROW(),설정!$C$11)&amp;"",""))</f>
        <v/>
      </c>
      <c r="J177">
        <f>IF(설정!$C$12="","",IFERROR(INDEX('1.산군_붙여넣기'!$A$1:$AZ$1001,ROW(),설정!$C$12)&amp;"",""))</f>
        <v/>
      </c>
      <c r="K177">
        <f>IF(설정!$C$13="","",IFERROR(INDEX('1.산군_붙여넣기'!$A$1:$AZ$1001,ROW(),설정!$C$13)&amp;"",""))</f>
        <v/>
      </c>
      <c r="L177" s="7">
        <f>IF(X177="","",IF(AND(LEN(X177)=8,ISNUMBER(X177*1)),DATE(LEFT(X177,4),MID(X177,5,2),RIGHT(X177,2)),IFERROR(DATEVALUE(SUBSTITUTE(SUBSTITUTE(X177,".","-"),"/","-")),IFERROR(X177*1,""))))</f>
        <v/>
      </c>
      <c r="M177" s="7">
        <f>IF(Y177="","",IF(AND(LEN(Y177)=8,ISNUMBER(Y177*1)),DATE(LEFT(Y177,4),MID(Y177,5,2),RIGHT(Y177,2)),IFERROR(DATEVALUE(SUBSTITUTE(SUBSTITUTE(Y177,".","-"),"/","-")),IFERROR(Y177*1,""))))</f>
        <v/>
      </c>
      <c r="N177">
        <f>IFERROR(LEFT(B177,FIND(" ",B177)-1),B177)</f>
        <v/>
      </c>
      <c r="O177">
        <f>AND(B177&lt;&gt;"",B177&lt;&gt;설정!$B$4,C177&lt;&gt;설정!$B$5)</f>
        <v/>
      </c>
      <c r="P177">
        <f>IF(O177,B177&amp;"|"&amp;C177,"")</f>
        <v/>
      </c>
      <c r="Q177">
        <f>AND(O177,COUNTIF(P178:P$1002,P177)=0)</f>
        <v/>
      </c>
      <c r="R177">
        <f>OR(AND(설정!$A$42&lt;&gt;"",ISNUMBER(SEARCH(설정!$A$42,E177&amp;" "&amp;C177))),AND(설정!$A$43&lt;&gt;"",ISNUMBER(SEARCH(설정!$A$43,E177&amp;" "&amp;C177))),AND(설정!$A$44&lt;&gt;"",ISNUMBER(SEARCH(설정!$A$44,E177&amp;" "&amp;C177))),AND(설정!$A$45&lt;&gt;"",ISNUMBER(SEARCH(설정!$A$45,E177&amp;" "&amp;C177))),AND(설정!$A$46&lt;&gt;"",ISNUMBER(SEARCH(설정!$A$46,E177&amp;" "&amp;C177))),AND(설정!$A$47&lt;&gt;"",ISNUMBER(SEARCH(설정!$A$47,E177&amp;" "&amp;C177))),AND(설정!$A$48&lt;&gt;"",ISNUMBER(SEARCH(설정!$A$48,E177&amp;" "&amp;C177))),AND(설정!$A$49&lt;&gt;"",ISNUMBER(SEARCH(설정!$A$49,E177&amp;" "&amp;C177))),AND(설정!$A$50&lt;&gt;"",ISNUMBER(SEARCH(설정!$A$50,E177&amp;" "&amp;C177))),AND(설정!$A$51&lt;&gt;"",ISNUMBER(SEARCH(설정!$A$51,E177&amp;" "&amp;C177))))</f>
        <v/>
      </c>
      <c r="S177">
        <f>OR(D177="",D177&gt;=설정!$B$19)</f>
        <v/>
      </c>
      <c r="T177">
        <f>AND(Q177,R177,S177)</f>
        <v/>
      </c>
      <c r="U177">
        <f>IF(T177,IF(AND(설정!$A$54&lt;&gt;"",ISNUMBER(SEARCH(설정!$A$54,K177))),설정!$B$54,IF(AND(설정!$A$55&lt;&gt;"",ISNUMBER(SEARCH(설정!$A$55,K177))),설정!$B$55,IF(AND(설정!$A$56&lt;&gt;"",ISNUMBER(SEARCH(설정!$A$56,K177))),설정!$B$56,IF(AND(설정!$A$57&lt;&gt;"",ISNUMBER(SEARCH(설정!$A$57,K177))),설정!$B$57,IF(AND(설정!$A$58&lt;&gt;"",ISNUMBER(SEARCH(설정!$A$58,K177))),설정!$B$58,IF(AND(설정!$A$59&lt;&gt;"",ISNUMBER(SEARCH(설정!$A$59,K177))),설정!$B$59,IF(AND(설정!$A$60&lt;&gt;"",ISNUMBER(SEARCH(설정!$A$60,K177))),설정!$B$60,IF(AND(설정!$A$61&lt;&gt;"",ISNUMBER(SEARCH(설정!$A$61,K177))),설정!$B$61,IF(M177="","설계사","시공사"))))))))),"")</f>
        <v/>
      </c>
      <c r="V177">
        <f>SUBSTITUTE(SUBSTITUTE(SUBSTITUTE(SUBSTITUTE(G177,"(주)",""),"㈜",""),"주식회사","")," ","")</f>
        <v/>
      </c>
      <c r="W177">
        <f>IF(AND(T177,V177&lt;&gt;""),IF(COUNTIFS(V$2:V177,V177,T$2:T177,TRUE)=1,MAX(W$1:W176)+1,""),"")</f>
        <v/>
      </c>
      <c r="X177">
        <f>IF(설정!$C$14="","",IFERROR(INDEX('1.산군_붙여넣기'!$A$1:$AZ$1001,ROW(),설정!$C$14)&amp;"",""))</f>
        <v/>
      </c>
      <c r="Y177">
        <f>IF(설정!$C$15="","",IFERROR(INDEX('1.산군_붙여넣기'!$A$1:$AZ$1001,ROW(),설정!$C$15)&amp;"",""))</f>
        <v/>
      </c>
      <c r="Z177">
        <f>IF(T177,V177&amp;"|"&amp;U177,"")</f>
        <v/>
      </c>
      <c r="AA177">
        <f>IF(NOT(Q177),"",IF(NOT(AND(R177,S177)),"✕",IF(OR(OR(AND(L177&lt;&gt;"",M177&lt;&gt;"",N(M177)-N(L177)&gt;설정!$B$27),AND(L177&lt;&gt;"",M177="",설정!$B$24-N(L177)&gt;설정!$B$27)),AND(D177&lt;&gt;"",D177&lt;설정!$B$26)),"△","★")))</f>
        <v/>
      </c>
      <c r="AB177">
        <f>IF(NOT(T177),"",IF(U177="설계사",설정!$B$31,IF(U177="시공사",IF(OR(M177="",설정!$B$24-N(M177)&lt;=설정!$B$28*30.4),설정!$B$32,설정!$B$33),설정!$B$34))+IF(AA177="★",설정!$B$35,0))</f>
        <v/>
      </c>
      <c r="AC177">
        <f>SUBSTITUTE(SUBSTITUTE(SUBSTITUTE(SUBSTITUTE(H177,"(주)",""),"㈜",""),"주식회사","")," ","")</f>
        <v/>
      </c>
      <c r="AD177">
        <f>IF(AND(T177,AC177&lt;&gt;""),IF(COUNTIFS(AC$2:AC177,AC177,T$2:T177,TRUE)=1,MAX(AD$1:AD176)+1,""),"")</f>
        <v/>
      </c>
    </row>
    <row r="178">
      <c r="A178">
        <f>ROW()</f>
        <v/>
      </c>
      <c r="B178">
        <f>IF(설정!$C$4="","",IFERROR(INDEX('1.산군_붙여넣기'!$A$1:$AZ$1001,ROW(),설정!$C$4)&amp;"",""))</f>
        <v/>
      </c>
      <c r="C178">
        <f>IF(설정!$C$5="","",IFERROR(INDEX('1.산군_붙여넣기'!$A$1:$AZ$1001,ROW(),설정!$C$5)&amp;"",""))</f>
        <v/>
      </c>
      <c r="D178" s="5">
        <f>IFERROR(VALUE(SUBSTITUTE(SUBSTITUTE(SUBSTITUTE(IF(설정!$C$6="","",IFERROR(INDEX('1.산군_붙여넣기'!$A$1:$AZ$1001,ROW(),설정!$C$6)&amp;"","")),",",""),"㎡",""),"m2","")),"")</f>
        <v/>
      </c>
      <c r="E178">
        <f>IF(설정!$C$7="","",IFERROR(INDEX('1.산군_붙여넣기'!$A$1:$AZ$1001,ROW(),설정!$C$7)&amp;"",""))</f>
        <v/>
      </c>
      <c r="F178">
        <f>IF(설정!$C$8="","",IFERROR(INDEX('1.산군_붙여넣기'!$A$1:$AZ$1001,ROW(),설정!$C$8)&amp;"",""))</f>
        <v/>
      </c>
      <c r="G178">
        <f>IF(설정!$C$9="","",IFERROR(INDEX('1.산군_붙여넣기'!$A$1:$AZ$1001,ROW(),설정!$C$9)&amp;"",""))</f>
        <v/>
      </c>
      <c r="H178">
        <f>IF(설정!$C$10="","",IFERROR(INDEX('1.산군_붙여넣기'!$A$1:$AZ$1001,ROW(),설정!$C$10)&amp;"",""))</f>
        <v/>
      </c>
      <c r="I178">
        <f>IF(설정!$C$11="","",IFERROR(INDEX('1.산군_붙여넣기'!$A$1:$AZ$1001,ROW(),설정!$C$11)&amp;"",""))</f>
        <v/>
      </c>
      <c r="J178">
        <f>IF(설정!$C$12="","",IFERROR(INDEX('1.산군_붙여넣기'!$A$1:$AZ$1001,ROW(),설정!$C$12)&amp;"",""))</f>
        <v/>
      </c>
      <c r="K178">
        <f>IF(설정!$C$13="","",IFERROR(INDEX('1.산군_붙여넣기'!$A$1:$AZ$1001,ROW(),설정!$C$13)&amp;"",""))</f>
        <v/>
      </c>
      <c r="L178" s="7">
        <f>IF(X178="","",IF(AND(LEN(X178)=8,ISNUMBER(X178*1)),DATE(LEFT(X178,4),MID(X178,5,2),RIGHT(X178,2)),IFERROR(DATEVALUE(SUBSTITUTE(SUBSTITUTE(X178,".","-"),"/","-")),IFERROR(X178*1,""))))</f>
        <v/>
      </c>
      <c r="M178" s="7">
        <f>IF(Y178="","",IF(AND(LEN(Y178)=8,ISNUMBER(Y178*1)),DATE(LEFT(Y178,4),MID(Y178,5,2),RIGHT(Y178,2)),IFERROR(DATEVALUE(SUBSTITUTE(SUBSTITUTE(Y178,".","-"),"/","-")),IFERROR(Y178*1,""))))</f>
        <v/>
      </c>
      <c r="N178">
        <f>IFERROR(LEFT(B178,FIND(" ",B178)-1),B178)</f>
        <v/>
      </c>
      <c r="O178">
        <f>AND(B178&lt;&gt;"",B178&lt;&gt;설정!$B$4,C178&lt;&gt;설정!$B$5)</f>
        <v/>
      </c>
      <c r="P178">
        <f>IF(O178,B178&amp;"|"&amp;C178,"")</f>
        <v/>
      </c>
      <c r="Q178">
        <f>AND(O178,COUNTIF(P179:P$1002,P178)=0)</f>
        <v/>
      </c>
      <c r="R178">
        <f>OR(AND(설정!$A$42&lt;&gt;"",ISNUMBER(SEARCH(설정!$A$42,E178&amp;" "&amp;C178))),AND(설정!$A$43&lt;&gt;"",ISNUMBER(SEARCH(설정!$A$43,E178&amp;" "&amp;C178))),AND(설정!$A$44&lt;&gt;"",ISNUMBER(SEARCH(설정!$A$44,E178&amp;" "&amp;C178))),AND(설정!$A$45&lt;&gt;"",ISNUMBER(SEARCH(설정!$A$45,E178&amp;" "&amp;C178))),AND(설정!$A$46&lt;&gt;"",ISNUMBER(SEARCH(설정!$A$46,E178&amp;" "&amp;C178))),AND(설정!$A$47&lt;&gt;"",ISNUMBER(SEARCH(설정!$A$47,E178&amp;" "&amp;C178))),AND(설정!$A$48&lt;&gt;"",ISNUMBER(SEARCH(설정!$A$48,E178&amp;" "&amp;C178))),AND(설정!$A$49&lt;&gt;"",ISNUMBER(SEARCH(설정!$A$49,E178&amp;" "&amp;C178))),AND(설정!$A$50&lt;&gt;"",ISNUMBER(SEARCH(설정!$A$50,E178&amp;" "&amp;C178))),AND(설정!$A$51&lt;&gt;"",ISNUMBER(SEARCH(설정!$A$51,E178&amp;" "&amp;C178))))</f>
        <v/>
      </c>
      <c r="S178">
        <f>OR(D178="",D178&gt;=설정!$B$19)</f>
        <v/>
      </c>
      <c r="T178">
        <f>AND(Q178,R178,S178)</f>
        <v/>
      </c>
      <c r="U178">
        <f>IF(T178,IF(AND(설정!$A$54&lt;&gt;"",ISNUMBER(SEARCH(설정!$A$54,K178))),설정!$B$54,IF(AND(설정!$A$55&lt;&gt;"",ISNUMBER(SEARCH(설정!$A$55,K178))),설정!$B$55,IF(AND(설정!$A$56&lt;&gt;"",ISNUMBER(SEARCH(설정!$A$56,K178))),설정!$B$56,IF(AND(설정!$A$57&lt;&gt;"",ISNUMBER(SEARCH(설정!$A$57,K178))),설정!$B$57,IF(AND(설정!$A$58&lt;&gt;"",ISNUMBER(SEARCH(설정!$A$58,K178))),설정!$B$58,IF(AND(설정!$A$59&lt;&gt;"",ISNUMBER(SEARCH(설정!$A$59,K178))),설정!$B$59,IF(AND(설정!$A$60&lt;&gt;"",ISNUMBER(SEARCH(설정!$A$60,K178))),설정!$B$60,IF(AND(설정!$A$61&lt;&gt;"",ISNUMBER(SEARCH(설정!$A$61,K178))),설정!$B$61,IF(M178="","설계사","시공사"))))))))),"")</f>
        <v/>
      </c>
      <c r="V178">
        <f>SUBSTITUTE(SUBSTITUTE(SUBSTITUTE(SUBSTITUTE(G178,"(주)",""),"㈜",""),"주식회사","")," ","")</f>
        <v/>
      </c>
      <c r="W178">
        <f>IF(AND(T178,V178&lt;&gt;""),IF(COUNTIFS(V$2:V178,V178,T$2:T178,TRUE)=1,MAX(W$1:W177)+1,""),"")</f>
        <v/>
      </c>
      <c r="X178">
        <f>IF(설정!$C$14="","",IFERROR(INDEX('1.산군_붙여넣기'!$A$1:$AZ$1001,ROW(),설정!$C$14)&amp;"",""))</f>
        <v/>
      </c>
      <c r="Y178">
        <f>IF(설정!$C$15="","",IFERROR(INDEX('1.산군_붙여넣기'!$A$1:$AZ$1001,ROW(),설정!$C$15)&amp;"",""))</f>
        <v/>
      </c>
      <c r="Z178">
        <f>IF(T178,V178&amp;"|"&amp;U178,"")</f>
        <v/>
      </c>
      <c r="AA178">
        <f>IF(NOT(Q178),"",IF(NOT(AND(R178,S178)),"✕",IF(OR(OR(AND(L178&lt;&gt;"",M178&lt;&gt;"",N(M178)-N(L178)&gt;설정!$B$27),AND(L178&lt;&gt;"",M178="",설정!$B$24-N(L178)&gt;설정!$B$27)),AND(D178&lt;&gt;"",D178&lt;설정!$B$26)),"△","★")))</f>
        <v/>
      </c>
      <c r="AB178">
        <f>IF(NOT(T178),"",IF(U178="설계사",설정!$B$31,IF(U178="시공사",IF(OR(M178="",설정!$B$24-N(M178)&lt;=설정!$B$28*30.4),설정!$B$32,설정!$B$33),설정!$B$34))+IF(AA178="★",설정!$B$35,0))</f>
        <v/>
      </c>
      <c r="AC178">
        <f>SUBSTITUTE(SUBSTITUTE(SUBSTITUTE(SUBSTITUTE(H178,"(주)",""),"㈜",""),"주식회사","")," ","")</f>
        <v/>
      </c>
      <c r="AD178">
        <f>IF(AND(T178,AC178&lt;&gt;""),IF(COUNTIFS(AC$2:AC178,AC178,T$2:T178,TRUE)=1,MAX(AD$1:AD177)+1,""),"")</f>
        <v/>
      </c>
    </row>
    <row r="179">
      <c r="A179">
        <f>ROW()</f>
        <v/>
      </c>
      <c r="B179">
        <f>IF(설정!$C$4="","",IFERROR(INDEX('1.산군_붙여넣기'!$A$1:$AZ$1001,ROW(),설정!$C$4)&amp;"",""))</f>
        <v/>
      </c>
      <c r="C179">
        <f>IF(설정!$C$5="","",IFERROR(INDEX('1.산군_붙여넣기'!$A$1:$AZ$1001,ROW(),설정!$C$5)&amp;"",""))</f>
        <v/>
      </c>
      <c r="D179" s="5">
        <f>IFERROR(VALUE(SUBSTITUTE(SUBSTITUTE(SUBSTITUTE(IF(설정!$C$6="","",IFERROR(INDEX('1.산군_붙여넣기'!$A$1:$AZ$1001,ROW(),설정!$C$6)&amp;"","")),",",""),"㎡",""),"m2","")),"")</f>
        <v/>
      </c>
      <c r="E179">
        <f>IF(설정!$C$7="","",IFERROR(INDEX('1.산군_붙여넣기'!$A$1:$AZ$1001,ROW(),설정!$C$7)&amp;"",""))</f>
        <v/>
      </c>
      <c r="F179">
        <f>IF(설정!$C$8="","",IFERROR(INDEX('1.산군_붙여넣기'!$A$1:$AZ$1001,ROW(),설정!$C$8)&amp;"",""))</f>
        <v/>
      </c>
      <c r="G179">
        <f>IF(설정!$C$9="","",IFERROR(INDEX('1.산군_붙여넣기'!$A$1:$AZ$1001,ROW(),설정!$C$9)&amp;"",""))</f>
        <v/>
      </c>
      <c r="H179">
        <f>IF(설정!$C$10="","",IFERROR(INDEX('1.산군_붙여넣기'!$A$1:$AZ$1001,ROW(),설정!$C$10)&amp;"",""))</f>
        <v/>
      </c>
      <c r="I179">
        <f>IF(설정!$C$11="","",IFERROR(INDEX('1.산군_붙여넣기'!$A$1:$AZ$1001,ROW(),설정!$C$11)&amp;"",""))</f>
        <v/>
      </c>
      <c r="J179">
        <f>IF(설정!$C$12="","",IFERROR(INDEX('1.산군_붙여넣기'!$A$1:$AZ$1001,ROW(),설정!$C$12)&amp;"",""))</f>
        <v/>
      </c>
      <c r="K179">
        <f>IF(설정!$C$13="","",IFERROR(INDEX('1.산군_붙여넣기'!$A$1:$AZ$1001,ROW(),설정!$C$13)&amp;"",""))</f>
        <v/>
      </c>
      <c r="L179" s="7">
        <f>IF(X179="","",IF(AND(LEN(X179)=8,ISNUMBER(X179*1)),DATE(LEFT(X179,4),MID(X179,5,2),RIGHT(X179,2)),IFERROR(DATEVALUE(SUBSTITUTE(SUBSTITUTE(X179,".","-"),"/","-")),IFERROR(X179*1,""))))</f>
        <v/>
      </c>
      <c r="M179" s="7">
        <f>IF(Y179="","",IF(AND(LEN(Y179)=8,ISNUMBER(Y179*1)),DATE(LEFT(Y179,4),MID(Y179,5,2),RIGHT(Y179,2)),IFERROR(DATEVALUE(SUBSTITUTE(SUBSTITUTE(Y179,".","-"),"/","-")),IFERROR(Y179*1,""))))</f>
        <v/>
      </c>
      <c r="N179">
        <f>IFERROR(LEFT(B179,FIND(" ",B179)-1),B179)</f>
        <v/>
      </c>
      <c r="O179">
        <f>AND(B179&lt;&gt;"",B179&lt;&gt;설정!$B$4,C179&lt;&gt;설정!$B$5)</f>
        <v/>
      </c>
      <c r="P179">
        <f>IF(O179,B179&amp;"|"&amp;C179,"")</f>
        <v/>
      </c>
      <c r="Q179">
        <f>AND(O179,COUNTIF(P180:P$1002,P179)=0)</f>
        <v/>
      </c>
      <c r="R179">
        <f>OR(AND(설정!$A$42&lt;&gt;"",ISNUMBER(SEARCH(설정!$A$42,E179&amp;" "&amp;C179))),AND(설정!$A$43&lt;&gt;"",ISNUMBER(SEARCH(설정!$A$43,E179&amp;" "&amp;C179))),AND(설정!$A$44&lt;&gt;"",ISNUMBER(SEARCH(설정!$A$44,E179&amp;" "&amp;C179))),AND(설정!$A$45&lt;&gt;"",ISNUMBER(SEARCH(설정!$A$45,E179&amp;" "&amp;C179))),AND(설정!$A$46&lt;&gt;"",ISNUMBER(SEARCH(설정!$A$46,E179&amp;" "&amp;C179))),AND(설정!$A$47&lt;&gt;"",ISNUMBER(SEARCH(설정!$A$47,E179&amp;" "&amp;C179))),AND(설정!$A$48&lt;&gt;"",ISNUMBER(SEARCH(설정!$A$48,E179&amp;" "&amp;C179))),AND(설정!$A$49&lt;&gt;"",ISNUMBER(SEARCH(설정!$A$49,E179&amp;" "&amp;C179))),AND(설정!$A$50&lt;&gt;"",ISNUMBER(SEARCH(설정!$A$50,E179&amp;" "&amp;C179))),AND(설정!$A$51&lt;&gt;"",ISNUMBER(SEARCH(설정!$A$51,E179&amp;" "&amp;C179))))</f>
        <v/>
      </c>
      <c r="S179">
        <f>OR(D179="",D179&gt;=설정!$B$19)</f>
        <v/>
      </c>
      <c r="T179">
        <f>AND(Q179,R179,S179)</f>
        <v/>
      </c>
      <c r="U179">
        <f>IF(T179,IF(AND(설정!$A$54&lt;&gt;"",ISNUMBER(SEARCH(설정!$A$54,K179))),설정!$B$54,IF(AND(설정!$A$55&lt;&gt;"",ISNUMBER(SEARCH(설정!$A$55,K179))),설정!$B$55,IF(AND(설정!$A$56&lt;&gt;"",ISNUMBER(SEARCH(설정!$A$56,K179))),설정!$B$56,IF(AND(설정!$A$57&lt;&gt;"",ISNUMBER(SEARCH(설정!$A$57,K179))),설정!$B$57,IF(AND(설정!$A$58&lt;&gt;"",ISNUMBER(SEARCH(설정!$A$58,K179))),설정!$B$58,IF(AND(설정!$A$59&lt;&gt;"",ISNUMBER(SEARCH(설정!$A$59,K179))),설정!$B$59,IF(AND(설정!$A$60&lt;&gt;"",ISNUMBER(SEARCH(설정!$A$60,K179))),설정!$B$60,IF(AND(설정!$A$61&lt;&gt;"",ISNUMBER(SEARCH(설정!$A$61,K179))),설정!$B$61,IF(M179="","설계사","시공사"))))))))),"")</f>
        <v/>
      </c>
      <c r="V179">
        <f>SUBSTITUTE(SUBSTITUTE(SUBSTITUTE(SUBSTITUTE(G179,"(주)",""),"㈜",""),"주식회사","")," ","")</f>
        <v/>
      </c>
      <c r="W179">
        <f>IF(AND(T179,V179&lt;&gt;""),IF(COUNTIFS(V$2:V179,V179,T$2:T179,TRUE)=1,MAX(W$1:W178)+1,""),"")</f>
        <v/>
      </c>
      <c r="X179">
        <f>IF(설정!$C$14="","",IFERROR(INDEX('1.산군_붙여넣기'!$A$1:$AZ$1001,ROW(),설정!$C$14)&amp;"",""))</f>
        <v/>
      </c>
      <c r="Y179">
        <f>IF(설정!$C$15="","",IFERROR(INDEX('1.산군_붙여넣기'!$A$1:$AZ$1001,ROW(),설정!$C$15)&amp;"",""))</f>
        <v/>
      </c>
      <c r="Z179">
        <f>IF(T179,V179&amp;"|"&amp;U179,"")</f>
        <v/>
      </c>
      <c r="AA179">
        <f>IF(NOT(Q179),"",IF(NOT(AND(R179,S179)),"✕",IF(OR(OR(AND(L179&lt;&gt;"",M179&lt;&gt;"",N(M179)-N(L179)&gt;설정!$B$27),AND(L179&lt;&gt;"",M179="",설정!$B$24-N(L179)&gt;설정!$B$27)),AND(D179&lt;&gt;"",D179&lt;설정!$B$26)),"△","★")))</f>
        <v/>
      </c>
      <c r="AB179">
        <f>IF(NOT(T179),"",IF(U179="설계사",설정!$B$31,IF(U179="시공사",IF(OR(M179="",설정!$B$24-N(M179)&lt;=설정!$B$28*30.4),설정!$B$32,설정!$B$33),설정!$B$34))+IF(AA179="★",설정!$B$35,0))</f>
        <v/>
      </c>
      <c r="AC179">
        <f>SUBSTITUTE(SUBSTITUTE(SUBSTITUTE(SUBSTITUTE(H179,"(주)",""),"㈜",""),"주식회사","")," ","")</f>
        <v/>
      </c>
      <c r="AD179">
        <f>IF(AND(T179,AC179&lt;&gt;""),IF(COUNTIFS(AC$2:AC179,AC179,T$2:T179,TRUE)=1,MAX(AD$1:AD178)+1,""),"")</f>
        <v/>
      </c>
    </row>
    <row r="180">
      <c r="A180">
        <f>ROW()</f>
        <v/>
      </c>
      <c r="B180">
        <f>IF(설정!$C$4="","",IFERROR(INDEX('1.산군_붙여넣기'!$A$1:$AZ$1001,ROW(),설정!$C$4)&amp;"",""))</f>
        <v/>
      </c>
      <c r="C180">
        <f>IF(설정!$C$5="","",IFERROR(INDEX('1.산군_붙여넣기'!$A$1:$AZ$1001,ROW(),설정!$C$5)&amp;"",""))</f>
        <v/>
      </c>
      <c r="D180" s="5">
        <f>IFERROR(VALUE(SUBSTITUTE(SUBSTITUTE(SUBSTITUTE(IF(설정!$C$6="","",IFERROR(INDEX('1.산군_붙여넣기'!$A$1:$AZ$1001,ROW(),설정!$C$6)&amp;"","")),",",""),"㎡",""),"m2","")),"")</f>
        <v/>
      </c>
      <c r="E180">
        <f>IF(설정!$C$7="","",IFERROR(INDEX('1.산군_붙여넣기'!$A$1:$AZ$1001,ROW(),설정!$C$7)&amp;"",""))</f>
        <v/>
      </c>
      <c r="F180">
        <f>IF(설정!$C$8="","",IFERROR(INDEX('1.산군_붙여넣기'!$A$1:$AZ$1001,ROW(),설정!$C$8)&amp;"",""))</f>
        <v/>
      </c>
      <c r="G180">
        <f>IF(설정!$C$9="","",IFERROR(INDEX('1.산군_붙여넣기'!$A$1:$AZ$1001,ROW(),설정!$C$9)&amp;"",""))</f>
        <v/>
      </c>
      <c r="H180">
        <f>IF(설정!$C$10="","",IFERROR(INDEX('1.산군_붙여넣기'!$A$1:$AZ$1001,ROW(),설정!$C$10)&amp;"",""))</f>
        <v/>
      </c>
      <c r="I180">
        <f>IF(설정!$C$11="","",IFERROR(INDEX('1.산군_붙여넣기'!$A$1:$AZ$1001,ROW(),설정!$C$11)&amp;"",""))</f>
        <v/>
      </c>
      <c r="J180">
        <f>IF(설정!$C$12="","",IFERROR(INDEX('1.산군_붙여넣기'!$A$1:$AZ$1001,ROW(),설정!$C$12)&amp;"",""))</f>
        <v/>
      </c>
      <c r="K180">
        <f>IF(설정!$C$13="","",IFERROR(INDEX('1.산군_붙여넣기'!$A$1:$AZ$1001,ROW(),설정!$C$13)&amp;"",""))</f>
        <v/>
      </c>
      <c r="L180" s="7">
        <f>IF(X180="","",IF(AND(LEN(X180)=8,ISNUMBER(X180*1)),DATE(LEFT(X180,4),MID(X180,5,2),RIGHT(X180,2)),IFERROR(DATEVALUE(SUBSTITUTE(SUBSTITUTE(X180,".","-"),"/","-")),IFERROR(X180*1,""))))</f>
        <v/>
      </c>
      <c r="M180" s="7">
        <f>IF(Y180="","",IF(AND(LEN(Y180)=8,ISNUMBER(Y180*1)),DATE(LEFT(Y180,4),MID(Y180,5,2),RIGHT(Y180,2)),IFERROR(DATEVALUE(SUBSTITUTE(SUBSTITUTE(Y180,".","-"),"/","-")),IFERROR(Y180*1,""))))</f>
        <v/>
      </c>
      <c r="N180">
        <f>IFERROR(LEFT(B180,FIND(" ",B180)-1),B180)</f>
        <v/>
      </c>
      <c r="O180">
        <f>AND(B180&lt;&gt;"",B180&lt;&gt;설정!$B$4,C180&lt;&gt;설정!$B$5)</f>
        <v/>
      </c>
      <c r="P180">
        <f>IF(O180,B180&amp;"|"&amp;C180,"")</f>
        <v/>
      </c>
      <c r="Q180">
        <f>AND(O180,COUNTIF(P181:P$1002,P180)=0)</f>
        <v/>
      </c>
      <c r="R180">
        <f>OR(AND(설정!$A$42&lt;&gt;"",ISNUMBER(SEARCH(설정!$A$42,E180&amp;" "&amp;C180))),AND(설정!$A$43&lt;&gt;"",ISNUMBER(SEARCH(설정!$A$43,E180&amp;" "&amp;C180))),AND(설정!$A$44&lt;&gt;"",ISNUMBER(SEARCH(설정!$A$44,E180&amp;" "&amp;C180))),AND(설정!$A$45&lt;&gt;"",ISNUMBER(SEARCH(설정!$A$45,E180&amp;" "&amp;C180))),AND(설정!$A$46&lt;&gt;"",ISNUMBER(SEARCH(설정!$A$46,E180&amp;" "&amp;C180))),AND(설정!$A$47&lt;&gt;"",ISNUMBER(SEARCH(설정!$A$47,E180&amp;" "&amp;C180))),AND(설정!$A$48&lt;&gt;"",ISNUMBER(SEARCH(설정!$A$48,E180&amp;" "&amp;C180))),AND(설정!$A$49&lt;&gt;"",ISNUMBER(SEARCH(설정!$A$49,E180&amp;" "&amp;C180))),AND(설정!$A$50&lt;&gt;"",ISNUMBER(SEARCH(설정!$A$50,E180&amp;" "&amp;C180))),AND(설정!$A$51&lt;&gt;"",ISNUMBER(SEARCH(설정!$A$51,E180&amp;" "&amp;C180))))</f>
        <v/>
      </c>
      <c r="S180">
        <f>OR(D180="",D180&gt;=설정!$B$19)</f>
        <v/>
      </c>
      <c r="T180">
        <f>AND(Q180,R180,S180)</f>
        <v/>
      </c>
      <c r="U180">
        <f>IF(T180,IF(AND(설정!$A$54&lt;&gt;"",ISNUMBER(SEARCH(설정!$A$54,K180))),설정!$B$54,IF(AND(설정!$A$55&lt;&gt;"",ISNUMBER(SEARCH(설정!$A$55,K180))),설정!$B$55,IF(AND(설정!$A$56&lt;&gt;"",ISNUMBER(SEARCH(설정!$A$56,K180))),설정!$B$56,IF(AND(설정!$A$57&lt;&gt;"",ISNUMBER(SEARCH(설정!$A$57,K180))),설정!$B$57,IF(AND(설정!$A$58&lt;&gt;"",ISNUMBER(SEARCH(설정!$A$58,K180))),설정!$B$58,IF(AND(설정!$A$59&lt;&gt;"",ISNUMBER(SEARCH(설정!$A$59,K180))),설정!$B$59,IF(AND(설정!$A$60&lt;&gt;"",ISNUMBER(SEARCH(설정!$A$60,K180))),설정!$B$60,IF(AND(설정!$A$61&lt;&gt;"",ISNUMBER(SEARCH(설정!$A$61,K180))),설정!$B$61,IF(M180="","설계사","시공사"))))))))),"")</f>
        <v/>
      </c>
      <c r="V180">
        <f>SUBSTITUTE(SUBSTITUTE(SUBSTITUTE(SUBSTITUTE(G180,"(주)",""),"㈜",""),"주식회사","")," ","")</f>
        <v/>
      </c>
      <c r="W180">
        <f>IF(AND(T180,V180&lt;&gt;""),IF(COUNTIFS(V$2:V180,V180,T$2:T180,TRUE)=1,MAX(W$1:W179)+1,""),"")</f>
        <v/>
      </c>
      <c r="X180">
        <f>IF(설정!$C$14="","",IFERROR(INDEX('1.산군_붙여넣기'!$A$1:$AZ$1001,ROW(),설정!$C$14)&amp;"",""))</f>
        <v/>
      </c>
      <c r="Y180">
        <f>IF(설정!$C$15="","",IFERROR(INDEX('1.산군_붙여넣기'!$A$1:$AZ$1001,ROW(),설정!$C$15)&amp;"",""))</f>
        <v/>
      </c>
      <c r="Z180">
        <f>IF(T180,V180&amp;"|"&amp;U180,"")</f>
        <v/>
      </c>
      <c r="AA180">
        <f>IF(NOT(Q180),"",IF(NOT(AND(R180,S180)),"✕",IF(OR(OR(AND(L180&lt;&gt;"",M180&lt;&gt;"",N(M180)-N(L180)&gt;설정!$B$27),AND(L180&lt;&gt;"",M180="",설정!$B$24-N(L180)&gt;설정!$B$27)),AND(D180&lt;&gt;"",D180&lt;설정!$B$26)),"△","★")))</f>
        <v/>
      </c>
      <c r="AB180">
        <f>IF(NOT(T180),"",IF(U180="설계사",설정!$B$31,IF(U180="시공사",IF(OR(M180="",설정!$B$24-N(M180)&lt;=설정!$B$28*30.4),설정!$B$32,설정!$B$33),설정!$B$34))+IF(AA180="★",설정!$B$35,0))</f>
        <v/>
      </c>
      <c r="AC180">
        <f>SUBSTITUTE(SUBSTITUTE(SUBSTITUTE(SUBSTITUTE(H180,"(주)",""),"㈜",""),"주식회사","")," ","")</f>
        <v/>
      </c>
      <c r="AD180">
        <f>IF(AND(T180,AC180&lt;&gt;""),IF(COUNTIFS(AC$2:AC180,AC180,T$2:T180,TRUE)=1,MAX(AD$1:AD179)+1,""),"")</f>
        <v/>
      </c>
    </row>
    <row r="181">
      <c r="A181">
        <f>ROW()</f>
        <v/>
      </c>
      <c r="B181">
        <f>IF(설정!$C$4="","",IFERROR(INDEX('1.산군_붙여넣기'!$A$1:$AZ$1001,ROW(),설정!$C$4)&amp;"",""))</f>
        <v/>
      </c>
      <c r="C181">
        <f>IF(설정!$C$5="","",IFERROR(INDEX('1.산군_붙여넣기'!$A$1:$AZ$1001,ROW(),설정!$C$5)&amp;"",""))</f>
        <v/>
      </c>
      <c r="D181" s="5">
        <f>IFERROR(VALUE(SUBSTITUTE(SUBSTITUTE(SUBSTITUTE(IF(설정!$C$6="","",IFERROR(INDEX('1.산군_붙여넣기'!$A$1:$AZ$1001,ROW(),설정!$C$6)&amp;"","")),",",""),"㎡",""),"m2","")),"")</f>
        <v/>
      </c>
      <c r="E181">
        <f>IF(설정!$C$7="","",IFERROR(INDEX('1.산군_붙여넣기'!$A$1:$AZ$1001,ROW(),설정!$C$7)&amp;"",""))</f>
        <v/>
      </c>
      <c r="F181">
        <f>IF(설정!$C$8="","",IFERROR(INDEX('1.산군_붙여넣기'!$A$1:$AZ$1001,ROW(),설정!$C$8)&amp;"",""))</f>
        <v/>
      </c>
      <c r="G181">
        <f>IF(설정!$C$9="","",IFERROR(INDEX('1.산군_붙여넣기'!$A$1:$AZ$1001,ROW(),설정!$C$9)&amp;"",""))</f>
        <v/>
      </c>
      <c r="H181">
        <f>IF(설정!$C$10="","",IFERROR(INDEX('1.산군_붙여넣기'!$A$1:$AZ$1001,ROW(),설정!$C$10)&amp;"",""))</f>
        <v/>
      </c>
      <c r="I181">
        <f>IF(설정!$C$11="","",IFERROR(INDEX('1.산군_붙여넣기'!$A$1:$AZ$1001,ROW(),설정!$C$11)&amp;"",""))</f>
        <v/>
      </c>
      <c r="J181">
        <f>IF(설정!$C$12="","",IFERROR(INDEX('1.산군_붙여넣기'!$A$1:$AZ$1001,ROW(),설정!$C$12)&amp;"",""))</f>
        <v/>
      </c>
      <c r="K181">
        <f>IF(설정!$C$13="","",IFERROR(INDEX('1.산군_붙여넣기'!$A$1:$AZ$1001,ROW(),설정!$C$13)&amp;"",""))</f>
        <v/>
      </c>
      <c r="L181" s="7">
        <f>IF(X181="","",IF(AND(LEN(X181)=8,ISNUMBER(X181*1)),DATE(LEFT(X181,4),MID(X181,5,2),RIGHT(X181,2)),IFERROR(DATEVALUE(SUBSTITUTE(SUBSTITUTE(X181,".","-"),"/","-")),IFERROR(X181*1,""))))</f>
        <v/>
      </c>
      <c r="M181" s="7">
        <f>IF(Y181="","",IF(AND(LEN(Y181)=8,ISNUMBER(Y181*1)),DATE(LEFT(Y181,4),MID(Y181,5,2),RIGHT(Y181,2)),IFERROR(DATEVALUE(SUBSTITUTE(SUBSTITUTE(Y181,".","-"),"/","-")),IFERROR(Y181*1,""))))</f>
        <v/>
      </c>
      <c r="N181">
        <f>IFERROR(LEFT(B181,FIND(" ",B181)-1),B181)</f>
        <v/>
      </c>
      <c r="O181">
        <f>AND(B181&lt;&gt;"",B181&lt;&gt;설정!$B$4,C181&lt;&gt;설정!$B$5)</f>
        <v/>
      </c>
      <c r="P181">
        <f>IF(O181,B181&amp;"|"&amp;C181,"")</f>
        <v/>
      </c>
      <c r="Q181">
        <f>AND(O181,COUNTIF(P182:P$1002,P181)=0)</f>
        <v/>
      </c>
      <c r="R181">
        <f>OR(AND(설정!$A$42&lt;&gt;"",ISNUMBER(SEARCH(설정!$A$42,E181&amp;" "&amp;C181))),AND(설정!$A$43&lt;&gt;"",ISNUMBER(SEARCH(설정!$A$43,E181&amp;" "&amp;C181))),AND(설정!$A$44&lt;&gt;"",ISNUMBER(SEARCH(설정!$A$44,E181&amp;" "&amp;C181))),AND(설정!$A$45&lt;&gt;"",ISNUMBER(SEARCH(설정!$A$45,E181&amp;" "&amp;C181))),AND(설정!$A$46&lt;&gt;"",ISNUMBER(SEARCH(설정!$A$46,E181&amp;" "&amp;C181))),AND(설정!$A$47&lt;&gt;"",ISNUMBER(SEARCH(설정!$A$47,E181&amp;" "&amp;C181))),AND(설정!$A$48&lt;&gt;"",ISNUMBER(SEARCH(설정!$A$48,E181&amp;" "&amp;C181))),AND(설정!$A$49&lt;&gt;"",ISNUMBER(SEARCH(설정!$A$49,E181&amp;" "&amp;C181))),AND(설정!$A$50&lt;&gt;"",ISNUMBER(SEARCH(설정!$A$50,E181&amp;" "&amp;C181))),AND(설정!$A$51&lt;&gt;"",ISNUMBER(SEARCH(설정!$A$51,E181&amp;" "&amp;C181))))</f>
        <v/>
      </c>
      <c r="S181">
        <f>OR(D181="",D181&gt;=설정!$B$19)</f>
        <v/>
      </c>
      <c r="T181">
        <f>AND(Q181,R181,S181)</f>
        <v/>
      </c>
      <c r="U181">
        <f>IF(T181,IF(AND(설정!$A$54&lt;&gt;"",ISNUMBER(SEARCH(설정!$A$54,K181))),설정!$B$54,IF(AND(설정!$A$55&lt;&gt;"",ISNUMBER(SEARCH(설정!$A$55,K181))),설정!$B$55,IF(AND(설정!$A$56&lt;&gt;"",ISNUMBER(SEARCH(설정!$A$56,K181))),설정!$B$56,IF(AND(설정!$A$57&lt;&gt;"",ISNUMBER(SEARCH(설정!$A$57,K181))),설정!$B$57,IF(AND(설정!$A$58&lt;&gt;"",ISNUMBER(SEARCH(설정!$A$58,K181))),설정!$B$58,IF(AND(설정!$A$59&lt;&gt;"",ISNUMBER(SEARCH(설정!$A$59,K181))),설정!$B$59,IF(AND(설정!$A$60&lt;&gt;"",ISNUMBER(SEARCH(설정!$A$60,K181))),설정!$B$60,IF(AND(설정!$A$61&lt;&gt;"",ISNUMBER(SEARCH(설정!$A$61,K181))),설정!$B$61,IF(M181="","설계사","시공사"))))))))),"")</f>
        <v/>
      </c>
      <c r="V181">
        <f>SUBSTITUTE(SUBSTITUTE(SUBSTITUTE(SUBSTITUTE(G181,"(주)",""),"㈜",""),"주식회사","")," ","")</f>
        <v/>
      </c>
      <c r="W181">
        <f>IF(AND(T181,V181&lt;&gt;""),IF(COUNTIFS(V$2:V181,V181,T$2:T181,TRUE)=1,MAX(W$1:W180)+1,""),"")</f>
        <v/>
      </c>
      <c r="X181">
        <f>IF(설정!$C$14="","",IFERROR(INDEX('1.산군_붙여넣기'!$A$1:$AZ$1001,ROW(),설정!$C$14)&amp;"",""))</f>
        <v/>
      </c>
      <c r="Y181">
        <f>IF(설정!$C$15="","",IFERROR(INDEX('1.산군_붙여넣기'!$A$1:$AZ$1001,ROW(),설정!$C$15)&amp;"",""))</f>
        <v/>
      </c>
      <c r="Z181">
        <f>IF(T181,V181&amp;"|"&amp;U181,"")</f>
        <v/>
      </c>
      <c r="AA181">
        <f>IF(NOT(Q181),"",IF(NOT(AND(R181,S181)),"✕",IF(OR(OR(AND(L181&lt;&gt;"",M181&lt;&gt;"",N(M181)-N(L181)&gt;설정!$B$27),AND(L181&lt;&gt;"",M181="",설정!$B$24-N(L181)&gt;설정!$B$27)),AND(D181&lt;&gt;"",D181&lt;설정!$B$26)),"△","★")))</f>
        <v/>
      </c>
      <c r="AB181">
        <f>IF(NOT(T181),"",IF(U181="설계사",설정!$B$31,IF(U181="시공사",IF(OR(M181="",설정!$B$24-N(M181)&lt;=설정!$B$28*30.4),설정!$B$32,설정!$B$33),설정!$B$34))+IF(AA181="★",설정!$B$35,0))</f>
        <v/>
      </c>
      <c r="AC181">
        <f>SUBSTITUTE(SUBSTITUTE(SUBSTITUTE(SUBSTITUTE(H181,"(주)",""),"㈜",""),"주식회사","")," ","")</f>
        <v/>
      </c>
      <c r="AD181">
        <f>IF(AND(T181,AC181&lt;&gt;""),IF(COUNTIFS(AC$2:AC181,AC181,T$2:T181,TRUE)=1,MAX(AD$1:AD180)+1,""),"")</f>
        <v/>
      </c>
    </row>
    <row r="182">
      <c r="A182">
        <f>ROW()</f>
        <v/>
      </c>
      <c r="B182">
        <f>IF(설정!$C$4="","",IFERROR(INDEX('1.산군_붙여넣기'!$A$1:$AZ$1001,ROW(),설정!$C$4)&amp;"",""))</f>
        <v/>
      </c>
      <c r="C182">
        <f>IF(설정!$C$5="","",IFERROR(INDEX('1.산군_붙여넣기'!$A$1:$AZ$1001,ROW(),설정!$C$5)&amp;"",""))</f>
        <v/>
      </c>
      <c r="D182" s="5">
        <f>IFERROR(VALUE(SUBSTITUTE(SUBSTITUTE(SUBSTITUTE(IF(설정!$C$6="","",IFERROR(INDEX('1.산군_붙여넣기'!$A$1:$AZ$1001,ROW(),설정!$C$6)&amp;"","")),",",""),"㎡",""),"m2","")),"")</f>
        <v/>
      </c>
      <c r="E182">
        <f>IF(설정!$C$7="","",IFERROR(INDEX('1.산군_붙여넣기'!$A$1:$AZ$1001,ROW(),설정!$C$7)&amp;"",""))</f>
        <v/>
      </c>
      <c r="F182">
        <f>IF(설정!$C$8="","",IFERROR(INDEX('1.산군_붙여넣기'!$A$1:$AZ$1001,ROW(),설정!$C$8)&amp;"",""))</f>
        <v/>
      </c>
      <c r="G182">
        <f>IF(설정!$C$9="","",IFERROR(INDEX('1.산군_붙여넣기'!$A$1:$AZ$1001,ROW(),설정!$C$9)&amp;"",""))</f>
        <v/>
      </c>
      <c r="H182">
        <f>IF(설정!$C$10="","",IFERROR(INDEX('1.산군_붙여넣기'!$A$1:$AZ$1001,ROW(),설정!$C$10)&amp;"",""))</f>
        <v/>
      </c>
      <c r="I182">
        <f>IF(설정!$C$11="","",IFERROR(INDEX('1.산군_붙여넣기'!$A$1:$AZ$1001,ROW(),설정!$C$11)&amp;"",""))</f>
        <v/>
      </c>
      <c r="J182">
        <f>IF(설정!$C$12="","",IFERROR(INDEX('1.산군_붙여넣기'!$A$1:$AZ$1001,ROW(),설정!$C$12)&amp;"",""))</f>
        <v/>
      </c>
      <c r="K182">
        <f>IF(설정!$C$13="","",IFERROR(INDEX('1.산군_붙여넣기'!$A$1:$AZ$1001,ROW(),설정!$C$13)&amp;"",""))</f>
        <v/>
      </c>
      <c r="L182" s="7">
        <f>IF(X182="","",IF(AND(LEN(X182)=8,ISNUMBER(X182*1)),DATE(LEFT(X182,4),MID(X182,5,2),RIGHT(X182,2)),IFERROR(DATEVALUE(SUBSTITUTE(SUBSTITUTE(X182,".","-"),"/","-")),IFERROR(X182*1,""))))</f>
        <v/>
      </c>
      <c r="M182" s="7">
        <f>IF(Y182="","",IF(AND(LEN(Y182)=8,ISNUMBER(Y182*1)),DATE(LEFT(Y182,4),MID(Y182,5,2),RIGHT(Y182,2)),IFERROR(DATEVALUE(SUBSTITUTE(SUBSTITUTE(Y182,".","-"),"/","-")),IFERROR(Y182*1,""))))</f>
        <v/>
      </c>
      <c r="N182">
        <f>IFERROR(LEFT(B182,FIND(" ",B182)-1),B182)</f>
        <v/>
      </c>
      <c r="O182">
        <f>AND(B182&lt;&gt;"",B182&lt;&gt;설정!$B$4,C182&lt;&gt;설정!$B$5)</f>
        <v/>
      </c>
      <c r="P182">
        <f>IF(O182,B182&amp;"|"&amp;C182,"")</f>
        <v/>
      </c>
      <c r="Q182">
        <f>AND(O182,COUNTIF(P183:P$1002,P182)=0)</f>
        <v/>
      </c>
      <c r="R182">
        <f>OR(AND(설정!$A$42&lt;&gt;"",ISNUMBER(SEARCH(설정!$A$42,E182&amp;" "&amp;C182))),AND(설정!$A$43&lt;&gt;"",ISNUMBER(SEARCH(설정!$A$43,E182&amp;" "&amp;C182))),AND(설정!$A$44&lt;&gt;"",ISNUMBER(SEARCH(설정!$A$44,E182&amp;" "&amp;C182))),AND(설정!$A$45&lt;&gt;"",ISNUMBER(SEARCH(설정!$A$45,E182&amp;" "&amp;C182))),AND(설정!$A$46&lt;&gt;"",ISNUMBER(SEARCH(설정!$A$46,E182&amp;" "&amp;C182))),AND(설정!$A$47&lt;&gt;"",ISNUMBER(SEARCH(설정!$A$47,E182&amp;" "&amp;C182))),AND(설정!$A$48&lt;&gt;"",ISNUMBER(SEARCH(설정!$A$48,E182&amp;" "&amp;C182))),AND(설정!$A$49&lt;&gt;"",ISNUMBER(SEARCH(설정!$A$49,E182&amp;" "&amp;C182))),AND(설정!$A$50&lt;&gt;"",ISNUMBER(SEARCH(설정!$A$50,E182&amp;" "&amp;C182))),AND(설정!$A$51&lt;&gt;"",ISNUMBER(SEARCH(설정!$A$51,E182&amp;" "&amp;C182))))</f>
        <v/>
      </c>
      <c r="S182">
        <f>OR(D182="",D182&gt;=설정!$B$19)</f>
        <v/>
      </c>
      <c r="T182">
        <f>AND(Q182,R182,S182)</f>
        <v/>
      </c>
      <c r="U182">
        <f>IF(T182,IF(AND(설정!$A$54&lt;&gt;"",ISNUMBER(SEARCH(설정!$A$54,K182))),설정!$B$54,IF(AND(설정!$A$55&lt;&gt;"",ISNUMBER(SEARCH(설정!$A$55,K182))),설정!$B$55,IF(AND(설정!$A$56&lt;&gt;"",ISNUMBER(SEARCH(설정!$A$56,K182))),설정!$B$56,IF(AND(설정!$A$57&lt;&gt;"",ISNUMBER(SEARCH(설정!$A$57,K182))),설정!$B$57,IF(AND(설정!$A$58&lt;&gt;"",ISNUMBER(SEARCH(설정!$A$58,K182))),설정!$B$58,IF(AND(설정!$A$59&lt;&gt;"",ISNUMBER(SEARCH(설정!$A$59,K182))),설정!$B$59,IF(AND(설정!$A$60&lt;&gt;"",ISNUMBER(SEARCH(설정!$A$60,K182))),설정!$B$60,IF(AND(설정!$A$61&lt;&gt;"",ISNUMBER(SEARCH(설정!$A$61,K182))),설정!$B$61,IF(M182="","설계사","시공사"))))))))),"")</f>
        <v/>
      </c>
      <c r="V182">
        <f>SUBSTITUTE(SUBSTITUTE(SUBSTITUTE(SUBSTITUTE(G182,"(주)",""),"㈜",""),"주식회사","")," ","")</f>
        <v/>
      </c>
      <c r="W182">
        <f>IF(AND(T182,V182&lt;&gt;""),IF(COUNTIFS(V$2:V182,V182,T$2:T182,TRUE)=1,MAX(W$1:W181)+1,""),"")</f>
        <v/>
      </c>
      <c r="X182">
        <f>IF(설정!$C$14="","",IFERROR(INDEX('1.산군_붙여넣기'!$A$1:$AZ$1001,ROW(),설정!$C$14)&amp;"",""))</f>
        <v/>
      </c>
      <c r="Y182">
        <f>IF(설정!$C$15="","",IFERROR(INDEX('1.산군_붙여넣기'!$A$1:$AZ$1001,ROW(),설정!$C$15)&amp;"",""))</f>
        <v/>
      </c>
      <c r="Z182">
        <f>IF(T182,V182&amp;"|"&amp;U182,"")</f>
        <v/>
      </c>
      <c r="AA182">
        <f>IF(NOT(Q182),"",IF(NOT(AND(R182,S182)),"✕",IF(OR(OR(AND(L182&lt;&gt;"",M182&lt;&gt;"",N(M182)-N(L182)&gt;설정!$B$27),AND(L182&lt;&gt;"",M182="",설정!$B$24-N(L182)&gt;설정!$B$27)),AND(D182&lt;&gt;"",D182&lt;설정!$B$26)),"△","★")))</f>
        <v/>
      </c>
      <c r="AB182">
        <f>IF(NOT(T182),"",IF(U182="설계사",설정!$B$31,IF(U182="시공사",IF(OR(M182="",설정!$B$24-N(M182)&lt;=설정!$B$28*30.4),설정!$B$32,설정!$B$33),설정!$B$34))+IF(AA182="★",설정!$B$35,0))</f>
        <v/>
      </c>
      <c r="AC182">
        <f>SUBSTITUTE(SUBSTITUTE(SUBSTITUTE(SUBSTITUTE(H182,"(주)",""),"㈜",""),"주식회사","")," ","")</f>
        <v/>
      </c>
      <c r="AD182">
        <f>IF(AND(T182,AC182&lt;&gt;""),IF(COUNTIFS(AC$2:AC182,AC182,T$2:T182,TRUE)=1,MAX(AD$1:AD181)+1,""),"")</f>
        <v/>
      </c>
    </row>
    <row r="183">
      <c r="A183">
        <f>ROW()</f>
        <v/>
      </c>
      <c r="B183">
        <f>IF(설정!$C$4="","",IFERROR(INDEX('1.산군_붙여넣기'!$A$1:$AZ$1001,ROW(),설정!$C$4)&amp;"",""))</f>
        <v/>
      </c>
      <c r="C183">
        <f>IF(설정!$C$5="","",IFERROR(INDEX('1.산군_붙여넣기'!$A$1:$AZ$1001,ROW(),설정!$C$5)&amp;"",""))</f>
        <v/>
      </c>
      <c r="D183" s="5">
        <f>IFERROR(VALUE(SUBSTITUTE(SUBSTITUTE(SUBSTITUTE(IF(설정!$C$6="","",IFERROR(INDEX('1.산군_붙여넣기'!$A$1:$AZ$1001,ROW(),설정!$C$6)&amp;"","")),",",""),"㎡",""),"m2","")),"")</f>
        <v/>
      </c>
      <c r="E183">
        <f>IF(설정!$C$7="","",IFERROR(INDEX('1.산군_붙여넣기'!$A$1:$AZ$1001,ROW(),설정!$C$7)&amp;"",""))</f>
        <v/>
      </c>
      <c r="F183">
        <f>IF(설정!$C$8="","",IFERROR(INDEX('1.산군_붙여넣기'!$A$1:$AZ$1001,ROW(),설정!$C$8)&amp;"",""))</f>
        <v/>
      </c>
      <c r="G183">
        <f>IF(설정!$C$9="","",IFERROR(INDEX('1.산군_붙여넣기'!$A$1:$AZ$1001,ROW(),설정!$C$9)&amp;"",""))</f>
        <v/>
      </c>
      <c r="H183">
        <f>IF(설정!$C$10="","",IFERROR(INDEX('1.산군_붙여넣기'!$A$1:$AZ$1001,ROW(),설정!$C$10)&amp;"",""))</f>
        <v/>
      </c>
      <c r="I183">
        <f>IF(설정!$C$11="","",IFERROR(INDEX('1.산군_붙여넣기'!$A$1:$AZ$1001,ROW(),설정!$C$11)&amp;"",""))</f>
        <v/>
      </c>
      <c r="J183">
        <f>IF(설정!$C$12="","",IFERROR(INDEX('1.산군_붙여넣기'!$A$1:$AZ$1001,ROW(),설정!$C$12)&amp;"",""))</f>
        <v/>
      </c>
      <c r="K183">
        <f>IF(설정!$C$13="","",IFERROR(INDEX('1.산군_붙여넣기'!$A$1:$AZ$1001,ROW(),설정!$C$13)&amp;"",""))</f>
        <v/>
      </c>
      <c r="L183" s="7">
        <f>IF(X183="","",IF(AND(LEN(X183)=8,ISNUMBER(X183*1)),DATE(LEFT(X183,4),MID(X183,5,2),RIGHT(X183,2)),IFERROR(DATEVALUE(SUBSTITUTE(SUBSTITUTE(X183,".","-"),"/","-")),IFERROR(X183*1,""))))</f>
        <v/>
      </c>
      <c r="M183" s="7">
        <f>IF(Y183="","",IF(AND(LEN(Y183)=8,ISNUMBER(Y183*1)),DATE(LEFT(Y183,4),MID(Y183,5,2),RIGHT(Y183,2)),IFERROR(DATEVALUE(SUBSTITUTE(SUBSTITUTE(Y183,".","-"),"/","-")),IFERROR(Y183*1,""))))</f>
        <v/>
      </c>
      <c r="N183">
        <f>IFERROR(LEFT(B183,FIND(" ",B183)-1),B183)</f>
        <v/>
      </c>
      <c r="O183">
        <f>AND(B183&lt;&gt;"",B183&lt;&gt;설정!$B$4,C183&lt;&gt;설정!$B$5)</f>
        <v/>
      </c>
      <c r="P183">
        <f>IF(O183,B183&amp;"|"&amp;C183,"")</f>
        <v/>
      </c>
      <c r="Q183">
        <f>AND(O183,COUNTIF(P184:P$1002,P183)=0)</f>
        <v/>
      </c>
      <c r="R183">
        <f>OR(AND(설정!$A$42&lt;&gt;"",ISNUMBER(SEARCH(설정!$A$42,E183&amp;" "&amp;C183))),AND(설정!$A$43&lt;&gt;"",ISNUMBER(SEARCH(설정!$A$43,E183&amp;" "&amp;C183))),AND(설정!$A$44&lt;&gt;"",ISNUMBER(SEARCH(설정!$A$44,E183&amp;" "&amp;C183))),AND(설정!$A$45&lt;&gt;"",ISNUMBER(SEARCH(설정!$A$45,E183&amp;" "&amp;C183))),AND(설정!$A$46&lt;&gt;"",ISNUMBER(SEARCH(설정!$A$46,E183&amp;" "&amp;C183))),AND(설정!$A$47&lt;&gt;"",ISNUMBER(SEARCH(설정!$A$47,E183&amp;" "&amp;C183))),AND(설정!$A$48&lt;&gt;"",ISNUMBER(SEARCH(설정!$A$48,E183&amp;" "&amp;C183))),AND(설정!$A$49&lt;&gt;"",ISNUMBER(SEARCH(설정!$A$49,E183&amp;" "&amp;C183))),AND(설정!$A$50&lt;&gt;"",ISNUMBER(SEARCH(설정!$A$50,E183&amp;" "&amp;C183))),AND(설정!$A$51&lt;&gt;"",ISNUMBER(SEARCH(설정!$A$51,E183&amp;" "&amp;C183))))</f>
        <v/>
      </c>
      <c r="S183">
        <f>OR(D183="",D183&gt;=설정!$B$19)</f>
        <v/>
      </c>
      <c r="T183">
        <f>AND(Q183,R183,S183)</f>
        <v/>
      </c>
      <c r="U183">
        <f>IF(T183,IF(AND(설정!$A$54&lt;&gt;"",ISNUMBER(SEARCH(설정!$A$54,K183))),설정!$B$54,IF(AND(설정!$A$55&lt;&gt;"",ISNUMBER(SEARCH(설정!$A$55,K183))),설정!$B$55,IF(AND(설정!$A$56&lt;&gt;"",ISNUMBER(SEARCH(설정!$A$56,K183))),설정!$B$56,IF(AND(설정!$A$57&lt;&gt;"",ISNUMBER(SEARCH(설정!$A$57,K183))),설정!$B$57,IF(AND(설정!$A$58&lt;&gt;"",ISNUMBER(SEARCH(설정!$A$58,K183))),설정!$B$58,IF(AND(설정!$A$59&lt;&gt;"",ISNUMBER(SEARCH(설정!$A$59,K183))),설정!$B$59,IF(AND(설정!$A$60&lt;&gt;"",ISNUMBER(SEARCH(설정!$A$60,K183))),설정!$B$60,IF(AND(설정!$A$61&lt;&gt;"",ISNUMBER(SEARCH(설정!$A$61,K183))),설정!$B$61,IF(M183="","설계사","시공사"))))))))),"")</f>
        <v/>
      </c>
      <c r="V183">
        <f>SUBSTITUTE(SUBSTITUTE(SUBSTITUTE(SUBSTITUTE(G183,"(주)",""),"㈜",""),"주식회사","")," ","")</f>
        <v/>
      </c>
      <c r="W183">
        <f>IF(AND(T183,V183&lt;&gt;""),IF(COUNTIFS(V$2:V183,V183,T$2:T183,TRUE)=1,MAX(W$1:W182)+1,""),"")</f>
        <v/>
      </c>
      <c r="X183">
        <f>IF(설정!$C$14="","",IFERROR(INDEX('1.산군_붙여넣기'!$A$1:$AZ$1001,ROW(),설정!$C$14)&amp;"",""))</f>
        <v/>
      </c>
      <c r="Y183">
        <f>IF(설정!$C$15="","",IFERROR(INDEX('1.산군_붙여넣기'!$A$1:$AZ$1001,ROW(),설정!$C$15)&amp;"",""))</f>
        <v/>
      </c>
      <c r="Z183">
        <f>IF(T183,V183&amp;"|"&amp;U183,"")</f>
        <v/>
      </c>
      <c r="AA183">
        <f>IF(NOT(Q183),"",IF(NOT(AND(R183,S183)),"✕",IF(OR(OR(AND(L183&lt;&gt;"",M183&lt;&gt;"",N(M183)-N(L183)&gt;설정!$B$27),AND(L183&lt;&gt;"",M183="",설정!$B$24-N(L183)&gt;설정!$B$27)),AND(D183&lt;&gt;"",D183&lt;설정!$B$26)),"△","★")))</f>
        <v/>
      </c>
      <c r="AB183">
        <f>IF(NOT(T183),"",IF(U183="설계사",설정!$B$31,IF(U183="시공사",IF(OR(M183="",설정!$B$24-N(M183)&lt;=설정!$B$28*30.4),설정!$B$32,설정!$B$33),설정!$B$34))+IF(AA183="★",설정!$B$35,0))</f>
        <v/>
      </c>
      <c r="AC183">
        <f>SUBSTITUTE(SUBSTITUTE(SUBSTITUTE(SUBSTITUTE(H183,"(주)",""),"㈜",""),"주식회사","")," ","")</f>
        <v/>
      </c>
      <c r="AD183">
        <f>IF(AND(T183,AC183&lt;&gt;""),IF(COUNTIFS(AC$2:AC183,AC183,T$2:T183,TRUE)=1,MAX(AD$1:AD182)+1,""),"")</f>
        <v/>
      </c>
    </row>
    <row r="184">
      <c r="A184">
        <f>ROW()</f>
        <v/>
      </c>
      <c r="B184">
        <f>IF(설정!$C$4="","",IFERROR(INDEX('1.산군_붙여넣기'!$A$1:$AZ$1001,ROW(),설정!$C$4)&amp;"",""))</f>
        <v/>
      </c>
      <c r="C184">
        <f>IF(설정!$C$5="","",IFERROR(INDEX('1.산군_붙여넣기'!$A$1:$AZ$1001,ROW(),설정!$C$5)&amp;"",""))</f>
        <v/>
      </c>
      <c r="D184" s="5">
        <f>IFERROR(VALUE(SUBSTITUTE(SUBSTITUTE(SUBSTITUTE(IF(설정!$C$6="","",IFERROR(INDEX('1.산군_붙여넣기'!$A$1:$AZ$1001,ROW(),설정!$C$6)&amp;"","")),",",""),"㎡",""),"m2","")),"")</f>
        <v/>
      </c>
      <c r="E184">
        <f>IF(설정!$C$7="","",IFERROR(INDEX('1.산군_붙여넣기'!$A$1:$AZ$1001,ROW(),설정!$C$7)&amp;"",""))</f>
        <v/>
      </c>
      <c r="F184">
        <f>IF(설정!$C$8="","",IFERROR(INDEX('1.산군_붙여넣기'!$A$1:$AZ$1001,ROW(),설정!$C$8)&amp;"",""))</f>
        <v/>
      </c>
      <c r="G184">
        <f>IF(설정!$C$9="","",IFERROR(INDEX('1.산군_붙여넣기'!$A$1:$AZ$1001,ROW(),설정!$C$9)&amp;"",""))</f>
        <v/>
      </c>
      <c r="H184">
        <f>IF(설정!$C$10="","",IFERROR(INDEX('1.산군_붙여넣기'!$A$1:$AZ$1001,ROW(),설정!$C$10)&amp;"",""))</f>
        <v/>
      </c>
      <c r="I184">
        <f>IF(설정!$C$11="","",IFERROR(INDEX('1.산군_붙여넣기'!$A$1:$AZ$1001,ROW(),설정!$C$11)&amp;"",""))</f>
        <v/>
      </c>
      <c r="J184">
        <f>IF(설정!$C$12="","",IFERROR(INDEX('1.산군_붙여넣기'!$A$1:$AZ$1001,ROW(),설정!$C$12)&amp;"",""))</f>
        <v/>
      </c>
      <c r="K184">
        <f>IF(설정!$C$13="","",IFERROR(INDEX('1.산군_붙여넣기'!$A$1:$AZ$1001,ROW(),설정!$C$13)&amp;"",""))</f>
        <v/>
      </c>
      <c r="L184" s="7">
        <f>IF(X184="","",IF(AND(LEN(X184)=8,ISNUMBER(X184*1)),DATE(LEFT(X184,4),MID(X184,5,2),RIGHT(X184,2)),IFERROR(DATEVALUE(SUBSTITUTE(SUBSTITUTE(X184,".","-"),"/","-")),IFERROR(X184*1,""))))</f>
        <v/>
      </c>
      <c r="M184" s="7">
        <f>IF(Y184="","",IF(AND(LEN(Y184)=8,ISNUMBER(Y184*1)),DATE(LEFT(Y184,4),MID(Y184,5,2),RIGHT(Y184,2)),IFERROR(DATEVALUE(SUBSTITUTE(SUBSTITUTE(Y184,".","-"),"/","-")),IFERROR(Y184*1,""))))</f>
        <v/>
      </c>
      <c r="N184">
        <f>IFERROR(LEFT(B184,FIND(" ",B184)-1),B184)</f>
        <v/>
      </c>
      <c r="O184">
        <f>AND(B184&lt;&gt;"",B184&lt;&gt;설정!$B$4,C184&lt;&gt;설정!$B$5)</f>
        <v/>
      </c>
      <c r="P184">
        <f>IF(O184,B184&amp;"|"&amp;C184,"")</f>
        <v/>
      </c>
      <c r="Q184">
        <f>AND(O184,COUNTIF(P185:P$1002,P184)=0)</f>
        <v/>
      </c>
      <c r="R184">
        <f>OR(AND(설정!$A$42&lt;&gt;"",ISNUMBER(SEARCH(설정!$A$42,E184&amp;" "&amp;C184))),AND(설정!$A$43&lt;&gt;"",ISNUMBER(SEARCH(설정!$A$43,E184&amp;" "&amp;C184))),AND(설정!$A$44&lt;&gt;"",ISNUMBER(SEARCH(설정!$A$44,E184&amp;" "&amp;C184))),AND(설정!$A$45&lt;&gt;"",ISNUMBER(SEARCH(설정!$A$45,E184&amp;" "&amp;C184))),AND(설정!$A$46&lt;&gt;"",ISNUMBER(SEARCH(설정!$A$46,E184&amp;" "&amp;C184))),AND(설정!$A$47&lt;&gt;"",ISNUMBER(SEARCH(설정!$A$47,E184&amp;" "&amp;C184))),AND(설정!$A$48&lt;&gt;"",ISNUMBER(SEARCH(설정!$A$48,E184&amp;" "&amp;C184))),AND(설정!$A$49&lt;&gt;"",ISNUMBER(SEARCH(설정!$A$49,E184&amp;" "&amp;C184))),AND(설정!$A$50&lt;&gt;"",ISNUMBER(SEARCH(설정!$A$50,E184&amp;" "&amp;C184))),AND(설정!$A$51&lt;&gt;"",ISNUMBER(SEARCH(설정!$A$51,E184&amp;" "&amp;C184))))</f>
        <v/>
      </c>
      <c r="S184">
        <f>OR(D184="",D184&gt;=설정!$B$19)</f>
        <v/>
      </c>
      <c r="T184">
        <f>AND(Q184,R184,S184)</f>
        <v/>
      </c>
      <c r="U184">
        <f>IF(T184,IF(AND(설정!$A$54&lt;&gt;"",ISNUMBER(SEARCH(설정!$A$54,K184))),설정!$B$54,IF(AND(설정!$A$55&lt;&gt;"",ISNUMBER(SEARCH(설정!$A$55,K184))),설정!$B$55,IF(AND(설정!$A$56&lt;&gt;"",ISNUMBER(SEARCH(설정!$A$56,K184))),설정!$B$56,IF(AND(설정!$A$57&lt;&gt;"",ISNUMBER(SEARCH(설정!$A$57,K184))),설정!$B$57,IF(AND(설정!$A$58&lt;&gt;"",ISNUMBER(SEARCH(설정!$A$58,K184))),설정!$B$58,IF(AND(설정!$A$59&lt;&gt;"",ISNUMBER(SEARCH(설정!$A$59,K184))),설정!$B$59,IF(AND(설정!$A$60&lt;&gt;"",ISNUMBER(SEARCH(설정!$A$60,K184))),설정!$B$60,IF(AND(설정!$A$61&lt;&gt;"",ISNUMBER(SEARCH(설정!$A$61,K184))),설정!$B$61,IF(M184="","설계사","시공사"))))))))),"")</f>
        <v/>
      </c>
      <c r="V184">
        <f>SUBSTITUTE(SUBSTITUTE(SUBSTITUTE(SUBSTITUTE(G184,"(주)",""),"㈜",""),"주식회사","")," ","")</f>
        <v/>
      </c>
      <c r="W184">
        <f>IF(AND(T184,V184&lt;&gt;""),IF(COUNTIFS(V$2:V184,V184,T$2:T184,TRUE)=1,MAX(W$1:W183)+1,""),"")</f>
        <v/>
      </c>
      <c r="X184">
        <f>IF(설정!$C$14="","",IFERROR(INDEX('1.산군_붙여넣기'!$A$1:$AZ$1001,ROW(),설정!$C$14)&amp;"",""))</f>
        <v/>
      </c>
      <c r="Y184">
        <f>IF(설정!$C$15="","",IFERROR(INDEX('1.산군_붙여넣기'!$A$1:$AZ$1001,ROW(),설정!$C$15)&amp;"",""))</f>
        <v/>
      </c>
      <c r="Z184">
        <f>IF(T184,V184&amp;"|"&amp;U184,"")</f>
        <v/>
      </c>
      <c r="AA184">
        <f>IF(NOT(Q184),"",IF(NOT(AND(R184,S184)),"✕",IF(OR(OR(AND(L184&lt;&gt;"",M184&lt;&gt;"",N(M184)-N(L184)&gt;설정!$B$27),AND(L184&lt;&gt;"",M184="",설정!$B$24-N(L184)&gt;설정!$B$27)),AND(D184&lt;&gt;"",D184&lt;설정!$B$26)),"△","★")))</f>
        <v/>
      </c>
      <c r="AB184">
        <f>IF(NOT(T184),"",IF(U184="설계사",설정!$B$31,IF(U184="시공사",IF(OR(M184="",설정!$B$24-N(M184)&lt;=설정!$B$28*30.4),설정!$B$32,설정!$B$33),설정!$B$34))+IF(AA184="★",설정!$B$35,0))</f>
        <v/>
      </c>
      <c r="AC184">
        <f>SUBSTITUTE(SUBSTITUTE(SUBSTITUTE(SUBSTITUTE(H184,"(주)",""),"㈜",""),"주식회사","")," ","")</f>
        <v/>
      </c>
      <c r="AD184">
        <f>IF(AND(T184,AC184&lt;&gt;""),IF(COUNTIFS(AC$2:AC184,AC184,T$2:T184,TRUE)=1,MAX(AD$1:AD183)+1,""),"")</f>
        <v/>
      </c>
    </row>
    <row r="185">
      <c r="A185">
        <f>ROW()</f>
        <v/>
      </c>
      <c r="B185">
        <f>IF(설정!$C$4="","",IFERROR(INDEX('1.산군_붙여넣기'!$A$1:$AZ$1001,ROW(),설정!$C$4)&amp;"",""))</f>
        <v/>
      </c>
      <c r="C185">
        <f>IF(설정!$C$5="","",IFERROR(INDEX('1.산군_붙여넣기'!$A$1:$AZ$1001,ROW(),설정!$C$5)&amp;"",""))</f>
        <v/>
      </c>
      <c r="D185" s="5">
        <f>IFERROR(VALUE(SUBSTITUTE(SUBSTITUTE(SUBSTITUTE(IF(설정!$C$6="","",IFERROR(INDEX('1.산군_붙여넣기'!$A$1:$AZ$1001,ROW(),설정!$C$6)&amp;"","")),",",""),"㎡",""),"m2","")),"")</f>
        <v/>
      </c>
      <c r="E185">
        <f>IF(설정!$C$7="","",IFERROR(INDEX('1.산군_붙여넣기'!$A$1:$AZ$1001,ROW(),설정!$C$7)&amp;"",""))</f>
        <v/>
      </c>
      <c r="F185">
        <f>IF(설정!$C$8="","",IFERROR(INDEX('1.산군_붙여넣기'!$A$1:$AZ$1001,ROW(),설정!$C$8)&amp;"",""))</f>
        <v/>
      </c>
      <c r="G185">
        <f>IF(설정!$C$9="","",IFERROR(INDEX('1.산군_붙여넣기'!$A$1:$AZ$1001,ROW(),설정!$C$9)&amp;"",""))</f>
        <v/>
      </c>
      <c r="H185">
        <f>IF(설정!$C$10="","",IFERROR(INDEX('1.산군_붙여넣기'!$A$1:$AZ$1001,ROW(),설정!$C$10)&amp;"",""))</f>
        <v/>
      </c>
      <c r="I185">
        <f>IF(설정!$C$11="","",IFERROR(INDEX('1.산군_붙여넣기'!$A$1:$AZ$1001,ROW(),설정!$C$11)&amp;"",""))</f>
        <v/>
      </c>
      <c r="J185">
        <f>IF(설정!$C$12="","",IFERROR(INDEX('1.산군_붙여넣기'!$A$1:$AZ$1001,ROW(),설정!$C$12)&amp;"",""))</f>
        <v/>
      </c>
      <c r="K185">
        <f>IF(설정!$C$13="","",IFERROR(INDEX('1.산군_붙여넣기'!$A$1:$AZ$1001,ROW(),설정!$C$13)&amp;"",""))</f>
        <v/>
      </c>
      <c r="L185" s="7">
        <f>IF(X185="","",IF(AND(LEN(X185)=8,ISNUMBER(X185*1)),DATE(LEFT(X185,4),MID(X185,5,2),RIGHT(X185,2)),IFERROR(DATEVALUE(SUBSTITUTE(SUBSTITUTE(X185,".","-"),"/","-")),IFERROR(X185*1,""))))</f>
        <v/>
      </c>
      <c r="M185" s="7">
        <f>IF(Y185="","",IF(AND(LEN(Y185)=8,ISNUMBER(Y185*1)),DATE(LEFT(Y185,4),MID(Y185,5,2),RIGHT(Y185,2)),IFERROR(DATEVALUE(SUBSTITUTE(SUBSTITUTE(Y185,".","-"),"/","-")),IFERROR(Y185*1,""))))</f>
        <v/>
      </c>
      <c r="N185">
        <f>IFERROR(LEFT(B185,FIND(" ",B185)-1),B185)</f>
        <v/>
      </c>
      <c r="O185">
        <f>AND(B185&lt;&gt;"",B185&lt;&gt;설정!$B$4,C185&lt;&gt;설정!$B$5)</f>
        <v/>
      </c>
      <c r="P185">
        <f>IF(O185,B185&amp;"|"&amp;C185,"")</f>
        <v/>
      </c>
      <c r="Q185">
        <f>AND(O185,COUNTIF(P186:P$1002,P185)=0)</f>
        <v/>
      </c>
      <c r="R185">
        <f>OR(AND(설정!$A$42&lt;&gt;"",ISNUMBER(SEARCH(설정!$A$42,E185&amp;" "&amp;C185))),AND(설정!$A$43&lt;&gt;"",ISNUMBER(SEARCH(설정!$A$43,E185&amp;" "&amp;C185))),AND(설정!$A$44&lt;&gt;"",ISNUMBER(SEARCH(설정!$A$44,E185&amp;" "&amp;C185))),AND(설정!$A$45&lt;&gt;"",ISNUMBER(SEARCH(설정!$A$45,E185&amp;" "&amp;C185))),AND(설정!$A$46&lt;&gt;"",ISNUMBER(SEARCH(설정!$A$46,E185&amp;" "&amp;C185))),AND(설정!$A$47&lt;&gt;"",ISNUMBER(SEARCH(설정!$A$47,E185&amp;" "&amp;C185))),AND(설정!$A$48&lt;&gt;"",ISNUMBER(SEARCH(설정!$A$48,E185&amp;" "&amp;C185))),AND(설정!$A$49&lt;&gt;"",ISNUMBER(SEARCH(설정!$A$49,E185&amp;" "&amp;C185))),AND(설정!$A$50&lt;&gt;"",ISNUMBER(SEARCH(설정!$A$50,E185&amp;" "&amp;C185))),AND(설정!$A$51&lt;&gt;"",ISNUMBER(SEARCH(설정!$A$51,E185&amp;" "&amp;C185))))</f>
        <v/>
      </c>
      <c r="S185">
        <f>OR(D185="",D185&gt;=설정!$B$19)</f>
        <v/>
      </c>
      <c r="T185">
        <f>AND(Q185,R185,S185)</f>
        <v/>
      </c>
      <c r="U185">
        <f>IF(T185,IF(AND(설정!$A$54&lt;&gt;"",ISNUMBER(SEARCH(설정!$A$54,K185))),설정!$B$54,IF(AND(설정!$A$55&lt;&gt;"",ISNUMBER(SEARCH(설정!$A$55,K185))),설정!$B$55,IF(AND(설정!$A$56&lt;&gt;"",ISNUMBER(SEARCH(설정!$A$56,K185))),설정!$B$56,IF(AND(설정!$A$57&lt;&gt;"",ISNUMBER(SEARCH(설정!$A$57,K185))),설정!$B$57,IF(AND(설정!$A$58&lt;&gt;"",ISNUMBER(SEARCH(설정!$A$58,K185))),설정!$B$58,IF(AND(설정!$A$59&lt;&gt;"",ISNUMBER(SEARCH(설정!$A$59,K185))),설정!$B$59,IF(AND(설정!$A$60&lt;&gt;"",ISNUMBER(SEARCH(설정!$A$60,K185))),설정!$B$60,IF(AND(설정!$A$61&lt;&gt;"",ISNUMBER(SEARCH(설정!$A$61,K185))),설정!$B$61,IF(M185="","설계사","시공사"))))))))),"")</f>
        <v/>
      </c>
      <c r="V185">
        <f>SUBSTITUTE(SUBSTITUTE(SUBSTITUTE(SUBSTITUTE(G185,"(주)",""),"㈜",""),"주식회사","")," ","")</f>
        <v/>
      </c>
      <c r="W185">
        <f>IF(AND(T185,V185&lt;&gt;""),IF(COUNTIFS(V$2:V185,V185,T$2:T185,TRUE)=1,MAX(W$1:W184)+1,""),"")</f>
        <v/>
      </c>
      <c r="X185">
        <f>IF(설정!$C$14="","",IFERROR(INDEX('1.산군_붙여넣기'!$A$1:$AZ$1001,ROW(),설정!$C$14)&amp;"",""))</f>
        <v/>
      </c>
      <c r="Y185">
        <f>IF(설정!$C$15="","",IFERROR(INDEX('1.산군_붙여넣기'!$A$1:$AZ$1001,ROW(),설정!$C$15)&amp;"",""))</f>
        <v/>
      </c>
      <c r="Z185">
        <f>IF(T185,V185&amp;"|"&amp;U185,"")</f>
        <v/>
      </c>
      <c r="AA185">
        <f>IF(NOT(Q185),"",IF(NOT(AND(R185,S185)),"✕",IF(OR(OR(AND(L185&lt;&gt;"",M185&lt;&gt;"",N(M185)-N(L185)&gt;설정!$B$27),AND(L185&lt;&gt;"",M185="",설정!$B$24-N(L185)&gt;설정!$B$27)),AND(D185&lt;&gt;"",D185&lt;설정!$B$26)),"△","★")))</f>
        <v/>
      </c>
      <c r="AB185">
        <f>IF(NOT(T185),"",IF(U185="설계사",설정!$B$31,IF(U185="시공사",IF(OR(M185="",설정!$B$24-N(M185)&lt;=설정!$B$28*30.4),설정!$B$32,설정!$B$33),설정!$B$34))+IF(AA185="★",설정!$B$35,0))</f>
        <v/>
      </c>
      <c r="AC185">
        <f>SUBSTITUTE(SUBSTITUTE(SUBSTITUTE(SUBSTITUTE(H185,"(주)",""),"㈜",""),"주식회사","")," ","")</f>
        <v/>
      </c>
      <c r="AD185">
        <f>IF(AND(T185,AC185&lt;&gt;""),IF(COUNTIFS(AC$2:AC185,AC185,T$2:T185,TRUE)=1,MAX(AD$1:AD184)+1,""),"")</f>
        <v/>
      </c>
    </row>
    <row r="186">
      <c r="A186">
        <f>ROW()</f>
        <v/>
      </c>
      <c r="B186">
        <f>IF(설정!$C$4="","",IFERROR(INDEX('1.산군_붙여넣기'!$A$1:$AZ$1001,ROW(),설정!$C$4)&amp;"",""))</f>
        <v/>
      </c>
      <c r="C186">
        <f>IF(설정!$C$5="","",IFERROR(INDEX('1.산군_붙여넣기'!$A$1:$AZ$1001,ROW(),설정!$C$5)&amp;"",""))</f>
        <v/>
      </c>
      <c r="D186" s="5">
        <f>IFERROR(VALUE(SUBSTITUTE(SUBSTITUTE(SUBSTITUTE(IF(설정!$C$6="","",IFERROR(INDEX('1.산군_붙여넣기'!$A$1:$AZ$1001,ROW(),설정!$C$6)&amp;"","")),",",""),"㎡",""),"m2","")),"")</f>
        <v/>
      </c>
      <c r="E186">
        <f>IF(설정!$C$7="","",IFERROR(INDEX('1.산군_붙여넣기'!$A$1:$AZ$1001,ROW(),설정!$C$7)&amp;"",""))</f>
        <v/>
      </c>
      <c r="F186">
        <f>IF(설정!$C$8="","",IFERROR(INDEX('1.산군_붙여넣기'!$A$1:$AZ$1001,ROW(),설정!$C$8)&amp;"",""))</f>
        <v/>
      </c>
      <c r="G186">
        <f>IF(설정!$C$9="","",IFERROR(INDEX('1.산군_붙여넣기'!$A$1:$AZ$1001,ROW(),설정!$C$9)&amp;"",""))</f>
        <v/>
      </c>
      <c r="H186">
        <f>IF(설정!$C$10="","",IFERROR(INDEX('1.산군_붙여넣기'!$A$1:$AZ$1001,ROW(),설정!$C$10)&amp;"",""))</f>
        <v/>
      </c>
      <c r="I186">
        <f>IF(설정!$C$11="","",IFERROR(INDEX('1.산군_붙여넣기'!$A$1:$AZ$1001,ROW(),설정!$C$11)&amp;"",""))</f>
        <v/>
      </c>
      <c r="J186">
        <f>IF(설정!$C$12="","",IFERROR(INDEX('1.산군_붙여넣기'!$A$1:$AZ$1001,ROW(),설정!$C$12)&amp;"",""))</f>
        <v/>
      </c>
      <c r="K186">
        <f>IF(설정!$C$13="","",IFERROR(INDEX('1.산군_붙여넣기'!$A$1:$AZ$1001,ROW(),설정!$C$13)&amp;"",""))</f>
        <v/>
      </c>
      <c r="L186" s="7">
        <f>IF(X186="","",IF(AND(LEN(X186)=8,ISNUMBER(X186*1)),DATE(LEFT(X186,4),MID(X186,5,2),RIGHT(X186,2)),IFERROR(DATEVALUE(SUBSTITUTE(SUBSTITUTE(X186,".","-"),"/","-")),IFERROR(X186*1,""))))</f>
        <v/>
      </c>
      <c r="M186" s="7">
        <f>IF(Y186="","",IF(AND(LEN(Y186)=8,ISNUMBER(Y186*1)),DATE(LEFT(Y186,4),MID(Y186,5,2),RIGHT(Y186,2)),IFERROR(DATEVALUE(SUBSTITUTE(SUBSTITUTE(Y186,".","-"),"/","-")),IFERROR(Y186*1,""))))</f>
        <v/>
      </c>
      <c r="N186">
        <f>IFERROR(LEFT(B186,FIND(" ",B186)-1),B186)</f>
        <v/>
      </c>
      <c r="O186">
        <f>AND(B186&lt;&gt;"",B186&lt;&gt;설정!$B$4,C186&lt;&gt;설정!$B$5)</f>
        <v/>
      </c>
      <c r="P186">
        <f>IF(O186,B186&amp;"|"&amp;C186,"")</f>
        <v/>
      </c>
      <c r="Q186">
        <f>AND(O186,COUNTIF(P187:P$1002,P186)=0)</f>
        <v/>
      </c>
      <c r="R186">
        <f>OR(AND(설정!$A$42&lt;&gt;"",ISNUMBER(SEARCH(설정!$A$42,E186&amp;" "&amp;C186))),AND(설정!$A$43&lt;&gt;"",ISNUMBER(SEARCH(설정!$A$43,E186&amp;" "&amp;C186))),AND(설정!$A$44&lt;&gt;"",ISNUMBER(SEARCH(설정!$A$44,E186&amp;" "&amp;C186))),AND(설정!$A$45&lt;&gt;"",ISNUMBER(SEARCH(설정!$A$45,E186&amp;" "&amp;C186))),AND(설정!$A$46&lt;&gt;"",ISNUMBER(SEARCH(설정!$A$46,E186&amp;" "&amp;C186))),AND(설정!$A$47&lt;&gt;"",ISNUMBER(SEARCH(설정!$A$47,E186&amp;" "&amp;C186))),AND(설정!$A$48&lt;&gt;"",ISNUMBER(SEARCH(설정!$A$48,E186&amp;" "&amp;C186))),AND(설정!$A$49&lt;&gt;"",ISNUMBER(SEARCH(설정!$A$49,E186&amp;" "&amp;C186))),AND(설정!$A$50&lt;&gt;"",ISNUMBER(SEARCH(설정!$A$50,E186&amp;" "&amp;C186))),AND(설정!$A$51&lt;&gt;"",ISNUMBER(SEARCH(설정!$A$51,E186&amp;" "&amp;C186))))</f>
        <v/>
      </c>
      <c r="S186">
        <f>OR(D186="",D186&gt;=설정!$B$19)</f>
        <v/>
      </c>
      <c r="T186">
        <f>AND(Q186,R186,S186)</f>
        <v/>
      </c>
      <c r="U186">
        <f>IF(T186,IF(AND(설정!$A$54&lt;&gt;"",ISNUMBER(SEARCH(설정!$A$54,K186))),설정!$B$54,IF(AND(설정!$A$55&lt;&gt;"",ISNUMBER(SEARCH(설정!$A$55,K186))),설정!$B$55,IF(AND(설정!$A$56&lt;&gt;"",ISNUMBER(SEARCH(설정!$A$56,K186))),설정!$B$56,IF(AND(설정!$A$57&lt;&gt;"",ISNUMBER(SEARCH(설정!$A$57,K186))),설정!$B$57,IF(AND(설정!$A$58&lt;&gt;"",ISNUMBER(SEARCH(설정!$A$58,K186))),설정!$B$58,IF(AND(설정!$A$59&lt;&gt;"",ISNUMBER(SEARCH(설정!$A$59,K186))),설정!$B$59,IF(AND(설정!$A$60&lt;&gt;"",ISNUMBER(SEARCH(설정!$A$60,K186))),설정!$B$60,IF(AND(설정!$A$61&lt;&gt;"",ISNUMBER(SEARCH(설정!$A$61,K186))),설정!$B$61,IF(M186="","설계사","시공사"))))))))),"")</f>
        <v/>
      </c>
      <c r="V186">
        <f>SUBSTITUTE(SUBSTITUTE(SUBSTITUTE(SUBSTITUTE(G186,"(주)",""),"㈜",""),"주식회사","")," ","")</f>
        <v/>
      </c>
      <c r="W186">
        <f>IF(AND(T186,V186&lt;&gt;""),IF(COUNTIFS(V$2:V186,V186,T$2:T186,TRUE)=1,MAX(W$1:W185)+1,""),"")</f>
        <v/>
      </c>
      <c r="X186">
        <f>IF(설정!$C$14="","",IFERROR(INDEX('1.산군_붙여넣기'!$A$1:$AZ$1001,ROW(),설정!$C$14)&amp;"",""))</f>
        <v/>
      </c>
      <c r="Y186">
        <f>IF(설정!$C$15="","",IFERROR(INDEX('1.산군_붙여넣기'!$A$1:$AZ$1001,ROW(),설정!$C$15)&amp;"",""))</f>
        <v/>
      </c>
      <c r="Z186">
        <f>IF(T186,V186&amp;"|"&amp;U186,"")</f>
        <v/>
      </c>
      <c r="AA186">
        <f>IF(NOT(Q186),"",IF(NOT(AND(R186,S186)),"✕",IF(OR(OR(AND(L186&lt;&gt;"",M186&lt;&gt;"",N(M186)-N(L186)&gt;설정!$B$27),AND(L186&lt;&gt;"",M186="",설정!$B$24-N(L186)&gt;설정!$B$27)),AND(D186&lt;&gt;"",D186&lt;설정!$B$26)),"△","★")))</f>
        <v/>
      </c>
      <c r="AB186">
        <f>IF(NOT(T186),"",IF(U186="설계사",설정!$B$31,IF(U186="시공사",IF(OR(M186="",설정!$B$24-N(M186)&lt;=설정!$B$28*30.4),설정!$B$32,설정!$B$33),설정!$B$34))+IF(AA186="★",설정!$B$35,0))</f>
        <v/>
      </c>
      <c r="AC186">
        <f>SUBSTITUTE(SUBSTITUTE(SUBSTITUTE(SUBSTITUTE(H186,"(주)",""),"㈜",""),"주식회사","")," ","")</f>
        <v/>
      </c>
      <c r="AD186">
        <f>IF(AND(T186,AC186&lt;&gt;""),IF(COUNTIFS(AC$2:AC186,AC186,T$2:T186,TRUE)=1,MAX(AD$1:AD185)+1,""),"")</f>
        <v/>
      </c>
    </row>
    <row r="187">
      <c r="A187">
        <f>ROW()</f>
        <v/>
      </c>
      <c r="B187">
        <f>IF(설정!$C$4="","",IFERROR(INDEX('1.산군_붙여넣기'!$A$1:$AZ$1001,ROW(),설정!$C$4)&amp;"",""))</f>
        <v/>
      </c>
      <c r="C187">
        <f>IF(설정!$C$5="","",IFERROR(INDEX('1.산군_붙여넣기'!$A$1:$AZ$1001,ROW(),설정!$C$5)&amp;"",""))</f>
        <v/>
      </c>
      <c r="D187" s="5">
        <f>IFERROR(VALUE(SUBSTITUTE(SUBSTITUTE(SUBSTITUTE(IF(설정!$C$6="","",IFERROR(INDEX('1.산군_붙여넣기'!$A$1:$AZ$1001,ROW(),설정!$C$6)&amp;"","")),",",""),"㎡",""),"m2","")),"")</f>
        <v/>
      </c>
      <c r="E187">
        <f>IF(설정!$C$7="","",IFERROR(INDEX('1.산군_붙여넣기'!$A$1:$AZ$1001,ROW(),설정!$C$7)&amp;"",""))</f>
        <v/>
      </c>
      <c r="F187">
        <f>IF(설정!$C$8="","",IFERROR(INDEX('1.산군_붙여넣기'!$A$1:$AZ$1001,ROW(),설정!$C$8)&amp;"",""))</f>
        <v/>
      </c>
      <c r="G187">
        <f>IF(설정!$C$9="","",IFERROR(INDEX('1.산군_붙여넣기'!$A$1:$AZ$1001,ROW(),설정!$C$9)&amp;"",""))</f>
        <v/>
      </c>
      <c r="H187">
        <f>IF(설정!$C$10="","",IFERROR(INDEX('1.산군_붙여넣기'!$A$1:$AZ$1001,ROW(),설정!$C$10)&amp;"",""))</f>
        <v/>
      </c>
      <c r="I187">
        <f>IF(설정!$C$11="","",IFERROR(INDEX('1.산군_붙여넣기'!$A$1:$AZ$1001,ROW(),설정!$C$11)&amp;"",""))</f>
        <v/>
      </c>
      <c r="J187">
        <f>IF(설정!$C$12="","",IFERROR(INDEX('1.산군_붙여넣기'!$A$1:$AZ$1001,ROW(),설정!$C$12)&amp;"",""))</f>
        <v/>
      </c>
      <c r="K187">
        <f>IF(설정!$C$13="","",IFERROR(INDEX('1.산군_붙여넣기'!$A$1:$AZ$1001,ROW(),설정!$C$13)&amp;"",""))</f>
        <v/>
      </c>
      <c r="L187" s="7">
        <f>IF(X187="","",IF(AND(LEN(X187)=8,ISNUMBER(X187*1)),DATE(LEFT(X187,4),MID(X187,5,2),RIGHT(X187,2)),IFERROR(DATEVALUE(SUBSTITUTE(SUBSTITUTE(X187,".","-"),"/","-")),IFERROR(X187*1,""))))</f>
        <v/>
      </c>
      <c r="M187" s="7">
        <f>IF(Y187="","",IF(AND(LEN(Y187)=8,ISNUMBER(Y187*1)),DATE(LEFT(Y187,4),MID(Y187,5,2),RIGHT(Y187,2)),IFERROR(DATEVALUE(SUBSTITUTE(SUBSTITUTE(Y187,".","-"),"/","-")),IFERROR(Y187*1,""))))</f>
        <v/>
      </c>
      <c r="N187">
        <f>IFERROR(LEFT(B187,FIND(" ",B187)-1),B187)</f>
        <v/>
      </c>
      <c r="O187">
        <f>AND(B187&lt;&gt;"",B187&lt;&gt;설정!$B$4,C187&lt;&gt;설정!$B$5)</f>
        <v/>
      </c>
      <c r="P187">
        <f>IF(O187,B187&amp;"|"&amp;C187,"")</f>
        <v/>
      </c>
      <c r="Q187">
        <f>AND(O187,COUNTIF(P188:P$1002,P187)=0)</f>
        <v/>
      </c>
      <c r="R187">
        <f>OR(AND(설정!$A$42&lt;&gt;"",ISNUMBER(SEARCH(설정!$A$42,E187&amp;" "&amp;C187))),AND(설정!$A$43&lt;&gt;"",ISNUMBER(SEARCH(설정!$A$43,E187&amp;" "&amp;C187))),AND(설정!$A$44&lt;&gt;"",ISNUMBER(SEARCH(설정!$A$44,E187&amp;" "&amp;C187))),AND(설정!$A$45&lt;&gt;"",ISNUMBER(SEARCH(설정!$A$45,E187&amp;" "&amp;C187))),AND(설정!$A$46&lt;&gt;"",ISNUMBER(SEARCH(설정!$A$46,E187&amp;" "&amp;C187))),AND(설정!$A$47&lt;&gt;"",ISNUMBER(SEARCH(설정!$A$47,E187&amp;" "&amp;C187))),AND(설정!$A$48&lt;&gt;"",ISNUMBER(SEARCH(설정!$A$48,E187&amp;" "&amp;C187))),AND(설정!$A$49&lt;&gt;"",ISNUMBER(SEARCH(설정!$A$49,E187&amp;" "&amp;C187))),AND(설정!$A$50&lt;&gt;"",ISNUMBER(SEARCH(설정!$A$50,E187&amp;" "&amp;C187))),AND(설정!$A$51&lt;&gt;"",ISNUMBER(SEARCH(설정!$A$51,E187&amp;" "&amp;C187))))</f>
        <v/>
      </c>
      <c r="S187">
        <f>OR(D187="",D187&gt;=설정!$B$19)</f>
        <v/>
      </c>
      <c r="T187">
        <f>AND(Q187,R187,S187)</f>
        <v/>
      </c>
      <c r="U187">
        <f>IF(T187,IF(AND(설정!$A$54&lt;&gt;"",ISNUMBER(SEARCH(설정!$A$54,K187))),설정!$B$54,IF(AND(설정!$A$55&lt;&gt;"",ISNUMBER(SEARCH(설정!$A$55,K187))),설정!$B$55,IF(AND(설정!$A$56&lt;&gt;"",ISNUMBER(SEARCH(설정!$A$56,K187))),설정!$B$56,IF(AND(설정!$A$57&lt;&gt;"",ISNUMBER(SEARCH(설정!$A$57,K187))),설정!$B$57,IF(AND(설정!$A$58&lt;&gt;"",ISNUMBER(SEARCH(설정!$A$58,K187))),설정!$B$58,IF(AND(설정!$A$59&lt;&gt;"",ISNUMBER(SEARCH(설정!$A$59,K187))),설정!$B$59,IF(AND(설정!$A$60&lt;&gt;"",ISNUMBER(SEARCH(설정!$A$60,K187))),설정!$B$60,IF(AND(설정!$A$61&lt;&gt;"",ISNUMBER(SEARCH(설정!$A$61,K187))),설정!$B$61,IF(M187="","설계사","시공사"))))))))),"")</f>
        <v/>
      </c>
      <c r="V187">
        <f>SUBSTITUTE(SUBSTITUTE(SUBSTITUTE(SUBSTITUTE(G187,"(주)",""),"㈜",""),"주식회사","")," ","")</f>
        <v/>
      </c>
      <c r="W187">
        <f>IF(AND(T187,V187&lt;&gt;""),IF(COUNTIFS(V$2:V187,V187,T$2:T187,TRUE)=1,MAX(W$1:W186)+1,""),"")</f>
        <v/>
      </c>
      <c r="X187">
        <f>IF(설정!$C$14="","",IFERROR(INDEX('1.산군_붙여넣기'!$A$1:$AZ$1001,ROW(),설정!$C$14)&amp;"",""))</f>
        <v/>
      </c>
      <c r="Y187">
        <f>IF(설정!$C$15="","",IFERROR(INDEX('1.산군_붙여넣기'!$A$1:$AZ$1001,ROW(),설정!$C$15)&amp;"",""))</f>
        <v/>
      </c>
      <c r="Z187">
        <f>IF(T187,V187&amp;"|"&amp;U187,"")</f>
        <v/>
      </c>
      <c r="AA187">
        <f>IF(NOT(Q187),"",IF(NOT(AND(R187,S187)),"✕",IF(OR(OR(AND(L187&lt;&gt;"",M187&lt;&gt;"",N(M187)-N(L187)&gt;설정!$B$27),AND(L187&lt;&gt;"",M187="",설정!$B$24-N(L187)&gt;설정!$B$27)),AND(D187&lt;&gt;"",D187&lt;설정!$B$26)),"△","★")))</f>
        <v/>
      </c>
      <c r="AB187">
        <f>IF(NOT(T187),"",IF(U187="설계사",설정!$B$31,IF(U187="시공사",IF(OR(M187="",설정!$B$24-N(M187)&lt;=설정!$B$28*30.4),설정!$B$32,설정!$B$33),설정!$B$34))+IF(AA187="★",설정!$B$35,0))</f>
        <v/>
      </c>
      <c r="AC187">
        <f>SUBSTITUTE(SUBSTITUTE(SUBSTITUTE(SUBSTITUTE(H187,"(주)",""),"㈜",""),"주식회사","")," ","")</f>
        <v/>
      </c>
      <c r="AD187">
        <f>IF(AND(T187,AC187&lt;&gt;""),IF(COUNTIFS(AC$2:AC187,AC187,T$2:T187,TRUE)=1,MAX(AD$1:AD186)+1,""),"")</f>
        <v/>
      </c>
    </row>
    <row r="188">
      <c r="A188">
        <f>ROW()</f>
        <v/>
      </c>
      <c r="B188">
        <f>IF(설정!$C$4="","",IFERROR(INDEX('1.산군_붙여넣기'!$A$1:$AZ$1001,ROW(),설정!$C$4)&amp;"",""))</f>
        <v/>
      </c>
      <c r="C188">
        <f>IF(설정!$C$5="","",IFERROR(INDEX('1.산군_붙여넣기'!$A$1:$AZ$1001,ROW(),설정!$C$5)&amp;"",""))</f>
        <v/>
      </c>
      <c r="D188" s="5">
        <f>IFERROR(VALUE(SUBSTITUTE(SUBSTITUTE(SUBSTITUTE(IF(설정!$C$6="","",IFERROR(INDEX('1.산군_붙여넣기'!$A$1:$AZ$1001,ROW(),설정!$C$6)&amp;"","")),",",""),"㎡",""),"m2","")),"")</f>
        <v/>
      </c>
      <c r="E188">
        <f>IF(설정!$C$7="","",IFERROR(INDEX('1.산군_붙여넣기'!$A$1:$AZ$1001,ROW(),설정!$C$7)&amp;"",""))</f>
        <v/>
      </c>
      <c r="F188">
        <f>IF(설정!$C$8="","",IFERROR(INDEX('1.산군_붙여넣기'!$A$1:$AZ$1001,ROW(),설정!$C$8)&amp;"",""))</f>
        <v/>
      </c>
      <c r="G188">
        <f>IF(설정!$C$9="","",IFERROR(INDEX('1.산군_붙여넣기'!$A$1:$AZ$1001,ROW(),설정!$C$9)&amp;"",""))</f>
        <v/>
      </c>
      <c r="H188">
        <f>IF(설정!$C$10="","",IFERROR(INDEX('1.산군_붙여넣기'!$A$1:$AZ$1001,ROW(),설정!$C$10)&amp;"",""))</f>
        <v/>
      </c>
      <c r="I188">
        <f>IF(설정!$C$11="","",IFERROR(INDEX('1.산군_붙여넣기'!$A$1:$AZ$1001,ROW(),설정!$C$11)&amp;"",""))</f>
        <v/>
      </c>
      <c r="J188">
        <f>IF(설정!$C$12="","",IFERROR(INDEX('1.산군_붙여넣기'!$A$1:$AZ$1001,ROW(),설정!$C$12)&amp;"",""))</f>
        <v/>
      </c>
      <c r="K188">
        <f>IF(설정!$C$13="","",IFERROR(INDEX('1.산군_붙여넣기'!$A$1:$AZ$1001,ROW(),설정!$C$13)&amp;"",""))</f>
        <v/>
      </c>
      <c r="L188" s="7">
        <f>IF(X188="","",IF(AND(LEN(X188)=8,ISNUMBER(X188*1)),DATE(LEFT(X188,4),MID(X188,5,2),RIGHT(X188,2)),IFERROR(DATEVALUE(SUBSTITUTE(SUBSTITUTE(X188,".","-"),"/","-")),IFERROR(X188*1,""))))</f>
        <v/>
      </c>
      <c r="M188" s="7">
        <f>IF(Y188="","",IF(AND(LEN(Y188)=8,ISNUMBER(Y188*1)),DATE(LEFT(Y188,4),MID(Y188,5,2),RIGHT(Y188,2)),IFERROR(DATEVALUE(SUBSTITUTE(SUBSTITUTE(Y188,".","-"),"/","-")),IFERROR(Y188*1,""))))</f>
        <v/>
      </c>
      <c r="N188">
        <f>IFERROR(LEFT(B188,FIND(" ",B188)-1),B188)</f>
        <v/>
      </c>
      <c r="O188">
        <f>AND(B188&lt;&gt;"",B188&lt;&gt;설정!$B$4,C188&lt;&gt;설정!$B$5)</f>
        <v/>
      </c>
      <c r="P188">
        <f>IF(O188,B188&amp;"|"&amp;C188,"")</f>
        <v/>
      </c>
      <c r="Q188">
        <f>AND(O188,COUNTIF(P189:P$1002,P188)=0)</f>
        <v/>
      </c>
      <c r="R188">
        <f>OR(AND(설정!$A$42&lt;&gt;"",ISNUMBER(SEARCH(설정!$A$42,E188&amp;" "&amp;C188))),AND(설정!$A$43&lt;&gt;"",ISNUMBER(SEARCH(설정!$A$43,E188&amp;" "&amp;C188))),AND(설정!$A$44&lt;&gt;"",ISNUMBER(SEARCH(설정!$A$44,E188&amp;" "&amp;C188))),AND(설정!$A$45&lt;&gt;"",ISNUMBER(SEARCH(설정!$A$45,E188&amp;" "&amp;C188))),AND(설정!$A$46&lt;&gt;"",ISNUMBER(SEARCH(설정!$A$46,E188&amp;" "&amp;C188))),AND(설정!$A$47&lt;&gt;"",ISNUMBER(SEARCH(설정!$A$47,E188&amp;" "&amp;C188))),AND(설정!$A$48&lt;&gt;"",ISNUMBER(SEARCH(설정!$A$48,E188&amp;" "&amp;C188))),AND(설정!$A$49&lt;&gt;"",ISNUMBER(SEARCH(설정!$A$49,E188&amp;" "&amp;C188))),AND(설정!$A$50&lt;&gt;"",ISNUMBER(SEARCH(설정!$A$50,E188&amp;" "&amp;C188))),AND(설정!$A$51&lt;&gt;"",ISNUMBER(SEARCH(설정!$A$51,E188&amp;" "&amp;C188))))</f>
        <v/>
      </c>
      <c r="S188">
        <f>OR(D188="",D188&gt;=설정!$B$19)</f>
        <v/>
      </c>
      <c r="T188">
        <f>AND(Q188,R188,S188)</f>
        <v/>
      </c>
      <c r="U188">
        <f>IF(T188,IF(AND(설정!$A$54&lt;&gt;"",ISNUMBER(SEARCH(설정!$A$54,K188))),설정!$B$54,IF(AND(설정!$A$55&lt;&gt;"",ISNUMBER(SEARCH(설정!$A$55,K188))),설정!$B$55,IF(AND(설정!$A$56&lt;&gt;"",ISNUMBER(SEARCH(설정!$A$56,K188))),설정!$B$56,IF(AND(설정!$A$57&lt;&gt;"",ISNUMBER(SEARCH(설정!$A$57,K188))),설정!$B$57,IF(AND(설정!$A$58&lt;&gt;"",ISNUMBER(SEARCH(설정!$A$58,K188))),설정!$B$58,IF(AND(설정!$A$59&lt;&gt;"",ISNUMBER(SEARCH(설정!$A$59,K188))),설정!$B$59,IF(AND(설정!$A$60&lt;&gt;"",ISNUMBER(SEARCH(설정!$A$60,K188))),설정!$B$60,IF(AND(설정!$A$61&lt;&gt;"",ISNUMBER(SEARCH(설정!$A$61,K188))),설정!$B$61,IF(M188="","설계사","시공사"))))))))),"")</f>
        <v/>
      </c>
      <c r="V188">
        <f>SUBSTITUTE(SUBSTITUTE(SUBSTITUTE(SUBSTITUTE(G188,"(주)",""),"㈜",""),"주식회사","")," ","")</f>
        <v/>
      </c>
      <c r="W188">
        <f>IF(AND(T188,V188&lt;&gt;""),IF(COUNTIFS(V$2:V188,V188,T$2:T188,TRUE)=1,MAX(W$1:W187)+1,""),"")</f>
        <v/>
      </c>
      <c r="X188">
        <f>IF(설정!$C$14="","",IFERROR(INDEX('1.산군_붙여넣기'!$A$1:$AZ$1001,ROW(),설정!$C$14)&amp;"",""))</f>
        <v/>
      </c>
      <c r="Y188">
        <f>IF(설정!$C$15="","",IFERROR(INDEX('1.산군_붙여넣기'!$A$1:$AZ$1001,ROW(),설정!$C$15)&amp;"",""))</f>
        <v/>
      </c>
      <c r="Z188">
        <f>IF(T188,V188&amp;"|"&amp;U188,"")</f>
        <v/>
      </c>
      <c r="AA188">
        <f>IF(NOT(Q188),"",IF(NOT(AND(R188,S188)),"✕",IF(OR(OR(AND(L188&lt;&gt;"",M188&lt;&gt;"",N(M188)-N(L188)&gt;설정!$B$27),AND(L188&lt;&gt;"",M188="",설정!$B$24-N(L188)&gt;설정!$B$27)),AND(D188&lt;&gt;"",D188&lt;설정!$B$26)),"△","★")))</f>
        <v/>
      </c>
      <c r="AB188">
        <f>IF(NOT(T188),"",IF(U188="설계사",설정!$B$31,IF(U188="시공사",IF(OR(M188="",설정!$B$24-N(M188)&lt;=설정!$B$28*30.4),설정!$B$32,설정!$B$33),설정!$B$34))+IF(AA188="★",설정!$B$35,0))</f>
        <v/>
      </c>
      <c r="AC188">
        <f>SUBSTITUTE(SUBSTITUTE(SUBSTITUTE(SUBSTITUTE(H188,"(주)",""),"㈜",""),"주식회사","")," ","")</f>
        <v/>
      </c>
      <c r="AD188">
        <f>IF(AND(T188,AC188&lt;&gt;""),IF(COUNTIFS(AC$2:AC188,AC188,T$2:T188,TRUE)=1,MAX(AD$1:AD187)+1,""),"")</f>
        <v/>
      </c>
    </row>
    <row r="189">
      <c r="A189">
        <f>ROW()</f>
        <v/>
      </c>
      <c r="B189">
        <f>IF(설정!$C$4="","",IFERROR(INDEX('1.산군_붙여넣기'!$A$1:$AZ$1001,ROW(),설정!$C$4)&amp;"",""))</f>
        <v/>
      </c>
      <c r="C189">
        <f>IF(설정!$C$5="","",IFERROR(INDEX('1.산군_붙여넣기'!$A$1:$AZ$1001,ROW(),설정!$C$5)&amp;"",""))</f>
        <v/>
      </c>
      <c r="D189" s="5">
        <f>IFERROR(VALUE(SUBSTITUTE(SUBSTITUTE(SUBSTITUTE(IF(설정!$C$6="","",IFERROR(INDEX('1.산군_붙여넣기'!$A$1:$AZ$1001,ROW(),설정!$C$6)&amp;"","")),",",""),"㎡",""),"m2","")),"")</f>
        <v/>
      </c>
      <c r="E189">
        <f>IF(설정!$C$7="","",IFERROR(INDEX('1.산군_붙여넣기'!$A$1:$AZ$1001,ROW(),설정!$C$7)&amp;"",""))</f>
        <v/>
      </c>
      <c r="F189">
        <f>IF(설정!$C$8="","",IFERROR(INDEX('1.산군_붙여넣기'!$A$1:$AZ$1001,ROW(),설정!$C$8)&amp;"",""))</f>
        <v/>
      </c>
      <c r="G189">
        <f>IF(설정!$C$9="","",IFERROR(INDEX('1.산군_붙여넣기'!$A$1:$AZ$1001,ROW(),설정!$C$9)&amp;"",""))</f>
        <v/>
      </c>
      <c r="H189">
        <f>IF(설정!$C$10="","",IFERROR(INDEX('1.산군_붙여넣기'!$A$1:$AZ$1001,ROW(),설정!$C$10)&amp;"",""))</f>
        <v/>
      </c>
      <c r="I189">
        <f>IF(설정!$C$11="","",IFERROR(INDEX('1.산군_붙여넣기'!$A$1:$AZ$1001,ROW(),설정!$C$11)&amp;"",""))</f>
        <v/>
      </c>
      <c r="J189">
        <f>IF(설정!$C$12="","",IFERROR(INDEX('1.산군_붙여넣기'!$A$1:$AZ$1001,ROW(),설정!$C$12)&amp;"",""))</f>
        <v/>
      </c>
      <c r="K189">
        <f>IF(설정!$C$13="","",IFERROR(INDEX('1.산군_붙여넣기'!$A$1:$AZ$1001,ROW(),설정!$C$13)&amp;"",""))</f>
        <v/>
      </c>
      <c r="L189" s="7">
        <f>IF(X189="","",IF(AND(LEN(X189)=8,ISNUMBER(X189*1)),DATE(LEFT(X189,4),MID(X189,5,2),RIGHT(X189,2)),IFERROR(DATEVALUE(SUBSTITUTE(SUBSTITUTE(X189,".","-"),"/","-")),IFERROR(X189*1,""))))</f>
        <v/>
      </c>
      <c r="M189" s="7">
        <f>IF(Y189="","",IF(AND(LEN(Y189)=8,ISNUMBER(Y189*1)),DATE(LEFT(Y189,4),MID(Y189,5,2),RIGHT(Y189,2)),IFERROR(DATEVALUE(SUBSTITUTE(SUBSTITUTE(Y189,".","-"),"/","-")),IFERROR(Y189*1,""))))</f>
        <v/>
      </c>
      <c r="N189">
        <f>IFERROR(LEFT(B189,FIND(" ",B189)-1),B189)</f>
        <v/>
      </c>
      <c r="O189">
        <f>AND(B189&lt;&gt;"",B189&lt;&gt;설정!$B$4,C189&lt;&gt;설정!$B$5)</f>
        <v/>
      </c>
      <c r="P189">
        <f>IF(O189,B189&amp;"|"&amp;C189,"")</f>
        <v/>
      </c>
      <c r="Q189">
        <f>AND(O189,COUNTIF(P190:P$1002,P189)=0)</f>
        <v/>
      </c>
      <c r="R189">
        <f>OR(AND(설정!$A$42&lt;&gt;"",ISNUMBER(SEARCH(설정!$A$42,E189&amp;" "&amp;C189))),AND(설정!$A$43&lt;&gt;"",ISNUMBER(SEARCH(설정!$A$43,E189&amp;" "&amp;C189))),AND(설정!$A$44&lt;&gt;"",ISNUMBER(SEARCH(설정!$A$44,E189&amp;" "&amp;C189))),AND(설정!$A$45&lt;&gt;"",ISNUMBER(SEARCH(설정!$A$45,E189&amp;" "&amp;C189))),AND(설정!$A$46&lt;&gt;"",ISNUMBER(SEARCH(설정!$A$46,E189&amp;" "&amp;C189))),AND(설정!$A$47&lt;&gt;"",ISNUMBER(SEARCH(설정!$A$47,E189&amp;" "&amp;C189))),AND(설정!$A$48&lt;&gt;"",ISNUMBER(SEARCH(설정!$A$48,E189&amp;" "&amp;C189))),AND(설정!$A$49&lt;&gt;"",ISNUMBER(SEARCH(설정!$A$49,E189&amp;" "&amp;C189))),AND(설정!$A$50&lt;&gt;"",ISNUMBER(SEARCH(설정!$A$50,E189&amp;" "&amp;C189))),AND(설정!$A$51&lt;&gt;"",ISNUMBER(SEARCH(설정!$A$51,E189&amp;" "&amp;C189))))</f>
        <v/>
      </c>
      <c r="S189">
        <f>OR(D189="",D189&gt;=설정!$B$19)</f>
        <v/>
      </c>
      <c r="T189">
        <f>AND(Q189,R189,S189)</f>
        <v/>
      </c>
      <c r="U189">
        <f>IF(T189,IF(AND(설정!$A$54&lt;&gt;"",ISNUMBER(SEARCH(설정!$A$54,K189))),설정!$B$54,IF(AND(설정!$A$55&lt;&gt;"",ISNUMBER(SEARCH(설정!$A$55,K189))),설정!$B$55,IF(AND(설정!$A$56&lt;&gt;"",ISNUMBER(SEARCH(설정!$A$56,K189))),설정!$B$56,IF(AND(설정!$A$57&lt;&gt;"",ISNUMBER(SEARCH(설정!$A$57,K189))),설정!$B$57,IF(AND(설정!$A$58&lt;&gt;"",ISNUMBER(SEARCH(설정!$A$58,K189))),설정!$B$58,IF(AND(설정!$A$59&lt;&gt;"",ISNUMBER(SEARCH(설정!$A$59,K189))),설정!$B$59,IF(AND(설정!$A$60&lt;&gt;"",ISNUMBER(SEARCH(설정!$A$60,K189))),설정!$B$60,IF(AND(설정!$A$61&lt;&gt;"",ISNUMBER(SEARCH(설정!$A$61,K189))),설정!$B$61,IF(M189="","설계사","시공사"))))))))),"")</f>
        <v/>
      </c>
      <c r="V189">
        <f>SUBSTITUTE(SUBSTITUTE(SUBSTITUTE(SUBSTITUTE(G189,"(주)",""),"㈜",""),"주식회사","")," ","")</f>
        <v/>
      </c>
      <c r="W189">
        <f>IF(AND(T189,V189&lt;&gt;""),IF(COUNTIFS(V$2:V189,V189,T$2:T189,TRUE)=1,MAX(W$1:W188)+1,""),"")</f>
        <v/>
      </c>
      <c r="X189">
        <f>IF(설정!$C$14="","",IFERROR(INDEX('1.산군_붙여넣기'!$A$1:$AZ$1001,ROW(),설정!$C$14)&amp;"",""))</f>
        <v/>
      </c>
      <c r="Y189">
        <f>IF(설정!$C$15="","",IFERROR(INDEX('1.산군_붙여넣기'!$A$1:$AZ$1001,ROW(),설정!$C$15)&amp;"",""))</f>
        <v/>
      </c>
      <c r="Z189">
        <f>IF(T189,V189&amp;"|"&amp;U189,"")</f>
        <v/>
      </c>
      <c r="AA189">
        <f>IF(NOT(Q189),"",IF(NOT(AND(R189,S189)),"✕",IF(OR(OR(AND(L189&lt;&gt;"",M189&lt;&gt;"",N(M189)-N(L189)&gt;설정!$B$27),AND(L189&lt;&gt;"",M189="",설정!$B$24-N(L189)&gt;설정!$B$27)),AND(D189&lt;&gt;"",D189&lt;설정!$B$26)),"△","★")))</f>
        <v/>
      </c>
      <c r="AB189">
        <f>IF(NOT(T189),"",IF(U189="설계사",설정!$B$31,IF(U189="시공사",IF(OR(M189="",설정!$B$24-N(M189)&lt;=설정!$B$28*30.4),설정!$B$32,설정!$B$33),설정!$B$34))+IF(AA189="★",설정!$B$35,0))</f>
        <v/>
      </c>
      <c r="AC189">
        <f>SUBSTITUTE(SUBSTITUTE(SUBSTITUTE(SUBSTITUTE(H189,"(주)",""),"㈜",""),"주식회사","")," ","")</f>
        <v/>
      </c>
      <c r="AD189">
        <f>IF(AND(T189,AC189&lt;&gt;""),IF(COUNTIFS(AC$2:AC189,AC189,T$2:T189,TRUE)=1,MAX(AD$1:AD188)+1,""),"")</f>
        <v/>
      </c>
    </row>
    <row r="190">
      <c r="A190">
        <f>ROW()</f>
        <v/>
      </c>
      <c r="B190">
        <f>IF(설정!$C$4="","",IFERROR(INDEX('1.산군_붙여넣기'!$A$1:$AZ$1001,ROW(),설정!$C$4)&amp;"",""))</f>
        <v/>
      </c>
      <c r="C190">
        <f>IF(설정!$C$5="","",IFERROR(INDEX('1.산군_붙여넣기'!$A$1:$AZ$1001,ROW(),설정!$C$5)&amp;"",""))</f>
        <v/>
      </c>
      <c r="D190" s="5">
        <f>IFERROR(VALUE(SUBSTITUTE(SUBSTITUTE(SUBSTITUTE(IF(설정!$C$6="","",IFERROR(INDEX('1.산군_붙여넣기'!$A$1:$AZ$1001,ROW(),설정!$C$6)&amp;"","")),",",""),"㎡",""),"m2","")),"")</f>
        <v/>
      </c>
      <c r="E190">
        <f>IF(설정!$C$7="","",IFERROR(INDEX('1.산군_붙여넣기'!$A$1:$AZ$1001,ROW(),설정!$C$7)&amp;"",""))</f>
        <v/>
      </c>
      <c r="F190">
        <f>IF(설정!$C$8="","",IFERROR(INDEX('1.산군_붙여넣기'!$A$1:$AZ$1001,ROW(),설정!$C$8)&amp;"",""))</f>
        <v/>
      </c>
      <c r="G190">
        <f>IF(설정!$C$9="","",IFERROR(INDEX('1.산군_붙여넣기'!$A$1:$AZ$1001,ROW(),설정!$C$9)&amp;"",""))</f>
        <v/>
      </c>
      <c r="H190">
        <f>IF(설정!$C$10="","",IFERROR(INDEX('1.산군_붙여넣기'!$A$1:$AZ$1001,ROW(),설정!$C$10)&amp;"",""))</f>
        <v/>
      </c>
      <c r="I190">
        <f>IF(설정!$C$11="","",IFERROR(INDEX('1.산군_붙여넣기'!$A$1:$AZ$1001,ROW(),설정!$C$11)&amp;"",""))</f>
        <v/>
      </c>
      <c r="J190">
        <f>IF(설정!$C$12="","",IFERROR(INDEX('1.산군_붙여넣기'!$A$1:$AZ$1001,ROW(),설정!$C$12)&amp;"",""))</f>
        <v/>
      </c>
      <c r="K190">
        <f>IF(설정!$C$13="","",IFERROR(INDEX('1.산군_붙여넣기'!$A$1:$AZ$1001,ROW(),설정!$C$13)&amp;"",""))</f>
        <v/>
      </c>
      <c r="L190" s="7">
        <f>IF(X190="","",IF(AND(LEN(X190)=8,ISNUMBER(X190*1)),DATE(LEFT(X190,4),MID(X190,5,2),RIGHT(X190,2)),IFERROR(DATEVALUE(SUBSTITUTE(SUBSTITUTE(X190,".","-"),"/","-")),IFERROR(X190*1,""))))</f>
        <v/>
      </c>
      <c r="M190" s="7">
        <f>IF(Y190="","",IF(AND(LEN(Y190)=8,ISNUMBER(Y190*1)),DATE(LEFT(Y190,4),MID(Y190,5,2),RIGHT(Y190,2)),IFERROR(DATEVALUE(SUBSTITUTE(SUBSTITUTE(Y190,".","-"),"/","-")),IFERROR(Y190*1,""))))</f>
        <v/>
      </c>
      <c r="N190">
        <f>IFERROR(LEFT(B190,FIND(" ",B190)-1),B190)</f>
        <v/>
      </c>
      <c r="O190">
        <f>AND(B190&lt;&gt;"",B190&lt;&gt;설정!$B$4,C190&lt;&gt;설정!$B$5)</f>
        <v/>
      </c>
      <c r="P190">
        <f>IF(O190,B190&amp;"|"&amp;C190,"")</f>
        <v/>
      </c>
      <c r="Q190">
        <f>AND(O190,COUNTIF(P191:P$1002,P190)=0)</f>
        <v/>
      </c>
      <c r="R190">
        <f>OR(AND(설정!$A$42&lt;&gt;"",ISNUMBER(SEARCH(설정!$A$42,E190&amp;" "&amp;C190))),AND(설정!$A$43&lt;&gt;"",ISNUMBER(SEARCH(설정!$A$43,E190&amp;" "&amp;C190))),AND(설정!$A$44&lt;&gt;"",ISNUMBER(SEARCH(설정!$A$44,E190&amp;" "&amp;C190))),AND(설정!$A$45&lt;&gt;"",ISNUMBER(SEARCH(설정!$A$45,E190&amp;" "&amp;C190))),AND(설정!$A$46&lt;&gt;"",ISNUMBER(SEARCH(설정!$A$46,E190&amp;" "&amp;C190))),AND(설정!$A$47&lt;&gt;"",ISNUMBER(SEARCH(설정!$A$47,E190&amp;" "&amp;C190))),AND(설정!$A$48&lt;&gt;"",ISNUMBER(SEARCH(설정!$A$48,E190&amp;" "&amp;C190))),AND(설정!$A$49&lt;&gt;"",ISNUMBER(SEARCH(설정!$A$49,E190&amp;" "&amp;C190))),AND(설정!$A$50&lt;&gt;"",ISNUMBER(SEARCH(설정!$A$50,E190&amp;" "&amp;C190))),AND(설정!$A$51&lt;&gt;"",ISNUMBER(SEARCH(설정!$A$51,E190&amp;" "&amp;C190))))</f>
        <v/>
      </c>
      <c r="S190">
        <f>OR(D190="",D190&gt;=설정!$B$19)</f>
        <v/>
      </c>
      <c r="T190">
        <f>AND(Q190,R190,S190)</f>
        <v/>
      </c>
      <c r="U190">
        <f>IF(T190,IF(AND(설정!$A$54&lt;&gt;"",ISNUMBER(SEARCH(설정!$A$54,K190))),설정!$B$54,IF(AND(설정!$A$55&lt;&gt;"",ISNUMBER(SEARCH(설정!$A$55,K190))),설정!$B$55,IF(AND(설정!$A$56&lt;&gt;"",ISNUMBER(SEARCH(설정!$A$56,K190))),설정!$B$56,IF(AND(설정!$A$57&lt;&gt;"",ISNUMBER(SEARCH(설정!$A$57,K190))),설정!$B$57,IF(AND(설정!$A$58&lt;&gt;"",ISNUMBER(SEARCH(설정!$A$58,K190))),설정!$B$58,IF(AND(설정!$A$59&lt;&gt;"",ISNUMBER(SEARCH(설정!$A$59,K190))),설정!$B$59,IF(AND(설정!$A$60&lt;&gt;"",ISNUMBER(SEARCH(설정!$A$60,K190))),설정!$B$60,IF(AND(설정!$A$61&lt;&gt;"",ISNUMBER(SEARCH(설정!$A$61,K190))),설정!$B$61,IF(M190="","설계사","시공사"))))))))),"")</f>
        <v/>
      </c>
      <c r="V190">
        <f>SUBSTITUTE(SUBSTITUTE(SUBSTITUTE(SUBSTITUTE(G190,"(주)",""),"㈜",""),"주식회사","")," ","")</f>
        <v/>
      </c>
      <c r="W190">
        <f>IF(AND(T190,V190&lt;&gt;""),IF(COUNTIFS(V$2:V190,V190,T$2:T190,TRUE)=1,MAX(W$1:W189)+1,""),"")</f>
        <v/>
      </c>
      <c r="X190">
        <f>IF(설정!$C$14="","",IFERROR(INDEX('1.산군_붙여넣기'!$A$1:$AZ$1001,ROW(),설정!$C$14)&amp;"",""))</f>
        <v/>
      </c>
      <c r="Y190">
        <f>IF(설정!$C$15="","",IFERROR(INDEX('1.산군_붙여넣기'!$A$1:$AZ$1001,ROW(),설정!$C$15)&amp;"",""))</f>
        <v/>
      </c>
      <c r="Z190">
        <f>IF(T190,V190&amp;"|"&amp;U190,"")</f>
        <v/>
      </c>
      <c r="AA190">
        <f>IF(NOT(Q190),"",IF(NOT(AND(R190,S190)),"✕",IF(OR(OR(AND(L190&lt;&gt;"",M190&lt;&gt;"",N(M190)-N(L190)&gt;설정!$B$27),AND(L190&lt;&gt;"",M190="",설정!$B$24-N(L190)&gt;설정!$B$27)),AND(D190&lt;&gt;"",D190&lt;설정!$B$26)),"△","★")))</f>
        <v/>
      </c>
      <c r="AB190">
        <f>IF(NOT(T190),"",IF(U190="설계사",설정!$B$31,IF(U190="시공사",IF(OR(M190="",설정!$B$24-N(M190)&lt;=설정!$B$28*30.4),설정!$B$32,설정!$B$33),설정!$B$34))+IF(AA190="★",설정!$B$35,0))</f>
        <v/>
      </c>
      <c r="AC190">
        <f>SUBSTITUTE(SUBSTITUTE(SUBSTITUTE(SUBSTITUTE(H190,"(주)",""),"㈜",""),"주식회사","")," ","")</f>
        <v/>
      </c>
      <c r="AD190">
        <f>IF(AND(T190,AC190&lt;&gt;""),IF(COUNTIFS(AC$2:AC190,AC190,T$2:T190,TRUE)=1,MAX(AD$1:AD189)+1,""),"")</f>
        <v/>
      </c>
    </row>
    <row r="191">
      <c r="A191">
        <f>ROW()</f>
        <v/>
      </c>
      <c r="B191">
        <f>IF(설정!$C$4="","",IFERROR(INDEX('1.산군_붙여넣기'!$A$1:$AZ$1001,ROW(),설정!$C$4)&amp;"",""))</f>
        <v/>
      </c>
      <c r="C191">
        <f>IF(설정!$C$5="","",IFERROR(INDEX('1.산군_붙여넣기'!$A$1:$AZ$1001,ROW(),설정!$C$5)&amp;"",""))</f>
        <v/>
      </c>
      <c r="D191" s="5">
        <f>IFERROR(VALUE(SUBSTITUTE(SUBSTITUTE(SUBSTITUTE(IF(설정!$C$6="","",IFERROR(INDEX('1.산군_붙여넣기'!$A$1:$AZ$1001,ROW(),설정!$C$6)&amp;"","")),",",""),"㎡",""),"m2","")),"")</f>
        <v/>
      </c>
      <c r="E191">
        <f>IF(설정!$C$7="","",IFERROR(INDEX('1.산군_붙여넣기'!$A$1:$AZ$1001,ROW(),설정!$C$7)&amp;"",""))</f>
        <v/>
      </c>
      <c r="F191">
        <f>IF(설정!$C$8="","",IFERROR(INDEX('1.산군_붙여넣기'!$A$1:$AZ$1001,ROW(),설정!$C$8)&amp;"",""))</f>
        <v/>
      </c>
      <c r="G191">
        <f>IF(설정!$C$9="","",IFERROR(INDEX('1.산군_붙여넣기'!$A$1:$AZ$1001,ROW(),설정!$C$9)&amp;"",""))</f>
        <v/>
      </c>
      <c r="H191">
        <f>IF(설정!$C$10="","",IFERROR(INDEX('1.산군_붙여넣기'!$A$1:$AZ$1001,ROW(),설정!$C$10)&amp;"",""))</f>
        <v/>
      </c>
      <c r="I191">
        <f>IF(설정!$C$11="","",IFERROR(INDEX('1.산군_붙여넣기'!$A$1:$AZ$1001,ROW(),설정!$C$11)&amp;"",""))</f>
        <v/>
      </c>
      <c r="J191">
        <f>IF(설정!$C$12="","",IFERROR(INDEX('1.산군_붙여넣기'!$A$1:$AZ$1001,ROW(),설정!$C$12)&amp;"",""))</f>
        <v/>
      </c>
      <c r="K191">
        <f>IF(설정!$C$13="","",IFERROR(INDEX('1.산군_붙여넣기'!$A$1:$AZ$1001,ROW(),설정!$C$13)&amp;"",""))</f>
        <v/>
      </c>
      <c r="L191" s="7">
        <f>IF(X191="","",IF(AND(LEN(X191)=8,ISNUMBER(X191*1)),DATE(LEFT(X191,4),MID(X191,5,2),RIGHT(X191,2)),IFERROR(DATEVALUE(SUBSTITUTE(SUBSTITUTE(X191,".","-"),"/","-")),IFERROR(X191*1,""))))</f>
        <v/>
      </c>
      <c r="M191" s="7">
        <f>IF(Y191="","",IF(AND(LEN(Y191)=8,ISNUMBER(Y191*1)),DATE(LEFT(Y191,4),MID(Y191,5,2),RIGHT(Y191,2)),IFERROR(DATEVALUE(SUBSTITUTE(SUBSTITUTE(Y191,".","-"),"/","-")),IFERROR(Y191*1,""))))</f>
        <v/>
      </c>
      <c r="N191">
        <f>IFERROR(LEFT(B191,FIND(" ",B191)-1),B191)</f>
        <v/>
      </c>
      <c r="O191">
        <f>AND(B191&lt;&gt;"",B191&lt;&gt;설정!$B$4,C191&lt;&gt;설정!$B$5)</f>
        <v/>
      </c>
      <c r="P191">
        <f>IF(O191,B191&amp;"|"&amp;C191,"")</f>
        <v/>
      </c>
      <c r="Q191">
        <f>AND(O191,COUNTIF(P192:P$1002,P191)=0)</f>
        <v/>
      </c>
      <c r="R191">
        <f>OR(AND(설정!$A$42&lt;&gt;"",ISNUMBER(SEARCH(설정!$A$42,E191&amp;" "&amp;C191))),AND(설정!$A$43&lt;&gt;"",ISNUMBER(SEARCH(설정!$A$43,E191&amp;" "&amp;C191))),AND(설정!$A$44&lt;&gt;"",ISNUMBER(SEARCH(설정!$A$44,E191&amp;" "&amp;C191))),AND(설정!$A$45&lt;&gt;"",ISNUMBER(SEARCH(설정!$A$45,E191&amp;" "&amp;C191))),AND(설정!$A$46&lt;&gt;"",ISNUMBER(SEARCH(설정!$A$46,E191&amp;" "&amp;C191))),AND(설정!$A$47&lt;&gt;"",ISNUMBER(SEARCH(설정!$A$47,E191&amp;" "&amp;C191))),AND(설정!$A$48&lt;&gt;"",ISNUMBER(SEARCH(설정!$A$48,E191&amp;" "&amp;C191))),AND(설정!$A$49&lt;&gt;"",ISNUMBER(SEARCH(설정!$A$49,E191&amp;" "&amp;C191))),AND(설정!$A$50&lt;&gt;"",ISNUMBER(SEARCH(설정!$A$50,E191&amp;" "&amp;C191))),AND(설정!$A$51&lt;&gt;"",ISNUMBER(SEARCH(설정!$A$51,E191&amp;" "&amp;C191))))</f>
        <v/>
      </c>
      <c r="S191">
        <f>OR(D191="",D191&gt;=설정!$B$19)</f>
        <v/>
      </c>
      <c r="T191">
        <f>AND(Q191,R191,S191)</f>
        <v/>
      </c>
      <c r="U191">
        <f>IF(T191,IF(AND(설정!$A$54&lt;&gt;"",ISNUMBER(SEARCH(설정!$A$54,K191))),설정!$B$54,IF(AND(설정!$A$55&lt;&gt;"",ISNUMBER(SEARCH(설정!$A$55,K191))),설정!$B$55,IF(AND(설정!$A$56&lt;&gt;"",ISNUMBER(SEARCH(설정!$A$56,K191))),설정!$B$56,IF(AND(설정!$A$57&lt;&gt;"",ISNUMBER(SEARCH(설정!$A$57,K191))),설정!$B$57,IF(AND(설정!$A$58&lt;&gt;"",ISNUMBER(SEARCH(설정!$A$58,K191))),설정!$B$58,IF(AND(설정!$A$59&lt;&gt;"",ISNUMBER(SEARCH(설정!$A$59,K191))),설정!$B$59,IF(AND(설정!$A$60&lt;&gt;"",ISNUMBER(SEARCH(설정!$A$60,K191))),설정!$B$60,IF(AND(설정!$A$61&lt;&gt;"",ISNUMBER(SEARCH(설정!$A$61,K191))),설정!$B$61,IF(M191="","설계사","시공사"))))))))),"")</f>
        <v/>
      </c>
      <c r="V191">
        <f>SUBSTITUTE(SUBSTITUTE(SUBSTITUTE(SUBSTITUTE(G191,"(주)",""),"㈜",""),"주식회사","")," ","")</f>
        <v/>
      </c>
      <c r="W191">
        <f>IF(AND(T191,V191&lt;&gt;""),IF(COUNTIFS(V$2:V191,V191,T$2:T191,TRUE)=1,MAX(W$1:W190)+1,""),"")</f>
        <v/>
      </c>
      <c r="X191">
        <f>IF(설정!$C$14="","",IFERROR(INDEX('1.산군_붙여넣기'!$A$1:$AZ$1001,ROW(),설정!$C$14)&amp;"",""))</f>
        <v/>
      </c>
      <c r="Y191">
        <f>IF(설정!$C$15="","",IFERROR(INDEX('1.산군_붙여넣기'!$A$1:$AZ$1001,ROW(),설정!$C$15)&amp;"",""))</f>
        <v/>
      </c>
      <c r="Z191">
        <f>IF(T191,V191&amp;"|"&amp;U191,"")</f>
        <v/>
      </c>
      <c r="AA191">
        <f>IF(NOT(Q191),"",IF(NOT(AND(R191,S191)),"✕",IF(OR(OR(AND(L191&lt;&gt;"",M191&lt;&gt;"",N(M191)-N(L191)&gt;설정!$B$27),AND(L191&lt;&gt;"",M191="",설정!$B$24-N(L191)&gt;설정!$B$27)),AND(D191&lt;&gt;"",D191&lt;설정!$B$26)),"△","★")))</f>
        <v/>
      </c>
      <c r="AB191">
        <f>IF(NOT(T191),"",IF(U191="설계사",설정!$B$31,IF(U191="시공사",IF(OR(M191="",설정!$B$24-N(M191)&lt;=설정!$B$28*30.4),설정!$B$32,설정!$B$33),설정!$B$34))+IF(AA191="★",설정!$B$35,0))</f>
        <v/>
      </c>
      <c r="AC191">
        <f>SUBSTITUTE(SUBSTITUTE(SUBSTITUTE(SUBSTITUTE(H191,"(주)",""),"㈜",""),"주식회사","")," ","")</f>
        <v/>
      </c>
      <c r="AD191">
        <f>IF(AND(T191,AC191&lt;&gt;""),IF(COUNTIFS(AC$2:AC191,AC191,T$2:T191,TRUE)=1,MAX(AD$1:AD190)+1,""),"")</f>
        <v/>
      </c>
    </row>
    <row r="192">
      <c r="A192">
        <f>ROW()</f>
        <v/>
      </c>
      <c r="B192">
        <f>IF(설정!$C$4="","",IFERROR(INDEX('1.산군_붙여넣기'!$A$1:$AZ$1001,ROW(),설정!$C$4)&amp;"",""))</f>
        <v/>
      </c>
      <c r="C192">
        <f>IF(설정!$C$5="","",IFERROR(INDEX('1.산군_붙여넣기'!$A$1:$AZ$1001,ROW(),설정!$C$5)&amp;"",""))</f>
        <v/>
      </c>
      <c r="D192" s="5">
        <f>IFERROR(VALUE(SUBSTITUTE(SUBSTITUTE(SUBSTITUTE(IF(설정!$C$6="","",IFERROR(INDEX('1.산군_붙여넣기'!$A$1:$AZ$1001,ROW(),설정!$C$6)&amp;"","")),",",""),"㎡",""),"m2","")),"")</f>
        <v/>
      </c>
      <c r="E192">
        <f>IF(설정!$C$7="","",IFERROR(INDEX('1.산군_붙여넣기'!$A$1:$AZ$1001,ROW(),설정!$C$7)&amp;"",""))</f>
        <v/>
      </c>
      <c r="F192">
        <f>IF(설정!$C$8="","",IFERROR(INDEX('1.산군_붙여넣기'!$A$1:$AZ$1001,ROW(),설정!$C$8)&amp;"",""))</f>
        <v/>
      </c>
      <c r="G192">
        <f>IF(설정!$C$9="","",IFERROR(INDEX('1.산군_붙여넣기'!$A$1:$AZ$1001,ROW(),설정!$C$9)&amp;"",""))</f>
        <v/>
      </c>
      <c r="H192">
        <f>IF(설정!$C$10="","",IFERROR(INDEX('1.산군_붙여넣기'!$A$1:$AZ$1001,ROW(),설정!$C$10)&amp;"",""))</f>
        <v/>
      </c>
      <c r="I192">
        <f>IF(설정!$C$11="","",IFERROR(INDEX('1.산군_붙여넣기'!$A$1:$AZ$1001,ROW(),설정!$C$11)&amp;"",""))</f>
        <v/>
      </c>
      <c r="J192">
        <f>IF(설정!$C$12="","",IFERROR(INDEX('1.산군_붙여넣기'!$A$1:$AZ$1001,ROW(),설정!$C$12)&amp;"",""))</f>
        <v/>
      </c>
      <c r="K192">
        <f>IF(설정!$C$13="","",IFERROR(INDEX('1.산군_붙여넣기'!$A$1:$AZ$1001,ROW(),설정!$C$13)&amp;"",""))</f>
        <v/>
      </c>
      <c r="L192" s="7">
        <f>IF(X192="","",IF(AND(LEN(X192)=8,ISNUMBER(X192*1)),DATE(LEFT(X192,4),MID(X192,5,2),RIGHT(X192,2)),IFERROR(DATEVALUE(SUBSTITUTE(SUBSTITUTE(X192,".","-"),"/","-")),IFERROR(X192*1,""))))</f>
        <v/>
      </c>
      <c r="M192" s="7">
        <f>IF(Y192="","",IF(AND(LEN(Y192)=8,ISNUMBER(Y192*1)),DATE(LEFT(Y192,4),MID(Y192,5,2),RIGHT(Y192,2)),IFERROR(DATEVALUE(SUBSTITUTE(SUBSTITUTE(Y192,".","-"),"/","-")),IFERROR(Y192*1,""))))</f>
        <v/>
      </c>
      <c r="N192">
        <f>IFERROR(LEFT(B192,FIND(" ",B192)-1),B192)</f>
        <v/>
      </c>
      <c r="O192">
        <f>AND(B192&lt;&gt;"",B192&lt;&gt;설정!$B$4,C192&lt;&gt;설정!$B$5)</f>
        <v/>
      </c>
      <c r="P192">
        <f>IF(O192,B192&amp;"|"&amp;C192,"")</f>
        <v/>
      </c>
      <c r="Q192">
        <f>AND(O192,COUNTIF(P193:P$1002,P192)=0)</f>
        <v/>
      </c>
      <c r="R192">
        <f>OR(AND(설정!$A$42&lt;&gt;"",ISNUMBER(SEARCH(설정!$A$42,E192&amp;" "&amp;C192))),AND(설정!$A$43&lt;&gt;"",ISNUMBER(SEARCH(설정!$A$43,E192&amp;" "&amp;C192))),AND(설정!$A$44&lt;&gt;"",ISNUMBER(SEARCH(설정!$A$44,E192&amp;" "&amp;C192))),AND(설정!$A$45&lt;&gt;"",ISNUMBER(SEARCH(설정!$A$45,E192&amp;" "&amp;C192))),AND(설정!$A$46&lt;&gt;"",ISNUMBER(SEARCH(설정!$A$46,E192&amp;" "&amp;C192))),AND(설정!$A$47&lt;&gt;"",ISNUMBER(SEARCH(설정!$A$47,E192&amp;" "&amp;C192))),AND(설정!$A$48&lt;&gt;"",ISNUMBER(SEARCH(설정!$A$48,E192&amp;" "&amp;C192))),AND(설정!$A$49&lt;&gt;"",ISNUMBER(SEARCH(설정!$A$49,E192&amp;" "&amp;C192))),AND(설정!$A$50&lt;&gt;"",ISNUMBER(SEARCH(설정!$A$50,E192&amp;" "&amp;C192))),AND(설정!$A$51&lt;&gt;"",ISNUMBER(SEARCH(설정!$A$51,E192&amp;" "&amp;C192))))</f>
        <v/>
      </c>
      <c r="S192">
        <f>OR(D192="",D192&gt;=설정!$B$19)</f>
        <v/>
      </c>
      <c r="T192">
        <f>AND(Q192,R192,S192)</f>
        <v/>
      </c>
      <c r="U192">
        <f>IF(T192,IF(AND(설정!$A$54&lt;&gt;"",ISNUMBER(SEARCH(설정!$A$54,K192))),설정!$B$54,IF(AND(설정!$A$55&lt;&gt;"",ISNUMBER(SEARCH(설정!$A$55,K192))),설정!$B$55,IF(AND(설정!$A$56&lt;&gt;"",ISNUMBER(SEARCH(설정!$A$56,K192))),설정!$B$56,IF(AND(설정!$A$57&lt;&gt;"",ISNUMBER(SEARCH(설정!$A$57,K192))),설정!$B$57,IF(AND(설정!$A$58&lt;&gt;"",ISNUMBER(SEARCH(설정!$A$58,K192))),설정!$B$58,IF(AND(설정!$A$59&lt;&gt;"",ISNUMBER(SEARCH(설정!$A$59,K192))),설정!$B$59,IF(AND(설정!$A$60&lt;&gt;"",ISNUMBER(SEARCH(설정!$A$60,K192))),설정!$B$60,IF(AND(설정!$A$61&lt;&gt;"",ISNUMBER(SEARCH(설정!$A$61,K192))),설정!$B$61,IF(M192="","설계사","시공사"))))))))),"")</f>
        <v/>
      </c>
      <c r="V192">
        <f>SUBSTITUTE(SUBSTITUTE(SUBSTITUTE(SUBSTITUTE(G192,"(주)",""),"㈜",""),"주식회사","")," ","")</f>
        <v/>
      </c>
      <c r="W192">
        <f>IF(AND(T192,V192&lt;&gt;""),IF(COUNTIFS(V$2:V192,V192,T$2:T192,TRUE)=1,MAX(W$1:W191)+1,""),"")</f>
        <v/>
      </c>
      <c r="X192">
        <f>IF(설정!$C$14="","",IFERROR(INDEX('1.산군_붙여넣기'!$A$1:$AZ$1001,ROW(),설정!$C$14)&amp;"",""))</f>
        <v/>
      </c>
      <c r="Y192">
        <f>IF(설정!$C$15="","",IFERROR(INDEX('1.산군_붙여넣기'!$A$1:$AZ$1001,ROW(),설정!$C$15)&amp;"",""))</f>
        <v/>
      </c>
      <c r="Z192">
        <f>IF(T192,V192&amp;"|"&amp;U192,"")</f>
        <v/>
      </c>
      <c r="AA192">
        <f>IF(NOT(Q192),"",IF(NOT(AND(R192,S192)),"✕",IF(OR(OR(AND(L192&lt;&gt;"",M192&lt;&gt;"",N(M192)-N(L192)&gt;설정!$B$27),AND(L192&lt;&gt;"",M192="",설정!$B$24-N(L192)&gt;설정!$B$27)),AND(D192&lt;&gt;"",D192&lt;설정!$B$26)),"△","★")))</f>
        <v/>
      </c>
      <c r="AB192">
        <f>IF(NOT(T192),"",IF(U192="설계사",설정!$B$31,IF(U192="시공사",IF(OR(M192="",설정!$B$24-N(M192)&lt;=설정!$B$28*30.4),설정!$B$32,설정!$B$33),설정!$B$34))+IF(AA192="★",설정!$B$35,0))</f>
        <v/>
      </c>
      <c r="AC192">
        <f>SUBSTITUTE(SUBSTITUTE(SUBSTITUTE(SUBSTITUTE(H192,"(주)",""),"㈜",""),"주식회사","")," ","")</f>
        <v/>
      </c>
      <c r="AD192">
        <f>IF(AND(T192,AC192&lt;&gt;""),IF(COUNTIFS(AC$2:AC192,AC192,T$2:T192,TRUE)=1,MAX(AD$1:AD191)+1,""),"")</f>
        <v/>
      </c>
    </row>
    <row r="193">
      <c r="A193">
        <f>ROW()</f>
        <v/>
      </c>
      <c r="B193">
        <f>IF(설정!$C$4="","",IFERROR(INDEX('1.산군_붙여넣기'!$A$1:$AZ$1001,ROW(),설정!$C$4)&amp;"",""))</f>
        <v/>
      </c>
      <c r="C193">
        <f>IF(설정!$C$5="","",IFERROR(INDEX('1.산군_붙여넣기'!$A$1:$AZ$1001,ROW(),설정!$C$5)&amp;"",""))</f>
        <v/>
      </c>
      <c r="D193" s="5">
        <f>IFERROR(VALUE(SUBSTITUTE(SUBSTITUTE(SUBSTITUTE(IF(설정!$C$6="","",IFERROR(INDEX('1.산군_붙여넣기'!$A$1:$AZ$1001,ROW(),설정!$C$6)&amp;"","")),",",""),"㎡",""),"m2","")),"")</f>
        <v/>
      </c>
      <c r="E193">
        <f>IF(설정!$C$7="","",IFERROR(INDEX('1.산군_붙여넣기'!$A$1:$AZ$1001,ROW(),설정!$C$7)&amp;"",""))</f>
        <v/>
      </c>
      <c r="F193">
        <f>IF(설정!$C$8="","",IFERROR(INDEX('1.산군_붙여넣기'!$A$1:$AZ$1001,ROW(),설정!$C$8)&amp;"",""))</f>
        <v/>
      </c>
      <c r="G193">
        <f>IF(설정!$C$9="","",IFERROR(INDEX('1.산군_붙여넣기'!$A$1:$AZ$1001,ROW(),설정!$C$9)&amp;"",""))</f>
        <v/>
      </c>
      <c r="H193">
        <f>IF(설정!$C$10="","",IFERROR(INDEX('1.산군_붙여넣기'!$A$1:$AZ$1001,ROW(),설정!$C$10)&amp;"",""))</f>
        <v/>
      </c>
      <c r="I193">
        <f>IF(설정!$C$11="","",IFERROR(INDEX('1.산군_붙여넣기'!$A$1:$AZ$1001,ROW(),설정!$C$11)&amp;"",""))</f>
        <v/>
      </c>
      <c r="J193">
        <f>IF(설정!$C$12="","",IFERROR(INDEX('1.산군_붙여넣기'!$A$1:$AZ$1001,ROW(),설정!$C$12)&amp;"",""))</f>
        <v/>
      </c>
      <c r="K193">
        <f>IF(설정!$C$13="","",IFERROR(INDEX('1.산군_붙여넣기'!$A$1:$AZ$1001,ROW(),설정!$C$13)&amp;"",""))</f>
        <v/>
      </c>
      <c r="L193" s="7">
        <f>IF(X193="","",IF(AND(LEN(X193)=8,ISNUMBER(X193*1)),DATE(LEFT(X193,4),MID(X193,5,2),RIGHT(X193,2)),IFERROR(DATEVALUE(SUBSTITUTE(SUBSTITUTE(X193,".","-"),"/","-")),IFERROR(X193*1,""))))</f>
        <v/>
      </c>
      <c r="M193" s="7">
        <f>IF(Y193="","",IF(AND(LEN(Y193)=8,ISNUMBER(Y193*1)),DATE(LEFT(Y193,4),MID(Y193,5,2),RIGHT(Y193,2)),IFERROR(DATEVALUE(SUBSTITUTE(SUBSTITUTE(Y193,".","-"),"/","-")),IFERROR(Y193*1,""))))</f>
        <v/>
      </c>
      <c r="N193">
        <f>IFERROR(LEFT(B193,FIND(" ",B193)-1),B193)</f>
        <v/>
      </c>
      <c r="O193">
        <f>AND(B193&lt;&gt;"",B193&lt;&gt;설정!$B$4,C193&lt;&gt;설정!$B$5)</f>
        <v/>
      </c>
      <c r="P193">
        <f>IF(O193,B193&amp;"|"&amp;C193,"")</f>
        <v/>
      </c>
      <c r="Q193">
        <f>AND(O193,COUNTIF(P194:P$1002,P193)=0)</f>
        <v/>
      </c>
      <c r="R193">
        <f>OR(AND(설정!$A$42&lt;&gt;"",ISNUMBER(SEARCH(설정!$A$42,E193&amp;" "&amp;C193))),AND(설정!$A$43&lt;&gt;"",ISNUMBER(SEARCH(설정!$A$43,E193&amp;" "&amp;C193))),AND(설정!$A$44&lt;&gt;"",ISNUMBER(SEARCH(설정!$A$44,E193&amp;" "&amp;C193))),AND(설정!$A$45&lt;&gt;"",ISNUMBER(SEARCH(설정!$A$45,E193&amp;" "&amp;C193))),AND(설정!$A$46&lt;&gt;"",ISNUMBER(SEARCH(설정!$A$46,E193&amp;" "&amp;C193))),AND(설정!$A$47&lt;&gt;"",ISNUMBER(SEARCH(설정!$A$47,E193&amp;" "&amp;C193))),AND(설정!$A$48&lt;&gt;"",ISNUMBER(SEARCH(설정!$A$48,E193&amp;" "&amp;C193))),AND(설정!$A$49&lt;&gt;"",ISNUMBER(SEARCH(설정!$A$49,E193&amp;" "&amp;C193))),AND(설정!$A$50&lt;&gt;"",ISNUMBER(SEARCH(설정!$A$50,E193&amp;" "&amp;C193))),AND(설정!$A$51&lt;&gt;"",ISNUMBER(SEARCH(설정!$A$51,E193&amp;" "&amp;C193))))</f>
        <v/>
      </c>
      <c r="S193">
        <f>OR(D193="",D193&gt;=설정!$B$19)</f>
        <v/>
      </c>
      <c r="T193">
        <f>AND(Q193,R193,S193)</f>
        <v/>
      </c>
      <c r="U193">
        <f>IF(T193,IF(AND(설정!$A$54&lt;&gt;"",ISNUMBER(SEARCH(설정!$A$54,K193))),설정!$B$54,IF(AND(설정!$A$55&lt;&gt;"",ISNUMBER(SEARCH(설정!$A$55,K193))),설정!$B$55,IF(AND(설정!$A$56&lt;&gt;"",ISNUMBER(SEARCH(설정!$A$56,K193))),설정!$B$56,IF(AND(설정!$A$57&lt;&gt;"",ISNUMBER(SEARCH(설정!$A$57,K193))),설정!$B$57,IF(AND(설정!$A$58&lt;&gt;"",ISNUMBER(SEARCH(설정!$A$58,K193))),설정!$B$58,IF(AND(설정!$A$59&lt;&gt;"",ISNUMBER(SEARCH(설정!$A$59,K193))),설정!$B$59,IF(AND(설정!$A$60&lt;&gt;"",ISNUMBER(SEARCH(설정!$A$60,K193))),설정!$B$60,IF(AND(설정!$A$61&lt;&gt;"",ISNUMBER(SEARCH(설정!$A$61,K193))),설정!$B$61,IF(M193="","설계사","시공사"))))))))),"")</f>
        <v/>
      </c>
      <c r="V193">
        <f>SUBSTITUTE(SUBSTITUTE(SUBSTITUTE(SUBSTITUTE(G193,"(주)",""),"㈜",""),"주식회사","")," ","")</f>
        <v/>
      </c>
      <c r="W193">
        <f>IF(AND(T193,V193&lt;&gt;""),IF(COUNTIFS(V$2:V193,V193,T$2:T193,TRUE)=1,MAX(W$1:W192)+1,""),"")</f>
        <v/>
      </c>
      <c r="X193">
        <f>IF(설정!$C$14="","",IFERROR(INDEX('1.산군_붙여넣기'!$A$1:$AZ$1001,ROW(),설정!$C$14)&amp;"",""))</f>
        <v/>
      </c>
      <c r="Y193">
        <f>IF(설정!$C$15="","",IFERROR(INDEX('1.산군_붙여넣기'!$A$1:$AZ$1001,ROW(),설정!$C$15)&amp;"",""))</f>
        <v/>
      </c>
      <c r="Z193">
        <f>IF(T193,V193&amp;"|"&amp;U193,"")</f>
        <v/>
      </c>
      <c r="AA193">
        <f>IF(NOT(Q193),"",IF(NOT(AND(R193,S193)),"✕",IF(OR(OR(AND(L193&lt;&gt;"",M193&lt;&gt;"",N(M193)-N(L193)&gt;설정!$B$27),AND(L193&lt;&gt;"",M193="",설정!$B$24-N(L193)&gt;설정!$B$27)),AND(D193&lt;&gt;"",D193&lt;설정!$B$26)),"△","★")))</f>
        <v/>
      </c>
      <c r="AB193">
        <f>IF(NOT(T193),"",IF(U193="설계사",설정!$B$31,IF(U193="시공사",IF(OR(M193="",설정!$B$24-N(M193)&lt;=설정!$B$28*30.4),설정!$B$32,설정!$B$33),설정!$B$34))+IF(AA193="★",설정!$B$35,0))</f>
        <v/>
      </c>
      <c r="AC193">
        <f>SUBSTITUTE(SUBSTITUTE(SUBSTITUTE(SUBSTITUTE(H193,"(주)",""),"㈜",""),"주식회사","")," ","")</f>
        <v/>
      </c>
      <c r="AD193">
        <f>IF(AND(T193,AC193&lt;&gt;""),IF(COUNTIFS(AC$2:AC193,AC193,T$2:T193,TRUE)=1,MAX(AD$1:AD192)+1,""),"")</f>
        <v/>
      </c>
    </row>
    <row r="194">
      <c r="A194">
        <f>ROW()</f>
        <v/>
      </c>
      <c r="B194">
        <f>IF(설정!$C$4="","",IFERROR(INDEX('1.산군_붙여넣기'!$A$1:$AZ$1001,ROW(),설정!$C$4)&amp;"",""))</f>
        <v/>
      </c>
      <c r="C194">
        <f>IF(설정!$C$5="","",IFERROR(INDEX('1.산군_붙여넣기'!$A$1:$AZ$1001,ROW(),설정!$C$5)&amp;"",""))</f>
        <v/>
      </c>
      <c r="D194" s="5">
        <f>IFERROR(VALUE(SUBSTITUTE(SUBSTITUTE(SUBSTITUTE(IF(설정!$C$6="","",IFERROR(INDEX('1.산군_붙여넣기'!$A$1:$AZ$1001,ROW(),설정!$C$6)&amp;"","")),",",""),"㎡",""),"m2","")),"")</f>
        <v/>
      </c>
      <c r="E194">
        <f>IF(설정!$C$7="","",IFERROR(INDEX('1.산군_붙여넣기'!$A$1:$AZ$1001,ROW(),설정!$C$7)&amp;"",""))</f>
        <v/>
      </c>
      <c r="F194">
        <f>IF(설정!$C$8="","",IFERROR(INDEX('1.산군_붙여넣기'!$A$1:$AZ$1001,ROW(),설정!$C$8)&amp;"",""))</f>
        <v/>
      </c>
      <c r="G194">
        <f>IF(설정!$C$9="","",IFERROR(INDEX('1.산군_붙여넣기'!$A$1:$AZ$1001,ROW(),설정!$C$9)&amp;"",""))</f>
        <v/>
      </c>
      <c r="H194">
        <f>IF(설정!$C$10="","",IFERROR(INDEX('1.산군_붙여넣기'!$A$1:$AZ$1001,ROW(),설정!$C$10)&amp;"",""))</f>
        <v/>
      </c>
      <c r="I194">
        <f>IF(설정!$C$11="","",IFERROR(INDEX('1.산군_붙여넣기'!$A$1:$AZ$1001,ROW(),설정!$C$11)&amp;"",""))</f>
        <v/>
      </c>
      <c r="J194">
        <f>IF(설정!$C$12="","",IFERROR(INDEX('1.산군_붙여넣기'!$A$1:$AZ$1001,ROW(),설정!$C$12)&amp;"",""))</f>
        <v/>
      </c>
      <c r="K194">
        <f>IF(설정!$C$13="","",IFERROR(INDEX('1.산군_붙여넣기'!$A$1:$AZ$1001,ROW(),설정!$C$13)&amp;"",""))</f>
        <v/>
      </c>
      <c r="L194" s="7">
        <f>IF(X194="","",IF(AND(LEN(X194)=8,ISNUMBER(X194*1)),DATE(LEFT(X194,4),MID(X194,5,2),RIGHT(X194,2)),IFERROR(DATEVALUE(SUBSTITUTE(SUBSTITUTE(X194,".","-"),"/","-")),IFERROR(X194*1,""))))</f>
        <v/>
      </c>
      <c r="M194" s="7">
        <f>IF(Y194="","",IF(AND(LEN(Y194)=8,ISNUMBER(Y194*1)),DATE(LEFT(Y194,4),MID(Y194,5,2),RIGHT(Y194,2)),IFERROR(DATEVALUE(SUBSTITUTE(SUBSTITUTE(Y194,".","-"),"/","-")),IFERROR(Y194*1,""))))</f>
        <v/>
      </c>
      <c r="N194">
        <f>IFERROR(LEFT(B194,FIND(" ",B194)-1),B194)</f>
        <v/>
      </c>
      <c r="O194">
        <f>AND(B194&lt;&gt;"",B194&lt;&gt;설정!$B$4,C194&lt;&gt;설정!$B$5)</f>
        <v/>
      </c>
      <c r="P194">
        <f>IF(O194,B194&amp;"|"&amp;C194,"")</f>
        <v/>
      </c>
      <c r="Q194">
        <f>AND(O194,COUNTIF(P195:P$1002,P194)=0)</f>
        <v/>
      </c>
      <c r="R194">
        <f>OR(AND(설정!$A$42&lt;&gt;"",ISNUMBER(SEARCH(설정!$A$42,E194&amp;" "&amp;C194))),AND(설정!$A$43&lt;&gt;"",ISNUMBER(SEARCH(설정!$A$43,E194&amp;" "&amp;C194))),AND(설정!$A$44&lt;&gt;"",ISNUMBER(SEARCH(설정!$A$44,E194&amp;" "&amp;C194))),AND(설정!$A$45&lt;&gt;"",ISNUMBER(SEARCH(설정!$A$45,E194&amp;" "&amp;C194))),AND(설정!$A$46&lt;&gt;"",ISNUMBER(SEARCH(설정!$A$46,E194&amp;" "&amp;C194))),AND(설정!$A$47&lt;&gt;"",ISNUMBER(SEARCH(설정!$A$47,E194&amp;" "&amp;C194))),AND(설정!$A$48&lt;&gt;"",ISNUMBER(SEARCH(설정!$A$48,E194&amp;" "&amp;C194))),AND(설정!$A$49&lt;&gt;"",ISNUMBER(SEARCH(설정!$A$49,E194&amp;" "&amp;C194))),AND(설정!$A$50&lt;&gt;"",ISNUMBER(SEARCH(설정!$A$50,E194&amp;" "&amp;C194))),AND(설정!$A$51&lt;&gt;"",ISNUMBER(SEARCH(설정!$A$51,E194&amp;" "&amp;C194))))</f>
        <v/>
      </c>
      <c r="S194">
        <f>OR(D194="",D194&gt;=설정!$B$19)</f>
        <v/>
      </c>
      <c r="T194">
        <f>AND(Q194,R194,S194)</f>
        <v/>
      </c>
      <c r="U194">
        <f>IF(T194,IF(AND(설정!$A$54&lt;&gt;"",ISNUMBER(SEARCH(설정!$A$54,K194))),설정!$B$54,IF(AND(설정!$A$55&lt;&gt;"",ISNUMBER(SEARCH(설정!$A$55,K194))),설정!$B$55,IF(AND(설정!$A$56&lt;&gt;"",ISNUMBER(SEARCH(설정!$A$56,K194))),설정!$B$56,IF(AND(설정!$A$57&lt;&gt;"",ISNUMBER(SEARCH(설정!$A$57,K194))),설정!$B$57,IF(AND(설정!$A$58&lt;&gt;"",ISNUMBER(SEARCH(설정!$A$58,K194))),설정!$B$58,IF(AND(설정!$A$59&lt;&gt;"",ISNUMBER(SEARCH(설정!$A$59,K194))),설정!$B$59,IF(AND(설정!$A$60&lt;&gt;"",ISNUMBER(SEARCH(설정!$A$60,K194))),설정!$B$60,IF(AND(설정!$A$61&lt;&gt;"",ISNUMBER(SEARCH(설정!$A$61,K194))),설정!$B$61,IF(M194="","설계사","시공사"))))))))),"")</f>
        <v/>
      </c>
      <c r="V194">
        <f>SUBSTITUTE(SUBSTITUTE(SUBSTITUTE(SUBSTITUTE(G194,"(주)",""),"㈜",""),"주식회사","")," ","")</f>
        <v/>
      </c>
      <c r="W194">
        <f>IF(AND(T194,V194&lt;&gt;""),IF(COUNTIFS(V$2:V194,V194,T$2:T194,TRUE)=1,MAX(W$1:W193)+1,""),"")</f>
        <v/>
      </c>
      <c r="X194">
        <f>IF(설정!$C$14="","",IFERROR(INDEX('1.산군_붙여넣기'!$A$1:$AZ$1001,ROW(),설정!$C$14)&amp;"",""))</f>
        <v/>
      </c>
      <c r="Y194">
        <f>IF(설정!$C$15="","",IFERROR(INDEX('1.산군_붙여넣기'!$A$1:$AZ$1001,ROW(),설정!$C$15)&amp;"",""))</f>
        <v/>
      </c>
      <c r="Z194">
        <f>IF(T194,V194&amp;"|"&amp;U194,"")</f>
        <v/>
      </c>
      <c r="AA194">
        <f>IF(NOT(Q194),"",IF(NOT(AND(R194,S194)),"✕",IF(OR(OR(AND(L194&lt;&gt;"",M194&lt;&gt;"",N(M194)-N(L194)&gt;설정!$B$27),AND(L194&lt;&gt;"",M194="",설정!$B$24-N(L194)&gt;설정!$B$27)),AND(D194&lt;&gt;"",D194&lt;설정!$B$26)),"△","★")))</f>
        <v/>
      </c>
      <c r="AB194">
        <f>IF(NOT(T194),"",IF(U194="설계사",설정!$B$31,IF(U194="시공사",IF(OR(M194="",설정!$B$24-N(M194)&lt;=설정!$B$28*30.4),설정!$B$32,설정!$B$33),설정!$B$34))+IF(AA194="★",설정!$B$35,0))</f>
        <v/>
      </c>
      <c r="AC194">
        <f>SUBSTITUTE(SUBSTITUTE(SUBSTITUTE(SUBSTITUTE(H194,"(주)",""),"㈜",""),"주식회사","")," ","")</f>
        <v/>
      </c>
      <c r="AD194">
        <f>IF(AND(T194,AC194&lt;&gt;""),IF(COUNTIFS(AC$2:AC194,AC194,T$2:T194,TRUE)=1,MAX(AD$1:AD193)+1,""),"")</f>
        <v/>
      </c>
    </row>
    <row r="195">
      <c r="A195">
        <f>ROW()</f>
        <v/>
      </c>
      <c r="B195">
        <f>IF(설정!$C$4="","",IFERROR(INDEX('1.산군_붙여넣기'!$A$1:$AZ$1001,ROW(),설정!$C$4)&amp;"",""))</f>
        <v/>
      </c>
      <c r="C195">
        <f>IF(설정!$C$5="","",IFERROR(INDEX('1.산군_붙여넣기'!$A$1:$AZ$1001,ROW(),설정!$C$5)&amp;"",""))</f>
        <v/>
      </c>
      <c r="D195" s="5">
        <f>IFERROR(VALUE(SUBSTITUTE(SUBSTITUTE(SUBSTITUTE(IF(설정!$C$6="","",IFERROR(INDEX('1.산군_붙여넣기'!$A$1:$AZ$1001,ROW(),설정!$C$6)&amp;"","")),",",""),"㎡",""),"m2","")),"")</f>
        <v/>
      </c>
      <c r="E195">
        <f>IF(설정!$C$7="","",IFERROR(INDEX('1.산군_붙여넣기'!$A$1:$AZ$1001,ROW(),설정!$C$7)&amp;"",""))</f>
        <v/>
      </c>
      <c r="F195">
        <f>IF(설정!$C$8="","",IFERROR(INDEX('1.산군_붙여넣기'!$A$1:$AZ$1001,ROW(),설정!$C$8)&amp;"",""))</f>
        <v/>
      </c>
      <c r="G195">
        <f>IF(설정!$C$9="","",IFERROR(INDEX('1.산군_붙여넣기'!$A$1:$AZ$1001,ROW(),설정!$C$9)&amp;"",""))</f>
        <v/>
      </c>
      <c r="H195">
        <f>IF(설정!$C$10="","",IFERROR(INDEX('1.산군_붙여넣기'!$A$1:$AZ$1001,ROW(),설정!$C$10)&amp;"",""))</f>
        <v/>
      </c>
      <c r="I195">
        <f>IF(설정!$C$11="","",IFERROR(INDEX('1.산군_붙여넣기'!$A$1:$AZ$1001,ROW(),설정!$C$11)&amp;"",""))</f>
        <v/>
      </c>
      <c r="J195">
        <f>IF(설정!$C$12="","",IFERROR(INDEX('1.산군_붙여넣기'!$A$1:$AZ$1001,ROW(),설정!$C$12)&amp;"",""))</f>
        <v/>
      </c>
      <c r="K195">
        <f>IF(설정!$C$13="","",IFERROR(INDEX('1.산군_붙여넣기'!$A$1:$AZ$1001,ROW(),설정!$C$13)&amp;"",""))</f>
        <v/>
      </c>
      <c r="L195" s="7">
        <f>IF(X195="","",IF(AND(LEN(X195)=8,ISNUMBER(X195*1)),DATE(LEFT(X195,4),MID(X195,5,2),RIGHT(X195,2)),IFERROR(DATEVALUE(SUBSTITUTE(SUBSTITUTE(X195,".","-"),"/","-")),IFERROR(X195*1,""))))</f>
        <v/>
      </c>
      <c r="M195" s="7">
        <f>IF(Y195="","",IF(AND(LEN(Y195)=8,ISNUMBER(Y195*1)),DATE(LEFT(Y195,4),MID(Y195,5,2),RIGHT(Y195,2)),IFERROR(DATEVALUE(SUBSTITUTE(SUBSTITUTE(Y195,".","-"),"/","-")),IFERROR(Y195*1,""))))</f>
        <v/>
      </c>
      <c r="N195">
        <f>IFERROR(LEFT(B195,FIND(" ",B195)-1),B195)</f>
        <v/>
      </c>
      <c r="O195">
        <f>AND(B195&lt;&gt;"",B195&lt;&gt;설정!$B$4,C195&lt;&gt;설정!$B$5)</f>
        <v/>
      </c>
      <c r="P195">
        <f>IF(O195,B195&amp;"|"&amp;C195,"")</f>
        <v/>
      </c>
      <c r="Q195">
        <f>AND(O195,COUNTIF(P196:P$1002,P195)=0)</f>
        <v/>
      </c>
      <c r="R195">
        <f>OR(AND(설정!$A$42&lt;&gt;"",ISNUMBER(SEARCH(설정!$A$42,E195&amp;" "&amp;C195))),AND(설정!$A$43&lt;&gt;"",ISNUMBER(SEARCH(설정!$A$43,E195&amp;" "&amp;C195))),AND(설정!$A$44&lt;&gt;"",ISNUMBER(SEARCH(설정!$A$44,E195&amp;" "&amp;C195))),AND(설정!$A$45&lt;&gt;"",ISNUMBER(SEARCH(설정!$A$45,E195&amp;" "&amp;C195))),AND(설정!$A$46&lt;&gt;"",ISNUMBER(SEARCH(설정!$A$46,E195&amp;" "&amp;C195))),AND(설정!$A$47&lt;&gt;"",ISNUMBER(SEARCH(설정!$A$47,E195&amp;" "&amp;C195))),AND(설정!$A$48&lt;&gt;"",ISNUMBER(SEARCH(설정!$A$48,E195&amp;" "&amp;C195))),AND(설정!$A$49&lt;&gt;"",ISNUMBER(SEARCH(설정!$A$49,E195&amp;" "&amp;C195))),AND(설정!$A$50&lt;&gt;"",ISNUMBER(SEARCH(설정!$A$50,E195&amp;" "&amp;C195))),AND(설정!$A$51&lt;&gt;"",ISNUMBER(SEARCH(설정!$A$51,E195&amp;" "&amp;C195))))</f>
        <v/>
      </c>
      <c r="S195">
        <f>OR(D195="",D195&gt;=설정!$B$19)</f>
        <v/>
      </c>
      <c r="T195">
        <f>AND(Q195,R195,S195)</f>
        <v/>
      </c>
      <c r="U195">
        <f>IF(T195,IF(AND(설정!$A$54&lt;&gt;"",ISNUMBER(SEARCH(설정!$A$54,K195))),설정!$B$54,IF(AND(설정!$A$55&lt;&gt;"",ISNUMBER(SEARCH(설정!$A$55,K195))),설정!$B$55,IF(AND(설정!$A$56&lt;&gt;"",ISNUMBER(SEARCH(설정!$A$56,K195))),설정!$B$56,IF(AND(설정!$A$57&lt;&gt;"",ISNUMBER(SEARCH(설정!$A$57,K195))),설정!$B$57,IF(AND(설정!$A$58&lt;&gt;"",ISNUMBER(SEARCH(설정!$A$58,K195))),설정!$B$58,IF(AND(설정!$A$59&lt;&gt;"",ISNUMBER(SEARCH(설정!$A$59,K195))),설정!$B$59,IF(AND(설정!$A$60&lt;&gt;"",ISNUMBER(SEARCH(설정!$A$60,K195))),설정!$B$60,IF(AND(설정!$A$61&lt;&gt;"",ISNUMBER(SEARCH(설정!$A$61,K195))),설정!$B$61,IF(M195="","설계사","시공사"))))))))),"")</f>
        <v/>
      </c>
      <c r="V195">
        <f>SUBSTITUTE(SUBSTITUTE(SUBSTITUTE(SUBSTITUTE(G195,"(주)",""),"㈜",""),"주식회사","")," ","")</f>
        <v/>
      </c>
      <c r="W195">
        <f>IF(AND(T195,V195&lt;&gt;""),IF(COUNTIFS(V$2:V195,V195,T$2:T195,TRUE)=1,MAX(W$1:W194)+1,""),"")</f>
        <v/>
      </c>
      <c r="X195">
        <f>IF(설정!$C$14="","",IFERROR(INDEX('1.산군_붙여넣기'!$A$1:$AZ$1001,ROW(),설정!$C$14)&amp;"",""))</f>
        <v/>
      </c>
      <c r="Y195">
        <f>IF(설정!$C$15="","",IFERROR(INDEX('1.산군_붙여넣기'!$A$1:$AZ$1001,ROW(),설정!$C$15)&amp;"",""))</f>
        <v/>
      </c>
      <c r="Z195">
        <f>IF(T195,V195&amp;"|"&amp;U195,"")</f>
        <v/>
      </c>
      <c r="AA195">
        <f>IF(NOT(Q195),"",IF(NOT(AND(R195,S195)),"✕",IF(OR(OR(AND(L195&lt;&gt;"",M195&lt;&gt;"",N(M195)-N(L195)&gt;설정!$B$27),AND(L195&lt;&gt;"",M195="",설정!$B$24-N(L195)&gt;설정!$B$27)),AND(D195&lt;&gt;"",D195&lt;설정!$B$26)),"△","★")))</f>
        <v/>
      </c>
      <c r="AB195">
        <f>IF(NOT(T195),"",IF(U195="설계사",설정!$B$31,IF(U195="시공사",IF(OR(M195="",설정!$B$24-N(M195)&lt;=설정!$B$28*30.4),설정!$B$32,설정!$B$33),설정!$B$34))+IF(AA195="★",설정!$B$35,0))</f>
        <v/>
      </c>
      <c r="AC195">
        <f>SUBSTITUTE(SUBSTITUTE(SUBSTITUTE(SUBSTITUTE(H195,"(주)",""),"㈜",""),"주식회사","")," ","")</f>
        <v/>
      </c>
      <c r="AD195">
        <f>IF(AND(T195,AC195&lt;&gt;""),IF(COUNTIFS(AC$2:AC195,AC195,T$2:T195,TRUE)=1,MAX(AD$1:AD194)+1,""),"")</f>
        <v/>
      </c>
    </row>
    <row r="196">
      <c r="A196">
        <f>ROW()</f>
        <v/>
      </c>
      <c r="B196">
        <f>IF(설정!$C$4="","",IFERROR(INDEX('1.산군_붙여넣기'!$A$1:$AZ$1001,ROW(),설정!$C$4)&amp;"",""))</f>
        <v/>
      </c>
      <c r="C196">
        <f>IF(설정!$C$5="","",IFERROR(INDEX('1.산군_붙여넣기'!$A$1:$AZ$1001,ROW(),설정!$C$5)&amp;"",""))</f>
        <v/>
      </c>
      <c r="D196" s="5">
        <f>IFERROR(VALUE(SUBSTITUTE(SUBSTITUTE(SUBSTITUTE(IF(설정!$C$6="","",IFERROR(INDEX('1.산군_붙여넣기'!$A$1:$AZ$1001,ROW(),설정!$C$6)&amp;"","")),",",""),"㎡",""),"m2","")),"")</f>
        <v/>
      </c>
      <c r="E196">
        <f>IF(설정!$C$7="","",IFERROR(INDEX('1.산군_붙여넣기'!$A$1:$AZ$1001,ROW(),설정!$C$7)&amp;"",""))</f>
        <v/>
      </c>
      <c r="F196">
        <f>IF(설정!$C$8="","",IFERROR(INDEX('1.산군_붙여넣기'!$A$1:$AZ$1001,ROW(),설정!$C$8)&amp;"",""))</f>
        <v/>
      </c>
      <c r="G196">
        <f>IF(설정!$C$9="","",IFERROR(INDEX('1.산군_붙여넣기'!$A$1:$AZ$1001,ROW(),설정!$C$9)&amp;"",""))</f>
        <v/>
      </c>
      <c r="H196">
        <f>IF(설정!$C$10="","",IFERROR(INDEX('1.산군_붙여넣기'!$A$1:$AZ$1001,ROW(),설정!$C$10)&amp;"",""))</f>
        <v/>
      </c>
      <c r="I196">
        <f>IF(설정!$C$11="","",IFERROR(INDEX('1.산군_붙여넣기'!$A$1:$AZ$1001,ROW(),설정!$C$11)&amp;"",""))</f>
        <v/>
      </c>
      <c r="J196">
        <f>IF(설정!$C$12="","",IFERROR(INDEX('1.산군_붙여넣기'!$A$1:$AZ$1001,ROW(),설정!$C$12)&amp;"",""))</f>
        <v/>
      </c>
      <c r="K196">
        <f>IF(설정!$C$13="","",IFERROR(INDEX('1.산군_붙여넣기'!$A$1:$AZ$1001,ROW(),설정!$C$13)&amp;"",""))</f>
        <v/>
      </c>
      <c r="L196" s="7">
        <f>IF(X196="","",IF(AND(LEN(X196)=8,ISNUMBER(X196*1)),DATE(LEFT(X196,4),MID(X196,5,2),RIGHT(X196,2)),IFERROR(DATEVALUE(SUBSTITUTE(SUBSTITUTE(X196,".","-"),"/","-")),IFERROR(X196*1,""))))</f>
        <v/>
      </c>
      <c r="M196" s="7">
        <f>IF(Y196="","",IF(AND(LEN(Y196)=8,ISNUMBER(Y196*1)),DATE(LEFT(Y196,4),MID(Y196,5,2),RIGHT(Y196,2)),IFERROR(DATEVALUE(SUBSTITUTE(SUBSTITUTE(Y196,".","-"),"/","-")),IFERROR(Y196*1,""))))</f>
        <v/>
      </c>
      <c r="N196">
        <f>IFERROR(LEFT(B196,FIND(" ",B196)-1),B196)</f>
        <v/>
      </c>
      <c r="O196">
        <f>AND(B196&lt;&gt;"",B196&lt;&gt;설정!$B$4,C196&lt;&gt;설정!$B$5)</f>
        <v/>
      </c>
      <c r="P196">
        <f>IF(O196,B196&amp;"|"&amp;C196,"")</f>
        <v/>
      </c>
      <c r="Q196">
        <f>AND(O196,COUNTIF(P197:P$1002,P196)=0)</f>
        <v/>
      </c>
      <c r="R196">
        <f>OR(AND(설정!$A$42&lt;&gt;"",ISNUMBER(SEARCH(설정!$A$42,E196&amp;" "&amp;C196))),AND(설정!$A$43&lt;&gt;"",ISNUMBER(SEARCH(설정!$A$43,E196&amp;" "&amp;C196))),AND(설정!$A$44&lt;&gt;"",ISNUMBER(SEARCH(설정!$A$44,E196&amp;" "&amp;C196))),AND(설정!$A$45&lt;&gt;"",ISNUMBER(SEARCH(설정!$A$45,E196&amp;" "&amp;C196))),AND(설정!$A$46&lt;&gt;"",ISNUMBER(SEARCH(설정!$A$46,E196&amp;" "&amp;C196))),AND(설정!$A$47&lt;&gt;"",ISNUMBER(SEARCH(설정!$A$47,E196&amp;" "&amp;C196))),AND(설정!$A$48&lt;&gt;"",ISNUMBER(SEARCH(설정!$A$48,E196&amp;" "&amp;C196))),AND(설정!$A$49&lt;&gt;"",ISNUMBER(SEARCH(설정!$A$49,E196&amp;" "&amp;C196))),AND(설정!$A$50&lt;&gt;"",ISNUMBER(SEARCH(설정!$A$50,E196&amp;" "&amp;C196))),AND(설정!$A$51&lt;&gt;"",ISNUMBER(SEARCH(설정!$A$51,E196&amp;" "&amp;C196))))</f>
        <v/>
      </c>
      <c r="S196">
        <f>OR(D196="",D196&gt;=설정!$B$19)</f>
        <v/>
      </c>
      <c r="T196">
        <f>AND(Q196,R196,S196)</f>
        <v/>
      </c>
      <c r="U196">
        <f>IF(T196,IF(AND(설정!$A$54&lt;&gt;"",ISNUMBER(SEARCH(설정!$A$54,K196))),설정!$B$54,IF(AND(설정!$A$55&lt;&gt;"",ISNUMBER(SEARCH(설정!$A$55,K196))),설정!$B$55,IF(AND(설정!$A$56&lt;&gt;"",ISNUMBER(SEARCH(설정!$A$56,K196))),설정!$B$56,IF(AND(설정!$A$57&lt;&gt;"",ISNUMBER(SEARCH(설정!$A$57,K196))),설정!$B$57,IF(AND(설정!$A$58&lt;&gt;"",ISNUMBER(SEARCH(설정!$A$58,K196))),설정!$B$58,IF(AND(설정!$A$59&lt;&gt;"",ISNUMBER(SEARCH(설정!$A$59,K196))),설정!$B$59,IF(AND(설정!$A$60&lt;&gt;"",ISNUMBER(SEARCH(설정!$A$60,K196))),설정!$B$60,IF(AND(설정!$A$61&lt;&gt;"",ISNUMBER(SEARCH(설정!$A$61,K196))),설정!$B$61,IF(M196="","설계사","시공사"))))))))),"")</f>
        <v/>
      </c>
      <c r="V196">
        <f>SUBSTITUTE(SUBSTITUTE(SUBSTITUTE(SUBSTITUTE(G196,"(주)",""),"㈜",""),"주식회사","")," ","")</f>
        <v/>
      </c>
      <c r="W196">
        <f>IF(AND(T196,V196&lt;&gt;""),IF(COUNTIFS(V$2:V196,V196,T$2:T196,TRUE)=1,MAX(W$1:W195)+1,""),"")</f>
        <v/>
      </c>
      <c r="X196">
        <f>IF(설정!$C$14="","",IFERROR(INDEX('1.산군_붙여넣기'!$A$1:$AZ$1001,ROW(),설정!$C$14)&amp;"",""))</f>
        <v/>
      </c>
      <c r="Y196">
        <f>IF(설정!$C$15="","",IFERROR(INDEX('1.산군_붙여넣기'!$A$1:$AZ$1001,ROW(),설정!$C$15)&amp;"",""))</f>
        <v/>
      </c>
      <c r="Z196">
        <f>IF(T196,V196&amp;"|"&amp;U196,"")</f>
        <v/>
      </c>
      <c r="AA196">
        <f>IF(NOT(Q196),"",IF(NOT(AND(R196,S196)),"✕",IF(OR(OR(AND(L196&lt;&gt;"",M196&lt;&gt;"",N(M196)-N(L196)&gt;설정!$B$27),AND(L196&lt;&gt;"",M196="",설정!$B$24-N(L196)&gt;설정!$B$27)),AND(D196&lt;&gt;"",D196&lt;설정!$B$26)),"△","★")))</f>
        <v/>
      </c>
      <c r="AB196">
        <f>IF(NOT(T196),"",IF(U196="설계사",설정!$B$31,IF(U196="시공사",IF(OR(M196="",설정!$B$24-N(M196)&lt;=설정!$B$28*30.4),설정!$B$32,설정!$B$33),설정!$B$34))+IF(AA196="★",설정!$B$35,0))</f>
        <v/>
      </c>
      <c r="AC196">
        <f>SUBSTITUTE(SUBSTITUTE(SUBSTITUTE(SUBSTITUTE(H196,"(주)",""),"㈜",""),"주식회사","")," ","")</f>
        <v/>
      </c>
      <c r="AD196">
        <f>IF(AND(T196,AC196&lt;&gt;""),IF(COUNTIFS(AC$2:AC196,AC196,T$2:T196,TRUE)=1,MAX(AD$1:AD195)+1,""),"")</f>
        <v/>
      </c>
    </row>
    <row r="197">
      <c r="A197">
        <f>ROW()</f>
        <v/>
      </c>
      <c r="B197">
        <f>IF(설정!$C$4="","",IFERROR(INDEX('1.산군_붙여넣기'!$A$1:$AZ$1001,ROW(),설정!$C$4)&amp;"",""))</f>
        <v/>
      </c>
      <c r="C197">
        <f>IF(설정!$C$5="","",IFERROR(INDEX('1.산군_붙여넣기'!$A$1:$AZ$1001,ROW(),설정!$C$5)&amp;"",""))</f>
        <v/>
      </c>
      <c r="D197" s="5">
        <f>IFERROR(VALUE(SUBSTITUTE(SUBSTITUTE(SUBSTITUTE(IF(설정!$C$6="","",IFERROR(INDEX('1.산군_붙여넣기'!$A$1:$AZ$1001,ROW(),설정!$C$6)&amp;"","")),",",""),"㎡",""),"m2","")),"")</f>
        <v/>
      </c>
      <c r="E197">
        <f>IF(설정!$C$7="","",IFERROR(INDEX('1.산군_붙여넣기'!$A$1:$AZ$1001,ROW(),설정!$C$7)&amp;"",""))</f>
        <v/>
      </c>
      <c r="F197">
        <f>IF(설정!$C$8="","",IFERROR(INDEX('1.산군_붙여넣기'!$A$1:$AZ$1001,ROW(),설정!$C$8)&amp;"",""))</f>
        <v/>
      </c>
      <c r="G197">
        <f>IF(설정!$C$9="","",IFERROR(INDEX('1.산군_붙여넣기'!$A$1:$AZ$1001,ROW(),설정!$C$9)&amp;"",""))</f>
        <v/>
      </c>
      <c r="H197">
        <f>IF(설정!$C$10="","",IFERROR(INDEX('1.산군_붙여넣기'!$A$1:$AZ$1001,ROW(),설정!$C$10)&amp;"",""))</f>
        <v/>
      </c>
      <c r="I197">
        <f>IF(설정!$C$11="","",IFERROR(INDEX('1.산군_붙여넣기'!$A$1:$AZ$1001,ROW(),설정!$C$11)&amp;"",""))</f>
        <v/>
      </c>
      <c r="J197">
        <f>IF(설정!$C$12="","",IFERROR(INDEX('1.산군_붙여넣기'!$A$1:$AZ$1001,ROW(),설정!$C$12)&amp;"",""))</f>
        <v/>
      </c>
      <c r="K197">
        <f>IF(설정!$C$13="","",IFERROR(INDEX('1.산군_붙여넣기'!$A$1:$AZ$1001,ROW(),설정!$C$13)&amp;"",""))</f>
        <v/>
      </c>
      <c r="L197" s="7">
        <f>IF(X197="","",IF(AND(LEN(X197)=8,ISNUMBER(X197*1)),DATE(LEFT(X197,4),MID(X197,5,2),RIGHT(X197,2)),IFERROR(DATEVALUE(SUBSTITUTE(SUBSTITUTE(X197,".","-"),"/","-")),IFERROR(X197*1,""))))</f>
        <v/>
      </c>
      <c r="M197" s="7">
        <f>IF(Y197="","",IF(AND(LEN(Y197)=8,ISNUMBER(Y197*1)),DATE(LEFT(Y197,4),MID(Y197,5,2),RIGHT(Y197,2)),IFERROR(DATEVALUE(SUBSTITUTE(SUBSTITUTE(Y197,".","-"),"/","-")),IFERROR(Y197*1,""))))</f>
        <v/>
      </c>
      <c r="N197">
        <f>IFERROR(LEFT(B197,FIND(" ",B197)-1),B197)</f>
        <v/>
      </c>
      <c r="O197">
        <f>AND(B197&lt;&gt;"",B197&lt;&gt;설정!$B$4,C197&lt;&gt;설정!$B$5)</f>
        <v/>
      </c>
      <c r="P197">
        <f>IF(O197,B197&amp;"|"&amp;C197,"")</f>
        <v/>
      </c>
      <c r="Q197">
        <f>AND(O197,COUNTIF(P198:P$1002,P197)=0)</f>
        <v/>
      </c>
      <c r="R197">
        <f>OR(AND(설정!$A$42&lt;&gt;"",ISNUMBER(SEARCH(설정!$A$42,E197&amp;" "&amp;C197))),AND(설정!$A$43&lt;&gt;"",ISNUMBER(SEARCH(설정!$A$43,E197&amp;" "&amp;C197))),AND(설정!$A$44&lt;&gt;"",ISNUMBER(SEARCH(설정!$A$44,E197&amp;" "&amp;C197))),AND(설정!$A$45&lt;&gt;"",ISNUMBER(SEARCH(설정!$A$45,E197&amp;" "&amp;C197))),AND(설정!$A$46&lt;&gt;"",ISNUMBER(SEARCH(설정!$A$46,E197&amp;" "&amp;C197))),AND(설정!$A$47&lt;&gt;"",ISNUMBER(SEARCH(설정!$A$47,E197&amp;" "&amp;C197))),AND(설정!$A$48&lt;&gt;"",ISNUMBER(SEARCH(설정!$A$48,E197&amp;" "&amp;C197))),AND(설정!$A$49&lt;&gt;"",ISNUMBER(SEARCH(설정!$A$49,E197&amp;" "&amp;C197))),AND(설정!$A$50&lt;&gt;"",ISNUMBER(SEARCH(설정!$A$50,E197&amp;" "&amp;C197))),AND(설정!$A$51&lt;&gt;"",ISNUMBER(SEARCH(설정!$A$51,E197&amp;" "&amp;C197))))</f>
        <v/>
      </c>
      <c r="S197">
        <f>OR(D197="",D197&gt;=설정!$B$19)</f>
        <v/>
      </c>
      <c r="T197">
        <f>AND(Q197,R197,S197)</f>
        <v/>
      </c>
      <c r="U197">
        <f>IF(T197,IF(AND(설정!$A$54&lt;&gt;"",ISNUMBER(SEARCH(설정!$A$54,K197))),설정!$B$54,IF(AND(설정!$A$55&lt;&gt;"",ISNUMBER(SEARCH(설정!$A$55,K197))),설정!$B$55,IF(AND(설정!$A$56&lt;&gt;"",ISNUMBER(SEARCH(설정!$A$56,K197))),설정!$B$56,IF(AND(설정!$A$57&lt;&gt;"",ISNUMBER(SEARCH(설정!$A$57,K197))),설정!$B$57,IF(AND(설정!$A$58&lt;&gt;"",ISNUMBER(SEARCH(설정!$A$58,K197))),설정!$B$58,IF(AND(설정!$A$59&lt;&gt;"",ISNUMBER(SEARCH(설정!$A$59,K197))),설정!$B$59,IF(AND(설정!$A$60&lt;&gt;"",ISNUMBER(SEARCH(설정!$A$60,K197))),설정!$B$60,IF(AND(설정!$A$61&lt;&gt;"",ISNUMBER(SEARCH(설정!$A$61,K197))),설정!$B$61,IF(M197="","설계사","시공사"))))))))),"")</f>
        <v/>
      </c>
      <c r="V197">
        <f>SUBSTITUTE(SUBSTITUTE(SUBSTITUTE(SUBSTITUTE(G197,"(주)",""),"㈜",""),"주식회사","")," ","")</f>
        <v/>
      </c>
      <c r="W197">
        <f>IF(AND(T197,V197&lt;&gt;""),IF(COUNTIFS(V$2:V197,V197,T$2:T197,TRUE)=1,MAX(W$1:W196)+1,""),"")</f>
        <v/>
      </c>
      <c r="X197">
        <f>IF(설정!$C$14="","",IFERROR(INDEX('1.산군_붙여넣기'!$A$1:$AZ$1001,ROW(),설정!$C$14)&amp;"",""))</f>
        <v/>
      </c>
      <c r="Y197">
        <f>IF(설정!$C$15="","",IFERROR(INDEX('1.산군_붙여넣기'!$A$1:$AZ$1001,ROW(),설정!$C$15)&amp;"",""))</f>
        <v/>
      </c>
      <c r="Z197">
        <f>IF(T197,V197&amp;"|"&amp;U197,"")</f>
        <v/>
      </c>
      <c r="AA197">
        <f>IF(NOT(Q197),"",IF(NOT(AND(R197,S197)),"✕",IF(OR(OR(AND(L197&lt;&gt;"",M197&lt;&gt;"",N(M197)-N(L197)&gt;설정!$B$27),AND(L197&lt;&gt;"",M197="",설정!$B$24-N(L197)&gt;설정!$B$27)),AND(D197&lt;&gt;"",D197&lt;설정!$B$26)),"△","★")))</f>
        <v/>
      </c>
      <c r="AB197">
        <f>IF(NOT(T197),"",IF(U197="설계사",설정!$B$31,IF(U197="시공사",IF(OR(M197="",설정!$B$24-N(M197)&lt;=설정!$B$28*30.4),설정!$B$32,설정!$B$33),설정!$B$34))+IF(AA197="★",설정!$B$35,0))</f>
        <v/>
      </c>
      <c r="AC197">
        <f>SUBSTITUTE(SUBSTITUTE(SUBSTITUTE(SUBSTITUTE(H197,"(주)",""),"㈜",""),"주식회사","")," ","")</f>
        <v/>
      </c>
      <c r="AD197">
        <f>IF(AND(T197,AC197&lt;&gt;""),IF(COUNTIFS(AC$2:AC197,AC197,T$2:T197,TRUE)=1,MAX(AD$1:AD196)+1,""),"")</f>
        <v/>
      </c>
    </row>
    <row r="198">
      <c r="A198">
        <f>ROW()</f>
        <v/>
      </c>
      <c r="B198">
        <f>IF(설정!$C$4="","",IFERROR(INDEX('1.산군_붙여넣기'!$A$1:$AZ$1001,ROW(),설정!$C$4)&amp;"",""))</f>
        <v/>
      </c>
      <c r="C198">
        <f>IF(설정!$C$5="","",IFERROR(INDEX('1.산군_붙여넣기'!$A$1:$AZ$1001,ROW(),설정!$C$5)&amp;"",""))</f>
        <v/>
      </c>
      <c r="D198" s="5">
        <f>IFERROR(VALUE(SUBSTITUTE(SUBSTITUTE(SUBSTITUTE(IF(설정!$C$6="","",IFERROR(INDEX('1.산군_붙여넣기'!$A$1:$AZ$1001,ROW(),설정!$C$6)&amp;"","")),",",""),"㎡",""),"m2","")),"")</f>
        <v/>
      </c>
      <c r="E198">
        <f>IF(설정!$C$7="","",IFERROR(INDEX('1.산군_붙여넣기'!$A$1:$AZ$1001,ROW(),설정!$C$7)&amp;"",""))</f>
        <v/>
      </c>
      <c r="F198">
        <f>IF(설정!$C$8="","",IFERROR(INDEX('1.산군_붙여넣기'!$A$1:$AZ$1001,ROW(),설정!$C$8)&amp;"",""))</f>
        <v/>
      </c>
      <c r="G198">
        <f>IF(설정!$C$9="","",IFERROR(INDEX('1.산군_붙여넣기'!$A$1:$AZ$1001,ROW(),설정!$C$9)&amp;"",""))</f>
        <v/>
      </c>
      <c r="H198">
        <f>IF(설정!$C$10="","",IFERROR(INDEX('1.산군_붙여넣기'!$A$1:$AZ$1001,ROW(),설정!$C$10)&amp;"",""))</f>
        <v/>
      </c>
      <c r="I198">
        <f>IF(설정!$C$11="","",IFERROR(INDEX('1.산군_붙여넣기'!$A$1:$AZ$1001,ROW(),설정!$C$11)&amp;"",""))</f>
        <v/>
      </c>
      <c r="J198">
        <f>IF(설정!$C$12="","",IFERROR(INDEX('1.산군_붙여넣기'!$A$1:$AZ$1001,ROW(),설정!$C$12)&amp;"",""))</f>
        <v/>
      </c>
      <c r="K198">
        <f>IF(설정!$C$13="","",IFERROR(INDEX('1.산군_붙여넣기'!$A$1:$AZ$1001,ROW(),설정!$C$13)&amp;"",""))</f>
        <v/>
      </c>
      <c r="L198" s="7">
        <f>IF(X198="","",IF(AND(LEN(X198)=8,ISNUMBER(X198*1)),DATE(LEFT(X198,4),MID(X198,5,2),RIGHT(X198,2)),IFERROR(DATEVALUE(SUBSTITUTE(SUBSTITUTE(X198,".","-"),"/","-")),IFERROR(X198*1,""))))</f>
        <v/>
      </c>
      <c r="M198" s="7">
        <f>IF(Y198="","",IF(AND(LEN(Y198)=8,ISNUMBER(Y198*1)),DATE(LEFT(Y198,4),MID(Y198,5,2),RIGHT(Y198,2)),IFERROR(DATEVALUE(SUBSTITUTE(SUBSTITUTE(Y198,".","-"),"/","-")),IFERROR(Y198*1,""))))</f>
        <v/>
      </c>
      <c r="N198">
        <f>IFERROR(LEFT(B198,FIND(" ",B198)-1),B198)</f>
        <v/>
      </c>
      <c r="O198">
        <f>AND(B198&lt;&gt;"",B198&lt;&gt;설정!$B$4,C198&lt;&gt;설정!$B$5)</f>
        <v/>
      </c>
      <c r="P198">
        <f>IF(O198,B198&amp;"|"&amp;C198,"")</f>
        <v/>
      </c>
      <c r="Q198">
        <f>AND(O198,COUNTIF(P199:P$1002,P198)=0)</f>
        <v/>
      </c>
      <c r="R198">
        <f>OR(AND(설정!$A$42&lt;&gt;"",ISNUMBER(SEARCH(설정!$A$42,E198&amp;" "&amp;C198))),AND(설정!$A$43&lt;&gt;"",ISNUMBER(SEARCH(설정!$A$43,E198&amp;" "&amp;C198))),AND(설정!$A$44&lt;&gt;"",ISNUMBER(SEARCH(설정!$A$44,E198&amp;" "&amp;C198))),AND(설정!$A$45&lt;&gt;"",ISNUMBER(SEARCH(설정!$A$45,E198&amp;" "&amp;C198))),AND(설정!$A$46&lt;&gt;"",ISNUMBER(SEARCH(설정!$A$46,E198&amp;" "&amp;C198))),AND(설정!$A$47&lt;&gt;"",ISNUMBER(SEARCH(설정!$A$47,E198&amp;" "&amp;C198))),AND(설정!$A$48&lt;&gt;"",ISNUMBER(SEARCH(설정!$A$48,E198&amp;" "&amp;C198))),AND(설정!$A$49&lt;&gt;"",ISNUMBER(SEARCH(설정!$A$49,E198&amp;" "&amp;C198))),AND(설정!$A$50&lt;&gt;"",ISNUMBER(SEARCH(설정!$A$50,E198&amp;" "&amp;C198))),AND(설정!$A$51&lt;&gt;"",ISNUMBER(SEARCH(설정!$A$51,E198&amp;" "&amp;C198))))</f>
        <v/>
      </c>
      <c r="S198">
        <f>OR(D198="",D198&gt;=설정!$B$19)</f>
        <v/>
      </c>
      <c r="T198">
        <f>AND(Q198,R198,S198)</f>
        <v/>
      </c>
      <c r="U198">
        <f>IF(T198,IF(AND(설정!$A$54&lt;&gt;"",ISNUMBER(SEARCH(설정!$A$54,K198))),설정!$B$54,IF(AND(설정!$A$55&lt;&gt;"",ISNUMBER(SEARCH(설정!$A$55,K198))),설정!$B$55,IF(AND(설정!$A$56&lt;&gt;"",ISNUMBER(SEARCH(설정!$A$56,K198))),설정!$B$56,IF(AND(설정!$A$57&lt;&gt;"",ISNUMBER(SEARCH(설정!$A$57,K198))),설정!$B$57,IF(AND(설정!$A$58&lt;&gt;"",ISNUMBER(SEARCH(설정!$A$58,K198))),설정!$B$58,IF(AND(설정!$A$59&lt;&gt;"",ISNUMBER(SEARCH(설정!$A$59,K198))),설정!$B$59,IF(AND(설정!$A$60&lt;&gt;"",ISNUMBER(SEARCH(설정!$A$60,K198))),설정!$B$60,IF(AND(설정!$A$61&lt;&gt;"",ISNUMBER(SEARCH(설정!$A$61,K198))),설정!$B$61,IF(M198="","설계사","시공사"))))))))),"")</f>
        <v/>
      </c>
      <c r="V198">
        <f>SUBSTITUTE(SUBSTITUTE(SUBSTITUTE(SUBSTITUTE(G198,"(주)",""),"㈜",""),"주식회사","")," ","")</f>
        <v/>
      </c>
      <c r="W198">
        <f>IF(AND(T198,V198&lt;&gt;""),IF(COUNTIFS(V$2:V198,V198,T$2:T198,TRUE)=1,MAX(W$1:W197)+1,""),"")</f>
        <v/>
      </c>
      <c r="X198">
        <f>IF(설정!$C$14="","",IFERROR(INDEX('1.산군_붙여넣기'!$A$1:$AZ$1001,ROW(),설정!$C$14)&amp;"",""))</f>
        <v/>
      </c>
      <c r="Y198">
        <f>IF(설정!$C$15="","",IFERROR(INDEX('1.산군_붙여넣기'!$A$1:$AZ$1001,ROW(),설정!$C$15)&amp;"",""))</f>
        <v/>
      </c>
      <c r="Z198">
        <f>IF(T198,V198&amp;"|"&amp;U198,"")</f>
        <v/>
      </c>
      <c r="AA198">
        <f>IF(NOT(Q198),"",IF(NOT(AND(R198,S198)),"✕",IF(OR(OR(AND(L198&lt;&gt;"",M198&lt;&gt;"",N(M198)-N(L198)&gt;설정!$B$27),AND(L198&lt;&gt;"",M198="",설정!$B$24-N(L198)&gt;설정!$B$27)),AND(D198&lt;&gt;"",D198&lt;설정!$B$26)),"△","★")))</f>
        <v/>
      </c>
      <c r="AB198">
        <f>IF(NOT(T198),"",IF(U198="설계사",설정!$B$31,IF(U198="시공사",IF(OR(M198="",설정!$B$24-N(M198)&lt;=설정!$B$28*30.4),설정!$B$32,설정!$B$33),설정!$B$34))+IF(AA198="★",설정!$B$35,0))</f>
        <v/>
      </c>
      <c r="AC198">
        <f>SUBSTITUTE(SUBSTITUTE(SUBSTITUTE(SUBSTITUTE(H198,"(주)",""),"㈜",""),"주식회사","")," ","")</f>
        <v/>
      </c>
      <c r="AD198">
        <f>IF(AND(T198,AC198&lt;&gt;""),IF(COUNTIFS(AC$2:AC198,AC198,T$2:T198,TRUE)=1,MAX(AD$1:AD197)+1,""),"")</f>
        <v/>
      </c>
    </row>
    <row r="199">
      <c r="A199">
        <f>ROW()</f>
        <v/>
      </c>
      <c r="B199">
        <f>IF(설정!$C$4="","",IFERROR(INDEX('1.산군_붙여넣기'!$A$1:$AZ$1001,ROW(),설정!$C$4)&amp;"",""))</f>
        <v/>
      </c>
      <c r="C199">
        <f>IF(설정!$C$5="","",IFERROR(INDEX('1.산군_붙여넣기'!$A$1:$AZ$1001,ROW(),설정!$C$5)&amp;"",""))</f>
        <v/>
      </c>
      <c r="D199" s="5">
        <f>IFERROR(VALUE(SUBSTITUTE(SUBSTITUTE(SUBSTITUTE(IF(설정!$C$6="","",IFERROR(INDEX('1.산군_붙여넣기'!$A$1:$AZ$1001,ROW(),설정!$C$6)&amp;"","")),",",""),"㎡",""),"m2","")),"")</f>
        <v/>
      </c>
      <c r="E199">
        <f>IF(설정!$C$7="","",IFERROR(INDEX('1.산군_붙여넣기'!$A$1:$AZ$1001,ROW(),설정!$C$7)&amp;"",""))</f>
        <v/>
      </c>
      <c r="F199">
        <f>IF(설정!$C$8="","",IFERROR(INDEX('1.산군_붙여넣기'!$A$1:$AZ$1001,ROW(),설정!$C$8)&amp;"",""))</f>
        <v/>
      </c>
      <c r="G199">
        <f>IF(설정!$C$9="","",IFERROR(INDEX('1.산군_붙여넣기'!$A$1:$AZ$1001,ROW(),설정!$C$9)&amp;"",""))</f>
        <v/>
      </c>
      <c r="H199">
        <f>IF(설정!$C$10="","",IFERROR(INDEX('1.산군_붙여넣기'!$A$1:$AZ$1001,ROW(),설정!$C$10)&amp;"",""))</f>
        <v/>
      </c>
      <c r="I199">
        <f>IF(설정!$C$11="","",IFERROR(INDEX('1.산군_붙여넣기'!$A$1:$AZ$1001,ROW(),설정!$C$11)&amp;"",""))</f>
        <v/>
      </c>
      <c r="J199">
        <f>IF(설정!$C$12="","",IFERROR(INDEX('1.산군_붙여넣기'!$A$1:$AZ$1001,ROW(),설정!$C$12)&amp;"",""))</f>
        <v/>
      </c>
      <c r="K199">
        <f>IF(설정!$C$13="","",IFERROR(INDEX('1.산군_붙여넣기'!$A$1:$AZ$1001,ROW(),설정!$C$13)&amp;"",""))</f>
        <v/>
      </c>
      <c r="L199" s="7">
        <f>IF(X199="","",IF(AND(LEN(X199)=8,ISNUMBER(X199*1)),DATE(LEFT(X199,4),MID(X199,5,2),RIGHT(X199,2)),IFERROR(DATEVALUE(SUBSTITUTE(SUBSTITUTE(X199,".","-"),"/","-")),IFERROR(X199*1,""))))</f>
        <v/>
      </c>
      <c r="M199" s="7">
        <f>IF(Y199="","",IF(AND(LEN(Y199)=8,ISNUMBER(Y199*1)),DATE(LEFT(Y199,4),MID(Y199,5,2),RIGHT(Y199,2)),IFERROR(DATEVALUE(SUBSTITUTE(SUBSTITUTE(Y199,".","-"),"/","-")),IFERROR(Y199*1,""))))</f>
        <v/>
      </c>
      <c r="N199">
        <f>IFERROR(LEFT(B199,FIND(" ",B199)-1),B199)</f>
        <v/>
      </c>
      <c r="O199">
        <f>AND(B199&lt;&gt;"",B199&lt;&gt;설정!$B$4,C199&lt;&gt;설정!$B$5)</f>
        <v/>
      </c>
      <c r="P199">
        <f>IF(O199,B199&amp;"|"&amp;C199,"")</f>
        <v/>
      </c>
      <c r="Q199">
        <f>AND(O199,COUNTIF(P200:P$1002,P199)=0)</f>
        <v/>
      </c>
      <c r="R199">
        <f>OR(AND(설정!$A$42&lt;&gt;"",ISNUMBER(SEARCH(설정!$A$42,E199&amp;" "&amp;C199))),AND(설정!$A$43&lt;&gt;"",ISNUMBER(SEARCH(설정!$A$43,E199&amp;" "&amp;C199))),AND(설정!$A$44&lt;&gt;"",ISNUMBER(SEARCH(설정!$A$44,E199&amp;" "&amp;C199))),AND(설정!$A$45&lt;&gt;"",ISNUMBER(SEARCH(설정!$A$45,E199&amp;" "&amp;C199))),AND(설정!$A$46&lt;&gt;"",ISNUMBER(SEARCH(설정!$A$46,E199&amp;" "&amp;C199))),AND(설정!$A$47&lt;&gt;"",ISNUMBER(SEARCH(설정!$A$47,E199&amp;" "&amp;C199))),AND(설정!$A$48&lt;&gt;"",ISNUMBER(SEARCH(설정!$A$48,E199&amp;" "&amp;C199))),AND(설정!$A$49&lt;&gt;"",ISNUMBER(SEARCH(설정!$A$49,E199&amp;" "&amp;C199))),AND(설정!$A$50&lt;&gt;"",ISNUMBER(SEARCH(설정!$A$50,E199&amp;" "&amp;C199))),AND(설정!$A$51&lt;&gt;"",ISNUMBER(SEARCH(설정!$A$51,E199&amp;" "&amp;C199))))</f>
        <v/>
      </c>
      <c r="S199">
        <f>OR(D199="",D199&gt;=설정!$B$19)</f>
        <v/>
      </c>
      <c r="T199">
        <f>AND(Q199,R199,S199)</f>
        <v/>
      </c>
      <c r="U199">
        <f>IF(T199,IF(AND(설정!$A$54&lt;&gt;"",ISNUMBER(SEARCH(설정!$A$54,K199))),설정!$B$54,IF(AND(설정!$A$55&lt;&gt;"",ISNUMBER(SEARCH(설정!$A$55,K199))),설정!$B$55,IF(AND(설정!$A$56&lt;&gt;"",ISNUMBER(SEARCH(설정!$A$56,K199))),설정!$B$56,IF(AND(설정!$A$57&lt;&gt;"",ISNUMBER(SEARCH(설정!$A$57,K199))),설정!$B$57,IF(AND(설정!$A$58&lt;&gt;"",ISNUMBER(SEARCH(설정!$A$58,K199))),설정!$B$58,IF(AND(설정!$A$59&lt;&gt;"",ISNUMBER(SEARCH(설정!$A$59,K199))),설정!$B$59,IF(AND(설정!$A$60&lt;&gt;"",ISNUMBER(SEARCH(설정!$A$60,K199))),설정!$B$60,IF(AND(설정!$A$61&lt;&gt;"",ISNUMBER(SEARCH(설정!$A$61,K199))),설정!$B$61,IF(M199="","설계사","시공사"))))))))),"")</f>
        <v/>
      </c>
      <c r="V199">
        <f>SUBSTITUTE(SUBSTITUTE(SUBSTITUTE(SUBSTITUTE(G199,"(주)",""),"㈜",""),"주식회사","")," ","")</f>
        <v/>
      </c>
      <c r="W199">
        <f>IF(AND(T199,V199&lt;&gt;""),IF(COUNTIFS(V$2:V199,V199,T$2:T199,TRUE)=1,MAX(W$1:W198)+1,""),"")</f>
        <v/>
      </c>
      <c r="X199">
        <f>IF(설정!$C$14="","",IFERROR(INDEX('1.산군_붙여넣기'!$A$1:$AZ$1001,ROW(),설정!$C$14)&amp;"",""))</f>
        <v/>
      </c>
      <c r="Y199">
        <f>IF(설정!$C$15="","",IFERROR(INDEX('1.산군_붙여넣기'!$A$1:$AZ$1001,ROW(),설정!$C$15)&amp;"",""))</f>
        <v/>
      </c>
      <c r="Z199">
        <f>IF(T199,V199&amp;"|"&amp;U199,"")</f>
        <v/>
      </c>
      <c r="AA199">
        <f>IF(NOT(Q199),"",IF(NOT(AND(R199,S199)),"✕",IF(OR(OR(AND(L199&lt;&gt;"",M199&lt;&gt;"",N(M199)-N(L199)&gt;설정!$B$27),AND(L199&lt;&gt;"",M199="",설정!$B$24-N(L199)&gt;설정!$B$27)),AND(D199&lt;&gt;"",D199&lt;설정!$B$26)),"△","★")))</f>
        <v/>
      </c>
      <c r="AB199">
        <f>IF(NOT(T199),"",IF(U199="설계사",설정!$B$31,IF(U199="시공사",IF(OR(M199="",설정!$B$24-N(M199)&lt;=설정!$B$28*30.4),설정!$B$32,설정!$B$33),설정!$B$34))+IF(AA199="★",설정!$B$35,0))</f>
        <v/>
      </c>
      <c r="AC199">
        <f>SUBSTITUTE(SUBSTITUTE(SUBSTITUTE(SUBSTITUTE(H199,"(주)",""),"㈜",""),"주식회사","")," ","")</f>
        <v/>
      </c>
      <c r="AD199">
        <f>IF(AND(T199,AC199&lt;&gt;""),IF(COUNTIFS(AC$2:AC199,AC199,T$2:T199,TRUE)=1,MAX(AD$1:AD198)+1,""),"")</f>
        <v/>
      </c>
    </row>
    <row r="200">
      <c r="A200">
        <f>ROW()</f>
        <v/>
      </c>
      <c r="B200">
        <f>IF(설정!$C$4="","",IFERROR(INDEX('1.산군_붙여넣기'!$A$1:$AZ$1001,ROW(),설정!$C$4)&amp;"",""))</f>
        <v/>
      </c>
      <c r="C200">
        <f>IF(설정!$C$5="","",IFERROR(INDEX('1.산군_붙여넣기'!$A$1:$AZ$1001,ROW(),설정!$C$5)&amp;"",""))</f>
        <v/>
      </c>
      <c r="D200" s="5">
        <f>IFERROR(VALUE(SUBSTITUTE(SUBSTITUTE(SUBSTITUTE(IF(설정!$C$6="","",IFERROR(INDEX('1.산군_붙여넣기'!$A$1:$AZ$1001,ROW(),설정!$C$6)&amp;"","")),",",""),"㎡",""),"m2","")),"")</f>
        <v/>
      </c>
      <c r="E200">
        <f>IF(설정!$C$7="","",IFERROR(INDEX('1.산군_붙여넣기'!$A$1:$AZ$1001,ROW(),설정!$C$7)&amp;"",""))</f>
        <v/>
      </c>
      <c r="F200">
        <f>IF(설정!$C$8="","",IFERROR(INDEX('1.산군_붙여넣기'!$A$1:$AZ$1001,ROW(),설정!$C$8)&amp;"",""))</f>
        <v/>
      </c>
      <c r="G200">
        <f>IF(설정!$C$9="","",IFERROR(INDEX('1.산군_붙여넣기'!$A$1:$AZ$1001,ROW(),설정!$C$9)&amp;"",""))</f>
        <v/>
      </c>
      <c r="H200">
        <f>IF(설정!$C$10="","",IFERROR(INDEX('1.산군_붙여넣기'!$A$1:$AZ$1001,ROW(),설정!$C$10)&amp;"",""))</f>
        <v/>
      </c>
      <c r="I200">
        <f>IF(설정!$C$11="","",IFERROR(INDEX('1.산군_붙여넣기'!$A$1:$AZ$1001,ROW(),설정!$C$11)&amp;"",""))</f>
        <v/>
      </c>
      <c r="J200">
        <f>IF(설정!$C$12="","",IFERROR(INDEX('1.산군_붙여넣기'!$A$1:$AZ$1001,ROW(),설정!$C$12)&amp;"",""))</f>
        <v/>
      </c>
      <c r="K200">
        <f>IF(설정!$C$13="","",IFERROR(INDEX('1.산군_붙여넣기'!$A$1:$AZ$1001,ROW(),설정!$C$13)&amp;"",""))</f>
        <v/>
      </c>
      <c r="L200" s="7">
        <f>IF(X200="","",IF(AND(LEN(X200)=8,ISNUMBER(X200*1)),DATE(LEFT(X200,4),MID(X200,5,2),RIGHT(X200,2)),IFERROR(DATEVALUE(SUBSTITUTE(SUBSTITUTE(X200,".","-"),"/","-")),IFERROR(X200*1,""))))</f>
        <v/>
      </c>
      <c r="M200" s="7">
        <f>IF(Y200="","",IF(AND(LEN(Y200)=8,ISNUMBER(Y200*1)),DATE(LEFT(Y200,4),MID(Y200,5,2),RIGHT(Y200,2)),IFERROR(DATEVALUE(SUBSTITUTE(SUBSTITUTE(Y200,".","-"),"/","-")),IFERROR(Y200*1,""))))</f>
        <v/>
      </c>
      <c r="N200">
        <f>IFERROR(LEFT(B200,FIND(" ",B200)-1),B200)</f>
        <v/>
      </c>
      <c r="O200">
        <f>AND(B200&lt;&gt;"",B200&lt;&gt;설정!$B$4,C200&lt;&gt;설정!$B$5)</f>
        <v/>
      </c>
      <c r="P200">
        <f>IF(O200,B200&amp;"|"&amp;C200,"")</f>
        <v/>
      </c>
      <c r="Q200">
        <f>AND(O200,COUNTIF(P201:P$1002,P200)=0)</f>
        <v/>
      </c>
      <c r="R200">
        <f>OR(AND(설정!$A$42&lt;&gt;"",ISNUMBER(SEARCH(설정!$A$42,E200&amp;" "&amp;C200))),AND(설정!$A$43&lt;&gt;"",ISNUMBER(SEARCH(설정!$A$43,E200&amp;" "&amp;C200))),AND(설정!$A$44&lt;&gt;"",ISNUMBER(SEARCH(설정!$A$44,E200&amp;" "&amp;C200))),AND(설정!$A$45&lt;&gt;"",ISNUMBER(SEARCH(설정!$A$45,E200&amp;" "&amp;C200))),AND(설정!$A$46&lt;&gt;"",ISNUMBER(SEARCH(설정!$A$46,E200&amp;" "&amp;C200))),AND(설정!$A$47&lt;&gt;"",ISNUMBER(SEARCH(설정!$A$47,E200&amp;" "&amp;C200))),AND(설정!$A$48&lt;&gt;"",ISNUMBER(SEARCH(설정!$A$48,E200&amp;" "&amp;C200))),AND(설정!$A$49&lt;&gt;"",ISNUMBER(SEARCH(설정!$A$49,E200&amp;" "&amp;C200))),AND(설정!$A$50&lt;&gt;"",ISNUMBER(SEARCH(설정!$A$50,E200&amp;" "&amp;C200))),AND(설정!$A$51&lt;&gt;"",ISNUMBER(SEARCH(설정!$A$51,E200&amp;" "&amp;C200))))</f>
        <v/>
      </c>
      <c r="S200">
        <f>OR(D200="",D200&gt;=설정!$B$19)</f>
        <v/>
      </c>
      <c r="T200">
        <f>AND(Q200,R200,S200)</f>
        <v/>
      </c>
      <c r="U200">
        <f>IF(T200,IF(AND(설정!$A$54&lt;&gt;"",ISNUMBER(SEARCH(설정!$A$54,K200))),설정!$B$54,IF(AND(설정!$A$55&lt;&gt;"",ISNUMBER(SEARCH(설정!$A$55,K200))),설정!$B$55,IF(AND(설정!$A$56&lt;&gt;"",ISNUMBER(SEARCH(설정!$A$56,K200))),설정!$B$56,IF(AND(설정!$A$57&lt;&gt;"",ISNUMBER(SEARCH(설정!$A$57,K200))),설정!$B$57,IF(AND(설정!$A$58&lt;&gt;"",ISNUMBER(SEARCH(설정!$A$58,K200))),설정!$B$58,IF(AND(설정!$A$59&lt;&gt;"",ISNUMBER(SEARCH(설정!$A$59,K200))),설정!$B$59,IF(AND(설정!$A$60&lt;&gt;"",ISNUMBER(SEARCH(설정!$A$60,K200))),설정!$B$60,IF(AND(설정!$A$61&lt;&gt;"",ISNUMBER(SEARCH(설정!$A$61,K200))),설정!$B$61,IF(M200="","설계사","시공사"))))))))),"")</f>
        <v/>
      </c>
      <c r="V200">
        <f>SUBSTITUTE(SUBSTITUTE(SUBSTITUTE(SUBSTITUTE(G200,"(주)",""),"㈜",""),"주식회사","")," ","")</f>
        <v/>
      </c>
      <c r="W200">
        <f>IF(AND(T200,V200&lt;&gt;""),IF(COUNTIFS(V$2:V200,V200,T$2:T200,TRUE)=1,MAX(W$1:W199)+1,""),"")</f>
        <v/>
      </c>
      <c r="X200">
        <f>IF(설정!$C$14="","",IFERROR(INDEX('1.산군_붙여넣기'!$A$1:$AZ$1001,ROW(),설정!$C$14)&amp;"",""))</f>
        <v/>
      </c>
      <c r="Y200">
        <f>IF(설정!$C$15="","",IFERROR(INDEX('1.산군_붙여넣기'!$A$1:$AZ$1001,ROW(),설정!$C$15)&amp;"",""))</f>
        <v/>
      </c>
      <c r="Z200">
        <f>IF(T200,V200&amp;"|"&amp;U200,"")</f>
        <v/>
      </c>
      <c r="AA200">
        <f>IF(NOT(Q200),"",IF(NOT(AND(R200,S200)),"✕",IF(OR(OR(AND(L200&lt;&gt;"",M200&lt;&gt;"",N(M200)-N(L200)&gt;설정!$B$27),AND(L200&lt;&gt;"",M200="",설정!$B$24-N(L200)&gt;설정!$B$27)),AND(D200&lt;&gt;"",D200&lt;설정!$B$26)),"△","★")))</f>
        <v/>
      </c>
      <c r="AB200">
        <f>IF(NOT(T200),"",IF(U200="설계사",설정!$B$31,IF(U200="시공사",IF(OR(M200="",설정!$B$24-N(M200)&lt;=설정!$B$28*30.4),설정!$B$32,설정!$B$33),설정!$B$34))+IF(AA200="★",설정!$B$35,0))</f>
        <v/>
      </c>
      <c r="AC200">
        <f>SUBSTITUTE(SUBSTITUTE(SUBSTITUTE(SUBSTITUTE(H200,"(주)",""),"㈜",""),"주식회사","")," ","")</f>
        <v/>
      </c>
      <c r="AD200">
        <f>IF(AND(T200,AC200&lt;&gt;""),IF(COUNTIFS(AC$2:AC200,AC200,T$2:T200,TRUE)=1,MAX(AD$1:AD199)+1,""),"")</f>
        <v/>
      </c>
    </row>
    <row r="201">
      <c r="A201">
        <f>ROW()</f>
        <v/>
      </c>
      <c r="B201">
        <f>IF(설정!$C$4="","",IFERROR(INDEX('1.산군_붙여넣기'!$A$1:$AZ$1001,ROW(),설정!$C$4)&amp;"",""))</f>
        <v/>
      </c>
      <c r="C201">
        <f>IF(설정!$C$5="","",IFERROR(INDEX('1.산군_붙여넣기'!$A$1:$AZ$1001,ROW(),설정!$C$5)&amp;"",""))</f>
        <v/>
      </c>
      <c r="D201" s="5">
        <f>IFERROR(VALUE(SUBSTITUTE(SUBSTITUTE(SUBSTITUTE(IF(설정!$C$6="","",IFERROR(INDEX('1.산군_붙여넣기'!$A$1:$AZ$1001,ROW(),설정!$C$6)&amp;"","")),",",""),"㎡",""),"m2","")),"")</f>
        <v/>
      </c>
      <c r="E201">
        <f>IF(설정!$C$7="","",IFERROR(INDEX('1.산군_붙여넣기'!$A$1:$AZ$1001,ROW(),설정!$C$7)&amp;"",""))</f>
        <v/>
      </c>
      <c r="F201">
        <f>IF(설정!$C$8="","",IFERROR(INDEX('1.산군_붙여넣기'!$A$1:$AZ$1001,ROW(),설정!$C$8)&amp;"",""))</f>
        <v/>
      </c>
      <c r="G201">
        <f>IF(설정!$C$9="","",IFERROR(INDEX('1.산군_붙여넣기'!$A$1:$AZ$1001,ROW(),설정!$C$9)&amp;"",""))</f>
        <v/>
      </c>
      <c r="H201">
        <f>IF(설정!$C$10="","",IFERROR(INDEX('1.산군_붙여넣기'!$A$1:$AZ$1001,ROW(),설정!$C$10)&amp;"",""))</f>
        <v/>
      </c>
      <c r="I201">
        <f>IF(설정!$C$11="","",IFERROR(INDEX('1.산군_붙여넣기'!$A$1:$AZ$1001,ROW(),설정!$C$11)&amp;"",""))</f>
        <v/>
      </c>
      <c r="J201">
        <f>IF(설정!$C$12="","",IFERROR(INDEX('1.산군_붙여넣기'!$A$1:$AZ$1001,ROW(),설정!$C$12)&amp;"",""))</f>
        <v/>
      </c>
      <c r="K201">
        <f>IF(설정!$C$13="","",IFERROR(INDEX('1.산군_붙여넣기'!$A$1:$AZ$1001,ROW(),설정!$C$13)&amp;"",""))</f>
        <v/>
      </c>
      <c r="L201" s="7">
        <f>IF(X201="","",IF(AND(LEN(X201)=8,ISNUMBER(X201*1)),DATE(LEFT(X201,4),MID(X201,5,2),RIGHT(X201,2)),IFERROR(DATEVALUE(SUBSTITUTE(SUBSTITUTE(X201,".","-"),"/","-")),IFERROR(X201*1,""))))</f>
        <v/>
      </c>
      <c r="M201" s="7">
        <f>IF(Y201="","",IF(AND(LEN(Y201)=8,ISNUMBER(Y201*1)),DATE(LEFT(Y201,4),MID(Y201,5,2),RIGHT(Y201,2)),IFERROR(DATEVALUE(SUBSTITUTE(SUBSTITUTE(Y201,".","-"),"/","-")),IFERROR(Y201*1,""))))</f>
        <v/>
      </c>
      <c r="N201">
        <f>IFERROR(LEFT(B201,FIND(" ",B201)-1),B201)</f>
        <v/>
      </c>
      <c r="O201">
        <f>AND(B201&lt;&gt;"",B201&lt;&gt;설정!$B$4,C201&lt;&gt;설정!$B$5)</f>
        <v/>
      </c>
      <c r="P201">
        <f>IF(O201,B201&amp;"|"&amp;C201,"")</f>
        <v/>
      </c>
      <c r="Q201">
        <f>AND(O201,COUNTIF(P202:P$1002,P201)=0)</f>
        <v/>
      </c>
      <c r="R201">
        <f>OR(AND(설정!$A$42&lt;&gt;"",ISNUMBER(SEARCH(설정!$A$42,E201&amp;" "&amp;C201))),AND(설정!$A$43&lt;&gt;"",ISNUMBER(SEARCH(설정!$A$43,E201&amp;" "&amp;C201))),AND(설정!$A$44&lt;&gt;"",ISNUMBER(SEARCH(설정!$A$44,E201&amp;" "&amp;C201))),AND(설정!$A$45&lt;&gt;"",ISNUMBER(SEARCH(설정!$A$45,E201&amp;" "&amp;C201))),AND(설정!$A$46&lt;&gt;"",ISNUMBER(SEARCH(설정!$A$46,E201&amp;" "&amp;C201))),AND(설정!$A$47&lt;&gt;"",ISNUMBER(SEARCH(설정!$A$47,E201&amp;" "&amp;C201))),AND(설정!$A$48&lt;&gt;"",ISNUMBER(SEARCH(설정!$A$48,E201&amp;" "&amp;C201))),AND(설정!$A$49&lt;&gt;"",ISNUMBER(SEARCH(설정!$A$49,E201&amp;" "&amp;C201))),AND(설정!$A$50&lt;&gt;"",ISNUMBER(SEARCH(설정!$A$50,E201&amp;" "&amp;C201))),AND(설정!$A$51&lt;&gt;"",ISNUMBER(SEARCH(설정!$A$51,E201&amp;" "&amp;C201))))</f>
        <v/>
      </c>
      <c r="S201">
        <f>OR(D201="",D201&gt;=설정!$B$19)</f>
        <v/>
      </c>
      <c r="T201">
        <f>AND(Q201,R201,S201)</f>
        <v/>
      </c>
      <c r="U201">
        <f>IF(T201,IF(AND(설정!$A$54&lt;&gt;"",ISNUMBER(SEARCH(설정!$A$54,K201))),설정!$B$54,IF(AND(설정!$A$55&lt;&gt;"",ISNUMBER(SEARCH(설정!$A$55,K201))),설정!$B$55,IF(AND(설정!$A$56&lt;&gt;"",ISNUMBER(SEARCH(설정!$A$56,K201))),설정!$B$56,IF(AND(설정!$A$57&lt;&gt;"",ISNUMBER(SEARCH(설정!$A$57,K201))),설정!$B$57,IF(AND(설정!$A$58&lt;&gt;"",ISNUMBER(SEARCH(설정!$A$58,K201))),설정!$B$58,IF(AND(설정!$A$59&lt;&gt;"",ISNUMBER(SEARCH(설정!$A$59,K201))),설정!$B$59,IF(AND(설정!$A$60&lt;&gt;"",ISNUMBER(SEARCH(설정!$A$60,K201))),설정!$B$60,IF(AND(설정!$A$61&lt;&gt;"",ISNUMBER(SEARCH(설정!$A$61,K201))),설정!$B$61,IF(M201="","설계사","시공사"))))))))),"")</f>
        <v/>
      </c>
      <c r="V201">
        <f>SUBSTITUTE(SUBSTITUTE(SUBSTITUTE(SUBSTITUTE(G201,"(주)",""),"㈜",""),"주식회사","")," ","")</f>
        <v/>
      </c>
      <c r="W201">
        <f>IF(AND(T201,V201&lt;&gt;""),IF(COUNTIFS(V$2:V201,V201,T$2:T201,TRUE)=1,MAX(W$1:W200)+1,""),"")</f>
        <v/>
      </c>
      <c r="X201">
        <f>IF(설정!$C$14="","",IFERROR(INDEX('1.산군_붙여넣기'!$A$1:$AZ$1001,ROW(),설정!$C$14)&amp;"",""))</f>
        <v/>
      </c>
      <c r="Y201">
        <f>IF(설정!$C$15="","",IFERROR(INDEX('1.산군_붙여넣기'!$A$1:$AZ$1001,ROW(),설정!$C$15)&amp;"",""))</f>
        <v/>
      </c>
      <c r="Z201">
        <f>IF(T201,V201&amp;"|"&amp;U201,"")</f>
        <v/>
      </c>
      <c r="AA201">
        <f>IF(NOT(Q201),"",IF(NOT(AND(R201,S201)),"✕",IF(OR(OR(AND(L201&lt;&gt;"",M201&lt;&gt;"",N(M201)-N(L201)&gt;설정!$B$27),AND(L201&lt;&gt;"",M201="",설정!$B$24-N(L201)&gt;설정!$B$27)),AND(D201&lt;&gt;"",D201&lt;설정!$B$26)),"△","★")))</f>
        <v/>
      </c>
      <c r="AB201">
        <f>IF(NOT(T201),"",IF(U201="설계사",설정!$B$31,IF(U201="시공사",IF(OR(M201="",설정!$B$24-N(M201)&lt;=설정!$B$28*30.4),설정!$B$32,설정!$B$33),설정!$B$34))+IF(AA201="★",설정!$B$35,0))</f>
        <v/>
      </c>
      <c r="AC201">
        <f>SUBSTITUTE(SUBSTITUTE(SUBSTITUTE(SUBSTITUTE(H201,"(주)",""),"㈜",""),"주식회사","")," ","")</f>
        <v/>
      </c>
      <c r="AD201">
        <f>IF(AND(T201,AC201&lt;&gt;""),IF(COUNTIFS(AC$2:AC201,AC201,T$2:T201,TRUE)=1,MAX(AD$1:AD200)+1,""),"")</f>
        <v/>
      </c>
    </row>
    <row r="202">
      <c r="A202">
        <f>ROW()</f>
        <v/>
      </c>
      <c r="B202">
        <f>IF(설정!$C$4="","",IFERROR(INDEX('1.산군_붙여넣기'!$A$1:$AZ$1001,ROW(),설정!$C$4)&amp;"",""))</f>
        <v/>
      </c>
      <c r="C202">
        <f>IF(설정!$C$5="","",IFERROR(INDEX('1.산군_붙여넣기'!$A$1:$AZ$1001,ROW(),설정!$C$5)&amp;"",""))</f>
        <v/>
      </c>
      <c r="D202" s="5">
        <f>IFERROR(VALUE(SUBSTITUTE(SUBSTITUTE(SUBSTITUTE(IF(설정!$C$6="","",IFERROR(INDEX('1.산군_붙여넣기'!$A$1:$AZ$1001,ROW(),설정!$C$6)&amp;"","")),",",""),"㎡",""),"m2","")),"")</f>
        <v/>
      </c>
      <c r="E202">
        <f>IF(설정!$C$7="","",IFERROR(INDEX('1.산군_붙여넣기'!$A$1:$AZ$1001,ROW(),설정!$C$7)&amp;"",""))</f>
        <v/>
      </c>
      <c r="F202">
        <f>IF(설정!$C$8="","",IFERROR(INDEX('1.산군_붙여넣기'!$A$1:$AZ$1001,ROW(),설정!$C$8)&amp;"",""))</f>
        <v/>
      </c>
      <c r="G202">
        <f>IF(설정!$C$9="","",IFERROR(INDEX('1.산군_붙여넣기'!$A$1:$AZ$1001,ROW(),설정!$C$9)&amp;"",""))</f>
        <v/>
      </c>
      <c r="H202">
        <f>IF(설정!$C$10="","",IFERROR(INDEX('1.산군_붙여넣기'!$A$1:$AZ$1001,ROW(),설정!$C$10)&amp;"",""))</f>
        <v/>
      </c>
      <c r="I202">
        <f>IF(설정!$C$11="","",IFERROR(INDEX('1.산군_붙여넣기'!$A$1:$AZ$1001,ROW(),설정!$C$11)&amp;"",""))</f>
        <v/>
      </c>
      <c r="J202">
        <f>IF(설정!$C$12="","",IFERROR(INDEX('1.산군_붙여넣기'!$A$1:$AZ$1001,ROW(),설정!$C$12)&amp;"",""))</f>
        <v/>
      </c>
      <c r="K202">
        <f>IF(설정!$C$13="","",IFERROR(INDEX('1.산군_붙여넣기'!$A$1:$AZ$1001,ROW(),설정!$C$13)&amp;"",""))</f>
        <v/>
      </c>
      <c r="L202" s="7">
        <f>IF(X202="","",IF(AND(LEN(X202)=8,ISNUMBER(X202*1)),DATE(LEFT(X202,4),MID(X202,5,2),RIGHT(X202,2)),IFERROR(DATEVALUE(SUBSTITUTE(SUBSTITUTE(X202,".","-"),"/","-")),IFERROR(X202*1,""))))</f>
        <v/>
      </c>
      <c r="M202" s="7">
        <f>IF(Y202="","",IF(AND(LEN(Y202)=8,ISNUMBER(Y202*1)),DATE(LEFT(Y202,4),MID(Y202,5,2),RIGHT(Y202,2)),IFERROR(DATEVALUE(SUBSTITUTE(SUBSTITUTE(Y202,".","-"),"/","-")),IFERROR(Y202*1,""))))</f>
        <v/>
      </c>
      <c r="N202">
        <f>IFERROR(LEFT(B202,FIND(" ",B202)-1),B202)</f>
        <v/>
      </c>
      <c r="O202">
        <f>AND(B202&lt;&gt;"",B202&lt;&gt;설정!$B$4,C202&lt;&gt;설정!$B$5)</f>
        <v/>
      </c>
      <c r="P202">
        <f>IF(O202,B202&amp;"|"&amp;C202,"")</f>
        <v/>
      </c>
      <c r="Q202">
        <f>AND(O202,COUNTIF(P203:P$1002,P202)=0)</f>
        <v/>
      </c>
      <c r="R202">
        <f>OR(AND(설정!$A$42&lt;&gt;"",ISNUMBER(SEARCH(설정!$A$42,E202&amp;" "&amp;C202))),AND(설정!$A$43&lt;&gt;"",ISNUMBER(SEARCH(설정!$A$43,E202&amp;" "&amp;C202))),AND(설정!$A$44&lt;&gt;"",ISNUMBER(SEARCH(설정!$A$44,E202&amp;" "&amp;C202))),AND(설정!$A$45&lt;&gt;"",ISNUMBER(SEARCH(설정!$A$45,E202&amp;" "&amp;C202))),AND(설정!$A$46&lt;&gt;"",ISNUMBER(SEARCH(설정!$A$46,E202&amp;" "&amp;C202))),AND(설정!$A$47&lt;&gt;"",ISNUMBER(SEARCH(설정!$A$47,E202&amp;" "&amp;C202))),AND(설정!$A$48&lt;&gt;"",ISNUMBER(SEARCH(설정!$A$48,E202&amp;" "&amp;C202))),AND(설정!$A$49&lt;&gt;"",ISNUMBER(SEARCH(설정!$A$49,E202&amp;" "&amp;C202))),AND(설정!$A$50&lt;&gt;"",ISNUMBER(SEARCH(설정!$A$50,E202&amp;" "&amp;C202))),AND(설정!$A$51&lt;&gt;"",ISNUMBER(SEARCH(설정!$A$51,E202&amp;" "&amp;C202))))</f>
        <v/>
      </c>
      <c r="S202">
        <f>OR(D202="",D202&gt;=설정!$B$19)</f>
        <v/>
      </c>
      <c r="T202">
        <f>AND(Q202,R202,S202)</f>
        <v/>
      </c>
      <c r="U202">
        <f>IF(T202,IF(AND(설정!$A$54&lt;&gt;"",ISNUMBER(SEARCH(설정!$A$54,K202))),설정!$B$54,IF(AND(설정!$A$55&lt;&gt;"",ISNUMBER(SEARCH(설정!$A$55,K202))),설정!$B$55,IF(AND(설정!$A$56&lt;&gt;"",ISNUMBER(SEARCH(설정!$A$56,K202))),설정!$B$56,IF(AND(설정!$A$57&lt;&gt;"",ISNUMBER(SEARCH(설정!$A$57,K202))),설정!$B$57,IF(AND(설정!$A$58&lt;&gt;"",ISNUMBER(SEARCH(설정!$A$58,K202))),설정!$B$58,IF(AND(설정!$A$59&lt;&gt;"",ISNUMBER(SEARCH(설정!$A$59,K202))),설정!$B$59,IF(AND(설정!$A$60&lt;&gt;"",ISNUMBER(SEARCH(설정!$A$60,K202))),설정!$B$60,IF(AND(설정!$A$61&lt;&gt;"",ISNUMBER(SEARCH(설정!$A$61,K202))),설정!$B$61,IF(M202="","설계사","시공사"))))))))),"")</f>
        <v/>
      </c>
      <c r="V202">
        <f>SUBSTITUTE(SUBSTITUTE(SUBSTITUTE(SUBSTITUTE(G202,"(주)",""),"㈜",""),"주식회사","")," ","")</f>
        <v/>
      </c>
      <c r="W202">
        <f>IF(AND(T202,V202&lt;&gt;""),IF(COUNTIFS(V$2:V202,V202,T$2:T202,TRUE)=1,MAX(W$1:W201)+1,""),"")</f>
        <v/>
      </c>
      <c r="X202">
        <f>IF(설정!$C$14="","",IFERROR(INDEX('1.산군_붙여넣기'!$A$1:$AZ$1001,ROW(),설정!$C$14)&amp;"",""))</f>
        <v/>
      </c>
      <c r="Y202">
        <f>IF(설정!$C$15="","",IFERROR(INDEX('1.산군_붙여넣기'!$A$1:$AZ$1001,ROW(),설정!$C$15)&amp;"",""))</f>
        <v/>
      </c>
      <c r="Z202">
        <f>IF(T202,V202&amp;"|"&amp;U202,"")</f>
        <v/>
      </c>
      <c r="AA202">
        <f>IF(NOT(Q202),"",IF(NOT(AND(R202,S202)),"✕",IF(OR(OR(AND(L202&lt;&gt;"",M202&lt;&gt;"",N(M202)-N(L202)&gt;설정!$B$27),AND(L202&lt;&gt;"",M202="",설정!$B$24-N(L202)&gt;설정!$B$27)),AND(D202&lt;&gt;"",D202&lt;설정!$B$26)),"△","★")))</f>
        <v/>
      </c>
      <c r="AB202">
        <f>IF(NOT(T202),"",IF(U202="설계사",설정!$B$31,IF(U202="시공사",IF(OR(M202="",설정!$B$24-N(M202)&lt;=설정!$B$28*30.4),설정!$B$32,설정!$B$33),설정!$B$34))+IF(AA202="★",설정!$B$35,0))</f>
        <v/>
      </c>
      <c r="AC202">
        <f>SUBSTITUTE(SUBSTITUTE(SUBSTITUTE(SUBSTITUTE(H202,"(주)",""),"㈜",""),"주식회사","")," ","")</f>
        <v/>
      </c>
      <c r="AD202">
        <f>IF(AND(T202,AC202&lt;&gt;""),IF(COUNTIFS(AC$2:AC202,AC202,T$2:T202,TRUE)=1,MAX(AD$1:AD201)+1,""),"")</f>
        <v/>
      </c>
    </row>
    <row r="203">
      <c r="A203">
        <f>ROW()</f>
        <v/>
      </c>
      <c r="B203">
        <f>IF(설정!$C$4="","",IFERROR(INDEX('1.산군_붙여넣기'!$A$1:$AZ$1001,ROW(),설정!$C$4)&amp;"",""))</f>
        <v/>
      </c>
      <c r="C203">
        <f>IF(설정!$C$5="","",IFERROR(INDEX('1.산군_붙여넣기'!$A$1:$AZ$1001,ROW(),설정!$C$5)&amp;"",""))</f>
        <v/>
      </c>
      <c r="D203" s="5">
        <f>IFERROR(VALUE(SUBSTITUTE(SUBSTITUTE(SUBSTITUTE(IF(설정!$C$6="","",IFERROR(INDEX('1.산군_붙여넣기'!$A$1:$AZ$1001,ROW(),설정!$C$6)&amp;"","")),",",""),"㎡",""),"m2","")),"")</f>
        <v/>
      </c>
      <c r="E203">
        <f>IF(설정!$C$7="","",IFERROR(INDEX('1.산군_붙여넣기'!$A$1:$AZ$1001,ROW(),설정!$C$7)&amp;"",""))</f>
        <v/>
      </c>
      <c r="F203">
        <f>IF(설정!$C$8="","",IFERROR(INDEX('1.산군_붙여넣기'!$A$1:$AZ$1001,ROW(),설정!$C$8)&amp;"",""))</f>
        <v/>
      </c>
      <c r="G203">
        <f>IF(설정!$C$9="","",IFERROR(INDEX('1.산군_붙여넣기'!$A$1:$AZ$1001,ROW(),설정!$C$9)&amp;"",""))</f>
        <v/>
      </c>
      <c r="H203">
        <f>IF(설정!$C$10="","",IFERROR(INDEX('1.산군_붙여넣기'!$A$1:$AZ$1001,ROW(),설정!$C$10)&amp;"",""))</f>
        <v/>
      </c>
      <c r="I203">
        <f>IF(설정!$C$11="","",IFERROR(INDEX('1.산군_붙여넣기'!$A$1:$AZ$1001,ROW(),설정!$C$11)&amp;"",""))</f>
        <v/>
      </c>
      <c r="J203">
        <f>IF(설정!$C$12="","",IFERROR(INDEX('1.산군_붙여넣기'!$A$1:$AZ$1001,ROW(),설정!$C$12)&amp;"",""))</f>
        <v/>
      </c>
      <c r="K203">
        <f>IF(설정!$C$13="","",IFERROR(INDEX('1.산군_붙여넣기'!$A$1:$AZ$1001,ROW(),설정!$C$13)&amp;"",""))</f>
        <v/>
      </c>
      <c r="L203" s="7">
        <f>IF(X203="","",IF(AND(LEN(X203)=8,ISNUMBER(X203*1)),DATE(LEFT(X203,4),MID(X203,5,2),RIGHT(X203,2)),IFERROR(DATEVALUE(SUBSTITUTE(SUBSTITUTE(X203,".","-"),"/","-")),IFERROR(X203*1,""))))</f>
        <v/>
      </c>
      <c r="M203" s="7">
        <f>IF(Y203="","",IF(AND(LEN(Y203)=8,ISNUMBER(Y203*1)),DATE(LEFT(Y203,4),MID(Y203,5,2),RIGHT(Y203,2)),IFERROR(DATEVALUE(SUBSTITUTE(SUBSTITUTE(Y203,".","-"),"/","-")),IFERROR(Y203*1,""))))</f>
        <v/>
      </c>
      <c r="N203">
        <f>IFERROR(LEFT(B203,FIND(" ",B203)-1),B203)</f>
        <v/>
      </c>
      <c r="O203">
        <f>AND(B203&lt;&gt;"",B203&lt;&gt;설정!$B$4,C203&lt;&gt;설정!$B$5)</f>
        <v/>
      </c>
      <c r="P203">
        <f>IF(O203,B203&amp;"|"&amp;C203,"")</f>
        <v/>
      </c>
      <c r="Q203">
        <f>AND(O203,COUNTIF(P204:P$1002,P203)=0)</f>
        <v/>
      </c>
      <c r="R203">
        <f>OR(AND(설정!$A$42&lt;&gt;"",ISNUMBER(SEARCH(설정!$A$42,E203&amp;" "&amp;C203))),AND(설정!$A$43&lt;&gt;"",ISNUMBER(SEARCH(설정!$A$43,E203&amp;" "&amp;C203))),AND(설정!$A$44&lt;&gt;"",ISNUMBER(SEARCH(설정!$A$44,E203&amp;" "&amp;C203))),AND(설정!$A$45&lt;&gt;"",ISNUMBER(SEARCH(설정!$A$45,E203&amp;" "&amp;C203))),AND(설정!$A$46&lt;&gt;"",ISNUMBER(SEARCH(설정!$A$46,E203&amp;" "&amp;C203))),AND(설정!$A$47&lt;&gt;"",ISNUMBER(SEARCH(설정!$A$47,E203&amp;" "&amp;C203))),AND(설정!$A$48&lt;&gt;"",ISNUMBER(SEARCH(설정!$A$48,E203&amp;" "&amp;C203))),AND(설정!$A$49&lt;&gt;"",ISNUMBER(SEARCH(설정!$A$49,E203&amp;" "&amp;C203))),AND(설정!$A$50&lt;&gt;"",ISNUMBER(SEARCH(설정!$A$50,E203&amp;" "&amp;C203))),AND(설정!$A$51&lt;&gt;"",ISNUMBER(SEARCH(설정!$A$51,E203&amp;" "&amp;C203))))</f>
        <v/>
      </c>
      <c r="S203">
        <f>OR(D203="",D203&gt;=설정!$B$19)</f>
        <v/>
      </c>
      <c r="T203">
        <f>AND(Q203,R203,S203)</f>
        <v/>
      </c>
      <c r="U203">
        <f>IF(T203,IF(AND(설정!$A$54&lt;&gt;"",ISNUMBER(SEARCH(설정!$A$54,K203))),설정!$B$54,IF(AND(설정!$A$55&lt;&gt;"",ISNUMBER(SEARCH(설정!$A$55,K203))),설정!$B$55,IF(AND(설정!$A$56&lt;&gt;"",ISNUMBER(SEARCH(설정!$A$56,K203))),설정!$B$56,IF(AND(설정!$A$57&lt;&gt;"",ISNUMBER(SEARCH(설정!$A$57,K203))),설정!$B$57,IF(AND(설정!$A$58&lt;&gt;"",ISNUMBER(SEARCH(설정!$A$58,K203))),설정!$B$58,IF(AND(설정!$A$59&lt;&gt;"",ISNUMBER(SEARCH(설정!$A$59,K203))),설정!$B$59,IF(AND(설정!$A$60&lt;&gt;"",ISNUMBER(SEARCH(설정!$A$60,K203))),설정!$B$60,IF(AND(설정!$A$61&lt;&gt;"",ISNUMBER(SEARCH(설정!$A$61,K203))),설정!$B$61,IF(M203="","설계사","시공사"))))))))),"")</f>
        <v/>
      </c>
      <c r="V203">
        <f>SUBSTITUTE(SUBSTITUTE(SUBSTITUTE(SUBSTITUTE(G203,"(주)",""),"㈜",""),"주식회사","")," ","")</f>
        <v/>
      </c>
      <c r="W203">
        <f>IF(AND(T203,V203&lt;&gt;""),IF(COUNTIFS(V$2:V203,V203,T$2:T203,TRUE)=1,MAX(W$1:W202)+1,""),"")</f>
        <v/>
      </c>
      <c r="X203">
        <f>IF(설정!$C$14="","",IFERROR(INDEX('1.산군_붙여넣기'!$A$1:$AZ$1001,ROW(),설정!$C$14)&amp;"",""))</f>
        <v/>
      </c>
      <c r="Y203">
        <f>IF(설정!$C$15="","",IFERROR(INDEX('1.산군_붙여넣기'!$A$1:$AZ$1001,ROW(),설정!$C$15)&amp;"",""))</f>
        <v/>
      </c>
      <c r="Z203">
        <f>IF(T203,V203&amp;"|"&amp;U203,"")</f>
        <v/>
      </c>
      <c r="AA203">
        <f>IF(NOT(Q203),"",IF(NOT(AND(R203,S203)),"✕",IF(OR(OR(AND(L203&lt;&gt;"",M203&lt;&gt;"",N(M203)-N(L203)&gt;설정!$B$27),AND(L203&lt;&gt;"",M203="",설정!$B$24-N(L203)&gt;설정!$B$27)),AND(D203&lt;&gt;"",D203&lt;설정!$B$26)),"△","★")))</f>
        <v/>
      </c>
      <c r="AB203">
        <f>IF(NOT(T203),"",IF(U203="설계사",설정!$B$31,IF(U203="시공사",IF(OR(M203="",설정!$B$24-N(M203)&lt;=설정!$B$28*30.4),설정!$B$32,설정!$B$33),설정!$B$34))+IF(AA203="★",설정!$B$35,0))</f>
        <v/>
      </c>
      <c r="AC203">
        <f>SUBSTITUTE(SUBSTITUTE(SUBSTITUTE(SUBSTITUTE(H203,"(주)",""),"㈜",""),"주식회사","")," ","")</f>
        <v/>
      </c>
      <c r="AD203">
        <f>IF(AND(T203,AC203&lt;&gt;""),IF(COUNTIFS(AC$2:AC203,AC203,T$2:T203,TRUE)=1,MAX(AD$1:AD202)+1,""),"")</f>
        <v/>
      </c>
    </row>
    <row r="204">
      <c r="A204">
        <f>ROW()</f>
        <v/>
      </c>
      <c r="B204">
        <f>IF(설정!$C$4="","",IFERROR(INDEX('1.산군_붙여넣기'!$A$1:$AZ$1001,ROW(),설정!$C$4)&amp;"",""))</f>
        <v/>
      </c>
      <c r="C204">
        <f>IF(설정!$C$5="","",IFERROR(INDEX('1.산군_붙여넣기'!$A$1:$AZ$1001,ROW(),설정!$C$5)&amp;"",""))</f>
        <v/>
      </c>
      <c r="D204" s="5">
        <f>IFERROR(VALUE(SUBSTITUTE(SUBSTITUTE(SUBSTITUTE(IF(설정!$C$6="","",IFERROR(INDEX('1.산군_붙여넣기'!$A$1:$AZ$1001,ROW(),설정!$C$6)&amp;"","")),",",""),"㎡",""),"m2","")),"")</f>
        <v/>
      </c>
      <c r="E204">
        <f>IF(설정!$C$7="","",IFERROR(INDEX('1.산군_붙여넣기'!$A$1:$AZ$1001,ROW(),설정!$C$7)&amp;"",""))</f>
        <v/>
      </c>
      <c r="F204">
        <f>IF(설정!$C$8="","",IFERROR(INDEX('1.산군_붙여넣기'!$A$1:$AZ$1001,ROW(),설정!$C$8)&amp;"",""))</f>
        <v/>
      </c>
      <c r="G204">
        <f>IF(설정!$C$9="","",IFERROR(INDEX('1.산군_붙여넣기'!$A$1:$AZ$1001,ROW(),설정!$C$9)&amp;"",""))</f>
        <v/>
      </c>
      <c r="H204">
        <f>IF(설정!$C$10="","",IFERROR(INDEX('1.산군_붙여넣기'!$A$1:$AZ$1001,ROW(),설정!$C$10)&amp;"",""))</f>
        <v/>
      </c>
      <c r="I204">
        <f>IF(설정!$C$11="","",IFERROR(INDEX('1.산군_붙여넣기'!$A$1:$AZ$1001,ROW(),설정!$C$11)&amp;"",""))</f>
        <v/>
      </c>
      <c r="J204">
        <f>IF(설정!$C$12="","",IFERROR(INDEX('1.산군_붙여넣기'!$A$1:$AZ$1001,ROW(),설정!$C$12)&amp;"",""))</f>
        <v/>
      </c>
      <c r="K204">
        <f>IF(설정!$C$13="","",IFERROR(INDEX('1.산군_붙여넣기'!$A$1:$AZ$1001,ROW(),설정!$C$13)&amp;"",""))</f>
        <v/>
      </c>
      <c r="L204" s="7">
        <f>IF(X204="","",IF(AND(LEN(X204)=8,ISNUMBER(X204*1)),DATE(LEFT(X204,4),MID(X204,5,2),RIGHT(X204,2)),IFERROR(DATEVALUE(SUBSTITUTE(SUBSTITUTE(X204,".","-"),"/","-")),IFERROR(X204*1,""))))</f>
        <v/>
      </c>
      <c r="M204" s="7">
        <f>IF(Y204="","",IF(AND(LEN(Y204)=8,ISNUMBER(Y204*1)),DATE(LEFT(Y204,4),MID(Y204,5,2),RIGHT(Y204,2)),IFERROR(DATEVALUE(SUBSTITUTE(SUBSTITUTE(Y204,".","-"),"/","-")),IFERROR(Y204*1,""))))</f>
        <v/>
      </c>
      <c r="N204">
        <f>IFERROR(LEFT(B204,FIND(" ",B204)-1),B204)</f>
        <v/>
      </c>
      <c r="O204">
        <f>AND(B204&lt;&gt;"",B204&lt;&gt;설정!$B$4,C204&lt;&gt;설정!$B$5)</f>
        <v/>
      </c>
      <c r="P204">
        <f>IF(O204,B204&amp;"|"&amp;C204,"")</f>
        <v/>
      </c>
      <c r="Q204">
        <f>AND(O204,COUNTIF(P205:P$1002,P204)=0)</f>
        <v/>
      </c>
      <c r="R204">
        <f>OR(AND(설정!$A$42&lt;&gt;"",ISNUMBER(SEARCH(설정!$A$42,E204&amp;" "&amp;C204))),AND(설정!$A$43&lt;&gt;"",ISNUMBER(SEARCH(설정!$A$43,E204&amp;" "&amp;C204))),AND(설정!$A$44&lt;&gt;"",ISNUMBER(SEARCH(설정!$A$44,E204&amp;" "&amp;C204))),AND(설정!$A$45&lt;&gt;"",ISNUMBER(SEARCH(설정!$A$45,E204&amp;" "&amp;C204))),AND(설정!$A$46&lt;&gt;"",ISNUMBER(SEARCH(설정!$A$46,E204&amp;" "&amp;C204))),AND(설정!$A$47&lt;&gt;"",ISNUMBER(SEARCH(설정!$A$47,E204&amp;" "&amp;C204))),AND(설정!$A$48&lt;&gt;"",ISNUMBER(SEARCH(설정!$A$48,E204&amp;" "&amp;C204))),AND(설정!$A$49&lt;&gt;"",ISNUMBER(SEARCH(설정!$A$49,E204&amp;" "&amp;C204))),AND(설정!$A$50&lt;&gt;"",ISNUMBER(SEARCH(설정!$A$50,E204&amp;" "&amp;C204))),AND(설정!$A$51&lt;&gt;"",ISNUMBER(SEARCH(설정!$A$51,E204&amp;" "&amp;C204))))</f>
        <v/>
      </c>
      <c r="S204">
        <f>OR(D204="",D204&gt;=설정!$B$19)</f>
        <v/>
      </c>
      <c r="T204">
        <f>AND(Q204,R204,S204)</f>
        <v/>
      </c>
      <c r="U204">
        <f>IF(T204,IF(AND(설정!$A$54&lt;&gt;"",ISNUMBER(SEARCH(설정!$A$54,K204))),설정!$B$54,IF(AND(설정!$A$55&lt;&gt;"",ISNUMBER(SEARCH(설정!$A$55,K204))),설정!$B$55,IF(AND(설정!$A$56&lt;&gt;"",ISNUMBER(SEARCH(설정!$A$56,K204))),설정!$B$56,IF(AND(설정!$A$57&lt;&gt;"",ISNUMBER(SEARCH(설정!$A$57,K204))),설정!$B$57,IF(AND(설정!$A$58&lt;&gt;"",ISNUMBER(SEARCH(설정!$A$58,K204))),설정!$B$58,IF(AND(설정!$A$59&lt;&gt;"",ISNUMBER(SEARCH(설정!$A$59,K204))),설정!$B$59,IF(AND(설정!$A$60&lt;&gt;"",ISNUMBER(SEARCH(설정!$A$60,K204))),설정!$B$60,IF(AND(설정!$A$61&lt;&gt;"",ISNUMBER(SEARCH(설정!$A$61,K204))),설정!$B$61,IF(M204="","설계사","시공사"))))))))),"")</f>
        <v/>
      </c>
      <c r="V204">
        <f>SUBSTITUTE(SUBSTITUTE(SUBSTITUTE(SUBSTITUTE(G204,"(주)",""),"㈜",""),"주식회사","")," ","")</f>
        <v/>
      </c>
      <c r="W204">
        <f>IF(AND(T204,V204&lt;&gt;""),IF(COUNTIFS(V$2:V204,V204,T$2:T204,TRUE)=1,MAX(W$1:W203)+1,""),"")</f>
        <v/>
      </c>
      <c r="X204">
        <f>IF(설정!$C$14="","",IFERROR(INDEX('1.산군_붙여넣기'!$A$1:$AZ$1001,ROW(),설정!$C$14)&amp;"",""))</f>
        <v/>
      </c>
      <c r="Y204">
        <f>IF(설정!$C$15="","",IFERROR(INDEX('1.산군_붙여넣기'!$A$1:$AZ$1001,ROW(),설정!$C$15)&amp;"",""))</f>
        <v/>
      </c>
      <c r="Z204">
        <f>IF(T204,V204&amp;"|"&amp;U204,"")</f>
        <v/>
      </c>
      <c r="AA204">
        <f>IF(NOT(Q204),"",IF(NOT(AND(R204,S204)),"✕",IF(OR(OR(AND(L204&lt;&gt;"",M204&lt;&gt;"",N(M204)-N(L204)&gt;설정!$B$27),AND(L204&lt;&gt;"",M204="",설정!$B$24-N(L204)&gt;설정!$B$27)),AND(D204&lt;&gt;"",D204&lt;설정!$B$26)),"△","★")))</f>
        <v/>
      </c>
      <c r="AB204">
        <f>IF(NOT(T204),"",IF(U204="설계사",설정!$B$31,IF(U204="시공사",IF(OR(M204="",설정!$B$24-N(M204)&lt;=설정!$B$28*30.4),설정!$B$32,설정!$B$33),설정!$B$34))+IF(AA204="★",설정!$B$35,0))</f>
        <v/>
      </c>
      <c r="AC204">
        <f>SUBSTITUTE(SUBSTITUTE(SUBSTITUTE(SUBSTITUTE(H204,"(주)",""),"㈜",""),"주식회사","")," ","")</f>
        <v/>
      </c>
      <c r="AD204">
        <f>IF(AND(T204,AC204&lt;&gt;""),IF(COUNTIFS(AC$2:AC204,AC204,T$2:T204,TRUE)=1,MAX(AD$1:AD203)+1,""),"")</f>
        <v/>
      </c>
    </row>
    <row r="205">
      <c r="A205">
        <f>ROW()</f>
        <v/>
      </c>
      <c r="B205">
        <f>IF(설정!$C$4="","",IFERROR(INDEX('1.산군_붙여넣기'!$A$1:$AZ$1001,ROW(),설정!$C$4)&amp;"",""))</f>
        <v/>
      </c>
      <c r="C205">
        <f>IF(설정!$C$5="","",IFERROR(INDEX('1.산군_붙여넣기'!$A$1:$AZ$1001,ROW(),설정!$C$5)&amp;"",""))</f>
        <v/>
      </c>
      <c r="D205" s="5">
        <f>IFERROR(VALUE(SUBSTITUTE(SUBSTITUTE(SUBSTITUTE(IF(설정!$C$6="","",IFERROR(INDEX('1.산군_붙여넣기'!$A$1:$AZ$1001,ROW(),설정!$C$6)&amp;"","")),",",""),"㎡",""),"m2","")),"")</f>
        <v/>
      </c>
      <c r="E205">
        <f>IF(설정!$C$7="","",IFERROR(INDEX('1.산군_붙여넣기'!$A$1:$AZ$1001,ROW(),설정!$C$7)&amp;"",""))</f>
        <v/>
      </c>
      <c r="F205">
        <f>IF(설정!$C$8="","",IFERROR(INDEX('1.산군_붙여넣기'!$A$1:$AZ$1001,ROW(),설정!$C$8)&amp;"",""))</f>
        <v/>
      </c>
      <c r="G205">
        <f>IF(설정!$C$9="","",IFERROR(INDEX('1.산군_붙여넣기'!$A$1:$AZ$1001,ROW(),설정!$C$9)&amp;"",""))</f>
        <v/>
      </c>
      <c r="H205">
        <f>IF(설정!$C$10="","",IFERROR(INDEX('1.산군_붙여넣기'!$A$1:$AZ$1001,ROW(),설정!$C$10)&amp;"",""))</f>
        <v/>
      </c>
      <c r="I205">
        <f>IF(설정!$C$11="","",IFERROR(INDEX('1.산군_붙여넣기'!$A$1:$AZ$1001,ROW(),설정!$C$11)&amp;"",""))</f>
        <v/>
      </c>
      <c r="J205">
        <f>IF(설정!$C$12="","",IFERROR(INDEX('1.산군_붙여넣기'!$A$1:$AZ$1001,ROW(),설정!$C$12)&amp;"",""))</f>
        <v/>
      </c>
      <c r="K205">
        <f>IF(설정!$C$13="","",IFERROR(INDEX('1.산군_붙여넣기'!$A$1:$AZ$1001,ROW(),설정!$C$13)&amp;"",""))</f>
        <v/>
      </c>
      <c r="L205" s="7">
        <f>IF(X205="","",IF(AND(LEN(X205)=8,ISNUMBER(X205*1)),DATE(LEFT(X205,4),MID(X205,5,2),RIGHT(X205,2)),IFERROR(DATEVALUE(SUBSTITUTE(SUBSTITUTE(X205,".","-"),"/","-")),IFERROR(X205*1,""))))</f>
        <v/>
      </c>
      <c r="M205" s="7">
        <f>IF(Y205="","",IF(AND(LEN(Y205)=8,ISNUMBER(Y205*1)),DATE(LEFT(Y205,4),MID(Y205,5,2),RIGHT(Y205,2)),IFERROR(DATEVALUE(SUBSTITUTE(SUBSTITUTE(Y205,".","-"),"/","-")),IFERROR(Y205*1,""))))</f>
        <v/>
      </c>
      <c r="N205">
        <f>IFERROR(LEFT(B205,FIND(" ",B205)-1),B205)</f>
        <v/>
      </c>
      <c r="O205">
        <f>AND(B205&lt;&gt;"",B205&lt;&gt;설정!$B$4,C205&lt;&gt;설정!$B$5)</f>
        <v/>
      </c>
      <c r="P205">
        <f>IF(O205,B205&amp;"|"&amp;C205,"")</f>
        <v/>
      </c>
      <c r="Q205">
        <f>AND(O205,COUNTIF(P206:P$1002,P205)=0)</f>
        <v/>
      </c>
      <c r="R205">
        <f>OR(AND(설정!$A$42&lt;&gt;"",ISNUMBER(SEARCH(설정!$A$42,E205&amp;" "&amp;C205))),AND(설정!$A$43&lt;&gt;"",ISNUMBER(SEARCH(설정!$A$43,E205&amp;" "&amp;C205))),AND(설정!$A$44&lt;&gt;"",ISNUMBER(SEARCH(설정!$A$44,E205&amp;" "&amp;C205))),AND(설정!$A$45&lt;&gt;"",ISNUMBER(SEARCH(설정!$A$45,E205&amp;" "&amp;C205))),AND(설정!$A$46&lt;&gt;"",ISNUMBER(SEARCH(설정!$A$46,E205&amp;" "&amp;C205))),AND(설정!$A$47&lt;&gt;"",ISNUMBER(SEARCH(설정!$A$47,E205&amp;" "&amp;C205))),AND(설정!$A$48&lt;&gt;"",ISNUMBER(SEARCH(설정!$A$48,E205&amp;" "&amp;C205))),AND(설정!$A$49&lt;&gt;"",ISNUMBER(SEARCH(설정!$A$49,E205&amp;" "&amp;C205))),AND(설정!$A$50&lt;&gt;"",ISNUMBER(SEARCH(설정!$A$50,E205&amp;" "&amp;C205))),AND(설정!$A$51&lt;&gt;"",ISNUMBER(SEARCH(설정!$A$51,E205&amp;" "&amp;C205))))</f>
        <v/>
      </c>
      <c r="S205">
        <f>OR(D205="",D205&gt;=설정!$B$19)</f>
        <v/>
      </c>
      <c r="T205">
        <f>AND(Q205,R205,S205)</f>
        <v/>
      </c>
      <c r="U205">
        <f>IF(T205,IF(AND(설정!$A$54&lt;&gt;"",ISNUMBER(SEARCH(설정!$A$54,K205))),설정!$B$54,IF(AND(설정!$A$55&lt;&gt;"",ISNUMBER(SEARCH(설정!$A$55,K205))),설정!$B$55,IF(AND(설정!$A$56&lt;&gt;"",ISNUMBER(SEARCH(설정!$A$56,K205))),설정!$B$56,IF(AND(설정!$A$57&lt;&gt;"",ISNUMBER(SEARCH(설정!$A$57,K205))),설정!$B$57,IF(AND(설정!$A$58&lt;&gt;"",ISNUMBER(SEARCH(설정!$A$58,K205))),설정!$B$58,IF(AND(설정!$A$59&lt;&gt;"",ISNUMBER(SEARCH(설정!$A$59,K205))),설정!$B$59,IF(AND(설정!$A$60&lt;&gt;"",ISNUMBER(SEARCH(설정!$A$60,K205))),설정!$B$60,IF(AND(설정!$A$61&lt;&gt;"",ISNUMBER(SEARCH(설정!$A$61,K205))),설정!$B$61,IF(M205="","설계사","시공사"))))))))),"")</f>
        <v/>
      </c>
      <c r="V205">
        <f>SUBSTITUTE(SUBSTITUTE(SUBSTITUTE(SUBSTITUTE(G205,"(주)",""),"㈜",""),"주식회사","")," ","")</f>
        <v/>
      </c>
      <c r="W205">
        <f>IF(AND(T205,V205&lt;&gt;""),IF(COUNTIFS(V$2:V205,V205,T$2:T205,TRUE)=1,MAX(W$1:W204)+1,""),"")</f>
        <v/>
      </c>
      <c r="X205">
        <f>IF(설정!$C$14="","",IFERROR(INDEX('1.산군_붙여넣기'!$A$1:$AZ$1001,ROW(),설정!$C$14)&amp;"",""))</f>
        <v/>
      </c>
      <c r="Y205">
        <f>IF(설정!$C$15="","",IFERROR(INDEX('1.산군_붙여넣기'!$A$1:$AZ$1001,ROW(),설정!$C$15)&amp;"",""))</f>
        <v/>
      </c>
      <c r="Z205">
        <f>IF(T205,V205&amp;"|"&amp;U205,"")</f>
        <v/>
      </c>
      <c r="AA205">
        <f>IF(NOT(Q205),"",IF(NOT(AND(R205,S205)),"✕",IF(OR(OR(AND(L205&lt;&gt;"",M205&lt;&gt;"",N(M205)-N(L205)&gt;설정!$B$27),AND(L205&lt;&gt;"",M205="",설정!$B$24-N(L205)&gt;설정!$B$27)),AND(D205&lt;&gt;"",D205&lt;설정!$B$26)),"△","★")))</f>
        <v/>
      </c>
      <c r="AB205">
        <f>IF(NOT(T205),"",IF(U205="설계사",설정!$B$31,IF(U205="시공사",IF(OR(M205="",설정!$B$24-N(M205)&lt;=설정!$B$28*30.4),설정!$B$32,설정!$B$33),설정!$B$34))+IF(AA205="★",설정!$B$35,0))</f>
        <v/>
      </c>
      <c r="AC205">
        <f>SUBSTITUTE(SUBSTITUTE(SUBSTITUTE(SUBSTITUTE(H205,"(주)",""),"㈜",""),"주식회사","")," ","")</f>
        <v/>
      </c>
      <c r="AD205">
        <f>IF(AND(T205,AC205&lt;&gt;""),IF(COUNTIFS(AC$2:AC205,AC205,T$2:T205,TRUE)=1,MAX(AD$1:AD204)+1,""),"")</f>
        <v/>
      </c>
    </row>
    <row r="206">
      <c r="A206">
        <f>ROW()</f>
        <v/>
      </c>
      <c r="B206">
        <f>IF(설정!$C$4="","",IFERROR(INDEX('1.산군_붙여넣기'!$A$1:$AZ$1001,ROW(),설정!$C$4)&amp;"",""))</f>
        <v/>
      </c>
      <c r="C206">
        <f>IF(설정!$C$5="","",IFERROR(INDEX('1.산군_붙여넣기'!$A$1:$AZ$1001,ROW(),설정!$C$5)&amp;"",""))</f>
        <v/>
      </c>
      <c r="D206" s="5">
        <f>IFERROR(VALUE(SUBSTITUTE(SUBSTITUTE(SUBSTITUTE(IF(설정!$C$6="","",IFERROR(INDEX('1.산군_붙여넣기'!$A$1:$AZ$1001,ROW(),설정!$C$6)&amp;"","")),",",""),"㎡",""),"m2","")),"")</f>
        <v/>
      </c>
      <c r="E206">
        <f>IF(설정!$C$7="","",IFERROR(INDEX('1.산군_붙여넣기'!$A$1:$AZ$1001,ROW(),설정!$C$7)&amp;"",""))</f>
        <v/>
      </c>
      <c r="F206">
        <f>IF(설정!$C$8="","",IFERROR(INDEX('1.산군_붙여넣기'!$A$1:$AZ$1001,ROW(),설정!$C$8)&amp;"",""))</f>
        <v/>
      </c>
      <c r="G206">
        <f>IF(설정!$C$9="","",IFERROR(INDEX('1.산군_붙여넣기'!$A$1:$AZ$1001,ROW(),설정!$C$9)&amp;"",""))</f>
        <v/>
      </c>
      <c r="H206">
        <f>IF(설정!$C$10="","",IFERROR(INDEX('1.산군_붙여넣기'!$A$1:$AZ$1001,ROW(),설정!$C$10)&amp;"",""))</f>
        <v/>
      </c>
      <c r="I206">
        <f>IF(설정!$C$11="","",IFERROR(INDEX('1.산군_붙여넣기'!$A$1:$AZ$1001,ROW(),설정!$C$11)&amp;"",""))</f>
        <v/>
      </c>
      <c r="J206">
        <f>IF(설정!$C$12="","",IFERROR(INDEX('1.산군_붙여넣기'!$A$1:$AZ$1001,ROW(),설정!$C$12)&amp;"",""))</f>
        <v/>
      </c>
      <c r="K206">
        <f>IF(설정!$C$13="","",IFERROR(INDEX('1.산군_붙여넣기'!$A$1:$AZ$1001,ROW(),설정!$C$13)&amp;"",""))</f>
        <v/>
      </c>
      <c r="L206" s="7">
        <f>IF(X206="","",IF(AND(LEN(X206)=8,ISNUMBER(X206*1)),DATE(LEFT(X206,4),MID(X206,5,2),RIGHT(X206,2)),IFERROR(DATEVALUE(SUBSTITUTE(SUBSTITUTE(X206,".","-"),"/","-")),IFERROR(X206*1,""))))</f>
        <v/>
      </c>
      <c r="M206" s="7">
        <f>IF(Y206="","",IF(AND(LEN(Y206)=8,ISNUMBER(Y206*1)),DATE(LEFT(Y206,4),MID(Y206,5,2),RIGHT(Y206,2)),IFERROR(DATEVALUE(SUBSTITUTE(SUBSTITUTE(Y206,".","-"),"/","-")),IFERROR(Y206*1,""))))</f>
        <v/>
      </c>
      <c r="N206">
        <f>IFERROR(LEFT(B206,FIND(" ",B206)-1),B206)</f>
        <v/>
      </c>
      <c r="O206">
        <f>AND(B206&lt;&gt;"",B206&lt;&gt;설정!$B$4,C206&lt;&gt;설정!$B$5)</f>
        <v/>
      </c>
      <c r="P206">
        <f>IF(O206,B206&amp;"|"&amp;C206,"")</f>
        <v/>
      </c>
      <c r="Q206">
        <f>AND(O206,COUNTIF(P207:P$1002,P206)=0)</f>
        <v/>
      </c>
      <c r="R206">
        <f>OR(AND(설정!$A$42&lt;&gt;"",ISNUMBER(SEARCH(설정!$A$42,E206&amp;" "&amp;C206))),AND(설정!$A$43&lt;&gt;"",ISNUMBER(SEARCH(설정!$A$43,E206&amp;" "&amp;C206))),AND(설정!$A$44&lt;&gt;"",ISNUMBER(SEARCH(설정!$A$44,E206&amp;" "&amp;C206))),AND(설정!$A$45&lt;&gt;"",ISNUMBER(SEARCH(설정!$A$45,E206&amp;" "&amp;C206))),AND(설정!$A$46&lt;&gt;"",ISNUMBER(SEARCH(설정!$A$46,E206&amp;" "&amp;C206))),AND(설정!$A$47&lt;&gt;"",ISNUMBER(SEARCH(설정!$A$47,E206&amp;" "&amp;C206))),AND(설정!$A$48&lt;&gt;"",ISNUMBER(SEARCH(설정!$A$48,E206&amp;" "&amp;C206))),AND(설정!$A$49&lt;&gt;"",ISNUMBER(SEARCH(설정!$A$49,E206&amp;" "&amp;C206))),AND(설정!$A$50&lt;&gt;"",ISNUMBER(SEARCH(설정!$A$50,E206&amp;" "&amp;C206))),AND(설정!$A$51&lt;&gt;"",ISNUMBER(SEARCH(설정!$A$51,E206&amp;" "&amp;C206))))</f>
        <v/>
      </c>
      <c r="S206">
        <f>OR(D206="",D206&gt;=설정!$B$19)</f>
        <v/>
      </c>
      <c r="T206">
        <f>AND(Q206,R206,S206)</f>
        <v/>
      </c>
      <c r="U206">
        <f>IF(T206,IF(AND(설정!$A$54&lt;&gt;"",ISNUMBER(SEARCH(설정!$A$54,K206))),설정!$B$54,IF(AND(설정!$A$55&lt;&gt;"",ISNUMBER(SEARCH(설정!$A$55,K206))),설정!$B$55,IF(AND(설정!$A$56&lt;&gt;"",ISNUMBER(SEARCH(설정!$A$56,K206))),설정!$B$56,IF(AND(설정!$A$57&lt;&gt;"",ISNUMBER(SEARCH(설정!$A$57,K206))),설정!$B$57,IF(AND(설정!$A$58&lt;&gt;"",ISNUMBER(SEARCH(설정!$A$58,K206))),설정!$B$58,IF(AND(설정!$A$59&lt;&gt;"",ISNUMBER(SEARCH(설정!$A$59,K206))),설정!$B$59,IF(AND(설정!$A$60&lt;&gt;"",ISNUMBER(SEARCH(설정!$A$60,K206))),설정!$B$60,IF(AND(설정!$A$61&lt;&gt;"",ISNUMBER(SEARCH(설정!$A$61,K206))),설정!$B$61,IF(M206="","설계사","시공사"))))))))),"")</f>
        <v/>
      </c>
      <c r="V206">
        <f>SUBSTITUTE(SUBSTITUTE(SUBSTITUTE(SUBSTITUTE(G206,"(주)",""),"㈜",""),"주식회사","")," ","")</f>
        <v/>
      </c>
      <c r="W206">
        <f>IF(AND(T206,V206&lt;&gt;""),IF(COUNTIFS(V$2:V206,V206,T$2:T206,TRUE)=1,MAX(W$1:W205)+1,""),"")</f>
        <v/>
      </c>
      <c r="X206">
        <f>IF(설정!$C$14="","",IFERROR(INDEX('1.산군_붙여넣기'!$A$1:$AZ$1001,ROW(),설정!$C$14)&amp;"",""))</f>
        <v/>
      </c>
      <c r="Y206">
        <f>IF(설정!$C$15="","",IFERROR(INDEX('1.산군_붙여넣기'!$A$1:$AZ$1001,ROW(),설정!$C$15)&amp;"",""))</f>
        <v/>
      </c>
      <c r="Z206">
        <f>IF(T206,V206&amp;"|"&amp;U206,"")</f>
        <v/>
      </c>
      <c r="AA206">
        <f>IF(NOT(Q206),"",IF(NOT(AND(R206,S206)),"✕",IF(OR(OR(AND(L206&lt;&gt;"",M206&lt;&gt;"",N(M206)-N(L206)&gt;설정!$B$27),AND(L206&lt;&gt;"",M206="",설정!$B$24-N(L206)&gt;설정!$B$27)),AND(D206&lt;&gt;"",D206&lt;설정!$B$26)),"△","★")))</f>
        <v/>
      </c>
      <c r="AB206">
        <f>IF(NOT(T206),"",IF(U206="설계사",설정!$B$31,IF(U206="시공사",IF(OR(M206="",설정!$B$24-N(M206)&lt;=설정!$B$28*30.4),설정!$B$32,설정!$B$33),설정!$B$34))+IF(AA206="★",설정!$B$35,0))</f>
        <v/>
      </c>
      <c r="AC206">
        <f>SUBSTITUTE(SUBSTITUTE(SUBSTITUTE(SUBSTITUTE(H206,"(주)",""),"㈜",""),"주식회사","")," ","")</f>
        <v/>
      </c>
      <c r="AD206">
        <f>IF(AND(T206,AC206&lt;&gt;""),IF(COUNTIFS(AC$2:AC206,AC206,T$2:T206,TRUE)=1,MAX(AD$1:AD205)+1,""),"")</f>
        <v/>
      </c>
    </row>
    <row r="207">
      <c r="A207">
        <f>ROW()</f>
        <v/>
      </c>
      <c r="B207">
        <f>IF(설정!$C$4="","",IFERROR(INDEX('1.산군_붙여넣기'!$A$1:$AZ$1001,ROW(),설정!$C$4)&amp;"",""))</f>
        <v/>
      </c>
      <c r="C207">
        <f>IF(설정!$C$5="","",IFERROR(INDEX('1.산군_붙여넣기'!$A$1:$AZ$1001,ROW(),설정!$C$5)&amp;"",""))</f>
        <v/>
      </c>
      <c r="D207" s="5">
        <f>IFERROR(VALUE(SUBSTITUTE(SUBSTITUTE(SUBSTITUTE(IF(설정!$C$6="","",IFERROR(INDEX('1.산군_붙여넣기'!$A$1:$AZ$1001,ROW(),설정!$C$6)&amp;"","")),",",""),"㎡",""),"m2","")),"")</f>
        <v/>
      </c>
      <c r="E207">
        <f>IF(설정!$C$7="","",IFERROR(INDEX('1.산군_붙여넣기'!$A$1:$AZ$1001,ROW(),설정!$C$7)&amp;"",""))</f>
        <v/>
      </c>
      <c r="F207">
        <f>IF(설정!$C$8="","",IFERROR(INDEX('1.산군_붙여넣기'!$A$1:$AZ$1001,ROW(),설정!$C$8)&amp;"",""))</f>
        <v/>
      </c>
      <c r="G207">
        <f>IF(설정!$C$9="","",IFERROR(INDEX('1.산군_붙여넣기'!$A$1:$AZ$1001,ROW(),설정!$C$9)&amp;"",""))</f>
        <v/>
      </c>
      <c r="H207">
        <f>IF(설정!$C$10="","",IFERROR(INDEX('1.산군_붙여넣기'!$A$1:$AZ$1001,ROW(),설정!$C$10)&amp;"",""))</f>
        <v/>
      </c>
      <c r="I207">
        <f>IF(설정!$C$11="","",IFERROR(INDEX('1.산군_붙여넣기'!$A$1:$AZ$1001,ROW(),설정!$C$11)&amp;"",""))</f>
        <v/>
      </c>
      <c r="J207">
        <f>IF(설정!$C$12="","",IFERROR(INDEX('1.산군_붙여넣기'!$A$1:$AZ$1001,ROW(),설정!$C$12)&amp;"",""))</f>
        <v/>
      </c>
      <c r="K207">
        <f>IF(설정!$C$13="","",IFERROR(INDEX('1.산군_붙여넣기'!$A$1:$AZ$1001,ROW(),설정!$C$13)&amp;"",""))</f>
        <v/>
      </c>
      <c r="L207" s="7">
        <f>IF(X207="","",IF(AND(LEN(X207)=8,ISNUMBER(X207*1)),DATE(LEFT(X207,4),MID(X207,5,2),RIGHT(X207,2)),IFERROR(DATEVALUE(SUBSTITUTE(SUBSTITUTE(X207,".","-"),"/","-")),IFERROR(X207*1,""))))</f>
        <v/>
      </c>
      <c r="M207" s="7">
        <f>IF(Y207="","",IF(AND(LEN(Y207)=8,ISNUMBER(Y207*1)),DATE(LEFT(Y207,4),MID(Y207,5,2),RIGHT(Y207,2)),IFERROR(DATEVALUE(SUBSTITUTE(SUBSTITUTE(Y207,".","-"),"/","-")),IFERROR(Y207*1,""))))</f>
        <v/>
      </c>
      <c r="N207">
        <f>IFERROR(LEFT(B207,FIND(" ",B207)-1),B207)</f>
        <v/>
      </c>
      <c r="O207">
        <f>AND(B207&lt;&gt;"",B207&lt;&gt;설정!$B$4,C207&lt;&gt;설정!$B$5)</f>
        <v/>
      </c>
      <c r="P207">
        <f>IF(O207,B207&amp;"|"&amp;C207,"")</f>
        <v/>
      </c>
      <c r="Q207">
        <f>AND(O207,COUNTIF(P208:P$1002,P207)=0)</f>
        <v/>
      </c>
      <c r="R207">
        <f>OR(AND(설정!$A$42&lt;&gt;"",ISNUMBER(SEARCH(설정!$A$42,E207&amp;" "&amp;C207))),AND(설정!$A$43&lt;&gt;"",ISNUMBER(SEARCH(설정!$A$43,E207&amp;" "&amp;C207))),AND(설정!$A$44&lt;&gt;"",ISNUMBER(SEARCH(설정!$A$44,E207&amp;" "&amp;C207))),AND(설정!$A$45&lt;&gt;"",ISNUMBER(SEARCH(설정!$A$45,E207&amp;" "&amp;C207))),AND(설정!$A$46&lt;&gt;"",ISNUMBER(SEARCH(설정!$A$46,E207&amp;" "&amp;C207))),AND(설정!$A$47&lt;&gt;"",ISNUMBER(SEARCH(설정!$A$47,E207&amp;" "&amp;C207))),AND(설정!$A$48&lt;&gt;"",ISNUMBER(SEARCH(설정!$A$48,E207&amp;" "&amp;C207))),AND(설정!$A$49&lt;&gt;"",ISNUMBER(SEARCH(설정!$A$49,E207&amp;" "&amp;C207))),AND(설정!$A$50&lt;&gt;"",ISNUMBER(SEARCH(설정!$A$50,E207&amp;" "&amp;C207))),AND(설정!$A$51&lt;&gt;"",ISNUMBER(SEARCH(설정!$A$51,E207&amp;" "&amp;C207))))</f>
        <v/>
      </c>
      <c r="S207">
        <f>OR(D207="",D207&gt;=설정!$B$19)</f>
        <v/>
      </c>
      <c r="T207">
        <f>AND(Q207,R207,S207)</f>
        <v/>
      </c>
      <c r="U207">
        <f>IF(T207,IF(AND(설정!$A$54&lt;&gt;"",ISNUMBER(SEARCH(설정!$A$54,K207))),설정!$B$54,IF(AND(설정!$A$55&lt;&gt;"",ISNUMBER(SEARCH(설정!$A$55,K207))),설정!$B$55,IF(AND(설정!$A$56&lt;&gt;"",ISNUMBER(SEARCH(설정!$A$56,K207))),설정!$B$56,IF(AND(설정!$A$57&lt;&gt;"",ISNUMBER(SEARCH(설정!$A$57,K207))),설정!$B$57,IF(AND(설정!$A$58&lt;&gt;"",ISNUMBER(SEARCH(설정!$A$58,K207))),설정!$B$58,IF(AND(설정!$A$59&lt;&gt;"",ISNUMBER(SEARCH(설정!$A$59,K207))),설정!$B$59,IF(AND(설정!$A$60&lt;&gt;"",ISNUMBER(SEARCH(설정!$A$60,K207))),설정!$B$60,IF(AND(설정!$A$61&lt;&gt;"",ISNUMBER(SEARCH(설정!$A$61,K207))),설정!$B$61,IF(M207="","설계사","시공사"))))))))),"")</f>
        <v/>
      </c>
      <c r="V207">
        <f>SUBSTITUTE(SUBSTITUTE(SUBSTITUTE(SUBSTITUTE(G207,"(주)",""),"㈜",""),"주식회사","")," ","")</f>
        <v/>
      </c>
      <c r="W207">
        <f>IF(AND(T207,V207&lt;&gt;""),IF(COUNTIFS(V$2:V207,V207,T$2:T207,TRUE)=1,MAX(W$1:W206)+1,""),"")</f>
        <v/>
      </c>
      <c r="X207">
        <f>IF(설정!$C$14="","",IFERROR(INDEX('1.산군_붙여넣기'!$A$1:$AZ$1001,ROW(),설정!$C$14)&amp;"",""))</f>
        <v/>
      </c>
      <c r="Y207">
        <f>IF(설정!$C$15="","",IFERROR(INDEX('1.산군_붙여넣기'!$A$1:$AZ$1001,ROW(),설정!$C$15)&amp;"",""))</f>
        <v/>
      </c>
      <c r="Z207">
        <f>IF(T207,V207&amp;"|"&amp;U207,"")</f>
        <v/>
      </c>
      <c r="AA207">
        <f>IF(NOT(Q207),"",IF(NOT(AND(R207,S207)),"✕",IF(OR(OR(AND(L207&lt;&gt;"",M207&lt;&gt;"",N(M207)-N(L207)&gt;설정!$B$27),AND(L207&lt;&gt;"",M207="",설정!$B$24-N(L207)&gt;설정!$B$27)),AND(D207&lt;&gt;"",D207&lt;설정!$B$26)),"△","★")))</f>
        <v/>
      </c>
      <c r="AB207">
        <f>IF(NOT(T207),"",IF(U207="설계사",설정!$B$31,IF(U207="시공사",IF(OR(M207="",설정!$B$24-N(M207)&lt;=설정!$B$28*30.4),설정!$B$32,설정!$B$33),설정!$B$34))+IF(AA207="★",설정!$B$35,0))</f>
        <v/>
      </c>
      <c r="AC207">
        <f>SUBSTITUTE(SUBSTITUTE(SUBSTITUTE(SUBSTITUTE(H207,"(주)",""),"㈜",""),"주식회사","")," ","")</f>
        <v/>
      </c>
      <c r="AD207">
        <f>IF(AND(T207,AC207&lt;&gt;""),IF(COUNTIFS(AC$2:AC207,AC207,T$2:T207,TRUE)=1,MAX(AD$1:AD206)+1,""),"")</f>
        <v/>
      </c>
    </row>
    <row r="208">
      <c r="A208">
        <f>ROW()</f>
        <v/>
      </c>
      <c r="B208">
        <f>IF(설정!$C$4="","",IFERROR(INDEX('1.산군_붙여넣기'!$A$1:$AZ$1001,ROW(),설정!$C$4)&amp;"",""))</f>
        <v/>
      </c>
      <c r="C208">
        <f>IF(설정!$C$5="","",IFERROR(INDEX('1.산군_붙여넣기'!$A$1:$AZ$1001,ROW(),설정!$C$5)&amp;"",""))</f>
        <v/>
      </c>
      <c r="D208" s="5">
        <f>IFERROR(VALUE(SUBSTITUTE(SUBSTITUTE(SUBSTITUTE(IF(설정!$C$6="","",IFERROR(INDEX('1.산군_붙여넣기'!$A$1:$AZ$1001,ROW(),설정!$C$6)&amp;"","")),",",""),"㎡",""),"m2","")),"")</f>
        <v/>
      </c>
      <c r="E208">
        <f>IF(설정!$C$7="","",IFERROR(INDEX('1.산군_붙여넣기'!$A$1:$AZ$1001,ROW(),설정!$C$7)&amp;"",""))</f>
        <v/>
      </c>
      <c r="F208">
        <f>IF(설정!$C$8="","",IFERROR(INDEX('1.산군_붙여넣기'!$A$1:$AZ$1001,ROW(),설정!$C$8)&amp;"",""))</f>
        <v/>
      </c>
      <c r="G208">
        <f>IF(설정!$C$9="","",IFERROR(INDEX('1.산군_붙여넣기'!$A$1:$AZ$1001,ROW(),설정!$C$9)&amp;"",""))</f>
        <v/>
      </c>
      <c r="H208">
        <f>IF(설정!$C$10="","",IFERROR(INDEX('1.산군_붙여넣기'!$A$1:$AZ$1001,ROW(),설정!$C$10)&amp;"",""))</f>
        <v/>
      </c>
      <c r="I208">
        <f>IF(설정!$C$11="","",IFERROR(INDEX('1.산군_붙여넣기'!$A$1:$AZ$1001,ROW(),설정!$C$11)&amp;"",""))</f>
        <v/>
      </c>
      <c r="J208">
        <f>IF(설정!$C$12="","",IFERROR(INDEX('1.산군_붙여넣기'!$A$1:$AZ$1001,ROW(),설정!$C$12)&amp;"",""))</f>
        <v/>
      </c>
      <c r="K208">
        <f>IF(설정!$C$13="","",IFERROR(INDEX('1.산군_붙여넣기'!$A$1:$AZ$1001,ROW(),설정!$C$13)&amp;"",""))</f>
        <v/>
      </c>
      <c r="L208" s="7">
        <f>IF(X208="","",IF(AND(LEN(X208)=8,ISNUMBER(X208*1)),DATE(LEFT(X208,4),MID(X208,5,2),RIGHT(X208,2)),IFERROR(DATEVALUE(SUBSTITUTE(SUBSTITUTE(X208,".","-"),"/","-")),IFERROR(X208*1,""))))</f>
        <v/>
      </c>
      <c r="M208" s="7">
        <f>IF(Y208="","",IF(AND(LEN(Y208)=8,ISNUMBER(Y208*1)),DATE(LEFT(Y208,4),MID(Y208,5,2),RIGHT(Y208,2)),IFERROR(DATEVALUE(SUBSTITUTE(SUBSTITUTE(Y208,".","-"),"/","-")),IFERROR(Y208*1,""))))</f>
        <v/>
      </c>
      <c r="N208">
        <f>IFERROR(LEFT(B208,FIND(" ",B208)-1),B208)</f>
        <v/>
      </c>
      <c r="O208">
        <f>AND(B208&lt;&gt;"",B208&lt;&gt;설정!$B$4,C208&lt;&gt;설정!$B$5)</f>
        <v/>
      </c>
      <c r="P208">
        <f>IF(O208,B208&amp;"|"&amp;C208,"")</f>
        <v/>
      </c>
      <c r="Q208">
        <f>AND(O208,COUNTIF(P209:P$1002,P208)=0)</f>
        <v/>
      </c>
      <c r="R208">
        <f>OR(AND(설정!$A$42&lt;&gt;"",ISNUMBER(SEARCH(설정!$A$42,E208&amp;" "&amp;C208))),AND(설정!$A$43&lt;&gt;"",ISNUMBER(SEARCH(설정!$A$43,E208&amp;" "&amp;C208))),AND(설정!$A$44&lt;&gt;"",ISNUMBER(SEARCH(설정!$A$44,E208&amp;" "&amp;C208))),AND(설정!$A$45&lt;&gt;"",ISNUMBER(SEARCH(설정!$A$45,E208&amp;" "&amp;C208))),AND(설정!$A$46&lt;&gt;"",ISNUMBER(SEARCH(설정!$A$46,E208&amp;" "&amp;C208))),AND(설정!$A$47&lt;&gt;"",ISNUMBER(SEARCH(설정!$A$47,E208&amp;" "&amp;C208))),AND(설정!$A$48&lt;&gt;"",ISNUMBER(SEARCH(설정!$A$48,E208&amp;" "&amp;C208))),AND(설정!$A$49&lt;&gt;"",ISNUMBER(SEARCH(설정!$A$49,E208&amp;" "&amp;C208))),AND(설정!$A$50&lt;&gt;"",ISNUMBER(SEARCH(설정!$A$50,E208&amp;" "&amp;C208))),AND(설정!$A$51&lt;&gt;"",ISNUMBER(SEARCH(설정!$A$51,E208&amp;" "&amp;C208))))</f>
        <v/>
      </c>
      <c r="S208">
        <f>OR(D208="",D208&gt;=설정!$B$19)</f>
        <v/>
      </c>
      <c r="T208">
        <f>AND(Q208,R208,S208)</f>
        <v/>
      </c>
      <c r="U208">
        <f>IF(T208,IF(AND(설정!$A$54&lt;&gt;"",ISNUMBER(SEARCH(설정!$A$54,K208))),설정!$B$54,IF(AND(설정!$A$55&lt;&gt;"",ISNUMBER(SEARCH(설정!$A$55,K208))),설정!$B$55,IF(AND(설정!$A$56&lt;&gt;"",ISNUMBER(SEARCH(설정!$A$56,K208))),설정!$B$56,IF(AND(설정!$A$57&lt;&gt;"",ISNUMBER(SEARCH(설정!$A$57,K208))),설정!$B$57,IF(AND(설정!$A$58&lt;&gt;"",ISNUMBER(SEARCH(설정!$A$58,K208))),설정!$B$58,IF(AND(설정!$A$59&lt;&gt;"",ISNUMBER(SEARCH(설정!$A$59,K208))),설정!$B$59,IF(AND(설정!$A$60&lt;&gt;"",ISNUMBER(SEARCH(설정!$A$60,K208))),설정!$B$60,IF(AND(설정!$A$61&lt;&gt;"",ISNUMBER(SEARCH(설정!$A$61,K208))),설정!$B$61,IF(M208="","설계사","시공사"))))))))),"")</f>
        <v/>
      </c>
      <c r="V208">
        <f>SUBSTITUTE(SUBSTITUTE(SUBSTITUTE(SUBSTITUTE(G208,"(주)",""),"㈜",""),"주식회사","")," ","")</f>
        <v/>
      </c>
      <c r="W208">
        <f>IF(AND(T208,V208&lt;&gt;""),IF(COUNTIFS(V$2:V208,V208,T$2:T208,TRUE)=1,MAX(W$1:W207)+1,""),"")</f>
        <v/>
      </c>
      <c r="X208">
        <f>IF(설정!$C$14="","",IFERROR(INDEX('1.산군_붙여넣기'!$A$1:$AZ$1001,ROW(),설정!$C$14)&amp;"",""))</f>
        <v/>
      </c>
      <c r="Y208">
        <f>IF(설정!$C$15="","",IFERROR(INDEX('1.산군_붙여넣기'!$A$1:$AZ$1001,ROW(),설정!$C$15)&amp;"",""))</f>
        <v/>
      </c>
      <c r="Z208">
        <f>IF(T208,V208&amp;"|"&amp;U208,"")</f>
        <v/>
      </c>
      <c r="AA208">
        <f>IF(NOT(Q208),"",IF(NOT(AND(R208,S208)),"✕",IF(OR(OR(AND(L208&lt;&gt;"",M208&lt;&gt;"",N(M208)-N(L208)&gt;설정!$B$27),AND(L208&lt;&gt;"",M208="",설정!$B$24-N(L208)&gt;설정!$B$27)),AND(D208&lt;&gt;"",D208&lt;설정!$B$26)),"△","★")))</f>
        <v/>
      </c>
      <c r="AB208">
        <f>IF(NOT(T208),"",IF(U208="설계사",설정!$B$31,IF(U208="시공사",IF(OR(M208="",설정!$B$24-N(M208)&lt;=설정!$B$28*30.4),설정!$B$32,설정!$B$33),설정!$B$34))+IF(AA208="★",설정!$B$35,0))</f>
        <v/>
      </c>
      <c r="AC208">
        <f>SUBSTITUTE(SUBSTITUTE(SUBSTITUTE(SUBSTITUTE(H208,"(주)",""),"㈜",""),"주식회사","")," ","")</f>
        <v/>
      </c>
      <c r="AD208">
        <f>IF(AND(T208,AC208&lt;&gt;""),IF(COUNTIFS(AC$2:AC208,AC208,T$2:T208,TRUE)=1,MAX(AD$1:AD207)+1,""),"")</f>
        <v/>
      </c>
    </row>
    <row r="209">
      <c r="A209">
        <f>ROW()</f>
        <v/>
      </c>
      <c r="B209">
        <f>IF(설정!$C$4="","",IFERROR(INDEX('1.산군_붙여넣기'!$A$1:$AZ$1001,ROW(),설정!$C$4)&amp;"",""))</f>
        <v/>
      </c>
      <c r="C209">
        <f>IF(설정!$C$5="","",IFERROR(INDEX('1.산군_붙여넣기'!$A$1:$AZ$1001,ROW(),설정!$C$5)&amp;"",""))</f>
        <v/>
      </c>
      <c r="D209" s="5">
        <f>IFERROR(VALUE(SUBSTITUTE(SUBSTITUTE(SUBSTITUTE(IF(설정!$C$6="","",IFERROR(INDEX('1.산군_붙여넣기'!$A$1:$AZ$1001,ROW(),설정!$C$6)&amp;"","")),",",""),"㎡",""),"m2","")),"")</f>
        <v/>
      </c>
      <c r="E209">
        <f>IF(설정!$C$7="","",IFERROR(INDEX('1.산군_붙여넣기'!$A$1:$AZ$1001,ROW(),설정!$C$7)&amp;"",""))</f>
        <v/>
      </c>
      <c r="F209">
        <f>IF(설정!$C$8="","",IFERROR(INDEX('1.산군_붙여넣기'!$A$1:$AZ$1001,ROW(),설정!$C$8)&amp;"",""))</f>
        <v/>
      </c>
      <c r="G209">
        <f>IF(설정!$C$9="","",IFERROR(INDEX('1.산군_붙여넣기'!$A$1:$AZ$1001,ROW(),설정!$C$9)&amp;"",""))</f>
        <v/>
      </c>
      <c r="H209">
        <f>IF(설정!$C$10="","",IFERROR(INDEX('1.산군_붙여넣기'!$A$1:$AZ$1001,ROW(),설정!$C$10)&amp;"",""))</f>
        <v/>
      </c>
      <c r="I209">
        <f>IF(설정!$C$11="","",IFERROR(INDEX('1.산군_붙여넣기'!$A$1:$AZ$1001,ROW(),설정!$C$11)&amp;"",""))</f>
        <v/>
      </c>
      <c r="J209">
        <f>IF(설정!$C$12="","",IFERROR(INDEX('1.산군_붙여넣기'!$A$1:$AZ$1001,ROW(),설정!$C$12)&amp;"",""))</f>
        <v/>
      </c>
      <c r="K209">
        <f>IF(설정!$C$13="","",IFERROR(INDEX('1.산군_붙여넣기'!$A$1:$AZ$1001,ROW(),설정!$C$13)&amp;"",""))</f>
        <v/>
      </c>
      <c r="L209" s="7">
        <f>IF(X209="","",IF(AND(LEN(X209)=8,ISNUMBER(X209*1)),DATE(LEFT(X209,4),MID(X209,5,2),RIGHT(X209,2)),IFERROR(DATEVALUE(SUBSTITUTE(SUBSTITUTE(X209,".","-"),"/","-")),IFERROR(X209*1,""))))</f>
        <v/>
      </c>
      <c r="M209" s="7">
        <f>IF(Y209="","",IF(AND(LEN(Y209)=8,ISNUMBER(Y209*1)),DATE(LEFT(Y209,4),MID(Y209,5,2),RIGHT(Y209,2)),IFERROR(DATEVALUE(SUBSTITUTE(SUBSTITUTE(Y209,".","-"),"/","-")),IFERROR(Y209*1,""))))</f>
        <v/>
      </c>
      <c r="N209">
        <f>IFERROR(LEFT(B209,FIND(" ",B209)-1),B209)</f>
        <v/>
      </c>
      <c r="O209">
        <f>AND(B209&lt;&gt;"",B209&lt;&gt;설정!$B$4,C209&lt;&gt;설정!$B$5)</f>
        <v/>
      </c>
      <c r="P209">
        <f>IF(O209,B209&amp;"|"&amp;C209,"")</f>
        <v/>
      </c>
      <c r="Q209">
        <f>AND(O209,COUNTIF(P210:P$1002,P209)=0)</f>
        <v/>
      </c>
      <c r="R209">
        <f>OR(AND(설정!$A$42&lt;&gt;"",ISNUMBER(SEARCH(설정!$A$42,E209&amp;" "&amp;C209))),AND(설정!$A$43&lt;&gt;"",ISNUMBER(SEARCH(설정!$A$43,E209&amp;" "&amp;C209))),AND(설정!$A$44&lt;&gt;"",ISNUMBER(SEARCH(설정!$A$44,E209&amp;" "&amp;C209))),AND(설정!$A$45&lt;&gt;"",ISNUMBER(SEARCH(설정!$A$45,E209&amp;" "&amp;C209))),AND(설정!$A$46&lt;&gt;"",ISNUMBER(SEARCH(설정!$A$46,E209&amp;" "&amp;C209))),AND(설정!$A$47&lt;&gt;"",ISNUMBER(SEARCH(설정!$A$47,E209&amp;" "&amp;C209))),AND(설정!$A$48&lt;&gt;"",ISNUMBER(SEARCH(설정!$A$48,E209&amp;" "&amp;C209))),AND(설정!$A$49&lt;&gt;"",ISNUMBER(SEARCH(설정!$A$49,E209&amp;" "&amp;C209))),AND(설정!$A$50&lt;&gt;"",ISNUMBER(SEARCH(설정!$A$50,E209&amp;" "&amp;C209))),AND(설정!$A$51&lt;&gt;"",ISNUMBER(SEARCH(설정!$A$51,E209&amp;" "&amp;C209))))</f>
        <v/>
      </c>
      <c r="S209">
        <f>OR(D209="",D209&gt;=설정!$B$19)</f>
        <v/>
      </c>
      <c r="T209">
        <f>AND(Q209,R209,S209)</f>
        <v/>
      </c>
      <c r="U209">
        <f>IF(T209,IF(AND(설정!$A$54&lt;&gt;"",ISNUMBER(SEARCH(설정!$A$54,K209))),설정!$B$54,IF(AND(설정!$A$55&lt;&gt;"",ISNUMBER(SEARCH(설정!$A$55,K209))),설정!$B$55,IF(AND(설정!$A$56&lt;&gt;"",ISNUMBER(SEARCH(설정!$A$56,K209))),설정!$B$56,IF(AND(설정!$A$57&lt;&gt;"",ISNUMBER(SEARCH(설정!$A$57,K209))),설정!$B$57,IF(AND(설정!$A$58&lt;&gt;"",ISNUMBER(SEARCH(설정!$A$58,K209))),설정!$B$58,IF(AND(설정!$A$59&lt;&gt;"",ISNUMBER(SEARCH(설정!$A$59,K209))),설정!$B$59,IF(AND(설정!$A$60&lt;&gt;"",ISNUMBER(SEARCH(설정!$A$60,K209))),설정!$B$60,IF(AND(설정!$A$61&lt;&gt;"",ISNUMBER(SEARCH(설정!$A$61,K209))),설정!$B$61,IF(M209="","설계사","시공사"))))))))),"")</f>
        <v/>
      </c>
      <c r="V209">
        <f>SUBSTITUTE(SUBSTITUTE(SUBSTITUTE(SUBSTITUTE(G209,"(주)",""),"㈜",""),"주식회사","")," ","")</f>
        <v/>
      </c>
      <c r="W209">
        <f>IF(AND(T209,V209&lt;&gt;""),IF(COUNTIFS(V$2:V209,V209,T$2:T209,TRUE)=1,MAX(W$1:W208)+1,""),"")</f>
        <v/>
      </c>
      <c r="X209">
        <f>IF(설정!$C$14="","",IFERROR(INDEX('1.산군_붙여넣기'!$A$1:$AZ$1001,ROW(),설정!$C$14)&amp;"",""))</f>
        <v/>
      </c>
      <c r="Y209">
        <f>IF(설정!$C$15="","",IFERROR(INDEX('1.산군_붙여넣기'!$A$1:$AZ$1001,ROW(),설정!$C$15)&amp;"",""))</f>
        <v/>
      </c>
      <c r="Z209">
        <f>IF(T209,V209&amp;"|"&amp;U209,"")</f>
        <v/>
      </c>
      <c r="AA209">
        <f>IF(NOT(Q209),"",IF(NOT(AND(R209,S209)),"✕",IF(OR(OR(AND(L209&lt;&gt;"",M209&lt;&gt;"",N(M209)-N(L209)&gt;설정!$B$27),AND(L209&lt;&gt;"",M209="",설정!$B$24-N(L209)&gt;설정!$B$27)),AND(D209&lt;&gt;"",D209&lt;설정!$B$26)),"△","★")))</f>
        <v/>
      </c>
      <c r="AB209">
        <f>IF(NOT(T209),"",IF(U209="설계사",설정!$B$31,IF(U209="시공사",IF(OR(M209="",설정!$B$24-N(M209)&lt;=설정!$B$28*30.4),설정!$B$32,설정!$B$33),설정!$B$34))+IF(AA209="★",설정!$B$35,0))</f>
        <v/>
      </c>
      <c r="AC209">
        <f>SUBSTITUTE(SUBSTITUTE(SUBSTITUTE(SUBSTITUTE(H209,"(주)",""),"㈜",""),"주식회사","")," ","")</f>
        <v/>
      </c>
      <c r="AD209">
        <f>IF(AND(T209,AC209&lt;&gt;""),IF(COUNTIFS(AC$2:AC209,AC209,T$2:T209,TRUE)=1,MAX(AD$1:AD208)+1,""),"")</f>
        <v/>
      </c>
    </row>
    <row r="210">
      <c r="A210">
        <f>ROW()</f>
        <v/>
      </c>
      <c r="B210">
        <f>IF(설정!$C$4="","",IFERROR(INDEX('1.산군_붙여넣기'!$A$1:$AZ$1001,ROW(),설정!$C$4)&amp;"",""))</f>
        <v/>
      </c>
      <c r="C210">
        <f>IF(설정!$C$5="","",IFERROR(INDEX('1.산군_붙여넣기'!$A$1:$AZ$1001,ROW(),설정!$C$5)&amp;"",""))</f>
        <v/>
      </c>
      <c r="D210" s="5">
        <f>IFERROR(VALUE(SUBSTITUTE(SUBSTITUTE(SUBSTITUTE(IF(설정!$C$6="","",IFERROR(INDEX('1.산군_붙여넣기'!$A$1:$AZ$1001,ROW(),설정!$C$6)&amp;"","")),",",""),"㎡",""),"m2","")),"")</f>
        <v/>
      </c>
      <c r="E210">
        <f>IF(설정!$C$7="","",IFERROR(INDEX('1.산군_붙여넣기'!$A$1:$AZ$1001,ROW(),설정!$C$7)&amp;"",""))</f>
        <v/>
      </c>
      <c r="F210">
        <f>IF(설정!$C$8="","",IFERROR(INDEX('1.산군_붙여넣기'!$A$1:$AZ$1001,ROW(),설정!$C$8)&amp;"",""))</f>
        <v/>
      </c>
      <c r="G210">
        <f>IF(설정!$C$9="","",IFERROR(INDEX('1.산군_붙여넣기'!$A$1:$AZ$1001,ROW(),설정!$C$9)&amp;"",""))</f>
        <v/>
      </c>
      <c r="H210">
        <f>IF(설정!$C$10="","",IFERROR(INDEX('1.산군_붙여넣기'!$A$1:$AZ$1001,ROW(),설정!$C$10)&amp;"",""))</f>
        <v/>
      </c>
      <c r="I210">
        <f>IF(설정!$C$11="","",IFERROR(INDEX('1.산군_붙여넣기'!$A$1:$AZ$1001,ROW(),설정!$C$11)&amp;"",""))</f>
        <v/>
      </c>
      <c r="J210">
        <f>IF(설정!$C$12="","",IFERROR(INDEX('1.산군_붙여넣기'!$A$1:$AZ$1001,ROW(),설정!$C$12)&amp;"",""))</f>
        <v/>
      </c>
      <c r="K210">
        <f>IF(설정!$C$13="","",IFERROR(INDEX('1.산군_붙여넣기'!$A$1:$AZ$1001,ROW(),설정!$C$13)&amp;"",""))</f>
        <v/>
      </c>
      <c r="L210" s="7">
        <f>IF(X210="","",IF(AND(LEN(X210)=8,ISNUMBER(X210*1)),DATE(LEFT(X210,4),MID(X210,5,2),RIGHT(X210,2)),IFERROR(DATEVALUE(SUBSTITUTE(SUBSTITUTE(X210,".","-"),"/","-")),IFERROR(X210*1,""))))</f>
        <v/>
      </c>
      <c r="M210" s="7">
        <f>IF(Y210="","",IF(AND(LEN(Y210)=8,ISNUMBER(Y210*1)),DATE(LEFT(Y210,4),MID(Y210,5,2),RIGHT(Y210,2)),IFERROR(DATEVALUE(SUBSTITUTE(SUBSTITUTE(Y210,".","-"),"/","-")),IFERROR(Y210*1,""))))</f>
        <v/>
      </c>
      <c r="N210">
        <f>IFERROR(LEFT(B210,FIND(" ",B210)-1),B210)</f>
        <v/>
      </c>
      <c r="O210">
        <f>AND(B210&lt;&gt;"",B210&lt;&gt;설정!$B$4,C210&lt;&gt;설정!$B$5)</f>
        <v/>
      </c>
      <c r="P210">
        <f>IF(O210,B210&amp;"|"&amp;C210,"")</f>
        <v/>
      </c>
      <c r="Q210">
        <f>AND(O210,COUNTIF(P211:P$1002,P210)=0)</f>
        <v/>
      </c>
      <c r="R210">
        <f>OR(AND(설정!$A$42&lt;&gt;"",ISNUMBER(SEARCH(설정!$A$42,E210&amp;" "&amp;C210))),AND(설정!$A$43&lt;&gt;"",ISNUMBER(SEARCH(설정!$A$43,E210&amp;" "&amp;C210))),AND(설정!$A$44&lt;&gt;"",ISNUMBER(SEARCH(설정!$A$44,E210&amp;" "&amp;C210))),AND(설정!$A$45&lt;&gt;"",ISNUMBER(SEARCH(설정!$A$45,E210&amp;" "&amp;C210))),AND(설정!$A$46&lt;&gt;"",ISNUMBER(SEARCH(설정!$A$46,E210&amp;" "&amp;C210))),AND(설정!$A$47&lt;&gt;"",ISNUMBER(SEARCH(설정!$A$47,E210&amp;" "&amp;C210))),AND(설정!$A$48&lt;&gt;"",ISNUMBER(SEARCH(설정!$A$48,E210&amp;" "&amp;C210))),AND(설정!$A$49&lt;&gt;"",ISNUMBER(SEARCH(설정!$A$49,E210&amp;" "&amp;C210))),AND(설정!$A$50&lt;&gt;"",ISNUMBER(SEARCH(설정!$A$50,E210&amp;" "&amp;C210))),AND(설정!$A$51&lt;&gt;"",ISNUMBER(SEARCH(설정!$A$51,E210&amp;" "&amp;C210))))</f>
        <v/>
      </c>
      <c r="S210">
        <f>OR(D210="",D210&gt;=설정!$B$19)</f>
        <v/>
      </c>
      <c r="T210">
        <f>AND(Q210,R210,S210)</f>
        <v/>
      </c>
      <c r="U210">
        <f>IF(T210,IF(AND(설정!$A$54&lt;&gt;"",ISNUMBER(SEARCH(설정!$A$54,K210))),설정!$B$54,IF(AND(설정!$A$55&lt;&gt;"",ISNUMBER(SEARCH(설정!$A$55,K210))),설정!$B$55,IF(AND(설정!$A$56&lt;&gt;"",ISNUMBER(SEARCH(설정!$A$56,K210))),설정!$B$56,IF(AND(설정!$A$57&lt;&gt;"",ISNUMBER(SEARCH(설정!$A$57,K210))),설정!$B$57,IF(AND(설정!$A$58&lt;&gt;"",ISNUMBER(SEARCH(설정!$A$58,K210))),설정!$B$58,IF(AND(설정!$A$59&lt;&gt;"",ISNUMBER(SEARCH(설정!$A$59,K210))),설정!$B$59,IF(AND(설정!$A$60&lt;&gt;"",ISNUMBER(SEARCH(설정!$A$60,K210))),설정!$B$60,IF(AND(설정!$A$61&lt;&gt;"",ISNUMBER(SEARCH(설정!$A$61,K210))),설정!$B$61,IF(M210="","설계사","시공사"))))))))),"")</f>
        <v/>
      </c>
      <c r="V210">
        <f>SUBSTITUTE(SUBSTITUTE(SUBSTITUTE(SUBSTITUTE(G210,"(주)",""),"㈜",""),"주식회사","")," ","")</f>
        <v/>
      </c>
      <c r="W210">
        <f>IF(AND(T210,V210&lt;&gt;""),IF(COUNTIFS(V$2:V210,V210,T$2:T210,TRUE)=1,MAX(W$1:W209)+1,""),"")</f>
        <v/>
      </c>
      <c r="X210">
        <f>IF(설정!$C$14="","",IFERROR(INDEX('1.산군_붙여넣기'!$A$1:$AZ$1001,ROW(),설정!$C$14)&amp;"",""))</f>
        <v/>
      </c>
      <c r="Y210">
        <f>IF(설정!$C$15="","",IFERROR(INDEX('1.산군_붙여넣기'!$A$1:$AZ$1001,ROW(),설정!$C$15)&amp;"",""))</f>
        <v/>
      </c>
      <c r="Z210">
        <f>IF(T210,V210&amp;"|"&amp;U210,"")</f>
        <v/>
      </c>
      <c r="AA210">
        <f>IF(NOT(Q210),"",IF(NOT(AND(R210,S210)),"✕",IF(OR(OR(AND(L210&lt;&gt;"",M210&lt;&gt;"",N(M210)-N(L210)&gt;설정!$B$27),AND(L210&lt;&gt;"",M210="",설정!$B$24-N(L210)&gt;설정!$B$27)),AND(D210&lt;&gt;"",D210&lt;설정!$B$26)),"△","★")))</f>
        <v/>
      </c>
      <c r="AB210">
        <f>IF(NOT(T210),"",IF(U210="설계사",설정!$B$31,IF(U210="시공사",IF(OR(M210="",설정!$B$24-N(M210)&lt;=설정!$B$28*30.4),설정!$B$32,설정!$B$33),설정!$B$34))+IF(AA210="★",설정!$B$35,0))</f>
        <v/>
      </c>
      <c r="AC210">
        <f>SUBSTITUTE(SUBSTITUTE(SUBSTITUTE(SUBSTITUTE(H210,"(주)",""),"㈜",""),"주식회사","")," ","")</f>
        <v/>
      </c>
      <c r="AD210">
        <f>IF(AND(T210,AC210&lt;&gt;""),IF(COUNTIFS(AC$2:AC210,AC210,T$2:T210,TRUE)=1,MAX(AD$1:AD209)+1,""),"")</f>
        <v/>
      </c>
    </row>
    <row r="211">
      <c r="A211">
        <f>ROW()</f>
        <v/>
      </c>
      <c r="B211">
        <f>IF(설정!$C$4="","",IFERROR(INDEX('1.산군_붙여넣기'!$A$1:$AZ$1001,ROW(),설정!$C$4)&amp;"",""))</f>
        <v/>
      </c>
      <c r="C211">
        <f>IF(설정!$C$5="","",IFERROR(INDEX('1.산군_붙여넣기'!$A$1:$AZ$1001,ROW(),설정!$C$5)&amp;"",""))</f>
        <v/>
      </c>
      <c r="D211" s="5">
        <f>IFERROR(VALUE(SUBSTITUTE(SUBSTITUTE(SUBSTITUTE(IF(설정!$C$6="","",IFERROR(INDEX('1.산군_붙여넣기'!$A$1:$AZ$1001,ROW(),설정!$C$6)&amp;"","")),",",""),"㎡",""),"m2","")),"")</f>
        <v/>
      </c>
      <c r="E211">
        <f>IF(설정!$C$7="","",IFERROR(INDEX('1.산군_붙여넣기'!$A$1:$AZ$1001,ROW(),설정!$C$7)&amp;"",""))</f>
        <v/>
      </c>
      <c r="F211">
        <f>IF(설정!$C$8="","",IFERROR(INDEX('1.산군_붙여넣기'!$A$1:$AZ$1001,ROW(),설정!$C$8)&amp;"",""))</f>
        <v/>
      </c>
      <c r="G211">
        <f>IF(설정!$C$9="","",IFERROR(INDEX('1.산군_붙여넣기'!$A$1:$AZ$1001,ROW(),설정!$C$9)&amp;"",""))</f>
        <v/>
      </c>
      <c r="H211">
        <f>IF(설정!$C$10="","",IFERROR(INDEX('1.산군_붙여넣기'!$A$1:$AZ$1001,ROW(),설정!$C$10)&amp;"",""))</f>
        <v/>
      </c>
      <c r="I211">
        <f>IF(설정!$C$11="","",IFERROR(INDEX('1.산군_붙여넣기'!$A$1:$AZ$1001,ROW(),설정!$C$11)&amp;"",""))</f>
        <v/>
      </c>
      <c r="J211">
        <f>IF(설정!$C$12="","",IFERROR(INDEX('1.산군_붙여넣기'!$A$1:$AZ$1001,ROW(),설정!$C$12)&amp;"",""))</f>
        <v/>
      </c>
      <c r="K211">
        <f>IF(설정!$C$13="","",IFERROR(INDEX('1.산군_붙여넣기'!$A$1:$AZ$1001,ROW(),설정!$C$13)&amp;"",""))</f>
        <v/>
      </c>
      <c r="L211" s="7">
        <f>IF(X211="","",IF(AND(LEN(X211)=8,ISNUMBER(X211*1)),DATE(LEFT(X211,4),MID(X211,5,2),RIGHT(X211,2)),IFERROR(DATEVALUE(SUBSTITUTE(SUBSTITUTE(X211,".","-"),"/","-")),IFERROR(X211*1,""))))</f>
        <v/>
      </c>
      <c r="M211" s="7">
        <f>IF(Y211="","",IF(AND(LEN(Y211)=8,ISNUMBER(Y211*1)),DATE(LEFT(Y211,4),MID(Y211,5,2),RIGHT(Y211,2)),IFERROR(DATEVALUE(SUBSTITUTE(SUBSTITUTE(Y211,".","-"),"/","-")),IFERROR(Y211*1,""))))</f>
        <v/>
      </c>
      <c r="N211">
        <f>IFERROR(LEFT(B211,FIND(" ",B211)-1),B211)</f>
        <v/>
      </c>
      <c r="O211">
        <f>AND(B211&lt;&gt;"",B211&lt;&gt;설정!$B$4,C211&lt;&gt;설정!$B$5)</f>
        <v/>
      </c>
      <c r="P211">
        <f>IF(O211,B211&amp;"|"&amp;C211,"")</f>
        <v/>
      </c>
      <c r="Q211">
        <f>AND(O211,COUNTIF(P212:P$1002,P211)=0)</f>
        <v/>
      </c>
      <c r="R211">
        <f>OR(AND(설정!$A$42&lt;&gt;"",ISNUMBER(SEARCH(설정!$A$42,E211&amp;" "&amp;C211))),AND(설정!$A$43&lt;&gt;"",ISNUMBER(SEARCH(설정!$A$43,E211&amp;" "&amp;C211))),AND(설정!$A$44&lt;&gt;"",ISNUMBER(SEARCH(설정!$A$44,E211&amp;" "&amp;C211))),AND(설정!$A$45&lt;&gt;"",ISNUMBER(SEARCH(설정!$A$45,E211&amp;" "&amp;C211))),AND(설정!$A$46&lt;&gt;"",ISNUMBER(SEARCH(설정!$A$46,E211&amp;" "&amp;C211))),AND(설정!$A$47&lt;&gt;"",ISNUMBER(SEARCH(설정!$A$47,E211&amp;" "&amp;C211))),AND(설정!$A$48&lt;&gt;"",ISNUMBER(SEARCH(설정!$A$48,E211&amp;" "&amp;C211))),AND(설정!$A$49&lt;&gt;"",ISNUMBER(SEARCH(설정!$A$49,E211&amp;" "&amp;C211))),AND(설정!$A$50&lt;&gt;"",ISNUMBER(SEARCH(설정!$A$50,E211&amp;" "&amp;C211))),AND(설정!$A$51&lt;&gt;"",ISNUMBER(SEARCH(설정!$A$51,E211&amp;" "&amp;C211))))</f>
        <v/>
      </c>
      <c r="S211">
        <f>OR(D211="",D211&gt;=설정!$B$19)</f>
        <v/>
      </c>
      <c r="T211">
        <f>AND(Q211,R211,S211)</f>
        <v/>
      </c>
      <c r="U211">
        <f>IF(T211,IF(AND(설정!$A$54&lt;&gt;"",ISNUMBER(SEARCH(설정!$A$54,K211))),설정!$B$54,IF(AND(설정!$A$55&lt;&gt;"",ISNUMBER(SEARCH(설정!$A$55,K211))),설정!$B$55,IF(AND(설정!$A$56&lt;&gt;"",ISNUMBER(SEARCH(설정!$A$56,K211))),설정!$B$56,IF(AND(설정!$A$57&lt;&gt;"",ISNUMBER(SEARCH(설정!$A$57,K211))),설정!$B$57,IF(AND(설정!$A$58&lt;&gt;"",ISNUMBER(SEARCH(설정!$A$58,K211))),설정!$B$58,IF(AND(설정!$A$59&lt;&gt;"",ISNUMBER(SEARCH(설정!$A$59,K211))),설정!$B$59,IF(AND(설정!$A$60&lt;&gt;"",ISNUMBER(SEARCH(설정!$A$60,K211))),설정!$B$60,IF(AND(설정!$A$61&lt;&gt;"",ISNUMBER(SEARCH(설정!$A$61,K211))),설정!$B$61,IF(M211="","설계사","시공사"))))))))),"")</f>
        <v/>
      </c>
      <c r="V211">
        <f>SUBSTITUTE(SUBSTITUTE(SUBSTITUTE(SUBSTITUTE(G211,"(주)",""),"㈜",""),"주식회사","")," ","")</f>
        <v/>
      </c>
      <c r="W211">
        <f>IF(AND(T211,V211&lt;&gt;""),IF(COUNTIFS(V$2:V211,V211,T$2:T211,TRUE)=1,MAX(W$1:W210)+1,""),"")</f>
        <v/>
      </c>
      <c r="X211">
        <f>IF(설정!$C$14="","",IFERROR(INDEX('1.산군_붙여넣기'!$A$1:$AZ$1001,ROW(),설정!$C$14)&amp;"",""))</f>
        <v/>
      </c>
      <c r="Y211">
        <f>IF(설정!$C$15="","",IFERROR(INDEX('1.산군_붙여넣기'!$A$1:$AZ$1001,ROW(),설정!$C$15)&amp;"",""))</f>
        <v/>
      </c>
      <c r="Z211">
        <f>IF(T211,V211&amp;"|"&amp;U211,"")</f>
        <v/>
      </c>
      <c r="AA211">
        <f>IF(NOT(Q211),"",IF(NOT(AND(R211,S211)),"✕",IF(OR(OR(AND(L211&lt;&gt;"",M211&lt;&gt;"",N(M211)-N(L211)&gt;설정!$B$27),AND(L211&lt;&gt;"",M211="",설정!$B$24-N(L211)&gt;설정!$B$27)),AND(D211&lt;&gt;"",D211&lt;설정!$B$26)),"△","★")))</f>
        <v/>
      </c>
      <c r="AB211">
        <f>IF(NOT(T211),"",IF(U211="설계사",설정!$B$31,IF(U211="시공사",IF(OR(M211="",설정!$B$24-N(M211)&lt;=설정!$B$28*30.4),설정!$B$32,설정!$B$33),설정!$B$34))+IF(AA211="★",설정!$B$35,0))</f>
        <v/>
      </c>
      <c r="AC211">
        <f>SUBSTITUTE(SUBSTITUTE(SUBSTITUTE(SUBSTITUTE(H211,"(주)",""),"㈜",""),"주식회사","")," ","")</f>
        <v/>
      </c>
      <c r="AD211">
        <f>IF(AND(T211,AC211&lt;&gt;""),IF(COUNTIFS(AC$2:AC211,AC211,T$2:T211,TRUE)=1,MAX(AD$1:AD210)+1,""),"")</f>
        <v/>
      </c>
    </row>
    <row r="212">
      <c r="A212">
        <f>ROW()</f>
        <v/>
      </c>
      <c r="B212">
        <f>IF(설정!$C$4="","",IFERROR(INDEX('1.산군_붙여넣기'!$A$1:$AZ$1001,ROW(),설정!$C$4)&amp;"",""))</f>
        <v/>
      </c>
      <c r="C212">
        <f>IF(설정!$C$5="","",IFERROR(INDEX('1.산군_붙여넣기'!$A$1:$AZ$1001,ROW(),설정!$C$5)&amp;"",""))</f>
        <v/>
      </c>
      <c r="D212" s="5">
        <f>IFERROR(VALUE(SUBSTITUTE(SUBSTITUTE(SUBSTITUTE(IF(설정!$C$6="","",IFERROR(INDEX('1.산군_붙여넣기'!$A$1:$AZ$1001,ROW(),설정!$C$6)&amp;"","")),",",""),"㎡",""),"m2","")),"")</f>
        <v/>
      </c>
      <c r="E212">
        <f>IF(설정!$C$7="","",IFERROR(INDEX('1.산군_붙여넣기'!$A$1:$AZ$1001,ROW(),설정!$C$7)&amp;"",""))</f>
        <v/>
      </c>
      <c r="F212">
        <f>IF(설정!$C$8="","",IFERROR(INDEX('1.산군_붙여넣기'!$A$1:$AZ$1001,ROW(),설정!$C$8)&amp;"",""))</f>
        <v/>
      </c>
      <c r="G212">
        <f>IF(설정!$C$9="","",IFERROR(INDEX('1.산군_붙여넣기'!$A$1:$AZ$1001,ROW(),설정!$C$9)&amp;"",""))</f>
        <v/>
      </c>
      <c r="H212">
        <f>IF(설정!$C$10="","",IFERROR(INDEX('1.산군_붙여넣기'!$A$1:$AZ$1001,ROW(),설정!$C$10)&amp;"",""))</f>
        <v/>
      </c>
      <c r="I212">
        <f>IF(설정!$C$11="","",IFERROR(INDEX('1.산군_붙여넣기'!$A$1:$AZ$1001,ROW(),설정!$C$11)&amp;"",""))</f>
        <v/>
      </c>
      <c r="J212">
        <f>IF(설정!$C$12="","",IFERROR(INDEX('1.산군_붙여넣기'!$A$1:$AZ$1001,ROW(),설정!$C$12)&amp;"",""))</f>
        <v/>
      </c>
      <c r="K212">
        <f>IF(설정!$C$13="","",IFERROR(INDEX('1.산군_붙여넣기'!$A$1:$AZ$1001,ROW(),설정!$C$13)&amp;"",""))</f>
        <v/>
      </c>
      <c r="L212" s="7">
        <f>IF(X212="","",IF(AND(LEN(X212)=8,ISNUMBER(X212*1)),DATE(LEFT(X212,4),MID(X212,5,2),RIGHT(X212,2)),IFERROR(DATEVALUE(SUBSTITUTE(SUBSTITUTE(X212,".","-"),"/","-")),IFERROR(X212*1,""))))</f>
        <v/>
      </c>
      <c r="M212" s="7">
        <f>IF(Y212="","",IF(AND(LEN(Y212)=8,ISNUMBER(Y212*1)),DATE(LEFT(Y212,4),MID(Y212,5,2),RIGHT(Y212,2)),IFERROR(DATEVALUE(SUBSTITUTE(SUBSTITUTE(Y212,".","-"),"/","-")),IFERROR(Y212*1,""))))</f>
        <v/>
      </c>
      <c r="N212">
        <f>IFERROR(LEFT(B212,FIND(" ",B212)-1),B212)</f>
        <v/>
      </c>
      <c r="O212">
        <f>AND(B212&lt;&gt;"",B212&lt;&gt;설정!$B$4,C212&lt;&gt;설정!$B$5)</f>
        <v/>
      </c>
      <c r="P212">
        <f>IF(O212,B212&amp;"|"&amp;C212,"")</f>
        <v/>
      </c>
      <c r="Q212">
        <f>AND(O212,COUNTIF(P213:P$1002,P212)=0)</f>
        <v/>
      </c>
      <c r="R212">
        <f>OR(AND(설정!$A$42&lt;&gt;"",ISNUMBER(SEARCH(설정!$A$42,E212&amp;" "&amp;C212))),AND(설정!$A$43&lt;&gt;"",ISNUMBER(SEARCH(설정!$A$43,E212&amp;" "&amp;C212))),AND(설정!$A$44&lt;&gt;"",ISNUMBER(SEARCH(설정!$A$44,E212&amp;" "&amp;C212))),AND(설정!$A$45&lt;&gt;"",ISNUMBER(SEARCH(설정!$A$45,E212&amp;" "&amp;C212))),AND(설정!$A$46&lt;&gt;"",ISNUMBER(SEARCH(설정!$A$46,E212&amp;" "&amp;C212))),AND(설정!$A$47&lt;&gt;"",ISNUMBER(SEARCH(설정!$A$47,E212&amp;" "&amp;C212))),AND(설정!$A$48&lt;&gt;"",ISNUMBER(SEARCH(설정!$A$48,E212&amp;" "&amp;C212))),AND(설정!$A$49&lt;&gt;"",ISNUMBER(SEARCH(설정!$A$49,E212&amp;" "&amp;C212))),AND(설정!$A$50&lt;&gt;"",ISNUMBER(SEARCH(설정!$A$50,E212&amp;" "&amp;C212))),AND(설정!$A$51&lt;&gt;"",ISNUMBER(SEARCH(설정!$A$51,E212&amp;" "&amp;C212))))</f>
        <v/>
      </c>
      <c r="S212">
        <f>OR(D212="",D212&gt;=설정!$B$19)</f>
        <v/>
      </c>
      <c r="T212">
        <f>AND(Q212,R212,S212)</f>
        <v/>
      </c>
      <c r="U212">
        <f>IF(T212,IF(AND(설정!$A$54&lt;&gt;"",ISNUMBER(SEARCH(설정!$A$54,K212))),설정!$B$54,IF(AND(설정!$A$55&lt;&gt;"",ISNUMBER(SEARCH(설정!$A$55,K212))),설정!$B$55,IF(AND(설정!$A$56&lt;&gt;"",ISNUMBER(SEARCH(설정!$A$56,K212))),설정!$B$56,IF(AND(설정!$A$57&lt;&gt;"",ISNUMBER(SEARCH(설정!$A$57,K212))),설정!$B$57,IF(AND(설정!$A$58&lt;&gt;"",ISNUMBER(SEARCH(설정!$A$58,K212))),설정!$B$58,IF(AND(설정!$A$59&lt;&gt;"",ISNUMBER(SEARCH(설정!$A$59,K212))),설정!$B$59,IF(AND(설정!$A$60&lt;&gt;"",ISNUMBER(SEARCH(설정!$A$60,K212))),설정!$B$60,IF(AND(설정!$A$61&lt;&gt;"",ISNUMBER(SEARCH(설정!$A$61,K212))),설정!$B$61,IF(M212="","설계사","시공사"))))))))),"")</f>
        <v/>
      </c>
      <c r="V212">
        <f>SUBSTITUTE(SUBSTITUTE(SUBSTITUTE(SUBSTITUTE(G212,"(주)",""),"㈜",""),"주식회사","")," ","")</f>
        <v/>
      </c>
      <c r="W212">
        <f>IF(AND(T212,V212&lt;&gt;""),IF(COUNTIFS(V$2:V212,V212,T$2:T212,TRUE)=1,MAX(W$1:W211)+1,""),"")</f>
        <v/>
      </c>
      <c r="X212">
        <f>IF(설정!$C$14="","",IFERROR(INDEX('1.산군_붙여넣기'!$A$1:$AZ$1001,ROW(),설정!$C$14)&amp;"",""))</f>
        <v/>
      </c>
      <c r="Y212">
        <f>IF(설정!$C$15="","",IFERROR(INDEX('1.산군_붙여넣기'!$A$1:$AZ$1001,ROW(),설정!$C$15)&amp;"",""))</f>
        <v/>
      </c>
      <c r="Z212">
        <f>IF(T212,V212&amp;"|"&amp;U212,"")</f>
        <v/>
      </c>
      <c r="AA212">
        <f>IF(NOT(Q212),"",IF(NOT(AND(R212,S212)),"✕",IF(OR(OR(AND(L212&lt;&gt;"",M212&lt;&gt;"",N(M212)-N(L212)&gt;설정!$B$27),AND(L212&lt;&gt;"",M212="",설정!$B$24-N(L212)&gt;설정!$B$27)),AND(D212&lt;&gt;"",D212&lt;설정!$B$26)),"△","★")))</f>
        <v/>
      </c>
      <c r="AB212">
        <f>IF(NOT(T212),"",IF(U212="설계사",설정!$B$31,IF(U212="시공사",IF(OR(M212="",설정!$B$24-N(M212)&lt;=설정!$B$28*30.4),설정!$B$32,설정!$B$33),설정!$B$34))+IF(AA212="★",설정!$B$35,0))</f>
        <v/>
      </c>
      <c r="AC212">
        <f>SUBSTITUTE(SUBSTITUTE(SUBSTITUTE(SUBSTITUTE(H212,"(주)",""),"㈜",""),"주식회사","")," ","")</f>
        <v/>
      </c>
      <c r="AD212">
        <f>IF(AND(T212,AC212&lt;&gt;""),IF(COUNTIFS(AC$2:AC212,AC212,T$2:T212,TRUE)=1,MAX(AD$1:AD211)+1,""),"")</f>
        <v/>
      </c>
    </row>
    <row r="213">
      <c r="A213">
        <f>ROW()</f>
        <v/>
      </c>
      <c r="B213">
        <f>IF(설정!$C$4="","",IFERROR(INDEX('1.산군_붙여넣기'!$A$1:$AZ$1001,ROW(),설정!$C$4)&amp;"",""))</f>
        <v/>
      </c>
      <c r="C213">
        <f>IF(설정!$C$5="","",IFERROR(INDEX('1.산군_붙여넣기'!$A$1:$AZ$1001,ROW(),설정!$C$5)&amp;"",""))</f>
        <v/>
      </c>
      <c r="D213" s="5">
        <f>IFERROR(VALUE(SUBSTITUTE(SUBSTITUTE(SUBSTITUTE(IF(설정!$C$6="","",IFERROR(INDEX('1.산군_붙여넣기'!$A$1:$AZ$1001,ROW(),설정!$C$6)&amp;"","")),",",""),"㎡",""),"m2","")),"")</f>
        <v/>
      </c>
      <c r="E213">
        <f>IF(설정!$C$7="","",IFERROR(INDEX('1.산군_붙여넣기'!$A$1:$AZ$1001,ROW(),설정!$C$7)&amp;"",""))</f>
        <v/>
      </c>
      <c r="F213">
        <f>IF(설정!$C$8="","",IFERROR(INDEX('1.산군_붙여넣기'!$A$1:$AZ$1001,ROW(),설정!$C$8)&amp;"",""))</f>
        <v/>
      </c>
      <c r="G213">
        <f>IF(설정!$C$9="","",IFERROR(INDEX('1.산군_붙여넣기'!$A$1:$AZ$1001,ROW(),설정!$C$9)&amp;"",""))</f>
        <v/>
      </c>
      <c r="H213">
        <f>IF(설정!$C$10="","",IFERROR(INDEX('1.산군_붙여넣기'!$A$1:$AZ$1001,ROW(),설정!$C$10)&amp;"",""))</f>
        <v/>
      </c>
      <c r="I213">
        <f>IF(설정!$C$11="","",IFERROR(INDEX('1.산군_붙여넣기'!$A$1:$AZ$1001,ROW(),설정!$C$11)&amp;"",""))</f>
        <v/>
      </c>
      <c r="J213">
        <f>IF(설정!$C$12="","",IFERROR(INDEX('1.산군_붙여넣기'!$A$1:$AZ$1001,ROW(),설정!$C$12)&amp;"",""))</f>
        <v/>
      </c>
      <c r="K213">
        <f>IF(설정!$C$13="","",IFERROR(INDEX('1.산군_붙여넣기'!$A$1:$AZ$1001,ROW(),설정!$C$13)&amp;"",""))</f>
        <v/>
      </c>
      <c r="L213" s="7">
        <f>IF(X213="","",IF(AND(LEN(X213)=8,ISNUMBER(X213*1)),DATE(LEFT(X213,4),MID(X213,5,2),RIGHT(X213,2)),IFERROR(DATEVALUE(SUBSTITUTE(SUBSTITUTE(X213,".","-"),"/","-")),IFERROR(X213*1,""))))</f>
        <v/>
      </c>
      <c r="M213" s="7">
        <f>IF(Y213="","",IF(AND(LEN(Y213)=8,ISNUMBER(Y213*1)),DATE(LEFT(Y213,4),MID(Y213,5,2),RIGHT(Y213,2)),IFERROR(DATEVALUE(SUBSTITUTE(SUBSTITUTE(Y213,".","-"),"/","-")),IFERROR(Y213*1,""))))</f>
        <v/>
      </c>
      <c r="N213">
        <f>IFERROR(LEFT(B213,FIND(" ",B213)-1),B213)</f>
        <v/>
      </c>
      <c r="O213">
        <f>AND(B213&lt;&gt;"",B213&lt;&gt;설정!$B$4,C213&lt;&gt;설정!$B$5)</f>
        <v/>
      </c>
      <c r="P213">
        <f>IF(O213,B213&amp;"|"&amp;C213,"")</f>
        <v/>
      </c>
      <c r="Q213">
        <f>AND(O213,COUNTIF(P214:P$1002,P213)=0)</f>
        <v/>
      </c>
      <c r="R213">
        <f>OR(AND(설정!$A$42&lt;&gt;"",ISNUMBER(SEARCH(설정!$A$42,E213&amp;" "&amp;C213))),AND(설정!$A$43&lt;&gt;"",ISNUMBER(SEARCH(설정!$A$43,E213&amp;" "&amp;C213))),AND(설정!$A$44&lt;&gt;"",ISNUMBER(SEARCH(설정!$A$44,E213&amp;" "&amp;C213))),AND(설정!$A$45&lt;&gt;"",ISNUMBER(SEARCH(설정!$A$45,E213&amp;" "&amp;C213))),AND(설정!$A$46&lt;&gt;"",ISNUMBER(SEARCH(설정!$A$46,E213&amp;" "&amp;C213))),AND(설정!$A$47&lt;&gt;"",ISNUMBER(SEARCH(설정!$A$47,E213&amp;" "&amp;C213))),AND(설정!$A$48&lt;&gt;"",ISNUMBER(SEARCH(설정!$A$48,E213&amp;" "&amp;C213))),AND(설정!$A$49&lt;&gt;"",ISNUMBER(SEARCH(설정!$A$49,E213&amp;" "&amp;C213))),AND(설정!$A$50&lt;&gt;"",ISNUMBER(SEARCH(설정!$A$50,E213&amp;" "&amp;C213))),AND(설정!$A$51&lt;&gt;"",ISNUMBER(SEARCH(설정!$A$51,E213&amp;" "&amp;C213))))</f>
        <v/>
      </c>
      <c r="S213">
        <f>OR(D213="",D213&gt;=설정!$B$19)</f>
        <v/>
      </c>
      <c r="T213">
        <f>AND(Q213,R213,S213)</f>
        <v/>
      </c>
      <c r="U213">
        <f>IF(T213,IF(AND(설정!$A$54&lt;&gt;"",ISNUMBER(SEARCH(설정!$A$54,K213))),설정!$B$54,IF(AND(설정!$A$55&lt;&gt;"",ISNUMBER(SEARCH(설정!$A$55,K213))),설정!$B$55,IF(AND(설정!$A$56&lt;&gt;"",ISNUMBER(SEARCH(설정!$A$56,K213))),설정!$B$56,IF(AND(설정!$A$57&lt;&gt;"",ISNUMBER(SEARCH(설정!$A$57,K213))),설정!$B$57,IF(AND(설정!$A$58&lt;&gt;"",ISNUMBER(SEARCH(설정!$A$58,K213))),설정!$B$58,IF(AND(설정!$A$59&lt;&gt;"",ISNUMBER(SEARCH(설정!$A$59,K213))),설정!$B$59,IF(AND(설정!$A$60&lt;&gt;"",ISNUMBER(SEARCH(설정!$A$60,K213))),설정!$B$60,IF(AND(설정!$A$61&lt;&gt;"",ISNUMBER(SEARCH(설정!$A$61,K213))),설정!$B$61,IF(M213="","설계사","시공사"))))))))),"")</f>
        <v/>
      </c>
      <c r="V213">
        <f>SUBSTITUTE(SUBSTITUTE(SUBSTITUTE(SUBSTITUTE(G213,"(주)",""),"㈜",""),"주식회사","")," ","")</f>
        <v/>
      </c>
      <c r="W213">
        <f>IF(AND(T213,V213&lt;&gt;""),IF(COUNTIFS(V$2:V213,V213,T$2:T213,TRUE)=1,MAX(W$1:W212)+1,""),"")</f>
        <v/>
      </c>
      <c r="X213">
        <f>IF(설정!$C$14="","",IFERROR(INDEX('1.산군_붙여넣기'!$A$1:$AZ$1001,ROW(),설정!$C$14)&amp;"",""))</f>
        <v/>
      </c>
      <c r="Y213">
        <f>IF(설정!$C$15="","",IFERROR(INDEX('1.산군_붙여넣기'!$A$1:$AZ$1001,ROW(),설정!$C$15)&amp;"",""))</f>
        <v/>
      </c>
      <c r="Z213">
        <f>IF(T213,V213&amp;"|"&amp;U213,"")</f>
        <v/>
      </c>
      <c r="AA213">
        <f>IF(NOT(Q213),"",IF(NOT(AND(R213,S213)),"✕",IF(OR(OR(AND(L213&lt;&gt;"",M213&lt;&gt;"",N(M213)-N(L213)&gt;설정!$B$27),AND(L213&lt;&gt;"",M213="",설정!$B$24-N(L213)&gt;설정!$B$27)),AND(D213&lt;&gt;"",D213&lt;설정!$B$26)),"△","★")))</f>
        <v/>
      </c>
      <c r="AB213">
        <f>IF(NOT(T213),"",IF(U213="설계사",설정!$B$31,IF(U213="시공사",IF(OR(M213="",설정!$B$24-N(M213)&lt;=설정!$B$28*30.4),설정!$B$32,설정!$B$33),설정!$B$34))+IF(AA213="★",설정!$B$35,0))</f>
        <v/>
      </c>
      <c r="AC213">
        <f>SUBSTITUTE(SUBSTITUTE(SUBSTITUTE(SUBSTITUTE(H213,"(주)",""),"㈜",""),"주식회사","")," ","")</f>
        <v/>
      </c>
      <c r="AD213">
        <f>IF(AND(T213,AC213&lt;&gt;""),IF(COUNTIFS(AC$2:AC213,AC213,T$2:T213,TRUE)=1,MAX(AD$1:AD212)+1,""),"")</f>
        <v/>
      </c>
    </row>
    <row r="214">
      <c r="A214">
        <f>ROW()</f>
        <v/>
      </c>
      <c r="B214">
        <f>IF(설정!$C$4="","",IFERROR(INDEX('1.산군_붙여넣기'!$A$1:$AZ$1001,ROW(),설정!$C$4)&amp;"",""))</f>
        <v/>
      </c>
      <c r="C214">
        <f>IF(설정!$C$5="","",IFERROR(INDEX('1.산군_붙여넣기'!$A$1:$AZ$1001,ROW(),설정!$C$5)&amp;"",""))</f>
        <v/>
      </c>
      <c r="D214" s="5">
        <f>IFERROR(VALUE(SUBSTITUTE(SUBSTITUTE(SUBSTITUTE(IF(설정!$C$6="","",IFERROR(INDEX('1.산군_붙여넣기'!$A$1:$AZ$1001,ROW(),설정!$C$6)&amp;"","")),",",""),"㎡",""),"m2","")),"")</f>
        <v/>
      </c>
      <c r="E214">
        <f>IF(설정!$C$7="","",IFERROR(INDEX('1.산군_붙여넣기'!$A$1:$AZ$1001,ROW(),설정!$C$7)&amp;"",""))</f>
        <v/>
      </c>
      <c r="F214">
        <f>IF(설정!$C$8="","",IFERROR(INDEX('1.산군_붙여넣기'!$A$1:$AZ$1001,ROW(),설정!$C$8)&amp;"",""))</f>
        <v/>
      </c>
      <c r="G214">
        <f>IF(설정!$C$9="","",IFERROR(INDEX('1.산군_붙여넣기'!$A$1:$AZ$1001,ROW(),설정!$C$9)&amp;"",""))</f>
        <v/>
      </c>
      <c r="H214">
        <f>IF(설정!$C$10="","",IFERROR(INDEX('1.산군_붙여넣기'!$A$1:$AZ$1001,ROW(),설정!$C$10)&amp;"",""))</f>
        <v/>
      </c>
      <c r="I214">
        <f>IF(설정!$C$11="","",IFERROR(INDEX('1.산군_붙여넣기'!$A$1:$AZ$1001,ROW(),설정!$C$11)&amp;"",""))</f>
        <v/>
      </c>
      <c r="J214">
        <f>IF(설정!$C$12="","",IFERROR(INDEX('1.산군_붙여넣기'!$A$1:$AZ$1001,ROW(),설정!$C$12)&amp;"",""))</f>
        <v/>
      </c>
      <c r="K214">
        <f>IF(설정!$C$13="","",IFERROR(INDEX('1.산군_붙여넣기'!$A$1:$AZ$1001,ROW(),설정!$C$13)&amp;"",""))</f>
        <v/>
      </c>
      <c r="L214" s="7">
        <f>IF(X214="","",IF(AND(LEN(X214)=8,ISNUMBER(X214*1)),DATE(LEFT(X214,4),MID(X214,5,2),RIGHT(X214,2)),IFERROR(DATEVALUE(SUBSTITUTE(SUBSTITUTE(X214,".","-"),"/","-")),IFERROR(X214*1,""))))</f>
        <v/>
      </c>
      <c r="M214" s="7">
        <f>IF(Y214="","",IF(AND(LEN(Y214)=8,ISNUMBER(Y214*1)),DATE(LEFT(Y214,4),MID(Y214,5,2),RIGHT(Y214,2)),IFERROR(DATEVALUE(SUBSTITUTE(SUBSTITUTE(Y214,".","-"),"/","-")),IFERROR(Y214*1,""))))</f>
        <v/>
      </c>
      <c r="N214">
        <f>IFERROR(LEFT(B214,FIND(" ",B214)-1),B214)</f>
        <v/>
      </c>
      <c r="O214">
        <f>AND(B214&lt;&gt;"",B214&lt;&gt;설정!$B$4,C214&lt;&gt;설정!$B$5)</f>
        <v/>
      </c>
      <c r="P214">
        <f>IF(O214,B214&amp;"|"&amp;C214,"")</f>
        <v/>
      </c>
      <c r="Q214">
        <f>AND(O214,COUNTIF(P215:P$1002,P214)=0)</f>
        <v/>
      </c>
      <c r="R214">
        <f>OR(AND(설정!$A$42&lt;&gt;"",ISNUMBER(SEARCH(설정!$A$42,E214&amp;" "&amp;C214))),AND(설정!$A$43&lt;&gt;"",ISNUMBER(SEARCH(설정!$A$43,E214&amp;" "&amp;C214))),AND(설정!$A$44&lt;&gt;"",ISNUMBER(SEARCH(설정!$A$44,E214&amp;" "&amp;C214))),AND(설정!$A$45&lt;&gt;"",ISNUMBER(SEARCH(설정!$A$45,E214&amp;" "&amp;C214))),AND(설정!$A$46&lt;&gt;"",ISNUMBER(SEARCH(설정!$A$46,E214&amp;" "&amp;C214))),AND(설정!$A$47&lt;&gt;"",ISNUMBER(SEARCH(설정!$A$47,E214&amp;" "&amp;C214))),AND(설정!$A$48&lt;&gt;"",ISNUMBER(SEARCH(설정!$A$48,E214&amp;" "&amp;C214))),AND(설정!$A$49&lt;&gt;"",ISNUMBER(SEARCH(설정!$A$49,E214&amp;" "&amp;C214))),AND(설정!$A$50&lt;&gt;"",ISNUMBER(SEARCH(설정!$A$50,E214&amp;" "&amp;C214))),AND(설정!$A$51&lt;&gt;"",ISNUMBER(SEARCH(설정!$A$51,E214&amp;" "&amp;C214))))</f>
        <v/>
      </c>
      <c r="S214">
        <f>OR(D214="",D214&gt;=설정!$B$19)</f>
        <v/>
      </c>
      <c r="T214">
        <f>AND(Q214,R214,S214)</f>
        <v/>
      </c>
      <c r="U214">
        <f>IF(T214,IF(AND(설정!$A$54&lt;&gt;"",ISNUMBER(SEARCH(설정!$A$54,K214))),설정!$B$54,IF(AND(설정!$A$55&lt;&gt;"",ISNUMBER(SEARCH(설정!$A$55,K214))),설정!$B$55,IF(AND(설정!$A$56&lt;&gt;"",ISNUMBER(SEARCH(설정!$A$56,K214))),설정!$B$56,IF(AND(설정!$A$57&lt;&gt;"",ISNUMBER(SEARCH(설정!$A$57,K214))),설정!$B$57,IF(AND(설정!$A$58&lt;&gt;"",ISNUMBER(SEARCH(설정!$A$58,K214))),설정!$B$58,IF(AND(설정!$A$59&lt;&gt;"",ISNUMBER(SEARCH(설정!$A$59,K214))),설정!$B$59,IF(AND(설정!$A$60&lt;&gt;"",ISNUMBER(SEARCH(설정!$A$60,K214))),설정!$B$60,IF(AND(설정!$A$61&lt;&gt;"",ISNUMBER(SEARCH(설정!$A$61,K214))),설정!$B$61,IF(M214="","설계사","시공사"))))))))),"")</f>
        <v/>
      </c>
      <c r="V214">
        <f>SUBSTITUTE(SUBSTITUTE(SUBSTITUTE(SUBSTITUTE(G214,"(주)",""),"㈜",""),"주식회사","")," ","")</f>
        <v/>
      </c>
      <c r="W214">
        <f>IF(AND(T214,V214&lt;&gt;""),IF(COUNTIFS(V$2:V214,V214,T$2:T214,TRUE)=1,MAX(W$1:W213)+1,""),"")</f>
        <v/>
      </c>
      <c r="X214">
        <f>IF(설정!$C$14="","",IFERROR(INDEX('1.산군_붙여넣기'!$A$1:$AZ$1001,ROW(),설정!$C$14)&amp;"",""))</f>
        <v/>
      </c>
      <c r="Y214">
        <f>IF(설정!$C$15="","",IFERROR(INDEX('1.산군_붙여넣기'!$A$1:$AZ$1001,ROW(),설정!$C$15)&amp;"",""))</f>
        <v/>
      </c>
      <c r="Z214">
        <f>IF(T214,V214&amp;"|"&amp;U214,"")</f>
        <v/>
      </c>
      <c r="AA214">
        <f>IF(NOT(Q214),"",IF(NOT(AND(R214,S214)),"✕",IF(OR(OR(AND(L214&lt;&gt;"",M214&lt;&gt;"",N(M214)-N(L214)&gt;설정!$B$27),AND(L214&lt;&gt;"",M214="",설정!$B$24-N(L214)&gt;설정!$B$27)),AND(D214&lt;&gt;"",D214&lt;설정!$B$26)),"△","★")))</f>
        <v/>
      </c>
      <c r="AB214">
        <f>IF(NOT(T214),"",IF(U214="설계사",설정!$B$31,IF(U214="시공사",IF(OR(M214="",설정!$B$24-N(M214)&lt;=설정!$B$28*30.4),설정!$B$32,설정!$B$33),설정!$B$34))+IF(AA214="★",설정!$B$35,0))</f>
        <v/>
      </c>
      <c r="AC214">
        <f>SUBSTITUTE(SUBSTITUTE(SUBSTITUTE(SUBSTITUTE(H214,"(주)",""),"㈜",""),"주식회사","")," ","")</f>
        <v/>
      </c>
      <c r="AD214">
        <f>IF(AND(T214,AC214&lt;&gt;""),IF(COUNTIFS(AC$2:AC214,AC214,T$2:T214,TRUE)=1,MAX(AD$1:AD213)+1,""),"")</f>
        <v/>
      </c>
    </row>
    <row r="215">
      <c r="A215">
        <f>ROW()</f>
        <v/>
      </c>
      <c r="B215">
        <f>IF(설정!$C$4="","",IFERROR(INDEX('1.산군_붙여넣기'!$A$1:$AZ$1001,ROW(),설정!$C$4)&amp;"",""))</f>
        <v/>
      </c>
      <c r="C215">
        <f>IF(설정!$C$5="","",IFERROR(INDEX('1.산군_붙여넣기'!$A$1:$AZ$1001,ROW(),설정!$C$5)&amp;"",""))</f>
        <v/>
      </c>
      <c r="D215" s="5">
        <f>IFERROR(VALUE(SUBSTITUTE(SUBSTITUTE(SUBSTITUTE(IF(설정!$C$6="","",IFERROR(INDEX('1.산군_붙여넣기'!$A$1:$AZ$1001,ROW(),설정!$C$6)&amp;"","")),",",""),"㎡",""),"m2","")),"")</f>
        <v/>
      </c>
      <c r="E215">
        <f>IF(설정!$C$7="","",IFERROR(INDEX('1.산군_붙여넣기'!$A$1:$AZ$1001,ROW(),설정!$C$7)&amp;"",""))</f>
        <v/>
      </c>
      <c r="F215">
        <f>IF(설정!$C$8="","",IFERROR(INDEX('1.산군_붙여넣기'!$A$1:$AZ$1001,ROW(),설정!$C$8)&amp;"",""))</f>
        <v/>
      </c>
      <c r="G215">
        <f>IF(설정!$C$9="","",IFERROR(INDEX('1.산군_붙여넣기'!$A$1:$AZ$1001,ROW(),설정!$C$9)&amp;"",""))</f>
        <v/>
      </c>
      <c r="H215">
        <f>IF(설정!$C$10="","",IFERROR(INDEX('1.산군_붙여넣기'!$A$1:$AZ$1001,ROW(),설정!$C$10)&amp;"",""))</f>
        <v/>
      </c>
      <c r="I215">
        <f>IF(설정!$C$11="","",IFERROR(INDEX('1.산군_붙여넣기'!$A$1:$AZ$1001,ROW(),설정!$C$11)&amp;"",""))</f>
        <v/>
      </c>
      <c r="J215">
        <f>IF(설정!$C$12="","",IFERROR(INDEX('1.산군_붙여넣기'!$A$1:$AZ$1001,ROW(),설정!$C$12)&amp;"",""))</f>
        <v/>
      </c>
      <c r="K215">
        <f>IF(설정!$C$13="","",IFERROR(INDEX('1.산군_붙여넣기'!$A$1:$AZ$1001,ROW(),설정!$C$13)&amp;"",""))</f>
        <v/>
      </c>
      <c r="L215" s="7">
        <f>IF(X215="","",IF(AND(LEN(X215)=8,ISNUMBER(X215*1)),DATE(LEFT(X215,4),MID(X215,5,2),RIGHT(X215,2)),IFERROR(DATEVALUE(SUBSTITUTE(SUBSTITUTE(X215,".","-"),"/","-")),IFERROR(X215*1,""))))</f>
        <v/>
      </c>
      <c r="M215" s="7">
        <f>IF(Y215="","",IF(AND(LEN(Y215)=8,ISNUMBER(Y215*1)),DATE(LEFT(Y215,4),MID(Y215,5,2),RIGHT(Y215,2)),IFERROR(DATEVALUE(SUBSTITUTE(SUBSTITUTE(Y215,".","-"),"/","-")),IFERROR(Y215*1,""))))</f>
        <v/>
      </c>
      <c r="N215">
        <f>IFERROR(LEFT(B215,FIND(" ",B215)-1),B215)</f>
        <v/>
      </c>
      <c r="O215">
        <f>AND(B215&lt;&gt;"",B215&lt;&gt;설정!$B$4,C215&lt;&gt;설정!$B$5)</f>
        <v/>
      </c>
      <c r="P215">
        <f>IF(O215,B215&amp;"|"&amp;C215,"")</f>
        <v/>
      </c>
      <c r="Q215">
        <f>AND(O215,COUNTIF(P216:P$1002,P215)=0)</f>
        <v/>
      </c>
      <c r="R215">
        <f>OR(AND(설정!$A$42&lt;&gt;"",ISNUMBER(SEARCH(설정!$A$42,E215&amp;" "&amp;C215))),AND(설정!$A$43&lt;&gt;"",ISNUMBER(SEARCH(설정!$A$43,E215&amp;" "&amp;C215))),AND(설정!$A$44&lt;&gt;"",ISNUMBER(SEARCH(설정!$A$44,E215&amp;" "&amp;C215))),AND(설정!$A$45&lt;&gt;"",ISNUMBER(SEARCH(설정!$A$45,E215&amp;" "&amp;C215))),AND(설정!$A$46&lt;&gt;"",ISNUMBER(SEARCH(설정!$A$46,E215&amp;" "&amp;C215))),AND(설정!$A$47&lt;&gt;"",ISNUMBER(SEARCH(설정!$A$47,E215&amp;" "&amp;C215))),AND(설정!$A$48&lt;&gt;"",ISNUMBER(SEARCH(설정!$A$48,E215&amp;" "&amp;C215))),AND(설정!$A$49&lt;&gt;"",ISNUMBER(SEARCH(설정!$A$49,E215&amp;" "&amp;C215))),AND(설정!$A$50&lt;&gt;"",ISNUMBER(SEARCH(설정!$A$50,E215&amp;" "&amp;C215))),AND(설정!$A$51&lt;&gt;"",ISNUMBER(SEARCH(설정!$A$51,E215&amp;" "&amp;C215))))</f>
        <v/>
      </c>
      <c r="S215">
        <f>OR(D215="",D215&gt;=설정!$B$19)</f>
        <v/>
      </c>
      <c r="T215">
        <f>AND(Q215,R215,S215)</f>
        <v/>
      </c>
      <c r="U215">
        <f>IF(T215,IF(AND(설정!$A$54&lt;&gt;"",ISNUMBER(SEARCH(설정!$A$54,K215))),설정!$B$54,IF(AND(설정!$A$55&lt;&gt;"",ISNUMBER(SEARCH(설정!$A$55,K215))),설정!$B$55,IF(AND(설정!$A$56&lt;&gt;"",ISNUMBER(SEARCH(설정!$A$56,K215))),설정!$B$56,IF(AND(설정!$A$57&lt;&gt;"",ISNUMBER(SEARCH(설정!$A$57,K215))),설정!$B$57,IF(AND(설정!$A$58&lt;&gt;"",ISNUMBER(SEARCH(설정!$A$58,K215))),설정!$B$58,IF(AND(설정!$A$59&lt;&gt;"",ISNUMBER(SEARCH(설정!$A$59,K215))),설정!$B$59,IF(AND(설정!$A$60&lt;&gt;"",ISNUMBER(SEARCH(설정!$A$60,K215))),설정!$B$60,IF(AND(설정!$A$61&lt;&gt;"",ISNUMBER(SEARCH(설정!$A$61,K215))),설정!$B$61,IF(M215="","설계사","시공사"))))))))),"")</f>
        <v/>
      </c>
      <c r="V215">
        <f>SUBSTITUTE(SUBSTITUTE(SUBSTITUTE(SUBSTITUTE(G215,"(주)",""),"㈜",""),"주식회사","")," ","")</f>
        <v/>
      </c>
      <c r="W215">
        <f>IF(AND(T215,V215&lt;&gt;""),IF(COUNTIFS(V$2:V215,V215,T$2:T215,TRUE)=1,MAX(W$1:W214)+1,""),"")</f>
        <v/>
      </c>
      <c r="X215">
        <f>IF(설정!$C$14="","",IFERROR(INDEX('1.산군_붙여넣기'!$A$1:$AZ$1001,ROW(),설정!$C$14)&amp;"",""))</f>
        <v/>
      </c>
      <c r="Y215">
        <f>IF(설정!$C$15="","",IFERROR(INDEX('1.산군_붙여넣기'!$A$1:$AZ$1001,ROW(),설정!$C$15)&amp;"",""))</f>
        <v/>
      </c>
      <c r="Z215">
        <f>IF(T215,V215&amp;"|"&amp;U215,"")</f>
        <v/>
      </c>
      <c r="AA215">
        <f>IF(NOT(Q215),"",IF(NOT(AND(R215,S215)),"✕",IF(OR(OR(AND(L215&lt;&gt;"",M215&lt;&gt;"",N(M215)-N(L215)&gt;설정!$B$27),AND(L215&lt;&gt;"",M215="",설정!$B$24-N(L215)&gt;설정!$B$27)),AND(D215&lt;&gt;"",D215&lt;설정!$B$26)),"△","★")))</f>
        <v/>
      </c>
      <c r="AB215">
        <f>IF(NOT(T215),"",IF(U215="설계사",설정!$B$31,IF(U215="시공사",IF(OR(M215="",설정!$B$24-N(M215)&lt;=설정!$B$28*30.4),설정!$B$32,설정!$B$33),설정!$B$34))+IF(AA215="★",설정!$B$35,0))</f>
        <v/>
      </c>
      <c r="AC215">
        <f>SUBSTITUTE(SUBSTITUTE(SUBSTITUTE(SUBSTITUTE(H215,"(주)",""),"㈜",""),"주식회사","")," ","")</f>
        <v/>
      </c>
      <c r="AD215">
        <f>IF(AND(T215,AC215&lt;&gt;""),IF(COUNTIFS(AC$2:AC215,AC215,T$2:T215,TRUE)=1,MAX(AD$1:AD214)+1,""),"")</f>
        <v/>
      </c>
    </row>
    <row r="216">
      <c r="A216">
        <f>ROW()</f>
        <v/>
      </c>
      <c r="B216">
        <f>IF(설정!$C$4="","",IFERROR(INDEX('1.산군_붙여넣기'!$A$1:$AZ$1001,ROW(),설정!$C$4)&amp;"",""))</f>
        <v/>
      </c>
      <c r="C216">
        <f>IF(설정!$C$5="","",IFERROR(INDEX('1.산군_붙여넣기'!$A$1:$AZ$1001,ROW(),설정!$C$5)&amp;"",""))</f>
        <v/>
      </c>
      <c r="D216" s="5">
        <f>IFERROR(VALUE(SUBSTITUTE(SUBSTITUTE(SUBSTITUTE(IF(설정!$C$6="","",IFERROR(INDEX('1.산군_붙여넣기'!$A$1:$AZ$1001,ROW(),설정!$C$6)&amp;"","")),",",""),"㎡",""),"m2","")),"")</f>
        <v/>
      </c>
      <c r="E216">
        <f>IF(설정!$C$7="","",IFERROR(INDEX('1.산군_붙여넣기'!$A$1:$AZ$1001,ROW(),설정!$C$7)&amp;"",""))</f>
        <v/>
      </c>
      <c r="F216">
        <f>IF(설정!$C$8="","",IFERROR(INDEX('1.산군_붙여넣기'!$A$1:$AZ$1001,ROW(),설정!$C$8)&amp;"",""))</f>
        <v/>
      </c>
      <c r="G216">
        <f>IF(설정!$C$9="","",IFERROR(INDEX('1.산군_붙여넣기'!$A$1:$AZ$1001,ROW(),설정!$C$9)&amp;"",""))</f>
        <v/>
      </c>
      <c r="H216">
        <f>IF(설정!$C$10="","",IFERROR(INDEX('1.산군_붙여넣기'!$A$1:$AZ$1001,ROW(),설정!$C$10)&amp;"",""))</f>
        <v/>
      </c>
      <c r="I216">
        <f>IF(설정!$C$11="","",IFERROR(INDEX('1.산군_붙여넣기'!$A$1:$AZ$1001,ROW(),설정!$C$11)&amp;"",""))</f>
        <v/>
      </c>
      <c r="J216">
        <f>IF(설정!$C$12="","",IFERROR(INDEX('1.산군_붙여넣기'!$A$1:$AZ$1001,ROW(),설정!$C$12)&amp;"",""))</f>
        <v/>
      </c>
      <c r="K216">
        <f>IF(설정!$C$13="","",IFERROR(INDEX('1.산군_붙여넣기'!$A$1:$AZ$1001,ROW(),설정!$C$13)&amp;"",""))</f>
        <v/>
      </c>
      <c r="L216" s="7">
        <f>IF(X216="","",IF(AND(LEN(X216)=8,ISNUMBER(X216*1)),DATE(LEFT(X216,4),MID(X216,5,2),RIGHT(X216,2)),IFERROR(DATEVALUE(SUBSTITUTE(SUBSTITUTE(X216,".","-"),"/","-")),IFERROR(X216*1,""))))</f>
        <v/>
      </c>
      <c r="M216" s="7">
        <f>IF(Y216="","",IF(AND(LEN(Y216)=8,ISNUMBER(Y216*1)),DATE(LEFT(Y216,4),MID(Y216,5,2),RIGHT(Y216,2)),IFERROR(DATEVALUE(SUBSTITUTE(SUBSTITUTE(Y216,".","-"),"/","-")),IFERROR(Y216*1,""))))</f>
        <v/>
      </c>
      <c r="N216">
        <f>IFERROR(LEFT(B216,FIND(" ",B216)-1),B216)</f>
        <v/>
      </c>
      <c r="O216">
        <f>AND(B216&lt;&gt;"",B216&lt;&gt;설정!$B$4,C216&lt;&gt;설정!$B$5)</f>
        <v/>
      </c>
      <c r="P216">
        <f>IF(O216,B216&amp;"|"&amp;C216,"")</f>
        <v/>
      </c>
      <c r="Q216">
        <f>AND(O216,COUNTIF(P217:P$1002,P216)=0)</f>
        <v/>
      </c>
      <c r="R216">
        <f>OR(AND(설정!$A$42&lt;&gt;"",ISNUMBER(SEARCH(설정!$A$42,E216&amp;" "&amp;C216))),AND(설정!$A$43&lt;&gt;"",ISNUMBER(SEARCH(설정!$A$43,E216&amp;" "&amp;C216))),AND(설정!$A$44&lt;&gt;"",ISNUMBER(SEARCH(설정!$A$44,E216&amp;" "&amp;C216))),AND(설정!$A$45&lt;&gt;"",ISNUMBER(SEARCH(설정!$A$45,E216&amp;" "&amp;C216))),AND(설정!$A$46&lt;&gt;"",ISNUMBER(SEARCH(설정!$A$46,E216&amp;" "&amp;C216))),AND(설정!$A$47&lt;&gt;"",ISNUMBER(SEARCH(설정!$A$47,E216&amp;" "&amp;C216))),AND(설정!$A$48&lt;&gt;"",ISNUMBER(SEARCH(설정!$A$48,E216&amp;" "&amp;C216))),AND(설정!$A$49&lt;&gt;"",ISNUMBER(SEARCH(설정!$A$49,E216&amp;" "&amp;C216))),AND(설정!$A$50&lt;&gt;"",ISNUMBER(SEARCH(설정!$A$50,E216&amp;" "&amp;C216))),AND(설정!$A$51&lt;&gt;"",ISNUMBER(SEARCH(설정!$A$51,E216&amp;" "&amp;C216))))</f>
        <v/>
      </c>
      <c r="S216">
        <f>OR(D216="",D216&gt;=설정!$B$19)</f>
        <v/>
      </c>
      <c r="T216">
        <f>AND(Q216,R216,S216)</f>
        <v/>
      </c>
      <c r="U216">
        <f>IF(T216,IF(AND(설정!$A$54&lt;&gt;"",ISNUMBER(SEARCH(설정!$A$54,K216))),설정!$B$54,IF(AND(설정!$A$55&lt;&gt;"",ISNUMBER(SEARCH(설정!$A$55,K216))),설정!$B$55,IF(AND(설정!$A$56&lt;&gt;"",ISNUMBER(SEARCH(설정!$A$56,K216))),설정!$B$56,IF(AND(설정!$A$57&lt;&gt;"",ISNUMBER(SEARCH(설정!$A$57,K216))),설정!$B$57,IF(AND(설정!$A$58&lt;&gt;"",ISNUMBER(SEARCH(설정!$A$58,K216))),설정!$B$58,IF(AND(설정!$A$59&lt;&gt;"",ISNUMBER(SEARCH(설정!$A$59,K216))),설정!$B$59,IF(AND(설정!$A$60&lt;&gt;"",ISNUMBER(SEARCH(설정!$A$60,K216))),설정!$B$60,IF(AND(설정!$A$61&lt;&gt;"",ISNUMBER(SEARCH(설정!$A$61,K216))),설정!$B$61,IF(M216="","설계사","시공사"))))))))),"")</f>
        <v/>
      </c>
      <c r="V216">
        <f>SUBSTITUTE(SUBSTITUTE(SUBSTITUTE(SUBSTITUTE(G216,"(주)",""),"㈜",""),"주식회사","")," ","")</f>
        <v/>
      </c>
      <c r="W216">
        <f>IF(AND(T216,V216&lt;&gt;""),IF(COUNTIFS(V$2:V216,V216,T$2:T216,TRUE)=1,MAX(W$1:W215)+1,""),"")</f>
        <v/>
      </c>
      <c r="X216">
        <f>IF(설정!$C$14="","",IFERROR(INDEX('1.산군_붙여넣기'!$A$1:$AZ$1001,ROW(),설정!$C$14)&amp;"",""))</f>
        <v/>
      </c>
      <c r="Y216">
        <f>IF(설정!$C$15="","",IFERROR(INDEX('1.산군_붙여넣기'!$A$1:$AZ$1001,ROW(),설정!$C$15)&amp;"",""))</f>
        <v/>
      </c>
      <c r="Z216">
        <f>IF(T216,V216&amp;"|"&amp;U216,"")</f>
        <v/>
      </c>
      <c r="AA216">
        <f>IF(NOT(Q216),"",IF(NOT(AND(R216,S216)),"✕",IF(OR(OR(AND(L216&lt;&gt;"",M216&lt;&gt;"",N(M216)-N(L216)&gt;설정!$B$27),AND(L216&lt;&gt;"",M216="",설정!$B$24-N(L216)&gt;설정!$B$27)),AND(D216&lt;&gt;"",D216&lt;설정!$B$26)),"△","★")))</f>
        <v/>
      </c>
      <c r="AB216">
        <f>IF(NOT(T216),"",IF(U216="설계사",설정!$B$31,IF(U216="시공사",IF(OR(M216="",설정!$B$24-N(M216)&lt;=설정!$B$28*30.4),설정!$B$32,설정!$B$33),설정!$B$34))+IF(AA216="★",설정!$B$35,0))</f>
        <v/>
      </c>
      <c r="AC216">
        <f>SUBSTITUTE(SUBSTITUTE(SUBSTITUTE(SUBSTITUTE(H216,"(주)",""),"㈜",""),"주식회사","")," ","")</f>
        <v/>
      </c>
      <c r="AD216">
        <f>IF(AND(T216,AC216&lt;&gt;""),IF(COUNTIFS(AC$2:AC216,AC216,T$2:T216,TRUE)=1,MAX(AD$1:AD215)+1,""),"")</f>
        <v/>
      </c>
    </row>
    <row r="217">
      <c r="A217">
        <f>ROW()</f>
        <v/>
      </c>
      <c r="B217">
        <f>IF(설정!$C$4="","",IFERROR(INDEX('1.산군_붙여넣기'!$A$1:$AZ$1001,ROW(),설정!$C$4)&amp;"",""))</f>
        <v/>
      </c>
      <c r="C217">
        <f>IF(설정!$C$5="","",IFERROR(INDEX('1.산군_붙여넣기'!$A$1:$AZ$1001,ROW(),설정!$C$5)&amp;"",""))</f>
        <v/>
      </c>
      <c r="D217" s="5">
        <f>IFERROR(VALUE(SUBSTITUTE(SUBSTITUTE(SUBSTITUTE(IF(설정!$C$6="","",IFERROR(INDEX('1.산군_붙여넣기'!$A$1:$AZ$1001,ROW(),설정!$C$6)&amp;"","")),",",""),"㎡",""),"m2","")),"")</f>
        <v/>
      </c>
      <c r="E217">
        <f>IF(설정!$C$7="","",IFERROR(INDEX('1.산군_붙여넣기'!$A$1:$AZ$1001,ROW(),설정!$C$7)&amp;"",""))</f>
        <v/>
      </c>
      <c r="F217">
        <f>IF(설정!$C$8="","",IFERROR(INDEX('1.산군_붙여넣기'!$A$1:$AZ$1001,ROW(),설정!$C$8)&amp;"",""))</f>
        <v/>
      </c>
      <c r="G217">
        <f>IF(설정!$C$9="","",IFERROR(INDEX('1.산군_붙여넣기'!$A$1:$AZ$1001,ROW(),설정!$C$9)&amp;"",""))</f>
        <v/>
      </c>
      <c r="H217">
        <f>IF(설정!$C$10="","",IFERROR(INDEX('1.산군_붙여넣기'!$A$1:$AZ$1001,ROW(),설정!$C$10)&amp;"",""))</f>
        <v/>
      </c>
      <c r="I217">
        <f>IF(설정!$C$11="","",IFERROR(INDEX('1.산군_붙여넣기'!$A$1:$AZ$1001,ROW(),설정!$C$11)&amp;"",""))</f>
        <v/>
      </c>
      <c r="J217">
        <f>IF(설정!$C$12="","",IFERROR(INDEX('1.산군_붙여넣기'!$A$1:$AZ$1001,ROW(),설정!$C$12)&amp;"",""))</f>
        <v/>
      </c>
      <c r="K217">
        <f>IF(설정!$C$13="","",IFERROR(INDEX('1.산군_붙여넣기'!$A$1:$AZ$1001,ROW(),설정!$C$13)&amp;"",""))</f>
        <v/>
      </c>
      <c r="L217" s="7">
        <f>IF(X217="","",IF(AND(LEN(X217)=8,ISNUMBER(X217*1)),DATE(LEFT(X217,4),MID(X217,5,2),RIGHT(X217,2)),IFERROR(DATEVALUE(SUBSTITUTE(SUBSTITUTE(X217,".","-"),"/","-")),IFERROR(X217*1,""))))</f>
        <v/>
      </c>
      <c r="M217" s="7">
        <f>IF(Y217="","",IF(AND(LEN(Y217)=8,ISNUMBER(Y217*1)),DATE(LEFT(Y217,4),MID(Y217,5,2),RIGHT(Y217,2)),IFERROR(DATEVALUE(SUBSTITUTE(SUBSTITUTE(Y217,".","-"),"/","-")),IFERROR(Y217*1,""))))</f>
        <v/>
      </c>
      <c r="N217">
        <f>IFERROR(LEFT(B217,FIND(" ",B217)-1),B217)</f>
        <v/>
      </c>
      <c r="O217">
        <f>AND(B217&lt;&gt;"",B217&lt;&gt;설정!$B$4,C217&lt;&gt;설정!$B$5)</f>
        <v/>
      </c>
      <c r="P217">
        <f>IF(O217,B217&amp;"|"&amp;C217,"")</f>
        <v/>
      </c>
      <c r="Q217">
        <f>AND(O217,COUNTIF(P218:P$1002,P217)=0)</f>
        <v/>
      </c>
      <c r="R217">
        <f>OR(AND(설정!$A$42&lt;&gt;"",ISNUMBER(SEARCH(설정!$A$42,E217&amp;" "&amp;C217))),AND(설정!$A$43&lt;&gt;"",ISNUMBER(SEARCH(설정!$A$43,E217&amp;" "&amp;C217))),AND(설정!$A$44&lt;&gt;"",ISNUMBER(SEARCH(설정!$A$44,E217&amp;" "&amp;C217))),AND(설정!$A$45&lt;&gt;"",ISNUMBER(SEARCH(설정!$A$45,E217&amp;" "&amp;C217))),AND(설정!$A$46&lt;&gt;"",ISNUMBER(SEARCH(설정!$A$46,E217&amp;" "&amp;C217))),AND(설정!$A$47&lt;&gt;"",ISNUMBER(SEARCH(설정!$A$47,E217&amp;" "&amp;C217))),AND(설정!$A$48&lt;&gt;"",ISNUMBER(SEARCH(설정!$A$48,E217&amp;" "&amp;C217))),AND(설정!$A$49&lt;&gt;"",ISNUMBER(SEARCH(설정!$A$49,E217&amp;" "&amp;C217))),AND(설정!$A$50&lt;&gt;"",ISNUMBER(SEARCH(설정!$A$50,E217&amp;" "&amp;C217))),AND(설정!$A$51&lt;&gt;"",ISNUMBER(SEARCH(설정!$A$51,E217&amp;" "&amp;C217))))</f>
        <v/>
      </c>
      <c r="S217">
        <f>OR(D217="",D217&gt;=설정!$B$19)</f>
        <v/>
      </c>
      <c r="T217">
        <f>AND(Q217,R217,S217)</f>
        <v/>
      </c>
      <c r="U217">
        <f>IF(T217,IF(AND(설정!$A$54&lt;&gt;"",ISNUMBER(SEARCH(설정!$A$54,K217))),설정!$B$54,IF(AND(설정!$A$55&lt;&gt;"",ISNUMBER(SEARCH(설정!$A$55,K217))),설정!$B$55,IF(AND(설정!$A$56&lt;&gt;"",ISNUMBER(SEARCH(설정!$A$56,K217))),설정!$B$56,IF(AND(설정!$A$57&lt;&gt;"",ISNUMBER(SEARCH(설정!$A$57,K217))),설정!$B$57,IF(AND(설정!$A$58&lt;&gt;"",ISNUMBER(SEARCH(설정!$A$58,K217))),설정!$B$58,IF(AND(설정!$A$59&lt;&gt;"",ISNUMBER(SEARCH(설정!$A$59,K217))),설정!$B$59,IF(AND(설정!$A$60&lt;&gt;"",ISNUMBER(SEARCH(설정!$A$60,K217))),설정!$B$60,IF(AND(설정!$A$61&lt;&gt;"",ISNUMBER(SEARCH(설정!$A$61,K217))),설정!$B$61,IF(M217="","설계사","시공사"))))))))),"")</f>
        <v/>
      </c>
      <c r="V217">
        <f>SUBSTITUTE(SUBSTITUTE(SUBSTITUTE(SUBSTITUTE(G217,"(주)",""),"㈜",""),"주식회사","")," ","")</f>
        <v/>
      </c>
      <c r="W217">
        <f>IF(AND(T217,V217&lt;&gt;""),IF(COUNTIFS(V$2:V217,V217,T$2:T217,TRUE)=1,MAX(W$1:W216)+1,""),"")</f>
        <v/>
      </c>
      <c r="X217">
        <f>IF(설정!$C$14="","",IFERROR(INDEX('1.산군_붙여넣기'!$A$1:$AZ$1001,ROW(),설정!$C$14)&amp;"",""))</f>
        <v/>
      </c>
      <c r="Y217">
        <f>IF(설정!$C$15="","",IFERROR(INDEX('1.산군_붙여넣기'!$A$1:$AZ$1001,ROW(),설정!$C$15)&amp;"",""))</f>
        <v/>
      </c>
      <c r="Z217">
        <f>IF(T217,V217&amp;"|"&amp;U217,"")</f>
        <v/>
      </c>
      <c r="AA217">
        <f>IF(NOT(Q217),"",IF(NOT(AND(R217,S217)),"✕",IF(OR(OR(AND(L217&lt;&gt;"",M217&lt;&gt;"",N(M217)-N(L217)&gt;설정!$B$27),AND(L217&lt;&gt;"",M217="",설정!$B$24-N(L217)&gt;설정!$B$27)),AND(D217&lt;&gt;"",D217&lt;설정!$B$26)),"△","★")))</f>
        <v/>
      </c>
      <c r="AB217">
        <f>IF(NOT(T217),"",IF(U217="설계사",설정!$B$31,IF(U217="시공사",IF(OR(M217="",설정!$B$24-N(M217)&lt;=설정!$B$28*30.4),설정!$B$32,설정!$B$33),설정!$B$34))+IF(AA217="★",설정!$B$35,0))</f>
        <v/>
      </c>
      <c r="AC217">
        <f>SUBSTITUTE(SUBSTITUTE(SUBSTITUTE(SUBSTITUTE(H217,"(주)",""),"㈜",""),"주식회사","")," ","")</f>
        <v/>
      </c>
      <c r="AD217">
        <f>IF(AND(T217,AC217&lt;&gt;""),IF(COUNTIFS(AC$2:AC217,AC217,T$2:T217,TRUE)=1,MAX(AD$1:AD216)+1,""),"")</f>
        <v/>
      </c>
    </row>
    <row r="218">
      <c r="A218">
        <f>ROW()</f>
        <v/>
      </c>
      <c r="B218">
        <f>IF(설정!$C$4="","",IFERROR(INDEX('1.산군_붙여넣기'!$A$1:$AZ$1001,ROW(),설정!$C$4)&amp;"",""))</f>
        <v/>
      </c>
      <c r="C218">
        <f>IF(설정!$C$5="","",IFERROR(INDEX('1.산군_붙여넣기'!$A$1:$AZ$1001,ROW(),설정!$C$5)&amp;"",""))</f>
        <v/>
      </c>
      <c r="D218" s="5">
        <f>IFERROR(VALUE(SUBSTITUTE(SUBSTITUTE(SUBSTITUTE(IF(설정!$C$6="","",IFERROR(INDEX('1.산군_붙여넣기'!$A$1:$AZ$1001,ROW(),설정!$C$6)&amp;"","")),",",""),"㎡",""),"m2","")),"")</f>
        <v/>
      </c>
      <c r="E218">
        <f>IF(설정!$C$7="","",IFERROR(INDEX('1.산군_붙여넣기'!$A$1:$AZ$1001,ROW(),설정!$C$7)&amp;"",""))</f>
        <v/>
      </c>
      <c r="F218">
        <f>IF(설정!$C$8="","",IFERROR(INDEX('1.산군_붙여넣기'!$A$1:$AZ$1001,ROW(),설정!$C$8)&amp;"",""))</f>
        <v/>
      </c>
      <c r="G218">
        <f>IF(설정!$C$9="","",IFERROR(INDEX('1.산군_붙여넣기'!$A$1:$AZ$1001,ROW(),설정!$C$9)&amp;"",""))</f>
        <v/>
      </c>
      <c r="H218">
        <f>IF(설정!$C$10="","",IFERROR(INDEX('1.산군_붙여넣기'!$A$1:$AZ$1001,ROW(),설정!$C$10)&amp;"",""))</f>
        <v/>
      </c>
      <c r="I218">
        <f>IF(설정!$C$11="","",IFERROR(INDEX('1.산군_붙여넣기'!$A$1:$AZ$1001,ROW(),설정!$C$11)&amp;"",""))</f>
        <v/>
      </c>
      <c r="J218">
        <f>IF(설정!$C$12="","",IFERROR(INDEX('1.산군_붙여넣기'!$A$1:$AZ$1001,ROW(),설정!$C$12)&amp;"",""))</f>
        <v/>
      </c>
      <c r="K218">
        <f>IF(설정!$C$13="","",IFERROR(INDEX('1.산군_붙여넣기'!$A$1:$AZ$1001,ROW(),설정!$C$13)&amp;"",""))</f>
        <v/>
      </c>
      <c r="L218" s="7">
        <f>IF(X218="","",IF(AND(LEN(X218)=8,ISNUMBER(X218*1)),DATE(LEFT(X218,4),MID(X218,5,2),RIGHT(X218,2)),IFERROR(DATEVALUE(SUBSTITUTE(SUBSTITUTE(X218,".","-"),"/","-")),IFERROR(X218*1,""))))</f>
        <v/>
      </c>
      <c r="M218" s="7">
        <f>IF(Y218="","",IF(AND(LEN(Y218)=8,ISNUMBER(Y218*1)),DATE(LEFT(Y218,4),MID(Y218,5,2),RIGHT(Y218,2)),IFERROR(DATEVALUE(SUBSTITUTE(SUBSTITUTE(Y218,".","-"),"/","-")),IFERROR(Y218*1,""))))</f>
        <v/>
      </c>
      <c r="N218">
        <f>IFERROR(LEFT(B218,FIND(" ",B218)-1),B218)</f>
        <v/>
      </c>
      <c r="O218">
        <f>AND(B218&lt;&gt;"",B218&lt;&gt;설정!$B$4,C218&lt;&gt;설정!$B$5)</f>
        <v/>
      </c>
      <c r="P218">
        <f>IF(O218,B218&amp;"|"&amp;C218,"")</f>
        <v/>
      </c>
      <c r="Q218">
        <f>AND(O218,COUNTIF(P219:P$1002,P218)=0)</f>
        <v/>
      </c>
      <c r="R218">
        <f>OR(AND(설정!$A$42&lt;&gt;"",ISNUMBER(SEARCH(설정!$A$42,E218&amp;" "&amp;C218))),AND(설정!$A$43&lt;&gt;"",ISNUMBER(SEARCH(설정!$A$43,E218&amp;" "&amp;C218))),AND(설정!$A$44&lt;&gt;"",ISNUMBER(SEARCH(설정!$A$44,E218&amp;" "&amp;C218))),AND(설정!$A$45&lt;&gt;"",ISNUMBER(SEARCH(설정!$A$45,E218&amp;" "&amp;C218))),AND(설정!$A$46&lt;&gt;"",ISNUMBER(SEARCH(설정!$A$46,E218&amp;" "&amp;C218))),AND(설정!$A$47&lt;&gt;"",ISNUMBER(SEARCH(설정!$A$47,E218&amp;" "&amp;C218))),AND(설정!$A$48&lt;&gt;"",ISNUMBER(SEARCH(설정!$A$48,E218&amp;" "&amp;C218))),AND(설정!$A$49&lt;&gt;"",ISNUMBER(SEARCH(설정!$A$49,E218&amp;" "&amp;C218))),AND(설정!$A$50&lt;&gt;"",ISNUMBER(SEARCH(설정!$A$50,E218&amp;" "&amp;C218))),AND(설정!$A$51&lt;&gt;"",ISNUMBER(SEARCH(설정!$A$51,E218&amp;" "&amp;C218))))</f>
        <v/>
      </c>
      <c r="S218">
        <f>OR(D218="",D218&gt;=설정!$B$19)</f>
        <v/>
      </c>
      <c r="T218">
        <f>AND(Q218,R218,S218)</f>
        <v/>
      </c>
      <c r="U218">
        <f>IF(T218,IF(AND(설정!$A$54&lt;&gt;"",ISNUMBER(SEARCH(설정!$A$54,K218))),설정!$B$54,IF(AND(설정!$A$55&lt;&gt;"",ISNUMBER(SEARCH(설정!$A$55,K218))),설정!$B$55,IF(AND(설정!$A$56&lt;&gt;"",ISNUMBER(SEARCH(설정!$A$56,K218))),설정!$B$56,IF(AND(설정!$A$57&lt;&gt;"",ISNUMBER(SEARCH(설정!$A$57,K218))),설정!$B$57,IF(AND(설정!$A$58&lt;&gt;"",ISNUMBER(SEARCH(설정!$A$58,K218))),설정!$B$58,IF(AND(설정!$A$59&lt;&gt;"",ISNUMBER(SEARCH(설정!$A$59,K218))),설정!$B$59,IF(AND(설정!$A$60&lt;&gt;"",ISNUMBER(SEARCH(설정!$A$60,K218))),설정!$B$60,IF(AND(설정!$A$61&lt;&gt;"",ISNUMBER(SEARCH(설정!$A$61,K218))),설정!$B$61,IF(M218="","설계사","시공사"))))))))),"")</f>
        <v/>
      </c>
      <c r="V218">
        <f>SUBSTITUTE(SUBSTITUTE(SUBSTITUTE(SUBSTITUTE(G218,"(주)",""),"㈜",""),"주식회사","")," ","")</f>
        <v/>
      </c>
      <c r="W218">
        <f>IF(AND(T218,V218&lt;&gt;""),IF(COUNTIFS(V$2:V218,V218,T$2:T218,TRUE)=1,MAX(W$1:W217)+1,""),"")</f>
        <v/>
      </c>
      <c r="X218">
        <f>IF(설정!$C$14="","",IFERROR(INDEX('1.산군_붙여넣기'!$A$1:$AZ$1001,ROW(),설정!$C$14)&amp;"",""))</f>
        <v/>
      </c>
      <c r="Y218">
        <f>IF(설정!$C$15="","",IFERROR(INDEX('1.산군_붙여넣기'!$A$1:$AZ$1001,ROW(),설정!$C$15)&amp;"",""))</f>
        <v/>
      </c>
      <c r="Z218">
        <f>IF(T218,V218&amp;"|"&amp;U218,"")</f>
        <v/>
      </c>
      <c r="AA218">
        <f>IF(NOT(Q218),"",IF(NOT(AND(R218,S218)),"✕",IF(OR(OR(AND(L218&lt;&gt;"",M218&lt;&gt;"",N(M218)-N(L218)&gt;설정!$B$27),AND(L218&lt;&gt;"",M218="",설정!$B$24-N(L218)&gt;설정!$B$27)),AND(D218&lt;&gt;"",D218&lt;설정!$B$26)),"△","★")))</f>
        <v/>
      </c>
      <c r="AB218">
        <f>IF(NOT(T218),"",IF(U218="설계사",설정!$B$31,IF(U218="시공사",IF(OR(M218="",설정!$B$24-N(M218)&lt;=설정!$B$28*30.4),설정!$B$32,설정!$B$33),설정!$B$34))+IF(AA218="★",설정!$B$35,0))</f>
        <v/>
      </c>
      <c r="AC218">
        <f>SUBSTITUTE(SUBSTITUTE(SUBSTITUTE(SUBSTITUTE(H218,"(주)",""),"㈜",""),"주식회사","")," ","")</f>
        <v/>
      </c>
      <c r="AD218">
        <f>IF(AND(T218,AC218&lt;&gt;""),IF(COUNTIFS(AC$2:AC218,AC218,T$2:T218,TRUE)=1,MAX(AD$1:AD217)+1,""),"")</f>
        <v/>
      </c>
    </row>
    <row r="219">
      <c r="A219">
        <f>ROW()</f>
        <v/>
      </c>
      <c r="B219">
        <f>IF(설정!$C$4="","",IFERROR(INDEX('1.산군_붙여넣기'!$A$1:$AZ$1001,ROW(),설정!$C$4)&amp;"",""))</f>
        <v/>
      </c>
      <c r="C219">
        <f>IF(설정!$C$5="","",IFERROR(INDEX('1.산군_붙여넣기'!$A$1:$AZ$1001,ROW(),설정!$C$5)&amp;"",""))</f>
        <v/>
      </c>
      <c r="D219" s="5">
        <f>IFERROR(VALUE(SUBSTITUTE(SUBSTITUTE(SUBSTITUTE(IF(설정!$C$6="","",IFERROR(INDEX('1.산군_붙여넣기'!$A$1:$AZ$1001,ROW(),설정!$C$6)&amp;"","")),",",""),"㎡",""),"m2","")),"")</f>
        <v/>
      </c>
      <c r="E219">
        <f>IF(설정!$C$7="","",IFERROR(INDEX('1.산군_붙여넣기'!$A$1:$AZ$1001,ROW(),설정!$C$7)&amp;"",""))</f>
        <v/>
      </c>
      <c r="F219">
        <f>IF(설정!$C$8="","",IFERROR(INDEX('1.산군_붙여넣기'!$A$1:$AZ$1001,ROW(),설정!$C$8)&amp;"",""))</f>
        <v/>
      </c>
      <c r="G219">
        <f>IF(설정!$C$9="","",IFERROR(INDEX('1.산군_붙여넣기'!$A$1:$AZ$1001,ROW(),설정!$C$9)&amp;"",""))</f>
        <v/>
      </c>
      <c r="H219">
        <f>IF(설정!$C$10="","",IFERROR(INDEX('1.산군_붙여넣기'!$A$1:$AZ$1001,ROW(),설정!$C$10)&amp;"",""))</f>
        <v/>
      </c>
      <c r="I219">
        <f>IF(설정!$C$11="","",IFERROR(INDEX('1.산군_붙여넣기'!$A$1:$AZ$1001,ROW(),설정!$C$11)&amp;"",""))</f>
        <v/>
      </c>
      <c r="J219">
        <f>IF(설정!$C$12="","",IFERROR(INDEX('1.산군_붙여넣기'!$A$1:$AZ$1001,ROW(),설정!$C$12)&amp;"",""))</f>
        <v/>
      </c>
      <c r="K219">
        <f>IF(설정!$C$13="","",IFERROR(INDEX('1.산군_붙여넣기'!$A$1:$AZ$1001,ROW(),설정!$C$13)&amp;"",""))</f>
        <v/>
      </c>
      <c r="L219" s="7">
        <f>IF(X219="","",IF(AND(LEN(X219)=8,ISNUMBER(X219*1)),DATE(LEFT(X219,4),MID(X219,5,2),RIGHT(X219,2)),IFERROR(DATEVALUE(SUBSTITUTE(SUBSTITUTE(X219,".","-"),"/","-")),IFERROR(X219*1,""))))</f>
        <v/>
      </c>
      <c r="M219" s="7">
        <f>IF(Y219="","",IF(AND(LEN(Y219)=8,ISNUMBER(Y219*1)),DATE(LEFT(Y219,4),MID(Y219,5,2),RIGHT(Y219,2)),IFERROR(DATEVALUE(SUBSTITUTE(SUBSTITUTE(Y219,".","-"),"/","-")),IFERROR(Y219*1,""))))</f>
        <v/>
      </c>
      <c r="N219">
        <f>IFERROR(LEFT(B219,FIND(" ",B219)-1),B219)</f>
        <v/>
      </c>
      <c r="O219">
        <f>AND(B219&lt;&gt;"",B219&lt;&gt;설정!$B$4,C219&lt;&gt;설정!$B$5)</f>
        <v/>
      </c>
      <c r="P219">
        <f>IF(O219,B219&amp;"|"&amp;C219,"")</f>
        <v/>
      </c>
      <c r="Q219">
        <f>AND(O219,COUNTIF(P220:P$1002,P219)=0)</f>
        <v/>
      </c>
      <c r="R219">
        <f>OR(AND(설정!$A$42&lt;&gt;"",ISNUMBER(SEARCH(설정!$A$42,E219&amp;" "&amp;C219))),AND(설정!$A$43&lt;&gt;"",ISNUMBER(SEARCH(설정!$A$43,E219&amp;" "&amp;C219))),AND(설정!$A$44&lt;&gt;"",ISNUMBER(SEARCH(설정!$A$44,E219&amp;" "&amp;C219))),AND(설정!$A$45&lt;&gt;"",ISNUMBER(SEARCH(설정!$A$45,E219&amp;" "&amp;C219))),AND(설정!$A$46&lt;&gt;"",ISNUMBER(SEARCH(설정!$A$46,E219&amp;" "&amp;C219))),AND(설정!$A$47&lt;&gt;"",ISNUMBER(SEARCH(설정!$A$47,E219&amp;" "&amp;C219))),AND(설정!$A$48&lt;&gt;"",ISNUMBER(SEARCH(설정!$A$48,E219&amp;" "&amp;C219))),AND(설정!$A$49&lt;&gt;"",ISNUMBER(SEARCH(설정!$A$49,E219&amp;" "&amp;C219))),AND(설정!$A$50&lt;&gt;"",ISNUMBER(SEARCH(설정!$A$50,E219&amp;" "&amp;C219))),AND(설정!$A$51&lt;&gt;"",ISNUMBER(SEARCH(설정!$A$51,E219&amp;" "&amp;C219))))</f>
        <v/>
      </c>
      <c r="S219">
        <f>OR(D219="",D219&gt;=설정!$B$19)</f>
        <v/>
      </c>
      <c r="T219">
        <f>AND(Q219,R219,S219)</f>
        <v/>
      </c>
      <c r="U219">
        <f>IF(T219,IF(AND(설정!$A$54&lt;&gt;"",ISNUMBER(SEARCH(설정!$A$54,K219))),설정!$B$54,IF(AND(설정!$A$55&lt;&gt;"",ISNUMBER(SEARCH(설정!$A$55,K219))),설정!$B$55,IF(AND(설정!$A$56&lt;&gt;"",ISNUMBER(SEARCH(설정!$A$56,K219))),설정!$B$56,IF(AND(설정!$A$57&lt;&gt;"",ISNUMBER(SEARCH(설정!$A$57,K219))),설정!$B$57,IF(AND(설정!$A$58&lt;&gt;"",ISNUMBER(SEARCH(설정!$A$58,K219))),설정!$B$58,IF(AND(설정!$A$59&lt;&gt;"",ISNUMBER(SEARCH(설정!$A$59,K219))),설정!$B$59,IF(AND(설정!$A$60&lt;&gt;"",ISNUMBER(SEARCH(설정!$A$60,K219))),설정!$B$60,IF(AND(설정!$A$61&lt;&gt;"",ISNUMBER(SEARCH(설정!$A$61,K219))),설정!$B$61,IF(M219="","설계사","시공사"))))))))),"")</f>
        <v/>
      </c>
      <c r="V219">
        <f>SUBSTITUTE(SUBSTITUTE(SUBSTITUTE(SUBSTITUTE(G219,"(주)",""),"㈜",""),"주식회사","")," ","")</f>
        <v/>
      </c>
      <c r="W219">
        <f>IF(AND(T219,V219&lt;&gt;""),IF(COUNTIFS(V$2:V219,V219,T$2:T219,TRUE)=1,MAX(W$1:W218)+1,""),"")</f>
        <v/>
      </c>
      <c r="X219">
        <f>IF(설정!$C$14="","",IFERROR(INDEX('1.산군_붙여넣기'!$A$1:$AZ$1001,ROW(),설정!$C$14)&amp;"",""))</f>
        <v/>
      </c>
      <c r="Y219">
        <f>IF(설정!$C$15="","",IFERROR(INDEX('1.산군_붙여넣기'!$A$1:$AZ$1001,ROW(),설정!$C$15)&amp;"",""))</f>
        <v/>
      </c>
      <c r="Z219">
        <f>IF(T219,V219&amp;"|"&amp;U219,"")</f>
        <v/>
      </c>
      <c r="AA219">
        <f>IF(NOT(Q219),"",IF(NOT(AND(R219,S219)),"✕",IF(OR(OR(AND(L219&lt;&gt;"",M219&lt;&gt;"",N(M219)-N(L219)&gt;설정!$B$27),AND(L219&lt;&gt;"",M219="",설정!$B$24-N(L219)&gt;설정!$B$27)),AND(D219&lt;&gt;"",D219&lt;설정!$B$26)),"△","★")))</f>
        <v/>
      </c>
      <c r="AB219">
        <f>IF(NOT(T219),"",IF(U219="설계사",설정!$B$31,IF(U219="시공사",IF(OR(M219="",설정!$B$24-N(M219)&lt;=설정!$B$28*30.4),설정!$B$32,설정!$B$33),설정!$B$34))+IF(AA219="★",설정!$B$35,0))</f>
        <v/>
      </c>
      <c r="AC219">
        <f>SUBSTITUTE(SUBSTITUTE(SUBSTITUTE(SUBSTITUTE(H219,"(주)",""),"㈜",""),"주식회사","")," ","")</f>
        <v/>
      </c>
      <c r="AD219">
        <f>IF(AND(T219,AC219&lt;&gt;""),IF(COUNTIFS(AC$2:AC219,AC219,T$2:T219,TRUE)=1,MAX(AD$1:AD218)+1,""),"")</f>
        <v/>
      </c>
    </row>
    <row r="220">
      <c r="A220">
        <f>ROW()</f>
        <v/>
      </c>
      <c r="B220">
        <f>IF(설정!$C$4="","",IFERROR(INDEX('1.산군_붙여넣기'!$A$1:$AZ$1001,ROW(),설정!$C$4)&amp;"",""))</f>
        <v/>
      </c>
      <c r="C220">
        <f>IF(설정!$C$5="","",IFERROR(INDEX('1.산군_붙여넣기'!$A$1:$AZ$1001,ROW(),설정!$C$5)&amp;"",""))</f>
        <v/>
      </c>
      <c r="D220" s="5">
        <f>IFERROR(VALUE(SUBSTITUTE(SUBSTITUTE(SUBSTITUTE(IF(설정!$C$6="","",IFERROR(INDEX('1.산군_붙여넣기'!$A$1:$AZ$1001,ROW(),설정!$C$6)&amp;"","")),",",""),"㎡",""),"m2","")),"")</f>
        <v/>
      </c>
      <c r="E220">
        <f>IF(설정!$C$7="","",IFERROR(INDEX('1.산군_붙여넣기'!$A$1:$AZ$1001,ROW(),설정!$C$7)&amp;"",""))</f>
        <v/>
      </c>
      <c r="F220">
        <f>IF(설정!$C$8="","",IFERROR(INDEX('1.산군_붙여넣기'!$A$1:$AZ$1001,ROW(),설정!$C$8)&amp;"",""))</f>
        <v/>
      </c>
      <c r="G220">
        <f>IF(설정!$C$9="","",IFERROR(INDEX('1.산군_붙여넣기'!$A$1:$AZ$1001,ROW(),설정!$C$9)&amp;"",""))</f>
        <v/>
      </c>
      <c r="H220">
        <f>IF(설정!$C$10="","",IFERROR(INDEX('1.산군_붙여넣기'!$A$1:$AZ$1001,ROW(),설정!$C$10)&amp;"",""))</f>
        <v/>
      </c>
      <c r="I220">
        <f>IF(설정!$C$11="","",IFERROR(INDEX('1.산군_붙여넣기'!$A$1:$AZ$1001,ROW(),설정!$C$11)&amp;"",""))</f>
        <v/>
      </c>
      <c r="J220">
        <f>IF(설정!$C$12="","",IFERROR(INDEX('1.산군_붙여넣기'!$A$1:$AZ$1001,ROW(),설정!$C$12)&amp;"",""))</f>
        <v/>
      </c>
      <c r="K220">
        <f>IF(설정!$C$13="","",IFERROR(INDEX('1.산군_붙여넣기'!$A$1:$AZ$1001,ROW(),설정!$C$13)&amp;"",""))</f>
        <v/>
      </c>
      <c r="L220" s="7">
        <f>IF(X220="","",IF(AND(LEN(X220)=8,ISNUMBER(X220*1)),DATE(LEFT(X220,4),MID(X220,5,2),RIGHT(X220,2)),IFERROR(DATEVALUE(SUBSTITUTE(SUBSTITUTE(X220,".","-"),"/","-")),IFERROR(X220*1,""))))</f>
        <v/>
      </c>
      <c r="M220" s="7">
        <f>IF(Y220="","",IF(AND(LEN(Y220)=8,ISNUMBER(Y220*1)),DATE(LEFT(Y220,4),MID(Y220,5,2),RIGHT(Y220,2)),IFERROR(DATEVALUE(SUBSTITUTE(SUBSTITUTE(Y220,".","-"),"/","-")),IFERROR(Y220*1,""))))</f>
        <v/>
      </c>
      <c r="N220">
        <f>IFERROR(LEFT(B220,FIND(" ",B220)-1),B220)</f>
        <v/>
      </c>
      <c r="O220">
        <f>AND(B220&lt;&gt;"",B220&lt;&gt;설정!$B$4,C220&lt;&gt;설정!$B$5)</f>
        <v/>
      </c>
      <c r="P220">
        <f>IF(O220,B220&amp;"|"&amp;C220,"")</f>
        <v/>
      </c>
      <c r="Q220">
        <f>AND(O220,COUNTIF(P221:P$1002,P220)=0)</f>
        <v/>
      </c>
      <c r="R220">
        <f>OR(AND(설정!$A$42&lt;&gt;"",ISNUMBER(SEARCH(설정!$A$42,E220&amp;" "&amp;C220))),AND(설정!$A$43&lt;&gt;"",ISNUMBER(SEARCH(설정!$A$43,E220&amp;" "&amp;C220))),AND(설정!$A$44&lt;&gt;"",ISNUMBER(SEARCH(설정!$A$44,E220&amp;" "&amp;C220))),AND(설정!$A$45&lt;&gt;"",ISNUMBER(SEARCH(설정!$A$45,E220&amp;" "&amp;C220))),AND(설정!$A$46&lt;&gt;"",ISNUMBER(SEARCH(설정!$A$46,E220&amp;" "&amp;C220))),AND(설정!$A$47&lt;&gt;"",ISNUMBER(SEARCH(설정!$A$47,E220&amp;" "&amp;C220))),AND(설정!$A$48&lt;&gt;"",ISNUMBER(SEARCH(설정!$A$48,E220&amp;" "&amp;C220))),AND(설정!$A$49&lt;&gt;"",ISNUMBER(SEARCH(설정!$A$49,E220&amp;" "&amp;C220))),AND(설정!$A$50&lt;&gt;"",ISNUMBER(SEARCH(설정!$A$50,E220&amp;" "&amp;C220))),AND(설정!$A$51&lt;&gt;"",ISNUMBER(SEARCH(설정!$A$51,E220&amp;" "&amp;C220))))</f>
        <v/>
      </c>
      <c r="S220">
        <f>OR(D220="",D220&gt;=설정!$B$19)</f>
        <v/>
      </c>
      <c r="T220">
        <f>AND(Q220,R220,S220)</f>
        <v/>
      </c>
      <c r="U220">
        <f>IF(T220,IF(AND(설정!$A$54&lt;&gt;"",ISNUMBER(SEARCH(설정!$A$54,K220))),설정!$B$54,IF(AND(설정!$A$55&lt;&gt;"",ISNUMBER(SEARCH(설정!$A$55,K220))),설정!$B$55,IF(AND(설정!$A$56&lt;&gt;"",ISNUMBER(SEARCH(설정!$A$56,K220))),설정!$B$56,IF(AND(설정!$A$57&lt;&gt;"",ISNUMBER(SEARCH(설정!$A$57,K220))),설정!$B$57,IF(AND(설정!$A$58&lt;&gt;"",ISNUMBER(SEARCH(설정!$A$58,K220))),설정!$B$58,IF(AND(설정!$A$59&lt;&gt;"",ISNUMBER(SEARCH(설정!$A$59,K220))),설정!$B$59,IF(AND(설정!$A$60&lt;&gt;"",ISNUMBER(SEARCH(설정!$A$60,K220))),설정!$B$60,IF(AND(설정!$A$61&lt;&gt;"",ISNUMBER(SEARCH(설정!$A$61,K220))),설정!$B$61,IF(M220="","설계사","시공사"))))))))),"")</f>
        <v/>
      </c>
      <c r="V220">
        <f>SUBSTITUTE(SUBSTITUTE(SUBSTITUTE(SUBSTITUTE(G220,"(주)",""),"㈜",""),"주식회사","")," ","")</f>
        <v/>
      </c>
      <c r="W220">
        <f>IF(AND(T220,V220&lt;&gt;""),IF(COUNTIFS(V$2:V220,V220,T$2:T220,TRUE)=1,MAX(W$1:W219)+1,""),"")</f>
        <v/>
      </c>
      <c r="X220">
        <f>IF(설정!$C$14="","",IFERROR(INDEX('1.산군_붙여넣기'!$A$1:$AZ$1001,ROW(),설정!$C$14)&amp;"",""))</f>
        <v/>
      </c>
      <c r="Y220">
        <f>IF(설정!$C$15="","",IFERROR(INDEX('1.산군_붙여넣기'!$A$1:$AZ$1001,ROW(),설정!$C$15)&amp;"",""))</f>
        <v/>
      </c>
      <c r="Z220">
        <f>IF(T220,V220&amp;"|"&amp;U220,"")</f>
        <v/>
      </c>
      <c r="AA220">
        <f>IF(NOT(Q220),"",IF(NOT(AND(R220,S220)),"✕",IF(OR(OR(AND(L220&lt;&gt;"",M220&lt;&gt;"",N(M220)-N(L220)&gt;설정!$B$27),AND(L220&lt;&gt;"",M220="",설정!$B$24-N(L220)&gt;설정!$B$27)),AND(D220&lt;&gt;"",D220&lt;설정!$B$26)),"△","★")))</f>
        <v/>
      </c>
      <c r="AB220">
        <f>IF(NOT(T220),"",IF(U220="설계사",설정!$B$31,IF(U220="시공사",IF(OR(M220="",설정!$B$24-N(M220)&lt;=설정!$B$28*30.4),설정!$B$32,설정!$B$33),설정!$B$34))+IF(AA220="★",설정!$B$35,0))</f>
        <v/>
      </c>
      <c r="AC220">
        <f>SUBSTITUTE(SUBSTITUTE(SUBSTITUTE(SUBSTITUTE(H220,"(주)",""),"㈜",""),"주식회사","")," ","")</f>
        <v/>
      </c>
      <c r="AD220">
        <f>IF(AND(T220,AC220&lt;&gt;""),IF(COUNTIFS(AC$2:AC220,AC220,T$2:T220,TRUE)=1,MAX(AD$1:AD219)+1,""),"")</f>
        <v/>
      </c>
    </row>
    <row r="221">
      <c r="A221">
        <f>ROW()</f>
        <v/>
      </c>
      <c r="B221">
        <f>IF(설정!$C$4="","",IFERROR(INDEX('1.산군_붙여넣기'!$A$1:$AZ$1001,ROW(),설정!$C$4)&amp;"",""))</f>
        <v/>
      </c>
      <c r="C221">
        <f>IF(설정!$C$5="","",IFERROR(INDEX('1.산군_붙여넣기'!$A$1:$AZ$1001,ROW(),설정!$C$5)&amp;"",""))</f>
        <v/>
      </c>
      <c r="D221" s="5">
        <f>IFERROR(VALUE(SUBSTITUTE(SUBSTITUTE(SUBSTITUTE(IF(설정!$C$6="","",IFERROR(INDEX('1.산군_붙여넣기'!$A$1:$AZ$1001,ROW(),설정!$C$6)&amp;"","")),",",""),"㎡",""),"m2","")),"")</f>
        <v/>
      </c>
      <c r="E221">
        <f>IF(설정!$C$7="","",IFERROR(INDEX('1.산군_붙여넣기'!$A$1:$AZ$1001,ROW(),설정!$C$7)&amp;"",""))</f>
        <v/>
      </c>
      <c r="F221">
        <f>IF(설정!$C$8="","",IFERROR(INDEX('1.산군_붙여넣기'!$A$1:$AZ$1001,ROW(),설정!$C$8)&amp;"",""))</f>
        <v/>
      </c>
      <c r="G221">
        <f>IF(설정!$C$9="","",IFERROR(INDEX('1.산군_붙여넣기'!$A$1:$AZ$1001,ROW(),설정!$C$9)&amp;"",""))</f>
        <v/>
      </c>
      <c r="H221">
        <f>IF(설정!$C$10="","",IFERROR(INDEX('1.산군_붙여넣기'!$A$1:$AZ$1001,ROW(),설정!$C$10)&amp;"",""))</f>
        <v/>
      </c>
      <c r="I221">
        <f>IF(설정!$C$11="","",IFERROR(INDEX('1.산군_붙여넣기'!$A$1:$AZ$1001,ROW(),설정!$C$11)&amp;"",""))</f>
        <v/>
      </c>
      <c r="J221">
        <f>IF(설정!$C$12="","",IFERROR(INDEX('1.산군_붙여넣기'!$A$1:$AZ$1001,ROW(),설정!$C$12)&amp;"",""))</f>
        <v/>
      </c>
      <c r="K221">
        <f>IF(설정!$C$13="","",IFERROR(INDEX('1.산군_붙여넣기'!$A$1:$AZ$1001,ROW(),설정!$C$13)&amp;"",""))</f>
        <v/>
      </c>
      <c r="L221" s="7">
        <f>IF(X221="","",IF(AND(LEN(X221)=8,ISNUMBER(X221*1)),DATE(LEFT(X221,4),MID(X221,5,2),RIGHT(X221,2)),IFERROR(DATEVALUE(SUBSTITUTE(SUBSTITUTE(X221,".","-"),"/","-")),IFERROR(X221*1,""))))</f>
        <v/>
      </c>
      <c r="M221" s="7">
        <f>IF(Y221="","",IF(AND(LEN(Y221)=8,ISNUMBER(Y221*1)),DATE(LEFT(Y221,4),MID(Y221,5,2),RIGHT(Y221,2)),IFERROR(DATEVALUE(SUBSTITUTE(SUBSTITUTE(Y221,".","-"),"/","-")),IFERROR(Y221*1,""))))</f>
        <v/>
      </c>
      <c r="N221">
        <f>IFERROR(LEFT(B221,FIND(" ",B221)-1),B221)</f>
        <v/>
      </c>
      <c r="O221">
        <f>AND(B221&lt;&gt;"",B221&lt;&gt;설정!$B$4,C221&lt;&gt;설정!$B$5)</f>
        <v/>
      </c>
      <c r="P221">
        <f>IF(O221,B221&amp;"|"&amp;C221,"")</f>
        <v/>
      </c>
      <c r="Q221">
        <f>AND(O221,COUNTIF(P222:P$1002,P221)=0)</f>
        <v/>
      </c>
      <c r="R221">
        <f>OR(AND(설정!$A$42&lt;&gt;"",ISNUMBER(SEARCH(설정!$A$42,E221&amp;" "&amp;C221))),AND(설정!$A$43&lt;&gt;"",ISNUMBER(SEARCH(설정!$A$43,E221&amp;" "&amp;C221))),AND(설정!$A$44&lt;&gt;"",ISNUMBER(SEARCH(설정!$A$44,E221&amp;" "&amp;C221))),AND(설정!$A$45&lt;&gt;"",ISNUMBER(SEARCH(설정!$A$45,E221&amp;" "&amp;C221))),AND(설정!$A$46&lt;&gt;"",ISNUMBER(SEARCH(설정!$A$46,E221&amp;" "&amp;C221))),AND(설정!$A$47&lt;&gt;"",ISNUMBER(SEARCH(설정!$A$47,E221&amp;" "&amp;C221))),AND(설정!$A$48&lt;&gt;"",ISNUMBER(SEARCH(설정!$A$48,E221&amp;" "&amp;C221))),AND(설정!$A$49&lt;&gt;"",ISNUMBER(SEARCH(설정!$A$49,E221&amp;" "&amp;C221))),AND(설정!$A$50&lt;&gt;"",ISNUMBER(SEARCH(설정!$A$50,E221&amp;" "&amp;C221))),AND(설정!$A$51&lt;&gt;"",ISNUMBER(SEARCH(설정!$A$51,E221&amp;" "&amp;C221))))</f>
        <v/>
      </c>
      <c r="S221">
        <f>OR(D221="",D221&gt;=설정!$B$19)</f>
        <v/>
      </c>
      <c r="T221">
        <f>AND(Q221,R221,S221)</f>
        <v/>
      </c>
      <c r="U221">
        <f>IF(T221,IF(AND(설정!$A$54&lt;&gt;"",ISNUMBER(SEARCH(설정!$A$54,K221))),설정!$B$54,IF(AND(설정!$A$55&lt;&gt;"",ISNUMBER(SEARCH(설정!$A$55,K221))),설정!$B$55,IF(AND(설정!$A$56&lt;&gt;"",ISNUMBER(SEARCH(설정!$A$56,K221))),설정!$B$56,IF(AND(설정!$A$57&lt;&gt;"",ISNUMBER(SEARCH(설정!$A$57,K221))),설정!$B$57,IF(AND(설정!$A$58&lt;&gt;"",ISNUMBER(SEARCH(설정!$A$58,K221))),설정!$B$58,IF(AND(설정!$A$59&lt;&gt;"",ISNUMBER(SEARCH(설정!$A$59,K221))),설정!$B$59,IF(AND(설정!$A$60&lt;&gt;"",ISNUMBER(SEARCH(설정!$A$60,K221))),설정!$B$60,IF(AND(설정!$A$61&lt;&gt;"",ISNUMBER(SEARCH(설정!$A$61,K221))),설정!$B$61,IF(M221="","설계사","시공사"))))))))),"")</f>
        <v/>
      </c>
      <c r="V221">
        <f>SUBSTITUTE(SUBSTITUTE(SUBSTITUTE(SUBSTITUTE(G221,"(주)",""),"㈜",""),"주식회사","")," ","")</f>
        <v/>
      </c>
      <c r="W221">
        <f>IF(AND(T221,V221&lt;&gt;""),IF(COUNTIFS(V$2:V221,V221,T$2:T221,TRUE)=1,MAX(W$1:W220)+1,""),"")</f>
        <v/>
      </c>
      <c r="X221">
        <f>IF(설정!$C$14="","",IFERROR(INDEX('1.산군_붙여넣기'!$A$1:$AZ$1001,ROW(),설정!$C$14)&amp;"",""))</f>
        <v/>
      </c>
      <c r="Y221">
        <f>IF(설정!$C$15="","",IFERROR(INDEX('1.산군_붙여넣기'!$A$1:$AZ$1001,ROW(),설정!$C$15)&amp;"",""))</f>
        <v/>
      </c>
      <c r="Z221">
        <f>IF(T221,V221&amp;"|"&amp;U221,"")</f>
        <v/>
      </c>
      <c r="AA221">
        <f>IF(NOT(Q221),"",IF(NOT(AND(R221,S221)),"✕",IF(OR(OR(AND(L221&lt;&gt;"",M221&lt;&gt;"",N(M221)-N(L221)&gt;설정!$B$27),AND(L221&lt;&gt;"",M221="",설정!$B$24-N(L221)&gt;설정!$B$27)),AND(D221&lt;&gt;"",D221&lt;설정!$B$26)),"△","★")))</f>
        <v/>
      </c>
      <c r="AB221">
        <f>IF(NOT(T221),"",IF(U221="설계사",설정!$B$31,IF(U221="시공사",IF(OR(M221="",설정!$B$24-N(M221)&lt;=설정!$B$28*30.4),설정!$B$32,설정!$B$33),설정!$B$34))+IF(AA221="★",설정!$B$35,0))</f>
        <v/>
      </c>
      <c r="AC221">
        <f>SUBSTITUTE(SUBSTITUTE(SUBSTITUTE(SUBSTITUTE(H221,"(주)",""),"㈜",""),"주식회사","")," ","")</f>
        <v/>
      </c>
      <c r="AD221">
        <f>IF(AND(T221,AC221&lt;&gt;""),IF(COUNTIFS(AC$2:AC221,AC221,T$2:T221,TRUE)=1,MAX(AD$1:AD220)+1,""),"")</f>
        <v/>
      </c>
    </row>
    <row r="222">
      <c r="A222">
        <f>ROW()</f>
        <v/>
      </c>
      <c r="B222">
        <f>IF(설정!$C$4="","",IFERROR(INDEX('1.산군_붙여넣기'!$A$1:$AZ$1001,ROW(),설정!$C$4)&amp;"",""))</f>
        <v/>
      </c>
      <c r="C222">
        <f>IF(설정!$C$5="","",IFERROR(INDEX('1.산군_붙여넣기'!$A$1:$AZ$1001,ROW(),설정!$C$5)&amp;"",""))</f>
        <v/>
      </c>
      <c r="D222" s="5">
        <f>IFERROR(VALUE(SUBSTITUTE(SUBSTITUTE(SUBSTITUTE(IF(설정!$C$6="","",IFERROR(INDEX('1.산군_붙여넣기'!$A$1:$AZ$1001,ROW(),설정!$C$6)&amp;"","")),",",""),"㎡",""),"m2","")),"")</f>
        <v/>
      </c>
      <c r="E222">
        <f>IF(설정!$C$7="","",IFERROR(INDEX('1.산군_붙여넣기'!$A$1:$AZ$1001,ROW(),설정!$C$7)&amp;"",""))</f>
        <v/>
      </c>
      <c r="F222">
        <f>IF(설정!$C$8="","",IFERROR(INDEX('1.산군_붙여넣기'!$A$1:$AZ$1001,ROW(),설정!$C$8)&amp;"",""))</f>
        <v/>
      </c>
      <c r="G222">
        <f>IF(설정!$C$9="","",IFERROR(INDEX('1.산군_붙여넣기'!$A$1:$AZ$1001,ROW(),설정!$C$9)&amp;"",""))</f>
        <v/>
      </c>
      <c r="H222">
        <f>IF(설정!$C$10="","",IFERROR(INDEX('1.산군_붙여넣기'!$A$1:$AZ$1001,ROW(),설정!$C$10)&amp;"",""))</f>
        <v/>
      </c>
      <c r="I222">
        <f>IF(설정!$C$11="","",IFERROR(INDEX('1.산군_붙여넣기'!$A$1:$AZ$1001,ROW(),설정!$C$11)&amp;"",""))</f>
        <v/>
      </c>
      <c r="J222">
        <f>IF(설정!$C$12="","",IFERROR(INDEX('1.산군_붙여넣기'!$A$1:$AZ$1001,ROW(),설정!$C$12)&amp;"",""))</f>
        <v/>
      </c>
      <c r="K222">
        <f>IF(설정!$C$13="","",IFERROR(INDEX('1.산군_붙여넣기'!$A$1:$AZ$1001,ROW(),설정!$C$13)&amp;"",""))</f>
        <v/>
      </c>
      <c r="L222" s="7">
        <f>IF(X222="","",IF(AND(LEN(X222)=8,ISNUMBER(X222*1)),DATE(LEFT(X222,4),MID(X222,5,2),RIGHT(X222,2)),IFERROR(DATEVALUE(SUBSTITUTE(SUBSTITUTE(X222,".","-"),"/","-")),IFERROR(X222*1,""))))</f>
        <v/>
      </c>
      <c r="M222" s="7">
        <f>IF(Y222="","",IF(AND(LEN(Y222)=8,ISNUMBER(Y222*1)),DATE(LEFT(Y222,4),MID(Y222,5,2),RIGHT(Y222,2)),IFERROR(DATEVALUE(SUBSTITUTE(SUBSTITUTE(Y222,".","-"),"/","-")),IFERROR(Y222*1,""))))</f>
        <v/>
      </c>
      <c r="N222">
        <f>IFERROR(LEFT(B222,FIND(" ",B222)-1),B222)</f>
        <v/>
      </c>
      <c r="O222">
        <f>AND(B222&lt;&gt;"",B222&lt;&gt;설정!$B$4,C222&lt;&gt;설정!$B$5)</f>
        <v/>
      </c>
      <c r="P222">
        <f>IF(O222,B222&amp;"|"&amp;C222,"")</f>
        <v/>
      </c>
      <c r="Q222">
        <f>AND(O222,COUNTIF(P223:P$1002,P222)=0)</f>
        <v/>
      </c>
      <c r="R222">
        <f>OR(AND(설정!$A$42&lt;&gt;"",ISNUMBER(SEARCH(설정!$A$42,E222&amp;" "&amp;C222))),AND(설정!$A$43&lt;&gt;"",ISNUMBER(SEARCH(설정!$A$43,E222&amp;" "&amp;C222))),AND(설정!$A$44&lt;&gt;"",ISNUMBER(SEARCH(설정!$A$44,E222&amp;" "&amp;C222))),AND(설정!$A$45&lt;&gt;"",ISNUMBER(SEARCH(설정!$A$45,E222&amp;" "&amp;C222))),AND(설정!$A$46&lt;&gt;"",ISNUMBER(SEARCH(설정!$A$46,E222&amp;" "&amp;C222))),AND(설정!$A$47&lt;&gt;"",ISNUMBER(SEARCH(설정!$A$47,E222&amp;" "&amp;C222))),AND(설정!$A$48&lt;&gt;"",ISNUMBER(SEARCH(설정!$A$48,E222&amp;" "&amp;C222))),AND(설정!$A$49&lt;&gt;"",ISNUMBER(SEARCH(설정!$A$49,E222&amp;" "&amp;C222))),AND(설정!$A$50&lt;&gt;"",ISNUMBER(SEARCH(설정!$A$50,E222&amp;" "&amp;C222))),AND(설정!$A$51&lt;&gt;"",ISNUMBER(SEARCH(설정!$A$51,E222&amp;" "&amp;C222))))</f>
        <v/>
      </c>
      <c r="S222">
        <f>OR(D222="",D222&gt;=설정!$B$19)</f>
        <v/>
      </c>
      <c r="T222">
        <f>AND(Q222,R222,S222)</f>
        <v/>
      </c>
      <c r="U222">
        <f>IF(T222,IF(AND(설정!$A$54&lt;&gt;"",ISNUMBER(SEARCH(설정!$A$54,K222))),설정!$B$54,IF(AND(설정!$A$55&lt;&gt;"",ISNUMBER(SEARCH(설정!$A$55,K222))),설정!$B$55,IF(AND(설정!$A$56&lt;&gt;"",ISNUMBER(SEARCH(설정!$A$56,K222))),설정!$B$56,IF(AND(설정!$A$57&lt;&gt;"",ISNUMBER(SEARCH(설정!$A$57,K222))),설정!$B$57,IF(AND(설정!$A$58&lt;&gt;"",ISNUMBER(SEARCH(설정!$A$58,K222))),설정!$B$58,IF(AND(설정!$A$59&lt;&gt;"",ISNUMBER(SEARCH(설정!$A$59,K222))),설정!$B$59,IF(AND(설정!$A$60&lt;&gt;"",ISNUMBER(SEARCH(설정!$A$60,K222))),설정!$B$60,IF(AND(설정!$A$61&lt;&gt;"",ISNUMBER(SEARCH(설정!$A$61,K222))),설정!$B$61,IF(M222="","설계사","시공사"))))))))),"")</f>
        <v/>
      </c>
      <c r="V222">
        <f>SUBSTITUTE(SUBSTITUTE(SUBSTITUTE(SUBSTITUTE(G222,"(주)",""),"㈜",""),"주식회사","")," ","")</f>
        <v/>
      </c>
      <c r="W222">
        <f>IF(AND(T222,V222&lt;&gt;""),IF(COUNTIFS(V$2:V222,V222,T$2:T222,TRUE)=1,MAX(W$1:W221)+1,""),"")</f>
        <v/>
      </c>
      <c r="X222">
        <f>IF(설정!$C$14="","",IFERROR(INDEX('1.산군_붙여넣기'!$A$1:$AZ$1001,ROW(),설정!$C$14)&amp;"",""))</f>
        <v/>
      </c>
      <c r="Y222">
        <f>IF(설정!$C$15="","",IFERROR(INDEX('1.산군_붙여넣기'!$A$1:$AZ$1001,ROW(),설정!$C$15)&amp;"",""))</f>
        <v/>
      </c>
      <c r="Z222">
        <f>IF(T222,V222&amp;"|"&amp;U222,"")</f>
        <v/>
      </c>
      <c r="AA222">
        <f>IF(NOT(Q222),"",IF(NOT(AND(R222,S222)),"✕",IF(OR(OR(AND(L222&lt;&gt;"",M222&lt;&gt;"",N(M222)-N(L222)&gt;설정!$B$27),AND(L222&lt;&gt;"",M222="",설정!$B$24-N(L222)&gt;설정!$B$27)),AND(D222&lt;&gt;"",D222&lt;설정!$B$26)),"△","★")))</f>
        <v/>
      </c>
      <c r="AB222">
        <f>IF(NOT(T222),"",IF(U222="설계사",설정!$B$31,IF(U222="시공사",IF(OR(M222="",설정!$B$24-N(M222)&lt;=설정!$B$28*30.4),설정!$B$32,설정!$B$33),설정!$B$34))+IF(AA222="★",설정!$B$35,0))</f>
        <v/>
      </c>
      <c r="AC222">
        <f>SUBSTITUTE(SUBSTITUTE(SUBSTITUTE(SUBSTITUTE(H222,"(주)",""),"㈜",""),"주식회사","")," ","")</f>
        <v/>
      </c>
      <c r="AD222">
        <f>IF(AND(T222,AC222&lt;&gt;""),IF(COUNTIFS(AC$2:AC222,AC222,T$2:T222,TRUE)=1,MAX(AD$1:AD221)+1,""),"")</f>
        <v/>
      </c>
    </row>
    <row r="223">
      <c r="A223">
        <f>ROW()</f>
        <v/>
      </c>
      <c r="B223">
        <f>IF(설정!$C$4="","",IFERROR(INDEX('1.산군_붙여넣기'!$A$1:$AZ$1001,ROW(),설정!$C$4)&amp;"",""))</f>
        <v/>
      </c>
      <c r="C223">
        <f>IF(설정!$C$5="","",IFERROR(INDEX('1.산군_붙여넣기'!$A$1:$AZ$1001,ROW(),설정!$C$5)&amp;"",""))</f>
        <v/>
      </c>
      <c r="D223" s="5">
        <f>IFERROR(VALUE(SUBSTITUTE(SUBSTITUTE(SUBSTITUTE(IF(설정!$C$6="","",IFERROR(INDEX('1.산군_붙여넣기'!$A$1:$AZ$1001,ROW(),설정!$C$6)&amp;"","")),",",""),"㎡",""),"m2","")),"")</f>
        <v/>
      </c>
      <c r="E223">
        <f>IF(설정!$C$7="","",IFERROR(INDEX('1.산군_붙여넣기'!$A$1:$AZ$1001,ROW(),설정!$C$7)&amp;"",""))</f>
        <v/>
      </c>
      <c r="F223">
        <f>IF(설정!$C$8="","",IFERROR(INDEX('1.산군_붙여넣기'!$A$1:$AZ$1001,ROW(),설정!$C$8)&amp;"",""))</f>
        <v/>
      </c>
      <c r="G223">
        <f>IF(설정!$C$9="","",IFERROR(INDEX('1.산군_붙여넣기'!$A$1:$AZ$1001,ROW(),설정!$C$9)&amp;"",""))</f>
        <v/>
      </c>
      <c r="H223">
        <f>IF(설정!$C$10="","",IFERROR(INDEX('1.산군_붙여넣기'!$A$1:$AZ$1001,ROW(),설정!$C$10)&amp;"",""))</f>
        <v/>
      </c>
      <c r="I223">
        <f>IF(설정!$C$11="","",IFERROR(INDEX('1.산군_붙여넣기'!$A$1:$AZ$1001,ROW(),설정!$C$11)&amp;"",""))</f>
        <v/>
      </c>
      <c r="J223">
        <f>IF(설정!$C$12="","",IFERROR(INDEX('1.산군_붙여넣기'!$A$1:$AZ$1001,ROW(),설정!$C$12)&amp;"",""))</f>
        <v/>
      </c>
      <c r="K223">
        <f>IF(설정!$C$13="","",IFERROR(INDEX('1.산군_붙여넣기'!$A$1:$AZ$1001,ROW(),설정!$C$13)&amp;"",""))</f>
        <v/>
      </c>
      <c r="L223" s="7">
        <f>IF(X223="","",IF(AND(LEN(X223)=8,ISNUMBER(X223*1)),DATE(LEFT(X223,4),MID(X223,5,2),RIGHT(X223,2)),IFERROR(DATEVALUE(SUBSTITUTE(SUBSTITUTE(X223,".","-"),"/","-")),IFERROR(X223*1,""))))</f>
        <v/>
      </c>
      <c r="M223" s="7">
        <f>IF(Y223="","",IF(AND(LEN(Y223)=8,ISNUMBER(Y223*1)),DATE(LEFT(Y223,4),MID(Y223,5,2),RIGHT(Y223,2)),IFERROR(DATEVALUE(SUBSTITUTE(SUBSTITUTE(Y223,".","-"),"/","-")),IFERROR(Y223*1,""))))</f>
        <v/>
      </c>
      <c r="N223">
        <f>IFERROR(LEFT(B223,FIND(" ",B223)-1),B223)</f>
        <v/>
      </c>
      <c r="O223">
        <f>AND(B223&lt;&gt;"",B223&lt;&gt;설정!$B$4,C223&lt;&gt;설정!$B$5)</f>
        <v/>
      </c>
      <c r="P223">
        <f>IF(O223,B223&amp;"|"&amp;C223,"")</f>
        <v/>
      </c>
      <c r="Q223">
        <f>AND(O223,COUNTIF(P224:P$1002,P223)=0)</f>
        <v/>
      </c>
      <c r="R223">
        <f>OR(AND(설정!$A$42&lt;&gt;"",ISNUMBER(SEARCH(설정!$A$42,E223&amp;" "&amp;C223))),AND(설정!$A$43&lt;&gt;"",ISNUMBER(SEARCH(설정!$A$43,E223&amp;" "&amp;C223))),AND(설정!$A$44&lt;&gt;"",ISNUMBER(SEARCH(설정!$A$44,E223&amp;" "&amp;C223))),AND(설정!$A$45&lt;&gt;"",ISNUMBER(SEARCH(설정!$A$45,E223&amp;" "&amp;C223))),AND(설정!$A$46&lt;&gt;"",ISNUMBER(SEARCH(설정!$A$46,E223&amp;" "&amp;C223))),AND(설정!$A$47&lt;&gt;"",ISNUMBER(SEARCH(설정!$A$47,E223&amp;" "&amp;C223))),AND(설정!$A$48&lt;&gt;"",ISNUMBER(SEARCH(설정!$A$48,E223&amp;" "&amp;C223))),AND(설정!$A$49&lt;&gt;"",ISNUMBER(SEARCH(설정!$A$49,E223&amp;" "&amp;C223))),AND(설정!$A$50&lt;&gt;"",ISNUMBER(SEARCH(설정!$A$50,E223&amp;" "&amp;C223))),AND(설정!$A$51&lt;&gt;"",ISNUMBER(SEARCH(설정!$A$51,E223&amp;" "&amp;C223))))</f>
        <v/>
      </c>
      <c r="S223">
        <f>OR(D223="",D223&gt;=설정!$B$19)</f>
        <v/>
      </c>
      <c r="T223">
        <f>AND(Q223,R223,S223)</f>
        <v/>
      </c>
      <c r="U223">
        <f>IF(T223,IF(AND(설정!$A$54&lt;&gt;"",ISNUMBER(SEARCH(설정!$A$54,K223))),설정!$B$54,IF(AND(설정!$A$55&lt;&gt;"",ISNUMBER(SEARCH(설정!$A$55,K223))),설정!$B$55,IF(AND(설정!$A$56&lt;&gt;"",ISNUMBER(SEARCH(설정!$A$56,K223))),설정!$B$56,IF(AND(설정!$A$57&lt;&gt;"",ISNUMBER(SEARCH(설정!$A$57,K223))),설정!$B$57,IF(AND(설정!$A$58&lt;&gt;"",ISNUMBER(SEARCH(설정!$A$58,K223))),설정!$B$58,IF(AND(설정!$A$59&lt;&gt;"",ISNUMBER(SEARCH(설정!$A$59,K223))),설정!$B$59,IF(AND(설정!$A$60&lt;&gt;"",ISNUMBER(SEARCH(설정!$A$60,K223))),설정!$B$60,IF(AND(설정!$A$61&lt;&gt;"",ISNUMBER(SEARCH(설정!$A$61,K223))),설정!$B$61,IF(M223="","설계사","시공사"))))))))),"")</f>
        <v/>
      </c>
      <c r="V223">
        <f>SUBSTITUTE(SUBSTITUTE(SUBSTITUTE(SUBSTITUTE(G223,"(주)",""),"㈜",""),"주식회사","")," ","")</f>
        <v/>
      </c>
      <c r="W223">
        <f>IF(AND(T223,V223&lt;&gt;""),IF(COUNTIFS(V$2:V223,V223,T$2:T223,TRUE)=1,MAX(W$1:W222)+1,""),"")</f>
        <v/>
      </c>
      <c r="X223">
        <f>IF(설정!$C$14="","",IFERROR(INDEX('1.산군_붙여넣기'!$A$1:$AZ$1001,ROW(),설정!$C$14)&amp;"",""))</f>
        <v/>
      </c>
      <c r="Y223">
        <f>IF(설정!$C$15="","",IFERROR(INDEX('1.산군_붙여넣기'!$A$1:$AZ$1001,ROW(),설정!$C$15)&amp;"",""))</f>
        <v/>
      </c>
      <c r="Z223">
        <f>IF(T223,V223&amp;"|"&amp;U223,"")</f>
        <v/>
      </c>
      <c r="AA223">
        <f>IF(NOT(Q223),"",IF(NOT(AND(R223,S223)),"✕",IF(OR(OR(AND(L223&lt;&gt;"",M223&lt;&gt;"",N(M223)-N(L223)&gt;설정!$B$27),AND(L223&lt;&gt;"",M223="",설정!$B$24-N(L223)&gt;설정!$B$27)),AND(D223&lt;&gt;"",D223&lt;설정!$B$26)),"△","★")))</f>
        <v/>
      </c>
      <c r="AB223">
        <f>IF(NOT(T223),"",IF(U223="설계사",설정!$B$31,IF(U223="시공사",IF(OR(M223="",설정!$B$24-N(M223)&lt;=설정!$B$28*30.4),설정!$B$32,설정!$B$33),설정!$B$34))+IF(AA223="★",설정!$B$35,0))</f>
        <v/>
      </c>
      <c r="AC223">
        <f>SUBSTITUTE(SUBSTITUTE(SUBSTITUTE(SUBSTITUTE(H223,"(주)",""),"㈜",""),"주식회사","")," ","")</f>
        <v/>
      </c>
      <c r="AD223">
        <f>IF(AND(T223,AC223&lt;&gt;""),IF(COUNTIFS(AC$2:AC223,AC223,T$2:T223,TRUE)=1,MAX(AD$1:AD222)+1,""),"")</f>
        <v/>
      </c>
    </row>
    <row r="224">
      <c r="A224">
        <f>ROW()</f>
        <v/>
      </c>
      <c r="B224">
        <f>IF(설정!$C$4="","",IFERROR(INDEX('1.산군_붙여넣기'!$A$1:$AZ$1001,ROW(),설정!$C$4)&amp;"",""))</f>
        <v/>
      </c>
      <c r="C224">
        <f>IF(설정!$C$5="","",IFERROR(INDEX('1.산군_붙여넣기'!$A$1:$AZ$1001,ROW(),설정!$C$5)&amp;"",""))</f>
        <v/>
      </c>
      <c r="D224" s="5">
        <f>IFERROR(VALUE(SUBSTITUTE(SUBSTITUTE(SUBSTITUTE(IF(설정!$C$6="","",IFERROR(INDEX('1.산군_붙여넣기'!$A$1:$AZ$1001,ROW(),설정!$C$6)&amp;"","")),",",""),"㎡",""),"m2","")),"")</f>
        <v/>
      </c>
      <c r="E224">
        <f>IF(설정!$C$7="","",IFERROR(INDEX('1.산군_붙여넣기'!$A$1:$AZ$1001,ROW(),설정!$C$7)&amp;"",""))</f>
        <v/>
      </c>
      <c r="F224">
        <f>IF(설정!$C$8="","",IFERROR(INDEX('1.산군_붙여넣기'!$A$1:$AZ$1001,ROW(),설정!$C$8)&amp;"",""))</f>
        <v/>
      </c>
      <c r="G224">
        <f>IF(설정!$C$9="","",IFERROR(INDEX('1.산군_붙여넣기'!$A$1:$AZ$1001,ROW(),설정!$C$9)&amp;"",""))</f>
        <v/>
      </c>
      <c r="H224">
        <f>IF(설정!$C$10="","",IFERROR(INDEX('1.산군_붙여넣기'!$A$1:$AZ$1001,ROW(),설정!$C$10)&amp;"",""))</f>
        <v/>
      </c>
      <c r="I224">
        <f>IF(설정!$C$11="","",IFERROR(INDEX('1.산군_붙여넣기'!$A$1:$AZ$1001,ROW(),설정!$C$11)&amp;"",""))</f>
        <v/>
      </c>
      <c r="J224">
        <f>IF(설정!$C$12="","",IFERROR(INDEX('1.산군_붙여넣기'!$A$1:$AZ$1001,ROW(),설정!$C$12)&amp;"",""))</f>
        <v/>
      </c>
      <c r="K224">
        <f>IF(설정!$C$13="","",IFERROR(INDEX('1.산군_붙여넣기'!$A$1:$AZ$1001,ROW(),설정!$C$13)&amp;"",""))</f>
        <v/>
      </c>
      <c r="L224" s="7">
        <f>IF(X224="","",IF(AND(LEN(X224)=8,ISNUMBER(X224*1)),DATE(LEFT(X224,4),MID(X224,5,2),RIGHT(X224,2)),IFERROR(DATEVALUE(SUBSTITUTE(SUBSTITUTE(X224,".","-"),"/","-")),IFERROR(X224*1,""))))</f>
        <v/>
      </c>
      <c r="M224" s="7">
        <f>IF(Y224="","",IF(AND(LEN(Y224)=8,ISNUMBER(Y224*1)),DATE(LEFT(Y224,4),MID(Y224,5,2),RIGHT(Y224,2)),IFERROR(DATEVALUE(SUBSTITUTE(SUBSTITUTE(Y224,".","-"),"/","-")),IFERROR(Y224*1,""))))</f>
        <v/>
      </c>
      <c r="N224">
        <f>IFERROR(LEFT(B224,FIND(" ",B224)-1),B224)</f>
        <v/>
      </c>
      <c r="O224">
        <f>AND(B224&lt;&gt;"",B224&lt;&gt;설정!$B$4,C224&lt;&gt;설정!$B$5)</f>
        <v/>
      </c>
      <c r="P224">
        <f>IF(O224,B224&amp;"|"&amp;C224,"")</f>
        <v/>
      </c>
      <c r="Q224">
        <f>AND(O224,COUNTIF(P225:P$1002,P224)=0)</f>
        <v/>
      </c>
      <c r="R224">
        <f>OR(AND(설정!$A$42&lt;&gt;"",ISNUMBER(SEARCH(설정!$A$42,E224&amp;" "&amp;C224))),AND(설정!$A$43&lt;&gt;"",ISNUMBER(SEARCH(설정!$A$43,E224&amp;" "&amp;C224))),AND(설정!$A$44&lt;&gt;"",ISNUMBER(SEARCH(설정!$A$44,E224&amp;" "&amp;C224))),AND(설정!$A$45&lt;&gt;"",ISNUMBER(SEARCH(설정!$A$45,E224&amp;" "&amp;C224))),AND(설정!$A$46&lt;&gt;"",ISNUMBER(SEARCH(설정!$A$46,E224&amp;" "&amp;C224))),AND(설정!$A$47&lt;&gt;"",ISNUMBER(SEARCH(설정!$A$47,E224&amp;" "&amp;C224))),AND(설정!$A$48&lt;&gt;"",ISNUMBER(SEARCH(설정!$A$48,E224&amp;" "&amp;C224))),AND(설정!$A$49&lt;&gt;"",ISNUMBER(SEARCH(설정!$A$49,E224&amp;" "&amp;C224))),AND(설정!$A$50&lt;&gt;"",ISNUMBER(SEARCH(설정!$A$50,E224&amp;" "&amp;C224))),AND(설정!$A$51&lt;&gt;"",ISNUMBER(SEARCH(설정!$A$51,E224&amp;" "&amp;C224))))</f>
        <v/>
      </c>
      <c r="S224">
        <f>OR(D224="",D224&gt;=설정!$B$19)</f>
        <v/>
      </c>
      <c r="T224">
        <f>AND(Q224,R224,S224)</f>
        <v/>
      </c>
      <c r="U224">
        <f>IF(T224,IF(AND(설정!$A$54&lt;&gt;"",ISNUMBER(SEARCH(설정!$A$54,K224))),설정!$B$54,IF(AND(설정!$A$55&lt;&gt;"",ISNUMBER(SEARCH(설정!$A$55,K224))),설정!$B$55,IF(AND(설정!$A$56&lt;&gt;"",ISNUMBER(SEARCH(설정!$A$56,K224))),설정!$B$56,IF(AND(설정!$A$57&lt;&gt;"",ISNUMBER(SEARCH(설정!$A$57,K224))),설정!$B$57,IF(AND(설정!$A$58&lt;&gt;"",ISNUMBER(SEARCH(설정!$A$58,K224))),설정!$B$58,IF(AND(설정!$A$59&lt;&gt;"",ISNUMBER(SEARCH(설정!$A$59,K224))),설정!$B$59,IF(AND(설정!$A$60&lt;&gt;"",ISNUMBER(SEARCH(설정!$A$60,K224))),설정!$B$60,IF(AND(설정!$A$61&lt;&gt;"",ISNUMBER(SEARCH(설정!$A$61,K224))),설정!$B$61,IF(M224="","설계사","시공사"))))))))),"")</f>
        <v/>
      </c>
      <c r="V224">
        <f>SUBSTITUTE(SUBSTITUTE(SUBSTITUTE(SUBSTITUTE(G224,"(주)",""),"㈜",""),"주식회사","")," ","")</f>
        <v/>
      </c>
      <c r="W224">
        <f>IF(AND(T224,V224&lt;&gt;""),IF(COUNTIFS(V$2:V224,V224,T$2:T224,TRUE)=1,MAX(W$1:W223)+1,""),"")</f>
        <v/>
      </c>
      <c r="X224">
        <f>IF(설정!$C$14="","",IFERROR(INDEX('1.산군_붙여넣기'!$A$1:$AZ$1001,ROW(),설정!$C$14)&amp;"",""))</f>
        <v/>
      </c>
      <c r="Y224">
        <f>IF(설정!$C$15="","",IFERROR(INDEX('1.산군_붙여넣기'!$A$1:$AZ$1001,ROW(),설정!$C$15)&amp;"",""))</f>
        <v/>
      </c>
      <c r="Z224">
        <f>IF(T224,V224&amp;"|"&amp;U224,"")</f>
        <v/>
      </c>
      <c r="AA224">
        <f>IF(NOT(Q224),"",IF(NOT(AND(R224,S224)),"✕",IF(OR(OR(AND(L224&lt;&gt;"",M224&lt;&gt;"",N(M224)-N(L224)&gt;설정!$B$27),AND(L224&lt;&gt;"",M224="",설정!$B$24-N(L224)&gt;설정!$B$27)),AND(D224&lt;&gt;"",D224&lt;설정!$B$26)),"△","★")))</f>
        <v/>
      </c>
      <c r="AB224">
        <f>IF(NOT(T224),"",IF(U224="설계사",설정!$B$31,IF(U224="시공사",IF(OR(M224="",설정!$B$24-N(M224)&lt;=설정!$B$28*30.4),설정!$B$32,설정!$B$33),설정!$B$34))+IF(AA224="★",설정!$B$35,0))</f>
        <v/>
      </c>
      <c r="AC224">
        <f>SUBSTITUTE(SUBSTITUTE(SUBSTITUTE(SUBSTITUTE(H224,"(주)",""),"㈜",""),"주식회사","")," ","")</f>
        <v/>
      </c>
      <c r="AD224">
        <f>IF(AND(T224,AC224&lt;&gt;""),IF(COUNTIFS(AC$2:AC224,AC224,T$2:T224,TRUE)=1,MAX(AD$1:AD223)+1,""),"")</f>
        <v/>
      </c>
    </row>
    <row r="225">
      <c r="A225">
        <f>ROW()</f>
        <v/>
      </c>
      <c r="B225">
        <f>IF(설정!$C$4="","",IFERROR(INDEX('1.산군_붙여넣기'!$A$1:$AZ$1001,ROW(),설정!$C$4)&amp;"",""))</f>
        <v/>
      </c>
      <c r="C225">
        <f>IF(설정!$C$5="","",IFERROR(INDEX('1.산군_붙여넣기'!$A$1:$AZ$1001,ROW(),설정!$C$5)&amp;"",""))</f>
        <v/>
      </c>
      <c r="D225" s="5">
        <f>IFERROR(VALUE(SUBSTITUTE(SUBSTITUTE(SUBSTITUTE(IF(설정!$C$6="","",IFERROR(INDEX('1.산군_붙여넣기'!$A$1:$AZ$1001,ROW(),설정!$C$6)&amp;"","")),",",""),"㎡",""),"m2","")),"")</f>
        <v/>
      </c>
      <c r="E225">
        <f>IF(설정!$C$7="","",IFERROR(INDEX('1.산군_붙여넣기'!$A$1:$AZ$1001,ROW(),설정!$C$7)&amp;"",""))</f>
        <v/>
      </c>
      <c r="F225">
        <f>IF(설정!$C$8="","",IFERROR(INDEX('1.산군_붙여넣기'!$A$1:$AZ$1001,ROW(),설정!$C$8)&amp;"",""))</f>
        <v/>
      </c>
      <c r="G225">
        <f>IF(설정!$C$9="","",IFERROR(INDEX('1.산군_붙여넣기'!$A$1:$AZ$1001,ROW(),설정!$C$9)&amp;"",""))</f>
        <v/>
      </c>
      <c r="H225">
        <f>IF(설정!$C$10="","",IFERROR(INDEX('1.산군_붙여넣기'!$A$1:$AZ$1001,ROW(),설정!$C$10)&amp;"",""))</f>
        <v/>
      </c>
      <c r="I225">
        <f>IF(설정!$C$11="","",IFERROR(INDEX('1.산군_붙여넣기'!$A$1:$AZ$1001,ROW(),설정!$C$11)&amp;"",""))</f>
        <v/>
      </c>
      <c r="J225">
        <f>IF(설정!$C$12="","",IFERROR(INDEX('1.산군_붙여넣기'!$A$1:$AZ$1001,ROW(),설정!$C$12)&amp;"",""))</f>
        <v/>
      </c>
      <c r="K225">
        <f>IF(설정!$C$13="","",IFERROR(INDEX('1.산군_붙여넣기'!$A$1:$AZ$1001,ROW(),설정!$C$13)&amp;"",""))</f>
        <v/>
      </c>
      <c r="L225" s="7">
        <f>IF(X225="","",IF(AND(LEN(X225)=8,ISNUMBER(X225*1)),DATE(LEFT(X225,4),MID(X225,5,2),RIGHT(X225,2)),IFERROR(DATEVALUE(SUBSTITUTE(SUBSTITUTE(X225,".","-"),"/","-")),IFERROR(X225*1,""))))</f>
        <v/>
      </c>
      <c r="M225" s="7">
        <f>IF(Y225="","",IF(AND(LEN(Y225)=8,ISNUMBER(Y225*1)),DATE(LEFT(Y225,4),MID(Y225,5,2),RIGHT(Y225,2)),IFERROR(DATEVALUE(SUBSTITUTE(SUBSTITUTE(Y225,".","-"),"/","-")),IFERROR(Y225*1,""))))</f>
        <v/>
      </c>
      <c r="N225">
        <f>IFERROR(LEFT(B225,FIND(" ",B225)-1),B225)</f>
        <v/>
      </c>
      <c r="O225">
        <f>AND(B225&lt;&gt;"",B225&lt;&gt;설정!$B$4,C225&lt;&gt;설정!$B$5)</f>
        <v/>
      </c>
      <c r="P225">
        <f>IF(O225,B225&amp;"|"&amp;C225,"")</f>
        <v/>
      </c>
      <c r="Q225">
        <f>AND(O225,COUNTIF(P226:P$1002,P225)=0)</f>
        <v/>
      </c>
      <c r="R225">
        <f>OR(AND(설정!$A$42&lt;&gt;"",ISNUMBER(SEARCH(설정!$A$42,E225&amp;" "&amp;C225))),AND(설정!$A$43&lt;&gt;"",ISNUMBER(SEARCH(설정!$A$43,E225&amp;" "&amp;C225))),AND(설정!$A$44&lt;&gt;"",ISNUMBER(SEARCH(설정!$A$44,E225&amp;" "&amp;C225))),AND(설정!$A$45&lt;&gt;"",ISNUMBER(SEARCH(설정!$A$45,E225&amp;" "&amp;C225))),AND(설정!$A$46&lt;&gt;"",ISNUMBER(SEARCH(설정!$A$46,E225&amp;" "&amp;C225))),AND(설정!$A$47&lt;&gt;"",ISNUMBER(SEARCH(설정!$A$47,E225&amp;" "&amp;C225))),AND(설정!$A$48&lt;&gt;"",ISNUMBER(SEARCH(설정!$A$48,E225&amp;" "&amp;C225))),AND(설정!$A$49&lt;&gt;"",ISNUMBER(SEARCH(설정!$A$49,E225&amp;" "&amp;C225))),AND(설정!$A$50&lt;&gt;"",ISNUMBER(SEARCH(설정!$A$50,E225&amp;" "&amp;C225))),AND(설정!$A$51&lt;&gt;"",ISNUMBER(SEARCH(설정!$A$51,E225&amp;" "&amp;C225))))</f>
        <v/>
      </c>
      <c r="S225">
        <f>OR(D225="",D225&gt;=설정!$B$19)</f>
        <v/>
      </c>
      <c r="T225">
        <f>AND(Q225,R225,S225)</f>
        <v/>
      </c>
      <c r="U225">
        <f>IF(T225,IF(AND(설정!$A$54&lt;&gt;"",ISNUMBER(SEARCH(설정!$A$54,K225))),설정!$B$54,IF(AND(설정!$A$55&lt;&gt;"",ISNUMBER(SEARCH(설정!$A$55,K225))),설정!$B$55,IF(AND(설정!$A$56&lt;&gt;"",ISNUMBER(SEARCH(설정!$A$56,K225))),설정!$B$56,IF(AND(설정!$A$57&lt;&gt;"",ISNUMBER(SEARCH(설정!$A$57,K225))),설정!$B$57,IF(AND(설정!$A$58&lt;&gt;"",ISNUMBER(SEARCH(설정!$A$58,K225))),설정!$B$58,IF(AND(설정!$A$59&lt;&gt;"",ISNUMBER(SEARCH(설정!$A$59,K225))),설정!$B$59,IF(AND(설정!$A$60&lt;&gt;"",ISNUMBER(SEARCH(설정!$A$60,K225))),설정!$B$60,IF(AND(설정!$A$61&lt;&gt;"",ISNUMBER(SEARCH(설정!$A$61,K225))),설정!$B$61,IF(M225="","설계사","시공사"))))))))),"")</f>
        <v/>
      </c>
      <c r="V225">
        <f>SUBSTITUTE(SUBSTITUTE(SUBSTITUTE(SUBSTITUTE(G225,"(주)",""),"㈜",""),"주식회사","")," ","")</f>
        <v/>
      </c>
      <c r="W225">
        <f>IF(AND(T225,V225&lt;&gt;""),IF(COUNTIFS(V$2:V225,V225,T$2:T225,TRUE)=1,MAX(W$1:W224)+1,""),"")</f>
        <v/>
      </c>
      <c r="X225">
        <f>IF(설정!$C$14="","",IFERROR(INDEX('1.산군_붙여넣기'!$A$1:$AZ$1001,ROW(),설정!$C$14)&amp;"",""))</f>
        <v/>
      </c>
      <c r="Y225">
        <f>IF(설정!$C$15="","",IFERROR(INDEX('1.산군_붙여넣기'!$A$1:$AZ$1001,ROW(),설정!$C$15)&amp;"",""))</f>
        <v/>
      </c>
      <c r="Z225">
        <f>IF(T225,V225&amp;"|"&amp;U225,"")</f>
        <v/>
      </c>
      <c r="AA225">
        <f>IF(NOT(Q225),"",IF(NOT(AND(R225,S225)),"✕",IF(OR(OR(AND(L225&lt;&gt;"",M225&lt;&gt;"",N(M225)-N(L225)&gt;설정!$B$27),AND(L225&lt;&gt;"",M225="",설정!$B$24-N(L225)&gt;설정!$B$27)),AND(D225&lt;&gt;"",D225&lt;설정!$B$26)),"△","★")))</f>
        <v/>
      </c>
      <c r="AB225">
        <f>IF(NOT(T225),"",IF(U225="설계사",설정!$B$31,IF(U225="시공사",IF(OR(M225="",설정!$B$24-N(M225)&lt;=설정!$B$28*30.4),설정!$B$32,설정!$B$33),설정!$B$34))+IF(AA225="★",설정!$B$35,0))</f>
        <v/>
      </c>
      <c r="AC225">
        <f>SUBSTITUTE(SUBSTITUTE(SUBSTITUTE(SUBSTITUTE(H225,"(주)",""),"㈜",""),"주식회사","")," ","")</f>
        <v/>
      </c>
      <c r="AD225">
        <f>IF(AND(T225,AC225&lt;&gt;""),IF(COUNTIFS(AC$2:AC225,AC225,T$2:T225,TRUE)=1,MAX(AD$1:AD224)+1,""),"")</f>
        <v/>
      </c>
    </row>
    <row r="226">
      <c r="A226">
        <f>ROW()</f>
        <v/>
      </c>
      <c r="B226">
        <f>IF(설정!$C$4="","",IFERROR(INDEX('1.산군_붙여넣기'!$A$1:$AZ$1001,ROW(),설정!$C$4)&amp;"",""))</f>
        <v/>
      </c>
      <c r="C226">
        <f>IF(설정!$C$5="","",IFERROR(INDEX('1.산군_붙여넣기'!$A$1:$AZ$1001,ROW(),설정!$C$5)&amp;"",""))</f>
        <v/>
      </c>
      <c r="D226" s="5">
        <f>IFERROR(VALUE(SUBSTITUTE(SUBSTITUTE(SUBSTITUTE(IF(설정!$C$6="","",IFERROR(INDEX('1.산군_붙여넣기'!$A$1:$AZ$1001,ROW(),설정!$C$6)&amp;"","")),",",""),"㎡",""),"m2","")),"")</f>
        <v/>
      </c>
      <c r="E226">
        <f>IF(설정!$C$7="","",IFERROR(INDEX('1.산군_붙여넣기'!$A$1:$AZ$1001,ROW(),설정!$C$7)&amp;"",""))</f>
        <v/>
      </c>
      <c r="F226">
        <f>IF(설정!$C$8="","",IFERROR(INDEX('1.산군_붙여넣기'!$A$1:$AZ$1001,ROW(),설정!$C$8)&amp;"",""))</f>
        <v/>
      </c>
      <c r="G226">
        <f>IF(설정!$C$9="","",IFERROR(INDEX('1.산군_붙여넣기'!$A$1:$AZ$1001,ROW(),설정!$C$9)&amp;"",""))</f>
        <v/>
      </c>
      <c r="H226">
        <f>IF(설정!$C$10="","",IFERROR(INDEX('1.산군_붙여넣기'!$A$1:$AZ$1001,ROW(),설정!$C$10)&amp;"",""))</f>
        <v/>
      </c>
      <c r="I226">
        <f>IF(설정!$C$11="","",IFERROR(INDEX('1.산군_붙여넣기'!$A$1:$AZ$1001,ROW(),설정!$C$11)&amp;"",""))</f>
        <v/>
      </c>
      <c r="J226">
        <f>IF(설정!$C$12="","",IFERROR(INDEX('1.산군_붙여넣기'!$A$1:$AZ$1001,ROW(),설정!$C$12)&amp;"",""))</f>
        <v/>
      </c>
      <c r="K226">
        <f>IF(설정!$C$13="","",IFERROR(INDEX('1.산군_붙여넣기'!$A$1:$AZ$1001,ROW(),설정!$C$13)&amp;"",""))</f>
        <v/>
      </c>
      <c r="L226" s="7">
        <f>IF(X226="","",IF(AND(LEN(X226)=8,ISNUMBER(X226*1)),DATE(LEFT(X226,4),MID(X226,5,2),RIGHT(X226,2)),IFERROR(DATEVALUE(SUBSTITUTE(SUBSTITUTE(X226,".","-"),"/","-")),IFERROR(X226*1,""))))</f>
        <v/>
      </c>
      <c r="M226" s="7">
        <f>IF(Y226="","",IF(AND(LEN(Y226)=8,ISNUMBER(Y226*1)),DATE(LEFT(Y226,4),MID(Y226,5,2),RIGHT(Y226,2)),IFERROR(DATEVALUE(SUBSTITUTE(SUBSTITUTE(Y226,".","-"),"/","-")),IFERROR(Y226*1,""))))</f>
        <v/>
      </c>
      <c r="N226">
        <f>IFERROR(LEFT(B226,FIND(" ",B226)-1),B226)</f>
        <v/>
      </c>
      <c r="O226">
        <f>AND(B226&lt;&gt;"",B226&lt;&gt;설정!$B$4,C226&lt;&gt;설정!$B$5)</f>
        <v/>
      </c>
      <c r="P226">
        <f>IF(O226,B226&amp;"|"&amp;C226,"")</f>
        <v/>
      </c>
      <c r="Q226">
        <f>AND(O226,COUNTIF(P227:P$1002,P226)=0)</f>
        <v/>
      </c>
      <c r="R226">
        <f>OR(AND(설정!$A$42&lt;&gt;"",ISNUMBER(SEARCH(설정!$A$42,E226&amp;" "&amp;C226))),AND(설정!$A$43&lt;&gt;"",ISNUMBER(SEARCH(설정!$A$43,E226&amp;" "&amp;C226))),AND(설정!$A$44&lt;&gt;"",ISNUMBER(SEARCH(설정!$A$44,E226&amp;" "&amp;C226))),AND(설정!$A$45&lt;&gt;"",ISNUMBER(SEARCH(설정!$A$45,E226&amp;" "&amp;C226))),AND(설정!$A$46&lt;&gt;"",ISNUMBER(SEARCH(설정!$A$46,E226&amp;" "&amp;C226))),AND(설정!$A$47&lt;&gt;"",ISNUMBER(SEARCH(설정!$A$47,E226&amp;" "&amp;C226))),AND(설정!$A$48&lt;&gt;"",ISNUMBER(SEARCH(설정!$A$48,E226&amp;" "&amp;C226))),AND(설정!$A$49&lt;&gt;"",ISNUMBER(SEARCH(설정!$A$49,E226&amp;" "&amp;C226))),AND(설정!$A$50&lt;&gt;"",ISNUMBER(SEARCH(설정!$A$50,E226&amp;" "&amp;C226))),AND(설정!$A$51&lt;&gt;"",ISNUMBER(SEARCH(설정!$A$51,E226&amp;" "&amp;C226))))</f>
        <v/>
      </c>
      <c r="S226">
        <f>OR(D226="",D226&gt;=설정!$B$19)</f>
        <v/>
      </c>
      <c r="T226">
        <f>AND(Q226,R226,S226)</f>
        <v/>
      </c>
      <c r="U226">
        <f>IF(T226,IF(AND(설정!$A$54&lt;&gt;"",ISNUMBER(SEARCH(설정!$A$54,K226))),설정!$B$54,IF(AND(설정!$A$55&lt;&gt;"",ISNUMBER(SEARCH(설정!$A$55,K226))),설정!$B$55,IF(AND(설정!$A$56&lt;&gt;"",ISNUMBER(SEARCH(설정!$A$56,K226))),설정!$B$56,IF(AND(설정!$A$57&lt;&gt;"",ISNUMBER(SEARCH(설정!$A$57,K226))),설정!$B$57,IF(AND(설정!$A$58&lt;&gt;"",ISNUMBER(SEARCH(설정!$A$58,K226))),설정!$B$58,IF(AND(설정!$A$59&lt;&gt;"",ISNUMBER(SEARCH(설정!$A$59,K226))),설정!$B$59,IF(AND(설정!$A$60&lt;&gt;"",ISNUMBER(SEARCH(설정!$A$60,K226))),설정!$B$60,IF(AND(설정!$A$61&lt;&gt;"",ISNUMBER(SEARCH(설정!$A$61,K226))),설정!$B$61,IF(M226="","설계사","시공사"))))))))),"")</f>
        <v/>
      </c>
      <c r="V226">
        <f>SUBSTITUTE(SUBSTITUTE(SUBSTITUTE(SUBSTITUTE(G226,"(주)",""),"㈜",""),"주식회사","")," ","")</f>
        <v/>
      </c>
      <c r="W226">
        <f>IF(AND(T226,V226&lt;&gt;""),IF(COUNTIFS(V$2:V226,V226,T$2:T226,TRUE)=1,MAX(W$1:W225)+1,""),"")</f>
        <v/>
      </c>
      <c r="X226">
        <f>IF(설정!$C$14="","",IFERROR(INDEX('1.산군_붙여넣기'!$A$1:$AZ$1001,ROW(),설정!$C$14)&amp;"",""))</f>
        <v/>
      </c>
      <c r="Y226">
        <f>IF(설정!$C$15="","",IFERROR(INDEX('1.산군_붙여넣기'!$A$1:$AZ$1001,ROW(),설정!$C$15)&amp;"",""))</f>
        <v/>
      </c>
      <c r="Z226">
        <f>IF(T226,V226&amp;"|"&amp;U226,"")</f>
        <v/>
      </c>
      <c r="AA226">
        <f>IF(NOT(Q226),"",IF(NOT(AND(R226,S226)),"✕",IF(OR(OR(AND(L226&lt;&gt;"",M226&lt;&gt;"",N(M226)-N(L226)&gt;설정!$B$27),AND(L226&lt;&gt;"",M226="",설정!$B$24-N(L226)&gt;설정!$B$27)),AND(D226&lt;&gt;"",D226&lt;설정!$B$26)),"△","★")))</f>
        <v/>
      </c>
      <c r="AB226">
        <f>IF(NOT(T226),"",IF(U226="설계사",설정!$B$31,IF(U226="시공사",IF(OR(M226="",설정!$B$24-N(M226)&lt;=설정!$B$28*30.4),설정!$B$32,설정!$B$33),설정!$B$34))+IF(AA226="★",설정!$B$35,0))</f>
        <v/>
      </c>
      <c r="AC226">
        <f>SUBSTITUTE(SUBSTITUTE(SUBSTITUTE(SUBSTITUTE(H226,"(주)",""),"㈜",""),"주식회사","")," ","")</f>
        <v/>
      </c>
      <c r="AD226">
        <f>IF(AND(T226,AC226&lt;&gt;""),IF(COUNTIFS(AC$2:AC226,AC226,T$2:T226,TRUE)=1,MAX(AD$1:AD225)+1,""),"")</f>
        <v/>
      </c>
    </row>
    <row r="227">
      <c r="A227">
        <f>ROW()</f>
        <v/>
      </c>
      <c r="B227">
        <f>IF(설정!$C$4="","",IFERROR(INDEX('1.산군_붙여넣기'!$A$1:$AZ$1001,ROW(),설정!$C$4)&amp;"",""))</f>
        <v/>
      </c>
      <c r="C227">
        <f>IF(설정!$C$5="","",IFERROR(INDEX('1.산군_붙여넣기'!$A$1:$AZ$1001,ROW(),설정!$C$5)&amp;"",""))</f>
        <v/>
      </c>
      <c r="D227" s="5">
        <f>IFERROR(VALUE(SUBSTITUTE(SUBSTITUTE(SUBSTITUTE(IF(설정!$C$6="","",IFERROR(INDEX('1.산군_붙여넣기'!$A$1:$AZ$1001,ROW(),설정!$C$6)&amp;"","")),",",""),"㎡",""),"m2","")),"")</f>
        <v/>
      </c>
      <c r="E227">
        <f>IF(설정!$C$7="","",IFERROR(INDEX('1.산군_붙여넣기'!$A$1:$AZ$1001,ROW(),설정!$C$7)&amp;"",""))</f>
        <v/>
      </c>
      <c r="F227">
        <f>IF(설정!$C$8="","",IFERROR(INDEX('1.산군_붙여넣기'!$A$1:$AZ$1001,ROW(),설정!$C$8)&amp;"",""))</f>
        <v/>
      </c>
      <c r="G227">
        <f>IF(설정!$C$9="","",IFERROR(INDEX('1.산군_붙여넣기'!$A$1:$AZ$1001,ROW(),설정!$C$9)&amp;"",""))</f>
        <v/>
      </c>
      <c r="H227">
        <f>IF(설정!$C$10="","",IFERROR(INDEX('1.산군_붙여넣기'!$A$1:$AZ$1001,ROW(),설정!$C$10)&amp;"",""))</f>
        <v/>
      </c>
      <c r="I227">
        <f>IF(설정!$C$11="","",IFERROR(INDEX('1.산군_붙여넣기'!$A$1:$AZ$1001,ROW(),설정!$C$11)&amp;"",""))</f>
        <v/>
      </c>
      <c r="J227">
        <f>IF(설정!$C$12="","",IFERROR(INDEX('1.산군_붙여넣기'!$A$1:$AZ$1001,ROW(),설정!$C$12)&amp;"",""))</f>
        <v/>
      </c>
      <c r="K227">
        <f>IF(설정!$C$13="","",IFERROR(INDEX('1.산군_붙여넣기'!$A$1:$AZ$1001,ROW(),설정!$C$13)&amp;"",""))</f>
        <v/>
      </c>
      <c r="L227" s="7">
        <f>IF(X227="","",IF(AND(LEN(X227)=8,ISNUMBER(X227*1)),DATE(LEFT(X227,4),MID(X227,5,2),RIGHT(X227,2)),IFERROR(DATEVALUE(SUBSTITUTE(SUBSTITUTE(X227,".","-"),"/","-")),IFERROR(X227*1,""))))</f>
        <v/>
      </c>
      <c r="M227" s="7">
        <f>IF(Y227="","",IF(AND(LEN(Y227)=8,ISNUMBER(Y227*1)),DATE(LEFT(Y227,4),MID(Y227,5,2),RIGHT(Y227,2)),IFERROR(DATEVALUE(SUBSTITUTE(SUBSTITUTE(Y227,".","-"),"/","-")),IFERROR(Y227*1,""))))</f>
        <v/>
      </c>
      <c r="N227">
        <f>IFERROR(LEFT(B227,FIND(" ",B227)-1),B227)</f>
        <v/>
      </c>
      <c r="O227">
        <f>AND(B227&lt;&gt;"",B227&lt;&gt;설정!$B$4,C227&lt;&gt;설정!$B$5)</f>
        <v/>
      </c>
      <c r="P227">
        <f>IF(O227,B227&amp;"|"&amp;C227,"")</f>
        <v/>
      </c>
      <c r="Q227">
        <f>AND(O227,COUNTIF(P228:P$1002,P227)=0)</f>
        <v/>
      </c>
      <c r="R227">
        <f>OR(AND(설정!$A$42&lt;&gt;"",ISNUMBER(SEARCH(설정!$A$42,E227&amp;" "&amp;C227))),AND(설정!$A$43&lt;&gt;"",ISNUMBER(SEARCH(설정!$A$43,E227&amp;" "&amp;C227))),AND(설정!$A$44&lt;&gt;"",ISNUMBER(SEARCH(설정!$A$44,E227&amp;" "&amp;C227))),AND(설정!$A$45&lt;&gt;"",ISNUMBER(SEARCH(설정!$A$45,E227&amp;" "&amp;C227))),AND(설정!$A$46&lt;&gt;"",ISNUMBER(SEARCH(설정!$A$46,E227&amp;" "&amp;C227))),AND(설정!$A$47&lt;&gt;"",ISNUMBER(SEARCH(설정!$A$47,E227&amp;" "&amp;C227))),AND(설정!$A$48&lt;&gt;"",ISNUMBER(SEARCH(설정!$A$48,E227&amp;" "&amp;C227))),AND(설정!$A$49&lt;&gt;"",ISNUMBER(SEARCH(설정!$A$49,E227&amp;" "&amp;C227))),AND(설정!$A$50&lt;&gt;"",ISNUMBER(SEARCH(설정!$A$50,E227&amp;" "&amp;C227))),AND(설정!$A$51&lt;&gt;"",ISNUMBER(SEARCH(설정!$A$51,E227&amp;" "&amp;C227))))</f>
        <v/>
      </c>
      <c r="S227">
        <f>OR(D227="",D227&gt;=설정!$B$19)</f>
        <v/>
      </c>
      <c r="T227">
        <f>AND(Q227,R227,S227)</f>
        <v/>
      </c>
      <c r="U227">
        <f>IF(T227,IF(AND(설정!$A$54&lt;&gt;"",ISNUMBER(SEARCH(설정!$A$54,K227))),설정!$B$54,IF(AND(설정!$A$55&lt;&gt;"",ISNUMBER(SEARCH(설정!$A$55,K227))),설정!$B$55,IF(AND(설정!$A$56&lt;&gt;"",ISNUMBER(SEARCH(설정!$A$56,K227))),설정!$B$56,IF(AND(설정!$A$57&lt;&gt;"",ISNUMBER(SEARCH(설정!$A$57,K227))),설정!$B$57,IF(AND(설정!$A$58&lt;&gt;"",ISNUMBER(SEARCH(설정!$A$58,K227))),설정!$B$58,IF(AND(설정!$A$59&lt;&gt;"",ISNUMBER(SEARCH(설정!$A$59,K227))),설정!$B$59,IF(AND(설정!$A$60&lt;&gt;"",ISNUMBER(SEARCH(설정!$A$60,K227))),설정!$B$60,IF(AND(설정!$A$61&lt;&gt;"",ISNUMBER(SEARCH(설정!$A$61,K227))),설정!$B$61,IF(M227="","설계사","시공사"))))))))),"")</f>
        <v/>
      </c>
      <c r="V227">
        <f>SUBSTITUTE(SUBSTITUTE(SUBSTITUTE(SUBSTITUTE(G227,"(주)",""),"㈜",""),"주식회사","")," ","")</f>
        <v/>
      </c>
      <c r="W227">
        <f>IF(AND(T227,V227&lt;&gt;""),IF(COUNTIFS(V$2:V227,V227,T$2:T227,TRUE)=1,MAX(W$1:W226)+1,""),"")</f>
        <v/>
      </c>
      <c r="X227">
        <f>IF(설정!$C$14="","",IFERROR(INDEX('1.산군_붙여넣기'!$A$1:$AZ$1001,ROW(),설정!$C$14)&amp;"",""))</f>
        <v/>
      </c>
      <c r="Y227">
        <f>IF(설정!$C$15="","",IFERROR(INDEX('1.산군_붙여넣기'!$A$1:$AZ$1001,ROW(),설정!$C$15)&amp;"",""))</f>
        <v/>
      </c>
      <c r="Z227">
        <f>IF(T227,V227&amp;"|"&amp;U227,"")</f>
        <v/>
      </c>
      <c r="AA227">
        <f>IF(NOT(Q227),"",IF(NOT(AND(R227,S227)),"✕",IF(OR(OR(AND(L227&lt;&gt;"",M227&lt;&gt;"",N(M227)-N(L227)&gt;설정!$B$27),AND(L227&lt;&gt;"",M227="",설정!$B$24-N(L227)&gt;설정!$B$27)),AND(D227&lt;&gt;"",D227&lt;설정!$B$26)),"△","★")))</f>
        <v/>
      </c>
      <c r="AB227">
        <f>IF(NOT(T227),"",IF(U227="설계사",설정!$B$31,IF(U227="시공사",IF(OR(M227="",설정!$B$24-N(M227)&lt;=설정!$B$28*30.4),설정!$B$32,설정!$B$33),설정!$B$34))+IF(AA227="★",설정!$B$35,0))</f>
        <v/>
      </c>
      <c r="AC227">
        <f>SUBSTITUTE(SUBSTITUTE(SUBSTITUTE(SUBSTITUTE(H227,"(주)",""),"㈜",""),"주식회사","")," ","")</f>
        <v/>
      </c>
      <c r="AD227">
        <f>IF(AND(T227,AC227&lt;&gt;""),IF(COUNTIFS(AC$2:AC227,AC227,T$2:T227,TRUE)=1,MAX(AD$1:AD226)+1,""),"")</f>
        <v/>
      </c>
    </row>
    <row r="228">
      <c r="A228">
        <f>ROW()</f>
        <v/>
      </c>
      <c r="B228">
        <f>IF(설정!$C$4="","",IFERROR(INDEX('1.산군_붙여넣기'!$A$1:$AZ$1001,ROW(),설정!$C$4)&amp;"",""))</f>
        <v/>
      </c>
      <c r="C228">
        <f>IF(설정!$C$5="","",IFERROR(INDEX('1.산군_붙여넣기'!$A$1:$AZ$1001,ROW(),설정!$C$5)&amp;"",""))</f>
        <v/>
      </c>
      <c r="D228" s="5">
        <f>IFERROR(VALUE(SUBSTITUTE(SUBSTITUTE(SUBSTITUTE(IF(설정!$C$6="","",IFERROR(INDEX('1.산군_붙여넣기'!$A$1:$AZ$1001,ROW(),설정!$C$6)&amp;"","")),",",""),"㎡",""),"m2","")),"")</f>
        <v/>
      </c>
      <c r="E228">
        <f>IF(설정!$C$7="","",IFERROR(INDEX('1.산군_붙여넣기'!$A$1:$AZ$1001,ROW(),설정!$C$7)&amp;"",""))</f>
        <v/>
      </c>
      <c r="F228">
        <f>IF(설정!$C$8="","",IFERROR(INDEX('1.산군_붙여넣기'!$A$1:$AZ$1001,ROW(),설정!$C$8)&amp;"",""))</f>
        <v/>
      </c>
      <c r="G228">
        <f>IF(설정!$C$9="","",IFERROR(INDEX('1.산군_붙여넣기'!$A$1:$AZ$1001,ROW(),설정!$C$9)&amp;"",""))</f>
        <v/>
      </c>
      <c r="H228">
        <f>IF(설정!$C$10="","",IFERROR(INDEX('1.산군_붙여넣기'!$A$1:$AZ$1001,ROW(),설정!$C$10)&amp;"",""))</f>
        <v/>
      </c>
      <c r="I228">
        <f>IF(설정!$C$11="","",IFERROR(INDEX('1.산군_붙여넣기'!$A$1:$AZ$1001,ROW(),설정!$C$11)&amp;"",""))</f>
        <v/>
      </c>
      <c r="J228">
        <f>IF(설정!$C$12="","",IFERROR(INDEX('1.산군_붙여넣기'!$A$1:$AZ$1001,ROW(),설정!$C$12)&amp;"",""))</f>
        <v/>
      </c>
      <c r="K228">
        <f>IF(설정!$C$13="","",IFERROR(INDEX('1.산군_붙여넣기'!$A$1:$AZ$1001,ROW(),설정!$C$13)&amp;"",""))</f>
        <v/>
      </c>
      <c r="L228" s="7">
        <f>IF(X228="","",IF(AND(LEN(X228)=8,ISNUMBER(X228*1)),DATE(LEFT(X228,4),MID(X228,5,2),RIGHT(X228,2)),IFERROR(DATEVALUE(SUBSTITUTE(SUBSTITUTE(X228,".","-"),"/","-")),IFERROR(X228*1,""))))</f>
        <v/>
      </c>
      <c r="M228" s="7">
        <f>IF(Y228="","",IF(AND(LEN(Y228)=8,ISNUMBER(Y228*1)),DATE(LEFT(Y228,4),MID(Y228,5,2),RIGHT(Y228,2)),IFERROR(DATEVALUE(SUBSTITUTE(SUBSTITUTE(Y228,".","-"),"/","-")),IFERROR(Y228*1,""))))</f>
        <v/>
      </c>
      <c r="N228">
        <f>IFERROR(LEFT(B228,FIND(" ",B228)-1),B228)</f>
        <v/>
      </c>
      <c r="O228">
        <f>AND(B228&lt;&gt;"",B228&lt;&gt;설정!$B$4,C228&lt;&gt;설정!$B$5)</f>
        <v/>
      </c>
      <c r="P228">
        <f>IF(O228,B228&amp;"|"&amp;C228,"")</f>
        <v/>
      </c>
      <c r="Q228">
        <f>AND(O228,COUNTIF(P229:P$1002,P228)=0)</f>
        <v/>
      </c>
      <c r="R228">
        <f>OR(AND(설정!$A$42&lt;&gt;"",ISNUMBER(SEARCH(설정!$A$42,E228&amp;" "&amp;C228))),AND(설정!$A$43&lt;&gt;"",ISNUMBER(SEARCH(설정!$A$43,E228&amp;" "&amp;C228))),AND(설정!$A$44&lt;&gt;"",ISNUMBER(SEARCH(설정!$A$44,E228&amp;" "&amp;C228))),AND(설정!$A$45&lt;&gt;"",ISNUMBER(SEARCH(설정!$A$45,E228&amp;" "&amp;C228))),AND(설정!$A$46&lt;&gt;"",ISNUMBER(SEARCH(설정!$A$46,E228&amp;" "&amp;C228))),AND(설정!$A$47&lt;&gt;"",ISNUMBER(SEARCH(설정!$A$47,E228&amp;" "&amp;C228))),AND(설정!$A$48&lt;&gt;"",ISNUMBER(SEARCH(설정!$A$48,E228&amp;" "&amp;C228))),AND(설정!$A$49&lt;&gt;"",ISNUMBER(SEARCH(설정!$A$49,E228&amp;" "&amp;C228))),AND(설정!$A$50&lt;&gt;"",ISNUMBER(SEARCH(설정!$A$50,E228&amp;" "&amp;C228))),AND(설정!$A$51&lt;&gt;"",ISNUMBER(SEARCH(설정!$A$51,E228&amp;" "&amp;C228))))</f>
        <v/>
      </c>
      <c r="S228">
        <f>OR(D228="",D228&gt;=설정!$B$19)</f>
        <v/>
      </c>
      <c r="T228">
        <f>AND(Q228,R228,S228)</f>
        <v/>
      </c>
      <c r="U228">
        <f>IF(T228,IF(AND(설정!$A$54&lt;&gt;"",ISNUMBER(SEARCH(설정!$A$54,K228))),설정!$B$54,IF(AND(설정!$A$55&lt;&gt;"",ISNUMBER(SEARCH(설정!$A$55,K228))),설정!$B$55,IF(AND(설정!$A$56&lt;&gt;"",ISNUMBER(SEARCH(설정!$A$56,K228))),설정!$B$56,IF(AND(설정!$A$57&lt;&gt;"",ISNUMBER(SEARCH(설정!$A$57,K228))),설정!$B$57,IF(AND(설정!$A$58&lt;&gt;"",ISNUMBER(SEARCH(설정!$A$58,K228))),설정!$B$58,IF(AND(설정!$A$59&lt;&gt;"",ISNUMBER(SEARCH(설정!$A$59,K228))),설정!$B$59,IF(AND(설정!$A$60&lt;&gt;"",ISNUMBER(SEARCH(설정!$A$60,K228))),설정!$B$60,IF(AND(설정!$A$61&lt;&gt;"",ISNUMBER(SEARCH(설정!$A$61,K228))),설정!$B$61,IF(M228="","설계사","시공사"))))))))),"")</f>
        <v/>
      </c>
      <c r="V228">
        <f>SUBSTITUTE(SUBSTITUTE(SUBSTITUTE(SUBSTITUTE(G228,"(주)",""),"㈜",""),"주식회사","")," ","")</f>
        <v/>
      </c>
      <c r="W228">
        <f>IF(AND(T228,V228&lt;&gt;""),IF(COUNTIFS(V$2:V228,V228,T$2:T228,TRUE)=1,MAX(W$1:W227)+1,""),"")</f>
        <v/>
      </c>
      <c r="X228">
        <f>IF(설정!$C$14="","",IFERROR(INDEX('1.산군_붙여넣기'!$A$1:$AZ$1001,ROW(),설정!$C$14)&amp;"",""))</f>
        <v/>
      </c>
      <c r="Y228">
        <f>IF(설정!$C$15="","",IFERROR(INDEX('1.산군_붙여넣기'!$A$1:$AZ$1001,ROW(),설정!$C$15)&amp;"",""))</f>
        <v/>
      </c>
      <c r="Z228">
        <f>IF(T228,V228&amp;"|"&amp;U228,"")</f>
        <v/>
      </c>
      <c r="AA228">
        <f>IF(NOT(Q228),"",IF(NOT(AND(R228,S228)),"✕",IF(OR(OR(AND(L228&lt;&gt;"",M228&lt;&gt;"",N(M228)-N(L228)&gt;설정!$B$27),AND(L228&lt;&gt;"",M228="",설정!$B$24-N(L228)&gt;설정!$B$27)),AND(D228&lt;&gt;"",D228&lt;설정!$B$26)),"△","★")))</f>
        <v/>
      </c>
      <c r="AB228">
        <f>IF(NOT(T228),"",IF(U228="설계사",설정!$B$31,IF(U228="시공사",IF(OR(M228="",설정!$B$24-N(M228)&lt;=설정!$B$28*30.4),설정!$B$32,설정!$B$33),설정!$B$34))+IF(AA228="★",설정!$B$35,0))</f>
        <v/>
      </c>
      <c r="AC228">
        <f>SUBSTITUTE(SUBSTITUTE(SUBSTITUTE(SUBSTITUTE(H228,"(주)",""),"㈜",""),"주식회사","")," ","")</f>
        <v/>
      </c>
      <c r="AD228">
        <f>IF(AND(T228,AC228&lt;&gt;""),IF(COUNTIFS(AC$2:AC228,AC228,T$2:T228,TRUE)=1,MAX(AD$1:AD227)+1,""),"")</f>
        <v/>
      </c>
    </row>
    <row r="229">
      <c r="A229">
        <f>ROW()</f>
        <v/>
      </c>
      <c r="B229">
        <f>IF(설정!$C$4="","",IFERROR(INDEX('1.산군_붙여넣기'!$A$1:$AZ$1001,ROW(),설정!$C$4)&amp;"",""))</f>
        <v/>
      </c>
      <c r="C229">
        <f>IF(설정!$C$5="","",IFERROR(INDEX('1.산군_붙여넣기'!$A$1:$AZ$1001,ROW(),설정!$C$5)&amp;"",""))</f>
        <v/>
      </c>
      <c r="D229" s="5">
        <f>IFERROR(VALUE(SUBSTITUTE(SUBSTITUTE(SUBSTITUTE(IF(설정!$C$6="","",IFERROR(INDEX('1.산군_붙여넣기'!$A$1:$AZ$1001,ROW(),설정!$C$6)&amp;"","")),",",""),"㎡",""),"m2","")),"")</f>
        <v/>
      </c>
      <c r="E229">
        <f>IF(설정!$C$7="","",IFERROR(INDEX('1.산군_붙여넣기'!$A$1:$AZ$1001,ROW(),설정!$C$7)&amp;"",""))</f>
        <v/>
      </c>
      <c r="F229">
        <f>IF(설정!$C$8="","",IFERROR(INDEX('1.산군_붙여넣기'!$A$1:$AZ$1001,ROW(),설정!$C$8)&amp;"",""))</f>
        <v/>
      </c>
      <c r="G229">
        <f>IF(설정!$C$9="","",IFERROR(INDEX('1.산군_붙여넣기'!$A$1:$AZ$1001,ROW(),설정!$C$9)&amp;"",""))</f>
        <v/>
      </c>
      <c r="H229">
        <f>IF(설정!$C$10="","",IFERROR(INDEX('1.산군_붙여넣기'!$A$1:$AZ$1001,ROW(),설정!$C$10)&amp;"",""))</f>
        <v/>
      </c>
      <c r="I229">
        <f>IF(설정!$C$11="","",IFERROR(INDEX('1.산군_붙여넣기'!$A$1:$AZ$1001,ROW(),설정!$C$11)&amp;"",""))</f>
        <v/>
      </c>
      <c r="J229">
        <f>IF(설정!$C$12="","",IFERROR(INDEX('1.산군_붙여넣기'!$A$1:$AZ$1001,ROW(),설정!$C$12)&amp;"",""))</f>
        <v/>
      </c>
      <c r="K229">
        <f>IF(설정!$C$13="","",IFERROR(INDEX('1.산군_붙여넣기'!$A$1:$AZ$1001,ROW(),설정!$C$13)&amp;"",""))</f>
        <v/>
      </c>
      <c r="L229" s="7">
        <f>IF(X229="","",IF(AND(LEN(X229)=8,ISNUMBER(X229*1)),DATE(LEFT(X229,4),MID(X229,5,2),RIGHT(X229,2)),IFERROR(DATEVALUE(SUBSTITUTE(SUBSTITUTE(X229,".","-"),"/","-")),IFERROR(X229*1,""))))</f>
        <v/>
      </c>
      <c r="M229" s="7">
        <f>IF(Y229="","",IF(AND(LEN(Y229)=8,ISNUMBER(Y229*1)),DATE(LEFT(Y229,4),MID(Y229,5,2),RIGHT(Y229,2)),IFERROR(DATEVALUE(SUBSTITUTE(SUBSTITUTE(Y229,".","-"),"/","-")),IFERROR(Y229*1,""))))</f>
        <v/>
      </c>
      <c r="N229">
        <f>IFERROR(LEFT(B229,FIND(" ",B229)-1),B229)</f>
        <v/>
      </c>
      <c r="O229">
        <f>AND(B229&lt;&gt;"",B229&lt;&gt;설정!$B$4,C229&lt;&gt;설정!$B$5)</f>
        <v/>
      </c>
      <c r="P229">
        <f>IF(O229,B229&amp;"|"&amp;C229,"")</f>
        <v/>
      </c>
      <c r="Q229">
        <f>AND(O229,COUNTIF(P230:P$1002,P229)=0)</f>
        <v/>
      </c>
      <c r="R229">
        <f>OR(AND(설정!$A$42&lt;&gt;"",ISNUMBER(SEARCH(설정!$A$42,E229&amp;" "&amp;C229))),AND(설정!$A$43&lt;&gt;"",ISNUMBER(SEARCH(설정!$A$43,E229&amp;" "&amp;C229))),AND(설정!$A$44&lt;&gt;"",ISNUMBER(SEARCH(설정!$A$44,E229&amp;" "&amp;C229))),AND(설정!$A$45&lt;&gt;"",ISNUMBER(SEARCH(설정!$A$45,E229&amp;" "&amp;C229))),AND(설정!$A$46&lt;&gt;"",ISNUMBER(SEARCH(설정!$A$46,E229&amp;" "&amp;C229))),AND(설정!$A$47&lt;&gt;"",ISNUMBER(SEARCH(설정!$A$47,E229&amp;" "&amp;C229))),AND(설정!$A$48&lt;&gt;"",ISNUMBER(SEARCH(설정!$A$48,E229&amp;" "&amp;C229))),AND(설정!$A$49&lt;&gt;"",ISNUMBER(SEARCH(설정!$A$49,E229&amp;" "&amp;C229))),AND(설정!$A$50&lt;&gt;"",ISNUMBER(SEARCH(설정!$A$50,E229&amp;" "&amp;C229))),AND(설정!$A$51&lt;&gt;"",ISNUMBER(SEARCH(설정!$A$51,E229&amp;" "&amp;C229))))</f>
        <v/>
      </c>
      <c r="S229">
        <f>OR(D229="",D229&gt;=설정!$B$19)</f>
        <v/>
      </c>
      <c r="T229">
        <f>AND(Q229,R229,S229)</f>
        <v/>
      </c>
      <c r="U229">
        <f>IF(T229,IF(AND(설정!$A$54&lt;&gt;"",ISNUMBER(SEARCH(설정!$A$54,K229))),설정!$B$54,IF(AND(설정!$A$55&lt;&gt;"",ISNUMBER(SEARCH(설정!$A$55,K229))),설정!$B$55,IF(AND(설정!$A$56&lt;&gt;"",ISNUMBER(SEARCH(설정!$A$56,K229))),설정!$B$56,IF(AND(설정!$A$57&lt;&gt;"",ISNUMBER(SEARCH(설정!$A$57,K229))),설정!$B$57,IF(AND(설정!$A$58&lt;&gt;"",ISNUMBER(SEARCH(설정!$A$58,K229))),설정!$B$58,IF(AND(설정!$A$59&lt;&gt;"",ISNUMBER(SEARCH(설정!$A$59,K229))),설정!$B$59,IF(AND(설정!$A$60&lt;&gt;"",ISNUMBER(SEARCH(설정!$A$60,K229))),설정!$B$60,IF(AND(설정!$A$61&lt;&gt;"",ISNUMBER(SEARCH(설정!$A$61,K229))),설정!$B$61,IF(M229="","설계사","시공사"))))))))),"")</f>
        <v/>
      </c>
      <c r="V229">
        <f>SUBSTITUTE(SUBSTITUTE(SUBSTITUTE(SUBSTITUTE(G229,"(주)",""),"㈜",""),"주식회사","")," ","")</f>
        <v/>
      </c>
      <c r="W229">
        <f>IF(AND(T229,V229&lt;&gt;""),IF(COUNTIFS(V$2:V229,V229,T$2:T229,TRUE)=1,MAX(W$1:W228)+1,""),"")</f>
        <v/>
      </c>
      <c r="X229">
        <f>IF(설정!$C$14="","",IFERROR(INDEX('1.산군_붙여넣기'!$A$1:$AZ$1001,ROW(),설정!$C$14)&amp;"",""))</f>
        <v/>
      </c>
      <c r="Y229">
        <f>IF(설정!$C$15="","",IFERROR(INDEX('1.산군_붙여넣기'!$A$1:$AZ$1001,ROW(),설정!$C$15)&amp;"",""))</f>
        <v/>
      </c>
      <c r="Z229">
        <f>IF(T229,V229&amp;"|"&amp;U229,"")</f>
        <v/>
      </c>
      <c r="AA229">
        <f>IF(NOT(Q229),"",IF(NOT(AND(R229,S229)),"✕",IF(OR(OR(AND(L229&lt;&gt;"",M229&lt;&gt;"",N(M229)-N(L229)&gt;설정!$B$27),AND(L229&lt;&gt;"",M229="",설정!$B$24-N(L229)&gt;설정!$B$27)),AND(D229&lt;&gt;"",D229&lt;설정!$B$26)),"△","★")))</f>
        <v/>
      </c>
      <c r="AB229">
        <f>IF(NOT(T229),"",IF(U229="설계사",설정!$B$31,IF(U229="시공사",IF(OR(M229="",설정!$B$24-N(M229)&lt;=설정!$B$28*30.4),설정!$B$32,설정!$B$33),설정!$B$34))+IF(AA229="★",설정!$B$35,0))</f>
        <v/>
      </c>
      <c r="AC229">
        <f>SUBSTITUTE(SUBSTITUTE(SUBSTITUTE(SUBSTITUTE(H229,"(주)",""),"㈜",""),"주식회사","")," ","")</f>
        <v/>
      </c>
      <c r="AD229">
        <f>IF(AND(T229,AC229&lt;&gt;""),IF(COUNTIFS(AC$2:AC229,AC229,T$2:T229,TRUE)=1,MAX(AD$1:AD228)+1,""),"")</f>
        <v/>
      </c>
    </row>
    <row r="230">
      <c r="A230">
        <f>ROW()</f>
        <v/>
      </c>
      <c r="B230">
        <f>IF(설정!$C$4="","",IFERROR(INDEX('1.산군_붙여넣기'!$A$1:$AZ$1001,ROW(),설정!$C$4)&amp;"",""))</f>
        <v/>
      </c>
      <c r="C230">
        <f>IF(설정!$C$5="","",IFERROR(INDEX('1.산군_붙여넣기'!$A$1:$AZ$1001,ROW(),설정!$C$5)&amp;"",""))</f>
        <v/>
      </c>
      <c r="D230" s="5">
        <f>IFERROR(VALUE(SUBSTITUTE(SUBSTITUTE(SUBSTITUTE(IF(설정!$C$6="","",IFERROR(INDEX('1.산군_붙여넣기'!$A$1:$AZ$1001,ROW(),설정!$C$6)&amp;"","")),",",""),"㎡",""),"m2","")),"")</f>
        <v/>
      </c>
      <c r="E230">
        <f>IF(설정!$C$7="","",IFERROR(INDEX('1.산군_붙여넣기'!$A$1:$AZ$1001,ROW(),설정!$C$7)&amp;"",""))</f>
        <v/>
      </c>
      <c r="F230">
        <f>IF(설정!$C$8="","",IFERROR(INDEX('1.산군_붙여넣기'!$A$1:$AZ$1001,ROW(),설정!$C$8)&amp;"",""))</f>
        <v/>
      </c>
      <c r="G230">
        <f>IF(설정!$C$9="","",IFERROR(INDEX('1.산군_붙여넣기'!$A$1:$AZ$1001,ROW(),설정!$C$9)&amp;"",""))</f>
        <v/>
      </c>
      <c r="H230">
        <f>IF(설정!$C$10="","",IFERROR(INDEX('1.산군_붙여넣기'!$A$1:$AZ$1001,ROW(),설정!$C$10)&amp;"",""))</f>
        <v/>
      </c>
      <c r="I230">
        <f>IF(설정!$C$11="","",IFERROR(INDEX('1.산군_붙여넣기'!$A$1:$AZ$1001,ROW(),설정!$C$11)&amp;"",""))</f>
        <v/>
      </c>
      <c r="J230">
        <f>IF(설정!$C$12="","",IFERROR(INDEX('1.산군_붙여넣기'!$A$1:$AZ$1001,ROW(),설정!$C$12)&amp;"",""))</f>
        <v/>
      </c>
      <c r="K230">
        <f>IF(설정!$C$13="","",IFERROR(INDEX('1.산군_붙여넣기'!$A$1:$AZ$1001,ROW(),설정!$C$13)&amp;"",""))</f>
        <v/>
      </c>
      <c r="L230" s="7">
        <f>IF(X230="","",IF(AND(LEN(X230)=8,ISNUMBER(X230*1)),DATE(LEFT(X230,4),MID(X230,5,2),RIGHT(X230,2)),IFERROR(DATEVALUE(SUBSTITUTE(SUBSTITUTE(X230,".","-"),"/","-")),IFERROR(X230*1,""))))</f>
        <v/>
      </c>
      <c r="M230" s="7">
        <f>IF(Y230="","",IF(AND(LEN(Y230)=8,ISNUMBER(Y230*1)),DATE(LEFT(Y230,4),MID(Y230,5,2),RIGHT(Y230,2)),IFERROR(DATEVALUE(SUBSTITUTE(SUBSTITUTE(Y230,".","-"),"/","-")),IFERROR(Y230*1,""))))</f>
        <v/>
      </c>
      <c r="N230">
        <f>IFERROR(LEFT(B230,FIND(" ",B230)-1),B230)</f>
        <v/>
      </c>
      <c r="O230">
        <f>AND(B230&lt;&gt;"",B230&lt;&gt;설정!$B$4,C230&lt;&gt;설정!$B$5)</f>
        <v/>
      </c>
      <c r="P230">
        <f>IF(O230,B230&amp;"|"&amp;C230,"")</f>
        <v/>
      </c>
      <c r="Q230">
        <f>AND(O230,COUNTIF(P231:P$1002,P230)=0)</f>
        <v/>
      </c>
      <c r="R230">
        <f>OR(AND(설정!$A$42&lt;&gt;"",ISNUMBER(SEARCH(설정!$A$42,E230&amp;" "&amp;C230))),AND(설정!$A$43&lt;&gt;"",ISNUMBER(SEARCH(설정!$A$43,E230&amp;" "&amp;C230))),AND(설정!$A$44&lt;&gt;"",ISNUMBER(SEARCH(설정!$A$44,E230&amp;" "&amp;C230))),AND(설정!$A$45&lt;&gt;"",ISNUMBER(SEARCH(설정!$A$45,E230&amp;" "&amp;C230))),AND(설정!$A$46&lt;&gt;"",ISNUMBER(SEARCH(설정!$A$46,E230&amp;" "&amp;C230))),AND(설정!$A$47&lt;&gt;"",ISNUMBER(SEARCH(설정!$A$47,E230&amp;" "&amp;C230))),AND(설정!$A$48&lt;&gt;"",ISNUMBER(SEARCH(설정!$A$48,E230&amp;" "&amp;C230))),AND(설정!$A$49&lt;&gt;"",ISNUMBER(SEARCH(설정!$A$49,E230&amp;" "&amp;C230))),AND(설정!$A$50&lt;&gt;"",ISNUMBER(SEARCH(설정!$A$50,E230&amp;" "&amp;C230))),AND(설정!$A$51&lt;&gt;"",ISNUMBER(SEARCH(설정!$A$51,E230&amp;" "&amp;C230))))</f>
        <v/>
      </c>
      <c r="S230">
        <f>OR(D230="",D230&gt;=설정!$B$19)</f>
        <v/>
      </c>
      <c r="T230">
        <f>AND(Q230,R230,S230)</f>
        <v/>
      </c>
      <c r="U230">
        <f>IF(T230,IF(AND(설정!$A$54&lt;&gt;"",ISNUMBER(SEARCH(설정!$A$54,K230))),설정!$B$54,IF(AND(설정!$A$55&lt;&gt;"",ISNUMBER(SEARCH(설정!$A$55,K230))),설정!$B$55,IF(AND(설정!$A$56&lt;&gt;"",ISNUMBER(SEARCH(설정!$A$56,K230))),설정!$B$56,IF(AND(설정!$A$57&lt;&gt;"",ISNUMBER(SEARCH(설정!$A$57,K230))),설정!$B$57,IF(AND(설정!$A$58&lt;&gt;"",ISNUMBER(SEARCH(설정!$A$58,K230))),설정!$B$58,IF(AND(설정!$A$59&lt;&gt;"",ISNUMBER(SEARCH(설정!$A$59,K230))),설정!$B$59,IF(AND(설정!$A$60&lt;&gt;"",ISNUMBER(SEARCH(설정!$A$60,K230))),설정!$B$60,IF(AND(설정!$A$61&lt;&gt;"",ISNUMBER(SEARCH(설정!$A$61,K230))),설정!$B$61,IF(M230="","설계사","시공사"))))))))),"")</f>
        <v/>
      </c>
      <c r="V230">
        <f>SUBSTITUTE(SUBSTITUTE(SUBSTITUTE(SUBSTITUTE(G230,"(주)",""),"㈜",""),"주식회사","")," ","")</f>
        <v/>
      </c>
      <c r="W230">
        <f>IF(AND(T230,V230&lt;&gt;""),IF(COUNTIFS(V$2:V230,V230,T$2:T230,TRUE)=1,MAX(W$1:W229)+1,""),"")</f>
        <v/>
      </c>
      <c r="X230">
        <f>IF(설정!$C$14="","",IFERROR(INDEX('1.산군_붙여넣기'!$A$1:$AZ$1001,ROW(),설정!$C$14)&amp;"",""))</f>
        <v/>
      </c>
      <c r="Y230">
        <f>IF(설정!$C$15="","",IFERROR(INDEX('1.산군_붙여넣기'!$A$1:$AZ$1001,ROW(),설정!$C$15)&amp;"",""))</f>
        <v/>
      </c>
      <c r="Z230">
        <f>IF(T230,V230&amp;"|"&amp;U230,"")</f>
        <v/>
      </c>
      <c r="AA230">
        <f>IF(NOT(Q230),"",IF(NOT(AND(R230,S230)),"✕",IF(OR(OR(AND(L230&lt;&gt;"",M230&lt;&gt;"",N(M230)-N(L230)&gt;설정!$B$27),AND(L230&lt;&gt;"",M230="",설정!$B$24-N(L230)&gt;설정!$B$27)),AND(D230&lt;&gt;"",D230&lt;설정!$B$26)),"△","★")))</f>
        <v/>
      </c>
      <c r="AB230">
        <f>IF(NOT(T230),"",IF(U230="설계사",설정!$B$31,IF(U230="시공사",IF(OR(M230="",설정!$B$24-N(M230)&lt;=설정!$B$28*30.4),설정!$B$32,설정!$B$33),설정!$B$34))+IF(AA230="★",설정!$B$35,0))</f>
        <v/>
      </c>
      <c r="AC230">
        <f>SUBSTITUTE(SUBSTITUTE(SUBSTITUTE(SUBSTITUTE(H230,"(주)",""),"㈜",""),"주식회사","")," ","")</f>
        <v/>
      </c>
      <c r="AD230">
        <f>IF(AND(T230,AC230&lt;&gt;""),IF(COUNTIFS(AC$2:AC230,AC230,T$2:T230,TRUE)=1,MAX(AD$1:AD229)+1,""),"")</f>
        <v/>
      </c>
    </row>
    <row r="231">
      <c r="A231">
        <f>ROW()</f>
        <v/>
      </c>
      <c r="B231">
        <f>IF(설정!$C$4="","",IFERROR(INDEX('1.산군_붙여넣기'!$A$1:$AZ$1001,ROW(),설정!$C$4)&amp;"",""))</f>
        <v/>
      </c>
      <c r="C231">
        <f>IF(설정!$C$5="","",IFERROR(INDEX('1.산군_붙여넣기'!$A$1:$AZ$1001,ROW(),설정!$C$5)&amp;"",""))</f>
        <v/>
      </c>
      <c r="D231" s="5">
        <f>IFERROR(VALUE(SUBSTITUTE(SUBSTITUTE(SUBSTITUTE(IF(설정!$C$6="","",IFERROR(INDEX('1.산군_붙여넣기'!$A$1:$AZ$1001,ROW(),설정!$C$6)&amp;"","")),",",""),"㎡",""),"m2","")),"")</f>
        <v/>
      </c>
      <c r="E231">
        <f>IF(설정!$C$7="","",IFERROR(INDEX('1.산군_붙여넣기'!$A$1:$AZ$1001,ROW(),설정!$C$7)&amp;"",""))</f>
        <v/>
      </c>
      <c r="F231">
        <f>IF(설정!$C$8="","",IFERROR(INDEX('1.산군_붙여넣기'!$A$1:$AZ$1001,ROW(),설정!$C$8)&amp;"",""))</f>
        <v/>
      </c>
      <c r="G231">
        <f>IF(설정!$C$9="","",IFERROR(INDEX('1.산군_붙여넣기'!$A$1:$AZ$1001,ROW(),설정!$C$9)&amp;"",""))</f>
        <v/>
      </c>
      <c r="H231">
        <f>IF(설정!$C$10="","",IFERROR(INDEX('1.산군_붙여넣기'!$A$1:$AZ$1001,ROW(),설정!$C$10)&amp;"",""))</f>
        <v/>
      </c>
      <c r="I231">
        <f>IF(설정!$C$11="","",IFERROR(INDEX('1.산군_붙여넣기'!$A$1:$AZ$1001,ROW(),설정!$C$11)&amp;"",""))</f>
        <v/>
      </c>
      <c r="J231">
        <f>IF(설정!$C$12="","",IFERROR(INDEX('1.산군_붙여넣기'!$A$1:$AZ$1001,ROW(),설정!$C$12)&amp;"",""))</f>
        <v/>
      </c>
      <c r="K231">
        <f>IF(설정!$C$13="","",IFERROR(INDEX('1.산군_붙여넣기'!$A$1:$AZ$1001,ROW(),설정!$C$13)&amp;"",""))</f>
        <v/>
      </c>
      <c r="L231" s="7">
        <f>IF(X231="","",IF(AND(LEN(X231)=8,ISNUMBER(X231*1)),DATE(LEFT(X231,4),MID(X231,5,2),RIGHT(X231,2)),IFERROR(DATEVALUE(SUBSTITUTE(SUBSTITUTE(X231,".","-"),"/","-")),IFERROR(X231*1,""))))</f>
        <v/>
      </c>
      <c r="M231" s="7">
        <f>IF(Y231="","",IF(AND(LEN(Y231)=8,ISNUMBER(Y231*1)),DATE(LEFT(Y231,4),MID(Y231,5,2),RIGHT(Y231,2)),IFERROR(DATEVALUE(SUBSTITUTE(SUBSTITUTE(Y231,".","-"),"/","-")),IFERROR(Y231*1,""))))</f>
        <v/>
      </c>
      <c r="N231">
        <f>IFERROR(LEFT(B231,FIND(" ",B231)-1),B231)</f>
        <v/>
      </c>
      <c r="O231">
        <f>AND(B231&lt;&gt;"",B231&lt;&gt;설정!$B$4,C231&lt;&gt;설정!$B$5)</f>
        <v/>
      </c>
      <c r="P231">
        <f>IF(O231,B231&amp;"|"&amp;C231,"")</f>
        <v/>
      </c>
      <c r="Q231">
        <f>AND(O231,COUNTIF(P232:P$1002,P231)=0)</f>
        <v/>
      </c>
      <c r="R231">
        <f>OR(AND(설정!$A$42&lt;&gt;"",ISNUMBER(SEARCH(설정!$A$42,E231&amp;" "&amp;C231))),AND(설정!$A$43&lt;&gt;"",ISNUMBER(SEARCH(설정!$A$43,E231&amp;" "&amp;C231))),AND(설정!$A$44&lt;&gt;"",ISNUMBER(SEARCH(설정!$A$44,E231&amp;" "&amp;C231))),AND(설정!$A$45&lt;&gt;"",ISNUMBER(SEARCH(설정!$A$45,E231&amp;" "&amp;C231))),AND(설정!$A$46&lt;&gt;"",ISNUMBER(SEARCH(설정!$A$46,E231&amp;" "&amp;C231))),AND(설정!$A$47&lt;&gt;"",ISNUMBER(SEARCH(설정!$A$47,E231&amp;" "&amp;C231))),AND(설정!$A$48&lt;&gt;"",ISNUMBER(SEARCH(설정!$A$48,E231&amp;" "&amp;C231))),AND(설정!$A$49&lt;&gt;"",ISNUMBER(SEARCH(설정!$A$49,E231&amp;" "&amp;C231))),AND(설정!$A$50&lt;&gt;"",ISNUMBER(SEARCH(설정!$A$50,E231&amp;" "&amp;C231))),AND(설정!$A$51&lt;&gt;"",ISNUMBER(SEARCH(설정!$A$51,E231&amp;" "&amp;C231))))</f>
        <v/>
      </c>
      <c r="S231">
        <f>OR(D231="",D231&gt;=설정!$B$19)</f>
        <v/>
      </c>
      <c r="T231">
        <f>AND(Q231,R231,S231)</f>
        <v/>
      </c>
      <c r="U231">
        <f>IF(T231,IF(AND(설정!$A$54&lt;&gt;"",ISNUMBER(SEARCH(설정!$A$54,K231))),설정!$B$54,IF(AND(설정!$A$55&lt;&gt;"",ISNUMBER(SEARCH(설정!$A$55,K231))),설정!$B$55,IF(AND(설정!$A$56&lt;&gt;"",ISNUMBER(SEARCH(설정!$A$56,K231))),설정!$B$56,IF(AND(설정!$A$57&lt;&gt;"",ISNUMBER(SEARCH(설정!$A$57,K231))),설정!$B$57,IF(AND(설정!$A$58&lt;&gt;"",ISNUMBER(SEARCH(설정!$A$58,K231))),설정!$B$58,IF(AND(설정!$A$59&lt;&gt;"",ISNUMBER(SEARCH(설정!$A$59,K231))),설정!$B$59,IF(AND(설정!$A$60&lt;&gt;"",ISNUMBER(SEARCH(설정!$A$60,K231))),설정!$B$60,IF(AND(설정!$A$61&lt;&gt;"",ISNUMBER(SEARCH(설정!$A$61,K231))),설정!$B$61,IF(M231="","설계사","시공사"))))))))),"")</f>
        <v/>
      </c>
      <c r="V231">
        <f>SUBSTITUTE(SUBSTITUTE(SUBSTITUTE(SUBSTITUTE(G231,"(주)",""),"㈜",""),"주식회사","")," ","")</f>
        <v/>
      </c>
      <c r="W231">
        <f>IF(AND(T231,V231&lt;&gt;""),IF(COUNTIFS(V$2:V231,V231,T$2:T231,TRUE)=1,MAX(W$1:W230)+1,""),"")</f>
        <v/>
      </c>
      <c r="X231">
        <f>IF(설정!$C$14="","",IFERROR(INDEX('1.산군_붙여넣기'!$A$1:$AZ$1001,ROW(),설정!$C$14)&amp;"",""))</f>
        <v/>
      </c>
      <c r="Y231">
        <f>IF(설정!$C$15="","",IFERROR(INDEX('1.산군_붙여넣기'!$A$1:$AZ$1001,ROW(),설정!$C$15)&amp;"",""))</f>
        <v/>
      </c>
      <c r="Z231">
        <f>IF(T231,V231&amp;"|"&amp;U231,"")</f>
        <v/>
      </c>
      <c r="AA231">
        <f>IF(NOT(Q231),"",IF(NOT(AND(R231,S231)),"✕",IF(OR(OR(AND(L231&lt;&gt;"",M231&lt;&gt;"",N(M231)-N(L231)&gt;설정!$B$27),AND(L231&lt;&gt;"",M231="",설정!$B$24-N(L231)&gt;설정!$B$27)),AND(D231&lt;&gt;"",D231&lt;설정!$B$26)),"△","★")))</f>
        <v/>
      </c>
      <c r="AB231">
        <f>IF(NOT(T231),"",IF(U231="설계사",설정!$B$31,IF(U231="시공사",IF(OR(M231="",설정!$B$24-N(M231)&lt;=설정!$B$28*30.4),설정!$B$32,설정!$B$33),설정!$B$34))+IF(AA231="★",설정!$B$35,0))</f>
        <v/>
      </c>
      <c r="AC231">
        <f>SUBSTITUTE(SUBSTITUTE(SUBSTITUTE(SUBSTITUTE(H231,"(주)",""),"㈜",""),"주식회사","")," ","")</f>
        <v/>
      </c>
      <c r="AD231">
        <f>IF(AND(T231,AC231&lt;&gt;""),IF(COUNTIFS(AC$2:AC231,AC231,T$2:T231,TRUE)=1,MAX(AD$1:AD230)+1,""),"")</f>
        <v/>
      </c>
    </row>
    <row r="232">
      <c r="A232">
        <f>ROW()</f>
        <v/>
      </c>
      <c r="B232">
        <f>IF(설정!$C$4="","",IFERROR(INDEX('1.산군_붙여넣기'!$A$1:$AZ$1001,ROW(),설정!$C$4)&amp;"",""))</f>
        <v/>
      </c>
      <c r="C232">
        <f>IF(설정!$C$5="","",IFERROR(INDEX('1.산군_붙여넣기'!$A$1:$AZ$1001,ROW(),설정!$C$5)&amp;"",""))</f>
        <v/>
      </c>
      <c r="D232" s="5">
        <f>IFERROR(VALUE(SUBSTITUTE(SUBSTITUTE(SUBSTITUTE(IF(설정!$C$6="","",IFERROR(INDEX('1.산군_붙여넣기'!$A$1:$AZ$1001,ROW(),설정!$C$6)&amp;"","")),",",""),"㎡",""),"m2","")),"")</f>
        <v/>
      </c>
      <c r="E232">
        <f>IF(설정!$C$7="","",IFERROR(INDEX('1.산군_붙여넣기'!$A$1:$AZ$1001,ROW(),설정!$C$7)&amp;"",""))</f>
        <v/>
      </c>
      <c r="F232">
        <f>IF(설정!$C$8="","",IFERROR(INDEX('1.산군_붙여넣기'!$A$1:$AZ$1001,ROW(),설정!$C$8)&amp;"",""))</f>
        <v/>
      </c>
      <c r="G232">
        <f>IF(설정!$C$9="","",IFERROR(INDEX('1.산군_붙여넣기'!$A$1:$AZ$1001,ROW(),설정!$C$9)&amp;"",""))</f>
        <v/>
      </c>
      <c r="H232">
        <f>IF(설정!$C$10="","",IFERROR(INDEX('1.산군_붙여넣기'!$A$1:$AZ$1001,ROW(),설정!$C$10)&amp;"",""))</f>
        <v/>
      </c>
      <c r="I232">
        <f>IF(설정!$C$11="","",IFERROR(INDEX('1.산군_붙여넣기'!$A$1:$AZ$1001,ROW(),설정!$C$11)&amp;"",""))</f>
        <v/>
      </c>
      <c r="J232">
        <f>IF(설정!$C$12="","",IFERROR(INDEX('1.산군_붙여넣기'!$A$1:$AZ$1001,ROW(),설정!$C$12)&amp;"",""))</f>
        <v/>
      </c>
      <c r="K232">
        <f>IF(설정!$C$13="","",IFERROR(INDEX('1.산군_붙여넣기'!$A$1:$AZ$1001,ROW(),설정!$C$13)&amp;"",""))</f>
        <v/>
      </c>
      <c r="L232" s="7">
        <f>IF(X232="","",IF(AND(LEN(X232)=8,ISNUMBER(X232*1)),DATE(LEFT(X232,4),MID(X232,5,2),RIGHT(X232,2)),IFERROR(DATEVALUE(SUBSTITUTE(SUBSTITUTE(X232,".","-"),"/","-")),IFERROR(X232*1,""))))</f>
        <v/>
      </c>
      <c r="M232" s="7">
        <f>IF(Y232="","",IF(AND(LEN(Y232)=8,ISNUMBER(Y232*1)),DATE(LEFT(Y232,4),MID(Y232,5,2),RIGHT(Y232,2)),IFERROR(DATEVALUE(SUBSTITUTE(SUBSTITUTE(Y232,".","-"),"/","-")),IFERROR(Y232*1,""))))</f>
        <v/>
      </c>
      <c r="N232">
        <f>IFERROR(LEFT(B232,FIND(" ",B232)-1),B232)</f>
        <v/>
      </c>
      <c r="O232">
        <f>AND(B232&lt;&gt;"",B232&lt;&gt;설정!$B$4,C232&lt;&gt;설정!$B$5)</f>
        <v/>
      </c>
      <c r="P232">
        <f>IF(O232,B232&amp;"|"&amp;C232,"")</f>
        <v/>
      </c>
      <c r="Q232">
        <f>AND(O232,COUNTIF(P233:P$1002,P232)=0)</f>
        <v/>
      </c>
      <c r="R232">
        <f>OR(AND(설정!$A$42&lt;&gt;"",ISNUMBER(SEARCH(설정!$A$42,E232&amp;" "&amp;C232))),AND(설정!$A$43&lt;&gt;"",ISNUMBER(SEARCH(설정!$A$43,E232&amp;" "&amp;C232))),AND(설정!$A$44&lt;&gt;"",ISNUMBER(SEARCH(설정!$A$44,E232&amp;" "&amp;C232))),AND(설정!$A$45&lt;&gt;"",ISNUMBER(SEARCH(설정!$A$45,E232&amp;" "&amp;C232))),AND(설정!$A$46&lt;&gt;"",ISNUMBER(SEARCH(설정!$A$46,E232&amp;" "&amp;C232))),AND(설정!$A$47&lt;&gt;"",ISNUMBER(SEARCH(설정!$A$47,E232&amp;" "&amp;C232))),AND(설정!$A$48&lt;&gt;"",ISNUMBER(SEARCH(설정!$A$48,E232&amp;" "&amp;C232))),AND(설정!$A$49&lt;&gt;"",ISNUMBER(SEARCH(설정!$A$49,E232&amp;" "&amp;C232))),AND(설정!$A$50&lt;&gt;"",ISNUMBER(SEARCH(설정!$A$50,E232&amp;" "&amp;C232))),AND(설정!$A$51&lt;&gt;"",ISNUMBER(SEARCH(설정!$A$51,E232&amp;" "&amp;C232))))</f>
        <v/>
      </c>
      <c r="S232">
        <f>OR(D232="",D232&gt;=설정!$B$19)</f>
        <v/>
      </c>
      <c r="T232">
        <f>AND(Q232,R232,S232)</f>
        <v/>
      </c>
      <c r="U232">
        <f>IF(T232,IF(AND(설정!$A$54&lt;&gt;"",ISNUMBER(SEARCH(설정!$A$54,K232))),설정!$B$54,IF(AND(설정!$A$55&lt;&gt;"",ISNUMBER(SEARCH(설정!$A$55,K232))),설정!$B$55,IF(AND(설정!$A$56&lt;&gt;"",ISNUMBER(SEARCH(설정!$A$56,K232))),설정!$B$56,IF(AND(설정!$A$57&lt;&gt;"",ISNUMBER(SEARCH(설정!$A$57,K232))),설정!$B$57,IF(AND(설정!$A$58&lt;&gt;"",ISNUMBER(SEARCH(설정!$A$58,K232))),설정!$B$58,IF(AND(설정!$A$59&lt;&gt;"",ISNUMBER(SEARCH(설정!$A$59,K232))),설정!$B$59,IF(AND(설정!$A$60&lt;&gt;"",ISNUMBER(SEARCH(설정!$A$60,K232))),설정!$B$60,IF(AND(설정!$A$61&lt;&gt;"",ISNUMBER(SEARCH(설정!$A$61,K232))),설정!$B$61,IF(M232="","설계사","시공사"))))))))),"")</f>
        <v/>
      </c>
      <c r="V232">
        <f>SUBSTITUTE(SUBSTITUTE(SUBSTITUTE(SUBSTITUTE(G232,"(주)",""),"㈜",""),"주식회사","")," ","")</f>
        <v/>
      </c>
      <c r="W232">
        <f>IF(AND(T232,V232&lt;&gt;""),IF(COUNTIFS(V$2:V232,V232,T$2:T232,TRUE)=1,MAX(W$1:W231)+1,""),"")</f>
        <v/>
      </c>
      <c r="X232">
        <f>IF(설정!$C$14="","",IFERROR(INDEX('1.산군_붙여넣기'!$A$1:$AZ$1001,ROW(),설정!$C$14)&amp;"",""))</f>
        <v/>
      </c>
      <c r="Y232">
        <f>IF(설정!$C$15="","",IFERROR(INDEX('1.산군_붙여넣기'!$A$1:$AZ$1001,ROW(),설정!$C$15)&amp;"",""))</f>
        <v/>
      </c>
      <c r="Z232">
        <f>IF(T232,V232&amp;"|"&amp;U232,"")</f>
        <v/>
      </c>
      <c r="AA232">
        <f>IF(NOT(Q232),"",IF(NOT(AND(R232,S232)),"✕",IF(OR(OR(AND(L232&lt;&gt;"",M232&lt;&gt;"",N(M232)-N(L232)&gt;설정!$B$27),AND(L232&lt;&gt;"",M232="",설정!$B$24-N(L232)&gt;설정!$B$27)),AND(D232&lt;&gt;"",D232&lt;설정!$B$26)),"△","★")))</f>
        <v/>
      </c>
      <c r="AB232">
        <f>IF(NOT(T232),"",IF(U232="설계사",설정!$B$31,IF(U232="시공사",IF(OR(M232="",설정!$B$24-N(M232)&lt;=설정!$B$28*30.4),설정!$B$32,설정!$B$33),설정!$B$34))+IF(AA232="★",설정!$B$35,0))</f>
        <v/>
      </c>
      <c r="AC232">
        <f>SUBSTITUTE(SUBSTITUTE(SUBSTITUTE(SUBSTITUTE(H232,"(주)",""),"㈜",""),"주식회사","")," ","")</f>
        <v/>
      </c>
      <c r="AD232">
        <f>IF(AND(T232,AC232&lt;&gt;""),IF(COUNTIFS(AC$2:AC232,AC232,T$2:T232,TRUE)=1,MAX(AD$1:AD231)+1,""),"")</f>
        <v/>
      </c>
    </row>
    <row r="233">
      <c r="A233">
        <f>ROW()</f>
        <v/>
      </c>
      <c r="B233">
        <f>IF(설정!$C$4="","",IFERROR(INDEX('1.산군_붙여넣기'!$A$1:$AZ$1001,ROW(),설정!$C$4)&amp;"",""))</f>
        <v/>
      </c>
      <c r="C233">
        <f>IF(설정!$C$5="","",IFERROR(INDEX('1.산군_붙여넣기'!$A$1:$AZ$1001,ROW(),설정!$C$5)&amp;"",""))</f>
        <v/>
      </c>
      <c r="D233" s="5">
        <f>IFERROR(VALUE(SUBSTITUTE(SUBSTITUTE(SUBSTITUTE(IF(설정!$C$6="","",IFERROR(INDEX('1.산군_붙여넣기'!$A$1:$AZ$1001,ROW(),설정!$C$6)&amp;"","")),",",""),"㎡",""),"m2","")),"")</f>
        <v/>
      </c>
      <c r="E233">
        <f>IF(설정!$C$7="","",IFERROR(INDEX('1.산군_붙여넣기'!$A$1:$AZ$1001,ROW(),설정!$C$7)&amp;"",""))</f>
        <v/>
      </c>
      <c r="F233">
        <f>IF(설정!$C$8="","",IFERROR(INDEX('1.산군_붙여넣기'!$A$1:$AZ$1001,ROW(),설정!$C$8)&amp;"",""))</f>
        <v/>
      </c>
      <c r="G233">
        <f>IF(설정!$C$9="","",IFERROR(INDEX('1.산군_붙여넣기'!$A$1:$AZ$1001,ROW(),설정!$C$9)&amp;"",""))</f>
        <v/>
      </c>
      <c r="H233">
        <f>IF(설정!$C$10="","",IFERROR(INDEX('1.산군_붙여넣기'!$A$1:$AZ$1001,ROW(),설정!$C$10)&amp;"",""))</f>
        <v/>
      </c>
      <c r="I233">
        <f>IF(설정!$C$11="","",IFERROR(INDEX('1.산군_붙여넣기'!$A$1:$AZ$1001,ROW(),설정!$C$11)&amp;"",""))</f>
        <v/>
      </c>
      <c r="J233">
        <f>IF(설정!$C$12="","",IFERROR(INDEX('1.산군_붙여넣기'!$A$1:$AZ$1001,ROW(),설정!$C$12)&amp;"",""))</f>
        <v/>
      </c>
      <c r="K233">
        <f>IF(설정!$C$13="","",IFERROR(INDEX('1.산군_붙여넣기'!$A$1:$AZ$1001,ROW(),설정!$C$13)&amp;"",""))</f>
        <v/>
      </c>
      <c r="L233" s="7">
        <f>IF(X233="","",IF(AND(LEN(X233)=8,ISNUMBER(X233*1)),DATE(LEFT(X233,4),MID(X233,5,2),RIGHT(X233,2)),IFERROR(DATEVALUE(SUBSTITUTE(SUBSTITUTE(X233,".","-"),"/","-")),IFERROR(X233*1,""))))</f>
        <v/>
      </c>
      <c r="M233" s="7">
        <f>IF(Y233="","",IF(AND(LEN(Y233)=8,ISNUMBER(Y233*1)),DATE(LEFT(Y233,4),MID(Y233,5,2),RIGHT(Y233,2)),IFERROR(DATEVALUE(SUBSTITUTE(SUBSTITUTE(Y233,".","-"),"/","-")),IFERROR(Y233*1,""))))</f>
        <v/>
      </c>
      <c r="N233">
        <f>IFERROR(LEFT(B233,FIND(" ",B233)-1),B233)</f>
        <v/>
      </c>
      <c r="O233">
        <f>AND(B233&lt;&gt;"",B233&lt;&gt;설정!$B$4,C233&lt;&gt;설정!$B$5)</f>
        <v/>
      </c>
      <c r="P233">
        <f>IF(O233,B233&amp;"|"&amp;C233,"")</f>
        <v/>
      </c>
      <c r="Q233">
        <f>AND(O233,COUNTIF(P234:P$1002,P233)=0)</f>
        <v/>
      </c>
      <c r="R233">
        <f>OR(AND(설정!$A$42&lt;&gt;"",ISNUMBER(SEARCH(설정!$A$42,E233&amp;" "&amp;C233))),AND(설정!$A$43&lt;&gt;"",ISNUMBER(SEARCH(설정!$A$43,E233&amp;" "&amp;C233))),AND(설정!$A$44&lt;&gt;"",ISNUMBER(SEARCH(설정!$A$44,E233&amp;" "&amp;C233))),AND(설정!$A$45&lt;&gt;"",ISNUMBER(SEARCH(설정!$A$45,E233&amp;" "&amp;C233))),AND(설정!$A$46&lt;&gt;"",ISNUMBER(SEARCH(설정!$A$46,E233&amp;" "&amp;C233))),AND(설정!$A$47&lt;&gt;"",ISNUMBER(SEARCH(설정!$A$47,E233&amp;" "&amp;C233))),AND(설정!$A$48&lt;&gt;"",ISNUMBER(SEARCH(설정!$A$48,E233&amp;" "&amp;C233))),AND(설정!$A$49&lt;&gt;"",ISNUMBER(SEARCH(설정!$A$49,E233&amp;" "&amp;C233))),AND(설정!$A$50&lt;&gt;"",ISNUMBER(SEARCH(설정!$A$50,E233&amp;" "&amp;C233))),AND(설정!$A$51&lt;&gt;"",ISNUMBER(SEARCH(설정!$A$51,E233&amp;" "&amp;C233))))</f>
        <v/>
      </c>
      <c r="S233">
        <f>OR(D233="",D233&gt;=설정!$B$19)</f>
        <v/>
      </c>
      <c r="T233">
        <f>AND(Q233,R233,S233)</f>
        <v/>
      </c>
      <c r="U233">
        <f>IF(T233,IF(AND(설정!$A$54&lt;&gt;"",ISNUMBER(SEARCH(설정!$A$54,K233))),설정!$B$54,IF(AND(설정!$A$55&lt;&gt;"",ISNUMBER(SEARCH(설정!$A$55,K233))),설정!$B$55,IF(AND(설정!$A$56&lt;&gt;"",ISNUMBER(SEARCH(설정!$A$56,K233))),설정!$B$56,IF(AND(설정!$A$57&lt;&gt;"",ISNUMBER(SEARCH(설정!$A$57,K233))),설정!$B$57,IF(AND(설정!$A$58&lt;&gt;"",ISNUMBER(SEARCH(설정!$A$58,K233))),설정!$B$58,IF(AND(설정!$A$59&lt;&gt;"",ISNUMBER(SEARCH(설정!$A$59,K233))),설정!$B$59,IF(AND(설정!$A$60&lt;&gt;"",ISNUMBER(SEARCH(설정!$A$60,K233))),설정!$B$60,IF(AND(설정!$A$61&lt;&gt;"",ISNUMBER(SEARCH(설정!$A$61,K233))),설정!$B$61,IF(M233="","설계사","시공사"))))))))),"")</f>
        <v/>
      </c>
      <c r="V233">
        <f>SUBSTITUTE(SUBSTITUTE(SUBSTITUTE(SUBSTITUTE(G233,"(주)",""),"㈜",""),"주식회사","")," ","")</f>
        <v/>
      </c>
      <c r="W233">
        <f>IF(AND(T233,V233&lt;&gt;""),IF(COUNTIFS(V$2:V233,V233,T$2:T233,TRUE)=1,MAX(W$1:W232)+1,""),"")</f>
        <v/>
      </c>
      <c r="X233">
        <f>IF(설정!$C$14="","",IFERROR(INDEX('1.산군_붙여넣기'!$A$1:$AZ$1001,ROW(),설정!$C$14)&amp;"",""))</f>
        <v/>
      </c>
      <c r="Y233">
        <f>IF(설정!$C$15="","",IFERROR(INDEX('1.산군_붙여넣기'!$A$1:$AZ$1001,ROW(),설정!$C$15)&amp;"",""))</f>
        <v/>
      </c>
      <c r="Z233">
        <f>IF(T233,V233&amp;"|"&amp;U233,"")</f>
        <v/>
      </c>
      <c r="AA233">
        <f>IF(NOT(Q233),"",IF(NOT(AND(R233,S233)),"✕",IF(OR(OR(AND(L233&lt;&gt;"",M233&lt;&gt;"",N(M233)-N(L233)&gt;설정!$B$27),AND(L233&lt;&gt;"",M233="",설정!$B$24-N(L233)&gt;설정!$B$27)),AND(D233&lt;&gt;"",D233&lt;설정!$B$26)),"△","★")))</f>
        <v/>
      </c>
      <c r="AB233">
        <f>IF(NOT(T233),"",IF(U233="설계사",설정!$B$31,IF(U233="시공사",IF(OR(M233="",설정!$B$24-N(M233)&lt;=설정!$B$28*30.4),설정!$B$32,설정!$B$33),설정!$B$34))+IF(AA233="★",설정!$B$35,0))</f>
        <v/>
      </c>
      <c r="AC233">
        <f>SUBSTITUTE(SUBSTITUTE(SUBSTITUTE(SUBSTITUTE(H233,"(주)",""),"㈜",""),"주식회사","")," ","")</f>
        <v/>
      </c>
      <c r="AD233">
        <f>IF(AND(T233,AC233&lt;&gt;""),IF(COUNTIFS(AC$2:AC233,AC233,T$2:T233,TRUE)=1,MAX(AD$1:AD232)+1,""),"")</f>
        <v/>
      </c>
    </row>
    <row r="234">
      <c r="A234">
        <f>ROW()</f>
        <v/>
      </c>
      <c r="B234">
        <f>IF(설정!$C$4="","",IFERROR(INDEX('1.산군_붙여넣기'!$A$1:$AZ$1001,ROW(),설정!$C$4)&amp;"",""))</f>
        <v/>
      </c>
      <c r="C234">
        <f>IF(설정!$C$5="","",IFERROR(INDEX('1.산군_붙여넣기'!$A$1:$AZ$1001,ROW(),설정!$C$5)&amp;"",""))</f>
        <v/>
      </c>
      <c r="D234" s="5">
        <f>IFERROR(VALUE(SUBSTITUTE(SUBSTITUTE(SUBSTITUTE(IF(설정!$C$6="","",IFERROR(INDEX('1.산군_붙여넣기'!$A$1:$AZ$1001,ROW(),설정!$C$6)&amp;"","")),",",""),"㎡",""),"m2","")),"")</f>
        <v/>
      </c>
      <c r="E234">
        <f>IF(설정!$C$7="","",IFERROR(INDEX('1.산군_붙여넣기'!$A$1:$AZ$1001,ROW(),설정!$C$7)&amp;"",""))</f>
        <v/>
      </c>
      <c r="F234">
        <f>IF(설정!$C$8="","",IFERROR(INDEX('1.산군_붙여넣기'!$A$1:$AZ$1001,ROW(),설정!$C$8)&amp;"",""))</f>
        <v/>
      </c>
      <c r="G234">
        <f>IF(설정!$C$9="","",IFERROR(INDEX('1.산군_붙여넣기'!$A$1:$AZ$1001,ROW(),설정!$C$9)&amp;"",""))</f>
        <v/>
      </c>
      <c r="H234">
        <f>IF(설정!$C$10="","",IFERROR(INDEX('1.산군_붙여넣기'!$A$1:$AZ$1001,ROW(),설정!$C$10)&amp;"",""))</f>
        <v/>
      </c>
      <c r="I234">
        <f>IF(설정!$C$11="","",IFERROR(INDEX('1.산군_붙여넣기'!$A$1:$AZ$1001,ROW(),설정!$C$11)&amp;"",""))</f>
        <v/>
      </c>
      <c r="J234">
        <f>IF(설정!$C$12="","",IFERROR(INDEX('1.산군_붙여넣기'!$A$1:$AZ$1001,ROW(),설정!$C$12)&amp;"",""))</f>
        <v/>
      </c>
      <c r="K234">
        <f>IF(설정!$C$13="","",IFERROR(INDEX('1.산군_붙여넣기'!$A$1:$AZ$1001,ROW(),설정!$C$13)&amp;"",""))</f>
        <v/>
      </c>
      <c r="L234" s="7">
        <f>IF(X234="","",IF(AND(LEN(X234)=8,ISNUMBER(X234*1)),DATE(LEFT(X234,4),MID(X234,5,2),RIGHT(X234,2)),IFERROR(DATEVALUE(SUBSTITUTE(SUBSTITUTE(X234,".","-"),"/","-")),IFERROR(X234*1,""))))</f>
        <v/>
      </c>
      <c r="M234" s="7">
        <f>IF(Y234="","",IF(AND(LEN(Y234)=8,ISNUMBER(Y234*1)),DATE(LEFT(Y234,4),MID(Y234,5,2),RIGHT(Y234,2)),IFERROR(DATEVALUE(SUBSTITUTE(SUBSTITUTE(Y234,".","-"),"/","-")),IFERROR(Y234*1,""))))</f>
        <v/>
      </c>
      <c r="N234">
        <f>IFERROR(LEFT(B234,FIND(" ",B234)-1),B234)</f>
        <v/>
      </c>
      <c r="O234">
        <f>AND(B234&lt;&gt;"",B234&lt;&gt;설정!$B$4,C234&lt;&gt;설정!$B$5)</f>
        <v/>
      </c>
      <c r="P234">
        <f>IF(O234,B234&amp;"|"&amp;C234,"")</f>
        <v/>
      </c>
      <c r="Q234">
        <f>AND(O234,COUNTIF(P235:P$1002,P234)=0)</f>
        <v/>
      </c>
      <c r="R234">
        <f>OR(AND(설정!$A$42&lt;&gt;"",ISNUMBER(SEARCH(설정!$A$42,E234&amp;" "&amp;C234))),AND(설정!$A$43&lt;&gt;"",ISNUMBER(SEARCH(설정!$A$43,E234&amp;" "&amp;C234))),AND(설정!$A$44&lt;&gt;"",ISNUMBER(SEARCH(설정!$A$44,E234&amp;" "&amp;C234))),AND(설정!$A$45&lt;&gt;"",ISNUMBER(SEARCH(설정!$A$45,E234&amp;" "&amp;C234))),AND(설정!$A$46&lt;&gt;"",ISNUMBER(SEARCH(설정!$A$46,E234&amp;" "&amp;C234))),AND(설정!$A$47&lt;&gt;"",ISNUMBER(SEARCH(설정!$A$47,E234&amp;" "&amp;C234))),AND(설정!$A$48&lt;&gt;"",ISNUMBER(SEARCH(설정!$A$48,E234&amp;" "&amp;C234))),AND(설정!$A$49&lt;&gt;"",ISNUMBER(SEARCH(설정!$A$49,E234&amp;" "&amp;C234))),AND(설정!$A$50&lt;&gt;"",ISNUMBER(SEARCH(설정!$A$50,E234&amp;" "&amp;C234))),AND(설정!$A$51&lt;&gt;"",ISNUMBER(SEARCH(설정!$A$51,E234&amp;" "&amp;C234))))</f>
        <v/>
      </c>
      <c r="S234">
        <f>OR(D234="",D234&gt;=설정!$B$19)</f>
        <v/>
      </c>
      <c r="T234">
        <f>AND(Q234,R234,S234)</f>
        <v/>
      </c>
      <c r="U234">
        <f>IF(T234,IF(AND(설정!$A$54&lt;&gt;"",ISNUMBER(SEARCH(설정!$A$54,K234))),설정!$B$54,IF(AND(설정!$A$55&lt;&gt;"",ISNUMBER(SEARCH(설정!$A$55,K234))),설정!$B$55,IF(AND(설정!$A$56&lt;&gt;"",ISNUMBER(SEARCH(설정!$A$56,K234))),설정!$B$56,IF(AND(설정!$A$57&lt;&gt;"",ISNUMBER(SEARCH(설정!$A$57,K234))),설정!$B$57,IF(AND(설정!$A$58&lt;&gt;"",ISNUMBER(SEARCH(설정!$A$58,K234))),설정!$B$58,IF(AND(설정!$A$59&lt;&gt;"",ISNUMBER(SEARCH(설정!$A$59,K234))),설정!$B$59,IF(AND(설정!$A$60&lt;&gt;"",ISNUMBER(SEARCH(설정!$A$60,K234))),설정!$B$60,IF(AND(설정!$A$61&lt;&gt;"",ISNUMBER(SEARCH(설정!$A$61,K234))),설정!$B$61,IF(M234="","설계사","시공사"))))))))),"")</f>
        <v/>
      </c>
      <c r="V234">
        <f>SUBSTITUTE(SUBSTITUTE(SUBSTITUTE(SUBSTITUTE(G234,"(주)",""),"㈜",""),"주식회사","")," ","")</f>
        <v/>
      </c>
      <c r="W234">
        <f>IF(AND(T234,V234&lt;&gt;""),IF(COUNTIFS(V$2:V234,V234,T$2:T234,TRUE)=1,MAX(W$1:W233)+1,""),"")</f>
        <v/>
      </c>
      <c r="X234">
        <f>IF(설정!$C$14="","",IFERROR(INDEX('1.산군_붙여넣기'!$A$1:$AZ$1001,ROW(),설정!$C$14)&amp;"",""))</f>
        <v/>
      </c>
      <c r="Y234">
        <f>IF(설정!$C$15="","",IFERROR(INDEX('1.산군_붙여넣기'!$A$1:$AZ$1001,ROW(),설정!$C$15)&amp;"",""))</f>
        <v/>
      </c>
      <c r="Z234">
        <f>IF(T234,V234&amp;"|"&amp;U234,"")</f>
        <v/>
      </c>
      <c r="AA234">
        <f>IF(NOT(Q234),"",IF(NOT(AND(R234,S234)),"✕",IF(OR(OR(AND(L234&lt;&gt;"",M234&lt;&gt;"",N(M234)-N(L234)&gt;설정!$B$27),AND(L234&lt;&gt;"",M234="",설정!$B$24-N(L234)&gt;설정!$B$27)),AND(D234&lt;&gt;"",D234&lt;설정!$B$26)),"△","★")))</f>
        <v/>
      </c>
      <c r="AB234">
        <f>IF(NOT(T234),"",IF(U234="설계사",설정!$B$31,IF(U234="시공사",IF(OR(M234="",설정!$B$24-N(M234)&lt;=설정!$B$28*30.4),설정!$B$32,설정!$B$33),설정!$B$34))+IF(AA234="★",설정!$B$35,0))</f>
        <v/>
      </c>
      <c r="AC234">
        <f>SUBSTITUTE(SUBSTITUTE(SUBSTITUTE(SUBSTITUTE(H234,"(주)",""),"㈜",""),"주식회사","")," ","")</f>
        <v/>
      </c>
      <c r="AD234">
        <f>IF(AND(T234,AC234&lt;&gt;""),IF(COUNTIFS(AC$2:AC234,AC234,T$2:T234,TRUE)=1,MAX(AD$1:AD233)+1,""),"")</f>
        <v/>
      </c>
    </row>
    <row r="235">
      <c r="A235">
        <f>ROW()</f>
        <v/>
      </c>
      <c r="B235">
        <f>IF(설정!$C$4="","",IFERROR(INDEX('1.산군_붙여넣기'!$A$1:$AZ$1001,ROW(),설정!$C$4)&amp;"",""))</f>
        <v/>
      </c>
      <c r="C235">
        <f>IF(설정!$C$5="","",IFERROR(INDEX('1.산군_붙여넣기'!$A$1:$AZ$1001,ROW(),설정!$C$5)&amp;"",""))</f>
        <v/>
      </c>
      <c r="D235" s="5">
        <f>IFERROR(VALUE(SUBSTITUTE(SUBSTITUTE(SUBSTITUTE(IF(설정!$C$6="","",IFERROR(INDEX('1.산군_붙여넣기'!$A$1:$AZ$1001,ROW(),설정!$C$6)&amp;"","")),",",""),"㎡",""),"m2","")),"")</f>
        <v/>
      </c>
      <c r="E235">
        <f>IF(설정!$C$7="","",IFERROR(INDEX('1.산군_붙여넣기'!$A$1:$AZ$1001,ROW(),설정!$C$7)&amp;"",""))</f>
        <v/>
      </c>
      <c r="F235">
        <f>IF(설정!$C$8="","",IFERROR(INDEX('1.산군_붙여넣기'!$A$1:$AZ$1001,ROW(),설정!$C$8)&amp;"",""))</f>
        <v/>
      </c>
      <c r="G235">
        <f>IF(설정!$C$9="","",IFERROR(INDEX('1.산군_붙여넣기'!$A$1:$AZ$1001,ROW(),설정!$C$9)&amp;"",""))</f>
        <v/>
      </c>
      <c r="H235">
        <f>IF(설정!$C$10="","",IFERROR(INDEX('1.산군_붙여넣기'!$A$1:$AZ$1001,ROW(),설정!$C$10)&amp;"",""))</f>
        <v/>
      </c>
      <c r="I235">
        <f>IF(설정!$C$11="","",IFERROR(INDEX('1.산군_붙여넣기'!$A$1:$AZ$1001,ROW(),설정!$C$11)&amp;"",""))</f>
        <v/>
      </c>
      <c r="J235">
        <f>IF(설정!$C$12="","",IFERROR(INDEX('1.산군_붙여넣기'!$A$1:$AZ$1001,ROW(),설정!$C$12)&amp;"",""))</f>
        <v/>
      </c>
      <c r="K235">
        <f>IF(설정!$C$13="","",IFERROR(INDEX('1.산군_붙여넣기'!$A$1:$AZ$1001,ROW(),설정!$C$13)&amp;"",""))</f>
        <v/>
      </c>
      <c r="L235" s="7">
        <f>IF(X235="","",IF(AND(LEN(X235)=8,ISNUMBER(X235*1)),DATE(LEFT(X235,4),MID(X235,5,2),RIGHT(X235,2)),IFERROR(DATEVALUE(SUBSTITUTE(SUBSTITUTE(X235,".","-"),"/","-")),IFERROR(X235*1,""))))</f>
        <v/>
      </c>
      <c r="M235" s="7">
        <f>IF(Y235="","",IF(AND(LEN(Y235)=8,ISNUMBER(Y235*1)),DATE(LEFT(Y235,4),MID(Y235,5,2),RIGHT(Y235,2)),IFERROR(DATEVALUE(SUBSTITUTE(SUBSTITUTE(Y235,".","-"),"/","-")),IFERROR(Y235*1,""))))</f>
        <v/>
      </c>
      <c r="N235">
        <f>IFERROR(LEFT(B235,FIND(" ",B235)-1),B235)</f>
        <v/>
      </c>
      <c r="O235">
        <f>AND(B235&lt;&gt;"",B235&lt;&gt;설정!$B$4,C235&lt;&gt;설정!$B$5)</f>
        <v/>
      </c>
      <c r="P235">
        <f>IF(O235,B235&amp;"|"&amp;C235,"")</f>
        <v/>
      </c>
      <c r="Q235">
        <f>AND(O235,COUNTIF(P236:P$1002,P235)=0)</f>
        <v/>
      </c>
      <c r="R235">
        <f>OR(AND(설정!$A$42&lt;&gt;"",ISNUMBER(SEARCH(설정!$A$42,E235&amp;" "&amp;C235))),AND(설정!$A$43&lt;&gt;"",ISNUMBER(SEARCH(설정!$A$43,E235&amp;" "&amp;C235))),AND(설정!$A$44&lt;&gt;"",ISNUMBER(SEARCH(설정!$A$44,E235&amp;" "&amp;C235))),AND(설정!$A$45&lt;&gt;"",ISNUMBER(SEARCH(설정!$A$45,E235&amp;" "&amp;C235))),AND(설정!$A$46&lt;&gt;"",ISNUMBER(SEARCH(설정!$A$46,E235&amp;" "&amp;C235))),AND(설정!$A$47&lt;&gt;"",ISNUMBER(SEARCH(설정!$A$47,E235&amp;" "&amp;C235))),AND(설정!$A$48&lt;&gt;"",ISNUMBER(SEARCH(설정!$A$48,E235&amp;" "&amp;C235))),AND(설정!$A$49&lt;&gt;"",ISNUMBER(SEARCH(설정!$A$49,E235&amp;" "&amp;C235))),AND(설정!$A$50&lt;&gt;"",ISNUMBER(SEARCH(설정!$A$50,E235&amp;" "&amp;C235))),AND(설정!$A$51&lt;&gt;"",ISNUMBER(SEARCH(설정!$A$51,E235&amp;" "&amp;C235))))</f>
        <v/>
      </c>
      <c r="S235">
        <f>OR(D235="",D235&gt;=설정!$B$19)</f>
        <v/>
      </c>
      <c r="T235">
        <f>AND(Q235,R235,S235)</f>
        <v/>
      </c>
      <c r="U235">
        <f>IF(T235,IF(AND(설정!$A$54&lt;&gt;"",ISNUMBER(SEARCH(설정!$A$54,K235))),설정!$B$54,IF(AND(설정!$A$55&lt;&gt;"",ISNUMBER(SEARCH(설정!$A$55,K235))),설정!$B$55,IF(AND(설정!$A$56&lt;&gt;"",ISNUMBER(SEARCH(설정!$A$56,K235))),설정!$B$56,IF(AND(설정!$A$57&lt;&gt;"",ISNUMBER(SEARCH(설정!$A$57,K235))),설정!$B$57,IF(AND(설정!$A$58&lt;&gt;"",ISNUMBER(SEARCH(설정!$A$58,K235))),설정!$B$58,IF(AND(설정!$A$59&lt;&gt;"",ISNUMBER(SEARCH(설정!$A$59,K235))),설정!$B$59,IF(AND(설정!$A$60&lt;&gt;"",ISNUMBER(SEARCH(설정!$A$60,K235))),설정!$B$60,IF(AND(설정!$A$61&lt;&gt;"",ISNUMBER(SEARCH(설정!$A$61,K235))),설정!$B$61,IF(M235="","설계사","시공사"))))))))),"")</f>
        <v/>
      </c>
      <c r="V235">
        <f>SUBSTITUTE(SUBSTITUTE(SUBSTITUTE(SUBSTITUTE(G235,"(주)",""),"㈜",""),"주식회사","")," ","")</f>
        <v/>
      </c>
      <c r="W235">
        <f>IF(AND(T235,V235&lt;&gt;""),IF(COUNTIFS(V$2:V235,V235,T$2:T235,TRUE)=1,MAX(W$1:W234)+1,""),"")</f>
        <v/>
      </c>
      <c r="X235">
        <f>IF(설정!$C$14="","",IFERROR(INDEX('1.산군_붙여넣기'!$A$1:$AZ$1001,ROW(),설정!$C$14)&amp;"",""))</f>
        <v/>
      </c>
      <c r="Y235">
        <f>IF(설정!$C$15="","",IFERROR(INDEX('1.산군_붙여넣기'!$A$1:$AZ$1001,ROW(),설정!$C$15)&amp;"",""))</f>
        <v/>
      </c>
      <c r="Z235">
        <f>IF(T235,V235&amp;"|"&amp;U235,"")</f>
        <v/>
      </c>
      <c r="AA235">
        <f>IF(NOT(Q235),"",IF(NOT(AND(R235,S235)),"✕",IF(OR(OR(AND(L235&lt;&gt;"",M235&lt;&gt;"",N(M235)-N(L235)&gt;설정!$B$27),AND(L235&lt;&gt;"",M235="",설정!$B$24-N(L235)&gt;설정!$B$27)),AND(D235&lt;&gt;"",D235&lt;설정!$B$26)),"△","★")))</f>
        <v/>
      </c>
      <c r="AB235">
        <f>IF(NOT(T235),"",IF(U235="설계사",설정!$B$31,IF(U235="시공사",IF(OR(M235="",설정!$B$24-N(M235)&lt;=설정!$B$28*30.4),설정!$B$32,설정!$B$33),설정!$B$34))+IF(AA235="★",설정!$B$35,0))</f>
        <v/>
      </c>
      <c r="AC235">
        <f>SUBSTITUTE(SUBSTITUTE(SUBSTITUTE(SUBSTITUTE(H235,"(주)",""),"㈜",""),"주식회사","")," ","")</f>
        <v/>
      </c>
      <c r="AD235">
        <f>IF(AND(T235,AC235&lt;&gt;""),IF(COUNTIFS(AC$2:AC235,AC235,T$2:T235,TRUE)=1,MAX(AD$1:AD234)+1,""),"")</f>
        <v/>
      </c>
    </row>
    <row r="236">
      <c r="A236">
        <f>ROW()</f>
        <v/>
      </c>
      <c r="B236">
        <f>IF(설정!$C$4="","",IFERROR(INDEX('1.산군_붙여넣기'!$A$1:$AZ$1001,ROW(),설정!$C$4)&amp;"",""))</f>
        <v/>
      </c>
      <c r="C236">
        <f>IF(설정!$C$5="","",IFERROR(INDEX('1.산군_붙여넣기'!$A$1:$AZ$1001,ROW(),설정!$C$5)&amp;"",""))</f>
        <v/>
      </c>
      <c r="D236" s="5">
        <f>IFERROR(VALUE(SUBSTITUTE(SUBSTITUTE(SUBSTITUTE(IF(설정!$C$6="","",IFERROR(INDEX('1.산군_붙여넣기'!$A$1:$AZ$1001,ROW(),설정!$C$6)&amp;"","")),",",""),"㎡",""),"m2","")),"")</f>
        <v/>
      </c>
      <c r="E236">
        <f>IF(설정!$C$7="","",IFERROR(INDEX('1.산군_붙여넣기'!$A$1:$AZ$1001,ROW(),설정!$C$7)&amp;"",""))</f>
        <v/>
      </c>
      <c r="F236">
        <f>IF(설정!$C$8="","",IFERROR(INDEX('1.산군_붙여넣기'!$A$1:$AZ$1001,ROW(),설정!$C$8)&amp;"",""))</f>
        <v/>
      </c>
      <c r="G236">
        <f>IF(설정!$C$9="","",IFERROR(INDEX('1.산군_붙여넣기'!$A$1:$AZ$1001,ROW(),설정!$C$9)&amp;"",""))</f>
        <v/>
      </c>
      <c r="H236">
        <f>IF(설정!$C$10="","",IFERROR(INDEX('1.산군_붙여넣기'!$A$1:$AZ$1001,ROW(),설정!$C$10)&amp;"",""))</f>
        <v/>
      </c>
      <c r="I236">
        <f>IF(설정!$C$11="","",IFERROR(INDEX('1.산군_붙여넣기'!$A$1:$AZ$1001,ROW(),설정!$C$11)&amp;"",""))</f>
        <v/>
      </c>
      <c r="J236">
        <f>IF(설정!$C$12="","",IFERROR(INDEX('1.산군_붙여넣기'!$A$1:$AZ$1001,ROW(),설정!$C$12)&amp;"",""))</f>
        <v/>
      </c>
      <c r="K236">
        <f>IF(설정!$C$13="","",IFERROR(INDEX('1.산군_붙여넣기'!$A$1:$AZ$1001,ROW(),설정!$C$13)&amp;"",""))</f>
        <v/>
      </c>
      <c r="L236" s="7">
        <f>IF(X236="","",IF(AND(LEN(X236)=8,ISNUMBER(X236*1)),DATE(LEFT(X236,4),MID(X236,5,2),RIGHT(X236,2)),IFERROR(DATEVALUE(SUBSTITUTE(SUBSTITUTE(X236,".","-"),"/","-")),IFERROR(X236*1,""))))</f>
        <v/>
      </c>
      <c r="M236" s="7">
        <f>IF(Y236="","",IF(AND(LEN(Y236)=8,ISNUMBER(Y236*1)),DATE(LEFT(Y236,4),MID(Y236,5,2),RIGHT(Y236,2)),IFERROR(DATEVALUE(SUBSTITUTE(SUBSTITUTE(Y236,".","-"),"/","-")),IFERROR(Y236*1,""))))</f>
        <v/>
      </c>
      <c r="N236">
        <f>IFERROR(LEFT(B236,FIND(" ",B236)-1),B236)</f>
        <v/>
      </c>
      <c r="O236">
        <f>AND(B236&lt;&gt;"",B236&lt;&gt;설정!$B$4,C236&lt;&gt;설정!$B$5)</f>
        <v/>
      </c>
      <c r="P236">
        <f>IF(O236,B236&amp;"|"&amp;C236,"")</f>
        <v/>
      </c>
      <c r="Q236">
        <f>AND(O236,COUNTIF(P237:P$1002,P236)=0)</f>
        <v/>
      </c>
      <c r="R236">
        <f>OR(AND(설정!$A$42&lt;&gt;"",ISNUMBER(SEARCH(설정!$A$42,E236&amp;" "&amp;C236))),AND(설정!$A$43&lt;&gt;"",ISNUMBER(SEARCH(설정!$A$43,E236&amp;" "&amp;C236))),AND(설정!$A$44&lt;&gt;"",ISNUMBER(SEARCH(설정!$A$44,E236&amp;" "&amp;C236))),AND(설정!$A$45&lt;&gt;"",ISNUMBER(SEARCH(설정!$A$45,E236&amp;" "&amp;C236))),AND(설정!$A$46&lt;&gt;"",ISNUMBER(SEARCH(설정!$A$46,E236&amp;" "&amp;C236))),AND(설정!$A$47&lt;&gt;"",ISNUMBER(SEARCH(설정!$A$47,E236&amp;" "&amp;C236))),AND(설정!$A$48&lt;&gt;"",ISNUMBER(SEARCH(설정!$A$48,E236&amp;" "&amp;C236))),AND(설정!$A$49&lt;&gt;"",ISNUMBER(SEARCH(설정!$A$49,E236&amp;" "&amp;C236))),AND(설정!$A$50&lt;&gt;"",ISNUMBER(SEARCH(설정!$A$50,E236&amp;" "&amp;C236))),AND(설정!$A$51&lt;&gt;"",ISNUMBER(SEARCH(설정!$A$51,E236&amp;" "&amp;C236))))</f>
        <v/>
      </c>
      <c r="S236">
        <f>OR(D236="",D236&gt;=설정!$B$19)</f>
        <v/>
      </c>
      <c r="T236">
        <f>AND(Q236,R236,S236)</f>
        <v/>
      </c>
      <c r="U236">
        <f>IF(T236,IF(AND(설정!$A$54&lt;&gt;"",ISNUMBER(SEARCH(설정!$A$54,K236))),설정!$B$54,IF(AND(설정!$A$55&lt;&gt;"",ISNUMBER(SEARCH(설정!$A$55,K236))),설정!$B$55,IF(AND(설정!$A$56&lt;&gt;"",ISNUMBER(SEARCH(설정!$A$56,K236))),설정!$B$56,IF(AND(설정!$A$57&lt;&gt;"",ISNUMBER(SEARCH(설정!$A$57,K236))),설정!$B$57,IF(AND(설정!$A$58&lt;&gt;"",ISNUMBER(SEARCH(설정!$A$58,K236))),설정!$B$58,IF(AND(설정!$A$59&lt;&gt;"",ISNUMBER(SEARCH(설정!$A$59,K236))),설정!$B$59,IF(AND(설정!$A$60&lt;&gt;"",ISNUMBER(SEARCH(설정!$A$60,K236))),설정!$B$60,IF(AND(설정!$A$61&lt;&gt;"",ISNUMBER(SEARCH(설정!$A$61,K236))),설정!$B$61,IF(M236="","설계사","시공사"))))))))),"")</f>
        <v/>
      </c>
      <c r="V236">
        <f>SUBSTITUTE(SUBSTITUTE(SUBSTITUTE(SUBSTITUTE(G236,"(주)",""),"㈜",""),"주식회사","")," ","")</f>
        <v/>
      </c>
      <c r="W236">
        <f>IF(AND(T236,V236&lt;&gt;""),IF(COUNTIFS(V$2:V236,V236,T$2:T236,TRUE)=1,MAX(W$1:W235)+1,""),"")</f>
        <v/>
      </c>
      <c r="X236">
        <f>IF(설정!$C$14="","",IFERROR(INDEX('1.산군_붙여넣기'!$A$1:$AZ$1001,ROW(),설정!$C$14)&amp;"",""))</f>
        <v/>
      </c>
      <c r="Y236">
        <f>IF(설정!$C$15="","",IFERROR(INDEX('1.산군_붙여넣기'!$A$1:$AZ$1001,ROW(),설정!$C$15)&amp;"",""))</f>
        <v/>
      </c>
      <c r="Z236">
        <f>IF(T236,V236&amp;"|"&amp;U236,"")</f>
        <v/>
      </c>
      <c r="AA236">
        <f>IF(NOT(Q236),"",IF(NOT(AND(R236,S236)),"✕",IF(OR(OR(AND(L236&lt;&gt;"",M236&lt;&gt;"",N(M236)-N(L236)&gt;설정!$B$27),AND(L236&lt;&gt;"",M236="",설정!$B$24-N(L236)&gt;설정!$B$27)),AND(D236&lt;&gt;"",D236&lt;설정!$B$26)),"△","★")))</f>
        <v/>
      </c>
      <c r="AB236">
        <f>IF(NOT(T236),"",IF(U236="설계사",설정!$B$31,IF(U236="시공사",IF(OR(M236="",설정!$B$24-N(M236)&lt;=설정!$B$28*30.4),설정!$B$32,설정!$B$33),설정!$B$34))+IF(AA236="★",설정!$B$35,0))</f>
        <v/>
      </c>
      <c r="AC236">
        <f>SUBSTITUTE(SUBSTITUTE(SUBSTITUTE(SUBSTITUTE(H236,"(주)",""),"㈜",""),"주식회사","")," ","")</f>
        <v/>
      </c>
      <c r="AD236">
        <f>IF(AND(T236,AC236&lt;&gt;""),IF(COUNTIFS(AC$2:AC236,AC236,T$2:T236,TRUE)=1,MAX(AD$1:AD235)+1,""),"")</f>
        <v/>
      </c>
    </row>
    <row r="237">
      <c r="A237">
        <f>ROW()</f>
        <v/>
      </c>
      <c r="B237">
        <f>IF(설정!$C$4="","",IFERROR(INDEX('1.산군_붙여넣기'!$A$1:$AZ$1001,ROW(),설정!$C$4)&amp;"",""))</f>
        <v/>
      </c>
      <c r="C237">
        <f>IF(설정!$C$5="","",IFERROR(INDEX('1.산군_붙여넣기'!$A$1:$AZ$1001,ROW(),설정!$C$5)&amp;"",""))</f>
        <v/>
      </c>
      <c r="D237" s="5">
        <f>IFERROR(VALUE(SUBSTITUTE(SUBSTITUTE(SUBSTITUTE(IF(설정!$C$6="","",IFERROR(INDEX('1.산군_붙여넣기'!$A$1:$AZ$1001,ROW(),설정!$C$6)&amp;"","")),",",""),"㎡",""),"m2","")),"")</f>
        <v/>
      </c>
      <c r="E237">
        <f>IF(설정!$C$7="","",IFERROR(INDEX('1.산군_붙여넣기'!$A$1:$AZ$1001,ROW(),설정!$C$7)&amp;"",""))</f>
        <v/>
      </c>
      <c r="F237">
        <f>IF(설정!$C$8="","",IFERROR(INDEX('1.산군_붙여넣기'!$A$1:$AZ$1001,ROW(),설정!$C$8)&amp;"",""))</f>
        <v/>
      </c>
      <c r="G237">
        <f>IF(설정!$C$9="","",IFERROR(INDEX('1.산군_붙여넣기'!$A$1:$AZ$1001,ROW(),설정!$C$9)&amp;"",""))</f>
        <v/>
      </c>
      <c r="H237">
        <f>IF(설정!$C$10="","",IFERROR(INDEX('1.산군_붙여넣기'!$A$1:$AZ$1001,ROW(),설정!$C$10)&amp;"",""))</f>
        <v/>
      </c>
      <c r="I237">
        <f>IF(설정!$C$11="","",IFERROR(INDEX('1.산군_붙여넣기'!$A$1:$AZ$1001,ROW(),설정!$C$11)&amp;"",""))</f>
        <v/>
      </c>
      <c r="J237">
        <f>IF(설정!$C$12="","",IFERROR(INDEX('1.산군_붙여넣기'!$A$1:$AZ$1001,ROW(),설정!$C$12)&amp;"",""))</f>
        <v/>
      </c>
      <c r="K237">
        <f>IF(설정!$C$13="","",IFERROR(INDEX('1.산군_붙여넣기'!$A$1:$AZ$1001,ROW(),설정!$C$13)&amp;"",""))</f>
        <v/>
      </c>
      <c r="L237" s="7">
        <f>IF(X237="","",IF(AND(LEN(X237)=8,ISNUMBER(X237*1)),DATE(LEFT(X237,4),MID(X237,5,2),RIGHT(X237,2)),IFERROR(DATEVALUE(SUBSTITUTE(SUBSTITUTE(X237,".","-"),"/","-")),IFERROR(X237*1,""))))</f>
        <v/>
      </c>
      <c r="M237" s="7">
        <f>IF(Y237="","",IF(AND(LEN(Y237)=8,ISNUMBER(Y237*1)),DATE(LEFT(Y237,4),MID(Y237,5,2),RIGHT(Y237,2)),IFERROR(DATEVALUE(SUBSTITUTE(SUBSTITUTE(Y237,".","-"),"/","-")),IFERROR(Y237*1,""))))</f>
        <v/>
      </c>
      <c r="N237">
        <f>IFERROR(LEFT(B237,FIND(" ",B237)-1),B237)</f>
        <v/>
      </c>
      <c r="O237">
        <f>AND(B237&lt;&gt;"",B237&lt;&gt;설정!$B$4,C237&lt;&gt;설정!$B$5)</f>
        <v/>
      </c>
      <c r="P237">
        <f>IF(O237,B237&amp;"|"&amp;C237,"")</f>
        <v/>
      </c>
      <c r="Q237">
        <f>AND(O237,COUNTIF(P238:P$1002,P237)=0)</f>
        <v/>
      </c>
      <c r="R237">
        <f>OR(AND(설정!$A$42&lt;&gt;"",ISNUMBER(SEARCH(설정!$A$42,E237&amp;" "&amp;C237))),AND(설정!$A$43&lt;&gt;"",ISNUMBER(SEARCH(설정!$A$43,E237&amp;" "&amp;C237))),AND(설정!$A$44&lt;&gt;"",ISNUMBER(SEARCH(설정!$A$44,E237&amp;" "&amp;C237))),AND(설정!$A$45&lt;&gt;"",ISNUMBER(SEARCH(설정!$A$45,E237&amp;" "&amp;C237))),AND(설정!$A$46&lt;&gt;"",ISNUMBER(SEARCH(설정!$A$46,E237&amp;" "&amp;C237))),AND(설정!$A$47&lt;&gt;"",ISNUMBER(SEARCH(설정!$A$47,E237&amp;" "&amp;C237))),AND(설정!$A$48&lt;&gt;"",ISNUMBER(SEARCH(설정!$A$48,E237&amp;" "&amp;C237))),AND(설정!$A$49&lt;&gt;"",ISNUMBER(SEARCH(설정!$A$49,E237&amp;" "&amp;C237))),AND(설정!$A$50&lt;&gt;"",ISNUMBER(SEARCH(설정!$A$50,E237&amp;" "&amp;C237))),AND(설정!$A$51&lt;&gt;"",ISNUMBER(SEARCH(설정!$A$51,E237&amp;" "&amp;C237))))</f>
        <v/>
      </c>
      <c r="S237">
        <f>OR(D237="",D237&gt;=설정!$B$19)</f>
        <v/>
      </c>
      <c r="T237">
        <f>AND(Q237,R237,S237)</f>
        <v/>
      </c>
      <c r="U237">
        <f>IF(T237,IF(AND(설정!$A$54&lt;&gt;"",ISNUMBER(SEARCH(설정!$A$54,K237))),설정!$B$54,IF(AND(설정!$A$55&lt;&gt;"",ISNUMBER(SEARCH(설정!$A$55,K237))),설정!$B$55,IF(AND(설정!$A$56&lt;&gt;"",ISNUMBER(SEARCH(설정!$A$56,K237))),설정!$B$56,IF(AND(설정!$A$57&lt;&gt;"",ISNUMBER(SEARCH(설정!$A$57,K237))),설정!$B$57,IF(AND(설정!$A$58&lt;&gt;"",ISNUMBER(SEARCH(설정!$A$58,K237))),설정!$B$58,IF(AND(설정!$A$59&lt;&gt;"",ISNUMBER(SEARCH(설정!$A$59,K237))),설정!$B$59,IF(AND(설정!$A$60&lt;&gt;"",ISNUMBER(SEARCH(설정!$A$60,K237))),설정!$B$60,IF(AND(설정!$A$61&lt;&gt;"",ISNUMBER(SEARCH(설정!$A$61,K237))),설정!$B$61,IF(M237="","설계사","시공사"))))))))),"")</f>
        <v/>
      </c>
      <c r="V237">
        <f>SUBSTITUTE(SUBSTITUTE(SUBSTITUTE(SUBSTITUTE(G237,"(주)",""),"㈜",""),"주식회사","")," ","")</f>
        <v/>
      </c>
      <c r="W237">
        <f>IF(AND(T237,V237&lt;&gt;""),IF(COUNTIFS(V$2:V237,V237,T$2:T237,TRUE)=1,MAX(W$1:W236)+1,""),"")</f>
        <v/>
      </c>
      <c r="X237">
        <f>IF(설정!$C$14="","",IFERROR(INDEX('1.산군_붙여넣기'!$A$1:$AZ$1001,ROW(),설정!$C$14)&amp;"",""))</f>
        <v/>
      </c>
      <c r="Y237">
        <f>IF(설정!$C$15="","",IFERROR(INDEX('1.산군_붙여넣기'!$A$1:$AZ$1001,ROW(),설정!$C$15)&amp;"",""))</f>
        <v/>
      </c>
      <c r="Z237">
        <f>IF(T237,V237&amp;"|"&amp;U237,"")</f>
        <v/>
      </c>
      <c r="AA237">
        <f>IF(NOT(Q237),"",IF(NOT(AND(R237,S237)),"✕",IF(OR(OR(AND(L237&lt;&gt;"",M237&lt;&gt;"",N(M237)-N(L237)&gt;설정!$B$27),AND(L237&lt;&gt;"",M237="",설정!$B$24-N(L237)&gt;설정!$B$27)),AND(D237&lt;&gt;"",D237&lt;설정!$B$26)),"△","★")))</f>
        <v/>
      </c>
      <c r="AB237">
        <f>IF(NOT(T237),"",IF(U237="설계사",설정!$B$31,IF(U237="시공사",IF(OR(M237="",설정!$B$24-N(M237)&lt;=설정!$B$28*30.4),설정!$B$32,설정!$B$33),설정!$B$34))+IF(AA237="★",설정!$B$35,0))</f>
        <v/>
      </c>
      <c r="AC237">
        <f>SUBSTITUTE(SUBSTITUTE(SUBSTITUTE(SUBSTITUTE(H237,"(주)",""),"㈜",""),"주식회사","")," ","")</f>
        <v/>
      </c>
      <c r="AD237">
        <f>IF(AND(T237,AC237&lt;&gt;""),IF(COUNTIFS(AC$2:AC237,AC237,T$2:T237,TRUE)=1,MAX(AD$1:AD236)+1,""),"")</f>
        <v/>
      </c>
    </row>
    <row r="238">
      <c r="A238">
        <f>ROW()</f>
        <v/>
      </c>
      <c r="B238">
        <f>IF(설정!$C$4="","",IFERROR(INDEX('1.산군_붙여넣기'!$A$1:$AZ$1001,ROW(),설정!$C$4)&amp;"",""))</f>
        <v/>
      </c>
      <c r="C238">
        <f>IF(설정!$C$5="","",IFERROR(INDEX('1.산군_붙여넣기'!$A$1:$AZ$1001,ROW(),설정!$C$5)&amp;"",""))</f>
        <v/>
      </c>
      <c r="D238" s="5">
        <f>IFERROR(VALUE(SUBSTITUTE(SUBSTITUTE(SUBSTITUTE(IF(설정!$C$6="","",IFERROR(INDEX('1.산군_붙여넣기'!$A$1:$AZ$1001,ROW(),설정!$C$6)&amp;"","")),",",""),"㎡",""),"m2","")),"")</f>
        <v/>
      </c>
      <c r="E238">
        <f>IF(설정!$C$7="","",IFERROR(INDEX('1.산군_붙여넣기'!$A$1:$AZ$1001,ROW(),설정!$C$7)&amp;"",""))</f>
        <v/>
      </c>
      <c r="F238">
        <f>IF(설정!$C$8="","",IFERROR(INDEX('1.산군_붙여넣기'!$A$1:$AZ$1001,ROW(),설정!$C$8)&amp;"",""))</f>
        <v/>
      </c>
      <c r="G238">
        <f>IF(설정!$C$9="","",IFERROR(INDEX('1.산군_붙여넣기'!$A$1:$AZ$1001,ROW(),설정!$C$9)&amp;"",""))</f>
        <v/>
      </c>
      <c r="H238">
        <f>IF(설정!$C$10="","",IFERROR(INDEX('1.산군_붙여넣기'!$A$1:$AZ$1001,ROW(),설정!$C$10)&amp;"",""))</f>
        <v/>
      </c>
      <c r="I238">
        <f>IF(설정!$C$11="","",IFERROR(INDEX('1.산군_붙여넣기'!$A$1:$AZ$1001,ROW(),설정!$C$11)&amp;"",""))</f>
        <v/>
      </c>
      <c r="J238">
        <f>IF(설정!$C$12="","",IFERROR(INDEX('1.산군_붙여넣기'!$A$1:$AZ$1001,ROW(),설정!$C$12)&amp;"",""))</f>
        <v/>
      </c>
      <c r="K238">
        <f>IF(설정!$C$13="","",IFERROR(INDEX('1.산군_붙여넣기'!$A$1:$AZ$1001,ROW(),설정!$C$13)&amp;"",""))</f>
        <v/>
      </c>
      <c r="L238" s="7">
        <f>IF(X238="","",IF(AND(LEN(X238)=8,ISNUMBER(X238*1)),DATE(LEFT(X238,4),MID(X238,5,2),RIGHT(X238,2)),IFERROR(DATEVALUE(SUBSTITUTE(SUBSTITUTE(X238,".","-"),"/","-")),IFERROR(X238*1,""))))</f>
        <v/>
      </c>
      <c r="M238" s="7">
        <f>IF(Y238="","",IF(AND(LEN(Y238)=8,ISNUMBER(Y238*1)),DATE(LEFT(Y238,4),MID(Y238,5,2),RIGHT(Y238,2)),IFERROR(DATEVALUE(SUBSTITUTE(SUBSTITUTE(Y238,".","-"),"/","-")),IFERROR(Y238*1,""))))</f>
        <v/>
      </c>
      <c r="N238">
        <f>IFERROR(LEFT(B238,FIND(" ",B238)-1),B238)</f>
        <v/>
      </c>
      <c r="O238">
        <f>AND(B238&lt;&gt;"",B238&lt;&gt;설정!$B$4,C238&lt;&gt;설정!$B$5)</f>
        <v/>
      </c>
      <c r="P238">
        <f>IF(O238,B238&amp;"|"&amp;C238,"")</f>
        <v/>
      </c>
      <c r="Q238">
        <f>AND(O238,COUNTIF(P239:P$1002,P238)=0)</f>
        <v/>
      </c>
      <c r="R238">
        <f>OR(AND(설정!$A$42&lt;&gt;"",ISNUMBER(SEARCH(설정!$A$42,E238&amp;" "&amp;C238))),AND(설정!$A$43&lt;&gt;"",ISNUMBER(SEARCH(설정!$A$43,E238&amp;" "&amp;C238))),AND(설정!$A$44&lt;&gt;"",ISNUMBER(SEARCH(설정!$A$44,E238&amp;" "&amp;C238))),AND(설정!$A$45&lt;&gt;"",ISNUMBER(SEARCH(설정!$A$45,E238&amp;" "&amp;C238))),AND(설정!$A$46&lt;&gt;"",ISNUMBER(SEARCH(설정!$A$46,E238&amp;" "&amp;C238))),AND(설정!$A$47&lt;&gt;"",ISNUMBER(SEARCH(설정!$A$47,E238&amp;" "&amp;C238))),AND(설정!$A$48&lt;&gt;"",ISNUMBER(SEARCH(설정!$A$48,E238&amp;" "&amp;C238))),AND(설정!$A$49&lt;&gt;"",ISNUMBER(SEARCH(설정!$A$49,E238&amp;" "&amp;C238))),AND(설정!$A$50&lt;&gt;"",ISNUMBER(SEARCH(설정!$A$50,E238&amp;" "&amp;C238))),AND(설정!$A$51&lt;&gt;"",ISNUMBER(SEARCH(설정!$A$51,E238&amp;" "&amp;C238))))</f>
        <v/>
      </c>
      <c r="S238">
        <f>OR(D238="",D238&gt;=설정!$B$19)</f>
        <v/>
      </c>
      <c r="T238">
        <f>AND(Q238,R238,S238)</f>
        <v/>
      </c>
      <c r="U238">
        <f>IF(T238,IF(AND(설정!$A$54&lt;&gt;"",ISNUMBER(SEARCH(설정!$A$54,K238))),설정!$B$54,IF(AND(설정!$A$55&lt;&gt;"",ISNUMBER(SEARCH(설정!$A$55,K238))),설정!$B$55,IF(AND(설정!$A$56&lt;&gt;"",ISNUMBER(SEARCH(설정!$A$56,K238))),설정!$B$56,IF(AND(설정!$A$57&lt;&gt;"",ISNUMBER(SEARCH(설정!$A$57,K238))),설정!$B$57,IF(AND(설정!$A$58&lt;&gt;"",ISNUMBER(SEARCH(설정!$A$58,K238))),설정!$B$58,IF(AND(설정!$A$59&lt;&gt;"",ISNUMBER(SEARCH(설정!$A$59,K238))),설정!$B$59,IF(AND(설정!$A$60&lt;&gt;"",ISNUMBER(SEARCH(설정!$A$60,K238))),설정!$B$60,IF(AND(설정!$A$61&lt;&gt;"",ISNUMBER(SEARCH(설정!$A$61,K238))),설정!$B$61,IF(M238="","설계사","시공사"))))))))),"")</f>
        <v/>
      </c>
      <c r="V238">
        <f>SUBSTITUTE(SUBSTITUTE(SUBSTITUTE(SUBSTITUTE(G238,"(주)",""),"㈜",""),"주식회사","")," ","")</f>
        <v/>
      </c>
      <c r="W238">
        <f>IF(AND(T238,V238&lt;&gt;""),IF(COUNTIFS(V$2:V238,V238,T$2:T238,TRUE)=1,MAX(W$1:W237)+1,""),"")</f>
        <v/>
      </c>
      <c r="X238">
        <f>IF(설정!$C$14="","",IFERROR(INDEX('1.산군_붙여넣기'!$A$1:$AZ$1001,ROW(),설정!$C$14)&amp;"",""))</f>
        <v/>
      </c>
      <c r="Y238">
        <f>IF(설정!$C$15="","",IFERROR(INDEX('1.산군_붙여넣기'!$A$1:$AZ$1001,ROW(),설정!$C$15)&amp;"",""))</f>
        <v/>
      </c>
      <c r="Z238">
        <f>IF(T238,V238&amp;"|"&amp;U238,"")</f>
        <v/>
      </c>
      <c r="AA238">
        <f>IF(NOT(Q238),"",IF(NOT(AND(R238,S238)),"✕",IF(OR(OR(AND(L238&lt;&gt;"",M238&lt;&gt;"",N(M238)-N(L238)&gt;설정!$B$27),AND(L238&lt;&gt;"",M238="",설정!$B$24-N(L238)&gt;설정!$B$27)),AND(D238&lt;&gt;"",D238&lt;설정!$B$26)),"△","★")))</f>
        <v/>
      </c>
      <c r="AB238">
        <f>IF(NOT(T238),"",IF(U238="설계사",설정!$B$31,IF(U238="시공사",IF(OR(M238="",설정!$B$24-N(M238)&lt;=설정!$B$28*30.4),설정!$B$32,설정!$B$33),설정!$B$34))+IF(AA238="★",설정!$B$35,0))</f>
        <v/>
      </c>
      <c r="AC238">
        <f>SUBSTITUTE(SUBSTITUTE(SUBSTITUTE(SUBSTITUTE(H238,"(주)",""),"㈜",""),"주식회사","")," ","")</f>
        <v/>
      </c>
      <c r="AD238">
        <f>IF(AND(T238,AC238&lt;&gt;""),IF(COUNTIFS(AC$2:AC238,AC238,T$2:T238,TRUE)=1,MAX(AD$1:AD237)+1,""),"")</f>
        <v/>
      </c>
    </row>
    <row r="239">
      <c r="A239">
        <f>ROW()</f>
        <v/>
      </c>
      <c r="B239">
        <f>IF(설정!$C$4="","",IFERROR(INDEX('1.산군_붙여넣기'!$A$1:$AZ$1001,ROW(),설정!$C$4)&amp;"",""))</f>
        <v/>
      </c>
      <c r="C239">
        <f>IF(설정!$C$5="","",IFERROR(INDEX('1.산군_붙여넣기'!$A$1:$AZ$1001,ROW(),설정!$C$5)&amp;"",""))</f>
        <v/>
      </c>
      <c r="D239" s="5">
        <f>IFERROR(VALUE(SUBSTITUTE(SUBSTITUTE(SUBSTITUTE(IF(설정!$C$6="","",IFERROR(INDEX('1.산군_붙여넣기'!$A$1:$AZ$1001,ROW(),설정!$C$6)&amp;"","")),",",""),"㎡",""),"m2","")),"")</f>
        <v/>
      </c>
      <c r="E239">
        <f>IF(설정!$C$7="","",IFERROR(INDEX('1.산군_붙여넣기'!$A$1:$AZ$1001,ROW(),설정!$C$7)&amp;"",""))</f>
        <v/>
      </c>
      <c r="F239">
        <f>IF(설정!$C$8="","",IFERROR(INDEX('1.산군_붙여넣기'!$A$1:$AZ$1001,ROW(),설정!$C$8)&amp;"",""))</f>
        <v/>
      </c>
      <c r="G239">
        <f>IF(설정!$C$9="","",IFERROR(INDEX('1.산군_붙여넣기'!$A$1:$AZ$1001,ROW(),설정!$C$9)&amp;"",""))</f>
        <v/>
      </c>
      <c r="H239">
        <f>IF(설정!$C$10="","",IFERROR(INDEX('1.산군_붙여넣기'!$A$1:$AZ$1001,ROW(),설정!$C$10)&amp;"",""))</f>
        <v/>
      </c>
      <c r="I239">
        <f>IF(설정!$C$11="","",IFERROR(INDEX('1.산군_붙여넣기'!$A$1:$AZ$1001,ROW(),설정!$C$11)&amp;"",""))</f>
        <v/>
      </c>
      <c r="J239">
        <f>IF(설정!$C$12="","",IFERROR(INDEX('1.산군_붙여넣기'!$A$1:$AZ$1001,ROW(),설정!$C$12)&amp;"",""))</f>
        <v/>
      </c>
      <c r="K239">
        <f>IF(설정!$C$13="","",IFERROR(INDEX('1.산군_붙여넣기'!$A$1:$AZ$1001,ROW(),설정!$C$13)&amp;"",""))</f>
        <v/>
      </c>
      <c r="L239" s="7">
        <f>IF(X239="","",IF(AND(LEN(X239)=8,ISNUMBER(X239*1)),DATE(LEFT(X239,4),MID(X239,5,2),RIGHT(X239,2)),IFERROR(DATEVALUE(SUBSTITUTE(SUBSTITUTE(X239,".","-"),"/","-")),IFERROR(X239*1,""))))</f>
        <v/>
      </c>
      <c r="M239" s="7">
        <f>IF(Y239="","",IF(AND(LEN(Y239)=8,ISNUMBER(Y239*1)),DATE(LEFT(Y239,4),MID(Y239,5,2),RIGHT(Y239,2)),IFERROR(DATEVALUE(SUBSTITUTE(SUBSTITUTE(Y239,".","-"),"/","-")),IFERROR(Y239*1,""))))</f>
        <v/>
      </c>
      <c r="N239">
        <f>IFERROR(LEFT(B239,FIND(" ",B239)-1),B239)</f>
        <v/>
      </c>
      <c r="O239">
        <f>AND(B239&lt;&gt;"",B239&lt;&gt;설정!$B$4,C239&lt;&gt;설정!$B$5)</f>
        <v/>
      </c>
      <c r="P239">
        <f>IF(O239,B239&amp;"|"&amp;C239,"")</f>
        <v/>
      </c>
      <c r="Q239">
        <f>AND(O239,COUNTIF(P240:P$1002,P239)=0)</f>
        <v/>
      </c>
      <c r="R239">
        <f>OR(AND(설정!$A$42&lt;&gt;"",ISNUMBER(SEARCH(설정!$A$42,E239&amp;" "&amp;C239))),AND(설정!$A$43&lt;&gt;"",ISNUMBER(SEARCH(설정!$A$43,E239&amp;" "&amp;C239))),AND(설정!$A$44&lt;&gt;"",ISNUMBER(SEARCH(설정!$A$44,E239&amp;" "&amp;C239))),AND(설정!$A$45&lt;&gt;"",ISNUMBER(SEARCH(설정!$A$45,E239&amp;" "&amp;C239))),AND(설정!$A$46&lt;&gt;"",ISNUMBER(SEARCH(설정!$A$46,E239&amp;" "&amp;C239))),AND(설정!$A$47&lt;&gt;"",ISNUMBER(SEARCH(설정!$A$47,E239&amp;" "&amp;C239))),AND(설정!$A$48&lt;&gt;"",ISNUMBER(SEARCH(설정!$A$48,E239&amp;" "&amp;C239))),AND(설정!$A$49&lt;&gt;"",ISNUMBER(SEARCH(설정!$A$49,E239&amp;" "&amp;C239))),AND(설정!$A$50&lt;&gt;"",ISNUMBER(SEARCH(설정!$A$50,E239&amp;" "&amp;C239))),AND(설정!$A$51&lt;&gt;"",ISNUMBER(SEARCH(설정!$A$51,E239&amp;" "&amp;C239))))</f>
        <v/>
      </c>
      <c r="S239">
        <f>OR(D239="",D239&gt;=설정!$B$19)</f>
        <v/>
      </c>
      <c r="T239">
        <f>AND(Q239,R239,S239)</f>
        <v/>
      </c>
      <c r="U239">
        <f>IF(T239,IF(AND(설정!$A$54&lt;&gt;"",ISNUMBER(SEARCH(설정!$A$54,K239))),설정!$B$54,IF(AND(설정!$A$55&lt;&gt;"",ISNUMBER(SEARCH(설정!$A$55,K239))),설정!$B$55,IF(AND(설정!$A$56&lt;&gt;"",ISNUMBER(SEARCH(설정!$A$56,K239))),설정!$B$56,IF(AND(설정!$A$57&lt;&gt;"",ISNUMBER(SEARCH(설정!$A$57,K239))),설정!$B$57,IF(AND(설정!$A$58&lt;&gt;"",ISNUMBER(SEARCH(설정!$A$58,K239))),설정!$B$58,IF(AND(설정!$A$59&lt;&gt;"",ISNUMBER(SEARCH(설정!$A$59,K239))),설정!$B$59,IF(AND(설정!$A$60&lt;&gt;"",ISNUMBER(SEARCH(설정!$A$60,K239))),설정!$B$60,IF(AND(설정!$A$61&lt;&gt;"",ISNUMBER(SEARCH(설정!$A$61,K239))),설정!$B$61,IF(M239="","설계사","시공사"))))))))),"")</f>
        <v/>
      </c>
      <c r="V239">
        <f>SUBSTITUTE(SUBSTITUTE(SUBSTITUTE(SUBSTITUTE(G239,"(주)",""),"㈜",""),"주식회사","")," ","")</f>
        <v/>
      </c>
      <c r="W239">
        <f>IF(AND(T239,V239&lt;&gt;""),IF(COUNTIFS(V$2:V239,V239,T$2:T239,TRUE)=1,MAX(W$1:W238)+1,""),"")</f>
        <v/>
      </c>
      <c r="X239">
        <f>IF(설정!$C$14="","",IFERROR(INDEX('1.산군_붙여넣기'!$A$1:$AZ$1001,ROW(),설정!$C$14)&amp;"",""))</f>
        <v/>
      </c>
      <c r="Y239">
        <f>IF(설정!$C$15="","",IFERROR(INDEX('1.산군_붙여넣기'!$A$1:$AZ$1001,ROW(),설정!$C$15)&amp;"",""))</f>
        <v/>
      </c>
      <c r="Z239">
        <f>IF(T239,V239&amp;"|"&amp;U239,"")</f>
        <v/>
      </c>
      <c r="AA239">
        <f>IF(NOT(Q239),"",IF(NOT(AND(R239,S239)),"✕",IF(OR(OR(AND(L239&lt;&gt;"",M239&lt;&gt;"",N(M239)-N(L239)&gt;설정!$B$27),AND(L239&lt;&gt;"",M239="",설정!$B$24-N(L239)&gt;설정!$B$27)),AND(D239&lt;&gt;"",D239&lt;설정!$B$26)),"△","★")))</f>
        <v/>
      </c>
      <c r="AB239">
        <f>IF(NOT(T239),"",IF(U239="설계사",설정!$B$31,IF(U239="시공사",IF(OR(M239="",설정!$B$24-N(M239)&lt;=설정!$B$28*30.4),설정!$B$32,설정!$B$33),설정!$B$34))+IF(AA239="★",설정!$B$35,0))</f>
        <v/>
      </c>
      <c r="AC239">
        <f>SUBSTITUTE(SUBSTITUTE(SUBSTITUTE(SUBSTITUTE(H239,"(주)",""),"㈜",""),"주식회사","")," ","")</f>
        <v/>
      </c>
      <c r="AD239">
        <f>IF(AND(T239,AC239&lt;&gt;""),IF(COUNTIFS(AC$2:AC239,AC239,T$2:T239,TRUE)=1,MAX(AD$1:AD238)+1,""),"")</f>
        <v/>
      </c>
    </row>
    <row r="240">
      <c r="A240">
        <f>ROW()</f>
        <v/>
      </c>
      <c r="B240">
        <f>IF(설정!$C$4="","",IFERROR(INDEX('1.산군_붙여넣기'!$A$1:$AZ$1001,ROW(),설정!$C$4)&amp;"",""))</f>
        <v/>
      </c>
      <c r="C240">
        <f>IF(설정!$C$5="","",IFERROR(INDEX('1.산군_붙여넣기'!$A$1:$AZ$1001,ROW(),설정!$C$5)&amp;"",""))</f>
        <v/>
      </c>
      <c r="D240" s="5">
        <f>IFERROR(VALUE(SUBSTITUTE(SUBSTITUTE(SUBSTITUTE(IF(설정!$C$6="","",IFERROR(INDEX('1.산군_붙여넣기'!$A$1:$AZ$1001,ROW(),설정!$C$6)&amp;"","")),",",""),"㎡",""),"m2","")),"")</f>
        <v/>
      </c>
      <c r="E240">
        <f>IF(설정!$C$7="","",IFERROR(INDEX('1.산군_붙여넣기'!$A$1:$AZ$1001,ROW(),설정!$C$7)&amp;"",""))</f>
        <v/>
      </c>
      <c r="F240">
        <f>IF(설정!$C$8="","",IFERROR(INDEX('1.산군_붙여넣기'!$A$1:$AZ$1001,ROW(),설정!$C$8)&amp;"",""))</f>
        <v/>
      </c>
      <c r="G240">
        <f>IF(설정!$C$9="","",IFERROR(INDEX('1.산군_붙여넣기'!$A$1:$AZ$1001,ROW(),설정!$C$9)&amp;"",""))</f>
        <v/>
      </c>
      <c r="H240">
        <f>IF(설정!$C$10="","",IFERROR(INDEX('1.산군_붙여넣기'!$A$1:$AZ$1001,ROW(),설정!$C$10)&amp;"",""))</f>
        <v/>
      </c>
      <c r="I240">
        <f>IF(설정!$C$11="","",IFERROR(INDEX('1.산군_붙여넣기'!$A$1:$AZ$1001,ROW(),설정!$C$11)&amp;"",""))</f>
        <v/>
      </c>
      <c r="J240">
        <f>IF(설정!$C$12="","",IFERROR(INDEX('1.산군_붙여넣기'!$A$1:$AZ$1001,ROW(),설정!$C$12)&amp;"",""))</f>
        <v/>
      </c>
      <c r="K240">
        <f>IF(설정!$C$13="","",IFERROR(INDEX('1.산군_붙여넣기'!$A$1:$AZ$1001,ROW(),설정!$C$13)&amp;"",""))</f>
        <v/>
      </c>
      <c r="L240" s="7">
        <f>IF(X240="","",IF(AND(LEN(X240)=8,ISNUMBER(X240*1)),DATE(LEFT(X240,4),MID(X240,5,2),RIGHT(X240,2)),IFERROR(DATEVALUE(SUBSTITUTE(SUBSTITUTE(X240,".","-"),"/","-")),IFERROR(X240*1,""))))</f>
        <v/>
      </c>
      <c r="M240" s="7">
        <f>IF(Y240="","",IF(AND(LEN(Y240)=8,ISNUMBER(Y240*1)),DATE(LEFT(Y240,4),MID(Y240,5,2),RIGHT(Y240,2)),IFERROR(DATEVALUE(SUBSTITUTE(SUBSTITUTE(Y240,".","-"),"/","-")),IFERROR(Y240*1,""))))</f>
        <v/>
      </c>
      <c r="N240">
        <f>IFERROR(LEFT(B240,FIND(" ",B240)-1),B240)</f>
        <v/>
      </c>
      <c r="O240">
        <f>AND(B240&lt;&gt;"",B240&lt;&gt;설정!$B$4,C240&lt;&gt;설정!$B$5)</f>
        <v/>
      </c>
      <c r="P240">
        <f>IF(O240,B240&amp;"|"&amp;C240,"")</f>
        <v/>
      </c>
      <c r="Q240">
        <f>AND(O240,COUNTIF(P241:P$1002,P240)=0)</f>
        <v/>
      </c>
      <c r="R240">
        <f>OR(AND(설정!$A$42&lt;&gt;"",ISNUMBER(SEARCH(설정!$A$42,E240&amp;" "&amp;C240))),AND(설정!$A$43&lt;&gt;"",ISNUMBER(SEARCH(설정!$A$43,E240&amp;" "&amp;C240))),AND(설정!$A$44&lt;&gt;"",ISNUMBER(SEARCH(설정!$A$44,E240&amp;" "&amp;C240))),AND(설정!$A$45&lt;&gt;"",ISNUMBER(SEARCH(설정!$A$45,E240&amp;" "&amp;C240))),AND(설정!$A$46&lt;&gt;"",ISNUMBER(SEARCH(설정!$A$46,E240&amp;" "&amp;C240))),AND(설정!$A$47&lt;&gt;"",ISNUMBER(SEARCH(설정!$A$47,E240&amp;" "&amp;C240))),AND(설정!$A$48&lt;&gt;"",ISNUMBER(SEARCH(설정!$A$48,E240&amp;" "&amp;C240))),AND(설정!$A$49&lt;&gt;"",ISNUMBER(SEARCH(설정!$A$49,E240&amp;" "&amp;C240))),AND(설정!$A$50&lt;&gt;"",ISNUMBER(SEARCH(설정!$A$50,E240&amp;" "&amp;C240))),AND(설정!$A$51&lt;&gt;"",ISNUMBER(SEARCH(설정!$A$51,E240&amp;" "&amp;C240))))</f>
        <v/>
      </c>
      <c r="S240">
        <f>OR(D240="",D240&gt;=설정!$B$19)</f>
        <v/>
      </c>
      <c r="T240">
        <f>AND(Q240,R240,S240)</f>
        <v/>
      </c>
      <c r="U240">
        <f>IF(T240,IF(AND(설정!$A$54&lt;&gt;"",ISNUMBER(SEARCH(설정!$A$54,K240))),설정!$B$54,IF(AND(설정!$A$55&lt;&gt;"",ISNUMBER(SEARCH(설정!$A$55,K240))),설정!$B$55,IF(AND(설정!$A$56&lt;&gt;"",ISNUMBER(SEARCH(설정!$A$56,K240))),설정!$B$56,IF(AND(설정!$A$57&lt;&gt;"",ISNUMBER(SEARCH(설정!$A$57,K240))),설정!$B$57,IF(AND(설정!$A$58&lt;&gt;"",ISNUMBER(SEARCH(설정!$A$58,K240))),설정!$B$58,IF(AND(설정!$A$59&lt;&gt;"",ISNUMBER(SEARCH(설정!$A$59,K240))),설정!$B$59,IF(AND(설정!$A$60&lt;&gt;"",ISNUMBER(SEARCH(설정!$A$60,K240))),설정!$B$60,IF(AND(설정!$A$61&lt;&gt;"",ISNUMBER(SEARCH(설정!$A$61,K240))),설정!$B$61,IF(M240="","설계사","시공사"))))))))),"")</f>
        <v/>
      </c>
      <c r="V240">
        <f>SUBSTITUTE(SUBSTITUTE(SUBSTITUTE(SUBSTITUTE(G240,"(주)",""),"㈜",""),"주식회사","")," ","")</f>
        <v/>
      </c>
      <c r="W240">
        <f>IF(AND(T240,V240&lt;&gt;""),IF(COUNTIFS(V$2:V240,V240,T$2:T240,TRUE)=1,MAX(W$1:W239)+1,""),"")</f>
        <v/>
      </c>
      <c r="X240">
        <f>IF(설정!$C$14="","",IFERROR(INDEX('1.산군_붙여넣기'!$A$1:$AZ$1001,ROW(),설정!$C$14)&amp;"",""))</f>
        <v/>
      </c>
      <c r="Y240">
        <f>IF(설정!$C$15="","",IFERROR(INDEX('1.산군_붙여넣기'!$A$1:$AZ$1001,ROW(),설정!$C$15)&amp;"",""))</f>
        <v/>
      </c>
      <c r="Z240">
        <f>IF(T240,V240&amp;"|"&amp;U240,"")</f>
        <v/>
      </c>
      <c r="AA240">
        <f>IF(NOT(Q240),"",IF(NOT(AND(R240,S240)),"✕",IF(OR(OR(AND(L240&lt;&gt;"",M240&lt;&gt;"",N(M240)-N(L240)&gt;설정!$B$27),AND(L240&lt;&gt;"",M240="",설정!$B$24-N(L240)&gt;설정!$B$27)),AND(D240&lt;&gt;"",D240&lt;설정!$B$26)),"△","★")))</f>
        <v/>
      </c>
      <c r="AB240">
        <f>IF(NOT(T240),"",IF(U240="설계사",설정!$B$31,IF(U240="시공사",IF(OR(M240="",설정!$B$24-N(M240)&lt;=설정!$B$28*30.4),설정!$B$32,설정!$B$33),설정!$B$34))+IF(AA240="★",설정!$B$35,0))</f>
        <v/>
      </c>
      <c r="AC240">
        <f>SUBSTITUTE(SUBSTITUTE(SUBSTITUTE(SUBSTITUTE(H240,"(주)",""),"㈜",""),"주식회사","")," ","")</f>
        <v/>
      </c>
      <c r="AD240">
        <f>IF(AND(T240,AC240&lt;&gt;""),IF(COUNTIFS(AC$2:AC240,AC240,T$2:T240,TRUE)=1,MAX(AD$1:AD239)+1,""),"")</f>
        <v/>
      </c>
    </row>
    <row r="241">
      <c r="A241">
        <f>ROW()</f>
        <v/>
      </c>
      <c r="B241">
        <f>IF(설정!$C$4="","",IFERROR(INDEX('1.산군_붙여넣기'!$A$1:$AZ$1001,ROW(),설정!$C$4)&amp;"",""))</f>
        <v/>
      </c>
      <c r="C241">
        <f>IF(설정!$C$5="","",IFERROR(INDEX('1.산군_붙여넣기'!$A$1:$AZ$1001,ROW(),설정!$C$5)&amp;"",""))</f>
        <v/>
      </c>
      <c r="D241" s="5">
        <f>IFERROR(VALUE(SUBSTITUTE(SUBSTITUTE(SUBSTITUTE(IF(설정!$C$6="","",IFERROR(INDEX('1.산군_붙여넣기'!$A$1:$AZ$1001,ROW(),설정!$C$6)&amp;"","")),",",""),"㎡",""),"m2","")),"")</f>
        <v/>
      </c>
      <c r="E241">
        <f>IF(설정!$C$7="","",IFERROR(INDEX('1.산군_붙여넣기'!$A$1:$AZ$1001,ROW(),설정!$C$7)&amp;"",""))</f>
        <v/>
      </c>
      <c r="F241">
        <f>IF(설정!$C$8="","",IFERROR(INDEX('1.산군_붙여넣기'!$A$1:$AZ$1001,ROW(),설정!$C$8)&amp;"",""))</f>
        <v/>
      </c>
      <c r="G241">
        <f>IF(설정!$C$9="","",IFERROR(INDEX('1.산군_붙여넣기'!$A$1:$AZ$1001,ROW(),설정!$C$9)&amp;"",""))</f>
        <v/>
      </c>
      <c r="H241">
        <f>IF(설정!$C$10="","",IFERROR(INDEX('1.산군_붙여넣기'!$A$1:$AZ$1001,ROW(),설정!$C$10)&amp;"",""))</f>
        <v/>
      </c>
      <c r="I241">
        <f>IF(설정!$C$11="","",IFERROR(INDEX('1.산군_붙여넣기'!$A$1:$AZ$1001,ROW(),설정!$C$11)&amp;"",""))</f>
        <v/>
      </c>
      <c r="J241">
        <f>IF(설정!$C$12="","",IFERROR(INDEX('1.산군_붙여넣기'!$A$1:$AZ$1001,ROW(),설정!$C$12)&amp;"",""))</f>
        <v/>
      </c>
      <c r="K241">
        <f>IF(설정!$C$13="","",IFERROR(INDEX('1.산군_붙여넣기'!$A$1:$AZ$1001,ROW(),설정!$C$13)&amp;"",""))</f>
        <v/>
      </c>
      <c r="L241" s="7">
        <f>IF(X241="","",IF(AND(LEN(X241)=8,ISNUMBER(X241*1)),DATE(LEFT(X241,4),MID(X241,5,2),RIGHT(X241,2)),IFERROR(DATEVALUE(SUBSTITUTE(SUBSTITUTE(X241,".","-"),"/","-")),IFERROR(X241*1,""))))</f>
        <v/>
      </c>
      <c r="M241" s="7">
        <f>IF(Y241="","",IF(AND(LEN(Y241)=8,ISNUMBER(Y241*1)),DATE(LEFT(Y241,4),MID(Y241,5,2),RIGHT(Y241,2)),IFERROR(DATEVALUE(SUBSTITUTE(SUBSTITUTE(Y241,".","-"),"/","-")),IFERROR(Y241*1,""))))</f>
        <v/>
      </c>
      <c r="N241">
        <f>IFERROR(LEFT(B241,FIND(" ",B241)-1),B241)</f>
        <v/>
      </c>
      <c r="O241">
        <f>AND(B241&lt;&gt;"",B241&lt;&gt;설정!$B$4,C241&lt;&gt;설정!$B$5)</f>
        <v/>
      </c>
      <c r="P241">
        <f>IF(O241,B241&amp;"|"&amp;C241,"")</f>
        <v/>
      </c>
      <c r="Q241">
        <f>AND(O241,COUNTIF(P242:P$1002,P241)=0)</f>
        <v/>
      </c>
      <c r="R241">
        <f>OR(AND(설정!$A$42&lt;&gt;"",ISNUMBER(SEARCH(설정!$A$42,E241&amp;" "&amp;C241))),AND(설정!$A$43&lt;&gt;"",ISNUMBER(SEARCH(설정!$A$43,E241&amp;" "&amp;C241))),AND(설정!$A$44&lt;&gt;"",ISNUMBER(SEARCH(설정!$A$44,E241&amp;" "&amp;C241))),AND(설정!$A$45&lt;&gt;"",ISNUMBER(SEARCH(설정!$A$45,E241&amp;" "&amp;C241))),AND(설정!$A$46&lt;&gt;"",ISNUMBER(SEARCH(설정!$A$46,E241&amp;" "&amp;C241))),AND(설정!$A$47&lt;&gt;"",ISNUMBER(SEARCH(설정!$A$47,E241&amp;" "&amp;C241))),AND(설정!$A$48&lt;&gt;"",ISNUMBER(SEARCH(설정!$A$48,E241&amp;" "&amp;C241))),AND(설정!$A$49&lt;&gt;"",ISNUMBER(SEARCH(설정!$A$49,E241&amp;" "&amp;C241))),AND(설정!$A$50&lt;&gt;"",ISNUMBER(SEARCH(설정!$A$50,E241&amp;" "&amp;C241))),AND(설정!$A$51&lt;&gt;"",ISNUMBER(SEARCH(설정!$A$51,E241&amp;" "&amp;C241))))</f>
        <v/>
      </c>
      <c r="S241">
        <f>OR(D241="",D241&gt;=설정!$B$19)</f>
        <v/>
      </c>
      <c r="T241">
        <f>AND(Q241,R241,S241)</f>
        <v/>
      </c>
      <c r="U241">
        <f>IF(T241,IF(AND(설정!$A$54&lt;&gt;"",ISNUMBER(SEARCH(설정!$A$54,K241))),설정!$B$54,IF(AND(설정!$A$55&lt;&gt;"",ISNUMBER(SEARCH(설정!$A$55,K241))),설정!$B$55,IF(AND(설정!$A$56&lt;&gt;"",ISNUMBER(SEARCH(설정!$A$56,K241))),설정!$B$56,IF(AND(설정!$A$57&lt;&gt;"",ISNUMBER(SEARCH(설정!$A$57,K241))),설정!$B$57,IF(AND(설정!$A$58&lt;&gt;"",ISNUMBER(SEARCH(설정!$A$58,K241))),설정!$B$58,IF(AND(설정!$A$59&lt;&gt;"",ISNUMBER(SEARCH(설정!$A$59,K241))),설정!$B$59,IF(AND(설정!$A$60&lt;&gt;"",ISNUMBER(SEARCH(설정!$A$60,K241))),설정!$B$60,IF(AND(설정!$A$61&lt;&gt;"",ISNUMBER(SEARCH(설정!$A$61,K241))),설정!$B$61,IF(M241="","설계사","시공사"))))))))),"")</f>
        <v/>
      </c>
      <c r="V241">
        <f>SUBSTITUTE(SUBSTITUTE(SUBSTITUTE(SUBSTITUTE(G241,"(주)",""),"㈜",""),"주식회사","")," ","")</f>
        <v/>
      </c>
      <c r="W241">
        <f>IF(AND(T241,V241&lt;&gt;""),IF(COUNTIFS(V$2:V241,V241,T$2:T241,TRUE)=1,MAX(W$1:W240)+1,""),"")</f>
        <v/>
      </c>
      <c r="X241">
        <f>IF(설정!$C$14="","",IFERROR(INDEX('1.산군_붙여넣기'!$A$1:$AZ$1001,ROW(),설정!$C$14)&amp;"",""))</f>
        <v/>
      </c>
      <c r="Y241">
        <f>IF(설정!$C$15="","",IFERROR(INDEX('1.산군_붙여넣기'!$A$1:$AZ$1001,ROW(),설정!$C$15)&amp;"",""))</f>
        <v/>
      </c>
      <c r="Z241">
        <f>IF(T241,V241&amp;"|"&amp;U241,"")</f>
        <v/>
      </c>
      <c r="AA241">
        <f>IF(NOT(Q241),"",IF(NOT(AND(R241,S241)),"✕",IF(OR(OR(AND(L241&lt;&gt;"",M241&lt;&gt;"",N(M241)-N(L241)&gt;설정!$B$27),AND(L241&lt;&gt;"",M241="",설정!$B$24-N(L241)&gt;설정!$B$27)),AND(D241&lt;&gt;"",D241&lt;설정!$B$26)),"△","★")))</f>
        <v/>
      </c>
      <c r="AB241">
        <f>IF(NOT(T241),"",IF(U241="설계사",설정!$B$31,IF(U241="시공사",IF(OR(M241="",설정!$B$24-N(M241)&lt;=설정!$B$28*30.4),설정!$B$32,설정!$B$33),설정!$B$34))+IF(AA241="★",설정!$B$35,0))</f>
        <v/>
      </c>
      <c r="AC241">
        <f>SUBSTITUTE(SUBSTITUTE(SUBSTITUTE(SUBSTITUTE(H241,"(주)",""),"㈜",""),"주식회사","")," ","")</f>
        <v/>
      </c>
      <c r="AD241">
        <f>IF(AND(T241,AC241&lt;&gt;""),IF(COUNTIFS(AC$2:AC241,AC241,T$2:T241,TRUE)=1,MAX(AD$1:AD240)+1,""),"")</f>
        <v/>
      </c>
    </row>
    <row r="242">
      <c r="A242">
        <f>ROW()</f>
        <v/>
      </c>
      <c r="B242">
        <f>IF(설정!$C$4="","",IFERROR(INDEX('1.산군_붙여넣기'!$A$1:$AZ$1001,ROW(),설정!$C$4)&amp;"",""))</f>
        <v/>
      </c>
      <c r="C242">
        <f>IF(설정!$C$5="","",IFERROR(INDEX('1.산군_붙여넣기'!$A$1:$AZ$1001,ROW(),설정!$C$5)&amp;"",""))</f>
        <v/>
      </c>
      <c r="D242" s="5">
        <f>IFERROR(VALUE(SUBSTITUTE(SUBSTITUTE(SUBSTITUTE(IF(설정!$C$6="","",IFERROR(INDEX('1.산군_붙여넣기'!$A$1:$AZ$1001,ROW(),설정!$C$6)&amp;"","")),",",""),"㎡",""),"m2","")),"")</f>
        <v/>
      </c>
      <c r="E242">
        <f>IF(설정!$C$7="","",IFERROR(INDEX('1.산군_붙여넣기'!$A$1:$AZ$1001,ROW(),설정!$C$7)&amp;"",""))</f>
        <v/>
      </c>
      <c r="F242">
        <f>IF(설정!$C$8="","",IFERROR(INDEX('1.산군_붙여넣기'!$A$1:$AZ$1001,ROW(),설정!$C$8)&amp;"",""))</f>
        <v/>
      </c>
      <c r="G242">
        <f>IF(설정!$C$9="","",IFERROR(INDEX('1.산군_붙여넣기'!$A$1:$AZ$1001,ROW(),설정!$C$9)&amp;"",""))</f>
        <v/>
      </c>
      <c r="H242">
        <f>IF(설정!$C$10="","",IFERROR(INDEX('1.산군_붙여넣기'!$A$1:$AZ$1001,ROW(),설정!$C$10)&amp;"",""))</f>
        <v/>
      </c>
      <c r="I242">
        <f>IF(설정!$C$11="","",IFERROR(INDEX('1.산군_붙여넣기'!$A$1:$AZ$1001,ROW(),설정!$C$11)&amp;"",""))</f>
        <v/>
      </c>
      <c r="J242">
        <f>IF(설정!$C$12="","",IFERROR(INDEX('1.산군_붙여넣기'!$A$1:$AZ$1001,ROW(),설정!$C$12)&amp;"",""))</f>
        <v/>
      </c>
      <c r="K242">
        <f>IF(설정!$C$13="","",IFERROR(INDEX('1.산군_붙여넣기'!$A$1:$AZ$1001,ROW(),설정!$C$13)&amp;"",""))</f>
        <v/>
      </c>
      <c r="L242" s="7">
        <f>IF(X242="","",IF(AND(LEN(X242)=8,ISNUMBER(X242*1)),DATE(LEFT(X242,4),MID(X242,5,2),RIGHT(X242,2)),IFERROR(DATEVALUE(SUBSTITUTE(SUBSTITUTE(X242,".","-"),"/","-")),IFERROR(X242*1,""))))</f>
        <v/>
      </c>
      <c r="M242" s="7">
        <f>IF(Y242="","",IF(AND(LEN(Y242)=8,ISNUMBER(Y242*1)),DATE(LEFT(Y242,4),MID(Y242,5,2),RIGHT(Y242,2)),IFERROR(DATEVALUE(SUBSTITUTE(SUBSTITUTE(Y242,".","-"),"/","-")),IFERROR(Y242*1,""))))</f>
        <v/>
      </c>
      <c r="N242">
        <f>IFERROR(LEFT(B242,FIND(" ",B242)-1),B242)</f>
        <v/>
      </c>
      <c r="O242">
        <f>AND(B242&lt;&gt;"",B242&lt;&gt;설정!$B$4,C242&lt;&gt;설정!$B$5)</f>
        <v/>
      </c>
      <c r="P242">
        <f>IF(O242,B242&amp;"|"&amp;C242,"")</f>
        <v/>
      </c>
      <c r="Q242">
        <f>AND(O242,COUNTIF(P243:P$1002,P242)=0)</f>
        <v/>
      </c>
      <c r="R242">
        <f>OR(AND(설정!$A$42&lt;&gt;"",ISNUMBER(SEARCH(설정!$A$42,E242&amp;" "&amp;C242))),AND(설정!$A$43&lt;&gt;"",ISNUMBER(SEARCH(설정!$A$43,E242&amp;" "&amp;C242))),AND(설정!$A$44&lt;&gt;"",ISNUMBER(SEARCH(설정!$A$44,E242&amp;" "&amp;C242))),AND(설정!$A$45&lt;&gt;"",ISNUMBER(SEARCH(설정!$A$45,E242&amp;" "&amp;C242))),AND(설정!$A$46&lt;&gt;"",ISNUMBER(SEARCH(설정!$A$46,E242&amp;" "&amp;C242))),AND(설정!$A$47&lt;&gt;"",ISNUMBER(SEARCH(설정!$A$47,E242&amp;" "&amp;C242))),AND(설정!$A$48&lt;&gt;"",ISNUMBER(SEARCH(설정!$A$48,E242&amp;" "&amp;C242))),AND(설정!$A$49&lt;&gt;"",ISNUMBER(SEARCH(설정!$A$49,E242&amp;" "&amp;C242))),AND(설정!$A$50&lt;&gt;"",ISNUMBER(SEARCH(설정!$A$50,E242&amp;" "&amp;C242))),AND(설정!$A$51&lt;&gt;"",ISNUMBER(SEARCH(설정!$A$51,E242&amp;" "&amp;C242))))</f>
        <v/>
      </c>
      <c r="S242">
        <f>OR(D242="",D242&gt;=설정!$B$19)</f>
        <v/>
      </c>
      <c r="T242">
        <f>AND(Q242,R242,S242)</f>
        <v/>
      </c>
      <c r="U242">
        <f>IF(T242,IF(AND(설정!$A$54&lt;&gt;"",ISNUMBER(SEARCH(설정!$A$54,K242))),설정!$B$54,IF(AND(설정!$A$55&lt;&gt;"",ISNUMBER(SEARCH(설정!$A$55,K242))),설정!$B$55,IF(AND(설정!$A$56&lt;&gt;"",ISNUMBER(SEARCH(설정!$A$56,K242))),설정!$B$56,IF(AND(설정!$A$57&lt;&gt;"",ISNUMBER(SEARCH(설정!$A$57,K242))),설정!$B$57,IF(AND(설정!$A$58&lt;&gt;"",ISNUMBER(SEARCH(설정!$A$58,K242))),설정!$B$58,IF(AND(설정!$A$59&lt;&gt;"",ISNUMBER(SEARCH(설정!$A$59,K242))),설정!$B$59,IF(AND(설정!$A$60&lt;&gt;"",ISNUMBER(SEARCH(설정!$A$60,K242))),설정!$B$60,IF(AND(설정!$A$61&lt;&gt;"",ISNUMBER(SEARCH(설정!$A$61,K242))),설정!$B$61,IF(M242="","설계사","시공사"))))))))),"")</f>
        <v/>
      </c>
      <c r="V242">
        <f>SUBSTITUTE(SUBSTITUTE(SUBSTITUTE(SUBSTITUTE(G242,"(주)",""),"㈜",""),"주식회사","")," ","")</f>
        <v/>
      </c>
      <c r="W242">
        <f>IF(AND(T242,V242&lt;&gt;""),IF(COUNTIFS(V$2:V242,V242,T$2:T242,TRUE)=1,MAX(W$1:W241)+1,""),"")</f>
        <v/>
      </c>
      <c r="X242">
        <f>IF(설정!$C$14="","",IFERROR(INDEX('1.산군_붙여넣기'!$A$1:$AZ$1001,ROW(),설정!$C$14)&amp;"",""))</f>
        <v/>
      </c>
      <c r="Y242">
        <f>IF(설정!$C$15="","",IFERROR(INDEX('1.산군_붙여넣기'!$A$1:$AZ$1001,ROW(),설정!$C$15)&amp;"",""))</f>
        <v/>
      </c>
      <c r="Z242">
        <f>IF(T242,V242&amp;"|"&amp;U242,"")</f>
        <v/>
      </c>
      <c r="AA242">
        <f>IF(NOT(Q242),"",IF(NOT(AND(R242,S242)),"✕",IF(OR(OR(AND(L242&lt;&gt;"",M242&lt;&gt;"",N(M242)-N(L242)&gt;설정!$B$27),AND(L242&lt;&gt;"",M242="",설정!$B$24-N(L242)&gt;설정!$B$27)),AND(D242&lt;&gt;"",D242&lt;설정!$B$26)),"△","★")))</f>
        <v/>
      </c>
      <c r="AB242">
        <f>IF(NOT(T242),"",IF(U242="설계사",설정!$B$31,IF(U242="시공사",IF(OR(M242="",설정!$B$24-N(M242)&lt;=설정!$B$28*30.4),설정!$B$32,설정!$B$33),설정!$B$34))+IF(AA242="★",설정!$B$35,0))</f>
        <v/>
      </c>
      <c r="AC242">
        <f>SUBSTITUTE(SUBSTITUTE(SUBSTITUTE(SUBSTITUTE(H242,"(주)",""),"㈜",""),"주식회사","")," ","")</f>
        <v/>
      </c>
      <c r="AD242">
        <f>IF(AND(T242,AC242&lt;&gt;""),IF(COUNTIFS(AC$2:AC242,AC242,T$2:T242,TRUE)=1,MAX(AD$1:AD241)+1,""),"")</f>
        <v/>
      </c>
    </row>
    <row r="243">
      <c r="A243">
        <f>ROW()</f>
        <v/>
      </c>
      <c r="B243">
        <f>IF(설정!$C$4="","",IFERROR(INDEX('1.산군_붙여넣기'!$A$1:$AZ$1001,ROW(),설정!$C$4)&amp;"",""))</f>
        <v/>
      </c>
      <c r="C243">
        <f>IF(설정!$C$5="","",IFERROR(INDEX('1.산군_붙여넣기'!$A$1:$AZ$1001,ROW(),설정!$C$5)&amp;"",""))</f>
        <v/>
      </c>
      <c r="D243" s="5">
        <f>IFERROR(VALUE(SUBSTITUTE(SUBSTITUTE(SUBSTITUTE(IF(설정!$C$6="","",IFERROR(INDEX('1.산군_붙여넣기'!$A$1:$AZ$1001,ROW(),설정!$C$6)&amp;"","")),",",""),"㎡",""),"m2","")),"")</f>
        <v/>
      </c>
      <c r="E243">
        <f>IF(설정!$C$7="","",IFERROR(INDEX('1.산군_붙여넣기'!$A$1:$AZ$1001,ROW(),설정!$C$7)&amp;"",""))</f>
        <v/>
      </c>
      <c r="F243">
        <f>IF(설정!$C$8="","",IFERROR(INDEX('1.산군_붙여넣기'!$A$1:$AZ$1001,ROW(),설정!$C$8)&amp;"",""))</f>
        <v/>
      </c>
      <c r="G243">
        <f>IF(설정!$C$9="","",IFERROR(INDEX('1.산군_붙여넣기'!$A$1:$AZ$1001,ROW(),설정!$C$9)&amp;"",""))</f>
        <v/>
      </c>
      <c r="H243">
        <f>IF(설정!$C$10="","",IFERROR(INDEX('1.산군_붙여넣기'!$A$1:$AZ$1001,ROW(),설정!$C$10)&amp;"",""))</f>
        <v/>
      </c>
      <c r="I243">
        <f>IF(설정!$C$11="","",IFERROR(INDEX('1.산군_붙여넣기'!$A$1:$AZ$1001,ROW(),설정!$C$11)&amp;"",""))</f>
        <v/>
      </c>
      <c r="J243">
        <f>IF(설정!$C$12="","",IFERROR(INDEX('1.산군_붙여넣기'!$A$1:$AZ$1001,ROW(),설정!$C$12)&amp;"",""))</f>
        <v/>
      </c>
      <c r="K243">
        <f>IF(설정!$C$13="","",IFERROR(INDEX('1.산군_붙여넣기'!$A$1:$AZ$1001,ROW(),설정!$C$13)&amp;"",""))</f>
        <v/>
      </c>
      <c r="L243" s="7">
        <f>IF(X243="","",IF(AND(LEN(X243)=8,ISNUMBER(X243*1)),DATE(LEFT(X243,4),MID(X243,5,2),RIGHT(X243,2)),IFERROR(DATEVALUE(SUBSTITUTE(SUBSTITUTE(X243,".","-"),"/","-")),IFERROR(X243*1,""))))</f>
        <v/>
      </c>
      <c r="M243" s="7">
        <f>IF(Y243="","",IF(AND(LEN(Y243)=8,ISNUMBER(Y243*1)),DATE(LEFT(Y243,4),MID(Y243,5,2),RIGHT(Y243,2)),IFERROR(DATEVALUE(SUBSTITUTE(SUBSTITUTE(Y243,".","-"),"/","-")),IFERROR(Y243*1,""))))</f>
        <v/>
      </c>
      <c r="N243">
        <f>IFERROR(LEFT(B243,FIND(" ",B243)-1),B243)</f>
        <v/>
      </c>
      <c r="O243">
        <f>AND(B243&lt;&gt;"",B243&lt;&gt;설정!$B$4,C243&lt;&gt;설정!$B$5)</f>
        <v/>
      </c>
      <c r="P243">
        <f>IF(O243,B243&amp;"|"&amp;C243,"")</f>
        <v/>
      </c>
      <c r="Q243">
        <f>AND(O243,COUNTIF(P244:P$1002,P243)=0)</f>
        <v/>
      </c>
      <c r="R243">
        <f>OR(AND(설정!$A$42&lt;&gt;"",ISNUMBER(SEARCH(설정!$A$42,E243&amp;" "&amp;C243))),AND(설정!$A$43&lt;&gt;"",ISNUMBER(SEARCH(설정!$A$43,E243&amp;" "&amp;C243))),AND(설정!$A$44&lt;&gt;"",ISNUMBER(SEARCH(설정!$A$44,E243&amp;" "&amp;C243))),AND(설정!$A$45&lt;&gt;"",ISNUMBER(SEARCH(설정!$A$45,E243&amp;" "&amp;C243))),AND(설정!$A$46&lt;&gt;"",ISNUMBER(SEARCH(설정!$A$46,E243&amp;" "&amp;C243))),AND(설정!$A$47&lt;&gt;"",ISNUMBER(SEARCH(설정!$A$47,E243&amp;" "&amp;C243))),AND(설정!$A$48&lt;&gt;"",ISNUMBER(SEARCH(설정!$A$48,E243&amp;" "&amp;C243))),AND(설정!$A$49&lt;&gt;"",ISNUMBER(SEARCH(설정!$A$49,E243&amp;" "&amp;C243))),AND(설정!$A$50&lt;&gt;"",ISNUMBER(SEARCH(설정!$A$50,E243&amp;" "&amp;C243))),AND(설정!$A$51&lt;&gt;"",ISNUMBER(SEARCH(설정!$A$51,E243&amp;" "&amp;C243))))</f>
        <v/>
      </c>
      <c r="S243">
        <f>OR(D243="",D243&gt;=설정!$B$19)</f>
        <v/>
      </c>
      <c r="T243">
        <f>AND(Q243,R243,S243)</f>
        <v/>
      </c>
      <c r="U243">
        <f>IF(T243,IF(AND(설정!$A$54&lt;&gt;"",ISNUMBER(SEARCH(설정!$A$54,K243))),설정!$B$54,IF(AND(설정!$A$55&lt;&gt;"",ISNUMBER(SEARCH(설정!$A$55,K243))),설정!$B$55,IF(AND(설정!$A$56&lt;&gt;"",ISNUMBER(SEARCH(설정!$A$56,K243))),설정!$B$56,IF(AND(설정!$A$57&lt;&gt;"",ISNUMBER(SEARCH(설정!$A$57,K243))),설정!$B$57,IF(AND(설정!$A$58&lt;&gt;"",ISNUMBER(SEARCH(설정!$A$58,K243))),설정!$B$58,IF(AND(설정!$A$59&lt;&gt;"",ISNUMBER(SEARCH(설정!$A$59,K243))),설정!$B$59,IF(AND(설정!$A$60&lt;&gt;"",ISNUMBER(SEARCH(설정!$A$60,K243))),설정!$B$60,IF(AND(설정!$A$61&lt;&gt;"",ISNUMBER(SEARCH(설정!$A$61,K243))),설정!$B$61,IF(M243="","설계사","시공사"))))))))),"")</f>
        <v/>
      </c>
      <c r="V243">
        <f>SUBSTITUTE(SUBSTITUTE(SUBSTITUTE(SUBSTITUTE(G243,"(주)",""),"㈜",""),"주식회사","")," ","")</f>
        <v/>
      </c>
      <c r="W243">
        <f>IF(AND(T243,V243&lt;&gt;""),IF(COUNTIFS(V$2:V243,V243,T$2:T243,TRUE)=1,MAX(W$1:W242)+1,""),"")</f>
        <v/>
      </c>
      <c r="X243">
        <f>IF(설정!$C$14="","",IFERROR(INDEX('1.산군_붙여넣기'!$A$1:$AZ$1001,ROW(),설정!$C$14)&amp;"",""))</f>
        <v/>
      </c>
      <c r="Y243">
        <f>IF(설정!$C$15="","",IFERROR(INDEX('1.산군_붙여넣기'!$A$1:$AZ$1001,ROW(),설정!$C$15)&amp;"",""))</f>
        <v/>
      </c>
      <c r="Z243">
        <f>IF(T243,V243&amp;"|"&amp;U243,"")</f>
        <v/>
      </c>
      <c r="AA243">
        <f>IF(NOT(Q243),"",IF(NOT(AND(R243,S243)),"✕",IF(OR(OR(AND(L243&lt;&gt;"",M243&lt;&gt;"",N(M243)-N(L243)&gt;설정!$B$27),AND(L243&lt;&gt;"",M243="",설정!$B$24-N(L243)&gt;설정!$B$27)),AND(D243&lt;&gt;"",D243&lt;설정!$B$26)),"△","★")))</f>
        <v/>
      </c>
      <c r="AB243">
        <f>IF(NOT(T243),"",IF(U243="설계사",설정!$B$31,IF(U243="시공사",IF(OR(M243="",설정!$B$24-N(M243)&lt;=설정!$B$28*30.4),설정!$B$32,설정!$B$33),설정!$B$34))+IF(AA243="★",설정!$B$35,0))</f>
        <v/>
      </c>
      <c r="AC243">
        <f>SUBSTITUTE(SUBSTITUTE(SUBSTITUTE(SUBSTITUTE(H243,"(주)",""),"㈜",""),"주식회사","")," ","")</f>
        <v/>
      </c>
      <c r="AD243">
        <f>IF(AND(T243,AC243&lt;&gt;""),IF(COUNTIFS(AC$2:AC243,AC243,T$2:T243,TRUE)=1,MAX(AD$1:AD242)+1,""),"")</f>
        <v/>
      </c>
    </row>
    <row r="244">
      <c r="A244">
        <f>ROW()</f>
        <v/>
      </c>
      <c r="B244">
        <f>IF(설정!$C$4="","",IFERROR(INDEX('1.산군_붙여넣기'!$A$1:$AZ$1001,ROW(),설정!$C$4)&amp;"",""))</f>
        <v/>
      </c>
      <c r="C244">
        <f>IF(설정!$C$5="","",IFERROR(INDEX('1.산군_붙여넣기'!$A$1:$AZ$1001,ROW(),설정!$C$5)&amp;"",""))</f>
        <v/>
      </c>
      <c r="D244" s="5">
        <f>IFERROR(VALUE(SUBSTITUTE(SUBSTITUTE(SUBSTITUTE(IF(설정!$C$6="","",IFERROR(INDEX('1.산군_붙여넣기'!$A$1:$AZ$1001,ROW(),설정!$C$6)&amp;"","")),",",""),"㎡",""),"m2","")),"")</f>
        <v/>
      </c>
      <c r="E244">
        <f>IF(설정!$C$7="","",IFERROR(INDEX('1.산군_붙여넣기'!$A$1:$AZ$1001,ROW(),설정!$C$7)&amp;"",""))</f>
        <v/>
      </c>
      <c r="F244">
        <f>IF(설정!$C$8="","",IFERROR(INDEX('1.산군_붙여넣기'!$A$1:$AZ$1001,ROW(),설정!$C$8)&amp;"",""))</f>
        <v/>
      </c>
      <c r="G244">
        <f>IF(설정!$C$9="","",IFERROR(INDEX('1.산군_붙여넣기'!$A$1:$AZ$1001,ROW(),설정!$C$9)&amp;"",""))</f>
        <v/>
      </c>
      <c r="H244">
        <f>IF(설정!$C$10="","",IFERROR(INDEX('1.산군_붙여넣기'!$A$1:$AZ$1001,ROW(),설정!$C$10)&amp;"",""))</f>
        <v/>
      </c>
      <c r="I244">
        <f>IF(설정!$C$11="","",IFERROR(INDEX('1.산군_붙여넣기'!$A$1:$AZ$1001,ROW(),설정!$C$11)&amp;"",""))</f>
        <v/>
      </c>
      <c r="J244">
        <f>IF(설정!$C$12="","",IFERROR(INDEX('1.산군_붙여넣기'!$A$1:$AZ$1001,ROW(),설정!$C$12)&amp;"",""))</f>
        <v/>
      </c>
      <c r="K244">
        <f>IF(설정!$C$13="","",IFERROR(INDEX('1.산군_붙여넣기'!$A$1:$AZ$1001,ROW(),설정!$C$13)&amp;"",""))</f>
        <v/>
      </c>
      <c r="L244" s="7">
        <f>IF(X244="","",IF(AND(LEN(X244)=8,ISNUMBER(X244*1)),DATE(LEFT(X244,4),MID(X244,5,2),RIGHT(X244,2)),IFERROR(DATEVALUE(SUBSTITUTE(SUBSTITUTE(X244,".","-"),"/","-")),IFERROR(X244*1,""))))</f>
        <v/>
      </c>
      <c r="M244" s="7">
        <f>IF(Y244="","",IF(AND(LEN(Y244)=8,ISNUMBER(Y244*1)),DATE(LEFT(Y244,4),MID(Y244,5,2),RIGHT(Y244,2)),IFERROR(DATEVALUE(SUBSTITUTE(SUBSTITUTE(Y244,".","-"),"/","-")),IFERROR(Y244*1,""))))</f>
        <v/>
      </c>
      <c r="N244">
        <f>IFERROR(LEFT(B244,FIND(" ",B244)-1),B244)</f>
        <v/>
      </c>
      <c r="O244">
        <f>AND(B244&lt;&gt;"",B244&lt;&gt;설정!$B$4,C244&lt;&gt;설정!$B$5)</f>
        <v/>
      </c>
      <c r="P244">
        <f>IF(O244,B244&amp;"|"&amp;C244,"")</f>
        <v/>
      </c>
      <c r="Q244">
        <f>AND(O244,COUNTIF(P245:P$1002,P244)=0)</f>
        <v/>
      </c>
      <c r="R244">
        <f>OR(AND(설정!$A$42&lt;&gt;"",ISNUMBER(SEARCH(설정!$A$42,E244&amp;" "&amp;C244))),AND(설정!$A$43&lt;&gt;"",ISNUMBER(SEARCH(설정!$A$43,E244&amp;" "&amp;C244))),AND(설정!$A$44&lt;&gt;"",ISNUMBER(SEARCH(설정!$A$44,E244&amp;" "&amp;C244))),AND(설정!$A$45&lt;&gt;"",ISNUMBER(SEARCH(설정!$A$45,E244&amp;" "&amp;C244))),AND(설정!$A$46&lt;&gt;"",ISNUMBER(SEARCH(설정!$A$46,E244&amp;" "&amp;C244))),AND(설정!$A$47&lt;&gt;"",ISNUMBER(SEARCH(설정!$A$47,E244&amp;" "&amp;C244))),AND(설정!$A$48&lt;&gt;"",ISNUMBER(SEARCH(설정!$A$48,E244&amp;" "&amp;C244))),AND(설정!$A$49&lt;&gt;"",ISNUMBER(SEARCH(설정!$A$49,E244&amp;" "&amp;C244))),AND(설정!$A$50&lt;&gt;"",ISNUMBER(SEARCH(설정!$A$50,E244&amp;" "&amp;C244))),AND(설정!$A$51&lt;&gt;"",ISNUMBER(SEARCH(설정!$A$51,E244&amp;" "&amp;C244))))</f>
        <v/>
      </c>
      <c r="S244">
        <f>OR(D244="",D244&gt;=설정!$B$19)</f>
        <v/>
      </c>
      <c r="T244">
        <f>AND(Q244,R244,S244)</f>
        <v/>
      </c>
      <c r="U244">
        <f>IF(T244,IF(AND(설정!$A$54&lt;&gt;"",ISNUMBER(SEARCH(설정!$A$54,K244))),설정!$B$54,IF(AND(설정!$A$55&lt;&gt;"",ISNUMBER(SEARCH(설정!$A$55,K244))),설정!$B$55,IF(AND(설정!$A$56&lt;&gt;"",ISNUMBER(SEARCH(설정!$A$56,K244))),설정!$B$56,IF(AND(설정!$A$57&lt;&gt;"",ISNUMBER(SEARCH(설정!$A$57,K244))),설정!$B$57,IF(AND(설정!$A$58&lt;&gt;"",ISNUMBER(SEARCH(설정!$A$58,K244))),설정!$B$58,IF(AND(설정!$A$59&lt;&gt;"",ISNUMBER(SEARCH(설정!$A$59,K244))),설정!$B$59,IF(AND(설정!$A$60&lt;&gt;"",ISNUMBER(SEARCH(설정!$A$60,K244))),설정!$B$60,IF(AND(설정!$A$61&lt;&gt;"",ISNUMBER(SEARCH(설정!$A$61,K244))),설정!$B$61,IF(M244="","설계사","시공사"))))))))),"")</f>
        <v/>
      </c>
      <c r="V244">
        <f>SUBSTITUTE(SUBSTITUTE(SUBSTITUTE(SUBSTITUTE(G244,"(주)",""),"㈜",""),"주식회사","")," ","")</f>
        <v/>
      </c>
      <c r="W244">
        <f>IF(AND(T244,V244&lt;&gt;""),IF(COUNTIFS(V$2:V244,V244,T$2:T244,TRUE)=1,MAX(W$1:W243)+1,""),"")</f>
        <v/>
      </c>
      <c r="X244">
        <f>IF(설정!$C$14="","",IFERROR(INDEX('1.산군_붙여넣기'!$A$1:$AZ$1001,ROW(),설정!$C$14)&amp;"",""))</f>
        <v/>
      </c>
      <c r="Y244">
        <f>IF(설정!$C$15="","",IFERROR(INDEX('1.산군_붙여넣기'!$A$1:$AZ$1001,ROW(),설정!$C$15)&amp;"",""))</f>
        <v/>
      </c>
      <c r="Z244">
        <f>IF(T244,V244&amp;"|"&amp;U244,"")</f>
        <v/>
      </c>
      <c r="AA244">
        <f>IF(NOT(Q244),"",IF(NOT(AND(R244,S244)),"✕",IF(OR(OR(AND(L244&lt;&gt;"",M244&lt;&gt;"",N(M244)-N(L244)&gt;설정!$B$27),AND(L244&lt;&gt;"",M244="",설정!$B$24-N(L244)&gt;설정!$B$27)),AND(D244&lt;&gt;"",D244&lt;설정!$B$26)),"△","★")))</f>
        <v/>
      </c>
      <c r="AB244">
        <f>IF(NOT(T244),"",IF(U244="설계사",설정!$B$31,IF(U244="시공사",IF(OR(M244="",설정!$B$24-N(M244)&lt;=설정!$B$28*30.4),설정!$B$32,설정!$B$33),설정!$B$34))+IF(AA244="★",설정!$B$35,0))</f>
        <v/>
      </c>
      <c r="AC244">
        <f>SUBSTITUTE(SUBSTITUTE(SUBSTITUTE(SUBSTITUTE(H244,"(주)",""),"㈜",""),"주식회사","")," ","")</f>
        <v/>
      </c>
      <c r="AD244">
        <f>IF(AND(T244,AC244&lt;&gt;""),IF(COUNTIFS(AC$2:AC244,AC244,T$2:T244,TRUE)=1,MAX(AD$1:AD243)+1,""),"")</f>
        <v/>
      </c>
    </row>
    <row r="245">
      <c r="A245">
        <f>ROW()</f>
        <v/>
      </c>
      <c r="B245">
        <f>IF(설정!$C$4="","",IFERROR(INDEX('1.산군_붙여넣기'!$A$1:$AZ$1001,ROW(),설정!$C$4)&amp;"",""))</f>
        <v/>
      </c>
      <c r="C245">
        <f>IF(설정!$C$5="","",IFERROR(INDEX('1.산군_붙여넣기'!$A$1:$AZ$1001,ROW(),설정!$C$5)&amp;"",""))</f>
        <v/>
      </c>
      <c r="D245" s="5">
        <f>IFERROR(VALUE(SUBSTITUTE(SUBSTITUTE(SUBSTITUTE(IF(설정!$C$6="","",IFERROR(INDEX('1.산군_붙여넣기'!$A$1:$AZ$1001,ROW(),설정!$C$6)&amp;"","")),",",""),"㎡",""),"m2","")),"")</f>
        <v/>
      </c>
      <c r="E245">
        <f>IF(설정!$C$7="","",IFERROR(INDEX('1.산군_붙여넣기'!$A$1:$AZ$1001,ROW(),설정!$C$7)&amp;"",""))</f>
        <v/>
      </c>
      <c r="F245">
        <f>IF(설정!$C$8="","",IFERROR(INDEX('1.산군_붙여넣기'!$A$1:$AZ$1001,ROW(),설정!$C$8)&amp;"",""))</f>
        <v/>
      </c>
      <c r="G245">
        <f>IF(설정!$C$9="","",IFERROR(INDEX('1.산군_붙여넣기'!$A$1:$AZ$1001,ROW(),설정!$C$9)&amp;"",""))</f>
        <v/>
      </c>
      <c r="H245">
        <f>IF(설정!$C$10="","",IFERROR(INDEX('1.산군_붙여넣기'!$A$1:$AZ$1001,ROW(),설정!$C$10)&amp;"",""))</f>
        <v/>
      </c>
      <c r="I245">
        <f>IF(설정!$C$11="","",IFERROR(INDEX('1.산군_붙여넣기'!$A$1:$AZ$1001,ROW(),설정!$C$11)&amp;"",""))</f>
        <v/>
      </c>
      <c r="J245">
        <f>IF(설정!$C$12="","",IFERROR(INDEX('1.산군_붙여넣기'!$A$1:$AZ$1001,ROW(),설정!$C$12)&amp;"",""))</f>
        <v/>
      </c>
      <c r="K245">
        <f>IF(설정!$C$13="","",IFERROR(INDEX('1.산군_붙여넣기'!$A$1:$AZ$1001,ROW(),설정!$C$13)&amp;"",""))</f>
        <v/>
      </c>
      <c r="L245" s="7">
        <f>IF(X245="","",IF(AND(LEN(X245)=8,ISNUMBER(X245*1)),DATE(LEFT(X245,4),MID(X245,5,2),RIGHT(X245,2)),IFERROR(DATEVALUE(SUBSTITUTE(SUBSTITUTE(X245,".","-"),"/","-")),IFERROR(X245*1,""))))</f>
        <v/>
      </c>
      <c r="M245" s="7">
        <f>IF(Y245="","",IF(AND(LEN(Y245)=8,ISNUMBER(Y245*1)),DATE(LEFT(Y245,4),MID(Y245,5,2),RIGHT(Y245,2)),IFERROR(DATEVALUE(SUBSTITUTE(SUBSTITUTE(Y245,".","-"),"/","-")),IFERROR(Y245*1,""))))</f>
        <v/>
      </c>
      <c r="N245">
        <f>IFERROR(LEFT(B245,FIND(" ",B245)-1),B245)</f>
        <v/>
      </c>
      <c r="O245">
        <f>AND(B245&lt;&gt;"",B245&lt;&gt;설정!$B$4,C245&lt;&gt;설정!$B$5)</f>
        <v/>
      </c>
      <c r="P245">
        <f>IF(O245,B245&amp;"|"&amp;C245,"")</f>
        <v/>
      </c>
      <c r="Q245">
        <f>AND(O245,COUNTIF(P246:P$1002,P245)=0)</f>
        <v/>
      </c>
      <c r="R245">
        <f>OR(AND(설정!$A$42&lt;&gt;"",ISNUMBER(SEARCH(설정!$A$42,E245&amp;" "&amp;C245))),AND(설정!$A$43&lt;&gt;"",ISNUMBER(SEARCH(설정!$A$43,E245&amp;" "&amp;C245))),AND(설정!$A$44&lt;&gt;"",ISNUMBER(SEARCH(설정!$A$44,E245&amp;" "&amp;C245))),AND(설정!$A$45&lt;&gt;"",ISNUMBER(SEARCH(설정!$A$45,E245&amp;" "&amp;C245))),AND(설정!$A$46&lt;&gt;"",ISNUMBER(SEARCH(설정!$A$46,E245&amp;" "&amp;C245))),AND(설정!$A$47&lt;&gt;"",ISNUMBER(SEARCH(설정!$A$47,E245&amp;" "&amp;C245))),AND(설정!$A$48&lt;&gt;"",ISNUMBER(SEARCH(설정!$A$48,E245&amp;" "&amp;C245))),AND(설정!$A$49&lt;&gt;"",ISNUMBER(SEARCH(설정!$A$49,E245&amp;" "&amp;C245))),AND(설정!$A$50&lt;&gt;"",ISNUMBER(SEARCH(설정!$A$50,E245&amp;" "&amp;C245))),AND(설정!$A$51&lt;&gt;"",ISNUMBER(SEARCH(설정!$A$51,E245&amp;" "&amp;C245))))</f>
        <v/>
      </c>
      <c r="S245">
        <f>OR(D245="",D245&gt;=설정!$B$19)</f>
        <v/>
      </c>
      <c r="T245">
        <f>AND(Q245,R245,S245)</f>
        <v/>
      </c>
      <c r="U245">
        <f>IF(T245,IF(AND(설정!$A$54&lt;&gt;"",ISNUMBER(SEARCH(설정!$A$54,K245))),설정!$B$54,IF(AND(설정!$A$55&lt;&gt;"",ISNUMBER(SEARCH(설정!$A$55,K245))),설정!$B$55,IF(AND(설정!$A$56&lt;&gt;"",ISNUMBER(SEARCH(설정!$A$56,K245))),설정!$B$56,IF(AND(설정!$A$57&lt;&gt;"",ISNUMBER(SEARCH(설정!$A$57,K245))),설정!$B$57,IF(AND(설정!$A$58&lt;&gt;"",ISNUMBER(SEARCH(설정!$A$58,K245))),설정!$B$58,IF(AND(설정!$A$59&lt;&gt;"",ISNUMBER(SEARCH(설정!$A$59,K245))),설정!$B$59,IF(AND(설정!$A$60&lt;&gt;"",ISNUMBER(SEARCH(설정!$A$60,K245))),설정!$B$60,IF(AND(설정!$A$61&lt;&gt;"",ISNUMBER(SEARCH(설정!$A$61,K245))),설정!$B$61,IF(M245="","설계사","시공사"))))))))),"")</f>
        <v/>
      </c>
      <c r="V245">
        <f>SUBSTITUTE(SUBSTITUTE(SUBSTITUTE(SUBSTITUTE(G245,"(주)",""),"㈜",""),"주식회사","")," ","")</f>
        <v/>
      </c>
      <c r="W245">
        <f>IF(AND(T245,V245&lt;&gt;""),IF(COUNTIFS(V$2:V245,V245,T$2:T245,TRUE)=1,MAX(W$1:W244)+1,""),"")</f>
        <v/>
      </c>
      <c r="X245">
        <f>IF(설정!$C$14="","",IFERROR(INDEX('1.산군_붙여넣기'!$A$1:$AZ$1001,ROW(),설정!$C$14)&amp;"",""))</f>
        <v/>
      </c>
      <c r="Y245">
        <f>IF(설정!$C$15="","",IFERROR(INDEX('1.산군_붙여넣기'!$A$1:$AZ$1001,ROW(),설정!$C$15)&amp;"",""))</f>
        <v/>
      </c>
      <c r="Z245">
        <f>IF(T245,V245&amp;"|"&amp;U245,"")</f>
        <v/>
      </c>
      <c r="AA245">
        <f>IF(NOT(Q245),"",IF(NOT(AND(R245,S245)),"✕",IF(OR(OR(AND(L245&lt;&gt;"",M245&lt;&gt;"",N(M245)-N(L245)&gt;설정!$B$27),AND(L245&lt;&gt;"",M245="",설정!$B$24-N(L245)&gt;설정!$B$27)),AND(D245&lt;&gt;"",D245&lt;설정!$B$26)),"△","★")))</f>
        <v/>
      </c>
      <c r="AB245">
        <f>IF(NOT(T245),"",IF(U245="설계사",설정!$B$31,IF(U245="시공사",IF(OR(M245="",설정!$B$24-N(M245)&lt;=설정!$B$28*30.4),설정!$B$32,설정!$B$33),설정!$B$34))+IF(AA245="★",설정!$B$35,0))</f>
        <v/>
      </c>
      <c r="AC245">
        <f>SUBSTITUTE(SUBSTITUTE(SUBSTITUTE(SUBSTITUTE(H245,"(주)",""),"㈜",""),"주식회사","")," ","")</f>
        <v/>
      </c>
      <c r="AD245">
        <f>IF(AND(T245,AC245&lt;&gt;""),IF(COUNTIFS(AC$2:AC245,AC245,T$2:T245,TRUE)=1,MAX(AD$1:AD244)+1,""),"")</f>
        <v/>
      </c>
    </row>
    <row r="246">
      <c r="A246">
        <f>ROW()</f>
        <v/>
      </c>
      <c r="B246">
        <f>IF(설정!$C$4="","",IFERROR(INDEX('1.산군_붙여넣기'!$A$1:$AZ$1001,ROW(),설정!$C$4)&amp;"",""))</f>
        <v/>
      </c>
      <c r="C246">
        <f>IF(설정!$C$5="","",IFERROR(INDEX('1.산군_붙여넣기'!$A$1:$AZ$1001,ROW(),설정!$C$5)&amp;"",""))</f>
        <v/>
      </c>
      <c r="D246" s="5">
        <f>IFERROR(VALUE(SUBSTITUTE(SUBSTITUTE(SUBSTITUTE(IF(설정!$C$6="","",IFERROR(INDEX('1.산군_붙여넣기'!$A$1:$AZ$1001,ROW(),설정!$C$6)&amp;"","")),",",""),"㎡",""),"m2","")),"")</f>
        <v/>
      </c>
      <c r="E246">
        <f>IF(설정!$C$7="","",IFERROR(INDEX('1.산군_붙여넣기'!$A$1:$AZ$1001,ROW(),설정!$C$7)&amp;"",""))</f>
        <v/>
      </c>
      <c r="F246">
        <f>IF(설정!$C$8="","",IFERROR(INDEX('1.산군_붙여넣기'!$A$1:$AZ$1001,ROW(),설정!$C$8)&amp;"",""))</f>
        <v/>
      </c>
      <c r="G246">
        <f>IF(설정!$C$9="","",IFERROR(INDEX('1.산군_붙여넣기'!$A$1:$AZ$1001,ROW(),설정!$C$9)&amp;"",""))</f>
        <v/>
      </c>
      <c r="H246">
        <f>IF(설정!$C$10="","",IFERROR(INDEX('1.산군_붙여넣기'!$A$1:$AZ$1001,ROW(),설정!$C$10)&amp;"",""))</f>
        <v/>
      </c>
      <c r="I246">
        <f>IF(설정!$C$11="","",IFERROR(INDEX('1.산군_붙여넣기'!$A$1:$AZ$1001,ROW(),설정!$C$11)&amp;"",""))</f>
        <v/>
      </c>
      <c r="J246">
        <f>IF(설정!$C$12="","",IFERROR(INDEX('1.산군_붙여넣기'!$A$1:$AZ$1001,ROW(),설정!$C$12)&amp;"",""))</f>
        <v/>
      </c>
      <c r="K246">
        <f>IF(설정!$C$13="","",IFERROR(INDEX('1.산군_붙여넣기'!$A$1:$AZ$1001,ROW(),설정!$C$13)&amp;"",""))</f>
        <v/>
      </c>
      <c r="L246" s="7">
        <f>IF(X246="","",IF(AND(LEN(X246)=8,ISNUMBER(X246*1)),DATE(LEFT(X246,4),MID(X246,5,2),RIGHT(X246,2)),IFERROR(DATEVALUE(SUBSTITUTE(SUBSTITUTE(X246,".","-"),"/","-")),IFERROR(X246*1,""))))</f>
        <v/>
      </c>
      <c r="M246" s="7">
        <f>IF(Y246="","",IF(AND(LEN(Y246)=8,ISNUMBER(Y246*1)),DATE(LEFT(Y246,4),MID(Y246,5,2),RIGHT(Y246,2)),IFERROR(DATEVALUE(SUBSTITUTE(SUBSTITUTE(Y246,".","-"),"/","-")),IFERROR(Y246*1,""))))</f>
        <v/>
      </c>
      <c r="N246">
        <f>IFERROR(LEFT(B246,FIND(" ",B246)-1),B246)</f>
        <v/>
      </c>
      <c r="O246">
        <f>AND(B246&lt;&gt;"",B246&lt;&gt;설정!$B$4,C246&lt;&gt;설정!$B$5)</f>
        <v/>
      </c>
      <c r="P246">
        <f>IF(O246,B246&amp;"|"&amp;C246,"")</f>
        <v/>
      </c>
      <c r="Q246">
        <f>AND(O246,COUNTIF(P247:P$1002,P246)=0)</f>
        <v/>
      </c>
      <c r="R246">
        <f>OR(AND(설정!$A$42&lt;&gt;"",ISNUMBER(SEARCH(설정!$A$42,E246&amp;" "&amp;C246))),AND(설정!$A$43&lt;&gt;"",ISNUMBER(SEARCH(설정!$A$43,E246&amp;" "&amp;C246))),AND(설정!$A$44&lt;&gt;"",ISNUMBER(SEARCH(설정!$A$44,E246&amp;" "&amp;C246))),AND(설정!$A$45&lt;&gt;"",ISNUMBER(SEARCH(설정!$A$45,E246&amp;" "&amp;C246))),AND(설정!$A$46&lt;&gt;"",ISNUMBER(SEARCH(설정!$A$46,E246&amp;" "&amp;C246))),AND(설정!$A$47&lt;&gt;"",ISNUMBER(SEARCH(설정!$A$47,E246&amp;" "&amp;C246))),AND(설정!$A$48&lt;&gt;"",ISNUMBER(SEARCH(설정!$A$48,E246&amp;" "&amp;C246))),AND(설정!$A$49&lt;&gt;"",ISNUMBER(SEARCH(설정!$A$49,E246&amp;" "&amp;C246))),AND(설정!$A$50&lt;&gt;"",ISNUMBER(SEARCH(설정!$A$50,E246&amp;" "&amp;C246))),AND(설정!$A$51&lt;&gt;"",ISNUMBER(SEARCH(설정!$A$51,E246&amp;" "&amp;C246))))</f>
        <v/>
      </c>
      <c r="S246">
        <f>OR(D246="",D246&gt;=설정!$B$19)</f>
        <v/>
      </c>
      <c r="T246">
        <f>AND(Q246,R246,S246)</f>
        <v/>
      </c>
      <c r="U246">
        <f>IF(T246,IF(AND(설정!$A$54&lt;&gt;"",ISNUMBER(SEARCH(설정!$A$54,K246))),설정!$B$54,IF(AND(설정!$A$55&lt;&gt;"",ISNUMBER(SEARCH(설정!$A$55,K246))),설정!$B$55,IF(AND(설정!$A$56&lt;&gt;"",ISNUMBER(SEARCH(설정!$A$56,K246))),설정!$B$56,IF(AND(설정!$A$57&lt;&gt;"",ISNUMBER(SEARCH(설정!$A$57,K246))),설정!$B$57,IF(AND(설정!$A$58&lt;&gt;"",ISNUMBER(SEARCH(설정!$A$58,K246))),설정!$B$58,IF(AND(설정!$A$59&lt;&gt;"",ISNUMBER(SEARCH(설정!$A$59,K246))),설정!$B$59,IF(AND(설정!$A$60&lt;&gt;"",ISNUMBER(SEARCH(설정!$A$60,K246))),설정!$B$60,IF(AND(설정!$A$61&lt;&gt;"",ISNUMBER(SEARCH(설정!$A$61,K246))),설정!$B$61,IF(M246="","설계사","시공사"))))))))),"")</f>
        <v/>
      </c>
      <c r="V246">
        <f>SUBSTITUTE(SUBSTITUTE(SUBSTITUTE(SUBSTITUTE(G246,"(주)",""),"㈜",""),"주식회사","")," ","")</f>
        <v/>
      </c>
      <c r="W246">
        <f>IF(AND(T246,V246&lt;&gt;""),IF(COUNTIFS(V$2:V246,V246,T$2:T246,TRUE)=1,MAX(W$1:W245)+1,""),"")</f>
        <v/>
      </c>
      <c r="X246">
        <f>IF(설정!$C$14="","",IFERROR(INDEX('1.산군_붙여넣기'!$A$1:$AZ$1001,ROW(),설정!$C$14)&amp;"",""))</f>
        <v/>
      </c>
      <c r="Y246">
        <f>IF(설정!$C$15="","",IFERROR(INDEX('1.산군_붙여넣기'!$A$1:$AZ$1001,ROW(),설정!$C$15)&amp;"",""))</f>
        <v/>
      </c>
      <c r="Z246">
        <f>IF(T246,V246&amp;"|"&amp;U246,"")</f>
        <v/>
      </c>
      <c r="AA246">
        <f>IF(NOT(Q246),"",IF(NOT(AND(R246,S246)),"✕",IF(OR(OR(AND(L246&lt;&gt;"",M246&lt;&gt;"",N(M246)-N(L246)&gt;설정!$B$27),AND(L246&lt;&gt;"",M246="",설정!$B$24-N(L246)&gt;설정!$B$27)),AND(D246&lt;&gt;"",D246&lt;설정!$B$26)),"△","★")))</f>
        <v/>
      </c>
      <c r="AB246">
        <f>IF(NOT(T246),"",IF(U246="설계사",설정!$B$31,IF(U246="시공사",IF(OR(M246="",설정!$B$24-N(M246)&lt;=설정!$B$28*30.4),설정!$B$32,설정!$B$33),설정!$B$34))+IF(AA246="★",설정!$B$35,0))</f>
        <v/>
      </c>
      <c r="AC246">
        <f>SUBSTITUTE(SUBSTITUTE(SUBSTITUTE(SUBSTITUTE(H246,"(주)",""),"㈜",""),"주식회사","")," ","")</f>
        <v/>
      </c>
      <c r="AD246">
        <f>IF(AND(T246,AC246&lt;&gt;""),IF(COUNTIFS(AC$2:AC246,AC246,T$2:T246,TRUE)=1,MAX(AD$1:AD245)+1,""),"")</f>
        <v/>
      </c>
    </row>
    <row r="247">
      <c r="A247">
        <f>ROW()</f>
        <v/>
      </c>
      <c r="B247">
        <f>IF(설정!$C$4="","",IFERROR(INDEX('1.산군_붙여넣기'!$A$1:$AZ$1001,ROW(),설정!$C$4)&amp;"",""))</f>
        <v/>
      </c>
      <c r="C247">
        <f>IF(설정!$C$5="","",IFERROR(INDEX('1.산군_붙여넣기'!$A$1:$AZ$1001,ROW(),설정!$C$5)&amp;"",""))</f>
        <v/>
      </c>
      <c r="D247" s="5">
        <f>IFERROR(VALUE(SUBSTITUTE(SUBSTITUTE(SUBSTITUTE(IF(설정!$C$6="","",IFERROR(INDEX('1.산군_붙여넣기'!$A$1:$AZ$1001,ROW(),설정!$C$6)&amp;"","")),",",""),"㎡",""),"m2","")),"")</f>
        <v/>
      </c>
      <c r="E247">
        <f>IF(설정!$C$7="","",IFERROR(INDEX('1.산군_붙여넣기'!$A$1:$AZ$1001,ROW(),설정!$C$7)&amp;"",""))</f>
        <v/>
      </c>
      <c r="F247">
        <f>IF(설정!$C$8="","",IFERROR(INDEX('1.산군_붙여넣기'!$A$1:$AZ$1001,ROW(),설정!$C$8)&amp;"",""))</f>
        <v/>
      </c>
      <c r="G247">
        <f>IF(설정!$C$9="","",IFERROR(INDEX('1.산군_붙여넣기'!$A$1:$AZ$1001,ROW(),설정!$C$9)&amp;"",""))</f>
        <v/>
      </c>
      <c r="H247">
        <f>IF(설정!$C$10="","",IFERROR(INDEX('1.산군_붙여넣기'!$A$1:$AZ$1001,ROW(),설정!$C$10)&amp;"",""))</f>
        <v/>
      </c>
      <c r="I247">
        <f>IF(설정!$C$11="","",IFERROR(INDEX('1.산군_붙여넣기'!$A$1:$AZ$1001,ROW(),설정!$C$11)&amp;"",""))</f>
        <v/>
      </c>
      <c r="J247">
        <f>IF(설정!$C$12="","",IFERROR(INDEX('1.산군_붙여넣기'!$A$1:$AZ$1001,ROW(),설정!$C$12)&amp;"",""))</f>
        <v/>
      </c>
      <c r="K247">
        <f>IF(설정!$C$13="","",IFERROR(INDEX('1.산군_붙여넣기'!$A$1:$AZ$1001,ROW(),설정!$C$13)&amp;"",""))</f>
        <v/>
      </c>
      <c r="L247" s="7">
        <f>IF(X247="","",IF(AND(LEN(X247)=8,ISNUMBER(X247*1)),DATE(LEFT(X247,4),MID(X247,5,2),RIGHT(X247,2)),IFERROR(DATEVALUE(SUBSTITUTE(SUBSTITUTE(X247,".","-"),"/","-")),IFERROR(X247*1,""))))</f>
        <v/>
      </c>
      <c r="M247" s="7">
        <f>IF(Y247="","",IF(AND(LEN(Y247)=8,ISNUMBER(Y247*1)),DATE(LEFT(Y247,4),MID(Y247,5,2),RIGHT(Y247,2)),IFERROR(DATEVALUE(SUBSTITUTE(SUBSTITUTE(Y247,".","-"),"/","-")),IFERROR(Y247*1,""))))</f>
        <v/>
      </c>
      <c r="N247">
        <f>IFERROR(LEFT(B247,FIND(" ",B247)-1),B247)</f>
        <v/>
      </c>
      <c r="O247">
        <f>AND(B247&lt;&gt;"",B247&lt;&gt;설정!$B$4,C247&lt;&gt;설정!$B$5)</f>
        <v/>
      </c>
      <c r="P247">
        <f>IF(O247,B247&amp;"|"&amp;C247,"")</f>
        <v/>
      </c>
      <c r="Q247">
        <f>AND(O247,COUNTIF(P248:P$1002,P247)=0)</f>
        <v/>
      </c>
      <c r="R247">
        <f>OR(AND(설정!$A$42&lt;&gt;"",ISNUMBER(SEARCH(설정!$A$42,E247&amp;" "&amp;C247))),AND(설정!$A$43&lt;&gt;"",ISNUMBER(SEARCH(설정!$A$43,E247&amp;" "&amp;C247))),AND(설정!$A$44&lt;&gt;"",ISNUMBER(SEARCH(설정!$A$44,E247&amp;" "&amp;C247))),AND(설정!$A$45&lt;&gt;"",ISNUMBER(SEARCH(설정!$A$45,E247&amp;" "&amp;C247))),AND(설정!$A$46&lt;&gt;"",ISNUMBER(SEARCH(설정!$A$46,E247&amp;" "&amp;C247))),AND(설정!$A$47&lt;&gt;"",ISNUMBER(SEARCH(설정!$A$47,E247&amp;" "&amp;C247))),AND(설정!$A$48&lt;&gt;"",ISNUMBER(SEARCH(설정!$A$48,E247&amp;" "&amp;C247))),AND(설정!$A$49&lt;&gt;"",ISNUMBER(SEARCH(설정!$A$49,E247&amp;" "&amp;C247))),AND(설정!$A$50&lt;&gt;"",ISNUMBER(SEARCH(설정!$A$50,E247&amp;" "&amp;C247))),AND(설정!$A$51&lt;&gt;"",ISNUMBER(SEARCH(설정!$A$51,E247&amp;" "&amp;C247))))</f>
        <v/>
      </c>
      <c r="S247">
        <f>OR(D247="",D247&gt;=설정!$B$19)</f>
        <v/>
      </c>
      <c r="T247">
        <f>AND(Q247,R247,S247)</f>
        <v/>
      </c>
      <c r="U247">
        <f>IF(T247,IF(AND(설정!$A$54&lt;&gt;"",ISNUMBER(SEARCH(설정!$A$54,K247))),설정!$B$54,IF(AND(설정!$A$55&lt;&gt;"",ISNUMBER(SEARCH(설정!$A$55,K247))),설정!$B$55,IF(AND(설정!$A$56&lt;&gt;"",ISNUMBER(SEARCH(설정!$A$56,K247))),설정!$B$56,IF(AND(설정!$A$57&lt;&gt;"",ISNUMBER(SEARCH(설정!$A$57,K247))),설정!$B$57,IF(AND(설정!$A$58&lt;&gt;"",ISNUMBER(SEARCH(설정!$A$58,K247))),설정!$B$58,IF(AND(설정!$A$59&lt;&gt;"",ISNUMBER(SEARCH(설정!$A$59,K247))),설정!$B$59,IF(AND(설정!$A$60&lt;&gt;"",ISNUMBER(SEARCH(설정!$A$60,K247))),설정!$B$60,IF(AND(설정!$A$61&lt;&gt;"",ISNUMBER(SEARCH(설정!$A$61,K247))),설정!$B$61,IF(M247="","설계사","시공사"))))))))),"")</f>
        <v/>
      </c>
      <c r="V247">
        <f>SUBSTITUTE(SUBSTITUTE(SUBSTITUTE(SUBSTITUTE(G247,"(주)",""),"㈜",""),"주식회사","")," ","")</f>
        <v/>
      </c>
      <c r="W247">
        <f>IF(AND(T247,V247&lt;&gt;""),IF(COUNTIFS(V$2:V247,V247,T$2:T247,TRUE)=1,MAX(W$1:W246)+1,""),"")</f>
        <v/>
      </c>
      <c r="X247">
        <f>IF(설정!$C$14="","",IFERROR(INDEX('1.산군_붙여넣기'!$A$1:$AZ$1001,ROW(),설정!$C$14)&amp;"",""))</f>
        <v/>
      </c>
      <c r="Y247">
        <f>IF(설정!$C$15="","",IFERROR(INDEX('1.산군_붙여넣기'!$A$1:$AZ$1001,ROW(),설정!$C$15)&amp;"",""))</f>
        <v/>
      </c>
      <c r="Z247">
        <f>IF(T247,V247&amp;"|"&amp;U247,"")</f>
        <v/>
      </c>
      <c r="AA247">
        <f>IF(NOT(Q247),"",IF(NOT(AND(R247,S247)),"✕",IF(OR(OR(AND(L247&lt;&gt;"",M247&lt;&gt;"",N(M247)-N(L247)&gt;설정!$B$27),AND(L247&lt;&gt;"",M247="",설정!$B$24-N(L247)&gt;설정!$B$27)),AND(D247&lt;&gt;"",D247&lt;설정!$B$26)),"△","★")))</f>
        <v/>
      </c>
      <c r="AB247">
        <f>IF(NOT(T247),"",IF(U247="설계사",설정!$B$31,IF(U247="시공사",IF(OR(M247="",설정!$B$24-N(M247)&lt;=설정!$B$28*30.4),설정!$B$32,설정!$B$33),설정!$B$34))+IF(AA247="★",설정!$B$35,0))</f>
        <v/>
      </c>
      <c r="AC247">
        <f>SUBSTITUTE(SUBSTITUTE(SUBSTITUTE(SUBSTITUTE(H247,"(주)",""),"㈜",""),"주식회사","")," ","")</f>
        <v/>
      </c>
      <c r="AD247">
        <f>IF(AND(T247,AC247&lt;&gt;""),IF(COUNTIFS(AC$2:AC247,AC247,T$2:T247,TRUE)=1,MAX(AD$1:AD246)+1,""),"")</f>
        <v/>
      </c>
    </row>
    <row r="248">
      <c r="A248">
        <f>ROW()</f>
        <v/>
      </c>
      <c r="B248">
        <f>IF(설정!$C$4="","",IFERROR(INDEX('1.산군_붙여넣기'!$A$1:$AZ$1001,ROW(),설정!$C$4)&amp;"",""))</f>
        <v/>
      </c>
      <c r="C248">
        <f>IF(설정!$C$5="","",IFERROR(INDEX('1.산군_붙여넣기'!$A$1:$AZ$1001,ROW(),설정!$C$5)&amp;"",""))</f>
        <v/>
      </c>
      <c r="D248" s="5">
        <f>IFERROR(VALUE(SUBSTITUTE(SUBSTITUTE(SUBSTITUTE(IF(설정!$C$6="","",IFERROR(INDEX('1.산군_붙여넣기'!$A$1:$AZ$1001,ROW(),설정!$C$6)&amp;"","")),",",""),"㎡",""),"m2","")),"")</f>
        <v/>
      </c>
      <c r="E248">
        <f>IF(설정!$C$7="","",IFERROR(INDEX('1.산군_붙여넣기'!$A$1:$AZ$1001,ROW(),설정!$C$7)&amp;"",""))</f>
        <v/>
      </c>
      <c r="F248">
        <f>IF(설정!$C$8="","",IFERROR(INDEX('1.산군_붙여넣기'!$A$1:$AZ$1001,ROW(),설정!$C$8)&amp;"",""))</f>
        <v/>
      </c>
      <c r="G248">
        <f>IF(설정!$C$9="","",IFERROR(INDEX('1.산군_붙여넣기'!$A$1:$AZ$1001,ROW(),설정!$C$9)&amp;"",""))</f>
        <v/>
      </c>
      <c r="H248">
        <f>IF(설정!$C$10="","",IFERROR(INDEX('1.산군_붙여넣기'!$A$1:$AZ$1001,ROW(),설정!$C$10)&amp;"",""))</f>
        <v/>
      </c>
      <c r="I248">
        <f>IF(설정!$C$11="","",IFERROR(INDEX('1.산군_붙여넣기'!$A$1:$AZ$1001,ROW(),설정!$C$11)&amp;"",""))</f>
        <v/>
      </c>
      <c r="J248">
        <f>IF(설정!$C$12="","",IFERROR(INDEX('1.산군_붙여넣기'!$A$1:$AZ$1001,ROW(),설정!$C$12)&amp;"",""))</f>
        <v/>
      </c>
      <c r="K248">
        <f>IF(설정!$C$13="","",IFERROR(INDEX('1.산군_붙여넣기'!$A$1:$AZ$1001,ROW(),설정!$C$13)&amp;"",""))</f>
        <v/>
      </c>
      <c r="L248" s="7">
        <f>IF(X248="","",IF(AND(LEN(X248)=8,ISNUMBER(X248*1)),DATE(LEFT(X248,4),MID(X248,5,2),RIGHT(X248,2)),IFERROR(DATEVALUE(SUBSTITUTE(SUBSTITUTE(X248,".","-"),"/","-")),IFERROR(X248*1,""))))</f>
        <v/>
      </c>
      <c r="M248" s="7">
        <f>IF(Y248="","",IF(AND(LEN(Y248)=8,ISNUMBER(Y248*1)),DATE(LEFT(Y248,4),MID(Y248,5,2),RIGHT(Y248,2)),IFERROR(DATEVALUE(SUBSTITUTE(SUBSTITUTE(Y248,".","-"),"/","-")),IFERROR(Y248*1,""))))</f>
        <v/>
      </c>
      <c r="N248">
        <f>IFERROR(LEFT(B248,FIND(" ",B248)-1),B248)</f>
        <v/>
      </c>
      <c r="O248">
        <f>AND(B248&lt;&gt;"",B248&lt;&gt;설정!$B$4,C248&lt;&gt;설정!$B$5)</f>
        <v/>
      </c>
      <c r="P248">
        <f>IF(O248,B248&amp;"|"&amp;C248,"")</f>
        <v/>
      </c>
      <c r="Q248">
        <f>AND(O248,COUNTIF(P249:P$1002,P248)=0)</f>
        <v/>
      </c>
      <c r="R248">
        <f>OR(AND(설정!$A$42&lt;&gt;"",ISNUMBER(SEARCH(설정!$A$42,E248&amp;" "&amp;C248))),AND(설정!$A$43&lt;&gt;"",ISNUMBER(SEARCH(설정!$A$43,E248&amp;" "&amp;C248))),AND(설정!$A$44&lt;&gt;"",ISNUMBER(SEARCH(설정!$A$44,E248&amp;" "&amp;C248))),AND(설정!$A$45&lt;&gt;"",ISNUMBER(SEARCH(설정!$A$45,E248&amp;" "&amp;C248))),AND(설정!$A$46&lt;&gt;"",ISNUMBER(SEARCH(설정!$A$46,E248&amp;" "&amp;C248))),AND(설정!$A$47&lt;&gt;"",ISNUMBER(SEARCH(설정!$A$47,E248&amp;" "&amp;C248))),AND(설정!$A$48&lt;&gt;"",ISNUMBER(SEARCH(설정!$A$48,E248&amp;" "&amp;C248))),AND(설정!$A$49&lt;&gt;"",ISNUMBER(SEARCH(설정!$A$49,E248&amp;" "&amp;C248))),AND(설정!$A$50&lt;&gt;"",ISNUMBER(SEARCH(설정!$A$50,E248&amp;" "&amp;C248))),AND(설정!$A$51&lt;&gt;"",ISNUMBER(SEARCH(설정!$A$51,E248&amp;" "&amp;C248))))</f>
        <v/>
      </c>
      <c r="S248">
        <f>OR(D248="",D248&gt;=설정!$B$19)</f>
        <v/>
      </c>
      <c r="T248">
        <f>AND(Q248,R248,S248)</f>
        <v/>
      </c>
      <c r="U248">
        <f>IF(T248,IF(AND(설정!$A$54&lt;&gt;"",ISNUMBER(SEARCH(설정!$A$54,K248))),설정!$B$54,IF(AND(설정!$A$55&lt;&gt;"",ISNUMBER(SEARCH(설정!$A$55,K248))),설정!$B$55,IF(AND(설정!$A$56&lt;&gt;"",ISNUMBER(SEARCH(설정!$A$56,K248))),설정!$B$56,IF(AND(설정!$A$57&lt;&gt;"",ISNUMBER(SEARCH(설정!$A$57,K248))),설정!$B$57,IF(AND(설정!$A$58&lt;&gt;"",ISNUMBER(SEARCH(설정!$A$58,K248))),설정!$B$58,IF(AND(설정!$A$59&lt;&gt;"",ISNUMBER(SEARCH(설정!$A$59,K248))),설정!$B$59,IF(AND(설정!$A$60&lt;&gt;"",ISNUMBER(SEARCH(설정!$A$60,K248))),설정!$B$60,IF(AND(설정!$A$61&lt;&gt;"",ISNUMBER(SEARCH(설정!$A$61,K248))),설정!$B$61,IF(M248="","설계사","시공사"))))))))),"")</f>
        <v/>
      </c>
      <c r="V248">
        <f>SUBSTITUTE(SUBSTITUTE(SUBSTITUTE(SUBSTITUTE(G248,"(주)",""),"㈜",""),"주식회사","")," ","")</f>
        <v/>
      </c>
      <c r="W248">
        <f>IF(AND(T248,V248&lt;&gt;""),IF(COUNTIFS(V$2:V248,V248,T$2:T248,TRUE)=1,MAX(W$1:W247)+1,""),"")</f>
        <v/>
      </c>
      <c r="X248">
        <f>IF(설정!$C$14="","",IFERROR(INDEX('1.산군_붙여넣기'!$A$1:$AZ$1001,ROW(),설정!$C$14)&amp;"",""))</f>
        <v/>
      </c>
      <c r="Y248">
        <f>IF(설정!$C$15="","",IFERROR(INDEX('1.산군_붙여넣기'!$A$1:$AZ$1001,ROW(),설정!$C$15)&amp;"",""))</f>
        <v/>
      </c>
      <c r="Z248">
        <f>IF(T248,V248&amp;"|"&amp;U248,"")</f>
        <v/>
      </c>
      <c r="AA248">
        <f>IF(NOT(Q248),"",IF(NOT(AND(R248,S248)),"✕",IF(OR(OR(AND(L248&lt;&gt;"",M248&lt;&gt;"",N(M248)-N(L248)&gt;설정!$B$27),AND(L248&lt;&gt;"",M248="",설정!$B$24-N(L248)&gt;설정!$B$27)),AND(D248&lt;&gt;"",D248&lt;설정!$B$26)),"△","★")))</f>
        <v/>
      </c>
      <c r="AB248">
        <f>IF(NOT(T248),"",IF(U248="설계사",설정!$B$31,IF(U248="시공사",IF(OR(M248="",설정!$B$24-N(M248)&lt;=설정!$B$28*30.4),설정!$B$32,설정!$B$33),설정!$B$34))+IF(AA248="★",설정!$B$35,0))</f>
        <v/>
      </c>
      <c r="AC248">
        <f>SUBSTITUTE(SUBSTITUTE(SUBSTITUTE(SUBSTITUTE(H248,"(주)",""),"㈜",""),"주식회사","")," ","")</f>
        <v/>
      </c>
      <c r="AD248">
        <f>IF(AND(T248,AC248&lt;&gt;""),IF(COUNTIFS(AC$2:AC248,AC248,T$2:T248,TRUE)=1,MAX(AD$1:AD247)+1,""),"")</f>
        <v/>
      </c>
    </row>
    <row r="249">
      <c r="A249">
        <f>ROW()</f>
        <v/>
      </c>
      <c r="B249">
        <f>IF(설정!$C$4="","",IFERROR(INDEX('1.산군_붙여넣기'!$A$1:$AZ$1001,ROW(),설정!$C$4)&amp;"",""))</f>
        <v/>
      </c>
      <c r="C249">
        <f>IF(설정!$C$5="","",IFERROR(INDEX('1.산군_붙여넣기'!$A$1:$AZ$1001,ROW(),설정!$C$5)&amp;"",""))</f>
        <v/>
      </c>
      <c r="D249" s="5">
        <f>IFERROR(VALUE(SUBSTITUTE(SUBSTITUTE(SUBSTITUTE(IF(설정!$C$6="","",IFERROR(INDEX('1.산군_붙여넣기'!$A$1:$AZ$1001,ROW(),설정!$C$6)&amp;"","")),",",""),"㎡",""),"m2","")),"")</f>
        <v/>
      </c>
      <c r="E249">
        <f>IF(설정!$C$7="","",IFERROR(INDEX('1.산군_붙여넣기'!$A$1:$AZ$1001,ROW(),설정!$C$7)&amp;"",""))</f>
        <v/>
      </c>
      <c r="F249">
        <f>IF(설정!$C$8="","",IFERROR(INDEX('1.산군_붙여넣기'!$A$1:$AZ$1001,ROW(),설정!$C$8)&amp;"",""))</f>
        <v/>
      </c>
      <c r="G249">
        <f>IF(설정!$C$9="","",IFERROR(INDEX('1.산군_붙여넣기'!$A$1:$AZ$1001,ROW(),설정!$C$9)&amp;"",""))</f>
        <v/>
      </c>
      <c r="H249">
        <f>IF(설정!$C$10="","",IFERROR(INDEX('1.산군_붙여넣기'!$A$1:$AZ$1001,ROW(),설정!$C$10)&amp;"",""))</f>
        <v/>
      </c>
      <c r="I249">
        <f>IF(설정!$C$11="","",IFERROR(INDEX('1.산군_붙여넣기'!$A$1:$AZ$1001,ROW(),설정!$C$11)&amp;"",""))</f>
        <v/>
      </c>
      <c r="J249">
        <f>IF(설정!$C$12="","",IFERROR(INDEX('1.산군_붙여넣기'!$A$1:$AZ$1001,ROW(),설정!$C$12)&amp;"",""))</f>
        <v/>
      </c>
      <c r="K249">
        <f>IF(설정!$C$13="","",IFERROR(INDEX('1.산군_붙여넣기'!$A$1:$AZ$1001,ROW(),설정!$C$13)&amp;"",""))</f>
        <v/>
      </c>
      <c r="L249" s="7">
        <f>IF(X249="","",IF(AND(LEN(X249)=8,ISNUMBER(X249*1)),DATE(LEFT(X249,4),MID(X249,5,2),RIGHT(X249,2)),IFERROR(DATEVALUE(SUBSTITUTE(SUBSTITUTE(X249,".","-"),"/","-")),IFERROR(X249*1,""))))</f>
        <v/>
      </c>
      <c r="M249" s="7">
        <f>IF(Y249="","",IF(AND(LEN(Y249)=8,ISNUMBER(Y249*1)),DATE(LEFT(Y249,4),MID(Y249,5,2),RIGHT(Y249,2)),IFERROR(DATEVALUE(SUBSTITUTE(SUBSTITUTE(Y249,".","-"),"/","-")),IFERROR(Y249*1,""))))</f>
        <v/>
      </c>
      <c r="N249">
        <f>IFERROR(LEFT(B249,FIND(" ",B249)-1),B249)</f>
        <v/>
      </c>
      <c r="O249">
        <f>AND(B249&lt;&gt;"",B249&lt;&gt;설정!$B$4,C249&lt;&gt;설정!$B$5)</f>
        <v/>
      </c>
      <c r="P249">
        <f>IF(O249,B249&amp;"|"&amp;C249,"")</f>
        <v/>
      </c>
      <c r="Q249">
        <f>AND(O249,COUNTIF(P250:P$1002,P249)=0)</f>
        <v/>
      </c>
      <c r="R249">
        <f>OR(AND(설정!$A$42&lt;&gt;"",ISNUMBER(SEARCH(설정!$A$42,E249&amp;" "&amp;C249))),AND(설정!$A$43&lt;&gt;"",ISNUMBER(SEARCH(설정!$A$43,E249&amp;" "&amp;C249))),AND(설정!$A$44&lt;&gt;"",ISNUMBER(SEARCH(설정!$A$44,E249&amp;" "&amp;C249))),AND(설정!$A$45&lt;&gt;"",ISNUMBER(SEARCH(설정!$A$45,E249&amp;" "&amp;C249))),AND(설정!$A$46&lt;&gt;"",ISNUMBER(SEARCH(설정!$A$46,E249&amp;" "&amp;C249))),AND(설정!$A$47&lt;&gt;"",ISNUMBER(SEARCH(설정!$A$47,E249&amp;" "&amp;C249))),AND(설정!$A$48&lt;&gt;"",ISNUMBER(SEARCH(설정!$A$48,E249&amp;" "&amp;C249))),AND(설정!$A$49&lt;&gt;"",ISNUMBER(SEARCH(설정!$A$49,E249&amp;" "&amp;C249))),AND(설정!$A$50&lt;&gt;"",ISNUMBER(SEARCH(설정!$A$50,E249&amp;" "&amp;C249))),AND(설정!$A$51&lt;&gt;"",ISNUMBER(SEARCH(설정!$A$51,E249&amp;" "&amp;C249))))</f>
        <v/>
      </c>
      <c r="S249">
        <f>OR(D249="",D249&gt;=설정!$B$19)</f>
        <v/>
      </c>
      <c r="T249">
        <f>AND(Q249,R249,S249)</f>
        <v/>
      </c>
      <c r="U249">
        <f>IF(T249,IF(AND(설정!$A$54&lt;&gt;"",ISNUMBER(SEARCH(설정!$A$54,K249))),설정!$B$54,IF(AND(설정!$A$55&lt;&gt;"",ISNUMBER(SEARCH(설정!$A$55,K249))),설정!$B$55,IF(AND(설정!$A$56&lt;&gt;"",ISNUMBER(SEARCH(설정!$A$56,K249))),설정!$B$56,IF(AND(설정!$A$57&lt;&gt;"",ISNUMBER(SEARCH(설정!$A$57,K249))),설정!$B$57,IF(AND(설정!$A$58&lt;&gt;"",ISNUMBER(SEARCH(설정!$A$58,K249))),설정!$B$58,IF(AND(설정!$A$59&lt;&gt;"",ISNUMBER(SEARCH(설정!$A$59,K249))),설정!$B$59,IF(AND(설정!$A$60&lt;&gt;"",ISNUMBER(SEARCH(설정!$A$60,K249))),설정!$B$60,IF(AND(설정!$A$61&lt;&gt;"",ISNUMBER(SEARCH(설정!$A$61,K249))),설정!$B$61,IF(M249="","설계사","시공사"))))))))),"")</f>
        <v/>
      </c>
      <c r="V249">
        <f>SUBSTITUTE(SUBSTITUTE(SUBSTITUTE(SUBSTITUTE(G249,"(주)",""),"㈜",""),"주식회사","")," ","")</f>
        <v/>
      </c>
      <c r="W249">
        <f>IF(AND(T249,V249&lt;&gt;""),IF(COUNTIFS(V$2:V249,V249,T$2:T249,TRUE)=1,MAX(W$1:W248)+1,""),"")</f>
        <v/>
      </c>
      <c r="X249">
        <f>IF(설정!$C$14="","",IFERROR(INDEX('1.산군_붙여넣기'!$A$1:$AZ$1001,ROW(),설정!$C$14)&amp;"",""))</f>
        <v/>
      </c>
      <c r="Y249">
        <f>IF(설정!$C$15="","",IFERROR(INDEX('1.산군_붙여넣기'!$A$1:$AZ$1001,ROW(),설정!$C$15)&amp;"",""))</f>
        <v/>
      </c>
      <c r="Z249">
        <f>IF(T249,V249&amp;"|"&amp;U249,"")</f>
        <v/>
      </c>
      <c r="AA249">
        <f>IF(NOT(Q249),"",IF(NOT(AND(R249,S249)),"✕",IF(OR(OR(AND(L249&lt;&gt;"",M249&lt;&gt;"",N(M249)-N(L249)&gt;설정!$B$27),AND(L249&lt;&gt;"",M249="",설정!$B$24-N(L249)&gt;설정!$B$27)),AND(D249&lt;&gt;"",D249&lt;설정!$B$26)),"△","★")))</f>
        <v/>
      </c>
      <c r="AB249">
        <f>IF(NOT(T249),"",IF(U249="설계사",설정!$B$31,IF(U249="시공사",IF(OR(M249="",설정!$B$24-N(M249)&lt;=설정!$B$28*30.4),설정!$B$32,설정!$B$33),설정!$B$34))+IF(AA249="★",설정!$B$35,0))</f>
        <v/>
      </c>
      <c r="AC249">
        <f>SUBSTITUTE(SUBSTITUTE(SUBSTITUTE(SUBSTITUTE(H249,"(주)",""),"㈜",""),"주식회사","")," ","")</f>
        <v/>
      </c>
      <c r="AD249">
        <f>IF(AND(T249,AC249&lt;&gt;""),IF(COUNTIFS(AC$2:AC249,AC249,T$2:T249,TRUE)=1,MAX(AD$1:AD248)+1,""),"")</f>
        <v/>
      </c>
    </row>
    <row r="250">
      <c r="A250">
        <f>ROW()</f>
        <v/>
      </c>
      <c r="B250">
        <f>IF(설정!$C$4="","",IFERROR(INDEX('1.산군_붙여넣기'!$A$1:$AZ$1001,ROW(),설정!$C$4)&amp;"",""))</f>
        <v/>
      </c>
      <c r="C250">
        <f>IF(설정!$C$5="","",IFERROR(INDEX('1.산군_붙여넣기'!$A$1:$AZ$1001,ROW(),설정!$C$5)&amp;"",""))</f>
        <v/>
      </c>
      <c r="D250" s="5">
        <f>IFERROR(VALUE(SUBSTITUTE(SUBSTITUTE(SUBSTITUTE(IF(설정!$C$6="","",IFERROR(INDEX('1.산군_붙여넣기'!$A$1:$AZ$1001,ROW(),설정!$C$6)&amp;"","")),",",""),"㎡",""),"m2","")),"")</f>
        <v/>
      </c>
      <c r="E250">
        <f>IF(설정!$C$7="","",IFERROR(INDEX('1.산군_붙여넣기'!$A$1:$AZ$1001,ROW(),설정!$C$7)&amp;"",""))</f>
        <v/>
      </c>
      <c r="F250">
        <f>IF(설정!$C$8="","",IFERROR(INDEX('1.산군_붙여넣기'!$A$1:$AZ$1001,ROW(),설정!$C$8)&amp;"",""))</f>
        <v/>
      </c>
      <c r="G250">
        <f>IF(설정!$C$9="","",IFERROR(INDEX('1.산군_붙여넣기'!$A$1:$AZ$1001,ROW(),설정!$C$9)&amp;"",""))</f>
        <v/>
      </c>
      <c r="H250">
        <f>IF(설정!$C$10="","",IFERROR(INDEX('1.산군_붙여넣기'!$A$1:$AZ$1001,ROW(),설정!$C$10)&amp;"",""))</f>
        <v/>
      </c>
      <c r="I250">
        <f>IF(설정!$C$11="","",IFERROR(INDEX('1.산군_붙여넣기'!$A$1:$AZ$1001,ROW(),설정!$C$11)&amp;"",""))</f>
        <v/>
      </c>
      <c r="J250">
        <f>IF(설정!$C$12="","",IFERROR(INDEX('1.산군_붙여넣기'!$A$1:$AZ$1001,ROW(),설정!$C$12)&amp;"",""))</f>
        <v/>
      </c>
      <c r="K250">
        <f>IF(설정!$C$13="","",IFERROR(INDEX('1.산군_붙여넣기'!$A$1:$AZ$1001,ROW(),설정!$C$13)&amp;"",""))</f>
        <v/>
      </c>
      <c r="L250" s="7">
        <f>IF(X250="","",IF(AND(LEN(X250)=8,ISNUMBER(X250*1)),DATE(LEFT(X250,4),MID(X250,5,2),RIGHT(X250,2)),IFERROR(DATEVALUE(SUBSTITUTE(SUBSTITUTE(X250,".","-"),"/","-")),IFERROR(X250*1,""))))</f>
        <v/>
      </c>
      <c r="M250" s="7">
        <f>IF(Y250="","",IF(AND(LEN(Y250)=8,ISNUMBER(Y250*1)),DATE(LEFT(Y250,4),MID(Y250,5,2),RIGHT(Y250,2)),IFERROR(DATEVALUE(SUBSTITUTE(SUBSTITUTE(Y250,".","-"),"/","-")),IFERROR(Y250*1,""))))</f>
        <v/>
      </c>
      <c r="N250">
        <f>IFERROR(LEFT(B250,FIND(" ",B250)-1),B250)</f>
        <v/>
      </c>
      <c r="O250">
        <f>AND(B250&lt;&gt;"",B250&lt;&gt;설정!$B$4,C250&lt;&gt;설정!$B$5)</f>
        <v/>
      </c>
      <c r="P250">
        <f>IF(O250,B250&amp;"|"&amp;C250,"")</f>
        <v/>
      </c>
      <c r="Q250">
        <f>AND(O250,COUNTIF(P251:P$1002,P250)=0)</f>
        <v/>
      </c>
      <c r="R250">
        <f>OR(AND(설정!$A$42&lt;&gt;"",ISNUMBER(SEARCH(설정!$A$42,E250&amp;" "&amp;C250))),AND(설정!$A$43&lt;&gt;"",ISNUMBER(SEARCH(설정!$A$43,E250&amp;" "&amp;C250))),AND(설정!$A$44&lt;&gt;"",ISNUMBER(SEARCH(설정!$A$44,E250&amp;" "&amp;C250))),AND(설정!$A$45&lt;&gt;"",ISNUMBER(SEARCH(설정!$A$45,E250&amp;" "&amp;C250))),AND(설정!$A$46&lt;&gt;"",ISNUMBER(SEARCH(설정!$A$46,E250&amp;" "&amp;C250))),AND(설정!$A$47&lt;&gt;"",ISNUMBER(SEARCH(설정!$A$47,E250&amp;" "&amp;C250))),AND(설정!$A$48&lt;&gt;"",ISNUMBER(SEARCH(설정!$A$48,E250&amp;" "&amp;C250))),AND(설정!$A$49&lt;&gt;"",ISNUMBER(SEARCH(설정!$A$49,E250&amp;" "&amp;C250))),AND(설정!$A$50&lt;&gt;"",ISNUMBER(SEARCH(설정!$A$50,E250&amp;" "&amp;C250))),AND(설정!$A$51&lt;&gt;"",ISNUMBER(SEARCH(설정!$A$51,E250&amp;" "&amp;C250))))</f>
        <v/>
      </c>
      <c r="S250">
        <f>OR(D250="",D250&gt;=설정!$B$19)</f>
        <v/>
      </c>
      <c r="T250">
        <f>AND(Q250,R250,S250)</f>
        <v/>
      </c>
      <c r="U250">
        <f>IF(T250,IF(AND(설정!$A$54&lt;&gt;"",ISNUMBER(SEARCH(설정!$A$54,K250))),설정!$B$54,IF(AND(설정!$A$55&lt;&gt;"",ISNUMBER(SEARCH(설정!$A$55,K250))),설정!$B$55,IF(AND(설정!$A$56&lt;&gt;"",ISNUMBER(SEARCH(설정!$A$56,K250))),설정!$B$56,IF(AND(설정!$A$57&lt;&gt;"",ISNUMBER(SEARCH(설정!$A$57,K250))),설정!$B$57,IF(AND(설정!$A$58&lt;&gt;"",ISNUMBER(SEARCH(설정!$A$58,K250))),설정!$B$58,IF(AND(설정!$A$59&lt;&gt;"",ISNUMBER(SEARCH(설정!$A$59,K250))),설정!$B$59,IF(AND(설정!$A$60&lt;&gt;"",ISNUMBER(SEARCH(설정!$A$60,K250))),설정!$B$60,IF(AND(설정!$A$61&lt;&gt;"",ISNUMBER(SEARCH(설정!$A$61,K250))),설정!$B$61,IF(M250="","설계사","시공사"))))))))),"")</f>
        <v/>
      </c>
      <c r="V250">
        <f>SUBSTITUTE(SUBSTITUTE(SUBSTITUTE(SUBSTITUTE(G250,"(주)",""),"㈜",""),"주식회사","")," ","")</f>
        <v/>
      </c>
      <c r="W250">
        <f>IF(AND(T250,V250&lt;&gt;""),IF(COUNTIFS(V$2:V250,V250,T$2:T250,TRUE)=1,MAX(W$1:W249)+1,""),"")</f>
        <v/>
      </c>
      <c r="X250">
        <f>IF(설정!$C$14="","",IFERROR(INDEX('1.산군_붙여넣기'!$A$1:$AZ$1001,ROW(),설정!$C$14)&amp;"",""))</f>
        <v/>
      </c>
      <c r="Y250">
        <f>IF(설정!$C$15="","",IFERROR(INDEX('1.산군_붙여넣기'!$A$1:$AZ$1001,ROW(),설정!$C$15)&amp;"",""))</f>
        <v/>
      </c>
      <c r="Z250">
        <f>IF(T250,V250&amp;"|"&amp;U250,"")</f>
        <v/>
      </c>
      <c r="AA250">
        <f>IF(NOT(Q250),"",IF(NOT(AND(R250,S250)),"✕",IF(OR(OR(AND(L250&lt;&gt;"",M250&lt;&gt;"",N(M250)-N(L250)&gt;설정!$B$27),AND(L250&lt;&gt;"",M250="",설정!$B$24-N(L250)&gt;설정!$B$27)),AND(D250&lt;&gt;"",D250&lt;설정!$B$26)),"△","★")))</f>
        <v/>
      </c>
      <c r="AB250">
        <f>IF(NOT(T250),"",IF(U250="설계사",설정!$B$31,IF(U250="시공사",IF(OR(M250="",설정!$B$24-N(M250)&lt;=설정!$B$28*30.4),설정!$B$32,설정!$B$33),설정!$B$34))+IF(AA250="★",설정!$B$35,0))</f>
        <v/>
      </c>
      <c r="AC250">
        <f>SUBSTITUTE(SUBSTITUTE(SUBSTITUTE(SUBSTITUTE(H250,"(주)",""),"㈜",""),"주식회사","")," ","")</f>
        <v/>
      </c>
      <c r="AD250">
        <f>IF(AND(T250,AC250&lt;&gt;""),IF(COUNTIFS(AC$2:AC250,AC250,T$2:T250,TRUE)=1,MAX(AD$1:AD249)+1,""),"")</f>
        <v/>
      </c>
    </row>
    <row r="251">
      <c r="A251">
        <f>ROW()</f>
        <v/>
      </c>
      <c r="B251">
        <f>IF(설정!$C$4="","",IFERROR(INDEX('1.산군_붙여넣기'!$A$1:$AZ$1001,ROW(),설정!$C$4)&amp;"",""))</f>
        <v/>
      </c>
      <c r="C251">
        <f>IF(설정!$C$5="","",IFERROR(INDEX('1.산군_붙여넣기'!$A$1:$AZ$1001,ROW(),설정!$C$5)&amp;"",""))</f>
        <v/>
      </c>
      <c r="D251" s="5">
        <f>IFERROR(VALUE(SUBSTITUTE(SUBSTITUTE(SUBSTITUTE(IF(설정!$C$6="","",IFERROR(INDEX('1.산군_붙여넣기'!$A$1:$AZ$1001,ROW(),설정!$C$6)&amp;"","")),",",""),"㎡",""),"m2","")),"")</f>
        <v/>
      </c>
      <c r="E251">
        <f>IF(설정!$C$7="","",IFERROR(INDEX('1.산군_붙여넣기'!$A$1:$AZ$1001,ROW(),설정!$C$7)&amp;"",""))</f>
        <v/>
      </c>
      <c r="F251">
        <f>IF(설정!$C$8="","",IFERROR(INDEX('1.산군_붙여넣기'!$A$1:$AZ$1001,ROW(),설정!$C$8)&amp;"",""))</f>
        <v/>
      </c>
      <c r="G251">
        <f>IF(설정!$C$9="","",IFERROR(INDEX('1.산군_붙여넣기'!$A$1:$AZ$1001,ROW(),설정!$C$9)&amp;"",""))</f>
        <v/>
      </c>
      <c r="H251">
        <f>IF(설정!$C$10="","",IFERROR(INDEX('1.산군_붙여넣기'!$A$1:$AZ$1001,ROW(),설정!$C$10)&amp;"",""))</f>
        <v/>
      </c>
      <c r="I251">
        <f>IF(설정!$C$11="","",IFERROR(INDEX('1.산군_붙여넣기'!$A$1:$AZ$1001,ROW(),설정!$C$11)&amp;"",""))</f>
        <v/>
      </c>
      <c r="J251">
        <f>IF(설정!$C$12="","",IFERROR(INDEX('1.산군_붙여넣기'!$A$1:$AZ$1001,ROW(),설정!$C$12)&amp;"",""))</f>
        <v/>
      </c>
      <c r="K251">
        <f>IF(설정!$C$13="","",IFERROR(INDEX('1.산군_붙여넣기'!$A$1:$AZ$1001,ROW(),설정!$C$13)&amp;"",""))</f>
        <v/>
      </c>
      <c r="L251" s="7">
        <f>IF(X251="","",IF(AND(LEN(X251)=8,ISNUMBER(X251*1)),DATE(LEFT(X251,4),MID(X251,5,2),RIGHT(X251,2)),IFERROR(DATEVALUE(SUBSTITUTE(SUBSTITUTE(X251,".","-"),"/","-")),IFERROR(X251*1,""))))</f>
        <v/>
      </c>
      <c r="M251" s="7">
        <f>IF(Y251="","",IF(AND(LEN(Y251)=8,ISNUMBER(Y251*1)),DATE(LEFT(Y251,4),MID(Y251,5,2),RIGHT(Y251,2)),IFERROR(DATEVALUE(SUBSTITUTE(SUBSTITUTE(Y251,".","-"),"/","-")),IFERROR(Y251*1,""))))</f>
        <v/>
      </c>
      <c r="N251">
        <f>IFERROR(LEFT(B251,FIND(" ",B251)-1),B251)</f>
        <v/>
      </c>
      <c r="O251">
        <f>AND(B251&lt;&gt;"",B251&lt;&gt;설정!$B$4,C251&lt;&gt;설정!$B$5)</f>
        <v/>
      </c>
      <c r="P251">
        <f>IF(O251,B251&amp;"|"&amp;C251,"")</f>
        <v/>
      </c>
      <c r="Q251">
        <f>AND(O251,COUNTIF(P252:P$1002,P251)=0)</f>
        <v/>
      </c>
      <c r="R251">
        <f>OR(AND(설정!$A$42&lt;&gt;"",ISNUMBER(SEARCH(설정!$A$42,E251&amp;" "&amp;C251))),AND(설정!$A$43&lt;&gt;"",ISNUMBER(SEARCH(설정!$A$43,E251&amp;" "&amp;C251))),AND(설정!$A$44&lt;&gt;"",ISNUMBER(SEARCH(설정!$A$44,E251&amp;" "&amp;C251))),AND(설정!$A$45&lt;&gt;"",ISNUMBER(SEARCH(설정!$A$45,E251&amp;" "&amp;C251))),AND(설정!$A$46&lt;&gt;"",ISNUMBER(SEARCH(설정!$A$46,E251&amp;" "&amp;C251))),AND(설정!$A$47&lt;&gt;"",ISNUMBER(SEARCH(설정!$A$47,E251&amp;" "&amp;C251))),AND(설정!$A$48&lt;&gt;"",ISNUMBER(SEARCH(설정!$A$48,E251&amp;" "&amp;C251))),AND(설정!$A$49&lt;&gt;"",ISNUMBER(SEARCH(설정!$A$49,E251&amp;" "&amp;C251))),AND(설정!$A$50&lt;&gt;"",ISNUMBER(SEARCH(설정!$A$50,E251&amp;" "&amp;C251))),AND(설정!$A$51&lt;&gt;"",ISNUMBER(SEARCH(설정!$A$51,E251&amp;" "&amp;C251))))</f>
        <v/>
      </c>
      <c r="S251">
        <f>OR(D251="",D251&gt;=설정!$B$19)</f>
        <v/>
      </c>
      <c r="T251">
        <f>AND(Q251,R251,S251)</f>
        <v/>
      </c>
      <c r="U251">
        <f>IF(T251,IF(AND(설정!$A$54&lt;&gt;"",ISNUMBER(SEARCH(설정!$A$54,K251))),설정!$B$54,IF(AND(설정!$A$55&lt;&gt;"",ISNUMBER(SEARCH(설정!$A$55,K251))),설정!$B$55,IF(AND(설정!$A$56&lt;&gt;"",ISNUMBER(SEARCH(설정!$A$56,K251))),설정!$B$56,IF(AND(설정!$A$57&lt;&gt;"",ISNUMBER(SEARCH(설정!$A$57,K251))),설정!$B$57,IF(AND(설정!$A$58&lt;&gt;"",ISNUMBER(SEARCH(설정!$A$58,K251))),설정!$B$58,IF(AND(설정!$A$59&lt;&gt;"",ISNUMBER(SEARCH(설정!$A$59,K251))),설정!$B$59,IF(AND(설정!$A$60&lt;&gt;"",ISNUMBER(SEARCH(설정!$A$60,K251))),설정!$B$60,IF(AND(설정!$A$61&lt;&gt;"",ISNUMBER(SEARCH(설정!$A$61,K251))),설정!$B$61,IF(M251="","설계사","시공사"))))))))),"")</f>
        <v/>
      </c>
      <c r="V251">
        <f>SUBSTITUTE(SUBSTITUTE(SUBSTITUTE(SUBSTITUTE(G251,"(주)",""),"㈜",""),"주식회사","")," ","")</f>
        <v/>
      </c>
      <c r="W251">
        <f>IF(AND(T251,V251&lt;&gt;""),IF(COUNTIFS(V$2:V251,V251,T$2:T251,TRUE)=1,MAX(W$1:W250)+1,""),"")</f>
        <v/>
      </c>
      <c r="X251">
        <f>IF(설정!$C$14="","",IFERROR(INDEX('1.산군_붙여넣기'!$A$1:$AZ$1001,ROW(),설정!$C$14)&amp;"",""))</f>
        <v/>
      </c>
      <c r="Y251">
        <f>IF(설정!$C$15="","",IFERROR(INDEX('1.산군_붙여넣기'!$A$1:$AZ$1001,ROW(),설정!$C$15)&amp;"",""))</f>
        <v/>
      </c>
      <c r="Z251">
        <f>IF(T251,V251&amp;"|"&amp;U251,"")</f>
        <v/>
      </c>
      <c r="AA251">
        <f>IF(NOT(Q251),"",IF(NOT(AND(R251,S251)),"✕",IF(OR(OR(AND(L251&lt;&gt;"",M251&lt;&gt;"",N(M251)-N(L251)&gt;설정!$B$27),AND(L251&lt;&gt;"",M251="",설정!$B$24-N(L251)&gt;설정!$B$27)),AND(D251&lt;&gt;"",D251&lt;설정!$B$26)),"△","★")))</f>
        <v/>
      </c>
      <c r="AB251">
        <f>IF(NOT(T251),"",IF(U251="설계사",설정!$B$31,IF(U251="시공사",IF(OR(M251="",설정!$B$24-N(M251)&lt;=설정!$B$28*30.4),설정!$B$32,설정!$B$33),설정!$B$34))+IF(AA251="★",설정!$B$35,0))</f>
        <v/>
      </c>
      <c r="AC251">
        <f>SUBSTITUTE(SUBSTITUTE(SUBSTITUTE(SUBSTITUTE(H251,"(주)",""),"㈜",""),"주식회사","")," ","")</f>
        <v/>
      </c>
      <c r="AD251">
        <f>IF(AND(T251,AC251&lt;&gt;""),IF(COUNTIFS(AC$2:AC251,AC251,T$2:T251,TRUE)=1,MAX(AD$1:AD250)+1,""),"")</f>
        <v/>
      </c>
    </row>
    <row r="252">
      <c r="A252">
        <f>ROW()</f>
        <v/>
      </c>
      <c r="B252">
        <f>IF(설정!$C$4="","",IFERROR(INDEX('1.산군_붙여넣기'!$A$1:$AZ$1001,ROW(),설정!$C$4)&amp;"",""))</f>
        <v/>
      </c>
      <c r="C252">
        <f>IF(설정!$C$5="","",IFERROR(INDEX('1.산군_붙여넣기'!$A$1:$AZ$1001,ROW(),설정!$C$5)&amp;"",""))</f>
        <v/>
      </c>
      <c r="D252" s="5">
        <f>IFERROR(VALUE(SUBSTITUTE(SUBSTITUTE(SUBSTITUTE(IF(설정!$C$6="","",IFERROR(INDEX('1.산군_붙여넣기'!$A$1:$AZ$1001,ROW(),설정!$C$6)&amp;"","")),",",""),"㎡",""),"m2","")),"")</f>
        <v/>
      </c>
      <c r="E252">
        <f>IF(설정!$C$7="","",IFERROR(INDEX('1.산군_붙여넣기'!$A$1:$AZ$1001,ROW(),설정!$C$7)&amp;"",""))</f>
        <v/>
      </c>
      <c r="F252">
        <f>IF(설정!$C$8="","",IFERROR(INDEX('1.산군_붙여넣기'!$A$1:$AZ$1001,ROW(),설정!$C$8)&amp;"",""))</f>
        <v/>
      </c>
      <c r="G252">
        <f>IF(설정!$C$9="","",IFERROR(INDEX('1.산군_붙여넣기'!$A$1:$AZ$1001,ROW(),설정!$C$9)&amp;"",""))</f>
        <v/>
      </c>
      <c r="H252">
        <f>IF(설정!$C$10="","",IFERROR(INDEX('1.산군_붙여넣기'!$A$1:$AZ$1001,ROW(),설정!$C$10)&amp;"",""))</f>
        <v/>
      </c>
      <c r="I252">
        <f>IF(설정!$C$11="","",IFERROR(INDEX('1.산군_붙여넣기'!$A$1:$AZ$1001,ROW(),설정!$C$11)&amp;"",""))</f>
        <v/>
      </c>
      <c r="J252">
        <f>IF(설정!$C$12="","",IFERROR(INDEX('1.산군_붙여넣기'!$A$1:$AZ$1001,ROW(),설정!$C$12)&amp;"",""))</f>
        <v/>
      </c>
      <c r="K252">
        <f>IF(설정!$C$13="","",IFERROR(INDEX('1.산군_붙여넣기'!$A$1:$AZ$1001,ROW(),설정!$C$13)&amp;"",""))</f>
        <v/>
      </c>
      <c r="L252" s="7">
        <f>IF(X252="","",IF(AND(LEN(X252)=8,ISNUMBER(X252*1)),DATE(LEFT(X252,4),MID(X252,5,2),RIGHT(X252,2)),IFERROR(DATEVALUE(SUBSTITUTE(SUBSTITUTE(X252,".","-"),"/","-")),IFERROR(X252*1,""))))</f>
        <v/>
      </c>
      <c r="M252" s="7">
        <f>IF(Y252="","",IF(AND(LEN(Y252)=8,ISNUMBER(Y252*1)),DATE(LEFT(Y252,4),MID(Y252,5,2),RIGHT(Y252,2)),IFERROR(DATEVALUE(SUBSTITUTE(SUBSTITUTE(Y252,".","-"),"/","-")),IFERROR(Y252*1,""))))</f>
        <v/>
      </c>
      <c r="N252">
        <f>IFERROR(LEFT(B252,FIND(" ",B252)-1),B252)</f>
        <v/>
      </c>
      <c r="O252">
        <f>AND(B252&lt;&gt;"",B252&lt;&gt;설정!$B$4,C252&lt;&gt;설정!$B$5)</f>
        <v/>
      </c>
      <c r="P252">
        <f>IF(O252,B252&amp;"|"&amp;C252,"")</f>
        <v/>
      </c>
      <c r="Q252">
        <f>AND(O252,COUNTIF(P253:P$1002,P252)=0)</f>
        <v/>
      </c>
      <c r="R252">
        <f>OR(AND(설정!$A$42&lt;&gt;"",ISNUMBER(SEARCH(설정!$A$42,E252&amp;" "&amp;C252))),AND(설정!$A$43&lt;&gt;"",ISNUMBER(SEARCH(설정!$A$43,E252&amp;" "&amp;C252))),AND(설정!$A$44&lt;&gt;"",ISNUMBER(SEARCH(설정!$A$44,E252&amp;" "&amp;C252))),AND(설정!$A$45&lt;&gt;"",ISNUMBER(SEARCH(설정!$A$45,E252&amp;" "&amp;C252))),AND(설정!$A$46&lt;&gt;"",ISNUMBER(SEARCH(설정!$A$46,E252&amp;" "&amp;C252))),AND(설정!$A$47&lt;&gt;"",ISNUMBER(SEARCH(설정!$A$47,E252&amp;" "&amp;C252))),AND(설정!$A$48&lt;&gt;"",ISNUMBER(SEARCH(설정!$A$48,E252&amp;" "&amp;C252))),AND(설정!$A$49&lt;&gt;"",ISNUMBER(SEARCH(설정!$A$49,E252&amp;" "&amp;C252))),AND(설정!$A$50&lt;&gt;"",ISNUMBER(SEARCH(설정!$A$50,E252&amp;" "&amp;C252))),AND(설정!$A$51&lt;&gt;"",ISNUMBER(SEARCH(설정!$A$51,E252&amp;" "&amp;C252))))</f>
        <v/>
      </c>
      <c r="S252">
        <f>OR(D252="",D252&gt;=설정!$B$19)</f>
        <v/>
      </c>
      <c r="T252">
        <f>AND(Q252,R252,S252)</f>
        <v/>
      </c>
      <c r="U252">
        <f>IF(T252,IF(AND(설정!$A$54&lt;&gt;"",ISNUMBER(SEARCH(설정!$A$54,K252))),설정!$B$54,IF(AND(설정!$A$55&lt;&gt;"",ISNUMBER(SEARCH(설정!$A$55,K252))),설정!$B$55,IF(AND(설정!$A$56&lt;&gt;"",ISNUMBER(SEARCH(설정!$A$56,K252))),설정!$B$56,IF(AND(설정!$A$57&lt;&gt;"",ISNUMBER(SEARCH(설정!$A$57,K252))),설정!$B$57,IF(AND(설정!$A$58&lt;&gt;"",ISNUMBER(SEARCH(설정!$A$58,K252))),설정!$B$58,IF(AND(설정!$A$59&lt;&gt;"",ISNUMBER(SEARCH(설정!$A$59,K252))),설정!$B$59,IF(AND(설정!$A$60&lt;&gt;"",ISNUMBER(SEARCH(설정!$A$60,K252))),설정!$B$60,IF(AND(설정!$A$61&lt;&gt;"",ISNUMBER(SEARCH(설정!$A$61,K252))),설정!$B$61,IF(M252="","설계사","시공사"))))))))),"")</f>
        <v/>
      </c>
      <c r="V252">
        <f>SUBSTITUTE(SUBSTITUTE(SUBSTITUTE(SUBSTITUTE(G252,"(주)",""),"㈜",""),"주식회사","")," ","")</f>
        <v/>
      </c>
      <c r="W252">
        <f>IF(AND(T252,V252&lt;&gt;""),IF(COUNTIFS(V$2:V252,V252,T$2:T252,TRUE)=1,MAX(W$1:W251)+1,""),"")</f>
        <v/>
      </c>
      <c r="X252">
        <f>IF(설정!$C$14="","",IFERROR(INDEX('1.산군_붙여넣기'!$A$1:$AZ$1001,ROW(),설정!$C$14)&amp;"",""))</f>
        <v/>
      </c>
      <c r="Y252">
        <f>IF(설정!$C$15="","",IFERROR(INDEX('1.산군_붙여넣기'!$A$1:$AZ$1001,ROW(),설정!$C$15)&amp;"",""))</f>
        <v/>
      </c>
      <c r="Z252">
        <f>IF(T252,V252&amp;"|"&amp;U252,"")</f>
        <v/>
      </c>
      <c r="AA252">
        <f>IF(NOT(Q252),"",IF(NOT(AND(R252,S252)),"✕",IF(OR(OR(AND(L252&lt;&gt;"",M252&lt;&gt;"",N(M252)-N(L252)&gt;설정!$B$27),AND(L252&lt;&gt;"",M252="",설정!$B$24-N(L252)&gt;설정!$B$27)),AND(D252&lt;&gt;"",D252&lt;설정!$B$26)),"△","★")))</f>
        <v/>
      </c>
      <c r="AB252">
        <f>IF(NOT(T252),"",IF(U252="설계사",설정!$B$31,IF(U252="시공사",IF(OR(M252="",설정!$B$24-N(M252)&lt;=설정!$B$28*30.4),설정!$B$32,설정!$B$33),설정!$B$34))+IF(AA252="★",설정!$B$35,0))</f>
        <v/>
      </c>
      <c r="AC252">
        <f>SUBSTITUTE(SUBSTITUTE(SUBSTITUTE(SUBSTITUTE(H252,"(주)",""),"㈜",""),"주식회사","")," ","")</f>
        <v/>
      </c>
      <c r="AD252">
        <f>IF(AND(T252,AC252&lt;&gt;""),IF(COUNTIFS(AC$2:AC252,AC252,T$2:T252,TRUE)=1,MAX(AD$1:AD251)+1,""),"")</f>
        <v/>
      </c>
    </row>
    <row r="253">
      <c r="A253">
        <f>ROW()</f>
        <v/>
      </c>
      <c r="B253">
        <f>IF(설정!$C$4="","",IFERROR(INDEX('1.산군_붙여넣기'!$A$1:$AZ$1001,ROW(),설정!$C$4)&amp;"",""))</f>
        <v/>
      </c>
      <c r="C253">
        <f>IF(설정!$C$5="","",IFERROR(INDEX('1.산군_붙여넣기'!$A$1:$AZ$1001,ROW(),설정!$C$5)&amp;"",""))</f>
        <v/>
      </c>
      <c r="D253" s="5">
        <f>IFERROR(VALUE(SUBSTITUTE(SUBSTITUTE(SUBSTITUTE(IF(설정!$C$6="","",IFERROR(INDEX('1.산군_붙여넣기'!$A$1:$AZ$1001,ROW(),설정!$C$6)&amp;"","")),",",""),"㎡",""),"m2","")),"")</f>
        <v/>
      </c>
      <c r="E253">
        <f>IF(설정!$C$7="","",IFERROR(INDEX('1.산군_붙여넣기'!$A$1:$AZ$1001,ROW(),설정!$C$7)&amp;"",""))</f>
        <v/>
      </c>
      <c r="F253">
        <f>IF(설정!$C$8="","",IFERROR(INDEX('1.산군_붙여넣기'!$A$1:$AZ$1001,ROW(),설정!$C$8)&amp;"",""))</f>
        <v/>
      </c>
      <c r="G253">
        <f>IF(설정!$C$9="","",IFERROR(INDEX('1.산군_붙여넣기'!$A$1:$AZ$1001,ROW(),설정!$C$9)&amp;"",""))</f>
        <v/>
      </c>
      <c r="H253">
        <f>IF(설정!$C$10="","",IFERROR(INDEX('1.산군_붙여넣기'!$A$1:$AZ$1001,ROW(),설정!$C$10)&amp;"",""))</f>
        <v/>
      </c>
      <c r="I253">
        <f>IF(설정!$C$11="","",IFERROR(INDEX('1.산군_붙여넣기'!$A$1:$AZ$1001,ROW(),설정!$C$11)&amp;"",""))</f>
        <v/>
      </c>
      <c r="J253">
        <f>IF(설정!$C$12="","",IFERROR(INDEX('1.산군_붙여넣기'!$A$1:$AZ$1001,ROW(),설정!$C$12)&amp;"",""))</f>
        <v/>
      </c>
      <c r="K253">
        <f>IF(설정!$C$13="","",IFERROR(INDEX('1.산군_붙여넣기'!$A$1:$AZ$1001,ROW(),설정!$C$13)&amp;"",""))</f>
        <v/>
      </c>
      <c r="L253" s="7">
        <f>IF(X253="","",IF(AND(LEN(X253)=8,ISNUMBER(X253*1)),DATE(LEFT(X253,4),MID(X253,5,2),RIGHT(X253,2)),IFERROR(DATEVALUE(SUBSTITUTE(SUBSTITUTE(X253,".","-"),"/","-")),IFERROR(X253*1,""))))</f>
        <v/>
      </c>
      <c r="M253" s="7">
        <f>IF(Y253="","",IF(AND(LEN(Y253)=8,ISNUMBER(Y253*1)),DATE(LEFT(Y253,4),MID(Y253,5,2),RIGHT(Y253,2)),IFERROR(DATEVALUE(SUBSTITUTE(SUBSTITUTE(Y253,".","-"),"/","-")),IFERROR(Y253*1,""))))</f>
        <v/>
      </c>
      <c r="N253">
        <f>IFERROR(LEFT(B253,FIND(" ",B253)-1),B253)</f>
        <v/>
      </c>
      <c r="O253">
        <f>AND(B253&lt;&gt;"",B253&lt;&gt;설정!$B$4,C253&lt;&gt;설정!$B$5)</f>
        <v/>
      </c>
      <c r="P253">
        <f>IF(O253,B253&amp;"|"&amp;C253,"")</f>
        <v/>
      </c>
      <c r="Q253">
        <f>AND(O253,COUNTIF(P254:P$1002,P253)=0)</f>
        <v/>
      </c>
      <c r="R253">
        <f>OR(AND(설정!$A$42&lt;&gt;"",ISNUMBER(SEARCH(설정!$A$42,E253&amp;" "&amp;C253))),AND(설정!$A$43&lt;&gt;"",ISNUMBER(SEARCH(설정!$A$43,E253&amp;" "&amp;C253))),AND(설정!$A$44&lt;&gt;"",ISNUMBER(SEARCH(설정!$A$44,E253&amp;" "&amp;C253))),AND(설정!$A$45&lt;&gt;"",ISNUMBER(SEARCH(설정!$A$45,E253&amp;" "&amp;C253))),AND(설정!$A$46&lt;&gt;"",ISNUMBER(SEARCH(설정!$A$46,E253&amp;" "&amp;C253))),AND(설정!$A$47&lt;&gt;"",ISNUMBER(SEARCH(설정!$A$47,E253&amp;" "&amp;C253))),AND(설정!$A$48&lt;&gt;"",ISNUMBER(SEARCH(설정!$A$48,E253&amp;" "&amp;C253))),AND(설정!$A$49&lt;&gt;"",ISNUMBER(SEARCH(설정!$A$49,E253&amp;" "&amp;C253))),AND(설정!$A$50&lt;&gt;"",ISNUMBER(SEARCH(설정!$A$50,E253&amp;" "&amp;C253))),AND(설정!$A$51&lt;&gt;"",ISNUMBER(SEARCH(설정!$A$51,E253&amp;" "&amp;C253))))</f>
        <v/>
      </c>
      <c r="S253">
        <f>OR(D253="",D253&gt;=설정!$B$19)</f>
        <v/>
      </c>
      <c r="T253">
        <f>AND(Q253,R253,S253)</f>
        <v/>
      </c>
      <c r="U253">
        <f>IF(T253,IF(AND(설정!$A$54&lt;&gt;"",ISNUMBER(SEARCH(설정!$A$54,K253))),설정!$B$54,IF(AND(설정!$A$55&lt;&gt;"",ISNUMBER(SEARCH(설정!$A$55,K253))),설정!$B$55,IF(AND(설정!$A$56&lt;&gt;"",ISNUMBER(SEARCH(설정!$A$56,K253))),설정!$B$56,IF(AND(설정!$A$57&lt;&gt;"",ISNUMBER(SEARCH(설정!$A$57,K253))),설정!$B$57,IF(AND(설정!$A$58&lt;&gt;"",ISNUMBER(SEARCH(설정!$A$58,K253))),설정!$B$58,IF(AND(설정!$A$59&lt;&gt;"",ISNUMBER(SEARCH(설정!$A$59,K253))),설정!$B$59,IF(AND(설정!$A$60&lt;&gt;"",ISNUMBER(SEARCH(설정!$A$60,K253))),설정!$B$60,IF(AND(설정!$A$61&lt;&gt;"",ISNUMBER(SEARCH(설정!$A$61,K253))),설정!$B$61,IF(M253="","설계사","시공사"))))))))),"")</f>
        <v/>
      </c>
      <c r="V253">
        <f>SUBSTITUTE(SUBSTITUTE(SUBSTITUTE(SUBSTITUTE(G253,"(주)",""),"㈜",""),"주식회사","")," ","")</f>
        <v/>
      </c>
      <c r="W253">
        <f>IF(AND(T253,V253&lt;&gt;""),IF(COUNTIFS(V$2:V253,V253,T$2:T253,TRUE)=1,MAX(W$1:W252)+1,""),"")</f>
        <v/>
      </c>
      <c r="X253">
        <f>IF(설정!$C$14="","",IFERROR(INDEX('1.산군_붙여넣기'!$A$1:$AZ$1001,ROW(),설정!$C$14)&amp;"",""))</f>
        <v/>
      </c>
      <c r="Y253">
        <f>IF(설정!$C$15="","",IFERROR(INDEX('1.산군_붙여넣기'!$A$1:$AZ$1001,ROW(),설정!$C$15)&amp;"",""))</f>
        <v/>
      </c>
      <c r="Z253">
        <f>IF(T253,V253&amp;"|"&amp;U253,"")</f>
        <v/>
      </c>
      <c r="AA253">
        <f>IF(NOT(Q253),"",IF(NOT(AND(R253,S253)),"✕",IF(OR(OR(AND(L253&lt;&gt;"",M253&lt;&gt;"",N(M253)-N(L253)&gt;설정!$B$27),AND(L253&lt;&gt;"",M253="",설정!$B$24-N(L253)&gt;설정!$B$27)),AND(D253&lt;&gt;"",D253&lt;설정!$B$26)),"△","★")))</f>
        <v/>
      </c>
      <c r="AB253">
        <f>IF(NOT(T253),"",IF(U253="설계사",설정!$B$31,IF(U253="시공사",IF(OR(M253="",설정!$B$24-N(M253)&lt;=설정!$B$28*30.4),설정!$B$32,설정!$B$33),설정!$B$34))+IF(AA253="★",설정!$B$35,0))</f>
        <v/>
      </c>
      <c r="AC253">
        <f>SUBSTITUTE(SUBSTITUTE(SUBSTITUTE(SUBSTITUTE(H253,"(주)",""),"㈜",""),"주식회사","")," ","")</f>
        <v/>
      </c>
      <c r="AD253">
        <f>IF(AND(T253,AC253&lt;&gt;""),IF(COUNTIFS(AC$2:AC253,AC253,T$2:T253,TRUE)=1,MAX(AD$1:AD252)+1,""),"")</f>
        <v/>
      </c>
    </row>
    <row r="254">
      <c r="A254">
        <f>ROW()</f>
        <v/>
      </c>
      <c r="B254">
        <f>IF(설정!$C$4="","",IFERROR(INDEX('1.산군_붙여넣기'!$A$1:$AZ$1001,ROW(),설정!$C$4)&amp;"",""))</f>
        <v/>
      </c>
      <c r="C254">
        <f>IF(설정!$C$5="","",IFERROR(INDEX('1.산군_붙여넣기'!$A$1:$AZ$1001,ROW(),설정!$C$5)&amp;"",""))</f>
        <v/>
      </c>
      <c r="D254" s="5">
        <f>IFERROR(VALUE(SUBSTITUTE(SUBSTITUTE(SUBSTITUTE(IF(설정!$C$6="","",IFERROR(INDEX('1.산군_붙여넣기'!$A$1:$AZ$1001,ROW(),설정!$C$6)&amp;"","")),",",""),"㎡",""),"m2","")),"")</f>
        <v/>
      </c>
      <c r="E254">
        <f>IF(설정!$C$7="","",IFERROR(INDEX('1.산군_붙여넣기'!$A$1:$AZ$1001,ROW(),설정!$C$7)&amp;"",""))</f>
        <v/>
      </c>
      <c r="F254">
        <f>IF(설정!$C$8="","",IFERROR(INDEX('1.산군_붙여넣기'!$A$1:$AZ$1001,ROW(),설정!$C$8)&amp;"",""))</f>
        <v/>
      </c>
      <c r="G254">
        <f>IF(설정!$C$9="","",IFERROR(INDEX('1.산군_붙여넣기'!$A$1:$AZ$1001,ROW(),설정!$C$9)&amp;"",""))</f>
        <v/>
      </c>
      <c r="H254">
        <f>IF(설정!$C$10="","",IFERROR(INDEX('1.산군_붙여넣기'!$A$1:$AZ$1001,ROW(),설정!$C$10)&amp;"",""))</f>
        <v/>
      </c>
      <c r="I254">
        <f>IF(설정!$C$11="","",IFERROR(INDEX('1.산군_붙여넣기'!$A$1:$AZ$1001,ROW(),설정!$C$11)&amp;"",""))</f>
        <v/>
      </c>
      <c r="J254">
        <f>IF(설정!$C$12="","",IFERROR(INDEX('1.산군_붙여넣기'!$A$1:$AZ$1001,ROW(),설정!$C$12)&amp;"",""))</f>
        <v/>
      </c>
      <c r="K254">
        <f>IF(설정!$C$13="","",IFERROR(INDEX('1.산군_붙여넣기'!$A$1:$AZ$1001,ROW(),설정!$C$13)&amp;"",""))</f>
        <v/>
      </c>
      <c r="L254" s="7">
        <f>IF(X254="","",IF(AND(LEN(X254)=8,ISNUMBER(X254*1)),DATE(LEFT(X254,4),MID(X254,5,2),RIGHT(X254,2)),IFERROR(DATEVALUE(SUBSTITUTE(SUBSTITUTE(X254,".","-"),"/","-")),IFERROR(X254*1,""))))</f>
        <v/>
      </c>
      <c r="M254" s="7">
        <f>IF(Y254="","",IF(AND(LEN(Y254)=8,ISNUMBER(Y254*1)),DATE(LEFT(Y254,4),MID(Y254,5,2),RIGHT(Y254,2)),IFERROR(DATEVALUE(SUBSTITUTE(SUBSTITUTE(Y254,".","-"),"/","-")),IFERROR(Y254*1,""))))</f>
        <v/>
      </c>
      <c r="N254">
        <f>IFERROR(LEFT(B254,FIND(" ",B254)-1),B254)</f>
        <v/>
      </c>
      <c r="O254">
        <f>AND(B254&lt;&gt;"",B254&lt;&gt;설정!$B$4,C254&lt;&gt;설정!$B$5)</f>
        <v/>
      </c>
      <c r="P254">
        <f>IF(O254,B254&amp;"|"&amp;C254,"")</f>
        <v/>
      </c>
      <c r="Q254">
        <f>AND(O254,COUNTIF(P255:P$1002,P254)=0)</f>
        <v/>
      </c>
      <c r="R254">
        <f>OR(AND(설정!$A$42&lt;&gt;"",ISNUMBER(SEARCH(설정!$A$42,E254&amp;" "&amp;C254))),AND(설정!$A$43&lt;&gt;"",ISNUMBER(SEARCH(설정!$A$43,E254&amp;" "&amp;C254))),AND(설정!$A$44&lt;&gt;"",ISNUMBER(SEARCH(설정!$A$44,E254&amp;" "&amp;C254))),AND(설정!$A$45&lt;&gt;"",ISNUMBER(SEARCH(설정!$A$45,E254&amp;" "&amp;C254))),AND(설정!$A$46&lt;&gt;"",ISNUMBER(SEARCH(설정!$A$46,E254&amp;" "&amp;C254))),AND(설정!$A$47&lt;&gt;"",ISNUMBER(SEARCH(설정!$A$47,E254&amp;" "&amp;C254))),AND(설정!$A$48&lt;&gt;"",ISNUMBER(SEARCH(설정!$A$48,E254&amp;" "&amp;C254))),AND(설정!$A$49&lt;&gt;"",ISNUMBER(SEARCH(설정!$A$49,E254&amp;" "&amp;C254))),AND(설정!$A$50&lt;&gt;"",ISNUMBER(SEARCH(설정!$A$50,E254&amp;" "&amp;C254))),AND(설정!$A$51&lt;&gt;"",ISNUMBER(SEARCH(설정!$A$51,E254&amp;" "&amp;C254))))</f>
        <v/>
      </c>
      <c r="S254">
        <f>OR(D254="",D254&gt;=설정!$B$19)</f>
        <v/>
      </c>
      <c r="T254">
        <f>AND(Q254,R254,S254)</f>
        <v/>
      </c>
      <c r="U254">
        <f>IF(T254,IF(AND(설정!$A$54&lt;&gt;"",ISNUMBER(SEARCH(설정!$A$54,K254))),설정!$B$54,IF(AND(설정!$A$55&lt;&gt;"",ISNUMBER(SEARCH(설정!$A$55,K254))),설정!$B$55,IF(AND(설정!$A$56&lt;&gt;"",ISNUMBER(SEARCH(설정!$A$56,K254))),설정!$B$56,IF(AND(설정!$A$57&lt;&gt;"",ISNUMBER(SEARCH(설정!$A$57,K254))),설정!$B$57,IF(AND(설정!$A$58&lt;&gt;"",ISNUMBER(SEARCH(설정!$A$58,K254))),설정!$B$58,IF(AND(설정!$A$59&lt;&gt;"",ISNUMBER(SEARCH(설정!$A$59,K254))),설정!$B$59,IF(AND(설정!$A$60&lt;&gt;"",ISNUMBER(SEARCH(설정!$A$60,K254))),설정!$B$60,IF(AND(설정!$A$61&lt;&gt;"",ISNUMBER(SEARCH(설정!$A$61,K254))),설정!$B$61,IF(M254="","설계사","시공사"))))))))),"")</f>
        <v/>
      </c>
      <c r="V254">
        <f>SUBSTITUTE(SUBSTITUTE(SUBSTITUTE(SUBSTITUTE(G254,"(주)",""),"㈜",""),"주식회사","")," ","")</f>
        <v/>
      </c>
      <c r="W254">
        <f>IF(AND(T254,V254&lt;&gt;""),IF(COUNTIFS(V$2:V254,V254,T$2:T254,TRUE)=1,MAX(W$1:W253)+1,""),"")</f>
        <v/>
      </c>
      <c r="X254">
        <f>IF(설정!$C$14="","",IFERROR(INDEX('1.산군_붙여넣기'!$A$1:$AZ$1001,ROW(),설정!$C$14)&amp;"",""))</f>
        <v/>
      </c>
      <c r="Y254">
        <f>IF(설정!$C$15="","",IFERROR(INDEX('1.산군_붙여넣기'!$A$1:$AZ$1001,ROW(),설정!$C$15)&amp;"",""))</f>
        <v/>
      </c>
      <c r="Z254">
        <f>IF(T254,V254&amp;"|"&amp;U254,"")</f>
        <v/>
      </c>
      <c r="AA254">
        <f>IF(NOT(Q254),"",IF(NOT(AND(R254,S254)),"✕",IF(OR(OR(AND(L254&lt;&gt;"",M254&lt;&gt;"",N(M254)-N(L254)&gt;설정!$B$27),AND(L254&lt;&gt;"",M254="",설정!$B$24-N(L254)&gt;설정!$B$27)),AND(D254&lt;&gt;"",D254&lt;설정!$B$26)),"△","★")))</f>
        <v/>
      </c>
      <c r="AB254">
        <f>IF(NOT(T254),"",IF(U254="설계사",설정!$B$31,IF(U254="시공사",IF(OR(M254="",설정!$B$24-N(M254)&lt;=설정!$B$28*30.4),설정!$B$32,설정!$B$33),설정!$B$34))+IF(AA254="★",설정!$B$35,0))</f>
        <v/>
      </c>
      <c r="AC254">
        <f>SUBSTITUTE(SUBSTITUTE(SUBSTITUTE(SUBSTITUTE(H254,"(주)",""),"㈜",""),"주식회사","")," ","")</f>
        <v/>
      </c>
      <c r="AD254">
        <f>IF(AND(T254,AC254&lt;&gt;""),IF(COUNTIFS(AC$2:AC254,AC254,T$2:T254,TRUE)=1,MAX(AD$1:AD253)+1,""),"")</f>
        <v/>
      </c>
    </row>
    <row r="255">
      <c r="A255">
        <f>ROW()</f>
        <v/>
      </c>
      <c r="B255">
        <f>IF(설정!$C$4="","",IFERROR(INDEX('1.산군_붙여넣기'!$A$1:$AZ$1001,ROW(),설정!$C$4)&amp;"",""))</f>
        <v/>
      </c>
      <c r="C255">
        <f>IF(설정!$C$5="","",IFERROR(INDEX('1.산군_붙여넣기'!$A$1:$AZ$1001,ROW(),설정!$C$5)&amp;"",""))</f>
        <v/>
      </c>
      <c r="D255" s="5">
        <f>IFERROR(VALUE(SUBSTITUTE(SUBSTITUTE(SUBSTITUTE(IF(설정!$C$6="","",IFERROR(INDEX('1.산군_붙여넣기'!$A$1:$AZ$1001,ROW(),설정!$C$6)&amp;"","")),",",""),"㎡",""),"m2","")),"")</f>
        <v/>
      </c>
      <c r="E255">
        <f>IF(설정!$C$7="","",IFERROR(INDEX('1.산군_붙여넣기'!$A$1:$AZ$1001,ROW(),설정!$C$7)&amp;"",""))</f>
        <v/>
      </c>
      <c r="F255">
        <f>IF(설정!$C$8="","",IFERROR(INDEX('1.산군_붙여넣기'!$A$1:$AZ$1001,ROW(),설정!$C$8)&amp;"",""))</f>
        <v/>
      </c>
      <c r="G255">
        <f>IF(설정!$C$9="","",IFERROR(INDEX('1.산군_붙여넣기'!$A$1:$AZ$1001,ROW(),설정!$C$9)&amp;"",""))</f>
        <v/>
      </c>
      <c r="H255">
        <f>IF(설정!$C$10="","",IFERROR(INDEX('1.산군_붙여넣기'!$A$1:$AZ$1001,ROW(),설정!$C$10)&amp;"",""))</f>
        <v/>
      </c>
      <c r="I255">
        <f>IF(설정!$C$11="","",IFERROR(INDEX('1.산군_붙여넣기'!$A$1:$AZ$1001,ROW(),설정!$C$11)&amp;"",""))</f>
        <v/>
      </c>
      <c r="J255">
        <f>IF(설정!$C$12="","",IFERROR(INDEX('1.산군_붙여넣기'!$A$1:$AZ$1001,ROW(),설정!$C$12)&amp;"",""))</f>
        <v/>
      </c>
      <c r="K255">
        <f>IF(설정!$C$13="","",IFERROR(INDEX('1.산군_붙여넣기'!$A$1:$AZ$1001,ROW(),설정!$C$13)&amp;"",""))</f>
        <v/>
      </c>
      <c r="L255" s="7">
        <f>IF(X255="","",IF(AND(LEN(X255)=8,ISNUMBER(X255*1)),DATE(LEFT(X255,4),MID(X255,5,2),RIGHT(X255,2)),IFERROR(DATEVALUE(SUBSTITUTE(SUBSTITUTE(X255,".","-"),"/","-")),IFERROR(X255*1,""))))</f>
        <v/>
      </c>
      <c r="M255" s="7">
        <f>IF(Y255="","",IF(AND(LEN(Y255)=8,ISNUMBER(Y255*1)),DATE(LEFT(Y255,4),MID(Y255,5,2),RIGHT(Y255,2)),IFERROR(DATEVALUE(SUBSTITUTE(SUBSTITUTE(Y255,".","-"),"/","-")),IFERROR(Y255*1,""))))</f>
        <v/>
      </c>
      <c r="N255">
        <f>IFERROR(LEFT(B255,FIND(" ",B255)-1),B255)</f>
        <v/>
      </c>
      <c r="O255">
        <f>AND(B255&lt;&gt;"",B255&lt;&gt;설정!$B$4,C255&lt;&gt;설정!$B$5)</f>
        <v/>
      </c>
      <c r="P255">
        <f>IF(O255,B255&amp;"|"&amp;C255,"")</f>
        <v/>
      </c>
      <c r="Q255">
        <f>AND(O255,COUNTIF(P256:P$1002,P255)=0)</f>
        <v/>
      </c>
      <c r="R255">
        <f>OR(AND(설정!$A$42&lt;&gt;"",ISNUMBER(SEARCH(설정!$A$42,E255&amp;" "&amp;C255))),AND(설정!$A$43&lt;&gt;"",ISNUMBER(SEARCH(설정!$A$43,E255&amp;" "&amp;C255))),AND(설정!$A$44&lt;&gt;"",ISNUMBER(SEARCH(설정!$A$44,E255&amp;" "&amp;C255))),AND(설정!$A$45&lt;&gt;"",ISNUMBER(SEARCH(설정!$A$45,E255&amp;" "&amp;C255))),AND(설정!$A$46&lt;&gt;"",ISNUMBER(SEARCH(설정!$A$46,E255&amp;" "&amp;C255))),AND(설정!$A$47&lt;&gt;"",ISNUMBER(SEARCH(설정!$A$47,E255&amp;" "&amp;C255))),AND(설정!$A$48&lt;&gt;"",ISNUMBER(SEARCH(설정!$A$48,E255&amp;" "&amp;C255))),AND(설정!$A$49&lt;&gt;"",ISNUMBER(SEARCH(설정!$A$49,E255&amp;" "&amp;C255))),AND(설정!$A$50&lt;&gt;"",ISNUMBER(SEARCH(설정!$A$50,E255&amp;" "&amp;C255))),AND(설정!$A$51&lt;&gt;"",ISNUMBER(SEARCH(설정!$A$51,E255&amp;" "&amp;C255))))</f>
        <v/>
      </c>
      <c r="S255">
        <f>OR(D255="",D255&gt;=설정!$B$19)</f>
        <v/>
      </c>
      <c r="T255">
        <f>AND(Q255,R255,S255)</f>
        <v/>
      </c>
      <c r="U255">
        <f>IF(T255,IF(AND(설정!$A$54&lt;&gt;"",ISNUMBER(SEARCH(설정!$A$54,K255))),설정!$B$54,IF(AND(설정!$A$55&lt;&gt;"",ISNUMBER(SEARCH(설정!$A$55,K255))),설정!$B$55,IF(AND(설정!$A$56&lt;&gt;"",ISNUMBER(SEARCH(설정!$A$56,K255))),설정!$B$56,IF(AND(설정!$A$57&lt;&gt;"",ISNUMBER(SEARCH(설정!$A$57,K255))),설정!$B$57,IF(AND(설정!$A$58&lt;&gt;"",ISNUMBER(SEARCH(설정!$A$58,K255))),설정!$B$58,IF(AND(설정!$A$59&lt;&gt;"",ISNUMBER(SEARCH(설정!$A$59,K255))),설정!$B$59,IF(AND(설정!$A$60&lt;&gt;"",ISNUMBER(SEARCH(설정!$A$60,K255))),설정!$B$60,IF(AND(설정!$A$61&lt;&gt;"",ISNUMBER(SEARCH(설정!$A$61,K255))),설정!$B$61,IF(M255="","설계사","시공사"))))))))),"")</f>
        <v/>
      </c>
      <c r="V255">
        <f>SUBSTITUTE(SUBSTITUTE(SUBSTITUTE(SUBSTITUTE(G255,"(주)",""),"㈜",""),"주식회사","")," ","")</f>
        <v/>
      </c>
      <c r="W255">
        <f>IF(AND(T255,V255&lt;&gt;""),IF(COUNTIFS(V$2:V255,V255,T$2:T255,TRUE)=1,MAX(W$1:W254)+1,""),"")</f>
        <v/>
      </c>
      <c r="X255">
        <f>IF(설정!$C$14="","",IFERROR(INDEX('1.산군_붙여넣기'!$A$1:$AZ$1001,ROW(),설정!$C$14)&amp;"",""))</f>
        <v/>
      </c>
      <c r="Y255">
        <f>IF(설정!$C$15="","",IFERROR(INDEX('1.산군_붙여넣기'!$A$1:$AZ$1001,ROW(),설정!$C$15)&amp;"",""))</f>
        <v/>
      </c>
      <c r="Z255">
        <f>IF(T255,V255&amp;"|"&amp;U255,"")</f>
        <v/>
      </c>
      <c r="AA255">
        <f>IF(NOT(Q255),"",IF(NOT(AND(R255,S255)),"✕",IF(OR(OR(AND(L255&lt;&gt;"",M255&lt;&gt;"",N(M255)-N(L255)&gt;설정!$B$27),AND(L255&lt;&gt;"",M255="",설정!$B$24-N(L255)&gt;설정!$B$27)),AND(D255&lt;&gt;"",D255&lt;설정!$B$26)),"△","★")))</f>
        <v/>
      </c>
      <c r="AB255">
        <f>IF(NOT(T255),"",IF(U255="설계사",설정!$B$31,IF(U255="시공사",IF(OR(M255="",설정!$B$24-N(M255)&lt;=설정!$B$28*30.4),설정!$B$32,설정!$B$33),설정!$B$34))+IF(AA255="★",설정!$B$35,0))</f>
        <v/>
      </c>
      <c r="AC255">
        <f>SUBSTITUTE(SUBSTITUTE(SUBSTITUTE(SUBSTITUTE(H255,"(주)",""),"㈜",""),"주식회사","")," ","")</f>
        <v/>
      </c>
      <c r="AD255">
        <f>IF(AND(T255,AC255&lt;&gt;""),IF(COUNTIFS(AC$2:AC255,AC255,T$2:T255,TRUE)=1,MAX(AD$1:AD254)+1,""),"")</f>
        <v/>
      </c>
    </row>
    <row r="256">
      <c r="A256">
        <f>ROW()</f>
        <v/>
      </c>
      <c r="B256">
        <f>IF(설정!$C$4="","",IFERROR(INDEX('1.산군_붙여넣기'!$A$1:$AZ$1001,ROW(),설정!$C$4)&amp;"",""))</f>
        <v/>
      </c>
      <c r="C256">
        <f>IF(설정!$C$5="","",IFERROR(INDEX('1.산군_붙여넣기'!$A$1:$AZ$1001,ROW(),설정!$C$5)&amp;"",""))</f>
        <v/>
      </c>
      <c r="D256" s="5">
        <f>IFERROR(VALUE(SUBSTITUTE(SUBSTITUTE(SUBSTITUTE(IF(설정!$C$6="","",IFERROR(INDEX('1.산군_붙여넣기'!$A$1:$AZ$1001,ROW(),설정!$C$6)&amp;"","")),",",""),"㎡",""),"m2","")),"")</f>
        <v/>
      </c>
      <c r="E256">
        <f>IF(설정!$C$7="","",IFERROR(INDEX('1.산군_붙여넣기'!$A$1:$AZ$1001,ROW(),설정!$C$7)&amp;"",""))</f>
        <v/>
      </c>
      <c r="F256">
        <f>IF(설정!$C$8="","",IFERROR(INDEX('1.산군_붙여넣기'!$A$1:$AZ$1001,ROW(),설정!$C$8)&amp;"",""))</f>
        <v/>
      </c>
      <c r="G256">
        <f>IF(설정!$C$9="","",IFERROR(INDEX('1.산군_붙여넣기'!$A$1:$AZ$1001,ROW(),설정!$C$9)&amp;"",""))</f>
        <v/>
      </c>
      <c r="H256">
        <f>IF(설정!$C$10="","",IFERROR(INDEX('1.산군_붙여넣기'!$A$1:$AZ$1001,ROW(),설정!$C$10)&amp;"",""))</f>
        <v/>
      </c>
      <c r="I256">
        <f>IF(설정!$C$11="","",IFERROR(INDEX('1.산군_붙여넣기'!$A$1:$AZ$1001,ROW(),설정!$C$11)&amp;"",""))</f>
        <v/>
      </c>
      <c r="J256">
        <f>IF(설정!$C$12="","",IFERROR(INDEX('1.산군_붙여넣기'!$A$1:$AZ$1001,ROW(),설정!$C$12)&amp;"",""))</f>
        <v/>
      </c>
      <c r="K256">
        <f>IF(설정!$C$13="","",IFERROR(INDEX('1.산군_붙여넣기'!$A$1:$AZ$1001,ROW(),설정!$C$13)&amp;"",""))</f>
        <v/>
      </c>
      <c r="L256" s="7">
        <f>IF(X256="","",IF(AND(LEN(X256)=8,ISNUMBER(X256*1)),DATE(LEFT(X256,4),MID(X256,5,2),RIGHT(X256,2)),IFERROR(DATEVALUE(SUBSTITUTE(SUBSTITUTE(X256,".","-"),"/","-")),IFERROR(X256*1,""))))</f>
        <v/>
      </c>
      <c r="M256" s="7">
        <f>IF(Y256="","",IF(AND(LEN(Y256)=8,ISNUMBER(Y256*1)),DATE(LEFT(Y256,4),MID(Y256,5,2),RIGHT(Y256,2)),IFERROR(DATEVALUE(SUBSTITUTE(SUBSTITUTE(Y256,".","-"),"/","-")),IFERROR(Y256*1,""))))</f>
        <v/>
      </c>
      <c r="N256">
        <f>IFERROR(LEFT(B256,FIND(" ",B256)-1),B256)</f>
        <v/>
      </c>
      <c r="O256">
        <f>AND(B256&lt;&gt;"",B256&lt;&gt;설정!$B$4,C256&lt;&gt;설정!$B$5)</f>
        <v/>
      </c>
      <c r="P256">
        <f>IF(O256,B256&amp;"|"&amp;C256,"")</f>
        <v/>
      </c>
      <c r="Q256">
        <f>AND(O256,COUNTIF(P257:P$1002,P256)=0)</f>
        <v/>
      </c>
      <c r="R256">
        <f>OR(AND(설정!$A$42&lt;&gt;"",ISNUMBER(SEARCH(설정!$A$42,E256&amp;" "&amp;C256))),AND(설정!$A$43&lt;&gt;"",ISNUMBER(SEARCH(설정!$A$43,E256&amp;" "&amp;C256))),AND(설정!$A$44&lt;&gt;"",ISNUMBER(SEARCH(설정!$A$44,E256&amp;" "&amp;C256))),AND(설정!$A$45&lt;&gt;"",ISNUMBER(SEARCH(설정!$A$45,E256&amp;" "&amp;C256))),AND(설정!$A$46&lt;&gt;"",ISNUMBER(SEARCH(설정!$A$46,E256&amp;" "&amp;C256))),AND(설정!$A$47&lt;&gt;"",ISNUMBER(SEARCH(설정!$A$47,E256&amp;" "&amp;C256))),AND(설정!$A$48&lt;&gt;"",ISNUMBER(SEARCH(설정!$A$48,E256&amp;" "&amp;C256))),AND(설정!$A$49&lt;&gt;"",ISNUMBER(SEARCH(설정!$A$49,E256&amp;" "&amp;C256))),AND(설정!$A$50&lt;&gt;"",ISNUMBER(SEARCH(설정!$A$50,E256&amp;" "&amp;C256))),AND(설정!$A$51&lt;&gt;"",ISNUMBER(SEARCH(설정!$A$51,E256&amp;" "&amp;C256))))</f>
        <v/>
      </c>
      <c r="S256">
        <f>OR(D256="",D256&gt;=설정!$B$19)</f>
        <v/>
      </c>
      <c r="T256">
        <f>AND(Q256,R256,S256)</f>
        <v/>
      </c>
      <c r="U256">
        <f>IF(T256,IF(AND(설정!$A$54&lt;&gt;"",ISNUMBER(SEARCH(설정!$A$54,K256))),설정!$B$54,IF(AND(설정!$A$55&lt;&gt;"",ISNUMBER(SEARCH(설정!$A$55,K256))),설정!$B$55,IF(AND(설정!$A$56&lt;&gt;"",ISNUMBER(SEARCH(설정!$A$56,K256))),설정!$B$56,IF(AND(설정!$A$57&lt;&gt;"",ISNUMBER(SEARCH(설정!$A$57,K256))),설정!$B$57,IF(AND(설정!$A$58&lt;&gt;"",ISNUMBER(SEARCH(설정!$A$58,K256))),설정!$B$58,IF(AND(설정!$A$59&lt;&gt;"",ISNUMBER(SEARCH(설정!$A$59,K256))),설정!$B$59,IF(AND(설정!$A$60&lt;&gt;"",ISNUMBER(SEARCH(설정!$A$60,K256))),설정!$B$60,IF(AND(설정!$A$61&lt;&gt;"",ISNUMBER(SEARCH(설정!$A$61,K256))),설정!$B$61,IF(M256="","설계사","시공사"))))))))),"")</f>
        <v/>
      </c>
      <c r="V256">
        <f>SUBSTITUTE(SUBSTITUTE(SUBSTITUTE(SUBSTITUTE(G256,"(주)",""),"㈜",""),"주식회사","")," ","")</f>
        <v/>
      </c>
      <c r="W256">
        <f>IF(AND(T256,V256&lt;&gt;""),IF(COUNTIFS(V$2:V256,V256,T$2:T256,TRUE)=1,MAX(W$1:W255)+1,""),"")</f>
        <v/>
      </c>
      <c r="X256">
        <f>IF(설정!$C$14="","",IFERROR(INDEX('1.산군_붙여넣기'!$A$1:$AZ$1001,ROW(),설정!$C$14)&amp;"",""))</f>
        <v/>
      </c>
      <c r="Y256">
        <f>IF(설정!$C$15="","",IFERROR(INDEX('1.산군_붙여넣기'!$A$1:$AZ$1001,ROW(),설정!$C$15)&amp;"",""))</f>
        <v/>
      </c>
      <c r="Z256">
        <f>IF(T256,V256&amp;"|"&amp;U256,"")</f>
        <v/>
      </c>
      <c r="AA256">
        <f>IF(NOT(Q256),"",IF(NOT(AND(R256,S256)),"✕",IF(OR(OR(AND(L256&lt;&gt;"",M256&lt;&gt;"",N(M256)-N(L256)&gt;설정!$B$27),AND(L256&lt;&gt;"",M256="",설정!$B$24-N(L256)&gt;설정!$B$27)),AND(D256&lt;&gt;"",D256&lt;설정!$B$26)),"△","★")))</f>
        <v/>
      </c>
      <c r="AB256">
        <f>IF(NOT(T256),"",IF(U256="설계사",설정!$B$31,IF(U256="시공사",IF(OR(M256="",설정!$B$24-N(M256)&lt;=설정!$B$28*30.4),설정!$B$32,설정!$B$33),설정!$B$34))+IF(AA256="★",설정!$B$35,0))</f>
        <v/>
      </c>
      <c r="AC256">
        <f>SUBSTITUTE(SUBSTITUTE(SUBSTITUTE(SUBSTITUTE(H256,"(주)",""),"㈜",""),"주식회사","")," ","")</f>
        <v/>
      </c>
      <c r="AD256">
        <f>IF(AND(T256,AC256&lt;&gt;""),IF(COUNTIFS(AC$2:AC256,AC256,T$2:T256,TRUE)=1,MAX(AD$1:AD255)+1,""),"")</f>
        <v/>
      </c>
    </row>
    <row r="257">
      <c r="A257">
        <f>ROW()</f>
        <v/>
      </c>
      <c r="B257">
        <f>IF(설정!$C$4="","",IFERROR(INDEX('1.산군_붙여넣기'!$A$1:$AZ$1001,ROW(),설정!$C$4)&amp;"",""))</f>
        <v/>
      </c>
      <c r="C257">
        <f>IF(설정!$C$5="","",IFERROR(INDEX('1.산군_붙여넣기'!$A$1:$AZ$1001,ROW(),설정!$C$5)&amp;"",""))</f>
        <v/>
      </c>
      <c r="D257" s="5">
        <f>IFERROR(VALUE(SUBSTITUTE(SUBSTITUTE(SUBSTITUTE(IF(설정!$C$6="","",IFERROR(INDEX('1.산군_붙여넣기'!$A$1:$AZ$1001,ROW(),설정!$C$6)&amp;"","")),",",""),"㎡",""),"m2","")),"")</f>
        <v/>
      </c>
      <c r="E257">
        <f>IF(설정!$C$7="","",IFERROR(INDEX('1.산군_붙여넣기'!$A$1:$AZ$1001,ROW(),설정!$C$7)&amp;"",""))</f>
        <v/>
      </c>
      <c r="F257">
        <f>IF(설정!$C$8="","",IFERROR(INDEX('1.산군_붙여넣기'!$A$1:$AZ$1001,ROW(),설정!$C$8)&amp;"",""))</f>
        <v/>
      </c>
      <c r="G257">
        <f>IF(설정!$C$9="","",IFERROR(INDEX('1.산군_붙여넣기'!$A$1:$AZ$1001,ROW(),설정!$C$9)&amp;"",""))</f>
        <v/>
      </c>
      <c r="H257">
        <f>IF(설정!$C$10="","",IFERROR(INDEX('1.산군_붙여넣기'!$A$1:$AZ$1001,ROW(),설정!$C$10)&amp;"",""))</f>
        <v/>
      </c>
      <c r="I257">
        <f>IF(설정!$C$11="","",IFERROR(INDEX('1.산군_붙여넣기'!$A$1:$AZ$1001,ROW(),설정!$C$11)&amp;"",""))</f>
        <v/>
      </c>
      <c r="J257">
        <f>IF(설정!$C$12="","",IFERROR(INDEX('1.산군_붙여넣기'!$A$1:$AZ$1001,ROW(),설정!$C$12)&amp;"",""))</f>
        <v/>
      </c>
      <c r="K257">
        <f>IF(설정!$C$13="","",IFERROR(INDEX('1.산군_붙여넣기'!$A$1:$AZ$1001,ROW(),설정!$C$13)&amp;"",""))</f>
        <v/>
      </c>
      <c r="L257" s="7">
        <f>IF(X257="","",IF(AND(LEN(X257)=8,ISNUMBER(X257*1)),DATE(LEFT(X257,4),MID(X257,5,2),RIGHT(X257,2)),IFERROR(DATEVALUE(SUBSTITUTE(SUBSTITUTE(X257,".","-"),"/","-")),IFERROR(X257*1,""))))</f>
        <v/>
      </c>
      <c r="M257" s="7">
        <f>IF(Y257="","",IF(AND(LEN(Y257)=8,ISNUMBER(Y257*1)),DATE(LEFT(Y257,4),MID(Y257,5,2),RIGHT(Y257,2)),IFERROR(DATEVALUE(SUBSTITUTE(SUBSTITUTE(Y257,".","-"),"/","-")),IFERROR(Y257*1,""))))</f>
        <v/>
      </c>
      <c r="N257">
        <f>IFERROR(LEFT(B257,FIND(" ",B257)-1),B257)</f>
        <v/>
      </c>
      <c r="O257">
        <f>AND(B257&lt;&gt;"",B257&lt;&gt;설정!$B$4,C257&lt;&gt;설정!$B$5)</f>
        <v/>
      </c>
      <c r="P257">
        <f>IF(O257,B257&amp;"|"&amp;C257,"")</f>
        <v/>
      </c>
      <c r="Q257">
        <f>AND(O257,COUNTIF(P258:P$1002,P257)=0)</f>
        <v/>
      </c>
      <c r="R257">
        <f>OR(AND(설정!$A$42&lt;&gt;"",ISNUMBER(SEARCH(설정!$A$42,E257&amp;" "&amp;C257))),AND(설정!$A$43&lt;&gt;"",ISNUMBER(SEARCH(설정!$A$43,E257&amp;" "&amp;C257))),AND(설정!$A$44&lt;&gt;"",ISNUMBER(SEARCH(설정!$A$44,E257&amp;" "&amp;C257))),AND(설정!$A$45&lt;&gt;"",ISNUMBER(SEARCH(설정!$A$45,E257&amp;" "&amp;C257))),AND(설정!$A$46&lt;&gt;"",ISNUMBER(SEARCH(설정!$A$46,E257&amp;" "&amp;C257))),AND(설정!$A$47&lt;&gt;"",ISNUMBER(SEARCH(설정!$A$47,E257&amp;" "&amp;C257))),AND(설정!$A$48&lt;&gt;"",ISNUMBER(SEARCH(설정!$A$48,E257&amp;" "&amp;C257))),AND(설정!$A$49&lt;&gt;"",ISNUMBER(SEARCH(설정!$A$49,E257&amp;" "&amp;C257))),AND(설정!$A$50&lt;&gt;"",ISNUMBER(SEARCH(설정!$A$50,E257&amp;" "&amp;C257))),AND(설정!$A$51&lt;&gt;"",ISNUMBER(SEARCH(설정!$A$51,E257&amp;" "&amp;C257))))</f>
        <v/>
      </c>
      <c r="S257">
        <f>OR(D257="",D257&gt;=설정!$B$19)</f>
        <v/>
      </c>
      <c r="T257">
        <f>AND(Q257,R257,S257)</f>
        <v/>
      </c>
      <c r="U257">
        <f>IF(T257,IF(AND(설정!$A$54&lt;&gt;"",ISNUMBER(SEARCH(설정!$A$54,K257))),설정!$B$54,IF(AND(설정!$A$55&lt;&gt;"",ISNUMBER(SEARCH(설정!$A$55,K257))),설정!$B$55,IF(AND(설정!$A$56&lt;&gt;"",ISNUMBER(SEARCH(설정!$A$56,K257))),설정!$B$56,IF(AND(설정!$A$57&lt;&gt;"",ISNUMBER(SEARCH(설정!$A$57,K257))),설정!$B$57,IF(AND(설정!$A$58&lt;&gt;"",ISNUMBER(SEARCH(설정!$A$58,K257))),설정!$B$58,IF(AND(설정!$A$59&lt;&gt;"",ISNUMBER(SEARCH(설정!$A$59,K257))),설정!$B$59,IF(AND(설정!$A$60&lt;&gt;"",ISNUMBER(SEARCH(설정!$A$60,K257))),설정!$B$60,IF(AND(설정!$A$61&lt;&gt;"",ISNUMBER(SEARCH(설정!$A$61,K257))),설정!$B$61,IF(M257="","설계사","시공사"))))))))),"")</f>
        <v/>
      </c>
      <c r="V257">
        <f>SUBSTITUTE(SUBSTITUTE(SUBSTITUTE(SUBSTITUTE(G257,"(주)",""),"㈜",""),"주식회사","")," ","")</f>
        <v/>
      </c>
      <c r="W257">
        <f>IF(AND(T257,V257&lt;&gt;""),IF(COUNTIFS(V$2:V257,V257,T$2:T257,TRUE)=1,MAX(W$1:W256)+1,""),"")</f>
        <v/>
      </c>
      <c r="X257">
        <f>IF(설정!$C$14="","",IFERROR(INDEX('1.산군_붙여넣기'!$A$1:$AZ$1001,ROW(),설정!$C$14)&amp;"",""))</f>
        <v/>
      </c>
      <c r="Y257">
        <f>IF(설정!$C$15="","",IFERROR(INDEX('1.산군_붙여넣기'!$A$1:$AZ$1001,ROW(),설정!$C$15)&amp;"",""))</f>
        <v/>
      </c>
      <c r="Z257">
        <f>IF(T257,V257&amp;"|"&amp;U257,"")</f>
        <v/>
      </c>
      <c r="AA257">
        <f>IF(NOT(Q257),"",IF(NOT(AND(R257,S257)),"✕",IF(OR(OR(AND(L257&lt;&gt;"",M257&lt;&gt;"",N(M257)-N(L257)&gt;설정!$B$27),AND(L257&lt;&gt;"",M257="",설정!$B$24-N(L257)&gt;설정!$B$27)),AND(D257&lt;&gt;"",D257&lt;설정!$B$26)),"△","★")))</f>
        <v/>
      </c>
      <c r="AB257">
        <f>IF(NOT(T257),"",IF(U257="설계사",설정!$B$31,IF(U257="시공사",IF(OR(M257="",설정!$B$24-N(M257)&lt;=설정!$B$28*30.4),설정!$B$32,설정!$B$33),설정!$B$34))+IF(AA257="★",설정!$B$35,0))</f>
        <v/>
      </c>
      <c r="AC257">
        <f>SUBSTITUTE(SUBSTITUTE(SUBSTITUTE(SUBSTITUTE(H257,"(주)",""),"㈜",""),"주식회사","")," ","")</f>
        <v/>
      </c>
      <c r="AD257">
        <f>IF(AND(T257,AC257&lt;&gt;""),IF(COUNTIFS(AC$2:AC257,AC257,T$2:T257,TRUE)=1,MAX(AD$1:AD256)+1,""),"")</f>
        <v/>
      </c>
    </row>
    <row r="258">
      <c r="A258">
        <f>ROW()</f>
        <v/>
      </c>
      <c r="B258">
        <f>IF(설정!$C$4="","",IFERROR(INDEX('1.산군_붙여넣기'!$A$1:$AZ$1001,ROW(),설정!$C$4)&amp;"",""))</f>
        <v/>
      </c>
      <c r="C258">
        <f>IF(설정!$C$5="","",IFERROR(INDEX('1.산군_붙여넣기'!$A$1:$AZ$1001,ROW(),설정!$C$5)&amp;"",""))</f>
        <v/>
      </c>
      <c r="D258" s="5">
        <f>IFERROR(VALUE(SUBSTITUTE(SUBSTITUTE(SUBSTITUTE(IF(설정!$C$6="","",IFERROR(INDEX('1.산군_붙여넣기'!$A$1:$AZ$1001,ROW(),설정!$C$6)&amp;"","")),",",""),"㎡",""),"m2","")),"")</f>
        <v/>
      </c>
      <c r="E258">
        <f>IF(설정!$C$7="","",IFERROR(INDEX('1.산군_붙여넣기'!$A$1:$AZ$1001,ROW(),설정!$C$7)&amp;"",""))</f>
        <v/>
      </c>
      <c r="F258">
        <f>IF(설정!$C$8="","",IFERROR(INDEX('1.산군_붙여넣기'!$A$1:$AZ$1001,ROW(),설정!$C$8)&amp;"",""))</f>
        <v/>
      </c>
      <c r="G258">
        <f>IF(설정!$C$9="","",IFERROR(INDEX('1.산군_붙여넣기'!$A$1:$AZ$1001,ROW(),설정!$C$9)&amp;"",""))</f>
        <v/>
      </c>
      <c r="H258">
        <f>IF(설정!$C$10="","",IFERROR(INDEX('1.산군_붙여넣기'!$A$1:$AZ$1001,ROW(),설정!$C$10)&amp;"",""))</f>
        <v/>
      </c>
      <c r="I258">
        <f>IF(설정!$C$11="","",IFERROR(INDEX('1.산군_붙여넣기'!$A$1:$AZ$1001,ROW(),설정!$C$11)&amp;"",""))</f>
        <v/>
      </c>
      <c r="J258">
        <f>IF(설정!$C$12="","",IFERROR(INDEX('1.산군_붙여넣기'!$A$1:$AZ$1001,ROW(),설정!$C$12)&amp;"",""))</f>
        <v/>
      </c>
      <c r="K258">
        <f>IF(설정!$C$13="","",IFERROR(INDEX('1.산군_붙여넣기'!$A$1:$AZ$1001,ROW(),설정!$C$13)&amp;"",""))</f>
        <v/>
      </c>
      <c r="L258" s="7">
        <f>IF(X258="","",IF(AND(LEN(X258)=8,ISNUMBER(X258*1)),DATE(LEFT(X258,4),MID(X258,5,2),RIGHT(X258,2)),IFERROR(DATEVALUE(SUBSTITUTE(SUBSTITUTE(X258,".","-"),"/","-")),IFERROR(X258*1,""))))</f>
        <v/>
      </c>
      <c r="M258" s="7">
        <f>IF(Y258="","",IF(AND(LEN(Y258)=8,ISNUMBER(Y258*1)),DATE(LEFT(Y258,4),MID(Y258,5,2),RIGHT(Y258,2)),IFERROR(DATEVALUE(SUBSTITUTE(SUBSTITUTE(Y258,".","-"),"/","-")),IFERROR(Y258*1,""))))</f>
        <v/>
      </c>
      <c r="N258">
        <f>IFERROR(LEFT(B258,FIND(" ",B258)-1),B258)</f>
        <v/>
      </c>
      <c r="O258">
        <f>AND(B258&lt;&gt;"",B258&lt;&gt;설정!$B$4,C258&lt;&gt;설정!$B$5)</f>
        <v/>
      </c>
      <c r="P258">
        <f>IF(O258,B258&amp;"|"&amp;C258,"")</f>
        <v/>
      </c>
      <c r="Q258">
        <f>AND(O258,COUNTIF(P259:P$1002,P258)=0)</f>
        <v/>
      </c>
      <c r="R258">
        <f>OR(AND(설정!$A$42&lt;&gt;"",ISNUMBER(SEARCH(설정!$A$42,E258&amp;" "&amp;C258))),AND(설정!$A$43&lt;&gt;"",ISNUMBER(SEARCH(설정!$A$43,E258&amp;" "&amp;C258))),AND(설정!$A$44&lt;&gt;"",ISNUMBER(SEARCH(설정!$A$44,E258&amp;" "&amp;C258))),AND(설정!$A$45&lt;&gt;"",ISNUMBER(SEARCH(설정!$A$45,E258&amp;" "&amp;C258))),AND(설정!$A$46&lt;&gt;"",ISNUMBER(SEARCH(설정!$A$46,E258&amp;" "&amp;C258))),AND(설정!$A$47&lt;&gt;"",ISNUMBER(SEARCH(설정!$A$47,E258&amp;" "&amp;C258))),AND(설정!$A$48&lt;&gt;"",ISNUMBER(SEARCH(설정!$A$48,E258&amp;" "&amp;C258))),AND(설정!$A$49&lt;&gt;"",ISNUMBER(SEARCH(설정!$A$49,E258&amp;" "&amp;C258))),AND(설정!$A$50&lt;&gt;"",ISNUMBER(SEARCH(설정!$A$50,E258&amp;" "&amp;C258))),AND(설정!$A$51&lt;&gt;"",ISNUMBER(SEARCH(설정!$A$51,E258&amp;" "&amp;C258))))</f>
        <v/>
      </c>
      <c r="S258">
        <f>OR(D258="",D258&gt;=설정!$B$19)</f>
        <v/>
      </c>
      <c r="T258">
        <f>AND(Q258,R258,S258)</f>
        <v/>
      </c>
      <c r="U258">
        <f>IF(T258,IF(AND(설정!$A$54&lt;&gt;"",ISNUMBER(SEARCH(설정!$A$54,K258))),설정!$B$54,IF(AND(설정!$A$55&lt;&gt;"",ISNUMBER(SEARCH(설정!$A$55,K258))),설정!$B$55,IF(AND(설정!$A$56&lt;&gt;"",ISNUMBER(SEARCH(설정!$A$56,K258))),설정!$B$56,IF(AND(설정!$A$57&lt;&gt;"",ISNUMBER(SEARCH(설정!$A$57,K258))),설정!$B$57,IF(AND(설정!$A$58&lt;&gt;"",ISNUMBER(SEARCH(설정!$A$58,K258))),설정!$B$58,IF(AND(설정!$A$59&lt;&gt;"",ISNUMBER(SEARCH(설정!$A$59,K258))),설정!$B$59,IF(AND(설정!$A$60&lt;&gt;"",ISNUMBER(SEARCH(설정!$A$60,K258))),설정!$B$60,IF(AND(설정!$A$61&lt;&gt;"",ISNUMBER(SEARCH(설정!$A$61,K258))),설정!$B$61,IF(M258="","설계사","시공사"))))))))),"")</f>
        <v/>
      </c>
      <c r="V258">
        <f>SUBSTITUTE(SUBSTITUTE(SUBSTITUTE(SUBSTITUTE(G258,"(주)",""),"㈜",""),"주식회사","")," ","")</f>
        <v/>
      </c>
      <c r="W258">
        <f>IF(AND(T258,V258&lt;&gt;""),IF(COUNTIFS(V$2:V258,V258,T$2:T258,TRUE)=1,MAX(W$1:W257)+1,""),"")</f>
        <v/>
      </c>
      <c r="X258">
        <f>IF(설정!$C$14="","",IFERROR(INDEX('1.산군_붙여넣기'!$A$1:$AZ$1001,ROW(),설정!$C$14)&amp;"",""))</f>
        <v/>
      </c>
      <c r="Y258">
        <f>IF(설정!$C$15="","",IFERROR(INDEX('1.산군_붙여넣기'!$A$1:$AZ$1001,ROW(),설정!$C$15)&amp;"",""))</f>
        <v/>
      </c>
      <c r="Z258">
        <f>IF(T258,V258&amp;"|"&amp;U258,"")</f>
        <v/>
      </c>
      <c r="AA258">
        <f>IF(NOT(Q258),"",IF(NOT(AND(R258,S258)),"✕",IF(OR(OR(AND(L258&lt;&gt;"",M258&lt;&gt;"",N(M258)-N(L258)&gt;설정!$B$27),AND(L258&lt;&gt;"",M258="",설정!$B$24-N(L258)&gt;설정!$B$27)),AND(D258&lt;&gt;"",D258&lt;설정!$B$26)),"△","★")))</f>
        <v/>
      </c>
      <c r="AB258">
        <f>IF(NOT(T258),"",IF(U258="설계사",설정!$B$31,IF(U258="시공사",IF(OR(M258="",설정!$B$24-N(M258)&lt;=설정!$B$28*30.4),설정!$B$32,설정!$B$33),설정!$B$34))+IF(AA258="★",설정!$B$35,0))</f>
        <v/>
      </c>
      <c r="AC258">
        <f>SUBSTITUTE(SUBSTITUTE(SUBSTITUTE(SUBSTITUTE(H258,"(주)",""),"㈜",""),"주식회사","")," ","")</f>
        <v/>
      </c>
      <c r="AD258">
        <f>IF(AND(T258,AC258&lt;&gt;""),IF(COUNTIFS(AC$2:AC258,AC258,T$2:T258,TRUE)=1,MAX(AD$1:AD257)+1,""),"")</f>
        <v/>
      </c>
    </row>
    <row r="259">
      <c r="A259">
        <f>ROW()</f>
        <v/>
      </c>
      <c r="B259">
        <f>IF(설정!$C$4="","",IFERROR(INDEX('1.산군_붙여넣기'!$A$1:$AZ$1001,ROW(),설정!$C$4)&amp;"",""))</f>
        <v/>
      </c>
      <c r="C259">
        <f>IF(설정!$C$5="","",IFERROR(INDEX('1.산군_붙여넣기'!$A$1:$AZ$1001,ROW(),설정!$C$5)&amp;"",""))</f>
        <v/>
      </c>
      <c r="D259" s="5">
        <f>IFERROR(VALUE(SUBSTITUTE(SUBSTITUTE(SUBSTITUTE(IF(설정!$C$6="","",IFERROR(INDEX('1.산군_붙여넣기'!$A$1:$AZ$1001,ROW(),설정!$C$6)&amp;"","")),",",""),"㎡",""),"m2","")),"")</f>
        <v/>
      </c>
      <c r="E259">
        <f>IF(설정!$C$7="","",IFERROR(INDEX('1.산군_붙여넣기'!$A$1:$AZ$1001,ROW(),설정!$C$7)&amp;"",""))</f>
        <v/>
      </c>
      <c r="F259">
        <f>IF(설정!$C$8="","",IFERROR(INDEX('1.산군_붙여넣기'!$A$1:$AZ$1001,ROW(),설정!$C$8)&amp;"",""))</f>
        <v/>
      </c>
      <c r="G259">
        <f>IF(설정!$C$9="","",IFERROR(INDEX('1.산군_붙여넣기'!$A$1:$AZ$1001,ROW(),설정!$C$9)&amp;"",""))</f>
        <v/>
      </c>
      <c r="H259">
        <f>IF(설정!$C$10="","",IFERROR(INDEX('1.산군_붙여넣기'!$A$1:$AZ$1001,ROW(),설정!$C$10)&amp;"",""))</f>
        <v/>
      </c>
      <c r="I259">
        <f>IF(설정!$C$11="","",IFERROR(INDEX('1.산군_붙여넣기'!$A$1:$AZ$1001,ROW(),설정!$C$11)&amp;"",""))</f>
        <v/>
      </c>
      <c r="J259">
        <f>IF(설정!$C$12="","",IFERROR(INDEX('1.산군_붙여넣기'!$A$1:$AZ$1001,ROW(),설정!$C$12)&amp;"",""))</f>
        <v/>
      </c>
      <c r="K259">
        <f>IF(설정!$C$13="","",IFERROR(INDEX('1.산군_붙여넣기'!$A$1:$AZ$1001,ROW(),설정!$C$13)&amp;"",""))</f>
        <v/>
      </c>
      <c r="L259" s="7">
        <f>IF(X259="","",IF(AND(LEN(X259)=8,ISNUMBER(X259*1)),DATE(LEFT(X259,4),MID(X259,5,2),RIGHT(X259,2)),IFERROR(DATEVALUE(SUBSTITUTE(SUBSTITUTE(X259,".","-"),"/","-")),IFERROR(X259*1,""))))</f>
        <v/>
      </c>
      <c r="M259" s="7">
        <f>IF(Y259="","",IF(AND(LEN(Y259)=8,ISNUMBER(Y259*1)),DATE(LEFT(Y259,4),MID(Y259,5,2),RIGHT(Y259,2)),IFERROR(DATEVALUE(SUBSTITUTE(SUBSTITUTE(Y259,".","-"),"/","-")),IFERROR(Y259*1,""))))</f>
        <v/>
      </c>
      <c r="N259">
        <f>IFERROR(LEFT(B259,FIND(" ",B259)-1),B259)</f>
        <v/>
      </c>
      <c r="O259">
        <f>AND(B259&lt;&gt;"",B259&lt;&gt;설정!$B$4,C259&lt;&gt;설정!$B$5)</f>
        <v/>
      </c>
      <c r="P259">
        <f>IF(O259,B259&amp;"|"&amp;C259,"")</f>
        <v/>
      </c>
      <c r="Q259">
        <f>AND(O259,COUNTIF(P260:P$1002,P259)=0)</f>
        <v/>
      </c>
      <c r="R259">
        <f>OR(AND(설정!$A$42&lt;&gt;"",ISNUMBER(SEARCH(설정!$A$42,E259&amp;" "&amp;C259))),AND(설정!$A$43&lt;&gt;"",ISNUMBER(SEARCH(설정!$A$43,E259&amp;" "&amp;C259))),AND(설정!$A$44&lt;&gt;"",ISNUMBER(SEARCH(설정!$A$44,E259&amp;" "&amp;C259))),AND(설정!$A$45&lt;&gt;"",ISNUMBER(SEARCH(설정!$A$45,E259&amp;" "&amp;C259))),AND(설정!$A$46&lt;&gt;"",ISNUMBER(SEARCH(설정!$A$46,E259&amp;" "&amp;C259))),AND(설정!$A$47&lt;&gt;"",ISNUMBER(SEARCH(설정!$A$47,E259&amp;" "&amp;C259))),AND(설정!$A$48&lt;&gt;"",ISNUMBER(SEARCH(설정!$A$48,E259&amp;" "&amp;C259))),AND(설정!$A$49&lt;&gt;"",ISNUMBER(SEARCH(설정!$A$49,E259&amp;" "&amp;C259))),AND(설정!$A$50&lt;&gt;"",ISNUMBER(SEARCH(설정!$A$50,E259&amp;" "&amp;C259))),AND(설정!$A$51&lt;&gt;"",ISNUMBER(SEARCH(설정!$A$51,E259&amp;" "&amp;C259))))</f>
        <v/>
      </c>
      <c r="S259">
        <f>OR(D259="",D259&gt;=설정!$B$19)</f>
        <v/>
      </c>
      <c r="T259">
        <f>AND(Q259,R259,S259)</f>
        <v/>
      </c>
      <c r="U259">
        <f>IF(T259,IF(AND(설정!$A$54&lt;&gt;"",ISNUMBER(SEARCH(설정!$A$54,K259))),설정!$B$54,IF(AND(설정!$A$55&lt;&gt;"",ISNUMBER(SEARCH(설정!$A$55,K259))),설정!$B$55,IF(AND(설정!$A$56&lt;&gt;"",ISNUMBER(SEARCH(설정!$A$56,K259))),설정!$B$56,IF(AND(설정!$A$57&lt;&gt;"",ISNUMBER(SEARCH(설정!$A$57,K259))),설정!$B$57,IF(AND(설정!$A$58&lt;&gt;"",ISNUMBER(SEARCH(설정!$A$58,K259))),설정!$B$58,IF(AND(설정!$A$59&lt;&gt;"",ISNUMBER(SEARCH(설정!$A$59,K259))),설정!$B$59,IF(AND(설정!$A$60&lt;&gt;"",ISNUMBER(SEARCH(설정!$A$60,K259))),설정!$B$60,IF(AND(설정!$A$61&lt;&gt;"",ISNUMBER(SEARCH(설정!$A$61,K259))),설정!$B$61,IF(M259="","설계사","시공사"))))))))),"")</f>
        <v/>
      </c>
      <c r="V259">
        <f>SUBSTITUTE(SUBSTITUTE(SUBSTITUTE(SUBSTITUTE(G259,"(주)",""),"㈜",""),"주식회사","")," ","")</f>
        <v/>
      </c>
      <c r="W259">
        <f>IF(AND(T259,V259&lt;&gt;""),IF(COUNTIFS(V$2:V259,V259,T$2:T259,TRUE)=1,MAX(W$1:W258)+1,""),"")</f>
        <v/>
      </c>
      <c r="X259">
        <f>IF(설정!$C$14="","",IFERROR(INDEX('1.산군_붙여넣기'!$A$1:$AZ$1001,ROW(),설정!$C$14)&amp;"",""))</f>
        <v/>
      </c>
      <c r="Y259">
        <f>IF(설정!$C$15="","",IFERROR(INDEX('1.산군_붙여넣기'!$A$1:$AZ$1001,ROW(),설정!$C$15)&amp;"",""))</f>
        <v/>
      </c>
      <c r="Z259">
        <f>IF(T259,V259&amp;"|"&amp;U259,"")</f>
        <v/>
      </c>
      <c r="AA259">
        <f>IF(NOT(Q259),"",IF(NOT(AND(R259,S259)),"✕",IF(OR(OR(AND(L259&lt;&gt;"",M259&lt;&gt;"",N(M259)-N(L259)&gt;설정!$B$27),AND(L259&lt;&gt;"",M259="",설정!$B$24-N(L259)&gt;설정!$B$27)),AND(D259&lt;&gt;"",D259&lt;설정!$B$26)),"△","★")))</f>
        <v/>
      </c>
      <c r="AB259">
        <f>IF(NOT(T259),"",IF(U259="설계사",설정!$B$31,IF(U259="시공사",IF(OR(M259="",설정!$B$24-N(M259)&lt;=설정!$B$28*30.4),설정!$B$32,설정!$B$33),설정!$B$34))+IF(AA259="★",설정!$B$35,0))</f>
        <v/>
      </c>
      <c r="AC259">
        <f>SUBSTITUTE(SUBSTITUTE(SUBSTITUTE(SUBSTITUTE(H259,"(주)",""),"㈜",""),"주식회사","")," ","")</f>
        <v/>
      </c>
      <c r="AD259">
        <f>IF(AND(T259,AC259&lt;&gt;""),IF(COUNTIFS(AC$2:AC259,AC259,T$2:T259,TRUE)=1,MAX(AD$1:AD258)+1,""),"")</f>
        <v/>
      </c>
    </row>
    <row r="260">
      <c r="A260">
        <f>ROW()</f>
        <v/>
      </c>
      <c r="B260">
        <f>IF(설정!$C$4="","",IFERROR(INDEX('1.산군_붙여넣기'!$A$1:$AZ$1001,ROW(),설정!$C$4)&amp;"",""))</f>
        <v/>
      </c>
      <c r="C260">
        <f>IF(설정!$C$5="","",IFERROR(INDEX('1.산군_붙여넣기'!$A$1:$AZ$1001,ROW(),설정!$C$5)&amp;"",""))</f>
        <v/>
      </c>
      <c r="D260" s="5">
        <f>IFERROR(VALUE(SUBSTITUTE(SUBSTITUTE(SUBSTITUTE(IF(설정!$C$6="","",IFERROR(INDEX('1.산군_붙여넣기'!$A$1:$AZ$1001,ROW(),설정!$C$6)&amp;"","")),",",""),"㎡",""),"m2","")),"")</f>
        <v/>
      </c>
      <c r="E260">
        <f>IF(설정!$C$7="","",IFERROR(INDEX('1.산군_붙여넣기'!$A$1:$AZ$1001,ROW(),설정!$C$7)&amp;"",""))</f>
        <v/>
      </c>
      <c r="F260">
        <f>IF(설정!$C$8="","",IFERROR(INDEX('1.산군_붙여넣기'!$A$1:$AZ$1001,ROW(),설정!$C$8)&amp;"",""))</f>
        <v/>
      </c>
      <c r="G260">
        <f>IF(설정!$C$9="","",IFERROR(INDEX('1.산군_붙여넣기'!$A$1:$AZ$1001,ROW(),설정!$C$9)&amp;"",""))</f>
        <v/>
      </c>
      <c r="H260">
        <f>IF(설정!$C$10="","",IFERROR(INDEX('1.산군_붙여넣기'!$A$1:$AZ$1001,ROW(),설정!$C$10)&amp;"",""))</f>
        <v/>
      </c>
      <c r="I260">
        <f>IF(설정!$C$11="","",IFERROR(INDEX('1.산군_붙여넣기'!$A$1:$AZ$1001,ROW(),설정!$C$11)&amp;"",""))</f>
        <v/>
      </c>
      <c r="J260">
        <f>IF(설정!$C$12="","",IFERROR(INDEX('1.산군_붙여넣기'!$A$1:$AZ$1001,ROW(),설정!$C$12)&amp;"",""))</f>
        <v/>
      </c>
      <c r="K260">
        <f>IF(설정!$C$13="","",IFERROR(INDEX('1.산군_붙여넣기'!$A$1:$AZ$1001,ROW(),설정!$C$13)&amp;"",""))</f>
        <v/>
      </c>
      <c r="L260" s="7">
        <f>IF(X260="","",IF(AND(LEN(X260)=8,ISNUMBER(X260*1)),DATE(LEFT(X260,4),MID(X260,5,2),RIGHT(X260,2)),IFERROR(DATEVALUE(SUBSTITUTE(SUBSTITUTE(X260,".","-"),"/","-")),IFERROR(X260*1,""))))</f>
        <v/>
      </c>
      <c r="M260" s="7">
        <f>IF(Y260="","",IF(AND(LEN(Y260)=8,ISNUMBER(Y260*1)),DATE(LEFT(Y260,4),MID(Y260,5,2),RIGHT(Y260,2)),IFERROR(DATEVALUE(SUBSTITUTE(SUBSTITUTE(Y260,".","-"),"/","-")),IFERROR(Y260*1,""))))</f>
        <v/>
      </c>
      <c r="N260">
        <f>IFERROR(LEFT(B260,FIND(" ",B260)-1),B260)</f>
        <v/>
      </c>
      <c r="O260">
        <f>AND(B260&lt;&gt;"",B260&lt;&gt;설정!$B$4,C260&lt;&gt;설정!$B$5)</f>
        <v/>
      </c>
      <c r="P260">
        <f>IF(O260,B260&amp;"|"&amp;C260,"")</f>
        <v/>
      </c>
      <c r="Q260">
        <f>AND(O260,COUNTIF(P261:P$1002,P260)=0)</f>
        <v/>
      </c>
      <c r="R260">
        <f>OR(AND(설정!$A$42&lt;&gt;"",ISNUMBER(SEARCH(설정!$A$42,E260&amp;" "&amp;C260))),AND(설정!$A$43&lt;&gt;"",ISNUMBER(SEARCH(설정!$A$43,E260&amp;" "&amp;C260))),AND(설정!$A$44&lt;&gt;"",ISNUMBER(SEARCH(설정!$A$44,E260&amp;" "&amp;C260))),AND(설정!$A$45&lt;&gt;"",ISNUMBER(SEARCH(설정!$A$45,E260&amp;" "&amp;C260))),AND(설정!$A$46&lt;&gt;"",ISNUMBER(SEARCH(설정!$A$46,E260&amp;" "&amp;C260))),AND(설정!$A$47&lt;&gt;"",ISNUMBER(SEARCH(설정!$A$47,E260&amp;" "&amp;C260))),AND(설정!$A$48&lt;&gt;"",ISNUMBER(SEARCH(설정!$A$48,E260&amp;" "&amp;C260))),AND(설정!$A$49&lt;&gt;"",ISNUMBER(SEARCH(설정!$A$49,E260&amp;" "&amp;C260))),AND(설정!$A$50&lt;&gt;"",ISNUMBER(SEARCH(설정!$A$50,E260&amp;" "&amp;C260))),AND(설정!$A$51&lt;&gt;"",ISNUMBER(SEARCH(설정!$A$51,E260&amp;" "&amp;C260))))</f>
        <v/>
      </c>
      <c r="S260">
        <f>OR(D260="",D260&gt;=설정!$B$19)</f>
        <v/>
      </c>
      <c r="T260">
        <f>AND(Q260,R260,S260)</f>
        <v/>
      </c>
      <c r="U260">
        <f>IF(T260,IF(AND(설정!$A$54&lt;&gt;"",ISNUMBER(SEARCH(설정!$A$54,K260))),설정!$B$54,IF(AND(설정!$A$55&lt;&gt;"",ISNUMBER(SEARCH(설정!$A$55,K260))),설정!$B$55,IF(AND(설정!$A$56&lt;&gt;"",ISNUMBER(SEARCH(설정!$A$56,K260))),설정!$B$56,IF(AND(설정!$A$57&lt;&gt;"",ISNUMBER(SEARCH(설정!$A$57,K260))),설정!$B$57,IF(AND(설정!$A$58&lt;&gt;"",ISNUMBER(SEARCH(설정!$A$58,K260))),설정!$B$58,IF(AND(설정!$A$59&lt;&gt;"",ISNUMBER(SEARCH(설정!$A$59,K260))),설정!$B$59,IF(AND(설정!$A$60&lt;&gt;"",ISNUMBER(SEARCH(설정!$A$60,K260))),설정!$B$60,IF(AND(설정!$A$61&lt;&gt;"",ISNUMBER(SEARCH(설정!$A$61,K260))),설정!$B$61,IF(M260="","설계사","시공사"))))))))),"")</f>
        <v/>
      </c>
      <c r="V260">
        <f>SUBSTITUTE(SUBSTITUTE(SUBSTITUTE(SUBSTITUTE(G260,"(주)",""),"㈜",""),"주식회사","")," ","")</f>
        <v/>
      </c>
      <c r="W260">
        <f>IF(AND(T260,V260&lt;&gt;""),IF(COUNTIFS(V$2:V260,V260,T$2:T260,TRUE)=1,MAX(W$1:W259)+1,""),"")</f>
        <v/>
      </c>
      <c r="X260">
        <f>IF(설정!$C$14="","",IFERROR(INDEX('1.산군_붙여넣기'!$A$1:$AZ$1001,ROW(),설정!$C$14)&amp;"",""))</f>
        <v/>
      </c>
      <c r="Y260">
        <f>IF(설정!$C$15="","",IFERROR(INDEX('1.산군_붙여넣기'!$A$1:$AZ$1001,ROW(),설정!$C$15)&amp;"",""))</f>
        <v/>
      </c>
      <c r="Z260">
        <f>IF(T260,V260&amp;"|"&amp;U260,"")</f>
        <v/>
      </c>
      <c r="AA260">
        <f>IF(NOT(Q260),"",IF(NOT(AND(R260,S260)),"✕",IF(OR(OR(AND(L260&lt;&gt;"",M260&lt;&gt;"",N(M260)-N(L260)&gt;설정!$B$27),AND(L260&lt;&gt;"",M260="",설정!$B$24-N(L260)&gt;설정!$B$27)),AND(D260&lt;&gt;"",D260&lt;설정!$B$26)),"△","★")))</f>
        <v/>
      </c>
      <c r="AB260">
        <f>IF(NOT(T260),"",IF(U260="설계사",설정!$B$31,IF(U260="시공사",IF(OR(M260="",설정!$B$24-N(M260)&lt;=설정!$B$28*30.4),설정!$B$32,설정!$B$33),설정!$B$34))+IF(AA260="★",설정!$B$35,0))</f>
        <v/>
      </c>
      <c r="AC260">
        <f>SUBSTITUTE(SUBSTITUTE(SUBSTITUTE(SUBSTITUTE(H260,"(주)",""),"㈜",""),"주식회사","")," ","")</f>
        <v/>
      </c>
      <c r="AD260">
        <f>IF(AND(T260,AC260&lt;&gt;""),IF(COUNTIFS(AC$2:AC260,AC260,T$2:T260,TRUE)=1,MAX(AD$1:AD259)+1,""),"")</f>
        <v/>
      </c>
    </row>
    <row r="261">
      <c r="A261">
        <f>ROW()</f>
        <v/>
      </c>
      <c r="B261">
        <f>IF(설정!$C$4="","",IFERROR(INDEX('1.산군_붙여넣기'!$A$1:$AZ$1001,ROW(),설정!$C$4)&amp;"",""))</f>
        <v/>
      </c>
      <c r="C261">
        <f>IF(설정!$C$5="","",IFERROR(INDEX('1.산군_붙여넣기'!$A$1:$AZ$1001,ROW(),설정!$C$5)&amp;"",""))</f>
        <v/>
      </c>
      <c r="D261" s="5">
        <f>IFERROR(VALUE(SUBSTITUTE(SUBSTITUTE(SUBSTITUTE(IF(설정!$C$6="","",IFERROR(INDEX('1.산군_붙여넣기'!$A$1:$AZ$1001,ROW(),설정!$C$6)&amp;"","")),",",""),"㎡",""),"m2","")),"")</f>
        <v/>
      </c>
      <c r="E261">
        <f>IF(설정!$C$7="","",IFERROR(INDEX('1.산군_붙여넣기'!$A$1:$AZ$1001,ROW(),설정!$C$7)&amp;"",""))</f>
        <v/>
      </c>
      <c r="F261">
        <f>IF(설정!$C$8="","",IFERROR(INDEX('1.산군_붙여넣기'!$A$1:$AZ$1001,ROW(),설정!$C$8)&amp;"",""))</f>
        <v/>
      </c>
      <c r="G261">
        <f>IF(설정!$C$9="","",IFERROR(INDEX('1.산군_붙여넣기'!$A$1:$AZ$1001,ROW(),설정!$C$9)&amp;"",""))</f>
        <v/>
      </c>
      <c r="H261">
        <f>IF(설정!$C$10="","",IFERROR(INDEX('1.산군_붙여넣기'!$A$1:$AZ$1001,ROW(),설정!$C$10)&amp;"",""))</f>
        <v/>
      </c>
      <c r="I261">
        <f>IF(설정!$C$11="","",IFERROR(INDEX('1.산군_붙여넣기'!$A$1:$AZ$1001,ROW(),설정!$C$11)&amp;"",""))</f>
        <v/>
      </c>
      <c r="J261">
        <f>IF(설정!$C$12="","",IFERROR(INDEX('1.산군_붙여넣기'!$A$1:$AZ$1001,ROW(),설정!$C$12)&amp;"",""))</f>
        <v/>
      </c>
      <c r="K261">
        <f>IF(설정!$C$13="","",IFERROR(INDEX('1.산군_붙여넣기'!$A$1:$AZ$1001,ROW(),설정!$C$13)&amp;"",""))</f>
        <v/>
      </c>
      <c r="L261" s="7">
        <f>IF(X261="","",IF(AND(LEN(X261)=8,ISNUMBER(X261*1)),DATE(LEFT(X261,4),MID(X261,5,2),RIGHT(X261,2)),IFERROR(DATEVALUE(SUBSTITUTE(SUBSTITUTE(X261,".","-"),"/","-")),IFERROR(X261*1,""))))</f>
        <v/>
      </c>
      <c r="M261" s="7">
        <f>IF(Y261="","",IF(AND(LEN(Y261)=8,ISNUMBER(Y261*1)),DATE(LEFT(Y261,4),MID(Y261,5,2),RIGHT(Y261,2)),IFERROR(DATEVALUE(SUBSTITUTE(SUBSTITUTE(Y261,".","-"),"/","-")),IFERROR(Y261*1,""))))</f>
        <v/>
      </c>
      <c r="N261">
        <f>IFERROR(LEFT(B261,FIND(" ",B261)-1),B261)</f>
        <v/>
      </c>
      <c r="O261">
        <f>AND(B261&lt;&gt;"",B261&lt;&gt;설정!$B$4,C261&lt;&gt;설정!$B$5)</f>
        <v/>
      </c>
      <c r="P261">
        <f>IF(O261,B261&amp;"|"&amp;C261,"")</f>
        <v/>
      </c>
      <c r="Q261">
        <f>AND(O261,COUNTIF(P262:P$1002,P261)=0)</f>
        <v/>
      </c>
      <c r="R261">
        <f>OR(AND(설정!$A$42&lt;&gt;"",ISNUMBER(SEARCH(설정!$A$42,E261&amp;" "&amp;C261))),AND(설정!$A$43&lt;&gt;"",ISNUMBER(SEARCH(설정!$A$43,E261&amp;" "&amp;C261))),AND(설정!$A$44&lt;&gt;"",ISNUMBER(SEARCH(설정!$A$44,E261&amp;" "&amp;C261))),AND(설정!$A$45&lt;&gt;"",ISNUMBER(SEARCH(설정!$A$45,E261&amp;" "&amp;C261))),AND(설정!$A$46&lt;&gt;"",ISNUMBER(SEARCH(설정!$A$46,E261&amp;" "&amp;C261))),AND(설정!$A$47&lt;&gt;"",ISNUMBER(SEARCH(설정!$A$47,E261&amp;" "&amp;C261))),AND(설정!$A$48&lt;&gt;"",ISNUMBER(SEARCH(설정!$A$48,E261&amp;" "&amp;C261))),AND(설정!$A$49&lt;&gt;"",ISNUMBER(SEARCH(설정!$A$49,E261&amp;" "&amp;C261))),AND(설정!$A$50&lt;&gt;"",ISNUMBER(SEARCH(설정!$A$50,E261&amp;" "&amp;C261))),AND(설정!$A$51&lt;&gt;"",ISNUMBER(SEARCH(설정!$A$51,E261&amp;" "&amp;C261))))</f>
        <v/>
      </c>
      <c r="S261">
        <f>OR(D261="",D261&gt;=설정!$B$19)</f>
        <v/>
      </c>
      <c r="T261">
        <f>AND(Q261,R261,S261)</f>
        <v/>
      </c>
      <c r="U261">
        <f>IF(T261,IF(AND(설정!$A$54&lt;&gt;"",ISNUMBER(SEARCH(설정!$A$54,K261))),설정!$B$54,IF(AND(설정!$A$55&lt;&gt;"",ISNUMBER(SEARCH(설정!$A$55,K261))),설정!$B$55,IF(AND(설정!$A$56&lt;&gt;"",ISNUMBER(SEARCH(설정!$A$56,K261))),설정!$B$56,IF(AND(설정!$A$57&lt;&gt;"",ISNUMBER(SEARCH(설정!$A$57,K261))),설정!$B$57,IF(AND(설정!$A$58&lt;&gt;"",ISNUMBER(SEARCH(설정!$A$58,K261))),설정!$B$58,IF(AND(설정!$A$59&lt;&gt;"",ISNUMBER(SEARCH(설정!$A$59,K261))),설정!$B$59,IF(AND(설정!$A$60&lt;&gt;"",ISNUMBER(SEARCH(설정!$A$60,K261))),설정!$B$60,IF(AND(설정!$A$61&lt;&gt;"",ISNUMBER(SEARCH(설정!$A$61,K261))),설정!$B$61,IF(M261="","설계사","시공사"))))))))),"")</f>
        <v/>
      </c>
      <c r="V261">
        <f>SUBSTITUTE(SUBSTITUTE(SUBSTITUTE(SUBSTITUTE(G261,"(주)",""),"㈜",""),"주식회사","")," ","")</f>
        <v/>
      </c>
      <c r="W261">
        <f>IF(AND(T261,V261&lt;&gt;""),IF(COUNTIFS(V$2:V261,V261,T$2:T261,TRUE)=1,MAX(W$1:W260)+1,""),"")</f>
        <v/>
      </c>
      <c r="X261">
        <f>IF(설정!$C$14="","",IFERROR(INDEX('1.산군_붙여넣기'!$A$1:$AZ$1001,ROW(),설정!$C$14)&amp;"",""))</f>
        <v/>
      </c>
      <c r="Y261">
        <f>IF(설정!$C$15="","",IFERROR(INDEX('1.산군_붙여넣기'!$A$1:$AZ$1001,ROW(),설정!$C$15)&amp;"",""))</f>
        <v/>
      </c>
      <c r="Z261">
        <f>IF(T261,V261&amp;"|"&amp;U261,"")</f>
        <v/>
      </c>
      <c r="AA261">
        <f>IF(NOT(Q261),"",IF(NOT(AND(R261,S261)),"✕",IF(OR(OR(AND(L261&lt;&gt;"",M261&lt;&gt;"",N(M261)-N(L261)&gt;설정!$B$27),AND(L261&lt;&gt;"",M261="",설정!$B$24-N(L261)&gt;설정!$B$27)),AND(D261&lt;&gt;"",D261&lt;설정!$B$26)),"△","★")))</f>
        <v/>
      </c>
      <c r="AB261">
        <f>IF(NOT(T261),"",IF(U261="설계사",설정!$B$31,IF(U261="시공사",IF(OR(M261="",설정!$B$24-N(M261)&lt;=설정!$B$28*30.4),설정!$B$32,설정!$B$33),설정!$B$34))+IF(AA261="★",설정!$B$35,0))</f>
        <v/>
      </c>
      <c r="AC261">
        <f>SUBSTITUTE(SUBSTITUTE(SUBSTITUTE(SUBSTITUTE(H261,"(주)",""),"㈜",""),"주식회사","")," ","")</f>
        <v/>
      </c>
      <c r="AD261">
        <f>IF(AND(T261,AC261&lt;&gt;""),IF(COUNTIFS(AC$2:AC261,AC261,T$2:T261,TRUE)=1,MAX(AD$1:AD260)+1,""),"")</f>
        <v/>
      </c>
    </row>
    <row r="262">
      <c r="A262">
        <f>ROW()</f>
        <v/>
      </c>
      <c r="B262">
        <f>IF(설정!$C$4="","",IFERROR(INDEX('1.산군_붙여넣기'!$A$1:$AZ$1001,ROW(),설정!$C$4)&amp;"",""))</f>
        <v/>
      </c>
      <c r="C262">
        <f>IF(설정!$C$5="","",IFERROR(INDEX('1.산군_붙여넣기'!$A$1:$AZ$1001,ROW(),설정!$C$5)&amp;"",""))</f>
        <v/>
      </c>
      <c r="D262" s="5">
        <f>IFERROR(VALUE(SUBSTITUTE(SUBSTITUTE(SUBSTITUTE(IF(설정!$C$6="","",IFERROR(INDEX('1.산군_붙여넣기'!$A$1:$AZ$1001,ROW(),설정!$C$6)&amp;"","")),",",""),"㎡",""),"m2","")),"")</f>
        <v/>
      </c>
      <c r="E262">
        <f>IF(설정!$C$7="","",IFERROR(INDEX('1.산군_붙여넣기'!$A$1:$AZ$1001,ROW(),설정!$C$7)&amp;"",""))</f>
        <v/>
      </c>
      <c r="F262">
        <f>IF(설정!$C$8="","",IFERROR(INDEX('1.산군_붙여넣기'!$A$1:$AZ$1001,ROW(),설정!$C$8)&amp;"",""))</f>
        <v/>
      </c>
      <c r="G262">
        <f>IF(설정!$C$9="","",IFERROR(INDEX('1.산군_붙여넣기'!$A$1:$AZ$1001,ROW(),설정!$C$9)&amp;"",""))</f>
        <v/>
      </c>
      <c r="H262">
        <f>IF(설정!$C$10="","",IFERROR(INDEX('1.산군_붙여넣기'!$A$1:$AZ$1001,ROW(),설정!$C$10)&amp;"",""))</f>
        <v/>
      </c>
      <c r="I262">
        <f>IF(설정!$C$11="","",IFERROR(INDEX('1.산군_붙여넣기'!$A$1:$AZ$1001,ROW(),설정!$C$11)&amp;"",""))</f>
        <v/>
      </c>
      <c r="J262">
        <f>IF(설정!$C$12="","",IFERROR(INDEX('1.산군_붙여넣기'!$A$1:$AZ$1001,ROW(),설정!$C$12)&amp;"",""))</f>
        <v/>
      </c>
      <c r="K262">
        <f>IF(설정!$C$13="","",IFERROR(INDEX('1.산군_붙여넣기'!$A$1:$AZ$1001,ROW(),설정!$C$13)&amp;"",""))</f>
        <v/>
      </c>
      <c r="L262" s="7">
        <f>IF(X262="","",IF(AND(LEN(X262)=8,ISNUMBER(X262*1)),DATE(LEFT(X262,4),MID(X262,5,2),RIGHT(X262,2)),IFERROR(DATEVALUE(SUBSTITUTE(SUBSTITUTE(X262,".","-"),"/","-")),IFERROR(X262*1,""))))</f>
        <v/>
      </c>
      <c r="M262" s="7">
        <f>IF(Y262="","",IF(AND(LEN(Y262)=8,ISNUMBER(Y262*1)),DATE(LEFT(Y262,4),MID(Y262,5,2),RIGHT(Y262,2)),IFERROR(DATEVALUE(SUBSTITUTE(SUBSTITUTE(Y262,".","-"),"/","-")),IFERROR(Y262*1,""))))</f>
        <v/>
      </c>
      <c r="N262">
        <f>IFERROR(LEFT(B262,FIND(" ",B262)-1),B262)</f>
        <v/>
      </c>
      <c r="O262">
        <f>AND(B262&lt;&gt;"",B262&lt;&gt;설정!$B$4,C262&lt;&gt;설정!$B$5)</f>
        <v/>
      </c>
      <c r="P262">
        <f>IF(O262,B262&amp;"|"&amp;C262,"")</f>
        <v/>
      </c>
      <c r="Q262">
        <f>AND(O262,COUNTIF(P263:P$1002,P262)=0)</f>
        <v/>
      </c>
      <c r="R262">
        <f>OR(AND(설정!$A$42&lt;&gt;"",ISNUMBER(SEARCH(설정!$A$42,E262&amp;" "&amp;C262))),AND(설정!$A$43&lt;&gt;"",ISNUMBER(SEARCH(설정!$A$43,E262&amp;" "&amp;C262))),AND(설정!$A$44&lt;&gt;"",ISNUMBER(SEARCH(설정!$A$44,E262&amp;" "&amp;C262))),AND(설정!$A$45&lt;&gt;"",ISNUMBER(SEARCH(설정!$A$45,E262&amp;" "&amp;C262))),AND(설정!$A$46&lt;&gt;"",ISNUMBER(SEARCH(설정!$A$46,E262&amp;" "&amp;C262))),AND(설정!$A$47&lt;&gt;"",ISNUMBER(SEARCH(설정!$A$47,E262&amp;" "&amp;C262))),AND(설정!$A$48&lt;&gt;"",ISNUMBER(SEARCH(설정!$A$48,E262&amp;" "&amp;C262))),AND(설정!$A$49&lt;&gt;"",ISNUMBER(SEARCH(설정!$A$49,E262&amp;" "&amp;C262))),AND(설정!$A$50&lt;&gt;"",ISNUMBER(SEARCH(설정!$A$50,E262&amp;" "&amp;C262))),AND(설정!$A$51&lt;&gt;"",ISNUMBER(SEARCH(설정!$A$51,E262&amp;" "&amp;C262))))</f>
        <v/>
      </c>
      <c r="S262">
        <f>OR(D262="",D262&gt;=설정!$B$19)</f>
        <v/>
      </c>
      <c r="T262">
        <f>AND(Q262,R262,S262)</f>
        <v/>
      </c>
      <c r="U262">
        <f>IF(T262,IF(AND(설정!$A$54&lt;&gt;"",ISNUMBER(SEARCH(설정!$A$54,K262))),설정!$B$54,IF(AND(설정!$A$55&lt;&gt;"",ISNUMBER(SEARCH(설정!$A$55,K262))),설정!$B$55,IF(AND(설정!$A$56&lt;&gt;"",ISNUMBER(SEARCH(설정!$A$56,K262))),설정!$B$56,IF(AND(설정!$A$57&lt;&gt;"",ISNUMBER(SEARCH(설정!$A$57,K262))),설정!$B$57,IF(AND(설정!$A$58&lt;&gt;"",ISNUMBER(SEARCH(설정!$A$58,K262))),설정!$B$58,IF(AND(설정!$A$59&lt;&gt;"",ISNUMBER(SEARCH(설정!$A$59,K262))),설정!$B$59,IF(AND(설정!$A$60&lt;&gt;"",ISNUMBER(SEARCH(설정!$A$60,K262))),설정!$B$60,IF(AND(설정!$A$61&lt;&gt;"",ISNUMBER(SEARCH(설정!$A$61,K262))),설정!$B$61,IF(M262="","설계사","시공사"))))))))),"")</f>
        <v/>
      </c>
      <c r="V262">
        <f>SUBSTITUTE(SUBSTITUTE(SUBSTITUTE(SUBSTITUTE(G262,"(주)",""),"㈜",""),"주식회사","")," ","")</f>
        <v/>
      </c>
      <c r="W262">
        <f>IF(AND(T262,V262&lt;&gt;""),IF(COUNTIFS(V$2:V262,V262,T$2:T262,TRUE)=1,MAX(W$1:W261)+1,""),"")</f>
        <v/>
      </c>
      <c r="X262">
        <f>IF(설정!$C$14="","",IFERROR(INDEX('1.산군_붙여넣기'!$A$1:$AZ$1001,ROW(),설정!$C$14)&amp;"",""))</f>
        <v/>
      </c>
      <c r="Y262">
        <f>IF(설정!$C$15="","",IFERROR(INDEX('1.산군_붙여넣기'!$A$1:$AZ$1001,ROW(),설정!$C$15)&amp;"",""))</f>
        <v/>
      </c>
      <c r="Z262">
        <f>IF(T262,V262&amp;"|"&amp;U262,"")</f>
        <v/>
      </c>
      <c r="AA262">
        <f>IF(NOT(Q262),"",IF(NOT(AND(R262,S262)),"✕",IF(OR(OR(AND(L262&lt;&gt;"",M262&lt;&gt;"",N(M262)-N(L262)&gt;설정!$B$27),AND(L262&lt;&gt;"",M262="",설정!$B$24-N(L262)&gt;설정!$B$27)),AND(D262&lt;&gt;"",D262&lt;설정!$B$26)),"△","★")))</f>
        <v/>
      </c>
      <c r="AB262">
        <f>IF(NOT(T262),"",IF(U262="설계사",설정!$B$31,IF(U262="시공사",IF(OR(M262="",설정!$B$24-N(M262)&lt;=설정!$B$28*30.4),설정!$B$32,설정!$B$33),설정!$B$34))+IF(AA262="★",설정!$B$35,0))</f>
        <v/>
      </c>
      <c r="AC262">
        <f>SUBSTITUTE(SUBSTITUTE(SUBSTITUTE(SUBSTITUTE(H262,"(주)",""),"㈜",""),"주식회사","")," ","")</f>
        <v/>
      </c>
      <c r="AD262">
        <f>IF(AND(T262,AC262&lt;&gt;""),IF(COUNTIFS(AC$2:AC262,AC262,T$2:T262,TRUE)=1,MAX(AD$1:AD261)+1,""),"")</f>
        <v/>
      </c>
    </row>
    <row r="263">
      <c r="A263">
        <f>ROW()</f>
        <v/>
      </c>
      <c r="B263">
        <f>IF(설정!$C$4="","",IFERROR(INDEX('1.산군_붙여넣기'!$A$1:$AZ$1001,ROW(),설정!$C$4)&amp;"",""))</f>
        <v/>
      </c>
      <c r="C263">
        <f>IF(설정!$C$5="","",IFERROR(INDEX('1.산군_붙여넣기'!$A$1:$AZ$1001,ROW(),설정!$C$5)&amp;"",""))</f>
        <v/>
      </c>
      <c r="D263" s="5">
        <f>IFERROR(VALUE(SUBSTITUTE(SUBSTITUTE(SUBSTITUTE(IF(설정!$C$6="","",IFERROR(INDEX('1.산군_붙여넣기'!$A$1:$AZ$1001,ROW(),설정!$C$6)&amp;"","")),",",""),"㎡",""),"m2","")),"")</f>
        <v/>
      </c>
      <c r="E263">
        <f>IF(설정!$C$7="","",IFERROR(INDEX('1.산군_붙여넣기'!$A$1:$AZ$1001,ROW(),설정!$C$7)&amp;"",""))</f>
        <v/>
      </c>
      <c r="F263">
        <f>IF(설정!$C$8="","",IFERROR(INDEX('1.산군_붙여넣기'!$A$1:$AZ$1001,ROW(),설정!$C$8)&amp;"",""))</f>
        <v/>
      </c>
      <c r="G263">
        <f>IF(설정!$C$9="","",IFERROR(INDEX('1.산군_붙여넣기'!$A$1:$AZ$1001,ROW(),설정!$C$9)&amp;"",""))</f>
        <v/>
      </c>
      <c r="H263">
        <f>IF(설정!$C$10="","",IFERROR(INDEX('1.산군_붙여넣기'!$A$1:$AZ$1001,ROW(),설정!$C$10)&amp;"",""))</f>
        <v/>
      </c>
      <c r="I263">
        <f>IF(설정!$C$11="","",IFERROR(INDEX('1.산군_붙여넣기'!$A$1:$AZ$1001,ROW(),설정!$C$11)&amp;"",""))</f>
        <v/>
      </c>
      <c r="J263">
        <f>IF(설정!$C$12="","",IFERROR(INDEX('1.산군_붙여넣기'!$A$1:$AZ$1001,ROW(),설정!$C$12)&amp;"",""))</f>
        <v/>
      </c>
      <c r="K263">
        <f>IF(설정!$C$13="","",IFERROR(INDEX('1.산군_붙여넣기'!$A$1:$AZ$1001,ROW(),설정!$C$13)&amp;"",""))</f>
        <v/>
      </c>
      <c r="L263" s="7">
        <f>IF(X263="","",IF(AND(LEN(X263)=8,ISNUMBER(X263*1)),DATE(LEFT(X263,4),MID(X263,5,2),RIGHT(X263,2)),IFERROR(DATEVALUE(SUBSTITUTE(SUBSTITUTE(X263,".","-"),"/","-")),IFERROR(X263*1,""))))</f>
        <v/>
      </c>
      <c r="M263" s="7">
        <f>IF(Y263="","",IF(AND(LEN(Y263)=8,ISNUMBER(Y263*1)),DATE(LEFT(Y263,4),MID(Y263,5,2),RIGHT(Y263,2)),IFERROR(DATEVALUE(SUBSTITUTE(SUBSTITUTE(Y263,".","-"),"/","-")),IFERROR(Y263*1,""))))</f>
        <v/>
      </c>
      <c r="N263">
        <f>IFERROR(LEFT(B263,FIND(" ",B263)-1),B263)</f>
        <v/>
      </c>
      <c r="O263">
        <f>AND(B263&lt;&gt;"",B263&lt;&gt;설정!$B$4,C263&lt;&gt;설정!$B$5)</f>
        <v/>
      </c>
      <c r="P263">
        <f>IF(O263,B263&amp;"|"&amp;C263,"")</f>
        <v/>
      </c>
      <c r="Q263">
        <f>AND(O263,COUNTIF(P264:P$1002,P263)=0)</f>
        <v/>
      </c>
      <c r="R263">
        <f>OR(AND(설정!$A$42&lt;&gt;"",ISNUMBER(SEARCH(설정!$A$42,E263&amp;" "&amp;C263))),AND(설정!$A$43&lt;&gt;"",ISNUMBER(SEARCH(설정!$A$43,E263&amp;" "&amp;C263))),AND(설정!$A$44&lt;&gt;"",ISNUMBER(SEARCH(설정!$A$44,E263&amp;" "&amp;C263))),AND(설정!$A$45&lt;&gt;"",ISNUMBER(SEARCH(설정!$A$45,E263&amp;" "&amp;C263))),AND(설정!$A$46&lt;&gt;"",ISNUMBER(SEARCH(설정!$A$46,E263&amp;" "&amp;C263))),AND(설정!$A$47&lt;&gt;"",ISNUMBER(SEARCH(설정!$A$47,E263&amp;" "&amp;C263))),AND(설정!$A$48&lt;&gt;"",ISNUMBER(SEARCH(설정!$A$48,E263&amp;" "&amp;C263))),AND(설정!$A$49&lt;&gt;"",ISNUMBER(SEARCH(설정!$A$49,E263&amp;" "&amp;C263))),AND(설정!$A$50&lt;&gt;"",ISNUMBER(SEARCH(설정!$A$50,E263&amp;" "&amp;C263))),AND(설정!$A$51&lt;&gt;"",ISNUMBER(SEARCH(설정!$A$51,E263&amp;" "&amp;C263))))</f>
        <v/>
      </c>
      <c r="S263">
        <f>OR(D263="",D263&gt;=설정!$B$19)</f>
        <v/>
      </c>
      <c r="T263">
        <f>AND(Q263,R263,S263)</f>
        <v/>
      </c>
      <c r="U263">
        <f>IF(T263,IF(AND(설정!$A$54&lt;&gt;"",ISNUMBER(SEARCH(설정!$A$54,K263))),설정!$B$54,IF(AND(설정!$A$55&lt;&gt;"",ISNUMBER(SEARCH(설정!$A$55,K263))),설정!$B$55,IF(AND(설정!$A$56&lt;&gt;"",ISNUMBER(SEARCH(설정!$A$56,K263))),설정!$B$56,IF(AND(설정!$A$57&lt;&gt;"",ISNUMBER(SEARCH(설정!$A$57,K263))),설정!$B$57,IF(AND(설정!$A$58&lt;&gt;"",ISNUMBER(SEARCH(설정!$A$58,K263))),설정!$B$58,IF(AND(설정!$A$59&lt;&gt;"",ISNUMBER(SEARCH(설정!$A$59,K263))),설정!$B$59,IF(AND(설정!$A$60&lt;&gt;"",ISNUMBER(SEARCH(설정!$A$60,K263))),설정!$B$60,IF(AND(설정!$A$61&lt;&gt;"",ISNUMBER(SEARCH(설정!$A$61,K263))),설정!$B$61,IF(M263="","설계사","시공사"))))))))),"")</f>
        <v/>
      </c>
      <c r="V263">
        <f>SUBSTITUTE(SUBSTITUTE(SUBSTITUTE(SUBSTITUTE(G263,"(주)",""),"㈜",""),"주식회사","")," ","")</f>
        <v/>
      </c>
      <c r="W263">
        <f>IF(AND(T263,V263&lt;&gt;""),IF(COUNTIFS(V$2:V263,V263,T$2:T263,TRUE)=1,MAX(W$1:W262)+1,""),"")</f>
        <v/>
      </c>
      <c r="X263">
        <f>IF(설정!$C$14="","",IFERROR(INDEX('1.산군_붙여넣기'!$A$1:$AZ$1001,ROW(),설정!$C$14)&amp;"",""))</f>
        <v/>
      </c>
      <c r="Y263">
        <f>IF(설정!$C$15="","",IFERROR(INDEX('1.산군_붙여넣기'!$A$1:$AZ$1001,ROW(),설정!$C$15)&amp;"",""))</f>
        <v/>
      </c>
      <c r="Z263">
        <f>IF(T263,V263&amp;"|"&amp;U263,"")</f>
        <v/>
      </c>
      <c r="AA263">
        <f>IF(NOT(Q263),"",IF(NOT(AND(R263,S263)),"✕",IF(OR(OR(AND(L263&lt;&gt;"",M263&lt;&gt;"",N(M263)-N(L263)&gt;설정!$B$27),AND(L263&lt;&gt;"",M263="",설정!$B$24-N(L263)&gt;설정!$B$27)),AND(D263&lt;&gt;"",D263&lt;설정!$B$26)),"△","★")))</f>
        <v/>
      </c>
      <c r="AB263">
        <f>IF(NOT(T263),"",IF(U263="설계사",설정!$B$31,IF(U263="시공사",IF(OR(M263="",설정!$B$24-N(M263)&lt;=설정!$B$28*30.4),설정!$B$32,설정!$B$33),설정!$B$34))+IF(AA263="★",설정!$B$35,0))</f>
        <v/>
      </c>
      <c r="AC263">
        <f>SUBSTITUTE(SUBSTITUTE(SUBSTITUTE(SUBSTITUTE(H263,"(주)",""),"㈜",""),"주식회사","")," ","")</f>
        <v/>
      </c>
      <c r="AD263">
        <f>IF(AND(T263,AC263&lt;&gt;""),IF(COUNTIFS(AC$2:AC263,AC263,T$2:T263,TRUE)=1,MAX(AD$1:AD262)+1,""),"")</f>
        <v/>
      </c>
    </row>
    <row r="264">
      <c r="A264">
        <f>ROW()</f>
        <v/>
      </c>
      <c r="B264">
        <f>IF(설정!$C$4="","",IFERROR(INDEX('1.산군_붙여넣기'!$A$1:$AZ$1001,ROW(),설정!$C$4)&amp;"",""))</f>
        <v/>
      </c>
      <c r="C264">
        <f>IF(설정!$C$5="","",IFERROR(INDEX('1.산군_붙여넣기'!$A$1:$AZ$1001,ROW(),설정!$C$5)&amp;"",""))</f>
        <v/>
      </c>
      <c r="D264" s="5">
        <f>IFERROR(VALUE(SUBSTITUTE(SUBSTITUTE(SUBSTITUTE(IF(설정!$C$6="","",IFERROR(INDEX('1.산군_붙여넣기'!$A$1:$AZ$1001,ROW(),설정!$C$6)&amp;"","")),",",""),"㎡",""),"m2","")),"")</f>
        <v/>
      </c>
      <c r="E264">
        <f>IF(설정!$C$7="","",IFERROR(INDEX('1.산군_붙여넣기'!$A$1:$AZ$1001,ROW(),설정!$C$7)&amp;"",""))</f>
        <v/>
      </c>
      <c r="F264">
        <f>IF(설정!$C$8="","",IFERROR(INDEX('1.산군_붙여넣기'!$A$1:$AZ$1001,ROW(),설정!$C$8)&amp;"",""))</f>
        <v/>
      </c>
      <c r="G264">
        <f>IF(설정!$C$9="","",IFERROR(INDEX('1.산군_붙여넣기'!$A$1:$AZ$1001,ROW(),설정!$C$9)&amp;"",""))</f>
        <v/>
      </c>
      <c r="H264">
        <f>IF(설정!$C$10="","",IFERROR(INDEX('1.산군_붙여넣기'!$A$1:$AZ$1001,ROW(),설정!$C$10)&amp;"",""))</f>
        <v/>
      </c>
      <c r="I264">
        <f>IF(설정!$C$11="","",IFERROR(INDEX('1.산군_붙여넣기'!$A$1:$AZ$1001,ROW(),설정!$C$11)&amp;"",""))</f>
        <v/>
      </c>
      <c r="J264">
        <f>IF(설정!$C$12="","",IFERROR(INDEX('1.산군_붙여넣기'!$A$1:$AZ$1001,ROW(),설정!$C$12)&amp;"",""))</f>
        <v/>
      </c>
      <c r="K264">
        <f>IF(설정!$C$13="","",IFERROR(INDEX('1.산군_붙여넣기'!$A$1:$AZ$1001,ROW(),설정!$C$13)&amp;"",""))</f>
        <v/>
      </c>
      <c r="L264" s="7">
        <f>IF(X264="","",IF(AND(LEN(X264)=8,ISNUMBER(X264*1)),DATE(LEFT(X264,4),MID(X264,5,2),RIGHT(X264,2)),IFERROR(DATEVALUE(SUBSTITUTE(SUBSTITUTE(X264,".","-"),"/","-")),IFERROR(X264*1,""))))</f>
        <v/>
      </c>
      <c r="M264" s="7">
        <f>IF(Y264="","",IF(AND(LEN(Y264)=8,ISNUMBER(Y264*1)),DATE(LEFT(Y264,4),MID(Y264,5,2),RIGHT(Y264,2)),IFERROR(DATEVALUE(SUBSTITUTE(SUBSTITUTE(Y264,".","-"),"/","-")),IFERROR(Y264*1,""))))</f>
        <v/>
      </c>
      <c r="N264">
        <f>IFERROR(LEFT(B264,FIND(" ",B264)-1),B264)</f>
        <v/>
      </c>
      <c r="O264">
        <f>AND(B264&lt;&gt;"",B264&lt;&gt;설정!$B$4,C264&lt;&gt;설정!$B$5)</f>
        <v/>
      </c>
      <c r="P264">
        <f>IF(O264,B264&amp;"|"&amp;C264,"")</f>
        <v/>
      </c>
      <c r="Q264">
        <f>AND(O264,COUNTIF(P265:P$1002,P264)=0)</f>
        <v/>
      </c>
      <c r="R264">
        <f>OR(AND(설정!$A$42&lt;&gt;"",ISNUMBER(SEARCH(설정!$A$42,E264&amp;" "&amp;C264))),AND(설정!$A$43&lt;&gt;"",ISNUMBER(SEARCH(설정!$A$43,E264&amp;" "&amp;C264))),AND(설정!$A$44&lt;&gt;"",ISNUMBER(SEARCH(설정!$A$44,E264&amp;" "&amp;C264))),AND(설정!$A$45&lt;&gt;"",ISNUMBER(SEARCH(설정!$A$45,E264&amp;" "&amp;C264))),AND(설정!$A$46&lt;&gt;"",ISNUMBER(SEARCH(설정!$A$46,E264&amp;" "&amp;C264))),AND(설정!$A$47&lt;&gt;"",ISNUMBER(SEARCH(설정!$A$47,E264&amp;" "&amp;C264))),AND(설정!$A$48&lt;&gt;"",ISNUMBER(SEARCH(설정!$A$48,E264&amp;" "&amp;C264))),AND(설정!$A$49&lt;&gt;"",ISNUMBER(SEARCH(설정!$A$49,E264&amp;" "&amp;C264))),AND(설정!$A$50&lt;&gt;"",ISNUMBER(SEARCH(설정!$A$50,E264&amp;" "&amp;C264))),AND(설정!$A$51&lt;&gt;"",ISNUMBER(SEARCH(설정!$A$51,E264&amp;" "&amp;C264))))</f>
        <v/>
      </c>
      <c r="S264">
        <f>OR(D264="",D264&gt;=설정!$B$19)</f>
        <v/>
      </c>
      <c r="T264">
        <f>AND(Q264,R264,S264)</f>
        <v/>
      </c>
      <c r="U264">
        <f>IF(T264,IF(AND(설정!$A$54&lt;&gt;"",ISNUMBER(SEARCH(설정!$A$54,K264))),설정!$B$54,IF(AND(설정!$A$55&lt;&gt;"",ISNUMBER(SEARCH(설정!$A$55,K264))),설정!$B$55,IF(AND(설정!$A$56&lt;&gt;"",ISNUMBER(SEARCH(설정!$A$56,K264))),설정!$B$56,IF(AND(설정!$A$57&lt;&gt;"",ISNUMBER(SEARCH(설정!$A$57,K264))),설정!$B$57,IF(AND(설정!$A$58&lt;&gt;"",ISNUMBER(SEARCH(설정!$A$58,K264))),설정!$B$58,IF(AND(설정!$A$59&lt;&gt;"",ISNUMBER(SEARCH(설정!$A$59,K264))),설정!$B$59,IF(AND(설정!$A$60&lt;&gt;"",ISNUMBER(SEARCH(설정!$A$60,K264))),설정!$B$60,IF(AND(설정!$A$61&lt;&gt;"",ISNUMBER(SEARCH(설정!$A$61,K264))),설정!$B$61,IF(M264="","설계사","시공사"))))))))),"")</f>
        <v/>
      </c>
      <c r="V264">
        <f>SUBSTITUTE(SUBSTITUTE(SUBSTITUTE(SUBSTITUTE(G264,"(주)",""),"㈜",""),"주식회사","")," ","")</f>
        <v/>
      </c>
      <c r="W264">
        <f>IF(AND(T264,V264&lt;&gt;""),IF(COUNTIFS(V$2:V264,V264,T$2:T264,TRUE)=1,MAX(W$1:W263)+1,""),"")</f>
        <v/>
      </c>
      <c r="X264">
        <f>IF(설정!$C$14="","",IFERROR(INDEX('1.산군_붙여넣기'!$A$1:$AZ$1001,ROW(),설정!$C$14)&amp;"",""))</f>
        <v/>
      </c>
      <c r="Y264">
        <f>IF(설정!$C$15="","",IFERROR(INDEX('1.산군_붙여넣기'!$A$1:$AZ$1001,ROW(),설정!$C$15)&amp;"",""))</f>
        <v/>
      </c>
      <c r="Z264">
        <f>IF(T264,V264&amp;"|"&amp;U264,"")</f>
        <v/>
      </c>
      <c r="AA264">
        <f>IF(NOT(Q264),"",IF(NOT(AND(R264,S264)),"✕",IF(OR(OR(AND(L264&lt;&gt;"",M264&lt;&gt;"",N(M264)-N(L264)&gt;설정!$B$27),AND(L264&lt;&gt;"",M264="",설정!$B$24-N(L264)&gt;설정!$B$27)),AND(D264&lt;&gt;"",D264&lt;설정!$B$26)),"△","★")))</f>
        <v/>
      </c>
      <c r="AB264">
        <f>IF(NOT(T264),"",IF(U264="설계사",설정!$B$31,IF(U264="시공사",IF(OR(M264="",설정!$B$24-N(M264)&lt;=설정!$B$28*30.4),설정!$B$32,설정!$B$33),설정!$B$34))+IF(AA264="★",설정!$B$35,0))</f>
        <v/>
      </c>
      <c r="AC264">
        <f>SUBSTITUTE(SUBSTITUTE(SUBSTITUTE(SUBSTITUTE(H264,"(주)",""),"㈜",""),"주식회사","")," ","")</f>
        <v/>
      </c>
      <c r="AD264">
        <f>IF(AND(T264,AC264&lt;&gt;""),IF(COUNTIFS(AC$2:AC264,AC264,T$2:T264,TRUE)=1,MAX(AD$1:AD263)+1,""),"")</f>
        <v/>
      </c>
    </row>
    <row r="265">
      <c r="A265">
        <f>ROW()</f>
        <v/>
      </c>
      <c r="B265">
        <f>IF(설정!$C$4="","",IFERROR(INDEX('1.산군_붙여넣기'!$A$1:$AZ$1001,ROW(),설정!$C$4)&amp;"",""))</f>
        <v/>
      </c>
      <c r="C265">
        <f>IF(설정!$C$5="","",IFERROR(INDEX('1.산군_붙여넣기'!$A$1:$AZ$1001,ROW(),설정!$C$5)&amp;"",""))</f>
        <v/>
      </c>
      <c r="D265" s="5">
        <f>IFERROR(VALUE(SUBSTITUTE(SUBSTITUTE(SUBSTITUTE(IF(설정!$C$6="","",IFERROR(INDEX('1.산군_붙여넣기'!$A$1:$AZ$1001,ROW(),설정!$C$6)&amp;"","")),",",""),"㎡",""),"m2","")),"")</f>
        <v/>
      </c>
      <c r="E265">
        <f>IF(설정!$C$7="","",IFERROR(INDEX('1.산군_붙여넣기'!$A$1:$AZ$1001,ROW(),설정!$C$7)&amp;"",""))</f>
        <v/>
      </c>
      <c r="F265">
        <f>IF(설정!$C$8="","",IFERROR(INDEX('1.산군_붙여넣기'!$A$1:$AZ$1001,ROW(),설정!$C$8)&amp;"",""))</f>
        <v/>
      </c>
      <c r="G265">
        <f>IF(설정!$C$9="","",IFERROR(INDEX('1.산군_붙여넣기'!$A$1:$AZ$1001,ROW(),설정!$C$9)&amp;"",""))</f>
        <v/>
      </c>
      <c r="H265">
        <f>IF(설정!$C$10="","",IFERROR(INDEX('1.산군_붙여넣기'!$A$1:$AZ$1001,ROW(),설정!$C$10)&amp;"",""))</f>
        <v/>
      </c>
      <c r="I265">
        <f>IF(설정!$C$11="","",IFERROR(INDEX('1.산군_붙여넣기'!$A$1:$AZ$1001,ROW(),설정!$C$11)&amp;"",""))</f>
        <v/>
      </c>
      <c r="J265">
        <f>IF(설정!$C$12="","",IFERROR(INDEX('1.산군_붙여넣기'!$A$1:$AZ$1001,ROW(),설정!$C$12)&amp;"",""))</f>
        <v/>
      </c>
      <c r="K265">
        <f>IF(설정!$C$13="","",IFERROR(INDEX('1.산군_붙여넣기'!$A$1:$AZ$1001,ROW(),설정!$C$13)&amp;"",""))</f>
        <v/>
      </c>
      <c r="L265" s="7">
        <f>IF(X265="","",IF(AND(LEN(X265)=8,ISNUMBER(X265*1)),DATE(LEFT(X265,4),MID(X265,5,2),RIGHT(X265,2)),IFERROR(DATEVALUE(SUBSTITUTE(SUBSTITUTE(X265,".","-"),"/","-")),IFERROR(X265*1,""))))</f>
        <v/>
      </c>
      <c r="M265" s="7">
        <f>IF(Y265="","",IF(AND(LEN(Y265)=8,ISNUMBER(Y265*1)),DATE(LEFT(Y265,4),MID(Y265,5,2),RIGHT(Y265,2)),IFERROR(DATEVALUE(SUBSTITUTE(SUBSTITUTE(Y265,".","-"),"/","-")),IFERROR(Y265*1,""))))</f>
        <v/>
      </c>
      <c r="N265">
        <f>IFERROR(LEFT(B265,FIND(" ",B265)-1),B265)</f>
        <v/>
      </c>
      <c r="O265">
        <f>AND(B265&lt;&gt;"",B265&lt;&gt;설정!$B$4,C265&lt;&gt;설정!$B$5)</f>
        <v/>
      </c>
      <c r="P265">
        <f>IF(O265,B265&amp;"|"&amp;C265,"")</f>
        <v/>
      </c>
      <c r="Q265">
        <f>AND(O265,COUNTIF(P266:P$1002,P265)=0)</f>
        <v/>
      </c>
      <c r="R265">
        <f>OR(AND(설정!$A$42&lt;&gt;"",ISNUMBER(SEARCH(설정!$A$42,E265&amp;" "&amp;C265))),AND(설정!$A$43&lt;&gt;"",ISNUMBER(SEARCH(설정!$A$43,E265&amp;" "&amp;C265))),AND(설정!$A$44&lt;&gt;"",ISNUMBER(SEARCH(설정!$A$44,E265&amp;" "&amp;C265))),AND(설정!$A$45&lt;&gt;"",ISNUMBER(SEARCH(설정!$A$45,E265&amp;" "&amp;C265))),AND(설정!$A$46&lt;&gt;"",ISNUMBER(SEARCH(설정!$A$46,E265&amp;" "&amp;C265))),AND(설정!$A$47&lt;&gt;"",ISNUMBER(SEARCH(설정!$A$47,E265&amp;" "&amp;C265))),AND(설정!$A$48&lt;&gt;"",ISNUMBER(SEARCH(설정!$A$48,E265&amp;" "&amp;C265))),AND(설정!$A$49&lt;&gt;"",ISNUMBER(SEARCH(설정!$A$49,E265&amp;" "&amp;C265))),AND(설정!$A$50&lt;&gt;"",ISNUMBER(SEARCH(설정!$A$50,E265&amp;" "&amp;C265))),AND(설정!$A$51&lt;&gt;"",ISNUMBER(SEARCH(설정!$A$51,E265&amp;" "&amp;C265))))</f>
        <v/>
      </c>
      <c r="S265">
        <f>OR(D265="",D265&gt;=설정!$B$19)</f>
        <v/>
      </c>
      <c r="T265">
        <f>AND(Q265,R265,S265)</f>
        <v/>
      </c>
      <c r="U265">
        <f>IF(T265,IF(AND(설정!$A$54&lt;&gt;"",ISNUMBER(SEARCH(설정!$A$54,K265))),설정!$B$54,IF(AND(설정!$A$55&lt;&gt;"",ISNUMBER(SEARCH(설정!$A$55,K265))),설정!$B$55,IF(AND(설정!$A$56&lt;&gt;"",ISNUMBER(SEARCH(설정!$A$56,K265))),설정!$B$56,IF(AND(설정!$A$57&lt;&gt;"",ISNUMBER(SEARCH(설정!$A$57,K265))),설정!$B$57,IF(AND(설정!$A$58&lt;&gt;"",ISNUMBER(SEARCH(설정!$A$58,K265))),설정!$B$58,IF(AND(설정!$A$59&lt;&gt;"",ISNUMBER(SEARCH(설정!$A$59,K265))),설정!$B$59,IF(AND(설정!$A$60&lt;&gt;"",ISNUMBER(SEARCH(설정!$A$60,K265))),설정!$B$60,IF(AND(설정!$A$61&lt;&gt;"",ISNUMBER(SEARCH(설정!$A$61,K265))),설정!$B$61,IF(M265="","설계사","시공사"))))))))),"")</f>
        <v/>
      </c>
      <c r="V265">
        <f>SUBSTITUTE(SUBSTITUTE(SUBSTITUTE(SUBSTITUTE(G265,"(주)",""),"㈜",""),"주식회사","")," ","")</f>
        <v/>
      </c>
      <c r="W265">
        <f>IF(AND(T265,V265&lt;&gt;""),IF(COUNTIFS(V$2:V265,V265,T$2:T265,TRUE)=1,MAX(W$1:W264)+1,""),"")</f>
        <v/>
      </c>
      <c r="X265">
        <f>IF(설정!$C$14="","",IFERROR(INDEX('1.산군_붙여넣기'!$A$1:$AZ$1001,ROW(),설정!$C$14)&amp;"",""))</f>
        <v/>
      </c>
      <c r="Y265">
        <f>IF(설정!$C$15="","",IFERROR(INDEX('1.산군_붙여넣기'!$A$1:$AZ$1001,ROW(),설정!$C$15)&amp;"",""))</f>
        <v/>
      </c>
      <c r="Z265">
        <f>IF(T265,V265&amp;"|"&amp;U265,"")</f>
        <v/>
      </c>
      <c r="AA265">
        <f>IF(NOT(Q265),"",IF(NOT(AND(R265,S265)),"✕",IF(OR(OR(AND(L265&lt;&gt;"",M265&lt;&gt;"",N(M265)-N(L265)&gt;설정!$B$27),AND(L265&lt;&gt;"",M265="",설정!$B$24-N(L265)&gt;설정!$B$27)),AND(D265&lt;&gt;"",D265&lt;설정!$B$26)),"△","★")))</f>
        <v/>
      </c>
      <c r="AB265">
        <f>IF(NOT(T265),"",IF(U265="설계사",설정!$B$31,IF(U265="시공사",IF(OR(M265="",설정!$B$24-N(M265)&lt;=설정!$B$28*30.4),설정!$B$32,설정!$B$33),설정!$B$34))+IF(AA265="★",설정!$B$35,0))</f>
        <v/>
      </c>
      <c r="AC265">
        <f>SUBSTITUTE(SUBSTITUTE(SUBSTITUTE(SUBSTITUTE(H265,"(주)",""),"㈜",""),"주식회사","")," ","")</f>
        <v/>
      </c>
      <c r="AD265">
        <f>IF(AND(T265,AC265&lt;&gt;""),IF(COUNTIFS(AC$2:AC265,AC265,T$2:T265,TRUE)=1,MAX(AD$1:AD264)+1,""),"")</f>
        <v/>
      </c>
    </row>
    <row r="266">
      <c r="A266">
        <f>ROW()</f>
        <v/>
      </c>
      <c r="B266">
        <f>IF(설정!$C$4="","",IFERROR(INDEX('1.산군_붙여넣기'!$A$1:$AZ$1001,ROW(),설정!$C$4)&amp;"",""))</f>
        <v/>
      </c>
      <c r="C266">
        <f>IF(설정!$C$5="","",IFERROR(INDEX('1.산군_붙여넣기'!$A$1:$AZ$1001,ROW(),설정!$C$5)&amp;"",""))</f>
        <v/>
      </c>
      <c r="D266" s="5">
        <f>IFERROR(VALUE(SUBSTITUTE(SUBSTITUTE(SUBSTITUTE(IF(설정!$C$6="","",IFERROR(INDEX('1.산군_붙여넣기'!$A$1:$AZ$1001,ROW(),설정!$C$6)&amp;"","")),",",""),"㎡",""),"m2","")),"")</f>
        <v/>
      </c>
      <c r="E266">
        <f>IF(설정!$C$7="","",IFERROR(INDEX('1.산군_붙여넣기'!$A$1:$AZ$1001,ROW(),설정!$C$7)&amp;"",""))</f>
        <v/>
      </c>
      <c r="F266">
        <f>IF(설정!$C$8="","",IFERROR(INDEX('1.산군_붙여넣기'!$A$1:$AZ$1001,ROW(),설정!$C$8)&amp;"",""))</f>
        <v/>
      </c>
      <c r="G266">
        <f>IF(설정!$C$9="","",IFERROR(INDEX('1.산군_붙여넣기'!$A$1:$AZ$1001,ROW(),설정!$C$9)&amp;"",""))</f>
        <v/>
      </c>
      <c r="H266">
        <f>IF(설정!$C$10="","",IFERROR(INDEX('1.산군_붙여넣기'!$A$1:$AZ$1001,ROW(),설정!$C$10)&amp;"",""))</f>
        <v/>
      </c>
      <c r="I266">
        <f>IF(설정!$C$11="","",IFERROR(INDEX('1.산군_붙여넣기'!$A$1:$AZ$1001,ROW(),설정!$C$11)&amp;"",""))</f>
        <v/>
      </c>
      <c r="J266">
        <f>IF(설정!$C$12="","",IFERROR(INDEX('1.산군_붙여넣기'!$A$1:$AZ$1001,ROW(),설정!$C$12)&amp;"",""))</f>
        <v/>
      </c>
      <c r="K266">
        <f>IF(설정!$C$13="","",IFERROR(INDEX('1.산군_붙여넣기'!$A$1:$AZ$1001,ROW(),설정!$C$13)&amp;"",""))</f>
        <v/>
      </c>
      <c r="L266" s="7">
        <f>IF(X266="","",IF(AND(LEN(X266)=8,ISNUMBER(X266*1)),DATE(LEFT(X266,4),MID(X266,5,2),RIGHT(X266,2)),IFERROR(DATEVALUE(SUBSTITUTE(SUBSTITUTE(X266,".","-"),"/","-")),IFERROR(X266*1,""))))</f>
        <v/>
      </c>
      <c r="M266" s="7">
        <f>IF(Y266="","",IF(AND(LEN(Y266)=8,ISNUMBER(Y266*1)),DATE(LEFT(Y266,4),MID(Y266,5,2),RIGHT(Y266,2)),IFERROR(DATEVALUE(SUBSTITUTE(SUBSTITUTE(Y266,".","-"),"/","-")),IFERROR(Y266*1,""))))</f>
        <v/>
      </c>
      <c r="N266">
        <f>IFERROR(LEFT(B266,FIND(" ",B266)-1),B266)</f>
        <v/>
      </c>
      <c r="O266">
        <f>AND(B266&lt;&gt;"",B266&lt;&gt;설정!$B$4,C266&lt;&gt;설정!$B$5)</f>
        <v/>
      </c>
      <c r="P266">
        <f>IF(O266,B266&amp;"|"&amp;C266,"")</f>
        <v/>
      </c>
      <c r="Q266">
        <f>AND(O266,COUNTIF(P267:P$1002,P266)=0)</f>
        <v/>
      </c>
      <c r="R266">
        <f>OR(AND(설정!$A$42&lt;&gt;"",ISNUMBER(SEARCH(설정!$A$42,E266&amp;" "&amp;C266))),AND(설정!$A$43&lt;&gt;"",ISNUMBER(SEARCH(설정!$A$43,E266&amp;" "&amp;C266))),AND(설정!$A$44&lt;&gt;"",ISNUMBER(SEARCH(설정!$A$44,E266&amp;" "&amp;C266))),AND(설정!$A$45&lt;&gt;"",ISNUMBER(SEARCH(설정!$A$45,E266&amp;" "&amp;C266))),AND(설정!$A$46&lt;&gt;"",ISNUMBER(SEARCH(설정!$A$46,E266&amp;" "&amp;C266))),AND(설정!$A$47&lt;&gt;"",ISNUMBER(SEARCH(설정!$A$47,E266&amp;" "&amp;C266))),AND(설정!$A$48&lt;&gt;"",ISNUMBER(SEARCH(설정!$A$48,E266&amp;" "&amp;C266))),AND(설정!$A$49&lt;&gt;"",ISNUMBER(SEARCH(설정!$A$49,E266&amp;" "&amp;C266))),AND(설정!$A$50&lt;&gt;"",ISNUMBER(SEARCH(설정!$A$50,E266&amp;" "&amp;C266))),AND(설정!$A$51&lt;&gt;"",ISNUMBER(SEARCH(설정!$A$51,E266&amp;" "&amp;C266))))</f>
        <v/>
      </c>
      <c r="S266">
        <f>OR(D266="",D266&gt;=설정!$B$19)</f>
        <v/>
      </c>
      <c r="T266">
        <f>AND(Q266,R266,S266)</f>
        <v/>
      </c>
      <c r="U266">
        <f>IF(T266,IF(AND(설정!$A$54&lt;&gt;"",ISNUMBER(SEARCH(설정!$A$54,K266))),설정!$B$54,IF(AND(설정!$A$55&lt;&gt;"",ISNUMBER(SEARCH(설정!$A$55,K266))),설정!$B$55,IF(AND(설정!$A$56&lt;&gt;"",ISNUMBER(SEARCH(설정!$A$56,K266))),설정!$B$56,IF(AND(설정!$A$57&lt;&gt;"",ISNUMBER(SEARCH(설정!$A$57,K266))),설정!$B$57,IF(AND(설정!$A$58&lt;&gt;"",ISNUMBER(SEARCH(설정!$A$58,K266))),설정!$B$58,IF(AND(설정!$A$59&lt;&gt;"",ISNUMBER(SEARCH(설정!$A$59,K266))),설정!$B$59,IF(AND(설정!$A$60&lt;&gt;"",ISNUMBER(SEARCH(설정!$A$60,K266))),설정!$B$60,IF(AND(설정!$A$61&lt;&gt;"",ISNUMBER(SEARCH(설정!$A$61,K266))),설정!$B$61,IF(M266="","설계사","시공사"))))))))),"")</f>
        <v/>
      </c>
      <c r="V266">
        <f>SUBSTITUTE(SUBSTITUTE(SUBSTITUTE(SUBSTITUTE(G266,"(주)",""),"㈜",""),"주식회사","")," ","")</f>
        <v/>
      </c>
      <c r="W266">
        <f>IF(AND(T266,V266&lt;&gt;""),IF(COUNTIFS(V$2:V266,V266,T$2:T266,TRUE)=1,MAX(W$1:W265)+1,""),"")</f>
        <v/>
      </c>
      <c r="X266">
        <f>IF(설정!$C$14="","",IFERROR(INDEX('1.산군_붙여넣기'!$A$1:$AZ$1001,ROW(),설정!$C$14)&amp;"",""))</f>
        <v/>
      </c>
      <c r="Y266">
        <f>IF(설정!$C$15="","",IFERROR(INDEX('1.산군_붙여넣기'!$A$1:$AZ$1001,ROW(),설정!$C$15)&amp;"",""))</f>
        <v/>
      </c>
      <c r="Z266">
        <f>IF(T266,V266&amp;"|"&amp;U266,"")</f>
        <v/>
      </c>
      <c r="AA266">
        <f>IF(NOT(Q266),"",IF(NOT(AND(R266,S266)),"✕",IF(OR(OR(AND(L266&lt;&gt;"",M266&lt;&gt;"",N(M266)-N(L266)&gt;설정!$B$27),AND(L266&lt;&gt;"",M266="",설정!$B$24-N(L266)&gt;설정!$B$27)),AND(D266&lt;&gt;"",D266&lt;설정!$B$26)),"△","★")))</f>
        <v/>
      </c>
      <c r="AB266">
        <f>IF(NOT(T266),"",IF(U266="설계사",설정!$B$31,IF(U266="시공사",IF(OR(M266="",설정!$B$24-N(M266)&lt;=설정!$B$28*30.4),설정!$B$32,설정!$B$33),설정!$B$34))+IF(AA266="★",설정!$B$35,0))</f>
        <v/>
      </c>
      <c r="AC266">
        <f>SUBSTITUTE(SUBSTITUTE(SUBSTITUTE(SUBSTITUTE(H266,"(주)",""),"㈜",""),"주식회사","")," ","")</f>
        <v/>
      </c>
      <c r="AD266">
        <f>IF(AND(T266,AC266&lt;&gt;""),IF(COUNTIFS(AC$2:AC266,AC266,T$2:T266,TRUE)=1,MAX(AD$1:AD265)+1,""),"")</f>
        <v/>
      </c>
    </row>
    <row r="267">
      <c r="A267">
        <f>ROW()</f>
        <v/>
      </c>
      <c r="B267">
        <f>IF(설정!$C$4="","",IFERROR(INDEX('1.산군_붙여넣기'!$A$1:$AZ$1001,ROW(),설정!$C$4)&amp;"",""))</f>
        <v/>
      </c>
      <c r="C267">
        <f>IF(설정!$C$5="","",IFERROR(INDEX('1.산군_붙여넣기'!$A$1:$AZ$1001,ROW(),설정!$C$5)&amp;"",""))</f>
        <v/>
      </c>
      <c r="D267" s="5">
        <f>IFERROR(VALUE(SUBSTITUTE(SUBSTITUTE(SUBSTITUTE(IF(설정!$C$6="","",IFERROR(INDEX('1.산군_붙여넣기'!$A$1:$AZ$1001,ROW(),설정!$C$6)&amp;"","")),",",""),"㎡",""),"m2","")),"")</f>
        <v/>
      </c>
      <c r="E267">
        <f>IF(설정!$C$7="","",IFERROR(INDEX('1.산군_붙여넣기'!$A$1:$AZ$1001,ROW(),설정!$C$7)&amp;"",""))</f>
        <v/>
      </c>
      <c r="F267">
        <f>IF(설정!$C$8="","",IFERROR(INDEX('1.산군_붙여넣기'!$A$1:$AZ$1001,ROW(),설정!$C$8)&amp;"",""))</f>
        <v/>
      </c>
      <c r="G267">
        <f>IF(설정!$C$9="","",IFERROR(INDEX('1.산군_붙여넣기'!$A$1:$AZ$1001,ROW(),설정!$C$9)&amp;"",""))</f>
        <v/>
      </c>
      <c r="H267">
        <f>IF(설정!$C$10="","",IFERROR(INDEX('1.산군_붙여넣기'!$A$1:$AZ$1001,ROW(),설정!$C$10)&amp;"",""))</f>
        <v/>
      </c>
      <c r="I267">
        <f>IF(설정!$C$11="","",IFERROR(INDEX('1.산군_붙여넣기'!$A$1:$AZ$1001,ROW(),설정!$C$11)&amp;"",""))</f>
        <v/>
      </c>
      <c r="J267">
        <f>IF(설정!$C$12="","",IFERROR(INDEX('1.산군_붙여넣기'!$A$1:$AZ$1001,ROW(),설정!$C$12)&amp;"",""))</f>
        <v/>
      </c>
      <c r="K267">
        <f>IF(설정!$C$13="","",IFERROR(INDEX('1.산군_붙여넣기'!$A$1:$AZ$1001,ROW(),설정!$C$13)&amp;"",""))</f>
        <v/>
      </c>
      <c r="L267" s="7">
        <f>IF(X267="","",IF(AND(LEN(X267)=8,ISNUMBER(X267*1)),DATE(LEFT(X267,4),MID(X267,5,2),RIGHT(X267,2)),IFERROR(DATEVALUE(SUBSTITUTE(SUBSTITUTE(X267,".","-"),"/","-")),IFERROR(X267*1,""))))</f>
        <v/>
      </c>
      <c r="M267" s="7">
        <f>IF(Y267="","",IF(AND(LEN(Y267)=8,ISNUMBER(Y267*1)),DATE(LEFT(Y267,4),MID(Y267,5,2),RIGHT(Y267,2)),IFERROR(DATEVALUE(SUBSTITUTE(SUBSTITUTE(Y267,".","-"),"/","-")),IFERROR(Y267*1,""))))</f>
        <v/>
      </c>
      <c r="N267">
        <f>IFERROR(LEFT(B267,FIND(" ",B267)-1),B267)</f>
        <v/>
      </c>
      <c r="O267">
        <f>AND(B267&lt;&gt;"",B267&lt;&gt;설정!$B$4,C267&lt;&gt;설정!$B$5)</f>
        <v/>
      </c>
      <c r="P267">
        <f>IF(O267,B267&amp;"|"&amp;C267,"")</f>
        <v/>
      </c>
      <c r="Q267">
        <f>AND(O267,COUNTIF(P268:P$1002,P267)=0)</f>
        <v/>
      </c>
      <c r="R267">
        <f>OR(AND(설정!$A$42&lt;&gt;"",ISNUMBER(SEARCH(설정!$A$42,E267&amp;" "&amp;C267))),AND(설정!$A$43&lt;&gt;"",ISNUMBER(SEARCH(설정!$A$43,E267&amp;" "&amp;C267))),AND(설정!$A$44&lt;&gt;"",ISNUMBER(SEARCH(설정!$A$44,E267&amp;" "&amp;C267))),AND(설정!$A$45&lt;&gt;"",ISNUMBER(SEARCH(설정!$A$45,E267&amp;" "&amp;C267))),AND(설정!$A$46&lt;&gt;"",ISNUMBER(SEARCH(설정!$A$46,E267&amp;" "&amp;C267))),AND(설정!$A$47&lt;&gt;"",ISNUMBER(SEARCH(설정!$A$47,E267&amp;" "&amp;C267))),AND(설정!$A$48&lt;&gt;"",ISNUMBER(SEARCH(설정!$A$48,E267&amp;" "&amp;C267))),AND(설정!$A$49&lt;&gt;"",ISNUMBER(SEARCH(설정!$A$49,E267&amp;" "&amp;C267))),AND(설정!$A$50&lt;&gt;"",ISNUMBER(SEARCH(설정!$A$50,E267&amp;" "&amp;C267))),AND(설정!$A$51&lt;&gt;"",ISNUMBER(SEARCH(설정!$A$51,E267&amp;" "&amp;C267))))</f>
        <v/>
      </c>
      <c r="S267">
        <f>OR(D267="",D267&gt;=설정!$B$19)</f>
        <v/>
      </c>
      <c r="T267">
        <f>AND(Q267,R267,S267)</f>
        <v/>
      </c>
      <c r="U267">
        <f>IF(T267,IF(AND(설정!$A$54&lt;&gt;"",ISNUMBER(SEARCH(설정!$A$54,K267))),설정!$B$54,IF(AND(설정!$A$55&lt;&gt;"",ISNUMBER(SEARCH(설정!$A$55,K267))),설정!$B$55,IF(AND(설정!$A$56&lt;&gt;"",ISNUMBER(SEARCH(설정!$A$56,K267))),설정!$B$56,IF(AND(설정!$A$57&lt;&gt;"",ISNUMBER(SEARCH(설정!$A$57,K267))),설정!$B$57,IF(AND(설정!$A$58&lt;&gt;"",ISNUMBER(SEARCH(설정!$A$58,K267))),설정!$B$58,IF(AND(설정!$A$59&lt;&gt;"",ISNUMBER(SEARCH(설정!$A$59,K267))),설정!$B$59,IF(AND(설정!$A$60&lt;&gt;"",ISNUMBER(SEARCH(설정!$A$60,K267))),설정!$B$60,IF(AND(설정!$A$61&lt;&gt;"",ISNUMBER(SEARCH(설정!$A$61,K267))),설정!$B$61,IF(M267="","설계사","시공사"))))))))),"")</f>
        <v/>
      </c>
      <c r="V267">
        <f>SUBSTITUTE(SUBSTITUTE(SUBSTITUTE(SUBSTITUTE(G267,"(주)",""),"㈜",""),"주식회사","")," ","")</f>
        <v/>
      </c>
      <c r="W267">
        <f>IF(AND(T267,V267&lt;&gt;""),IF(COUNTIFS(V$2:V267,V267,T$2:T267,TRUE)=1,MAX(W$1:W266)+1,""),"")</f>
        <v/>
      </c>
      <c r="X267">
        <f>IF(설정!$C$14="","",IFERROR(INDEX('1.산군_붙여넣기'!$A$1:$AZ$1001,ROW(),설정!$C$14)&amp;"",""))</f>
        <v/>
      </c>
      <c r="Y267">
        <f>IF(설정!$C$15="","",IFERROR(INDEX('1.산군_붙여넣기'!$A$1:$AZ$1001,ROW(),설정!$C$15)&amp;"",""))</f>
        <v/>
      </c>
      <c r="Z267">
        <f>IF(T267,V267&amp;"|"&amp;U267,"")</f>
        <v/>
      </c>
      <c r="AA267">
        <f>IF(NOT(Q267),"",IF(NOT(AND(R267,S267)),"✕",IF(OR(OR(AND(L267&lt;&gt;"",M267&lt;&gt;"",N(M267)-N(L267)&gt;설정!$B$27),AND(L267&lt;&gt;"",M267="",설정!$B$24-N(L267)&gt;설정!$B$27)),AND(D267&lt;&gt;"",D267&lt;설정!$B$26)),"△","★")))</f>
        <v/>
      </c>
      <c r="AB267">
        <f>IF(NOT(T267),"",IF(U267="설계사",설정!$B$31,IF(U267="시공사",IF(OR(M267="",설정!$B$24-N(M267)&lt;=설정!$B$28*30.4),설정!$B$32,설정!$B$33),설정!$B$34))+IF(AA267="★",설정!$B$35,0))</f>
        <v/>
      </c>
      <c r="AC267">
        <f>SUBSTITUTE(SUBSTITUTE(SUBSTITUTE(SUBSTITUTE(H267,"(주)",""),"㈜",""),"주식회사","")," ","")</f>
        <v/>
      </c>
      <c r="AD267">
        <f>IF(AND(T267,AC267&lt;&gt;""),IF(COUNTIFS(AC$2:AC267,AC267,T$2:T267,TRUE)=1,MAX(AD$1:AD266)+1,""),"")</f>
        <v/>
      </c>
    </row>
    <row r="268">
      <c r="A268">
        <f>ROW()</f>
        <v/>
      </c>
      <c r="B268">
        <f>IF(설정!$C$4="","",IFERROR(INDEX('1.산군_붙여넣기'!$A$1:$AZ$1001,ROW(),설정!$C$4)&amp;"",""))</f>
        <v/>
      </c>
      <c r="C268">
        <f>IF(설정!$C$5="","",IFERROR(INDEX('1.산군_붙여넣기'!$A$1:$AZ$1001,ROW(),설정!$C$5)&amp;"",""))</f>
        <v/>
      </c>
      <c r="D268" s="5">
        <f>IFERROR(VALUE(SUBSTITUTE(SUBSTITUTE(SUBSTITUTE(IF(설정!$C$6="","",IFERROR(INDEX('1.산군_붙여넣기'!$A$1:$AZ$1001,ROW(),설정!$C$6)&amp;"","")),",",""),"㎡",""),"m2","")),"")</f>
        <v/>
      </c>
      <c r="E268">
        <f>IF(설정!$C$7="","",IFERROR(INDEX('1.산군_붙여넣기'!$A$1:$AZ$1001,ROW(),설정!$C$7)&amp;"",""))</f>
        <v/>
      </c>
      <c r="F268">
        <f>IF(설정!$C$8="","",IFERROR(INDEX('1.산군_붙여넣기'!$A$1:$AZ$1001,ROW(),설정!$C$8)&amp;"",""))</f>
        <v/>
      </c>
      <c r="G268">
        <f>IF(설정!$C$9="","",IFERROR(INDEX('1.산군_붙여넣기'!$A$1:$AZ$1001,ROW(),설정!$C$9)&amp;"",""))</f>
        <v/>
      </c>
      <c r="H268">
        <f>IF(설정!$C$10="","",IFERROR(INDEX('1.산군_붙여넣기'!$A$1:$AZ$1001,ROW(),설정!$C$10)&amp;"",""))</f>
        <v/>
      </c>
      <c r="I268">
        <f>IF(설정!$C$11="","",IFERROR(INDEX('1.산군_붙여넣기'!$A$1:$AZ$1001,ROW(),설정!$C$11)&amp;"",""))</f>
        <v/>
      </c>
      <c r="J268">
        <f>IF(설정!$C$12="","",IFERROR(INDEX('1.산군_붙여넣기'!$A$1:$AZ$1001,ROW(),설정!$C$12)&amp;"",""))</f>
        <v/>
      </c>
      <c r="K268">
        <f>IF(설정!$C$13="","",IFERROR(INDEX('1.산군_붙여넣기'!$A$1:$AZ$1001,ROW(),설정!$C$13)&amp;"",""))</f>
        <v/>
      </c>
      <c r="L268" s="7">
        <f>IF(X268="","",IF(AND(LEN(X268)=8,ISNUMBER(X268*1)),DATE(LEFT(X268,4),MID(X268,5,2),RIGHT(X268,2)),IFERROR(DATEVALUE(SUBSTITUTE(SUBSTITUTE(X268,".","-"),"/","-")),IFERROR(X268*1,""))))</f>
        <v/>
      </c>
      <c r="M268" s="7">
        <f>IF(Y268="","",IF(AND(LEN(Y268)=8,ISNUMBER(Y268*1)),DATE(LEFT(Y268,4),MID(Y268,5,2),RIGHT(Y268,2)),IFERROR(DATEVALUE(SUBSTITUTE(SUBSTITUTE(Y268,".","-"),"/","-")),IFERROR(Y268*1,""))))</f>
        <v/>
      </c>
      <c r="N268">
        <f>IFERROR(LEFT(B268,FIND(" ",B268)-1),B268)</f>
        <v/>
      </c>
      <c r="O268">
        <f>AND(B268&lt;&gt;"",B268&lt;&gt;설정!$B$4,C268&lt;&gt;설정!$B$5)</f>
        <v/>
      </c>
      <c r="P268">
        <f>IF(O268,B268&amp;"|"&amp;C268,"")</f>
        <v/>
      </c>
      <c r="Q268">
        <f>AND(O268,COUNTIF(P269:P$1002,P268)=0)</f>
        <v/>
      </c>
      <c r="R268">
        <f>OR(AND(설정!$A$42&lt;&gt;"",ISNUMBER(SEARCH(설정!$A$42,E268&amp;" "&amp;C268))),AND(설정!$A$43&lt;&gt;"",ISNUMBER(SEARCH(설정!$A$43,E268&amp;" "&amp;C268))),AND(설정!$A$44&lt;&gt;"",ISNUMBER(SEARCH(설정!$A$44,E268&amp;" "&amp;C268))),AND(설정!$A$45&lt;&gt;"",ISNUMBER(SEARCH(설정!$A$45,E268&amp;" "&amp;C268))),AND(설정!$A$46&lt;&gt;"",ISNUMBER(SEARCH(설정!$A$46,E268&amp;" "&amp;C268))),AND(설정!$A$47&lt;&gt;"",ISNUMBER(SEARCH(설정!$A$47,E268&amp;" "&amp;C268))),AND(설정!$A$48&lt;&gt;"",ISNUMBER(SEARCH(설정!$A$48,E268&amp;" "&amp;C268))),AND(설정!$A$49&lt;&gt;"",ISNUMBER(SEARCH(설정!$A$49,E268&amp;" "&amp;C268))),AND(설정!$A$50&lt;&gt;"",ISNUMBER(SEARCH(설정!$A$50,E268&amp;" "&amp;C268))),AND(설정!$A$51&lt;&gt;"",ISNUMBER(SEARCH(설정!$A$51,E268&amp;" "&amp;C268))))</f>
        <v/>
      </c>
      <c r="S268">
        <f>OR(D268="",D268&gt;=설정!$B$19)</f>
        <v/>
      </c>
      <c r="T268">
        <f>AND(Q268,R268,S268)</f>
        <v/>
      </c>
      <c r="U268">
        <f>IF(T268,IF(AND(설정!$A$54&lt;&gt;"",ISNUMBER(SEARCH(설정!$A$54,K268))),설정!$B$54,IF(AND(설정!$A$55&lt;&gt;"",ISNUMBER(SEARCH(설정!$A$55,K268))),설정!$B$55,IF(AND(설정!$A$56&lt;&gt;"",ISNUMBER(SEARCH(설정!$A$56,K268))),설정!$B$56,IF(AND(설정!$A$57&lt;&gt;"",ISNUMBER(SEARCH(설정!$A$57,K268))),설정!$B$57,IF(AND(설정!$A$58&lt;&gt;"",ISNUMBER(SEARCH(설정!$A$58,K268))),설정!$B$58,IF(AND(설정!$A$59&lt;&gt;"",ISNUMBER(SEARCH(설정!$A$59,K268))),설정!$B$59,IF(AND(설정!$A$60&lt;&gt;"",ISNUMBER(SEARCH(설정!$A$60,K268))),설정!$B$60,IF(AND(설정!$A$61&lt;&gt;"",ISNUMBER(SEARCH(설정!$A$61,K268))),설정!$B$61,IF(M268="","설계사","시공사"))))))))),"")</f>
        <v/>
      </c>
      <c r="V268">
        <f>SUBSTITUTE(SUBSTITUTE(SUBSTITUTE(SUBSTITUTE(G268,"(주)",""),"㈜",""),"주식회사","")," ","")</f>
        <v/>
      </c>
      <c r="W268">
        <f>IF(AND(T268,V268&lt;&gt;""),IF(COUNTIFS(V$2:V268,V268,T$2:T268,TRUE)=1,MAX(W$1:W267)+1,""),"")</f>
        <v/>
      </c>
      <c r="X268">
        <f>IF(설정!$C$14="","",IFERROR(INDEX('1.산군_붙여넣기'!$A$1:$AZ$1001,ROW(),설정!$C$14)&amp;"",""))</f>
        <v/>
      </c>
      <c r="Y268">
        <f>IF(설정!$C$15="","",IFERROR(INDEX('1.산군_붙여넣기'!$A$1:$AZ$1001,ROW(),설정!$C$15)&amp;"",""))</f>
        <v/>
      </c>
      <c r="Z268">
        <f>IF(T268,V268&amp;"|"&amp;U268,"")</f>
        <v/>
      </c>
      <c r="AA268">
        <f>IF(NOT(Q268),"",IF(NOT(AND(R268,S268)),"✕",IF(OR(OR(AND(L268&lt;&gt;"",M268&lt;&gt;"",N(M268)-N(L268)&gt;설정!$B$27),AND(L268&lt;&gt;"",M268="",설정!$B$24-N(L268)&gt;설정!$B$27)),AND(D268&lt;&gt;"",D268&lt;설정!$B$26)),"△","★")))</f>
        <v/>
      </c>
      <c r="AB268">
        <f>IF(NOT(T268),"",IF(U268="설계사",설정!$B$31,IF(U268="시공사",IF(OR(M268="",설정!$B$24-N(M268)&lt;=설정!$B$28*30.4),설정!$B$32,설정!$B$33),설정!$B$34))+IF(AA268="★",설정!$B$35,0))</f>
        <v/>
      </c>
      <c r="AC268">
        <f>SUBSTITUTE(SUBSTITUTE(SUBSTITUTE(SUBSTITUTE(H268,"(주)",""),"㈜",""),"주식회사","")," ","")</f>
        <v/>
      </c>
      <c r="AD268">
        <f>IF(AND(T268,AC268&lt;&gt;""),IF(COUNTIFS(AC$2:AC268,AC268,T$2:T268,TRUE)=1,MAX(AD$1:AD267)+1,""),"")</f>
        <v/>
      </c>
    </row>
    <row r="269">
      <c r="A269">
        <f>ROW()</f>
        <v/>
      </c>
      <c r="B269">
        <f>IF(설정!$C$4="","",IFERROR(INDEX('1.산군_붙여넣기'!$A$1:$AZ$1001,ROW(),설정!$C$4)&amp;"",""))</f>
        <v/>
      </c>
      <c r="C269">
        <f>IF(설정!$C$5="","",IFERROR(INDEX('1.산군_붙여넣기'!$A$1:$AZ$1001,ROW(),설정!$C$5)&amp;"",""))</f>
        <v/>
      </c>
      <c r="D269" s="5">
        <f>IFERROR(VALUE(SUBSTITUTE(SUBSTITUTE(SUBSTITUTE(IF(설정!$C$6="","",IFERROR(INDEX('1.산군_붙여넣기'!$A$1:$AZ$1001,ROW(),설정!$C$6)&amp;"","")),",",""),"㎡",""),"m2","")),"")</f>
        <v/>
      </c>
      <c r="E269">
        <f>IF(설정!$C$7="","",IFERROR(INDEX('1.산군_붙여넣기'!$A$1:$AZ$1001,ROW(),설정!$C$7)&amp;"",""))</f>
        <v/>
      </c>
      <c r="F269">
        <f>IF(설정!$C$8="","",IFERROR(INDEX('1.산군_붙여넣기'!$A$1:$AZ$1001,ROW(),설정!$C$8)&amp;"",""))</f>
        <v/>
      </c>
      <c r="G269">
        <f>IF(설정!$C$9="","",IFERROR(INDEX('1.산군_붙여넣기'!$A$1:$AZ$1001,ROW(),설정!$C$9)&amp;"",""))</f>
        <v/>
      </c>
      <c r="H269">
        <f>IF(설정!$C$10="","",IFERROR(INDEX('1.산군_붙여넣기'!$A$1:$AZ$1001,ROW(),설정!$C$10)&amp;"",""))</f>
        <v/>
      </c>
      <c r="I269">
        <f>IF(설정!$C$11="","",IFERROR(INDEX('1.산군_붙여넣기'!$A$1:$AZ$1001,ROW(),설정!$C$11)&amp;"",""))</f>
        <v/>
      </c>
      <c r="J269">
        <f>IF(설정!$C$12="","",IFERROR(INDEX('1.산군_붙여넣기'!$A$1:$AZ$1001,ROW(),설정!$C$12)&amp;"",""))</f>
        <v/>
      </c>
      <c r="K269">
        <f>IF(설정!$C$13="","",IFERROR(INDEX('1.산군_붙여넣기'!$A$1:$AZ$1001,ROW(),설정!$C$13)&amp;"",""))</f>
        <v/>
      </c>
      <c r="L269" s="7">
        <f>IF(X269="","",IF(AND(LEN(X269)=8,ISNUMBER(X269*1)),DATE(LEFT(X269,4),MID(X269,5,2),RIGHT(X269,2)),IFERROR(DATEVALUE(SUBSTITUTE(SUBSTITUTE(X269,".","-"),"/","-")),IFERROR(X269*1,""))))</f>
        <v/>
      </c>
      <c r="M269" s="7">
        <f>IF(Y269="","",IF(AND(LEN(Y269)=8,ISNUMBER(Y269*1)),DATE(LEFT(Y269,4),MID(Y269,5,2),RIGHT(Y269,2)),IFERROR(DATEVALUE(SUBSTITUTE(SUBSTITUTE(Y269,".","-"),"/","-")),IFERROR(Y269*1,""))))</f>
        <v/>
      </c>
      <c r="N269">
        <f>IFERROR(LEFT(B269,FIND(" ",B269)-1),B269)</f>
        <v/>
      </c>
      <c r="O269">
        <f>AND(B269&lt;&gt;"",B269&lt;&gt;설정!$B$4,C269&lt;&gt;설정!$B$5)</f>
        <v/>
      </c>
      <c r="P269">
        <f>IF(O269,B269&amp;"|"&amp;C269,"")</f>
        <v/>
      </c>
      <c r="Q269">
        <f>AND(O269,COUNTIF(P270:P$1002,P269)=0)</f>
        <v/>
      </c>
      <c r="R269">
        <f>OR(AND(설정!$A$42&lt;&gt;"",ISNUMBER(SEARCH(설정!$A$42,E269&amp;" "&amp;C269))),AND(설정!$A$43&lt;&gt;"",ISNUMBER(SEARCH(설정!$A$43,E269&amp;" "&amp;C269))),AND(설정!$A$44&lt;&gt;"",ISNUMBER(SEARCH(설정!$A$44,E269&amp;" "&amp;C269))),AND(설정!$A$45&lt;&gt;"",ISNUMBER(SEARCH(설정!$A$45,E269&amp;" "&amp;C269))),AND(설정!$A$46&lt;&gt;"",ISNUMBER(SEARCH(설정!$A$46,E269&amp;" "&amp;C269))),AND(설정!$A$47&lt;&gt;"",ISNUMBER(SEARCH(설정!$A$47,E269&amp;" "&amp;C269))),AND(설정!$A$48&lt;&gt;"",ISNUMBER(SEARCH(설정!$A$48,E269&amp;" "&amp;C269))),AND(설정!$A$49&lt;&gt;"",ISNUMBER(SEARCH(설정!$A$49,E269&amp;" "&amp;C269))),AND(설정!$A$50&lt;&gt;"",ISNUMBER(SEARCH(설정!$A$50,E269&amp;" "&amp;C269))),AND(설정!$A$51&lt;&gt;"",ISNUMBER(SEARCH(설정!$A$51,E269&amp;" "&amp;C269))))</f>
        <v/>
      </c>
      <c r="S269">
        <f>OR(D269="",D269&gt;=설정!$B$19)</f>
        <v/>
      </c>
      <c r="T269">
        <f>AND(Q269,R269,S269)</f>
        <v/>
      </c>
      <c r="U269">
        <f>IF(T269,IF(AND(설정!$A$54&lt;&gt;"",ISNUMBER(SEARCH(설정!$A$54,K269))),설정!$B$54,IF(AND(설정!$A$55&lt;&gt;"",ISNUMBER(SEARCH(설정!$A$55,K269))),설정!$B$55,IF(AND(설정!$A$56&lt;&gt;"",ISNUMBER(SEARCH(설정!$A$56,K269))),설정!$B$56,IF(AND(설정!$A$57&lt;&gt;"",ISNUMBER(SEARCH(설정!$A$57,K269))),설정!$B$57,IF(AND(설정!$A$58&lt;&gt;"",ISNUMBER(SEARCH(설정!$A$58,K269))),설정!$B$58,IF(AND(설정!$A$59&lt;&gt;"",ISNUMBER(SEARCH(설정!$A$59,K269))),설정!$B$59,IF(AND(설정!$A$60&lt;&gt;"",ISNUMBER(SEARCH(설정!$A$60,K269))),설정!$B$60,IF(AND(설정!$A$61&lt;&gt;"",ISNUMBER(SEARCH(설정!$A$61,K269))),설정!$B$61,IF(M269="","설계사","시공사"))))))))),"")</f>
        <v/>
      </c>
      <c r="V269">
        <f>SUBSTITUTE(SUBSTITUTE(SUBSTITUTE(SUBSTITUTE(G269,"(주)",""),"㈜",""),"주식회사","")," ","")</f>
        <v/>
      </c>
      <c r="W269">
        <f>IF(AND(T269,V269&lt;&gt;""),IF(COUNTIFS(V$2:V269,V269,T$2:T269,TRUE)=1,MAX(W$1:W268)+1,""),"")</f>
        <v/>
      </c>
      <c r="X269">
        <f>IF(설정!$C$14="","",IFERROR(INDEX('1.산군_붙여넣기'!$A$1:$AZ$1001,ROW(),설정!$C$14)&amp;"",""))</f>
        <v/>
      </c>
      <c r="Y269">
        <f>IF(설정!$C$15="","",IFERROR(INDEX('1.산군_붙여넣기'!$A$1:$AZ$1001,ROW(),설정!$C$15)&amp;"",""))</f>
        <v/>
      </c>
      <c r="Z269">
        <f>IF(T269,V269&amp;"|"&amp;U269,"")</f>
        <v/>
      </c>
      <c r="AA269">
        <f>IF(NOT(Q269),"",IF(NOT(AND(R269,S269)),"✕",IF(OR(OR(AND(L269&lt;&gt;"",M269&lt;&gt;"",N(M269)-N(L269)&gt;설정!$B$27),AND(L269&lt;&gt;"",M269="",설정!$B$24-N(L269)&gt;설정!$B$27)),AND(D269&lt;&gt;"",D269&lt;설정!$B$26)),"△","★")))</f>
        <v/>
      </c>
      <c r="AB269">
        <f>IF(NOT(T269),"",IF(U269="설계사",설정!$B$31,IF(U269="시공사",IF(OR(M269="",설정!$B$24-N(M269)&lt;=설정!$B$28*30.4),설정!$B$32,설정!$B$33),설정!$B$34))+IF(AA269="★",설정!$B$35,0))</f>
        <v/>
      </c>
      <c r="AC269">
        <f>SUBSTITUTE(SUBSTITUTE(SUBSTITUTE(SUBSTITUTE(H269,"(주)",""),"㈜",""),"주식회사","")," ","")</f>
        <v/>
      </c>
      <c r="AD269">
        <f>IF(AND(T269,AC269&lt;&gt;""),IF(COUNTIFS(AC$2:AC269,AC269,T$2:T269,TRUE)=1,MAX(AD$1:AD268)+1,""),"")</f>
        <v/>
      </c>
    </row>
    <row r="270">
      <c r="A270">
        <f>ROW()</f>
        <v/>
      </c>
      <c r="B270">
        <f>IF(설정!$C$4="","",IFERROR(INDEX('1.산군_붙여넣기'!$A$1:$AZ$1001,ROW(),설정!$C$4)&amp;"",""))</f>
        <v/>
      </c>
      <c r="C270">
        <f>IF(설정!$C$5="","",IFERROR(INDEX('1.산군_붙여넣기'!$A$1:$AZ$1001,ROW(),설정!$C$5)&amp;"",""))</f>
        <v/>
      </c>
      <c r="D270" s="5">
        <f>IFERROR(VALUE(SUBSTITUTE(SUBSTITUTE(SUBSTITUTE(IF(설정!$C$6="","",IFERROR(INDEX('1.산군_붙여넣기'!$A$1:$AZ$1001,ROW(),설정!$C$6)&amp;"","")),",",""),"㎡",""),"m2","")),"")</f>
        <v/>
      </c>
      <c r="E270">
        <f>IF(설정!$C$7="","",IFERROR(INDEX('1.산군_붙여넣기'!$A$1:$AZ$1001,ROW(),설정!$C$7)&amp;"",""))</f>
        <v/>
      </c>
      <c r="F270">
        <f>IF(설정!$C$8="","",IFERROR(INDEX('1.산군_붙여넣기'!$A$1:$AZ$1001,ROW(),설정!$C$8)&amp;"",""))</f>
        <v/>
      </c>
      <c r="G270">
        <f>IF(설정!$C$9="","",IFERROR(INDEX('1.산군_붙여넣기'!$A$1:$AZ$1001,ROW(),설정!$C$9)&amp;"",""))</f>
        <v/>
      </c>
      <c r="H270">
        <f>IF(설정!$C$10="","",IFERROR(INDEX('1.산군_붙여넣기'!$A$1:$AZ$1001,ROW(),설정!$C$10)&amp;"",""))</f>
        <v/>
      </c>
      <c r="I270">
        <f>IF(설정!$C$11="","",IFERROR(INDEX('1.산군_붙여넣기'!$A$1:$AZ$1001,ROW(),설정!$C$11)&amp;"",""))</f>
        <v/>
      </c>
      <c r="J270">
        <f>IF(설정!$C$12="","",IFERROR(INDEX('1.산군_붙여넣기'!$A$1:$AZ$1001,ROW(),설정!$C$12)&amp;"",""))</f>
        <v/>
      </c>
      <c r="K270">
        <f>IF(설정!$C$13="","",IFERROR(INDEX('1.산군_붙여넣기'!$A$1:$AZ$1001,ROW(),설정!$C$13)&amp;"",""))</f>
        <v/>
      </c>
      <c r="L270" s="7">
        <f>IF(X270="","",IF(AND(LEN(X270)=8,ISNUMBER(X270*1)),DATE(LEFT(X270,4),MID(X270,5,2),RIGHT(X270,2)),IFERROR(DATEVALUE(SUBSTITUTE(SUBSTITUTE(X270,".","-"),"/","-")),IFERROR(X270*1,""))))</f>
        <v/>
      </c>
      <c r="M270" s="7">
        <f>IF(Y270="","",IF(AND(LEN(Y270)=8,ISNUMBER(Y270*1)),DATE(LEFT(Y270,4),MID(Y270,5,2),RIGHT(Y270,2)),IFERROR(DATEVALUE(SUBSTITUTE(SUBSTITUTE(Y270,".","-"),"/","-")),IFERROR(Y270*1,""))))</f>
        <v/>
      </c>
      <c r="N270">
        <f>IFERROR(LEFT(B270,FIND(" ",B270)-1),B270)</f>
        <v/>
      </c>
      <c r="O270">
        <f>AND(B270&lt;&gt;"",B270&lt;&gt;설정!$B$4,C270&lt;&gt;설정!$B$5)</f>
        <v/>
      </c>
      <c r="P270">
        <f>IF(O270,B270&amp;"|"&amp;C270,"")</f>
        <v/>
      </c>
      <c r="Q270">
        <f>AND(O270,COUNTIF(P271:P$1002,P270)=0)</f>
        <v/>
      </c>
      <c r="R270">
        <f>OR(AND(설정!$A$42&lt;&gt;"",ISNUMBER(SEARCH(설정!$A$42,E270&amp;" "&amp;C270))),AND(설정!$A$43&lt;&gt;"",ISNUMBER(SEARCH(설정!$A$43,E270&amp;" "&amp;C270))),AND(설정!$A$44&lt;&gt;"",ISNUMBER(SEARCH(설정!$A$44,E270&amp;" "&amp;C270))),AND(설정!$A$45&lt;&gt;"",ISNUMBER(SEARCH(설정!$A$45,E270&amp;" "&amp;C270))),AND(설정!$A$46&lt;&gt;"",ISNUMBER(SEARCH(설정!$A$46,E270&amp;" "&amp;C270))),AND(설정!$A$47&lt;&gt;"",ISNUMBER(SEARCH(설정!$A$47,E270&amp;" "&amp;C270))),AND(설정!$A$48&lt;&gt;"",ISNUMBER(SEARCH(설정!$A$48,E270&amp;" "&amp;C270))),AND(설정!$A$49&lt;&gt;"",ISNUMBER(SEARCH(설정!$A$49,E270&amp;" "&amp;C270))),AND(설정!$A$50&lt;&gt;"",ISNUMBER(SEARCH(설정!$A$50,E270&amp;" "&amp;C270))),AND(설정!$A$51&lt;&gt;"",ISNUMBER(SEARCH(설정!$A$51,E270&amp;" "&amp;C270))))</f>
        <v/>
      </c>
      <c r="S270">
        <f>OR(D270="",D270&gt;=설정!$B$19)</f>
        <v/>
      </c>
      <c r="T270">
        <f>AND(Q270,R270,S270)</f>
        <v/>
      </c>
      <c r="U270">
        <f>IF(T270,IF(AND(설정!$A$54&lt;&gt;"",ISNUMBER(SEARCH(설정!$A$54,K270))),설정!$B$54,IF(AND(설정!$A$55&lt;&gt;"",ISNUMBER(SEARCH(설정!$A$55,K270))),설정!$B$55,IF(AND(설정!$A$56&lt;&gt;"",ISNUMBER(SEARCH(설정!$A$56,K270))),설정!$B$56,IF(AND(설정!$A$57&lt;&gt;"",ISNUMBER(SEARCH(설정!$A$57,K270))),설정!$B$57,IF(AND(설정!$A$58&lt;&gt;"",ISNUMBER(SEARCH(설정!$A$58,K270))),설정!$B$58,IF(AND(설정!$A$59&lt;&gt;"",ISNUMBER(SEARCH(설정!$A$59,K270))),설정!$B$59,IF(AND(설정!$A$60&lt;&gt;"",ISNUMBER(SEARCH(설정!$A$60,K270))),설정!$B$60,IF(AND(설정!$A$61&lt;&gt;"",ISNUMBER(SEARCH(설정!$A$61,K270))),설정!$B$61,IF(M270="","설계사","시공사"))))))))),"")</f>
        <v/>
      </c>
      <c r="V270">
        <f>SUBSTITUTE(SUBSTITUTE(SUBSTITUTE(SUBSTITUTE(G270,"(주)",""),"㈜",""),"주식회사","")," ","")</f>
        <v/>
      </c>
      <c r="W270">
        <f>IF(AND(T270,V270&lt;&gt;""),IF(COUNTIFS(V$2:V270,V270,T$2:T270,TRUE)=1,MAX(W$1:W269)+1,""),"")</f>
        <v/>
      </c>
      <c r="X270">
        <f>IF(설정!$C$14="","",IFERROR(INDEX('1.산군_붙여넣기'!$A$1:$AZ$1001,ROW(),설정!$C$14)&amp;"",""))</f>
        <v/>
      </c>
      <c r="Y270">
        <f>IF(설정!$C$15="","",IFERROR(INDEX('1.산군_붙여넣기'!$A$1:$AZ$1001,ROW(),설정!$C$15)&amp;"",""))</f>
        <v/>
      </c>
      <c r="Z270">
        <f>IF(T270,V270&amp;"|"&amp;U270,"")</f>
        <v/>
      </c>
      <c r="AA270">
        <f>IF(NOT(Q270),"",IF(NOT(AND(R270,S270)),"✕",IF(OR(OR(AND(L270&lt;&gt;"",M270&lt;&gt;"",N(M270)-N(L270)&gt;설정!$B$27),AND(L270&lt;&gt;"",M270="",설정!$B$24-N(L270)&gt;설정!$B$27)),AND(D270&lt;&gt;"",D270&lt;설정!$B$26)),"△","★")))</f>
        <v/>
      </c>
      <c r="AB270">
        <f>IF(NOT(T270),"",IF(U270="설계사",설정!$B$31,IF(U270="시공사",IF(OR(M270="",설정!$B$24-N(M270)&lt;=설정!$B$28*30.4),설정!$B$32,설정!$B$33),설정!$B$34))+IF(AA270="★",설정!$B$35,0))</f>
        <v/>
      </c>
      <c r="AC270">
        <f>SUBSTITUTE(SUBSTITUTE(SUBSTITUTE(SUBSTITUTE(H270,"(주)",""),"㈜",""),"주식회사","")," ","")</f>
        <v/>
      </c>
      <c r="AD270">
        <f>IF(AND(T270,AC270&lt;&gt;""),IF(COUNTIFS(AC$2:AC270,AC270,T$2:T270,TRUE)=1,MAX(AD$1:AD269)+1,""),"")</f>
        <v/>
      </c>
    </row>
    <row r="271">
      <c r="A271">
        <f>ROW()</f>
        <v/>
      </c>
      <c r="B271">
        <f>IF(설정!$C$4="","",IFERROR(INDEX('1.산군_붙여넣기'!$A$1:$AZ$1001,ROW(),설정!$C$4)&amp;"",""))</f>
        <v/>
      </c>
      <c r="C271">
        <f>IF(설정!$C$5="","",IFERROR(INDEX('1.산군_붙여넣기'!$A$1:$AZ$1001,ROW(),설정!$C$5)&amp;"",""))</f>
        <v/>
      </c>
      <c r="D271" s="5">
        <f>IFERROR(VALUE(SUBSTITUTE(SUBSTITUTE(SUBSTITUTE(IF(설정!$C$6="","",IFERROR(INDEX('1.산군_붙여넣기'!$A$1:$AZ$1001,ROW(),설정!$C$6)&amp;"","")),",",""),"㎡",""),"m2","")),"")</f>
        <v/>
      </c>
      <c r="E271">
        <f>IF(설정!$C$7="","",IFERROR(INDEX('1.산군_붙여넣기'!$A$1:$AZ$1001,ROW(),설정!$C$7)&amp;"",""))</f>
        <v/>
      </c>
      <c r="F271">
        <f>IF(설정!$C$8="","",IFERROR(INDEX('1.산군_붙여넣기'!$A$1:$AZ$1001,ROW(),설정!$C$8)&amp;"",""))</f>
        <v/>
      </c>
      <c r="G271">
        <f>IF(설정!$C$9="","",IFERROR(INDEX('1.산군_붙여넣기'!$A$1:$AZ$1001,ROW(),설정!$C$9)&amp;"",""))</f>
        <v/>
      </c>
      <c r="H271">
        <f>IF(설정!$C$10="","",IFERROR(INDEX('1.산군_붙여넣기'!$A$1:$AZ$1001,ROW(),설정!$C$10)&amp;"",""))</f>
        <v/>
      </c>
      <c r="I271">
        <f>IF(설정!$C$11="","",IFERROR(INDEX('1.산군_붙여넣기'!$A$1:$AZ$1001,ROW(),설정!$C$11)&amp;"",""))</f>
        <v/>
      </c>
      <c r="J271">
        <f>IF(설정!$C$12="","",IFERROR(INDEX('1.산군_붙여넣기'!$A$1:$AZ$1001,ROW(),설정!$C$12)&amp;"",""))</f>
        <v/>
      </c>
      <c r="K271">
        <f>IF(설정!$C$13="","",IFERROR(INDEX('1.산군_붙여넣기'!$A$1:$AZ$1001,ROW(),설정!$C$13)&amp;"",""))</f>
        <v/>
      </c>
      <c r="L271" s="7">
        <f>IF(X271="","",IF(AND(LEN(X271)=8,ISNUMBER(X271*1)),DATE(LEFT(X271,4),MID(X271,5,2),RIGHT(X271,2)),IFERROR(DATEVALUE(SUBSTITUTE(SUBSTITUTE(X271,".","-"),"/","-")),IFERROR(X271*1,""))))</f>
        <v/>
      </c>
      <c r="M271" s="7">
        <f>IF(Y271="","",IF(AND(LEN(Y271)=8,ISNUMBER(Y271*1)),DATE(LEFT(Y271,4),MID(Y271,5,2),RIGHT(Y271,2)),IFERROR(DATEVALUE(SUBSTITUTE(SUBSTITUTE(Y271,".","-"),"/","-")),IFERROR(Y271*1,""))))</f>
        <v/>
      </c>
      <c r="N271">
        <f>IFERROR(LEFT(B271,FIND(" ",B271)-1),B271)</f>
        <v/>
      </c>
      <c r="O271">
        <f>AND(B271&lt;&gt;"",B271&lt;&gt;설정!$B$4,C271&lt;&gt;설정!$B$5)</f>
        <v/>
      </c>
      <c r="P271">
        <f>IF(O271,B271&amp;"|"&amp;C271,"")</f>
        <v/>
      </c>
      <c r="Q271">
        <f>AND(O271,COUNTIF(P272:P$1002,P271)=0)</f>
        <v/>
      </c>
      <c r="R271">
        <f>OR(AND(설정!$A$42&lt;&gt;"",ISNUMBER(SEARCH(설정!$A$42,E271&amp;" "&amp;C271))),AND(설정!$A$43&lt;&gt;"",ISNUMBER(SEARCH(설정!$A$43,E271&amp;" "&amp;C271))),AND(설정!$A$44&lt;&gt;"",ISNUMBER(SEARCH(설정!$A$44,E271&amp;" "&amp;C271))),AND(설정!$A$45&lt;&gt;"",ISNUMBER(SEARCH(설정!$A$45,E271&amp;" "&amp;C271))),AND(설정!$A$46&lt;&gt;"",ISNUMBER(SEARCH(설정!$A$46,E271&amp;" "&amp;C271))),AND(설정!$A$47&lt;&gt;"",ISNUMBER(SEARCH(설정!$A$47,E271&amp;" "&amp;C271))),AND(설정!$A$48&lt;&gt;"",ISNUMBER(SEARCH(설정!$A$48,E271&amp;" "&amp;C271))),AND(설정!$A$49&lt;&gt;"",ISNUMBER(SEARCH(설정!$A$49,E271&amp;" "&amp;C271))),AND(설정!$A$50&lt;&gt;"",ISNUMBER(SEARCH(설정!$A$50,E271&amp;" "&amp;C271))),AND(설정!$A$51&lt;&gt;"",ISNUMBER(SEARCH(설정!$A$51,E271&amp;" "&amp;C271))))</f>
        <v/>
      </c>
      <c r="S271">
        <f>OR(D271="",D271&gt;=설정!$B$19)</f>
        <v/>
      </c>
      <c r="T271">
        <f>AND(Q271,R271,S271)</f>
        <v/>
      </c>
      <c r="U271">
        <f>IF(T271,IF(AND(설정!$A$54&lt;&gt;"",ISNUMBER(SEARCH(설정!$A$54,K271))),설정!$B$54,IF(AND(설정!$A$55&lt;&gt;"",ISNUMBER(SEARCH(설정!$A$55,K271))),설정!$B$55,IF(AND(설정!$A$56&lt;&gt;"",ISNUMBER(SEARCH(설정!$A$56,K271))),설정!$B$56,IF(AND(설정!$A$57&lt;&gt;"",ISNUMBER(SEARCH(설정!$A$57,K271))),설정!$B$57,IF(AND(설정!$A$58&lt;&gt;"",ISNUMBER(SEARCH(설정!$A$58,K271))),설정!$B$58,IF(AND(설정!$A$59&lt;&gt;"",ISNUMBER(SEARCH(설정!$A$59,K271))),설정!$B$59,IF(AND(설정!$A$60&lt;&gt;"",ISNUMBER(SEARCH(설정!$A$60,K271))),설정!$B$60,IF(AND(설정!$A$61&lt;&gt;"",ISNUMBER(SEARCH(설정!$A$61,K271))),설정!$B$61,IF(M271="","설계사","시공사"))))))))),"")</f>
        <v/>
      </c>
      <c r="V271">
        <f>SUBSTITUTE(SUBSTITUTE(SUBSTITUTE(SUBSTITUTE(G271,"(주)",""),"㈜",""),"주식회사","")," ","")</f>
        <v/>
      </c>
      <c r="W271">
        <f>IF(AND(T271,V271&lt;&gt;""),IF(COUNTIFS(V$2:V271,V271,T$2:T271,TRUE)=1,MAX(W$1:W270)+1,""),"")</f>
        <v/>
      </c>
      <c r="X271">
        <f>IF(설정!$C$14="","",IFERROR(INDEX('1.산군_붙여넣기'!$A$1:$AZ$1001,ROW(),설정!$C$14)&amp;"",""))</f>
        <v/>
      </c>
      <c r="Y271">
        <f>IF(설정!$C$15="","",IFERROR(INDEX('1.산군_붙여넣기'!$A$1:$AZ$1001,ROW(),설정!$C$15)&amp;"",""))</f>
        <v/>
      </c>
      <c r="Z271">
        <f>IF(T271,V271&amp;"|"&amp;U271,"")</f>
        <v/>
      </c>
      <c r="AA271">
        <f>IF(NOT(Q271),"",IF(NOT(AND(R271,S271)),"✕",IF(OR(OR(AND(L271&lt;&gt;"",M271&lt;&gt;"",N(M271)-N(L271)&gt;설정!$B$27),AND(L271&lt;&gt;"",M271="",설정!$B$24-N(L271)&gt;설정!$B$27)),AND(D271&lt;&gt;"",D271&lt;설정!$B$26)),"△","★")))</f>
        <v/>
      </c>
      <c r="AB271">
        <f>IF(NOT(T271),"",IF(U271="설계사",설정!$B$31,IF(U271="시공사",IF(OR(M271="",설정!$B$24-N(M271)&lt;=설정!$B$28*30.4),설정!$B$32,설정!$B$33),설정!$B$34))+IF(AA271="★",설정!$B$35,0))</f>
        <v/>
      </c>
      <c r="AC271">
        <f>SUBSTITUTE(SUBSTITUTE(SUBSTITUTE(SUBSTITUTE(H271,"(주)",""),"㈜",""),"주식회사","")," ","")</f>
        <v/>
      </c>
      <c r="AD271">
        <f>IF(AND(T271,AC271&lt;&gt;""),IF(COUNTIFS(AC$2:AC271,AC271,T$2:T271,TRUE)=1,MAX(AD$1:AD270)+1,""),"")</f>
        <v/>
      </c>
    </row>
    <row r="272">
      <c r="A272">
        <f>ROW()</f>
        <v/>
      </c>
      <c r="B272">
        <f>IF(설정!$C$4="","",IFERROR(INDEX('1.산군_붙여넣기'!$A$1:$AZ$1001,ROW(),설정!$C$4)&amp;"",""))</f>
        <v/>
      </c>
      <c r="C272">
        <f>IF(설정!$C$5="","",IFERROR(INDEX('1.산군_붙여넣기'!$A$1:$AZ$1001,ROW(),설정!$C$5)&amp;"",""))</f>
        <v/>
      </c>
      <c r="D272" s="5">
        <f>IFERROR(VALUE(SUBSTITUTE(SUBSTITUTE(SUBSTITUTE(IF(설정!$C$6="","",IFERROR(INDEX('1.산군_붙여넣기'!$A$1:$AZ$1001,ROW(),설정!$C$6)&amp;"","")),",",""),"㎡",""),"m2","")),"")</f>
        <v/>
      </c>
      <c r="E272">
        <f>IF(설정!$C$7="","",IFERROR(INDEX('1.산군_붙여넣기'!$A$1:$AZ$1001,ROW(),설정!$C$7)&amp;"",""))</f>
        <v/>
      </c>
      <c r="F272">
        <f>IF(설정!$C$8="","",IFERROR(INDEX('1.산군_붙여넣기'!$A$1:$AZ$1001,ROW(),설정!$C$8)&amp;"",""))</f>
        <v/>
      </c>
      <c r="G272">
        <f>IF(설정!$C$9="","",IFERROR(INDEX('1.산군_붙여넣기'!$A$1:$AZ$1001,ROW(),설정!$C$9)&amp;"",""))</f>
        <v/>
      </c>
      <c r="H272">
        <f>IF(설정!$C$10="","",IFERROR(INDEX('1.산군_붙여넣기'!$A$1:$AZ$1001,ROW(),설정!$C$10)&amp;"",""))</f>
        <v/>
      </c>
      <c r="I272">
        <f>IF(설정!$C$11="","",IFERROR(INDEX('1.산군_붙여넣기'!$A$1:$AZ$1001,ROW(),설정!$C$11)&amp;"",""))</f>
        <v/>
      </c>
      <c r="J272">
        <f>IF(설정!$C$12="","",IFERROR(INDEX('1.산군_붙여넣기'!$A$1:$AZ$1001,ROW(),설정!$C$12)&amp;"",""))</f>
        <v/>
      </c>
      <c r="K272">
        <f>IF(설정!$C$13="","",IFERROR(INDEX('1.산군_붙여넣기'!$A$1:$AZ$1001,ROW(),설정!$C$13)&amp;"",""))</f>
        <v/>
      </c>
      <c r="L272" s="7">
        <f>IF(X272="","",IF(AND(LEN(X272)=8,ISNUMBER(X272*1)),DATE(LEFT(X272,4),MID(X272,5,2),RIGHT(X272,2)),IFERROR(DATEVALUE(SUBSTITUTE(SUBSTITUTE(X272,".","-"),"/","-")),IFERROR(X272*1,""))))</f>
        <v/>
      </c>
      <c r="M272" s="7">
        <f>IF(Y272="","",IF(AND(LEN(Y272)=8,ISNUMBER(Y272*1)),DATE(LEFT(Y272,4),MID(Y272,5,2),RIGHT(Y272,2)),IFERROR(DATEVALUE(SUBSTITUTE(SUBSTITUTE(Y272,".","-"),"/","-")),IFERROR(Y272*1,""))))</f>
        <v/>
      </c>
      <c r="N272">
        <f>IFERROR(LEFT(B272,FIND(" ",B272)-1),B272)</f>
        <v/>
      </c>
      <c r="O272">
        <f>AND(B272&lt;&gt;"",B272&lt;&gt;설정!$B$4,C272&lt;&gt;설정!$B$5)</f>
        <v/>
      </c>
      <c r="P272">
        <f>IF(O272,B272&amp;"|"&amp;C272,"")</f>
        <v/>
      </c>
      <c r="Q272">
        <f>AND(O272,COUNTIF(P273:P$1002,P272)=0)</f>
        <v/>
      </c>
      <c r="R272">
        <f>OR(AND(설정!$A$42&lt;&gt;"",ISNUMBER(SEARCH(설정!$A$42,E272&amp;" "&amp;C272))),AND(설정!$A$43&lt;&gt;"",ISNUMBER(SEARCH(설정!$A$43,E272&amp;" "&amp;C272))),AND(설정!$A$44&lt;&gt;"",ISNUMBER(SEARCH(설정!$A$44,E272&amp;" "&amp;C272))),AND(설정!$A$45&lt;&gt;"",ISNUMBER(SEARCH(설정!$A$45,E272&amp;" "&amp;C272))),AND(설정!$A$46&lt;&gt;"",ISNUMBER(SEARCH(설정!$A$46,E272&amp;" "&amp;C272))),AND(설정!$A$47&lt;&gt;"",ISNUMBER(SEARCH(설정!$A$47,E272&amp;" "&amp;C272))),AND(설정!$A$48&lt;&gt;"",ISNUMBER(SEARCH(설정!$A$48,E272&amp;" "&amp;C272))),AND(설정!$A$49&lt;&gt;"",ISNUMBER(SEARCH(설정!$A$49,E272&amp;" "&amp;C272))),AND(설정!$A$50&lt;&gt;"",ISNUMBER(SEARCH(설정!$A$50,E272&amp;" "&amp;C272))),AND(설정!$A$51&lt;&gt;"",ISNUMBER(SEARCH(설정!$A$51,E272&amp;" "&amp;C272))))</f>
        <v/>
      </c>
      <c r="S272">
        <f>OR(D272="",D272&gt;=설정!$B$19)</f>
        <v/>
      </c>
      <c r="T272">
        <f>AND(Q272,R272,S272)</f>
        <v/>
      </c>
      <c r="U272">
        <f>IF(T272,IF(AND(설정!$A$54&lt;&gt;"",ISNUMBER(SEARCH(설정!$A$54,K272))),설정!$B$54,IF(AND(설정!$A$55&lt;&gt;"",ISNUMBER(SEARCH(설정!$A$55,K272))),설정!$B$55,IF(AND(설정!$A$56&lt;&gt;"",ISNUMBER(SEARCH(설정!$A$56,K272))),설정!$B$56,IF(AND(설정!$A$57&lt;&gt;"",ISNUMBER(SEARCH(설정!$A$57,K272))),설정!$B$57,IF(AND(설정!$A$58&lt;&gt;"",ISNUMBER(SEARCH(설정!$A$58,K272))),설정!$B$58,IF(AND(설정!$A$59&lt;&gt;"",ISNUMBER(SEARCH(설정!$A$59,K272))),설정!$B$59,IF(AND(설정!$A$60&lt;&gt;"",ISNUMBER(SEARCH(설정!$A$60,K272))),설정!$B$60,IF(AND(설정!$A$61&lt;&gt;"",ISNUMBER(SEARCH(설정!$A$61,K272))),설정!$B$61,IF(M272="","설계사","시공사"))))))))),"")</f>
        <v/>
      </c>
      <c r="V272">
        <f>SUBSTITUTE(SUBSTITUTE(SUBSTITUTE(SUBSTITUTE(G272,"(주)",""),"㈜",""),"주식회사","")," ","")</f>
        <v/>
      </c>
      <c r="W272">
        <f>IF(AND(T272,V272&lt;&gt;""),IF(COUNTIFS(V$2:V272,V272,T$2:T272,TRUE)=1,MAX(W$1:W271)+1,""),"")</f>
        <v/>
      </c>
      <c r="X272">
        <f>IF(설정!$C$14="","",IFERROR(INDEX('1.산군_붙여넣기'!$A$1:$AZ$1001,ROW(),설정!$C$14)&amp;"",""))</f>
        <v/>
      </c>
      <c r="Y272">
        <f>IF(설정!$C$15="","",IFERROR(INDEX('1.산군_붙여넣기'!$A$1:$AZ$1001,ROW(),설정!$C$15)&amp;"",""))</f>
        <v/>
      </c>
      <c r="Z272">
        <f>IF(T272,V272&amp;"|"&amp;U272,"")</f>
        <v/>
      </c>
      <c r="AA272">
        <f>IF(NOT(Q272),"",IF(NOT(AND(R272,S272)),"✕",IF(OR(OR(AND(L272&lt;&gt;"",M272&lt;&gt;"",N(M272)-N(L272)&gt;설정!$B$27),AND(L272&lt;&gt;"",M272="",설정!$B$24-N(L272)&gt;설정!$B$27)),AND(D272&lt;&gt;"",D272&lt;설정!$B$26)),"△","★")))</f>
        <v/>
      </c>
      <c r="AB272">
        <f>IF(NOT(T272),"",IF(U272="설계사",설정!$B$31,IF(U272="시공사",IF(OR(M272="",설정!$B$24-N(M272)&lt;=설정!$B$28*30.4),설정!$B$32,설정!$B$33),설정!$B$34))+IF(AA272="★",설정!$B$35,0))</f>
        <v/>
      </c>
      <c r="AC272">
        <f>SUBSTITUTE(SUBSTITUTE(SUBSTITUTE(SUBSTITUTE(H272,"(주)",""),"㈜",""),"주식회사","")," ","")</f>
        <v/>
      </c>
      <c r="AD272">
        <f>IF(AND(T272,AC272&lt;&gt;""),IF(COUNTIFS(AC$2:AC272,AC272,T$2:T272,TRUE)=1,MAX(AD$1:AD271)+1,""),"")</f>
        <v/>
      </c>
    </row>
    <row r="273">
      <c r="A273">
        <f>ROW()</f>
        <v/>
      </c>
      <c r="B273">
        <f>IF(설정!$C$4="","",IFERROR(INDEX('1.산군_붙여넣기'!$A$1:$AZ$1001,ROW(),설정!$C$4)&amp;"",""))</f>
        <v/>
      </c>
      <c r="C273">
        <f>IF(설정!$C$5="","",IFERROR(INDEX('1.산군_붙여넣기'!$A$1:$AZ$1001,ROW(),설정!$C$5)&amp;"",""))</f>
        <v/>
      </c>
      <c r="D273" s="5">
        <f>IFERROR(VALUE(SUBSTITUTE(SUBSTITUTE(SUBSTITUTE(IF(설정!$C$6="","",IFERROR(INDEX('1.산군_붙여넣기'!$A$1:$AZ$1001,ROW(),설정!$C$6)&amp;"","")),",",""),"㎡",""),"m2","")),"")</f>
        <v/>
      </c>
      <c r="E273">
        <f>IF(설정!$C$7="","",IFERROR(INDEX('1.산군_붙여넣기'!$A$1:$AZ$1001,ROW(),설정!$C$7)&amp;"",""))</f>
        <v/>
      </c>
      <c r="F273">
        <f>IF(설정!$C$8="","",IFERROR(INDEX('1.산군_붙여넣기'!$A$1:$AZ$1001,ROW(),설정!$C$8)&amp;"",""))</f>
        <v/>
      </c>
      <c r="G273">
        <f>IF(설정!$C$9="","",IFERROR(INDEX('1.산군_붙여넣기'!$A$1:$AZ$1001,ROW(),설정!$C$9)&amp;"",""))</f>
        <v/>
      </c>
      <c r="H273">
        <f>IF(설정!$C$10="","",IFERROR(INDEX('1.산군_붙여넣기'!$A$1:$AZ$1001,ROW(),설정!$C$10)&amp;"",""))</f>
        <v/>
      </c>
      <c r="I273">
        <f>IF(설정!$C$11="","",IFERROR(INDEX('1.산군_붙여넣기'!$A$1:$AZ$1001,ROW(),설정!$C$11)&amp;"",""))</f>
        <v/>
      </c>
      <c r="J273">
        <f>IF(설정!$C$12="","",IFERROR(INDEX('1.산군_붙여넣기'!$A$1:$AZ$1001,ROW(),설정!$C$12)&amp;"",""))</f>
        <v/>
      </c>
      <c r="K273">
        <f>IF(설정!$C$13="","",IFERROR(INDEX('1.산군_붙여넣기'!$A$1:$AZ$1001,ROW(),설정!$C$13)&amp;"",""))</f>
        <v/>
      </c>
      <c r="L273" s="7">
        <f>IF(X273="","",IF(AND(LEN(X273)=8,ISNUMBER(X273*1)),DATE(LEFT(X273,4),MID(X273,5,2),RIGHT(X273,2)),IFERROR(DATEVALUE(SUBSTITUTE(SUBSTITUTE(X273,".","-"),"/","-")),IFERROR(X273*1,""))))</f>
        <v/>
      </c>
      <c r="M273" s="7">
        <f>IF(Y273="","",IF(AND(LEN(Y273)=8,ISNUMBER(Y273*1)),DATE(LEFT(Y273,4),MID(Y273,5,2),RIGHT(Y273,2)),IFERROR(DATEVALUE(SUBSTITUTE(SUBSTITUTE(Y273,".","-"),"/","-")),IFERROR(Y273*1,""))))</f>
        <v/>
      </c>
      <c r="N273">
        <f>IFERROR(LEFT(B273,FIND(" ",B273)-1),B273)</f>
        <v/>
      </c>
      <c r="O273">
        <f>AND(B273&lt;&gt;"",B273&lt;&gt;설정!$B$4,C273&lt;&gt;설정!$B$5)</f>
        <v/>
      </c>
      <c r="P273">
        <f>IF(O273,B273&amp;"|"&amp;C273,"")</f>
        <v/>
      </c>
      <c r="Q273">
        <f>AND(O273,COUNTIF(P274:P$1002,P273)=0)</f>
        <v/>
      </c>
      <c r="R273">
        <f>OR(AND(설정!$A$42&lt;&gt;"",ISNUMBER(SEARCH(설정!$A$42,E273&amp;" "&amp;C273))),AND(설정!$A$43&lt;&gt;"",ISNUMBER(SEARCH(설정!$A$43,E273&amp;" "&amp;C273))),AND(설정!$A$44&lt;&gt;"",ISNUMBER(SEARCH(설정!$A$44,E273&amp;" "&amp;C273))),AND(설정!$A$45&lt;&gt;"",ISNUMBER(SEARCH(설정!$A$45,E273&amp;" "&amp;C273))),AND(설정!$A$46&lt;&gt;"",ISNUMBER(SEARCH(설정!$A$46,E273&amp;" "&amp;C273))),AND(설정!$A$47&lt;&gt;"",ISNUMBER(SEARCH(설정!$A$47,E273&amp;" "&amp;C273))),AND(설정!$A$48&lt;&gt;"",ISNUMBER(SEARCH(설정!$A$48,E273&amp;" "&amp;C273))),AND(설정!$A$49&lt;&gt;"",ISNUMBER(SEARCH(설정!$A$49,E273&amp;" "&amp;C273))),AND(설정!$A$50&lt;&gt;"",ISNUMBER(SEARCH(설정!$A$50,E273&amp;" "&amp;C273))),AND(설정!$A$51&lt;&gt;"",ISNUMBER(SEARCH(설정!$A$51,E273&amp;" "&amp;C273))))</f>
        <v/>
      </c>
      <c r="S273">
        <f>OR(D273="",D273&gt;=설정!$B$19)</f>
        <v/>
      </c>
      <c r="T273">
        <f>AND(Q273,R273,S273)</f>
        <v/>
      </c>
      <c r="U273">
        <f>IF(T273,IF(AND(설정!$A$54&lt;&gt;"",ISNUMBER(SEARCH(설정!$A$54,K273))),설정!$B$54,IF(AND(설정!$A$55&lt;&gt;"",ISNUMBER(SEARCH(설정!$A$55,K273))),설정!$B$55,IF(AND(설정!$A$56&lt;&gt;"",ISNUMBER(SEARCH(설정!$A$56,K273))),설정!$B$56,IF(AND(설정!$A$57&lt;&gt;"",ISNUMBER(SEARCH(설정!$A$57,K273))),설정!$B$57,IF(AND(설정!$A$58&lt;&gt;"",ISNUMBER(SEARCH(설정!$A$58,K273))),설정!$B$58,IF(AND(설정!$A$59&lt;&gt;"",ISNUMBER(SEARCH(설정!$A$59,K273))),설정!$B$59,IF(AND(설정!$A$60&lt;&gt;"",ISNUMBER(SEARCH(설정!$A$60,K273))),설정!$B$60,IF(AND(설정!$A$61&lt;&gt;"",ISNUMBER(SEARCH(설정!$A$61,K273))),설정!$B$61,IF(M273="","설계사","시공사"))))))))),"")</f>
        <v/>
      </c>
      <c r="V273">
        <f>SUBSTITUTE(SUBSTITUTE(SUBSTITUTE(SUBSTITUTE(G273,"(주)",""),"㈜",""),"주식회사","")," ","")</f>
        <v/>
      </c>
      <c r="W273">
        <f>IF(AND(T273,V273&lt;&gt;""),IF(COUNTIFS(V$2:V273,V273,T$2:T273,TRUE)=1,MAX(W$1:W272)+1,""),"")</f>
        <v/>
      </c>
      <c r="X273">
        <f>IF(설정!$C$14="","",IFERROR(INDEX('1.산군_붙여넣기'!$A$1:$AZ$1001,ROW(),설정!$C$14)&amp;"",""))</f>
        <v/>
      </c>
      <c r="Y273">
        <f>IF(설정!$C$15="","",IFERROR(INDEX('1.산군_붙여넣기'!$A$1:$AZ$1001,ROW(),설정!$C$15)&amp;"",""))</f>
        <v/>
      </c>
      <c r="Z273">
        <f>IF(T273,V273&amp;"|"&amp;U273,"")</f>
        <v/>
      </c>
      <c r="AA273">
        <f>IF(NOT(Q273),"",IF(NOT(AND(R273,S273)),"✕",IF(OR(OR(AND(L273&lt;&gt;"",M273&lt;&gt;"",N(M273)-N(L273)&gt;설정!$B$27),AND(L273&lt;&gt;"",M273="",설정!$B$24-N(L273)&gt;설정!$B$27)),AND(D273&lt;&gt;"",D273&lt;설정!$B$26)),"△","★")))</f>
        <v/>
      </c>
      <c r="AB273">
        <f>IF(NOT(T273),"",IF(U273="설계사",설정!$B$31,IF(U273="시공사",IF(OR(M273="",설정!$B$24-N(M273)&lt;=설정!$B$28*30.4),설정!$B$32,설정!$B$33),설정!$B$34))+IF(AA273="★",설정!$B$35,0))</f>
        <v/>
      </c>
      <c r="AC273">
        <f>SUBSTITUTE(SUBSTITUTE(SUBSTITUTE(SUBSTITUTE(H273,"(주)",""),"㈜",""),"주식회사","")," ","")</f>
        <v/>
      </c>
      <c r="AD273">
        <f>IF(AND(T273,AC273&lt;&gt;""),IF(COUNTIFS(AC$2:AC273,AC273,T$2:T273,TRUE)=1,MAX(AD$1:AD272)+1,""),"")</f>
        <v/>
      </c>
    </row>
    <row r="274">
      <c r="A274">
        <f>ROW()</f>
        <v/>
      </c>
      <c r="B274">
        <f>IF(설정!$C$4="","",IFERROR(INDEX('1.산군_붙여넣기'!$A$1:$AZ$1001,ROW(),설정!$C$4)&amp;"",""))</f>
        <v/>
      </c>
      <c r="C274">
        <f>IF(설정!$C$5="","",IFERROR(INDEX('1.산군_붙여넣기'!$A$1:$AZ$1001,ROW(),설정!$C$5)&amp;"",""))</f>
        <v/>
      </c>
      <c r="D274" s="5">
        <f>IFERROR(VALUE(SUBSTITUTE(SUBSTITUTE(SUBSTITUTE(IF(설정!$C$6="","",IFERROR(INDEX('1.산군_붙여넣기'!$A$1:$AZ$1001,ROW(),설정!$C$6)&amp;"","")),",",""),"㎡",""),"m2","")),"")</f>
        <v/>
      </c>
      <c r="E274">
        <f>IF(설정!$C$7="","",IFERROR(INDEX('1.산군_붙여넣기'!$A$1:$AZ$1001,ROW(),설정!$C$7)&amp;"",""))</f>
        <v/>
      </c>
      <c r="F274">
        <f>IF(설정!$C$8="","",IFERROR(INDEX('1.산군_붙여넣기'!$A$1:$AZ$1001,ROW(),설정!$C$8)&amp;"",""))</f>
        <v/>
      </c>
      <c r="G274">
        <f>IF(설정!$C$9="","",IFERROR(INDEX('1.산군_붙여넣기'!$A$1:$AZ$1001,ROW(),설정!$C$9)&amp;"",""))</f>
        <v/>
      </c>
      <c r="H274">
        <f>IF(설정!$C$10="","",IFERROR(INDEX('1.산군_붙여넣기'!$A$1:$AZ$1001,ROW(),설정!$C$10)&amp;"",""))</f>
        <v/>
      </c>
      <c r="I274">
        <f>IF(설정!$C$11="","",IFERROR(INDEX('1.산군_붙여넣기'!$A$1:$AZ$1001,ROW(),설정!$C$11)&amp;"",""))</f>
        <v/>
      </c>
      <c r="J274">
        <f>IF(설정!$C$12="","",IFERROR(INDEX('1.산군_붙여넣기'!$A$1:$AZ$1001,ROW(),설정!$C$12)&amp;"",""))</f>
        <v/>
      </c>
      <c r="K274">
        <f>IF(설정!$C$13="","",IFERROR(INDEX('1.산군_붙여넣기'!$A$1:$AZ$1001,ROW(),설정!$C$13)&amp;"",""))</f>
        <v/>
      </c>
      <c r="L274" s="7">
        <f>IF(X274="","",IF(AND(LEN(X274)=8,ISNUMBER(X274*1)),DATE(LEFT(X274,4),MID(X274,5,2),RIGHT(X274,2)),IFERROR(DATEVALUE(SUBSTITUTE(SUBSTITUTE(X274,".","-"),"/","-")),IFERROR(X274*1,""))))</f>
        <v/>
      </c>
      <c r="M274" s="7">
        <f>IF(Y274="","",IF(AND(LEN(Y274)=8,ISNUMBER(Y274*1)),DATE(LEFT(Y274,4),MID(Y274,5,2),RIGHT(Y274,2)),IFERROR(DATEVALUE(SUBSTITUTE(SUBSTITUTE(Y274,".","-"),"/","-")),IFERROR(Y274*1,""))))</f>
        <v/>
      </c>
      <c r="N274">
        <f>IFERROR(LEFT(B274,FIND(" ",B274)-1),B274)</f>
        <v/>
      </c>
      <c r="O274">
        <f>AND(B274&lt;&gt;"",B274&lt;&gt;설정!$B$4,C274&lt;&gt;설정!$B$5)</f>
        <v/>
      </c>
      <c r="P274">
        <f>IF(O274,B274&amp;"|"&amp;C274,"")</f>
        <v/>
      </c>
      <c r="Q274">
        <f>AND(O274,COUNTIF(P275:P$1002,P274)=0)</f>
        <v/>
      </c>
      <c r="R274">
        <f>OR(AND(설정!$A$42&lt;&gt;"",ISNUMBER(SEARCH(설정!$A$42,E274&amp;" "&amp;C274))),AND(설정!$A$43&lt;&gt;"",ISNUMBER(SEARCH(설정!$A$43,E274&amp;" "&amp;C274))),AND(설정!$A$44&lt;&gt;"",ISNUMBER(SEARCH(설정!$A$44,E274&amp;" "&amp;C274))),AND(설정!$A$45&lt;&gt;"",ISNUMBER(SEARCH(설정!$A$45,E274&amp;" "&amp;C274))),AND(설정!$A$46&lt;&gt;"",ISNUMBER(SEARCH(설정!$A$46,E274&amp;" "&amp;C274))),AND(설정!$A$47&lt;&gt;"",ISNUMBER(SEARCH(설정!$A$47,E274&amp;" "&amp;C274))),AND(설정!$A$48&lt;&gt;"",ISNUMBER(SEARCH(설정!$A$48,E274&amp;" "&amp;C274))),AND(설정!$A$49&lt;&gt;"",ISNUMBER(SEARCH(설정!$A$49,E274&amp;" "&amp;C274))),AND(설정!$A$50&lt;&gt;"",ISNUMBER(SEARCH(설정!$A$50,E274&amp;" "&amp;C274))),AND(설정!$A$51&lt;&gt;"",ISNUMBER(SEARCH(설정!$A$51,E274&amp;" "&amp;C274))))</f>
        <v/>
      </c>
      <c r="S274">
        <f>OR(D274="",D274&gt;=설정!$B$19)</f>
        <v/>
      </c>
      <c r="T274">
        <f>AND(Q274,R274,S274)</f>
        <v/>
      </c>
      <c r="U274">
        <f>IF(T274,IF(AND(설정!$A$54&lt;&gt;"",ISNUMBER(SEARCH(설정!$A$54,K274))),설정!$B$54,IF(AND(설정!$A$55&lt;&gt;"",ISNUMBER(SEARCH(설정!$A$55,K274))),설정!$B$55,IF(AND(설정!$A$56&lt;&gt;"",ISNUMBER(SEARCH(설정!$A$56,K274))),설정!$B$56,IF(AND(설정!$A$57&lt;&gt;"",ISNUMBER(SEARCH(설정!$A$57,K274))),설정!$B$57,IF(AND(설정!$A$58&lt;&gt;"",ISNUMBER(SEARCH(설정!$A$58,K274))),설정!$B$58,IF(AND(설정!$A$59&lt;&gt;"",ISNUMBER(SEARCH(설정!$A$59,K274))),설정!$B$59,IF(AND(설정!$A$60&lt;&gt;"",ISNUMBER(SEARCH(설정!$A$60,K274))),설정!$B$60,IF(AND(설정!$A$61&lt;&gt;"",ISNUMBER(SEARCH(설정!$A$61,K274))),설정!$B$61,IF(M274="","설계사","시공사"))))))))),"")</f>
        <v/>
      </c>
      <c r="V274">
        <f>SUBSTITUTE(SUBSTITUTE(SUBSTITUTE(SUBSTITUTE(G274,"(주)",""),"㈜",""),"주식회사","")," ","")</f>
        <v/>
      </c>
      <c r="W274">
        <f>IF(AND(T274,V274&lt;&gt;""),IF(COUNTIFS(V$2:V274,V274,T$2:T274,TRUE)=1,MAX(W$1:W273)+1,""),"")</f>
        <v/>
      </c>
      <c r="X274">
        <f>IF(설정!$C$14="","",IFERROR(INDEX('1.산군_붙여넣기'!$A$1:$AZ$1001,ROW(),설정!$C$14)&amp;"",""))</f>
        <v/>
      </c>
      <c r="Y274">
        <f>IF(설정!$C$15="","",IFERROR(INDEX('1.산군_붙여넣기'!$A$1:$AZ$1001,ROW(),설정!$C$15)&amp;"",""))</f>
        <v/>
      </c>
      <c r="Z274">
        <f>IF(T274,V274&amp;"|"&amp;U274,"")</f>
        <v/>
      </c>
      <c r="AA274">
        <f>IF(NOT(Q274),"",IF(NOT(AND(R274,S274)),"✕",IF(OR(OR(AND(L274&lt;&gt;"",M274&lt;&gt;"",N(M274)-N(L274)&gt;설정!$B$27),AND(L274&lt;&gt;"",M274="",설정!$B$24-N(L274)&gt;설정!$B$27)),AND(D274&lt;&gt;"",D274&lt;설정!$B$26)),"△","★")))</f>
        <v/>
      </c>
      <c r="AB274">
        <f>IF(NOT(T274),"",IF(U274="설계사",설정!$B$31,IF(U274="시공사",IF(OR(M274="",설정!$B$24-N(M274)&lt;=설정!$B$28*30.4),설정!$B$32,설정!$B$33),설정!$B$34))+IF(AA274="★",설정!$B$35,0))</f>
        <v/>
      </c>
      <c r="AC274">
        <f>SUBSTITUTE(SUBSTITUTE(SUBSTITUTE(SUBSTITUTE(H274,"(주)",""),"㈜",""),"주식회사","")," ","")</f>
        <v/>
      </c>
      <c r="AD274">
        <f>IF(AND(T274,AC274&lt;&gt;""),IF(COUNTIFS(AC$2:AC274,AC274,T$2:T274,TRUE)=1,MAX(AD$1:AD273)+1,""),"")</f>
        <v/>
      </c>
    </row>
    <row r="275">
      <c r="A275">
        <f>ROW()</f>
        <v/>
      </c>
      <c r="B275">
        <f>IF(설정!$C$4="","",IFERROR(INDEX('1.산군_붙여넣기'!$A$1:$AZ$1001,ROW(),설정!$C$4)&amp;"",""))</f>
        <v/>
      </c>
      <c r="C275">
        <f>IF(설정!$C$5="","",IFERROR(INDEX('1.산군_붙여넣기'!$A$1:$AZ$1001,ROW(),설정!$C$5)&amp;"",""))</f>
        <v/>
      </c>
      <c r="D275" s="5">
        <f>IFERROR(VALUE(SUBSTITUTE(SUBSTITUTE(SUBSTITUTE(IF(설정!$C$6="","",IFERROR(INDEX('1.산군_붙여넣기'!$A$1:$AZ$1001,ROW(),설정!$C$6)&amp;"","")),",",""),"㎡",""),"m2","")),"")</f>
        <v/>
      </c>
      <c r="E275">
        <f>IF(설정!$C$7="","",IFERROR(INDEX('1.산군_붙여넣기'!$A$1:$AZ$1001,ROW(),설정!$C$7)&amp;"",""))</f>
        <v/>
      </c>
      <c r="F275">
        <f>IF(설정!$C$8="","",IFERROR(INDEX('1.산군_붙여넣기'!$A$1:$AZ$1001,ROW(),설정!$C$8)&amp;"",""))</f>
        <v/>
      </c>
      <c r="G275">
        <f>IF(설정!$C$9="","",IFERROR(INDEX('1.산군_붙여넣기'!$A$1:$AZ$1001,ROW(),설정!$C$9)&amp;"",""))</f>
        <v/>
      </c>
      <c r="H275">
        <f>IF(설정!$C$10="","",IFERROR(INDEX('1.산군_붙여넣기'!$A$1:$AZ$1001,ROW(),설정!$C$10)&amp;"",""))</f>
        <v/>
      </c>
      <c r="I275">
        <f>IF(설정!$C$11="","",IFERROR(INDEX('1.산군_붙여넣기'!$A$1:$AZ$1001,ROW(),설정!$C$11)&amp;"",""))</f>
        <v/>
      </c>
      <c r="J275">
        <f>IF(설정!$C$12="","",IFERROR(INDEX('1.산군_붙여넣기'!$A$1:$AZ$1001,ROW(),설정!$C$12)&amp;"",""))</f>
        <v/>
      </c>
      <c r="K275">
        <f>IF(설정!$C$13="","",IFERROR(INDEX('1.산군_붙여넣기'!$A$1:$AZ$1001,ROW(),설정!$C$13)&amp;"",""))</f>
        <v/>
      </c>
      <c r="L275" s="7">
        <f>IF(X275="","",IF(AND(LEN(X275)=8,ISNUMBER(X275*1)),DATE(LEFT(X275,4),MID(X275,5,2),RIGHT(X275,2)),IFERROR(DATEVALUE(SUBSTITUTE(SUBSTITUTE(X275,".","-"),"/","-")),IFERROR(X275*1,""))))</f>
        <v/>
      </c>
      <c r="M275" s="7">
        <f>IF(Y275="","",IF(AND(LEN(Y275)=8,ISNUMBER(Y275*1)),DATE(LEFT(Y275,4),MID(Y275,5,2),RIGHT(Y275,2)),IFERROR(DATEVALUE(SUBSTITUTE(SUBSTITUTE(Y275,".","-"),"/","-")),IFERROR(Y275*1,""))))</f>
        <v/>
      </c>
      <c r="N275">
        <f>IFERROR(LEFT(B275,FIND(" ",B275)-1),B275)</f>
        <v/>
      </c>
      <c r="O275">
        <f>AND(B275&lt;&gt;"",B275&lt;&gt;설정!$B$4,C275&lt;&gt;설정!$B$5)</f>
        <v/>
      </c>
      <c r="P275">
        <f>IF(O275,B275&amp;"|"&amp;C275,"")</f>
        <v/>
      </c>
      <c r="Q275">
        <f>AND(O275,COUNTIF(P276:P$1002,P275)=0)</f>
        <v/>
      </c>
      <c r="R275">
        <f>OR(AND(설정!$A$42&lt;&gt;"",ISNUMBER(SEARCH(설정!$A$42,E275&amp;" "&amp;C275))),AND(설정!$A$43&lt;&gt;"",ISNUMBER(SEARCH(설정!$A$43,E275&amp;" "&amp;C275))),AND(설정!$A$44&lt;&gt;"",ISNUMBER(SEARCH(설정!$A$44,E275&amp;" "&amp;C275))),AND(설정!$A$45&lt;&gt;"",ISNUMBER(SEARCH(설정!$A$45,E275&amp;" "&amp;C275))),AND(설정!$A$46&lt;&gt;"",ISNUMBER(SEARCH(설정!$A$46,E275&amp;" "&amp;C275))),AND(설정!$A$47&lt;&gt;"",ISNUMBER(SEARCH(설정!$A$47,E275&amp;" "&amp;C275))),AND(설정!$A$48&lt;&gt;"",ISNUMBER(SEARCH(설정!$A$48,E275&amp;" "&amp;C275))),AND(설정!$A$49&lt;&gt;"",ISNUMBER(SEARCH(설정!$A$49,E275&amp;" "&amp;C275))),AND(설정!$A$50&lt;&gt;"",ISNUMBER(SEARCH(설정!$A$50,E275&amp;" "&amp;C275))),AND(설정!$A$51&lt;&gt;"",ISNUMBER(SEARCH(설정!$A$51,E275&amp;" "&amp;C275))))</f>
        <v/>
      </c>
      <c r="S275">
        <f>OR(D275="",D275&gt;=설정!$B$19)</f>
        <v/>
      </c>
      <c r="T275">
        <f>AND(Q275,R275,S275)</f>
        <v/>
      </c>
      <c r="U275">
        <f>IF(T275,IF(AND(설정!$A$54&lt;&gt;"",ISNUMBER(SEARCH(설정!$A$54,K275))),설정!$B$54,IF(AND(설정!$A$55&lt;&gt;"",ISNUMBER(SEARCH(설정!$A$55,K275))),설정!$B$55,IF(AND(설정!$A$56&lt;&gt;"",ISNUMBER(SEARCH(설정!$A$56,K275))),설정!$B$56,IF(AND(설정!$A$57&lt;&gt;"",ISNUMBER(SEARCH(설정!$A$57,K275))),설정!$B$57,IF(AND(설정!$A$58&lt;&gt;"",ISNUMBER(SEARCH(설정!$A$58,K275))),설정!$B$58,IF(AND(설정!$A$59&lt;&gt;"",ISNUMBER(SEARCH(설정!$A$59,K275))),설정!$B$59,IF(AND(설정!$A$60&lt;&gt;"",ISNUMBER(SEARCH(설정!$A$60,K275))),설정!$B$60,IF(AND(설정!$A$61&lt;&gt;"",ISNUMBER(SEARCH(설정!$A$61,K275))),설정!$B$61,IF(M275="","설계사","시공사"))))))))),"")</f>
        <v/>
      </c>
      <c r="V275">
        <f>SUBSTITUTE(SUBSTITUTE(SUBSTITUTE(SUBSTITUTE(G275,"(주)",""),"㈜",""),"주식회사","")," ","")</f>
        <v/>
      </c>
      <c r="W275">
        <f>IF(AND(T275,V275&lt;&gt;""),IF(COUNTIFS(V$2:V275,V275,T$2:T275,TRUE)=1,MAX(W$1:W274)+1,""),"")</f>
        <v/>
      </c>
      <c r="X275">
        <f>IF(설정!$C$14="","",IFERROR(INDEX('1.산군_붙여넣기'!$A$1:$AZ$1001,ROW(),설정!$C$14)&amp;"",""))</f>
        <v/>
      </c>
      <c r="Y275">
        <f>IF(설정!$C$15="","",IFERROR(INDEX('1.산군_붙여넣기'!$A$1:$AZ$1001,ROW(),설정!$C$15)&amp;"",""))</f>
        <v/>
      </c>
      <c r="Z275">
        <f>IF(T275,V275&amp;"|"&amp;U275,"")</f>
        <v/>
      </c>
      <c r="AA275">
        <f>IF(NOT(Q275),"",IF(NOT(AND(R275,S275)),"✕",IF(OR(OR(AND(L275&lt;&gt;"",M275&lt;&gt;"",N(M275)-N(L275)&gt;설정!$B$27),AND(L275&lt;&gt;"",M275="",설정!$B$24-N(L275)&gt;설정!$B$27)),AND(D275&lt;&gt;"",D275&lt;설정!$B$26)),"△","★")))</f>
        <v/>
      </c>
      <c r="AB275">
        <f>IF(NOT(T275),"",IF(U275="설계사",설정!$B$31,IF(U275="시공사",IF(OR(M275="",설정!$B$24-N(M275)&lt;=설정!$B$28*30.4),설정!$B$32,설정!$B$33),설정!$B$34))+IF(AA275="★",설정!$B$35,0))</f>
        <v/>
      </c>
      <c r="AC275">
        <f>SUBSTITUTE(SUBSTITUTE(SUBSTITUTE(SUBSTITUTE(H275,"(주)",""),"㈜",""),"주식회사","")," ","")</f>
        <v/>
      </c>
      <c r="AD275">
        <f>IF(AND(T275,AC275&lt;&gt;""),IF(COUNTIFS(AC$2:AC275,AC275,T$2:T275,TRUE)=1,MAX(AD$1:AD274)+1,""),"")</f>
        <v/>
      </c>
    </row>
    <row r="276">
      <c r="A276">
        <f>ROW()</f>
        <v/>
      </c>
      <c r="B276">
        <f>IF(설정!$C$4="","",IFERROR(INDEX('1.산군_붙여넣기'!$A$1:$AZ$1001,ROW(),설정!$C$4)&amp;"",""))</f>
        <v/>
      </c>
      <c r="C276">
        <f>IF(설정!$C$5="","",IFERROR(INDEX('1.산군_붙여넣기'!$A$1:$AZ$1001,ROW(),설정!$C$5)&amp;"",""))</f>
        <v/>
      </c>
      <c r="D276" s="5">
        <f>IFERROR(VALUE(SUBSTITUTE(SUBSTITUTE(SUBSTITUTE(IF(설정!$C$6="","",IFERROR(INDEX('1.산군_붙여넣기'!$A$1:$AZ$1001,ROW(),설정!$C$6)&amp;"","")),",",""),"㎡",""),"m2","")),"")</f>
        <v/>
      </c>
      <c r="E276">
        <f>IF(설정!$C$7="","",IFERROR(INDEX('1.산군_붙여넣기'!$A$1:$AZ$1001,ROW(),설정!$C$7)&amp;"",""))</f>
        <v/>
      </c>
      <c r="F276">
        <f>IF(설정!$C$8="","",IFERROR(INDEX('1.산군_붙여넣기'!$A$1:$AZ$1001,ROW(),설정!$C$8)&amp;"",""))</f>
        <v/>
      </c>
      <c r="G276">
        <f>IF(설정!$C$9="","",IFERROR(INDEX('1.산군_붙여넣기'!$A$1:$AZ$1001,ROW(),설정!$C$9)&amp;"",""))</f>
        <v/>
      </c>
      <c r="H276">
        <f>IF(설정!$C$10="","",IFERROR(INDEX('1.산군_붙여넣기'!$A$1:$AZ$1001,ROW(),설정!$C$10)&amp;"",""))</f>
        <v/>
      </c>
      <c r="I276">
        <f>IF(설정!$C$11="","",IFERROR(INDEX('1.산군_붙여넣기'!$A$1:$AZ$1001,ROW(),설정!$C$11)&amp;"",""))</f>
        <v/>
      </c>
      <c r="J276">
        <f>IF(설정!$C$12="","",IFERROR(INDEX('1.산군_붙여넣기'!$A$1:$AZ$1001,ROW(),설정!$C$12)&amp;"",""))</f>
        <v/>
      </c>
      <c r="K276">
        <f>IF(설정!$C$13="","",IFERROR(INDEX('1.산군_붙여넣기'!$A$1:$AZ$1001,ROW(),설정!$C$13)&amp;"",""))</f>
        <v/>
      </c>
      <c r="L276" s="7">
        <f>IF(X276="","",IF(AND(LEN(X276)=8,ISNUMBER(X276*1)),DATE(LEFT(X276,4),MID(X276,5,2),RIGHT(X276,2)),IFERROR(DATEVALUE(SUBSTITUTE(SUBSTITUTE(X276,".","-"),"/","-")),IFERROR(X276*1,""))))</f>
        <v/>
      </c>
      <c r="M276" s="7">
        <f>IF(Y276="","",IF(AND(LEN(Y276)=8,ISNUMBER(Y276*1)),DATE(LEFT(Y276,4),MID(Y276,5,2),RIGHT(Y276,2)),IFERROR(DATEVALUE(SUBSTITUTE(SUBSTITUTE(Y276,".","-"),"/","-")),IFERROR(Y276*1,""))))</f>
        <v/>
      </c>
      <c r="N276">
        <f>IFERROR(LEFT(B276,FIND(" ",B276)-1),B276)</f>
        <v/>
      </c>
      <c r="O276">
        <f>AND(B276&lt;&gt;"",B276&lt;&gt;설정!$B$4,C276&lt;&gt;설정!$B$5)</f>
        <v/>
      </c>
      <c r="P276">
        <f>IF(O276,B276&amp;"|"&amp;C276,"")</f>
        <v/>
      </c>
      <c r="Q276">
        <f>AND(O276,COUNTIF(P277:P$1002,P276)=0)</f>
        <v/>
      </c>
      <c r="R276">
        <f>OR(AND(설정!$A$42&lt;&gt;"",ISNUMBER(SEARCH(설정!$A$42,E276&amp;" "&amp;C276))),AND(설정!$A$43&lt;&gt;"",ISNUMBER(SEARCH(설정!$A$43,E276&amp;" "&amp;C276))),AND(설정!$A$44&lt;&gt;"",ISNUMBER(SEARCH(설정!$A$44,E276&amp;" "&amp;C276))),AND(설정!$A$45&lt;&gt;"",ISNUMBER(SEARCH(설정!$A$45,E276&amp;" "&amp;C276))),AND(설정!$A$46&lt;&gt;"",ISNUMBER(SEARCH(설정!$A$46,E276&amp;" "&amp;C276))),AND(설정!$A$47&lt;&gt;"",ISNUMBER(SEARCH(설정!$A$47,E276&amp;" "&amp;C276))),AND(설정!$A$48&lt;&gt;"",ISNUMBER(SEARCH(설정!$A$48,E276&amp;" "&amp;C276))),AND(설정!$A$49&lt;&gt;"",ISNUMBER(SEARCH(설정!$A$49,E276&amp;" "&amp;C276))),AND(설정!$A$50&lt;&gt;"",ISNUMBER(SEARCH(설정!$A$50,E276&amp;" "&amp;C276))),AND(설정!$A$51&lt;&gt;"",ISNUMBER(SEARCH(설정!$A$51,E276&amp;" "&amp;C276))))</f>
        <v/>
      </c>
      <c r="S276">
        <f>OR(D276="",D276&gt;=설정!$B$19)</f>
        <v/>
      </c>
      <c r="T276">
        <f>AND(Q276,R276,S276)</f>
        <v/>
      </c>
      <c r="U276">
        <f>IF(T276,IF(AND(설정!$A$54&lt;&gt;"",ISNUMBER(SEARCH(설정!$A$54,K276))),설정!$B$54,IF(AND(설정!$A$55&lt;&gt;"",ISNUMBER(SEARCH(설정!$A$55,K276))),설정!$B$55,IF(AND(설정!$A$56&lt;&gt;"",ISNUMBER(SEARCH(설정!$A$56,K276))),설정!$B$56,IF(AND(설정!$A$57&lt;&gt;"",ISNUMBER(SEARCH(설정!$A$57,K276))),설정!$B$57,IF(AND(설정!$A$58&lt;&gt;"",ISNUMBER(SEARCH(설정!$A$58,K276))),설정!$B$58,IF(AND(설정!$A$59&lt;&gt;"",ISNUMBER(SEARCH(설정!$A$59,K276))),설정!$B$59,IF(AND(설정!$A$60&lt;&gt;"",ISNUMBER(SEARCH(설정!$A$60,K276))),설정!$B$60,IF(AND(설정!$A$61&lt;&gt;"",ISNUMBER(SEARCH(설정!$A$61,K276))),설정!$B$61,IF(M276="","설계사","시공사"))))))))),"")</f>
        <v/>
      </c>
      <c r="V276">
        <f>SUBSTITUTE(SUBSTITUTE(SUBSTITUTE(SUBSTITUTE(G276,"(주)",""),"㈜",""),"주식회사","")," ","")</f>
        <v/>
      </c>
      <c r="W276">
        <f>IF(AND(T276,V276&lt;&gt;""),IF(COUNTIFS(V$2:V276,V276,T$2:T276,TRUE)=1,MAX(W$1:W275)+1,""),"")</f>
        <v/>
      </c>
      <c r="X276">
        <f>IF(설정!$C$14="","",IFERROR(INDEX('1.산군_붙여넣기'!$A$1:$AZ$1001,ROW(),설정!$C$14)&amp;"",""))</f>
        <v/>
      </c>
      <c r="Y276">
        <f>IF(설정!$C$15="","",IFERROR(INDEX('1.산군_붙여넣기'!$A$1:$AZ$1001,ROW(),설정!$C$15)&amp;"",""))</f>
        <v/>
      </c>
      <c r="Z276">
        <f>IF(T276,V276&amp;"|"&amp;U276,"")</f>
        <v/>
      </c>
      <c r="AA276">
        <f>IF(NOT(Q276),"",IF(NOT(AND(R276,S276)),"✕",IF(OR(OR(AND(L276&lt;&gt;"",M276&lt;&gt;"",N(M276)-N(L276)&gt;설정!$B$27),AND(L276&lt;&gt;"",M276="",설정!$B$24-N(L276)&gt;설정!$B$27)),AND(D276&lt;&gt;"",D276&lt;설정!$B$26)),"△","★")))</f>
        <v/>
      </c>
      <c r="AB276">
        <f>IF(NOT(T276),"",IF(U276="설계사",설정!$B$31,IF(U276="시공사",IF(OR(M276="",설정!$B$24-N(M276)&lt;=설정!$B$28*30.4),설정!$B$32,설정!$B$33),설정!$B$34))+IF(AA276="★",설정!$B$35,0))</f>
        <v/>
      </c>
      <c r="AC276">
        <f>SUBSTITUTE(SUBSTITUTE(SUBSTITUTE(SUBSTITUTE(H276,"(주)",""),"㈜",""),"주식회사","")," ","")</f>
        <v/>
      </c>
      <c r="AD276">
        <f>IF(AND(T276,AC276&lt;&gt;""),IF(COUNTIFS(AC$2:AC276,AC276,T$2:T276,TRUE)=1,MAX(AD$1:AD275)+1,""),"")</f>
        <v/>
      </c>
    </row>
    <row r="277">
      <c r="A277">
        <f>ROW()</f>
        <v/>
      </c>
      <c r="B277">
        <f>IF(설정!$C$4="","",IFERROR(INDEX('1.산군_붙여넣기'!$A$1:$AZ$1001,ROW(),설정!$C$4)&amp;"",""))</f>
        <v/>
      </c>
      <c r="C277">
        <f>IF(설정!$C$5="","",IFERROR(INDEX('1.산군_붙여넣기'!$A$1:$AZ$1001,ROW(),설정!$C$5)&amp;"",""))</f>
        <v/>
      </c>
      <c r="D277" s="5">
        <f>IFERROR(VALUE(SUBSTITUTE(SUBSTITUTE(SUBSTITUTE(IF(설정!$C$6="","",IFERROR(INDEX('1.산군_붙여넣기'!$A$1:$AZ$1001,ROW(),설정!$C$6)&amp;"","")),",",""),"㎡",""),"m2","")),"")</f>
        <v/>
      </c>
      <c r="E277">
        <f>IF(설정!$C$7="","",IFERROR(INDEX('1.산군_붙여넣기'!$A$1:$AZ$1001,ROW(),설정!$C$7)&amp;"",""))</f>
        <v/>
      </c>
      <c r="F277">
        <f>IF(설정!$C$8="","",IFERROR(INDEX('1.산군_붙여넣기'!$A$1:$AZ$1001,ROW(),설정!$C$8)&amp;"",""))</f>
        <v/>
      </c>
      <c r="G277">
        <f>IF(설정!$C$9="","",IFERROR(INDEX('1.산군_붙여넣기'!$A$1:$AZ$1001,ROW(),설정!$C$9)&amp;"",""))</f>
        <v/>
      </c>
      <c r="H277">
        <f>IF(설정!$C$10="","",IFERROR(INDEX('1.산군_붙여넣기'!$A$1:$AZ$1001,ROW(),설정!$C$10)&amp;"",""))</f>
        <v/>
      </c>
      <c r="I277">
        <f>IF(설정!$C$11="","",IFERROR(INDEX('1.산군_붙여넣기'!$A$1:$AZ$1001,ROW(),설정!$C$11)&amp;"",""))</f>
        <v/>
      </c>
      <c r="J277">
        <f>IF(설정!$C$12="","",IFERROR(INDEX('1.산군_붙여넣기'!$A$1:$AZ$1001,ROW(),설정!$C$12)&amp;"",""))</f>
        <v/>
      </c>
      <c r="K277">
        <f>IF(설정!$C$13="","",IFERROR(INDEX('1.산군_붙여넣기'!$A$1:$AZ$1001,ROW(),설정!$C$13)&amp;"",""))</f>
        <v/>
      </c>
      <c r="L277" s="7">
        <f>IF(X277="","",IF(AND(LEN(X277)=8,ISNUMBER(X277*1)),DATE(LEFT(X277,4),MID(X277,5,2),RIGHT(X277,2)),IFERROR(DATEVALUE(SUBSTITUTE(SUBSTITUTE(X277,".","-"),"/","-")),IFERROR(X277*1,""))))</f>
        <v/>
      </c>
      <c r="M277" s="7">
        <f>IF(Y277="","",IF(AND(LEN(Y277)=8,ISNUMBER(Y277*1)),DATE(LEFT(Y277,4),MID(Y277,5,2),RIGHT(Y277,2)),IFERROR(DATEVALUE(SUBSTITUTE(SUBSTITUTE(Y277,".","-"),"/","-")),IFERROR(Y277*1,""))))</f>
        <v/>
      </c>
      <c r="N277">
        <f>IFERROR(LEFT(B277,FIND(" ",B277)-1),B277)</f>
        <v/>
      </c>
      <c r="O277">
        <f>AND(B277&lt;&gt;"",B277&lt;&gt;설정!$B$4,C277&lt;&gt;설정!$B$5)</f>
        <v/>
      </c>
      <c r="P277">
        <f>IF(O277,B277&amp;"|"&amp;C277,"")</f>
        <v/>
      </c>
      <c r="Q277">
        <f>AND(O277,COUNTIF(P278:P$1002,P277)=0)</f>
        <v/>
      </c>
      <c r="R277">
        <f>OR(AND(설정!$A$42&lt;&gt;"",ISNUMBER(SEARCH(설정!$A$42,E277&amp;" "&amp;C277))),AND(설정!$A$43&lt;&gt;"",ISNUMBER(SEARCH(설정!$A$43,E277&amp;" "&amp;C277))),AND(설정!$A$44&lt;&gt;"",ISNUMBER(SEARCH(설정!$A$44,E277&amp;" "&amp;C277))),AND(설정!$A$45&lt;&gt;"",ISNUMBER(SEARCH(설정!$A$45,E277&amp;" "&amp;C277))),AND(설정!$A$46&lt;&gt;"",ISNUMBER(SEARCH(설정!$A$46,E277&amp;" "&amp;C277))),AND(설정!$A$47&lt;&gt;"",ISNUMBER(SEARCH(설정!$A$47,E277&amp;" "&amp;C277))),AND(설정!$A$48&lt;&gt;"",ISNUMBER(SEARCH(설정!$A$48,E277&amp;" "&amp;C277))),AND(설정!$A$49&lt;&gt;"",ISNUMBER(SEARCH(설정!$A$49,E277&amp;" "&amp;C277))),AND(설정!$A$50&lt;&gt;"",ISNUMBER(SEARCH(설정!$A$50,E277&amp;" "&amp;C277))),AND(설정!$A$51&lt;&gt;"",ISNUMBER(SEARCH(설정!$A$51,E277&amp;" "&amp;C277))))</f>
        <v/>
      </c>
      <c r="S277">
        <f>OR(D277="",D277&gt;=설정!$B$19)</f>
        <v/>
      </c>
      <c r="T277">
        <f>AND(Q277,R277,S277)</f>
        <v/>
      </c>
      <c r="U277">
        <f>IF(T277,IF(AND(설정!$A$54&lt;&gt;"",ISNUMBER(SEARCH(설정!$A$54,K277))),설정!$B$54,IF(AND(설정!$A$55&lt;&gt;"",ISNUMBER(SEARCH(설정!$A$55,K277))),설정!$B$55,IF(AND(설정!$A$56&lt;&gt;"",ISNUMBER(SEARCH(설정!$A$56,K277))),설정!$B$56,IF(AND(설정!$A$57&lt;&gt;"",ISNUMBER(SEARCH(설정!$A$57,K277))),설정!$B$57,IF(AND(설정!$A$58&lt;&gt;"",ISNUMBER(SEARCH(설정!$A$58,K277))),설정!$B$58,IF(AND(설정!$A$59&lt;&gt;"",ISNUMBER(SEARCH(설정!$A$59,K277))),설정!$B$59,IF(AND(설정!$A$60&lt;&gt;"",ISNUMBER(SEARCH(설정!$A$60,K277))),설정!$B$60,IF(AND(설정!$A$61&lt;&gt;"",ISNUMBER(SEARCH(설정!$A$61,K277))),설정!$B$61,IF(M277="","설계사","시공사"))))))))),"")</f>
        <v/>
      </c>
      <c r="V277">
        <f>SUBSTITUTE(SUBSTITUTE(SUBSTITUTE(SUBSTITUTE(G277,"(주)",""),"㈜",""),"주식회사","")," ","")</f>
        <v/>
      </c>
      <c r="W277">
        <f>IF(AND(T277,V277&lt;&gt;""),IF(COUNTIFS(V$2:V277,V277,T$2:T277,TRUE)=1,MAX(W$1:W276)+1,""),"")</f>
        <v/>
      </c>
      <c r="X277">
        <f>IF(설정!$C$14="","",IFERROR(INDEX('1.산군_붙여넣기'!$A$1:$AZ$1001,ROW(),설정!$C$14)&amp;"",""))</f>
        <v/>
      </c>
      <c r="Y277">
        <f>IF(설정!$C$15="","",IFERROR(INDEX('1.산군_붙여넣기'!$A$1:$AZ$1001,ROW(),설정!$C$15)&amp;"",""))</f>
        <v/>
      </c>
      <c r="Z277">
        <f>IF(T277,V277&amp;"|"&amp;U277,"")</f>
        <v/>
      </c>
      <c r="AA277">
        <f>IF(NOT(Q277),"",IF(NOT(AND(R277,S277)),"✕",IF(OR(OR(AND(L277&lt;&gt;"",M277&lt;&gt;"",N(M277)-N(L277)&gt;설정!$B$27),AND(L277&lt;&gt;"",M277="",설정!$B$24-N(L277)&gt;설정!$B$27)),AND(D277&lt;&gt;"",D277&lt;설정!$B$26)),"△","★")))</f>
        <v/>
      </c>
      <c r="AB277">
        <f>IF(NOT(T277),"",IF(U277="설계사",설정!$B$31,IF(U277="시공사",IF(OR(M277="",설정!$B$24-N(M277)&lt;=설정!$B$28*30.4),설정!$B$32,설정!$B$33),설정!$B$34))+IF(AA277="★",설정!$B$35,0))</f>
        <v/>
      </c>
      <c r="AC277">
        <f>SUBSTITUTE(SUBSTITUTE(SUBSTITUTE(SUBSTITUTE(H277,"(주)",""),"㈜",""),"주식회사","")," ","")</f>
        <v/>
      </c>
      <c r="AD277">
        <f>IF(AND(T277,AC277&lt;&gt;""),IF(COUNTIFS(AC$2:AC277,AC277,T$2:T277,TRUE)=1,MAX(AD$1:AD276)+1,""),"")</f>
        <v/>
      </c>
    </row>
    <row r="278">
      <c r="A278">
        <f>ROW()</f>
        <v/>
      </c>
      <c r="B278">
        <f>IF(설정!$C$4="","",IFERROR(INDEX('1.산군_붙여넣기'!$A$1:$AZ$1001,ROW(),설정!$C$4)&amp;"",""))</f>
        <v/>
      </c>
      <c r="C278">
        <f>IF(설정!$C$5="","",IFERROR(INDEX('1.산군_붙여넣기'!$A$1:$AZ$1001,ROW(),설정!$C$5)&amp;"",""))</f>
        <v/>
      </c>
      <c r="D278" s="5">
        <f>IFERROR(VALUE(SUBSTITUTE(SUBSTITUTE(SUBSTITUTE(IF(설정!$C$6="","",IFERROR(INDEX('1.산군_붙여넣기'!$A$1:$AZ$1001,ROW(),설정!$C$6)&amp;"","")),",",""),"㎡",""),"m2","")),"")</f>
        <v/>
      </c>
      <c r="E278">
        <f>IF(설정!$C$7="","",IFERROR(INDEX('1.산군_붙여넣기'!$A$1:$AZ$1001,ROW(),설정!$C$7)&amp;"",""))</f>
        <v/>
      </c>
      <c r="F278">
        <f>IF(설정!$C$8="","",IFERROR(INDEX('1.산군_붙여넣기'!$A$1:$AZ$1001,ROW(),설정!$C$8)&amp;"",""))</f>
        <v/>
      </c>
      <c r="G278">
        <f>IF(설정!$C$9="","",IFERROR(INDEX('1.산군_붙여넣기'!$A$1:$AZ$1001,ROW(),설정!$C$9)&amp;"",""))</f>
        <v/>
      </c>
      <c r="H278">
        <f>IF(설정!$C$10="","",IFERROR(INDEX('1.산군_붙여넣기'!$A$1:$AZ$1001,ROW(),설정!$C$10)&amp;"",""))</f>
        <v/>
      </c>
      <c r="I278">
        <f>IF(설정!$C$11="","",IFERROR(INDEX('1.산군_붙여넣기'!$A$1:$AZ$1001,ROW(),설정!$C$11)&amp;"",""))</f>
        <v/>
      </c>
      <c r="J278">
        <f>IF(설정!$C$12="","",IFERROR(INDEX('1.산군_붙여넣기'!$A$1:$AZ$1001,ROW(),설정!$C$12)&amp;"",""))</f>
        <v/>
      </c>
      <c r="K278">
        <f>IF(설정!$C$13="","",IFERROR(INDEX('1.산군_붙여넣기'!$A$1:$AZ$1001,ROW(),설정!$C$13)&amp;"",""))</f>
        <v/>
      </c>
      <c r="L278" s="7">
        <f>IF(X278="","",IF(AND(LEN(X278)=8,ISNUMBER(X278*1)),DATE(LEFT(X278,4),MID(X278,5,2),RIGHT(X278,2)),IFERROR(DATEVALUE(SUBSTITUTE(SUBSTITUTE(X278,".","-"),"/","-")),IFERROR(X278*1,""))))</f>
        <v/>
      </c>
      <c r="M278" s="7">
        <f>IF(Y278="","",IF(AND(LEN(Y278)=8,ISNUMBER(Y278*1)),DATE(LEFT(Y278,4),MID(Y278,5,2),RIGHT(Y278,2)),IFERROR(DATEVALUE(SUBSTITUTE(SUBSTITUTE(Y278,".","-"),"/","-")),IFERROR(Y278*1,""))))</f>
        <v/>
      </c>
      <c r="N278">
        <f>IFERROR(LEFT(B278,FIND(" ",B278)-1),B278)</f>
        <v/>
      </c>
      <c r="O278">
        <f>AND(B278&lt;&gt;"",B278&lt;&gt;설정!$B$4,C278&lt;&gt;설정!$B$5)</f>
        <v/>
      </c>
      <c r="P278">
        <f>IF(O278,B278&amp;"|"&amp;C278,"")</f>
        <v/>
      </c>
      <c r="Q278">
        <f>AND(O278,COUNTIF(P279:P$1002,P278)=0)</f>
        <v/>
      </c>
      <c r="R278">
        <f>OR(AND(설정!$A$42&lt;&gt;"",ISNUMBER(SEARCH(설정!$A$42,E278&amp;" "&amp;C278))),AND(설정!$A$43&lt;&gt;"",ISNUMBER(SEARCH(설정!$A$43,E278&amp;" "&amp;C278))),AND(설정!$A$44&lt;&gt;"",ISNUMBER(SEARCH(설정!$A$44,E278&amp;" "&amp;C278))),AND(설정!$A$45&lt;&gt;"",ISNUMBER(SEARCH(설정!$A$45,E278&amp;" "&amp;C278))),AND(설정!$A$46&lt;&gt;"",ISNUMBER(SEARCH(설정!$A$46,E278&amp;" "&amp;C278))),AND(설정!$A$47&lt;&gt;"",ISNUMBER(SEARCH(설정!$A$47,E278&amp;" "&amp;C278))),AND(설정!$A$48&lt;&gt;"",ISNUMBER(SEARCH(설정!$A$48,E278&amp;" "&amp;C278))),AND(설정!$A$49&lt;&gt;"",ISNUMBER(SEARCH(설정!$A$49,E278&amp;" "&amp;C278))),AND(설정!$A$50&lt;&gt;"",ISNUMBER(SEARCH(설정!$A$50,E278&amp;" "&amp;C278))),AND(설정!$A$51&lt;&gt;"",ISNUMBER(SEARCH(설정!$A$51,E278&amp;" "&amp;C278))))</f>
        <v/>
      </c>
      <c r="S278">
        <f>OR(D278="",D278&gt;=설정!$B$19)</f>
        <v/>
      </c>
      <c r="T278">
        <f>AND(Q278,R278,S278)</f>
        <v/>
      </c>
      <c r="U278">
        <f>IF(T278,IF(AND(설정!$A$54&lt;&gt;"",ISNUMBER(SEARCH(설정!$A$54,K278))),설정!$B$54,IF(AND(설정!$A$55&lt;&gt;"",ISNUMBER(SEARCH(설정!$A$55,K278))),설정!$B$55,IF(AND(설정!$A$56&lt;&gt;"",ISNUMBER(SEARCH(설정!$A$56,K278))),설정!$B$56,IF(AND(설정!$A$57&lt;&gt;"",ISNUMBER(SEARCH(설정!$A$57,K278))),설정!$B$57,IF(AND(설정!$A$58&lt;&gt;"",ISNUMBER(SEARCH(설정!$A$58,K278))),설정!$B$58,IF(AND(설정!$A$59&lt;&gt;"",ISNUMBER(SEARCH(설정!$A$59,K278))),설정!$B$59,IF(AND(설정!$A$60&lt;&gt;"",ISNUMBER(SEARCH(설정!$A$60,K278))),설정!$B$60,IF(AND(설정!$A$61&lt;&gt;"",ISNUMBER(SEARCH(설정!$A$61,K278))),설정!$B$61,IF(M278="","설계사","시공사"))))))))),"")</f>
        <v/>
      </c>
      <c r="V278">
        <f>SUBSTITUTE(SUBSTITUTE(SUBSTITUTE(SUBSTITUTE(G278,"(주)",""),"㈜",""),"주식회사","")," ","")</f>
        <v/>
      </c>
      <c r="W278">
        <f>IF(AND(T278,V278&lt;&gt;""),IF(COUNTIFS(V$2:V278,V278,T$2:T278,TRUE)=1,MAX(W$1:W277)+1,""),"")</f>
        <v/>
      </c>
      <c r="X278">
        <f>IF(설정!$C$14="","",IFERROR(INDEX('1.산군_붙여넣기'!$A$1:$AZ$1001,ROW(),설정!$C$14)&amp;"",""))</f>
        <v/>
      </c>
      <c r="Y278">
        <f>IF(설정!$C$15="","",IFERROR(INDEX('1.산군_붙여넣기'!$A$1:$AZ$1001,ROW(),설정!$C$15)&amp;"",""))</f>
        <v/>
      </c>
      <c r="Z278">
        <f>IF(T278,V278&amp;"|"&amp;U278,"")</f>
        <v/>
      </c>
      <c r="AA278">
        <f>IF(NOT(Q278),"",IF(NOT(AND(R278,S278)),"✕",IF(OR(OR(AND(L278&lt;&gt;"",M278&lt;&gt;"",N(M278)-N(L278)&gt;설정!$B$27),AND(L278&lt;&gt;"",M278="",설정!$B$24-N(L278)&gt;설정!$B$27)),AND(D278&lt;&gt;"",D278&lt;설정!$B$26)),"△","★")))</f>
        <v/>
      </c>
      <c r="AB278">
        <f>IF(NOT(T278),"",IF(U278="설계사",설정!$B$31,IF(U278="시공사",IF(OR(M278="",설정!$B$24-N(M278)&lt;=설정!$B$28*30.4),설정!$B$32,설정!$B$33),설정!$B$34))+IF(AA278="★",설정!$B$35,0))</f>
        <v/>
      </c>
      <c r="AC278">
        <f>SUBSTITUTE(SUBSTITUTE(SUBSTITUTE(SUBSTITUTE(H278,"(주)",""),"㈜",""),"주식회사","")," ","")</f>
        <v/>
      </c>
      <c r="AD278">
        <f>IF(AND(T278,AC278&lt;&gt;""),IF(COUNTIFS(AC$2:AC278,AC278,T$2:T278,TRUE)=1,MAX(AD$1:AD277)+1,""),"")</f>
        <v/>
      </c>
    </row>
    <row r="279">
      <c r="A279">
        <f>ROW()</f>
        <v/>
      </c>
      <c r="B279">
        <f>IF(설정!$C$4="","",IFERROR(INDEX('1.산군_붙여넣기'!$A$1:$AZ$1001,ROW(),설정!$C$4)&amp;"",""))</f>
        <v/>
      </c>
      <c r="C279">
        <f>IF(설정!$C$5="","",IFERROR(INDEX('1.산군_붙여넣기'!$A$1:$AZ$1001,ROW(),설정!$C$5)&amp;"",""))</f>
        <v/>
      </c>
      <c r="D279" s="5">
        <f>IFERROR(VALUE(SUBSTITUTE(SUBSTITUTE(SUBSTITUTE(IF(설정!$C$6="","",IFERROR(INDEX('1.산군_붙여넣기'!$A$1:$AZ$1001,ROW(),설정!$C$6)&amp;"","")),",",""),"㎡",""),"m2","")),"")</f>
        <v/>
      </c>
      <c r="E279">
        <f>IF(설정!$C$7="","",IFERROR(INDEX('1.산군_붙여넣기'!$A$1:$AZ$1001,ROW(),설정!$C$7)&amp;"",""))</f>
        <v/>
      </c>
      <c r="F279">
        <f>IF(설정!$C$8="","",IFERROR(INDEX('1.산군_붙여넣기'!$A$1:$AZ$1001,ROW(),설정!$C$8)&amp;"",""))</f>
        <v/>
      </c>
      <c r="G279">
        <f>IF(설정!$C$9="","",IFERROR(INDEX('1.산군_붙여넣기'!$A$1:$AZ$1001,ROW(),설정!$C$9)&amp;"",""))</f>
        <v/>
      </c>
      <c r="H279">
        <f>IF(설정!$C$10="","",IFERROR(INDEX('1.산군_붙여넣기'!$A$1:$AZ$1001,ROW(),설정!$C$10)&amp;"",""))</f>
        <v/>
      </c>
      <c r="I279">
        <f>IF(설정!$C$11="","",IFERROR(INDEX('1.산군_붙여넣기'!$A$1:$AZ$1001,ROW(),설정!$C$11)&amp;"",""))</f>
        <v/>
      </c>
      <c r="J279">
        <f>IF(설정!$C$12="","",IFERROR(INDEX('1.산군_붙여넣기'!$A$1:$AZ$1001,ROW(),설정!$C$12)&amp;"",""))</f>
        <v/>
      </c>
      <c r="K279">
        <f>IF(설정!$C$13="","",IFERROR(INDEX('1.산군_붙여넣기'!$A$1:$AZ$1001,ROW(),설정!$C$13)&amp;"",""))</f>
        <v/>
      </c>
      <c r="L279" s="7">
        <f>IF(X279="","",IF(AND(LEN(X279)=8,ISNUMBER(X279*1)),DATE(LEFT(X279,4),MID(X279,5,2),RIGHT(X279,2)),IFERROR(DATEVALUE(SUBSTITUTE(SUBSTITUTE(X279,".","-"),"/","-")),IFERROR(X279*1,""))))</f>
        <v/>
      </c>
      <c r="M279" s="7">
        <f>IF(Y279="","",IF(AND(LEN(Y279)=8,ISNUMBER(Y279*1)),DATE(LEFT(Y279,4),MID(Y279,5,2),RIGHT(Y279,2)),IFERROR(DATEVALUE(SUBSTITUTE(SUBSTITUTE(Y279,".","-"),"/","-")),IFERROR(Y279*1,""))))</f>
        <v/>
      </c>
      <c r="N279">
        <f>IFERROR(LEFT(B279,FIND(" ",B279)-1),B279)</f>
        <v/>
      </c>
      <c r="O279">
        <f>AND(B279&lt;&gt;"",B279&lt;&gt;설정!$B$4,C279&lt;&gt;설정!$B$5)</f>
        <v/>
      </c>
      <c r="P279">
        <f>IF(O279,B279&amp;"|"&amp;C279,"")</f>
        <v/>
      </c>
      <c r="Q279">
        <f>AND(O279,COUNTIF(P280:P$1002,P279)=0)</f>
        <v/>
      </c>
      <c r="R279">
        <f>OR(AND(설정!$A$42&lt;&gt;"",ISNUMBER(SEARCH(설정!$A$42,E279&amp;" "&amp;C279))),AND(설정!$A$43&lt;&gt;"",ISNUMBER(SEARCH(설정!$A$43,E279&amp;" "&amp;C279))),AND(설정!$A$44&lt;&gt;"",ISNUMBER(SEARCH(설정!$A$44,E279&amp;" "&amp;C279))),AND(설정!$A$45&lt;&gt;"",ISNUMBER(SEARCH(설정!$A$45,E279&amp;" "&amp;C279))),AND(설정!$A$46&lt;&gt;"",ISNUMBER(SEARCH(설정!$A$46,E279&amp;" "&amp;C279))),AND(설정!$A$47&lt;&gt;"",ISNUMBER(SEARCH(설정!$A$47,E279&amp;" "&amp;C279))),AND(설정!$A$48&lt;&gt;"",ISNUMBER(SEARCH(설정!$A$48,E279&amp;" "&amp;C279))),AND(설정!$A$49&lt;&gt;"",ISNUMBER(SEARCH(설정!$A$49,E279&amp;" "&amp;C279))),AND(설정!$A$50&lt;&gt;"",ISNUMBER(SEARCH(설정!$A$50,E279&amp;" "&amp;C279))),AND(설정!$A$51&lt;&gt;"",ISNUMBER(SEARCH(설정!$A$51,E279&amp;" "&amp;C279))))</f>
        <v/>
      </c>
      <c r="S279">
        <f>OR(D279="",D279&gt;=설정!$B$19)</f>
        <v/>
      </c>
      <c r="T279">
        <f>AND(Q279,R279,S279)</f>
        <v/>
      </c>
      <c r="U279">
        <f>IF(T279,IF(AND(설정!$A$54&lt;&gt;"",ISNUMBER(SEARCH(설정!$A$54,K279))),설정!$B$54,IF(AND(설정!$A$55&lt;&gt;"",ISNUMBER(SEARCH(설정!$A$55,K279))),설정!$B$55,IF(AND(설정!$A$56&lt;&gt;"",ISNUMBER(SEARCH(설정!$A$56,K279))),설정!$B$56,IF(AND(설정!$A$57&lt;&gt;"",ISNUMBER(SEARCH(설정!$A$57,K279))),설정!$B$57,IF(AND(설정!$A$58&lt;&gt;"",ISNUMBER(SEARCH(설정!$A$58,K279))),설정!$B$58,IF(AND(설정!$A$59&lt;&gt;"",ISNUMBER(SEARCH(설정!$A$59,K279))),설정!$B$59,IF(AND(설정!$A$60&lt;&gt;"",ISNUMBER(SEARCH(설정!$A$60,K279))),설정!$B$60,IF(AND(설정!$A$61&lt;&gt;"",ISNUMBER(SEARCH(설정!$A$61,K279))),설정!$B$61,IF(M279="","설계사","시공사"))))))))),"")</f>
        <v/>
      </c>
      <c r="V279">
        <f>SUBSTITUTE(SUBSTITUTE(SUBSTITUTE(SUBSTITUTE(G279,"(주)",""),"㈜",""),"주식회사","")," ","")</f>
        <v/>
      </c>
      <c r="W279">
        <f>IF(AND(T279,V279&lt;&gt;""),IF(COUNTIFS(V$2:V279,V279,T$2:T279,TRUE)=1,MAX(W$1:W278)+1,""),"")</f>
        <v/>
      </c>
      <c r="X279">
        <f>IF(설정!$C$14="","",IFERROR(INDEX('1.산군_붙여넣기'!$A$1:$AZ$1001,ROW(),설정!$C$14)&amp;"",""))</f>
        <v/>
      </c>
      <c r="Y279">
        <f>IF(설정!$C$15="","",IFERROR(INDEX('1.산군_붙여넣기'!$A$1:$AZ$1001,ROW(),설정!$C$15)&amp;"",""))</f>
        <v/>
      </c>
      <c r="Z279">
        <f>IF(T279,V279&amp;"|"&amp;U279,"")</f>
        <v/>
      </c>
      <c r="AA279">
        <f>IF(NOT(Q279),"",IF(NOT(AND(R279,S279)),"✕",IF(OR(OR(AND(L279&lt;&gt;"",M279&lt;&gt;"",N(M279)-N(L279)&gt;설정!$B$27),AND(L279&lt;&gt;"",M279="",설정!$B$24-N(L279)&gt;설정!$B$27)),AND(D279&lt;&gt;"",D279&lt;설정!$B$26)),"△","★")))</f>
        <v/>
      </c>
      <c r="AB279">
        <f>IF(NOT(T279),"",IF(U279="설계사",설정!$B$31,IF(U279="시공사",IF(OR(M279="",설정!$B$24-N(M279)&lt;=설정!$B$28*30.4),설정!$B$32,설정!$B$33),설정!$B$34))+IF(AA279="★",설정!$B$35,0))</f>
        <v/>
      </c>
      <c r="AC279">
        <f>SUBSTITUTE(SUBSTITUTE(SUBSTITUTE(SUBSTITUTE(H279,"(주)",""),"㈜",""),"주식회사","")," ","")</f>
        <v/>
      </c>
      <c r="AD279">
        <f>IF(AND(T279,AC279&lt;&gt;""),IF(COUNTIFS(AC$2:AC279,AC279,T$2:T279,TRUE)=1,MAX(AD$1:AD278)+1,""),"")</f>
        <v/>
      </c>
    </row>
    <row r="280">
      <c r="A280">
        <f>ROW()</f>
        <v/>
      </c>
      <c r="B280">
        <f>IF(설정!$C$4="","",IFERROR(INDEX('1.산군_붙여넣기'!$A$1:$AZ$1001,ROW(),설정!$C$4)&amp;"",""))</f>
        <v/>
      </c>
      <c r="C280">
        <f>IF(설정!$C$5="","",IFERROR(INDEX('1.산군_붙여넣기'!$A$1:$AZ$1001,ROW(),설정!$C$5)&amp;"",""))</f>
        <v/>
      </c>
      <c r="D280" s="5">
        <f>IFERROR(VALUE(SUBSTITUTE(SUBSTITUTE(SUBSTITUTE(IF(설정!$C$6="","",IFERROR(INDEX('1.산군_붙여넣기'!$A$1:$AZ$1001,ROW(),설정!$C$6)&amp;"","")),",",""),"㎡",""),"m2","")),"")</f>
        <v/>
      </c>
      <c r="E280">
        <f>IF(설정!$C$7="","",IFERROR(INDEX('1.산군_붙여넣기'!$A$1:$AZ$1001,ROW(),설정!$C$7)&amp;"",""))</f>
        <v/>
      </c>
      <c r="F280">
        <f>IF(설정!$C$8="","",IFERROR(INDEX('1.산군_붙여넣기'!$A$1:$AZ$1001,ROW(),설정!$C$8)&amp;"",""))</f>
        <v/>
      </c>
      <c r="G280">
        <f>IF(설정!$C$9="","",IFERROR(INDEX('1.산군_붙여넣기'!$A$1:$AZ$1001,ROW(),설정!$C$9)&amp;"",""))</f>
        <v/>
      </c>
      <c r="H280">
        <f>IF(설정!$C$10="","",IFERROR(INDEX('1.산군_붙여넣기'!$A$1:$AZ$1001,ROW(),설정!$C$10)&amp;"",""))</f>
        <v/>
      </c>
      <c r="I280">
        <f>IF(설정!$C$11="","",IFERROR(INDEX('1.산군_붙여넣기'!$A$1:$AZ$1001,ROW(),설정!$C$11)&amp;"",""))</f>
        <v/>
      </c>
      <c r="J280">
        <f>IF(설정!$C$12="","",IFERROR(INDEX('1.산군_붙여넣기'!$A$1:$AZ$1001,ROW(),설정!$C$12)&amp;"",""))</f>
        <v/>
      </c>
      <c r="K280">
        <f>IF(설정!$C$13="","",IFERROR(INDEX('1.산군_붙여넣기'!$A$1:$AZ$1001,ROW(),설정!$C$13)&amp;"",""))</f>
        <v/>
      </c>
      <c r="L280" s="7">
        <f>IF(X280="","",IF(AND(LEN(X280)=8,ISNUMBER(X280*1)),DATE(LEFT(X280,4),MID(X280,5,2),RIGHT(X280,2)),IFERROR(DATEVALUE(SUBSTITUTE(SUBSTITUTE(X280,".","-"),"/","-")),IFERROR(X280*1,""))))</f>
        <v/>
      </c>
      <c r="M280" s="7">
        <f>IF(Y280="","",IF(AND(LEN(Y280)=8,ISNUMBER(Y280*1)),DATE(LEFT(Y280,4),MID(Y280,5,2),RIGHT(Y280,2)),IFERROR(DATEVALUE(SUBSTITUTE(SUBSTITUTE(Y280,".","-"),"/","-")),IFERROR(Y280*1,""))))</f>
        <v/>
      </c>
      <c r="N280">
        <f>IFERROR(LEFT(B280,FIND(" ",B280)-1),B280)</f>
        <v/>
      </c>
      <c r="O280">
        <f>AND(B280&lt;&gt;"",B280&lt;&gt;설정!$B$4,C280&lt;&gt;설정!$B$5)</f>
        <v/>
      </c>
      <c r="P280">
        <f>IF(O280,B280&amp;"|"&amp;C280,"")</f>
        <v/>
      </c>
      <c r="Q280">
        <f>AND(O280,COUNTIF(P281:P$1002,P280)=0)</f>
        <v/>
      </c>
      <c r="R280">
        <f>OR(AND(설정!$A$42&lt;&gt;"",ISNUMBER(SEARCH(설정!$A$42,E280&amp;" "&amp;C280))),AND(설정!$A$43&lt;&gt;"",ISNUMBER(SEARCH(설정!$A$43,E280&amp;" "&amp;C280))),AND(설정!$A$44&lt;&gt;"",ISNUMBER(SEARCH(설정!$A$44,E280&amp;" "&amp;C280))),AND(설정!$A$45&lt;&gt;"",ISNUMBER(SEARCH(설정!$A$45,E280&amp;" "&amp;C280))),AND(설정!$A$46&lt;&gt;"",ISNUMBER(SEARCH(설정!$A$46,E280&amp;" "&amp;C280))),AND(설정!$A$47&lt;&gt;"",ISNUMBER(SEARCH(설정!$A$47,E280&amp;" "&amp;C280))),AND(설정!$A$48&lt;&gt;"",ISNUMBER(SEARCH(설정!$A$48,E280&amp;" "&amp;C280))),AND(설정!$A$49&lt;&gt;"",ISNUMBER(SEARCH(설정!$A$49,E280&amp;" "&amp;C280))),AND(설정!$A$50&lt;&gt;"",ISNUMBER(SEARCH(설정!$A$50,E280&amp;" "&amp;C280))),AND(설정!$A$51&lt;&gt;"",ISNUMBER(SEARCH(설정!$A$51,E280&amp;" "&amp;C280))))</f>
        <v/>
      </c>
      <c r="S280">
        <f>OR(D280="",D280&gt;=설정!$B$19)</f>
        <v/>
      </c>
      <c r="T280">
        <f>AND(Q280,R280,S280)</f>
        <v/>
      </c>
      <c r="U280">
        <f>IF(T280,IF(AND(설정!$A$54&lt;&gt;"",ISNUMBER(SEARCH(설정!$A$54,K280))),설정!$B$54,IF(AND(설정!$A$55&lt;&gt;"",ISNUMBER(SEARCH(설정!$A$55,K280))),설정!$B$55,IF(AND(설정!$A$56&lt;&gt;"",ISNUMBER(SEARCH(설정!$A$56,K280))),설정!$B$56,IF(AND(설정!$A$57&lt;&gt;"",ISNUMBER(SEARCH(설정!$A$57,K280))),설정!$B$57,IF(AND(설정!$A$58&lt;&gt;"",ISNUMBER(SEARCH(설정!$A$58,K280))),설정!$B$58,IF(AND(설정!$A$59&lt;&gt;"",ISNUMBER(SEARCH(설정!$A$59,K280))),설정!$B$59,IF(AND(설정!$A$60&lt;&gt;"",ISNUMBER(SEARCH(설정!$A$60,K280))),설정!$B$60,IF(AND(설정!$A$61&lt;&gt;"",ISNUMBER(SEARCH(설정!$A$61,K280))),설정!$B$61,IF(M280="","설계사","시공사"))))))))),"")</f>
        <v/>
      </c>
      <c r="V280">
        <f>SUBSTITUTE(SUBSTITUTE(SUBSTITUTE(SUBSTITUTE(G280,"(주)",""),"㈜",""),"주식회사","")," ","")</f>
        <v/>
      </c>
      <c r="W280">
        <f>IF(AND(T280,V280&lt;&gt;""),IF(COUNTIFS(V$2:V280,V280,T$2:T280,TRUE)=1,MAX(W$1:W279)+1,""),"")</f>
        <v/>
      </c>
      <c r="X280">
        <f>IF(설정!$C$14="","",IFERROR(INDEX('1.산군_붙여넣기'!$A$1:$AZ$1001,ROW(),설정!$C$14)&amp;"",""))</f>
        <v/>
      </c>
      <c r="Y280">
        <f>IF(설정!$C$15="","",IFERROR(INDEX('1.산군_붙여넣기'!$A$1:$AZ$1001,ROW(),설정!$C$15)&amp;"",""))</f>
        <v/>
      </c>
      <c r="Z280">
        <f>IF(T280,V280&amp;"|"&amp;U280,"")</f>
        <v/>
      </c>
      <c r="AA280">
        <f>IF(NOT(Q280),"",IF(NOT(AND(R280,S280)),"✕",IF(OR(OR(AND(L280&lt;&gt;"",M280&lt;&gt;"",N(M280)-N(L280)&gt;설정!$B$27),AND(L280&lt;&gt;"",M280="",설정!$B$24-N(L280)&gt;설정!$B$27)),AND(D280&lt;&gt;"",D280&lt;설정!$B$26)),"△","★")))</f>
        <v/>
      </c>
      <c r="AB280">
        <f>IF(NOT(T280),"",IF(U280="설계사",설정!$B$31,IF(U280="시공사",IF(OR(M280="",설정!$B$24-N(M280)&lt;=설정!$B$28*30.4),설정!$B$32,설정!$B$33),설정!$B$34))+IF(AA280="★",설정!$B$35,0))</f>
        <v/>
      </c>
      <c r="AC280">
        <f>SUBSTITUTE(SUBSTITUTE(SUBSTITUTE(SUBSTITUTE(H280,"(주)",""),"㈜",""),"주식회사","")," ","")</f>
        <v/>
      </c>
      <c r="AD280">
        <f>IF(AND(T280,AC280&lt;&gt;""),IF(COUNTIFS(AC$2:AC280,AC280,T$2:T280,TRUE)=1,MAX(AD$1:AD279)+1,""),"")</f>
        <v/>
      </c>
    </row>
    <row r="281">
      <c r="A281">
        <f>ROW()</f>
        <v/>
      </c>
      <c r="B281">
        <f>IF(설정!$C$4="","",IFERROR(INDEX('1.산군_붙여넣기'!$A$1:$AZ$1001,ROW(),설정!$C$4)&amp;"",""))</f>
        <v/>
      </c>
      <c r="C281">
        <f>IF(설정!$C$5="","",IFERROR(INDEX('1.산군_붙여넣기'!$A$1:$AZ$1001,ROW(),설정!$C$5)&amp;"",""))</f>
        <v/>
      </c>
      <c r="D281" s="5">
        <f>IFERROR(VALUE(SUBSTITUTE(SUBSTITUTE(SUBSTITUTE(IF(설정!$C$6="","",IFERROR(INDEX('1.산군_붙여넣기'!$A$1:$AZ$1001,ROW(),설정!$C$6)&amp;"","")),",",""),"㎡",""),"m2","")),"")</f>
        <v/>
      </c>
      <c r="E281">
        <f>IF(설정!$C$7="","",IFERROR(INDEX('1.산군_붙여넣기'!$A$1:$AZ$1001,ROW(),설정!$C$7)&amp;"",""))</f>
        <v/>
      </c>
      <c r="F281">
        <f>IF(설정!$C$8="","",IFERROR(INDEX('1.산군_붙여넣기'!$A$1:$AZ$1001,ROW(),설정!$C$8)&amp;"",""))</f>
        <v/>
      </c>
      <c r="G281">
        <f>IF(설정!$C$9="","",IFERROR(INDEX('1.산군_붙여넣기'!$A$1:$AZ$1001,ROW(),설정!$C$9)&amp;"",""))</f>
        <v/>
      </c>
      <c r="H281">
        <f>IF(설정!$C$10="","",IFERROR(INDEX('1.산군_붙여넣기'!$A$1:$AZ$1001,ROW(),설정!$C$10)&amp;"",""))</f>
        <v/>
      </c>
      <c r="I281">
        <f>IF(설정!$C$11="","",IFERROR(INDEX('1.산군_붙여넣기'!$A$1:$AZ$1001,ROW(),설정!$C$11)&amp;"",""))</f>
        <v/>
      </c>
      <c r="J281">
        <f>IF(설정!$C$12="","",IFERROR(INDEX('1.산군_붙여넣기'!$A$1:$AZ$1001,ROW(),설정!$C$12)&amp;"",""))</f>
        <v/>
      </c>
      <c r="K281">
        <f>IF(설정!$C$13="","",IFERROR(INDEX('1.산군_붙여넣기'!$A$1:$AZ$1001,ROW(),설정!$C$13)&amp;"",""))</f>
        <v/>
      </c>
      <c r="L281" s="7">
        <f>IF(X281="","",IF(AND(LEN(X281)=8,ISNUMBER(X281*1)),DATE(LEFT(X281,4),MID(X281,5,2),RIGHT(X281,2)),IFERROR(DATEVALUE(SUBSTITUTE(SUBSTITUTE(X281,".","-"),"/","-")),IFERROR(X281*1,""))))</f>
        <v/>
      </c>
      <c r="M281" s="7">
        <f>IF(Y281="","",IF(AND(LEN(Y281)=8,ISNUMBER(Y281*1)),DATE(LEFT(Y281,4),MID(Y281,5,2),RIGHT(Y281,2)),IFERROR(DATEVALUE(SUBSTITUTE(SUBSTITUTE(Y281,".","-"),"/","-")),IFERROR(Y281*1,""))))</f>
        <v/>
      </c>
      <c r="N281">
        <f>IFERROR(LEFT(B281,FIND(" ",B281)-1),B281)</f>
        <v/>
      </c>
      <c r="O281">
        <f>AND(B281&lt;&gt;"",B281&lt;&gt;설정!$B$4,C281&lt;&gt;설정!$B$5)</f>
        <v/>
      </c>
      <c r="P281">
        <f>IF(O281,B281&amp;"|"&amp;C281,"")</f>
        <v/>
      </c>
      <c r="Q281">
        <f>AND(O281,COUNTIF(P282:P$1002,P281)=0)</f>
        <v/>
      </c>
      <c r="R281">
        <f>OR(AND(설정!$A$42&lt;&gt;"",ISNUMBER(SEARCH(설정!$A$42,E281&amp;" "&amp;C281))),AND(설정!$A$43&lt;&gt;"",ISNUMBER(SEARCH(설정!$A$43,E281&amp;" "&amp;C281))),AND(설정!$A$44&lt;&gt;"",ISNUMBER(SEARCH(설정!$A$44,E281&amp;" "&amp;C281))),AND(설정!$A$45&lt;&gt;"",ISNUMBER(SEARCH(설정!$A$45,E281&amp;" "&amp;C281))),AND(설정!$A$46&lt;&gt;"",ISNUMBER(SEARCH(설정!$A$46,E281&amp;" "&amp;C281))),AND(설정!$A$47&lt;&gt;"",ISNUMBER(SEARCH(설정!$A$47,E281&amp;" "&amp;C281))),AND(설정!$A$48&lt;&gt;"",ISNUMBER(SEARCH(설정!$A$48,E281&amp;" "&amp;C281))),AND(설정!$A$49&lt;&gt;"",ISNUMBER(SEARCH(설정!$A$49,E281&amp;" "&amp;C281))),AND(설정!$A$50&lt;&gt;"",ISNUMBER(SEARCH(설정!$A$50,E281&amp;" "&amp;C281))),AND(설정!$A$51&lt;&gt;"",ISNUMBER(SEARCH(설정!$A$51,E281&amp;" "&amp;C281))))</f>
        <v/>
      </c>
      <c r="S281">
        <f>OR(D281="",D281&gt;=설정!$B$19)</f>
        <v/>
      </c>
      <c r="T281">
        <f>AND(Q281,R281,S281)</f>
        <v/>
      </c>
      <c r="U281">
        <f>IF(T281,IF(AND(설정!$A$54&lt;&gt;"",ISNUMBER(SEARCH(설정!$A$54,K281))),설정!$B$54,IF(AND(설정!$A$55&lt;&gt;"",ISNUMBER(SEARCH(설정!$A$55,K281))),설정!$B$55,IF(AND(설정!$A$56&lt;&gt;"",ISNUMBER(SEARCH(설정!$A$56,K281))),설정!$B$56,IF(AND(설정!$A$57&lt;&gt;"",ISNUMBER(SEARCH(설정!$A$57,K281))),설정!$B$57,IF(AND(설정!$A$58&lt;&gt;"",ISNUMBER(SEARCH(설정!$A$58,K281))),설정!$B$58,IF(AND(설정!$A$59&lt;&gt;"",ISNUMBER(SEARCH(설정!$A$59,K281))),설정!$B$59,IF(AND(설정!$A$60&lt;&gt;"",ISNUMBER(SEARCH(설정!$A$60,K281))),설정!$B$60,IF(AND(설정!$A$61&lt;&gt;"",ISNUMBER(SEARCH(설정!$A$61,K281))),설정!$B$61,IF(M281="","설계사","시공사"))))))))),"")</f>
        <v/>
      </c>
      <c r="V281">
        <f>SUBSTITUTE(SUBSTITUTE(SUBSTITUTE(SUBSTITUTE(G281,"(주)",""),"㈜",""),"주식회사","")," ","")</f>
        <v/>
      </c>
      <c r="W281">
        <f>IF(AND(T281,V281&lt;&gt;""),IF(COUNTIFS(V$2:V281,V281,T$2:T281,TRUE)=1,MAX(W$1:W280)+1,""),"")</f>
        <v/>
      </c>
      <c r="X281">
        <f>IF(설정!$C$14="","",IFERROR(INDEX('1.산군_붙여넣기'!$A$1:$AZ$1001,ROW(),설정!$C$14)&amp;"",""))</f>
        <v/>
      </c>
      <c r="Y281">
        <f>IF(설정!$C$15="","",IFERROR(INDEX('1.산군_붙여넣기'!$A$1:$AZ$1001,ROW(),설정!$C$15)&amp;"",""))</f>
        <v/>
      </c>
      <c r="Z281">
        <f>IF(T281,V281&amp;"|"&amp;U281,"")</f>
        <v/>
      </c>
      <c r="AA281">
        <f>IF(NOT(Q281),"",IF(NOT(AND(R281,S281)),"✕",IF(OR(OR(AND(L281&lt;&gt;"",M281&lt;&gt;"",N(M281)-N(L281)&gt;설정!$B$27),AND(L281&lt;&gt;"",M281="",설정!$B$24-N(L281)&gt;설정!$B$27)),AND(D281&lt;&gt;"",D281&lt;설정!$B$26)),"△","★")))</f>
        <v/>
      </c>
      <c r="AB281">
        <f>IF(NOT(T281),"",IF(U281="설계사",설정!$B$31,IF(U281="시공사",IF(OR(M281="",설정!$B$24-N(M281)&lt;=설정!$B$28*30.4),설정!$B$32,설정!$B$33),설정!$B$34))+IF(AA281="★",설정!$B$35,0))</f>
        <v/>
      </c>
      <c r="AC281">
        <f>SUBSTITUTE(SUBSTITUTE(SUBSTITUTE(SUBSTITUTE(H281,"(주)",""),"㈜",""),"주식회사","")," ","")</f>
        <v/>
      </c>
      <c r="AD281">
        <f>IF(AND(T281,AC281&lt;&gt;""),IF(COUNTIFS(AC$2:AC281,AC281,T$2:T281,TRUE)=1,MAX(AD$1:AD280)+1,""),"")</f>
        <v/>
      </c>
    </row>
    <row r="282">
      <c r="A282">
        <f>ROW()</f>
        <v/>
      </c>
      <c r="B282">
        <f>IF(설정!$C$4="","",IFERROR(INDEX('1.산군_붙여넣기'!$A$1:$AZ$1001,ROW(),설정!$C$4)&amp;"",""))</f>
        <v/>
      </c>
      <c r="C282">
        <f>IF(설정!$C$5="","",IFERROR(INDEX('1.산군_붙여넣기'!$A$1:$AZ$1001,ROW(),설정!$C$5)&amp;"",""))</f>
        <v/>
      </c>
      <c r="D282" s="5">
        <f>IFERROR(VALUE(SUBSTITUTE(SUBSTITUTE(SUBSTITUTE(IF(설정!$C$6="","",IFERROR(INDEX('1.산군_붙여넣기'!$A$1:$AZ$1001,ROW(),설정!$C$6)&amp;"","")),",",""),"㎡",""),"m2","")),"")</f>
        <v/>
      </c>
      <c r="E282">
        <f>IF(설정!$C$7="","",IFERROR(INDEX('1.산군_붙여넣기'!$A$1:$AZ$1001,ROW(),설정!$C$7)&amp;"",""))</f>
        <v/>
      </c>
      <c r="F282">
        <f>IF(설정!$C$8="","",IFERROR(INDEX('1.산군_붙여넣기'!$A$1:$AZ$1001,ROW(),설정!$C$8)&amp;"",""))</f>
        <v/>
      </c>
      <c r="G282">
        <f>IF(설정!$C$9="","",IFERROR(INDEX('1.산군_붙여넣기'!$A$1:$AZ$1001,ROW(),설정!$C$9)&amp;"",""))</f>
        <v/>
      </c>
      <c r="H282">
        <f>IF(설정!$C$10="","",IFERROR(INDEX('1.산군_붙여넣기'!$A$1:$AZ$1001,ROW(),설정!$C$10)&amp;"",""))</f>
        <v/>
      </c>
      <c r="I282">
        <f>IF(설정!$C$11="","",IFERROR(INDEX('1.산군_붙여넣기'!$A$1:$AZ$1001,ROW(),설정!$C$11)&amp;"",""))</f>
        <v/>
      </c>
      <c r="J282">
        <f>IF(설정!$C$12="","",IFERROR(INDEX('1.산군_붙여넣기'!$A$1:$AZ$1001,ROW(),설정!$C$12)&amp;"",""))</f>
        <v/>
      </c>
      <c r="K282">
        <f>IF(설정!$C$13="","",IFERROR(INDEX('1.산군_붙여넣기'!$A$1:$AZ$1001,ROW(),설정!$C$13)&amp;"",""))</f>
        <v/>
      </c>
      <c r="L282" s="7">
        <f>IF(X282="","",IF(AND(LEN(X282)=8,ISNUMBER(X282*1)),DATE(LEFT(X282,4),MID(X282,5,2),RIGHT(X282,2)),IFERROR(DATEVALUE(SUBSTITUTE(SUBSTITUTE(X282,".","-"),"/","-")),IFERROR(X282*1,""))))</f>
        <v/>
      </c>
      <c r="M282" s="7">
        <f>IF(Y282="","",IF(AND(LEN(Y282)=8,ISNUMBER(Y282*1)),DATE(LEFT(Y282,4),MID(Y282,5,2),RIGHT(Y282,2)),IFERROR(DATEVALUE(SUBSTITUTE(SUBSTITUTE(Y282,".","-"),"/","-")),IFERROR(Y282*1,""))))</f>
        <v/>
      </c>
      <c r="N282">
        <f>IFERROR(LEFT(B282,FIND(" ",B282)-1),B282)</f>
        <v/>
      </c>
      <c r="O282">
        <f>AND(B282&lt;&gt;"",B282&lt;&gt;설정!$B$4,C282&lt;&gt;설정!$B$5)</f>
        <v/>
      </c>
      <c r="P282">
        <f>IF(O282,B282&amp;"|"&amp;C282,"")</f>
        <v/>
      </c>
      <c r="Q282">
        <f>AND(O282,COUNTIF(P283:P$1002,P282)=0)</f>
        <v/>
      </c>
      <c r="R282">
        <f>OR(AND(설정!$A$42&lt;&gt;"",ISNUMBER(SEARCH(설정!$A$42,E282&amp;" "&amp;C282))),AND(설정!$A$43&lt;&gt;"",ISNUMBER(SEARCH(설정!$A$43,E282&amp;" "&amp;C282))),AND(설정!$A$44&lt;&gt;"",ISNUMBER(SEARCH(설정!$A$44,E282&amp;" "&amp;C282))),AND(설정!$A$45&lt;&gt;"",ISNUMBER(SEARCH(설정!$A$45,E282&amp;" "&amp;C282))),AND(설정!$A$46&lt;&gt;"",ISNUMBER(SEARCH(설정!$A$46,E282&amp;" "&amp;C282))),AND(설정!$A$47&lt;&gt;"",ISNUMBER(SEARCH(설정!$A$47,E282&amp;" "&amp;C282))),AND(설정!$A$48&lt;&gt;"",ISNUMBER(SEARCH(설정!$A$48,E282&amp;" "&amp;C282))),AND(설정!$A$49&lt;&gt;"",ISNUMBER(SEARCH(설정!$A$49,E282&amp;" "&amp;C282))),AND(설정!$A$50&lt;&gt;"",ISNUMBER(SEARCH(설정!$A$50,E282&amp;" "&amp;C282))),AND(설정!$A$51&lt;&gt;"",ISNUMBER(SEARCH(설정!$A$51,E282&amp;" "&amp;C282))))</f>
        <v/>
      </c>
      <c r="S282">
        <f>OR(D282="",D282&gt;=설정!$B$19)</f>
        <v/>
      </c>
      <c r="T282">
        <f>AND(Q282,R282,S282)</f>
        <v/>
      </c>
      <c r="U282">
        <f>IF(T282,IF(AND(설정!$A$54&lt;&gt;"",ISNUMBER(SEARCH(설정!$A$54,K282))),설정!$B$54,IF(AND(설정!$A$55&lt;&gt;"",ISNUMBER(SEARCH(설정!$A$55,K282))),설정!$B$55,IF(AND(설정!$A$56&lt;&gt;"",ISNUMBER(SEARCH(설정!$A$56,K282))),설정!$B$56,IF(AND(설정!$A$57&lt;&gt;"",ISNUMBER(SEARCH(설정!$A$57,K282))),설정!$B$57,IF(AND(설정!$A$58&lt;&gt;"",ISNUMBER(SEARCH(설정!$A$58,K282))),설정!$B$58,IF(AND(설정!$A$59&lt;&gt;"",ISNUMBER(SEARCH(설정!$A$59,K282))),설정!$B$59,IF(AND(설정!$A$60&lt;&gt;"",ISNUMBER(SEARCH(설정!$A$60,K282))),설정!$B$60,IF(AND(설정!$A$61&lt;&gt;"",ISNUMBER(SEARCH(설정!$A$61,K282))),설정!$B$61,IF(M282="","설계사","시공사"))))))))),"")</f>
        <v/>
      </c>
      <c r="V282">
        <f>SUBSTITUTE(SUBSTITUTE(SUBSTITUTE(SUBSTITUTE(G282,"(주)",""),"㈜",""),"주식회사","")," ","")</f>
        <v/>
      </c>
      <c r="W282">
        <f>IF(AND(T282,V282&lt;&gt;""),IF(COUNTIFS(V$2:V282,V282,T$2:T282,TRUE)=1,MAX(W$1:W281)+1,""),"")</f>
        <v/>
      </c>
      <c r="X282">
        <f>IF(설정!$C$14="","",IFERROR(INDEX('1.산군_붙여넣기'!$A$1:$AZ$1001,ROW(),설정!$C$14)&amp;"",""))</f>
        <v/>
      </c>
      <c r="Y282">
        <f>IF(설정!$C$15="","",IFERROR(INDEX('1.산군_붙여넣기'!$A$1:$AZ$1001,ROW(),설정!$C$15)&amp;"",""))</f>
        <v/>
      </c>
      <c r="Z282">
        <f>IF(T282,V282&amp;"|"&amp;U282,"")</f>
        <v/>
      </c>
      <c r="AA282">
        <f>IF(NOT(Q282),"",IF(NOT(AND(R282,S282)),"✕",IF(OR(OR(AND(L282&lt;&gt;"",M282&lt;&gt;"",N(M282)-N(L282)&gt;설정!$B$27),AND(L282&lt;&gt;"",M282="",설정!$B$24-N(L282)&gt;설정!$B$27)),AND(D282&lt;&gt;"",D282&lt;설정!$B$26)),"△","★")))</f>
        <v/>
      </c>
      <c r="AB282">
        <f>IF(NOT(T282),"",IF(U282="설계사",설정!$B$31,IF(U282="시공사",IF(OR(M282="",설정!$B$24-N(M282)&lt;=설정!$B$28*30.4),설정!$B$32,설정!$B$33),설정!$B$34))+IF(AA282="★",설정!$B$35,0))</f>
        <v/>
      </c>
      <c r="AC282">
        <f>SUBSTITUTE(SUBSTITUTE(SUBSTITUTE(SUBSTITUTE(H282,"(주)",""),"㈜",""),"주식회사","")," ","")</f>
        <v/>
      </c>
      <c r="AD282">
        <f>IF(AND(T282,AC282&lt;&gt;""),IF(COUNTIFS(AC$2:AC282,AC282,T$2:T282,TRUE)=1,MAX(AD$1:AD281)+1,""),"")</f>
        <v/>
      </c>
    </row>
    <row r="283">
      <c r="A283">
        <f>ROW()</f>
        <v/>
      </c>
      <c r="B283">
        <f>IF(설정!$C$4="","",IFERROR(INDEX('1.산군_붙여넣기'!$A$1:$AZ$1001,ROW(),설정!$C$4)&amp;"",""))</f>
        <v/>
      </c>
      <c r="C283">
        <f>IF(설정!$C$5="","",IFERROR(INDEX('1.산군_붙여넣기'!$A$1:$AZ$1001,ROW(),설정!$C$5)&amp;"",""))</f>
        <v/>
      </c>
      <c r="D283" s="5">
        <f>IFERROR(VALUE(SUBSTITUTE(SUBSTITUTE(SUBSTITUTE(IF(설정!$C$6="","",IFERROR(INDEX('1.산군_붙여넣기'!$A$1:$AZ$1001,ROW(),설정!$C$6)&amp;"","")),",",""),"㎡",""),"m2","")),"")</f>
        <v/>
      </c>
      <c r="E283">
        <f>IF(설정!$C$7="","",IFERROR(INDEX('1.산군_붙여넣기'!$A$1:$AZ$1001,ROW(),설정!$C$7)&amp;"",""))</f>
        <v/>
      </c>
      <c r="F283">
        <f>IF(설정!$C$8="","",IFERROR(INDEX('1.산군_붙여넣기'!$A$1:$AZ$1001,ROW(),설정!$C$8)&amp;"",""))</f>
        <v/>
      </c>
      <c r="G283">
        <f>IF(설정!$C$9="","",IFERROR(INDEX('1.산군_붙여넣기'!$A$1:$AZ$1001,ROW(),설정!$C$9)&amp;"",""))</f>
        <v/>
      </c>
      <c r="H283">
        <f>IF(설정!$C$10="","",IFERROR(INDEX('1.산군_붙여넣기'!$A$1:$AZ$1001,ROW(),설정!$C$10)&amp;"",""))</f>
        <v/>
      </c>
      <c r="I283">
        <f>IF(설정!$C$11="","",IFERROR(INDEX('1.산군_붙여넣기'!$A$1:$AZ$1001,ROW(),설정!$C$11)&amp;"",""))</f>
        <v/>
      </c>
      <c r="J283">
        <f>IF(설정!$C$12="","",IFERROR(INDEX('1.산군_붙여넣기'!$A$1:$AZ$1001,ROW(),설정!$C$12)&amp;"",""))</f>
        <v/>
      </c>
      <c r="K283">
        <f>IF(설정!$C$13="","",IFERROR(INDEX('1.산군_붙여넣기'!$A$1:$AZ$1001,ROW(),설정!$C$13)&amp;"",""))</f>
        <v/>
      </c>
      <c r="L283" s="7">
        <f>IF(X283="","",IF(AND(LEN(X283)=8,ISNUMBER(X283*1)),DATE(LEFT(X283,4),MID(X283,5,2),RIGHT(X283,2)),IFERROR(DATEVALUE(SUBSTITUTE(SUBSTITUTE(X283,".","-"),"/","-")),IFERROR(X283*1,""))))</f>
        <v/>
      </c>
      <c r="M283" s="7">
        <f>IF(Y283="","",IF(AND(LEN(Y283)=8,ISNUMBER(Y283*1)),DATE(LEFT(Y283,4),MID(Y283,5,2),RIGHT(Y283,2)),IFERROR(DATEVALUE(SUBSTITUTE(SUBSTITUTE(Y283,".","-"),"/","-")),IFERROR(Y283*1,""))))</f>
        <v/>
      </c>
      <c r="N283">
        <f>IFERROR(LEFT(B283,FIND(" ",B283)-1),B283)</f>
        <v/>
      </c>
      <c r="O283">
        <f>AND(B283&lt;&gt;"",B283&lt;&gt;설정!$B$4,C283&lt;&gt;설정!$B$5)</f>
        <v/>
      </c>
      <c r="P283">
        <f>IF(O283,B283&amp;"|"&amp;C283,"")</f>
        <v/>
      </c>
      <c r="Q283">
        <f>AND(O283,COUNTIF(P284:P$1002,P283)=0)</f>
        <v/>
      </c>
      <c r="R283">
        <f>OR(AND(설정!$A$42&lt;&gt;"",ISNUMBER(SEARCH(설정!$A$42,E283&amp;" "&amp;C283))),AND(설정!$A$43&lt;&gt;"",ISNUMBER(SEARCH(설정!$A$43,E283&amp;" "&amp;C283))),AND(설정!$A$44&lt;&gt;"",ISNUMBER(SEARCH(설정!$A$44,E283&amp;" "&amp;C283))),AND(설정!$A$45&lt;&gt;"",ISNUMBER(SEARCH(설정!$A$45,E283&amp;" "&amp;C283))),AND(설정!$A$46&lt;&gt;"",ISNUMBER(SEARCH(설정!$A$46,E283&amp;" "&amp;C283))),AND(설정!$A$47&lt;&gt;"",ISNUMBER(SEARCH(설정!$A$47,E283&amp;" "&amp;C283))),AND(설정!$A$48&lt;&gt;"",ISNUMBER(SEARCH(설정!$A$48,E283&amp;" "&amp;C283))),AND(설정!$A$49&lt;&gt;"",ISNUMBER(SEARCH(설정!$A$49,E283&amp;" "&amp;C283))),AND(설정!$A$50&lt;&gt;"",ISNUMBER(SEARCH(설정!$A$50,E283&amp;" "&amp;C283))),AND(설정!$A$51&lt;&gt;"",ISNUMBER(SEARCH(설정!$A$51,E283&amp;" "&amp;C283))))</f>
        <v/>
      </c>
      <c r="S283">
        <f>OR(D283="",D283&gt;=설정!$B$19)</f>
        <v/>
      </c>
      <c r="T283">
        <f>AND(Q283,R283,S283)</f>
        <v/>
      </c>
      <c r="U283">
        <f>IF(T283,IF(AND(설정!$A$54&lt;&gt;"",ISNUMBER(SEARCH(설정!$A$54,K283))),설정!$B$54,IF(AND(설정!$A$55&lt;&gt;"",ISNUMBER(SEARCH(설정!$A$55,K283))),설정!$B$55,IF(AND(설정!$A$56&lt;&gt;"",ISNUMBER(SEARCH(설정!$A$56,K283))),설정!$B$56,IF(AND(설정!$A$57&lt;&gt;"",ISNUMBER(SEARCH(설정!$A$57,K283))),설정!$B$57,IF(AND(설정!$A$58&lt;&gt;"",ISNUMBER(SEARCH(설정!$A$58,K283))),설정!$B$58,IF(AND(설정!$A$59&lt;&gt;"",ISNUMBER(SEARCH(설정!$A$59,K283))),설정!$B$59,IF(AND(설정!$A$60&lt;&gt;"",ISNUMBER(SEARCH(설정!$A$60,K283))),설정!$B$60,IF(AND(설정!$A$61&lt;&gt;"",ISNUMBER(SEARCH(설정!$A$61,K283))),설정!$B$61,IF(M283="","설계사","시공사"))))))))),"")</f>
        <v/>
      </c>
      <c r="V283">
        <f>SUBSTITUTE(SUBSTITUTE(SUBSTITUTE(SUBSTITUTE(G283,"(주)",""),"㈜",""),"주식회사","")," ","")</f>
        <v/>
      </c>
      <c r="W283">
        <f>IF(AND(T283,V283&lt;&gt;""),IF(COUNTIFS(V$2:V283,V283,T$2:T283,TRUE)=1,MAX(W$1:W282)+1,""),"")</f>
        <v/>
      </c>
      <c r="X283">
        <f>IF(설정!$C$14="","",IFERROR(INDEX('1.산군_붙여넣기'!$A$1:$AZ$1001,ROW(),설정!$C$14)&amp;"",""))</f>
        <v/>
      </c>
      <c r="Y283">
        <f>IF(설정!$C$15="","",IFERROR(INDEX('1.산군_붙여넣기'!$A$1:$AZ$1001,ROW(),설정!$C$15)&amp;"",""))</f>
        <v/>
      </c>
      <c r="Z283">
        <f>IF(T283,V283&amp;"|"&amp;U283,"")</f>
        <v/>
      </c>
      <c r="AA283">
        <f>IF(NOT(Q283),"",IF(NOT(AND(R283,S283)),"✕",IF(OR(OR(AND(L283&lt;&gt;"",M283&lt;&gt;"",N(M283)-N(L283)&gt;설정!$B$27),AND(L283&lt;&gt;"",M283="",설정!$B$24-N(L283)&gt;설정!$B$27)),AND(D283&lt;&gt;"",D283&lt;설정!$B$26)),"△","★")))</f>
        <v/>
      </c>
      <c r="AB283">
        <f>IF(NOT(T283),"",IF(U283="설계사",설정!$B$31,IF(U283="시공사",IF(OR(M283="",설정!$B$24-N(M283)&lt;=설정!$B$28*30.4),설정!$B$32,설정!$B$33),설정!$B$34))+IF(AA283="★",설정!$B$35,0))</f>
        <v/>
      </c>
      <c r="AC283">
        <f>SUBSTITUTE(SUBSTITUTE(SUBSTITUTE(SUBSTITUTE(H283,"(주)",""),"㈜",""),"주식회사","")," ","")</f>
        <v/>
      </c>
      <c r="AD283">
        <f>IF(AND(T283,AC283&lt;&gt;""),IF(COUNTIFS(AC$2:AC283,AC283,T$2:T283,TRUE)=1,MAX(AD$1:AD282)+1,""),"")</f>
        <v/>
      </c>
    </row>
    <row r="284">
      <c r="A284">
        <f>ROW()</f>
        <v/>
      </c>
      <c r="B284">
        <f>IF(설정!$C$4="","",IFERROR(INDEX('1.산군_붙여넣기'!$A$1:$AZ$1001,ROW(),설정!$C$4)&amp;"",""))</f>
        <v/>
      </c>
      <c r="C284">
        <f>IF(설정!$C$5="","",IFERROR(INDEX('1.산군_붙여넣기'!$A$1:$AZ$1001,ROW(),설정!$C$5)&amp;"",""))</f>
        <v/>
      </c>
      <c r="D284" s="5">
        <f>IFERROR(VALUE(SUBSTITUTE(SUBSTITUTE(SUBSTITUTE(IF(설정!$C$6="","",IFERROR(INDEX('1.산군_붙여넣기'!$A$1:$AZ$1001,ROW(),설정!$C$6)&amp;"","")),",",""),"㎡",""),"m2","")),"")</f>
        <v/>
      </c>
      <c r="E284">
        <f>IF(설정!$C$7="","",IFERROR(INDEX('1.산군_붙여넣기'!$A$1:$AZ$1001,ROW(),설정!$C$7)&amp;"",""))</f>
        <v/>
      </c>
      <c r="F284">
        <f>IF(설정!$C$8="","",IFERROR(INDEX('1.산군_붙여넣기'!$A$1:$AZ$1001,ROW(),설정!$C$8)&amp;"",""))</f>
        <v/>
      </c>
      <c r="G284">
        <f>IF(설정!$C$9="","",IFERROR(INDEX('1.산군_붙여넣기'!$A$1:$AZ$1001,ROW(),설정!$C$9)&amp;"",""))</f>
        <v/>
      </c>
      <c r="H284">
        <f>IF(설정!$C$10="","",IFERROR(INDEX('1.산군_붙여넣기'!$A$1:$AZ$1001,ROW(),설정!$C$10)&amp;"",""))</f>
        <v/>
      </c>
      <c r="I284">
        <f>IF(설정!$C$11="","",IFERROR(INDEX('1.산군_붙여넣기'!$A$1:$AZ$1001,ROW(),설정!$C$11)&amp;"",""))</f>
        <v/>
      </c>
      <c r="J284">
        <f>IF(설정!$C$12="","",IFERROR(INDEX('1.산군_붙여넣기'!$A$1:$AZ$1001,ROW(),설정!$C$12)&amp;"",""))</f>
        <v/>
      </c>
      <c r="K284">
        <f>IF(설정!$C$13="","",IFERROR(INDEX('1.산군_붙여넣기'!$A$1:$AZ$1001,ROW(),설정!$C$13)&amp;"",""))</f>
        <v/>
      </c>
      <c r="L284" s="7">
        <f>IF(X284="","",IF(AND(LEN(X284)=8,ISNUMBER(X284*1)),DATE(LEFT(X284,4),MID(X284,5,2),RIGHT(X284,2)),IFERROR(DATEVALUE(SUBSTITUTE(SUBSTITUTE(X284,".","-"),"/","-")),IFERROR(X284*1,""))))</f>
        <v/>
      </c>
      <c r="M284" s="7">
        <f>IF(Y284="","",IF(AND(LEN(Y284)=8,ISNUMBER(Y284*1)),DATE(LEFT(Y284,4),MID(Y284,5,2),RIGHT(Y284,2)),IFERROR(DATEVALUE(SUBSTITUTE(SUBSTITUTE(Y284,".","-"),"/","-")),IFERROR(Y284*1,""))))</f>
        <v/>
      </c>
      <c r="N284">
        <f>IFERROR(LEFT(B284,FIND(" ",B284)-1),B284)</f>
        <v/>
      </c>
      <c r="O284">
        <f>AND(B284&lt;&gt;"",B284&lt;&gt;설정!$B$4,C284&lt;&gt;설정!$B$5)</f>
        <v/>
      </c>
      <c r="P284">
        <f>IF(O284,B284&amp;"|"&amp;C284,"")</f>
        <v/>
      </c>
      <c r="Q284">
        <f>AND(O284,COUNTIF(P285:P$1002,P284)=0)</f>
        <v/>
      </c>
      <c r="R284">
        <f>OR(AND(설정!$A$42&lt;&gt;"",ISNUMBER(SEARCH(설정!$A$42,E284&amp;" "&amp;C284))),AND(설정!$A$43&lt;&gt;"",ISNUMBER(SEARCH(설정!$A$43,E284&amp;" "&amp;C284))),AND(설정!$A$44&lt;&gt;"",ISNUMBER(SEARCH(설정!$A$44,E284&amp;" "&amp;C284))),AND(설정!$A$45&lt;&gt;"",ISNUMBER(SEARCH(설정!$A$45,E284&amp;" "&amp;C284))),AND(설정!$A$46&lt;&gt;"",ISNUMBER(SEARCH(설정!$A$46,E284&amp;" "&amp;C284))),AND(설정!$A$47&lt;&gt;"",ISNUMBER(SEARCH(설정!$A$47,E284&amp;" "&amp;C284))),AND(설정!$A$48&lt;&gt;"",ISNUMBER(SEARCH(설정!$A$48,E284&amp;" "&amp;C284))),AND(설정!$A$49&lt;&gt;"",ISNUMBER(SEARCH(설정!$A$49,E284&amp;" "&amp;C284))),AND(설정!$A$50&lt;&gt;"",ISNUMBER(SEARCH(설정!$A$50,E284&amp;" "&amp;C284))),AND(설정!$A$51&lt;&gt;"",ISNUMBER(SEARCH(설정!$A$51,E284&amp;" "&amp;C284))))</f>
        <v/>
      </c>
      <c r="S284">
        <f>OR(D284="",D284&gt;=설정!$B$19)</f>
        <v/>
      </c>
      <c r="T284">
        <f>AND(Q284,R284,S284)</f>
        <v/>
      </c>
      <c r="U284">
        <f>IF(T284,IF(AND(설정!$A$54&lt;&gt;"",ISNUMBER(SEARCH(설정!$A$54,K284))),설정!$B$54,IF(AND(설정!$A$55&lt;&gt;"",ISNUMBER(SEARCH(설정!$A$55,K284))),설정!$B$55,IF(AND(설정!$A$56&lt;&gt;"",ISNUMBER(SEARCH(설정!$A$56,K284))),설정!$B$56,IF(AND(설정!$A$57&lt;&gt;"",ISNUMBER(SEARCH(설정!$A$57,K284))),설정!$B$57,IF(AND(설정!$A$58&lt;&gt;"",ISNUMBER(SEARCH(설정!$A$58,K284))),설정!$B$58,IF(AND(설정!$A$59&lt;&gt;"",ISNUMBER(SEARCH(설정!$A$59,K284))),설정!$B$59,IF(AND(설정!$A$60&lt;&gt;"",ISNUMBER(SEARCH(설정!$A$60,K284))),설정!$B$60,IF(AND(설정!$A$61&lt;&gt;"",ISNUMBER(SEARCH(설정!$A$61,K284))),설정!$B$61,IF(M284="","설계사","시공사"))))))))),"")</f>
        <v/>
      </c>
      <c r="V284">
        <f>SUBSTITUTE(SUBSTITUTE(SUBSTITUTE(SUBSTITUTE(G284,"(주)",""),"㈜",""),"주식회사","")," ","")</f>
        <v/>
      </c>
      <c r="W284">
        <f>IF(AND(T284,V284&lt;&gt;""),IF(COUNTIFS(V$2:V284,V284,T$2:T284,TRUE)=1,MAX(W$1:W283)+1,""),"")</f>
        <v/>
      </c>
      <c r="X284">
        <f>IF(설정!$C$14="","",IFERROR(INDEX('1.산군_붙여넣기'!$A$1:$AZ$1001,ROW(),설정!$C$14)&amp;"",""))</f>
        <v/>
      </c>
      <c r="Y284">
        <f>IF(설정!$C$15="","",IFERROR(INDEX('1.산군_붙여넣기'!$A$1:$AZ$1001,ROW(),설정!$C$15)&amp;"",""))</f>
        <v/>
      </c>
      <c r="Z284">
        <f>IF(T284,V284&amp;"|"&amp;U284,"")</f>
        <v/>
      </c>
      <c r="AA284">
        <f>IF(NOT(Q284),"",IF(NOT(AND(R284,S284)),"✕",IF(OR(OR(AND(L284&lt;&gt;"",M284&lt;&gt;"",N(M284)-N(L284)&gt;설정!$B$27),AND(L284&lt;&gt;"",M284="",설정!$B$24-N(L284)&gt;설정!$B$27)),AND(D284&lt;&gt;"",D284&lt;설정!$B$26)),"△","★")))</f>
        <v/>
      </c>
      <c r="AB284">
        <f>IF(NOT(T284),"",IF(U284="설계사",설정!$B$31,IF(U284="시공사",IF(OR(M284="",설정!$B$24-N(M284)&lt;=설정!$B$28*30.4),설정!$B$32,설정!$B$33),설정!$B$34))+IF(AA284="★",설정!$B$35,0))</f>
        <v/>
      </c>
      <c r="AC284">
        <f>SUBSTITUTE(SUBSTITUTE(SUBSTITUTE(SUBSTITUTE(H284,"(주)",""),"㈜",""),"주식회사","")," ","")</f>
        <v/>
      </c>
      <c r="AD284">
        <f>IF(AND(T284,AC284&lt;&gt;""),IF(COUNTIFS(AC$2:AC284,AC284,T$2:T284,TRUE)=1,MAX(AD$1:AD283)+1,""),"")</f>
        <v/>
      </c>
    </row>
    <row r="285">
      <c r="A285">
        <f>ROW()</f>
        <v/>
      </c>
      <c r="B285">
        <f>IF(설정!$C$4="","",IFERROR(INDEX('1.산군_붙여넣기'!$A$1:$AZ$1001,ROW(),설정!$C$4)&amp;"",""))</f>
        <v/>
      </c>
      <c r="C285">
        <f>IF(설정!$C$5="","",IFERROR(INDEX('1.산군_붙여넣기'!$A$1:$AZ$1001,ROW(),설정!$C$5)&amp;"",""))</f>
        <v/>
      </c>
      <c r="D285" s="5">
        <f>IFERROR(VALUE(SUBSTITUTE(SUBSTITUTE(SUBSTITUTE(IF(설정!$C$6="","",IFERROR(INDEX('1.산군_붙여넣기'!$A$1:$AZ$1001,ROW(),설정!$C$6)&amp;"","")),",",""),"㎡",""),"m2","")),"")</f>
        <v/>
      </c>
      <c r="E285">
        <f>IF(설정!$C$7="","",IFERROR(INDEX('1.산군_붙여넣기'!$A$1:$AZ$1001,ROW(),설정!$C$7)&amp;"",""))</f>
        <v/>
      </c>
      <c r="F285">
        <f>IF(설정!$C$8="","",IFERROR(INDEX('1.산군_붙여넣기'!$A$1:$AZ$1001,ROW(),설정!$C$8)&amp;"",""))</f>
        <v/>
      </c>
      <c r="G285">
        <f>IF(설정!$C$9="","",IFERROR(INDEX('1.산군_붙여넣기'!$A$1:$AZ$1001,ROW(),설정!$C$9)&amp;"",""))</f>
        <v/>
      </c>
      <c r="H285">
        <f>IF(설정!$C$10="","",IFERROR(INDEX('1.산군_붙여넣기'!$A$1:$AZ$1001,ROW(),설정!$C$10)&amp;"",""))</f>
        <v/>
      </c>
      <c r="I285">
        <f>IF(설정!$C$11="","",IFERROR(INDEX('1.산군_붙여넣기'!$A$1:$AZ$1001,ROW(),설정!$C$11)&amp;"",""))</f>
        <v/>
      </c>
      <c r="J285">
        <f>IF(설정!$C$12="","",IFERROR(INDEX('1.산군_붙여넣기'!$A$1:$AZ$1001,ROW(),설정!$C$12)&amp;"",""))</f>
        <v/>
      </c>
      <c r="K285">
        <f>IF(설정!$C$13="","",IFERROR(INDEX('1.산군_붙여넣기'!$A$1:$AZ$1001,ROW(),설정!$C$13)&amp;"",""))</f>
        <v/>
      </c>
      <c r="L285" s="7">
        <f>IF(X285="","",IF(AND(LEN(X285)=8,ISNUMBER(X285*1)),DATE(LEFT(X285,4),MID(X285,5,2),RIGHT(X285,2)),IFERROR(DATEVALUE(SUBSTITUTE(SUBSTITUTE(X285,".","-"),"/","-")),IFERROR(X285*1,""))))</f>
        <v/>
      </c>
      <c r="M285" s="7">
        <f>IF(Y285="","",IF(AND(LEN(Y285)=8,ISNUMBER(Y285*1)),DATE(LEFT(Y285,4),MID(Y285,5,2),RIGHT(Y285,2)),IFERROR(DATEVALUE(SUBSTITUTE(SUBSTITUTE(Y285,".","-"),"/","-")),IFERROR(Y285*1,""))))</f>
        <v/>
      </c>
      <c r="N285">
        <f>IFERROR(LEFT(B285,FIND(" ",B285)-1),B285)</f>
        <v/>
      </c>
      <c r="O285">
        <f>AND(B285&lt;&gt;"",B285&lt;&gt;설정!$B$4,C285&lt;&gt;설정!$B$5)</f>
        <v/>
      </c>
      <c r="P285">
        <f>IF(O285,B285&amp;"|"&amp;C285,"")</f>
        <v/>
      </c>
      <c r="Q285">
        <f>AND(O285,COUNTIF(P286:P$1002,P285)=0)</f>
        <v/>
      </c>
      <c r="R285">
        <f>OR(AND(설정!$A$42&lt;&gt;"",ISNUMBER(SEARCH(설정!$A$42,E285&amp;" "&amp;C285))),AND(설정!$A$43&lt;&gt;"",ISNUMBER(SEARCH(설정!$A$43,E285&amp;" "&amp;C285))),AND(설정!$A$44&lt;&gt;"",ISNUMBER(SEARCH(설정!$A$44,E285&amp;" "&amp;C285))),AND(설정!$A$45&lt;&gt;"",ISNUMBER(SEARCH(설정!$A$45,E285&amp;" "&amp;C285))),AND(설정!$A$46&lt;&gt;"",ISNUMBER(SEARCH(설정!$A$46,E285&amp;" "&amp;C285))),AND(설정!$A$47&lt;&gt;"",ISNUMBER(SEARCH(설정!$A$47,E285&amp;" "&amp;C285))),AND(설정!$A$48&lt;&gt;"",ISNUMBER(SEARCH(설정!$A$48,E285&amp;" "&amp;C285))),AND(설정!$A$49&lt;&gt;"",ISNUMBER(SEARCH(설정!$A$49,E285&amp;" "&amp;C285))),AND(설정!$A$50&lt;&gt;"",ISNUMBER(SEARCH(설정!$A$50,E285&amp;" "&amp;C285))),AND(설정!$A$51&lt;&gt;"",ISNUMBER(SEARCH(설정!$A$51,E285&amp;" "&amp;C285))))</f>
        <v/>
      </c>
      <c r="S285">
        <f>OR(D285="",D285&gt;=설정!$B$19)</f>
        <v/>
      </c>
      <c r="T285">
        <f>AND(Q285,R285,S285)</f>
        <v/>
      </c>
      <c r="U285">
        <f>IF(T285,IF(AND(설정!$A$54&lt;&gt;"",ISNUMBER(SEARCH(설정!$A$54,K285))),설정!$B$54,IF(AND(설정!$A$55&lt;&gt;"",ISNUMBER(SEARCH(설정!$A$55,K285))),설정!$B$55,IF(AND(설정!$A$56&lt;&gt;"",ISNUMBER(SEARCH(설정!$A$56,K285))),설정!$B$56,IF(AND(설정!$A$57&lt;&gt;"",ISNUMBER(SEARCH(설정!$A$57,K285))),설정!$B$57,IF(AND(설정!$A$58&lt;&gt;"",ISNUMBER(SEARCH(설정!$A$58,K285))),설정!$B$58,IF(AND(설정!$A$59&lt;&gt;"",ISNUMBER(SEARCH(설정!$A$59,K285))),설정!$B$59,IF(AND(설정!$A$60&lt;&gt;"",ISNUMBER(SEARCH(설정!$A$60,K285))),설정!$B$60,IF(AND(설정!$A$61&lt;&gt;"",ISNUMBER(SEARCH(설정!$A$61,K285))),설정!$B$61,IF(M285="","설계사","시공사"))))))))),"")</f>
        <v/>
      </c>
      <c r="V285">
        <f>SUBSTITUTE(SUBSTITUTE(SUBSTITUTE(SUBSTITUTE(G285,"(주)",""),"㈜",""),"주식회사","")," ","")</f>
        <v/>
      </c>
      <c r="W285">
        <f>IF(AND(T285,V285&lt;&gt;""),IF(COUNTIFS(V$2:V285,V285,T$2:T285,TRUE)=1,MAX(W$1:W284)+1,""),"")</f>
        <v/>
      </c>
      <c r="X285">
        <f>IF(설정!$C$14="","",IFERROR(INDEX('1.산군_붙여넣기'!$A$1:$AZ$1001,ROW(),설정!$C$14)&amp;"",""))</f>
        <v/>
      </c>
      <c r="Y285">
        <f>IF(설정!$C$15="","",IFERROR(INDEX('1.산군_붙여넣기'!$A$1:$AZ$1001,ROW(),설정!$C$15)&amp;"",""))</f>
        <v/>
      </c>
      <c r="Z285">
        <f>IF(T285,V285&amp;"|"&amp;U285,"")</f>
        <v/>
      </c>
      <c r="AA285">
        <f>IF(NOT(Q285),"",IF(NOT(AND(R285,S285)),"✕",IF(OR(OR(AND(L285&lt;&gt;"",M285&lt;&gt;"",N(M285)-N(L285)&gt;설정!$B$27),AND(L285&lt;&gt;"",M285="",설정!$B$24-N(L285)&gt;설정!$B$27)),AND(D285&lt;&gt;"",D285&lt;설정!$B$26)),"△","★")))</f>
        <v/>
      </c>
      <c r="AB285">
        <f>IF(NOT(T285),"",IF(U285="설계사",설정!$B$31,IF(U285="시공사",IF(OR(M285="",설정!$B$24-N(M285)&lt;=설정!$B$28*30.4),설정!$B$32,설정!$B$33),설정!$B$34))+IF(AA285="★",설정!$B$35,0))</f>
        <v/>
      </c>
      <c r="AC285">
        <f>SUBSTITUTE(SUBSTITUTE(SUBSTITUTE(SUBSTITUTE(H285,"(주)",""),"㈜",""),"주식회사","")," ","")</f>
        <v/>
      </c>
      <c r="AD285">
        <f>IF(AND(T285,AC285&lt;&gt;""),IF(COUNTIFS(AC$2:AC285,AC285,T$2:T285,TRUE)=1,MAX(AD$1:AD284)+1,""),"")</f>
        <v/>
      </c>
    </row>
    <row r="286">
      <c r="A286">
        <f>ROW()</f>
        <v/>
      </c>
      <c r="B286">
        <f>IF(설정!$C$4="","",IFERROR(INDEX('1.산군_붙여넣기'!$A$1:$AZ$1001,ROW(),설정!$C$4)&amp;"",""))</f>
        <v/>
      </c>
      <c r="C286">
        <f>IF(설정!$C$5="","",IFERROR(INDEX('1.산군_붙여넣기'!$A$1:$AZ$1001,ROW(),설정!$C$5)&amp;"",""))</f>
        <v/>
      </c>
      <c r="D286" s="5">
        <f>IFERROR(VALUE(SUBSTITUTE(SUBSTITUTE(SUBSTITUTE(IF(설정!$C$6="","",IFERROR(INDEX('1.산군_붙여넣기'!$A$1:$AZ$1001,ROW(),설정!$C$6)&amp;"","")),",",""),"㎡",""),"m2","")),"")</f>
        <v/>
      </c>
      <c r="E286">
        <f>IF(설정!$C$7="","",IFERROR(INDEX('1.산군_붙여넣기'!$A$1:$AZ$1001,ROW(),설정!$C$7)&amp;"",""))</f>
        <v/>
      </c>
      <c r="F286">
        <f>IF(설정!$C$8="","",IFERROR(INDEX('1.산군_붙여넣기'!$A$1:$AZ$1001,ROW(),설정!$C$8)&amp;"",""))</f>
        <v/>
      </c>
      <c r="G286">
        <f>IF(설정!$C$9="","",IFERROR(INDEX('1.산군_붙여넣기'!$A$1:$AZ$1001,ROW(),설정!$C$9)&amp;"",""))</f>
        <v/>
      </c>
      <c r="H286">
        <f>IF(설정!$C$10="","",IFERROR(INDEX('1.산군_붙여넣기'!$A$1:$AZ$1001,ROW(),설정!$C$10)&amp;"",""))</f>
        <v/>
      </c>
      <c r="I286">
        <f>IF(설정!$C$11="","",IFERROR(INDEX('1.산군_붙여넣기'!$A$1:$AZ$1001,ROW(),설정!$C$11)&amp;"",""))</f>
        <v/>
      </c>
      <c r="J286">
        <f>IF(설정!$C$12="","",IFERROR(INDEX('1.산군_붙여넣기'!$A$1:$AZ$1001,ROW(),설정!$C$12)&amp;"",""))</f>
        <v/>
      </c>
      <c r="K286">
        <f>IF(설정!$C$13="","",IFERROR(INDEX('1.산군_붙여넣기'!$A$1:$AZ$1001,ROW(),설정!$C$13)&amp;"",""))</f>
        <v/>
      </c>
      <c r="L286" s="7">
        <f>IF(X286="","",IF(AND(LEN(X286)=8,ISNUMBER(X286*1)),DATE(LEFT(X286,4),MID(X286,5,2),RIGHT(X286,2)),IFERROR(DATEVALUE(SUBSTITUTE(SUBSTITUTE(X286,".","-"),"/","-")),IFERROR(X286*1,""))))</f>
        <v/>
      </c>
      <c r="M286" s="7">
        <f>IF(Y286="","",IF(AND(LEN(Y286)=8,ISNUMBER(Y286*1)),DATE(LEFT(Y286,4),MID(Y286,5,2),RIGHT(Y286,2)),IFERROR(DATEVALUE(SUBSTITUTE(SUBSTITUTE(Y286,".","-"),"/","-")),IFERROR(Y286*1,""))))</f>
        <v/>
      </c>
      <c r="N286">
        <f>IFERROR(LEFT(B286,FIND(" ",B286)-1),B286)</f>
        <v/>
      </c>
      <c r="O286">
        <f>AND(B286&lt;&gt;"",B286&lt;&gt;설정!$B$4,C286&lt;&gt;설정!$B$5)</f>
        <v/>
      </c>
      <c r="P286">
        <f>IF(O286,B286&amp;"|"&amp;C286,"")</f>
        <v/>
      </c>
      <c r="Q286">
        <f>AND(O286,COUNTIF(P287:P$1002,P286)=0)</f>
        <v/>
      </c>
      <c r="R286">
        <f>OR(AND(설정!$A$42&lt;&gt;"",ISNUMBER(SEARCH(설정!$A$42,E286&amp;" "&amp;C286))),AND(설정!$A$43&lt;&gt;"",ISNUMBER(SEARCH(설정!$A$43,E286&amp;" "&amp;C286))),AND(설정!$A$44&lt;&gt;"",ISNUMBER(SEARCH(설정!$A$44,E286&amp;" "&amp;C286))),AND(설정!$A$45&lt;&gt;"",ISNUMBER(SEARCH(설정!$A$45,E286&amp;" "&amp;C286))),AND(설정!$A$46&lt;&gt;"",ISNUMBER(SEARCH(설정!$A$46,E286&amp;" "&amp;C286))),AND(설정!$A$47&lt;&gt;"",ISNUMBER(SEARCH(설정!$A$47,E286&amp;" "&amp;C286))),AND(설정!$A$48&lt;&gt;"",ISNUMBER(SEARCH(설정!$A$48,E286&amp;" "&amp;C286))),AND(설정!$A$49&lt;&gt;"",ISNUMBER(SEARCH(설정!$A$49,E286&amp;" "&amp;C286))),AND(설정!$A$50&lt;&gt;"",ISNUMBER(SEARCH(설정!$A$50,E286&amp;" "&amp;C286))),AND(설정!$A$51&lt;&gt;"",ISNUMBER(SEARCH(설정!$A$51,E286&amp;" "&amp;C286))))</f>
        <v/>
      </c>
      <c r="S286">
        <f>OR(D286="",D286&gt;=설정!$B$19)</f>
        <v/>
      </c>
      <c r="T286">
        <f>AND(Q286,R286,S286)</f>
        <v/>
      </c>
      <c r="U286">
        <f>IF(T286,IF(AND(설정!$A$54&lt;&gt;"",ISNUMBER(SEARCH(설정!$A$54,K286))),설정!$B$54,IF(AND(설정!$A$55&lt;&gt;"",ISNUMBER(SEARCH(설정!$A$55,K286))),설정!$B$55,IF(AND(설정!$A$56&lt;&gt;"",ISNUMBER(SEARCH(설정!$A$56,K286))),설정!$B$56,IF(AND(설정!$A$57&lt;&gt;"",ISNUMBER(SEARCH(설정!$A$57,K286))),설정!$B$57,IF(AND(설정!$A$58&lt;&gt;"",ISNUMBER(SEARCH(설정!$A$58,K286))),설정!$B$58,IF(AND(설정!$A$59&lt;&gt;"",ISNUMBER(SEARCH(설정!$A$59,K286))),설정!$B$59,IF(AND(설정!$A$60&lt;&gt;"",ISNUMBER(SEARCH(설정!$A$60,K286))),설정!$B$60,IF(AND(설정!$A$61&lt;&gt;"",ISNUMBER(SEARCH(설정!$A$61,K286))),설정!$B$61,IF(M286="","설계사","시공사"))))))))),"")</f>
        <v/>
      </c>
      <c r="V286">
        <f>SUBSTITUTE(SUBSTITUTE(SUBSTITUTE(SUBSTITUTE(G286,"(주)",""),"㈜",""),"주식회사","")," ","")</f>
        <v/>
      </c>
      <c r="W286">
        <f>IF(AND(T286,V286&lt;&gt;""),IF(COUNTIFS(V$2:V286,V286,T$2:T286,TRUE)=1,MAX(W$1:W285)+1,""),"")</f>
        <v/>
      </c>
      <c r="X286">
        <f>IF(설정!$C$14="","",IFERROR(INDEX('1.산군_붙여넣기'!$A$1:$AZ$1001,ROW(),설정!$C$14)&amp;"",""))</f>
        <v/>
      </c>
      <c r="Y286">
        <f>IF(설정!$C$15="","",IFERROR(INDEX('1.산군_붙여넣기'!$A$1:$AZ$1001,ROW(),설정!$C$15)&amp;"",""))</f>
        <v/>
      </c>
      <c r="Z286">
        <f>IF(T286,V286&amp;"|"&amp;U286,"")</f>
        <v/>
      </c>
      <c r="AA286">
        <f>IF(NOT(Q286),"",IF(NOT(AND(R286,S286)),"✕",IF(OR(OR(AND(L286&lt;&gt;"",M286&lt;&gt;"",N(M286)-N(L286)&gt;설정!$B$27),AND(L286&lt;&gt;"",M286="",설정!$B$24-N(L286)&gt;설정!$B$27)),AND(D286&lt;&gt;"",D286&lt;설정!$B$26)),"△","★")))</f>
        <v/>
      </c>
      <c r="AB286">
        <f>IF(NOT(T286),"",IF(U286="설계사",설정!$B$31,IF(U286="시공사",IF(OR(M286="",설정!$B$24-N(M286)&lt;=설정!$B$28*30.4),설정!$B$32,설정!$B$33),설정!$B$34))+IF(AA286="★",설정!$B$35,0))</f>
        <v/>
      </c>
      <c r="AC286">
        <f>SUBSTITUTE(SUBSTITUTE(SUBSTITUTE(SUBSTITUTE(H286,"(주)",""),"㈜",""),"주식회사","")," ","")</f>
        <v/>
      </c>
      <c r="AD286">
        <f>IF(AND(T286,AC286&lt;&gt;""),IF(COUNTIFS(AC$2:AC286,AC286,T$2:T286,TRUE)=1,MAX(AD$1:AD285)+1,""),"")</f>
        <v/>
      </c>
    </row>
    <row r="287">
      <c r="A287">
        <f>ROW()</f>
        <v/>
      </c>
      <c r="B287">
        <f>IF(설정!$C$4="","",IFERROR(INDEX('1.산군_붙여넣기'!$A$1:$AZ$1001,ROW(),설정!$C$4)&amp;"",""))</f>
        <v/>
      </c>
      <c r="C287">
        <f>IF(설정!$C$5="","",IFERROR(INDEX('1.산군_붙여넣기'!$A$1:$AZ$1001,ROW(),설정!$C$5)&amp;"",""))</f>
        <v/>
      </c>
      <c r="D287" s="5">
        <f>IFERROR(VALUE(SUBSTITUTE(SUBSTITUTE(SUBSTITUTE(IF(설정!$C$6="","",IFERROR(INDEX('1.산군_붙여넣기'!$A$1:$AZ$1001,ROW(),설정!$C$6)&amp;"","")),",",""),"㎡",""),"m2","")),"")</f>
        <v/>
      </c>
      <c r="E287">
        <f>IF(설정!$C$7="","",IFERROR(INDEX('1.산군_붙여넣기'!$A$1:$AZ$1001,ROW(),설정!$C$7)&amp;"",""))</f>
        <v/>
      </c>
      <c r="F287">
        <f>IF(설정!$C$8="","",IFERROR(INDEX('1.산군_붙여넣기'!$A$1:$AZ$1001,ROW(),설정!$C$8)&amp;"",""))</f>
        <v/>
      </c>
      <c r="G287">
        <f>IF(설정!$C$9="","",IFERROR(INDEX('1.산군_붙여넣기'!$A$1:$AZ$1001,ROW(),설정!$C$9)&amp;"",""))</f>
        <v/>
      </c>
      <c r="H287">
        <f>IF(설정!$C$10="","",IFERROR(INDEX('1.산군_붙여넣기'!$A$1:$AZ$1001,ROW(),설정!$C$10)&amp;"",""))</f>
        <v/>
      </c>
      <c r="I287">
        <f>IF(설정!$C$11="","",IFERROR(INDEX('1.산군_붙여넣기'!$A$1:$AZ$1001,ROW(),설정!$C$11)&amp;"",""))</f>
        <v/>
      </c>
      <c r="J287">
        <f>IF(설정!$C$12="","",IFERROR(INDEX('1.산군_붙여넣기'!$A$1:$AZ$1001,ROW(),설정!$C$12)&amp;"",""))</f>
        <v/>
      </c>
      <c r="K287">
        <f>IF(설정!$C$13="","",IFERROR(INDEX('1.산군_붙여넣기'!$A$1:$AZ$1001,ROW(),설정!$C$13)&amp;"",""))</f>
        <v/>
      </c>
      <c r="L287" s="7">
        <f>IF(X287="","",IF(AND(LEN(X287)=8,ISNUMBER(X287*1)),DATE(LEFT(X287,4),MID(X287,5,2),RIGHT(X287,2)),IFERROR(DATEVALUE(SUBSTITUTE(SUBSTITUTE(X287,".","-"),"/","-")),IFERROR(X287*1,""))))</f>
        <v/>
      </c>
      <c r="M287" s="7">
        <f>IF(Y287="","",IF(AND(LEN(Y287)=8,ISNUMBER(Y287*1)),DATE(LEFT(Y287,4),MID(Y287,5,2),RIGHT(Y287,2)),IFERROR(DATEVALUE(SUBSTITUTE(SUBSTITUTE(Y287,".","-"),"/","-")),IFERROR(Y287*1,""))))</f>
        <v/>
      </c>
      <c r="N287">
        <f>IFERROR(LEFT(B287,FIND(" ",B287)-1),B287)</f>
        <v/>
      </c>
      <c r="O287">
        <f>AND(B287&lt;&gt;"",B287&lt;&gt;설정!$B$4,C287&lt;&gt;설정!$B$5)</f>
        <v/>
      </c>
      <c r="P287">
        <f>IF(O287,B287&amp;"|"&amp;C287,"")</f>
        <v/>
      </c>
      <c r="Q287">
        <f>AND(O287,COUNTIF(P288:P$1002,P287)=0)</f>
        <v/>
      </c>
      <c r="R287">
        <f>OR(AND(설정!$A$42&lt;&gt;"",ISNUMBER(SEARCH(설정!$A$42,E287&amp;" "&amp;C287))),AND(설정!$A$43&lt;&gt;"",ISNUMBER(SEARCH(설정!$A$43,E287&amp;" "&amp;C287))),AND(설정!$A$44&lt;&gt;"",ISNUMBER(SEARCH(설정!$A$44,E287&amp;" "&amp;C287))),AND(설정!$A$45&lt;&gt;"",ISNUMBER(SEARCH(설정!$A$45,E287&amp;" "&amp;C287))),AND(설정!$A$46&lt;&gt;"",ISNUMBER(SEARCH(설정!$A$46,E287&amp;" "&amp;C287))),AND(설정!$A$47&lt;&gt;"",ISNUMBER(SEARCH(설정!$A$47,E287&amp;" "&amp;C287))),AND(설정!$A$48&lt;&gt;"",ISNUMBER(SEARCH(설정!$A$48,E287&amp;" "&amp;C287))),AND(설정!$A$49&lt;&gt;"",ISNUMBER(SEARCH(설정!$A$49,E287&amp;" "&amp;C287))),AND(설정!$A$50&lt;&gt;"",ISNUMBER(SEARCH(설정!$A$50,E287&amp;" "&amp;C287))),AND(설정!$A$51&lt;&gt;"",ISNUMBER(SEARCH(설정!$A$51,E287&amp;" "&amp;C287))))</f>
        <v/>
      </c>
      <c r="S287">
        <f>OR(D287="",D287&gt;=설정!$B$19)</f>
        <v/>
      </c>
      <c r="T287">
        <f>AND(Q287,R287,S287)</f>
        <v/>
      </c>
      <c r="U287">
        <f>IF(T287,IF(AND(설정!$A$54&lt;&gt;"",ISNUMBER(SEARCH(설정!$A$54,K287))),설정!$B$54,IF(AND(설정!$A$55&lt;&gt;"",ISNUMBER(SEARCH(설정!$A$55,K287))),설정!$B$55,IF(AND(설정!$A$56&lt;&gt;"",ISNUMBER(SEARCH(설정!$A$56,K287))),설정!$B$56,IF(AND(설정!$A$57&lt;&gt;"",ISNUMBER(SEARCH(설정!$A$57,K287))),설정!$B$57,IF(AND(설정!$A$58&lt;&gt;"",ISNUMBER(SEARCH(설정!$A$58,K287))),설정!$B$58,IF(AND(설정!$A$59&lt;&gt;"",ISNUMBER(SEARCH(설정!$A$59,K287))),설정!$B$59,IF(AND(설정!$A$60&lt;&gt;"",ISNUMBER(SEARCH(설정!$A$60,K287))),설정!$B$60,IF(AND(설정!$A$61&lt;&gt;"",ISNUMBER(SEARCH(설정!$A$61,K287))),설정!$B$61,IF(M287="","설계사","시공사"))))))))),"")</f>
        <v/>
      </c>
      <c r="V287">
        <f>SUBSTITUTE(SUBSTITUTE(SUBSTITUTE(SUBSTITUTE(G287,"(주)",""),"㈜",""),"주식회사","")," ","")</f>
        <v/>
      </c>
      <c r="W287">
        <f>IF(AND(T287,V287&lt;&gt;""),IF(COUNTIFS(V$2:V287,V287,T$2:T287,TRUE)=1,MAX(W$1:W286)+1,""),"")</f>
        <v/>
      </c>
      <c r="X287">
        <f>IF(설정!$C$14="","",IFERROR(INDEX('1.산군_붙여넣기'!$A$1:$AZ$1001,ROW(),설정!$C$14)&amp;"",""))</f>
        <v/>
      </c>
      <c r="Y287">
        <f>IF(설정!$C$15="","",IFERROR(INDEX('1.산군_붙여넣기'!$A$1:$AZ$1001,ROW(),설정!$C$15)&amp;"",""))</f>
        <v/>
      </c>
      <c r="Z287">
        <f>IF(T287,V287&amp;"|"&amp;U287,"")</f>
        <v/>
      </c>
      <c r="AA287">
        <f>IF(NOT(Q287),"",IF(NOT(AND(R287,S287)),"✕",IF(OR(OR(AND(L287&lt;&gt;"",M287&lt;&gt;"",N(M287)-N(L287)&gt;설정!$B$27),AND(L287&lt;&gt;"",M287="",설정!$B$24-N(L287)&gt;설정!$B$27)),AND(D287&lt;&gt;"",D287&lt;설정!$B$26)),"△","★")))</f>
        <v/>
      </c>
      <c r="AB287">
        <f>IF(NOT(T287),"",IF(U287="설계사",설정!$B$31,IF(U287="시공사",IF(OR(M287="",설정!$B$24-N(M287)&lt;=설정!$B$28*30.4),설정!$B$32,설정!$B$33),설정!$B$34))+IF(AA287="★",설정!$B$35,0))</f>
        <v/>
      </c>
      <c r="AC287">
        <f>SUBSTITUTE(SUBSTITUTE(SUBSTITUTE(SUBSTITUTE(H287,"(주)",""),"㈜",""),"주식회사","")," ","")</f>
        <v/>
      </c>
      <c r="AD287">
        <f>IF(AND(T287,AC287&lt;&gt;""),IF(COUNTIFS(AC$2:AC287,AC287,T$2:T287,TRUE)=1,MAX(AD$1:AD286)+1,""),"")</f>
        <v/>
      </c>
    </row>
    <row r="288">
      <c r="A288">
        <f>ROW()</f>
        <v/>
      </c>
      <c r="B288">
        <f>IF(설정!$C$4="","",IFERROR(INDEX('1.산군_붙여넣기'!$A$1:$AZ$1001,ROW(),설정!$C$4)&amp;"",""))</f>
        <v/>
      </c>
      <c r="C288">
        <f>IF(설정!$C$5="","",IFERROR(INDEX('1.산군_붙여넣기'!$A$1:$AZ$1001,ROW(),설정!$C$5)&amp;"",""))</f>
        <v/>
      </c>
      <c r="D288" s="5">
        <f>IFERROR(VALUE(SUBSTITUTE(SUBSTITUTE(SUBSTITUTE(IF(설정!$C$6="","",IFERROR(INDEX('1.산군_붙여넣기'!$A$1:$AZ$1001,ROW(),설정!$C$6)&amp;"","")),",",""),"㎡",""),"m2","")),"")</f>
        <v/>
      </c>
      <c r="E288">
        <f>IF(설정!$C$7="","",IFERROR(INDEX('1.산군_붙여넣기'!$A$1:$AZ$1001,ROW(),설정!$C$7)&amp;"",""))</f>
        <v/>
      </c>
      <c r="F288">
        <f>IF(설정!$C$8="","",IFERROR(INDEX('1.산군_붙여넣기'!$A$1:$AZ$1001,ROW(),설정!$C$8)&amp;"",""))</f>
        <v/>
      </c>
      <c r="G288">
        <f>IF(설정!$C$9="","",IFERROR(INDEX('1.산군_붙여넣기'!$A$1:$AZ$1001,ROW(),설정!$C$9)&amp;"",""))</f>
        <v/>
      </c>
      <c r="H288">
        <f>IF(설정!$C$10="","",IFERROR(INDEX('1.산군_붙여넣기'!$A$1:$AZ$1001,ROW(),설정!$C$10)&amp;"",""))</f>
        <v/>
      </c>
      <c r="I288">
        <f>IF(설정!$C$11="","",IFERROR(INDEX('1.산군_붙여넣기'!$A$1:$AZ$1001,ROW(),설정!$C$11)&amp;"",""))</f>
        <v/>
      </c>
      <c r="J288">
        <f>IF(설정!$C$12="","",IFERROR(INDEX('1.산군_붙여넣기'!$A$1:$AZ$1001,ROW(),설정!$C$12)&amp;"",""))</f>
        <v/>
      </c>
      <c r="K288">
        <f>IF(설정!$C$13="","",IFERROR(INDEX('1.산군_붙여넣기'!$A$1:$AZ$1001,ROW(),설정!$C$13)&amp;"",""))</f>
        <v/>
      </c>
      <c r="L288" s="7">
        <f>IF(X288="","",IF(AND(LEN(X288)=8,ISNUMBER(X288*1)),DATE(LEFT(X288,4),MID(X288,5,2),RIGHT(X288,2)),IFERROR(DATEVALUE(SUBSTITUTE(SUBSTITUTE(X288,".","-"),"/","-")),IFERROR(X288*1,""))))</f>
        <v/>
      </c>
      <c r="M288" s="7">
        <f>IF(Y288="","",IF(AND(LEN(Y288)=8,ISNUMBER(Y288*1)),DATE(LEFT(Y288,4),MID(Y288,5,2),RIGHT(Y288,2)),IFERROR(DATEVALUE(SUBSTITUTE(SUBSTITUTE(Y288,".","-"),"/","-")),IFERROR(Y288*1,""))))</f>
        <v/>
      </c>
      <c r="N288">
        <f>IFERROR(LEFT(B288,FIND(" ",B288)-1),B288)</f>
        <v/>
      </c>
      <c r="O288">
        <f>AND(B288&lt;&gt;"",B288&lt;&gt;설정!$B$4,C288&lt;&gt;설정!$B$5)</f>
        <v/>
      </c>
      <c r="P288">
        <f>IF(O288,B288&amp;"|"&amp;C288,"")</f>
        <v/>
      </c>
      <c r="Q288">
        <f>AND(O288,COUNTIF(P289:P$1002,P288)=0)</f>
        <v/>
      </c>
      <c r="R288">
        <f>OR(AND(설정!$A$42&lt;&gt;"",ISNUMBER(SEARCH(설정!$A$42,E288&amp;" "&amp;C288))),AND(설정!$A$43&lt;&gt;"",ISNUMBER(SEARCH(설정!$A$43,E288&amp;" "&amp;C288))),AND(설정!$A$44&lt;&gt;"",ISNUMBER(SEARCH(설정!$A$44,E288&amp;" "&amp;C288))),AND(설정!$A$45&lt;&gt;"",ISNUMBER(SEARCH(설정!$A$45,E288&amp;" "&amp;C288))),AND(설정!$A$46&lt;&gt;"",ISNUMBER(SEARCH(설정!$A$46,E288&amp;" "&amp;C288))),AND(설정!$A$47&lt;&gt;"",ISNUMBER(SEARCH(설정!$A$47,E288&amp;" "&amp;C288))),AND(설정!$A$48&lt;&gt;"",ISNUMBER(SEARCH(설정!$A$48,E288&amp;" "&amp;C288))),AND(설정!$A$49&lt;&gt;"",ISNUMBER(SEARCH(설정!$A$49,E288&amp;" "&amp;C288))),AND(설정!$A$50&lt;&gt;"",ISNUMBER(SEARCH(설정!$A$50,E288&amp;" "&amp;C288))),AND(설정!$A$51&lt;&gt;"",ISNUMBER(SEARCH(설정!$A$51,E288&amp;" "&amp;C288))))</f>
        <v/>
      </c>
      <c r="S288">
        <f>OR(D288="",D288&gt;=설정!$B$19)</f>
        <v/>
      </c>
      <c r="T288">
        <f>AND(Q288,R288,S288)</f>
        <v/>
      </c>
      <c r="U288">
        <f>IF(T288,IF(AND(설정!$A$54&lt;&gt;"",ISNUMBER(SEARCH(설정!$A$54,K288))),설정!$B$54,IF(AND(설정!$A$55&lt;&gt;"",ISNUMBER(SEARCH(설정!$A$55,K288))),설정!$B$55,IF(AND(설정!$A$56&lt;&gt;"",ISNUMBER(SEARCH(설정!$A$56,K288))),설정!$B$56,IF(AND(설정!$A$57&lt;&gt;"",ISNUMBER(SEARCH(설정!$A$57,K288))),설정!$B$57,IF(AND(설정!$A$58&lt;&gt;"",ISNUMBER(SEARCH(설정!$A$58,K288))),설정!$B$58,IF(AND(설정!$A$59&lt;&gt;"",ISNUMBER(SEARCH(설정!$A$59,K288))),설정!$B$59,IF(AND(설정!$A$60&lt;&gt;"",ISNUMBER(SEARCH(설정!$A$60,K288))),설정!$B$60,IF(AND(설정!$A$61&lt;&gt;"",ISNUMBER(SEARCH(설정!$A$61,K288))),설정!$B$61,IF(M288="","설계사","시공사"))))))))),"")</f>
        <v/>
      </c>
      <c r="V288">
        <f>SUBSTITUTE(SUBSTITUTE(SUBSTITUTE(SUBSTITUTE(G288,"(주)",""),"㈜",""),"주식회사","")," ","")</f>
        <v/>
      </c>
      <c r="W288">
        <f>IF(AND(T288,V288&lt;&gt;""),IF(COUNTIFS(V$2:V288,V288,T$2:T288,TRUE)=1,MAX(W$1:W287)+1,""),"")</f>
        <v/>
      </c>
      <c r="X288">
        <f>IF(설정!$C$14="","",IFERROR(INDEX('1.산군_붙여넣기'!$A$1:$AZ$1001,ROW(),설정!$C$14)&amp;"",""))</f>
        <v/>
      </c>
      <c r="Y288">
        <f>IF(설정!$C$15="","",IFERROR(INDEX('1.산군_붙여넣기'!$A$1:$AZ$1001,ROW(),설정!$C$15)&amp;"",""))</f>
        <v/>
      </c>
      <c r="Z288">
        <f>IF(T288,V288&amp;"|"&amp;U288,"")</f>
        <v/>
      </c>
      <c r="AA288">
        <f>IF(NOT(Q288),"",IF(NOT(AND(R288,S288)),"✕",IF(OR(OR(AND(L288&lt;&gt;"",M288&lt;&gt;"",N(M288)-N(L288)&gt;설정!$B$27),AND(L288&lt;&gt;"",M288="",설정!$B$24-N(L288)&gt;설정!$B$27)),AND(D288&lt;&gt;"",D288&lt;설정!$B$26)),"△","★")))</f>
        <v/>
      </c>
      <c r="AB288">
        <f>IF(NOT(T288),"",IF(U288="설계사",설정!$B$31,IF(U288="시공사",IF(OR(M288="",설정!$B$24-N(M288)&lt;=설정!$B$28*30.4),설정!$B$32,설정!$B$33),설정!$B$34))+IF(AA288="★",설정!$B$35,0))</f>
        <v/>
      </c>
      <c r="AC288">
        <f>SUBSTITUTE(SUBSTITUTE(SUBSTITUTE(SUBSTITUTE(H288,"(주)",""),"㈜",""),"주식회사","")," ","")</f>
        <v/>
      </c>
      <c r="AD288">
        <f>IF(AND(T288,AC288&lt;&gt;""),IF(COUNTIFS(AC$2:AC288,AC288,T$2:T288,TRUE)=1,MAX(AD$1:AD287)+1,""),"")</f>
        <v/>
      </c>
    </row>
    <row r="289">
      <c r="A289">
        <f>ROW()</f>
        <v/>
      </c>
      <c r="B289">
        <f>IF(설정!$C$4="","",IFERROR(INDEX('1.산군_붙여넣기'!$A$1:$AZ$1001,ROW(),설정!$C$4)&amp;"",""))</f>
        <v/>
      </c>
      <c r="C289">
        <f>IF(설정!$C$5="","",IFERROR(INDEX('1.산군_붙여넣기'!$A$1:$AZ$1001,ROW(),설정!$C$5)&amp;"",""))</f>
        <v/>
      </c>
      <c r="D289" s="5">
        <f>IFERROR(VALUE(SUBSTITUTE(SUBSTITUTE(SUBSTITUTE(IF(설정!$C$6="","",IFERROR(INDEX('1.산군_붙여넣기'!$A$1:$AZ$1001,ROW(),설정!$C$6)&amp;"","")),",",""),"㎡",""),"m2","")),"")</f>
        <v/>
      </c>
      <c r="E289">
        <f>IF(설정!$C$7="","",IFERROR(INDEX('1.산군_붙여넣기'!$A$1:$AZ$1001,ROW(),설정!$C$7)&amp;"",""))</f>
        <v/>
      </c>
      <c r="F289">
        <f>IF(설정!$C$8="","",IFERROR(INDEX('1.산군_붙여넣기'!$A$1:$AZ$1001,ROW(),설정!$C$8)&amp;"",""))</f>
        <v/>
      </c>
      <c r="G289">
        <f>IF(설정!$C$9="","",IFERROR(INDEX('1.산군_붙여넣기'!$A$1:$AZ$1001,ROW(),설정!$C$9)&amp;"",""))</f>
        <v/>
      </c>
      <c r="H289">
        <f>IF(설정!$C$10="","",IFERROR(INDEX('1.산군_붙여넣기'!$A$1:$AZ$1001,ROW(),설정!$C$10)&amp;"",""))</f>
        <v/>
      </c>
      <c r="I289">
        <f>IF(설정!$C$11="","",IFERROR(INDEX('1.산군_붙여넣기'!$A$1:$AZ$1001,ROW(),설정!$C$11)&amp;"",""))</f>
        <v/>
      </c>
      <c r="J289">
        <f>IF(설정!$C$12="","",IFERROR(INDEX('1.산군_붙여넣기'!$A$1:$AZ$1001,ROW(),설정!$C$12)&amp;"",""))</f>
        <v/>
      </c>
      <c r="K289">
        <f>IF(설정!$C$13="","",IFERROR(INDEX('1.산군_붙여넣기'!$A$1:$AZ$1001,ROW(),설정!$C$13)&amp;"",""))</f>
        <v/>
      </c>
      <c r="L289" s="7">
        <f>IF(X289="","",IF(AND(LEN(X289)=8,ISNUMBER(X289*1)),DATE(LEFT(X289,4),MID(X289,5,2),RIGHT(X289,2)),IFERROR(DATEVALUE(SUBSTITUTE(SUBSTITUTE(X289,".","-"),"/","-")),IFERROR(X289*1,""))))</f>
        <v/>
      </c>
      <c r="M289" s="7">
        <f>IF(Y289="","",IF(AND(LEN(Y289)=8,ISNUMBER(Y289*1)),DATE(LEFT(Y289,4),MID(Y289,5,2),RIGHT(Y289,2)),IFERROR(DATEVALUE(SUBSTITUTE(SUBSTITUTE(Y289,".","-"),"/","-")),IFERROR(Y289*1,""))))</f>
        <v/>
      </c>
      <c r="N289">
        <f>IFERROR(LEFT(B289,FIND(" ",B289)-1),B289)</f>
        <v/>
      </c>
      <c r="O289">
        <f>AND(B289&lt;&gt;"",B289&lt;&gt;설정!$B$4,C289&lt;&gt;설정!$B$5)</f>
        <v/>
      </c>
      <c r="P289">
        <f>IF(O289,B289&amp;"|"&amp;C289,"")</f>
        <v/>
      </c>
      <c r="Q289">
        <f>AND(O289,COUNTIF(P290:P$1002,P289)=0)</f>
        <v/>
      </c>
      <c r="R289">
        <f>OR(AND(설정!$A$42&lt;&gt;"",ISNUMBER(SEARCH(설정!$A$42,E289&amp;" "&amp;C289))),AND(설정!$A$43&lt;&gt;"",ISNUMBER(SEARCH(설정!$A$43,E289&amp;" "&amp;C289))),AND(설정!$A$44&lt;&gt;"",ISNUMBER(SEARCH(설정!$A$44,E289&amp;" "&amp;C289))),AND(설정!$A$45&lt;&gt;"",ISNUMBER(SEARCH(설정!$A$45,E289&amp;" "&amp;C289))),AND(설정!$A$46&lt;&gt;"",ISNUMBER(SEARCH(설정!$A$46,E289&amp;" "&amp;C289))),AND(설정!$A$47&lt;&gt;"",ISNUMBER(SEARCH(설정!$A$47,E289&amp;" "&amp;C289))),AND(설정!$A$48&lt;&gt;"",ISNUMBER(SEARCH(설정!$A$48,E289&amp;" "&amp;C289))),AND(설정!$A$49&lt;&gt;"",ISNUMBER(SEARCH(설정!$A$49,E289&amp;" "&amp;C289))),AND(설정!$A$50&lt;&gt;"",ISNUMBER(SEARCH(설정!$A$50,E289&amp;" "&amp;C289))),AND(설정!$A$51&lt;&gt;"",ISNUMBER(SEARCH(설정!$A$51,E289&amp;" "&amp;C289))))</f>
        <v/>
      </c>
      <c r="S289">
        <f>OR(D289="",D289&gt;=설정!$B$19)</f>
        <v/>
      </c>
      <c r="T289">
        <f>AND(Q289,R289,S289)</f>
        <v/>
      </c>
      <c r="U289">
        <f>IF(T289,IF(AND(설정!$A$54&lt;&gt;"",ISNUMBER(SEARCH(설정!$A$54,K289))),설정!$B$54,IF(AND(설정!$A$55&lt;&gt;"",ISNUMBER(SEARCH(설정!$A$55,K289))),설정!$B$55,IF(AND(설정!$A$56&lt;&gt;"",ISNUMBER(SEARCH(설정!$A$56,K289))),설정!$B$56,IF(AND(설정!$A$57&lt;&gt;"",ISNUMBER(SEARCH(설정!$A$57,K289))),설정!$B$57,IF(AND(설정!$A$58&lt;&gt;"",ISNUMBER(SEARCH(설정!$A$58,K289))),설정!$B$58,IF(AND(설정!$A$59&lt;&gt;"",ISNUMBER(SEARCH(설정!$A$59,K289))),설정!$B$59,IF(AND(설정!$A$60&lt;&gt;"",ISNUMBER(SEARCH(설정!$A$60,K289))),설정!$B$60,IF(AND(설정!$A$61&lt;&gt;"",ISNUMBER(SEARCH(설정!$A$61,K289))),설정!$B$61,IF(M289="","설계사","시공사"))))))))),"")</f>
        <v/>
      </c>
      <c r="V289">
        <f>SUBSTITUTE(SUBSTITUTE(SUBSTITUTE(SUBSTITUTE(G289,"(주)",""),"㈜",""),"주식회사","")," ","")</f>
        <v/>
      </c>
      <c r="W289">
        <f>IF(AND(T289,V289&lt;&gt;""),IF(COUNTIFS(V$2:V289,V289,T$2:T289,TRUE)=1,MAX(W$1:W288)+1,""),"")</f>
        <v/>
      </c>
      <c r="X289">
        <f>IF(설정!$C$14="","",IFERROR(INDEX('1.산군_붙여넣기'!$A$1:$AZ$1001,ROW(),설정!$C$14)&amp;"",""))</f>
        <v/>
      </c>
      <c r="Y289">
        <f>IF(설정!$C$15="","",IFERROR(INDEX('1.산군_붙여넣기'!$A$1:$AZ$1001,ROW(),설정!$C$15)&amp;"",""))</f>
        <v/>
      </c>
      <c r="Z289">
        <f>IF(T289,V289&amp;"|"&amp;U289,"")</f>
        <v/>
      </c>
      <c r="AA289">
        <f>IF(NOT(Q289),"",IF(NOT(AND(R289,S289)),"✕",IF(OR(OR(AND(L289&lt;&gt;"",M289&lt;&gt;"",N(M289)-N(L289)&gt;설정!$B$27),AND(L289&lt;&gt;"",M289="",설정!$B$24-N(L289)&gt;설정!$B$27)),AND(D289&lt;&gt;"",D289&lt;설정!$B$26)),"△","★")))</f>
        <v/>
      </c>
      <c r="AB289">
        <f>IF(NOT(T289),"",IF(U289="설계사",설정!$B$31,IF(U289="시공사",IF(OR(M289="",설정!$B$24-N(M289)&lt;=설정!$B$28*30.4),설정!$B$32,설정!$B$33),설정!$B$34))+IF(AA289="★",설정!$B$35,0))</f>
        <v/>
      </c>
      <c r="AC289">
        <f>SUBSTITUTE(SUBSTITUTE(SUBSTITUTE(SUBSTITUTE(H289,"(주)",""),"㈜",""),"주식회사","")," ","")</f>
        <v/>
      </c>
      <c r="AD289">
        <f>IF(AND(T289,AC289&lt;&gt;""),IF(COUNTIFS(AC$2:AC289,AC289,T$2:T289,TRUE)=1,MAX(AD$1:AD288)+1,""),"")</f>
        <v/>
      </c>
    </row>
    <row r="290">
      <c r="A290">
        <f>ROW()</f>
        <v/>
      </c>
      <c r="B290">
        <f>IF(설정!$C$4="","",IFERROR(INDEX('1.산군_붙여넣기'!$A$1:$AZ$1001,ROW(),설정!$C$4)&amp;"",""))</f>
        <v/>
      </c>
      <c r="C290">
        <f>IF(설정!$C$5="","",IFERROR(INDEX('1.산군_붙여넣기'!$A$1:$AZ$1001,ROW(),설정!$C$5)&amp;"",""))</f>
        <v/>
      </c>
      <c r="D290" s="5">
        <f>IFERROR(VALUE(SUBSTITUTE(SUBSTITUTE(SUBSTITUTE(IF(설정!$C$6="","",IFERROR(INDEX('1.산군_붙여넣기'!$A$1:$AZ$1001,ROW(),설정!$C$6)&amp;"","")),",",""),"㎡",""),"m2","")),"")</f>
        <v/>
      </c>
      <c r="E290">
        <f>IF(설정!$C$7="","",IFERROR(INDEX('1.산군_붙여넣기'!$A$1:$AZ$1001,ROW(),설정!$C$7)&amp;"",""))</f>
        <v/>
      </c>
      <c r="F290">
        <f>IF(설정!$C$8="","",IFERROR(INDEX('1.산군_붙여넣기'!$A$1:$AZ$1001,ROW(),설정!$C$8)&amp;"",""))</f>
        <v/>
      </c>
      <c r="G290">
        <f>IF(설정!$C$9="","",IFERROR(INDEX('1.산군_붙여넣기'!$A$1:$AZ$1001,ROW(),설정!$C$9)&amp;"",""))</f>
        <v/>
      </c>
      <c r="H290">
        <f>IF(설정!$C$10="","",IFERROR(INDEX('1.산군_붙여넣기'!$A$1:$AZ$1001,ROW(),설정!$C$10)&amp;"",""))</f>
        <v/>
      </c>
      <c r="I290">
        <f>IF(설정!$C$11="","",IFERROR(INDEX('1.산군_붙여넣기'!$A$1:$AZ$1001,ROW(),설정!$C$11)&amp;"",""))</f>
        <v/>
      </c>
      <c r="J290">
        <f>IF(설정!$C$12="","",IFERROR(INDEX('1.산군_붙여넣기'!$A$1:$AZ$1001,ROW(),설정!$C$12)&amp;"",""))</f>
        <v/>
      </c>
      <c r="K290">
        <f>IF(설정!$C$13="","",IFERROR(INDEX('1.산군_붙여넣기'!$A$1:$AZ$1001,ROW(),설정!$C$13)&amp;"",""))</f>
        <v/>
      </c>
      <c r="L290" s="7">
        <f>IF(X290="","",IF(AND(LEN(X290)=8,ISNUMBER(X290*1)),DATE(LEFT(X290,4),MID(X290,5,2),RIGHT(X290,2)),IFERROR(DATEVALUE(SUBSTITUTE(SUBSTITUTE(X290,".","-"),"/","-")),IFERROR(X290*1,""))))</f>
        <v/>
      </c>
      <c r="M290" s="7">
        <f>IF(Y290="","",IF(AND(LEN(Y290)=8,ISNUMBER(Y290*1)),DATE(LEFT(Y290,4),MID(Y290,5,2),RIGHT(Y290,2)),IFERROR(DATEVALUE(SUBSTITUTE(SUBSTITUTE(Y290,".","-"),"/","-")),IFERROR(Y290*1,""))))</f>
        <v/>
      </c>
      <c r="N290">
        <f>IFERROR(LEFT(B290,FIND(" ",B290)-1),B290)</f>
        <v/>
      </c>
      <c r="O290">
        <f>AND(B290&lt;&gt;"",B290&lt;&gt;설정!$B$4,C290&lt;&gt;설정!$B$5)</f>
        <v/>
      </c>
      <c r="P290">
        <f>IF(O290,B290&amp;"|"&amp;C290,"")</f>
        <v/>
      </c>
      <c r="Q290">
        <f>AND(O290,COUNTIF(P291:P$1002,P290)=0)</f>
        <v/>
      </c>
      <c r="R290">
        <f>OR(AND(설정!$A$42&lt;&gt;"",ISNUMBER(SEARCH(설정!$A$42,E290&amp;" "&amp;C290))),AND(설정!$A$43&lt;&gt;"",ISNUMBER(SEARCH(설정!$A$43,E290&amp;" "&amp;C290))),AND(설정!$A$44&lt;&gt;"",ISNUMBER(SEARCH(설정!$A$44,E290&amp;" "&amp;C290))),AND(설정!$A$45&lt;&gt;"",ISNUMBER(SEARCH(설정!$A$45,E290&amp;" "&amp;C290))),AND(설정!$A$46&lt;&gt;"",ISNUMBER(SEARCH(설정!$A$46,E290&amp;" "&amp;C290))),AND(설정!$A$47&lt;&gt;"",ISNUMBER(SEARCH(설정!$A$47,E290&amp;" "&amp;C290))),AND(설정!$A$48&lt;&gt;"",ISNUMBER(SEARCH(설정!$A$48,E290&amp;" "&amp;C290))),AND(설정!$A$49&lt;&gt;"",ISNUMBER(SEARCH(설정!$A$49,E290&amp;" "&amp;C290))),AND(설정!$A$50&lt;&gt;"",ISNUMBER(SEARCH(설정!$A$50,E290&amp;" "&amp;C290))),AND(설정!$A$51&lt;&gt;"",ISNUMBER(SEARCH(설정!$A$51,E290&amp;" "&amp;C290))))</f>
        <v/>
      </c>
      <c r="S290">
        <f>OR(D290="",D290&gt;=설정!$B$19)</f>
        <v/>
      </c>
      <c r="T290">
        <f>AND(Q290,R290,S290)</f>
        <v/>
      </c>
      <c r="U290">
        <f>IF(T290,IF(AND(설정!$A$54&lt;&gt;"",ISNUMBER(SEARCH(설정!$A$54,K290))),설정!$B$54,IF(AND(설정!$A$55&lt;&gt;"",ISNUMBER(SEARCH(설정!$A$55,K290))),설정!$B$55,IF(AND(설정!$A$56&lt;&gt;"",ISNUMBER(SEARCH(설정!$A$56,K290))),설정!$B$56,IF(AND(설정!$A$57&lt;&gt;"",ISNUMBER(SEARCH(설정!$A$57,K290))),설정!$B$57,IF(AND(설정!$A$58&lt;&gt;"",ISNUMBER(SEARCH(설정!$A$58,K290))),설정!$B$58,IF(AND(설정!$A$59&lt;&gt;"",ISNUMBER(SEARCH(설정!$A$59,K290))),설정!$B$59,IF(AND(설정!$A$60&lt;&gt;"",ISNUMBER(SEARCH(설정!$A$60,K290))),설정!$B$60,IF(AND(설정!$A$61&lt;&gt;"",ISNUMBER(SEARCH(설정!$A$61,K290))),설정!$B$61,IF(M290="","설계사","시공사"))))))))),"")</f>
        <v/>
      </c>
      <c r="V290">
        <f>SUBSTITUTE(SUBSTITUTE(SUBSTITUTE(SUBSTITUTE(G290,"(주)",""),"㈜",""),"주식회사","")," ","")</f>
        <v/>
      </c>
      <c r="W290">
        <f>IF(AND(T290,V290&lt;&gt;""),IF(COUNTIFS(V$2:V290,V290,T$2:T290,TRUE)=1,MAX(W$1:W289)+1,""),"")</f>
        <v/>
      </c>
      <c r="X290">
        <f>IF(설정!$C$14="","",IFERROR(INDEX('1.산군_붙여넣기'!$A$1:$AZ$1001,ROW(),설정!$C$14)&amp;"",""))</f>
        <v/>
      </c>
      <c r="Y290">
        <f>IF(설정!$C$15="","",IFERROR(INDEX('1.산군_붙여넣기'!$A$1:$AZ$1001,ROW(),설정!$C$15)&amp;"",""))</f>
        <v/>
      </c>
      <c r="Z290">
        <f>IF(T290,V290&amp;"|"&amp;U290,"")</f>
        <v/>
      </c>
      <c r="AA290">
        <f>IF(NOT(Q290),"",IF(NOT(AND(R290,S290)),"✕",IF(OR(OR(AND(L290&lt;&gt;"",M290&lt;&gt;"",N(M290)-N(L290)&gt;설정!$B$27),AND(L290&lt;&gt;"",M290="",설정!$B$24-N(L290)&gt;설정!$B$27)),AND(D290&lt;&gt;"",D290&lt;설정!$B$26)),"△","★")))</f>
        <v/>
      </c>
      <c r="AB290">
        <f>IF(NOT(T290),"",IF(U290="설계사",설정!$B$31,IF(U290="시공사",IF(OR(M290="",설정!$B$24-N(M290)&lt;=설정!$B$28*30.4),설정!$B$32,설정!$B$33),설정!$B$34))+IF(AA290="★",설정!$B$35,0))</f>
        <v/>
      </c>
      <c r="AC290">
        <f>SUBSTITUTE(SUBSTITUTE(SUBSTITUTE(SUBSTITUTE(H290,"(주)",""),"㈜",""),"주식회사","")," ","")</f>
        <v/>
      </c>
      <c r="AD290">
        <f>IF(AND(T290,AC290&lt;&gt;""),IF(COUNTIFS(AC$2:AC290,AC290,T$2:T290,TRUE)=1,MAX(AD$1:AD289)+1,""),"")</f>
        <v/>
      </c>
    </row>
    <row r="291">
      <c r="A291">
        <f>ROW()</f>
        <v/>
      </c>
      <c r="B291">
        <f>IF(설정!$C$4="","",IFERROR(INDEX('1.산군_붙여넣기'!$A$1:$AZ$1001,ROW(),설정!$C$4)&amp;"",""))</f>
        <v/>
      </c>
      <c r="C291">
        <f>IF(설정!$C$5="","",IFERROR(INDEX('1.산군_붙여넣기'!$A$1:$AZ$1001,ROW(),설정!$C$5)&amp;"",""))</f>
        <v/>
      </c>
      <c r="D291" s="5">
        <f>IFERROR(VALUE(SUBSTITUTE(SUBSTITUTE(SUBSTITUTE(IF(설정!$C$6="","",IFERROR(INDEX('1.산군_붙여넣기'!$A$1:$AZ$1001,ROW(),설정!$C$6)&amp;"","")),",",""),"㎡",""),"m2","")),"")</f>
        <v/>
      </c>
      <c r="E291">
        <f>IF(설정!$C$7="","",IFERROR(INDEX('1.산군_붙여넣기'!$A$1:$AZ$1001,ROW(),설정!$C$7)&amp;"",""))</f>
        <v/>
      </c>
      <c r="F291">
        <f>IF(설정!$C$8="","",IFERROR(INDEX('1.산군_붙여넣기'!$A$1:$AZ$1001,ROW(),설정!$C$8)&amp;"",""))</f>
        <v/>
      </c>
      <c r="G291">
        <f>IF(설정!$C$9="","",IFERROR(INDEX('1.산군_붙여넣기'!$A$1:$AZ$1001,ROW(),설정!$C$9)&amp;"",""))</f>
        <v/>
      </c>
      <c r="H291">
        <f>IF(설정!$C$10="","",IFERROR(INDEX('1.산군_붙여넣기'!$A$1:$AZ$1001,ROW(),설정!$C$10)&amp;"",""))</f>
        <v/>
      </c>
      <c r="I291">
        <f>IF(설정!$C$11="","",IFERROR(INDEX('1.산군_붙여넣기'!$A$1:$AZ$1001,ROW(),설정!$C$11)&amp;"",""))</f>
        <v/>
      </c>
      <c r="J291">
        <f>IF(설정!$C$12="","",IFERROR(INDEX('1.산군_붙여넣기'!$A$1:$AZ$1001,ROW(),설정!$C$12)&amp;"",""))</f>
        <v/>
      </c>
      <c r="K291">
        <f>IF(설정!$C$13="","",IFERROR(INDEX('1.산군_붙여넣기'!$A$1:$AZ$1001,ROW(),설정!$C$13)&amp;"",""))</f>
        <v/>
      </c>
      <c r="L291" s="7">
        <f>IF(X291="","",IF(AND(LEN(X291)=8,ISNUMBER(X291*1)),DATE(LEFT(X291,4),MID(X291,5,2),RIGHT(X291,2)),IFERROR(DATEVALUE(SUBSTITUTE(SUBSTITUTE(X291,".","-"),"/","-")),IFERROR(X291*1,""))))</f>
        <v/>
      </c>
      <c r="M291" s="7">
        <f>IF(Y291="","",IF(AND(LEN(Y291)=8,ISNUMBER(Y291*1)),DATE(LEFT(Y291,4),MID(Y291,5,2),RIGHT(Y291,2)),IFERROR(DATEVALUE(SUBSTITUTE(SUBSTITUTE(Y291,".","-"),"/","-")),IFERROR(Y291*1,""))))</f>
        <v/>
      </c>
      <c r="N291">
        <f>IFERROR(LEFT(B291,FIND(" ",B291)-1),B291)</f>
        <v/>
      </c>
      <c r="O291">
        <f>AND(B291&lt;&gt;"",B291&lt;&gt;설정!$B$4,C291&lt;&gt;설정!$B$5)</f>
        <v/>
      </c>
      <c r="P291">
        <f>IF(O291,B291&amp;"|"&amp;C291,"")</f>
        <v/>
      </c>
      <c r="Q291">
        <f>AND(O291,COUNTIF(P292:P$1002,P291)=0)</f>
        <v/>
      </c>
      <c r="R291">
        <f>OR(AND(설정!$A$42&lt;&gt;"",ISNUMBER(SEARCH(설정!$A$42,E291&amp;" "&amp;C291))),AND(설정!$A$43&lt;&gt;"",ISNUMBER(SEARCH(설정!$A$43,E291&amp;" "&amp;C291))),AND(설정!$A$44&lt;&gt;"",ISNUMBER(SEARCH(설정!$A$44,E291&amp;" "&amp;C291))),AND(설정!$A$45&lt;&gt;"",ISNUMBER(SEARCH(설정!$A$45,E291&amp;" "&amp;C291))),AND(설정!$A$46&lt;&gt;"",ISNUMBER(SEARCH(설정!$A$46,E291&amp;" "&amp;C291))),AND(설정!$A$47&lt;&gt;"",ISNUMBER(SEARCH(설정!$A$47,E291&amp;" "&amp;C291))),AND(설정!$A$48&lt;&gt;"",ISNUMBER(SEARCH(설정!$A$48,E291&amp;" "&amp;C291))),AND(설정!$A$49&lt;&gt;"",ISNUMBER(SEARCH(설정!$A$49,E291&amp;" "&amp;C291))),AND(설정!$A$50&lt;&gt;"",ISNUMBER(SEARCH(설정!$A$50,E291&amp;" "&amp;C291))),AND(설정!$A$51&lt;&gt;"",ISNUMBER(SEARCH(설정!$A$51,E291&amp;" "&amp;C291))))</f>
        <v/>
      </c>
      <c r="S291">
        <f>OR(D291="",D291&gt;=설정!$B$19)</f>
        <v/>
      </c>
      <c r="T291">
        <f>AND(Q291,R291,S291)</f>
        <v/>
      </c>
      <c r="U291">
        <f>IF(T291,IF(AND(설정!$A$54&lt;&gt;"",ISNUMBER(SEARCH(설정!$A$54,K291))),설정!$B$54,IF(AND(설정!$A$55&lt;&gt;"",ISNUMBER(SEARCH(설정!$A$55,K291))),설정!$B$55,IF(AND(설정!$A$56&lt;&gt;"",ISNUMBER(SEARCH(설정!$A$56,K291))),설정!$B$56,IF(AND(설정!$A$57&lt;&gt;"",ISNUMBER(SEARCH(설정!$A$57,K291))),설정!$B$57,IF(AND(설정!$A$58&lt;&gt;"",ISNUMBER(SEARCH(설정!$A$58,K291))),설정!$B$58,IF(AND(설정!$A$59&lt;&gt;"",ISNUMBER(SEARCH(설정!$A$59,K291))),설정!$B$59,IF(AND(설정!$A$60&lt;&gt;"",ISNUMBER(SEARCH(설정!$A$60,K291))),설정!$B$60,IF(AND(설정!$A$61&lt;&gt;"",ISNUMBER(SEARCH(설정!$A$61,K291))),설정!$B$61,IF(M291="","설계사","시공사"))))))))),"")</f>
        <v/>
      </c>
      <c r="V291">
        <f>SUBSTITUTE(SUBSTITUTE(SUBSTITUTE(SUBSTITUTE(G291,"(주)",""),"㈜",""),"주식회사","")," ","")</f>
        <v/>
      </c>
      <c r="W291">
        <f>IF(AND(T291,V291&lt;&gt;""),IF(COUNTIFS(V$2:V291,V291,T$2:T291,TRUE)=1,MAX(W$1:W290)+1,""),"")</f>
        <v/>
      </c>
      <c r="X291">
        <f>IF(설정!$C$14="","",IFERROR(INDEX('1.산군_붙여넣기'!$A$1:$AZ$1001,ROW(),설정!$C$14)&amp;"",""))</f>
        <v/>
      </c>
      <c r="Y291">
        <f>IF(설정!$C$15="","",IFERROR(INDEX('1.산군_붙여넣기'!$A$1:$AZ$1001,ROW(),설정!$C$15)&amp;"",""))</f>
        <v/>
      </c>
      <c r="Z291">
        <f>IF(T291,V291&amp;"|"&amp;U291,"")</f>
        <v/>
      </c>
      <c r="AA291">
        <f>IF(NOT(Q291),"",IF(NOT(AND(R291,S291)),"✕",IF(OR(OR(AND(L291&lt;&gt;"",M291&lt;&gt;"",N(M291)-N(L291)&gt;설정!$B$27),AND(L291&lt;&gt;"",M291="",설정!$B$24-N(L291)&gt;설정!$B$27)),AND(D291&lt;&gt;"",D291&lt;설정!$B$26)),"△","★")))</f>
        <v/>
      </c>
      <c r="AB291">
        <f>IF(NOT(T291),"",IF(U291="설계사",설정!$B$31,IF(U291="시공사",IF(OR(M291="",설정!$B$24-N(M291)&lt;=설정!$B$28*30.4),설정!$B$32,설정!$B$33),설정!$B$34))+IF(AA291="★",설정!$B$35,0))</f>
        <v/>
      </c>
      <c r="AC291">
        <f>SUBSTITUTE(SUBSTITUTE(SUBSTITUTE(SUBSTITUTE(H291,"(주)",""),"㈜",""),"주식회사","")," ","")</f>
        <v/>
      </c>
      <c r="AD291">
        <f>IF(AND(T291,AC291&lt;&gt;""),IF(COUNTIFS(AC$2:AC291,AC291,T$2:T291,TRUE)=1,MAX(AD$1:AD290)+1,""),"")</f>
        <v/>
      </c>
    </row>
    <row r="292">
      <c r="A292">
        <f>ROW()</f>
        <v/>
      </c>
      <c r="B292">
        <f>IF(설정!$C$4="","",IFERROR(INDEX('1.산군_붙여넣기'!$A$1:$AZ$1001,ROW(),설정!$C$4)&amp;"",""))</f>
        <v/>
      </c>
      <c r="C292">
        <f>IF(설정!$C$5="","",IFERROR(INDEX('1.산군_붙여넣기'!$A$1:$AZ$1001,ROW(),설정!$C$5)&amp;"",""))</f>
        <v/>
      </c>
      <c r="D292" s="5">
        <f>IFERROR(VALUE(SUBSTITUTE(SUBSTITUTE(SUBSTITUTE(IF(설정!$C$6="","",IFERROR(INDEX('1.산군_붙여넣기'!$A$1:$AZ$1001,ROW(),설정!$C$6)&amp;"","")),",",""),"㎡",""),"m2","")),"")</f>
        <v/>
      </c>
      <c r="E292">
        <f>IF(설정!$C$7="","",IFERROR(INDEX('1.산군_붙여넣기'!$A$1:$AZ$1001,ROW(),설정!$C$7)&amp;"",""))</f>
        <v/>
      </c>
      <c r="F292">
        <f>IF(설정!$C$8="","",IFERROR(INDEX('1.산군_붙여넣기'!$A$1:$AZ$1001,ROW(),설정!$C$8)&amp;"",""))</f>
        <v/>
      </c>
      <c r="G292">
        <f>IF(설정!$C$9="","",IFERROR(INDEX('1.산군_붙여넣기'!$A$1:$AZ$1001,ROW(),설정!$C$9)&amp;"",""))</f>
        <v/>
      </c>
      <c r="H292">
        <f>IF(설정!$C$10="","",IFERROR(INDEX('1.산군_붙여넣기'!$A$1:$AZ$1001,ROW(),설정!$C$10)&amp;"",""))</f>
        <v/>
      </c>
      <c r="I292">
        <f>IF(설정!$C$11="","",IFERROR(INDEX('1.산군_붙여넣기'!$A$1:$AZ$1001,ROW(),설정!$C$11)&amp;"",""))</f>
        <v/>
      </c>
      <c r="J292">
        <f>IF(설정!$C$12="","",IFERROR(INDEX('1.산군_붙여넣기'!$A$1:$AZ$1001,ROW(),설정!$C$12)&amp;"",""))</f>
        <v/>
      </c>
      <c r="K292">
        <f>IF(설정!$C$13="","",IFERROR(INDEX('1.산군_붙여넣기'!$A$1:$AZ$1001,ROW(),설정!$C$13)&amp;"",""))</f>
        <v/>
      </c>
      <c r="L292" s="7">
        <f>IF(X292="","",IF(AND(LEN(X292)=8,ISNUMBER(X292*1)),DATE(LEFT(X292,4),MID(X292,5,2),RIGHT(X292,2)),IFERROR(DATEVALUE(SUBSTITUTE(SUBSTITUTE(X292,".","-"),"/","-")),IFERROR(X292*1,""))))</f>
        <v/>
      </c>
      <c r="M292" s="7">
        <f>IF(Y292="","",IF(AND(LEN(Y292)=8,ISNUMBER(Y292*1)),DATE(LEFT(Y292,4),MID(Y292,5,2),RIGHT(Y292,2)),IFERROR(DATEVALUE(SUBSTITUTE(SUBSTITUTE(Y292,".","-"),"/","-")),IFERROR(Y292*1,""))))</f>
        <v/>
      </c>
      <c r="N292">
        <f>IFERROR(LEFT(B292,FIND(" ",B292)-1),B292)</f>
        <v/>
      </c>
      <c r="O292">
        <f>AND(B292&lt;&gt;"",B292&lt;&gt;설정!$B$4,C292&lt;&gt;설정!$B$5)</f>
        <v/>
      </c>
      <c r="P292">
        <f>IF(O292,B292&amp;"|"&amp;C292,"")</f>
        <v/>
      </c>
      <c r="Q292">
        <f>AND(O292,COUNTIF(P293:P$1002,P292)=0)</f>
        <v/>
      </c>
      <c r="R292">
        <f>OR(AND(설정!$A$42&lt;&gt;"",ISNUMBER(SEARCH(설정!$A$42,E292&amp;" "&amp;C292))),AND(설정!$A$43&lt;&gt;"",ISNUMBER(SEARCH(설정!$A$43,E292&amp;" "&amp;C292))),AND(설정!$A$44&lt;&gt;"",ISNUMBER(SEARCH(설정!$A$44,E292&amp;" "&amp;C292))),AND(설정!$A$45&lt;&gt;"",ISNUMBER(SEARCH(설정!$A$45,E292&amp;" "&amp;C292))),AND(설정!$A$46&lt;&gt;"",ISNUMBER(SEARCH(설정!$A$46,E292&amp;" "&amp;C292))),AND(설정!$A$47&lt;&gt;"",ISNUMBER(SEARCH(설정!$A$47,E292&amp;" "&amp;C292))),AND(설정!$A$48&lt;&gt;"",ISNUMBER(SEARCH(설정!$A$48,E292&amp;" "&amp;C292))),AND(설정!$A$49&lt;&gt;"",ISNUMBER(SEARCH(설정!$A$49,E292&amp;" "&amp;C292))),AND(설정!$A$50&lt;&gt;"",ISNUMBER(SEARCH(설정!$A$50,E292&amp;" "&amp;C292))),AND(설정!$A$51&lt;&gt;"",ISNUMBER(SEARCH(설정!$A$51,E292&amp;" "&amp;C292))))</f>
        <v/>
      </c>
      <c r="S292">
        <f>OR(D292="",D292&gt;=설정!$B$19)</f>
        <v/>
      </c>
      <c r="T292">
        <f>AND(Q292,R292,S292)</f>
        <v/>
      </c>
      <c r="U292">
        <f>IF(T292,IF(AND(설정!$A$54&lt;&gt;"",ISNUMBER(SEARCH(설정!$A$54,K292))),설정!$B$54,IF(AND(설정!$A$55&lt;&gt;"",ISNUMBER(SEARCH(설정!$A$55,K292))),설정!$B$55,IF(AND(설정!$A$56&lt;&gt;"",ISNUMBER(SEARCH(설정!$A$56,K292))),설정!$B$56,IF(AND(설정!$A$57&lt;&gt;"",ISNUMBER(SEARCH(설정!$A$57,K292))),설정!$B$57,IF(AND(설정!$A$58&lt;&gt;"",ISNUMBER(SEARCH(설정!$A$58,K292))),설정!$B$58,IF(AND(설정!$A$59&lt;&gt;"",ISNUMBER(SEARCH(설정!$A$59,K292))),설정!$B$59,IF(AND(설정!$A$60&lt;&gt;"",ISNUMBER(SEARCH(설정!$A$60,K292))),설정!$B$60,IF(AND(설정!$A$61&lt;&gt;"",ISNUMBER(SEARCH(설정!$A$61,K292))),설정!$B$61,IF(M292="","설계사","시공사"))))))))),"")</f>
        <v/>
      </c>
      <c r="V292">
        <f>SUBSTITUTE(SUBSTITUTE(SUBSTITUTE(SUBSTITUTE(G292,"(주)",""),"㈜",""),"주식회사","")," ","")</f>
        <v/>
      </c>
      <c r="W292">
        <f>IF(AND(T292,V292&lt;&gt;""),IF(COUNTIFS(V$2:V292,V292,T$2:T292,TRUE)=1,MAX(W$1:W291)+1,""),"")</f>
        <v/>
      </c>
      <c r="X292">
        <f>IF(설정!$C$14="","",IFERROR(INDEX('1.산군_붙여넣기'!$A$1:$AZ$1001,ROW(),설정!$C$14)&amp;"",""))</f>
        <v/>
      </c>
      <c r="Y292">
        <f>IF(설정!$C$15="","",IFERROR(INDEX('1.산군_붙여넣기'!$A$1:$AZ$1001,ROW(),설정!$C$15)&amp;"",""))</f>
        <v/>
      </c>
      <c r="Z292">
        <f>IF(T292,V292&amp;"|"&amp;U292,"")</f>
        <v/>
      </c>
      <c r="AA292">
        <f>IF(NOT(Q292),"",IF(NOT(AND(R292,S292)),"✕",IF(OR(OR(AND(L292&lt;&gt;"",M292&lt;&gt;"",N(M292)-N(L292)&gt;설정!$B$27),AND(L292&lt;&gt;"",M292="",설정!$B$24-N(L292)&gt;설정!$B$27)),AND(D292&lt;&gt;"",D292&lt;설정!$B$26)),"△","★")))</f>
        <v/>
      </c>
      <c r="AB292">
        <f>IF(NOT(T292),"",IF(U292="설계사",설정!$B$31,IF(U292="시공사",IF(OR(M292="",설정!$B$24-N(M292)&lt;=설정!$B$28*30.4),설정!$B$32,설정!$B$33),설정!$B$34))+IF(AA292="★",설정!$B$35,0))</f>
        <v/>
      </c>
      <c r="AC292">
        <f>SUBSTITUTE(SUBSTITUTE(SUBSTITUTE(SUBSTITUTE(H292,"(주)",""),"㈜",""),"주식회사","")," ","")</f>
        <v/>
      </c>
      <c r="AD292">
        <f>IF(AND(T292,AC292&lt;&gt;""),IF(COUNTIFS(AC$2:AC292,AC292,T$2:T292,TRUE)=1,MAX(AD$1:AD291)+1,""),"")</f>
        <v/>
      </c>
    </row>
    <row r="293">
      <c r="A293">
        <f>ROW()</f>
        <v/>
      </c>
      <c r="B293">
        <f>IF(설정!$C$4="","",IFERROR(INDEX('1.산군_붙여넣기'!$A$1:$AZ$1001,ROW(),설정!$C$4)&amp;"",""))</f>
        <v/>
      </c>
      <c r="C293">
        <f>IF(설정!$C$5="","",IFERROR(INDEX('1.산군_붙여넣기'!$A$1:$AZ$1001,ROW(),설정!$C$5)&amp;"",""))</f>
        <v/>
      </c>
      <c r="D293" s="5">
        <f>IFERROR(VALUE(SUBSTITUTE(SUBSTITUTE(SUBSTITUTE(IF(설정!$C$6="","",IFERROR(INDEX('1.산군_붙여넣기'!$A$1:$AZ$1001,ROW(),설정!$C$6)&amp;"","")),",",""),"㎡",""),"m2","")),"")</f>
        <v/>
      </c>
      <c r="E293">
        <f>IF(설정!$C$7="","",IFERROR(INDEX('1.산군_붙여넣기'!$A$1:$AZ$1001,ROW(),설정!$C$7)&amp;"",""))</f>
        <v/>
      </c>
      <c r="F293">
        <f>IF(설정!$C$8="","",IFERROR(INDEX('1.산군_붙여넣기'!$A$1:$AZ$1001,ROW(),설정!$C$8)&amp;"",""))</f>
        <v/>
      </c>
      <c r="G293">
        <f>IF(설정!$C$9="","",IFERROR(INDEX('1.산군_붙여넣기'!$A$1:$AZ$1001,ROW(),설정!$C$9)&amp;"",""))</f>
        <v/>
      </c>
      <c r="H293">
        <f>IF(설정!$C$10="","",IFERROR(INDEX('1.산군_붙여넣기'!$A$1:$AZ$1001,ROW(),설정!$C$10)&amp;"",""))</f>
        <v/>
      </c>
      <c r="I293">
        <f>IF(설정!$C$11="","",IFERROR(INDEX('1.산군_붙여넣기'!$A$1:$AZ$1001,ROW(),설정!$C$11)&amp;"",""))</f>
        <v/>
      </c>
      <c r="J293">
        <f>IF(설정!$C$12="","",IFERROR(INDEX('1.산군_붙여넣기'!$A$1:$AZ$1001,ROW(),설정!$C$12)&amp;"",""))</f>
        <v/>
      </c>
      <c r="K293">
        <f>IF(설정!$C$13="","",IFERROR(INDEX('1.산군_붙여넣기'!$A$1:$AZ$1001,ROW(),설정!$C$13)&amp;"",""))</f>
        <v/>
      </c>
      <c r="L293" s="7">
        <f>IF(X293="","",IF(AND(LEN(X293)=8,ISNUMBER(X293*1)),DATE(LEFT(X293,4),MID(X293,5,2),RIGHT(X293,2)),IFERROR(DATEVALUE(SUBSTITUTE(SUBSTITUTE(X293,".","-"),"/","-")),IFERROR(X293*1,""))))</f>
        <v/>
      </c>
      <c r="M293" s="7">
        <f>IF(Y293="","",IF(AND(LEN(Y293)=8,ISNUMBER(Y293*1)),DATE(LEFT(Y293,4),MID(Y293,5,2),RIGHT(Y293,2)),IFERROR(DATEVALUE(SUBSTITUTE(SUBSTITUTE(Y293,".","-"),"/","-")),IFERROR(Y293*1,""))))</f>
        <v/>
      </c>
      <c r="N293">
        <f>IFERROR(LEFT(B293,FIND(" ",B293)-1),B293)</f>
        <v/>
      </c>
      <c r="O293">
        <f>AND(B293&lt;&gt;"",B293&lt;&gt;설정!$B$4,C293&lt;&gt;설정!$B$5)</f>
        <v/>
      </c>
      <c r="P293">
        <f>IF(O293,B293&amp;"|"&amp;C293,"")</f>
        <v/>
      </c>
      <c r="Q293">
        <f>AND(O293,COUNTIF(P294:P$1002,P293)=0)</f>
        <v/>
      </c>
      <c r="R293">
        <f>OR(AND(설정!$A$42&lt;&gt;"",ISNUMBER(SEARCH(설정!$A$42,E293&amp;" "&amp;C293))),AND(설정!$A$43&lt;&gt;"",ISNUMBER(SEARCH(설정!$A$43,E293&amp;" "&amp;C293))),AND(설정!$A$44&lt;&gt;"",ISNUMBER(SEARCH(설정!$A$44,E293&amp;" "&amp;C293))),AND(설정!$A$45&lt;&gt;"",ISNUMBER(SEARCH(설정!$A$45,E293&amp;" "&amp;C293))),AND(설정!$A$46&lt;&gt;"",ISNUMBER(SEARCH(설정!$A$46,E293&amp;" "&amp;C293))),AND(설정!$A$47&lt;&gt;"",ISNUMBER(SEARCH(설정!$A$47,E293&amp;" "&amp;C293))),AND(설정!$A$48&lt;&gt;"",ISNUMBER(SEARCH(설정!$A$48,E293&amp;" "&amp;C293))),AND(설정!$A$49&lt;&gt;"",ISNUMBER(SEARCH(설정!$A$49,E293&amp;" "&amp;C293))),AND(설정!$A$50&lt;&gt;"",ISNUMBER(SEARCH(설정!$A$50,E293&amp;" "&amp;C293))),AND(설정!$A$51&lt;&gt;"",ISNUMBER(SEARCH(설정!$A$51,E293&amp;" "&amp;C293))))</f>
        <v/>
      </c>
      <c r="S293">
        <f>OR(D293="",D293&gt;=설정!$B$19)</f>
        <v/>
      </c>
      <c r="T293">
        <f>AND(Q293,R293,S293)</f>
        <v/>
      </c>
      <c r="U293">
        <f>IF(T293,IF(AND(설정!$A$54&lt;&gt;"",ISNUMBER(SEARCH(설정!$A$54,K293))),설정!$B$54,IF(AND(설정!$A$55&lt;&gt;"",ISNUMBER(SEARCH(설정!$A$55,K293))),설정!$B$55,IF(AND(설정!$A$56&lt;&gt;"",ISNUMBER(SEARCH(설정!$A$56,K293))),설정!$B$56,IF(AND(설정!$A$57&lt;&gt;"",ISNUMBER(SEARCH(설정!$A$57,K293))),설정!$B$57,IF(AND(설정!$A$58&lt;&gt;"",ISNUMBER(SEARCH(설정!$A$58,K293))),설정!$B$58,IF(AND(설정!$A$59&lt;&gt;"",ISNUMBER(SEARCH(설정!$A$59,K293))),설정!$B$59,IF(AND(설정!$A$60&lt;&gt;"",ISNUMBER(SEARCH(설정!$A$60,K293))),설정!$B$60,IF(AND(설정!$A$61&lt;&gt;"",ISNUMBER(SEARCH(설정!$A$61,K293))),설정!$B$61,IF(M293="","설계사","시공사"))))))))),"")</f>
        <v/>
      </c>
      <c r="V293">
        <f>SUBSTITUTE(SUBSTITUTE(SUBSTITUTE(SUBSTITUTE(G293,"(주)",""),"㈜",""),"주식회사","")," ","")</f>
        <v/>
      </c>
      <c r="W293">
        <f>IF(AND(T293,V293&lt;&gt;""),IF(COUNTIFS(V$2:V293,V293,T$2:T293,TRUE)=1,MAX(W$1:W292)+1,""),"")</f>
        <v/>
      </c>
      <c r="X293">
        <f>IF(설정!$C$14="","",IFERROR(INDEX('1.산군_붙여넣기'!$A$1:$AZ$1001,ROW(),설정!$C$14)&amp;"",""))</f>
        <v/>
      </c>
      <c r="Y293">
        <f>IF(설정!$C$15="","",IFERROR(INDEX('1.산군_붙여넣기'!$A$1:$AZ$1001,ROW(),설정!$C$15)&amp;"",""))</f>
        <v/>
      </c>
      <c r="Z293">
        <f>IF(T293,V293&amp;"|"&amp;U293,"")</f>
        <v/>
      </c>
      <c r="AA293">
        <f>IF(NOT(Q293),"",IF(NOT(AND(R293,S293)),"✕",IF(OR(OR(AND(L293&lt;&gt;"",M293&lt;&gt;"",N(M293)-N(L293)&gt;설정!$B$27),AND(L293&lt;&gt;"",M293="",설정!$B$24-N(L293)&gt;설정!$B$27)),AND(D293&lt;&gt;"",D293&lt;설정!$B$26)),"△","★")))</f>
        <v/>
      </c>
      <c r="AB293">
        <f>IF(NOT(T293),"",IF(U293="설계사",설정!$B$31,IF(U293="시공사",IF(OR(M293="",설정!$B$24-N(M293)&lt;=설정!$B$28*30.4),설정!$B$32,설정!$B$33),설정!$B$34))+IF(AA293="★",설정!$B$35,0))</f>
        <v/>
      </c>
      <c r="AC293">
        <f>SUBSTITUTE(SUBSTITUTE(SUBSTITUTE(SUBSTITUTE(H293,"(주)",""),"㈜",""),"주식회사","")," ","")</f>
        <v/>
      </c>
      <c r="AD293">
        <f>IF(AND(T293,AC293&lt;&gt;""),IF(COUNTIFS(AC$2:AC293,AC293,T$2:T293,TRUE)=1,MAX(AD$1:AD292)+1,""),"")</f>
        <v/>
      </c>
    </row>
    <row r="294">
      <c r="A294">
        <f>ROW()</f>
        <v/>
      </c>
      <c r="B294">
        <f>IF(설정!$C$4="","",IFERROR(INDEX('1.산군_붙여넣기'!$A$1:$AZ$1001,ROW(),설정!$C$4)&amp;"",""))</f>
        <v/>
      </c>
      <c r="C294">
        <f>IF(설정!$C$5="","",IFERROR(INDEX('1.산군_붙여넣기'!$A$1:$AZ$1001,ROW(),설정!$C$5)&amp;"",""))</f>
        <v/>
      </c>
      <c r="D294" s="5">
        <f>IFERROR(VALUE(SUBSTITUTE(SUBSTITUTE(SUBSTITUTE(IF(설정!$C$6="","",IFERROR(INDEX('1.산군_붙여넣기'!$A$1:$AZ$1001,ROW(),설정!$C$6)&amp;"","")),",",""),"㎡",""),"m2","")),"")</f>
        <v/>
      </c>
      <c r="E294">
        <f>IF(설정!$C$7="","",IFERROR(INDEX('1.산군_붙여넣기'!$A$1:$AZ$1001,ROW(),설정!$C$7)&amp;"",""))</f>
        <v/>
      </c>
      <c r="F294">
        <f>IF(설정!$C$8="","",IFERROR(INDEX('1.산군_붙여넣기'!$A$1:$AZ$1001,ROW(),설정!$C$8)&amp;"",""))</f>
        <v/>
      </c>
      <c r="G294">
        <f>IF(설정!$C$9="","",IFERROR(INDEX('1.산군_붙여넣기'!$A$1:$AZ$1001,ROW(),설정!$C$9)&amp;"",""))</f>
        <v/>
      </c>
      <c r="H294">
        <f>IF(설정!$C$10="","",IFERROR(INDEX('1.산군_붙여넣기'!$A$1:$AZ$1001,ROW(),설정!$C$10)&amp;"",""))</f>
        <v/>
      </c>
      <c r="I294">
        <f>IF(설정!$C$11="","",IFERROR(INDEX('1.산군_붙여넣기'!$A$1:$AZ$1001,ROW(),설정!$C$11)&amp;"",""))</f>
        <v/>
      </c>
      <c r="J294">
        <f>IF(설정!$C$12="","",IFERROR(INDEX('1.산군_붙여넣기'!$A$1:$AZ$1001,ROW(),설정!$C$12)&amp;"",""))</f>
        <v/>
      </c>
      <c r="K294">
        <f>IF(설정!$C$13="","",IFERROR(INDEX('1.산군_붙여넣기'!$A$1:$AZ$1001,ROW(),설정!$C$13)&amp;"",""))</f>
        <v/>
      </c>
      <c r="L294" s="7">
        <f>IF(X294="","",IF(AND(LEN(X294)=8,ISNUMBER(X294*1)),DATE(LEFT(X294,4),MID(X294,5,2),RIGHT(X294,2)),IFERROR(DATEVALUE(SUBSTITUTE(SUBSTITUTE(X294,".","-"),"/","-")),IFERROR(X294*1,""))))</f>
        <v/>
      </c>
      <c r="M294" s="7">
        <f>IF(Y294="","",IF(AND(LEN(Y294)=8,ISNUMBER(Y294*1)),DATE(LEFT(Y294,4),MID(Y294,5,2),RIGHT(Y294,2)),IFERROR(DATEVALUE(SUBSTITUTE(SUBSTITUTE(Y294,".","-"),"/","-")),IFERROR(Y294*1,""))))</f>
        <v/>
      </c>
      <c r="N294">
        <f>IFERROR(LEFT(B294,FIND(" ",B294)-1),B294)</f>
        <v/>
      </c>
      <c r="O294">
        <f>AND(B294&lt;&gt;"",B294&lt;&gt;설정!$B$4,C294&lt;&gt;설정!$B$5)</f>
        <v/>
      </c>
      <c r="P294">
        <f>IF(O294,B294&amp;"|"&amp;C294,"")</f>
        <v/>
      </c>
      <c r="Q294">
        <f>AND(O294,COUNTIF(P295:P$1002,P294)=0)</f>
        <v/>
      </c>
      <c r="R294">
        <f>OR(AND(설정!$A$42&lt;&gt;"",ISNUMBER(SEARCH(설정!$A$42,E294&amp;" "&amp;C294))),AND(설정!$A$43&lt;&gt;"",ISNUMBER(SEARCH(설정!$A$43,E294&amp;" "&amp;C294))),AND(설정!$A$44&lt;&gt;"",ISNUMBER(SEARCH(설정!$A$44,E294&amp;" "&amp;C294))),AND(설정!$A$45&lt;&gt;"",ISNUMBER(SEARCH(설정!$A$45,E294&amp;" "&amp;C294))),AND(설정!$A$46&lt;&gt;"",ISNUMBER(SEARCH(설정!$A$46,E294&amp;" "&amp;C294))),AND(설정!$A$47&lt;&gt;"",ISNUMBER(SEARCH(설정!$A$47,E294&amp;" "&amp;C294))),AND(설정!$A$48&lt;&gt;"",ISNUMBER(SEARCH(설정!$A$48,E294&amp;" "&amp;C294))),AND(설정!$A$49&lt;&gt;"",ISNUMBER(SEARCH(설정!$A$49,E294&amp;" "&amp;C294))),AND(설정!$A$50&lt;&gt;"",ISNUMBER(SEARCH(설정!$A$50,E294&amp;" "&amp;C294))),AND(설정!$A$51&lt;&gt;"",ISNUMBER(SEARCH(설정!$A$51,E294&amp;" "&amp;C294))))</f>
        <v/>
      </c>
      <c r="S294">
        <f>OR(D294="",D294&gt;=설정!$B$19)</f>
        <v/>
      </c>
      <c r="T294">
        <f>AND(Q294,R294,S294)</f>
        <v/>
      </c>
      <c r="U294">
        <f>IF(T294,IF(AND(설정!$A$54&lt;&gt;"",ISNUMBER(SEARCH(설정!$A$54,K294))),설정!$B$54,IF(AND(설정!$A$55&lt;&gt;"",ISNUMBER(SEARCH(설정!$A$55,K294))),설정!$B$55,IF(AND(설정!$A$56&lt;&gt;"",ISNUMBER(SEARCH(설정!$A$56,K294))),설정!$B$56,IF(AND(설정!$A$57&lt;&gt;"",ISNUMBER(SEARCH(설정!$A$57,K294))),설정!$B$57,IF(AND(설정!$A$58&lt;&gt;"",ISNUMBER(SEARCH(설정!$A$58,K294))),설정!$B$58,IF(AND(설정!$A$59&lt;&gt;"",ISNUMBER(SEARCH(설정!$A$59,K294))),설정!$B$59,IF(AND(설정!$A$60&lt;&gt;"",ISNUMBER(SEARCH(설정!$A$60,K294))),설정!$B$60,IF(AND(설정!$A$61&lt;&gt;"",ISNUMBER(SEARCH(설정!$A$61,K294))),설정!$B$61,IF(M294="","설계사","시공사"))))))))),"")</f>
        <v/>
      </c>
      <c r="V294">
        <f>SUBSTITUTE(SUBSTITUTE(SUBSTITUTE(SUBSTITUTE(G294,"(주)",""),"㈜",""),"주식회사","")," ","")</f>
        <v/>
      </c>
      <c r="W294">
        <f>IF(AND(T294,V294&lt;&gt;""),IF(COUNTIFS(V$2:V294,V294,T$2:T294,TRUE)=1,MAX(W$1:W293)+1,""),"")</f>
        <v/>
      </c>
      <c r="X294">
        <f>IF(설정!$C$14="","",IFERROR(INDEX('1.산군_붙여넣기'!$A$1:$AZ$1001,ROW(),설정!$C$14)&amp;"",""))</f>
        <v/>
      </c>
      <c r="Y294">
        <f>IF(설정!$C$15="","",IFERROR(INDEX('1.산군_붙여넣기'!$A$1:$AZ$1001,ROW(),설정!$C$15)&amp;"",""))</f>
        <v/>
      </c>
      <c r="Z294">
        <f>IF(T294,V294&amp;"|"&amp;U294,"")</f>
        <v/>
      </c>
      <c r="AA294">
        <f>IF(NOT(Q294),"",IF(NOT(AND(R294,S294)),"✕",IF(OR(OR(AND(L294&lt;&gt;"",M294&lt;&gt;"",N(M294)-N(L294)&gt;설정!$B$27),AND(L294&lt;&gt;"",M294="",설정!$B$24-N(L294)&gt;설정!$B$27)),AND(D294&lt;&gt;"",D294&lt;설정!$B$26)),"△","★")))</f>
        <v/>
      </c>
      <c r="AB294">
        <f>IF(NOT(T294),"",IF(U294="설계사",설정!$B$31,IF(U294="시공사",IF(OR(M294="",설정!$B$24-N(M294)&lt;=설정!$B$28*30.4),설정!$B$32,설정!$B$33),설정!$B$34))+IF(AA294="★",설정!$B$35,0))</f>
        <v/>
      </c>
      <c r="AC294">
        <f>SUBSTITUTE(SUBSTITUTE(SUBSTITUTE(SUBSTITUTE(H294,"(주)",""),"㈜",""),"주식회사","")," ","")</f>
        <v/>
      </c>
      <c r="AD294">
        <f>IF(AND(T294,AC294&lt;&gt;""),IF(COUNTIFS(AC$2:AC294,AC294,T$2:T294,TRUE)=1,MAX(AD$1:AD293)+1,""),"")</f>
        <v/>
      </c>
    </row>
    <row r="295">
      <c r="A295">
        <f>ROW()</f>
        <v/>
      </c>
      <c r="B295">
        <f>IF(설정!$C$4="","",IFERROR(INDEX('1.산군_붙여넣기'!$A$1:$AZ$1001,ROW(),설정!$C$4)&amp;"",""))</f>
        <v/>
      </c>
      <c r="C295">
        <f>IF(설정!$C$5="","",IFERROR(INDEX('1.산군_붙여넣기'!$A$1:$AZ$1001,ROW(),설정!$C$5)&amp;"",""))</f>
        <v/>
      </c>
      <c r="D295" s="5">
        <f>IFERROR(VALUE(SUBSTITUTE(SUBSTITUTE(SUBSTITUTE(IF(설정!$C$6="","",IFERROR(INDEX('1.산군_붙여넣기'!$A$1:$AZ$1001,ROW(),설정!$C$6)&amp;"","")),",",""),"㎡",""),"m2","")),"")</f>
        <v/>
      </c>
      <c r="E295">
        <f>IF(설정!$C$7="","",IFERROR(INDEX('1.산군_붙여넣기'!$A$1:$AZ$1001,ROW(),설정!$C$7)&amp;"",""))</f>
        <v/>
      </c>
      <c r="F295">
        <f>IF(설정!$C$8="","",IFERROR(INDEX('1.산군_붙여넣기'!$A$1:$AZ$1001,ROW(),설정!$C$8)&amp;"",""))</f>
        <v/>
      </c>
      <c r="G295">
        <f>IF(설정!$C$9="","",IFERROR(INDEX('1.산군_붙여넣기'!$A$1:$AZ$1001,ROW(),설정!$C$9)&amp;"",""))</f>
        <v/>
      </c>
      <c r="H295">
        <f>IF(설정!$C$10="","",IFERROR(INDEX('1.산군_붙여넣기'!$A$1:$AZ$1001,ROW(),설정!$C$10)&amp;"",""))</f>
        <v/>
      </c>
      <c r="I295">
        <f>IF(설정!$C$11="","",IFERROR(INDEX('1.산군_붙여넣기'!$A$1:$AZ$1001,ROW(),설정!$C$11)&amp;"",""))</f>
        <v/>
      </c>
      <c r="J295">
        <f>IF(설정!$C$12="","",IFERROR(INDEX('1.산군_붙여넣기'!$A$1:$AZ$1001,ROW(),설정!$C$12)&amp;"",""))</f>
        <v/>
      </c>
      <c r="K295">
        <f>IF(설정!$C$13="","",IFERROR(INDEX('1.산군_붙여넣기'!$A$1:$AZ$1001,ROW(),설정!$C$13)&amp;"",""))</f>
        <v/>
      </c>
      <c r="L295" s="7">
        <f>IF(X295="","",IF(AND(LEN(X295)=8,ISNUMBER(X295*1)),DATE(LEFT(X295,4),MID(X295,5,2),RIGHT(X295,2)),IFERROR(DATEVALUE(SUBSTITUTE(SUBSTITUTE(X295,".","-"),"/","-")),IFERROR(X295*1,""))))</f>
        <v/>
      </c>
      <c r="M295" s="7">
        <f>IF(Y295="","",IF(AND(LEN(Y295)=8,ISNUMBER(Y295*1)),DATE(LEFT(Y295,4),MID(Y295,5,2),RIGHT(Y295,2)),IFERROR(DATEVALUE(SUBSTITUTE(SUBSTITUTE(Y295,".","-"),"/","-")),IFERROR(Y295*1,""))))</f>
        <v/>
      </c>
      <c r="N295">
        <f>IFERROR(LEFT(B295,FIND(" ",B295)-1),B295)</f>
        <v/>
      </c>
      <c r="O295">
        <f>AND(B295&lt;&gt;"",B295&lt;&gt;설정!$B$4,C295&lt;&gt;설정!$B$5)</f>
        <v/>
      </c>
      <c r="P295">
        <f>IF(O295,B295&amp;"|"&amp;C295,"")</f>
        <v/>
      </c>
      <c r="Q295">
        <f>AND(O295,COUNTIF(P296:P$1002,P295)=0)</f>
        <v/>
      </c>
      <c r="R295">
        <f>OR(AND(설정!$A$42&lt;&gt;"",ISNUMBER(SEARCH(설정!$A$42,E295&amp;" "&amp;C295))),AND(설정!$A$43&lt;&gt;"",ISNUMBER(SEARCH(설정!$A$43,E295&amp;" "&amp;C295))),AND(설정!$A$44&lt;&gt;"",ISNUMBER(SEARCH(설정!$A$44,E295&amp;" "&amp;C295))),AND(설정!$A$45&lt;&gt;"",ISNUMBER(SEARCH(설정!$A$45,E295&amp;" "&amp;C295))),AND(설정!$A$46&lt;&gt;"",ISNUMBER(SEARCH(설정!$A$46,E295&amp;" "&amp;C295))),AND(설정!$A$47&lt;&gt;"",ISNUMBER(SEARCH(설정!$A$47,E295&amp;" "&amp;C295))),AND(설정!$A$48&lt;&gt;"",ISNUMBER(SEARCH(설정!$A$48,E295&amp;" "&amp;C295))),AND(설정!$A$49&lt;&gt;"",ISNUMBER(SEARCH(설정!$A$49,E295&amp;" "&amp;C295))),AND(설정!$A$50&lt;&gt;"",ISNUMBER(SEARCH(설정!$A$50,E295&amp;" "&amp;C295))),AND(설정!$A$51&lt;&gt;"",ISNUMBER(SEARCH(설정!$A$51,E295&amp;" "&amp;C295))))</f>
        <v/>
      </c>
      <c r="S295">
        <f>OR(D295="",D295&gt;=설정!$B$19)</f>
        <v/>
      </c>
      <c r="T295">
        <f>AND(Q295,R295,S295)</f>
        <v/>
      </c>
      <c r="U295">
        <f>IF(T295,IF(AND(설정!$A$54&lt;&gt;"",ISNUMBER(SEARCH(설정!$A$54,K295))),설정!$B$54,IF(AND(설정!$A$55&lt;&gt;"",ISNUMBER(SEARCH(설정!$A$55,K295))),설정!$B$55,IF(AND(설정!$A$56&lt;&gt;"",ISNUMBER(SEARCH(설정!$A$56,K295))),설정!$B$56,IF(AND(설정!$A$57&lt;&gt;"",ISNUMBER(SEARCH(설정!$A$57,K295))),설정!$B$57,IF(AND(설정!$A$58&lt;&gt;"",ISNUMBER(SEARCH(설정!$A$58,K295))),설정!$B$58,IF(AND(설정!$A$59&lt;&gt;"",ISNUMBER(SEARCH(설정!$A$59,K295))),설정!$B$59,IF(AND(설정!$A$60&lt;&gt;"",ISNUMBER(SEARCH(설정!$A$60,K295))),설정!$B$60,IF(AND(설정!$A$61&lt;&gt;"",ISNUMBER(SEARCH(설정!$A$61,K295))),설정!$B$61,IF(M295="","설계사","시공사"))))))))),"")</f>
        <v/>
      </c>
      <c r="V295">
        <f>SUBSTITUTE(SUBSTITUTE(SUBSTITUTE(SUBSTITUTE(G295,"(주)",""),"㈜",""),"주식회사","")," ","")</f>
        <v/>
      </c>
      <c r="W295">
        <f>IF(AND(T295,V295&lt;&gt;""),IF(COUNTIFS(V$2:V295,V295,T$2:T295,TRUE)=1,MAX(W$1:W294)+1,""),"")</f>
        <v/>
      </c>
      <c r="X295">
        <f>IF(설정!$C$14="","",IFERROR(INDEX('1.산군_붙여넣기'!$A$1:$AZ$1001,ROW(),설정!$C$14)&amp;"",""))</f>
        <v/>
      </c>
      <c r="Y295">
        <f>IF(설정!$C$15="","",IFERROR(INDEX('1.산군_붙여넣기'!$A$1:$AZ$1001,ROW(),설정!$C$15)&amp;"",""))</f>
        <v/>
      </c>
      <c r="Z295">
        <f>IF(T295,V295&amp;"|"&amp;U295,"")</f>
        <v/>
      </c>
      <c r="AA295">
        <f>IF(NOT(Q295),"",IF(NOT(AND(R295,S295)),"✕",IF(OR(OR(AND(L295&lt;&gt;"",M295&lt;&gt;"",N(M295)-N(L295)&gt;설정!$B$27),AND(L295&lt;&gt;"",M295="",설정!$B$24-N(L295)&gt;설정!$B$27)),AND(D295&lt;&gt;"",D295&lt;설정!$B$26)),"△","★")))</f>
        <v/>
      </c>
      <c r="AB295">
        <f>IF(NOT(T295),"",IF(U295="설계사",설정!$B$31,IF(U295="시공사",IF(OR(M295="",설정!$B$24-N(M295)&lt;=설정!$B$28*30.4),설정!$B$32,설정!$B$33),설정!$B$34))+IF(AA295="★",설정!$B$35,0))</f>
        <v/>
      </c>
      <c r="AC295">
        <f>SUBSTITUTE(SUBSTITUTE(SUBSTITUTE(SUBSTITUTE(H295,"(주)",""),"㈜",""),"주식회사","")," ","")</f>
        <v/>
      </c>
      <c r="AD295">
        <f>IF(AND(T295,AC295&lt;&gt;""),IF(COUNTIFS(AC$2:AC295,AC295,T$2:T295,TRUE)=1,MAX(AD$1:AD294)+1,""),"")</f>
        <v/>
      </c>
    </row>
    <row r="296">
      <c r="A296">
        <f>ROW()</f>
        <v/>
      </c>
      <c r="B296">
        <f>IF(설정!$C$4="","",IFERROR(INDEX('1.산군_붙여넣기'!$A$1:$AZ$1001,ROW(),설정!$C$4)&amp;"",""))</f>
        <v/>
      </c>
      <c r="C296">
        <f>IF(설정!$C$5="","",IFERROR(INDEX('1.산군_붙여넣기'!$A$1:$AZ$1001,ROW(),설정!$C$5)&amp;"",""))</f>
        <v/>
      </c>
      <c r="D296" s="5">
        <f>IFERROR(VALUE(SUBSTITUTE(SUBSTITUTE(SUBSTITUTE(IF(설정!$C$6="","",IFERROR(INDEX('1.산군_붙여넣기'!$A$1:$AZ$1001,ROW(),설정!$C$6)&amp;"","")),",",""),"㎡",""),"m2","")),"")</f>
        <v/>
      </c>
      <c r="E296">
        <f>IF(설정!$C$7="","",IFERROR(INDEX('1.산군_붙여넣기'!$A$1:$AZ$1001,ROW(),설정!$C$7)&amp;"",""))</f>
        <v/>
      </c>
      <c r="F296">
        <f>IF(설정!$C$8="","",IFERROR(INDEX('1.산군_붙여넣기'!$A$1:$AZ$1001,ROW(),설정!$C$8)&amp;"",""))</f>
        <v/>
      </c>
      <c r="G296">
        <f>IF(설정!$C$9="","",IFERROR(INDEX('1.산군_붙여넣기'!$A$1:$AZ$1001,ROW(),설정!$C$9)&amp;"",""))</f>
        <v/>
      </c>
      <c r="H296">
        <f>IF(설정!$C$10="","",IFERROR(INDEX('1.산군_붙여넣기'!$A$1:$AZ$1001,ROW(),설정!$C$10)&amp;"",""))</f>
        <v/>
      </c>
      <c r="I296">
        <f>IF(설정!$C$11="","",IFERROR(INDEX('1.산군_붙여넣기'!$A$1:$AZ$1001,ROW(),설정!$C$11)&amp;"",""))</f>
        <v/>
      </c>
      <c r="J296">
        <f>IF(설정!$C$12="","",IFERROR(INDEX('1.산군_붙여넣기'!$A$1:$AZ$1001,ROW(),설정!$C$12)&amp;"",""))</f>
        <v/>
      </c>
      <c r="K296">
        <f>IF(설정!$C$13="","",IFERROR(INDEX('1.산군_붙여넣기'!$A$1:$AZ$1001,ROW(),설정!$C$13)&amp;"",""))</f>
        <v/>
      </c>
      <c r="L296" s="7">
        <f>IF(X296="","",IF(AND(LEN(X296)=8,ISNUMBER(X296*1)),DATE(LEFT(X296,4),MID(X296,5,2),RIGHT(X296,2)),IFERROR(DATEVALUE(SUBSTITUTE(SUBSTITUTE(X296,".","-"),"/","-")),IFERROR(X296*1,""))))</f>
        <v/>
      </c>
      <c r="M296" s="7">
        <f>IF(Y296="","",IF(AND(LEN(Y296)=8,ISNUMBER(Y296*1)),DATE(LEFT(Y296,4),MID(Y296,5,2),RIGHT(Y296,2)),IFERROR(DATEVALUE(SUBSTITUTE(SUBSTITUTE(Y296,".","-"),"/","-")),IFERROR(Y296*1,""))))</f>
        <v/>
      </c>
      <c r="N296">
        <f>IFERROR(LEFT(B296,FIND(" ",B296)-1),B296)</f>
        <v/>
      </c>
      <c r="O296">
        <f>AND(B296&lt;&gt;"",B296&lt;&gt;설정!$B$4,C296&lt;&gt;설정!$B$5)</f>
        <v/>
      </c>
      <c r="P296">
        <f>IF(O296,B296&amp;"|"&amp;C296,"")</f>
        <v/>
      </c>
      <c r="Q296">
        <f>AND(O296,COUNTIF(P297:P$1002,P296)=0)</f>
        <v/>
      </c>
      <c r="R296">
        <f>OR(AND(설정!$A$42&lt;&gt;"",ISNUMBER(SEARCH(설정!$A$42,E296&amp;" "&amp;C296))),AND(설정!$A$43&lt;&gt;"",ISNUMBER(SEARCH(설정!$A$43,E296&amp;" "&amp;C296))),AND(설정!$A$44&lt;&gt;"",ISNUMBER(SEARCH(설정!$A$44,E296&amp;" "&amp;C296))),AND(설정!$A$45&lt;&gt;"",ISNUMBER(SEARCH(설정!$A$45,E296&amp;" "&amp;C296))),AND(설정!$A$46&lt;&gt;"",ISNUMBER(SEARCH(설정!$A$46,E296&amp;" "&amp;C296))),AND(설정!$A$47&lt;&gt;"",ISNUMBER(SEARCH(설정!$A$47,E296&amp;" "&amp;C296))),AND(설정!$A$48&lt;&gt;"",ISNUMBER(SEARCH(설정!$A$48,E296&amp;" "&amp;C296))),AND(설정!$A$49&lt;&gt;"",ISNUMBER(SEARCH(설정!$A$49,E296&amp;" "&amp;C296))),AND(설정!$A$50&lt;&gt;"",ISNUMBER(SEARCH(설정!$A$50,E296&amp;" "&amp;C296))),AND(설정!$A$51&lt;&gt;"",ISNUMBER(SEARCH(설정!$A$51,E296&amp;" "&amp;C296))))</f>
        <v/>
      </c>
      <c r="S296">
        <f>OR(D296="",D296&gt;=설정!$B$19)</f>
        <v/>
      </c>
      <c r="T296">
        <f>AND(Q296,R296,S296)</f>
        <v/>
      </c>
      <c r="U296">
        <f>IF(T296,IF(AND(설정!$A$54&lt;&gt;"",ISNUMBER(SEARCH(설정!$A$54,K296))),설정!$B$54,IF(AND(설정!$A$55&lt;&gt;"",ISNUMBER(SEARCH(설정!$A$55,K296))),설정!$B$55,IF(AND(설정!$A$56&lt;&gt;"",ISNUMBER(SEARCH(설정!$A$56,K296))),설정!$B$56,IF(AND(설정!$A$57&lt;&gt;"",ISNUMBER(SEARCH(설정!$A$57,K296))),설정!$B$57,IF(AND(설정!$A$58&lt;&gt;"",ISNUMBER(SEARCH(설정!$A$58,K296))),설정!$B$58,IF(AND(설정!$A$59&lt;&gt;"",ISNUMBER(SEARCH(설정!$A$59,K296))),설정!$B$59,IF(AND(설정!$A$60&lt;&gt;"",ISNUMBER(SEARCH(설정!$A$60,K296))),설정!$B$60,IF(AND(설정!$A$61&lt;&gt;"",ISNUMBER(SEARCH(설정!$A$61,K296))),설정!$B$61,IF(M296="","설계사","시공사"))))))))),"")</f>
        <v/>
      </c>
      <c r="V296">
        <f>SUBSTITUTE(SUBSTITUTE(SUBSTITUTE(SUBSTITUTE(G296,"(주)",""),"㈜",""),"주식회사","")," ","")</f>
        <v/>
      </c>
      <c r="W296">
        <f>IF(AND(T296,V296&lt;&gt;""),IF(COUNTIFS(V$2:V296,V296,T$2:T296,TRUE)=1,MAX(W$1:W295)+1,""),"")</f>
        <v/>
      </c>
      <c r="X296">
        <f>IF(설정!$C$14="","",IFERROR(INDEX('1.산군_붙여넣기'!$A$1:$AZ$1001,ROW(),설정!$C$14)&amp;"",""))</f>
        <v/>
      </c>
      <c r="Y296">
        <f>IF(설정!$C$15="","",IFERROR(INDEX('1.산군_붙여넣기'!$A$1:$AZ$1001,ROW(),설정!$C$15)&amp;"",""))</f>
        <v/>
      </c>
      <c r="Z296">
        <f>IF(T296,V296&amp;"|"&amp;U296,"")</f>
        <v/>
      </c>
      <c r="AA296">
        <f>IF(NOT(Q296),"",IF(NOT(AND(R296,S296)),"✕",IF(OR(OR(AND(L296&lt;&gt;"",M296&lt;&gt;"",N(M296)-N(L296)&gt;설정!$B$27),AND(L296&lt;&gt;"",M296="",설정!$B$24-N(L296)&gt;설정!$B$27)),AND(D296&lt;&gt;"",D296&lt;설정!$B$26)),"△","★")))</f>
        <v/>
      </c>
      <c r="AB296">
        <f>IF(NOT(T296),"",IF(U296="설계사",설정!$B$31,IF(U296="시공사",IF(OR(M296="",설정!$B$24-N(M296)&lt;=설정!$B$28*30.4),설정!$B$32,설정!$B$33),설정!$B$34))+IF(AA296="★",설정!$B$35,0))</f>
        <v/>
      </c>
      <c r="AC296">
        <f>SUBSTITUTE(SUBSTITUTE(SUBSTITUTE(SUBSTITUTE(H296,"(주)",""),"㈜",""),"주식회사","")," ","")</f>
        <v/>
      </c>
      <c r="AD296">
        <f>IF(AND(T296,AC296&lt;&gt;""),IF(COUNTIFS(AC$2:AC296,AC296,T$2:T296,TRUE)=1,MAX(AD$1:AD295)+1,""),"")</f>
        <v/>
      </c>
    </row>
    <row r="297">
      <c r="A297">
        <f>ROW()</f>
        <v/>
      </c>
      <c r="B297">
        <f>IF(설정!$C$4="","",IFERROR(INDEX('1.산군_붙여넣기'!$A$1:$AZ$1001,ROW(),설정!$C$4)&amp;"",""))</f>
        <v/>
      </c>
      <c r="C297">
        <f>IF(설정!$C$5="","",IFERROR(INDEX('1.산군_붙여넣기'!$A$1:$AZ$1001,ROW(),설정!$C$5)&amp;"",""))</f>
        <v/>
      </c>
      <c r="D297" s="5">
        <f>IFERROR(VALUE(SUBSTITUTE(SUBSTITUTE(SUBSTITUTE(IF(설정!$C$6="","",IFERROR(INDEX('1.산군_붙여넣기'!$A$1:$AZ$1001,ROW(),설정!$C$6)&amp;"","")),",",""),"㎡",""),"m2","")),"")</f>
        <v/>
      </c>
      <c r="E297">
        <f>IF(설정!$C$7="","",IFERROR(INDEX('1.산군_붙여넣기'!$A$1:$AZ$1001,ROW(),설정!$C$7)&amp;"",""))</f>
        <v/>
      </c>
      <c r="F297">
        <f>IF(설정!$C$8="","",IFERROR(INDEX('1.산군_붙여넣기'!$A$1:$AZ$1001,ROW(),설정!$C$8)&amp;"",""))</f>
        <v/>
      </c>
      <c r="G297">
        <f>IF(설정!$C$9="","",IFERROR(INDEX('1.산군_붙여넣기'!$A$1:$AZ$1001,ROW(),설정!$C$9)&amp;"",""))</f>
        <v/>
      </c>
      <c r="H297">
        <f>IF(설정!$C$10="","",IFERROR(INDEX('1.산군_붙여넣기'!$A$1:$AZ$1001,ROW(),설정!$C$10)&amp;"",""))</f>
        <v/>
      </c>
      <c r="I297">
        <f>IF(설정!$C$11="","",IFERROR(INDEX('1.산군_붙여넣기'!$A$1:$AZ$1001,ROW(),설정!$C$11)&amp;"",""))</f>
        <v/>
      </c>
      <c r="J297">
        <f>IF(설정!$C$12="","",IFERROR(INDEX('1.산군_붙여넣기'!$A$1:$AZ$1001,ROW(),설정!$C$12)&amp;"",""))</f>
        <v/>
      </c>
      <c r="K297">
        <f>IF(설정!$C$13="","",IFERROR(INDEX('1.산군_붙여넣기'!$A$1:$AZ$1001,ROW(),설정!$C$13)&amp;"",""))</f>
        <v/>
      </c>
      <c r="L297" s="7">
        <f>IF(X297="","",IF(AND(LEN(X297)=8,ISNUMBER(X297*1)),DATE(LEFT(X297,4),MID(X297,5,2),RIGHT(X297,2)),IFERROR(DATEVALUE(SUBSTITUTE(SUBSTITUTE(X297,".","-"),"/","-")),IFERROR(X297*1,""))))</f>
        <v/>
      </c>
      <c r="M297" s="7">
        <f>IF(Y297="","",IF(AND(LEN(Y297)=8,ISNUMBER(Y297*1)),DATE(LEFT(Y297,4),MID(Y297,5,2),RIGHT(Y297,2)),IFERROR(DATEVALUE(SUBSTITUTE(SUBSTITUTE(Y297,".","-"),"/","-")),IFERROR(Y297*1,""))))</f>
        <v/>
      </c>
      <c r="N297">
        <f>IFERROR(LEFT(B297,FIND(" ",B297)-1),B297)</f>
        <v/>
      </c>
      <c r="O297">
        <f>AND(B297&lt;&gt;"",B297&lt;&gt;설정!$B$4,C297&lt;&gt;설정!$B$5)</f>
        <v/>
      </c>
      <c r="P297">
        <f>IF(O297,B297&amp;"|"&amp;C297,"")</f>
        <v/>
      </c>
      <c r="Q297">
        <f>AND(O297,COUNTIF(P298:P$1002,P297)=0)</f>
        <v/>
      </c>
      <c r="R297">
        <f>OR(AND(설정!$A$42&lt;&gt;"",ISNUMBER(SEARCH(설정!$A$42,E297&amp;" "&amp;C297))),AND(설정!$A$43&lt;&gt;"",ISNUMBER(SEARCH(설정!$A$43,E297&amp;" "&amp;C297))),AND(설정!$A$44&lt;&gt;"",ISNUMBER(SEARCH(설정!$A$44,E297&amp;" "&amp;C297))),AND(설정!$A$45&lt;&gt;"",ISNUMBER(SEARCH(설정!$A$45,E297&amp;" "&amp;C297))),AND(설정!$A$46&lt;&gt;"",ISNUMBER(SEARCH(설정!$A$46,E297&amp;" "&amp;C297))),AND(설정!$A$47&lt;&gt;"",ISNUMBER(SEARCH(설정!$A$47,E297&amp;" "&amp;C297))),AND(설정!$A$48&lt;&gt;"",ISNUMBER(SEARCH(설정!$A$48,E297&amp;" "&amp;C297))),AND(설정!$A$49&lt;&gt;"",ISNUMBER(SEARCH(설정!$A$49,E297&amp;" "&amp;C297))),AND(설정!$A$50&lt;&gt;"",ISNUMBER(SEARCH(설정!$A$50,E297&amp;" "&amp;C297))),AND(설정!$A$51&lt;&gt;"",ISNUMBER(SEARCH(설정!$A$51,E297&amp;" "&amp;C297))))</f>
        <v/>
      </c>
      <c r="S297">
        <f>OR(D297="",D297&gt;=설정!$B$19)</f>
        <v/>
      </c>
      <c r="T297">
        <f>AND(Q297,R297,S297)</f>
        <v/>
      </c>
      <c r="U297">
        <f>IF(T297,IF(AND(설정!$A$54&lt;&gt;"",ISNUMBER(SEARCH(설정!$A$54,K297))),설정!$B$54,IF(AND(설정!$A$55&lt;&gt;"",ISNUMBER(SEARCH(설정!$A$55,K297))),설정!$B$55,IF(AND(설정!$A$56&lt;&gt;"",ISNUMBER(SEARCH(설정!$A$56,K297))),설정!$B$56,IF(AND(설정!$A$57&lt;&gt;"",ISNUMBER(SEARCH(설정!$A$57,K297))),설정!$B$57,IF(AND(설정!$A$58&lt;&gt;"",ISNUMBER(SEARCH(설정!$A$58,K297))),설정!$B$58,IF(AND(설정!$A$59&lt;&gt;"",ISNUMBER(SEARCH(설정!$A$59,K297))),설정!$B$59,IF(AND(설정!$A$60&lt;&gt;"",ISNUMBER(SEARCH(설정!$A$60,K297))),설정!$B$60,IF(AND(설정!$A$61&lt;&gt;"",ISNUMBER(SEARCH(설정!$A$61,K297))),설정!$B$61,IF(M297="","설계사","시공사"))))))))),"")</f>
        <v/>
      </c>
      <c r="V297">
        <f>SUBSTITUTE(SUBSTITUTE(SUBSTITUTE(SUBSTITUTE(G297,"(주)",""),"㈜",""),"주식회사","")," ","")</f>
        <v/>
      </c>
      <c r="W297">
        <f>IF(AND(T297,V297&lt;&gt;""),IF(COUNTIFS(V$2:V297,V297,T$2:T297,TRUE)=1,MAX(W$1:W296)+1,""),"")</f>
        <v/>
      </c>
      <c r="X297">
        <f>IF(설정!$C$14="","",IFERROR(INDEX('1.산군_붙여넣기'!$A$1:$AZ$1001,ROW(),설정!$C$14)&amp;"",""))</f>
        <v/>
      </c>
      <c r="Y297">
        <f>IF(설정!$C$15="","",IFERROR(INDEX('1.산군_붙여넣기'!$A$1:$AZ$1001,ROW(),설정!$C$15)&amp;"",""))</f>
        <v/>
      </c>
      <c r="Z297">
        <f>IF(T297,V297&amp;"|"&amp;U297,"")</f>
        <v/>
      </c>
      <c r="AA297">
        <f>IF(NOT(Q297),"",IF(NOT(AND(R297,S297)),"✕",IF(OR(OR(AND(L297&lt;&gt;"",M297&lt;&gt;"",N(M297)-N(L297)&gt;설정!$B$27),AND(L297&lt;&gt;"",M297="",설정!$B$24-N(L297)&gt;설정!$B$27)),AND(D297&lt;&gt;"",D297&lt;설정!$B$26)),"△","★")))</f>
        <v/>
      </c>
      <c r="AB297">
        <f>IF(NOT(T297),"",IF(U297="설계사",설정!$B$31,IF(U297="시공사",IF(OR(M297="",설정!$B$24-N(M297)&lt;=설정!$B$28*30.4),설정!$B$32,설정!$B$33),설정!$B$34))+IF(AA297="★",설정!$B$35,0))</f>
        <v/>
      </c>
      <c r="AC297">
        <f>SUBSTITUTE(SUBSTITUTE(SUBSTITUTE(SUBSTITUTE(H297,"(주)",""),"㈜",""),"주식회사","")," ","")</f>
        <v/>
      </c>
      <c r="AD297">
        <f>IF(AND(T297,AC297&lt;&gt;""),IF(COUNTIFS(AC$2:AC297,AC297,T$2:T297,TRUE)=1,MAX(AD$1:AD296)+1,""),"")</f>
        <v/>
      </c>
    </row>
    <row r="298">
      <c r="A298">
        <f>ROW()</f>
        <v/>
      </c>
      <c r="B298">
        <f>IF(설정!$C$4="","",IFERROR(INDEX('1.산군_붙여넣기'!$A$1:$AZ$1001,ROW(),설정!$C$4)&amp;"",""))</f>
        <v/>
      </c>
      <c r="C298">
        <f>IF(설정!$C$5="","",IFERROR(INDEX('1.산군_붙여넣기'!$A$1:$AZ$1001,ROW(),설정!$C$5)&amp;"",""))</f>
        <v/>
      </c>
      <c r="D298" s="5">
        <f>IFERROR(VALUE(SUBSTITUTE(SUBSTITUTE(SUBSTITUTE(IF(설정!$C$6="","",IFERROR(INDEX('1.산군_붙여넣기'!$A$1:$AZ$1001,ROW(),설정!$C$6)&amp;"","")),",",""),"㎡",""),"m2","")),"")</f>
        <v/>
      </c>
      <c r="E298">
        <f>IF(설정!$C$7="","",IFERROR(INDEX('1.산군_붙여넣기'!$A$1:$AZ$1001,ROW(),설정!$C$7)&amp;"",""))</f>
        <v/>
      </c>
      <c r="F298">
        <f>IF(설정!$C$8="","",IFERROR(INDEX('1.산군_붙여넣기'!$A$1:$AZ$1001,ROW(),설정!$C$8)&amp;"",""))</f>
        <v/>
      </c>
      <c r="G298">
        <f>IF(설정!$C$9="","",IFERROR(INDEX('1.산군_붙여넣기'!$A$1:$AZ$1001,ROW(),설정!$C$9)&amp;"",""))</f>
        <v/>
      </c>
      <c r="H298">
        <f>IF(설정!$C$10="","",IFERROR(INDEX('1.산군_붙여넣기'!$A$1:$AZ$1001,ROW(),설정!$C$10)&amp;"",""))</f>
        <v/>
      </c>
      <c r="I298">
        <f>IF(설정!$C$11="","",IFERROR(INDEX('1.산군_붙여넣기'!$A$1:$AZ$1001,ROW(),설정!$C$11)&amp;"",""))</f>
        <v/>
      </c>
      <c r="J298">
        <f>IF(설정!$C$12="","",IFERROR(INDEX('1.산군_붙여넣기'!$A$1:$AZ$1001,ROW(),설정!$C$12)&amp;"",""))</f>
        <v/>
      </c>
      <c r="K298">
        <f>IF(설정!$C$13="","",IFERROR(INDEX('1.산군_붙여넣기'!$A$1:$AZ$1001,ROW(),설정!$C$13)&amp;"",""))</f>
        <v/>
      </c>
      <c r="L298" s="7">
        <f>IF(X298="","",IF(AND(LEN(X298)=8,ISNUMBER(X298*1)),DATE(LEFT(X298,4),MID(X298,5,2),RIGHT(X298,2)),IFERROR(DATEVALUE(SUBSTITUTE(SUBSTITUTE(X298,".","-"),"/","-")),IFERROR(X298*1,""))))</f>
        <v/>
      </c>
      <c r="M298" s="7">
        <f>IF(Y298="","",IF(AND(LEN(Y298)=8,ISNUMBER(Y298*1)),DATE(LEFT(Y298,4),MID(Y298,5,2),RIGHT(Y298,2)),IFERROR(DATEVALUE(SUBSTITUTE(SUBSTITUTE(Y298,".","-"),"/","-")),IFERROR(Y298*1,""))))</f>
        <v/>
      </c>
      <c r="N298">
        <f>IFERROR(LEFT(B298,FIND(" ",B298)-1),B298)</f>
        <v/>
      </c>
      <c r="O298">
        <f>AND(B298&lt;&gt;"",B298&lt;&gt;설정!$B$4,C298&lt;&gt;설정!$B$5)</f>
        <v/>
      </c>
      <c r="P298">
        <f>IF(O298,B298&amp;"|"&amp;C298,"")</f>
        <v/>
      </c>
      <c r="Q298">
        <f>AND(O298,COUNTIF(P299:P$1002,P298)=0)</f>
        <v/>
      </c>
      <c r="R298">
        <f>OR(AND(설정!$A$42&lt;&gt;"",ISNUMBER(SEARCH(설정!$A$42,E298&amp;" "&amp;C298))),AND(설정!$A$43&lt;&gt;"",ISNUMBER(SEARCH(설정!$A$43,E298&amp;" "&amp;C298))),AND(설정!$A$44&lt;&gt;"",ISNUMBER(SEARCH(설정!$A$44,E298&amp;" "&amp;C298))),AND(설정!$A$45&lt;&gt;"",ISNUMBER(SEARCH(설정!$A$45,E298&amp;" "&amp;C298))),AND(설정!$A$46&lt;&gt;"",ISNUMBER(SEARCH(설정!$A$46,E298&amp;" "&amp;C298))),AND(설정!$A$47&lt;&gt;"",ISNUMBER(SEARCH(설정!$A$47,E298&amp;" "&amp;C298))),AND(설정!$A$48&lt;&gt;"",ISNUMBER(SEARCH(설정!$A$48,E298&amp;" "&amp;C298))),AND(설정!$A$49&lt;&gt;"",ISNUMBER(SEARCH(설정!$A$49,E298&amp;" "&amp;C298))),AND(설정!$A$50&lt;&gt;"",ISNUMBER(SEARCH(설정!$A$50,E298&amp;" "&amp;C298))),AND(설정!$A$51&lt;&gt;"",ISNUMBER(SEARCH(설정!$A$51,E298&amp;" "&amp;C298))))</f>
        <v/>
      </c>
      <c r="S298">
        <f>OR(D298="",D298&gt;=설정!$B$19)</f>
        <v/>
      </c>
      <c r="T298">
        <f>AND(Q298,R298,S298)</f>
        <v/>
      </c>
      <c r="U298">
        <f>IF(T298,IF(AND(설정!$A$54&lt;&gt;"",ISNUMBER(SEARCH(설정!$A$54,K298))),설정!$B$54,IF(AND(설정!$A$55&lt;&gt;"",ISNUMBER(SEARCH(설정!$A$55,K298))),설정!$B$55,IF(AND(설정!$A$56&lt;&gt;"",ISNUMBER(SEARCH(설정!$A$56,K298))),설정!$B$56,IF(AND(설정!$A$57&lt;&gt;"",ISNUMBER(SEARCH(설정!$A$57,K298))),설정!$B$57,IF(AND(설정!$A$58&lt;&gt;"",ISNUMBER(SEARCH(설정!$A$58,K298))),설정!$B$58,IF(AND(설정!$A$59&lt;&gt;"",ISNUMBER(SEARCH(설정!$A$59,K298))),설정!$B$59,IF(AND(설정!$A$60&lt;&gt;"",ISNUMBER(SEARCH(설정!$A$60,K298))),설정!$B$60,IF(AND(설정!$A$61&lt;&gt;"",ISNUMBER(SEARCH(설정!$A$61,K298))),설정!$B$61,IF(M298="","설계사","시공사"))))))))),"")</f>
        <v/>
      </c>
      <c r="V298">
        <f>SUBSTITUTE(SUBSTITUTE(SUBSTITUTE(SUBSTITUTE(G298,"(주)",""),"㈜",""),"주식회사","")," ","")</f>
        <v/>
      </c>
      <c r="W298">
        <f>IF(AND(T298,V298&lt;&gt;""),IF(COUNTIFS(V$2:V298,V298,T$2:T298,TRUE)=1,MAX(W$1:W297)+1,""),"")</f>
        <v/>
      </c>
      <c r="X298">
        <f>IF(설정!$C$14="","",IFERROR(INDEX('1.산군_붙여넣기'!$A$1:$AZ$1001,ROW(),설정!$C$14)&amp;"",""))</f>
        <v/>
      </c>
      <c r="Y298">
        <f>IF(설정!$C$15="","",IFERROR(INDEX('1.산군_붙여넣기'!$A$1:$AZ$1001,ROW(),설정!$C$15)&amp;"",""))</f>
        <v/>
      </c>
      <c r="Z298">
        <f>IF(T298,V298&amp;"|"&amp;U298,"")</f>
        <v/>
      </c>
      <c r="AA298">
        <f>IF(NOT(Q298),"",IF(NOT(AND(R298,S298)),"✕",IF(OR(OR(AND(L298&lt;&gt;"",M298&lt;&gt;"",N(M298)-N(L298)&gt;설정!$B$27),AND(L298&lt;&gt;"",M298="",설정!$B$24-N(L298)&gt;설정!$B$27)),AND(D298&lt;&gt;"",D298&lt;설정!$B$26)),"△","★")))</f>
        <v/>
      </c>
      <c r="AB298">
        <f>IF(NOT(T298),"",IF(U298="설계사",설정!$B$31,IF(U298="시공사",IF(OR(M298="",설정!$B$24-N(M298)&lt;=설정!$B$28*30.4),설정!$B$32,설정!$B$33),설정!$B$34))+IF(AA298="★",설정!$B$35,0))</f>
        <v/>
      </c>
      <c r="AC298">
        <f>SUBSTITUTE(SUBSTITUTE(SUBSTITUTE(SUBSTITUTE(H298,"(주)",""),"㈜",""),"주식회사","")," ","")</f>
        <v/>
      </c>
      <c r="AD298">
        <f>IF(AND(T298,AC298&lt;&gt;""),IF(COUNTIFS(AC$2:AC298,AC298,T$2:T298,TRUE)=1,MAX(AD$1:AD297)+1,""),"")</f>
        <v/>
      </c>
    </row>
    <row r="299">
      <c r="A299">
        <f>ROW()</f>
        <v/>
      </c>
      <c r="B299">
        <f>IF(설정!$C$4="","",IFERROR(INDEX('1.산군_붙여넣기'!$A$1:$AZ$1001,ROW(),설정!$C$4)&amp;"",""))</f>
        <v/>
      </c>
      <c r="C299">
        <f>IF(설정!$C$5="","",IFERROR(INDEX('1.산군_붙여넣기'!$A$1:$AZ$1001,ROW(),설정!$C$5)&amp;"",""))</f>
        <v/>
      </c>
      <c r="D299" s="5">
        <f>IFERROR(VALUE(SUBSTITUTE(SUBSTITUTE(SUBSTITUTE(IF(설정!$C$6="","",IFERROR(INDEX('1.산군_붙여넣기'!$A$1:$AZ$1001,ROW(),설정!$C$6)&amp;"","")),",",""),"㎡",""),"m2","")),"")</f>
        <v/>
      </c>
      <c r="E299">
        <f>IF(설정!$C$7="","",IFERROR(INDEX('1.산군_붙여넣기'!$A$1:$AZ$1001,ROW(),설정!$C$7)&amp;"",""))</f>
        <v/>
      </c>
      <c r="F299">
        <f>IF(설정!$C$8="","",IFERROR(INDEX('1.산군_붙여넣기'!$A$1:$AZ$1001,ROW(),설정!$C$8)&amp;"",""))</f>
        <v/>
      </c>
      <c r="G299">
        <f>IF(설정!$C$9="","",IFERROR(INDEX('1.산군_붙여넣기'!$A$1:$AZ$1001,ROW(),설정!$C$9)&amp;"",""))</f>
        <v/>
      </c>
      <c r="H299">
        <f>IF(설정!$C$10="","",IFERROR(INDEX('1.산군_붙여넣기'!$A$1:$AZ$1001,ROW(),설정!$C$10)&amp;"",""))</f>
        <v/>
      </c>
      <c r="I299">
        <f>IF(설정!$C$11="","",IFERROR(INDEX('1.산군_붙여넣기'!$A$1:$AZ$1001,ROW(),설정!$C$11)&amp;"",""))</f>
        <v/>
      </c>
      <c r="J299">
        <f>IF(설정!$C$12="","",IFERROR(INDEX('1.산군_붙여넣기'!$A$1:$AZ$1001,ROW(),설정!$C$12)&amp;"",""))</f>
        <v/>
      </c>
      <c r="K299">
        <f>IF(설정!$C$13="","",IFERROR(INDEX('1.산군_붙여넣기'!$A$1:$AZ$1001,ROW(),설정!$C$13)&amp;"",""))</f>
        <v/>
      </c>
      <c r="L299" s="7">
        <f>IF(X299="","",IF(AND(LEN(X299)=8,ISNUMBER(X299*1)),DATE(LEFT(X299,4),MID(X299,5,2),RIGHT(X299,2)),IFERROR(DATEVALUE(SUBSTITUTE(SUBSTITUTE(X299,".","-"),"/","-")),IFERROR(X299*1,""))))</f>
        <v/>
      </c>
      <c r="M299" s="7">
        <f>IF(Y299="","",IF(AND(LEN(Y299)=8,ISNUMBER(Y299*1)),DATE(LEFT(Y299,4),MID(Y299,5,2),RIGHT(Y299,2)),IFERROR(DATEVALUE(SUBSTITUTE(SUBSTITUTE(Y299,".","-"),"/","-")),IFERROR(Y299*1,""))))</f>
        <v/>
      </c>
      <c r="N299">
        <f>IFERROR(LEFT(B299,FIND(" ",B299)-1),B299)</f>
        <v/>
      </c>
      <c r="O299">
        <f>AND(B299&lt;&gt;"",B299&lt;&gt;설정!$B$4,C299&lt;&gt;설정!$B$5)</f>
        <v/>
      </c>
      <c r="P299">
        <f>IF(O299,B299&amp;"|"&amp;C299,"")</f>
        <v/>
      </c>
      <c r="Q299">
        <f>AND(O299,COUNTIF(P300:P$1002,P299)=0)</f>
        <v/>
      </c>
      <c r="R299">
        <f>OR(AND(설정!$A$42&lt;&gt;"",ISNUMBER(SEARCH(설정!$A$42,E299&amp;" "&amp;C299))),AND(설정!$A$43&lt;&gt;"",ISNUMBER(SEARCH(설정!$A$43,E299&amp;" "&amp;C299))),AND(설정!$A$44&lt;&gt;"",ISNUMBER(SEARCH(설정!$A$44,E299&amp;" "&amp;C299))),AND(설정!$A$45&lt;&gt;"",ISNUMBER(SEARCH(설정!$A$45,E299&amp;" "&amp;C299))),AND(설정!$A$46&lt;&gt;"",ISNUMBER(SEARCH(설정!$A$46,E299&amp;" "&amp;C299))),AND(설정!$A$47&lt;&gt;"",ISNUMBER(SEARCH(설정!$A$47,E299&amp;" "&amp;C299))),AND(설정!$A$48&lt;&gt;"",ISNUMBER(SEARCH(설정!$A$48,E299&amp;" "&amp;C299))),AND(설정!$A$49&lt;&gt;"",ISNUMBER(SEARCH(설정!$A$49,E299&amp;" "&amp;C299))),AND(설정!$A$50&lt;&gt;"",ISNUMBER(SEARCH(설정!$A$50,E299&amp;" "&amp;C299))),AND(설정!$A$51&lt;&gt;"",ISNUMBER(SEARCH(설정!$A$51,E299&amp;" "&amp;C299))))</f>
        <v/>
      </c>
      <c r="S299">
        <f>OR(D299="",D299&gt;=설정!$B$19)</f>
        <v/>
      </c>
      <c r="T299">
        <f>AND(Q299,R299,S299)</f>
        <v/>
      </c>
      <c r="U299">
        <f>IF(T299,IF(AND(설정!$A$54&lt;&gt;"",ISNUMBER(SEARCH(설정!$A$54,K299))),설정!$B$54,IF(AND(설정!$A$55&lt;&gt;"",ISNUMBER(SEARCH(설정!$A$55,K299))),설정!$B$55,IF(AND(설정!$A$56&lt;&gt;"",ISNUMBER(SEARCH(설정!$A$56,K299))),설정!$B$56,IF(AND(설정!$A$57&lt;&gt;"",ISNUMBER(SEARCH(설정!$A$57,K299))),설정!$B$57,IF(AND(설정!$A$58&lt;&gt;"",ISNUMBER(SEARCH(설정!$A$58,K299))),설정!$B$58,IF(AND(설정!$A$59&lt;&gt;"",ISNUMBER(SEARCH(설정!$A$59,K299))),설정!$B$59,IF(AND(설정!$A$60&lt;&gt;"",ISNUMBER(SEARCH(설정!$A$60,K299))),설정!$B$60,IF(AND(설정!$A$61&lt;&gt;"",ISNUMBER(SEARCH(설정!$A$61,K299))),설정!$B$61,IF(M299="","설계사","시공사"))))))))),"")</f>
        <v/>
      </c>
      <c r="V299">
        <f>SUBSTITUTE(SUBSTITUTE(SUBSTITUTE(SUBSTITUTE(G299,"(주)",""),"㈜",""),"주식회사","")," ","")</f>
        <v/>
      </c>
      <c r="W299">
        <f>IF(AND(T299,V299&lt;&gt;""),IF(COUNTIFS(V$2:V299,V299,T$2:T299,TRUE)=1,MAX(W$1:W298)+1,""),"")</f>
        <v/>
      </c>
      <c r="X299">
        <f>IF(설정!$C$14="","",IFERROR(INDEX('1.산군_붙여넣기'!$A$1:$AZ$1001,ROW(),설정!$C$14)&amp;"",""))</f>
        <v/>
      </c>
      <c r="Y299">
        <f>IF(설정!$C$15="","",IFERROR(INDEX('1.산군_붙여넣기'!$A$1:$AZ$1001,ROW(),설정!$C$15)&amp;"",""))</f>
        <v/>
      </c>
      <c r="Z299">
        <f>IF(T299,V299&amp;"|"&amp;U299,"")</f>
        <v/>
      </c>
      <c r="AA299">
        <f>IF(NOT(Q299),"",IF(NOT(AND(R299,S299)),"✕",IF(OR(OR(AND(L299&lt;&gt;"",M299&lt;&gt;"",N(M299)-N(L299)&gt;설정!$B$27),AND(L299&lt;&gt;"",M299="",설정!$B$24-N(L299)&gt;설정!$B$27)),AND(D299&lt;&gt;"",D299&lt;설정!$B$26)),"△","★")))</f>
        <v/>
      </c>
      <c r="AB299">
        <f>IF(NOT(T299),"",IF(U299="설계사",설정!$B$31,IF(U299="시공사",IF(OR(M299="",설정!$B$24-N(M299)&lt;=설정!$B$28*30.4),설정!$B$32,설정!$B$33),설정!$B$34))+IF(AA299="★",설정!$B$35,0))</f>
        <v/>
      </c>
      <c r="AC299">
        <f>SUBSTITUTE(SUBSTITUTE(SUBSTITUTE(SUBSTITUTE(H299,"(주)",""),"㈜",""),"주식회사","")," ","")</f>
        <v/>
      </c>
      <c r="AD299">
        <f>IF(AND(T299,AC299&lt;&gt;""),IF(COUNTIFS(AC$2:AC299,AC299,T$2:T299,TRUE)=1,MAX(AD$1:AD298)+1,""),"")</f>
        <v/>
      </c>
    </row>
    <row r="300">
      <c r="A300">
        <f>ROW()</f>
        <v/>
      </c>
      <c r="B300">
        <f>IF(설정!$C$4="","",IFERROR(INDEX('1.산군_붙여넣기'!$A$1:$AZ$1001,ROW(),설정!$C$4)&amp;"",""))</f>
        <v/>
      </c>
      <c r="C300">
        <f>IF(설정!$C$5="","",IFERROR(INDEX('1.산군_붙여넣기'!$A$1:$AZ$1001,ROW(),설정!$C$5)&amp;"",""))</f>
        <v/>
      </c>
      <c r="D300" s="5">
        <f>IFERROR(VALUE(SUBSTITUTE(SUBSTITUTE(SUBSTITUTE(IF(설정!$C$6="","",IFERROR(INDEX('1.산군_붙여넣기'!$A$1:$AZ$1001,ROW(),설정!$C$6)&amp;"","")),",",""),"㎡",""),"m2","")),"")</f>
        <v/>
      </c>
      <c r="E300">
        <f>IF(설정!$C$7="","",IFERROR(INDEX('1.산군_붙여넣기'!$A$1:$AZ$1001,ROW(),설정!$C$7)&amp;"",""))</f>
        <v/>
      </c>
      <c r="F300">
        <f>IF(설정!$C$8="","",IFERROR(INDEX('1.산군_붙여넣기'!$A$1:$AZ$1001,ROW(),설정!$C$8)&amp;"",""))</f>
        <v/>
      </c>
      <c r="G300">
        <f>IF(설정!$C$9="","",IFERROR(INDEX('1.산군_붙여넣기'!$A$1:$AZ$1001,ROW(),설정!$C$9)&amp;"",""))</f>
        <v/>
      </c>
      <c r="H300">
        <f>IF(설정!$C$10="","",IFERROR(INDEX('1.산군_붙여넣기'!$A$1:$AZ$1001,ROW(),설정!$C$10)&amp;"",""))</f>
        <v/>
      </c>
      <c r="I300">
        <f>IF(설정!$C$11="","",IFERROR(INDEX('1.산군_붙여넣기'!$A$1:$AZ$1001,ROW(),설정!$C$11)&amp;"",""))</f>
        <v/>
      </c>
      <c r="J300">
        <f>IF(설정!$C$12="","",IFERROR(INDEX('1.산군_붙여넣기'!$A$1:$AZ$1001,ROW(),설정!$C$12)&amp;"",""))</f>
        <v/>
      </c>
      <c r="K300">
        <f>IF(설정!$C$13="","",IFERROR(INDEX('1.산군_붙여넣기'!$A$1:$AZ$1001,ROW(),설정!$C$13)&amp;"",""))</f>
        <v/>
      </c>
      <c r="L300" s="7">
        <f>IF(X300="","",IF(AND(LEN(X300)=8,ISNUMBER(X300*1)),DATE(LEFT(X300,4),MID(X300,5,2),RIGHT(X300,2)),IFERROR(DATEVALUE(SUBSTITUTE(SUBSTITUTE(X300,".","-"),"/","-")),IFERROR(X300*1,""))))</f>
        <v/>
      </c>
      <c r="M300" s="7">
        <f>IF(Y300="","",IF(AND(LEN(Y300)=8,ISNUMBER(Y300*1)),DATE(LEFT(Y300,4),MID(Y300,5,2),RIGHT(Y300,2)),IFERROR(DATEVALUE(SUBSTITUTE(SUBSTITUTE(Y300,".","-"),"/","-")),IFERROR(Y300*1,""))))</f>
        <v/>
      </c>
      <c r="N300">
        <f>IFERROR(LEFT(B300,FIND(" ",B300)-1),B300)</f>
        <v/>
      </c>
      <c r="O300">
        <f>AND(B300&lt;&gt;"",B300&lt;&gt;설정!$B$4,C300&lt;&gt;설정!$B$5)</f>
        <v/>
      </c>
      <c r="P300">
        <f>IF(O300,B300&amp;"|"&amp;C300,"")</f>
        <v/>
      </c>
      <c r="Q300">
        <f>AND(O300,COUNTIF(P301:P$1002,P300)=0)</f>
        <v/>
      </c>
      <c r="R300">
        <f>OR(AND(설정!$A$42&lt;&gt;"",ISNUMBER(SEARCH(설정!$A$42,E300&amp;" "&amp;C300))),AND(설정!$A$43&lt;&gt;"",ISNUMBER(SEARCH(설정!$A$43,E300&amp;" "&amp;C300))),AND(설정!$A$44&lt;&gt;"",ISNUMBER(SEARCH(설정!$A$44,E300&amp;" "&amp;C300))),AND(설정!$A$45&lt;&gt;"",ISNUMBER(SEARCH(설정!$A$45,E300&amp;" "&amp;C300))),AND(설정!$A$46&lt;&gt;"",ISNUMBER(SEARCH(설정!$A$46,E300&amp;" "&amp;C300))),AND(설정!$A$47&lt;&gt;"",ISNUMBER(SEARCH(설정!$A$47,E300&amp;" "&amp;C300))),AND(설정!$A$48&lt;&gt;"",ISNUMBER(SEARCH(설정!$A$48,E300&amp;" "&amp;C300))),AND(설정!$A$49&lt;&gt;"",ISNUMBER(SEARCH(설정!$A$49,E300&amp;" "&amp;C300))),AND(설정!$A$50&lt;&gt;"",ISNUMBER(SEARCH(설정!$A$50,E300&amp;" "&amp;C300))),AND(설정!$A$51&lt;&gt;"",ISNUMBER(SEARCH(설정!$A$51,E300&amp;" "&amp;C300))))</f>
        <v/>
      </c>
      <c r="S300">
        <f>OR(D300="",D300&gt;=설정!$B$19)</f>
        <v/>
      </c>
      <c r="T300">
        <f>AND(Q300,R300,S300)</f>
        <v/>
      </c>
      <c r="U300">
        <f>IF(T300,IF(AND(설정!$A$54&lt;&gt;"",ISNUMBER(SEARCH(설정!$A$54,K300))),설정!$B$54,IF(AND(설정!$A$55&lt;&gt;"",ISNUMBER(SEARCH(설정!$A$55,K300))),설정!$B$55,IF(AND(설정!$A$56&lt;&gt;"",ISNUMBER(SEARCH(설정!$A$56,K300))),설정!$B$56,IF(AND(설정!$A$57&lt;&gt;"",ISNUMBER(SEARCH(설정!$A$57,K300))),설정!$B$57,IF(AND(설정!$A$58&lt;&gt;"",ISNUMBER(SEARCH(설정!$A$58,K300))),설정!$B$58,IF(AND(설정!$A$59&lt;&gt;"",ISNUMBER(SEARCH(설정!$A$59,K300))),설정!$B$59,IF(AND(설정!$A$60&lt;&gt;"",ISNUMBER(SEARCH(설정!$A$60,K300))),설정!$B$60,IF(AND(설정!$A$61&lt;&gt;"",ISNUMBER(SEARCH(설정!$A$61,K300))),설정!$B$61,IF(M300="","설계사","시공사"))))))))),"")</f>
        <v/>
      </c>
      <c r="V300">
        <f>SUBSTITUTE(SUBSTITUTE(SUBSTITUTE(SUBSTITUTE(G300,"(주)",""),"㈜",""),"주식회사","")," ","")</f>
        <v/>
      </c>
      <c r="W300">
        <f>IF(AND(T300,V300&lt;&gt;""),IF(COUNTIFS(V$2:V300,V300,T$2:T300,TRUE)=1,MAX(W$1:W299)+1,""),"")</f>
        <v/>
      </c>
      <c r="X300">
        <f>IF(설정!$C$14="","",IFERROR(INDEX('1.산군_붙여넣기'!$A$1:$AZ$1001,ROW(),설정!$C$14)&amp;"",""))</f>
        <v/>
      </c>
      <c r="Y300">
        <f>IF(설정!$C$15="","",IFERROR(INDEX('1.산군_붙여넣기'!$A$1:$AZ$1001,ROW(),설정!$C$15)&amp;"",""))</f>
        <v/>
      </c>
      <c r="Z300">
        <f>IF(T300,V300&amp;"|"&amp;U300,"")</f>
        <v/>
      </c>
      <c r="AA300">
        <f>IF(NOT(Q300),"",IF(NOT(AND(R300,S300)),"✕",IF(OR(OR(AND(L300&lt;&gt;"",M300&lt;&gt;"",N(M300)-N(L300)&gt;설정!$B$27),AND(L300&lt;&gt;"",M300="",설정!$B$24-N(L300)&gt;설정!$B$27)),AND(D300&lt;&gt;"",D300&lt;설정!$B$26)),"△","★")))</f>
        <v/>
      </c>
      <c r="AB300">
        <f>IF(NOT(T300),"",IF(U300="설계사",설정!$B$31,IF(U300="시공사",IF(OR(M300="",설정!$B$24-N(M300)&lt;=설정!$B$28*30.4),설정!$B$32,설정!$B$33),설정!$B$34))+IF(AA300="★",설정!$B$35,0))</f>
        <v/>
      </c>
      <c r="AC300">
        <f>SUBSTITUTE(SUBSTITUTE(SUBSTITUTE(SUBSTITUTE(H300,"(주)",""),"㈜",""),"주식회사","")," ","")</f>
        <v/>
      </c>
      <c r="AD300">
        <f>IF(AND(T300,AC300&lt;&gt;""),IF(COUNTIFS(AC$2:AC300,AC300,T$2:T300,TRUE)=1,MAX(AD$1:AD299)+1,""),"")</f>
        <v/>
      </c>
    </row>
    <row r="301">
      <c r="A301">
        <f>ROW()</f>
        <v/>
      </c>
      <c r="B301">
        <f>IF(설정!$C$4="","",IFERROR(INDEX('1.산군_붙여넣기'!$A$1:$AZ$1001,ROW(),설정!$C$4)&amp;"",""))</f>
        <v/>
      </c>
      <c r="C301">
        <f>IF(설정!$C$5="","",IFERROR(INDEX('1.산군_붙여넣기'!$A$1:$AZ$1001,ROW(),설정!$C$5)&amp;"",""))</f>
        <v/>
      </c>
      <c r="D301" s="5">
        <f>IFERROR(VALUE(SUBSTITUTE(SUBSTITUTE(SUBSTITUTE(IF(설정!$C$6="","",IFERROR(INDEX('1.산군_붙여넣기'!$A$1:$AZ$1001,ROW(),설정!$C$6)&amp;"","")),",",""),"㎡",""),"m2","")),"")</f>
        <v/>
      </c>
      <c r="E301">
        <f>IF(설정!$C$7="","",IFERROR(INDEX('1.산군_붙여넣기'!$A$1:$AZ$1001,ROW(),설정!$C$7)&amp;"",""))</f>
        <v/>
      </c>
      <c r="F301">
        <f>IF(설정!$C$8="","",IFERROR(INDEX('1.산군_붙여넣기'!$A$1:$AZ$1001,ROW(),설정!$C$8)&amp;"",""))</f>
        <v/>
      </c>
      <c r="G301">
        <f>IF(설정!$C$9="","",IFERROR(INDEX('1.산군_붙여넣기'!$A$1:$AZ$1001,ROW(),설정!$C$9)&amp;"",""))</f>
        <v/>
      </c>
      <c r="H301">
        <f>IF(설정!$C$10="","",IFERROR(INDEX('1.산군_붙여넣기'!$A$1:$AZ$1001,ROW(),설정!$C$10)&amp;"",""))</f>
        <v/>
      </c>
      <c r="I301">
        <f>IF(설정!$C$11="","",IFERROR(INDEX('1.산군_붙여넣기'!$A$1:$AZ$1001,ROW(),설정!$C$11)&amp;"",""))</f>
        <v/>
      </c>
      <c r="J301">
        <f>IF(설정!$C$12="","",IFERROR(INDEX('1.산군_붙여넣기'!$A$1:$AZ$1001,ROW(),설정!$C$12)&amp;"",""))</f>
        <v/>
      </c>
      <c r="K301">
        <f>IF(설정!$C$13="","",IFERROR(INDEX('1.산군_붙여넣기'!$A$1:$AZ$1001,ROW(),설정!$C$13)&amp;"",""))</f>
        <v/>
      </c>
      <c r="L301" s="7">
        <f>IF(X301="","",IF(AND(LEN(X301)=8,ISNUMBER(X301*1)),DATE(LEFT(X301,4),MID(X301,5,2),RIGHT(X301,2)),IFERROR(DATEVALUE(SUBSTITUTE(SUBSTITUTE(X301,".","-"),"/","-")),IFERROR(X301*1,""))))</f>
        <v/>
      </c>
      <c r="M301" s="7">
        <f>IF(Y301="","",IF(AND(LEN(Y301)=8,ISNUMBER(Y301*1)),DATE(LEFT(Y301,4),MID(Y301,5,2),RIGHT(Y301,2)),IFERROR(DATEVALUE(SUBSTITUTE(SUBSTITUTE(Y301,".","-"),"/","-")),IFERROR(Y301*1,""))))</f>
        <v/>
      </c>
      <c r="N301">
        <f>IFERROR(LEFT(B301,FIND(" ",B301)-1),B301)</f>
        <v/>
      </c>
      <c r="O301">
        <f>AND(B301&lt;&gt;"",B301&lt;&gt;설정!$B$4,C301&lt;&gt;설정!$B$5)</f>
        <v/>
      </c>
      <c r="P301">
        <f>IF(O301,B301&amp;"|"&amp;C301,"")</f>
        <v/>
      </c>
      <c r="Q301">
        <f>AND(O301,COUNTIF(P302:P$1002,P301)=0)</f>
        <v/>
      </c>
      <c r="R301">
        <f>OR(AND(설정!$A$42&lt;&gt;"",ISNUMBER(SEARCH(설정!$A$42,E301&amp;" "&amp;C301))),AND(설정!$A$43&lt;&gt;"",ISNUMBER(SEARCH(설정!$A$43,E301&amp;" "&amp;C301))),AND(설정!$A$44&lt;&gt;"",ISNUMBER(SEARCH(설정!$A$44,E301&amp;" "&amp;C301))),AND(설정!$A$45&lt;&gt;"",ISNUMBER(SEARCH(설정!$A$45,E301&amp;" "&amp;C301))),AND(설정!$A$46&lt;&gt;"",ISNUMBER(SEARCH(설정!$A$46,E301&amp;" "&amp;C301))),AND(설정!$A$47&lt;&gt;"",ISNUMBER(SEARCH(설정!$A$47,E301&amp;" "&amp;C301))),AND(설정!$A$48&lt;&gt;"",ISNUMBER(SEARCH(설정!$A$48,E301&amp;" "&amp;C301))),AND(설정!$A$49&lt;&gt;"",ISNUMBER(SEARCH(설정!$A$49,E301&amp;" "&amp;C301))),AND(설정!$A$50&lt;&gt;"",ISNUMBER(SEARCH(설정!$A$50,E301&amp;" "&amp;C301))),AND(설정!$A$51&lt;&gt;"",ISNUMBER(SEARCH(설정!$A$51,E301&amp;" "&amp;C301))))</f>
        <v/>
      </c>
      <c r="S301">
        <f>OR(D301="",D301&gt;=설정!$B$19)</f>
        <v/>
      </c>
      <c r="T301">
        <f>AND(Q301,R301,S301)</f>
        <v/>
      </c>
      <c r="U301">
        <f>IF(T301,IF(AND(설정!$A$54&lt;&gt;"",ISNUMBER(SEARCH(설정!$A$54,K301))),설정!$B$54,IF(AND(설정!$A$55&lt;&gt;"",ISNUMBER(SEARCH(설정!$A$55,K301))),설정!$B$55,IF(AND(설정!$A$56&lt;&gt;"",ISNUMBER(SEARCH(설정!$A$56,K301))),설정!$B$56,IF(AND(설정!$A$57&lt;&gt;"",ISNUMBER(SEARCH(설정!$A$57,K301))),설정!$B$57,IF(AND(설정!$A$58&lt;&gt;"",ISNUMBER(SEARCH(설정!$A$58,K301))),설정!$B$58,IF(AND(설정!$A$59&lt;&gt;"",ISNUMBER(SEARCH(설정!$A$59,K301))),설정!$B$59,IF(AND(설정!$A$60&lt;&gt;"",ISNUMBER(SEARCH(설정!$A$60,K301))),설정!$B$60,IF(AND(설정!$A$61&lt;&gt;"",ISNUMBER(SEARCH(설정!$A$61,K301))),설정!$B$61,IF(M301="","설계사","시공사"))))))))),"")</f>
        <v/>
      </c>
      <c r="V301">
        <f>SUBSTITUTE(SUBSTITUTE(SUBSTITUTE(SUBSTITUTE(G301,"(주)",""),"㈜",""),"주식회사","")," ","")</f>
        <v/>
      </c>
      <c r="W301">
        <f>IF(AND(T301,V301&lt;&gt;""),IF(COUNTIFS(V$2:V301,V301,T$2:T301,TRUE)=1,MAX(W$1:W300)+1,""),"")</f>
        <v/>
      </c>
      <c r="X301">
        <f>IF(설정!$C$14="","",IFERROR(INDEX('1.산군_붙여넣기'!$A$1:$AZ$1001,ROW(),설정!$C$14)&amp;"",""))</f>
        <v/>
      </c>
      <c r="Y301">
        <f>IF(설정!$C$15="","",IFERROR(INDEX('1.산군_붙여넣기'!$A$1:$AZ$1001,ROW(),설정!$C$15)&amp;"",""))</f>
        <v/>
      </c>
      <c r="Z301">
        <f>IF(T301,V301&amp;"|"&amp;U301,"")</f>
        <v/>
      </c>
      <c r="AA301">
        <f>IF(NOT(Q301),"",IF(NOT(AND(R301,S301)),"✕",IF(OR(OR(AND(L301&lt;&gt;"",M301&lt;&gt;"",N(M301)-N(L301)&gt;설정!$B$27),AND(L301&lt;&gt;"",M301="",설정!$B$24-N(L301)&gt;설정!$B$27)),AND(D301&lt;&gt;"",D301&lt;설정!$B$26)),"△","★")))</f>
        <v/>
      </c>
      <c r="AB301">
        <f>IF(NOT(T301),"",IF(U301="설계사",설정!$B$31,IF(U301="시공사",IF(OR(M301="",설정!$B$24-N(M301)&lt;=설정!$B$28*30.4),설정!$B$32,설정!$B$33),설정!$B$34))+IF(AA301="★",설정!$B$35,0))</f>
        <v/>
      </c>
      <c r="AC301">
        <f>SUBSTITUTE(SUBSTITUTE(SUBSTITUTE(SUBSTITUTE(H301,"(주)",""),"㈜",""),"주식회사","")," ","")</f>
        <v/>
      </c>
      <c r="AD301">
        <f>IF(AND(T301,AC301&lt;&gt;""),IF(COUNTIFS(AC$2:AC301,AC301,T$2:T301,TRUE)=1,MAX(AD$1:AD300)+1,""),"")</f>
        <v/>
      </c>
    </row>
    <row r="302">
      <c r="A302">
        <f>ROW()</f>
        <v/>
      </c>
      <c r="B302">
        <f>IF(설정!$C$4="","",IFERROR(INDEX('1.산군_붙여넣기'!$A$1:$AZ$1001,ROW(),설정!$C$4)&amp;"",""))</f>
        <v/>
      </c>
      <c r="C302">
        <f>IF(설정!$C$5="","",IFERROR(INDEX('1.산군_붙여넣기'!$A$1:$AZ$1001,ROW(),설정!$C$5)&amp;"",""))</f>
        <v/>
      </c>
      <c r="D302" s="5">
        <f>IFERROR(VALUE(SUBSTITUTE(SUBSTITUTE(SUBSTITUTE(IF(설정!$C$6="","",IFERROR(INDEX('1.산군_붙여넣기'!$A$1:$AZ$1001,ROW(),설정!$C$6)&amp;"","")),",",""),"㎡",""),"m2","")),"")</f>
        <v/>
      </c>
      <c r="E302">
        <f>IF(설정!$C$7="","",IFERROR(INDEX('1.산군_붙여넣기'!$A$1:$AZ$1001,ROW(),설정!$C$7)&amp;"",""))</f>
        <v/>
      </c>
      <c r="F302">
        <f>IF(설정!$C$8="","",IFERROR(INDEX('1.산군_붙여넣기'!$A$1:$AZ$1001,ROW(),설정!$C$8)&amp;"",""))</f>
        <v/>
      </c>
      <c r="G302">
        <f>IF(설정!$C$9="","",IFERROR(INDEX('1.산군_붙여넣기'!$A$1:$AZ$1001,ROW(),설정!$C$9)&amp;"",""))</f>
        <v/>
      </c>
      <c r="H302">
        <f>IF(설정!$C$10="","",IFERROR(INDEX('1.산군_붙여넣기'!$A$1:$AZ$1001,ROW(),설정!$C$10)&amp;"",""))</f>
        <v/>
      </c>
      <c r="I302">
        <f>IF(설정!$C$11="","",IFERROR(INDEX('1.산군_붙여넣기'!$A$1:$AZ$1001,ROW(),설정!$C$11)&amp;"",""))</f>
        <v/>
      </c>
      <c r="J302">
        <f>IF(설정!$C$12="","",IFERROR(INDEX('1.산군_붙여넣기'!$A$1:$AZ$1001,ROW(),설정!$C$12)&amp;"",""))</f>
        <v/>
      </c>
      <c r="K302">
        <f>IF(설정!$C$13="","",IFERROR(INDEX('1.산군_붙여넣기'!$A$1:$AZ$1001,ROW(),설정!$C$13)&amp;"",""))</f>
        <v/>
      </c>
      <c r="L302" s="7">
        <f>IF(X302="","",IF(AND(LEN(X302)=8,ISNUMBER(X302*1)),DATE(LEFT(X302,4),MID(X302,5,2),RIGHT(X302,2)),IFERROR(DATEVALUE(SUBSTITUTE(SUBSTITUTE(X302,".","-"),"/","-")),IFERROR(X302*1,""))))</f>
        <v/>
      </c>
      <c r="M302" s="7">
        <f>IF(Y302="","",IF(AND(LEN(Y302)=8,ISNUMBER(Y302*1)),DATE(LEFT(Y302,4),MID(Y302,5,2),RIGHT(Y302,2)),IFERROR(DATEVALUE(SUBSTITUTE(SUBSTITUTE(Y302,".","-"),"/","-")),IFERROR(Y302*1,""))))</f>
        <v/>
      </c>
      <c r="N302">
        <f>IFERROR(LEFT(B302,FIND(" ",B302)-1),B302)</f>
        <v/>
      </c>
      <c r="O302">
        <f>AND(B302&lt;&gt;"",B302&lt;&gt;설정!$B$4,C302&lt;&gt;설정!$B$5)</f>
        <v/>
      </c>
      <c r="P302">
        <f>IF(O302,B302&amp;"|"&amp;C302,"")</f>
        <v/>
      </c>
      <c r="Q302">
        <f>AND(O302,COUNTIF(P303:P$1002,P302)=0)</f>
        <v/>
      </c>
      <c r="R302">
        <f>OR(AND(설정!$A$42&lt;&gt;"",ISNUMBER(SEARCH(설정!$A$42,E302&amp;" "&amp;C302))),AND(설정!$A$43&lt;&gt;"",ISNUMBER(SEARCH(설정!$A$43,E302&amp;" "&amp;C302))),AND(설정!$A$44&lt;&gt;"",ISNUMBER(SEARCH(설정!$A$44,E302&amp;" "&amp;C302))),AND(설정!$A$45&lt;&gt;"",ISNUMBER(SEARCH(설정!$A$45,E302&amp;" "&amp;C302))),AND(설정!$A$46&lt;&gt;"",ISNUMBER(SEARCH(설정!$A$46,E302&amp;" "&amp;C302))),AND(설정!$A$47&lt;&gt;"",ISNUMBER(SEARCH(설정!$A$47,E302&amp;" "&amp;C302))),AND(설정!$A$48&lt;&gt;"",ISNUMBER(SEARCH(설정!$A$48,E302&amp;" "&amp;C302))),AND(설정!$A$49&lt;&gt;"",ISNUMBER(SEARCH(설정!$A$49,E302&amp;" "&amp;C302))),AND(설정!$A$50&lt;&gt;"",ISNUMBER(SEARCH(설정!$A$50,E302&amp;" "&amp;C302))),AND(설정!$A$51&lt;&gt;"",ISNUMBER(SEARCH(설정!$A$51,E302&amp;" "&amp;C302))))</f>
        <v/>
      </c>
      <c r="S302">
        <f>OR(D302="",D302&gt;=설정!$B$19)</f>
        <v/>
      </c>
      <c r="T302">
        <f>AND(Q302,R302,S302)</f>
        <v/>
      </c>
      <c r="U302">
        <f>IF(T302,IF(AND(설정!$A$54&lt;&gt;"",ISNUMBER(SEARCH(설정!$A$54,K302))),설정!$B$54,IF(AND(설정!$A$55&lt;&gt;"",ISNUMBER(SEARCH(설정!$A$55,K302))),설정!$B$55,IF(AND(설정!$A$56&lt;&gt;"",ISNUMBER(SEARCH(설정!$A$56,K302))),설정!$B$56,IF(AND(설정!$A$57&lt;&gt;"",ISNUMBER(SEARCH(설정!$A$57,K302))),설정!$B$57,IF(AND(설정!$A$58&lt;&gt;"",ISNUMBER(SEARCH(설정!$A$58,K302))),설정!$B$58,IF(AND(설정!$A$59&lt;&gt;"",ISNUMBER(SEARCH(설정!$A$59,K302))),설정!$B$59,IF(AND(설정!$A$60&lt;&gt;"",ISNUMBER(SEARCH(설정!$A$60,K302))),설정!$B$60,IF(AND(설정!$A$61&lt;&gt;"",ISNUMBER(SEARCH(설정!$A$61,K302))),설정!$B$61,IF(M302="","설계사","시공사"))))))))),"")</f>
        <v/>
      </c>
      <c r="V302">
        <f>SUBSTITUTE(SUBSTITUTE(SUBSTITUTE(SUBSTITUTE(G302,"(주)",""),"㈜",""),"주식회사","")," ","")</f>
        <v/>
      </c>
      <c r="W302">
        <f>IF(AND(T302,V302&lt;&gt;""),IF(COUNTIFS(V$2:V302,V302,T$2:T302,TRUE)=1,MAX(W$1:W301)+1,""),"")</f>
        <v/>
      </c>
      <c r="X302">
        <f>IF(설정!$C$14="","",IFERROR(INDEX('1.산군_붙여넣기'!$A$1:$AZ$1001,ROW(),설정!$C$14)&amp;"",""))</f>
        <v/>
      </c>
      <c r="Y302">
        <f>IF(설정!$C$15="","",IFERROR(INDEX('1.산군_붙여넣기'!$A$1:$AZ$1001,ROW(),설정!$C$15)&amp;"",""))</f>
        <v/>
      </c>
      <c r="Z302">
        <f>IF(T302,V302&amp;"|"&amp;U302,"")</f>
        <v/>
      </c>
      <c r="AA302">
        <f>IF(NOT(Q302),"",IF(NOT(AND(R302,S302)),"✕",IF(OR(OR(AND(L302&lt;&gt;"",M302&lt;&gt;"",N(M302)-N(L302)&gt;설정!$B$27),AND(L302&lt;&gt;"",M302="",설정!$B$24-N(L302)&gt;설정!$B$27)),AND(D302&lt;&gt;"",D302&lt;설정!$B$26)),"△","★")))</f>
        <v/>
      </c>
      <c r="AB302">
        <f>IF(NOT(T302),"",IF(U302="설계사",설정!$B$31,IF(U302="시공사",IF(OR(M302="",설정!$B$24-N(M302)&lt;=설정!$B$28*30.4),설정!$B$32,설정!$B$33),설정!$B$34))+IF(AA302="★",설정!$B$35,0))</f>
        <v/>
      </c>
      <c r="AC302">
        <f>SUBSTITUTE(SUBSTITUTE(SUBSTITUTE(SUBSTITUTE(H302,"(주)",""),"㈜",""),"주식회사","")," ","")</f>
        <v/>
      </c>
      <c r="AD302">
        <f>IF(AND(T302,AC302&lt;&gt;""),IF(COUNTIFS(AC$2:AC302,AC302,T$2:T302,TRUE)=1,MAX(AD$1:AD301)+1,""),"")</f>
        <v/>
      </c>
    </row>
    <row r="303">
      <c r="A303">
        <f>ROW()</f>
        <v/>
      </c>
      <c r="B303">
        <f>IF(설정!$C$4="","",IFERROR(INDEX('1.산군_붙여넣기'!$A$1:$AZ$1001,ROW(),설정!$C$4)&amp;"",""))</f>
        <v/>
      </c>
      <c r="C303">
        <f>IF(설정!$C$5="","",IFERROR(INDEX('1.산군_붙여넣기'!$A$1:$AZ$1001,ROW(),설정!$C$5)&amp;"",""))</f>
        <v/>
      </c>
      <c r="D303" s="5">
        <f>IFERROR(VALUE(SUBSTITUTE(SUBSTITUTE(SUBSTITUTE(IF(설정!$C$6="","",IFERROR(INDEX('1.산군_붙여넣기'!$A$1:$AZ$1001,ROW(),설정!$C$6)&amp;"","")),",",""),"㎡",""),"m2","")),"")</f>
        <v/>
      </c>
      <c r="E303">
        <f>IF(설정!$C$7="","",IFERROR(INDEX('1.산군_붙여넣기'!$A$1:$AZ$1001,ROW(),설정!$C$7)&amp;"",""))</f>
        <v/>
      </c>
      <c r="F303">
        <f>IF(설정!$C$8="","",IFERROR(INDEX('1.산군_붙여넣기'!$A$1:$AZ$1001,ROW(),설정!$C$8)&amp;"",""))</f>
        <v/>
      </c>
      <c r="G303">
        <f>IF(설정!$C$9="","",IFERROR(INDEX('1.산군_붙여넣기'!$A$1:$AZ$1001,ROW(),설정!$C$9)&amp;"",""))</f>
        <v/>
      </c>
      <c r="H303">
        <f>IF(설정!$C$10="","",IFERROR(INDEX('1.산군_붙여넣기'!$A$1:$AZ$1001,ROW(),설정!$C$10)&amp;"",""))</f>
        <v/>
      </c>
      <c r="I303">
        <f>IF(설정!$C$11="","",IFERROR(INDEX('1.산군_붙여넣기'!$A$1:$AZ$1001,ROW(),설정!$C$11)&amp;"",""))</f>
        <v/>
      </c>
      <c r="J303">
        <f>IF(설정!$C$12="","",IFERROR(INDEX('1.산군_붙여넣기'!$A$1:$AZ$1001,ROW(),설정!$C$12)&amp;"",""))</f>
        <v/>
      </c>
      <c r="K303">
        <f>IF(설정!$C$13="","",IFERROR(INDEX('1.산군_붙여넣기'!$A$1:$AZ$1001,ROW(),설정!$C$13)&amp;"",""))</f>
        <v/>
      </c>
      <c r="L303" s="7">
        <f>IF(X303="","",IF(AND(LEN(X303)=8,ISNUMBER(X303*1)),DATE(LEFT(X303,4),MID(X303,5,2),RIGHT(X303,2)),IFERROR(DATEVALUE(SUBSTITUTE(SUBSTITUTE(X303,".","-"),"/","-")),IFERROR(X303*1,""))))</f>
        <v/>
      </c>
      <c r="M303" s="7">
        <f>IF(Y303="","",IF(AND(LEN(Y303)=8,ISNUMBER(Y303*1)),DATE(LEFT(Y303,4),MID(Y303,5,2),RIGHT(Y303,2)),IFERROR(DATEVALUE(SUBSTITUTE(SUBSTITUTE(Y303,".","-"),"/","-")),IFERROR(Y303*1,""))))</f>
        <v/>
      </c>
      <c r="N303">
        <f>IFERROR(LEFT(B303,FIND(" ",B303)-1),B303)</f>
        <v/>
      </c>
      <c r="O303">
        <f>AND(B303&lt;&gt;"",B303&lt;&gt;설정!$B$4,C303&lt;&gt;설정!$B$5)</f>
        <v/>
      </c>
      <c r="P303">
        <f>IF(O303,B303&amp;"|"&amp;C303,"")</f>
        <v/>
      </c>
      <c r="Q303">
        <f>AND(O303,COUNTIF(P304:P$1002,P303)=0)</f>
        <v/>
      </c>
      <c r="R303">
        <f>OR(AND(설정!$A$42&lt;&gt;"",ISNUMBER(SEARCH(설정!$A$42,E303&amp;" "&amp;C303))),AND(설정!$A$43&lt;&gt;"",ISNUMBER(SEARCH(설정!$A$43,E303&amp;" "&amp;C303))),AND(설정!$A$44&lt;&gt;"",ISNUMBER(SEARCH(설정!$A$44,E303&amp;" "&amp;C303))),AND(설정!$A$45&lt;&gt;"",ISNUMBER(SEARCH(설정!$A$45,E303&amp;" "&amp;C303))),AND(설정!$A$46&lt;&gt;"",ISNUMBER(SEARCH(설정!$A$46,E303&amp;" "&amp;C303))),AND(설정!$A$47&lt;&gt;"",ISNUMBER(SEARCH(설정!$A$47,E303&amp;" "&amp;C303))),AND(설정!$A$48&lt;&gt;"",ISNUMBER(SEARCH(설정!$A$48,E303&amp;" "&amp;C303))),AND(설정!$A$49&lt;&gt;"",ISNUMBER(SEARCH(설정!$A$49,E303&amp;" "&amp;C303))),AND(설정!$A$50&lt;&gt;"",ISNUMBER(SEARCH(설정!$A$50,E303&amp;" "&amp;C303))),AND(설정!$A$51&lt;&gt;"",ISNUMBER(SEARCH(설정!$A$51,E303&amp;" "&amp;C303))))</f>
        <v/>
      </c>
      <c r="S303">
        <f>OR(D303="",D303&gt;=설정!$B$19)</f>
        <v/>
      </c>
      <c r="T303">
        <f>AND(Q303,R303,S303)</f>
        <v/>
      </c>
      <c r="U303">
        <f>IF(T303,IF(AND(설정!$A$54&lt;&gt;"",ISNUMBER(SEARCH(설정!$A$54,K303))),설정!$B$54,IF(AND(설정!$A$55&lt;&gt;"",ISNUMBER(SEARCH(설정!$A$55,K303))),설정!$B$55,IF(AND(설정!$A$56&lt;&gt;"",ISNUMBER(SEARCH(설정!$A$56,K303))),설정!$B$56,IF(AND(설정!$A$57&lt;&gt;"",ISNUMBER(SEARCH(설정!$A$57,K303))),설정!$B$57,IF(AND(설정!$A$58&lt;&gt;"",ISNUMBER(SEARCH(설정!$A$58,K303))),설정!$B$58,IF(AND(설정!$A$59&lt;&gt;"",ISNUMBER(SEARCH(설정!$A$59,K303))),설정!$B$59,IF(AND(설정!$A$60&lt;&gt;"",ISNUMBER(SEARCH(설정!$A$60,K303))),설정!$B$60,IF(AND(설정!$A$61&lt;&gt;"",ISNUMBER(SEARCH(설정!$A$61,K303))),설정!$B$61,IF(M303="","설계사","시공사"))))))))),"")</f>
        <v/>
      </c>
      <c r="V303">
        <f>SUBSTITUTE(SUBSTITUTE(SUBSTITUTE(SUBSTITUTE(G303,"(주)",""),"㈜",""),"주식회사","")," ","")</f>
        <v/>
      </c>
      <c r="W303">
        <f>IF(AND(T303,V303&lt;&gt;""),IF(COUNTIFS(V$2:V303,V303,T$2:T303,TRUE)=1,MAX(W$1:W302)+1,""),"")</f>
        <v/>
      </c>
      <c r="X303">
        <f>IF(설정!$C$14="","",IFERROR(INDEX('1.산군_붙여넣기'!$A$1:$AZ$1001,ROW(),설정!$C$14)&amp;"",""))</f>
        <v/>
      </c>
      <c r="Y303">
        <f>IF(설정!$C$15="","",IFERROR(INDEX('1.산군_붙여넣기'!$A$1:$AZ$1001,ROW(),설정!$C$15)&amp;"",""))</f>
        <v/>
      </c>
      <c r="Z303">
        <f>IF(T303,V303&amp;"|"&amp;U303,"")</f>
        <v/>
      </c>
      <c r="AA303">
        <f>IF(NOT(Q303),"",IF(NOT(AND(R303,S303)),"✕",IF(OR(OR(AND(L303&lt;&gt;"",M303&lt;&gt;"",N(M303)-N(L303)&gt;설정!$B$27),AND(L303&lt;&gt;"",M303="",설정!$B$24-N(L303)&gt;설정!$B$27)),AND(D303&lt;&gt;"",D303&lt;설정!$B$26)),"△","★")))</f>
        <v/>
      </c>
      <c r="AB303">
        <f>IF(NOT(T303),"",IF(U303="설계사",설정!$B$31,IF(U303="시공사",IF(OR(M303="",설정!$B$24-N(M303)&lt;=설정!$B$28*30.4),설정!$B$32,설정!$B$33),설정!$B$34))+IF(AA303="★",설정!$B$35,0))</f>
        <v/>
      </c>
      <c r="AC303">
        <f>SUBSTITUTE(SUBSTITUTE(SUBSTITUTE(SUBSTITUTE(H303,"(주)",""),"㈜",""),"주식회사","")," ","")</f>
        <v/>
      </c>
      <c r="AD303">
        <f>IF(AND(T303,AC303&lt;&gt;""),IF(COUNTIFS(AC$2:AC303,AC303,T$2:T303,TRUE)=1,MAX(AD$1:AD302)+1,""),"")</f>
        <v/>
      </c>
    </row>
    <row r="304">
      <c r="A304">
        <f>ROW()</f>
        <v/>
      </c>
      <c r="B304">
        <f>IF(설정!$C$4="","",IFERROR(INDEX('1.산군_붙여넣기'!$A$1:$AZ$1001,ROW(),설정!$C$4)&amp;"",""))</f>
        <v/>
      </c>
      <c r="C304">
        <f>IF(설정!$C$5="","",IFERROR(INDEX('1.산군_붙여넣기'!$A$1:$AZ$1001,ROW(),설정!$C$5)&amp;"",""))</f>
        <v/>
      </c>
      <c r="D304" s="5">
        <f>IFERROR(VALUE(SUBSTITUTE(SUBSTITUTE(SUBSTITUTE(IF(설정!$C$6="","",IFERROR(INDEX('1.산군_붙여넣기'!$A$1:$AZ$1001,ROW(),설정!$C$6)&amp;"","")),",",""),"㎡",""),"m2","")),"")</f>
        <v/>
      </c>
      <c r="E304">
        <f>IF(설정!$C$7="","",IFERROR(INDEX('1.산군_붙여넣기'!$A$1:$AZ$1001,ROW(),설정!$C$7)&amp;"",""))</f>
        <v/>
      </c>
      <c r="F304">
        <f>IF(설정!$C$8="","",IFERROR(INDEX('1.산군_붙여넣기'!$A$1:$AZ$1001,ROW(),설정!$C$8)&amp;"",""))</f>
        <v/>
      </c>
      <c r="G304">
        <f>IF(설정!$C$9="","",IFERROR(INDEX('1.산군_붙여넣기'!$A$1:$AZ$1001,ROW(),설정!$C$9)&amp;"",""))</f>
        <v/>
      </c>
      <c r="H304">
        <f>IF(설정!$C$10="","",IFERROR(INDEX('1.산군_붙여넣기'!$A$1:$AZ$1001,ROW(),설정!$C$10)&amp;"",""))</f>
        <v/>
      </c>
      <c r="I304">
        <f>IF(설정!$C$11="","",IFERROR(INDEX('1.산군_붙여넣기'!$A$1:$AZ$1001,ROW(),설정!$C$11)&amp;"",""))</f>
        <v/>
      </c>
      <c r="J304">
        <f>IF(설정!$C$12="","",IFERROR(INDEX('1.산군_붙여넣기'!$A$1:$AZ$1001,ROW(),설정!$C$12)&amp;"",""))</f>
        <v/>
      </c>
      <c r="K304">
        <f>IF(설정!$C$13="","",IFERROR(INDEX('1.산군_붙여넣기'!$A$1:$AZ$1001,ROW(),설정!$C$13)&amp;"",""))</f>
        <v/>
      </c>
      <c r="L304" s="7">
        <f>IF(X304="","",IF(AND(LEN(X304)=8,ISNUMBER(X304*1)),DATE(LEFT(X304,4),MID(X304,5,2),RIGHT(X304,2)),IFERROR(DATEVALUE(SUBSTITUTE(SUBSTITUTE(X304,".","-"),"/","-")),IFERROR(X304*1,""))))</f>
        <v/>
      </c>
      <c r="M304" s="7">
        <f>IF(Y304="","",IF(AND(LEN(Y304)=8,ISNUMBER(Y304*1)),DATE(LEFT(Y304,4),MID(Y304,5,2),RIGHT(Y304,2)),IFERROR(DATEVALUE(SUBSTITUTE(SUBSTITUTE(Y304,".","-"),"/","-")),IFERROR(Y304*1,""))))</f>
        <v/>
      </c>
      <c r="N304">
        <f>IFERROR(LEFT(B304,FIND(" ",B304)-1),B304)</f>
        <v/>
      </c>
      <c r="O304">
        <f>AND(B304&lt;&gt;"",B304&lt;&gt;설정!$B$4,C304&lt;&gt;설정!$B$5)</f>
        <v/>
      </c>
      <c r="P304">
        <f>IF(O304,B304&amp;"|"&amp;C304,"")</f>
        <v/>
      </c>
      <c r="Q304">
        <f>AND(O304,COUNTIF(P305:P$1002,P304)=0)</f>
        <v/>
      </c>
      <c r="R304">
        <f>OR(AND(설정!$A$42&lt;&gt;"",ISNUMBER(SEARCH(설정!$A$42,E304&amp;" "&amp;C304))),AND(설정!$A$43&lt;&gt;"",ISNUMBER(SEARCH(설정!$A$43,E304&amp;" "&amp;C304))),AND(설정!$A$44&lt;&gt;"",ISNUMBER(SEARCH(설정!$A$44,E304&amp;" "&amp;C304))),AND(설정!$A$45&lt;&gt;"",ISNUMBER(SEARCH(설정!$A$45,E304&amp;" "&amp;C304))),AND(설정!$A$46&lt;&gt;"",ISNUMBER(SEARCH(설정!$A$46,E304&amp;" "&amp;C304))),AND(설정!$A$47&lt;&gt;"",ISNUMBER(SEARCH(설정!$A$47,E304&amp;" "&amp;C304))),AND(설정!$A$48&lt;&gt;"",ISNUMBER(SEARCH(설정!$A$48,E304&amp;" "&amp;C304))),AND(설정!$A$49&lt;&gt;"",ISNUMBER(SEARCH(설정!$A$49,E304&amp;" "&amp;C304))),AND(설정!$A$50&lt;&gt;"",ISNUMBER(SEARCH(설정!$A$50,E304&amp;" "&amp;C304))),AND(설정!$A$51&lt;&gt;"",ISNUMBER(SEARCH(설정!$A$51,E304&amp;" "&amp;C304))))</f>
        <v/>
      </c>
      <c r="S304">
        <f>OR(D304="",D304&gt;=설정!$B$19)</f>
        <v/>
      </c>
      <c r="T304">
        <f>AND(Q304,R304,S304)</f>
        <v/>
      </c>
      <c r="U304">
        <f>IF(T304,IF(AND(설정!$A$54&lt;&gt;"",ISNUMBER(SEARCH(설정!$A$54,K304))),설정!$B$54,IF(AND(설정!$A$55&lt;&gt;"",ISNUMBER(SEARCH(설정!$A$55,K304))),설정!$B$55,IF(AND(설정!$A$56&lt;&gt;"",ISNUMBER(SEARCH(설정!$A$56,K304))),설정!$B$56,IF(AND(설정!$A$57&lt;&gt;"",ISNUMBER(SEARCH(설정!$A$57,K304))),설정!$B$57,IF(AND(설정!$A$58&lt;&gt;"",ISNUMBER(SEARCH(설정!$A$58,K304))),설정!$B$58,IF(AND(설정!$A$59&lt;&gt;"",ISNUMBER(SEARCH(설정!$A$59,K304))),설정!$B$59,IF(AND(설정!$A$60&lt;&gt;"",ISNUMBER(SEARCH(설정!$A$60,K304))),설정!$B$60,IF(AND(설정!$A$61&lt;&gt;"",ISNUMBER(SEARCH(설정!$A$61,K304))),설정!$B$61,IF(M304="","설계사","시공사"))))))))),"")</f>
        <v/>
      </c>
      <c r="V304">
        <f>SUBSTITUTE(SUBSTITUTE(SUBSTITUTE(SUBSTITUTE(G304,"(주)",""),"㈜",""),"주식회사","")," ","")</f>
        <v/>
      </c>
      <c r="W304">
        <f>IF(AND(T304,V304&lt;&gt;""),IF(COUNTIFS(V$2:V304,V304,T$2:T304,TRUE)=1,MAX(W$1:W303)+1,""),"")</f>
        <v/>
      </c>
      <c r="X304">
        <f>IF(설정!$C$14="","",IFERROR(INDEX('1.산군_붙여넣기'!$A$1:$AZ$1001,ROW(),설정!$C$14)&amp;"",""))</f>
        <v/>
      </c>
      <c r="Y304">
        <f>IF(설정!$C$15="","",IFERROR(INDEX('1.산군_붙여넣기'!$A$1:$AZ$1001,ROW(),설정!$C$15)&amp;"",""))</f>
        <v/>
      </c>
      <c r="Z304">
        <f>IF(T304,V304&amp;"|"&amp;U304,"")</f>
        <v/>
      </c>
      <c r="AA304">
        <f>IF(NOT(Q304),"",IF(NOT(AND(R304,S304)),"✕",IF(OR(OR(AND(L304&lt;&gt;"",M304&lt;&gt;"",N(M304)-N(L304)&gt;설정!$B$27),AND(L304&lt;&gt;"",M304="",설정!$B$24-N(L304)&gt;설정!$B$27)),AND(D304&lt;&gt;"",D304&lt;설정!$B$26)),"△","★")))</f>
        <v/>
      </c>
      <c r="AB304">
        <f>IF(NOT(T304),"",IF(U304="설계사",설정!$B$31,IF(U304="시공사",IF(OR(M304="",설정!$B$24-N(M304)&lt;=설정!$B$28*30.4),설정!$B$32,설정!$B$33),설정!$B$34))+IF(AA304="★",설정!$B$35,0))</f>
        <v/>
      </c>
      <c r="AC304">
        <f>SUBSTITUTE(SUBSTITUTE(SUBSTITUTE(SUBSTITUTE(H304,"(주)",""),"㈜",""),"주식회사","")," ","")</f>
        <v/>
      </c>
      <c r="AD304">
        <f>IF(AND(T304,AC304&lt;&gt;""),IF(COUNTIFS(AC$2:AC304,AC304,T$2:T304,TRUE)=1,MAX(AD$1:AD303)+1,""),"")</f>
        <v/>
      </c>
    </row>
    <row r="305">
      <c r="A305">
        <f>ROW()</f>
        <v/>
      </c>
      <c r="B305">
        <f>IF(설정!$C$4="","",IFERROR(INDEX('1.산군_붙여넣기'!$A$1:$AZ$1001,ROW(),설정!$C$4)&amp;"",""))</f>
        <v/>
      </c>
      <c r="C305">
        <f>IF(설정!$C$5="","",IFERROR(INDEX('1.산군_붙여넣기'!$A$1:$AZ$1001,ROW(),설정!$C$5)&amp;"",""))</f>
        <v/>
      </c>
      <c r="D305" s="5">
        <f>IFERROR(VALUE(SUBSTITUTE(SUBSTITUTE(SUBSTITUTE(IF(설정!$C$6="","",IFERROR(INDEX('1.산군_붙여넣기'!$A$1:$AZ$1001,ROW(),설정!$C$6)&amp;"","")),",",""),"㎡",""),"m2","")),"")</f>
        <v/>
      </c>
      <c r="E305">
        <f>IF(설정!$C$7="","",IFERROR(INDEX('1.산군_붙여넣기'!$A$1:$AZ$1001,ROW(),설정!$C$7)&amp;"",""))</f>
        <v/>
      </c>
      <c r="F305">
        <f>IF(설정!$C$8="","",IFERROR(INDEX('1.산군_붙여넣기'!$A$1:$AZ$1001,ROW(),설정!$C$8)&amp;"",""))</f>
        <v/>
      </c>
      <c r="G305">
        <f>IF(설정!$C$9="","",IFERROR(INDEX('1.산군_붙여넣기'!$A$1:$AZ$1001,ROW(),설정!$C$9)&amp;"",""))</f>
        <v/>
      </c>
      <c r="H305">
        <f>IF(설정!$C$10="","",IFERROR(INDEX('1.산군_붙여넣기'!$A$1:$AZ$1001,ROW(),설정!$C$10)&amp;"",""))</f>
        <v/>
      </c>
      <c r="I305">
        <f>IF(설정!$C$11="","",IFERROR(INDEX('1.산군_붙여넣기'!$A$1:$AZ$1001,ROW(),설정!$C$11)&amp;"",""))</f>
        <v/>
      </c>
      <c r="J305">
        <f>IF(설정!$C$12="","",IFERROR(INDEX('1.산군_붙여넣기'!$A$1:$AZ$1001,ROW(),설정!$C$12)&amp;"",""))</f>
        <v/>
      </c>
      <c r="K305">
        <f>IF(설정!$C$13="","",IFERROR(INDEX('1.산군_붙여넣기'!$A$1:$AZ$1001,ROW(),설정!$C$13)&amp;"",""))</f>
        <v/>
      </c>
      <c r="L305" s="7">
        <f>IF(X305="","",IF(AND(LEN(X305)=8,ISNUMBER(X305*1)),DATE(LEFT(X305,4),MID(X305,5,2),RIGHT(X305,2)),IFERROR(DATEVALUE(SUBSTITUTE(SUBSTITUTE(X305,".","-"),"/","-")),IFERROR(X305*1,""))))</f>
        <v/>
      </c>
      <c r="M305" s="7">
        <f>IF(Y305="","",IF(AND(LEN(Y305)=8,ISNUMBER(Y305*1)),DATE(LEFT(Y305,4),MID(Y305,5,2),RIGHT(Y305,2)),IFERROR(DATEVALUE(SUBSTITUTE(SUBSTITUTE(Y305,".","-"),"/","-")),IFERROR(Y305*1,""))))</f>
        <v/>
      </c>
      <c r="N305">
        <f>IFERROR(LEFT(B305,FIND(" ",B305)-1),B305)</f>
        <v/>
      </c>
      <c r="O305">
        <f>AND(B305&lt;&gt;"",B305&lt;&gt;설정!$B$4,C305&lt;&gt;설정!$B$5)</f>
        <v/>
      </c>
      <c r="P305">
        <f>IF(O305,B305&amp;"|"&amp;C305,"")</f>
        <v/>
      </c>
      <c r="Q305">
        <f>AND(O305,COUNTIF(P306:P$1002,P305)=0)</f>
        <v/>
      </c>
      <c r="R305">
        <f>OR(AND(설정!$A$42&lt;&gt;"",ISNUMBER(SEARCH(설정!$A$42,E305&amp;" "&amp;C305))),AND(설정!$A$43&lt;&gt;"",ISNUMBER(SEARCH(설정!$A$43,E305&amp;" "&amp;C305))),AND(설정!$A$44&lt;&gt;"",ISNUMBER(SEARCH(설정!$A$44,E305&amp;" "&amp;C305))),AND(설정!$A$45&lt;&gt;"",ISNUMBER(SEARCH(설정!$A$45,E305&amp;" "&amp;C305))),AND(설정!$A$46&lt;&gt;"",ISNUMBER(SEARCH(설정!$A$46,E305&amp;" "&amp;C305))),AND(설정!$A$47&lt;&gt;"",ISNUMBER(SEARCH(설정!$A$47,E305&amp;" "&amp;C305))),AND(설정!$A$48&lt;&gt;"",ISNUMBER(SEARCH(설정!$A$48,E305&amp;" "&amp;C305))),AND(설정!$A$49&lt;&gt;"",ISNUMBER(SEARCH(설정!$A$49,E305&amp;" "&amp;C305))),AND(설정!$A$50&lt;&gt;"",ISNUMBER(SEARCH(설정!$A$50,E305&amp;" "&amp;C305))),AND(설정!$A$51&lt;&gt;"",ISNUMBER(SEARCH(설정!$A$51,E305&amp;" "&amp;C305))))</f>
        <v/>
      </c>
      <c r="S305">
        <f>OR(D305="",D305&gt;=설정!$B$19)</f>
        <v/>
      </c>
      <c r="T305">
        <f>AND(Q305,R305,S305)</f>
        <v/>
      </c>
      <c r="U305">
        <f>IF(T305,IF(AND(설정!$A$54&lt;&gt;"",ISNUMBER(SEARCH(설정!$A$54,K305))),설정!$B$54,IF(AND(설정!$A$55&lt;&gt;"",ISNUMBER(SEARCH(설정!$A$55,K305))),설정!$B$55,IF(AND(설정!$A$56&lt;&gt;"",ISNUMBER(SEARCH(설정!$A$56,K305))),설정!$B$56,IF(AND(설정!$A$57&lt;&gt;"",ISNUMBER(SEARCH(설정!$A$57,K305))),설정!$B$57,IF(AND(설정!$A$58&lt;&gt;"",ISNUMBER(SEARCH(설정!$A$58,K305))),설정!$B$58,IF(AND(설정!$A$59&lt;&gt;"",ISNUMBER(SEARCH(설정!$A$59,K305))),설정!$B$59,IF(AND(설정!$A$60&lt;&gt;"",ISNUMBER(SEARCH(설정!$A$60,K305))),설정!$B$60,IF(AND(설정!$A$61&lt;&gt;"",ISNUMBER(SEARCH(설정!$A$61,K305))),설정!$B$61,IF(M305="","설계사","시공사"))))))))),"")</f>
        <v/>
      </c>
      <c r="V305">
        <f>SUBSTITUTE(SUBSTITUTE(SUBSTITUTE(SUBSTITUTE(G305,"(주)",""),"㈜",""),"주식회사","")," ","")</f>
        <v/>
      </c>
      <c r="W305">
        <f>IF(AND(T305,V305&lt;&gt;""),IF(COUNTIFS(V$2:V305,V305,T$2:T305,TRUE)=1,MAX(W$1:W304)+1,""),"")</f>
        <v/>
      </c>
      <c r="X305">
        <f>IF(설정!$C$14="","",IFERROR(INDEX('1.산군_붙여넣기'!$A$1:$AZ$1001,ROW(),설정!$C$14)&amp;"",""))</f>
        <v/>
      </c>
      <c r="Y305">
        <f>IF(설정!$C$15="","",IFERROR(INDEX('1.산군_붙여넣기'!$A$1:$AZ$1001,ROW(),설정!$C$15)&amp;"",""))</f>
        <v/>
      </c>
      <c r="Z305">
        <f>IF(T305,V305&amp;"|"&amp;U305,"")</f>
        <v/>
      </c>
      <c r="AA305">
        <f>IF(NOT(Q305),"",IF(NOT(AND(R305,S305)),"✕",IF(OR(OR(AND(L305&lt;&gt;"",M305&lt;&gt;"",N(M305)-N(L305)&gt;설정!$B$27),AND(L305&lt;&gt;"",M305="",설정!$B$24-N(L305)&gt;설정!$B$27)),AND(D305&lt;&gt;"",D305&lt;설정!$B$26)),"△","★")))</f>
        <v/>
      </c>
      <c r="AB305">
        <f>IF(NOT(T305),"",IF(U305="설계사",설정!$B$31,IF(U305="시공사",IF(OR(M305="",설정!$B$24-N(M305)&lt;=설정!$B$28*30.4),설정!$B$32,설정!$B$33),설정!$B$34))+IF(AA305="★",설정!$B$35,0))</f>
        <v/>
      </c>
      <c r="AC305">
        <f>SUBSTITUTE(SUBSTITUTE(SUBSTITUTE(SUBSTITUTE(H305,"(주)",""),"㈜",""),"주식회사","")," ","")</f>
        <v/>
      </c>
      <c r="AD305">
        <f>IF(AND(T305,AC305&lt;&gt;""),IF(COUNTIFS(AC$2:AC305,AC305,T$2:T305,TRUE)=1,MAX(AD$1:AD304)+1,""),"")</f>
        <v/>
      </c>
    </row>
    <row r="306">
      <c r="A306">
        <f>ROW()</f>
        <v/>
      </c>
      <c r="B306">
        <f>IF(설정!$C$4="","",IFERROR(INDEX('1.산군_붙여넣기'!$A$1:$AZ$1001,ROW(),설정!$C$4)&amp;"",""))</f>
        <v/>
      </c>
      <c r="C306">
        <f>IF(설정!$C$5="","",IFERROR(INDEX('1.산군_붙여넣기'!$A$1:$AZ$1001,ROW(),설정!$C$5)&amp;"",""))</f>
        <v/>
      </c>
      <c r="D306" s="5">
        <f>IFERROR(VALUE(SUBSTITUTE(SUBSTITUTE(SUBSTITUTE(IF(설정!$C$6="","",IFERROR(INDEX('1.산군_붙여넣기'!$A$1:$AZ$1001,ROW(),설정!$C$6)&amp;"","")),",",""),"㎡",""),"m2","")),"")</f>
        <v/>
      </c>
      <c r="E306">
        <f>IF(설정!$C$7="","",IFERROR(INDEX('1.산군_붙여넣기'!$A$1:$AZ$1001,ROW(),설정!$C$7)&amp;"",""))</f>
        <v/>
      </c>
      <c r="F306">
        <f>IF(설정!$C$8="","",IFERROR(INDEX('1.산군_붙여넣기'!$A$1:$AZ$1001,ROW(),설정!$C$8)&amp;"",""))</f>
        <v/>
      </c>
      <c r="G306">
        <f>IF(설정!$C$9="","",IFERROR(INDEX('1.산군_붙여넣기'!$A$1:$AZ$1001,ROW(),설정!$C$9)&amp;"",""))</f>
        <v/>
      </c>
      <c r="H306">
        <f>IF(설정!$C$10="","",IFERROR(INDEX('1.산군_붙여넣기'!$A$1:$AZ$1001,ROW(),설정!$C$10)&amp;"",""))</f>
        <v/>
      </c>
      <c r="I306">
        <f>IF(설정!$C$11="","",IFERROR(INDEX('1.산군_붙여넣기'!$A$1:$AZ$1001,ROW(),설정!$C$11)&amp;"",""))</f>
        <v/>
      </c>
      <c r="J306">
        <f>IF(설정!$C$12="","",IFERROR(INDEX('1.산군_붙여넣기'!$A$1:$AZ$1001,ROW(),설정!$C$12)&amp;"",""))</f>
        <v/>
      </c>
      <c r="K306">
        <f>IF(설정!$C$13="","",IFERROR(INDEX('1.산군_붙여넣기'!$A$1:$AZ$1001,ROW(),설정!$C$13)&amp;"",""))</f>
        <v/>
      </c>
      <c r="L306" s="7">
        <f>IF(X306="","",IF(AND(LEN(X306)=8,ISNUMBER(X306*1)),DATE(LEFT(X306,4),MID(X306,5,2),RIGHT(X306,2)),IFERROR(DATEVALUE(SUBSTITUTE(SUBSTITUTE(X306,".","-"),"/","-")),IFERROR(X306*1,""))))</f>
        <v/>
      </c>
      <c r="M306" s="7">
        <f>IF(Y306="","",IF(AND(LEN(Y306)=8,ISNUMBER(Y306*1)),DATE(LEFT(Y306,4),MID(Y306,5,2),RIGHT(Y306,2)),IFERROR(DATEVALUE(SUBSTITUTE(SUBSTITUTE(Y306,".","-"),"/","-")),IFERROR(Y306*1,""))))</f>
        <v/>
      </c>
      <c r="N306">
        <f>IFERROR(LEFT(B306,FIND(" ",B306)-1),B306)</f>
        <v/>
      </c>
      <c r="O306">
        <f>AND(B306&lt;&gt;"",B306&lt;&gt;설정!$B$4,C306&lt;&gt;설정!$B$5)</f>
        <v/>
      </c>
      <c r="P306">
        <f>IF(O306,B306&amp;"|"&amp;C306,"")</f>
        <v/>
      </c>
      <c r="Q306">
        <f>AND(O306,COUNTIF(P307:P$1002,P306)=0)</f>
        <v/>
      </c>
      <c r="R306">
        <f>OR(AND(설정!$A$42&lt;&gt;"",ISNUMBER(SEARCH(설정!$A$42,E306&amp;" "&amp;C306))),AND(설정!$A$43&lt;&gt;"",ISNUMBER(SEARCH(설정!$A$43,E306&amp;" "&amp;C306))),AND(설정!$A$44&lt;&gt;"",ISNUMBER(SEARCH(설정!$A$44,E306&amp;" "&amp;C306))),AND(설정!$A$45&lt;&gt;"",ISNUMBER(SEARCH(설정!$A$45,E306&amp;" "&amp;C306))),AND(설정!$A$46&lt;&gt;"",ISNUMBER(SEARCH(설정!$A$46,E306&amp;" "&amp;C306))),AND(설정!$A$47&lt;&gt;"",ISNUMBER(SEARCH(설정!$A$47,E306&amp;" "&amp;C306))),AND(설정!$A$48&lt;&gt;"",ISNUMBER(SEARCH(설정!$A$48,E306&amp;" "&amp;C306))),AND(설정!$A$49&lt;&gt;"",ISNUMBER(SEARCH(설정!$A$49,E306&amp;" "&amp;C306))),AND(설정!$A$50&lt;&gt;"",ISNUMBER(SEARCH(설정!$A$50,E306&amp;" "&amp;C306))),AND(설정!$A$51&lt;&gt;"",ISNUMBER(SEARCH(설정!$A$51,E306&amp;" "&amp;C306))))</f>
        <v/>
      </c>
      <c r="S306">
        <f>OR(D306="",D306&gt;=설정!$B$19)</f>
        <v/>
      </c>
      <c r="T306">
        <f>AND(Q306,R306,S306)</f>
        <v/>
      </c>
      <c r="U306">
        <f>IF(T306,IF(AND(설정!$A$54&lt;&gt;"",ISNUMBER(SEARCH(설정!$A$54,K306))),설정!$B$54,IF(AND(설정!$A$55&lt;&gt;"",ISNUMBER(SEARCH(설정!$A$55,K306))),설정!$B$55,IF(AND(설정!$A$56&lt;&gt;"",ISNUMBER(SEARCH(설정!$A$56,K306))),설정!$B$56,IF(AND(설정!$A$57&lt;&gt;"",ISNUMBER(SEARCH(설정!$A$57,K306))),설정!$B$57,IF(AND(설정!$A$58&lt;&gt;"",ISNUMBER(SEARCH(설정!$A$58,K306))),설정!$B$58,IF(AND(설정!$A$59&lt;&gt;"",ISNUMBER(SEARCH(설정!$A$59,K306))),설정!$B$59,IF(AND(설정!$A$60&lt;&gt;"",ISNUMBER(SEARCH(설정!$A$60,K306))),설정!$B$60,IF(AND(설정!$A$61&lt;&gt;"",ISNUMBER(SEARCH(설정!$A$61,K306))),설정!$B$61,IF(M306="","설계사","시공사"))))))))),"")</f>
        <v/>
      </c>
      <c r="V306">
        <f>SUBSTITUTE(SUBSTITUTE(SUBSTITUTE(SUBSTITUTE(G306,"(주)",""),"㈜",""),"주식회사","")," ","")</f>
        <v/>
      </c>
      <c r="W306">
        <f>IF(AND(T306,V306&lt;&gt;""),IF(COUNTIFS(V$2:V306,V306,T$2:T306,TRUE)=1,MAX(W$1:W305)+1,""),"")</f>
        <v/>
      </c>
      <c r="X306">
        <f>IF(설정!$C$14="","",IFERROR(INDEX('1.산군_붙여넣기'!$A$1:$AZ$1001,ROW(),설정!$C$14)&amp;"",""))</f>
        <v/>
      </c>
      <c r="Y306">
        <f>IF(설정!$C$15="","",IFERROR(INDEX('1.산군_붙여넣기'!$A$1:$AZ$1001,ROW(),설정!$C$15)&amp;"",""))</f>
        <v/>
      </c>
      <c r="Z306">
        <f>IF(T306,V306&amp;"|"&amp;U306,"")</f>
        <v/>
      </c>
      <c r="AA306">
        <f>IF(NOT(Q306),"",IF(NOT(AND(R306,S306)),"✕",IF(OR(OR(AND(L306&lt;&gt;"",M306&lt;&gt;"",N(M306)-N(L306)&gt;설정!$B$27),AND(L306&lt;&gt;"",M306="",설정!$B$24-N(L306)&gt;설정!$B$27)),AND(D306&lt;&gt;"",D306&lt;설정!$B$26)),"△","★")))</f>
        <v/>
      </c>
      <c r="AB306">
        <f>IF(NOT(T306),"",IF(U306="설계사",설정!$B$31,IF(U306="시공사",IF(OR(M306="",설정!$B$24-N(M306)&lt;=설정!$B$28*30.4),설정!$B$32,설정!$B$33),설정!$B$34))+IF(AA306="★",설정!$B$35,0))</f>
        <v/>
      </c>
      <c r="AC306">
        <f>SUBSTITUTE(SUBSTITUTE(SUBSTITUTE(SUBSTITUTE(H306,"(주)",""),"㈜",""),"주식회사","")," ","")</f>
        <v/>
      </c>
      <c r="AD306">
        <f>IF(AND(T306,AC306&lt;&gt;""),IF(COUNTIFS(AC$2:AC306,AC306,T$2:T306,TRUE)=1,MAX(AD$1:AD305)+1,""),"")</f>
        <v/>
      </c>
    </row>
    <row r="307">
      <c r="A307">
        <f>ROW()</f>
        <v/>
      </c>
      <c r="B307">
        <f>IF(설정!$C$4="","",IFERROR(INDEX('1.산군_붙여넣기'!$A$1:$AZ$1001,ROW(),설정!$C$4)&amp;"",""))</f>
        <v/>
      </c>
      <c r="C307">
        <f>IF(설정!$C$5="","",IFERROR(INDEX('1.산군_붙여넣기'!$A$1:$AZ$1001,ROW(),설정!$C$5)&amp;"",""))</f>
        <v/>
      </c>
      <c r="D307" s="5">
        <f>IFERROR(VALUE(SUBSTITUTE(SUBSTITUTE(SUBSTITUTE(IF(설정!$C$6="","",IFERROR(INDEX('1.산군_붙여넣기'!$A$1:$AZ$1001,ROW(),설정!$C$6)&amp;"","")),",",""),"㎡",""),"m2","")),"")</f>
        <v/>
      </c>
      <c r="E307">
        <f>IF(설정!$C$7="","",IFERROR(INDEX('1.산군_붙여넣기'!$A$1:$AZ$1001,ROW(),설정!$C$7)&amp;"",""))</f>
        <v/>
      </c>
      <c r="F307">
        <f>IF(설정!$C$8="","",IFERROR(INDEX('1.산군_붙여넣기'!$A$1:$AZ$1001,ROW(),설정!$C$8)&amp;"",""))</f>
        <v/>
      </c>
      <c r="G307">
        <f>IF(설정!$C$9="","",IFERROR(INDEX('1.산군_붙여넣기'!$A$1:$AZ$1001,ROW(),설정!$C$9)&amp;"",""))</f>
        <v/>
      </c>
      <c r="H307">
        <f>IF(설정!$C$10="","",IFERROR(INDEX('1.산군_붙여넣기'!$A$1:$AZ$1001,ROW(),설정!$C$10)&amp;"",""))</f>
        <v/>
      </c>
      <c r="I307">
        <f>IF(설정!$C$11="","",IFERROR(INDEX('1.산군_붙여넣기'!$A$1:$AZ$1001,ROW(),설정!$C$11)&amp;"",""))</f>
        <v/>
      </c>
      <c r="J307">
        <f>IF(설정!$C$12="","",IFERROR(INDEX('1.산군_붙여넣기'!$A$1:$AZ$1001,ROW(),설정!$C$12)&amp;"",""))</f>
        <v/>
      </c>
      <c r="K307">
        <f>IF(설정!$C$13="","",IFERROR(INDEX('1.산군_붙여넣기'!$A$1:$AZ$1001,ROW(),설정!$C$13)&amp;"",""))</f>
        <v/>
      </c>
      <c r="L307" s="7">
        <f>IF(X307="","",IF(AND(LEN(X307)=8,ISNUMBER(X307*1)),DATE(LEFT(X307,4),MID(X307,5,2),RIGHT(X307,2)),IFERROR(DATEVALUE(SUBSTITUTE(SUBSTITUTE(X307,".","-"),"/","-")),IFERROR(X307*1,""))))</f>
        <v/>
      </c>
      <c r="M307" s="7">
        <f>IF(Y307="","",IF(AND(LEN(Y307)=8,ISNUMBER(Y307*1)),DATE(LEFT(Y307,4),MID(Y307,5,2),RIGHT(Y307,2)),IFERROR(DATEVALUE(SUBSTITUTE(SUBSTITUTE(Y307,".","-"),"/","-")),IFERROR(Y307*1,""))))</f>
        <v/>
      </c>
      <c r="N307">
        <f>IFERROR(LEFT(B307,FIND(" ",B307)-1),B307)</f>
        <v/>
      </c>
      <c r="O307">
        <f>AND(B307&lt;&gt;"",B307&lt;&gt;설정!$B$4,C307&lt;&gt;설정!$B$5)</f>
        <v/>
      </c>
      <c r="P307">
        <f>IF(O307,B307&amp;"|"&amp;C307,"")</f>
        <v/>
      </c>
      <c r="Q307">
        <f>AND(O307,COUNTIF(P308:P$1002,P307)=0)</f>
        <v/>
      </c>
      <c r="R307">
        <f>OR(AND(설정!$A$42&lt;&gt;"",ISNUMBER(SEARCH(설정!$A$42,E307&amp;" "&amp;C307))),AND(설정!$A$43&lt;&gt;"",ISNUMBER(SEARCH(설정!$A$43,E307&amp;" "&amp;C307))),AND(설정!$A$44&lt;&gt;"",ISNUMBER(SEARCH(설정!$A$44,E307&amp;" "&amp;C307))),AND(설정!$A$45&lt;&gt;"",ISNUMBER(SEARCH(설정!$A$45,E307&amp;" "&amp;C307))),AND(설정!$A$46&lt;&gt;"",ISNUMBER(SEARCH(설정!$A$46,E307&amp;" "&amp;C307))),AND(설정!$A$47&lt;&gt;"",ISNUMBER(SEARCH(설정!$A$47,E307&amp;" "&amp;C307))),AND(설정!$A$48&lt;&gt;"",ISNUMBER(SEARCH(설정!$A$48,E307&amp;" "&amp;C307))),AND(설정!$A$49&lt;&gt;"",ISNUMBER(SEARCH(설정!$A$49,E307&amp;" "&amp;C307))),AND(설정!$A$50&lt;&gt;"",ISNUMBER(SEARCH(설정!$A$50,E307&amp;" "&amp;C307))),AND(설정!$A$51&lt;&gt;"",ISNUMBER(SEARCH(설정!$A$51,E307&amp;" "&amp;C307))))</f>
        <v/>
      </c>
      <c r="S307">
        <f>OR(D307="",D307&gt;=설정!$B$19)</f>
        <v/>
      </c>
      <c r="T307">
        <f>AND(Q307,R307,S307)</f>
        <v/>
      </c>
      <c r="U307">
        <f>IF(T307,IF(AND(설정!$A$54&lt;&gt;"",ISNUMBER(SEARCH(설정!$A$54,K307))),설정!$B$54,IF(AND(설정!$A$55&lt;&gt;"",ISNUMBER(SEARCH(설정!$A$55,K307))),설정!$B$55,IF(AND(설정!$A$56&lt;&gt;"",ISNUMBER(SEARCH(설정!$A$56,K307))),설정!$B$56,IF(AND(설정!$A$57&lt;&gt;"",ISNUMBER(SEARCH(설정!$A$57,K307))),설정!$B$57,IF(AND(설정!$A$58&lt;&gt;"",ISNUMBER(SEARCH(설정!$A$58,K307))),설정!$B$58,IF(AND(설정!$A$59&lt;&gt;"",ISNUMBER(SEARCH(설정!$A$59,K307))),설정!$B$59,IF(AND(설정!$A$60&lt;&gt;"",ISNUMBER(SEARCH(설정!$A$60,K307))),설정!$B$60,IF(AND(설정!$A$61&lt;&gt;"",ISNUMBER(SEARCH(설정!$A$61,K307))),설정!$B$61,IF(M307="","설계사","시공사"))))))))),"")</f>
        <v/>
      </c>
      <c r="V307">
        <f>SUBSTITUTE(SUBSTITUTE(SUBSTITUTE(SUBSTITUTE(G307,"(주)",""),"㈜",""),"주식회사","")," ","")</f>
        <v/>
      </c>
      <c r="W307">
        <f>IF(AND(T307,V307&lt;&gt;""),IF(COUNTIFS(V$2:V307,V307,T$2:T307,TRUE)=1,MAX(W$1:W306)+1,""),"")</f>
        <v/>
      </c>
      <c r="X307">
        <f>IF(설정!$C$14="","",IFERROR(INDEX('1.산군_붙여넣기'!$A$1:$AZ$1001,ROW(),설정!$C$14)&amp;"",""))</f>
        <v/>
      </c>
      <c r="Y307">
        <f>IF(설정!$C$15="","",IFERROR(INDEX('1.산군_붙여넣기'!$A$1:$AZ$1001,ROW(),설정!$C$15)&amp;"",""))</f>
        <v/>
      </c>
      <c r="Z307">
        <f>IF(T307,V307&amp;"|"&amp;U307,"")</f>
        <v/>
      </c>
      <c r="AA307">
        <f>IF(NOT(Q307),"",IF(NOT(AND(R307,S307)),"✕",IF(OR(OR(AND(L307&lt;&gt;"",M307&lt;&gt;"",N(M307)-N(L307)&gt;설정!$B$27),AND(L307&lt;&gt;"",M307="",설정!$B$24-N(L307)&gt;설정!$B$27)),AND(D307&lt;&gt;"",D307&lt;설정!$B$26)),"△","★")))</f>
        <v/>
      </c>
      <c r="AB307">
        <f>IF(NOT(T307),"",IF(U307="설계사",설정!$B$31,IF(U307="시공사",IF(OR(M307="",설정!$B$24-N(M307)&lt;=설정!$B$28*30.4),설정!$B$32,설정!$B$33),설정!$B$34))+IF(AA307="★",설정!$B$35,0))</f>
        <v/>
      </c>
      <c r="AC307">
        <f>SUBSTITUTE(SUBSTITUTE(SUBSTITUTE(SUBSTITUTE(H307,"(주)",""),"㈜",""),"주식회사","")," ","")</f>
        <v/>
      </c>
      <c r="AD307">
        <f>IF(AND(T307,AC307&lt;&gt;""),IF(COUNTIFS(AC$2:AC307,AC307,T$2:T307,TRUE)=1,MAX(AD$1:AD306)+1,""),"")</f>
        <v/>
      </c>
    </row>
    <row r="308">
      <c r="A308">
        <f>ROW()</f>
        <v/>
      </c>
      <c r="B308">
        <f>IF(설정!$C$4="","",IFERROR(INDEX('1.산군_붙여넣기'!$A$1:$AZ$1001,ROW(),설정!$C$4)&amp;"",""))</f>
        <v/>
      </c>
      <c r="C308">
        <f>IF(설정!$C$5="","",IFERROR(INDEX('1.산군_붙여넣기'!$A$1:$AZ$1001,ROW(),설정!$C$5)&amp;"",""))</f>
        <v/>
      </c>
      <c r="D308" s="5">
        <f>IFERROR(VALUE(SUBSTITUTE(SUBSTITUTE(SUBSTITUTE(IF(설정!$C$6="","",IFERROR(INDEX('1.산군_붙여넣기'!$A$1:$AZ$1001,ROW(),설정!$C$6)&amp;"","")),",",""),"㎡",""),"m2","")),"")</f>
        <v/>
      </c>
      <c r="E308">
        <f>IF(설정!$C$7="","",IFERROR(INDEX('1.산군_붙여넣기'!$A$1:$AZ$1001,ROW(),설정!$C$7)&amp;"",""))</f>
        <v/>
      </c>
      <c r="F308">
        <f>IF(설정!$C$8="","",IFERROR(INDEX('1.산군_붙여넣기'!$A$1:$AZ$1001,ROW(),설정!$C$8)&amp;"",""))</f>
        <v/>
      </c>
      <c r="G308">
        <f>IF(설정!$C$9="","",IFERROR(INDEX('1.산군_붙여넣기'!$A$1:$AZ$1001,ROW(),설정!$C$9)&amp;"",""))</f>
        <v/>
      </c>
      <c r="H308">
        <f>IF(설정!$C$10="","",IFERROR(INDEX('1.산군_붙여넣기'!$A$1:$AZ$1001,ROW(),설정!$C$10)&amp;"",""))</f>
        <v/>
      </c>
      <c r="I308">
        <f>IF(설정!$C$11="","",IFERROR(INDEX('1.산군_붙여넣기'!$A$1:$AZ$1001,ROW(),설정!$C$11)&amp;"",""))</f>
        <v/>
      </c>
      <c r="J308">
        <f>IF(설정!$C$12="","",IFERROR(INDEX('1.산군_붙여넣기'!$A$1:$AZ$1001,ROW(),설정!$C$12)&amp;"",""))</f>
        <v/>
      </c>
      <c r="K308">
        <f>IF(설정!$C$13="","",IFERROR(INDEX('1.산군_붙여넣기'!$A$1:$AZ$1001,ROW(),설정!$C$13)&amp;"",""))</f>
        <v/>
      </c>
      <c r="L308" s="7">
        <f>IF(X308="","",IF(AND(LEN(X308)=8,ISNUMBER(X308*1)),DATE(LEFT(X308,4),MID(X308,5,2),RIGHT(X308,2)),IFERROR(DATEVALUE(SUBSTITUTE(SUBSTITUTE(X308,".","-"),"/","-")),IFERROR(X308*1,""))))</f>
        <v/>
      </c>
      <c r="M308" s="7">
        <f>IF(Y308="","",IF(AND(LEN(Y308)=8,ISNUMBER(Y308*1)),DATE(LEFT(Y308,4),MID(Y308,5,2),RIGHT(Y308,2)),IFERROR(DATEVALUE(SUBSTITUTE(SUBSTITUTE(Y308,".","-"),"/","-")),IFERROR(Y308*1,""))))</f>
        <v/>
      </c>
      <c r="N308">
        <f>IFERROR(LEFT(B308,FIND(" ",B308)-1),B308)</f>
        <v/>
      </c>
      <c r="O308">
        <f>AND(B308&lt;&gt;"",B308&lt;&gt;설정!$B$4,C308&lt;&gt;설정!$B$5)</f>
        <v/>
      </c>
      <c r="P308">
        <f>IF(O308,B308&amp;"|"&amp;C308,"")</f>
        <v/>
      </c>
      <c r="Q308">
        <f>AND(O308,COUNTIF(P309:P$1002,P308)=0)</f>
        <v/>
      </c>
      <c r="R308">
        <f>OR(AND(설정!$A$42&lt;&gt;"",ISNUMBER(SEARCH(설정!$A$42,E308&amp;" "&amp;C308))),AND(설정!$A$43&lt;&gt;"",ISNUMBER(SEARCH(설정!$A$43,E308&amp;" "&amp;C308))),AND(설정!$A$44&lt;&gt;"",ISNUMBER(SEARCH(설정!$A$44,E308&amp;" "&amp;C308))),AND(설정!$A$45&lt;&gt;"",ISNUMBER(SEARCH(설정!$A$45,E308&amp;" "&amp;C308))),AND(설정!$A$46&lt;&gt;"",ISNUMBER(SEARCH(설정!$A$46,E308&amp;" "&amp;C308))),AND(설정!$A$47&lt;&gt;"",ISNUMBER(SEARCH(설정!$A$47,E308&amp;" "&amp;C308))),AND(설정!$A$48&lt;&gt;"",ISNUMBER(SEARCH(설정!$A$48,E308&amp;" "&amp;C308))),AND(설정!$A$49&lt;&gt;"",ISNUMBER(SEARCH(설정!$A$49,E308&amp;" "&amp;C308))),AND(설정!$A$50&lt;&gt;"",ISNUMBER(SEARCH(설정!$A$50,E308&amp;" "&amp;C308))),AND(설정!$A$51&lt;&gt;"",ISNUMBER(SEARCH(설정!$A$51,E308&amp;" "&amp;C308))))</f>
        <v/>
      </c>
      <c r="S308">
        <f>OR(D308="",D308&gt;=설정!$B$19)</f>
        <v/>
      </c>
      <c r="T308">
        <f>AND(Q308,R308,S308)</f>
        <v/>
      </c>
      <c r="U308">
        <f>IF(T308,IF(AND(설정!$A$54&lt;&gt;"",ISNUMBER(SEARCH(설정!$A$54,K308))),설정!$B$54,IF(AND(설정!$A$55&lt;&gt;"",ISNUMBER(SEARCH(설정!$A$55,K308))),설정!$B$55,IF(AND(설정!$A$56&lt;&gt;"",ISNUMBER(SEARCH(설정!$A$56,K308))),설정!$B$56,IF(AND(설정!$A$57&lt;&gt;"",ISNUMBER(SEARCH(설정!$A$57,K308))),설정!$B$57,IF(AND(설정!$A$58&lt;&gt;"",ISNUMBER(SEARCH(설정!$A$58,K308))),설정!$B$58,IF(AND(설정!$A$59&lt;&gt;"",ISNUMBER(SEARCH(설정!$A$59,K308))),설정!$B$59,IF(AND(설정!$A$60&lt;&gt;"",ISNUMBER(SEARCH(설정!$A$60,K308))),설정!$B$60,IF(AND(설정!$A$61&lt;&gt;"",ISNUMBER(SEARCH(설정!$A$61,K308))),설정!$B$61,IF(M308="","설계사","시공사"))))))))),"")</f>
        <v/>
      </c>
      <c r="V308">
        <f>SUBSTITUTE(SUBSTITUTE(SUBSTITUTE(SUBSTITUTE(G308,"(주)",""),"㈜",""),"주식회사","")," ","")</f>
        <v/>
      </c>
      <c r="W308">
        <f>IF(AND(T308,V308&lt;&gt;""),IF(COUNTIFS(V$2:V308,V308,T$2:T308,TRUE)=1,MAX(W$1:W307)+1,""),"")</f>
        <v/>
      </c>
      <c r="X308">
        <f>IF(설정!$C$14="","",IFERROR(INDEX('1.산군_붙여넣기'!$A$1:$AZ$1001,ROW(),설정!$C$14)&amp;"",""))</f>
        <v/>
      </c>
      <c r="Y308">
        <f>IF(설정!$C$15="","",IFERROR(INDEX('1.산군_붙여넣기'!$A$1:$AZ$1001,ROW(),설정!$C$15)&amp;"",""))</f>
        <v/>
      </c>
      <c r="Z308">
        <f>IF(T308,V308&amp;"|"&amp;U308,"")</f>
        <v/>
      </c>
      <c r="AA308">
        <f>IF(NOT(Q308),"",IF(NOT(AND(R308,S308)),"✕",IF(OR(OR(AND(L308&lt;&gt;"",M308&lt;&gt;"",N(M308)-N(L308)&gt;설정!$B$27),AND(L308&lt;&gt;"",M308="",설정!$B$24-N(L308)&gt;설정!$B$27)),AND(D308&lt;&gt;"",D308&lt;설정!$B$26)),"△","★")))</f>
        <v/>
      </c>
      <c r="AB308">
        <f>IF(NOT(T308),"",IF(U308="설계사",설정!$B$31,IF(U308="시공사",IF(OR(M308="",설정!$B$24-N(M308)&lt;=설정!$B$28*30.4),설정!$B$32,설정!$B$33),설정!$B$34))+IF(AA308="★",설정!$B$35,0))</f>
        <v/>
      </c>
      <c r="AC308">
        <f>SUBSTITUTE(SUBSTITUTE(SUBSTITUTE(SUBSTITUTE(H308,"(주)",""),"㈜",""),"주식회사","")," ","")</f>
        <v/>
      </c>
      <c r="AD308">
        <f>IF(AND(T308,AC308&lt;&gt;""),IF(COUNTIFS(AC$2:AC308,AC308,T$2:T308,TRUE)=1,MAX(AD$1:AD307)+1,""),"")</f>
        <v/>
      </c>
    </row>
    <row r="309">
      <c r="A309">
        <f>ROW()</f>
        <v/>
      </c>
      <c r="B309">
        <f>IF(설정!$C$4="","",IFERROR(INDEX('1.산군_붙여넣기'!$A$1:$AZ$1001,ROW(),설정!$C$4)&amp;"",""))</f>
        <v/>
      </c>
      <c r="C309">
        <f>IF(설정!$C$5="","",IFERROR(INDEX('1.산군_붙여넣기'!$A$1:$AZ$1001,ROW(),설정!$C$5)&amp;"",""))</f>
        <v/>
      </c>
      <c r="D309" s="5">
        <f>IFERROR(VALUE(SUBSTITUTE(SUBSTITUTE(SUBSTITUTE(IF(설정!$C$6="","",IFERROR(INDEX('1.산군_붙여넣기'!$A$1:$AZ$1001,ROW(),설정!$C$6)&amp;"","")),",",""),"㎡",""),"m2","")),"")</f>
        <v/>
      </c>
      <c r="E309">
        <f>IF(설정!$C$7="","",IFERROR(INDEX('1.산군_붙여넣기'!$A$1:$AZ$1001,ROW(),설정!$C$7)&amp;"",""))</f>
        <v/>
      </c>
      <c r="F309">
        <f>IF(설정!$C$8="","",IFERROR(INDEX('1.산군_붙여넣기'!$A$1:$AZ$1001,ROW(),설정!$C$8)&amp;"",""))</f>
        <v/>
      </c>
      <c r="G309">
        <f>IF(설정!$C$9="","",IFERROR(INDEX('1.산군_붙여넣기'!$A$1:$AZ$1001,ROW(),설정!$C$9)&amp;"",""))</f>
        <v/>
      </c>
      <c r="H309">
        <f>IF(설정!$C$10="","",IFERROR(INDEX('1.산군_붙여넣기'!$A$1:$AZ$1001,ROW(),설정!$C$10)&amp;"",""))</f>
        <v/>
      </c>
      <c r="I309">
        <f>IF(설정!$C$11="","",IFERROR(INDEX('1.산군_붙여넣기'!$A$1:$AZ$1001,ROW(),설정!$C$11)&amp;"",""))</f>
        <v/>
      </c>
      <c r="J309">
        <f>IF(설정!$C$12="","",IFERROR(INDEX('1.산군_붙여넣기'!$A$1:$AZ$1001,ROW(),설정!$C$12)&amp;"",""))</f>
        <v/>
      </c>
      <c r="K309">
        <f>IF(설정!$C$13="","",IFERROR(INDEX('1.산군_붙여넣기'!$A$1:$AZ$1001,ROW(),설정!$C$13)&amp;"",""))</f>
        <v/>
      </c>
      <c r="L309" s="7">
        <f>IF(X309="","",IF(AND(LEN(X309)=8,ISNUMBER(X309*1)),DATE(LEFT(X309,4),MID(X309,5,2),RIGHT(X309,2)),IFERROR(DATEVALUE(SUBSTITUTE(SUBSTITUTE(X309,".","-"),"/","-")),IFERROR(X309*1,""))))</f>
        <v/>
      </c>
      <c r="M309" s="7">
        <f>IF(Y309="","",IF(AND(LEN(Y309)=8,ISNUMBER(Y309*1)),DATE(LEFT(Y309,4),MID(Y309,5,2),RIGHT(Y309,2)),IFERROR(DATEVALUE(SUBSTITUTE(SUBSTITUTE(Y309,".","-"),"/","-")),IFERROR(Y309*1,""))))</f>
        <v/>
      </c>
      <c r="N309">
        <f>IFERROR(LEFT(B309,FIND(" ",B309)-1),B309)</f>
        <v/>
      </c>
      <c r="O309">
        <f>AND(B309&lt;&gt;"",B309&lt;&gt;설정!$B$4,C309&lt;&gt;설정!$B$5)</f>
        <v/>
      </c>
      <c r="P309">
        <f>IF(O309,B309&amp;"|"&amp;C309,"")</f>
        <v/>
      </c>
      <c r="Q309">
        <f>AND(O309,COUNTIF(P310:P$1002,P309)=0)</f>
        <v/>
      </c>
      <c r="R309">
        <f>OR(AND(설정!$A$42&lt;&gt;"",ISNUMBER(SEARCH(설정!$A$42,E309&amp;" "&amp;C309))),AND(설정!$A$43&lt;&gt;"",ISNUMBER(SEARCH(설정!$A$43,E309&amp;" "&amp;C309))),AND(설정!$A$44&lt;&gt;"",ISNUMBER(SEARCH(설정!$A$44,E309&amp;" "&amp;C309))),AND(설정!$A$45&lt;&gt;"",ISNUMBER(SEARCH(설정!$A$45,E309&amp;" "&amp;C309))),AND(설정!$A$46&lt;&gt;"",ISNUMBER(SEARCH(설정!$A$46,E309&amp;" "&amp;C309))),AND(설정!$A$47&lt;&gt;"",ISNUMBER(SEARCH(설정!$A$47,E309&amp;" "&amp;C309))),AND(설정!$A$48&lt;&gt;"",ISNUMBER(SEARCH(설정!$A$48,E309&amp;" "&amp;C309))),AND(설정!$A$49&lt;&gt;"",ISNUMBER(SEARCH(설정!$A$49,E309&amp;" "&amp;C309))),AND(설정!$A$50&lt;&gt;"",ISNUMBER(SEARCH(설정!$A$50,E309&amp;" "&amp;C309))),AND(설정!$A$51&lt;&gt;"",ISNUMBER(SEARCH(설정!$A$51,E309&amp;" "&amp;C309))))</f>
        <v/>
      </c>
      <c r="S309">
        <f>OR(D309="",D309&gt;=설정!$B$19)</f>
        <v/>
      </c>
      <c r="T309">
        <f>AND(Q309,R309,S309)</f>
        <v/>
      </c>
      <c r="U309">
        <f>IF(T309,IF(AND(설정!$A$54&lt;&gt;"",ISNUMBER(SEARCH(설정!$A$54,K309))),설정!$B$54,IF(AND(설정!$A$55&lt;&gt;"",ISNUMBER(SEARCH(설정!$A$55,K309))),설정!$B$55,IF(AND(설정!$A$56&lt;&gt;"",ISNUMBER(SEARCH(설정!$A$56,K309))),설정!$B$56,IF(AND(설정!$A$57&lt;&gt;"",ISNUMBER(SEARCH(설정!$A$57,K309))),설정!$B$57,IF(AND(설정!$A$58&lt;&gt;"",ISNUMBER(SEARCH(설정!$A$58,K309))),설정!$B$58,IF(AND(설정!$A$59&lt;&gt;"",ISNUMBER(SEARCH(설정!$A$59,K309))),설정!$B$59,IF(AND(설정!$A$60&lt;&gt;"",ISNUMBER(SEARCH(설정!$A$60,K309))),설정!$B$60,IF(AND(설정!$A$61&lt;&gt;"",ISNUMBER(SEARCH(설정!$A$61,K309))),설정!$B$61,IF(M309="","설계사","시공사"))))))))),"")</f>
        <v/>
      </c>
      <c r="V309">
        <f>SUBSTITUTE(SUBSTITUTE(SUBSTITUTE(SUBSTITUTE(G309,"(주)",""),"㈜",""),"주식회사","")," ","")</f>
        <v/>
      </c>
      <c r="W309">
        <f>IF(AND(T309,V309&lt;&gt;""),IF(COUNTIFS(V$2:V309,V309,T$2:T309,TRUE)=1,MAX(W$1:W308)+1,""),"")</f>
        <v/>
      </c>
      <c r="X309">
        <f>IF(설정!$C$14="","",IFERROR(INDEX('1.산군_붙여넣기'!$A$1:$AZ$1001,ROW(),설정!$C$14)&amp;"",""))</f>
        <v/>
      </c>
      <c r="Y309">
        <f>IF(설정!$C$15="","",IFERROR(INDEX('1.산군_붙여넣기'!$A$1:$AZ$1001,ROW(),설정!$C$15)&amp;"",""))</f>
        <v/>
      </c>
      <c r="Z309">
        <f>IF(T309,V309&amp;"|"&amp;U309,"")</f>
        <v/>
      </c>
      <c r="AA309">
        <f>IF(NOT(Q309),"",IF(NOT(AND(R309,S309)),"✕",IF(OR(OR(AND(L309&lt;&gt;"",M309&lt;&gt;"",N(M309)-N(L309)&gt;설정!$B$27),AND(L309&lt;&gt;"",M309="",설정!$B$24-N(L309)&gt;설정!$B$27)),AND(D309&lt;&gt;"",D309&lt;설정!$B$26)),"△","★")))</f>
        <v/>
      </c>
      <c r="AB309">
        <f>IF(NOT(T309),"",IF(U309="설계사",설정!$B$31,IF(U309="시공사",IF(OR(M309="",설정!$B$24-N(M309)&lt;=설정!$B$28*30.4),설정!$B$32,설정!$B$33),설정!$B$34))+IF(AA309="★",설정!$B$35,0))</f>
        <v/>
      </c>
      <c r="AC309">
        <f>SUBSTITUTE(SUBSTITUTE(SUBSTITUTE(SUBSTITUTE(H309,"(주)",""),"㈜",""),"주식회사","")," ","")</f>
        <v/>
      </c>
      <c r="AD309">
        <f>IF(AND(T309,AC309&lt;&gt;""),IF(COUNTIFS(AC$2:AC309,AC309,T$2:T309,TRUE)=1,MAX(AD$1:AD308)+1,""),"")</f>
        <v/>
      </c>
    </row>
    <row r="310">
      <c r="A310">
        <f>ROW()</f>
        <v/>
      </c>
      <c r="B310">
        <f>IF(설정!$C$4="","",IFERROR(INDEX('1.산군_붙여넣기'!$A$1:$AZ$1001,ROW(),설정!$C$4)&amp;"",""))</f>
        <v/>
      </c>
      <c r="C310">
        <f>IF(설정!$C$5="","",IFERROR(INDEX('1.산군_붙여넣기'!$A$1:$AZ$1001,ROW(),설정!$C$5)&amp;"",""))</f>
        <v/>
      </c>
      <c r="D310" s="5">
        <f>IFERROR(VALUE(SUBSTITUTE(SUBSTITUTE(SUBSTITUTE(IF(설정!$C$6="","",IFERROR(INDEX('1.산군_붙여넣기'!$A$1:$AZ$1001,ROW(),설정!$C$6)&amp;"","")),",",""),"㎡",""),"m2","")),"")</f>
        <v/>
      </c>
      <c r="E310">
        <f>IF(설정!$C$7="","",IFERROR(INDEX('1.산군_붙여넣기'!$A$1:$AZ$1001,ROW(),설정!$C$7)&amp;"",""))</f>
        <v/>
      </c>
      <c r="F310">
        <f>IF(설정!$C$8="","",IFERROR(INDEX('1.산군_붙여넣기'!$A$1:$AZ$1001,ROW(),설정!$C$8)&amp;"",""))</f>
        <v/>
      </c>
      <c r="G310">
        <f>IF(설정!$C$9="","",IFERROR(INDEX('1.산군_붙여넣기'!$A$1:$AZ$1001,ROW(),설정!$C$9)&amp;"",""))</f>
        <v/>
      </c>
      <c r="H310">
        <f>IF(설정!$C$10="","",IFERROR(INDEX('1.산군_붙여넣기'!$A$1:$AZ$1001,ROW(),설정!$C$10)&amp;"",""))</f>
        <v/>
      </c>
      <c r="I310">
        <f>IF(설정!$C$11="","",IFERROR(INDEX('1.산군_붙여넣기'!$A$1:$AZ$1001,ROW(),설정!$C$11)&amp;"",""))</f>
        <v/>
      </c>
      <c r="J310">
        <f>IF(설정!$C$12="","",IFERROR(INDEX('1.산군_붙여넣기'!$A$1:$AZ$1001,ROW(),설정!$C$12)&amp;"",""))</f>
        <v/>
      </c>
      <c r="K310">
        <f>IF(설정!$C$13="","",IFERROR(INDEX('1.산군_붙여넣기'!$A$1:$AZ$1001,ROW(),설정!$C$13)&amp;"",""))</f>
        <v/>
      </c>
      <c r="L310" s="7">
        <f>IF(X310="","",IF(AND(LEN(X310)=8,ISNUMBER(X310*1)),DATE(LEFT(X310,4),MID(X310,5,2),RIGHT(X310,2)),IFERROR(DATEVALUE(SUBSTITUTE(SUBSTITUTE(X310,".","-"),"/","-")),IFERROR(X310*1,""))))</f>
        <v/>
      </c>
      <c r="M310" s="7">
        <f>IF(Y310="","",IF(AND(LEN(Y310)=8,ISNUMBER(Y310*1)),DATE(LEFT(Y310,4),MID(Y310,5,2),RIGHT(Y310,2)),IFERROR(DATEVALUE(SUBSTITUTE(SUBSTITUTE(Y310,".","-"),"/","-")),IFERROR(Y310*1,""))))</f>
        <v/>
      </c>
      <c r="N310">
        <f>IFERROR(LEFT(B310,FIND(" ",B310)-1),B310)</f>
        <v/>
      </c>
      <c r="O310">
        <f>AND(B310&lt;&gt;"",B310&lt;&gt;설정!$B$4,C310&lt;&gt;설정!$B$5)</f>
        <v/>
      </c>
      <c r="P310">
        <f>IF(O310,B310&amp;"|"&amp;C310,"")</f>
        <v/>
      </c>
      <c r="Q310">
        <f>AND(O310,COUNTIF(P311:P$1002,P310)=0)</f>
        <v/>
      </c>
      <c r="R310">
        <f>OR(AND(설정!$A$42&lt;&gt;"",ISNUMBER(SEARCH(설정!$A$42,E310&amp;" "&amp;C310))),AND(설정!$A$43&lt;&gt;"",ISNUMBER(SEARCH(설정!$A$43,E310&amp;" "&amp;C310))),AND(설정!$A$44&lt;&gt;"",ISNUMBER(SEARCH(설정!$A$44,E310&amp;" "&amp;C310))),AND(설정!$A$45&lt;&gt;"",ISNUMBER(SEARCH(설정!$A$45,E310&amp;" "&amp;C310))),AND(설정!$A$46&lt;&gt;"",ISNUMBER(SEARCH(설정!$A$46,E310&amp;" "&amp;C310))),AND(설정!$A$47&lt;&gt;"",ISNUMBER(SEARCH(설정!$A$47,E310&amp;" "&amp;C310))),AND(설정!$A$48&lt;&gt;"",ISNUMBER(SEARCH(설정!$A$48,E310&amp;" "&amp;C310))),AND(설정!$A$49&lt;&gt;"",ISNUMBER(SEARCH(설정!$A$49,E310&amp;" "&amp;C310))),AND(설정!$A$50&lt;&gt;"",ISNUMBER(SEARCH(설정!$A$50,E310&amp;" "&amp;C310))),AND(설정!$A$51&lt;&gt;"",ISNUMBER(SEARCH(설정!$A$51,E310&amp;" "&amp;C310))))</f>
        <v/>
      </c>
      <c r="S310">
        <f>OR(D310="",D310&gt;=설정!$B$19)</f>
        <v/>
      </c>
      <c r="T310">
        <f>AND(Q310,R310,S310)</f>
        <v/>
      </c>
      <c r="U310">
        <f>IF(T310,IF(AND(설정!$A$54&lt;&gt;"",ISNUMBER(SEARCH(설정!$A$54,K310))),설정!$B$54,IF(AND(설정!$A$55&lt;&gt;"",ISNUMBER(SEARCH(설정!$A$55,K310))),설정!$B$55,IF(AND(설정!$A$56&lt;&gt;"",ISNUMBER(SEARCH(설정!$A$56,K310))),설정!$B$56,IF(AND(설정!$A$57&lt;&gt;"",ISNUMBER(SEARCH(설정!$A$57,K310))),설정!$B$57,IF(AND(설정!$A$58&lt;&gt;"",ISNUMBER(SEARCH(설정!$A$58,K310))),설정!$B$58,IF(AND(설정!$A$59&lt;&gt;"",ISNUMBER(SEARCH(설정!$A$59,K310))),설정!$B$59,IF(AND(설정!$A$60&lt;&gt;"",ISNUMBER(SEARCH(설정!$A$60,K310))),설정!$B$60,IF(AND(설정!$A$61&lt;&gt;"",ISNUMBER(SEARCH(설정!$A$61,K310))),설정!$B$61,IF(M310="","설계사","시공사"))))))))),"")</f>
        <v/>
      </c>
      <c r="V310">
        <f>SUBSTITUTE(SUBSTITUTE(SUBSTITUTE(SUBSTITUTE(G310,"(주)",""),"㈜",""),"주식회사","")," ","")</f>
        <v/>
      </c>
      <c r="W310">
        <f>IF(AND(T310,V310&lt;&gt;""),IF(COUNTIFS(V$2:V310,V310,T$2:T310,TRUE)=1,MAX(W$1:W309)+1,""),"")</f>
        <v/>
      </c>
      <c r="X310">
        <f>IF(설정!$C$14="","",IFERROR(INDEX('1.산군_붙여넣기'!$A$1:$AZ$1001,ROW(),설정!$C$14)&amp;"",""))</f>
        <v/>
      </c>
      <c r="Y310">
        <f>IF(설정!$C$15="","",IFERROR(INDEX('1.산군_붙여넣기'!$A$1:$AZ$1001,ROW(),설정!$C$15)&amp;"",""))</f>
        <v/>
      </c>
      <c r="Z310">
        <f>IF(T310,V310&amp;"|"&amp;U310,"")</f>
        <v/>
      </c>
      <c r="AA310">
        <f>IF(NOT(Q310),"",IF(NOT(AND(R310,S310)),"✕",IF(OR(OR(AND(L310&lt;&gt;"",M310&lt;&gt;"",N(M310)-N(L310)&gt;설정!$B$27),AND(L310&lt;&gt;"",M310="",설정!$B$24-N(L310)&gt;설정!$B$27)),AND(D310&lt;&gt;"",D310&lt;설정!$B$26)),"△","★")))</f>
        <v/>
      </c>
      <c r="AB310">
        <f>IF(NOT(T310),"",IF(U310="설계사",설정!$B$31,IF(U310="시공사",IF(OR(M310="",설정!$B$24-N(M310)&lt;=설정!$B$28*30.4),설정!$B$32,설정!$B$33),설정!$B$34))+IF(AA310="★",설정!$B$35,0))</f>
        <v/>
      </c>
      <c r="AC310">
        <f>SUBSTITUTE(SUBSTITUTE(SUBSTITUTE(SUBSTITUTE(H310,"(주)",""),"㈜",""),"주식회사","")," ","")</f>
        <v/>
      </c>
      <c r="AD310">
        <f>IF(AND(T310,AC310&lt;&gt;""),IF(COUNTIFS(AC$2:AC310,AC310,T$2:T310,TRUE)=1,MAX(AD$1:AD309)+1,""),"")</f>
        <v/>
      </c>
    </row>
    <row r="311">
      <c r="A311">
        <f>ROW()</f>
        <v/>
      </c>
      <c r="B311">
        <f>IF(설정!$C$4="","",IFERROR(INDEX('1.산군_붙여넣기'!$A$1:$AZ$1001,ROW(),설정!$C$4)&amp;"",""))</f>
        <v/>
      </c>
      <c r="C311">
        <f>IF(설정!$C$5="","",IFERROR(INDEX('1.산군_붙여넣기'!$A$1:$AZ$1001,ROW(),설정!$C$5)&amp;"",""))</f>
        <v/>
      </c>
      <c r="D311" s="5">
        <f>IFERROR(VALUE(SUBSTITUTE(SUBSTITUTE(SUBSTITUTE(IF(설정!$C$6="","",IFERROR(INDEX('1.산군_붙여넣기'!$A$1:$AZ$1001,ROW(),설정!$C$6)&amp;"","")),",",""),"㎡",""),"m2","")),"")</f>
        <v/>
      </c>
      <c r="E311">
        <f>IF(설정!$C$7="","",IFERROR(INDEX('1.산군_붙여넣기'!$A$1:$AZ$1001,ROW(),설정!$C$7)&amp;"",""))</f>
        <v/>
      </c>
      <c r="F311">
        <f>IF(설정!$C$8="","",IFERROR(INDEX('1.산군_붙여넣기'!$A$1:$AZ$1001,ROW(),설정!$C$8)&amp;"",""))</f>
        <v/>
      </c>
      <c r="G311">
        <f>IF(설정!$C$9="","",IFERROR(INDEX('1.산군_붙여넣기'!$A$1:$AZ$1001,ROW(),설정!$C$9)&amp;"",""))</f>
        <v/>
      </c>
      <c r="H311">
        <f>IF(설정!$C$10="","",IFERROR(INDEX('1.산군_붙여넣기'!$A$1:$AZ$1001,ROW(),설정!$C$10)&amp;"",""))</f>
        <v/>
      </c>
      <c r="I311">
        <f>IF(설정!$C$11="","",IFERROR(INDEX('1.산군_붙여넣기'!$A$1:$AZ$1001,ROW(),설정!$C$11)&amp;"",""))</f>
        <v/>
      </c>
      <c r="J311">
        <f>IF(설정!$C$12="","",IFERROR(INDEX('1.산군_붙여넣기'!$A$1:$AZ$1001,ROW(),설정!$C$12)&amp;"",""))</f>
        <v/>
      </c>
      <c r="K311">
        <f>IF(설정!$C$13="","",IFERROR(INDEX('1.산군_붙여넣기'!$A$1:$AZ$1001,ROW(),설정!$C$13)&amp;"",""))</f>
        <v/>
      </c>
      <c r="L311" s="7">
        <f>IF(X311="","",IF(AND(LEN(X311)=8,ISNUMBER(X311*1)),DATE(LEFT(X311,4),MID(X311,5,2),RIGHT(X311,2)),IFERROR(DATEVALUE(SUBSTITUTE(SUBSTITUTE(X311,".","-"),"/","-")),IFERROR(X311*1,""))))</f>
        <v/>
      </c>
      <c r="M311" s="7">
        <f>IF(Y311="","",IF(AND(LEN(Y311)=8,ISNUMBER(Y311*1)),DATE(LEFT(Y311,4),MID(Y311,5,2),RIGHT(Y311,2)),IFERROR(DATEVALUE(SUBSTITUTE(SUBSTITUTE(Y311,".","-"),"/","-")),IFERROR(Y311*1,""))))</f>
        <v/>
      </c>
      <c r="N311">
        <f>IFERROR(LEFT(B311,FIND(" ",B311)-1),B311)</f>
        <v/>
      </c>
      <c r="O311">
        <f>AND(B311&lt;&gt;"",B311&lt;&gt;설정!$B$4,C311&lt;&gt;설정!$B$5)</f>
        <v/>
      </c>
      <c r="P311">
        <f>IF(O311,B311&amp;"|"&amp;C311,"")</f>
        <v/>
      </c>
      <c r="Q311">
        <f>AND(O311,COUNTIF(P312:P$1002,P311)=0)</f>
        <v/>
      </c>
      <c r="R311">
        <f>OR(AND(설정!$A$42&lt;&gt;"",ISNUMBER(SEARCH(설정!$A$42,E311&amp;" "&amp;C311))),AND(설정!$A$43&lt;&gt;"",ISNUMBER(SEARCH(설정!$A$43,E311&amp;" "&amp;C311))),AND(설정!$A$44&lt;&gt;"",ISNUMBER(SEARCH(설정!$A$44,E311&amp;" "&amp;C311))),AND(설정!$A$45&lt;&gt;"",ISNUMBER(SEARCH(설정!$A$45,E311&amp;" "&amp;C311))),AND(설정!$A$46&lt;&gt;"",ISNUMBER(SEARCH(설정!$A$46,E311&amp;" "&amp;C311))),AND(설정!$A$47&lt;&gt;"",ISNUMBER(SEARCH(설정!$A$47,E311&amp;" "&amp;C311))),AND(설정!$A$48&lt;&gt;"",ISNUMBER(SEARCH(설정!$A$48,E311&amp;" "&amp;C311))),AND(설정!$A$49&lt;&gt;"",ISNUMBER(SEARCH(설정!$A$49,E311&amp;" "&amp;C311))),AND(설정!$A$50&lt;&gt;"",ISNUMBER(SEARCH(설정!$A$50,E311&amp;" "&amp;C311))),AND(설정!$A$51&lt;&gt;"",ISNUMBER(SEARCH(설정!$A$51,E311&amp;" "&amp;C311))))</f>
        <v/>
      </c>
      <c r="S311">
        <f>OR(D311="",D311&gt;=설정!$B$19)</f>
        <v/>
      </c>
      <c r="T311">
        <f>AND(Q311,R311,S311)</f>
        <v/>
      </c>
      <c r="U311">
        <f>IF(T311,IF(AND(설정!$A$54&lt;&gt;"",ISNUMBER(SEARCH(설정!$A$54,K311))),설정!$B$54,IF(AND(설정!$A$55&lt;&gt;"",ISNUMBER(SEARCH(설정!$A$55,K311))),설정!$B$55,IF(AND(설정!$A$56&lt;&gt;"",ISNUMBER(SEARCH(설정!$A$56,K311))),설정!$B$56,IF(AND(설정!$A$57&lt;&gt;"",ISNUMBER(SEARCH(설정!$A$57,K311))),설정!$B$57,IF(AND(설정!$A$58&lt;&gt;"",ISNUMBER(SEARCH(설정!$A$58,K311))),설정!$B$58,IF(AND(설정!$A$59&lt;&gt;"",ISNUMBER(SEARCH(설정!$A$59,K311))),설정!$B$59,IF(AND(설정!$A$60&lt;&gt;"",ISNUMBER(SEARCH(설정!$A$60,K311))),설정!$B$60,IF(AND(설정!$A$61&lt;&gt;"",ISNUMBER(SEARCH(설정!$A$61,K311))),설정!$B$61,IF(M311="","설계사","시공사"))))))))),"")</f>
        <v/>
      </c>
      <c r="V311">
        <f>SUBSTITUTE(SUBSTITUTE(SUBSTITUTE(SUBSTITUTE(G311,"(주)",""),"㈜",""),"주식회사","")," ","")</f>
        <v/>
      </c>
      <c r="W311">
        <f>IF(AND(T311,V311&lt;&gt;""),IF(COUNTIFS(V$2:V311,V311,T$2:T311,TRUE)=1,MAX(W$1:W310)+1,""),"")</f>
        <v/>
      </c>
      <c r="X311">
        <f>IF(설정!$C$14="","",IFERROR(INDEX('1.산군_붙여넣기'!$A$1:$AZ$1001,ROW(),설정!$C$14)&amp;"",""))</f>
        <v/>
      </c>
      <c r="Y311">
        <f>IF(설정!$C$15="","",IFERROR(INDEX('1.산군_붙여넣기'!$A$1:$AZ$1001,ROW(),설정!$C$15)&amp;"",""))</f>
        <v/>
      </c>
      <c r="Z311">
        <f>IF(T311,V311&amp;"|"&amp;U311,"")</f>
        <v/>
      </c>
      <c r="AA311">
        <f>IF(NOT(Q311),"",IF(NOT(AND(R311,S311)),"✕",IF(OR(OR(AND(L311&lt;&gt;"",M311&lt;&gt;"",N(M311)-N(L311)&gt;설정!$B$27),AND(L311&lt;&gt;"",M311="",설정!$B$24-N(L311)&gt;설정!$B$27)),AND(D311&lt;&gt;"",D311&lt;설정!$B$26)),"△","★")))</f>
        <v/>
      </c>
      <c r="AB311">
        <f>IF(NOT(T311),"",IF(U311="설계사",설정!$B$31,IF(U311="시공사",IF(OR(M311="",설정!$B$24-N(M311)&lt;=설정!$B$28*30.4),설정!$B$32,설정!$B$33),설정!$B$34))+IF(AA311="★",설정!$B$35,0))</f>
        <v/>
      </c>
      <c r="AC311">
        <f>SUBSTITUTE(SUBSTITUTE(SUBSTITUTE(SUBSTITUTE(H311,"(주)",""),"㈜",""),"주식회사","")," ","")</f>
        <v/>
      </c>
      <c r="AD311">
        <f>IF(AND(T311,AC311&lt;&gt;""),IF(COUNTIFS(AC$2:AC311,AC311,T$2:T311,TRUE)=1,MAX(AD$1:AD310)+1,""),"")</f>
        <v/>
      </c>
    </row>
    <row r="312">
      <c r="A312">
        <f>ROW()</f>
        <v/>
      </c>
      <c r="B312">
        <f>IF(설정!$C$4="","",IFERROR(INDEX('1.산군_붙여넣기'!$A$1:$AZ$1001,ROW(),설정!$C$4)&amp;"",""))</f>
        <v/>
      </c>
      <c r="C312">
        <f>IF(설정!$C$5="","",IFERROR(INDEX('1.산군_붙여넣기'!$A$1:$AZ$1001,ROW(),설정!$C$5)&amp;"",""))</f>
        <v/>
      </c>
      <c r="D312" s="5">
        <f>IFERROR(VALUE(SUBSTITUTE(SUBSTITUTE(SUBSTITUTE(IF(설정!$C$6="","",IFERROR(INDEX('1.산군_붙여넣기'!$A$1:$AZ$1001,ROW(),설정!$C$6)&amp;"","")),",",""),"㎡",""),"m2","")),"")</f>
        <v/>
      </c>
      <c r="E312">
        <f>IF(설정!$C$7="","",IFERROR(INDEX('1.산군_붙여넣기'!$A$1:$AZ$1001,ROW(),설정!$C$7)&amp;"",""))</f>
        <v/>
      </c>
      <c r="F312">
        <f>IF(설정!$C$8="","",IFERROR(INDEX('1.산군_붙여넣기'!$A$1:$AZ$1001,ROW(),설정!$C$8)&amp;"",""))</f>
        <v/>
      </c>
      <c r="G312">
        <f>IF(설정!$C$9="","",IFERROR(INDEX('1.산군_붙여넣기'!$A$1:$AZ$1001,ROW(),설정!$C$9)&amp;"",""))</f>
        <v/>
      </c>
      <c r="H312">
        <f>IF(설정!$C$10="","",IFERROR(INDEX('1.산군_붙여넣기'!$A$1:$AZ$1001,ROW(),설정!$C$10)&amp;"",""))</f>
        <v/>
      </c>
      <c r="I312">
        <f>IF(설정!$C$11="","",IFERROR(INDEX('1.산군_붙여넣기'!$A$1:$AZ$1001,ROW(),설정!$C$11)&amp;"",""))</f>
        <v/>
      </c>
      <c r="J312">
        <f>IF(설정!$C$12="","",IFERROR(INDEX('1.산군_붙여넣기'!$A$1:$AZ$1001,ROW(),설정!$C$12)&amp;"",""))</f>
        <v/>
      </c>
      <c r="K312">
        <f>IF(설정!$C$13="","",IFERROR(INDEX('1.산군_붙여넣기'!$A$1:$AZ$1001,ROW(),설정!$C$13)&amp;"",""))</f>
        <v/>
      </c>
      <c r="L312" s="7">
        <f>IF(X312="","",IF(AND(LEN(X312)=8,ISNUMBER(X312*1)),DATE(LEFT(X312,4),MID(X312,5,2),RIGHT(X312,2)),IFERROR(DATEVALUE(SUBSTITUTE(SUBSTITUTE(X312,".","-"),"/","-")),IFERROR(X312*1,""))))</f>
        <v/>
      </c>
      <c r="M312" s="7">
        <f>IF(Y312="","",IF(AND(LEN(Y312)=8,ISNUMBER(Y312*1)),DATE(LEFT(Y312,4),MID(Y312,5,2),RIGHT(Y312,2)),IFERROR(DATEVALUE(SUBSTITUTE(SUBSTITUTE(Y312,".","-"),"/","-")),IFERROR(Y312*1,""))))</f>
        <v/>
      </c>
      <c r="N312">
        <f>IFERROR(LEFT(B312,FIND(" ",B312)-1),B312)</f>
        <v/>
      </c>
      <c r="O312">
        <f>AND(B312&lt;&gt;"",B312&lt;&gt;설정!$B$4,C312&lt;&gt;설정!$B$5)</f>
        <v/>
      </c>
      <c r="P312">
        <f>IF(O312,B312&amp;"|"&amp;C312,"")</f>
        <v/>
      </c>
      <c r="Q312">
        <f>AND(O312,COUNTIF(P313:P$1002,P312)=0)</f>
        <v/>
      </c>
      <c r="R312">
        <f>OR(AND(설정!$A$42&lt;&gt;"",ISNUMBER(SEARCH(설정!$A$42,E312&amp;" "&amp;C312))),AND(설정!$A$43&lt;&gt;"",ISNUMBER(SEARCH(설정!$A$43,E312&amp;" "&amp;C312))),AND(설정!$A$44&lt;&gt;"",ISNUMBER(SEARCH(설정!$A$44,E312&amp;" "&amp;C312))),AND(설정!$A$45&lt;&gt;"",ISNUMBER(SEARCH(설정!$A$45,E312&amp;" "&amp;C312))),AND(설정!$A$46&lt;&gt;"",ISNUMBER(SEARCH(설정!$A$46,E312&amp;" "&amp;C312))),AND(설정!$A$47&lt;&gt;"",ISNUMBER(SEARCH(설정!$A$47,E312&amp;" "&amp;C312))),AND(설정!$A$48&lt;&gt;"",ISNUMBER(SEARCH(설정!$A$48,E312&amp;" "&amp;C312))),AND(설정!$A$49&lt;&gt;"",ISNUMBER(SEARCH(설정!$A$49,E312&amp;" "&amp;C312))),AND(설정!$A$50&lt;&gt;"",ISNUMBER(SEARCH(설정!$A$50,E312&amp;" "&amp;C312))),AND(설정!$A$51&lt;&gt;"",ISNUMBER(SEARCH(설정!$A$51,E312&amp;" "&amp;C312))))</f>
        <v/>
      </c>
      <c r="S312">
        <f>OR(D312="",D312&gt;=설정!$B$19)</f>
        <v/>
      </c>
      <c r="T312">
        <f>AND(Q312,R312,S312)</f>
        <v/>
      </c>
      <c r="U312">
        <f>IF(T312,IF(AND(설정!$A$54&lt;&gt;"",ISNUMBER(SEARCH(설정!$A$54,K312))),설정!$B$54,IF(AND(설정!$A$55&lt;&gt;"",ISNUMBER(SEARCH(설정!$A$55,K312))),설정!$B$55,IF(AND(설정!$A$56&lt;&gt;"",ISNUMBER(SEARCH(설정!$A$56,K312))),설정!$B$56,IF(AND(설정!$A$57&lt;&gt;"",ISNUMBER(SEARCH(설정!$A$57,K312))),설정!$B$57,IF(AND(설정!$A$58&lt;&gt;"",ISNUMBER(SEARCH(설정!$A$58,K312))),설정!$B$58,IF(AND(설정!$A$59&lt;&gt;"",ISNUMBER(SEARCH(설정!$A$59,K312))),설정!$B$59,IF(AND(설정!$A$60&lt;&gt;"",ISNUMBER(SEARCH(설정!$A$60,K312))),설정!$B$60,IF(AND(설정!$A$61&lt;&gt;"",ISNUMBER(SEARCH(설정!$A$61,K312))),설정!$B$61,IF(M312="","설계사","시공사"))))))))),"")</f>
        <v/>
      </c>
      <c r="V312">
        <f>SUBSTITUTE(SUBSTITUTE(SUBSTITUTE(SUBSTITUTE(G312,"(주)",""),"㈜",""),"주식회사","")," ","")</f>
        <v/>
      </c>
      <c r="W312">
        <f>IF(AND(T312,V312&lt;&gt;""),IF(COUNTIFS(V$2:V312,V312,T$2:T312,TRUE)=1,MAX(W$1:W311)+1,""),"")</f>
        <v/>
      </c>
      <c r="X312">
        <f>IF(설정!$C$14="","",IFERROR(INDEX('1.산군_붙여넣기'!$A$1:$AZ$1001,ROW(),설정!$C$14)&amp;"",""))</f>
        <v/>
      </c>
      <c r="Y312">
        <f>IF(설정!$C$15="","",IFERROR(INDEX('1.산군_붙여넣기'!$A$1:$AZ$1001,ROW(),설정!$C$15)&amp;"",""))</f>
        <v/>
      </c>
      <c r="Z312">
        <f>IF(T312,V312&amp;"|"&amp;U312,"")</f>
        <v/>
      </c>
      <c r="AA312">
        <f>IF(NOT(Q312),"",IF(NOT(AND(R312,S312)),"✕",IF(OR(OR(AND(L312&lt;&gt;"",M312&lt;&gt;"",N(M312)-N(L312)&gt;설정!$B$27),AND(L312&lt;&gt;"",M312="",설정!$B$24-N(L312)&gt;설정!$B$27)),AND(D312&lt;&gt;"",D312&lt;설정!$B$26)),"△","★")))</f>
        <v/>
      </c>
      <c r="AB312">
        <f>IF(NOT(T312),"",IF(U312="설계사",설정!$B$31,IF(U312="시공사",IF(OR(M312="",설정!$B$24-N(M312)&lt;=설정!$B$28*30.4),설정!$B$32,설정!$B$33),설정!$B$34))+IF(AA312="★",설정!$B$35,0))</f>
        <v/>
      </c>
      <c r="AC312">
        <f>SUBSTITUTE(SUBSTITUTE(SUBSTITUTE(SUBSTITUTE(H312,"(주)",""),"㈜",""),"주식회사","")," ","")</f>
        <v/>
      </c>
      <c r="AD312">
        <f>IF(AND(T312,AC312&lt;&gt;""),IF(COUNTIFS(AC$2:AC312,AC312,T$2:T312,TRUE)=1,MAX(AD$1:AD311)+1,""),"")</f>
        <v/>
      </c>
    </row>
    <row r="313">
      <c r="A313">
        <f>ROW()</f>
        <v/>
      </c>
      <c r="B313">
        <f>IF(설정!$C$4="","",IFERROR(INDEX('1.산군_붙여넣기'!$A$1:$AZ$1001,ROW(),설정!$C$4)&amp;"",""))</f>
        <v/>
      </c>
      <c r="C313">
        <f>IF(설정!$C$5="","",IFERROR(INDEX('1.산군_붙여넣기'!$A$1:$AZ$1001,ROW(),설정!$C$5)&amp;"",""))</f>
        <v/>
      </c>
      <c r="D313" s="5">
        <f>IFERROR(VALUE(SUBSTITUTE(SUBSTITUTE(SUBSTITUTE(IF(설정!$C$6="","",IFERROR(INDEX('1.산군_붙여넣기'!$A$1:$AZ$1001,ROW(),설정!$C$6)&amp;"","")),",",""),"㎡",""),"m2","")),"")</f>
        <v/>
      </c>
      <c r="E313">
        <f>IF(설정!$C$7="","",IFERROR(INDEX('1.산군_붙여넣기'!$A$1:$AZ$1001,ROW(),설정!$C$7)&amp;"",""))</f>
        <v/>
      </c>
      <c r="F313">
        <f>IF(설정!$C$8="","",IFERROR(INDEX('1.산군_붙여넣기'!$A$1:$AZ$1001,ROW(),설정!$C$8)&amp;"",""))</f>
        <v/>
      </c>
      <c r="G313">
        <f>IF(설정!$C$9="","",IFERROR(INDEX('1.산군_붙여넣기'!$A$1:$AZ$1001,ROW(),설정!$C$9)&amp;"",""))</f>
        <v/>
      </c>
      <c r="H313">
        <f>IF(설정!$C$10="","",IFERROR(INDEX('1.산군_붙여넣기'!$A$1:$AZ$1001,ROW(),설정!$C$10)&amp;"",""))</f>
        <v/>
      </c>
      <c r="I313">
        <f>IF(설정!$C$11="","",IFERROR(INDEX('1.산군_붙여넣기'!$A$1:$AZ$1001,ROW(),설정!$C$11)&amp;"",""))</f>
        <v/>
      </c>
      <c r="J313">
        <f>IF(설정!$C$12="","",IFERROR(INDEX('1.산군_붙여넣기'!$A$1:$AZ$1001,ROW(),설정!$C$12)&amp;"",""))</f>
        <v/>
      </c>
      <c r="K313">
        <f>IF(설정!$C$13="","",IFERROR(INDEX('1.산군_붙여넣기'!$A$1:$AZ$1001,ROW(),설정!$C$13)&amp;"",""))</f>
        <v/>
      </c>
      <c r="L313" s="7">
        <f>IF(X313="","",IF(AND(LEN(X313)=8,ISNUMBER(X313*1)),DATE(LEFT(X313,4),MID(X313,5,2),RIGHT(X313,2)),IFERROR(DATEVALUE(SUBSTITUTE(SUBSTITUTE(X313,".","-"),"/","-")),IFERROR(X313*1,""))))</f>
        <v/>
      </c>
      <c r="M313" s="7">
        <f>IF(Y313="","",IF(AND(LEN(Y313)=8,ISNUMBER(Y313*1)),DATE(LEFT(Y313,4),MID(Y313,5,2),RIGHT(Y313,2)),IFERROR(DATEVALUE(SUBSTITUTE(SUBSTITUTE(Y313,".","-"),"/","-")),IFERROR(Y313*1,""))))</f>
        <v/>
      </c>
      <c r="N313">
        <f>IFERROR(LEFT(B313,FIND(" ",B313)-1),B313)</f>
        <v/>
      </c>
      <c r="O313">
        <f>AND(B313&lt;&gt;"",B313&lt;&gt;설정!$B$4,C313&lt;&gt;설정!$B$5)</f>
        <v/>
      </c>
      <c r="P313">
        <f>IF(O313,B313&amp;"|"&amp;C313,"")</f>
        <v/>
      </c>
      <c r="Q313">
        <f>AND(O313,COUNTIF(P314:P$1002,P313)=0)</f>
        <v/>
      </c>
      <c r="R313">
        <f>OR(AND(설정!$A$42&lt;&gt;"",ISNUMBER(SEARCH(설정!$A$42,E313&amp;" "&amp;C313))),AND(설정!$A$43&lt;&gt;"",ISNUMBER(SEARCH(설정!$A$43,E313&amp;" "&amp;C313))),AND(설정!$A$44&lt;&gt;"",ISNUMBER(SEARCH(설정!$A$44,E313&amp;" "&amp;C313))),AND(설정!$A$45&lt;&gt;"",ISNUMBER(SEARCH(설정!$A$45,E313&amp;" "&amp;C313))),AND(설정!$A$46&lt;&gt;"",ISNUMBER(SEARCH(설정!$A$46,E313&amp;" "&amp;C313))),AND(설정!$A$47&lt;&gt;"",ISNUMBER(SEARCH(설정!$A$47,E313&amp;" "&amp;C313))),AND(설정!$A$48&lt;&gt;"",ISNUMBER(SEARCH(설정!$A$48,E313&amp;" "&amp;C313))),AND(설정!$A$49&lt;&gt;"",ISNUMBER(SEARCH(설정!$A$49,E313&amp;" "&amp;C313))),AND(설정!$A$50&lt;&gt;"",ISNUMBER(SEARCH(설정!$A$50,E313&amp;" "&amp;C313))),AND(설정!$A$51&lt;&gt;"",ISNUMBER(SEARCH(설정!$A$51,E313&amp;" "&amp;C313))))</f>
        <v/>
      </c>
      <c r="S313">
        <f>OR(D313="",D313&gt;=설정!$B$19)</f>
        <v/>
      </c>
      <c r="T313">
        <f>AND(Q313,R313,S313)</f>
        <v/>
      </c>
      <c r="U313">
        <f>IF(T313,IF(AND(설정!$A$54&lt;&gt;"",ISNUMBER(SEARCH(설정!$A$54,K313))),설정!$B$54,IF(AND(설정!$A$55&lt;&gt;"",ISNUMBER(SEARCH(설정!$A$55,K313))),설정!$B$55,IF(AND(설정!$A$56&lt;&gt;"",ISNUMBER(SEARCH(설정!$A$56,K313))),설정!$B$56,IF(AND(설정!$A$57&lt;&gt;"",ISNUMBER(SEARCH(설정!$A$57,K313))),설정!$B$57,IF(AND(설정!$A$58&lt;&gt;"",ISNUMBER(SEARCH(설정!$A$58,K313))),설정!$B$58,IF(AND(설정!$A$59&lt;&gt;"",ISNUMBER(SEARCH(설정!$A$59,K313))),설정!$B$59,IF(AND(설정!$A$60&lt;&gt;"",ISNUMBER(SEARCH(설정!$A$60,K313))),설정!$B$60,IF(AND(설정!$A$61&lt;&gt;"",ISNUMBER(SEARCH(설정!$A$61,K313))),설정!$B$61,IF(M313="","설계사","시공사"))))))))),"")</f>
        <v/>
      </c>
      <c r="V313">
        <f>SUBSTITUTE(SUBSTITUTE(SUBSTITUTE(SUBSTITUTE(G313,"(주)",""),"㈜",""),"주식회사","")," ","")</f>
        <v/>
      </c>
      <c r="W313">
        <f>IF(AND(T313,V313&lt;&gt;""),IF(COUNTIFS(V$2:V313,V313,T$2:T313,TRUE)=1,MAX(W$1:W312)+1,""),"")</f>
        <v/>
      </c>
      <c r="X313">
        <f>IF(설정!$C$14="","",IFERROR(INDEX('1.산군_붙여넣기'!$A$1:$AZ$1001,ROW(),설정!$C$14)&amp;"",""))</f>
        <v/>
      </c>
      <c r="Y313">
        <f>IF(설정!$C$15="","",IFERROR(INDEX('1.산군_붙여넣기'!$A$1:$AZ$1001,ROW(),설정!$C$15)&amp;"",""))</f>
        <v/>
      </c>
      <c r="Z313">
        <f>IF(T313,V313&amp;"|"&amp;U313,"")</f>
        <v/>
      </c>
      <c r="AA313">
        <f>IF(NOT(Q313),"",IF(NOT(AND(R313,S313)),"✕",IF(OR(OR(AND(L313&lt;&gt;"",M313&lt;&gt;"",N(M313)-N(L313)&gt;설정!$B$27),AND(L313&lt;&gt;"",M313="",설정!$B$24-N(L313)&gt;설정!$B$27)),AND(D313&lt;&gt;"",D313&lt;설정!$B$26)),"△","★")))</f>
        <v/>
      </c>
      <c r="AB313">
        <f>IF(NOT(T313),"",IF(U313="설계사",설정!$B$31,IF(U313="시공사",IF(OR(M313="",설정!$B$24-N(M313)&lt;=설정!$B$28*30.4),설정!$B$32,설정!$B$33),설정!$B$34))+IF(AA313="★",설정!$B$35,0))</f>
        <v/>
      </c>
      <c r="AC313">
        <f>SUBSTITUTE(SUBSTITUTE(SUBSTITUTE(SUBSTITUTE(H313,"(주)",""),"㈜",""),"주식회사","")," ","")</f>
        <v/>
      </c>
      <c r="AD313">
        <f>IF(AND(T313,AC313&lt;&gt;""),IF(COUNTIFS(AC$2:AC313,AC313,T$2:T313,TRUE)=1,MAX(AD$1:AD312)+1,""),"")</f>
        <v/>
      </c>
    </row>
    <row r="314">
      <c r="A314">
        <f>ROW()</f>
        <v/>
      </c>
      <c r="B314">
        <f>IF(설정!$C$4="","",IFERROR(INDEX('1.산군_붙여넣기'!$A$1:$AZ$1001,ROW(),설정!$C$4)&amp;"",""))</f>
        <v/>
      </c>
      <c r="C314">
        <f>IF(설정!$C$5="","",IFERROR(INDEX('1.산군_붙여넣기'!$A$1:$AZ$1001,ROW(),설정!$C$5)&amp;"",""))</f>
        <v/>
      </c>
      <c r="D314" s="5">
        <f>IFERROR(VALUE(SUBSTITUTE(SUBSTITUTE(SUBSTITUTE(IF(설정!$C$6="","",IFERROR(INDEX('1.산군_붙여넣기'!$A$1:$AZ$1001,ROW(),설정!$C$6)&amp;"","")),",",""),"㎡",""),"m2","")),"")</f>
        <v/>
      </c>
      <c r="E314">
        <f>IF(설정!$C$7="","",IFERROR(INDEX('1.산군_붙여넣기'!$A$1:$AZ$1001,ROW(),설정!$C$7)&amp;"",""))</f>
        <v/>
      </c>
      <c r="F314">
        <f>IF(설정!$C$8="","",IFERROR(INDEX('1.산군_붙여넣기'!$A$1:$AZ$1001,ROW(),설정!$C$8)&amp;"",""))</f>
        <v/>
      </c>
      <c r="G314">
        <f>IF(설정!$C$9="","",IFERROR(INDEX('1.산군_붙여넣기'!$A$1:$AZ$1001,ROW(),설정!$C$9)&amp;"",""))</f>
        <v/>
      </c>
      <c r="H314">
        <f>IF(설정!$C$10="","",IFERROR(INDEX('1.산군_붙여넣기'!$A$1:$AZ$1001,ROW(),설정!$C$10)&amp;"",""))</f>
        <v/>
      </c>
      <c r="I314">
        <f>IF(설정!$C$11="","",IFERROR(INDEX('1.산군_붙여넣기'!$A$1:$AZ$1001,ROW(),설정!$C$11)&amp;"",""))</f>
        <v/>
      </c>
      <c r="J314">
        <f>IF(설정!$C$12="","",IFERROR(INDEX('1.산군_붙여넣기'!$A$1:$AZ$1001,ROW(),설정!$C$12)&amp;"",""))</f>
        <v/>
      </c>
      <c r="K314">
        <f>IF(설정!$C$13="","",IFERROR(INDEX('1.산군_붙여넣기'!$A$1:$AZ$1001,ROW(),설정!$C$13)&amp;"",""))</f>
        <v/>
      </c>
      <c r="L314" s="7">
        <f>IF(X314="","",IF(AND(LEN(X314)=8,ISNUMBER(X314*1)),DATE(LEFT(X314,4),MID(X314,5,2),RIGHT(X314,2)),IFERROR(DATEVALUE(SUBSTITUTE(SUBSTITUTE(X314,".","-"),"/","-")),IFERROR(X314*1,""))))</f>
        <v/>
      </c>
      <c r="M314" s="7">
        <f>IF(Y314="","",IF(AND(LEN(Y314)=8,ISNUMBER(Y314*1)),DATE(LEFT(Y314,4),MID(Y314,5,2),RIGHT(Y314,2)),IFERROR(DATEVALUE(SUBSTITUTE(SUBSTITUTE(Y314,".","-"),"/","-")),IFERROR(Y314*1,""))))</f>
        <v/>
      </c>
      <c r="N314">
        <f>IFERROR(LEFT(B314,FIND(" ",B314)-1),B314)</f>
        <v/>
      </c>
      <c r="O314">
        <f>AND(B314&lt;&gt;"",B314&lt;&gt;설정!$B$4,C314&lt;&gt;설정!$B$5)</f>
        <v/>
      </c>
      <c r="P314">
        <f>IF(O314,B314&amp;"|"&amp;C314,"")</f>
        <v/>
      </c>
      <c r="Q314">
        <f>AND(O314,COUNTIF(P315:P$1002,P314)=0)</f>
        <v/>
      </c>
      <c r="R314">
        <f>OR(AND(설정!$A$42&lt;&gt;"",ISNUMBER(SEARCH(설정!$A$42,E314&amp;" "&amp;C314))),AND(설정!$A$43&lt;&gt;"",ISNUMBER(SEARCH(설정!$A$43,E314&amp;" "&amp;C314))),AND(설정!$A$44&lt;&gt;"",ISNUMBER(SEARCH(설정!$A$44,E314&amp;" "&amp;C314))),AND(설정!$A$45&lt;&gt;"",ISNUMBER(SEARCH(설정!$A$45,E314&amp;" "&amp;C314))),AND(설정!$A$46&lt;&gt;"",ISNUMBER(SEARCH(설정!$A$46,E314&amp;" "&amp;C314))),AND(설정!$A$47&lt;&gt;"",ISNUMBER(SEARCH(설정!$A$47,E314&amp;" "&amp;C314))),AND(설정!$A$48&lt;&gt;"",ISNUMBER(SEARCH(설정!$A$48,E314&amp;" "&amp;C314))),AND(설정!$A$49&lt;&gt;"",ISNUMBER(SEARCH(설정!$A$49,E314&amp;" "&amp;C314))),AND(설정!$A$50&lt;&gt;"",ISNUMBER(SEARCH(설정!$A$50,E314&amp;" "&amp;C314))),AND(설정!$A$51&lt;&gt;"",ISNUMBER(SEARCH(설정!$A$51,E314&amp;" "&amp;C314))))</f>
        <v/>
      </c>
      <c r="S314">
        <f>OR(D314="",D314&gt;=설정!$B$19)</f>
        <v/>
      </c>
      <c r="T314">
        <f>AND(Q314,R314,S314)</f>
        <v/>
      </c>
      <c r="U314">
        <f>IF(T314,IF(AND(설정!$A$54&lt;&gt;"",ISNUMBER(SEARCH(설정!$A$54,K314))),설정!$B$54,IF(AND(설정!$A$55&lt;&gt;"",ISNUMBER(SEARCH(설정!$A$55,K314))),설정!$B$55,IF(AND(설정!$A$56&lt;&gt;"",ISNUMBER(SEARCH(설정!$A$56,K314))),설정!$B$56,IF(AND(설정!$A$57&lt;&gt;"",ISNUMBER(SEARCH(설정!$A$57,K314))),설정!$B$57,IF(AND(설정!$A$58&lt;&gt;"",ISNUMBER(SEARCH(설정!$A$58,K314))),설정!$B$58,IF(AND(설정!$A$59&lt;&gt;"",ISNUMBER(SEARCH(설정!$A$59,K314))),설정!$B$59,IF(AND(설정!$A$60&lt;&gt;"",ISNUMBER(SEARCH(설정!$A$60,K314))),설정!$B$60,IF(AND(설정!$A$61&lt;&gt;"",ISNUMBER(SEARCH(설정!$A$61,K314))),설정!$B$61,IF(M314="","설계사","시공사"))))))))),"")</f>
        <v/>
      </c>
      <c r="V314">
        <f>SUBSTITUTE(SUBSTITUTE(SUBSTITUTE(SUBSTITUTE(G314,"(주)",""),"㈜",""),"주식회사","")," ","")</f>
        <v/>
      </c>
      <c r="W314">
        <f>IF(AND(T314,V314&lt;&gt;""),IF(COUNTIFS(V$2:V314,V314,T$2:T314,TRUE)=1,MAX(W$1:W313)+1,""),"")</f>
        <v/>
      </c>
      <c r="X314">
        <f>IF(설정!$C$14="","",IFERROR(INDEX('1.산군_붙여넣기'!$A$1:$AZ$1001,ROW(),설정!$C$14)&amp;"",""))</f>
        <v/>
      </c>
      <c r="Y314">
        <f>IF(설정!$C$15="","",IFERROR(INDEX('1.산군_붙여넣기'!$A$1:$AZ$1001,ROW(),설정!$C$15)&amp;"",""))</f>
        <v/>
      </c>
      <c r="Z314">
        <f>IF(T314,V314&amp;"|"&amp;U314,"")</f>
        <v/>
      </c>
      <c r="AA314">
        <f>IF(NOT(Q314),"",IF(NOT(AND(R314,S314)),"✕",IF(OR(OR(AND(L314&lt;&gt;"",M314&lt;&gt;"",N(M314)-N(L314)&gt;설정!$B$27),AND(L314&lt;&gt;"",M314="",설정!$B$24-N(L314)&gt;설정!$B$27)),AND(D314&lt;&gt;"",D314&lt;설정!$B$26)),"△","★")))</f>
        <v/>
      </c>
      <c r="AB314">
        <f>IF(NOT(T314),"",IF(U314="설계사",설정!$B$31,IF(U314="시공사",IF(OR(M314="",설정!$B$24-N(M314)&lt;=설정!$B$28*30.4),설정!$B$32,설정!$B$33),설정!$B$34))+IF(AA314="★",설정!$B$35,0))</f>
        <v/>
      </c>
      <c r="AC314">
        <f>SUBSTITUTE(SUBSTITUTE(SUBSTITUTE(SUBSTITUTE(H314,"(주)",""),"㈜",""),"주식회사","")," ","")</f>
        <v/>
      </c>
      <c r="AD314">
        <f>IF(AND(T314,AC314&lt;&gt;""),IF(COUNTIFS(AC$2:AC314,AC314,T$2:T314,TRUE)=1,MAX(AD$1:AD313)+1,""),"")</f>
        <v/>
      </c>
    </row>
    <row r="315">
      <c r="A315">
        <f>ROW()</f>
        <v/>
      </c>
      <c r="B315">
        <f>IF(설정!$C$4="","",IFERROR(INDEX('1.산군_붙여넣기'!$A$1:$AZ$1001,ROW(),설정!$C$4)&amp;"",""))</f>
        <v/>
      </c>
      <c r="C315">
        <f>IF(설정!$C$5="","",IFERROR(INDEX('1.산군_붙여넣기'!$A$1:$AZ$1001,ROW(),설정!$C$5)&amp;"",""))</f>
        <v/>
      </c>
      <c r="D315" s="5">
        <f>IFERROR(VALUE(SUBSTITUTE(SUBSTITUTE(SUBSTITUTE(IF(설정!$C$6="","",IFERROR(INDEX('1.산군_붙여넣기'!$A$1:$AZ$1001,ROW(),설정!$C$6)&amp;"","")),",",""),"㎡",""),"m2","")),"")</f>
        <v/>
      </c>
      <c r="E315">
        <f>IF(설정!$C$7="","",IFERROR(INDEX('1.산군_붙여넣기'!$A$1:$AZ$1001,ROW(),설정!$C$7)&amp;"",""))</f>
        <v/>
      </c>
      <c r="F315">
        <f>IF(설정!$C$8="","",IFERROR(INDEX('1.산군_붙여넣기'!$A$1:$AZ$1001,ROW(),설정!$C$8)&amp;"",""))</f>
        <v/>
      </c>
      <c r="G315">
        <f>IF(설정!$C$9="","",IFERROR(INDEX('1.산군_붙여넣기'!$A$1:$AZ$1001,ROW(),설정!$C$9)&amp;"",""))</f>
        <v/>
      </c>
      <c r="H315">
        <f>IF(설정!$C$10="","",IFERROR(INDEX('1.산군_붙여넣기'!$A$1:$AZ$1001,ROW(),설정!$C$10)&amp;"",""))</f>
        <v/>
      </c>
      <c r="I315">
        <f>IF(설정!$C$11="","",IFERROR(INDEX('1.산군_붙여넣기'!$A$1:$AZ$1001,ROW(),설정!$C$11)&amp;"",""))</f>
        <v/>
      </c>
      <c r="J315">
        <f>IF(설정!$C$12="","",IFERROR(INDEX('1.산군_붙여넣기'!$A$1:$AZ$1001,ROW(),설정!$C$12)&amp;"",""))</f>
        <v/>
      </c>
      <c r="K315">
        <f>IF(설정!$C$13="","",IFERROR(INDEX('1.산군_붙여넣기'!$A$1:$AZ$1001,ROW(),설정!$C$13)&amp;"",""))</f>
        <v/>
      </c>
      <c r="L315" s="7">
        <f>IF(X315="","",IF(AND(LEN(X315)=8,ISNUMBER(X315*1)),DATE(LEFT(X315,4),MID(X315,5,2),RIGHT(X315,2)),IFERROR(DATEVALUE(SUBSTITUTE(SUBSTITUTE(X315,".","-"),"/","-")),IFERROR(X315*1,""))))</f>
        <v/>
      </c>
      <c r="M315" s="7">
        <f>IF(Y315="","",IF(AND(LEN(Y315)=8,ISNUMBER(Y315*1)),DATE(LEFT(Y315,4),MID(Y315,5,2),RIGHT(Y315,2)),IFERROR(DATEVALUE(SUBSTITUTE(SUBSTITUTE(Y315,".","-"),"/","-")),IFERROR(Y315*1,""))))</f>
        <v/>
      </c>
      <c r="N315">
        <f>IFERROR(LEFT(B315,FIND(" ",B315)-1),B315)</f>
        <v/>
      </c>
      <c r="O315">
        <f>AND(B315&lt;&gt;"",B315&lt;&gt;설정!$B$4,C315&lt;&gt;설정!$B$5)</f>
        <v/>
      </c>
      <c r="P315">
        <f>IF(O315,B315&amp;"|"&amp;C315,"")</f>
        <v/>
      </c>
      <c r="Q315">
        <f>AND(O315,COUNTIF(P316:P$1002,P315)=0)</f>
        <v/>
      </c>
      <c r="R315">
        <f>OR(AND(설정!$A$42&lt;&gt;"",ISNUMBER(SEARCH(설정!$A$42,E315&amp;" "&amp;C315))),AND(설정!$A$43&lt;&gt;"",ISNUMBER(SEARCH(설정!$A$43,E315&amp;" "&amp;C315))),AND(설정!$A$44&lt;&gt;"",ISNUMBER(SEARCH(설정!$A$44,E315&amp;" "&amp;C315))),AND(설정!$A$45&lt;&gt;"",ISNUMBER(SEARCH(설정!$A$45,E315&amp;" "&amp;C315))),AND(설정!$A$46&lt;&gt;"",ISNUMBER(SEARCH(설정!$A$46,E315&amp;" "&amp;C315))),AND(설정!$A$47&lt;&gt;"",ISNUMBER(SEARCH(설정!$A$47,E315&amp;" "&amp;C315))),AND(설정!$A$48&lt;&gt;"",ISNUMBER(SEARCH(설정!$A$48,E315&amp;" "&amp;C315))),AND(설정!$A$49&lt;&gt;"",ISNUMBER(SEARCH(설정!$A$49,E315&amp;" "&amp;C315))),AND(설정!$A$50&lt;&gt;"",ISNUMBER(SEARCH(설정!$A$50,E315&amp;" "&amp;C315))),AND(설정!$A$51&lt;&gt;"",ISNUMBER(SEARCH(설정!$A$51,E315&amp;" "&amp;C315))))</f>
        <v/>
      </c>
      <c r="S315">
        <f>OR(D315="",D315&gt;=설정!$B$19)</f>
        <v/>
      </c>
      <c r="T315">
        <f>AND(Q315,R315,S315)</f>
        <v/>
      </c>
      <c r="U315">
        <f>IF(T315,IF(AND(설정!$A$54&lt;&gt;"",ISNUMBER(SEARCH(설정!$A$54,K315))),설정!$B$54,IF(AND(설정!$A$55&lt;&gt;"",ISNUMBER(SEARCH(설정!$A$55,K315))),설정!$B$55,IF(AND(설정!$A$56&lt;&gt;"",ISNUMBER(SEARCH(설정!$A$56,K315))),설정!$B$56,IF(AND(설정!$A$57&lt;&gt;"",ISNUMBER(SEARCH(설정!$A$57,K315))),설정!$B$57,IF(AND(설정!$A$58&lt;&gt;"",ISNUMBER(SEARCH(설정!$A$58,K315))),설정!$B$58,IF(AND(설정!$A$59&lt;&gt;"",ISNUMBER(SEARCH(설정!$A$59,K315))),설정!$B$59,IF(AND(설정!$A$60&lt;&gt;"",ISNUMBER(SEARCH(설정!$A$60,K315))),설정!$B$60,IF(AND(설정!$A$61&lt;&gt;"",ISNUMBER(SEARCH(설정!$A$61,K315))),설정!$B$61,IF(M315="","설계사","시공사"))))))))),"")</f>
        <v/>
      </c>
      <c r="V315">
        <f>SUBSTITUTE(SUBSTITUTE(SUBSTITUTE(SUBSTITUTE(G315,"(주)",""),"㈜",""),"주식회사","")," ","")</f>
        <v/>
      </c>
      <c r="W315">
        <f>IF(AND(T315,V315&lt;&gt;""),IF(COUNTIFS(V$2:V315,V315,T$2:T315,TRUE)=1,MAX(W$1:W314)+1,""),"")</f>
        <v/>
      </c>
      <c r="X315">
        <f>IF(설정!$C$14="","",IFERROR(INDEX('1.산군_붙여넣기'!$A$1:$AZ$1001,ROW(),설정!$C$14)&amp;"",""))</f>
        <v/>
      </c>
      <c r="Y315">
        <f>IF(설정!$C$15="","",IFERROR(INDEX('1.산군_붙여넣기'!$A$1:$AZ$1001,ROW(),설정!$C$15)&amp;"",""))</f>
        <v/>
      </c>
      <c r="Z315">
        <f>IF(T315,V315&amp;"|"&amp;U315,"")</f>
        <v/>
      </c>
      <c r="AA315">
        <f>IF(NOT(Q315),"",IF(NOT(AND(R315,S315)),"✕",IF(OR(OR(AND(L315&lt;&gt;"",M315&lt;&gt;"",N(M315)-N(L315)&gt;설정!$B$27),AND(L315&lt;&gt;"",M315="",설정!$B$24-N(L315)&gt;설정!$B$27)),AND(D315&lt;&gt;"",D315&lt;설정!$B$26)),"△","★")))</f>
        <v/>
      </c>
      <c r="AB315">
        <f>IF(NOT(T315),"",IF(U315="설계사",설정!$B$31,IF(U315="시공사",IF(OR(M315="",설정!$B$24-N(M315)&lt;=설정!$B$28*30.4),설정!$B$32,설정!$B$33),설정!$B$34))+IF(AA315="★",설정!$B$35,0))</f>
        <v/>
      </c>
      <c r="AC315">
        <f>SUBSTITUTE(SUBSTITUTE(SUBSTITUTE(SUBSTITUTE(H315,"(주)",""),"㈜",""),"주식회사","")," ","")</f>
        <v/>
      </c>
      <c r="AD315">
        <f>IF(AND(T315,AC315&lt;&gt;""),IF(COUNTIFS(AC$2:AC315,AC315,T$2:T315,TRUE)=1,MAX(AD$1:AD314)+1,""),"")</f>
        <v/>
      </c>
    </row>
    <row r="316">
      <c r="A316">
        <f>ROW()</f>
        <v/>
      </c>
      <c r="B316">
        <f>IF(설정!$C$4="","",IFERROR(INDEX('1.산군_붙여넣기'!$A$1:$AZ$1001,ROW(),설정!$C$4)&amp;"",""))</f>
        <v/>
      </c>
      <c r="C316">
        <f>IF(설정!$C$5="","",IFERROR(INDEX('1.산군_붙여넣기'!$A$1:$AZ$1001,ROW(),설정!$C$5)&amp;"",""))</f>
        <v/>
      </c>
      <c r="D316" s="5">
        <f>IFERROR(VALUE(SUBSTITUTE(SUBSTITUTE(SUBSTITUTE(IF(설정!$C$6="","",IFERROR(INDEX('1.산군_붙여넣기'!$A$1:$AZ$1001,ROW(),설정!$C$6)&amp;"","")),",",""),"㎡",""),"m2","")),"")</f>
        <v/>
      </c>
      <c r="E316">
        <f>IF(설정!$C$7="","",IFERROR(INDEX('1.산군_붙여넣기'!$A$1:$AZ$1001,ROW(),설정!$C$7)&amp;"",""))</f>
        <v/>
      </c>
      <c r="F316">
        <f>IF(설정!$C$8="","",IFERROR(INDEX('1.산군_붙여넣기'!$A$1:$AZ$1001,ROW(),설정!$C$8)&amp;"",""))</f>
        <v/>
      </c>
      <c r="G316">
        <f>IF(설정!$C$9="","",IFERROR(INDEX('1.산군_붙여넣기'!$A$1:$AZ$1001,ROW(),설정!$C$9)&amp;"",""))</f>
        <v/>
      </c>
      <c r="H316">
        <f>IF(설정!$C$10="","",IFERROR(INDEX('1.산군_붙여넣기'!$A$1:$AZ$1001,ROW(),설정!$C$10)&amp;"",""))</f>
        <v/>
      </c>
      <c r="I316">
        <f>IF(설정!$C$11="","",IFERROR(INDEX('1.산군_붙여넣기'!$A$1:$AZ$1001,ROW(),설정!$C$11)&amp;"",""))</f>
        <v/>
      </c>
      <c r="J316">
        <f>IF(설정!$C$12="","",IFERROR(INDEX('1.산군_붙여넣기'!$A$1:$AZ$1001,ROW(),설정!$C$12)&amp;"",""))</f>
        <v/>
      </c>
      <c r="K316">
        <f>IF(설정!$C$13="","",IFERROR(INDEX('1.산군_붙여넣기'!$A$1:$AZ$1001,ROW(),설정!$C$13)&amp;"",""))</f>
        <v/>
      </c>
      <c r="L316" s="7">
        <f>IF(X316="","",IF(AND(LEN(X316)=8,ISNUMBER(X316*1)),DATE(LEFT(X316,4),MID(X316,5,2),RIGHT(X316,2)),IFERROR(DATEVALUE(SUBSTITUTE(SUBSTITUTE(X316,".","-"),"/","-")),IFERROR(X316*1,""))))</f>
        <v/>
      </c>
      <c r="M316" s="7">
        <f>IF(Y316="","",IF(AND(LEN(Y316)=8,ISNUMBER(Y316*1)),DATE(LEFT(Y316,4),MID(Y316,5,2),RIGHT(Y316,2)),IFERROR(DATEVALUE(SUBSTITUTE(SUBSTITUTE(Y316,".","-"),"/","-")),IFERROR(Y316*1,""))))</f>
        <v/>
      </c>
      <c r="N316">
        <f>IFERROR(LEFT(B316,FIND(" ",B316)-1),B316)</f>
        <v/>
      </c>
      <c r="O316">
        <f>AND(B316&lt;&gt;"",B316&lt;&gt;설정!$B$4,C316&lt;&gt;설정!$B$5)</f>
        <v/>
      </c>
      <c r="P316">
        <f>IF(O316,B316&amp;"|"&amp;C316,"")</f>
        <v/>
      </c>
      <c r="Q316">
        <f>AND(O316,COUNTIF(P317:P$1002,P316)=0)</f>
        <v/>
      </c>
      <c r="R316">
        <f>OR(AND(설정!$A$42&lt;&gt;"",ISNUMBER(SEARCH(설정!$A$42,E316&amp;" "&amp;C316))),AND(설정!$A$43&lt;&gt;"",ISNUMBER(SEARCH(설정!$A$43,E316&amp;" "&amp;C316))),AND(설정!$A$44&lt;&gt;"",ISNUMBER(SEARCH(설정!$A$44,E316&amp;" "&amp;C316))),AND(설정!$A$45&lt;&gt;"",ISNUMBER(SEARCH(설정!$A$45,E316&amp;" "&amp;C316))),AND(설정!$A$46&lt;&gt;"",ISNUMBER(SEARCH(설정!$A$46,E316&amp;" "&amp;C316))),AND(설정!$A$47&lt;&gt;"",ISNUMBER(SEARCH(설정!$A$47,E316&amp;" "&amp;C316))),AND(설정!$A$48&lt;&gt;"",ISNUMBER(SEARCH(설정!$A$48,E316&amp;" "&amp;C316))),AND(설정!$A$49&lt;&gt;"",ISNUMBER(SEARCH(설정!$A$49,E316&amp;" "&amp;C316))),AND(설정!$A$50&lt;&gt;"",ISNUMBER(SEARCH(설정!$A$50,E316&amp;" "&amp;C316))),AND(설정!$A$51&lt;&gt;"",ISNUMBER(SEARCH(설정!$A$51,E316&amp;" "&amp;C316))))</f>
        <v/>
      </c>
      <c r="S316">
        <f>OR(D316="",D316&gt;=설정!$B$19)</f>
        <v/>
      </c>
      <c r="T316">
        <f>AND(Q316,R316,S316)</f>
        <v/>
      </c>
      <c r="U316">
        <f>IF(T316,IF(AND(설정!$A$54&lt;&gt;"",ISNUMBER(SEARCH(설정!$A$54,K316))),설정!$B$54,IF(AND(설정!$A$55&lt;&gt;"",ISNUMBER(SEARCH(설정!$A$55,K316))),설정!$B$55,IF(AND(설정!$A$56&lt;&gt;"",ISNUMBER(SEARCH(설정!$A$56,K316))),설정!$B$56,IF(AND(설정!$A$57&lt;&gt;"",ISNUMBER(SEARCH(설정!$A$57,K316))),설정!$B$57,IF(AND(설정!$A$58&lt;&gt;"",ISNUMBER(SEARCH(설정!$A$58,K316))),설정!$B$58,IF(AND(설정!$A$59&lt;&gt;"",ISNUMBER(SEARCH(설정!$A$59,K316))),설정!$B$59,IF(AND(설정!$A$60&lt;&gt;"",ISNUMBER(SEARCH(설정!$A$60,K316))),설정!$B$60,IF(AND(설정!$A$61&lt;&gt;"",ISNUMBER(SEARCH(설정!$A$61,K316))),설정!$B$61,IF(M316="","설계사","시공사"))))))))),"")</f>
        <v/>
      </c>
      <c r="V316">
        <f>SUBSTITUTE(SUBSTITUTE(SUBSTITUTE(SUBSTITUTE(G316,"(주)",""),"㈜",""),"주식회사","")," ","")</f>
        <v/>
      </c>
      <c r="W316">
        <f>IF(AND(T316,V316&lt;&gt;""),IF(COUNTIFS(V$2:V316,V316,T$2:T316,TRUE)=1,MAX(W$1:W315)+1,""),"")</f>
        <v/>
      </c>
      <c r="X316">
        <f>IF(설정!$C$14="","",IFERROR(INDEX('1.산군_붙여넣기'!$A$1:$AZ$1001,ROW(),설정!$C$14)&amp;"",""))</f>
        <v/>
      </c>
      <c r="Y316">
        <f>IF(설정!$C$15="","",IFERROR(INDEX('1.산군_붙여넣기'!$A$1:$AZ$1001,ROW(),설정!$C$15)&amp;"",""))</f>
        <v/>
      </c>
      <c r="Z316">
        <f>IF(T316,V316&amp;"|"&amp;U316,"")</f>
        <v/>
      </c>
      <c r="AA316">
        <f>IF(NOT(Q316),"",IF(NOT(AND(R316,S316)),"✕",IF(OR(OR(AND(L316&lt;&gt;"",M316&lt;&gt;"",N(M316)-N(L316)&gt;설정!$B$27),AND(L316&lt;&gt;"",M316="",설정!$B$24-N(L316)&gt;설정!$B$27)),AND(D316&lt;&gt;"",D316&lt;설정!$B$26)),"△","★")))</f>
        <v/>
      </c>
      <c r="AB316">
        <f>IF(NOT(T316),"",IF(U316="설계사",설정!$B$31,IF(U316="시공사",IF(OR(M316="",설정!$B$24-N(M316)&lt;=설정!$B$28*30.4),설정!$B$32,설정!$B$33),설정!$B$34))+IF(AA316="★",설정!$B$35,0))</f>
        <v/>
      </c>
      <c r="AC316">
        <f>SUBSTITUTE(SUBSTITUTE(SUBSTITUTE(SUBSTITUTE(H316,"(주)",""),"㈜",""),"주식회사","")," ","")</f>
        <v/>
      </c>
      <c r="AD316">
        <f>IF(AND(T316,AC316&lt;&gt;""),IF(COUNTIFS(AC$2:AC316,AC316,T$2:T316,TRUE)=1,MAX(AD$1:AD315)+1,""),"")</f>
        <v/>
      </c>
    </row>
    <row r="317">
      <c r="A317">
        <f>ROW()</f>
        <v/>
      </c>
      <c r="B317">
        <f>IF(설정!$C$4="","",IFERROR(INDEX('1.산군_붙여넣기'!$A$1:$AZ$1001,ROW(),설정!$C$4)&amp;"",""))</f>
        <v/>
      </c>
      <c r="C317">
        <f>IF(설정!$C$5="","",IFERROR(INDEX('1.산군_붙여넣기'!$A$1:$AZ$1001,ROW(),설정!$C$5)&amp;"",""))</f>
        <v/>
      </c>
      <c r="D317" s="5">
        <f>IFERROR(VALUE(SUBSTITUTE(SUBSTITUTE(SUBSTITUTE(IF(설정!$C$6="","",IFERROR(INDEX('1.산군_붙여넣기'!$A$1:$AZ$1001,ROW(),설정!$C$6)&amp;"","")),",",""),"㎡",""),"m2","")),"")</f>
        <v/>
      </c>
      <c r="E317">
        <f>IF(설정!$C$7="","",IFERROR(INDEX('1.산군_붙여넣기'!$A$1:$AZ$1001,ROW(),설정!$C$7)&amp;"",""))</f>
        <v/>
      </c>
      <c r="F317">
        <f>IF(설정!$C$8="","",IFERROR(INDEX('1.산군_붙여넣기'!$A$1:$AZ$1001,ROW(),설정!$C$8)&amp;"",""))</f>
        <v/>
      </c>
      <c r="G317">
        <f>IF(설정!$C$9="","",IFERROR(INDEX('1.산군_붙여넣기'!$A$1:$AZ$1001,ROW(),설정!$C$9)&amp;"",""))</f>
        <v/>
      </c>
      <c r="H317">
        <f>IF(설정!$C$10="","",IFERROR(INDEX('1.산군_붙여넣기'!$A$1:$AZ$1001,ROW(),설정!$C$10)&amp;"",""))</f>
        <v/>
      </c>
      <c r="I317">
        <f>IF(설정!$C$11="","",IFERROR(INDEX('1.산군_붙여넣기'!$A$1:$AZ$1001,ROW(),설정!$C$11)&amp;"",""))</f>
        <v/>
      </c>
      <c r="J317">
        <f>IF(설정!$C$12="","",IFERROR(INDEX('1.산군_붙여넣기'!$A$1:$AZ$1001,ROW(),설정!$C$12)&amp;"",""))</f>
        <v/>
      </c>
      <c r="K317">
        <f>IF(설정!$C$13="","",IFERROR(INDEX('1.산군_붙여넣기'!$A$1:$AZ$1001,ROW(),설정!$C$13)&amp;"",""))</f>
        <v/>
      </c>
      <c r="L317" s="7">
        <f>IF(X317="","",IF(AND(LEN(X317)=8,ISNUMBER(X317*1)),DATE(LEFT(X317,4),MID(X317,5,2),RIGHT(X317,2)),IFERROR(DATEVALUE(SUBSTITUTE(SUBSTITUTE(X317,".","-"),"/","-")),IFERROR(X317*1,""))))</f>
        <v/>
      </c>
      <c r="M317" s="7">
        <f>IF(Y317="","",IF(AND(LEN(Y317)=8,ISNUMBER(Y317*1)),DATE(LEFT(Y317,4),MID(Y317,5,2),RIGHT(Y317,2)),IFERROR(DATEVALUE(SUBSTITUTE(SUBSTITUTE(Y317,".","-"),"/","-")),IFERROR(Y317*1,""))))</f>
        <v/>
      </c>
      <c r="N317">
        <f>IFERROR(LEFT(B317,FIND(" ",B317)-1),B317)</f>
        <v/>
      </c>
      <c r="O317">
        <f>AND(B317&lt;&gt;"",B317&lt;&gt;설정!$B$4,C317&lt;&gt;설정!$B$5)</f>
        <v/>
      </c>
      <c r="P317">
        <f>IF(O317,B317&amp;"|"&amp;C317,"")</f>
        <v/>
      </c>
      <c r="Q317">
        <f>AND(O317,COUNTIF(P318:P$1002,P317)=0)</f>
        <v/>
      </c>
      <c r="R317">
        <f>OR(AND(설정!$A$42&lt;&gt;"",ISNUMBER(SEARCH(설정!$A$42,E317&amp;" "&amp;C317))),AND(설정!$A$43&lt;&gt;"",ISNUMBER(SEARCH(설정!$A$43,E317&amp;" "&amp;C317))),AND(설정!$A$44&lt;&gt;"",ISNUMBER(SEARCH(설정!$A$44,E317&amp;" "&amp;C317))),AND(설정!$A$45&lt;&gt;"",ISNUMBER(SEARCH(설정!$A$45,E317&amp;" "&amp;C317))),AND(설정!$A$46&lt;&gt;"",ISNUMBER(SEARCH(설정!$A$46,E317&amp;" "&amp;C317))),AND(설정!$A$47&lt;&gt;"",ISNUMBER(SEARCH(설정!$A$47,E317&amp;" "&amp;C317))),AND(설정!$A$48&lt;&gt;"",ISNUMBER(SEARCH(설정!$A$48,E317&amp;" "&amp;C317))),AND(설정!$A$49&lt;&gt;"",ISNUMBER(SEARCH(설정!$A$49,E317&amp;" "&amp;C317))),AND(설정!$A$50&lt;&gt;"",ISNUMBER(SEARCH(설정!$A$50,E317&amp;" "&amp;C317))),AND(설정!$A$51&lt;&gt;"",ISNUMBER(SEARCH(설정!$A$51,E317&amp;" "&amp;C317))))</f>
        <v/>
      </c>
      <c r="S317">
        <f>OR(D317="",D317&gt;=설정!$B$19)</f>
        <v/>
      </c>
      <c r="T317">
        <f>AND(Q317,R317,S317)</f>
        <v/>
      </c>
      <c r="U317">
        <f>IF(T317,IF(AND(설정!$A$54&lt;&gt;"",ISNUMBER(SEARCH(설정!$A$54,K317))),설정!$B$54,IF(AND(설정!$A$55&lt;&gt;"",ISNUMBER(SEARCH(설정!$A$55,K317))),설정!$B$55,IF(AND(설정!$A$56&lt;&gt;"",ISNUMBER(SEARCH(설정!$A$56,K317))),설정!$B$56,IF(AND(설정!$A$57&lt;&gt;"",ISNUMBER(SEARCH(설정!$A$57,K317))),설정!$B$57,IF(AND(설정!$A$58&lt;&gt;"",ISNUMBER(SEARCH(설정!$A$58,K317))),설정!$B$58,IF(AND(설정!$A$59&lt;&gt;"",ISNUMBER(SEARCH(설정!$A$59,K317))),설정!$B$59,IF(AND(설정!$A$60&lt;&gt;"",ISNUMBER(SEARCH(설정!$A$60,K317))),설정!$B$60,IF(AND(설정!$A$61&lt;&gt;"",ISNUMBER(SEARCH(설정!$A$61,K317))),설정!$B$61,IF(M317="","설계사","시공사"))))))))),"")</f>
        <v/>
      </c>
      <c r="V317">
        <f>SUBSTITUTE(SUBSTITUTE(SUBSTITUTE(SUBSTITUTE(G317,"(주)",""),"㈜",""),"주식회사","")," ","")</f>
        <v/>
      </c>
      <c r="W317">
        <f>IF(AND(T317,V317&lt;&gt;""),IF(COUNTIFS(V$2:V317,V317,T$2:T317,TRUE)=1,MAX(W$1:W316)+1,""),"")</f>
        <v/>
      </c>
      <c r="X317">
        <f>IF(설정!$C$14="","",IFERROR(INDEX('1.산군_붙여넣기'!$A$1:$AZ$1001,ROW(),설정!$C$14)&amp;"",""))</f>
        <v/>
      </c>
      <c r="Y317">
        <f>IF(설정!$C$15="","",IFERROR(INDEX('1.산군_붙여넣기'!$A$1:$AZ$1001,ROW(),설정!$C$15)&amp;"",""))</f>
        <v/>
      </c>
      <c r="Z317">
        <f>IF(T317,V317&amp;"|"&amp;U317,"")</f>
        <v/>
      </c>
      <c r="AA317">
        <f>IF(NOT(Q317),"",IF(NOT(AND(R317,S317)),"✕",IF(OR(OR(AND(L317&lt;&gt;"",M317&lt;&gt;"",N(M317)-N(L317)&gt;설정!$B$27),AND(L317&lt;&gt;"",M317="",설정!$B$24-N(L317)&gt;설정!$B$27)),AND(D317&lt;&gt;"",D317&lt;설정!$B$26)),"△","★")))</f>
        <v/>
      </c>
      <c r="AB317">
        <f>IF(NOT(T317),"",IF(U317="설계사",설정!$B$31,IF(U317="시공사",IF(OR(M317="",설정!$B$24-N(M317)&lt;=설정!$B$28*30.4),설정!$B$32,설정!$B$33),설정!$B$34))+IF(AA317="★",설정!$B$35,0))</f>
        <v/>
      </c>
      <c r="AC317">
        <f>SUBSTITUTE(SUBSTITUTE(SUBSTITUTE(SUBSTITUTE(H317,"(주)",""),"㈜",""),"주식회사","")," ","")</f>
        <v/>
      </c>
      <c r="AD317">
        <f>IF(AND(T317,AC317&lt;&gt;""),IF(COUNTIFS(AC$2:AC317,AC317,T$2:T317,TRUE)=1,MAX(AD$1:AD316)+1,""),"")</f>
        <v/>
      </c>
    </row>
    <row r="318">
      <c r="A318">
        <f>ROW()</f>
        <v/>
      </c>
      <c r="B318">
        <f>IF(설정!$C$4="","",IFERROR(INDEX('1.산군_붙여넣기'!$A$1:$AZ$1001,ROW(),설정!$C$4)&amp;"",""))</f>
        <v/>
      </c>
      <c r="C318">
        <f>IF(설정!$C$5="","",IFERROR(INDEX('1.산군_붙여넣기'!$A$1:$AZ$1001,ROW(),설정!$C$5)&amp;"",""))</f>
        <v/>
      </c>
      <c r="D318" s="5">
        <f>IFERROR(VALUE(SUBSTITUTE(SUBSTITUTE(SUBSTITUTE(IF(설정!$C$6="","",IFERROR(INDEX('1.산군_붙여넣기'!$A$1:$AZ$1001,ROW(),설정!$C$6)&amp;"","")),",",""),"㎡",""),"m2","")),"")</f>
        <v/>
      </c>
      <c r="E318">
        <f>IF(설정!$C$7="","",IFERROR(INDEX('1.산군_붙여넣기'!$A$1:$AZ$1001,ROW(),설정!$C$7)&amp;"",""))</f>
        <v/>
      </c>
      <c r="F318">
        <f>IF(설정!$C$8="","",IFERROR(INDEX('1.산군_붙여넣기'!$A$1:$AZ$1001,ROW(),설정!$C$8)&amp;"",""))</f>
        <v/>
      </c>
      <c r="G318">
        <f>IF(설정!$C$9="","",IFERROR(INDEX('1.산군_붙여넣기'!$A$1:$AZ$1001,ROW(),설정!$C$9)&amp;"",""))</f>
        <v/>
      </c>
      <c r="H318">
        <f>IF(설정!$C$10="","",IFERROR(INDEX('1.산군_붙여넣기'!$A$1:$AZ$1001,ROW(),설정!$C$10)&amp;"",""))</f>
        <v/>
      </c>
      <c r="I318">
        <f>IF(설정!$C$11="","",IFERROR(INDEX('1.산군_붙여넣기'!$A$1:$AZ$1001,ROW(),설정!$C$11)&amp;"",""))</f>
        <v/>
      </c>
      <c r="J318">
        <f>IF(설정!$C$12="","",IFERROR(INDEX('1.산군_붙여넣기'!$A$1:$AZ$1001,ROW(),설정!$C$12)&amp;"",""))</f>
        <v/>
      </c>
      <c r="K318">
        <f>IF(설정!$C$13="","",IFERROR(INDEX('1.산군_붙여넣기'!$A$1:$AZ$1001,ROW(),설정!$C$13)&amp;"",""))</f>
        <v/>
      </c>
      <c r="L318" s="7">
        <f>IF(X318="","",IF(AND(LEN(X318)=8,ISNUMBER(X318*1)),DATE(LEFT(X318,4),MID(X318,5,2),RIGHT(X318,2)),IFERROR(DATEVALUE(SUBSTITUTE(SUBSTITUTE(X318,".","-"),"/","-")),IFERROR(X318*1,""))))</f>
        <v/>
      </c>
      <c r="M318" s="7">
        <f>IF(Y318="","",IF(AND(LEN(Y318)=8,ISNUMBER(Y318*1)),DATE(LEFT(Y318,4),MID(Y318,5,2),RIGHT(Y318,2)),IFERROR(DATEVALUE(SUBSTITUTE(SUBSTITUTE(Y318,".","-"),"/","-")),IFERROR(Y318*1,""))))</f>
        <v/>
      </c>
      <c r="N318">
        <f>IFERROR(LEFT(B318,FIND(" ",B318)-1),B318)</f>
        <v/>
      </c>
      <c r="O318">
        <f>AND(B318&lt;&gt;"",B318&lt;&gt;설정!$B$4,C318&lt;&gt;설정!$B$5)</f>
        <v/>
      </c>
      <c r="P318">
        <f>IF(O318,B318&amp;"|"&amp;C318,"")</f>
        <v/>
      </c>
      <c r="Q318">
        <f>AND(O318,COUNTIF(P319:P$1002,P318)=0)</f>
        <v/>
      </c>
      <c r="R318">
        <f>OR(AND(설정!$A$42&lt;&gt;"",ISNUMBER(SEARCH(설정!$A$42,E318&amp;" "&amp;C318))),AND(설정!$A$43&lt;&gt;"",ISNUMBER(SEARCH(설정!$A$43,E318&amp;" "&amp;C318))),AND(설정!$A$44&lt;&gt;"",ISNUMBER(SEARCH(설정!$A$44,E318&amp;" "&amp;C318))),AND(설정!$A$45&lt;&gt;"",ISNUMBER(SEARCH(설정!$A$45,E318&amp;" "&amp;C318))),AND(설정!$A$46&lt;&gt;"",ISNUMBER(SEARCH(설정!$A$46,E318&amp;" "&amp;C318))),AND(설정!$A$47&lt;&gt;"",ISNUMBER(SEARCH(설정!$A$47,E318&amp;" "&amp;C318))),AND(설정!$A$48&lt;&gt;"",ISNUMBER(SEARCH(설정!$A$48,E318&amp;" "&amp;C318))),AND(설정!$A$49&lt;&gt;"",ISNUMBER(SEARCH(설정!$A$49,E318&amp;" "&amp;C318))),AND(설정!$A$50&lt;&gt;"",ISNUMBER(SEARCH(설정!$A$50,E318&amp;" "&amp;C318))),AND(설정!$A$51&lt;&gt;"",ISNUMBER(SEARCH(설정!$A$51,E318&amp;" "&amp;C318))))</f>
        <v/>
      </c>
      <c r="S318">
        <f>OR(D318="",D318&gt;=설정!$B$19)</f>
        <v/>
      </c>
      <c r="T318">
        <f>AND(Q318,R318,S318)</f>
        <v/>
      </c>
      <c r="U318">
        <f>IF(T318,IF(AND(설정!$A$54&lt;&gt;"",ISNUMBER(SEARCH(설정!$A$54,K318))),설정!$B$54,IF(AND(설정!$A$55&lt;&gt;"",ISNUMBER(SEARCH(설정!$A$55,K318))),설정!$B$55,IF(AND(설정!$A$56&lt;&gt;"",ISNUMBER(SEARCH(설정!$A$56,K318))),설정!$B$56,IF(AND(설정!$A$57&lt;&gt;"",ISNUMBER(SEARCH(설정!$A$57,K318))),설정!$B$57,IF(AND(설정!$A$58&lt;&gt;"",ISNUMBER(SEARCH(설정!$A$58,K318))),설정!$B$58,IF(AND(설정!$A$59&lt;&gt;"",ISNUMBER(SEARCH(설정!$A$59,K318))),설정!$B$59,IF(AND(설정!$A$60&lt;&gt;"",ISNUMBER(SEARCH(설정!$A$60,K318))),설정!$B$60,IF(AND(설정!$A$61&lt;&gt;"",ISNUMBER(SEARCH(설정!$A$61,K318))),설정!$B$61,IF(M318="","설계사","시공사"))))))))),"")</f>
        <v/>
      </c>
      <c r="V318">
        <f>SUBSTITUTE(SUBSTITUTE(SUBSTITUTE(SUBSTITUTE(G318,"(주)",""),"㈜",""),"주식회사","")," ","")</f>
        <v/>
      </c>
      <c r="W318">
        <f>IF(AND(T318,V318&lt;&gt;""),IF(COUNTIFS(V$2:V318,V318,T$2:T318,TRUE)=1,MAX(W$1:W317)+1,""),"")</f>
        <v/>
      </c>
      <c r="X318">
        <f>IF(설정!$C$14="","",IFERROR(INDEX('1.산군_붙여넣기'!$A$1:$AZ$1001,ROW(),설정!$C$14)&amp;"",""))</f>
        <v/>
      </c>
      <c r="Y318">
        <f>IF(설정!$C$15="","",IFERROR(INDEX('1.산군_붙여넣기'!$A$1:$AZ$1001,ROW(),설정!$C$15)&amp;"",""))</f>
        <v/>
      </c>
      <c r="Z318">
        <f>IF(T318,V318&amp;"|"&amp;U318,"")</f>
        <v/>
      </c>
      <c r="AA318">
        <f>IF(NOT(Q318),"",IF(NOT(AND(R318,S318)),"✕",IF(OR(OR(AND(L318&lt;&gt;"",M318&lt;&gt;"",N(M318)-N(L318)&gt;설정!$B$27),AND(L318&lt;&gt;"",M318="",설정!$B$24-N(L318)&gt;설정!$B$27)),AND(D318&lt;&gt;"",D318&lt;설정!$B$26)),"△","★")))</f>
        <v/>
      </c>
      <c r="AB318">
        <f>IF(NOT(T318),"",IF(U318="설계사",설정!$B$31,IF(U318="시공사",IF(OR(M318="",설정!$B$24-N(M318)&lt;=설정!$B$28*30.4),설정!$B$32,설정!$B$33),설정!$B$34))+IF(AA318="★",설정!$B$35,0))</f>
        <v/>
      </c>
      <c r="AC318">
        <f>SUBSTITUTE(SUBSTITUTE(SUBSTITUTE(SUBSTITUTE(H318,"(주)",""),"㈜",""),"주식회사","")," ","")</f>
        <v/>
      </c>
      <c r="AD318">
        <f>IF(AND(T318,AC318&lt;&gt;""),IF(COUNTIFS(AC$2:AC318,AC318,T$2:T318,TRUE)=1,MAX(AD$1:AD317)+1,""),"")</f>
        <v/>
      </c>
    </row>
    <row r="319">
      <c r="A319">
        <f>ROW()</f>
        <v/>
      </c>
      <c r="B319">
        <f>IF(설정!$C$4="","",IFERROR(INDEX('1.산군_붙여넣기'!$A$1:$AZ$1001,ROW(),설정!$C$4)&amp;"",""))</f>
        <v/>
      </c>
      <c r="C319">
        <f>IF(설정!$C$5="","",IFERROR(INDEX('1.산군_붙여넣기'!$A$1:$AZ$1001,ROW(),설정!$C$5)&amp;"",""))</f>
        <v/>
      </c>
      <c r="D319" s="5">
        <f>IFERROR(VALUE(SUBSTITUTE(SUBSTITUTE(SUBSTITUTE(IF(설정!$C$6="","",IFERROR(INDEX('1.산군_붙여넣기'!$A$1:$AZ$1001,ROW(),설정!$C$6)&amp;"","")),",",""),"㎡",""),"m2","")),"")</f>
        <v/>
      </c>
      <c r="E319">
        <f>IF(설정!$C$7="","",IFERROR(INDEX('1.산군_붙여넣기'!$A$1:$AZ$1001,ROW(),설정!$C$7)&amp;"",""))</f>
        <v/>
      </c>
      <c r="F319">
        <f>IF(설정!$C$8="","",IFERROR(INDEX('1.산군_붙여넣기'!$A$1:$AZ$1001,ROW(),설정!$C$8)&amp;"",""))</f>
        <v/>
      </c>
      <c r="G319">
        <f>IF(설정!$C$9="","",IFERROR(INDEX('1.산군_붙여넣기'!$A$1:$AZ$1001,ROW(),설정!$C$9)&amp;"",""))</f>
        <v/>
      </c>
      <c r="H319">
        <f>IF(설정!$C$10="","",IFERROR(INDEX('1.산군_붙여넣기'!$A$1:$AZ$1001,ROW(),설정!$C$10)&amp;"",""))</f>
        <v/>
      </c>
      <c r="I319">
        <f>IF(설정!$C$11="","",IFERROR(INDEX('1.산군_붙여넣기'!$A$1:$AZ$1001,ROW(),설정!$C$11)&amp;"",""))</f>
        <v/>
      </c>
      <c r="J319">
        <f>IF(설정!$C$12="","",IFERROR(INDEX('1.산군_붙여넣기'!$A$1:$AZ$1001,ROW(),설정!$C$12)&amp;"",""))</f>
        <v/>
      </c>
      <c r="K319">
        <f>IF(설정!$C$13="","",IFERROR(INDEX('1.산군_붙여넣기'!$A$1:$AZ$1001,ROW(),설정!$C$13)&amp;"",""))</f>
        <v/>
      </c>
      <c r="L319" s="7">
        <f>IF(X319="","",IF(AND(LEN(X319)=8,ISNUMBER(X319*1)),DATE(LEFT(X319,4),MID(X319,5,2),RIGHT(X319,2)),IFERROR(DATEVALUE(SUBSTITUTE(SUBSTITUTE(X319,".","-"),"/","-")),IFERROR(X319*1,""))))</f>
        <v/>
      </c>
      <c r="M319" s="7">
        <f>IF(Y319="","",IF(AND(LEN(Y319)=8,ISNUMBER(Y319*1)),DATE(LEFT(Y319,4),MID(Y319,5,2),RIGHT(Y319,2)),IFERROR(DATEVALUE(SUBSTITUTE(SUBSTITUTE(Y319,".","-"),"/","-")),IFERROR(Y319*1,""))))</f>
        <v/>
      </c>
      <c r="N319">
        <f>IFERROR(LEFT(B319,FIND(" ",B319)-1),B319)</f>
        <v/>
      </c>
      <c r="O319">
        <f>AND(B319&lt;&gt;"",B319&lt;&gt;설정!$B$4,C319&lt;&gt;설정!$B$5)</f>
        <v/>
      </c>
      <c r="P319">
        <f>IF(O319,B319&amp;"|"&amp;C319,"")</f>
        <v/>
      </c>
      <c r="Q319">
        <f>AND(O319,COUNTIF(P320:P$1002,P319)=0)</f>
        <v/>
      </c>
      <c r="R319">
        <f>OR(AND(설정!$A$42&lt;&gt;"",ISNUMBER(SEARCH(설정!$A$42,E319&amp;" "&amp;C319))),AND(설정!$A$43&lt;&gt;"",ISNUMBER(SEARCH(설정!$A$43,E319&amp;" "&amp;C319))),AND(설정!$A$44&lt;&gt;"",ISNUMBER(SEARCH(설정!$A$44,E319&amp;" "&amp;C319))),AND(설정!$A$45&lt;&gt;"",ISNUMBER(SEARCH(설정!$A$45,E319&amp;" "&amp;C319))),AND(설정!$A$46&lt;&gt;"",ISNUMBER(SEARCH(설정!$A$46,E319&amp;" "&amp;C319))),AND(설정!$A$47&lt;&gt;"",ISNUMBER(SEARCH(설정!$A$47,E319&amp;" "&amp;C319))),AND(설정!$A$48&lt;&gt;"",ISNUMBER(SEARCH(설정!$A$48,E319&amp;" "&amp;C319))),AND(설정!$A$49&lt;&gt;"",ISNUMBER(SEARCH(설정!$A$49,E319&amp;" "&amp;C319))),AND(설정!$A$50&lt;&gt;"",ISNUMBER(SEARCH(설정!$A$50,E319&amp;" "&amp;C319))),AND(설정!$A$51&lt;&gt;"",ISNUMBER(SEARCH(설정!$A$51,E319&amp;" "&amp;C319))))</f>
        <v/>
      </c>
      <c r="S319">
        <f>OR(D319="",D319&gt;=설정!$B$19)</f>
        <v/>
      </c>
      <c r="T319">
        <f>AND(Q319,R319,S319)</f>
        <v/>
      </c>
      <c r="U319">
        <f>IF(T319,IF(AND(설정!$A$54&lt;&gt;"",ISNUMBER(SEARCH(설정!$A$54,K319))),설정!$B$54,IF(AND(설정!$A$55&lt;&gt;"",ISNUMBER(SEARCH(설정!$A$55,K319))),설정!$B$55,IF(AND(설정!$A$56&lt;&gt;"",ISNUMBER(SEARCH(설정!$A$56,K319))),설정!$B$56,IF(AND(설정!$A$57&lt;&gt;"",ISNUMBER(SEARCH(설정!$A$57,K319))),설정!$B$57,IF(AND(설정!$A$58&lt;&gt;"",ISNUMBER(SEARCH(설정!$A$58,K319))),설정!$B$58,IF(AND(설정!$A$59&lt;&gt;"",ISNUMBER(SEARCH(설정!$A$59,K319))),설정!$B$59,IF(AND(설정!$A$60&lt;&gt;"",ISNUMBER(SEARCH(설정!$A$60,K319))),설정!$B$60,IF(AND(설정!$A$61&lt;&gt;"",ISNUMBER(SEARCH(설정!$A$61,K319))),설정!$B$61,IF(M319="","설계사","시공사"))))))))),"")</f>
        <v/>
      </c>
      <c r="V319">
        <f>SUBSTITUTE(SUBSTITUTE(SUBSTITUTE(SUBSTITUTE(G319,"(주)",""),"㈜",""),"주식회사","")," ","")</f>
        <v/>
      </c>
      <c r="W319">
        <f>IF(AND(T319,V319&lt;&gt;""),IF(COUNTIFS(V$2:V319,V319,T$2:T319,TRUE)=1,MAX(W$1:W318)+1,""),"")</f>
        <v/>
      </c>
      <c r="X319">
        <f>IF(설정!$C$14="","",IFERROR(INDEX('1.산군_붙여넣기'!$A$1:$AZ$1001,ROW(),설정!$C$14)&amp;"",""))</f>
        <v/>
      </c>
      <c r="Y319">
        <f>IF(설정!$C$15="","",IFERROR(INDEX('1.산군_붙여넣기'!$A$1:$AZ$1001,ROW(),설정!$C$15)&amp;"",""))</f>
        <v/>
      </c>
      <c r="Z319">
        <f>IF(T319,V319&amp;"|"&amp;U319,"")</f>
        <v/>
      </c>
      <c r="AA319">
        <f>IF(NOT(Q319),"",IF(NOT(AND(R319,S319)),"✕",IF(OR(OR(AND(L319&lt;&gt;"",M319&lt;&gt;"",N(M319)-N(L319)&gt;설정!$B$27),AND(L319&lt;&gt;"",M319="",설정!$B$24-N(L319)&gt;설정!$B$27)),AND(D319&lt;&gt;"",D319&lt;설정!$B$26)),"△","★")))</f>
        <v/>
      </c>
      <c r="AB319">
        <f>IF(NOT(T319),"",IF(U319="설계사",설정!$B$31,IF(U319="시공사",IF(OR(M319="",설정!$B$24-N(M319)&lt;=설정!$B$28*30.4),설정!$B$32,설정!$B$33),설정!$B$34))+IF(AA319="★",설정!$B$35,0))</f>
        <v/>
      </c>
      <c r="AC319">
        <f>SUBSTITUTE(SUBSTITUTE(SUBSTITUTE(SUBSTITUTE(H319,"(주)",""),"㈜",""),"주식회사","")," ","")</f>
        <v/>
      </c>
      <c r="AD319">
        <f>IF(AND(T319,AC319&lt;&gt;""),IF(COUNTIFS(AC$2:AC319,AC319,T$2:T319,TRUE)=1,MAX(AD$1:AD318)+1,""),"")</f>
        <v/>
      </c>
    </row>
    <row r="320">
      <c r="A320">
        <f>ROW()</f>
        <v/>
      </c>
      <c r="B320">
        <f>IF(설정!$C$4="","",IFERROR(INDEX('1.산군_붙여넣기'!$A$1:$AZ$1001,ROW(),설정!$C$4)&amp;"",""))</f>
        <v/>
      </c>
      <c r="C320">
        <f>IF(설정!$C$5="","",IFERROR(INDEX('1.산군_붙여넣기'!$A$1:$AZ$1001,ROW(),설정!$C$5)&amp;"",""))</f>
        <v/>
      </c>
      <c r="D320" s="5">
        <f>IFERROR(VALUE(SUBSTITUTE(SUBSTITUTE(SUBSTITUTE(IF(설정!$C$6="","",IFERROR(INDEX('1.산군_붙여넣기'!$A$1:$AZ$1001,ROW(),설정!$C$6)&amp;"","")),",",""),"㎡",""),"m2","")),"")</f>
        <v/>
      </c>
      <c r="E320">
        <f>IF(설정!$C$7="","",IFERROR(INDEX('1.산군_붙여넣기'!$A$1:$AZ$1001,ROW(),설정!$C$7)&amp;"",""))</f>
        <v/>
      </c>
      <c r="F320">
        <f>IF(설정!$C$8="","",IFERROR(INDEX('1.산군_붙여넣기'!$A$1:$AZ$1001,ROW(),설정!$C$8)&amp;"",""))</f>
        <v/>
      </c>
      <c r="G320">
        <f>IF(설정!$C$9="","",IFERROR(INDEX('1.산군_붙여넣기'!$A$1:$AZ$1001,ROW(),설정!$C$9)&amp;"",""))</f>
        <v/>
      </c>
      <c r="H320">
        <f>IF(설정!$C$10="","",IFERROR(INDEX('1.산군_붙여넣기'!$A$1:$AZ$1001,ROW(),설정!$C$10)&amp;"",""))</f>
        <v/>
      </c>
      <c r="I320">
        <f>IF(설정!$C$11="","",IFERROR(INDEX('1.산군_붙여넣기'!$A$1:$AZ$1001,ROW(),설정!$C$11)&amp;"",""))</f>
        <v/>
      </c>
      <c r="J320">
        <f>IF(설정!$C$12="","",IFERROR(INDEX('1.산군_붙여넣기'!$A$1:$AZ$1001,ROW(),설정!$C$12)&amp;"",""))</f>
        <v/>
      </c>
      <c r="K320">
        <f>IF(설정!$C$13="","",IFERROR(INDEX('1.산군_붙여넣기'!$A$1:$AZ$1001,ROW(),설정!$C$13)&amp;"",""))</f>
        <v/>
      </c>
      <c r="L320" s="7">
        <f>IF(X320="","",IF(AND(LEN(X320)=8,ISNUMBER(X320*1)),DATE(LEFT(X320,4),MID(X320,5,2),RIGHT(X320,2)),IFERROR(DATEVALUE(SUBSTITUTE(SUBSTITUTE(X320,".","-"),"/","-")),IFERROR(X320*1,""))))</f>
        <v/>
      </c>
      <c r="M320" s="7">
        <f>IF(Y320="","",IF(AND(LEN(Y320)=8,ISNUMBER(Y320*1)),DATE(LEFT(Y320,4),MID(Y320,5,2),RIGHT(Y320,2)),IFERROR(DATEVALUE(SUBSTITUTE(SUBSTITUTE(Y320,".","-"),"/","-")),IFERROR(Y320*1,""))))</f>
        <v/>
      </c>
      <c r="N320">
        <f>IFERROR(LEFT(B320,FIND(" ",B320)-1),B320)</f>
        <v/>
      </c>
      <c r="O320">
        <f>AND(B320&lt;&gt;"",B320&lt;&gt;설정!$B$4,C320&lt;&gt;설정!$B$5)</f>
        <v/>
      </c>
      <c r="P320">
        <f>IF(O320,B320&amp;"|"&amp;C320,"")</f>
        <v/>
      </c>
      <c r="Q320">
        <f>AND(O320,COUNTIF(P321:P$1002,P320)=0)</f>
        <v/>
      </c>
      <c r="R320">
        <f>OR(AND(설정!$A$42&lt;&gt;"",ISNUMBER(SEARCH(설정!$A$42,E320&amp;" "&amp;C320))),AND(설정!$A$43&lt;&gt;"",ISNUMBER(SEARCH(설정!$A$43,E320&amp;" "&amp;C320))),AND(설정!$A$44&lt;&gt;"",ISNUMBER(SEARCH(설정!$A$44,E320&amp;" "&amp;C320))),AND(설정!$A$45&lt;&gt;"",ISNUMBER(SEARCH(설정!$A$45,E320&amp;" "&amp;C320))),AND(설정!$A$46&lt;&gt;"",ISNUMBER(SEARCH(설정!$A$46,E320&amp;" "&amp;C320))),AND(설정!$A$47&lt;&gt;"",ISNUMBER(SEARCH(설정!$A$47,E320&amp;" "&amp;C320))),AND(설정!$A$48&lt;&gt;"",ISNUMBER(SEARCH(설정!$A$48,E320&amp;" "&amp;C320))),AND(설정!$A$49&lt;&gt;"",ISNUMBER(SEARCH(설정!$A$49,E320&amp;" "&amp;C320))),AND(설정!$A$50&lt;&gt;"",ISNUMBER(SEARCH(설정!$A$50,E320&amp;" "&amp;C320))),AND(설정!$A$51&lt;&gt;"",ISNUMBER(SEARCH(설정!$A$51,E320&amp;" "&amp;C320))))</f>
        <v/>
      </c>
      <c r="S320">
        <f>OR(D320="",D320&gt;=설정!$B$19)</f>
        <v/>
      </c>
      <c r="T320">
        <f>AND(Q320,R320,S320)</f>
        <v/>
      </c>
      <c r="U320">
        <f>IF(T320,IF(AND(설정!$A$54&lt;&gt;"",ISNUMBER(SEARCH(설정!$A$54,K320))),설정!$B$54,IF(AND(설정!$A$55&lt;&gt;"",ISNUMBER(SEARCH(설정!$A$55,K320))),설정!$B$55,IF(AND(설정!$A$56&lt;&gt;"",ISNUMBER(SEARCH(설정!$A$56,K320))),설정!$B$56,IF(AND(설정!$A$57&lt;&gt;"",ISNUMBER(SEARCH(설정!$A$57,K320))),설정!$B$57,IF(AND(설정!$A$58&lt;&gt;"",ISNUMBER(SEARCH(설정!$A$58,K320))),설정!$B$58,IF(AND(설정!$A$59&lt;&gt;"",ISNUMBER(SEARCH(설정!$A$59,K320))),설정!$B$59,IF(AND(설정!$A$60&lt;&gt;"",ISNUMBER(SEARCH(설정!$A$60,K320))),설정!$B$60,IF(AND(설정!$A$61&lt;&gt;"",ISNUMBER(SEARCH(설정!$A$61,K320))),설정!$B$61,IF(M320="","설계사","시공사"))))))))),"")</f>
        <v/>
      </c>
      <c r="V320">
        <f>SUBSTITUTE(SUBSTITUTE(SUBSTITUTE(SUBSTITUTE(G320,"(주)",""),"㈜",""),"주식회사","")," ","")</f>
        <v/>
      </c>
      <c r="W320">
        <f>IF(AND(T320,V320&lt;&gt;""),IF(COUNTIFS(V$2:V320,V320,T$2:T320,TRUE)=1,MAX(W$1:W319)+1,""),"")</f>
        <v/>
      </c>
      <c r="X320">
        <f>IF(설정!$C$14="","",IFERROR(INDEX('1.산군_붙여넣기'!$A$1:$AZ$1001,ROW(),설정!$C$14)&amp;"",""))</f>
        <v/>
      </c>
      <c r="Y320">
        <f>IF(설정!$C$15="","",IFERROR(INDEX('1.산군_붙여넣기'!$A$1:$AZ$1001,ROW(),설정!$C$15)&amp;"",""))</f>
        <v/>
      </c>
      <c r="Z320">
        <f>IF(T320,V320&amp;"|"&amp;U320,"")</f>
        <v/>
      </c>
      <c r="AA320">
        <f>IF(NOT(Q320),"",IF(NOT(AND(R320,S320)),"✕",IF(OR(OR(AND(L320&lt;&gt;"",M320&lt;&gt;"",N(M320)-N(L320)&gt;설정!$B$27),AND(L320&lt;&gt;"",M320="",설정!$B$24-N(L320)&gt;설정!$B$27)),AND(D320&lt;&gt;"",D320&lt;설정!$B$26)),"△","★")))</f>
        <v/>
      </c>
      <c r="AB320">
        <f>IF(NOT(T320),"",IF(U320="설계사",설정!$B$31,IF(U320="시공사",IF(OR(M320="",설정!$B$24-N(M320)&lt;=설정!$B$28*30.4),설정!$B$32,설정!$B$33),설정!$B$34))+IF(AA320="★",설정!$B$35,0))</f>
        <v/>
      </c>
      <c r="AC320">
        <f>SUBSTITUTE(SUBSTITUTE(SUBSTITUTE(SUBSTITUTE(H320,"(주)",""),"㈜",""),"주식회사","")," ","")</f>
        <v/>
      </c>
      <c r="AD320">
        <f>IF(AND(T320,AC320&lt;&gt;""),IF(COUNTIFS(AC$2:AC320,AC320,T$2:T320,TRUE)=1,MAX(AD$1:AD319)+1,""),"")</f>
        <v/>
      </c>
    </row>
    <row r="321">
      <c r="A321">
        <f>ROW()</f>
        <v/>
      </c>
      <c r="B321">
        <f>IF(설정!$C$4="","",IFERROR(INDEX('1.산군_붙여넣기'!$A$1:$AZ$1001,ROW(),설정!$C$4)&amp;"",""))</f>
        <v/>
      </c>
      <c r="C321">
        <f>IF(설정!$C$5="","",IFERROR(INDEX('1.산군_붙여넣기'!$A$1:$AZ$1001,ROW(),설정!$C$5)&amp;"",""))</f>
        <v/>
      </c>
      <c r="D321" s="5">
        <f>IFERROR(VALUE(SUBSTITUTE(SUBSTITUTE(SUBSTITUTE(IF(설정!$C$6="","",IFERROR(INDEX('1.산군_붙여넣기'!$A$1:$AZ$1001,ROW(),설정!$C$6)&amp;"","")),",",""),"㎡",""),"m2","")),"")</f>
        <v/>
      </c>
      <c r="E321">
        <f>IF(설정!$C$7="","",IFERROR(INDEX('1.산군_붙여넣기'!$A$1:$AZ$1001,ROW(),설정!$C$7)&amp;"",""))</f>
        <v/>
      </c>
      <c r="F321">
        <f>IF(설정!$C$8="","",IFERROR(INDEX('1.산군_붙여넣기'!$A$1:$AZ$1001,ROW(),설정!$C$8)&amp;"",""))</f>
        <v/>
      </c>
      <c r="G321">
        <f>IF(설정!$C$9="","",IFERROR(INDEX('1.산군_붙여넣기'!$A$1:$AZ$1001,ROW(),설정!$C$9)&amp;"",""))</f>
        <v/>
      </c>
      <c r="H321">
        <f>IF(설정!$C$10="","",IFERROR(INDEX('1.산군_붙여넣기'!$A$1:$AZ$1001,ROW(),설정!$C$10)&amp;"",""))</f>
        <v/>
      </c>
      <c r="I321">
        <f>IF(설정!$C$11="","",IFERROR(INDEX('1.산군_붙여넣기'!$A$1:$AZ$1001,ROW(),설정!$C$11)&amp;"",""))</f>
        <v/>
      </c>
      <c r="J321">
        <f>IF(설정!$C$12="","",IFERROR(INDEX('1.산군_붙여넣기'!$A$1:$AZ$1001,ROW(),설정!$C$12)&amp;"",""))</f>
        <v/>
      </c>
      <c r="K321">
        <f>IF(설정!$C$13="","",IFERROR(INDEX('1.산군_붙여넣기'!$A$1:$AZ$1001,ROW(),설정!$C$13)&amp;"",""))</f>
        <v/>
      </c>
      <c r="L321" s="7">
        <f>IF(X321="","",IF(AND(LEN(X321)=8,ISNUMBER(X321*1)),DATE(LEFT(X321,4),MID(X321,5,2),RIGHT(X321,2)),IFERROR(DATEVALUE(SUBSTITUTE(SUBSTITUTE(X321,".","-"),"/","-")),IFERROR(X321*1,""))))</f>
        <v/>
      </c>
      <c r="M321" s="7">
        <f>IF(Y321="","",IF(AND(LEN(Y321)=8,ISNUMBER(Y321*1)),DATE(LEFT(Y321,4),MID(Y321,5,2),RIGHT(Y321,2)),IFERROR(DATEVALUE(SUBSTITUTE(SUBSTITUTE(Y321,".","-"),"/","-")),IFERROR(Y321*1,""))))</f>
        <v/>
      </c>
      <c r="N321">
        <f>IFERROR(LEFT(B321,FIND(" ",B321)-1),B321)</f>
        <v/>
      </c>
      <c r="O321">
        <f>AND(B321&lt;&gt;"",B321&lt;&gt;설정!$B$4,C321&lt;&gt;설정!$B$5)</f>
        <v/>
      </c>
      <c r="P321">
        <f>IF(O321,B321&amp;"|"&amp;C321,"")</f>
        <v/>
      </c>
      <c r="Q321">
        <f>AND(O321,COUNTIF(P322:P$1002,P321)=0)</f>
        <v/>
      </c>
      <c r="R321">
        <f>OR(AND(설정!$A$42&lt;&gt;"",ISNUMBER(SEARCH(설정!$A$42,E321&amp;" "&amp;C321))),AND(설정!$A$43&lt;&gt;"",ISNUMBER(SEARCH(설정!$A$43,E321&amp;" "&amp;C321))),AND(설정!$A$44&lt;&gt;"",ISNUMBER(SEARCH(설정!$A$44,E321&amp;" "&amp;C321))),AND(설정!$A$45&lt;&gt;"",ISNUMBER(SEARCH(설정!$A$45,E321&amp;" "&amp;C321))),AND(설정!$A$46&lt;&gt;"",ISNUMBER(SEARCH(설정!$A$46,E321&amp;" "&amp;C321))),AND(설정!$A$47&lt;&gt;"",ISNUMBER(SEARCH(설정!$A$47,E321&amp;" "&amp;C321))),AND(설정!$A$48&lt;&gt;"",ISNUMBER(SEARCH(설정!$A$48,E321&amp;" "&amp;C321))),AND(설정!$A$49&lt;&gt;"",ISNUMBER(SEARCH(설정!$A$49,E321&amp;" "&amp;C321))),AND(설정!$A$50&lt;&gt;"",ISNUMBER(SEARCH(설정!$A$50,E321&amp;" "&amp;C321))),AND(설정!$A$51&lt;&gt;"",ISNUMBER(SEARCH(설정!$A$51,E321&amp;" "&amp;C321))))</f>
        <v/>
      </c>
      <c r="S321">
        <f>OR(D321="",D321&gt;=설정!$B$19)</f>
        <v/>
      </c>
      <c r="T321">
        <f>AND(Q321,R321,S321)</f>
        <v/>
      </c>
      <c r="U321">
        <f>IF(T321,IF(AND(설정!$A$54&lt;&gt;"",ISNUMBER(SEARCH(설정!$A$54,K321))),설정!$B$54,IF(AND(설정!$A$55&lt;&gt;"",ISNUMBER(SEARCH(설정!$A$55,K321))),설정!$B$55,IF(AND(설정!$A$56&lt;&gt;"",ISNUMBER(SEARCH(설정!$A$56,K321))),설정!$B$56,IF(AND(설정!$A$57&lt;&gt;"",ISNUMBER(SEARCH(설정!$A$57,K321))),설정!$B$57,IF(AND(설정!$A$58&lt;&gt;"",ISNUMBER(SEARCH(설정!$A$58,K321))),설정!$B$58,IF(AND(설정!$A$59&lt;&gt;"",ISNUMBER(SEARCH(설정!$A$59,K321))),설정!$B$59,IF(AND(설정!$A$60&lt;&gt;"",ISNUMBER(SEARCH(설정!$A$60,K321))),설정!$B$60,IF(AND(설정!$A$61&lt;&gt;"",ISNUMBER(SEARCH(설정!$A$61,K321))),설정!$B$61,IF(M321="","설계사","시공사"))))))))),"")</f>
        <v/>
      </c>
      <c r="V321">
        <f>SUBSTITUTE(SUBSTITUTE(SUBSTITUTE(SUBSTITUTE(G321,"(주)",""),"㈜",""),"주식회사","")," ","")</f>
        <v/>
      </c>
      <c r="W321">
        <f>IF(AND(T321,V321&lt;&gt;""),IF(COUNTIFS(V$2:V321,V321,T$2:T321,TRUE)=1,MAX(W$1:W320)+1,""),"")</f>
        <v/>
      </c>
      <c r="X321">
        <f>IF(설정!$C$14="","",IFERROR(INDEX('1.산군_붙여넣기'!$A$1:$AZ$1001,ROW(),설정!$C$14)&amp;"",""))</f>
        <v/>
      </c>
      <c r="Y321">
        <f>IF(설정!$C$15="","",IFERROR(INDEX('1.산군_붙여넣기'!$A$1:$AZ$1001,ROW(),설정!$C$15)&amp;"",""))</f>
        <v/>
      </c>
      <c r="Z321">
        <f>IF(T321,V321&amp;"|"&amp;U321,"")</f>
        <v/>
      </c>
      <c r="AA321">
        <f>IF(NOT(Q321),"",IF(NOT(AND(R321,S321)),"✕",IF(OR(OR(AND(L321&lt;&gt;"",M321&lt;&gt;"",N(M321)-N(L321)&gt;설정!$B$27),AND(L321&lt;&gt;"",M321="",설정!$B$24-N(L321)&gt;설정!$B$27)),AND(D321&lt;&gt;"",D321&lt;설정!$B$26)),"△","★")))</f>
        <v/>
      </c>
      <c r="AB321">
        <f>IF(NOT(T321),"",IF(U321="설계사",설정!$B$31,IF(U321="시공사",IF(OR(M321="",설정!$B$24-N(M321)&lt;=설정!$B$28*30.4),설정!$B$32,설정!$B$33),설정!$B$34))+IF(AA321="★",설정!$B$35,0))</f>
        <v/>
      </c>
      <c r="AC321">
        <f>SUBSTITUTE(SUBSTITUTE(SUBSTITUTE(SUBSTITUTE(H321,"(주)",""),"㈜",""),"주식회사","")," ","")</f>
        <v/>
      </c>
      <c r="AD321">
        <f>IF(AND(T321,AC321&lt;&gt;""),IF(COUNTIFS(AC$2:AC321,AC321,T$2:T321,TRUE)=1,MAX(AD$1:AD320)+1,""),"")</f>
        <v/>
      </c>
    </row>
    <row r="322">
      <c r="A322">
        <f>ROW()</f>
        <v/>
      </c>
      <c r="B322">
        <f>IF(설정!$C$4="","",IFERROR(INDEX('1.산군_붙여넣기'!$A$1:$AZ$1001,ROW(),설정!$C$4)&amp;"",""))</f>
        <v/>
      </c>
      <c r="C322">
        <f>IF(설정!$C$5="","",IFERROR(INDEX('1.산군_붙여넣기'!$A$1:$AZ$1001,ROW(),설정!$C$5)&amp;"",""))</f>
        <v/>
      </c>
      <c r="D322" s="5">
        <f>IFERROR(VALUE(SUBSTITUTE(SUBSTITUTE(SUBSTITUTE(IF(설정!$C$6="","",IFERROR(INDEX('1.산군_붙여넣기'!$A$1:$AZ$1001,ROW(),설정!$C$6)&amp;"","")),",",""),"㎡",""),"m2","")),"")</f>
        <v/>
      </c>
      <c r="E322">
        <f>IF(설정!$C$7="","",IFERROR(INDEX('1.산군_붙여넣기'!$A$1:$AZ$1001,ROW(),설정!$C$7)&amp;"",""))</f>
        <v/>
      </c>
      <c r="F322">
        <f>IF(설정!$C$8="","",IFERROR(INDEX('1.산군_붙여넣기'!$A$1:$AZ$1001,ROW(),설정!$C$8)&amp;"",""))</f>
        <v/>
      </c>
      <c r="G322">
        <f>IF(설정!$C$9="","",IFERROR(INDEX('1.산군_붙여넣기'!$A$1:$AZ$1001,ROW(),설정!$C$9)&amp;"",""))</f>
        <v/>
      </c>
      <c r="H322">
        <f>IF(설정!$C$10="","",IFERROR(INDEX('1.산군_붙여넣기'!$A$1:$AZ$1001,ROW(),설정!$C$10)&amp;"",""))</f>
        <v/>
      </c>
      <c r="I322">
        <f>IF(설정!$C$11="","",IFERROR(INDEX('1.산군_붙여넣기'!$A$1:$AZ$1001,ROW(),설정!$C$11)&amp;"",""))</f>
        <v/>
      </c>
      <c r="J322">
        <f>IF(설정!$C$12="","",IFERROR(INDEX('1.산군_붙여넣기'!$A$1:$AZ$1001,ROW(),설정!$C$12)&amp;"",""))</f>
        <v/>
      </c>
      <c r="K322">
        <f>IF(설정!$C$13="","",IFERROR(INDEX('1.산군_붙여넣기'!$A$1:$AZ$1001,ROW(),설정!$C$13)&amp;"",""))</f>
        <v/>
      </c>
      <c r="L322" s="7">
        <f>IF(X322="","",IF(AND(LEN(X322)=8,ISNUMBER(X322*1)),DATE(LEFT(X322,4),MID(X322,5,2),RIGHT(X322,2)),IFERROR(DATEVALUE(SUBSTITUTE(SUBSTITUTE(X322,".","-"),"/","-")),IFERROR(X322*1,""))))</f>
        <v/>
      </c>
      <c r="M322" s="7">
        <f>IF(Y322="","",IF(AND(LEN(Y322)=8,ISNUMBER(Y322*1)),DATE(LEFT(Y322,4),MID(Y322,5,2),RIGHT(Y322,2)),IFERROR(DATEVALUE(SUBSTITUTE(SUBSTITUTE(Y322,".","-"),"/","-")),IFERROR(Y322*1,""))))</f>
        <v/>
      </c>
      <c r="N322">
        <f>IFERROR(LEFT(B322,FIND(" ",B322)-1),B322)</f>
        <v/>
      </c>
      <c r="O322">
        <f>AND(B322&lt;&gt;"",B322&lt;&gt;설정!$B$4,C322&lt;&gt;설정!$B$5)</f>
        <v/>
      </c>
      <c r="P322">
        <f>IF(O322,B322&amp;"|"&amp;C322,"")</f>
        <v/>
      </c>
      <c r="Q322">
        <f>AND(O322,COUNTIF(P323:P$1002,P322)=0)</f>
        <v/>
      </c>
      <c r="R322">
        <f>OR(AND(설정!$A$42&lt;&gt;"",ISNUMBER(SEARCH(설정!$A$42,E322&amp;" "&amp;C322))),AND(설정!$A$43&lt;&gt;"",ISNUMBER(SEARCH(설정!$A$43,E322&amp;" "&amp;C322))),AND(설정!$A$44&lt;&gt;"",ISNUMBER(SEARCH(설정!$A$44,E322&amp;" "&amp;C322))),AND(설정!$A$45&lt;&gt;"",ISNUMBER(SEARCH(설정!$A$45,E322&amp;" "&amp;C322))),AND(설정!$A$46&lt;&gt;"",ISNUMBER(SEARCH(설정!$A$46,E322&amp;" "&amp;C322))),AND(설정!$A$47&lt;&gt;"",ISNUMBER(SEARCH(설정!$A$47,E322&amp;" "&amp;C322))),AND(설정!$A$48&lt;&gt;"",ISNUMBER(SEARCH(설정!$A$48,E322&amp;" "&amp;C322))),AND(설정!$A$49&lt;&gt;"",ISNUMBER(SEARCH(설정!$A$49,E322&amp;" "&amp;C322))),AND(설정!$A$50&lt;&gt;"",ISNUMBER(SEARCH(설정!$A$50,E322&amp;" "&amp;C322))),AND(설정!$A$51&lt;&gt;"",ISNUMBER(SEARCH(설정!$A$51,E322&amp;" "&amp;C322))))</f>
        <v/>
      </c>
      <c r="S322">
        <f>OR(D322="",D322&gt;=설정!$B$19)</f>
        <v/>
      </c>
      <c r="T322">
        <f>AND(Q322,R322,S322)</f>
        <v/>
      </c>
      <c r="U322">
        <f>IF(T322,IF(AND(설정!$A$54&lt;&gt;"",ISNUMBER(SEARCH(설정!$A$54,K322))),설정!$B$54,IF(AND(설정!$A$55&lt;&gt;"",ISNUMBER(SEARCH(설정!$A$55,K322))),설정!$B$55,IF(AND(설정!$A$56&lt;&gt;"",ISNUMBER(SEARCH(설정!$A$56,K322))),설정!$B$56,IF(AND(설정!$A$57&lt;&gt;"",ISNUMBER(SEARCH(설정!$A$57,K322))),설정!$B$57,IF(AND(설정!$A$58&lt;&gt;"",ISNUMBER(SEARCH(설정!$A$58,K322))),설정!$B$58,IF(AND(설정!$A$59&lt;&gt;"",ISNUMBER(SEARCH(설정!$A$59,K322))),설정!$B$59,IF(AND(설정!$A$60&lt;&gt;"",ISNUMBER(SEARCH(설정!$A$60,K322))),설정!$B$60,IF(AND(설정!$A$61&lt;&gt;"",ISNUMBER(SEARCH(설정!$A$61,K322))),설정!$B$61,IF(M322="","설계사","시공사"))))))))),"")</f>
        <v/>
      </c>
      <c r="V322">
        <f>SUBSTITUTE(SUBSTITUTE(SUBSTITUTE(SUBSTITUTE(G322,"(주)",""),"㈜",""),"주식회사","")," ","")</f>
        <v/>
      </c>
      <c r="W322">
        <f>IF(AND(T322,V322&lt;&gt;""),IF(COUNTIFS(V$2:V322,V322,T$2:T322,TRUE)=1,MAX(W$1:W321)+1,""),"")</f>
        <v/>
      </c>
      <c r="X322">
        <f>IF(설정!$C$14="","",IFERROR(INDEX('1.산군_붙여넣기'!$A$1:$AZ$1001,ROW(),설정!$C$14)&amp;"",""))</f>
        <v/>
      </c>
      <c r="Y322">
        <f>IF(설정!$C$15="","",IFERROR(INDEX('1.산군_붙여넣기'!$A$1:$AZ$1001,ROW(),설정!$C$15)&amp;"",""))</f>
        <v/>
      </c>
      <c r="Z322">
        <f>IF(T322,V322&amp;"|"&amp;U322,"")</f>
        <v/>
      </c>
      <c r="AA322">
        <f>IF(NOT(Q322),"",IF(NOT(AND(R322,S322)),"✕",IF(OR(OR(AND(L322&lt;&gt;"",M322&lt;&gt;"",N(M322)-N(L322)&gt;설정!$B$27),AND(L322&lt;&gt;"",M322="",설정!$B$24-N(L322)&gt;설정!$B$27)),AND(D322&lt;&gt;"",D322&lt;설정!$B$26)),"△","★")))</f>
        <v/>
      </c>
      <c r="AB322">
        <f>IF(NOT(T322),"",IF(U322="설계사",설정!$B$31,IF(U322="시공사",IF(OR(M322="",설정!$B$24-N(M322)&lt;=설정!$B$28*30.4),설정!$B$32,설정!$B$33),설정!$B$34))+IF(AA322="★",설정!$B$35,0))</f>
        <v/>
      </c>
      <c r="AC322">
        <f>SUBSTITUTE(SUBSTITUTE(SUBSTITUTE(SUBSTITUTE(H322,"(주)",""),"㈜",""),"주식회사","")," ","")</f>
        <v/>
      </c>
      <c r="AD322">
        <f>IF(AND(T322,AC322&lt;&gt;""),IF(COUNTIFS(AC$2:AC322,AC322,T$2:T322,TRUE)=1,MAX(AD$1:AD321)+1,""),"")</f>
        <v/>
      </c>
    </row>
    <row r="323">
      <c r="A323">
        <f>ROW()</f>
        <v/>
      </c>
      <c r="B323">
        <f>IF(설정!$C$4="","",IFERROR(INDEX('1.산군_붙여넣기'!$A$1:$AZ$1001,ROW(),설정!$C$4)&amp;"",""))</f>
        <v/>
      </c>
      <c r="C323">
        <f>IF(설정!$C$5="","",IFERROR(INDEX('1.산군_붙여넣기'!$A$1:$AZ$1001,ROW(),설정!$C$5)&amp;"",""))</f>
        <v/>
      </c>
      <c r="D323" s="5">
        <f>IFERROR(VALUE(SUBSTITUTE(SUBSTITUTE(SUBSTITUTE(IF(설정!$C$6="","",IFERROR(INDEX('1.산군_붙여넣기'!$A$1:$AZ$1001,ROW(),설정!$C$6)&amp;"","")),",",""),"㎡",""),"m2","")),"")</f>
        <v/>
      </c>
      <c r="E323">
        <f>IF(설정!$C$7="","",IFERROR(INDEX('1.산군_붙여넣기'!$A$1:$AZ$1001,ROW(),설정!$C$7)&amp;"",""))</f>
        <v/>
      </c>
      <c r="F323">
        <f>IF(설정!$C$8="","",IFERROR(INDEX('1.산군_붙여넣기'!$A$1:$AZ$1001,ROW(),설정!$C$8)&amp;"",""))</f>
        <v/>
      </c>
      <c r="G323">
        <f>IF(설정!$C$9="","",IFERROR(INDEX('1.산군_붙여넣기'!$A$1:$AZ$1001,ROW(),설정!$C$9)&amp;"",""))</f>
        <v/>
      </c>
      <c r="H323">
        <f>IF(설정!$C$10="","",IFERROR(INDEX('1.산군_붙여넣기'!$A$1:$AZ$1001,ROW(),설정!$C$10)&amp;"",""))</f>
        <v/>
      </c>
      <c r="I323">
        <f>IF(설정!$C$11="","",IFERROR(INDEX('1.산군_붙여넣기'!$A$1:$AZ$1001,ROW(),설정!$C$11)&amp;"",""))</f>
        <v/>
      </c>
      <c r="J323">
        <f>IF(설정!$C$12="","",IFERROR(INDEX('1.산군_붙여넣기'!$A$1:$AZ$1001,ROW(),설정!$C$12)&amp;"",""))</f>
        <v/>
      </c>
      <c r="K323">
        <f>IF(설정!$C$13="","",IFERROR(INDEX('1.산군_붙여넣기'!$A$1:$AZ$1001,ROW(),설정!$C$13)&amp;"",""))</f>
        <v/>
      </c>
      <c r="L323" s="7">
        <f>IF(X323="","",IF(AND(LEN(X323)=8,ISNUMBER(X323*1)),DATE(LEFT(X323,4),MID(X323,5,2),RIGHT(X323,2)),IFERROR(DATEVALUE(SUBSTITUTE(SUBSTITUTE(X323,".","-"),"/","-")),IFERROR(X323*1,""))))</f>
        <v/>
      </c>
      <c r="M323" s="7">
        <f>IF(Y323="","",IF(AND(LEN(Y323)=8,ISNUMBER(Y323*1)),DATE(LEFT(Y323,4),MID(Y323,5,2),RIGHT(Y323,2)),IFERROR(DATEVALUE(SUBSTITUTE(SUBSTITUTE(Y323,".","-"),"/","-")),IFERROR(Y323*1,""))))</f>
        <v/>
      </c>
      <c r="N323">
        <f>IFERROR(LEFT(B323,FIND(" ",B323)-1),B323)</f>
        <v/>
      </c>
      <c r="O323">
        <f>AND(B323&lt;&gt;"",B323&lt;&gt;설정!$B$4,C323&lt;&gt;설정!$B$5)</f>
        <v/>
      </c>
      <c r="P323">
        <f>IF(O323,B323&amp;"|"&amp;C323,"")</f>
        <v/>
      </c>
      <c r="Q323">
        <f>AND(O323,COUNTIF(P324:P$1002,P323)=0)</f>
        <v/>
      </c>
      <c r="R323">
        <f>OR(AND(설정!$A$42&lt;&gt;"",ISNUMBER(SEARCH(설정!$A$42,E323&amp;" "&amp;C323))),AND(설정!$A$43&lt;&gt;"",ISNUMBER(SEARCH(설정!$A$43,E323&amp;" "&amp;C323))),AND(설정!$A$44&lt;&gt;"",ISNUMBER(SEARCH(설정!$A$44,E323&amp;" "&amp;C323))),AND(설정!$A$45&lt;&gt;"",ISNUMBER(SEARCH(설정!$A$45,E323&amp;" "&amp;C323))),AND(설정!$A$46&lt;&gt;"",ISNUMBER(SEARCH(설정!$A$46,E323&amp;" "&amp;C323))),AND(설정!$A$47&lt;&gt;"",ISNUMBER(SEARCH(설정!$A$47,E323&amp;" "&amp;C323))),AND(설정!$A$48&lt;&gt;"",ISNUMBER(SEARCH(설정!$A$48,E323&amp;" "&amp;C323))),AND(설정!$A$49&lt;&gt;"",ISNUMBER(SEARCH(설정!$A$49,E323&amp;" "&amp;C323))),AND(설정!$A$50&lt;&gt;"",ISNUMBER(SEARCH(설정!$A$50,E323&amp;" "&amp;C323))),AND(설정!$A$51&lt;&gt;"",ISNUMBER(SEARCH(설정!$A$51,E323&amp;" "&amp;C323))))</f>
        <v/>
      </c>
      <c r="S323">
        <f>OR(D323="",D323&gt;=설정!$B$19)</f>
        <v/>
      </c>
      <c r="T323">
        <f>AND(Q323,R323,S323)</f>
        <v/>
      </c>
      <c r="U323">
        <f>IF(T323,IF(AND(설정!$A$54&lt;&gt;"",ISNUMBER(SEARCH(설정!$A$54,K323))),설정!$B$54,IF(AND(설정!$A$55&lt;&gt;"",ISNUMBER(SEARCH(설정!$A$55,K323))),설정!$B$55,IF(AND(설정!$A$56&lt;&gt;"",ISNUMBER(SEARCH(설정!$A$56,K323))),설정!$B$56,IF(AND(설정!$A$57&lt;&gt;"",ISNUMBER(SEARCH(설정!$A$57,K323))),설정!$B$57,IF(AND(설정!$A$58&lt;&gt;"",ISNUMBER(SEARCH(설정!$A$58,K323))),설정!$B$58,IF(AND(설정!$A$59&lt;&gt;"",ISNUMBER(SEARCH(설정!$A$59,K323))),설정!$B$59,IF(AND(설정!$A$60&lt;&gt;"",ISNUMBER(SEARCH(설정!$A$60,K323))),설정!$B$60,IF(AND(설정!$A$61&lt;&gt;"",ISNUMBER(SEARCH(설정!$A$61,K323))),설정!$B$61,IF(M323="","설계사","시공사"))))))))),"")</f>
        <v/>
      </c>
      <c r="V323">
        <f>SUBSTITUTE(SUBSTITUTE(SUBSTITUTE(SUBSTITUTE(G323,"(주)",""),"㈜",""),"주식회사","")," ","")</f>
        <v/>
      </c>
      <c r="W323">
        <f>IF(AND(T323,V323&lt;&gt;""),IF(COUNTIFS(V$2:V323,V323,T$2:T323,TRUE)=1,MAX(W$1:W322)+1,""),"")</f>
        <v/>
      </c>
      <c r="X323">
        <f>IF(설정!$C$14="","",IFERROR(INDEX('1.산군_붙여넣기'!$A$1:$AZ$1001,ROW(),설정!$C$14)&amp;"",""))</f>
        <v/>
      </c>
      <c r="Y323">
        <f>IF(설정!$C$15="","",IFERROR(INDEX('1.산군_붙여넣기'!$A$1:$AZ$1001,ROW(),설정!$C$15)&amp;"",""))</f>
        <v/>
      </c>
      <c r="Z323">
        <f>IF(T323,V323&amp;"|"&amp;U323,"")</f>
        <v/>
      </c>
      <c r="AA323">
        <f>IF(NOT(Q323),"",IF(NOT(AND(R323,S323)),"✕",IF(OR(OR(AND(L323&lt;&gt;"",M323&lt;&gt;"",N(M323)-N(L323)&gt;설정!$B$27),AND(L323&lt;&gt;"",M323="",설정!$B$24-N(L323)&gt;설정!$B$27)),AND(D323&lt;&gt;"",D323&lt;설정!$B$26)),"△","★")))</f>
        <v/>
      </c>
      <c r="AB323">
        <f>IF(NOT(T323),"",IF(U323="설계사",설정!$B$31,IF(U323="시공사",IF(OR(M323="",설정!$B$24-N(M323)&lt;=설정!$B$28*30.4),설정!$B$32,설정!$B$33),설정!$B$34))+IF(AA323="★",설정!$B$35,0))</f>
        <v/>
      </c>
      <c r="AC323">
        <f>SUBSTITUTE(SUBSTITUTE(SUBSTITUTE(SUBSTITUTE(H323,"(주)",""),"㈜",""),"주식회사","")," ","")</f>
        <v/>
      </c>
      <c r="AD323">
        <f>IF(AND(T323,AC323&lt;&gt;""),IF(COUNTIFS(AC$2:AC323,AC323,T$2:T323,TRUE)=1,MAX(AD$1:AD322)+1,""),"")</f>
        <v/>
      </c>
    </row>
    <row r="324">
      <c r="A324">
        <f>ROW()</f>
        <v/>
      </c>
      <c r="B324">
        <f>IF(설정!$C$4="","",IFERROR(INDEX('1.산군_붙여넣기'!$A$1:$AZ$1001,ROW(),설정!$C$4)&amp;"",""))</f>
        <v/>
      </c>
      <c r="C324">
        <f>IF(설정!$C$5="","",IFERROR(INDEX('1.산군_붙여넣기'!$A$1:$AZ$1001,ROW(),설정!$C$5)&amp;"",""))</f>
        <v/>
      </c>
      <c r="D324" s="5">
        <f>IFERROR(VALUE(SUBSTITUTE(SUBSTITUTE(SUBSTITUTE(IF(설정!$C$6="","",IFERROR(INDEX('1.산군_붙여넣기'!$A$1:$AZ$1001,ROW(),설정!$C$6)&amp;"","")),",",""),"㎡",""),"m2","")),"")</f>
        <v/>
      </c>
      <c r="E324">
        <f>IF(설정!$C$7="","",IFERROR(INDEX('1.산군_붙여넣기'!$A$1:$AZ$1001,ROW(),설정!$C$7)&amp;"",""))</f>
        <v/>
      </c>
      <c r="F324">
        <f>IF(설정!$C$8="","",IFERROR(INDEX('1.산군_붙여넣기'!$A$1:$AZ$1001,ROW(),설정!$C$8)&amp;"",""))</f>
        <v/>
      </c>
      <c r="G324">
        <f>IF(설정!$C$9="","",IFERROR(INDEX('1.산군_붙여넣기'!$A$1:$AZ$1001,ROW(),설정!$C$9)&amp;"",""))</f>
        <v/>
      </c>
      <c r="H324">
        <f>IF(설정!$C$10="","",IFERROR(INDEX('1.산군_붙여넣기'!$A$1:$AZ$1001,ROW(),설정!$C$10)&amp;"",""))</f>
        <v/>
      </c>
      <c r="I324">
        <f>IF(설정!$C$11="","",IFERROR(INDEX('1.산군_붙여넣기'!$A$1:$AZ$1001,ROW(),설정!$C$11)&amp;"",""))</f>
        <v/>
      </c>
      <c r="J324">
        <f>IF(설정!$C$12="","",IFERROR(INDEX('1.산군_붙여넣기'!$A$1:$AZ$1001,ROW(),설정!$C$12)&amp;"",""))</f>
        <v/>
      </c>
      <c r="K324">
        <f>IF(설정!$C$13="","",IFERROR(INDEX('1.산군_붙여넣기'!$A$1:$AZ$1001,ROW(),설정!$C$13)&amp;"",""))</f>
        <v/>
      </c>
      <c r="L324" s="7">
        <f>IF(X324="","",IF(AND(LEN(X324)=8,ISNUMBER(X324*1)),DATE(LEFT(X324,4),MID(X324,5,2),RIGHT(X324,2)),IFERROR(DATEVALUE(SUBSTITUTE(SUBSTITUTE(X324,".","-"),"/","-")),IFERROR(X324*1,""))))</f>
        <v/>
      </c>
      <c r="M324" s="7">
        <f>IF(Y324="","",IF(AND(LEN(Y324)=8,ISNUMBER(Y324*1)),DATE(LEFT(Y324,4),MID(Y324,5,2),RIGHT(Y324,2)),IFERROR(DATEVALUE(SUBSTITUTE(SUBSTITUTE(Y324,".","-"),"/","-")),IFERROR(Y324*1,""))))</f>
        <v/>
      </c>
      <c r="N324">
        <f>IFERROR(LEFT(B324,FIND(" ",B324)-1),B324)</f>
        <v/>
      </c>
      <c r="O324">
        <f>AND(B324&lt;&gt;"",B324&lt;&gt;설정!$B$4,C324&lt;&gt;설정!$B$5)</f>
        <v/>
      </c>
      <c r="P324">
        <f>IF(O324,B324&amp;"|"&amp;C324,"")</f>
        <v/>
      </c>
      <c r="Q324">
        <f>AND(O324,COUNTIF(P325:P$1002,P324)=0)</f>
        <v/>
      </c>
      <c r="R324">
        <f>OR(AND(설정!$A$42&lt;&gt;"",ISNUMBER(SEARCH(설정!$A$42,E324&amp;" "&amp;C324))),AND(설정!$A$43&lt;&gt;"",ISNUMBER(SEARCH(설정!$A$43,E324&amp;" "&amp;C324))),AND(설정!$A$44&lt;&gt;"",ISNUMBER(SEARCH(설정!$A$44,E324&amp;" "&amp;C324))),AND(설정!$A$45&lt;&gt;"",ISNUMBER(SEARCH(설정!$A$45,E324&amp;" "&amp;C324))),AND(설정!$A$46&lt;&gt;"",ISNUMBER(SEARCH(설정!$A$46,E324&amp;" "&amp;C324))),AND(설정!$A$47&lt;&gt;"",ISNUMBER(SEARCH(설정!$A$47,E324&amp;" "&amp;C324))),AND(설정!$A$48&lt;&gt;"",ISNUMBER(SEARCH(설정!$A$48,E324&amp;" "&amp;C324))),AND(설정!$A$49&lt;&gt;"",ISNUMBER(SEARCH(설정!$A$49,E324&amp;" "&amp;C324))),AND(설정!$A$50&lt;&gt;"",ISNUMBER(SEARCH(설정!$A$50,E324&amp;" "&amp;C324))),AND(설정!$A$51&lt;&gt;"",ISNUMBER(SEARCH(설정!$A$51,E324&amp;" "&amp;C324))))</f>
        <v/>
      </c>
      <c r="S324">
        <f>OR(D324="",D324&gt;=설정!$B$19)</f>
        <v/>
      </c>
      <c r="T324">
        <f>AND(Q324,R324,S324)</f>
        <v/>
      </c>
      <c r="U324">
        <f>IF(T324,IF(AND(설정!$A$54&lt;&gt;"",ISNUMBER(SEARCH(설정!$A$54,K324))),설정!$B$54,IF(AND(설정!$A$55&lt;&gt;"",ISNUMBER(SEARCH(설정!$A$55,K324))),설정!$B$55,IF(AND(설정!$A$56&lt;&gt;"",ISNUMBER(SEARCH(설정!$A$56,K324))),설정!$B$56,IF(AND(설정!$A$57&lt;&gt;"",ISNUMBER(SEARCH(설정!$A$57,K324))),설정!$B$57,IF(AND(설정!$A$58&lt;&gt;"",ISNUMBER(SEARCH(설정!$A$58,K324))),설정!$B$58,IF(AND(설정!$A$59&lt;&gt;"",ISNUMBER(SEARCH(설정!$A$59,K324))),설정!$B$59,IF(AND(설정!$A$60&lt;&gt;"",ISNUMBER(SEARCH(설정!$A$60,K324))),설정!$B$60,IF(AND(설정!$A$61&lt;&gt;"",ISNUMBER(SEARCH(설정!$A$61,K324))),설정!$B$61,IF(M324="","설계사","시공사"))))))))),"")</f>
        <v/>
      </c>
      <c r="V324">
        <f>SUBSTITUTE(SUBSTITUTE(SUBSTITUTE(SUBSTITUTE(G324,"(주)",""),"㈜",""),"주식회사","")," ","")</f>
        <v/>
      </c>
      <c r="W324">
        <f>IF(AND(T324,V324&lt;&gt;""),IF(COUNTIFS(V$2:V324,V324,T$2:T324,TRUE)=1,MAX(W$1:W323)+1,""),"")</f>
        <v/>
      </c>
      <c r="X324">
        <f>IF(설정!$C$14="","",IFERROR(INDEX('1.산군_붙여넣기'!$A$1:$AZ$1001,ROW(),설정!$C$14)&amp;"",""))</f>
        <v/>
      </c>
      <c r="Y324">
        <f>IF(설정!$C$15="","",IFERROR(INDEX('1.산군_붙여넣기'!$A$1:$AZ$1001,ROW(),설정!$C$15)&amp;"",""))</f>
        <v/>
      </c>
      <c r="Z324">
        <f>IF(T324,V324&amp;"|"&amp;U324,"")</f>
        <v/>
      </c>
      <c r="AA324">
        <f>IF(NOT(Q324),"",IF(NOT(AND(R324,S324)),"✕",IF(OR(OR(AND(L324&lt;&gt;"",M324&lt;&gt;"",N(M324)-N(L324)&gt;설정!$B$27),AND(L324&lt;&gt;"",M324="",설정!$B$24-N(L324)&gt;설정!$B$27)),AND(D324&lt;&gt;"",D324&lt;설정!$B$26)),"△","★")))</f>
        <v/>
      </c>
      <c r="AB324">
        <f>IF(NOT(T324),"",IF(U324="설계사",설정!$B$31,IF(U324="시공사",IF(OR(M324="",설정!$B$24-N(M324)&lt;=설정!$B$28*30.4),설정!$B$32,설정!$B$33),설정!$B$34))+IF(AA324="★",설정!$B$35,0))</f>
        <v/>
      </c>
      <c r="AC324">
        <f>SUBSTITUTE(SUBSTITUTE(SUBSTITUTE(SUBSTITUTE(H324,"(주)",""),"㈜",""),"주식회사","")," ","")</f>
        <v/>
      </c>
      <c r="AD324">
        <f>IF(AND(T324,AC324&lt;&gt;""),IF(COUNTIFS(AC$2:AC324,AC324,T$2:T324,TRUE)=1,MAX(AD$1:AD323)+1,""),"")</f>
        <v/>
      </c>
    </row>
    <row r="325">
      <c r="A325">
        <f>ROW()</f>
        <v/>
      </c>
      <c r="B325">
        <f>IF(설정!$C$4="","",IFERROR(INDEX('1.산군_붙여넣기'!$A$1:$AZ$1001,ROW(),설정!$C$4)&amp;"",""))</f>
        <v/>
      </c>
      <c r="C325">
        <f>IF(설정!$C$5="","",IFERROR(INDEX('1.산군_붙여넣기'!$A$1:$AZ$1001,ROW(),설정!$C$5)&amp;"",""))</f>
        <v/>
      </c>
      <c r="D325" s="5">
        <f>IFERROR(VALUE(SUBSTITUTE(SUBSTITUTE(SUBSTITUTE(IF(설정!$C$6="","",IFERROR(INDEX('1.산군_붙여넣기'!$A$1:$AZ$1001,ROW(),설정!$C$6)&amp;"","")),",",""),"㎡",""),"m2","")),"")</f>
        <v/>
      </c>
      <c r="E325">
        <f>IF(설정!$C$7="","",IFERROR(INDEX('1.산군_붙여넣기'!$A$1:$AZ$1001,ROW(),설정!$C$7)&amp;"",""))</f>
        <v/>
      </c>
      <c r="F325">
        <f>IF(설정!$C$8="","",IFERROR(INDEX('1.산군_붙여넣기'!$A$1:$AZ$1001,ROW(),설정!$C$8)&amp;"",""))</f>
        <v/>
      </c>
      <c r="G325">
        <f>IF(설정!$C$9="","",IFERROR(INDEX('1.산군_붙여넣기'!$A$1:$AZ$1001,ROW(),설정!$C$9)&amp;"",""))</f>
        <v/>
      </c>
      <c r="H325">
        <f>IF(설정!$C$10="","",IFERROR(INDEX('1.산군_붙여넣기'!$A$1:$AZ$1001,ROW(),설정!$C$10)&amp;"",""))</f>
        <v/>
      </c>
      <c r="I325">
        <f>IF(설정!$C$11="","",IFERROR(INDEX('1.산군_붙여넣기'!$A$1:$AZ$1001,ROW(),설정!$C$11)&amp;"",""))</f>
        <v/>
      </c>
      <c r="J325">
        <f>IF(설정!$C$12="","",IFERROR(INDEX('1.산군_붙여넣기'!$A$1:$AZ$1001,ROW(),설정!$C$12)&amp;"",""))</f>
        <v/>
      </c>
      <c r="K325">
        <f>IF(설정!$C$13="","",IFERROR(INDEX('1.산군_붙여넣기'!$A$1:$AZ$1001,ROW(),설정!$C$13)&amp;"",""))</f>
        <v/>
      </c>
      <c r="L325" s="7">
        <f>IF(X325="","",IF(AND(LEN(X325)=8,ISNUMBER(X325*1)),DATE(LEFT(X325,4),MID(X325,5,2),RIGHT(X325,2)),IFERROR(DATEVALUE(SUBSTITUTE(SUBSTITUTE(X325,".","-"),"/","-")),IFERROR(X325*1,""))))</f>
        <v/>
      </c>
      <c r="M325" s="7">
        <f>IF(Y325="","",IF(AND(LEN(Y325)=8,ISNUMBER(Y325*1)),DATE(LEFT(Y325,4),MID(Y325,5,2),RIGHT(Y325,2)),IFERROR(DATEVALUE(SUBSTITUTE(SUBSTITUTE(Y325,".","-"),"/","-")),IFERROR(Y325*1,""))))</f>
        <v/>
      </c>
      <c r="N325">
        <f>IFERROR(LEFT(B325,FIND(" ",B325)-1),B325)</f>
        <v/>
      </c>
      <c r="O325">
        <f>AND(B325&lt;&gt;"",B325&lt;&gt;설정!$B$4,C325&lt;&gt;설정!$B$5)</f>
        <v/>
      </c>
      <c r="P325">
        <f>IF(O325,B325&amp;"|"&amp;C325,"")</f>
        <v/>
      </c>
      <c r="Q325">
        <f>AND(O325,COUNTIF(P326:P$1002,P325)=0)</f>
        <v/>
      </c>
      <c r="R325">
        <f>OR(AND(설정!$A$42&lt;&gt;"",ISNUMBER(SEARCH(설정!$A$42,E325&amp;" "&amp;C325))),AND(설정!$A$43&lt;&gt;"",ISNUMBER(SEARCH(설정!$A$43,E325&amp;" "&amp;C325))),AND(설정!$A$44&lt;&gt;"",ISNUMBER(SEARCH(설정!$A$44,E325&amp;" "&amp;C325))),AND(설정!$A$45&lt;&gt;"",ISNUMBER(SEARCH(설정!$A$45,E325&amp;" "&amp;C325))),AND(설정!$A$46&lt;&gt;"",ISNUMBER(SEARCH(설정!$A$46,E325&amp;" "&amp;C325))),AND(설정!$A$47&lt;&gt;"",ISNUMBER(SEARCH(설정!$A$47,E325&amp;" "&amp;C325))),AND(설정!$A$48&lt;&gt;"",ISNUMBER(SEARCH(설정!$A$48,E325&amp;" "&amp;C325))),AND(설정!$A$49&lt;&gt;"",ISNUMBER(SEARCH(설정!$A$49,E325&amp;" "&amp;C325))),AND(설정!$A$50&lt;&gt;"",ISNUMBER(SEARCH(설정!$A$50,E325&amp;" "&amp;C325))),AND(설정!$A$51&lt;&gt;"",ISNUMBER(SEARCH(설정!$A$51,E325&amp;" "&amp;C325))))</f>
        <v/>
      </c>
      <c r="S325">
        <f>OR(D325="",D325&gt;=설정!$B$19)</f>
        <v/>
      </c>
      <c r="T325">
        <f>AND(Q325,R325,S325)</f>
        <v/>
      </c>
      <c r="U325">
        <f>IF(T325,IF(AND(설정!$A$54&lt;&gt;"",ISNUMBER(SEARCH(설정!$A$54,K325))),설정!$B$54,IF(AND(설정!$A$55&lt;&gt;"",ISNUMBER(SEARCH(설정!$A$55,K325))),설정!$B$55,IF(AND(설정!$A$56&lt;&gt;"",ISNUMBER(SEARCH(설정!$A$56,K325))),설정!$B$56,IF(AND(설정!$A$57&lt;&gt;"",ISNUMBER(SEARCH(설정!$A$57,K325))),설정!$B$57,IF(AND(설정!$A$58&lt;&gt;"",ISNUMBER(SEARCH(설정!$A$58,K325))),설정!$B$58,IF(AND(설정!$A$59&lt;&gt;"",ISNUMBER(SEARCH(설정!$A$59,K325))),설정!$B$59,IF(AND(설정!$A$60&lt;&gt;"",ISNUMBER(SEARCH(설정!$A$60,K325))),설정!$B$60,IF(AND(설정!$A$61&lt;&gt;"",ISNUMBER(SEARCH(설정!$A$61,K325))),설정!$B$61,IF(M325="","설계사","시공사"))))))))),"")</f>
        <v/>
      </c>
      <c r="V325">
        <f>SUBSTITUTE(SUBSTITUTE(SUBSTITUTE(SUBSTITUTE(G325,"(주)",""),"㈜",""),"주식회사","")," ","")</f>
        <v/>
      </c>
      <c r="W325">
        <f>IF(AND(T325,V325&lt;&gt;""),IF(COUNTIFS(V$2:V325,V325,T$2:T325,TRUE)=1,MAX(W$1:W324)+1,""),"")</f>
        <v/>
      </c>
      <c r="X325">
        <f>IF(설정!$C$14="","",IFERROR(INDEX('1.산군_붙여넣기'!$A$1:$AZ$1001,ROW(),설정!$C$14)&amp;"",""))</f>
        <v/>
      </c>
      <c r="Y325">
        <f>IF(설정!$C$15="","",IFERROR(INDEX('1.산군_붙여넣기'!$A$1:$AZ$1001,ROW(),설정!$C$15)&amp;"",""))</f>
        <v/>
      </c>
      <c r="Z325">
        <f>IF(T325,V325&amp;"|"&amp;U325,"")</f>
        <v/>
      </c>
      <c r="AA325">
        <f>IF(NOT(Q325),"",IF(NOT(AND(R325,S325)),"✕",IF(OR(OR(AND(L325&lt;&gt;"",M325&lt;&gt;"",N(M325)-N(L325)&gt;설정!$B$27),AND(L325&lt;&gt;"",M325="",설정!$B$24-N(L325)&gt;설정!$B$27)),AND(D325&lt;&gt;"",D325&lt;설정!$B$26)),"△","★")))</f>
        <v/>
      </c>
      <c r="AB325">
        <f>IF(NOT(T325),"",IF(U325="설계사",설정!$B$31,IF(U325="시공사",IF(OR(M325="",설정!$B$24-N(M325)&lt;=설정!$B$28*30.4),설정!$B$32,설정!$B$33),설정!$B$34))+IF(AA325="★",설정!$B$35,0))</f>
        <v/>
      </c>
      <c r="AC325">
        <f>SUBSTITUTE(SUBSTITUTE(SUBSTITUTE(SUBSTITUTE(H325,"(주)",""),"㈜",""),"주식회사","")," ","")</f>
        <v/>
      </c>
      <c r="AD325">
        <f>IF(AND(T325,AC325&lt;&gt;""),IF(COUNTIFS(AC$2:AC325,AC325,T$2:T325,TRUE)=1,MAX(AD$1:AD324)+1,""),"")</f>
        <v/>
      </c>
    </row>
    <row r="326">
      <c r="A326">
        <f>ROW()</f>
        <v/>
      </c>
      <c r="B326">
        <f>IF(설정!$C$4="","",IFERROR(INDEX('1.산군_붙여넣기'!$A$1:$AZ$1001,ROW(),설정!$C$4)&amp;"",""))</f>
        <v/>
      </c>
      <c r="C326">
        <f>IF(설정!$C$5="","",IFERROR(INDEX('1.산군_붙여넣기'!$A$1:$AZ$1001,ROW(),설정!$C$5)&amp;"",""))</f>
        <v/>
      </c>
      <c r="D326" s="5">
        <f>IFERROR(VALUE(SUBSTITUTE(SUBSTITUTE(SUBSTITUTE(IF(설정!$C$6="","",IFERROR(INDEX('1.산군_붙여넣기'!$A$1:$AZ$1001,ROW(),설정!$C$6)&amp;"","")),",",""),"㎡",""),"m2","")),"")</f>
        <v/>
      </c>
      <c r="E326">
        <f>IF(설정!$C$7="","",IFERROR(INDEX('1.산군_붙여넣기'!$A$1:$AZ$1001,ROW(),설정!$C$7)&amp;"",""))</f>
        <v/>
      </c>
      <c r="F326">
        <f>IF(설정!$C$8="","",IFERROR(INDEX('1.산군_붙여넣기'!$A$1:$AZ$1001,ROW(),설정!$C$8)&amp;"",""))</f>
        <v/>
      </c>
      <c r="G326">
        <f>IF(설정!$C$9="","",IFERROR(INDEX('1.산군_붙여넣기'!$A$1:$AZ$1001,ROW(),설정!$C$9)&amp;"",""))</f>
        <v/>
      </c>
      <c r="H326">
        <f>IF(설정!$C$10="","",IFERROR(INDEX('1.산군_붙여넣기'!$A$1:$AZ$1001,ROW(),설정!$C$10)&amp;"",""))</f>
        <v/>
      </c>
      <c r="I326">
        <f>IF(설정!$C$11="","",IFERROR(INDEX('1.산군_붙여넣기'!$A$1:$AZ$1001,ROW(),설정!$C$11)&amp;"",""))</f>
        <v/>
      </c>
      <c r="J326">
        <f>IF(설정!$C$12="","",IFERROR(INDEX('1.산군_붙여넣기'!$A$1:$AZ$1001,ROW(),설정!$C$12)&amp;"",""))</f>
        <v/>
      </c>
      <c r="K326">
        <f>IF(설정!$C$13="","",IFERROR(INDEX('1.산군_붙여넣기'!$A$1:$AZ$1001,ROW(),설정!$C$13)&amp;"",""))</f>
        <v/>
      </c>
      <c r="L326" s="7">
        <f>IF(X326="","",IF(AND(LEN(X326)=8,ISNUMBER(X326*1)),DATE(LEFT(X326,4),MID(X326,5,2),RIGHT(X326,2)),IFERROR(DATEVALUE(SUBSTITUTE(SUBSTITUTE(X326,".","-"),"/","-")),IFERROR(X326*1,""))))</f>
        <v/>
      </c>
      <c r="M326" s="7">
        <f>IF(Y326="","",IF(AND(LEN(Y326)=8,ISNUMBER(Y326*1)),DATE(LEFT(Y326,4),MID(Y326,5,2),RIGHT(Y326,2)),IFERROR(DATEVALUE(SUBSTITUTE(SUBSTITUTE(Y326,".","-"),"/","-")),IFERROR(Y326*1,""))))</f>
        <v/>
      </c>
      <c r="N326">
        <f>IFERROR(LEFT(B326,FIND(" ",B326)-1),B326)</f>
        <v/>
      </c>
      <c r="O326">
        <f>AND(B326&lt;&gt;"",B326&lt;&gt;설정!$B$4,C326&lt;&gt;설정!$B$5)</f>
        <v/>
      </c>
      <c r="P326">
        <f>IF(O326,B326&amp;"|"&amp;C326,"")</f>
        <v/>
      </c>
      <c r="Q326">
        <f>AND(O326,COUNTIF(P327:P$1002,P326)=0)</f>
        <v/>
      </c>
      <c r="R326">
        <f>OR(AND(설정!$A$42&lt;&gt;"",ISNUMBER(SEARCH(설정!$A$42,E326&amp;" "&amp;C326))),AND(설정!$A$43&lt;&gt;"",ISNUMBER(SEARCH(설정!$A$43,E326&amp;" "&amp;C326))),AND(설정!$A$44&lt;&gt;"",ISNUMBER(SEARCH(설정!$A$44,E326&amp;" "&amp;C326))),AND(설정!$A$45&lt;&gt;"",ISNUMBER(SEARCH(설정!$A$45,E326&amp;" "&amp;C326))),AND(설정!$A$46&lt;&gt;"",ISNUMBER(SEARCH(설정!$A$46,E326&amp;" "&amp;C326))),AND(설정!$A$47&lt;&gt;"",ISNUMBER(SEARCH(설정!$A$47,E326&amp;" "&amp;C326))),AND(설정!$A$48&lt;&gt;"",ISNUMBER(SEARCH(설정!$A$48,E326&amp;" "&amp;C326))),AND(설정!$A$49&lt;&gt;"",ISNUMBER(SEARCH(설정!$A$49,E326&amp;" "&amp;C326))),AND(설정!$A$50&lt;&gt;"",ISNUMBER(SEARCH(설정!$A$50,E326&amp;" "&amp;C326))),AND(설정!$A$51&lt;&gt;"",ISNUMBER(SEARCH(설정!$A$51,E326&amp;" "&amp;C326))))</f>
        <v/>
      </c>
      <c r="S326">
        <f>OR(D326="",D326&gt;=설정!$B$19)</f>
        <v/>
      </c>
      <c r="T326">
        <f>AND(Q326,R326,S326)</f>
        <v/>
      </c>
      <c r="U326">
        <f>IF(T326,IF(AND(설정!$A$54&lt;&gt;"",ISNUMBER(SEARCH(설정!$A$54,K326))),설정!$B$54,IF(AND(설정!$A$55&lt;&gt;"",ISNUMBER(SEARCH(설정!$A$55,K326))),설정!$B$55,IF(AND(설정!$A$56&lt;&gt;"",ISNUMBER(SEARCH(설정!$A$56,K326))),설정!$B$56,IF(AND(설정!$A$57&lt;&gt;"",ISNUMBER(SEARCH(설정!$A$57,K326))),설정!$B$57,IF(AND(설정!$A$58&lt;&gt;"",ISNUMBER(SEARCH(설정!$A$58,K326))),설정!$B$58,IF(AND(설정!$A$59&lt;&gt;"",ISNUMBER(SEARCH(설정!$A$59,K326))),설정!$B$59,IF(AND(설정!$A$60&lt;&gt;"",ISNUMBER(SEARCH(설정!$A$60,K326))),설정!$B$60,IF(AND(설정!$A$61&lt;&gt;"",ISNUMBER(SEARCH(설정!$A$61,K326))),설정!$B$61,IF(M326="","설계사","시공사"))))))))),"")</f>
        <v/>
      </c>
      <c r="V326">
        <f>SUBSTITUTE(SUBSTITUTE(SUBSTITUTE(SUBSTITUTE(G326,"(주)",""),"㈜",""),"주식회사","")," ","")</f>
        <v/>
      </c>
      <c r="W326">
        <f>IF(AND(T326,V326&lt;&gt;""),IF(COUNTIFS(V$2:V326,V326,T$2:T326,TRUE)=1,MAX(W$1:W325)+1,""),"")</f>
        <v/>
      </c>
      <c r="X326">
        <f>IF(설정!$C$14="","",IFERROR(INDEX('1.산군_붙여넣기'!$A$1:$AZ$1001,ROW(),설정!$C$14)&amp;"",""))</f>
        <v/>
      </c>
      <c r="Y326">
        <f>IF(설정!$C$15="","",IFERROR(INDEX('1.산군_붙여넣기'!$A$1:$AZ$1001,ROW(),설정!$C$15)&amp;"",""))</f>
        <v/>
      </c>
      <c r="Z326">
        <f>IF(T326,V326&amp;"|"&amp;U326,"")</f>
        <v/>
      </c>
      <c r="AA326">
        <f>IF(NOT(Q326),"",IF(NOT(AND(R326,S326)),"✕",IF(OR(OR(AND(L326&lt;&gt;"",M326&lt;&gt;"",N(M326)-N(L326)&gt;설정!$B$27),AND(L326&lt;&gt;"",M326="",설정!$B$24-N(L326)&gt;설정!$B$27)),AND(D326&lt;&gt;"",D326&lt;설정!$B$26)),"△","★")))</f>
        <v/>
      </c>
      <c r="AB326">
        <f>IF(NOT(T326),"",IF(U326="설계사",설정!$B$31,IF(U326="시공사",IF(OR(M326="",설정!$B$24-N(M326)&lt;=설정!$B$28*30.4),설정!$B$32,설정!$B$33),설정!$B$34))+IF(AA326="★",설정!$B$35,0))</f>
        <v/>
      </c>
      <c r="AC326">
        <f>SUBSTITUTE(SUBSTITUTE(SUBSTITUTE(SUBSTITUTE(H326,"(주)",""),"㈜",""),"주식회사","")," ","")</f>
        <v/>
      </c>
      <c r="AD326">
        <f>IF(AND(T326,AC326&lt;&gt;""),IF(COUNTIFS(AC$2:AC326,AC326,T$2:T326,TRUE)=1,MAX(AD$1:AD325)+1,""),"")</f>
        <v/>
      </c>
    </row>
    <row r="327">
      <c r="A327">
        <f>ROW()</f>
        <v/>
      </c>
      <c r="B327">
        <f>IF(설정!$C$4="","",IFERROR(INDEX('1.산군_붙여넣기'!$A$1:$AZ$1001,ROW(),설정!$C$4)&amp;"",""))</f>
        <v/>
      </c>
      <c r="C327">
        <f>IF(설정!$C$5="","",IFERROR(INDEX('1.산군_붙여넣기'!$A$1:$AZ$1001,ROW(),설정!$C$5)&amp;"",""))</f>
        <v/>
      </c>
      <c r="D327" s="5">
        <f>IFERROR(VALUE(SUBSTITUTE(SUBSTITUTE(SUBSTITUTE(IF(설정!$C$6="","",IFERROR(INDEX('1.산군_붙여넣기'!$A$1:$AZ$1001,ROW(),설정!$C$6)&amp;"","")),",",""),"㎡",""),"m2","")),"")</f>
        <v/>
      </c>
      <c r="E327">
        <f>IF(설정!$C$7="","",IFERROR(INDEX('1.산군_붙여넣기'!$A$1:$AZ$1001,ROW(),설정!$C$7)&amp;"",""))</f>
        <v/>
      </c>
      <c r="F327">
        <f>IF(설정!$C$8="","",IFERROR(INDEX('1.산군_붙여넣기'!$A$1:$AZ$1001,ROW(),설정!$C$8)&amp;"",""))</f>
        <v/>
      </c>
      <c r="G327">
        <f>IF(설정!$C$9="","",IFERROR(INDEX('1.산군_붙여넣기'!$A$1:$AZ$1001,ROW(),설정!$C$9)&amp;"",""))</f>
        <v/>
      </c>
      <c r="H327">
        <f>IF(설정!$C$10="","",IFERROR(INDEX('1.산군_붙여넣기'!$A$1:$AZ$1001,ROW(),설정!$C$10)&amp;"",""))</f>
        <v/>
      </c>
      <c r="I327">
        <f>IF(설정!$C$11="","",IFERROR(INDEX('1.산군_붙여넣기'!$A$1:$AZ$1001,ROW(),설정!$C$11)&amp;"",""))</f>
        <v/>
      </c>
      <c r="J327">
        <f>IF(설정!$C$12="","",IFERROR(INDEX('1.산군_붙여넣기'!$A$1:$AZ$1001,ROW(),설정!$C$12)&amp;"",""))</f>
        <v/>
      </c>
      <c r="K327">
        <f>IF(설정!$C$13="","",IFERROR(INDEX('1.산군_붙여넣기'!$A$1:$AZ$1001,ROW(),설정!$C$13)&amp;"",""))</f>
        <v/>
      </c>
      <c r="L327" s="7">
        <f>IF(X327="","",IF(AND(LEN(X327)=8,ISNUMBER(X327*1)),DATE(LEFT(X327,4),MID(X327,5,2),RIGHT(X327,2)),IFERROR(DATEVALUE(SUBSTITUTE(SUBSTITUTE(X327,".","-"),"/","-")),IFERROR(X327*1,""))))</f>
        <v/>
      </c>
      <c r="M327" s="7">
        <f>IF(Y327="","",IF(AND(LEN(Y327)=8,ISNUMBER(Y327*1)),DATE(LEFT(Y327,4),MID(Y327,5,2),RIGHT(Y327,2)),IFERROR(DATEVALUE(SUBSTITUTE(SUBSTITUTE(Y327,".","-"),"/","-")),IFERROR(Y327*1,""))))</f>
        <v/>
      </c>
      <c r="N327">
        <f>IFERROR(LEFT(B327,FIND(" ",B327)-1),B327)</f>
        <v/>
      </c>
      <c r="O327">
        <f>AND(B327&lt;&gt;"",B327&lt;&gt;설정!$B$4,C327&lt;&gt;설정!$B$5)</f>
        <v/>
      </c>
      <c r="P327">
        <f>IF(O327,B327&amp;"|"&amp;C327,"")</f>
        <v/>
      </c>
      <c r="Q327">
        <f>AND(O327,COUNTIF(P328:P$1002,P327)=0)</f>
        <v/>
      </c>
      <c r="R327">
        <f>OR(AND(설정!$A$42&lt;&gt;"",ISNUMBER(SEARCH(설정!$A$42,E327&amp;" "&amp;C327))),AND(설정!$A$43&lt;&gt;"",ISNUMBER(SEARCH(설정!$A$43,E327&amp;" "&amp;C327))),AND(설정!$A$44&lt;&gt;"",ISNUMBER(SEARCH(설정!$A$44,E327&amp;" "&amp;C327))),AND(설정!$A$45&lt;&gt;"",ISNUMBER(SEARCH(설정!$A$45,E327&amp;" "&amp;C327))),AND(설정!$A$46&lt;&gt;"",ISNUMBER(SEARCH(설정!$A$46,E327&amp;" "&amp;C327))),AND(설정!$A$47&lt;&gt;"",ISNUMBER(SEARCH(설정!$A$47,E327&amp;" "&amp;C327))),AND(설정!$A$48&lt;&gt;"",ISNUMBER(SEARCH(설정!$A$48,E327&amp;" "&amp;C327))),AND(설정!$A$49&lt;&gt;"",ISNUMBER(SEARCH(설정!$A$49,E327&amp;" "&amp;C327))),AND(설정!$A$50&lt;&gt;"",ISNUMBER(SEARCH(설정!$A$50,E327&amp;" "&amp;C327))),AND(설정!$A$51&lt;&gt;"",ISNUMBER(SEARCH(설정!$A$51,E327&amp;" "&amp;C327))))</f>
        <v/>
      </c>
      <c r="S327">
        <f>OR(D327="",D327&gt;=설정!$B$19)</f>
        <v/>
      </c>
      <c r="T327">
        <f>AND(Q327,R327,S327)</f>
        <v/>
      </c>
      <c r="U327">
        <f>IF(T327,IF(AND(설정!$A$54&lt;&gt;"",ISNUMBER(SEARCH(설정!$A$54,K327))),설정!$B$54,IF(AND(설정!$A$55&lt;&gt;"",ISNUMBER(SEARCH(설정!$A$55,K327))),설정!$B$55,IF(AND(설정!$A$56&lt;&gt;"",ISNUMBER(SEARCH(설정!$A$56,K327))),설정!$B$56,IF(AND(설정!$A$57&lt;&gt;"",ISNUMBER(SEARCH(설정!$A$57,K327))),설정!$B$57,IF(AND(설정!$A$58&lt;&gt;"",ISNUMBER(SEARCH(설정!$A$58,K327))),설정!$B$58,IF(AND(설정!$A$59&lt;&gt;"",ISNUMBER(SEARCH(설정!$A$59,K327))),설정!$B$59,IF(AND(설정!$A$60&lt;&gt;"",ISNUMBER(SEARCH(설정!$A$60,K327))),설정!$B$60,IF(AND(설정!$A$61&lt;&gt;"",ISNUMBER(SEARCH(설정!$A$61,K327))),설정!$B$61,IF(M327="","설계사","시공사"))))))))),"")</f>
        <v/>
      </c>
      <c r="V327">
        <f>SUBSTITUTE(SUBSTITUTE(SUBSTITUTE(SUBSTITUTE(G327,"(주)",""),"㈜",""),"주식회사","")," ","")</f>
        <v/>
      </c>
      <c r="W327">
        <f>IF(AND(T327,V327&lt;&gt;""),IF(COUNTIFS(V$2:V327,V327,T$2:T327,TRUE)=1,MAX(W$1:W326)+1,""),"")</f>
        <v/>
      </c>
      <c r="X327">
        <f>IF(설정!$C$14="","",IFERROR(INDEX('1.산군_붙여넣기'!$A$1:$AZ$1001,ROW(),설정!$C$14)&amp;"",""))</f>
        <v/>
      </c>
      <c r="Y327">
        <f>IF(설정!$C$15="","",IFERROR(INDEX('1.산군_붙여넣기'!$A$1:$AZ$1001,ROW(),설정!$C$15)&amp;"",""))</f>
        <v/>
      </c>
      <c r="Z327">
        <f>IF(T327,V327&amp;"|"&amp;U327,"")</f>
        <v/>
      </c>
      <c r="AA327">
        <f>IF(NOT(Q327),"",IF(NOT(AND(R327,S327)),"✕",IF(OR(OR(AND(L327&lt;&gt;"",M327&lt;&gt;"",N(M327)-N(L327)&gt;설정!$B$27),AND(L327&lt;&gt;"",M327="",설정!$B$24-N(L327)&gt;설정!$B$27)),AND(D327&lt;&gt;"",D327&lt;설정!$B$26)),"△","★")))</f>
        <v/>
      </c>
      <c r="AB327">
        <f>IF(NOT(T327),"",IF(U327="설계사",설정!$B$31,IF(U327="시공사",IF(OR(M327="",설정!$B$24-N(M327)&lt;=설정!$B$28*30.4),설정!$B$32,설정!$B$33),설정!$B$34))+IF(AA327="★",설정!$B$35,0))</f>
        <v/>
      </c>
      <c r="AC327">
        <f>SUBSTITUTE(SUBSTITUTE(SUBSTITUTE(SUBSTITUTE(H327,"(주)",""),"㈜",""),"주식회사","")," ","")</f>
        <v/>
      </c>
      <c r="AD327">
        <f>IF(AND(T327,AC327&lt;&gt;""),IF(COUNTIFS(AC$2:AC327,AC327,T$2:T327,TRUE)=1,MAX(AD$1:AD326)+1,""),"")</f>
        <v/>
      </c>
    </row>
    <row r="328">
      <c r="A328">
        <f>ROW()</f>
        <v/>
      </c>
      <c r="B328">
        <f>IF(설정!$C$4="","",IFERROR(INDEX('1.산군_붙여넣기'!$A$1:$AZ$1001,ROW(),설정!$C$4)&amp;"",""))</f>
        <v/>
      </c>
      <c r="C328">
        <f>IF(설정!$C$5="","",IFERROR(INDEX('1.산군_붙여넣기'!$A$1:$AZ$1001,ROW(),설정!$C$5)&amp;"",""))</f>
        <v/>
      </c>
      <c r="D328" s="5">
        <f>IFERROR(VALUE(SUBSTITUTE(SUBSTITUTE(SUBSTITUTE(IF(설정!$C$6="","",IFERROR(INDEX('1.산군_붙여넣기'!$A$1:$AZ$1001,ROW(),설정!$C$6)&amp;"","")),",",""),"㎡",""),"m2","")),"")</f>
        <v/>
      </c>
      <c r="E328">
        <f>IF(설정!$C$7="","",IFERROR(INDEX('1.산군_붙여넣기'!$A$1:$AZ$1001,ROW(),설정!$C$7)&amp;"",""))</f>
        <v/>
      </c>
      <c r="F328">
        <f>IF(설정!$C$8="","",IFERROR(INDEX('1.산군_붙여넣기'!$A$1:$AZ$1001,ROW(),설정!$C$8)&amp;"",""))</f>
        <v/>
      </c>
      <c r="G328">
        <f>IF(설정!$C$9="","",IFERROR(INDEX('1.산군_붙여넣기'!$A$1:$AZ$1001,ROW(),설정!$C$9)&amp;"",""))</f>
        <v/>
      </c>
      <c r="H328">
        <f>IF(설정!$C$10="","",IFERROR(INDEX('1.산군_붙여넣기'!$A$1:$AZ$1001,ROW(),설정!$C$10)&amp;"",""))</f>
        <v/>
      </c>
      <c r="I328">
        <f>IF(설정!$C$11="","",IFERROR(INDEX('1.산군_붙여넣기'!$A$1:$AZ$1001,ROW(),설정!$C$11)&amp;"",""))</f>
        <v/>
      </c>
      <c r="J328">
        <f>IF(설정!$C$12="","",IFERROR(INDEX('1.산군_붙여넣기'!$A$1:$AZ$1001,ROW(),설정!$C$12)&amp;"",""))</f>
        <v/>
      </c>
      <c r="K328">
        <f>IF(설정!$C$13="","",IFERROR(INDEX('1.산군_붙여넣기'!$A$1:$AZ$1001,ROW(),설정!$C$13)&amp;"",""))</f>
        <v/>
      </c>
      <c r="L328" s="7">
        <f>IF(X328="","",IF(AND(LEN(X328)=8,ISNUMBER(X328*1)),DATE(LEFT(X328,4),MID(X328,5,2),RIGHT(X328,2)),IFERROR(DATEVALUE(SUBSTITUTE(SUBSTITUTE(X328,".","-"),"/","-")),IFERROR(X328*1,""))))</f>
        <v/>
      </c>
      <c r="M328" s="7">
        <f>IF(Y328="","",IF(AND(LEN(Y328)=8,ISNUMBER(Y328*1)),DATE(LEFT(Y328,4),MID(Y328,5,2),RIGHT(Y328,2)),IFERROR(DATEVALUE(SUBSTITUTE(SUBSTITUTE(Y328,".","-"),"/","-")),IFERROR(Y328*1,""))))</f>
        <v/>
      </c>
      <c r="N328">
        <f>IFERROR(LEFT(B328,FIND(" ",B328)-1),B328)</f>
        <v/>
      </c>
      <c r="O328">
        <f>AND(B328&lt;&gt;"",B328&lt;&gt;설정!$B$4,C328&lt;&gt;설정!$B$5)</f>
        <v/>
      </c>
      <c r="P328">
        <f>IF(O328,B328&amp;"|"&amp;C328,"")</f>
        <v/>
      </c>
      <c r="Q328">
        <f>AND(O328,COUNTIF(P329:P$1002,P328)=0)</f>
        <v/>
      </c>
      <c r="R328">
        <f>OR(AND(설정!$A$42&lt;&gt;"",ISNUMBER(SEARCH(설정!$A$42,E328&amp;" "&amp;C328))),AND(설정!$A$43&lt;&gt;"",ISNUMBER(SEARCH(설정!$A$43,E328&amp;" "&amp;C328))),AND(설정!$A$44&lt;&gt;"",ISNUMBER(SEARCH(설정!$A$44,E328&amp;" "&amp;C328))),AND(설정!$A$45&lt;&gt;"",ISNUMBER(SEARCH(설정!$A$45,E328&amp;" "&amp;C328))),AND(설정!$A$46&lt;&gt;"",ISNUMBER(SEARCH(설정!$A$46,E328&amp;" "&amp;C328))),AND(설정!$A$47&lt;&gt;"",ISNUMBER(SEARCH(설정!$A$47,E328&amp;" "&amp;C328))),AND(설정!$A$48&lt;&gt;"",ISNUMBER(SEARCH(설정!$A$48,E328&amp;" "&amp;C328))),AND(설정!$A$49&lt;&gt;"",ISNUMBER(SEARCH(설정!$A$49,E328&amp;" "&amp;C328))),AND(설정!$A$50&lt;&gt;"",ISNUMBER(SEARCH(설정!$A$50,E328&amp;" "&amp;C328))),AND(설정!$A$51&lt;&gt;"",ISNUMBER(SEARCH(설정!$A$51,E328&amp;" "&amp;C328))))</f>
        <v/>
      </c>
      <c r="S328">
        <f>OR(D328="",D328&gt;=설정!$B$19)</f>
        <v/>
      </c>
      <c r="T328">
        <f>AND(Q328,R328,S328)</f>
        <v/>
      </c>
      <c r="U328">
        <f>IF(T328,IF(AND(설정!$A$54&lt;&gt;"",ISNUMBER(SEARCH(설정!$A$54,K328))),설정!$B$54,IF(AND(설정!$A$55&lt;&gt;"",ISNUMBER(SEARCH(설정!$A$55,K328))),설정!$B$55,IF(AND(설정!$A$56&lt;&gt;"",ISNUMBER(SEARCH(설정!$A$56,K328))),설정!$B$56,IF(AND(설정!$A$57&lt;&gt;"",ISNUMBER(SEARCH(설정!$A$57,K328))),설정!$B$57,IF(AND(설정!$A$58&lt;&gt;"",ISNUMBER(SEARCH(설정!$A$58,K328))),설정!$B$58,IF(AND(설정!$A$59&lt;&gt;"",ISNUMBER(SEARCH(설정!$A$59,K328))),설정!$B$59,IF(AND(설정!$A$60&lt;&gt;"",ISNUMBER(SEARCH(설정!$A$60,K328))),설정!$B$60,IF(AND(설정!$A$61&lt;&gt;"",ISNUMBER(SEARCH(설정!$A$61,K328))),설정!$B$61,IF(M328="","설계사","시공사"))))))))),"")</f>
        <v/>
      </c>
      <c r="V328">
        <f>SUBSTITUTE(SUBSTITUTE(SUBSTITUTE(SUBSTITUTE(G328,"(주)",""),"㈜",""),"주식회사","")," ","")</f>
        <v/>
      </c>
      <c r="W328">
        <f>IF(AND(T328,V328&lt;&gt;""),IF(COUNTIFS(V$2:V328,V328,T$2:T328,TRUE)=1,MAX(W$1:W327)+1,""),"")</f>
        <v/>
      </c>
      <c r="X328">
        <f>IF(설정!$C$14="","",IFERROR(INDEX('1.산군_붙여넣기'!$A$1:$AZ$1001,ROW(),설정!$C$14)&amp;"",""))</f>
        <v/>
      </c>
      <c r="Y328">
        <f>IF(설정!$C$15="","",IFERROR(INDEX('1.산군_붙여넣기'!$A$1:$AZ$1001,ROW(),설정!$C$15)&amp;"",""))</f>
        <v/>
      </c>
      <c r="Z328">
        <f>IF(T328,V328&amp;"|"&amp;U328,"")</f>
        <v/>
      </c>
      <c r="AA328">
        <f>IF(NOT(Q328),"",IF(NOT(AND(R328,S328)),"✕",IF(OR(OR(AND(L328&lt;&gt;"",M328&lt;&gt;"",N(M328)-N(L328)&gt;설정!$B$27),AND(L328&lt;&gt;"",M328="",설정!$B$24-N(L328)&gt;설정!$B$27)),AND(D328&lt;&gt;"",D328&lt;설정!$B$26)),"△","★")))</f>
        <v/>
      </c>
      <c r="AB328">
        <f>IF(NOT(T328),"",IF(U328="설계사",설정!$B$31,IF(U328="시공사",IF(OR(M328="",설정!$B$24-N(M328)&lt;=설정!$B$28*30.4),설정!$B$32,설정!$B$33),설정!$B$34))+IF(AA328="★",설정!$B$35,0))</f>
        <v/>
      </c>
      <c r="AC328">
        <f>SUBSTITUTE(SUBSTITUTE(SUBSTITUTE(SUBSTITUTE(H328,"(주)",""),"㈜",""),"주식회사","")," ","")</f>
        <v/>
      </c>
      <c r="AD328">
        <f>IF(AND(T328,AC328&lt;&gt;""),IF(COUNTIFS(AC$2:AC328,AC328,T$2:T328,TRUE)=1,MAX(AD$1:AD327)+1,""),"")</f>
        <v/>
      </c>
    </row>
    <row r="329">
      <c r="A329">
        <f>ROW()</f>
        <v/>
      </c>
      <c r="B329">
        <f>IF(설정!$C$4="","",IFERROR(INDEX('1.산군_붙여넣기'!$A$1:$AZ$1001,ROW(),설정!$C$4)&amp;"",""))</f>
        <v/>
      </c>
      <c r="C329">
        <f>IF(설정!$C$5="","",IFERROR(INDEX('1.산군_붙여넣기'!$A$1:$AZ$1001,ROW(),설정!$C$5)&amp;"",""))</f>
        <v/>
      </c>
      <c r="D329" s="5">
        <f>IFERROR(VALUE(SUBSTITUTE(SUBSTITUTE(SUBSTITUTE(IF(설정!$C$6="","",IFERROR(INDEX('1.산군_붙여넣기'!$A$1:$AZ$1001,ROW(),설정!$C$6)&amp;"","")),",",""),"㎡",""),"m2","")),"")</f>
        <v/>
      </c>
      <c r="E329">
        <f>IF(설정!$C$7="","",IFERROR(INDEX('1.산군_붙여넣기'!$A$1:$AZ$1001,ROW(),설정!$C$7)&amp;"",""))</f>
        <v/>
      </c>
      <c r="F329">
        <f>IF(설정!$C$8="","",IFERROR(INDEX('1.산군_붙여넣기'!$A$1:$AZ$1001,ROW(),설정!$C$8)&amp;"",""))</f>
        <v/>
      </c>
      <c r="G329">
        <f>IF(설정!$C$9="","",IFERROR(INDEX('1.산군_붙여넣기'!$A$1:$AZ$1001,ROW(),설정!$C$9)&amp;"",""))</f>
        <v/>
      </c>
      <c r="H329">
        <f>IF(설정!$C$10="","",IFERROR(INDEX('1.산군_붙여넣기'!$A$1:$AZ$1001,ROW(),설정!$C$10)&amp;"",""))</f>
        <v/>
      </c>
      <c r="I329">
        <f>IF(설정!$C$11="","",IFERROR(INDEX('1.산군_붙여넣기'!$A$1:$AZ$1001,ROW(),설정!$C$11)&amp;"",""))</f>
        <v/>
      </c>
      <c r="J329">
        <f>IF(설정!$C$12="","",IFERROR(INDEX('1.산군_붙여넣기'!$A$1:$AZ$1001,ROW(),설정!$C$12)&amp;"",""))</f>
        <v/>
      </c>
      <c r="K329">
        <f>IF(설정!$C$13="","",IFERROR(INDEX('1.산군_붙여넣기'!$A$1:$AZ$1001,ROW(),설정!$C$13)&amp;"",""))</f>
        <v/>
      </c>
      <c r="L329" s="7">
        <f>IF(X329="","",IF(AND(LEN(X329)=8,ISNUMBER(X329*1)),DATE(LEFT(X329,4),MID(X329,5,2),RIGHT(X329,2)),IFERROR(DATEVALUE(SUBSTITUTE(SUBSTITUTE(X329,".","-"),"/","-")),IFERROR(X329*1,""))))</f>
        <v/>
      </c>
      <c r="M329" s="7">
        <f>IF(Y329="","",IF(AND(LEN(Y329)=8,ISNUMBER(Y329*1)),DATE(LEFT(Y329,4),MID(Y329,5,2),RIGHT(Y329,2)),IFERROR(DATEVALUE(SUBSTITUTE(SUBSTITUTE(Y329,".","-"),"/","-")),IFERROR(Y329*1,""))))</f>
        <v/>
      </c>
      <c r="N329">
        <f>IFERROR(LEFT(B329,FIND(" ",B329)-1),B329)</f>
        <v/>
      </c>
      <c r="O329">
        <f>AND(B329&lt;&gt;"",B329&lt;&gt;설정!$B$4,C329&lt;&gt;설정!$B$5)</f>
        <v/>
      </c>
      <c r="P329">
        <f>IF(O329,B329&amp;"|"&amp;C329,"")</f>
        <v/>
      </c>
      <c r="Q329">
        <f>AND(O329,COUNTIF(P330:P$1002,P329)=0)</f>
        <v/>
      </c>
      <c r="R329">
        <f>OR(AND(설정!$A$42&lt;&gt;"",ISNUMBER(SEARCH(설정!$A$42,E329&amp;" "&amp;C329))),AND(설정!$A$43&lt;&gt;"",ISNUMBER(SEARCH(설정!$A$43,E329&amp;" "&amp;C329))),AND(설정!$A$44&lt;&gt;"",ISNUMBER(SEARCH(설정!$A$44,E329&amp;" "&amp;C329))),AND(설정!$A$45&lt;&gt;"",ISNUMBER(SEARCH(설정!$A$45,E329&amp;" "&amp;C329))),AND(설정!$A$46&lt;&gt;"",ISNUMBER(SEARCH(설정!$A$46,E329&amp;" "&amp;C329))),AND(설정!$A$47&lt;&gt;"",ISNUMBER(SEARCH(설정!$A$47,E329&amp;" "&amp;C329))),AND(설정!$A$48&lt;&gt;"",ISNUMBER(SEARCH(설정!$A$48,E329&amp;" "&amp;C329))),AND(설정!$A$49&lt;&gt;"",ISNUMBER(SEARCH(설정!$A$49,E329&amp;" "&amp;C329))),AND(설정!$A$50&lt;&gt;"",ISNUMBER(SEARCH(설정!$A$50,E329&amp;" "&amp;C329))),AND(설정!$A$51&lt;&gt;"",ISNUMBER(SEARCH(설정!$A$51,E329&amp;" "&amp;C329))))</f>
        <v/>
      </c>
      <c r="S329">
        <f>OR(D329="",D329&gt;=설정!$B$19)</f>
        <v/>
      </c>
      <c r="T329">
        <f>AND(Q329,R329,S329)</f>
        <v/>
      </c>
      <c r="U329">
        <f>IF(T329,IF(AND(설정!$A$54&lt;&gt;"",ISNUMBER(SEARCH(설정!$A$54,K329))),설정!$B$54,IF(AND(설정!$A$55&lt;&gt;"",ISNUMBER(SEARCH(설정!$A$55,K329))),설정!$B$55,IF(AND(설정!$A$56&lt;&gt;"",ISNUMBER(SEARCH(설정!$A$56,K329))),설정!$B$56,IF(AND(설정!$A$57&lt;&gt;"",ISNUMBER(SEARCH(설정!$A$57,K329))),설정!$B$57,IF(AND(설정!$A$58&lt;&gt;"",ISNUMBER(SEARCH(설정!$A$58,K329))),설정!$B$58,IF(AND(설정!$A$59&lt;&gt;"",ISNUMBER(SEARCH(설정!$A$59,K329))),설정!$B$59,IF(AND(설정!$A$60&lt;&gt;"",ISNUMBER(SEARCH(설정!$A$60,K329))),설정!$B$60,IF(AND(설정!$A$61&lt;&gt;"",ISNUMBER(SEARCH(설정!$A$61,K329))),설정!$B$61,IF(M329="","설계사","시공사"))))))))),"")</f>
        <v/>
      </c>
      <c r="V329">
        <f>SUBSTITUTE(SUBSTITUTE(SUBSTITUTE(SUBSTITUTE(G329,"(주)",""),"㈜",""),"주식회사","")," ","")</f>
        <v/>
      </c>
      <c r="W329">
        <f>IF(AND(T329,V329&lt;&gt;""),IF(COUNTIFS(V$2:V329,V329,T$2:T329,TRUE)=1,MAX(W$1:W328)+1,""),"")</f>
        <v/>
      </c>
      <c r="X329">
        <f>IF(설정!$C$14="","",IFERROR(INDEX('1.산군_붙여넣기'!$A$1:$AZ$1001,ROW(),설정!$C$14)&amp;"",""))</f>
        <v/>
      </c>
      <c r="Y329">
        <f>IF(설정!$C$15="","",IFERROR(INDEX('1.산군_붙여넣기'!$A$1:$AZ$1001,ROW(),설정!$C$15)&amp;"",""))</f>
        <v/>
      </c>
      <c r="Z329">
        <f>IF(T329,V329&amp;"|"&amp;U329,"")</f>
        <v/>
      </c>
      <c r="AA329">
        <f>IF(NOT(Q329),"",IF(NOT(AND(R329,S329)),"✕",IF(OR(OR(AND(L329&lt;&gt;"",M329&lt;&gt;"",N(M329)-N(L329)&gt;설정!$B$27),AND(L329&lt;&gt;"",M329="",설정!$B$24-N(L329)&gt;설정!$B$27)),AND(D329&lt;&gt;"",D329&lt;설정!$B$26)),"△","★")))</f>
        <v/>
      </c>
      <c r="AB329">
        <f>IF(NOT(T329),"",IF(U329="설계사",설정!$B$31,IF(U329="시공사",IF(OR(M329="",설정!$B$24-N(M329)&lt;=설정!$B$28*30.4),설정!$B$32,설정!$B$33),설정!$B$34))+IF(AA329="★",설정!$B$35,0))</f>
        <v/>
      </c>
      <c r="AC329">
        <f>SUBSTITUTE(SUBSTITUTE(SUBSTITUTE(SUBSTITUTE(H329,"(주)",""),"㈜",""),"주식회사","")," ","")</f>
        <v/>
      </c>
      <c r="AD329">
        <f>IF(AND(T329,AC329&lt;&gt;""),IF(COUNTIFS(AC$2:AC329,AC329,T$2:T329,TRUE)=1,MAX(AD$1:AD328)+1,""),"")</f>
        <v/>
      </c>
    </row>
    <row r="330">
      <c r="A330">
        <f>ROW()</f>
        <v/>
      </c>
      <c r="B330">
        <f>IF(설정!$C$4="","",IFERROR(INDEX('1.산군_붙여넣기'!$A$1:$AZ$1001,ROW(),설정!$C$4)&amp;"",""))</f>
        <v/>
      </c>
      <c r="C330">
        <f>IF(설정!$C$5="","",IFERROR(INDEX('1.산군_붙여넣기'!$A$1:$AZ$1001,ROW(),설정!$C$5)&amp;"",""))</f>
        <v/>
      </c>
      <c r="D330" s="5">
        <f>IFERROR(VALUE(SUBSTITUTE(SUBSTITUTE(SUBSTITUTE(IF(설정!$C$6="","",IFERROR(INDEX('1.산군_붙여넣기'!$A$1:$AZ$1001,ROW(),설정!$C$6)&amp;"","")),",",""),"㎡",""),"m2","")),"")</f>
        <v/>
      </c>
      <c r="E330">
        <f>IF(설정!$C$7="","",IFERROR(INDEX('1.산군_붙여넣기'!$A$1:$AZ$1001,ROW(),설정!$C$7)&amp;"",""))</f>
        <v/>
      </c>
      <c r="F330">
        <f>IF(설정!$C$8="","",IFERROR(INDEX('1.산군_붙여넣기'!$A$1:$AZ$1001,ROW(),설정!$C$8)&amp;"",""))</f>
        <v/>
      </c>
      <c r="G330">
        <f>IF(설정!$C$9="","",IFERROR(INDEX('1.산군_붙여넣기'!$A$1:$AZ$1001,ROW(),설정!$C$9)&amp;"",""))</f>
        <v/>
      </c>
      <c r="H330">
        <f>IF(설정!$C$10="","",IFERROR(INDEX('1.산군_붙여넣기'!$A$1:$AZ$1001,ROW(),설정!$C$10)&amp;"",""))</f>
        <v/>
      </c>
      <c r="I330">
        <f>IF(설정!$C$11="","",IFERROR(INDEX('1.산군_붙여넣기'!$A$1:$AZ$1001,ROW(),설정!$C$11)&amp;"",""))</f>
        <v/>
      </c>
      <c r="J330">
        <f>IF(설정!$C$12="","",IFERROR(INDEX('1.산군_붙여넣기'!$A$1:$AZ$1001,ROW(),설정!$C$12)&amp;"",""))</f>
        <v/>
      </c>
      <c r="K330">
        <f>IF(설정!$C$13="","",IFERROR(INDEX('1.산군_붙여넣기'!$A$1:$AZ$1001,ROW(),설정!$C$13)&amp;"",""))</f>
        <v/>
      </c>
      <c r="L330" s="7">
        <f>IF(X330="","",IF(AND(LEN(X330)=8,ISNUMBER(X330*1)),DATE(LEFT(X330,4),MID(X330,5,2),RIGHT(X330,2)),IFERROR(DATEVALUE(SUBSTITUTE(SUBSTITUTE(X330,".","-"),"/","-")),IFERROR(X330*1,""))))</f>
        <v/>
      </c>
      <c r="M330" s="7">
        <f>IF(Y330="","",IF(AND(LEN(Y330)=8,ISNUMBER(Y330*1)),DATE(LEFT(Y330,4),MID(Y330,5,2),RIGHT(Y330,2)),IFERROR(DATEVALUE(SUBSTITUTE(SUBSTITUTE(Y330,".","-"),"/","-")),IFERROR(Y330*1,""))))</f>
        <v/>
      </c>
      <c r="N330">
        <f>IFERROR(LEFT(B330,FIND(" ",B330)-1),B330)</f>
        <v/>
      </c>
      <c r="O330">
        <f>AND(B330&lt;&gt;"",B330&lt;&gt;설정!$B$4,C330&lt;&gt;설정!$B$5)</f>
        <v/>
      </c>
      <c r="P330">
        <f>IF(O330,B330&amp;"|"&amp;C330,"")</f>
        <v/>
      </c>
      <c r="Q330">
        <f>AND(O330,COUNTIF(P331:P$1002,P330)=0)</f>
        <v/>
      </c>
      <c r="R330">
        <f>OR(AND(설정!$A$42&lt;&gt;"",ISNUMBER(SEARCH(설정!$A$42,E330&amp;" "&amp;C330))),AND(설정!$A$43&lt;&gt;"",ISNUMBER(SEARCH(설정!$A$43,E330&amp;" "&amp;C330))),AND(설정!$A$44&lt;&gt;"",ISNUMBER(SEARCH(설정!$A$44,E330&amp;" "&amp;C330))),AND(설정!$A$45&lt;&gt;"",ISNUMBER(SEARCH(설정!$A$45,E330&amp;" "&amp;C330))),AND(설정!$A$46&lt;&gt;"",ISNUMBER(SEARCH(설정!$A$46,E330&amp;" "&amp;C330))),AND(설정!$A$47&lt;&gt;"",ISNUMBER(SEARCH(설정!$A$47,E330&amp;" "&amp;C330))),AND(설정!$A$48&lt;&gt;"",ISNUMBER(SEARCH(설정!$A$48,E330&amp;" "&amp;C330))),AND(설정!$A$49&lt;&gt;"",ISNUMBER(SEARCH(설정!$A$49,E330&amp;" "&amp;C330))),AND(설정!$A$50&lt;&gt;"",ISNUMBER(SEARCH(설정!$A$50,E330&amp;" "&amp;C330))),AND(설정!$A$51&lt;&gt;"",ISNUMBER(SEARCH(설정!$A$51,E330&amp;" "&amp;C330))))</f>
        <v/>
      </c>
      <c r="S330">
        <f>OR(D330="",D330&gt;=설정!$B$19)</f>
        <v/>
      </c>
      <c r="T330">
        <f>AND(Q330,R330,S330)</f>
        <v/>
      </c>
      <c r="U330">
        <f>IF(T330,IF(AND(설정!$A$54&lt;&gt;"",ISNUMBER(SEARCH(설정!$A$54,K330))),설정!$B$54,IF(AND(설정!$A$55&lt;&gt;"",ISNUMBER(SEARCH(설정!$A$55,K330))),설정!$B$55,IF(AND(설정!$A$56&lt;&gt;"",ISNUMBER(SEARCH(설정!$A$56,K330))),설정!$B$56,IF(AND(설정!$A$57&lt;&gt;"",ISNUMBER(SEARCH(설정!$A$57,K330))),설정!$B$57,IF(AND(설정!$A$58&lt;&gt;"",ISNUMBER(SEARCH(설정!$A$58,K330))),설정!$B$58,IF(AND(설정!$A$59&lt;&gt;"",ISNUMBER(SEARCH(설정!$A$59,K330))),설정!$B$59,IF(AND(설정!$A$60&lt;&gt;"",ISNUMBER(SEARCH(설정!$A$60,K330))),설정!$B$60,IF(AND(설정!$A$61&lt;&gt;"",ISNUMBER(SEARCH(설정!$A$61,K330))),설정!$B$61,IF(M330="","설계사","시공사"))))))))),"")</f>
        <v/>
      </c>
      <c r="V330">
        <f>SUBSTITUTE(SUBSTITUTE(SUBSTITUTE(SUBSTITUTE(G330,"(주)",""),"㈜",""),"주식회사","")," ","")</f>
        <v/>
      </c>
      <c r="W330">
        <f>IF(AND(T330,V330&lt;&gt;""),IF(COUNTIFS(V$2:V330,V330,T$2:T330,TRUE)=1,MAX(W$1:W329)+1,""),"")</f>
        <v/>
      </c>
      <c r="X330">
        <f>IF(설정!$C$14="","",IFERROR(INDEX('1.산군_붙여넣기'!$A$1:$AZ$1001,ROW(),설정!$C$14)&amp;"",""))</f>
        <v/>
      </c>
      <c r="Y330">
        <f>IF(설정!$C$15="","",IFERROR(INDEX('1.산군_붙여넣기'!$A$1:$AZ$1001,ROW(),설정!$C$15)&amp;"",""))</f>
        <v/>
      </c>
      <c r="Z330">
        <f>IF(T330,V330&amp;"|"&amp;U330,"")</f>
        <v/>
      </c>
      <c r="AA330">
        <f>IF(NOT(Q330),"",IF(NOT(AND(R330,S330)),"✕",IF(OR(OR(AND(L330&lt;&gt;"",M330&lt;&gt;"",N(M330)-N(L330)&gt;설정!$B$27),AND(L330&lt;&gt;"",M330="",설정!$B$24-N(L330)&gt;설정!$B$27)),AND(D330&lt;&gt;"",D330&lt;설정!$B$26)),"△","★")))</f>
        <v/>
      </c>
      <c r="AB330">
        <f>IF(NOT(T330),"",IF(U330="설계사",설정!$B$31,IF(U330="시공사",IF(OR(M330="",설정!$B$24-N(M330)&lt;=설정!$B$28*30.4),설정!$B$32,설정!$B$33),설정!$B$34))+IF(AA330="★",설정!$B$35,0))</f>
        <v/>
      </c>
      <c r="AC330">
        <f>SUBSTITUTE(SUBSTITUTE(SUBSTITUTE(SUBSTITUTE(H330,"(주)",""),"㈜",""),"주식회사","")," ","")</f>
        <v/>
      </c>
      <c r="AD330">
        <f>IF(AND(T330,AC330&lt;&gt;""),IF(COUNTIFS(AC$2:AC330,AC330,T$2:T330,TRUE)=1,MAX(AD$1:AD329)+1,""),"")</f>
        <v/>
      </c>
    </row>
    <row r="331">
      <c r="A331">
        <f>ROW()</f>
        <v/>
      </c>
      <c r="B331">
        <f>IF(설정!$C$4="","",IFERROR(INDEX('1.산군_붙여넣기'!$A$1:$AZ$1001,ROW(),설정!$C$4)&amp;"",""))</f>
        <v/>
      </c>
      <c r="C331">
        <f>IF(설정!$C$5="","",IFERROR(INDEX('1.산군_붙여넣기'!$A$1:$AZ$1001,ROW(),설정!$C$5)&amp;"",""))</f>
        <v/>
      </c>
      <c r="D331" s="5">
        <f>IFERROR(VALUE(SUBSTITUTE(SUBSTITUTE(SUBSTITUTE(IF(설정!$C$6="","",IFERROR(INDEX('1.산군_붙여넣기'!$A$1:$AZ$1001,ROW(),설정!$C$6)&amp;"","")),",",""),"㎡",""),"m2","")),"")</f>
        <v/>
      </c>
      <c r="E331">
        <f>IF(설정!$C$7="","",IFERROR(INDEX('1.산군_붙여넣기'!$A$1:$AZ$1001,ROW(),설정!$C$7)&amp;"",""))</f>
        <v/>
      </c>
      <c r="F331">
        <f>IF(설정!$C$8="","",IFERROR(INDEX('1.산군_붙여넣기'!$A$1:$AZ$1001,ROW(),설정!$C$8)&amp;"",""))</f>
        <v/>
      </c>
      <c r="G331">
        <f>IF(설정!$C$9="","",IFERROR(INDEX('1.산군_붙여넣기'!$A$1:$AZ$1001,ROW(),설정!$C$9)&amp;"",""))</f>
        <v/>
      </c>
      <c r="H331">
        <f>IF(설정!$C$10="","",IFERROR(INDEX('1.산군_붙여넣기'!$A$1:$AZ$1001,ROW(),설정!$C$10)&amp;"",""))</f>
        <v/>
      </c>
      <c r="I331">
        <f>IF(설정!$C$11="","",IFERROR(INDEX('1.산군_붙여넣기'!$A$1:$AZ$1001,ROW(),설정!$C$11)&amp;"",""))</f>
        <v/>
      </c>
      <c r="J331">
        <f>IF(설정!$C$12="","",IFERROR(INDEX('1.산군_붙여넣기'!$A$1:$AZ$1001,ROW(),설정!$C$12)&amp;"",""))</f>
        <v/>
      </c>
      <c r="K331">
        <f>IF(설정!$C$13="","",IFERROR(INDEX('1.산군_붙여넣기'!$A$1:$AZ$1001,ROW(),설정!$C$13)&amp;"",""))</f>
        <v/>
      </c>
      <c r="L331" s="7">
        <f>IF(X331="","",IF(AND(LEN(X331)=8,ISNUMBER(X331*1)),DATE(LEFT(X331,4),MID(X331,5,2),RIGHT(X331,2)),IFERROR(DATEVALUE(SUBSTITUTE(SUBSTITUTE(X331,".","-"),"/","-")),IFERROR(X331*1,""))))</f>
        <v/>
      </c>
      <c r="M331" s="7">
        <f>IF(Y331="","",IF(AND(LEN(Y331)=8,ISNUMBER(Y331*1)),DATE(LEFT(Y331,4),MID(Y331,5,2),RIGHT(Y331,2)),IFERROR(DATEVALUE(SUBSTITUTE(SUBSTITUTE(Y331,".","-"),"/","-")),IFERROR(Y331*1,""))))</f>
        <v/>
      </c>
      <c r="N331">
        <f>IFERROR(LEFT(B331,FIND(" ",B331)-1),B331)</f>
        <v/>
      </c>
      <c r="O331">
        <f>AND(B331&lt;&gt;"",B331&lt;&gt;설정!$B$4,C331&lt;&gt;설정!$B$5)</f>
        <v/>
      </c>
      <c r="P331">
        <f>IF(O331,B331&amp;"|"&amp;C331,"")</f>
        <v/>
      </c>
      <c r="Q331">
        <f>AND(O331,COUNTIF(P332:P$1002,P331)=0)</f>
        <v/>
      </c>
      <c r="R331">
        <f>OR(AND(설정!$A$42&lt;&gt;"",ISNUMBER(SEARCH(설정!$A$42,E331&amp;" "&amp;C331))),AND(설정!$A$43&lt;&gt;"",ISNUMBER(SEARCH(설정!$A$43,E331&amp;" "&amp;C331))),AND(설정!$A$44&lt;&gt;"",ISNUMBER(SEARCH(설정!$A$44,E331&amp;" "&amp;C331))),AND(설정!$A$45&lt;&gt;"",ISNUMBER(SEARCH(설정!$A$45,E331&amp;" "&amp;C331))),AND(설정!$A$46&lt;&gt;"",ISNUMBER(SEARCH(설정!$A$46,E331&amp;" "&amp;C331))),AND(설정!$A$47&lt;&gt;"",ISNUMBER(SEARCH(설정!$A$47,E331&amp;" "&amp;C331))),AND(설정!$A$48&lt;&gt;"",ISNUMBER(SEARCH(설정!$A$48,E331&amp;" "&amp;C331))),AND(설정!$A$49&lt;&gt;"",ISNUMBER(SEARCH(설정!$A$49,E331&amp;" "&amp;C331))),AND(설정!$A$50&lt;&gt;"",ISNUMBER(SEARCH(설정!$A$50,E331&amp;" "&amp;C331))),AND(설정!$A$51&lt;&gt;"",ISNUMBER(SEARCH(설정!$A$51,E331&amp;" "&amp;C331))))</f>
        <v/>
      </c>
      <c r="S331">
        <f>OR(D331="",D331&gt;=설정!$B$19)</f>
        <v/>
      </c>
      <c r="T331">
        <f>AND(Q331,R331,S331)</f>
        <v/>
      </c>
      <c r="U331">
        <f>IF(T331,IF(AND(설정!$A$54&lt;&gt;"",ISNUMBER(SEARCH(설정!$A$54,K331))),설정!$B$54,IF(AND(설정!$A$55&lt;&gt;"",ISNUMBER(SEARCH(설정!$A$55,K331))),설정!$B$55,IF(AND(설정!$A$56&lt;&gt;"",ISNUMBER(SEARCH(설정!$A$56,K331))),설정!$B$56,IF(AND(설정!$A$57&lt;&gt;"",ISNUMBER(SEARCH(설정!$A$57,K331))),설정!$B$57,IF(AND(설정!$A$58&lt;&gt;"",ISNUMBER(SEARCH(설정!$A$58,K331))),설정!$B$58,IF(AND(설정!$A$59&lt;&gt;"",ISNUMBER(SEARCH(설정!$A$59,K331))),설정!$B$59,IF(AND(설정!$A$60&lt;&gt;"",ISNUMBER(SEARCH(설정!$A$60,K331))),설정!$B$60,IF(AND(설정!$A$61&lt;&gt;"",ISNUMBER(SEARCH(설정!$A$61,K331))),설정!$B$61,IF(M331="","설계사","시공사"))))))))),"")</f>
        <v/>
      </c>
      <c r="V331">
        <f>SUBSTITUTE(SUBSTITUTE(SUBSTITUTE(SUBSTITUTE(G331,"(주)",""),"㈜",""),"주식회사","")," ","")</f>
        <v/>
      </c>
      <c r="W331">
        <f>IF(AND(T331,V331&lt;&gt;""),IF(COUNTIFS(V$2:V331,V331,T$2:T331,TRUE)=1,MAX(W$1:W330)+1,""),"")</f>
        <v/>
      </c>
      <c r="X331">
        <f>IF(설정!$C$14="","",IFERROR(INDEX('1.산군_붙여넣기'!$A$1:$AZ$1001,ROW(),설정!$C$14)&amp;"",""))</f>
        <v/>
      </c>
      <c r="Y331">
        <f>IF(설정!$C$15="","",IFERROR(INDEX('1.산군_붙여넣기'!$A$1:$AZ$1001,ROW(),설정!$C$15)&amp;"",""))</f>
        <v/>
      </c>
      <c r="Z331">
        <f>IF(T331,V331&amp;"|"&amp;U331,"")</f>
        <v/>
      </c>
      <c r="AA331">
        <f>IF(NOT(Q331),"",IF(NOT(AND(R331,S331)),"✕",IF(OR(OR(AND(L331&lt;&gt;"",M331&lt;&gt;"",N(M331)-N(L331)&gt;설정!$B$27),AND(L331&lt;&gt;"",M331="",설정!$B$24-N(L331)&gt;설정!$B$27)),AND(D331&lt;&gt;"",D331&lt;설정!$B$26)),"△","★")))</f>
        <v/>
      </c>
      <c r="AB331">
        <f>IF(NOT(T331),"",IF(U331="설계사",설정!$B$31,IF(U331="시공사",IF(OR(M331="",설정!$B$24-N(M331)&lt;=설정!$B$28*30.4),설정!$B$32,설정!$B$33),설정!$B$34))+IF(AA331="★",설정!$B$35,0))</f>
        <v/>
      </c>
      <c r="AC331">
        <f>SUBSTITUTE(SUBSTITUTE(SUBSTITUTE(SUBSTITUTE(H331,"(주)",""),"㈜",""),"주식회사","")," ","")</f>
        <v/>
      </c>
      <c r="AD331">
        <f>IF(AND(T331,AC331&lt;&gt;""),IF(COUNTIFS(AC$2:AC331,AC331,T$2:T331,TRUE)=1,MAX(AD$1:AD330)+1,""),"")</f>
        <v/>
      </c>
    </row>
    <row r="332">
      <c r="A332">
        <f>ROW()</f>
        <v/>
      </c>
      <c r="B332">
        <f>IF(설정!$C$4="","",IFERROR(INDEX('1.산군_붙여넣기'!$A$1:$AZ$1001,ROW(),설정!$C$4)&amp;"",""))</f>
        <v/>
      </c>
      <c r="C332">
        <f>IF(설정!$C$5="","",IFERROR(INDEX('1.산군_붙여넣기'!$A$1:$AZ$1001,ROW(),설정!$C$5)&amp;"",""))</f>
        <v/>
      </c>
      <c r="D332" s="5">
        <f>IFERROR(VALUE(SUBSTITUTE(SUBSTITUTE(SUBSTITUTE(IF(설정!$C$6="","",IFERROR(INDEX('1.산군_붙여넣기'!$A$1:$AZ$1001,ROW(),설정!$C$6)&amp;"","")),",",""),"㎡",""),"m2","")),"")</f>
        <v/>
      </c>
      <c r="E332">
        <f>IF(설정!$C$7="","",IFERROR(INDEX('1.산군_붙여넣기'!$A$1:$AZ$1001,ROW(),설정!$C$7)&amp;"",""))</f>
        <v/>
      </c>
      <c r="F332">
        <f>IF(설정!$C$8="","",IFERROR(INDEX('1.산군_붙여넣기'!$A$1:$AZ$1001,ROW(),설정!$C$8)&amp;"",""))</f>
        <v/>
      </c>
      <c r="G332">
        <f>IF(설정!$C$9="","",IFERROR(INDEX('1.산군_붙여넣기'!$A$1:$AZ$1001,ROW(),설정!$C$9)&amp;"",""))</f>
        <v/>
      </c>
      <c r="H332">
        <f>IF(설정!$C$10="","",IFERROR(INDEX('1.산군_붙여넣기'!$A$1:$AZ$1001,ROW(),설정!$C$10)&amp;"",""))</f>
        <v/>
      </c>
      <c r="I332">
        <f>IF(설정!$C$11="","",IFERROR(INDEX('1.산군_붙여넣기'!$A$1:$AZ$1001,ROW(),설정!$C$11)&amp;"",""))</f>
        <v/>
      </c>
      <c r="J332">
        <f>IF(설정!$C$12="","",IFERROR(INDEX('1.산군_붙여넣기'!$A$1:$AZ$1001,ROW(),설정!$C$12)&amp;"",""))</f>
        <v/>
      </c>
      <c r="K332">
        <f>IF(설정!$C$13="","",IFERROR(INDEX('1.산군_붙여넣기'!$A$1:$AZ$1001,ROW(),설정!$C$13)&amp;"",""))</f>
        <v/>
      </c>
      <c r="L332" s="7">
        <f>IF(X332="","",IF(AND(LEN(X332)=8,ISNUMBER(X332*1)),DATE(LEFT(X332,4),MID(X332,5,2),RIGHT(X332,2)),IFERROR(DATEVALUE(SUBSTITUTE(SUBSTITUTE(X332,".","-"),"/","-")),IFERROR(X332*1,""))))</f>
        <v/>
      </c>
      <c r="M332" s="7">
        <f>IF(Y332="","",IF(AND(LEN(Y332)=8,ISNUMBER(Y332*1)),DATE(LEFT(Y332,4),MID(Y332,5,2),RIGHT(Y332,2)),IFERROR(DATEVALUE(SUBSTITUTE(SUBSTITUTE(Y332,".","-"),"/","-")),IFERROR(Y332*1,""))))</f>
        <v/>
      </c>
      <c r="N332">
        <f>IFERROR(LEFT(B332,FIND(" ",B332)-1),B332)</f>
        <v/>
      </c>
      <c r="O332">
        <f>AND(B332&lt;&gt;"",B332&lt;&gt;설정!$B$4,C332&lt;&gt;설정!$B$5)</f>
        <v/>
      </c>
      <c r="P332">
        <f>IF(O332,B332&amp;"|"&amp;C332,"")</f>
        <v/>
      </c>
      <c r="Q332">
        <f>AND(O332,COUNTIF(P333:P$1002,P332)=0)</f>
        <v/>
      </c>
      <c r="R332">
        <f>OR(AND(설정!$A$42&lt;&gt;"",ISNUMBER(SEARCH(설정!$A$42,E332&amp;" "&amp;C332))),AND(설정!$A$43&lt;&gt;"",ISNUMBER(SEARCH(설정!$A$43,E332&amp;" "&amp;C332))),AND(설정!$A$44&lt;&gt;"",ISNUMBER(SEARCH(설정!$A$44,E332&amp;" "&amp;C332))),AND(설정!$A$45&lt;&gt;"",ISNUMBER(SEARCH(설정!$A$45,E332&amp;" "&amp;C332))),AND(설정!$A$46&lt;&gt;"",ISNUMBER(SEARCH(설정!$A$46,E332&amp;" "&amp;C332))),AND(설정!$A$47&lt;&gt;"",ISNUMBER(SEARCH(설정!$A$47,E332&amp;" "&amp;C332))),AND(설정!$A$48&lt;&gt;"",ISNUMBER(SEARCH(설정!$A$48,E332&amp;" "&amp;C332))),AND(설정!$A$49&lt;&gt;"",ISNUMBER(SEARCH(설정!$A$49,E332&amp;" "&amp;C332))),AND(설정!$A$50&lt;&gt;"",ISNUMBER(SEARCH(설정!$A$50,E332&amp;" "&amp;C332))),AND(설정!$A$51&lt;&gt;"",ISNUMBER(SEARCH(설정!$A$51,E332&amp;" "&amp;C332))))</f>
        <v/>
      </c>
      <c r="S332">
        <f>OR(D332="",D332&gt;=설정!$B$19)</f>
        <v/>
      </c>
      <c r="T332">
        <f>AND(Q332,R332,S332)</f>
        <v/>
      </c>
      <c r="U332">
        <f>IF(T332,IF(AND(설정!$A$54&lt;&gt;"",ISNUMBER(SEARCH(설정!$A$54,K332))),설정!$B$54,IF(AND(설정!$A$55&lt;&gt;"",ISNUMBER(SEARCH(설정!$A$55,K332))),설정!$B$55,IF(AND(설정!$A$56&lt;&gt;"",ISNUMBER(SEARCH(설정!$A$56,K332))),설정!$B$56,IF(AND(설정!$A$57&lt;&gt;"",ISNUMBER(SEARCH(설정!$A$57,K332))),설정!$B$57,IF(AND(설정!$A$58&lt;&gt;"",ISNUMBER(SEARCH(설정!$A$58,K332))),설정!$B$58,IF(AND(설정!$A$59&lt;&gt;"",ISNUMBER(SEARCH(설정!$A$59,K332))),설정!$B$59,IF(AND(설정!$A$60&lt;&gt;"",ISNUMBER(SEARCH(설정!$A$60,K332))),설정!$B$60,IF(AND(설정!$A$61&lt;&gt;"",ISNUMBER(SEARCH(설정!$A$61,K332))),설정!$B$61,IF(M332="","설계사","시공사"))))))))),"")</f>
        <v/>
      </c>
      <c r="V332">
        <f>SUBSTITUTE(SUBSTITUTE(SUBSTITUTE(SUBSTITUTE(G332,"(주)",""),"㈜",""),"주식회사","")," ","")</f>
        <v/>
      </c>
      <c r="W332">
        <f>IF(AND(T332,V332&lt;&gt;""),IF(COUNTIFS(V$2:V332,V332,T$2:T332,TRUE)=1,MAX(W$1:W331)+1,""),"")</f>
        <v/>
      </c>
      <c r="X332">
        <f>IF(설정!$C$14="","",IFERROR(INDEX('1.산군_붙여넣기'!$A$1:$AZ$1001,ROW(),설정!$C$14)&amp;"",""))</f>
        <v/>
      </c>
      <c r="Y332">
        <f>IF(설정!$C$15="","",IFERROR(INDEX('1.산군_붙여넣기'!$A$1:$AZ$1001,ROW(),설정!$C$15)&amp;"",""))</f>
        <v/>
      </c>
      <c r="Z332">
        <f>IF(T332,V332&amp;"|"&amp;U332,"")</f>
        <v/>
      </c>
      <c r="AA332">
        <f>IF(NOT(Q332),"",IF(NOT(AND(R332,S332)),"✕",IF(OR(OR(AND(L332&lt;&gt;"",M332&lt;&gt;"",N(M332)-N(L332)&gt;설정!$B$27),AND(L332&lt;&gt;"",M332="",설정!$B$24-N(L332)&gt;설정!$B$27)),AND(D332&lt;&gt;"",D332&lt;설정!$B$26)),"△","★")))</f>
        <v/>
      </c>
      <c r="AB332">
        <f>IF(NOT(T332),"",IF(U332="설계사",설정!$B$31,IF(U332="시공사",IF(OR(M332="",설정!$B$24-N(M332)&lt;=설정!$B$28*30.4),설정!$B$32,설정!$B$33),설정!$B$34))+IF(AA332="★",설정!$B$35,0))</f>
        <v/>
      </c>
      <c r="AC332">
        <f>SUBSTITUTE(SUBSTITUTE(SUBSTITUTE(SUBSTITUTE(H332,"(주)",""),"㈜",""),"주식회사","")," ","")</f>
        <v/>
      </c>
      <c r="AD332">
        <f>IF(AND(T332,AC332&lt;&gt;""),IF(COUNTIFS(AC$2:AC332,AC332,T$2:T332,TRUE)=1,MAX(AD$1:AD331)+1,""),"")</f>
        <v/>
      </c>
    </row>
    <row r="333">
      <c r="A333">
        <f>ROW()</f>
        <v/>
      </c>
      <c r="B333">
        <f>IF(설정!$C$4="","",IFERROR(INDEX('1.산군_붙여넣기'!$A$1:$AZ$1001,ROW(),설정!$C$4)&amp;"",""))</f>
        <v/>
      </c>
      <c r="C333">
        <f>IF(설정!$C$5="","",IFERROR(INDEX('1.산군_붙여넣기'!$A$1:$AZ$1001,ROW(),설정!$C$5)&amp;"",""))</f>
        <v/>
      </c>
      <c r="D333" s="5">
        <f>IFERROR(VALUE(SUBSTITUTE(SUBSTITUTE(SUBSTITUTE(IF(설정!$C$6="","",IFERROR(INDEX('1.산군_붙여넣기'!$A$1:$AZ$1001,ROW(),설정!$C$6)&amp;"","")),",",""),"㎡",""),"m2","")),"")</f>
        <v/>
      </c>
      <c r="E333">
        <f>IF(설정!$C$7="","",IFERROR(INDEX('1.산군_붙여넣기'!$A$1:$AZ$1001,ROW(),설정!$C$7)&amp;"",""))</f>
        <v/>
      </c>
      <c r="F333">
        <f>IF(설정!$C$8="","",IFERROR(INDEX('1.산군_붙여넣기'!$A$1:$AZ$1001,ROW(),설정!$C$8)&amp;"",""))</f>
        <v/>
      </c>
      <c r="G333">
        <f>IF(설정!$C$9="","",IFERROR(INDEX('1.산군_붙여넣기'!$A$1:$AZ$1001,ROW(),설정!$C$9)&amp;"",""))</f>
        <v/>
      </c>
      <c r="H333">
        <f>IF(설정!$C$10="","",IFERROR(INDEX('1.산군_붙여넣기'!$A$1:$AZ$1001,ROW(),설정!$C$10)&amp;"",""))</f>
        <v/>
      </c>
      <c r="I333">
        <f>IF(설정!$C$11="","",IFERROR(INDEX('1.산군_붙여넣기'!$A$1:$AZ$1001,ROW(),설정!$C$11)&amp;"",""))</f>
        <v/>
      </c>
      <c r="J333">
        <f>IF(설정!$C$12="","",IFERROR(INDEX('1.산군_붙여넣기'!$A$1:$AZ$1001,ROW(),설정!$C$12)&amp;"",""))</f>
        <v/>
      </c>
      <c r="K333">
        <f>IF(설정!$C$13="","",IFERROR(INDEX('1.산군_붙여넣기'!$A$1:$AZ$1001,ROW(),설정!$C$13)&amp;"",""))</f>
        <v/>
      </c>
      <c r="L333" s="7">
        <f>IF(X333="","",IF(AND(LEN(X333)=8,ISNUMBER(X333*1)),DATE(LEFT(X333,4),MID(X333,5,2),RIGHT(X333,2)),IFERROR(DATEVALUE(SUBSTITUTE(SUBSTITUTE(X333,".","-"),"/","-")),IFERROR(X333*1,""))))</f>
        <v/>
      </c>
      <c r="M333" s="7">
        <f>IF(Y333="","",IF(AND(LEN(Y333)=8,ISNUMBER(Y333*1)),DATE(LEFT(Y333,4),MID(Y333,5,2),RIGHT(Y333,2)),IFERROR(DATEVALUE(SUBSTITUTE(SUBSTITUTE(Y333,".","-"),"/","-")),IFERROR(Y333*1,""))))</f>
        <v/>
      </c>
      <c r="N333">
        <f>IFERROR(LEFT(B333,FIND(" ",B333)-1),B333)</f>
        <v/>
      </c>
      <c r="O333">
        <f>AND(B333&lt;&gt;"",B333&lt;&gt;설정!$B$4,C333&lt;&gt;설정!$B$5)</f>
        <v/>
      </c>
      <c r="P333">
        <f>IF(O333,B333&amp;"|"&amp;C333,"")</f>
        <v/>
      </c>
      <c r="Q333">
        <f>AND(O333,COUNTIF(P334:P$1002,P333)=0)</f>
        <v/>
      </c>
      <c r="R333">
        <f>OR(AND(설정!$A$42&lt;&gt;"",ISNUMBER(SEARCH(설정!$A$42,E333&amp;" "&amp;C333))),AND(설정!$A$43&lt;&gt;"",ISNUMBER(SEARCH(설정!$A$43,E333&amp;" "&amp;C333))),AND(설정!$A$44&lt;&gt;"",ISNUMBER(SEARCH(설정!$A$44,E333&amp;" "&amp;C333))),AND(설정!$A$45&lt;&gt;"",ISNUMBER(SEARCH(설정!$A$45,E333&amp;" "&amp;C333))),AND(설정!$A$46&lt;&gt;"",ISNUMBER(SEARCH(설정!$A$46,E333&amp;" "&amp;C333))),AND(설정!$A$47&lt;&gt;"",ISNUMBER(SEARCH(설정!$A$47,E333&amp;" "&amp;C333))),AND(설정!$A$48&lt;&gt;"",ISNUMBER(SEARCH(설정!$A$48,E333&amp;" "&amp;C333))),AND(설정!$A$49&lt;&gt;"",ISNUMBER(SEARCH(설정!$A$49,E333&amp;" "&amp;C333))),AND(설정!$A$50&lt;&gt;"",ISNUMBER(SEARCH(설정!$A$50,E333&amp;" "&amp;C333))),AND(설정!$A$51&lt;&gt;"",ISNUMBER(SEARCH(설정!$A$51,E333&amp;" "&amp;C333))))</f>
        <v/>
      </c>
      <c r="S333">
        <f>OR(D333="",D333&gt;=설정!$B$19)</f>
        <v/>
      </c>
      <c r="T333">
        <f>AND(Q333,R333,S333)</f>
        <v/>
      </c>
      <c r="U333">
        <f>IF(T333,IF(AND(설정!$A$54&lt;&gt;"",ISNUMBER(SEARCH(설정!$A$54,K333))),설정!$B$54,IF(AND(설정!$A$55&lt;&gt;"",ISNUMBER(SEARCH(설정!$A$55,K333))),설정!$B$55,IF(AND(설정!$A$56&lt;&gt;"",ISNUMBER(SEARCH(설정!$A$56,K333))),설정!$B$56,IF(AND(설정!$A$57&lt;&gt;"",ISNUMBER(SEARCH(설정!$A$57,K333))),설정!$B$57,IF(AND(설정!$A$58&lt;&gt;"",ISNUMBER(SEARCH(설정!$A$58,K333))),설정!$B$58,IF(AND(설정!$A$59&lt;&gt;"",ISNUMBER(SEARCH(설정!$A$59,K333))),설정!$B$59,IF(AND(설정!$A$60&lt;&gt;"",ISNUMBER(SEARCH(설정!$A$60,K333))),설정!$B$60,IF(AND(설정!$A$61&lt;&gt;"",ISNUMBER(SEARCH(설정!$A$61,K333))),설정!$B$61,IF(M333="","설계사","시공사"))))))))),"")</f>
        <v/>
      </c>
      <c r="V333">
        <f>SUBSTITUTE(SUBSTITUTE(SUBSTITUTE(SUBSTITUTE(G333,"(주)",""),"㈜",""),"주식회사","")," ","")</f>
        <v/>
      </c>
      <c r="W333">
        <f>IF(AND(T333,V333&lt;&gt;""),IF(COUNTIFS(V$2:V333,V333,T$2:T333,TRUE)=1,MAX(W$1:W332)+1,""),"")</f>
        <v/>
      </c>
      <c r="X333">
        <f>IF(설정!$C$14="","",IFERROR(INDEX('1.산군_붙여넣기'!$A$1:$AZ$1001,ROW(),설정!$C$14)&amp;"",""))</f>
        <v/>
      </c>
      <c r="Y333">
        <f>IF(설정!$C$15="","",IFERROR(INDEX('1.산군_붙여넣기'!$A$1:$AZ$1001,ROW(),설정!$C$15)&amp;"",""))</f>
        <v/>
      </c>
      <c r="Z333">
        <f>IF(T333,V333&amp;"|"&amp;U333,"")</f>
        <v/>
      </c>
      <c r="AA333">
        <f>IF(NOT(Q333),"",IF(NOT(AND(R333,S333)),"✕",IF(OR(OR(AND(L333&lt;&gt;"",M333&lt;&gt;"",N(M333)-N(L333)&gt;설정!$B$27),AND(L333&lt;&gt;"",M333="",설정!$B$24-N(L333)&gt;설정!$B$27)),AND(D333&lt;&gt;"",D333&lt;설정!$B$26)),"△","★")))</f>
        <v/>
      </c>
      <c r="AB333">
        <f>IF(NOT(T333),"",IF(U333="설계사",설정!$B$31,IF(U333="시공사",IF(OR(M333="",설정!$B$24-N(M333)&lt;=설정!$B$28*30.4),설정!$B$32,설정!$B$33),설정!$B$34))+IF(AA333="★",설정!$B$35,0))</f>
        <v/>
      </c>
      <c r="AC333">
        <f>SUBSTITUTE(SUBSTITUTE(SUBSTITUTE(SUBSTITUTE(H333,"(주)",""),"㈜",""),"주식회사","")," ","")</f>
        <v/>
      </c>
      <c r="AD333">
        <f>IF(AND(T333,AC333&lt;&gt;""),IF(COUNTIFS(AC$2:AC333,AC333,T$2:T333,TRUE)=1,MAX(AD$1:AD332)+1,""),"")</f>
        <v/>
      </c>
    </row>
    <row r="334">
      <c r="A334">
        <f>ROW()</f>
        <v/>
      </c>
      <c r="B334">
        <f>IF(설정!$C$4="","",IFERROR(INDEX('1.산군_붙여넣기'!$A$1:$AZ$1001,ROW(),설정!$C$4)&amp;"",""))</f>
        <v/>
      </c>
      <c r="C334">
        <f>IF(설정!$C$5="","",IFERROR(INDEX('1.산군_붙여넣기'!$A$1:$AZ$1001,ROW(),설정!$C$5)&amp;"",""))</f>
        <v/>
      </c>
      <c r="D334" s="5">
        <f>IFERROR(VALUE(SUBSTITUTE(SUBSTITUTE(SUBSTITUTE(IF(설정!$C$6="","",IFERROR(INDEX('1.산군_붙여넣기'!$A$1:$AZ$1001,ROW(),설정!$C$6)&amp;"","")),",",""),"㎡",""),"m2","")),"")</f>
        <v/>
      </c>
      <c r="E334">
        <f>IF(설정!$C$7="","",IFERROR(INDEX('1.산군_붙여넣기'!$A$1:$AZ$1001,ROW(),설정!$C$7)&amp;"",""))</f>
        <v/>
      </c>
      <c r="F334">
        <f>IF(설정!$C$8="","",IFERROR(INDEX('1.산군_붙여넣기'!$A$1:$AZ$1001,ROW(),설정!$C$8)&amp;"",""))</f>
        <v/>
      </c>
      <c r="G334">
        <f>IF(설정!$C$9="","",IFERROR(INDEX('1.산군_붙여넣기'!$A$1:$AZ$1001,ROW(),설정!$C$9)&amp;"",""))</f>
        <v/>
      </c>
      <c r="H334">
        <f>IF(설정!$C$10="","",IFERROR(INDEX('1.산군_붙여넣기'!$A$1:$AZ$1001,ROW(),설정!$C$10)&amp;"",""))</f>
        <v/>
      </c>
      <c r="I334">
        <f>IF(설정!$C$11="","",IFERROR(INDEX('1.산군_붙여넣기'!$A$1:$AZ$1001,ROW(),설정!$C$11)&amp;"",""))</f>
        <v/>
      </c>
      <c r="J334">
        <f>IF(설정!$C$12="","",IFERROR(INDEX('1.산군_붙여넣기'!$A$1:$AZ$1001,ROW(),설정!$C$12)&amp;"",""))</f>
        <v/>
      </c>
      <c r="K334">
        <f>IF(설정!$C$13="","",IFERROR(INDEX('1.산군_붙여넣기'!$A$1:$AZ$1001,ROW(),설정!$C$13)&amp;"",""))</f>
        <v/>
      </c>
      <c r="L334" s="7">
        <f>IF(X334="","",IF(AND(LEN(X334)=8,ISNUMBER(X334*1)),DATE(LEFT(X334,4),MID(X334,5,2),RIGHT(X334,2)),IFERROR(DATEVALUE(SUBSTITUTE(SUBSTITUTE(X334,".","-"),"/","-")),IFERROR(X334*1,""))))</f>
        <v/>
      </c>
      <c r="M334" s="7">
        <f>IF(Y334="","",IF(AND(LEN(Y334)=8,ISNUMBER(Y334*1)),DATE(LEFT(Y334,4),MID(Y334,5,2),RIGHT(Y334,2)),IFERROR(DATEVALUE(SUBSTITUTE(SUBSTITUTE(Y334,".","-"),"/","-")),IFERROR(Y334*1,""))))</f>
        <v/>
      </c>
      <c r="N334">
        <f>IFERROR(LEFT(B334,FIND(" ",B334)-1),B334)</f>
        <v/>
      </c>
      <c r="O334">
        <f>AND(B334&lt;&gt;"",B334&lt;&gt;설정!$B$4,C334&lt;&gt;설정!$B$5)</f>
        <v/>
      </c>
      <c r="P334">
        <f>IF(O334,B334&amp;"|"&amp;C334,"")</f>
        <v/>
      </c>
      <c r="Q334">
        <f>AND(O334,COUNTIF(P335:P$1002,P334)=0)</f>
        <v/>
      </c>
      <c r="R334">
        <f>OR(AND(설정!$A$42&lt;&gt;"",ISNUMBER(SEARCH(설정!$A$42,E334&amp;" "&amp;C334))),AND(설정!$A$43&lt;&gt;"",ISNUMBER(SEARCH(설정!$A$43,E334&amp;" "&amp;C334))),AND(설정!$A$44&lt;&gt;"",ISNUMBER(SEARCH(설정!$A$44,E334&amp;" "&amp;C334))),AND(설정!$A$45&lt;&gt;"",ISNUMBER(SEARCH(설정!$A$45,E334&amp;" "&amp;C334))),AND(설정!$A$46&lt;&gt;"",ISNUMBER(SEARCH(설정!$A$46,E334&amp;" "&amp;C334))),AND(설정!$A$47&lt;&gt;"",ISNUMBER(SEARCH(설정!$A$47,E334&amp;" "&amp;C334))),AND(설정!$A$48&lt;&gt;"",ISNUMBER(SEARCH(설정!$A$48,E334&amp;" "&amp;C334))),AND(설정!$A$49&lt;&gt;"",ISNUMBER(SEARCH(설정!$A$49,E334&amp;" "&amp;C334))),AND(설정!$A$50&lt;&gt;"",ISNUMBER(SEARCH(설정!$A$50,E334&amp;" "&amp;C334))),AND(설정!$A$51&lt;&gt;"",ISNUMBER(SEARCH(설정!$A$51,E334&amp;" "&amp;C334))))</f>
        <v/>
      </c>
      <c r="S334">
        <f>OR(D334="",D334&gt;=설정!$B$19)</f>
        <v/>
      </c>
      <c r="T334">
        <f>AND(Q334,R334,S334)</f>
        <v/>
      </c>
      <c r="U334">
        <f>IF(T334,IF(AND(설정!$A$54&lt;&gt;"",ISNUMBER(SEARCH(설정!$A$54,K334))),설정!$B$54,IF(AND(설정!$A$55&lt;&gt;"",ISNUMBER(SEARCH(설정!$A$55,K334))),설정!$B$55,IF(AND(설정!$A$56&lt;&gt;"",ISNUMBER(SEARCH(설정!$A$56,K334))),설정!$B$56,IF(AND(설정!$A$57&lt;&gt;"",ISNUMBER(SEARCH(설정!$A$57,K334))),설정!$B$57,IF(AND(설정!$A$58&lt;&gt;"",ISNUMBER(SEARCH(설정!$A$58,K334))),설정!$B$58,IF(AND(설정!$A$59&lt;&gt;"",ISNUMBER(SEARCH(설정!$A$59,K334))),설정!$B$59,IF(AND(설정!$A$60&lt;&gt;"",ISNUMBER(SEARCH(설정!$A$60,K334))),설정!$B$60,IF(AND(설정!$A$61&lt;&gt;"",ISNUMBER(SEARCH(설정!$A$61,K334))),설정!$B$61,IF(M334="","설계사","시공사"))))))))),"")</f>
        <v/>
      </c>
      <c r="V334">
        <f>SUBSTITUTE(SUBSTITUTE(SUBSTITUTE(SUBSTITUTE(G334,"(주)",""),"㈜",""),"주식회사","")," ","")</f>
        <v/>
      </c>
      <c r="W334">
        <f>IF(AND(T334,V334&lt;&gt;""),IF(COUNTIFS(V$2:V334,V334,T$2:T334,TRUE)=1,MAX(W$1:W333)+1,""),"")</f>
        <v/>
      </c>
      <c r="X334">
        <f>IF(설정!$C$14="","",IFERROR(INDEX('1.산군_붙여넣기'!$A$1:$AZ$1001,ROW(),설정!$C$14)&amp;"",""))</f>
        <v/>
      </c>
      <c r="Y334">
        <f>IF(설정!$C$15="","",IFERROR(INDEX('1.산군_붙여넣기'!$A$1:$AZ$1001,ROW(),설정!$C$15)&amp;"",""))</f>
        <v/>
      </c>
      <c r="Z334">
        <f>IF(T334,V334&amp;"|"&amp;U334,"")</f>
        <v/>
      </c>
      <c r="AA334">
        <f>IF(NOT(Q334),"",IF(NOT(AND(R334,S334)),"✕",IF(OR(OR(AND(L334&lt;&gt;"",M334&lt;&gt;"",N(M334)-N(L334)&gt;설정!$B$27),AND(L334&lt;&gt;"",M334="",설정!$B$24-N(L334)&gt;설정!$B$27)),AND(D334&lt;&gt;"",D334&lt;설정!$B$26)),"△","★")))</f>
        <v/>
      </c>
      <c r="AB334">
        <f>IF(NOT(T334),"",IF(U334="설계사",설정!$B$31,IF(U334="시공사",IF(OR(M334="",설정!$B$24-N(M334)&lt;=설정!$B$28*30.4),설정!$B$32,설정!$B$33),설정!$B$34))+IF(AA334="★",설정!$B$35,0))</f>
        <v/>
      </c>
      <c r="AC334">
        <f>SUBSTITUTE(SUBSTITUTE(SUBSTITUTE(SUBSTITUTE(H334,"(주)",""),"㈜",""),"주식회사","")," ","")</f>
        <v/>
      </c>
      <c r="AD334">
        <f>IF(AND(T334,AC334&lt;&gt;""),IF(COUNTIFS(AC$2:AC334,AC334,T$2:T334,TRUE)=1,MAX(AD$1:AD333)+1,""),"")</f>
        <v/>
      </c>
    </row>
    <row r="335">
      <c r="A335">
        <f>ROW()</f>
        <v/>
      </c>
      <c r="B335">
        <f>IF(설정!$C$4="","",IFERROR(INDEX('1.산군_붙여넣기'!$A$1:$AZ$1001,ROW(),설정!$C$4)&amp;"",""))</f>
        <v/>
      </c>
      <c r="C335">
        <f>IF(설정!$C$5="","",IFERROR(INDEX('1.산군_붙여넣기'!$A$1:$AZ$1001,ROW(),설정!$C$5)&amp;"",""))</f>
        <v/>
      </c>
      <c r="D335" s="5">
        <f>IFERROR(VALUE(SUBSTITUTE(SUBSTITUTE(SUBSTITUTE(IF(설정!$C$6="","",IFERROR(INDEX('1.산군_붙여넣기'!$A$1:$AZ$1001,ROW(),설정!$C$6)&amp;"","")),",",""),"㎡",""),"m2","")),"")</f>
        <v/>
      </c>
      <c r="E335">
        <f>IF(설정!$C$7="","",IFERROR(INDEX('1.산군_붙여넣기'!$A$1:$AZ$1001,ROW(),설정!$C$7)&amp;"",""))</f>
        <v/>
      </c>
      <c r="F335">
        <f>IF(설정!$C$8="","",IFERROR(INDEX('1.산군_붙여넣기'!$A$1:$AZ$1001,ROW(),설정!$C$8)&amp;"",""))</f>
        <v/>
      </c>
      <c r="G335">
        <f>IF(설정!$C$9="","",IFERROR(INDEX('1.산군_붙여넣기'!$A$1:$AZ$1001,ROW(),설정!$C$9)&amp;"",""))</f>
        <v/>
      </c>
      <c r="H335">
        <f>IF(설정!$C$10="","",IFERROR(INDEX('1.산군_붙여넣기'!$A$1:$AZ$1001,ROW(),설정!$C$10)&amp;"",""))</f>
        <v/>
      </c>
      <c r="I335">
        <f>IF(설정!$C$11="","",IFERROR(INDEX('1.산군_붙여넣기'!$A$1:$AZ$1001,ROW(),설정!$C$11)&amp;"",""))</f>
        <v/>
      </c>
      <c r="J335">
        <f>IF(설정!$C$12="","",IFERROR(INDEX('1.산군_붙여넣기'!$A$1:$AZ$1001,ROW(),설정!$C$12)&amp;"",""))</f>
        <v/>
      </c>
      <c r="K335">
        <f>IF(설정!$C$13="","",IFERROR(INDEX('1.산군_붙여넣기'!$A$1:$AZ$1001,ROW(),설정!$C$13)&amp;"",""))</f>
        <v/>
      </c>
      <c r="L335" s="7">
        <f>IF(X335="","",IF(AND(LEN(X335)=8,ISNUMBER(X335*1)),DATE(LEFT(X335,4),MID(X335,5,2),RIGHT(X335,2)),IFERROR(DATEVALUE(SUBSTITUTE(SUBSTITUTE(X335,".","-"),"/","-")),IFERROR(X335*1,""))))</f>
        <v/>
      </c>
      <c r="M335" s="7">
        <f>IF(Y335="","",IF(AND(LEN(Y335)=8,ISNUMBER(Y335*1)),DATE(LEFT(Y335,4),MID(Y335,5,2),RIGHT(Y335,2)),IFERROR(DATEVALUE(SUBSTITUTE(SUBSTITUTE(Y335,".","-"),"/","-")),IFERROR(Y335*1,""))))</f>
        <v/>
      </c>
      <c r="N335">
        <f>IFERROR(LEFT(B335,FIND(" ",B335)-1),B335)</f>
        <v/>
      </c>
      <c r="O335">
        <f>AND(B335&lt;&gt;"",B335&lt;&gt;설정!$B$4,C335&lt;&gt;설정!$B$5)</f>
        <v/>
      </c>
      <c r="P335">
        <f>IF(O335,B335&amp;"|"&amp;C335,"")</f>
        <v/>
      </c>
      <c r="Q335">
        <f>AND(O335,COUNTIF(P336:P$1002,P335)=0)</f>
        <v/>
      </c>
      <c r="R335">
        <f>OR(AND(설정!$A$42&lt;&gt;"",ISNUMBER(SEARCH(설정!$A$42,E335&amp;" "&amp;C335))),AND(설정!$A$43&lt;&gt;"",ISNUMBER(SEARCH(설정!$A$43,E335&amp;" "&amp;C335))),AND(설정!$A$44&lt;&gt;"",ISNUMBER(SEARCH(설정!$A$44,E335&amp;" "&amp;C335))),AND(설정!$A$45&lt;&gt;"",ISNUMBER(SEARCH(설정!$A$45,E335&amp;" "&amp;C335))),AND(설정!$A$46&lt;&gt;"",ISNUMBER(SEARCH(설정!$A$46,E335&amp;" "&amp;C335))),AND(설정!$A$47&lt;&gt;"",ISNUMBER(SEARCH(설정!$A$47,E335&amp;" "&amp;C335))),AND(설정!$A$48&lt;&gt;"",ISNUMBER(SEARCH(설정!$A$48,E335&amp;" "&amp;C335))),AND(설정!$A$49&lt;&gt;"",ISNUMBER(SEARCH(설정!$A$49,E335&amp;" "&amp;C335))),AND(설정!$A$50&lt;&gt;"",ISNUMBER(SEARCH(설정!$A$50,E335&amp;" "&amp;C335))),AND(설정!$A$51&lt;&gt;"",ISNUMBER(SEARCH(설정!$A$51,E335&amp;" "&amp;C335))))</f>
        <v/>
      </c>
      <c r="S335">
        <f>OR(D335="",D335&gt;=설정!$B$19)</f>
        <v/>
      </c>
      <c r="T335">
        <f>AND(Q335,R335,S335)</f>
        <v/>
      </c>
      <c r="U335">
        <f>IF(T335,IF(AND(설정!$A$54&lt;&gt;"",ISNUMBER(SEARCH(설정!$A$54,K335))),설정!$B$54,IF(AND(설정!$A$55&lt;&gt;"",ISNUMBER(SEARCH(설정!$A$55,K335))),설정!$B$55,IF(AND(설정!$A$56&lt;&gt;"",ISNUMBER(SEARCH(설정!$A$56,K335))),설정!$B$56,IF(AND(설정!$A$57&lt;&gt;"",ISNUMBER(SEARCH(설정!$A$57,K335))),설정!$B$57,IF(AND(설정!$A$58&lt;&gt;"",ISNUMBER(SEARCH(설정!$A$58,K335))),설정!$B$58,IF(AND(설정!$A$59&lt;&gt;"",ISNUMBER(SEARCH(설정!$A$59,K335))),설정!$B$59,IF(AND(설정!$A$60&lt;&gt;"",ISNUMBER(SEARCH(설정!$A$60,K335))),설정!$B$60,IF(AND(설정!$A$61&lt;&gt;"",ISNUMBER(SEARCH(설정!$A$61,K335))),설정!$B$61,IF(M335="","설계사","시공사"))))))))),"")</f>
        <v/>
      </c>
      <c r="V335">
        <f>SUBSTITUTE(SUBSTITUTE(SUBSTITUTE(SUBSTITUTE(G335,"(주)",""),"㈜",""),"주식회사","")," ","")</f>
        <v/>
      </c>
      <c r="W335">
        <f>IF(AND(T335,V335&lt;&gt;""),IF(COUNTIFS(V$2:V335,V335,T$2:T335,TRUE)=1,MAX(W$1:W334)+1,""),"")</f>
        <v/>
      </c>
      <c r="X335">
        <f>IF(설정!$C$14="","",IFERROR(INDEX('1.산군_붙여넣기'!$A$1:$AZ$1001,ROW(),설정!$C$14)&amp;"",""))</f>
        <v/>
      </c>
      <c r="Y335">
        <f>IF(설정!$C$15="","",IFERROR(INDEX('1.산군_붙여넣기'!$A$1:$AZ$1001,ROW(),설정!$C$15)&amp;"",""))</f>
        <v/>
      </c>
      <c r="Z335">
        <f>IF(T335,V335&amp;"|"&amp;U335,"")</f>
        <v/>
      </c>
      <c r="AA335">
        <f>IF(NOT(Q335),"",IF(NOT(AND(R335,S335)),"✕",IF(OR(OR(AND(L335&lt;&gt;"",M335&lt;&gt;"",N(M335)-N(L335)&gt;설정!$B$27),AND(L335&lt;&gt;"",M335="",설정!$B$24-N(L335)&gt;설정!$B$27)),AND(D335&lt;&gt;"",D335&lt;설정!$B$26)),"△","★")))</f>
        <v/>
      </c>
      <c r="AB335">
        <f>IF(NOT(T335),"",IF(U335="설계사",설정!$B$31,IF(U335="시공사",IF(OR(M335="",설정!$B$24-N(M335)&lt;=설정!$B$28*30.4),설정!$B$32,설정!$B$33),설정!$B$34))+IF(AA335="★",설정!$B$35,0))</f>
        <v/>
      </c>
      <c r="AC335">
        <f>SUBSTITUTE(SUBSTITUTE(SUBSTITUTE(SUBSTITUTE(H335,"(주)",""),"㈜",""),"주식회사","")," ","")</f>
        <v/>
      </c>
      <c r="AD335">
        <f>IF(AND(T335,AC335&lt;&gt;""),IF(COUNTIFS(AC$2:AC335,AC335,T$2:T335,TRUE)=1,MAX(AD$1:AD334)+1,""),"")</f>
        <v/>
      </c>
    </row>
    <row r="336">
      <c r="A336">
        <f>ROW()</f>
        <v/>
      </c>
      <c r="B336">
        <f>IF(설정!$C$4="","",IFERROR(INDEX('1.산군_붙여넣기'!$A$1:$AZ$1001,ROW(),설정!$C$4)&amp;"",""))</f>
        <v/>
      </c>
      <c r="C336">
        <f>IF(설정!$C$5="","",IFERROR(INDEX('1.산군_붙여넣기'!$A$1:$AZ$1001,ROW(),설정!$C$5)&amp;"",""))</f>
        <v/>
      </c>
      <c r="D336" s="5">
        <f>IFERROR(VALUE(SUBSTITUTE(SUBSTITUTE(SUBSTITUTE(IF(설정!$C$6="","",IFERROR(INDEX('1.산군_붙여넣기'!$A$1:$AZ$1001,ROW(),설정!$C$6)&amp;"","")),",",""),"㎡",""),"m2","")),"")</f>
        <v/>
      </c>
      <c r="E336">
        <f>IF(설정!$C$7="","",IFERROR(INDEX('1.산군_붙여넣기'!$A$1:$AZ$1001,ROW(),설정!$C$7)&amp;"",""))</f>
        <v/>
      </c>
      <c r="F336">
        <f>IF(설정!$C$8="","",IFERROR(INDEX('1.산군_붙여넣기'!$A$1:$AZ$1001,ROW(),설정!$C$8)&amp;"",""))</f>
        <v/>
      </c>
      <c r="G336">
        <f>IF(설정!$C$9="","",IFERROR(INDEX('1.산군_붙여넣기'!$A$1:$AZ$1001,ROW(),설정!$C$9)&amp;"",""))</f>
        <v/>
      </c>
      <c r="H336">
        <f>IF(설정!$C$10="","",IFERROR(INDEX('1.산군_붙여넣기'!$A$1:$AZ$1001,ROW(),설정!$C$10)&amp;"",""))</f>
        <v/>
      </c>
      <c r="I336">
        <f>IF(설정!$C$11="","",IFERROR(INDEX('1.산군_붙여넣기'!$A$1:$AZ$1001,ROW(),설정!$C$11)&amp;"",""))</f>
        <v/>
      </c>
      <c r="J336">
        <f>IF(설정!$C$12="","",IFERROR(INDEX('1.산군_붙여넣기'!$A$1:$AZ$1001,ROW(),설정!$C$12)&amp;"",""))</f>
        <v/>
      </c>
      <c r="K336">
        <f>IF(설정!$C$13="","",IFERROR(INDEX('1.산군_붙여넣기'!$A$1:$AZ$1001,ROW(),설정!$C$13)&amp;"",""))</f>
        <v/>
      </c>
      <c r="L336" s="7">
        <f>IF(X336="","",IF(AND(LEN(X336)=8,ISNUMBER(X336*1)),DATE(LEFT(X336,4),MID(X336,5,2),RIGHT(X336,2)),IFERROR(DATEVALUE(SUBSTITUTE(SUBSTITUTE(X336,".","-"),"/","-")),IFERROR(X336*1,""))))</f>
        <v/>
      </c>
      <c r="M336" s="7">
        <f>IF(Y336="","",IF(AND(LEN(Y336)=8,ISNUMBER(Y336*1)),DATE(LEFT(Y336,4),MID(Y336,5,2),RIGHT(Y336,2)),IFERROR(DATEVALUE(SUBSTITUTE(SUBSTITUTE(Y336,".","-"),"/","-")),IFERROR(Y336*1,""))))</f>
        <v/>
      </c>
      <c r="N336">
        <f>IFERROR(LEFT(B336,FIND(" ",B336)-1),B336)</f>
        <v/>
      </c>
      <c r="O336">
        <f>AND(B336&lt;&gt;"",B336&lt;&gt;설정!$B$4,C336&lt;&gt;설정!$B$5)</f>
        <v/>
      </c>
      <c r="P336">
        <f>IF(O336,B336&amp;"|"&amp;C336,"")</f>
        <v/>
      </c>
      <c r="Q336">
        <f>AND(O336,COUNTIF(P337:P$1002,P336)=0)</f>
        <v/>
      </c>
      <c r="R336">
        <f>OR(AND(설정!$A$42&lt;&gt;"",ISNUMBER(SEARCH(설정!$A$42,E336&amp;" "&amp;C336))),AND(설정!$A$43&lt;&gt;"",ISNUMBER(SEARCH(설정!$A$43,E336&amp;" "&amp;C336))),AND(설정!$A$44&lt;&gt;"",ISNUMBER(SEARCH(설정!$A$44,E336&amp;" "&amp;C336))),AND(설정!$A$45&lt;&gt;"",ISNUMBER(SEARCH(설정!$A$45,E336&amp;" "&amp;C336))),AND(설정!$A$46&lt;&gt;"",ISNUMBER(SEARCH(설정!$A$46,E336&amp;" "&amp;C336))),AND(설정!$A$47&lt;&gt;"",ISNUMBER(SEARCH(설정!$A$47,E336&amp;" "&amp;C336))),AND(설정!$A$48&lt;&gt;"",ISNUMBER(SEARCH(설정!$A$48,E336&amp;" "&amp;C336))),AND(설정!$A$49&lt;&gt;"",ISNUMBER(SEARCH(설정!$A$49,E336&amp;" "&amp;C336))),AND(설정!$A$50&lt;&gt;"",ISNUMBER(SEARCH(설정!$A$50,E336&amp;" "&amp;C336))),AND(설정!$A$51&lt;&gt;"",ISNUMBER(SEARCH(설정!$A$51,E336&amp;" "&amp;C336))))</f>
        <v/>
      </c>
      <c r="S336">
        <f>OR(D336="",D336&gt;=설정!$B$19)</f>
        <v/>
      </c>
      <c r="T336">
        <f>AND(Q336,R336,S336)</f>
        <v/>
      </c>
      <c r="U336">
        <f>IF(T336,IF(AND(설정!$A$54&lt;&gt;"",ISNUMBER(SEARCH(설정!$A$54,K336))),설정!$B$54,IF(AND(설정!$A$55&lt;&gt;"",ISNUMBER(SEARCH(설정!$A$55,K336))),설정!$B$55,IF(AND(설정!$A$56&lt;&gt;"",ISNUMBER(SEARCH(설정!$A$56,K336))),설정!$B$56,IF(AND(설정!$A$57&lt;&gt;"",ISNUMBER(SEARCH(설정!$A$57,K336))),설정!$B$57,IF(AND(설정!$A$58&lt;&gt;"",ISNUMBER(SEARCH(설정!$A$58,K336))),설정!$B$58,IF(AND(설정!$A$59&lt;&gt;"",ISNUMBER(SEARCH(설정!$A$59,K336))),설정!$B$59,IF(AND(설정!$A$60&lt;&gt;"",ISNUMBER(SEARCH(설정!$A$60,K336))),설정!$B$60,IF(AND(설정!$A$61&lt;&gt;"",ISNUMBER(SEARCH(설정!$A$61,K336))),설정!$B$61,IF(M336="","설계사","시공사"))))))))),"")</f>
        <v/>
      </c>
      <c r="V336">
        <f>SUBSTITUTE(SUBSTITUTE(SUBSTITUTE(SUBSTITUTE(G336,"(주)",""),"㈜",""),"주식회사","")," ","")</f>
        <v/>
      </c>
      <c r="W336">
        <f>IF(AND(T336,V336&lt;&gt;""),IF(COUNTIFS(V$2:V336,V336,T$2:T336,TRUE)=1,MAX(W$1:W335)+1,""),"")</f>
        <v/>
      </c>
      <c r="X336">
        <f>IF(설정!$C$14="","",IFERROR(INDEX('1.산군_붙여넣기'!$A$1:$AZ$1001,ROW(),설정!$C$14)&amp;"",""))</f>
        <v/>
      </c>
      <c r="Y336">
        <f>IF(설정!$C$15="","",IFERROR(INDEX('1.산군_붙여넣기'!$A$1:$AZ$1001,ROW(),설정!$C$15)&amp;"",""))</f>
        <v/>
      </c>
      <c r="Z336">
        <f>IF(T336,V336&amp;"|"&amp;U336,"")</f>
        <v/>
      </c>
      <c r="AA336">
        <f>IF(NOT(Q336),"",IF(NOT(AND(R336,S336)),"✕",IF(OR(OR(AND(L336&lt;&gt;"",M336&lt;&gt;"",N(M336)-N(L336)&gt;설정!$B$27),AND(L336&lt;&gt;"",M336="",설정!$B$24-N(L336)&gt;설정!$B$27)),AND(D336&lt;&gt;"",D336&lt;설정!$B$26)),"△","★")))</f>
        <v/>
      </c>
      <c r="AB336">
        <f>IF(NOT(T336),"",IF(U336="설계사",설정!$B$31,IF(U336="시공사",IF(OR(M336="",설정!$B$24-N(M336)&lt;=설정!$B$28*30.4),설정!$B$32,설정!$B$33),설정!$B$34))+IF(AA336="★",설정!$B$35,0))</f>
        <v/>
      </c>
      <c r="AC336">
        <f>SUBSTITUTE(SUBSTITUTE(SUBSTITUTE(SUBSTITUTE(H336,"(주)",""),"㈜",""),"주식회사","")," ","")</f>
        <v/>
      </c>
      <c r="AD336">
        <f>IF(AND(T336,AC336&lt;&gt;""),IF(COUNTIFS(AC$2:AC336,AC336,T$2:T336,TRUE)=1,MAX(AD$1:AD335)+1,""),"")</f>
        <v/>
      </c>
    </row>
    <row r="337">
      <c r="A337">
        <f>ROW()</f>
        <v/>
      </c>
      <c r="B337">
        <f>IF(설정!$C$4="","",IFERROR(INDEX('1.산군_붙여넣기'!$A$1:$AZ$1001,ROW(),설정!$C$4)&amp;"",""))</f>
        <v/>
      </c>
      <c r="C337">
        <f>IF(설정!$C$5="","",IFERROR(INDEX('1.산군_붙여넣기'!$A$1:$AZ$1001,ROW(),설정!$C$5)&amp;"",""))</f>
        <v/>
      </c>
      <c r="D337" s="5">
        <f>IFERROR(VALUE(SUBSTITUTE(SUBSTITUTE(SUBSTITUTE(IF(설정!$C$6="","",IFERROR(INDEX('1.산군_붙여넣기'!$A$1:$AZ$1001,ROW(),설정!$C$6)&amp;"","")),",",""),"㎡",""),"m2","")),"")</f>
        <v/>
      </c>
      <c r="E337">
        <f>IF(설정!$C$7="","",IFERROR(INDEX('1.산군_붙여넣기'!$A$1:$AZ$1001,ROW(),설정!$C$7)&amp;"",""))</f>
        <v/>
      </c>
      <c r="F337">
        <f>IF(설정!$C$8="","",IFERROR(INDEX('1.산군_붙여넣기'!$A$1:$AZ$1001,ROW(),설정!$C$8)&amp;"",""))</f>
        <v/>
      </c>
      <c r="G337">
        <f>IF(설정!$C$9="","",IFERROR(INDEX('1.산군_붙여넣기'!$A$1:$AZ$1001,ROW(),설정!$C$9)&amp;"",""))</f>
        <v/>
      </c>
      <c r="H337">
        <f>IF(설정!$C$10="","",IFERROR(INDEX('1.산군_붙여넣기'!$A$1:$AZ$1001,ROW(),설정!$C$10)&amp;"",""))</f>
        <v/>
      </c>
      <c r="I337">
        <f>IF(설정!$C$11="","",IFERROR(INDEX('1.산군_붙여넣기'!$A$1:$AZ$1001,ROW(),설정!$C$11)&amp;"",""))</f>
        <v/>
      </c>
      <c r="J337">
        <f>IF(설정!$C$12="","",IFERROR(INDEX('1.산군_붙여넣기'!$A$1:$AZ$1001,ROW(),설정!$C$12)&amp;"",""))</f>
        <v/>
      </c>
      <c r="K337">
        <f>IF(설정!$C$13="","",IFERROR(INDEX('1.산군_붙여넣기'!$A$1:$AZ$1001,ROW(),설정!$C$13)&amp;"",""))</f>
        <v/>
      </c>
      <c r="L337" s="7">
        <f>IF(X337="","",IF(AND(LEN(X337)=8,ISNUMBER(X337*1)),DATE(LEFT(X337,4),MID(X337,5,2),RIGHT(X337,2)),IFERROR(DATEVALUE(SUBSTITUTE(SUBSTITUTE(X337,".","-"),"/","-")),IFERROR(X337*1,""))))</f>
        <v/>
      </c>
      <c r="M337" s="7">
        <f>IF(Y337="","",IF(AND(LEN(Y337)=8,ISNUMBER(Y337*1)),DATE(LEFT(Y337,4),MID(Y337,5,2),RIGHT(Y337,2)),IFERROR(DATEVALUE(SUBSTITUTE(SUBSTITUTE(Y337,".","-"),"/","-")),IFERROR(Y337*1,""))))</f>
        <v/>
      </c>
      <c r="N337">
        <f>IFERROR(LEFT(B337,FIND(" ",B337)-1),B337)</f>
        <v/>
      </c>
      <c r="O337">
        <f>AND(B337&lt;&gt;"",B337&lt;&gt;설정!$B$4,C337&lt;&gt;설정!$B$5)</f>
        <v/>
      </c>
      <c r="P337">
        <f>IF(O337,B337&amp;"|"&amp;C337,"")</f>
        <v/>
      </c>
      <c r="Q337">
        <f>AND(O337,COUNTIF(P338:P$1002,P337)=0)</f>
        <v/>
      </c>
      <c r="R337">
        <f>OR(AND(설정!$A$42&lt;&gt;"",ISNUMBER(SEARCH(설정!$A$42,E337&amp;" "&amp;C337))),AND(설정!$A$43&lt;&gt;"",ISNUMBER(SEARCH(설정!$A$43,E337&amp;" "&amp;C337))),AND(설정!$A$44&lt;&gt;"",ISNUMBER(SEARCH(설정!$A$44,E337&amp;" "&amp;C337))),AND(설정!$A$45&lt;&gt;"",ISNUMBER(SEARCH(설정!$A$45,E337&amp;" "&amp;C337))),AND(설정!$A$46&lt;&gt;"",ISNUMBER(SEARCH(설정!$A$46,E337&amp;" "&amp;C337))),AND(설정!$A$47&lt;&gt;"",ISNUMBER(SEARCH(설정!$A$47,E337&amp;" "&amp;C337))),AND(설정!$A$48&lt;&gt;"",ISNUMBER(SEARCH(설정!$A$48,E337&amp;" "&amp;C337))),AND(설정!$A$49&lt;&gt;"",ISNUMBER(SEARCH(설정!$A$49,E337&amp;" "&amp;C337))),AND(설정!$A$50&lt;&gt;"",ISNUMBER(SEARCH(설정!$A$50,E337&amp;" "&amp;C337))),AND(설정!$A$51&lt;&gt;"",ISNUMBER(SEARCH(설정!$A$51,E337&amp;" "&amp;C337))))</f>
        <v/>
      </c>
      <c r="S337">
        <f>OR(D337="",D337&gt;=설정!$B$19)</f>
        <v/>
      </c>
      <c r="T337">
        <f>AND(Q337,R337,S337)</f>
        <v/>
      </c>
      <c r="U337">
        <f>IF(T337,IF(AND(설정!$A$54&lt;&gt;"",ISNUMBER(SEARCH(설정!$A$54,K337))),설정!$B$54,IF(AND(설정!$A$55&lt;&gt;"",ISNUMBER(SEARCH(설정!$A$55,K337))),설정!$B$55,IF(AND(설정!$A$56&lt;&gt;"",ISNUMBER(SEARCH(설정!$A$56,K337))),설정!$B$56,IF(AND(설정!$A$57&lt;&gt;"",ISNUMBER(SEARCH(설정!$A$57,K337))),설정!$B$57,IF(AND(설정!$A$58&lt;&gt;"",ISNUMBER(SEARCH(설정!$A$58,K337))),설정!$B$58,IF(AND(설정!$A$59&lt;&gt;"",ISNUMBER(SEARCH(설정!$A$59,K337))),설정!$B$59,IF(AND(설정!$A$60&lt;&gt;"",ISNUMBER(SEARCH(설정!$A$60,K337))),설정!$B$60,IF(AND(설정!$A$61&lt;&gt;"",ISNUMBER(SEARCH(설정!$A$61,K337))),설정!$B$61,IF(M337="","설계사","시공사"))))))))),"")</f>
        <v/>
      </c>
      <c r="V337">
        <f>SUBSTITUTE(SUBSTITUTE(SUBSTITUTE(SUBSTITUTE(G337,"(주)",""),"㈜",""),"주식회사","")," ","")</f>
        <v/>
      </c>
      <c r="W337">
        <f>IF(AND(T337,V337&lt;&gt;""),IF(COUNTIFS(V$2:V337,V337,T$2:T337,TRUE)=1,MAX(W$1:W336)+1,""),"")</f>
        <v/>
      </c>
      <c r="X337">
        <f>IF(설정!$C$14="","",IFERROR(INDEX('1.산군_붙여넣기'!$A$1:$AZ$1001,ROW(),설정!$C$14)&amp;"",""))</f>
        <v/>
      </c>
      <c r="Y337">
        <f>IF(설정!$C$15="","",IFERROR(INDEX('1.산군_붙여넣기'!$A$1:$AZ$1001,ROW(),설정!$C$15)&amp;"",""))</f>
        <v/>
      </c>
      <c r="Z337">
        <f>IF(T337,V337&amp;"|"&amp;U337,"")</f>
        <v/>
      </c>
      <c r="AA337">
        <f>IF(NOT(Q337),"",IF(NOT(AND(R337,S337)),"✕",IF(OR(OR(AND(L337&lt;&gt;"",M337&lt;&gt;"",N(M337)-N(L337)&gt;설정!$B$27),AND(L337&lt;&gt;"",M337="",설정!$B$24-N(L337)&gt;설정!$B$27)),AND(D337&lt;&gt;"",D337&lt;설정!$B$26)),"△","★")))</f>
        <v/>
      </c>
      <c r="AB337">
        <f>IF(NOT(T337),"",IF(U337="설계사",설정!$B$31,IF(U337="시공사",IF(OR(M337="",설정!$B$24-N(M337)&lt;=설정!$B$28*30.4),설정!$B$32,설정!$B$33),설정!$B$34))+IF(AA337="★",설정!$B$35,0))</f>
        <v/>
      </c>
      <c r="AC337">
        <f>SUBSTITUTE(SUBSTITUTE(SUBSTITUTE(SUBSTITUTE(H337,"(주)",""),"㈜",""),"주식회사","")," ","")</f>
        <v/>
      </c>
      <c r="AD337">
        <f>IF(AND(T337,AC337&lt;&gt;""),IF(COUNTIFS(AC$2:AC337,AC337,T$2:T337,TRUE)=1,MAX(AD$1:AD336)+1,""),"")</f>
        <v/>
      </c>
    </row>
    <row r="338">
      <c r="A338">
        <f>ROW()</f>
        <v/>
      </c>
      <c r="B338">
        <f>IF(설정!$C$4="","",IFERROR(INDEX('1.산군_붙여넣기'!$A$1:$AZ$1001,ROW(),설정!$C$4)&amp;"",""))</f>
        <v/>
      </c>
      <c r="C338">
        <f>IF(설정!$C$5="","",IFERROR(INDEX('1.산군_붙여넣기'!$A$1:$AZ$1001,ROW(),설정!$C$5)&amp;"",""))</f>
        <v/>
      </c>
      <c r="D338" s="5">
        <f>IFERROR(VALUE(SUBSTITUTE(SUBSTITUTE(SUBSTITUTE(IF(설정!$C$6="","",IFERROR(INDEX('1.산군_붙여넣기'!$A$1:$AZ$1001,ROW(),설정!$C$6)&amp;"","")),",",""),"㎡",""),"m2","")),"")</f>
        <v/>
      </c>
      <c r="E338">
        <f>IF(설정!$C$7="","",IFERROR(INDEX('1.산군_붙여넣기'!$A$1:$AZ$1001,ROW(),설정!$C$7)&amp;"",""))</f>
        <v/>
      </c>
      <c r="F338">
        <f>IF(설정!$C$8="","",IFERROR(INDEX('1.산군_붙여넣기'!$A$1:$AZ$1001,ROW(),설정!$C$8)&amp;"",""))</f>
        <v/>
      </c>
      <c r="G338">
        <f>IF(설정!$C$9="","",IFERROR(INDEX('1.산군_붙여넣기'!$A$1:$AZ$1001,ROW(),설정!$C$9)&amp;"",""))</f>
        <v/>
      </c>
      <c r="H338">
        <f>IF(설정!$C$10="","",IFERROR(INDEX('1.산군_붙여넣기'!$A$1:$AZ$1001,ROW(),설정!$C$10)&amp;"",""))</f>
        <v/>
      </c>
      <c r="I338">
        <f>IF(설정!$C$11="","",IFERROR(INDEX('1.산군_붙여넣기'!$A$1:$AZ$1001,ROW(),설정!$C$11)&amp;"",""))</f>
        <v/>
      </c>
      <c r="J338">
        <f>IF(설정!$C$12="","",IFERROR(INDEX('1.산군_붙여넣기'!$A$1:$AZ$1001,ROW(),설정!$C$12)&amp;"",""))</f>
        <v/>
      </c>
      <c r="K338">
        <f>IF(설정!$C$13="","",IFERROR(INDEX('1.산군_붙여넣기'!$A$1:$AZ$1001,ROW(),설정!$C$13)&amp;"",""))</f>
        <v/>
      </c>
      <c r="L338" s="7">
        <f>IF(X338="","",IF(AND(LEN(X338)=8,ISNUMBER(X338*1)),DATE(LEFT(X338,4),MID(X338,5,2),RIGHT(X338,2)),IFERROR(DATEVALUE(SUBSTITUTE(SUBSTITUTE(X338,".","-"),"/","-")),IFERROR(X338*1,""))))</f>
        <v/>
      </c>
      <c r="M338" s="7">
        <f>IF(Y338="","",IF(AND(LEN(Y338)=8,ISNUMBER(Y338*1)),DATE(LEFT(Y338,4),MID(Y338,5,2),RIGHT(Y338,2)),IFERROR(DATEVALUE(SUBSTITUTE(SUBSTITUTE(Y338,".","-"),"/","-")),IFERROR(Y338*1,""))))</f>
        <v/>
      </c>
      <c r="N338">
        <f>IFERROR(LEFT(B338,FIND(" ",B338)-1),B338)</f>
        <v/>
      </c>
      <c r="O338">
        <f>AND(B338&lt;&gt;"",B338&lt;&gt;설정!$B$4,C338&lt;&gt;설정!$B$5)</f>
        <v/>
      </c>
      <c r="P338">
        <f>IF(O338,B338&amp;"|"&amp;C338,"")</f>
        <v/>
      </c>
      <c r="Q338">
        <f>AND(O338,COUNTIF(P339:P$1002,P338)=0)</f>
        <v/>
      </c>
      <c r="R338">
        <f>OR(AND(설정!$A$42&lt;&gt;"",ISNUMBER(SEARCH(설정!$A$42,E338&amp;" "&amp;C338))),AND(설정!$A$43&lt;&gt;"",ISNUMBER(SEARCH(설정!$A$43,E338&amp;" "&amp;C338))),AND(설정!$A$44&lt;&gt;"",ISNUMBER(SEARCH(설정!$A$44,E338&amp;" "&amp;C338))),AND(설정!$A$45&lt;&gt;"",ISNUMBER(SEARCH(설정!$A$45,E338&amp;" "&amp;C338))),AND(설정!$A$46&lt;&gt;"",ISNUMBER(SEARCH(설정!$A$46,E338&amp;" "&amp;C338))),AND(설정!$A$47&lt;&gt;"",ISNUMBER(SEARCH(설정!$A$47,E338&amp;" "&amp;C338))),AND(설정!$A$48&lt;&gt;"",ISNUMBER(SEARCH(설정!$A$48,E338&amp;" "&amp;C338))),AND(설정!$A$49&lt;&gt;"",ISNUMBER(SEARCH(설정!$A$49,E338&amp;" "&amp;C338))),AND(설정!$A$50&lt;&gt;"",ISNUMBER(SEARCH(설정!$A$50,E338&amp;" "&amp;C338))),AND(설정!$A$51&lt;&gt;"",ISNUMBER(SEARCH(설정!$A$51,E338&amp;" "&amp;C338))))</f>
        <v/>
      </c>
      <c r="S338">
        <f>OR(D338="",D338&gt;=설정!$B$19)</f>
        <v/>
      </c>
      <c r="T338">
        <f>AND(Q338,R338,S338)</f>
        <v/>
      </c>
      <c r="U338">
        <f>IF(T338,IF(AND(설정!$A$54&lt;&gt;"",ISNUMBER(SEARCH(설정!$A$54,K338))),설정!$B$54,IF(AND(설정!$A$55&lt;&gt;"",ISNUMBER(SEARCH(설정!$A$55,K338))),설정!$B$55,IF(AND(설정!$A$56&lt;&gt;"",ISNUMBER(SEARCH(설정!$A$56,K338))),설정!$B$56,IF(AND(설정!$A$57&lt;&gt;"",ISNUMBER(SEARCH(설정!$A$57,K338))),설정!$B$57,IF(AND(설정!$A$58&lt;&gt;"",ISNUMBER(SEARCH(설정!$A$58,K338))),설정!$B$58,IF(AND(설정!$A$59&lt;&gt;"",ISNUMBER(SEARCH(설정!$A$59,K338))),설정!$B$59,IF(AND(설정!$A$60&lt;&gt;"",ISNUMBER(SEARCH(설정!$A$60,K338))),설정!$B$60,IF(AND(설정!$A$61&lt;&gt;"",ISNUMBER(SEARCH(설정!$A$61,K338))),설정!$B$61,IF(M338="","설계사","시공사"))))))))),"")</f>
        <v/>
      </c>
      <c r="V338">
        <f>SUBSTITUTE(SUBSTITUTE(SUBSTITUTE(SUBSTITUTE(G338,"(주)",""),"㈜",""),"주식회사","")," ","")</f>
        <v/>
      </c>
      <c r="W338">
        <f>IF(AND(T338,V338&lt;&gt;""),IF(COUNTIFS(V$2:V338,V338,T$2:T338,TRUE)=1,MAX(W$1:W337)+1,""),"")</f>
        <v/>
      </c>
      <c r="X338">
        <f>IF(설정!$C$14="","",IFERROR(INDEX('1.산군_붙여넣기'!$A$1:$AZ$1001,ROW(),설정!$C$14)&amp;"",""))</f>
        <v/>
      </c>
      <c r="Y338">
        <f>IF(설정!$C$15="","",IFERROR(INDEX('1.산군_붙여넣기'!$A$1:$AZ$1001,ROW(),설정!$C$15)&amp;"",""))</f>
        <v/>
      </c>
      <c r="Z338">
        <f>IF(T338,V338&amp;"|"&amp;U338,"")</f>
        <v/>
      </c>
      <c r="AA338">
        <f>IF(NOT(Q338),"",IF(NOT(AND(R338,S338)),"✕",IF(OR(OR(AND(L338&lt;&gt;"",M338&lt;&gt;"",N(M338)-N(L338)&gt;설정!$B$27),AND(L338&lt;&gt;"",M338="",설정!$B$24-N(L338)&gt;설정!$B$27)),AND(D338&lt;&gt;"",D338&lt;설정!$B$26)),"△","★")))</f>
        <v/>
      </c>
      <c r="AB338">
        <f>IF(NOT(T338),"",IF(U338="설계사",설정!$B$31,IF(U338="시공사",IF(OR(M338="",설정!$B$24-N(M338)&lt;=설정!$B$28*30.4),설정!$B$32,설정!$B$33),설정!$B$34))+IF(AA338="★",설정!$B$35,0))</f>
        <v/>
      </c>
      <c r="AC338">
        <f>SUBSTITUTE(SUBSTITUTE(SUBSTITUTE(SUBSTITUTE(H338,"(주)",""),"㈜",""),"주식회사","")," ","")</f>
        <v/>
      </c>
      <c r="AD338">
        <f>IF(AND(T338,AC338&lt;&gt;""),IF(COUNTIFS(AC$2:AC338,AC338,T$2:T338,TRUE)=1,MAX(AD$1:AD337)+1,""),"")</f>
        <v/>
      </c>
    </row>
    <row r="339">
      <c r="A339">
        <f>ROW()</f>
        <v/>
      </c>
      <c r="B339">
        <f>IF(설정!$C$4="","",IFERROR(INDEX('1.산군_붙여넣기'!$A$1:$AZ$1001,ROW(),설정!$C$4)&amp;"",""))</f>
        <v/>
      </c>
      <c r="C339">
        <f>IF(설정!$C$5="","",IFERROR(INDEX('1.산군_붙여넣기'!$A$1:$AZ$1001,ROW(),설정!$C$5)&amp;"",""))</f>
        <v/>
      </c>
      <c r="D339" s="5">
        <f>IFERROR(VALUE(SUBSTITUTE(SUBSTITUTE(SUBSTITUTE(IF(설정!$C$6="","",IFERROR(INDEX('1.산군_붙여넣기'!$A$1:$AZ$1001,ROW(),설정!$C$6)&amp;"","")),",",""),"㎡",""),"m2","")),"")</f>
        <v/>
      </c>
      <c r="E339">
        <f>IF(설정!$C$7="","",IFERROR(INDEX('1.산군_붙여넣기'!$A$1:$AZ$1001,ROW(),설정!$C$7)&amp;"",""))</f>
        <v/>
      </c>
      <c r="F339">
        <f>IF(설정!$C$8="","",IFERROR(INDEX('1.산군_붙여넣기'!$A$1:$AZ$1001,ROW(),설정!$C$8)&amp;"",""))</f>
        <v/>
      </c>
      <c r="G339">
        <f>IF(설정!$C$9="","",IFERROR(INDEX('1.산군_붙여넣기'!$A$1:$AZ$1001,ROW(),설정!$C$9)&amp;"",""))</f>
        <v/>
      </c>
      <c r="H339">
        <f>IF(설정!$C$10="","",IFERROR(INDEX('1.산군_붙여넣기'!$A$1:$AZ$1001,ROW(),설정!$C$10)&amp;"",""))</f>
        <v/>
      </c>
      <c r="I339">
        <f>IF(설정!$C$11="","",IFERROR(INDEX('1.산군_붙여넣기'!$A$1:$AZ$1001,ROW(),설정!$C$11)&amp;"",""))</f>
        <v/>
      </c>
      <c r="J339">
        <f>IF(설정!$C$12="","",IFERROR(INDEX('1.산군_붙여넣기'!$A$1:$AZ$1001,ROW(),설정!$C$12)&amp;"",""))</f>
        <v/>
      </c>
      <c r="K339">
        <f>IF(설정!$C$13="","",IFERROR(INDEX('1.산군_붙여넣기'!$A$1:$AZ$1001,ROW(),설정!$C$13)&amp;"",""))</f>
        <v/>
      </c>
      <c r="L339" s="7">
        <f>IF(X339="","",IF(AND(LEN(X339)=8,ISNUMBER(X339*1)),DATE(LEFT(X339,4),MID(X339,5,2),RIGHT(X339,2)),IFERROR(DATEVALUE(SUBSTITUTE(SUBSTITUTE(X339,".","-"),"/","-")),IFERROR(X339*1,""))))</f>
        <v/>
      </c>
      <c r="M339" s="7">
        <f>IF(Y339="","",IF(AND(LEN(Y339)=8,ISNUMBER(Y339*1)),DATE(LEFT(Y339,4),MID(Y339,5,2),RIGHT(Y339,2)),IFERROR(DATEVALUE(SUBSTITUTE(SUBSTITUTE(Y339,".","-"),"/","-")),IFERROR(Y339*1,""))))</f>
        <v/>
      </c>
      <c r="N339">
        <f>IFERROR(LEFT(B339,FIND(" ",B339)-1),B339)</f>
        <v/>
      </c>
      <c r="O339">
        <f>AND(B339&lt;&gt;"",B339&lt;&gt;설정!$B$4,C339&lt;&gt;설정!$B$5)</f>
        <v/>
      </c>
      <c r="P339">
        <f>IF(O339,B339&amp;"|"&amp;C339,"")</f>
        <v/>
      </c>
      <c r="Q339">
        <f>AND(O339,COUNTIF(P340:P$1002,P339)=0)</f>
        <v/>
      </c>
      <c r="R339">
        <f>OR(AND(설정!$A$42&lt;&gt;"",ISNUMBER(SEARCH(설정!$A$42,E339&amp;" "&amp;C339))),AND(설정!$A$43&lt;&gt;"",ISNUMBER(SEARCH(설정!$A$43,E339&amp;" "&amp;C339))),AND(설정!$A$44&lt;&gt;"",ISNUMBER(SEARCH(설정!$A$44,E339&amp;" "&amp;C339))),AND(설정!$A$45&lt;&gt;"",ISNUMBER(SEARCH(설정!$A$45,E339&amp;" "&amp;C339))),AND(설정!$A$46&lt;&gt;"",ISNUMBER(SEARCH(설정!$A$46,E339&amp;" "&amp;C339))),AND(설정!$A$47&lt;&gt;"",ISNUMBER(SEARCH(설정!$A$47,E339&amp;" "&amp;C339))),AND(설정!$A$48&lt;&gt;"",ISNUMBER(SEARCH(설정!$A$48,E339&amp;" "&amp;C339))),AND(설정!$A$49&lt;&gt;"",ISNUMBER(SEARCH(설정!$A$49,E339&amp;" "&amp;C339))),AND(설정!$A$50&lt;&gt;"",ISNUMBER(SEARCH(설정!$A$50,E339&amp;" "&amp;C339))),AND(설정!$A$51&lt;&gt;"",ISNUMBER(SEARCH(설정!$A$51,E339&amp;" "&amp;C339))))</f>
        <v/>
      </c>
      <c r="S339">
        <f>OR(D339="",D339&gt;=설정!$B$19)</f>
        <v/>
      </c>
      <c r="T339">
        <f>AND(Q339,R339,S339)</f>
        <v/>
      </c>
      <c r="U339">
        <f>IF(T339,IF(AND(설정!$A$54&lt;&gt;"",ISNUMBER(SEARCH(설정!$A$54,K339))),설정!$B$54,IF(AND(설정!$A$55&lt;&gt;"",ISNUMBER(SEARCH(설정!$A$55,K339))),설정!$B$55,IF(AND(설정!$A$56&lt;&gt;"",ISNUMBER(SEARCH(설정!$A$56,K339))),설정!$B$56,IF(AND(설정!$A$57&lt;&gt;"",ISNUMBER(SEARCH(설정!$A$57,K339))),설정!$B$57,IF(AND(설정!$A$58&lt;&gt;"",ISNUMBER(SEARCH(설정!$A$58,K339))),설정!$B$58,IF(AND(설정!$A$59&lt;&gt;"",ISNUMBER(SEARCH(설정!$A$59,K339))),설정!$B$59,IF(AND(설정!$A$60&lt;&gt;"",ISNUMBER(SEARCH(설정!$A$60,K339))),설정!$B$60,IF(AND(설정!$A$61&lt;&gt;"",ISNUMBER(SEARCH(설정!$A$61,K339))),설정!$B$61,IF(M339="","설계사","시공사"))))))))),"")</f>
        <v/>
      </c>
      <c r="V339">
        <f>SUBSTITUTE(SUBSTITUTE(SUBSTITUTE(SUBSTITUTE(G339,"(주)",""),"㈜",""),"주식회사","")," ","")</f>
        <v/>
      </c>
      <c r="W339">
        <f>IF(AND(T339,V339&lt;&gt;""),IF(COUNTIFS(V$2:V339,V339,T$2:T339,TRUE)=1,MAX(W$1:W338)+1,""),"")</f>
        <v/>
      </c>
      <c r="X339">
        <f>IF(설정!$C$14="","",IFERROR(INDEX('1.산군_붙여넣기'!$A$1:$AZ$1001,ROW(),설정!$C$14)&amp;"",""))</f>
        <v/>
      </c>
      <c r="Y339">
        <f>IF(설정!$C$15="","",IFERROR(INDEX('1.산군_붙여넣기'!$A$1:$AZ$1001,ROW(),설정!$C$15)&amp;"",""))</f>
        <v/>
      </c>
      <c r="Z339">
        <f>IF(T339,V339&amp;"|"&amp;U339,"")</f>
        <v/>
      </c>
      <c r="AA339">
        <f>IF(NOT(Q339),"",IF(NOT(AND(R339,S339)),"✕",IF(OR(OR(AND(L339&lt;&gt;"",M339&lt;&gt;"",N(M339)-N(L339)&gt;설정!$B$27),AND(L339&lt;&gt;"",M339="",설정!$B$24-N(L339)&gt;설정!$B$27)),AND(D339&lt;&gt;"",D339&lt;설정!$B$26)),"△","★")))</f>
        <v/>
      </c>
      <c r="AB339">
        <f>IF(NOT(T339),"",IF(U339="설계사",설정!$B$31,IF(U339="시공사",IF(OR(M339="",설정!$B$24-N(M339)&lt;=설정!$B$28*30.4),설정!$B$32,설정!$B$33),설정!$B$34))+IF(AA339="★",설정!$B$35,0))</f>
        <v/>
      </c>
      <c r="AC339">
        <f>SUBSTITUTE(SUBSTITUTE(SUBSTITUTE(SUBSTITUTE(H339,"(주)",""),"㈜",""),"주식회사","")," ","")</f>
        <v/>
      </c>
      <c r="AD339">
        <f>IF(AND(T339,AC339&lt;&gt;""),IF(COUNTIFS(AC$2:AC339,AC339,T$2:T339,TRUE)=1,MAX(AD$1:AD338)+1,""),"")</f>
        <v/>
      </c>
    </row>
    <row r="340">
      <c r="A340">
        <f>ROW()</f>
        <v/>
      </c>
      <c r="B340">
        <f>IF(설정!$C$4="","",IFERROR(INDEX('1.산군_붙여넣기'!$A$1:$AZ$1001,ROW(),설정!$C$4)&amp;"",""))</f>
        <v/>
      </c>
      <c r="C340">
        <f>IF(설정!$C$5="","",IFERROR(INDEX('1.산군_붙여넣기'!$A$1:$AZ$1001,ROW(),설정!$C$5)&amp;"",""))</f>
        <v/>
      </c>
      <c r="D340" s="5">
        <f>IFERROR(VALUE(SUBSTITUTE(SUBSTITUTE(SUBSTITUTE(IF(설정!$C$6="","",IFERROR(INDEX('1.산군_붙여넣기'!$A$1:$AZ$1001,ROW(),설정!$C$6)&amp;"","")),",",""),"㎡",""),"m2","")),"")</f>
        <v/>
      </c>
      <c r="E340">
        <f>IF(설정!$C$7="","",IFERROR(INDEX('1.산군_붙여넣기'!$A$1:$AZ$1001,ROW(),설정!$C$7)&amp;"",""))</f>
        <v/>
      </c>
      <c r="F340">
        <f>IF(설정!$C$8="","",IFERROR(INDEX('1.산군_붙여넣기'!$A$1:$AZ$1001,ROW(),설정!$C$8)&amp;"",""))</f>
        <v/>
      </c>
      <c r="G340">
        <f>IF(설정!$C$9="","",IFERROR(INDEX('1.산군_붙여넣기'!$A$1:$AZ$1001,ROW(),설정!$C$9)&amp;"",""))</f>
        <v/>
      </c>
      <c r="H340">
        <f>IF(설정!$C$10="","",IFERROR(INDEX('1.산군_붙여넣기'!$A$1:$AZ$1001,ROW(),설정!$C$10)&amp;"",""))</f>
        <v/>
      </c>
      <c r="I340">
        <f>IF(설정!$C$11="","",IFERROR(INDEX('1.산군_붙여넣기'!$A$1:$AZ$1001,ROW(),설정!$C$11)&amp;"",""))</f>
        <v/>
      </c>
      <c r="J340">
        <f>IF(설정!$C$12="","",IFERROR(INDEX('1.산군_붙여넣기'!$A$1:$AZ$1001,ROW(),설정!$C$12)&amp;"",""))</f>
        <v/>
      </c>
      <c r="K340">
        <f>IF(설정!$C$13="","",IFERROR(INDEX('1.산군_붙여넣기'!$A$1:$AZ$1001,ROW(),설정!$C$13)&amp;"",""))</f>
        <v/>
      </c>
      <c r="L340" s="7">
        <f>IF(X340="","",IF(AND(LEN(X340)=8,ISNUMBER(X340*1)),DATE(LEFT(X340,4),MID(X340,5,2),RIGHT(X340,2)),IFERROR(DATEVALUE(SUBSTITUTE(SUBSTITUTE(X340,".","-"),"/","-")),IFERROR(X340*1,""))))</f>
        <v/>
      </c>
      <c r="M340" s="7">
        <f>IF(Y340="","",IF(AND(LEN(Y340)=8,ISNUMBER(Y340*1)),DATE(LEFT(Y340,4),MID(Y340,5,2),RIGHT(Y340,2)),IFERROR(DATEVALUE(SUBSTITUTE(SUBSTITUTE(Y340,".","-"),"/","-")),IFERROR(Y340*1,""))))</f>
        <v/>
      </c>
      <c r="N340">
        <f>IFERROR(LEFT(B340,FIND(" ",B340)-1),B340)</f>
        <v/>
      </c>
      <c r="O340">
        <f>AND(B340&lt;&gt;"",B340&lt;&gt;설정!$B$4,C340&lt;&gt;설정!$B$5)</f>
        <v/>
      </c>
      <c r="P340">
        <f>IF(O340,B340&amp;"|"&amp;C340,"")</f>
        <v/>
      </c>
      <c r="Q340">
        <f>AND(O340,COUNTIF(P341:P$1002,P340)=0)</f>
        <v/>
      </c>
      <c r="R340">
        <f>OR(AND(설정!$A$42&lt;&gt;"",ISNUMBER(SEARCH(설정!$A$42,E340&amp;" "&amp;C340))),AND(설정!$A$43&lt;&gt;"",ISNUMBER(SEARCH(설정!$A$43,E340&amp;" "&amp;C340))),AND(설정!$A$44&lt;&gt;"",ISNUMBER(SEARCH(설정!$A$44,E340&amp;" "&amp;C340))),AND(설정!$A$45&lt;&gt;"",ISNUMBER(SEARCH(설정!$A$45,E340&amp;" "&amp;C340))),AND(설정!$A$46&lt;&gt;"",ISNUMBER(SEARCH(설정!$A$46,E340&amp;" "&amp;C340))),AND(설정!$A$47&lt;&gt;"",ISNUMBER(SEARCH(설정!$A$47,E340&amp;" "&amp;C340))),AND(설정!$A$48&lt;&gt;"",ISNUMBER(SEARCH(설정!$A$48,E340&amp;" "&amp;C340))),AND(설정!$A$49&lt;&gt;"",ISNUMBER(SEARCH(설정!$A$49,E340&amp;" "&amp;C340))),AND(설정!$A$50&lt;&gt;"",ISNUMBER(SEARCH(설정!$A$50,E340&amp;" "&amp;C340))),AND(설정!$A$51&lt;&gt;"",ISNUMBER(SEARCH(설정!$A$51,E340&amp;" "&amp;C340))))</f>
        <v/>
      </c>
      <c r="S340">
        <f>OR(D340="",D340&gt;=설정!$B$19)</f>
        <v/>
      </c>
      <c r="T340">
        <f>AND(Q340,R340,S340)</f>
        <v/>
      </c>
      <c r="U340">
        <f>IF(T340,IF(AND(설정!$A$54&lt;&gt;"",ISNUMBER(SEARCH(설정!$A$54,K340))),설정!$B$54,IF(AND(설정!$A$55&lt;&gt;"",ISNUMBER(SEARCH(설정!$A$55,K340))),설정!$B$55,IF(AND(설정!$A$56&lt;&gt;"",ISNUMBER(SEARCH(설정!$A$56,K340))),설정!$B$56,IF(AND(설정!$A$57&lt;&gt;"",ISNUMBER(SEARCH(설정!$A$57,K340))),설정!$B$57,IF(AND(설정!$A$58&lt;&gt;"",ISNUMBER(SEARCH(설정!$A$58,K340))),설정!$B$58,IF(AND(설정!$A$59&lt;&gt;"",ISNUMBER(SEARCH(설정!$A$59,K340))),설정!$B$59,IF(AND(설정!$A$60&lt;&gt;"",ISNUMBER(SEARCH(설정!$A$60,K340))),설정!$B$60,IF(AND(설정!$A$61&lt;&gt;"",ISNUMBER(SEARCH(설정!$A$61,K340))),설정!$B$61,IF(M340="","설계사","시공사"))))))))),"")</f>
        <v/>
      </c>
      <c r="V340">
        <f>SUBSTITUTE(SUBSTITUTE(SUBSTITUTE(SUBSTITUTE(G340,"(주)",""),"㈜",""),"주식회사","")," ","")</f>
        <v/>
      </c>
      <c r="W340">
        <f>IF(AND(T340,V340&lt;&gt;""),IF(COUNTIFS(V$2:V340,V340,T$2:T340,TRUE)=1,MAX(W$1:W339)+1,""),"")</f>
        <v/>
      </c>
      <c r="X340">
        <f>IF(설정!$C$14="","",IFERROR(INDEX('1.산군_붙여넣기'!$A$1:$AZ$1001,ROW(),설정!$C$14)&amp;"",""))</f>
        <v/>
      </c>
      <c r="Y340">
        <f>IF(설정!$C$15="","",IFERROR(INDEX('1.산군_붙여넣기'!$A$1:$AZ$1001,ROW(),설정!$C$15)&amp;"",""))</f>
        <v/>
      </c>
      <c r="Z340">
        <f>IF(T340,V340&amp;"|"&amp;U340,"")</f>
        <v/>
      </c>
      <c r="AA340">
        <f>IF(NOT(Q340),"",IF(NOT(AND(R340,S340)),"✕",IF(OR(OR(AND(L340&lt;&gt;"",M340&lt;&gt;"",N(M340)-N(L340)&gt;설정!$B$27),AND(L340&lt;&gt;"",M340="",설정!$B$24-N(L340)&gt;설정!$B$27)),AND(D340&lt;&gt;"",D340&lt;설정!$B$26)),"△","★")))</f>
        <v/>
      </c>
      <c r="AB340">
        <f>IF(NOT(T340),"",IF(U340="설계사",설정!$B$31,IF(U340="시공사",IF(OR(M340="",설정!$B$24-N(M340)&lt;=설정!$B$28*30.4),설정!$B$32,설정!$B$33),설정!$B$34))+IF(AA340="★",설정!$B$35,0))</f>
        <v/>
      </c>
      <c r="AC340">
        <f>SUBSTITUTE(SUBSTITUTE(SUBSTITUTE(SUBSTITUTE(H340,"(주)",""),"㈜",""),"주식회사","")," ","")</f>
        <v/>
      </c>
      <c r="AD340">
        <f>IF(AND(T340,AC340&lt;&gt;""),IF(COUNTIFS(AC$2:AC340,AC340,T$2:T340,TRUE)=1,MAX(AD$1:AD339)+1,""),"")</f>
        <v/>
      </c>
    </row>
    <row r="341">
      <c r="A341">
        <f>ROW()</f>
        <v/>
      </c>
      <c r="B341">
        <f>IF(설정!$C$4="","",IFERROR(INDEX('1.산군_붙여넣기'!$A$1:$AZ$1001,ROW(),설정!$C$4)&amp;"",""))</f>
        <v/>
      </c>
      <c r="C341">
        <f>IF(설정!$C$5="","",IFERROR(INDEX('1.산군_붙여넣기'!$A$1:$AZ$1001,ROW(),설정!$C$5)&amp;"",""))</f>
        <v/>
      </c>
      <c r="D341" s="5">
        <f>IFERROR(VALUE(SUBSTITUTE(SUBSTITUTE(SUBSTITUTE(IF(설정!$C$6="","",IFERROR(INDEX('1.산군_붙여넣기'!$A$1:$AZ$1001,ROW(),설정!$C$6)&amp;"","")),",",""),"㎡",""),"m2","")),"")</f>
        <v/>
      </c>
      <c r="E341">
        <f>IF(설정!$C$7="","",IFERROR(INDEX('1.산군_붙여넣기'!$A$1:$AZ$1001,ROW(),설정!$C$7)&amp;"",""))</f>
        <v/>
      </c>
      <c r="F341">
        <f>IF(설정!$C$8="","",IFERROR(INDEX('1.산군_붙여넣기'!$A$1:$AZ$1001,ROW(),설정!$C$8)&amp;"",""))</f>
        <v/>
      </c>
      <c r="G341">
        <f>IF(설정!$C$9="","",IFERROR(INDEX('1.산군_붙여넣기'!$A$1:$AZ$1001,ROW(),설정!$C$9)&amp;"",""))</f>
        <v/>
      </c>
      <c r="H341">
        <f>IF(설정!$C$10="","",IFERROR(INDEX('1.산군_붙여넣기'!$A$1:$AZ$1001,ROW(),설정!$C$10)&amp;"",""))</f>
        <v/>
      </c>
      <c r="I341">
        <f>IF(설정!$C$11="","",IFERROR(INDEX('1.산군_붙여넣기'!$A$1:$AZ$1001,ROW(),설정!$C$11)&amp;"",""))</f>
        <v/>
      </c>
      <c r="J341">
        <f>IF(설정!$C$12="","",IFERROR(INDEX('1.산군_붙여넣기'!$A$1:$AZ$1001,ROW(),설정!$C$12)&amp;"",""))</f>
        <v/>
      </c>
      <c r="K341">
        <f>IF(설정!$C$13="","",IFERROR(INDEX('1.산군_붙여넣기'!$A$1:$AZ$1001,ROW(),설정!$C$13)&amp;"",""))</f>
        <v/>
      </c>
      <c r="L341" s="7">
        <f>IF(X341="","",IF(AND(LEN(X341)=8,ISNUMBER(X341*1)),DATE(LEFT(X341,4),MID(X341,5,2),RIGHT(X341,2)),IFERROR(DATEVALUE(SUBSTITUTE(SUBSTITUTE(X341,".","-"),"/","-")),IFERROR(X341*1,""))))</f>
        <v/>
      </c>
      <c r="M341" s="7">
        <f>IF(Y341="","",IF(AND(LEN(Y341)=8,ISNUMBER(Y341*1)),DATE(LEFT(Y341,4),MID(Y341,5,2),RIGHT(Y341,2)),IFERROR(DATEVALUE(SUBSTITUTE(SUBSTITUTE(Y341,".","-"),"/","-")),IFERROR(Y341*1,""))))</f>
        <v/>
      </c>
      <c r="N341">
        <f>IFERROR(LEFT(B341,FIND(" ",B341)-1),B341)</f>
        <v/>
      </c>
      <c r="O341">
        <f>AND(B341&lt;&gt;"",B341&lt;&gt;설정!$B$4,C341&lt;&gt;설정!$B$5)</f>
        <v/>
      </c>
      <c r="P341">
        <f>IF(O341,B341&amp;"|"&amp;C341,"")</f>
        <v/>
      </c>
      <c r="Q341">
        <f>AND(O341,COUNTIF(P342:P$1002,P341)=0)</f>
        <v/>
      </c>
      <c r="R341">
        <f>OR(AND(설정!$A$42&lt;&gt;"",ISNUMBER(SEARCH(설정!$A$42,E341&amp;" "&amp;C341))),AND(설정!$A$43&lt;&gt;"",ISNUMBER(SEARCH(설정!$A$43,E341&amp;" "&amp;C341))),AND(설정!$A$44&lt;&gt;"",ISNUMBER(SEARCH(설정!$A$44,E341&amp;" "&amp;C341))),AND(설정!$A$45&lt;&gt;"",ISNUMBER(SEARCH(설정!$A$45,E341&amp;" "&amp;C341))),AND(설정!$A$46&lt;&gt;"",ISNUMBER(SEARCH(설정!$A$46,E341&amp;" "&amp;C341))),AND(설정!$A$47&lt;&gt;"",ISNUMBER(SEARCH(설정!$A$47,E341&amp;" "&amp;C341))),AND(설정!$A$48&lt;&gt;"",ISNUMBER(SEARCH(설정!$A$48,E341&amp;" "&amp;C341))),AND(설정!$A$49&lt;&gt;"",ISNUMBER(SEARCH(설정!$A$49,E341&amp;" "&amp;C341))),AND(설정!$A$50&lt;&gt;"",ISNUMBER(SEARCH(설정!$A$50,E341&amp;" "&amp;C341))),AND(설정!$A$51&lt;&gt;"",ISNUMBER(SEARCH(설정!$A$51,E341&amp;" "&amp;C341))))</f>
        <v/>
      </c>
      <c r="S341">
        <f>OR(D341="",D341&gt;=설정!$B$19)</f>
        <v/>
      </c>
      <c r="T341">
        <f>AND(Q341,R341,S341)</f>
        <v/>
      </c>
      <c r="U341">
        <f>IF(T341,IF(AND(설정!$A$54&lt;&gt;"",ISNUMBER(SEARCH(설정!$A$54,K341))),설정!$B$54,IF(AND(설정!$A$55&lt;&gt;"",ISNUMBER(SEARCH(설정!$A$55,K341))),설정!$B$55,IF(AND(설정!$A$56&lt;&gt;"",ISNUMBER(SEARCH(설정!$A$56,K341))),설정!$B$56,IF(AND(설정!$A$57&lt;&gt;"",ISNUMBER(SEARCH(설정!$A$57,K341))),설정!$B$57,IF(AND(설정!$A$58&lt;&gt;"",ISNUMBER(SEARCH(설정!$A$58,K341))),설정!$B$58,IF(AND(설정!$A$59&lt;&gt;"",ISNUMBER(SEARCH(설정!$A$59,K341))),설정!$B$59,IF(AND(설정!$A$60&lt;&gt;"",ISNUMBER(SEARCH(설정!$A$60,K341))),설정!$B$60,IF(AND(설정!$A$61&lt;&gt;"",ISNUMBER(SEARCH(설정!$A$61,K341))),설정!$B$61,IF(M341="","설계사","시공사"))))))))),"")</f>
        <v/>
      </c>
      <c r="V341">
        <f>SUBSTITUTE(SUBSTITUTE(SUBSTITUTE(SUBSTITUTE(G341,"(주)",""),"㈜",""),"주식회사","")," ","")</f>
        <v/>
      </c>
      <c r="W341">
        <f>IF(AND(T341,V341&lt;&gt;""),IF(COUNTIFS(V$2:V341,V341,T$2:T341,TRUE)=1,MAX(W$1:W340)+1,""),"")</f>
        <v/>
      </c>
      <c r="X341">
        <f>IF(설정!$C$14="","",IFERROR(INDEX('1.산군_붙여넣기'!$A$1:$AZ$1001,ROW(),설정!$C$14)&amp;"",""))</f>
        <v/>
      </c>
      <c r="Y341">
        <f>IF(설정!$C$15="","",IFERROR(INDEX('1.산군_붙여넣기'!$A$1:$AZ$1001,ROW(),설정!$C$15)&amp;"",""))</f>
        <v/>
      </c>
      <c r="Z341">
        <f>IF(T341,V341&amp;"|"&amp;U341,"")</f>
        <v/>
      </c>
      <c r="AA341">
        <f>IF(NOT(Q341),"",IF(NOT(AND(R341,S341)),"✕",IF(OR(OR(AND(L341&lt;&gt;"",M341&lt;&gt;"",N(M341)-N(L341)&gt;설정!$B$27),AND(L341&lt;&gt;"",M341="",설정!$B$24-N(L341)&gt;설정!$B$27)),AND(D341&lt;&gt;"",D341&lt;설정!$B$26)),"△","★")))</f>
        <v/>
      </c>
      <c r="AB341">
        <f>IF(NOT(T341),"",IF(U341="설계사",설정!$B$31,IF(U341="시공사",IF(OR(M341="",설정!$B$24-N(M341)&lt;=설정!$B$28*30.4),설정!$B$32,설정!$B$33),설정!$B$34))+IF(AA341="★",설정!$B$35,0))</f>
        <v/>
      </c>
      <c r="AC341">
        <f>SUBSTITUTE(SUBSTITUTE(SUBSTITUTE(SUBSTITUTE(H341,"(주)",""),"㈜",""),"주식회사","")," ","")</f>
        <v/>
      </c>
      <c r="AD341">
        <f>IF(AND(T341,AC341&lt;&gt;""),IF(COUNTIFS(AC$2:AC341,AC341,T$2:T341,TRUE)=1,MAX(AD$1:AD340)+1,""),"")</f>
        <v/>
      </c>
    </row>
    <row r="342">
      <c r="A342">
        <f>ROW()</f>
        <v/>
      </c>
      <c r="B342">
        <f>IF(설정!$C$4="","",IFERROR(INDEX('1.산군_붙여넣기'!$A$1:$AZ$1001,ROW(),설정!$C$4)&amp;"",""))</f>
        <v/>
      </c>
      <c r="C342">
        <f>IF(설정!$C$5="","",IFERROR(INDEX('1.산군_붙여넣기'!$A$1:$AZ$1001,ROW(),설정!$C$5)&amp;"",""))</f>
        <v/>
      </c>
      <c r="D342" s="5">
        <f>IFERROR(VALUE(SUBSTITUTE(SUBSTITUTE(SUBSTITUTE(IF(설정!$C$6="","",IFERROR(INDEX('1.산군_붙여넣기'!$A$1:$AZ$1001,ROW(),설정!$C$6)&amp;"","")),",",""),"㎡",""),"m2","")),"")</f>
        <v/>
      </c>
      <c r="E342">
        <f>IF(설정!$C$7="","",IFERROR(INDEX('1.산군_붙여넣기'!$A$1:$AZ$1001,ROW(),설정!$C$7)&amp;"",""))</f>
        <v/>
      </c>
      <c r="F342">
        <f>IF(설정!$C$8="","",IFERROR(INDEX('1.산군_붙여넣기'!$A$1:$AZ$1001,ROW(),설정!$C$8)&amp;"",""))</f>
        <v/>
      </c>
      <c r="G342">
        <f>IF(설정!$C$9="","",IFERROR(INDEX('1.산군_붙여넣기'!$A$1:$AZ$1001,ROW(),설정!$C$9)&amp;"",""))</f>
        <v/>
      </c>
      <c r="H342">
        <f>IF(설정!$C$10="","",IFERROR(INDEX('1.산군_붙여넣기'!$A$1:$AZ$1001,ROW(),설정!$C$10)&amp;"",""))</f>
        <v/>
      </c>
      <c r="I342">
        <f>IF(설정!$C$11="","",IFERROR(INDEX('1.산군_붙여넣기'!$A$1:$AZ$1001,ROW(),설정!$C$11)&amp;"",""))</f>
        <v/>
      </c>
      <c r="J342">
        <f>IF(설정!$C$12="","",IFERROR(INDEX('1.산군_붙여넣기'!$A$1:$AZ$1001,ROW(),설정!$C$12)&amp;"",""))</f>
        <v/>
      </c>
      <c r="K342">
        <f>IF(설정!$C$13="","",IFERROR(INDEX('1.산군_붙여넣기'!$A$1:$AZ$1001,ROW(),설정!$C$13)&amp;"",""))</f>
        <v/>
      </c>
      <c r="L342" s="7">
        <f>IF(X342="","",IF(AND(LEN(X342)=8,ISNUMBER(X342*1)),DATE(LEFT(X342,4),MID(X342,5,2),RIGHT(X342,2)),IFERROR(DATEVALUE(SUBSTITUTE(SUBSTITUTE(X342,".","-"),"/","-")),IFERROR(X342*1,""))))</f>
        <v/>
      </c>
      <c r="M342" s="7">
        <f>IF(Y342="","",IF(AND(LEN(Y342)=8,ISNUMBER(Y342*1)),DATE(LEFT(Y342,4),MID(Y342,5,2),RIGHT(Y342,2)),IFERROR(DATEVALUE(SUBSTITUTE(SUBSTITUTE(Y342,".","-"),"/","-")),IFERROR(Y342*1,""))))</f>
        <v/>
      </c>
      <c r="N342">
        <f>IFERROR(LEFT(B342,FIND(" ",B342)-1),B342)</f>
        <v/>
      </c>
      <c r="O342">
        <f>AND(B342&lt;&gt;"",B342&lt;&gt;설정!$B$4,C342&lt;&gt;설정!$B$5)</f>
        <v/>
      </c>
      <c r="P342">
        <f>IF(O342,B342&amp;"|"&amp;C342,"")</f>
        <v/>
      </c>
      <c r="Q342">
        <f>AND(O342,COUNTIF(P343:P$1002,P342)=0)</f>
        <v/>
      </c>
      <c r="R342">
        <f>OR(AND(설정!$A$42&lt;&gt;"",ISNUMBER(SEARCH(설정!$A$42,E342&amp;" "&amp;C342))),AND(설정!$A$43&lt;&gt;"",ISNUMBER(SEARCH(설정!$A$43,E342&amp;" "&amp;C342))),AND(설정!$A$44&lt;&gt;"",ISNUMBER(SEARCH(설정!$A$44,E342&amp;" "&amp;C342))),AND(설정!$A$45&lt;&gt;"",ISNUMBER(SEARCH(설정!$A$45,E342&amp;" "&amp;C342))),AND(설정!$A$46&lt;&gt;"",ISNUMBER(SEARCH(설정!$A$46,E342&amp;" "&amp;C342))),AND(설정!$A$47&lt;&gt;"",ISNUMBER(SEARCH(설정!$A$47,E342&amp;" "&amp;C342))),AND(설정!$A$48&lt;&gt;"",ISNUMBER(SEARCH(설정!$A$48,E342&amp;" "&amp;C342))),AND(설정!$A$49&lt;&gt;"",ISNUMBER(SEARCH(설정!$A$49,E342&amp;" "&amp;C342))),AND(설정!$A$50&lt;&gt;"",ISNUMBER(SEARCH(설정!$A$50,E342&amp;" "&amp;C342))),AND(설정!$A$51&lt;&gt;"",ISNUMBER(SEARCH(설정!$A$51,E342&amp;" "&amp;C342))))</f>
        <v/>
      </c>
      <c r="S342">
        <f>OR(D342="",D342&gt;=설정!$B$19)</f>
        <v/>
      </c>
      <c r="T342">
        <f>AND(Q342,R342,S342)</f>
        <v/>
      </c>
      <c r="U342">
        <f>IF(T342,IF(AND(설정!$A$54&lt;&gt;"",ISNUMBER(SEARCH(설정!$A$54,K342))),설정!$B$54,IF(AND(설정!$A$55&lt;&gt;"",ISNUMBER(SEARCH(설정!$A$55,K342))),설정!$B$55,IF(AND(설정!$A$56&lt;&gt;"",ISNUMBER(SEARCH(설정!$A$56,K342))),설정!$B$56,IF(AND(설정!$A$57&lt;&gt;"",ISNUMBER(SEARCH(설정!$A$57,K342))),설정!$B$57,IF(AND(설정!$A$58&lt;&gt;"",ISNUMBER(SEARCH(설정!$A$58,K342))),설정!$B$58,IF(AND(설정!$A$59&lt;&gt;"",ISNUMBER(SEARCH(설정!$A$59,K342))),설정!$B$59,IF(AND(설정!$A$60&lt;&gt;"",ISNUMBER(SEARCH(설정!$A$60,K342))),설정!$B$60,IF(AND(설정!$A$61&lt;&gt;"",ISNUMBER(SEARCH(설정!$A$61,K342))),설정!$B$61,IF(M342="","설계사","시공사"))))))))),"")</f>
        <v/>
      </c>
      <c r="V342">
        <f>SUBSTITUTE(SUBSTITUTE(SUBSTITUTE(SUBSTITUTE(G342,"(주)",""),"㈜",""),"주식회사","")," ","")</f>
        <v/>
      </c>
      <c r="W342">
        <f>IF(AND(T342,V342&lt;&gt;""),IF(COUNTIFS(V$2:V342,V342,T$2:T342,TRUE)=1,MAX(W$1:W341)+1,""),"")</f>
        <v/>
      </c>
      <c r="X342">
        <f>IF(설정!$C$14="","",IFERROR(INDEX('1.산군_붙여넣기'!$A$1:$AZ$1001,ROW(),설정!$C$14)&amp;"",""))</f>
        <v/>
      </c>
      <c r="Y342">
        <f>IF(설정!$C$15="","",IFERROR(INDEX('1.산군_붙여넣기'!$A$1:$AZ$1001,ROW(),설정!$C$15)&amp;"",""))</f>
        <v/>
      </c>
      <c r="Z342">
        <f>IF(T342,V342&amp;"|"&amp;U342,"")</f>
        <v/>
      </c>
      <c r="AA342">
        <f>IF(NOT(Q342),"",IF(NOT(AND(R342,S342)),"✕",IF(OR(OR(AND(L342&lt;&gt;"",M342&lt;&gt;"",N(M342)-N(L342)&gt;설정!$B$27),AND(L342&lt;&gt;"",M342="",설정!$B$24-N(L342)&gt;설정!$B$27)),AND(D342&lt;&gt;"",D342&lt;설정!$B$26)),"△","★")))</f>
        <v/>
      </c>
      <c r="AB342">
        <f>IF(NOT(T342),"",IF(U342="설계사",설정!$B$31,IF(U342="시공사",IF(OR(M342="",설정!$B$24-N(M342)&lt;=설정!$B$28*30.4),설정!$B$32,설정!$B$33),설정!$B$34))+IF(AA342="★",설정!$B$35,0))</f>
        <v/>
      </c>
      <c r="AC342">
        <f>SUBSTITUTE(SUBSTITUTE(SUBSTITUTE(SUBSTITUTE(H342,"(주)",""),"㈜",""),"주식회사","")," ","")</f>
        <v/>
      </c>
      <c r="AD342">
        <f>IF(AND(T342,AC342&lt;&gt;""),IF(COUNTIFS(AC$2:AC342,AC342,T$2:T342,TRUE)=1,MAX(AD$1:AD341)+1,""),"")</f>
        <v/>
      </c>
    </row>
    <row r="343">
      <c r="A343">
        <f>ROW()</f>
        <v/>
      </c>
      <c r="B343">
        <f>IF(설정!$C$4="","",IFERROR(INDEX('1.산군_붙여넣기'!$A$1:$AZ$1001,ROW(),설정!$C$4)&amp;"",""))</f>
        <v/>
      </c>
      <c r="C343">
        <f>IF(설정!$C$5="","",IFERROR(INDEX('1.산군_붙여넣기'!$A$1:$AZ$1001,ROW(),설정!$C$5)&amp;"",""))</f>
        <v/>
      </c>
      <c r="D343" s="5">
        <f>IFERROR(VALUE(SUBSTITUTE(SUBSTITUTE(SUBSTITUTE(IF(설정!$C$6="","",IFERROR(INDEX('1.산군_붙여넣기'!$A$1:$AZ$1001,ROW(),설정!$C$6)&amp;"","")),",",""),"㎡",""),"m2","")),"")</f>
        <v/>
      </c>
      <c r="E343">
        <f>IF(설정!$C$7="","",IFERROR(INDEX('1.산군_붙여넣기'!$A$1:$AZ$1001,ROW(),설정!$C$7)&amp;"",""))</f>
        <v/>
      </c>
      <c r="F343">
        <f>IF(설정!$C$8="","",IFERROR(INDEX('1.산군_붙여넣기'!$A$1:$AZ$1001,ROW(),설정!$C$8)&amp;"",""))</f>
        <v/>
      </c>
      <c r="G343">
        <f>IF(설정!$C$9="","",IFERROR(INDEX('1.산군_붙여넣기'!$A$1:$AZ$1001,ROW(),설정!$C$9)&amp;"",""))</f>
        <v/>
      </c>
      <c r="H343">
        <f>IF(설정!$C$10="","",IFERROR(INDEX('1.산군_붙여넣기'!$A$1:$AZ$1001,ROW(),설정!$C$10)&amp;"",""))</f>
        <v/>
      </c>
      <c r="I343">
        <f>IF(설정!$C$11="","",IFERROR(INDEX('1.산군_붙여넣기'!$A$1:$AZ$1001,ROW(),설정!$C$11)&amp;"",""))</f>
        <v/>
      </c>
      <c r="J343">
        <f>IF(설정!$C$12="","",IFERROR(INDEX('1.산군_붙여넣기'!$A$1:$AZ$1001,ROW(),설정!$C$12)&amp;"",""))</f>
        <v/>
      </c>
      <c r="K343">
        <f>IF(설정!$C$13="","",IFERROR(INDEX('1.산군_붙여넣기'!$A$1:$AZ$1001,ROW(),설정!$C$13)&amp;"",""))</f>
        <v/>
      </c>
      <c r="L343" s="7">
        <f>IF(X343="","",IF(AND(LEN(X343)=8,ISNUMBER(X343*1)),DATE(LEFT(X343,4),MID(X343,5,2),RIGHT(X343,2)),IFERROR(DATEVALUE(SUBSTITUTE(SUBSTITUTE(X343,".","-"),"/","-")),IFERROR(X343*1,""))))</f>
        <v/>
      </c>
      <c r="M343" s="7">
        <f>IF(Y343="","",IF(AND(LEN(Y343)=8,ISNUMBER(Y343*1)),DATE(LEFT(Y343,4),MID(Y343,5,2),RIGHT(Y343,2)),IFERROR(DATEVALUE(SUBSTITUTE(SUBSTITUTE(Y343,".","-"),"/","-")),IFERROR(Y343*1,""))))</f>
        <v/>
      </c>
      <c r="N343">
        <f>IFERROR(LEFT(B343,FIND(" ",B343)-1),B343)</f>
        <v/>
      </c>
      <c r="O343">
        <f>AND(B343&lt;&gt;"",B343&lt;&gt;설정!$B$4,C343&lt;&gt;설정!$B$5)</f>
        <v/>
      </c>
      <c r="P343">
        <f>IF(O343,B343&amp;"|"&amp;C343,"")</f>
        <v/>
      </c>
      <c r="Q343">
        <f>AND(O343,COUNTIF(P344:P$1002,P343)=0)</f>
        <v/>
      </c>
      <c r="R343">
        <f>OR(AND(설정!$A$42&lt;&gt;"",ISNUMBER(SEARCH(설정!$A$42,E343&amp;" "&amp;C343))),AND(설정!$A$43&lt;&gt;"",ISNUMBER(SEARCH(설정!$A$43,E343&amp;" "&amp;C343))),AND(설정!$A$44&lt;&gt;"",ISNUMBER(SEARCH(설정!$A$44,E343&amp;" "&amp;C343))),AND(설정!$A$45&lt;&gt;"",ISNUMBER(SEARCH(설정!$A$45,E343&amp;" "&amp;C343))),AND(설정!$A$46&lt;&gt;"",ISNUMBER(SEARCH(설정!$A$46,E343&amp;" "&amp;C343))),AND(설정!$A$47&lt;&gt;"",ISNUMBER(SEARCH(설정!$A$47,E343&amp;" "&amp;C343))),AND(설정!$A$48&lt;&gt;"",ISNUMBER(SEARCH(설정!$A$48,E343&amp;" "&amp;C343))),AND(설정!$A$49&lt;&gt;"",ISNUMBER(SEARCH(설정!$A$49,E343&amp;" "&amp;C343))),AND(설정!$A$50&lt;&gt;"",ISNUMBER(SEARCH(설정!$A$50,E343&amp;" "&amp;C343))),AND(설정!$A$51&lt;&gt;"",ISNUMBER(SEARCH(설정!$A$51,E343&amp;" "&amp;C343))))</f>
        <v/>
      </c>
      <c r="S343">
        <f>OR(D343="",D343&gt;=설정!$B$19)</f>
        <v/>
      </c>
      <c r="T343">
        <f>AND(Q343,R343,S343)</f>
        <v/>
      </c>
      <c r="U343">
        <f>IF(T343,IF(AND(설정!$A$54&lt;&gt;"",ISNUMBER(SEARCH(설정!$A$54,K343))),설정!$B$54,IF(AND(설정!$A$55&lt;&gt;"",ISNUMBER(SEARCH(설정!$A$55,K343))),설정!$B$55,IF(AND(설정!$A$56&lt;&gt;"",ISNUMBER(SEARCH(설정!$A$56,K343))),설정!$B$56,IF(AND(설정!$A$57&lt;&gt;"",ISNUMBER(SEARCH(설정!$A$57,K343))),설정!$B$57,IF(AND(설정!$A$58&lt;&gt;"",ISNUMBER(SEARCH(설정!$A$58,K343))),설정!$B$58,IF(AND(설정!$A$59&lt;&gt;"",ISNUMBER(SEARCH(설정!$A$59,K343))),설정!$B$59,IF(AND(설정!$A$60&lt;&gt;"",ISNUMBER(SEARCH(설정!$A$60,K343))),설정!$B$60,IF(AND(설정!$A$61&lt;&gt;"",ISNUMBER(SEARCH(설정!$A$61,K343))),설정!$B$61,IF(M343="","설계사","시공사"))))))))),"")</f>
        <v/>
      </c>
      <c r="V343">
        <f>SUBSTITUTE(SUBSTITUTE(SUBSTITUTE(SUBSTITUTE(G343,"(주)",""),"㈜",""),"주식회사","")," ","")</f>
        <v/>
      </c>
      <c r="W343">
        <f>IF(AND(T343,V343&lt;&gt;""),IF(COUNTIFS(V$2:V343,V343,T$2:T343,TRUE)=1,MAX(W$1:W342)+1,""),"")</f>
        <v/>
      </c>
      <c r="X343">
        <f>IF(설정!$C$14="","",IFERROR(INDEX('1.산군_붙여넣기'!$A$1:$AZ$1001,ROW(),설정!$C$14)&amp;"",""))</f>
        <v/>
      </c>
      <c r="Y343">
        <f>IF(설정!$C$15="","",IFERROR(INDEX('1.산군_붙여넣기'!$A$1:$AZ$1001,ROW(),설정!$C$15)&amp;"",""))</f>
        <v/>
      </c>
      <c r="Z343">
        <f>IF(T343,V343&amp;"|"&amp;U343,"")</f>
        <v/>
      </c>
      <c r="AA343">
        <f>IF(NOT(Q343),"",IF(NOT(AND(R343,S343)),"✕",IF(OR(OR(AND(L343&lt;&gt;"",M343&lt;&gt;"",N(M343)-N(L343)&gt;설정!$B$27),AND(L343&lt;&gt;"",M343="",설정!$B$24-N(L343)&gt;설정!$B$27)),AND(D343&lt;&gt;"",D343&lt;설정!$B$26)),"△","★")))</f>
        <v/>
      </c>
      <c r="AB343">
        <f>IF(NOT(T343),"",IF(U343="설계사",설정!$B$31,IF(U343="시공사",IF(OR(M343="",설정!$B$24-N(M343)&lt;=설정!$B$28*30.4),설정!$B$32,설정!$B$33),설정!$B$34))+IF(AA343="★",설정!$B$35,0))</f>
        <v/>
      </c>
      <c r="AC343">
        <f>SUBSTITUTE(SUBSTITUTE(SUBSTITUTE(SUBSTITUTE(H343,"(주)",""),"㈜",""),"주식회사","")," ","")</f>
        <v/>
      </c>
      <c r="AD343">
        <f>IF(AND(T343,AC343&lt;&gt;""),IF(COUNTIFS(AC$2:AC343,AC343,T$2:T343,TRUE)=1,MAX(AD$1:AD342)+1,""),"")</f>
        <v/>
      </c>
    </row>
    <row r="344">
      <c r="A344">
        <f>ROW()</f>
        <v/>
      </c>
      <c r="B344">
        <f>IF(설정!$C$4="","",IFERROR(INDEX('1.산군_붙여넣기'!$A$1:$AZ$1001,ROW(),설정!$C$4)&amp;"",""))</f>
        <v/>
      </c>
      <c r="C344">
        <f>IF(설정!$C$5="","",IFERROR(INDEX('1.산군_붙여넣기'!$A$1:$AZ$1001,ROW(),설정!$C$5)&amp;"",""))</f>
        <v/>
      </c>
      <c r="D344" s="5">
        <f>IFERROR(VALUE(SUBSTITUTE(SUBSTITUTE(SUBSTITUTE(IF(설정!$C$6="","",IFERROR(INDEX('1.산군_붙여넣기'!$A$1:$AZ$1001,ROW(),설정!$C$6)&amp;"","")),",",""),"㎡",""),"m2","")),"")</f>
        <v/>
      </c>
      <c r="E344">
        <f>IF(설정!$C$7="","",IFERROR(INDEX('1.산군_붙여넣기'!$A$1:$AZ$1001,ROW(),설정!$C$7)&amp;"",""))</f>
        <v/>
      </c>
      <c r="F344">
        <f>IF(설정!$C$8="","",IFERROR(INDEX('1.산군_붙여넣기'!$A$1:$AZ$1001,ROW(),설정!$C$8)&amp;"",""))</f>
        <v/>
      </c>
      <c r="G344">
        <f>IF(설정!$C$9="","",IFERROR(INDEX('1.산군_붙여넣기'!$A$1:$AZ$1001,ROW(),설정!$C$9)&amp;"",""))</f>
        <v/>
      </c>
      <c r="H344">
        <f>IF(설정!$C$10="","",IFERROR(INDEX('1.산군_붙여넣기'!$A$1:$AZ$1001,ROW(),설정!$C$10)&amp;"",""))</f>
        <v/>
      </c>
      <c r="I344">
        <f>IF(설정!$C$11="","",IFERROR(INDEX('1.산군_붙여넣기'!$A$1:$AZ$1001,ROW(),설정!$C$11)&amp;"",""))</f>
        <v/>
      </c>
      <c r="J344">
        <f>IF(설정!$C$12="","",IFERROR(INDEX('1.산군_붙여넣기'!$A$1:$AZ$1001,ROW(),설정!$C$12)&amp;"",""))</f>
        <v/>
      </c>
      <c r="K344">
        <f>IF(설정!$C$13="","",IFERROR(INDEX('1.산군_붙여넣기'!$A$1:$AZ$1001,ROW(),설정!$C$13)&amp;"",""))</f>
        <v/>
      </c>
      <c r="L344" s="7">
        <f>IF(X344="","",IF(AND(LEN(X344)=8,ISNUMBER(X344*1)),DATE(LEFT(X344,4),MID(X344,5,2),RIGHT(X344,2)),IFERROR(DATEVALUE(SUBSTITUTE(SUBSTITUTE(X344,".","-"),"/","-")),IFERROR(X344*1,""))))</f>
        <v/>
      </c>
      <c r="M344" s="7">
        <f>IF(Y344="","",IF(AND(LEN(Y344)=8,ISNUMBER(Y344*1)),DATE(LEFT(Y344,4),MID(Y344,5,2),RIGHT(Y344,2)),IFERROR(DATEVALUE(SUBSTITUTE(SUBSTITUTE(Y344,".","-"),"/","-")),IFERROR(Y344*1,""))))</f>
        <v/>
      </c>
      <c r="N344">
        <f>IFERROR(LEFT(B344,FIND(" ",B344)-1),B344)</f>
        <v/>
      </c>
      <c r="O344">
        <f>AND(B344&lt;&gt;"",B344&lt;&gt;설정!$B$4,C344&lt;&gt;설정!$B$5)</f>
        <v/>
      </c>
      <c r="P344">
        <f>IF(O344,B344&amp;"|"&amp;C344,"")</f>
        <v/>
      </c>
      <c r="Q344">
        <f>AND(O344,COUNTIF(P345:P$1002,P344)=0)</f>
        <v/>
      </c>
      <c r="R344">
        <f>OR(AND(설정!$A$42&lt;&gt;"",ISNUMBER(SEARCH(설정!$A$42,E344&amp;" "&amp;C344))),AND(설정!$A$43&lt;&gt;"",ISNUMBER(SEARCH(설정!$A$43,E344&amp;" "&amp;C344))),AND(설정!$A$44&lt;&gt;"",ISNUMBER(SEARCH(설정!$A$44,E344&amp;" "&amp;C344))),AND(설정!$A$45&lt;&gt;"",ISNUMBER(SEARCH(설정!$A$45,E344&amp;" "&amp;C344))),AND(설정!$A$46&lt;&gt;"",ISNUMBER(SEARCH(설정!$A$46,E344&amp;" "&amp;C344))),AND(설정!$A$47&lt;&gt;"",ISNUMBER(SEARCH(설정!$A$47,E344&amp;" "&amp;C344))),AND(설정!$A$48&lt;&gt;"",ISNUMBER(SEARCH(설정!$A$48,E344&amp;" "&amp;C344))),AND(설정!$A$49&lt;&gt;"",ISNUMBER(SEARCH(설정!$A$49,E344&amp;" "&amp;C344))),AND(설정!$A$50&lt;&gt;"",ISNUMBER(SEARCH(설정!$A$50,E344&amp;" "&amp;C344))),AND(설정!$A$51&lt;&gt;"",ISNUMBER(SEARCH(설정!$A$51,E344&amp;" "&amp;C344))))</f>
        <v/>
      </c>
      <c r="S344">
        <f>OR(D344="",D344&gt;=설정!$B$19)</f>
        <v/>
      </c>
      <c r="T344">
        <f>AND(Q344,R344,S344)</f>
        <v/>
      </c>
      <c r="U344">
        <f>IF(T344,IF(AND(설정!$A$54&lt;&gt;"",ISNUMBER(SEARCH(설정!$A$54,K344))),설정!$B$54,IF(AND(설정!$A$55&lt;&gt;"",ISNUMBER(SEARCH(설정!$A$55,K344))),설정!$B$55,IF(AND(설정!$A$56&lt;&gt;"",ISNUMBER(SEARCH(설정!$A$56,K344))),설정!$B$56,IF(AND(설정!$A$57&lt;&gt;"",ISNUMBER(SEARCH(설정!$A$57,K344))),설정!$B$57,IF(AND(설정!$A$58&lt;&gt;"",ISNUMBER(SEARCH(설정!$A$58,K344))),설정!$B$58,IF(AND(설정!$A$59&lt;&gt;"",ISNUMBER(SEARCH(설정!$A$59,K344))),설정!$B$59,IF(AND(설정!$A$60&lt;&gt;"",ISNUMBER(SEARCH(설정!$A$60,K344))),설정!$B$60,IF(AND(설정!$A$61&lt;&gt;"",ISNUMBER(SEARCH(설정!$A$61,K344))),설정!$B$61,IF(M344="","설계사","시공사"))))))))),"")</f>
        <v/>
      </c>
      <c r="V344">
        <f>SUBSTITUTE(SUBSTITUTE(SUBSTITUTE(SUBSTITUTE(G344,"(주)",""),"㈜",""),"주식회사","")," ","")</f>
        <v/>
      </c>
      <c r="W344">
        <f>IF(AND(T344,V344&lt;&gt;""),IF(COUNTIFS(V$2:V344,V344,T$2:T344,TRUE)=1,MAX(W$1:W343)+1,""),"")</f>
        <v/>
      </c>
      <c r="X344">
        <f>IF(설정!$C$14="","",IFERROR(INDEX('1.산군_붙여넣기'!$A$1:$AZ$1001,ROW(),설정!$C$14)&amp;"",""))</f>
        <v/>
      </c>
      <c r="Y344">
        <f>IF(설정!$C$15="","",IFERROR(INDEX('1.산군_붙여넣기'!$A$1:$AZ$1001,ROW(),설정!$C$15)&amp;"",""))</f>
        <v/>
      </c>
      <c r="Z344">
        <f>IF(T344,V344&amp;"|"&amp;U344,"")</f>
        <v/>
      </c>
      <c r="AA344">
        <f>IF(NOT(Q344),"",IF(NOT(AND(R344,S344)),"✕",IF(OR(OR(AND(L344&lt;&gt;"",M344&lt;&gt;"",N(M344)-N(L344)&gt;설정!$B$27),AND(L344&lt;&gt;"",M344="",설정!$B$24-N(L344)&gt;설정!$B$27)),AND(D344&lt;&gt;"",D344&lt;설정!$B$26)),"△","★")))</f>
        <v/>
      </c>
      <c r="AB344">
        <f>IF(NOT(T344),"",IF(U344="설계사",설정!$B$31,IF(U344="시공사",IF(OR(M344="",설정!$B$24-N(M344)&lt;=설정!$B$28*30.4),설정!$B$32,설정!$B$33),설정!$B$34))+IF(AA344="★",설정!$B$35,0))</f>
        <v/>
      </c>
      <c r="AC344">
        <f>SUBSTITUTE(SUBSTITUTE(SUBSTITUTE(SUBSTITUTE(H344,"(주)",""),"㈜",""),"주식회사","")," ","")</f>
        <v/>
      </c>
      <c r="AD344">
        <f>IF(AND(T344,AC344&lt;&gt;""),IF(COUNTIFS(AC$2:AC344,AC344,T$2:T344,TRUE)=1,MAX(AD$1:AD343)+1,""),"")</f>
        <v/>
      </c>
    </row>
    <row r="345">
      <c r="A345">
        <f>ROW()</f>
        <v/>
      </c>
      <c r="B345">
        <f>IF(설정!$C$4="","",IFERROR(INDEX('1.산군_붙여넣기'!$A$1:$AZ$1001,ROW(),설정!$C$4)&amp;"",""))</f>
        <v/>
      </c>
      <c r="C345">
        <f>IF(설정!$C$5="","",IFERROR(INDEX('1.산군_붙여넣기'!$A$1:$AZ$1001,ROW(),설정!$C$5)&amp;"",""))</f>
        <v/>
      </c>
      <c r="D345" s="5">
        <f>IFERROR(VALUE(SUBSTITUTE(SUBSTITUTE(SUBSTITUTE(IF(설정!$C$6="","",IFERROR(INDEX('1.산군_붙여넣기'!$A$1:$AZ$1001,ROW(),설정!$C$6)&amp;"","")),",",""),"㎡",""),"m2","")),"")</f>
        <v/>
      </c>
      <c r="E345">
        <f>IF(설정!$C$7="","",IFERROR(INDEX('1.산군_붙여넣기'!$A$1:$AZ$1001,ROW(),설정!$C$7)&amp;"",""))</f>
        <v/>
      </c>
      <c r="F345">
        <f>IF(설정!$C$8="","",IFERROR(INDEX('1.산군_붙여넣기'!$A$1:$AZ$1001,ROW(),설정!$C$8)&amp;"",""))</f>
        <v/>
      </c>
      <c r="G345">
        <f>IF(설정!$C$9="","",IFERROR(INDEX('1.산군_붙여넣기'!$A$1:$AZ$1001,ROW(),설정!$C$9)&amp;"",""))</f>
        <v/>
      </c>
      <c r="H345">
        <f>IF(설정!$C$10="","",IFERROR(INDEX('1.산군_붙여넣기'!$A$1:$AZ$1001,ROW(),설정!$C$10)&amp;"",""))</f>
        <v/>
      </c>
      <c r="I345">
        <f>IF(설정!$C$11="","",IFERROR(INDEX('1.산군_붙여넣기'!$A$1:$AZ$1001,ROW(),설정!$C$11)&amp;"",""))</f>
        <v/>
      </c>
      <c r="J345">
        <f>IF(설정!$C$12="","",IFERROR(INDEX('1.산군_붙여넣기'!$A$1:$AZ$1001,ROW(),설정!$C$12)&amp;"",""))</f>
        <v/>
      </c>
      <c r="K345">
        <f>IF(설정!$C$13="","",IFERROR(INDEX('1.산군_붙여넣기'!$A$1:$AZ$1001,ROW(),설정!$C$13)&amp;"",""))</f>
        <v/>
      </c>
      <c r="L345" s="7">
        <f>IF(X345="","",IF(AND(LEN(X345)=8,ISNUMBER(X345*1)),DATE(LEFT(X345,4),MID(X345,5,2),RIGHT(X345,2)),IFERROR(DATEVALUE(SUBSTITUTE(SUBSTITUTE(X345,".","-"),"/","-")),IFERROR(X345*1,""))))</f>
        <v/>
      </c>
      <c r="M345" s="7">
        <f>IF(Y345="","",IF(AND(LEN(Y345)=8,ISNUMBER(Y345*1)),DATE(LEFT(Y345,4),MID(Y345,5,2),RIGHT(Y345,2)),IFERROR(DATEVALUE(SUBSTITUTE(SUBSTITUTE(Y345,".","-"),"/","-")),IFERROR(Y345*1,""))))</f>
        <v/>
      </c>
      <c r="N345">
        <f>IFERROR(LEFT(B345,FIND(" ",B345)-1),B345)</f>
        <v/>
      </c>
      <c r="O345">
        <f>AND(B345&lt;&gt;"",B345&lt;&gt;설정!$B$4,C345&lt;&gt;설정!$B$5)</f>
        <v/>
      </c>
      <c r="P345">
        <f>IF(O345,B345&amp;"|"&amp;C345,"")</f>
        <v/>
      </c>
      <c r="Q345">
        <f>AND(O345,COUNTIF(P346:P$1002,P345)=0)</f>
        <v/>
      </c>
      <c r="R345">
        <f>OR(AND(설정!$A$42&lt;&gt;"",ISNUMBER(SEARCH(설정!$A$42,E345&amp;" "&amp;C345))),AND(설정!$A$43&lt;&gt;"",ISNUMBER(SEARCH(설정!$A$43,E345&amp;" "&amp;C345))),AND(설정!$A$44&lt;&gt;"",ISNUMBER(SEARCH(설정!$A$44,E345&amp;" "&amp;C345))),AND(설정!$A$45&lt;&gt;"",ISNUMBER(SEARCH(설정!$A$45,E345&amp;" "&amp;C345))),AND(설정!$A$46&lt;&gt;"",ISNUMBER(SEARCH(설정!$A$46,E345&amp;" "&amp;C345))),AND(설정!$A$47&lt;&gt;"",ISNUMBER(SEARCH(설정!$A$47,E345&amp;" "&amp;C345))),AND(설정!$A$48&lt;&gt;"",ISNUMBER(SEARCH(설정!$A$48,E345&amp;" "&amp;C345))),AND(설정!$A$49&lt;&gt;"",ISNUMBER(SEARCH(설정!$A$49,E345&amp;" "&amp;C345))),AND(설정!$A$50&lt;&gt;"",ISNUMBER(SEARCH(설정!$A$50,E345&amp;" "&amp;C345))),AND(설정!$A$51&lt;&gt;"",ISNUMBER(SEARCH(설정!$A$51,E345&amp;" "&amp;C345))))</f>
        <v/>
      </c>
      <c r="S345">
        <f>OR(D345="",D345&gt;=설정!$B$19)</f>
        <v/>
      </c>
      <c r="T345">
        <f>AND(Q345,R345,S345)</f>
        <v/>
      </c>
      <c r="U345">
        <f>IF(T345,IF(AND(설정!$A$54&lt;&gt;"",ISNUMBER(SEARCH(설정!$A$54,K345))),설정!$B$54,IF(AND(설정!$A$55&lt;&gt;"",ISNUMBER(SEARCH(설정!$A$55,K345))),설정!$B$55,IF(AND(설정!$A$56&lt;&gt;"",ISNUMBER(SEARCH(설정!$A$56,K345))),설정!$B$56,IF(AND(설정!$A$57&lt;&gt;"",ISNUMBER(SEARCH(설정!$A$57,K345))),설정!$B$57,IF(AND(설정!$A$58&lt;&gt;"",ISNUMBER(SEARCH(설정!$A$58,K345))),설정!$B$58,IF(AND(설정!$A$59&lt;&gt;"",ISNUMBER(SEARCH(설정!$A$59,K345))),설정!$B$59,IF(AND(설정!$A$60&lt;&gt;"",ISNUMBER(SEARCH(설정!$A$60,K345))),설정!$B$60,IF(AND(설정!$A$61&lt;&gt;"",ISNUMBER(SEARCH(설정!$A$61,K345))),설정!$B$61,IF(M345="","설계사","시공사"))))))))),"")</f>
        <v/>
      </c>
      <c r="V345">
        <f>SUBSTITUTE(SUBSTITUTE(SUBSTITUTE(SUBSTITUTE(G345,"(주)",""),"㈜",""),"주식회사","")," ","")</f>
        <v/>
      </c>
      <c r="W345">
        <f>IF(AND(T345,V345&lt;&gt;""),IF(COUNTIFS(V$2:V345,V345,T$2:T345,TRUE)=1,MAX(W$1:W344)+1,""),"")</f>
        <v/>
      </c>
      <c r="X345">
        <f>IF(설정!$C$14="","",IFERROR(INDEX('1.산군_붙여넣기'!$A$1:$AZ$1001,ROW(),설정!$C$14)&amp;"",""))</f>
        <v/>
      </c>
      <c r="Y345">
        <f>IF(설정!$C$15="","",IFERROR(INDEX('1.산군_붙여넣기'!$A$1:$AZ$1001,ROW(),설정!$C$15)&amp;"",""))</f>
        <v/>
      </c>
      <c r="Z345">
        <f>IF(T345,V345&amp;"|"&amp;U345,"")</f>
        <v/>
      </c>
      <c r="AA345">
        <f>IF(NOT(Q345),"",IF(NOT(AND(R345,S345)),"✕",IF(OR(OR(AND(L345&lt;&gt;"",M345&lt;&gt;"",N(M345)-N(L345)&gt;설정!$B$27),AND(L345&lt;&gt;"",M345="",설정!$B$24-N(L345)&gt;설정!$B$27)),AND(D345&lt;&gt;"",D345&lt;설정!$B$26)),"△","★")))</f>
        <v/>
      </c>
      <c r="AB345">
        <f>IF(NOT(T345),"",IF(U345="설계사",설정!$B$31,IF(U345="시공사",IF(OR(M345="",설정!$B$24-N(M345)&lt;=설정!$B$28*30.4),설정!$B$32,설정!$B$33),설정!$B$34))+IF(AA345="★",설정!$B$35,0))</f>
        <v/>
      </c>
      <c r="AC345">
        <f>SUBSTITUTE(SUBSTITUTE(SUBSTITUTE(SUBSTITUTE(H345,"(주)",""),"㈜",""),"주식회사","")," ","")</f>
        <v/>
      </c>
      <c r="AD345">
        <f>IF(AND(T345,AC345&lt;&gt;""),IF(COUNTIFS(AC$2:AC345,AC345,T$2:T345,TRUE)=1,MAX(AD$1:AD344)+1,""),"")</f>
        <v/>
      </c>
    </row>
    <row r="346">
      <c r="A346">
        <f>ROW()</f>
        <v/>
      </c>
      <c r="B346">
        <f>IF(설정!$C$4="","",IFERROR(INDEX('1.산군_붙여넣기'!$A$1:$AZ$1001,ROW(),설정!$C$4)&amp;"",""))</f>
        <v/>
      </c>
      <c r="C346">
        <f>IF(설정!$C$5="","",IFERROR(INDEX('1.산군_붙여넣기'!$A$1:$AZ$1001,ROW(),설정!$C$5)&amp;"",""))</f>
        <v/>
      </c>
      <c r="D346" s="5">
        <f>IFERROR(VALUE(SUBSTITUTE(SUBSTITUTE(SUBSTITUTE(IF(설정!$C$6="","",IFERROR(INDEX('1.산군_붙여넣기'!$A$1:$AZ$1001,ROW(),설정!$C$6)&amp;"","")),",",""),"㎡",""),"m2","")),"")</f>
        <v/>
      </c>
      <c r="E346">
        <f>IF(설정!$C$7="","",IFERROR(INDEX('1.산군_붙여넣기'!$A$1:$AZ$1001,ROW(),설정!$C$7)&amp;"",""))</f>
        <v/>
      </c>
      <c r="F346">
        <f>IF(설정!$C$8="","",IFERROR(INDEX('1.산군_붙여넣기'!$A$1:$AZ$1001,ROW(),설정!$C$8)&amp;"",""))</f>
        <v/>
      </c>
      <c r="G346">
        <f>IF(설정!$C$9="","",IFERROR(INDEX('1.산군_붙여넣기'!$A$1:$AZ$1001,ROW(),설정!$C$9)&amp;"",""))</f>
        <v/>
      </c>
      <c r="H346">
        <f>IF(설정!$C$10="","",IFERROR(INDEX('1.산군_붙여넣기'!$A$1:$AZ$1001,ROW(),설정!$C$10)&amp;"",""))</f>
        <v/>
      </c>
      <c r="I346">
        <f>IF(설정!$C$11="","",IFERROR(INDEX('1.산군_붙여넣기'!$A$1:$AZ$1001,ROW(),설정!$C$11)&amp;"",""))</f>
        <v/>
      </c>
      <c r="J346">
        <f>IF(설정!$C$12="","",IFERROR(INDEX('1.산군_붙여넣기'!$A$1:$AZ$1001,ROW(),설정!$C$12)&amp;"",""))</f>
        <v/>
      </c>
      <c r="K346">
        <f>IF(설정!$C$13="","",IFERROR(INDEX('1.산군_붙여넣기'!$A$1:$AZ$1001,ROW(),설정!$C$13)&amp;"",""))</f>
        <v/>
      </c>
      <c r="L346" s="7">
        <f>IF(X346="","",IF(AND(LEN(X346)=8,ISNUMBER(X346*1)),DATE(LEFT(X346,4),MID(X346,5,2),RIGHT(X346,2)),IFERROR(DATEVALUE(SUBSTITUTE(SUBSTITUTE(X346,".","-"),"/","-")),IFERROR(X346*1,""))))</f>
        <v/>
      </c>
      <c r="M346" s="7">
        <f>IF(Y346="","",IF(AND(LEN(Y346)=8,ISNUMBER(Y346*1)),DATE(LEFT(Y346,4),MID(Y346,5,2),RIGHT(Y346,2)),IFERROR(DATEVALUE(SUBSTITUTE(SUBSTITUTE(Y346,".","-"),"/","-")),IFERROR(Y346*1,""))))</f>
        <v/>
      </c>
      <c r="N346">
        <f>IFERROR(LEFT(B346,FIND(" ",B346)-1),B346)</f>
        <v/>
      </c>
      <c r="O346">
        <f>AND(B346&lt;&gt;"",B346&lt;&gt;설정!$B$4,C346&lt;&gt;설정!$B$5)</f>
        <v/>
      </c>
      <c r="P346">
        <f>IF(O346,B346&amp;"|"&amp;C346,"")</f>
        <v/>
      </c>
      <c r="Q346">
        <f>AND(O346,COUNTIF(P347:P$1002,P346)=0)</f>
        <v/>
      </c>
      <c r="R346">
        <f>OR(AND(설정!$A$42&lt;&gt;"",ISNUMBER(SEARCH(설정!$A$42,E346&amp;" "&amp;C346))),AND(설정!$A$43&lt;&gt;"",ISNUMBER(SEARCH(설정!$A$43,E346&amp;" "&amp;C346))),AND(설정!$A$44&lt;&gt;"",ISNUMBER(SEARCH(설정!$A$44,E346&amp;" "&amp;C346))),AND(설정!$A$45&lt;&gt;"",ISNUMBER(SEARCH(설정!$A$45,E346&amp;" "&amp;C346))),AND(설정!$A$46&lt;&gt;"",ISNUMBER(SEARCH(설정!$A$46,E346&amp;" "&amp;C346))),AND(설정!$A$47&lt;&gt;"",ISNUMBER(SEARCH(설정!$A$47,E346&amp;" "&amp;C346))),AND(설정!$A$48&lt;&gt;"",ISNUMBER(SEARCH(설정!$A$48,E346&amp;" "&amp;C346))),AND(설정!$A$49&lt;&gt;"",ISNUMBER(SEARCH(설정!$A$49,E346&amp;" "&amp;C346))),AND(설정!$A$50&lt;&gt;"",ISNUMBER(SEARCH(설정!$A$50,E346&amp;" "&amp;C346))),AND(설정!$A$51&lt;&gt;"",ISNUMBER(SEARCH(설정!$A$51,E346&amp;" "&amp;C346))))</f>
        <v/>
      </c>
      <c r="S346">
        <f>OR(D346="",D346&gt;=설정!$B$19)</f>
        <v/>
      </c>
      <c r="T346">
        <f>AND(Q346,R346,S346)</f>
        <v/>
      </c>
      <c r="U346">
        <f>IF(T346,IF(AND(설정!$A$54&lt;&gt;"",ISNUMBER(SEARCH(설정!$A$54,K346))),설정!$B$54,IF(AND(설정!$A$55&lt;&gt;"",ISNUMBER(SEARCH(설정!$A$55,K346))),설정!$B$55,IF(AND(설정!$A$56&lt;&gt;"",ISNUMBER(SEARCH(설정!$A$56,K346))),설정!$B$56,IF(AND(설정!$A$57&lt;&gt;"",ISNUMBER(SEARCH(설정!$A$57,K346))),설정!$B$57,IF(AND(설정!$A$58&lt;&gt;"",ISNUMBER(SEARCH(설정!$A$58,K346))),설정!$B$58,IF(AND(설정!$A$59&lt;&gt;"",ISNUMBER(SEARCH(설정!$A$59,K346))),설정!$B$59,IF(AND(설정!$A$60&lt;&gt;"",ISNUMBER(SEARCH(설정!$A$60,K346))),설정!$B$60,IF(AND(설정!$A$61&lt;&gt;"",ISNUMBER(SEARCH(설정!$A$61,K346))),설정!$B$61,IF(M346="","설계사","시공사"))))))))),"")</f>
        <v/>
      </c>
      <c r="V346">
        <f>SUBSTITUTE(SUBSTITUTE(SUBSTITUTE(SUBSTITUTE(G346,"(주)",""),"㈜",""),"주식회사","")," ","")</f>
        <v/>
      </c>
      <c r="W346">
        <f>IF(AND(T346,V346&lt;&gt;""),IF(COUNTIFS(V$2:V346,V346,T$2:T346,TRUE)=1,MAX(W$1:W345)+1,""),"")</f>
        <v/>
      </c>
      <c r="X346">
        <f>IF(설정!$C$14="","",IFERROR(INDEX('1.산군_붙여넣기'!$A$1:$AZ$1001,ROW(),설정!$C$14)&amp;"",""))</f>
        <v/>
      </c>
      <c r="Y346">
        <f>IF(설정!$C$15="","",IFERROR(INDEX('1.산군_붙여넣기'!$A$1:$AZ$1001,ROW(),설정!$C$15)&amp;"",""))</f>
        <v/>
      </c>
      <c r="Z346">
        <f>IF(T346,V346&amp;"|"&amp;U346,"")</f>
        <v/>
      </c>
      <c r="AA346">
        <f>IF(NOT(Q346),"",IF(NOT(AND(R346,S346)),"✕",IF(OR(OR(AND(L346&lt;&gt;"",M346&lt;&gt;"",N(M346)-N(L346)&gt;설정!$B$27),AND(L346&lt;&gt;"",M346="",설정!$B$24-N(L346)&gt;설정!$B$27)),AND(D346&lt;&gt;"",D346&lt;설정!$B$26)),"△","★")))</f>
        <v/>
      </c>
      <c r="AB346">
        <f>IF(NOT(T346),"",IF(U346="설계사",설정!$B$31,IF(U346="시공사",IF(OR(M346="",설정!$B$24-N(M346)&lt;=설정!$B$28*30.4),설정!$B$32,설정!$B$33),설정!$B$34))+IF(AA346="★",설정!$B$35,0))</f>
        <v/>
      </c>
      <c r="AC346">
        <f>SUBSTITUTE(SUBSTITUTE(SUBSTITUTE(SUBSTITUTE(H346,"(주)",""),"㈜",""),"주식회사","")," ","")</f>
        <v/>
      </c>
      <c r="AD346">
        <f>IF(AND(T346,AC346&lt;&gt;""),IF(COUNTIFS(AC$2:AC346,AC346,T$2:T346,TRUE)=1,MAX(AD$1:AD345)+1,""),"")</f>
        <v/>
      </c>
    </row>
    <row r="347">
      <c r="A347">
        <f>ROW()</f>
        <v/>
      </c>
      <c r="B347">
        <f>IF(설정!$C$4="","",IFERROR(INDEX('1.산군_붙여넣기'!$A$1:$AZ$1001,ROW(),설정!$C$4)&amp;"",""))</f>
        <v/>
      </c>
      <c r="C347">
        <f>IF(설정!$C$5="","",IFERROR(INDEX('1.산군_붙여넣기'!$A$1:$AZ$1001,ROW(),설정!$C$5)&amp;"",""))</f>
        <v/>
      </c>
      <c r="D347" s="5">
        <f>IFERROR(VALUE(SUBSTITUTE(SUBSTITUTE(SUBSTITUTE(IF(설정!$C$6="","",IFERROR(INDEX('1.산군_붙여넣기'!$A$1:$AZ$1001,ROW(),설정!$C$6)&amp;"","")),",",""),"㎡",""),"m2","")),"")</f>
        <v/>
      </c>
      <c r="E347">
        <f>IF(설정!$C$7="","",IFERROR(INDEX('1.산군_붙여넣기'!$A$1:$AZ$1001,ROW(),설정!$C$7)&amp;"",""))</f>
        <v/>
      </c>
      <c r="F347">
        <f>IF(설정!$C$8="","",IFERROR(INDEX('1.산군_붙여넣기'!$A$1:$AZ$1001,ROW(),설정!$C$8)&amp;"",""))</f>
        <v/>
      </c>
      <c r="G347">
        <f>IF(설정!$C$9="","",IFERROR(INDEX('1.산군_붙여넣기'!$A$1:$AZ$1001,ROW(),설정!$C$9)&amp;"",""))</f>
        <v/>
      </c>
      <c r="H347">
        <f>IF(설정!$C$10="","",IFERROR(INDEX('1.산군_붙여넣기'!$A$1:$AZ$1001,ROW(),설정!$C$10)&amp;"",""))</f>
        <v/>
      </c>
      <c r="I347">
        <f>IF(설정!$C$11="","",IFERROR(INDEX('1.산군_붙여넣기'!$A$1:$AZ$1001,ROW(),설정!$C$11)&amp;"",""))</f>
        <v/>
      </c>
      <c r="J347">
        <f>IF(설정!$C$12="","",IFERROR(INDEX('1.산군_붙여넣기'!$A$1:$AZ$1001,ROW(),설정!$C$12)&amp;"",""))</f>
        <v/>
      </c>
      <c r="K347">
        <f>IF(설정!$C$13="","",IFERROR(INDEX('1.산군_붙여넣기'!$A$1:$AZ$1001,ROW(),설정!$C$13)&amp;"",""))</f>
        <v/>
      </c>
      <c r="L347" s="7">
        <f>IF(X347="","",IF(AND(LEN(X347)=8,ISNUMBER(X347*1)),DATE(LEFT(X347,4),MID(X347,5,2),RIGHT(X347,2)),IFERROR(DATEVALUE(SUBSTITUTE(SUBSTITUTE(X347,".","-"),"/","-")),IFERROR(X347*1,""))))</f>
        <v/>
      </c>
      <c r="M347" s="7">
        <f>IF(Y347="","",IF(AND(LEN(Y347)=8,ISNUMBER(Y347*1)),DATE(LEFT(Y347,4),MID(Y347,5,2),RIGHT(Y347,2)),IFERROR(DATEVALUE(SUBSTITUTE(SUBSTITUTE(Y347,".","-"),"/","-")),IFERROR(Y347*1,""))))</f>
        <v/>
      </c>
      <c r="N347">
        <f>IFERROR(LEFT(B347,FIND(" ",B347)-1),B347)</f>
        <v/>
      </c>
      <c r="O347">
        <f>AND(B347&lt;&gt;"",B347&lt;&gt;설정!$B$4,C347&lt;&gt;설정!$B$5)</f>
        <v/>
      </c>
      <c r="P347">
        <f>IF(O347,B347&amp;"|"&amp;C347,"")</f>
        <v/>
      </c>
      <c r="Q347">
        <f>AND(O347,COUNTIF(P348:P$1002,P347)=0)</f>
        <v/>
      </c>
      <c r="R347">
        <f>OR(AND(설정!$A$42&lt;&gt;"",ISNUMBER(SEARCH(설정!$A$42,E347&amp;" "&amp;C347))),AND(설정!$A$43&lt;&gt;"",ISNUMBER(SEARCH(설정!$A$43,E347&amp;" "&amp;C347))),AND(설정!$A$44&lt;&gt;"",ISNUMBER(SEARCH(설정!$A$44,E347&amp;" "&amp;C347))),AND(설정!$A$45&lt;&gt;"",ISNUMBER(SEARCH(설정!$A$45,E347&amp;" "&amp;C347))),AND(설정!$A$46&lt;&gt;"",ISNUMBER(SEARCH(설정!$A$46,E347&amp;" "&amp;C347))),AND(설정!$A$47&lt;&gt;"",ISNUMBER(SEARCH(설정!$A$47,E347&amp;" "&amp;C347))),AND(설정!$A$48&lt;&gt;"",ISNUMBER(SEARCH(설정!$A$48,E347&amp;" "&amp;C347))),AND(설정!$A$49&lt;&gt;"",ISNUMBER(SEARCH(설정!$A$49,E347&amp;" "&amp;C347))),AND(설정!$A$50&lt;&gt;"",ISNUMBER(SEARCH(설정!$A$50,E347&amp;" "&amp;C347))),AND(설정!$A$51&lt;&gt;"",ISNUMBER(SEARCH(설정!$A$51,E347&amp;" "&amp;C347))))</f>
        <v/>
      </c>
      <c r="S347">
        <f>OR(D347="",D347&gt;=설정!$B$19)</f>
        <v/>
      </c>
      <c r="T347">
        <f>AND(Q347,R347,S347)</f>
        <v/>
      </c>
      <c r="U347">
        <f>IF(T347,IF(AND(설정!$A$54&lt;&gt;"",ISNUMBER(SEARCH(설정!$A$54,K347))),설정!$B$54,IF(AND(설정!$A$55&lt;&gt;"",ISNUMBER(SEARCH(설정!$A$55,K347))),설정!$B$55,IF(AND(설정!$A$56&lt;&gt;"",ISNUMBER(SEARCH(설정!$A$56,K347))),설정!$B$56,IF(AND(설정!$A$57&lt;&gt;"",ISNUMBER(SEARCH(설정!$A$57,K347))),설정!$B$57,IF(AND(설정!$A$58&lt;&gt;"",ISNUMBER(SEARCH(설정!$A$58,K347))),설정!$B$58,IF(AND(설정!$A$59&lt;&gt;"",ISNUMBER(SEARCH(설정!$A$59,K347))),설정!$B$59,IF(AND(설정!$A$60&lt;&gt;"",ISNUMBER(SEARCH(설정!$A$60,K347))),설정!$B$60,IF(AND(설정!$A$61&lt;&gt;"",ISNUMBER(SEARCH(설정!$A$61,K347))),설정!$B$61,IF(M347="","설계사","시공사"))))))))),"")</f>
        <v/>
      </c>
      <c r="V347">
        <f>SUBSTITUTE(SUBSTITUTE(SUBSTITUTE(SUBSTITUTE(G347,"(주)",""),"㈜",""),"주식회사","")," ","")</f>
        <v/>
      </c>
      <c r="W347">
        <f>IF(AND(T347,V347&lt;&gt;""),IF(COUNTIFS(V$2:V347,V347,T$2:T347,TRUE)=1,MAX(W$1:W346)+1,""),"")</f>
        <v/>
      </c>
      <c r="X347">
        <f>IF(설정!$C$14="","",IFERROR(INDEX('1.산군_붙여넣기'!$A$1:$AZ$1001,ROW(),설정!$C$14)&amp;"",""))</f>
        <v/>
      </c>
      <c r="Y347">
        <f>IF(설정!$C$15="","",IFERROR(INDEX('1.산군_붙여넣기'!$A$1:$AZ$1001,ROW(),설정!$C$15)&amp;"",""))</f>
        <v/>
      </c>
      <c r="Z347">
        <f>IF(T347,V347&amp;"|"&amp;U347,"")</f>
        <v/>
      </c>
      <c r="AA347">
        <f>IF(NOT(Q347),"",IF(NOT(AND(R347,S347)),"✕",IF(OR(OR(AND(L347&lt;&gt;"",M347&lt;&gt;"",N(M347)-N(L347)&gt;설정!$B$27),AND(L347&lt;&gt;"",M347="",설정!$B$24-N(L347)&gt;설정!$B$27)),AND(D347&lt;&gt;"",D347&lt;설정!$B$26)),"△","★")))</f>
        <v/>
      </c>
      <c r="AB347">
        <f>IF(NOT(T347),"",IF(U347="설계사",설정!$B$31,IF(U347="시공사",IF(OR(M347="",설정!$B$24-N(M347)&lt;=설정!$B$28*30.4),설정!$B$32,설정!$B$33),설정!$B$34))+IF(AA347="★",설정!$B$35,0))</f>
        <v/>
      </c>
      <c r="AC347">
        <f>SUBSTITUTE(SUBSTITUTE(SUBSTITUTE(SUBSTITUTE(H347,"(주)",""),"㈜",""),"주식회사","")," ","")</f>
        <v/>
      </c>
      <c r="AD347">
        <f>IF(AND(T347,AC347&lt;&gt;""),IF(COUNTIFS(AC$2:AC347,AC347,T$2:T347,TRUE)=1,MAX(AD$1:AD346)+1,""),"")</f>
        <v/>
      </c>
    </row>
    <row r="348">
      <c r="A348">
        <f>ROW()</f>
        <v/>
      </c>
      <c r="B348">
        <f>IF(설정!$C$4="","",IFERROR(INDEX('1.산군_붙여넣기'!$A$1:$AZ$1001,ROW(),설정!$C$4)&amp;"",""))</f>
        <v/>
      </c>
      <c r="C348">
        <f>IF(설정!$C$5="","",IFERROR(INDEX('1.산군_붙여넣기'!$A$1:$AZ$1001,ROW(),설정!$C$5)&amp;"",""))</f>
        <v/>
      </c>
      <c r="D348" s="5">
        <f>IFERROR(VALUE(SUBSTITUTE(SUBSTITUTE(SUBSTITUTE(IF(설정!$C$6="","",IFERROR(INDEX('1.산군_붙여넣기'!$A$1:$AZ$1001,ROW(),설정!$C$6)&amp;"","")),",",""),"㎡",""),"m2","")),"")</f>
        <v/>
      </c>
      <c r="E348">
        <f>IF(설정!$C$7="","",IFERROR(INDEX('1.산군_붙여넣기'!$A$1:$AZ$1001,ROW(),설정!$C$7)&amp;"",""))</f>
        <v/>
      </c>
      <c r="F348">
        <f>IF(설정!$C$8="","",IFERROR(INDEX('1.산군_붙여넣기'!$A$1:$AZ$1001,ROW(),설정!$C$8)&amp;"",""))</f>
        <v/>
      </c>
      <c r="G348">
        <f>IF(설정!$C$9="","",IFERROR(INDEX('1.산군_붙여넣기'!$A$1:$AZ$1001,ROW(),설정!$C$9)&amp;"",""))</f>
        <v/>
      </c>
      <c r="H348">
        <f>IF(설정!$C$10="","",IFERROR(INDEX('1.산군_붙여넣기'!$A$1:$AZ$1001,ROW(),설정!$C$10)&amp;"",""))</f>
        <v/>
      </c>
      <c r="I348">
        <f>IF(설정!$C$11="","",IFERROR(INDEX('1.산군_붙여넣기'!$A$1:$AZ$1001,ROW(),설정!$C$11)&amp;"",""))</f>
        <v/>
      </c>
      <c r="J348">
        <f>IF(설정!$C$12="","",IFERROR(INDEX('1.산군_붙여넣기'!$A$1:$AZ$1001,ROW(),설정!$C$12)&amp;"",""))</f>
        <v/>
      </c>
      <c r="K348">
        <f>IF(설정!$C$13="","",IFERROR(INDEX('1.산군_붙여넣기'!$A$1:$AZ$1001,ROW(),설정!$C$13)&amp;"",""))</f>
        <v/>
      </c>
      <c r="L348" s="7">
        <f>IF(X348="","",IF(AND(LEN(X348)=8,ISNUMBER(X348*1)),DATE(LEFT(X348,4),MID(X348,5,2),RIGHT(X348,2)),IFERROR(DATEVALUE(SUBSTITUTE(SUBSTITUTE(X348,".","-"),"/","-")),IFERROR(X348*1,""))))</f>
        <v/>
      </c>
      <c r="M348" s="7">
        <f>IF(Y348="","",IF(AND(LEN(Y348)=8,ISNUMBER(Y348*1)),DATE(LEFT(Y348,4),MID(Y348,5,2),RIGHT(Y348,2)),IFERROR(DATEVALUE(SUBSTITUTE(SUBSTITUTE(Y348,".","-"),"/","-")),IFERROR(Y348*1,""))))</f>
        <v/>
      </c>
      <c r="N348">
        <f>IFERROR(LEFT(B348,FIND(" ",B348)-1),B348)</f>
        <v/>
      </c>
      <c r="O348">
        <f>AND(B348&lt;&gt;"",B348&lt;&gt;설정!$B$4,C348&lt;&gt;설정!$B$5)</f>
        <v/>
      </c>
      <c r="P348">
        <f>IF(O348,B348&amp;"|"&amp;C348,"")</f>
        <v/>
      </c>
      <c r="Q348">
        <f>AND(O348,COUNTIF(P349:P$1002,P348)=0)</f>
        <v/>
      </c>
      <c r="R348">
        <f>OR(AND(설정!$A$42&lt;&gt;"",ISNUMBER(SEARCH(설정!$A$42,E348&amp;" "&amp;C348))),AND(설정!$A$43&lt;&gt;"",ISNUMBER(SEARCH(설정!$A$43,E348&amp;" "&amp;C348))),AND(설정!$A$44&lt;&gt;"",ISNUMBER(SEARCH(설정!$A$44,E348&amp;" "&amp;C348))),AND(설정!$A$45&lt;&gt;"",ISNUMBER(SEARCH(설정!$A$45,E348&amp;" "&amp;C348))),AND(설정!$A$46&lt;&gt;"",ISNUMBER(SEARCH(설정!$A$46,E348&amp;" "&amp;C348))),AND(설정!$A$47&lt;&gt;"",ISNUMBER(SEARCH(설정!$A$47,E348&amp;" "&amp;C348))),AND(설정!$A$48&lt;&gt;"",ISNUMBER(SEARCH(설정!$A$48,E348&amp;" "&amp;C348))),AND(설정!$A$49&lt;&gt;"",ISNUMBER(SEARCH(설정!$A$49,E348&amp;" "&amp;C348))),AND(설정!$A$50&lt;&gt;"",ISNUMBER(SEARCH(설정!$A$50,E348&amp;" "&amp;C348))),AND(설정!$A$51&lt;&gt;"",ISNUMBER(SEARCH(설정!$A$51,E348&amp;" "&amp;C348))))</f>
        <v/>
      </c>
      <c r="S348">
        <f>OR(D348="",D348&gt;=설정!$B$19)</f>
        <v/>
      </c>
      <c r="T348">
        <f>AND(Q348,R348,S348)</f>
        <v/>
      </c>
      <c r="U348">
        <f>IF(T348,IF(AND(설정!$A$54&lt;&gt;"",ISNUMBER(SEARCH(설정!$A$54,K348))),설정!$B$54,IF(AND(설정!$A$55&lt;&gt;"",ISNUMBER(SEARCH(설정!$A$55,K348))),설정!$B$55,IF(AND(설정!$A$56&lt;&gt;"",ISNUMBER(SEARCH(설정!$A$56,K348))),설정!$B$56,IF(AND(설정!$A$57&lt;&gt;"",ISNUMBER(SEARCH(설정!$A$57,K348))),설정!$B$57,IF(AND(설정!$A$58&lt;&gt;"",ISNUMBER(SEARCH(설정!$A$58,K348))),설정!$B$58,IF(AND(설정!$A$59&lt;&gt;"",ISNUMBER(SEARCH(설정!$A$59,K348))),설정!$B$59,IF(AND(설정!$A$60&lt;&gt;"",ISNUMBER(SEARCH(설정!$A$60,K348))),설정!$B$60,IF(AND(설정!$A$61&lt;&gt;"",ISNUMBER(SEARCH(설정!$A$61,K348))),설정!$B$61,IF(M348="","설계사","시공사"))))))))),"")</f>
        <v/>
      </c>
      <c r="V348">
        <f>SUBSTITUTE(SUBSTITUTE(SUBSTITUTE(SUBSTITUTE(G348,"(주)",""),"㈜",""),"주식회사","")," ","")</f>
        <v/>
      </c>
      <c r="W348">
        <f>IF(AND(T348,V348&lt;&gt;""),IF(COUNTIFS(V$2:V348,V348,T$2:T348,TRUE)=1,MAX(W$1:W347)+1,""),"")</f>
        <v/>
      </c>
      <c r="X348">
        <f>IF(설정!$C$14="","",IFERROR(INDEX('1.산군_붙여넣기'!$A$1:$AZ$1001,ROW(),설정!$C$14)&amp;"",""))</f>
        <v/>
      </c>
      <c r="Y348">
        <f>IF(설정!$C$15="","",IFERROR(INDEX('1.산군_붙여넣기'!$A$1:$AZ$1001,ROW(),설정!$C$15)&amp;"",""))</f>
        <v/>
      </c>
      <c r="Z348">
        <f>IF(T348,V348&amp;"|"&amp;U348,"")</f>
        <v/>
      </c>
      <c r="AA348">
        <f>IF(NOT(Q348),"",IF(NOT(AND(R348,S348)),"✕",IF(OR(OR(AND(L348&lt;&gt;"",M348&lt;&gt;"",N(M348)-N(L348)&gt;설정!$B$27),AND(L348&lt;&gt;"",M348="",설정!$B$24-N(L348)&gt;설정!$B$27)),AND(D348&lt;&gt;"",D348&lt;설정!$B$26)),"△","★")))</f>
        <v/>
      </c>
      <c r="AB348">
        <f>IF(NOT(T348),"",IF(U348="설계사",설정!$B$31,IF(U348="시공사",IF(OR(M348="",설정!$B$24-N(M348)&lt;=설정!$B$28*30.4),설정!$B$32,설정!$B$33),설정!$B$34))+IF(AA348="★",설정!$B$35,0))</f>
        <v/>
      </c>
      <c r="AC348">
        <f>SUBSTITUTE(SUBSTITUTE(SUBSTITUTE(SUBSTITUTE(H348,"(주)",""),"㈜",""),"주식회사","")," ","")</f>
        <v/>
      </c>
      <c r="AD348">
        <f>IF(AND(T348,AC348&lt;&gt;""),IF(COUNTIFS(AC$2:AC348,AC348,T$2:T348,TRUE)=1,MAX(AD$1:AD347)+1,""),"")</f>
        <v/>
      </c>
    </row>
    <row r="349">
      <c r="A349">
        <f>ROW()</f>
        <v/>
      </c>
      <c r="B349">
        <f>IF(설정!$C$4="","",IFERROR(INDEX('1.산군_붙여넣기'!$A$1:$AZ$1001,ROW(),설정!$C$4)&amp;"",""))</f>
        <v/>
      </c>
      <c r="C349">
        <f>IF(설정!$C$5="","",IFERROR(INDEX('1.산군_붙여넣기'!$A$1:$AZ$1001,ROW(),설정!$C$5)&amp;"",""))</f>
        <v/>
      </c>
      <c r="D349" s="5">
        <f>IFERROR(VALUE(SUBSTITUTE(SUBSTITUTE(SUBSTITUTE(IF(설정!$C$6="","",IFERROR(INDEX('1.산군_붙여넣기'!$A$1:$AZ$1001,ROW(),설정!$C$6)&amp;"","")),",",""),"㎡",""),"m2","")),"")</f>
        <v/>
      </c>
      <c r="E349">
        <f>IF(설정!$C$7="","",IFERROR(INDEX('1.산군_붙여넣기'!$A$1:$AZ$1001,ROW(),설정!$C$7)&amp;"",""))</f>
        <v/>
      </c>
      <c r="F349">
        <f>IF(설정!$C$8="","",IFERROR(INDEX('1.산군_붙여넣기'!$A$1:$AZ$1001,ROW(),설정!$C$8)&amp;"",""))</f>
        <v/>
      </c>
      <c r="G349">
        <f>IF(설정!$C$9="","",IFERROR(INDEX('1.산군_붙여넣기'!$A$1:$AZ$1001,ROW(),설정!$C$9)&amp;"",""))</f>
        <v/>
      </c>
      <c r="H349">
        <f>IF(설정!$C$10="","",IFERROR(INDEX('1.산군_붙여넣기'!$A$1:$AZ$1001,ROW(),설정!$C$10)&amp;"",""))</f>
        <v/>
      </c>
      <c r="I349">
        <f>IF(설정!$C$11="","",IFERROR(INDEX('1.산군_붙여넣기'!$A$1:$AZ$1001,ROW(),설정!$C$11)&amp;"",""))</f>
        <v/>
      </c>
      <c r="J349">
        <f>IF(설정!$C$12="","",IFERROR(INDEX('1.산군_붙여넣기'!$A$1:$AZ$1001,ROW(),설정!$C$12)&amp;"",""))</f>
        <v/>
      </c>
      <c r="K349">
        <f>IF(설정!$C$13="","",IFERROR(INDEX('1.산군_붙여넣기'!$A$1:$AZ$1001,ROW(),설정!$C$13)&amp;"",""))</f>
        <v/>
      </c>
      <c r="L349" s="7">
        <f>IF(X349="","",IF(AND(LEN(X349)=8,ISNUMBER(X349*1)),DATE(LEFT(X349,4),MID(X349,5,2),RIGHT(X349,2)),IFERROR(DATEVALUE(SUBSTITUTE(SUBSTITUTE(X349,".","-"),"/","-")),IFERROR(X349*1,""))))</f>
        <v/>
      </c>
      <c r="M349" s="7">
        <f>IF(Y349="","",IF(AND(LEN(Y349)=8,ISNUMBER(Y349*1)),DATE(LEFT(Y349,4),MID(Y349,5,2),RIGHT(Y349,2)),IFERROR(DATEVALUE(SUBSTITUTE(SUBSTITUTE(Y349,".","-"),"/","-")),IFERROR(Y349*1,""))))</f>
        <v/>
      </c>
      <c r="N349">
        <f>IFERROR(LEFT(B349,FIND(" ",B349)-1),B349)</f>
        <v/>
      </c>
      <c r="O349">
        <f>AND(B349&lt;&gt;"",B349&lt;&gt;설정!$B$4,C349&lt;&gt;설정!$B$5)</f>
        <v/>
      </c>
      <c r="P349">
        <f>IF(O349,B349&amp;"|"&amp;C349,"")</f>
        <v/>
      </c>
      <c r="Q349">
        <f>AND(O349,COUNTIF(P350:P$1002,P349)=0)</f>
        <v/>
      </c>
      <c r="R349">
        <f>OR(AND(설정!$A$42&lt;&gt;"",ISNUMBER(SEARCH(설정!$A$42,E349&amp;" "&amp;C349))),AND(설정!$A$43&lt;&gt;"",ISNUMBER(SEARCH(설정!$A$43,E349&amp;" "&amp;C349))),AND(설정!$A$44&lt;&gt;"",ISNUMBER(SEARCH(설정!$A$44,E349&amp;" "&amp;C349))),AND(설정!$A$45&lt;&gt;"",ISNUMBER(SEARCH(설정!$A$45,E349&amp;" "&amp;C349))),AND(설정!$A$46&lt;&gt;"",ISNUMBER(SEARCH(설정!$A$46,E349&amp;" "&amp;C349))),AND(설정!$A$47&lt;&gt;"",ISNUMBER(SEARCH(설정!$A$47,E349&amp;" "&amp;C349))),AND(설정!$A$48&lt;&gt;"",ISNUMBER(SEARCH(설정!$A$48,E349&amp;" "&amp;C349))),AND(설정!$A$49&lt;&gt;"",ISNUMBER(SEARCH(설정!$A$49,E349&amp;" "&amp;C349))),AND(설정!$A$50&lt;&gt;"",ISNUMBER(SEARCH(설정!$A$50,E349&amp;" "&amp;C349))),AND(설정!$A$51&lt;&gt;"",ISNUMBER(SEARCH(설정!$A$51,E349&amp;" "&amp;C349))))</f>
        <v/>
      </c>
      <c r="S349">
        <f>OR(D349="",D349&gt;=설정!$B$19)</f>
        <v/>
      </c>
      <c r="T349">
        <f>AND(Q349,R349,S349)</f>
        <v/>
      </c>
      <c r="U349">
        <f>IF(T349,IF(AND(설정!$A$54&lt;&gt;"",ISNUMBER(SEARCH(설정!$A$54,K349))),설정!$B$54,IF(AND(설정!$A$55&lt;&gt;"",ISNUMBER(SEARCH(설정!$A$55,K349))),설정!$B$55,IF(AND(설정!$A$56&lt;&gt;"",ISNUMBER(SEARCH(설정!$A$56,K349))),설정!$B$56,IF(AND(설정!$A$57&lt;&gt;"",ISNUMBER(SEARCH(설정!$A$57,K349))),설정!$B$57,IF(AND(설정!$A$58&lt;&gt;"",ISNUMBER(SEARCH(설정!$A$58,K349))),설정!$B$58,IF(AND(설정!$A$59&lt;&gt;"",ISNUMBER(SEARCH(설정!$A$59,K349))),설정!$B$59,IF(AND(설정!$A$60&lt;&gt;"",ISNUMBER(SEARCH(설정!$A$60,K349))),설정!$B$60,IF(AND(설정!$A$61&lt;&gt;"",ISNUMBER(SEARCH(설정!$A$61,K349))),설정!$B$61,IF(M349="","설계사","시공사"))))))))),"")</f>
        <v/>
      </c>
      <c r="V349">
        <f>SUBSTITUTE(SUBSTITUTE(SUBSTITUTE(SUBSTITUTE(G349,"(주)",""),"㈜",""),"주식회사","")," ","")</f>
        <v/>
      </c>
      <c r="W349">
        <f>IF(AND(T349,V349&lt;&gt;""),IF(COUNTIFS(V$2:V349,V349,T$2:T349,TRUE)=1,MAX(W$1:W348)+1,""),"")</f>
        <v/>
      </c>
      <c r="X349">
        <f>IF(설정!$C$14="","",IFERROR(INDEX('1.산군_붙여넣기'!$A$1:$AZ$1001,ROW(),설정!$C$14)&amp;"",""))</f>
        <v/>
      </c>
      <c r="Y349">
        <f>IF(설정!$C$15="","",IFERROR(INDEX('1.산군_붙여넣기'!$A$1:$AZ$1001,ROW(),설정!$C$15)&amp;"",""))</f>
        <v/>
      </c>
      <c r="Z349">
        <f>IF(T349,V349&amp;"|"&amp;U349,"")</f>
        <v/>
      </c>
      <c r="AA349">
        <f>IF(NOT(Q349),"",IF(NOT(AND(R349,S349)),"✕",IF(OR(OR(AND(L349&lt;&gt;"",M349&lt;&gt;"",N(M349)-N(L349)&gt;설정!$B$27),AND(L349&lt;&gt;"",M349="",설정!$B$24-N(L349)&gt;설정!$B$27)),AND(D349&lt;&gt;"",D349&lt;설정!$B$26)),"△","★")))</f>
        <v/>
      </c>
      <c r="AB349">
        <f>IF(NOT(T349),"",IF(U349="설계사",설정!$B$31,IF(U349="시공사",IF(OR(M349="",설정!$B$24-N(M349)&lt;=설정!$B$28*30.4),설정!$B$32,설정!$B$33),설정!$B$34))+IF(AA349="★",설정!$B$35,0))</f>
        <v/>
      </c>
      <c r="AC349">
        <f>SUBSTITUTE(SUBSTITUTE(SUBSTITUTE(SUBSTITUTE(H349,"(주)",""),"㈜",""),"주식회사","")," ","")</f>
        <v/>
      </c>
      <c r="AD349">
        <f>IF(AND(T349,AC349&lt;&gt;""),IF(COUNTIFS(AC$2:AC349,AC349,T$2:T349,TRUE)=1,MAX(AD$1:AD348)+1,""),"")</f>
        <v/>
      </c>
    </row>
    <row r="350">
      <c r="A350">
        <f>ROW()</f>
        <v/>
      </c>
      <c r="B350">
        <f>IF(설정!$C$4="","",IFERROR(INDEX('1.산군_붙여넣기'!$A$1:$AZ$1001,ROW(),설정!$C$4)&amp;"",""))</f>
        <v/>
      </c>
      <c r="C350">
        <f>IF(설정!$C$5="","",IFERROR(INDEX('1.산군_붙여넣기'!$A$1:$AZ$1001,ROW(),설정!$C$5)&amp;"",""))</f>
        <v/>
      </c>
      <c r="D350" s="5">
        <f>IFERROR(VALUE(SUBSTITUTE(SUBSTITUTE(SUBSTITUTE(IF(설정!$C$6="","",IFERROR(INDEX('1.산군_붙여넣기'!$A$1:$AZ$1001,ROW(),설정!$C$6)&amp;"","")),",",""),"㎡",""),"m2","")),"")</f>
        <v/>
      </c>
      <c r="E350">
        <f>IF(설정!$C$7="","",IFERROR(INDEX('1.산군_붙여넣기'!$A$1:$AZ$1001,ROW(),설정!$C$7)&amp;"",""))</f>
        <v/>
      </c>
      <c r="F350">
        <f>IF(설정!$C$8="","",IFERROR(INDEX('1.산군_붙여넣기'!$A$1:$AZ$1001,ROW(),설정!$C$8)&amp;"",""))</f>
        <v/>
      </c>
      <c r="G350">
        <f>IF(설정!$C$9="","",IFERROR(INDEX('1.산군_붙여넣기'!$A$1:$AZ$1001,ROW(),설정!$C$9)&amp;"",""))</f>
        <v/>
      </c>
      <c r="H350">
        <f>IF(설정!$C$10="","",IFERROR(INDEX('1.산군_붙여넣기'!$A$1:$AZ$1001,ROW(),설정!$C$10)&amp;"",""))</f>
        <v/>
      </c>
      <c r="I350">
        <f>IF(설정!$C$11="","",IFERROR(INDEX('1.산군_붙여넣기'!$A$1:$AZ$1001,ROW(),설정!$C$11)&amp;"",""))</f>
        <v/>
      </c>
      <c r="J350">
        <f>IF(설정!$C$12="","",IFERROR(INDEX('1.산군_붙여넣기'!$A$1:$AZ$1001,ROW(),설정!$C$12)&amp;"",""))</f>
        <v/>
      </c>
      <c r="K350">
        <f>IF(설정!$C$13="","",IFERROR(INDEX('1.산군_붙여넣기'!$A$1:$AZ$1001,ROW(),설정!$C$13)&amp;"",""))</f>
        <v/>
      </c>
      <c r="L350" s="7">
        <f>IF(X350="","",IF(AND(LEN(X350)=8,ISNUMBER(X350*1)),DATE(LEFT(X350,4),MID(X350,5,2),RIGHT(X350,2)),IFERROR(DATEVALUE(SUBSTITUTE(SUBSTITUTE(X350,".","-"),"/","-")),IFERROR(X350*1,""))))</f>
        <v/>
      </c>
      <c r="M350" s="7">
        <f>IF(Y350="","",IF(AND(LEN(Y350)=8,ISNUMBER(Y350*1)),DATE(LEFT(Y350,4),MID(Y350,5,2),RIGHT(Y350,2)),IFERROR(DATEVALUE(SUBSTITUTE(SUBSTITUTE(Y350,".","-"),"/","-")),IFERROR(Y350*1,""))))</f>
        <v/>
      </c>
      <c r="N350">
        <f>IFERROR(LEFT(B350,FIND(" ",B350)-1),B350)</f>
        <v/>
      </c>
      <c r="O350">
        <f>AND(B350&lt;&gt;"",B350&lt;&gt;설정!$B$4,C350&lt;&gt;설정!$B$5)</f>
        <v/>
      </c>
      <c r="P350">
        <f>IF(O350,B350&amp;"|"&amp;C350,"")</f>
        <v/>
      </c>
      <c r="Q350">
        <f>AND(O350,COUNTIF(P351:P$1002,P350)=0)</f>
        <v/>
      </c>
      <c r="R350">
        <f>OR(AND(설정!$A$42&lt;&gt;"",ISNUMBER(SEARCH(설정!$A$42,E350&amp;" "&amp;C350))),AND(설정!$A$43&lt;&gt;"",ISNUMBER(SEARCH(설정!$A$43,E350&amp;" "&amp;C350))),AND(설정!$A$44&lt;&gt;"",ISNUMBER(SEARCH(설정!$A$44,E350&amp;" "&amp;C350))),AND(설정!$A$45&lt;&gt;"",ISNUMBER(SEARCH(설정!$A$45,E350&amp;" "&amp;C350))),AND(설정!$A$46&lt;&gt;"",ISNUMBER(SEARCH(설정!$A$46,E350&amp;" "&amp;C350))),AND(설정!$A$47&lt;&gt;"",ISNUMBER(SEARCH(설정!$A$47,E350&amp;" "&amp;C350))),AND(설정!$A$48&lt;&gt;"",ISNUMBER(SEARCH(설정!$A$48,E350&amp;" "&amp;C350))),AND(설정!$A$49&lt;&gt;"",ISNUMBER(SEARCH(설정!$A$49,E350&amp;" "&amp;C350))),AND(설정!$A$50&lt;&gt;"",ISNUMBER(SEARCH(설정!$A$50,E350&amp;" "&amp;C350))),AND(설정!$A$51&lt;&gt;"",ISNUMBER(SEARCH(설정!$A$51,E350&amp;" "&amp;C350))))</f>
        <v/>
      </c>
      <c r="S350">
        <f>OR(D350="",D350&gt;=설정!$B$19)</f>
        <v/>
      </c>
      <c r="T350">
        <f>AND(Q350,R350,S350)</f>
        <v/>
      </c>
      <c r="U350">
        <f>IF(T350,IF(AND(설정!$A$54&lt;&gt;"",ISNUMBER(SEARCH(설정!$A$54,K350))),설정!$B$54,IF(AND(설정!$A$55&lt;&gt;"",ISNUMBER(SEARCH(설정!$A$55,K350))),설정!$B$55,IF(AND(설정!$A$56&lt;&gt;"",ISNUMBER(SEARCH(설정!$A$56,K350))),설정!$B$56,IF(AND(설정!$A$57&lt;&gt;"",ISNUMBER(SEARCH(설정!$A$57,K350))),설정!$B$57,IF(AND(설정!$A$58&lt;&gt;"",ISNUMBER(SEARCH(설정!$A$58,K350))),설정!$B$58,IF(AND(설정!$A$59&lt;&gt;"",ISNUMBER(SEARCH(설정!$A$59,K350))),설정!$B$59,IF(AND(설정!$A$60&lt;&gt;"",ISNUMBER(SEARCH(설정!$A$60,K350))),설정!$B$60,IF(AND(설정!$A$61&lt;&gt;"",ISNUMBER(SEARCH(설정!$A$61,K350))),설정!$B$61,IF(M350="","설계사","시공사"))))))))),"")</f>
        <v/>
      </c>
      <c r="V350">
        <f>SUBSTITUTE(SUBSTITUTE(SUBSTITUTE(SUBSTITUTE(G350,"(주)",""),"㈜",""),"주식회사","")," ","")</f>
        <v/>
      </c>
      <c r="W350">
        <f>IF(AND(T350,V350&lt;&gt;""),IF(COUNTIFS(V$2:V350,V350,T$2:T350,TRUE)=1,MAX(W$1:W349)+1,""),"")</f>
        <v/>
      </c>
      <c r="X350">
        <f>IF(설정!$C$14="","",IFERROR(INDEX('1.산군_붙여넣기'!$A$1:$AZ$1001,ROW(),설정!$C$14)&amp;"",""))</f>
        <v/>
      </c>
      <c r="Y350">
        <f>IF(설정!$C$15="","",IFERROR(INDEX('1.산군_붙여넣기'!$A$1:$AZ$1001,ROW(),설정!$C$15)&amp;"",""))</f>
        <v/>
      </c>
      <c r="Z350">
        <f>IF(T350,V350&amp;"|"&amp;U350,"")</f>
        <v/>
      </c>
      <c r="AA350">
        <f>IF(NOT(Q350),"",IF(NOT(AND(R350,S350)),"✕",IF(OR(OR(AND(L350&lt;&gt;"",M350&lt;&gt;"",N(M350)-N(L350)&gt;설정!$B$27),AND(L350&lt;&gt;"",M350="",설정!$B$24-N(L350)&gt;설정!$B$27)),AND(D350&lt;&gt;"",D350&lt;설정!$B$26)),"△","★")))</f>
        <v/>
      </c>
      <c r="AB350">
        <f>IF(NOT(T350),"",IF(U350="설계사",설정!$B$31,IF(U350="시공사",IF(OR(M350="",설정!$B$24-N(M350)&lt;=설정!$B$28*30.4),설정!$B$32,설정!$B$33),설정!$B$34))+IF(AA350="★",설정!$B$35,0))</f>
        <v/>
      </c>
      <c r="AC350">
        <f>SUBSTITUTE(SUBSTITUTE(SUBSTITUTE(SUBSTITUTE(H350,"(주)",""),"㈜",""),"주식회사","")," ","")</f>
        <v/>
      </c>
      <c r="AD350">
        <f>IF(AND(T350,AC350&lt;&gt;""),IF(COUNTIFS(AC$2:AC350,AC350,T$2:T350,TRUE)=1,MAX(AD$1:AD349)+1,""),"")</f>
        <v/>
      </c>
    </row>
    <row r="351">
      <c r="A351">
        <f>ROW()</f>
        <v/>
      </c>
      <c r="B351">
        <f>IF(설정!$C$4="","",IFERROR(INDEX('1.산군_붙여넣기'!$A$1:$AZ$1001,ROW(),설정!$C$4)&amp;"",""))</f>
        <v/>
      </c>
      <c r="C351">
        <f>IF(설정!$C$5="","",IFERROR(INDEX('1.산군_붙여넣기'!$A$1:$AZ$1001,ROW(),설정!$C$5)&amp;"",""))</f>
        <v/>
      </c>
      <c r="D351" s="5">
        <f>IFERROR(VALUE(SUBSTITUTE(SUBSTITUTE(SUBSTITUTE(IF(설정!$C$6="","",IFERROR(INDEX('1.산군_붙여넣기'!$A$1:$AZ$1001,ROW(),설정!$C$6)&amp;"","")),",",""),"㎡",""),"m2","")),"")</f>
        <v/>
      </c>
      <c r="E351">
        <f>IF(설정!$C$7="","",IFERROR(INDEX('1.산군_붙여넣기'!$A$1:$AZ$1001,ROW(),설정!$C$7)&amp;"",""))</f>
        <v/>
      </c>
      <c r="F351">
        <f>IF(설정!$C$8="","",IFERROR(INDEX('1.산군_붙여넣기'!$A$1:$AZ$1001,ROW(),설정!$C$8)&amp;"",""))</f>
        <v/>
      </c>
      <c r="G351">
        <f>IF(설정!$C$9="","",IFERROR(INDEX('1.산군_붙여넣기'!$A$1:$AZ$1001,ROW(),설정!$C$9)&amp;"",""))</f>
        <v/>
      </c>
      <c r="H351">
        <f>IF(설정!$C$10="","",IFERROR(INDEX('1.산군_붙여넣기'!$A$1:$AZ$1001,ROW(),설정!$C$10)&amp;"",""))</f>
        <v/>
      </c>
      <c r="I351">
        <f>IF(설정!$C$11="","",IFERROR(INDEX('1.산군_붙여넣기'!$A$1:$AZ$1001,ROW(),설정!$C$11)&amp;"",""))</f>
        <v/>
      </c>
      <c r="J351">
        <f>IF(설정!$C$12="","",IFERROR(INDEX('1.산군_붙여넣기'!$A$1:$AZ$1001,ROW(),설정!$C$12)&amp;"",""))</f>
        <v/>
      </c>
      <c r="K351">
        <f>IF(설정!$C$13="","",IFERROR(INDEX('1.산군_붙여넣기'!$A$1:$AZ$1001,ROW(),설정!$C$13)&amp;"",""))</f>
        <v/>
      </c>
      <c r="L351" s="7">
        <f>IF(X351="","",IF(AND(LEN(X351)=8,ISNUMBER(X351*1)),DATE(LEFT(X351,4),MID(X351,5,2),RIGHT(X351,2)),IFERROR(DATEVALUE(SUBSTITUTE(SUBSTITUTE(X351,".","-"),"/","-")),IFERROR(X351*1,""))))</f>
        <v/>
      </c>
      <c r="M351" s="7">
        <f>IF(Y351="","",IF(AND(LEN(Y351)=8,ISNUMBER(Y351*1)),DATE(LEFT(Y351,4),MID(Y351,5,2),RIGHT(Y351,2)),IFERROR(DATEVALUE(SUBSTITUTE(SUBSTITUTE(Y351,".","-"),"/","-")),IFERROR(Y351*1,""))))</f>
        <v/>
      </c>
      <c r="N351">
        <f>IFERROR(LEFT(B351,FIND(" ",B351)-1),B351)</f>
        <v/>
      </c>
      <c r="O351">
        <f>AND(B351&lt;&gt;"",B351&lt;&gt;설정!$B$4,C351&lt;&gt;설정!$B$5)</f>
        <v/>
      </c>
      <c r="P351">
        <f>IF(O351,B351&amp;"|"&amp;C351,"")</f>
        <v/>
      </c>
      <c r="Q351">
        <f>AND(O351,COUNTIF(P352:P$1002,P351)=0)</f>
        <v/>
      </c>
      <c r="R351">
        <f>OR(AND(설정!$A$42&lt;&gt;"",ISNUMBER(SEARCH(설정!$A$42,E351&amp;" "&amp;C351))),AND(설정!$A$43&lt;&gt;"",ISNUMBER(SEARCH(설정!$A$43,E351&amp;" "&amp;C351))),AND(설정!$A$44&lt;&gt;"",ISNUMBER(SEARCH(설정!$A$44,E351&amp;" "&amp;C351))),AND(설정!$A$45&lt;&gt;"",ISNUMBER(SEARCH(설정!$A$45,E351&amp;" "&amp;C351))),AND(설정!$A$46&lt;&gt;"",ISNUMBER(SEARCH(설정!$A$46,E351&amp;" "&amp;C351))),AND(설정!$A$47&lt;&gt;"",ISNUMBER(SEARCH(설정!$A$47,E351&amp;" "&amp;C351))),AND(설정!$A$48&lt;&gt;"",ISNUMBER(SEARCH(설정!$A$48,E351&amp;" "&amp;C351))),AND(설정!$A$49&lt;&gt;"",ISNUMBER(SEARCH(설정!$A$49,E351&amp;" "&amp;C351))),AND(설정!$A$50&lt;&gt;"",ISNUMBER(SEARCH(설정!$A$50,E351&amp;" "&amp;C351))),AND(설정!$A$51&lt;&gt;"",ISNUMBER(SEARCH(설정!$A$51,E351&amp;" "&amp;C351))))</f>
        <v/>
      </c>
      <c r="S351">
        <f>OR(D351="",D351&gt;=설정!$B$19)</f>
        <v/>
      </c>
      <c r="T351">
        <f>AND(Q351,R351,S351)</f>
        <v/>
      </c>
      <c r="U351">
        <f>IF(T351,IF(AND(설정!$A$54&lt;&gt;"",ISNUMBER(SEARCH(설정!$A$54,K351))),설정!$B$54,IF(AND(설정!$A$55&lt;&gt;"",ISNUMBER(SEARCH(설정!$A$55,K351))),설정!$B$55,IF(AND(설정!$A$56&lt;&gt;"",ISNUMBER(SEARCH(설정!$A$56,K351))),설정!$B$56,IF(AND(설정!$A$57&lt;&gt;"",ISNUMBER(SEARCH(설정!$A$57,K351))),설정!$B$57,IF(AND(설정!$A$58&lt;&gt;"",ISNUMBER(SEARCH(설정!$A$58,K351))),설정!$B$58,IF(AND(설정!$A$59&lt;&gt;"",ISNUMBER(SEARCH(설정!$A$59,K351))),설정!$B$59,IF(AND(설정!$A$60&lt;&gt;"",ISNUMBER(SEARCH(설정!$A$60,K351))),설정!$B$60,IF(AND(설정!$A$61&lt;&gt;"",ISNUMBER(SEARCH(설정!$A$61,K351))),설정!$B$61,IF(M351="","설계사","시공사"))))))))),"")</f>
        <v/>
      </c>
      <c r="V351">
        <f>SUBSTITUTE(SUBSTITUTE(SUBSTITUTE(SUBSTITUTE(G351,"(주)",""),"㈜",""),"주식회사","")," ","")</f>
        <v/>
      </c>
      <c r="W351">
        <f>IF(AND(T351,V351&lt;&gt;""),IF(COUNTIFS(V$2:V351,V351,T$2:T351,TRUE)=1,MAX(W$1:W350)+1,""),"")</f>
        <v/>
      </c>
      <c r="X351">
        <f>IF(설정!$C$14="","",IFERROR(INDEX('1.산군_붙여넣기'!$A$1:$AZ$1001,ROW(),설정!$C$14)&amp;"",""))</f>
        <v/>
      </c>
      <c r="Y351">
        <f>IF(설정!$C$15="","",IFERROR(INDEX('1.산군_붙여넣기'!$A$1:$AZ$1001,ROW(),설정!$C$15)&amp;"",""))</f>
        <v/>
      </c>
      <c r="Z351">
        <f>IF(T351,V351&amp;"|"&amp;U351,"")</f>
        <v/>
      </c>
      <c r="AA351">
        <f>IF(NOT(Q351),"",IF(NOT(AND(R351,S351)),"✕",IF(OR(OR(AND(L351&lt;&gt;"",M351&lt;&gt;"",N(M351)-N(L351)&gt;설정!$B$27),AND(L351&lt;&gt;"",M351="",설정!$B$24-N(L351)&gt;설정!$B$27)),AND(D351&lt;&gt;"",D351&lt;설정!$B$26)),"△","★")))</f>
        <v/>
      </c>
      <c r="AB351">
        <f>IF(NOT(T351),"",IF(U351="설계사",설정!$B$31,IF(U351="시공사",IF(OR(M351="",설정!$B$24-N(M351)&lt;=설정!$B$28*30.4),설정!$B$32,설정!$B$33),설정!$B$34))+IF(AA351="★",설정!$B$35,0))</f>
        <v/>
      </c>
      <c r="AC351">
        <f>SUBSTITUTE(SUBSTITUTE(SUBSTITUTE(SUBSTITUTE(H351,"(주)",""),"㈜",""),"주식회사","")," ","")</f>
        <v/>
      </c>
      <c r="AD351">
        <f>IF(AND(T351,AC351&lt;&gt;""),IF(COUNTIFS(AC$2:AC351,AC351,T$2:T351,TRUE)=1,MAX(AD$1:AD350)+1,""),"")</f>
        <v/>
      </c>
    </row>
    <row r="352">
      <c r="A352">
        <f>ROW()</f>
        <v/>
      </c>
      <c r="B352">
        <f>IF(설정!$C$4="","",IFERROR(INDEX('1.산군_붙여넣기'!$A$1:$AZ$1001,ROW(),설정!$C$4)&amp;"",""))</f>
        <v/>
      </c>
      <c r="C352">
        <f>IF(설정!$C$5="","",IFERROR(INDEX('1.산군_붙여넣기'!$A$1:$AZ$1001,ROW(),설정!$C$5)&amp;"",""))</f>
        <v/>
      </c>
      <c r="D352" s="5">
        <f>IFERROR(VALUE(SUBSTITUTE(SUBSTITUTE(SUBSTITUTE(IF(설정!$C$6="","",IFERROR(INDEX('1.산군_붙여넣기'!$A$1:$AZ$1001,ROW(),설정!$C$6)&amp;"","")),",",""),"㎡",""),"m2","")),"")</f>
        <v/>
      </c>
      <c r="E352">
        <f>IF(설정!$C$7="","",IFERROR(INDEX('1.산군_붙여넣기'!$A$1:$AZ$1001,ROW(),설정!$C$7)&amp;"",""))</f>
        <v/>
      </c>
      <c r="F352">
        <f>IF(설정!$C$8="","",IFERROR(INDEX('1.산군_붙여넣기'!$A$1:$AZ$1001,ROW(),설정!$C$8)&amp;"",""))</f>
        <v/>
      </c>
      <c r="G352">
        <f>IF(설정!$C$9="","",IFERROR(INDEX('1.산군_붙여넣기'!$A$1:$AZ$1001,ROW(),설정!$C$9)&amp;"",""))</f>
        <v/>
      </c>
      <c r="H352">
        <f>IF(설정!$C$10="","",IFERROR(INDEX('1.산군_붙여넣기'!$A$1:$AZ$1001,ROW(),설정!$C$10)&amp;"",""))</f>
        <v/>
      </c>
      <c r="I352">
        <f>IF(설정!$C$11="","",IFERROR(INDEX('1.산군_붙여넣기'!$A$1:$AZ$1001,ROW(),설정!$C$11)&amp;"",""))</f>
        <v/>
      </c>
      <c r="J352">
        <f>IF(설정!$C$12="","",IFERROR(INDEX('1.산군_붙여넣기'!$A$1:$AZ$1001,ROW(),설정!$C$12)&amp;"",""))</f>
        <v/>
      </c>
      <c r="K352">
        <f>IF(설정!$C$13="","",IFERROR(INDEX('1.산군_붙여넣기'!$A$1:$AZ$1001,ROW(),설정!$C$13)&amp;"",""))</f>
        <v/>
      </c>
      <c r="L352" s="7">
        <f>IF(X352="","",IF(AND(LEN(X352)=8,ISNUMBER(X352*1)),DATE(LEFT(X352,4),MID(X352,5,2),RIGHT(X352,2)),IFERROR(DATEVALUE(SUBSTITUTE(SUBSTITUTE(X352,".","-"),"/","-")),IFERROR(X352*1,""))))</f>
        <v/>
      </c>
      <c r="M352" s="7">
        <f>IF(Y352="","",IF(AND(LEN(Y352)=8,ISNUMBER(Y352*1)),DATE(LEFT(Y352,4),MID(Y352,5,2),RIGHT(Y352,2)),IFERROR(DATEVALUE(SUBSTITUTE(SUBSTITUTE(Y352,".","-"),"/","-")),IFERROR(Y352*1,""))))</f>
        <v/>
      </c>
      <c r="N352">
        <f>IFERROR(LEFT(B352,FIND(" ",B352)-1),B352)</f>
        <v/>
      </c>
      <c r="O352">
        <f>AND(B352&lt;&gt;"",B352&lt;&gt;설정!$B$4,C352&lt;&gt;설정!$B$5)</f>
        <v/>
      </c>
      <c r="P352">
        <f>IF(O352,B352&amp;"|"&amp;C352,"")</f>
        <v/>
      </c>
      <c r="Q352">
        <f>AND(O352,COUNTIF(P353:P$1002,P352)=0)</f>
        <v/>
      </c>
      <c r="R352">
        <f>OR(AND(설정!$A$42&lt;&gt;"",ISNUMBER(SEARCH(설정!$A$42,E352&amp;" "&amp;C352))),AND(설정!$A$43&lt;&gt;"",ISNUMBER(SEARCH(설정!$A$43,E352&amp;" "&amp;C352))),AND(설정!$A$44&lt;&gt;"",ISNUMBER(SEARCH(설정!$A$44,E352&amp;" "&amp;C352))),AND(설정!$A$45&lt;&gt;"",ISNUMBER(SEARCH(설정!$A$45,E352&amp;" "&amp;C352))),AND(설정!$A$46&lt;&gt;"",ISNUMBER(SEARCH(설정!$A$46,E352&amp;" "&amp;C352))),AND(설정!$A$47&lt;&gt;"",ISNUMBER(SEARCH(설정!$A$47,E352&amp;" "&amp;C352))),AND(설정!$A$48&lt;&gt;"",ISNUMBER(SEARCH(설정!$A$48,E352&amp;" "&amp;C352))),AND(설정!$A$49&lt;&gt;"",ISNUMBER(SEARCH(설정!$A$49,E352&amp;" "&amp;C352))),AND(설정!$A$50&lt;&gt;"",ISNUMBER(SEARCH(설정!$A$50,E352&amp;" "&amp;C352))),AND(설정!$A$51&lt;&gt;"",ISNUMBER(SEARCH(설정!$A$51,E352&amp;" "&amp;C352))))</f>
        <v/>
      </c>
      <c r="S352">
        <f>OR(D352="",D352&gt;=설정!$B$19)</f>
        <v/>
      </c>
      <c r="T352">
        <f>AND(Q352,R352,S352)</f>
        <v/>
      </c>
      <c r="U352">
        <f>IF(T352,IF(AND(설정!$A$54&lt;&gt;"",ISNUMBER(SEARCH(설정!$A$54,K352))),설정!$B$54,IF(AND(설정!$A$55&lt;&gt;"",ISNUMBER(SEARCH(설정!$A$55,K352))),설정!$B$55,IF(AND(설정!$A$56&lt;&gt;"",ISNUMBER(SEARCH(설정!$A$56,K352))),설정!$B$56,IF(AND(설정!$A$57&lt;&gt;"",ISNUMBER(SEARCH(설정!$A$57,K352))),설정!$B$57,IF(AND(설정!$A$58&lt;&gt;"",ISNUMBER(SEARCH(설정!$A$58,K352))),설정!$B$58,IF(AND(설정!$A$59&lt;&gt;"",ISNUMBER(SEARCH(설정!$A$59,K352))),설정!$B$59,IF(AND(설정!$A$60&lt;&gt;"",ISNUMBER(SEARCH(설정!$A$60,K352))),설정!$B$60,IF(AND(설정!$A$61&lt;&gt;"",ISNUMBER(SEARCH(설정!$A$61,K352))),설정!$B$61,IF(M352="","설계사","시공사"))))))))),"")</f>
        <v/>
      </c>
      <c r="V352">
        <f>SUBSTITUTE(SUBSTITUTE(SUBSTITUTE(SUBSTITUTE(G352,"(주)",""),"㈜",""),"주식회사","")," ","")</f>
        <v/>
      </c>
      <c r="W352">
        <f>IF(AND(T352,V352&lt;&gt;""),IF(COUNTIFS(V$2:V352,V352,T$2:T352,TRUE)=1,MAX(W$1:W351)+1,""),"")</f>
        <v/>
      </c>
      <c r="X352">
        <f>IF(설정!$C$14="","",IFERROR(INDEX('1.산군_붙여넣기'!$A$1:$AZ$1001,ROW(),설정!$C$14)&amp;"",""))</f>
        <v/>
      </c>
      <c r="Y352">
        <f>IF(설정!$C$15="","",IFERROR(INDEX('1.산군_붙여넣기'!$A$1:$AZ$1001,ROW(),설정!$C$15)&amp;"",""))</f>
        <v/>
      </c>
      <c r="Z352">
        <f>IF(T352,V352&amp;"|"&amp;U352,"")</f>
        <v/>
      </c>
      <c r="AA352">
        <f>IF(NOT(Q352),"",IF(NOT(AND(R352,S352)),"✕",IF(OR(OR(AND(L352&lt;&gt;"",M352&lt;&gt;"",N(M352)-N(L352)&gt;설정!$B$27),AND(L352&lt;&gt;"",M352="",설정!$B$24-N(L352)&gt;설정!$B$27)),AND(D352&lt;&gt;"",D352&lt;설정!$B$26)),"△","★")))</f>
        <v/>
      </c>
      <c r="AB352">
        <f>IF(NOT(T352),"",IF(U352="설계사",설정!$B$31,IF(U352="시공사",IF(OR(M352="",설정!$B$24-N(M352)&lt;=설정!$B$28*30.4),설정!$B$32,설정!$B$33),설정!$B$34))+IF(AA352="★",설정!$B$35,0))</f>
        <v/>
      </c>
      <c r="AC352">
        <f>SUBSTITUTE(SUBSTITUTE(SUBSTITUTE(SUBSTITUTE(H352,"(주)",""),"㈜",""),"주식회사","")," ","")</f>
        <v/>
      </c>
      <c r="AD352">
        <f>IF(AND(T352,AC352&lt;&gt;""),IF(COUNTIFS(AC$2:AC352,AC352,T$2:T352,TRUE)=1,MAX(AD$1:AD351)+1,""),"")</f>
        <v/>
      </c>
    </row>
    <row r="353">
      <c r="A353">
        <f>ROW()</f>
        <v/>
      </c>
      <c r="B353">
        <f>IF(설정!$C$4="","",IFERROR(INDEX('1.산군_붙여넣기'!$A$1:$AZ$1001,ROW(),설정!$C$4)&amp;"",""))</f>
        <v/>
      </c>
      <c r="C353">
        <f>IF(설정!$C$5="","",IFERROR(INDEX('1.산군_붙여넣기'!$A$1:$AZ$1001,ROW(),설정!$C$5)&amp;"",""))</f>
        <v/>
      </c>
      <c r="D353" s="5">
        <f>IFERROR(VALUE(SUBSTITUTE(SUBSTITUTE(SUBSTITUTE(IF(설정!$C$6="","",IFERROR(INDEX('1.산군_붙여넣기'!$A$1:$AZ$1001,ROW(),설정!$C$6)&amp;"","")),",",""),"㎡",""),"m2","")),"")</f>
        <v/>
      </c>
      <c r="E353">
        <f>IF(설정!$C$7="","",IFERROR(INDEX('1.산군_붙여넣기'!$A$1:$AZ$1001,ROW(),설정!$C$7)&amp;"",""))</f>
        <v/>
      </c>
      <c r="F353">
        <f>IF(설정!$C$8="","",IFERROR(INDEX('1.산군_붙여넣기'!$A$1:$AZ$1001,ROW(),설정!$C$8)&amp;"",""))</f>
        <v/>
      </c>
      <c r="G353">
        <f>IF(설정!$C$9="","",IFERROR(INDEX('1.산군_붙여넣기'!$A$1:$AZ$1001,ROW(),설정!$C$9)&amp;"",""))</f>
        <v/>
      </c>
      <c r="H353">
        <f>IF(설정!$C$10="","",IFERROR(INDEX('1.산군_붙여넣기'!$A$1:$AZ$1001,ROW(),설정!$C$10)&amp;"",""))</f>
        <v/>
      </c>
      <c r="I353">
        <f>IF(설정!$C$11="","",IFERROR(INDEX('1.산군_붙여넣기'!$A$1:$AZ$1001,ROW(),설정!$C$11)&amp;"",""))</f>
        <v/>
      </c>
      <c r="J353">
        <f>IF(설정!$C$12="","",IFERROR(INDEX('1.산군_붙여넣기'!$A$1:$AZ$1001,ROW(),설정!$C$12)&amp;"",""))</f>
        <v/>
      </c>
      <c r="K353">
        <f>IF(설정!$C$13="","",IFERROR(INDEX('1.산군_붙여넣기'!$A$1:$AZ$1001,ROW(),설정!$C$13)&amp;"",""))</f>
        <v/>
      </c>
      <c r="L353" s="7">
        <f>IF(X353="","",IF(AND(LEN(X353)=8,ISNUMBER(X353*1)),DATE(LEFT(X353,4),MID(X353,5,2),RIGHT(X353,2)),IFERROR(DATEVALUE(SUBSTITUTE(SUBSTITUTE(X353,".","-"),"/","-")),IFERROR(X353*1,""))))</f>
        <v/>
      </c>
      <c r="M353" s="7">
        <f>IF(Y353="","",IF(AND(LEN(Y353)=8,ISNUMBER(Y353*1)),DATE(LEFT(Y353,4),MID(Y353,5,2),RIGHT(Y353,2)),IFERROR(DATEVALUE(SUBSTITUTE(SUBSTITUTE(Y353,".","-"),"/","-")),IFERROR(Y353*1,""))))</f>
        <v/>
      </c>
      <c r="N353">
        <f>IFERROR(LEFT(B353,FIND(" ",B353)-1),B353)</f>
        <v/>
      </c>
      <c r="O353">
        <f>AND(B353&lt;&gt;"",B353&lt;&gt;설정!$B$4,C353&lt;&gt;설정!$B$5)</f>
        <v/>
      </c>
      <c r="P353">
        <f>IF(O353,B353&amp;"|"&amp;C353,"")</f>
        <v/>
      </c>
      <c r="Q353">
        <f>AND(O353,COUNTIF(P354:P$1002,P353)=0)</f>
        <v/>
      </c>
      <c r="R353">
        <f>OR(AND(설정!$A$42&lt;&gt;"",ISNUMBER(SEARCH(설정!$A$42,E353&amp;" "&amp;C353))),AND(설정!$A$43&lt;&gt;"",ISNUMBER(SEARCH(설정!$A$43,E353&amp;" "&amp;C353))),AND(설정!$A$44&lt;&gt;"",ISNUMBER(SEARCH(설정!$A$44,E353&amp;" "&amp;C353))),AND(설정!$A$45&lt;&gt;"",ISNUMBER(SEARCH(설정!$A$45,E353&amp;" "&amp;C353))),AND(설정!$A$46&lt;&gt;"",ISNUMBER(SEARCH(설정!$A$46,E353&amp;" "&amp;C353))),AND(설정!$A$47&lt;&gt;"",ISNUMBER(SEARCH(설정!$A$47,E353&amp;" "&amp;C353))),AND(설정!$A$48&lt;&gt;"",ISNUMBER(SEARCH(설정!$A$48,E353&amp;" "&amp;C353))),AND(설정!$A$49&lt;&gt;"",ISNUMBER(SEARCH(설정!$A$49,E353&amp;" "&amp;C353))),AND(설정!$A$50&lt;&gt;"",ISNUMBER(SEARCH(설정!$A$50,E353&amp;" "&amp;C353))),AND(설정!$A$51&lt;&gt;"",ISNUMBER(SEARCH(설정!$A$51,E353&amp;" "&amp;C353))))</f>
        <v/>
      </c>
      <c r="S353">
        <f>OR(D353="",D353&gt;=설정!$B$19)</f>
        <v/>
      </c>
      <c r="T353">
        <f>AND(Q353,R353,S353)</f>
        <v/>
      </c>
      <c r="U353">
        <f>IF(T353,IF(AND(설정!$A$54&lt;&gt;"",ISNUMBER(SEARCH(설정!$A$54,K353))),설정!$B$54,IF(AND(설정!$A$55&lt;&gt;"",ISNUMBER(SEARCH(설정!$A$55,K353))),설정!$B$55,IF(AND(설정!$A$56&lt;&gt;"",ISNUMBER(SEARCH(설정!$A$56,K353))),설정!$B$56,IF(AND(설정!$A$57&lt;&gt;"",ISNUMBER(SEARCH(설정!$A$57,K353))),설정!$B$57,IF(AND(설정!$A$58&lt;&gt;"",ISNUMBER(SEARCH(설정!$A$58,K353))),설정!$B$58,IF(AND(설정!$A$59&lt;&gt;"",ISNUMBER(SEARCH(설정!$A$59,K353))),설정!$B$59,IF(AND(설정!$A$60&lt;&gt;"",ISNUMBER(SEARCH(설정!$A$60,K353))),설정!$B$60,IF(AND(설정!$A$61&lt;&gt;"",ISNUMBER(SEARCH(설정!$A$61,K353))),설정!$B$61,IF(M353="","설계사","시공사"))))))))),"")</f>
        <v/>
      </c>
      <c r="V353">
        <f>SUBSTITUTE(SUBSTITUTE(SUBSTITUTE(SUBSTITUTE(G353,"(주)",""),"㈜",""),"주식회사","")," ","")</f>
        <v/>
      </c>
      <c r="W353">
        <f>IF(AND(T353,V353&lt;&gt;""),IF(COUNTIFS(V$2:V353,V353,T$2:T353,TRUE)=1,MAX(W$1:W352)+1,""),"")</f>
        <v/>
      </c>
      <c r="X353">
        <f>IF(설정!$C$14="","",IFERROR(INDEX('1.산군_붙여넣기'!$A$1:$AZ$1001,ROW(),설정!$C$14)&amp;"",""))</f>
        <v/>
      </c>
      <c r="Y353">
        <f>IF(설정!$C$15="","",IFERROR(INDEX('1.산군_붙여넣기'!$A$1:$AZ$1001,ROW(),설정!$C$15)&amp;"",""))</f>
        <v/>
      </c>
      <c r="Z353">
        <f>IF(T353,V353&amp;"|"&amp;U353,"")</f>
        <v/>
      </c>
      <c r="AA353">
        <f>IF(NOT(Q353),"",IF(NOT(AND(R353,S353)),"✕",IF(OR(OR(AND(L353&lt;&gt;"",M353&lt;&gt;"",N(M353)-N(L353)&gt;설정!$B$27),AND(L353&lt;&gt;"",M353="",설정!$B$24-N(L353)&gt;설정!$B$27)),AND(D353&lt;&gt;"",D353&lt;설정!$B$26)),"△","★")))</f>
        <v/>
      </c>
      <c r="AB353">
        <f>IF(NOT(T353),"",IF(U353="설계사",설정!$B$31,IF(U353="시공사",IF(OR(M353="",설정!$B$24-N(M353)&lt;=설정!$B$28*30.4),설정!$B$32,설정!$B$33),설정!$B$34))+IF(AA353="★",설정!$B$35,0))</f>
        <v/>
      </c>
      <c r="AC353">
        <f>SUBSTITUTE(SUBSTITUTE(SUBSTITUTE(SUBSTITUTE(H353,"(주)",""),"㈜",""),"주식회사","")," ","")</f>
        <v/>
      </c>
      <c r="AD353">
        <f>IF(AND(T353,AC353&lt;&gt;""),IF(COUNTIFS(AC$2:AC353,AC353,T$2:T353,TRUE)=1,MAX(AD$1:AD352)+1,""),"")</f>
        <v/>
      </c>
    </row>
    <row r="354">
      <c r="A354">
        <f>ROW()</f>
        <v/>
      </c>
      <c r="B354">
        <f>IF(설정!$C$4="","",IFERROR(INDEX('1.산군_붙여넣기'!$A$1:$AZ$1001,ROW(),설정!$C$4)&amp;"",""))</f>
        <v/>
      </c>
      <c r="C354">
        <f>IF(설정!$C$5="","",IFERROR(INDEX('1.산군_붙여넣기'!$A$1:$AZ$1001,ROW(),설정!$C$5)&amp;"",""))</f>
        <v/>
      </c>
      <c r="D354" s="5">
        <f>IFERROR(VALUE(SUBSTITUTE(SUBSTITUTE(SUBSTITUTE(IF(설정!$C$6="","",IFERROR(INDEX('1.산군_붙여넣기'!$A$1:$AZ$1001,ROW(),설정!$C$6)&amp;"","")),",",""),"㎡",""),"m2","")),"")</f>
        <v/>
      </c>
      <c r="E354">
        <f>IF(설정!$C$7="","",IFERROR(INDEX('1.산군_붙여넣기'!$A$1:$AZ$1001,ROW(),설정!$C$7)&amp;"",""))</f>
        <v/>
      </c>
      <c r="F354">
        <f>IF(설정!$C$8="","",IFERROR(INDEX('1.산군_붙여넣기'!$A$1:$AZ$1001,ROW(),설정!$C$8)&amp;"",""))</f>
        <v/>
      </c>
      <c r="G354">
        <f>IF(설정!$C$9="","",IFERROR(INDEX('1.산군_붙여넣기'!$A$1:$AZ$1001,ROW(),설정!$C$9)&amp;"",""))</f>
        <v/>
      </c>
      <c r="H354">
        <f>IF(설정!$C$10="","",IFERROR(INDEX('1.산군_붙여넣기'!$A$1:$AZ$1001,ROW(),설정!$C$10)&amp;"",""))</f>
        <v/>
      </c>
      <c r="I354">
        <f>IF(설정!$C$11="","",IFERROR(INDEX('1.산군_붙여넣기'!$A$1:$AZ$1001,ROW(),설정!$C$11)&amp;"",""))</f>
        <v/>
      </c>
      <c r="J354">
        <f>IF(설정!$C$12="","",IFERROR(INDEX('1.산군_붙여넣기'!$A$1:$AZ$1001,ROW(),설정!$C$12)&amp;"",""))</f>
        <v/>
      </c>
      <c r="K354">
        <f>IF(설정!$C$13="","",IFERROR(INDEX('1.산군_붙여넣기'!$A$1:$AZ$1001,ROW(),설정!$C$13)&amp;"",""))</f>
        <v/>
      </c>
      <c r="L354" s="7">
        <f>IF(X354="","",IF(AND(LEN(X354)=8,ISNUMBER(X354*1)),DATE(LEFT(X354,4),MID(X354,5,2),RIGHT(X354,2)),IFERROR(DATEVALUE(SUBSTITUTE(SUBSTITUTE(X354,".","-"),"/","-")),IFERROR(X354*1,""))))</f>
        <v/>
      </c>
      <c r="M354" s="7">
        <f>IF(Y354="","",IF(AND(LEN(Y354)=8,ISNUMBER(Y354*1)),DATE(LEFT(Y354,4),MID(Y354,5,2),RIGHT(Y354,2)),IFERROR(DATEVALUE(SUBSTITUTE(SUBSTITUTE(Y354,".","-"),"/","-")),IFERROR(Y354*1,""))))</f>
        <v/>
      </c>
      <c r="N354">
        <f>IFERROR(LEFT(B354,FIND(" ",B354)-1),B354)</f>
        <v/>
      </c>
      <c r="O354">
        <f>AND(B354&lt;&gt;"",B354&lt;&gt;설정!$B$4,C354&lt;&gt;설정!$B$5)</f>
        <v/>
      </c>
      <c r="P354">
        <f>IF(O354,B354&amp;"|"&amp;C354,"")</f>
        <v/>
      </c>
      <c r="Q354">
        <f>AND(O354,COUNTIF(P355:P$1002,P354)=0)</f>
        <v/>
      </c>
      <c r="R354">
        <f>OR(AND(설정!$A$42&lt;&gt;"",ISNUMBER(SEARCH(설정!$A$42,E354&amp;" "&amp;C354))),AND(설정!$A$43&lt;&gt;"",ISNUMBER(SEARCH(설정!$A$43,E354&amp;" "&amp;C354))),AND(설정!$A$44&lt;&gt;"",ISNUMBER(SEARCH(설정!$A$44,E354&amp;" "&amp;C354))),AND(설정!$A$45&lt;&gt;"",ISNUMBER(SEARCH(설정!$A$45,E354&amp;" "&amp;C354))),AND(설정!$A$46&lt;&gt;"",ISNUMBER(SEARCH(설정!$A$46,E354&amp;" "&amp;C354))),AND(설정!$A$47&lt;&gt;"",ISNUMBER(SEARCH(설정!$A$47,E354&amp;" "&amp;C354))),AND(설정!$A$48&lt;&gt;"",ISNUMBER(SEARCH(설정!$A$48,E354&amp;" "&amp;C354))),AND(설정!$A$49&lt;&gt;"",ISNUMBER(SEARCH(설정!$A$49,E354&amp;" "&amp;C354))),AND(설정!$A$50&lt;&gt;"",ISNUMBER(SEARCH(설정!$A$50,E354&amp;" "&amp;C354))),AND(설정!$A$51&lt;&gt;"",ISNUMBER(SEARCH(설정!$A$51,E354&amp;" "&amp;C354))))</f>
        <v/>
      </c>
      <c r="S354">
        <f>OR(D354="",D354&gt;=설정!$B$19)</f>
        <v/>
      </c>
      <c r="T354">
        <f>AND(Q354,R354,S354)</f>
        <v/>
      </c>
      <c r="U354">
        <f>IF(T354,IF(AND(설정!$A$54&lt;&gt;"",ISNUMBER(SEARCH(설정!$A$54,K354))),설정!$B$54,IF(AND(설정!$A$55&lt;&gt;"",ISNUMBER(SEARCH(설정!$A$55,K354))),설정!$B$55,IF(AND(설정!$A$56&lt;&gt;"",ISNUMBER(SEARCH(설정!$A$56,K354))),설정!$B$56,IF(AND(설정!$A$57&lt;&gt;"",ISNUMBER(SEARCH(설정!$A$57,K354))),설정!$B$57,IF(AND(설정!$A$58&lt;&gt;"",ISNUMBER(SEARCH(설정!$A$58,K354))),설정!$B$58,IF(AND(설정!$A$59&lt;&gt;"",ISNUMBER(SEARCH(설정!$A$59,K354))),설정!$B$59,IF(AND(설정!$A$60&lt;&gt;"",ISNUMBER(SEARCH(설정!$A$60,K354))),설정!$B$60,IF(AND(설정!$A$61&lt;&gt;"",ISNUMBER(SEARCH(설정!$A$61,K354))),설정!$B$61,IF(M354="","설계사","시공사"))))))))),"")</f>
        <v/>
      </c>
      <c r="V354">
        <f>SUBSTITUTE(SUBSTITUTE(SUBSTITUTE(SUBSTITUTE(G354,"(주)",""),"㈜",""),"주식회사","")," ","")</f>
        <v/>
      </c>
      <c r="W354">
        <f>IF(AND(T354,V354&lt;&gt;""),IF(COUNTIFS(V$2:V354,V354,T$2:T354,TRUE)=1,MAX(W$1:W353)+1,""),"")</f>
        <v/>
      </c>
      <c r="X354">
        <f>IF(설정!$C$14="","",IFERROR(INDEX('1.산군_붙여넣기'!$A$1:$AZ$1001,ROW(),설정!$C$14)&amp;"",""))</f>
        <v/>
      </c>
      <c r="Y354">
        <f>IF(설정!$C$15="","",IFERROR(INDEX('1.산군_붙여넣기'!$A$1:$AZ$1001,ROW(),설정!$C$15)&amp;"",""))</f>
        <v/>
      </c>
      <c r="Z354">
        <f>IF(T354,V354&amp;"|"&amp;U354,"")</f>
        <v/>
      </c>
      <c r="AA354">
        <f>IF(NOT(Q354),"",IF(NOT(AND(R354,S354)),"✕",IF(OR(OR(AND(L354&lt;&gt;"",M354&lt;&gt;"",N(M354)-N(L354)&gt;설정!$B$27),AND(L354&lt;&gt;"",M354="",설정!$B$24-N(L354)&gt;설정!$B$27)),AND(D354&lt;&gt;"",D354&lt;설정!$B$26)),"△","★")))</f>
        <v/>
      </c>
      <c r="AB354">
        <f>IF(NOT(T354),"",IF(U354="설계사",설정!$B$31,IF(U354="시공사",IF(OR(M354="",설정!$B$24-N(M354)&lt;=설정!$B$28*30.4),설정!$B$32,설정!$B$33),설정!$B$34))+IF(AA354="★",설정!$B$35,0))</f>
        <v/>
      </c>
      <c r="AC354">
        <f>SUBSTITUTE(SUBSTITUTE(SUBSTITUTE(SUBSTITUTE(H354,"(주)",""),"㈜",""),"주식회사","")," ","")</f>
        <v/>
      </c>
      <c r="AD354">
        <f>IF(AND(T354,AC354&lt;&gt;""),IF(COUNTIFS(AC$2:AC354,AC354,T$2:T354,TRUE)=1,MAX(AD$1:AD353)+1,""),"")</f>
        <v/>
      </c>
    </row>
    <row r="355">
      <c r="A355">
        <f>ROW()</f>
        <v/>
      </c>
      <c r="B355">
        <f>IF(설정!$C$4="","",IFERROR(INDEX('1.산군_붙여넣기'!$A$1:$AZ$1001,ROW(),설정!$C$4)&amp;"",""))</f>
        <v/>
      </c>
      <c r="C355">
        <f>IF(설정!$C$5="","",IFERROR(INDEX('1.산군_붙여넣기'!$A$1:$AZ$1001,ROW(),설정!$C$5)&amp;"",""))</f>
        <v/>
      </c>
      <c r="D355" s="5">
        <f>IFERROR(VALUE(SUBSTITUTE(SUBSTITUTE(SUBSTITUTE(IF(설정!$C$6="","",IFERROR(INDEX('1.산군_붙여넣기'!$A$1:$AZ$1001,ROW(),설정!$C$6)&amp;"","")),",",""),"㎡",""),"m2","")),"")</f>
        <v/>
      </c>
      <c r="E355">
        <f>IF(설정!$C$7="","",IFERROR(INDEX('1.산군_붙여넣기'!$A$1:$AZ$1001,ROW(),설정!$C$7)&amp;"",""))</f>
        <v/>
      </c>
      <c r="F355">
        <f>IF(설정!$C$8="","",IFERROR(INDEX('1.산군_붙여넣기'!$A$1:$AZ$1001,ROW(),설정!$C$8)&amp;"",""))</f>
        <v/>
      </c>
      <c r="G355">
        <f>IF(설정!$C$9="","",IFERROR(INDEX('1.산군_붙여넣기'!$A$1:$AZ$1001,ROW(),설정!$C$9)&amp;"",""))</f>
        <v/>
      </c>
      <c r="H355">
        <f>IF(설정!$C$10="","",IFERROR(INDEX('1.산군_붙여넣기'!$A$1:$AZ$1001,ROW(),설정!$C$10)&amp;"",""))</f>
        <v/>
      </c>
      <c r="I355">
        <f>IF(설정!$C$11="","",IFERROR(INDEX('1.산군_붙여넣기'!$A$1:$AZ$1001,ROW(),설정!$C$11)&amp;"",""))</f>
        <v/>
      </c>
      <c r="J355">
        <f>IF(설정!$C$12="","",IFERROR(INDEX('1.산군_붙여넣기'!$A$1:$AZ$1001,ROW(),설정!$C$12)&amp;"",""))</f>
        <v/>
      </c>
      <c r="K355">
        <f>IF(설정!$C$13="","",IFERROR(INDEX('1.산군_붙여넣기'!$A$1:$AZ$1001,ROW(),설정!$C$13)&amp;"",""))</f>
        <v/>
      </c>
      <c r="L355" s="7">
        <f>IF(X355="","",IF(AND(LEN(X355)=8,ISNUMBER(X355*1)),DATE(LEFT(X355,4),MID(X355,5,2),RIGHT(X355,2)),IFERROR(DATEVALUE(SUBSTITUTE(SUBSTITUTE(X355,".","-"),"/","-")),IFERROR(X355*1,""))))</f>
        <v/>
      </c>
      <c r="M355" s="7">
        <f>IF(Y355="","",IF(AND(LEN(Y355)=8,ISNUMBER(Y355*1)),DATE(LEFT(Y355,4),MID(Y355,5,2),RIGHT(Y355,2)),IFERROR(DATEVALUE(SUBSTITUTE(SUBSTITUTE(Y355,".","-"),"/","-")),IFERROR(Y355*1,""))))</f>
        <v/>
      </c>
      <c r="N355">
        <f>IFERROR(LEFT(B355,FIND(" ",B355)-1),B355)</f>
        <v/>
      </c>
      <c r="O355">
        <f>AND(B355&lt;&gt;"",B355&lt;&gt;설정!$B$4,C355&lt;&gt;설정!$B$5)</f>
        <v/>
      </c>
      <c r="P355">
        <f>IF(O355,B355&amp;"|"&amp;C355,"")</f>
        <v/>
      </c>
      <c r="Q355">
        <f>AND(O355,COUNTIF(P356:P$1002,P355)=0)</f>
        <v/>
      </c>
      <c r="R355">
        <f>OR(AND(설정!$A$42&lt;&gt;"",ISNUMBER(SEARCH(설정!$A$42,E355&amp;" "&amp;C355))),AND(설정!$A$43&lt;&gt;"",ISNUMBER(SEARCH(설정!$A$43,E355&amp;" "&amp;C355))),AND(설정!$A$44&lt;&gt;"",ISNUMBER(SEARCH(설정!$A$44,E355&amp;" "&amp;C355))),AND(설정!$A$45&lt;&gt;"",ISNUMBER(SEARCH(설정!$A$45,E355&amp;" "&amp;C355))),AND(설정!$A$46&lt;&gt;"",ISNUMBER(SEARCH(설정!$A$46,E355&amp;" "&amp;C355))),AND(설정!$A$47&lt;&gt;"",ISNUMBER(SEARCH(설정!$A$47,E355&amp;" "&amp;C355))),AND(설정!$A$48&lt;&gt;"",ISNUMBER(SEARCH(설정!$A$48,E355&amp;" "&amp;C355))),AND(설정!$A$49&lt;&gt;"",ISNUMBER(SEARCH(설정!$A$49,E355&amp;" "&amp;C355))),AND(설정!$A$50&lt;&gt;"",ISNUMBER(SEARCH(설정!$A$50,E355&amp;" "&amp;C355))),AND(설정!$A$51&lt;&gt;"",ISNUMBER(SEARCH(설정!$A$51,E355&amp;" "&amp;C355))))</f>
        <v/>
      </c>
      <c r="S355">
        <f>OR(D355="",D355&gt;=설정!$B$19)</f>
        <v/>
      </c>
      <c r="T355">
        <f>AND(Q355,R355,S355)</f>
        <v/>
      </c>
      <c r="U355">
        <f>IF(T355,IF(AND(설정!$A$54&lt;&gt;"",ISNUMBER(SEARCH(설정!$A$54,K355))),설정!$B$54,IF(AND(설정!$A$55&lt;&gt;"",ISNUMBER(SEARCH(설정!$A$55,K355))),설정!$B$55,IF(AND(설정!$A$56&lt;&gt;"",ISNUMBER(SEARCH(설정!$A$56,K355))),설정!$B$56,IF(AND(설정!$A$57&lt;&gt;"",ISNUMBER(SEARCH(설정!$A$57,K355))),설정!$B$57,IF(AND(설정!$A$58&lt;&gt;"",ISNUMBER(SEARCH(설정!$A$58,K355))),설정!$B$58,IF(AND(설정!$A$59&lt;&gt;"",ISNUMBER(SEARCH(설정!$A$59,K355))),설정!$B$59,IF(AND(설정!$A$60&lt;&gt;"",ISNUMBER(SEARCH(설정!$A$60,K355))),설정!$B$60,IF(AND(설정!$A$61&lt;&gt;"",ISNUMBER(SEARCH(설정!$A$61,K355))),설정!$B$61,IF(M355="","설계사","시공사"))))))))),"")</f>
        <v/>
      </c>
      <c r="V355">
        <f>SUBSTITUTE(SUBSTITUTE(SUBSTITUTE(SUBSTITUTE(G355,"(주)",""),"㈜",""),"주식회사","")," ","")</f>
        <v/>
      </c>
      <c r="W355">
        <f>IF(AND(T355,V355&lt;&gt;""),IF(COUNTIFS(V$2:V355,V355,T$2:T355,TRUE)=1,MAX(W$1:W354)+1,""),"")</f>
        <v/>
      </c>
      <c r="X355">
        <f>IF(설정!$C$14="","",IFERROR(INDEX('1.산군_붙여넣기'!$A$1:$AZ$1001,ROW(),설정!$C$14)&amp;"",""))</f>
        <v/>
      </c>
      <c r="Y355">
        <f>IF(설정!$C$15="","",IFERROR(INDEX('1.산군_붙여넣기'!$A$1:$AZ$1001,ROW(),설정!$C$15)&amp;"",""))</f>
        <v/>
      </c>
      <c r="Z355">
        <f>IF(T355,V355&amp;"|"&amp;U355,"")</f>
        <v/>
      </c>
      <c r="AA355">
        <f>IF(NOT(Q355),"",IF(NOT(AND(R355,S355)),"✕",IF(OR(OR(AND(L355&lt;&gt;"",M355&lt;&gt;"",N(M355)-N(L355)&gt;설정!$B$27),AND(L355&lt;&gt;"",M355="",설정!$B$24-N(L355)&gt;설정!$B$27)),AND(D355&lt;&gt;"",D355&lt;설정!$B$26)),"△","★")))</f>
        <v/>
      </c>
      <c r="AB355">
        <f>IF(NOT(T355),"",IF(U355="설계사",설정!$B$31,IF(U355="시공사",IF(OR(M355="",설정!$B$24-N(M355)&lt;=설정!$B$28*30.4),설정!$B$32,설정!$B$33),설정!$B$34))+IF(AA355="★",설정!$B$35,0))</f>
        <v/>
      </c>
      <c r="AC355">
        <f>SUBSTITUTE(SUBSTITUTE(SUBSTITUTE(SUBSTITUTE(H355,"(주)",""),"㈜",""),"주식회사","")," ","")</f>
        <v/>
      </c>
      <c r="AD355">
        <f>IF(AND(T355,AC355&lt;&gt;""),IF(COUNTIFS(AC$2:AC355,AC355,T$2:T355,TRUE)=1,MAX(AD$1:AD354)+1,""),"")</f>
        <v/>
      </c>
    </row>
    <row r="356">
      <c r="A356">
        <f>ROW()</f>
        <v/>
      </c>
      <c r="B356">
        <f>IF(설정!$C$4="","",IFERROR(INDEX('1.산군_붙여넣기'!$A$1:$AZ$1001,ROW(),설정!$C$4)&amp;"",""))</f>
        <v/>
      </c>
      <c r="C356">
        <f>IF(설정!$C$5="","",IFERROR(INDEX('1.산군_붙여넣기'!$A$1:$AZ$1001,ROW(),설정!$C$5)&amp;"",""))</f>
        <v/>
      </c>
      <c r="D356" s="5">
        <f>IFERROR(VALUE(SUBSTITUTE(SUBSTITUTE(SUBSTITUTE(IF(설정!$C$6="","",IFERROR(INDEX('1.산군_붙여넣기'!$A$1:$AZ$1001,ROW(),설정!$C$6)&amp;"","")),",",""),"㎡",""),"m2","")),"")</f>
        <v/>
      </c>
      <c r="E356">
        <f>IF(설정!$C$7="","",IFERROR(INDEX('1.산군_붙여넣기'!$A$1:$AZ$1001,ROW(),설정!$C$7)&amp;"",""))</f>
        <v/>
      </c>
      <c r="F356">
        <f>IF(설정!$C$8="","",IFERROR(INDEX('1.산군_붙여넣기'!$A$1:$AZ$1001,ROW(),설정!$C$8)&amp;"",""))</f>
        <v/>
      </c>
      <c r="G356">
        <f>IF(설정!$C$9="","",IFERROR(INDEX('1.산군_붙여넣기'!$A$1:$AZ$1001,ROW(),설정!$C$9)&amp;"",""))</f>
        <v/>
      </c>
      <c r="H356">
        <f>IF(설정!$C$10="","",IFERROR(INDEX('1.산군_붙여넣기'!$A$1:$AZ$1001,ROW(),설정!$C$10)&amp;"",""))</f>
        <v/>
      </c>
      <c r="I356">
        <f>IF(설정!$C$11="","",IFERROR(INDEX('1.산군_붙여넣기'!$A$1:$AZ$1001,ROW(),설정!$C$11)&amp;"",""))</f>
        <v/>
      </c>
      <c r="J356">
        <f>IF(설정!$C$12="","",IFERROR(INDEX('1.산군_붙여넣기'!$A$1:$AZ$1001,ROW(),설정!$C$12)&amp;"",""))</f>
        <v/>
      </c>
      <c r="K356">
        <f>IF(설정!$C$13="","",IFERROR(INDEX('1.산군_붙여넣기'!$A$1:$AZ$1001,ROW(),설정!$C$13)&amp;"",""))</f>
        <v/>
      </c>
      <c r="L356" s="7">
        <f>IF(X356="","",IF(AND(LEN(X356)=8,ISNUMBER(X356*1)),DATE(LEFT(X356,4),MID(X356,5,2),RIGHT(X356,2)),IFERROR(DATEVALUE(SUBSTITUTE(SUBSTITUTE(X356,".","-"),"/","-")),IFERROR(X356*1,""))))</f>
        <v/>
      </c>
      <c r="M356" s="7">
        <f>IF(Y356="","",IF(AND(LEN(Y356)=8,ISNUMBER(Y356*1)),DATE(LEFT(Y356,4),MID(Y356,5,2),RIGHT(Y356,2)),IFERROR(DATEVALUE(SUBSTITUTE(SUBSTITUTE(Y356,".","-"),"/","-")),IFERROR(Y356*1,""))))</f>
        <v/>
      </c>
      <c r="N356">
        <f>IFERROR(LEFT(B356,FIND(" ",B356)-1),B356)</f>
        <v/>
      </c>
      <c r="O356">
        <f>AND(B356&lt;&gt;"",B356&lt;&gt;설정!$B$4,C356&lt;&gt;설정!$B$5)</f>
        <v/>
      </c>
      <c r="P356">
        <f>IF(O356,B356&amp;"|"&amp;C356,"")</f>
        <v/>
      </c>
      <c r="Q356">
        <f>AND(O356,COUNTIF(P357:P$1002,P356)=0)</f>
        <v/>
      </c>
      <c r="R356">
        <f>OR(AND(설정!$A$42&lt;&gt;"",ISNUMBER(SEARCH(설정!$A$42,E356&amp;" "&amp;C356))),AND(설정!$A$43&lt;&gt;"",ISNUMBER(SEARCH(설정!$A$43,E356&amp;" "&amp;C356))),AND(설정!$A$44&lt;&gt;"",ISNUMBER(SEARCH(설정!$A$44,E356&amp;" "&amp;C356))),AND(설정!$A$45&lt;&gt;"",ISNUMBER(SEARCH(설정!$A$45,E356&amp;" "&amp;C356))),AND(설정!$A$46&lt;&gt;"",ISNUMBER(SEARCH(설정!$A$46,E356&amp;" "&amp;C356))),AND(설정!$A$47&lt;&gt;"",ISNUMBER(SEARCH(설정!$A$47,E356&amp;" "&amp;C356))),AND(설정!$A$48&lt;&gt;"",ISNUMBER(SEARCH(설정!$A$48,E356&amp;" "&amp;C356))),AND(설정!$A$49&lt;&gt;"",ISNUMBER(SEARCH(설정!$A$49,E356&amp;" "&amp;C356))),AND(설정!$A$50&lt;&gt;"",ISNUMBER(SEARCH(설정!$A$50,E356&amp;" "&amp;C356))),AND(설정!$A$51&lt;&gt;"",ISNUMBER(SEARCH(설정!$A$51,E356&amp;" "&amp;C356))))</f>
        <v/>
      </c>
      <c r="S356">
        <f>OR(D356="",D356&gt;=설정!$B$19)</f>
        <v/>
      </c>
      <c r="T356">
        <f>AND(Q356,R356,S356)</f>
        <v/>
      </c>
      <c r="U356">
        <f>IF(T356,IF(AND(설정!$A$54&lt;&gt;"",ISNUMBER(SEARCH(설정!$A$54,K356))),설정!$B$54,IF(AND(설정!$A$55&lt;&gt;"",ISNUMBER(SEARCH(설정!$A$55,K356))),설정!$B$55,IF(AND(설정!$A$56&lt;&gt;"",ISNUMBER(SEARCH(설정!$A$56,K356))),설정!$B$56,IF(AND(설정!$A$57&lt;&gt;"",ISNUMBER(SEARCH(설정!$A$57,K356))),설정!$B$57,IF(AND(설정!$A$58&lt;&gt;"",ISNUMBER(SEARCH(설정!$A$58,K356))),설정!$B$58,IF(AND(설정!$A$59&lt;&gt;"",ISNUMBER(SEARCH(설정!$A$59,K356))),설정!$B$59,IF(AND(설정!$A$60&lt;&gt;"",ISNUMBER(SEARCH(설정!$A$60,K356))),설정!$B$60,IF(AND(설정!$A$61&lt;&gt;"",ISNUMBER(SEARCH(설정!$A$61,K356))),설정!$B$61,IF(M356="","설계사","시공사"))))))))),"")</f>
        <v/>
      </c>
      <c r="V356">
        <f>SUBSTITUTE(SUBSTITUTE(SUBSTITUTE(SUBSTITUTE(G356,"(주)",""),"㈜",""),"주식회사","")," ","")</f>
        <v/>
      </c>
      <c r="W356">
        <f>IF(AND(T356,V356&lt;&gt;""),IF(COUNTIFS(V$2:V356,V356,T$2:T356,TRUE)=1,MAX(W$1:W355)+1,""),"")</f>
        <v/>
      </c>
      <c r="X356">
        <f>IF(설정!$C$14="","",IFERROR(INDEX('1.산군_붙여넣기'!$A$1:$AZ$1001,ROW(),설정!$C$14)&amp;"",""))</f>
        <v/>
      </c>
      <c r="Y356">
        <f>IF(설정!$C$15="","",IFERROR(INDEX('1.산군_붙여넣기'!$A$1:$AZ$1001,ROW(),설정!$C$15)&amp;"",""))</f>
        <v/>
      </c>
      <c r="Z356">
        <f>IF(T356,V356&amp;"|"&amp;U356,"")</f>
        <v/>
      </c>
      <c r="AA356">
        <f>IF(NOT(Q356),"",IF(NOT(AND(R356,S356)),"✕",IF(OR(OR(AND(L356&lt;&gt;"",M356&lt;&gt;"",N(M356)-N(L356)&gt;설정!$B$27),AND(L356&lt;&gt;"",M356="",설정!$B$24-N(L356)&gt;설정!$B$27)),AND(D356&lt;&gt;"",D356&lt;설정!$B$26)),"△","★")))</f>
        <v/>
      </c>
      <c r="AB356">
        <f>IF(NOT(T356),"",IF(U356="설계사",설정!$B$31,IF(U356="시공사",IF(OR(M356="",설정!$B$24-N(M356)&lt;=설정!$B$28*30.4),설정!$B$32,설정!$B$33),설정!$B$34))+IF(AA356="★",설정!$B$35,0))</f>
        <v/>
      </c>
      <c r="AC356">
        <f>SUBSTITUTE(SUBSTITUTE(SUBSTITUTE(SUBSTITUTE(H356,"(주)",""),"㈜",""),"주식회사","")," ","")</f>
        <v/>
      </c>
      <c r="AD356">
        <f>IF(AND(T356,AC356&lt;&gt;""),IF(COUNTIFS(AC$2:AC356,AC356,T$2:T356,TRUE)=1,MAX(AD$1:AD355)+1,""),"")</f>
        <v/>
      </c>
    </row>
    <row r="357">
      <c r="A357">
        <f>ROW()</f>
        <v/>
      </c>
      <c r="B357">
        <f>IF(설정!$C$4="","",IFERROR(INDEX('1.산군_붙여넣기'!$A$1:$AZ$1001,ROW(),설정!$C$4)&amp;"",""))</f>
        <v/>
      </c>
      <c r="C357">
        <f>IF(설정!$C$5="","",IFERROR(INDEX('1.산군_붙여넣기'!$A$1:$AZ$1001,ROW(),설정!$C$5)&amp;"",""))</f>
        <v/>
      </c>
      <c r="D357" s="5">
        <f>IFERROR(VALUE(SUBSTITUTE(SUBSTITUTE(SUBSTITUTE(IF(설정!$C$6="","",IFERROR(INDEX('1.산군_붙여넣기'!$A$1:$AZ$1001,ROW(),설정!$C$6)&amp;"","")),",",""),"㎡",""),"m2","")),"")</f>
        <v/>
      </c>
      <c r="E357">
        <f>IF(설정!$C$7="","",IFERROR(INDEX('1.산군_붙여넣기'!$A$1:$AZ$1001,ROW(),설정!$C$7)&amp;"",""))</f>
        <v/>
      </c>
      <c r="F357">
        <f>IF(설정!$C$8="","",IFERROR(INDEX('1.산군_붙여넣기'!$A$1:$AZ$1001,ROW(),설정!$C$8)&amp;"",""))</f>
        <v/>
      </c>
      <c r="G357">
        <f>IF(설정!$C$9="","",IFERROR(INDEX('1.산군_붙여넣기'!$A$1:$AZ$1001,ROW(),설정!$C$9)&amp;"",""))</f>
        <v/>
      </c>
      <c r="H357">
        <f>IF(설정!$C$10="","",IFERROR(INDEX('1.산군_붙여넣기'!$A$1:$AZ$1001,ROW(),설정!$C$10)&amp;"",""))</f>
        <v/>
      </c>
      <c r="I357">
        <f>IF(설정!$C$11="","",IFERROR(INDEX('1.산군_붙여넣기'!$A$1:$AZ$1001,ROW(),설정!$C$11)&amp;"",""))</f>
        <v/>
      </c>
      <c r="J357">
        <f>IF(설정!$C$12="","",IFERROR(INDEX('1.산군_붙여넣기'!$A$1:$AZ$1001,ROW(),설정!$C$12)&amp;"",""))</f>
        <v/>
      </c>
      <c r="K357">
        <f>IF(설정!$C$13="","",IFERROR(INDEX('1.산군_붙여넣기'!$A$1:$AZ$1001,ROW(),설정!$C$13)&amp;"",""))</f>
        <v/>
      </c>
      <c r="L357" s="7">
        <f>IF(X357="","",IF(AND(LEN(X357)=8,ISNUMBER(X357*1)),DATE(LEFT(X357,4),MID(X357,5,2),RIGHT(X357,2)),IFERROR(DATEVALUE(SUBSTITUTE(SUBSTITUTE(X357,".","-"),"/","-")),IFERROR(X357*1,""))))</f>
        <v/>
      </c>
      <c r="M357" s="7">
        <f>IF(Y357="","",IF(AND(LEN(Y357)=8,ISNUMBER(Y357*1)),DATE(LEFT(Y357,4),MID(Y357,5,2),RIGHT(Y357,2)),IFERROR(DATEVALUE(SUBSTITUTE(SUBSTITUTE(Y357,".","-"),"/","-")),IFERROR(Y357*1,""))))</f>
        <v/>
      </c>
      <c r="N357">
        <f>IFERROR(LEFT(B357,FIND(" ",B357)-1),B357)</f>
        <v/>
      </c>
      <c r="O357">
        <f>AND(B357&lt;&gt;"",B357&lt;&gt;설정!$B$4,C357&lt;&gt;설정!$B$5)</f>
        <v/>
      </c>
      <c r="P357">
        <f>IF(O357,B357&amp;"|"&amp;C357,"")</f>
        <v/>
      </c>
      <c r="Q357">
        <f>AND(O357,COUNTIF(P358:P$1002,P357)=0)</f>
        <v/>
      </c>
      <c r="R357">
        <f>OR(AND(설정!$A$42&lt;&gt;"",ISNUMBER(SEARCH(설정!$A$42,E357&amp;" "&amp;C357))),AND(설정!$A$43&lt;&gt;"",ISNUMBER(SEARCH(설정!$A$43,E357&amp;" "&amp;C357))),AND(설정!$A$44&lt;&gt;"",ISNUMBER(SEARCH(설정!$A$44,E357&amp;" "&amp;C357))),AND(설정!$A$45&lt;&gt;"",ISNUMBER(SEARCH(설정!$A$45,E357&amp;" "&amp;C357))),AND(설정!$A$46&lt;&gt;"",ISNUMBER(SEARCH(설정!$A$46,E357&amp;" "&amp;C357))),AND(설정!$A$47&lt;&gt;"",ISNUMBER(SEARCH(설정!$A$47,E357&amp;" "&amp;C357))),AND(설정!$A$48&lt;&gt;"",ISNUMBER(SEARCH(설정!$A$48,E357&amp;" "&amp;C357))),AND(설정!$A$49&lt;&gt;"",ISNUMBER(SEARCH(설정!$A$49,E357&amp;" "&amp;C357))),AND(설정!$A$50&lt;&gt;"",ISNUMBER(SEARCH(설정!$A$50,E357&amp;" "&amp;C357))),AND(설정!$A$51&lt;&gt;"",ISNUMBER(SEARCH(설정!$A$51,E357&amp;" "&amp;C357))))</f>
        <v/>
      </c>
      <c r="S357">
        <f>OR(D357="",D357&gt;=설정!$B$19)</f>
        <v/>
      </c>
      <c r="T357">
        <f>AND(Q357,R357,S357)</f>
        <v/>
      </c>
      <c r="U357">
        <f>IF(T357,IF(AND(설정!$A$54&lt;&gt;"",ISNUMBER(SEARCH(설정!$A$54,K357))),설정!$B$54,IF(AND(설정!$A$55&lt;&gt;"",ISNUMBER(SEARCH(설정!$A$55,K357))),설정!$B$55,IF(AND(설정!$A$56&lt;&gt;"",ISNUMBER(SEARCH(설정!$A$56,K357))),설정!$B$56,IF(AND(설정!$A$57&lt;&gt;"",ISNUMBER(SEARCH(설정!$A$57,K357))),설정!$B$57,IF(AND(설정!$A$58&lt;&gt;"",ISNUMBER(SEARCH(설정!$A$58,K357))),설정!$B$58,IF(AND(설정!$A$59&lt;&gt;"",ISNUMBER(SEARCH(설정!$A$59,K357))),설정!$B$59,IF(AND(설정!$A$60&lt;&gt;"",ISNUMBER(SEARCH(설정!$A$60,K357))),설정!$B$60,IF(AND(설정!$A$61&lt;&gt;"",ISNUMBER(SEARCH(설정!$A$61,K357))),설정!$B$61,IF(M357="","설계사","시공사"))))))))),"")</f>
        <v/>
      </c>
      <c r="V357">
        <f>SUBSTITUTE(SUBSTITUTE(SUBSTITUTE(SUBSTITUTE(G357,"(주)",""),"㈜",""),"주식회사","")," ","")</f>
        <v/>
      </c>
      <c r="W357">
        <f>IF(AND(T357,V357&lt;&gt;""),IF(COUNTIFS(V$2:V357,V357,T$2:T357,TRUE)=1,MAX(W$1:W356)+1,""),"")</f>
        <v/>
      </c>
      <c r="X357">
        <f>IF(설정!$C$14="","",IFERROR(INDEX('1.산군_붙여넣기'!$A$1:$AZ$1001,ROW(),설정!$C$14)&amp;"",""))</f>
        <v/>
      </c>
      <c r="Y357">
        <f>IF(설정!$C$15="","",IFERROR(INDEX('1.산군_붙여넣기'!$A$1:$AZ$1001,ROW(),설정!$C$15)&amp;"",""))</f>
        <v/>
      </c>
      <c r="Z357">
        <f>IF(T357,V357&amp;"|"&amp;U357,"")</f>
        <v/>
      </c>
      <c r="AA357">
        <f>IF(NOT(Q357),"",IF(NOT(AND(R357,S357)),"✕",IF(OR(OR(AND(L357&lt;&gt;"",M357&lt;&gt;"",N(M357)-N(L357)&gt;설정!$B$27),AND(L357&lt;&gt;"",M357="",설정!$B$24-N(L357)&gt;설정!$B$27)),AND(D357&lt;&gt;"",D357&lt;설정!$B$26)),"△","★")))</f>
        <v/>
      </c>
      <c r="AB357">
        <f>IF(NOT(T357),"",IF(U357="설계사",설정!$B$31,IF(U357="시공사",IF(OR(M357="",설정!$B$24-N(M357)&lt;=설정!$B$28*30.4),설정!$B$32,설정!$B$33),설정!$B$34))+IF(AA357="★",설정!$B$35,0))</f>
        <v/>
      </c>
      <c r="AC357">
        <f>SUBSTITUTE(SUBSTITUTE(SUBSTITUTE(SUBSTITUTE(H357,"(주)",""),"㈜",""),"주식회사","")," ","")</f>
        <v/>
      </c>
      <c r="AD357">
        <f>IF(AND(T357,AC357&lt;&gt;""),IF(COUNTIFS(AC$2:AC357,AC357,T$2:T357,TRUE)=1,MAX(AD$1:AD356)+1,""),"")</f>
        <v/>
      </c>
    </row>
    <row r="358">
      <c r="A358">
        <f>ROW()</f>
        <v/>
      </c>
      <c r="B358">
        <f>IF(설정!$C$4="","",IFERROR(INDEX('1.산군_붙여넣기'!$A$1:$AZ$1001,ROW(),설정!$C$4)&amp;"",""))</f>
        <v/>
      </c>
      <c r="C358">
        <f>IF(설정!$C$5="","",IFERROR(INDEX('1.산군_붙여넣기'!$A$1:$AZ$1001,ROW(),설정!$C$5)&amp;"",""))</f>
        <v/>
      </c>
      <c r="D358" s="5">
        <f>IFERROR(VALUE(SUBSTITUTE(SUBSTITUTE(SUBSTITUTE(IF(설정!$C$6="","",IFERROR(INDEX('1.산군_붙여넣기'!$A$1:$AZ$1001,ROW(),설정!$C$6)&amp;"","")),",",""),"㎡",""),"m2","")),"")</f>
        <v/>
      </c>
      <c r="E358">
        <f>IF(설정!$C$7="","",IFERROR(INDEX('1.산군_붙여넣기'!$A$1:$AZ$1001,ROW(),설정!$C$7)&amp;"",""))</f>
        <v/>
      </c>
      <c r="F358">
        <f>IF(설정!$C$8="","",IFERROR(INDEX('1.산군_붙여넣기'!$A$1:$AZ$1001,ROW(),설정!$C$8)&amp;"",""))</f>
        <v/>
      </c>
      <c r="G358">
        <f>IF(설정!$C$9="","",IFERROR(INDEX('1.산군_붙여넣기'!$A$1:$AZ$1001,ROW(),설정!$C$9)&amp;"",""))</f>
        <v/>
      </c>
      <c r="H358">
        <f>IF(설정!$C$10="","",IFERROR(INDEX('1.산군_붙여넣기'!$A$1:$AZ$1001,ROW(),설정!$C$10)&amp;"",""))</f>
        <v/>
      </c>
      <c r="I358">
        <f>IF(설정!$C$11="","",IFERROR(INDEX('1.산군_붙여넣기'!$A$1:$AZ$1001,ROW(),설정!$C$11)&amp;"",""))</f>
        <v/>
      </c>
      <c r="J358">
        <f>IF(설정!$C$12="","",IFERROR(INDEX('1.산군_붙여넣기'!$A$1:$AZ$1001,ROW(),설정!$C$12)&amp;"",""))</f>
        <v/>
      </c>
      <c r="K358">
        <f>IF(설정!$C$13="","",IFERROR(INDEX('1.산군_붙여넣기'!$A$1:$AZ$1001,ROW(),설정!$C$13)&amp;"",""))</f>
        <v/>
      </c>
      <c r="L358" s="7">
        <f>IF(X358="","",IF(AND(LEN(X358)=8,ISNUMBER(X358*1)),DATE(LEFT(X358,4),MID(X358,5,2),RIGHT(X358,2)),IFERROR(DATEVALUE(SUBSTITUTE(SUBSTITUTE(X358,".","-"),"/","-")),IFERROR(X358*1,""))))</f>
        <v/>
      </c>
      <c r="M358" s="7">
        <f>IF(Y358="","",IF(AND(LEN(Y358)=8,ISNUMBER(Y358*1)),DATE(LEFT(Y358,4),MID(Y358,5,2),RIGHT(Y358,2)),IFERROR(DATEVALUE(SUBSTITUTE(SUBSTITUTE(Y358,".","-"),"/","-")),IFERROR(Y358*1,""))))</f>
        <v/>
      </c>
      <c r="N358">
        <f>IFERROR(LEFT(B358,FIND(" ",B358)-1),B358)</f>
        <v/>
      </c>
      <c r="O358">
        <f>AND(B358&lt;&gt;"",B358&lt;&gt;설정!$B$4,C358&lt;&gt;설정!$B$5)</f>
        <v/>
      </c>
      <c r="P358">
        <f>IF(O358,B358&amp;"|"&amp;C358,"")</f>
        <v/>
      </c>
      <c r="Q358">
        <f>AND(O358,COUNTIF(P359:P$1002,P358)=0)</f>
        <v/>
      </c>
      <c r="R358">
        <f>OR(AND(설정!$A$42&lt;&gt;"",ISNUMBER(SEARCH(설정!$A$42,E358&amp;" "&amp;C358))),AND(설정!$A$43&lt;&gt;"",ISNUMBER(SEARCH(설정!$A$43,E358&amp;" "&amp;C358))),AND(설정!$A$44&lt;&gt;"",ISNUMBER(SEARCH(설정!$A$44,E358&amp;" "&amp;C358))),AND(설정!$A$45&lt;&gt;"",ISNUMBER(SEARCH(설정!$A$45,E358&amp;" "&amp;C358))),AND(설정!$A$46&lt;&gt;"",ISNUMBER(SEARCH(설정!$A$46,E358&amp;" "&amp;C358))),AND(설정!$A$47&lt;&gt;"",ISNUMBER(SEARCH(설정!$A$47,E358&amp;" "&amp;C358))),AND(설정!$A$48&lt;&gt;"",ISNUMBER(SEARCH(설정!$A$48,E358&amp;" "&amp;C358))),AND(설정!$A$49&lt;&gt;"",ISNUMBER(SEARCH(설정!$A$49,E358&amp;" "&amp;C358))),AND(설정!$A$50&lt;&gt;"",ISNUMBER(SEARCH(설정!$A$50,E358&amp;" "&amp;C358))),AND(설정!$A$51&lt;&gt;"",ISNUMBER(SEARCH(설정!$A$51,E358&amp;" "&amp;C358))))</f>
        <v/>
      </c>
      <c r="S358">
        <f>OR(D358="",D358&gt;=설정!$B$19)</f>
        <v/>
      </c>
      <c r="T358">
        <f>AND(Q358,R358,S358)</f>
        <v/>
      </c>
      <c r="U358">
        <f>IF(T358,IF(AND(설정!$A$54&lt;&gt;"",ISNUMBER(SEARCH(설정!$A$54,K358))),설정!$B$54,IF(AND(설정!$A$55&lt;&gt;"",ISNUMBER(SEARCH(설정!$A$55,K358))),설정!$B$55,IF(AND(설정!$A$56&lt;&gt;"",ISNUMBER(SEARCH(설정!$A$56,K358))),설정!$B$56,IF(AND(설정!$A$57&lt;&gt;"",ISNUMBER(SEARCH(설정!$A$57,K358))),설정!$B$57,IF(AND(설정!$A$58&lt;&gt;"",ISNUMBER(SEARCH(설정!$A$58,K358))),설정!$B$58,IF(AND(설정!$A$59&lt;&gt;"",ISNUMBER(SEARCH(설정!$A$59,K358))),설정!$B$59,IF(AND(설정!$A$60&lt;&gt;"",ISNUMBER(SEARCH(설정!$A$60,K358))),설정!$B$60,IF(AND(설정!$A$61&lt;&gt;"",ISNUMBER(SEARCH(설정!$A$61,K358))),설정!$B$61,IF(M358="","설계사","시공사"))))))))),"")</f>
        <v/>
      </c>
      <c r="V358">
        <f>SUBSTITUTE(SUBSTITUTE(SUBSTITUTE(SUBSTITUTE(G358,"(주)",""),"㈜",""),"주식회사","")," ","")</f>
        <v/>
      </c>
      <c r="W358">
        <f>IF(AND(T358,V358&lt;&gt;""),IF(COUNTIFS(V$2:V358,V358,T$2:T358,TRUE)=1,MAX(W$1:W357)+1,""),"")</f>
        <v/>
      </c>
      <c r="X358">
        <f>IF(설정!$C$14="","",IFERROR(INDEX('1.산군_붙여넣기'!$A$1:$AZ$1001,ROW(),설정!$C$14)&amp;"",""))</f>
        <v/>
      </c>
      <c r="Y358">
        <f>IF(설정!$C$15="","",IFERROR(INDEX('1.산군_붙여넣기'!$A$1:$AZ$1001,ROW(),설정!$C$15)&amp;"",""))</f>
        <v/>
      </c>
      <c r="Z358">
        <f>IF(T358,V358&amp;"|"&amp;U358,"")</f>
        <v/>
      </c>
      <c r="AA358">
        <f>IF(NOT(Q358),"",IF(NOT(AND(R358,S358)),"✕",IF(OR(OR(AND(L358&lt;&gt;"",M358&lt;&gt;"",N(M358)-N(L358)&gt;설정!$B$27),AND(L358&lt;&gt;"",M358="",설정!$B$24-N(L358)&gt;설정!$B$27)),AND(D358&lt;&gt;"",D358&lt;설정!$B$26)),"△","★")))</f>
        <v/>
      </c>
      <c r="AB358">
        <f>IF(NOT(T358),"",IF(U358="설계사",설정!$B$31,IF(U358="시공사",IF(OR(M358="",설정!$B$24-N(M358)&lt;=설정!$B$28*30.4),설정!$B$32,설정!$B$33),설정!$B$34))+IF(AA358="★",설정!$B$35,0))</f>
        <v/>
      </c>
      <c r="AC358">
        <f>SUBSTITUTE(SUBSTITUTE(SUBSTITUTE(SUBSTITUTE(H358,"(주)",""),"㈜",""),"주식회사","")," ","")</f>
        <v/>
      </c>
      <c r="AD358">
        <f>IF(AND(T358,AC358&lt;&gt;""),IF(COUNTIFS(AC$2:AC358,AC358,T$2:T358,TRUE)=1,MAX(AD$1:AD357)+1,""),"")</f>
        <v/>
      </c>
    </row>
    <row r="359">
      <c r="A359">
        <f>ROW()</f>
        <v/>
      </c>
      <c r="B359">
        <f>IF(설정!$C$4="","",IFERROR(INDEX('1.산군_붙여넣기'!$A$1:$AZ$1001,ROW(),설정!$C$4)&amp;"",""))</f>
        <v/>
      </c>
      <c r="C359">
        <f>IF(설정!$C$5="","",IFERROR(INDEX('1.산군_붙여넣기'!$A$1:$AZ$1001,ROW(),설정!$C$5)&amp;"",""))</f>
        <v/>
      </c>
      <c r="D359" s="5">
        <f>IFERROR(VALUE(SUBSTITUTE(SUBSTITUTE(SUBSTITUTE(IF(설정!$C$6="","",IFERROR(INDEX('1.산군_붙여넣기'!$A$1:$AZ$1001,ROW(),설정!$C$6)&amp;"","")),",",""),"㎡",""),"m2","")),"")</f>
        <v/>
      </c>
      <c r="E359">
        <f>IF(설정!$C$7="","",IFERROR(INDEX('1.산군_붙여넣기'!$A$1:$AZ$1001,ROW(),설정!$C$7)&amp;"",""))</f>
        <v/>
      </c>
      <c r="F359">
        <f>IF(설정!$C$8="","",IFERROR(INDEX('1.산군_붙여넣기'!$A$1:$AZ$1001,ROW(),설정!$C$8)&amp;"",""))</f>
        <v/>
      </c>
      <c r="G359">
        <f>IF(설정!$C$9="","",IFERROR(INDEX('1.산군_붙여넣기'!$A$1:$AZ$1001,ROW(),설정!$C$9)&amp;"",""))</f>
        <v/>
      </c>
      <c r="H359">
        <f>IF(설정!$C$10="","",IFERROR(INDEX('1.산군_붙여넣기'!$A$1:$AZ$1001,ROW(),설정!$C$10)&amp;"",""))</f>
        <v/>
      </c>
      <c r="I359">
        <f>IF(설정!$C$11="","",IFERROR(INDEX('1.산군_붙여넣기'!$A$1:$AZ$1001,ROW(),설정!$C$11)&amp;"",""))</f>
        <v/>
      </c>
      <c r="J359">
        <f>IF(설정!$C$12="","",IFERROR(INDEX('1.산군_붙여넣기'!$A$1:$AZ$1001,ROW(),설정!$C$12)&amp;"",""))</f>
        <v/>
      </c>
      <c r="K359">
        <f>IF(설정!$C$13="","",IFERROR(INDEX('1.산군_붙여넣기'!$A$1:$AZ$1001,ROW(),설정!$C$13)&amp;"",""))</f>
        <v/>
      </c>
      <c r="L359" s="7">
        <f>IF(X359="","",IF(AND(LEN(X359)=8,ISNUMBER(X359*1)),DATE(LEFT(X359,4),MID(X359,5,2),RIGHT(X359,2)),IFERROR(DATEVALUE(SUBSTITUTE(SUBSTITUTE(X359,".","-"),"/","-")),IFERROR(X359*1,""))))</f>
        <v/>
      </c>
      <c r="M359" s="7">
        <f>IF(Y359="","",IF(AND(LEN(Y359)=8,ISNUMBER(Y359*1)),DATE(LEFT(Y359,4),MID(Y359,5,2),RIGHT(Y359,2)),IFERROR(DATEVALUE(SUBSTITUTE(SUBSTITUTE(Y359,".","-"),"/","-")),IFERROR(Y359*1,""))))</f>
        <v/>
      </c>
      <c r="N359">
        <f>IFERROR(LEFT(B359,FIND(" ",B359)-1),B359)</f>
        <v/>
      </c>
      <c r="O359">
        <f>AND(B359&lt;&gt;"",B359&lt;&gt;설정!$B$4,C359&lt;&gt;설정!$B$5)</f>
        <v/>
      </c>
      <c r="P359">
        <f>IF(O359,B359&amp;"|"&amp;C359,"")</f>
        <v/>
      </c>
      <c r="Q359">
        <f>AND(O359,COUNTIF(P360:P$1002,P359)=0)</f>
        <v/>
      </c>
      <c r="R359">
        <f>OR(AND(설정!$A$42&lt;&gt;"",ISNUMBER(SEARCH(설정!$A$42,E359&amp;" "&amp;C359))),AND(설정!$A$43&lt;&gt;"",ISNUMBER(SEARCH(설정!$A$43,E359&amp;" "&amp;C359))),AND(설정!$A$44&lt;&gt;"",ISNUMBER(SEARCH(설정!$A$44,E359&amp;" "&amp;C359))),AND(설정!$A$45&lt;&gt;"",ISNUMBER(SEARCH(설정!$A$45,E359&amp;" "&amp;C359))),AND(설정!$A$46&lt;&gt;"",ISNUMBER(SEARCH(설정!$A$46,E359&amp;" "&amp;C359))),AND(설정!$A$47&lt;&gt;"",ISNUMBER(SEARCH(설정!$A$47,E359&amp;" "&amp;C359))),AND(설정!$A$48&lt;&gt;"",ISNUMBER(SEARCH(설정!$A$48,E359&amp;" "&amp;C359))),AND(설정!$A$49&lt;&gt;"",ISNUMBER(SEARCH(설정!$A$49,E359&amp;" "&amp;C359))),AND(설정!$A$50&lt;&gt;"",ISNUMBER(SEARCH(설정!$A$50,E359&amp;" "&amp;C359))),AND(설정!$A$51&lt;&gt;"",ISNUMBER(SEARCH(설정!$A$51,E359&amp;" "&amp;C359))))</f>
        <v/>
      </c>
      <c r="S359">
        <f>OR(D359="",D359&gt;=설정!$B$19)</f>
        <v/>
      </c>
      <c r="T359">
        <f>AND(Q359,R359,S359)</f>
        <v/>
      </c>
      <c r="U359">
        <f>IF(T359,IF(AND(설정!$A$54&lt;&gt;"",ISNUMBER(SEARCH(설정!$A$54,K359))),설정!$B$54,IF(AND(설정!$A$55&lt;&gt;"",ISNUMBER(SEARCH(설정!$A$55,K359))),설정!$B$55,IF(AND(설정!$A$56&lt;&gt;"",ISNUMBER(SEARCH(설정!$A$56,K359))),설정!$B$56,IF(AND(설정!$A$57&lt;&gt;"",ISNUMBER(SEARCH(설정!$A$57,K359))),설정!$B$57,IF(AND(설정!$A$58&lt;&gt;"",ISNUMBER(SEARCH(설정!$A$58,K359))),설정!$B$58,IF(AND(설정!$A$59&lt;&gt;"",ISNUMBER(SEARCH(설정!$A$59,K359))),설정!$B$59,IF(AND(설정!$A$60&lt;&gt;"",ISNUMBER(SEARCH(설정!$A$60,K359))),설정!$B$60,IF(AND(설정!$A$61&lt;&gt;"",ISNUMBER(SEARCH(설정!$A$61,K359))),설정!$B$61,IF(M359="","설계사","시공사"))))))))),"")</f>
        <v/>
      </c>
      <c r="V359">
        <f>SUBSTITUTE(SUBSTITUTE(SUBSTITUTE(SUBSTITUTE(G359,"(주)",""),"㈜",""),"주식회사","")," ","")</f>
        <v/>
      </c>
      <c r="W359">
        <f>IF(AND(T359,V359&lt;&gt;""),IF(COUNTIFS(V$2:V359,V359,T$2:T359,TRUE)=1,MAX(W$1:W358)+1,""),"")</f>
        <v/>
      </c>
      <c r="X359">
        <f>IF(설정!$C$14="","",IFERROR(INDEX('1.산군_붙여넣기'!$A$1:$AZ$1001,ROW(),설정!$C$14)&amp;"",""))</f>
        <v/>
      </c>
      <c r="Y359">
        <f>IF(설정!$C$15="","",IFERROR(INDEX('1.산군_붙여넣기'!$A$1:$AZ$1001,ROW(),설정!$C$15)&amp;"",""))</f>
        <v/>
      </c>
      <c r="Z359">
        <f>IF(T359,V359&amp;"|"&amp;U359,"")</f>
        <v/>
      </c>
      <c r="AA359">
        <f>IF(NOT(Q359),"",IF(NOT(AND(R359,S359)),"✕",IF(OR(OR(AND(L359&lt;&gt;"",M359&lt;&gt;"",N(M359)-N(L359)&gt;설정!$B$27),AND(L359&lt;&gt;"",M359="",설정!$B$24-N(L359)&gt;설정!$B$27)),AND(D359&lt;&gt;"",D359&lt;설정!$B$26)),"△","★")))</f>
        <v/>
      </c>
      <c r="AB359">
        <f>IF(NOT(T359),"",IF(U359="설계사",설정!$B$31,IF(U359="시공사",IF(OR(M359="",설정!$B$24-N(M359)&lt;=설정!$B$28*30.4),설정!$B$32,설정!$B$33),설정!$B$34))+IF(AA359="★",설정!$B$35,0))</f>
        <v/>
      </c>
      <c r="AC359">
        <f>SUBSTITUTE(SUBSTITUTE(SUBSTITUTE(SUBSTITUTE(H359,"(주)",""),"㈜",""),"주식회사","")," ","")</f>
        <v/>
      </c>
      <c r="AD359">
        <f>IF(AND(T359,AC359&lt;&gt;""),IF(COUNTIFS(AC$2:AC359,AC359,T$2:T359,TRUE)=1,MAX(AD$1:AD358)+1,""),"")</f>
        <v/>
      </c>
    </row>
    <row r="360">
      <c r="A360">
        <f>ROW()</f>
        <v/>
      </c>
      <c r="B360">
        <f>IF(설정!$C$4="","",IFERROR(INDEX('1.산군_붙여넣기'!$A$1:$AZ$1001,ROW(),설정!$C$4)&amp;"",""))</f>
        <v/>
      </c>
      <c r="C360">
        <f>IF(설정!$C$5="","",IFERROR(INDEX('1.산군_붙여넣기'!$A$1:$AZ$1001,ROW(),설정!$C$5)&amp;"",""))</f>
        <v/>
      </c>
      <c r="D360" s="5">
        <f>IFERROR(VALUE(SUBSTITUTE(SUBSTITUTE(SUBSTITUTE(IF(설정!$C$6="","",IFERROR(INDEX('1.산군_붙여넣기'!$A$1:$AZ$1001,ROW(),설정!$C$6)&amp;"","")),",",""),"㎡",""),"m2","")),"")</f>
        <v/>
      </c>
      <c r="E360">
        <f>IF(설정!$C$7="","",IFERROR(INDEX('1.산군_붙여넣기'!$A$1:$AZ$1001,ROW(),설정!$C$7)&amp;"",""))</f>
        <v/>
      </c>
      <c r="F360">
        <f>IF(설정!$C$8="","",IFERROR(INDEX('1.산군_붙여넣기'!$A$1:$AZ$1001,ROW(),설정!$C$8)&amp;"",""))</f>
        <v/>
      </c>
      <c r="G360">
        <f>IF(설정!$C$9="","",IFERROR(INDEX('1.산군_붙여넣기'!$A$1:$AZ$1001,ROW(),설정!$C$9)&amp;"",""))</f>
        <v/>
      </c>
      <c r="H360">
        <f>IF(설정!$C$10="","",IFERROR(INDEX('1.산군_붙여넣기'!$A$1:$AZ$1001,ROW(),설정!$C$10)&amp;"",""))</f>
        <v/>
      </c>
      <c r="I360">
        <f>IF(설정!$C$11="","",IFERROR(INDEX('1.산군_붙여넣기'!$A$1:$AZ$1001,ROW(),설정!$C$11)&amp;"",""))</f>
        <v/>
      </c>
      <c r="J360">
        <f>IF(설정!$C$12="","",IFERROR(INDEX('1.산군_붙여넣기'!$A$1:$AZ$1001,ROW(),설정!$C$12)&amp;"",""))</f>
        <v/>
      </c>
      <c r="K360">
        <f>IF(설정!$C$13="","",IFERROR(INDEX('1.산군_붙여넣기'!$A$1:$AZ$1001,ROW(),설정!$C$13)&amp;"",""))</f>
        <v/>
      </c>
      <c r="L360" s="7">
        <f>IF(X360="","",IF(AND(LEN(X360)=8,ISNUMBER(X360*1)),DATE(LEFT(X360,4),MID(X360,5,2),RIGHT(X360,2)),IFERROR(DATEVALUE(SUBSTITUTE(SUBSTITUTE(X360,".","-"),"/","-")),IFERROR(X360*1,""))))</f>
        <v/>
      </c>
      <c r="M360" s="7">
        <f>IF(Y360="","",IF(AND(LEN(Y360)=8,ISNUMBER(Y360*1)),DATE(LEFT(Y360,4),MID(Y360,5,2),RIGHT(Y360,2)),IFERROR(DATEVALUE(SUBSTITUTE(SUBSTITUTE(Y360,".","-"),"/","-")),IFERROR(Y360*1,""))))</f>
        <v/>
      </c>
      <c r="N360">
        <f>IFERROR(LEFT(B360,FIND(" ",B360)-1),B360)</f>
        <v/>
      </c>
      <c r="O360">
        <f>AND(B360&lt;&gt;"",B360&lt;&gt;설정!$B$4,C360&lt;&gt;설정!$B$5)</f>
        <v/>
      </c>
      <c r="P360">
        <f>IF(O360,B360&amp;"|"&amp;C360,"")</f>
        <v/>
      </c>
      <c r="Q360">
        <f>AND(O360,COUNTIF(P361:P$1002,P360)=0)</f>
        <v/>
      </c>
      <c r="R360">
        <f>OR(AND(설정!$A$42&lt;&gt;"",ISNUMBER(SEARCH(설정!$A$42,E360&amp;" "&amp;C360))),AND(설정!$A$43&lt;&gt;"",ISNUMBER(SEARCH(설정!$A$43,E360&amp;" "&amp;C360))),AND(설정!$A$44&lt;&gt;"",ISNUMBER(SEARCH(설정!$A$44,E360&amp;" "&amp;C360))),AND(설정!$A$45&lt;&gt;"",ISNUMBER(SEARCH(설정!$A$45,E360&amp;" "&amp;C360))),AND(설정!$A$46&lt;&gt;"",ISNUMBER(SEARCH(설정!$A$46,E360&amp;" "&amp;C360))),AND(설정!$A$47&lt;&gt;"",ISNUMBER(SEARCH(설정!$A$47,E360&amp;" "&amp;C360))),AND(설정!$A$48&lt;&gt;"",ISNUMBER(SEARCH(설정!$A$48,E360&amp;" "&amp;C360))),AND(설정!$A$49&lt;&gt;"",ISNUMBER(SEARCH(설정!$A$49,E360&amp;" "&amp;C360))),AND(설정!$A$50&lt;&gt;"",ISNUMBER(SEARCH(설정!$A$50,E360&amp;" "&amp;C360))),AND(설정!$A$51&lt;&gt;"",ISNUMBER(SEARCH(설정!$A$51,E360&amp;" "&amp;C360))))</f>
        <v/>
      </c>
      <c r="S360">
        <f>OR(D360="",D360&gt;=설정!$B$19)</f>
        <v/>
      </c>
      <c r="T360">
        <f>AND(Q360,R360,S360)</f>
        <v/>
      </c>
      <c r="U360">
        <f>IF(T360,IF(AND(설정!$A$54&lt;&gt;"",ISNUMBER(SEARCH(설정!$A$54,K360))),설정!$B$54,IF(AND(설정!$A$55&lt;&gt;"",ISNUMBER(SEARCH(설정!$A$55,K360))),설정!$B$55,IF(AND(설정!$A$56&lt;&gt;"",ISNUMBER(SEARCH(설정!$A$56,K360))),설정!$B$56,IF(AND(설정!$A$57&lt;&gt;"",ISNUMBER(SEARCH(설정!$A$57,K360))),설정!$B$57,IF(AND(설정!$A$58&lt;&gt;"",ISNUMBER(SEARCH(설정!$A$58,K360))),설정!$B$58,IF(AND(설정!$A$59&lt;&gt;"",ISNUMBER(SEARCH(설정!$A$59,K360))),설정!$B$59,IF(AND(설정!$A$60&lt;&gt;"",ISNUMBER(SEARCH(설정!$A$60,K360))),설정!$B$60,IF(AND(설정!$A$61&lt;&gt;"",ISNUMBER(SEARCH(설정!$A$61,K360))),설정!$B$61,IF(M360="","설계사","시공사"))))))))),"")</f>
        <v/>
      </c>
      <c r="V360">
        <f>SUBSTITUTE(SUBSTITUTE(SUBSTITUTE(SUBSTITUTE(G360,"(주)",""),"㈜",""),"주식회사","")," ","")</f>
        <v/>
      </c>
      <c r="W360">
        <f>IF(AND(T360,V360&lt;&gt;""),IF(COUNTIFS(V$2:V360,V360,T$2:T360,TRUE)=1,MAX(W$1:W359)+1,""),"")</f>
        <v/>
      </c>
      <c r="X360">
        <f>IF(설정!$C$14="","",IFERROR(INDEX('1.산군_붙여넣기'!$A$1:$AZ$1001,ROW(),설정!$C$14)&amp;"",""))</f>
        <v/>
      </c>
      <c r="Y360">
        <f>IF(설정!$C$15="","",IFERROR(INDEX('1.산군_붙여넣기'!$A$1:$AZ$1001,ROW(),설정!$C$15)&amp;"",""))</f>
        <v/>
      </c>
      <c r="Z360">
        <f>IF(T360,V360&amp;"|"&amp;U360,"")</f>
        <v/>
      </c>
      <c r="AA360">
        <f>IF(NOT(Q360),"",IF(NOT(AND(R360,S360)),"✕",IF(OR(OR(AND(L360&lt;&gt;"",M360&lt;&gt;"",N(M360)-N(L360)&gt;설정!$B$27),AND(L360&lt;&gt;"",M360="",설정!$B$24-N(L360)&gt;설정!$B$27)),AND(D360&lt;&gt;"",D360&lt;설정!$B$26)),"△","★")))</f>
        <v/>
      </c>
      <c r="AB360">
        <f>IF(NOT(T360),"",IF(U360="설계사",설정!$B$31,IF(U360="시공사",IF(OR(M360="",설정!$B$24-N(M360)&lt;=설정!$B$28*30.4),설정!$B$32,설정!$B$33),설정!$B$34))+IF(AA360="★",설정!$B$35,0))</f>
        <v/>
      </c>
      <c r="AC360">
        <f>SUBSTITUTE(SUBSTITUTE(SUBSTITUTE(SUBSTITUTE(H360,"(주)",""),"㈜",""),"주식회사","")," ","")</f>
        <v/>
      </c>
      <c r="AD360">
        <f>IF(AND(T360,AC360&lt;&gt;""),IF(COUNTIFS(AC$2:AC360,AC360,T$2:T360,TRUE)=1,MAX(AD$1:AD359)+1,""),"")</f>
        <v/>
      </c>
    </row>
    <row r="361">
      <c r="A361">
        <f>ROW()</f>
        <v/>
      </c>
      <c r="B361">
        <f>IF(설정!$C$4="","",IFERROR(INDEX('1.산군_붙여넣기'!$A$1:$AZ$1001,ROW(),설정!$C$4)&amp;"",""))</f>
        <v/>
      </c>
      <c r="C361">
        <f>IF(설정!$C$5="","",IFERROR(INDEX('1.산군_붙여넣기'!$A$1:$AZ$1001,ROW(),설정!$C$5)&amp;"",""))</f>
        <v/>
      </c>
      <c r="D361" s="5">
        <f>IFERROR(VALUE(SUBSTITUTE(SUBSTITUTE(SUBSTITUTE(IF(설정!$C$6="","",IFERROR(INDEX('1.산군_붙여넣기'!$A$1:$AZ$1001,ROW(),설정!$C$6)&amp;"","")),",",""),"㎡",""),"m2","")),"")</f>
        <v/>
      </c>
      <c r="E361">
        <f>IF(설정!$C$7="","",IFERROR(INDEX('1.산군_붙여넣기'!$A$1:$AZ$1001,ROW(),설정!$C$7)&amp;"",""))</f>
        <v/>
      </c>
      <c r="F361">
        <f>IF(설정!$C$8="","",IFERROR(INDEX('1.산군_붙여넣기'!$A$1:$AZ$1001,ROW(),설정!$C$8)&amp;"",""))</f>
        <v/>
      </c>
      <c r="G361">
        <f>IF(설정!$C$9="","",IFERROR(INDEX('1.산군_붙여넣기'!$A$1:$AZ$1001,ROW(),설정!$C$9)&amp;"",""))</f>
        <v/>
      </c>
      <c r="H361">
        <f>IF(설정!$C$10="","",IFERROR(INDEX('1.산군_붙여넣기'!$A$1:$AZ$1001,ROW(),설정!$C$10)&amp;"",""))</f>
        <v/>
      </c>
      <c r="I361">
        <f>IF(설정!$C$11="","",IFERROR(INDEX('1.산군_붙여넣기'!$A$1:$AZ$1001,ROW(),설정!$C$11)&amp;"",""))</f>
        <v/>
      </c>
      <c r="J361">
        <f>IF(설정!$C$12="","",IFERROR(INDEX('1.산군_붙여넣기'!$A$1:$AZ$1001,ROW(),설정!$C$12)&amp;"",""))</f>
        <v/>
      </c>
      <c r="K361">
        <f>IF(설정!$C$13="","",IFERROR(INDEX('1.산군_붙여넣기'!$A$1:$AZ$1001,ROW(),설정!$C$13)&amp;"",""))</f>
        <v/>
      </c>
      <c r="L361" s="7">
        <f>IF(X361="","",IF(AND(LEN(X361)=8,ISNUMBER(X361*1)),DATE(LEFT(X361,4),MID(X361,5,2),RIGHT(X361,2)),IFERROR(DATEVALUE(SUBSTITUTE(SUBSTITUTE(X361,".","-"),"/","-")),IFERROR(X361*1,""))))</f>
        <v/>
      </c>
      <c r="M361" s="7">
        <f>IF(Y361="","",IF(AND(LEN(Y361)=8,ISNUMBER(Y361*1)),DATE(LEFT(Y361,4),MID(Y361,5,2),RIGHT(Y361,2)),IFERROR(DATEVALUE(SUBSTITUTE(SUBSTITUTE(Y361,".","-"),"/","-")),IFERROR(Y361*1,""))))</f>
        <v/>
      </c>
      <c r="N361">
        <f>IFERROR(LEFT(B361,FIND(" ",B361)-1),B361)</f>
        <v/>
      </c>
      <c r="O361">
        <f>AND(B361&lt;&gt;"",B361&lt;&gt;설정!$B$4,C361&lt;&gt;설정!$B$5)</f>
        <v/>
      </c>
      <c r="P361">
        <f>IF(O361,B361&amp;"|"&amp;C361,"")</f>
        <v/>
      </c>
      <c r="Q361">
        <f>AND(O361,COUNTIF(P362:P$1002,P361)=0)</f>
        <v/>
      </c>
      <c r="R361">
        <f>OR(AND(설정!$A$42&lt;&gt;"",ISNUMBER(SEARCH(설정!$A$42,E361&amp;" "&amp;C361))),AND(설정!$A$43&lt;&gt;"",ISNUMBER(SEARCH(설정!$A$43,E361&amp;" "&amp;C361))),AND(설정!$A$44&lt;&gt;"",ISNUMBER(SEARCH(설정!$A$44,E361&amp;" "&amp;C361))),AND(설정!$A$45&lt;&gt;"",ISNUMBER(SEARCH(설정!$A$45,E361&amp;" "&amp;C361))),AND(설정!$A$46&lt;&gt;"",ISNUMBER(SEARCH(설정!$A$46,E361&amp;" "&amp;C361))),AND(설정!$A$47&lt;&gt;"",ISNUMBER(SEARCH(설정!$A$47,E361&amp;" "&amp;C361))),AND(설정!$A$48&lt;&gt;"",ISNUMBER(SEARCH(설정!$A$48,E361&amp;" "&amp;C361))),AND(설정!$A$49&lt;&gt;"",ISNUMBER(SEARCH(설정!$A$49,E361&amp;" "&amp;C361))),AND(설정!$A$50&lt;&gt;"",ISNUMBER(SEARCH(설정!$A$50,E361&amp;" "&amp;C361))),AND(설정!$A$51&lt;&gt;"",ISNUMBER(SEARCH(설정!$A$51,E361&amp;" "&amp;C361))))</f>
        <v/>
      </c>
      <c r="S361">
        <f>OR(D361="",D361&gt;=설정!$B$19)</f>
        <v/>
      </c>
      <c r="T361">
        <f>AND(Q361,R361,S361)</f>
        <v/>
      </c>
      <c r="U361">
        <f>IF(T361,IF(AND(설정!$A$54&lt;&gt;"",ISNUMBER(SEARCH(설정!$A$54,K361))),설정!$B$54,IF(AND(설정!$A$55&lt;&gt;"",ISNUMBER(SEARCH(설정!$A$55,K361))),설정!$B$55,IF(AND(설정!$A$56&lt;&gt;"",ISNUMBER(SEARCH(설정!$A$56,K361))),설정!$B$56,IF(AND(설정!$A$57&lt;&gt;"",ISNUMBER(SEARCH(설정!$A$57,K361))),설정!$B$57,IF(AND(설정!$A$58&lt;&gt;"",ISNUMBER(SEARCH(설정!$A$58,K361))),설정!$B$58,IF(AND(설정!$A$59&lt;&gt;"",ISNUMBER(SEARCH(설정!$A$59,K361))),설정!$B$59,IF(AND(설정!$A$60&lt;&gt;"",ISNUMBER(SEARCH(설정!$A$60,K361))),설정!$B$60,IF(AND(설정!$A$61&lt;&gt;"",ISNUMBER(SEARCH(설정!$A$61,K361))),설정!$B$61,IF(M361="","설계사","시공사"))))))))),"")</f>
        <v/>
      </c>
      <c r="V361">
        <f>SUBSTITUTE(SUBSTITUTE(SUBSTITUTE(SUBSTITUTE(G361,"(주)",""),"㈜",""),"주식회사","")," ","")</f>
        <v/>
      </c>
      <c r="W361">
        <f>IF(AND(T361,V361&lt;&gt;""),IF(COUNTIFS(V$2:V361,V361,T$2:T361,TRUE)=1,MAX(W$1:W360)+1,""),"")</f>
        <v/>
      </c>
      <c r="X361">
        <f>IF(설정!$C$14="","",IFERROR(INDEX('1.산군_붙여넣기'!$A$1:$AZ$1001,ROW(),설정!$C$14)&amp;"",""))</f>
        <v/>
      </c>
      <c r="Y361">
        <f>IF(설정!$C$15="","",IFERROR(INDEX('1.산군_붙여넣기'!$A$1:$AZ$1001,ROW(),설정!$C$15)&amp;"",""))</f>
        <v/>
      </c>
      <c r="Z361">
        <f>IF(T361,V361&amp;"|"&amp;U361,"")</f>
        <v/>
      </c>
      <c r="AA361">
        <f>IF(NOT(Q361),"",IF(NOT(AND(R361,S361)),"✕",IF(OR(OR(AND(L361&lt;&gt;"",M361&lt;&gt;"",N(M361)-N(L361)&gt;설정!$B$27),AND(L361&lt;&gt;"",M361="",설정!$B$24-N(L361)&gt;설정!$B$27)),AND(D361&lt;&gt;"",D361&lt;설정!$B$26)),"△","★")))</f>
        <v/>
      </c>
      <c r="AB361">
        <f>IF(NOT(T361),"",IF(U361="설계사",설정!$B$31,IF(U361="시공사",IF(OR(M361="",설정!$B$24-N(M361)&lt;=설정!$B$28*30.4),설정!$B$32,설정!$B$33),설정!$B$34))+IF(AA361="★",설정!$B$35,0))</f>
        <v/>
      </c>
      <c r="AC361">
        <f>SUBSTITUTE(SUBSTITUTE(SUBSTITUTE(SUBSTITUTE(H361,"(주)",""),"㈜",""),"주식회사","")," ","")</f>
        <v/>
      </c>
      <c r="AD361">
        <f>IF(AND(T361,AC361&lt;&gt;""),IF(COUNTIFS(AC$2:AC361,AC361,T$2:T361,TRUE)=1,MAX(AD$1:AD360)+1,""),"")</f>
        <v/>
      </c>
    </row>
    <row r="362">
      <c r="A362">
        <f>ROW()</f>
        <v/>
      </c>
      <c r="B362">
        <f>IF(설정!$C$4="","",IFERROR(INDEX('1.산군_붙여넣기'!$A$1:$AZ$1001,ROW(),설정!$C$4)&amp;"",""))</f>
        <v/>
      </c>
      <c r="C362">
        <f>IF(설정!$C$5="","",IFERROR(INDEX('1.산군_붙여넣기'!$A$1:$AZ$1001,ROW(),설정!$C$5)&amp;"",""))</f>
        <v/>
      </c>
      <c r="D362" s="5">
        <f>IFERROR(VALUE(SUBSTITUTE(SUBSTITUTE(SUBSTITUTE(IF(설정!$C$6="","",IFERROR(INDEX('1.산군_붙여넣기'!$A$1:$AZ$1001,ROW(),설정!$C$6)&amp;"","")),",",""),"㎡",""),"m2","")),"")</f>
        <v/>
      </c>
      <c r="E362">
        <f>IF(설정!$C$7="","",IFERROR(INDEX('1.산군_붙여넣기'!$A$1:$AZ$1001,ROW(),설정!$C$7)&amp;"",""))</f>
        <v/>
      </c>
      <c r="F362">
        <f>IF(설정!$C$8="","",IFERROR(INDEX('1.산군_붙여넣기'!$A$1:$AZ$1001,ROW(),설정!$C$8)&amp;"",""))</f>
        <v/>
      </c>
      <c r="G362">
        <f>IF(설정!$C$9="","",IFERROR(INDEX('1.산군_붙여넣기'!$A$1:$AZ$1001,ROW(),설정!$C$9)&amp;"",""))</f>
        <v/>
      </c>
      <c r="H362">
        <f>IF(설정!$C$10="","",IFERROR(INDEX('1.산군_붙여넣기'!$A$1:$AZ$1001,ROW(),설정!$C$10)&amp;"",""))</f>
        <v/>
      </c>
      <c r="I362">
        <f>IF(설정!$C$11="","",IFERROR(INDEX('1.산군_붙여넣기'!$A$1:$AZ$1001,ROW(),설정!$C$11)&amp;"",""))</f>
        <v/>
      </c>
      <c r="J362">
        <f>IF(설정!$C$12="","",IFERROR(INDEX('1.산군_붙여넣기'!$A$1:$AZ$1001,ROW(),설정!$C$12)&amp;"",""))</f>
        <v/>
      </c>
      <c r="K362">
        <f>IF(설정!$C$13="","",IFERROR(INDEX('1.산군_붙여넣기'!$A$1:$AZ$1001,ROW(),설정!$C$13)&amp;"",""))</f>
        <v/>
      </c>
      <c r="L362" s="7">
        <f>IF(X362="","",IF(AND(LEN(X362)=8,ISNUMBER(X362*1)),DATE(LEFT(X362,4),MID(X362,5,2),RIGHT(X362,2)),IFERROR(DATEVALUE(SUBSTITUTE(SUBSTITUTE(X362,".","-"),"/","-")),IFERROR(X362*1,""))))</f>
        <v/>
      </c>
      <c r="M362" s="7">
        <f>IF(Y362="","",IF(AND(LEN(Y362)=8,ISNUMBER(Y362*1)),DATE(LEFT(Y362,4),MID(Y362,5,2),RIGHT(Y362,2)),IFERROR(DATEVALUE(SUBSTITUTE(SUBSTITUTE(Y362,".","-"),"/","-")),IFERROR(Y362*1,""))))</f>
        <v/>
      </c>
      <c r="N362">
        <f>IFERROR(LEFT(B362,FIND(" ",B362)-1),B362)</f>
        <v/>
      </c>
      <c r="O362">
        <f>AND(B362&lt;&gt;"",B362&lt;&gt;설정!$B$4,C362&lt;&gt;설정!$B$5)</f>
        <v/>
      </c>
      <c r="P362">
        <f>IF(O362,B362&amp;"|"&amp;C362,"")</f>
        <v/>
      </c>
      <c r="Q362">
        <f>AND(O362,COUNTIF(P363:P$1002,P362)=0)</f>
        <v/>
      </c>
      <c r="R362">
        <f>OR(AND(설정!$A$42&lt;&gt;"",ISNUMBER(SEARCH(설정!$A$42,E362&amp;" "&amp;C362))),AND(설정!$A$43&lt;&gt;"",ISNUMBER(SEARCH(설정!$A$43,E362&amp;" "&amp;C362))),AND(설정!$A$44&lt;&gt;"",ISNUMBER(SEARCH(설정!$A$44,E362&amp;" "&amp;C362))),AND(설정!$A$45&lt;&gt;"",ISNUMBER(SEARCH(설정!$A$45,E362&amp;" "&amp;C362))),AND(설정!$A$46&lt;&gt;"",ISNUMBER(SEARCH(설정!$A$46,E362&amp;" "&amp;C362))),AND(설정!$A$47&lt;&gt;"",ISNUMBER(SEARCH(설정!$A$47,E362&amp;" "&amp;C362))),AND(설정!$A$48&lt;&gt;"",ISNUMBER(SEARCH(설정!$A$48,E362&amp;" "&amp;C362))),AND(설정!$A$49&lt;&gt;"",ISNUMBER(SEARCH(설정!$A$49,E362&amp;" "&amp;C362))),AND(설정!$A$50&lt;&gt;"",ISNUMBER(SEARCH(설정!$A$50,E362&amp;" "&amp;C362))),AND(설정!$A$51&lt;&gt;"",ISNUMBER(SEARCH(설정!$A$51,E362&amp;" "&amp;C362))))</f>
        <v/>
      </c>
      <c r="S362">
        <f>OR(D362="",D362&gt;=설정!$B$19)</f>
        <v/>
      </c>
      <c r="T362">
        <f>AND(Q362,R362,S362)</f>
        <v/>
      </c>
      <c r="U362">
        <f>IF(T362,IF(AND(설정!$A$54&lt;&gt;"",ISNUMBER(SEARCH(설정!$A$54,K362))),설정!$B$54,IF(AND(설정!$A$55&lt;&gt;"",ISNUMBER(SEARCH(설정!$A$55,K362))),설정!$B$55,IF(AND(설정!$A$56&lt;&gt;"",ISNUMBER(SEARCH(설정!$A$56,K362))),설정!$B$56,IF(AND(설정!$A$57&lt;&gt;"",ISNUMBER(SEARCH(설정!$A$57,K362))),설정!$B$57,IF(AND(설정!$A$58&lt;&gt;"",ISNUMBER(SEARCH(설정!$A$58,K362))),설정!$B$58,IF(AND(설정!$A$59&lt;&gt;"",ISNUMBER(SEARCH(설정!$A$59,K362))),설정!$B$59,IF(AND(설정!$A$60&lt;&gt;"",ISNUMBER(SEARCH(설정!$A$60,K362))),설정!$B$60,IF(AND(설정!$A$61&lt;&gt;"",ISNUMBER(SEARCH(설정!$A$61,K362))),설정!$B$61,IF(M362="","설계사","시공사"))))))))),"")</f>
        <v/>
      </c>
      <c r="V362">
        <f>SUBSTITUTE(SUBSTITUTE(SUBSTITUTE(SUBSTITUTE(G362,"(주)",""),"㈜",""),"주식회사","")," ","")</f>
        <v/>
      </c>
      <c r="W362">
        <f>IF(AND(T362,V362&lt;&gt;""),IF(COUNTIFS(V$2:V362,V362,T$2:T362,TRUE)=1,MAX(W$1:W361)+1,""),"")</f>
        <v/>
      </c>
      <c r="X362">
        <f>IF(설정!$C$14="","",IFERROR(INDEX('1.산군_붙여넣기'!$A$1:$AZ$1001,ROW(),설정!$C$14)&amp;"",""))</f>
        <v/>
      </c>
      <c r="Y362">
        <f>IF(설정!$C$15="","",IFERROR(INDEX('1.산군_붙여넣기'!$A$1:$AZ$1001,ROW(),설정!$C$15)&amp;"",""))</f>
        <v/>
      </c>
      <c r="Z362">
        <f>IF(T362,V362&amp;"|"&amp;U362,"")</f>
        <v/>
      </c>
      <c r="AA362">
        <f>IF(NOT(Q362),"",IF(NOT(AND(R362,S362)),"✕",IF(OR(OR(AND(L362&lt;&gt;"",M362&lt;&gt;"",N(M362)-N(L362)&gt;설정!$B$27),AND(L362&lt;&gt;"",M362="",설정!$B$24-N(L362)&gt;설정!$B$27)),AND(D362&lt;&gt;"",D362&lt;설정!$B$26)),"△","★")))</f>
        <v/>
      </c>
      <c r="AB362">
        <f>IF(NOT(T362),"",IF(U362="설계사",설정!$B$31,IF(U362="시공사",IF(OR(M362="",설정!$B$24-N(M362)&lt;=설정!$B$28*30.4),설정!$B$32,설정!$B$33),설정!$B$34))+IF(AA362="★",설정!$B$35,0))</f>
        <v/>
      </c>
      <c r="AC362">
        <f>SUBSTITUTE(SUBSTITUTE(SUBSTITUTE(SUBSTITUTE(H362,"(주)",""),"㈜",""),"주식회사","")," ","")</f>
        <v/>
      </c>
      <c r="AD362">
        <f>IF(AND(T362,AC362&lt;&gt;""),IF(COUNTIFS(AC$2:AC362,AC362,T$2:T362,TRUE)=1,MAX(AD$1:AD361)+1,""),"")</f>
        <v/>
      </c>
    </row>
    <row r="363">
      <c r="A363">
        <f>ROW()</f>
        <v/>
      </c>
      <c r="B363">
        <f>IF(설정!$C$4="","",IFERROR(INDEX('1.산군_붙여넣기'!$A$1:$AZ$1001,ROW(),설정!$C$4)&amp;"",""))</f>
        <v/>
      </c>
      <c r="C363">
        <f>IF(설정!$C$5="","",IFERROR(INDEX('1.산군_붙여넣기'!$A$1:$AZ$1001,ROW(),설정!$C$5)&amp;"",""))</f>
        <v/>
      </c>
      <c r="D363" s="5">
        <f>IFERROR(VALUE(SUBSTITUTE(SUBSTITUTE(SUBSTITUTE(IF(설정!$C$6="","",IFERROR(INDEX('1.산군_붙여넣기'!$A$1:$AZ$1001,ROW(),설정!$C$6)&amp;"","")),",",""),"㎡",""),"m2","")),"")</f>
        <v/>
      </c>
      <c r="E363">
        <f>IF(설정!$C$7="","",IFERROR(INDEX('1.산군_붙여넣기'!$A$1:$AZ$1001,ROW(),설정!$C$7)&amp;"",""))</f>
        <v/>
      </c>
      <c r="F363">
        <f>IF(설정!$C$8="","",IFERROR(INDEX('1.산군_붙여넣기'!$A$1:$AZ$1001,ROW(),설정!$C$8)&amp;"",""))</f>
        <v/>
      </c>
      <c r="G363">
        <f>IF(설정!$C$9="","",IFERROR(INDEX('1.산군_붙여넣기'!$A$1:$AZ$1001,ROW(),설정!$C$9)&amp;"",""))</f>
        <v/>
      </c>
      <c r="H363">
        <f>IF(설정!$C$10="","",IFERROR(INDEX('1.산군_붙여넣기'!$A$1:$AZ$1001,ROW(),설정!$C$10)&amp;"",""))</f>
        <v/>
      </c>
      <c r="I363">
        <f>IF(설정!$C$11="","",IFERROR(INDEX('1.산군_붙여넣기'!$A$1:$AZ$1001,ROW(),설정!$C$11)&amp;"",""))</f>
        <v/>
      </c>
      <c r="J363">
        <f>IF(설정!$C$12="","",IFERROR(INDEX('1.산군_붙여넣기'!$A$1:$AZ$1001,ROW(),설정!$C$12)&amp;"",""))</f>
        <v/>
      </c>
      <c r="K363">
        <f>IF(설정!$C$13="","",IFERROR(INDEX('1.산군_붙여넣기'!$A$1:$AZ$1001,ROW(),설정!$C$13)&amp;"",""))</f>
        <v/>
      </c>
      <c r="L363" s="7">
        <f>IF(X363="","",IF(AND(LEN(X363)=8,ISNUMBER(X363*1)),DATE(LEFT(X363,4),MID(X363,5,2),RIGHT(X363,2)),IFERROR(DATEVALUE(SUBSTITUTE(SUBSTITUTE(X363,".","-"),"/","-")),IFERROR(X363*1,""))))</f>
        <v/>
      </c>
      <c r="M363" s="7">
        <f>IF(Y363="","",IF(AND(LEN(Y363)=8,ISNUMBER(Y363*1)),DATE(LEFT(Y363,4),MID(Y363,5,2),RIGHT(Y363,2)),IFERROR(DATEVALUE(SUBSTITUTE(SUBSTITUTE(Y363,".","-"),"/","-")),IFERROR(Y363*1,""))))</f>
        <v/>
      </c>
      <c r="N363">
        <f>IFERROR(LEFT(B363,FIND(" ",B363)-1),B363)</f>
        <v/>
      </c>
      <c r="O363">
        <f>AND(B363&lt;&gt;"",B363&lt;&gt;설정!$B$4,C363&lt;&gt;설정!$B$5)</f>
        <v/>
      </c>
      <c r="P363">
        <f>IF(O363,B363&amp;"|"&amp;C363,"")</f>
        <v/>
      </c>
      <c r="Q363">
        <f>AND(O363,COUNTIF(P364:P$1002,P363)=0)</f>
        <v/>
      </c>
      <c r="R363">
        <f>OR(AND(설정!$A$42&lt;&gt;"",ISNUMBER(SEARCH(설정!$A$42,E363&amp;" "&amp;C363))),AND(설정!$A$43&lt;&gt;"",ISNUMBER(SEARCH(설정!$A$43,E363&amp;" "&amp;C363))),AND(설정!$A$44&lt;&gt;"",ISNUMBER(SEARCH(설정!$A$44,E363&amp;" "&amp;C363))),AND(설정!$A$45&lt;&gt;"",ISNUMBER(SEARCH(설정!$A$45,E363&amp;" "&amp;C363))),AND(설정!$A$46&lt;&gt;"",ISNUMBER(SEARCH(설정!$A$46,E363&amp;" "&amp;C363))),AND(설정!$A$47&lt;&gt;"",ISNUMBER(SEARCH(설정!$A$47,E363&amp;" "&amp;C363))),AND(설정!$A$48&lt;&gt;"",ISNUMBER(SEARCH(설정!$A$48,E363&amp;" "&amp;C363))),AND(설정!$A$49&lt;&gt;"",ISNUMBER(SEARCH(설정!$A$49,E363&amp;" "&amp;C363))),AND(설정!$A$50&lt;&gt;"",ISNUMBER(SEARCH(설정!$A$50,E363&amp;" "&amp;C363))),AND(설정!$A$51&lt;&gt;"",ISNUMBER(SEARCH(설정!$A$51,E363&amp;" "&amp;C363))))</f>
        <v/>
      </c>
      <c r="S363">
        <f>OR(D363="",D363&gt;=설정!$B$19)</f>
        <v/>
      </c>
      <c r="T363">
        <f>AND(Q363,R363,S363)</f>
        <v/>
      </c>
      <c r="U363">
        <f>IF(T363,IF(AND(설정!$A$54&lt;&gt;"",ISNUMBER(SEARCH(설정!$A$54,K363))),설정!$B$54,IF(AND(설정!$A$55&lt;&gt;"",ISNUMBER(SEARCH(설정!$A$55,K363))),설정!$B$55,IF(AND(설정!$A$56&lt;&gt;"",ISNUMBER(SEARCH(설정!$A$56,K363))),설정!$B$56,IF(AND(설정!$A$57&lt;&gt;"",ISNUMBER(SEARCH(설정!$A$57,K363))),설정!$B$57,IF(AND(설정!$A$58&lt;&gt;"",ISNUMBER(SEARCH(설정!$A$58,K363))),설정!$B$58,IF(AND(설정!$A$59&lt;&gt;"",ISNUMBER(SEARCH(설정!$A$59,K363))),설정!$B$59,IF(AND(설정!$A$60&lt;&gt;"",ISNUMBER(SEARCH(설정!$A$60,K363))),설정!$B$60,IF(AND(설정!$A$61&lt;&gt;"",ISNUMBER(SEARCH(설정!$A$61,K363))),설정!$B$61,IF(M363="","설계사","시공사"))))))))),"")</f>
        <v/>
      </c>
      <c r="V363">
        <f>SUBSTITUTE(SUBSTITUTE(SUBSTITUTE(SUBSTITUTE(G363,"(주)",""),"㈜",""),"주식회사","")," ","")</f>
        <v/>
      </c>
      <c r="W363">
        <f>IF(AND(T363,V363&lt;&gt;""),IF(COUNTIFS(V$2:V363,V363,T$2:T363,TRUE)=1,MAX(W$1:W362)+1,""),"")</f>
        <v/>
      </c>
      <c r="X363">
        <f>IF(설정!$C$14="","",IFERROR(INDEX('1.산군_붙여넣기'!$A$1:$AZ$1001,ROW(),설정!$C$14)&amp;"",""))</f>
        <v/>
      </c>
      <c r="Y363">
        <f>IF(설정!$C$15="","",IFERROR(INDEX('1.산군_붙여넣기'!$A$1:$AZ$1001,ROW(),설정!$C$15)&amp;"",""))</f>
        <v/>
      </c>
      <c r="Z363">
        <f>IF(T363,V363&amp;"|"&amp;U363,"")</f>
        <v/>
      </c>
      <c r="AA363">
        <f>IF(NOT(Q363),"",IF(NOT(AND(R363,S363)),"✕",IF(OR(OR(AND(L363&lt;&gt;"",M363&lt;&gt;"",N(M363)-N(L363)&gt;설정!$B$27),AND(L363&lt;&gt;"",M363="",설정!$B$24-N(L363)&gt;설정!$B$27)),AND(D363&lt;&gt;"",D363&lt;설정!$B$26)),"△","★")))</f>
        <v/>
      </c>
      <c r="AB363">
        <f>IF(NOT(T363),"",IF(U363="설계사",설정!$B$31,IF(U363="시공사",IF(OR(M363="",설정!$B$24-N(M363)&lt;=설정!$B$28*30.4),설정!$B$32,설정!$B$33),설정!$B$34))+IF(AA363="★",설정!$B$35,0))</f>
        <v/>
      </c>
      <c r="AC363">
        <f>SUBSTITUTE(SUBSTITUTE(SUBSTITUTE(SUBSTITUTE(H363,"(주)",""),"㈜",""),"주식회사","")," ","")</f>
        <v/>
      </c>
      <c r="AD363">
        <f>IF(AND(T363,AC363&lt;&gt;""),IF(COUNTIFS(AC$2:AC363,AC363,T$2:T363,TRUE)=1,MAX(AD$1:AD362)+1,""),"")</f>
        <v/>
      </c>
    </row>
    <row r="364">
      <c r="A364">
        <f>ROW()</f>
        <v/>
      </c>
      <c r="B364">
        <f>IF(설정!$C$4="","",IFERROR(INDEX('1.산군_붙여넣기'!$A$1:$AZ$1001,ROW(),설정!$C$4)&amp;"",""))</f>
        <v/>
      </c>
      <c r="C364">
        <f>IF(설정!$C$5="","",IFERROR(INDEX('1.산군_붙여넣기'!$A$1:$AZ$1001,ROW(),설정!$C$5)&amp;"",""))</f>
        <v/>
      </c>
      <c r="D364" s="5">
        <f>IFERROR(VALUE(SUBSTITUTE(SUBSTITUTE(SUBSTITUTE(IF(설정!$C$6="","",IFERROR(INDEX('1.산군_붙여넣기'!$A$1:$AZ$1001,ROW(),설정!$C$6)&amp;"","")),",",""),"㎡",""),"m2","")),"")</f>
        <v/>
      </c>
      <c r="E364">
        <f>IF(설정!$C$7="","",IFERROR(INDEX('1.산군_붙여넣기'!$A$1:$AZ$1001,ROW(),설정!$C$7)&amp;"",""))</f>
        <v/>
      </c>
      <c r="F364">
        <f>IF(설정!$C$8="","",IFERROR(INDEX('1.산군_붙여넣기'!$A$1:$AZ$1001,ROW(),설정!$C$8)&amp;"",""))</f>
        <v/>
      </c>
      <c r="G364">
        <f>IF(설정!$C$9="","",IFERROR(INDEX('1.산군_붙여넣기'!$A$1:$AZ$1001,ROW(),설정!$C$9)&amp;"",""))</f>
        <v/>
      </c>
      <c r="H364">
        <f>IF(설정!$C$10="","",IFERROR(INDEX('1.산군_붙여넣기'!$A$1:$AZ$1001,ROW(),설정!$C$10)&amp;"",""))</f>
        <v/>
      </c>
      <c r="I364">
        <f>IF(설정!$C$11="","",IFERROR(INDEX('1.산군_붙여넣기'!$A$1:$AZ$1001,ROW(),설정!$C$11)&amp;"",""))</f>
        <v/>
      </c>
      <c r="J364">
        <f>IF(설정!$C$12="","",IFERROR(INDEX('1.산군_붙여넣기'!$A$1:$AZ$1001,ROW(),설정!$C$12)&amp;"",""))</f>
        <v/>
      </c>
      <c r="K364">
        <f>IF(설정!$C$13="","",IFERROR(INDEX('1.산군_붙여넣기'!$A$1:$AZ$1001,ROW(),설정!$C$13)&amp;"",""))</f>
        <v/>
      </c>
      <c r="L364" s="7">
        <f>IF(X364="","",IF(AND(LEN(X364)=8,ISNUMBER(X364*1)),DATE(LEFT(X364,4),MID(X364,5,2),RIGHT(X364,2)),IFERROR(DATEVALUE(SUBSTITUTE(SUBSTITUTE(X364,".","-"),"/","-")),IFERROR(X364*1,""))))</f>
        <v/>
      </c>
      <c r="M364" s="7">
        <f>IF(Y364="","",IF(AND(LEN(Y364)=8,ISNUMBER(Y364*1)),DATE(LEFT(Y364,4),MID(Y364,5,2),RIGHT(Y364,2)),IFERROR(DATEVALUE(SUBSTITUTE(SUBSTITUTE(Y364,".","-"),"/","-")),IFERROR(Y364*1,""))))</f>
        <v/>
      </c>
      <c r="N364">
        <f>IFERROR(LEFT(B364,FIND(" ",B364)-1),B364)</f>
        <v/>
      </c>
      <c r="O364">
        <f>AND(B364&lt;&gt;"",B364&lt;&gt;설정!$B$4,C364&lt;&gt;설정!$B$5)</f>
        <v/>
      </c>
      <c r="P364">
        <f>IF(O364,B364&amp;"|"&amp;C364,"")</f>
        <v/>
      </c>
      <c r="Q364">
        <f>AND(O364,COUNTIF(P365:P$1002,P364)=0)</f>
        <v/>
      </c>
      <c r="R364">
        <f>OR(AND(설정!$A$42&lt;&gt;"",ISNUMBER(SEARCH(설정!$A$42,E364&amp;" "&amp;C364))),AND(설정!$A$43&lt;&gt;"",ISNUMBER(SEARCH(설정!$A$43,E364&amp;" "&amp;C364))),AND(설정!$A$44&lt;&gt;"",ISNUMBER(SEARCH(설정!$A$44,E364&amp;" "&amp;C364))),AND(설정!$A$45&lt;&gt;"",ISNUMBER(SEARCH(설정!$A$45,E364&amp;" "&amp;C364))),AND(설정!$A$46&lt;&gt;"",ISNUMBER(SEARCH(설정!$A$46,E364&amp;" "&amp;C364))),AND(설정!$A$47&lt;&gt;"",ISNUMBER(SEARCH(설정!$A$47,E364&amp;" "&amp;C364))),AND(설정!$A$48&lt;&gt;"",ISNUMBER(SEARCH(설정!$A$48,E364&amp;" "&amp;C364))),AND(설정!$A$49&lt;&gt;"",ISNUMBER(SEARCH(설정!$A$49,E364&amp;" "&amp;C364))),AND(설정!$A$50&lt;&gt;"",ISNUMBER(SEARCH(설정!$A$50,E364&amp;" "&amp;C364))),AND(설정!$A$51&lt;&gt;"",ISNUMBER(SEARCH(설정!$A$51,E364&amp;" "&amp;C364))))</f>
        <v/>
      </c>
      <c r="S364">
        <f>OR(D364="",D364&gt;=설정!$B$19)</f>
        <v/>
      </c>
      <c r="T364">
        <f>AND(Q364,R364,S364)</f>
        <v/>
      </c>
      <c r="U364">
        <f>IF(T364,IF(AND(설정!$A$54&lt;&gt;"",ISNUMBER(SEARCH(설정!$A$54,K364))),설정!$B$54,IF(AND(설정!$A$55&lt;&gt;"",ISNUMBER(SEARCH(설정!$A$55,K364))),설정!$B$55,IF(AND(설정!$A$56&lt;&gt;"",ISNUMBER(SEARCH(설정!$A$56,K364))),설정!$B$56,IF(AND(설정!$A$57&lt;&gt;"",ISNUMBER(SEARCH(설정!$A$57,K364))),설정!$B$57,IF(AND(설정!$A$58&lt;&gt;"",ISNUMBER(SEARCH(설정!$A$58,K364))),설정!$B$58,IF(AND(설정!$A$59&lt;&gt;"",ISNUMBER(SEARCH(설정!$A$59,K364))),설정!$B$59,IF(AND(설정!$A$60&lt;&gt;"",ISNUMBER(SEARCH(설정!$A$60,K364))),설정!$B$60,IF(AND(설정!$A$61&lt;&gt;"",ISNUMBER(SEARCH(설정!$A$61,K364))),설정!$B$61,IF(M364="","설계사","시공사"))))))))),"")</f>
        <v/>
      </c>
      <c r="V364">
        <f>SUBSTITUTE(SUBSTITUTE(SUBSTITUTE(SUBSTITUTE(G364,"(주)",""),"㈜",""),"주식회사","")," ","")</f>
        <v/>
      </c>
      <c r="W364">
        <f>IF(AND(T364,V364&lt;&gt;""),IF(COUNTIFS(V$2:V364,V364,T$2:T364,TRUE)=1,MAX(W$1:W363)+1,""),"")</f>
        <v/>
      </c>
      <c r="X364">
        <f>IF(설정!$C$14="","",IFERROR(INDEX('1.산군_붙여넣기'!$A$1:$AZ$1001,ROW(),설정!$C$14)&amp;"",""))</f>
        <v/>
      </c>
      <c r="Y364">
        <f>IF(설정!$C$15="","",IFERROR(INDEX('1.산군_붙여넣기'!$A$1:$AZ$1001,ROW(),설정!$C$15)&amp;"",""))</f>
        <v/>
      </c>
      <c r="Z364">
        <f>IF(T364,V364&amp;"|"&amp;U364,"")</f>
        <v/>
      </c>
      <c r="AA364">
        <f>IF(NOT(Q364),"",IF(NOT(AND(R364,S364)),"✕",IF(OR(OR(AND(L364&lt;&gt;"",M364&lt;&gt;"",N(M364)-N(L364)&gt;설정!$B$27),AND(L364&lt;&gt;"",M364="",설정!$B$24-N(L364)&gt;설정!$B$27)),AND(D364&lt;&gt;"",D364&lt;설정!$B$26)),"△","★")))</f>
        <v/>
      </c>
      <c r="AB364">
        <f>IF(NOT(T364),"",IF(U364="설계사",설정!$B$31,IF(U364="시공사",IF(OR(M364="",설정!$B$24-N(M364)&lt;=설정!$B$28*30.4),설정!$B$32,설정!$B$33),설정!$B$34))+IF(AA364="★",설정!$B$35,0))</f>
        <v/>
      </c>
      <c r="AC364">
        <f>SUBSTITUTE(SUBSTITUTE(SUBSTITUTE(SUBSTITUTE(H364,"(주)",""),"㈜",""),"주식회사","")," ","")</f>
        <v/>
      </c>
      <c r="AD364">
        <f>IF(AND(T364,AC364&lt;&gt;""),IF(COUNTIFS(AC$2:AC364,AC364,T$2:T364,TRUE)=1,MAX(AD$1:AD363)+1,""),"")</f>
        <v/>
      </c>
    </row>
    <row r="365">
      <c r="A365">
        <f>ROW()</f>
        <v/>
      </c>
      <c r="B365">
        <f>IF(설정!$C$4="","",IFERROR(INDEX('1.산군_붙여넣기'!$A$1:$AZ$1001,ROW(),설정!$C$4)&amp;"",""))</f>
        <v/>
      </c>
      <c r="C365">
        <f>IF(설정!$C$5="","",IFERROR(INDEX('1.산군_붙여넣기'!$A$1:$AZ$1001,ROW(),설정!$C$5)&amp;"",""))</f>
        <v/>
      </c>
      <c r="D365" s="5">
        <f>IFERROR(VALUE(SUBSTITUTE(SUBSTITUTE(SUBSTITUTE(IF(설정!$C$6="","",IFERROR(INDEX('1.산군_붙여넣기'!$A$1:$AZ$1001,ROW(),설정!$C$6)&amp;"","")),",",""),"㎡",""),"m2","")),"")</f>
        <v/>
      </c>
      <c r="E365">
        <f>IF(설정!$C$7="","",IFERROR(INDEX('1.산군_붙여넣기'!$A$1:$AZ$1001,ROW(),설정!$C$7)&amp;"",""))</f>
        <v/>
      </c>
      <c r="F365">
        <f>IF(설정!$C$8="","",IFERROR(INDEX('1.산군_붙여넣기'!$A$1:$AZ$1001,ROW(),설정!$C$8)&amp;"",""))</f>
        <v/>
      </c>
      <c r="G365">
        <f>IF(설정!$C$9="","",IFERROR(INDEX('1.산군_붙여넣기'!$A$1:$AZ$1001,ROW(),설정!$C$9)&amp;"",""))</f>
        <v/>
      </c>
      <c r="H365">
        <f>IF(설정!$C$10="","",IFERROR(INDEX('1.산군_붙여넣기'!$A$1:$AZ$1001,ROW(),설정!$C$10)&amp;"",""))</f>
        <v/>
      </c>
      <c r="I365">
        <f>IF(설정!$C$11="","",IFERROR(INDEX('1.산군_붙여넣기'!$A$1:$AZ$1001,ROW(),설정!$C$11)&amp;"",""))</f>
        <v/>
      </c>
      <c r="J365">
        <f>IF(설정!$C$12="","",IFERROR(INDEX('1.산군_붙여넣기'!$A$1:$AZ$1001,ROW(),설정!$C$12)&amp;"",""))</f>
        <v/>
      </c>
      <c r="K365">
        <f>IF(설정!$C$13="","",IFERROR(INDEX('1.산군_붙여넣기'!$A$1:$AZ$1001,ROW(),설정!$C$13)&amp;"",""))</f>
        <v/>
      </c>
      <c r="L365" s="7">
        <f>IF(X365="","",IF(AND(LEN(X365)=8,ISNUMBER(X365*1)),DATE(LEFT(X365,4),MID(X365,5,2),RIGHT(X365,2)),IFERROR(DATEVALUE(SUBSTITUTE(SUBSTITUTE(X365,".","-"),"/","-")),IFERROR(X365*1,""))))</f>
        <v/>
      </c>
      <c r="M365" s="7">
        <f>IF(Y365="","",IF(AND(LEN(Y365)=8,ISNUMBER(Y365*1)),DATE(LEFT(Y365,4),MID(Y365,5,2),RIGHT(Y365,2)),IFERROR(DATEVALUE(SUBSTITUTE(SUBSTITUTE(Y365,".","-"),"/","-")),IFERROR(Y365*1,""))))</f>
        <v/>
      </c>
      <c r="N365">
        <f>IFERROR(LEFT(B365,FIND(" ",B365)-1),B365)</f>
        <v/>
      </c>
      <c r="O365">
        <f>AND(B365&lt;&gt;"",B365&lt;&gt;설정!$B$4,C365&lt;&gt;설정!$B$5)</f>
        <v/>
      </c>
      <c r="P365">
        <f>IF(O365,B365&amp;"|"&amp;C365,"")</f>
        <v/>
      </c>
      <c r="Q365">
        <f>AND(O365,COUNTIF(P366:P$1002,P365)=0)</f>
        <v/>
      </c>
      <c r="R365">
        <f>OR(AND(설정!$A$42&lt;&gt;"",ISNUMBER(SEARCH(설정!$A$42,E365&amp;" "&amp;C365))),AND(설정!$A$43&lt;&gt;"",ISNUMBER(SEARCH(설정!$A$43,E365&amp;" "&amp;C365))),AND(설정!$A$44&lt;&gt;"",ISNUMBER(SEARCH(설정!$A$44,E365&amp;" "&amp;C365))),AND(설정!$A$45&lt;&gt;"",ISNUMBER(SEARCH(설정!$A$45,E365&amp;" "&amp;C365))),AND(설정!$A$46&lt;&gt;"",ISNUMBER(SEARCH(설정!$A$46,E365&amp;" "&amp;C365))),AND(설정!$A$47&lt;&gt;"",ISNUMBER(SEARCH(설정!$A$47,E365&amp;" "&amp;C365))),AND(설정!$A$48&lt;&gt;"",ISNUMBER(SEARCH(설정!$A$48,E365&amp;" "&amp;C365))),AND(설정!$A$49&lt;&gt;"",ISNUMBER(SEARCH(설정!$A$49,E365&amp;" "&amp;C365))),AND(설정!$A$50&lt;&gt;"",ISNUMBER(SEARCH(설정!$A$50,E365&amp;" "&amp;C365))),AND(설정!$A$51&lt;&gt;"",ISNUMBER(SEARCH(설정!$A$51,E365&amp;" "&amp;C365))))</f>
        <v/>
      </c>
      <c r="S365">
        <f>OR(D365="",D365&gt;=설정!$B$19)</f>
        <v/>
      </c>
      <c r="T365">
        <f>AND(Q365,R365,S365)</f>
        <v/>
      </c>
      <c r="U365">
        <f>IF(T365,IF(AND(설정!$A$54&lt;&gt;"",ISNUMBER(SEARCH(설정!$A$54,K365))),설정!$B$54,IF(AND(설정!$A$55&lt;&gt;"",ISNUMBER(SEARCH(설정!$A$55,K365))),설정!$B$55,IF(AND(설정!$A$56&lt;&gt;"",ISNUMBER(SEARCH(설정!$A$56,K365))),설정!$B$56,IF(AND(설정!$A$57&lt;&gt;"",ISNUMBER(SEARCH(설정!$A$57,K365))),설정!$B$57,IF(AND(설정!$A$58&lt;&gt;"",ISNUMBER(SEARCH(설정!$A$58,K365))),설정!$B$58,IF(AND(설정!$A$59&lt;&gt;"",ISNUMBER(SEARCH(설정!$A$59,K365))),설정!$B$59,IF(AND(설정!$A$60&lt;&gt;"",ISNUMBER(SEARCH(설정!$A$60,K365))),설정!$B$60,IF(AND(설정!$A$61&lt;&gt;"",ISNUMBER(SEARCH(설정!$A$61,K365))),설정!$B$61,IF(M365="","설계사","시공사"))))))))),"")</f>
        <v/>
      </c>
      <c r="V365">
        <f>SUBSTITUTE(SUBSTITUTE(SUBSTITUTE(SUBSTITUTE(G365,"(주)",""),"㈜",""),"주식회사","")," ","")</f>
        <v/>
      </c>
      <c r="W365">
        <f>IF(AND(T365,V365&lt;&gt;""),IF(COUNTIFS(V$2:V365,V365,T$2:T365,TRUE)=1,MAX(W$1:W364)+1,""),"")</f>
        <v/>
      </c>
      <c r="X365">
        <f>IF(설정!$C$14="","",IFERROR(INDEX('1.산군_붙여넣기'!$A$1:$AZ$1001,ROW(),설정!$C$14)&amp;"",""))</f>
        <v/>
      </c>
      <c r="Y365">
        <f>IF(설정!$C$15="","",IFERROR(INDEX('1.산군_붙여넣기'!$A$1:$AZ$1001,ROW(),설정!$C$15)&amp;"",""))</f>
        <v/>
      </c>
      <c r="Z365">
        <f>IF(T365,V365&amp;"|"&amp;U365,"")</f>
        <v/>
      </c>
      <c r="AA365">
        <f>IF(NOT(Q365),"",IF(NOT(AND(R365,S365)),"✕",IF(OR(OR(AND(L365&lt;&gt;"",M365&lt;&gt;"",N(M365)-N(L365)&gt;설정!$B$27),AND(L365&lt;&gt;"",M365="",설정!$B$24-N(L365)&gt;설정!$B$27)),AND(D365&lt;&gt;"",D365&lt;설정!$B$26)),"△","★")))</f>
        <v/>
      </c>
      <c r="AB365">
        <f>IF(NOT(T365),"",IF(U365="설계사",설정!$B$31,IF(U365="시공사",IF(OR(M365="",설정!$B$24-N(M365)&lt;=설정!$B$28*30.4),설정!$B$32,설정!$B$33),설정!$B$34))+IF(AA365="★",설정!$B$35,0))</f>
        <v/>
      </c>
      <c r="AC365">
        <f>SUBSTITUTE(SUBSTITUTE(SUBSTITUTE(SUBSTITUTE(H365,"(주)",""),"㈜",""),"주식회사","")," ","")</f>
        <v/>
      </c>
      <c r="AD365">
        <f>IF(AND(T365,AC365&lt;&gt;""),IF(COUNTIFS(AC$2:AC365,AC365,T$2:T365,TRUE)=1,MAX(AD$1:AD364)+1,""),"")</f>
        <v/>
      </c>
    </row>
    <row r="366">
      <c r="A366">
        <f>ROW()</f>
        <v/>
      </c>
      <c r="B366">
        <f>IF(설정!$C$4="","",IFERROR(INDEX('1.산군_붙여넣기'!$A$1:$AZ$1001,ROW(),설정!$C$4)&amp;"",""))</f>
        <v/>
      </c>
      <c r="C366">
        <f>IF(설정!$C$5="","",IFERROR(INDEX('1.산군_붙여넣기'!$A$1:$AZ$1001,ROW(),설정!$C$5)&amp;"",""))</f>
        <v/>
      </c>
      <c r="D366" s="5">
        <f>IFERROR(VALUE(SUBSTITUTE(SUBSTITUTE(SUBSTITUTE(IF(설정!$C$6="","",IFERROR(INDEX('1.산군_붙여넣기'!$A$1:$AZ$1001,ROW(),설정!$C$6)&amp;"","")),",",""),"㎡",""),"m2","")),"")</f>
        <v/>
      </c>
      <c r="E366">
        <f>IF(설정!$C$7="","",IFERROR(INDEX('1.산군_붙여넣기'!$A$1:$AZ$1001,ROW(),설정!$C$7)&amp;"",""))</f>
        <v/>
      </c>
      <c r="F366">
        <f>IF(설정!$C$8="","",IFERROR(INDEX('1.산군_붙여넣기'!$A$1:$AZ$1001,ROW(),설정!$C$8)&amp;"",""))</f>
        <v/>
      </c>
      <c r="G366">
        <f>IF(설정!$C$9="","",IFERROR(INDEX('1.산군_붙여넣기'!$A$1:$AZ$1001,ROW(),설정!$C$9)&amp;"",""))</f>
        <v/>
      </c>
      <c r="H366">
        <f>IF(설정!$C$10="","",IFERROR(INDEX('1.산군_붙여넣기'!$A$1:$AZ$1001,ROW(),설정!$C$10)&amp;"",""))</f>
        <v/>
      </c>
      <c r="I366">
        <f>IF(설정!$C$11="","",IFERROR(INDEX('1.산군_붙여넣기'!$A$1:$AZ$1001,ROW(),설정!$C$11)&amp;"",""))</f>
        <v/>
      </c>
      <c r="J366">
        <f>IF(설정!$C$12="","",IFERROR(INDEX('1.산군_붙여넣기'!$A$1:$AZ$1001,ROW(),설정!$C$12)&amp;"",""))</f>
        <v/>
      </c>
      <c r="K366">
        <f>IF(설정!$C$13="","",IFERROR(INDEX('1.산군_붙여넣기'!$A$1:$AZ$1001,ROW(),설정!$C$13)&amp;"",""))</f>
        <v/>
      </c>
      <c r="L366" s="7">
        <f>IF(X366="","",IF(AND(LEN(X366)=8,ISNUMBER(X366*1)),DATE(LEFT(X366,4),MID(X366,5,2),RIGHT(X366,2)),IFERROR(DATEVALUE(SUBSTITUTE(SUBSTITUTE(X366,".","-"),"/","-")),IFERROR(X366*1,""))))</f>
        <v/>
      </c>
      <c r="M366" s="7">
        <f>IF(Y366="","",IF(AND(LEN(Y366)=8,ISNUMBER(Y366*1)),DATE(LEFT(Y366,4),MID(Y366,5,2),RIGHT(Y366,2)),IFERROR(DATEVALUE(SUBSTITUTE(SUBSTITUTE(Y366,".","-"),"/","-")),IFERROR(Y366*1,""))))</f>
        <v/>
      </c>
      <c r="N366">
        <f>IFERROR(LEFT(B366,FIND(" ",B366)-1),B366)</f>
        <v/>
      </c>
      <c r="O366">
        <f>AND(B366&lt;&gt;"",B366&lt;&gt;설정!$B$4,C366&lt;&gt;설정!$B$5)</f>
        <v/>
      </c>
      <c r="P366">
        <f>IF(O366,B366&amp;"|"&amp;C366,"")</f>
        <v/>
      </c>
      <c r="Q366">
        <f>AND(O366,COUNTIF(P367:P$1002,P366)=0)</f>
        <v/>
      </c>
      <c r="R366">
        <f>OR(AND(설정!$A$42&lt;&gt;"",ISNUMBER(SEARCH(설정!$A$42,E366&amp;" "&amp;C366))),AND(설정!$A$43&lt;&gt;"",ISNUMBER(SEARCH(설정!$A$43,E366&amp;" "&amp;C366))),AND(설정!$A$44&lt;&gt;"",ISNUMBER(SEARCH(설정!$A$44,E366&amp;" "&amp;C366))),AND(설정!$A$45&lt;&gt;"",ISNUMBER(SEARCH(설정!$A$45,E366&amp;" "&amp;C366))),AND(설정!$A$46&lt;&gt;"",ISNUMBER(SEARCH(설정!$A$46,E366&amp;" "&amp;C366))),AND(설정!$A$47&lt;&gt;"",ISNUMBER(SEARCH(설정!$A$47,E366&amp;" "&amp;C366))),AND(설정!$A$48&lt;&gt;"",ISNUMBER(SEARCH(설정!$A$48,E366&amp;" "&amp;C366))),AND(설정!$A$49&lt;&gt;"",ISNUMBER(SEARCH(설정!$A$49,E366&amp;" "&amp;C366))),AND(설정!$A$50&lt;&gt;"",ISNUMBER(SEARCH(설정!$A$50,E366&amp;" "&amp;C366))),AND(설정!$A$51&lt;&gt;"",ISNUMBER(SEARCH(설정!$A$51,E366&amp;" "&amp;C366))))</f>
        <v/>
      </c>
      <c r="S366">
        <f>OR(D366="",D366&gt;=설정!$B$19)</f>
        <v/>
      </c>
      <c r="T366">
        <f>AND(Q366,R366,S366)</f>
        <v/>
      </c>
      <c r="U366">
        <f>IF(T366,IF(AND(설정!$A$54&lt;&gt;"",ISNUMBER(SEARCH(설정!$A$54,K366))),설정!$B$54,IF(AND(설정!$A$55&lt;&gt;"",ISNUMBER(SEARCH(설정!$A$55,K366))),설정!$B$55,IF(AND(설정!$A$56&lt;&gt;"",ISNUMBER(SEARCH(설정!$A$56,K366))),설정!$B$56,IF(AND(설정!$A$57&lt;&gt;"",ISNUMBER(SEARCH(설정!$A$57,K366))),설정!$B$57,IF(AND(설정!$A$58&lt;&gt;"",ISNUMBER(SEARCH(설정!$A$58,K366))),설정!$B$58,IF(AND(설정!$A$59&lt;&gt;"",ISNUMBER(SEARCH(설정!$A$59,K366))),설정!$B$59,IF(AND(설정!$A$60&lt;&gt;"",ISNUMBER(SEARCH(설정!$A$60,K366))),설정!$B$60,IF(AND(설정!$A$61&lt;&gt;"",ISNUMBER(SEARCH(설정!$A$61,K366))),설정!$B$61,IF(M366="","설계사","시공사"))))))))),"")</f>
        <v/>
      </c>
      <c r="V366">
        <f>SUBSTITUTE(SUBSTITUTE(SUBSTITUTE(SUBSTITUTE(G366,"(주)",""),"㈜",""),"주식회사","")," ","")</f>
        <v/>
      </c>
      <c r="W366">
        <f>IF(AND(T366,V366&lt;&gt;""),IF(COUNTIFS(V$2:V366,V366,T$2:T366,TRUE)=1,MAX(W$1:W365)+1,""),"")</f>
        <v/>
      </c>
      <c r="X366">
        <f>IF(설정!$C$14="","",IFERROR(INDEX('1.산군_붙여넣기'!$A$1:$AZ$1001,ROW(),설정!$C$14)&amp;"",""))</f>
        <v/>
      </c>
      <c r="Y366">
        <f>IF(설정!$C$15="","",IFERROR(INDEX('1.산군_붙여넣기'!$A$1:$AZ$1001,ROW(),설정!$C$15)&amp;"",""))</f>
        <v/>
      </c>
      <c r="Z366">
        <f>IF(T366,V366&amp;"|"&amp;U366,"")</f>
        <v/>
      </c>
      <c r="AA366">
        <f>IF(NOT(Q366),"",IF(NOT(AND(R366,S366)),"✕",IF(OR(OR(AND(L366&lt;&gt;"",M366&lt;&gt;"",N(M366)-N(L366)&gt;설정!$B$27),AND(L366&lt;&gt;"",M366="",설정!$B$24-N(L366)&gt;설정!$B$27)),AND(D366&lt;&gt;"",D366&lt;설정!$B$26)),"△","★")))</f>
        <v/>
      </c>
      <c r="AB366">
        <f>IF(NOT(T366),"",IF(U366="설계사",설정!$B$31,IF(U366="시공사",IF(OR(M366="",설정!$B$24-N(M366)&lt;=설정!$B$28*30.4),설정!$B$32,설정!$B$33),설정!$B$34))+IF(AA366="★",설정!$B$35,0))</f>
        <v/>
      </c>
      <c r="AC366">
        <f>SUBSTITUTE(SUBSTITUTE(SUBSTITUTE(SUBSTITUTE(H366,"(주)",""),"㈜",""),"주식회사","")," ","")</f>
        <v/>
      </c>
      <c r="AD366">
        <f>IF(AND(T366,AC366&lt;&gt;""),IF(COUNTIFS(AC$2:AC366,AC366,T$2:T366,TRUE)=1,MAX(AD$1:AD365)+1,""),"")</f>
        <v/>
      </c>
    </row>
    <row r="367">
      <c r="A367">
        <f>ROW()</f>
        <v/>
      </c>
      <c r="B367">
        <f>IF(설정!$C$4="","",IFERROR(INDEX('1.산군_붙여넣기'!$A$1:$AZ$1001,ROW(),설정!$C$4)&amp;"",""))</f>
        <v/>
      </c>
      <c r="C367">
        <f>IF(설정!$C$5="","",IFERROR(INDEX('1.산군_붙여넣기'!$A$1:$AZ$1001,ROW(),설정!$C$5)&amp;"",""))</f>
        <v/>
      </c>
      <c r="D367" s="5">
        <f>IFERROR(VALUE(SUBSTITUTE(SUBSTITUTE(SUBSTITUTE(IF(설정!$C$6="","",IFERROR(INDEX('1.산군_붙여넣기'!$A$1:$AZ$1001,ROW(),설정!$C$6)&amp;"","")),",",""),"㎡",""),"m2","")),"")</f>
        <v/>
      </c>
      <c r="E367">
        <f>IF(설정!$C$7="","",IFERROR(INDEX('1.산군_붙여넣기'!$A$1:$AZ$1001,ROW(),설정!$C$7)&amp;"",""))</f>
        <v/>
      </c>
      <c r="F367">
        <f>IF(설정!$C$8="","",IFERROR(INDEX('1.산군_붙여넣기'!$A$1:$AZ$1001,ROW(),설정!$C$8)&amp;"",""))</f>
        <v/>
      </c>
      <c r="G367">
        <f>IF(설정!$C$9="","",IFERROR(INDEX('1.산군_붙여넣기'!$A$1:$AZ$1001,ROW(),설정!$C$9)&amp;"",""))</f>
        <v/>
      </c>
      <c r="H367">
        <f>IF(설정!$C$10="","",IFERROR(INDEX('1.산군_붙여넣기'!$A$1:$AZ$1001,ROW(),설정!$C$10)&amp;"",""))</f>
        <v/>
      </c>
      <c r="I367">
        <f>IF(설정!$C$11="","",IFERROR(INDEX('1.산군_붙여넣기'!$A$1:$AZ$1001,ROW(),설정!$C$11)&amp;"",""))</f>
        <v/>
      </c>
      <c r="J367">
        <f>IF(설정!$C$12="","",IFERROR(INDEX('1.산군_붙여넣기'!$A$1:$AZ$1001,ROW(),설정!$C$12)&amp;"",""))</f>
        <v/>
      </c>
      <c r="K367">
        <f>IF(설정!$C$13="","",IFERROR(INDEX('1.산군_붙여넣기'!$A$1:$AZ$1001,ROW(),설정!$C$13)&amp;"",""))</f>
        <v/>
      </c>
      <c r="L367" s="7">
        <f>IF(X367="","",IF(AND(LEN(X367)=8,ISNUMBER(X367*1)),DATE(LEFT(X367,4),MID(X367,5,2),RIGHT(X367,2)),IFERROR(DATEVALUE(SUBSTITUTE(SUBSTITUTE(X367,".","-"),"/","-")),IFERROR(X367*1,""))))</f>
        <v/>
      </c>
      <c r="M367" s="7">
        <f>IF(Y367="","",IF(AND(LEN(Y367)=8,ISNUMBER(Y367*1)),DATE(LEFT(Y367,4),MID(Y367,5,2),RIGHT(Y367,2)),IFERROR(DATEVALUE(SUBSTITUTE(SUBSTITUTE(Y367,".","-"),"/","-")),IFERROR(Y367*1,""))))</f>
        <v/>
      </c>
      <c r="N367">
        <f>IFERROR(LEFT(B367,FIND(" ",B367)-1),B367)</f>
        <v/>
      </c>
      <c r="O367">
        <f>AND(B367&lt;&gt;"",B367&lt;&gt;설정!$B$4,C367&lt;&gt;설정!$B$5)</f>
        <v/>
      </c>
      <c r="P367">
        <f>IF(O367,B367&amp;"|"&amp;C367,"")</f>
        <v/>
      </c>
      <c r="Q367">
        <f>AND(O367,COUNTIF(P368:P$1002,P367)=0)</f>
        <v/>
      </c>
      <c r="R367">
        <f>OR(AND(설정!$A$42&lt;&gt;"",ISNUMBER(SEARCH(설정!$A$42,E367&amp;" "&amp;C367))),AND(설정!$A$43&lt;&gt;"",ISNUMBER(SEARCH(설정!$A$43,E367&amp;" "&amp;C367))),AND(설정!$A$44&lt;&gt;"",ISNUMBER(SEARCH(설정!$A$44,E367&amp;" "&amp;C367))),AND(설정!$A$45&lt;&gt;"",ISNUMBER(SEARCH(설정!$A$45,E367&amp;" "&amp;C367))),AND(설정!$A$46&lt;&gt;"",ISNUMBER(SEARCH(설정!$A$46,E367&amp;" "&amp;C367))),AND(설정!$A$47&lt;&gt;"",ISNUMBER(SEARCH(설정!$A$47,E367&amp;" "&amp;C367))),AND(설정!$A$48&lt;&gt;"",ISNUMBER(SEARCH(설정!$A$48,E367&amp;" "&amp;C367))),AND(설정!$A$49&lt;&gt;"",ISNUMBER(SEARCH(설정!$A$49,E367&amp;" "&amp;C367))),AND(설정!$A$50&lt;&gt;"",ISNUMBER(SEARCH(설정!$A$50,E367&amp;" "&amp;C367))),AND(설정!$A$51&lt;&gt;"",ISNUMBER(SEARCH(설정!$A$51,E367&amp;" "&amp;C367))))</f>
        <v/>
      </c>
      <c r="S367">
        <f>OR(D367="",D367&gt;=설정!$B$19)</f>
        <v/>
      </c>
      <c r="T367">
        <f>AND(Q367,R367,S367)</f>
        <v/>
      </c>
      <c r="U367">
        <f>IF(T367,IF(AND(설정!$A$54&lt;&gt;"",ISNUMBER(SEARCH(설정!$A$54,K367))),설정!$B$54,IF(AND(설정!$A$55&lt;&gt;"",ISNUMBER(SEARCH(설정!$A$55,K367))),설정!$B$55,IF(AND(설정!$A$56&lt;&gt;"",ISNUMBER(SEARCH(설정!$A$56,K367))),설정!$B$56,IF(AND(설정!$A$57&lt;&gt;"",ISNUMBER(SEARCH(설정!$A$57,K367))),설정!$B$57,IF(AND(설정!$A$58&lt;&gt;"",ISNUMBER(SEARCH(설정!$A$58,K367))),설정!$B$58,IF(AND(설정!$A$59&lt;&gt;"",ISNUMBER(SEARCH(설정!$A$59,K367))),설정!$B$59,IF(AND(설정!$A$60&lt;&gt;"",ISNUMBER(SEARCH(설정!$A$60,K367))),설정!$B$60,IF(AND(설정!$A$61&lt;&gt;"",ISNUMBER(SEARCH(설정!$A$61,K367))),설정!$B$61,IF(M367="","설계사","시공사"))))))))),"")</f>
        <v/>
      </c>
      <c r="V367">
        <f>SUBSTITUTE(SUBSTITUTE(SUBSTITUTE(SUBSTITUTE(G367,"(주)",""),"㈜",""),"주식회사","")," ","")</f>
        <v/>
      </c>
      <c r="W367">
        <f>IF(AND(T367,V367&lt;&gt;""),IF(COUNTIFS(V$2:V367,V367,T$2:T367,TRUE)=1,MAX(W$1:W366)+1,""),"")</f>
        <v/>
      </c>
      <c r="X367">
        <f>IF(설정!$C$14="","",IFERROR(INDEX('1.산군_붙여넣기'!$A$1:$AZ$1001,ROW(),설정!$C$14)&amp;"",""))</f>
        <v/>
      </c>
      <c r="Y367">
        <f>IF(설정!$C$15="","",IFERROR(INDEX('1.산군_붙여넣기'!$A$1:$AZ$1001,ROW(),설정!$C$15)&amp;"",""))</f>
        <v/>
      </c>
      <c r="Z367">
        <f>IF(T367,V367&amp;"|"&amp;U367,"")</f>
        <v/>
      </c>
      <c r="AA367">
        <f>IF(NOT(Q367),"",IF(NOT(AND(R367,S367)),"✕",IF(OR(OR(AND(L367&lt;&gt;"",M367&lt;&gt;"",N(M367)-N(L367)&gt;설정!$B$27),AND(L367&lt;&gt;"",M367="",설정!$B$24-N(L367)&gt;설정!$B$27)),AND(D367&lt;&gt;"",D367&lt;설정!$B$26)),"△","★")))</f>
        <v/>
      </c>
      <c r="AB367">
        <f>IF(NOT(T367),"",IF(U367="설계사",설정!$B$31,IF(U367="시공사",IF(OR(M367="",설정!$B$24-N(M367)&lt;=설정!$B$28*30.4),설정!$B$32,설정!$B$33),설정!$B$34))+IF(AA367="★",설정!$B$35,0))</f>
        <v/>
      </c>
      <c r="AC367">
        <f>SUBSTITUTE(SUBSTITUTE(SUBSTITUTE(SUBSTITUTE(H367,"(주)",""),"㈜",""),"주식회사","")," ","")</f>
        <v/>
      </c>
      <c r="AD367">
        <f>IF(AND(T367,AC367&lt;&gt;""),IF(COUNTIFS(AC$2:AC367,AC367,T$2:T367,TRUE)=1,MAX(AD$1:AD366)+1,""),"")</f>
        <v/>
      </c>
    </row>
    <row r="368">
      <c r="A368">
        <f>ROW()</f>
        <v/>
      </c>
      <c r="B368">
        <f>IF(설정!$C$4="","",IFERROR(INDEX('1.산군_붙여넣기'!$A$1:$AZ$1001,ROW(),설정!$C$4)&amp;"",""))</f>
        <v/>
      </c>
      <c r="C368">
        <f>IF(설정!$C$5="","",IFERROR(INDEX('1.산군_붙여넣기'!$A$1:$AZ$1001,ROW(),설정!$C$5)&amp;"",""))</f>
        <v/>
      </c>
      <c r="D368" s="5">
        <f>IFERROR(VALUE(SUBSTITUTE(SUBSTITUTE(SUBSTITUTE(IF(설정!$C$6="","",IFERROR(INDEX('1.산군_붙여넣기'!$A$1:$AZ$1001,ROW(),설정!$C$6)&amp;"","")),",",""),"㎡",""),"m2","")),"")</f>
        <v/>
      </c>
      <c r="E368">
        <f>IF(설정!$C$7="","",IFERROR(INDEX('1.산군_붙여넣기'!$A$1:$AZ$1001,ROW(),설정!$C$7)&amp;"",""))</f>
        <v/>
      </c>
      <c r="F368">
        <f>IF(설정!$C$8="","",IFERROR(INDEX('1.산군_붙여넣기'!$A$1:$AZ$1001,ROW(),설정!$C$8)&amp;"",""))</f>
        <v/>
      </c>
      <c r="G368">
        <f>IF(설정!$C$9="","",IFERROR(INDEX('1.산군_붙여넣기'!$A$1:$AZ$1001,ROW(),설정!$C$9)&amp;"",""))</f>
        <v/>
      </c>
      <c r="H368">
        <f>IF(설정!$C$10="","",IFERROR(INDEX('1.산군_붙여넣기'!$A$1:$AZ$1001,ROW(),설정!$C$10)&amp;"",""))</f>
        <v/>
      </c>
      <c r="I368">
        <f>IF(설정!$C$11="","",IFERROR(INDEX('1.산군_붙여넣기'!$A$1:$AZ$1001,ROW(),설정!$C$11)&amp;"",""))</f>
        <v/>
      </c>
      <c r="J368">
        <f>IF(설정!$C$12="","",IFERROR(INDEX('1.산군_붙여넣기'!$A$1:$AZ$1001,ROW(),설정!$C$12)&amp;"",""))</f>
        <v/>
      </c>
      <c r="K368">
        <f>IF(설정!$C$13="","",IFERROR(INDEX('1.산군_붙여넣기'!$A$1:$AZ$1001,ROW(),설정!$C$13)&amp;"",""))</f>
        <v/>
      </c>
      <c r="L368" s="7">
        <f>IF(X368="","",IF(AND(LEN(X368)=8,ISNUMBER(X368*1)),DATE(LEFT(X368,4),MID(X368,5,2),RIGHT(X368,2)),IFERROR(DATEVALUE(SUBSTITUTE(SUBSTITUTE(X368,".","-"),"/","-")),IFERROR(X368*1,""))))</f>
        <v/>
      </c>
      <c r="M368" s="7">
        <f>IF(Y368="","",IF(AND(LEN(Y368)=8,ISNUMBER(Y368*1)),DATE(LEFT(Y368,4),MID(Y368,5,2),RIGHT(Y368,2)),IFERROR(DATEVALUE(SUBSTITUTE(SUBSTITUTE(Y368,".","-"),"/","-")),IFERROR(Y368*1,""))))</f>
        <v/>
      </c>
      <c r="N368">
        <f>IFERROR(LEFT(B368,FIND(" ",B368)-1),B368)</f>
        <v/>
      </c>
      <c r="O368">
        <f>AND(B368&lt;&gt;"",B368&lt;&gt;설정!$B$4,C368&lt;&gt;설정!$B$5)</f>
        <v/>
      </c>
      <c r="P368">
        <f>IF(O368,B368&amp;"|"&amp;C368,"")</f>
        <v/>
      </c>
      <c r="Q368">
        <f>AND(O368,COUNTIF(P369:P$1002,P368)=0)</f>
        <v/>
      </c>
      <c r="R368">
        <f>OR(AND(설정!$A$42&lt;&gt;"",ISNUMBER(SEARCH(설정!$A$42,E368&amp;" "&amp;C368))),AND(설정!$A$43&lt;&gt;"",ISNUMBER(SEARCH(설정!$A$43,E368&amp;" "&amp;C368))),AND(설정!$A$44&lt;&gt;"",ISNUMBER(SEARCH(설정!$A$44,E368&amp;" "&amp;C368))),AND(설정!$A$45&lt;&gt;"",ISNUMBER(SEARCH(설정!$A$45,E368&amp;" "&amp;C368))),AND(설정!$A$46&lt;&gt;"",ISNUMBER(SEARCH(설정!$A$46,E368&amp;" "&amp;C368))),AND(설정!$A$47&lt;&gt;"",ISNUMBER(SEARCH(설정!$A$47,E368&amp;" "&amp;C368))),AND(설정!$A$48&lt;&gt;"",ISNUMBER(SEARCH(설정!$A$48,E368&amp;" "&amp;C368))),AND(설정!$A$49&lt;&gt;"",ISNUMBER(SEARCH(설정!$A$49,E368&amp;" "&amp;C368))),AND(설정!$A$50&lt;&gt;"",ISNUMBER(SEARCH(설정!$A$50,E368&amp;" "&amp;C368))),AND(설정!$A$51&lt;&gt;"",ISNUMBER(SEARCH(설정!$A$51,E368&amp;" "&amp;C368))))</f>
        <v/>
      </c>
      <c r="S368">
        <f>OR(D368="",D368&gt;=설정!$B$19)</f>
        <v/>
      </c>
      <c r="T368">
        <f>AND(Q368,R368,S368)</f>
        <v/>
      </c>
      <c r="U368">
        <f>IF(T368,IF(AND(설정!$A$54&lt;&gt;"",ISNUMBER(SEARCH(설정!$A$54,K368))),설정!$B$54,IF(AND(설정!$A$55&lt;&gt;"",ISNUMBER(SEARCH(설정!$A$55,K368))),설정!$B$55,IF(AND(설정!$A$56&lt;&gt;"",ISNUMBER(SEARCH(설정!$A$56,K368))),설정!$B$56,IF(AND(설정!$A$57&lt;&gt;"",ISNUMBER(SEARCH(설정!$A$57,K368))),설정!$B$57,IF(AND(설정!$A$58&lt;&gt;"",ISNUMBER(SEARCH(설정!$A$58,K368))),설정!$B$58,IF(AND(설정!$A$59&lt;&gt;"",ISNUMBER(SEARCH(설정!$A$59,K368))),설정!$B$59,IF(AND(설정!$A$60&lt;&gt;"",ISNUMBER(SEARCH(설정!$A$60,K368))),설정!$B$60,IF(AND(설정!$A$61&lt;&gt;"",ISNUMBER(SEARCH(설정!$A$61,K368))),설정!$B$61,IF(M368="","설계사","시공사"))))))))),"")</f>
        <v/>
      </c>
      <c r="V368">
        <f>SUBSTITUTE(SUBSTITUTE(SUBSTITUTE(SUBSTITUTE(G368,"(주)",""),"㈜",""),"주식회사","")," ","")</f>
        <v/>
      </c>
      <c r="W368">
        <f>IF(AND(T368,V368&lt;&gt;""),IF(COUNTIFS(V$2:V368,V368,T$2:T368,TRUE)=1,MAX(W$1:W367)+1,""),"")</f>
        <v/>
      </c>
      <c r="X368">
        <f>IF(설정!$C$14="","",IFERROR(INDEX('1.산군_붙여넣기'!$A$1:$AZ$1001,ROW(),설정!$C$14)&amp;"",""))</f>
        <v/>
      </c>
      <c r="Y368">
        <f>IF(설정!$C$15="","",IFERROR(INDEX('1.산군_붙여넣기'!$A$1:$AZ$1001,ROW(),설정!$C$15)&amp;"",""))</f>
        <v/>
      </c>
      <c r="Z368">
        <f>IF(T368,V368&amp;"|"&amp;U368,"")</f>
        <v/>
      </c>
      <c r="AA368">
        <f>IF(NOT(Q368),"",IF(NOT(AND(R368,S368)),"✕",IF(OR(OR(AND(L368&lt;&gt;"",M368&lt;&gt;"",N(M368)-N(L368)&gt;설정!$B$27),AND(L368&lt;&gt;"",M368="",설정!$B$24-N(L368)&gt;설정!$B$27)),AND(D368&lt;&gt;"",D368&lt;설정!$B$26)),"△","★")))</f>
        <v/>
      </c>
      <c r="AB368">
        <f>IF(NOT(T368),"",IF(U368="설계사",설정!$B$31,IF(U368="시공사",IF(OR(M368="",설정!$B$24-N(M368)&lt;=설정!$B$28*30.4),설정!$B$32,설정!$B$33),설정!$B$34))+IF(AA368="★",설정!$B$35,0))</f>
        <v/>
      </c>
      <c r="AC368">
        <f>SUBSTITUTE(SUBSTITUTE(SUBSTITUTE(SUBSTITUTE(H368,"(주)",""),"㈜",""),"주식회사","")," ","")</f>
        <v/>
      </c>
      <c r="AD368">
        <f>IF(AND(T368,AC368&lt;&gt;""),IF(COUNTIFS(AC$2:AC368,AC368,T$2:T368,TRUE)=1,MAX(AD$1:AD367)+1,""),"")</f>
        <v/>
      </c>
    </row>
    <row r="369">
      <c r="A369">
        <f>ROW()</f>
        <v/>
      </c>
      <c r="B369">
        <f>IF(설정!$C$4="","",IFERROR(INDEX('1.산군_붙여넣기'!$A$1:$AZ$1001,ROW(),설정!$C$4)&amp;"",""))</f>
        <v/>
      </c>
      <c r="C369">
        <f>IF(설정!$C$5="","",IFERROR(INDEX('1.산군_붙여넣기'!$A$1:$AZ$1001,ROW(),설정!$C$5)&amp;"",""))</f>
        <v/>
      </c>
      <c r="D369" s="5">
        <f>IFERROR(VALUE(SUBSTITUTE(SUBSTITUTE(SUBSTITUTE(IF(설정!$C$6="","",IFERROR(INDEX('1.산군_붙여넣기'!$A$1:$AZ$1001,ROW(),설정!$C$6)&amp;"","")),",",""),"㎡",""),"m2","")),"")</f>
        <v/>
      </c>
      <c r="E369">
        <f>IF(설정!$C$7="","",IFERROR(INDEX('1.산군_붙여넣기'!$A$1:$AZ$1001,ROW(),설정!$C$7)&amp;"",""))</f>
        <v/>
      </c>
      <c r="F369">
        <f>IF(설정!$C$8="","",IFERROR(INDEX('1.산군_붙여넣기'!$A$1:$AZ$1001,ROW(),설정!$C$8)&amp;"",""))</f>
        <v/>
      </c>
      <c r="G369">
        <f>IF(설정!$C$9="","",IFERROR(INDEX('1.산군_붙여넣기'!$A$1:$AZ$1001,ROW(),설정!$C$9)&amp;"",""))</f>
        <v/>
      </c>
      <c r="H369">
        <f>IF(설정!$C$10="","",IFERROR(INDEX('1.산군_붙여넣기'!$A$1:$AZ$1001,ROW(),설정!$C$10)&amp;"",""))</f>
        <v/>
      </c>
      <c r="I369">
        <f>IF(설정!$C$11="","",IFERROR(INDEX('1.산군_붙여넣기'!$A$1:$AZ$1001,ROW(),설정!$C$11)&amp;"",""))</f>
        <v/>
      </c>
      <c r="J369">
        <f>IF(설정!$C$12="","",IFERROR(INDEX('1.산군_붙여넣기'!$A$1:$AZ$1001,ROW(),설정!$C$12)&amp;"",""))</f>
        <v/>
      </c>
      <c r="K369">
        <f>IF(설정!$C$13="","",IFERROR(INDEX('1.산군_붙여넣기'!$A$1:$AZ$1001,ROW(),설정!$C$13)&amp;"",""))</f>
        <v/>
      </c>
      <c r="L369" s="7">
        <f>IF(X369="","",IF(AND(LEN(X369)=8,ISNUMBER(X369*1)),DATE(LEFT(X369,4),MID(X369,5,2),RIGHT(X369,2)),IFERROR(DATEVALUE(SUBSTITUTE(SUBSTITUTE(X369,".","-"),"/","-")),IFERROR(X369*1,""))))</f>
        <v/>
      </c>
      <c r="M369" s="7">
        <f>IF(Y369="","",IF(AND(LEN(Y369)=8,ISNUMBER(Y369*1)),DATE(LEFT(Y369,4),MID(Y369,5,2),RIGHT(Y369,2)),IFERROR(DATEVALUE(SUBSTITUTE(SUBSTITUTE(Y369,".","-"),"/","-")),IFERROR(Y369*1,""))))</f>
        <v/>
      </c>
      <c r="N369">
        <f>IFERROR(LEFT(B369,FIND(" ",B369)-1),B369)</f>
        <v/>
      </c>
      <c r="O369">
        <f>AND(B369&lt;&gt;"",B369&lt;&gt;설정!$B$4,C369&lt;&gt;설정!$B$5)</f>
        <v/>
      </c>
      <c r="P369">
        <f>IF(O369,B369&amp;"|"&amp;C369,"")</f>
        <v/>
      </c>
      <c r="Q369">
        <f>AND(O369,COUNTIF(P370:P$1002,P369)=0)</f>
        <v/>
      </c>
      <c r="R369">
        <f>OR(AND(설정!$A$42&lt;&gt;"",ISNUMBER(SEARCH(설정!$A$42,E369&amp;" "&amp;C369))),AND(설정!$A$43&lt;&gt;"",ISNUMBER(SEARCH(설정!$A$43,E369&amp;" "&amp;C369))),AND(설정!$A$44&lt;&gt;"",ISNUMBER(SEARCH(설정!$A$44,E369&amp;" "&amp;C369))),AND(설정!$A$45&lt;&gt;"",ISNUMBER(SEARCH(설정!$A$45,E369&amp;" "&amp;C369))),AND(설정!$A$46&lt;&gt;"",ISNUMBER(SEARCH(설정!$A$46,E369&amp;" "&amp;C369))),AND(설정!$A$47&lt;&gt;"",ISNUMBER(SEARCH(설정!$A$47,E369&amp;" "&amp;C369))),AND(설정!$A$48&lt;&gt;"",ISNUMBER(SEARCH(설정!$A$48,E369&amp;" "&amp;C369))),AND(설정!$A$49&lt;&gt;"",ISNUMBER(SEARCH(설정!$A$49,E369&amp;" "&amp;C369))),AND(설정!$A$50&lt;&gt;"",ISNUMBER(SEARCH(설정!$A$50,E369&amp;" "&amp;C369))),AND(설정!$A$51&lt;&gt;"",ISNUMBER(SEARCH(설정!$A$51,E369&amp;" "&amp;C369))))</f>
        <v/>
      </c>
      <c r="S369">
        <f>OR(D369="",D369&gt;=설정!$B$19)</f>
        <v/>
      </c>
      <c r="T369">
        <f>AND(Q369,R369,S369)</f>
        <v/>
      </c>
      <c r="U369">
        <f>IF(T369,IF(AND(설정!$A$54&lt;&gt;"",ISNUMBER(SEARCH(설정!$A$54,K369))),설정!$B$54,IF(AND(설정!$A$55&lt;&gt;"",ISNUMBER(SEARCH(설정!$A$55,K369))),설정!$B$55,IF(AND(설정!$A$56&lt;&gt;"",ISNUMBER(SEARCH(설정!$A$56,K369))),설정!$B$56,IF(AND(설정!$A$57&lt;&gt;"",ISNUMBER(SEARCH(설정!$A$57,K369))),설정!$B$57,IF(AND(설정!$A$58&lt;&gt;"",ISNUMBER(SEARCH(설정!$A$58,K369))),설정!$B$58,IF(AND(설정!$A$59&lt;&gt;"",ISNUMBER(SEARCH(설정!$A$59,K369))),설정!$B$59,IF(AND(설정!$A$60&lt;&gt;"",ISNUMBER(SEARCH(설정!$A$60,K369))),설정!$B$60,IF(AND(설정!$A$61&lt;&gt;"",ISNUMBER(SEARCH(설정!$A$61,K369))),설정!$B$61,IF(M369="","설계사","시공사"))))))))),"")</f>
        <v/>
      </c>
      <c r="V369">
        <f>SUBSTITUTE(SUBSTITUTE(SUBSTITUTE(SUBSTITUTE(G369,"(주)",""),"㈜",""),"주식회사","")," ","")</f>
        <v/>
      </c>
      <c r="W369">
        <f>IF(AND(T369,V369&lt;&gt;""),IF(COUNTIFS(V$2:V369,V369,T$2:T369,TRUE)=1,MAX(W$1:W368)+1,""),"")</f>
        <v/>
      </c>
      <c r="X369">
        <f>IF(설정!$C$14="","",IFERROR(INDEX('1.산군_붙여넣기'!$A$1:$AZ$1001,ROW(),설정!$C$14)&amp;"",""))</f>
        <v/>
      </c>
      <c r="Y369">
        <f>IF(설정!$C$15="","",IFERROR(INDEX('1.산군_붙여넣기'!$A$1:$AZ$1001,ROW(),설정!$C$15)&amp;"",""))</f>
        <v/>
      </c>
      <c r="Z369">
        <f>IF(T369,V369&amp;"|"&amp;U369,"")</f>
        <v/>
      </c>
      <c r="AA369">
        <f>IF(NOT(Q369),"",IF(NOT(AND(R369,S369)),"✕",IF(OR(OR(AND(L369&lt;&gt;"",M369&lt;&gt;"",N(M369)-N(L369)&gt;설정!$B$27),AND(L369&lt;&gt;"",M369="",설정!$B$24-N(L369)&gt;설정!$B$27)),AND(D369&lt;&gt;"",D369&lt;설정!$B$26)),"△","★")))</f>
        <v/>
      </c>
      <c r="AB369">
        <f>IF(NOT(T369),"",IF(U369="설계사",설정!$B$31,IF(U369="시공사",IF(OR(M369="",설정!$B$24-N(M369)&lt;=설정!$B$28*30.4),설정!$B$32,설정!$B$33),설정!$B$34))+IF(AA369="★",설정!$B$35,0))</f>
        <v/>
      </c>
      <c r="AC369">
        <f>SUBSTITUTE(SUBSTITUTE(SUBSTITUTE(SUBSTITUTE(H369,"(주)",""),"㈜",""),"주식회사","")," ","")</f>
        <v/>
      </c>
      <c r="AD369">
        <f>IF(AND(T369,AC369&lt;&gt;""),IF(COUNTIFS(AC$2:AC369,AC369,T$2:T369,TRUE)=1,MAX(AD$1:AD368)+1,""),"")</f>
        <v/>
      </c>
    </row>
    <row r="370">
      <c r="A370">
        <f>ROW()</f>
        <v/>
      </c>
      <c r="B370">
        <f>IF(설정!$C$4="","",IFERROR(INDEX('1.산군_붙여넣기'!$A$1:$AZ$1001,ROW(),설정!$C$4)&amp;"",""))</f>
        <v/>
      </c>
      <c r="C370">
        <f>IF(설정!$C$5="","",IFERROR(INDEX('1.산군_붙여넣기'!$A$1:$AZ$1001,ROW(),설정!$C$5)&amp;"",""))</f>
        <v/>
      </c>
      <c r="D370" s="5">
        <f>IFERROR(VALUE(SUBSTITUTE(SUBSTITUTE(SUBSTITUTE(IF(설정!$C$6="","",IFERROR(INDEX('1.산군_붙여넣기'!$A$1:$AZ$1001,ROW(),설정!$C$6)&amp;"","")),",",""),"㎡",""),"m2","")),"")</f>
        <v/>
      </c>
      <c r="E370">
        <f>IF(설정!$C$7="","",IFERROR(INDEX('1.산군_붙여넣기'!$A$1:$AZ$1001,ROW(),설정!$C$7)&amp;"",""))</f>
        <v/>
      </c>
      <c r="F370">
        <f>IF(설정!$C$8="","",IFERROR(INDEX('1.산군_붙여넣기'!$A$1:$AZ$1001,ROW(),설정!$C$8)&amp;"",""))</f>
        <v/>
      </c>
      <c r="G370">
        <f>IF(설정!$C$9="","",IFERROR(INDEX('1.산군_붙여넣기'!$A$1:$AZ$1001,ROW(),설정!$C$9)&amp;"",""))</f>
        <v/>
      </c>
      <c r="H370">
        <f>IF(설정!$C$10="","",IFERROR(INDEX('1.산군_붙여넣기'!$A$1:$AZ$1001,ROW(),설정!$C$10)&amp;"",""))</f>
        <v/>
      </c>
      <c r="I370">
        <f>IF(설정!$C$11="","",IFERROR(INDEX('1.산군_붙여넣기'!$A$1:$AZ$1001,ROW(),설정!$C$11)&amp;"",""))</f>
        <v/>
      </c>
      <c r="J370">
        <f>IF(설정!$C$12="","",IFERROR(INDEX('1.산군_붙여넣기'!$A$1:$AZ$1001,ROW(),설정!$C$12)&amp;"",""))</f>
        <v/>
      </c>
      <c r="K370">
        <f>IF(설정!$C$13="","",IFERROR(INDEX('1.산군_붙여넣기'!$A$1:$AZ$1001,ROW(),설정!$C$13)&amp;"",""))</f>
        <v/>
      </c>
      <c r="L370" s="7">
        <f>IF(X370="","",IF(AND(LEN(X370)=8,ISNUMBER(X370*1)),DATE(LEFT(X370,4),MID(X370,5,2),RIGHT(X370,2)),IFERROR(DATEVALUE(SUBSTITUTE(SUBSTITUTE(X370,".","-"),"/","-")),IFERROR(X370*1,""))))</f>
        <v/>
      </c>
      <c r="M370" s="7">
        <f>IF(Y370="","",IF(AND(LEN(Y370)=8,ISNUMBER(Y370*1)),DATE(LEFT(Y370,4),MID(Y370,5,2),RIGHT(Y370,2)),IFERROR(DATEVALUE(SUBSTITUTE(SUBSTITUTE(Y370,".","-"),"/","-")),IFERROR(Y370*1,""))))</f>
        <v/>
      </c>
      <c r="N370">
        <f>IFERROR(LEFT(B370,FIND(" ",B370)-1),B370)</f>
        <v/>
      </c>
      <c r="O370">
        <f>AND(B370&lt;&gt;"",B370&lt;&gt;설정!$B$4,C370&lt;&gt;설정!$B$5)</f>
        <v/>
      </c>
      <c r="P370">
        <f>IF(O370,B370&amp;"|"&amp;C370,"")</f>
        <v/>
      </c>
      <c r="Q370">
        <f>AND(O370,COUNTIF(P371:P$1002,P370)=0)</f>
        <v/>
      </c>
      <c r="R370">
        <f>OR(AND(설정!$A$42&lt;&gt;"",ISNUMBER(SEARCH(설정!$A$42,E370&amp;" "&amp;C370))),AND(설정!$A$43&lt;&gt;"",ISNUMBER(SEARCH(설정!$A$43,E370&amp;" "&amp;C370))),AND(설정!$A$44&lt;&gt;"",ISNUMBER(SEARCH(설정!$A$44,E370&amp;" "&amp;C370))),AND(설정!$A$45&lt;&gt;"",ISNUMBER(SEARCH(설정!$A$45,E370&amp;" "&amp;C370))),AND(설정!$A$46&lt;&gt;"",ISNUMBER(SEARCH(설정!$A$46,E370&amp;" "&amp;C370))),AND(설정!$A$47&lt;&gt;"",ISNUMBER(SEARCH(설정!$A$47,E370&amp;" "&amp;C370))),AND(설정!$A$48&lt;&gt;"",ISNUMBER(SEARCH(설정!$A$48,E370&amp;" "&amp;C370))),AND(설정!$A$49&lt;&gt;"",ISNUMBER(SEARCH(설정!$A$49,E370&amp;" "&amp;C370))),AND(설정!$A$50&lt;&gt;"",ISNUMBER(SEARCH(설정!$A$50,E370&amp;" "&amp;C370))),AND(설정!$A$51&lt;&gt;"",ISNUMBER(SEARCH(설정!$A$51,E370&amp;" "&amp;C370))))</f>
        <v/>
      </c>
      <c r="S370">
        <f>OR(D370="",D370&gt;=설정!$B$19)</f>
        <v/>
      </c>
      <c r="T370">
        <f>AND(Q370,R370,S370)</f>
        <v/>
      </c>
      <c r="U370">
        <f>IF(T370,IF(AND(설정!$A$54&lt;&gt;"",ISNUMBER(SEARCH(설정!$A$54,K370))),설정!$B$54,IF(AND(설정!$A$55&lt;&gt;"",ISNUMBER(SEARCH(설정!$A$55,K370))),설정!$B$55,IF(AND(설정!$A$56&lt;&gt;"",ISNUMBER(SEARCH(설정!$A$56,K370))),설정!$B$56,IF(AND(설정!$A$57&lt;&gt;"",ISNUMBER(SEARCH(설정!$A$57,K370))),설정!$B$57,IF(AND(설정!$A$58&lt;&gt;"",ISNUMBER(SEARCH(설정!$A$58,K370))),설정!$B$58,IF(AND(설정!$A$59&lt;&gt;"",ISNUMBER(SEARCH(설정!$A$59,K370))),설정!$B$59,IF(AND(설정!$A$60&lt;&gt;"",ISNUMBER(SEARCH(설정!$A$60,K370))),설정!$B$60,IF(AND(설정!$A$61&lt;&gt;"",ISNUMBER(SEARCH(설정!$A$61,K370))),설정!$B$61,IF(M370="","설계사","시공사"))))))))),"")</f>
        <v/>
      </c>
      <c r="V370">
        <f>SUBSTITUTE(SUBSTITUTE(SUBSTITUTE(SUBSTITUTE(G370,"(주)",""),"㈜",""),"주식회사","")," ","")</f>
        <v/>
      </c>
      <c r="W370">
        <f>IF(AND(T370,V370&lt;&gt;""),IF(COUNTIFS(V$2:V370,V370,T$2:T370,TRUE)=1,MAX(W$1:W369)+1,""),"")</f>
        <v/>
      </c>
      <c r="X370">
        <f>IF(설정!$C$14="","",IFERROR(INDEX('1.산군_붙여넣기'!$A$1:$AZ$1001,ROW(),설정!$C$14)&amp;"",""))</f>
        <v/>
      </c>
      <c r="Y370">
        <f>IF(설정!$C$15="","",IFERROR(INDEX('1.산군_붙여넣기'!$A$1:$AZ$1001,ROW(),설정!$C$15)&amp;"",""))</f>
        <v/>
      </c>
      <c r="Z370">
        <f>IF(T370,V370&amp;"|"&amp;U370,"")</f>
        <v/>
      </c>
      <c r="AA370">
        <f>IF(NOT(Q370),"",IF(NOT(AND(R370,S370)),"✕",IF(OR(OR(AND(L370&lt;&gt;"",M370&lt;&gt;"",N(M370)-N(L370)&gt;설정!$B$27),AND(L370&lt;&gt;"",M370="",설정!$B$24-N(L370)&gt;설정!$B$27)),AND(D370&lt;&gt;"",D370&lt;설정!$B$26)),"△","★")))</f>
        <v/>
      </c>
      <c r="AB370">
        <f>IF(NOT(T370),"",IF(U370="설계사",설정!$B$31,IF(U370="시공사",IF(OR(M370="",설정!$B$24-N(M370)&lt;=설정!$B$28*30.4),설정!$B$32,설정!$B$33),설정!$B$34))+IF(AA370="★",설정!$B$35,0))</f>
        <v/>
      </c>
      <c r="AC370">
        <f>SUBSTITUTE(SUBSTITUTE(SUBSTITUTE(SUBSTITUTE(H370,"(주)",""),"㈜",""),"주식회사","")," ","")</f>
        <v/>
      </c>
      <c r="AD370">
        <f>IF(AND(T370,AC370&lt;&gt;""),IF(COUNTIFS(AC$2:AC370,AC370,T$2:T370,TRUE)=1,MAX(AD$1:AD369)+1,""),"")</f>
        <v/>
      </c>
    </row>
    <row r="371">
      <c r="A371">
        <f>ROW()</f>
        <v/>
      </c>
      <c r="B371">
        <f>IF(설정!$C$4="","",IFERROR(INDEX('1.산군_붙여넣기'!$A$1:$AZ$1001,ROW(),설정!$C$4)&amp;"",""))</f>
        <v/>
      </c>
      <c r="C371">
        <f>IF(설정!$C$5="","",IFERROR(INDEX('1.산군_붙여넣기'!$A$1:$AZ$1001,ROW(),설정!$C$5)&amp;"",""))</f>
        <v/>
      </c>
      <c r="D371" s="5">
        <f>IFERROR(VALUE(SUBSTITUTE(SUBSTITUTE(SUBSTITUTE(IF(설정!$C$6="","",IFERROR(INDEX('1.산군_붙여넣기'!$A$1:$AZ$1001,ROW(),설정!$C$6)&amp;"","")),",",""),"㎡",""),"m2","")),"")</f>
        <v/>
      </c>
      <c r="E371">
        <f>IF(설정!$C$7="","",IFERROR(INDEX('1.산군_붙여넣기'!$A$1:$AZ$1001,ROW(),설정!$C$7)&amp;"",""))</f>
        <v/>
      </c>
      <c r="F371">
        <f>IF(설정!$C$8="","",IFERROR(INDEX('1.산군_붙여넣기'!$A$1:$AZ$1001,ROW(),설정!$C$8)&amp;"",""))</f>
        <v/>
      </c>
      <c r="G371">
        <f>IF(설정!$C$9="","",IFERROR(INDEX('1.산군_붙여넣기'!$A$1:$AZ$1001,ROW(),설정!$C$9)&amp;"",""))</f>
        <v/>
      </c>
      <c r="H371">
        <f>IF(설정!$C$10="","",IFERROR(INDEX('1.산군_붙여넣기'!$A$1:$AZ$1001,ROW(),설정!$C$10)&amp;"",""))</f>
        <v/>
      </c>
      <c r="I371">
        <f>IF(설정!$C$11="","",IFERROR(INDEX('1.산군_붙여넣기'!$A$1:$AZ$1001,ROW(),설정!$C$11)&amp;"",""))</f>
        <v/>
      </c>
      <c r="J371">
        <f>IF(설정!$C$12="","",IFERROR(INDEX('1.산군_붙여넣기'!$A$1:$AZ$1001,ROW(),설정!$C$12)&amp;"",""))</f>
        <v/>
      </c>
      <c r="K371">
        <f>IF(설정!$C$13="","",IFERROR(INDEX('1.산군_붙여넣기'!$A$1:$AZ$1001,ROW(),설정!$C$13)&amp;"",""))</f>
        <v/>
      </c>
      <c r="L371" s="7">
        <f>IF(X371="","",IF(AND(LEN(X371)=8,ISNUMBER(X371*1)),DATE(LEFT(X371,4),MID(X371,5,2),RIGHT(X371,2)),IFERROR(DATEVALUE(SUBSTITUTE(SUBSTITUTE(X371,".","-"),"/","-")),IFERROR(X371*1,""))))</f>
        <v/>
      </c>
      <c r="M371" s="7">
        <f>IF(Y371="","",IF(AND(LEN(Y371)=8,ISNUMBER(Y371*1)),DATE(LEFT(Y371,4),MID(Y371,5,2),RIGHT(Y371,2)),IFERROR(DATEVALUE(SUBSTITUTE(SUBSTITUTE(Y371,".","-"),"/","-")),IFERROR(Y371*1,""))))</f>
        <v/>
      </c>
      <c r="N371">
        <f>IFERROR(LEFT(B371,FIND(" ",B371)-1),B371)</f>
        <v/>
      </c>
      <c r="O371">
        <f>AND(B371&lt;&gt;"",B371&lt;&gt;설정!$B$4,C371&lt;&gt;설정!$B$5)</f>
        <v/>
      </c>
      <c r="P371">
        <f>IF(O371,B371&amp;"|"&amp;C371,"")</f>
        <v/>
      </c>
      <c r="Q371">
        <f>AND(O371,COUNTIF(P372:P$1002,P371)=0)</f>
        <v/>
      </c>
      <c r="R371">
        <f>OR(AND(설정!$A$42&lt;&gt;"",ISNUMBER(SEARCH(설정!$A$42,E371&amp;" "&amp;C371))),AND(설정!$A$43&lt;&gt;"",ISNUMBER(SEARCH(설정!$A$43,E371&amp;" "&amp;C371))),AND(설정!$A$44&lt;&gt;"",ISNUMBER(SEARCH(설정!$A$44,E371&amp;" "&amp;C371))),AND(설정!$A$45&lt;&gt;"",ISNUMBER(SEARCH(설정!$A$45,E371&amp;" "&amp;C371))),AND(설정!$A$46&lt;&gt;"",ISNUMBER(SEARCH(설정!$A$46,E371&amp;" "&amp;C371))),AND(설정!$A$47&lt;&gt;"",ISNUMBER(SEARCH(설정!$A$47,E371&amp;" "&amp;C371))),AND(설정!$A$48&lt;&gt;"",ISNUMBER(SEARCH(설정!$A$48,E371&amp;" "&amp;C371))),AND(설정!$A$49&lt;&gt;"",ISNUMBER(SEARCH(설정!$A$49,E371&amp;" "&amp;C371))),AND(설정!$A$50&lt;&gt;"",ISNUMBER(SEARCH(설정!$A$50,E371&amp;" "&amp;C371))),AND(설정!$A$51&lt;&gt;"",ISNUMBER(SEARCH(설정!$A$51,E371&amp;" "&amp;C371))))</f>
        <v/>
      </c>
      <c r="S371">
        <f>OR(D371="",D371&gt;=설정!$B$19)</f>
        <v/>
      </c>
      <c r="T371">
        <f>AND(Q371,R371,S371)</f>
        <v/>
      </c>
      <c r="U371">
        <f>IF(T371,IF(AND(설정!$A$54&lt;&gt;"",ISNUMBER(SEARCH(설정!$A$54,K371))),설정!$B$54,IF(AND(설정!$A$55&lt;&gt;"",ISNUMBER(SEARCH(설정!$A$55,K371))),설정!$B$55,IF(AND(설정!$A$56&lt;&gt;"",ISNUMBER(SEARCH(설정!$A$56,K371))),설정!$B$56,IF(AND(설정!$A$57&lt;&gt;"",ISNUMBER(SEARCH(설정!$A$57,K371))),설정!$B$57,IF(AND(설정!$A$58&lt;&gt;"",ISNUMBER(SEARCH(설정!$A$58,K371))),설정!$B$58,IF(AND(설정!$A$59&lt;&gt;"",ISNUMBER(SEARCH(설정!$A$59,K371))),설정!$B$59,IF(AND(설정!$A$60&lt;&gt;"",ISNUMBER(SEARCH(설정!$A$60,K371))),설정!$B$60,IF(AND(설정!$A$61&lt;&gt;"",ISNUMBER(SEARCH(설정!$A$61,K371))),설정!$B$61,IF(M371="","설계사","시공사"))))))))),"")</f>
        <v/>
      </c>
      <c r="V371">
        <f>SUBSTITUTE(SUBSTITUTE(SUBSTITUTE(SUBSTITUTE(G371,"(주)",""),"㈜",""),"주식회사","")," ","")</f>
        <v/>
      </c>
      <c r="W371">
        <f>IF(AND(T371,V371&lt;&gt;""),IF(COUNTIFS(V$2:V371,V371,T$2:T371,TRUE)=1,MAX(W$1:W370)+1,""),"")</f>
        <v/>
      </c>
      <c r="X371">
        <f>IF(설정!$C$14="","",IFERROR(INDEX('1.산군_붙여넣기'!$A$1:$AZ$1001,ROW(),설정!$C$14)&amp;"",""))</f>
        <v/>
      </c>
      <c r="Y371">
        <f>IF(설정!$C$15="","",IFERROR(INDEX('1.산군_붙여넣기'!$A$1:$AZ$1001,ROW(),설정!$C$15)&amp;"",""))</f>
        <v/>
      </c>
      <c r="Z371">
        <f>IF(T371,V371&amp;"|"&amp;U371,"")</f>
        <v/>
      </c>
      <c r="AA371">
        <f>IF(NOT(Q371),"",IF(NOT(AND(R371,S371)),"✕",IF(OR(OR(AND(L371&lt;&gt;"",M371&lt;&gt;"",N(M371)-N(L371)&gt;설정!$B$27),AND(L371&lt;&gt;"",M371="",설정!$B$24-N(L371)&gt;설정!$B$27)),AND(D371&lt;&gt;"",D371&lt;설정!$B$26)),"△","★")))</f>
        <v/>
      </c>
      <c r="AB371">
        <f>IF(NOT(T371),"",IF(U371="설계사",설정!$B$31,IF(U371="시공사",IF(OR(M371="",설정!$B$24-N(M371)&lt;=설정!$B$28*30.4),설정!$B$32,설정!$B$33),설정!$B$34))+IF(AA371="★",설정!$B$35,0))</f>
        <v/>
      </c>
      <c r="AC371">
        <f>SUBSTITUTE(SUBSTITUTE(SUBSTITUTE(SUBSTITUTE(H371,"(주)",""),"㈜",""),"주식회사","")," ","")</f>
        <v/>
      </c>
      <c r="AD371">
        <f>IF(AND(T371,AC371&lt;&gt;""),IF(COUNTIFS(AC$2:AC371,AC371,T$2:T371,TRUE)=1,MAX(AD$1:AD370)+1,""),"")</f>
        <v/>
      </c>
    </row>
    <row r="372">
      <c r="A372">
        <f>ROW()</f>
        <v/>
      </c>
      <c r="B372">
        <f>IF(설정!$C$4="","",IFERROR(INDEX('1.산군_붙여넣기'!$A$1:$AZ$1001,ROW(),설정!$C$4)&amp;"",""))</f>
        <v/>
      </c>
      <c r="C372">
        <f>IF(설정!$C$5="","",IFERROR(INDEX('1.산군_붙여넣기'!$A$1:$AZ$1001,ROW(),설정!$C$5)&amp;"",""))</f>
        <v/>
      </c>
      <c r="D372" s="5">
        <f>IFERROR(VALUE(SUBSTITUTE(SUBSTITUTE(SUBSTITUTE(IF(설정!$C$6="","",IFERROR(INDEX('1.산군_붙여넣기'!$A$1:$AZ$1001,ROW(),설정!$C$6)&amp;"","")),",",""),"㎡",""),"m2","")),"")</f>
        <v/>
      </c>
      <c r="E372">
        <f>IF(설정!$C$7="","",IFERROR(INDEX('1.산군_붙여넣기'!$A$1:$AZ$1001,ROW(),설정!$C$7)&amp;"",""))</f>
        <v/>
      </c>
      <c r="F372">
        <f>IF(설정!$C$8="","",IFERROR(INDEX('1.산군_붙여넣기'!$A$1:$AZ$1001,ROW(),설정!$C$8)&amp;"",""))</f>
        <v/>
      </c>
      <c r="G372">
        <f>IF(설정!$C$9="","",IFERROR(INDEX('1.산군_붙여넣기'!$A$1:$AZ$1001,ROW(),설정!$C$9)&amp;"",""))</f>
        <v/>
      </c>
      <c r="H372">
        <f>IF(설정!$C$10="","",IFERROR(INDEX('1.산군_붙여넣기'!$A$1:$AZ$1001,ROW(),설정!$C$10)&amp;"",""))</f>
        <v/>
      </c>
      <c r="I372">
        <f>IF(설정!$C$11="","",IFERROR(INDEX('1.산군_붙여넣기'!$A$1:$AZ$1001,ROW(),설정!$C$11)&amp;"",""))</f>
        <v/>
      </c>
      <c r="J372">
        <f>IF(설정!$C$12="","",IFERROR(INDEX('1.산군_붙여넣기'!$A$1:$AZ$1001,ROW(),설정!$C$12)&amp;"",""))</f>
        <v/>
      </c>
      <c r="K372">
        <f>IF(설정!$C$13="","",IFERROR(INDEX('1.산군_붙여넣기'!$A$1:$AZ$1001,ROW(),설정!$C$13)&amp;"",""))</f>
        <v/>
      </c>
      <c r="L372" s="7">
        <f>IF(X372="","",IF(AND(LEN(X372)=8,ISNUMBER(X372*1)),DATE(LEFT(X372,4),MID(X372,5,2),RIGHT(X372,2)),IFERROR(DATEVALUE(SUBSTITUTE(SUBSTITUTE(X372,".","-"),"/","-")),IFERROR(X372*1,""))))</f>
        <v/>
      </c>
      <c r="M372" s="7">
        <f>IF(Y372="","",IF(AND(LEN(Y372)=8,ISNUMBER(Y372*1)),DATE(LEFT(Y372,4),MID(Y372,5,2),RIGHT(Y372,2)),IFERROR(DATEVALUE(SUBSTITUTE(SUBSTITUTE(Y372,".","-"),"/","-")),IFERROR(Y372*1,""))))</f>
        <v/>
      </c>
      <c r="N372">
        <f>IFERROR(LEFT(B372,FIND(" ",B372)-1),B372)</f>
        <v/>
      </c>
      <c r="O372">
        <f>AND(B372&lt;&gt;"",B372&lt;&gt;설정!$B$4,C372&lt;&gt;설정!$B$5)</f>
        <v/>
      </c>
      <c r="P372">
        <f>IF(O372,B372&amp;"|"&amp;C372,"")</f>
        <v/>
      </c>
      <c r="Q372">
        <f>AND(O372,COUNTIF(P373:P$1002,P372)=0)</f>
        <v/>
      </c>
      <c r="R372">
        <f>OR(AND(설정!$A$42&lt;&gt;"",ISNUMBER(SEARCH(설정!$A$42,E372&amp;" "&amp;C372))),AND(설정!$A$43&lt;&gt;"",ISNUMBER(SEARCH(설정!$A$43,E372&amp;" "&amp;C372))),AND(설정!$A$44&lt;&gt;"",ISNUMBER(SEARCH(설정!$A$44,E372&amp;" "&amp;C372))),AND(설정!$A$45&lt;&gt;"",ISNUMBER(SEARCH(설정!$A$45,E372&amp;" "&amp;C372))),AND(설정!$A$46&lt;&gt;"",ISNUMBER(SEARCH(설정!$A$46,E372&amp;" "&amp;C372))),AND(설정!$A$47&lt;&gt;"",ISNUMBER(SEARCH(설정!$A$47,E372&amp;" "&amp;C372))),AND(설정!$A$48&lt;&gt;"",ISNUMBER(SEARCH(설정!$A$48,E372&amp;" "&amp;C372))),AND(설정!$A$49&lt;&gt;"",ISNUMBER(SEARCH(설정!$A$49,E372&amp;" "&amp;C372))),AND(설정!$A$50&lt;&gt;"",ISNUMBER(SEARCH(설정!$A$50,E372&amp;" "&amp;C372))),AND(설정!$A$51&lt;&gt;"",ISNUMBER(SEARCH(설정!$A$51,E372&amp;" "&amp;C372))))</f>
        <v/>
      </c>
      <c r="S372">
        <f>OR(D372="",D372&gt;=설정!$B$19)</f>
        <v/>
      </c>
      <c r="T372">
        <f>AND(Q372,R372,S372)</f>
        <v/>
      </c>
      <c r="U372">
        <f>IF(T372,IF(AND(설정!$A$54&lt;&gt;"",ISNUMBER(SEARCH(설정!$A$54,K372))),설정!$B$54,IF(AND(설정!$A$55&lt;&gt;"",ISNUMBER(SEARCH(설정!$A$55,K372))),설정!$B$55,IF(AND(설정!$A$56&lt;&gt;"",ISNUMBER(SEARCH(설정!$A$56,K372))),설정!$B$56,IF(AND(설정!$A$57&lt;&gt;"",ISNUMBER(SEARCH(설정!$A$57,K372))),설정!$B$57,IF(AND(설정!$A$58&lt;&gt;"",ISNUMBER(SEARCH(설정!$A$58,K372))),설정!$B$58,IF(AND(설정!$A$59&lt;&gt;"",ISNUMBER(SEARCH(설정!$A$59,K372))),설정!$B$59,IF(AND(설정!$A$60&lt;&gt;"",ISNUMBER(SEARCH(설정!$A$60,K372))),설정!$B$60,IF(AND(설정!$A$61&lt;&gt;"",ISNUMBER(SEARCH(설정!$A$61,K372))),설정!$B$61,IF(M372="","설계사","시공사"))))))))),"")</f>
        <v/>
      </c>
      <c r="V372">
        <f>SUBSTITUTE(SUBSTITUTE(SUBSTITUTE(SUBSTITUTE(G372,"(주)",""),"㈜",""),"주식회사","")," ","")</f>
        <v/>
      </c>
      <c r="W372">
        <f>IF(AND(T372,V372&lt;&gt;""),IF(COUNTIFS(V$2:V372,V372,T$2:T372,TRUE)=1,MAX(W$1:W371)+1,""),"")</f>
        <v/>
      </c>
      <c r="X372">
        <f>IF(설정!$C$14="","",IFERROR(INDEX('1.산군_붙여넣기'!$A$1:$AZ$1001,ROW(),설정!$C$14)&amp;"",""))</f>
        <v/>
      </c>
      <c r="Y372">
        <f>IF(설정!$C$15="","",IFERROR(INDEX('1.산군_붙여넣기'!$A$1:$AZ$1001,ROW(),설정!$C$15)&amp;"",""))</f>
        <v/>
      </c>
      <c r="Z372">
        <f>IF(T372,V372&amp;"|"&amp;U372,"")</f>
        <v/>
      </c>
      <c r="AA372">
        <f>IF(NOT(Q372),"",IF(NOT(AND(R372,S372)),"✕",IF(OR(OR(AND(L372&lt;&gt;"",M372&lt;&gt;"",N(M372)-N(L372)&gt;설정!$B$27),AND(L372&lt;&gt;"",M372="",설정!$B$24-N(L372)&gt;설정!$B$27)),AND(D372&lt;&gt;"",D372&lt;설정!$B$26)),"△","★")))</f>
        <v/>
      </c>
      <c r="AB372">
        <f>IF(NOT(T372),"",IF(U372="설계사",설정!$B$31,IF(U372="시공사",IF(OR(M372="",설정!$B$24-N(M372)&lt;=설정!$B$28*30.4),설정!$B$32,설정!$B$33),설정!$B$34))+IF(AA372="★",설정!$B$35,0))</f>
        <v/>
      </c>
      <c r="AC372">
        <f>SUBSTITUTE(SUBSTITUTE(SUBSTITUTE(SUBSTITUTE(H372,"(주)",""),"㈜",""),"주식회사","")," ","")</f>
        <v/>
      </c>
      <c r="AD372">
        <f>IF(AND(T372,AC372&lt;&gt;""),IF(COUNTIFS(AC$2:AC372,AC372,T$2:T372,TRUE)=1,MAX(AD$1:AD371)+1,""),"")</f>
        <v/>
      </c>
    </row>
    <row r="373">
      <c r="A373">
        <f>ROW()</f>
        <v/>
      </c>
      <c r="B373">
        <f>IF(설정!$C$4="","",IFERROR(INDEX('1.산군_붙여넣기'!$A$1:$AZ$1001,ROW(),설정!$C$4)&amp;"",""))</f>
        <v/>
      </c>
      <c r="C373">
        <f>IF(설정!$C$5="","",IFERROR(INDEX('1.산군_붙여넣기'!$A$1:$AZ$1001,ROW(),설정!$C$5)&amp;"",""))</f>
        <v/>
      </c>
      <c r="D373" s="5">
        <f>IFERROR(VALUE(SUBSTITUTE(SUBSTITUTE(SUBSTITUTE(IF(설정!$C$6="","",IFERROR(INDEX('1.산군_붙여넣기'!$A$1:$AZ$1001,ROW(),설정!$C$6)&amp;"","")),",",""),"㎡",""),"m2","")),"")</f>
        <v/>
      </c>
      <c r="E373">
        <f>IF(설정!$C$7="","",IFERROR(INDEX('1.산군_붙여넣기'!$A$1:$AZ$1001,ROW(),설정!$C$7)&amp;"",""))</f>
        <v/>
      </c>
      <c r="F373">
        <f>IF(설정!$C$8="","",IFERROR(INDEX('1.산군_붙여넣기'!$A$1:$AZ$1001,ROW(),설정!$C$8)&amp;"",""))</f>
        <v/>
      </c>
      <c r="G373">
        <f>IF(설정!$C$9="","",IFERROR(INDEX('1.산군_붙여넣기'!$A$1:$AZ$1001,ROW(),설정!$C$9)&amp;"",""))</f>
        <v/>
      </c>
      <c r="H373">
        <f>IF(설정!$C$10="","",IFERROR(INDEX('1.산군_붙여넣기'!$A$1:$AZ$1001,ROW(),설정!$C$10)&amp;"",""))</f>
        <v/>
      </c>
      <c r="I373">
        <f>IF(설정!$C$11="","",IFERROR(INDEX('1.산군_붙여넣기'!$A$1:$AZ$1001,ROW(),설정!$C$11)&amp;"",""))</f>
        <v/>
      </c>
      <c r="J373">
        <f>IF(설정!$C$12="","",IFERROR(INDEX('1.산군_붙여넣기'!$A$1:$AZ$1001,ROW(),설정!$C$12)&amp;"",""))</f>
        <v/>
      </c>
      <c r="K373">
        <f>IF(설정!$C$13="","",IFERROR(INDEX('1.산군_붙여넣기'!$A$1:$AZ$1001,ROW(),설정!$C$13)&amp;"",""))</f>
        <v/>
      </c>
      <c r="L373" s="7">
        <f>IF(X373="","",IF(AND(LEN(X373)=8,ISNUMBER(X373*1)),DATE(LEFT(X373,4),MID(X373,5,2),RIGHT(X373,2)),IFERROR(DATEVALUE(SUBSTITUTE(SUBSTITUTE(X373,".","-"),"/","-")),IFERROR(X373*1,""))))</f>
        <v/>
      </c>
      <c r="M373" s="7">
        <f>IF(Y373="","",IF(AND(LEN(Y373)=8,ISNUMBER(Y373*1)),DATE(LEFT(Y373,4),MID(Y373,5,2),RIGHT(Y373,2)),IFERROR(DATEVALUE(SUBSTITUTE(SUBSTITUTE(Y373,".","-"),"/","-")),IFERROR(Y373*1,""))))</f>
        <v/>
      </c>
      <c r="N373">
        <f>IFERROR(LEFT(B373,FIND(" ",B373)-1),B373)</f>
        <v/>
      </c>
      <c r="O373">
        <f>AND(B373&lt;&gt;"",B373&lt;&gt;설정!$B$4,C373&lt;&gt;설정!$B$5)</f>
        <v/>
      </c>
      <c r="P373">
        <f>IF(O373,B373&amp;"|"&amp;C373,"")</f>
        <v/>
      </c>
      <c r="Q373">
        <f>AND(O373,COUNTIF(P374:P$1002,P373)=0)</f>
        <v/>
      </c>
      <c r="R373">
        <f>OR(AND(설정!$A$42&lt;&gt;"",ISNUMBER(SEARCH(설정!$A$42,E373&amp;" "&amp;C373))),AND(설정!$A$43&lt;&gt;"",ISNUMBER(SEARCH(설정!$A$43,E373&amp;" "&amp;C373))),AND(설정!$A$44&lt;&gt;"",ISNUMBER(SEARCH(설정!$A$44,E373&amp;" "&amp;C373))),AND(설정!$A$45&lt;&gt;"",ISNUMBER(SEARCH(설정!$A$45,E373&amp;" "&amp;C373))),AND(설정!$A$46&lt;&gt;"",ISNUMBER(SEARCH(설정!$A$46,E373&amp;" "&amp;C373))),AND(설정!$A$47&lt;&gt;"",ISNUMBER(SEARCH(설정!$A$47,E373&amp;" "&amp;C373))),AND(설정!$A$48&lt;&gt;"",ISNUMBER(SEARCH(설정!$A$48,E373&amp;" "&amp;C373))),AND(설정!$A$49&lt;&gt;"",ISNUMBER(SEARCH(설정!$A$49,E373&amp;" "&amp;C373))),AND(설정!$A$50&lt;&gt;"",ISNUMBER(SEARCH(설정!$A$50,E373&amp;" "&amp;C373))),AND(설정!$A$51&lt;&gt;"",ISNUMBER(SEARCH(설정!$A$51,E373&amp;" "&amp;C373))))</f>
        <v/>
      </c>
      <c r="S373">
        <f>OR(D373="",D373&gt;=설정!$B$19)</f>
        <v/>
      </c>
      <c r="T373">
        <f>AND(Q373,R373,S373)</f>
        <v/>
      </c>
      <c r="U373">
        <f>IF(T373,IF(AND(설정!$A$54&lt;&gt;"",ISNUMBER(SEARCH(설정!$A$54,K373))),설정!$B$54,IF(AND(설정!$A$55&lt;&gt;"",ISNUMBER(SEARCH(설정!$A$55,K373))),설정!$B$55,IF(AND(설정!$A$56&lt;&gt;"",ISNUMBER(SEARCH(설정!$A$56,K373))),설정!$B$56,IF(AND(설정!$A$57&lt;&gt;"",ISNUMBER(SEARCH(설정!$A$57,K373))),설정!$B$57,IF(AND(설정!$A$58&lt;&gt;"",ISNUMBER(SEARCH(설정!$A$58,K373))),설정!$B$58,IF(AND(설정!$A$59&lt;&gt;"",ISNUMBER(SEARCH(설정!$A$59,K373))),설정!$B$59,IF(AND(설정!$A$60&lt;&gt;"",ISNUMBER(SEARCH(설정!$A$60,K373))),설정!$B$60,IF(AND(설정!$A$61&lt;&gt;"",ISNUMBER(SEARCH(설정!$A$61,K373))),설정!$B$61,IF(M373="","설계사","시공사"))))))))),"")</f>
        <v/>
      </c>
      <c r="V373">
        <f>SUBSTITUTE(SUBSTITUTE(SUBSTITUTE(SUBSTITUTE(G373,"(주)",""),"㈜",""),"주식회사","")," ","")</f>
        <v/>
      </c>
      <c r="W373">
        <f>IF(AND(T373,V373&lt;&gt;""),IF(COUNTIFS(V$2:V373,V373,T$2:T373,TRUE)=1,MAX(W$1:W372)+1,""),"")</f>
        <v/>
      </c>
      <c r="X373">
        <f>IF(설정!$C$14="","",IFERROR(INDEX('1.산군_붙여넣기'!$A$1:$AZ$1001,ROW(),설정!$C$14)&amp;"",""))</f>
        <v/>
      </c>
      <c r="Y373">
        <f>IF(설정!$C$15="","",IFERROR(INDEX('1.산군_붙여넣기'!$A$1:$AZ$1001,ROW(),설정!$C$15)&amp;"",""))</f>
        <v/>
      </c>
      <c r="Z373">
        <f>IF(T373,V373&amp;"|"&amp;U373,"")</f>
        <v/>
      </c>
      <c r="AA373">
        <f>IF(NOT(Q373),"",IF(NOT(AND(R373,S373)),"✕",IF(OR(OR(AND(L373&lt;&gt;"",M373&lt;&gt;"",N(M373)-N(L373)&gt;설정!$B$27),AND(L373&lt;&gt;"",M373="",설정!$B$24-N(L373)&gt;설정!$B$27)),AND(D373&lt;&gt;"",D373&lt;설정!$B$26)),"△","★")))</f>
        <v/>
      </c>
      <c r="AB373">
        <f>IF(NOT(T373),"",IF(U373="설계사",설정!$B$31,IF(U373="시공사",IF(OR(M373="",설정!$B$24-N(M373)&lt;=설정!$B$28*30.4),설정!$B$32,설정!$B$33),설정!$B$34))+IF(AA373="★",설정!$B$35,0))</f>
        <v/>
      </c>
      <c r="AC373">
        <f>SUBSTITUTE(SUBSTITUTE(SUBSTITUTE(SUBSTITUTE(H373,"(주)",""),"㈜",""),"주식회사","")," ","")</f>
        <v/>
      </c>
      <c r="AD373">
        <f>IF(AND(T373,AC373&lt;&gt;""),IF(COUNTIFS(AC$2:AC373,AC373,T$2:T373,TRUE)=1,MAX(AD$1:AD372)+1,""),"")</f>
        <v/>
      </c>
    </row>
    <row r="374">
      <c r="A374">
        <f>ROW()</f>
        <v/>
      </c>
      <c r="B374">
        <f>IF(설정!$C$4="","",IFERROR(INDEX('1.산군_붙여넣기'!$A$1:$AZ$1001,ROW(),설정!$C$4)&amp;"",""))</f>
        <v/>
      </c>
      <c r="C374">
        <f>IF(설정!$C$5="","",IFERROR(INDEX('1.산군_붙여넣기'!$A$1:$AZ$1001,ROW(),설정!$C$5)&amp;"",""))</f>
        <v/>
      </c>
      <c r="D374" s="5">
        <f>IFERROR(VALUE(SUBSTITUTE(SUBSTITUTE(SUBSTITUTE(IF(설정!$C$6="","",IFERROR(INDEX('1.산군_붙여넣기'!$A$1:$AZ$1001,ROW(),설정!$C$6)&amp;"","")),",",""),"㎡",""),"m2","")),"")</f>
        <v/>
      </c>
      <c r="E374">
        <f>IF(설정!$C$7="","",IFERROR(INDEX('1.산군_붙여넣기'!$A$1:$AZ$1001,ROW(),설정!$C$7)&amp;"",""))</f>
        <v/>
      </c>
      <c r="F374">
        <f>IF(설정!$C$8="","",IFERROR(INDEX('1.산군_붙여넣기'!$A$1:$AZ$1001,ROW(),설정!$C$8)&amp;"",""))</f>
        <v/>
      </c>
      <c r="G374">
        <f>IF(설정!$C$9="","",IFERROR(INDEX('1.산군_붙여넣기'!$A$1:$AZ$1001,ROW(),설정!$C$9)&amp;"",""))</f>
        <v/>
      </c>
      <c r="H374">
        <f>IF(설정!$C$10="","",IFERROR(INDEX('1.산군_붙여넣기'!$A$1:$AZ$1001,ROW(),설정!$C$10)&amp;"",""))</f>
        <v/>
      </c>
      <c r="I374">
        <f>IF(설정!$C$11="","",IFERROR(INDEX('1.산군_붙여넣기'!$A$1:$AZ$1001,ROW(),설정!$C$11)&amp;"",""))</f>
        <v/>
      </c>
      <c r="J374">
        <f>IF(설정!$C$12="","",IFERROR(INDEX('1.산군_붙여넣기'!$A$1:$AZ$1001,ROW(),설정!$C$12)&amp;"",""))</f>
        <v/>
      </c>
      <c r="K374">
        <f>IF(설정!$C$13="","",IFERROR(INDEX('1.산군_붙여넣기'!$A$1:$AZ$1001,ROW(),설정!$C$13)&amp;"",""))</f>
        <v/>
      </c>
      <c r="L374" s="7">
        <f>IF(X374="","",IF(AND(LEN(X374)=8,ISNUMBER(X374*1)),DATE(LEFT(X374,4),MID(X374,5,2),RIGHT(X374,2)),IFERROR(DATEVALUE(SUBSTITUTE(SUBSTITUTE(X374,".","-"),"/","-")),IFERROR(X374*1,""))))</f>
        <v/>
      </c>
      <c r="M374" s="7">
        <f>IF(Y374="","",IF(AND(LEN(Y374)=8,ISNUMBER(Y374*1)),DATE(LEFT(Y374,4),MID(Y374,5,2),RIGHT(Y374,2)),IFERROR(DATEVALUE(SUBSTITUTE(SUBSTITUTE(Y374,".","-"),"/","-")),IFERROR(Y374*1,""))))</f>
        <v/>
      </c>
      <c r="N374">
        <f>IFERROR(LEFT(B374,FIND(" ",B374)-1),B374)</f>
        <v/>
      </c>
      <c r="O374">
        <f>AND(B374&lt;&gt;"",B374&lt;&gt;설정!$B$4,C374&lt;&gt;설정!$B$5)</f>
        <v/>
      </c>
      <c r="P374">
        <f>IF(O374,B374&amp;"|"&amp;C374,"")</f>
        <v/>
      </c>
      <c r="Q374">
        <f>AND(O374,COUNTIF(P375:P$1002,P374)=0)</f>
        <v/>
      </c>
      <c r="R374">
        <f>OR(AND(설정!$A$42&lt;&gt;"",ISNUMBER(SEARCH(설정!$A$42,E374&amp;" "&amp;C374))),AND(설정!$A$43&lt;&gt;"",ISNUMBER(SEARCH(설정!$A$43,E374&amp;" "&amp;C374))),AND(설정!$A$44&lt;&gt;"",ISNUMBER(SEARCH(설정!$A$44,E374&amp;" "&amp;C374))),AND(설정!$A$45&lt;&gt;"",ISNUMBER(SEARCH(설정!$A$45,E374&amp;" "&amp;C374))),AND(설정!$A$46&lt;&gt;"",ISNUMBER(SEARCH(설정!$A$46,E374&amp;" "&amp;C374))),AND(설정!$A$47&lt;&gt;"",ISNUMBER(SEARCH(설정!$A$47,E374&amp;" "&amp;C374))),AND(설정!$A$48&lt;&gt;"",ISNUMBER(SEARCH(설정!$A$48,E374&amp;" "&amp;C374))),AND(설정!$A$49&lt;&gt;"",ISNUMBER(SEARCH(설정!$A$49,E374&amp;" "&amp;C374))),AND(설정!$A$50&lt;&gt;"",ISNUMBER(SEARCH(설정!$A$50,E374&amp;" "&amp;C374))),AND(설정!$A$51&lt;&gt;"",ISNUMBER(SEARCH(설정!$A$51,E374&amp;" "&amp;C374))))</f>
        <v/>
      </c>
      <c r="S374">
        <f>OR(D374="",D374&gt;=설정!$B$19)</f>
        <v/>
      </c>
      <c r="T374">
        <f>AND(Q374,R374,S374)</f>
        <v/>
      </c>
      <c r="U374">
        <f>IF(T374,IF(AND(설정!$A$54&lt;&gt;"",ISNUMBER(SEARCH(설정!$A$54,K374))),설정!$B$54,IF(AND(설정!$A$55&lt;&gt;"",ISNUMBER(SEARCH(설정!$A$55,K374))),설정!$B$55,IF(AND(설정!$A$56&lt;&gt;"",ISNUMBER(SEARCH(설정!$A$56,K374))),설정!$B$56,IF(AND(설정!$A$57&lt;&gt;"",ISNUMBER(SEARCH(설정!$A$57,K374))),설정!$B$57,IF(AND(설정!$A$58&lt;&gt;"",ISNUMBER(SEARCH(설정!$A$58,K374))),설정!$B$58,IF(AND(설정!$A$59&lt;&gt;"",ISNUMBER(SEARCH(설정!$A$59,K374))),설정!$B$59,IF(AND(설정!$A$60&lt;&gt;"",ISNUMBER(SEARCH(설정!$A$60,K374))),설정!$B$60,IF(AND(설정!$A$61&lt;&gt;"",ISNUMBER(SEARCH(설정!$A$61,K374))),설정!$B$61,IF(M374="","설계사","시공사"))))))))),"")</f>
        <v/>
      </c>
      <c r="V374">
        <f>SUBSTITUTE(SUBSTITUTE(SUBSTITUTE(SUBSTITUTE(G374,"(주)",""),"㈜",""),"주식회사","")," ","")</f>
        <v/>
      </c>
      <c r="W374">
        <f>IF(AND(T374,V374&lt;&gt;""),IF(COUNTIFS(V$2:V374,V374,T$2:T374,TRUE)=1,MAX(W$1:W373)+1,""),"")</f>
        <v/>
      </c>
      <c r="X374">
        <f>IF(설정!$C$14="","",IFERROR(INDEX('1.산군_붙여넣기'!$A$1:$AZ$1001,ROW(),설정!$C$14)&amp;"",""))</f>
        <v/>
      </c>
      <c r="Y374">
        <f>IF(설정!$C$15="","",IFERROR(INDEX('1.산군_붙여넣기'!$A$1:$AZ$1001,ROW(),설정!$C$15)&amp;"",""))</f>
        <v/>
      </c>
      <c r="Z374">
        <f>IF(T374,V374&amp;"|"&amp;U374,"")</f>
        <v/>
      </c>
      <c r="AA374">
        <f>IF(NOT(Q374),"",IF(NOT(AND(R374,S374)),"✕",IF(OR(OR(AND(L374&lt;&gt;"",M374&lt;&gt;"",N(M374)-N(L374)&gt;설정!$B$27),AND(L374&lt;&gt;"",M374="",설정!$B$24-N(L374)&gt;설정!$B$27)),AND(D374&lt;&gt;"",D374&lt;설정!$B$26)),"△","★")))</f>
        <v/>
      </c>
      <c r="AB374">
        <f>IF(NOT(T374),"",IF(U374="설계사",설정!$B$31,IF(U374="시공사",IF(OR(M374="",설정!$B$24-N(M374)&lt;=설정!$B$28*30.4),설정!$B$32,설정!$B$33),설정!$B$34))+IF(AA374="★",설정!$B$35,0))</f>
        <v/>
      </c>
      <c r="AC374">
        <f>SUBSTITUTE(SUBSTITUTE(SUBSTITUTE(SUBSTITUTE(H374,"(주)",""),"㈜",""),"주식회사","")," ","")</f>
        <v/>
      </c>
      <c r="AD374">
        <f>IF(AND(T374,AC374&lt;&gt;""),IF(COUNTIFS(AC$2:AC374,AC374,T$2:T374,TRUE)=1,MAX(AD$1:AD373)+1,""),"")</f>
        <v/>
      </c>
    </row>
    <row r="375">
      <c r="A375">
        <f>ROW()</f>
        <v/>
      </c>
      <c r="B375">
        <f>IF(설정!$C$4="","",IFERROR(INDEX('1.산군_붙여넣기'!$A$1:$AZ$1001,ROW(),설정!$C$4)&amp;"",""))</f>
        <v/>
      </c>
      <c r="C375">
        <f>IF(설정!$C$5="","",IFERROR(INDEX('1.산군_붙여넣기'!$A$1:$AZ$1001,ROW(),설정!$C$5)&amp;"",""))</f>
        <v/>
      </c>
      <c r="D375" s="5">
        <f>IFERROR(VALUE(SUBSTITUTE(SUBSTITUTE(SUBSTITUTE(IF(설정!$C$6="","",IFERROR(INDEX('1.산군_붙여넣기'!$A$1:$AZ$1001,ROW(),설정!$C$6)&amp;"","")),",",""),"㎡",""),"m2","")),"")</f>
        <v/>
      </c>
      <c r="E375">
        <f>IF(설정!$C$7="","",IFERROR(INDEX('1.산군_붙여넣기'!$A$1:$AZ$1001,ROW(),설정!$C$7)&amp;"",""))</f>
        <v/>
      </c>
      <c r="F375">
        <f>IF(설정!$C$8="","",IFERROR(INDEX('1.산군_붙여넣기'!$A$1:$AZ$1001,ROW(),설정!$C$8)&amp;"",""))</f>
        <v/>
      </c>
      <c r="G375">
        <f>IF(설정!$C$9="","",IFERROR(INDEX('1.산군_붙여넣기'!$A$1:$AZ$1001,ROW(),설정!$C$9)&amp;"",""))</f>
        <v/>
      </c>
      <c r="H375">
        <f>IF(설정!$C$10="","",IFERROR(INDEX('1.산군_붙여넣기'!$A$1:$AZ$1001,ROW(),설정!$C$10)&amp;"",""))</f>
        <v/>
      </c>
      <c r="I375">
        <f>IF(설정!$C$11="","",IFERROR(INDEX('1.산군_붙여넣기'!$A$1:$AZ$1001,ROW(),설정!$C$11)&amp;"",""))</f>
        <v/>
      </c>
      <c r="J375">
        <f>IF(설정!$C$12="","",IFERROR(INDEX('1.산군_붙여넣기'!$A$1:$AZ$1001,ROW(),설정!$C$12)&amp;"",""))</f>
        <v/>
      </c>
      <c r="K375">
        <f>IF(설정!$C$13="","",IFERROR(INDEX('1.산군_붙여넣기'!$A$1:$AZ$1001,ROW(),설정!$C$13)&amp;"",""))</f>
        <v/>
      </c>
      <c r="L375" s="7">
        <f>IF(X375="","",IF(AND(LEN(X375)=8,ISNUMBER(X375*1)),DATE(LEFT(X375,4),MID(X375,5,2),RIGHT(X375,2)),IFERROR(DATEVALUE(SUBSTITUTE(SUBSTITUTE(X375,".","-"),"/","-")),IFERROR(X375*1,""))))</f>
        <v/>
      </c>
      <c r="M375" s="7">
        <f>IF(Y375="","",IF(AND(LEN(Y375)=8,ISNUMBER(Y375*1)),DATE(LEFT(Y375,4),MID(Y375,5,2),RIGHT(Y375,2)),IFERROR(DATEVALUE(SUBSTITUTE(SUBSTITUTE(Y375,".","-"),"/","-")),IFERROR(Y375*1,""))))</f>
        <v/>
      </c>
      <c r="N375">
        <f>IFERROR(LEFT(B375,FIND(" ",B375)-1),B375)</f>
        <v/>
      </c>
      <c r="O375">
        <f>AND(B375&lt;&gt;"",B375&lt;&gt;설정!$B$4,C375&lt;&gt;설정!$B$5)</f>
        <v/>
      </c>
      <c r="P375">
        <f>IF(O375,B375&amp;"|"&amp;C375,"")</f>
        <v/>
      </c>
      <c r="Q375">
        <f>AND(O375,COUNTIF(P376:P$1002,P375)=0)</f>
        <v/>
      </c>
      <c r="R375">
        <f>OR(AND(설정!$A$42&lt;&gt;"",ISNUMBER(SEARCH(설정!$A$42,E375&amp;" "&amp;C375))),AND(설정!$A$43&lt;&gt;"",ISNUMBER(SEARCH(설정!$A$43,E375&amp;" "&amp;C375))),AND(설정!$A$44&lt;&gt;"",ISNUMBER(SEARCH(설정!$A$44,E375&amp;" "&amp;C375))),AND(설정!$A$45&lt;&gt;"",ISNUMBER(SEARCH(설정!$A$45,E375&amp;" "&amp;C375))),AND(설정!$A$46&lt;&gt;"",ISNUMBER(SEARCH(설정!$A$46,E375&amp;" "&amp;C375))),AND(설정!$A$47&lt;&gt;"",ISNUMBER(SEARCH(설정!$A$47,E375&amp;" "&amp;C375))),AND(설정!$A$48&lt;&gt;"",ISNUMBER(SEARCH(설정!$A$48,E375&amp;" "&amp;C375))),AND(설정!$A$49&lt;&gt;"",ISNUMBER(SEARCH(설정!$A$49,E375&amp;" "&amp;C375))),AND(설정!$A$50&lt;&gt;"",ISNUMBER(SEARCH(설정!$A$50,E375&amp;" "&amp;C375))),AND(설정!$A$51&lt;&gt;"",ISNUMBER(SEARCH(설정!$A$51,E375&amp;" "&amp;C375))))</f>
        <v/>
      </c>
      <c r="S375">
        <f>OR(D375="",D375&gt;=설정!$B$19)</f>
        <v/>
      </c>
      <c r="T375">
        <f>AND(Q375,R375,S375)</f>
        <v/>
      </c>
      <c r="U375">
        <f>IF(T375,IF(AND(설정!$A$54&lt;&gt;"",ISNUMBER(SEARCH(설정!$A$54,K375))),설정!$B$54,IF(AND(설정!$A$55&lt;&gt;"",ISNUMBER(SEARCH(설정!$A$55,K375))),설정!$B$55,IF(AND(설정!$A$56&lt;&gt;"",ISNUMBER(SEARCH(설정!$A$56,K375))),설정!$B$56,IF(AND(설정!$A$57&lt;&gt;"",ISNUMBER(SEARCH(설정!$A$57,K375))),설정!$B$57,IF(AND(설정!$A$58&lt;&gt;"",ISNUMBER(SEARCH(설정!$A$58,K375))),설정!$B$58,IF(AND(설정!$A$59&lt;&gt;"",ISNUMBER(SEARCH(설정!$A$59,K375))),설정!$B$59,IF(AND(설정!$A$60&lt;&gt;"",ISNUMBER(SEARCH(설정!$A$60,K375))),설정!$B$60,IF(AND(설정!$A$61&lt;&gt;"",ISNUMBER(SEARCH(설정!$A$61,K375))),설정!$B$61,IF(M375="","설계사","시공사"))))))))),"")</f>
        <v/>
      </c>
      <c r="V375">
        <f>SUBSTITUTE(SUBSTITUTE(SUBSTITUTE(SUBSTITUTE(G375,"(주)",""),"㈜",""),"주식회사","")," ","")</f>
        <v/>
      </c>
      <c r="W375">
        <f>IF(AND(T375,V375&lt;&gt;""),IF(COUNTIFS(V$2:V375,V375,T$2:T375,TRUE)=1,MAX(W$1:W374)+1,""),"")</f>
        <v/>
      </c>
      <c r="X375">
        <f>IF(설정!$C$14="","",IFERROR(INDEX('1.산군_붙여넣기'!$A$1:$AZ$1001,ROW(),설정!$C$14)&amp;"",""))</f>
        <v/>
      </c>
      <c r="Y375">
        <f>IF(설정!$C$15="","",IFERROR(INDEX('1.산군_붙여넣기'!$A$1:$AZ$1001,ROW(),설정!$C$15)&amp;"",""))</f>
        <v/>
      </c>
      <c r="Z375">
        <f>IF(T375,V375&amp;"|"&amp;U375,"")</f>
        <v/>
      </c>
      <c r="AA375">
        <f>IF(NOT(Q375),"",IF(NOT(AND(R375,S375)),"✕",IF(OR(OR(AND(L375&lt;&gt;"",M375&lt;&gt;"",N(M375)-N(L375)&gt;설정!$B$27),AND(L375&lt;&gt;"",M375="",설정!$B$24-N(L375)&gt;설정!$B$27)),AND(D375&lt;&gt;"",D375&lt;설정!$B$26)),"△","★")))</f>
        <v/>
      </c>
      <c r="AB375">
        <f>IF(NOT(T375),"",IF(U375="설계사",설정!$B$31,IF(U375="시공사",IF(OR(M375="",설정!$B$24-N(M375)&lt;=설정!$B$28*30.4),설정!$B$32,설정!$B$33),설정!$B$34))+IF(AA375="★",설정!$B$35,0))</f>
        <v/>
      </c>
      <c r="AC375">
        <f>SUBSTITUTE(SUBSTITUTE(SUBSTITUTE(SUBSTITUTE(H375,"(주)",""),"㈜",""),"주식회사","")," ","")</f>
        <v/>
      </c>
      <c r="AD375">
        <f>IF(AND(T375,AC375&lt;&gt;""),IF(COUNTIFS(AC$2:AC375,AC375,T$2:T375,TRUE)=1,MAX(AD$1:AD374)+1,""),"")</f>
        <v/>
      </c>
    </row>
    <row r="376">
      <c r="A376">
        <f>ROW()</f>
        <v/>
      </c>
      <c r="B376">
        <f>IF(설정!$C$4="","",IFERROR(INDEX('1.산군_붙여넣기'!$A$1:$AZ$1001,ROW(),설정!$C$4)&amp;"",""))</f>
        <v/>
      </c>
      <c r="C376">
        <f>IF(설정!$C$5="","",IFERROR(INDEX('1.산군_붙여넣기'!$A$1:$AZ$1001,ROW(),설정!$C$5)&amp;"",""))</f>
        <v/>
      </c>
      <c r="D376" s="5">
        <f>IFERROR(VALUE(SUBSTITUTE(SUBSTITUTE(SUBSTITUTE(IF(설정!$C$6="","",IFERROR(INDEX('1.산군_붙여넣기'!$A$1:$AZ$1001,ROW(),설정!$C$6)&amp;"","")),",",""),"㎡",""),"m2","")),"")</f>
        <v/>
      </c>
      <c r="E376">
        <f>IF(설정!$C$7="","",IFERROR(INDEX('1.산군_붙여넣기'!$A$1:$AZ$1001,ROW(),설정!$C$7)&amp;"",""))</f>
        <v/>
      </c>
      <c r="F376">
        <f>IF(설정!$C$8="","",IFERROR(INDEX('1.산군_붙여넣기'!$A$1:$AZ$1001,ROW(),설정!$C$8)&amp;"",""))</f>
        <v/>
      </c>
      <c r="G376">
        <f>IF(설정!$C$9="","",IFERROR(INDEX('1.산군_붙여넣기'!$A$1:$AZ$1001,ROW(),설정!$C$9)&amp;"",""))</f>
        <v/>
      </c>
      <c r="H376">
        <f>IF(설정!$C$10="","",IFERROR(INDEX('1.산군_붙여넣기'!$A$1:$AZ$1001,ROW(),설정!$C$10)&amp;"",""))</f>
        <v/>
      </c>
      <c r="I376">
        <f>IF(설정!$C$11="","",IFERROR(INDEX('1.산군_붙여넣기'!$A$1:$AZ$1001,ROW(),설정!$C$11)&amp;"",""))</f>
        <v/>
      </c>
      <c r="J376">
        <f>IF(설정!$C$12="","",IFERROR(INDEX('1.산군_붙여넣기'!$A$1:$AZ$1001,ROW(),설정!$C$12)&amp;"",""))</f>
        <v/>
      </c>
      <c r="K376">
        <f>IF(설정!$C$13="","",IFERROR(INDEX('1.산군_붙여넣기'!$A$1:$AZ$1001,ROW(),설정!$C$13)&amp;"",""))</f>
        <v/>
      </c>
      <c r="L376" s="7">
        <f>IF(X376="","",IF(AND(LEN(X376)=8,ISNUMBER(X376*1)),DATE(LEFT(X376,4),MID(X376,5,2),RIGHT(X376,2)),IFERROR(DATEVALUE(SUBSTITUTE(SUBSTITUTE(X376,".","-"),"/","-")),IFERROR(X376*1,""))))</f>
        <v/>
      </c>
      <c r="M376" s="7">
        <f>IF(Y376="","",IF(AND(LEN(Y376)=8,ISNUMBER(Y376*1)),DATE(LEFT(Y376,4),MID(Y376,5,2),RIGHT(Y376,2)),IFERROR(DATEVALUE(SUBSTITUTE(SUBSTITUTE(Y376,".","-"),"/","-")),IFERROR(Y376*1,""))))</f>
        <v/>
      </c>
      <c r="N376">
        <f>IFERROR(LEFT(B376,FIND(" ",B376)-1),B376)</f>
        <v/>
      </c>
      <c r="O376">
        <f>AND(B376&lt;&gt;"",B376&lt;&gt;설정!$B$4,C376&lt;&gt;설정!$B$5)</f>
        <v/>
      </c>
      <c r="P376">
        <f>IF(O376,B376&amp;"|"&amp;C376,"")</f>
        <v/>
      </c>
      <c r="Q376">
        <f>AND(O376,COUNTIF(P377:P$1002,P376)=0)</f>
        <v/>
      </c>
      <c r="R376">
        <f>OR(AND(설정!$A$42&lt;&gt;"",ISNUMBER(SEARCH(설정!$A$42,E376&amp;" "&amp;C376))),AND(설정!$A$43&lt;&gt;"",ISNUMBER(SEARCH(설정!$A$43,E376&amp;" "&amp;C376))),AND(설정!$A$44&lt;&gt;"",ISNUMBER(SEARCH(설정!$A$44,E376&amp;" "&amp;C376))),AND(설정!$A$45&lt;&gt;"",ISNUMBER(SEARCH(설정!$A$45,E376&amp;" "&amp;C376))),AND(설정!$A$46&lt;&gt;"",ISNUMBER(SEARCH(설정!$A$46,E376&amp;" "&amp;C376))),AND(설정!$A$47&lt;&gt;"",ISNUMBER(SEARCH(설정!$A$47,E376&amp;" "&amp;C376))),AND(설정!$A$48&lt;&gt;"",ISNUMBER(SEARCH(설정!$A$48,E376&amp;" "&amp;C376))),AND(설정!$A$49&lt;&gt;"",ISNUMBER(SEARCH(설정!$A$49,E376&amp;" "&amp;C376))),AND(설정!$A$50&lt;&gt;"",ISNUMBER(SEARCH(설정!$A$50,E376&amp;" "&amp;C376))),AND(설정!$A$51&lt;&gt;"",ISNUMBER(SEARCH(설정!$A$51,E376&amp;" "&amp;C376))))</f>
        <v/>
      </c>
      <c r="S376">
        <f>OR(D376="",D376&gt;=설정!$B$19)</f>
        <v/>
      </c>
      <c r="T376">
        <f>AND(Q376,R376,S376)</f>
        <v/>
      </c>
      <c r="U376">
        <f>IF(T376,IF(AND(설정!$A$54&lt;&gt;"",ISNUMBER(SEARCH(설정!$A$54,K376))),설정!$B$54,IF(AND(설정!$A$55&lt;&gt;"",ISNUMBER(SEARCH(설정!$A$55,K376))),설정!$B$55,IF(AND(설정!$A$56&lt;&gt;"",ISNUMBER(SEARCH(설정!$A$56,K376))),설정!$B$56,IF(AND(설정!$A$57&lt;&gt;"",ISNUMBER(SEARCH(설정!$A$57,K376))),설정!$B$57,IF(AND(설정!$A$58&lt;&gt;"",ISNUMBER(SEARCH(설정!$A$58,K376))),설정!$B$58,IF(AND(설정!$A$59&lt;&gt;"",ISNUMBER(SEARCH(설정!$A$59,K376))),설정!$B$59,IF(AND(설정!$A$60&lt;&gt;"",ISNUMBER(SEARCH(설정!$A$60,K376))),설정!$B$60,IF(AND(설정!$A$61&lt;&gt;"",ISNUMBER(SEARCH(설정!$A$61,K376))),설정!$B$61,IF(M376="","설계사","시공사"))))))))),"")</f>
        <v/>
      </c>
      <c r="V376">
        <f>SUBSTITUTE(SUBSTITUTE(SUBSTITUTE(SUBSTITUTE(G376,"(주)",""),"㈜",""),"주식회사","")," ","")</f>
        <v/>
      </c>
      <c r="W376">
        <f>IF(AND(T376,V376&lt;&gt;""),IF(COUNTIFS(V$2:V376,V376,T$2:T376,TRUE)=1,MAX(W$1:W375)+1,""),"")</f>
        <v/>
      </c>
      <c r="X376">
        <f>IF(설정!$C$14="","",IFERROR(INDEX('1.산군_붙여넣기'!$A$1:$AZ$1001,ROW(),설정!$C$14)&amp;"",""))</f>
        <v/>
      </c>
      <c r="Y376">
        <f>IF(설정!$C$15="","",IFERROR(INDEX('1.산군_붙여넣기'!$A$1:$AZ$1001,ROW(),설정!$C$15)&amp;"",""))</f>
        <v/>
      </c>
      <c r="Z376">
        <f>IF(T376,V376&amp;"|"&amp;U376,"")</f>
        <v/>
      </c>
      <c r="AA376">
        <f>IF(NOT(Q376),"",IF(NOT(AND(R376,S376)),"✕",IF(OR(OR(AND(L376&lt;&gt;"",M376&lt;&gt;"",N(M376)-N(L376)&gt;설정!$B$27),AND(L376&lt;&gt;"",M376="",설정!$B$24-N(L376)&gt;설정!$B$27)),AND(D376&lt;&gt;"",D376&lt;설정!$B$26)),"△","★")))</f>
        <v/>
      </c>
      <c r="AB376">
        <f>IF(NOT(T376),"",IF(U376="설계사",설정!$B$31,IF(U376="시공사",IF(OR(M376="",설정!$B$24-N(M376)&lt;=설정!$B$28*30.4),설정!$B$32,설정!$B$33),설정!$B$34))+IF(AA376="★",설정!$B$35,0))</f>
        <v/>
      </c>
      <c r="AC376">
        <f>SUBSTITUTE(SUBSTITUTE(SUBSTITUTE(SUBSTITUTE(H376,"(주)",""),"㈜",""),"주식회사","")," ","")</f>
        <v/>
      </c>
      <c r="AD376">
        <f>IF(AND(T376,AC376&lt;&gt;""),IF(COUNTIFS(AC$2:AC376,AC376,T$2:T376,TRUE)=1,MAX(AD$1:AD375)+1,""),"")</f>
        <v/>
      </c>
    </row>
    <row r="377">
      <c r="A377">
        <f>ROW()</f>
        <v/>
      </c>
      <c r="B377">
        <f>IF(설정!$C$4="","",IFERROR(INDEX('1.산군_붙여넣기'!$A$1:$AZ$1001,ROW(),설정!$C$4)&amp;"",""))</f>
        <v/>
      </c>
      <c r="C377">
        <f>IF(설정!$C$5="","",IFERROR(INDEX('1.산군_붙여넣기'!$A$1:$AZ$1001,ROW(),설정!$C$5)&amp;"",""))</f>
        <v/>
      </c>
      <c r="D377" s="5">
        <f>IFERROR(VALUE(SUBSTITUTE(SUBSTITUTE(SUBSTITUTE(IF(설정!$C$6="","",IFERROR(INDEX('1.산군_붙여넣기'!$A$1:$AZ$1001,ROW(),설정!$C$6)&amp;"","")),",",""),"㎡",""),"m2","")),"")</f>
        <v/>
      </c>
      <c r="E377">
        <f>IF(설정!$C$7="","",IFERROR(INDEX('1.산군_붙여넣기'!$A$1:$AZ$1001,ROW(),설정!$C$7)&amp;"",""))</f>
        <v/>
      </c>
      <c r="F377">
        <f>IF(설정!$C$8="","",IFERROR(INDEX('1.산군_붙여넣기'!$A$1:$AZ$1001,ROW(),설정!$C$8)&amp;"",""))</f>
        <v/>
      </c>
      <c r="G377">
        <f>IF(설정!$C$9="","",IFERROR(INDEX('1.산군_붙여넣기'!$A$1:$AZ$1001,ROW(),설정!$C$9)&amp;"",""))</f>
        <v/>
      </c>
      <c r="H377">
        <f>IF(설정!$C$10="","",IFERROR(INDEX('1.산군_붙여넣기'!$A$1:$AZ$1001,ROW(),설정!$C$10)&amp;"",""))</f>
        <v/>
      </c>
      <c r="I377">
        <f>IF(설정!$C$11="","",IFERROR(INDEX('1.산군_붙여넣기'!$A$1:$AZ$1001,ROW(),설정!$C$11)&amp;"",""))</f>
        <v/>
      </c>
      <c r="J377">
        <f>IF(설정!$C$12="","",IFERROR(INDEX('1.산군_붙여넣기'!$A$1:$AZ$1001,ROW(),설정!$C$12)&amp;"",""))</f>
        <v/>
      </c>
      <c r="K377">
        <f>IF(설정!$C$13="","",IFERROR(INDEX('1.산군_붙여넣기'!$A$1:$AZ$1001,ROW(),설정!$C$13)&amp;"",""))</f>
        <v/>
      </c>
      <c r="L377" s="7">
        <f>IF(X377="","",IF(AND(LEN(X377)=8,ISNUMBER(X377*1)),DATE(LEFT(X377,4),MID(X377,5,2),RIGHT(X377,2)),IFERROR(DATEVALUE(SUBSTITUTE(SUBSTITUTE(X377,".","-"),"/","-")),IFERROR(X377*1,""))))</f>
        <v/>
      </c>
      <c r="M377" s="7">
        <f>IF(Y377="","",IF(AND(LEN(Y377)=8,ISNUMBER(Y377*1)),DATE(LEFT(Y377,4),MID(Y377,5,2),RIGHT(Y377,2)),IFERROR(DATEVALUE(SUBSTITUTE(SUBSTITUTE(Y377,".","-"),"/","-")),IFERROR(Y377*1,""))))</f>
        <v/>
      </c>
      <c r="N377">
        <f>IFERROR(LEFT(B377,FIND(" ",B377)-1),B377)</f>
        <v/>
      </c>
      <c r="O377">
        <f>AND(B377&lt;&gt;"",B377&lt;&gt;설정!$B$4,C377&lt;&gt;설정!$B$5)</f>
        <v/>
      </c>
      <c r="P377">
        <f>IF(O377,B377&amp;"|"&amp;C377,"")</f>
        <v/>
      </c>
      <c r="Q377">
        <f>AND(O377,COUNTIF(P378:P$1002,P377)=0)</f>
        <v/>
      </c>
      <c r="R377">
        <f>OR(AND(설정!$A$42&lt;&gt;"",ISNUMBER(SEARCH(설정!$A$42,E377&amp;" "&amp;C377))),AND(설정!$A$43&lt;&gt;"",ISNUMBER(SEARCH(설정!$A$43,E377&amp;" "&amp;C377))),AND(설정!$A$44&lt;&gt;"",ISNUMBER(SEARCH(설정!$A$44,E377&amp;" "&amp;C377))),AND(설정!$A$45&lt;&gt;"",ISNUMBER(SEARCH(설정!$A$45,E377&amp;" "&amp;C377))),AND(설정!$A$46&lt;&gt;"",ISNUMBER(SEARCH(설정!$A$46,E377&amp;" "&amp;C377))),AND(설정!$A$47&lt;&gt;"",ISNUMBER(SEARCH(설정!$A$47,E377&amp;" "&amp;C377))),AND(설정!$A$48&lt;&gt;"",ISNUMBER(SEARCH(설정!$A$48,E377&amp;" "&amp;C377))),AND(설정!$A$49&lt;&gt;"",ISNUMBER(SEARCH(설정!$A$49,E377&amp;" "&amp;C377))),AND(설정!$A$50&lt;&gt;"",ISNUMBER(SEARCH(설정!$A$50,E377&amp;" "&amp;C377))),AND(설정!$A$51&lt;&gt;"",ISNUMBER(SEARCH(설정!$A$51,E377&amp;" "&amp;C377))))</f>
        <v/>
      </c>
      <c r="S377">
        <f>OR(D377="",D377&gt;=설정!$B$19)</f>
        <v/>
      </c>
      <c r="T377">
        <f>AND(Q377,R377,S377)</f>
        <v/>
      </c>
      <c r="U377">
        <f>IF(T377,IF(AND(설정!$A$54&lt;&gt;"",ISNUMBER(SEARCH(설정!$A$54,K377))),설정!$B$54,IF(AND(설정!$A$55&lt;&gt;"",ISNUMBER(SEARCH(설정!$A$55,K377))),설정!$B$55,IF(AND(설정!$A$56&lt;&gt;"",ISNUMBER(SEARCH(설정!$A$56,K377))),설정!$B$56,IF(AND(설정!$A$57&lt;&gt;"",ISNUMBER(SEARCH(설정!$A$57,K377))),설정!$B$57,IF(AND(설정!$A$58&lt;&gt;"",ISNUMBER(SEARCH(설정!$A$58,K377))),설정!$B$58,IF(AND(설정!$A$59&lt;&gt;"",ISNUMBER(SEARCH(설정!$A$59,K377))),설정!$B$59,IF(AND(설정!$A$60&lt;&gt;"",ISNUMBER(SEARCH(설정!$A$60,K377))),설정!$B$60,IF(AND(설정!$A$61&lt;&gt;"",ISNUMBER(SEARCH(설정!$A$61,K377))),설정!$B$61,IF(M377="","설계사","시공사"))))))))),"")</f>
        <v/>
      </c>
      <c r="V377">
        <f>SUBSTITUTE(SUBSTITUTE(SUBSTITUTE(SUBSTITUTE(G377,"(주)",""),"㈜",""),"주식회사","")," ","")</f>
        <v/>
      </c>
      <c r="W377">
        <f>IF(AND(T377,V377&lt;&gt;""),IF(COUNTIFS(V$2:V377,V377,T$2:T377,TRUE)=1,MAX(W$1:W376)+1,""),"")</f>
        <v/>
      </c>
      <c r="X377">
        <f>IF(설정!$C$14="","",IFERROR(INDEX('1.산군_붙여넣기'!$A$1:$AZ$1001,ROW(),설정!$C$14)&amp;"",""))</f>
        <v/>
      </c>
      <c r="Y377">
        <f>IF(설정!$C$15="","",IFERROR(INDEX('1.산군_붙여넣기'!$A$1:$AZ$1001,ROW(),설정!$C$15)&amp;"",""))</f>
        <v/>
      </c>
      <c r="Z377">
        <f>IF(T377,V377&amp;"|"&amp;U377,"")</f>
        <v/>
      </c>
      <c r="AA377">
        <f>IF(NOT(Q377),"",IF(NOT(AND(R377,S377)),"✕",IF(OR(OR(AND(L377&lt;&gt;"",M377&lt;&gt;"",N(M377)-N(L377)&gt;설정!$B$27),AND(L377&lt;&gt;"",M377="",설정!$B$24-N(L377)&gt;설정!$B$27)),AND(D377&lt;&gt;"",D377&lt;설정!$B$26)),"△","★")))</f>
        <v/>
      </c>
      <c r="AB377">
        <f>IF(NOT(T377),"",IF(U377="설계사",설정!$B$31,IF(U377="시공사",IF(OR(M377="",설정!$B$24-N(M377)&lt;=설정!$B$28*30.4),설정!$B$32,설정!$B$33),설정!$B$34))+IF(AA377="★",설정!$B$35,0))</f>
        <v/>
      </c>
      <c r="AC377">
        <f>SUBSTITUTE(SUBSTITUTE(SUBSTITUTE(SUBSTITUTE(H377,"(주)",""),"㈜",""),"주식회사","")," ","")</f>
        <v/>
      </c>
      <c r="AD377">
        <f>IF(AND(T377,AC377&lt;&gt;""),IF(COUNTIFS(AC$2:AC377,AC377,T$2:T377,TRUE)=1,MAX(AD$1:AD376)+1,""),"")</f>
        <v/>
      </c>
    </row>
    <row r="378">
      <c r="A378">
        <f>ROW()</f>
        <v/>
      </c>
      <c r="B378">
        <f>IF(설정!$C$4="","",IFERROR(INDEX('1.산군_붙여넣기'!$A$1:$AZ$1001,ROW(),설정!$C$4)&amp;"",""))</f>
        <v/>
      </c>
      <c r="C378">
        <f>IF(설정!$C$5="","",IFERROR(INDEX('1.산군_붙여넣기'!$A$1:$AZ$1001,ROW(),설정!$C$5)&amp;"",""))</f>
        <v/>
      </c>
      <c r="D378" s="5">
        <f>IFERROR(VALUE(SUBSTITUTE(SUBSTITUTE(SUBSTITUTE(IF(설정!$C$6="","",IFERROR(INDEX('1.산군_붙여넣기'!$A$1:$AZ$1001,ROW(),설정!$C$6)&amp;"","")),",",""),"㎡",""),"m2","")),"")</f>
        <v/>
      </c>
      <c r="E378">
        <f>IF(설정!$C$7="","",IFERROR(INDEX('1.산군_붙여넣기'!$A$1:$AZ$1001,ROW(),설정!$C$7)&amp;"",""))</f>
        <v/>
      </c>
      <c r="F378">
        <f>IF(설정!$C$8="","",IFERROR(INDEX('1.산군_붙여넣기'!$A$1:$AZ$1001,ROW(),설정!$C$8)&amp;"",""))</f>
        <v/>
      </c>
      <c r="G378">
        <f>IF(설정!$C$9="","",IFERROR(INDEX('1.산군_붙여넣기'!$A$1:$AZ$1001,ROW(),설정!$C$9)&amp;"",""))</f>
        <v/>
      </c>
      <c r="H378">
        <f>IF(설정!$C$10="","",IFERROR(INDEX('1.산군_붙여넣기'!$A$1:$AZ$1001,ROW(),설정!$C$10)&amp;"",""))</f>
        <v/>
      </c>
      <c r="I378">
        <f>IF(설정!$C$11="","",IFERROR(INDEX('1.산군_붙여넣기'!$A$1:$AZ$1001,ROW(),설정!$C$11)&amp;"",""))</f>
        <v/>
      </c>
      <c r="J378">
        <f>IF(설정!$C$12="","",IFERROR(INDEX('1.산군_붙여넣기'!$A$1:$AZ$1001,ROW(),설정!$C$12)&amp;"",""))</f>
        <v/>
      </c>
      <c r="K378">
        <f>IF(설정!$C$13="","",IFERROR(INDEX('1.산군_붙여넣기'!$A$1:$AZ$1001,ROW(),설정!$C$13)&amp;"",""))</f>
        <v/>
      </c>
      <c r="L378" s="7">
        <f>IF(X378="","",IF(AND(LEN(X378)=8,ISNUMBER(X378*1)),DATE(LEFT(X378,4),MID(X378,5,2),RIGHT(X378,2)),IFERROR(DATEVALUE(SUBSTITUTE(SUBSTITUTE(X378,".","-"),"/","-")),IFERROR(X378*1,""))))</f>
        <v/>
      </c>
      <c r="M378" s="7">
        <f>IF(Y378="","",IF(AND(LEN(Y378)=8,ISNUMBER(Y378*1)),DATE(LEFT(Y378,4),MID(Y378,5,2),RIGHT(Y378,2)),IFERROR(DATEVALUE(SUBSTITUTE(SUBSTITUTE(Y378,".","-"),"/","-")),IFERROR(Y378*1,""))))</f>
        <v/>
      </c>
      <c r="N378">
        <f>IFERROR(LEFT(B378,FIND(" ",B378)-1),B378)</f>
        <v/>
      </c>
      <c r="O378">
        <f>AND(B378&lt;&gt;"",B378&lt;&gt;설정!$B$4,C378&lt;&gt;설정!$B$5)</f>
        <v/>
      </c>
      <c r="P378">
        <f>IF(O378,B378&amp;"|"&amp;C378,"")</f>
        <v/>
      </c>
      <c r="Q378">
        <f>AND(O378,COUNTIF(P379:P$1002,P378)=0)</f>
        <v/>
      </c>
      <c r="R378">
        <f>OR(AND(설정!$A$42&lt;&gt;"",ISNUMBER(SEARCH(설정!$A$42,E378&amp;" "&amp;C378))),AND(설정!$A$43&lt;&gt;"",ISNUMBER(SEARCH(설정!$A$43,E378&amp;" "&amp;C378))),AND(설정!$A$44&lt;&gt;"",ISNUMBER(SEARCH(설정!$A$44,E378&amp;" "&amp;C378))),AND(설정!$A$45&lt;&gt;"",ISNUMBER(SEARCH(설정!$A$45,E378&amp;" "&amp;C378))),AND(설정!$A$46&lt;&gt;"",ISNUMBER(SEARCH(설정!$A$46,E378&amp;" "&amp;C378))),AND(설정!$A$47&lt;&gt;"",ISNUMBER(SEARCH(설정!$A$47,E378&amp;" "&amp;C378))),AND(설정!$A$48&lt;&gt;"",ISNUMBER(SEARCH(설정!$A$48,E378&amp;" "&amp;C378))),AND(설정!$A$49&lt;&gt;"",ISNUMBER(SEARCH(설정!$A$49,E378&amp;" "&amp;C378))),AND(설정!$A$50&lt;&gt;"",ISNUMBER(SEARCH(설정!$A$50,E378&amp;" "&amp;C378))),AND(설정!$A$51&lt;&gt;"",ISNUMBER(SEARCH(설정!$A$51,E378&amp;" "&amp;C378))))</f>
        <v/>
      </c>
      <c r="S378">
        <f>OR(D378="",D378&gt;=설정!$B$19)</f>
        <v/>
      </c>
      <c r="T378">
        <f>AND(Q378,R378,S378)</f>
        <v/>
      </c>
      <c r="U378">
        <f>IF(T378,IF(AND(설정!$A$54&lt;&gt;"",ISNUMBER(SEARCH(설정!$A$54,K378))),설정!$B$54,IF(AND(설정!$A$55&lt;&gt;"",ISNUMBER(SEARCH(설정!$A$55,K378))),설정!$B$55,IF(AND(설정!$A$56&lt;&gt;"",ISNUMBER(SEARCH(설정!$A$56,K378))),설정!$B$56,IF(AND(설정!$A$57&lt;&gt;"",ISNUMBER(SEARCH(설정!$A$57,K378))),설정!$B$57,IF(AND(설정!$A$58&lt;&gt;"",ISNUMBER(SEARCH(설정!$A$58,K378))),설정!$B$58,IF(AND(설정!$A$59&lt;&gt;"",ISNUMBER(SEARCH(설정!$A$59,K378))),설정!$B$59,IF(AND(설정!$A$60&lt;&gt;"",ISNUMBER(SEARCH(설정!$A$60,K378))),설정!$B$60,IF(AND(설정!$A$61&lt;&gt;"",ISNUMBER(SEARCH(설정!$A$61,K378))),설정!$B$61,IF(M378="","설계사","시공사"))))))))),"")</f>
        <v/>
      </c>
      <c r="V378">
        <f>SUBSTITUTE(SUBSTITUTE(SUBSTITUTE(SUBSTITUTE(G378,"(주)",""),"㈜",""),"주식회사","")," ","")</f>
        <v/>
      </c>
      <c r="W378">
        <f>IF(AND(T378,V378&lt;&gt;""),IF(COUNTIFS(V$2:V378,V378,T$2:T378,TRUE)=1,MAX(W$1:W377)+1,""),"")</f>
        <v/>
      </c>
      <c r="X378">
        <f>IF(설정!$C$14="","",IFERROR(INDEX('1.산군_붙여넣기'!$A$1:$AZ$1001,ROW(),설정!$C$14)&amp;"",""))</f>
        <v/>
      </c>
      <c r="Y378">
        <f>IF(설정!$C$15="","",IFERROR(INDEX('1.산군_붙여넣기'!$A$1:$AZ$1001,ROW(),설정!$C$15)&amp;"",""))</f>
        <v/>
      </c>
      <c r="Z378">
        <f>IF(T378,V378&amp;"|"&amp;U378,"")</f>
        <v/>
      </c>
      <c r="AA378">
        <f>IF(NOT(Q378),"",IF(NOT(AND(R378,S378)),"✕",IF(OR(OR(AND(L378&lt;&gt;"",M378&lt;&gt;"",N(M378)-N(L378)&gt;설정!$B$27),AND(L378&lt;&gt;"",M378="",설정!$B$24-N(L378)&gt;설정!$B$27)),AND(D378&lt;&gt;"",D378&lt;설정!$B$26)),"△","★")))</f>
        <v/>
      </c>
      <c r="AB378">
        <f>IF(NOT(T378),"",IF(U378="설계사",설정!$B$31,IF(U378="시공사",IF(OR(M378="",설정!$B$24-N(M378)&lt;=설정!$B$28*30.4),설정!$B$32,설정!$B$33),설정!$B$34))+IF(AA378="★",설정!$B$35,0))</f>
        <v/>
      </c>
      <c r="AC378">
        <f>SUBSTITUTE(SUBSTITUTE(SUBSTITUTE(SUBSTITUTE(H378,"(주)",""),"㈜",""),"주식회사","")," ","")</f>
        <v/>
      </c>
      <c r="AD378">
        <f>IF(AND(T378,AC378&lt;&gt;""),IF(COUNTIFS(AC$2:AC378,AC378,T$2:T378,TRUE)=1,MAX(AD$1:AD377)+1,""),"")</f>
        <v/>
      </c>
    </row>
    <row r="379">
      <c r="A379">
        <f>ROW()</f>
        <v/>
      </c>
      <c r="B379">
        <f>IF(설정!$C$4="","",IFERROR(INDEX('1.산군_붙여넣기'!$A$1:$AZ$1001,ROW(),설정!$C$4)&amp;"",""))</f>
        <v/>
      </c>
      <c r="C379">
        <f>IF(설정!$C$5="","",IFERROR(INDEX('1.산군_붙여넣기'!$A$1:$AZ$1001,ROW(),설정!$C$5)&amp;"",""))</f>
        <v/>
      </c>
      <c r="D379" s="5">
        <f>IFERROR(VALUE(SUBSTITUTE(SUBSTITUTE(SUBSTITUTE(IF(설정!$C$6="","",IFERROR(INDEX('1.산군_붙여넣기'!$A$1:$AZ$1001,ROW(),설정!$C$6)&amp;"","")),",",""),"㎡",""),"m2","")),"")</f>
        <v/>
      </c>
      <c r="E379">
        <f>IF(설정!$C$7="","",IFERROR(INDEX('1.산군_붙여넣기'!$A$1:$AZ$1001,ROW(),설정!$C$7)&amp;"",""))</f>
        <v/>
      </c>
      <c r="F379">
        <f>IF(설정!$C$8="","",IFERROR(INDEX('1.산군_붙여넣기'!$A$1:$AZ$1001,ROW(),설정!$C$8)&amp;"",""))</f>
        <v/>
      </c>
      <c r="G379">
        <f>IF(설정!$C$9="","",IFERROR(INDEX('1.산군_붙여넣기'!$A$1:$AZ$1001,ROW(),설정!$C$9)&amp;"",""))</f>
        <v/>
      </c>
      <c r="H379">
        <f>IF(설정!$C$10="","",IFERROR(INDEX('1.산군_붙여넣기'!$A$1:$AZ$1001,ROW(),설정!$C$10)&amp;"",""))</f>
        <v/>
      </c>
      <c r="I379">
        <f>IF(설정!$C$11="","",IFERROR(INDEX('1.산군_붙여넣기'!$A$1:$AZ$1001,ROW(),설정!$C$11)&amp;"",""))</f>
        <v/>
      </c>
      <c r="J379">
        <f>IF(설정!$C$12="","",IFERROR(INDEX('1.산군_붙여넣기'!$A$1:$AZ$1001,ROW(),설정!$C$12)&amp;"",""))</f>
        <v/>
      </c>
      <c r="K379">
        <f>IF(설정!$C$13="","",IFERROR(INDEX('1.산군_붙여넣기'!$A$1:$AZ$1001,ROW(),설정!$C$13)&amp;"",""))</f>
        <v/>
      </c>
      <c r="L379" s="7">
        <f>IF(X379="","",IF(AND(LEN(X379)=8,ISNUMBER(X379*1)),DATE(LEFT(X379,4),MID(X379,5,2),RIGHT(X379,2)),IFERROR(DATEVALUE(SUBSTITUTE(SUBSTITUTE(X379,".","-"),"/","-")),IFERROR(X379*1,""))))</f>
        <v/>
      </c>
      <c r="M379" s="7">
        <f>IF(Y379="","",IF(AND(LEN(Y379)=8,ISNUMBER(Y379*1)),DATE(LEFT(Y379,4),MID(Y379,5,2),RIGHT(Y379,2)),IFERROR(DATEVALUE(SUBSTITUTE(SUBSTITUTE(Y379,".","-"),"/","-")),IFERROR(Y379*1,""))))</f>
        <v/>
      </c>
      <c r="N379">
        <f>IFERROR(LEFT(B379,FIND(" ",B379)-1),B379)</f>
        <v/>
      </c>
      <c r="O379">
        <f>AND(B379&lt;&gt;"",B379&lt;&gt;설정!$B$4,C379&lt;&gt;설정!$B$5)</f>
        <v/>
      </c>
      <c r="P379">
        <f>IF(O379,B379&amp;"|"&amp;C379,"")</f>
        <v/>
      </c>
      <c r="Q379">
        <f>AND(O379,COUNTIF(P380:P$1002,P379)=0)</f>
        <v/>
      </c>
      <c r="R379">
        <f>OR(AND(설정!$A$42&lt;&gt;"",ISNUMBER(SEARCH(설정!$A$42,E379&amp;" "&amp;C379))),AND(설정!$A$43&lt;&gt;"",ISNUMBER(SEARCH(설정!$A$43,E379&amp;" "&amp;C379))),AND(설정!$A$44&lt;&gt;"",ISNUMBER(SEARCH(설정!$A$44,E379&amp;" "&amp;C379))),AND(설정!$A$45&lt;&gt;"",ISNUMBER(SEARCH(설정!$A$45,E379&amp;" "&amp;C379))),AND(설정!$A$46&lt;&gt;"",ISNUMBER(SEARCH(설정!$A$46,E379&amp;" "&amp;C379))),AND(설정!$A$47&lt;&gt;"",ISNUMBER(SEARCH(설정!$A$47,E379&amp;" "&amp;C379))),AND(설정!$A$48&lt;&gt;"",ISNUMBER(SEARCH(설정!$A$48,E379&amp;" "&amp;C379))),AND(설정!$A$49&lt;&gt;"",ISNUMBER(SEARCH(설정!$A$49,E379&amp;" "&amp;C379))),AND(설정!$A$50&lt;&gt;"",ISNUMBER(SEARCH(설정!$A$50,E379&amp;" "&amp;C379))),AND(설정!$A$51&lt;&gt;"",ISNUMBER(SEARCH(설정!$A$51,E379&amp;" "&amp;C379))))</f>
        <v/>
      </c>
      <c r="S379">
        <f>OR(D379="",D379&gt;=설정!$B$19)</f>
        <v/>
      </c>
      <c r="T379">
        <f>AND(Q379,R379,S379)</f>
        <v/>
      </c>
      <c r="U379">
        <f>IF(T379,IF(AND(설정!$A$54&lt;&gt;"",ISNUMBER(SEARCH(설정!$A$54,K379))),설정!$B$54,IF(AND(설정!$A$55&lt;&gt;"",ISNUMBER(SEARCH(설정!$A$55,K379))),설정!$B$55,IF(AND(설정!$A$56&lt;&gt;"",ISNUMBER(SEARCH(설정!$A$56,K379))),설정!$B$56,IF(AND(설정!$A$57&lt;&gt;"",ISNUMBER(SEARCH(설정!$A$57,K379))),설정!$B$57,IF(AND(설정!$A$58&lt;&gt;"",ISNUMBER(SEARCH(설정!$A$58,K379))),설정!$B$58,IF(AND(설정!$A$59&lt;&gt;"",ISNUMBER(SEARCH(설정!$A$59,K379))),설정!$B$59,IF(AND(설정!$A$60&lt;&gt;"",ISNUMBER(SEARCH(설정!$A$60,K379))),설정!$B$60,IF(AND(설정!$A$61&lt;&gt;"",ISNUMBER(SEARCH(설정!$A$61,K379))),설정!$B$61,IF(M379="","설계사","시공사"))))))))),"")</f>
        <v/>
      </c>
      <c r="V379">
        <f>SUBSTITUTE(SUBSTITUTE(SUBSTITUTE(SUBSTITUTE(G379,"(주)",""),"㈜",""),"주식회사","")," ","")</f>
        <v/>
      </c>
      <c r="W379">
        <f>IF(AND(T379,V379&lt;&gt;""),IF(COUNTIFS(V$2:V379,V379,T$2:T379,TRUE)=1,MAX(W$1:W378)+1,""),"")</f>
        <v/>
      </c>
      <c r="X379">
        <f>IF(설정!$C$14="","",IFERROR(INDEX('1.산군_붙여넣기'!$A$1:$AZ$1001,ROW(),설정!$C$14)&amp;"",""))</f>
        <v/>
      </c>
      <c r="Y379">
        <f>IF(설정!$C$15="","",IFERROR(INDEX('1.산군_붙여넣기'!$A$1:$AZ$1001,ROW(),설정!$C$15)&amp;"",""))</f>
        <v/>
      </c>
      <c r="Z379">
        <f>IF(T379,V379&amp;"|"&amp;U379,"")</f>
        <v/>
      </c>
      <c r="AA379">
        <f>IF(NOT(Q379),"",IF(NOT(AND(R379,S379)),"✕",IF(OR(OR(AND(L379&lt;&gt;"",M379&lt;&gt;"",N(M379)-N(L379)&gt;설정!$B$27),AND(L379&lt;&gt;"",M379="",설정!$B$24-N(L379)&gt;설정!$B$27)),AND(D379&lt;&gt;"",D379&lt;설정!$B$26)),"△","★")))</f>
        <v/>
      </c>
      <c r="AB379">
        <f>IF(NOT(T379),"",IF(U379="설계사",설정!$B$31,IF(U379="시공사",IF(OR(M379="",설정!$B$24-N(M379)&lt;=설정!$B$28*30.4),설정!$B$32,설정!$B$33),설정!$B$34))+IF(AA379="★",설정!$B$35,0))</f>
        <v/>
      </c>
      <c r="AC379">
        <f>SUBSTITUTE(SUBSTITUTE(SUBSTITUTE(SUBSTITUTE(H379,"(주)",""),"㈜",""),"주식회사","")," ","")</f>
        <v/>
      </c>
      <c r="AD379">
        <f>IF(AND(T379,AC379&lt;&gt;""),IF(COUNTIFS(AC$2:AC379,AC379,T$2:T379,TRUE)=1,MAX(AD$1:AD378)+1,""),"")</f>
        <v/>
      </c>
    </row>
    <row r="380">
      <c r="A380">
        <f>ROW()</f>
        <v/>
      </c>
      <c r="B380">
        <f>IF(설정!$C$4="","",IFERROR(INDEX('1.산군_붙여넣기'!$A$1:$AZ$1001,ROW(),설정!$C$4)&amp;"",""))</f>
        <v/>
      </c>
      <c r="C380">
        <f>IF(설정!$C$5="","",IFERROR(INDEX('1.산군_붙여넣기'!$A$1:$AZ$1001,ROW(),설정!$C$5)&amp;"",""))</f>
        <v/>
      </c>
      <c r="D380" s="5">
        <f>IFERROR(VALUE(SUBSTITUTE(SUBSTITUTE(SUBSTITUTE(IF(설정!$C$6="","",IFERROR(INDEX('1.산군_붙여넣기'!$A$1:$AZ$1001,ROW(),설정!$C$6)&amp;"","")),",",""),"㎡",""),"m2","")),"")</f>
        <v/>
      </c>
      <c r="E380">
        <f>IF(설정!$C$7="","",IFERROR(INDEX('1.산군_붙여넣기'!$A$1:$AZ$1001,ROW(),설정!$C$7)&amp;"",""))</f>
        <v/>
      </c>
      <c r="F380">
        <f>IF(설정!$C$8="","",IFERROR(INDEX('1.산군_붙여넣기'!$A$1:$AZ$1001,ROW(),설정!$C$8)&amp;"",""))</f>
        <v/>
      </c>
      <c r="G380">
        <f>IF(설정!$C$9="","",IFERROR(INDEX('1.산군_붙여넣기'!$A$1:$AZ$1001,ROW(),설정!$C$9)&amp;"",""))</f>
        <v/>
      </c>
      <c r="H380">
        <f>IF(설정!$C$10="","",IFERROR(INDEX('1.산군_붙여넣기'!$A$1:$AZ$1001,ROW(),설정!$C$10)&amp;"",""))</f>
        <v/>
      </c>
      <c r="I380">
        <f>IF(설정!$C$11="","",IFERROR(INDEX('1.산군_붙여넣기'!$A$1:$AZ$1001,ROW(),설정!$C$11)&amp;"",""))</f>
        <v/>
      </c>
      <c r="J380">
        <f>IF(설정!$C$12="","",IFERROR(INDEX('1.산군_붙여넣기'!$A$1:$AZ$1001,ROW(),설정!$C$12)&amp;"",""))</f>
        <v/>
      </c>
      <c r="K380">
        <f>IF(설정!$C$13="","",IFERROR(INDEX('1.산군_붙여넣기'!$A$1:$AZ$1001,ROW(),설정!$C$13)&amp;"",""))</f>
        <v/>
      </c>
      <c r="L380" s="7">
        <f>IF(X380="","",IF(AND(LEN(X380)=8,ISNUMBER(X380*1)),DATE(LEFT(X380,4),MID(X380,5,2),RIGHT(X380,2)),IFERROR(DATEVALUE(SUBSTITUTE(SUBSTITUTE(X380,".","-"),"/","-")),IFERROR(X380*1,""))))</f>
        <v/>
      </c>
      <c r="M380" s="7">
        <f>IF(Y380="","",IF(AND(LEN(Y380)=8,ISNUMBER(Y380*1)),DATE(LEFT(Y380,4),MID(Y380,5,2),RIGHT(Y380,2)),IFERROR(DATEVALUE(SUBSTITUTE(SUBSTITUTE(Y380,".","-"),"/","-")),IFERROR(Y380*1,""))))</f>
        <v/>
      </c>
      <c r="N380">
        <f>IFERROR(LEFT(B380,FIND(" ",B380)-1),B380)</f>
        <v/>
      </c>
      <c r="O380">
        <f>AND(B380&lt;&gt;"",B380&lt;&gt;설정!$B$4,C380&lt;&gt;설정!$B$5)</f>
        <v/>
      </c>
      <c r="P380">
        <f>IF(O380,B380&amp;"|"&amp;C380,"")</f>
        <v/>
      </c>
      <c r="Q380">
        <f>AND(O380,COUNTIF(P381:P$1002,P380)=0)</f>
        <v/>
      </c>
      <c r="R380">
        <f>OR(AND(설정!$A$42&lt;&gt;"",ISNUMBER(SEARCH(설정!$A$42,E380&amp;" "&amp;C380))),AND(설정!$A$43&lt;&gt;"",ISNUMBER(SEARCH(설정!$A$43,E380&amp;" "&amp;C380))),AND(설정!$A$44&lt;&gt;"",ISNUMBER(SEARCH(설정!$A$44,E380&amp;" "&amp;C380))),AND(설정!$A$45&lt;&gt;"",ISNUMBER(SEARCH(설정!$A$45,E380&amp;" "&amp;C380))),AND(설정!$A$46&lt;&gt;"",ISNUMBER(SEARCH(설정!$A$46,E380&amp;" "&amp;C380))),AND(설정!$A$47&lt;&gt;"",ISNUMBER(SEARCH(설정!$A$47,E380&amp;" "&amp;C380))),AND(설정!$A$48&lt;&gt;"",ISNUMBER(SEARCH(설정!$A$48,E380&amp;" "&amp;C380))),AND(설정!$A$49&lt;&gt;"",ISNUMBER(SEARCH(설정!$A$49,E380&amp;" "&amp;C380))),AND(설정!$A$50&lt;&gt;"",ISNUMBER(SEARCH(설정!$A$50,E380&amp;" "&amp;C380))),AND(설정!$A$51&lt;&gt;"",ISNUMBER(SEARCH(설정!$A$51,E380&amp;" "&amp;C380))))</f>
        <v/>
      </c>
      <c r="S380">
        <f>OR(D380="",D380&gt;=설정!$B$19)</f>
        <v/>
      </c>
      <c r="T380">
        <f>AND(Q380,R380,S380)</f>
        <v/>
      </c>
      <c r="U380">
        <f>IF(T380,IF(AND(설정!$A$54&lt;&gt;"",ISNUMBER(SEARCH(설정!$A$54,K380))),설정!$B$54,IF(AND(설정!$A$55&lt;&gt;"",ISNUMBER(SEARCH(설정!$A$55,K380))),설정!$B$55,IF(AND(설정!$A$56&lt;&gt;"",ISNUMBER(SEARCH(설정!$A$56,K380))),설정!$B$56,IF(AND(설정!$A$57&lt;&gt;"",ISNUMBER(SEARCH(설정!$A$57,K380))),설정!$B$57,IF(AND(설정!$A$58&lt;&gt;"",ISNUMBER(SEARCH(설정!$A$58,K380))),설정!$B$58,IF(AND(설정!$A$59&lt;&gt;"",ISNUMBER(SEARCH(설정!$A$59,K380))),설정!$B$59,IF(AND(설정!$A$60&lt;&gt;"",ISNUMBER(SEARCH(설정!$A$60,K380))),설정!$B$60,IF(AND(설정!$A$61&lt;&gt;"",ISNUMBER(SEARCH(설정!$A$61,K380))),설정!$B$61,IF(M380="","설계사","시공사"))))))))),"")</f>
        <v/>
      </c>
      <c r="V380">
        <f>SUBSTITUTE(SUBSTITUTE(SUBSTITUTE(SUBSTITUTE(G380,"(주)",""),"㈜",""),"주식회사","")," ","")</f>
        <v/>
      </c>
      <c r="W380">
        <f>IF(AND(T380,V380&lt;&gt;""),IF(COUNTIFS(V$2:V380,V380,T$2:T380,TRUE)=1,MAX(W$1:W379)+1,""),"")</f>
        <v/>
      </c>
      <c r="X380">
        <f>IF(설정!$C$14="","",IFERROR(INDEX('1.산군_붙여넣기'!$A$1:$AZ$1001,ROW(),설정!$C$14)&amp;"",""))</f>
        <v/>
      </c>
      <c r="Y380">
        <f>IF(설정!$C$15="","",IFERROR(INDEX('1.산군_붙여넣기'!$A$1:$AZ$1001,ROW(),설정!$C$15)&amp;"",""))</f>
        <v/>
      </c>
      <c r="Z380">
        <f>IF(T380,V380&amp;"|"&amp;U380,"")</f>
        <v/>
      </c>
      <c r="AA380">
        <f>IF(NOT(Q380),"",IF(NOT(AND(R380,S380)),"✕",IF(OR(OR(AND(L380&lt;&gt;"",M380&lt;&gt;"",N(M380)-N(L380)&gt;설정!$B$27),AND(L380&lt;&gt;"",M380="",설정!$B$24-N(L380)&gt;설정!$B$27)),AND(D380&lt;&gt;"",D380&lt;설정!$B$26)),"△","★")))</f>
        <v/>
      </c>
      <c r="AB380">
        <f>IF(NOT(T380),"",IF(U380="설계사",설정!$B$31,IF(U380="시공사",IF(OR(M380="",설정!$B$24-N(M380)&lt;=설정!$B$28*30.4),설정!$B$32,설정!$B$33),설정!$B$34))+IF(AA380="★",설정!$B$35,0))</f>
        <v/>
      </c>
      <c r="AC380">
        <f>SUBSTITUTE(SUBSTITUTE(SUBSTITUTE(SUBSTITUTE(H380,"(주)",""),"㈜",""),"주식회사","")," ","")</f>
        <v/>
      </c>
      <c r="AD380">
        <f>IF(AND(T380,AC380&lt;&gt;""),IF(COUNTIFS(AC$2:AC380,AC380,T$2:T380,TRUE)=1,MAX(AD$1:AD379)+1,""),"")</f>
        <v/>
      </c>
    </row>
    <row r="381">
      <c r="A381">
        <f>ROW()</f>
        <v/>
      </c>
      <c r="B381">
        <f>IF(설정!$C$4="","",IFERROR(INDEX('1.산군_붙여넣기'!$A$1:$AZ$1001,ROW(),설정!$C$4)&amp;"",""))</f>
        <v/>
      </c>
      <c r="C381">
        <f>IF(설정!$C$5="","",IFERROR(INDEX('1.산군_붙여넣기'!$A$1:$AZ$1001,ROW(),설정!$C$5)&amp;"",""))</f>
        <v/>
      </c>
      <c r="D381" s="5">
        <f>IFERROR(VALUE(SUBSTITUTE(SUBSTITUTE(SUBSTITUTE(IF(설정!$C$6="","",IFERROR(INDEX('1.산군_붙여넣기'!$A$1:$AZ$1001,ROW(),설정!$C$6)&amp;"","")),",",""),"㎡",""),"m2","")),"")</f>
        <v/>
      </c>
      <c r="E381">
        <f>IF(설정!$C$7="","",IFERROR(INDEX('1.산군_붙여넣기'!$A$1:$AZ$1001,ROW(),설정!$C$7)&amp;"",""))</f>
        <v/>
      </c>
      <c r="F381">
        <f>IF(설정!$C$8="","",IFERROR(INDEX('1.산군_붙여넣기'!$A$1:$AZ$1001,ROW(),설정!$C$8)&amp;"",""))</f>
        <v/>
      </c>
      <c r="G381">
        <f>IF(설정!$C$9="","",IFERROR(INDEX('1.산군_붙여넣기'!$A$1:$AZ$1001,ROW(),설정!$C$9)&amp;"",""))</f>
        <v/>
      </c>
      <c r="H381">
        <f>IF(설정!$C$10="","",IFERROR(INDEX('1.산군_붙여넣기'!$A$1:$AZ$1001,ROW(),설정!$C$10)&amp;"",""))</f>
        <v/>
      </c>
      <c r="I381">
        <f>IF(설정!$C$11="","",IFERROR(INDEX('1.산군_붙여넣기'!$A$1:$AZ$1001,ROW(),설정!$C$11)&amp;"",""))</f>
        <v/>
      </c>
      <c r="J381">
        <f>IF(설정!$C$12="","",IFERROR(INDEX('1.산군_붙여넣기'!$A$1:$AZ$1001,ROW(),설정!$C$12)&amp;"",""))</f>
        <v/>
      </c>
      <c r="K381">
        <f>IF(설정!$C$13="","",IFERROR(INDEX('1.산군_붙여넣기'!$A$1:$AZ$1001,ROW(),설정!$C$13)&amp;"",""))</f>
        <v/>
      </c>
      <c r="L381" s="7">
        <f>IF(X381="","",IF(AND(LEN(X381)=8,ISNUMBER(X381*1)),DATE(LEFT(X381,4),MID(X381,5,2),RIGHT(X381,2)),IFERROR(DATEVALUE(SUBSTITUTE(SUBSTITUTE(X381,".","-"),"/","-")),IFERROR(X381*1,""))))</f>
        <v/>
      </c>
      <c r="M381" s="7">
        <f>IF(Y381="","",IF(AND(LEN(Y381)=8,ISNUMBER(Y381*1)),DATE(LEFT(Y381,4),MID(Y381,5,2),RIGHT(Y381,2)),IFERROR(DATEVALUE(SUBSTITUTE(SUBSTITUTE(Y381,".","-"),"/","-")),IFERROR(Y381*1,""))))</f>
        <v/>
      </c>
      <c r="N381">
        <f>IFERROR(LEFT(B381,FIND(" ",B381)-1),B381)</f>
        <v/>
      </c>
      <c r="O381">
        <f>AND(B381&lt;&gt;"",B381&lt;&gt;설정!$B$4,C381&lt;&gt;설정!$B$5)</f>
        <v/>
      </c>
      <c r="P381">
        <f>IF(O381,B381&amp;"|"&amp;C381,"")</f>
        <v/>
      </c>
      <c r="Q381">
        <f>AND(O381,COUNTIF(P382:P$1002,P381)=0)</f>
        <v/>
      </c>
      <c r="R381">
        <f>OR(AND(설정!$A$42&lt;&gt;"",ISNUMBER(SEARCH(설정!$A$42,E381&amp;" "&amp;C381))),AND(설정!$A$43&lt;&gt;"",ISNUMBER(SEARCH(설정!$A$43,E381&amp;" "&amp;C381))),AND(설정!$A$44&lt;&gt;"",ISNUMBER(SEARCH(설정!$A$44,E381&amp;" "&amp;C381))),AND(설정!$A$45&lt;&gt;"",ISNUMBER(SEARCH(설정!$A$45,E381&amp;" "&amp;C381))),AND(설정!$A$46&lt;&gt;"",ISNUMBER(SEARCH(설정!$A$46,E381&amp;" "&amp;C381))),AND(설정!$A$47&lt;&gt;"",ISNUMBER(SEARCH(설정!$A$47,E381&amp;" "&amp;C381))),AND(설정!$A$48&lt;&gt;"",ISNUMBER(SEARCH(설정!$A$48,E381&amp;" "&amp;C381))),AND(설정!$A$49&lt;&gt;"",ISNUMBER(SEARCH(설정!$A$49,E381&amp;" "&amp;C381))),AND(설정!$A$50&lt;&gt;"",ISNUMBER(SEARCH(설정!$A$50,E381&amp;" "&amp;C381))),AND(설정!$A$51&lt;&gt;"",ISNUMBER(SEARCH(설정!$A$51,E381&amp;" "&amp;C381))))</f>
        <v/>
      </c>
      <c r="S381">
        <f>OR(D381="",D381&gt;=설정!$B$19)</f>
        <v/>
      </c>
      <c r="T381">
        <f>AND(Q381,R381,S381)</f>
        <v/>
      </c>
      <c r="U381">
        <f>IF(T381,IF(AND(설정!$A$54&lt;&gt;"",ISNUMBER(SEARCH(설정!$A$54,K381))),설정!$B$54,IF(AND(설정!$A$55&lt;&gt;"",ISNUMBER(SEARCH(설정!$A$55,K381))),설정!$B$55,IF(AND(설정!$A$56&lt;&gt;"",ISNUMBER(SEARCH(설정!$A$56,K381))),설정!$B$56,IF(AND(설정!$A$57&lt;&gt;"",ISNUMBER(SEARCH(설정!$A$57,K381))),설정!$B$57,IF(AND(설정!$A$58&lt;&gt;"",ISNUMBER(SEARCH(설정!$A$58,K381))),설정!$B$58,IF(AND(설정!$A$59&lt;&gt;"",ISNUMBER(SEARCH(설정!$A$59,K381))),설정!$B$59,IF(AND(설정!$A$60&lt;&gt;"",ISNUMBER(SEARCH(설정!$A$60,K381))),설정!$B$60,IF(AND(설정!$A$61&lt;&gt;"",ISNUMBER(SEARCH(설정!$A$61,K381))),설정!$B$61,IF(M381="","설계사","시공사"))))))))),"")</f>
        <v/>
      </c>
      <c r="V381">
        <f>SUBSTITUTE(SUBSTITUTE(SUBSTITUTE(SUBSTITUTE(G381,"(주)",""),"㈜",""),"주식회사","")," ","")</f>
        <v/>
      </c>
      <c r="W381">
        <f>IF(AND(T381,V381&lt;&gt;""),IF(COUNTIFS(V$2:V381,V381,T$2:T381,TRUE)=1,MAX(W$1:W380)+1,""),"")</f>
        <v/>
      </c>
      <c r="X381">
        <f>IF(설정!$C$14="","",IFERROR(INDEX('1.산군_붙여넣기'!$A$1:$AZ$1001,ROW(),설정!$C$14)&amp;"",""))</f>
        <v/>
      </c>
      <c r="Y381">
        <f>IF(설정!$C$15="","",IFERROR(INDEX('1.산군_붙여넣기'!$A$1:$AZ$1001,ROW(),설정!$C$15)&amp;"",""))</f>
        <v/>
      </c>
      <c r="Z381">
        <f>IF(T381,V381&amp;"|"&amp;U381,"")</f>
        <v/>
      </c>
      <c r="AA381">
        <f>IF(NOT(Q381),"",IF(NOT(AND(R381,S381)),"✕",IF(OR(OR(AND(L381&lt;&gt;"",M381&lt;&gt;"",N(M381)-N(L381)&gt;설정!$B$27),AND(L381&lt;&gt;"",M381="",설정!$B$24-N(L381)&gt;설정!$B$27)),AND(D381&lt;&gt;"",D381&lt;설정!$B$26)),"△","★")))</f>
        <v/>
      </c>
      <c r="AB381">
        <f>IF(NOT(T381),"",IF(U381="설계사",설정!$B$31,IF(U381="시공사",IF(OR(M381="",설정!$B$24-N(M381)&lt;=설정!$B$28*30.4),설정!$B$32,설정!$B$33),설정!$B$34))+IF(AA381="★",설정!$B$35,0))</f>
        <v/>
      </c>
      <c r="AC381">
        <f>SUBSTITUTE(SUBSTITUTE(SUBSTITUTE(SUBSTITUTE(H381,"(주)",""),"㈜",""),"주식회사","")," ","")</f>
        <v/>
      </c>
      <c r="AD381">
        <f>IF(AND(T381,AC381&lt;&gt;""),IF(COUNTIFS(AC$2:AC381,AC381,T$2:T381,TRUE)=1,MAX(AD$1:AD380)+1,""),"")</f>
        <v/>
      </c>
    </row>
    <row r="382">
      <c r="A382">
        <f>ROW()</f>
        <v/>
      </c>
      <c r="B382">
        <f>IF(설정!$C$4="","",IFERROR(INDEX('1.산군_붙여넣기'!$A$1:$AZ$1001,ROW(),설정!$C$4)&amp;"",""))</f>
        <v/>
      </c>
      <c r="C382">
        <f>IF(설정!$C$5="","",IFERROR(INDEX('1.산군_붙여넣기'!$A$1:$AZ$1001,ROW(),설정!$C$5)&amp;"",""))</f>
        <v/>
      </c>
      <c r="D382" s="5">
        <f>IFERROR(VALUE(SUBSTITUTE(SUBSTITUTE(SUBSTITUTE(IF(설정!$C$6="","",IFERROR(INDEX('1.산군_붙여넣기'!$A$1:$AZ$1001,ROW(),설정!$C$6)&amp;"","")),",",""),"㎡",""),"m2","")),"")</f>
        <v/>
      </c>
      <c r="E382">
        <f>IF(설정!$C$7="","",IFERROR(INDEX('1.산군_붙여넣기'!$A$1:$AZ$1001,ROW(),설정!$C$7)&amp;"",""))</f>
        <v/>
      </c>
      <c r="F382">
        <f>IF(설정!$C$8="","",IFERROR(INDEX('1.산군_붙여넣기'!$A$1:$AZ$1001,ROW(),설정!$C$8)&amp;"",""))</f>
        <v/>
      </c>
      <c r="G382">
        <f>IF(설정!$C$9="","",IFERROR(INDEX('1.산군_붙여넣기'!$A$1:$AZ$1001,ROW(),설정!$C$9)&amp;"",""))</f>
        <v/>
      </c>
      <c r="H382">
        <f>IF(설정!$C$10="","",IFERROR(INDEX('1.산군_붙여넣기'!$A$1:$AZ$1001,ROW(),설정!$C$10)&amp;"",""))</f>
        <v/>
      </c>
      <c r="I382">
        <f>IF(설정!$C$11="","",IFERROR(INDEX('1.산군_붙여넣기'!$A$1:$AZ$1001,ROW(),설정!$C$11)&amp;"",""))</f>
        <v/>
      </c>
      <c r="J382">
        <f>IF(설정!$C$12="","",IFERROR(INDEX('1.산군_붙여넣기'!$A$1:$AZ$1001,ROW(),설정!$C$12)&amp;"",""))</f>
        <v/>
      </c>
      <c r="K382">
        <f>IF(설정!$C$13="","",IFERROR(INDEX('1.산군_붙여넣기'!$A$1:$AZ$1001,ROW(),설정!$C$13)&amp;"",""))</f>
        <v/>
      </c>
      <c r="L382" s="7">
        <f>IF(X382="","",IF(AND(LEN(X382)=8,ISNUMBER(X382*1)),DATE(LEFT(X382,4),MID(X382,5,2),RIGHT(X382,2)),IFERROR(DATEVALUE(SUBSTITUTE(SUBSTITUTE(X382,".","-"),"/","-")),IFERROR(X382*1,""))))</f>
        <v/>
      </c>
      <c r="M382" s="7">
        <f>IF(Y382="","",IF(AND(LEN(Y382)=8,ISNUMBER(Y382*1)),DATE(LEFT(Y382,4),MID(Y382,5,2),RIGHT(Y382,2)),IFERROR(DATEVALUE(SUBSTITUTE(SUBSTITUTE(Y382,".","-"),"/","-")),IFERROR(Y382*1,""))))</f>
        <v/>
      </c>
      <c r="N382">
        <f>IFERROR(LEFT(B382,FIND(" ",B382)-1),B382)</f>
        <v/>
      </c>
      <c r="O382">
        <f>AND(B382&lt;&gt;"",B382&lt;&gt;설정!$B$4,C382&lt;&gt;설정!$B$5)</f>
        <v/>
      </c>
      <c r="P382">
        <f>IF(O382,B382&amp;"|"&amp;C382,"")</f>
        <v/>
      </c>
      <c r="Q382">
        <f>AND(O382,COUNTIF(P383:P$1002,P382)=0)</f>
        <v/>
      </c>
      <c r="R382">
        <f>OR(AND(설정!$A$42&lt;&gt;"",ISNUMBER(SEARCH(설정!$A$42,E382&amp;" "&amp;C382))),AND(설정!$A$43&lt;&gt;"",ISNUMBER(SEARCH(설정!$A$43,E382&amp;" "&amp;C382))),AND(설정!$A$44&lt;&gt;"",ISNUMBER(SEARCH(설정!$A$44,E382&amp;" "&amp;C382))),AND(설정!$A$45&lt;&gt;"",ISNUMBER(SEARCH(설정!$A$45,E382&amp;" "&amp;C382))),AND(설정!$A$46&lt;&gt;"",ISNUMBER(SEARCH(설정!$A$46,E382&amp;" "&amp;C382))),AND(설정!$A$47&lt;&gt;"",ISNUMBER(SEARCH(설정!$A$47,E382&amp;" "&amp;C382))),AND(설정!$A$48&lt;&gt;"",ISNUMBER(SEARCH(설정!$A$48,E382&amp;" "&amp;C382))),AND(설정!$A$49&lt;&gt;"",ISNUMBER(SEARCH(설정!$A$49,E382&amp;" "&amp;C382))),AND(설정!$A$50&lt;&gt;"",ISNUMBER(SEARCH(설정!$A$50,E382&amp;" "&amp;C382))),AND(설정!$A$51&lt;&gt;"",ISNUMBER(SEARCH(설정!$A$51,E382&amp;" "&amp;C382))))</f>
        <v/>
      </c>
      <c r="S382">
        <f>OR(D382="",D382&gt;=설정!$B$19)</f>
        <v/>
      </c>
      <c r="T382">
        <f>AND(Q382,R382,S382)</f>
        <v/>
      </c>
      <c r="U382">
        <f>IF(T382,IF(AND(설정!$A$54&lt;&gt;"",ISNUMBER(SEARCH(설정!$A$54,K382))),설정!$B$54,IF(AND(설정!$A$55&lt;&gt;"",ISNUMBER(SEARCH(설정!$A$55,K382))),설정!$B$55,IF(AND(설정!$A$56&lt;&gt;"",ISNUMBER(SEARCH(설정!$A$56,K382))),설정!$B$56,IF(AND(설정!$A$57&lt;&gt;"",ISNUMBER(SEARCH(설정!$A$57,K382))),설정!$B$57,IF(AND(설정!$A$58&lt;&gt;"",ISNUMBER(SEARCH(설정!$A$58,K382))),설정!$B$58,IF(AND(설정!$A$59&lt;&gt;"",ISNUMBER(SEARCH(설정!$A$59,K382))),설정!$B$59,IF(AND(설정!$A$60&lt;&gt;"",ISNUMBER(SEARCH(설정!$A$60,K382))),설정!$B$60,IF(AND(설정!$A$61&lt;&gt;"",ISNUMBER(SEARCH(설정!$A$61,K382))),설정!$B$61,IF(M382="","설계사","시공사"))))))))),"")</f>
        <v/>
      </c>
      <c r="V382">
        <f>SUBSTITUTE(SUBSTITUTE(SUBSTITUTE(SUBSTITUTE(G382,"(주)",""),"㈜",""),"주식회사","")," ","")</f>
        <v/>
      </c>
      <c r="W382">
        <f>IF(AND(T382,V382&lt;&gt;""),IF(COUNTIFS(V$2:V382,V382,T$2:T382,TRUE)=1,MAX(W$1:W381)+1,""),"")</f>
        <v/>
      </c>
      <c r="X382">
        <f>IF(설정!$C$14="","",IFERROR(INDEX('1.산군_붙여넣기'!$A$1:$AZ$1001,ROW(),설정!$C$14)&amp;"",""))</f>
        <v/>
      </c>
      <c r="Y382">
        <f>IF(설정!$C$15="","",IFERROR(INDEX('1.산군_붙여넣기'!$A$1:$AZ$1001,ROW(),설정!$C$15)&amp;"",""))</f>
        <v/>
      </c>
      <c r="Z382">
        <f>IF(T382,V382&amp;"|"&amp;U382,"")</f>
        <v/>
      </c>
      <c r="AA382">
        <f>IF(NOT(Q382),"",IF(NOT(AND(R382,S382)),"✕",IF(OR(OR(AND(L382&lt;&gt;"",M382&lt;&gt;"",N(M382)-N(L382)&gt;설정!$B$27),AND(L382&lt;&gt;"",M382="",설정!$B$24-N(L382)&gt;설정!$B$27)),AND(D382&lt;&gt;"",D382&lt;설정!$B$26)),"△","★")))</f>
        <v/>
      </c>
      <c r="AB382">
        <f>IF(NOT(T382),"",IF(U382="설계사",설정!$B$31,IF(U382="시공사",IF(OR(M382="",설정!$B$24-N(M382)&lt;=설정!$B$28*30.4),설정!$B$32,설정!$B$33),설정!$B$34))+IF(AA382="★",설정!$B$35,0))</f>
        <v/>
      </c>
      <c r="AC382">
        <f>SUBSTITUTE(SUBSTITUTE(SUBSTITUTE(SUBSTITUTE(H382,"(주)",""),"㈜",""),"주식회사","")," ","")</f>
        <v/>
      </c>
      <c r="AD382">
        <f>IF(AND(T382,AC382&lt;&gt;""),IF(COUNTIFS(AC$2:AC382,AC382,T$2:T382,TRUE)=1,MAX(AD$1:AD381)+1,""),"")</f>
        <v/>
      </c>
    </row>
    <row r="383">
      <c r="A383">
        <f>ROW()</f>
        <v/>
      </c>
      <c r="B383">
        <f>IF(설정!$C$4="","",IFERROR(INDEX('1.산군_붙여넣기'!$A$1:$AZ$1001,ROW(),설정!$C$4)&amp;"",""))</f>
        <v/>
      </c>
      <c r="C383">
        <f>IF(설정!$C$5="","",IFERROR(INDEX('1.산군_붙여넣기'!$A$1:$AZ$1001,ROW(),설정!$C$5)&amp;"",""))</f>
        <v/>
      </c>
      <c r="D383" s="5">
        <f>IFERROR(VALUE(SUBSTITUTE(SUBSTITUTE(SUBSTITUTE(IF(설정!$C$6="","",IFERROR(INDEX('1.산군_붙여넣기'!$A$1:$AZ$1001,ROW(),설정!$C$6)&amp;"","")),",",""),"㎡",""),"m2","")),"")</f>
        <v/>
      </c>
      <c r="E383">
        <f>IF(설정!$C$7="","",IFERROR(INDEX('1.산군_붙여넣기'!$A$1:$AZ$1001,ROW(),설정!$C$7)&amp;"",""))</f>
        <v/>
      </c>
      <c r="F383">
        <f>IF(설정!$C$8="","",IFERROR(INDEX('1.산군_붙여넣기'!$A$1:$AZ$1001,ROW(),설정!$C$8)&amp;"",""))</f>
        <v/>
      </c>
      <c r="G383">
        <f>IF(설정!$C$9="","",IFERROR(INDEX('1.산군_붙여넣기'!$A$1:$AZ$1001,ROW(),설정!$C$9)&amp;"",""))</f>
        <v/>
      </c>
      <c r="H383">
        <f>IF(설정!$C$10="","",IFERROR(INDEX('1.산군_붙여넣기'!$A$1:$AZ$1001,ROW(),설정!$C$10)&amp;"",""))</f>
        <v/>
      </c>
      <c r="I383">
        <f>IF(설정!$C$11="","",IFERROR(INDEX('1.산군_붙여넣기'!$A$1:$AZ$1001,ROW(),설정!$C$11)&amp;"",""))</f>
        <v/>
      </c>
      <c r="J383">
        <f>IF(설정!$C$12="","",IFERROR(INDEX('1.산군_붙여넣기'!$A$1:$AZ$1001,ROW(),설정!$C$12)&amp;"",""))</f>
        <v/>
      </c>
      <c r="K383">
        <f>IF(설정!$C$13="","",IFERROR(INDEX('1.산군_붙여넣기'!$A$1:$AZ$1001,ROW(),설정!$C$13)&amp;"",""))</f>
        <v/>
      </c>
      <c r="L383" s="7">
        <f>IF(X383="","",IF(AND(LEN(X383)=8,ISNUMBER(X383*1)),DATE(LEFT(X383,4),MID(X383,5,2),RIGHT(X383,2)),IFERROR(DATEVALUE(SUBSTITUTE(SUBSTITUTE(X383,".","-"),"/","-")),IFERROR(X383*1,""))))</f>
        <v/>
      </c>
      <c r="M383" s="7">
        <f>IF(Y383="","",IF(AND(LEN(Y383)=8,ISNUMBER(Y383*1)),DATE(LEFT(Y383,4),MID(Y383,5,2),RIGHT(Y383,2)),IFERROR(DATEVALUE(SUBSTITUTE(SUBSTITUTE(Y383,".","-"),"/","-")),IFERROR(Y383*1,""))))</f>
        <v/>
      </c>
      <c r="N383">
        <f>IFERROR(LEFT(B383,FIND(" ",B383)-1),B383)</f>
        <v/>
      </c>
      <c r="O383">
        <f>AND(B383&lt;&gt;"",B383&lt;&gt;설정!$B$4,C383&lt;&gt;설정!$B$5)</f>
        <v/>
      </c>
      <c r="P383">
        <f>IF(O383,B383&amp;"|"&amp;C383,"")</f>
        <v/>
      </c>
      <c r="Q383">
        <f>AND(O383,COUNTIF(P384:P$1002,P383)=0)</f>
        <v/>
      </c>
      <c r="R383">
        <f>OR(AND(설정!$A$42&lt;&gt;"",ISNUMBER(SEARCH(설정!$A$42,E383&amp;" "&amp;C383))),AND(설정!$A$43&lt;&gt;"",ISNUMBER(SEARCH(설정!$A$43,E383&amp;" "&amp;C383))),AND(설정!$A$44&lt;&gt;"",ISNUMBER(SEARCH(설정!$A$44,E383&amp;" "&amp;C383))),AND(설정!$A$45&lt;&gt;"",ISNUMBER(SEARCH(설정!$A$45,E383&amp;" "&amp;C383))),AND(설정!$A$46&lt;&gt;"",ISNUMBER(SEARCH(설정!$A$46,E383&amp;" "&amp;C383))),AND(설정!$A$47&lt;&gt;"",ISNUMBER(SEARCH(설정!$A$47,E383&amp;" "&amp;C383))),AND(설정!$A$48&lt;&gt;"",ISNUMBER(SEARCH(설정!$A$48,E383&amp;" "&amp;C383))),AND(설정!$A$49&lt;&gt;"",ISNUMBER(SEARCH(설정!$A$49,E383&amp;" "&amp;C383))),AND(설정!$A$50&lt;&gt;"",ISNUMBER(SEARCH(설정!$A$50,E383&amp;" "&amp;C383))),AND(설정!$A$51&lt;&gt;"",ISNUMBER(SEARCH(설정!$A$51,E383&amp;" "&amp;C383))))</f>
        <v/>
      </c>
      <c r="S383">
        <f>OR(D383="",D383&gt;=설정!$B$19)</f>
        <v/>
      </c>
      <c r="T383">
        <f>AND(Q383,R383,S383)</f>
        <v/>
      </c>
      <c r="U383">
        <f>IF(T383,IF(AND(설정!$A$54&lt;&gt;"",ISNUMBER(SEARCH(설정!$A$54,K383))),설정!$B$54,IF(AND(설정!$A$55&lt;&gt;"",ISNUMBER(SEARCH(설정!$A$55,K383))),설정!$B$55,IF(AND(설정!$A$56&lt;&gt;"",ISNUMBER(SEARCH(설정!$A$56,K383))),설정!$B$56,IF(AND(설정!$A$57&lt;&gt;"",ISNUMBER(SEARCH(설정!$A$57,K383))),설정!$B$57,IF(AND(설정!$A$58&lt;&gt;"",ISNUMBER(SEARCH(설정!$A$58,K383))),설정!$B$58,IF(AND(설정!$A$59&lt;&gt;"",ISNUMBER(SEARCH(설정!$A$59,K383))),설정!$B$59,IF(AND(설정!$A$60&lt;&gt;"",ISNUMBER(SEARCH(설정!$A$60,K383))),설정!$B$60,IF(AND(설정!$A$61&lt;&gt;"",ISNUMBER(SEARCH(설정!$A$61,K383))),설정!$B$61,IF(M383="","설계사","시공사"))))))))),"")</f>
        <v/>
      </c>
      <c r="V383">
        <f>SUBSTITUTE(SUBSTITUTE(SUBSTITUTE(SUBSTITUTE(G383,"(주)",""),"㈜",""),"주식회사","")," ","")</f>
        <v/>
      </c>
      <c r="W383">
        <f>IF(AND(T383,V383&lt;&gt;""),IF(COUNTIFS(V$2:V383,V383,T$2:T383,TRUE)=1,MAX(W$1:W382)+1,""),"")</f>
        <v/>
      </c>
      <c r="X383">
        <f>IF(설정!$C$14="","",IFERROR(INDEX('1.산군_붙여넣기'!$A$1:$AZ$1001,ROW(),설정!$C$14)&amp;"",""))</f>
        <v/>
      </c>
      <c r="Y383">
        <f>IF(설정!$C$15="","",IFERROR(INDEX('1.산군_붙여넣기'!$A$1:$AZ$1001,ROW(),설정!$C$15)&amp;"",""))</f>
        <v/>
      </c>
      <c r="Z383">
        <f>IF(T383,V383&amp;"|"&amp;U383,"")</f>
        <v/>
      </c>
      <c r="AA383">
        <f>IF(NOT(Q383),"",IF(NOT(AND(R383,S383)),"✕",IF(OR(OR(AND(L383&lt;&gt;"",M383&lt;&gt;"",N(M383)-N(L383)&gt;설정!$B$27),AND(L383&lt;&gt;"",M383="",설정!$B$24-N(L383)&gt;설정!$B$27)),AND(D383&lt;&gt;"",D383&lt;설정!$B$26)),"△","★")))</f>
        <v/>
      </c>
      <c r="AB383">
        <f>IF(NOT(T383),"",IF(U383="설계사",설정!$B$31,IF(U383="시공사",IF(OR(M383="",설정!$B$24-N(M383)&lt;=설정!$B$28*30.4),설정!$B$32,설정!$B$33),설정!$B$34))+IF(AA383="★",설정!$B$35,0))</f>
        <v/>
      </c>
      <c r="AC383">
        <f>SUBSTITUTE(SUBSTITUTE(SUBSTITUTE(SUBSTITUTE(H383,"(주)",""),"㈜",""),"주식회사","")," ","")</f>
        <v/>
      </c>
      <c r="AD383">
        <f>IF(AND(T383,AC383&lt;&gt;""),IF(COUNTIFS(AC$2:AC383,AC383,T$2:T383,TRUE)=1,MAX(AD$1:AD382)+1,""),"")</f>
        <v/>
      </c>
    </row>
    <row r="384">
      <c r="A384">
        <f>ROW()</f>
        <v/>
      </c>
      <c r="B384">
        <f>IF(설정!$C$4="","",IFERROR(INDEX('1.산군_붙여넣기'!$A$1:$AZ$1001,ROW(),설정!$C$4)&amp;"",""))</f>
        <v/>
      </c>
      <c r="C384">
        <f>IF(설정!$C$5="","",IFERROR(INDEX('1.산군_붙여넣기'!$A$1:$AZ$1001,ROW(),설정!$C$5)&amp;"",""))</f>
        <v/>
      </c>
      <c r="D384" s="5">
        <f>IFERROR(VALUE(SUBSTITUTE(SUBSTITUTE(SUBSTITUTE(IF(설정!$C$6="","",IFERROR(INDEX('1.산군_붙여넣기'!$A$1:$AZ$1001,ROW(),설정!$C$6)&amp;"","")),",",""),"㎡",""),"m2","")),"")</f>
        <v/>
      </c>
      <c r="E384">
        <f>IF(설정!$C$7="","",IFERROR(INDEX('1.산군_붙여넣기'!$A$1:$AZ$1001,ROW(),설정!$C$7)&amp;"",""))</f>
        <v/>
      </c>
      <c r="F384">
        <f>IF(설정!$C$8="","",IFERROR(INDEX('1.산군_붙여넣기'!$A$1:$AZ$1001,ROW(),설정!$C$8)&amp;"",""))</f>
        <v/>
      </c>
      <c r="G384">
        <f>IF(설정!$C$9="","",IFERROR(INDEX('1.산군_붙여넣기'!$A$1:$AZ$1001,ROW(),설정!$C$9)&amp;"",""))</f>
        <v/>
      </c>
      <c r="H384">
        <f>IF(설정!$C$10="","",IFERROR(INDEX('1.산군_붙여넣기'!$A$1:$AZ$1001,ROW(),설정!$C$10)&amp;"",""))</f>
        <v/>
      </c>
      <c r="I384">
        <f>IF(설정!$C$11="","",IFERROR(INDEX('1.산군_붙여넣기'!$A$1:$AZ$1001,ROW(),설정!$C$11)&amp;"",""))</f>
        <v/>
      </c>
      <c r="J384">
        <f>IF(설정!$C$12="","",IFERROR(INDEX('1.산군_붙여넣기'!$A$1:$AZ$1001,ROW(),설정!$C$12)&amp;"",""))</f>
        <v/>
      </c>
      <c r="K384">
        <f>IF(설정!$C$13="","",IFERROR(INDEX('1.산군_붙여넣기'!$A$1:$AZ$1001,ROW(),설정!$C$13)&amp;"",""))</f>
        <v/>
      </c>
      <c r="L384" s="7">
        <f>IF(X384="","",IF(AND(LEN(X384)=8,ISNUMBER(X384*1)),DATE(LEFT(X384,4),MID(X384,5,2),RIGHT(X384,2)),IFERROR(DATEVALUE(SUBSTITUTE(SUBSTITUTE(X384,".","-"),"/","-")),IFERROR(X384*1,""))))</f>
        <v/>
      </c>
      <c r="M384" s="7">
        <f>IF(Y384="","",IF(AND(LEN(Y384)=8,ISNUMBER(Y384*1)),DATE(LEFT(Y384,4),MID(Y384,5,2),RIGHT(Y384,2)),IFERROR(DATEVALUE(SUBSTITUTE(SUBSTITUTE(Y384,".","-"),"/","-")),IFERROR(Y384*1,""))))</f>
        <v/>
      </c>
      <c r="N384">
        <f>IFERROR(LEFT(B384,FIND(" ",B384)-1),B384)</f>
        <v/>
      </c>
      <c r="O384">
        <f>AND(B384&lt;&gt;"",B384&lt;&gt;설정!$B$4,C384&lt;&gt;설정!$B$5)</f>
        <v/>
      </c>
      <c r="P384">
        <f>IF(O384,B384&amp;"|"&amp;C384,"")</f>
        <v/>
      </c>
      <c r="Q384">
        <f>AND(O384,COUNTIF(P385:P$1002,P384)=0)</f>
        <v/>
      </c>
      <c r="R384">
        <f>OR(AND(설정!$A$42&lt;&gt;"",ISNUMBER(SEARCH(설정!$A$42,E384&amp;" "&amp;C384))),AND(설정!$A$43&lt;&gt;"",ISNUMBER(SEARCH(설정!$A$43,E384&amp;" "&amp;C384))),AND(설정!$A$44&lt;&gt;"",ISNUMBER(SEARCH(설정!$A$44,E384&amp;" "&amp;C384))),AND(설정!$A$45&lt;&gt;"",ISNUMBER(SEARCH(설정!$A$45,E384&amp;" "&amp;C384))),AND(설정!$A$46&lt;&gt;"",ISNUMBER(SEARCH(설정!$A$46,E384&amp;" "&amp;C384))),AND(설정!$A$47&lt;&gt;"",ISNUMBER(SEARCH(설정!$A$47,E384&amp;" "&amp;C384))),AND(설정!$A$48&lt;&gt;"",ISNUMBER(SEARCH(설정!$A$48,E384&amp;" "&amp;C384))),AND(설정!$A$49&lt;&gt;"",ISNUMBER(SEARCH(설정!$A$49,E384&amp;" "&amp;C384))),AND(설정!$A$50&lt;&gt;"",ISNUMBER(SEARCH(설정!$A$50,E384&amp;" "&amp;C384))),AND(설정!$A$51&lt;&gt;"",ISNUMBER(SEARCH(설정!$A$51,E384&amp;" "&amp;C384))))</f>
        <v/>
      </c>
      <c r="S384">
        <f>OR(D384="",D384&gt;=설정!$B$19)</f>
        <v/>
      </c>
      <c r="T384">
        <f>AND(Q384,R384,S384)</f>
        <v/>
      </c>
      <c r="U384">
        <f>IF(T384,IF(AND(설정!$A$54&lt;&gt;"",ISNUMBER(SEARCH(설정!$A$54,K384))),설정!$B$54,IF(AND(설정!$A$55&lt;&gt;"",ISNUMBER(SEARCH(설정!$A$55,K384))),설정!$B$55,IF(AND(설정!$A$56&lt;&gt;"",ISNUMBER(SEARCH(설정!$A$56,K384))),설정!$B$56,IF(AND(설정!$A$57&lt;&gt;"",ISNUMBER(SEARCH(설정!$A$57,K384))),설정!$B$57,IF(AND(설정!$A$58&lt;&gt;"",ISNUMBER(SEARCH(설정!$A$58,K384))),설정!$B$58,IF(AND(설정!$A$59&lt;&gt;"",ISNUMBER(SEARCH(설정!$A$59,K384))),설정!$B$59,IF(AND(설정!$A$60&lt;&gt;"",ISNUMBER(SEARCH(설정!$A$60,K384))),설정!$B$60,IF(AND(설정!$A$61&lt;&gt;"",ISNUMBER(SEARCH(설정!$A$61,K384))),설정!$B$61,IF(M384="","설계사","시공사"))))))))),"")</f>
        <v/>
      </c>
      <c r="V384">
        <f>SUBSTITUTE(SUBSTITUTE(SUBSTITUTE(SUBSTITUTE(G384,"(주)",""),"㈜",""),"주식회사","")," ","")</f>
        <v/>
      </c>
      <c r="W384">
        <f>IF(AND(T384,V384&lt;&gt;""),IF(COUNTIFS(V$2:V384,V384,T$2:T384,TRUE)=1,MAX(W$1:W383)+1,""),"")</f>
        <v/>
      </c>
      <c r="X384">
        <f>IF(설정!$C$14="","",IFERROR(INDEX('1.산군_붙여넣기'!$A$1:$AZ$1001,ROW(),설정!$C$14)&amp;"",""))</f>
        <v/>
      </c>
      <c r="Y384">
        <f>IF(설정!$C$15="","",IFERROR(INDEX('1.산군_붙여넣기'!$A$1:$AZ$1001,ROW(),설정!$C$15)&amp;"",""))</f>
        <v/>
      </c>
      <c r="Z384">
        <f>IF(T384,V384&amp;"|"&amp;U384,"")</f>
        <v/>
      </c>
      <c r="AA384">
        <f>IF(NOT(Q384),"",IF(NOT(AND(R384,S384)),"✕",IF(OR(OR(AND(L384&lt;&gt;"",M384&lt;&gt;"",N(M384)-N(L384)&gt;설정!$B$27),AND(L384&lt;&gt;"",M384="",설정!$B$24-N(L384)&gt;설정!$B$27)),AND(D384&lt;&gt;"",D384&lt;설정!$B$26)),"△","★")))</f>
        <v/>
      </c>
      <c r="AB384">
        <f>IF(NOT(T384),"",IF(U384="설계사",설정!$B$31,IF(U384="시공사",IF(OR(M384="",설정!$B$24-N(M384)&lt;=설정!$B$28*30.4),설정!$B$32,설정!$B$33),설정!$B$34))+IF(AA384="★",설정!$B$35,0))</f>
        <v/>
      </c>
      <c r="AC384">
        <f>SUBSTITUTE(SUBSTITUTE(SUBSTITUTE(SUBSTITUTE(H384,"(주)",""),"㈜",""),"주식회사","")," ","")</f>
        <v/>
      </c>
      <c r="AD384">
        <f>IF(AND(T384,AC384&lt;&gt;""),IF(COUNTIFS(AC$2:AC384,AC384,T$2:T384,TRUE)=1,MAX(AD$1:AD383)+1,""),"")</f>
        <v/>
      </c>
    </row>
    <row r="385">
      <c r="A385">
        <f>ROW()</f>
        <v/>
      </c>
      <c r="B385">
        <f>IF(설정!$C$4="","",IFERROR(INDEX('1.산군_붙여넣기'!$A$1:$AZ$1001,ROW(),설정!$C$4)&amp;"",""))</f>
        <v/>
      </c>
      <c r="C385">
        <f>IF(설정!$C$5="","",IFERROR(INDEX('1.산군_붙여넣기'!$A$1:$AZ$1001,ROW(),설정!$C$5)&amp;"",""))</f>
        <v/>
      </c>
      <c r="D385" s="5">
        <f>IFERROR(VALUE(SUBSTITUTE(SUBSTITUTE(SUBSTITUTE(IF(설정!$C$6="","",IFERROR(INDEX('1.산군_붙여넣기'!$A$1:$AZ$1001,ROW(),설정!$C$6)&amp;"","")),",",""),"㎡",""),"m2","")),"")</f>
        <v/>
      </c>
      <c r="E385">
        <f>IF(설정!$C$7="","",IFERROR(INDEX('1.산군_붙여넣기'!$A$1:$AZ$1001,ROW(),설정!$C$7)&amp;"",""))</f>
        <v/>
      </c>
      <c r="F385">
        <f>IF(설정!$C$8="","",IFERROR(INDEX('1.산군_붙여넣기'!$A$1:$AZ$1001,ROW(),설정!$C$8)&amp;"",""))</f>
        <v/>
      </c>
      <c r="G385">
        <f>IF(설정!$C$9="","",IFERROR(INDEX('1.산군_붙여넣기'!$A$1:$AZ$1001,ROW(),설정!$C$9)&amp;"",""))</f>
        <v/>
      </c>
      <c r="H385">
        <f>IF(설정!$C$10="","",IFERROR(INDEX('1.산군_붙여넣기'!$A$1:$AZ$1001,ROW(),설정!$C$10)&amp;"",""))</f>
        <v/>
      </c>
      <c r="I385">
        <f>IF(설정!$C$11="","",IFERROR(INDEX('1.산군_붙여넣기'!$A$1:$AZ$1001,ROW(),설정!$C$11)&amp;"",""))</f>
        <v/>
      </c>
      <c r="J385">
        <f>IF(설정!$C$12="","",IFERROR(INDEX('1.산군_붙여넣기'!$A$1:$AZ$1001,ROW(),설정!$C$12)&amp;"",""))</f>
        <v/>
      </c>
      <c r="K385">
        <f>IF(설정!$C$13="","",IFERROR(INDEX('1.산군_붙여넣기'!$A$1:$AZ$1001,ROW(),설정!$C$13)&amp;"",""))</f>
        <v/>
      </c>
      <c r="L385" s="7">
        <f>IF(X385="","",IF(AND(LEN(X385)=8,ISNUMBER(X385*1)),DATE(LEFT(X385,4),MID(X385,5,2),RIGHT(X385,2)),IFERROR(DATEVALUE(SUBSTITUTE(SUBSTITUTE(X385,".","-"),"/","-")),IFERROR(X385*1,""))))</f>
        <v/>
      </c>
      <c r="M385" s="7">
        <f>IF(Y385="","",IF(AND(LEN(Y385)=8,ISNUMBER(Y385*1)),DATE(LEFT(Y385,4),MID(Y385,5,2),RIGHT(Y385,2)),IFERROR(DATEVALUE(SUBSTITUTE(SUBSTITUTE(Y385,".","-"),"/","-")),IFERROR(Y385*1,""))))</f>
        <v/>
      </c>
      <c r="N385">
        <f>IFERROR(LEFT(B385,FIND(" ",B385)-1),B385)</f>
        <v/>
      </c>
      <c r="O385">
        <f>AND(B385&lt;&gt;"",B385&lt;&gt;설정!$B$4,C385&lt;&gt;설정!$B$5)</f>
        <v/>
      </c>
      <c r="P385">
        <f>IF(O385,B385&amp;"|"&amp;C385,"")</f>
        <v/>
      </c>
      <c r="Q385">
        <f>AND(O385,COUNTIF(P386:P$1002,P385)=0)</f>
        <v/>
      </c>
      <c r="R385">
        <f>OR(AND(설정!$A$42&lt;&gt;"",ISNUMBER(SEARCH(설정!$A$42,E385&amp;" "&amp;C385))),AND(설정!$A$43&lt;&gt;"",ISNUMBER(SEARCH(설정!$A$43,E385&amp;" "&amp;C385))),AND(설정!$A$44&lt;&gt;"",ISNUMBER(SEARCH(설정!$A$44,E385&amp;" "&amp;C385))),AND(설정!$A$45&lt;&gt;"",ISNUMBER(SEARCH(설정!$A$45,E385&amp;" "&amp;C385))),AND(설정!$A$46&lt;&gt;"",ISNUMBER(SEARCH(설정!$A$46,E385&amp;" "&amp;C385))),AND(설정!$A$47&lt;&gt;"",ISNUMBER(SEARCH(설정!$A$47,E385&amp;" "&amp;C385))),AND(설정!$A$48&lt;&gt;"",ISNUMBER(SEARCH(설정!$A$48,E385&amp;" "&amp;C385))),AND(설정!$A$49&lt;&gt;"",ISNUMBER(SEARCH(설정!$A$49,E385&amp;" "&amp;C385))),AND(설정!$A$50&lt;&gt;"",ISNUMBER(SEARCH(설정!$A$50,E385&amp;" "&amp;C385))),AND(설정!$A$51&lt;&gt;"",ISNUMBER(SEARCH(설정!$A$51,E385&amp;" "&amp;C385))))</f>
        <v/>
      </c>
      <c r="S385">
        <f>OR(D385="",D385&gt;=설정!$B$19)</f>
        <v/>
      </c>
      <c r="T385">
        <f>AND(Q385,R385,S385)</f>
        <v/>
      </c>
      <c r="U385">
        <f>IF(T385,IF(AND(설정!$A$54&lt;&gt;"",ISNUMBER(SEARCH(설정!$A$54,K385))),설정!$B$54,IF(AND(설정!$A$55&lt;&gt;"",ISNUMBER(SEARCH(설정!$A$55,K385))),설정!$B$55,IF(AND(설정!$A$56&lt;&gt;"",ISNUMBER(SEARCH(설정!$A$56,K385))),설정!$B$56,IF(AND(설정!$A$57&lt;&gt;"",ISNUMBER(SEARCH(설정!$A$57,K385))),설정!$B$57,IF(AND(설정!$A$58&lt;&gt;"",ISNUMBER(SEARCH(설정!$A$58,K385))),설정!$B$58,IF(AND(설정!$A$59&lt;&gt;"",ISNUMBER(SEARCH(설정!$A$59,K385))),설정!$B$59,IF(AND(설정!$A$60&lt;&gt;"",ISNUMBER(SEARCH(설정!$A$60,K385))),설정!$B$60,IF(AND(설정!$A$61&lt;&gt;"",ISNUMBER(SEARCH(설정!$A$61,K385))),설정!$B$61,IF(M385="","설계사","시공사"))))))))),"")</f>
        <v/>
      </c>
      <c r="V385">
        <f>SUBSTITUTE(SUBSTITUTE(SUBSTITUTE(SUBSTITUTE(G385,"(주)",""),"㈜",""),"주식회사","")," ","")</f>
        <v/>
      </c>
      <c r="W385">
        <f>IF(AND(T385,V385&lt;&gt;""),IF(COUNTIFS(V$2:V385,V385,T$2:T385,TRUE)=1,MAX(W$1:W384)+1,""),"")</f>
        <v/>
      </c>
      <c r="X385">
        <f>IF(설정!$C$14="","",IFERROR(INDEX('1.산군_붙여넣기'!$A$1:$AZ$1001,ROW(),설정!$C$14)&amp;"",""))</f>
        <v/>
      </c>
      <c r="Y385">
        <f>IF(설정!$C$15="","",IFERROR(INDEX('1.산군_붙여넣기'!$A$1:$AZ$1001,ROW(),설정!$C$15)&amp;"",""))</f>
        <v/>
      </c>
      <c r="Z385">
        <f>IF(T385,V385&amp;"|"&amp;U385,"")</f>
        <v/>
      </c>
      <c r="AA385">
        <f>IF(NOT(Q385),"",IF(NOT(AND(R385,S385)),"✕",IF(OR(OR(AND(L385&lt;&gt;"",M385&lt;&gt;"",N(M385)-N(L385)&gt;설정!$B$27),AND(L385&lt;&gt;"",M385="",설정!$B$24-N(L385)&gt;설정!$B$27)),AND(D385&lt;&gt;"",D385&lt;설정!$B$26)),"△","★")))</f>
        <v/>
      </c>
      <c r="AB385">
        <f>IF(NOT(T385),"",IF(U385="설계사",설정!$B$31,IF(U385="시공사",IF(OR(M385="",설정!$B$24-N(M385)&lt;=설정!$B$28*30.4),설정!$B$32,설정!$B$33),설정!$B$34))+IF(AA385="★",설정!$B$35,0))</f>
        <v/>
      </c>
      <c r="AC385">
        <f>SUBSTITUTE(SUBSTITUTE(SUBSTITUTE(SUBSTITUTE(H385,"(주)",""),"㈜",""),"주식회사","")," ","")</f>
        <v/>
      </c>
      <c r="AD385">
        <f>IF(AND(T385,AC385&lt;&gt;""),IF(COUNTIFS(AC$2:AC385,AC385,T$2:T385,TRUE)=1,MAX(AD$1:AD384)+1,""),"")</f>
        <v/>
      </c>
    </row>
    <row r="386">
      <c r="A386">
        <f>ROW()</f>
        <v/>
      </c>
      <c r="B386">
        <f>IF(설정!$C$4="","",IFERROR(INDEX('1.산군_붙여넣기'!$A$1:$AZ$1001,ROW(),설정!$C$4)&amp;"",""))</f>
        <v/>
      </c>
      <c r="C386">
        <f>IF(설정!$C$5="","",IFERROR(INDEX('1.산군_붙여넣기'!$A$1:$AZ$1001,ROW(),설정!$C$5)&amp;"",""))</f>
        <v/>
      </c>
      <c r="D386" s="5">
        <f>IFERROR(VALUE(SUBSTITUTE(SUBSTITUTE(SUBSTITUTE(IF(설정!$C$6="","",IFERROR(INDEX('1.산군_붙여넣기'!$A$1:$AZ$1001,ROW(),설정!$C$6)&amp;"","")),",",""),"㎡",""),"m2","")),"")</f>
        <v/>
      </c>
      <c r="E386">
        <f>IF(설정!$C$7="","",IFERROR(INDEX('1.산군_붙여넣기'!$A$1:$AZ$1001,ROW(),설정!$C$7)&amp;"",""))</f>
        <v/>
      </c>
      <c r="F386">
        <f>IF(설정!$C$8="","",IFERROR(INDEX('1.산군_붙여넣기'!$A$1:$AZ$1001,ROW(),설정!$C$8)&amp;"",""))</f>
        <v/>
      </c>
      <c r="G386">
        <f>IF(설정!$C$9="","",IFERROR(INDEX('1.산군_붙여넣기'!$A$1:$AZ$1001,ROW(),설정!$C$9)&amp;"",""))</f>
        <v/>
      </c>
      <c r="H386">
        <f>IF(설정!$C$10="","",IFERROR(INDEX('1.산군_붙여넣기'!$A$1:$AZ$1001,ROW(),설정!$C$10)&amp;"",""))</f>
        <v/>
      </c>
      <c r="I386">
        <f>IF(설정!$C$11="","",IFERROR(INDEX('1.산군_붙여넣기'!$A$1:$AZ$1001,ROW(),설정!$C$11)&amp;"",""))</f>
        <v/>
      </c>
      <c r="J386">
        <f>IF(설정!$C$12="","",IFERROR(INDEX('1.산군_붙여넣기'!$A$1:$AZ$1001,ROW(),설정!$C$12)&amp;"",""))</f>
        <v/>
      </c>
      <c r="K386">
        <f>IF(설정!$C$13="","",IFERROR(INDEX('1.산군_붙여넣기'!$A$1:$AZ$1001,ROW(),설정!$C$13)&amp;"",""))</f>
        <v/>
      </c>
      <c r="L386" s="7">
        <f>IF(X386="","",IF(AND(LEN(X386)=8,ISNUMBER(X386*1)),DATE(LEFT(X386,4),MID(X386,5,2),RIGHT(X386,2)),IFERROR(DATEVALUE(SUBSTITUTE(SUBSTITUTE(X386,".","-"),"/","-")),IFERROR(X386*1,""))))</f>
        <v/>
      </c>
      <c r="M386" s="7">
        <f>IF(Y386="","",IF(AND(LEN(Y386)=8,ISNUMBER(Y386*1)),DATE(LEFT(Y386,4),MID(Y386,5,2),RIGHT(Y386,2)),IFERROR(DATEVALUE(SUBSTITUTE(SUBSTITUTE(Y386,".","-"),"/","-")),IFERROR(Y386*1,""))))</f>
        <v/>
      </c>
      <c r="N386">
        <f>IFERROR(LEFT(B386,FIND(" ",B386)-1),B386)</f>
        <v/>
      </c>
      <c r="O386">
        <f>AND(B386&lt;&gt;"",B386&lt;&gt;설정!$B$4,C386&lt;&gt;설정!$B$5)</f>
        <v/>
      </c>
      <c r="P386">
        <f>IF(O386,B386&amp;"|"&amp;C386,"")</f>
        <v/>
      </c>
      <c r="Q386">
        <f>AND(O386,COUNTIF(P387:P$1002,P386)=0)</f>
        <v/>
      </c>
      <c r="R386">
        <f>OR(AND(설정!$A$42&lt;&gt;"",ISNUMBER(SEARCH(설정!$A$42,E386&amp;" "&amp;C386))),AND(설정!$A$43&lt;&gt;"",ISNUMBER(SEARCH(설정!$A$43,E386&amp;" "&amp;C386))),AND(설정!$A$44&lt;&gt;"",ISNUMBER(SEARCH(설정!$A$44,E386&amp;" "&amp;C386))),AND(설정!$A$45&lt;&gt;"",ISNUMBER(SEARCH(설정!$A$45,E386&amp;" "&amp;C386))),AND(설정!$A$46&lt;&gt;"",ISNUMBER(SEARCH(설정!$A$46,E386&amp;" "&amp;C386))),AND(설정!$A$47&lt;&gt;"",ISNUMBER(SEARCH(설정!$A$47,E386&amp;" "&amp;C386))),AND(설정!$A$48&lt;&gt;"",ISNUMBER(SEARCH(설정!$A$48,E386&amp;" "&amp;C386))),AND(설정!$A$49&lt;&gt;"",ISNUMBER(SEARCH(설정!$A$49,E386&amp;" "&amp;C386))),AND(설정!$A$50&lt;&gt;"",ISNUMBER(SEARCH(설정!$A$50,E386&amp;" "&amp;C386))),AND(설정!$A$51&lt;&gt;"",ISNUMBER(SEARCH(설정!$A$51,E386&amp;" "&amp;C386))))</f>
        <v/>
      </c>
      <c r="S386">
        <f>OR(D386="",D386&gt;=설정!$B$19)</f>
        <v/>
      </c>
      <c r="T386">
        <f>AND(Q386,R386,S386)</f>
        <v/>
      </c>
      <c r="U386">
        <f>IF(T386,IF(AND(설정!$A$54&lt;&gt;"",ISNUMBER(SEARCH(설정!$A$54,K386))),설정!$B$54,IF(AND(설정!$A$55&lt;&gt;"",ISNUMBER(SEARCH(설정!$A$55,K386))),설정!$B$55,IF(AND(설정!$A$56&lt;&gt;"",ISNUMBER(SEARCH(설정!$A$56,K386))),설정!$B$56,IF(AND(설정!$A$57&lt;&gt;"",ISNUMBER(SEARCH(설정!$A$57,K386))),설정!$B$57,IF(AND(설정!$A$58&lt;&gt;"",ISNUMBER(SEARCH(설정!$A$58,K386))),설정!$B$58,IF(AND(설정!$A$59&lt;&gt;"",ISNUMBER(SEARCH(설정!$A$59,K386))),설정!$B$59,IF(AND(설정!$A$60&lt;&gt;"",ISNUMBER(SEARCH(설정!$A$60,K386))),설정!$B$60,IF(AND(설정!$A$61&lt;&gt;"",ISNUMBER(SEARCH(설정!$A$61,K386))),설정!$B$61,IF(M386="","설계사","시공사"))))))))),"")</f>
        <v/>
      </c>
      <c r="V386">
        <f>SUBSTITUTE(SUBSTITUTE(SUBSTITUTE(SUBSTITUTE(G386,"(주)",""),"㈜",""),"주식회사","")," ","")</f>
        <v/>
      </c>
      <c r="W386">
        <f>IF(AND(T386,V386&lt;&gt;""),IF(COUNTIFS(V$2:V386,V386,T$2:T386,TRUE)=1,MAX(W$1:W385)+1,""),"")</f>
        <v/>
      </c>
      <c r="X386">
        <f>IF(설정!$C$14="","",IFERROR(INDEX('1.산군_붙여넣기'!$A$1:$AZ$1001,ROW(),설정!$C$14)&amp;"",""))</f>
        <v/>
      </c>
      <c r="Y386">
        <f>IF(설정!$C$15="","",IFERROR(INDEX('1.산군_붙여넣기'!$A$1:$AZ$1001,ROW(),설정!$C$15)&amp;"",""))</f>
        <v/>
      </c>
      <c r="Z386">
        <f>IF(T386,V386&amp;"|"&amp;U386,"")</f>
        <v/>
      </c>
      <c r="AA386">
        <f>IF(NOT(Q386),"",IF(NOT(AND(R386,S386)),"✕",IF(OR(OR(AND(L386&lt;&gt;"",M386&lt;&gt;"",N(M386)-N(L386)&gt;설정!$B$27),AND(L386&lt;&gt;"",M386="",설정!$B$24-N(L386)&gt;설정!$B$27)),AND(D386&lt;&gt;"",D386&lt;설정!$B$26)),"△","★")))</f>
        <v/>
      </c>
      <c r="AB386">
        <f>IF(NOT(T386),"",IF(U386="설계사",설정!$B$31,IF(U386="시공사",IF(OR(M386="",설정!$B$24-N(M386)&lt;=설정!$B$28*30.4),설정!$B$32,설정!$B$33),설정!$B$34))+IF(AA386="★",설정!$B$35,0))</f>
        <v/>
      </c>
      <c r="AC386">
        <f>SUBSTITUTE(SUBSTITUTE(SUBSTITUTE(SUBSTITUTE(H386,"(주)",""),"㈜",""),"주식회사","")," ","")</f>
        <v/>
      </c>
      <c r="AD386">
        <f>IF(AND(T386,AC386&lt;&gt;""),IF(COUNTIFS(AC$2:AC386,AC386,T$2:T386,TRUE)=1,MAX(AD$1:AD385)+1,""),"")</f>
        <v/>
      </c>
    </row>
    <row r="387">
      <c r="A387">
        <f>ROW()</f>
        <v/>
      </c>
      <c r="B387">
        <f>IF(설정!$C$4="","",IFERROR(INDEX('1.산군_붙여넣기'!$A$1:$AZ$1001,ROW(),설정!$C$4)&amp;"",""))</f>
        <v/>
      </c>
      <c r="C387">
        <f>IF(설정!$C$5="","",IFERROR(INDEX('1.산군_붙여넣기'!$A$1:$AZ$1001,ROW(),설정!$C$5)&amp;"",""))</f>
        <v/>
      </c>
      <c r="D387" s="5">
        <f>IFERROR(VALUE(SUBSTITUTE(SUBSTITUTE(SUBSTITUTE(IF(설정!$C$6="","",IFERROR(INDEX('1.산군_붙여넣기'!$A$1:$AZ$1001,ROW(),설정!$C$6)&amp;"","")),",",""),"㎡",""),"m2","")),"")</f>
        <v/>
      </c>
      <c r="E387">
        <f>IF(설정!$C$7="","",IFERROR(INDEX('1.산군_붙여넣기'!$A$1:$AZ$1001,ROW(),설정!$C$7)&amp;"",""))</f>
        <v/>
      </c>
      <c r="F387">
        <f>IF(설정!$C$8="","",IFERROR(INDEX('1.산군_붙여넣기'!$A$1:$AZ$1001,ROW(),설정!$C$8)&amp;"",""))</f>
        <v/>
      </c>
      <c r="G387">
        <f>IF(설정!$C$9="","",IFERROR(INDEX('1.산군_붙여넣기'!$A$1:$AZ$1001,ROW(),설정!$C$9)&amp;"",""))</f>
        <v/>
      </c>
      <c r="H387">
        <f>IF(설정!$C$10="","",IFERROR(INDEX('1.산군_붙여넣기'!$A$1:$AZ$1001,ROW(),설정!$C$10)&amp;"",""))</f>
        <v/>
      </c>
      <c r="I387">
        <f>IF(설정!$C$11="","",IFERROR(INDEX('1.산군_붙여넣기'!$A$1:$AZ$1001,ROW(),설정!$C$11)&amp;"",""))</f>
        <v/>
      </c>
      <c r="J387">
        <f>IF(설정!$C$12="","",IFERROR(INDEX('1.산군_붙여넣기'!$A$1:$AZ$1001,ROW(),설정!$C$12)&amp;"",""))</f>
        <v/>
      </c>
      <c r="K387">
        <f>IF(설정!$C$13="","",IFERROR(INDEX('1.산군_붙여넣기'!$A$1:$AZ$1001,ROW(),설정!$C$13)&amp;"",""))</f>
        <v/>
      </c>
      <c r="L387" s="7">
        <f>IF(X387="","",IF(AND(LEN(X387)=8,ISNUMBER(X387*1)),DATE(LEFT(X387,4),MID(X387,5,2),RIGHT(X387,2)),IFERROR(DATEVALUE(SUBSTITUTE(SUBSTITUTE(X387,".","-"),"/","-")),IFERROR(X387*1,""))))</f>
        <v/>
      </c>
      <c r="M387" s="7">
        <f>IF(Y387="","",IF(AND(LEN(Y387)=8,ISNUMBER(Y387*1)),DATE(LEFT(Y387,4),MID(Y387,5,2),RIGHT(Y387,2)),IFERROR(DATEVALUE(SUBSTITUTE(SUBSTITUTE(Y387,".","-"),"/","-")),IFERROR(Y387*1,""))))</f>
        <v/>
      </c>
      <c r="N387">
        <f>IFERROR(LEFT(B387,FIND(" ",B387)-1),B387)</f>
        <v/>
      </c>
      <c r="O387">
        <f>AND(B387&lt;&gt;"",B387&lt;&gt;설정!$B$4,C387&lt;&gt;설정!$B$5)</f>
        <v/>
      </c>
      <c r="P387">
        <f>IF(O387,B387&amp;"|"&amp;C387,"")</f>
        <v/>
      </c>
      <c r="Q387">
        <f>AND(O387,COUNTIF(P388:P$1002,P387)=0)</f>
        <v/>
      </c>
      <c r="R387">
        <f>OR(AND(설정!$A$42&lt;&gt;"",ISNUMBER(SEARCH(설정!$A$42,E387&amp;" "&amp;C387))),AND(설정!$A$43&lt;&gt;"",ISNUMBER(SEARCH(설정!$A$43,E387&amp;" "&amp;C387))),AND(설정!$A$44&lt;&gt;"",ISNUMBER(SEARCH(설정!$A$44,E387&amp;" "&amp;C387))),AND(설정!$A$45&lt;&gt;"",ISNUMBER(SEARCH(설정!$A$45,E387&amp;" "&amp;C387))),AND(설정!$A$46&lt;&gt;"",ISNUMBER(SEARCH(설정!$A$46,E387&amp;" "&amp;C387))),AND(설정!$A$47&lt;&gt;"",ISNUMBER(SEARCH(설정!$A$47,E387&amp;" "&amp;C387))),AND(설정!$A$48&lt;&gt;"",ISNUMBER(SEARCH(설정!$A$48,E387&amp;" "&amp;C387))),AND(설정!$A$49&lt;&gt;"",ISNUMBER(SEARCH(설정!$A$49,E387&amp;" "&amp;C387))),AND(설정!$A$50&lt;&gt;"",ISNUMBER(SEARCH(설정!$A$50,E387&amp;" "&amp;C387))),AND(설정!$A$51&lt;&gt;"",ISNUMBER(SEARCH(설정!$A$51,E387&amp;" "&amp;C387))))</f>
        <v/>
      </c>
      <c r="S387">
        <f>OR(D387="",D387&gt;=설정!$B$19)</f>
        <v/>
      </c>
      <c r="T387">
        <f>AND(Q387,R387,S387)</f>
        <v/>
      </c>
      <c r="U387">
        <f>IF(T387,IF(AND(설정!$A$54&lt;&gt;"",ISNUMBER(SEARCH(설정!$A$54,K387))),설정!$B$54,IF(AND(설정!$A$55&lt;&gt;"",ISNUMBER(SEARCH(설정!$A$55,K387))),설정!$B$55,IF(AND(설정!$A$56&lt;&gt;"",ISNUMBER(SEARCH(설정!$A$56,K387))),설정!$B$56,IF(AND(설정!$A$57&lt;&gt;"",ISNUMBER(SEARCH(설정!$A$57,K387))),설정!$B$57,IF(AND(설정!$A$58&lt;&gt;"",ISNUMBER(SEARCH(설정!$A$58,K387))),설정!$B$58,IF(AND(설정!$A$59&lt;&gt;"",ISNUMBER(SEARCH(설정!$A$59,K387))),설정!$B$59,IF(AND(설정!$A$60&lt;&gt;"",ISNUMBER(SEARCH(설정!$A$60,K387))),설정!$B$60,IF(AND(설정!$A$61&lt;&gt;"",ISNUMBER(SEARCH(설정!$A$61,K387))),설정!$B$61,IF(M387="","설계사","시공사"))))))))),"")</f>
        <v/>
      </c>
      <c r="V387">
        <f>SUBSTITUTE(SUBSTITUTE(SUBSTITUTE(SUBSTITUTE(G387,"(주)",""),"㈜",""),"주식회사","")," ","")</f>
        <v/>
      </c>
      <c r="W387">
        <f>IF(AND(T387,V387&lt;&gt;""),IF(COUNTIFS(V$2:V387,V387,T$2:T387,TRUE)=1,MAX(W$1:W386)+1,""),"")</f>
        <v/>
      </c>
      <c r="X387">
        <f>IF(설정!$C$14="","",IFERROR(INDEX('1.산군_붙여넣기'!$A$1:$AZ$1001,ROW(),설정!$C$14)&amp;"",""))</f>
        <v/>
      </c>
      <c r="Y387">
        <f>IF(설정!$C$15="","",IFERROR(INDEX('1.산군_붙여넣기'!$A$1:$AZ$1001,ROW(),설정!$C$15)&amp;"",""))</f>
        <v/>
      </c>
      <c r="Z387">
        <f>IF(T387,V387&amp;"|"&amp;U387,"")</f>
        <v/>
      </c>
      <c r="AA387">
        <f>IF(NOT(Q387),"",IF(NOT(AND(R387,S387)),"✕",IF(OR(OR(AND(L387&lt;&gt;"",M387&lt;&gt;"",N(M387)-N(L387)&gt;설정!$B$27),AND(L387&lt;&gt;"",M387="",설정!$B$24-N(L387)&gt;설정!$B$27)),AND(D387&lt;&gt;"",D387&lt;설정!$B$26)),"△","★")))</f>
        <v/>
      </c>
      <c r="AB387">
        <f>IF(NOT(T387),"",IF(U387="설계사",설정!$B$31,IF(U387="시공사",IF(OR(M387="",설정!$B$24-N(M387)&lt;=설정!$B$28*30.4),설정!$B$32,설정!$B$33),설정!$B$34))+IF(AA387="★",설정!$B$35,0))</f>
        <v/>
      </c>
      <c r="AC387">
        <f>SUBSTITUTE(SUBSTITUTE(SUBSTITUTE(SUBSTITUTE(H387,"(주)",""),"㈜",""),"주식회사","")," ","")</f>
        <v/>
      </c>
      <c r="AD387">
        <f>IF(AND(T387,AC387&lt;&gt;""),IF(COUNTIFS(AC$2:AC387,AC387,T$2:T387,TRUE)=1,MAX(AD$1:AD386)+1,""),"")</f>
        <v/>
      </c>
    </row>
    <row r="388">
      <c r="A388">
        <f>ROW()</f>
        <v/>
      </c>
      <c r="B388">
        <f>IF(설정!$C$4="","",IFERROR(INDEX('1.산군_붙여넣기'!$A$1:$AZ$1001,ROW(),설정!$C$4)&amp;"",""))</f>
        <v/>
      </c>
      <c r="C388">
        <f>IF(설정!$C$5="","",IFERROR(INDEX('1.산군_붙여넣기'!$A$1:$AZ$1001,ROW(),설정!$C$5)&amp;"",""))</f>
        <v/>
      </c>
      <c r="D388" s="5">
        <f>IFERROR(VALUE(SUBSTITUTE(SUBSTITUTE(SUBSTITUTE(IF(설정!$C$6="","",IFERROR(INDEX('1.산군_붙여넣기'!$A$1:$AZ$1001,ROW(),설정!$C$6)&amp;"","")),",",""),"㎡",""),"m2","")),"")</f>
        <v/>
      </c>
      <c r="E388">
        <f>IF(설정!$C$7="","",IFERROR(INDEX('1.산군_붙여넣기'!$A$1:$AZ$1001,ROW(),설정!$C$7)&amp;"",""))</f>
        <v/>
      </c>
      <c r="F388">
        <f>IF(설정!$C$8="","",IFERROR(INDEX('1.산군_붙여넣기'!$A$1:$AZ$1001,ROW(),설정!$C$8)&amp;"",""))</f>
        <v/>
      </c>
      <c r="G388">
        <f>IF(설정!$C$9="","",IFERROR(INDEX('1.산군_붙여넣기'!$A$1:$AZ$1001,ROW(),설정!$C$9)&amp;"",""))</f>
        <v/>
      </c>
      <c r="H388">
        <f>IF(설정!$C$10="","",IFERROR(INDEX('1.산군_붙여넣기'!$A$1:$AZ$1001,ROW(),설정!$C$10)&amp;"",""))</f>
        <v/>
      </c>
      <c r="I388">
        <f>IF(설정!$C$11="","",IFERROR(INDEX('1.산군_붙여넣기'!$A$1:$AZ$1001,ROW(),설정!$C$11)&amp;"",""))</f>
        <v/>
      </c>
      <c r="J388">
        <f>IF(설정!$C$12="","",IFERROR(INDEX('1.산군_붙여넣기'!$A$1:$AZ$1001,ROW(),설정!$C$12)&amp;"",""))</f>
        <v/>
      </c>
      <c r="K388">
        <f>IF(설정!$C$13="","",IFERROR(INDEX('1.산군_붙여넣기'!$A$1:$AZ$1001,ROW(),설정!$C$13)&amp;"",""))</f>
        <v/>
      </c>
      <c r="L388" s="7">
        <f>IF(X388="","",IF(AND(LEN(X388)=8,ISNUMBER(X388*1)),DATE(LEFT(X388,4),MID(X388,5,2),RIGHT(X388,2)),IFERROR(DATEVALUE(SUBSTITUTE(SUBSTITUTE(X388,".","-"),"/","-")),IFERROR(X388*1,""))))</f>
        <v/>
      </c>
      <c r="M388" s="7">
        <f>IF(Y388="","",IF(AND(LEN(Y388)=8,ISNUMBER(Y388*1)),DATE(LEFT(Y388,4),MID(Y388,5,2),RIGHT(Y388,2)),IFERROR(DATEVALUE(SUBSTITUTE(SUBSTITUTE(Y388,".","-"),"/","-")),IFERROR(Y388*1,""))))</f>
        <v/>
      </c>
      <c r="N388">
        <f>IFERROR(LEFT(B388,FIND(" ",B388)-1),B388)</f>
        <v/>
      </c>
      <c r="O388">
        <f>AND(B388&lt;&gt;"",B388&lt;&gt;설정!$B$4,C388&lt;&gt;설정!$B$5)</f>
        <v/>
      </c>
      <c r="P388">
        <f>IF(O388,B388&amp;"|"&amp;C388,"")</f>
        <v/>
      </c>
      <c r="Q388">
        <f>AND(O388,COUNTIF(P389:P$1002,P388)=0)</f>
        <v/>
      </c>
      <c r="R388">
        <f>OR(AND(설정!$A$42&lt;&gt;"",ISNUMBER(SEARCH(설정!$A$42,E388&amp;" "&amp;C388))),AND(설정!$A$43&lt;&gt;"",ISNUMBER(SEARCH(설정!$A$43,E388&amp;" "&amp;C388))),AND(설정!$A$44&lt;&gt;"",ISNUMBER(SEARCH(설정!$A$44,E388&amp;" "&amp;C388))),AND(설정!$A$45&lt;&gt;"",ISNUMBER(SEARCH(설정!$A$45,E388&amp;" "&amp;C388))),AND(설정!$A$46&lt;&gt;"",ISNUMBER(SEARCH(설정!$A$46,E388&amp;" "&amp;C388))),AND(설정!$A$47&lt;&gt;"",ISNUMBER(SEARCH(설정!$A$47,E388&amp;" "&amp;C388))),AND(설정!$A$48&lt;&gt;"",ISNUMBER(SEARCH(설정!$A$48,E388&amp;" "&amp;C388))),AND(설정!$A$49&lt;&gt;"",ISNUMBER(SEARCH(설정!$A$49,E388&amp;" "&amp;C388))),AND(설정!$A$50&lt;&gt;"",ISNUMBER(SEARCH(설정!$A$50,E388&amp;" "&amp;C388))),AND(설정!$A$51&lt;&gt;"",ISNUMBER(SEARCH(설정!$A$51,E388&amp;" "&amp;C388))))</f>
        <v/>
      </c>
      <c r="S388">
        <f>OR(D388="",D388&gt;=설정!$B$19)</f>
        <v/>
      </c>
      <c r="T388">
        <f>AND(Q388,R388,S388)</f>
        <v/>
      </c>
      <c r="U388">
        <f>IF(T388,IF(AND(설정!$A$54&lt;&gt;"",ISNUMBER(SEARCH(설정!$A$54,K388))),설정!$B$54,IF(AND(설정!$A$55&lt;&gt;"",ISNUMBER(SEARCH(설정!$A$55,K388))),설정!$B$55,IF(AND(설정!$A$56&lt;&gt;"",ISNUMBER(SEARCH(설정!$A$56,K388))),설정!$B$56,IF(AND(설정!$A$57&lt;&gt;"",ISNUMBER(SEARCH(설정!$A$57,K388))),설정!$B$57,IF(AND(설정!$A$58&lt;&gt;"",ISNUMBER(SEARCH(설정!$A$58,K388))),설정!$B$58,IF(AND(설정!$A$59&lt;&gt;"",ISNUMBER(SEARCH(설정!$A$59,K388))),설정!$B$59,IF(AND(설정!$A$60&lt;&gt;"",ISNUMBER(SEARCH(설정!$A$60,K388))),설정!$B$60,IF(AND(설정!$A$61&lt;&gt;"",ISNUMBER(SEARCH(설정!$A$61,K388))),설정!$B$61,IF(M388="","설계사","시공사"))))))))),"")</f>
        <v/>
      </c>
      <c r="V388">
        <f>SUBSTITUTE(SUBSTITUTE(SUBSTITUTE(SUBSTITUTE(G388,"(주)",""),"㈜",""),"주식회사","")," ","")</f>
        <v/>
      </c>
      <c r="W388">
        <f>IF(AND(T388,V388&lt;&gt;""),IF(COUNTIFS(V$2:V388,V388,T$2:T388,TRUE)=1,MAX(W$1:W387)+1,""),"")</f>
        <v/>
      </c>
      <c r="X388">
        <f>IF(설정!$C$14="","",IFERROR(INDEX('1.산군_붙여넣기'!$A$1:$AZ$1001,ROW(),설정!$C$14)&amp;"",""))</f>
        <v/>
      </c>
      <c r="Y388">
        <f>IF(설정!$C$15="","",IFERROR(INDEX('1.산군_붙여넣기'!$A$1:$AZ$1001,ROW(),설정!$C$15)&amp;"",""))</f>
        <v/>
      </c>
      <c r="Z388">
        <f>IF(T388,V388&amp;"|"&amp;U388,"")</f>
        <v/>
      </c>
      <c r="AA388">
        <f>IF(NOT(Q388),"",IF(NOT(AND(R388,S388)),"✕",IF(OR(OR(AND(L388&lt;&gt;"",M388&lt;&gt;"",N(M388)-N(L388)&gt;설정!$B$27),AND(L388&lt;&gt;"",M388="",설정!$B$24-N(L388)&gt;설정!$B$27)),AND(D388&lt;&gt;"",D388&lt;설정!$B$26)),"△","★")))</f>
        <v/>
      </c>
      <c r="AB388">
        <f>IF(NOT(T388),"",IF(U388="설계사",설정!$B$31,IF(U388="시공사",IF(OR(M388="",설정!$B$24-N(M388)&lt;=설정!$B$28*30.4),설정!$B$32,설정!$B$33),설정!$B$34))+IF(AA388="★",설정!$B$35,0))</f>
        <v/>
      </c>
      <c r="AC388">
        <f>SUBSTITUTE(SUBSTITUTE(SUBSTITUTE(SUBSTITUTE(H388,"(주)",""),"㈜",""),"주식회사","")," ","")</f>
        <v/>
      </c>
      <c r="AD388">
        <f>IF(AND(T388,AC388&lt;&gt;""),IF(COUNTIFS(AC$2:AC388,AC388,T$2:T388,TRUE)=1,MAX(AD$1:AD387)+1,""),"")</f>
        <v/>
      </c>
    </row>
    <row r="389">
      <c r="A389">
        <f>ROW()</f>
        <v/>
      </c>
      <c r="B389">
        <f>IF(설정!$C$4="","",IFERROR(INDEX('1.산군_붙여넣기'!$A$1:$AZ$1001,ROW(),설정!$C$4)&amp;"",""))</f>
        <v/>
      </c>
      <c r="C389">
        <f>IF(설정!$C$5="","",IFERROR(INDEX('1.산군_붙여넣기'!$A$1:$AZ$1001,ROW(),설정!$C$5)&amp;"",""))</f>
        <v/>
      </c>
      <c r="D389" s="5">
        <f>IFERROR(VALUE(SUBSTITUTE(SUBSTITUTE(SUBSTITUTE(IF(설정!$C$6="","",IFERROR(INDEX('1.산군_붙여넣기'!$A$1:$AZ$1001,ROW(),설정!$C$6)&amp;"","")),",",""),"㎡",""),"m2","")),"")</f>
        <v/>
      </c>
      <c r="E389">
        <f>IF(설정!$C$7="","",IFERROR(INDEX('1.산군_붙여넣기'!$A$1:$AZ$1001,ROW(),설정!$C$7)&amp;"",""))</f>
        <v/>
      </c>
      <c r="F389">
        <f>IF(설정!$C$8="","",IFERROR(INDEX('1.산군_붙여넣기'!$A$1:$AZ$1001,ROW(),설정!$C$8)&amp;"",""))</f>
        <v/>
      </c>
      <c r="G389">
        <f>IF(설정!$C$9="","",IFERROR(INDEX('1.산군_붙여넣기'!$A$1:$AZ$1001,ROW(),설정!$C$9)&amp;"",""))</f>
        <v/>
      </c>
      <c r="H389">
        <f>IF(설정!$C$10="","",IFERROR(INDEX('1.산군_붙여넣기'!$A$1:$AZ$1001,ROW(),설정!$C$10)&amp;"",""))</f>
        <v/>
      </c>
      <c r="I389">
        <f>IF(설정!$C$11="","",IFERROR(INDEX('1.산군_붙여넣기'!$A$1:$AZ$1001,ROW(),설정!$C$11)&amp;"",""))</f>
        <v/>
      </c>
      <c r="J389">
        <f>IF(설정!$C$12="","",IFERROR(INDEX('1.산군_붙여넣기'!$A$1:$AZ$1001,ROW(),설정!$C$12)&amp;"",""))</f>
        <v/>
      </c>
      <c r="K389">
        <f>IF(설정!$C$13="","",IFERROR(INDEX('1.산군_붙여넣기'!$A$1:$AZ$1001,ROW(),설정!$C$13)&amp;"",""))</f>
        <v/>
      </c>
      <c r="L389" s="7">
        <f>IF(X389="","",IF(AND(LEN(X389)=8,ISNUMBER(X389*1)),DATE(LEFT(X389,4),MID(X389,5,2),RIGHT(X389,2)),IFERROR(DATEVALUE(SUBSTITUTE(SUBSTITUTE(X389,".","-"),"/","-")),IFERROR(X389*1,""))))</f>
        <v/>
      </c>
      <c r="M389" s="7">
        <f>IF(Y389="","",IF(AND(LEN(Y389)=8,ISNUMBER(Y389*1)),DATE(LEFT(Y389,4),MID(Y389,5,2),RIGHT(Y389,2)),IFERROR(DATEVALUE(SUBSTITUTE(SUBSTITUTE(Y389,".","-"),"/","-")),IFERROR(Y389*1,""))))</f>
        <v/>
      </c>
      <c r="N389">
        <f>IFERROR(LEFT(B389,FIND(" ",B389)-1),B389)</f>
        <v/>
      </c>
      <c r="O389">
        <f>AND(B389&lt;&gt;"",B389&lt;&gt;설정!$B$4,C389&lt;&gt;설정!$B$5)</f>
        <v/>
      </c>
      <c r="P389">
        <f>IF(O389,B389&amp;"|"&amp;C389,"")</f>
        <v/>
      </c>
      <c r="Q389">
        <f>AND(O389,COUNTIF(P390:P$1002,P389)=0)</f>
        <v/>
      </c>
      <c r="R389">
        <f>OR(AND(설정!$A$42&lt;&gt;"",ISNUMBER(SEARCH(설정!$A$42,E389&amp;" "&amp;C389))),AND(설정!$A$43&lt;&gt;"",ISNUMBER(SEARCH(설정!$A$43,E389&amp;" "&amp;C389))),AND(설정!$A$44&lt;&gt;"",ISNUMBER(SEARCH(설정!$A$44,E389&amp;" "&amp;C389))),AND(설정!$A$45&lt;&gt;"",ISNUMBER(SEARCH(설정!$A$45,E389&amp;" "&amp;C389))),AND(설정!$A$46&lt;&gt;"",ISNUMBER(SEARCH(설정!$A$46,E389&amp;" "&amp;C389))),AND(설정!$A$47&lt;&gt;"",ISNUMBER(SEARCH(설정!$A$47,E389&amp;" "&amp;C389))),AND(설정!$A$48&lt;&gt;"",ISNUMBER(SEARCH(설정!$A$48,E389&amp;" "&amp;C389))),AND(설정!$A$49&lt;&gt;"",ISNUMBER(SEARCH(설정!$A$49,E389&amp;" "&amp;C389))),AND(설정!$A$50&lt;&gt;"",ISNUMBER(SEARCH(설정!$A$50,E389&amp;" "&amp;C389))),AND(설정!$A$51&lt;&gt;"",ISNUMBER(SEARCH(설정!$A$51,E389&amp;" "&amp;C389))))</f>
        <v/>
      </c>
      <c r="S389">
        <f>OR(D389="",D389&gt;=설정!$B$19)</f>
        <v/>
      </c>
      <c r="T389">
        <f>AND(Q389,R389,S389)</f>
        <v/>
      </c>
      <c r="U389">
        <f>IF(T389,IF(AND(설정!$A$54&lt;&gt;"",ISNUMBER(SEARCH(설정!$A$54,K389))),설정!$B$54,IF(AND(설정!$A$55&lt;&gt;"",ISNUMBER(SEARCH(설정!$A$55,K389))),설정!$B$55,IF(AND(설정!$A$56&lt;&gt;"",ISNUMBER(SEARCH(설정!$A$56,K389))),설정!$B$56,IF(AND(설정!$A$57&lt;&gt;"",ISNUMBER(SEARCH(설정!$A$57,K389))),설정!$B$57,IF(AND(설정!$A$58&lt;&gt;"",ISNUMBER(SEARCH(설정!$A$58,K389))),설정!$B$58,IF(AND(설정!$A$59&lt;&gt;"",ISNUMBER(SEARCH(설정!$A$59,K389))),설정!$B$59,IF(AND(설정!$A$60&lt;&gt;"",ISNUMBER(SEARCH(설정!$A$60,K389))),설정!$B$60,IF(AND(설정!$A$61&lt;&gt;"",ISNUMBER(SEARCH(설정!$A$61,K389))),설정!$B$61,IF(M389="","설계사","시공사"))))))))),"")</f>
        <v/>
      </c>
      <c r="V389">
        <f>SUBSTITUTE(SUBSTITUTE(SUBSTITUTE(SUBSTITUTE(G389,"(주)",""),"㈜",""),"주식회사","")," ","")</f>
        <v/>
      </c>
      <c r="W389">
        <f>IF(AND(T389,V389&lt;&gt;""),IF(COUNTIFS(V$2:V389,V389,T$2:T389,TRUE)=1,MAX(W$1:W388)+1,""),"")</f>
        <v/>
      </c>
      <c r="X389">
        <f>IF(설정!$C$14="","",IFERROR(INDEX('1.산군_붙여넣기'!$A$1:$AZ$1001,ROW(),설정!$C$14)&amp;"",""))</f>
        <v/>
      </c>
      <c r="Y389">
        <f>IF(설정!$C$15="","",IFERROR(INDEX('1.산군_붙여넣기'!$A$1:$AZ$1001,ROW(),설정!$C$15)&amp;"",""))</f>
        <v/>
      </c>
      <c r="Z389">
        <f>IF(T389,V389&amp;"|"&amp;U389,"")</f>
        <v/>
      </c>
      <c r="AA389">
        <f>IF(NOT(Q389),"",IF(NOT(AND(R389,S389)),"✕",IF(OR(OR(AND(L389&lt;&gt;"",M389&lt;&gt;"",N(M389)-N(L389)&gt;설정!$B$27),AND(L389&lt;&gt;"",M389="",설정!$B$24-N(L389)&gt;설정!$B$27)),AND(D389&lt;&gt;"",D389&lt;설정!$B$26)),"△","★")))</f>
        <v/>
      </c>
      <c r="AB389">
        <f>IF(NOT(T389),"",IF(U389="설계사",설정!$B$31,IF(U389="시공사",IF(OR(M389="",설정!$B$24-N(M389)&lt;=설정!$B$28*30.4),설정!$B$32,설정!$B$33),설정!$B$34))+IF(AA389="★",설정!$B$35,0))</f>
        <v/>
      </c>
      <c r="AC389">
        <f>SUBSTITUTE(SUBSTITUTE(SUBSTITUTE(SUBSTITUTE(H389,"(주)",""),"㈜",""),"주식회사","")," ","")</f>
        <v/>
      </c>
      <c r="AD389">
        <f>IF(AND(T389,AC389&lt;&gt;""),IF(COUNTIFS(AC$2:AC389,AC389,T$2:T389,TRUE)=1,MAX(AD$1:AD388)+1,""),"")</f>
        <v/>
      </c>
    </row>
    <row r="390">
      <c r="A390">
        <f>ROW()</f>
        <v/>
      </c>
      <c r="B390">
        <f>IF(설정!$C$4="","",IFERROR(INDEX('1.산군_붙여넣기'!$A$1:$AZ$1001,ROW(),설정!$C$4)&amp;"",""))</f>
        <v/>
      </c>
      <c r="C390">
        <f>IF(설정!$C$5="","",IFERROR(INDEX('1.산군_붙여넣기'!$A$1:$AZ$1001,ROW(),설정!$C$5)&amp;"",""))</f>
        <v/>
      </c>
      <c r="D390" s="5">
        <f>IFERROR(VALUE(SUBSTITUTE(SUBSTITUTE(SUBSTITUTE(IF(설정!$C$6="","",IFERROR(INDEX('1.산군_붙여넣기'!$A$1:$AZ$1001,ROW(),설정!$C$6)&amp;"","")),",",""),"㎡",""),"m2","")),"")</f>
        <v/>
      </c>
      <c r="E390">
        <f>IF(설정!$C$7="","",IFERROR(INDEX('1.산군_붙여넣기'!$A$1:$AZ$1001,ROW(),설정!$C$7)&amp;"",""))</f>
        <v/>
      </c>
      <c r="F390">
        <f>IF(설정!$C$8="","",IFERROR(INDEX('1.산군_붙여넣기'!$A$1:$AZ$1001,ROW(),설정!$C$8)&amp;"",""))</f>
        <v/>
      </c>
      <c r="G390">
        <f>IF(설정!$C$9="","",IFERROR(INDEX('1.산군_붙여넣기'!$A$1:$AZ$1001,ROW(),설정!$C$9)&amp;"",""))</f>
        <v/>
      </c>
      <c r="H390">
        <f>IF(설정!$C$10="","",IFERROR(INDEX('1.산군_붙여넣기'!$A$1:$AZ$1001,ROW(),설정!$C$10)&amp;"",""))</f>
        <v/>
      </c>
      <c r="I390">
        <f>IF(설정!$C$11="","",IFERROR(INDEX('1.산군_붙여넣기'!$A$1:$AZ$1001,ROW(),설정!$C$11)&amp;"",""))</f>
        <v/>
      </c>
      <c r="J390">
        <f>IF(설정!$C$12="","",IFERROR(INDEX('1.산군_붙여넣기'!$A$1:$AZ$1001,ROW(),설정!$C$12)&amp;"",""))</f>
        <v/>
      </c>
      <c r="K390">
        <f>IF(설정!$C$13="","",IFERROR(INDEX('1.산군_붙여넣기'!$A$1:$AZ$1001,ROW(),설정!$C$13)&amp;"",""))</f>
        <v/>
      </c>
      <c r="L390" s="7">
        <f>IF(X390="","",IF(AND(LEN(X390)=8,ISNUMBER(X390*1)),DATE(LEFT(X390,4),MID(X390,5,2),RIGHT(X390,2)),IFERROR(DATEVALUE(SUBSTITUTE(SUBSTITUTE(X390,".","-"),"/","-")),IFERROR(X390*1,""))))</f>
        <v/>
      </c>
      <c r="M390" s="7">
        <f>IF(Y390="","",IF(AND(LEN(Y390)=8,ISNUMBER(Y390*1)),DATE(LEFT(Y390,4),MID(Y390,5,2),RIGHT(Y390,2)),IFERROR(DATEVALUE(SUBSTITUTE(SUBSTITUTE(Y390,".","-"),"/","-")),IFERROR(Y390*1,""))))</f>
        <v/>
      </c>
      <c r="N390">
        <f>IFERROR(LEFT(B390,FIND(" ",B390)-1),B390)</f>
        <v/>
      </c>
      <c r="O390">
        <f>AND(B390&lt;&gt;"",B390&lt;&gt;설정!$B$4,C390&lt;&gt;설정!$B$5)</f>
        <v/>
      </c>
      <c r="P390">
        <f>IF(O390,B390&amp;"|"&amp;C390,"")</f>
        <v/>
      </c>
      <c r="Q390">
        <f>AND(O390,COUNTIF(P391:P$1002,P390)=0)</f>
        <v/>
      </c>
      <c r="R390">
        <f>OR(AND(설정!$A$42&lt;&gt;"",ISNUMBER(SEARCH(설정!$A$42,E390&amp;" "&amp;C390))),AND(설정!$A$43&lt;&gt;"",ISNUMBER(SEARCH(설정!$A$43,E390&amp;" "&amp;C390))),AND(설정!$A$44&lt;&gt;"",ISNUMBER(SEARCH(설정!$A$44,E390&amp;" "&amp;C390))),AND(설정!$A$45&lt;&gt;"",ISNUMBER(SEARCH(설정!$A$45,E390&amp;" "&amp;C390))),AND(설정!$A$46&lt;&gt;"",ISNUMBER(SEARCH(설정!$A$46,E390&amp;" "&amp;C390))),AND(설정!$A$47&lt;&gt;"",ISNUMBER(SEARCH(설정!$A$47,E390&amp;" "&amp;C390))),AND(설정!$A$48&lt;&gt;"",ISNUMBER(SEARCH(설정!$A$48,E390&amp;" "&amp;C390))),AND(설정!$A$49&lt;&gt;"",ISNUMBER(SEARCH(설정!$A$49,E390&amp;" "&amp;C390))),AND(설정!$A$50&lt;&gt;"",ISNUMBER(SEARCH(설정!$A$50,E390&amp;" "&amp;C390))),AND(설정!$A$51&lt;&gt;"",ISNUMBER(SEARCH(설정!$A$51,E390&amp;" "&amp;C390))))</f>
        <v/>
      </c>
      <c r="S390">
        <f>OR(D390="",D390&gt;=설정!$B$19)</f>
        <v/>
      </c>
      <c r="T390">
        <f>AND(Q390,R390,S390)</f>
        <v/>
      </c>
      <c r="U390">
        <f>IF(T390,IF(AND(설정!$A$54&lt;&gt;"",ISNUMBER(SEARCH(설정!$A$54,K390))),설정!$B$54,IF(AND(설정!$A$55&lt;&gt;"",ISNUMBER(SEARCH(설정!$A$55,K390))),설정!$B$55,IF(AND(설정!$A$56&lt;&gt;"",ISNUMBER(SEARCH(설정!$A$56,K390))),설정!$B$56,IF(AND(설정!$A$57&lt;&gt;"",ISNUMBER(SEARCH(설정!$A$57,K390))),설정!$B$57,IF(AND(설정!$A$58&lt;&gt;"",ISNUMBER(SEARCH(설정!$A$58,K390))),설정!$B$58,IF(AND(설정!$A$59&lt;&gt;"",ISNUMBER(SEARCH(설정!$A$59,K390))),설정!$B$59,IF(AND(설정!$A$60&lt;&gt;"",ISNUMBER(SEARCH(설정!$A$60,K390))),설정!$B$60,IF(AND(설정!$A$61&lt;&gt;"",ISNUMBER(SEARCH(설정!$A$61,K390))),설정!$B$61,IF(M390="","설계사","시공사"))))))))),"")</f>
        <v/>
      </c>
      <c r="V390">
        <f>SUBSTITUTE(SUBSTITUTE(SUBSTITUTE(SUBSTITUTE(G390,"(주)",""),"㈜",""),"주식회사","")," ","")</f>
        <v/>
      </c>
      <c r="W390">
        <f>IF(AND(T390,V390&lt;&gt;""),IF(COUNTIFS(V$2:V390,V390,T$2:T390,TRUE)=1,MAX(W$1:W389)+1,""),"")</f>
        <v/>
      </c>
      <c r="X390">
        <f>IF(설정!$C$14="","",IFERROR(INDEX('1.산군_붙여넣기'!$A$1:$AZ$1001,ROW(),설정!$C$14)&amp;"",""))</f>
        <v/>
      </c>
      <c r="Y390">
        <f>IF(설정!$C$15="","",IFERROR(INDEX('1.산군_붙여넣기'!$A$1:$AZ$1001,ROW(),설정!$C$15)&amp;"",""))</f>
        <v/>
      </c>
      <c r="Z390">
        <f>IF(T390,V390&amp;"|"&amp;U390,"")</f>
        <v/>
      </c>
      <c r="AA390">
        <f>IF(NOT(Q390),"",IF(NOT(AND(R390,S390)),"✕",IF(OR(OR(AND(L390&lt;&gt;"",M390&lt;&gt;"",N(M390)-N(L390)&gt;설정!$B$27),AND(L390&lt;&gt;"",M390="",설정!$B$24-N(L390)&gt;설정!$B$27)),AND(D390&lt;&gt;"",D390&lt;설정!$B$26)),"△","★")))</f>
        <v/>
      </c>
      <c r="AB390">
        <f>IF(NOT(T390),"",IF(U390="설계사",설정!$B$31,IF(U390="시공사",IF(OR(M390="",설정!$B$24-N(M390)&lt;=설정!$B$28*30.4),설정!$B$32,설정!$B$33),설정!$B$34))+IF(AA390="★",설정!$B$35,0))</f>
        <v/>
      </c>
      <c r="AC390">
        <f>SUBSTITUTE(SUBSTITUTE(SUBSTITUTE(SUBSTITUTE(H390,"(주)",""),"㈜",""),"주식회사","")," ","")</f>
        <v/>
      </c>
      <c r="AD390">
        <f>IF(AND(T390,AC390&lt;&gt;""),IF(COUNTIFS(AC$2:AC390,AC390,T$2:T390,TRUE)=1,MAX(AD$1:AD389)+1,""),"")</f>
        <v/>
      </c>
    </row>
    <row r="391">
      <c r="A391">
        <f>ROW()</f>
        <v/>
      </c>
      <c r="B391">
        <f>IF(설정!$C$4="","",IFERROR(INDEX('1.산군_붙여넣기'!$A$1:$AZ$1001,ROW(),설정!$C$4)&amp;"",""))</f>
        <v/>
      </c>
      <c r="C391">
        <f>IF(설정!$C$5="","",IFERROR(INDEX('1.산군_붙여넣기'!$A$1:$AZ$1001,ROW(),설정!$C$5)&amp;"",""))</f>
        <v/>
      </c>
      <c r="D391" s="5">
        <f>IFERROR(VALUE(SUBSTITUTE(SUBSTITUTE(SUBSTITUTE(IF(설정!$C$6="","",IFERROR(INDEX('1.산군_붙여넣기'!$A$1:$AZ$1001,ROW(),설정!$C$6)&amp;"","")),",",""),"㎡",""),"m2","")),"")</f>
        <v/>
      </c>
      <c r="E391">
        <f>IF(설정!$C$7="","",IFERROR(INDEX('1.산군_붙여넣기'!$A$1:$AZ$1001,ROW(),설정!$C$7)&amp;"",""))</f>
        <v/>
      </c>
      <c r="F391">
        <f>IF(설정!$C$8="","",IFERROR(INDEX('1.산군_붙여넣기'!$A$1:$AZ$1001,ROW(),설정!$C$8)&amp;"",""))</f>
        <v/>
      </c>
      <c r="G391">
        <f>IF(설정!$C$9="","",IFERROR(INDEX('1.산군_붙여넣기'!$A$1:$AZ$1001,ROW(),설정!$C$9)&amp;"",""))</f>
        <v/>
      </c>
      <c r="H391">
        <f>IF(설정!$C$10="","",IFERROR(INDEX('1.산군_붙여넣기'!$A$1:$AZ$1001,ROW(),설정!$C$10)&amp;"",""))</f>
        <v/>
      </c>
      <c r="I391">
        <f>IF(설정!$C$11="","",IFERROR(INDEX('1.산군_붙여넣기'!$A$1:$AZ$1001,ROW(),설정!$C$11)&amp;"",""))</f>
        <v/>
      </c>
      <c r="J391">
        <f>IF(설정!$C$12="","",IFERROR(INDEX('1.산군_붙여넣기'!$A$1:$AZ$1001,ROW(),설정!$C$12)&amp;"",""))</f>
        <v/>
      </c>
      <c r="K391">
        <f>IF(설정!$C$13="","",IFERROR(INDEX('1.산군_붙여넣기'!$A$1:$AZ$1001,ROW(),설정!$C$13)&amp;"",""))</f>
        <v/>
      </c>
      <c r="L391" s="7">
        <f>IF(X391="","",IF(AND(LEN(X391)=8,ISNUMBER(X391*1)),DATE(LEFT(X391,4),MID(X391,5,2),RIGHT(X391,2)),IFERROR(DATEVALUE(SUBSTITUTE(SUBSTITUTE(X391,".","-"),"/","-")),IFERROR(X391*1,""))))</f>
        <v/>
      </c>
      <c r="M391" s="7">
        <f>IF(Y391="","",IF(AND(LEN(Y391)=8,ISNUMBER(Y391*1)),DATE(LEFT(Y391,4),MID(Y391,5,2),RIGHT(Y391,2)),IFERROR(DATEVALUE(SUBSTITUTE(SUBSTITUTE(Y391,".","-"),"/","-")),IFERROR(Y391*1,""))))</f>
        <v/>
      </c>
      <c r="N391">
        <f>IFERROR(LEFT(B391,FIND(" ",B391)-1),B391)</f>
        <v/>
      </c>
      <c r="O391">
        <f>AND(B391&lt;&gt;"",B391&lt;&gt;설정!$B$4,C391&lt;&gt;설정!$B$5)</f>
        <v/>
      </c>
      <c r="P391">
        <f>IF(O391,B391&amp;"|"&amp;C391,"")</f>
        <v/>
      </c>
      <c r="Q391">
        <f>AND(O391,COUNTIF(P392:P$1002,P391)=0)</f>
        <v/>
      </c>
      <c r="R391">
        <f>OR(AND(설정!$A$42&lt;&gt;"",ISNUMBER(SEARCH(설정!$A$42,E391&amp;" "&amp;C391))),AND(설정!$A$43&lt;&gt;"",ISNUMBER(SEARCH(설정!$A$43,E391&amp;" "&amp;C391))),AND(설정!$A$44&lt;&gt;"",ISNUMBER(SEARCH(설정!$A$44,E391&amp;" "&amp;C391))),AND(설정!$A$45&lt;&gt;"",ISNUMBER(SEARCH(설정!$A$45,E391&amp;" "&amp;C391))),AND(설정!$A$46&lt;&gt;"",ISNUMBER(SEARCH(설정!$A$46,E391&amp;" "&amp;C391))),AND(설정!$A$47&lt;&gt;"",ISNUMBER(SEARCH(설정!$A$47,E391&amp;" "&amp;C391))),AND(설정!$A$48&lt;&gt;"",ISNUMBER(SEARCH(설정!$A$48,E391&amp;" "&amp;C391))),AND(설정!$A$49&lt;&gt;"",ISNUMBER(SEARCH(설정!$A$49,E391&amp;" "&amp;C391))),AND(설정!$A$50&lt;&gt;"",ISNUMBER(SEARCH(설정!$A$50,E391&amp;" "&amp;C391))),AND(설정!$A$51&lt;&gt;"",ISNUMBER(SEARCH(설정!$A$51,E391&amp;" "&amp;C391))))</f>
        <v/>
      </c>
      <c r="S391">
        <f>OR(D391="",D391&gt;=설정!$B$19)</f>
        <v/>
      </c>
      <c r="T391">
        <f>AND(Q391,R391,S391)</f>
        <v/>
      </c>
      <c r="U391">
        <f>IF(T391,IF(AND(설정!$A$54&lt;&gt;"",ISNUMBER(SEARCH(설정!$A$54,K391))),설정!$B$54,IF(AND(설정!$A$55&lt;&gt;"",ISNUMBER(SEARCH(설정!$A$55,K391))),설정!$B$55,IF(AND(설정!$A$56&lt;&gt;"",ISNUMBER(SEARCH(설정!$A$56,K391))),설정!$B$56,IF(AND(설정!$A$57&lt;&gt;"",ISNUMBER(SEARCH(설정!$A$57,K391))),설정!$B$57,IF(AND(설정!$A$58&lt;&gt;"",ISNUMBER(SEARCH(설정!$A$58,K391))),설정!$B$58,IF(AND(설정!$A$59&lt;&gt;"",ISNUMBER(SEARCH(설정!$A$59,K391))),설정!$B$59,IF(AND(설정!$A$60&lt;&gt;"",ISNUMBER(SEARCH(설정!$A$60,K391))),설정!$B$60,IF(AND(설정!$A$61&lt;&gt;"",ISNUMBER(SEARCH(설정!$A$61,K391))),설정!$B$61,IF(M391="","설계사","시공사"))))))))),"")</f>
        <v/>
      </c>
      <c r="V391">
        <f>SUBSTITUTE(SUBSTITUTE(SUBSTITUTE(SUBSTITUTE(G391,"(주)",""),"㈜",""),"주식회사","")," ","")</f>
        <v/>
      </c>
      <c r="W391">
        <f>IF(AND(T391,V391&lt;&gt;""),IF(COUNTIFS(V$2:V391,V391,T$2:T391,TRUE)=1,MAX(W$1:W390)+1,""),"")</f>
        <v/>
      </c>
      <c r="X391">
        <f>IF(설정!$C$14="","",IFERROR(INDEX('1.산군_붙여넣기'!$A$1:$AZ$1001,ROW(),설정!$C$14)&amp;"",""))</f>
        <v/>
      </c>
      <c r="Y391">
        <f>IF(설정!$C$15="","",IFERROR(INDEX('1.산군_붙여넣기'!$A$1:$AZ$1001,ROW(),설정!$C$15)&amp;"",""))</f>
        <v/>
      </c>
      <c r="Z391">
        <f>IF(T391,V391&amp;"|"&amp;U391,"")</f>
        <v/>
      </c>
      <c r="AA391">
        <f>IF(NOT(Q391),"",IF(NOT(AND(R391,S391)),"✕",IF(OR(OR(AND(L391&lt;&gt;"",M391&lt;&gt;"",N(M391)-N(L391)&gt;설정!$B$27),AND(L391&lt;&gt;"",M391="",설정!$B$24-N(L391)&gt;설정!$B$27)),AND(D391&lt;&gt;"",D391&lt;설정!$B$26)),"△","★")))</f>
        <v/>
      </c>
      <c r="AB391">
        <f>IF(NOT(T391),"",IF(U391="설계사",설정!$B$31,IF(U391="시공사",IF(OR(M391="",설정!$B$24-N(M391)&lt;=설정!$B$28*30.4),설정!$B$32,설정!$B$33),설정!$B$34))+IF(AA391="★",설정!$B$35,0))</f>
        <v/>
      </c>
      <c r="AC391">
        <f>SUBSTITUTE(SUBSTITUTE(SUBSTITUTE(SUBSTITUTE(H391,"(주)",""),"㈜",""),"주식회사","")," ","")</f>
        <v/>
      </c>
      <c r="AD391">
        <f>IF(AND(T391,AC391&lt;&gt;""),IF(COUNTIFS(AC$2:AC391,AC391,T$2:T391,TRUE)=1,MAX(AD$1:AD390)+1,""),"")</f>
        <v/>
      </c>
    </row>
    <row r="392">
      <c r="A392">
        <f>ROW()</f>
        <v/>
      </c>
      <c r="B392">
        <f>IF(설정!$C$4="","",IFERROR(INDEX('1.산군_붙여넣기'!$A$1:$AZ$1001,ROW(),설정!$C$4)&amp;"",""))</f>
        <v/>
      </c>
      <c r="C392">
        <f>IF(설정!$C$5="","",IFERROR(INDEX('1.산군_붙여넣기'!$A$1:$AZ$1001,ROW(),설정!$C$5)&amp;"",""))</f>
        <v/>
      </c>
      <c r="D392" s="5">
        <f>IFERROR(VALUE(SUBSTITUTE(SUBSTITUTE(SUBSTITUTE(IF(설정!$C$6="","",IFERROR(INDEX('1.산군_붙여넣기'!$A$1:$AZ$1001,ROW(),설정!$C$6)&amp;"","")),",",""),"㎡",""),"m2","")),"")</f>
        <v/>
      </c>
      <c r="E392">
        <f>IF(설정!$C$7="","",IFERROR(INDEX('1.산군_붙여넣기'!$A$1:$AZ$1001,ROW(),설정!$C$7)&amp;"",""))</f>
        <v/>
      </c>
      <c r="F392">
        <f>IF(설정!$C$8="","",IFERROR(INDEX('1.산군_붙여넣기'!$A$1:$AZ$1001,ROW(),설정!$C$8)&amp;"",""))</f>
        <v/>
      </c>
      <c r="G392">
        <f>IF(설정!$C$9="","",IFERROR(INDEX('1.산군_붙여넣기'!$A$1:$AZ$1001,ROW(),설정!$C$9)&amp;"",""))</f>
        <v/>
      </c>
      <c r="H392">
        <f>IF(설정!$C$10="","",IFERROR(INDEX('1.산군_붙여넣기'!$A$1:$AZ$1001,ROW(),설정!$C$10)&amp;"",""))</f>
        <v/>
      </c>
      <c r="I392">
        <f>IF(설정!$C$11="","",IFERROR(INDEX('1.산군_붙여넣기'!$A$1:$AZ$1001,ROW(),설정!$C$11)&amp;"",""))</f>
        <v/>
      </c>
      <c r="J392">
        <f>IF(설정!$C$12="","",IFERROR(INDEX('1.산군_붙여넣기'!$A$1:$AZ$1001,ROW(),설정!$C$12)&amp;"",""))</f>
        <v/>
      </c>
      <c r="K392">
        <f>IF(설정!$C$13="","",IFERROR(INDEX('1.산군_붙여넣기'!$A$1:$AZ$1001,ROW(),설정!$C$13)&amp;"",""))</f>
        <v/>
      </c>
      <c r="L392" s="7">
        <f>IF(X392="","",IF(AND(LEN(X392)=8,ISNUMBER(X392*1)),DATE(LEFT(X392,4),MID(X392,5,2),RIGHT(X392,2)),IFERROR(DATEVALUE(SUBSTITUTE(SUBSTITUTE(X392,".","-"),"/","-")),IFERROR(X392*1,""))))</f>
        <v/>
      </c>
      <c r="M392" s="7">
        <f>IF(Y392="","",IF(AND(LEN(Y392)=8,ISNUMBER(Y392*1)),DATE(LEFT(Y392,4),MID(Y392,5,2),RIGHT(Y392,2)),IFERROR(DATEVALUE(SUBSTITUTE(SUBSTITUTE(Y392,".","-"),"/","-")),IFERROR(Y392*1,""))))</f>
        <v/>
      </c>
      <c r="N392">
        <f>IFERROR(LEFT(B392,FIND(" ",B392)-1),B392)</f>
        <v/>
      </c>
      <c r="O392">
        <f>AND(B392&lt;&gt;"",B392&lt;&gt;설정!$B$4,C392&lt;&gt;설정!$B$5)</f>
        <v/>
      </c>
      <c r="P392">
        <f>IF(O392,B392&amp;"|"&amp;C392,"")</f>
        <v/>
      </c>
      <c r="Q392">
        <f>AND(O392,COUNTIF(P393:P$1002,P392)=0)</f>
        <v/>
      </c>
      <c r="R392">
        <f>OR(AND(설정!$A$42&lt;&gt;"",ISNUMBER(SEARCH(설정!$A$42,E392&amp;" "&amp;C392))),AND(설정!$A$43&lt;&gt;"",ISNUMBER(SEARCH(설정!$A$43,E392&amp;" "&amp;C392))),AND(설정!$A$44&lt;&gt;"",ISNUMBER(SEARCH(설정!$A$44,E392&amp;" "&amp;C392))),AND(설정!$A$45&lt;&gt;"",ISNUMBER(SEARCH(설정!$A$45,E392&amp;" "&amp;C392))),AND(설정!$A$46&lt;&gt;"",ISNUMBER(SEARCH(설정!$A$46,E392&amp;" "&amp;C392))),AND(설정!$A$47&lt;&gt;"",ISNUMBER(SEARCH(설정!$A$47,E392&amp;" "&amp;C392))),AND(설정!$A$48&lt;&gt;"",ISNUMBER(SEARCH(설정!$A$48,E392&amp;" "&amp;C392))),AND(설정!$A$49&lt;&gt;"",ISNUMBER(SEARCH(설정!$A$49,E392&amp;" "&amp;C392))),AND(설정!$A$50&lt;&gt;"",ISNUMBER(SEARCH(설정!$A$50,E392&amp;" "&amp;C392))),AND(설정!$A$51&lt;&gt;"",ISNUMBER(SEARCH(설정!$A$51,E392&amp;" "&amp;C392))))</f>
        <v/>
      </c>
      <c r="S392">
        <f>OR(D392="",D392&gt;=설정!$B$19)</f>
        <v/>
      </c>
      <c r="T392">
        <f>AND(Q392,R392,S392)</f>
        <v/>
      </c>
      <c r="U392">
        <f>IF(T392,IF(AND(설정!$A$54&lt;&gt;"",ISNUMBER(SEARCH(설정!$A$54,K392))),설정!$B$54,IF(AND(설정!$A$55&lt;&gt;"",ISNUMBER(SEARCH(설정!$A$55,K392))),설정!$B$55,IF(AND(설정!$A$56&lt;&gt;"",ISNUMBER(SEARCH(설정!$A$56,K392))),설정!$B$56,IF(AND(설정!$A$57&lt;&gt;"",ISNUMBER(SEARCH(설정!$A$57,K392))),설정!$B$57,IF(AND(설정!$A$58&lt;&gt;"",ISNUMBER(SEARCH(설정!$A$58,K392))),설정!$B$58,IF(AND(설정!$A$59&lt;&gt;"",ISNUMBER(SEARCH(설정!$A$59,K392))),설정!$B$59,IF(AND(설정!$A$60&lt;&gt;"",ISNUMBER(SEARCH(설정!$A$60,K392))),설정!$B$60,IF(AND(설정!$A$61&lt;&gt;"",ISNUMBER(SEARCH(설정!$A$61,K392))),설정!$B$61,IF(M392="","설계사","시공사"))))))))),"")</f>
        <v/>
      </c>
      <c r="V392">
        <f>SUBSTITUTE(SUBSTITUTE(SUBSTITUTE(SUBSTITUTE(G392,"(주)",""),"㈜",""),"주식회사","")," ","")</f>
        <v/>
      </c>
      <c r="W392">
        <f>IF(AND(T392,V392&lt;&gt;""),IF(COUNTIFS(V$2:V392,V392,T$2:T392,TRUE)=1,MAX(W$1:W391)+1,""),"")</f>
        <v/>
      </c>
      <c r="X392">
        <f>IF(설정!$C$14="","",IFERROR(INDEX('1.산군_붙여넣기'!$A$1:$AZ$1001,ROW(),설정!$C$14)&amp;"",""))</f>
        <v/>
      </c>
      <c r="Y392">
        <f>IF(설정!$C$15="","",IFERROR(INDEX('1.산군_붙여넣기'!$A$1:$AZ$1001,ROW(),설정!$C$15)&amp;"",""))</f>
        <v/>
      </c>
      <c r="Z392">
        <f>IF(T392,V392&amp;"|"&amp;U392,"")</f>
        <v/>
      </c>
      <c r="AA392">
        <f>IF(NOT(Q392),"",IF(NOT(AND(R392,S392)),"✕",IF(OR(OR(AND(L392&lt;&gt;"",M392&lt;&gt;"",N(M392)-N(L392)&gt;설정!$B$27),AND(L392&lt;&gt;"",M392="",설정!$B$24-N(L392)&gt;설정!$B$27)),AND(D392&lt;&gt;"",D392&lt;설정!$B$26)),"△","★")))</f>
        <v/>
      </c>
      <c r="AB392">
        <f>IF(NOT(T392),"",IF(U392="설계사",설정!$B$31,IF(U392="시공사",IF(OR(M392="",설정!$B$24-N(M392)&lt;=설정!$B$28*30.4),설정!$B$32,설정!$B$33),설정!$B$34))+IF(AA392="★",설정!$B$35,0))</f>
        <v/>
      </c>
      <c r="AC392">
        <f>SUBSTITUTE(SUBSTITUTE(SUBSTITUTE(SUBSTITUTE(H392,"(주)",""),"㈜",""),"주식회사","")," ","")</f>
        <v/>
      </c>
      <c r="AD392">
        <f>IF(AND(T392,AC392&lt;&gt;""),IF(COUNTIFS(AC$2:AC392,AC392,T$2:T392,TRUE)=1,MAX(AD$1:AD391)+1,""),"")</f>
        <v/>
      </c>
    </row>
    <row r="393">
      <c r="A393">
        <f>ROW()</f>
        <v/>
      </c>
      <c r="B393">
        <f>IF(설정!$C$4="","",IFERROR(INDEX('1.산군_붙여넣기'!$A$1:$AZ$1001,ROW(),설정!$C$4)&amp;"",""))</f>
        <v/>
      </c>
      <c r="C393">
        <f>IF(설정!$C$5="","",IFERROR(INDEX('1.산군_붙여넣기'!$A$1:$AZ$1001,ROW(),설정!$C$5)&amp;"",""))</f>
        <v/>
      </c>
      <c r="D393" s="5">
        <f>IFERROR(VALUE(SUBSTITUTE(SUBSTITUTE(SUBSTITUTE(IF(설정!$C$6="","",IFERROR(INDEX('1.산군_붙여넣기'!$A$1:$AZ$1001,ROW(),설정!$C$6)&amp;"","")),",",""),"㎡",""),"m2","")),"")</f>
        <v/>
      </c>
      <c r="E393">
        <f>IF(설정!$C$7="","",IFERROR(INDEX('1.산군_붙여넣기'!$A$1:$AZ$1001,ROW(),설정!$C$7)&amp;"",""))</f>
        <v/>
      </c>
      <c r="F393">
        <f>IF(설정!$C$8="","",IFERROR(INDEX('1.산군_붙여넣기'!$A$1:$AZ$1001,ROW(),설정!$C$8)&amp;"",""))</f>
        <v/>
      </c>
      <c r="G393">
        <f>IF(설정!$C$9="","",IFERROR(INDEX('1.산군_붙여넣기'!$A$1:$AZ$1001,ROW(),설정!$C$9)&amp;"",""))</f>
        <v/>
      </c>
      <c r="H393">
        <f>IF(설정!$C$10="","",IFERROR(INDEX('1.산군_붙여넣기'!$A$1:$AZ$1001,ROW(),설정!$C$10)&amp;"",""))</f>
        <v/>
      </c>
      <c r="I393">
        <f>IF(설정!$C$11="","",IFERROR(INDEX('1.산군_붙여넣기'!$A$1:$AZ$1001,ROW(),설정!$C$11)&amp;"",""))</f>
        <v/>
      </c>
      <c r="J393">
        <f>IF(설정!$C$12="","",IFERROR(INDEX('1.산군_붙여넣기'!$A$1:$AZ$1001,ROW(),설정!$C$12)&amp;"",""))</f>
        <v/>
      </c>
      <c r="K393">
        <f>IF(설정!$C$13="","",IFERROR(INDEX('1.산군_붙여넣기'!$A$1:$AZ$1001,ROW(),설정!$C$13)&amp;"",""))</f>
        <v/>
      </c>
      <c r="L393" s="7">
        <f>IF(X393="","",IF(AND(LEN(X393)=8,ISNUMBER(X393*1)),DATE(LEFT(X393,4),MID(X393,5,2),RIGHT(X393,2)),IFERROR(DATEVALUE(SUBSTITUTE(SUBSTITUTE(X393,".","-"),"/","-")),IFERROR(X393*1,""))))</f>
        <v/>
      </c>
      <c r="M393" s="7">
        <f>IF(Y393="","",IF(AND(LEN(Y393)=8,ISNUMBER(Y393*1)),DATE(LEFT(Y393,4),MID(Y393,5,2),RIGHT(Y393,2)),IFERROR(DATEVALUE(SUBSTITUTE(SUBSTITUTE(Y393,".","-"),"/","-")),IFERROR(Y393*1,""))))</f>
        <v/>
      </c>
      <c r="N393">
        <f>IFERROR(LEFT(B393,FIND(" ",B393)-1),B393)</f>
        <v/>
      </c>
      <c r="O393">
        <f>AND(B393&lt;&gt;"",B393&lt;&gt;설정!$B$4,C393&lt;&gt;설정!$B$5)</f>
        <v/>
      </c>
      <c r="P393">
        <f>IF(O393,B393&amp;"|"&amp;C393,"")</f>
        <v/>
      </c>
      <c r="Q393">
        <f>AND(O393,COUNTIF(P394:P$1002,P393)=0)</f>
        <v/>
      </c>
      <c r="R393">
        <f>OR(AND(설정!$A$42&lt;&gt;"",ISNUMBER(SEARCH(설정!$A$42,E393&amp;" "&amp;C393))),AND(설정!$A$43&lt;&gt;"",ISNUMBER(SEARCH(설정!$A$43,E393&amp;" "&amp;C393))),AND(설정!$A$44&lt;&gt;"",ISNUMBER(SEARCH(설정!$A$44,E393&amp;" "&amp;C393))),AND(설정!$A$45&lt;&gt;"",ISNUMBER(SEARCH(설정!$A$45,E393&amp;" "&amp;C393))),AND(설정!$A$46&lt;&gt;"",ISNUMBER(SEARCH(설정!$A$46,E393&amp;" "&amp;C393))),AND(설정!$A$47&lt;&gt;"",ISNUMBER(SEARCH(설정!$A$47,E393&amp;" "&amp;C393))),AND(설정!$A$48&lt;&gt;"",ISNUMBER(SEARCH(설정!$A$48,E393&amp;" "&amp;C393))),AND(설정!$A$49&lt;&gt;"",ISNUMBER(SEARCH(설정!$A$49,E393&amp;" "&amp;C393))),AND(설정!$A$50&lt;&gt;"",ISNUMBER(SEARCH(설정!$A$50,E393&amp;" "&amp;C393))),AND(설정!$A$51&lt;&gt;"",ISNUMBER(SEARCH(설정!$A$51,E393&amp;" "&amp;C393))))</f>
        <v/>
      </c>
      <c r="S393">
        <f>OR(D393="",D393&gt;=설정!$B$19)</f>
        <v/>
      </c>
      <c r="T393">
        <f>AND(Q393,R393,S393)</f>
        <v/>
      </c>
      <c r="U393">
        <f>IF(T393,IF(AND(설정!$A$54&lt;&gt;"",ISNUMBER(SEARCH(설정!$A$54,K393))),설정!$B$54,IF(AND(설정!$A$55&lt;&gt;"",ISNUMBER(SEARCH(설정!$A$55,K393))),설정!$B$55,IF(AND(설정!$A$56&lt;&gt;"",ISNUMBER(SEARCH(설정!$A$56,K393))),설정!$B$56,IF(AND(설정!$A$57&lt;&gt;"",ISNUMBER(SEARCH(설정!$A$57,K393))),설정!$B$57,IF(AND(설정!$A$58&lt;&gt;"",ISNUMBER(SEARCH(설정!$A$58,K393))),설정!$B$58,IF(AND(설정!$A$59&lt;&gt;"",ISNUMBER(SEARCH(설정!$A$59,K393))),설정!$B$59,IF(AND(설정!$A$60&lt;&gt;"",ISNUMBER(SEARCH(설정!$A$60,K393))),설정!$B$60,IF(AND(설정!$A$61&lt;&gt;"",ISNUMBER(SEARCH(설정!$A$61,K393))),설정!$B$61,IF(M393="","설계사","시공사"))))))))),"")</f>
        <v/>
      </c>
      <c r="V393">
        <f>SUBSTITUTE(SUBSTITUTE(SUBSTITUTE(SUBSTITUTE(G393,"(주)",""),"㈜",""),"주식회사","")," ","")</f>
        <v/>
      </c>
      <c r="W393">
        <f>IF(AND(T393,V393&lt;&gt;""),IF(COUNTIFS(V$2:V393,V393,T$2:T393,TRUE)=1,MAX(W$1:W392)+1,""),"")</f>
        <v/>
      </c>
      <c r="X393">
        <f>IF(설정!$C$14="","",IFERROR(INDEX('1.산군_붙여넣기'!$A$1:$AZ$1001,ROW(),설정!$C$14)&amp;"",""))</f>
        <v/>
      </c>
      <c r="Y393">
        <f>IF(설정!$C$15="","",IFERROR(INDEX('1.산군_붙여넣기'!$A$1:$AZ$1001,ROW(),설정!$C$15)&amp;"",""))</f>
        <v/>
      </c>
      <c r="Z393">
        <f>IF(T393,V393&amp;"|"&amp;U393,"")</f>
        <v/>
      </c>
      <c r="AA393">
        <f>IF(NOT(Q393),"",IF(NOT(AND(R393,S393)),"✕",IF(OR(OR(AND(L393&lt;&gt;"",M393&lt;&gt;"",N(M393)-N(L393)&gt;설정!$B$27),AND(L393&lt;&gt;"",M393="",설정!$B$24-N(L393)&gt;설정!$B$27)),AND(D393&lt;&gt;"",D393&lt;설정!$B$26)),"△","★")))</f>
        <v/>
      </c>
      <c r="AB393">
        <f>IF(NOT(T393),"",IF(U393="설계사",설정!$B$31,IF(U393="시공사",IF(OR(M393="",설정!$B$24-N(M393)&lt;=설정!$B$28*30.4),설정!$B$32,설정!$B$33),설정!$B$34))+IF(AA393="★",설정!$B$35,0))</f>
        <v/>
      </c>
      <c r="AC393">
        <f>SUBSTITUTE(SUBSTITUTE(SUBSTITUTE(SUBSTITUTE(H393,"(주)",""),"㈜",""),"주식회사","")," ","")</f>
        <v/>
      </c>
      <c r="AD393">
        <f>IF(AND(T393,AC393&lt;&gt;""),IF(COUNTIFS(AC$2:AC393,AC393,T$2:T393,TRUE)=1,MAX(AD$1:AD392)+1,""),"")</f>
        <v/>
      </c>
    </row>
    <row r="394">
      <c r="A394">
        <f>ROW()</f>
        <v/>
      </c>
      <c r="B394">
        <f>IF(설정!$C$4="","",IFERROR(INDEX('1.산군_붙여넣기'!$A$1:$AZ$1001,ROW(),설정!$C$4)&amp;"",""))</f>
        <v/>
      </c>
      <c r="C394">
        <f>IF(설정!$C$5="","",IFERROR(INDEX('1.산군_붙여넣기'!$A$1:$AZ$1001,ROW(),설정!$C$5)&amp;"",""))</f>
        <v/>
      </c>
      <c r="D394" s="5">
        <f>IFERROR(VALUE(SUBSTITUTE(SUBSTITUTE(SUBSTITUTE(IF(설정!$C$6="","",IFERROR(INDEX('1.산군_붙여넣기'!$A$1:$AZ$1001,ROW(),설정!$C$6)&amp;"","")),",",""),"㎡",""),"m2","")),"")</f>
        <v/>
      </c>
      <c r="E394">
        <f>IF(설정!$C$7="","",IFERROR(INDEX('1.산군_붙여넣기'!$A$1:$AZ$1001,ROW(),설정!$C$7)&amp;"",""))</f>
        <v/>
      </c>
      <c r="F394">
        <f>IF(설정!$C$8="","",IFERROR(INDEX('1.산군_붙여넣기'!$A$1:$AZ$1001,ROW(),설정!$C$8)&amp;"",""))</f>
        <v/>
      </c>
      <c r="G394">
        <f>IF(설정!$C$9="","",IFERROR(INDEX('1.산군_붙여넣기'!$A$1:$AZ$1001,ROW(),설정!$C$9)&amp;"",""))</f>
        <v/>
      </c>
      <c r="H394">
        <f>IF(설정!$C$10="","",IFERROR(INDEX('1.산군_붙여넣기'!$A$1:$AZ$1001,ROW(),설정!$C$10)&amp;"",""))</f>
        <v/>
      </c>
      <c r="I394">
        <f>IF(설정!$C$11="","",IFERROR(INDEX('1.산군_붙여넣기'!$A$1:$AZ$1001,ROW(),설정!$C$11)&amp;"",""))</f>
        <v/>
      </c>
      <c r="J394">
        <f>IF(설정!$C$12="","",IFERROR(INDEX('1.산군_붙여넣기'!$A$1:$AZ$1001,ROW(),설정!$C$12)&amp;"",""))</f>
        <v/>
      </c>
      <c r="K394">
        <f>IF(설정!$C$13="","",IFERROR(INDEX('1.산군_붙여넣기'!$A$1:$AZ$1001,ROW(),설정!$C$13)&amp;"",""))</f>
        <v/>
      </c>
      <c r="L394" s="7">
        <f>IF(X394="","",IF(AND(LEN(X394)=8,ISNUMBER(X394*1)),DATE(LEFT(X394,4),MID(X394,5,2),RIGHT(X394,2)),IFERROR(DATEVALUE(SUBSTITUTE(SUBSTITUTE(X394,".","-"),"/","-")),IFERROR(X394*1,""))))</f>
        <v/>
      </c>
      <c r="M394" s="7">
        <f>IF(Y394="","",IF(AND(LEN(Y394)=8,ISNUMBER(Y394*1)),DATE(LEFT(Y394,4),MID(Y394,5,2),RIGHT(Y394,2)),IFERROR(DATEVALUE(SUBSTITUTE(SUBSTITUTE(Y394,".","-"),"/","-")),IFERROR(Y394*1,""))))</f>
        <v/>
      </c>
      <c r="N394">
        <f>IFERROR(LEFT(B394,FIND(" ",B394)-1),B394)</f>
        <v/>
      </c>
      <c r="O394">
        <f>AND(B394&lt;&gt;"",B394&lt;&gt;설정!$B$4,C394&lt;&gt;설정!$B$5)</f>
        <v/>
      </c>
      <c r="P394">
        <f>IF(O394,B394&amp;"|"&amp;C394,"")</f>
        <v/>
      </c>
      <c r="Q394">
        <f>AND(O394,COUNTIF(P395:P$1002,P394)=0)</f>
        <v/>
      </c>
      <c r="R394">
        <f>OR(AND(설정!$A$42&lt;&gt;"",ISNUMBER(SEARCH(설정!$A$42,E394&amp;" "&amp;C394))),AND(설정!$A$43&lt;&gt;"",ISNUMBER(SEARCH(설정!$A$43,E394&amp;" "&amp;C394))),AND(설정!$A$44&lt;&gt;"",ISNUMBER(SEARCH(설정!$A$44,E394&amp;" "&amp;C394))),AND(설정!$A$45&lt;&gt;"",ISNUMBER(SEARCH(설정!$A$45,E394&amp;" "&amp;C394))),AND(설정!$A$46&lt;&gt;"",ISNUMBER(SEARCH(설정!$A$46,E394&amp;" "&amp;C394))),AND(설정!$A$47&lt;&gt;"",ISNUMBER(SEARCH(설정!$A$47,E394&amp;" "&amp;C394))),AND(설정!$A$48&lt;&gt;"",ISNUMBER(SEARCH(설정!$A$48,E394&amp;" "&amp;C394))),AND(설정!$A$49&lt;&gt;"",ISNUMBER(SEARCH(설정!$A$49,E394&amp;" "&amp;C394))),AND(설정!$A$50&lt;&gt;"",ISNUMBER(SEARCH(설정!$A$50,E394&amp;" "&amp;C394))),AND(설정!$A$51&lt;&gt;"",ISNUMBER(SEARCH(설정!$A$51,E394&amp;" "&amp;C394))))</f>
        <v/>
      </c>
      <c r="S394">
        <f>OR(D394="",D394&gt;=설정!$B$19)</f>
        <v/>
      </c>
      <c r="T394">
        <f>AND(Q394,R394,S394)</f>
        <v/>
      </c>
      <c r="U394">
        <f>IF(T394,IF(AND(설정!$A$54&lt;&gt;"",ISNUMBER(SEARCH(설정!$A$54,K394))),설정!$B$54,IF(AND(설정!$A$55&lt;&gt;"",ISNUMBER(SEARCH(설정!$A$55,K394))),설정!$B$55,IF(AND(설정!$A$56&lt;&gt;"",ISNUMBER(SEARCH(설정!$A$56,K394))),설정!$B$56,IF(AND(설정!$A$57&lt;&gt;"",ISNUMBER(SEARCH(설정!$A$57,K394))),설정!$B$57,IF(AND(설정!$A$58&lt;&gt;"",ISNUMBER(SEARCH(설정!$A$58,K394))),설정!$B$58,IF(AND(설정!$A$59&lt;&gt;"",ISNUMBER(SEARCH(설정!$A$59,K394))),설정!$B$59,IF(AND(설정!$A$60&lt;&gt;"",ISNUMBER(SEARCH(설정!$A$60,K394))),설정!$B$60,IF(AND(설정!$A$61&lt;&gt;"",ISNUMBER(SEARCH(설정!$A$61,K394))),설정!$B$61,IF(M394="","설계사","시공사"))))))))),"")</f>
        <v/>
      </c>
      <c r="V394">
        <f>SUBSTITUTE(SUBSTITUTE(SUBSTITUTE(SUBSTITUTE(G394,"(주)",""),"㈜",""),"주식회사","")," ","")</f>
        <v/>
      </c>
      <c r="W394">
        <f>IF(AND(T394,V394&lt;&gt;""),IF(COUNTIFS(V$2:V394,V394,T$2:T394,TRUE)=1,MAX(W$1:W393)+1,""),"")</f>
        <v/>
      </c>
      <c r="X394">
        <f>IF(설정!$C$14="","",IFERROR(INDEX('1.산군_붙여넣기'!$A$1:$AZ$1001,ROW(),설정!$C$14)&amp;"",""))</f>
        <v/>
      </c>
      <c r="Y394">
        <f>IF(설정!$C$15="","",IFERROR(INDEX('1.산군_붙여넣기'!$A$1:$AZ$1001,ROW(),설정!$C$15)&amp;"",""))</f>
        <v/>
      </c>
      <c r="Z394">
        <f>IF(T394,V394&amp;"|"&amp;U394,"")</f>
        <v/>
      </c>
      <c r="AA394">
        <f>IF(NOT(Q394),"",IF(NOT(AND(R394,S394)),"✕",IF(OR(OR(AND(L394&lt;&gt;"",M394&lt;&gt;"",N(M394)-N(L394)&gt;설정!$B$27),AND(L394&lt;&gt;"",M394="",설정!$B$24-N(L394)&gt;설정!$B$27)),AND(D394&lt;&gt;"",D394&lt;설정!$B$26)),"△","★")))</f>
        <v/>
      </c>
      <c r="AB394">
        <f>IF(NOT(T394),"",IF(U394="설계사",설정!$B$31,IF(U394="시공사",IF(OR(M394="",설정!$B$24-N(M394)&lt;=설정!$B$28*30.4),설정!$B$32,설정!$B$33),설정!$B$34))+IF(AA394="★",설정!$B$35,0))</f>
        <v/>
      </c>
      <c r="AC394">
        <f>SUBSTITUTE(SUBSTITUTE(SUBSTITUTE(SUBSTITUTE(H394,"(주)",""),"㈜",""),"주식회사","")," ","")</f>
        <v/>
      </c>
      <c r="AD394">
        <f>IF(AND(T394,AC394&lt;&gt;""),IF(COUNTIFS(AC$2:AC394,AC394,T$2:T394,TRUE)=1,MAX(AD$1:AD393)+1,""),"")</f>
        <v/>
      </c>
    </row>
    <row r="395">
      <c r="A395">
        <f>ROW()</f>
        <v/>
      </c>
      <c r="B395">
        <f>IF(설정!$C$4="","",IFERROR(INDEX('1.산군_붙여넣기'!$A$1:$AZ$1001,ROW(),설정!$C$4)&amp;"",""))</f>
        <v/>
      </c>
      <c r="C395">
        <f>IF(설정!$C$5="","",IFERROR(INDEX('1.산군_붙여넣기'!$A$1:$AZ$1001,ROW(),설정!$C$5)&amp;"",""))</f>
        <v/>
      </c>
      <c r="D395" s="5">
        <f>IFERROR(VALUE(SUBSTITUTE(SUBSTITUTE(SUBSTITUTE(IF(설정!$C$6="","",IFERROR(INDEX('1.산군_붙여넣기'!$A$1:$AZ$1001,ROW(),설정!$C$6)&amp;"","")),",",""),"㎡",""),"m2","")),"")</f>
        <v/>
      </c>
      <c r="E395">
        <f>IF(설정!$C$7="","",IFERROR(INDEX('1.산군_붙여넣기'!$A$1:$AZ$1001,ROW(),설정!$C$7)&amp;"",""))</f>
        <v/>
      </c>
      <c r="F395">
        <f>IF(설정!$C$8="","",IFERROR(INDEX('1.산군_붙여넣기'!$A$1:$AZ$1001,ROW(),설정!$C$8)&amp;"",""))</f>
        <v/>
      </c>
      <c r="G395">
        <f>IF(설정!$C$9="","",IFERROR(INDEX('1.산군_붙여넣기'!$A$1:$AZ$1001,ROW(),설정!$C$9)&amp;"",""))</f>
        <v/>
      </c>
      <c r="H395">
        <f>IF(설정!$C$10="","",IFERROR(INDEX('1.산군_붙여넣기'!$A$1:$AZ$1001,ROW(),설정!$C$10)&amp;"",""))</f>
        <v/>
      </c>
      <c r="I395">
        <f>IF(설정!$C$11="","",IFERROR(INDEX('1.산군_붙여넣기'!$A$1:$AZ$1001,ROW(),설정!$C$11)&amp;"",""))</f>
        <v/>
      </c>
      <c r="J395">
        <f>IF(설정!$C$12="","",IFERROR(INDEX('1.산군_붙여넣기'!$A$1:$AZ$1001,ROW(),설정!$C$12)&amp;"",""))</f>
        <v/>
      </c>
      <c r="K395">
        <f>IF(설정!$C$13="","",IFERROR(INDEX('1.산군_붙여넣기'!$A$1:$AZ$1001,ROW(),설정!$C$13)&amp;"",""))</f>
        <v/>
      </c>
      <c r="L395" s="7">
        <f>IF(X395="","",IF(AND(LEN(X395)=8,ISNUMBER(X395*1)),DATE(LEFT(X395,4),MID(X395,5,2),RIGHT(X395,2)),IFERROR(DATEVALUE(SUBSTITUTE(SUBSTITUTE(X395,".","-"),"/","-")),IFERROR(X395*1,""))))</f>
        <v/>
      </c>
      <c r="M395" s="7">
        <f>IF(Y395="","",IF(AND(LEN(Y395)=8,ISNUMBER(Y395*1)),DATE(LEFT(Y395,4),MID(Y395,5,2),RIGHT(Y395,2)),IFERROR(DATEVALUE(SUBSTITUTE(SUBSTITUTE(Y395,".","-"),"/","-")),IFERROR(Y395*1,""))))</f>
        <v/>
      </c>
      <c r="N395">
        <f>IFERROR(LEFT(B395,FIND(" ",B395)-1),B395)</f>
        <v/>
      </c>
      <c r="O395">
        <f>AND(B395&lt;&gt;"",B395&lt;&gt;설정!$B$4,C395&lt;&gt;설정!$B$5)</f>
        <v/>
      </c>
      <c r="P395">
        <f>IF(O395,B395&amp;"|"&amp;C395,"")</f>
        <v/>
      </c>
      <c r="Q395">
        <f>AND(O395,COUNTIF(P396:P$1002,P395)=0)</f>
        <v/>
      </c>
      <c r="R395">
        <f>OR(AND(설정!$A$42&lt;&gt;"",ISNUMBER(SEARCH(설정!$A$42,E395&amp;" "&amp;C395))),AND(설정!$A$43&lt;&gt;"",ISNUMBER(SEARCH(설정!$A$43,E395&amp;" "&amp;C395))),AND(설정!$A$44&lt;&gt;"",ISNUMBER(SEARCH(설정!$A$44,E395&amp;" "&amp;C395))),AND(설정!$A$45&lt;&gt;"",ISNUMBER(SEARCH(설정!$A$45,E395&amp;" "&amp;C395))),AND(설정!$A$46&lt;&gt;"",ISNUMBER(SEARCH(설정!$A$46,E395&amp;" "&amp;C395))),AND(설정!$A$47&lt;&gt;"",ISNUMBER(SEARCH(설정!$A$47,E395&amp;" "&amp;C395))),AND(설정!$A$48&lt;&gt;"",ISNUMBER(SEARCH(설정!$A$48,E395&amp;" "&amp;C395))),AND(설정!$A$49&lt;&gt;"",ISNUMBER(SEARCH(설정!$A$49,E395&amp;" "&amp;C395))),AND(설정!$A$50&lt;&gt;"",ISNUMBER(SEARCH(설정!$A$50,E395&amp;" "&amp;C395))),AND(설정!$A$51&lt;&gt;"",ISNUMBER(SEARCH(설정!$A$51,E395&amp;" "&amp;C395))))</f>
        <v/>
      </c>
      <c r="S395">
        <f>OR(D395="",D395&gt;=설정!$B$19)</f>
        <v/>
      </c>
      <c r="T395">
        <f>AND(Q395,R395,S395)</f>
        <v/>
      </c>
      <c r="U395">
        <f>IF(T395,IF(AND(설정!$A$54&lt;&gt;"",ISNUMBER(SEARCH(설정!$A$54,K395))),설정!$B$54,IF(AND(설정!$A$55&lt;&gt;"",ISNUMBER(SEARCH(설정!$A$55,K395))),설정!$B$55,IF(AND(설정!$A$56&lt;&gt;"",ISNUMBER(SEARCH(설정!$A$56,K395))),설정!$B$56,IF(AND(설정!$A$57&lt;&gt;"",ISNUMBER(SEARCH(설정!$A$57,K395))),설정!$B$57,IF(AND(설정!$A$58&lt;&gt;"",ISNUMBER(SEARCH(설정!$A$58,K395))),설정!$B$58,IF(AND(설정!$A$59&lt;&gt;"",ISNUMBER(SEARCH(설정!$A$59,K395))),설정!$B$59,IF(AND(설정!$A$60&lt;&gt;"",ISNUMBER(SEARCH(설정!$A$60,K395))),설정!$B$60,IF(AND(설정!$A$61&lt;&gt;"",ISNUMBER(SEARCH(설정!$A$61,K395))),설정!$B$61,IF(M395="","설계사","시공사"))))))))),"")</f>
        <v/>
      </c>
      <c r="V395">
        <f>SUBSTITUTE(SUBSTITUTE(SUBSTITUTE(SUBSTITUTE(G395,"(주)",""),"㈜",""),"주식회사","")," ","")</f>
        <v/>
      </c>
      <c r="W395">
        <f>IF(AND(T395,V395&lt;&gt;""),IF(COUNTIFS(V$2:V395,V395,T$2:T395,TRUE)=1,MAX(W$1:W394)+1,""),"")</f>
        <v/>
      </c>
      <c r="X395">
        <f>IF(설정!$C$14="","",IFERROR(INDEX('1.산군_붙여넣기'!$A$1:$AZ$1001,ROW(),설정!$C$14)&amp;"",""))</f>
        <v/>
      </c>
      <c r="Y395">
        <f>IF(설정!$C$15="","",IFERROR(INDEX('1.산군_붙여넣기'!$A$1:$AZ$1001,ROW(),설정!$C$15)&amp;"",""))</f>
        <v/>
      </c>
      <c r="Z395">
        <f>IF(T395,V395&amp;"|"&amp;U395,"")</f>
        <v/>
      </c>
      <c r="AA395">
        <f>IF(NOT(Q395),"",IF(NOT(AND(R395,S395)),"✕",IF(OR(OR(AND(L395&lt;&gt;"",M395&lt;&gt;"",N(M395)-N(L395)&gt;설정!$B$27),AND(L395&lt;&gt;"",M395="",설정!$B$24-N(L395)&gt;설정!$B$27)),AND(D395&lt;&gt;"",D395&lt;설정!$B$26)),"△","★")))</f>
        <v/>
      </c>
      <c r="AB395">
        <f>IF(NOT(T395),"",IF(U395="설계사",설정!$B$31,IF(U395="시공사",IF(OR(M395="",설정!$B$24-N(M395)&lt;=설정!$B$28*30.4),설정!$B$32,설정!$B$33),설정!$B$34))+IF(AA395="★",설정!$B$35,0))</f>
        <v/>
      </c>
      <c r="AC395">
        <f>SUBSTITUTE(SUBSTITUTE(SUBSTITUTE(SUBSTITUTE(H395,"(주)",""),"㈜",""),"주식회사","")," ","")</f>
        <v/>
      </c>
      <c r="AD395">
        <f>IF(AND(T395,AC395&lt;&gt;""),IF(COUNTIFS(AC$2:AC395,AC395,T$2:T395,TRUE)=1,MAX(AD$1:AD394)+1,""),"")</f>
        <v/>
      </c>
    </row>
    <row r="396">
      <c r="A396">
        <f>ROW()</f>
        <v/>
      </c>
      <c r="B396">
        <f>IF(설정!$C$4="","",IFERROR(INDEX('1.산군_붙여넣기'!$A$1:$AZ$1001,ROW(),설정!$C$4)&amp;"",""))</f>
        <v/>
      </c>
      <c r="C396">
        <f>IF(설정!$C$5="","",IFERROR(INDEX('1.산군_붙여넣기'!$A$1:$AZ$1001,ROW(),설정!$C$5)&amp;"",""))</f>
        <v/>
      </c>
      <c r="D396" s="5">
        <f>IFERROR(VALUE(SUBSTITUTE(SUBSTITUTE(SUBSTITUTE(IF(설정!$C$6="","",IFERROR(INDEX('1.산군_붙여넣기'!$A$1:$AZ$1001,ROW(),설정!$C$6)&amp;"","")),",",""),"㎡",""),"m2","")),"")</f>
        <v/>
      </c>
      <c r="E396">
        <f>IF(설정!$C$7="","",IFERROR(INDEX('1.산군_붙여넣기'!$A$1:$AZ$1001,ROW(),설정!$C$7)&amp;"",""))</f>
        <v/>
      </c>
      <c r="F396">
        <f>IF(설정!$C$8="","",IFERROR(INDEX('1.산군_붙여넣기'!$A$1:$AZ$1001,ROW(),설정!$C$8)&amp;"",""))</f>
        <v/>
      </c>
      <c r="G396">
        <f>IF(설정!$C$9="","",IFERROR(INDEX('1.산군_붙여넣기'!$A$1:$AZ$1001,ROW(),설정!$C$9)&amp;"",""))</f>
        <v/>
      </c>
      <c r="H396">
        <f>IF(설정!$C$10="","",IFERROR(INDEX('1.산군_붙여넣기'!$A$1:$AZ$1001,ROW(),설정!$C$10)&amp;"",""))</f>
        <v/>
      </c>
      <c r="I396">
        <f>IF(설정!$C$11="","",IFERROR(INDEX('1.산군_붙여넣기'!$A$1:$AZ$1001,ROW(),설정!$C$11)&amp;"",""))</f>
        <v/>
      </c>
      <c r="J396">
        <f>IF(설정!$C$12="","",IFERROR(INDEX('1.산군_붙여넣기'!$A$1:$AZ$1001,ROW(),설정!$C$12)&amp;"",""))</f>
        <v/>
      </c>
      <c r="K396">
        <f>IF(설정!$C$13="","",IFERROR(INDEX('1.산군_붙여넣기'!$A$1:$AZ$1001,ROW(),설정!$C$13)&amp;"",""))</f>
        <v/>
      </c>
      <c r="L396" s="7">
        <f>IF(X396="","",IF(AND(LEN(X396)=8,ISNUMBER(X396*1)),DATE(LEFT(X396,4),MID(X396,5,2),RIGHT(X396,2)),IFERROR(DATEVALUE(SUBSTITUTE(SUBSTITUTE(X396,".","-"),"/","-")),IFERROR(X396*1,""))))</f>
        <v/>
      </c>
      <c r="M396" s="7">
        <f>IF(Y396="","",IF(AND(LEN(Y396)=8,ISNUMBER(Y396*1)),DATE(LEFT(Y396,4),MID(Y396,5,2),RIGHT(Y396,2)),IFERROR(DATEVALUE(SUBSTITUTE(SUBSTITUTE(Y396,".","-"),"/","-")),IFERROR(Y396*1,""))))</f>
        <v/>
      </c>
      <c r="N396">
        <f>IFERROR(LEFT(B396,FIND(" ",B396)-1),B396)</f>
        <v/>
      </c>
      <c r="O396">
        <f>AND(B396&lt;&gt;"",B396&lt;&gt;설정!$B$4,C396&lt;&gt;설정!$B$5)</f>
        <v/>
      </c>
      <c r="P396">
        <f>IF(O396,B396&amp;"|"&amp;C396,"")</f>
        <v/>
      </c>
      <c r="Q396">
        <f>AND(O396,COUNTIF(P397:P$1002,P396)=0)</f>
        <v/>
      </c>
      <c r="R396">
        <f>OR(AND(설정!$A$42&lt;&gt;"",ISNUMBER(SEARCH(설정!$A$42,E396&amp;" "&amp;C396))),AND(설정!$A$43&lt;&gt;"",ISNUMBER(SEARCH(설정!$A$43,E396&amp;" "&amp;C396))),AND(설정!$A$44&lt;&gt;"",ISNUMBER(SEARCH(설정!$A$44,E396&amp;" "&amp;C396))),AND(설정!$A$45&lt;&gt;"",ISNUMBER(SEARCH(설정!$A$45,E396&amp;" "&amp;C396))),AND(설정!$A$46&lt;&gt;"",ISNUMBER(SEARCH(설정!$A$46,E396&amp;" "&amp;C396))),AND(설정!$A$47&lt;&gt;"",ISNUMBER(SEARCH(설정!$A$47,E396&amp;" "&amp;C396))),AND(설정!$A$48&lt;&gt;"",ISNUMBER(SEARCH(설정!$A$48,E396&amp;" "&amp;C396))),AND(설정!$A$49&lt;&gt;"",ISNUMBER(SEARCH(설정!$A$49,E396&amp;" "&amp;C396))),AND(설정!$A$50&lt;&gt;"",ISNUMBER(SEARCH(설정!$A$50,E396&amp;" "&amp;C396))),AND(설정!$A$51&lt;&gt;"",ISNUMBER(SEARCH(설정!$A$51,E396&amp;" "&amp;C396))))</f>
        <v/>
      </c>
      <c r="S396">
        <f>OR(D396="",D396&gt;=설정!$B$19)</f>
        <v/>
      </c>
      <c r="T396">
        <f>AND(Q396,R396,S396)</f>
        <v/>
      </c>
      <c r="U396">
        <f>IF(T396,IF(AND(설정!$A$54&lt;&gt;"",ISNUMBER(SEARCH(설정!$A$54,K396))),설정!$B$54,IF(AND(설정!$A$55&lt;&gt;"",ISNUMBER(SEARCH(설정!$A$55,K396))),설정!$B$55,IF(AND(설정!$A$56&lt;&gt;"",ISNUMBER(SEARCH(설정!$A$56,K396))),설정!$B$56,IF(AND(설정!$A$57&lt;&gt;"",ISNUMBER(SEARCH(설정!$A$57,K396))),설정!$B$57,IF(AND(설정!$A$58&lt;&gt;"",ISNUMBER(SEARCH(설정!$A$58,K396))),설정!$B$58,IF(AND(설정!$A$59&lt;&gt;"",ISNUMBER(SEARCH(설정!$A$59,K396))),설정!$B$59,IF(AND(설정!$A$60&lt;&gt;"",ISNUMBER(SEARCH(설정!$A$60,K396))),설정!$B$60,IF(AND(설정!$A$61&lt;&gt;"",ISNUMBER(SEARCH(설정!$A$61,K396))),설정!$B$61,IF(M396="","설계사","시공사"))))))))),"")</f>
        <v/>
      </c>
      <c r="V396">
        <f>SUBSTITUTE(SUBSTITUTE(SUBSTITUTE(SUBSTITUTE(G396,"(주)",""),"㈜",""),"주식회사","")," ","")</f>
        <v/>
      </c>
      <c r="W396">
        <f>IF(AND(T396,V396&lt;&gt;""),IF(COUNTIFS(V$2:V396,V396,T$2:T396,TRUE)=1,MAX(W$1:W395)+1,""),"")</f>
        <v/>
      </c>
      <c r="X396">
        <f>IF(설정!$C$14="","",IFERROR(INDEX('1.산군_붙여넣기'!$A$1:$AZ$1001,ROW(),설정!$C$14)&amp;"",""))</f>
        <v/>
      </c>
      <c r="Y396">
        <f>IF(설정!$C$15="","",IFERROR(INDEX('1.산군_붙여넣기'!$A$1:$AZ$1001,ROW(),설정!$C$15)&amp;"",""))</f>
        <v/>
      </c>
      <c r="Z396">
        <f>IF(T396,V396&amp;"|"&amp;U396,"")</f>
        <v/>
      </c>
      <c r="AA396">
        <f>IF(NOT(Q396),"",IF(NOT(AND(R396,S396)),"✕",IF(OR(OR(AND(L396&lt;&gt;"",M396&lt;&gt;"",N(M396)-N(L396)&gt;설정!$B$27),AND(L396&lt;&gt;"",M396="",설정!$B$24-N(L396)&gt;설정!$B$27)),AND(D396&lt;&gt;"",D396&lt;설정!$B$26)),"△","★")))</f>
        <v/>
      </c>
      <c r="AB396">
        <f>IF(NOT(T396),"",IF(U396="설계사",설정!$B$31,IF(U396="시공사",IF(OR(M396="",설정!$B$24-N(M396)&lt;=설정!$B$28*30.4),설정!$B$32,설정!$B$33),설정!$B$34))+IF(AA396="★",설정!$B$35,0))</f>
        <v/>
      </c>
      <c r="AC396">
        <f>SUBSTITUTE(SUBSTITUTE(SUBSTITUTE(SUBSTITUTE(H396,"(주)",""),"㈜",""),"주식회사","")," ","")</f>
        <v/>
      </c>
      <c r="AD396">
        <f>IF(AND(T396,AC396&lt;&gt;""),IF(COUNTIFS(AC$2:AC396,AC396,T$2:T396,TRUE)=1,MAX(AD$1:AD395)+1,""),"")</f>
        <v/>
      </c>
    </row>
    <row r="397">
      <c r="A397">
        <f>ROW()</f>
        <v/>
      </c>
      <c r="B397">
        <f>IF(설정!$C$4="","",IFERROR(INDEX('1.산군_붙여넣기'!$A$1:$AZ$1001,ROW(),설정!$C$4)&amp;"",""))</f>
        <v/>
      </c>
      <c r="C397">
        <f>IF(설정!$C$5="","",IFERROR(INDEX('1.산군_붙여넣기'!$A$1:$AZ$1001,ROW(),설정!$C$5)&amp;"",""))</f>
        <v/>
      </c>
      <c r="D397" s="5">
        <f>IFERROR(VALUE(SUBSTITUTE(SUBSTITUTE(SUBSTITUTE(IF(설정!$C$6="","",IFERROR(INDEX('1.산군_붙여넣기'!$A$1:$AZ$1001,ROW(),설정!$C$6)&amp;"","")),",",""),"㎡",""),"m2","")),"")</f>
        <v/>
      </c>
      <c r="E397">
        <f>IF(설정!$C$7="","",IFERROR(INDEX('1.산군_붙여넣기'!$A$1:$AZ$1001,ROW(),설정!$C$7)&amp;"",""))</f>
        <v/>
      </c>
      <c r="F397">
        <f>IF(설정!$C$8="","",IFERROR(INDEX('1.산군_붙여넣기'!$A$1:$AZ$1001,ROW(),설정!$C$8)&amp;"",""))</f>
        <v/>
      </c>
      <c r="G397">
        <f>IF(설정!$C$9="","",IFERROR(INDEX('1.산군_붙여넣기'!$A$1:$AZ$1001,ROW(),설정!$C$9)&amp;"",""))</f>
        <v/>
      </c>
      <c r="H397">
        <f>IF(설정!$C$10="","",IFERROR(INDEX('1.산군_붙여넣기'!$A$1:$AZ$1001,ROW(),설정!$C$10)&amp;"",""))</f>
        <v/>
      </c>
      <c r="I397">
        <f>IF(설정!$C$11="","",IFERROR(INDEX('1.산군_붙여넣기'!$A$1:$AZ$1001,ROW(),설정!$C$11)&amp;"",""))</f>
        <v/>
      </c>
      <c r="J397">
        <f>IF(설정!$C$12="","",IFERROR(INDEX('1.산군_붙여넣기'!$A$1:$AZ$1001,ROW(),설정!$C$12)&amp;"",""))</f>
        <v/>
      </c>
      <c r="K397">
        <f>IF(설정!$C$13="","",IFERROR(INDEX('1.산군_붙여넣기'!$A$1:$AZ$1001,ROW(),설정!$C$13)&amp;"",""))</f>
        <v/>
      </c>
      <c r="L397" s="7">
        <f>IF(X397="","",IF(AND(LEN(X397)=8,ISNUMBER(X397*1)),DATE(LEFT(X397,4),MID(X397,5,2),RIGHT(X397,2)),IFERROR(DATEVALUE(SUBSTITUTE(SUBSTITUTE(X397,".","-"),"/","-")),IFERROR(X397*1,""))))</f>
        <v/>
      </c>
      <c r="M397" s="7">
        <f>IF(Y397="","",IF(AND(LEN(Y397)=8,ISNUMBER(Y397*1)),DATE(LEFT(Y397,4),MID(Y397,5,2),RIGHT(Y397,2)),IFERROR(DATEVALUE(SUBSTITUTE(SUBSTITUTE(Y397,".","-"),"/","-")),IFERROR(Y397*1,""))))</f>
        <v/>
      </c>
      <c r="N397">
        <f>IFERROR(LEFT(B397,FIND(" ",B397)-1),B397)</f>
        <v/>
      </c>
      <c r="O397">
        <f>AND(B397&lt;&gt;"",B397&lt;&gt;설정!$B$4,C397&lt;&gt;설정!$B$5)</f>
        <v/>
      </c>
      <c r="P397">
        <f>IF(O397,B397&amp;"|"&amp;C397,"")</f>
        <v/>
      </c>
      <c r="Q397">
        <f>AND(O397,COUNTIF(P398:P$1002,P397)=0)</f>
        <v/>
      </c>
      <c r="R397">
        <f>OR(AND(설정!$A$42&lt;&gt;"",ISNUMBER(SEARCH(설정!$A$42,E397&amp;" "&amp;C397))),AND(설정!$A$43&lt;&gt;"",ISNUMBER(SEARCH(설정!$A$43,E397&amp;" "&amp;C397))),AND(설정!$A$44&lt;&gt;"",ISNUMBER(SEARCH(설정!$A$44,E397&amp;" "&amp;C397))),AND(설정!$A$45&lt;&gt;"",ISNUMBER(SEARCH(설정!$A$45,E397&amp;" "&amp;C397))),AND(설정!$A$46&lt;&gt;"",ISNUMBER(SEARCH(설정!$A$46,E397&amp;" "&amp;C397))),AND(설정!$A$47&lt;&gt;"",ISNUMBER(SEARCH(설정!$A$47,E397&amp;" "&amp;C397))),AND(설정!$A$48&lt;&gt;"",ISNUMBER(SEARCH(설정!$A$48,E397&amp;" "&amp;C397))),AND(설정!$A$49&lt;&gt;"",ISNUMBER(SEARCH(설정!$A$49,E397&amp;" "&amp;C397))),AND(설정!$A$50&lt;&gt;"",ISNUMBER(SEARCH(설정!$A$50,E397&amp;" "&amp;C397))),AND(설정!$A$51&lt;&gt;"",ISNUMBER(SEARCH(설정!$A$51,E397&amp;" "&amp;C397))))</f>
        <v/>
      </c>
      <c r="S397">
        <f>OR(D397="",D397&gt;=설정!$B$19)</f>
        <v/>
      </c>
      <c r="T397">
        <f>AND(Q397,R397,S397)</f>
        <v/>
      </c>
      <c r="U397">
        <f>IF(T397,IF(AND(설정!$A$54&lt;&gt;"",ISNUMBER(SEARCH(설정!$A$54,K397))),설정!$B$54,IF(AND(설정!$A$55&lt;&gt;"",ISNUMBER(SEARCH(설정!$A$55,K397))),설정!$B$55,IF(AND(설정!$A$56&lt;&gt;"",ISNUMBER(SEARCH(설정!$A$56,K397))),설정!$B$56,IF(AND(설정!$A$57&lt;&gt;"",ISNUMBER(SEARCH(설정!$A$57,K397))),설정!$B$57,IF(AND(설정!$A$58&lt;&gt;"",ISNUMBER(SEARCH(설정!$A$58,K397))),설정!$B$58,IF(AND(설정!$A$59&lt;&gt;"",ISNUMBER(SEARCH(설정!$A$59,K397))),설정!$B$59,IF(AND(설정!$A$60&lt;&gt;"",ISNUMBER(SEARCH(설정!$A$60,K397))),설정!$B$60,IF(AND(설정!$A$61&lt;&gt;"",ISNUMBER(SEARCH(설정!$A$61,K397))),설정!$B$61,IF(M397="","설계사","시공사"))))))))),"")</f>
        <v/>
      </c>
      <c r="V397">
        <f>SUBSTITUTE(SUBSTITUTE(SUBSTITUTE(SUBSTITUTE(G397,"(주)",""),"㈜",""),"주식회사","")," ","")</f>
        <v/>
      </c>
      <c r="W397">
        <f>IF(AND(T397,V397&lt;&gt;""),IF(COUNTIFS(V$2:V397,V397,T$2:T397,TRUE)=1,MAX(W$1:W396)+1,""),"")</f>
        <v/>
      </c>
      <c r="X397">
        <f>IF(설정!$C$14="","",IFERROR(INDEX('1.산군_붙여넣기'!$A$1:$AZ$1001,ROW(),설정!$C$14)&amp;"",""))</f>
        <v/>
      </c>
      <c r="Y397">
        <f>IF(설정!$C$15="","",IFERROR(INDEX('1.산군_붙여넣기'!$A$1:$AZ$1001,ROW(),설정!$C$15)&amp;"",""))</f>
        <v/>
      </c>
      <c r="Z397">
        <f>IF(T397,V397&amp;"|"&amp;U397,"")</f>
        <v/>
      </c>
      <c r="AA397">
        <f>IF(NOT(Q397),"",IF(NOT(AND(R397,S397)),"✕",IF(OR(OR(AND(L397&lt;&gt;"",M397&lt;&gt;"",N(M397)-N(L397)&gt;설정!$B$27),AND(L397&lt;&gt;"",M397="",설정!$B$24-N(L397)&gt;설정!$B$27)),AND(D397&lt;&gt;"",D397&lt;설정!$B$26)),"△","★")))</f>
        <v/>
      </c>
      <c r="AB397">
        <f>IF(NOT(T397),"",IF(U397="설계사",설정!$B$31,IF(U397="시공사",IF(OR(M397="",설정!$B$24-N(M397)&lt;=설정!$B$28*30.4),설정!$B$32,설정!$B$33),설정!$B$34))+IF(AA397="★",설정!$B$35,0))</f>
        <v/>
      </c>
      <c r="AC397">
        <f>SUBSTITUTE(SUBSTITUTE(SUBSTITUTE(SUBSTITUTE(H397,"(주)",""),"㈜",""),"주식회사","")," ","")</f>
        <v/>
      </c>
      <c r="AD397">
        <f>IF(AND(T397,AC397&lt;&gt;""),IF(COUNTIFS(AC$2:AC397,AC397,T$2:T397,TRUE)=1,MAX(AD$1:AD396)+1,""),"")</f>
        <v/>
      </c>
    </row>
    <row r="398">
      <c r="A398">
        <f>ROW()</f>
        <v/>
      </c>
      <c r="B398">
        <f>IF(설정!$C$4="","",IFERROR(INDEX('1.산군_붙여넣기'!$A$1:$AZ$1001,ROW(),설정!$C$4)&amp;"",""))</f>
        <v/>
      </c>
      <c r="C398">
        <f>IF(설정!$C$5="","",IFERROR(INDEX('1.산군_붙여넣기'!$A$1:$AZ$1001,ROW(),설정!$C$5)&amp;"",""))</f>
        <v/>
      </c>
      <c r="D398" s="5">
        <f>IFERROR(VALUE(SUBSTITUTE(SUBSTITUTE(SUBSTITUTE(IF(설정!$C$6="","",IFERROR(INDEX('1.산군_붙여넣기'!$A$1:$AZ$1001,ROW(),설정!$C$6)&amp;"","")),",",""),"㎡",""),"m2","")),"")</f>
        <v/>
      </c>
      <c r="E398">
        <f>IF(설정!$C$7="","",IFERROR(INDEX('1.산군_붙여넣기'!$A$1:$AZ$1001,ROW(),설정!$C$7)&amp;"",""))</f>
        <v/>
      </c>
      <c r="F398">
        <f>IF(설정!$C$8="","",IFERROR(INDEX('1.산군_붙여넣기'!$A$1:$AZ$1001,ROW(),설정!$C$8)&amp;"",""))</f>
        <v/>
      </c>
      <c r="G398">
        <f>IF(설정!$C$9="","",IFERROR(INDEX('1.산군_붙여넣기'!$A$1:$AZ$1001,ROW(),설정!$C$9)&amp;"",""))</f>
        <v/>
      </c>
      <c r="H398">
        <f>IF(설정!$C$10="","",IFERROR(INDEX('1.산군_붙여넣기'!$A$1:$AZ$1001,ROW(),설정!$C$10)&amp;"",""))</f>
        <v/>
      </c>
      <c r="I398">
        <f>IF(설정!$C$11="","",IFERROR(INDEX('1.산군_붙여넣기'!$A$1:$AZ$1001,ROW(),설정!$C$11)&amp;"",""))</f>
        <v/>
      </c>
      <c r="J398">
        <f>IF(설정!$C$12="","",IFERROR(INDEX('1.산군_붙여넣기'!$A$1:$AZ$1001,ROW(),설정!$C$12)&amp;"",""))</f>
        <v/>
      </c>
      <c r="K398">
        <f>IF(설정!$C$13="","",IFERROR(INDEX('1.산군_붙여넣기'!$A$1:$AZ$1001,ROW(),설정!$C$13)&amp;"",""))</f>
        <v/>
      </c>
      <c r="L398" s="7">
        <f>IF(X398="","",IF(AND(LEN(X398)=8,ISNUMBER(X398*1)),DATE(LEFT(X398,4),MID(X398,5,2),RIGHT(X398,2)),IFERROR(DATEVALUE(SUBSTITUTE(SUBSTITUTE(X398,".","-"),"/","-")),IFERROR(X398*1,""))))</f>
        <v/>
      </c>
      <c r="M398" s="7">
        <f>IF(Y398="","",IF(AND(LEN(Y398)=8,ISNUMBER(Y398*1)),DATE(LEFT(Y398,4),MID(Y398,5,2),RIGHT(Y398,2)),IFERROR(DATEVALUE(SUBSTITUTE(SUBSTITUTE(Y398,".","-"),"/","-")),IFERROR(Y398*1,""))))</f>
        <v/>
      </c>
      <c r="N398">
        <f>IFERROR(LEFT(B398,FIND(" ",B398)-1),B398)</f>
        <v/>
      </c>
      <c r="O398">
        <f>AND(B398&lt;&gt;"",B398&lt;&gt;설정!$B$4,C398&lt;&gt;설정!$B$5)</f>
        <v/>
      </c>
      <c r="P398">
        <f>IF(O398,B398&amp;"|"&amp;C398,"")</f>
        <v/>
      </c>
      <c r="Q398">
        <f>AND(O398,COUNTIF(P399:P$1002,P398)=0)</f>
        <v/>
      </c>
      <c r="R398">
        <f>OR(AND(설정!$A$42&lt;&gt;"",ISNUMBER(SEARCH(설정!$A$42,E398&amp;" "&amp;C398))),AND(설정!$A$43&lt;&gt;"",ISNUMBER(SEARCH(설정!$A$43,E398&amp;" "&amp;C398))),AND(설정!$A$44&lt;&gt;"",ISNUMBER(SEARCH(설정!$A$44,E398&amp;" "&amp;C398))),AND(설정!$A$45&lt;&gt;"",ISNUMBER(SEARCH(설정!$A$45,E398&amp;" "&amp;C398))),AND(설정!$A$46&lt;&gt;"",ISNUMBER(SEARCH(설정!$A$46,E398&amp;" "&amp;C398))),AND(설정!$A$47&lt;&gt;"",ISNUMBER(SEARCH(설정!$A$47,E398&amp;" "&amp;C398))),AND(설정!$A$48&lt;&gt;"",ISNUMBER(SEARCH(설정!$A$48,E398&amp;" "&amp;C398))),AND(설정!$A$49&lt;&gt;"",ISNUMBER(SEARCH(설정!$A$49,E398&amp;" "&amp;C398))),AND(설정!$A$50&lt;&gt;"",ISNUMBER(SEARCH(설정!$A$50,E398&amp;" "&amp;C398))),AND(설정!$A$51&lt;&gt;"",ISNUMBER(SEARCH(설정!$A$51,E398&amp;" "&amp;C398))))</f>
        <v/>
      </c>
      <c r="S398">
        <f>OR(D398="",D398&gt;=설정!$B$19)</f>
        <v/>
      </c>
      <c r="T398">
        <f>AND(Q398,R398,S398)</f>
        <v/>
      </c>
      <c r="U398">
        <f>IF(T398,IF(AND(설정!$A$54&lt;&gt;"",ISNUMBER(SEARCH(설정!$A$54,K398))),설정!$B$54,IF(AND(설정!$A$55&lt;&gt;"",ISNUMBER(SEARCH(설정!$A$55,K398))),설정!$B$55,IF(AND(설정!$A$56&lt;&gt;"",ISNUMBER(SEARCH(설정!$A$56,K398))),설정!$B$56,IF(AND(설정!$A$57&lt;&gt;"",ISNUMBER(SEARCH(설정!$A$57,K398))),설정!$B$57,IF(AND(설정!$A$58&lt;&gt;"",ISNUMBER(SEARCH(설정!$A$58,K398))),설정!$B$58,IF(AND(설정!$A$59&lt;&gt;"",ISNUMBER(SEARCH(설정!$A$59,K398))),설정!$B$59,IF(AND(설정!$A$60&lt;&gt;"",ISNUMBER(SEARCH(설정!$A$60,K398))),설정!$B$60,IF(AND(설정!$A$61&lt;&gt;"",ISNUMBER(SEARCH(설정!$A$61,K398))),설정!$B$61,IF(M398="","설계사","시공사"))))))))),"")</f>
        <v/>
      </c>
      <c r="V398">
        <f>SUBSTITUTE(SUBSTITUTE(SUBSTITUTE(SUBSTITUTE(G398,"(주)",""),"㈜",""),"주식회사","")," ","")</f>
        <v/>
      </c>
      <c r="W398">
        <f>IF(AND(T398,V398&lt;&gt;""),IF(COUNTIFS(V$2:V398,V398,T$2:T398,TRUE)=1,MAX(W$1:W397)+1,""),"")</f>
        <v/>
      </c>
      <c r="X398">
        <f>IF(설정!$C$14="","",IFERROR(INDEX('1.산군_붙여넣기'!$A$1:$AZ$1001,ROW(),설정!$C$14)&amp;"",""))</f>
        <v/>
      </c>
      <c r="Y398">
        <f>IF(설정!$C$15="","",IFERROR(INDEX('1.산군_붙여넣기'!$A$1:$AZ$1001,ROW(),설정!$C$15)&amp;"",""))</f>
        <v/>
      </c>
      <c r="Z398">
        <f>IF(T398,V398&amp;"|"&amp;U398,"")</f>
        <v/>
      </c>
      <c r="AA398">
        <f>IF(NOT(Q398),"",IF(NOT(AND(R398,S398)),"✕",IF(OR(OR(AND(L398&lt;&gt;"",M398&lt;&gt;"",N(M398)-N(L398)&gt;설정!$B$27),AND(L398&lt;&gt;"",M398="",설정!$B$24-N(L398)&gt;설정!$B$27)),AND(D398&lt;&gt;"",D398&lt;설정!$B$26)),"△","★")))</f>
        <v/>
      </c>
      <c r="AB398">
        <f>IF(NOT(T398),"",IF(U398="설계사",설정!$B$31,IF(U398="시공사",IF(OR(M398="",설정!$B$24-N(M398)&lt;=설정!$B$28*30.4),설정!$B$32,설정!$B$33),설정!$B$34))+IF(AA398="★",설정!$B$35,0))</f>
        <v/>
      </c>
      <c r="AC398">
        <f>SUBSTITUTE(SUBSTITUTE(SUBSTITUTE(SUBSTITUTE(H398,"(주)",""),"㈜",""),"주식회사","")," ","")</f>
        <v/>
      </c>
      <c r="AD398">
        <f>IF(AND(T398,AC398&lt;&gt;""),IF(COUNTIFS(AC$2:AC398,AC398,T$2:T398,TRUE)=1,MAX(AD$1:AD397)+1,""),"")</f>
        <v/>
      </c>
    </row>
    <row r="399">
      <c r="A399">
        <f>ROW()</f>
        <v/>
      </c>
      <c r="B399">
        <f>IF(설정!$C$4="","",IFERROR(INDEX('1.산군_붙여넣기'!$A$1:$AZ$1001,ROW(),설정!$C$4)&amp;"",""))</f>
        <v/>
      </c>
      <c r="C399">
        <f>IF(설정!$C$5="","",IFERROR(INDEX('1.산군_붙여넣기'!$A$1:$AZ$1001,ROW(),설정!$C$5)&amp;"",""))</f>
        <v/>
      </c>
      <c r="D399" s="5">
        <f>IFERROR(VALUE(SUBSTITUTE(SUBSTITUTE(SUBSTITUTE(IF(설정!$C$6="","",IFERROR(INDEX('1.산군_붙여넣기'!$A$1:$AZ$1001,ROW(),설정!$C$6)&amp;"","")),",",""),"㎡",""),"m2","")),"")</f>
        <v/>
      </c>
      <c r="E399">
        <f>IF(설정!$C$7="","",IFERROR(INDEX('1.산군_붙여넣기'!$A$1:$AZ$1001,ROW(),설정!$C$7)&amp;"",""))</f>
        <v/>
      </c>
      <c r="F399">
        <f>IF(설정!$C$8="","",IFERROR(INDEX('1.산군_붙여넣기'!$A$1:$AZ$1001,ROW(),설정!$C$8)&amp;"",""))</f>
        <v/>
      </c>
      <c r="G399">
        <f>IF(설정!$C$9="","",IFERROR(INDEX('1.산군_붙여넣기'!$A$1:$AZ$1001,ROW(),설정!$C$9)&amp;"",""))</f>
        <v/>
      </c>
      <c r="H399">
        <f>IF(설정!$C$10="","",IFERROR(INDEX('1.산군_붙여넣기'!$A$1:$AZ$1001,ROW(),설정!$C$10)&amp;"",""))</f>
        <v/>
      </c>
      <c r="I399">
        <f>IF(설정!$C$11="","",IFERROR(INDEX('1.산군_붙여넣기'!$A$1:$AZ$1001,ROW(),설정!$C$11)&amp;"",""))</f>
        <v/>
      </c>
      <c r="J399">
        <f>IF(설정!$C$12="","",IFERROR(INDEX('1.산군_붙여넣기'!$A$1:$AZ$1001,ROW(),설정!$C$12)&amp;"",""))</f>
        <v/>
      </c>
      <c r="K399">
        <f>IF(설정!$C$13="","",IFERROR(INDEX('1.산군_붙여넣기'!$A$1:$AZ$1001,ROW(),설정!$C$13)&amp;"",""))</f>
        <v/>
      </c>
      <c r="L399" s="7">
        <f>IF(X399="","",IF(AND(LEN(X399)=8,ISNUMBER(X399*1)),DATE(LEFT(X399,4),MID(X399,5,2),RIGHT(X399,2)),IFERROR(DATEVALUE(SUBSTITUTE(SUBSTITUTE(X399,".","-"),"/","-")),IFERROR(X399*1,""))))</f>
        <v/>
      </c>
      <c r="M399" s="7">
        <f>IF(Y399="","",IF(AND(LEN(Y399)=8,ISNUMBER(Y399*1)),DATE(LEFT(Y399,4),MID(Y399,5,2),RIGHT(Y399,2)),IFERROR(DATEVALUE(SUBSTITUTE(SUBSTITUTE(Y399,".","-"),"/","-")),IFERROR(Y399*1,""))))</f>
        <v/>
      </c>
      <c r="N399">
        <f>IFERROR(LEFT(B399,FIND(" ",B399)-1),B399)</f>
        <v/>
      </c>
      <c r="O399">
        <f>AND(B399&lt;&gt;"",B399&lt;&gt;설정!$B$4,C399&lt;&gt;설정!$B$5)</f>
        <v/>
      </c>
      <c r="P399">
        <f>IF(O399,B399&amp;"|"&amp;C399,"")</f>
        <v/>
      </c>
      <c r="Q399">
        <f>AND(O399,COUNTIF(P400:P$1002,P399)=0)</f>
        <v/>
      </c>
      <c r="R399">
        <f>OR(AND(설정!$A$42&lt;&gt;"",ISNUMBER(SEARCH(설정!$A$42,E399&amp;" "&amp;C399))),AND(설정!$A$43&lt;&gt;"",ISNUMBER(SEARCH(설정!$A$43,E399&amp;" "&amp;C399))),AND(설정!$A$44&lt;&gt;"",ISNUMBER(SEARCH(설정!$A$44,E399&amp;" "&amp;C399))),AND(설정!$A$45&lt;&gt;"",ISNUMBER(SEARCH(설정!$A$45,E399&amp;" "&amp;C399))),AND(설정!$A$46&lt;&gt;"",ISNUMBER(SEARCH(설정!$A$46,E399&amp;" "&amp;C399))),AND(설정!$A$47&lt;&gt;"",ISNUMBER(SEARCH(설정!$A$47,E399&amp;" "&amp;C399))),AND(설정!$A$48&lt;&gt;"",ISNUMBER(SEARCH(설정!$A$48,E399&amp;" "&amp;C399))),AND(설정!$A$49&lt;&gt;"",ISNUMBER(SEARCH(설정!$A$49,E399&amp;" "&amp;C399))),AND(설정!$A$50&lt;&gt;"",ISNUMBER(SEARCH(설정!$A$50,E399&amp;" "&amp;C399))),AND(설정!$A$51&lt;&gt;"",ISNUMBER(SEARCH(설정!$A$51,E399&amp;" "&amp;C399))))</f>
        <v/>
      </c>
      <c r="S399">
        <f>OR(D399="",D399&gt;=설정!$B$19)</f>
        <v/>
      </c>
      <c r="T399">
        <f>AND(Q399,R399,S399)</f>
        <v/>
      </c>
      <c r="U399">
        <f>IF(T399,IF(AND(설정!$A$54&lt;&gt;"",ISNUMBER(SEARCH(설정!$A$54,K399))),설정!$B$54,IF(AND(설정!$A$55&lt;&gt;"",ISNUMBER(SEARCH(설정!$A$55,K399))),설정!$B$55,IF(AND(설정!$A$56&lt;&gt;"",ISNUMBER(SEARCH(설정!$A$56,K399))),설정!$B$56,IF(AND(설정!$A$57&lt;&gt;"",ISNUMBER(SEARCH(설정!$A$57,K399))),설정!$B$57,IF(AND(설정!$A$58&lt;&gt;"",ISNUMBER(SEARCH(설정!$A$58,K399))),설정!$B$58,IF(AND(설정!$A$59&lt;&gt;"",ISNUMBER(SEARCH(설정!$A$59,K399))),설정!$B$59,IF(AND(설정!$A$60&lt;&gt;"",ISNUMBER(SEARCH(설정!$A$60,K399))),설정!$B$60,IF(AND(설정!$A$61&lt;&gt;"",ISNUMBER(SEARCH(설정!$A$61,K399))),설정!$B$61,IF(M399="","설계사","시공사"))))))))),"")</f>
        <v/>
      </c>
      <c r="V399">
        <f>SUBSTITUTE(SUBSTITUTE(SUBSTITUTE(SUBSTITUTE(G399,"(주)",""),"㈜",""),"주식회사","")," ","")</f>
        <v/>
      </c>
      <c r="W399">
        <f>IF(AND(T399,V399&lt;&gt;""),IF(COUNTIFS(V$2:V399,V399,T$2:T399,TRUE)=1,MAX(W$1:W398)+1,""),"")</f>
        <v/>
      </c>
      <c r="X399">
        <f>IF(설정!$C$14="","",IFERROR(INDEX('1.산군_붙여넣기'!$A$1:$AZ$1001,ROW(),설정!$C$14)&amp;"",""))</f>
        <v/>
      </c>
      <c r="Y399">
        <f>IF(설정!$C$15="","",IFERROR(INDEX('1.산군_붙여넣기'!$A$1:$AZ$1001,ROW(),설정!$C$15)&amp;"",""))</f>
        <v/>
      </c>
      <c r="Z399">
        <f>IF(T399,V399&amp;"|"&amp;U399,"")</f>
        <v/>
      </c>
      <c r="AA399">
        <f>IF(NOT(Q399),"",IF(NOT(AND(R399,S399)),"✕",IF(OR(OR(AND(L399&lt;&gt;"",M399&lt;&gt;"",N(M399)-N(L399)&gt;설정!$B$27),AND(L399&lt;&gt;"",M399="",설정!$B$24-N(L399)&gt;설정!$B$27)),AND(D399&lt;&gt;"",D399&lt;설정!$B$26)),"△","★")))</f>
        <v/>
      </c>
      <c r="AB399">
        <f>IF(NOT(T399),"",IF(U399="설계사",설정!$B$31,IF(U399="시공사",IF(OR(M399="",설정!$B$24-N(M399)&lt;=설정!$B$28*30.4),설정!$B$32,설정!$B$33),설정!$B$34))+IF(AA399="★",설정!$B$35,0))</f>
        <v/>
      </c>
      <c r="AC399">
        <f>SUBSTITUTE(SUBSTITUTE(SUBSTITUTE(SUBSTITUTE(H399,"(주)",""),"㈜",""),"주식회사","")," ","")</f>
        <v/>
      </c>
      <c r="AD399">
        <f>IF(AND(T399,AC399&lt;&gt;""),IF(COUNTIFS(AC$2:AC399,AC399,T$2:T399,TRUE)=1,MAX(AD$1:AD398)+1,""),"")</f>
        <v/>
      </c>
    </row>
    <row r="400">
      <c r="A400">
        <f>ROW()</f>
        <v/>
      </c>
      <c r="B400">
        <f>IF(설정!$C$4="","",IFERROR(INDEX('1.산군_붙여넣기'!$A$1:$AZ$1001,ROW(),설정!$C$4)&amp;"",""))</f>
        <v/>
      </c>
      <c r="C400">
        <f>IF(설정!$C$5="","",IFERROR(INDEX('1.산군_붙여넣기'!$A$1:$AZ$1001,ROW(),설정!$C$5)&amp;"",""))</f>
        <v/>
      </c>
      <c r="D400" s="5">
        <f>IFERROR(VALUE(SUBSTITUTE(SUBSTITUTE(SUBSTITUTE(IF(설정!$C$6="","",IFERROR(INDEX('1.산군_붙여넣기'!$A$1:$AZ$1001,ROW(),설정!$C$6)&amp;"","")),",",""),"㎡",""),"m2","")),"")</f>
        <v/>
      </c>
      <c r="E400">
        <f>IF(설정!$C$7="","",IFERROR(INDEX('1.산군_붙여넣기'!$A$1:$AZ$1001,ROW(),설정!$C$7)&amp;"",""))</f>
        <v/>
      </c>
      <c r="F400">
        <f>IF(설정!$C$8="","",IFERROR(INDEX('1.산군_붙여넣기'!$A$1:$AZ$1001,ROW(),설정!$C$8)&amp;"",""))</f>
        <v/>
      </c>
      <c r="G400">
        <f>IF(설정!$C$9="","",IFERROR(INDEX('1.산군_붙여넣기'!$A$1:$AZ$1001,ROW(),설정!$C$9)&amp;"",""))</f>
        <v/>
      </c>
      <c r="H400">
        <f>IF(설정!$C$10="","",IFERROR(INDEX('1.산군_붙여넣기'!$A$1:$AZ$1001,ROW(),설정!$C$10)&amp;"",""))</f>
        <v/>
      </c>
      <c r="I400">
        <f>IF(설정!$C$11="","",IFERROR(INDEX('1.산군_붙여넣기'!$A$1:$AZ$1001,ROW(),설정!$C$11)&amp;"",""))</f>
        <v/>
      </c>
      <c r="J400">
        <f>IF(설정!$C$12="","",IFERROR(INDEX('1.산군_붙여넣기'!$A$1:$AZ$1001,ROW(),설정!$C$12)&amp;"",""))</f>
        <v/>
      </c>
      <c r="K400">
        <f>IF(설정!$C$13="","",IFERROR(INDEX('1.산군_붙여넣기'!$A$1:$AZ$1001,ROW(),설정!$C$13)&amp;"",""))</f>
        <v/>
      </c>
      <c r="L400" s="7">
        <f>IF(X400="","",IF(AND(LEN(X400)=8,ISNUMBER(X400*1)),DATE(LEFT(X400,4),MID(X400,5,2),RIGHT(X400,2)),IFERROR(DATEVALUE(SUBSTITUTE(SUBSTITUTE(X400,".","-"),"/","-")),IFERROR(X400*1,""))))</f>
        <v/>
      </c>
      <c r="M400" s="7">
        <f>IF(Y400="","",IF(AND(LEN(Y400)=8,ISNUMBER(Y400*1)),DATE(LEFT(Y400,4),MID(Y400,5,2),RIGHT(Y400,2)),IFERROR(DATEVALUE(SUBSTITUTE(SUBSTITUTE(Y400,".","-"),"/","-")),IFERROR(Y400*1,""))))</f>
        <v/>
      </c>
      <c r="N400">
        <f>IFERROR(LEFT(B400,FIND(" ",B400)-1),B400)</f>
        <v/>
      </c>
      <c r="O400">
        <f>AND(B400&lt;&gt;"",B400&lt;&gt;설정!$B$4,C400&lt;&gt;설정!$B$5)</f>
        <v/>
      </c>
      <c r="P400">
        <f>IF(O400,B400&amp;"|"&amp;C400,"")</f>
        <v/>
      </c>
      <c r="Q400">
        <f>AND(O400,COUNTIF(P401:P$1002,P400)=0)</f>
        <v/>
      </c>
      <c r="R400">
        <f>OR(AND(설정!$A$42&lt;&gt;"",ISNUMBER(SEARCH(설정!$A$42,E400&amp;" "&amp;C400))),AND(설정!$A$43&lt;&gt;"",ISNUMBER(SEARCH(설정!$A$43,E400&amp;" "&amp;C400))),AND(설정!$A$44&lt;&gt;"",ISNUMBER(SEARCH(설정!$A$44,E400&amp;" "&amp;C400))),AND(설정!$A$45&lt;&gt;"",ISNUMBER(SEARCH(설정!$A$45,E400&amp;" "&amp;C400))),AND(설정!$A$46&lt;&gt;"",ISNUMBER(SEARCH(설정!$A$46,E400&amp;" "&amp;C400))),AND(설정!$A$47&lt;&gt;"",ISNUMBER(SEARCH(설정!$A$47,E400&amp;" "&amp;C400))),AND(설정!$A$48&lt;&gt;"",ISNUMBER(SEARCH(설정!$A$48,E400&amp;" "&amp;C400))),AND(설정!$A$49&lt;&gt;"",ISNUMBER(SEARCH(설정!$A$49,E400&amp;" "&amp;C400))),AND(설정!$A$50&lt;&gt;"",ISNUMBER(SEARCH(설정!$A$50,E400&amp;" "&amp;C400))),AND(설정!$A$51&lt;&gt;"",ISNUMBER(SEARCH(설정!$A$51,E400&amp;" "&amp;C400))))</f>
        <v/>
      </c>
      <c r="S400">
        <f>OR(D400="",D400&gt;=설정!$B$19)</f>
        <v/>
      </c>
      <c r="T400">
        <f>AND(Q400,R400,S400)</f>
        <v/>
      </c>
      <c r="U400">
        <f>IF(T400,IF(AND(설정!$A$54&lt;&gt;"",ISNUMBER(SEARCH(설정!$A$54,K400))),설정!$B$54,IF(AND(설정!$A$55&lt;&gt;"",ISNUMBER(SEARCH(설정!$A$55,K400))),설정!$B$55,IF(AND(설정!$A$56&lt;&gt;"",ISNUMBER(SEARCH(설정!$A$56,K400))),설정!$B$56,IF(AND(설정!$A$57&lt;&gt;"",ISNUMBER(SEARCH(설정!$A$57,K400))),설정!$B$57,IF(AND(설정!$A$58&lt;&gt;"",ISNUMBER(SEARCH(설정!$A$58,K400))),설정!$B$58,IF(AND(설정!$A$59&lt;&gt;"",ISNUMBER(SEARCH(설정!$A$59,K400))),설정!$B$59,IF(AND(설정!$A$60&lt;&gt;"",ISNUMBER(SEARCH(설정!$A$60,K400))),설정!$B$60,IF(AND(설정!$A$61&lt;&gt;"",ISNUMBER(SEARCH(설정!$A$61,K400))),설정!$B$61,IF(M400="","설계사","시공사"))))))))),"")</f>
        <v/>
      </c>
      <c r="V400">
        <f>SUBSTITUTE(SUBSTITUTE(SUBSTITUTE(SUBSTITUTE(G400,"(주)",""),"㈜",""),"주식회사","")," ","")</f>
        <v/>
      </c>
      <c r="W400">
        <f>IF(AND(T400,V400&lt;&gt;""),IF(COUNTIFS(V$2:V400,V400,T$2:T400,TRUE)=1,MAX(W$1:W399)+1,""),"")</f>
        <v/>
      </c>
      <c r="X400">
        <f>IF(설정!$C$14="","",IFERROR(INDEX('1.산군_붙여넣기'!$A$1:$AZ$1001,ROW(),설정!$C$14)&amp;"",""))</f>
        <v/>
      </c>
      <c r="Y400">
        <f>IF(설정!$C$15="","",IFERROR(INDEX('1.산군_붙여넣기'!$A$1:$AZ$1001,ROW(),설정!$C$15)&amp;"",""))</f>
        <v/>
      </c>
      <c r="Z400">
        <f>IF(T400,V400&amp;"|"&amp;U400,"")</f>
        <v/>
      </c>
      <c r="AA400">
        <f>IF(NOT(Q400),"",IF(NOT(AND(R400,S400)),"✕",IF(OR(OR(AND(L400&lt;&gt;"",M400&lt;&gt;"",N(M400)-N(L400)&gt;설정!$B$27),AND(L400&lt;&gt;"",M400="",설정!$B$24-N(L400)&gt;설정!$B$27)),AND(D400&lt;&gt;"",D400&lt;설정!$B$26)),"△","★")))</f>
        <v/>
      </c>
      <c r="AB400">
        <f>IF(NOT(T400),"",IF(U400="설계사",설정!$B$31,IF(U400="시공사",IF(OR(M400="",설정!$B$24-N(M400)&lt;=설정!$B$28*30.4),설정!$B$32,설정!$B$33),설정!$B$34))+IF(AA400="★",설정!$B$35,0))</f>
        <v/>
      </c>
      <c r="AC400">
        <f>SUBSTITUTE(SUBSTITUTE(SUBSTITUTE(SUBSTITUTE(H400,"(주)",""),"㈜",""),"주식회사","")," ","")</f>
        <v/>
      </c>
      <c r="AD400">
        <f>IF(AND(T400,AC400&lt;&gt;""),IF(COUNTIFS(AC$2:AC400,AC400,T$2:T400,TRUE)=1,MAX(AD$1:AD399)+1,""),"")</f>
        <v/>
      </c>
    </row>
    <row r="401">
      <c r="A401">
        <f>ROW()</f>
        <v/>
      </c>
      <c r="B401">
        <f>IF(설정!$C$4="","",IFERROR(INDEX('1.산군_붙여넣기'!$A$1:$AZ$1001,ROW(),설정!$C$4)&amp;"",""))</f>
        <v/>
      </c>
      <c r="C401">
        <f>IF(설정!$C$5="","",IFERROR(INDEX('1.산군_붙여넣기'!$A$1:$AZ$1001,ROW(),설정!$C$5)&amp;"",""))</f>
        <v/>
      </c>
      <c r="D401" s="5">
        <f>IFERROR(VALUE(SUBSTITUTE(SUBSTITUTE(SUBSTITUTE(IF(설정!$C$6="","",IFERROR(INDEX('1.산군_붙여넣기'!$A$1:$AZ$1001,ROW(),설정!$C$6)&amp;"","")),",",""),"㎡",""),"m2","")),"")</f>
        <v/>
      </c>
      <c r="E401">
        <f>IF(설정!$C$7="","",IFERROR(INDEX('1.산군_붙여넣기'!$A$1:$AZ$1001,ROW(),설정!$C$7)&amp;"",""))</f>
        <v/>
      </c>
      <c r="F401">
        <f>IF(설정!$C$8="","",IFERROR(INDEX('1.산군_붙여넣기'!$A$1:$AZ$1001,ROW(),설정!$C$8)&amp;"",""))</f>
        <v/>
      </c>
      <c r="G401">
        <f>IF(설정!$C$9="","",IFERROR(INDEX('1.산군_붙여넣기'!$A$1:$AZ$1001,ROW(),설정!$C$9)&amp;"",""))</f>
        <v/>
      </c>
      <c r="H401">
        <f>IF(설정!$C$10="","",IFERROR(INDEX('1.산군_붙여넣기'!$A$1:$AZ$1001,ROW(),설정!$C$10)&amp;"",""))</f>
        <v/>
      </c>
      <c r="I401">
        <f>IF(설정!$C$11="","",IFERROR(INDEX('1.산군_붙여넣기'!$A$1:$AZ$1001,ROW(),설정!$C$11)&amp;"",""))</f>
        <v/>
      </c>
      <c r="J401">
        <f>IF(설정!$C$12="","",IFERROR(INDEX('1.산군_붙여넣기'!$A$1:$AZ$1001,ROW(),설정!$C$12)&amp;"",""))</f>
        <v/>
      </c>
      <c r="K401">
        <f>IF(설정!$C$13="","",IFERROR(INDEX('1.산군_붙여넣기'!$A$1:$AZ$1001,ROW(),설정!$C$13)&amp;"",""))</f>
        <v/>
      </c>
      <c r="L401" s="7">
        <f>IF(X401="","",IF(AND(LEN(X401)=8,ISNUMBER(X401*1)),DATE(LEFT(X401,4),MID(X401,5,2),RIGHT(X401,2)),IFERROR(DATEVALUE(SUBSTITUTE(SUBSTITUTE(X401,".","-"),"/","-")),IFERROR(X401*1,""))))</f>
        <v/>
      </c>
      <c r="M401" s="7">
        <f>IF(Y401="","",IF(AND(LEN(Y401)=8,ISNUMBER(Y401*1)),DATE(LEFT(Y401,4),MID(Y401,5,2),RIGHT(Y401,2)),IFERROR(DATEVALUE(SUBSTITUTE(SUBSTITUTE(Y401,".","-"),"/","-")),IFERROR(Y401*1,""))))</f>
        <v/>
      </c>
      <c r="N401">
        <f>IFERROR(LEFT(B401,FIND(" ",B401)-1),B401)</f>
        <v/>
      </c>
      <c r="O401">
        <f>AND(B401&lt;&gt;"",B401&lt;&gt;설정!$B$4,C401&lt;&gt;설정!$B$5)</f>
        <v/>
      </c>
      <c r="P401">
        <f>IF(O401,B401&amp;"|"&amp;C401,"")</f>
        <v/>
      </c>
      <c r="Q401">
        <f>AND(O401,COUNTIF(P402:P$1002,P401)=0)</f>
        <v/>
      </c>
      <c r="R401">
        <f>OR(AND(설정!$A$42&lt;&gt;"",ISNUMBER(SEARCH(설정!$A$42,E401&amp;" "&amp;C401))),AND(설정!$A$43&lt;&gt;"",ISNUMBER(SEARCH(설정!$A$43,E401&amp;" "&amp;C401))),AND(설정!$A$44&lt;&gt;"",ISNUMBER(SEARCH(설정!$A$44,E401&amp;" "&amp;C401))),AND(설정!$A$45&lt;&gt;"",ISNUMBER(SEARCH(설정!$A$45,E401&amp;" "&amp;C401))),AND(설정!$A$46&lt;&gt;"",ISNUMBER(SEARCH(설정!$A$46,E401&amp;" "&amp;C401))),AND(설정!$A$47&lt;&gt;"",ISNUMBER(SEARCH(설정!$A$47,E401&amp;" "&amp;C401))),AND(설정!$A$48&lt;&gt;"",ISNUMBER(SEARCH(설정!$A$48,E401&amp;" "&amp;C401))),AND(설정!$A$49&lt;&gt;"",ISNUMBER(SEARCH(설정!$A$49,E401&amp;" "&amp;C401))),AND(설정!$A$50&lt;&gt;"",ISNUMBER(SEARCH(설정!$A$50,E401&amp;" "&amp;C401))),AND(설정!$A$51&lt;&gt;"",ISNUMBER(SEARCH(설정!$A$51,E401&amp;" "&amp;C401))))</f>
        <v/>
      </c>
      <c r="S401">
        <f>OR(D401="",D401&gt;=설정!$B$19)</f>
        <v/>
      </c>
      <c r="T401">
        <f>AND(Q401,R401,S401)</f>
        <v/>
      </c>
      <c r="U401">
        <f>IF(T401,IF(AND(설정!$A$54&lt;&gt;"",ISNUMBER(SEARCH(설정!$A$54,K401))),설정!$B$54,IF(AND(설정!$A$55&lt;&gt;"",ISNUMBER(SEARCH(설정!$A$55,K401))),설정!$B$55,IF(AND(설정!$A$56&lt;&gt;"",ISNUMBER(SEARCH(설정!$A$56,K401))),설정!$B$56,IF(AND(설정!$A$57&lt;&gt;"",ISNUMBER(SEARCH(설정!$A$57,K401))),설정!$B$57,IF(AND(설정!$A$58&lt;&gt;"",ISNUMBER(SEARCH(설정!$A$58,K401))),설정!$B$58,IF(AND(설정!$A$59&lt;&gt;"",ISNUMBER(SEARCH(설정!$A$59,K401))),설정!$B$59,IF(AND(설정!$A$60&lt;&gt;"",ISNUMBER(SEARCH(설정!$A$60,K401))),설정!$B$60,IF(AND(설정!$A$61&lt;&gt;"",ISNUMBER(SEARCH(설정!$A$61,K401))),설정!$B$61,IF(M401="","설계사","시공사"))))))))),"")</f>
        <v/>
      </c>
      <c r="V401">
        <f>SUBSTITUTE(SUBSTITUTE(SUBSTITUTE(SUBSTITUTE(G401,"(주)",""),"㈜",""),"주식회사","")," ","")</f>
        <v/>
      </c>
      <c r="W401">
        <f>IF(AND(T401,V401&lt;&gt;""),IF(COUNTIFS(V$2:V401,V401,T$2:T401,TRUE)=1,MAX(W$1:W400)+1,""),"")</f>
        <v/>
      </c>
      <c r="X401">
        <f>IF(설정!$C$14="","",IFERROR(INDEX('1.산군_붙여넣기'!$A$1:$AZ$1001,ROW(),설정!$C$14)&amp;"",""))</f>
        <v/>
      </c>
      <c r="Y401">
        <f>IF(설정!$C$15="","",IFERROR(INDEX('1.산군_붙여넣기'!$A$1:$AZ$1001,ROW(),설정!$C$15)&amp;"",""))</f>
        <v/>
      </c>
      <c r="Z401">
        <f>IF(T401,V401&amp;"|"&amp;U401,"")</f>
        <v/>
      </c>
      <c r="AA401">
        <f>IF(NOT(Q401),"",IF(NOT(AND(R401,S401)),"✕",IF(OR(OR(AND(L401&lt;&gt;"",M401&lt;&gt;"",N(M401)-N(L401)&gt;설정!$B$27),AND(L401&lt;&gt;"",M401="",설정!$B$24-N(L401)&gt;설정!$B$27)),AND(D401&lt;&gt;"",D401&lt;설정!$B$26)),"△","★")))</f>
        <v/>
      </c>
      <c r="AB401">
        <f>IF(NOT(T401),"",IF(U401="설계사",설정!$B$31,IF(U401="시공사",IF(OR(M401="",설정!$B$24-N(M401)&lt;=설정!$B$28*30.4),설정!$B$32,설정!$B$33),설정!$B$34))+IF(AA401="★",설정!$B$35,0))</f>
        <v/>
      </c>
      <c r="AC401">
        <f>SUBSTITUTE(SUBSTITUTE(SUBSTITUTE(SUBSTITUTE(H401,"(주)",""),"㈜",""),"주식회사","")," ","")</f>
        <v/>
      </c>
      <c r="AD401">
        <f>IF(AND(T401,AC401&lt;&gt;""),IF(COUNTIFS(AC$2:AC401,AC401,T$2:T401,TRUE)=1,MAX(AD$1:AD400)+1,""),"")</f>
        <v/>
      </c>
    </row>
    <row r="402">
      <c r="A402">
        <f>ROW()</f>
        <v/>
      </c>
      <c r="B402">
        <f>IF(설정!$C$4="","",IFERROR(INDEX('1.산군_붙여넣기'!$A$1:$AZ$1001,ROW(),설정!$C$4)&amp;"",""))</f>
        <v/>
      </c>
      <c r="C402">
        <f>IF(설정!$C$5="","",IFERROR(INDEX('1.산군_붙여넣기'!$A$1:$AZ$1001,ROW(),설정!$C$5)&amp;"",""))</f>
        <v/>
      </c>
      <c r="D402" s="5">
        <f>IFERROR(VALUE(SUBSTITUTE(SUBSTITUTE(SUBSTITUTE(IF(설정!$C$6="","",IFERROR(INDEX('1.산군_붙여넣기'!$A$1:$AZ$1001,ROW(),설정!$C$6)&amp;"","")),",",""),"㎡",""),"m2","")),"")</f>
        <v/>
      </c>
      <c r="E402">
        <f>IF(설정!$C$7="","",IFERROR(INDEX('1.산군_붙여넣기'!$A$1:$AZ$1001,ROW(),설정!$C$7)&amp;"",""))</f>
        <v/>
      </c>
      <c r="F402">
        <f>IF(설정!$C$8="","",IFERROR(INDEX('1.산군_붙여넣기'!$A$1:$AZ$1001,ROW(),설정!$C$8)&amp;"",""))</f>
        <v/>
      </c>
      <c r="G402">
        <f>IF(설정!$C$9="","",IFERROR(INDEX('1.산군_붙여넣기'!$A$1:$AZ$1001,ROW(),설정!$C$9)&amp;"",""))</f>
        <v/>
      </c>
      <c r="H402">
        <f>IF(설정!$C$10="","",IFERROR(INDEX('1.산군_붙여넣기'!$A$1:$AZ$1001,ROW(),설정!$C$10)&amp;"",""))</f>
        <v/>
      </c>
      <c r="I402">
        <f>IF(설정!$C$11="","",IFERROR(INDEX('1.산군_붙여넣기'!$A$1:$AZ$1001,ROW(),설정!$C$11)&amp;"",""))</f>
        <v/>
      </c>
      <c r="J402">
        <f>IF(설정!$C$12="","",IFERROR(INDEX('1.산군_붙여넣기'!$A$1:$AZ$1001,ROW(),설정!$C$12)&amp;"",""))</f>
        <v/>
      </c>
      <c r="K402">
        <f>IF(설정!$C$13="","",IFERROR(INDEX('1.산군_붙여넣기'!$A$1:$AZ$1001,ROW(),설정!$C$13)&amp;"",""))</f>
        <v/>
      </c>
      <c r="L402" s="7">
        <f>IF(X402="","",IF(AND(LEN(X402)=8,ISNUMBER(X402*1)),DATE(LEFT(X402,4),MID(X402,5,2),RIGHT(X402,2)),IFERROR(DATEVALUE(SUBSTITUTE(SUBSTITUTE(X402,".","-"),"/","-")),IFERROR(X402*1,""))))</f>
        <v/>
      </c>
      <c r="M402" s="7">
        <f>IF(Y402="","",IF(AND(LEN(Y402)=8,ISNUMBER(Y402*1)),DATE(LEFT(Y402,4),MID(Y402,5,2),RIGHT(Y402,2)),IFERROR(DATEVALUE(SUBSTITUTE(SUBSTITUTE(Y402,".","-"),"/","-")),IFERROR(Y402*1,""))))</f>
        <v/>
      </c>
      <c r="N402">
        <f>IFERROR(LEFT(B402,FIND(" ",B402)-1),B402)</f>
        <v/>
      </c>
      <c r="O402">
        <f>AND(B402&lt;&gt;"",B402&lt;&gt;설정!$B$4,C402&lt;&gt;설정!$B$5)</f>
        <v/>
      </c>
      <c r="P402">
        <f>IF(O402,B402&amp;"|"&amp;C402,"")</f>
        <v/>
      </c>
      <c r="Q402">
        <f>AND(O402,COUNTIF(P403:P$1002,P402)=0)</f>
        <v/>
      </c>
      <c r="R402">
        <f>OR(AND(설정!$A$42&lt;&gt;"",ISNUMBER(SEARCH(설정!$A$42,E402&amp;" "&amp;C402))),AND(설정!$A$43&lt;&gt;"",ISNUMBER(SEARCH(설정!$A$43,E402&amp;" "&amp;C402))),AND(설정!$A$44&lt;&gt;"",ISNUMBER(SEARCH(설정!$A$44,E402&amp;" "&amp;C402))),AND(설정!$A$45&lt;&gt;"",ISNUMBER(SEARCH(설정!$A$45,E402&amp;" "&amp;C402))),AND(설정!$A$46&lt;&gt;"",ISNUMBER(SEARCH(설정!$A$46,E402&amp;" "&amp;C402))),AND(설정!$A$47&lt;&gt;"",ISNUMBER(SEARCH(설정!$A$47,E402&amp;" "&amp;C402))),AND(설정!$A$48&lt;&gt;"",ISNUMBER(SEARCH(설정!$A$48,E402&amp;" "&amp;C402))),AND(설정!$A$49&lt;&gt;"",ISNUMBER(SEARCH(설정!$A$49,E402&amp;" "&amp;C402))),AND(설정!$A$50&lt;&gt;"",ISNUMBER(SEARCH(설정!$A$50,E402&amp;" "&amp;C402))),AND(설정!$A$51&lt;&gt;"",ISNUMBER(SEARCH(설정!$A$51,E402&amp;" "&amp;C402))))</f>
        <v/>
      </c>
      <c r="S402">
        <f>OR(D402="",D402&gt;=설정!$B$19)</f>
        <v/>
      </c>
      <c r="T402">
        <f>AND(Q402,R402,S402)</f>
        <v/>
      </c>
      <c r="U402">
        <f>IF(T402,IF(AND(설정!$A$54&lt;&gt;"",ISNUMBER(SEARCH(설정!$A$54,K402))),설정!$B$54,IF(AND(설정!$A$55&lt;&gt;"",ISNUMBER(SEARCH(설정!$A$55,K402))),설정!$B$55,IF(AND(설정!$A$56&lt;&gt;"",ISNUMBER(SEARCH(설정!$A$56,K402))),설정!$B$56,IF(AND(설정!$A$57&lt;&gt;"",ISNUMBER(SEARCH(설정!$A$57,K402))),설정!$B$57,IF(AND(설정!$A$58&lt;&gt;"",ISNUMBER(SEARCH(설정!$A$58,K402))),설정!$B$58,IF(AND(설정!$A$59&lt;&gt;"",ISNUMBER(SEARCH(설정!$A$59,K402))),설정!$B$59,IF(AND(설정!$A$60&lt;&gt;"",ISNUMBER(SEARCH(설정!$A$60,K402))),설정!$B$60,IF(AND(설정!$A$61&lt;&gt;"",ISNUMBER(SEARCH(설정!$A$61,K402))),설정!$B$61,IF(M402="","설계사","시공사"))))))))),"")</f>
        <v/>
      </c>
      <c r="V402">
        <f>SUBSTITUTE(SUBSTITUTE(SUBSTITUTE(SUBSTITUTE(G402,"(주)",""),"㈜",""),"주식회사","")," ","")</f>
        <v/>
      </c>
      <c r="W402">
        <f>IF(AND(T402,V402&lt;&gt;""),IF(COUNTIFS(V$2:V402,V402,T$2:T402,TRUE)=1,MAX(W$1:W401)+1,""),"")</f>
        <v/>
      </c>
      <c r="X402">
        <f>IF(설정!$C$14="","",IFERROR(INDEX('1.산군_붙여넣기'!$A$1:$AZ$1001,ROW(),설정!$C$14)&amp;"",""))</f>
        <v/>
      </c>
      <c r="Y402">
        <f>IF(설정!$C$15="","",IFERROR(INDEX('1.산군_붙여넣기'!$A$1:$AZ$1001,ROW(),설정!$C$15)&amp;"",""))</f>
        <v/>
      </c>
      <c r="Z402">
        <f>IF(T402,V402&amp;"|"&amp;U402,"")</f>
        <v/>
      </c>
      <c r="AA402">
        <f>IF(NOT(Q402),"",IF(NOT(AND(R402,S402)),"✕",IF(OR(OR(AND(L402&lt;&gt;"",M402&lt;&gt;"",N(M402)-N(L402)&gt;설정!$B$27),AND(L402&lt;&gt;"",M402="",설정!$B$24-N(L402)&gt;설정!$B$27)),AND(D402&lt;&gt;"",D402&lt;설정!$B$26)),"△","★")))</f>
        <v/>
      </c>
      <c r="AB402">
        <f>IF(NOT(T402),"",IF(U402="설계사",설정!$B$31,IF(U402="시공사",IF(OR(M402="",설정!$B$24-N(M402)&lt;=설정!$B$28*30.4),설정!$B$32,설정!$B$33),설정!$B$34))+IF(AA402="★",설정!$B$35,0))</f>
        <v/>
      </c>
      <c r="AC402">
        <f>SUBSTITUTE(SUBSTITUTE(SUBSTITUTE(SUBSTITUTE(H402,"(주)",""),"㈜",""),"주식회사","")," ","")</f>
        <v/>
      </c>
      <c r="AD402">
        <f>IF(AND(T402,AC402&lt;&gt;""),IF(COUNTIFS(AC$2:AC402,AC402,T$2:T402,TRUE)=1,MAX(AD$1:AD401)+1,""),"")</f>
        <v/>
      </c>
    </row>
    <row r="403">
      <c r="A403">
        <f>ROW()</f>
        <v/>
      </c>
      <c r="B403">
        <f>IF(설정!$C$4="","",IFERROR(INDEX('1.산군_붙여넣기'!$A$1:$AZ$1001,ROW(),설정!$C$4)&amp;"",""))</f>
        <v/>
      </c>
      <c r="C403">
        <f>IF(설정!$C$5="","",IFERROR(INDEX('1.산군_붙여넣기'!$A$1:$AZ$1001,ROW(),설정!$C$5)&amp;"",""))</f>
        <v/>
      </c>
      <c r="D403" s="5">
        <f>IFERROR(VALUE(SUBSTITUTE(SUBSTITUTE(SUBSTITUTE(IF(설정!$C$6="","",IFERROR(INDEX('1.산군_붙여넣기'!$A$1:$AZ$1001,ROW(),설정!$C$6)&amp;"","")),",",""),"㎡",""),"m2","")),"")</f>
        <v/>
      </c>
      <c r="E403">
        <f>IF(설정!$C$7="","",IFERROR(INDEX('1.산군_붙여넣기'!$A$1:$AZ$1001,ROW(),설정!$C$7)&amp;"",""))</f>
        <v/>
      </c>
      <c r="F403">
        <f>IF(설정!$C$8="","",IFERROR(INDEX('1.산군_붙여넣기'!$A$1:$AZ$1001,ROW(),설정!$C$8)&amp;"",""))</f>
        <v/>
      </c>
      <c r="G403">
        <f>IF(설정!$C$9="","",IFERROR(INDEX('1.산군_붙여넣기'!$A$1:$AZ$1001,ROW(),설정!$C$9)&amp;"",""))</f>
        <v/>
      </c>
      <c r="H403">
        <f>IF(설정!$C$10="","",IFERROR(INDEX('1.산군_붙여넣기'!$A$1:$AZ$1001,ROW(),설정!$C$10)&amp;"",""))</f>
        <v/>
      </c>
      <c r="I403">
        <f>IF(설정!$C$11="","",IFERROR(INDEX('1.산군_붙여넣기'!$A$1:$AZ$1001,ROW(),설정!$C$11)&amp;"",""))</f>
        <v/>
      </c>
      <c r="J403">
        <f>IF(설정!$C$12="","",IFERROR(INDEX('1.산군_붙여넣기'!$A$1:$AZ$1001,ROW(),설정!$C$12)&amp;"",""))</f>
        <v/>
      </c>
      <c r="K403">
        <f>IF(설정!$C$13="","",IFERROR(INDEX('1.산군_붙여넣기'!$A$1:$AZ$1001,ROW(),설정!$C$13)&amp;"",""))</f>
        <v/>
      </c>
      <c r="L403" s="7">
        <f>IF(X403="","",IF(AND(LEN(X403)=8,ISNUMBER(X403*1)),DATE(LEFT(X403,4),MID(X403,5,2),RIGHT(X403,2)),IFERROR(DATEVALUE(SUBSTITUTE(SUBSTITUTE(X403,".","-"),"/","-")),IFERROR(X403*1,""))))</f>
        <v/>
      </c>
      <c r="M403" s="7">
        <f>IF(Y403="","",IF(AND(LEN(Y403)=8,ISNUMBER(Y403*1)),DATE(LEFT(Y403,4),MID(Y403,5,2),RIGHT(Y403,2)),IFERROR(DATEVALUE(SUBSTITUTE(SUBSTITUTE(Y403,".","-"),"/","-")),IFERROR(Y403*1,""))))</f>
        <v/>
      </c>
      <c r="N403">
        <f>IFERROR(LEFT(B403,FIND(" ",B403)-1),B403)</f>
        <v/>
      </c>
      <c r="O403">
        <f>AND(B403&lt;&gt;"",B403&lt;&gt;설정!$B$4,C403&lt;&gt;설정!$B$5)</f>
        <v/>
      </c>
      <c r="P403">
        <f>IF(O403,B403&amp;"|"&amp;C403,"")</f>
        <v/>
      </c>
      <c r="Q403">
        <f>AND(O403,COUNTIF(P404:P$1002,P403)=0)</f>
        <v/>
      </c>
      <c r="R403">
        <f>OR(AND(설정!$A$42&lt;&gt;"",ISNUMBER(SEARCH(설정!$A$42,E403&amp;" "&amp;C403))),AND(설정!$A$43&lt;&gt;"",ISNUMBER(SEARCH(설정!$A$43,E403&amp;" "&amp;C403))),AND(설정!$A$44&lt;&gt;"",ISNUMBER(SEARCH(설정!$A$44,E403&amp;" "&amp;C403))),AND(설정!$A$45&lt;&gt;"",ISNUMBER(SEARCH(설정!$A$45,E403&amp;" "&amp;C403))),AND(설정!$A$46&lt;&gt;"",ISNUMBER(SEARCH(설정!$A$46,E403&amp;" "&amp;C403))),AND(설정!$A$47&lt;&gt;"",ISNUMBER(SEARCH(설정!$A$47,E403&amp;" "&amp;C403))),AND(설정!$A$48&lt;&gt;"",ISNUMBER(SEARCH(설정!$A$48,E403&amp;" "&amp;C403))),AND(설정!$A$49&lt;&gt;"",ISNUMBER(SEARCH(설정!$A$49,E403&amp;" "&amp;C403))),AND(설정!$A$50&lt;&gt;"",ISNUMBER(SEARCH(설정!$A$50,E403&amp;" "&amp;C403))),AND(설정!$A$51&lt;&gt;"",ISNUMBER(SEARCH(설정!$A$51,E403&amp;" "&amp;C403))))</f>
        <v/>
      </c>
      <c r="S403">
        <f>OR(D403="",D403&gt;=설정!$B$19)</f>
        <v/>
      </c>
      <c r="T403">
        <f>AND(Q403,R403,S403)</f>
        <v/>
      </c>
      <c r="U403">
        <f>IF(T403,IF(AND(설정!$A$54&lt;&gt;"",ISNUMBER(SEARCH(설정!$A$54,K403))),설정!$B$54,IF(AND(설정!$A$55&lt;&gt;"",ISNUMBER(SEARCH(설정!$A$55,K403))),설정!$B$55,IF(AND(설정!$A$56&lt;&gt;"",ISNUMBER(SEARCH(설정!$A$56,K403))),설정!$B$56,IF(AND(설정!$A$57&lt;&gt;"",ISNUMBER(SEARCH(설정!$A$57,K403))),설정!$B$57,IF(AND(설정!$A$58&lt;&gt;"",ISNUMBER(SEARCH(설정!$A$58,K403))),설정!$B$58,IF(AND(설정!$A$59&lt;&gt;"",ISNUMBER(SEARCH(설정!$A$59,K403))),설정!$B$59,IF(AND(설정!$A$60&lt;&gt;"",ISNUMBER(SEARCH(설정!$A$60,K403))),설정!$B$60,IF(AND(설정!$A$61&lt;&gt;"",ISNUMBER(SEARCH(설정!$A$61,K403))),설정!$B$61,IF(M403="","설계사","시공사"))))))))),"")</f>
        <v/>
      </c>
      <c r="V403">
        <f>SUBSTITUTE(SUBSTITUTE(SUBSTITUTE(SUBSTITUTE(G403,"(주)",""),"㈜",""),"주식회사","")," ","")</f>
        <v/>
      </c>
      <c r="W403">
        <f>IF(AND(T403,V403&lt;&gt;""),IF(COUNTIFS(V$2:V403,V403,T$2:T403,TRUE)=1,MAX(W$1:W402)+1,""),"")</f>
        <v/>
      </c>
      <c r="X403">
        <f>IF(설정!$C$14="","",IFERROR(INDEX('1.산군_붙여넣기'!$A$1:$AZ$1001,ROW(),설정!$C$14)&amp;"",""))</f>
        <v/>
      </c>
      <c r="Y403">
        <f>IF(설정!$C$15="","",IFERROR(INDEX('1.산군_붙여넣기'!$A$1:$AZ$1001,ROW(),설정!$C$15)&amp;"",""))</f>
        <v/>
      </c>
      <c r="Z403">
        <f>IF(T403,V403&amp;"|"&amp;U403,"")</f>
        <v/>
      </c>
      <c r="AA403">
        <f>IF(NOT(Q403),"",IF(NOT(AND(R403,S403)),"✕",IF(OR(OR(AND(L403&lt;&gt;"",M403&lt;&gt;"",N(M403)-N(L403)&gt;설정!$B$27),AND(L403&lt;&gt;"",M403="",설정!$B$24-N(L403)&gt;설정!$B$27)),AND(D403&lt;&gt;"",D403&lt;설정!$B$26)),"△","★")))</f>
        <v/>
      </c>
      <c r="AB403">
        <f>IF(NOT(T403),"",IF(U403="설계사",설정!$B$31,IF(U403="시공사",IF(OR(M403="",설정!$B$24-N(M403)&lt;=설정!$B$28*30.4),설정!$B$32,설정!$B$33),설정!$B$34))+IF(AA403="★",설정!$B$35,0))</f>
        <v/>
      </c>
      <c r="AC403">
        <f>SUBSTITUTE(SUBSTITUTE(SUBSTITUTE(SUBSTITUTE(H403,"(주)",""),"㈜",""),"주식회사","")," ","")</f>
        <v/>
      </c>
      <c r="AD403">
        <f>IF(AND(T403,AC403&lt;&gt;""),IF(COUNTIFS(AC$2:AC403,AC403,T$2:T403,TRUE)=1,MAX(AD$1:AD402)+1,""),"")</f>
        <v/>
      </c>
    </row>
    <row r="404">
      <c r="A404">
        <f>ROW()</f>
        <v/>
      </c>
      <c r="B404">
        <f>IF(설정!$C$4="","",IFERROR(INDEX('1.산군_붙여넣기'!$A$1:$AZ$1001,ROW(),설정!$C$4)&amp;"",""))</f>
        <v/>
      </c>
      <c r="C404">
        <f>IF(설정!$C$5="","",IFERROR(INDEX('1.산군_붙여넣기'!$A$1:$AZ$1001,ROW(),설정!$C$5)&amp;"",""))</f>
        <v/>
      </c>
      <c r="D404" s="5">
        <f>IFERROR(VALUE(SUBSTITUTE(SUBSTITUTE(SUBSTITUTE(IF(설정!$C$6="","",IFERROR(INDEX('1.산군_붙여넣기'!$A$1:$AZ$1001,ROW(),설정!$C$6)&amp;"","")),",",""),"㎡",""),"m2","")),"")</f>
        <v/>
      </c>
      <c r="E404">
        <f>IF(설정!$C$7="","",IFERROR(INDEX('1.산군_붙여넣기'!$A$1:$AZ$1001,ROW(),설정!$C$7)&amp;"",""))</f>
        <v/>
      </c>
      <c r="F404">
        <f>IF(설정!$C$8="","",IFERROR(INDEX('1.산군_붙여넣기'!$A$1:$AZ$1001,ROW(),설정!$C$8)&amp;"",""))</f>
        <v/>
      </c>
      <c r="G404">
        <f>IF(설정!$C$9="","",IFERROR(INDEX('1.산군_붙여넣기'!$A$1:$AZ$1001,ROW(),설정!$C$9)&amp;"",""))</f>
        <v/>
      </c>
      <c r="H404">
        <f>IF(설정!$C$10="","",IFERROR(INDEX('1.산군_붙여넣기'!$A$1:$AZ$1001,ROW(),설정!$C$10)&amp;"",""))</f>
        <v/>
      </c>
      <c r="I404">
        <f>IF(설정!$C$11="","",IFERROR(INDEX('1.산군_붙여넣기'!$A$1:$AZ$1001,ROW(),설정!$C$11)&amp;"",""))</f>
        <v/>
      </c>
      <c r="J404">
        <f>IF(설정!$C$12="","",IFERROR(INDEX('1.산군_붙여넣기'!$A$1:$AZ$1001,ROW(),설정!$C$12)&amp;"",""))</f>
        <v/>
      </c>
      <c r="K404">
        <f>IF(설정!$C$13="","",IFERROR(INDEX('1.산군_붙여넣기'!$A$1:$AZ$1001,ROW(),설정!$C$13)&amp;"",""))</f>
        <v/>
      </c>
      <c r="L404" s="7">
        <f>IF(X404="","",IF(AND(LEN(X404)=8,ISNUMBER(X404*1)),DATE(LEFT(X404,4),MID(X404,5,2),RIGHT(X404,2)),IFERROR(DATEVALUE(SUBSTITUTE(SUBSTITUTE(X404,".","-"),"/","-")),IFERROR(X404*1,""))))</f>
        <v/>
      </c>
      <c r="M404" s="7">
        <f>IF(Y404="","",IF(AND(LEN(Y404)=8,ISNUMBER(Y404*1)),DATE(LEFT(Y404,4),MID(Y404,5,2),RIGHT(Y404,2)),IFERROR(DATEVALUE(SUBSTITUTE(SUBSTITUTE(Y404,".","-"),"/","-")),IFERROR(Y404*1,""))))</f>
        <v/>
      </c>
      <c r="N404">
        <f>IFERROR(LEFT(B404,FIND(" ",B404)-1),B404)</f>
        <v/>
      </c>
      <c r="O404">
        <f>AND(B404&lt;&gt;"",B404&lt;&gt;설정!$B$4,C404&lt;&gt;설정!$B$5)</f>
        <v/>
      </c>
      <c r="P404">
        <f>IF(O404,B404&amp;"|"&amp;C404,"")</f>
        <v/>
      </c>
      <c r="Q404">
        <f>AND(O404,COUNTIF(P405:P$1002,P404)=0)</f>
        <v/>
      </c>
      <c r="R404">
        <f>OR(AND(설정!$A$42&lt;&gt;"",ISNUMBER(SEARCH(설정!$A$42,E404&amp;" "&amp;C404))),AND(설정!$A$43&lt;&gt;"",ISNUMBER(SEARCH(설정!$A$43,E404&amp;" "&amp;C404))),AND(설정!$A$44&lt;&gt;"",ISNUMBER(SEARCH(설정!$A$44,E404&amp;" "&amp;C404))),AND(설정!$A$45&lt;&gt;"",ISNUMBER(SEARCH(설정!$A$45,E404&amp;" "&amp;C404))),AND(설정!$A$46&lt;&gt;"",ISNUMBER(SEARCH(설정!$A$46,E404&amp;" "&amp;C404))),AND(설정!$A$47&lt;&gt;"",ISNUMBER(SEARCH(설정!$A$47,E404&amp;" "&amp;C404))),AND(설정!$A$48&lt;&gt;"",ISNUMBER(SEARCH(설정!$A$48,E404&amp;" "&amp;C404))),AND(설정!$A$49&lt;&gt;"",ISNUMBER(SEARCH(설정!$A$49,E404&amp;" "&amp;C404))),AND(설정!$A$50&lt;&gt;"",ISNUMBER(SEARCH(설정!$A$50,E404&amp;" "&amp;C404))),AND(설정!$A$51&lt;&gt;"",ISNUMBER(SEARCH(설정!$A$51,E404&amp;" "&amp;C404))))</f>
        <v/>
      </c>
      <c r="S404">
        <f>OR(D404="",D404&gt;=설정!$B$19)</f>
        <v/>
      </c>
      <c r="T404">
        <f>AND(Q404,R404,S404)</f>
        <v/>
      </c>
      <c r="U404">
        <f>IF(T404,IF(AND(설정!$A$54&lt;&gt;"",ISNUMBER(SEARCH(설정!$A$54,K404))),설정!$B$54,IF(AND(설정!$A$55&lt;&gt;"",ISNUMBER(SEARCH(설정!$A$55,K404))),설정!$B$55,IF(AND(설정!$A$56&lt;&gt;"",ISNUMBER(SEARCH(설정!$A$56,K404))),설정!$B$56,IF(AND(설정!$A$57&lt;&gt;"",ISNUMBER(SEARCH(설정!$A$57,K404))),설정!$B$57,IF(AND(설정!$A$58&lt;&gt;"",ISNUMBER(SEARCH(설정!$A$58,K404))),설정!$B$58,IF(AND(설정!$A$59&lt;&gt;"",ISNUMBER(SEARCH(설정!$A$59,K404))),설정!$B$59,IF(AND(설정!$A$60&lt;&gt;"",ISNUMBER(SEARCH(설정!$A$60,K404))),설정!$B$60,IF(AND(설정!$A$61&lt;&gt;"",ISNUMBER(SEARCH(설정!$A$61,K404))),설정!$B$61,IF(M404="","설계사","시공사"))))))))),"")</f>
        <v/>
      </c>
      <c r="V404">
        <f>SUBSTITUTE(SUBSTITUTE(SUBSTITUTE(SUBSTITUTE(G404,"(주)",""),"㈜",""),"주식회사","")," ","")</f>
        <v/>
      </c>
      <c r="W404">
        <f>IF(AND(T404,V404&lt;&gt;""),IF(COUNTIFS(V$2:V404,V404,T$2:T404,TRUE)=1,MAX(W$1:W403)+1,""),"")</f>
        <v/>
      </c>
      <c r="X404">
        <f>IF(설정!$C$14="","",IFERROR(INDEX('1.산군_붙여넣기'!$A$1:$AZ$1001,ROW(),설정!$C$14)&amp;"",""))</f>
        <v/>
      </c>
      <c r="Y404">
        <f>IF(설정!$C$15="","",IFERROR(INDEX('1.산군_붙여넣기'!$A$1:$AZ$1001,ROW(),설정!$C$15)&amp;"",""))</f>
        <v/>
      </c>
      <c r="Z404">
        <f>IF(T404,V404&amp;"|"&amp;U404,"")</f>
        <v/>
      </c>
      <c r="AA404">
        <f>IF(NOT(Q404),"",IF(NOT(AND(R404,S404)),"✕",IF(OR(OR(AND(L404&lt;&gt;"",M404&lt;&gt;"",N(M404)-N(L404)&gt;설정!$B$27),AND(L404&lt;&gt;"",M404="",설정!$B$24-N(L404)&gt;설정!$B$27)),AND(D404&lt;&gt;"",D404&lt;설정!$B$26)),"△","★")))</f>
        <v/>
      </c>
      <c r="AB404">
        <f>IF(NOT(T404),"",IF(U404="설계사",설정!$B$31,IF(U404="시공사",IF(OR(M404="",설정!$B$24-N(M404)&lt;=설정!$B$28*30.4),설정!$B$32,설정!$B$33),설정!$B$34))+IF(AA404="★",설정!$B$35,0))</f>
        <v/>
      </c>
      <c r="AC404">
        <f>SUBSTITUTE(SUBSTITUTE(SUBSTITUTE(SUBSTITUTE(H404,"(주)",""),"㈜",""),"주식회사","")," ","")</f>
        <v/>
      </c>
      <c r="AD404">
        <f>IF(AND(T404,AC404&lt;&gt;""),IF(COUNTIFS(AC$2:AC404,AC404,T$2:T404,TRUE)=1,MAX(AD$1:AD403)+1,""),"")</f>
        <v/>
      </c>
    </row>
    <row r="405">
      <c r="A405">
        <f>ROW()</f>
        <v/>
      </c>
      <c r="B405">
        <f>IF(설정!$C$4="","",IFERROR(INDEX('1.산군_붙여넣기'!$A$1:$AZ$1001,ROW(),설정!$C$4)&amp;"",""))</f>
        <v/>
      </c>
      <c r="C405">
        <f>IF(설정!$C$5="","",IFERROR(INDEX('1.산군_붙여넣기'!$A$1:$AZ$1001,ROW(),설정!$C$5)&amp;"",""))</f>
        <v/>
      </c>
      <c r="D405" s="5">
        <f>IFERROR(VALUE(SUBSTITUTE(SUBSTITUTE(SUBSTITUTE(IF(설정!$C$6="","",IFERROR(INDEX('1.산군_붙여넣기'!$A$1:$AZ$1001,ROW(),설정!$C$6)&amp;"","")),",",""),"㎡",""),"m2","")),"")</f>
        <v/>
      </c>
      <c r="E405">
        <f>IF(설정!$C$7="","",IFERROR(INDEX('1.산군_붙여넣기'!$A$1:$AZ$1001,ROW(),설정!$C$7)&amp;"",""))</f>
        <v/>
      </c>
      <c r="F405">
        <f>IF(설정!$C$8="","",IFERROR(INDEX('1.산군_붙여넣기'!$A$1:$AZ$1001,ROW(),설정!$C$8)&amp;"",""))</f>
        <v/>
      </c>
      <c r="G405">
        <f>IF(설정!$C$9="","",IFERROR(INDEX('1.산군_붙여넣기'!$A$1:$AZ$1001,ROW(),설정!$C$9)&amp;"",""))</f>
        <v/>
      </c>
      <c r="H405">
        <f>IF(설정!$C$10="","",IFERROR(INDEX('1.산군_붙여넣기'!$A$1:$AZ$1001,ROW(),설정!$C$10)&amp;"",""))</f>
        <v/>
      </c>
      <c r="I405">
        <f>IF(설정!$C$11="","",IFERROR(INDEX('1.산군_붙여넣기'!$A$1:$AZ$1001,ROW(),설정!$C$11)&amp;"",""))</f>
        <v/>
      </c>
      <c r="J405">
        <f>IF(설정!$C$12="","",IFERROR(INDEX('1.산군_붙여넣기'!$A$1:$AZ$1001,ROW(),설정!$C$12)&amp;"",""))</f>
        <v/>
      </c>
      <c r="K405">
        <f>IF(설정!$C$13="","",IFERROR(INDEX('1.산군_붙여넣기'!$A$1:$AZ$1001,ROW(),설정!$C$13)&amp;"",""))</f>
        <v/>
      </c>
      <c r="L405" s="7">
        <f>IF(X405="","",IF(AND(LEN(X405)=8,ISNUMBER(X405*1)),DATE(LEFT(X405,4),MID(X405,5,2),RIGHT(X405,2)),IFERROR(DATEVALUE(SUBSTITUTE(SUBSTITUTE(X405,".","-"),"/","-")),IFERROR(X405*1,""))))</f>
        <v/>
      </c>
      <c r="M405" s="7">
        <f>IF(Y405="","",IF(AND(LEN(Y405)=8,ISNUMBER(Y405*1)),DATE(LEFT(Y405,4),MID(Y405,5,2),RIGHT(Y405,2)),IFERROR(DATEVALUE(SUBSTITUTE(SUBSTITUTE(Y405,".","-"),"/","-")),IFERROR(Y405*1,""))))</f>
        <v/>
      </c>
      <c r="N405">
        <f>IFERROR(LEFT(B405,FIND(" ",B405)-1),B405)</f>
        <v/>
      </c>
      <c r="O405">
        <f>AND(B405&lt;&gt;"",B405&lt;&gt;설정!$B$4,C405&lt;&gt;설정!$B$5)</f>
        <v/>
      </c>
      <c r="P405">
        <f>IF(O405,B405&amp;"|"&amp;C405,"")</f>
        <v/>
      </c>
      <c r="Q405">
        <f>AND(O405,COUNTIF(P406:P$1002,P405)=0)</f>
        <v/>
      </c>
      <c r="R405">
        <f>OR(AND(설정!$A$42&lt;&gt;"",ISNUMBER(SEARCH(설정!$A$42,E405&amp;" "&amp;C405))),AND(설정!$A$43&lt;&gt;"",ISNUMBER(SEARCH(설정!$A$43,E405&amp;" "&amp;C405))),AND(설정!$A$44&lt;&gt;"",ISNUMBER(SEARCH(설정!$A$44,E405&amp;" "&amp;C405))),AND(설정!$A$45&lt;&gt;"",ISNUMBER(SEARCH(설정!$A$45,E405&amp;" "&amp;C405))),AND(설정!$A$46&lt;&gt;"",ISNUMBER(SEARCH(설정!$A$46,E405&amp;" "&amp;C405))),AND(설정!$A$47&lt;&gt;"",ISNUMBER(SEARCH(설정!$A$47,E405&amp;" "&amp;C405))),AND(설정!$A$48&lt;&gt;"",ISNUMBER(SEARCH(설정!$A$48,E405&amp;" "&amp;C405))),AND(설정!$A$49&lt;&gt;"",ISNUMBER(SEARCH(설정!$A$49,E405&amp;" "&amp;C405))),AND(설정!$A$50&lt;&gt;"",ISNUMBER(SEARCH(설정!$A$50,E405&amp;" "&amp;C405))),AND(설정!$A$51&lt;&gt;"",ISNUMBER(SEARCH(설정!$A$51,E405&amp;" "&amp;C405))))</f>
        <v/>
      </c>
      <c r="S405">
        <f>OR(D405="",D405&gt;=설정!$B$19)</f>
        <v/>
      </c>
      <c r="T405">
        <f>AND(Q405,R405,S405)</f>
        <v/>
      </c>
      <c r="U405">
        <f>IF(T405,IF(AND(설정!$A$54&lt;&gt;"",ISNUMBER(SEARCH(설정!$A$54,K405))),설정!$B$54,IF(AND(설정!$A$55&lt;&gt;"",ISNUMBER(SEARCH(설정!$A$55,K405))),설정!$B$55,IF(AND(설정!$A$56&lt;&gt;"",ISNUMBER(SEARCH(설정!$A$56,K405))),설정!$B$56,IF(AND(설정!$A$57&lt;&gt;"",ISNUMBER(SEARCH(설정!$A$57,K405))),설정!$B$57,IF(AND(설정!$A$58&lt;&gt;"",ISNUMBER(SEARCH(설정!$A$58,K405))),설정!$B$58,IF(AND(설정!$A$59&lt;&gt;"",ISNUMBER(SEARCH(설정!$A$59,K405))),설정!$B$59,IF(AND(설정!$A$60&lt;&gt;"",ISNUMBER(SEARCH(설정!$A$60,K405))),설정!$B$60,IF(AND(설정!$A$61&lt;&gt;"",ISNUMBER(SEARCH(설정!$A$61,K405))),설정!$B$61,IF(M405="","설계사","시공사"))))))))),"")</f>
        <v/>
      </c>
      <c r="V405">
        <f>SUBSTITUTE(SUBSTITUTE(SUBSTITUTE(SUBSTITUTE(G405,"(주)",""),"㈜",""),"주식회사","")," ","")</f>
        <v/>
      </c>
      <c r="W405">
        <f>IF(AND(T405,V405&lt;&gt;""),IF(COUNTIFS(V$2:V405,V405,T$2:T405,TRUE)=1,MAX(W$1:W404)+1,""),"")</f>
        <v/>
      </c>
      <c r="X405">
        <f>IF(설정!$C$14="","",IFERROR(INDEX('1.산군_붙여넣기'!$A$1:$AZ$1001,ROW(),설정!$C$14)&amp;"",""))</f>
        <v/>
      </c>
      <c r="Y405">
        <f>IF(설정!$C$15="","",IFERROR(INDEX('1.산군_붙여넣기'!$A$1:$AZ$1001,ROW(),설정!$C$15)&amp;"",""))</f>
        <v/>
      </c>
      <c r="Z405">
        <f>IF(T405,V405&amp;"|"&amp;U405,"")</f>
        <v/>
      </c>
      <c r="AA405">
        <f>IF(NOT(Q405),"",IF(NOT(AND(R405,S405)),"✕",IF(OR(OR(AND(L405&lt;&gt;"",M405&lt;&gt;"",N(M405)-N(L405)&gt;설정!$B$27),AND(L405&lt;&gt;"",M405="",설정!$B$24-N(L405)&gt;설정!$B$27)),AND(D405&lt;&gt;"",D405&lt;설정!$B$26)),"△","★")))</f>
        <v/>
      </c>
      <c r="AB405">
        <f>IF(NOT(T405),"",IF(U405="설계사",설정!$B$31,IF(U405="시공사",IF(OR(M405="",설정!$B$24-N(M405)&lt;=설정!$B$28*30.4),설정!$B$32,설정!$B$33),설정!$B$34))+IF(AA405="★",설정!$B$35,0))</f>
        <v/>
      </c>
      <c r="AC405">
        <f>SUBSTITUTE(SUBSTITUTE(SUBSTITUTE(SUBSTITUTE(H405,"(주)",""),"㈜",""),"주식회사","")," ","")</f>
        <v/>
      </c>
      <c r="AD405">
        <f>IF(AND(T405,AC405&lt;&gt;""),IF(COUNTIFS(AC$2:AC405,AC405,T$2:T405,TRUE)=1,MAX(AD$1:AD404)+1,""),"")</f>
        <v/>
      </c>
    </row>
    <row r="406">
      <c r="A406">
        <f>ROW()</f>
        <v/>
      </c>
      <c r="B406">
        <f>IF(설정!$C$4="","",IFERROR(INDEX('1.산군_붙여넣기'!$A$1:$AZ$1001,ROW(),설정!$C$4)&amp;"",""))</f>
        <v/>
      </c>
      <c r="C406">
        <f>IF(설정!$C$5="","",IFERROR(INDEX('1.산군_붙여넣기'!$A$1:$AZ$1001,ROW(),설정!$C$5)&amp;"",""))</f>
        <v/>
      </c>
      <c r="D406" s="5">
        <f>IFERROR(VALUE(SUBSTITUTE(SUBSTITUTE(SUBSTITUTE(IF(설정!$C$6="","",IFERROR(INDEX('1.산군_붙여넣기'!$A$1:$AZ$1001,ROW(),설정!$C$6)&amp;"","")),",",""),"㎡",""),"m2","")),"")</f>
        <v/>
      </c>
      <c r="E406">
        <f>IF(설정!$C$7="","",IFERROR(INDEX('1.산군_붙여넣기'!$A$1:$AZ$1001,ROW(),설정!$C$7)&amp;"",""))</f>
        <v/>
      </c>
      <c r="F406">
        <f>IF(설정!$C$8="","",IFERROR(INDEX('1.산군_붙여넣기'!$A$1:$AZ$1001,ROW(),설정!$C$8)&amp;"",""))</f>
        <v/>
      </c>
      <c r="G406">
        <f>IF(설정!$C$9="","",IFERROR(INDEX('1.산군_붙여넣기'!$A$1:$AZ$1001,ROW(),설정!$C$9)&amp;"",""))</f>
        <v/>
      </c>
      <c r="H406">
        <f>IF(설정!$C$10="","",IFERROR(INDEX('1.산군_붙여넣기'!$A$1:$AZ$1001,ROW(),설정!$C$10)&amp;"",""))</f>
        <v/>
      </c>
      <c r="I406">
        <f>IF(설정!$C$11="","",IFERROR(INDEX('1.산군_붙여넣기'!$A$1:$AZ$1001,ROW(),설정!$C$11)&amp;"",""))</f>
        <v/>
      </c>
      <c r="J406">
        <f>IF(설정!$C$12="","",IFERROR(INDEX('1.산군_붙여넣기'!$A$1:$AZ$1001,ROW(),설정!$C$12)&amp;"",""))</f>
        <v/>
      </c>
      <c r="K406">
        <f>IF(설정!$C$13="","",IFERROR(INDEX('1.산군_붙여넣기'!$A$1:$AZ$1001,ROW(),설정!$C$13)&amp;"",""))</f>
        <v/>
      </c>
      <c r="L406" s="7">
        <f>IF(X406="","",IF(AND(LEN(X406)=8,ISNUMBER(X406*1)),DATE(LEFT(X406,4),MID(X406,5,2),RIGHT(X406,2)),IFERROR(DATEVALUE(SUBSTITUTE(SUBSTITUTE(X406,".","-"),"/","-")),IFERROR(X406*1,""))))</f>
        <v/>
      </c>
      <c r="M406" s="7">
        <f>IF(Y406="","",IF(AND(LEN(Y406)=8,ISNUMBER(Y406*1)),DATE(LEFT(Y406,4),MID(Y406,5,2),RIGHT(Y406,2)),IFERROR(DATEVALUE(SUBSTITUTE(SUBSTITUTE(Y406,".","-"),"/","-")),IFERROR(Y406*1,""))))</f>
        <v/>
      </c>
      <c r="N406">
        <f>IFERROR(LEFT(B406,FIND(" ",B406)-1),B406)</f>
        <v/>
      </c>
      <c r="O406">
        <f>AND(B406&lt;&gt;"",B406&lt;&gt;설정!$B$4,C406&lt;&gt;설정!$B$5)</f>
        <v/>
      </c>
      <c r="P406">
        <f>IF(O406,B406&amp;"|"&amp;C406,"")</f>
        <v/>
      </c>
      <c r="Q406">
        <f>AND(O406,COUNTIF(P407:P$1002,P406)=0)</f>
        <v/>
      </c>
      <c r="R406">
        <f>OR(AND(설정!$A$42&lt;&gt;"",ISNUMBER(SEARCH(설정!$A$42,E406&amp;" "&amp;C406))),AND(설정!$A$43&lt;&gt;"",ISNUMBER(SEARCH(설정!$A$43,E406&amp;" "&amp;C406))),AND(설정!$A$44&lt;&gt;"",ISNUMBER(SEARCH(설정!$A$44,E406&amp;" "&amp;C406))),AND(설정!$A$45&lt;&gt;"",ISNUMBER(SEARCH(설정!$A$45,E406&amp;" "&amp;C406))),AND(설정!$A$46&lt;&gt;"",ISNUMBER(SEARCH(설정!$A$46,E406&amp;" "&amp;C406))),AND(설정!$A$47&lt;&gt;"",ISNUMBER(SEARCH(설정!$A$47,E406&amp;" "&amp;C406))),AND(설정!$A$48&lt;&gt;"",ISNUMBER(SEARCH(설정!$A$48,E406&amp;" "&amp;C406))),AND(설정!$A$49&lt;&gt;"",ISNUMBER(SEARCH(설정!$A$49,E406&amp;" "&amp;C406))),AND(설정!$A$50&lt;&gt;"",ISNUMBER(SEARCH(설정!$A$50,E406&amp;" "&amp;C406))),AND(설정!$A$51&lt;&gt;"",ISNUMBER(SEARCH(설정!$A$51,E406&amp;" "&amp;C406))))</f>
        <v/>
      </c>
      <c r="S406">
        <f>OR(D406="",D406&gt;=설정!$B$19)</f>
        <v/>
      </c>
      <c r="T406">
        <f>AND(Q406,R406,S406)</f>
        <v/>
      </c>
      <c r="U406">
        <f>IF(T406,IF(AND(설정!$A$54&lt;&gt;"",ISNUMBER(SEARCH(설정!$A$54,K406))),설정!$B$54,IF(AND(설정!$A$55&lt;&gt;"",ISNUMBER(SEARCH(설정!$A$55,K406))),설정!$B$55,IF(AND(설정!$A$56&lt;&gt;"",ISNUMBER(SEARCH(설정!$A$56,K406))),설정!$B$56,IF(AND(설정!$A$57&lt;&gt;"",ISNUMBER(SEARCH(설정!$A$57,K406))),설정!$B$57,IF(AND(설정!$A$58&lt;&gt;"",ISNUMBER(SEARCH(설정!$A$58,K406))),설정!$B$58,IF(AND(설정!$A$59&lt;&gt;"",ISNUMBER(SEARCH(설정!$A$59,K406))),설정!$B$59,IF(AND(설정!$A$60&lt;&gt;"",ISNUMBER(SEARCH(설정!$A$60,K406))),설정!$B$60,IF(AND(설정!$A$61&lt;&gt;"",ISNUMBER(SEARCH(설정!$A$61,K406))),설정!$B$61,IF(M406="","설계사","시공사"))))))))),"")</f>
        <v/>
      </c>
      <c r="V406">
        <f>SUBSTITUTE(SUBSTITUTE(SUBSTITUTE(SUBSTITUTE(G406,"(주)",""),"㈜",""),"주식회사","")," ","")</f>
        <v/>
      </c>
      <c r="W406">
        <f>IF(AND(T406,V406&lt;&gt;""),IF(COUNTIFS(V$2:V406,V406,T$2:T406,TRUE)=1,MAX(W$1:W405)+1,""),"")</f>
        <v/>
      </c>
      <c r="X406">
        <f>IF(설정!$C$14="","",IFERROR(INDEX('1.산군_붙여넣기'!$A$1:$AZ$1001,ROW(),설정!$C$14)&amp;"",""))</f>
        <v/>
      </c>
      <c r="Y406">
        <f>IF(설정!$C$15="","",IFERROR(INDEX('1.산군_붙여넣기'!$A$1:$AZ$1001,ROW(),설정!$C$15)&amp;"",""))</f>
        <v/>
      </c>
      <c r="Z406">
        <f>IF(T406,V406&amp;"|"&amp;U406,"")</f>
        <v/>
      </c>
      <c r="AA406">
        <f>IF(NOT(Q406),"",IF(NOT(AND(R406,S406)),"✕",IF(OR(OR(AND(L406&lt;&gt;"",M406&lt;&gt;"",N(M406)-N(L406)&gt;설정!$B$27),AND(L406&lt;&gt;"",M406="",설정!$B$24-N(L406)&gt;설정!$B$27)),AND(D406&lt;&gt;"",D406&lt;설정!$B$26)),"△","★")))</f>
        <v/>
      </c>
      <c r="AB406">
        <f>IF(NOT(T406),"",IF(U406="설계사",설정!$B$31,IF(U406="시공사",IF(OR(M406="",설정!$B$24-N(M406)&lt;=설정!$B$28*30.4),설정!$B$32,설정!$B$33),설정!$B$34))+IF(AA406="★",설정!$B$35,0))</f>
        <v/>
      </c>
      <c r="AC406">
        <f>SUBSTITUTE(SUBSTITUTE(SUBSTITUTE(SUBSTITUTE(H406,"(주)",""),"㈜",""),"주식회사","")," ","")</f>
        <v/>
      </c>
      <c r="AD406">
        <f>IF(AND(T406,AC406&lt;&gt;""),IF(COUNTIFS(AC$2:AC406,AC406,T$2:T406,TRUE)=1,MAX(AD$1:AD405)+1,""),"")</f>
        <v/>
      </c>
    </row>
    <row r="407">
      <c r="A407">
        <f>ROW()</f>
        <v/>
      </c>
      <c r="B407">
        <f>IF(설정!$C$4="","",IFERROR(INDEX('1.산군_붙여넣기'!$A$1:$AZ$1001,ROW(),설정!$C$4)&amp;"",""))</f>
        <v/>
      </c>
      <c r="C407">
        <f>IF(설정!$C$5="","",IFERROR(INDEX('1.산군_붙여넣기'!$A$1:$AZ$1001,ROW(),설정!$C$5)&amp;"",""))</f>
        <v/>
      </c>
      <c r="D407" s="5">
        <f>IFERROR(VALUE(SUBSTITUTE(SUBSTITUTE(SUBSTITUTE(IF(설정!$C$6="","",IFERROR(INDEX('1.산군_붙여넣기'!$A$1:$AZ$1001,ROW(),설정!$C$6)&amp;"","")),",",""),"㎡",""),"m2","")),"")</f>
        <v/>
      </c>
      <c r="E407">
        <f>IF(설정!$C$7="","",IFERROR(INDEX('1.산군_붙여넣기'!$A$1:$AZ$1001,ROW(),설정!$C$7)&amp;"",""))</f>
        <v/>
      </c>
      <c r="F407">
        <f>IF(설정!$C$8="","",IFERROR(INDEX('1.산군_붙여넣기'!$A$1:$AZ$1001,ROW(),설정!$C$8)&amp;"",""))</f>
        <v/>
      </c>
      <c r="G407">
        <f>IF(설정!$C$9="","",IFERROR(INDEX('1.산군_붙여넣기'!$A$1:$AZ$1001,ROW(),설정!$C$9)&amp;"",""))</f>
        <v/>
      </c>
      <c r="H407">
        <f>IF(설정!$C$10="","",IFERROR(INDEX('1.산군_붙여넣기'!$A$1:$AZ$1001,ROW(),설정!$C$10)&amp;"",""))</f>
        <v/>
      </c>
      <c r="I407">
        <f>IF(설정!$C$11="","",IFERROR(INDEX('1.산군_붙여넣기'!$A$1:$AZ$1001,ROW(),설정!$C$11)&amp;"",""))</f>
        <v/>
      </c>
      <c r="J407">
        <f>IF(설정!$C$12="","",IFERROR(INDEX('1.산군_붙여넣기'!$A$1:$AZ$1001,ROW(),설정!$C$12)&amp;"",""))</f>
        <v/>
      </c>
      <c r="K407">
        <f>IF(설정!$C$13="","",IFERROR(INDEX('1.산군_붙여넣기'!$A$1:$AZ$1001,ROW(),설정!$C$13)&amp;"",""))</f>
        <v/>
      </c>
      <c r="L407" s="7">
        <f>IF(X407="","",IF(AND(LEN(X407)=8,ISNUMBER(X407*1)),DATE(LEFT(X407,4),MID(X407,5,2),RIGHT(X407,2)),IFERROR(DATEVALUE(SUBSTITUTE(SUBSTITUTE(X407,".","-"),"/","-")),IFERROR(X407*1,""))))</f>
        <v/>
      </c>
      <c r="M407" s="7">
        <f>IF(Y407="","",IF(AND(LEN(Y407)=8,ISNUMBER(Y407*1)),DATE(LEFT(Y407,4),MID(Y407,5,2),RIGHT(Y407,2)),IFERROR(DATEVALUE(SUBSTITUTE(SUBSTITUTE(Y407,".","-"),"/","-")),IFERROR(Y407*1,""))))</f>
        <v/>
      </c>
      <c r="N407">
        <f>IFERROR(LEFT(B407,FIND(" ",B407)-1),B407)</f>
        <v/>
      </c>
      <c r="O407">
        <f>AND(B407&lt;&gt;"",B407&lt;&gt;설정!$B$4,C407&lt;&gt;설정!$B$5)</f>
        <v/>
      </c>
      <c r="P407">
        <f>IF(O407,B407&amp;"|"&amp;C407,"")</f>
        <v/>
      </c>
      <c r="Q407">
        <f>AND(O407,COUNTIF(P408:P$1002,P407)=0)</f>
        <v/>
      </c>
      <c r="R407">
        <f>OR(AND(설정!$A$42&lt;&gt;"",ISNUMBER(SEARCH(설정!$A$42,E407&amp;" "&amp;C407))),AND(설정!$A$43&lt;&gt;"",ISNUMBER(SEARCH(설정!$A$43,E407&amp;" "&amp;C407))),AND(설정!$A$44&lt;&gt;"",ISNUMBER(SEARCH(설정!$A$44,E407&amp;" "&amp;C407))),AND(설정!$A$45&lt;&gt;"",ISNUMBER(SEARCH(설정!$A$45,E407&amp;" "&amp;C407))),AND(설정!$A$46&lt;&gt;"",ISNUMBER(SEARCH(설정!$A$46,E407&amp;" "&amp;C407))),AND(설정!$A$47&lt;&gt;"",ISNUMBER(SEARCH(설정!$A$47,E407&amp;" "&amp;C407))),AND(설정!$A$48&lt;&gt;"",ISNUMBER(SEARCH(설정!$A$48,E407&amp;" "&amp;C407))),AND(설정!$A$49&lt;&gt;"",ISNUMBER(SEARCH(설정!$A$49,E407&amp;" "&amp;C407))),AND(설정!$A$50&lt;&gt;"",ISNUMBER(SEARCH(설정!$A$50,E407&amp;" "&amp;C407))),AND(설정!$A$51&lt;&gt;"",ISNUMBER(SEARCH(설정!$A$51,E407&amp;" "&amp;C407))))</f>
        <v/>
      </c>
      <c r="S407">
        <f>OR(D407="",D407&gt;=설정!$B$19)</f>
        <v/>
      </c>
      <c r="T407">
        <f>AND(Q407,R407,S407)</f>
        <v/>
      </c>
      <c r="U407">
        <f>IF(T407,IF(AND(설정!$A$54&lt;&gt;"",ISNUMBER(SEARCH(설정!$A$54,K407))),설정!$B$54,IF(AND(설정!$A$55&lt;&gt;"",ISNUMBER(SEARCH(설정!$A$55,K407))),설정!$B$55,IF(AND(설정!$A$56&lt;&gt;"",ISNUMBER(SEARCH(설정!$A$56,K407))),설정!$B$56,IF(AND(설정!$A$57&lt;&gt;"",ISNUMBER(SEARCH(설정!$A$57,K407))),설정!$B$57,IF(AND(설정!$A$58&lt;&gt;"",ISNUMBER(SEARCH(설정!$A$58,K407))),설정!$B$58,IF(AND(설정!$A$59&lt;&gt;"",ISNUMBER(SEARCH(설정!$A$59,K407))),설정!$B$59,IF(AND(설정!$A$60&lt;&gt;"",ISNUMBER(SEARCH(설정!$A$60,K407))),설정!$B$60,IF(AND(설정!$A$61&lt;&gt;"",ISNUMBER(SEARCH(설정!$A$61,K407))),설정!$B$61,IF(M407="","설계사","시공사"))))))))),"")</f>
        <v/>
      </c>
      <c r="V407">
        <f>SUBSTITUTE(SUBSTITUTE(SUBSTITUTE(SUBSTITUTE(G407,"(주)",""),"㈜",""),"주식회사","")," ","")</f>
        <v/>
      </c>
      <c r="W407">
        <f>IF(AND(T407,V407&lt;&gt;""),IF(COUNTIFS(V$2:V407,V407,T$2:T407,TRUE)=1,MAX(W$1:W406)+1,""),"")</f>
        <v/>
      </c>
      <c r="X407">
        <f>IF(설정!$C$14="","",IFERROR(INDEX('1.산군_붙여넣기'!$A$1:$AZ$1001,ROW(),설정!$C$14)&amp;"",""))</f>
        <v/>
      </c>
      <c r="Y407">
        <f>IF(설정!$C$15="","",IFERROR(INDEX('1.산군_붙여넣기'!$A$1:$AZ$1001,ROW(),설정!$C$15)&amp;"",""))</f>
        <v/>
      </c>
      <c r="Z407">
        <f>IF(T407,V407&amp;"|"&amp;U407,"")</f>
        <v/>
      </c>
      <c r="AA407">
        <f>IF(NOT(Q407),"",IF(NOT(AND(R407,S407)),"✕",IF(OR(OR(AND(L407&lt;&gt;"",M407&lt;&gt;"",N(M407)-N(L407)&gt;설정!$B$27),AND(L407&lt;&gt;"",M407="",설정!$B$24-N(L407)&gt;설정!$B$27)),AND(D407&lt;&gt;"",D407&lt;설정!$B$26)),"△","★")))</f>
        <v/>
      </c>
      <c r="AB407">
        <f>IF(NOT(T407),"",IF(U407="설계사",설정!$B$31,IF(U407="시공사",IF(OR(M407="",설정!$B$24-N(M407)&lt;=설정!$B$28*30.4),설정!$B$32,설정!$B$33),설정!$B$34))+IF(AA407="★",설정!$B$35,0))</f>
        <v/>
      </c>
      <c r="AC407">
        <f>SUBSTITUTE(SUBSTITUTE(SUBSTITUTE(SUBSTITUTE(H407,"(주)",""),"㈜",""),"주식회사","")," ","")</f>
        <v/>
      </c>
      <c r="AD407">
        <f>IF(AND(T407,AC407&lt;&gt;""),IF(COUNTIFS(AC$2:AC407,AC407,T$2:T407,TRUE)=1,MAX(AD$1:AD406)+1,""),"")</f>
        <v/>
      </c>
    </row>
    <row r="408">
      <c r="A408">
        <f>ROW()</f>
        <v/>
      </c>
      <c r="B408">
        <f>IF(설정!$C$4="","",IFERROR(INDEX('1.산군_붙여넣기'!$A$1:$AZ$1001,ROW(),설정!$C$4)&amp;"",""))</f>
        <v/>
      </c>
      <c r="C408">
        <f>IF(설정!$C$5="","",IFERROR(INDEX('1.산군_붙여넣기'!$A$1:$AZ$1001,ROW(),설정!$C$5)&amp;"",""))</f>
        <v/>
      </c>
      <c r="D408" s="5">
        <f>IFERROR(VALUE(SUBSTITUTE(SUBSTITUTE(SUBSTITUTE(IF(설정!$C$6="","",IFERROR(INDEX('1.산군_붙여넣기'!$A$1:$AZ$1001,ROW(),설정!$C$6)&amp;"","")),",",""),"㎡",""),"m2","")),"")</f>
        <v/>
      </c>
      <c r="E408">
        <f>IF(설정!$C$7="","",IFERROR(INDEX('1.산군_붙여넣기'!$A$1:$AZ$1001,ROW(),설정!$C$7)&amp;"",""))</f>
        <v/>
      </c>
      <c r="F408">
        <f>IF(설정!$C$8="","",IFERROR(INDEX('1.산군_붙여넣기'!$A$1:$AZ$1001,ROW(),설정!$C$8)&amp;"",""))</f>
        <v/>
      </c>
      <c r="G408">
        <f>IF(설정!$C$9="","",IFERROR(INDEX('1.산군_붙여넣기'!$A$1:$AZ$1001,ROW(),설정!$C$9)&amp;"",""))</f>
        <v/>
      </c>
      <c r="H408">
        <f>IF(설정!$C$10="","",IFERROR(INDEX('1.산군_붙여넣기'!$A$1:$AZ$1001,ROW(),설정!$C$10)&amp;"",""))</f>
        <v/>
      </c>
      <c r="I408">
        <f>IF(설정!$C$11="","",IFERROR(INDEX('1.산군_붙여넣기'!$A$1:$AZ$1001,ROW(),설정!$C$11)&amp;"",""))</f>
        <v/>
      </c>
      <c r="J408">
        <f>IF(설정!$C$12="","",IFERROR(INDEX('1.산군_붙여넣기'!$A$1:$AZ$1001,ROW(),설정!$C$12)&amp;"",""))</f>
        <v/>
      </c>
      <c r="K408">
        <f>IF(설정!$C$13="","",IFERROR(INDEX('1.산군_붙여넣기'!$A$1:$AZ$1001,ROW(),설정!$C$13)&amp;"",""))</f>
        <v/>
      </c>
      <c r="L408" s="7">
        <f>IF(X408="","",IF(AND(LEN(X408)=8,ISNUMBER(X408*1)),DATE(LEFT(X408,4),MID(X408,5,2),RIGHT(X408,2)),IFERROR(DATEVALUE(SUBSTITUTE(SUBSTITUTE(X408,".","-"),"/","-")),IFERROR(X408*1,""))))</f>
        <v/>
      </c>
      <c r="M408" s="7">
        <f>IF(Y408="","",IF(AND(LEN(Y408)=8,ISNUMBER(Y408*1)),DATE(LEFT(Y408,4),MID(Y408,5,2),RIGHT(Y408,2)),IFERROR(DATEVALUE(SUBSTITUTE(SUBSTITUTE(Y408,".","-"),"/","-")),IFERROR(Y408*1,""))))</f>
        <v/>
      </c>
      <c r="N408">
        <f>IFERROR(LEFT(B408,FIND(" ",B408)-1),B408)</f>
        <v/>
      </c>
      <c r="O408">
        <f>AND(B408&lt;&gt;"",B408&lt;&gt;설정!$B$4,C408&lt;&gt;설정!$B$5)</f>
        <v/>
      </c>
      <c r="P408">
        <f>IF(O408,B408&amp;"|"&amp;C408,"")</f>
        <v/>
      </c>
      <c r="Q408">
        <f>AND(O408,COUNTIF(P409:P$1002,P408)=0)</f>
        <v/>
      </c>
      <c r="R408">
        <f>OR(AND(설정!$A$42&lt;&gt;"",ISNUMBER(SEARCH(설정!$A$42,E408&amp;" "&amp;C408))),AND(설정!$A$43&lt;&gt;"",ISNUMBER(SEARCH(설정!$A$43,E408&amp;" "&amp;C408))),AND(설정!$A$44&lt;&gt;"",ISNUMBER(SEARCH(설정!$A$44,E408&amp;" "&amp;C408))),AND(설정!$A$45&lt;&gt;"",ISNUMBER(SEARCH(설정!$A$45,E408&amp;" "&amp;C408))),AND(설정!$A$46&lt;&gt;"",ISNUMBER(SEARCH(설정!$A$46,E408&amp;" "&amp;C408))),AND(설정!$A$47&lt;&gt;"",ISNUMBER(SEARCH(설정!$A$47,E408&amp;" "&amp;C408))),AND(설정!$A$48&lt;&gt;"",ISNUMBER(SEARCH(설정!$A$48,E408&amp;" "&amp;C408))),AND(설정!$A$49&lt;&gt;"",ISNUMBER(SEARCH(설정!$A$49,E408&amp;" "&amp;C408))),AND(설정!$A$50&lt;&gt;"",ISNUMBER(SEARCH(설정!$A$50,E408&amp;" "&amp;C408))),AND(설정!$A$51&lt;&gt;"",ISNUMBER(SEARCH(설정!$A$51,E408&amp;" "&amp;C408))))</f>
        <v/>
      </c>
      <c r="S408">
        <f>OR(D408="",D408&gt;=설정!$B$19)</f>
        <v/>
      </c>
      <c r="T408">
        <f>AND(Q408,R408,S408)</f>
        <v/>
      </c>
      <c r="U408">
        <f>IF(T408,IF(AND(설정!$A$54&lt;&gt;"",ISNUMBER(SEARCH(설정!$A$54,K408))),설정!$B$54,IF(AND(설정!$A$55&lt;&gt;"",ISNUMBER(SEARCH(설정!$A$55,K408))),설정!$B$55,IF(AND(설정!$A$56&lt;&gt;"",ISNUMBER(SEARCH(설정!$A$56,K408))),설정!$B$56,IF(AND(설정!$A$57&lt;&gt;"",ISNUMBER(SEARCH(설정!$A$57,K408))),설정!$B$57,IF(AND(설정!$A$58&lt;&gt;"",ISNUMBER(SEARCH(설정!$A$58,K408))),설정!$B$58,IF(AND(설정!$A$59&lt;&gt;"",ISNUMBER(SEARCH(설정!$A$59,K408))),설정!$B$59,IF(AND(설정!$A$60&lt;&gt;"",ISNUMBER(SEARCH(설정!$A$60,K408))),설정!$B$60,IF(AND(설정!$A$61&lt;&gt;"",ISNUMBER(SEARCH(설정!$A$61,K408))),설정!$B$61,IF(M408="","설계사","시공사"))))))))),"")</f>
        <v/>
      </c>
      <c r="V408">
        <f>SUBSTITUTE(SUBSTITUTE(SUBSTITUTE(SUBSTITUTE(G408,"(주)",""),"㈜",""),"주식회사","")," ","")</f>
        <v/>
      </c>
      <c r="W408">
        <f>IF(AND(T408,V408&lt;&gt;""),IF(COUNTIFS(V$2:V408,V408,T$2:T408,TRUE)=1,MAX(W$1:W407)+1,""),"")</f>
        <v/>
      </c>
      <c r="X408">
        <f>IF(설정!$C$14="","",IFERROR(INDEX('1.산군_붙여넣기'!$A$1:$AZ$1001,ROW(),설정!$C$14)&amp;"",""))</f>
        <v/>
      </c>
      <c r="Y408">
        <f>IF(설정!$C$15="","",IFERROR(INDEX('1.산군_붙여넣기'!$A$1:$AZ$1001,ROW(),설정!$C$15)&amp;"",""))</f>
        <v/>
      </c>
      <c r="Z408">
        <f>IF(T408,V408&amp;"|"&amp;U408,"")</f>
        <v/>
      </c>
      <c r="AA408">
        <f>IF(NOT(Q408),"",IF(NOT(AND(R408,S408)),"✕",IF(OR(OR(AND(L408&lt;&gt;"",M408&lt;&gt;"",N(M408)-N(L408)&gt;설정!$B$27),AND(L408&lt;&gt;"",M408="",설정!$B$24-N(L408)&gt;설정!$B$27)),AND(D408&lt;&gt;"",D408&lt;설정!$B$26)),"△","★")))</f>
        <v/>
      </c>
      <c r="AB408">
        <f>IF(NOT(T408),"",IF(U408="설계사",설정!$B$31,IF(U408="시공사",IF(OR(M408="",설정!$B$24-N(M408)&lt;=설정!$B$28*30.4),설정!$B$32,설정!$B$33),설정!$B$34))+IF(AA408="★",설정!$B$35,0))</f>
        <v/>
      </c>
      <c r="AC408">
        <f>SUBSTITUTE(SUBSTITUTE(SUBSTITUTE(SUBSTITUTE(H408,"(주)",""),"㈜",""),"주식회사","")," ","")</f>
        <v/>
      </c>
      <c r="AD408">
        <f>IF(AND(T408,AC408&lt;&gt;""),IF(COUNTIFS(AC$2:AC408,AC408,T$2:T408,TRUE)=1,MAX(AD$1:AD407)+1,""),"")</f>
        <v/>
      </c>
    </row>
    <row r="409">
      <c r="A409">
        <f>ROW()</f>
        <v/>
      </c>
      <c r="B409">
        <f>IF(설정!$C$4="","",IFERROR(INDEX('1.산군_붙여넣기'!$A$1:$AZ$1001,ROW(),설정!$C$4)&amp;"",""))</f>
        <v/>
      </c>
      <c r="C409">
        <f>IF(설정!$C$5="","",IFERROR(INDEX('1.산군_붙여넣기'!$A$1:$AZ$1001,ROW(),설정!$C$5)&amp;"",""))</f>
        <v/>
      </c>
      <c r="D409" s="5">
        <f>IFERROR(VALUE(SUBSTITUTE(SUBSTITUTE(SUBSTITUTE(IF(설정!$C$6="","",IFERROR(INDEX('1.산군_붙여넣기'!$A$1:$AZ$1001,ROW(),설정!$C$6)&amp;"","")),",",""),"㎡",""),"m2","")),"")</f>
        <v/>
      </c>
      <c r="E409">
        <f>IF(설정!$C$7="","",IFERROR(INDEX('1.산군_붙여넣기'!$A$1:$AZ$1001,ROW(),설정!$C$7)&amp;"",""))</f>
        <v/>
      </c>
      <c r="F409">
        <f>IF(설정!$C$8="","",IFERROR(INDEX('1.산군_붙여넣기'!$A$1:$AZ$1001,ROW(),설정!$C$8)&amp;"",""))</f>
        <v/>
      </c>
      <c r="G409">
        <f>IF(설정!$C$9="","",IFERROR(INDEX('1.산군_붙여넣기'!$A$1:$AZ$1001,ROW(),설정!$C$9)&amp;"",""))</f>
        <v/>
      </c>
      <c r="H409">
        <f>IF(설정!$C$10="","",IFERROR(INDEX('1.산군_붙여넣기'!$A$1:$AZ$1001,ROW(),설정!$C$10)&amp;"",""))</f>
        <v/>
      </c>
      <c r="I409">
        <f>IF(설정!$C$11="","",IFERROR(INDEX('1.산군_붙여넣기'!$A$1:$AZ$1001,ROW(),설정!$C$11)&amp;"",""))</f>
        <v/>
      </c>
      <c r="J409">
        <f>IF(설정!$C$12="","",IFERROR(INDEX('1.산군_붙여넣기'!$A$1:$AZ$1001,ROW(),설정!$C$12)&amp;"",""))</f>
        <v/>
      </c>
      <c r="K409">
        <f>IF(설정!$C$13="","",IFERROR(INDEX('1.산군_붙여넣기'!$A$1:$AZ$1001,ROW(),설정!$C$13)&amp;"",""))</f>
        <v/>
      </c>
      <c r="L409" s="7">
        <f>IF(X409="","",IF(AND(LEN(X409)=8,ISNUMBER(X409*1)),DATE(LEFT(X409,4),MID(X409,5,2),RIGHT(X409,2)),IFERROR(DATEVALUE(SUBSTITUTE(SUBSTITUTE(X409,".","-"),"/","-")),IFERROR(X409*1,""))))</f>
        <v/>
      </c>
      <c r="M409" s="7">
        <f>IF(Y409="","",IF(AND(LEN(Y409)=8,ISNUMBER(Y409*1)),DATE(LEFT(Y409,4),MID(Y409,5,2),RIGHT(Y409,2)),IFERROR(DATEVALUE(SUBSTITUTE(SUBSTITUTE(Y409,".","-"),"/","-")),IFERROR(Y409*1,""))))</f>
        <v/>
      </c>
      <c r="N409">
        <f>IFERROR(LEFT(B409,FIND(" ",B409)-1),B409)</f>
        <v/>
      </c>
      <c r="O409">
        <f>AND(B409&lt;&gt;"",B409&lt;&gt;설정!$B$4,C409&lt;&gt;설정!$B$5)</f>
        <v/>
      </c>
      <c r="P409">
        <f>IF(O409,B409&amp;"|"&amp;C409,"")</f>
        <v/>
      </c>
      <c r="Q409">
        <f>AND(O409,COUNTIF(P410:P$1002,P409)=0)</f>
        <v/>
      </c>
      <c r="R409">
        <f>OR(AND(설정!$A$42&lt;&gt;"",ISNUMBER(SEARCH(설정!$A$42,E409&amp;" "&amp;C409))),AND(설정!$A$43&lt;&gt;"",ISNUMBER(SEARCH(설정!$A$43,E409&amp;" "&amp;C409))),AND(설정!$A$44&lt;&gt;"",ISNUMBER(SEARCH(설정!$A$44,E409&amp;" "&amp;C409))),AND(설정!$A$45&lt;&gt;"",ISNUMBER(SEARCH(설정!$A$45,E409&amp;" "&amp;C409))),AND(설정!$A$46&lt;&gt;"",ISNUMBER(SEARCH(설정!$A$46,E409&amp;" "&amp;C409))),AND(설정!$A$47&lt;&gt;"",ISNUMBER(SEARCH(설정!$A$47,E409&amp;" "&amp;C409))),AND(설정!$A$48&lt;&gt;"",ISNUMBER(SEARCH(설정!$A$48,E409&amp;" "&amp;C409))),AND(설정!$A$49&lt;&gt;"",ISNUMBER(SEARCH(설정!$A$49,E409&amp;" "&amp;C409))),AND(설정!$A$50&lt;&gt;"",ISNUMBER(SEARCH(설정!$A$50,E409&amp;" "&amp;C409))),AND(설정!$A$51&lt;&gt;"",ISNUMBER(SEARCH(설정!$A$51,E409&amp;" "&amp;C409))))</f>
        <v/>
      </c>
      <c r="S409">
        <f>OR(D409="",D409&gt;=설정!$B$19)</f>
        <v/>
      </c>
      <c r="T409">
        <f>AND(Q409,R409,S409)</f>
        <v/>
      </c>
      <c r="U409">
        <f>IF(T409,IF(AND(설정!$A$54&lt;&gt;"",ISNUMBER(SEARCH(설정!$A$54,K409))),설정!$B$54,IF(AND(설정!$A$55&lt;&gt;"",ISNUMBER(SEARCH(설정!$A$55,K409))),설정!$B$55,IF(AND(설정!$A$56&lt;&gt;"",ISNUMBER(SEARCH(설정!$A$56,K409))),설정!$B$56,IF(AND(설정!$A$57&lt;&gt;"",ISNUMBER(SEARCH(설정!$A$57,K409))),설정!$B$57,IF(AND(설정!$A$58&lt;&gt;"",ISNUMBER(SEARCH(설정!$A$58,K409))),설정!$B$58,IF(AND(설정!$A$59&lt;&gt;"",ISNUMBER(SEARCH(설정!$A$59,K409))),설정!$B$59,IF(AND(설정!$A$60&lt;&gt;"",ISNUMBER(SEARCH(설정!$A$60,K409))),설정!$B$60,IF(AND(설정!$A$61&lt;&gt;"",ISNUMBER(SEARCH(설정!$A$61,K409))),설정!$B$61,IF(M409="","설계사","시공사"))))))))),"")</f>
        <v/>
      </c>
      <c r="V409">
        <f>SUBSTITUTE(SUBSTITUTE(SUBSTITUTE(SUBSTITUTE(G409,"(주)",""),"㈜",""),"주식회사","")," ","")</f>
        <v/>
      </c>
      <c r="W409">
        <f>IF(AND(T409,V409&lt;&gt;""),IF(COUNTIFS(V$2:V409,V409,T$2:T409,TRUE)=1,MAX(W$1:W408)+1,""),"")</f>
        <v/>
      </c>
      <c r="X409">
        <f>IF(설정!$C$14="","",IFERROR(INDEX('1.산군_붙여넣기'!$A$1:$AZ$1001,ROW(),설정!$C$14)&amp;"",""))</f>
        <v/>
      </c>
      <c r="Y409">
        <f>IF(설정!$C$15="","",IFERROR(INDEX('1.산군_붙여넣기'!$A$1:$AZ$1001,ROW(),설정!$C$15)&amp;"",""))</f>
        <v/>
      </c>
      <c r="Z409">
        <f>IF(T409,V409&amp;"|"&amp;U409,"")</f>
        <v/>
      </c>
      <c r="AA409">
        <f>IF(NOT(Q409),"",IF(NOT(AND(R409,S409)),"✕",IF(OR(OR(AND(L409&lt;&gt;"",M409&lt;&gt;"",N(M409)-N(L409)&gt;설정!$B$27),AND(L409&lt;&gt;"",M409="",설정!$B$24-N(L409)&gt;설정!$B$27)),AND(D409&lt;&gt;"",D409&lt;설정!$B$26)),"△","★")))</f>
        <v/>
      </c>
      <c r="AB409">
        <f>IF(NOT(T409),"",IF(U409="설계사",설정!$B$31,IF(U409="시공사",IF(OR(M409="",설정!$B$24-N(M409)&lt;=설정!$B$28*30.4),설정!$B$32,설정!$B$33),설정!$B$34))+IF(AA409="★",설정!$B$35,0))</f>
        <v/>
      </c>
      <c r="AC409">
        <f>SUBSTITUTE(SUBSTITUTE(SUBSTITUTE(SUBSTITUTE(H409,"(주)",""),"㈜",""),"주식회사","")," ","")</f>
        <v/>
      </c>
      <c r="AD409">
        <f>IF(AND(T409,AC409&lt;&gt;""),IF(COUNTIFS(AC$2:AC409,AC409,T$2:T409,TRUE)=1,MAX(AD$1:AD408)+1,""),"")</f>
        <v/>
      </c>
    </row>
    <row r="410">
      <c r="A410">
        <f>ROW()</f>
        <v/>
      </c>
      <c r="B410">
        <f>IF(설정!$C$4="","",IFERROR(INDEX('1.산군_붙여넣기'!$A$1:$AZ$1001,ROW(),설정!$C$4)&amp;"",""))</f>
        <v/>
      </c>
      <c r="C410">
        <f>IF(설정!$C$5="","",IFERROR(INDEX('1.산군_붙여넣기'!$A$1:$AZ$1001,ROW(),설정!$C$5)&amp;"",""))</f>
        <v/>
      </c>
      <c r="D410" s="5">
        <f>IFERROR(VALUE(SUBSTITUTE(SUBSTITUTE(SUBSTITUTE(IF(설정!$C$6="","",IFERROR(INDEX('1.산군_붙여넣기'!$A$1:$AZ$1001,ROW(),설정!$C$6)&amp;"","")),",",""),"㎡",""),"m2","")),"")</f>
        <v/>
      </c>
      <c r="E410">
        <f>IF(설정!$C$7="","",IFERROR(INDEX('1.산군_붙여넣기'!$A$1:$AZ$1001,ROW(),설정!$C$7)&amp;"",""))</f>
        <v/>
      </c>
      <c r="F410">
        <f>IF(설정!$C$8="","",IFERROR(INDEX('1.산군_붙여넣기'!$A$1:$AZ$1001,ROW(),설정!$C$8)&amp;"",""))</f>
        <v/>
      </c>
      <c r="G410">
        <f>IF(설정!$C$9="","",IFERROR(INDEX('1.산군_붙여넣기'!$A$1:$AZ$1001,ROW(),설정!$C$9)&amp;"",""))</f>
        <v/>
      </c>
      <c r="H410">
        <f>IF(설정!$C$10="","",IFERROR(INDEX('1.산군_붙여넣기'!$A$1:$AZ$1001,ROW(),설정!$C$10)&amp;"",""))</f>
        <v/>
      </c>
      <c r="I410">
        <f>IF(설정!$C$11="","",IFERROR(INDEX('1.산군_붙여넣기'!$A$1:$AZ$1001,ROW(),설정!$C$11)&amp;"",""))</f>
        <v/>
      </c>
      <c r="J410">
        <f>IF(설정!$C$12="","",IFERROR(INDEX('1.산군_붙여넣기'!$A$1:$AZ$1001,ROW(),설정!$C$12)&amp;"",""))</f>
        <v/>
      </c>
      <c r="K410">
        <f>IF(설정!$C$13="","",IFERROR(INDEX('1.산군_붙여넣기'!$A$1:$AZ$1001,ROW(),설정!$C$13)&amp;"",""))</f>
        <v/>
      </c>
      <c r="L410" s="7">
        <f>IF(X410="","",IF(AND(LEN(X410)=8,ISNUMBER(X410*1)),DATE(LEFT(X410,4),MID(X410,5,2),RIGHT(X410,2)),IFERROR(DATEVALUE(SUBSTITUTE(SUBSTITUTE(X410,".","-"),"/","-")),IFERROR(X410*1,""))))</f>
        <v/>
      </c>
      <c r="M410" s="7">
        <f>IF(Y410="","",IF(AND(LEN(Y410)=8,ISNUMBER(Y410*1)),DATE(LEFT(Y410,4),MID(Y410,5,2),RIGHT(Y410,2)),IFERROR(DATEVALUE(SUBSTITUTE(SUBSTITUTE(Y410,".","-"),"/","-")),IFERROR(Y410*1,""))))</f>
        <v/>
      </c>
      <c r="N410">
        <f>IFERROR(LEFT(B410,FIND(" ",B410)-1),B410)</f>
        <v/>
      </c>
      <c r="O410">
        <f>AND(B410&lt;&gt;"",B410&lt;&gt;설정!$B$4,C410&lt;&gt;설정!$B$5)</f>
        <v/>
      </c>
      <c r="P410">
        <f>IF(O410,B410&amp;"|"&amp;C410,"")</f>
        <v/>
      </c>
      <c r="Q410">
        <f>AND(O410,COUNTIF(P411:P$1002,P410)=0)</f>
        <v/>
      </c>
      <c r="R410">
        <f>OR(AND(설정!$A$42&lt;&gt;"",ISNUMBER(SEARCH(설정!$A$42,E410&amp;" "&amp;C410))),AND(설정!$A$43&lt;&gt;"",ISNUMBER(SEARCH(설정!$A$43,E410&amp;" "&amp;C410))),AND(설정!$A$44&lt;&gt;"",ISNUMBER(SEARCH(설정!$A$44,E410&amp;" "&amp;C410))),AND(설정!$A$45&lt;&gt;"",ISNUMBER(SEARCH(설정!$A$45,E410&amp;" "&amp;C410))),AND(설정!$A$46&lt;&gt;"",ISNUMBER(SEARCH(설정!$A$46,E410&amp;" "&amp;C410))),AND(설정!$A$47&lt;&gt;"",ISNUMBER(SEARCH(설정!$A$47,E410&amp;" "&amp;C410))),AND(설정!$A$48&lt;&gt;"",ISNUMBER(SEARCH(설정!$A$48,E410&amp;" "&amp;C410))),AND(설정!$A$49&lt;&gt;"",ISNUMBER(SEARCH(설정!$A$49,E410&amp;" "&amp;C410))),AND(설정!$A$50&lt;&gt;"",ISNUMBER(SEARCH(설정!$A$50,E410&amp;" "&amp;C410))),AND(설정!$A$51&lt;&gt;"",ISNUMBER(SEARCH(설정!$A$51,E410&amp;" "&amp;C410))))</f>
        <v/>
      </c>
      <c r="S410">
        <f>OR(D410="",D410&gt;=설정!$B$19)</f>
        <v/>
      </c>
      <c r="T410">
        <f>AND(Q410,R410,S410)</f>
        <v/>
      </c>
      <c r="U410">
        <f>IF(T410,IF(AND(설정!$A$54&lt;&gt;"",ISNUMBER(SEARCH(설정!$A$54,K410))),설정!$B$54,IF(AND(설정!$A$55&lt;&gt;"",ISNUMBER(SEARCH(설정!$A$55,K410))),설정!$B$55,IF(AND(설정!$A$56&lt;&gt;"",ISNUMBER(SEARCH(설정!$A$56,K410))),설정!$B$56,IF(AND(설정!$A$57&lt;&gt;"",ISNUMBER(SEARCH(설정!$A$57,K410))),설정!$B$57,IF(AND(설정!$A$58&lt;&gt;"",ISNUMBER(SEARCH(설정!$A$58,K410))),설정!$B$58,IF(AND(설정!$A$59&lt;&gt;"",ISNUMBER(SEARCH(설정!$A$59,K410))),설정!$B$59,IF(AND(설정!$A$60&lt;&gt;"",ISNUMBER(SEARCH(설정!$A$60,K410))),설정!$B$60,IF(AND(설정!$A$61&lt;&gt;"",ISNUMBER(SEARCH(설정!$A$61,K410))),설정!$B$61,IF(M410="","설계사","시공사"))))))))),"")</f>
        <v/>
      </c>
      <c r="V410">
        <f>SUBSTITUTE(SUBSTITUTE(SUBSTITUTE(SUBSTITUTE(G410,"(주)",""),"㈜",""),"주식회사","")," ","")</f>
        <v/>
      </c>
      <c r="W410">
        <f>IF(AND(T410,V410&lt;&gt;""),IF(COUNTIFS(V$2:V410,V410,T$2:T410,TRUE)=1,MAX(W$1:W409)+1,""),"")</f>
        <v/>
      </c>
      <c r="X410">
        <f>IF(설정!$C$14="","",IFERROR(INDEX('1.산군_붙여넣기'!$A$1:$AZ$1001,ROW(),설정!$C$14)&amp;"",""))</f>
        <v/>
      </c>
      <c r="Y410">
        <f>IF(설정!$C$15="","",IFERROR(INDEX('1.산군_붙여넣기'!$A$1:$AZ$1001,ROW(),설정!$C$15)&amp;"",""))</f>
        <v/>
      </c>
      <c r="Z410">
        <f>IF(T410,V410&amp;"|"&amp;U410,"")</f>
        <v/>
      </c>
      <c r="AA410">
        <f>IF(NOT(Q410),"",IF(NOT(AND(R410,S410)),"✕",IF(OR(OR(AND(L410&lt;&gt;"",M410&lt;&gt;"",N(M410)-N(L410)&gt;설정!$B$27),AND(L410&lt;&gt;"",M410="",설정!$B$24-N(L410)&gt;설정!$B$27)),AND(D410&lt;&gt;"",D410&lt;설정!$B$26)),"△","★")))</f>
        <v/>
      </c>
      <c r="AB410">
        <f>IF(NOT(T410),"",IF(U410="설계사",설정!$B$31,IF(U410="시공사",IF(OR(M410="",설정!$B$24-N(M410)&lt;=설정!$B$28*30.4),설정!$B$32,설정!$B$33),설정!$B$34))+IF(AA410="★",설정!$B$35,0))</f>
        <v/>
      </c>
      <c r="AC410">
        <f>SUBSTITUTE(SUBSTITUTE(SUBSTITUTE(SUBSTITUTE(H410,"(주)",""),"㈜",""),"주식회사","")," ","")</f>
        <v/>
      </c>
      <c r="AD410">
        <f>IF(AND(T410,AC410&lt;&gt;""),IF(COUNTIFS(AC$2:AC410,AC410,T$2:T410,TRUE)=1,MAX(AD$1:AD409)+1,""),"")</f>
        <v/>
      </c>
    </row>
    <row r="411">
      <c r="A411">
        <f>ROW()</f>
        <v/>
      </c>
      <c r="B411">
        <f>IF(설정!$C$4="","",IFERROR(INDEX('1.산군_붙여넣기'!$A$1:$AZ$1001,ROW(),설정!$C$4)&amp;"",""))</f>
        <v/>
      </c>
      <c r="C411">
        <f>IF(설정!$C$5="","",IFERROR(INDEX('1.산군_붙여넣기'!$A$1:$AZ$1001,ROW(),설정!$C$5)&amp;"",""))</f>
        <v/>
      </c>
      <c r="D411" s="5">
        <f>IFERROR(VALUE(SUBSTITUTE(SUBSTITUTE(SUBSTITUTE(IF(설정!$C$6="","",IFERROR(INDEX('1.산군_붙여넣기'!$A$1:$AZ$1001,ROW(),설정!$C$6)&amp;"","")),",",""),"㎡",""),"m2","")),"")</f>
        <v/>
      </c>
      <c r="E411">
        <f>IF(설정!$C$7="","",IFERROR(INDEX('1.산군_붙여넣기'!$A$1:$AZ$1001,ROW(),설정!$C$7)&amp;"",""))</f>
        <v/>
      </c>
      <c r="F411">
        <f>IF(설정!$C$8="","",IFERROR(INDEX('1.산군_붙여넣기'!$A$1:$AZ$1001,ROW(),설정!$C$8)&amp;"",""))</f>
        <v/>
      </c>
      <c r="G411">
        <f>IF(설정!$C$9="","",IFERROR(INDEX('1.산군_붙여넣기'!$A$1:$AZ$1001,ROW(),설정!$C$9)&amp;"",""))</f>
        <v/>
      </c>
      <c r="H411">
        <f>IF(설정!$C$10="","",IFERROR(INDEX('1.산군_붙여넣기'!$A$1:$AZ$1001,ROW(),설정!$C$10)&amp;"",""))</f>
        <v/>
      </c>
      <c r="I411">
        <f>IF(설정!$C$11="","",IFERROR(INDEX('1.산군_붙여넣기'!$A$1:$AZ$1001,ROW(),설정!$C$11)&amp;"",""))</f>
        <v/>
      </c>
      <c r="J411">
        <f>IF(설정!$C$12="","",IFERROR(INDEX('1.산군_붙여넣기'!$A$1:$AZ$1001,ROW(),설정!$C$12)&amp;"",""))</f>
        <v/>
      </c>
      <c r="K411">
        <f>IF(설정!$C$13="","",IFERROR(INDEX('1.산군_붙여넣기'!$A$1:$AZ$1001,ROW(),설정!$C$13)&amp;"",""))</f>
        <v/>
      </c>
      <c r="L411" s="7">
        <f>IF(X411="","",IF(AND(LEN(X411)=8,ISNUMBER(X411*1)),DATE(LEFT(X411,4),MID(X411,5,2),RIGHT(X411,2)),IFERROR(DATEVALUE(SUBSTITUTE(SUBSTITUTE(X411,".","-"),"/","-")),IFERROR(X411*1,""))))</f>
        <v/>
      </c>
      <c r="M411" s="7">
        <f>IF(Y411="","",IF(AND(LEN(Y411)=8,ISNUMBER(Y411*1)),DATE(LEFT(Y411,4),MID(Y411,5,2),RIGHT(Y411,2)),IFERROR(DATEVALUE(SUBSTITUTE(SUBSTITUTE(Y411,".","-"),"/","-")),IFERROR(Y411*1,""))))</f>
        <v/>
      </c>
      <c r="N411">
        <f>IFERROR(LEFT(B411,FIND(" ",B411)-1),B411)</f>
        <v/>
      </c>
      <c r="O411">
        <f>AND(B411&lt;&gt;"",B411&lt;&gt;설정!$B$4,C411&lt;&gt;설정!$B$5)</f>
        <v/>
      </c>
      <c r="P411">
        <f>IF(O411,B411&amp;"|"&amp;C411,"")</f>
        <v/>
      </c>
      <c r="Q411">
        <f>AND(O411,COUNTIF(P412:P$1002,P411)=0)</f>
        <v/>
      </c>
      <c r="R411">
        <f>OR(AND(설정!$A$42&lt;&gt;"",ISNUMBER(SEARCH(설정!$A$42,E411&amp;" "&amp;C411))),AND(설정!$A$43&lt;&gt;"",ISNUMBER(SEARCH(설정!$A$43,E411&amp;" "&amp;C411))),AND(설정!$A$44&lt;&gt;"",ISNUMBER(SEARCH(설정!$A$44,E411&amp;" "&amp;C411))),AND(설정!$A$45&lt;&gt;"",ISNUMBER(SEARCH(설정!$A$45,E411&amp;" "&amp;C411))),AND(설정!$A$46&lt;&gt;"",ISNUMBER(SEARCH(설정!$A$46,E411&amp;" "&amp;C411))),AND(설정!$A$47&lt;&gt;"",ISNUMBER(SEARCH(설정!$A$47,E411&amp;" "&amp;C411))),AND(설정!$A$48&lt;&gt;"",ISNUMBER(SEARCH(설정!$A$48,E411&amp;" "&amp;C411))),AND(설정!$A$49&lt;&gt;"",ISNUMBER(SEARCH(설정!$A$49,E411&amp;" "&amp;C411))),AND(설정!$A$50&lt;&gt;"",ISNUMBER(SEARCH(설정!$A$50,E411&amp;" "&amp;C411))),AND(설정!$A$51&lt;&gt;"",ISNUMBER(SEARCH(설정!$A$51,E411&amp;" "&amp;C411))))</f>
        <v/>
      </c>
      <c r="S411">
        <f>OR(D411="",D411&gt;=설정!$B$19)</f>
        <v/>
      </c>
      <c r="T411">
        <f>AND(Q411,R411,S411)</f>
        <v/>
      </c>
      <c r="U411">
        <f>IF(T411,IF(AND(설정!$A$54&lt;&gt;"",ISNUMBER(SEARCH(설정!$A$54,K411))),설정!$B$54,IF(AND(설정!$A$55&lt;&gt;"",ISNUMBER(SEARCH(설정!$A$55,K411))),설정!$B$55,IF(AND(설정!$A$56&lt;&gt;"",ISNUMBER(SEARCH(설정!$A$56,K411))),설정!$B$56,IF(AND(설정!$A$57&lt;&gt;"",ISNUMBER(SEARCH(설정!$A$57,K411))),설정!$B$57,IF(AND(설정!$A$58&lt;&gt;"",ISNUMBER(SEARCH(설정!$A$58,K411))),설정!$B$58,IF(AND(설정!$A$59&lt;&gt;"",ISNUMBER(SEARCH(설정!$A$59,K411))),설정!$B$59,IF(AND(설정!$A$60&lt;&gt;"",ISNUMBER(SEARCH(설정!$A$60,K411))),설정!$B$60,IF(AND(설정!$A$61&lt;&gt;"",ISNUMBER(SEARCH(설정!$A$61,K411))),설정!$B$61,IF(M411="","설계사","시공사"))))))))),"")</f>
        <v/>
      </c>
      <c r="V411">
        <f>SUBSTITUTE(SUBSTITUTE(SUBSTITUTE(SUBSTITUTE(G411,"(주)",""),"㈜",""),"주식회사","")," ","")</f>
        <v/>
      </c>
      <c r="W411">
        <f>IF(AND(T411,V411&lt;&gt;""),IF(COUNTIFS(V$2:V411,V411,T$2:T411,TRUE)=1,MAX(W$1:W410)+1,""),"")</f>
        <v/>
      </c>
      <c r="X411">
        <f>IF(설정!$C$14="","",IFERROR(INDEX('1.산군_붙여넣기'!$A$1:$AZ$1001,ROW(),설정!$C$14)&amp;"",""))</f>
        <v/>
      </c>
      <c r="Y411">
        <f>IF(설정!$C$15="","",IFERROR(INDEX('1.산군_붙여넣기'!$A$1:$AZ$1001,ROW(),설정!$C$15)&amp;"",""))</f>
        <v/>
      </c>
      <c r="Z411">
        <f>IF(T411,V411&amp;"|"&amp;U411,"")</f>
        <v/>
      </c>
      <c r="AA411">
        <f>IF(NOT(Q411),"",IF(NOT(AND(R411,S411)),"✕",IF(OR(OR(AND(L411&lt;&gt;"",M411&lt;&gt;"",N(M411)-N(L411)&gt;설정!$B$27),AND(L411&lt;&gt;"",M411="",설정!$B$24-N(L411)&gt;설정!$B$27)),AND(D411&lt;&gt;"",D411&lt;설정!$B$26)),"△","★")))</f>
        <v/>
      </c>
      <c r="AB411">
        <f>IF(NOT(T411),"",IF(U411="설계사",설정!$B$31,IF(U411="시공사",IF(OR(M411="",설정!$B$24-N(M411)&lt;=설정!$B$28*30.4),설정!$B$32,설정!$B$33),설정!$B$34))+IF(AA411="★",설정!$B$35,0))</f>
        <v/>
      </c>
      <c r="AC411">
        <f>SUBSTITUTE(SUBSTITUTE(SUBSTITUTE(SUBSTITUTE(H411,"(주)",""),"㈜",""),"주식회사","")," ","")</f>
        <v/>
      </c>
      <c r="AD411">
        <f>IF(AND(T411,AC411&lt;&gt;""),IF(COUNTIFS(AC$2:AC411,AC411,T$2:T411,TRUE)=1,MAX(AD$1:AD410)+1,""),"")</f>
        <v/>
      </c>
    </row>
    <row r="412">
      <c r="A412">
        <f>ROW()</f>
        <v/>
      </c>
      <c r="B412">
        <f>IF(설정!$C$4="","",IFERROR(INDEX('1.산군_붙여넣기'!$A$1:$AZ$1001,ROW(),설정!$C$4)&amp;"",""))</f>
        <v/>
      </c>
      <c r="C412">
        <f>IF(설정!$C$5="","",IFERROR(INDEX('1.산군_붙여넣기'!$A$1:$AZ$1001,ROW(),설정!$C$5)&amp;"",""))</f>
        <v/>
      </c>
      <c r="D412" s="5">
        <f>IFERROR(VALUE(SUBSTITUTE(SUBSTITUTE(SUBSTITUTE(IF(설정!$C$6="","",IFERROR(INDEX('1.산군_붙여넣기'!$A$1:$AZ$1001,ROW(),설정!$C$6)&amp;"","")),",",""),"㎡",""),"m2","")),"")</f>
        <v/>
      </c>
      <c r="E412">
        <f>IF(설정!$C$7="","",IFERROR(INDEX('1.산군_붙여넣기'!$A$1:$AZ$1001,ROW(),설정!$C$7)&amp;"",""))</f>
        <v/>
      </c>
      <c r="F412">
        <f>IF(설정!$C$8="","",IFERROR(INDEX('1.산군_붙여넣기'!$A$1:$AZ$1001,ROW(),설정!$C$8)&amp;"",""))</f>
        <v/>
      </c>
      <c r="G412">
        <f>IF(설정!$C$9="","",IFERROR(INDEX('1.산군_붙여넣기'!$A$1:$AZ$1001,ROW(),설정!$C$9)&amp;"",""))</f>
        <v/>
      </c>
      <c r="H412">
        <f>IF(설정!$C$10="","",IFERROR(INDEX('1.산군_붙여넣기'!$A$1:$AZ$1001,ROW(),설정!$C$10)&amp;"",""))</f>
        <v/>
      </c>
      <c r="I412">
        <f>IF(설정!$C$11="","",IFERROR(INDEX('1.산군_붙여넣기'!$A$1:$AZ$1001,ROW(),설정!$C$11)&amp;"",""))</f>
        <v/>
      </c>
      <c r="J412">
        <f>IF(설정!$C$12="","",IFERROR(INDEX('1.산군_붙여넣기'!$A$1:$AZ$1001,ROW(),설정!$C$12)&amp;"",""))</f>
        <v/>
      </c>
      <c r="K412">
        <f>IF(설정!$C$13="","",IFERROR(INDEX('1.산군_붙여넣기'!$A$1:$AZ$1001,ROW(),설정!$C$13)&amp;"",""))</f>
        <v/>
      </c>
      <c r="L412" s="7">
        <f>IF(X412="","",IF(AND(LEN(X412)=8,ISNUMBER(X412*1)),DATE(LEFT(X412,4),MID(X412,5,2),RIGHT(X412,2)),IFERROR(DATEVALUE(SUBSTITUTE(SUBSTITUTE(X412,".","-"),"/","-")),IFERROR(X412*1,""))))</f>
        <v/>
      </c>
      <c r="M412" s="7">
        <f>IF(Y412="","",IF(AND(LEN(Y412)=8,ISNUMBER(Y412*1)),DATE(LEFT(Y412,4),MID(Y412,5,2),RIGHT(Y412,2)),IFERROR(DATEVALUE(SUBSTITUTE(SUBSTITUTE(Y412,".","-"),"/","-")),IFERROR(Y412*1,""))))</f>
        <v/>
      </c>
      <c r="N412">
        <f>IFERROR(LEFT(B412,FIND(" ",B412)-1),B412)</f>
        <v/>
      </c>
      <c r="O412">
        <f>AND(B412&lt;&gt;"",B412&lt;&gt;설정!$B$4,C412&lt;&gt;설정!$B$5)</f>
        <v/>
      </c>
      <c r="P412">
        <f>IF(O412,B412&amp;"|"&amp;C412,"")</f>
        <v/>
      </c>
      <c r="Q412">
        <f>AND(O412,COUNTIF(P413:P$1002,P412)=0)</f>
        <v/>
      </c>
      <c r="R412">
        <f>OR(AND(설정!$A$42&lt;&gt;"",ISNUMBER(SEARCH(설정!$A$42,E412&amp;" "&amp;C412))),AND(설정!$A$43&lt;&gt;"",ISNUMBER(SEARCH(설정!$A$43,E412&amp;" "&amp;C412))),AND(설정!$A$44&lt;&gt;"",ISNUMBER(SEARCH(설정!$A$44,E412&amp;" "&amp;C412))),AND(설정!$A$45&lt;&gt;"",ISNUMBER(SEARCH(설정!$A$45,E412&amp;" "&amp;C412))),AND(설정!$A$46&lt;&gt;"",ISNUMBER(SEARCH(설정!$A$46,E412&amp;" "&amp;C412))),AND(설정!$A$47&lt;&gt;"",ISNUMBER(SEARCH(설정!$A$47,E412&amp;" "&amp;C412))),AND(설정!$A$48&lt;&gt;"",ISNUMBER(SEARCH(설정!$A$48,E412&amp;" "&amp;C412))),AND(설정!$A$49&lt;&gt;"",ISNUMBER(SEARCH(설정!$A$49,E412&amp;" "&amp;C412))),AND(설정!$A$50&lt;&gt;"",ISNUMBER(SEARCH(설정!$A$50,E412&amp;" "&amp;C412))),AND(설정!$A$51&lt;&gt;"",ISNUMBER(SEARCH(설정!$A$51,E412&amp;" "&amp;C412))))</f>
        <v/>
      </c>
      <c r="S412">
        <f>OR(D412="",D412&gt;=설정!$B$19)</f>
        <v/>
      </c>
      <c r="T412">
        <f>AND(Q412,R412,S412)</f>
        <v/>
      </c>
      <c r="U412">
        <f>IF(T412,IF(AND(설정!$A$54&lt;&gt;"",ISNUMBER(SEARCH(설정!$A$54,K412))),설정!$B$54,IF(AND(설정!$A$55&lt;&gt;"",ISNUMBER(SEARCH(설정!$A$55,K412))),설정!$B$55,IF(AND(설정!$A$56&lt;&gt;"",ISNUMBER(SEARCH(설정!$A$56,K412))),설정!$B$56,IF(AND(설정!$A$57&lt;&gt;"",ISNUMBER(SEARCH(설정!$A$57,K412))),설정!$B$57,IF(AND(설정!$A$58&lt;&gt;"",ISNUMBER(SEARCH(설정!$A$58,K412))),설정!$B$58,IF(AND(설정!$A$59&lt;&gt;"",ISNUMBER(SEARCH(설정!$A$59,K412))),설정!$B$59,IF(AND(설정!$A$60&lt;&gt;"",ISNUMBER(SEARCH(설정!$A$60,K412))),설정!$B$60,IF(AND(설정!$A$61&lt;&gt;"",ISNUMBER(SEARCH(설정!$A$61,K412))),설정!$B$61,IF(M412="","설계사","시공사"))))))))),"")</f>
        <v/>
      </c>
      <c r="V412">
        <f>SUBSTITUTE(SUBSTITUTE(SUBSTITUTE(SUBSTITUTE(G412,"(주)",""),"㈜",""),"주식회사","")," ","")</f>
        <v/>
      </c>
      <c r="W412">
        <f>IF(AND(T412,V412&lt;&gt;""),IF(COUNTIFS(V$2:V412,V412,T$2:T412,TRUE)=1,MAX(W$1:W411)+1,""),"")</f>
        <v/>
      </c>
      <c r="X412">
        <f>IF(설정!$C$14="","",IFERROR(INDEX('1.산군_붙여넣기'!$A$1:$AZ$1001,ROW(),설정!$C$14)&amp;"",""))</f>
        <v/>
      </c>
      <c r="Y412">
        <f>IF(설정!$C$15="","",IFERROR(INDEX('1.산군_붙여넣기'!$A$1:$AZ$1001,ROW(),설정!$C$15)&amp;"",""))</f>
        <v/>
      </c>
      <c r="Z412">
        <f>IF(T412,V412&amp;"|"&amp;U412,"")</f>
        <v/>
      </c>
      <c r="AA412">
        <f>IF(NOT(Q412),"",IF(NOT(AND(R412,S412)),"✕",IF(OR(OR(AND(L412&lt;&gt;"",M412&lt;&gt;"",N(M412)-N(L412)&gt;설정!$B$27),AND(L412&lt;&gt;"",M412="",설정!$B$24-N(L412)&gt;설정!$B$27)),AND(D412&lt;&gt;"",D412&lt;설정!$B$26)),"△","★")))</f>
        <v/>
      </c>
      <c r="AB412">
        <f>IF(NOT(T412),"",IF(U412="설계사",설정!$B$31,IF(U412="시공사",IF(OR(M412="",설정!$B$24-N(M412)&lt;=설정!$B$28*30.4),설정!$B$32,설정!$B$33),설정!$B$34))+IF(AA412="★",설정!$B$35,0))</f>
        <v/>
      </c>
      <c r="AC412">
        <f>SUBSTITUTE(SUBSTITUTE(SUBSTITUTE(SUBSTITUTE(H412,"(주)",""),"㈜",""),"주식회사","")," ","")</f>
        <v/>
      </c>
      <c r="AD412">
        <f>IF(AND(T412,AC412&lt;&gt;""),IF(COUNTIFS(AC$2:AC412,AC412,T$2:T412,TRUE)=1,MAX(AD$1:AD411)+1,""),"")</f>
        <v/>
      </c>
    </row>
    <row r="413">
      <c r="A413">
        <f>ROW()</f>
        <v/>
      </c>
      <c r="B413">
        <f>IF(설정!$C$4="","",IFERROR(INDEX('1.산군_붙여넣기'!$A$1:$AZ$1001,ROW(),설정!$C$4)&amp;"",""))</f>
        <v/>
      </c>
      <c r="C413">
        <f>IF(설정!$C$5="","",IFERROR(INDEX('1.산군_붙여넣기'!$A$1:$AZ$1001,ROW(),설정!$C$5)&amp;"",""))</f>
        <v/>
      </c>
      <c r="D413" s="5">
        <f>IFERROR(VALUE(SUBSTITUTE(SUBSTITUTE(SUBSTITUTE(IF(설정!$C$6="","",IFERROR(INDEX('1.산군_붙여넣기'!$A$1:$AZ$1001,ROW(),설정!$C$6)&amp;"","")),",",""),"㎡",""),"m2","")),"")</f>
        <v/>
      </c>
      <c r="E413">
        <f>IF(설정!$C$7="","",IFERROR(INDEX('1.산군_붙여넣기'!$A$1:$AZ$1001,ROW(),설정!$C$7)&amp;"",""))</f>
        <v/>
      </c>
      <c r="F413">
        <f>IF(설정!$C$8="","",IFERROR(INDEX('1.산군_붙여넣기'!$A$1:$AZ$1001,ROW(),설정!$C$8)&amp;"",""))</f>
        <v/>
      </c>
      <c r="G413">
        <f>IF(설정!$C$9="","",IFERROR(INDEX('1.산군_붙여넣기'!$A$1:$AZ$1001,ROW(),설정!$C$9)&amp;"",""))</f>
        <v/>
      </c>
      <c r="H413">
        <f>IF(설정!$C$10="","",IFERROR(INDEX('1.산군_붙여넣기'!$A$1:$AZ$1001,ROW(),설정!$C$10)&amp;"",""))</f>
        <v/>
      </c>
      <c r="I413">
        <f>IF(설정!$C$11="","",IFERROR(INDEX('1.산군_붙여넣기'!$A$1:$AZ$1001,ROW(),설정!$C$11)&amp;"",""))</f>
        <v/>
      </c>
      <c r="J413">
        <f>IF(설정!$C$12="","",IFERROR(INDEX('1.산군_붙여넣기'!$A$1:$AZ$1001,ROW(),설정!$C$12)&amp;"",""))</f>
        <v/>
      </c>
      <c r="K413">
        <f>IF(설정!$C$13="","",IFERROR(INDEX('1.산군_붙여넣기'!$A$1:$AZ$1001,ROW(),설정!$C$13)&amp;"",""))</f>
        <v/>
      </c>
      <c r="L413" s="7">
        <f>IF(X413="","",IF(AND(LEN(X413)=8,ISNUMBER(X413*1)),DATE(LEFT(X413,4),MID(X413,5,2),RIGHT(X413,2)),IFERROR(DATEVALUE(SUBSTITUTE(SUBSTITUTE(X413,".","-"),"/","-")),IFERROR(X413*1,""))))</f>
        <v/>
      </c>
      <c r="M413" s="7">
        <f>IF(Y413="","",IF(AND(LEN(Y413)=8,ISNUMBER(Y413*1)),DATE(LEFT(Y413,4),MID(Y413,5,2),RIGHT(Y413,2)),IFERROR(DATEVALUE(SUBSTITUTE(SUBSTITUTE(Y413,".","-"),"/","-")),IFERROR(Y413*1,""))))</f>
        <v/>
      </c>
      <c r="N413">
        <f>IFERROR(LEFT(B413,FIND(" ",B413)-1),B413)</f>
        <v/>
      </c>
      <c r="O413">
        <f>AND(B413&lt;&gt;"",B413&lt;&gt;설정!$B$4,C413&lt;&gt;설정!$B$5)</f>
        <v/>
      </c>
      <c r="P413">
        <f>IF(O413,B413&amp;"|"&amp;C413,"")</f>
        <v/>
      </c>
      <c r="Q413">
        <f>AND(O413,COUNTIF(P414:P$1002,P413)=0)</f>
        <v/>
      </c>
      <c r="R413">
        <f>OR(AND(설정!$A$42&lt;&gt;"",ISNUMBER(SEARCH(설정!$A$42,E413&amp;" "&amp;C413))),AND(설정!$A$43&lt;&gt;"",ISNUMBER(SEARCH(설정!$A$43,E413&amp;" "&amp;C413))),AND(설정!$A$44&lt;&gt;"",ISNUMBER(SEARCH(설정!$A$44,E413&amp;" "&amp;C413))),AND(설정!$A$45&lt;&gt;"",ISNUMBER(SEARCH(설정!$A$45,E413&amp;" "&amp;C413))),AND(설정!$A$46&lt;&gt;"",ISNUMBER(SEARCH(설정!$A$46,E413&amp;" "&amp;C413))),AND(설정!$A$47&lt;&gt;"",ISNUMBER(SEARCH(설정!$A$47,E413&amp;" "&amp;C413))),AND(설정!$A$48&lt;&gt;"",ISNUMBER(SEARCH(설정!$A$48,E413&amp;" "&amp;C413))),AND(설정!$A$49&lt;&gt;"",ISNUMBER(SEARCH(설정!$A$49,E413&amp;" "&amp;C413))),AND(설정!$A$50&lt;&gt;"",ISNUMBER(SEARCH(설정!$A$50,E413&amp;" "&amp;C413))),AND(설정!$A$51&lt;&gt;"",ISNUMBER(SEARCH(설정!$A$51,E413&amp;" "&amp;C413))))</f>
        <v/>
      </c>
      <c r="S413">
        <f>OR(D413="",D413&gt;=설정!$B$19)</f>
        <v/>
      </c>
      <c r="T413">
        <f>AND(Q413,R413,S413)</f>
        <v/>
      </c>
      <c r="U413">
        <f>IF(T413,IF(AND(설정!$A$54&lt;&gt;"",ISNUMBER(SEARCH(설정!$A$54,K413))),설정!$B$54,IF(AND(설정!$A$55&lt;&gt;"",ISNUMBER(SEARCH(설정!$A$55,K413))),설정!$B$55,IF(AND(설정!$A$56&lt;&gt;"",ISNUMBER(SEARCH(설정!$A$56,K413))),설정!$B$56,IF(AND(설정!$A$57&lt;&gt;"",ISNUMBER(SEARCH(설정!$A$57,K413))),설정!$B$57,IF(AND(설정!$A$58&lt;&gt;"",ISNUMBER(SEARCH(설정!$A$58,K413))),설정!$B$58,IF(AND(설정!$A$59&lt;&gt;"",ISNUMBER(SEARCH(설정!$A$59,K413))),설정!$B$59,IF(AND(설정!$A$60&lt;&gt;"",ISNUMBER(SEARCH(설정!$A$60,K413))),설정!$B$60,IF(AND(설정!$A$61&lt;&gt;"",ISNUMBER(SEARCH(설정!$A$61,K413))),설정!$B$61,IF(M413="","설계사","시공사"))))))))),"")</f>
        <v/>
      </c>
      <c r="V413">
        <f>SUBSTITUTE(SUBSTITUTE(SUBSTITUTE(SUBSTITUTE(G413,"(주)",""),"㈜",""),"주식회사","")," ","")</f>
        <v/>
      </c>
      <c r="W413">
        <f>IF(AND(T413,V413&lt;&gt;""),IF(COUNTIFS(V$2:V413,V413,T$2:T413,TRUE)=1,MAX(W$1:W412)+1,""),"")</f>
        <v/>
      </c>
      <c r="X413">
        <f>IF(설정!$C$14="","",IFERROR(INDEX('1.산군_붙여넣기'!$A$1:$AZ$1001,ROW(),설정!$C$14)&amp;"",""))</f>
        <v/>
      </c>
      <c r="Y413">
        <f>IF(설정!$C$15="","",IFERROR(INDEX('1.산군_붙여넣기'!$A$1:$AZ$1001,ROW(),설정!$C$15)&amp;"",""))</f>
        <v/>
      </c>
      <c r="Z413">
        <f>IF(T413,V413&amp;"|"&amp;U413,"")</f>
        <v/>
      </c>
      <c r="AA413">
        <f>IF(NOT(Q413),"",IF(NOT(AND(R413,S413)),"✕",IF(OR(OR(AND(L413&lt;&gt;"",M413&lt;&gt;"",N(M413)-N(L413)&gt;설정!$B$27),AND(L413&lt;&gt;"",M413="",설정!$B$24-N(L413)&gt;설정!$B$27)),AND(D413&lt;&gt;"",D413&lt;설정!$B$26)),"△","★")))</f>
        <v/>
      </c>
      <c r="AB413">
        <f>IF(NOT(T413),"",IF(U413="설계사",설정!$B$31,IF(U413="시공사",IF(OR(M413="",설정!$B$24-N(M413)&lt;=설정!$B$28*30.4),설정!$B$32,설정!$B$33),설정!$B$34))+IF(AA413="★",설정!$B$35,0))</f>
        <v/>
      </c>
      <c r="AC413">
        <f>SUBSTITUTE(SUBSTITUTE(SUBSTITUTE(SUBSTITUTE(H413,"(주)",""),"㈜",""),"주식회사","")," ","")</f>
        <v/>
      </c>
      <c r="AD413">
        <f>IF(AND(T413,AC413&lt;&gt;""),IF(COUNTIFS(AC$2:AC413,AC413,T$2:T413,TRUE)=1,MAX(AD$1:AD412)+1,""),"")</f>
        <v/>
      </c>
    </row>
    <row r="414">
      <c r="A414">
        <f>ROW()</f>
        <v/>
      </c>
      <c r="B414">
        <f>IF(설정!$C$4="","",IFERROR(INDEX('1.산군_붙여넣기'!$A$1:$AZ$1001,ROW(),설정!$C$4)&amp;"",""))</f>
        <v/>
      </c>
      <c r="C414">
        <f>IF(설정!$C$5="","",IFERROR(INDEX('1.산군_붙여넣기'!$A$1:$AZ$1001,ROW(),설정!$C$5)&amp;"",""))</f>
        <v/>
      </c>
      <c r="D414" s="5">
        <f>IFERROR(VALUE(SUBSTITUTE(SUBSTITUTE(SUBSTITUTE(IF(설정!$C$6="","",IFERROR(INDEX('1.산군_붙여넣기'!$A$1:$AZ$1001,ROW(),설정!$C$6)&amp;"","")),",",""),"㎡",""),"m2","")),"")</f>
        <v/>
      </c>
      <c r="E414">
        <f>IF(설정!$C$7="","",IFERROR(INDEX('1.산군_붙여넣기'!$A$1:$AZ$1001,ROW(),설정!$C$7)&amp;"",""))</f>
        <v/>
      </c>
      <c r="F414">
        <f>IF(설정!$C$8="","",IFERROR(INDEX('1.산군_붙여넣기'!$A$1:$AZ$1001,ROW(),설정!$C$8)&amp;"",""))</f>
        <v/>
      </c>
      <c r="G414">
        <f>IF(설정!$C$9="","",IFERROR(INDEX('1.산군_붙여넣기'!$A$1:$AZ$1001,ROW(),설정!$C$9)&amp;"",""))</f>
        <v/>
      </c>
      <c r="H414">
        <f>IF(설정!$C$10="","",IFERROR(INDEX('1.산군_붙여넣기'!$A$1:$AZ$1001,ROW(),설정!$C$10)&amp;"",""))</f>
        <v/>
      </c>
      <c r="I414">
        <f>IF(설정!$C$11="","",IFERROR(INDEX('1.산군_붙여넣기'!$A$1:$AZ$1001,ROW(),설정!$C$11)&amp;"",""))</f>
        <v/>
      </c>
      <c r="J414">
        <f>IF(설정!$C$12="","",IFERROR(INDEX('1.산군_붙여넣기'!$A$1:$AZ$1001,ROW(),설정!$C$12)&amp;"",""))</f>
        <v/>
      </c>
      <c r="K414">
        <f>IF(설정!$C$13="","",IFERROR(INDEX('1.산군_붙여넣기'!$A$1:$AZ$1001,ROW(),설정!$C$13)&amp;"",""))</f>
        <v/>
      </c>
      <c r="L414" s="7">
        <f>IF(X414="","",IF(AND(LEN(X414)=8,ISNUMBER(X414*1)),DATE(LEFT(X414,4),MID(X414,5,2),RIGHT(X414,2)),IFERROR(DATEVALUE(SUBSTITUTE(SUBSTITUTE(X414,".","-"),"/","-")),IFERROR(X414*1,""))))</f>
        <v/>
      </c>
      <c r="M414" s="7">
        <f>IF(Y414="","",IF(AND(LEN(Y414)=8,ISNUMBER(Y414*1)),DATE(LEFT(Y414,4),MID(Y414,5,2),RIGHT(Y414,2)),IFERROR(DATEVALUE(SUBSTITUTE(SUBSTITUTE(Y414,".","-"),"/","-")),IFERROR(Y414*1,""))))</f>
        <v/>
      </c>
      <c r="N414">
        <f>IFERROR(LEFT(B414,FIND(" ",B414)-1),B414)</f>
        <v/>
      </c>
      <c r="O414">
        <f>AND(B414&lt;&gt;"",B414&lt;&gt;설정!$B$4,C414&lt;&gt;설정!$B$5)</f>
        <v/>
      </c>
      <c r="P414">
        <f>IF(O414,B414&amp;"|"&amp;C414,"")</f>
        <v/>
      </c>
      <c r="Q414">
        <f>AND(O414,COUNTIF(P415:P$1002,P414)=0)</f>
        <v/>
      </c>
      <c r="R414">
        <f>OR(AND(설정!$A$42&lt;&gt;"",ISNUMBER(SEARCH(설정!$A$42,E414&amp;" "&amp;C414))),AND(설정!$A$43&lt;&gt;"",ISNUMBER(SEARCH(설정!$A$43,E414&amp;" "&amp;C414))),AND(설정!$A$44&lt;&gt;"",ISNUMBER(SEARCH(설정!$A$44,E414&amp;" "&amp;C414))),AND(설정!$A$45&lt;&gt;"",ISNUMBER(SEARCH(설정!$A$45,E414&amp;" "&amp;C414))),AND(설정!$A$46&lt;&gt;"",ISNUMBER(SEARCH(설정!$A$46,E414&amp;" "&amp;C414))),AND(설정!$A$47&lt;&gt;"",ISNUMBER(SEARCH(설정!$A$47,E414&amp;" "&amp;C414))),AND(설정!$A$48&lt;&gt;"",ISNUMBER(SEARCH(설정!$A$48,E414&amp;" "&amp;C414))),AND(설정!$A$49&lt;&gt;"",ISNUMBER(SEARCH(설정!$A$49,E414&amp;" "&amp;C414))),AND(설정!$A$50&lt;&gt;"",ISNUMBER(SEARCH(설정!$A$50,E414&amp;" "&amp;C414))),AND(설정!$A$51&lt;&gt;"",ISNUMBER(SEARCH(설정!$A$51,E414&amp;" "&amp;C414))))</f>
        <v/>
      </c>
      <c r="S414">
        <f>OR(D414="",D414&gt;=설정!$B$19)</f>
        <v/>
      </c>
      <c r="T414">
        <f>AND(Q414,R414,S414)</f>
        <v/>
      </c>
      <c r="U414">
        <f>IF(T414,IF(AND(설정!$A$54&lt;&gt;"",ISNUMBER(SEARCH(설정!$A$54,K414))),설정!$B$54,IF(AND(설정!$A$55&lt;&gt;"",ISNUMBER(SEARCH(설정!$A$55,K414))),설정!$B$55,IF(AND(설정!$A$56&lt;&gt;"",ISNUMBER(SEARCH(설정!$A$56,K414))),설정!$B$56,IF(AND(설정!$A$57&lt;&gt;"",ISNUMBER(SEARCH(설정!$A$57,K414))),설정!$B$57,IF(AND(설정!$A$58&lt;&gt;"",ISNUMBER(SEARCH(설정!$A$58,K414))),설정!$B$58,IF(AND(설정!$A$59&lt;&gt;"",ISNUMBER(SEARCH(설정!$A$59,K414))),설정!$B$59,IF(AND(설정!$A$60&lt;&gt;"",ISNUMBER(SEARCH(설정!$A$60,K414))),설정!$B$60,IF(AND(설정!$A$61&lt;&gt;"",ISNUMBER(SEARCH(설정!$A$61,K414))),설정!$B$61,IF(M414="","설계사","시공사"))))))))),"")</f>
        <v/>
      </c>
      <c r="V414">
        <f>SUBSTITUTE(SUBSTITUTE(SUBSTITUTE(SUBSTITUTE(G414,"(주)",""),"㈜",""),"주식회사","")," ","")</f>
        <v/>
      </c>
      <c r="W414">
        <f>IF(AND(T414,V414&lt;&gt;""),IF(COUNTIFS(V$2:V414,V414,T$2:T414,TRUE)=1,MAX(W$1:W413)+1,""),"")</f>
        <v/>
      </c>
      <c r="X414">
        <f>IF(설정!$C$14="","",IFERROR(INDEX('1.산군_붙여넣기'!$A$1:$AZ$1001,ROW(),설정!$C$14)&amp;"",""))</f>
        <v/>
      </c>
      <c r="Y414">
        <f>IF(설정!$C$15="","",IFERROR(INDEX('1.산군_붙여넣기'!$A$1:$AZ$1001,ROW(),설정!$C$15)&amp;"",""))</f>
        <v/>
      </c>
      <c r="Z414">
        <f>IF(T414,V414&amp;"|"&amp;U414,"")</f>
        <v/>
      </c>
      <c r="AA414">
        <f>IF(NOT(Q414),"",IF(NOT(AND(R414,S414)),"✕",IF(OR(OR(AND(L414&lt;&gt;"",M414&lt;&gt;"",N(M414)-N(L414)&gt;설정!$B$27),AND(L414&lt;&gt;"",M414="",설정!$B$24-N(L414)&gt;설정!$B$27)),AND(D414&lt;&gt;"",D414&lt;설정!$B$26)),"△","★")))</f>
        <v/>
      </c>
      <c r="AB414">
        <f>IF(NOT(T414),"",IF(U414="설계사",설정!$B$31,IF(U414="시공사",IF(OR(M414="",설정!$B$24-N(M414)&lt;=설정!$B$28*30.4),설정!$B$32,설정!$B$33),설정!$B$34))+IF(AA414="★",설정!$B$35,0))</f>
        <v/>
      </c>
      <c r="AC414">
        <f>SUBSTITUTE(SUBSTITUTE(SUBSTITUTE(SUBSTITUTE(H414,"(주)",""),"㈜",""),"주식회사","")," ","")</f>
        <v/>
      </c>
      <c r="AD414">
        <f>IF(AND(T414,AC414&lt;&gt;""),IF(COUNTIFS(AC$2:AC414,AC414,T$2:T414,TRUE)=1,MAX(AD$1:AD413)+1,""),"")</f>
        <v/>
      </c>
    </row>
    <row r="415">
      <c r="A415">
        <f>ROW()</f>
        <v/>
      </c>
      <c r="B415">
        <f>IF(설정!$C$4="","",IFERROR(INDEX('1.산군_붙여넣기'!$A$1:$AZ$1001,ROW(),설정!$C$4)&amp;"",""))</f>
        <v/>
      </c>
      <c r="C415">
        <f>IF(설정!$C$5="","",IFERROR(INDEX('1.산군_붙여넣기'!$A$1:$AZ$1001,ROW(),설정!$C$5)&amp;"",""))</f>
        <v/>
      </c>
      <c r="D415" s="5">
        <f>IFERROR(VALUE(SUBSTITUTE(SUBSTITUTE(SUBSTITUTE(IF(설정!$C$6="","",IFERROR(INDEX('1.산군_붙여넣기'!$A$1:$AZ$1001,ROW(),설정!$C$6)&amp;"","")),",",""),"㎡",""),"m2","")),"")</f>
        <v/>
      </c>
      <c r="E415">
        <f>IF(설정!$C$7="","",IFERROR(INDEX('1.산군_붙여넣기'!$A$1:$AZ$1001,ROW(),설정!$C$7)&amp;"",""))</f>
        <v/>
      </c>
      <c r="F415">
        <f>IF(설정!$C$8="","",IFERROR(INDEX('1.산군_붙여넣기'!$A$1:$AZ$1001,ROW(),설정!$C$8)&amp;"",""))</f>
        <v/>
      </c>
      <c r="G415">
        <f>IF(설정!$C$9="","",IFERROR(INDEX('1.산군_붙여넣기'!$A$1:$AZ$1001,ROW(),설정!$C$9)&amp;"",""))</f>
        <v/>
      </c>
      <c r="H415">
        <f>IF(설정!$C$10="","",IFERROR(INDEX('1.산군_붙여넣기'!$A$1:$AZ$1001,ROW(),설정!$C$10)&amp;"",""))</f>
        <v/>
      </c>
      <c r="I415">
        <f>IF(설정!$C$11="","",IFERROR(INDEX('1.산군_붙여넣기'!$A$1:$AZ$1001,ROW(),설정!$C$11)&amp;"",""))</f>
        <v/>
      </c>
      <c r="J415">
        <f>IF(설정!$C$12="","",IFERROR(INDEX('1.산군_붙여넣기'!$A$1:$AZ$1001,ROW(),설정!$C$12)&amp;"",""))</f>
        <v/>
      </c>
      <c r="K415">
        <f>IF(설정!$C$13="","",IFERROR(INDEX('1.산군_붙여넣기'!$A$1:$AZ$1001,ROW(),설정!$C$13)&amp;"",""))</f>
        <v/>
      </c>
      <c r="L415" s="7">
        <f>IF(X415="","",IF(AND(LEN(X415)=8,ISNUMBER(X415*1)),DATE(LEFT(X415,4),MID(X415,5,2),RIGHT(X415,2)),IFERROR(DATEVALUE(SUBSTITUTE(SUBSTITUTE(X415,".","-"),"/","-")),IFERROR(X415*1,""))))</f>
        <v/>
      </c>
      <c r="M415" s="7">
        <f>IF(Y415="","",IF(AND(LEN(Y415)=8,ISNUMBER(Y415*1)),DATE(LEFT(Y415,4),MID(Y415,5,2),RIGHT(Y415,2)),IFERROR(DATEVALUE(SUBSTITUTE(SUBSTITUTE(Y415,".","-"),"/","-")),IFERROR(Y415*1,""))))</f>
        <v/>
      </c>
      <c r="N415">
        <f>IFERROR(LEFT(B415,FIND(" ",B415)-1),B415)</f>
        <v/>
      </c>
      <c r="O415">
        <f>AND(B415&lt;&gt;"",B415&lt;&gt;설정!$B$4,C415&lt;&gt;설정!$B$5)</f>
        <v/>
      </c>
      <c r="P415">
        <f>IF(O415,B415&amp;"|"&amp;C415,"")</f>
        <v/>
      </c>
      <c r="Q415">
        <f>AND(O415,COUNTIF(P416:P$1002,P415)=0)</f>
        <v/>
      </c>
      <c r="R415">
        <f>OR(AND(설정!$A$42&lt;&gt;"",ISNUMBER(SEARCH(설정!$A$42,E415&amp;" "&amp;C415))),AND(설정!$A$43&lt;&gt;"",ISNUMBER(SEARCH(설정!$A$43,E415&amp;" "&amp;C415))),AND(설정!$A$44&lt;&gt;"",ISNUMBER(SEARCH(설정!$A$44,E415&amp;" "&amp;C415))),AND(설정!$A$45&lt;&gt;"",ISNUMBER(SEARCH(설정!$A$45,E415&amp;" "&amp;C415))),AND(설정!$A$46&lt;&gt;"",ISNUMBER(SEARCH(설정!$A$46,E415&amp;" "&amp;C415))),AND(설정!$A$47&lt;&gt;"",ISNUMBER(SEARCH(설정!$A$47,E415&amp;" "&amp;C415))),AND(설정!$A$48&lt;&gt;"",ISNUMBER(SEARCH(설정!$A$48,E415&amp;" "&amp;C415))),AND(설정!$A$49&lt;&gt;"",ISNUMBER(SEARCH(설정!$A$49,E415&amp;" "&amp;C415))),AND(설정!$A$50&lt;&gt;"",ISNUMBER(SEARCH(설정!$A$50,E415&amp;" "&amp;C415))),AND(설정!$A$51&lt;&gt;"",ISNUMBER(SEARCH(설정!$A$51,E415&amp;" "&amp;C415))))</f>
        <v/>
      </c>
      <c r="S415">
        <f>OR(D415="",D415&gt;=설정!$B$19)</f>
        <v/>
      </c>
      <c r="T415">
        <f>AND(Q415,R415,S415)</f>
        <v/>
      </c>
      <c r="U415">
        <f>IF(T415,IF(AND(설정!$A$54&lt;&gt;"",ISNUMBER(SEARCH(설정!$A$54,K415))),설정!$B$54,IF(AND(설정!$A$55&lt;&gt;"",ISNUMBER(SEARCH(설정!$A$55,K415))),설정!$B$55,IF(AND(설정!$A$56&lt;&gt;"",ISNUMBER(SEARCH(설정!$A$56,K415))),설정!$B$56,IF(AND(설정!$A$57&lt;&gt;"",ISNUMBER(SEARCH(설정!$A$57,K415))),설정!$B$57,IF(AND(설정!$A$58&lt;&gt;"",ISNUMBER(SEARCH(설정!$A$58,K415))),설정!$B$58,IF(AND(설정!$A$59&lt;&gt;"",ISNUMBER(SEARCH(설정!$A$59,K415))),설정!$B$59,IF(AND(설정!$A$60&lt;&gt;"",ISNUMBER(SEARCH(설정!$A$60,K415))),설정!$B$60,IF(AND(설정!$A$61&lt;&gt;"",ISNUMBER(SEARCH(설정!$A$61,K415))),설정!$B$61,IF(M415="","설계사","시공사"))))))))),"")</f>
        <v/>
      </c>
      <c r="V415">
        <f>SUBSTITUTE(SUBSTITUTE(SUBSTITUTE(SUBSTITUTE(G415,"(주)",""),"㈜",""),"주식회사","")," ","")</f>
        <v/>
      </c>
      <c r="W415">
        <f>IF(AND(T415,V415&lt;&gt;""),IF(COUNTIFS(V$2:V415,V415,T$2:T415,TRUE)=1,MAX(W$1:W414)+1,""),"")</f>
        <v/>
      </c>
      <c r="X415">
        <f>IF(설정!$C$14="","",IFERROR(INDEX('1.산군_붙여넣기'!$A$1:$AZ$1001,ROW(),설정!$C$14)&amp;"",""))</f>
        <v/>
      </c>
      <c r="Y415">
        <f>IF(설정!$C$15="","",IFERROR(INDEX('1.산군_붙여넣기'!$A$1:$AZ$1001,ROW(),설정!$C$15)&amp;"",""))</f>
        <v/>
      </c>
      <c r="Z415">
        <f>IF(T415,V415&amp;"|"&amp;U415,"")</f>
        <v/>
      </c>
      <c r="AA415">
        <f>IF(NOT(Q415),"",IF(NOT(AND(R415,S415)),"✕",IF(OR(OR(AND(L415&lt;&gt;"",M415&lt;&gt;"",N(M415)-N(L415)&gt;설정!$B$27),AND(L415&lt;&gt;"",M415="",설정!$B$24-N(L415)&gt;설정!$B$27)),AND(D415&lt;&gt;"",D415&lt;설정!$B$26)),"△","★")))</f>
        <v/>
      </c>
      <c r="AB415">
        <f>IF(NOT(T415),"",IF(U415="설계사",설정!$B$31,IF(U415="시공사",IF(OR(M415="",설정!$B$24-N(M415)&lt;=설정!$B$28*30.4),설정!$B$32,설정!$B$33),설정!$B$34))+IF(AA415="★",설정!$B$35,0))</f>
        <v/>
      </c>
      <c r="AC415">
        <f>SUBSTITUTE(SUBSTITUTE(SUBSTITUTE(SUBSTITUTE(H415,"(주)",""),"㈜",""),"주식회사","")," ","")</f>
        <v/>
      </c>
      <c r="AD415">
        <f>IF(AND(T415,AC415&lt;&gt;""),IF(COUNTIFS(AC$2:AC415,AC415,T$2:T415,TRUE)=1,MAX(AD$1:AD414)+1,""),"")</f>
        <v/>
      </c>
    </row>
    <row r="416">
      <c r="A416">
        <f>ROW()</f>
        <v/>
      </c>
      <c r="B416">
        <f>IF(설정!$C$4="","",IFERROR(INDEX('1.산군_붙여넣기'!$A$1:$AZ$1001,ROW(),설정!$C$4)&amp;"",""))</f>
        <v/>
      </c>
      <c r="C416">
        <f>IF(설정!$C$5="","",IFERROR(INDEX('1.산군_붙여넣기'!$A$1:$AZ$1001,ROW(),설정!$C$5)&amp;"",""))</f>
        <v/>
      </c>
      <c r="D416" s="5">
        <f>IFERROR(VALUE(SUBSTITUTE(SUBSTITUTE(SUBSTITUTE(IF(설정!$C$6="","",IFERROR(INDEX('1.산군_붙여넣기'!$A$1:$AZ$1001,ROW(),설정!$C$6)&amp;"","")),",",""),"㎡",""),"m2","")),"")</f>
        <v/>
      </c>
      <c r="E416">
        <f>IF(설정!$C$7="","",IFERROR(INDEX('1.산군_붙여넣기'!$A$1:$AZ$1001,ROW(),설정!$C$7)&amp;"",""))</f>
        <v/>
      </c>
      <c r="F416">
        <f>IF(설정!$C$8="","",IFERROR(INDEX('1.산군_붙여넣기'!$A$1:$AZ$1001,ROW(),설정!$C$8)&amp;"",""))</f>
        <v/>
      </c>
      <c r="G416">
        <f>IF(설정!$C$9="","",IFERROR(INDEX('1.산군_붙여넣기'!$A$1:$AZ$1001,ROW(),설정!$C$9)&amp;"",""))</f>
        <v/>
      </c>
      <c r="H416">
        <f>IF(설정!$C$10="","",IFERROR(INDEX('1.산군_붙여넣기'!$A$1:$AZ$1001,ROW(),설정!$C$10)&amp;"",""))</f>
        <v/>
      </c>
      <c r="I416">
        <f>IF(설정!$C$11="","",IFERROR(INDEX('1.산군_붙여넣기'!$A$1:$AZ$1001,ROW(),설정!$C$11)&amp;"",""))</f>
        <v/>
      </c>
      <c r="J416">
        <f>IF(설정!$C$12="","",IFERROR(INDEX('1.산군_붙여넣기'!$A$1:$AZ$1001,ROW(),설정!$C$12)&amp;"",""))</f>
        <v/>
      </c>
      <c r="K416">
        <f>IF(설정!$C$13="","",IFERROR(INDEX('1.산군_붙여넣기'!$A$1:$AZ$1001,ROW(),설정!$C$13)&amp;"",""))</f>
        <v/>
      </c>
      <c r="L416" s="7">
        <f>IF(X416="","",IF(AND(LEN(X416)=8,ISNUMBER(X416*1)),DATE(LEFT(X416,4),MID(X416,5,2),RIGHT(X416,2)),IFERROR(DATEVALUE(SUBSTITUTE(SUBSTITUTE(X416,".","-"),"/","-")),IFERROR(X416*1,""))))</f>
        <v/>
      </c>
      <c r="M416" s="7">
        <f>IF(Y416="","",IF(AND(LEN(Y416)=8,ISNUMBER(Y416*1)),DATE(LEFT(Y416,4),MID(Y416,5,2),RIGHT(Y416,2)),IFERROR(DATEVALUE(SUBSTITUTE(SUBSTITUTE(Y416,".","-"),"/","-")),IFERROR(Y416*1,""))))</f>
        <v/>
      </c>
      <c r="N416">
        <f>IFERROR(LEFT(B416,FIND(" ",B416)-1),B416)</f>
        <v/>
      </c>
      <c r="O416">
        <f>AND(B416&lt;&gt;"",B416&lt;&gt;설정!$B$4,C416&lt;&gt;설정!$B$5)</f>
        <v/>
      </c>
      <c r="P416">
        <f>IF(O416,B416&amp;"|"&amp;C416,"")</f>
        <v/>
      </c>
      <c r="Q416">
        <f>AND(O416,COUNTIF(P417:P$1002,P416)=0)</f>
        <v/>
      </c>
      <c r="R416">
        <f>OR(AND(설정!$A$42&lt;&gt;"",ISNUMBER(SEARCH(설정!$A$42,E416&amp;" "&amp;C416))),AND(설정!$A$43&lt;&gt;"",ISNUMBER(SEARCH(설정!$A$43,E416&amp;" "&amp;C416))),AND(설정!$A$44&lt;&gt;"",ISNUMBER(SEARCH(설정!$A$44,E416&amp;" "&amp;C416))),AND(설정!$A$45&lt;&gt;"",ISNUMBER(SEARCH(설정!$A$45,E416&amp;" "&amp;C416))),AND(설정!$A$46&lt;&gt;"",ISNUMBER(SEARCH(설정!$A$46,E416&amp;" "&amp;C416))),AND(설정!$A$47&lt;&gt;"",ISNUMBER(SEARCH(설정!$A$47,E416&amp;" "&amp;C416))),AND(설정!$A$48&lt;&gt;"",ISNUMBER(SEARCH(설정!$A$48,E416&amp;" "&amp;C416))),AND(설정!$A$49&lt;&gt;"",ISNUMBER(SEARCH(설정!$A$49,E416&amp;" "&amp;C416))),AND(설정!$A$50&lt;&gt;"",ISNUMBER(SEARCH(설정!$A$50,E416&amp;" "&amp;C416))),AND(설정!$A$51&lt;&gt;"",ISNUMBER(SEARCH(설정!$A$51,E416&amp;" "&amp;C416))))</f>
        <v/>
      </c>
      <c r="S416">
        <f>OR(D416="",D416&gt;=설정!$B$19)</f>
        <v/>
      </c>
      <c r="T416">
        <f>AND(Q416,R416,S416)</f>
        <v/>
      </c>
      <c r="U416">
        <f>IF(T416,IF(AND(설정!$A$54&lt;&gt;"",ISNUMBER(SEARCH(설정!$A$54,K416))),설정!$B$54,IF(AND(설정!$A$55&lt;&gt;"",ISNUMBER(SEARCH(설정!$A$55,K416))),설정!$B$55,IF(AND(설정!$A$56&lt;&gt;"",ISNUMBER(SEARCH(설정!$A$56,K416))),설정!$B$56,IF(AND(설정!$A$57&lt;&gt;"",ISNUMBER(SEARCH(설정!$A$57,K416))),설정!$B$57,IF(AND(설정!$A$58&lt;&gt;"",ISNUMBER(SEARCH(설정!$A$58,K416))),설정!$B$58,IF(AND(설정!$A$59&lt;&gt;"",ISNUMBER(SEARCH(설정!$A$59,K416))),설정!$B$59,IF(AND(설정!$A$60&lt;&gt;"",ISNUMBER(SEARCH(설정!$A$60,K416))),설정!$B$60,IF(AND(설정!$A$61&lt;&gt;"",ISNUMBER(SEARCH(설정!$A$61,K416))),설정!$B$61,IF(M416="","설계사","시공사"))))))))),"")</f>
        <v/>
      </c>
      <c r="V416">
        <f>SUBSTITUTE(SUBSTITUTE(SUBSTITUTE(SUBSTITUTE(G416,"(주)",""),"㈜",""),"주식회사","")," ","")</f>
        <v/>
      </c>
      <c r="W416">
        <f>IF(AND(T416,V416&lt;&gt;""),IF(COUNTIFS(V$2:V416,V416,T$2:T416,TRUE)=1,MAX(W$1:W415)+1,""),"")</f>
        <v/>
      </c>
      <c r="X416">
        <f>IF(설정!$C$14="","",IFERROR(INDEX('1.산군_붙여넣기'!$A$1:$AZ$1001,ROW(),설정!$C$14)&amp;"",""))</f>
        <v/>
      </c>
      <c r="Y416">
        <f>IF(설정!$C$15="","",IFERROR(INDEX('1.산군_붙여넣기'!$A$1:$AZ$1001,ROW(),설정!$C$15)&amp;"",""))</f>
        <v/>
      </c>
      <c r="Z416">
        <f>IF(T416,V416&amp;"|"&amp;U416,"")</f>
        <v/>
      </c>
      <c r="AA416">
        <f>IF(NOT(Q416),"",IF(NOT(AND(R416,S416)),"✕",IF(OR(OR(AND(L416&lt;&gt;"",M416&lt;&gt;"",N(M416)-N(L416)&gt;설정!$B$27),AND(L416&lt;&gt;"",M416="",설정!$B$24-N(L416)&gt;설정!$B$27)),AND(D416&lt;&gt;"",D416&lt;설정!$B$26)),"△","★")))</f>
        <v/>
      </c>
      <c r="AB416">
        <f>IF(NOT(T416),"",IF(U416="설계사",설정!$B$31,IF(U416="시공사",IF(OR(M416="",설정!$B$24-N(M416)&lt;=설정!$B$28*30.4),설정!$B$32,설정!$B$33),설정!$B$34))+IF(AA416="★",설정!$B$35,0))</f>
        <v/>
      </c>
      <c r="AC416">
        <f>SUBSTITUTE(SUBSTITUTE(SUBSTITUTE(SUBSTITUTE(H416,"(주)",""),"㈜",""),"주식회사","")," ","")</f>
        <v/>
      </c>
      <c r="AD416">
        <f>IF(AND(T416,AC416&lt;&gt;""),IF(COUNTIFS(AC$2:AC416,AC416,T$2:T416,TRUE)=1,MAX(AD$1:AD415)+1,""),"")</f>
        <v/>
      </c>
    </row>
    <row r="417">
      <c r="A417">
        <f>ROW()</f>
        <v/>
      </c>
      <c r="B417">
        <f>IF(설정!$C$4="","",IFERROR(INDEX('1.산군_붙여넣기'!$A$1:$AZ$1001,ROW(),설정!$C$4)&amp;"",""))</f>
        <v/>
      </c>
      <c r="C417">
        <f>IF(설정!$C$5="","",IFERROR(INDEX('1.산군_붙여넣기'!$A$1:$AZ$1001,ROW(),설정!$C$5)&amp;"",""))</f>
        <v/>
      </c>
      <c r="D417" s="5">
        <f>IFERROR(VALUE(SUBSTITUTE(SUBSTITUTE(SUBSTITUTE(IF(설정!$C$6="","",IFERROR(INDEX('1.산군_붙여넣기'!$A$1:$AZ$1001,ROW(),설정!$C$6)&amp;"","")),",",""),"㎡",""),"m2","")),"")</f>
        <v/>
      </c>
      <c r="E417">
        <f>IF(설정!$C$7="","",IFERROR(INDEX('1.산군_붙여넣기'!$A$1:$AZ$1001,ROW(),설정!$C$7)&amp;"",""))</f>
        <v/>
      </c>
      <c r="F417">
        <f>IF(설정!$C$8="","",IFERROR(INDEX('1.산군_붙여넣기'!$A$1:$AZ$1001,ROW(),설정!$C$8)&amp;"",""))</f>
        <v/>
      </c>
      <c r="G417">
        <f>IF(설정!$C$9="","",IFERROR(INDEX('1.산군_붙여넣기'!$A$1:$AZ$1001,ROW(),설정!$C$9)&amp;"",""))</f>
        <v/>
      </c>
      <c r="H417">
        <f>IF(설정!$C$10="","",IFERROR(INDEX('1.산군_붙여넣기'!$A$1:$AZ$1001,ROW(),설정!$C$10)&amp;"",""))</f>
        <v/>
      </c>
      <c r="I417">
        <f>IF(설정!$C$11="","",IFERROR(INDEX('1.산군_붙여넣기'!$A$1:$AZ$1001,ROW(),설정!$C$11)&amp;"",""))</f>
        <v/>
      </c>
      <c r="J417">
        <f>IF(설정!$C$12="","",IFERROR(INDEX('1.산군_붙여넣기'!$A$1:$AZ$1001,ROW(),설정!$C$12)&amp;"",""))</f>
        <v/>
      </c>
      <c r="K417">
        <f>IF(설정!$C$13="","",IFERROR(INDEX('1.산군_붙여넣기'!$A$1:$AZ$1001,ROW(),설정!$C$13)&amp;"",""))</f>
        <v/>
      </c>
      <c r="L417" s="7">
        <f>IF(X417="","",IF(AND(LEN(X417)=8,ISNUMBER(X417*1)),DATE(LEFT(X417,4),MID(X417,5,2),RIGHT(X417,2)),IFERROR(DATEVALUE(SUBSTITUTE(SUBSTITUTE(X417,".","-"),"/","-")),IFERROR(X417*1,""))))</f>
        <v/>
      </c>
      <c r="M417" s="7">
        <f>IF(Y417="","",IF(AND(LEN(Y417)=8,ISNUMBER(Y417*1)),DATE(LEFT(Y417,4),MID(Y417,5,2),RIGHT(Y417,2)),IFERROR(DATEVALUE(SUBSTITUTE(SUBSTITUTE(Y417,".","-"),"/","-")),IFERROR(Y417*1,""))))</f>
        <v/>
      </c>
      <c r="N417">
        <f>IFERROR(LEFT(B417,FIND(" ",B417)-1),B417)</f>
        <v/>
      </c>
      <c r="O417">
        <f>AND(B417&lt;&gt;"",B417&lt;&gt;설정!$B$4,C417&lt;&gt;설정!$B$5)</f>
        <v/>
      </c>
      <c r="P417">
        <f>IF(O417,B417&amp;"|"&amp;C417,"")</f>
        <v/>
      </c>
      <c r="Q417">
        <f>AND(O417,COUNTIF(P418:P$1002,P417)=0)</f>
        <v/>
      </c>
      <c r="R417">
        <f>OR(AND(설정!$A$42&lt;&gt;"",ISNUMBER(SEARCH(설정!$A$42,E417&amp;" "&amp;C417))),AND(설정!$A$43&lt;&gt;"",ISNUMBER(SEARCH(설정!$A$43,E417&amp;" "&amp;C417))),AND(설정!$A$44&lt;&gt;"",ISNUMBER(SEARCH(설정!$A$44,E417&amp;" "&amp;C417))),AND(설정!$A$45&lt;&gt;"",ISNUMBER(SEARCH(설정!$A$45,E417&amp;" "&amp;C417))),AND(설정!$A$46&lt;&gt;"",ISNUMBER(SEARCH(설정!$A$46,E417&amp;" "&amp;C417))),AND(설정!$A$47&lt;&gt;"",ISNUMBER(SEARCH(설정!$A$47,E417&amp;" "&amp;C417))),AND(설정!$A$48&lt;&gt;"",ISNUMBER(SEARCH(설정!$A$48,E417&amp;" "&amp;C417))),AND(설정!$A$49&lt;&gt;"",ISNUMBER(SEARCH(설정!$A$49,E417&amp;" "&amp;C417))),AND(설정!$A$50&lt;&gt;"",ISNUMBER(SEARCH(설정!$A$50,E417&amp;" "&amp;C417))),AND(설정!$A$51&lt;&gt;"",ISNUMBER(SEARCH(설정!$A$51,E417&amp;" "&amp;C417))))</f>
        <v/>
      </c>
      <c r="S417">
        <f>OR(D417="",D417&gt;=설정!$B$19)</f>
        <v/>
      </c>
      <c r="T417">
        <f>AND(Q417,R417,S417)</f>
        <v/>
      </c>
      <c r="U417">
        <f>IF(T417,IF(AND(설정!$A$54&lt;&gt;"",ISNUMBER(SEARCH(설정!$A$54,K417))),설정!$B$54,IF(AND(설정!$A$55&lt;&gt;"",ISNUMBER(SEARCH(설정!$A$55,K417))),설정!$B$55,IF(AND(설정!$A$56&lt;&gt;"",ISNUMBER(SEARCH(설정!$A$56,K417))),설정!$B$56,IF(AND(설정!$A$57&lt;&gt;"",ISNUMBER(SEARCH(설정!$A$57,K417))),설정!$B$57,IF(AND(설정!$A$58&lt;&gt;"",ISNUMBER(SEARCH(설정!$A$58,K417))),설정!$B$58,IF(AND(설정!$A$59&lt;&gt;"",ISNUMBER(SEARCH(설정!$A$59,K417))),설정!$B$59,IF(AND(설정!$A$60&lt;&gt;"",ISNUMBER(SEARCH(설정!$A$60,K417))),설정!$B$60,IF(AND(설정!$A$61&lt;&gt;"",ISNUMBER(SEARCH(설정!$A$61,K417))),설정!$B$61,IF(M417="","설계사","시공사"))))))))),"")</f>
        <v/>
      </c>
      <c r="V417">
        <f>SUBSTITUTE(SUBSTITUTE(SUBSTITUTE(SUBSTITUTE(G417,"(주)",""),"㈜",""),"주식회사","")," ","")</f>
        <v/>
      </c>
      <c r="W417">
        <f>IF(AND(T417,V417&lt;&gt;""),IF(COUNTIFS(V$2:V417,V417,T$2:T417,TRUE)=1,MAX(W$1:W416)+1,""),"")</f>
        <v/>
      </c>
      <c r="X417">
        <f>IF(설정!$C$14="","",IFERROR(INDEX('1.산군_붙여넣기'!$A$1:$AZ$1001,ROW(),설정!$C$14)&amp;"",""))</f>
        <v/>
      </c>
      <c r="Y417">
        <f>IF(설정!$C$15="","",IFERROR(INDEX('1.산군_붙여넣기'!$A$1:$AZ$1001,ROW(),설정!$C$15)&amp;"",""))</f>
        <v/>
      </c>
      <c r="Z417">
        <f>IF(T417,V417&amp;"|"&amp;U417,"")</f>
        <v/>
      </c>
      <c r="AA417">
        <f>IF(NOT(Q417),"",IF(NOT(AND(R417,S417)),"✕",IF(OR(OR(AND(L417&lt;&gt;"",M417&lt;&gt;"",N(M417)-N(L417)&gt;설정!$B$27),AND(L417&lt;&gt;"",M417="",설정!$B$24-N(L417)&gt;설정!$B$27)),AND(D417&lt;&gt;"",D417&lt;설정!$B$26)),"△","★")))</f>
        <v/>
      </c>
      <c r="AB417">
        <f>IF(NOT(T417),"",IF(U417="설계사",설정!$B$31,IF(U417="시공사",IF(OR(M417="",설정!$B$24-N(M417)&lt;=설정!$B$28*30.4),설정!$B$32,설정!$B$33),설정!$B$34))+IF(AA417="★",설정!$B$35,0))</f>
        <v/>
      </c>
      <c r="AC417">
        <f>SUBSTITUTE(SUBSTITUTE(SUBSTITUTE(SUBSTITUTE(H417,"(주)",""),"㈜",""),"주식회사","")," ","")</f>
        <v/>
      </c>
      <c r="AD417">
        <f>IF(AND(T417,AC417&lt;&gt;""),IF(COUNTIFS(AC$2:AC417,AC417,T$2:T417,TRUE)=1,MAX(AD$1:AD416)+1,""),"")</f>
        <v/>
      </c>
    </row>
    <row r="418">
      <c r="A418">
        <f>ROW()</f>
        <v/>
      </c>
      <c r="B418">
        <f>IF(설정!$C$4="","",IFERROR(INDEX('1.산군_붙여넣기'!$A$1:$AZ$1001,ROW(),설정!$C$4)&amp;"",""))</f>
        <v/>
      </c>
      <c r="C418">
        <f>IF(설정!$C$5="","",IFERROR(INDEX('1.산군_붙여넣기'!$A$1:$AZ$1001,ROW(),설정!$C$5)&amp;"",""))</f>
        <v/>
      </c>
      <c r="D418" s="5">
        <f>IFERROR(VALUE(SUBSTITUTE(SUBSTITUTE(SUBSTITUTE(IF(설정!$C$6="","",IFERROR(INDEX('1.산군_붙여넣기'!$A$1:$AZ$1001,ROW(),설정!$C$6)&amp;"","")),",",""),"㎡",""),"m2","")),"")</f>
        <v/>
      </c>
      <c r="E418">
        <f>IF(설정!$C$7="","",IFERROR(INDEX('1.산군_붙여넣기'!$A$1:$AZ$1001,ROW(),설정!$C$7)&amp;"",""))</f>
        <v/>
      </c>
      <c r="F418">
        <f>IF(설정!$C$8="","",IFERROR(INDEX('1.산군_붙여넣기'!$A$1:$AZ$1001,ROW(),설정!$C$8)&amp;"",""))</f>
        <v/>
      </c>
      <c r="G418">
        <f>IF(설정!$C$9="","",IFERROR(INDEX('1.산군_붙여넣기'!$A$1:$AZ$1001,ROW(),설정!$C$9)&amp;"",""))</f>
        <v/>
      </c>
      <c r="H418">
        <f>IF(설정!$C$10="","",IFERROR(INDEX('1.산군_붙여넣기'!$A$1:$AZ$1001,ROW(),설정!$C$10)&amp;"",""))</f>
        <v/>
      </c>
      <c r="I418">
        <f>IF(설정!$C$11="","",IFERROR(INDEX('1.산군_붙여넣기'!$A$1:$AZ$1001,ROW(),설정!$C$11)&amp;"",""))</f>
        <v/>
      </c>
      <c r="J418">
        <f>IF(설정!$C$12="","",IFERROR(INDEX('1.산군_붙여넣기'!$A$1:$AZ$1001,ROW(),설정!$C$12)&amp;"",""))</f>
        <v/>
      </c>
      <c r="K418">
        <f>IF(설정!$C$13="","",IFERROR(INDEX('1.산군_붙여넣기'!$A$1:$AZ$1001,ROW(),설정!$C$13)&amp;"",""))</f>
        <v/>
      </c>
      <c r="L418" s="7">
        <f>IF(X418="","",IF(AND(LEN(X418)=8,ISNUMBER(X418*1)),DATE(LEFT(X418,4),MID(X418,5,2),RIGHT(X418,2)),IFERROR(DATEVALUE(SUBSTITUTE(SUBSTITUTE(X418,".","-"),"/","-")),IFERROR(X418*1,""))))</f>
        <v/>
      </c>
      <c r="M418" s="7">
        <f>IF(Y418="","",IF(AND(LEN(Y418)=8,ISNUMBER(Y418*1)),DATE(LEFT(Y418,4),MID(Y418,5,2),RIGHT(Y418,2)),IFERROR(DATEVALUE(SUBSTITUTE(SUBSTITUTE(Y418,".","-"),"/","-")),IFERROR(Y418*1,""))))</f>
        <v/>
      </c>
      <c r="N418">
        <f>IFERROR(LEFT(B418,FIND(" ",B418)-1),B418)</f>
        <v/>
      </c>
      <c r="O418">
        <f>AND(B418&lt;&gt;"",B418&lt;&gt;설정!$B$4,C418&lt;&gt;설정!$B$5)</f>
        <v/>
      </c>
      <c r="P418">
        <f>IF(O418,B418&amp;"|"&amp;C418,"")</f>
        <v/>
      </c>
      <c r="Q418">
        <f>AND(O418,COUNTIF(P419:P$1002,P418)=0)</f>
        <v/>
      </c>
      <c r="R418">
        <f>OR(AND(설정!$A$42&lt;&gt;"",ISNUMBER(SEARCH(설정!$A$42,E418&amp;" "&amp;C418))),AND(설정!$A$43&lt;&gt;"",ISNUMBER(SEARCH(설정!$A$43,E418&amp;" "&amp;C418))),AND(설정!$A$44&lt;&gt;"",ISNUMBER(SEARCH(설정!$A$44,E418&amp;" "&amp;C418))),AND(설정!$A$45&lt;&gt;"",ISNUMBER(SEARCH(설정!$A$45,E418&amp;" "&amp;C418))),AND(설정!$A$46&lt;&gt;"",ISNUMBER(SEARCH(설정!$A$46,E418&amp;" "&amp;C418))),AND(설정!$A$47&lt;&gt;"",ISNUMBER(SEARCH(설정!$A$47,E418&amp;" "&amp;C418))),AND(설정!$A$48&lt;&gt;"",ISNUMBER(SEARCH(설정!$A$48,E418&amp;" "&amp;C418))),AND(설정!$A$49&lt;&gt;"",ISNUMBER(SEARCH(설정!$A$49,E418&amp;" "&amp;C418))),AND(설정!$A$50&lt;&gt;"",ISNUMBER(SEARCH(설정!$A$50,E418&amp;" "&amp;C418))),AND(설정!$A$51&lt;&gt;"",ISNUMBER(SEARCH(설정!$A$51,E418&amp;" "&amp;C418))))</f>
        <v/>
      </c>
      <c r="S418">
        <f>OR(D418="",D418&gt;=설정!$B$19)</f>
        <v/>
      </c>
      <c r="T418">
        <f>AND(Q418,R418,S418)</f>
        <v/>
      </c>
      <c r="U418">
        <f>IF(T418,IF(AND(설정!$A$54&lt;&gt;"",ISNUMBER(SEARCH(설정!$A$54,K418))),설정!$B$54,IF(AND(설정!$A$55&lt;&gt;"",ISNUMBER(SEARCH(설정!$A$55,K418))),설정!$B$55,IF(AND(설정!$A$56&lt;&gt;"",ISNUMBER(SEARCH(설정!$A$56,K418))),설정!$B$56,IF(AND(설정!$A$57&lt;&gt;"",ISNUMBER(SEARCH(설정!$A$57,K418))),설정!$B$57,IF(AND(설정!$A$58&lt;&gt;"",ISNUMBER(SEARCH(설정!$A$58,K418))),설정!$B$58,IF(AND(설정!$A$59&lt;&gt;"",ISNUMBER(SEARCH(설정!$A$59,K418))),설정!$B$59,IF(AND(설정!$A$60&lt;&gt;"",ISNUMBER(SEARCH(설정!$A$60,K418))),설정!$B$60,IF(AND(설정!$A$61&lt;&gt;"",ISNUMBER(SEARCH(설정!$A$61,K418))),설정!$B$61,IF(M418="","설계사","시공사"))))))))),"")</f>
        <v/>
      </c>
      <c r="V418">
        <f>SUBSTITUTE(SUBSTITUTE(SUBSTITUTE(SUBSTITUTE(G418,"(주)",""),"㈜",""),"주식회사","")," ","")</f>
        <v/>
      </c>
      <c r="W418">
        <f>IF(AND(T418,V418&lt;&gt;""),IF(COUNTIFS(V$2:V418,V418,T$2:T418,TRUE)=1,MAX(W$1:W417)+1,""),"")</f>
        <v/>
      </c>
      <c r="X418">
        <f>IF(설정!$C$14="","",IFERROR(INDEX('1.산군_붙여넣기'!$A$1:$AZ$1001,ROW(),설정!$C$14)&amp;"",""))</f>
        <v/>
      </c>
      <c r="Y418">
        <f>IF(설정!$C$15="","",IFERROR(INDEX('1.산군_붙여넣기'!$A$1:$AZ$1001,ROW(),설정!$C$15)&amp;"",""))</f>
        <v/>
      </c>
      <c r="Z418">
        <f>IF(T418,V418&amp;"|"&amp;U418,"")</f>
        <v/>
      </c>
      <c r="AA418">
        <f>IF(NOT(Q418),"",IF(NOT(AND(R418,S418)),"✕",IF(OR(OR(AND(L418&lt;&gt;"",M418&lt;&gt;"",N(M418)-N(L418)&gt;설정!$B$27),AND(L418&lt;&gt;"",M418="",설정!$B$24-N(L418)&gt;설정!$B$27)),AND(D418&lt;&gt;"",D418&lt;설정!$B$26)),"△","★")))</f>
        <v/>
      </c>
      <c r="AB418">
        <f>IF(NOT(T418),"",IF(U418="설계사",설정!$B$31,IF(U418="시공사",IF(OR(M418="",설정!$B$24-N(M418)&lt;=설정!$B$28*30.4),설정!$B$32,설정!$B$33),설정!$B$34))+IF(AA418="★",설정!$B$35,0))</f>
        <v/>
      </c>
      <c r="AC418">
        <f>SUBSTITUTE(SUBSTITUTE(SUBSTITUTE(SUBSTITUTE(H418,"(주)",""),"㈜",""),"주식회사","")," ","")</f>
        <v/>
      </c>
      <c r="AD418">
        <f>IF(AND(T418,AC418&lt;&gt;""),IF(COUNTIFS(AC$2:AC418,AC418,T$2:T418,TRUE)=1,MAX(AD$1:AD417)+1,""),"")</f>
        <v/>
      </c>
    </row>
    <row r="419">
      <c r="A419">
        <f>ROW()</f>
        <v/>
      </c>
      <c r="B419">
        <f>IF(설정!$C$4="","",IFERROR(INDEX('1.산군_붙여넣기'!$A$1:$AZ$1001,ROW(),설정!$C$4)&amp;"",""))</f>
        <v/>
      </c>
      <c r="C419">
        <f>IF(설정!$C$5="","",IFERROR(INDEX('1.산군_붙여넣기'!$A$1:$AZ$1001,ROW(),설정!$C$5)&amp;"",""))</f>
        <v/>
      </c>
      <c r="D419" s="5">
        <f>IFERROR(VALUE(SUBSTITUTE(SUBSTITUTE(SUBSTITUTE(IF(설정!$C$6="","",IFERROR(INDEX('1.산군_붙여넣기'!$A$1:$AZ$1001,ROW(),설정!$C$6)&amp;"","")),",",""),"㎡",""),"m2","")),"")</f>
        <v/>
      </c>
      <c r="E419">
        <f>IF(설정!$C$7="","",IFERROR(INDEX('1.산군_붙여넣기'!$A$1:$AZ$1001,ROW(),설정!$C$7)&amp;"",""))</f>
        <v/>
      </c>
      <c r="F419">
        <f>IF(설정!$C$8="","",IFERROR(INDEX('1.산군_붙여넣기'!$A$1:$AZ$1001,ROW(),설정!$C$8)&amp;"",""))</f>
        <v/>
      </c>
      <c r="G419">
        <f>IF(설정!$C$9="","",IFERROR(INDEX('1.산군_붙여넣기'!$A$1:$AZ$1001,ROW(),설정!$C$9)&amp;"",""))</f>
        <v/>
      </c>
      <c r="H419">
        <f>IF(설정!$C$10="","",IFERROR(INDEX('1.산군_붙여넣기'!$A$1:$AZ$1001,ROW(),설정!$C$10)&amp;"",""))</f>
        <v/>
      </c>
      <c r="I419">
        <f>IF(설정!$C$11="","",IFERROR(INDEX('1.산군_붙여넣기'!$A$1:$AZ$1001,ROW(),설정!$C$11)&amp;"",""))</f>
        <v/>
      </c>
      <c r="J419">
        <f>IF(설정!$C$12="","",IFERROR(INDEX('1.산군_붙여넣기'!$A$1:$AZ$1001,ROW(),설정!$C$12)&amp;"",""))</f>
        <v/>
      </c>
      <c r="K419">
        <f>IF(설정!$C$13="","",IFERROR(INDEX('1.산군_붙여넣기'!$A$1:$AZ$1001,ROW(),설정!$C$13)&amp;"",""))</f>
        <v/>
      </c>
      <c r="L419" s="7">
        <f>IF(X419="","",IF(AND(LEN(X419)=8,ISNUMBER(X419*1)),DATE(LEFT(X419,4),MID(X419,5,2),RIGHT(X419,2)),IFERROR(DATEVALUE(SUBSTITUTE(SUBSTITUTE(X419,".","-"),"/","-")),IFERROR(X419*1,""))))</f>
        <v/>
      </c>
      <c r="M419" s="7">
        <f>IF(Y419="","",IF(AND(LEN(Y419)=8,ISNUMBER(Y419*1)),DATE(LEFT(Y419,4),MID(Y419,5,2),RIGHT(Y419,2)),IFERROR(DATEVALUE(SUBSTITUTE(SUBSTITUTE(Y419,".","-"),"/","-")),IFERROR(Y419*1,""))))</f>
        <v/>
      </c>
      <c r="N419">
        <f>IFERROR(LEFT(B419,FIND(" ",B419)-1),B419)</f>
        <v/>
      </c>
      <c r="O419">
        <f>AND(B419&lt;&gt;"",B419&lt;&gt;설정!$B$4,C419&lt;&gt;설정!$B$5)</f>
        <v/>
      </c>
      <c r="P419">
        <f>IF(O419,B419&amp;"|"&amp;C419,"")</f>
        <v/>
      </c>
      <c r="Q419">
        <f>AND(O419,COUNTIF(P420:P$1002,P419)=0)</f>
        <v/>
      </c>
      <c r="R419">
        <f>OR(AND(설정!$A$42&lt;&gt;"",ISNUMBER(SEARCH(설정!$A$42,E419&amp;" "&amp;C419))),AND(설정!$A$43&lt;&gt;"",ISNUMBER(SEARCH(설정!$A$43,E419&amp;" "&amp;C419))),AND(설정!$A$44&lt;&gt;"",ISNUMBER(SEARCH(설정!$A$44,E419&amp;" "&amp;C419))),AND(설정!$A$45&lt;&gt;"",ISNUMBER(SEARCH(설정!$A$45,E419&amp;" "&amp;C419))),AND(설정!$A$46&lt;&gt;"",ISNUMBER(SEARCH(설정!$A$46,E419&amp;" "&amp;C419))),AND(설정!$A$47&lt;&gt;"",ISNUMBER(SEARCH(설정!$A$47,E419&amp;" "&amp;C419))),AND(설정!$A$48&lt;&gt;"",ISNUMBER(SEARCH(설정!$A$48,E419&amp;" "&amp;C419))),AND(설정!$A$49&lt;&gt;"",ISNUMBER(SEARCH(설정!$A$49,E419&amp;" "&amp;C419))),AND(설정!$A$50&lt;&gt;"",ISNUMBER(SEARCH(설정!$A$50,E419&amp;" "&amp;C419))),AND(설정!$A$51&lt;&gt;"",ISNUMBER(SEARCH(설정!$A$51,E419&amp;" "&amp;C419))))</f>
        <v/>
      </c>
      <c r="S419">
        <f>OR(D419="",D419&gt;=설정!$B$19)</f>
        <v/>
      </c>
      <c r="T419">
        <f>AND(Q419,R419,S419)</f>
        <v/>
      </c>
      <c r="U419">
        <f>IF(T419,IF(AND(설정!$A$54&lt;&gt;"",ISNUMBER(SEARCH(설정!$A$54,K419))),설정!$B$54,IF(AND(설정!$A$55&lt;&gt;"",ISNUMBER(SEARCH(설정!$A$55,K419))),설정!$B$55,IF(AND(설정!$A$56&lt;&gt;"",ISNUMBER(SEARCH(설정!$A$56,K419))),설정!$B$56,IF(AND(설정!$A$57&lt;&gt;"",ISNUMBER(SEARCH(설정!$A$57,K419))),설정!$B$57,IF(AND(설정!$A$58&lt;&gt;"",ISNUMBER(SEARCH(설정!$A$58,K419))),설정!$B$58,IF(AND(설정!$A$59&lt;&gt;"",ISNUMBER(SEARCH(설정!$A$59,K419))),설정!$B$59,IF(AND(설정!$A$60&lt;&gt;"",ISNUMBER(SEARCH(설정!$A$60,K419))),설정!$B$60,IF(AND(설정!$A$61&lt;&gt;"",ISNUMBER(SEARCH(설정!$A$61,K419))),설정!$B$61,IF(M419="","설계사","시공사"))))))))),"")</f>
        <v/>
      </c>
      <c r="V419">
        <f>SUBSTITUTE(SUBSTITUTE(SUBSTITUTE(SUBSTITUTE(G419,"(주)",""),"㈜",""),"주식회사","")," ","")</f>
        <v/>
      </c>
      <c r="W419">
        <f>IF(AND(T419,V419&lt;&gt;""),IF(COUNTIFS(V$2:V419,V419,T$2:T419,TRUE)=1,MAX(W$1:W418)+1,""),"")</f>
        <v/>
      </c>
      <c r="X419">
        <f>IF(설정!$C$14="","",IFERROR(INDEX('1.산군_붙여넣기'!$A$1:$AZ$1001,ROW(),설정!$C$14)&amp;"",""))</f>
        <v/>
      </c>
      <c r="Y419">
        <f>IF(설정!$C$15="","",IFERROR(INDEX('1.산군_붙여넣기'!$A$1:$AZ$1001,ROW(),설정!$C$15)&amp;"",""))</f>
        <v/>
      </c>
      <c r="Z419">
        <f>IF(T419,V419&amp;"|"&amp;U419,"")</f>
        <v/>
      </c>
      <c r="AA419">
        <f>IF(NOT(Q419),"",IF(NOT(AND(R419,S419)),"✕",IF(OR(OR(AND(L419&lt;&gt;"",M419&lt;&gt;"",N(M419)-N(L419)&gt;설정!$B$27),AND(L419&lt;&gt;"",M419="",설정!$B$24-N(L419)&gt;설정!$B$27)),AND(D419&lt;&gt;"",D419&lt;설정!$B$26)),"△","★")))</f>
        <v/>
      </c>
      <c r="AB419">
        <f>IF(NOT(T419),"",IF(U419="설계사",설정!$B$31,IF(U419="시공사",IF(OR(M419="",설정!$B$24-N(M419)&lt;=설정!$B$28*30.4),설정!$B$32,설정!$B$33),설정!$B$34))+IF(AA419="★",설정!$B$35,0))</f>
        <v/>
      </c>
      <c r="AC419">
        <f>SUBSTITUTE(SUBSTITUTE(SUBSTITUTE(SUBSTITUTE(H419,"(주)",""),"㈜",""),"주식회사","")," ","")</f>
        <v/>
      </c>
      <c r="AD419">
        <f>IF(AND(T419,AC419&lt;&gt;""),IF(COUNTIFS(AC$2:AC419,AC419,T$2:T419,TRUE)=1,MAX(AD$1:AD418)+1,""),"")</f>
        <v/>
      </c>
    </row>
    <row r="420">
      <c r="A420">
        <f>ROW()</f>
        <v/>
      </c>
      <c r="B420">
        <f>IF(설정!$C$4="","",IFERROR(INDEX('1.산군_붙여넣기'!$A$1:$AZ$1001,ROW(),설정!$C$4)&amp;"",""))</f>
        <v/>
      </c>
      <c r="C420">
        <f>IF(설정!$C$5="","",IFERROR(INDEX('1.산군_붙여넣기'!$A$1:$AZ$1001,ROW(),설정!$C$5)&amp;"",""))</f>
        <v/>
      </c>
      <c r="D420" s="5">
        <f>IFERROR(VALUE(SUBSTITUTE(SUBSTITUTE(SUBSTITUTE(IF(설정!$C$6="","",IFERROR(INDEX('1.산군_붙여넣기'!$A$1:$AZ$1001,ROW(),설정!$C$6)&amp;"","")),",",""),"㎡",""),"m2","")),"")</f>
        <v/>
      </c>
      <c r="E420">
        <f>IF(설정!$C$7="","",IFERROR(INDEX('1.산군_붙여넣기'!$A$1:$AZ$1001,ROW(),설정!$C$7)&amp;"",""))</f>
        <v/>
      </c>
      <c r="F420">
        <f>IF(설정!$C$8="","",IFERROR(INDEX('1.산군_붙여넣기'!$A$1:$AZ$1001,ROW(),설정!$C$8)&amp;"",""))</f>
        <v/>
      </c>
      <c r="G420">
        <f>IF(설정!$C$9="","",IFERROR(INDEX('1.산군_붙여넣기'!$A$1:$AZ$1001,ROW(),설정!$C$9)&amp;"",""))</f>
        <v/>
      </c>
      <c r="H420">
        <f>IF(설정!$C$10="","",IFERROR(INDEX('1.산군_붙여넣기'!$A$1:$AZ$1001,ROW(),설정!$C$10)&amp;"",""))</f>
        <v/>
      </c>
      <c r="I420">
        <f>IF(설정!$C$11="","",IFERROR(INDEX('1.산군_붙여넣기'!$A$1:$AZ$1001,ROW(),설정!$C$11)&amp;"",""))</f>
        <v/>
      </c>
      <c r="J420">
        <f>IF(설정!$C$12="","",IFERROR(INDEX('1.산군_붙여넣기'!$A$1:$AZ$1001,ROW(),설정!$C$12)&amp;"",""))</f>
        <v/>
      </c>
      <c r="K420">
        <f>IF(설정!$C$13="","",IFERROR(INDEX('1.산군_붙여넣기'!$A$1:$AZ$1001,ROW(),설정!$C$13)&amp;"",""))</f>
        <v/>
      </c>
      <c r="L420" s="7">
        <f>IF(X420="","",IF(AND(LEN(X420)=8,ISNUMBER(X420*1)),DATE(LEFT(X420,4),MID(X420,5,2),RIGHT(X420,2)),IFERROR(DATEVALUE(SUBSTITUTE(SUBSTITUTE(X420,".","-"),"/","-")),IFERROR(X420*1,""))))</f>
        <v/>
      </c>
      <c r="M420" s="7">
        <f>IF(Y420="","",IF(AND(LEN(Y420)=8,ISNUMBER(Y420*1)),DATE(LEFT(Y420,4),MID(Y420,5,2),RIGHT(Y420,2)),IFERROR(DATEVALUE(SUBSTITUTE(SUBSTITUTE(Y420,".","-"),"/","-")),IFERROR(Y420*1,""))))</f>
        <v/>
      </c>
      <c r="N420">
        <f>IFERROR(LEFT(B420,FIND(" ",B420)-1),B420)</f>
        <v/>
      </c>
      <c r="O420">
        <f>AND(B420&lt;&gt;"",B420&lt;&gt;설정!$B$4,C420&lt;&gt;설정!$B$5)</f>
        <v/>
      </c>
      <c r="P420">
        <f>IF(O420,B420&amp;"|"&amp;C420,"")</f>
        <v/>
      </c>
      <c r="Q420">
        <f>AND(O420,COUNTIF(P421:P$1002,P420)=0)</f>
        <v/>
      </c>
      <c r="R420">
        <f>OR(AND(설정!$A$42&lt;&gt;"",ISNUMBER(SEARCH(설정!$A$42,E420&amp;" "&amp;C420))),AND(설정!$A$43&lt;&gt;"",ISNUMBER(SEARCH(설정!$A$43,E420&amp;" "&amp;C420))),AND(설정!$A$44&lt;&gt;"",ISNUMBER(SEARCH(설정!$A$44,E420&amp;" "&amp;C420))),AND(설정!$A$45&lt;&gt;"",ISNUMBER(SEARCH(설정!$A$45,E420&amp;" "&amp;C420))),AND(설정!$A$46&lt;&gt;"",ISNUMBER(SEARCH(설정!$A$46,E420&amp;" "&amp;C420))),AND(설정!$A$47&lt;&gt;"",ISNUMBER(SEARCH(설정!$A$47,E420&amp;" "&amp;C420))),AND(설정!$A$48&lt;&gt;"",ISNUMBER(SEARCH(설정!$A$48,E420&amp;" "&amp;C420))),AND(설정!$A$49&lt;&gt;"",ISNUMBER(SEARCH(설정!$A$49,E420&amp;" "&amp;C420))),AND(설정!$A$50&lt;&gt;"",ISNUMBER(SEARCH(설정!$A$50,E420&amp;" "&amp;C420))),AND(설정!$A$51&lt;&gt;"",ISNUMBER(SEARCH(설정!$A$51,E420&amp;" "&amp;C420))))</f>
        <v/>
      </c>
      <c r="S420">
        <f>OR(D420="",D420&gt;=설정!$B$19)</f>
        <v/>
      </c>
      <c r="T420">
        <f>AND(Q420,R420,S420)</f>
        <v/>
      </c>
      <c r="U420">
        <f>IF(T420,IF(AND(설정!$A$54&lt;&gt;"",ISNUMBER(SEARCH(설정!$A$54,K420))),설정!$B$54,IF(AND(설정!$A$55&lt;&gt;"",ISNUMBER(SEARCH(설정!$A$55,K420))),설정!$B$55,IF(AND(설정!$A$56&lt;&gt;"",ISNUMBER(SEARCH(설정!$A$56,K420))),설정!$B$56,IF(AND(설정!$A$57&lt;&gt;"",ISNUMBER(SEARCH(설정!$A$57,K420))),설정!$B$57,IF(AND(설정!$A$58&lt;&gt;"",ISNUMBER(SEARCH(설정!$A$58,K420))),설정!$B$58,IF(AND(설정!$A$59&lt;&gt;"",ISNUMBER(SEARCH(설정!$A$59,K420))),설정!$B$59,IF(AND(설정!$A$60&lt;&gt;"",ISNUMBER(SEARCH(설정!$A$60,K420))),설정!$B$60,IF(AND(설정!$A$61&lt;&gt;"",ISNUMBER(SEARCH(설정!$A$61,K420))),설정!$B$61,IF(M420="","설계사","시공사"))))))))),"")</f>
        <v/>
      </c>
      <c r="V420">
        <f>SUBSTITUTE(SUBSTITUTE(SUBSTITUTE(SUBSTITUTE(G420,"(주)",""),"㈜",""),"주식회사","")," ","")</f>
        <v/>
      </c>
      <c r="W420">
        <f>IF(AND(T420,V420&lt;&gt;""),IF(COUNTIFS(V$2:V420,V420,T$2:T420,TRUE)=1,MAX(W$1:W419)+1,""),"")</f>
        <v/>
      </c>
      <c r="X420">
        <f>IF(설정!$C$14="","",IFERROR(INDEX('1.산군_붙여넣기'!$A$1:$AZ$1001,ROW(),설정!$C$14)&amp;"",""))</f>
        <v/>
      </c>
      <c r="Y420">
        <f>IF(설정!$C$15="","",IFERROR(INDEX('1.산군_붙여넣기'!$A$1:$AZ$1001,ROW(),설정!$C$15)&amp;"",""))</f>
        <v/>
      </c>
      <c r="Z420">
        <f>IF(T420,V420&amp;"|"&amp;U420,"")</f>
        <v/>
      </c>
      <c r="AA420">
        <f>IF(NOT(Q420),"",IF(NOT(AND(R420,S420)),"✕",IF(OR(OR(AND(L420&lt;&gt;"",M420&lt;&gt;"",N(M420)-N(L420)&gt;설정!$B$27),AND(L420&lt;&gt;"",M420="",설정!$B$24-N(L420)&gt;설정!$B$27)),AND(D420&lt;&gt;"",D420&lt;설정!$B$26)),"△","★")))</f>
        <v/>
      </c>
      <c r="AB420">
        <f>IF(NOT(T420),"",IF(U420="설계사",설정!$B$31,IF(U420="시공사",IF(OR(M420="",설정!$B$24-N(M420)&lt;=설정!$B$28*30.4),설정!$B$32,설정!$B$33),설정!$B$34))+IF(AA420="★",설정!$B$35,0))</f>
        <v/>
      </c>
      <c r="AC420">
        <f>SUBSTITUTE(SUBSTITUTE(SUBSTITUTE(SUBSTITUTE(H420,"(주)",""),"㈜",""),"주식회사","")," ","")</f>
        <v/>
      </c>
      <c r="AD420">
        <f>IF(AND(T420,AC420&lt;&gt;""),IF(COUNTIFS(AC$2:AC420,AC420,T$2:T420,TRUE)=1,MAX(AD$1:AD419)+1,""),"")</f>
        <v/>
      </c>
    </row>
    <row r="421">
      <c r="A421">
        <f>ROW()</f>
        <v/>
      </c>
      <c r="B421">
        <f>IF(설정!$C$4="","",IFERROR(INDEX('1.산군_붙여넣기'!$A$1:$AZ$1001,ROW(),설정!$C$4)&amp;"",""))</f>
        <v/>
      </c>
      <c r="C421">
        <f>IF(설정!$C$5="","",IFERROR(INDEX('1.산군_붙여넣기'!$A$1:$AZ$1001,ROW(),설정!$C$5)&amp;"",""))</f>
        <v/>
      </c>
      <c r="D421" s="5">
        <f>IFERROR(VALUE(SUBSTITUTE(SUBSTITUTE(SUBSTITUTE(IF(설정!$C$6="","",IFERROR(INDEX('1.산군_붙여넣기'!$A$1:$AZ$1001,ROW(),설정!$C$6)&amp;"","")),",",""),"㎡",""),"m2","")),"")</f>
        <v/>
      </c>
      <c r="E421">
        <f>IF(설정!$C$7="","",IFERROR(INDEX('1.산군_붙여넣기'!$A$1:$AZ$1001,ROW(),설정!$C$7)&amp;"",""))</f>
        <v/>
      </c>
      <c r="F421">
        <f>IF(설정!$C$8="","",IFERROR(INDEX('1.산군_붙여넣기'!$A$1:$AZ$1001,ROW(),설정!$C$8)&amp;"",""))</f>
        <v/>
      </c>
      <c r="G421">
        <f>IF(설정!$C$9="","",IFERROR(INDEX('1.산군_붙여넣기'!$A$1:$AZ$1001,ROW(),설정!$C$9)&amp;"",""))</f>
        <v/>
      </c>
      <c r="H421">
        <f>IF(설정!$C$10="","",IFERROR(INDEX('1.산군_붙여넣기'!$A$1:$AZ$1001,ROW(),설정!$C$10)&amp;"",""))</f>
        <v/>
      </c>
      <c r="I421">
        <f>IF(설정!$C$11="","",IFERROR(INDEX('1.산군_붙여넣기'!$A$1:$AZ$1001,ROW(),설정!$C$11)&amp;"",""))</f>
        <v/>
      </c>
      <c r="J421">
        <f>IF(설정!$C$12="","",IFERROR(INDEX('1.산군_붙여넣기'!$A$1:$AZ$1001,ROW(),설정!$C$12)&amp;"",""))</f>
        <v/>
      </c>
      <c r="K421">
        <f>IF(설정!$C$13="","",IFERROR(INDEX('1.산군_붙여넣기'!$A$1:$AZ$1001,ROW(),설정!$C$13)&amp;"",""))</f>
        <v/>
      </c>
      <c r="L421" s="7">
        <f>IF(X421="","",IF(AND(LEN(X421)=8,ISNUMBER(X421*1)),DATE(LEFT(X421,4),MID(X421,5,2),RIGHT(X421,2)),IFERROR(DATEVALUE(SUBSTITUTE(SUBSTITUTE(X421,".","-"),"/","-")),IFERROR(X421*1,""))))</f>
        <v/>
      </c>
      <c r="M421" s="7">
        <f>IF(Y421="","",IF(AND(LEN(Y421)=8,ISNUMBER(Y421*1)),DATE(LEFT(Y421,4),MID(Y421,5,2),RIGHT(Y421,2)),IFERROR(DATEVALUE(SUBSTITUTE(SUBSTITUTE(Y421,".","-"),"/","-")),IFERROR(Y421*1,""))))</f>
        <v/>
      </c>
      <c r="N421">
        <f>IFERROR(LEFT(B421,FIND(" ",B421)-1),B421)</f>
        <v/>
      </c>
      <c r="O421">
        <f>AND(B421&lt;&gt;"",B421&lt;&gt;설정!$B$4,C421&lt;&gt;설정!$B$5)</f>
        <v/>
      </c>
      <c r="P421">
        <f>IF(O421,B421&amp;"|"&amp;C421,"")</f>
        <v/>
      </c>
      <c r="Q421">
        <f>AND(O421,COUNTIF(P422:P$1002,P421)=0)</f>
        <v/>
      </c>
      <c r="R421">
        <f>OR(AND(설정!$A$42&lt;&gt;"",ISNUMBER(SEARCH(설정!$A$42,E421&amp;" "&amp;C421))),AND(설정!$A$43&lt;&gt;"",ISNUMBER(SEARCH(설정!$A$43,E421&amp;" "&amp;C421))),AND(설정!$A$44&lt;&gt;"",ISNUMBER(SEARCH(설정!$A$44,E421&amp;" "&amp;C421))),AND(설정!$A$45&lt;&gt;"",ISNUMBER(SEARCH(설정!$A$45,E421&amp;" "&amp;C421))),AND(설정!$A$46&lt;&gt;"",ISNUMBER(SEARCH(설정!$A$46,E421&amp;" "&amp;C421))),AND(설정!$A$47&lt;&gt;"",ISNUMBER(SEARCH(설정!$A$47,E421&amp;" "&amp;C421))),AND(설정!$A$48&lt;&gt;"",ISNUMBER(SEARCH(설정!$A$48,E421&amp;" "&amp;C421))),AND(설정!$A$49&lt;&gt;"",ISNUMBER(SEARCH(설정!$A$49,E421&amp;" "&amp;C421))),AND(설정!$A$50&lt;&gt;"",ISNUMBER(SEARCH(설정!$A$50,E421&amp;" "&amp;C421))),AND(설정!$A$51&lt;&gt;"",ISNUMBER(SEARCH(설정!$A$51,E421&amp;" "&amp;C421))))</f>
        <v/>
      </c>
      <c r="S421">
        <f>OR(D421="",D421&gt;=설정!$B$19)</f>
        <v/>
      </c>
      <c r="T421">
        <f>AND(Q421,R421,S421)</f>
        <v/>
      </c>
      <c r="U421">
        <f>IF(T421,IF(AND(설정!$A$54&lt;&gt;"",ISNUMBER(SEARCH(설정!$A$54,K421))),설정!$B$54,IF(AND(설정!$A$55&lt;&gt;"",ISNUMBER(SEARCH(설정!$A$55,K421))),설정!$B$55,IF(AND(설정!$A$56&lt;&gt;"",ISNUMBER(SEARCH(설정!$A$56,K421))),설정!$B$56,IF(AND(설정!$A$57&lt;&gt;"",ISNUMBER(SEARCH(설정!$A$57,K421))),설정!$B$57,IF(AND(설정!$A$58&lt;&gt;"",ISNUMBER(SEARCH(설정!$A$58,K421))),설정!$B$58,IF(AND(설정!$A$59&lt;&gt;"",ISNUMBER(SEARCH(설정!$A$59,K421))),설정!$B$59,IF(AND(설정!$A$60&lt;&gt;"",ISNUMBER(SEARCH(설정!$A$60,K421))),설정!$B$60,IF(AND(설정!$A$61&lt;&gt;"",ISNUMBER(SEARCH(설정!$A$61,K421))),설정!$B$61,IF(M421="","설계사","시공사"))))))))),"")</f>
        <v/>
      </c>
      <c r="V421">
        <f>SUBSTITUTE(SUBSTITUTE(SUBSTITUTE(SUBSTITUTE(G421,"(주)",""),"㈜",""),"주식회사","")," ","")</f>
        <v/>
      </c>
      <c r="W421">
        <f>IF(AND(T421,V421&lt;&gt;""),IF(COUNTIFS(V$2:V421,V421,T$2:T421,TRUE)=1,MAX(W$1:W420)+1,""),"")</f>
        <v/>
      </c>
      <c r="X421">
        <f>IF(설정!$C$14="","",IFERROR(INDEX('1.산군_붙여넣기'!$A$1:$AZ$1001,ROW(),설정!$C$14)&amp;"",""))</f>
        <v/>
      </c>
      <c r="Y421">
        <f>IF(설정!$C$15="","",IFERROR(INDEX('1.산군_붙여넣기'!$A$1:$AZ$1001,ROW(),설정!$C$15)&amp;"",""))</f>
        <v/>
      </c>
      <c r="Z421">
        <f>IF(T421,V421&amp;"|"&amp;U421,"")</f>
        <v/>
      </c>
      <c r="AA421">
        <f>IF(NOT(Q421),"",IF(NOT(AND(R421,S421)),"✕",IF(OR(OR(AND(L421&lt;&gt;"",M421&lt;&gt;"",N(M421)-N(L421)&gt;설정!$B$27),AND(L421&lt;&gt;"",M421="",설정!$B$24-N(L421)&gt;설정!$B$27)),AND(D421&lt;&gt;"",D421&lt;설정!$B$26)),"△","★")))</f>
        <v/>
      </c>
      <c r="AB421">
        <f>IF(NOT(T421),"",IF(U421="설계사",설정!$B$31,IF(U421="시공사",IF(OR(M421="",설정!$B$24-N(M421)&lt;=설정!$B$28*30.4),설정!$B$32,설정!$B$33),설정!$B$34))+IF(AA421="★",설정!$B$35,0))</f>
        <v/>
      </c>
      <c r="AC421">
        <f>SUBSTITUTE(SUBSTITUTE(SUBSTITUTE(SUBSTITUTE(H421,"(주)",""),"㈜",""),"주식회사","")," ","")</f>
        <v/>
      </c>
      <c r="AD421">
        <f>IF(AND(T421,AC421&lt;&gt;""),IF(COUNTIFS(AC$2:AC421,AC421,T$2:T421,TRUE)=1,MAX(AD$1:AD420)+1,""),"")</f>
        <v/>
      </c>
    </row>
    <row r="422">
      <c r="A422">
        <f>ROW()</f>
        <v/>
      </c>
      <c r="B422">
        <f>IF(설정!$C$4="","",IFERROR(INDEX('1.산군_붙여넣기'!$A$1:$AZ$1001,ROW(),설정!$C$4)&amp;"",""))</f>
        <v/>
      </c>
      <c r="C422">
        <f>IF(설정!$C$5="","",IFERROR(INDEX('1.산군_붙여넣기'!$A$1:$AZ$1001,ROW(),설정!$C$5)&amp;"",""))</f>
        <v/>
      </c>
      <c r="D422" s="5">
        <f>IFERROR(VALUE(SUBSTITUTE(SUBSTITUTE(SUBSTITUTE(IF(설정!$C$6="","",IFERROR(INDEX('1.산군_붙여넣기'!$A$1:$AZ$1001,ROW(),설정!$C$6)&amp;"","")),",",""),"㎡",""),"m2","")),"")</f>
        <v/>
      </c>
      <c r="E422">
        <f>IF(설정!$C$7="","",IFERROR(INDEX('1.산군_붙여넣기'!$A$1:$AZ$1001,ROW(),설정!$C$7)&amp;"",""))</f>
        <v/>
      </c>
      <c r="F422">
        <f>IF(설정!$C$8="","",IFERROR(INDEX('1.산군_붙여넣기'!$A$1:$AZ$1001,ROW(),설정!$C$8)&amp;"",""))</f>
        <v/>
      </c>
      <c r="G422">
        <f>IF(설정!$C$9="","",IFERROR(INDEX('1.산군_붙여넣기'!$A$1:$AZ$1001,ROW(),설정!$C$9)&amp;"",""))</f>
        <v/>
      </c>
      <c r="H422">
        <f>IF(설정!$C$10="","",IFERROR(INDEX('1.산군_붙여넣기'!$A$1:$AZ$1001,ROW(),설정!$C$10)&amp;"",""))</f>
        <v/>
      </c>
      <c r="I422">
        <f>IF(설정!$C$11="","",IFERROR(INDEX('1.산군_붙여넣기'!$A$1:$AZ$1001,ROW(),설정!$C$11)&amp;"",""))</f>
        <v/>
      </c>
      <c r="J422">
        <f>IF(설정!$C$12="","",IFERROR(INDEX('1.산군_붙여넣기'!$A$1:$AZ$1001,ROW(),설정!$C$12)&amp;"",""))</f>
        <v/>
      </c>
      <c r="K422">
        <f>IF(설정!$C$13="","",IFERROR(INDEX('1.산군_붙여넣기'!$A$1:$AZ$1001,ROW(),설정!$C$13)&amp;"",""))</f>
        <v/>
      </c>
      <c r="L422" s="7">
        <f>IF(X422="","",IF(AND(LEN(X422)=8,ISNUMBER(X422*1)),DATE(LEFT(X422,4),MID(X422,5,2),RIGHT(X422,2)),IFERROR(DATEVALUE(SUBSTITUTE(SUBSTITUTE(X422,".","-"),"/","-")),IFERROR(X422*1,""))))</f>
        <v/>
      </c>
      <c r="M422" s="7">
        <f>IF(Y422="","",IF(AND(LEN(Y422)=8,ISNUMBER(Y422*1)),DATE(LEFT(Y422,4),MID(Y422,5,2),RIGHT(Y422,2)),IFERROR(DATEVALUE(SUBSTITUTE(SUBSTITUTE(Y422,".","-"),"/","-")),IFERROR(Y422*1,""))))</f>
        <v/>
      </c>
      <c r="N422">
        <f>IFERROR(LEFT(B422,FIND(" ",B422)-1),B422)</f>
        <v/>
      </c>
      <c r="O422">
        <f>AND(B422&lt;&gt;"",B422&lt;&gt;설정!$B$4,C422&lt;&gt;설정!$B$5)</f>
        <v/>
      </c>
      <c r="P422">
        <f>IF(O422,B422&amp;"|"&amp;C422,"")</f>
        <v/>
      </c>
      <c r="Q422">
        <f>AND(O422,COUNTIF(P423:P$1002,P422)=0)</f>
        <v/>
      </c>
      <c r="R422">
        <f>OR(AND(설정!$A$42&lt;&gt;"",ISNUMBER(SEARCH(설정!$A$42,E422&amp;" "&amp;C422))),AND(설정!$A$43&lt;&gt;"",ISNUMBER(SEARCH(설정!$A$43,E422&amp;" "&amp;C422))),AND(설정!$A$44&lt;&gt;"",ISNUMBER(SEARCH(설정!$A$44,E422&amp;" "&amp;C422))),AND(설정!$A$45&lt;&gt;"",ISNUMBER(SEARCH(설정!$A$45,E422&amp;" "&amp;C422))),AND(설정!$A$46&lt;&gt;"",ISNUMBER(SEARCH(설정!$A$46,E422&amp;" "&amp;C422))),AND(설정!$A$47&lt;&gt;"",ISNUMBER(SEARCH(설정!$A$47,E422&amp;" "&amp;C422))),AND(설정!$A$48&lt;&gt;"",ISNUMBER(SEARCH(설정!$A$48,E422&amp;" "&amp;C422))),AND(설정!$A$49&lt;&gt;"",ISNUMBER(SEARCH(설정!$A$49,E422&amp;" "&amp;C422))),AND(설정!$A$50&lt;&gt;"",ISNUMBER(SEARCH(설정!$A$50,E422&amp;" "&amp;C422))),AND(설정!$A$51&lt;&gt;"",ISNUMBER(SEARCH(설정!$A$51,E422&amp;" "&amp;C422))))</f>
        <v/>
      </c>
      <c r="S422">
        <f>OR(D422="",D422&gt;=설정!$B$19)</f>
        <v/>
      </c>
      <c r="T422">
        <f>AND(Q422,R422,S422)</f>
        <v/>
      </c>
      <c r="U422">
        <f>IF(T422,IF(AND(설정!$A$54&lt;&gt;"",ISNUMBER(SEARCH(설정!$A$54,K422))),설정!$B$54,IF(AND(설정!$A$55&lt;&gt;"",ISNUMBER(SEARCH(설정!$A$55,K422))),설정!$B$55,IF(AND(설정!$A$56&lt;&gt;"",ISNUMBER(SEARCH(설정!$A$56,K422))),설정!$B$56,IF(AND(설정!$A$57&lt;&gt;"",ISNUMBER(SEARCH(설정!$A$57,K422))),설정!$B$57,IF(AND(설정!$A$58&lt;&gt;"",ISNUMBER(SEARCH(설정!$A$58,K422))),설정!$B$58,IF(AND(설정!$A$59&lt;&gt;"",ISNUMBER(SEARCH(설정!$A$59,K422))),설정!$B$59,IF(AND(설정!$A$60&lt;&gt;"",ISNUMBER(SEARCH(설정!$A$60,K422))),설정!$B$60,IF(AND(설정!$A$61&lt;&gt;"",ISNUMBER(SEARCH(설정!$A$61,K422))),설정!$B$61,IF(M422="","설계사","시공사"))))))))),"")</f>
        <v/>
      </c>
      <c r="V422">
        <f>SUBSTITUTE(SUBSTITUTE(SUBSTITUTE(SUBSTITUTE(G422,"(주)",""),"㈜",""),"주식회사","")," ","")</f>
        <v/>
      </c>
      <c r="W422">
        <f>IF(AND(T422,V422&lt;&gt;""),IF(COUNTIFS(V$2:V422,V422,T$2:T422,TRUE)=1,MAX(W$1:W421)+1,""),"")</f>
        <v/>
      </c>
      <c r="X422">
        <f>IF(설정!$C$14="","",IFERROR(INDEX('1.산군_붙여넣기'!$A$1:$AZ$1001,ROW(),설정!$C$14)&amp;"",""))</f>
        <v/>
      </c>
      <c r="Y422">
        <f>IF(설정!$C$15="","",IFERROR(INDEX('1.산군_붙여넣기'!$A$1:$AZ$1001,ROW(),설정!$C$15)&amp;"",""))</f>
        <v/>
      </c>
      <c r="Z422">
        <f>IF(T422,V422&amp;"|"&amp;U422,"")</f>
        <v/>
      </c>
      <c r="AA422">
        <f>IF(NOT(Q422),"",IF(NOT(AND(R422,S422)),"✕",IF(OR(OR(AND(L422&lt;&gt;"",M422&lt;&gt;"",N(M422)-N(L422)&gt;설정!$B$27),AND(L422&lt;&gt;"",M422="",설정!$B$24-N(L422)&gt;설정!$B$27)),AND(D422&lt;&gt;"",D422&lt;설정!$B$26)),"△","★")))</f>
        <v/>
      </c>
      <c r="AB422">
        <f>IF(NOT(T422),"",IF(U422="설계사",설정!$B$31,IF(U422="시공사",IF(OR(M422="",설정!$B$24-N(M422)&lt;=설정!$B$28*30.4),설정!$B$32,설정!$B$33),설정!$B$34))+IF(AA422="★",설정!$B$35,0))</f>
        <v/>
      </c>
      <c r="AC422">
        <f>SUBSTITUTE(SUBSTITUTE(SUBSTITUTE(SUBSTITUTE(H422,"(주)",""),"㈜",""),"주식회사","")," ","")</f>
        <v/>
      </c>
      <c r="AD422">
        <f>IF(AND(T422,AC422&lt;&gt;""),IF(COUNTIFS(AC$2:AC422,AC422,T$2:T422,TRUE)=1,MAX(AD$1:AD421)+1,""),"")</f>
        <v/>
      </c>
    </row>
    <row r="423">
      <c r="A423">
        <f>ROW()</f>
        <v/>
      </c>
      <c r="B423">
        <f>IF(설정!$C$4="","",IFERROR(INDEX('1.산군_붙여넣기'!$A$1:$AZ$1001,ROW(),설정!$C$4)&amp;"",""))</f>
        <v/>
      </c>
      <c r="C423">
        <f>IF(설정!$C$5="","",IFERROR(INDEX('1.산군_붙여넣기'!$A$1:$AZ$1001,ROW(),설정!$C$5)&amp;"",""))</f>
        <v/>
      </c>
      <c r="D423" s="5">
        <f>IFERROR(VALUE(SUBSTITUTE(SUBSTITUTE(SUBSTITUTE(IF(설정!$C$6="","",IFERROR(INDEX('1.산군_붙여넣기'!$A$1:$AZ$1001,ROW(),설정!$C$6)&amp;"","")),",",""),"㎡",""),"m2","")),"")</f>
        <v/>
      </c>
      <c r="E423">
        <f>IF(설정!$C$7="","",IFERROR(INDEX('1.산군_붙여넣기'!$A$1:$AZ$1001,ROW(),설정!$C$7)&amp;"",""))</f>
        <v/>
      </c>
      <c r="F423">
        <f>IF(설정!$C$8="","",IFERROR(INDEX('1.산군_붙여넣기'!$A$1:$AZ$1001,ROW(),설정!$C$8)&amp;"",""))</f>
        <v/>
      </c>
      <c r="G423">
        <f>IF(설정!$C$9="","",IFERROR(INDEX('1.산군_붙여넣기'!$A$1:$AZ$1001,ROW(),설정!$C$9)&amp;"",""))</f>
        <v/>
      </c>
      <c r="H423">
        <f>IF(설정!$C$10="","",IFERROR(INDEX('1.산군_붙여넣기'!$A$1:$AZ$1001,ROW(),설정!$C$10)&amp;"",""))</f>
        <v/>
      </c>
      <c r="I423">
        <f>IF(설정!$C$11="","",IFERROR(INDEX('1.산군_붙여넣기'!$A$1:$AZ$1001,ROW(),설정!$C$11)&amp;"",""))</f>
        <v/>
      </c>
      <c r="J423">
        <f>IF(설정!$C$12="","",IFERROR(INDEX('1.산군_붙여넣기'!$A$1:$AZ$1001,ROW(),설정!$C$12)&amp;"",""))</f>
        <v/>
      </c>
      <c r="K423">
        <f>IF(설정!$C$13="","",IFERROR(INDEX('1.산군_붙여넣기'!$A$1:$AZ$1001,ROW(),설정!$C$13)&amp;"",""))</f>
        <v/>
      </c>
      <c r="L423" s="7">
        <f>IF(X423="","",IF(AND(LEN(X423)=8,ISNUMBER(X423*1)),DATE(LEFT(X423,4),MID(X423,5,2),RIGHT(X423,2)),IFERROR(DATEVALUE(SUBSTITUTE(SUBSTITUTE(X423,".","-"),"/","-")),IFERROR(X423*1,""))))</f>
        <v/>
      </c>
      <c r="M423" s="7">
        <f>IF(Y423="","",IF(AND(LEN(Y423)=8,ISNUMBER(Y423*1)),DATE(LEFT(Y423,4),MID(Y423,5,2),RIGHT(Y423,2)),IFERROR(DATEVALUE(SUBSTITUTE(SUBSTITUTE(Y423,".","-"),"/","-")),IFERROR(Y423*1,""))))</f>
        <v/>
      </c>
      <c r="N423">
        <f>IFERROR(LEFT(B423,FIND(" ",B423)-1),B423)</f>
        <v/>
      </c>
      <c r="O423">
        <f>AND(B423&lt;&gt;"",B423&lt;&gt;설정!$B$4,C423&lt;&gt;설정!$B$5)</f>
        <v/>
      </c>
      <c r="P423">
        <f>IF(O423,B423&amp;"|"&amp;C423,"")</f>
        <v/>
      </c>
      <c r="Q423">
        <f>AND(O423,COUNTIF(P424:P$1002,P423)=0)</f>
        <v/>
      </c>
      <c r="R423">
        <f>OR(AND(설정!$A$42&lt;&gt;"",ISNUMBER(SEARCH(설정!$A$42,E423&amp;" "&amp;C423))),AND(설정!$A$43&lt;&gt;"",ISNUMBER(SEARCH(설정!$A$43,E423&amp;" "&amp;C423))),AND(설정!$A$44&lt;&gt;"",ISNUMBER(SEARCH(설정!$A$44,E423&amp;" "&amp;C423))),AND(설정!$A$45&lt;&gt;"",ISNUMBER(SEARCH(설정!$A$45,E423&amp;" "&amp;C423))),AND(설정!$A$46&lt;&gt;"",ISNUMBER(SEARCH(설정!$A$46,E423&amp;" "&amp;C423))),AND(설정!$A$47&lt;&gt;"",ISNUMBER(SEARCH(설정!$A$47,E423&amp;" "&amp;C423))),AND(설정!$A$48&lt;&gt;"",ISNUMBER(SEARCH(설정!$A$48,E423&amp;" "&amp;C423))),AND(설정!$A$49&lt;&gt;"",ISNUMBER(SEARCH(설정!$A$49,E423&amp;" "&amp;C423))),AND(설정!$A$50&lt;&gt;"",ISNUMBER(SEARCH(설정!$A$50,E423&amp;" "&amp;C423))),AND(설정!$A$51&lt;&gt;"",ISNUMBER(SEARCH(설정!$A$51,E423&amp;" "&amp;C423))))</f>
        <v/>
      </c>
      <c r="S423">
        <f>OR(D423="",D423&gt;=설정!$B$19)</f>
        <v/>
      </c>
      <c r="T423">
        <f>AND(Q423,R423,S423)</f>
        <v/>
      </c>
      <c r="U423">
        <f>IF(T423,IF(AND(설정!$A$54&lt;&gt;"",ISNUMBER(SEARCH(설정!$A$54,K423))),설정!$B$54,IF(AND(설정!$A$55&lt;&gt;"",ISNUMBER(SEARCH(설정!$A$55,K423))),설정!$B$55,IF(AND(설정!$A$56&lt;&gt;"",ISNUMBER(SEARCH(설정!$A$56,K423))),설정!$B$56,IF(AND(설정!$A$57&lt;&gt;"",ISNUMBER(SEARCH(설정!$A$57,K423))),설정!$B$57,IF(AND(설정!$A$58&lt;&gt;"",ISNUMBER(SEARCH(설정!$A$58,K423))),설정!$B$58,IF(AND(설정!$A$59&lt;&gt;"",ISNUMBER(SEARCH(설정!$A$59,K423))),설정!$B$59,IF(AND(설정!$A$60&lt;&gt;"",ISNUMBER(SEARCH(설정!$A$60,K423))),설정!$B$60,IF(AND(설정!$A$61&lt;&gt;"",ISNUMBER(SEARCH(설정!$A$61,K423))),설정!$B$61,IF(M423="","설계사","시공사"))))))))),"")</f>
        <v/>
      </c>
      <c r="V423">
        <f>SUBSTITUTE(SUBSTITUTE(SUBSTITUTE(SUBSTITUTE(G423,"(주)",""),"㈜",""),"주식회사","")," ","")</f>
        <v/>
      </c>
      <c r="W423">
        <f>IF(AND(T423,V423&lt;&gt;""),IF(COUNTIFS(V$2:V423,V423,T$2:T423,TRUE)=1,MAX(W$1:W422)+1,""),"")</f>
        <v/>
      </c>
      <c r="X423">
        <f>IF(설정!$C$14="","",IFERROR(INDEX('1.산군_붙여넣기'!$A$1:$AZ$1001,ROW(),설정!$C$14)&amp;"",""))</f>
        <v/>
      </c>
      <c r="Y423">
        <f>IF(설정!$C$15="","",IFERROR(INDEX('1.산군_붙여넣기'!$A$1:$AZ$1001,ROW(),설정!$C$15)&amp;"",""))</f>
        <v/>
      </c>
      <c r="Z423">
        <f>IF(T423,V423&amp;"|"&amp;U423,"")</f>
        <v/>
      </c>
      <c r="AA423">
        <f>IF(NOT(Q423),"",IF(NOT(AND(R423,S423)),"✕",IF(OR(OR(AND(L423&lt;&gt;"",M423&lt;&gt;"",N(M423)-N(L423)&gt;설정!$B$27),AND(L423&lt;&gt;"",M423="",설정!$B$24-N(L423)&gt;설정!$B$27)),AND(D423&lt;&gt;"",D423&lt;설정!$B$26)),"△","★")))</f>
        <v/>
      </c>
      <c r="AB423">
        <f>IF(NOT(T423),"",IF(U423="설계사",설정!$B$31,IF(U423="시공사",IF(OR(M423="",설정!$B$24-N(M423)&lt;=설정!$B$28*30.4),설정!$B$32,설정!$B$33),설정!$B$34))+IF(AA423="★",설정!$B$35,0))</f>
        <v/>
      </c>
      <c r="AC423">
        <f>SUBSTITUTE(SUBSTITUTE(SUBSTITUTE(SUBSTITUTE(H423,"(주)",""),"㈜",""),"주식회사","")," ","")</f>
        <v/>
      </c>
      <c r="AD423">
        <f>IF(AND(T423,AC423&lt;&gt;""),IF(COUNTIFS(AC$2:AC423,AC423,T$2:T423,TRUE)=1,MAX(AD$1:AD422)+1,""),"")</f>
        <v/>
      </c>
    </row>
    <row r="424">
      <c r="A424">
        <f>ROW()</f>
        <v/>
      </c>
      <c r="B424">
        <f>IF(설정!$C$4="","",IFERROR(INDEX('1.산군_붙여넣기'!$A$1:$AZ$1001,ROW(),설정!$C$4)&amp;"",""))</f>
        <v/>
      </c>
      <c r="C424">
        <f>IF(설정!$C$5="","",IFERROR(INDEX('1.산군_붙여넣기'!$A$1:$AZ$1001,ROW(),설정!$C$5)&amp;"",""))</f>
        <v/>
      </c>
      <c r="D424" s="5">
        <f>IFERROR(VALUE(SUBSTITUTE(SUBSTITUTE(SUBSTITUTE(IF(설정!$C$6="","",IFERROR(INDEX('1.산군_붙여넣기'!$A$1:$AZ$1001,ROW(),설정!$C$6)&amp;"","")),",",""),"㎡",""),"m2","")),"")</f>
        <v/>
      </c>
      <c r="E424">
        <f>IF(설정!$C$7="","",IFERROR(INDEX('1.산군_붙여넣기'!$A$1:$AZ$1001,ROW(),설정!$C$7)&amp;"",""))</f>
        <v/>
      </c>
      <c r="F424">
        <f>IF(설정!$C$8="","",IFERROR(INDEX('1.산군_붙여넣기'!$A$1:$AZ$1001,ROW(),설정!$C$8)&amp;"",""))</f>
        <v/>
      </c>
      <c r="G424">
        <f>IF(설정!$C$9="","",IFERROR(INDEX('1.산군_붙여넣기'!$A$1:$AZ$1001,ROW(),설정!$C$9)&amp;"",""))</f>
        <v/>
      </c>
      <c r="H424">
        <f>IF(설정!$C$10="","",IFERROR(INDEX('1.산군_붙여넣기'!$A$1:$AZ$1001,ROW(),설정!$C$10)&amp;"",""))</f>
        <v/>
      </c>
      <c r="I424">
        <f>IF(설정!$C$11="","",IFERROR(INDEX('1.산군_붙여넣기'!$A$1:$AZ$1001,ROW(),설정!$C$11)&amp;"",""))</f>
        <v/>
      </c>
      <c r="J424">
        <f>IF(설정!$C$12="","",IFERROR(INDEX('1.산군_붙여넣기'!$A$1:$AZ$1001,ROW(),설정!$C$12)&amp;"",""))</f>
        <v/>
      </c>
      <c r="K424">
        <f>IF(설정!$C$13="","",IFERROR(INDEX('1.산군_붙여넣기'!$A$1:$AZ$1001,ROW(),설정!$C$13)&amp;"",""))</f>
        <v/>
      </c>
      <c r="L424" s="7">
        <f>IF(X424="","",IF(AND(LEN(X424)=8,ISNUMBER(X424*1)),DATE(LEFT(X424,4),MID(X424,5,2),RIGHT(X424,2)),IFERROR(DATEVALUE(SUBSTITUTE(SUBSTITUTE(X424,".","-"),"/","-")),IFERROR(X424*1,""))))</f>
        <v/>
      </c>
      <c r="M424" s="7">
        <f>IF(Y424="","",IF(AND(LEN(Y424)=8,ISNUMBER(Y424*1)),DATE(LEFT(Y424,4),MID(Y424,5,2),RIGHT(Y424,2)),IFERROR(DATEVALUE(SUBSTITUTE(SUBSTITUTE(Y424,".","-"),"/","-")),IFERROR(Y424*1,""))))</f>
        <v/>
      </c>
      <c r="N424">
        <f>IFERROR(LEFT(B424,FIND(" ",B424)-1),B424)</f>
        <v/>
      </c>
      <c r="O424">
        <f>AND(B424&lt;&gt;"",B424&lt;&gt;설정!$B$4,C424&lt;&gt;설정!$B$5)</f>
        <v/>
      </c>
      <c r="P424">
        <f>IF(O424,B424&amp;"|"&amp;C424,"")</f>
        <v/>
      </c>
      <c r="Q424">
        <f>AND(O424,COUNTIF(P425:P$1002,P424)=0)</f>
        <v/>
      </c>
      <c r="R424">
        <f>OR(AND(설정!$A$42&lt;&gt;"",ISNUMBER(SEARCH(설정!$A$42,E424&amp;" "&amp;C424))),AND(설정!$A$43&lt;&gt;"",ISNUMBER(SEARCH(설정!$A$43,E424&amp;" "&amp;C424))),AND(설정!$A$44&lt;&gt;"",ISNUMBER(SEARCH(설정!$A$44,E424&amp;" "&amp;C424))),AND(설정!$A$45&lt;&gt;"",ISNUMBER(SEARCH(설정!$A$45,E424&amp;" "&amp;C424))),AND(설정!$A$46&lt;&gt;"",ISNUMBER(SEARCH(설정!$A$46,E424&amp;" "&amp;C424))),AND(설정!$A$47&lt;&gt;"",ISNUMBER(SEARCH(설정!$A$47,E424&amp;" "&amp;C424))),AND(설정!$A$48&lt;&gt;"",ISNUMBER(SEARCH(설정!$A$48,E424&amp;" "&amp;C424))),AND(설정!$A$49&lt;&gt;"",ISNUMBER(SEARCH(설정!$A$49,E424&amp;" "&amp;C424))),AND(설정!$A$50&lt;&gt;"",ISNUMBER(SEARCH(설정!$A$50,E424&amp;" "&amp;C424))),AND(설정!$A$51&lt;&gt;"",ISNUMBER(SEARCH(설정!$A$51,E424&amp;" "&amp;C424))))</f>
        <v/>
      </c>
      <c r="S424">
        <f>OR(D424="",D424&gt;=설정!$B$19)</f>
        <v/>
      </c>
      <c r="T424">
        <f>AND(Q424,R424,S424)</f>
        <v/>
      </c>
      <c r="U424">
        <f>IF(T424,IF(AND(설정!$A$54&lt;&gt;"",ISNUMBER(SEARCH(설정!$A$54,K424))),설정!$B$54,IF(AND(설정!$A$55&lt;&gt;"",ISNUMBER(SEARCH(설정!$A$55,K424))),설정!$B$55,IF(AND(설정!$A$56&lt;&gt;"",ISNUMBER(SEARCH(설정!$A$56,K424))),설정!$B$56,IF(AND(설정!$A$57&lt;&gt;"",ISNUMBER(SEARCH(설정!$A$57,K424))),설정!$B$57,IF(AND(설정!$A$58&lt;&gt;"",ISNUMBER(SEARCH(설정!$A$58,K424))),설정!$B$58,IF(AND(설정!$A$59&lt;&gt;"",ISNUMBER(SEARCH(설정!$A$59,K424))),설정!$B$59,IF(AND(설정!$A$60&lt;&gt;"",ISNUMBER(SEARCH(설정!$A$60,K424))),설정!$B$60,IF(AND(설정!$A$61&lt;&gt;"",ISNUMBER(SEARCH(설정!$A$61,K424))),설정!$B$61,IF(M424="","설계사","시공사"))))))))),"")</f>
        <v/>
      </c>
      <c r="V424">
        <f>SUBSTITUTE(SUBSTITUTE(SUBSTITUTE(SUBSTITUTE(G424,"(주)",""),"㈜",""),"주식회사","")," ","")</f>
        <v/>
      </c>
      <c r="W424">
        <f>IF(AND(T424,V424&lt;&gt;""),IF(COUNTIFS(V$2:V424,V424,T$2:T424,TRUE)=1,MAX(W$1:W423)+1,""),"")</f>
        <v/>
      </c>
      <c r="X424">
        <f>IF(설정!$C$14="","",IFERROR(INDEX('1.산군_붙여넣기'!$A$1:$AZ$1001,ROW(),설정!$C$14)&amp;"",""))</f>
        <v/>
      </c>
      <c r="Y424">
        <f>IF(설정!$C$15="","",IFERROR(INDEX('1.산군_붙여넣기'!$A$1:$AZ$1001,ROW(),설정!$C$15)&amp;"",""))</f>
        <v/>
      </c>
      <c r="Z424">
        <f>IF(T424,V424&amp;"|"&amp;U424,"")</f>
        <v/>
      </c>
      <c r="AA424">
        <f>IF(NOT(Q424),"",IF(NOT(AND(R424,S424)),"✕",IF(OR(OR(AND(L424&lt;&gt;"",M424&lt;&gt;"",N(M424)-N(L424)&gt;설정!$B$27),AND(L424&lt;&gt;"",M424="",설정!$B$24-N(L424)&gt;설정!$B$27)),AND(D424&lt;&gt;"",D424&lt;설정!$B$26)),"△","★")))</f>
        <v/>
      </c>
      <c r="AB424">
        <f>IF(NOT(T424),"",IF(U424="설계사",설정!$B$31,IF(U424="시공사",IF(OR(M424="",설정!$B$24-N(M424)&lt;=설정!$B$28*30.4),설정!$B$32,설정!$B$33),설정!$B$34))+IF(AA424="★",설정!$B$35,0))</f>
        <v/>
      </c>
      <c r="AC424">
        <f>SUBSTITUTE(SUBSTITUTE(SUBSTITUTE(SUBSTITUTE(H424,"(주)",""),"㈜",""),"주식회사","")," ","")</f>
        <v/>
      </c>
      <c r="AD424">
        <f>IF(AND(T424,AC424&lt;&gt;""),IF(COUNTIFS(AC$2:AC424,AC424,T$2:T424,TRUE)=1,MAX(AD$1:AD423)+1,""),"")</f>
        <v/>
      </c>
    </row>
    <row r="425">
      <c r="A425">
        <f>ROW()</f>
        <v/>
      </c>
      <c r="B425">
        <f>IF(설정!$C$4="","",IFERROR(INDEX('1.산군_붙여넣기'!$A$1:$AZ$1001,ROW(),설정!$C$4)&amp;"",""))</f>
        <v/>
      </c>
      <c r="C425">
        <f>IF(설정!$C$5="","",IFERROR(INDEX('1.산군_붙여넣기'!$A$1:$AZ$1001,ROW(),설정!$C$5)&amp;"",""))</f>
        <v/>
      </c>
      <c r="D425" s="5">
        <f>IFERROR(VALUE(SUBSTITUTE(SUBSTITUTE(SUBSTITUTE(IF(설정!$C$6="","",IFERROR(INDEX('1.산군_붙여넣기'!$A$1:$AZ$1001,ROW(),설정!$C$6)&amp;"","")),",",""),"㎡",""),"m2","")),"")</f>
        <v/>
      </c>
      <c r="E425">
        <f>IF(설정!$C$7="","",IFERROR(INDEX('1.산군_붙여넣기'!$A$1:$AZ$1001,ROW(),설정!$C$7)&amp;"",""))</f>
        <v/>
      </c>
      <c r="F425">
        <f>IF(설정!$C$8="","",IFERROR(INDEX('1.산군_붙여넣기'!$A$1:$AZ$1001,ROW(),설정!$C$8)&amp;"",""))</f>
        <v/>
      </c>
      <c r="G425">
        <f>IF(설정!$C$9="","",IFERROR(INDEX('1.산군_붙여넣기'!$A$1:$AZ$1001,ROW(),설정!$C$9)&amp;"",""))</f>
        <v/>
      </c>
      <c r="H425">
        <f>IF(설정!$C$10="","",IFERROR(INDEX('1.산군_붙여넣기'!$A$1:$AZ$1001,ROW(),설정!$C$10)&amp;"",""))</f>
        <v/>
      </c>
      <c r="I425">
        <f>IF(설정!$C$11="","",IFERROR(INDEX('1.산군_붙여넣기'!$A$1:$AZ$1001,ROW(),설정!$C$11)&amp;"",""))</f>
        <v/>
      </c>
      <c r="J425">
        <f>IF(설정!$C$12="","",IFERROR(INDEX('1.산군_붙여넣기'!$A$1:$AZ$1001,ROW(),설정!$C$12)&amp;"",""))</f>
        <v/>
      </c>
      <c r="K425">
        <f>IF(설정!$C$13="","",IFERROR(INDEX('1.산군_붙여넣기'!$A$1:$AZ$1001,ROW(),설정!$C$13)&amp;"",""))</f>
        <v/>
      </c>
      <c r="L425" s="7">
        <f>IF(X425="","",IF(AND(LEN(X425)=8,ISNUMBER(X425*1)),DATE(LEFT(X425,4),MID(X425,5,2),RIGHT(X425,2)),IFERROR(DATEVALUE(SUBSTITUTE(SUBSTITUTE(X425,".","-"),"/","-")),IFERROR(X425*1,""))))</f>
        <v/>
      </c>
      <c r="M425" s="7">
        <f>IF(Y425="","",IF(AND(LEN(Y425)=8,ISNUMBER(Y425*1)),DATE(LEFT(Y425,4),MID(Y425,5,2),RIGHT(Y425,2)),IFERROR(DATEVALUE(SUBSTITUTE(SUBSTITUTE(Y425,".","-"),"/","-")),IFERROR(Y425*1,""))))</f>
        <v/>
      </c>
      <c r="N425">
        <f>IFERROR(LEFT(B425,FIND(" ",B425)-1),B425)</f>
        <v/>
      </c>
      <c r="O425">
        <f>AND(B425&lt;&gt;"",B425&lt;&gt;설정!$B$4,C425&lt;&gt;설정!$B$5)</f>
        <v/>
      </c>
      <c r="P425">
        <f>IF(O425,B425&amp;"|"&amp;C425,"")</f>
        <v/>
      </c>
      <c r="Q425">
        <f>AND(O425,COUNTIF(P426:P$1002,P425)=0)</f>
        <v/>
      </c>
      <c r="R425">
        <f>OR(AND(설정!$A$42&lt;&gt;"",ISNUMBER(SEARCH(설정!$A$42,E425&amp;" "&amp;C425))),AND(설정!$A$43&lt;&gt;"",ISNUMBER(SEARCH(설정!$A$43,E425&amp;" "&amp;C425))),AND(설정!$A$44&lt;&gt;"",ISNUMBER(SEARCH(설정!$A$44,E425&amp;" "&amp;C425))),AND(설정!$A$45&lt;&gt;"",ISNUMBER(SEARCH(설정!$A$45,E425&amp;" "&amp;C425))),AND(설정!$A$46&lt;&gt;"",ISNUMBER(SEARCH(설정!$A$46,E425&amp;" "&amp;C425))),AND(설정!$A$47&lt;&gt;"",ISNUMBER(SEARCH(설정!$A$47,E425&amp;" "&amp;C425))),AND(설정!$A$48&lt;&gt;"",ISNUMBER(SEARCH(설정!$A$48,E425&amp;" "&amp;C425))),AND(설정!$A$49&lt;&gt;"",ISNUMBER(SEARCH(설정!$A$49,E425&amp;" "&amp;C425))),AND(설정!$A$50&lt;&gt;"",ISNUMBER(SEARCH(설정!$A$50,E425&amp;" "&amp;C425))),AND(설정!$A$51&lt;&gt;"",ISNUMBER(SEARCH(설정!$A$51,E425&amp;" "&amp;C425))))</f>
        <v/>
      </c>
      <c r="S425">
        <f>OR(D425="",D425&gt;=설정!$B$19)</f>
        <v/>
      </c>
      <c r="T425">
        <f>AND(Q425,R425,S425)</f>
        <v/>
      </c>
      <c r="U425">
        <f>IF(T425,IF(AND(설정!$A$54&lt;&gt;"",ISNUMBER(SEARCH(설정!$A$54,K425))),설정!$B$54,IF(AND(설정!$A$55&lt;&gt;"",ISNUMBER(SEARCH(설정!$A$55,K425))),설정!$B$55,IF(AND(설정!$A$56&lt;&gt;"",ISNUMBER(SEARCH(설정!$A$56,K425))),설정!$B$56,IF(AND(설정!$A$57&lt;&gt;"",ISNUMBER(SEARCH(설정!$A$57,K425))),설정!$B$57,IF(AND(설정!$A$58&lt;&gt;"",ISNUMBER(SEARCH(설정!$A$58,K425))),설정!$B$58,IF(AND(설정!$A$59&lt;&gt;"",ISNUMBER(SEARCH(설정!$A$59,K425))),설정!$B$59,IF(AND(설정!$A$60&lt;&gt;"",ISNUMBER(SEARCH(설정!$A$60,K425))),설정!$B$60,IF(AND(설정!$A$61&lt;&gt;"",ISNUMBER(SEARCH(설정!$A$61,K425))),설정!$B$61,IF(M425="","설계사","시공사"))))))))),"")</f>
        <v/>
      </c>
      <c r="V425">
        <f>SUBSTITUTE(SUBSTITUTE(SUBSTITUTE(SUBSTITUTE(G425,"(주)",""),"㈜",""),"주식회사","")," ","")</f>
        <v/>
      </c>
      <c r="W425">
        <f>IF(AND(T425,V425&lt;&gt;""),IF(COUNTIFS(V$2:V425,V425,T$2:T425,TRUE)=1,MAX(W$1:W424)+1,""),"")</f>
        <v/>
      </c>
      <c r="X425">
        <f>IF(설정!$C$14="","",IFERROR(INDEX('1.산군_붙여넣기'!$A$1:$AZ$1001,ROW(),설정!$C$14)&amp;"",""))</f>
        <v/>
      </c>
      <c r="Y425">
        <f>IF(설정!$C$15="","",IFERROR(INDEX('1.산군_붙여넣기'!$A$1:$AZ$1001,ROW(),설정!$C$15)&amp;"",""))</f>
        <v/>
      </c>
      <c r="Z425">
        <f>IF(T425,V425&amp;"|"&amp;U425,"")</f>
        <v/>
      </c>
      <c r="AA425">
        <f>IF(NOT(Q425),"",IF(NOT(AND(R425,S425)),"✕",IF(OR(OR(AND(L425&lt;&gt;"",M425&lt;&gt;"",N(M425)-N(L425)&gt;설정!$B$27),AND(L425&lt;&gt;"",M425="",설정!$B$24-N(L425)&gt;설정!$B$27)),AND(D425&lt;&gt;"",D425&lt;설정!$B$26)),"△","★")))</f>
        <v/>
      </c>
      <c r="AB425">
        <f>IF(NOT(T425),"",IF(U425="설계사",설정!$B$31,IF(U425="시공사",IF(OR(M425="",설정!$B$24-N(M425)&lt;=설정!$B$28*30.4),설정!$B$32,설정!$B$33),설정!$B$34))+IF(AA425="★",설정!$B$35,0))</f>
        <v/>
      </c>
      <c r="AC425">
        <f>SUBSTITUTE(SUBSTITUTE(SUBSTITUTE(SUBSTITUTE(H425,"(주)",""),"㈜",""),"주식회사","")," ","")</f>
        <v/>
      </c>
      <c r="AD425">
        <f>IF(AND(T425,AC425&lt;&gt;""),IF(COUNTIFS(AC$2:AC425,AC425,T$2:T425,TRUE)=1,MAX(AD$1:AD424)+1,""),"")</f>
        <v/>
      </c>
    </row>
    <row r="426">
      <c r="A426">
        <f>ROW()</f>
        <v/>
      </c>
      <c r="B426">
        <f>IF(설정!$C$4="","",IFERROR(INDEX('1.산군_붙여넣기'!$A$1:$AZ$1001,ROW(),설정!$C$4)&amp;"",""))</f>
        <v/>
      </c>
      <c r="C426">
        <f>IF(설정!$C$5="","",IFERROR(INDEX('1.산군_붙여넣기'!$A$1:$AZ$1001,ROW(),설정!$C$5)&amp;"",""))</f>
        <v/>
      </c>
      <c r="D426" s="5">
        <f>IFERROR(VALUE(SUBSTITUTE(SUBSTITUTE(SUBSTITUTE(IF(설정!$C$6="","",IFERROR(INDEX('1.산군_붙여넣기'!$A$1:$AZ$1001,ROW(),설정!$C$6)&amp;"","")),",",""),"㎡",""),"m2","")),"")</f>
        <v/>
      </c>
      <c r="E426">
        <f>IF(설정!$C$7="","",IFERROR(INDEX('1.산군_붙여넣기'!$A$1:$AZ$1001,ROW(),설정!$C$7)&amp;"",""))</f>
        <v/>
      </c>
      <c r="F426">
        <f>IF(설정!$C$8="","",IFERROR(INDEX('1.산군_붙여넣기'!$A$1:$AZ$1001,ROW(),설정!$C$8)&amp;"",""))</f>
        <v/>
      </c>
      <c r="G426">
        <f>IF(설정!$C$9="","",IFERROR(INDEX('1.산군_붙여넣기'!$A$1:$AZ$1001,ROW(),설정!$C$9)&amp;"",""))</f>
        <v/>
      </c>
      <c r="H426">
        <f>IF(설정!$C$10="","",IFERROR(INDEX('1.산군_붙여넣기'!$A$1:$AZ$1001,ROW(),설정!$C$10)&amp;"",""))</f>
        <v/>
      </c>
      <c r="I426">
        <f>IF(설정!$C$11="","",IFERROR(INDEX('1.산군_붙여넣기'!$A$1:$AZ$1001,ROW(),설정!$C$11)&amp;"",""))</f>
        <v/>
      </c>
      <c r="J426">
        <f>IF(설정!$C$12="","",IFERROR(INDEX('1.산군_붙여넣기'!$A$1:$AZ$1001,ROW(),설정!$C$12)&amp;"",""))</f>
        <v/>
      </c>
      <c r="K426">
        <f>IF(설정!$C$13="","",IFERROR(INDEX('1.산군_붙여넣기'!$A$1:$AZ$1001,ROW(),설정!$C$13)&amp;"",""))</f>
        <v/>
      </c>
      <c r="L426" s="7">
        <f>IF(X426="","",IF(AND(LEN(X426)=8,ISNUMBER(X426*1)),DATE(LEFT(X426,4),MID(X426,5,2),RIGHT(X426,2)),IFERROR(DATEVALUE(SUBSTITUTE(SUBSTITUTE(X426,".","-"),"/","-")),IFERROR(X426*1,""))))</f>
        <v/>
      </c>
      <c r="M426" s="7">
        <f>IF(Y426="","",IF(AND(LEN(Y426)=8,ISNUMBER(Y426*1)),DATE(LEFT(Y426,4),MID(Y426,5,2),RIGHT(Y426,2)),IFERROR(DATEVALUE(SUBSTITUTE(SUBSTITUTE(Y426,".","-"),"/","-")),IFERROR(Y426*1,""))))</f>
        <v/>
      </c>
      <c r="N426">
        <f>IFERROR(LEFT(B426,FIND(" ",B426)-1),B426)</f>
        <v/>
      </c>
      <c r="O426">
        <f>AND(B426&lt;&gt;"",B426&lt;&gt;설정!$B$4,C426&lt;&gt;설정!$B$5)</f>
        <v/>
      </c>
      <c r="P426">
        <f>IF(O426,B426&amp;"|"&amp;C426,"")</f>
        <v/>
      </c>
      <c r="Q426">
        <f>AND(O426,COUNTIF(P427:P$1002,P426)=0)</f>
        <v/>
      </c>
      <c r="R426">
        <f>OR(AND(설정!$A$42&lt;&gt;"",ISNUMBER(SEARCH(설정!$A$42,E426&amp;" "&amp;C426))),AND(설정!$A$43&lt;&gt;"",ISNUMBER(SEARCH(설정!$A$43,E426&amp;" "&amp;C426))),AND(설정!$A$44&lt;&gt;"",ISNUMBER(SEARCH(설정!$A$44,E426&amp;" "&amp;C426))),AND(설정!$A$45&lt;&gt;"",ISNUMBER(SEARCH(설정!$A$45,E426&amp;" "&amp;C426))),AND(설정!$A$46&lt;&gt;"",ISNUMBER(SEARCH(설정!$A$46,E426&amp;" "&amp;C426))),AND(설정!$A$47&lt;&gt;"",ISNUMBER(SEARCH(설정!$A$47,E426&amp;" "&amp;C426))),AND(설정!$A$48&lt;&gt;"",ISNUMBER(SEARCH(설정!$A$48,E426&amp;" "&amp;C426))),AND(설정!$A$49&lt;&gt;"",ISNUMBER(SEARCH(설정!$A$49,E426&amp;" "&amp;C426))),AND(설정!$A$50&lt;&gt;"",ISNUMBER(SEARCH(설정!$A$50,E426&amp;" "&amp;C426))),AND(설정!$A$51&lt;&gt;"",ISNUMBER(SEARCH(설정!$A$51,E426&amp;" "&amp;C426))))</f>
        <v/>
      </c>
      <c r="S426">
        <f>OR(D426="",D426&gt;=설정!$B$19)</f>
        <v/>
      </c>
      <c r="T426">
        <f>AND(Q426,R426,S426)</f>
        <v/>
      </c>
      <c r="U426">
        <f>IF(T426,IF(AND(설정!$A$54&lt;&gt;"",ISNUMBER(SEARCH(설정!$A$54,K426))),설정!$B$54,IF(AND(설정!$A$55&lt;&gt;"",ISNUMBER(SEARCH(설정!$A$55,K426))),설정!$B$55,IF(AND(설정!$A$56&lt;&gt;"",ISNUMBER(SEARCH(설정!$A$56,K426))),설정!$B$56,IF(AND(설정!$A$57&lt;&gt;"",ISNUMBER(SEARCH(설정!$A$57,K426))),설정!$B$57,IF(AND(설정!$A$58&lt;&gt;"",ISNUMBER(SEARCH(설정!$A$58,K426))),설정!$B$58,IF(AND(설정!$A$59&lt;&gt;"",ISNUMBER(SEARCH(설정!$A$59,K426))),설정!$B$59,IF(AND(설정!$A$60&lt;&gt;"",ISNUMBER(SEARCH(설정!$A$60,K426))),설정!$B$60,IF(AND(설정!$A$61&lt;&gt;"",ISNUMBER(SEARCH(설정!$A$61,K426))),설정!$B$61,IF(M426="","설계사","시공사"))))))))),"")</f>
        <v/>
      </c>
      <c r="V426">
        <f>SUBSTITUTE(SUBSTITUTE(SUBSTITUTE(SUBSTITUTE(G426,"(주)",""),"㈜",""),"주식회사","")," ","")</f>
        <v/>
      </c>
      <c r="W426">
        <f>IF(AND(T426,V426&lt;&gt;""),IF(COUNTIFS(V$2:V426,V426,T$2:T426,TRUE)=1,MAX(W$1:W425)+1,""),"")</f>
        <v/>
      </c>
      <c r="X426">
        <f>IF(설정!$C$14="","",IFERROR(INDEX('1.산군_붙여넣기'!$A$1:$AZ$1001,ROW(),설정!$C$14)&amp;"",""))</f>
        <v/>
      </c>
      <c r="Y426">
        <f>IF(설정!$C$15="","",IFERROR(INDEX('1.산군_붙여넣기'!$A$1:$AZ$1001,ROW(),설정!$C$15)&amp;"",""))</f>
        <v/>
      </c>
      <c r="Z426">
        <f>IF(T426,V426&amp;"|"&amp;U426,"")</f>
        <v/>
      </c>
      <c r="AA426">
        <f>IF(NOT(Q426),"",IF(NOT(AND(R426,S426)),"✕",IF(OR(OR(AND(L426&lt;&gt;"",M426&lt;&gt;"",N(M426)-N(L426)&gt;설정!$B$27),AND(L426&lt;&gt;"",M426="",설정!$B$24-N(L426)&gt;설정!$B$27)),AND(D426&lt;&gt;"",D426&lt;설정!$B$26)),"△","★")))</f>
        <v/>
      </c>
      <c r="AB426">
        <f>IF(NOT(T426),"",IF(U426="설계사",설정!$B$31,IF(U426="시공사",IF(OR(M426="",설정!$B$24-N(M426)&lt;=설정!$B$28*30.4),설정!$B$32,설정!$B$33),설정!$B$34))+IF(AA426="★",설정!$B$35,0))</f>
        <v/>
      </c>
      <c r="AC426">
        <f>SUBSTITUTE(SUBSTITUTE(SUBSTITUTE(SUBSTITUTE(H426,"(주)",""),"㈜",""),"주식회사","")," ","")</f>
        <v/>
      </c>
      <c r="AD426">
        <f>IF(AND(T426,AC426&lt;&gt;""),IF(COUNTIFS(AC$2:AC426,AC426,T$2:T426,TRUE)=1,MAX(AD$1:AD425)+1,""),"")</f>
        <v/>
      </c>
    </row>
    <row r="427">
      <c r="A427">
        <f>ROW()</f>
        <v/>
      </c>
      <c r="B427">
        <f>IF(설정!$C$4="","",IFERROR(INDEX('1.산군_붙여넣기'!$A$1:$AZ$1001,ROW(),설정!$C$4)&amp;"",""))</f>
        <v/>
      </c>
      <c r="C427">
        <f>IF(설정!$C$5="","",IFERROR(INDEX('1.산군_붙여넣기'!$A$1:$AZ$1001,ROW(),설정!$C$5)&amp;"",""))</f>
        <v/>
      </c>
      <c r="D427" s="5">
        <f>IFERROR(VALUE(SUBSTITUTE(SUBSTITUTE(SUBSTITUTE(IF(설정!$C$6="","",IFERROR(INDEX('1.산군_붙여넣기'!$A$1:$AZ$1001,ROW(),설정!$C$6)&amp;"","")),",",""),"㎡",""),"m2","")),"")</f>
        <v/>
      </c>
      <c r="E427">
        <f>IF(설정!$C$7="","",IFERROR(INDEX('1.산군_붙여넣기'!$A$1:$AZ$1001,ROW(),설정!$C$7)&amp;"",""))</f>
        <v/>
      </c>
      <c r="F427">
        <f>IF(설정!$C$8="","",IFERROR(INDEX('1.산군_붙여넣기'!$A$1:$AZ$1001,ROW(),설정!$C$8)&amp;"",""))</f>
        <v/>
      </c>
      <c r="G427">
        <f>IF(설정!$C$9="","",IFERROR(INDEX('1.산군_붙여넣기'!$A$1:$AZ$1001,ROW(),설정!$C$9)&amp;"",""))</f>
        <v/>
      </c>
      <c r="H427">
        <f>IF(설정!$C$10="","",IFERROR(INDEX('1.산군_붙여넣기'!$A$1:$AZ$1001,ROW(),설정!$C$10)&amp;"",""))</f>
        <v/>
      </c>
      <c r="I427">
        <f>IF(설정!$C$11="","",IFERROR(INDEX('1.산군_붙여넣기'!$A$1:$AZ$1001,ROW(),설정!$C$11)&amp;"",""))</f>
        <v/>
      </c>
      <c r="J427">
        <f>IF(설정!$C$12="","",IFERROR(INDEX('1.산군_붙여넣기'!$A$1:$AZ$1001,ROW(),설정!$C$12)&amp;"",""))</f>
        <v/>
      </c>
      <c r="K427">
        <f>IF(설정!$C$13="","",IFERROR(INDEX('1.산군_붙여넣기'!$A$1:$AZ$1001,ROW(),설정!$C$13)&amp;"",""))</f>
        <v/>
      </c>
      <c r="L427" s="7">
        <f>IF(X427="","",IF(AND(LEN(X427)=8,ISNUMBER(X427*1)),DATE(LEFT(X427,4),MID(X427,5,2),RIGHT(X427,2)),IFERROR(DATEVALUE(SUBSTITUTE(SUBSTITUTE(X427,".","-"),"/","-")),IFERROR(X427*1,""))))</f>
        <v/>
      </c>
      <c r="M427" s="7">
        <f>IF(Y427="","",IF(AND(LEN(Y427)=8,ISNUMBER(Y427*1)),DATE(LEFT(Y427,4),MID(Y427,5,2),RIGHT(Y427,2)),IFERROR(DATEVALUE(SUBSTITUTE(SUBSTITUTE(Y427,".","-"),"/","-")),IFERROR(Y427*1,""))))</f>
        <v/>
      </c>
      <c r="N427">
        <f>IFERROR(LEFT(B427,FIND(" ",B427)-1),B427)</f>
        <v/>
      </c>
      <c r="O427">
        <f>AND(B427&lt;&gt;"",B427&lt;&gt;설정!$B$4,C427&lt;&gt;설정!$B$5)</f>
        <v/>
      </c>
      <c r="P427">
        <f>IF(O427,B427&amp;"|"&amp;C427,"")</f>
        <v/>
      </c>
      <c r="Q427">
        <f>AND(O427,COUNTIF(P428:P$1002,P427)=0)</f>
        <v/>
      </c>
      <c r="R427">
        <f>OR(AND(설정!$A$42&lt;&gt;"",ISNUMBER(SEARCH(설정!$A$42,E427&amp;" "&amp;C427))),AND(설정!$A$43&lt;&gt;"",ISNUMBER(SEARCH(설정!$A$43,E427&amp;" "&amp;C427))),AND(설정!$A$44&lt;&gt;"",ISNUMBER(SEARCH(설정!$A$44,E427&amp;" "&amp;C427))),AND(설정!$A$45&lt;&gt;"",ISNUMBER(SEARCH(설정!$A$45,E427&amp;" "&amp;C427))),AND(설정!$A$46&lt;&gt;"",ISNUMBER(SEARCH(설정!$A$46,E427&amp;" "&amp;C427))),AND(설정!$A$47&lt;&gt;"",ISNUMBER(SEARCH(설정!$A$47,E427&amp;" "&amp;C427))),AND(설정!$A$48&lt;&gt;"",ISNUMBER(SEARCH(설정!$A$48,E427&amp;" "&amp;C427))),AND(설정!$A$49&lt;&gt;"",ISNUMBER(SEARCH(설정!$A$49,E427&amp;" "&amp;C427))),AND(설정!$A$50&lt;&gt;"",ISNUMBER(SEARCH(설정!$A$50,E427&amp;" "&amp;C427))),AND(설정!$A$51&lt;&gt;"",ISNUMBER(SEARCH(설정!$A$51,E427&amp;" "&amp;C427))))</f>
        <v/>
      </c>
      <c r="S427">
        <f>OR(D427="",D427&gt;=설정!$B$19)</f>
        <v/>
      </c>
      <c r="T427">
        <f>AND(Q427,R427,S427)</f>
        <v/>
      </c>
      <c r="U427">
        <f>IF(T427,IF(AND(설정!$A$54&lt;&gt;"",ISNUMBER(SEARCH(설정!$A$54,K427))),설정!$B$54,IF(AND(설정!$A$55&lt;&gt;"",ISNUMBER(SEARCH(설정!$A$55,K427))),설정!$B$55,IF(AND(설정!$A$56&lt;&gt;"",ISNUMBER(SEARCH(설정!$A$56,K427))),설정!$B$56,IF(AND(설정!$A$57&lt;&gt;"",ISNUMBER(SEARCH(설정!$A$57,K427))),설정!$B$57,IF(AND(설정!$A$58&lt;&gt;"",ISNUMBER(SEARCH(설정!$A$58,K427))),설정!$B$58,IF(AND(설정!$A$59&lt;&gt;"",ISNUMBER(SEARCH(설정!$A$59,K427))),설정!$B$59,IF(AND(설정!$A$60&lt;&gt;"",ISNUMBER(SEARCH(설정!$A$60,K427))),설정!$B$60,IF(AND(설정!$A$61&lt;&gt;"",ISNUMBER(SEARCH(설정!$A$61,K427))),설정!$B$61,IF(M427="","설계사","시공사"))))))))),"")</f>
        <v/>
      </c>
      <c r="V427">
        <f>SUBSTITUTE(SUBSTITUTE(SUBSTITUTE(SUBSTITUTE(G427,"(주)",""),"㈜",""),"주식회사","")," ","")</f>
        <v/>
      </c>
      <c r="W427">
        <f>IF(AND(T427,V427&lt;&gt;""),IF(COUNTIFS(V$2:V427,V427,T$2:T427,TRUE)=1,MAX(W$1:W426)+1,""),"")</f>
        <v/>
      </c>
      <c r="X427">
        <f>IF(설정!$C$14="","",IFERROR(INDEX('1.산군_붙여넣기'!$A$1:$AZ$1001,ROW(),설정!$C$14)&amp;"",""))</f>
        <v/>
      </c>
      <c r="Y427">
        <f>IF(설정!$C$15="","",IFERROR(INDEX('1.산군_붙여넣기'!$A$1:$AZ$1001,ROW(),설정!$C$15)&amp;"",""))</f>
        <v/>
      </c>
      <c r="Z427">
        <f>IF(T427,V427&amp;"|"&amp;U427,"")</f>
        <v/>
      </c>
      <c r="AA427">
        <f>IF(NOT(Q427),"",IF(NOT(AND(R427,S427)),"✕",IF(OR(OR(AND(L427&lt;&gt;"",M427&lt;&gt;"",N(M427)-N(L427)&gt;설정!$B$27),AND(L427&lt;&gt;"",M427="",설정!$B$24-N(L427)&gt;설정!$B$27)),AND(D427&lt;&gt;"",D427&lt;설정!$B$26)),"△","★")))</f>
        <v/>
      </c>
      <c r="AB427">
        <f>IF(NOT(T427),"",IF(U427="설계사",설정!$B$31,IF(U427="시공사",IF(OR(M427="",설정!$B$24-N(M427)&lt;=설정!$B$28*30.4),설정!$B$32,설정!$B$33),설정!$B$34))+IF(AA427="★",설정!$B$35,0))</f>
        <v/>
      </c>
      <c r="AC427">
        <f>SUBSTITUTE(SUBSTITUTE(SUBSTITUTE(SUBSTITUTE(H427,"(주)",""),"㈜",""),"주식회사","")," ","")</f>
        <v/>
      </c>
      <c r="AD427">
        <f>IF(AND(T427,AC427&lt;&gt;""),IF(COUNTIFS(AC$2:AC427,AC427,T$2:T427,TRUE)=1,MAX(AD$1:AD426)+1,""),"")</f>
        <v/>
      </c>
    </row>
    <row r="428">
      <c r="A428">
        <f>ROW()</f>
        <v/>
      </c>
      <c r="B428">
        <f>IF(설정!$C$4="","",IFERROR(INDEX('1.산군_붙여넣기'!$A$1:$AZ$1001,ROW(),설정!$C$4)&amp;"",""))</f>
        <v/>
      </c>
      <c r="C428">
        <f>IF(설정!$C$5="","",IFERROR(INDEX('1.산군_붙여넣기'!$A$1:$AZ$1001,ROW(),설정!$C$5)&amp;"",""))</f>
        <v/>
      </c>
      <c r="D428" s="5">
        <f>IFERROR(VALUE(SUBSTITUTE(SUBSTITUTE(SUBSTITUTE(IF(설정!$C$6="","",IFERROR(INDEX('1.산군_붙여넣기'!$A$1:$AZ$1001,ROW(),설정!$C$6)&amp;"","")),",",""),"㎡",""),"m2","")),"")</f>
        <v/>
      </c>
      <c r="E428">
        <f>IF(설정!$C$7="","",IFERROR(INDEX('1.산군_붙여넣기'!$A$1:$AZ$1001,ROW(),설정!$C$7)&amp;"",""))</f>
        <v/>
      </c>
      <c r="F428">
        <f>IF(설정!$C$8="","",IFERROR(INDEX('1.산군_붙여넣기'!$A$1:$AZ$1001,ROW(),설정!$C$8)&amp;"",""))</f>
        <v/>
      </c>
      <c r="G428">
        <f>IF(설정!$C$9="","",IFERROR(INDEX('1.산군_붙여넣기'!$A$1:$AZ$1001,ROW(),설정!$C$9)&amp;"",""))</f>
        <v/>
      </c>
      <c r="H428">
        <f>IF(설정!$C$10="","",IFERROR(INDEX('1.산군_붙여넣기'!$A$1:$AZ$1001,ROW(),설정!$C$10)&amp;"",""))</f>
        <v/>
      </c>
      <c r="I428">
        <f>IF(설정!$C$11="","",IFERROR(INDEX('1.산군_붙여넣기'!$A$1:$AZ$1001,ROW(),설정!$C$11)&amp;"",""))</f>
        <v/>
      </c>
      <c r="J428">
        <f>IF(설정!$C$12="","",IFERROR(INDEX('1.산군_붙여넣기'!$A$1:$AZ$1001,ROW(),설정!$C$12)&amp;"",""))</f>
        <v/>
      </c>
      <c r="K428">
        <f>IF(설정!$C$13="","",IFERROR(INDEX('1.산군_붙여넣기'!$A$1:$AZ$1001,ROW(),설정!$C$13)&amp;"",""))</f>
        <v/>
      </c>
      <c r="L428" s="7">
        <f>IF(X428="","",IF(AND(LEN(X428)=8,ISNUMBER(X428*1)),DATE(LEFT(X428,4),MID(X428,5,2),RIGHT(X428,2)),IFERROR(DATEVALUE(SUBSTITUTE(SUBSTITUTE(X428,".","-"),"/","-")),IFERROR(X428*1,""))))</f>
        <v/>
      </c>
      <c r="M428" s="7">
        <f>IF(Y428="","",IF(AND(LEN(Y428)=8,ISNUMBER(Y428*1)),DATE(LEFT(Y428,4),MID(Y428,5,2),RIGHT(Y428,2)),IFERROR(DATEVALUE(SUBSTITUTE(SUBSTITUTE(Y428,".","-"),"/","-")),IFERROR(Y428*1,""))))</f>
        <v/>
      </c>
      <c r="N428">
        <f>IFERROR(LEFT(B428,FIND(" ",B428)-1),B428)</f>
        <v/>
      </c>
      <c r="O428">
        <f>AND(B428&lt;&gt;"",B428&lt;&gt;설정!$B$4,C428&lt;&gt;설정!$B$5)</f>
        <v/>
      </c>
      <c r="P428">
        <f>IF(O428,B428&amp;"|"&amp;C428,"")</f>
        <v/>
      </c>
      <c r="Q428">
        <f>AND(O428,COUNTIF(P429:P$1002,P428)=0)</f>
        <v/>
      </c>
      <c r="R428">
        <f>OR(AND(설정!$A$42&lt;&gt;"",ISNUMBER(SEARCH(설정!$A$42,E428&amp;" "&amp;C428))),AND(설정!$A$43&lt;&gt;"",ISNUMBER(SEARCH(설정!$A$43,E428&amp;" "&amp;C428))),AND(설정!$A$44&lt;&gt;"",ISNUMBER(SEARCH(설정!$A$44,E428&amp;" "&amp;C428))),AND(설정!$A$45&lt;&gt;"",ISNUMBER(SEARCH(설정!$A$45,E428&amp;" "&amp;C428))),AND(설정!$A$46&lt;&gt;"",ISNUMBER(SEARCH(설정!$A$46,E428&amp;" "&amp;C428))),AND(설정!$A$47&lt;&gt;"",ISNUMBER(SEARCH(설정!$A$47,E428&amp;" "&amp;C428))),AND(설정!$A$48&lt;&gt;"",ISNUMBER(SEARCH(설정!$A$48,E428&amp;" "&amp;C428))),AND(설정!$A$49&lt;&gt;"",ISNUMBER(SEARCH(설정!$A$49,E428&amp;" "&amp;C428))),AND(설정!$A$50&lt;&gt;"",ISNUMBER(SEARCH(설정!$A$50,E428&amp;" "&amp;C428))),AND(설정!$A$51&lt;&gt;"",ISNUMBER(SEARCH(설정!$A$51,E428&amp;" "&amp;C428))))</f>
        <v/>
      </c>
      <c r="S428">
        <f>OR(D428="",D428&gt;=설정!$B$19)</f>
        <v/>
      </c>
      <c r="T428">
        <f>AND(Q428,R428,S428)</f>
        <v/>
      </c>
      <c r="U428">
        <f>IF(T428,IF(AND(설정!$A$54&lt;&gt;"",ISNUMBER(SEARCH(설정!$A$54,K428))),설정!$B$54,IF(AND(설정!$A$55&lt;&gt;"",ISNUMBER(SEARCH(설정!$A$55,K428))),설정!$B$55,IF(AND(설정!$A$56&lt;&gt;"",ISNUMBER(SEARCH(설정!$A$56,K428))),설정!$B$56,IF(AND(설정!$A$57&lt;&gt;"",ISNUMBER(SEARCH(설정!$A$57,K428))),설정!$B$57,IF(AND(설정!$A$58&lt;&gt;"",ISNUMBER(SEARCH(설정!$A$58,K428))),설정!$B$58,IF(AND(설정!$A$59&lt;&gt;"",ISNUMBER(SEARCH(설정!$A$59,K428))),설정!$B$59,IF(AND(설정!$A$60&lt;&gt;"",ISNUMBER(SEARCH(설정!$A$60,K428))),설정!$B$60,IF(AND(설정!$A$61&lt;&gt;"",ISNUMBER(SEARCH(설정!$A$61,K428))),설정!$B$61,IF(M428="","설계사","시공사"))))))))),"")</f>
        <v/>
      </c>
      <c r="V428">
        <f>SUBSTITUTE(SUBSTITUTE(SUBSTITUTE(SUBSTITUTE(G428,"(주)",""),"㈜",""),"주식회사","")," ","")</f>
        <v/>
      </c>
      <c r="W428">
        <f>IF(AND(T428,V428&lt;&gt;""),IF(COUNTIFS(V$2:V428,V428,T$2:T428,TRUE)=1,MAX(W$1:W427)+1,""),"")</f>
        <v/>
      </c>
      <c r="X428">
        <f>IF(설정!$C$14="","",IFERROR(INDEX('1.산군_붙여넣기'!$A$1:$AZ$1001,ROW(),설정!$C$14)&amp;"",""))</f>
        <v/>
      </c>
      <c r="Y428">
        <f>IF(설정!$C$15="","",IFERROR(INDEX('1.산군_붙여넣기'!$A$1:$AZ$1001,ROW(),설정!$C$15)&amp;"",""))</f>
        <v/>
      </c>
      <c r="Z428">
        <f>IF(T428,V428&amp;"|"&amp;U428,"")</f>
        <v/>
      </c>
      <c r="AA428">
        <f>IF(NOT(Q428),"",IF(NOT(AND(R428,S428)),"✕",IF(OR(OR(AND(L428&lt;&gt;"",M428&lt;&gt;"",N(M428)-N(L428)&gt;설정!$B$27),AND(L428&lt;&gt;"",M428="",설정!$B$24-N(L428)&gt;설정!$B$27)),AND(D428&lt;&gt;"",D428&lt;설정!$B$26)),"△","★")))</f>
        <v/>
      </c>
      <c r="AB428">
        <f>IF(NOT(T428),"",IF(U428="설계사",설정!$B$31,IF(U428="시공사",IF(OR(M428="",설정!$B$24-N(M428)&lt;=설정!$B$28*30.4),설정!$B$32,설정!$B$33),설정!$B$34))+IF(AA428="★",설정!$B$35,0))</f>
        <v/>
      </c>
      <c r="AC428">
        <f>SUBSTITUTE(SUBSTITUTE(SUBSTITUTE(SUBSTITUTE(H428,"(주)",""),"㈜",""),"주식회사","")," ","")</f>
        <v/>
      </c>
      <c r="AD428">
        <f>IF(AND(T428,AC428&lt;&gt;""),IF(COUNTIFS(AC$2:AC428,AC428,T$2:T428,TRUE)=1,MAX(AD$1:AD427)+1,""),"")</f>
        <v/>
      </c>
    </row>
    <row r="429">
      <c r="A429">
        <f>ROW()</f>
        <v/>
      </c>
      <c r="B429">
        <f>IF(설정!$C$4="","",IFERROR(INDEX('1.산군_붙여넣기'!$A$1:$AZ$1001,ROW(),설정!$C$4)&amp;"",""))</f>
        <v/>
      </c>
      <c r="C429">
        <f>IF(설정!$C$5="","",IFERROR(INDEX('1.산군_붙여넣기'!$A$1:$AZ$1001,ROW(),설정!$C$5)&amp;"",""))</f>
        <v/>
      </c>
      <c r="D429" s="5">
        <f>IFERROR(VALUE(SUBSTITUTE(SUBSTITUTE(SUBSTITUTE(IF(설정!$C$6="","",IFERROR(INDEX('1.산군_붙여넣기'!$A$1:$AZ$1001,ROW(),설정!$C$6)&amp;"","")),",",""),"㎡",""),"m2","")),"")</f>
        <v/>
      </c>
      <c r="E429">
        <f>IF(설정!$C$7="","",IFERROR(INDEX('1.산군_붙여넣기'!$A$1:$AZ$1001,ROW(),설정!$C$7)&amp;"",""))</f>
        <v/>
      </c>
      <c r="F429">
        <f>IF(설정!$C$8="","",IFERROR(INDEX('1.산군_붙여넣기'!$A$1:$AZ$1001,ROW(),설정!$C$8)&amp;"",""))</f>
        <v/>
      </c>
      <c r="G429">
        <f>IF(설정!$C$9="","",IFERROR(INDEX('1.산군_붙여넣기'!$A$1:$AZ$1001,ROW(),설정!$C$9)&amp;"",""))</f>
        <v/>
      </c>
      <c r="H429">
        <f>IF(설정!$C$10="","",IFERROR(INDEX('1.산군_붙여넣기'!$A$1:$AZ$1001,ROW(),설정!$C$10)&amp;"",""))</f>
        <v/>
      </c>
      <c r="I429">
        <f>IF(설정!$C$11="","",IFERROR(INDEX('1.산군_붙여넣기'!$A$1:$AZ$1001,ROW(),설정!$C$11)&amp;"",""))</f>
        <v/>
      </c>
      <c r="J429">
        <f>IF(설정!$C$12="","",IFERROR(INDEX('1.산군_붙여넣기'!$A$1:$AZ$1001,ROW(),설정!$C$12)&amp;"",""))</f>
        <v/>
      </c>
      <c r="K429">
        <f>IF(설정!$C$13="","",IFERROR(INDEX('1.산군_붙여넣기'!$A$1:$AZ$1001,ROW(),설정!$C$13)&amp;"",""))</f>
        <v/>
      </c>
      <c r="L429" s="7">
        <f>IF(X429="","",IF(AND(LEN(X429)=8,ISNUMBER(X429*1)),DATE(LEFT(X429,4),MID(X429,5,2),RIGHT(X429,2)),IFERROR(DATEVALUE(SUBSTITUTE(SUBSTITUTE(X429,".","-"),"/","-")),IFERROR(X429*1,""))))</f>
        <v/>
      </c>
      <c r="M429" s="7">
        <f>IF(Y429="","",IF(AND(LEN(Y429)=8,ISNUMBER(Y429*1)),DATE(LEFT(Y429,4),MID(Y429,5,2),RIGHT(Y429,2)),IFERROR(DATEVALUE(SUBSTITUTE(SUBSTITUTE(Y429,".","-"),"/","-")),IFERROR(Y429*1,""))))</f>
        <v/>
      </c>
      <c r="N429">
        <f>IFERROR(LEFT(B429,FIND(" ",B429)-1),B429)</f>
        <v/>
      </c>
      <c r="O429">
        <f>AND(B429&lt;&gt;"",B429&lt;&gt;설정!$B$4,C429&lt;&gt;설정!$B$5)</f>
        <v/>
      </c>
      <c r="P429">
        <f>IF(O429,B429&amp;"|"&amp;C429,"")</f>
        <v/>
      </c>
      <c r="Q429">
        <f>AND(O429,COUNTIF(P430:P$1002,P429)=0)</f>
        <v/>
      </c>
      <c r="R429">
        <f>OR(AND(설정!$A$42&lt;&gt;"",ISNUMBER(SEARCH(설정!$A$42,E429&amp;" "&amp;C429))),AND(설정!$A$43&lt;&gt;"",ISNUMBER(SEARCH(설정!$A$43,E429&amp;" "&amp;C429))),AND(설정!$A$44&lt;&gt;"",ISNUMBER(SEARCH(설정!$A$44,E429&amp;" "&amp;C429))),AND(설정!$A$45&lt;&gt;"",ISNUMBER(SEARCH(설정!$A$45,E429&amp;" "&amp;C429))),AND(설정!$A$46&lt;&gt;"",ISNUMBER(SEARCH(설정!$A$46,E429&amp;" "&amp;C429))),AND(설정!$A$47&lt;&gt;"",ISNUMBER(SEARCH(설정!$A$47,E429&amp;" "&amp;C429))),AND(설정!$A$48&lt;&gt;"",ISNUMBER(SEARCH(설정!$A$48,E429&amp;" "&amp;C429))),AND(설정!$A$49&lt;&gt;"",ISNUMBER(SEARCH(설정!$A$49,E429&amp;" "&amp;C429))),AND(설정!$A$50&lt;&gt;"",ISNUMBER(SEARCH(설정!$A$50,E429&amp;" "&amp;C429))),AND(설정!$A$51&lt;&gt;"",ISNUMBER(SEARCH(설정!$A$51,E429&amp;" "&amp;C429))))</f>
        <v/>
      </c>
      <c r="S429">
        <f>OR(D429="",D429&gt;=설정!$B$19)</f>
        <v/>
      </c>
      <c r="T429">
        <f>AND(Q429,R429,S429)</f>
        <v/>
      </c>
      <c r="U429">
        <f>IF(T429,IF(AND(설정!$A$54&lt;&gt;"",ISNUMBER(SEARCH(설정!$A$54,K429))),설정!$B$54,IF(AND(설정!$A$55&lt;&gt;"",ISNUMBER(SEARCH(설정!$A$55,K429))),설정!$B$55,IF(AND(설정!$A$56&lt;&gt;"",ISNUMBER(SEARCH(설정!$A$56,K429))),설정!$B$56,IF(AND(설정!$A$57&lt;&gt;"",ISNUMBER(SEARCH(설정!$A$57,K429))),설정!$B$57,IF(AND(설정!$A$58&lt;&gt;"",ISNUMBER(SEARCH(설정!$A$58,K429))),설정!$B$58,IF(AND(설정!$A$59&lt;&gt;"",ISNUMBER(SEARCH(설정!$A$59,K429))),설정!$B$59,IF(AND(설정!$A$60&lt;&gt;"",ISNUMBER(SEARCH(설정!$A$60,K429))),설정!$B$60,IF(AND(설정!$A$61&lt;&gt;"",ISNUMBER(SEARCH(설정!$A$61,K429))),설정!$B$61,IF(M429="","설계사","시공사"))))))))),"")</f>
        <v/>
      </c>
      <c r="V429">
        <f>SUBSTITUTE(SUBSTITUTE(SUBSTITUTE(SUBSTITUTE(G429,"(주)",""),"㈜",""),"주식회사","")," ","")</f>
        <v/>
      </c>
      <c r="W429">
        <f>IF(AND(T429,V429&lt;&gt;""),IF(COUNTIFS(V$2:V429,V429,T$2:T429,TRUE)=1,MAX(W$1:W428)+1,""),"")</f>
        <v/>
      </c>
      <c r="X429">
        <f>IF(설정!$C$14="","",IFERROR(INDEX('1.산군_붙여넣기'!$A$1:$AZ$1001,ROW(),설정!$C$14)&amp;"",""))</f>
        <v/>
      </c>
      <c r="Y429">
        <f>IF(설정!$C$15="","",IFERROR(INDEX('1.산군_붙여넣기'!$A$1:$AZ$1001,ROW(),설정!$C$15)&amp;"",""))</f>
        <v/>
      </c>
      <c r="Z429">
        <f>IF(T429,V429&amp;"|"&amp;U429,"")</f>
        <v/>
      </c>
      <c r="AA429">
        <f>IF(NOT(Q429),"",IF(NOT(AND(R429,S429)),"✕",IF(OR(OR(AND(L429&lt;&gt;"",M429&lt;&gt;"",N(M429)-N(L429)&gt;설정!$B$27),AND(L429&lt;&gt;"",M429="",설정!$B$24-N(L429)&gt;설정!$B$27)),AND(D429&lt;&gt;"",D429&lt;설정!$B$26)),"△","★")))</f>
        <v/>
      </c>
      <c r="AB429">
        <f>IF(NOT(T429),"",IF(U429="설계사",설정!$B$31,IF(U429="시공사",IF(OR(M429="",설정!$B$24-N(M429)&lt;=설정!$B$28*30.4),설정!$B$32,설정!$B$33),설정!$B$34))+IF(AA429="★",설정!$B$35,0))</f>
        <v/>
      </c>
      <c r="AC429">
        <f>SUBSTITUTE(SUBSTITUTE(SUBSTITUTE(SUBSTITUTE(H429,"(주)",""),"㈜",""),"주식회사","")," ","")</f>
        <v/>
      </c>
      <c r="AD429">
        <f>IF(AND(T429,AC429&lt;&gt;""),IF(COUNTIFS(AC$2:AC429,AC429,T$2:T429,TRUE)=1,MAX(AD$1:AD428)+1,""),"")</f>
        <v/>
      </c>
    </row>
    <row r="430">
      <c r="A430">
        <f>ROW()</f>
        <v/>
      </c>
      <c r="B430">
        <f>IF(설정!$C$4="","",IFERROR(INDEX('1.산군_붙여넣기'!$A$1:$AZ$1001,ROW(),설정!$C$4)&amp;"",""))</f>
        <v/>
      </c>
      <c r="C430">
        <f>IF(설정!$C$5="","",IFERROR(INDEX('1.산군_붙여넣기'!$A$1:$AZ$1001,ROW(),설정!$C$5)&amp;"",""))</f>
        <v/>
      </c>
      <c r="D430" s="5">
        <f>IFERROR(VALUE(SUBSTITUTE(SUBSTITUTE(SUBSTITUTE(IF(설정!$C$6="","",IFERROR(INDEX('1.산군_붙여넣기'!$A$1:$AZ$1001,ROW(),설정!$C$6)&amp;"","")),",",""),"㎡",""),"m2","")),"")</f>
        <v/>
      </c>
      <c r="E430">
        <f>IF(설정!$C$7="","",IFERROR(INDEX('1.산군_붙여넣기'!$A$1:$AZ$1001,ROW(),설정!$C$7)&amp;"",""))</f>
        <v/>
      </c>
      <c r="F430">
        <f>IF(설정!$C$8="","",IFERROR(INDEX('1.산군_붙여넣기'!$A$1:$AZ$1001,ROW(),설정!$C$8)&amp;"",""))</f>
        <v/>
      </c>
      <c r="G430">
        <f>IF(설정!$C$9="","",IFERROR(INDEX('1.산군_붙여넣기'!$A$1:$AZ$1001,ROW(),설정!$C$9)&amp;"",""))</f>
        <v/>
      </c>
      <c r="H430">
        <f>IF(설정!$C$10="","",IFERROR(INDEX('1.산군_붙여넣기'!$A$1:$AZ$1001,ROW(),설정!$C$10)&amp;"",""))</f>
        <v/>
      </c>
      <c r="I430">
        <f>IF(설정!$C$11="","",IFERROR(INDEX('1.산군_붙여넣기'!$A$1:$AZ$1001,ROW(),설정!$C$11)&amp;"",""))</f>
        <v/>
      </c>
      <c r="J430">
        <f>IF(설정!$C$12="","",IFERROR(INDEX('1.산군_붙여넣기'!$A$1:$AZ$1001,ROW(),설정!$C$12)&amp;"",""))</f>
        <v/>
      </c>
      <c r="K430">
        <f>IF(설정!$C$13="","",IFERROR(INDEX('1.산군_붙여넣기'!$A$1:$AZ$1001,ROW(),설정!$C$13)&amp;"",""))</f>
        <v/>
      </c>
      <c r="L430" s="7">
        <f>IF(X430="","",IF(AND(LEN(X430)=8,ISNUMBER(X430*1)),DATE(LEFT(X430,4),MID(X430,5,2),RIGHT(X430,2)),IFERROR(DATEVALUE(SUBSTITUTE(SUBSTITUTE(X430,".","-"),"/","-")),IFERROR(X430*1,""))))</f>
        <v/>
      </c>
      <c r="M430" s="7">
        <f>IF(Y430="","",IF(AND(LEN(Y430)=8,ISNUMBER(Y430*1)),DATE(LEFT(Y430,4),MID(Y430,5,2),RIGHT(Y430,2)),IFERROR(DATEVALUE(SUBSTITUTE(SUBSTITUTE(Y430,".","-"),"/","-")),IFERROR(Y430*1,""))))</f>
        <v/>
      </c>
      <c r="N430">
        <f>IFERROR(LEFT(B430,FIND(" ",B430)-1),B430)</f>
        <v/>
      </c>
      <c r="O430">
        <f>AND(B430&lt;&gt;"",B430&lt;&gt;설정!$B$4,C430&lt;&gt;설정!$B$5)</f>
        <v/>
      </c>
      <c r="P430">
        <f>IF(O430,B430&amp;"|"&amp;C430,"")</f>
        <v/>
      </c>
      <c r="Q430">
        <f>AND(O430,COUNTIF(P431:P$1002,P430)=0)</f>
        <v/>
      </c>
      <c r="R430">
        <f>OR(AND(설정!$A$42&lt;&gt;"",ISNUMBER(SEARCH(설정!$A$42,E430&amp;" "&amp;C430))),AND(설정!$A$43&lt;&gt;"",ISNUMBER(SEARCH(설정!$A$43,E430&amp;" "&amp;C430))),AND(설정!$A$44&lt;&gt;"",ISNUMBER(SEARCH(설정!$A$44,E430&amp;" "&amp;C430))),AND(설정!$A$45&lt;&gt;"",ISNUMBER(SEARCH(설정!$A$45,E430&amp;" "&amp;C430))),AND(설정!$A$46&lt;&gt;"",ISNUMBER(SEARCH(설정!$A$46,E430&amp;" "&amp;C430))),AND(설정!$A$47&lt;&gt;"",ISNUMBER(SEARCH(설정!$A$47,E430&amp;" "&amp;C430))),AND(설정!$A$48&lt;&gt;"",ISNUMBER(SEARCH(설정!$A$48,E430&amp;" "&amp;C430))),AND(설정!$A$49&lt;&gt;"",ISNUMBER(SEARCH(설정!$A$49,E430&amp;" "&amp;C430))),AND(설정!$A$50&lt;&gt;"",ISNUMBER(SEARCH(설정!$A$50,E430&amp;" "&amp;C430))),AND(설정!$A$51&lt;&gt;"",ISNUMBER(SEARCH(설정!$A$51,E430&amp;" "&amp;C430))))</f>
        <v/>
      </c>
      <c r="S430">
        <f>OR(D430="",D430&gt;=설정!$B$19)</f>
        <v/>
      </c>
      <c r="T430">
        <f>AND(Q430,R430,S430)</f>
        <v/>
      </c>
      <c r="U430">
        <f>IF(T430,IF(AND(설정!$A$54&lt;&gt;"",ISNUMBER(SEARCH(설정!$A$54,K430))),설정!$B$54,IF(AND(설정!$A$55&lt;&gt;"",ISNUMBER(SEARCH(설정!$A$55,K430))),설정!$B$55,IF(AND(설정!$A$56&lt;&gt;"",ISNUMBER(SEARCH(설정!$A$56,K430))),설정!$B$56,IF(AND(설정!$A$57&lt;&gt;"",ISNUMBER(SEARCH(설정!$A$57,K430))),설정!$B$57,IF(AND(설정!$A$58&lt;&gt;"",ISNUMBER(SEARCH(설정!$A$58,K430))),설정!$B$58,IF(AND(설정!$A$59&lt;&gt;"",ISNUMBER(SEARCH(설정!$A$59,K430))),설정!$B$59,IF(AND(설정!$A$60&lt;&gt;"",ISNUMBER(SEARCH(설정!$A$60,K430))),설정!$B$60,IF(AND(설정!$A$61&lt;&gt;"",ISNUMBER(SEARCH(설정!$A$61,K430))),설정!$B$61,IF(M430="","설계사","시공사"))))))))),"")</f>
        <v/>
      </c>
      <c r="V430">
        <f>SUBSTITUTE(SUBSTITUTE(SUBSTITUTE(SUBSTITUTE(G430,"(주)",""),"㈜",""),"주식회사","")," ","")</f>
        <v/>
      </c>
      <c r="W430">
        <f>IF(AND(T430,V430&lt;&gt;""),IF(COUNTIFS(V$2:V430,V430,T$2:T430,TRUE)=1,MAX(W$1:W429)+1,""),"")</f>
        <v/>
      </c>
      <c r="X430">
        <f>IF(설정!$C$14="","",IFERROR(INDEX('1.산군_붙여넣기'!$A$1:$AZ$1001,ROW(),설정!$C$14)&amp;"",""))</f>
        <v/>
      </c>
      <c r="Y430">
        <f>IF(설정!$C$15="","",IFERROR(INDEX('1.산군_붙여넣기'!$A$1:$AZ$1001,ROW(),설정!$C$15)&amp;"",""))</f>
        <v/>
      </c>
      <c r="Z430">
        <f>IF(T430,V430&amp;"|"&amp;U430,"")</f>
        <v/>
      </c>
      <c r="AA430">
        <f>IF(NOT(Q430),"",IF(NOT(AND(R430,S430)),"✕",IF(OR(OR(AND(L430&lt;&gt;"",M430&lt;&gt;"",N(M430)-N(L430)&gt;설정!$B$27),AND(L430&lt;&gt;"",M430="",설정!$B$24-N(L430)&gt;설정!$B$27)),AND(D430&lt;&gt;"",D430&lt;설정!$B$26)),"△","★")))</f>
        <v/>
      </c>
      <c r="AB430">
        <f>IF(NOT(T430),"",IF(U430="설계사",설정!$B$31,IF(U430="시공사",IF(OR(M430="",설정!$B$24-N(M430)&lt;=설정!$B$28*30.4),설정!$B$32,설정!$B$33),설정!$B$34))+IF(AA430="★",설정!$B$35,0))</f>
        <v/>
      </c>
      <c r="AC430">
        <f>SUBSTITUTE(SUBSTITUTE(SUBSTITUTE(SUBSTITUTE(H430,"(주)",""),"㈜",""),"주식회사","")," ","")</f>
        <v/>
      </c>
      <c r="AD430">
        <f>IF(AND(T430,AC430&lt;&gt;""),IF(COUNTIFS(AC$2:AC430,AC430,T$2:T430,TRUE)=1,MAX(AD$1:AD429)+1,""),"")</f>
        <v/>
      </c>
    </row>
    <row r="431">
      <c r="A431">
        <f>ROW()</f>
        <v/>
      </c>
      <c r="B431">
        <f>IF(설정!$C$4="","",IFERROR(INDEX('1.산군_붙여넣기'!$A$1:$AZ$1001,ROW(),설정!$C$4)&amp;"",""))</f>
        <v/>
      </c>
      <c r="C431">
        <f>IF(설정!$C$5="","",IFERROR(INDEX('1.산군_붙여넣기'!$A$1:$AZ$1001,ROW(),설정!$C$5)&amp;"",""))</f>
        <v/>
      </c>
      <c r="D431" s="5">
        <f>IFERROR(VALUE(SUBSTITUTE(SUBSTITUTE(SUBSTITUTE(IF(설정!$C$6="","",IFERROR(INDEX('1.산군_붙여넣기'!$A$1:$AZ$1001,ROW(),설정!$C$6)&amp;"","")),",",""),"㎡",""),"m2","")),"")</f>
        <v/>
      </c>
      <c r="E431">
        <f>IF(설정!$C$7="","",IFERROR(INDEX('1.산군_붙여넣기'!$A$1:$AZ$1001,ROW(),설정!$C$7)&amp;"",""))</f>
        <v/>
      </c>
      <c r="F431">
        <f>IF(설정!$C$8="","",IFERROR(INDEX('1.산군_붙여넣기'!$A$1:$AZ$1001,ROW(),설정!$C$8)&amp;"",""))</f>
        <v/>
      </c>
      <c r="G431">
        <f>IF(설정!$C$9="","",IFERROR(INDEX('1.산군_붙여넣기'!$A$1:$AZ$1001,ROW(),설정!$C$9)&amp;"",""))</f>
        <v/>
      </c>
      <c r="H431">
        <f>IF(설정!$C$10="","",IFERROR(INDEX('1.산군_붙여넣기'!$A$1:$AZ$1001,ROW(),설정!$C$10)&amp;"",""))</f>
        <v/>
      </c>
      <c r="I431">
        <f>IF(설정!$C$11="","",IFERROR(INDEX('1.산군_붙여넣기'!$A$1:$AZ$1001,ROW(),설정!$C$11)&amp;"",""))</f>
        <v/>
      </c>
      <c r="J431">
        <f>IF(설정!$C$12="","",IFERROR(INDEX('1.산군_붙여넣기'!$A$1:$AZ$1001,ROW(),설정!$C$12)&amp;"",""))</f>
        <v/>
      </c>
      <c r="K431">
        <f>IF(설정!$C$13="","",IFERROR(INDEX('1.산군_붙여넣기'!$A$1:$AZ$1001,ROW(),설정!$C$13)&amp;"",""))</f>
        <v/>
      </c>
      <c r="L431" s="7">
        <f>IF(X431="","",IF(AND(LEN(X431)=8,ISNUMBER(X431*1)),DATE(LEFT(X431,4),MID(X431,5,2),RIGHT(X431,2)),IFERROR(DATEVALUE(SUBSTITUTE(SUBSTITUTE(X431,".","-"),"/","-")),IFERROR(X431*1,""))))</f>
        <v/>
      </c>
      <c r="M431" s="7">
        <f>IF(Y431="","",IF(AND(LEN(Y431)=8,ISNUMBER(Y431*1)),DATE(LEFT(Y431,4),MID(Y431,5,2),RIGHT(Y431,2)),IFERROR(DATEVALUE(SUBSTITUTE(SUBSTITUTE(Y431,".","-"),"/","-")),IFERROR(Y431*1,""))))</f>
        <v/>
      </c>
      <c r="N431">
        <f>IFERROR(LEFT(B431,FIND(" ",B431)-1),B431)</f>
        <v/>
      </c>
      <c r="O431">
        <f>AND(B431&lt;&gt;"",B431&lt;&gt;설정!$B$4,C431&lt;&gt;설정!$B$5)</f>
        <v/>
      </c>
      <c r="P431">
        <f>IF(O431,B431&amp;"|"&amp;C431,"")</f>
        <v/>
      </c>
      <c r="Q431">
        <f>AND(O431,COUNTIF(P432:P$1002,P431)=0)</f>
        <v/>
      </c>
      <c r="R431">
        <f>OR(AND(설정!$A$42&lt;&gt;"",ISNUMBER(SEARCH(설정!$A$42,E431&amp;" "&amp;C431))),AND(설정!$A$43&lt;&gt;"",ISNUMBER(SEARCH(설정!$A$43,E431&amp;" "&amp;C431))),AND(설정!$A$44&lt;&gt;"",ISNUMBER(SEARCH(설정!$A$44,E431&amp;" "&amp;C431))),AND(설정!$A$45&lt;&gt;"",ISNUMBER(SEARCH(설정!$A$45,E431&amp;" "&amp;C431))),AND(설정!$A$46&lt;&gt;"",ISNUMBER(SEARCH(설정!$A$46,E431&amp;" "&amp;C431))),AND(설정!$A$47&lt;&gt;"",ISNUMBER(SEARCH(설정!$A$47,E431&amp;" "&amp;C431))),AND(설정!$A$48&lt;&gt;"",ISNUMBER(SEARCH(설정!$A$48,E431&amp;" "&amp;C431))),AND(설정!$A$49&lt;&gt;"",ISNUMBER(SEARCH(설정!$A$49,E431&amp;" "&amp;C431))),AND(설정!$A$50&lt;&gt;"",ISNUMBER(SEARCH(설정!$A$50,E431&amp;" "&amp;C431))),AND(설정!$A$51&lt;&gt;"",ISNUMBER(SEARCH(설정!$A$51,E431&amp;" "&amp;C431))))</f>
        <v/>
      </c>
      <c r="S431">
        <f>OR(D431="",D431&gt;=설정!$B$19)</f>
        <v/>
      </c>
      <c r="T431">
        <f>AND(Q431,R431,S431)</f>
        <v/>
      </c>
      <c r="U431">
        <f>IF(T431,IF(AND(설정!$A$54&lt;&gt;"",ISNUMBER(SEARCH(설정!$A$54,K431))),설정!$B$54,IF(AND(설정!$A$55&lt;&gt;"",ISNUMBER(SEARCH(설정!$A$55,K431))),설정!$B$55,IF(AND(설정!$A$56&lt;&gt;"",ISNUMBER(SEARCH(설정!$A$56,K431))),설정!$B$56,IF(AND(설정!$A$57&lt;&gt;"",ISNUMBER(SEARCH(설정!$A$57,K431))),설정!$B$57,IF(AND(설정!$A$58&lt;&gt;"",ISNUMBER(SEARCH(설정!$A$58,K431))),설정!$B$58,IF(AND(설정!$A$59&lt;&gt;"",ISNUMBER(SEARCH(설정!$A$59,K431))),설정!$B$59,IF(AND(설정!$A$60&lt;&gt;"",ISNUMBER(SEARCH(설정!$A$60,K431))),설정!$B$60,IF(AND(설정!$A$61&lt;&gt;"",ISNUMBER(SEARCH(설정!$A$61,K431))),설정!$B$61,IF(M431="","설계사","시공사"))))))))),"")</f>
        <v/>
      </c>
      <c r="V431">
        <f>SUBSTITUTE(SUBSTITUTE(SUBSTITUTE(SUBSTITUTE(G431,"(주)",""),"㈜",""),"주식회사","")," ","")</f>
        <v/>
      </c>
      <c r="W431">
        <f>IF(AND(T431,V431&lt;&gt;""),IF(COUNTIFS(V$2:V431,V431,T$2:T431,TRUE)=1,MAX(W$1:W430)+1,""),"")</f>
        <v/>
      </c>
      <c r="X431">
        <f>IF(설정!$C$14="","",IFERROR(INDEX('1.산군_붙여넣기'!$A$1:$AZ$1001,ROW(),설정!$C$14)&amp;"",""))</f>
        <v/>
      </c>
      <c r="Y431">
        <f>IF(설정!$C$15="","",IFERROR(INDEX('1.산군_붙여넣기'!$A$1:$AZ$1001,ROW(),설정!$C$15)&amp;"",""))</f>
        <v/>
      </c>
      <c r="Z431">
        <f>IF(T431,V431&amp;"|"&amp;U431,"")</f>
        <v/>
      </c>
      <c r="AA431">
        <f>IF(NOT(Q431),"",IF(NOT(AND(R431,S431)),"✕",IF(OR(OR(AND(L431&lt;&gt;"",M431&lt;&gt;"",N(M431)-N(L431)&gt;설정!$B$27),AND(L431&lt;&gt;"",M431="",설정!$B$24-N(L431)&gt;설정!$B$27)),AND(D431&lt;&gt;"",D431&lt;설정!$B$26)),"△","★")))</f>
        <v/>
      </c>
      <c r="AB431">
        <f>IF(NOT(T431),"",IF(U431="설계사",설정!$B$31,IF(U431="시공사",IF(OR(M431="",설정!$B$24-N(M431)&lt;=설정!$B$28*30.4),설정!$B$32,설정!$B$33),설정!$B$34))+IF(AA431="★",설정!$B$35,0))</f>
        <v/>
      </c>
      <c r="AC431">
        <f>SUBSTITUTE(SUBSTITUTE(SUBSTITUTE(SUBSTITUTE(H431,"(주)",""),"㈜",""),"주식회사","")," ","")</f>
        <v/>
      </c>
      <c r="AD431">
        <f>IF(AND(T431,AC431&lt;&gt;""),IF(COUNTIFS(AC$2:AC431,AC431,T$2:T431,TRUE)=1,MAX(AD$1:AD430)+1,""),"")</f>
        <v/>
      </c>
    </row>
    <row r="432">
      <c r="A432">
        <f>ROW()</f>
        <v/>
      </c>
      <c r="B432">
        <f>IF(설정!$C$4="","",IFERROR(INDEX('1.산군_붙여넣기'!$A$1:$AZ$1001,ROW(),설정!$C$4)&amp;"",""))</f>
        <v/>
      </c>
      <c r="C432">
        <f>IF(설정!$C$5="","",IFERROR(INDEX('1.산군_붙여넣기'!$A$1:$AZ$1001,ROW(),설정!$C$5)&amp;"",""))</f>
        <v/>
      </c>
      <c r="D432" s="5">
        <f>IFERROR(VALUE(SUBSTITUTE(SUBSTITUTE(SUBSTITUTE(IF(설정!$C$6="","",IFERROR(INDEX('1.산군_붙여넣기'!$A$1:$AZ$1001,ROW(),설정!$C$6)&amp;"","")),",",""),"㎡",""),"m2","")),"")</f>
        <v/>
      </c>
      <c r="E432">
        <f>IF(설정!$C$7="","",IFERROR(INDEX('1.산군_붙여넣기'!$A$1:$AZ$1001,ROW(),설정!$C$7)&amp;"",""))</f>
        <v/>
      </c>
      <c r="F432">
        <f>IF(설정!$C$8="","",IFERROR(INDEX('1.산군_붙여넣기'!$A$1:$AZ$1001,ROW(),설정!$C$8)&amp;"",""))</f>
        <v/>
      </c>
      <c r="G432">
        <f>IF(설정!$C$9="","",IFERROR(INDEX('1.산군_붙여넣기'!$A$1:$AZ$1001,ROW(),설정!$C$9)&amp;"",""))</f>
        <v/>
      </c>
      <c r="H432">
        <f>IF(설정!$C$10="","",IFERROR(INDEX('1.산군_붙여넣기'!$A$1:$AZ$1001,ROW(),설정!$C$10)&amp;"",""))</f>
        <v/>
      </c>
      <c r="I432">
        <f>IF(설정!$C$11="","",IFERROR(INDEX('1.산군_붙여넣기'!$A$1:$AZ$1001,ROW(),설정!$C$11)&amp;"",""))</f>
        <v/>
      </c>
      <c r="J432">
        <f>IF(설정!$C$12="","",IFERROR(INDEX('1.산군_붙여넣기'!$A$1:$AZ$1001,ROW(),설정!$C$12)&amp;"",""))</f>
        <v/>
      </c>
      <c r="K432">
        <f>IF(설정!$C$13="","",IFERROR(INDEX('1.산군_붙여넣기'!$A$1:$AZ$1001,ROW(),설정!$C$13)&amp;"",""))</f>
        <v/>
      </c>
      <c r="L432" s="7">
        <f>IF(X432="","",IF(AND(LEN(X432)=8,ISNUMBER(X432*1)),DATE(LEFT(X432,4),MID(X432,5,2),RIGHT(X432,2)),IFERROR(DATEVALUE(SUBSTITUTE(SUBSTITUTE(X432,".","-"),"/","-")),IFERROR(X432*1,""))))</f>
        <v/>
      </c>
      <c r="M432" s="7">
        <f>IF(Y432="","",IF(AND(LEN(Y432)=8,ISNUMBER(Y432*1)),DATE(LEFT(Y432,4),MID(Y432,5,2),RIGHT(Y432,2)),IFERROR(DATEVALUE(SUBSTITUTE(SUBSTITUTE(Y432,".","-"),"/","-")),IFERROR(Y432*1,""))))</f>
        <v/>
      </c>
      <c r="N432">
        <f>IFERROR(LEFT(B432,FIND(" ",B432)-1),B432)</f>
        <v/>
      </c>
      <c r="O432">
        <f>AND(B432&lt;&gt;"",B432&lt;&gt;설정!$B$4,C432&lt;&gt;설정!$B$5)</f>
        <v/>
      </c>
      <c r="P432">
        <f>IF(O432,B432&amp;"|"&amp;C432,"")</f>
        <v/>
      </c>
      <c r="Q432">
        <f>AND(O432,COUNTIF(P433:P$1002,P432)=0)</f>
        <v/>
      </c>
      <c r="R432">
        <f>OR(AND(설정!$A$42&lt;&gt;"",ISNUMBER(SEARCH(설정!$A$42,E432&amp;" "&amp;C432))),AND(설정!$A$43&lt;&gt;"",ISNUMBER(SEARCH(설정!$A$43,E432&amp;" "&amp;C432))),AND(설정!$A$44&lt;&gt;"",ISNUMBER(SEARCH(설정!$A$44,E432&amp;" "&amp;C432))),AND(설정!$A$45&lt;&gt;"",ISNUMBER(SEARCH(설정!$A$45,E432&amp;" "&amp;C432))),AND(설정!$A$46&lt;&gt;"",ISNUMBER(SEARCH(설정!$A$46,E432&amp;" "&amp;C432))),AND(설정!$A$47&lt;&gt;"",ISNUMBER(SEARCH(설정!$A$47,E432&amp;" "&amp;C432))),AND(설정!$A$48&lt;&gt;"",ISNUMBER(SEARCH(설정!$A$48,E432&amp;" "&amp;C432))),AND(설정!$A$49&lt;&gt;"",ISNUMBER(SEARCH(설정!$A$49,E432&amp;" "&amp;C432))),AND(설정!$A$50&lt;&gt;"",ISNUMBER(SEARCH(설정!$A$50,E432&amp;" "&amp;C432))),AND(설정!$A$51&lt;&gt;"",ISNUMBER(SEARCH(설정!$A$51,E432&amp;" "&amp;C432))))</f>
        <v/>
      </c>
      <c r="S432">
        <f>OR(D432="",D432&gt;=설정!$B$19)</f>
        <v/>
      </c>
      <c r="T432">
        <f>AND(Q432,R432,S432)</f>
        <v/>
      </c>
      <c r="U432">
        <f>IF(T432,IF(AND(설정!$A$54&lt;&gt;"",ISNUMBER(SEARCH(설정!$A$54,K432))),설정!$B$54,IF(AND(설정!$A$55&lt;&gt;"",ISNUMBER(SEARCH(설정!$A$55,K432))),설정!$B$55,IF(AND(설정!$A$56&lt;&gt;"",ISNUMBER(SEARCH(설정!$A$56,K432))),설정!$B$56,IF(AND(설정!$A$57&lt;&gt;"",ISNUMBER(SEARCH(설정!$A$57,K432))),설정!$B$57,IF(AND(설정!$A$58&lt;&gt;"",ISNUMBER(SEARCH(설정!$A$58,K432))),설정!$B$58,IF(AND(설정!$A$59&lt;&gt;"",ISNUMBER(SEARCH(설정!$A$59,K432))),설정!$B$59,IF(AND(설정!$A$60&lt;&gt;"",ISNUMBER(SEARCH(설정!$A$60,K432))),설정!$B$60,IF(AND(설정!$A$61&lt;&gt;"",ISNUMBER(SEARCH(설정!$A$61,K432))),설정!$B$61,IF(M432="","설계사","시공사"))))))))),"")</f>
        <v/>
      </c>
      <c r="V432">
        <f>SUBSTITUTE(SUBSTITUTE(SUBSTITUTE(SUBSTITUTE(G432,"(주)",""),"㈜",""),"주식회사","")," ","")</f>
        <v/>
      </c>
      <c r="W432">
        <f>IF(AND(T432,V432&lt;&gt;""),IF(COUNTIFS(V$2:V432,V432,T$2:T432,TRUE)=1,MAX(W$1:W431)+1,""),"")</f>
        <v/>
      </c>
      <c r="X432">
        <f>IF(설정!$C$14="","",IFERROR(INDEX('1.산군_붙여넣기'!$A$1:$AZ$1001,ROW(),설정!$C$14)&amp;"",""))</f>
        <v/>
      </c>
      <c r="Y432">
        <f>IF(설정!$C$15="","",IFERROR(INDEX('1.산군_붙여넣기'!$A$1:$AZ$1001,ROW(),설정!$C$15)&amp;"",""))</f>
        <v/>
      </c>
      <c r="Z432">
        <f>IF(T432,V432&amp;"|"&amp;U432,"")</f>
        <v/>
      </c>
      <c r="AA432">
        <f>IF(NOT(Q432),"",IF(NOT(AND(R432,S432)),"✕",IF(OR(OR(AND(L432&lt;&gt;"",M432&lt;&gt;"",N(M432)-N(L432)&gt;설정!$B$27),AND(L432&lt;&gt;"",M432="",설정!$B$24-N(L432)&gt;설정!$B$27)),AND(D432&lt;&gt;"",D432&lt;설정!$B$26)),"△","★")))</f>
        <v/>
      </c>
      <c r="AB432">
        <f>IF(NOT(T432),"",IF(U432="설계사",설정!$B$31,IF(U432="시공사",IF(OR(M432="",설정!$B$24-N(M432)&lt;=설정!$B$28*30.4),설정!$B$32,설정!$B$33),설정!$B$34))+IF(AA432="★",설정!$B$35,0))</f>
        <v/>
      </c>
      <c r="AC432">
        <f>SUBSTITUTE(SUBSTITUTE(SUBSTITUTE(SUBSTITUTE(H432,"(주)",""),"㈜",""),"주식회사","")," ","")</f>
        <v/>
      </c>
      <c r="AD432">
        <f>IF(AND(T432,AC432&lt;&gt;""),IF(COUNTIFS(AC$2:AC432,AC432,T$2:T432,TRUE)=1,MAX(AD$1:AD431)+1,""),"")</f>
        <v/>
      </c>
    </row>
    <row r="433">
      <c r="A433">
        <f>ROW()</f>
        <v/>
      </c>
      <c r="B433">
        <f>IF(설정!$C$4="","",IFERROR(INDEX('1.산군_붙여넣기'!$A$1:$AZ$1001,ROW(),설정!$C$4)&amp;"",""))</f>
        <v/>
      </c>
      <c r="C433">
        <f>IF(설정!$C$5="","",IFERROR(INDEX('1.산군_붙여넣기'!$A$1:$AZ$1001,ROW(),설정!$C$5)&amp;"",""))</f>
        <v/>
      </c>
      <c r="D433" s="5">
        <f>IFERROR(VALUE(SUBSTITUTE(SUBSTITUTE(SUBSTITUTE(IF(설정!$C$6="","",IFERROR(INDEX('1.산군_붙여넣기'!$A$1:$AZ$1001,ROW(),설정!$C$6)&amp;"","")),",",""),"㎡",""),"m2","")),"")</f>
        <v/>
      </c>
      <c r="E433">
        <f>IF(설정!$C$7="","",IFERROR(INDEX('1.산군_붙여넣기'!$A$1:$AZ$1001,ROW(),설정!$C$7)&amp;"",""))</f>
        <v/>
      </c>
      <c r="F433">
        <f>IF(설정!$C$8="","",IFERROR(INDEX('1.산군_붙여넣기'!$A$1:$AZ$1001,ROW(),설정!$C$8)&amp;"",""))</f>
        <v/>
      </c>
      <c r="G433">
        <f>IF(설정!$C$9="","",IFERROR(INDEX('1.산군_붙여넣기'!$A$1:$AZ$1001,ROW(),설정!$C$9)&amp;"",""))</f>
        <v/>
      </c>
      <c r="H433">
        <f>IF(설정!$C$10="","",IFERROR(INDEX('1.산군_붙여넣기'!$A$1:$AZ$1001,ROW(),설정!$C$10)&amp;"",""))</f>
        <v/>
      </c>
      <c r="I433">
        <f>IF(설정!$C$11="","",IFERROR(INDEX('1.산군_붙여넣기'!$A$1:$AZ$1001,ROW(),설정!$C$11)&amp;"",""))</f>
        <v/>
      </c>
      <c r="J433">
        <f>IF(설정!$C$12="","",IFERROR(INDEX('1.산군_붙여넣기'!$A$1:$AZ$1001,ROW(),설정!$C$12)&amp;"",""))</f>
        <v/>
      </c>
      <c r="K433">
        <f>IF(설정!$C$13="","",IFERROR(INDEX('1.산군_붙여넣기'!$A$1:$AZ$1001,ROW(),설정!$C$13)&amp;"",""))</f>
        <v/>
      </c>
      <c r="L433" s="7">
        <f>IF(X433="","",IF(AND(LEN(X433)=8,ISNUMBER(X433*1)),DATE(LEFT(X433,4),MID(X433,5,2),RIGHT(X433,2)),IFERROR(DATEVALUE(SUBSTITUTE(SUBSTITUTE(X433,".","-"),"/","-")),IFERROR(X433*1,""))))</f>
        <v/>
      </c>
      <c r="M433" s="7">
        <f>IF(Y433="","",IF(AND(LEN(Y433)=8,ISNUMBER(Y433*1)),DATE(LEFT(Y433,4),MID(Y433,5,2),RIGHT(Y433,2)),IFERROR(DATEVALUE(SUBSTITUTE(SUBSTITUTE(Y433,".","-"),"/","-")),IFERROR(Y433*1,""))))</f>
        <v/>
      </c>
      <c r="N433">
        <f>IFERROR(LEFT(B433,FIND(" ",B433)-1),B433)</f>
        <v/>
      </c>
      <c r="O433">
        <f>AND(B433&lt;&gt;"",B433&lt;&gt;설정!$B$4,C433&lt;&gt;설정!$B$5)</f>
        <v/>
      </c>
      <c r="P433">
        <f>IF(O433,B433&amp;"|"&amp;C433,"")</f>
        <v/>
      </c>
      <c r="Q433">
        <f>AND(O433,COUNTIF(P434:P$1002,P433)=0)</f>
        <v/>
      </c>
      <c r="R433">
        <f>OR(AND(설정!$A$42&lt;&gt;"",ISNUMBER(SEARCH(설정!$A$42,E433&amp;" "&amp;C433))),AND(설정!$A$43&lt;&gt;"",ISNUMBER(SEARCH(설정!$A$43,E433&amp;" "&amp;C433))),AND(설정!$A$44&lt;&gt;"",ISNUMBER(SEARCH(설정!$A$44,E433&amp;" "&amp;C433))),AND(설정!$A$45&lt;&gt;"",ISNUMBER(SEARCH(설정!$A$45,E433&amp;" "&amp;C433))),AND(설정!$A$46&lt;&gt;"",ISNUMBER(SEARCH(설정!$A$46,E433&amp;" "&amp;C433))),AND(설정!$A$47&lt;&gt;"",ISNUMBER(SEARCH(설정!$A$47,E433&amp;" "&amp;C433))),AND(설정!$A$48&lt;&gt;"",ISNUMBER(SEARCH(설정!$A$48,E433&amp;" "&amp;C433))),AND(설정!$A$49&lt;&gt;"",ISNUMBER(SEARCH(설정!$A$49,E433&amp;" "&amp;C433))),AND(설정!$A$50&lt;&gt;"",ISNUMBER(SEARCH(설정!$A$50,E433&amp;" "&amp;C433))),AND(설정!$A$51&lt;&gt;"",ISNUMBER(SEARCH(설정!$A$51,E433&amp;" "&amp;C433))))</f>
        <v/>
      </c>
      <c r="S433">
        <f>OR(D433="",D433&gt;=설정!$B$19)</f>
        <v/>
      </c>
      <c r="T433">
        <f>AND(Q433,R433,S433)</f>
        <v/>
      </c>
      <c r="U433">
        <f>IF(T433,IF(AND(설정!$A$54&lt;&gt;"",ISNUMBER(SEARCH(설정!$A$54,K433))),설정!$B$54,IF(AND(설정!$A$55&lt;&gt;"",ISNUMBER(SEARCH(설정!$A$55,K433))),설정!$B$55,IF(AND(설정!$A$56&lt;&gt;"",ISNUMBER(SEARCH(설정!$A$56,K433))),설정!$B$56,IF(AND(설정!$A$57&lt;&gt;"",ISNUMBER(SEARCH(설정!$A$57,K433))),설정!$B$57,IF(AND(설정!$A$58&lt;&gt;"",ISNUMBER(SEARCH(설정!$A$58,K433))),설정!$B$58,IF(AND(설정!$A$59&lt;&gt;"",ISNUMBER(SEARCH(설정!$A$59,K433))),설정!$B$59,IF(AND(설정!$A$60&lt;&gt;"",ISNUMBER(SEARCH(설정!$A$60,K433))),설정!$B$60,IF(AND(설정!$A$61&lt;&gt;"",ISNUMBER(SEARCH(설정!$A$61,K433))),설정!$B$61,IF(M433="","설계사","시공사"))))))))),"")</f>
        <v/>
      </c>
      <c r="V433">
        <f>SUBSTITUTE(SUBSTITUTE(SUBSTITUTE(SUBSTITUTE(G433,"(주)",""),"㈜",""),"주식회사","")," ","")</f>
        <v/>
      </c>
      <c r="W433">
        <f>IF(AND(T433,V433&lt;&gt;""),IF(COUNTIFS(V$2:V433,V433,T$2:T433,TRUE)=1,MAX(W$1:W432)+1,""),"")</f>
        <v/>
      </c>
      <c r="X433">
        <f>IF(설정!$C$14="","",IFERROR(INDEX('1.산군_붙여넣기'!$A$1:$AZ$1001,ROW(),설정!$C$14)&amp;"",""))</f>
        <v/>
      </c>
      <c r="Y433">
        <f>IF(설정!$C$15="","",IFERROR(INDEX('1.산군_붙여넣기'!$A$1:$AZ$1001,ROW(),설정!$C$15)&amp;"",""))</f>
        <v/>
      </c>
      <c r="Z433">
        <f>IF(T433,V433&amp;"|"&amp;U433,"")</f>
        <v/>
      </c>
      <c r="AA433">
        <f>IF(NOT(Q433),"",IF(NOT(AND(R433,S433)),"✕",IF(OR(OR(AND(L433&lt;&gt;"",M433&lt;&gt;"",N(M433)-N(L433)&gt;설정!$B$27),AND(L433&lt;&gt;"",M433="",설정!$B$24-N(L433)&gt;설정!$B$27)),AND(D433&lt;&gt;"",D433&lt;설정!$B$26)),"△","★")))</f>
        <v/>
      </c>
      <c r="AB433">
        <f>IF(NOT(T433),"",IF(U433="설계사",설정!$B$31,IF(U433="시공사",IF(OR(M433="",설정!$B$24-N(M433)&lt;=설정!$B$28*30.4),설정!$B$32,설정!$B$33),설정!$B$34))+IF(AA433="★",설정!$B$35,0))</f>
        <v/>
      </c>
      <c r="AC433">
        <f>SUBSTITUTE(SUBSTITUTE(SUBSTITUTE(SUBSTITUTE(H433,"(주)",""),"㈜",""),"주식회사","")," ","")</f>
        <v/>
      </c>
      <c r="AD433">
        <f>IF(AND(T433,AC433&lt;&gt;""),IF(COUNTIFS(AC$2:AC433,AC433,T$2:T433,TRUE)=1,MAX(AD$1:AD432)+1,""),"")</f>
        <v/>
      </c>
    </row>
    <row r="434">
      <c r="A434">
        <f>ROW()</f>
        <v/>
      </c>
      <c r="B434">
        <f>IF(설정!$C$4="","",IFERROR(INDEX('1.산군_붙여넣기'!$A$1:$AZ$1001,ROW(),설정!$C$4)&amp;"",""))</f>
        <v/>
      </c>
      <c r="C434">
        <f>IF(설정!$C$5="","",IFERROR(INDEX('1.산군_붙여넣기'!$A$1:$AZ$1001,ROW(),설정!$C$5)&amp;"",""))</f>
        <v/>
      </c>
      <c r="D434" s="5">
        <f>IFERROR(VALUE(SUBSTITUTE(SUBSTITUTE(SUBSTITUTE(IF(설정!$C$6="","",IFERROR(INDEX('1.산군_붙여넣기'!$A$1:$AZ$1001,ROW(),설정!$C$6)&amp;"","")),",",""),"㎡",""),"m2","")),"")</f>
        <v/>
      </c>
      <c r="E434">
        <f>IF(설정!$C$7="","",IFERROR(INDEX('1.산군_붙여넣기'!$A$1:$AZ$1001,ROW(),설정!$C$7)&amp;"",""))</f>
        <v/>
      </c>
      <c r="F434">
        <f>IF(설정!$C$8="","",IFERROR(INDEX('1.산군_붙여넣기'!$A$1:$AZ$1001,ROW(),설정!$C$8)&amp;"",""))</f>
        <v/>
      </c>
      <c r="G434">
        <f>IF(설정!$C$9="","",IFERROR(INDEX('1.산군_붙여넣기'!$A$1:$AZ$1001,ROW(),설정!$C$9)&amp;"",""))</f>
        <v/>
      </c>
      <c r="H434">
        <f>IF(설정!$C$10="","",IFERROR(INDEX('1.산군_붙여넣기'!$A$1:$AZ$1001,ROW(),설정!$C$10)&amp;"",""))</f>
        <v/>
      </c>
      <c r="I434">
        <f>IF(설정!$C$11="","",IFERROR(INDEX('1.산군_붙여넣기'!$A$1:$AZ$1001,ROW(),설정!$C$11)&amp;"",""))</f>
        <v/>
      </c>
      <c r="J434">
        <f>IF(설정!$C$12="","",IFERROR(INDEX('1.산군_붙여넣기'!$A$1:$AZ$1001,ROW(),설정!$C$12)&amp;"",""))</f>
        <v/>
      </c>
      <c r="K434">
        <f>IF(설정!$C$13="","",IFERROR(INDEX('1.산군_붙여넣기'!$A$1:$AZ$1001,ROW(),설정!$C$13)&amp;"",""))</f>
        <v/>
      </c>
      <c r="L434" s="7">
        <f>IF(X434="","",IF(AND(LEN(X434)=8,ISNUMBER(X434*1)),DATE(LEFT(X434,4),MID(X434,5,2),RIGHT(X434,2)),IFERROR(DATEVALUE(SUBSTITUTE(SUBSTITUTE(X434,".","-"),"/","-")),IFERROR(X434*1,""))))</f>
        <v/>
      </c>
      <c r="M434" s="7">
        <f>IF(Y434="","",IF(AND(LEN(Y434)=8,ISNUMBER(Y434*1)),DATE(LEFT(Y434,4),MID(Y434,5,2),RIGHT(Y434,2)),IFERROR(DATEVALUE(SUBSTITUTE(SUBSTITUTE(Y434,".","-"),"/","-")),IFERROR(Y434*1,""))))</f>
        <v/>
      </c>
      <c r="N434">
        <f>IFERROR(LEFT(B434,FIND(" ",B434)-1),B434)</f>
        <v/>
      </c>
      <c r="O434">
        <f>AND(B434&lt;&gt;"",B434&lt;&gt;설정!$B$4,C434&lt;&gt;설정!$B$5)</f>
        <v/>
      </c>
      <c r="P434">
        <f>IF(O434,B434&amp;"|"&amp;C434,"")</f>
        <v/>
      </c>
      <c r="Q434">
        <f>AND(O434,COUNTIF(P435:P$1002,P434)=0)</f>
        <v/>
      </c>
      <c r="R434">
        <f>OR(AND(설정!$A$42&lt;&gt;"",ISNUMBER(SEARCH(설정!$A$42,E434&amp;" "&amp;C434))),AND(설정!$A$43&lt;&gt;"",ISNUMBER(SEARCH(설정!$A$43,E434&amp;" "&amp;C434))),AND(설정!$A$44&lt;&gt;"",ISNUMBER(SEARCH(설정!$A$44,E434&amp;" "&amp;C434))),AND(설정!$A$45&lt;&gt;"",ISNUMBER(SEARCH(설정!$A$45,E434&amp;" "&amp;C434))),AND(설정!$A$46&lt;&gt;"",ISNUMBER(SEARCH(설정!$A$46,E434&amp;" "&amp;C434))),AND(설정!$A$47&lt;&gt;"",ISNUMBER(SEARCH(설정!$A$47,E434&amp;" "&amp;C434))),AND(설정!$A$48&lt;&gt;"",ISNUMBER(SEARCH(설정!$A$48,E434&amp;" "&amp;C434))),AND(설정!$A$49&lt;&gt;"",ISNUMBER(SEARCH(설정!$A$49,E434&amp;" "&amp;C434))),AND(설정!$A$50&lt;&gt;"",ISNUMBER(SEARCH(설정!$A$50,E434&amp;" "&amp;C434))),AND(설정!$A$51&lt;&gt;"",ISNUMBER(SEARCH(설정!$A$51,E434&amp;" "&amp;C434))))</f>
        <v/>
      </c>
      <c r="S434">
        <f>OR(D434="",D434&gt;=설정!$B$19)</f>
        <v/>
      </c>
      <c r="T434">
        <f>AND(Q434,R434,S434)</f>
        <v/>
      </c>
      <c r="U434">
        <f>IF(T434,IF(AND(설정!$A$54&lt;&gt;"",ISNUMBER(SEARCH(설정!$A$54,K434))),설정!$B$54,IF(AND(설정!$A$55&lt;&gt;"",ISNUMBER(SEARCH(설정!$A$55,K434))),설정!$B$55,IF(AND(설정!$A$56&lt;&gt;"",ISNUMBER(SEARCH(설정!$A$56,K434))),설정!$B$56,IF(AND(설정!$A$57&lt;&gt;"",ISNUMBER(SEARCH(설정!$A$57,K434))),설정!$B$57,IF(AND(설정!$A$58&lt;&gt;"",ISNUMBER(SEARCH(설정!$A$58,K434))),설정!$B$58,IF(AND(설정!$A$59&lt;&gt;"",ISNUMBER(SEARCH(설정!$A$59,K434))),설정!$B$59,IF(AND(설정!$A$60&lt;&gt;"",ISNUMBER(SEARCH(설정!$A$60,K434))),설정!$B$60,IF(AND(설정!$A$61&lt;&gt;"",ISNUMBER(SEARCH(설정!$A$61,K434))),설정!$B$61,IF(M434="","설계사","시공사"))))))))),"")</f>
        <v/>
      </c>
      <c r="V434">
        <f>SUBSTITUTE(SUBSTITUTE(SUBSTITUTE(SUBSTITUTE(G434,"(주)",""),"㈜",""),"주식회사","")," ","")</f>
        <v/>
      </c>
      <c r="W434">
        <f>IF(AND(T434,V434&lt;&gt;""),IF(COUNTIFS(V$2:V434,V434,T$2:T434,TRUE)=1,MAX(W$1:W433)+1,""),"")</f>
        <v/>
      </c>
      <c r="X434">
        <f>IF(설정!$C$14="","",IFERROR(INDEX('1.산군_붙여넣기'!$A$1:$AZ$1001,ROW(),설정!$C$14)&amp;"",""))</f>
        <v/>
      </c>
      <c r="Y434">
        <f>IF(설정!$C$15="","",IFERROR(INDEX('1.산군_붙여넣기'!$A$1:$AZ$1001,ROW(),설정!$C$15)&amp;"",""))</f>
        <v/>
      </c>
      <c r="Z434">
        <f>IF(T434,V434&amp;"|"&amp;U434,"")</f>
        <v/>
      </c>
      <c r="AA434">
        <f>IF(NOT(Q434),"",IF(NOT(AND(R434,S434)),"✕",IF(OR(OR(AND(L434&lt;&gt;"",M434&lt;&gt;"",N(M434)-N(L434)&gt;설정!$B$27),AND(L434&lt;&gt;"",M434="",설정!$B$24-N(L434)&gt;설정!$B$27)),AND(D434&lt;&gt;"",D434&lt;설정!$B$26)),"△","★")))</f>
        <v/>
      </c>
      <c r="AB434">
        <f>IF(NOT(T434),"",IF(U434="설계사",설정!$B$31,IF(U434="시공사",IF(OR(M434="",설정!$B$24-N(M434)&lt;=설정!$B$28*30.4),설정!$B$32,설정!$B$33),설정!$B$34))+IF(AA434="★",설정!$B$35,0))</f>
        <v/>
      </c>
      <c r="AC434">
        <f>SUBSTITUTE(SUBSTITUTE(SUBSTITUTE(SUBSTITUTE(H434,"(주)",""),"㈜",""),"주식회사","")," ","")</f>
        <v/>
      </c>
      <c r="AD434">
        <f>IF(AND(T434,AC434&lt;&gt;""),IF(COUNTIFS(AC$2:AC434,AC434,T$2:T434,TRUE)=1,MAX(AD$1:AD433)+1,""),"")</f>
        <v/>
      </c>
    </row>
    <row r="435">
      <c r="A435">
        <f>ROW()</f>
        <v/>
      </c>
      <c r="B435">
        <f>IF(설정!$C$4="","",IFERROR(INDEX('1.산군_붙여넣기'!$A$1:$AZ$1001,ROW(),설정!$C$4)&amp;"",""))</f>
        <v/>
      </c>
      <c r="C435">
        <f>IF(설정!$C$5="","",IFERROR(INDEX('1.산군_붙여넣기'!$A$1:$AZ$1001,ROW(),설정!$C$5)&amp;"",""))</f>
        <v/>
      </c>
      <c r="D435" s="5">
        <f>IFERROR(VALUE(SUBSTITUTE(SUBSTITUTE(SUBSTITUTE(IF(설정!$C$6="","",IFERROR(INDEX('1.산군_붙여넣기'!$A$1:$AZ$1001,ROW(),설정!$C$6)&amp;"","")),",",""),"㎡",""),"m2","")),"")</f>
        <v/>
      </c>
      <c r="E435">
        <f>IF(설정!$C$7="","",IFERROR(INDEX('1.산군_붙여넣기'!$A$1:$AZ$1001,ROW(),설정!$C$7)&amp;"",""))</f>
        <v/>
      </c>
      <c r="F435">
        <f>IF(설정!$C$8="","",IFERROR(INDEX('1.산군_붙여넣기'!$A$1:$AZ$1001,ROW(),설정!$C$8)&amp;"",""))</f>
        <v/>
      </c>
      <c r="G435">
        <f>IF(설정!$C$9="","",IFERROR(INDEX('1.산군_붙여넣기'!$A$1:$AZ$1001,ROW(),설정!$C$9)&amp;"",""))</f>
        <v/>
      </c>
      <c r="H435">
        <f>IF(설정!$C$10="","",IFERROR(INDEX('1.산군_붙여넣기'!$A$1:$AZ$1001,ROW(),설정!$C$10)&amp;"",""))</f>
        <v/>
      </c>
      <c r="I435">
        <f>IF(설정!$C$11="","",IFERROR(INDEX('1.산군_붙여넣기'!$A$1:$AZ$1001,ROW(),설정!$C$11)&amp;"",""))</f>
        <v/>
      </c>
      <c r="J435">
        <f>IF(설정!$C$12="","",IFERROR(INDEX('1.산군_붙여넣기'!$A$1:$AZ$1001,ROW(),설정!$C$12)&amp;"",""))</f>
        <v/>
      </c>
      <c r="K435">
        <f>IF(설정!$C$13="","",IFERROR(INDEX('1.산군_붙여넣기'!$A$1:$AZ$1001,ROW(),설정!$C$13)&amp;"",""))</f>
        <v/>
      </c>
      <c r="L435" s="7">
        <f>IF(X435="","",IF(AND(LEN(X435)=8,ISNUMBER(X435*1)),DATE(LEFT(X435,4),MID(X435,5,2),RIGHT(X435,2)),IFERROR(DATEVALUE(SUBSTITUTE(SUBSTITUTE(X435,".","-"),"/","-")),IFERROR(X435*1,""))))</f>
        <v/>
      </c>
      <c r="M435" s="7">
        <f>IF(Y435="","",IF(AND(LEN(Y435)=8,ISNUMBER(Y435*1)),DATE(LEFT(Y435,4),MID(Y435,5,2),RIGHT(Y435,2)),IFERROR(DATEVALUE(SUBSTITUTE(SUBSTITUTE(Y435,".","-"),"/","-")),IFERROR(Y435*1,""))))</f>
        <v/>
      </c>
      <c r="N435">
        <f>IFERROR(LEFT(B435,FIND(" ",B435)-1),B435)</f>
        <v/>
      </c>
      <c r="O435">
        <f>AND(B435&lt;&gt;"",B435&lt;&gt;설정!$B$4,C435&lt;&gt;설정!$B$5)</f>
        <v/>
      </c>
      <c r="P435">
        <f>IF(O435,B435&amp;"|"&amp;C435,"")</f>
        <v/>
      </c>
      <c r="Q435">
        <f>AND(O435,COUNTIF(P436:P$1002,P435)=0)</f>
        <v/>
      </c>
      <c r="R435">
        <f>OR(AND(설정!$A$42&lt;&gt;"",ISNUMBER(SEARCH(설정!$A$42,E435&amp;" "&amp;C435))),AND(설정!$A$43&lt;&gt;"",ISNUMBER(SEARCH(설정!$A$43,E435&amp;" "&amp;C435))),AND(설정!$A$44&lt;&gt;"",ISNUMBER(SEARCH(설정!$A$44,E435&amp;" "&amp;C435))),AND(설정!$A$45&lt;&gt;"",ISNUMBER(SEARCH(설정!$A$45,E435&amp;" "&amp;C435))),AND(설정!$A$46&lt;&gt;"",ISNUMBER(SEARCH(설정!$A$46,E435&amp;" "&amp;C435))),AND(설정!$A$47&lt;&gt;"",ISNUMBER(SEARCH(설정!$A$47,E435&amp;" "&amp;C435))),AND(설정!$A$48&lt;&gt;"",ISNUMBER(SEARCH(설정!$A$48,E435&amp;" "&amp;C435))),AND(설정!$A$49&lt;&gt;"",ISNUMBER(SEARCH(설정!$A$49,E435&amp;" "&amp;C435))),AND(설정!$A$50&lt;&gt;"",ISNUMBER(SEARCH(설정!$A$50,E435&amp;" "&amp;C435))),AND(설정!$A$51&lt;&gt;"",ISNUMBER(SEARCH(설정!$A$51,E435&amp;" "&amp;C435))))</f>
        <v/>
      </c>
      <c r="S435">
        <f>OR(D435="",D435&gt;=설정!$B$19)</f>
        <v/>
      </c>
      <c r="T435">
        <f>AND(Q435,R435,S435)</f>
        <v/>
      </c>
      <c r="U435">
        <f>IF(T435,IF(AND(설정!$A$54&lt;&gt;"",ISNUMBER(SEARCH(설정!$A$54,K435))),설정!$B$54,IF(AND(설정!$A$55&lt;&gt;"",ISNUMBER(SEARCH(설정!$A$55,K435))),설정!$B$55,IF(AND(설정!$A$56&lt;&gt;"",ISNUMBER(SEARCH(설정!$A$56,K435))),설정!$B$56,IF(AND(설정!$A$57&lt;&gt;"",ISNUMBER(SEARCH(설정!$A$57,K435))),설정!$B$57,IF(AND(설정!$A$58&lt;&gt;"",ISNUMBER(SEARCH(설정!$A$58,K435))),설정!$B$58,IF(AND(설정!$A$59&lt;&gt;"",ISNUMBER(SEARCH(설정!$A$59,K435))),설정!$B$59,IF(AND(설정!$A$60&lt;&gt;"",ISNUMBER(SEARCH(설정!$A$60,K435))),설정!$B$60,IF(AND(설정!$A$61&lt;&gt;"",ISNUMBER(SEARCH(설정!$A$61,K435))),설정!$B$61,IF(M435="","설계사","시공사"))))))))),"")</f>
        <v/>
      </c>
      <c r="V435">
        <f>SUBSTITUTE(SUBSTITUTE(SUBSTITUTE(SUBSTITUTE(G435,"(주)",""),"㈜",""),"주식회사","")," ","")</f>
        <v/>
      </c>
      <c r="W435">
        <f>IF(AND(T435,V435&lt;&gt;""),IF(COUNTIFS(V$2:V435,V435,T$2:T435,TRUE)=1,MAX(W$1:W434)+1,""),"")</f>
        <v/>
      </c>
      <c r="X435">
        <f>IF(설정!$C$14="","",IFERROR(INDEX('1.산군_붙여넣기'!$A$1:$AZ$1001,ROW(),설정!$C$14)&amp;"",""))</f>
        <v/>
      </c>
      <c r="Y435">
        <f>IF(설정!$C$15="","",IFERROR(INDEX('1.산군_붙여넣기'!$A$1:$AZ$1001,ROW(),설정!$C$15)&amp;"",""))</f>
        <v/>
      </c>
      <c r="Z435">
        <f>IF(T435,V435&amp;"|"&amp;U435,"")</f>
        <v/>
      </c>
      <c r="AA435">
        <f>IF(NOT(Q435),"",IF(NOT(AND(R435,S435)),"✕",IF(OR(OR(AND(L435&lt;&gt;"",M435&lt;&gt;"",N(M435)-N(L435)&gt;설정!$B$27),AND(L435&lt;&gt;"",M435="",설정!$B$24-N(L435)&gt;설정!$B$27)),AND(D435&lt;&gt;"",D435&lt;설정!$B$26)),"△","★")))</f>
        <v/>
      </c>
      <c r="AB435">
        <f>IF(NOT(T435),"",IF(U435="설계사",설정!$B$31,IF(U435="시공사",IF(OR(M435="",설정!$B$24-N(M435)&lt;=설정!$B$28*30.4),설정!$B$32,설정!$B$33),설정!$B$34))+IF(AA435="★",설정!$B$35,0))</f>
        <v/>
      </c>
      <c r="AC435">
        <f>SUBSTITUTE(SUBSTITUTE(SUBSTITUTE(SUBSTITUTE(H435,"(주)",""),"㈜",""),"주식회사","")," ","")</f>
        <v/>
      </c>
      <c r="AD435">
        <f>IF(AND(T435,AC435&lt;&gt;""),IF(COUNTIFS(AC$2:AC435,AC435,T$2:T435,TRUE)=1,MAX(AD$1:AD434)+1,""),"")</f>
        <v/>
      </c>
    </row>
    <row r="436">
      <c r="A436">
        <f>ROW()</f>
        <v/>
      </c>
      <c r="B436">
        <f>IF(설정!$C$4="","",IFERROR(INDEX('1.산군_붙여넣기'!$A$1:$AZ$1001,ROW(),설정!$C$4)&amp;"",""))</f>
        <v/>
      </c>
      <c r="C436">
        <f>IF(설정!$C$5="","",IFERROR(INDEX('1.산군_붙여넣기'!$A$1:$AZ$1001,ROW(),설정!$C$5)&amp;"",""))</f>
        <v/>
      </c>
      <c r="D436" s="5">
        <f>IFERROR(VALUE(SUBSTITUTE(SUBSTITUTE(SUBSTITUTE(IF(설정!$C$6="","",IFERROR(INDEX('1.산군_붙여넣기'!$A$1:$AZ$1001,ROW(),설정!$C$6)&amp;"","")),",",""),"㎡",""),"m2","")),"")</f>
        <v/>
      </c>
      <c r="E436">
        <f>IF(설정!$C$7="","",IFERROR(INDEX('1.산군_붙여넣기'!$A$1:$AZ$1001,ROW(),설정!$C$7)&amp;"",""))</f>
        <v/>
      </c>
      <c r="F436">
        <f>IF(설정!$C$8="","",IFERROR(INDEX('1.산군_붙여넣기'!$A$1:$AZ$1001,ROW(),설정!$C$8)&amp;"",""))</f>
        <v/>
      </c>
      <c r="G436">
        <f>IF(설정!$C$9="","",IFERROR(INDEX('1.산군_붙여넣기'!$A$1:$AZ$1001,ROW(),설정!$C$9)&amp;"",""))</f>
        <v/>
      </c>
      <c r="H436">
        <f>IF(설정!$C$10="","",IFERROR(INDEX('1.산군_붙여넣기'!$A$1:$AZ$1001,ROW(),설정!$C$10)&amp;"",""))</f>
        <v/>
      </c>
      <c r="I436">
        <f>IF(설정!$C$11="","",IFERROR(INDEX('1.산군_붙여넣기'!$A$1:$AZ$1001,ROW(),설정!$C$11)&amp;"",""))</f>
        <v/>
      </c>
      <c r="J436">
        <f>IF(설정!$C$12="","",IFERROR(INDEX('1.산군_붙여넣기'!$A$1:$AZ$1001,ROW(),설정!$C$12)&amp;"",""))</f>
        <v/>
      </c>
      <c r="K436">
        <f>IF(설정!$C$13="","",IFERROR(INDEX('1.산군_붙여넣기'!$A$1:$AZ$1001,ROW(),설정!$C$13)&amp;"",""))</f>
        <v/>
      </c>
      <c r="L436" s="7">
        <f>IF(X436="","",IF(AND(LEN(X436)=8,ISNUMBER(X436*1)),DATE(LEFT(X436,4),MID(X436,5,2),RIGHT(X436,2)),IFERROR(DATEVALUE(SUBSTITUTE(SUBSTITUTE(X436,".","-"),"/","-")),IFERROR(X436*1,""))))</f>
        <v/>
      </c>
      <c r="M436" s="7">
        <f>IF(Y436="","",IF(AND(LEN(Y436)=8,ISNUMBER(Y436*1)),DATE(LEFT(Y436,4),MID(Y436,5,2),RIGHT(Y436,2)),IFERROR(DATEVALUE(SUBSTITUTE(SUBSTITUTE(Y436,".","-"),"/","-")),IFERROR(Y436*1,""))))</f>
        <v/>
      </c>
      <c r="N436">
        <f>IFERROR(LEFT(B436,FIND(" ",B436)-1),B436)</f>
        <v/>
      </c>
      <c r="O436">
        <f>AND(B436&lt;&gt;"",B436&lt;&gt;설정!$B$4,C436&lt;&gt;설정!$B$5)</f>
        <v/>
      </c>
      <c r="P436">
        <f>IF(O436,B436&amp;"|"&amp;C436,"")</f>
        <v/>
      </c>
      <c r="Q436">
        <f>AND(O436,COUNTIF(P437:P$1002,P436)=0)</f>
        <v/>
      </c>
      <c r="R436">
        <f>OR(AND(설정!$A$42&lt;&gt;"",ISNUMBER(SEARCH(설정!$A$42,E436&amp;" "&amp;C436))),AND(설정!$A$43&lt;&gt;"",ISNUMBER(SEARCH(설정!$A$43,E436&amp;" "&amp;C436))),AND(설정!$A$44&lt;&gt;"",ISNUMBER(SEARCH(설정!$A$44,E436&amp;" "&amp;C436))),AND(설정!$A$45&lt;&gt;"",ISNUMBER(SEARCH(설정!$A$45,E436&amp;" "&amp;C436))),AND(설정!$A$46&lt;&gt;"",ISNUMBER(SEARCH(설정!$A$46,E436&amp;" "&amp;C436))),AND(설정!$A$47&lt;&gt;"",ISNUMBER(SEARCH(설정!$A$47,E436&amp;" "&amp;C436))),AND(설정!$A$48&lt;&gt;"",ISNUMBER(SEARCH(설정!$A$48,E436&amp;" "&amp;C436))),AND(설정!$A$49&lt;&gt;"",ISNUMBER(SEARCH(설정!$A$49,E436&amp;" "&amp;C436))),AND(설정!$A$50&lt;&gt;"",ISNUMBER(SEARCH(설정!$A$50,E436&amp;" "&amp;C436))),AND(설정!$A$51&lt;&gt;"",ISNUMBER(SEARCH(설정!$A$51,E436&amp;" "&amp;C436))))</f>
        <v/>
      </c>
      <c r="S436">
        <f>OR(D436="",D436&gt;=설정!$B$19)</f>
        <v/>
      </c>
      <c r="T436">
        <f>AND(Q436,R436,S436)</f>
        <v/>
      </c>
      <c r="U436">
        <f>IF(T436,IF(AND(설정!$A$54&lt;&gt;"",ISNUMBER(SEARCH(설정!$A$54,K436))),설정!$B$54,IF(AND(설정!$A$55&lt;&gt;"",ISNUMBER(SEARCH(설정!$A$55,K436))),설정!$B$55,IF(AND(설정!$A$56&lt;&gt;"",ISNUMBER(SEARCH(설정!$A$56,K436))),설정!$B$56,IF(AND(설정!$A$57&lt;&gt;"",ISNUMBER(SEARCH(설정!$A$57,K436))),설정!$B$57,IF(AND(설정!$A$58&lt;&gt;"",ISNUMBER(SEARCH(설정!$A$58,K436))),설정!$B$58,IF(AND(설정!$A$59&lt;&gt;"",ISNUMBER(SEARCH(설정!$A$59,K436))),설정!$B$59,IF(AND(설정!$A$60&lt;&gt;"",ISNUMBER(SEARCH(설정!$A$60,K436))),설정!$B$60,IF(AND(설정!$A$61&lt;&gt;"",ISNUMBER(SEARCH(설정!$A$61,K436))),설정!$B$61,IF(M436="","설계사","시공사"))))))))),"")</f>
        <v/>
      </c>
      <c r="V436">
        <f>SUBSTITUTE(SUBSTITUTE(SUBSTITUTE(SUBSTITUTE(G436,"(주)",""),"㈜",""),"주식회사","")," ","")</f>
        <v/>
      </c>
      <c r="W436">
        <f>IF(AND(T436,V436&lt;&gt;""),IF(COUNTIFS(V$2:V436,V436,T$2:T436,TRUE)=1,MAX(W$1:W435)+1,""),"")</f>
        <v/>
      </c>
      <c r="X436">
        <f>IF(설정!$C$14="","",IFERROR(INDEX('1.산군_붙여넣기'!$A$1:$AZ$1001,ROW(),설정!$C$14)&amp;"",""))</f>
        <v/>
      </c>
      <c r="Y436">
        <f>IF(설정!$C$15="","",IFERROR(INDEX('1.산군_붙여넣기'!$A$1:$AZ$1001,ROW(),설정!$C$15)&amp;"",""))</f>
        <v/>
      </c>
      <c r="Z436">
        <f>IF(T436,V436&amp;"|"&amp;U436,"")</f>
        <v/>
      </c>
      <c r="AA436">
        <f>IF(NOT(Q436),"",IF(NOT(AND(R436,S436)),"✕",IF(OR(OR(AND(L436&lt;&gt;"",M436&lt;&gt;"",N(M436)-N(L436)&gt;설정!$B$27),AND(L436&lt;&gt;"",M436="",설정!$B$24-N(L436)&gt;설정!$B$27)),AND(D436&lt;&gt;"",D436&lt;설정!$B$26)),"△","★")))</f>
        <v/>
      </c>
      <c r="AB436">
        <f>IF(NOT(T436),"",IF(U436="설계사",설정!$B$31,IF(U436="시공사",IF(OR(M436="",설정!$B$24-N(M436)&lt;=설정!$B$28*30.4),설정!$B$32,설정!$B$33),설정!$B$34))+IF(AA436="★",설정!$B$35,0))</f>
        <v/>
      </c>
      <c r="AC436">
        <f>SUBSTITUTE(SUBSTITUTE(SUBSTITUTE(SUBSTITUTE(H436,"(주)",""),"㈜",""),"주식회사","")," ","")</f>
        <v/>
      </c>
      <c r="AD436">
        <f>IF(AND(T436,AC436&lt;&gt;""),IF(COUNTIFS(AC$2:AC436,AC436,T$2:T436,TRUE)=1,MAX(AD$1:AD435)+1,""),"")</f>
        <v/>
      </c>
    </row>
    <row r="437">
      <c r="A437">
        <f>ROW()</f>
        <v/>
      </c>
      <c r="B437">
        <f>IF(설정!$C$4="","",IFERROR(INDEX('1.산군_붙여넣기'!$A$1:$AZ$1001,ROW(),설정!$C$4)&amp;"",""))</f>
        <v/>
      </c>
      <c r="C437">
        <f>IF(설정!$C$5="","",IFERROR(INDEX('1.산군_붙여넣기'!$A$1:$AZ$1001,ROW(),설정!$C$5)&amp;"",""))</f>
        <v/>
      </c>
      <c r="D437" s="5">
        <f>IFERROR(VALUE(SUBSTITUTE(SUBSTITUTE(SUBSTITUTE(IF(설정!$C$6="","",IFERROR(INDEX('1.산군_붙여넣기'!$A$1:$AZ$1001,ROW(),설정!$C$6)&amp;"","")),",",""),"㎡",""),"m2","")),"")</f>
        <v/>
      </c>
      <c r="E437">
        <f>IF(설정!$C$7="","",IFERROR(INDEX('1.산군_붙여넣기'!$A$1:$AZ$1001,ROW(),설정!$C$7)&amp;"",""))</f>
        <v/>
      </c>
      <c r="F437">
        <f>IF(설정!$C$8="","",IFERROR(INDEX('1.산군_붙여넣기'!$A$1:$AZ$1001,ROW(),설정!$C$8)&amp;"",""))</f>
        <v/>
      </c>
      <c r="G437">
        <f>IF(설정!$C$9="","",IFERROR(INDEX('1.산군_붙여넣기'!$A$1:$AZ$1001,ROW(),설정!$C$9)&amp;"",""))</f>
        <v/>
      </c>
      <c r="H437">
        <f>IF(설정!$C$10="","",IFERROR(INDEX('1.산군_붙여넣기'!$A$1:$AZ$1001,ROW(),설정!$C$10)&amp;"",""))</f>
        <v/>
      </c>
      <c r="I437">
        <f>IF(설정!$C$11="","",IFERROR(INDEX('1.산군_붙여넣기'!$A$1:$AZ$1001,ROW(),설정!$C$11)&amp;"",""))</f>
        <v/>
      </c>
      <c r="J437">
        <f>IF(설정!$C$12="","",IFERROR(INDEX('1.산군_붙여넣기'!$A$1:$AZ$1001,ROW(),설정!$C$12)&amp;"",""))</f>
        <v/>
      </c>
      <c r="K437">
        <f>IF(설정!$C$13="","",IFERROR(INDEX('1.산군_붙여넣기'!$A$1:$AZ$1001,ROW(),설정!$C$13)&amp;"",""))</f>
        <v/>
      </c>
      <c r="L437" s="7">
        <f>IF(X437="","",IF(AND(LEN(X437)=8,ISNUMBER(X437*1)),DATE(LEFT(X437,4),MID(X437,5,2),RIGHT(X437,2)),IFERROR(DATEVALUE(SUBSTITUTE(SUBSTITUTE(X437,".","-"),"/","-")),IFERROR(X437*1,""))))</f>
        <v/>
      </c>
      <c r="M437" s="7">
        <f>IF(Y437="","",IF(AND(LEN(Y437)=8,ISNUMBER(Y437*1)),DATE(LEFT(Y437,4),MID(Y437,5,2),RIGHT(Y437,2)),IFERROR(DATEVALUE(SUBSTITUTE(SUBSTITUTE(Y437,".","-"),"/","-")),IFERROR(Y437*1,""))))</f>
        <v/>
      </c>
      <c r="N437">
        <f>IFERROR(LEFT(B437,FIND(" ",B437)-1),B437)</f>
        <v/>
      </c>
      <c r="O437">
        <f>AND(B437&lt;&gt;"",B437&lt;&gt;설정!$B$4,C437&lt;&gt;설정!$B$5)</f>
        <v/>
      </c>
      <c r="P437">
        <f>IF(O437,B437&amp;"|"&amp;C437,"")</f>
        <v/>
      </c>
      <c r="Q437">
        <f>AND(O437,COUNTIF(P438:P$1002,P437)=0)</f>
        <v/>
      </c>
      <c r="R437">
        <f>OR(AND(설정!$A$42&lt;&gt;"",ISNUMBER(SEARCH(설정!$A$42,E437&amp;" "&amp;C437))),AND(설정!$A$43&lt;&gt;"",ISNUMBER(SEARCH(설정!$A$43,E437&amp;" "&amp;C437))),AND(설정!$A$44&lt;&gt;"",ISNUMBER(SEARCH(설정!$A$44,E437&amp;" "&amp;C437))),AND(설정!$A$45&lt;&gt;"",ISNUMBER(SEARCH(설정!$A$45,E437&amp;" "&amp;C437))),AND(설정!$A$46&lt;&gt;"",ISNUMBER(SEARCH(설정!$A$46,E437&amp;" "&amp;C437))),AND(설정!$A$47&lt;&gt;"",ISNUMBER(SEARCH(설정!$A$47,E437&amp;" "&amp;C437))),AND(설정!$A$48&lt;&gt;"",ISNUMBER(SEARCH(설정!$A$48,E437&amp;" "&amp;C437))),AND(설정!$A$49&lt;&gt;"",ISNUMBER(SEARCH(설정!$A$49,E437&amp;" "&amp;C437))),AND(설정!$A$50&lt;&gt;"",ISNUMBER(SEARCH(설정!$A$50,E437&amp;" "&amp;C437))),AND(설정!$A$51&lt;&gt;"",ISNUMBER(SEARCH(설정!$A$51,E437&amp;" "&amp;C437))))</f>
        <v/>
      </c>
      <c r="S437">
        <f>OR(D437="",D437&gt;=설정!$B$19)</f>
        <v/>
      </c>
      <c r="T437">
        <f>AND(Q437,R437,S437)</f>
        <v/>
      </c>
      <c r="U437">
        <f>IF(T437,IF(AND(설정!$A$54&lt;&gt;"",ISNUMBER(SEARCH(설정!$A$54,K437))),설정!$B$54,IF(AND(설정!$A$55&lt;&gt;"",ISNUMBER(SEARCH(설정!$A$55,K437))),설정!$B$55,IF(AND(설정!$A$56&lt;&gt;"",ISNUMBER(SEARCH(설정!$A$56,K437))),설정!$B$56,IF(AND(설정!$A$57&lt;&gt;"",ISNUMBER(SEARCH(설정!$A$57,K437))),설정!$B$57,IF(AND(설정!$A$58&lt;&gt;"",ISNUMBER(SEARCH(설정!$A$58,K437))),설정!$B$58,IF(AND(설정!$A$59&lt;&gt;"",ISNUMBER(SEARCH(설정!$A$59,K437))),설정!$B$59,IF(AND(설정!$A$60&lt;&gt;"",ISNUMBER(SEARCH(설정!$A$60,K437))),설정!$B$60,IF(AND(설정!$A$61&lt;&gt;"",ISNUMBER(SEARCH(설정!$A$61,K437))),설정!$B$61,IF(M437="","설계사","시공사"))))))))),"")</f>
        <v/>
      </c>
      <c r="V437">
        <f>SUBSTITUTE(SUBSTITUTE(SUBSTITUTE(SUBSTITUTE(G437,"(주)",""),"㈜",""),"주식회사","")," ","")</f>
        <v/>
      </c>
      <c r="W437">
        <f>IF(AND(T437,V437&lt;&gt;""),IF(COUNTIFS(V$2:V437,V437,T$2:T437,TRUE)=1,MAX(W$1:W436)+1,""),"")</f>
        <v/>
      </c>
      <c r="X437">
        <f>IF(설정!$C$14="","",IFERROR(INDEX('1.산군_붙여넣기'!$A$1:$AZ$1001,ROW(),설정!$C$14)&amp;"",""))</f>
        <v/>
      </c>
      <c r="Y437">
        <f>IF(설정!$C$15="","",IFERROR(INDEX('1.산군_붙여넣기'!$A$1:$AZ$1001,ROW(),설정!$C$15)&amp;"",""))</f>
        <v/>
      </c>
      <c r="Z437">
        <f>IF(T437,V437&amp;"|"&amp;U437,"")</f>
        <v/>
      </c>
      <c r="AA437">
        <f>IF(NOT(Q437),"",IF(NOT(AND(R437,S437)),"✕",IF(OR(OR(AND(L437&lt;&gt;"",M437&lt;&gt;"",N(M437)-N(L437)&gt;설정!$B$27),AND(L437&lt;&gt;"",M437="",설정!$B$24-N(L437)&gt;설정!$B$27)),AND(D437&lt;&gt;"",D437&lt;설정!$B$26)),"△","★")))</f>
        <v/>
      </c>
      <c r="AB437">
        <f>IF(NOT(T437),"",IF(U437="설계사",설정!$B$31,IF(U437="시공사",IF(OR(M437="",설정!$B$24-N(M437)&lt;=설정!$B$28*30.4),설정!$B$32,설정!$B$33),설정!$B$34))+IF(AA437="★",설정!$B$35,0))</f>
        <v/>
      </c>
      <c r="AC437">
        <f>SUBSTITUTE(SUBSTITUTE(SUBSTITUTE(SUBSTITUTE(H437,"(주)",""),"㈜",""),"주식회사","")," ","")</f>
        <v/>
      </c>
      <c r="AD437">
        <f>IF(AND(T437,AC437&lt;&gt;""),IF(COUNTIFS(AC$2:AC437,AC437,T$2:T437,TRUE)=1,MAX(AD$1:AD436)+1,""),"")</f>
        <v/>
      </c>
    </row>
    <row r="438">
      <c r="A438">
        <f>ROW()</f>
        <v/>
      </c>
      <c r="B438">
        <f>IF(설정!$C$4="","",IFERROR(INDEX('1.산군_붙여넣기'!$A$1:$AZ$1001,ROW(),설정!$C$4)&amp;"",""))</f>
        <v/>
      </c>
      <c r="C438">
        <f>IF(설정!$C$5="","",IFERROR(INDEX('1.산군_붙여넣기'!$A$1:$AZ$1001,ROW(),설정!$C$5)&amp;"",""))</f>
        <v/>
      </c>
      <c r="D438" s="5">
        <f>IFERROR(VALUE(SUBSTITUTE(SUBSTITUTE(SUBSTITUTE(IF(설정!$C$6="","",IFERROR(INDEX('1.산군_붙여넣기'!$A$1:$AZ$1001,ROW(),설정!$C$6)&amp;"","")),",",""),"㎡",""),"m2","")),"")</f>
        <v/>
      </c>
      <c r="E438">
        <f>IF(설정!$C$7="","",IFERROR(INDEX('1.산군_붙여넣기'!$A$1:$AZ$1001,ROW(),설정!$C$7)&amp;"",""))</f>
        <v/>
      </c>
      <c r="F438">
        <f>IF(설정!$C$8="","",IFERROR(INDEX('1.산군_붙여넣기'!$A$1:$AZ$1001,ROW(),설정!$C$8)&amp;"",""))</f>
        <v/>
      </c>
      <c r="G438">
        <f>IF(설정!$C$9="","",IFERROR(INDEX('1.산군_붙여넣기'!$A$1:$AZ$1001,ROW(),설정!$C$9)&amp;"",""))</f>
        <v/>
      </c>
      <c r="H438">
        <f>IF(설정!$C$10="","",IFERROR(INDEX('1.산군_붙여넣기'!$A$1:$AZ$1001,ROW(),설정!$C$10)&amp;"",""))</f>
        <v/>
      </c>
      <c r="I438">
        <f>IF(설정!$C$11="","",IFERROR(INDEX('1.산군_붙여넣기'!$A$1:$AZ$1001,ROW(),설정!$C$11)&amp;"",""))</f>
        <v/>
      </c>
      <c r="J438">
        <f>IF(설정!$C$12="","",IFERROR(INDEX('1.산군_붙여넣기'!$A$1:$AZ$1001,ROW(),설정!$C$12)&amp;"",""))</f>
        <v/>
      </c>
      <c r="K438">
        <f>IF(설정!$C$13="","",IFERROR(INDEX('1.산군_붙여넣기'!$A$1:$AZ$1001,ROW(),설정!$C$13)&amp;"",""))</f>
        <v/>
      </c>
      <c r="L438" s="7">
        <f>IF(X438="","",IF(AND(LEN(X438)=8,ISNUMBER(X438*1)),DATE(LEFT(X438,4),MID(X438,5,2),RIGHT(X438,2)),IFERROR(DATEVALUE(SUBSTITUTE(SUBSTITUTE(X438,".","-"),"/","-")),IFERROR(X438*1,""))))</f>
        <v/>
      </c>
      <c r="M438" s="7">
        <f>IF(Y438="","",IF(AND(LEN(Y438)=8,ISNUMBER(Y438*1)),DATE(LEFT(Y438,4),MID(Y438,5,2),RIGHT(Y438,2)),IFERROR(DATEVALUE(SUBSTITUTE(SUBSTITUTE(Y438,".","-"),"/","-")),IFERROR(Y438*1,""))))</f>
        <v/>
      </c>
      <c r="N438">
        <f>IFERROR(LEFT(B438,FIND(" ",B438)-1),B438)</f>
        <v/>
      </c>
      <c r="O438">
        <f>AND(B438&lt;&gt;"",B438&lt;&gt;설정!$B$4,C438&lt;&gt;설정!$B$5)</f>
        <v/>
      </c>
      <c r="P438">
        <f>IF(O438,B438&amp;"|"&amp;C438,"")</f>
        <v/>
      </c>
      <c r="Q438">
        <f>AND(O438,COUNTIF(P439:P$1002,P438)=0)</f>
        <v/>
      </c>
      <c r="R438">
        <f>OR(AND(설정!$A$42&lt;&gt;"",ISNUMBER(SEARCH(설정!$A$42,E438&amp;" "&amp;C438))),AND(설정!$A$43&lt;&gt;"",ISNUMBER(SEARCH(설정!$A$43,E438&amp;" "&amp;C438))),AND(설정!$A$44&lt;&gt;"",ISNUMBER(SEARCH(설정!$A$44,E438&amp;" "&amp;C438))),AND(설정!$A$45&lt;&gt;"",ISNUMBER(SEARCH(설정!$A$45,E438&amp;" "&amp;C438))),AND(설정!$A$46&lt;&gt;"",ISNUMBER(SEARCH(설정!$A$46,E438&amp;" "&amp;C438))),AND(설정!$A$47&lt;&gt;"",ISNUMBER(SEARCH(설정!$A$47,E438&amp;" "&amp;C438))),AND(설정!$A$48&lt;&gt;"",ISNUMBER(SEARCH(설정!$A$48,E438&amp;" "&amp;C438))),AND(설정!$A$49&lt;&gt;"",ISNUMBER(SEARCH(설정!$A$49,E438&amp;" "&amp;C438))),AND(설정!$A$50&lt;&gt;"",ISNUMBER(SEARCH(설정!$A$50,E438&amp;" "&amp;C438))),AND(설정!$A$51&lt;&gt;"",ISNUMBER(SEARCH(설정!$A$51,E438&amp;" "&amp;C438))))</f>
        <v/>
      </c>
      <c r="S438">
        <f>OR(D438="",D438&gt;=설정!$B$19)</f>
        <v/>
      </c>
      <c r="T438">
        <f>AND(Q438,R438,S438)</f>
        <v/>
      </c>
      <c r="U438">
        <f>IF(T438,IF(AND(설정!$A$54&lt;&gt;"",ISNUMBER(SEARCH(설정!$A$54,K438))),설정!$B$54,IF(AND(설정!$A$55&lt;&gt;"",ISNUMBER(SEARCH(설정!$A$55,K438))),설정!$B$55,IF(AND(설정!$A$56&lt;&gt;"",ISNUMBER(SEARCH(설정!$A$56,K438))),설정!$B$56,IF(AND(설정!$A$57&lt;&gt;"",ISNUMBER(SEARCH(설정!$A$57,K438))),설정!$B$57,IF(AND(설정!$A$58&lt;&gt;"",ISNUMBER(SEARCH(설정!$A$58,K438))),설정!$B$58,IF(AND(설정!$A$59&lt;&gt;"",ISNUMBER(SEARCH(설정!$A$59,K438))),설정!$B$59,IF(AND(설정!$A$60&lt;&gt;"",ISNUMBER(SEARCH(설정!$A$60,K438))),설정!$B$60,IF(AND(설정!$A$61&lt;&gt;"",ISNUMBER(SEARCH(설정!$A$61,K438))),설정!$B$61,IF(M438="","설계사","시공사"))))))))),"")</f>
        <v/>
      </c>
      <c r="V438">
        <f>SUBSTITUTE(SUBSTITUTE(SUBSTITUTE(SUBSTITUTE(G438,"(주)",""),"㈜",""),"주식회사","")," ","")</f>
        <v/>
      </c>
      <c r="W438">
        <f>IF(AND(T438,V438&lt;&gt;""),IF(COUNTIFS(V$2:V438,V438,T$2:T438,TRUE)=1,MAX(W$1:W437)+1,""),"")</f>
        <v/>
      </c>
      <c r="X438">
        <f>IF(설정!$C$14="","",IFERROR(INDEX('1.산군_붙여넣기'!$A$1:$AZ$1001,ROW(),설정!$C$14)&amp;"",""))</f>
        <v/>
      </c>
      <c r="Y438">
        <f>IF(설정!$C$15="","",IFERROR(INDEX('1.산군_붙여넣기'!$A$1:$AZ$1001,ROW(),설정!$C$15)&amp;"",""))</f>
        <v/>
      </c>
      <c r="Z438">
        <f>IF(T438,V438&amp;"|"&amp;U438,"")</f>
        <v/>
      </c>
      <c r="AA438">
        <f>IF(NOT(Q438),"",IF(NOT(AND(R438,S438)),"✕",IF(OR(OR(AND(L438&lt;&gt;"",M438&lt;&gt;"",N(M438)-N(L438)&gt;설정!$B$27),AND(L438&lt;&gt;"",M438="",설정!$B$24-N(L438)&gt;설정!$B$27)),AND(D438&lt;&gt;"",D438&lt;설정!$B$26)),"△","★")))</f>
        <v/>
      </c>
      <c r="AB438">
        <f>IF(NOT(T438),"",IF(U438="설계사",설정!$B$31,IF(U438="시공사",IF(OR(M438="",설정!$B$24-N(M438)&lt;=설정!$B$28*30.4),설정!$B$32,설정!$B$33),설정!$B$34))+IF(AA438="★",설정!$B$35,0))</f>
        <v/>
      </c>
      <c r="AC438">
        <f>SUBSTITUTE(SUBSTITUTE(SUBSTITUTE(SUBSTITUTE(H438,"(주)",""),"㈜",""),"주식회사","")," ","")</f>
        <v/>
      </c>
      <c r="AD438">
        <f>IF(AND(T438,AC438&lt;&gt;""),IF(COUNTIFS(AC$2:AC438,AC438,T$2:T438,TRUE)=1,MAX(AD$1:AD437)+1,""),"")</f>
        <v/>
      </c>
    </row>
    <row r="439">
      <c r="A439">
        <f>ROW()</f>
        <v/>
      </c>
      <c r="B439">
        <f>IF(설정!$C$4="","",IFERROR(INDEX('1.산군_붙여넣기'!$A$1:$AZ$1001,ROW(),설정!$C$4)&amp;"",""))</f>
        <v/>
      </c>
      <c r="C439">
        <f>IF(설정!$C$5="","",IFERROR(INDEX('1.산군_붙여넣기'!$A$1:$AZ$1001,ROW(),설정!$C$5)&amp;"",""))</f>
        <v/>
      </c>
      <c r="D439" s="5">
        <f>IFERROR(VALUE(SUBSTITUTE(SUBSTITUTE(SUBSTITUTE(IF(설정!$C$6="","",IFERROR(INDEX('1.산군_붙여넣기'!$A$1:$AZ$1001,ROW(),설정!$C$6)&amp;"","")),",",""),"㎡",""),"m2","")),"")</f>
        <v/>
      </c>
      <c r="E439">
        <f>IF(설정!$C$7="","",IFERROR(INDEX('1.산군_붙여넣기'!$A$1:$AZ$1001,ROW(),설정!$C$7)&amp;"",""))</f>
        <v/>
      </c>
      <c r="F439">
        <f>IF(설정!$C$8="","",IFERROR(INDEX('1.산군_붙여넣기'!$A$1:$AZ$1001,ROW(),설정!$C$8)&amp;"",""))</f>
        <v/>
      </c>
      <c r="G439">
        <f>IF(설정!$C$9="","",IFERROR(INDEX('1.산군_붙여넣기'!$A$1:$AZ$1001,ROW(),설정!$C$9)&amp;"",""))</f>
        <v/>
      </c>
      <c r="H439">
        <f>IF(설정!$C$10="","",IFERROR(INDEX('1.산군_붙여넣기'!$A$1:$AZ$1001,ROW(),설정!$C$10)&amp;"",""))</f>
        <v/>
      </c>
      <c r="I439">
        <f>IF(설정!$C$11="","",IFERROR(INDEX('1.산군_붙여넣기'!$A$1:$AZ$1001,ROW(),설정!$C$11)&amp;"",""))</f>
        <v/>
      </c>
      <c r="J439">
        <f>IF(설정!$C$12="","",IFERROR(INDEX('1.산군_붙여넣기'!$A$1:$AZ$1001,ROW(),설정!$C$12)&amp;"",""))</f>
        <v/>
      </c>
      <c r="K439">
        <f>IF(설정!$C$13="","",IFERROR(INDEX('1.산군_붙여넣기'!$A$1:$AZ$1001,ROW(),설정!$C$13)&amp;"",""))</f>
        <v/>
      </c>
      <c r="L439" s="7">
        <f>IF(X439="","",IF(AND(LEN(X439)=8,ISNUMBER(X439*1)),DATE(LEFT(X439,4),MID(X439,5,2),RIGHT(X439,2)),IFERROR(DATEVALUE(SUBSTITUTE(SUBSTITUTE(X439,".","-"),"/","-")),IFERROR(X439*1,""))))</f>
        <v/>
      </c>
      <c r="M439" s="7">
        <f>IF(Y439="","",IF(AND(LEN(Y439)=8,ISNUMBER(Y439*1)),DATE(LEFT(Y439,4),MID(Y439,5,2),RIGHT(Y439,2)),IFERROR(DATEVALUE(SUBSTITUTE(SUBSTITUTE(Y439,".","-"),"/","-")),IFERROR(Y439*1,""))))</f>
        <v/>
      </c>
      <c r="N439">
        <f>IFERROR(LEFT(B439,FIND(" ",B439)-1),B439)</f>
        <v/>
      </c>
      <c r="O439">
        <f>AND(B439&lt;&gt;"",B439&lt;&gt;설정!$B$4,C439&lt;&gt;설정!$B$5)</f>
        <v/>
      </c>
      <c r="P439">
        <f>IF(O439,B439&amp;"|"&amp;C439,"")</f>
        <v/>
      </c>
      <c r="Q439">
        <f>AND(O439,COUNTIF(P440:P$1002,P439)=0)</f>
        <v/>
      </c>
      <c r="R439">
        <f>OR(AND(설정!$A$42&lt;&gt;"",ISNUMBER(SEARCH(설정!$A$42,E439&amp;" "&amp;C439))),AND(설정!$A$43&lt;&gt;"",ISNUMBER(SEARCH(설정!$A$43,E439&amp;" "&amp;C439))),AND(설정!$A$44&lt;&gt;"",ISNUMBER(SEARCH(설정!$A$44,E439&amp;" "&amp;C439))),AND(설정!$A$45&lt;&gt;"",ISNUMBER(SEARCH(설정!$A$45,E439&amp;" "&amp;C439))),AND(설정!$A$46&lt;&gt;"",ISNUMBER(SEARCH(설정!$A$46,E439&amp;" "&amp;C439))),AND(설정!$A$47&lt;&gt;"",ISNUMBER(SEARCH(설정!$A$47,E439&amp;" "&amp;C439))),AND(설정!$A$48&lt;&gt;"",ISNUMBER(SEARCH(설정!$A$48,E439&amp;" "&amp;C439))),AND(설정!$A$49&lt;&gt;"",ISNUMBER(SEARCH(설정!$A$49,E439&amp;" "&amp;C439))),AND(설정!$A$50&lt;&gt;"",ISNUMBER(SEARCH(설정!$A$50,E439&amp;" "&amp;C439))),AND(설정!$A$51&lt;&gt;"",ISNUMBER(SEARCH(설정!$A$51,E439&amp;" "&amp;C439))))</f>
        <v/>
      </c>
      <c r="S439">
        <f>OR(D439="",D439&gt;=설정!$B$19)</f>
        <v/>
      </c>
      <c r="T439">
        <f>AND(Q439,R439,S439)</f>
        <v/>
      </c>
      <c r="U439">
        <f>IF(T439,IF(AND(설정!$A$54&lt;&gt;"",ISNUMBER(SEARCH(설정!$A$54,K439))),설정!$B$54,IF(AND(설정!$A$55&lt;&gt;"",ISNUMBER(SEARCH(설정!$A$55,K439))),설정!$B$55,IF(AND(설정!$A$56&lt;&gt;"",ISNUMBER(SEARCH(설정!$A$56,K439))),설정!$B$56,IF(AND(설정!$A$57&lt;&gt;"",ISNUMBER(SEARCH(설정!$A$57,K439))),설정!$B$57,IF(AND(설정!$A$58&lt;&gt;"",ISNUMBER(SEARCH(설정!$A$58,K439))),설정!$B$58,IF(AND(설정!$A$59&lt;&gt;"",ISNUMBER(SEARCH(설정!$A$59,K439))),설정!$B$59,IF(AND(설정!$A$60&lt;&gt;"",ISNUMBER(SEARCH(설정!$A$60,K439))),설정!$B$60,IF(AND(설정!$A$61&lt;&gt;"",ISNUMBER(SEARCH(설정!$A$61,K439))),설정!$B$61,IF(M439="","설계사","시공사"))))))))),"")</f>
        <v/>
      </c>
      <c r="V439">
        <f>SUBSTITUTE(SUBSTITUTE(SUBSTITUTE(SUBSTITUTE(G439,"(주)",""),"㈜",""),"주식회사","")," ","")</f>
        <v/>
      </c>
      <c r="W439">
        <f>IF(AND(T439,V439&lt;&gt;""),IF(COUNTIFS(V$2:V439,V439,T$2:T439,TRUE)=1,MAX(W$1:W438)+1,""),"")</f>
        <v/>
      </c>
      <c r="X439">
        <f>IF(설정!$C$14="","",IFERROR(INDEX('1.산군_붙여넣기'!$A$1:$AZ$1001,ROW(),설정!$C$14)&amp;"",""))</f>
        <v/>
      </c>
      <c r="Y439">
        <f>IF(설정!$C$15="","",IFERROR(INDEX('1.산군_붙여넣기'!$A$1:$AZ$1001,ROW(),설정!$C$15)&amp;"",""))</f>
        <v/>
      </c>
      <c r="Z439">
        <f>IF(T439,V439&amp;"|"&amp;U439,"")</f>
        <v/>
      </c>
      <c r="AA439">
        <f>IF(NOT(Q439),"",IF(NOT(AND(R439,S439)),"✕",IF(OR(OR(AND(L439&lt;&gt;"",M439&lt;&gt;"",N(M439)-N(L439)&gt;설정!$B$27),AND(L439&lt;&gt;"",M439="",설정!$B$24-N(L439)&gt;설정!$B$27)),AND(D439&lt;&gt;"",D439&lt;설정!$B$26)),"△","★")))</f>
        <v/>
      </c>
      <c r="AB439">
        <f>IF(NOT(T439),"",IF(U439="설계사",설정!$B$31,IF(U439="시공사",IF(OR(M439="",설정!$B$24-N(M439)&lt;=설정!$B$28*30.4),설정!$B$32,설정!$B$33),설정!$B$34))+IF(AA439="★",설정!$B$35,0))</f>
        <v/>
      </c>
      <c r="AC439">
        <f>SUBSTITUTE(SUBSTITUTE(SUBSTITUTE(SUBSTITUTE(H439,"(주)",""),"㈜",""),"주식회사","")," ","")</f>
        <v/>
      </c>
      <c r="AD439">
        <f>IF(AND(T439,AC439&lt;&gt;""),IF(COUNTIFS(AC$2:AC439,AC439,T$2:T439,TRUE)=1,MAX(AD$1:AD438)+1,""),"")</f>
        <v/>
      </c>
    </row>
    <row r="440">
      <c r="A440">
        <f>ROW()</f>
        <v/>
      </c>
      <c r="B440">
        <f>IF(설정!$C$4="","",IFERROR(INDEX('1.산군_붙여넣기'!$A$1:$AZ$1001,ROW(),설정!$C$4)&amp;"",""))</f>
        <v/>
      </c>
      <c r="C440">
        <f>IF(설정!$C$5="","",IFERROR(INDEX('1.산군_붙여넣기'!$A$1:$AZ$1001,ROW(),설정!$C$5)&amp;"",""))</f>
        <v/>
      </c>
      <c r="D440" s="5">
        <f>IFERROR(VALUE(SUBSTITUTE(SUBSTITUTE(SUBSTITUTE(IF(설정!$C$6="","",IFERROR(INDEX('1.산군_붙여넣기'!$A$1:$AZ$1001,ROW(),설정!$C$6)&amp;"","")),",",""),"㎡",""),"m2","")),"")</f>
        <v/>
      </c>
      <c r="E440">
        <f>IF(설정!$C$7="","",IFERROR(INDEX('1.산군_붙여넣기'!$A$1:$AZ$1001,ROW(),설정!$C$7)&amp;"",""))</f>
        <v/>
      </c>
      <c r="F440">
        <f>IF(설정!$C$8="","",IFERROR(INDEX('1.산군_붙여넣기'!$A$1:$AZ$1001,ROW(),설정!$C$8)&amp;"",""))</f>
        <v/>
      </c>
      <c r="G440">
        <f>IF(설정!$C$9="","",IFERROR(INDEX('1.산군_붙여넣기'!$A$1:$AZ$1001,ROW(),설정!$C$9)&amp;"",""))</f>
        <v/>
      </c>
      <c r="H440">
        <f>IF(설정!$C$10="","",IFERROR(INDEX('1.산군_붙여넣기'!$A$1:$AZ$1001,ROW(),설정!$C$10)&amp;"",""))</f>
        <v/>
      </c>
      <c r="I440">
        <f>IF(설정!$C$11="","",IFERROR(INDEX('1.산군_붙여넣기'!$A$1:$AZ$1001,ROW(),설정!$C$11)&amp;"",""))</f>
        <v/>
      </c>
      <c r="J440">
        <f>IF(설정!$C$12="","",IFERROR(INDEX('1.산군_붙여넣기'!$A$1:$AZ$1001,ROW(),설정!$C$12)&amp;"",""))</f>
        <v/>
      </c>
      <c r="K440">
        <f>IF(설정!$C$13="","",IFERROR(INDEX('1.산군_붙여넣기'!$A$1:$AZ$1001,ROW(),설정!$C$13)&amp;"",""))</f>
        <v/>
      </c>
      <c r="L440" s="7">
        <f>IF(X440="","",IF(AND(LEN(X440)=8,ISNUMBER(X440*1)),DATE(LEFT(X440,4),MID(X440,5,2),RIGHT(X440,2)),IFERROR(DATEVALUE(SUBSTITUTE(SUBSTITUTE(X440,".","-"),"/","-")),IFERROR(X440*1,""))))</f>
        <v/>
      </c>
      <c r="M440" s="7">
        <f>IF(Y440="","",IF(AND(LEN(Y440)=8,ISNUMBER(Y440*1)),DATE(LEFT(Y440,4),MID(Y440,5,2),RIGHT(Y440,2)),IFERROR(DATEVALUE(SUBSTITUTE(SUBSTITUTE(Y440,".","-"),"/","-")),IFERROR(Y440*1,""))))</f>
        <v/>
      </c>
      <c r="N440">
        <f>IFERROR(LEFT(B440,FIND(" ",B440)-1),B440)</f>
        <v/>
      </c>
      <c r="O440">
        <f>AND(B440&lt;&gt;"",B440&lt;&gt;설정!$B$4,C440&lt;&gt;설정!$B$5)</f>
        <v/>
      </c>
      <c r="P440">
        <f>IF(O440,B440&amp;"|"&amp;C440,"")</f>
        <v/>
      </c>
      <c r="Q440">
        <f>AND(O440,COUNTIF(P441:P$1002,P440)=0)</f>
        <v/>
      </c>
      <c r="R440">
        <f>OR(AND(설정!$A$42&lt;&gt;"",ISNUMBER(SEARCH(설정!$A$42,E440&amp;" "&amp;C440))),AND(설정!$A$43&lt;&gt;"",ISNUMBER(SEARCH(설정!$A$43,E440&amp;" "&amp;C440))),AND(설정!$A$44&lt;&gt;"",ISNUMBER(SEARCH(설정!$A$44,E440&amp;" "&amp;C440))),AND(설정!$A$45&lt;&gt;"",ISNUMBER(SEARCH(설정!$A$45,E440&amp;" "&amp;C440))),AND(설정!$A$46&lt;&gt;"",ISNUMBER(SEARCH(설정!$A$46,E440&amp;" "&amp;C440))),AND(설정!$A$47&lt;&gt;"",ISNUMBER(SEARCH(설정!$A$47,E440&amp;" "&amp;C440))),AND(설정!$A$48&lt;&gt;"",ISNUMBER(SEARCH(설정!$A$48,E440&amp;" "&amp;C440))),AND(설정!$A$49&lt;&gt;"",ISNUMBER(SEARCH(설정!$A$49,E440&amp;" "&amp;C440))),AND(설정!$A$50&lt;&gt;"",ISNUMBER(SEARCH(설정!$A$50,E440&amp;" "&amp;C440))),AND(설정!$A$51&lt;&gt;"",ISNUMBER(SEARCH(설정!$A$51,E440&amp;" "&amp;C440))))</f>
        <v/>
      </c>
      <c r="S440">
        <f>OR(D440="",D440&gt;=설정!$B$19)</f>
        <v/>
      </c>
      <c r="T440">
        <f>AND(Q440,R440,S440)</f>
        <v/>
      </c>
      <c r="U440">
        <f>IF(T440,IF(AND(설정!$A$54&lt;&gt;"",ISNUMBER(SEARCH(설정!$A$54,K440))),설정!$B$54,IF(AND(설정!$A$55&lt;&gt;"",ISNUMBER(SEARCH(설정!$A$55,K440))),설정!$B$55,IF(AND(설정!$A$56&lt;&gt;"",ISNUMBER(SEARCH(설정!$A$56,K440))),설정!$B$56,IF(AND(설정!$A$57&lt;&gt;"",ISNUMBER(SEARCH(설정!$A$57,K440))),설정!$B$57,IF(AND(설정!$A$58&lt;&gt;"",ISNUMBER(SEARCH(설정!$A$58,K440))),설정!$B$58,IF(AND(설정!$A$59&lt;&gt;"",ISNUMBER(SEARCH(설정!$A$59,K440))),설정!$B$59,IF(AND(설정!$A$60&lt;&gt;"",ISNUMBER(SEARCH(설정!$A$60,K440))),설정!$B$60,IF(AND(설정!$A$61&lt;&gt;"",ISNUMBER(SEARCH(설정!$A$61,K440))),설정!$B$61,IF(M440="","설계사","시공사"))))))))),"")</f>
        <v/>
      </c>
      <c r="V440">
        <f>SUBSTITUTE(SUBSTITUTE(SUBSTITUTE(SUBSTITUTE(G440,"(주)",""),"㈜",""),"주식회사","")," ","")</f>
        <v/>
      </c>
      <c r="W440">
        <f>IF(AND(T440,V440&lt;&gt;""),IF(COUNTIFS(V$2:V440,V440,T$2:T440,TRUE)=1,MAX(W$1:W439)+1,""),"")</f>
        <v/>
      </c>
      <c r="X440">
        <f>IF(설정!$C$14="","",IFERROR(INDEX('1.산군_붙여넣기'!$A$1:$AZ$1001,ROW(),설정!$C$14)&amp;"",""))</f>
        <v/>
      </c>
      <c r="Y440">
        <f>IF(설정!$C$15="","",IFERROR(INDEX('1.산군_붙여넣기'!$A$1:$AZ$1001,ROW(),설정!$C$15)&amp;"",""))</f>
        <v/>
      </c>
      <c r="Z440">
        <f>IF(T440,V440&amp;"|"&amp;U440,"")</f>
        <v/>
      </c>
      <c r="AA440">
        <f>IF(NOT(Q440),"",IF(NOT(AND(R440,S440)),"✕",IF(OR(OR(AND(L440&lt;&gt;"",M440&lt;&gt;"",N(M440)-N(L440)&gt;설정!$B$27),AND(L440&lt;&gt;"",M440="",설정!$B$24-N(L440)&gt;설정!$B$27)),AND(D440&lt;&gt;"",D440&lt;설정!$B$26)),"△","★")))</f>
        <v/>
      </c>
      <c r="AB440">
        <f>IF(NOT(T440),"",IF(U440="설계사",설정!$B$31,IF(U440="시공사",IF(OR(M440="",설정!$B$24-N(M440)&lt;=설정!$B$28*30.4),설정!$B$32,설정!$B$33),설정!$B$34))+IF(AA440="★",설정!$B$35,0))</f>
        <v/>
      </c>
      <c r="AC440">
        <f>SUBSTITUTE(SUBSTITUTE(SUBSTITUTE(SUBSTITUTE(H440,"(주)",""),"㈜",""),"주식회사","")," ","")</f>
        <v/>
      </c>
      <c r="AD440">
        <f>IF(AND(T440,AC440&lt;&gt;""),IF(COUNTIFS(AC$2:AC440,AC440,T$2:T440,TRUE)=1,MAX(AD$1:AD439)+1,""),"")</f>
        <v/>
      </c>
    </row>
    <row r="441">
      <c r="A441">
        <f>ROW()</f>
        <v/>
      </c>
      <c r="B441">
        <f>IF(설정!$C$4="","",IFERROR(INDEX('1.산군_붙여넣기'!$A$1:$AZ$1001,ROW(),설정!$C$4)&amp;"",""))</f>
        <v/>
      </c>
      <c r="C441">
        <f>IF(설정!$C$5="","",IFERROR(INDEX('1.산군_붙여넣기'!$A$1:$AZ$1001,ROW(),설정!$C$5)&amp;"",""))</f>
        <v/>
      </c>
      <c r="D441" s="5">
        <f>IFERROR(VALUE(SUBSTITUTE(SUBSTITUTE(SUBSTITUTE(IF(설정!$C$6="","",IFERROR(INDEX('1.산군_붙여넣기'!$A$1:$AZ$1001,ROW(),설정!$C$6)&amp;"","")),",",""),"㎡",""),"m2","")),"")</f>
        <v/>
      </c>
      <c r="E441">
        <f>IF(설정!$C$7="","",IFERROR(INDEX('1.산군_붙여넣기'!$A$1:$AZ$1001,ROW(),설정!$C$7)&amp;"",""))</f>
        <v/>
      </c>
      <c r="F441">
        <f>IF(설정!$C$8="","",IFERROR(INDEX('1.산군_붙여넣기'!$A$1:$AZ$1001,ROW(),설정!$C$8)&amp;"",""))</f>
        <v/>
      </c>
      <c r="G441">
        <f>IF(설정!$C$9="","",IFERROR(INDEX('1.산군_붙여넣기'!$A$1:$AZ$1001,ROW(),설정!$C$9)&amp;"",""))</f>
        <v/>
      </c>
      <c r="H441">
        <f>IF(설정!$C$10="","",IFERROR(INDEX('1.산군_붙여넣기'!$A$1:$AZ$1001,ROW(),설정!$C$10)&amp;"",""))</f>
        <v/>
      </c>
      <c r="I441">
        <f>IF(설정!$C$11="","",IFERROR(INDEX('1.산군_붙여넣기'!$A$1:$AZ$1001,ROW(),설정!$C$11)&amp;"",""))</f>
        <v/>
      </c>
      <c r="J441">
        <f>IF(설정!$C$12="","",IFERROR(INDEX('1.산군_붙여넣기'!$A$1:$AZ$1001,ROW(),설정!$C$12)&amp;"",""))</f>
        <v/>
      </c>
      <c r="K441">
        <f>IF(설정!$C$13="","",IFERROR(INDEX('1.산군_붙여넣기'!$A$1:$AZ$1001,ROW(),설정!$C$13)&amp;"",""))</f>
        <v/>
      </c>
      <c r="L441" s="7">
        <f>IF(X441="","",IF(AND(LEN(X441)=8,ISNUMBER(X441*1)),DATE(LEFT(X441,4),MID(X441,5,2),RIGHT(X441,2)),IFERROR(DATEVALUE(SUBSTITUTE(SUBSTITUTE(X441,".","-"),"/","-")),IFERROR(X441*1,""))))</f>
        <v/>
      </c>
      <c r="M441" s="7">
        <f>IF(Y441="","",IF(AND(LEN(Y441)=8,ISNUMBER(Y441*1)),DATE(LEFT(Y441,4),MID(Y441,5,2),RIGHT(Y441,2)),IFERROR(DATEVALUE(SUBSTITUTE(SUBSTITUTE(Y441,".","-"),"/","-")),IFERROR(Y441*1,""))))</f>
        <v/>
      </c>
      <c r="N441">
        <f>IFERROR(LEFT(B441,FIND(" ",B441)-1),B441)</f>
        <v/>
      </c>
      <c r="O441">
        <f>AND(B441&lt;&gt;"",B441&lt;&gt;설정!$B$4,C441&lt;&gt;설정!$B$5)</f>
        <v/>
      </c>
      <c r="P441">
        <f>IF(O441,B441&amp;"|"&amp;C441,"")</f>
        <v/>
      </c>
      <c r="Q441">
        <f>AND(O441,COUNTIF(P442:P$1002,P441)=0)</f>
        <v/>
      </c>
      <c r="R441">
        <f>OR(AND(설정!$A$42&lt;&gt;"",ISNUMBER(SEARCH(설정!$A$42,E441&amp;" "&amp;C441))),AND(설정!$A$43&lt;&gt;"",ISNUMBER(SEARCH(설정!$A$43,E441&amp;" "&amp;C441))),AND(설정!$A$44&lt;&gt;"",ISNUMBER(SEARCH(설정!$A$44,E441&amp;" "&amp;C441))),AND(설정!$A$45&lt;&gt;"",ISNUMBER(SEARCH(설정!$A$45,E441&amp;" "&amp;C441))),AND(설정!$A$46&lt;&gt;"",ISNUMBER(SEARCH(설정!$A$46,E441&amp;" "&amp;C441))),AND(설정!$A$47&lt;&gt;"",ISNUMBER(SEARCH(설정!$A$47,E441&amp;" "&amp;C441))),AND(설정!$A$48&lt;&gt;"",ISNUMBER(SEARCH(설정!$A$48,E441&amp;" "&amp;C441))),AND(설정!$A$49&lt;&gt;"",ISNUMBER(SEARCH(설정!$A$49,E441&amp;" "&amp;C441))),AND(설정!$A$50&lt;&gt;"",ISNUMBER(SEARCH(설정!$A$50,E441&amp;" "&amp;C441))),AND(설정!$A$51&lt;&gt;"",ISNUMBER(SEARCH(설정!$A$51,E441&amp;" "&amp;C441))))</f>
        <v/>
      </c>
      <c r="S441">
        <f>OR(D441="",D441&gt;=설정!$B$19)</f>
        <v/>
      </c>
      <c r="T441">
        <f>AND(Q441,R441,S441)</f>
        <v/>
      </c>
      <c r="U441">
        <f>IF(T441,IF(AND(설정!$A$54&lt;&gt;"",ISNUMBER(SEARCH(설정!$A$54,K441))),설정!$B$54,IF(AND(설정!$A$55&lt;&gt;"",ISNUMBER(SEARCH(설정!$A$55,K441))),설정!$B$55,IF(AND(설정!$A$56&lt;&gt;"",ISNUMBER(SEARCH(설정!$A$56,K441))),설정!$B$56,IF(AND(설정!$A$57&lt;&gt;"",ISNUMBER(SEARCH(설정!$A$57,K441))),설정!$B$57,IF(AND(설정!$A$58&lt;&gt;"",ISNUMBER(SEARCH(설정!$A$58,K441))),설정!$B$58,IF(AND(설정!$A$59&lt;&gt;"",ISNUMBER(SEARCH(설정!$A$59,K441))),설정!$B$59,IF(AND(설정!$A$60&lt;&gt;"",ISNUMBER(SEARCH(설정!$A$60,K441))),설정!$B$60,IF(AND(설정!$A$61&lt;&gt;"",ISNUMBER(SEARCH(설정!$A$61,K441))),설정!$B$61,IF(M441="","설계사","시공사"))))))))),"")</f>
        <v/>
      </c>
      <c r="V441">
        <f>SUBSTITUTE(SUBSTITUTE(SUBSTITUTE(SUBSTITUTE(G441,"(주)",""),"㈜",""),"주식회사","")," ","")</f>
        <v/>
      </c>
      <c r="W441">
        <f>IF(AND(T441,V441&lt;&gt;""),IF(COUNTIFS(V$2:V441,V441,T$2:T441,TRUE)=1,MAX(W$1:W440)+1,""),"")</f>
        <v/>
      </c>
      <c r="X441">
        <f>IF(설정!$C$14="","",IFERROR(INDEX('1.산군_붙여넣기'!$A$1:$AZ$1001,ROW(),설정!$C$14)&amp;"",""))</f>
        <v/>
      </c>
      <c r="Y441">
        <f>IF(설정!$C$15="","",IFERROR(INDEX('1.산군_붙여넣기'!$A$1:$AZ$1001,ROW(),설정!$C$15)&amp;"",""))</f>
        <v/>
      </c>
      <c r="Z441">
        <f>IF(T441,V441&amp;"|"&amp;U441,"")</f>
        <v/>
      </c>
      <c r="AA441">
        <f>IF(NOT(Q441),"",IF(NOT(AND(R441,S441)),"✕",IF(OR(OR(AND(L441&lt;&gt;"",M441&lt;&gt;"",N(M441)-N(L441)&gt;설정!$B$27),AND(L441&lt;&gt;"",M441="",설정!$B$24-N(L441)&gt;설정!$B$27)),AND(D441&lt;&gt;"",D441&lt;설정!$B$26)),"△","★")))</f>
        <v/>
      </c>
      <c r="AB441">
        <f>IF(NOT(T441),"",IF(U441="설계사",설정!$B$31,IF(U441="시공사",IF(OR(M441="",설정!$B$24-N(M441)&lt;=설정!$B$28*30.4),설정!$B$32,설정!$B$33),설정!$B$34))+IF(AA441="★",설정!$B$35,0))</f>
        <v/>
      </c>
      <c r="AC441">
        <f>SUBSTITUTE(SUBSTITUTE(SUBSTITUTE(SUBSTITUTE(H441,"(주)",""),"㈜",""),"주식회사","")," ","")</f>
        <v/>
      </c>
      <c r="AD441">
        <f>IF(AND(T441,AC441&lt;&gt;""),IF(COUNTIFS(AC$2:AC441,AC441,T$2:T441,TRUE)=1,MAX(AD$1:AD440)+1,""),"")</f>
        <v/>
      </c>
    </row>
    <row r="442">
      <c r="A442">
        <f>ROW()</f>
        <v/>
      </c>
      <c r="B442">
        <f>IF(설정!$C$4="","",IFERROR(INDEX('1.산군_붙여넣기'!$A$1:$AZ$1001,ROW(),설정!$C$4)&amp;"",""))</f>
        <v/>
      </c>
      <c r="C442">
        <f>IF(설정!$C$5="","",IFERROR(INDEX('1.산군_붙여넣기'!$A$1:$AZ$1001,ROW(),설정!$C$5)&amp;"",""))</f>
        <v/>
      </c>
      <c r="D442" s="5">
        <f>IFERROR(VALUE(SUBSTITUTE(SUBSTITUTE(SUBSTITUTE(IF(설정!$C$6="","",IFERROR(INDEX('1.산군_붙여넣기'!$A$1:$AZ$1001,ROW(),설정!$C$6)&amp;"","")),",",""),"㎡",""),"m2","")),"")</f>
        <v/>
      </c>
      <c r="E442">
        <f>IF(설정!$C$7="","",IFERROR(INDEX('1.산군_붙여넣기'!$A$1:$AZ$1001,ROW(),설정!$C$7)&amp;"",""))</f>
        <v/>
      </c>
      <c r="F442">
        <f>IF(설정!$C$8="","",IFERROR(INDEX('1.산군_붙여넣기'!$A$1:$AZ$1001,ROW(),설정!$C$8)&amp;"",""))</f>
        <v/>
      </c>
      <c r="G442">
        <f>IF(설정!$C$9="","",IFERROR(INDEX('1.산군_붙여넣기'!$A$1:$AZ$1001,ROW(),설정!$C$9)&amp;"",""))</f>
        <v/>
      </c>
      <c r="H442">
        <f>IF(설정!$C$10="","",IFERROR(INDEX('1.산군_붙여넣기'!$A$1:$AZ$1001,ROW(),설정!$C$10)&amp;"",""))</f>
        <v/>
      </c>
      <c r="I442">
        <f>IF(설정!$C$11="","",IFERROR(INDEX('1.산군_붙여넣기'!$A$1:$AZ$1001,ROW(),설정!$C$11)&amp;"",""))</f>
        <v/>
      </c>
      <c r="J442">
        <f>IF(설정!$C$12="","",IFERROR(INDEX('1.산군_붙여넣기'!$A$1:$AZ$1001,ROW(),설정!$C$12)&amp;"",""))</f>
        <v/>
      </c>
      <c r="K442">
        <f>IF(설정!$C$13="","",IFERROR(INDEX('1.산군_붙여넣기'!$A$1:$AZ$1001,ROW(),설정!$C$13)&amp;"",""))</f>
        <v/>
      </c>
      <c r="L442" s="7">
        <f>IF(X442="","",IF(AND(LEN(X442)=8,ISNUMBER(X442*1)),DATE(LEFT(X442,4),MID(X442,5,2),RIGHT(X442,2)),IFERROR(DATEVALUE(SUBSTITUTE(SUBSTITUTE(X442,".","-"),"/","-")),IFERROR(X442*1,""))))</f>
        <v/>
      </c>
      <c r="M442" s="7">
        <f>IF(Y442="","",IF(AND(LEN(Y442)=8,ISNUMBER(Y442*1)),DATE(LEFT(Y442,4),MID(Y442,5,2),RIGHT(Y442,2)),IFERROR(DATEVALUE(SUBSTITUTE(SUBSTITUTE(Y442,".","-"),"/","-")),IFERROR(Y442*1,""))))</f>
        <v/>
      </c>
      <c r="N442">
        <f>IFERROR(LEFT(B442,FIND(" ",B442)-1),B442)</f>
        <v/>
      </c>
      <c r="O442">
        <f>AND(B442&lt;&gt;"",B442&lt;&gt;설정!$B$4,C442&lt;&gt;설정!$B$5)</f>
        <v/>
      </c>
      <c r="P442">
        <f>IF(O442,B442&amp;"|"&amp;C442,"")</f>
        <v/>
      </c>
      <c r="Q442">
        <f>AND(O442,COUNTIF(P443:P$1002,P442)=0)</f>
        <v/>
      </c>
      <c r="R442">
        <f>OR(AND(설정!$A$42&lt;&gt;"",ISNUMBER(SEARCH(설정!$A$42,E442&amp;" "&amp;C442))),AND(설정!$A$43&lt;&gt;"",ISNUMBER(SEARCH(설정!$A$43,E442&amp;" "&amp;C442))),AND(설정!$A$44&lt;&gt;"",ISNUMBER(SEARCH(설정!$A$44,E442&amp;" "&amp;C442))),AND(설정!$A$45&lt;&gt;"",ISNUMBER(SEARCH(설정!$A$45,E442&amp;" "&amp;C442))),AND(설정!$A$46&lt;&gt;"",ISNUMBER(SEARCH(설정!$A$46,E442&amp;" "&amp;C442))),AND(설정!$A$47&lt;&gt;"",ISNUMBER(SEARCH(설정!$A$47,E442&amp;" "&amp;C442))),AND(설정!$A$48&lt;&gt;"",ISNUMBER(SEARCH(설정!$A$48,E442&amp;" "&amp;C442))),AND(설정!$A$49&lt;&gt;"",ISNUMBER(SEARCH(설정!$A$49,E442&amp;" "&amp;C442))),AND(설정!$A$50&lt;&gt;"",ISNUMBER(SEARCH(설정!$A$50,E442&amp;" "&amp;C442))),AND(설정!$A$51&lt;&gt;"",ISNUMBER(SEARCH(설정!$A$51,E442&amp;" "&amp;C442))))</f>
        <v/>
      </c>
      <c r="S442">
        <f>OR(D442="",D442&gt;=설정!$B$19)</f>
        <v/>
      </c>
      <c r="T442">
        <f>AND(Q442,R442,S442)</f>
        <v/>
      </c>
      <c r="U442">
        <f>IF(T442,IF(AND(설정!$A$54&lt;&gt;"",ISNUMBER(SEARCH(설정!$A$54,K442))),설정!$B$54,IF(AND(설정!$A$55&lt;&gt;"",ISNUMBER(SEARCH(설정!$A$55,K442))),설정!$B$55,IF(AND(설정!$A$56&lt;&gt;"",ISNUMBER(SEARCH(설정!$A$56,K442))),설정!$B$56,IF(AND(설정!$A$57&lt;&gt;"",ISNUMBER(SEARCH(설정!$A$57,K442))),설정!$B$57,IF(AND(설정!$A$58&lt;&gt;"",ISNUMBER(SEARCH(설정!$A$58,K442))),설정!$B$58,IF(AND(설정!$A$59&lt;&gt;"",ISNUMBER(SEARCH(설정!$A$59,K442))),설정!$B$59,IF(AND(설정!$A$60&lt;&gt;"",ISNUMBER(SEARCH(설정!$A$60,K442))),설정!$B$60,IF(AND(설정!$A$61&lt;&gt;"",ISNUMBER(SEARCH(설정!$A$61,K442))),설정!$B$61,IF(M442="","설계사","시공사"))))))))),"")</f>
        <v/>
      </c>
      <c r="V442">
        <f>SUBSTITUTE(SUBSTITUTE(SUBSTITUTE(SUBSTITUTE(G442,"(주)",""),"㈜",""),"주식회사","")," ","")</f>
        <v/>
      </c>
      <c r="W442">
        <f>IF(AND(T442,V442&lt;&gt;""),IF(COUNTIFS(V$2:V442,V442,T$2:T442,TRUE)=1,MAX(W$1:W441)+1,""),"")</f>
        <v/>
      </c>
      <c r="X442">
        <f>IF(설정!$C$14="","",IFERROR(INDEX('1.산군_붙여넣기'!$A$1:$AZ$1001,ROW(),설정!$C$14)&amp;"",""))</f>
        <v/>
      </c>
      <c r="Y442">
        <f>IF(설정!$C$15="","",IFERROR(INDEX('1.산군_붙여넣기'!$A$1:$AZ$1001,ROW(),설정!$C$15)&amp;"",""))</f>
        <v/>
      </c>
      <c r="Z442">
        <f>IF(T442,V442&amp;"|"&amp;U442,"")</f>
        <v/>
      </c>
      <c r="AA442">
        <f>IF(NOT(Q442),"",IF(NOT(AND(R442,S442)),"✕",IF(OR(OR(AND(L442&lt;&gt;"",M442&lt;&gt;"",N(M442)-N(L442)&gt;설정!$B$27),AND(L442&lt;&gt;"",M442="",설정!$B$24-N(L442)&gt;설정!$B$27)),AND(D442&lt;&gt;"",D442&lt;설정!$B$26)),"△","★")))</f>
        <v/>
      </c>
      <c r="AB442">
        <f>IF(NOT(T442),"",IF(U442="설계사",설정!$B$31,IF(U442="시공사",IF(OR(M442="",설정!$B$24-N(M442)&lt;=설정!$B$28*30.4),설정!$B$32,설정!$B$33),설정!$B$34))+IF(AA442="★",설정!$B$35,0))</f>
        <v/>
      </c>
      <c r="AC442">
        <f>SUBSTITUTE(SUBSTITUTE(SUBSTITUTE(SUBSTITUTE(H442,"(주)",""),"㈜",""),"주식회사","")," ","")</f>
        <v/>
      </c>
      <c r="AD442">
        <f>IF(AND(T442,AC442&lt;&gt;""),IF(COUNTIFS(AC$2:AC442,AC442,T$2:T442,TRUE)=1,MAX(AD$1:AD441)+1,""),"")</f>
        <v/>
      </c>
    </row>
    <row r="443">
      <c r="A443">
        <f>ROW()</f>
        <v/>
      </c>
      <c r="B443">
        <f>IF(설정!$C$4="","",IFERROR(INDEX('1.산군_붙여넣기'!$A$1:$AZ$1001,ROW(),설정!$C$4)&amp;"",""))</f>
        <v/>
      </c>
      <c r="C443">
        <f>IF(설정!$C$5="","",IFERROR(INDEX('1.산군_붙여넣기'!$A$1:$AZ$1001,ROW(),설정!$C$5)&amp;"",""))</f>
        <v/>
      </c>
      <c r="D443" s="5">
        <f>IFERROR(VALUE(SUBSTITUTE(SUBSTITUTE(SUBSTITUTE(IF(설정!$C$6="","",IFERROR(INDEX('1.산군_붙여넣기'!$A$1:$AZ$1001,ROW(),설정!$C$6)&amp;"","")),",",""),"㎡",""),"m2","")),"")</f>
        <v/>
      </c>
      <c r="E443">
        <f>IF(설정!$C$7="","",IFERROR(INDEX('1.산군_붙여넣기'!$A$1:$AZ$1001,ROW(),설정!$C$7)&amp;"",""))</f>
        <v/>
      </c>
      <c r="F443">
        <f>IF(설정!$C$8="","",IFERROR(INDEX('1.산군_붙여넣기'!$A$1:$AZ$1001,ROW(),설정!$C$8)&amp;"",""))</f>
        <v/>
      </c>
      <c r="G443">
        <f>IF(설정!$C$9="","",IFERROR(INDEX('1.산군_붙여넣기'!$A$1:$AZ$1001,ROW(),설정!$C$9)&amp;"",""))</f>
        <v/>
      </c>
      <c r="H443">
        <f>IF(설정!$C$10="","",IFERROR(INDEX('1.산군_붙여넣기'!$A$1:$AZ$1001,ROW(),설정!$C$10)&amp;"",""))</f>
        <v/>
      </c>
      <c r="I443">
        <f>IF(설정!$C$11="","",IFERROR(INDEX('1.산군_붙여넣기'!$A$1:$AZ$1001,ROW(),설정!$C$11)&amp;"",""))</f>
        <v/>
      </c>
      <c r="J443">
        <f>IF(설정!$C$12="","",IFERROR(INDEX('1.산군_붙여넣기'!$A$1:$AZ$1001,ROW(),설정!$C$12)&amp;"",""))</f>
        <v/>
      </c>
      <c r="K443">
        <f>IF(설정!$C$13="","",IFERROR(INDEX('1.산군_붙여넣기'!$A$1:$AZ$1001,ROW(),설정!$C$13)&amp;"",""))</f>
        <v/>
      </c>
      <c r="L443" s="7">
        <f>IF(X443="","",IF(AND(LEN(X443)=8,ISNUMBER(X443*1)),DATE(LEFT(X443,4),MID(X443,5,2),RIGHT(X443,2)),IFERROR(DATEVALUE(SUBSTITUTE(SUBSTITUTE(X443,".","-"),"/","-")),IFERROR(X443*1,""))))</f>
        <v/>
      </c>
      <c r="M443" s="7">
        <f>IF(Y443="","",IF(AND(LEN(Y443)=8,ISNUMBER(Y443*1)),DATE(LEFT(Y443,4),MID(Y443,5,2),RIGHT(Y443,2)),IFERROR(DATEVALUE(SUBSTITUTE(SUBSTITUTE(Y443,".","-"),"/","-")),IFERROR(Y443*1,""))))</f>
        <v/>
      </c>
      <c r="N443">
        <f>IFERROR(LEFT(B443,FIND(" ",B443)-1),B443)</f>
        <v/>
      </c>
      <c r="O443">
        <f>AND(B443&lt;&gt;"",B443&lt;&gt;설정!$B$4,C443&lt;&gt;설정!$B$5)</f>
        <v/>
      </c>
      <c r="P443">
        <f>IF(O443,B443&amp;"|"&amp;C443,"")</f>
        <v/>
      </c>
      <c r="Q443">
        <f>AND(O443,COUNTIF(P444:P$1002,P443)=0)</f>
        <v/>
      </c>
      <c r="R443">
        <f>OR(AND(설정!$A$42&lt;&gt;"",ISNUMBER(SEARCH(설정!$A$42,E443&amp;" "&amp;C443))),AND(설정!$A$43&lt;&gt;"",ISNUMBER(SEARCH(설정!$A$43,E443&amp;" "&amp;C443))),AND(설정!$A$44&lt;&gt;"",ISNUMBER(SEARCH(설정!$A$44,E443&amp;" "&amp;C443))),AND(설정!$A$45&lt;&gt;"",ISNUMBER(SEARCH(설정!$A$45,E443&amp;" "&amp;C443))),AND(설정!$A$46&lt;&gt;"",ISNUMBER(SEARCH(설정!$A$46,E443&amp;" "&amp;C443))),AND(설정!$A$47&lt;&gt;"",ISNUMBER(SEARCH(설정!$A$47,E443&amp;" "&amp;C443))),AND(설정!$A$48&lt;&gt;"",ISNUMBER(SEARCH(설정!$A$48,E443&amp;" "&amp;C443))),AND(설정!$A$49&lt;&gt;"",ISNUMBER(SEARCH(설정!$A$49,E443&amp;" "&amp;C443))),AND(설정!$A$50&lt;&gt;"",ISNUMBER(SEARCH(설정!$A$50,E443&amp;" "&amp;C443))),AND(설정!$A$51&lt;&gt;"",ISNUMBER(SEARCH(설정!$A$51,E443&amp;" "&amp;C443))))</f>
        <v/>
      </c>
      <c r="S443">
        <f>OR(D443="",D443&gt;=설정!$B$19)</f>
        <v/>
      </c>
      <c r="T443">
        <f>AND(Q443,R443,S443)</f>
        <v/>
      </c>
      <c r="U443">
        <f>IF(T443,IF(AND(설정!$A$54&lt;&gt;"",ISNUMBER(SEARCH(설정!$A$54,K443))),설정!$B$54,IF(AND(설정!$A$55&lt;&gt;"",ISNUMBER(SEARCH(설정!$A$55,K443))),설정!$B$55,IF(AND(설정!$A$56&lt;&gt;"",ISNUMBER(SEARCH(설정!$A$56,K443))),설정!$B$56,IF(AND(설정!$A$57&lt;&gt;"",ISNUMBER(SEARCH(설정!$A$57,K443))),설정!$B$57,IF(AND(설정!$A$58&lt;&gt;"",ISNUMBER(SEARCH(설정!$A$58,K443))),설정!$B$58,IF(AND(설정!$A$59&lt;&gt;"",ISNUMBER(SEARCH(설정!$A$59,K443))),설정!$B$59,IF(AND(설정!$A$60&lt;&gt;"",ISNUMBER(SEARCH(설정!$A$60,K443))),설정!$B$60,IF(AND(설정!$A$61&lt;&gt;"",ISNUMBER(SEARCH(설정!$A$61,K443))),설정!$B$61,IF(M443="","설계사","시공사"))))))))),"")</f>
        <v/>
      </c>
      <c r="V443">
        <f>SUBSTITUTE(SUBSTITUTE(SUBSTITUTE(SUBSTITUTE(G443,"(주)",""),"㈜",""),"주식회사","")," ","")</f>
        <v/>
      </c>
      <c r="W443">
        <f>IF(AND(T443,V443&lt;&gt;""),IF(COUNTIFS(V$2:V443,V443,T$2:T443,TRUE)=1,MAX(W$1:W442)+1,""),"")</f>
        <v/>
      </c>
      <c r="X443">
        <f>IF(설정!$C$14="","",IFERROR(INDEX('1.산군_붙여넣기'!$A$1:$AZ$1001,ROW(),설정!$C$14)&amp;"",""))</f>
        <v/>
      </c>
      <c r="Y443">
        <f>IF(설정!$C$15="","",IFERROR(INDEX('1.산군_붙여넣기'!$A$1:$AZ$1001,ROW(),설정!$C$15)&amp;"",""))</f>
        <v/>
      </c>
      <c r="Z443">
        <f>IF(T443,V443&amp;"|"&amp;U443,"")</f>
        <v/>
      </c>
      <c r="AA443">
        <f>IF(NOT(Q443),"",IF(NOT(AND(R443,S443)),"✕",IF(OR(OR(AND(L443&lt;&gt;"",M443&lt;&gt;"",N(M443)-N(L443)&gt;설정!$B$27),AND(L443&lt;&gt;"",M443="",설정!$B$24-N(L443)&gt;설정!$B$27)),AND(D443&lt;&gt;"",D443&lt;설정!$B$26)),"△","★")))</f>
        <v/>
      </c>
      <c r="AB443">
        <f>IF(NOT(T443),"",IF(U443="설계사",설정!$B$31,IF(U443="시공사",IF(OR(M443="",설정!$B$24-N(M443)&lt;=설정!$B$28*30.4),설정!$B$32,설정!$B$33),설정!$B$34))+IF(AA443="★",설정!$B$35,0))</f>
        <v/>
      </c>
      <c r="AC443">
        <f>SUBSTITUTE(SUBSTITUTE(SUBSTITUTE(SUBSTITUTE(H443,"(주)",""),"㈜",""),"주식회사","")," ","")</f>
        <v/>
      </c>
      <c r="AD443">
        <f>IF(AND(T443,AC443&lt;&gt;""),IF(COUNTIFS(AC$2:AC443,AC443,T$2:T443,TRUE)=1,MAX(AD$1:AD442)+1,""),"")</f>
        <v/>
      </c>
    </row>
    <row r="444">
      <c r="A444">
        <f>ROW()</f>
        <v/>
      </c>
      <c r="B444">
        <f>IF(설정!$C$4="","",IFERROR(INDEX('1.산군_붙여넣기'!$A$1:$AZ$1001,ROW(),설정!$C$4)&amp;"",""))</f>
        <v/>
      </c>
      <c r="C444">
        <f>IF(설정!$C$5="","",IFERROR(INDEX('1.산군_붙여넣기'!$A$1:$AZ$1001,ROW(),설정!$C$5)&amp;"",""))</f>
        <v/>
      </c>
      <c r="D444" s="5">
        <f>IFERROR(VALUE(SUBSTITUTE(SUBSTITUTE(SUBSTITUTE(IF(설정!$C$6="","",IFERROR(INDEX('1.산군_붙여넣기'!$A$1:$AZ$1001,ROW(),설정!$C$6)&amp;"","")),",",""),"㎡",""),"m2","")),"")</f>
        <v/>
      </c>
      <c r="E444">
        <f>IF(설정!$C$7="","",IFERROR(INDEX('1.산군_붙여넣기'!$A$1:$AZ$1001,ROW(),설정!$C$7)&amp;"",""))</f>
        <v/>
      </c>
      <c r="F444">
        <f>IF(설정!$C$8="","",IFERROR(INDEX('1.산군_붙여넣기'!$A$1:$AZ$1001,ROW(),설정!$C$8)&amp;"",""))</f>
        <v/>
      </c>
      <c r="G444">
        <f>IF(설정!$C$9="","",IFERROR(INDEX('1.산군_붙여넣기'!$A$1:$AZ$1001,ROW(),설정!$C$9)&amp;"",""))</f>
        <v/>
      </c>
      <c r="H444">
        <f>IF(설정!$C$10="","",IFERROR(INDEX('1.산군_붙여넣기'!$A$1:$AZ$1001,ROW(),설정!$C$10)&amp;"",""))</f>
        <v/>
      </c>
      <c r="I444">
        <f>IF(설정!$C$11="","",IFERROR(INDEX('1.산군_붙여넣기'!$A$1:$AZ$1001,ROW(),설정!$C$11)&amp;"",""))</f>
        <v/>
      </c>
      <c r="J444">
        <f>IF(설정!$C$12="","",IFERROR(INDEX('1.산군_붙여넣기'!$A$1:$AZ$1001,ROW(),설정!$C$12)&amp;"",""))</f>
        <v/>
      </c>
      <c r="K444">
        <f>IF(설정!$C$13="","",IFERROR(INDEX('1.산군_붙여넣기'!$A$1:$AZ$1001,ROW(),설정!$C$13)&amp;"",""))</f>
        <v/>
      </c>
      <c r="L444" s="7">
        <f>IF(X444="","",IF(AND(LEN(X444)=8,ISNUMBER(X444*1)),DATE(LEFT(X444,4),MID(X444,5,2),RIGHT(X444,2)),IFERROR(DATEVALUE(SUBSTITUTE(SUBSTITUTE(X444,".","-"),"/","-")),IFERROR(X444*1,""))))</f>
        <v/>
      </c>
      <c r="M444" s="7">
        <f>IF(Y444="","",IF(AND(LEN(Y444)=8,ISNUMBER(Y444*1)),DATE(LEFT(Y444,4),MID(Y444,5,2),RIGHT(Y444,2)),IFERROR(DATEVALUE(SUBSTITUTE(SUBSTITUTE(Y444,".","-"),"/","-")),IFERROR(Y444*1,""))))</f>
        <v/>
      </c>
      <c r="N444">
        <f>IFERROR(LEFT(B444,FIND(" ",B444)-1),B444)</f>
        <v/>
      </c>
      <c r="O444">
        <f>AND(B444&lt;&gt;"",B444&lt;&gt;설정!$B$4,C444&lt;&gt;설정!$B$5)</f>
        <v/>
      </c>
      <c r="P444">
        <f>IF(O444,B444&amp;"|"&amp;C444,"")</f>
        <v/>
      </c>
      <c r="Q444">
        <f>AND(O444,COUNTIF(P445:P$1002,P444)=0)</f>
        <v/>
      </c>
      <c r="R444">
        <f>OR(AND(설정!$A$42&lt;&gt;"",ISNUMBER(SEARCH(설정!$A$42,E444&amp;" "&amp;C444))),AND(설정!$A$43&lt;&gt;"",ISNUMBER(SEARCH(설정!$A$43,E444&amp;" "&amp;C444))),AND(설정!$A$44&lt;&gt;"",ISNUMBER(SEARCH(설정!$A$44,E444&amp;" "&amp;C444))),AND(설정!$A$45&lt;&gt;"",ISNUMBER(SEARCH(설정!$A$45,E444&amp;" "&amp;C444))),AND(설정!$A$46&lt;&gt;"",ISNUMBER(SEARCH(설정!$A$46,E444&amp;" "&amp;C444))),AND(설정!$A$47&lt;&gt;"",ISNUMBER(SEARCH(설정!$A$47,E444&amp;" "&amp;C444))),AND(설정!$A$48&lt;&gt;"",ISNUMBER(SEARCH(설정!$A$48,E444&amp;" "&amp;C444))),AND(설정!$A$49&lt;&gt;"",ISNUMBER(SEARCH(설정!$A$49,E444&amp;" "&amp;C444))),AND(설정!$A$50&lt;&gt;"",ISNUMBER(SEARCH(설정!$A$50,E444&amp;" "&amp;C444))),AND(설정!$A$51&lt;&gt;"",ISNUMBER(SEARCH(설정!$A$51,E444&amp;" "&amp;C444))))</f>
        <v/>
      </c>
      <c r="S444">
        <f>OR(D444="",D444&gt;=설정!$B$19)</f>
        <v/>
      </c>
      <c r="T444">
        <f>AND(Q444,R444,S444)</f>
        <v/>
      </c>
      <c r="U444">
        <f>IF(T444,IF(AND(설정!$A$54&lt;&gt;"",ISNUMBER(SEARCH(설정!$A$54,K444))),설정!$B$54,IF(AND(설정!$A$55&lt;&gt;"",ISNUMBER(SEARCH(설정!$A$55,K444))),설정!$B$55,IF(AND(설정!$A$56&lt;&gt;"",ISNUMBER(SEARCH(설정!$A$56,K444))),설정!$B$56,IF(AND(설정!$A$57&lt;&gt;"",ISNUMBER(SEARCH(설정!$A$57,K444))),설정!$B$57,IF(AND(설정!$A$58&lt;&gt;"",ISNUMBER(SEARCH(설정!$A$58,K444))),설정!$B$58,IF(AND(설정!$A$59&lt;&gt;"",ISNUMBER(SEARCH(설정!$A$59,K444))),설정!$B$59,IF(AND(설정!$A$60&lt;&gt;"",ISNUMBER(SEARCH(설정!$A$60,K444))),설정!$B$60,IF(AND(설정!$A$61&lt;&gt;"",ISNUMBER(SEARCH(설정!$A$61,K444))),설정!$B$61,IF(M444="","설계사","시공사"))))))))),"")</f>
        <v/>
      </c>
      <c r="V444">
        <f>SUBSTITUTE(SUBSTITUTE(SUBSTITUTE(SUBSTITUTE(G444,"(주)",""),"㈜",""),"주식회사","")," ","")</f>
        <v/>
      </c>
      <c r="W444">
        <f>IF(AND(T444,V444&lt;&gt;""),IF(COUNTIFS(V$2:V444,V444,T$2:T444,TRUE)=1,MAX(W$1:W443)+1,""),"")</f>
        <v/>
      </c>
      <c r="X444">
        <f>IF(설정!$C$14="","",IFERROR(INDEX('1.산군_붙여넣기'!$A$1:$AZ$1001,ROW(),설정!$C$14)&amp;"",""))</f>
        <v/>
      </c>
      <c r="Y444">
        <f>IF(설정!$C$15="","",IFERROR(INDEX('1.산군_붙여넣기'!$A$1:$AZ$1001,ROW(),설정!$C$15)&amp;"",""))</f>
        <v/>
      </c>
      <c r="Z444">
        <f>IF(T444,V444&amp;"|"&amp;U444,"")</f>
        <v/>
      </c>
      <c r="AA444">
        <f>IF(NOT(Q444),"",IF(NOT(AND(R444,S444)),"✕",IF(OR(OR(AND(L444&lt;&gt;"",M444&lt;&gt;"",N(M444)-N(L444)&gt;설정!$B$27),AND(L444&lt;&gt;"",M444="",설정!$B$24-N(L444)&gt;설정!$B$27)),AND(D444&lt;&gt;"",D444&lt;설정!$B$26)),"△","★")))</f>
        <v/>
      </c>
      <c r="AB444">
        <f>IF(NOT(T444),"",IF(U444="설계사",설정!$B$31,IF(U444="시공사",IF(OR(M444="",설정!$B$24-N(M444)&lt;=설정!$B$28*30.4),설정!$B$32,설정!$B$33),설정!$B$34))+IF(AA444="★",설정!$B$35,0))</f>
        <v/>
      </c>
      <c r="AC444">
        <f>SUBSTITUTE(SUBSTITUTE(SUBSTITUTE(SUBSTITUTE(H444,"(주)",""),"㈜",""),"주식회사","")," ","")</f>
        <v/>
      </c>
      <c r="AD444">
        <f>IF(AND(T444,AC444&lt;&gt;""),IF(COUNTIFS(AC$2:AC444,AC444,T$2:T444,TRUE)=1,MAX(AD$1:AD443)+1,""),"")</f>
        <v/>
      </c>
    </row>
    <row r="445">
      <c r="A445">
        <f>ROW()</f>
        <v/>
      </c>
      <c r="B445">
        <f>IF(설정!$C$4="","",IFERROR(INDEX('1.산군_붙여넣기'!$A$1:$AZ$1001,ROW(),설정!$C$4)&amp;"",""))</f>
        <v/>
      </c>
      <c r="C445">
        <f>IF(설정!$C$5="","",IFERROR(INDEX('1.산군_붙여넣기'!$A$1:$AZ$1001,ROW(),설정!$C$5)&amp;"",""))</f>
        <v/>
      </c>
      <c r="D445" s="5">
        <f>IFERROR(VALUE(SUBSTITUTE(SUBSTITUTE(SUBSTITUTE(IF(설정!$C$6="","",IFERROR(INDEX('1.산군_붙여넣기'!$A$1:$AZ$1001,ROW(),설정!$C$6)&amp;"","")),",",""),"㎡",""),"m2","")),"")</f>
        <v/>
      </c>
      <c r="E445">
        <f>IF(설정!$C$7="","",IFERROR(INDEX('1.산군_붙여넣기'!$A$1:$AZ$1001,ROW(),설정!$C$7)&amp;"",""))</f>
        <v/>
      </c>
      <c r="F445">
        <f>IF(설정!$C$8="","",IFERROR(INDEX('1.산군_붙여넣기'!$A$1:$AZ$1001,ROW(),설정!$C$8)&amp;"",""))</f>
        <v/>
      </c>
      <c r="G445">
        <f>IF(설정!$C$9="","",IFERROR(INDEX('1.산군_붙여넣기'!$A$1:$AZ$1001,ROW(),설정!$C$9)&amp;"",""))</f>
        <v/>
      </c>
      <c r="H445">
        <f>IF(설정!$C$10="","",IFERROR(INDEX('1.산군_붙여넣기'!$A$1:$AZ$1001,ROW(),설정!$C$10)&amp;"",""))</f>
        <v/>
      </c>
      <c r="I445">
        <f>IF(설정!$C$11="","",IFERROR(INDEX('1.산군_붙여넣기'!$A$1:$AZ$1001,ROW(),설정!$C$11)&amp;"",""))</f>
        <v/>
      </c>
      <c r="J445">
        <f>IF(설정!$C$12="","",IFERROR(INDEX('1.산군_붙여넣기'!$A$1:$AZ$1001,ROW(),설정!$C$12)&amp;"",""))</f>
        <v/>
      </c>
      <c r="K445">
        <f>IF(설정!$C$13="","",IFERROR(INDEX('1.산군_붙여넣기'!$A$1:$AZ$1001,ROW(),설정!$C$13)&amp;"",""))</f>
        <v/>
      </c>
      <c r="L445" s="7">
        <f>IF(X445="","",IF(AND(LEN(X445)=8,ISNUMBER(X445*1)),DATE(LEFT(X445,4),MID(X445,5,2),RIGHT(X445,2)),IFERROR(DATEVALUE(SUBSTITUTE(SUBSTITUTE(X445,".","-"),"/","-")),IFERROR(X445*1,""))))</f>
        <v/>
      </c>
      <c r="M445" s="7">
        <f>IF(Y445="","",IF(AND(LEN(Y445)=8,ISNUMBER(Y445*1)),DATE(LEFT(Y445,4),MID(Y445,5,2),RIGHT(Y445,2)),IFERROR(DATEVALUE(SUBSTITUTE(SUBSTITUTE(Y445,".","-"),"/","-")),IFERROR(Y445*1,""))))</f>
        <v/>
      </c>
      <c r="N445">
        <f>IFERROR(LEFT(B445,FIND(" ",B445)-1),B445)</f>
        <v/>
      </c>
      <c r="O445">
        <f>AND(B445&lt;&gt;"",B445&lt;&gt;설정!$B$4,C445&lt;&gt;설정!$B$5)</f>
        <v/>
      </c>
      <c r="P445">
        <f>IF(O445,B445&amp;"|"&amp;C445,"")</f>
        <v/>
      </c>
      <c r="Q445">
        <f>AND(O445,COUNTIF(P446:P$1002,P445)=0)</f>
        <v/>
      </c>
      <c r="R445">
        <f>OR(AND(설정!$A$42&lt;&gt;"",ISNUMBER(SEARCH(설정!$A$42,E445&amp;" "&amp;C445))),AND(설정!$A$43&lt;&gt;"",ISNUMBER(SEARCH(설정!$A$43,E445&amp;" "&amp;C445))),AND(설정!$A$44&lt;&gt;"",ISNUMBER(SEARCH(설정!$A$44,E445&amp;" "&amp;C445))),AND(설정!$A$45&lt;&gt;"",ISNUMBER(SEARCH(설정!$A$45,E445&amp;" "&amp;C445))),AND(설정!$A$46&lt;&gt;"",ISNUMBER(SEARCH(설정!$A$46,E445&amp;" "&amp;C445))),AND(설정!$A$47&lt;&gt;"",ISNUMBER(SEARCH(설정!$A$47,E445&amp;" "&amp;C445))),AND(설정!$A$48&lt;&gt;"",ISNUMBER(SEARCH(설정!$A$48,E445&amp;" "&amp;C445))),AND(설정!$A$49&lt;&gt;"",ISNUMBER(SEARCH(설정!$A$49,E445&amp;" "&amp;C445))),AND(설정!$A$50&lt;&gt;"",ISNUMBER(SEARCH(설정!$A$50,E445&amp;" "&amp;C445))),AND(설정!$A$51&lt;&gt;"",ISNUMBER(SEARCH(설정!$A$51,E445&amp;" "&amp;C445))))</f>
        <v/>
      </c>
      <c r="S445">
        <f>OR(D445="",D445&gt;=설정!$B$19)</f>
        <v/>
      </c>
      <c r="T445">
        <f>AND(Q445,R445,S445)</f>
        <v/>
      </c>
      <c r="U445">
        <f>IF(T445,IF(AND(설정!$A$54&lt;&gt;"",ISNUMBER(SEARCH(설정!$A$54,K445))),설정!$B$54,IF(AND(설정!$A$55&lt;&gt;"",ISNUMBER(SEARCH(설정!$A$55,K445))),설정!$B$55,IF(AND(설정!$A$56&lt;&gt;"",ISNUMBER(SEARCH(설정!$A$56,K445))),설정!$B$56,IF(AND(설정!$A$57&lt;&gt;"",ISNUMBER(SEARCH(설정!$A$57,K445))),설정!$B$57,IF(AND(설정!$A$58&lt;&gt;"",ISNUMBER(SEARCH(설정!$A$58,K445))),설정!$B$58,IF(AND(설정!$A$59&lt;&gt;"",ISNUMBER(SEARCH(설정!$A$59,K445))),설정!$B$59,IF(AND(설정!$A$60&lt;&gt;"",ISNUMBER(SEARCH(설정!$A$60,K445))),설정!$B$60,IF(AND(설정!$A$61&lt;&gt;"",ISNUMBER(SEARCH(설정!$A$61,K445))),설정!$B$61,IF(M445="","설계사","시공사"))))))))),"")</f>
        <v/>
      </c>
      <c r="V445">
        <f>SUBSTITUTE(SUBSTITUTE(SUBSTITUTE(SUBSTITUTE(G445,"(주)",""),"㈜",""),"주식회사","")," ","")</f>
        <v/>
      </c>
      <c r="W445">
        <f>IF(AND(T445,V445&lt;&gt;""),IF(COUNTIFS(V$2:V445,V445,T$2:T445,TRUE)=1,MAX(W$1:W444)+1,""),"")</f>
        <v/>
      </c>
      <c r="X445">
        <f>IF(설정!$C$14="","",IFERROR(INDEX('1.산군_붙여넣기'!$A$1:$AZ$1001,ROW(),설정!$C$14)&amp;"",""))</f>
        <v/>
      </c>
      <c r="Y445">
        <f>IF(설정!$C$15="","",IFERROR(INDEX('1.산군_붙여넣기'!$A$1:$AZ$1001,ROW(),설정!$C$15)&amp;"",""))</f>
        <v/>
      </c>
      <c r="Z445">
        <f>IF(T445,V445&amp;"|"&amp;U445,"")</f>
        <v/>
      </c>
      <c r="AA445">
        <f>IF(NOT(Q445),"",IF(NOT(AND(R445,S445)),"✕",IF(OR(OR(AND(L445&lt;&gt;"",M445&lt;&gt;"",N(M445)-N(L445)&gt;설정!$B$27),AND(L445&lt;&gt;"",M445="",설정!$B$24-N(L445)&gt;설정!$B$27)),AND(D445&lt;&gt;"",D445&lt;설정!$B$26)),"△","★")))</f>
        <v/>
      </c>
      <c r="AB445">
        <f>IF(NOT(T445),"",IF(U445="설계사",설정!$B$31,IF(U445="시공사",IF(OR(M445="",설정!$B$24-N(M445)&lt;=설정!$B$28*30.4),설정!$B$32,설정!$B$33),설정!$B$34))+IF(AA445="★",설정!$B$35,0))</f>
        <v/>
      </c>
      <c r="AC445">
        <f>SUBSTITUTE(SUBSTITUTE(SUBSTITUTE(SUBSTITUTE(H445,"(주)",""),"㈜",""),"주식회사","")," ","")</f>
        <v/>
      </c>
      <c r="AD445">
        <f>IF(AND(T445,AC445&lt;&gt;""),IF(COUNTIFS(AC$2:AC445,AC445,T$2:T445,TRUE)=1,MAX(AD$1:AD444)+1,""),"")</f>
        <v/>
      </c>
    </row>
    <row r="446">
      <c r="A446">
        <f>ROW()</f>
        <v/>
      </c>
      <c r="B446">
        <f>IF(설정!$C$4="","",IFERROR(INDEX('1.산군_붙여넣기'!$A$1:$AZ$1001,ROW(),설정!$C$4)&amp;"",""))</f>
        <v/>
      </c>
      <c r="C446">
        <f>IF(설정!$C$5="","",IFERROR(INDEX('1.산군_붙여넣기'!$A$1:$AZ$1001,ROW(),설정!$C$5)&amp;"",""))</f>
        <v/>
      </c>
      <c r="D446" s="5">
        <f>IFERROR(VALUE(SUBSTITUTE(SUBSTITUTE(SUBSTITUTE(IF(설정!$C$6="","",IFERROR(INDEX('1.산군_붙여넣기'!$A$1:$AZ$1001,ROW(),설정!$C$6)&amp;"","")),",",""),"㎡",""),"m2","")),"")</f>
        <v/>
      </c>
      <c r="E446">
        <f>IF(설정!$C$7="","",IFERROR(INDEX('1.산군_붙여넣기'!$A$1:$AZ$1001,ROW(),설정!$C$7)&amp;"",""))</f>
        <v/>
      </c>
      <c r="F446">
        <f>IF(설정!$C$8="","",IFERROR(INDEX('1.산군_붙여넣기'!$A$1:$AZ$1001,ROW(),설정!$C$8)&amp;"",""))</f>
        <v/>
      </c>
      <c r="G446">
        <f>IF(설정!$C$9="","",IFERROR(INDEX('1.산군_붙여넣기'!$A$1:$AZ$1001,ROW(),설정!$C$9)&amp;"",""))</f>
        <v/>
      </c>
      <c r="H446">
        <f>IF(설정!$C$10="","",IFERROR(INDEX('1.산군_붙여넣기'!$A$1:$AZ$1001,ROW(),설정!$C$10)&amp;"",""))</f>
        <v/>
      </c>
      <c r="I446">
        <f>IF(설정!$C$11="","",IFERROR(INDEX('1.산군_붙여넣기'!$A$1:$AZ$1001,ROW(),설정!$C$11)&amp;"",""))</f>
        <v/>
      </c>
      <c r="J446">
        <f>IF(설정!$C$12="","",IFERROR(INDEX('1.산군_붙여넣기'!$A$1:$AZ$1001,ROW(),설정!$C$12)&amp;"",""))</f>
        <v/>
      </c>
      <c r="K446">
        <f>IF(설정!$C$13="","",IFERROR(INDEX('1.산군_붙여넣기'!$A$1:$AZ$1001,ROW(),설정!$C$13)&amp;"",""))</f>
        <v/>
      </c>
      <c r="L446" s="7">
        <f>IF(X446="","",IF(AND(LEN(X446)=8,ISNUMBER(X446*1)),DATE(LEFT(X446,4),MID(X446,5,2),RIGHT(X446,2)),IFERROR(DATEVALUE(SUBSTITUTE(SUBSTITUTE(X446,".","-"),"/","-")),IFERROR(X446*1,""))))</f>
        <v/>
      </c>
      <c r="M446" s="7">
        <f>IF(Y446="","",IF(AND(LEN(Y446)=8,ISNUMBER(Y446*1)),DATE(LEFT(Y446,4),MID(Y446,5,2),RIGHT(Y446,2)),IFERROR(DATEVALUE(SUBSTITUTE(SUBSTITUTE(Y446,".","-"),"/","-")),IFERROR(Y446*1,""))))</f>
        <v/>
      </c>
      <c r="N446">
        <f>IFERROR(LEFT(B446,FIND(" ",B446)-1),B446)</f>
        <v/>
      </c>
      <c r="O446">
        <f>AND(B446&lt;&gt;"",B446&lt;&gt;설정!$B$4,C446&lt;&gt;설정!$B$5)</f>
        <v/>
      </c>
      <c r="P446">
        <f>IF(O446,B446&amp;"|"&amp;C446,"")</f>
        <v/>
      </c>
      <c r="Q446">
        <f>AND(O446,COUNTIF(P447:P$1002,P446)=0)</f>
        <v/>
      </c>
      <c r="R446">
        <f>OR(AND(설정!$A$42&lt;&gt;"",ISNUMBER(SEARCH(설정!$A$42,E446&amp;" "&amp;C446))),AND(설정!$A$43&lt;&gt;"",ISNUMBER(SEARCH(설정!$A$43,E446&amp;" "&amp;C446))),AND(설정!$A$44&lt;&gt;"",ISNUMBER(SEARCH(설정!$A$44,E446&amp;" "&amp;C446))),AND(설정!$A$45&lt;&gt;"",ISNUMBER(SEARCH(설정!$A$45,E446&amp;" "&amp;C446))),AND(설정!$A$46&lt;&gt;"",ISNUMBER(SEARCH(설정!$A$46,E446&amp;" "&amp;C446))),AND(설정!$A$47&lt;&gt;"",ISNUMBER(SEARCH(설정!$A$47,E446&amp;" "&amp;C446))),AND(설정!$A$48&lt;&gt;"",ISNUMBER(SEARCH(설정!$A$48,E446&amp;" "&amp;C446))),AND(설정!$A$49&lt;&gt;"",ISNUMBER(SEARCH(설정!$A$49,E446&amp;" "&amp;C446))),AND(설정!$A$50&lt;&gt;"",ISNUMBER(SEARCH(설정!$A$50,E446&amp;" "&amp;C446))),AND(설정!$A$51&lt;&gt;"",ISNUMBER(SEARCH(설정!$A$51,E446&amp;" "&amp;C446))))</f>
        <v/>
      </c>
      <c r="S446">
        <f>OR(D446="",D446&gt;=설정!$B$19)</f>
        <v/>
      </c>
      <c r="T446">
        <f>AND(Q446,R446,S446)</f>
        <v/>
      </c>
      <c r="U446">
        <f>IF(T446,IF(AND(설정!$A$54&lt;&gt;"",ISNUMBER(SEARCH(설정!$A$54,K446))),설정!$B$54,IF(AND(설정!$A$55&lt;&gt;"",ISNUMBER(SEARCH(설정!$A$55,K446))),설정!$B$55,IF(AND(설정!$A$56&lt;&gt;"",ISNUMBER(SEARCH(설정!$A$56,K446))),설정!$B$56,IF(AND(설정!$A$57&lt;&gt;"",ISNUMBER(SEARCH(설정!$A$57,K446))),설정!$B$57,IF(AND(설정!$A$58&lt;&gt;"",ISNUMBER(SEARCH(설정!$A$58,K446))),설정!$B$58,IF(AND(설정!$A$59&lt;&gt;"",ISNUMBER(SEARCH(설정!$A$59,K446))),설정!$B$59,IF(AND(설정!$A$60&lt;&gt;"",ISNUMBER(SEARCH(설정!$A$60,K446))),설정!$B$60,IF(AND(설정!$A$61&lt;&gt;"",ISNUMBER(SEARCH(설정!$A$61,K446))),설정!$B$61,IF(M446="","설계사","시공사"))))))))),"")</f>
        <v/>
      </c>
      <c r="V446">
        <f>SUBSTITUTE(SUBSTITUTE(SUBSTITUTE(SUBSTITUTE(G446,"(주)",""),"㈜",""),"주식회사","")," ","")</f>
        <v/>
      </c>
      <c r="W446">
        <f>IF(AND(T446,V446&lt;&gt;""),IF(COUNTIFS(V$2:V446,V446,T$2:T446,TRUE)=1,MAX(W$1:W445)+1,""),"")</f>
        <v/>
      </c>
      <c r="X446">
        <f>IF(설정!$C$14="","",IFERROR(INDEX('1.산군_붙여넣기'!$A$1:$AZ$1001,ROW(),설정!$C$14)&amp;"",""))</f>
        <v/>
      </c>
      <c r="Y446">
        <f>IF(설정!$C$15="","",IFERROR(INDEX('1.산군_붙여넣기'!$A$1:$AZ$1001,ROW(),설정!$C$15)&amp;"",""))</f>
        <v/>
      </c>
      <c r="Z446">
        <f>IF(T446,V446&amp;"|"&amp;U446,"")</f>
        <v/>
      </c>
      <c r="AA446">
        <f>IF(NOT(Q446),"",IF(NOT(AND(R446,S446)),"✕",IF(OR(OR(AND(L446&lt;&gt;"",M446&lt;&gt;"",N(M446)-N(L446)&gt;설정!$B$27),AND(L446&lt;&gt;"",M446="",설정!$B$24-N(L446)&gt;설정!$B$27)),AND(D446&lt;&gt;"",D446&lt;설정!$B$26)),"△","★")))</f>
        <v/>
      </c>
      <c r="AB446">
        <f>IF(NOT(T446),"",IF(U446="설계사",설정!$B$31,IF(U446="시공사",IF(OR(M446="",설정!$B$24-N(M446)&lt;=설정!$B$28*30.4),설정!$B$32,설정!$B$33),설정!$B$34))+IF(AA446="★",설정!$B$35,0))</f>
        <v/>
      </c>
      <c r="AC446">
        <f>SUBSTITUTE(SUBSTITUTE(SUBSTITUTE(SUBSTITUTE(H446,"(주)",""),"㈜",""),"주식회사","")," ","")</f>
        <v/>
      </c>
      <c r="AD446">
        <f>IF(AND(T446,AC446&lt;&gt;""),IF(COUNTIFS(AC$2:AC446,AC446,T$2:T446,TRUE)=1,MAX(AD$1:AD445)+1,""),"")</f>
        <v/>
      </c>
    </row>
    <row r="447">
      <c r="A447">
        <f>ROW()</f>
        <v/>
      </c>
      <c r="B447">
        <f>IF(설정!$C$4="","",IFERROR(INDEX('1.산군_붙여넣기'!$A$1:$AZ$1001,ROW(),설정!$C$4)&amp;"",""))</f>
        <v/>
      </c>
      <c r="C447">
        <f>IF(설정!$C$5="","",IFERROR(INDEX('1.산군_붙여넣기'!$A$1:$AZ$1001,ROW(),설정!$C$5)&amp;"",""))</f>
        <v/>
      </c>
      <c r="D447" s="5">
        <f>IFERROR(VALUE(SUBSTITUTE(SUBSTITUTE(SUBSTITUTE(IF(설정!$C$6="","",IFERROR(INDEX('1.산군_붙여넣기'!$A$1:$AZ$1001,ROW(),설정!$C$6)&amp;"","")),",",""),"㎡",""),"m2","")),"")</f>
        <v/>
      </c>
      <c r="E447">
        <f>IF(설정!$C$7="","",IFERROR(INDEX('1.산군_붙여넣기'!$A$1:$AZ$1001,ROW(),설정!$C$7)&amp;"",""))</f>
        <v/>
      </c>
      <c r="F447">
        <f>IF(설정!$C$8="","",IFERROR(INDEX('1.산군_붙여넣기'!$A$1:$AZ$1001,ROW(),설정!$C$8)&amp;"",""))</f>
        <v/>
      </c>
      <c r="G447">
        <f>IF(설정!$C$9="","",IFERROR(INDEX('1.산군_붙여넣기'!$A$1:$AZ$1001,ROW(),설정!$C$9)&amp;"",""))</f>
        <v/>
      </c>
      <c r="H447">
        <f>IF(설정!$C$10="","",IFERROR(INDEX('1.산군_붙여넣기'!$A$1:$AZ$1001,ROW(),설정!$C$10)&amp;"",""))</f>
        <v/>
      </c>
      <c r="I447">
        <f>IF(설정!$C$11="","",IFERROR(INDEX('1.산군_붙여넣기'!$A$1:$AZ$1001,ROW(),설정!$C$11)&amp;"",""))</f>
        <v/>
      </c>
      <c r="J447">
        <f>IF(설정!$C$12="","",IFERROR(INDEX('1.산군_붙여넣기'!$A$1:$AZ$1001,ROW(),설정!$C$12)&amp;"",""))</f>
        <v/>
      </c>
      <c r="K447">
        <f>IF(설정!$C$13="","",IFERROR(INDEX('1.산군_붙여넣기'!$A$1:$AZ$1001,ROW(),설정!$C$13)&amp;"",""))</f>
        <v/>
      </c>
      <c r="L447" s="7">
        <f>IF(X447="","",IF(AND(LEN(X447)=8,ISNUMBER(X447*1)),DATE(LEFT(X447,4),MID(X447,5,2),RIGHT(X447,2)),IFERROR(DATEVALUE(SUBSTITUTE(SUBSTITUTE(X447,".","-"),"/","-")),IFERROR(X447*1,""))))</f>
        <v/>
      </c>
      <c r="M447" s="7">
        <f>IF(Y447="","",IF(AND(LEN(Y447)=8,ISNUMBER(Y447*1)),DATE(LEFT(Y447,4),MID(Y447,5,2),RIGHT(Y447,2)),IFERROR(DATEVALUE(SUBSTITUTE(SUBSTITUTE(Y447,".","-"),"/","-")),IFERROR(Y447*1,""))))</f>
        <v/>
      </c>
      <c r="N447">
        <f>IFERROR(LEFT(B447,FIND(" ",B447)-1),B447)</f>
        <v/>
      </c>
      <c r="O447">
        <f>AND(B447&lt;&gt;"",B447&lt;&gt;설정!$B$4,C447&lt;&gt;설정!$B$5)</f>
        <v/>
      </c>
      <c r="P447">
        <f>IF(O447,B447&amp;"|"&amp;C447,"")</f>
        <v/>
      </c>
      <c r="Q447">
        <f>AND(O447,COUNTIF(P448:P$1002,P447)=0)</f>
        <v/>
      </c>
      <c r="R447">
        <f>OR(AND(설정!$A$42&lt;&gt;"",ISNUMBER(SEARCH(설정!$A$42,E447&amp;" "&amp;C447))),AND(설정!$A$43&lt;&gt;"",ISNUMBER(SEARCH(설정!$A$43,E447&amp;" "&amp;C447))),AND(설정!$A$44&lt;&gt;"",ISNUMBER(SEARCH(설정!$A$44,E447&amp;" "&amp;C447))),AND(설정!$A$45&lt;&gt;"",ISNUMBER(SEARCH(설정!$A$45,E447&amp;" "&amp;C447))),AND(설정!$A$46&lt;&gt;"",ISNUMBER(SEARCH(설정!$A$46,E447&amp;" "&amp;C447))),AND(설정!$A$47&lt;&gt;"",ISNUMBER(SEARCH(설정!$A$47,E447&amp;" "&amp;C447))),AND(설정!$A$48&lt;&gt;"",ISNUMBER(SEARCH(설정!$A$48,E447&amp;" "&amp;C447))),AND(설정!$A$49&lt;&gt;"",ISNUMBER(SEARCH(설정!$A$49,E447&amp;" "&amp;C447))),AND(설정!$A$50&lt;&gt;"",ISNUMBER(SEARCH(설정!$A$50,E447&amp;" "&amp;C447))),AND(설정!$A$51&lt;&gt;"",ISNUMBER(SEARCH(설정!$A$51,E447&amp;" "&amp;C447))))</f>
        <v/>
      </c>
      <c r="S447">
        <f>OR(D447="",D447&gt;=설정!$B$19)</f>
        <v/>
      </c>
      <c r="T447">
        <f>AND(Q447,R447,S447)</f>
        <v/>
      </c>
      <c r="U447">
        <f>IF(T447,IF(AND(설정!$A$54&lt;&gt;"",ISNUMBER(SEARCH(설정!$A$54,K447))),설정!$B$54,IF(AND(설정!$A$55&lt;&gt;"",ISNUMBER(SEARCH(설정!$A$55,K447))),설정!$B$55,IF(AND(설정!$A$56&lt;&gt;"",ISNUMBER(SEARCH(설정!$A$56,K447))),설정!$B$56,IF(AND(설정!$A$57&lt;&gt;"",ISNUMBER(SEARCH(설정!$A$57,K447))),설정!$B$57,IF(AND(설정!$A$58&lt;&gt;"",ISNUMBER(SEARCH(설정!$A$58,K447))),설정!$B$58,IF(AND(설정!$A$59&lt;&gt;"",ISNUMBER(SEARCH(설정!$A$59,K447))),설정!$B$59,IF(AND(설정!$A$60&lt;&gt;"",ISNUMBER(SEARCH(설정!$A$60,K447))),설정!$B$60,IF(AND(설정!$A$61&lt;&gt;"",ISNUMBER(SEARCH(설정!$A$61,K447))),설정!$B$61,IF(M447="","설계사","시공사"))))))))),"")</f>
        <v/>
      </c>
      <c r="V447">
        <f>SUBSTITUTE(SUBSTITUTE(SUBSTITUTE(SUBSTITUTE(G447,"(주)",""),"㈜",""),"주식회사","")," ","")</f>
        <v/>
      </c>
      <c r="W447">
        <f>IF(AND(T447,V447&lt;&gt;""),IF(COUNTIFS(V$2:V447,V447,T$2:T447,TRUE)=1,MAX(W$1:W446)+1,""),"")</f>
        <v/>
      </c>
      <c r="X447">
        <f>IF(설정!$C$14="","",IFERROR(INDEX('1.산군_붙여넣기'!$A$1:$AZ$1001,ROW(),설정!$C$14)&amp;"",""))</f>
        <v/>
      </c>
      <c r="Y447">
        <f>IF(설정!$C$15="","",IFERROR(INDEX('1.산군_붙여넣기'!$A$1:$AZ$1001,ROW(),설정!$C$15)&amp;"",""))</f>
        <v/>
      </c>
      <c r="Z447">
        <f>IF(T447,V447&amp;"|"&amp;U447,"")</f>
        <v/>
      </c>
      <c r="AA447">
        <f>IF(NOT(Q447),"",IF(NOT(AND(R447,S447)),"✕",IF(OR(OR(AND(L447&lt;&gt;"",M447&lt;&gt;"",N(M447)-N(L447)&gt;설정!$B$27),AND(L447&lt;&gt;"",M447="",설정!$B$24-N(L447)&gt;설정!$B$27)),AND(D447&lt;&gt;"",D447&lt;설정!$B$26)),"△","★")))</f>
        <v/>
      </c>
      <c r="AB447">
        <f>IF(NOT(T447),"",IF(U447="설계사",설정!$B$31,IF(U447="시공사",IF(OR(M447="",설정!$B$24-N(M447)&lt;=설정!$B$28*30.4),설정!$B$32,설정!$B$33),설정!$B$34))+IF(AA447="★",설정!$B$35,0))</f>
        <v/>
      </c>
      <c r="AC447">
        <f>SUBSTITUTE(SUBSTITUTE(SUBSTITUTE(SUBSTITUTE(H447,"(주)",""),"㈜",""),"주식회사","")," ","")</f>
        <v/>
      </c>
      <c r="AD447">
        <f>IF(AND(T447,AC447&lt;&gt;""),IF(COUNTIFS(AC$2:AC447,AC447,T$2:T447,TRUE)=1,MAX(AD$1:AD446)+1,""),"")</f>
        <v/>
      </c>
    </row>
    <row r="448">
      <c r="A448">
        <f>ROW()</f>
        <v/>
      </c>
      <c r="B448">
        <f>IF(설정!$C$4="","",IFERROR(INDEX('1.산군_붙여넣기'!$A$1:$AZ$1001,ROW(),설정!$C$4)&amp;"",""))</f>
        <v/>
      </c>
      <c r="C448">
        <f>IF(설정!$C$5="","",IFERROR(INDEX('1.산군_붙여넣기'!$A$1:$AZ$1001,ROW(),설정!$C$5)&amp;"",""))</f>
        <v/>
      </c>
      <c r="D448" s="5">
        <f>IFERROR(VALUE(SUBSTITUTE(SUBSTITUTE(SUBSTITUTE(IF(설정!$C$6="","",IFERROR(INDEX('1.산군_붙여넣기'!$A$1:$AZ$1001,ROW(),설정!$C$6)&amp;"","")),",",""),"㎡",""),"m2","")),"")</f>
        <v/>
      </c>
      <c r="E448">
        <f>IF(설정!$C$7="","",IFERROR(INDEX('1.산군_붙여넣기'!$A$1:$AZ$1001,ROW(),설정!$C$7)&amp;"",""))</f>
        <v/>
      </c>
      <c r="F448">
        <f>IF(설정!$C$8="","",IFERROR(INDEX('1.산군_붙여넣기'!$A$1:$AZ$1001,ROW(),설정!$C$8)&amp;"",""))</f>
        <v/>
      </c>
      <c r="G448">
        <f>IF(설정!$C$9="","",IFERROR(INDEX('1.산군_붙여넣기'!$A$1:$AZ$1001,ROW(),설정!$C$9)&amp;"",""))</f>
        <v/>
      </c>
      <c r="H448">
        <f>IF(설정!$C$10="","",IFERROR(INDEX('1.산군_붙여넣기'!$A$1:$AZ$1001,ROW(),설정!$C$10)&amp;"",""))</f>
        <v/>
      </c>
      <c r="I448">
        <f>IF(설정!$C$11="","",IFERROR(INDEX('1.산군_붙여넣기'!$A$1:$AZ$1001,ROW(),설정!$C$11)&amp;"",""))</f>
        <v/>
      </c>
      <c r="J448">
        <f>IF(설정!$C$12="","",IFERROR(INDEX('1.산군_붙여넣기'!$A$1:$AZ$1001,ROW(),설정!$C$12)&amp;"",""))</f>
        <v/>
      </c>
      <c r="K448">
        <f>IF(설정!$C$13="","",IFERROR(INDEX('1.산군_붙여넣기'!$A$1:$AZ$1001,ROW(),설정!$C$13)&amp;"",""))</f>
        <v/>
      </c>
      <c r="L448" s="7">
        <f>IF(X448="","",IF(AND(LEN(X448)=8,ISNUMBER(X448*1)),DATE(LEFT(X448,4),MID(X448,5,2),RIGHT(X448,2)),IFERROR(DATEVALUE(SUBSTITUTE(SUBSTITUTE(X448,".","-"),"/","-")),IFERROR(X448*1,""))))</f>
        <v/>
      </c>
      <c r="M448" s="7">
        <f>IF(Y448="","",IF(AND(LEN(Y448)=8,ISNUMBER(Y448*1)),DATE(LEFT(Y448,4),MID(Y448,5,2),RIGHT(Y448,2)),IFERROR(DATEVALUE(SUBSTITUTE(SUBSTITUTE(Y448,".","-"),"/","-")),IFERROR(Y448*1,""))))</f>
        <v/>
      </c>
      <c r="N448">
        <f>IFERROR(LEFT(B448,FIND(" ",B448)-1),B448)</f>
        <v/>
      </c>
      <c r="O448">
        <f>AND(B448&lt;&gt;"",B448&lt;&gt;설정!$B$4,C448&lt;&gt;설정!$B$5)</f>
        <v/>
      </c>
      <c r="P448">
        <f>IF(O448,B448&amp;"|"&amp;C448,"")</f>
        <v/>
      </c>
      <c r="Q448">
        <f>AND(O448,COUNTIF(P449:P$1002,P448)=0)</f>
        <v/>
      </c>
      <c r="R448">
        <f>OR(AND(설정!$A$42&lt;&gt;"",ISNUMBER(SEARCH(설정!$A$42,E448&amp;" "&amp;C448))),AND(설정!$A$43&lt;&gt;"",ISNUMBER(SEARCH(설정!$A$43,E448&amp;" "&amp;C448))),AND(설정!$A$44&lt;&gt;"",ISNUMBER(SEARCH(설정!$A$44,E448&amp;" "&amp;C448))),AND(설정!$A$45&lt;&gt;"",ISNUMBER(SEARCH(설정!$A$45,E448&amp;" "&amp;C448))),AND(설정!$A$46&lt;&gt;"",ISNUMBER(SEARCH(설정!$A$46,E448&amp;" "&amp;C448))),AND(설정!$A$47&lt;&gt;"",ISNUMBER(SEARCH(설정!$A$47,E448&amp;" "&amp;C448))),AND(설정!$A$48&lt;&gt;"",ISNUMBER(SEARCH(설정!$A$48,E448&amp;" "&amp;C448))),AND(설정!$A$49&lt;&gt;"",ISNUMBER(SEARCH(설정!$A$49,E448&amp;" "&amp;C448))),AND(설정!$A$50&lt;&gt;"",ISNUMBER(SEARCH(설정!$A$50,E448&amp;" "&amp;C448))),AND(설정!$A$51&lt;&gt;"",ISNUMBER(SEARCH(설정!$A$51,E448&amp;" "&amp;C448))))</f>
        <v/>
      </c>
      <c r="S448">
        <f>OR(D448="",D448&gt;=설정!$B$19)</f>
        <v/>
      </c>
      <c r="T448">
        <f>AND(Q448,R448,S448)</f>
        <v/>
      </c>
      <c r="U448">
        <f>IF(T448,IF(AND(설정!$A$54&lt;&gt;"",ISNUMBER(SEARCH(설정!$A$54,K448))),설정!$B$54,IF(AND(설정!$A$55&lt;&gt;"",ISNUMBER(SEARCH(설정!$A$55,K448))),설정!$B$55,IF(AND(설정!$A$56&lt;&gt;"",ISNUMBER(SEARCH(설정!$A$56,K448))),설정!$B$56,IF(AND(설정!$A$57&lt;&gt;"",ISNUMBER(SEARCH(설정!$A$57,K448))),설정!$B$57,IF(AND(설정!$A$58&lt;&gt;"",ISNUMBER(SEARCH(설정!$A$58,K448))),설정!$B$58,IF(AND(설정!$A$59&lt;&gt;"",ISNUMBER(SEARCH(설정!$A$59,K448))),설정!$B$59,IF(AND(설정!$A$60&lt;&gt;"",ISNUMBER(SEARCH(설정!$A$60,K448))),설정!$B$60,IF(AND(설정!$A$61&lt;&gt;"",ISNUMBER(SEARCH(설정!$A$61,K448))),설정!$B$61,IF(M448="","설계사","시공사"))))))))),"")</f>
        <v/>
      </c>
      <c r="V448">
        <f>SUBSTITUTE(SUBSTITUTE(SUBSTITUTE(SUBSTITUTE(G448,"(주)",""),"㈜",""),"주식회사","")," ","")</f>
        <v/>
      </c>
      <c r="W448">
        <f>IF(AND(T448,V448&lt;&gt;""),IF(COUNTIFS(V$2:V448,V448,T$2:T448,TRUE)=1,MAX(W$1:W447)+1,""),"")</f>
        <v/>
      </c>
      <c r="X448">
        <f>IF(설정!$C$14="","",IFERROR(INDEX('1.산군_붙여넣기'!$A$1:$AZ$1001,ROW(),설정!$C$14)&amp;"",""))</f>
        <v/>
      </c>
      <c r="Y448">
        <f>IF(설정!$C$15="","",IFERROR(INDEX('1.산군_붙여넣기'!$A$1:$AZ$1001,ROW(),설정!$C$15)&amp;"",""))</f>
        <v/>
      </c>
      <c r="Z448">
        <f>IF(T448,V448&amp;"|"&amp;U448,"")</f>
        <v/>
      </c>
      <c r="AA448">
        <f>IF(NOT(Q448),"",IF(NOT(AND(R448,S448)),"✕",IF(OR(OR(AND(L448&lt;&gt;"",M448&lt;&gt;"",N(M448)-N(L448)&gt;설정!$B$27),AND(L448&lt;&gt;"",M448="",설정!$B$24-N(L448)&gt;설정!$B$27)),AND(D448&lt;&gt;"",D448&lt;설정!$B$26)),"△","★")))</f>
        <v/>
      </c>
      <c r="AB448">
        <f>IF(NOT(T448),"",IF(U448="설계사",설정!$B$31,IF(U448="시공사",IF(OR(M448="",설정!$B$24-N(M448)&lt;=설정!$B$28*30.4),설정!$B$32,설정!$B$33),설정!$B$34))+IF(AA448="★",설정!$B$35,0))</f>
        <v/>
      </c>
      <c r="AC448">
        <f>SUBSTITUTE(SUBSTITUTE(SUBSTITUTE(SUBSTITUTE(H448,"(주)",""),"㈜",""),"주식회사","")," ","")</f>
        <v/>
      </c>
      <c r="AD448">
        <f>IF(AND(T448,AC448&lt;&gt;""),IF(COUNTIFS(AC$2:AC448,AC448,T$2:T448,TRUE)=1,MAX(AD$1:AD447)+1,""),"")</f>
        <v/>
      </c>
    </row>
    <row r="449">
      <c r="A449">
        <f>ROW()</f>
        <v/>
      </c>
      <c r="B449">
        <f>IF(설정!$C$4="","",IFERROR(INDEX('1.산군_붙여넣기'!$A$1:$AZ$1001,ROW(),설정!$C$4)&amp;"",""))</f>
        <v/>
      </c>
      <c r="C449">
        <f>IF(설정!$C$5="","",IFERROR(INDEX('1.산군_붙여넣기'!$A$1:$AZ$1001,ROW(),설정!$C$5)&amp;"",""))</f>
        <v/>
      </c>
      <c r="D449" s="5">
        <f>IFERROR(VALUE(SUBSTITUTE(SUBSTITUTE(SUBSTITUTE(IF(설정!$C$6="","",IFERROR(INDEX('1.산군_붙여넣기'!$A$1:$AZ$1001,ROW(),설정!$C$6)&amp;"","")),",",""),"㎡",""),"m2","")),"")</f>
        <v/>
      </c>
      <c r="E449">
        <f>IF(설정!$C$7="","",IFERROR(INDEX('1.산군_붙여넣기'!$A$1:$AZ$1001,ROW(),설정!$C$7)&amp;"",""))</f>
        <v/>
      </c>
      <c r="F449">
        <f>IF(설정!$C$8="","",IFERROR(INDEX('1.산군_붙여넣기'!$A$1:$AZ$1001,ROW(),설정!$C$8)&amp;"",""))</f>
        <v/>
      </c>
      <c r="G449">
        <f>IF(설정!$C$9="","",IFERROR(INDEX('1.산군_붙여넣기'!$A$1:$AZ$1001,ROW(),설정!$C$9)&amp;"",""))</f>
        <v/>
      </c>
      <c r="H449">
        <f>IF(설정!$C$10="","",IFERROR(INDEX('1.산군_붙여넣기'!$A$1:$AZ$1001,ROW(),설정!$C$10)&amp;"",""))</f>
        <v/>
      </c>
      <c r="I449">
        <f>IF(설정!$C$11="","",IFERROR(INDEX('1.산군_붙여넣기'!$A$1:$AZ$1001,ROW(),설정!$C$11)&amp;"",""))</f>
        <v/>
      </c>
      <c r="J449">
        <f>IF(설정!$C$12="","",IFERROR(INDEX('1.산군_붙여넣기'!$A$1:$AZ$1001,ROW(),설정!$C$12)&amp;"",""))</f>
        <v/>
      </c>
      <c r="K449">
        <f>IF(설정!$C$13="","",IFERROR(INDEX('1.산군_붙여넣기'!$A$1:$AZ$1001,ROW(),설정!$C$13)&amp;"",""))</f>
        <v/>
      </c>
      <c r="L449" s="7">
        <f>IF(X449="","",IF(AND(LEN(X449)=8,ISNUMBER(X449*1)),DATE(LEFT(X449,4),MID(X449,5,2),RIGHT(X449,2)),IFERROR(DATEVALUE(SUBSTITUTE(SUBSTITUTE(X449,".","-"),"/","-")),IFERROR(X449*1,""))))</f>
        <v/>
      </c>
      <c r="M449" s="7">
        <f>IF(Y449="","",IF(AND(LEN(Y449)=8,ISNUMBER(Y449*1)),DATE(LEFT(Y449,4),MID(Y449,5,2),RIGHT(Y449,2)),IFERROR(DATEVALUE(SUBSTITUTE(SUBSTITUTE(Y449,".","-"),"/","-")),IFERROR(Y449*1,""))))</f>
        <v/>
      </c>
      <c r="N449">
        <f>IFERROR(LEFT(B449,FIND(" ",B449)-1),B449)</f>
        <v/>
      </c>
      <c r="O449">
        <f>AND(B449&lt;&gt;"",B449&lt;&gt;설정!$B$4,C449&lt;&gt;설정!$B$5)</f>
        <v/>
      </c>
      <c r="P449">
        <f>IF(O449,B449&amp;"|"&amp;C449,"")</f>
        <v/>
      </c>
      <c r="Q449">
        <f>AND(O449,COUNTIF(P450:P$1002,P449)=0)</f>
        <v/>
      </c>
      <c r="R449">
        <f>OR(AND(설정!$A$42&lt;&gt;"",ISNUMBER(SEARCH(설정!$A$42,E449&amp;" "&amp;C449))),AND(설정!$A$43&lt;&gt;"",ISNUMBER(SEARCH(설정!$A$43,E449&amp;" "&amp;C449))),AND(설정!$A$44&lt;&gt;"",ISNUMBER(SEARCH(설정!$A$44,E449&amp;" "&amp;C449))),AND(설정!$A$45&lt;&gt;"",ISNUMBER(SEARCH(설정!$A$45,E449&amp;" "&amp;C449))),AND(설정!$A$46&lt;&gt;"",ISNUMBER(SEARCH(설정!$A$46,E449&amp;" "&amp;C449))),AND(설정!$A$47&lt;&gt;"",ISNUMBER(SEARCH(설정!$A$47,E449&amp;" "&amp;C449))),AND(설정!$A$48&lt;&gt;"",ISNUMBER(SEARCH(설정!$A$48,E449&amp;" "&amp;C449))),AND(설정!$A$49&lt;&gt;"",ISNUMBER(SEARCH(설정!$A$49,E449&amp;" "&amp;C449))),AND(설정!$A$50&lt;&gt;"",ISNUMBER(SEARCH(설정!$A$50,E449&amp;" "&amp;C449))),AND(설정!$A$51&lt;&gt;"",ISNUMBER(SEARCH(설정!$A$51,E449&amp;" "&amp;C449))))</f>
        <v/>
      </c>
      <c r="S449">
        <f>OR(D449="",D449&gt;=설정!$B$19)</f>
        <v/>
      </c>
      <c r="T449">
        <f>AND(Q449,R449,S449)</f>
        <v/>
      </c>
      <c r="U449">
        <f>IF(T449,IF(AND(설정!$A$54&lt;&gt;"",ISNUMBER(SEARCH(설정!$A$54,K449))),설정!$B$54,IF(AND(설정!$A$55&lt;&gt;"",ISNUMBER(SEARCH(설정!$A$55,K449))),설정!$B$55,IF(AND(설정!$A$56&lt;&gt;"",ISNUMBER(SEARCH(설정!$A$56,K449))),설정!$B$56,IF(AND(설정!$A$57&lt;&gt;"",ISNUMBER(SEARCH(설정!$A$57,K449))),설정!$B$57,IF(AND(설정!$A$58&lt;&gt;"",ISNUMBER(SEARCH(설정!$A$58,K449))),설정!$B$58,IF(AND(설정!$A$59&lt;&gt;"",ISNUMBER(SEARCH(설정!$A$59,K449))),설정!$B$59,IF(AND(설정!$A$60&lt;&gt;"",ISNUMBER(SEARCH(설정!$A$60,K449))),설정!$B$60,IF(AND(설정!$A$61&lt;&gt;"",ISNUMBER(SEARCH(설정!$A$61,K449))),설정!$B$61,IF(M449="","설계사","시공사"))))))))),"")</f>
        <v/>
      </c>
      <c r="V449">
        <f>SUBSTITUTE(SUBSTITUTE(SUBSTITUTE(SUBSTITUTE(G449,"(주)",""),"㈜",""),"주식회사","")," ","")</f>
        <v/>
      </c>
      <c r="W449">
        <f>IF(AND(T449,V449&lt;&gt;""),IF(COUNTIFS(V$2:V449,V449,T$2:T449,TRUE)=1,MAX(W$1:W448)+1,""),"")</f>
        <v/>
      </c>
      <c r="X449">
        <f>IF(설정!$C$14="","",IFERROR(INDEX('1.산군_붙여넣기'!$A$1:$AZ$1001,ROW(),설정!$C$14)&amp;"",""))</f>
        <v/>
      </c>
      <c r="Y449">
        <f>IF(설정!$C$15="","",IFERROR(INDEX('1.산군_붙여넣기'!$A$1:$AZ$1001,ROW(),설정!$C$15)&amp;"",""))</f>
        <v/>
      </c>
      <c r="Z449">
        <f>IF(T449,V449&amp;"|"&amp;U449,"")</f>
        <v/>
      </c>
      <c r="AA449">
        <f>IF(NOT(Q449),"",IF(NOT(AND(R449,S449)),"✕",IF(OR(OR(AND(L449&lt;&gt;"",M449&lt;&gt;"",N(M449)-N(L449)&gt;설정!$B$27),AND(L449&lt;&gt;"",M449="",설정!$B$24-N(L449)&gt;설정!$B$27)),AND(D449&lt;&gt;"",D449&lt;설정!$B$26)),"△","★")))</f>
        <v/>
      </c>
      <c r="AB449">
        <f>IF(NOT(T449),"",IF(U449="설계사",설정!$B$31,IF(U449="시공사",IF(OR(M449="",설정!$B$24-N(M449)&lt;=설정!$B$28*30.4),설정!$B$32,설정!$B$33),설정!$B$34))+IF(AA449="★",설정!$B$35,0))</f>
        <v/>
      </c>
      <c r="AC449">
        <f>SUBSTITUTE(SUBSTITUTE(SUBSTITUTE(SUBSTITUTE(H449,"(주)",""),"㈜",""),"주식회사","")," ","")</f>
        <v/>
      </c>
      <c r="AD449">
        <f>IF(AND(T449,AC449&lt;&gt;""),IF(COUNTIFS(AC$2:AC449,AC449,T$2:T449,TRUE)=1,MAX(AD$1:AD448)+1,""),"")</f>
        <v/>
      </c>
    </row>
    <row r="450">
      <c r="A450">
        <f>ROW()</f>
        <v/>
      </c>
      <c r="B450">
        <f>IF(설정!$C$4="","",IFERROR(INDEX('1.산군_붙여넣기'!$A$1:$AZ$1001,ROW(),설정!$C$4)&amp;"",""))</f>
        <v/>
      </c>
      <c r="C450">
        <f>IF(설정!$C$5="","",IFERROR(INDEX('1.산군_붙여넣기'!$A$1:$AZ$1001,ROW(),설정!$C$5)&amp;"",""))</f>
        <v/>
      </c>
      <c r="D450" s="5">
        <f>IFERROR(VALUE(SUBSTITUTE(SUBSTITUTE(SUBSTITUTE(IF(설정!$C$6="","",IFERROR(INDEX('1.산군_붙여넣기'!$A$1:$AZ$1001,ROW(),설정!$C$6)&amp;"","")),",",""),"㎡",""),"m2","")),"")</f>
        <v/>
      </c>
      <c r="E450">
        <f>IF(설정!$C$7="","",IFERROR(INDEX('1.산군_붙여넣기'!$A$1:$AZ$1001,ROW(),설정!$C$7)&amp;"",""))</f>
        <v/>
      </c>
      <c r="F450">
        <f>IF(설정!$C$8="","",IFERROR(INDEX('1.산군_붙여넣기'!$A$1:$AZ$1001,ROW(),설정!$C$8)&amp;"",""))</f>
        <v/>
      </c>
      <c r="G450">
        <f>IF(설정!$C$9="","",IFERROR(INDEX('1.산군_붙여넣기'!$A$1:$AZ$1001,ROW(),설정!$C$9)&amp;"",""))</f>
        <v/>
      </c>
      <c r="H450">
        <f>IF(설정!$C$10="","",IFERROR(INDEX('1.산군_붙여넣기'!$A$1:$AZ$1001,ROW(),설정!$C$10)&amp;"",""))</f>
        <v/>
      </c>
      <c r="I450">
        <f>IF(설정!$C$11="","",IFERROR(INDEX('1.산군_붙여넣기'!$A$1:$AZ$1001,ROW(),설정!$C$11)&amp;"",""))</f>
        <v/>
      </c>
      <c r="J450">
        <f>IF(설정!$C$12="","",IFERROR(INDEX('1.산군_붙여넣기'!$A$1:$AZ$1001,ROW(),설정!$C$12)&amp;"",""))</f>
        <v/>
      </c>
      <c r="K450">
        <f>IF(설정!$C$13="","",IFERROR(INDEX('1.산군_붙여넣기'!$A$1:$AZ$1001,ROW(),설정!$C$13)&amp;"",""))</f>
        <v/>
      </c>
      <c r="L450" s="7">
        <f>IF(X450="","",IF(AND(LEN(X450)=8,ISNUMBER(X450*1)),DATE(LEFT(X450,4),MID(X450,5,2),RIGHT(X450,2)),IFERROR(DATEVALUE(SUBSTITUTE(SUBSTITUTE(X450,".","-"),"/","-")),IFERROR(X450*1,""))))</f>
        <v/>
      </c>
      <c r="M450" s="7">
        <f>IF(Y450="","",IF(AND(LEN(Y450)=8,ISNUMBER(Y450*1)),DATE(LEFT(Y450,4),MID(Y450,5,2),RIGHT(Y450,2)),IFERROR(DATEVALUE(SUBSTITUTE(SUBSTITUTE(Y450,".","-"),"/","-")),IFERROR(Y450*1,""))))</f>
        <v/>
      </c>
      <c r="N450">
        <f>IFERROR(LEFT(B450,FIND(" ",B450)-1),B450)</f>
        <v/>
      </c>
      <c r="O450">
        <f>AND(B450&lt;&gt;"",B450&lt;&gt;설정!$B$4,C450&lt;&gt;설정!$B$5)</f>
        <v/>
      </c>
      <c r="P450">
        <f>IF(O450,B450&amp;"|"&amp;C450,"")</f>
        <v/>
      </c>
      <c r="Q450">
        <f>AND(O450,COUNTIF(P451:P$1002,P450)=0)</f>
        <v/>
      </c>
      <c r="R450">
        <f>OR(AND(설정!$A$42&lt;&gt;"",ISNUMBER(SEARCH(설정!$A$42,E450&amp;" "&amp;C450))),AND(설정!$A$43&lt;&gt;"",ISNUMBER(SEARCH(설정!$A$43,E450&amp;" "&amp;C450))),AND(설정!$A$44&lt;&gt;"",ISNUMBER(SEARCH(설정!$A$44,E450&amp;" "&amp;C450))),AND(설정!$A$45&lt;&gt;"",ISNUMBER(SEARCH(설정!$A$45,E450&amp;" "&amp;C450))),AND(설정!$A$46&lt;&gt;"",ISNUMBER(SEARCH(설정!$A$46,E450&amp;" "&amp;C450))),AND(설정!$A$47&lt;&gt;"",ISNUMBER(SEARCH(설정!$A$47,E450&amp;" "&amp;C450))),AND(설정!$A$48&lt;&gt;"",ISNUMBER(SEARCH(설정!$A$48,E450&amp;" "&amp;C450))),AND(설정!$A$49&lt;&gt;"",ISNUMBER(SEARCH(설정!$A$49,E450&amp;" "&amp;C450))),AND(설정!$A$50&lt;&gt;"",ISNUMBER(SEARCH(설정!$A$50,E450&amp;" "&amp;C450))),AND(설정!$A$51&lt;&gt;"",ISNUMBER(SEARCH(설정!$A$51,E450&amp;" "&amp;C450))))</f>
        <v/>
      </c>
      <c r="S450">
        <f>OR(D450="",D450&gt;=설정!$B$19)</f>
        <v/>
      </c>
      <c r="T450">
        <f>AND(Q450,R450,S450)</f>
        <v/>
      </c>
      <c r="U450">
        <f>IF(T450,IF(AND(설정!$A$54&lt;&gt;"",ISNUMBER(SEARCH(설정!$A$54,K450))),설정!$B$54,IF(AND(설정!$A$55&lt;&gt;"",ISNUMBER(SEARCH(설정!$A$55,K450))),설정!$B$55,IF(AND(설정!$A$56&lt;&gt;"",ISNUMBER(SEARCH(설정!$A$56,K450))),설정!$B$56,IF(AND(설정!$A$57&lt;&gt;"",ISNUMBER(SEARCH(설정!$A$57,K450))),설정!$B$57,IF(AND(설정!$A$58&lt;&gt;"",ISNUMBER(SEARCH(설정!$A$58,K450))),설정!$B$58,IF(AND(설정!$A$59&lt;&gt;"",ISNUMBER(SEARCH(설정!$A$59,K450))),설정!$B$59,IF(AND(설정!$A$60&lt;&gt;"",ISNUMBER(SEARCH(설정!$A$60,K450))),설정!$B$60,IF(AND(설정!$A$61&lt;&gt;"",ISNUMBER(SEARCH(설정!$A$61,K450))),설정!$B$61,IF(M450="","설계사","시공사"))))))))),"")</f>
        <v/>
      </c>
      <c r="V450">
        <f>SUBSTITUTE(SUBSTITUTE(SUBSTITUTE(SUBSTITUTE(G450,"(주)",""),"㈜",""),"주식회사","")," ","")</f>
        <v/>
      </c>
      <c r="W450">
        <f>IF(AND(T450,V450&lt;&gt;""),IF(COUNTIFS(V$2:V450,V450,T$2:T450,TRUE)=1,MAX(W$1:W449)+1,""),"")</f>
        <v/>
      </c>
      <c r="X450">
        <f>IF(설정!$C$14="","",IFERROR(INDEX('1.산군_붙여넣기'!$A$1:$AZ$1001,ROW(),설정!$C$14)&amp;"",""))</f>
        <v/>
      </c>
      <c r="Y450">
        <f>IF(설정!$C$15="","",IFERROR(INDEX('1.산군_붙여넣기'!$A$1:$AZ$1001,ROW(),설정!$C$15)&amp;"",""))</f>
        <v/>
      </c>
      <c r="Z450">
        <f>IF(T450,V450&amp;"|"&amp;U450,"")</f>
        <v/>
      </c>
      <c r="AA450">
        <f>IF(NOT(Q450),"",IF(NOT(AND(R450,S450)),"✕",IF(OR(OR(AND(L450&lt;&gt;"",M450&lt;&gt;"",N(M450)-N(L450)&gt;설정!$B$27),AND(L450&lt;&gt;"",M450="",설정!$B$24-N(L450)&gt;설정!$B$27)),AND(D450&lt;&gt;"",D450&lt;설정!$B$26)),"△","★")))</f>
        <v/>
      </c>
      <c r="AB450">
        <f>IF(NOT(T450),"",IF(U450="설계사",설정!$B$31,IF(U450="시공사",IF(OR(M450="",설정!$B$24-N(M450)&lt;=설정!$B$28*30.4),설정!$B$32,설정!$B$33),설정!$B$34))+IF(AA450="★",설정!$B$35,0))</f>
        <v/>
      </c>
      <c r="AC450">
        <f>SUBSTITUTE(SUBSTITUTE(SUBSTITUTE(SUBSTITUTE(H450,"(주)",""),"㈜",""),"주식회사","")," ","")</f>
        <v/>
      </c>
      <c r="AD450">
        <f>IF(AND(T450,AC450&lt;&gt;""),IF(COUNTIFS(AC$2:AC450,AC450,T$2:T450,TRUE)=1,MAX(AD$1:AD449)+1,""),"")</f>
        <v/>
      </c>
    </row>
    <row r="451">
      <c r="A451">
        <f>ROW()</f>
        <v/>
      </c>
      <c r="B451">
        <f>IF(설정!$C$4="","",IFERROR(INDEX('1.산군_붙여넣기'!$A$1:$AZ$1001,ROW(),설정!$C$4)&amp;"",""))</f>
        <v/>
      </c>
      <c r="C451">
        <f>IF(설정!$C$5="","",IFERROR(INDEX('1.산군_붙여넣기'!$A$1:$AZ$1001,ROW(),설정!$C$5)&amp;"",""))</f>
        <v/>
      </c>
      <c r="D451" s="5">
        <f>IFERROR(VALUE(SUBSTITUTE(SUBSTITUTE(SUBSTITUTE(IF(설정!$C$6="","",IFERROR(INDEX('1.산군_붙여넣기'!$A$1:$AZ$1001,ROW(),설정!$C$6)&amp;"","")),",",""),"㎡",""),"m2","")),"")</f>
        <v/>
      </c>
      <c r="E451">
        <f>IF(설정!$C$7="","",IFERROR(INDEX('1.산군_붙여넣기'!$A$1:$AZ$1001,ROW(),설정!$C$7)&amp;"",""))</f>
        <v/>
      </c>
      <c r="F451">
        <f>IF(설정!$C$8="","",IFERROR(INDEX('1.산군_붙여넣기'!$A$1:$AZ$1001,ROW(),설정!$C$8)&amp;"",""))</f>
        <v/>
      </c>
      <c r="G451">
        <f>IF(설정!$C$9="","",IFERROR(INDEX('1.산군_붙여넣기'!$A$1:$AZ$1001,ROW(),설정!$C$9)&amp;"",""))</f>
        <v/>
      </c>
      <c r="H451">
        <f>IF(설정!$C$10="","",IFERROR(INDEX('1.산군_붙여넣기'!$A$1:$AZ$1001,ROW(),설정!$C$10)&amp;"",""))</f>
        <v/>
      </c>
      <c r="I451">
        <f>IF(설정!$C$11="","",IFERROR(INDEX('1.산군_붙여넣기'!$A$1:$AZ$1001,ROW(),설정!$C$11)&amp;"",""))</f>
        <v/>
      </c>
      <c r="J451">
        <f>IF(설정!$C$12="","",IFERROR(INDEX('1.산군_붙여넣기'!$A$1:$AZ$1001,ROW(),설정!$C$12)&amp;"",""))</f>
        <v/>
      </c>
      <c r="K451">
        <f>IF(설정!$C$13="","",IFERROR(INDEX('1.산군_붙여넣기'!$A$1:$AZ$1001,ROW(),설정!$C$13)&amp;"",""))</f>
        <v/>
      </c>
      <c r="L451" s="7">
        <f>IF(X451="","",IF(AND(LEN(X451)=8,ISNUMBER(X451*1)),DATE(LEFT(X451,4),MID(X451,5,2),RIGHT(X451,2)),IFERROR(DATEVALUE(SUBSTITUTE(SUBSTITUTE(X451,".","-"),"/","-")),IFERROR(X451*1,""))))</f>
        <v/>
      </c>
      <c r="M451" s="7">
        <f>IF(Y451="","",IF(AND(LEN(Y451)=8,ISNUMBER(Y451*1)),DATE(LEFT(Y451,4),MID(Y451,5,2),RIGHT(Y451,2)),IFERROR(DATEVALUE(SUBSTITUTE(SUBSTITUTE(Y451,".","-"),"/","-")),IFERROR(Y451*1,""))))</f>
        <v/>
      </c>
      <c r="N451">
        <f>IFERROR(LEFT(B451,FIND(" ",B451)-1),B451)</f>
        <v/>
      </c>
      <c r="O451">
        <f>AND(B451&lt;&gt;"",B451&lt;&gt;설정!$B$4,C451&lt;&gt;설정!$B$5)</f>
        <v/>
      </c>
      <c r="P451">
        <f>IF(O451,B451&amp;"|"&amp;C451,"")</f>
        <v/>
      </c>
      <c r="Q451">
        <f>AND(O451,COUNTIF(P452:P$1002,P451)=0)</f>
        <v/>
      </c>
      <c r="R451">
        <f>OR(AND(설정!$A$42&lt;&gt;"",ISNUMBER(SEARCH(설정!$A$42,E451&amp;" "&amp;C451))),AND(설정!$A$43&lt;&gt;"",ISNUMBER(SEARCH(설정!$A$43,E451&amp;" "&amp;C451))),AND(설정!$A$44&lt;&gt;"",ISNUMBER(SEARCH(설정!$A$44,E451&amp;" "&amp;C451))),AND(설정!$A$45&lt;&gt;"",ISNUMBER(SEARCH(설정!$A$45,E451&amp;" "&amp;C451))),AND(설정!$A$46&lt;&gt;"",ISNUMBER(SEARCH(설정!$A$46,E451&amp;" "&amp;C451))),AND(설정!$A$47&lt;&gt;"",ISNUMBER(SEARCH(설정!$A$47,E451&amp;" "&amp;C451))),AND(설정!$A$48&lt;&gt;"",ISNUMBER(SEARCH(설정!$A$48,E451&amp;" "&amp;C451))),AND(설정!$A$49&lt;&gt;"",ISNUMBER(SEARCH(설정!$A$49,E451&amp;" "&amp;C451))),AND(설정!$A$50&lt;&gt;"",ISNUMBER(SEARCH(설정!$A$50,E451&amp;" "&amp;C451))),AND(설정!$A$51&lt;&gt;"",ISNUMBER(SEARCH(설정!$A$51,E451&amp;" "&amp;C451))))</f>
        <v/>
      </c>
      <c r="S451">
        <f>OR(D451="",D451&gt;=설정!$B$19)</f>
        <v/>
      </c>
      <c r="T451">
        <f>AND(Q451,R451,S451)</f>
        <v/>
      </c>
      <c r="U451">
        <f>IF(T451,IF(AND(설정!$A$54&lt;&gt;"",ISNUMBER(SEARCH(설정!$A$54,K451))),설정!$B$54,IF(AND(설정!$A$55&lt;&gt;"",ISNUMBER(SEARCH(설정!$A$55,K451))),설정!$B$55,IF(AND(설정!$A$56&lt;&gt;"",ISNUMBER(SEARCH(설정!$A$56,K451))),설정!$B$56,IF(AND(설정!$A$57&lt;&gt;"",ISNUMBER(SEARCH(설정!$A$57,K451))),설정!$B$57,IF(AND(설정!$A$58&lt;&gt;"",ISNUMBER(SEARCH(설정!$A$58,K451))),설정!$B$58,IF(AND(설정!$A$59&lt;&gt;"",ISNUMBER(SEARCH(설정!$A$59,K451))),설정!$B$59,IF(AND(설정!$A$60&lt;&gt;"",ISNUMBER(SEARCH(설정!$A$60,K451))),설정!$B$60,IF(AND(설정!$A$61&lt;&gt;"",ISNUMBER(SEARCH(설정!$A$61,K451))),설정!$B$61,IF(M451="","설계사","시공사"))))))))),"")</f>
        <v/>
      </c>
      <c r="V451">
        <f>SUBSTITUTE(SUBSTITUTE(SUBSTITUTE(SUBSTITUTE(G451,"(주)",""),"㈜",""),"주식회사","")," ","")</f>
        <v/>
      </c>
      <c r="W451">
        <f>IF(AND(T451,V451&lt;&gt;""),IF(COUNTIFS(V$2:V451,V451,T$2:T451,TRUE)=1,MAX(W$1:W450)+1,""),"")</f>
        <v/>
      </c>
      <c r="X451">
        <f>IF(설정!$C$14="","",IFERROR(INDEX('1.산군_붙여넣기'!$A$1:$AZ$1001,ROW(),설정!$C$14)&amp;"",""))</f>
        <v/>
      </c>
      <c r="Y451">
        <f>IF(설정!$C$15="","",IFERROR(INDEX('1.산군_붙여넣기'!$A$1:$AZ$1001,ROW(),설정!$C$15)&amp;"",""))</f>
        <v/>
      </c>
      <c r="Z451">
        <f>IF(T451,V451&amp;"|"&amp;U451,"")</f>
        <v/>
      </c>
      <c r="AA451">
        <f>IF(NOT(Q451),"",IF(NOT(AND(R451,S451)),"✕",IF(OR(OR(AND(L451&lt;&gt;"",M451&lt;&gt;"",N(M451)-N(L451)&gt;설정!$B$27),AND(L451&lt;&gt;"",M451="",설정!$B$24-N(L451)&gt;설정!$B$27)),AND(D451&lt;&gt;"",D451&lt;설정!$B$26)),"△","★")))</f>
        <v/>
      </c>
      <c r="AB451">
        <f>IF(NOT(T451),"",IF(U451="설계사",설정!$B$31,IF(U451="시공사",IF(OR(M451="",설정!$B$24-N(M451)&lt;=설정!$B$28*30.4),설정!$B$32,설정!$B$33),설정!$B$34))+IF(AA451="★",설정!$B$35,0))</f>
        <v/>
      </c>
      <c r="AC451">
        <f>SUBSTITUTE(SUBSTITUTE(SUBSTITUTE(SUBSTITUTE(H451,"(주)",""),"㈜",""),"주식회사","")," ","")</f>
        <v/>
      </c>
      <c r="AD451">
        <f>IF(AND(T451,AC451&lt;&gt;""),IF(COUNTIFS(AC$2:AC451,AC451,T$2:T451,TRUE)=1,MAX(AD$1:AD450)+1,""),"")</f>
        <v/>
      </c>
    </row>
    <row r="452">
      <c r="A452">
        <f>ROW()</f>
        <v/>
      </c>
      <c r="B452">
        <f>IF(설정!$C$4="","",IFERROR(INDEX('1.산군_붙여넣기'!$A$1:$AZ$1001,ROW(),설정!$C$4)&amp;"",""))</f>
        <v/>
      </c>
      <c r="C452">
        <f>IF(설정!$C$5="","",IFERROR(INDEX('1.산군_붙여넣기'!$A$1:$AZ$1001,ROW(),설정!$C$5)&amp;"",""))</f>
        <v/>
      </c>
      <c r="D452" s="5">
        <f>IFERROR(VALUE(SUBSTITUTE(SUBSTITUTE(SUBSTITUTE(IF(설정!$C$6="","",IFERROR(INDEX('1.산군_붙여넣기'!$A$1:$AZ$1001,ROW(),설정!$C$6)&amp;"","")),",",""),"㎡",""),"m2","")),"")</f>
        <v/>
      </c>
      <c r="E452">
        <f>IF(설정!$C$7="","",IFERROR(INDEX('1.산군_붙여넣기'!$A$1:$AZ$1001,ROW(),설정!$C$7)&amp;"",""))</f>
        <v/>
      </c>
      <c r="F452">
        <f>IF(설정!$C$8="","",IFERROR(INDEX('1.산군_붙여넣기'!$A$1:$AZ$1001,ROW(),설정!$C$8)&amp;"",""))</f>
        <v/>
      </c>
      <c r="G452">
        <f>IF(설정!$C$9="","",IFERROR(INDEX('1.산군_붙여넣기'!$A$1:$AZ$1001,ROW(),설정!$C$9)&amp;"",""))</f>
        <v/>
      </c>
      <c r="H452">
        <f>IF(설정!$C$10="","",IFERROR(INDEX('1.산군_붙여넣기'!$A$1:$AZ$1001,ROW(),설정!$C$10)&amp;"",""))</f>
        <v/>
      </c>
      <c r="I452">
        <f>IF(설정!$C$11="","",IFERROR(INDEX('1.산군_붙여넣기'!$A$1:$AZ$1001,ROW(),설정!$C$11)&amp;"",""))</f>
        <v/>
      </c>
      <c r="J452">
        <f>IF(설정!$C$12="","",IFERROR(INDEX('1.산군_붙여넣기'!$A$1:$AZ$1001,ROW(),설정!$C$12)&amp;"",""))</f>
        <v/>
      </c>
      <c r="K452">
        <f>IF(설정!$C$13="","",IFERROR(INDEX('1.산군_붙여넣기'!$A$1:$AZ$1001,ROW(),설정!$C$13)&amp;"",""))</f>
        <v/>
      </c>
      <c r="L452" s="7">
        <f>IF(X452="","",IF(AND(LEN(X452)=8,ISNUMBER(X452*1)),DATE(LEFT(X452,4),MID(X452,5,2),RIGHT(X452,2)),IFERROR(DATEVALUE(SUBSTITUTE(SUBSTITUTE(X452,".","-"),"/","-")),IFERROR(X452*1,""))))</f>
        <v/>
      </c>
      <c r="M452" s="7">
        <f>IF(Y452="","",IF(AND(LEN(Y452)=8,ISNUMBER(Y452*1)),DATE(LEFT(Y452,4),MID(Y452,5,2),RIGHT(Y452,2)),IFERROR(DATEVALUE(SUBSTITUTE(SUBSTITUTE(Y452,".","-"),"/","-")),IFERROR(Y452*1,""))))</f>
        <v/>
      </c>
      <c r="N452">
        <f>IFERROR(LEFT(B452,FIND(" ",B452)-1),B452)</f>
        <v/>
      </c>
      <c r="O452">
        <f>AND(B452&lt;&gt;"",B452&lt;&gt;설정!$B$4,C452&lt;&gt;설정!$B$5)</f>
        <v/>
      </c>
      <c r="P452">
        <f>IF(O452,B452&amp;"|"&amp;C452,"")</f>
        <v/>
      </c>
      <c r="Q452">
        <f>AND(O452,COUNTIF(P453:P$1002,P452)=0)</f>
        <v/>
      </c>
      <c r="R452">
        <f>OR(AND(설정!$A$42&lt;&gt;"",ISNUMBER(SEARCH(설정!$A$42,E452&amp;" "&amp;C452))),AND(설정!$A$43&lt;&gt;"",ISNUMBER(SEARCH(설정!$A$43,E452&amp;" "&amp;C452))),AND(설정!$A$44&lt;&gt;"",ISNUMBER(SEARCH(설정!$A$44,E452&amp;" "&amp;C452))),AND(설정!$A$45&lt;&gt;"",ISNUMBER(SEARCH(설정!$A$45,E452&amp;" "&amp;C452))),AND(설정!$A$46&lt;&gt;"",ISNUMBER(SEARCH(설정!$A$46,E452&amp;" "&amp;C452))),AND(설정!$A$47&lt;&gt;"",ISNUMBER(SEARCH(설정!$A$47,E452&amp;" "&amp;C452))),AND(설정!$A$48&lt;&gt;"",ISNUMBER(SEARCH(설정!$A$48,E452&amp;" "&amp;C452))),AND(설정!$A$49&lt;&gt;"",ISNUMBER(SEARCH(설정!$A$49,E452&amp;" "&amp;C452))),AND(설정!$A$50&lt;&gt;"",ISNUMBER(SEARCH(설정!$A$50,E452&amp;" "&amp;C452))),AND(설정!$A$51&lt;&gt;"",ISNUMBER(SEARCH(설정!$A$51,E452&amp;" "&amp;C452))))</f>
        <v/>
      </c>
      <c r="S452">
        <f>OR(D452="",D452&gt;=설정!$B$19)</f>
        <v/>
      </c>
      <c r="T452">
        <f>AND(Q452,R452,S452)</f>
        <v/>
      </c>
      <c r="U452">
        <f>IF(T452,IF(AND(설정!$A$54&lt;&gt;"",ISNUMBER(SEARCH(설정!$A$54,K452))),설정!$B$54,IF(AND(설정!$A$55&lt;&gt;"",ISNUMBER(SEARCH(설정!$A$55,K452))),설정!$B$55,IF(AND(설정!$A$56&lt;&gt;"",ISNUMBER(SEARCH(설정!$A$56,K452))),설정!$B$56,IF(AND(설정!$A$57&lt;&gt;"",ISNUMBER(SEARCH(설정!$A$57,K452))),설정!$B$57,IF(AND(설정!$A$58&lt;&gt;"",ISNUMBER(SEARCH(설정!$A$58,K452))),설정!$B$58,IF(AND(설정!$A$59&lt;&gt;"",ISNUMBER(SEARCH(설정!$A$59,K452))),설정!$B$59,IF(AND(설정!$A$60&lt;&gt;"",ISNUMBER(SEARCH(설정!$A$60,K452))),설정!$B$60,IF(AND(설정!$A$61&lt;&gt;"",ISNUMBER(SEARCH(설정!$A$61,K452))),설정!$B$61,IF(M452="","설계사","시공사"))))))))),"")</f>
        <v/>
      </c>
      <c r="V452">
        <f>SUBSTITUTE(SUBSTITUTE(SUBSTITUTE(SUBSTITUTE(G452,"(주)",""),"㈜",""),"주식회사","")," ","")</f>
        <v/>
      </c>
      <c r="W452">
        <f>IF(AND(T452,V452&lt;&gt;""),IF(COUNTIFS(V$2:V452,V452,T$2:T452,TRUE)=1,MAX(W$1:W451)+1,""),"")</f>
        <v/>
      </c>
      <c r="X452">
        <f>IF(설정!$C$14="","",IFERROR(INDEX('1.산군_붙여넣기'!$A$1:$AZ$1001,ROW(),설정!$C$14)&amp;"",""))</f>
        <v/>
      </c>
      <c r="Y452">
        <f>IF(설정!$C$15="","",IFERROR(INDEX('1.산군_붙여넣기'!$A$1:$AZ$1001,ROW(),설정!$C$15)&amp;"",""))</f>
        <v/>
      </c>
      <c r="Z452">
        <f>IF(T452,V452&amp;"|"&amp;U452,"")</f>
        <v/>
      </c>
      <c r="AA452">
        <f>IF(NOT(Q452),"",IF(NOT(AND(R452,S452)),"✕",IF(OR(OR(AND(L452&lt;&gt;"",M452&lt;&gt;"",N(M452)-N(L452)&gt;설정!$B$27),AND(L452&lt;&gt;"",M452="",설정!$B$24-N(L452)&gt;설정!$B$27)),AND(D452&lt;&gt;"",D452&lt;설정!$B$26)),"△","★")))</f>
        <v/>
      </c>
      <c r="AB452">
        <f>IF(NOT(T452),"",IF(U452="설계사",설정!$B$31,IF(U452="시공사",IF(OR(M452="",설정!$B$24-N(M452)&lt;=설정!$B$28*30.4),설정!$B$32,설정!$B$33),설정!$B$34))+IF(AA452="★",설정!$B$35,0))</f>
        <v/>
      </c>
      <c r="AC452">
        <f>SUBSTITUTE(SUBSTITUTE(SUBSTITUTE(SUBSTITUTE(H452,"(주)",""),"㈜",""),"주식회사","")," ","")</f>
        <v/>
      </c>
      <c r="AD452">
        <f>IF(AND(T452,AC452&lt;&gt;""),IF(COUNTIFS(AC$2:AC452,AC452,T$2:T452,TRUE)=1,MAX(AD$1:AD451)+1,""),"")</f>
        <v/>
      </c>
    </row>
    <row r="453">
      <c r="A453">
        <f>ROW()</f>
        <v/>
      </c>
      <c r="B453">
        <f>IF(설정!$C$4="","",IFERROR(INDEX('1.산군_붙여넣기'!$A$1:$AZ$1001,ROW(),설정!$C$4)&amp;"",""))</f>
        <v/>
      </c>
      <c r="C453">
        <f>IF(설정!$C$5="","",IFERROR(INDEX('1.산군_붙여넣기'!$A$1:$AZ$1001,ROW(),설정!$C$5)&amp;"",""))</f>
        <v/>
      </c>
      <c r="D453" s="5">
        <f>IFERROR(VALUE(SUBSTITUTE(SUBSTITUTE(SUBSTITUTE(IF(설정!$C$6="","",IFERROR(INDEX('1.산군_붙여넣기'!$A$1:$AZ$1001,ROW(),설정!$C$6)&amp;"","")),",",""),"㎡",""),"m2","")),"")</f>
        <v/>
      </c>
      <c r="E453">
        <f>IF(설정!$C$7="","",IFERROR(INDEX('1.산군_붙여넣기'!$A$1:$AZ$1001,ROW(),설정!$C$7)&amp;"",""))</f>
        <v/>
      </c>
      <c r="F453">
        <f>IF(설정!$C$8="","",IFERROR(INDEX('1.산군_붙여넣기'!$A$1:$AZ$1001,ROW(),설정!$C$8)&amp;"",""))</f>
        <v/>
      </c>
      <c r="G453">
        <f>IF(설정!$C$9="","",IFERROR(INDEX('1.산군_붙여넣기'!$A$1:$AZ$1001,ROW(),설정!$C$9)&amp;"",""))</f>
        <v/>
      </c>
      <c r="H453">
        <f>IF(설정!$C$10="","",IFERROR(INDEX('1.산군_붙여넣기'!$A$1:$AZ$1001,ROW(),설정!$C$10)&amp;"",""))</f>
        <v/>
      </c>
      <c r="I453">
        <f>IF(설정!$C$11="","",IFERROR(INDEX('1.산군_붙여넣기'!$A$1:$AZ$1001,ROW(),설정!$C$11)&amp;"",""))</f>
        <v/>
      </c>
      <c r="J453">
        <f>IF(설정!$C$12="","",IFERROR(INDEX('1.산군_붙여넣기'!$A$1:$AZ$1001,ROW(),설정!$C$12)&amp;"",""))</f>
        <v/>
      </c>
      <c r="K453">
        <f>IF(설정!$C$13="","",IFERROR(INDEX('1.산군_붙여넣기'!$A$1:$AZ$1001,ROW(),설정!$C$13)&amp;"",""))</f>
        <v/>
      </c>
      <c r="L453" s="7">
        <f>IF(X453="","",IF(AND(LEN(X453)=8,ISNUMBER(X453*1)),DATE(LEFT(X453,4),MID(X453,5,2),RIGHT(X453,2)),IFERROR(DATEVALUE(SUBSTITUTE(SUBSTITUTE(X453,".","-"),"/","-")),IFERROR(X453*1,""))))</f>
        <v/>
      </c>
      <c r="M453" s="7">
        <f>IF(Y453="","",IF(AND(LEN(Y453)=8,ISNUMBER(Y453*1)),DATE(LEFT(Y453,4),MID(Y453,5,2),RIGHT(Y453,2)),IFERROR(DATEVALUE(SUBSTITUTE(SUBSTITUTE(Y453,".","-"),"/","-")),IFERROR(Y453*1,""))))</f>
        <v/>
      </c>
      <c r="N453">
        <f>IFERROR(LEFT(B453,FIND(" ",B453)-1),B453)</f>
        <v/>
      </c>
      <c r="O453">
        <f>AND(B453&lt;&gt;"",B453&lt;&gt;설정!$B$4,C453&lt;&gt;설정!$B$5)</f>
        <v/>
      </c>
      <c r="P453">
        <f>IF(O453,B453&amp;"|"&amp;C453,"")</f>
        <v/>
      </c>
      <c r="Q453">
        <f>AND(O453,COUNTIF(P454:P$1002,P453)=0)</f>
        <v/>
      </c>
      <c r="R453">
        <f>OR(AND(설정!$A$42&lt;&gt;"",ISNUMBER(SEARCH(설정!$A$42,E453&amp;" "&amp;C453))),AND(설정!$A$43&lt;&gt;"",ISNUMBER(SEARCH(설정!$A$43,E453&amp;" "&amp;C453))),AND(설정!$A$44&lt;&gt;"",ISNUMBER(SEARCH(설정!$A$44,E453&amp;" "&amp;C453))),AND(설정!$A$45&lt;&gt;"",ISNUMBER(SEARCH(설정!$A$45,E453&amp;" "&amp;C453))),AND(설정!$A$46&lt;&gt;"",ISNUMBER(SEARCH(설정!$A$46,E453&amp;" "&amp;C453))),AND(설정!$A$47&lt;&gt;"",ISNUMBER(SEARCH(설정!$A$47,E453&amp;" "&amp;C453))),AND(설정!$A$48&lt;&gt;"",ISNUMBER(SEARCH(설정!$A$48,E453&amp;" "&amp;C453))),AND(설정!$A$49&lt;&gt;"",ISNUMBER(SEARCH(설정!$A$49,E453&amp;" "&amp;C453))),AND(설정!$A$50&lt;&gt;"",ISNUMBER(SEARCH(설정!$A$50,E453&amp;" "&amp;C453))),AND(설정!$A$51&lt;&gt;"",ISNUMBER(SEARCH(설정!$A$51,E453&amp;" "&amp;C453))))</f>
        <v/>
      </c>
      <c r="S453">
        <f>OR(D453="",D453&gt;=설정!$B$19)</f>
        <v/>
      </c>
      <c r="T453">
        <f>AND(Q453,R453,S453)</f>
        <v/>
      </c>
      <c r="U453">
        <f>IF(T453,IF(AND(설정!$A$54&lt;&gt;"",ISNUMBER(SEARCH(설정!$A$54,K453))),설정!$B$54,IF(AND(설정!$A$55&lt;&gt;"",ISNUMBER(SEARCH(설정!$A$55,K453))),설정!$B$55,IF(AND(설정!$A$56&lt;&gt;"",ISNUMBER(SEARCH(설정!$A$56,K453))),설정!$B$56,IF(AND(설정!$A$57&lt;&gt;"",ISNUMBER(SEARCH(설정!$A$57,K453))),설정!$B$57,IF(AND(설정!$A$58&lt;&gt;"",ISNUMBER(SEARCH(설정!$A$58,K453))),설정!$B$58,IF(AND(설정!$A$59&lt;&gt;"",ISNUMBER(SEARCH(설정!$A$59,K453))),설정!$B$59,IF(AND(설정!$A$60&lt;&gt;"",ISNUMBER(SEARCH(설정!$A$60,K453))),설정!$B$60,IF(AND(설정!$A$61&lt;&gt;"",ISNUMBER(SEARCH(설정!$A$61,K453))),설정!$B$61,IF(M453="","설계사","시공사"))))))))),"")</f>
        <v/>
      </c>
      <c r="V453">
        <f>SUBSTITUTE(SUBSTITUTE(SUBSTITUTE(SUBSTITUTE(G453,"(주)",""),"㈜",""),"주식회사","")," ","")</f>
        <v/>
      </c>
      <c r="W453">
        <f>IF(AND(T453,V453&lt;&gt;""),IF(COUNTIFS(V$2:V453,V453,T$2:T453,TRUE)=1,MAX(W$1:W452)+1,""),"")</f>
        <v/>
      </c>
      <c r="X453">
        <f>IF(설정!$C$14="","",IFERROR(INDEX('1.산군_붙여넣기'!$A$1:$AZ$1001,ROW(),설정!$C$14)&amp;"",""))</f>
        <v/>
      </c>
      <c r="Y453">
        <f>IF(설정!$C$15="","",IFERROR(INDEX('1.산군_붙여넣기'!$A$1:$AZ$1001,ROW(),설정!$C$15)&amp;"",""))</f>
        <v/>
      </c>
      <c r="Z453">
        <f>IF(T453,V453&amp;"|"&amp;U453,"")</f>
        <v/>
      </c>
      <c r="AA453">
        <f>IF(NOT(Q453),"",IF(NOT(AND(R453,S453)),"✕",IF(OR(OR(AND(L453&lt;&gt;"",M453&lt;&gt;"",N(M453)-N(L453)&gt;설정!$B$27),AND(L453&lt;&gt;"",M453="",설정!$B$24-N(L453)&gt;설정!$B$27)),AND(D453&lt;&gt;"",D453&lt;설정!$B$26)),"△","★")))</f>
        <v/>
      </c>
      <c r="AB453">
        <f>IF(NOT(T453),"",IF(U453="설계사",설정!$B$31,IF(U453="시공사",IF(OR(M453="",설정!$B$24-N(M453)&lt;=설정!$B$28*30.4),설정!$B$32,설정!$B$33),설정!$B$34))+IF(AA453="★",설정!$B$35,0))</f>
        <v/>
      </c>
      <c r="AC453">
        <f>SUBSTITUTE(SUBSTITUTE(SUBSTITUTE(SUBSTITUTE(H453,"(주)",""),"㈜",""),"주식회사","")," ","")</f>
        <v/>
      </c>
      <c r="AD453">
        <f>IF(AND(T453,AC453&lt;&gt;""),IF(COUNTIFS(AC$2:AC453,AC453,T$2:T453,TRUE)=1,MAX(AD$1:AD452)+1,""),"")</f>
        <v/>
      </c>
    </row>
    <row r="454">
      <c r="A454">
        <f>ROW()</f>
        <v/>
      </c>
      <c r="B454">
        <f>IF(설정!$C$4="","",IFERROR(INDEX('1.산군_붙여넣기'!$A$1:$AZ$1001,ROW(),설정!$C$4)&amp;"",""))</f>
        <v/>
      </c>
      <c r="C454">
        <f>IF(설정!$C$5="","",IFERROR(INDEX('1.산군_붙여넣기'!$A$1:$AZ$1001,ROW(),설정!$C$5)&amp;"",""))</f>
        <v/>
      </c>
      <c r="D454" s="5">
        <f>IFERROR(VALUE(SUBSTITUTE(SUBSTITUTE(SUBSTITUTE(IF(설정!$C$6="","",IFERROR(INDEX('1.산군_붙여넣기'!$A$1:$AZ$1001,ROW(),설정!$C$6)&amp;"","")),",",""),"㎡",""),"m2","")),"")</f>
        <v/>
      </c>
      <c r="E454">
        <f>IF(설정!$C$7="","",IFERROR(INDEX('1.산군_붙여넣기'!$A$1:$AZ$1001,ROW(),설정!$C$7)&amp;"",""))</f>
        <v/>
      </c>
      <c r="F454">
        <f>IF(설정!$C$8="","",IFERROR(INDEX('1.산군_붙여넣기'!$A$1:$AZ$1001,ROW(),설정!$C$8)&amp;"",""))</f>
        <v/>
      </c>
      <c r="G454">
        <f>IF(설정!$C$9="","",IFERROR(INDEX('1.산군_붙여넣기'!$A$1:$AZ$1001,ROW(),설정!$C$9)&amp;"",""))</f>
        <v/>
      </c>
      <c r="H454">
        <f>IF(설정!$C$10="","",IFERROR(INDEX('1.산군_붙여넣기'!$A$1:$AZ$1001,ROW(),설정!$C$10)&amp;"",""))</f>
        <v/>
      </c>
      <c r="I454">
        <f>IF(설정!$C$11="","",IFERROR(INDEX('1.산군_붙여넣기'!$A$1:$AZ$1001,ROW(),설정!$C$11)&amp;"",""))</f>
        <v/>
      </c>
      <c r="J454">
        <f>IF(설정!$C$12="","",IFERROR(INDEX('1.산군_붙여넣기'!$A$1:$AZ$1001,ROW(),설정!$C$12)&amp;"",""))</f>
        <v/>
      </c>
      <c r="K454">
        <f>IF(설정!$C$13="","",IFERROR(INDEX('1.산군_붙여넣기'!$A$1:$AZ$1001,ROW(),설정!$C$13)&amp;"",""))</f>
        <v/>
      </c>
      <c r="L454" s="7">
        <f>IF(X454="","",IF(AND(LEN(X454)=8,ISNUMBER(X454*1)),DATE(LEFT(X454,4),MID(X454,5,2),RIGHT(X454,2)),IFERROR(DATEVALUE(SUBSTITUTE(SUBSTITUTE(X454,".","-"),"/","-")),IFERROR(X454*1,""))))</f>
        <v/>
      </c>
      <c r="M454" s="7">
        <f>IF(Y454="","",IF(AND(LEN(Y454)=8,ISNUMBER(Y454*1)),DATE(LEFT(Y454,4),MID(Y454,5,2),RIGHT(Y454,2)),IFERROR(DATEVALUE(SUBSTITUTE(SUBSTITUTE(Y454,".","-"),"/","-")),IFERROR(Y454*1,""))))</f>
        <v/>
      </c>
      <c r="N454">
        <f>IFERROR(LEFT(B454,FIND(" ",B454)-1),B454)</f>
        <v/>
      </c>
      <c r="O454">
        <f>AND(B454&lt;&gt;"",B454&lt;&gt;설정!$B$4,C454&lt;&gt;설정!$B$5)</f>
        <v/>
      </c>
      <c r="P454">
        <f>IF(O454,B454&amp;"|"&amp;C454,"")</f>
        <v/>
      </c>
      <c r="Q454">
        <f>AND(O454,COUNTIF(P455:P$1002,P454)=0)</f>
        <v/>
      </c>
      <c r="R454">
        <f>OR(AND(설정!$A$42&lt;&gt;"",ISNUMBER(SEARCH(설정!$A$42,E454&amp;" "&amp;C454))),AND(설정!$A$43&lt;&gt;"",ISNUMBER(SEARCH(설정!$A$43,E454&amp;" "&amp;C454))),AND(설정!$A$44&lt;&gt;"",ISNUMBER(SEARCH(설정!$A$44,E454&amp;" "&amp;C454))),AND(설정!$A$45&lt;&gt;"",ISNUMBER(SEARCH(설정!$A$45,E454&amp;" "&amp;C454))),AND(설정!$A$46&lt;&gt;"",ISNUMBER(SEARCH(설정!$A$46,E454&amp;" "&amp;C454))),AND(설정!$A$47&lt;&gt;"",ISNUMBER(SEARCH(설정!$A$47,E454&amp;" "&amp;C454))),AND(설정!$A$48&lt;&gt;"",ISNUMBER(SEARCH(설정!$A$48,E454&amp;" "&amp;C454))),AND(설정!$A$49&lt;&gt;"",ISNUMBER(SEARCH(설정!$A$49,E454&amp;" "&amp;C454))),AND(설정!$A$50&lt;&gt;"",ISNUMBER(SEARCH(설정!$A$50,E454&amp;" "&amp;C454))),AND(설정!$A$51&lt;&gt;"",ISNUMBER(SEARCH(설정!$A$51,E454&amp;" "&amp;C454))))</f>
        <v/>
      </c>
      <c r="S454">
        <f>OR(D454="",D454&gt;=설정!$B$19)</f>
        <v/>
      </c>
      <c r="T454">
        <f>AND(Q454,R454,S454)</f>
        <v/>
      </c>
      <c r="U454">
        <f>IF(T454,IF(AND(설정!$A$54&lt;&gt;"",ISNUMBER(SEARCH(설정!$A$54,K454))),설정!$B$54,IF(AND(설정!$A$55&lt;&gt;"",ISNUMBER(SEARCH(설정!$A$55,K454))),설정!$B$55,IF(AND(설정!$A$56&lt;&gt;"",ISNUMBER(SEARCH(설정!$A$56,K454))),설정!$B$56,IF(AND(설정!$A$57&lt;&gt;"",ISNUMBER(SEARCH(설정!$A$57,K454))),설정!$B$57,IF(AND(설정!$A$58&lt;&gt;"",ISNUMBER(SEARCH(설정!$A$58,K454))),설정!$B$58,IF(AND(설정!$A$59&lt;&gt;"",ISNUMBER(SEARCH(설정!$A$59,K454))),설정!$B$59,IF(AND(설정!$A$60&lt;&gt;"",ISNUMBER(SEARCH(설정!$A$60,K454))),설정!$B$60,IF(AND(설정!$A$61&lt;&gt;"",ISNUMBER(SEARCH(설정!$A$61,K454))),설정!$B$61,IF(M454="","설계사","시공사"))))))))),"")</f>
        <v/>
      </c>
      <c r="V454">
        <f>SUBSTITUTE(SUBSTITUTE(SUBSTITUTE(SUBSTITUTE(G454,"(주)",""),"㈜",""),"주식회사","")," ","")</f>
        <v/>
      </c>
      <c r="W454">
        <f>IF(AND(T454,V454&lt;&gt;""),IF(COUNTIFS(V$2:V454,V454,T$2:T454,TRUE)=1,MAX(W$1:W453)+1,""),"")</f>
        <v/>
      </c>
      <c r="X454">
        <f>IF(설정!$C$14="","",IFERROR(INDEX('1.산군_붙여넣기'!$A$1:$AZ$1001,ROW(),설정!$C$14)&amp;"",""))</f>
        <v/>
      </c>
      <c r="Y454">
        <f>IF(설정!$C$15="","",IFERROR(INDEX('1.산군_붙여넣기'!$A$1:$AZ$1001,ROW(),설정!$C$15)&amp;"",""))</f>
        <v/>
      </c>
      <c r="Z454">
        <f>IF(T454,V454&amp;"|"&amp;U454,"")</f>
        <v/>
      </c>
      <c r="AA454">
        <f>IF(NOT(Q454),"",IF(NOT(AND(R454,S454)),"✕",IF(OR(OR(AND(L454&lt;&gt;"",M454&lt;&gt;"",N(M454)-N(L454)&gt;설정!$B$27),AND(L454&lt;&gt;"",M454="",설정!$B$24-N(L454)&gt;설정!$B$27)),AND(D454&lt;&gt;"",D454&lt;설정!$B$26)),"△","★")))</f>
        <v/>
      </c>
      <c r="AB454">
        <f>IF(NOT(T454),"",IF(U454="설계사",설정!$B$31,IF(U454="시공사",IF(OR(M454="",설정!$B$24-N(M454)&lt;=설정!$B$28*30.4),설정!$B$32,설정!$B$33),설정!$B$34))+IF(AA454="★",설정!$B$35,0))</f>
        <v/>
      </c>
      <c r="AC454">
        <f>SUBSTITUTE(SUBSTITUTE(SUBSTITUTE(SUBSTITUTE(H454,"(주)",""),"㈜",""),"주식회사","")," ","")</f>
        <v/>
      </c>
      <c r="AD454">
        <f>IF(AND(T454,AC454&lt;&gt;""),IF(COUNTIFS(AC$2:AC454,AC454,T$2:T454,TRUE)=1,MAX(AD$1:AD453)+1,""),"")</f>
        <v/>
      </c>
    </row>
    <row r="455">
      <c r="A455">
        <f>ROW()</f>
        <v/>
      </c>
      <c r="B455">
        <f>IF(설정!$C$4="","",IFERROR(INDEX('1.산군_붙여넣기'!$A$1:$AZ$1001,ROW(),설정!$C$4)&amp;"",""))</f>
        <v/>
      </c>
      <c r="C455">
        <f>IF(설정!$C$5="","",IFERROR(INDEX('1.산군_붙여넣기'!$A$1:$AZ$1001,ROW(),설정!$C$5)&amp;"",""))</f>
        <v/>
      </c>
      <c r="D455" s="5">
        <f>IFERROR(VALUE(SUBSTITUTE(SUBSTITUTE(SUBSTITUTE(IF(설정!$C$6="","",IFERROR(INDEX('1.산군_붙여넣기'!$A$1:$AZ$1001,ROW(),설정!$C$6)&amp;"","")),",",""),"㎡",""),"m2","")),"")</f>
        <v/>
      </c>
      <c r="E455">
        <f>IF(설정!$C$7="","",IFERROR(INDEX('1.산군_붙여넣기'!$A$1:$AZ$1001,ROW(),설정!$C$7)&amp;"",""))</f>
        <v/>
      </c>
      <c r="F455">
        <f>IF(설정!$C$8="","",IFERROR(INDEX('1.산군_붙여넣기'!$A$1:$AZ$1001,ROW(),설정!$C$8)&amp;"",""))</f>
        <v/>
      </c>
      <c r="G455">
        <f>IF(설정!$C$9="","",IFERROR(INDEX('1.산군_붙여넣기'!$A$1:$AZ$1001,ROW(),설정!$C$9)&amp;"",""))</f>
        <v/>
      </c>
      <c r="H455">
        <f>IF(설정!$C$10="","",IFERROR(INDEX('1.산군_붙여넣기'!$A$1:$AZ$1001,ROW(),설정!$C$10)&amp;"",""))</f>
        <v/>
      </c>
      <c r="I455">
        <f>IF(설정!$C$11="","",IFERROR(INDEX('1.산군_붙여넣기'!$A$1:$AZ$1001,ROW(),설정!$C$11)&amp;"",""))</f>
        <v/>
      </c>
      <c r="J455">
        <f>IF(설정!$C$12="","",IFERROR(INDEX('1.산군_붙여넣기'!$A$1:$AZ$1001,ROW(),설정!$C$12)&amp;"",""))</f>
        <v/>
      </c>
      <c r="K455">
        <f>IF(설정!$C$13="","",IFERROR(INDEX('1.산군_붙여넣기'!$A$1:$AZ$1001,ROW(),설정!$C$13)&amp;"",""))</f>
        <v/>
      </c>
      <c r="L455" s="7">
        <f>IF(X455="","",IF(AND(LEN(X455)=8,ISNUMBER(X455*1)),DATE(LEFT(X455,4),MID(X455,5,2),RIGHT(X455,2)),IFERROR(DATEVALUE(SUBSTITUTE(SUBSTITUTE(X455,".","-"),"/","-")),IFERROR(X455*1,""))))</f>
        <v/>
      </c>
      <c r="M455" s="7">
        <f>IF(Y455="","",IF(AND(LEN(Y455)=8,ISNUMBER(Y455*1)),DATE(LEFT(Y455,4),MID(Y455,5,2),RIGHT(Y455,2)),IFERROR(DATEVALUE(SUBSTITUTE(SUBSTITUTE(Y455,".","-"),"/","-")),IFERROR(Y455*1,""))))</f>
        <v/>
      </c>
      <c r="N455">
        <f>IFERROR(LEFT(B455,FIND(" ",B455)-1),B455)</f>
        <v/>
      </c>
      <c r="O455">
        <f>AND(B455&lt;&gt;"",B455&lt;&gt;설정!$B$4,C455&lt;&gt;설정!$B$5)</f>
        <v/>
      </c>
      <c r="P455">
        <f>IF(O455,B455&amp;"|"&amp;C455,"")</f>
        <v/>
      </c>
      <c r="Q455">
        <f>AND(O455,COUNTIF(P456:P$1002,P455)=0)</f>
        <v/>
      </c>
      <c r="R455">
        <f>OR(AND(설정!$A$42&lt;&gt;"",ISNUMBER(SEARCH(설정!$A$42,E455&amp;" "&amp;C455))),AND(설정!$A$43&lt;&gt;"",ISNUMBER(SEARCH(설정!$A$43,E455&amp;" "&amp;C455))),AND(설정!$A$44&lt;&gt;"",ISNUMBER(SEARCH(설정!$A$44,E455&amp;" "&amp;C455))),AND(설정!$A$45&lt;&gt;"",ISNUMBER(SEARCH(설정!$A$45,E455&amp;" "&amp;C455))),AND(설정!$A$46&lt;&gt;"",ISNUMBER(SEARCH(설정!$A$46,E455&amp;" "&amp;C455))),AND(설정!$A$47&lt;&gt;"",ISNUMBER(SEARCH(설정!$A$47,E455&amp;" "&amp;C455))),AND(설정!$A$48&lt;&gt;"",ISNUMBER(SEARCH(설정!$A$48,E455&amp;" "&amp;C455))),AND(설정!$A$49&lt;&gt;"",ISNUMBER(SEARCH(설정!$A$49,E455&amp;" "&amp;C455))),AND(설정!$A$50&lt;&gt;"",ISNUMBER(SEARCH(설정!$A$50,E455&amp;" "&amp;C455))),AND(설정!$A$51&lt;&gt;"",ISNUMBER(SEARCH(설정!$A$51,E455&amp;" "&amp;C455))))</f>
        <v/>
      </c>
      <c r="S455">
        <f>OR(D455="",D455&gt;=설정!$B$19)</f>
        <v/>
      </c>
      <c r="T455">
        <f>AND(Q455,R455,S455)</f>
        <v/>
      </c>
      <c r="U455">
        <f>IF(T455,IF(AND(설정!$A$54&lt;&gt;"",ISNUMBER(SEARCH(설정!$A$54,K455))),설정!$B$54,IF(AND(설정!$A$55&lt;&gt;"",ISNUMBER(SEARCH(설정!$A$55,K455))),설정!$B$55,IF(AND(설정!$A$56&lt;&gt;"",ISNUMBER(SEARCH(설정!$A$56,K455))),설정!$B$56,IF(AND(설정!$A$57&lt;&gt;"",ISNUMBER(SEARCH(설정!$A$57,K455))),설정!$B$57,IF(AND(설정!$A$58&lt;&gt;"",ISNUMBER(SEARCH(설정!$A$58,K455))),설정!$B$58,IF(AND(설정!$A$59&lt;&gt;"",ISNUMBER(SEARCH(설정!$A$59,K455))),설정!$B$59,IF(AND(설정!$A$60&lt;&gt;"",ISNUMBER(SEARCH(설정!$A$60,K455))),설정!$B$60,IF(AND(설정!$A$61&lt;&gt;"",ISNUMBER(SEARCH(설정!$A$61,K455))),설정!$B$61,IF(M455="","설계사","시공사"))))))))),"")</f>
        <v/>
      </c>
      <c r="V455">
        <f>SUBSTITUTE(SUBSTITUTE(SUBSTITUTE(SUBSTITUTE(G455,"(주)",""),"㈜",""),"주식회사","")," ","")</f>
        <v/>
      </c>
      <c r="W455">
        <f>IF(AND(T455,V455&lt;&gt;""),IF(COUNTIFS(V$2:V455,V455,T$2:T455,TRUE)=1,MAX(W$1:W454)+1,""),"")</f>
        <v/>
      </c>
      <c r="X455">
        <f>IF(설정!$C$14="","",IFERROR(INDEX('1.산군_붙여넣기'!$A$1:$AZ$1001,ROW(),설정!$C$14)&amp;"",""))</f>
        <v/>
      </c>
      <c r="Y455">
        <f>IF(설정!$C$15="","",IFERROR(INDEX('1.산군_붙여넣기'!$A$1:$AZ$1001,ROW(),설정!$C$15)&amp;"",""))</f>
        <v/>
      </c>
      <c r="Z455">
        <f>IF(T455,V455&amp;"|"&amp;U455,"")</f>
        <v/>
      </c>
      <c r="AA455">
        <f>IF(NOT(Q455),"",IF(NOT(AND(R455,S455)),"✕",IF(OR(OR(AND(L455&lt;&gt;"",M455&lt;&gt;"",N(M455)-N(L455)&gt;설정!$B$27),AND(L455&lt;&gt;"",M455="",설정!$B$24-N(L455)&gt;설정!$B$27)),AND(D455&lt;&gt;"",D455&lt;설정!$B$26)),"△","★")))</f>
        <v/>
      </c>
      <c r="AB455">
        <f>IF(NOT(T455),"",IF(U455="설계사",설정!$B$31,IF(U455="시공사",IF(OR(M455="",설정!$B$24-N(M455)&lt;=설정!$B$28*30.4),설정!$B$32,설정!$B$33),설정!$B$34))+IF(AA455="★",설정!$B$35,0))</f>
        <v/>
      </c>
      <c r="AC455">
        <f>SUBSTITUTE(SUBSTITUTE(SUBSTITUTE(SUBSTITUTE(H455,"(주)",""),"㈜",""),"주식회사","")," ","")</f>
        <v/>
      </c>
      <c r="AD455">
        <f>IF(AND(T455,AC455&lt;&gt;""),IF(COUNTIFS(AC$2:AC455,AC455,T$2:T455,TRUE)=1,MAX(AD$1:AD454)+1,""),"")</f>
        <v/>
      </c>
    </row>
    <row r="456">
      <c r="A456">
        <f>ROW()</f>
        <v/>
      </c>
      <c r="B456">
        <f>IF(설정!$C$4="","",IFERROR(INDEX('1.산군_붙여넣기'!$A$1:$AZ$1001,ROW(),설정!$C$4)&amp;"",""))</f>
        <v/>
      </c>
      <c r="C456">
        <f>IF(설정!$C$5="","",IFERROR(INDEX('1.산군_붙여넣기'!$A$1:$AZ$1001,ROW(),설정!$C$5)&amp;"",""))</f>
        <v/>
      </c>
      <c r="D456" s="5">
        <f>IFERROR(VALUE(SUBSTITUTE(SUBSTITUTE(SUBSTITUTE(IF(설정!$C$6="","",IFERROR(INDEX('1.산군_붙여넣기'!$A$1:$AZ$1001,ROW(),설정!$C$6)&amp;"","")),",",""),"㎡",""),"m2","")),"")</f>
        <v/>
      </c>
      <c r="E456">
        <f>IF(설정!$C$7="","",IFERROR(INDEX('1.산군_붙여넣기'!$A$1:$AZ$1001,ROW(),설정!$C$7)&amp;"",""))</f>
        <v/>
      </c>
      <c r="F456">
        <f>IF(설정!$C$8="","",IFERROR(INDEX('1.산군_붙여넣기'!$A$1:$AZ$1001,ROW(),설정!$C$8)&amp;"",""))</f>
        <v/>
      </c>
      <c r="G456">
        <f>IF(설정!$C$9="","",IFERROR(INDEX('1.산군_붙여넣기'!$A$1:$AZ$1001,ROW(),설정!$C$9)&amp;"",""))</f>
        <v/>
      </c>
      <c r="H456">
        <f>IF(설정!$C$10="","",IFERROR(INDEX('1.산군_붙여넣기'!$A$1:$AZ$1001,ROW(),설정!$C$10)&amp;"",""))</f>
        <v/>
      </c>
      <c r="I456">
        <f>IF(설정!$C$11="","",IFERROR(INDEX('1.산군_붙여넣기'!$A$1:$AZ$1001,ROW(),설정!$C$11)&amp;"",""))</f>
        <v/>
      </c>
      <c r="J456">
        <f>IF(설정!$C$12="","",IFERROR(INDEX('1.산군_붙여넣기'!$A$1:$AZ$1001,ROW(),설정!$C$12)&amp;"",""))</f>
        <v/>
      </c>
      <c r="K456">
        <f>IF(설정!$C$13="","",IFERROR(INDEX('1.산군_붙여넣기'!$A$1:$AZ$1001,ROW(),설정!$C$13)&amp;"",""))</f>
        <v/>
      </c>
      <c r="L456" s="7">
        <f>IF(X456="","",IF(AND(LEN(X456)=8,ISNUMBER(X456*1)),DATE(LEFT(X456,4),MID(X456,5,2),RIGHT(X456,2)),IFERROR(DATEVALUE(SUBSTITUTE(SUBSTITUTE(X456,".","-"),"/","-")),IFERROR(X456*1,""))))</f>
        <v/>
      </c>
      <c r="M456" s="7">
        <f>IF(Y456="","",IF(AND(LEN(Y456)=8,ISNUMBER(Y456*1)),DATE(LEFT(Y456,4),MID(Y456,5,2),RIGHT(Y456,2)),IFERROR(DATEVALUE(SUBSTITUTE(SUBSTITUTE(Y456,".","-"),"/","-")),IFERROR(Y456*1,""))))</f>
        <v/>
      </c>
      <c r="N456">
        <f>IFERROR(LEFT(B456,FIND(" ",B456)-1),B456)</f>
        <v/>
      </c>
      <c r="O456">
        <f>AND(B456&lt;&gt;"",B456&lt;&gt;설정!$B$4,C456&lt;&gt;설정!$B$5)</f>
        <v/>
      </c>
      <c r="P456">
        <f>IF(O456,B456&amp;"|"&amp;C456,"")</f>
        <v/>
      </c>
      <c r="Q456">
        <f>AND(O456,COUNTIF(P457:P$1002,P456)=0)</f>
        <v/>
      </c>
      <c r="R456">
        <f>OR(AND(설정!$A$42&lt;&gt;"",ISNUMBER(SEARCH(설정!$A$42,E456&amp;" "&amp;C456))),AND(설정!$A$43&lt;&gt;"",ISNUMBER(SEARCH(설정!$A$43,E456&amp;" "&amp;C456))),AND(설정!$A$44&lt;&gt;"",ISNUMBER(SEARCH(설정!$A$44,E456&amp;" "&amp;C456))),AND(설정!$A$45&lt;&gt;"",ISNUMBER(SEARCH(설정!$A$45,E456&amp;" "&amp;C456))),AND(설정!$A$46&lt;&gt;"",ISNUMBER(SEARCH(설정!$A$46,E456&amp;" "&amp;C456))),AND(설정!$A$47&lt;&gt;"",ISNUMBER(SEARCH(설정!$A$47,E456&amp;" "&amp;C456))),AND(설정!$A$48&lt;&gt;"",ISNUMBER(SEARCH(설정!$A$48,E456&amp;" "&amp;C456))),AND(설정!$A$49&lt;&gt;"",ISNUMBER(SEARCH(설정!$A$49,E456&amp;" "&amp;C456))),AND(설정!$A$50&lt;&gt;"",ISNUMBER(SEARCH(설정!$A$50,E456&amp;" "&amp;C456))),AND(설정!$A$51&lt;&gt;"",ISNUMBER(SEARCH(설정!$A$51,E456&amp;" "&amp;C456))))</f>
        <v/>
      </c>
      <c r="S456">
        <f>OR(D456="",D456&gt;=설정!$B$19)</f>
        <v/>
      </c>
      <c r="T456">
        <f>AND(Q456,R456,S456)</f>
        <v/>
      </c>
      <c r="U456">
        <f>IF(T456,IF(AND(설정!$A$54&lt;&gt;"",ISNUMBER(SEARCH(설정!$A$54,K456))),설정!$B$54,IF(AND(설정!$A$55&lt;&gt;"",ISNUMBER(SEARCH(설정!$A$55,K456))),설정!$B$55,IF(AND(설정!$A$56&lt;&gt;"",ISNUMBER(SEARCH(설정!$A$56,K456))),설정!$B$56,IF(AND(설정!$A$57&lt;&gt;"",ISNUMBER(SEARCH(설정!$A$57,K456))),설정!$B$57,IF(AND(설정!$A$58&lt;&gt;"",ISNUMBER(SEARCH(설정!$A$58,K456))),설정!$B$58,IF(AND(설정!$A$59&lt;&gt;"",ISNUMBER(SEARCH(설정!$A$59,K456))),설정!$B$59,IF(AND(설정!$A$60&lt;&gt;"",ISNUMBER(SEARCH(설정!$A$60,K456))),설정!$B$60,IF(AND(설정!$A$61&lt;&gt;"",ISNUMBER(SEARCH(설정!$A$61,K456))),설정!$B$61,IF(M456="","설계사","시공사"))))))))),"")</f>
        <v/>
      </c>
      <c r="V456">
        <f>SUBSTITUTE(SUBSTITUTE(SUBSTITUTE(SUBSTITUTE(G456,"(주)",""),"㈜",""),"주식회사","")," ","")</f>
        <v/>
      </c>
      <c r="W456">
        <f>IF(AND(T456,V456&lt;&gt;""),IF(COUNTIFS(V$2:V456,V456,T$2:T456,TRUE)=1,MAX(W$1:W455)+1,""),"")</f>
        <v/>
      </c>
      <c r="X456">
        <f>IF(설정!$C$14="","",IFERROR(INDEX('1.산군_붙여넣기'!$A$1:$AZ$1001,ROW(),설정!$C$14)&amp;"",""))</f>
        <v/>
      </c>
      <c r="Y456">
        <f>IF(설정!$C$15="","",IFERROR(INDEX('1.산군_붙여넣기'!$A$1:$AZ$1001,ROW(),설정!$C$15)&amp;"",""))</f>
        <v/>
      </c>
      <c r="Z456">
        <f>IF(T456,V456&amp;"|"&amp;U456,"")</f>
        <v/>
      </c>
      <c r="AA456">
        <f>IF(NOT(Q456),"",IF(NOT(AND(R456,S456)),"✕",IF(OR(OR(AND(L456&lt;&gt;"",M456&lt;&gt;"",N(M456)-N(L456)&gt;설정!$B$27),AND(L456&lt;&gt;"",M456="",설정!$B$24-N(L456)&gt;설정!$B$27)),AND(D456&lt;&gt;"",D456&lt;설정!$B$26)),"△","★")))</f>
        <v/>
      </c>
      <c r="AB456">
        <f>IF(NOT(T456),"",IF(U456="설계사",설정!$B$31,IF(U456="시공사",IF(OR(M456="",설정!$B$24-N(M456)&lt;=설정!$B$28*30.4),설정!$B$32,설정!$B$33),설정!$B$34))+IF(AA456="★",설정!$B$35,0))</f>
        <v/>
      </c>
      <c r="AC456">
        <f>SUBSTITUTE(SUBSTITUTE(SUBSTITUTE(SUBSTITUTE(H456,"(주)",""),"㈜",""),"주식회사","")," ","")</f>
        <v/>
      </c>
      <c r="AD456">
        <f>IF(AND(T456,AC456&lt;&gt;""),IF(COUNTIFS(AC$2:AC456,AC456,T$2:T456,TRUE)=1,MAX(AD$1:AD455)+1,""),"")</f>
        <v/>
      </c>
    </row>
    <row r="457">
      <c r="A457">
        <f>ROW()</f>
        <v/>
      </c>
      <c r="B457">
        <f>IF(설정!$C$4="","",IFERROR(INDEX('1.산군_붙여넣기'!$A$1:$AZ$1001,ROW(),설정!$C$4)&amp;"",""))</f>
        <v/>
      </c>
      <c r="C457">
        <f>IF(설정!$C$5="","",IFERROR(INDEX('1.산군_붙여넣기'!$A$1:$AZ$1001,ROW(),설정!$C$5)&amp;"",""))</f>
        <v/>
      </c>
      <c r="D457" s="5">
        <f>IFERROR(VALUE(SUBSTITUTE(SUBSTITUTE(SUBSTITUTE(IF(설정!$C$6="","",IFERROR(INDEX('1.산군_붙여넣기'!$A$1:$AZ$1001,ROW(),설정!$C$6)&amp;"","")),",",""),"㎡",""),"m2","")),"")</f>
        <v/>
      </c>
      <c r="E457">
        <f>IF(설정!$C$7="","",IFERROR(INDEX('1.산군_붙여넣기'!$A$1:$AZ$1001,ROW(),설정!$C$7)&amp;"",""))</f>
        <v/>
      </c>
      <c r="F457">
        <f>IF(설정!$C$8="","",IFERROR(INDEX('1.산군_붙여넣기'!$A$1:$AZ$1001,ROW(),설정!$C$8)&amp;"",""))</f>
        <v/>
      </c>
      <c r="G457">
        <f>IF(설정!$C$9="","",IFERROR(INDEX('1.산군_붙여넣기'!$A$1:$AZ$1001,ROW(),설정!$C$9)&amp;"",""))</f>
        <v/>
      </c>
      <c r="H457">
        <f>IF(설정!$C$10="","",IFERROR(INDEX('1.산군_붙여넣기'!$A$1:$AZ$1001,ROW(),설정!$C$10)&amp;"",""))</f>
        <v/>
      </c>
      <c r="I457">
        <f>IF(설정!$C$11="","",IFERROR(INDEX('1.산군_붙여넣기'!$A$1:$AZ$1001,ROW(),설정!$C$11)&amp;"",""))</f>
        <v/>
      </c>
      <c r="J457">
        <f>IF(설정!$C$12="","",IFERROR(INDEX('1.산군_붙여넣기'!$A$1:$AZ$1001,ROW(),설정!$C$12)&amp;"",""))</f>
        <v/>
      </c>
      <c r="K457">
        <f>IF(설정!$C$13="","",IFERROR(INDEX('1.산군_붙여넣기'!$A$1:$AZ$1001,ROW(),설정!$C$13)&amp;"",""))</f>
        <v/>
      </c>
      <c r="L457" s="7">
        <f>IF(X457="","",IF(AND(LEN(X457)=8,ISNUMBER(X457*1)),DATE(LEFT(X457,4),MID(X457,5,2),RIGHT(X457,2)),IFERROR(DATEVALUE(SUBSTITUTE(SUBSTITUTE(X457,".","-"),"/","-")),IFERROR(X457*1,""))))</f>
        <v/>
      </c>
      <c r="M457" s="7">
        <f>IF(Y457="","",IF(AND(LEN(Y457)=8,ISNUMBER(Y457*1)),DATE(LEFT(Y457,4),MID(Y457,5,2),RIGHT(Y457,2)),IFERROR(DATEVALUE(SUBSTITUTE(SUBSTITUTE(Y457,".","-"),"/","-")),IFERROR(Y457*1,""))))</f>
        <v/>
      </c>
      <c r="N457">
        <f>IFERROR(LEFT(B457,FIND(" ",B457)-1),B457)</f>
        <v/>
      </c>
      <c r="O457">
        <f>AND(B457&lt;&gt;"",B457&lt;&gt;설정!$B$4,C457&lt;&gt;설정!$B$5)</f>
        <v/>
      </c>
      <c r="P457">
        <f>IF(O457,B457&amp;"|"&amp;C457,"")</f>
        <v/>
      </c>
      <c r="Q457">
        <f>AND(O457,COUNTIF(P458:P$1002,P457)=0)</f>
        <v/>
      </c>
      <c r="R457">
        <f>OR(AND(설정!$A$42&lt;&gt;"",ISNUMBER(SEARCH(설정!$A$42,E457&amp;" "&amp;C457))),AND(설정!$A$43&lt;&gt;"",ISNUMBER(SEARCH(설정!$A$43,E457&amp;" "&amp;C457))),AND(설정!$A$44&lt;&gt;"",ISNUMBER(SEARCH(설정!$A$44,E457&amp;" "&amp;C457))),AND(설정!$A$45&lt;&gt;"",ISNUMBER(SEARCH(설정!$A$45,E457&amp;" "&amp;C457))),AND(설정!$A$46&lt;&gt;"",ISNUMBER(SEARCH(설정!$A$46,E457&amp;" "&amp;C457))),AND(설정!$A$47&lt;&gt;"",ISNUMBER(SEARCH(설정!$A$47,E457&amp;" "&amp;C457))),AND(설정!$A$48&lt;&gt;"",ISNUMBER(SEARCH(설정!$A$48,E457&amp;" "&amp;C457))),AND(설정!$A$49&lt;&gt;"",ISNUMBER(SEARCH(설정!$A$49,E457&amp;" "&amp;C457))),AND(설정!$A$50&lt;&gt;"",ISNUMBER(SEARCH(설정!$A$50,E457&amp;" "&amp;C457))),AND(설정!$A$51&lt;&gt;"",ISNUMBER(SEARCH(설정!$A$51,E457&amp;" "&amp;C457))))</f>
        <v/>
      </c>
      <c r="S457">
        <f>OR(D457="",D457&gt;=설정!$B$19)</f>
        <v/>
      </c>
      <c r="T457">
        <f>AND(Q457,R457,S457)</f>
        <v/>
      </c>
      <c r="U457">
        <f>IF(T457,IF(AND(설정!$A$54&lt;&gt;"",ISNUMBER(SEARCH(설정!$A$54,K457))),설정!$B$54,IF(AND(설정!$A$55&lt;&gt;"",ISNUMBER(SEARCH(설정!$A$55,K457))),설정!$B$55,IF(AND(설정!$A$56&lt;&gt;"",ISNUMBER(SEARCH(설정!$A$56,K457))),설정!$B$56,IF(AND(설정!$A$57&lt;&gt;"",ISNUMBER(SEARCH(설정!$A$57,K457))),설정!$B$57,IF(AND(설정!$A$58&lt;&gt;"",ISNUMBER(SEARCH(설정!$A$58,K457))),설정!$B$58,IF(AND(설정!$A$59&lt;&gt;"",ISNUMBER(SEARCH(설정!$A$59,K457))),설정!$B$59,IF(AND(설정!$A$60&lt;&gt;"",ISNUMBER(SEARCH(설정!$A$60,K457))),설정!$B$60,IF(AND(설정!$A$61&lt;&gt;"",ISNUMBER(SEARCH(설정!$A$61,K457))),설정!$B$61,IF(M457="","설계사","시공사"))))))))),"")</f>
        <v/>
      </c>
      <c r="V457">
        <f>SUBSTITUTE(SUBSTITUTE(SUBSTITUTE(SUBSTITUTE(G457,"(주)",""),"㈜",""),"주식회사","")," ","")</f>
        <v/>
      </c>
      <c r="W457">
        <f>IF(AND(T457,V457&lt;&gt;""),IF(COUNTIFS(V$2:V457,V457,T$2:T457,TRUE)=1,MAX(W$1:W456)+1,""),"")</f>
        <v/>
      </c>
      <c r="X457">
        <f>IF(설정!$C$14="","",IFERROR(INDEX('1.산군_붙여넣기'!$A$1:$AZ$1001,ROW(),설정!$C$14)&amp;"",""))</f>
        <v/>
      </c>
      <c r="Y457">
        <f>IF(설정!$C$15="","",IFERROR(INDEX('1.산군_붙여넣기'!$A$1:$AZ$1001,ROW(),설정!$C$15)&amp;"",""))</f>
        <v/>
      </c>
      <c r="Z457">
        <f>IF(T457,V457&amp;"|"&amp;U457,"")</f>
        <v/>
      </c>
      <c r="AA457">
        <f>IF(NOT(Q457),"",IF(NOT(AND(R457,S457)),"✕",IF(OR(OR(AND(L457&lt;&gt;"",M457&lt;&gt;"",N(M457)-N(L457)&gt;설정!$B$27),AND(L457&lt;&gt;"",M457="",설정!$B$24-N(L457)&gt;설정!$B$27)),AND(D457&lt;&gt;"",D457&lt;설정!$B$26)),"△","★")))</f>
        <v/>
      </c>
      <c r="AB457">
        <f>IF(NOT(T457),"",IF(U457="설계사",설정!$B$31,IF(U457="시공사",IF(OR(M457="",설정!$B$24-N(M457)&lt;=설정!$B$28*30.4),설정!$B$32,설정!$B$33),설정!$B$34))+IF(AA457="★",설정!$B$35,0))</f>
        <v/>
      </c>
      <c r="AC457">
        <f>SUBSTITUTE(SUBSTITUTE(SUBSTITUTE(SUBSTITUTE(H457,"(주)",""),"㈜",""),"주식회사","")," ","")</f>
        <v/>
      </c>
      <c r="AD457">
        <f>IF(AND(T457,AC457&lt;&gt;""),IF(COUNTIFS(AC$2:AC457,AC457,T$2:T457,TRUE)=1,MAX(AD$1:AD456)+1,""),"")</f>
        <v/>
      </c>
    </row>
    <row r="458">
      <c r="A458">
        <f>ROW()</f>
        <v/>
      </c>
      <c r="B458">
        <f>IF(설정!$C$4="","",IFERROR(INDEX('1.산군_붙여넣기'!$A$1:$AZ$1001,ROW(),설정!$C$4)&amp;"",""))</f>
        <v/>
      </c>
      <c r="C458">
        <f>IF(설정!$C$5="","",IFERROR(INDEX('1.산군_붙여넣기'!$A$1:$AZ$1001,ROW(),설정!$C$5)&amp;"",""))</f>
        <v/>
      </c>
      <c r="D458" s="5">
        <f>IFERROR(VALUE(SUBSTITUTE(SUBSTITUTE(SUBSTITUTE(IF(설정!$C$6="","",IFERROR(INDEX('1.산군_붙여넣기'!$A$1:$AZ$1001,ROW(),설정!$C$6)&amp;"","")),",",""),"㎡",""),"m2","")),"")</f>
        <v/>
      </c>
      <c r="E458">
        <f>IF(설정!$C$7="","",IFERROR(INDEX('1.산군_붙여넣기'!$A$1:$AZ$1001,ROW(),설정!$C$7)&amp;"",""))</f>
        <v/>
      </c>
      <c r="F458">
        <f>IF(설정!$C$8="","",IFERROR(INDEX('1.산군_붙여넣기'!$A$1:$AZ$1001,ROW(),설정!$C$8)&amp;"",""))</f>
        <v/>
      </c>
      <c r="G458">
        <f>IF(설정!$C$9="","",IFERROR(INDEX('1.산군_붙여넣기'!$A$1:$AZ$1001,ROW(),설정!$C$9)&amp;"",""))</f>
        <v/>
      </c>
      <c r="H458">
        <f>IF(설정!$C$10="","",IFERROR(INDEX('1.산군_붙여넣기'!$A$1:$AZ$1001,ROW(),설정!$C$10)&amp;"",""))</f>
        <v/>
      </c>
      <c r="I458">
        <f>IF(설정!$C$11="","",IFERROR(INDEX('1.산군_붙여넣기'!$A$1:$AZ$1001,ROW(),설정!$C$11)&amp;"",""))</f>
        <v/>
      </c>
      <c r="J458">
        <f>IF(설정!$C$12="","",IFERROR(INDEX('1.산군_붙여넣기'!$A$1:$AZ$1001,ROW(),설정!$C$12)&amp;"",""))</f>
        <v/>
      </c>
      <c r="K458">
        <f>IF(설정!$C$13="","",IFERROR(INDEX('1.산군_붙여넣기'!$A$1:$AZ$1001,ROW(),설정!$C$13)&amp;"",""))</f>
        <v/>
      </c>
      <c r="L458" s="7">
        <f>IF(X458="","",IF(AND(LEN(X458)=8,ISNUMBER(X458*1)),DATE(LEFT(X458,4),MID(X458,5,2),RIGHT(X458,2)),IFERROR(DATEVALUE(SUBSTITUTE(SUBSTITUTE(X458,".","-"),"/","-")),IFERROR(X458*1,""))))</f>
        <v/>
      </c>
      <c r="M458" s="7">
        <f>IF(Y458="","",IF(AND(LEN(Y458)=8,ISNUMBER(Y458*1)),DATE(LEFT(Y458,4),MID(Y458,5,2),RIGHT(Y458,2)),IFERROR(DATEVALUE(SUBSTITUTE(SUBSTITUTE(Y458,".","-"),"/","-")),IFERROR(Y458*1,""))))</f>
        <v/>
      </c>
      <c r="N458">
        <f>IFERROR(LEFT(B458,FIND(" ",B458)-1),B458)</f>
        <v/>
      </c>
      <c r="O458">
        <f>AND(B458&lt;&gt;"",B458&lt;&gt;설정!$B$4,C458&lt;&gt;설정!$B$5)</f>
        <v/>
      </c>
      <c r="P458">
        <f>IF(O458,B458&amp;"|"&amp;C458,"")</f>
        <v/>
      </c>
      <c r="Q458">
        <f>AND(O458,COUNTIF(P459:P$1002,P458)=0)</f>
        <v/>
      </c>
      <c r="R458">
        <f>OR(AND(설정!$A$42&lt;&gt;"",ISNUMBER(SEARCH(설정!$A$42,E458&amp;" "&amp;C458))),AND(설정!$A$43&lt;&gt;"",ISNUMBER(SEARCH(설정!$A$43,E458&amp;" "&amp;C458))),AND(설정!$A$44&lt;&gt;"",ISNUMBER(SEARCH(설정!$A$44,E458&amp;" "&amp;C458))),AND(설정!$A$45&lt;&gt;"",ISNUMBER(SEARCH(설정!$A$45,E458&amp;" "&amp;C458))),AND(설정!$A$46&lt;&gt;"",ISNUMBER(SEARCH(설정!$A$46,E458&amp;" "&amp;C458))),AND(설정!$A$47&lt;&gt;"",ISNUMBER(SEARCH(설정!$A$47,E458&amp;" "&amp;C458))),AND(설정!$A$48&lt;&gt;"",ISNUMBER(SEARCH(설정!$A$48,E458&amp;" "&amp;C458))),AND(설정!$A$49&lt;&gt;"",ISNUMBER(SEARCH(설정!$A$49,E458&amp;" "&amp;C458))),AND(설정!$A$50&lt;&gt;"",ISNUMBER(SEARCH(설정!$A$50,E458&amp;" "&amp;C458))),AND(설정!$A$51&lt;&gt;"",ISNUMBER(SEARCH(설정!$A$51,E458&amp;" "&amp;C458))))</f>
        <v/>
      </c>
      <c r="S458">
        <f>OR(D458="",D458&gt;=설정!$B$19)</f>
        <v/>
      </c>
      <c r="T458">
        <f>AND(Q458,R458,S458)</f>
        <v/>
      </c>
      <c r="U458">
        <f>IF(T458,IF(AND(설정!$A$54&lt;&gt;"",ISNUMBER(SEARCH(설정!$A$54,K458))),설정!$B$54,IF(AND(설정!$A$55&lt;&gt;"",ISNUMBER(SEARCH(설정!$A$55,K458))),설정!$B$55,IF(AND(설정!$A$56&lt;&gt;"",ISNUMBER(SEARCH(설정!$A$56,K458))),설정!$B$56,IF(AND(설정!$A$57&lt;&gt;"",ISNUMBER(SEARCH(설정!$A$57,K458))),설정!$B$57,IF(AND(설정!$A$58&lt;&gt;"",ISNUMBER(SEARCH(설정!$A$58,K458))),설정!$B$58,IF(AND(설정!$A$59&lt;&gt;"",ISNUMBER(SEARCH(설정!$A$59,K458))),설정!$B$59,IF(AND(설정!$A$60&lt;&gt;"",ISNUMBER(SEARCH(설정!$A$60,K458))),설정!$B$60,IF(AND(설정!$A$61&lt;&gt;"",ISNUMBER(SEARCH(설정!$A$61,K458))),설정!$B$61,IF(M458="","설계사","시공사"))))))))),"")</f>
        <v/>
      </c>
      <c r="V458">
        <f>SUBSTITUTE(SUBSTITUTE(SUBSTITUTE(SUBSTITUTE(G458,"(주)",""),"㈜",""),"주식회사","")," ","")</f>
        <v/>
      </c>
      <c r="W458">
        <f>IF(AND(T458,V458&lt;&gt;""),IF(COUNTIFS(V$2:V458,V458,T$2:T458,TRUE)=1,MAX(W$1:W457)+1,""),"")</f>
        <v/>
      </c>
      <c r="X458">
        <f>IF(설정!$C$14="","",IFERROR(INDEX('1.산군_붙여넣기'!$A$1:$AZ$1001,ROW(),설정!$C$14)&amp;"",""))</f>
        <v/>
      </c>
      <c r="Y458">
        <f>IF(설정!$C$15="","",IFERROR(INDEX('1.산군_붙여넣기'!$A$1:$AZ$1001,ROW(),설정!$C$15)&amp;"",""))</f>
        <v/>
      </c>
      <c r="Z458">
        <f>IF(T458,V458&amp;"|"&amp;U458,"")</f>
        <v/>
      </c>
      <c r="AA458">
        <f>IF(NOT(Q458),"",IF(NOT(AND(R458,S458)),"✕",IF(OR(OR(AND(L458&lt;&gt;"",M458&lt;&gt;"",N(M458)-N(L458)&gt;설정!$B$27),AND(L458&lt;&gt;"",M458="",설정!$B$24-N(L458)&gt;설정!$B$27)),AND(D458&lt;&gt;"",D458&lt;설정!$B$26)),"△","★")))</f>
        <v/>
      </c>
      <c r="AB458">
        <f>IF(NOT(T458),"",IF(U458="설계사",설정!$B$31,IF(U458="시공사",IF(OR(M458="",설정!$B$24-N(M458)&lt;=설정!$B$28*30.4),설정!$B$32,설정!$B$33),설정!$B$34))+IF(AA458="★",설정!$B$35,0))</f>
        <v/>
      </c>
      <c r="AC458">
        <f>SUBSTITUTE(SUBSTITUTE(SUBSTITUTE(SUBSTITUTE(H458,"(주)",""),"㈜",""),"주식회사","")," ","")</f>
        <v/>
      </c>
      <c r="AD458">
        <f>IF(AND(T458,AC458&lt;&gt;""),IF(COUNTIFS(AC$2:AC458,AC458,T$2:T458,TRUE)=1,MAX(AD$1:AD457)+1,""),"")</f>
        <v/>
      </c>
    </row>
    <row r="459">
      <c r="A459">
        <f>ROW()</f>
        <v/>
      </c>
      <c r="B459">
        <f>IF(설정!$C$4="","",IFERROR(INDEX('1.산군_붙여넣기'!$A$1:$AZ$1001,ROW(),설정!$C$4)&amp;"",""))</f>
        <v/>
      </c>
      <c r="C459">
        <f>IF(설정!$C$5="","",IFERROR(INDEX('1.산군_붙여넣기'!$A$1:$AZ$1001,ROW(),설정!$C$5)&amp;"",""))</f>
        <v/>
      </c>
      <c r="D459" s="5">
        <f>IFERROR(VALUE(SUBSTITUTE(SUBSTITUTE(SUBSTITUTE(IF(설정!$C$6="","",IFERROR(INDEX('1.산군_붙여넣기'!$A$1:$AZ$1001,ROW(),설정!$C$6)&amp;"","")),",",""),"㎡",""),"m2","")),"")</f>
        <v/>
      </c>
      <c r="E459">
        <f>IF(설정!$C$7="","",IFERROR(INDEX('1.산군_붙여넣기'!$A$1:$AZ$1001,ROW(),설정!$C$7)&amp;"",""))</f>
        <v/>
      </c>
      <c r="F459">
        <f>IF(설정!$C$8="","",IFERROR(INDEX('1.산군_붙여넣기'!$A$1:$AZ$1001,ROW(),설정!$C$8)&amp;"",""))</f>
        <v/>
      </c>
      <c r="G459">
        <f>IF(설정!$C$9="","",IFERROR(INDEX('1.산군_붙여넣기'!$A$1:$AZ$1001,ROW(),설정!$C$9)&amp;"",""))</f>
        <v/>
      </c>
      <c r="H459">
        <f>IF(설정!$C$10="","",IFERROR(INDEX('1.산군_붙여넣기'!$A$1:$AZ$1001,ROW(),설정!$C$10)&amp;"",""))</f>
        <v/>
      </c>
      <c r="I459">
        <f>IF(설정!$C$11="","",IFERROR(INDEX('1.산군_붙여넣기'!$A$1:$AZ$1001,ROW(),설정!$C$11)&amp;"",""))</f>
        <v/>
      </c>
      <c r="J459">
        <f>IF(설정!$C$12="","",IFERROR(INDEX('1.산군_붙여넣기'!$A$1:$AZ$1001,ROW(),설정!$C$12)&amp;"",""))</f>
        <v/>
      </c>
      <c r="K459">
        <f>IF(설정!$C$13="","",IFERROR(INDEX('1.산군_붙여넣기'!$A$1:$AZ$1001,ROW(),설정!$C$13)&amp;"",""))</f>
        <v/>
      </c>
      <c r="L459" s="7">
        <f>IF(X459="","",IF(AND(LEN(X459)=8,ISNUMBER(X459*1)),DATE(LEFT(X459,4),MID(X459,5,2),RIGHT(X459,2)),IFERROR(DATEVALUE(SUBSTITUTE(SUBSTITUTE(X459,".","-"),"/","-")),IFERROR(X459*1,""))))</f>
        <v/>
      </c>
      <c r="M459" s="7">
        <f>IF(Y459="","",IF(AND(LEN(Y459)=8,ISNUMBER(Y459*1)),DATE(LEFT(Y459,4),MID(Y459,5,2),RIGHT(Y459,2)),IFERROR(DATEVALUE(SUBSTITUTE(SUBSTITUTE(Y459,".","-"),"/","-")),IFERROR(Y459*1,""))))</f>
        <v/>
      </c>
      <c r="N459">
        <f>IFERROR(LEFT(B459,FIND(" ",B459)-1),B459)</f>
        <v/>
      </c>
      <c r="O459">
        <f>AND(B459&lt;&gt;"",B459&lt;&gt;설정!$B$4,C459&lt;&gt;설정!$B$5)</f>
        <v/>
      </c>
      <c r="P459">
        <f>IF(O459,B459&amp;"|"&amp;C459,"")</f>
        <v/>
      </c>
      <c r="Q459">
        <f>AND(O459,COUNTIF(P460:P$1002,P459)=0)</f>
        <v/>
      </c>
      <c r="R459">
        <f>OR(AND(설정!$A$42&lt;&gt;"",ISNUMBER(SEARCH(설정!$A$42,E459&amp;" "&amp;C459))),AND(설정!$A$43&lt;&gt;"",ISNUMBER(SEARCH(설정!$A$43,E459&amp;" "&amp;C459))),AND(설정!$A$44&lt;&gt;"",ISNUMBER(SEARCH(설정!$A$44,E459&amp;" "&amp;C459))),AND(설정!$A$45&lt;&gt;"",ISNUMBER(SEARCH(설정!$A$45,E459&amp;" "&amp;C459))),AND(설정!$A$46&lt;&gt;"",ISNUMBER(SEARCH(설정!$A$46,E459&amp;" "&amp;C459))),AND(설정!$A$47&lt;&gt;"",ISNUMBER(SEARCH(설정!$A$47,E459&amp;" "&amp;C459))),AND(설정!$A$48&lt;&gt;"",ISNUMBER(SEARCH(설정!$A$48,E459&amp;" "&amp;C459))),AND(설정!$A$49&lt;&gt;"",ISNUMBER(SEARCH(설정!$A$49,E459&amp;" "&amp;C459))),AND(설정!$A$50&lt;&gt;"",ISNUMBER(SEARCH(설정!$A$50,E459&amp;" "&amp;C459))),AND(설정!$A$51&lt;&gt;"",ISNUMBER(SEARCH(설정!$A$51,E459&amp;" "&amp;C459))))</f>
        <v/>
      </c>
      <c r="S459">
        <f>OR(D459="",D459&gt;=설정!$B$19)</f>
        <v/>
      </c>
      <c r="T459">
        <f>AND(Q459,R459,S459)</f>
        <v/>
      </c>
      <c r="U459">
        <f>IF(T459,IF(AND(설정!$A$54&lt;&gt;"",ISNUMBER(SEARCH(설정!$A$54,K459))),설정!$B$54,IF(AND(설정!$A$55&lt;&gt;"",ISNUMBER(SEARCH(설정!$A$55,K459))),설정!$B$55,IF(AND(설정!$A$56&lt;&gt;"",ISNUMBER(SEARCH(설정!$A$56,K459))),설정!$B$56,IF(AND(설정!$A$57&lt;&gt;"",ISNUMBER(SEARCH(설정!$A$57,K459))),설정!$B$57,IF(AND(설정!$A$58&lt;&gt;"",ISNUMBER(SEARCH(설정!$A$58,K459))),설정!$B$58,IF(AND(설정!$A$59&lt;&gt;"",ISNUMBER(SEARCH(설정!$A$59,K459))),설정!$B$59,IF(AND(설정!$A$60&lt;&gt;"",ISNUMBER(SEARCH(설정!$A$60,K459))),설정!$B$60,IF(AND(설정!$A$61&lt;&gt;"",ISNUMBER(SEARCH(설정!$A$61,K459))),설정!$B$61,IF(M459="","설계사","시공사"))))))))),"")</f>
        <v/>
      </c>
      <c r="V459">
        <f>SUBSTITUTE(SUBSTITUTE(SUBSTITUTE(SUBSTITUTE(G459,"(주)",""),"㈜",""),"주식회사","")," ","")</f>
        <v/>
      </c>
      <c r="W459">
        <f>IF(AND(T459,V459&lt;&gt;""),IF(COUNTIFS(V$2:V459,V459,T$2:T459,TRUE)=1,MAX(W$1:W458)+1,""),"")</f>
        <v/>
      </c>
      <c r="X459">
        <f>IF(설정!$C$14="","",IFERROR(INDEX('1.산군_붙여넣기'!$A$1:$AZ$1001,ROW(),설정!$C$14)&amp;"",""))</f>
        <v/>
      </c>
      <c r="Y459">
        <f>IF(설정!$C$15="","",IFERROR(INDEX('1.산군_붙여넣기'!$A$1:$AZ$1001,ROW(),설정!$C$15)&amp;"",""))</f>
        <v/>
      </c>
      <c r="Z459">
        <f>IF(T459,V459&amp;"|"&amp;U459,"")</f>
        <v/>
      </c>
      <c r="AA459">
        <f>IF(NOT(Q459),"",IF(NOT(AND(R459,S459)),"✕",IF(OR(OR(AND(L459&lt;&gt;"",M459&lt;&gt;"",N(M459)-N(L459)&gt;설정!$B$27),AND(L459&lt;&gt;"",M459="",설정!$B$24-N(L459)&gt;설정!$B$27)),AND(D459&lt;&gt;"",D459&lt;설정!$B$26)),"△","★")))</f>
        <v/>
      </c>
      <c r="AB459">
        <f>IF(NOT(T459),"",IF(U459="설계사",설정!$B$31,IF(U459="시공사",IF(OR(M459="",설정!$B$24-N(M459)&lt;=설정!$B$28*30.4),설정!$B$32,설정!$B$33),설정!$B$34))+IF(AA459="★",설정!$B$35,0))</f>
        <v/>
      </c>
      <c r="AC459">
        <f>SUBSTITUTE(SUBSTITUTE(SUBSTITUTE(SUBSTITUTE(H459,"(주)",""),"㈜",""),"주식회사","")," ","")</f>
        <v/>
      </c>
      <c r="AD459">
        <f>IF(AND(T459,AC459&lt;&gt;""),IF(COUNTIFS(AC$2:AC459,AC459,T$2:T459,TRUE)=1,MAX(AD$1:AD458)+1,""),"")</f>
        <v/>
      </c>
    </row>
    <row r="460">
      <c r="A460">
        <f>ROW()</f>
        <v/>
      </c>
      <c r="B460">
        <f>IF(설정!$C$4="","",IFERROR(INDEX('1.산군_붙여넣기'!$A$1:$AZ$1001,ROW(),설정!$C$4)&amp;"",""))</f>
        <v/>
      </c>
      <c r="C460">
        <f>IF(설정!$C$5="","",IFERROR(INDEX('1.산군_붙여넣기'!$A$1:$AZ$1001,ROW(),설정!$C$5)&amp;"",""))</f>
        <v/>
      </c>
      <c r="D460" s="5">
        <f>IFERROR(VALUE(SUBSTITUTE(SUBSTITUTE(SUBSTITUTE(IF(설정!$C$6="","",IFERROR(INDEX('1.산군_붙여넣기'!$A$1:$AZ$1001,ROW(),설정!$C$6)&amp;"","")),",",""),"㎡",""),"m2","")),"")</f>
        <v/>
      </c>
      <c r="E460">
        <f>IF(설정!$C$7="","",IFERROR(INDEX('1.산군_붙여넣기'!$A$1:$AZ$1001,ROW(),설정!$C$7)&amp;"",""))</f>
        <v/>
      </c>
      <c r="F460">
        <f>IF(설정!$C$8="","",IFERROR(INDEX('1.산군_붙여넣기'!$A$1:$AZ$1001,ROW(),설정!$C$8)&amp;"",""))</f>
        <v/>
      </c>
      <c r="G460">
        <f>IF(설정!$C$9="","",IFERROR(INDEX('1.산군_붙여넣기'!$A$1:$AZ$1001,ROW(),설정!$C$9)&amp;"",""))</f>
        <v/>
      </c>
      <c r="H460">
        <f>IF(설정!$C$10="","",IFERROR(INDEX('1.산군_붙여넣기'!$A$1:$AZ$1001,ROW(),설정!$C$10)&amp;"",""))</f>
        <v/>
      </c>
      <c r="I460">
        <f>IF(설정!$C$11="","",IFERROR(INDEX('1.산군_붙여넣기'!$A$1:$AZ$1001,ROW(),설정!$C$11)&amp;"",""))</f>
        <v/>
      </c>
      <c r="J460">
        <f>IF(설정!$C$12="","",IFERROR(INDEX('1.산군_붙여넣기'!$A$1:$AZ$1001,ROW(),설정!$C$12)&amp;"",""))</f>
        <v/>
      </c>
      <c r="K460">
        <f>IF(설정!$C$13="","",IFERROR(INDEX('1.산군_붙여넣기'!$A$1:$AZ$1001,ROW(),설정!$C$13)&amp;"",""))</f>
        <v/>
      </c>
      <c r="L460" s="7">
        <f>IF(X460="","",IF(AND(LEN(X460)=8,ISNUMBER(X460*1)),DATE(LEFT(X460,4),MID(X460,5,2),RIGHT(X460,2)),IFERROR(DATEVALUE(SUBSTITUTE(SUBSTITUTE(X460,".","-"),"/","-")),IFERROR(X460*1,""))))</f>
        <v/>
      </c>
      <c r="M460" s="7">
        <f>IF(Y460="","",IF(AND(LEN(Y460)=8,ISNUMBER(Y460*1)),DATE(LEFT(Y460,4),MID(Y460,5,2),RIGHT(Y460,2)),IFERROR(DATEVALUE(SUBSTITUTE(SUBSTITUTE(Y460,".","-"),"/","-")),IFERROR(Y460*1,""))))</f>
        <v/>
      </c>
      <c r="N460">
        <f>IFERROR(LEFT(B460,FIND(" ",B460)-1),B460)</f>
        <v/>
      </c>
      <c r="O460">
        <f>AND(B460&lt;&gt;"",B460&lt;&gt;설정!$B$4,C460&lt;&gt;설정!$B$5)</f>
        <v/>
      </c>
      <c r="P460">
        <f>IF(O460,B460&amp;"|"&amp;C460,"")</f>
        <v/>
      </c>
      <c r="Q460">
        <f>AND(O460,COUNTIF(P461:P$1002,P460)=0)</f>
        <v/>
      </c>
      <c r="R460">
        <f>OR(AND(설정!$A$42&lt;&gt;"",ISNUMBER(SEARCH(설정!$A$42,E460&amp;" "&amp;C460))),AND(설정!$A$43&lt;&gt;"",ISNUMBER(SEARCH(설정!$A$43,E460&amp;" "&amp;C460))),AND(설정!$A$44&lt;&gt;"",ISNUMBER(SEARCH(설정!$A$44,E460&amp;" "&amp;C460))),AND(설정!$A$45&lt;&gt;"",ISNUMBER(SEARCH(설정!$A$45,E460&amp;" "&amp;C460))),AND(설정!$A$46&lt;&gt;"",ISNUMBER(SEARCH(설정!$A$46,E460&amp;" "&amp;C460))),AND(설정!$A$47&lt;&gt;"",ISNUMBER(SEARCH(설정!$A$47,E460&amp;" "&amp;C460))),AND(설정!$A$48&lt;&gt;"",ISNUMBER(SEARCH(설정!$A$48,E460&amp;" "&amp;C460))),AND(설정!$A$49&lt;&gt;"",ISNUMBER(SEARCH(설정!$A$49,E460&amp;" "&amp;C460))),AND(설정!$A$50&lt;&gt;"",ISNUMBER(SEARCH(설정!$A$50,E460&amp;" "&amp;C460))),AND(설정!$A$51&lt;&gt;"",ISNUMBER(SEARCH(설정!$A$51,E460&amp;" "&amp;C460))))</f>
        <v/>
      </c>
      <c r="S460">
        <f>OR(D460="",D460&gt;=설정!$B$19)</f>
        <v/>
      </c>
      <c r="T460">
        <f>AND(Q460,R460,S460)</f>
        <v/>
      </c>
      <c r="U460">
        <f>IF(T460,IF(AND(설정!$A$54&lt;&gt;"",ISNUMBER(SEARCH(설정!$A$54,K460))),설정!$B$54,IF(AND(설정!$A$55&lt;&gt;"",ISNUMBER(SEARCH(설정!$A$55,K460))),설정!$B$55,IF(AND(설정!$A$56&lt;&gt;"",ISNUMBER(SEARCH(설정!$A$56,K460))),설정!$B$56,IF(AND(설정!$A$57&lt;&gt;"",ISNUMBER(SEARCH(설정!$A$57,K460))),설정!$B$57,IF(AND(설정!$A$58&lt;&gt;"",ISNUMBER(SEARCH(설정!$A$58,K460))),설정!$B$58,IF(AND(설정!$A$59&lt;&gt;"",ISNUMBER(SEARCH(설정!$A$59,K460))),설정!$B$59,IF(AND(설정!$A$60&lt;&gt;"",ISNUMBER(SEARCH(설정!$A$60,K460))),설정!$B$60,IF(AND(설정!$A$61&lt;&gt;"",ISNUMBER(SEARCH(설정!$A$61,K460))),설정!$B$61,IF(M460="","설계사","시공사"))))))))),"")</f>
        <v/>
      </c>
      <c r="V460">
        <f>SUBSTITUTE(SUBSTITUTE(SUBSTITUTE(SUBSTITUTE(G460,"(주)",""),"㈜",""),"주식회사","")," ","")</f>
        <v/>
      </c>
      <c r="W460">
        <f>IF(AND(T460,V460&lt;&gt;""),IF(COUNTIFS(V$2:V460,V460,T$2:T460,TRUE)=1,MAX(W$1:W459)+1,""),"")</f>
        <v/>
      </c>
      <c r="X460">
        <f>IF(설정!$C$14="","",IFERROR(INDEX('1.산군_붙여넣기'!$A$1:$AZ$1001,ROW(),설정!$C$14)&amp;"",""))</f>
        <v/>
      </c>
      <c r="Y460">
        <f>IF(설정!$C$15="","",IFERROR(INDEX('1.산군_붙여넣기'!$A$1:$AZ$1001,ROW(),설정!$C$15)&amp;"",""))</f>
        <v/>
      </c>
      <c r="Z460">
        <f>IF(T460,V460&amp;"|"&amp;U460,"")</f>
        <v/>
      </c>
      <c r="AA460">
        <f>IF(NOT(Q460),"",IF(NOT(AND(R460,S460)),"✕",IF(OR(OR(AND(L460&lt;&gt;"",M460&lt;&gt;"",N(M460)-N(L460)&gt;설정!$B$27),AND(L460&lt;&gt;"",M460="",설정!$B$24-N(L460)&gt;설정!$B$27)),AND(D460&lt;&gt;"",D460&lt;설정!$B$26)),"△","★")))</f>
        <v/>
      </c>
      <c r="AB460">
        <f>IF(NOT(T460),"",IF(U460="설계사",설정!$B$31,IF(U460="시공사",IF(OR(M460="",설정!$B$24-N(M460)&lt;=설정!$B$28*30.4),설정!$B$32,설정!$B$33),설정!$B$34))+IF(AA460="★",설정!$B$35,0))</f>
        <v/>
      </c>
      <c r="AC460">
        <f>SUBSTITUTE(SUBSTITUTE(SUBSTITUTE(SUBSTITUTE(H460,"(주)",""),"㈜",""),"주식회사","")," ","")</f>
        <v/>
      </c>
      <c r="AD460">
        <f>IF(AND(T460,AC460&lt;&gt;""),IF(COUNTIFS(AC$2:AC460,AC460,T$2:T460,TRUE)=1,MAX(AD$1:AD459)+1,""),"")</f>
        <v/>
      </c>
    </row>
    <row r="461">
      <c r="A461">
        <f>ROW()</f>
        <v/>
      </c>
      <c r="B461">
        <f>IF(설정!$C$4="","",IFERROR(INDEX('1.산군_붙여넣기'!$A$1:$AZ$1001,ROW(),설정!$C$4)&amp;"",""))</f>
        <v/>
      </c>
      <c r="C461">
        <f>IF(설정!$C$5="","",IFERROR(INDEX('1.산군_붙여넣기'!$A$1:$AZ$1001,ROW(),설정!$C$5)&amp;"",""))</f>
        <v/>
      </c>
      <c r="D461" s="5">
        <f>IFERROR(VALUE(SUBSTITUTE(SUBSTITUTE(SUBSTITUTE(IF(설정!$C$6="","",IFERROR(INDEX('1.산군_붙여넣기'!$A$1:$AZ$1001,ROW(),설정!$C$6)&amp;"","")),",",""),"㎡",""),"m2","")),"")</f>
        <v/>
      </c>
      <c r="E461">
        <f>IF(설정!$C$7="","",IFERROR(INDEX('1.산군_붙여넣기'!$A$1:$AZ$1001,ROW(),설정!$C$7)&amp;"",""))</f>
        <v/>
      </c>
      <c r="F461">
        <f>IF(설정!$C$8="","",IFERROR(INDEX('1.산군_붙여넣기'!$A$1:$AZ$1001,ROW(),설정!$C$8)&amp;"",""))</f>
        <v/>
      </c>
      <c r="G461">
        <f>IF(설정!$C$9="","",IFERROR(INDEX('1.산군_붙여넣기'!$A$1:$AZ$1001,ROW(),설정!$C$9)&amp;"",""))</f>
        <v/>
      </c>
      <c r="H461">
        <f>IF(설정!$C$10="","",IFERROR(INDEX('1.산군_붙여넣기'!$A$1:$AZ$1001,ROW(),설정!$C$10)&amp;"",""))</f>
        <v/>
      </c>
      <c r="I461">
        <f>IF(설정!$C$11="","",IFERROR(INDEX('1.산군_붙여넣기'!$A$1:$AZ$1001,ROW(),설정!$C$11)&amp;"",""))</f>
        <v/>
      </c>
      <c r="J461">
        <f>IF(설정!$C$12="","",IFERROR(INDEX('1.산군_붙여넣기'!$A$1:$AZ$1001,ROW(),설정!$C$12)&amp;"",""))</f>
        <v/>
      </c>
      <c r="K461">
        <f>IF(설정!$C$13="","",IFERROR(INDEX('1.산군_붙여넣기'!$A$1:$AZ$1001,ROW(),설정!$C$13)&amp;"",""))</f>
        <v/>
      </c>
      <c r="L461" s="7">
        <f>IF(X461="","",IF(AND(LEN(X461)=8,ISNUMBER(X461*1)),DATE(LEFT(X461,4),MID(X461,5,2),RIGHT(X461,2)),IFERROR(DATEVALUE(SUBSTITUTE(SUBSTITUTE(X461,".","-"),"/","-")),IFERROR(X461*1,""))))</f>
        <v/>
      </c>
      <c r="M461" s="7">
        <f>IF(Y461="","",IF(AND(LEN(Y461)=8,ISNUMBER(Y461*1)),DATE(LEFT(Y461,4),MID(Y461,5,2),RIGHT(Y461,2)),IFERROR(DATEVALUE(SUBSTITUTE(SUBSTITUTE(Y461,".","-"),"/","-")),IFERROR(Y461*1,""))))</f>
        <v/>
      </c>
      <c r="N461">
        <f>IFERROR(LEFT(B461,FIND(" ",B461)-1),B461)</f>
        <v/>
      </c>
      <c r="O461">
        <f>AND(B461&lt;&gt;"",B461&lt;&gt;설정!$B$4,C461&lt;&gt;설정!$B$5)</f>
        <v/>
      </c>
      <c r="P461">
        <f>IF(O461,B461&amp;"|"&amp;C461,"")</f>
        <v/>
      </c>
      <c r="Q461">
        <f>AND(O461,COUNTIF(P462:P$1002,P461)=0)</f>
        <v/>
      </c>
      <c r="R461">
        <f>OR(AND(설정!$A$42&lt;&gt;"",ISNUMBER(SEARCH(설정!$A$42,E461&amp;" "&amp;C461))),AND(설정!$A$43&lt;&gt;"",ISNUMBER(SEARCH(설정!$A$43,E461&amp;" "&amp;C461))),AND(설정!$A$44&lt;&gt;"",ISNUMBER(SEARCH(설정!$A$44,E461&amp;" "&amp;C461))),AND(설정!$A$45&lt;&gt;"",ISNUMBER(SEARCH(설정!$A$45,E461&amp;" "&amp;C461))),AND(설정!$A$46&lt;&gt;"",ISNUMBER(SEARCH(설정!$A$46,E461&amp;" "&amp;C461))),AND(설정!$A$47&lt;&gt;"",ISNUMBER(SEARCH(설정!$A$47,E461&amp;" "&amp;C461))),AND(설정!$A$48&lt;&gt;"",ISNUMBER(SEARCH(설정!$A$48,E461&amp;" "&amp;C461))),AND(설정!$A$49&lt;&gt;"",ISNUMBER(SEARCH(설정!$A$49,E461&amp;" "&amp;C461))),AND(설정!$A$50&lt;&gt;"",ISNUMBER(SEARCH(설정!$A$50,E461&amp;" "&amp;C461))),AND(설정!$A$51&lt;&gt;"",ISNUMBER(SEARCH(설정!$A$51,E461&amp;" "&amp;C461))))</f>
        <v/>
      </c>
      <c r="S461">
        <f>OR(D461="",D461&gt;=설정!$B$19)</f>
        <v/>
      </c>
      <c r="T461">
        <f>AND(Q461,R461,S461)</f>
        <v/>
      </c>
      <c r="U461">
        <f>IF(T461,IF(AND(설정!$A$54&lt;&gt;"",ISNUMBER(SEARCH(설정!$A$54,K461))),설정!$B$54,IF(AND(설정!$A$55&lt;&gt;"",ISNUMBER(SEARCH(설정!$A$55,K461))),설정!$B$55,IF(AND(설정!$A$56&lt;&gt;"",ISNUMBER(SEARCH(설정!$A$56,K461))),설정!$B$56,IF(AND(설정!$A$57&lt;&gt;"",ISNUMBER(SEARCH(설정!$A$57,K461))),설정!$B$57,IF(AND(설정!$A$58&lt;&gt;"",ISNUMBER(SEARCH(설정!$A$58,K461))),설정!$B$58,IF(AND(설정!$A$59&lt;&gt;"",ISNUMBER(SEARCH(설정!$A$59,K461))),설정!$B$59,IF(AND(설정!$A$60&lt;&gt;"",ISNUMBER(SEARCH(설정!$A$60,K461))),설정!$B$60,IF(AND(설정!$A$61&lt;&gt;"",ISNUMBER(SEARCH(설정!$A$61,K461))),설정!$B$61,IF(M461="","설계사","시공사"))))))))),"")</f>
        <v/>
      </c>
      <c r="V461">
        <f>SUBSTITUTE(SUBSTITUTE(SUBSTITUTE(SUBSTITUTE(G461,"(주)",""),"㈜",""),"주식회사","")," ","")</f>
        <v/>
      </c>
      <c r="W461">
        <f>IF(AND(T461,V461&lt;&gt;""),IF(COUNTIFS(V$2:V461,V461,T$2:T461,TRUE)=1,MAX(W$1:W460)+1,""),"")</f>
        <v/>
      </c>
      <c r="X461">
        <f>IF(설정!$C$14="","",IFERROR(INDEX('1.산군_붙여넣기'!$A$1:$AZ$1001,ROW(),설정!$C$14)&amp;"",""))</f>
        <v/>
      </c>
      <c r="Y461">
        <f>IF(설정!$C$15="","",IFERROR(INDEX('1.산군_붙여넣기'!$A$1:$AZ$1001,ROW(),설정!$C$15)&amp;"",""))</f>
        <v/>
      </c>
      <c r="Z461">
        <f>IF(T461,V461&amp;"|"&amp;U461,"")</f>
        <v/>
      </c>
      <c r="AA461">
        <f>IF(NOT(Q461),"",IF(NOT(AND(R461,S461)),"✕",IF(OR(OR(AND(L461&lt;&gt;"",M461&lt;&gt;"",N(M461)-N(L461)&gt;설정!$B$27),AND(L461&lt;&gt;"",M461="",설정!$B$24-N(L461)&gt;설정!$B$27)),AND(D461&lt;&gt;"",D461&lt;설정!$B$26)),"△","★")))</f>
        <v/>
      </c>
      <c r="AB461">
        <f>IF(NOT(T461),"",IF(U461="설계사",설정!$B$31,IF(U461="시공사",IF(OR(M461="",설정!$B$24-N(M461)&lt;=설정!$B$28*30.4),설정!$B$32,설정!$B$33),설정!$B$34))+IF(AA461="★",설정!$B$35,0))</f>
        <v/>
      </c>
      <c r="AC461">
        <f>SUBSTITUTE(SUBSTITUTE(SUBSTITUTE(SUBSTITUTE(H461,"(주)",""),"㈜",""),"주식회사","")," ","")</f>
        <v/>
      </c>
      <c r="AD461">
        <f>IF(AND(T461,AC461&lt;&gt;""),IF(COUNTIFS(AC$2:AC461,AC461,T$2:T461,TRUE)=1,MAX(AD$1:AD460)+1,""),"")</f>
        <v/>
      </c>
    </row>
    <row r="462">
      <c r="A462">
        <f>ROW()</f>
        <v/>
      </c>
      <c r="B462">
        <f>IF(설정!$C$4="","",IFERROR(INDEX('1.산군_붙여넣기'!$A$1:$AZ$1001,ROW(),설정!$C$4)&amp;"",""))</f>
        <v/>
      </c>
      <c r="C462">
        <f>IF(설정!$C$5="","",IFERROR(INDEX('1.산군_붙여넣기'!$A$1:$AZ$1001,ROW(),설정!$C$5)&amp;"",""))</f>
        <v/>
      </c>
      <c r="D462" s="5">
        <f>IFERROR(VALUE(SUBSTITUTE(SUBSTITUTE(SUBSTITUTE(IF(설정!$C$6="","",IFERROR(INDEX('1.산군_붙여넣기'!$A$1:$AZ$1001,ROW(),설정!$C$6)&amp;"","")),",",""),"㎡",""),"m2","")),"")</f>
        <v/>
      </c>
      <c r="E462">
        <f>IF(설정!$C$7="","",IFERROR(INDEX('1.산군_붙여넣기'!$A$1:$AZ$1001,ROW(),설정!$C$7)&amp;"",""))</f>
        <v/>
      </c>
      <c r="F462">
        <f>IF(설정!$C$8="","",IFERROR(INDEX('1.산군_붙여넣기'!$A$1:$AZ$1001,ROW(),설정!$C$8)&amp;"",""))</f>
        <v/>
      </c>
      <c r="G462">
        <f>IF(설정!$C$9="","",IFERROR(INDEX('1.산군_붙여넣기'!$A$1:$AZ$1001,ROW(),설정!$C$9)&amp;"",""))</f>
        <v/>
      </c>
      <c r="H462">
        <f>IF(설정!$C$10="","",IFERROR(INDEX('1.산군_붙여넣기'!$A$1:$AZ$1001,ROW(),설정!$C$10)&amp;"",""))</f>
        <v/>
      </c>
      <c r="I462">
        <f>IF(설정!$C$11="","",IFERROR(INDEX('1.산군_붙여넣기'!$A$1:$AZ$1001,ROW(),설정!$C$11)&amp;"",""))</f>
        <v/>
      </c>
      <c r="J462">
        <f>IF(설정!$C$12="","",IFERROR(INDEX('1.산군_붙여넣기'!$A$1:$AZ$1001,ROW(),설정!$C$12)&amp;"",""))</f>
        <v/>
      </c>
      <c r="K462">
        <f>IF(설정!$C$13="","",IFERROR(INDEX('1.산군_붙여넣기'!$A$1:$AZ$1001,ROW(),설정!$C$13)&amp;"",""))</f>
        <v/>
      </c>
      <c r="L462" s="7">
        <f>IF(X462="","",IF(AND(LEN(X462)=8,ISNUMBER(X462*1)),DATE(LEFT(X462,4),MID(X462,5,2),RIGHT(X462,2)),IFERROR(DATEVALUE(SUBSTITUTE(SUBSTITUTE(X462,".","-"),"/","-")),IFERROR(X462*1,""))))</f>
        <v/>
      </c>
      <c r="M462" s="7">
        <f>IF(Y462="","",IF(AND(LEN(Y462)=8,ISNUMBER(Y462*1)),DATE(LEFT(Y462,4),MID(Y462,5,2),RIGHT(Y462,2)),IFERROR(DATEVALUE(SUBSTITUTE(SUBSTITUTE(Y462,".","-"),"/","-")),IFERROR(Y462*1,""))))</f>
        <v/>
      </c>
      <c r="N462">
        <f>IFERROR(LEFT(B462,FIND(" ",B462)-1),B462)</f>
        <v/>
      </c>
      <c r="O462">
        <f>AND(B462&lt;&gt;"",B462&lt;&gt;설정!$B$4,C462&lt;&gt;설정!$B$5)</f>
        <v/>
      </c>
      <c r="P462">
        <f>IF(O462,B462&amp;"|"&amp;C462,"")</f>
        <v/>
      </c>
      <c r="Q462">
        <f>AND(O462,COUNTIF(P463:P$1002,P462)=0)</f>
        <v/>
      </c>
      <c r="R462">
        <f>OR(AND(설정!$A$42&lt;&gt;"",ISNUMBER(SEARCH(설정!$A$42,E462&amp;" "&amp;C462))),AND(설정!$A$43&lt;&gt;"",ISNUMBER(SEARCH(설정!$A$43,E462&amp;" "&amp;C462))),AND(설정!$A$44&lt;&gt;"",ISNUMBER(SEARCH(설정!$A$44,E462&amp;" "&amp;C462))),AND(설정!$A$45&lt;&gt;"",ISNUMBER(SEARCH(설정!$A$45,E462&amp;" "&amp;C462))),AND(설정!$A$46&lt;&gt;"",ISNUMBER(SEARCH(설정!$A$46,E462&amp;" "&amp;C462))),AND(설정!$A$47&lt;&gt;"",ISNUMBER(SEARCH(설정!$A$47,E462&amp;" "&amp;C462))),AND(설정!$A$48&lt;&gt;"",ISNUMBER(SEARCH(설정!$A$48,E462&amp;" "&amp;C462))),AND(설정!$A$49&lt;&gt;"",ISNUMBER(SEARCH(설정!$A$49,E462&amp;" "&amp;C462))),AND(설정!$A$50&lt;&gt;"",ISNUMBER(SEARCH(설정!$A$50,E462&amp;" "&amp;C462))),AND(설정!$A$51&lt;&gt;"",ISNUMBER(SEARCH(설정!$A$51,E462&amp;" "&amp;C462))))</f>
        <v/>
      </c>
      <c r="S462">
        <f>OR(D462="",D462&gt;=설정!$B$19)</f>
        <v/>
      </c>
      <c r="T462">
        <f>AND(Q462,R462,S462)</f>
        <v/>
      </c>
      <c r="U462">
        <f>IF(T462,IF(AND(설정!$A$54&lt;&gt;"",ISNUMBER(SEARCH(설정!$A$54,K462))),설정!$B$54,IF(AND(설정!$A$55&lt;&gt;"",ISNUMBER(SEARCH(설정!$A$55,K462))),설정!$B$55,IF(AND(설정!$A$56&lt;&gt;"",ISNUMBER(SEARCH(설정!$A$56,K462))),설정!$B$56,IF(AND(설정!$A$57&lt;&gt;"",ISNUMBER(SEARCH(설정!$A$57,K462))),설정!$B$57,IF(AND(설정!$A$58&lt;&gt;"",ISNUMBER(SEARCH(설정!$A$58,K462))),설정!$B$58,IF(AND(설정!$A$59&lt;&gt;"",ISNUMBER(SEARCH(설정!$A$59,K462))),설정!$B$59,IF(AND(설정!$A$60&lt;&gt;"",ISNUMBER(SEARCH(설정!$A$60,K462))),설정!$B$60,IF(AND(설정!$A$61&lt;&gt;"",ISNUMBER(SEARCH(설정!$A$61,K462))),설정!$B$61,IF(M462="","설계사","시공사"))))))))),"")</f>
        <v/>
      </c>
      <c r="V462">
        <f>SUBSTITUTE(SUBSTITUTE(SUBSTITUTE(SUBSTITUTE(G462,"(주)",""),"㈜",""),"주식회사","")," ","")</f>
        <v/>
      </c>
      <c r="W462">
        <f>IF(AND(T462,V462&lt;&gt;""),IF(COUNTIFS(V$2:V462,V462,T$2:T462,TRUE)=1,MAX(W$1:W461)+1,""),"")</f>
        <v/>
      </c>
      <c r="X462">
        <f>IF(설정!$C$14="","",IFERROR(INDEX('1.산군_붙여넣기'!$A$1:$AZ$1001,ROW(),설정!$C$14)&amp;"",""))</f>
        <v/>
      </c>
      <c r="Y462">
        <f>IF(설정!$C$15="","",IFERROR(INDEX('1.산군_붙여넣기'!$A$1:$AZ$1001,ROW(),설정!$C$15)&amp;"",""))</f>
        <v/>
      </c>
      <c r="Z462">
        <f>IF(T462,V462&amp;"|"&amp;U462,"")</f>
        <v/>
      </c>
      <c r="AA462">
        <f>IF(NOT(Q462),"",IF(NOT(AND(R462,S462)),"✕",IF(OR(OR(AND(L462&lt;&gt;"",M462&lt;&gt;"",N(M462)-N(L462)&gt;설정!$B$27),AND(L462&lt;&gt;"",M462="",설정!$B$24-N(L462)&gt;설정!$B$27)),AND(D462&lt;&gt;"",D462&lt;설정!$B$26)),"△","★")))</f>
        <v/>
      </c>
      <c r="AB462">
        <f>IF(NOT(T462),"",IF(U462="설계사",설정!$B$31,IF(U462="시공사",IF(OR(M462="",설정!$B$24-N(M462)&lt;=설정!$B$28*30.4),설정!$B$32,설정!$B$33),설정!$B$34))+IF(AA462="★",설정!$B$35,0))</f>
        <v/>
      </c>
      <c r="AC462">
        <f>SUBSTITUTE(SUBSTITUTE(SUBSTITUTE(SUBSTITUTE(H462,"(주)",""),"㈜",""),"주식회사","")," ","")</f>
        <v/>
      </c>
      <c r="AD462">
        <f>IF(AND(T462,AC462&lt;&gt;""),IF(COUNTIFS(AC$2:AC462,AC462,T$2:T462,TRUE)=1,MAX(AD$1:AD461)+1,""),"")</f>
        <v/>
      </c>
    </row>
    <row r="463">
      <c r="A463">
        <f>ROW()</f>
        <v/>
      </c>
      <c r="B463">
        <f>IF(설정!$C$4="","",IFERROR(INDEX('1.산군_붙여넣기'!$A$1:$AZ$1001,ROW(),설정!$C$4)&amp;"",""))</f>
        <v/>
      </c>
      <c r="C463">
        <f>IF(설정!$C$5="","",IFERROR(INDEX('1.산군_붙여넣기'!$A$1:$AZ$1001,ROW(),설정!$C$5)&amp;"",""))</f>
        <v/>
      </c>
      <c r="D463" s="5">
        <f>IFERROR(VALUE(SUBSTITUTE(SUBSTITUTE(SUBSTITUTE(IF(설정!$C$6="","",IFERROR(INDEX('1.산군_붙여넣기'!$A$1:$AZ$1001,ROW(),설정!$C$6)&amp;"","")),",",""),"㎡",""),"m2","")),"")</f>
        <v/>
      </c>
      <c r="E463">
        <f>IF(설정!$C$7="","",IFERROR(INDEX('1.산군_붙여넣기'!$A$1:$AZ$1001,ROW(),설정!$C$7)&amp;"",""))</f>
        <v/>
      </c>
      <c r="F463">
        <f>IF(설정!$C$8="","",IFERROR(INDEX('1.산군_붙여넣기'!$A$1:$AZ$1001,ROW(),설정!$C$8)&amp;"",""))</f>
        <v/>
      </c>
      <c r="G463">
        <f>IF(설정!$C$9="","",IFERROR(INDEX('1.산군_붙여넣기'!$A$1:$AZ$1001,ROW(),설정!$C$9)&amp;"",""))</f>
        <v/>
      </c>
      <c r="H463">
        <f>IF(설정!$C$10="","",IFERROR(INDEX('1.산군_붙여넣기'!$A$1:$AZ$1001,ROW(),설정!$C$10)&amp;"",""))</f>
        <v/>
      </c>
      <c r="I463">
        <f>IF(설정!$C$11="","",IFERROR(INDEX('1.산군_붙여넣기'!$A$1:$AZ$1001,ROW(),설정!$C$11)&amp;"",""))</f>
        <v/>
      </c>
      <c r="J463">
        <f>IF(설정!$C$12="","",IFERROR(INDEX('1.산군_붙여넣기'!$A$1:$AZ$1001,ROW(),설정!$C$12)&amp;"",""))</f>
        <v/>
      </c>
      <c r="K463">
        <f>IF(설정!$C$13="","",IFERROR(INDEX('1.산군_붙여넣기'!$A$1:$AZ$1001,ROW(),설정!$C$13)&amp;"",""))</f>
        <v/>
      </c>
      <c r="L463" s="7">
        <f>IF(X463="","",IF(AND(LEN(X463)=8,ISNUMBER(X463*1)),DATE(LEFT(X463,4),MID(X463,5,2),RIGHT(X463,2)),IFERROR(DATEVALUE(SUBSTITUTE(SUBSTITUTE(X463,".","-"),"/","-")),IFERROR(X463*1,""))))</f>
        <v/>
      </c>
      <c r="M463" s="7">
        <f>IF(Y463="","",IF(AND(LEN(Y463)=8,ISNUMBER(Y463*1)),DATE(LEFT(Y463,4),MID(Y463,5,2),RIGHT(Y463,2)),IFERROR(DATEVALUE(SUBSTITUTE(SUBSTITUTE(Y463,".","-"),"/","-")),IFERROR(Y463*1,""))))</f>
        <v/>
      </c>
      <c r="N463">
        <f>IFERROR(LEFT(B463,FIND(" ",B463)-1),B463)</f>
        <v/>
      </c>
      <c r="O463">
        <f>AND(B463&lt;&gt;"",B463&lt;&gt;설정!$B$4,C463&lt;&gt;설정!$B$5)</f>
        <v/>
      </c>
      <c r="P463">
        <f>IF(O463,B463&amp;"|"&amp;C463,"")</f>
        <v/>
      </c>
      <c r="Q463">
        <f>AND(O463,COUNTIF(P464:P$1002,P463)=0)</f>
        <v/>
      </c>
      <c r="R463">
        <f>OR(AND(설정!$A$42&lt;&gt;"",ISNUMBER(SEARCH(설정!$A$42,E463&amp;" "&amp;C463))),AND(설정!$A$43&lt;&gt;"",ISNUMBER(SEARCH(설정!$A$43,E463&amp;" "&amp;C463))),AND(설정!$A$44&lt;&gt;"",ISNUMBER(SEARCH(설정!$A$44,E463&amp;" "&amp;C463))),AND(설정!$A$45&lt;&gt;"",ISNUMBER(SEARCH(설정!$A$45,E463&amp;" "&amp;C463))),AND(설정!$A$46&lt;&gt;"",ISNUMBER(SEARCH(설정!$A$46,E463&amp;" "&amp;C463))),AND(설정!$A$47&lt;&gt;"",ISNUMBER(SEARCH(설정!$A$47,E463&amp;" "&amp;C463))),AND(설정!$A$48&lt;&gt;"",ISNUMBER(SEARCH(설정!$A$48,E463&amp;" "&amp;C463))),AND(설정!$A$49&lt;&gt;"",ISNUMBER(SEARCH(설정!$A$49,E463&amp;" "&amp;C463))),AND(설정!$A$50&lt;&gt;"",ISNUMBER(SEARCH(설정!$A$50,E463&amp;" "&amp;C463))),AND(설정!$A$51&lt;&gt;"",ISNUMBER(SEARCH(설정!$A$51,E463&amp;" "&amp;C463))))</f>
        <v/>
      </c>
      <c r="S463">
        <f>OR(D463="",D463&gt;=설정!$B$19)</f>
        <v/>
      </c>
      <c r="T463">
        <f>AND(Q463,R463,S463)</f>
        <v/>
      </c>
      <c r="U463">
        <f>IF(T463,IF(AND(설정!$A$54&lt;&gt;"",ISNUMBER(SEARCH(설정!$A$54,K463))),설정!$B$54,IF(AND(설정!$A$55&lt;&gt;"",ISNUMBER(SEARCH(설정!$A$55,K463))),설정!$B$55,IF(AND(설정!$A$56&lt;&gt;"",ISNUMBER(SEARCH(설정!$A$56,K463))),설정!$B$56,IF(AND(설정!$A$57&lt;&gt;"",ISNUMBER(SEARCH(설정!$A$57,K463))),설정!$B$57,IF(AND(설정!$A$58&lt;&gt;"",ISNUMBER(SEARCH(설정!$A$58,K463))),설정!$B$58,IF(AND(설정!$A$59&lt;&gt;"",ISNUMBER(SEARCH(설정!$A$59,K463))),설정!$B$59,IF(AND(설정!$A$60&lt;&gt;"",ISNUMBER(SEARCH(설정!$A$60,K463))),설정!$B$60,IF(AND(설정!$A$61&lt;&gt;"",ISNUMBER(SEARCH(설정!$A$61,K463))),설정!$B$61,IF(M463="","설계사","시공사"))))))))),"")</f>
        <v/>
      </c>
      <c r="V463">
        <f>SUBSTITUTE(SUBSTITUTE(SUBSTITUTE(SUBSTITUTE(G463,"(주)",""),"㈜",""),"주식회사","")," ","")</f>
        <v/>
      </c>
      <c r="W463">
        <f>IF(AND(T463,V463&lt;&gt;""),IF(COUNTIFS(V$2:V463,V463,T$2:T463,TRUE)=1,MAX(W$1:W462)+1,""),"")</f>
        <v/>
      </c>
      <c r="X463">
        <f>IF(설정!$C$14="","",IFERROR(INDEX('1.산군_붙여넣기'!$A$1:$AZ$1001,ROW(),설정!$C$14)&amp;"",""))</f>
        <v/>
      </c>
      <c r="Y463">
        <f>IF(설정!$C$15="","",IFERROR(INDEX('1.산군_붙여넣기'!$A$1:$AZ$1001,ROW(),설정!$C$15)&amp;"",""))</f>
        <v/>
      </c>
      <c r="Z463">
        <f>IF(T463,V463&amp;"|"&amp;U463,"")</f>
        <v/>
      </c>
      <c r="AA463">
        <f>IF(NOT(Q463),"",IF(NOT(AND(R463,S463)),"✕",IF(OR(OR(AND(L463&lt;&gt;"",M463&lt;&gt;"",N(M463)-N(L463)&gt;설정!$B$27),AND(L463&lt;&gt;"",M463="",설정!$B$24-N(L463)&gt;설정!$B$27)),AND(D463&lt;&gt;"",D463&lt;설정!$B$26)),"△","★")))</f>
        <v/>
      </c>
      <c r="AB463">
        <f>IF(NOT(T463),"",IF(U463="설계사",설정!$B$31,IF(U463="시공사",IF(OR(M463="",설정!$B$24-N(M463)&lt;=설정!$B$28*30.4),설정!$B$32,설정!$B$33),설정!$B$34))+IF(AA463="★",설정!$B$35,0))</f>
        <v/>
      </c>
      <c r="AC463">
        <f>SUBSTITUTE(SUBSTITUTE(SUBSTITUTE(SUBSTITUTE(H463,"(주)",""),"㈜",""),"주식회사","")," ","")</f>
        <v/>
      </c>
      <c r="AD463">
        <f>IF(AND(T463,AC463&lt;&gt;""),IF(COUNTIFS(AC$2:AC463,AC463,T$2:T463,TRUE)=1,MAX(AD$1:AD462)+1,""),"")</f>
        <v/>
      </c>
    </row>
    <row r="464">
      <c r="A464">
        <f>ROW()</f>
        <v/>
      </c>
      <c r="B464">
        <f>IF(설정!$C$4="","",IFERROR(INDEX('1.산군_붙여넣기'!$A$1:$AZ$1001,ROW(),설정!$C$4)&amp;"",""))</f>
        <v/>
      </c>
      <c r="C464">
        <f>IF(설정!$C$5="","",IFERROR(INDEX('1.산군_붙여넣기'!$A$1:$AZ$1001,ROW(),설정!$C$5)&amp;"",""))</f>
        <v/>
      </c>
      <c r="D464" s="5">
        <f>IFERROR(VALUE(SUBSTITUTE(SUBSTITUTE(SUBSTITUTE(IF(설정!$C$6="","",IFERROR(INDEX('1.산군_붙여넣기'!$A$1:$AZ$1001,ROW(),설정!$C$6)&amp;"","")),",",""),"㎡",""),"m2","")),"")</f>
        <v/>
      </c>
      <c r="E464">
        <f>IF(설정!$C$7="","",IFERROR(INDEX('1.산군_붙여넣기'!$A$1:$AZ$1001,ROW(),설정!$C$7)&amp;"",""))</f>
        <v/>
      </c>
      <c r="F464">
        <f>IF(설정!$C$8="","",IFERROR(INDEX('1.산군_붙여넣기'!$A$1:$AZ$1001,ROW(),설정!$C$8)&amp;"",""))</f>
        <v/>
      </c>
      <c r="G464">
        <f>IF(설정!$C$9="","",IFERROR(INDEX('1.산군_붙여넣기'!$A$1:$AZ$1001,ROW(),설정!$C$9)&amp;"",""))</f>
        <v/>
      </c>
      <c r="H464">
        <f>IF(설정!$C$10="","",IFERROR(INDEX('1.산군_붙여넣기'!$A$1:$AZ$1001,ROW(),설정!$C$10)&amp;"",""))</f>
        <v/>
      </c>
      <c r="I464">
        <f>IF(설정!$C$11="","",IFERROR(INDEX('1.산군_붙여넣기'!$A$1:$AZ$1001,ROW(),설정!$C$11)&amp;"",""))</f>
        <v/>
      </c>
      <c r="J464">
        <f>IF(설정!$C$12="","",IFERROR(INDEX('1.산군_붙여넣기'!$A$1:$AZ$1001,ROW(),설정!$C$12)&amp;"",""))</f>
        <v/>
      </c>
      <c r="K464">
        <f>IF(설정!$C$13="","",IFERROR(INDEX('1.산군_붙여넣기'!$A$1:$AZ$1001,ROW(),설정!$C$13)&amp;"",""))</f>
        <v/>
      </c>
      <c r="L464" s="7">
        <f>IF(X464="","",IF(AND(LEN(X464)=8,ISNUMBER(X464*1)),DATE(LEFT(X464,4),MID(X464,5,2),RIGHT(X464,2)),IFERROR(DATEVALUE(SUBSTITUTE(SUBSTITUTE(X464,".","-"),"/","-")),IFERROR(X464*1,""))))</f>
        <v/>
      </c>
      <c r="M464" s="7">
        <f>IF(Y464="","",IF(AND(LEN(Y464)=8,ISNUMBER(Y464*1)),DATE(LEFT(Y464,4),MID(Y464,5,2),RIGHT(Y464,2)),IFERROR(DATEVALUE(SUBSTITUTE(SUBSTITUTE(Y464,".","-"),"/","-")),IFERROR(Y464*1,""))))</f>
        <v/>
      </c>
      <c r="N464">
        <f>IFERROR(LEFT(B464,FIND(" ",B464)-1),B464)</f>
        <v/>
      </c>
      <c r="O464">
        <f>AND(B464&lt;&gt;"",B464&lt;&gt;설정!$B$4,C464&lt;&gt;설정!$B$5)</f>
        <v/>
      </c>
      <c r="P464">
        <f>IF(O464,B464&amp;"|"&amp;C464,"")</f>
        <v/>
      </c>
      <c r="Q464">
        <f>AND(O464,COUNTIF(P465:P$1002,P464)=0)</f>
        <v/>
      </c>
      <c r="R464">
        <f>OR(AND(설정!$A$42&lt;&gt;"",ISNUMBER(SEARCH(설정!$A$42,E464&amp;" "&amp;C464))),AND(설정!$A$43&lt;&gt;"",ISNUMBER(SEARCH(설정!$A$43,E464&amp;" "&amp;C464))),AND(설정!$A$44&lt;&gt;"",ISNUMBER(SEARCH(설정!$A$44,E464&amp;" "&amp;C464))),AND(설정!$A$45&lt;&gt;"",ISNUMBER(SEARCH(설정!$A$45,E464&amp;" "&amp;C464))),AND(설정!$A$46&lt;&gt;"",ISNUMBER(SEARCH(설정!$A$46,E464&amp;" "&amp;C464))),AND(설정!$A$47&lt;&gt;"",ISNUMBER(SEARCH(설정!$A$47,E464&amp;" "&amp;C464))),AND(설정!$A$48&lt;&gt;"",ISNUMBER(SEARCH(설정!$A$48,E464&amp;" "&amp;C464))),AND(설정!$A$49&lt;&gt;"",ISNUMBER(SEARCH(설정!$A$49,E464&amp;" "&amp;C464))),AND(설정!$A$50&lt;&gt;"",ISNUMBER(SEARCH(설정!$A$50,E464&amp;" "&amp;C464))),AND(설정!$A$51&lt;&gt;"",ISNUMBER(SEARCH(설정!$A$51,E464&amp;" "&amp;C464))))</f>
        <v/>
      </c>
      <c r="S464">
        <f>OR(D464="",D464&gt;=설정!$B$19)</f>
        <v/>
      </c>
      <c r="T464">
        <f>AND(Q464,R464,S464)</f>
        <v/>
      </c>
      <c r="U464">
        <f>IF(T464,IF(AND(설정!$A$54&lt;&gt;"",ISNUMBER(SEARCH(설정!$A$54,K464))),설정!$B$54,IF(AND(설정!$A$55&lt;&gt;"",ISNUMBER(SEARCH(설정!$A$55,K464))),설정!$B$55,IF(AND(설정!$A$56&lt;&gt;"",ISNUMBER(SEARCH(설정!$A$56,K464))),설정!$B$56,IF(AND(설정!$A$57&lt;&gt;"",ISNUMBER(SEARCH(설정!$A$57,K464))),설정!$B$57,IF(AND(설정!$A$58&lt;&gt;"",ISNUMBER(SEARCH(설정!$A$58,K464))),설정!$B$58,IF(AND(설정!$A$59&lt;&gt;"",ISNUMBER(SEARCH(설정!$A$59,K464))),설정!$B$59,IF(AND(설정!$A$60&lt;&gt;"",ISNUMBER(SEARCH(설정!$A$60,K464))),설정!$B$60,IF(AND(설정!$A$61&lt;&gt;"",ISNUMBER(SEARCH(설정!$A$61,K464))),설정!$B$61,IF(M464="","설계사","시공사"))))))))),"")</f>
        <v/>
      </c>
      <c r="V464">
        <f>SUBSTITUTE(SUBSTITUTE(SUBSTITUTE(SUBSTITUTE(G464,"(주)",""),"㈜",""),"주식회사","")," ","")</f>
        <v/>
      </c>
      <c r="W464">
        <f>IF(AND(T464,V464&lt;&gt;""),IF(COUNTIFS(V$2:V464,V464,T$2:T464,TRUE)=1,MAX(W$1:W463)+1,""),"")</f>
        <v/>
      </c>
      <c r="X464">
        <f>IF(설정!$C$14="","",IFERROR(INDEX('1.산군_붙여넣기'!$A$1:$AZ$1001,ROW(),설정!$C$14)&amp;"",""))</f>
        <v/>
      </c>
      <c r="Y464">
        <f>IF(설정!$C$15="","",IFERROR(INDEX('1.산군_붙여넣기'!$A$1:$AZ$1001,ROW(),설정!$C$15)&amp;"",""))</f>
        <v/>
      </c>
      <c r="Z464">
        <f>IF(T464,V464&amp;"|"&amp;U464,"")</f>
        <v/>
      </c>
      <c r="AA464">
        <f>IF(NOT(Q464),"",IF(NOT(AND(R464,S464)),"✕",IF(OR(OR(AND(L464&lt;&gt;"",M464&lt;&gt;"",N(M464)-N(L464)&gt;설정!$B$27),AND(L464&lt;&gt;"",M464="",설정!$B$24-N(L464)&gt;설정!$B$27)),AND(D464&lt;&gt;"",D464&lt;설정!$B$26)),"△","★")))</f>
        <v/>
      </c>
      <c r="AB464">
        <f>IF(NOT(T464),"",IF(U464="설계사",설정!$B$31,IF(U464="시공사",IF(OR(M464="",설정!$B$24-N(M464)&lt;=설정!$B$28*30.4),설정!$B$32,설정!$B$33),설정!$B$34))+IF(AA464="★",설정!$B$35,0))</f>
        <v/>
      </c>
      <c r="AC464">
        <f>SUBSTITUTE(SUBSTITUTE(SUBSTITUTE(SUBSTITUTE(H464,"(주)",""),"㈜",""),"주식회사","")," ","")</f>
        <v/>
      </c>
      <c r="AD464">
        <f>IF(AND(T464,AC464&lt;&gt;""),IF(COUNTIFS(AC$2:AC464,AC464,T$2:T464,TRUE)=1,MAX(AD$1:AD463)+1,""),"")</f>
        <v/>
      </c>
    </row>
    <row r="465">
      <c r="A465">
        <f>ROW()</f>
        <v/>
      </c>
      <c r="B465">
        <f>IF(설정!$C$4="","",IFERROR(INDEX('1.산군_붙여넣기'!$A$1:$AZ$1001,ROW(),설정!$C$4)&amp;"",""))</f>
        <v/>
      </c>
      <c r="C465">
        <f>IF(설정!$C$5="","",IFERROR(INDEX('1.산군_붙여넣기'!$A$1:$AZ$1001,ROW(),설정!$C$5)&amp;"",""))</f>
        <v/>
      </c>
      <c r="D465" s="5">
        <f>IFERROR(VALUE(SUBSTITUTE(SUBSTITUTE(SUBSTITUTE(IF(설정!$C$6="","",IFERROR(INDEX('1.산군_붙여넣기'!$A$1:$AZ$1001,ROW(),설정!$C$6)&amp;"","")),",",""),"㎡",""),"m2","")),"")</f>
        <v/>
      </c>
      <c r="E465">
        <f>IF(설정!$C$7="","",IFERROR(INDEX('1.산군_붙여넣기'!$A$1:$AZ$1001,ROW(),설정!$C$7)&amp;"",""))</f>
        <v/>
      </c>
      <c r="F465">
        <f>IF(설정!$C$8="","",IFERROR(INDEX('1.산군_붙여넣기'!$A$1:$AZ$1001,ROW(),설정!$C$8)&amp;"",""))</f>
        <v/>
      </c>
      <c r="G465">
        <f>IF(설정!$C$9="","",IFERROR(INDEX('1.산군_붙여넣기'!$A$1:$AZ$1001,ROW(),설정!$C$9)&amp;"",""))</f>
        <v/>
      </c>
      <c r="H465">
        <f>IF(설정!$C$10="","",IFERROR(INDEX('1.산군_붙여넣기'!$A$1:$AZ$1001,ROW(),설정!$C$10)&amp;"",""))</f>
        <v/>
      </c>
      <c r="I465">
        <f>IF(설정!$C$11="","",IFERROR(INDEX('1.산군_붙여넣기'!$A$1:$AZ$1001,ROW(),설정!$C$11)&amp;"",""))</f>
        <v/>
      </c>
      <c r="J465">
        <f>IF(설정!$C$12="","",IFERROR(INDEX('1.산군_붙여넣기'!$A$1:$AZ$1001,ROW(),설정!$C$12)&amp;"",""))</f>
        <v/>
      </c>
      <c r="K465">
        <f>IF(설정!$C$13="","",IFERROR(INDEX('1.산군_붙여넣기'!$A$1:$AZ$1001,ROW(),설정!$C$13)&amp;"",""))</f>
        <v/>
      </c>
      <c r="L465" s="7">
        <f>IF(X465="","",IF(AND(LEN(X465)=8,ISNUMBER(X465*1)),DATE(LEFT(X465,4),MID(X465,5,2),RIGHT(X465,2)),IFERROR(DATEVALUE(SUBSTITUTE(SUBSTITUTE(X465,".","-"),"/","-")),IFERROR(X465*1,""))))</f>
        <v/>
      </c>
      <c r="M465" s="7">
        <f>IF(Y465="","",IF(AND(LEN(Y465)=8,ISNUMBER(Y465*1)),DATE(LEFT(Y465,4),MID(Y465,5,2),RIGHT(Y465,2)),IFERROR(DATEVALUE(SUBSTITUTE(SUBSTITUTE(Y465,".","-"),"/","-")),IFERROR(Y465*1,""))))</f>
        <v/>
      </c>
      <c r="N465">
        <f>IFERROR(LEFT(B465,FIND(" ",B465)-1),B465)</f>
        <v/>
      </c>
      <c r="O465">
        <f>AND(B465&lt;&gt;"",B465&lt;&gt;설정!$B$4,C465&lt;&gt;설정!$B$5)</f>
        <v/>
      </c>
      <c r="P465">
        <f>IF(O465,B465&amp;"|"&amp;C465,"")</f>
        <v/>
      </c>
      <c r="Q465">
        <f>AND(O465,COUNTIF(P466:P$1002,P465)=0)</f>
        <v/>
      </c>
      <c r="R465">
        <f>OR(AND(설정!$A$42&lt;&gt;"",ISNUMBER(SEARCH(설정!$A$42,E465&amp;" "&amp;C465))),AND(설정!$A$43&lt;&gt;"",ISNUMBER(SEARCH(설정!$A$43,E465&amp;" "&amp;C465))),AND(설정!$A$44&lt;&gt;"",ISNUMBER(SEARCH(설정!$A$44,E465&amp;" "&amp;C465))),AND(설정!$A$45&lt;&gt;"",ISNUMBER(SEARCH(설정!$A$45,E465&amp;" "&amp;C465))),AND(설정!$A$46&lt;&gt;"",ISNUMBER(SEARCH(설정!$A$46,E465&amp;" "&amp;C465))),AND(설정!$A$47&lt;&gt;"",ISNUMBER(SEARCH(설정!$A$47,E465&amp;" "&amp;C465))),AND(설정!$A$48&lt;&gt;"",ISNUMBER(SEARCH(설정!$A$48,E465&amp;" "&amp;C465))),AND(설정!$A$49&lt;&gt;"",ISNUMBER(SEARCH(설정!$A$49,E465&amp;" "&amp;C465))),AND(설정!$A$50&lt;&gt;"",ISNUMBER(SEARCH(설정!$A$50,E465&amp;" "&amp;C465))),AND(설정!$A$51&lt;&gt;"",ISNUMBER(SEARCH(설정!$A$51,E465&amp;" "&amp;C465))))</f>
        <v/>
      </c>
      <c r="S465">
        <f>OR(D465="",D465&gt;=설정!$B$19)</f>
        <v/>
      </c>
      <c r="T465">
        <f>AND(Q465,R465,S465)</f>
        <v/>
      </c>
      <c r="U465">
        <f>IF(T465,IF(AND(설정!$A$54&lt;&gt;"",ISNUMBER(SEARCH(설정!$A$54,K465))),설정!$B$54,IF(AND(설정!$A$55&lt;&gt;"",ISNUMBER(SEARCH(설정!$A$55,K465))),설정!$B$55,IF(AND(설정!$A$56&lt;&gt;"",ISNUMBER(SEARCH(설정!$A$56,K465))),설정!$B$56,IF(AND(설정!$A$57&lt;&gt;"",ISNUMBER(SEARCH(설정!$A$57,K465))),설정!$B$57,IF(AND(설정!$A$58&lt;&gt;"",ISNUMBER(SEARCH(설정!$A$58,K465))),설정!$B$58,IF(AND(설정!$A$59&lt;&gt;"",ISNUMBER(SEARCH(설정!$A$59,K465))),설정!$B$59,IF(AND(설정!$A$60&lt;&gt;"",ISNUMBER(SEARCH(설정!$A$60,K465))),설정!$B$60,IF(AND(설정!$A$61&lt;&gt;"",ISNUMBER(SEARCH(설정!$A$61,K465))),설정!$B$61,IF(M465="","설계사","시공사"))))))))),"")</f>
        <v/>
      </c>
      <c r="V465">
        <f>SUBSTITUTE(SUBSTITUTE(SUBSTITUTE(SUBSTITUTE(G465,"(주)",""),"㈜",""),"주식회사","")," ","")</f>
        <v/>
      </c>
      <c r="W465">
        <f>IF(AND(T465,V465&lt;&gt;""),IF(COUNTIFS(V$2:V465,V465,T$2:T465,TRUE)=1,MAX(W$1:W464)+1,""),"")</f>
        <v/>
      </c>
      <c r="X465">
        <f>IF(설정!$C$14="","",IFERROR(INDEX('1.산군_붙여넣기'!$A$1:$AZ$1001,ROW(),설정!$C$14)&amp;"",""))</f>
        <v/>
      </c>
      <c r="Y465">
        <f>IF(설정!$C$15="","",IFERROR(INDEX('1.산군_붙여넣기'!$A$1:$AZ$1001,ROW(),설정!$C$15)&amp;"",""))</f>
        <v/>
      </c>
      <c r="Z465">
        <f>IF(T465,V465&amp;"|"&amp;U465,"")</f>
        <v/>
      </c>
      <c r="AA465">
        <f>IF(NOT(Q465),"",IF(NOT(AND(R465,S465)),"✕",IF(OR(OR(AND(L465&lt;&gt;"",M465&lt;&gt;"",N(M465)-N(L465)&gt;설정!$B$27),AND(L465&lt;&gt;"",M465="",설정!$B$24-N(L465)&gt;설정!$B$27)),AND(D465&lt;&gt;"",D465&lt;설정!$B$26)),"△","★")))</f>
        <v/>
      </c>
      <c r="AB465">
        <f>IF(NOT(T465),"",IF(U465="설계사",설정!$B$31,IF(U465="시공사",IF(OR(M465="",설정!$B$24-N(M465)&lt;=설정!$B$28*30.4),설정!$B$32,설정!$B$33),설정!$B$34))+IF(AA465="★",설정!$B$35,0))</f>
        <v/>
      </c>
      <c r="AC465">
        <f>SUBSTITUTE(SUBSTITUTE(SUBSTITUTE(SUBSTITUTE(H465,"(주)",""),"㈜",""),"주식회사","")," ","")</f>
        <v/>
      </c>
      <c r="AD465">
        <f>IF(AND(T465,AC465&lt;&gt;""),IF(COUNTIFS(AC$2:AC465,AC465,T$2:T465,TRUE)=1,MAX(AD$1:AD464)+1,""),"")</f>
        <v/>
      </c>
    </row>
    <row r="466">
      <c r="A466">
        <f>ROW()</f>
        <v/>
      </c>
      <c r="B466">
        <f>IF(설정!$C$4="","",IFERROR(INDEX('1.산군_붙여넣기'!$A$1:$AZ$1001,ROW(),설정!$C$4)&amp;"",""))</f>
        <v/>
      </c>
      <c r="C466">
        <f>IF(설정!$C$5="","",IFERROR(INDEX('1.산군_붙여넣기'!$A$1:$AZ$1001,ROW(),설정!$C$5)&amp;"",""))</f>
        <v/>
      </c>
      <c r="D466" s="5">
        <f>IFERROR(VALUE(SUBSTITUTE(SUBSTITUTE(SUBSTITUTE(IF(설정!$C$6="","",IFERROR(INDEX('1.산군_붙여넣기'!$A$1:$AZ$1001,ROW(),설정!$C$6)&amp;"","")),",",""),"㎡",""),"m2","")),"")</f>
        <v/>
      </c>
      <c r="E466">
        <f>IF(설정!$C$7="","",IFERROR(INDEX('1.산군_붙여넣기'!$A$1:$AZ$1001,ROW(),설정!$C$7)&amp;"",""))</f>
        <v/>
      </c>
      <c r="F466">
        <f>IF(설정!$C$8="","",IFERROR(INDEX('1.산군_붙여넣기'!$A$1:$AZ$1001,ROW(),설정!$C$8)&amp;"",""))</f>
        <v/>
      </c>
      <c r="G466">
        <f>IF(설정!$C$9="","",IFERROR(INDEX('1.산군_붙여넣기'!$A$1:$AZ$1001,ROW(),설정!$C$9)&amp;"",""))</f>
        <v/>
      </c>
      <c r="H466">
        <f>IF(설정!$C$10="","",IFERROR(INDEX('1.산군_붙여넣기'!$A$1:$AZ$1001,ROW(),설정!$C$10)&amp;"",""))</f>
        <v/>
      </c>
      <c r="I466">
        <f>IF(설정!$C$11="","",IFERROR(INDEX('1.산군_붙여넣기'!$A$1:$AZ$1001,ROW(),설정!$C$11)&amp;"",""))</f>
        <v/>
      </c>
      <c r="J466">
        <f>IF(설정!$C$12="","",IFERROR(INDEX('1.산군_붙여넣기'!$A$1:$AZ$1001,ROW(),설정!$C$12)&amp;"",""))</f>
        <v/>
      </c>
      <c r="K466">
        <f>IF(설정!$C$13="","",IFERROR(INDEX('1.산군_붙여넣기'!$A$1:$AZ$1001,ROW(),설정!$C$13)&amp;"",""))</f>
        <v/>
      </c>
      <c r="L466" s="7">
        <f>IF(X466="","",IF(AND(LEN(X466)=8,ISNUMBER(X466*1)),DATE(LEFT(X466,4),MID(X466,5,2),RIGHT(X466,2)),IFERROR(DATEVALUE(SUBSTITUTE(SUBSTITUTE(X466,".","-"),"/","-")),IFERROR(X466*1,""))))</f>
        <v/>
      </c>
      <c r="M466" s="7">
        <f>IF(Y466="","",IF(AND(LEN(Y466)=8,ISNUMBER(Y466*1)),DATE(LEFT(Y466,4),MID(Y466,5,2),RIGHT(Y466,2)),IFERROR(DATEVALUE(SUBSTITUTE(SUBSTITUTE(Y466,".","-"),"/","-")),IFERROR(Y466*1,""))))</f>
        <v/>
      </c>
      <c r="N466">
        <f>IFERROR(LEFT(B466,FIND(" ",B466)-1),B466)</f>
        <v/>
      </c>
      <c r="O466">
        <f>AND(B466&lt;&gt;"",B466&lt;&gt;설정!$B$4,C466&lt;&gt;설정!$B$5)</f>
        <v/>
      </c>
      <c r="P466">
        <f>IF(O466,B466&amp;"|"&amp;C466,"")</f>
        <v/>
      </c>
      <c r="Q466">
        <f>AND(O466,COUNTIF(P467:P$1002,P466)=0)</f>
        <v/>
      </c>
      <c r="R466">
        <f>OR(AND(설정!$A$42&lt;&gt;"",ISNUMBER(SEARCH(설정!$A$42,E466&amp;" "&amp;C466))),AND(설정!$A$43&lt;&gt;"",ISNUMBER(SEARCH(설정!$A$43,E466&amp;" "&amp;C466))),AND(설정!$A$44&lt;&gt;"",ISNUMBER(SEARCH(설정!$A$44,E466&amp;" "&amp;C466))),AND(설정!$A$45&lt;&gt;"",ISNUMBER(SEARCH(설정!$A$45,E466&amp;" "&amp;C466))),AND(설정!$A$46&lt;&gt;"",ISNUMBER(SEARCH(설정!$A$46,E466&amp;" "&amp;C466))),AND(설정!$A$47&lt;&gt;"",ISNUMBER(SEARCH(설정!$A$47,E466&amp;" "&amp;C466))),AND(설정!$A$48&lt;&gt;"",ISNUMBER(SEARCH(설정!$A$48,E466&amp;" "&amp;C466))),AND(설정!$A$49&lt;&gt;"",ISNUMBER(SEARCH(설정!$A$49,E466&amp;" "&amp;C466))),AND(설정!$A$50&lt;&gt;"",ISNUMBER(SEARCH(설정!$A$50,E466&amp;" "&amp;C466))),AND(설정!$A$51&lt;&gt;"",ISNUMBER(SEARCH(설정!$A$51,E466&amp;" "&amp;C466))))</f>
        <v/>
      </c>
      <c r="S466">
        <f>OR(D466="",D466&gt;=설정!$B$19)</f>
        <v/>
      </c>
      <c r="T466">
        <f>AND(Q466,R466,S466)</f>
        <v/>
      </c>
      <c r="U466">
        <f>IF(T466,IF(AND(설정!$A$54&lt;&gt;"",ISNUMBER(SEARCH(설정!$A$54,K466))),설정!$B$54,IF(AND(설정!$A$55&lt;&gt;"",ISNUMBER(SEARCH(설정!$A$55,K466))),설정!$B$55,IF(AND(설정!$A$56&lt;&gt;"",ISNUMBER(SEARCH(설정!$A$56,K466))),설정!$B$56,IF(AND(설정!$A$57&lt;&gt;"",ISNUMBER(SEARCH(설정!$A$57,K466))),설정!$B$57,IF(AND(설정!$A$58&lt;&gt;"",ISNUMBER(SEARCH(설정!$A$58,K466))),설정!$B$58,IF(AND(설정!$A$59&lt;&gt;"",ISNUMBER(SEARCH(설정!$A$59,K466))),설정!$B$59,IF(AND(설정!$A$60&lt;&gt;"",ISNUMBER(SEARCH(설정!$A$60,K466))),설정!$B$60,IF(AND(설정!$A$61&lt;&gt;"",ISNUMBER(SEARCH(설정!$A$61,K466))),설정!$B$61,IF(M466="","설계사","시공사"))))))))),"")</f>
        <v/>
      </c>
      <c r="V466">
        <f>SUBSTITUTE(SUBSTITUTE(SUBSTITUTE(SUBSTITUTE(G466,"(주)",""),"㈜",""),"주식회사","")," ","")</f>
        <v/>
      </c>
      <c r="W466">
        <f>IF(AND(T466,V466&lt;&gt;""),IF(COUNTIFS(V$2:V466,V466,T$2:T466,TRUE)=1,MAX(W$1:W465)+1,""),"")</f>
        <v/>
      </c>
      <c r="X466">
        <f>IF(설정!$C$14="","",IFERROR(INDEX('1.산군_붙여넣기'!$A$1:$AZ$1001,ROW(),설정!$C$14)&amp;"",""))</f>
        <v/>
      </c>
      <c r="Y466">
        <f>IF(설정!$C$15="","",IFERROR(INDEX('1.산군_붙여넣기'!$A$1:$AZ$1001,ROW(),설정!$C$15)&amp;"",""))</f>
        <v/>
      </c>
      <c r="Z466">
        <f>IF(T466,V466&amp;"|"&amp;U466,"")</f>
        <v/>
      </c>
      <c r="AA466">
        <f>IF(NOT(Q466),"",IF(NOT(AND(R466,S466)),"✕",IF(OR(OR(AND(L466&lt;&gt;"",M466&lt;&gt;"",N(M466)-N(L466)&gt;설정!$B$27),AND(L466&lt;&gt;"",M466="",설정!$B$24-N(L466)&gt;설정!$B$27)),AND(D466&lt;&gt;"",D466&lt;설정!$B$26)),"△","★")))</f>
        <v/>
      </c>
      <c r="AB466">
        <f>IF(NOT(T466),"",IF(U466="설계사",설정!$B$31,IF(U466="시공사",IF(OR(M466="",설정!$B$24-N(M466)&lt;=설정!$B$28*30.4),설정!$B$32,설정!$B$33),설정!$B$34))+IF(AA466="★",설정!$B$35,0))</f>
        <v/>
      </c>
      <c r="AC466">
        <f>SUBSTITUTE(SUBSTITUTE(SUBSTITUTE(SUBSTITUTE(H466,"(주)",""),"㈜",""),"주식회사","")," ","")</f>
        <v/>
      </c>
      <c r="AD466">
        <f>IF(AND(T466,AC466&lt;&gt;""),IF(COUNTIFS(AC$2:AC466,AC466,T$2:T466,TRUE)=1,MAX(AD$1:AD465)+1,""),"")</f>
        <v/>
      </c>
    </row>
    <row r="467">
      <c r="A467">
        <f>ROW()</f>
        <v/>
      </c>
      <c r="B467">
        <f>IF(설정!$C$4="","",IFERROR(INDEX('1.산군_붙여넣기'!$A$1:$AZ$1001,ROW(),설정!$C$4)&amp;"",""))</f>
        <v/>
      </c>
      <c r="C467">
        <f>IF(설정!$C$5="","",IFERROR(INDEX('1.산군_붙여넣기'!$A$1:$AZ$1001,ROW(),설정!$C$5)&amp;"",""))</f>
        <v/>
      </c>
      <c r="D467" s="5">
        <f>IFERROR(VALUE(SUBSTITUTE(SUBSTITUTE(SUBSTITUTE(IF(설정!$C$6="","",IFERROR(INDEX('1.산군_붙여넣기'!$A$1:$AZ$1001,ROW(),설정!$C$6)&amp;"","")),",",""),"㎡",""),"m2","")),"")</f>
        <v/>
      </c>
      <c r="E467">
        <f>IF(설정!$C$7="","",IFERROR(INDEX('1.산군_붙여넣기'!$A$1:$AZ$1001,ROW(),설정!$C$7)&amp;"",""))</f>
        <v/>
      </c>
      <c r="F467">
        <f>IF(설정!$C$8="","",IFERROR(INDEX('1.산군_붙여넣기'!$A$1:$AZ$1001,ROW(),설정!$C$8)&amp;"",""))</f>
        <v/>
      </c>
      <c r="G467">
        <f>IF(설정!$C$9="","",IFERROR(INDEX('1.산군_붙여넣기'!$A$1:$AZ$1001,ROW(),설정!$C$9)&amp;"",""))</f>
        <v/>
      </c>
      <c r="H467">
        <f>IF(설정!$C$10="","",IFERROR(INDEX('1.산군_붙여넣기'!$A$1:$AZ$1001,ROW(),설정!$C$10)&amp;"",""))</f>
        <v/>
      </c>
      <c r="I467">
        <f>IF(설정!$C$11="","",IFERROR(INDEX('1.산군_붙여넣기'!$A$1:$AZ$1001,ROW(),설정!$C$11)&amp;"",""))</f>
        <v/>
      </c>
      <c r="J467">
        <f>IF(설정!$C$12="","",IFERROR(INDEX('1.산군_붙여넣기'!$A$1:$AZ$1001,ROW(),설정!$C$12)&amp;"",""))</f>
        <v/>
      </c>
      <c r="K467">
        <f>IF(설정!$C$13="","",IFERROR(INDEX('1.산군_붙여넣기'!$A$1:$AZ$1001,ROW(),설정!$C$13)&amp;"",""))</f>
        <v/>
      </c>
      <c r="L467" s="7">
        <f>IF(X467="","",IF(AND(LEN(X467)=8,ISNUMBER(X467*1)),DATE(LEFT(X467,4),MID(X467,5,2),RIGHT(X467,2)),IFERROR(DATEVALUE(SUBSTITUTE(SUBSTITUTE(X467,".","-"),"/","-")),IFERROR(X467*1,""))))</f>
        <v/>
      </c>
      <c r="M467" s="7">
        <f>IF(Y467="","",IF(AND(LEN(Y467)=8,ISNUMBER(Y467*1)),DATE(LEFT(Y467,4),MID(Y467,5,2),RIGHT(Y467,2)),IFERROR(DATEVALUE(SUBSTITUTE(SUBSTITUTE(Y467,".","-"),"/","-")),IFERROR(Y467*1,""))))</f>
        <v/>
      </c>
      <c r="N467">
        <f>IFERROR(LEFT(B467,FIND(" ",B467)-1),B467)</f>
        <v/>
      </c>
      <c r="O467">
        <f>AND(B467&lt;&gt;"",B467&lt;&gt;설정!$B$4,C467&lt;&gt;설정!$B$5)</f>
        <v/>
      </c>
      <c r="P467">
        <f>IF(O467,B467&amp;"|"&amp;C467,"")</f>
        <v/>
      </c>
      <c r="Q467">
        <f>AND(O467,COUNTIF(P468:P$1002,P467)=0)</f>
        <v/>
      </c>
      <c r="R467">
        <f>OR(AND(설정!$A$42&lt;&gt;"",ISNUMBER(SEARCH(설정!$A$42,E467&amp;" "&amp;C467))),AND(설정!$A$43&lt;&gt;"",ISNUMBER(SEARCH(설정!$A$43,E467&amp;" "&amp;C467))),AND(설정!$A$44&lt;&gt;"",ISNUMBER(SEARCH(설정!$A$44,E467&amp;" "&amp;C467))),AND(설정!$A$45&lt;&gt;"",ISNUMBER(SEARCH(설정!$A$45,E467&amp;" "&amp;C467))),AND(설정!$A$46&lt;&gt;"",ISNUMBER(SEARCH(설정!$A$46,E467&amp;" "&amp;C467))),AND(설정!$A$47&lt;&gt;"",ISNUMBER(SEARCH(설정!$A$47,E467&amp;" "&amp;C467))),AND(설정!$A$48&lt;&gt;"",ISNUMBER(SEARCH(설정!$A$48,E467&amp;" "&amp;C467))),AND(설정!$A$49&lt;&gt;"",ISNUMBER(SEARCH(설정!$A$49,E467&amp;" "&amp;C467))),AND(설정!$A$50&lt;&gt;"",ISNUMBER(SEARCH(설정!$A$50,E467&amp;" "&amp;C467))),AND(설정!$A$51&lt;&gt;"",ISNUMBER(SEARCH(설정!$A$51,E467&amp;" "&amp;C467))))</f>
        <v/>
      </c>
      <c r="S467">
        <f>OR(D467="",D467&gt;=설정!$B$19)</f>
        <v/>
      </c>
      <c r="T467">
        <f>AND(Q467,R467,S467)</f>
        <v/>
      </c>
      <c r="U467">
        <f>IF(T467,IF(AND(설정!$A$54&lt;&gt;"",ISNUMBER(SEARCH(설정!$A$54,K467))),설정!$B$54,IF(AND(설정!$A$55&lt;&gt;"",ISNUMBER(SEARCH(설정!$A$55,K467))),설정!$B$55,IF(AND(설정!$A$56&lt;&gt;"",ISNUMBER(SEARCH(설정!$A$56,K467))),설정!$B$56,IF(AND(설정!$A$57&lt;&gt;"",ISNUMBER(SEARCH(설정!$A$57,K467))),설정!$B$57,IF(AND(설정!$A$58&lt;&gt;"",ISNUMBER(SEARCH(설정!$A$58,K467))),설정!$B$58,IF(AND(설정!$A$59&lt;&gt;"",ISNUMBER(SEARCH(설정!$A$59,K467))),설정!$B$59,IF(AND(설정!$A$60&lt;&gt;"",ISNUMBER(SEARCH(설정!$A$60,K467))),설정!$B$60,IF(AND(설정!$A$61&lt;&gt;"",ISNUMBER(SEARCH(설정!$A$61,K467))),설정!$B$61,IF(M467="","설계사","시공사"))))))))),"")</f>
        <v/>
      </c>
      <c r="V467">
        <f>SUBSTITUTE(SUBSTITUTE(SUBSTITUTE(SUBSTITUTE(G467,"(주)",""),"㈜",""),"주식회사","")," ","")</f>
        <v/>
      </c>
      <c r="W467">
        <f>IF(AND(T467,V467&lt;&gt;""),IF(COUNTIFS(V$2:V467,V467,T$2:T467,TRUE)=1,MAX(W$1:W466)+1,""),"")</f>
        <v/>
      </c>
      <c r="X467">
        <f>IF(설정!$C$14="","",IFERROR(INDEX('1.산군_붙여넣기'!$A$1:$AZ$1001,ROW(),설정!$C$14)&amp;"",""))</f>
        <v/>
      </c>
      <c r="Y467">
        <f>IF(설정!$C$15="","",IFERROR(INDEX('1.산군_붙여넣기'!$A$1:$AZ$1001,ROW(),설정!$C$15)&amp;"",""))</f>
        <v/>
      </c>
      <c r="Z467">
        <f>IF(T467,V467&amp;"|"&amp;U467,"")</f>
        <v/>
      </c>
      <c r="AA467">
        <f>IF(NOT(Q467),"",IF(NOT(AND(R467,S467)),"✕",IF(OR(OR(AND(L467&lt;&gt;"",M467&lt;&gt;"",N(M467)-N(L467)&gt;설정!$B$27),AND(L467&lt;&gt;"",M467="",설정!$B$24-N(L467)&gt;설정!$B$27)),AND(D467&lt;&gt;"",D467&lt;설정!$B$26)),"△","★")))</f>
        <v/>
      </c>
      <c r="AB467">
        <f>IF(NOT(T467),"",IF(U467="설계사",설정!$B$31,IF(U467="시공사",IF(OR(M467="",설정!$B$24-N(M467)&lt;=설정!$B$28*30.4),설정!$B$32,설정!$B$33),설정!$B$34))+IF(AA467="★",설정!$B$35,0))</f>
        <v/>
      </c>
      <c r="AC467">
        <f>SUBSTITUTE(SUBSTITUTE(SUBSTITUTE(SUBSTITUTE(H467,"(주)",""),"㈜",""),"주식회사","")," ","")</f>
        <v/>
      </c>
      <c r="AD467">
        <f>IF(AND(T467,AC467&lt;&gt;""),IF(COUNTIFS(AC$2:AC467,AC467,T$2:T467,TRUE)=1,MAX(AD$1:AD466)+1,""),"")</f>
        <v/>
      </c>
    </row>
    <row r="468">
      <c r="A468">
        <f>ROW()</f>
        <v/>
      </c>
      <c r="B468">
        <f>IF(설정!$C$4="","",IFERROR(INDEX('1.산군_붙여넣기'!$A$1:$AZ$1001,ROW(),설정!$C$4)&amp;"",""))</f>
        <v/>
      </c>
      <c r="C468">
        <f>IF(설정!$C$5="","",IFERROR(INDEX('1.산군_붙여넣기'!$A$1:$AZ$1001,ROW(),설정!$C$5)&amp;"",""))</f>
        <v/>
      </c>
      <c r="D468" s="5">
        <f>IFERROR(VALUE(SUBSTITUTE(SUBSTITUTE(SUBSTITUTE(IF(설정!$C$6="","",IFERROR(INDEX('1.산군_붙여넣기'!$A$1:$AZ$1001,ROW(),설정!$C$6)&amp;"","")),",",""),"㎡",""),"m2","")),"")</f>
        <v/>
      </c>
      <c r="E468">
        <f>IF(설정!$C$7="","",IFERROR(INDEX('1.산군_붙여넣기'!$A$1:$AZ$1001,ROW(),설정!$C$7)&amp;"",""))</f>
        <v/>
      </c>
      <c r="F468">
        <f>IF(설정!$C$8="","",IFERROR(INDEX('1.산군_붙여넣기'!$A$1:$AZ$1001,ROW(),설정!$C$8)&amp;"",""))</f>
        <v/>
      </c>
      <c r="G468">
        <f>IF(설정!$C$9="","",IFERROR(INDEX('1.산군_붙여넣기'!$A$1:$AZ$1001,ROW(),설정!$C$9)&amp;"",""))</f>
        <v/>
      </c>
      <c r="H468">
        <f>IF(설정!$C$10="","",IFERROR(INDEX('1.산군_붙여넣기'!$A$1:$AZ$1001,ROW(),설정!$C$10)&amp;"",""))</f>
        <v/>
      </c>
      <c r="I468">
        <f>IF(설정!$C$11="","",IFERROR(INDEX('1.산군_붙여넣기'!$A$1:$AZ$1001,ROW(),설정!$C$11)&amp;"",""))</f>
        <v/>
      </c>
      <c r="J468">
        <f>IF(설정!$C$12="","",IFERROR(INDEX('1.산군_붙여넣기'!$A$1:$AZ$1001,ROW(),설정!$C$12)&amp;"",""))</f>
        <v/>
      </c>
      <c r="K468">
        <f>IF(설정!$C$13="","",IFERROR(INDEX('1.산군_붙여넣기'!$A$1:$AZ$1001,ROW(),설정!$C$13)&amp;"",""))</f>
        <v/>
      </c>
      <c r="L468" s="7">
        <f>IF(X468="","",IF(AND(LEN(X468)=8,ISNUMBER(X468*1)),DATE(LEFT(X468,4),MID(X468,5,2),RIGHT(X468,2)),IFERROR(DATEVALUE(SUBSTITUTE(SUBSTITUTE(X468,".","-"),"/","-")),IFERROR(X468*1,""))))</f>
        <v/>
      </c>
      <c r="M468" s="7">
        <f>IF(Y468="","",IF(AND(LEN(Y468)=8,ISNUMBER(Y468*1)),DATE(LEFT(Y468,4),MID(Y468,5,2),RIGHT(Y468,2)),IFERROR(DATEVALUE(SUBSTITUTE(SUBSTITUTE(Y468,".","-"),"/","-")),IFERROR(Y468*1,""))))</f>
        <v/>
      </c>
      <c r="N468">
        <f>IFERROR(LEFT(B468,FIND(" ",B468)-1),B468)</f>
        <v/>
      </c>
      <c r="O468">
        <f>AND(B468&lt;&gt;"",B468&lt;&gt;설정!$B$4,C468&lt;&gt;설정!$B$5)</f>
        <v/>
      </c>
      <c r="P468">
        <f>IF(O468,B468&amp;"|"&amp;C468,"")</f>
        <v/>
      </c>
      <c r="Q468">
        <f>AND(O468,COUNTIF(P469:P$1002,P468)=0)</f>
        <v/>
      </c>
      <c r="R468">
        <f>OR(AND(설정!$A$42&lt;&gt;"",ISNUMBER(SEARCH(설정!$A$42,E468&amp;" "&amp;C468))),AND(설정!$A$43&lt;&gt;"",ISNUMBER(SEARCH(설정!$A$43,E468&amp;" "&amp;C468))),AND(설정!$A$44&lt;&gt;"",ISNUMBER(SEARCH(설정!$A$44,E468&amp;" "&amp;C468))),AND(설정!$A$45&lt;&gt;"",ISNUMBER(SEARCH(설정!$A$45,E468&amp;" "&amp;C468))),AND(설정!$A$46&lt;&gt;"",ISNUMBER(SEARCH(설정!$A$46,E468&amp;" "&amp;C468))),AND(설정!$A$47&lt;&gt;"",ISNUMBER(SEARCH(설정!$A$47,E468&amp;" "&amp;C468))),AND(설정!$A$48&lt;&gt;"",ISNUMBER(SEARCH(설정!$A$48,E468&amp;" "&amp;C468))),AND(설정!$A$49&lt;&gt;"",ISNUMBER(SEARCH(설정!$A$49,E468&amp;" "&amp;C468))),AND(설정!$A$50&lt;&gt;"",ISNUMBER(SEARCH(설정!$A$50,E468&amp;" "&amp;C468))),AND(설정!$A$51&lt;&gt;"",ISNUMBER(SEARCH(설정!$A$51,E468&amp;" "&amp;C468))))</f>
        <v/>
      </c>
      <c r="S468">
        <f>OR(D468="",D468&gt;=설정!$B$19)</f>
        <v/>
      </c>
      <c r="T468">
        <f>AND(Q468,R468,S468)</f>
        <v/>
      </c>
      <c r="U468">
        <f>IF(T468,IF(AND(설정!$A$54&lt;&gt;"",ISNUMBER(SEARCH(설정!$A$54,K468))),설정!$B$54,IF(AND(설정!$A$55&lt;&gt;"",ISNUMBER(SEARCH(설정!$A$55,K468))),설정!$B$55,IF(AND(설정!$A$56&lt;&gt;"",ISNUMBER(SEARCH(설정!$A$56,K468))),설정!$B$56,IF(AND(설정!$A$57&lt;&gt;"",ISNUMBER(SEARCH(설정!$A$57,K468))),설정!$B$57,IF(AND(설정!$A$58&lt;&gt;"",ISNUMBER(SEARCH(설정!$A$58,K468))),설정!$B$58,IF(AND(설정!$A$59&lt;&gt;"",ISNUMBER(SEARCH(설정!$A$59,K468))),설정!$B$59,IF(AND(설정!$A$60&lt;&gt;"",ISNUMBER(SEARCH(설정!$A$60,K468))),설정!$B$60,IF(AND(설정!$A$61&lt;&gt;"",ISNUMBER(SEARCH(설정!$A$61,K468))),설정!$B$61,IF(M468="","설계사","시공사"))))))))),"")</f>
        <v/>
      </c>
      <c r="V468">
        <f>SUBSTITUTE(SUBSTITUTE(SUBSTITUTE(SUBSTITUTE(G468,"(주)",""),"㈜",""),"주식회사","")," ","")</f>
        <v/>
      </c>
      <c r="W468">
        <f>IF(AND(T468,V468&lt;&gt;""),IF(COUNTIFS(V$2:V468,V468,T$2:T468,TRUE)=1,MAX(W$1:W467)+1,""),"")</f>
        <v/>
      </c>
      <c r="X468">
        <f>IF(설정!$C$14="","",IFERROR(INDEX('1.산군_붙여넣기'!$A$1:$AZ$1001,ROW(),설정!$C$14)&amp;"",""))</f>
        <v/>
      </c>
      <c r="Y468">
        <f>IF(설정!$C$15="","",IFERROR(INDEX('1.산군_붙여넣기'!$A$1:$AZ$1001,ROW(),설정!$C$15)&amp;"",""))</f>
        <v/>
      </c>
      <c r="Z468">
        <f>IF(T468,V468&amp;"|"&amp;U468,"")</f>
        <v/>
      </c>
      <c r="AA468">
        <f>IF(NOT(Q468),"",IF(NOT(AND(R468,S468)),"✕",IF(OR(OR(AND(L468&lt;&gt;"",M468&lt;&gt;"",N(M468)-N(L468)&gt;설정!$B$27),AND(L468&lt;&gt;"",M468="",설정!$B$24-N(L468)&gt;설정!$B$27)),AND(D468&lt;&gt;"",D468&lt;설정!$B$26)),"△","★")))</f>
        <v/>
      </c>
      <c r="AB468">
        <f>IF(NOT(T468),"",IF(U468="설계사",설정!$B$31,IF(U468="시공사",IF(OR(M468="",설정!$B$24-N(M468)&lt;=설정!$B$28*30.4),설정!$B$32,설정!$B$33),설정!$B$34))+IF(AA468="★",설정!$B$35,0))</f>
        <v/>
      </c>
      <c r="AC468">
        <f>SUBSTITUTE(SUBSTITUTE(SUBSTITUTE(SUBSTITUTE(H468,"(주)",""),"㈜",""),"주식회사","")," ","")</f>
        <v/>
      </c>
      <c r="AD468">
        <f>IF(AND(T468,AC468&lt;&gt;""),IF(COUNTIFS(AC$2:AC468,AC468,T$2:T468,TRUE)=1,MAX(AD$1:AD467)+1,""),"")</f>
        <v/>
      </c>
    </row>
    <row r="469">
      <c r="A469">
        <f>ROW()</f>
        <v/>
      </c>
      <c r="B469">
        <f>IF(설정!$C$4="","",IFERROR(INDEX('1.산군_붙여넣기'!$A$1:$AZ$1001,ROW(),설정!$C$4)&amp;"",""))</f>
        <v/>
      </c>
      <c r="C469">
        <f>IF(설정!$C$5="","",IFERROR(INDEX('1.산군_붙여넣기'!$A$1:$AZ$1001,ROW(),설정!$C$5)&amp;"",""))</f>
        <v/>
      </c>
      <c r="D469" s="5">
        <f>IFERROR(VALUE(SUBSTITUTE(SUBSTITUTE(SUBSTITUTE(IF(설정!$C$6="","",IFERROR(INDEX('1.산군_붙여넣기'!$A$1:$AZ$1001,ROW(),설정!$C$6)&amp;"","")),",",""),"㎡",""),"m2","")),"")</f>
        <v/>
      </c>
      <c r="E469">
        <f>IF(설정!$C$7="","",IFERROR(INDEX('1.산군_붙여넣기'!$A$1:$AZ$1001,ROW(),설정!$C$7)&amp;"",""))</f>
        <v/>
      </c>
      <c r="F469">
        <f>IF(설정!$C$8="","",IFERROR(INDEX('1.산군_붙여넣기'!$A$1:$AZ$1001,ROW(),설정!$C$8)&amp;"",""))</f>
        <v/>
      </c>
      <c r="G469">
        <f>IF(설정!$C$9="","",IFERROR(INDEX('1.산군_붙여넣기'!$A$1:$AZ$1001,ROW(),설정!$C$9)&amp;"",""))</f>
        <v/>
      </c>
      <c r="H469">
        <f>IF(설정!$C$10="","",IFERROR(INDEX('1.산군_붙여넣기'!$A$1:$AZ$1001,ROW(),설정!$C$10)&amp;"",""))</f>
        <v/>
      </c>
      <c r="I469">
        <f>IF(설정!$C$11="","",IFERROR(INDEX('1.산군_붙여넣기'!$A$1:$AZ$1001,ROW(),설정!$C$11)&amp;"",""))</f>
        <v/>
      </c>
      <c r="J469">
        <f>IF(설정!$C$12="","",IFERROR(INDEX('1.산군_붙여넣기'!$A$1:$AZ$1001,ROW(),설정!$C$12)&amp;"",""))</f>
        <v/>
      </c>
      <c r="K469">
        <f>IF(설정!$C$13="","",IFERROR(INDEX('1.산군_붙여넣기'!$A$1:$AZ$1001,ROW(),설정!$C$13)&amp;"",""))</f>
        <v/>
      </c>
      <c r="L469" s="7">
        <f>IF(X469="","",IF(AND(LEN(X469)=8,ISNUMBER(X469*1)),DATE(LEFT(X469,4),MID(X469,5,2),RIGHT(X469,2)),IFERROR(DATEVALUE(SUBSTITUTE(SUBSTITUTE(X469,".","-"),"/","-")),IFERROR(X469*1,""))))</f>
        <v/>
      </c>
      <c r="M469" s="7">
        <f>IF(Y469="","",IF(AND(LEN(Y469)=8,ISNUMBER(Y469*1)),DATE(LEFT(Y469,4),MID(Y469,5,2),RIGHT(Y469,2)),IFERROR(DATEVALUE(SUBSTITUTE(SUBSTITUTE(Y469,".","-"),"/","-")),IFERROR(Y469*1,""))))</f>
        <v/>
      </c>
      <c r="N469">
        <f>IFERROR(LEFT(B469,FIND(" ",B469)-1),B469)</f>
        <v/>
      </c>
      <c r="O469">
        <f>AND(B469&lt;&gt;"",B469&lt;&gt;설정!$B$4,C469&lt;&gt;설정!$B$5)</f>
        <v/>
      </c>
      <c r="P469">
        <f>IF(O469,B469&amp;"|"&amp;C469,"")</f>
        <v/>
      </c>
      <c r="Q469">
        <f>AND(O469,COUNTIF(P470:P$1002,P469)=0)</f>
        <v/>
      </c>
      <c r="R469">
        <f>OR(AND(설정!$A$42&lt;&gt;"",ISNUMBER(SEARCH(설정!$A$42,E469&amp;" "&amp;C469))),AND(설정!$A$43&lt;&gt;"",ISNUMBER(SEARCH(설정!$A$43,E469&amp;" "&amp;C469))),AND(설정!$A$44&lt;&gt;"",ISNUMBER(SEARCH(설정!$A$44,E469&amp;" "&amp;C469))),AND(설정!$A$45&lt;&gt;"",ISNUMBER(SEARCH(설정!$A$45,E469&amp;" "&amp;C469))),AND(설정!$A$46&lt;&gt;"",ISNUMBER(SEARCH(설정!$A$46,E469&amp;" "&amp;C469))),AND(설정!$A$47&lt;&gt;"",ISNUMBER(SEARCH(설정!$A$47,E469&amp;" "&amp;C469))),AND(설정!$A$48&lt;&gt;"",ISNUMBER(SEARCH(설정!$A$48,E469&amp;" "&amp;C469))),AND(설정!$A$49&lt;&gt;"",ISNUMBER(SEARCH(설정!$A$49,E469&amp;" "&amp;C469))),AND(설정!$A$50&lt;&gt;"",ISNUMBER(SEARCH(설정!$A$50,E469&amp;" "&amp;C469))),AND(설정!$A$51&lt;&gt;"",ISNUMBER(SEARCH(설정!$A$51,E469&amp;" "&amp;C469))))</f>
        <v/>
      </c>
      <c r="S469">
        <f>OR(D469="",D469&gt;=설정!$B$19)</f>
        <v/>
      </c>
      <c r="T469">
        <f>AND(Q469,R469,S469)</f>
        <v/>
      </c>
      <c r="U469">
        <f>IF(T469,IF(AND(설정!$A$54&lt;&gt;"",ISNUMBER(SEARCH(설정!$A$54,K469))),설정!$B$54,IF(AND(설정!$A$55&lt;&gt;"",ISNUMBER(SEARCH(설정!$A$55,K469))),설정!$B$55,IF(AND(설정!$A$56&lt;&gt;"",ISNUMBER(SEARCH(설정!$A$56,K469))),설정!$B$56,IF(AND(설정!$A$57&lt;&gt;"",ISNUMBER(SEARCH(설정!$A$57,K469))),설정!$B$57,IF(AND(설정!$A$58&lt;&gt;"",ISNUMBER(SEARCH(설정!$A$58,K469))),설정!$B$58,IF(AND(설정!$A$59&lt;&gt;"",ISNUMBER(SEARCH(설정!$A$59,K469))),설정!$B$59,IF(AND(설정!$A$60&lt;&gt;"",ISNUMBER(SEARCH(설정!$A$60,K469))),설정!$B$60,IF(AND(설정!$A$61&lt;&gt;"",ISNUMBER(SEARCH(설정!$A$61,K469))),설정!$B$61,IF(M469="","설계사","시공사"))))))))),"")</f>
        <v/>
      </c>
      <c r="V469">
        <f>SUBSTITUTE(SUBSTITUTE(SUBSTITUTE(SUBSTITUTE(G469,"(주)",""),"㈜",""),"주식회사","")," ","")</f>
        <v/>
      </c>
      <c r="W469">
        <f>IF(AND(T469,V469&lt;&gt;""),IF(COUNTIFS(V$2:V469,V469,T$2:T469,TRUE)=1,MAX(W$1:W468)+1,""),"")</f>
        <v/>
      </c>
      <c r="X469">
        <f>IF(설정!$C$14="","",IFERROR(INDEX('1.산군_붙여넣기'!$A$1:$AZ$1001,ROW(),설정!$C$14)&amp;"",""))</f>
        <v/>
      </c>
      <c r="Y469">
        <f>IF(설정!$C$15="","",IFERROR(INDEX('1.산군_붙여넣기'!$A$1:$AZ$1001,ROW(),설정!$C$15)&amp;"",""))</f>
        <v/>
      </c>
      <c r="Z469">
        <f>IF(T469,V469&amp;"|"&amp;U469,"")</f>
        <v/>
      </c>
      <c r="AA469">
        <f>IF(NOT(Q469),"",IF(NOT(AND(R469,S469)),"✕",IF(OR(OR(AND(L469&lt;&gt;"",M469&lt;&gt;"",N(M469)-N(L469)&gt;설정!$B$27),AND(L469&lt;&gt;"",M469="",설정!$B$24-N(L469)&gt;설정!$B$27)),AND(D469&lt;&gt;"",D469&lt;설정!$B$26)),"△","★")))</f>
        <v/>
      </c>
      <c r="AB469">
        <f>IF(NOT(T469),"",IF(U469="설계사",설정!$B$31,IF(U469="시공사",IF(OR(M469="",설정!$B$24-N(M469)&lt;=설정!$B$28*30.4),설정!$B$32,설정!$B$33),설정!$B$34))+IF(AA469="★",설정!$B$35,0))</f>
        <v/>
      </c>
      <c r="AC469">
        <f>SUBSTITUTE(SUBSTITUTE(SUBSTITUTE(SUBSTITUTE(H469,"(주)",""),"㈜",""),"주식회사","")," ","")</f>
        <v/>
      </c>
      <c r="AD469">
        <f>IF(AND(T469,AC469&lt;&gt;""),IF(COUNTIFS(AC$2:AC469,AC469,T$2:T469,TRUE)=1,MAX(AD$1:AD468)+1,""),"")</f>
        <v/>
      </c>
    </row>
    <row r="470">
      <c r="A470">
        <f>ROW()</f>
        <v/>
      </c>
      <c r="B470">
        <f>IF(설정!$C$4="","",IFERROR(INDEX('1.산군_붙여넣기'!$A$1:$AZ$1001,ROW(),설정!$C$4)&amp;"",""))</f>
        <v/>
      </c>
      <c r="C470">
        <f>IF(설정!$C$5="","",IFERROR(INDEX('1.산군_붙여넣기'!$A$1:$AZ$1001,ROW(),설정!$C$5)&amp;"",""))</f>
        <v/>
      </c>
      <c r="D470" s="5">
        <f>IFERROR(VALUE(SUBSTITUTE(SUBSTITUTE(SUBSTITUTE(IF(설정!$C$6="","",IFERROR(INDEX('1.산군_붙여넣기'!$A$1:$AZ$1001,ROW(),설정!$C$6)&amp;"","")),",",""),"㎡",""),"m2","")),"")</f>
        <v/>
      </c>
      <c r="E470">
        <f>IF(설정!$C$7="","",IFERROR(INDEX('1.산군_붙여넣기'!$A$1:$AZ$1001,ROW(),설정!$C$7)&amp;"",""))</f>
        <v/>
      </c>
      <c r="F470">
        <f>IF(설정!$C$8="","",IFERROR(INDEX('1.산군_붙여넣기'!$A$1:$AZ$1001,ROW(),설정!$C$8)&amp;"",""))</f>
        <v/>
      </c>
      <c r="G470">
        <f>IF(설정!$C$9="","",IFERROR(INDEX('1.산군_붙여넣기'!$A$1:$AZ$1001,ROW(),설정!$C$9)&amp;"",""))</f>
        <v/>
      </c>
      <c r="H470">
        <f>IF(설정!$C$10="","",IFERROR(INDEX('1.산군_붙여넣기'!$A$1:$AZ$1001,ROW(),설정!$C$10)&amp;"",""))</f>
        <v/>
      </c>
      <c r="I470">
        <f>IF(설정!$C$11="","",IFERROR(INDEX('1.산군_붙여넣기'!$A$1:$AZ$1001,ROW(),설정!$C$11)&amp;"",""))</f>
        <v/>
      </c>
      <c r="J470">
        <f>IF(설정!$C$12="","",IFERROR(INDEX('1.산군_붙여넣기'!$A$1:$AZ$1001,ROW(),설정!$C$12)&amp;"",""))</f>
        <v/>
      </c>
      <c r="K470">
        <f>IF(설정!$C$13="","",IFERROR(INDEX('1.산군_붙여넣기'!$A$1:$AZ$1001,ROW(),설정!$C$13)&amp;"",""))</f>
        <v/>
      </c>
      <c r="L470" s="7">
        <f>IF(X470="","",IF(AND(LEN(X470)=8,ISNUMBER(X470*1)),DATE(LEFT(X470,4),MID(X470,5,2),RIGHT(X470,2)),IFERROR(DATEVALUE(SUBSTITUTE(SUBSTITUTE(X470,".","-"),"/","-")),IFERROR(X470*1,""))))</f>
        <v/>
      </c>
      <c r="M470" s="7">
        <f>IF(Y470="","",IF(AND(LEN(Y470)=8,ISNUMBER(Y470*1)),DATE(LEFT(Y470,4),MID(Y470,5,2),RIGHT(Y470,2)),IFERROR(DATEVALUE(SUBSTITUTE(SUBSTITUTE(Y470,".","-"),"/","-")),IFERROR(Y470*1,""))))</f>
        <v/>
      </c>
      <c r="N470">
        <f>IFERROR(LEFT(B470,FIND(" ",B470)-1),B470)</f>
        <v/>
      </c>
      <c r="O470">
        <f>AND(B470&lt;&gt;"",B470&lt;&gt;설정!$B$4,C470&lt;&gt;설정!$B$5)</f>
        <v/>
      </c>
      <c r="P470">
        <f>IF(O470,B470&amp;"|"&amp;C470,"")</f>
        <v/>
      </c>
      <c r="Q470">
        <f>AND(O470,COUNTIF(P471:P$1002,P470)=0)</f>
        <v/>
      </c>
      <c r="R470">
        <f>OR(AND(설정!$A$42&lt;&gt;"",ISNUMBER(SEARCH(설정!$A$42,E470&amp;" "&amp;C470))),AND(설정!$A$43&lt;&gt;"",ISNUMBER(SEARCH(설정!$A$43,E470&amp;" "&amp;C470))),AND(설정!$A$44&lt;&gt;"",ISNUMBER(SEARCH(설정!$A$44,E470&amp;" "&amp;C470))),AND(설정!$A$45&lt;&gt;"",ISNUMBER(SEARCH(설정!$A$45,E470&amp;" "&amp;C470))),AND(설정!$A$46&lt;&gt;"",ISNUMBER(SEARCH(설정!$A$46,E470&amp;" "&amp;C470))),AND(설정!$A$47&lt;&gt;"",ISNUMBER(SEARCH(설정!$A$47,E470&amp;" "&amp;C470))),AND(설정!$A$48&lt;&gt;"",ISNUMBER(SEARCH(설정!$A$48,E470&amp;" "&amp;C470))),AND(설정!$A$49&lt;&gt;"",ISNUMBER(SEARCH(설정!$A$49,E470&amp;" "&amp;C470))),AND(설정!$A$50&lt;&gt;"",ISNUMBER(SEARCH(설정!$A$50,E470&amp;" "&amp;C470))),AND(설정!$A$51&lt;&gt;"",ISNUMBER(SEARCH(설정!$A$51,E470&amp;" "&amp;C470))))</f>
        <v/>
      </c>
      <c r="S470">
        <f>OR(D470="",D470&gt;=설정!$B$19)</f>
        <v/>
      </c>
      <c r="T470">
        <f>AND(Q470,R470,S470)</f>
        <v/>
      </c>
      <c r="U470">
        <f>IF(T470,IF(AND(설정!$A$54&lt;&gt;"",ISNUMBER(SEARCH(설정!$A$54,K470))),설정!$B$54,IF(AND(설정!$A$55&lt;&gt;"",ISNUMBER(SEARCH(설정!$A$55,K470))),설정!$B$55,IF(AND(설정!$A$56&lt;&gt;"",ISNUMBER(SEARCH(설정!$A$56,K470))),설정!$B$56,IF(AND(설정!$A$57&lt;&gt;"",ISNUMBER(SEARCH(설정!$A$57,K470))),설정!$B$57,IF(AND(설정!$A$58&lt;&gt;"",ISNUMBER(SEARCH(설정!$A$58,K470))),설정!$B$58,IF(AND(설정!$A$59&lt;&gt;"",ISNUMBER(SEARCH(설정!$A$59,K470))),설정!$B$59,IF(AND(설정!$A$60&lt;&gt;"",ISNUMBER(SEARCH(설정!$A$60,K470))),설정!$B$60,IF(AND(설정!$A$61&lt;&gt;"",ISNUMBER(SEARCH(설정!$A$61,K470))),설정!$B$61,IF(M470="","설계사","시공사"))))))))),"")</f>
        <v/>
      </c>
      <c r="V470">
        <f>SUBSTITUTE(SUBSTITUTE(SUBSTITUTE(SUBSTITUTE(G470,"(주)",""),"㈜",""),"주식회사","")," ","")</f>
        <v/>
      </c>
      <c r="W470">
        <f>IF(AND(T470,V470&lt;&gt;""),IF(COUNTIFS(V$2:V470,V470,T$2:T470,TRUE)=1,MAX(W$1:W469)+1,""),"")</f>
        <v/>
      </c>
      <c r="X470">
        <f>IF(설정!$C$14="","",IFERROR(INDEX('1.산군_붙여넣기'!$A$1:$AZ$1001,ROW(),설정!$C$14)&amp;"",""))</f>
        <v/>
      </c>
      <c r="Y470">
        <f>IF(설정!$C$15="","",IFERROR(INDEX('1.산군_붙여넣기'!$A$1:$AZ$1001,ROW(),설정!$C$15)&amp;"",""))</f>
        <v/>
      </c>
      <c r="Z470">
        <f>IF(T470,V470&amp;"|"&amp;U470,"")</f>
        <v/>
      </c>
      <c r="AA470">
        <f>IF(NOT(Q470),"",IF(NOT(AND(R470,S470)),"✕",IF(OR(OR(AND(L470&lt;&gt;"",M470&lt;&gt;"",N(M470)-N(L470)&gt;설정!$B$27),AND(L470&lt;&gt;"",M470="",설정!$B$24-N(L470)&gt;설정!$B$27)),AND(D470&lt;&gt;"",D470&lt;설정!$B$26)),"△","★")))</f>
        <v/>
      </c>
      <c r="AB470">
        <f>IF(NOT(T470),"",IF(U470="설계사",설정!$B$31,IF(U470="시공사",IF(OR(M470="",설정!$B$24-N(M470)&lt;=설정!$B$28*30.4),설정!$B$32,설정!$B$33),설정!$B$34))+IF(AA470="★",설정!$B$35,0))</f>
        <v/>
      </c>
      <c r="AC470">
        <f>SUBSTITUTE(SUBSTITUTE(SUBSTITUTE(SUBSTITUTE(H470,"(주)",""),"㈜",""),"주식회사","")," ","")</f>
        <v/>
      </c>
      <c r="AD470">
        <f>IF(AND(T470,AC470&lt;&gt;""),IF(COUNTIFS(AC$2:AC470,AC470,T$2:T470,TRUE)=1,MAX(AD$1:AD469)+1,""),"")</f>
        <v/>
      </c>
    </row>
    <row r="471">
      <c r="A471">
        <f>ROW()</f>
        <v/>
      </c>
      <c r="B471">
        <f>IF(설정!$C$4="","",IFERROR(INDEX('1.산군_붙여넣기'!$A$1:$AZ$1001,ROW(),설정!$C$4)&amp;"",""))</f>
        <v/>
      </c>
      <c r="C471">
        <f>IF(설정!$C$5="","",IFERROR(INDEX('1.산군_붙여넣기'!$A$1:$AZ$1001,ROW(),설정!$C$5)&amp;"",""))</f>
        <v/>
      </c>
      <c r="D471" s="5">
        <f>IFERROR(VALUE(SUBSTITUTE(SUBSTITUTE(SUBSTITUTE(IF(설정!$C$6="","",IFERROR(INDEX('1.산군_붙여넣기'!$A$1:$AZ$1001,ROW(),설정!$C$6)&amp;"","")),",",""),"㎡",""),"m2","")),"")</f>
        <v/>
      </c>
      <c r="E471">
        <f>IF(설정!$C$7="","",IFERROR(INDEX('1.산군_붙여넣기'!$A$1:$AZ$1001,ROW(),설정!$C$7)&amp;"",""))</f>
        <v/>
      </c>
      <c r="F471">
        <f>IF(설정!$C$8="","",IFERROR(INDEX('1.산군_붙여넣기'!$A$1:$AZ$1001,ROW(),설정!$C$8)&amp;"",""))</f>
        <v/>
      </c>
      <c r="G471">
        <f>IF(설정!$C$9="","",IFERROR(INDEX('1.산군_붙여넣기'!$A$1:$AZ$1001,ROW(),설정!$C$9)&amp;"",""))</f>
        <v/>
      </c>
      <c r="H471">
        <f>IF(설정!$C$10="","",IFERROR(INDEX('1.산군_붙여넣기'!$A$1:$AZ$1001,ROW(),설정!$C$10)&amp;"",""))</f>
        <v/>
      </c>
      <c r="I471">
        <f>IF(설정!$C$11="","",IFERROR(INDEX('1.산군_붙여넣기'!$A$1:$AZ$1001,ROW(),설정!$C$11)&amp;"",""))</f>
        <v/>
      </c>
      <c r="J471">
        <f>IF(설정!$C$12="","",IFERROR(INDEX('1.산군_붙여넣기'!$A$1:$AZ$1001,ROW(),설정!$C$12)&amp;"",""))</f>
        <v/>
      </c>
      <c r="K471">
        <f>IF(설정!$C$13="","",IFERROR(INDEX('1.산군_붙여넣기'!$A$1:$AZ$1001,ROW(),설정!$C$13)&amp;"",""))</f>
        <v/>
      </c>
      <c r="L471" s="7">
        <f>IF(X471="","",IF(AND(LEN(X471)=8,ISNUMBER(X471*1)),DATE(LEFT(X471,4),MID(X471,5,2),RIGHT(X471,2)),IFERROR(DATEVALUE(SUBSTITUTE(SUBSTITUTE(X471,".","-"),"/","-")),IFERROR(X471*1,""))))</f>
        <v/>
      </c>
      <c r="M471" s="7">
        <f>IF(Y471="","",IF(AND(LEN(Y471)=8,ISNUMBER(Y471*1)),DATE(LEFT(Y471,4),MID(Y471,5,2),RIGHT(Y471,2)),IFERROR(DATEVALUE(SUBSTITUTE(SUBSTITUTE(Y471,".","-"),"/","-")),IFERROR(Y471*1,""))))</f>
        <v/>
      </c>
      <c r="N471">
        <f>IFERROR(LEFT(B471,FIND(" ",B471)-1),B471)</f>
        <v/>
      </c>
      <c r="O471">
        <f>AND(B471&lt;&gt;"",B471&lt;&gt;설정!$B$4,C471&lt;&gt;설정!$B$5)</f>
        <v/>
      </c>
      <c r="P471">
        <f>IF(O471,B471&amp;"|"&amp;C471,"")</f>
        <v/>
      </c>
      <c r="Q471">
        <f>AND(O471,COUNTIF(P472:P$1002,P471)=0)</f>
        <v/>
      </c>
      <c r="R471">
        <f>OR(AND(설정!$A$42&lt;&gt;"",ISNUMBER(SEARCH(설정!$A$42,E471&amp;" "&amp;C471))),AND(설정!$A$43&lt;&gt;"",ISNUMBER(SEARCH(설정!$A$43,E471&amp;" "&amp;C471))),AND(설정!$A$44&lt;&gt;"",ISNUMBER(SEARCH(설정!$A$44,E471&amp;" "&amp;C471))),AND(설정!$A$45&lt;&gt;"",ISNUMBER(SEARCH(설정!$A$45,E471&amp;" "&amp;C471))),AND(설정!$A$46&lt;&gt;"",ISNUMBER(SEARCH(설정!$A$46,E471&amp;" "&amp;C471))),AND(설정!$A$47&lt;&gt;"",ISNUMBER(SEARCH(설정!$A$47,E471&amp;" "&amp;C471))),AND(설정!$A$48&lt;&gt;"",ISNUMBER(SEARCH(설정!$A$48,E471&amp;" "&amp;C471))),AND(설정!$A$49&lt;&gt;"",ISNUMBER(SEARCH(설정!$A$49,E471&amp;" "&amp;C471))),AND(설정!$A$50&lt;&gt;"",ISNUMBER(SEARCH(설정!$A$50,E471&amp;" "&amp;C471))),AND(설정!$A$51&lt;&gt;"",ISNUMBER(SEARCH(설정!$A$51,E471&amp;" "&amp;C471))))</f>
        <v/>
      </c>
      <c r="S471">
        <f>OR(D471="",D471&gt;=설정!$B$19)</f>
        <v/>
      </c>
      <c r="T471">
        <f>AND(Q471,R471,S471)</f>
        <v/>
      </c>
      <c r="U471">
        <f>IF(T471,IF(AND(설정!$A$54&lt;&gt;"",ISNUMBER(SEARCH(설정!$A$54,K471))),설정!$B$54,IF(AND(설정!$A$55&lt;&gt;"",ISNUMBER(SEARCH(설정!$A$55,K471))),설정!$B$55,IF(AND(설정!$A$56&lt;&gt;"",ISNUMBER(SEARCH(설정!$A$56,K471))),설정!$B$56,IF(AND(설정!$A$57&lt;&gt;"",ISNUMBER(SEARCH(설정!$A$57,K471))),설정!$B$57,IF(AND(설정!$A$58&lt;&gt;"",ISNUMBER(SEARCH(설정!$A$58,K471))),설정!$B$58,IF(AND(설정!$A$59&lt;&gt;"",ISNUMBER(SEARCH(설정!$A$59,K471))),설정!$B$59,IF(AND(설정!$A$60&lt;&gt;"",ISNUMBER(SEARCH(설정!$A$60,K471))),설정!$B$60,IF(AND(설정!$A$61&lt;&gt;"",ISNUMBER(SEARCH(설정!$A$61,K471))),설정!$B$61,IF(M471="","설계사","시공사"))))))))),"")</f>
        <v/>
      </c>
      <c r="V471">
        <f>SUBSTITUTE(SUBSTITUTE(SUBSTITUTE(SUBSTITUTE(G471,"(주)",""),"㈜",""),"주식회사","")," ","")</f>
        <v/>
      </c>
      <c r="W471">
        <f>IF(AND(T471,V471&lt;&gt;""),IF(COUNTIFS(V$2:V471,V471,T$2:T471,TRUE)=1,MAX(W$1:W470)+1,""),"")</f>
        <v/>
      </c>
      <c r="X471">
        <f>IF(설정!$C$14="","",IFERROR(INDEX('1.산군_붙여넣기'!$A$1:$AZ$1001,ROW(),설정!$C$14)&amp;"",""))</f>
        <v/>
      </c>
      <c r="Y471">
        <f>IF(설정!$C$15="","",IFERROR(INDEX('1.산군_붙여넣기'!$A$1:$AZ$1001,ROW(),설정!$C$15)&amp;"",""))</f>
        <v/>
      </c>
      <c r="Z471">
        <f>IF(T471,V471&amp;"|"&amp;U471,"")</f>
        <v/>
      </c>
      <c r="AA471">
        <f>IF(NOT(Q471),"",IF(NOT(AND(R471,S471)),"✕",IF(OR(OR(AND(L471&lt;&gt;"",M471&lt;&gt;"",N(M471)-N(L471)&gt;설정!$B$27),AND(L471&lt;&gt;"",M471="",설정!$B$24-N(L471)&gt;설정!$B$27)),AND(D471&lt;&gt;"",D471&lt;설정!$B$26)),"△","★")))</f>
        <v/>
      </c>
      <c r="AB471">
        <f>IF(NOT(T471),"",IF(U471="설계사",설정!$B$31,IF(U471="시공사",IF(OR(M471="",설정!$B$24-N(M471)&lt;=설정!$B$28*30.4),설정!$B$32,설정!$B$33),설정!$B$34))+IF(AA471="★",설정!$B$35,0))</f>
        <v/>
      </c>
      <c r="AC471">
        <f>SUBSTITUTE(SUBSTITUTE(SUBSTITUTE(SUBSTITUTE(H471,"(주)",""),"㈜",""),"주식회사","")," ","")</f>
        <v/>
      </c>
      <c r="AD471">
        <f>IF(AND(T471,AC471&lt;&gt;""),IF(COUNTIFS(AC$2:AC471,AC471,T$2:T471,TRUE)=1,MAX(AD$1:AD470)+1,""),"")</f>
        <v/>
      </c>
    </row>
    <row r="472">
      <c r="A472">
        <f>ROW()</f>
        <v/>
      </c>
      <c r="B472">
        <f>IF(설정!$C$4="","",IFERROR(INDEX('1.산군_붙여넣기'!$A$1:$AZ$1001,ROW(),설정!$C$4)&amp;"",""))</f>
        <v/>
      </c>
      <c r="C472">
        <f>IF(설정!$C$5="","",IFERROR(INDEX('1.산군_붙여넣기'!$A$1:$AZ$1001,ROW(),설정!$C$5)&amp;"",""))</f>
        <v/>
      </c>
      <c r="D472" s="5">
        <f>IFERROR(VALUE(SUBSTITUTE(SUBSTITUTE(SUBSTITUTE(IF(설정!$C$6="","",IFERROR(INDEX('1.산군_붙여넣기'!$A$1:$AZ$1001,ROW(),설정!$C$6)&amp;"","")),",",""),"㎡",""),"m2","")),"")</f>
        <v/>
      </c>
      <c r="E472">
        <f>IF(설정!$C$7="","",IFERROR(INDEX('1.산군_붙여넣기'!$A$1:$AZ$1001,ROW(),설정!$C$7)&amp;"",""))</f>
        <v/>
      </c>
      <c r="F472">
        <f>IF(설정!$C$8="","",IFERROR(INDEX('1.산군_붙여넣기'!$A$1:$AZ$1001,ROW(),설정!$C$8)&amp;"",""))</f>
        <v/>
      </c>
      <c r="G472">
        <f>IF(설정!$C$9="","",IFERROR(INDEX('1.산군_붙여넣기'!$A$1:$AZ$1001,ROW(),설정!$C$9)&amp;"",""))</f>
        <v/>
      </c>
      <c r="H472">
        <f>IF(설정!$C$10="","",IFERROR(INDEX('1.산군_붙여넣기'!$A$1:$AZ$1001,ROW(),설정!$C$10)&amp;"",""))</f>
        <v/>
      </c>
      <c r="I472">
        <f>IF(설정!$C$11="","",IFERROR(INDEX('1.산군_붙여넣기'!$A$1:$AZ$1001,ROW(),설정!$C$11)&amp;"",""))</f>
        <v/>
      </c>
      <c r="J472">
        <f>IF(설정!$C$12="","",IFERROR(INDEX('1.산군_붙여넣기'!$A$1:$AZ$1001,ROW(),설정!$C$12)&amp;"",""))</f>
        <v/>
      </c>
      <c r="K472">
        <f>IF(설정!$C$13="","",IFERROR(INDEX('1.산군_붙여넣기'!$A$1:$AZ$1001,ROW(),설정!$C$13)&amp;"",""))</f>
        <v/>
      </c>
      <c r="L472" s="7">
        <f>IF(X472="","",IF(AND(LEN(X472)=8,ISNUMBER(X472*1)),DATE(LEFT(X472,4),MID(X472,5,2),RIGHT(X472,2)),IFERROR(DATEVALUE(SUBSTITUTE(SUBSTITUTE(X472,".","-"),"/","-")),IFERROR(X472*1,""))))</f>
        <v/>
      </c>
      <c r="M472" s="7">
        <f>IF(Y472="","",IF(AND(LEN(Y472)=8,ISNUMBER(Y472*1)),DATE(LEFT(Y472,4),MID(Y472,5,2),RIGHT(Y472,2)),IFERROR(DATEVALUE(SUBSTITUTE(SUBSTITUTE(Y472,".","-"),"/","-")),IFERROR(Y472*1,""))))</f>
        <v/>
      </c>
      <c r="N472">
        <f>IFERROR(LEFT(B472,FIND(" ",B472)-1),B472)</f>
        <v/>
      </c>
      <c r="O472">
        <f>AND(B472&lt;&gt;"",B472&lt;&gt;설정!$B$4,C472&lt;&gt;설정!$B$5)</f>
        <v/>
      </c>
      <c r="P472">
        <f>IF(O472,B472&amp;"|"&amp;C472,"")</f>
        <v/>
      </c>
      <c r="Q472">
        <f>AND(O472,COUNTIF(P473:P$1002,P472)=0)</f>
        <v/>
      </c>
      <c r="R472">
        <f>OR(AND(설정!$A$42&lt;&gt;"",ISNUMBER(SEARCH(설정!$A$42,E472&amp;" "&amp;C472))),AND(설정!$A$43&lt;&gt;"",ISNUMBER(SEARCH(설정!$A$43,E472&amp;" "&amp;C472))),AND(설정!$A$44&lt;&gt;"",ISNUMBER(SEARCH(설정!$A$44,E472&amp;" "&amp;C472))),AND(설정!$A$45&lt;&gt;"",ISNUMBER(SEARCH(설정!$A$45,E472&amp;" "&amp;C472))),AND(설정!$A$46&lt;&gt;"",ISNUMBER(SEARCH(설정!$A$46,E472&amp;" "&amp;C472))),AND(설정!$A$47&lt;&gt;"",ISNUMBER(SEARCH(설정!$A$47,E472&amp;" "&amp;C472))),AND(설정!$A$48&lt;&gt;"",ISNUMBER(SEARCH(설정!$A$48,E472&amp;" "&amp;C472))),AND(설정!$A$49&lt;&gt;"",ISNUMBER(SEARCH(설정!$A$49,E472&amp;" "&amp;C472))),AND(설정!$A$50&lt;&gt;"",ISNUMBER(SEARCH(설정!$A$50,E472&amp;" "&amp;C472))),AND(설정!$A$51&lt;&gt;"",ISNUMBER(SEARCH(설정!$A$51,E472&amp;" "&amp;C472))))</f>
        <v/>
      </c>
      <c r="S472">
        <f>OR(D472="",D472&gt;=설정!$B$19)</f>
        <v/>
      </c>
      <c r="T472">
        <f>AND(Q472,R472,S472)</f>
        <v/>
      </c>
      <c r="U472">
        <f>IF(T472,IF(AND(설정!$A$54&lt;&gt;"",ISNUMBER(SEARCH(설정!$A$54,K472))),설정!$B$54,IF(AND(설정!$A$55&lt;&gt;"",ISNUMBER(SEARCH(설정!$A$55,K472))),설정!$B$55,IF(AND(설정!$A$56&lt;&gt;"",ISNUMBER(SEARCH(설정!$A$56,K472))),설정!$B$56,IF(AND(설정!$A$57&lt;&gt;"",ISNUMBER(SEARCH(설정!$A$57,K472))),설정!$B$57,IF(AND(설정!$A$58&lt;&gt;"",ISNUMBER(SEARCH(설정!$A$58,K472))),설정!$B$58,IF(AND(설정!$A$59&lt;&gt;"",ISNUMBER(SEARCH(설정!$A$59,K472))),설정!$B$59,IF(AND(설정!$A$60&lt;&gt;"",ISNUMBER(SEARCH(설정!$A$60,K472))),설정!$B$60,IF(AND(설정!$A$61&lt;&gt;"",ISNUMBER(SEARCH(설정!$A$61,K472))),설정!$B$61,IF(M472="","설계사","시공사"))))))))),"")</f>
        <v/>
      </c>
      <c r="V472">
        <f>SUBSTITUTE(SUBSTITUTE(SUBSTITUTE(SUBSTITUTE(G472,"(주)",""),"㈜",""),"주식회사","")," ","")</f>
        <v/>
      </c>
      <c r="W472">
        <f>IF(AND(T472,V472&lt;&gt;""),IF(COUNTIFS(V$2:V472,V472,T$2:T472,TRUE)=1,MAX(W$1:W471)+1,""),"")</f>
        <v/>
      </c>
      <c r="X472">
        <f>IF(설정!$C$14="","",IFERROR(INDEX('1.산군_붙여넣기'!$A$1:$AZ$1001,ROW(),설정!$C$14)&amp;"",""))</f>
        <v/>
      </c>
      <c r="Y472">
        <f>IF(설정!$C$15="","",IFERROR(INDEX('1.산군_붙여넣기'!$A$1:$AZ$1001,ROW(),설정!$C$15)&amp;"",""))</f>
        <v/>
      </c>
      <c r="Z472">
        <f>IF(T472,V472&amp;"|"&amp;U472,"")</f>
        <v/>
      </c>
      <c r="AA472">
        <f>IF(NOT(Q472),"",IF(NOT(AND(R472,S472)),"✕",IF(OR(OR(AND(L472&lt;&gt;"",M472&lt;&gt;"",N(M472)-N(L472)&gt;설정!$B$27),AND(L472&lt;&gt;"",M472="",설정!$B$24-N(L472)&gt;설정!$B$27)),AND(D472&lt;&gt;"",D472&lt;설정!$B$26)),"△","★")))</f>
        <v/>
      </c>
      <c r="AB472">
        <f>IF(NOT(T472),"",IF(U472="설계사",설정!$B$31,IF(U472="시공사",IF(OR(M472="",설정!$B$24-N(M472)&lt;=설정!$B$28*30.4),설정!$B$32,설정!$B$33),설정!$B$34))+IF(AA472="★",설정!$B$35,0))</f>
        <v/>
      </c>
      <c r="AC472">
        <f>SUBSTITUTE(SUBSTITUTE(SUBSTITUTE(SUBSTITUTE(H472,"(주)",""),"㈜",""),"주식회사","")," ","")</f>
        <v/>
      </c>
      <c r="AD472">
        <f>IF(AND(T472,AC472&lt;&gt;""),IF(COUNTIFS(AC$2:AC472,AC472,T$2:T472,TRUE)=1,MAX(AD$1:AD471)+1,""),"")</f>
        <v/>
      </c>
    </row>
    <row r="473">
      <c r="A473">
        <f>ROW()</f>
        <v/>
      </c>
      <c r="B473">
        <f>IF(설정!$C$4="","",IFERROR(INDEX('1.산군_붙여넣기'!$A$1:$AZ$1001,ROW(),설정!$C$4)&amp;"",""))</f>
        <v/>
      </c>
      <c r="C473">
        <f>IF(설정!$C$5="","",IFERROR(INDEX('1.산군_붙여넣기'!$A$1:$AZ$1001,ROW(),설정!$C$5)&amp;"",""))</f>
        <v/>
      </c>
      <c r="D473" s="5">
        <f>IFERROR(VALUE(SUBSTITUTE(SUBSTITUTE(SUBSTITUTE(IF(설정!$C$6="","",IFERROR(INDEX('1.산군_붙여넣기'!$A$1:$AZ$1001,ROW(),설정!$C$6)&amp;"","")),",",""),"㎡",""),"m2","")),"")</f>
        <v/>
      </c>
      <c r="E473">
        <f>IF(설정!$C$7="","",IFERROR(INDEX('1.산군_붙여넣기'!$A$1:$AZ$1001,ROW(),설정!$C$7)&amp;"",""))</f>
        <v/>
      </c>
      <c r="F473">
        <f>IF(설정!$C$8="","",IFERROR(INDEX('1.산군_붙여넣기'!$A$1:$AZ$1001,ROW(),설정!$C$8)&amp;"",""))</f>
        <v/>
      </c>
      <c r="G473">
        <f>IF(설정!$C$9="","",IFERROR(INDEX('1.산군_붙여넣기'!$A$1:$AZ$1001,ROW(),설정!$C$9)&amp;"",""))</f>
        <v/>
      </c>
      <c r="H473">
        <f>IF(설정!$C$10="","",IFERROR(INDEX('1.산군_붙여넣기'!$A$1:$AZ$1001,ROW(),설정!$C$10)&amp;"",""))</f>
        <v/>
      </c>
      <c r="I473">
        <f>IF(설정!$C$11="","",IFERROR(INDEX('1.산군_붙여넣기'!$A$1:$AZ$1001,ROW(),설정!$C$11)&amp;"",""))</f>
        <v/>
      </c>
      <c r="J473">
        <f>IF(설정!$C$12="","",IFERROR(INDEX('1.산군_붙여넣기'!$A$1:$AZ$1001,ROW(),설정!$C$12)&amp;"",""))</f>
        <v/>
      </c>
      <c r="K473">
        <f>IF(설정!$C$13="","",IFERROR(INDEX('1.산군_붙여넣기'!$A$1:$AZ$1001,ROW(),설정!$C$13)&amp;"",""))</f>
        <v/>
      </c>
      <c r="L473" s="7">
        <f>IF(X473="","",IF(AND(LEN(X473)=8,ISNUMBER(X473*1)),DATE(LEFT(X473,4),MID(X473,5,2),RIGHT(X473,2)),IFERROR(DATEVALUE(SUBSTITUTE(SUBSTITUTE(X473,".","-"),"/","-")),IFERROR(X473*1,""))))</f>
        <v/>
      </c>
      <c r="M473" s="7">
        <f>IF(Y473="","",IF(AND(LEN(Y473)=8,ISNUMBER(Y473*1)),DATE(LEFT(Y473,4),MID(Y473,5,2),RIGHT(Y473,2)),IFERROR(DATEVALUE(SUBSTITUTE(SUBSTITUTE(Y473,".","-"),"/","-")),IFERROR(Y473*1,""))))</f>
        <v/>
      </c>
      <c r="N473">
        <f>IFERROR(LEFT(B473,FIND(" ",B473)-1),B473)</f>
        <v/>
      </c>
      <c r="O473">
        <f>AND(B473&lt;&gt;"",B473&lt;&gt;설정!$B$4,C473&lt;&gt;설정!$B$5)</f>
        <v/>
      </c>
      <c r="P473">
        <f>IF(O473,B473&amp;"|"&amp;C473,"")</f>
        <v/>
      </c>
      <c r="Q473">
        <f>AND(O473,COUNTIF(P474:P$1002,P473)=0)</f>
        <v/>
      </c>
      <c r="R473">
        <f>OR(AND(설정!$A$42&lt;&gt;"",ISNUMBER(SEARCH(설정!$A$42,E473&amp;" "&amp;C473))),AND(설정!$A$43&lt;&gt;"",ISNUMBER(SEARCH(설정!$A$43,E473&amp;" "&amp;C473))),AND(설정!$A$44&lt;&gt;"",ISNUMBER(SEARCH(설정!$A$44,E473&amp;" "&amp;C473))),AND(설정!$A$45&lt;&gt;"",ISNUMBER(SEARCH(설정!$A$45,E473&amp;" "&amp;C473))),AND(설정!$A$46&lt;&gt;"",ISNUMBER(SEARCH(설정!$A$46,E473&amp;" "&amp;C473))),AND(설정!$A$47&lt;&gt;"",ISNUMBER(SEARCH(설정!$A$47,E473&amp;" "&amp;C473))),AND(설정!$A$48&lt;&gt;"",ISNUMBER(SEARCH(설정!$A$48,E473&amp;" "&amp;C473))),AND(설정!$A$49&lt;&gt;"",ISNUMBER(SEARCH(설정!$A$49,E473&amp;" "&amp;C473))),AND(설정!$A$50&lt;&gt;"",ISNUMBER(SEARCH(설정!$A$50,E473&amp;" "&amp;C473))),AND(설정!$A$51&lt;&gt;"",ISNUMBER(SEARCH(설정!$A$51,E473&amp;" "&amp;C473))))</f>
        <v/>
      </c>
      <c r="S473">
        <f>OR(D473="",D473&gt;=설정!$B$19)</f>
        <v/>
      </c>
      <c r="T473">
        <f>AND(Q473,R473,S473)</f>
        <v/>
      </c>
      <c r="U473">
        <f>IF(T473,IF(AND(설정!$A$54&lt;&gt;"",ISNUMBER(SEARCH(설정!$A$54,K473))),설정!$B$54,IF(AND(설정!$A$55&lt;&gt;"",ISNUMBER(SEARCH(설정!$A$55,K473))),설정!$B$55,IF(AND(설정!$A$56&lt;&gt;"",ISNUMBER(SEARCH(설정!$A$56,K473))),설정!$B$56,IF(AND(설정!$A$57&lt;&gt;"",ISNUMBER(SEARCH(설정!$A$57,K473))),설정!$B$57,IF(AND(설정!$A$58&lt;&gt;"",ISNUMBER(SEARCH(설정!$A$58,K473))),설정!$B$58,IF(AND(설정!$A$59&lt;&gt;"",ISNUMBER(SEARCH(설정!$A$59,K473))),설정!$B$59,IF(AND(설정!$A$60&lt;&gt;"",ISNUMBER(SEARCH(설정!$A$60,K473))),설정!$B$60,IF(AND(설정!$A$61&lt;&gt;"",ISNUMBER(SEARCH(설정!$A$61,K473))),설정!$B$61,IF(M473="","설계사","시공사"))))))))),"")</f>
        <v/>
      </c>
      <c r="V473">
        <f>SUBSTITUTE(SUBSTITUTE(SUBSTITUTE(SUBSTITUTE(G473,"(주)",""),"㈜",""),"주식회사","")," ","")</f>
        <v/>
      </c>
      <c r="W473">
        <f>IF(AND(T473,V473&lt;&gt;""),IF(COUNTIFS(V$2:V473,V473,T$2:T473,TRUE)=1,MAX(W$1:W472)+1,""),"")</f>
        <v/>
      </c>
      <c r="X473">
        <f>IF(설정!$C$14="","",IFERROR(INDEX('1.산군_붙여넣기'!$A$1:$AZ$1001,ROW(),설정!$C$14)&amp;"",""))</f>
        <v/>
      </c>
      <c r="Y473">
        <f>IF(설정!$C$15="","",IFERROR(INDEX('1.산군_붙여넣기'!$A$1:$AZ$1001,ROW(),설정!$C$15)&amp;"",""))</f>
        <v/>
      </c>
      <c r="Z473">
        <f>IF(T473,V473&amp;"|"&amp;U473,"")</f>
        <v/>
      </c>
      <c r="AA473">
        <f>IF(NOT(Q473),"",IF(NOT(AND(R473,S473)),"✕",IF(OR(OR(AND(L473&lt;&gt;"",M473&lt;&gt;"",N(M473)-N(L473)&gt;설정!$B$27),AND(L473&lt;&gt;"",M473="",설정!$B$24-N(L473)&gt;설정!$B$27)),AND(D473&lt;&gt;"",D473&lt;설정!$B$26)),"△","★")))</f>
        <v/>
      </c>
      <c r="AB473">
        <f>IF(NOT(T473),"",IF(U473="설계사",설정!$B$31,IF(U473="시공사",IF(OR(M473="",설정!$B$24-N(M473)&lt;=설정!$B$28*30.4),설정!$B$32,설정!$B$33),설정!$B$34))+IF(AA473="★",설정!$B$35,0))</f>
        <v/>
      </c>
      <c r="AC473">
        <f>SUBSTITUTE(SUBSTITUTE(SUBSTITUTE(SUBSTITUTE(H473,"(주)",""),"㈜",""),"주식회사","")," ","")</f>
        <v/>
      </c>
      <c r="AD473">
        <f>IF(AND(T473,AC473&lt;&gt;""),IF(COUNTIFS(AC$2:AC473,AC473,T$2:T473,TRUE)=1,MAX(AD$1:AD472)+1,""),"")</f>
        <v/>
      </c>
    </row>
    <row r="474">
      <c r="A474">
        <f>ROW()</f>
        <v/>
      </c>
      <c r="B474">
        <f>IF(설정!$C$4="","",IFERROR(INDEX('1.산군_붙여넣기'!$A$1:$AZ$1001,ROW(),설정!$C$4)&amp;"",""))</f>
        <v/>
      </c>
      <c r="C474">
        <f>IF(설정!$C$5="","",IFERROR(INDEX('1.산군_붙여넣기'!$A$1:$AZ$1001,ROW(),설정!$C$5)&amp;"",""))</f>
        <v/>
      </c>
      <c r="D474" s="5">
        <f>IFERROR(VALUE(SUBSTITUTE(SUBSTITUTE(SUBSTITUTE(IF(설정!$C$6="","",IFERROR(INDEX('1.산군_붙여넣기'!$A$1:$AZ$1001,ROW(),설정!$C$6)&amp;"","")),",",""),"㎡",""),"m2","")),"")</f>
        <v/>
      </c>
      <c r="E474">
        <f>IF(설정!$C$7="","",IFERROR(INDEX('1.산군_붙여넣기'!$A$1:$AZ$1001,ROW(),설정!$C$7)&amp;"",""))</f>
        <v/>
      </c>
      <c r="F474">
        <f>IF(설정!$C$8="","",IFERROR(INDEX('1.산군_붙여넣기'!$A$1:$AZ$1001,ROW(),설정!$C$8)&amp;"",""))</f>
        <v/>
      </c>
      <c r="G474">
        <f>IF(설정!$C$9="","",IFERROR(INDEX('1.산군_붙여넣기'!$A$1:$AZ$1001,ROW(),설정!$C$9)&amp;"",""))</f>
        <v/>
      </c>
      <c r="H474">
        <f>IF(설정!$C$10="","",IFERROR(INDEX('1.산군_붙여넣기'!$A$1:$AZ$1001,ROW(),설정!$C$10)&amp;"",""))</f>
        <v/>
      </c>
      <c r="I474">
        <f>IF(설정!$C$11="","",IFERROR(INDEX('1.산군_붙여넣기'!$A$1:$AZ$1001,ROW(),설정!$C$11)&amp;"",""))</f>
        <v/>
      </c>
      <c r="J474">
        <f>IF(설정!$C$12="","",IFERROR(INDEX('1.산군_붙여넣기'!$A$1:$AZ$1001,ROW(),설정!$C$12)&amp;"",""))</f>
        <v/>
      </c>
      <c r="K474">
        <f>IF(설정!$C$13="","",IFERROR(INDEX('1.산군_붙여넣기'!$A$1:$AZ$1001,ROW(),설정!$C$13)&amp;"",""))</f>
        <v/>
      </c>
      <c r="L474" s="7">
        <f>IF(X474="","",IF(AND(LEN(X474)=8,ISNUMBER(X474*1)),DATE(LEFT(X474,4),MID(X474,5,2),RIGHT(X474,2)),IFERROR(DATEVALUE(SUBSTITUTE(SUBSTITUTE(X474,".","-"),"/","-")),IFERROR(X474*1,""))))</f>
        <v/>
      </c>
      <c r="M474" s="7">
        <f>IF(Y474="","",IF(AND(LEN(Y474)=8,ISNUMBER(Y474*1)),DATE(LEFT(Y474,4),MID(Y474,5,2),RIGHT(Y474,2)),IFERROR(DATEVALUE(SUBSTITUTE(SUBSTITUTE(Y474,".","-"),"/","-")),IFERROR(Y474*1,""))))</f>
        <v/>
      </c>
      <c r="N474">
        <f>IFERROR(LEFT(B474,FIND(" ",B474)-1),B474)</f>
        <v/>
      </c>
      <c r="O474">
        <f>AND(B474&lt;&gt;"",B474&lt;&gt;설정!$B$4,C474&lt;&gt;설정!$B$5)</f>
        <v/>
      </c>
      <c r="P474">
        <f>IF(O474,B474&amp;"|"&amp;C474,"")</f>
        <v/>
      </c>
      <c r="Q474">
        <f>AND(O474,COUNTIF(P475:P$1002,P474)=0)</f>
        <v/>
      </c>
      <c r="R474">
        <f>OR(AND(설정!$A$42&lt;&gt;"",ISNUMBER(SEARCH(설정!$A$42,E474&amp;" "&amp;C474))),AND(설정!$A$43&lt;&gt;"",ISNUMBER(SEARCH(설정!$A$43,E474&amp;" "&amp;C474))),AND(설정!$A$44&lt;&gt;"",ISNUMBER(SEARCH(설정!$A$44,E474&amp;" "&amp;C474))),AND(설정!$A$45&lt;&gt;"",ISNUMBER(SEARCH(설정!$A$45,E474&amp;" "&amp;C474))),AND(설정!$A$46&lt;&gt;"",ISNUMBER(SEARCH(설정!$A$46,E474&amp;" "&amp;C474))),AND(설정!$A$47&lt;&gt;"",ISNUMBER(SEARCH(설정!$A$47,E474&amp;" "&amp;C474))),AND(설정!$A$48&lt;&gt;"",ISNUMBER(SEARCH(설정!$A$48,E474&amp;" "&amp;C474))),AND(설정!$A$49&lt;&gt;"",ISNUMBER(SEARCH(설정!$A$49,E474&amp;" "&amp;C474))),AND(설정!$A$50&lt;&gt;"",ISNUMBER(SEARCH(설정!$A$50,E474&amp;" "&amp;C474))),AND(설정!$A$51&lt;&gt;"",ISNUMBER(SEARCH(설정!$A$51,E474&amp;" "&amp;C474))))</f>
        <v/>
      </c>
      <c r="S474">
        <f>OR(D474="",D474&gt;=설정!$B$19)</f>
        <v/>
      </c>
      <c r="T474">
        <f>AND(Q474,R474,S474)</f>
        <v/>
      </c>
      <c r="U474">
        <f>IF(T474,IF(AND(설정!$A$54&lt;&gt;"",ISNUMBER(SEARCH(설정!$A$54,K474))),설정!$B$54,IF(AND(설정!$A$55&lt;&gt;"",ISNUMBER(SEARCH(설정!$A$55,K474))),설정!$B$55,IF(AND(설정!$A$56&lt;&gt;"",ISNUMBER(SEARCH(설정!$A$56,K474))),설정!$B$56,IF(AND(설정!$A$57&lt;&gt;"",ISNUMBER(SEARCH(설정!$A$57,K474))),설정!$B$57,IF(AND(설정!$A$58&lt;&gt;"",ISNUMBER(SEARCH(설정!$A$58,K474))),설정!$B$58,IF(AND(설정!$A$59&lt;&gt;"",ISNUMBER(SEARCH(설정!$A$59,K474))),설정!$B$59,IF(AND(설정!$A$60&lt;&gt;"",ISNUMBER(SEARCH(설정!$A$60,K474))),설정!$B$60,IF(AND(설정!$A$61&lt;&gt;"",ISNUMBER(SEARCH(설정!$A$61,K474))),설정!$B$61,IF(M474="","설계사","시공사"))))))))),"")</f>
        <v/>
      </c>
      <c r="V474">
        <f>SUBSTITUTE(SUBSTITUTE(SUBSTITUTE(SUBSTITUTE(G474,"(주)",""),"㈜",""),"주식회사","")," ","")</f>
        <v/>
      </c>
      <c r="W474">
        <f>IF(AND(T474,V474&lt;&gt;""),IF(COUNTIFS(V$2:V474,V474,T$2:T474,TRUE)=1,MAX(W$1:W473)+1,""),"")</f>
        <v/>
      </c>
      <c r="X474">
        <f>IF(설정!$C$14="","",IFERROR(INDEX('1.산군_붙여넣기'!$A$1:$AZ$1001,ROW(),설정!$C$14)&amp;"",""))</f>
        <v/>
      </c>
      <c r="Y474">
        <f>IF(설정!$C$15="","",IFERROR(INDEX('1.산군_붙여넣기'!$A$1:$AZ$1001,ROW(),설정!$C$15)&amp;"",""))</f>
        <v/>
      </c>
      <c r="Z474">
        <f>IF(T474,V474&amp;"|"&amp;U474,"")</f>
        <v/>
      </c>
      <c r="AA474">
        <f>IF(NOT(Q474),"",IF(NOT(AND(R474,S474)),"✕",IF(OR(OR(AND(L474&lt;&gt;"",M474&lt;&gt;"",N(M474)-N(L474)&gt;설정!$B$27),AND(L474&lt;&gt;"",M474="",설정!$B$24-N(L474)&gt;설정!$B$27)),AND(D474&lt;&gt;"",D474&lt;설정!$B$26)),"△","★")))</f>
        <v/>
      </c>
      <c r="AB474">
        <f>IF(NOT(T474),"",IF(U474="설계사",설정!$B$31,IF(U474="시공사",IF(OR(M474="",설정!$B$24-N(M474)&lt;=설정!$B$28*30.4),설정!$B$32,설정!$B$33),설정!$B$34))+IF(AA474="★",설정!$B$35,0))</f>
        <v/>
      </c>
      <c r="AC474">
        <f>SUBSTITUTE(SUBSTITUTE(SUBSTITUTE(SUBSTITUTE(H474,"(주)",""),"㈜",""),"주식회사","")," ","")</f>
        <v/>
      </c>
      <c r="AD474">
        <f>IF(AND(T474,AC474&lt;&gt;""),IF(COUNTIFS(AC$2:AC474,AC474,T$2:T474,TRUE)=1,MAX(AD$1:AD473)+1,""),"")</f>
        <v/>
      </c>
    </row>
    <row r="475">
      <c r="A475">
        <f>ROW()</f>
        <v/>
      </c>
      <c r="B475">
        <f>IF(설정!$C$4="","",IFERROR(INDEX('1.산군_붙여넣기'!$A$1:$AZ$1001,ROW(),설정!$C$4)&amp;"",""))</f>
        <v/>
      </c>
      <c r="C475">
        <f>IF(설정!$C$5="","",IFERROR(INDEX('1.산군_붙여넣기'!$A$1:$AZ$1001,ROW(),설정!$C$5)&amp;"",""))</f>
        <v/>
      </c>
      <c r="D475" s="5">
        <f>IFERROR(VALUE(SUBSTITUTE(SUBSTITUTE(SUBSTITUTE(IF(설정!$C$6="","",IFERROR(INDEX('1.산군_붙여넣기'!$A$1:$AZ$1001,ROW(),설정!$C$6)&amp;"","")),",",""),"㎡",""),"m2","")),"")</f>
        <v/>
      </c>
      <c r="E475">
        <f>IF(설정!$C$7="","",IFERROR(INDEX('1.산군_붙여넣기'!$A$1:$AZ$1001,ROW(),설정!$C$7)&amp;"",""))</f>
        <v/>
      </c>
      <c r="F475">
        <f>IF(설정!$C$8="","",IFERROR(INDEX('1.산군_붙여넣기'!$A$1:$AZ$1001,ROW(),설정!$C$8)&amp;"",""))</f>
        <v/>
      </c>
      <c r="G475">
        <f>IF(설정!$C$9="","",IFERROR(INDEX('1.산군_붙여넣기'!$A$1:$AZ$1001,ROW(),설정!$C$9)&amp;"",""))</f>
        <v/>
      </c>
      <c r="H475">
        <f>IF(설정!$C$10="","",IFERROR(INDEX('1.산군_붙여넣기'!$A$1:$AZ$1001,ROW(),설정!$C$10)&amp;"",""))</f>
        <v/>
      </c>
      <c r="I475">
        <f>IF(설정!$C$11="","",IFERROR(INDEX('1.산군_붙여넣기'!$A$1:$AZ$1001,ROW(),설정!$C$11)&amp;"",""))</f>
        <v/>
      </c>
      <c r="J475">
        <f>IF(설정!$C$12="","",IFERROR(INDEX('1.산군_붙여넣기'!$A$1:$AZ$1001,ROW(),설정!$C$12)&amp;"",""))</f>
        <v/>
      </c>
      <c r="K475">
        <f>IF(설정!$C$13="","",IFERROR(INDEX('1.산군_붙여넣기'!$A$1:$AZ$1001,ROW(),설정!$C$13)&amp;"",""))</f>
        <v/>
      </c>
      <c r="L475" s="7">
        <f>IF(X475="","",IF(AND(LEN(X475)=8,ISNUMBER(X475*1)),DATE(LEFT(X475,4),MID(X475,5,2),RIGHT(X475,2)),IFERROR(DATEVALUE(SUBSTITUTE(SUBSTITUTE(X475,".","-"),"/","-")),IFERROR(X475*1,""))))</f>
        <v/>
      </c>
      <c r="M475" s="7">
        <f>IF(Y475="","",IF(AND(LEN(Y475)=8,ISNUMBER(Y475*1)),DATE(LEFT(Y475,4),MID(Y475,5,2),RIGHT(Y475,2)),IFERROR(DATEVALUE(SUBSTITUTE(SUBSTITUTE(Y475,".","-"),"/","-")),IFERROR(Y475*1,""))))</f>
        <v/>
      </c>
      <c r="N475">
        <f>IFERROR(LEFT(B475,FIND(" ",B475)-1),B475)</f>
        <v/>
      </c>
      <c r="O475">
        <f>AND(B475&lt;&gt;"",B475&lt;&gt;설정!$B$4,C475&lt;&gt;설정!$B$5)</f>
        <v/>
      </c>
      <c r="P475">
        <f>IF(O475,B475&amp;"|"&amp;C475,"")</f>
        <v/>
      </c>
      <c r="Q475">
        <f>AND(O475,COUNTIF(P476:P$1002,P475)=0)</f>
        <v/>
      </c>
      <c r="R475">
        <f>OR(AND(설정!$A$42&lt;&gt;"",ISNUMBER(SEARCH(설정!$A$42,E475&amp;" "&amp;C475))),AND(설정!$A$43&lt;&gt;"",ISNUMBER(SEARCH(설정!$A$43,E475&amp;" "&amp;C475))),AND(설정!$A$44&lt;&gt;"",ISNUMBER(SEARCH(설정!$A$44,E475&amp;" "&amp;C475))),AND(설정!$A$45&lt;&gt;"",ISNUMBER(SEARCH(설정!$A$45,E475&amp;" "&amp;C475))),AND(설정!$A$46&lt;&gt;"",ISNUMBER(SEARCH(설정!$A$46,E475&amp;" "&amp;C475))),AND(설정!$A$47&lt;&gt;"",ISNUMBER(SEARCH(설정!$A$47,E475&amp;" "&amp;C475))),AND(설정!$A$48&lt;&gt;"",ISNUMBER(SEARCH(설정!$A$48,E475&amp;" "&amp;C475))),AND(설정!$A$49&lt;&gt;"",ISNUMBER(SEARCH(설정!$A$49,E475&amp;" "&amp;C475))),AND(설정!$A$50&lt;&gt;"",ISNUMBER(SEARCH(설정!$A$50,E475&amp;" "&amp;C475))),AND(설정!$A$51&lt;&gt;"",ISNUMBER(SEARCH(설정!$A$51,E475&amp;" "&amp;C475))))</f>
        <v/>
      </c>
      <c r="S475">
        <f>OR(D475="",D475&gt;=설정!$B$19)</f>
        <v/>
      </c>
      <c r="T475">
        <f>AND(Q475,R475,S475)</f>
        <v/>
      </c>
      <c r="U475">
        <f>IF(T475,IF(AND(설정!$A$54&lt;&gt;"",ISNUMBER(SEARCH(설정!$A$54,K475))),설정!$B$54,IF(AND(설정!$A$55&lt;&gt;"",ISNUMBER(SEARCH(설정!$A$55,K475))),설정!$B$55,IF(AND(설정!$A$56&lt;&gt;"",ISNUMBER(SEARCH(설정!$A$56,K475))),설정!$B$56,IF(AND(설정!$A$57&lt;&gt;"",ISNUMBER(SEARCH(설정!$A$57,K475))),설정!$B$57,IF(AND(설정!$A$58&lt;&gt;"",ISNUMBER(SEARCH(설정!$A$58,K475))),설정!$B$58,IF(AND(설정!$A$59&lt;&gt;"",ISNUMBER(SEARCH(설정!$A$59,K475))),설정!$B$59,IF(AND(설정!$A$60&lt;&gt;"",ISNUMBER(SEARCH(설정!$A$60,K475))),설정!$B$60,IF(AND(설정!$A$61&lt;&gt;"",ISNUMBER(SEARCH(설정!$A$61,K475))),설정!$B$61,IF(M475="","설계사","시공사"))))))))),"")</f>
        <v/>
      </c>
      <c r="V475">
        <f>SUBSTITUTE(SUBSTITUTE(SUBSTITUTE(SUBSTITUTE(G475,"(주)",""),"㈜",""),"주식회사","")," ","")</f>
        <v/>
      </c>
      <c r="W475">
        <f>IF(AND(T475,V475&lt;&gt;""),IF(COUNTIFS(V$2:V475,V475,T$2:T475,TRUE)=1,MAX(W$1:W474)+1,""),"")</f>
        <v/>
      </c>
      <c r="X475">
        <f>IF(설정!$C$14="","",IFERROR(INDEX('1.산군_붙여넣기'!$A$1:$AZ$1001,ROW(),설정!$C$14)&amp;"",""))</f>
        <v/>
      </c>
      <c r="Y475">
        <f>IF(설정!$C$15="","",IFERROR(INDEX('1.산군_붙여넣기'!$A$1:$AZ$1001,ROW(),설정!$C$15)&amp;"",""))</f>
        <v/>
      </c>
      <c r="Z475">
        <f>IF(T475,V475&amp;"|"&amp;U475,"")</f>
        <v/>
      </c>
      <c r="AA475">
        <f>IF(NOT(Q475),"",IF(NOT(AND(R475,S475)),"✕",IF(OR(OR(AND(L475&lt;&gt;"",M475&lt;&gt;"",N(M475)-N(L475)&gt;설정!$B$27),AND(L475&lt;&gt;"",M475="",설정!$B$24-N(L475)&gt;설정!$B$27)),AND(D475&lt;&gt;"",D475&lt;설정!$B$26)),"△","★")))</f>
        <v/>
      </c>
      <c r="AB475">
        <f>IF(NOT(T475),"",IF(U475="설계사",설정!$B$31,IF(U475="시공사",IF(OR(M475="",설정!$B$24-N(M475)&lt;=설정!$B$28*30.4),설정!$B$32,설정!$B$33),설정!$B$34))+IF(AA475="★",설정!$B$35,0))</f>
        <v/>
      </c>
      <c r="AC475">
        <f>SUBSTITUTE(SUBSTITUTE(SUBSTITUTE(SUBSTITUTE(H475,"(주)",""),"㈜",""),"주식회사","")," ","")</f>
        <v/>
      </c>
      <c r="AD475">
        <f>IF(AND(T475,AC475&lt;&gt;""),IF(COUNTIFS(AC$2:AC475,AC475,T$2:T475,TRUE)=1,MAX(AD$1:AD474)+1,""),"")</f>
        <v/>
      </c>
    </row>
    <row r="476">
      <c r="A476">
        <f>ROW()</f>
        <v/>
      </c>
      <c r="B476">
        <f>IF(설정!$C$4="","",IFERROR(INDEX('1.산군_붙여넣기'!$A$1:$AZ$1001,ROW(),설정!$C$4)&amp;"",""))</f>
        <v/>
      </c>
      <c r="C476">
        <f>IF(설정!$C$5="","",IFERROR(INDEX('1.산군_붙여넣기'!$A$1:$AZ$1001,ROW(),설정!$C$5)&amp;"",""))</f>
        <v/>
      </c>
      <c r="D476" s="5">
        <f>IFERROR(VALUE(SUBSTITUTE(SUBSTITUTE(SUBSTITUTE(IF(설정!$C$6="","",IFERROR(INDEX('1.산군_붙여넣기'!$A$1:$AZ$1001,ROW(),설정!$C$6)&amp;"","")),",",""),"㎡",""),"m2","")),"")</f>
        <v/>
      </c>
      <c r="E476">
        <f>IF(설정!$C$7="","",IFERROR(INDEX('1.산군_붙여넣기'!$A$1:$AZ$1001,ROW(),설정!$C$7)&amp;"",""))</f>
        <v/>
      </c>
      <c r="F476">
        <f>IF(설정!$C$8="","",IFERROR(INDEX('1.산군_붙여넣기'!$A$1:$AZ$1001,ROW(),설정!$C$8)&amp;"",""))</f>
        <v/>
      </c>
      <c r="G476">
        <f>IF(설정!$C$9="","",IFERROR(INDEX('1.산군_붙여넣기'!$A$1:$AZ$1001,ROW(),설정!$C$9)&amp;"",""))</f>
        <v/>
      </c>
      <c r="H476">
        <f>IF(설정!$C$10="","",IFERROR(INDEX('1.산군_붙여넣기'!$A$1:$AZ$1001,ROW(),설정!$C$10)&amp;"",""))</f>
        <v/>
      </c>
      <c r="I476">
        <f>IF(설정!$C$11="","",IFERROR(INDEX('1.산군_붙여넣기'!$A$1:$AZ$1001,ROW(),설정!$C$11)&amp;"",""))</f>
        <v/>
      </c>
      <c r="J476">
        <f>IF(설정!$C$12="","",IFERROR(INDEX('1.산군_붙여넣기'!$A$1:$AZ$1001,ROW(),설정!$C$12)&amp;"",""))</f>
        <v/>
      </c>
      <c r="K476">
        <f>IF(설정!$C$13="","",IFERROR(INDEX('1.산군_붙여넣기'!$A$1:$AZ$1001,ROW(),설정!$C$13)&amp;"",""))</f>
        <v/>
      </c>
      <c r="L476" s="7">
        <f>IF(X476="","",IF(AND(LEN(X476)=8,ISNUMBER(X476*1)),DATE(LEFT(X476,4),MID(X476,5,2),RIGHT(X476,2)),IFERROR(DATEVALUE(SUBSTITUTE(SUBSTITUTE(X476,".","-"),"/","-")),IFERROR(X476*1,""))))</f>
        <v/>
      </c>
      <c r="M476" s="7">
        <f>IF(Y476="","",IF(AND(LEN(Y476)=8,ISNUMBER(Y476*1)),DATE(LEFT(Y476,4),MID(Y476,5,2),RIGHT(Y476,2)),IFERROR(DATEVALUE(SUBSTITUTE(SUBSTITUTE(Y476,".","-"),"/","-")),IFERROR(Y476*1,""))))</f>
        <v/>
      </c>
      <c r="N476">
        <f>IFERROR(LEFT(B476,FIND(" ",B476)-1),B476)</f>
        <v/>
      </c>
      <c r="O476">
        <f>AND(B476&lt;&gt;"",B476&lt;&gt;설정!$B$4,C476&lt;&gt;설정!$B$5)</f>
        <v/>
      </c>
      <c r="P476">
        <f>IF(O476,B476&amp;"|"&amp;C476,"")</f>
        <v/>
      </c>
      <c r="Q476">
        <f>AND(O476,COUNTIF(P477:P$1002,P476)=0)</f>
        <v/>
      </c>
      <c r="R476">
        <f>OR(AND(설정!$A$42&lt;&gt;"",ISNUMBER(SEARCH(설정!$A$42,E476&amp;" "&amp;C476))),AND(설정!$A$43&lt;&gt;"",ISNUMBER(SEARCH(설정!$A$43,E476&amp;" "&amp;C476))),AND(설정!$A$44&lt;&gt;"",ISNUMBER(SEARCH(설정!$A$44,E476&amp;" "&amp;C476))),AND(설정!$A$45&lt;&gt;"",ISNUMBER(SEARCH(설정!$A$45,E476&amp;" "&amp;C476))),AND(설정!$A$46&lt;&gt;"",ISNUMBER(SEARCH(설정!$A$46,E476&amp;" "&amp;C476))),AND(설정!$A$47&lt;&gt;"",ISNUMBER(SEARCH(설정!$A$47,E476&amp;" "&amp;C476))),AND(설정!$A$48&lt;&gt;"",ISNUMBER(SEARCH(설정!$A$48,E476&amp;" "&amp;C476))),AND(설정!$A$49&lt;&gt;"",ISNUMBER(SEARCH(설정!$A$49,E476&amp;" "&amp;C476))),AND(설정!$A$50&lt;&gt;"",ISNUMBER(SEARCH(설정!$A$50,E476&amp;" "&amp;C476))),AND(설정!$A$51&lt;&gt;"",ISNUMBER(SEARCH(설정!$A$51,E476&amp;" "&amp;C476))))</f>
        <v/>
      </c>
      <c r="S476">
        <f>OR(D476="",D476&gt;=설정!$B$19)</f>
        <v/>
      </c>
      <c r="T476">
        <f>AND(Q476,R476,S476)</f>
        <v/>
      </c>
      <c r="U476">
        <f>IF(T476,IF(AND(설정!$A$54&lt;&gt;"",ISNUMBER(SEARCH(설정!$A$54,K476))),설정!$B$54,IF(AND(설정!$A$55&lt;&gt;"",ISNUMBER(SEARCH(설정!$A$55,K476))),설정!$B$55,IF(AND(설정!$A$56&lt;&gt;"",ISNUMBER(SEARCH(설정!$A$56,K476))),설정!$B$56,IF(AND(설정!$A$57&lt;&gt;"",ISNUMBER(SEARCH(설정!$A$57,K476))),설정!$B$57,IF(AND(설정!$A$58&lt;&gt;"",ISNUMBER(SEARCH(설정!$A$58,K476))),설정!$B$58,IF(AND(설정!$A$59&lt;&gt;"",ISNUMBER(SEARCH(설정!$A$59,K476))),설정!$B$59,IF(AND(설정!$A$60&lt;&gt;"",ISNUMBER(SEARCH(설정!$A$60,K476))),설정!$B$60,IF(AND(설정!$A$61&lt;&gt;"",ISNUMBER(SEARCH(설정!$A$61,K476))),설정!$B$61,IF(M476="","설계사","시공사"))))))))),"")</f>
        <v/>
      </c>
      <c r="V476">
        <f>SUBSTITUTE(SUBSTITUTE(SUBSTITUTE(SUBSTITUTE(G476,"(주)",""),"㈜",""),"주식회사","")," ","")</f>
        <v/>
      </c>
      <c r="W476">
        <f>IF(AND(T476,V476&lt;&gt;""),IF(COUNTIFS(V$2:V476,V476,T$2:T476,TRUE)=1,MAX(W$1:W475)+1,""),"")</f>
        <v/>
      </c>
      <c r="X476">
        <f>IF(설정!$C$14="","",IFERROR(INDEX('1.산군_붙여넣기'!$A$1:$AZ$1001,ROW(),설정!$C$14)&amp;"",""))</f>
        <v/>
      </c>
      <c r="Y476">
        <f>IF(설정!$C$15="","",IFERROR(INDEX('1.산군_붙여넣기'!$A$1:$AZ$1001,ROW(),설정!$C$15)&amp;"",""))</f>
        <v/>
      </c>
      <c r="Z476">
        <f>IF(T476,V476&amp;"|"&amp;U476,"")</f>
        <v/>
      </c>
      <c r="AA476">
        <f>IF(NOT(Q476),"",IF(NOT(AND(R476,S476)),"✕",IF(OR(OR(AND(L476&lt;&gt;"",M476&lt;&gt;"",N(M476)-N(L476)&gt;설정!$B$27),AND(L476&lt;&gt;"",M476="",설정!$B$24-N(L476)&gt;설정!$B$27)),AND(D476&lt;&gt;"",D476&lt;설정!$B$26)),"△","★")))</f>
        <v/>
      </c>
      <c r="AB476">
        <f>IF(NOT(T476),"",IF(U476="설계사",설정!$B$31,IF(U476="시공사",IF(OR(M476="",설정!$B$24-N(M476)&lt;=설정!$B$28*30.4),설정!$B$32,설정!$B$33),설정!$B$34))+IF(AA476="★",설정!$B$35,0))</f>
        <v/>
      </c>
      <c r="AC476">
        <f>SUBSTITUTE(SUBSTITUTE(SUBSTITUTE(SUBSTITUTE(H476,"(주)",""),"㈜",""),"주식회사","")," ","")</f>
        <v/>
      </c>
      <c r="AD476">
        <f>IF(AND(T476,AC476&lt;&gt;""),IF(COUNTIFS(AC$2:AC476,AC476,T$2:T476,TRUE)=1,MAX(AD$1:AD475)+1,""),"")</f>
        <v/>
      </c>
    </row>
    <row r="477">
      <c r="A477">
        <f>ROW()</f>
        <v/>
      </c>
      <c r="B477">
        <f>IF(설정!$C$4="","",IFERROR(INDEX('1.산군_붙여넣기'!$A$1:$AZ$1001,ROW(),설정!$C$4)&amp;"",""))</f>
        <v/>
      </c>
      <c r="C477">
        <f>IF(설정!$C$5="","",IFERROR(INDEX('1.산군_붙여넣기'!$A$1:$AZ$1001,ROW(),설정!$C$5)&amp;"",""))</f>
        <v/>
      </c>
      <c r="D477" s="5">
        <f>IFERROR(VALUE(SUBSTITUTE(SUBSTITUTE(SUBSTITUTE(IF(설정!$C$6="","",IFERROR(INDEX('1.산군_붙여넣기'!$A$1:$AZ$1001,ROW(),설정!$C$6)&amp;"","")),",",""),"㎡",""),"m2","")),"")</f>
        <v/>
      </c>
      <c r="E477">
        <f>IF(설정!$C$7="","",IFERROR(INDEX('1.산군_붙여넣기'!$A$1:$AZ$1001,ROW(),설정!$C$7)&amp;"",""))</f>
        <v/>
      </c>
      <c r="F477">
        <f>IF(설정!$C$8="","",IFERROR(INDEX('1.산군_붙여넣기'!$A$1:$AZ$1001,ROW(),설정!$C$8)&amp;"",""))</f>
        <v/>
      </c>
      <c r="G477">
        <f>IF(설정!$C$9="","",IFERROR(INDEX('1.산군_붙여넣기'!$A$1:$AZ$1001,ROW(),설정!$C$9)&amp;"",""))</f>
        <v/>
      </c>
      <c r="H477">
        <f>IF(설정!$C$10="","",IFERROR(INDEX('1.산군_붙여넣기'!$A$1:$AZ$1001,ROW(),설정!$C$10)&amp;"",""))</f>
        <v/>
      </c>
      <c r="I477">
        <f>IF(설정!$C$11="","",IFERROR(INDEX('1.산군_붙여넣기'!$A$1:$AZ$1001,ROW(),설정!$C$11)&amp;"",""))</f>
        <v/>
      </c>
      <c r="J477">
        <f>IF(설정!$C$12="","",IFERROR(INDEX('1.산군_붙여넣기'!$A$1:$AZ$1001,ROW(),설정!$C$12)&amp;"",""))</f>
        <v/>
      </c>
      <c r="K477">
        <f>IF(설정!$C$13="","",IFERROR(INDEX('1.산군_붙여넣기'!$A$1:$AZ$1001,ROW(),설정!$C$13)&amp;"",""))</f>
        <v/>
      </c>
      <c r="L477" s="7">
        <f>IF(X477="","",IF(AND(LEN(X477)=8,ISNUMBER(X477*1)),DATE(LEFT(X477,4),MID(X477,5,2),RIGHT(X477,2)),IFERROR(DATEVALUE(SUBSTITUTE(SUBSTITUTE(X477,".","-"),"/","-")),IFERROR(X477*1,""))))</f>
        <v/>
      </c>
      <c r="M477" s="7">
        <f>IF(Y477="","",IF(AND(LEN(Y477)=8,ISNUMBER(Y477*1)),DATE(LEFT(Y477,4),MID(Y477,5,2),RIGHT(Y477,2)),IFERROR(DATEVALUE(SUBSTITUTE(SUBSTITUTE(Y477,".","-"),"/","-")),IFERROR(Y477*1,""))))</f>
        <v/>
      </c>
      <c r="N477">
        <f>IFERROR(LEFT(B477,FIND(" ",B477)-1),B477)</f>
        <v/>
      </c>
      <c r="O477">
        <f>AND(B477&lt;&gt;"",B477&lt;&gt;설정!$B$4,C477&lt;&gt;설정!$B$5)</f>
        <v/>
      </c>
      <c r="P477">
        <f>IF(O477,B477&amp;"|"&amp;C477,"")</f>
        <v/>
      </c>
      <c r="Q477">
        <f>AND(O477,COUNTIF(P478:P$1002,P477)=0)</f>
        <v/>
      </c>
      <c r="R477">
        <f>OR(AND(설정!$A$42&lt;&gt;"",ISNUMBER(SEARCH(설정!$A$42,E477&amp;" "&amp;C477))),AND(설정!$A$43&lt;&gt;"",ISNUMBER(SEARCH(설정!$A$43,E477&amp;" "&amp;C477))),AND(설정!$A$44&lt;&gt;"",ISNUMBER(SEARCH(설정!$A$44,E477&amp;" "&amp;C477))),AND(설정!$A$45&lt;&gt;"",ISNUMBER(SEARCH(설정!$A$45,E477&amp;" "&amp;C477))),AND(설정!$A$46&lt;&gt;"",ISNUMBER(SEARCH(설정!$A$46,E477&amp;" "&amp;C477))),AND(설정!$A$47&lt;&gt;"",ISNUMBER(SEARCH(설정!$A$47,E477&amp;" "&amp;C477))),AND(설정!$A$48&lt;&gt;"",ISNUMBER(SEARCH(설정!$A$48,E477&amp;" "&amp;C477))),AND(설정!$A$49&lt;&gt;"",ISNUMBER(SEARCH(설정!$A$49,E477&amp;" "&amp;C477))),AND(설정!$A$50&lt;&gt;"",ISNUMBER(SEARCH(설정!$A$50,E477&amp;" "&amp;C477))),AND(설정!$A$51&lt;&gt;"",ISNUMBER(SEARCH(설정!$A$51,E477&amp;" "&amp;C477))))</f>
        <v/>
      </c>
      <c r="S477">
        <f>OR(D477="",D477&gt;=설정!$B$19)</f>
        <v/>
      </c>
      <c r="T477">
        <f>AND(Q477,R477,S477)</f>
        <v/>
      </c>
      <c r="U477">
        <f>IF(T477,IF(AND(설정!$A$54&lt;&gt;"",ISNUMBER(SEARCH(설정!$A$54,K477))),설정!$B$54,IF(AND(설정!$A$55&lt;&gt;"",ISNUMBER(SEARCH(설정!$A$55,K477))),설정!$B$55,IF(AND(설정!$A$56&lt;&gt;"",ISNUMBER(SEARCH(설정!$A$56,K477))),설정!$B$56,IF(AND(설정!$A$57&lt;&gt;"",ISNUMBER(SEARCH(설정!$A$57,K477))),설정!$B$57,IF(AND(설정!$A$58&lt;&gt;"",ISNUMBER(SEARCH(설정!$A$58,K477))),설정!$B$58,IF(AND(설정!$A$59&lt;&gt;"",ISNUMBER(SEARCH(설정!$A$59,K477))),설정!$B$59,IF(AND(설정!$A$60&lt;&gt;"",ISNUMBER(SEARCH(설정!$A$60,K477))),설정!$B$60,IF(AND(설정!$A$61&lt;&gt;"",ISNUMBER(SEARCH(설정!$A$61,K477))),설정!$B$61,IF(M477="","설계사","시공사"))))))))),"")</f>
        <v/>
      </c>
      <c r="V477">
        <f>SUBSTITUTE(SUBSTITUTE(SUBSTITUTE(SUBSTITUTE(G477,"(주)",""),"㈜",""),"주식회사","")," ","")</f>
        <v/>
      </c>
      <c r="W477">
        <f>IF(AND(T477,V477&lt;&gt;""),IF(COUNTIFS(V$2:V477,V477,T$2:T477,TRUE)=1,MAX(W$1:W476)+1,""),"")</f>
        <v/>
      </c>
      <c r="X477">
        <f>IF(설정!$C$14="","",IFERROR(INDEX('1.산군_붙여넣기'!$A$1:$AZ$1001,ROW(),설정!$C$14)&amp;"",""))</f>
        <v/>
      </c>
      <c r="Y477">
        <f>IF(설정!$C$15="","",IFERROR(INDEX('1.산군_붙여넣기'!$A$1:$AZ$1001,ROW(),설정!$C$15)&amp;"",""))</f>
        <v/>
      </c>
      <c r="Z477">
        <f>IF(T477,V477&amp;"|"&amp;U477,"")</f>
        <v/>
      </c>
      <c r="AA477">
        <f>IF(NOT(Q477),"",IF(NOT(AND(R477,S477)),"✕",IF(OR(OR(AND(L477&lt;&gt;"",M477&lt;&gt;"",N(M477)-N(L477)&gt;설정!$B$27),AND(L477&lt;&gt;"",M477="",설정!$B$24-N(L477)&gt;설정!$B$27)),AND(D477&lt;&gt;"",D477&lt;설정!$B$26)),"△","★")))</f>
        <v/>
      </c>
      <c r="AB477">
        <f>IF(NOT(T477),"",IF(U477="설계사",설정!$B$31,IF(U477="시공사",IF(OR(M477="",설정!$B$24-N(M477)&lt;=설정!$B$28*30.4),설정!$B$32,설정!$B$33),설정!$B$34))+IF(AA477="★",설정!$B$35,0))</f>
        <v/>
      </c>
      <c r="AC477">
        <f>SUBSTITUTE(SUBSTITUTE(SUBSTITUTE(SUBSTITUTE(H477,"(주)",""),"㈜",""),"주식회사","")," ","")</f>
        <v/>
      </c>
      <c r="AD477">
        <f>IF(AND(T477,AC477&lt;&gt;""),IF(COUNTIFS(AC$2:AC477,AC477,T$2:T477,TRUE)=1,MAX(AD$1:AD476)+1,""),"")</f>
        <v/>
      </c>
    </row>
    <row r="478">
      <c r="A478">
        <f>ROW()</f>
        <v/>
      </c>
      <c r="B478">
        <f>IF(설정!$C$4="","",IFERROR(INDEX('1.산군_붙여넣기'!$A$1:$AZ$1001,ROW(),설정!$C$4)&amp;"",""))</f>
        <v/>
      </c>
      <c r="C478">
        <f>IF(설정!$C$5="","",IFERROR(INDEX('1.산군_붙여넣기'!$A$1:$AZ$1001,ROW(),설정!$C$5)&amp;"",""))</f>
        <v/>
      </c>
      <c r="D478" s="5">
        <f>IFERROR(VALUE(SUBSTITUTE(SUBSTITUTE(SUBSTITUTE(IF(설정!$C$6="","",IFERROR(INDEX('1.산군_붙여넣기'!$A$1:$AZ$1001,ROW(),설정!$C$6)&amp;"","")),",",""),"㎡",""),"m2","")),"")</f>
        <v/>
      </c>
      <c r="E478">
        <f>IF(설정!$C$7="","",IFERROR(INDEX('1.산군_붙여넣기'!$A$1:$AZ$1001,ROW(),설정!$C$7)&amp;"",""))</f>
        <v/>
      </c>
      <c r="F478">
        <f>IF(설정!$C$8="","",IFERROR(INDEX('1.산군_붙여넣기'!$A$1:$AZ$1001,ROW(),설정!$C$8)&amp;"",""))</f>
        <v/>
      </c>
      <c r="G478">
        <f>IF(설정!$C$9="","",IFERROR(INDEX('1.산군_붙여넣기'!$A$1:$AZ$1001,ROW(),설정!$C$9)&amp;"",""))</f>
        <v/>
      </c>
      <c r="H478">
        <f>IF(설정!$C$10="","",IFERROR(INDEX('1.산군_붙여넣기'!$A$1:$AZ$1001,ROW(),설정!$C$10)&amp;"",""))</f>
        <v/>
      </c>
      <c r="I478">
        <f>IF(설정!$C$11="","",IFERROR(INDEX('1.산군_붙여넣기'!$A$1:$AZ$1001,ROW(),설정!$C$11)&amp;"",""))</f>
        <v/>
      </c>
      <c r="J478">
        <f>IF(설정!$C$12="","",IFERROR(INDEX('1.산군_붙여넣기'!$A$1:$AZ$1001,ROW(),설정!$C$12)&amp;"",""))</f>
        <v/>
      </c>
      <c r="K478">
        <f>IF(설정!$C$13="","",IFERROR(INDEX('1.산군_붙여넣기'!$A$1:$AZ$1001,ROW(),설정!$C$13)&amp;"",""))</f>
        <v/>
      </c>
      <c r="L478" s="7">
        <f>IF(X478="","",IF(AND(LEN(X478)=8,ISNUMBER(X478*1)),DATE(LEFT(X478,4),MID(X478,5,2),RIGHT(X478,2)),IFERROR(DATEVALUE(SUBSTITUTE(SUBSTITUTE(X478,".","-"),"/","-")),IFERROR(X478*1,""))))</f>
        <v/>
      </c>
      <c r="M478" s="7">
        <f>IF(Y478="","",IF(AND(LEN(Y478)=8,ISNUMBER(Y478*1)),DATE(LEFT(Y478,4),MID(Y478,5,2),RIGHT(Y478,2)),IFERROR(DATEVALUE(SUBSTITUTE(SUBSTITUTE(Y478,".","-"),"/","-")),IFERROR(Y478*1,""))))</f>
        <v/>
      </c>
      <c r="N478">
        <f>IFERROR(LEFT(B478,FIND(" ",B478)-1),B478)</f>
        <v/>
      </c>
      <c r="O478">
        <f>AND(B478&lt;&gt;"",B478&lt;&gt;설정!$B$4,C478&lt;&gt;설정!$B$5)</f>
        <v/>
      </c>
      <c r="P478">
        <f>IF(O478,B478&amp;"|"&amp;C478,"")</f>
        <v/>
      </c>
      <c r="Q478">
        <f>AND(O478,COUNTIF(P479:P$1002,P478)=0)</f>
        <v/>
      </c>
      <c r="R478">
        <f>OR(AND(설정!$A$42&lt;&gt;"",ISNUMBER(SEARCH(설정!$A$42,E478&amp;" "&amp;C478))),AND(설정!$A$43&lt;&gt;"",ISNUMBER(SEARCH(설정!$A$43,E478&amp;" "&amp;C478))),AND(설정!$A$44&lt;&gt;"",ISNUMBER(SEARCH(설정!$A$44,E478&amp;" "&amp;C478))),AND(설정!$A$45&lt;&gt;"",ISNUMBER(SEARCH(설정!$A$45,E478&amp;" "&amp;C478))),AND(설정!$A$46&lt;&gt;"",ISNUMBER(SEARCH(설정!$A$46,E478&amp;" "&amp;C478))),AND(설정!$A$47&lt;&gt;"",ISNUMBER(SEARCH(설정!$A$47,E478&amp;" "&amp;C478))),AND(설정!$A$48&lt;&gt;"",ISNUMBER(SEARCH(설정!$A$48,E478&amp;" "&amp;C478))),AND(설정!$A$49&lt;&gt;"",ISNUMBER(SEARCH(설정!$A$49,E478&amp;" "&amp;C478))),AND(설정!$A$50&lt;&gt;"",ISNUMBER(SEARCH(설정!$A$50,E478&amp;" "&amp;C478))),AND(설정!$A$51&lt;&gt;"",ISNUMBER(SEARCH(설정!$A$51,E478&amp;" "&amp;C478))))</f>
        <v/>
      </c>
      <c r="S478">
        <f>OR(D478="",D478&gt;=설정!$B$19)</f>
        <v/>
      </c>
      <c r="T478">
        <f>AND(Q478,R478,S478)</f>
        <v/>
      </c>
      <c r="U478">
        <f>IF(T478,IF(AND(설정!$A$54&lt;&gt;"",ISNUMBER(SEARCH(설정!$A$54,K478))),설정!$B$54,IF(AND(설정!$A$55&lt;&gt;"",ISNUMBER(SEARCH(설정!$A$55,K478))),설정!$B$55,IF(AND(설정!$A$56&lt;&gt;"",ISNUMBER(SEARCH(설정!$A$56,K478))),설정!$B$56,IF(AND(설정!$A$57&lt;&gt;"",ISNUMBER(SEARCH(설정!$A$57,K478))),설정!$B$57,IF(AND(설정!$A$58&lt;&gt;"",ISNUMBER(SEARCH(설정!$A$58,K478))),설정!$B$58,IF(AND(설정!$A$59&lt;&gt;"",ISNUMBER(SEARCH(설정!$A$59,K478))),설정!$B$59,IF(AND(설정!$A$60&lt;&gt;"",ISNUMBER(SEARCH(설정!$A$60,K478))),설정!$B$60,IF(AND(설정!$A$61&lt;&gt;"",ISNUMBER(SEARCH(설정!$A$61,K478))),설정!$B$61,IF(M478="","설계사","시공사"))))))))),"")</f>
        <v/>
      </c>
      <c r="V478">
        <f>SUBSTITUTE(SUBSTITUTE(SUBSTITUTE(SUBSTITUTE(G478,"(주)",""),"㈜",""),"주식회사","")," ","")</f>
        <v/>
      </c>
      <c r="W478">
        <f>IF(AND(T478,V478&lt;&gt;""),IF(COUNTIFS(V$2:V478,V478,T$2:T478,TRUE)=1,MAX(W$1:W477)+1,""),"")</f>
        <v/>
      </c>
      <c r="X478">
        <f>IF(설정!$C$14="","",IFERROR(INDEX('1.산군_붙여넣기'!$A$1:$AZ$1001,ROW(),설정!$C$14)&amp;"",""))</f>
        <v/>
      </c>
      <c r="Y478">
        <f>IF(설정!$C$15="","",IFERROR(INDEX('1.산군_붙여넣기'!$A$1:$AZ$1001,ROW(),설정!$C$15)&amp;"",""))</f>
        <v/>
      </c>
      <c r="Z478">
        <f>IF(T478,V478&amp;"|"&amp;U478,"")</f>
        <v/>
      </c>
      <c r="AA478">
        <f>IF(NOT(Q478),"",IF(NOT(AND(R478,S478)),"✕",IF(OR(OR(AND(L478&lt;&gt;"",M478&lt;&gt;"",N(M478)-N(L478)&gt;설정!$B$27),AND(L478&lt;&gt;"",M478="",설정!$B$24-N(L478)&gt;설정!$B$27)),AND(D478&lt;&gt;"",D478&lt;설정!$B$26)),"△","★")))</f>
        <v/>
      </c>
      <c r="AB478">
        <f>IF(NOT(T478),"",IF(U478="설계사",설정!$B$31,IF(U478="시공사",IF(OR(M478="",설정!$B$24-N(M478)&lt;=설정!$B$28*30.4),설정!$B$32,설정!$B$33),설정!$B$34))+IF(AA478="★",설정!$B$35,0))</f>
        <v/>
      </c>
      <c r="AC478">
        <f>SUBSTITUTE(SUBSTITUTE(SUBSTITUTE(SUBSTITUTE(H478,"(주)",""),"㈜",""),"주식회사","")," ","")</f>
        <v/>
      </c>
      <c r="AD478">
        <f>IF(AND(T478,AC478&lt;&gt;""),IF(COUNTIFS(AC$2:AC478,AC478,T$2:T478,TRUE)=1,MAX(AD$1:AD477)+1,""),"")</f>
        <v/>
      </c>
    </row>
    <row r="479">
      <c r="A479">
        <f>ROW()</f>
        <v/>
      </c>
      <c r="B479">
        <f>IF(설정!$C$4="","",IFERROR(INDEX('1.산군_붙여넣기'!$A$1:$AZ$1001,ROW(),설정!$C$4)&amp;"",""))</f>
        <v/>
      </c>
      <c r="C479">
        <f>IF(설정!$C$5="","",IFERROR(INDEX('1.산군_붙여넣기'!$A$1:$AZ$1001,ROW(),설정!$C$5)&amp;"",""))</f>
        <v/>
      </c>
      <c r="D479" s="5">
        <f>IFERROR(VALUE(SUBSTITUTE(SUBSTITUTE(SUBSTITUTE(IF(설정!$C$6="","",IFERROR(INDEX('1.산군_붙여넣기'!$A$1:$AZ$1001,ROW(),설정!$C$6)&amp;"","")),",",""),"㎡",""),"m2","")),"")</f>
        <v/>
      </c>
      <c r="E479">
        <f>IF(설정!$C$7="","",IFERROR(INDEX('1.산군_붙여넣기'!$A$1:$AZ$1001,ROW(),설정!$C$7)&amp;"",""))</f>
        <v/>
      </c>
      <c r="F479">
        <f>IF(설정!$C$8="","",IFERROR(INDEX('1.산군_붙여넣기'!$A$1:$AZ$1001,ROW(),설정!$C$8)&amp;"",""))</f>
        <v/>
      </c>
      <c r="G479">
        <f>IF(설정!$C$9="","",IFERROR(INDEX('1.산군_붙여넣기'!$A$1:$AZ$1001,ROW(),설정!$C$9)&amp;"",""))</f>
        <v/>
      </c>
      <c r="H479">
        <f>IF(설정!$C$10="","",IFERROR(INDEX('1.산군_붙여넣기'!$A$1:$AZ$1001,ROW(),설정!$C$10)&amp;"",""))</f>
        <v/>
      </c>
      <c r="I479">
        <f>IF(설정!$C$11="","",IFERROR(INDEX('1.산군_붙여넣기'!$A$1:$AZ$1001,ROW(),설정!$C$11)&amp;"",""))</f>
        <v/>
      </c>
      <c r="J479">
        <f>IF(설정!$C$12="","",IFERROR(INDEX('1.산군_붙여넣기'!$A$1:$AZ$1001,ROW(),설정!$C$12)&amp;"",""))</f>
        <v/>
      </c>
      <c r="K479">
        <f>IF(설정!$C$13="","",IFERROR(INDEX('1.산군_붙여넣기'!$A$1:$AZ$1001,ROW(),설정!$C$13)&amp;"",""))</f>
        <v/>
      </c>
      <c r="L479" s="7">
        <f>IF(X479="","",IF(AND(LEN(X479)=8,ISNUMBER(X479*1)),DATE(LEFT(X479,4),MID(X479,5,2),RIGHT(X479,2)),IFERROR(DATEVALUE(SUBSTITUTE(SUBSTITUTE(X479,".","-"),"/","-")),IFERROR(X479*1,""))))</f>
        <v/>
      </c>
      <c r="M479" s="7">
        <f>IF(Y479="","",IF(AND(LEN(Y479)=8,ISNUMBER(Y479*1)),DATE(LEFT(Y479,4),MID(Y479,5,2),RIGHT(Y479,2)),IFERROR(DATEVALUE(SUBSTITUTE(SUBSTITUTE(Y479,".","-"),"/","-")),IFERROR(Y479*1,""))))</f>
        <v/>
      </c>
      <c r="N479">
        <f>IFERROR(LEFT(B479,FIND(" ",B479)-1),B479)</f>
        <v/>
      </c>
      <c r="O479">
        <f>AND(B479&lt;&gt;"",B479&lt;&gt;설정!$B$4,C479&lt;&gt;설정!$B$5)</f>
        <v/>
      </c>
      <c r="P479">
        <f>IF(O479,B479&amp;"|"&amp;C479,"")</f>
        <v/>
      </c>
      <c r="Q479">
        <f>AND(O479,COUNTIF(P480:P$1002,P479)=0)</f>
        <v/>
      </c>
      <c r="R479">
        <f>OR(AND(설정!$A$42&lt;&gt;"",ISNUMBER(SEARCH(설정!$A$42,E479&amp;" "&amp;C479))),AND(설정!$A$43&lt;&gt;"",ISNUMBER(SEARCH(설정!$A$43,E479&amp;" "&amp;C479))),AND(설정!$A$44&lt;&gt;"",ISNUMBER(SEARCH(설정!$A$44,E479&amp;" "&amp;C479))),AND(설정!$A$45&lt;&gt;"",ISNUMBER(SEARCH(설정!$A$45,E479&amp;" "&amp;C479))),AND(설정!$A$46&lt;&gt;"",ISNUMBER(SEARCH(설정!$A$46,E479&amp;" "&amp;C479))),AND(설정!$A$47&lt;&gt;"",ISNUMBER(SEARCH(설정!$A$47,E479&amp;" "&amp;C479))),AND(설정!$A$48&lt;&gt;"",ISNUMBER(SEARCH(설정!$A$48,E479&amp;" "&amp;C479))),AND(설정!$A$49&lt;&gt;"",ISNUMBER(SEARCH(설정!$A$49,E479&amp;" "&amp;C479))),AND(설정!$A$50&lt;&gt;"",ISNUMBER(SEARCH(설정!$A$50,E479&amp;" "&amp;C479))),AND(설정!$A$51&lt;&gt;"",ISNUMBER(SEARCH(설정!$A$51,E479&amp;" "&amp;C479))))</f>
        <v/>
      </c>
      <c r="S479">
        <f>OR(D479="",D479&gt;=설정!$B$19)</f>
        <v/>
      </c>
      <c r="T479">
        <f>AND(Q479,R479,S479)</f>
        <v/>
      </c>
      <c r="U479">
        <f>IF(T479,IF(AND(설정!$A$54&lt;&gt;"",ISNUMBER(SEARCH(설정!$A$54,K479))),설정!$B$54,IF(AND(설정!$A$55&lt;&gt;"",ISNUMBER(SEARCH(설정!$A$55,K479))),설정!$B$55,IF(AND(설정!$A$56&lt;&gt;"",ISNUMBER(SEARCH(설정!$A$56,K479))),설정!$B$56,IF(AND(설정!$A$57&lt;&gt;"",ISNUMBER(SEARCH(설정!$A$57,K479))),설정!$B$57,IF(AND(설정!$A$58&lt;&gt;"",ISNUMBER(SEARCH(설정!$A$58,K479))),설정!$B$58,IF(AND(설정!$A$59&lt;&gt;"",ISNUMBER(SEARCH(설정!$A$59,K479))),설정!$B$59,IF(AND(설정!$A$60&lt;&gt;"",ISNUMBER(SEARCH(설정!$A$60,K479))),설정!$B$60,IF(AND(설정!$A$61&lt;&gt;"",ISNUMBER(SEARCH(설정!$A$61,K479))),설정!$B$61,IF(M479="","설계사","시공사"))))))))),"")</f>
        <v/>
      </c>
      <c r="V479">
        <f>SUBSTITUTE(SUBSTITUTE(SUBSTITUTE(SUBSTITUTE(G479,"(주)",""),"㈜",""),"주식회사","")," ","")</f>
        <v/>
      </c>
      <c r="W479">
        <f>IF(AND(T479,V479&lt;&gt;""),IF(COUNTIFS(V$2:V479,V479,T$2:T479,TRUE)=1,MAX(W$1:W478)+1,""),"")</f>
        <v/>
      </c>
      <c r="X479">
        <f>IF(설정!$C$14="","",IFERROR(INDEX('1.산군_붙여넣기'!$A$1:$AZ$1001,ROW(),설정!$C$14)&amp;"",""))</f>
        <v/>
      </c>
      <c r="Y479">
        <f>IF(설정!$C$15="","",IFERROR(INDEX('1.산군_붙여넣기'!$A$1:$AZ$1001,ROW(),설정!$C$15)&amp;"",""))</f>
        <v/>
      </c>
      <c r="Z479">
        <f>IF(T479,V479&amp;"|"&amp;U479,"")</f>
        <v/>
      </c>
      <c r="AA479">
        <f>IF(NOT(Q479),"",IF(NOT(AND(R479,S479)),"✕",IF(OR(OR(AND(L479&lt;&gt;"",M479&lt;&gt;"",N(M479)-N(L479)&gt;설정!$B$27),AND(L479&lt;&gt;"",M479="",설정!$B$24-N(L479)&gt;설정!$B$27)),AND(D479&lt;&gt;"",D479&lt;설정!$B$26)),"△","★")))</f>
        <v/>
      </c>
      <c r="AB479">
        <f>IF(NOT(T479),"",IF(U479="설계사",설정!$B$31,IF(U479="시공사",IF(OR(M479="",설정!$B$24-N(M479)&lt;=설정!$B$28*30.4),설정!$B$32,설정!$B$33),설정!$B$34))+IF(AA479="★",설정!$B$35,0))</f>
        <v/>
      </c>
      <c r="AC479">
        <f>SUBSTITUTE(SUBSTITUTE(SUBSTITUTE(SUBSTITUTE(H479,"(주)",""),"㈜",""),"주식회사","")," ","")</f>
        <v/>
      </c>
      <c r="AD479">
        <f>IF(AND(T479,AC479&lt;&gt;""),IF(COUNTIFS(AC$2:AC479,AC479,T$2:T479,TRUE)=1,MAX(AD$1:AD478)+1,""),"")</f>
        <v/>
      </c>
    </row>
    <row r="480">
      <c r="A480">
        <f>ROW()</f>
        <v/>
      </c>
      <c r="B480">
        <f>IF(설정!$C$4="","",IFERROR(INDEX('1.산군_붙여넣기'!$A$1:$AZ$1001,ROW(),설정!$C$4)&amp;"",""))</f>
        <v/>
      </c>
      <c r="C480">
        <f>IF(설정!$C$5="","",IFERROR(INDEX('1.산군_붙여넣기'!$A$1:$AZ$1001,ROW(),설정!$C$5)&amp;"",""))</f>
        <v/>
      </c>
      <c r="D480" s="5">
        <f>IFERROR(VALUE(SUBSTITUTE(SUBSTITUTE(SUBSTITUTE(IF(설정!$C$6="","",IFERROR(INDEX('1.산군_붙여넣기'!$A$1:$AZ$1001,ROW(),설정!$C$6)&amp;"","")),",",""),"㎡",""),"m2","")),"")</f>
        <v/>
      </c>
      <c r="E480">
        <f>IF(설정!$C$7="","",IFERROR(INDEX('1.산군_붙여넣기'!$A$1:$AZ$1001,ROW(),설정!$C$7)&amp;"",""))</f>
        <v/>
      </c>
      <c r="F480">
        <f>IF(설정!$C$8="","",IFERROR(INDEX('1.산군_붙여넣기'!$A$1:$AZ$1001,ROW(),설정!$C$8)&amp;"",""))</f>
        <v/>
      </c>
      <c r="G480">
        <f>IF(설정!$C$9="","",IFERROR(INDEX('1.산군_붙여넣기'!$A$1:$AZ$1001,ROW(),설정!$C$9)&amp;"",""))</f>
        <v/>
      </c>
      <c r="H480">
        <f>IF(설정!$C$10="","",IFERROR(INDEX('1.산군_붙여넣기'!$A$1:$AZ$1001,ROW(),설정!$C$10)&amp;"",""))</f>
        <v/>
      </c>
      <c r="I480">
        <f>IF(설정!$C$11="","",IFERROR(INDEX('1.산군_붙여넣기'!$A$1:$AZ$1001,ROW(),설정!$C$11)&amp;"",""))</f>
        <v/>
      </c>
      <c r="J480">
        <f>IF(설정!$C$12="","",IFERROR(INDEX('1.산군_붙여넣기'!$A$1:$AZ$1001,ROW(),설정!$C$12)&amp;"",""))</f>
        <v/>
      </c>
      <c r="K480">
        <f>IF(설정!$C$13="","",IFERROR(INDEX('1.산군_붙여넣기'!$A$1:$AZ$1001,ROW(),설정!$C$13)&amp;"",""))</f>
        <v/>
      </c>
      <c r="L480" s="7">
        <f>IF(X480="","",IF(AND(LEN(X480)=8,ISNUMBER(X480*1)),DATE(LEFT(X480,4),MID(X480,5,2),RIGHT(X480,2)),IFERROR(DATEVALUE(SUBSTITUTE(SUBSTITUTE(X480,".","-"),"/","-")),IFERROR(X480*1,""))))</f>
        <v/>
      </c>
      <c r="M480" s="7">
        <f>IF(Y480="","",IF(AND(LEN(Y480)=8,ISNUMBER(Y480*1)),DATE(LEFT(Y480,4),MID(Y480,5,2),RIGHT(Y480,2)),IFERROR(DATEVALUE(SUBSTITUTE(SUBSTITUTE(Y480,".","-"),"/","-")),IFERROR(Y480*1,""))))</f>
        <v/>
      </c>
      <c r="N480">
        <f>IFERROR(LEFT(B480,FIND(" ",B480)-1),B480)</f>
        <v/>
      </c>
      <c r="O480">
        <f>AND(B480&lt;&gt;"",B480&lt;&gt;설정!$B$4,C480&lt;&gt;설정!$B$5)</f>
        <v/>
      </c>
      <c r="P480">
        <f>IF(O480,B480&amp;"|"&amp;C480,"")</f>
        <v/>
      </c>
      <c r="Q480">
        <f>AND(O480,COUNTIF(P481:P$1002,P480)=0)</f>
        <v/>
      </c>
      <c r="R480">
        <f>OR(AND(설정!$A$42&lt;&gt;"",ISNUMBER(SEARCH(설정!$A$42,E480&amp;" "&amp;C480))),AND(설정!$A$43&lt;&gt;"",ISNUMBER(SEARCH(설정!$A$43,E480&amp;" "&amp;C480))),AND(설정!$A$44&lt;&gt;"",ISNUMBER(SEARCH(설정!$A$44,E480&amp;" "&amp;C480))),AND(설정!$A$45&lt;&gt;"",ISNUMBER(SEARCH(설정!$A$45,E480&amp;" "&amp;C480))),AND(설정!$A$46&lt;&gt;"",ISNUMBER(SEARCH(설정!$A$46,E480&amp;" "&amp;C480))),AND(설정!$A$47&lt;&gt;"",ISNUMBER(SEARCH(설정!$A$47,E480&amp;" "&amp;C480))),AND(설정!$A$48&lt;&gt;"",ISNUMBER(SEARCH(설정!$A$48,E480&amp;" "&amp;C480))),AND(설정!$A$49&lt;&gt;"",ISNUMBER(SEARCH(설정!$A$49,E480&amp;" "&amp;C480))),AND(설정!$A$50&lt;&gt;"",ISNUMBER(SEARCH(설정!$A$50,E480&amp;" "&amp;C480))),AND(설정!$A$51&lt;&gt;"",ISNUMBER(SEARCH(설정!$A$51,E480&amp;" "&amp;C480))))</f>
        <v/>
      </c>
      <c r="S480">
        <f>OR(D480="",D480&gt;=설정!$B$19)</f>
        <v/>
      </c>
      <c r="T480">
        <f>AND(Q480,R480,S480)</f>
        <v/>
      </c>
      <c r="U480">
        <f>IF(T480,IF(AND(설정!$A$54&lt;&gt;"",ISNUMBER(SEARCH(설정!$A$54,K480))),설정!$B$54,IF(AND(설정!$A$55&lt;&gt;"",ISNUMBER(SEARCH(설정!$A$55,K480))),설정!$B$55,IF(AND(설정!$A$56&lt;&gt;"",ISNUMBER(SEARCH(설정!$A$56,K480))),설정!$B$56,IF(AND(설정!$A$57&lt;&gt;"",ISNUMBER(SEARCH(설정!$A$57,K480))),설정!$B$57,IF(AND(설정!$A$58&lt;&gt;"",ISNUMBER(SEARCH(설정!$A$58,K480))),설정!$B$58,IF(AND(설정!$A$59&lt;&gt;"",ISNUMBER(SEARCH(설정!$A$59,K480))),설정!$B$59,IF(AND(설정!$A$60&lt;&gt;"",ISNUMBER(SEARCH(설정!$A$60,K480))),설정!$B$60,IF(AND(설정!$A$61&lt;&gt;"",ISNUMBER(SEARCH(설정!$A$61,K480))),설정!$B$61,IF(M480="","설계사","시공사"))))))))),"")</f>
        <v/>
      </c>
      <c r="V480">
        <f>SUBSTITUTE(SUBSTITUTE(SUBSTITUTE(SUBSTITUTE(G480,"(주)",""),"㈜",""),"주식회사","")," ","")</f>
        <v/>
      </c>
      <c r="W480">
        <f>IF(AND(T480,V480&lt;&gt;""),IF(COUNTIFS(V$2:V480,V480,T$2:T480,TRUE)=1,MAX(W$1:W479)+1,""),"")</f>
        <v/>
      </c>
      <c r="X480">
        <f>IF(설정!$C$14="","",IFERROR(INDEX('1.산군_붙여넣기'!$A$1:$AZ$1001,ROW(),설정!$C$14)&amp;"",""))</f>
        <v/>
      </c>
      <c r="Y480">
        <f>IF(설정!$C$15="","",IFERROR(INDEX('1.산군_붙여넣기'!$A$1:$AZ$1001,ROW(),설정!$C$15)&amp;"",""))</f>
        <v/>
      </c>
      <c r="Z480">
        <f>IF(T480,V480&amp;"|"&amp;U480,"")</f>
        <v/>
      </c>
      <c r="AA480">
        <f>IF(NOT(Q480),"",IF(NOT(AND(R480,S480)),"✕",IF(OR(OR(AND(L480&lt;&gt;"",M480&lt;&gt;"",N(M480)-N(L480)&gt;설정!$B$27),AND(L480&lt;&gt;"",M480="",설정!$B$24-N(L480)&gt;설정!$B$27)),AND(D480&lt;&gt;"",D480&lt;설정!$B$26)),"△","★")))</f>
        <v/>
      </c>
      <c r="AB480">
        <f>IF(NOT(T480),"",IF(U480="설계사",설정!$B$31,IF(U480="시공사",IF(OR(M480="",설정!$B$24-N(M480)&lt;=설정!$B$28*30.4),설정!$B$32,설정!$B$33),설정!$B$34))+IF(AA480="★",설정!$B$35,0))</f>
        <v/>
      </c>
      <c r="AC480">
        <f>SUBSTITUTE(SUBSTITUTE(SUBSTITUTE(SUBSTITUTE(H480,"(주)",""),"㈜",""),"주식회사","")," ","")</f>
        <v/>
      </c>
      <c r="AD480">
        <f>IF(AND(T480,AC480&lt;&gt;""),IF(COUNTIFS(AC$2:AC480,AC480,T$2:T480,TRUE)=1,MAX(AD$1:AD479)+1,""),"")</f>
        <v/>
      </c>
    </row>
    <row r="481">
      <c r="A481">
        <f>ROW()</f>
        <v/>
      </c>
      <c r="B481">
        <f>IF(설정!$C$4="","",IFERROR(INDEX('1.산군_붙여넣기'!$A$1:$AZ$1001,ROW(),설정!$C$4)&amp;"",""))</f>
        <v/>
      </c>
      <c r="C481">
        <f>IF(설정!$C$5="","",IFERROR(INDEX('1.산군_붙여넣기'!$A$1:$AZ$1001,ROW(),설정!$C$5)&amp;"",""))</f>
        <v/>
      </c>
      <c r="D481" s="5">
        <f>IFERROR(VALUE(SUBSTITUTE(SUBSTITUTE(SUBSTITUTE(IF(설정!$C$6="","",IFERROR(INDEX('1.산군_붙여넣기'!$A$1:$AZ$1001,ROW(),설정!$C$6)&amp;"","")),",",""),"㎡",""),"m2","")),"")</f>
        <v/>
      </c>
      <c r="E481">
        <f>IF(설정!$C$7="","",IFERROR(INDEX('1.산군_붙여넣기'!$A$1:$AZ$1001,ROW(),설정!$C$7)&amp;"",""))</f>
        <v/>
      </c>
      <c r="F481">
        <f>IF(설정!$C$8="","",IFERROR(INDEX('1.산군_붙여넣기'!$A$1:$AZ$1001,ROW(),설정!$C$8)&amp;"",""))</f>
        <v/>
      </c>
      <c r="G481">
        <f>IF(설정!$C$9="","",IFERROR(INDEX('1.산군_붙여넣기'!$A$1:$AZ$1001,ROW(),설정!$C$9)&amp;"",""))</f>
        <v/>
      </c>
      <c r="H481">
        <f>IF(설정!$C$10="","",IFERROR(INDEX('1.산군_붙여넣기'!$A$1:$AZ$1001,ROW(),설정!$C$10)&amp;"",""))</f>
        <v/>
      </c>
      <c r="I481">
        <f>IF(설정!$C$11="","",IFERROR(INDEX('1.산군_붙여넣기'!$A$1:$AZ$1001,ROW(),설정!$C$11)&amp;"",""))</f>
        <v/>
      </c>
      <c r="J481">
        <f>IF(설정!$C$12="","",IFERROR(INDEX('1.산군_붙여넣기'!$A$1:$AZ$1001,ROW(),설정!$C$12)&amp;"",""))</f>
        <v/>
      </c>
      <c r="K481">
        <f>IF(설정!$C$13="","",IFERROR(INDEX('1.산군_붙여넣기'!$A$1:$AZ$1001,ROW(),설정!$C$13)&amp;"",""))</f>
        <v/>
      </c>
      <c r="L481" s="7">
        <f>IF(X481="","",IF(AND(LEN(X481)=8,ISNUMBER(X481*1)),DATE(LEFT(X481,4),MID(X481,5,2),RIGHT(X481,2)),IFERROR(DATEVALUE(SUBSTITUTE(SUBSTITUTE(X481,".","-"),"/","-")),IFERROR(X481*1,""))))</f>
        <v/>
      </c>
      <c r="M481" s="7">
        <f>IF(Y481="","",IF(AND(LEN(Y481)=8,ISNUMBER(Y481*1)),DATE(LEFT(Y481,4),MID(Y481,5,2),RIGHT(Y481,2)),IFERROR(DATEVALUE(SUBSTITUTE(SUBSTITUTE(Y481,".","-"),"/","-")),IFERROR(Y481*1,""))))</f>
        <v/>
      </c>
      <c r="N481">
        <f>IFERROR(LEFT(B481,FIND(" ",B481)-1),B481)</f>
        <v/>
      </c>
      <c r="O481">
        <f>AND(B481&lt;&gt;"",B481&lt;&gt;설정!$B$4,C481&lt;&gt;설정!$B$5)</f>
        <v/>
      </c>
      <c r="P481">
        <f>IF(O481,B481&amp;"|"&amp;C481,"")</f>
        <v/>
      </c>
      <c r="Q481">
        <f>AND(O481,COUNTIF(P482:P$1002,P481)=0)</f>
        <v/>
      </c>
      <c r="R481">
        <f>OR(AND(설정!$A$42&lt;&gt;"",ISNUMBER(SEARCH(설정!$A$42,E481&amp;" "&amp;C481))),AND(설정!$A$43&lt;&gt;"",ISNUMBER(SEARCH(설정!$A$43,E481&amp;" "&amp;C481))),AND(설정!$A$44&lt;&gt;"",ISNUMBER(SEARCH(설정!$A$44,E481&amp;" "&amp;C481))),AND(설정!$A$45&lt;&gt;"",ISNUMBER(SEARCH(설정!$A$45,E481&amp;" "&amp;C481))),AND(설정!$A$46&lt;&gt;"",ISNUMBER(SEARCH(설정!$A$46,E481&amp;" "&amp;C481))),AND(설정!$A$47&lt;&gt;"",ISNUMBER(SEARCH(설정!$A$47,E481&amp;" "&amp;C481))),AND(설정!$A$48&lt;&gt;"",ISNUMBER(SEARCH(설정!$A$48,E481&amp;" "&amp;C481))),AND(설정!$A$49&lt;&gt;"",ISNUMBER(SEARCH(설정!$A$49,E481&amp;" "&amp;C481))),AND(설정!$A$50&lt;&gt;"",ISNUMBER(SEARCH(설정!$A$50,E481&amp;" "&amp;C481))),AND(설정!$A$51&lt;&gt;"",ISNUMBER(SEARCH(설정!$A$51,E481&amp;" "&amp;C481))))</f>
        <v/>
      </c>
      <c r="S481">
        <f>OR(D481="",D481&gt;=설정!$B$19)</f>
        <v/>
      </c>
      <c r="T481">
        <f>AND(Q481,R481,S481)</f>
        <v/>
      </c>
      <c r="U481">
        <f>IF(T481,IF(AND(설정!$A$54&lt;&gt;"",ISNUMBER(SEARCH(설정!$A$54,K481))),설정!$B$54,IF(AND(설정!$A$55&lt;&gt;"",ISNUMBER(SEARCH(설정!$A$55,K481))),설정!$B$55,IF(AND(설정!$A$56&lt;&gt;"",ISNUMBER(SEARCH(설정!$A$56,K481))),설정!$B$56,IF(AND(설정!$A$57&lt;&gt;"",ISNUMBER(SEARCH(설정!$A$57,K481))),설정!$B$57,IF(AND(설정!$A$58&lt;&gt;"",ISNUMBER(SEARCH(설정!$A$58,K481))),설정!$B$58,IF(AND(설정!$A$59&lt;&gt;"",ISNUMBER(SEARCH(설정!$A$59,K481))),설정!$B$59,IF(AND(설정!$A$60&lt;&gt;"",ISNUMBER(SEARCH(설정!$A$60,K481))),설정!$B$60,IF(AND(설정!$A$61&lt;&gt;"",ISNUMBER(SEARCH(설정!$A$61,K481))),설정!$B$61,IF(M481="","설계사","시공사"))))))))),"")</f>
        <v/>
      </c>
      <c r="V481">
        <f>SUBSTITUTE(SUBSTITUTE(SUBSTITUTE(SUBSTITUTE(G481,"(주)",""),"㈜",""),"주식회사","")," ","")</f>
        <v/>
      </c>
      <c r="W481">
        <f>IF(AND(T481,V481&lt;&gt;""),IF(COUNTIFS(V$2:V481,V481,T$2:T481,TRUE)=1,MAX(W$1:W480)+1,""),"")</f>
        <v/>
      </c>
      <c r="X481">
        <f>IF(설정!$C$14="","",IFERROR(INDEX('1.산군_붙여넣기'!$A$1:$AZ$1001,ROW(),설정!$C$14)&amp;"",""))</f>
        <v/>
      </c>
      <c r="Y481">
        <f>IF(설정!$C$15="","",IFERROR(INDEX('1.산군_붙여넣기'!$A$1:$AZ$1001,ROW(),설정!$C$15)&amp;"",""))</f>
        <v/>
      </c>
      <c r="Z481">
        <f>IF(T481,V481&amp;"|"&amp;U481,"")</f>
        <v/>
      </c>
      <c r="AA481">
        <f>IF(NOT(Q481),"",IF(NOT(AND(R481,S481)),"✕",IF(OR(OR(AND(L481&lt;&gt;"",M481&lt;&gt;"",N(M481)-N(L481)&gt;설정!$B$27),AND(L481&lt;&gt;"",M481="",설정!$B$24-N(L481)&gt;설정!$B$27)),AND(D481&lt;&gt;"",D481&lt;설정!$B$26)),"△","★")))</f>
        <v/>
      </c>
      <c r="AB481">
        <f>IF(NOT(T481),"",IF(U481="설계사",설정!$B$31,IF(U481="시공사",IF(OR(M481="",설정!$B$24-N(M481)&lt;=설정!$B$28*30.4),설정!$B$32,설정!$B$33),설정!$B$34))+IF(AA481="★",설정!$B$35,0))</f>
        <v/>
      </c>
      <c r="AC481">
        <f>SUBSTITUTE(SUBSTITUTE(SUBSTITUTE(SUBSTITUTE(H481,"(주)",""),"㈜",""),"주식회사","")," ","")</f>
        <v/>
      </c>
      <c r="AD481">
        <f>IF(AND(T481,AC481&lt;&gt;""),IF(COUNTIFS(AC$2:AC481,AC481,T$2:T481,TRUE)=1,MAX(AD$1:AD480)+1,""),"")</f>
        <v/>
      </c>
    </row>
    <row r="482">
      <c r="A482">
        <f>ROW()</f>
        <v/>
      </c>
      <c r="B482">
        <f>IF(설정!$C$4="","",IFERROR(INDEX('1.산군_붙여넣기'!$A$1:$AZ$1001,ROW(),설정!$C$4)&amp;"",""))</f>
        <v/>
      </c>
      <c r="C482">
        <f>IF(설정!$C$5="","",IFERROR(INDEX('1.산군_붙여넣기'!$A$1:$AZ$1001,ROW(),설정!$C$5)&amp;"",""))</f>
        <v/>
      </c>
      <c r="D482" s="5">
        <f>IFERROR(VALUE(SUBSTITUTE(SUBSTITUTE(SUBSTITUTE(IF(설정!$C$6="","",IFERROR(INDEX('1.산군_붙여넣기'!$A$1:$AZ$1001,ROW(),설정!$C$6)&amp;"","")),",",""),"㎡",""),"m2","")),"")</f>
        <v/>
      </c>
      <c r="E482">
        <f>IF(설정!$C$7="","",IFERROR(INDEX('1.산군_붙여넣기'!$A$1:$AZ$1001,ROW(),설정!$C$7)&amp;"",""))</f>
        <v/>
      </c>
      <c r="F482">
        <f>IF(설정!$C$8="","",IFERROR(INDEX('1.산군_붙여넣기'!$A$1:$AZ$1001,ROW(),설정!$C$8)&amp;"",""))</f>
        <v/>
      </c>
      <c r="G482">
        <f>IF(설정!$C$9="","",IFERROR(INDEX('1.산군_붙여넣기'!$A$1:$AZ$1001,ROW(),설정!$C$9)&amp;"",""))</f>
        <v/>
      </c>
      <c r="H482">
        <f>IF(설정!$C$10="","",IFERROR(INDEX('1.산군_붙여넣기'!$A$1:$AZ$1001,ROW(),설정!$C$10)&amp;"",""))</f>
        <v/>
      </c>
      <c r="I482">
        <f>IF(설정!$C$11="","",IFERROR(INDEX('1.산군_붙여넣기'!$A$1:$AZ$1001,ROW(),설정!$C$11)&amp;"",""))</f>
        <v/>
      </c>
      <c r="J482">
        <f>IF(설정!$C$12="","",IFERROR(INDEX('1.산군_붙여넣기'!$A$1:$AZ$1001,ROW(),설정!$C$12)&amp;"",""))</f>
        <v/>
      </c>
      <c r="K482">
        <f>IF(설정!$C$13="","",IFERROR(INDEX('1.산군_붙여넣기'!$A$1:$AZ$1001,ROW(),설정!$C$13)&amp;"",""))</f>
        <v/>
      </c>
      <c r="L482" s="7">
        <f>IF(X482="","",IF(AND(LEN(X482)=8,ISNUMBER(X482*1)),DATE(LEFT(X482,4),MID(X482,5,2),RIGHT(X482,2)),IFERROR(DATEVALUE(SUBSTITUTE(SUBSTITUTE(X482,".","-"),"/","-")),IFERROR(X482*1,""))))</f>
        <v/>
      </c>
      <c r="M482" s="7">
        <f>IF(Y482="","",IF(AND(LEN(Y482)=8,ISNUMBER(Y482*1)),DATE(LEFT(Y482,4),MID(Y482,5,2),RIGHT(Y482,2)),IFERROR(DATEVALUE(SUBSTITUTE(SUBSTITUTE(Y482,".","-"),"/","-")),IFERROR(Y482*1,""))))</f>
        <v/>
      </c>
      <c r="N482">
        <f>IFERROR(LEFT(B482,FIND(" ",B482)-1),B482)</f>
        <v/>
      </c>
      <c r="O482">
        <f>AND(B482&lt;&gt;"",B482&lt;&gt;설정!$B$4,C482&lt;&gt;설정!$B$5)</f>
        <v/>
      </c>
      <c r="P482">
        <f>IF(O482,B482&amp;"|"&amp;C482,"")</f>
        <v/>
      </c>
      <c r="Q482">
        <f>AND(O482,COUNTIF(P483:P$1002,P482)=0)</f>
        <v/>
      </c>
      <c r="R482">
        <f>OR(AND(설정!$A$42&lt;&gt;"",ISNUMBER(SEARCH(설정!$A$42,E482&amp;" "&amp;C482))),AND(설정!$A$43&lt;&gt;"",ISNUMBER(SEARCH(설정!$A$43,E482&amp;" "&amp;C482))),AND(설정!$A$44&lt;&gt;"",ISNUMBER(SEARCH(설정!$A$44,E482&amp;" "&amp;C482))),AND(설정!$A$45&lt;&gt;"",ISNUMBER(SEARCH(설정!$A$45,E482&amp;" "&amp;C482))),AND(설정!$A$46&lt;&gt;"",ISNUMBER(SEARCH(설정!$A$46,E482&amp;" "&amp;C482))),AND(설정!$A$47&lt;&gt;"",ISNUMBER(SEARCH(설정!$A$47,E482&amp;" "&amp;C482))),AND(설정!$A$48&lt;&gt;"",ISNUMBER(SEARCH(설정!$A$48,E482&amp;" "&amp;C482))),AND(설정!$A$49&lt;&gt;"",ISNUMBER(SEARCH(설정!$A$49,E482&amp;" "&amp;C482))),AND(설정!$A$50&lt;&gt;"",ISNUMBER(SEARCH(설정!$A$50,E482&amp;" "&amp;C482))),AND(설정!$A$51&lt;&gt;"",ISNUMBER(SEARCH(설정!$A$51,E482&amp;" "&amp;C482))))</f>
        <v/>
      </c>
      <c r="S482">
        <f>OR(D482="",D482&gt;=설정!$B$19)</f>
        <v/>
      </c>
      <c r="T482">
        <f>AND(Q482,R482,S482)</f>
        <v/>
      </c>
      <c r="U482">
        <f>IF(T482,IF(AND(설정!$A$54&lt;&gt;"",ISNUMBER(SEARCH(설정!$A$54,K482))),설정!$B$54,IF(AND(설정!$A$55&lt;&gt;"",ISNUMBER(SEARCH(설정!$A$55,K482))),설정!$B$55,IF(AND(설정!$A$56&lt;&gt;"",ISNUMBER(SEARCH(설정!$A$56,K482))),설정!$B$56,IF(AND(설정!$A$57&lt;&gt;"",ISNUMBER(SEARCH(설정!$A$57,K482))),설정!$B$57,IF(AND(설정!$A$58&lt;&gt;"",ISNUMBER(SEARCH(설정!$A$58,K482))),설정!$B$58,IF(AND(설정!$A$59&lt;&gt;"",ISNUMBER(SEARCH(설정!$A$59,K482))),설정!$B$59,IF(AND(설정!$A$60&lt;&gt;"",ISNUMBER(SEARCH(설정!$A$60,K482))),설정!$B$60,IF(AND(설정!$A$61&lt;&gt;"",ISNUMBER(SEARCH(설정!$A$61,K482))),설정!$B$61,IF(M482="","설계사","시공사"))))))))),"")</f>
        <v/>
      </c>
      <c r="V482">
        <f>SUBSTITUTE(SUBSTITUTE(SUBSTITUTE(SUBSTITUTE(G482,"(주)",""),"㈜",""),"주식회사","")," ","")</f>
        <v/>
      </c>
      <c r="W482">
        <f>IF(AND(T482,V482&lt;&gt;""),IF(COUNTIFS(V$2:V482,V482,T$2:T482,TRUE)=1,MAX(W$1:W481)+1,""),"")</f>
        <v/>
      </c>
      <c r="X482">
        <f>IF(설정!$C$14="","",IFERROR(INDEX('1.산군_붙여넣기'!$A$1:$AZ$1001,ROW(),설정!$C$14)&amp;"",""))</f>
        <v/>
      </c>
      <c r="Y482">
        <f>IF(설정!$C$15="","",IFERROR(INDEX('1.산군_붙여넣기'!$A$1:$AZ$1001,ROW(),설정!$C$15)&amp;"",""))</f>
        <v/>
      </c>
      <c r="Z482">
        <f>IF(T482,V482&amp;"|"&amp;U482,"")</f>
        <v/>
      </c>
      <c r="AA482">
        <f>IF(NOT(Q482),"",IF(NOT(AND(R482,S482)),"✕",IF(OR(OR(AND(L482&lt;&gt;"",M482&lt;&gt;"",N(M482)-N(L482)&gt;설정!$B$27),AND(L482&lt;&gt;"",M482="",설정!$B$24-N(L482)&gt;설정!$B$27)),AND(D482&lt;&gt;"",D482&lt;설정!$B$26)),"△","★")))</f>
        <v/>
      </c>
      <c r="AB482">
        <f>IF(NOT(T482),"",IF(U482="설계사",설정!$B$31,IF(U482="시공사",IF(OR(M482="",설정!$B$24-N(M482)&lt;=설정!$B$28*30.4),설정!$B$32,설정!$B$33),설정!$B$34))+IF(AA482="★",설정!$B$35,0))</f>
        <v/>
      </c>
      <c r="AC482">
        <f>SUBSTITUTE(SUBSTITUTE(SUBSTITUTE(SUBSTITUTE(H482,"(주)",""),"㈜",""),"주식회사","")," ","")</f>
        <v/>
      </c>
      <c r="AD482">
        <f>IF(AND(T482,AC482&lt;&gt;""),IF(COUNTIFS(AC$2:AC482,AC482,T$2:T482,TRUE)=1,MAX(AD$1:AD481)+1,""),"")</f>
        <v/>
      </c>
    </row>
    <row r="483">
      <c r="A483">
        <f>ROW()</f>
        <v/>
      </c>
      <c r="B483">
        <f>IF(설정!$C$4="","",IFERROR(INDEX('1.산군_붙여넣기'!$A$1:$AZ$1001,ROW(),설정!$C$4)&amp;"",""))</f>
        <v/>
      </c>
      <c r="C483">
        <f>IF(설정!$C$5="","",IFERROR(INDEX('1.산군_붙여넣기'!$A$1:$AZ$1001,ROW(),설정!$C$5)&amp;"",""))</f>
        <v/>
      </c>
      <c r="D483" s="5">
        <f>IFERROR(VALUE(SUBSTITUTE(SUBSTITUTE(SUBSTITUTE(IF(설정!$C$6="","",IFERROR(INDEX('1.산군_붙여넣기'!$A$1:$AZ$1001,ROW(),설정!$C$6)&amp;"","")),",",""),"㎡",""),"m2","")),"")</f>
        <v/>
      </c>
      <c r="E483">
        <f>IF(설정!$C$7="","",IFERROR(INDEX('1.산군_붙여넣기'!$A$1:$AZ$1001,ROW(),설정!$C$7)&amp;"",""))</f>
        <v/>
      </c>
      <c r="F483">
        <f>IF(설정!$C$8="","",IFERROR(INDEX('1.산군_붙여넣기'!$A$1:$AZ$1001,ROW(),설정!$C$8)&amp;"",""))</f>
        <v/>
      </c>
      <c r="G483">
        <f>IF(설정!$C$9="","",IFERROR(INDEX('1.산군_붙여넣기'!$A$1:$AZ$1001,ROW(),설정!$C$9)&amp;"",""))</f>
        <v/>
      </c>
      <c r="H483">
        <f>IF(설정!$C$10="","",IFERROR(INDEX('1.산군_붙여넣기'!$A$1:$AZ$1001,ROW(),설정!$C$10)&amp;"",""))</f>
        <v/>
      </c>
      <c r="I483">
        <f>IF(설정!$C$11="","",IFERROR(INDEX('1.산군_붙여넣기'!$A$1:$AZ$1001,ROW(),설정!$C$11)&amp;"",""))</f>
        <v/>
      </c>
      <c r="J483">
        <f>IF(설정!$C$12="","",IFERROR(INDEX('1.산군_붙여넣기'!$A$1:$AZ$1001,ROW(),설정!$C$12)&amp;"",""))</f>
        <v/>
      </c>
      <c r="K483">
        <f>IF(설정!$C$13="","",IFERROR(INDEX('1.산군_붙여넣기'!$A$1:$AZ$1001,ROW(),설정!$C$13)&amp;"",""))</f>
        <v/>
      </c>
      <c r="L483" s="7">
        <f>IF(X483="","",IF(AND(LEN(X483)=8,ISNUMBER(X483*1)),DATE(LEFT(X483,4),MID(X483,5,2),RIGHT(X483,2)),IFERROR(DATEVALUE(SUBSTITUTE(SUBSTITUTE(X483,".","-"),"/","-")),IFERROR(X483*1,""))))</f>
        <v/>
      </c>
      <c r="M483" s="7">
        <f>IF(Y483="","",IF(AND(LEN(Y483)=8,ISNUMBER(Y483*1)),DATE(LEFT(Y483,4),MID(Y483,5,2),RIGHT(Y483,2)),IFERROR(DATEVALUE(SUBSTITUTE(SUBSTITUTE(Y483,".","-"),"/","-")),IFERROR(Y483*1,""))))</f>
        <v/>
      </c>
      <c r="N483">
        <f>IFERROR(LEFT(B483,FIND(" ",B483)-1),B483)</f>
        <v/>
      </c>
      <c r="O483">
        <f>AND(B483&lt;&gt;"",B483&lt;&gt;설정!$B$4,C483&lt;&gt;설정!$B$5)</f>
        <v/>
      </c>
      <c r="P483">
        <f>IF(O483,B483&amp;"|"&amp;C483,"")</f>
        <v/>
      </c>
      <c r="Q483">
        <f>AND(O483,COUNTIF(P484:P$1002,P483)=0)</f>
        <v/>
      </c>
      <c r="R483">
        <f>OR(AND(설정!$A$42&lt;&gt;"",ISNUMBER(SEARCH(설정!$A$42,E483&amp;" "&amp;C483))),AND(설정!$A$43&lt;&gt;"",ISNUMBER(SEARCH(설정!$A$43,E483&amp;" "&amp;C483))),AND(설정!$A$44&lt;&gt;"",ISNUMBER(SEARCH(설정!$A$44,E483&amp;" "&amp;C483))),AND(설정!$A$45&lt;&gt;"",ISNUMBER(SEARCH(설정!$A$45,E483&amp;" "&amp;C483))),AND(설정!$A$46&lt;&gt;"",ISNUMBER(SEARCH(설정!$A$46,E483&amp;" "&amp;C483))),AND(설정!$A$47&lt;&gt;"",ISNUMBER(SEARCH(설정!$A$47,E483&amp;" "&amp;C483))),AND(설정!$A$48&lt;&gt;"",ISNUMBER(SEARCH(설정!$A$48,E483&amp;" "&amp;C483))),AND(설정!$A$49&lt;&gt;"",ISNUMBER(SEARCH(설정!$A$49,E483&amp;" "&amp;C483))),AND(설정!$A$50&lt;&gt;"",ISNUMBER(SEARCH(설정!$A$50,E483&amp;" "&amp;C483))),AND(설정!$A$51&lt;&gt;"",ISNUMBER(SEARCH(설정!$A$51,E483&amp;" "&amp;C483))))</f>
        <v/>
      </c>
      <c r="S483">
        <f>OR(D483="",D483&gt;=설정!$B$19)</f>
        <v/>
      </c>
      <c r="T483">
        <f>AND(Q483,R483,S483)</f>
        <v/>
      </c>
      <c r="U483">
        <f>IF(T483,IF(AND(설정!$A$54&lt;&gt;"",ISNUMBER(SEARCH(설정!$A$54,K483))),설정!$B$54,IF(AND(설정!$A$55&lt;&gt;"",ISNUMBER(SEARCH(설정!$A$55,K483))),설정!$B$55,IF(AND(설정!$A$56&lt;&gt;"",ISNUMBER(SEARCH(설정!$A$56,K483))),설정!$B$56,IF(AND(설정!$A$57&lt;&gt;"",ISNUMBER(SEARCH(설정!$A$57,K483))),설정!$B$57,IF(AND(설정!$A$58&lt;&gt;"",ISNUMBER(SEARCH(설정!$A$58,K483))),설정!$B$58,IF(AND(설정!$A$59&lt;&gt;"",ISNUMBER(SEARCH(설정!$A$59,K483))),설정!$B$59,IF(AND(설정!$A$60&lt;&gt;"",ISNUMBER(SEARCH(설정!$A$60,K483))),설정!$B$60,IF(AND(설정!$A$61&lt;&gt;"",ISNUMBER(SEARCH(설정!$A$61,K483))),설정!$B$61,IF(M483="","설계사","시공사"))))))))),"")</f>
        <v/>
      </c>
      <c r="V483">
        <f>SUBSTITUTE(SUBSTITUTE(SUBSTITUTE(SUBSTITUTE(G483,"(주)",""),"㈜",""),"주식회사","")," ","")</f>
        <v/>
      </c>
      <c r="W483">
        <f>IF(AND(T483,V483&lt;&gt;""),IF(COUNTIFS(V$2:V483,V483,T$2:T483,TRUE)=1,MAX(W$1:W482)+1,""),"")</f>
        <v/>
      </c>
      <c r="X483">
        <f>IF(설정!$C$14="","",IFERROR(INDEX('1.산군_붙여넣기'!$A$1:$AZ$1001,ROW(),설정!$C$14)&amp;"",""))</f>
        <v/>
      </c>
      <c r="Y483">
        <f>IF(설정!$C$15="","",IFERROR(INDEX('1.산군_붙여넣기'!$A$1:$AZ$1001,ROW(),설정!$C$15)&amp;"",""))</f>
        <v/>
      </c>
      <c r="Z483">
        <f>IF(T483,V483&amp;"|"&amp;U483,"")</f>
        <v/>
      </c>
      <c r="AA483">
        <f>IF(NOT(Q483),"",IF(NOT(AND(R483,S483)),"✕",IF(OR(OR(AND(L483&lt;&gt;"",M483&lt;&gt;"",N(M483)-N(L483)&gt;설정!$B$27),AND(L483&lt;&gt;"",M483="",설정!$B$24-N(L483)&gt;설정!$B$27)),AND(D483&lt;&gt;"",D483&lt;설정!$B$26)),"△","★")))</f>
        <v/>
      </c>
      <c r="AB483">
        <f>IF(NOT(T483),"",IF(U483="설계사",설정!$B$31,IF(U483="시공사",IF(OR(M483="",설정!$B$24-N(M483)&lt;=설정!$B$28*30.4),설정!$B$32,설정!$B$33),설정!$B$34))+IF(AA483="★",설정!$B$35,0))</f>
        <v/>
      </c>
      <c r="AC483">
        <f>SUBSTITUTE(SUBSTITUTE(SUBSTITUTE(SUBSTITUTE(H483,"(주)",""),"㈜",""),"주식회사","")," ","")</f>
        <v/>
      </c>
      <c r="AD483">
        <f>IF(AND(T483,AC483&lt;&gt;""),IF(COUNTIFS(AC$2:AC483,AC483,T$2:T483,TRUE)=1,MAX(AD$1:AD482)+1,""),"")</f>
        <v/>
      </c>
    </row>
    <row r="484">
      <c r="A484">
        <f>ROW()</f>
        <v/>
      </c>
      <c r="B484">
        <f>IF(설정!$C$4="","",IFERROR(INDEX('1.산군_붙여넣기'!$A$1:$AZ$1001,ROW(),설정!$C$4)&amp;"",""))</f>
        <v/>
      </c>
      <c r="C484">
        <f>IF(설정!$C$5="","",IFERROR(INDEX('1.산군_붙여넣기'!$A$1:$AZ$1001,ROW(),설정!$C$5)&amp;"",""))</f>
        <v/>
      </c>
      <c r="D484" s="5">
        <f>IFERROR(VALUE(SUBSTITUTE(SUBSTITUTE(SUBSTITUTE(IF(설정!$C$6="","",IFERROR(INDEX('1.산군_붙여넣기'!$A$1:$AZ$1001,ROW(),설정!$C$6)&amp;"","")),",",""),"㎡",""),"m2","")),"")</f>
        <v/>
      </c>
      <c r="E484">
        <f>IF(설정!$C$7="","",IFERROR(INDEX('1.산군_붙여넣기'!$A$1:$AZ$1001,ROW(),설정!$C$7)&amp;"",""))</f>
        <v/>
      </c>
      <c r="F484">
        <f>IF(설정!$C$8="","",IFERROR(INDEX('1.산군_붙여넣기'!$A$1:$AZ$1001,ROW(),설정!$C$8)&amp;"",""))</f>
        <v/>
      </c>
      <c r="G484">
        <f>IF(설정!$C$9="","",IFERROR(INDEX('1.산군_붙여넣기'!$A$1:$AZ$1001,ROW(),설정!$C$9)&amp;"",""))</f>
        <v/>
      </c>
      <c r="H484">
        <f>IF(설정!$C$10="","",IFERROR(INDEX('1.산군_붙여넣기'!$A$1:$AZ$1001,ROW(),설정!$C$10)&amp;"",""))</f>
        <v/>
      </c>
      <c r="I484">
        <f>IF(설정!$C$11="","",IFERROR(INDEX('1.산군_붙여넣기'!$A$1:$AZ$1001,ROW(),설정!$C$11)&amp;"",""))</f>
        <v/>
      </c>
      <c r="J484">
        <f>IF(설정!$C$12="","",IFERROR(INDEX('1.산군_붙여넣기'!$A$1:$AZ$1001,ROW(),설정!$C$12)&amp;"",""))</f>
        <v/>
      </c>
      <c r="K484">
        <f>IF(설정!$C$13="","",IFERROR(INDEX('1.산군_붙여넣기'!$A$1:$AZ$1001,ROW(),설정!$C$13)&amp;"",""))</f>
        <v/>
      </c>
      <c r="L484" s="7">
        <f>IF(X484="","",IF(AND(LEN(X484)=8,ISNUMBER(X484*1)),DATE(LEFT(X484,4),MID(X484,5,2),RIGHT(X484,2)),IFERROR(DATEVALUE(SUBSTITUTE(SUBSTITUTE(X484,".","-"),"/","-")),IFERROR(X484*1,""))))</f>
        <v/>
      </c>
      <c r="M484" s="7">
        <f>IF(Y484="","",IF(AND(LEN(Y484)=8,ISNUMBER(Y484*1)),DATE(LEFT(Y484,4),MID(Y484,5,2),RIGHT(Y484,2)),IFERROR(DATEVALUE(SUBSTITUTE(SUBSTITUTE(Y484,".","-"),"/","-")),IFERROR(Y484*1,""))))</f>
        <v/>
      </c>
      <c r="N484">
        <f>IFERROR(LEFT(B484,FIND(" ",B484)-1),B484)</f>
        <v/>
      </c>
      <c r="O484">
        <f>AND(B484&lt;&gt;"",B484&lt;&gt;설정!$B$4,C484&lt;&gt;설정!$B$5)</f>
        <v/>
      </c>
      <c r="P484">
        <f>IF(O484,B484&amp;"|"&amp;C484,"")</f>
        <v/>
      </c>
      <c r="Q484">
        <f>AND(O484,COUNTIF(P485:P$1002,P484)=0)</f>
        <v/>
      </c>
      <c r="R484">
        <f>OR(AND(설정!$A$42&lt;&gt;"",ISNUMBER(SEARCH(설정!$A$42,E484&amp;" "&amp;C484))),AND(설정!$A$43&lt;&gt;"",ISNUMBER(SEARCH(설정!$A$43,E484&amp;" "&amp;C484))),AND(설정!$A$44&lt;&gt;"",ISNUMBER(SEARCH(설정!$A$44,E484&amp;" "&amp;C484))),AND(설정!$A$45&lt;&gt;"",ISNUMBER(SEARCH(설정!$A$45,E484&amp;" "&amp;C484))),AND(설정!$A$46&lt;&gt;"",ISNUMBER(SEARCH(설정!$A$46,E484&amp;" "&amp;C484))),AND(설정!$A$47&lt;&gt;"",ISNUMBER(SEARCH(설정!$A$47,E484&amp;" "&amp;C484))),AND(설정!$A$48&lt;&gt;"",ISNUMBER(SEARCH(설정!$A$48,E484&amp;" "&amp;C484))),AND(설정!$A$49&lt;&gt;"",ISNUMBER(SEARCH(설정!$A$49,E484&amp;" "&amp;C484))),AND(설정!$A$50&lt;&gt;"",ISNUMBER(SEARCH(설정!$A$50,E484&amp;" "&amp;C484))),AND(설정!$A$51&lt;&gt;"",ISNUMBER(SEARCH(설정!$A$51,E484&amp;" "&amp;C484))))</f>
        <v/>
      </c>
      <c r="S484">
        <f>OR(D484="",D484&gt;=설정!$B$19)</f>
        <v/>
      </c>
      <c r="T484">
        <f>AND(Q484,R484,S484)</f>
        <v/>
      </c>
      <c r="U484">
        <f>IF(T484,IF(AND(설정!$A$54&lt;&gt;"",ISNUMBER(SEARCH(설정!$A$54,K484))),설정!$B$54,IF(AND(설정!$A$55&lt;&gt;"",ISNUMBER(SEARCH(설정!$A$55,K484))),설정!$B$55,IF(AND(설정!$A$56&lt;&gt;"",ISNUMBER(SEARCH(설정!$A$56,K484))),설정!$B$56,IF(AND(설정!$A$57&lt;&gt;"",ISNUMBER(SEARCH(설정!$A$57,K484))),설정!$B$57,IF(AND(설정!$A$58&lt;&gt;"",ISNUMBER(SEARCH(설정!$A$58,K484))),설정!$B$58,IF(AND(설정!$A$59&lt;&gt;"",ISNUMBER(SEARCH(설정!$A$59,K484))),설정!$B$59,IF(AND(설정!$A$60&lt;&gt;"",ISNUMBER(SEARCH(설정!$A$60,K484))),설정!$B$60,IF(AND(설정!$A$61&lt;&gt;"",ISNUMBER(SEARCH(설정!$A$61,K484))),설정!$B$61,IF(M484="","설계사","시공사"))))))))),"")</f>
        <v/>
      </c>
      <c r="V484">
        <f>SUBSTITUTE(SUBSTITUTE(SUBSTITUTE(SUBSTITUTE(G484,"(주)",""),"㈜",""),"주식회사","")," ","")</f>
        <v/>
      </c>
      <c r="W484">
        <f>IF(AND(T484,V484&lt;&gt;""),IF(COUNTIFS(V$2:V484,V484,T$2:T484,TRUE)=1,MAX(W$1:W483)+1,""),"")</f>
        <v/>
      </c>
      <c r="X484">
        <f>IF(설정!$C$14="","",IFERROR(INDEX('1.산군_붙여넣기'!$A$1:$AZ$1001,ROW(),설정!$C$14)&amp;"",""))</f>
        <v/>
      </c>
      <c r="Y484">
        <f>IF(설정!$C$15="","",IFERROR(INDEX('1.산군_붙여넣기'!$A$1:$AZ$1001,ROW(),설정!$C$15)&amp;"",""))</f>
        <v/>
      </c>
      <c r="Z484">
        <f>IF(T484,V484&amp;"|"&amp;U484,"")</f>
        <v/>
      </c>
      <c r="AA484">
        <f>IF(NOT(Q484),"",IF(NOT(AND(R484,S484)),"✕",IF(OR(OR(AND(L484&lt;&gt;"",M484&lt;&gt;"",N(M484)-N(L484)&gt;설정!$B$27),AND(L484&lt;&gt;"",M484="",설정!$B$24-N(L484)&gt;설정!$B$27)),AND(D484&lt;&gt;"",D484&lt;설정!$B$26)),"△","★")))</f>
        <v/>
      </c>
      <c r="AB484">
        <f>IF(NOT(T484),"",IF(U484="설계사",설정!$B$31,IF(U484="시공사",IF(OR(M484="",설정!$B$24-N(M484)&lt;=설정!$B$28*30.4),설정!$B$32,설정!$B$33),설정!$B$34))+IF(AA484="★",설정!$B$35,0))</f>
        <v/>
      </c>
      <c r="AC484">
        <f>SUBSTITUTE(SUBSTITUTE(SUBSTITUTE(SUBSTITUTE(H484,"(주)",""),"㈜",""),"주식회사","")," ","")</f>
        <v/>
      </c>
      <c r="AD484">
        <f>IF(AND(T484,AC484&lt;&gt;""),IF(COUNTIFS(AC$2:AC484,AC484,T$2:T484,TRUE)=1,MAX(AD$1:AD483)+1,""),"")</f>
        <v/>
      </c>
    </row>
    <row r="485">
      <c r="A485">
        <f>ROW()</f>
        <v/>
      </c>
      <c r="B485">
        <f>IF(설정!$C$4="","",IFERROR(INDEX('1.산군_붙여넣기'!$A$1:$AZ$1001,ROW(),설정!$C$4)&amp;"",""))</f>
        <v/>
      </c>
      <c r="C485">
        <f>IF(설정!$C$5="","",IFERROR(INDEX('1.산군_붙여넣기'!$A$1:$AZ$1001,ROW(),설정!$C$5)&amp;"",""))</f>
        <v/>
      </c>
      <c r="D485" s="5">
        <f>IFERROR(VALUE(SUBSTITUTE(SUBSTITUTE(SUBSTITUTE(IF(설정!$C$6="","",IFERROR(INDEX('1.산군_붙여넣기'!$A$1:$AZ$1001,ROW(),설정!$C$6)&amp;"","")),",",""),"㎡",""),"m2","")),"")</f>
        <v/>
      </c>
      <c r="E485">
        <f>IF(설정!$C$7="","",IFERROR(INDEX('1.산군_붙여넣기'!$A$1:$AZ$1001,ROW(),설정!$C$7)&amp;"",""))</f>
        <v/>
      </c>
      <c r="F485">
        <f>IF(설정!$C$8="","",IFERROR(INDEX('1.산군_붙여넣기'!$A$1:$AZ$1001,ROW(),설정!$C$8)&amp;"",""))</f>
        <v/>
      </c>
      <c r="G485">
        <f>IF(설정!$C$9="","",IFERROR(INDEX('1.산군_붙여넣기'!$A$1:$AZ$1001,ROW(),설정!$C$9)&amp;"",""))</f>
        <v/>
      </c>
      <c r="H485">
        <f>IF(설정!$C$10="","",IFERROR(INDEX('1.산군_붙여넣기'!$A$1:$AZ$1001,ROW(),설정!$C$10)&amp;"",""))</f>
        <v/>
      </c>
      <c r="I485">
        <f>IF(설정!$C$11="","",IFERROR(INDEX('1.산군_붙여넣기'!$A$1:$AZ$1001,ROW(),설정!$C$11)&amp;"",""))</f>
        <v/>
      </c>
      <c r="J485">
        <f>IF(설정!$C$12="","",IFERROR(INDEX('1.산군_붙여넣기'!$A$1:$AZ$1001,ROW(),설정!$C$12)&amp;"",""))</f>
        <v/>
      </c>
      <c r="K485">
        <f>IF(설정!$C$13="","",IFERROR(INDEX('1.산군_붙여넣기'!$A$1:$AZ$1001,ROW(),설정!$C$13)&amp;"",""))</f>
        <v/>
      </c>
      <c r="L485" s="7">
        <f>IF(X485="","",IF(AND(LEN(X485)=8,ISNUMBER(X485*1)),DATE(LEFT(X485,4),MID(X485,5,2),RIGHT(X485,2)),IFERROR(DATEVALUE(SUBSTITUTE(SUBSTITUTE(X485,".","-"),"/","-")),IFERROR(X485*1,""))))</f>
        <v/>
      </c>
      <c r="M485" s="7">
        <f>IF(Y485="","",IF(AND(LEN(Y485)=8,ISNUMBER(Y485*1)),DATE(LEFT(Y485,4),MID(Y485,5,2),RIGHT(Y485,2)),IFERROR(DATEVALUE(SUBSTITUTE(SUBSTITUTE(Y485,".","-"),"/","-")),IFERROR(Y485*1,""))))</f>
        <v/>
      </c>
      <c r="N485">
        <f>IFERROR(LEFT(B485,FIND(" ",B485)-1),B485)</f>
        <v/>
      </c>
      <c r="O485">
        <f>AND(B485&lt;&gt;"",B485&lt;&gt;설정!$B$4,C485&lt;&gt;설정!$B$5)</f>
        <v/>
      </c>
      <c r="P485">
        <f>IF(O485,B485&amp;"|"&amp;C485,"")</f>
        <v/>
      </c>
      <c r="Q485">
        <f>AND(O485,COUNTIF(P486:P$1002,P485)=0)</f>
        <v/>
      </c>
      <c r="R485">
        <f>OR(AND(설정!$A$42&lt;&gt;"",ISNUMBER(SEARCH(설정!$A$42,E485&amp;" "&amp;C485))),AND(설정!$A$43&lt;&gt;"",ISNUMBER(SEARCH(설정!$A$43,E485&amp;" "&amp;C485))),AND(설정!$A$44&lt;&gt;"",ISNUMBER(SEARCH(설정!$A$44,E485&amp;" "&amp;C485))),AND(설정!$A$45&lt;&gt;"",ISNUMBER(SEARCH(설정!$A$45,E485&amp;" "&amp;C485))),AND(설정!$A$46&lt;&gt;"",ISNUMBER(SEARCH(설정!$A$46,E485&amp;" "&amp;C485))),AND(설정!$A$47&lt;&gt;"",ISNUMBER(SEARCH(설정!$A$47,E485&amp;" "&amp;C485))),AND(설정!$A$48&lt;&gt;"",ISNUMBER(SEARCH(설정!$A$48,E485&amp;" "&amp;C485))),AND(설정!$A$49&lt;&gt;"",ISNUMBER(SEARCH(설정!$A$49,E485&amp;" "&amp;C485))),AND(설정!$A$50&lt;&gt;"",ISNUMBER(SEARCH(설정!$A$50,E485&amp;" "&amp;C485))),AND(설정!$A$51&lt;&gt;"",ISNUMBER(SEARCH(설정!$A$51,E485&amp;" "&amp;C485))))</f>
        <v/>
      </c>
      <c r="S485">
        <f>OR(D485="",D485&gt;=설정!$B$19)</f>
        <v/>
      </c>
      <c r="T485">
        <f>AND(Q485,R485,S485)</f>
        <v/>
      </c>
      <c r="U485">
        <f>IF(T485,IF(AND(설정!$A$54&lt;&gt;"",ISNUMBER(SEARCH(설정!$A$54,K485))),설정!$B$54,IF(AND(설정!$A$55&lt;&gt;"",ISNUMBER(SEARCH(설정!$A$55,K485))),설정!$B$55,IF(AND(설정!$A$56&lt;&gt;"",ISNUMBER(SEARCH(설정!$A$56,K485))),설정!$B$56,IF(AND(설정!$A$57&lt;&gt;"",ISNUMBER(SEARCH(설정!$A$57,K485))),설정!$B$57,IF(AND(설정!$A$58&lt;&gt;"",ISNUMBER(SEARCH(설정!$A$58,K485))),설정!$B$58,IF(AND(설정!$A$59&lt;&gt;"",ISNUMBER(SEARCH(설정!$A$59,K485))),설정!$B$59,IF(AND(설정!$A$60&lt;&gt;"",ISNUMBER(SEARCH(설정!$A$60,K485))),설정!$B$60,IF(AND(설정!$A$61&lt;&gt;"",ISNUMBER(SEARCH(설정!$A$61,K485))),설정!$B$61,IF(M485="","설계사","시공사"))))))))),"")</f>
        <v/>
      </c>
      <c r="V485">
        <f>SUBSTITUTE(SUBSTITUTE(SUBSTITUTE(SUBSTITUTE(G485,"(주)",""),"㈜",""),"주식회사","")," ","")</f>
        <v/>
      </c>
      <c r="W485">
        <f>IF(AND(T485,V485&lt;&gt;""),IF(COUNTIFS(V$2:V485,V485,T$2:T485,TRUE)=1,MAX(W$1:W484)+1,""),"")</f>
        <v/>
      </c>
      <c r="X485">
        <f>IF(설정!$C$14="","",IFERROR(INDEX('1.산군_붙여넣기'!$A$1:$AZ$1001,ROW(),설정!$C$14)&amp;"",""))</f>
        <v/>
      </c>
      <c r="Y485">
        <f>IF(설정!$C$15="","",IFERROR(INDEX('1.산군_붙여넣기'!$A$1:$AZ$1001,ROW(),설정!$C$15)&amp;"",""))</f>
        <v/>
      </c>
      <c r="Z485">
        <f>IF(T485,V485&amp;"|"&amp;U485,"")</f>
        <v/>
      </c>
      <c r="AA485">
        <f>IF(NOT(Q485),"",IF(NOT(AND(R485,S485)),"✕",IF(OR(OR(AND(L485&lt;&gt;"",M485&lt;&gt;"",N(M485)-N(L485)&gt;설정!$B$27),AND(L485&lt;&gt;"",M485="",설정!$B$24-N(L485)&gt;설정!$B$27)),AND(D485&lt;&gt;"",D485&lt;설정!$B$26)),"△","★")))</f>
        <v/>
      </c>
      <c r="AB485">
        <f>IF(NOT(T485),"",IF(U485="설계사",설정!$B$31,IF(U485="시공사",IF(OR(M485="",설정!$B$24-N(M485)&lt;=설정!$B$28*30.4),설정!$B$32,설정!$B$33),설정!$B$34))+IF(AA485="★",설정!$B$35,0))</f>
        <v/>
      </c>
      <c r="AC485">
        <f>SUBSTITUTE(SUBSTITUTE(SUBSTITUTE(SUBSTITUTE(H485,"(주)",""),"㈜",""),"주식회사","")," ","")</f>
        <v/>
      </c>
      <c r="AD485">
        <f>IF(AND(T485,AC485&lt;&gt;""),IF(COUNTIFS(AC$2:AC485,AC485,T$2:T485,TRUE)=1,MAX(AD$1:AD484)+1,""),"")</f>
        <v/>
      </c>
    </row>
    <row r="486">
      <c r="A486">
        <f>ROW()</f>
        <v/>
      </c>
      <c r="B486">
        <f>IF(설정!$C$4="","",IFERROR(INDEX('1.산군_붙여넣기'!$A$1:$AZ$1001,ROW(),설정!$C$4)&amp;"",""))</f>
        <v/>
      </c>
      <c r="C486">
        <f>IF(설정!$C$5="","",IFERROR(INDEX('1.산군_붙여넣기'!$A$1:$AZ$1001,ROW(),설정!$C$5)&amp;"",""))</f>
        <v/>
      </c>
      <c r="D486" s="5">
        <f>IFERROR(VALUE(SUBSTITUTE(SUBSTITUTE(SUBSTITUTE(IF(설정!$C$6="","",IFERROR(INDEX('1.산군_붙여넣기'!$A$1:$AZ$1001,ROW(),설정!$C$6)&amp;"","")),",",""),"㎡",""),"m2","")),"")</f>
        <v/>
      </c>
      <c r="E486">
        <f>IF(설정!$C$7="","",IFERROR(INDEX('1.산군_붙여넣기'!$A$1:$AZ$1001,ROW(),설정!$C$7)&amp;"",""))</f>
        <v/>
      </c>
      <c r="F486">
        <f>IF(설정!$C$8="","",IFERROR(INDEX('1.산군_붙여넣기'!$A$1:$AZ$1001,ROW(),설정!$C$8)&amp;"",""))</f>
        <v/>
      </c>
      <c r="G486">
        <f>IF(설정!$C$9="","",IFERROR(INDEX('1.산군_붙여넣기'!$A$1:$AZ$1001,ROW(),설정!$C$9)&amp;"",""))</f>
        <v/>
      </c>
      <c r="H486">
        <f>IF(설정!$C$10="","",IFERROR(INDEX('1.산군_붙여넣기'!$A$1:$AZ$1001,ROW(),설정!$C$10)&amp;"",""))</f>
        <v/>
      </c>
      <c r="I486">
        <f>IF(설정!$C$11="","",IFERROR(INDEX('1.산군_붙여넣기'!$A$1:$AZ$1001,ROW(),설정!$C$11)&amp;"",""))</f>
        <v/>
      </c>
      <c r="J486">
        <f>IF(설정!$C$12="","",IFERROR(INDEX('1.산군_붙여넣기'!$A$1:$AZ$1001,ROW(),설정!$C$12)&amp;"",""))</f>
        <v/>
      </c>
      <c r="K486">
        <f>IF(설정!$C$13="","",IFERROR(INDEX('1.산군_붙여넣기'!$A$1:$AZ$1001,ROW(),설정!$C$13)&amp;"",""))</f>
        <v/>
      </c>
      <c r="L486" s="7">
        <f>IF(X486="","",IF(AND(LEN(X486)=8,ISNUMBER(X486*1)),DATE(LEFT(X486,4),MID(X486,5,2),RIGHT(X486,2)),IFERROR(DATEVALUE(SUBSTITUTE(SUBSTITUTE(X486,".","-"),"/","-")),IFERROR(X486*1,""))))</f>
        <v/>
      </c>
      <c r="M486" s="7">
        <f>IF(Y486="","",IF(AND(LEN(Y486)=8,ISNUMBER(Y486*1)),DATE(LEFT(Y486,4),MID(Y486,5,2),RIGHT(Y486,2)),IFERROR(DATEVALUE(SUBSTITUTE(SUBSTITUTE(Y486,".","-"),"/","-")),IFERROR(Y486*1,""))))</f>
        <v/>
      </c>
      <c r="N486">
        <f>IFERROR(LEFT(B486,FIND(" ",B486)-1),B486)</f>
        <v/>
      </c>
      <c r="O486">
        <f>AND(B486&lt;&gt;"",B486&lt;&gt;설정!$B$4,C486&lt;&gt;설정!$B$5)</f>
        <v/>
      </c>
      <c r="P486">
        <f>IF(O486,B486&amp;"|"&amp;C486,"")</f>
        <v/>
      </c>
      <c r="Q486">
        <f>AND(O486,COUNTIF(P487:P$1002,P486)=0)</f>
        <v/>
      </c>
      <c r="R486">
        <f>OR(AND(설정!$A$42&lt;&gt;"",ISNUMBER(SEARCH(설정!$A$42,E486&amp;" "&amp;C486))),AND(설정!$A$43&lt;&gt;"",ISNUMBER(SEARCH(설정!$A$43,E486&amp;" "&amp;C486))),AND(설정!$A$44&lt;&gt;"",ISNUMBER(SEARCH(설정!$A$44,E486&amp;" "&amp;C486))),AND(설정!$A$45&lt;&gt;"",ISNUMBER(SEARCH(설정!$A$45,E486&amp;" "&amp;C486))),AND(설정!$A$46&lt;&gt;"",ISNUMBER(SEARCH(설정!$A$46,E486&amp;" "&amp;C486))),AND(설정!$A$47&lt;&gt;"",ISNUMBER(SEARCH(설정!$A$47,E486&amp;" "&amp;C486))),AND(설정!$A$48&lt;&gt;"",ISNUMBER(SEARCH(설정!$A$48,E486&amp;" "&amp;C486))),AND(설정!$A$49&lt;&gt;"",ISNUMBER(SEARCH(설정!$A$49,E486&amp;" "&amp;C486))),AND(설정!$A$50&lt;&gt;"",ISNUMBER(SEARCH(설정!$A$50,E486&amp;" "&amp;C486))),AND(설정!$A$51&lt;&gt;"",ISNUMBER(SEARCH(설정!$A$51,E486&amp;" "&amp;C486))))</f>
        <v/>
      </c>
      <c r="S486">
        <f>OR(D486="",D486&gt;=설정!$B$19)</f>
        <v/>
      </c>
      <c r="T486">
        <f>AND(Q486,R486,S486)</f>
        <v/>
      </c>
      <c r="U486">
        <f>IF(T486,IF(AND(설정!$A$54&lt;&gt;"",ISNUMBER(SEARCH(설정!$A$54,K486))),설정!$B$54,IF(AND(설정!$A$55&lt;&gt;"",ISNUMBER(SEARCH(설정!$A$55,K486))),설정!$B$55,IF(AND(설정!$A$56&lt;&gt;"",ISNUMBER(SEARCH(설정!$A$56,K486))),설정!$B$56,IF(AND(설정!$A$57&lt;&gt;"",ISNUMBER(SEARCH(설정!$A$57,K486))),설정!$B$57,IF(AND(설정!$A$58&lt;&gt;"",ISNUMBER(SEARCH(설정!$A$58,K486))),설정!$B$58,IF(AND(설정!$A$59&lt;&gt;"",ISNUMBER(SEARCH(설정!$A$59,K486))),설정!$B$59,IF(AND(설정!$A$60&lt;&gt;"",ISNUMBER(SEARCH(설정!$A$60,K486))),설정!$B$60,IF(AND(설정!$A$61&lt;&gt;"",ISNUMBER(SEARCH(설정!$A$61,K486))),설정!$B$61,IF(M486="","설계사","시공사"))))))))),"")</f>
        <v/>
      </c>
      <c r="V486">
        <f>SUBSTITUTE(SUBSTITUTE(SUBSTITUTE(SUBSTITUTE(G486,"(주)",""),"㈜",""),"주식회사","")," ","")</f>
        <v/>
      </c>
      <c r="W486">
        <f>IF(AND(T486,V486&lt;&gt;""),IF(COUNTIFS(V$2:V486,V486,T$2:T486,TRUE)=1,MAX(W$1:W485)+1,""),"")</f>
        <v/>
      </c>
      <c r="X486">
        <f>IF(설정!$C$14="","",IFERROR(INDEX('1.산군_붙여넣기'!$A$1:$AZ$1001,ROW(),설정!$C$14)&amp;"",""))</f>
        <v/>
      </c>
      <c r="Y486">
        <f>IF(설정!$C$15="","",IFERROR(INDEX('1.산군_붙여넣기'!$A$1:$AZ$1001,ROW(),설정!$C$15)&amp;"",""))</f>
        <v/>
      </c>
      <c r="Z486">
        <f>IF(T486,V486&amp;"|"&amp;U486,"")</f>
        <v/>
      </c>
      <c r="AA486">
        <f>IF(NOT(Q486),"",IF(NOT(AND(R486,S486)),"✕",IF(OR(OR(AND(L486&lt;&gt;"",M486&lt;&gt;"",N(M486)-N(L486)&gt;설정!$B$27),AND(L486&lt;&gt;"",M486="",설정!$B$24-N(L486)&gt;설정!$B$27)),AND(D486&lt;&gt;"",D486&lt;설정!$B$26)),"△","★")))</f>
        <v/>
      </c>
      <c r="AB486">
        <f>IF(NOT(T486),"",IF(U486="설계사",설정!$B$31,IF(U486="시공사",IF(OR(M486="",설정!$B$24-N(M486)&lt;=설정!$B$28*30.4),설정!$B$32,설정!$B$33),설정!$B$34))+IF(AA486="★",설정!$B$35,0))</f>
        <v/>
      </c>
      <c r="AC486">
        <f>SUBSTITUTE(SUBSTITUTE(SUBSTITUTE(SUBSTITUTE(H486,"(주)",""),"㈜",""),"주식회사","")," ","")</f>
        <v/>
      </c>
      <c r="AD486">
        <f>IF(AND(T486,AC486&lt;&gt;""),IF(COUNTIFS(AC$2:AC486,AC486,T$2:T486,TRUE)=1,MAX(AD$1:AD485)+1,""),"")</f>
        <v/>
      </c>
    </row>
    <row r="487">
      <c r="A487">
        <f>ROW()</f>
        <v/>
      </c>
      <c r="B487">
        <f>IF(설정!$C$4="","",IFERROR(INDEX('1.산군_붙여넣기'!$A$1:$AZ$1001,ROW(),설정!$C$4)&amp;"",""))</f>
        <v/>
      </c>
      <c r="C487">
        <f>IF(설정!$C$5="","",IFERROR(INDEX('1.산군_붙여넣기'!$A$1:$AZ$1001,ROW(),설정!$C$5)&amp;"",""))</f>
        <v/>
      </c>
      <c r="D487" s="5">
        <f>IFERROR(VALUE(SUBSTITUTE(SUBSTITUTE(SUBSTITUTE(IF(설정!$C$6="","",IFERROR(INDEX('1.산군_붙여넣기'!$A$1:$AZ$1001,ROW(),설정!$C$6)&amp;"","")),",",""),"㎡",""),"m2","")),"")</f>
        <v/>
      </c>
      <c r="E487">
        <f>IF(설정!$C$7="","",IFERROR(INDEX('1.산군_붙여넣기'!$A$1:$AZ$1001,ROW(),설정!$C$7)&amp;"",""))</f>
        <v/>
      </c>
      <c r="F487">
        <f>IF(설정!$C$8="","",IFERROR(INDEX('1.산군_붙여넣기'!$A$1:$AZ$1001,ROW(),설정!$C$8)&amp;"",""))</f>
        <v/>
      </c>
      <c r="G487">
        <f>IF(설정!$C$9="","",IFERROR(INDEX('1.산군_붙여넣기'!$A$1:$AZ$1001,ROW(),설정!$C$9)&amp;"",""))</f>
        <v/>
      </c>
      <c r="H487">
        <f>IF(설정!$C$10="","",IFERROR(INDEX('1.산군_붙여넣기'!$A$1:$AZ$1001,ROW(),설정!$C$10)&amp;"",""))</f>
        <v/>
      </c>
      <c r="I487">
        <f>IF(설정!$C$11="","",IFERROR(INDEX('1.산군_붙여넣기'!$A$1:$AZ$1001,ROW(),설정!$C$11)&amp;"",""))</f>
        <v/>
      </c>
      <c r="J487">
        <f>IF(설정!$C$12="","",IFERROR(INDEX('1.산군_붙여넣기'!$A$1:$AZ$1001,ROW(),설정!$C$12)&amp;"",""))</f>
        <v/>
      </c>
      <c r="K487">
        <f>IF(설정!$C$13="","",IFERROR(INDEX('1.산군_붙여넣기'!$A$1:$AZ$1001,ROW(),설정!$C$13)&amp;"",""))</f>
        <v/>
      </c>
      <c r="L487" s="7">
        <f>IF(X487="","",IF(AND(LEN(X487)=8,ISNUMBER(X487*1)),DATE(LEFT(X487,4),MID(X487,5,2),RIGHT(X487,2)),IFERROR(DATEVALUE(SUBSTITUTE(SUBSTITUTE(X487,".","-"),"/","-")),IFERROR(X487*1,""))))</f>
        <v/>
      </c>
      <c r="M487" s="7">
        <f>IF(Y487="","",IF(AND(LEN(Y487)=8,ISNUMBER(Y487*1)),DATE(LEFT(Y487,4),MID(Y487,5,2),RIGHT(Y487,2)),IFERROR(DATEVALUE(SUBSTITUTE(SUBSTITUTE(Y487,".","-"),"/","-")),IFERROR(Y487*1,""))))</f>
        <v/>
      </c>
      <c r="N487">
        <f>IFERROR(LEFT(B487,FIND(" ",B487)-1),B487)</f>
        <v/>
      </c>
      <c r="O487">
        <f>AND(B487&lt;&gt;"",B487&lt;&gt;설정!$B$4,C487&lt;&gt;설정!$B$5)</f>
        <v/>
      </c>
      <c r="P487">
        <f>IF(O487,B487&amp;"|"&amp;C487,"")</f>
        <v/>
      </c>
      <c r="Q487">
        <f>AND(O487,COUNTIF(P488:P$1002,P487)=0)</f>
        <v/>
      </c>
      <c r="R487">
        <f>OR(AND(설정!$A$42&lt;&gt;"",ISNUMBER(SEARCH(설정!$A$42,E487&amp;" "&amp;C487))),AND(설정!$A$43&lt;&gt;"",ISNUMBER(SEARCH(설정!$A$43,E487&amp;" "&amp;C487))),AND(설정!$A$44&lt;&gt;"",ISNUMBER(SEARCH(설정!$A$44,E487&amp;" "&amp;C487))),AND(설정!$A$45&lt;&gt;"",ISNUMBER(SEARCH(설정!$A$45,E487&amp;" "&amp;C487))),AND(설정!$A$46&lt;&gt;"",ISNUMBER(SEARCH(설정!$A$46,E487&amp;" "&amp;C487))),AND(설정!$A$47&lt;&gt;"",ISNUMBER(SEARCH(설정!$A$47,E487&amp;" "&amp;C487))),AND(설정!$A$48&lt;&gt;"",ISNUMBER(SEARCH(설정!$A$48,E487&amp;" "&amp;C487))),AND(설정!$A$49&lt;&gt;"",ISNUMBER(SEARCH(설정!$A$49,E487&amp;" "&amp;C487))),AND(설정!$A$50&lt;&gt;"",ISNUMBER(SEARCH(설정!$A$50,E487&amp;" "&amp;C487))),AND(설정!$A$51&lt;&gt;"",ISNUMBER(SEARCH(설정!$A$51,E487&amp;" "&amp;C487))))</f>
        <v/>
      </c>
      <c r="S487">
        <f>OR(D487="",D487&gt;=설정!$B$19)</f>
        <v/>
      </c>
      <c r="T487">
        <f>AND(Q487,R487,S487)</f>
        <v/>
      </c>
      <c r="U487">
        <f>IF(T487,IF(AND(설정!$A$54&lt;&gt;"",ISNUMBER(SEARCH(설정!$A$54,K487))),설정!$B$54,IF(AND(설정!$A$55&lt;&gt;"",ISNUMBER(SEARCH(설정!$A$55,K487))),설정!$B$55,IF(AND(설정!$A$56&lt;&gt;"",ISNUMBER(SEARCH(설정!$A$56,K487))),설정!$B$56,IF(AND(설정!$A$57&lt;&gt;"",ISNUMBER(SEARCH(설정!$A$57,K487))),설정!$B$57,IF(AND(설정!$A$58&lt;&gt;"",ISNUMBER(SEARCH(설정!$A$58,K487))),설정!$B$58,IF(AND(설정!$A$59&lt;&gt;"",ISNUMBER(SEARCH(설정!$A$59,K487))),설정!$B$59,IF(AND(설정!$A$60&lt;&gt;"",ISNUMBER(SEARCH(설정!$A$60,K487))),설정!$B$60,IF(AND(설정!$A$61&lt;&gt;"",ISNUMBER(SEARCH(설정!$A$61,K487))),설정!$B$61,IF(M487="","설계사","시공사"))))))))),"")</f>
        <v/>
      </c>
      <c r="V487">
        <f>SUBSTITUTE(SUBSTITUTE(SUBSTITUTE(SUBSTITUTE(G487,"(주)",""),"㈜",""),"주식회사","")," ","")</f>
        <v/>
      </c>
      <c r="W487">
        <f>IF(AND(T487,V487&lt;&gt;""),IF(COUNTIFS(V$2:V487,V487,T$2:T487,TRUE)=1,MAX(W$1:W486)+1,""),"")</f>
        <v/>
      </c>
      <c r="X487">
        <f>IF(설정!$C$14="","",IFERROR(INDEX('1.산군_붙여넣기'!$A$1:$AZ$1001,ROW(),설정!$C$14)&amp;"",""))</f>
        <v/>
      </c>
      <c r="Y487">
        <f>IF(설정!$C$15="","",IFERROR(INDEX('1.산군_붙여넣기'!$A$1:$AZ$1001,ROW(),설정!$C$15)&amp;"",""))</f>
        <v/>
      </c>
      <c r="Z487">
        <f>IF(T487,V487&amp;"|"&amp;U487,"")</f>
        <v/>
      </c>
      <c r="AA487">
        <f>IF(NOT(Q487),"",IF(NOT(AND(R487,S487)),"✕",IF(OR(OR(AND(L487&lt;&gt;"",M487&lt;&gt;"",N(M487)-N(L487)&gt;설정!$B$27),AND(L487&lt;&gt;"",M487="",설정!$B$24-N(L487)&gt;설정!$B$27)),AND(D487&lt;&gt;"",D487&lt;설정!$B$26)),"△","★")))</f>
        <v/>
      </c>
      <c r="AB487">
        <f>IF(NOT(T487),"",IF(U487="설계사",설정!$B$31,IF(U487="시공사",IF(OR(M487="",설정!$B$24-N(M487)&lt;=설정!$B$28*30.4),설정!$B$32,설정!$B$33),설정!$B$34))+IF(AA487="★",설정!$B$35,0))</f>
        <v/>
      </c>
      <c r="AC487">
        <f>SUBSTITUTE(SUBSTITUTE(SUBSTITUTE(SUBSTITUTE(H487,"(주)",""),"㈜",""),"주식회사","")," ","")</f>
        <v/>
      </c>
      <c r="AD487">
        <f>IF(AND(T487,AC487&lt;&gt;""),IF(COUNTIFS(AC$2:AC487,AC487,T$2:T487,TRUE)=1,MAX(AD$1:AD486)+1,""),"")</f>
        <v/>
      </c>
    </row>
    <row r="488">
      <c r="A488">
        <f>ROW()</f>
        <v/>
      </c>
      <c r="B488">
        <f>IF(설정!$C$4="","",IFERROR(INDEX('1.산군_붙여넣기'!$A$1:$AZ$1001,ROW(),설정!$C$4)&amp;"",""))</f>
        <v/>
      </c>
      <c r="C488">
        <f>IF(설정!$C$5="","",IFERROR(INDEX('1.산군_붙여넣기'!$A$1:$AZ$1001,ROW(),설정!$C$5)&amp;"",""))</f>
        <v/>
      </c>
      <c r="D488" s="5">
        <f>IFERROR(VALUE(SUBSTITUTE(SUBSTITUTE(SUBSTITUTE(IF(설정!$C$6="","",IFERROR(INDEX('1.산군_붙여넣기'!$A$1:$AZ$1001,ROW(),설정!$C$6)&amp;"","")),",",""),"㎡",""),"m2","")),"")</f>
        <v/>
      </c>
      <c r="E488">
        <f>IF(설정!$C$7="","",IFERROR(INDEX('1.산군_붙여넣기'!$A$1:$AZ$1001,ROW(),설정!$C$7)&amp;"",""))</f>
        <v/>
      </c>
      <c r="F488">
        <f>IF(설정!$C$8="","",IFERROR(INDEX('1.산군_붙여넣기'!$A$1:$AZ$1001,ROW(),설정!$C$8)&amp;"",""))</f>
        <v/>
      </c>
      <c r="G488">
        <f>IF(설정!$C$9="","",IFERROR(INDEX('1.산군_붙여넣기'!$A$1:$AZ$1001,ROW(),설정!$C$9)&amp;"",""))</f>
        <v/>
      </c>
      <c r="H488">
        <f>IF(설정!$C$10="","",IFERROR(INDEX('1.산군_붙여넣기'!$A$1:$AZ$1001,ROW(),설정!$C$10)&amp;"",""))</f>
        <v/>
      </c>
      <c r="I488">
        <f>IF(설정!$C$11="","",IFERROR(INDEX('1.산군_붙여넣기'!$A$1:$AZ$1001,ROW(),설정!$C$11)&amp;"",""))</f>
        <v/>
      </c>
      <c r="J488">
        <f>IF(설정!$C$12="","",IFERROR(INDEX('1.산군_붙여넣기'!$A$1:$AZ$1001,ROW(),설정!$C$12)&amp;"",""))</f>
        <v/>
      </c>
      <c r="K488">
        <f>IF(설정!$C$13="","",IFERROR(INDEX('1.산군_붙여넣기'!$A$1:$AZ$1001,ROW(),설정!$C$13)&amp;"",""))</f>
        <v/>
      </c>
      <c r="L488" s="7">
        <f>IF(X488="","",IF(AND(LEN(X488)=8,ISNUMBER(X488*1)),DATE(LEFT(X488,4),MID(X488,5,2),RIGHT(X488,2)),IFERROR(DATEVALUE(SUBSTITUTE(SUBSTITUTE(X488,".","-"),"/","-")),IFERROR(X488*1,""))))</f>
        <v/>
      </c>
      <c r="M488" s="7">
        <f>IF(Y488="","",IF(AND(LEN(Y488)=8,ISNUMBER(Y488*1)),DATE(LEFT(Y488,4),MID(Y488,5,2),RIGHT(Y488,2)),IFERROR(DATEVALUE(SUBSTITUTE(SUBSTITUTE(Y488,".","-"),"/","-")),IFERROR(Y488*1,""))))</f>
        <v/>
      </c>
      <c r="N488">
        <f>IFERROR(LEFT(B488,FIND(" ",B488)-1),B488)</f>
        <v/>
      </c>
      <c r="O488">
        <f>AND(B488&lt;&gt;"",B488&lt;&gt;설정!$B$4,C488&lt;&gt;설정!$B$5)</f>
        <v/>
      </c>
      <c r="P488">
        <f>IF(O488,B488&amp;"|"&amp;C488,"")</f>
        <v/>
      </c>
      <c r="Q488">
        <f>AND(O488,COUNTIF(P489:P$1002,P488)=0)</f>
        <v/>
      </c>
      <c r="R488">
        <f>OR(AND(설정!$A$42&lt;&gt;"",ISNUMBER(SEARCH(설정!$A$42,E488&amp;" "&amp;C488))),AND(설정!$A$43&lt;&gt;"",ISNUMBER(SEARCH(설정!$A$43,E488&amp;" "&amp;C488))),AND(설정!$A$44&lt;&gt;"",ISNUMBER(SEARCH(설정!$A$44,E488&amp;" "&amp;C488))),AND(설정!$A$45&lt;&gt;"",ISNUMBER(SEARCH(설정!$A$45,E488&amp;" "&amp;C488))),AND(설정!$A$46&lt;&gt;"",ISNUMBER(SEARCH(설정!$A$46,E488&amp;" "&amp;C488))),AND(설정!$A$47&lt;&gt;"",ISNUMBER(SEARCH(설정!$A$47,E488&amp;" "&amp;C488))),AND(설정!$A$48&lt;&gt;"",ISNUMBER(SEARCH(설정!$A$48,E488&amp;" "&amp;C488))),AND(설정!$A$49&lt;&gt;"",ISNUMBER(SEARCH(설정!$A$49,E488&amp;" "&amp;C488))),AND(설정!$A$50&lt;&gt;"",ISNUMBER(SEARCH(설정!$A$50,E488&amp;" "&amp;C488))),AND(설정!$A$51&lt;&gt;"",ISNUMBER(SEARCH(설정!$A$51,E488&amp;" "&amp;C488))))</f>
        <v/>
      </c>
      <c r="S488">
        <f>OR(D488="",D488&gt;=설정!$B$19)</f>
        <v/>
      </c>
      <c r="T488">
        <f>AND(Q488,R488,S488)</f>
        <v/>
      </c>
      <c r="U488">
        <f>IF(T488,IF(AND(설정!$A$54&lt;&gt;"",ISNUMBER(SEARCH(설정!$A$54,K488))),설정!$B$54,IF(AND(설정!$A$55&lt;&gt;"",ISNUMBER(SEARCH(설정!$A$55,K488))),설정!$B$55,IF(AND(설정!$A$56&lt;&gt;"",ISNUMBER(SEARCH(설정!$A$56,K488))),설정!$B$56,IF(AND(설정!$A$57&lt;&gt;"",ISNUMBER(SEARCH(설정!$A$57,K488))),설정!$B$57,IF(AND(설정!$A$58&lt;&gt;"",ISNUMBER(SEARCH(설정!$A$58,K488))),설정!$B$58,IF(AND(설정!$A$59&lt;&gt;"",ISNUMBER(SEARCH(설정!$A$59,K488))),설정!$B$59,IF(AND(설정!$A$60&lt;&gt;"",ISNUMBER(SEARCH(설정!$A$60,K488))),설정!$B$60,IF(AND(설정!$A$61&lt;&gt;"",ISNUMBER(SEARCH(설정!$A$61,K488))),설정!$B$61,IF(M488="","설계사","시공사"))))))))),"")</f>
        <v/>
      </c>
      <c r="V488">
        <f>SUBSTITUTE(SUBSTITUTE(SUBSTITUTE(SUBSTITUTE(G488,"(주)",""),"㈜",""),"주식회사","")," ","")</f>
        <v/>
      </c>
      <c r="W488">
        <f>IF(AND(T488,V488&lt;&gt;""),IF(COUNTIFS(V$2:V488,V488,T$2:T488,TRUE)=1,MAX(W$1:W487)+1,""),"")</f>
        <v/>
      </c>
      <c r="X488">
        <f>IF(설정!$C$14="","",IFERROR(INDEX('1.산군_붙여넣기'!$A$1:$AZ$1001,ROW(),설정!$C$14)&amp;"",""))</f>
        <v/>
      </c>
      <c r="Y488">
        <f>IF(설정!$C$15="","",IFERROR(INDEX('1.산군_붙여넣기'!$A$1:$AZ$1001,ROW(),설정!$C$15)&amp;"",""))</f>
        <v/>
      </c>
      <c r="Z488">
        <f>IF(T488,V488&amp;"|"&amp;U488,"")</f>
        <v/>
      </c>
      <c r="AA488">
        <f>IF(NOT(Q488),"",IF(NOT(AND(R488,S488)),"✕",IF(OR(OR(AND(L488&lt;&gt;"",M488&lt;&gt;"",N(M488)-N(L488)&gt;설정!$B$27),AND(L488&lt;&gt;"",M488="",설정!$B$24-N(L488)&gt;설정!$B$27)),AND(D488&lt;&gt;"",D488&lt;설정!$B$26)),"△","★")))</f>
        <v/>
      </c>
      <c r="AB488">
        <f>IF(NOT(T488),"",IF(U488="설계사",설정!$B$31,IF(U488="시공사",IF(OR(M488="",설정!$B$24-N(M488)&lt;=설정!$B$28*30.4),설정!$B$32,설정!$B$33),설정!$B$34))+IF(AA488="★",설정!$B$35,0))</f>
        <v/>
      </c>
      <c r="AC488">
        <f>SUBSTITUTE(SUBSTITUTE(SUBSTITUTE(SUBSTITUTE(H488,"(주)",""),"㈜",""),"주식회사","")," ","")</f>
        <v/>
      </c>
      <c r="AD488">
        <f>IF(AND(T488,AC488&lt;&gt;""),IF(COUNTIFS(AC$2:AC488,AC488,T$2:T488,TRUE)=1,MAX(AD$1:AD487)+1,""),"")</f>
        <v/>
      </c>
    </row>
    <row r="489">
      <c r="A489">
        <f>ROW()</f>
        <v/>
      </c>
      <c r="B489">
        <f>IF(설정!$C$4="","",IFERROR(INDEX('1.산군_붙여넣기'!$A$1:$AZ$1001,ROW(),설정!$C$4)&amp;"",""))</f>
        <v/>
      </c>
      <c r="C489">
        <f>IF(설정!$C$5="","",IFERROR(INDEX('1.산군_붙여넣기'!$A$1:$AZ$1001,ROW(),설정!$C$5)&amp;"",""))</f>
        <v/>
      </c>
      <c r="D489" s="5">
        <f>IFERROR(VALUE(SUBSTITUTE(SUBSTITUTE(SUBSTITUTE(IF(설정!$C$6="","",IFERROR(INDEX('1.산군_붙여넣기'!$A$1:$AZ$1001,ROW(),설정!$C$6)&amp;"","")),",",""),"㎡",""),"m2","")),"")</f>
        <v/>
      </c>
      <c r="E489">
        <f>IF(설정!$C$7="","",IFERROR(INDEX('1.산군_붙여넣기'!$A$1:$AZ$1001,ROW(),설정!$C$7)&amp;"",""))</f>
        <v/>
      </c>
      <c r="F489">
        <f>IF(설정!$C$8="","",IFERROR(INDEX('1.산군_붙여넣기'!$A$1:$AZ$1001,ROW(),설정!$C$8)&amp;"",""))</f>
        <v/>
      </c>
      <c r="G489">
        <f>IF(설정!$C$9="","",IFERROR(INDEX('1.산군_붙여넣기'!$A$1:$AZ$1001,ROW(),설정!$C$9)&amp;"",""))</f>
        <v/>
      </c>
      <c r="H489">
        <f>IF(설정!$C$10="","",IFERROR(INDEX('1.산군_붙여넣기'!$A$1:$AZ$1001,ROW(),설정!$C$10)&amp;"",""))</f>
        <v/>
      </c>
      <c r="I489">
        <f>IF(설정!$C$11="","",IFERROR(INDEX('1.산군_붙여넣기'!$A$1:$AZ$1001,ROW(),설정!$C$11)&amp;"",""))</f>
        <v/>
      </c>
      <c r="J489">
        <f>IF(설정!$C$12="","",IFERROR(INDEX('1.산군_붙여넣기'!$A$1:$AZ$1001,ROW(),설정!$C$12)&amp;"",""))</f>
        <v/>
      </c>
      <c r="K489">
        <f>IF(설정!$C$13="","",IFERROR(INDEX('1.산군_붙여넣기'!$A$1:$AZ$1001,ROW(),설정!$C$13)&amp;"",""))</f>
        <v/>
      </c>
      <c r="L489" s="7">
        <f>IF(X489="","",IF(AND(LEN(X489)=8,ISNUMBER(X489*1)),DATE(LEFT(X489,4),MID(X489,5,2),RIGHT(X489,2)),IFERROR(DATEVALUE(SUBSTITUTE(SUBSTITUTE(X489,".","-"),"/","-")),IFERROR(X489*1,""))))</f>
        <v/>
      </c>
      <c r="M489" s="7">
        <f>IF(Y489="","",IF(AND(LEN(Y489)=8,ISNUMBER(Y489*1)),DATE(LEFT(Y489,4),MID(Y489,5,2),RIGHT(Y489,2)),IFERROR(DATEVALUE(SUBSTITUTE(SUBSTITUTE(Y489,".","-"),"/","-")),IFERROR(Y489*1,""))))</f>
        <v/>
      </c>
      <c r="N489">
        <f>IFERROR(LEFT(B489,FIND(" ",B489)-1),B489)</f>
        <v/>
      </c>
      <c r="O489">
        <f>AND(B489&lt;&gt;"",B489&lt;&gt;설정!$B$4,C489&lt;&gt;설정!$B$5)</f>
        <v/>
      </c>
      <c r="P489">
        <f>IF(O489,B489&amp;"|"&amp;C489,"")</f>
        <v/>
      </c>
      <c r="Q489">
        <f>AND(O489,COUNTIF(P490:P$1002,P489)=0)</f>
        <v/>
      </c>
      <c r="R489">
        <f>OR(AND(설정!$A$42&lt;&gt;"",ISNUMBER(SEARCH(설정!$A$42,E489&amp;" "&amp;C489))),AND(설정!$A$43&lt;&gt;"",ISNUMBER(SEARCH(설정!$A$43,E489&amp;" "&amp;C489))),AND(설정!$A$44&lt;&gt;"",ISNUMBER(SEARCH(설정!$A$44,E489&amp;" "&amp;C489))),AND(설정!$A$45&lt;&gt;"",ISNUMBER(SEARCH(설정!$A$45,E489&amp;" "&amp;C489))),AND(설정!$A$46&lt;&gt;"",ISNUMBER(SEARCH(설정!$A$46,E489&amp;" "&amp;C489))),AND(설정!$A$47&lt;&gt;"",ISNUMBER(SEARCH(설정!$A$47,E489&amp;" "&amp;C489))),AND(설정!$A$48&lt;&gt;"",ISNUMBER(SEARCH(설정!$A$48,E489&amp;" "&amp;C489))),AND(설정!$A$49&lt;&gt;"",ISNUMBER(SEARCH(설정!$A$49,E489&amp;" "&amp;C489))),AND(설정!$A$50&lt;&gt;"",ISNUMBER(SEARCH(설정!$A$50,E489&amp;" "&amp;C489))),AND(설정!$A$51&lt;&gt;"",ISNUMBER(SEARCH(설정!$A$51,E489&amp;" "&amp;C489))))</f>
        <v/>
      </c>
      <c r="S489">
        <f>OR(D489="",D489&gt;=설정!$B$19)</f>
        <v/>
      </c>
      <c r="T489">
        <f>AND(Q489,R489,S489)</f>
        <v/>
      </c>
      <c r="U489">
        <f>IF(T489,IF(AND(설정!$A$54&lt;&gt;"",ISNUMBER(SEARCH(설정!$A$54,K489))),설정!$B$54,IF(AND(설정!$A$55&lt;&gt;"",ISNUMBER(SEARCH(설정!$A$55,K489))),설정!$B$55,IF(AND(설정!$A$56&lt;&gt;"",ISNUMBER(SEARCH(설정!$A$56,K489))),설정!$B$56,IF(AND(설정!$A$57&lt;&gt;"",ISNUMBER(SEARCH(설정!$A$57,K489))),설정!$B$57,IF(AND(설정!$A$58&lt;&gt;"",ISNUMBER(SEARCH(설정!$A$58,K489))),설정!$B$58,IF(AND(설정!$A$59&lt;&gt;"",ISNUMBER(SEARCH(설정!$A$59,K489))),설정!$B$59,IF(AND(설정!$A$60&lt;&gt;"",ISNUMBER(SEARCH(설정!$A$60,K489))),설정!$B$60,IF(AND(설정!$A$61&lt;&gt;"",ISNUMBER(SEARCH(설정!$A$61,K489))),설정!$B$61,IF(M489="","설계사","시공사"))))))))),"")</f>
        <v/>
      </c>
      <c r="V489">
        <f>SUBSTITUTE(SUBSTITUTE(SUBSTITUTE(SUBSTITUTE(G489,"(주)",""),"㈜",""),"주식회사","")," ","")</f>
        <v/>
      </c>
      <c r="W489">
        <f>IF(AND(T489,V489&lt;&gt;""),IF(COUNTIFS(V$2:V489,V489,T$2:T489,TRUE)=1,MAX(W$1:W488)+1,""),"")</f>
        <v/>
      </c>
      <c r="X489">
        <f>IF(설정!$C$14="","",IFERROR(INDEX('1.산군_붙여넣기'!$A$1:$AZ$1001,ROW(),설정!$C$14)&amp;"",""))</f>
        <v/>
      </c>
      <c r="Y489">
        <f>IF(설정!$C$15="","",IFERROR(INDEX('1.산군_붙여넣기'!$A$1:$AZ$1001,ROW(),설정!$C$15)&amp;"",""))</f>
        <v/>
      </c>
      <c r="Z489">
        <f>IF(T489,V489&amp;"|"&amp;U489,"")</f>
        <v/>
      </c>
      <c r="AA489">
        <f>IF(NOT(Q489),"",IF(NOT(AND(R489,S489)),"✕",IF(OR(OR(AND(L489&lt;&gt;"",M489&lt;&gt;"",N(M489)-N(L489)&gt;설정!$B$27),AND(L489&lt;&gt;"",M489="",설정!$B$24-N(L489)&gt;설정!$B$27)),AND(D489&lt;&gt;"",D489&lt;설정!$B$26)),"△","★")))</f>
        <v/>
      </c>
      <c r="AB489">
        <f>IF(NOT(T489),"",IF(U489="설계사",설정!$B$31,IF(U489="시공사",IF(OR(M489="",설정!$B$24-N(M489)&lt;=설정!$B$28*30.4),설정!$B$32,설정!$B$33),설정!$B$34))+IF(AA489="★",설정!$B$35,0))</f>
        <v/>
      </c>
      <c r="AC489">
        <f>SUBSTITUTE(SUBSTITUTE(SUBSTITUTE(SUBSTITUTE(H489,"(주)",""),"㈜",""),"주식회사","")," ","")</f>
        <v/>
      </c>
      <c r="AD489">
        <f>IF(AND(T489,AC489&lt;&gt;""),IF(COUNTIFS(AC$2:AC489,AC489,T$2:T489,TRUE)=1,MAX(AD$1:AD488)+1,""),"")</f>
        <v/>
      </c>
    </row>
    <row r="490">
      <c r="A490">
        <f>ROW()</f>
        <v/>
      </c>
      <c r="B490">
        <f>IF(설정!$C$4="","",IFERROR(INDEX('1.산군_붙여넣기'!$A$1:$AZ$1001,ROW(),설정!$C$4)&amp;"",""))</f>
        <v/>
      </c>
      <c r="C490">
        <f>IF(설정!$C$5="","",IFERROR(INDEX('1.산군_붙여넣기'!$A$1:$AZ$1001,ROW(),설정!$C$5)&amp;"",""))</f>
        <v/>
      </c>
      <c r="D490" s="5">
        <f>IFERROR(VALUE(SUBSTITUTE(SUBSTITUTE(SUBSTITUTE(IF(설정!$C$6="","",IFERROR(INDEX('1.산군_붙여넣기'!$A$1:$AZ$1001,ROW(),설정!$C$6)&amp;"","")),",",""),"㎡",""),"m2","")),"")</f>
        <v/>
      </c>
      <c r="E490">
        <f>IF(설정!$C$7="","",IFERROR(INDEX('1.산군_붙여넣기'!$A$1:$AZ$1001,ROW(),설정!$C$7)&amp;"",""))</f>
        <v/>
      </c>
      <c r="F490">
        <f>IF(설정!$C$8="","",IFERROR(INDEX('1.산군_붙여넣기'!$A$1:$AZ$1001,ROW(),설정!$C$8)&amp;"",""))</f>
        <v/>
      </c>
      <c r="G490">
        <f>IF(설정!$C$9="","",IFERROR(INDEX('1.산군_붙여넣기'!$A$1:$AZ$1001,ROW(),설정!$C$9)&amp;"",""))</f>
        <v/>
      </c>
      <c r="H490">
        <f>IF(설정!$C$10="","",IFERROR(INDEX('1.산군_붙여넣기'!$A$1:$AZ$1001,ROW(),설정!$C$10)&amp;"",""))</f>
        <v/>
      </c>
      <c r="I490">
        <f>IF(설정!$C$11="","",IFERROR(INDEX('1.산군_붙여넣기'!$A$1:$AZ$1001,ROW(),설정!$C$11)&amp;"",""))</f>
        <v/>
      </c>
      <c r="J490">
        <f>IF(설정!$C$12="","",IFERROR(INDEX('1.산군_붙여넣기'!$A$1:$AZ$1001,ROW(),설정!$C$12)&amp;"",""))</f>
        <v/>
      </c>
      <c r="K490">
        <f>IF(설정!$C$13="","",IFERROR(INDEX('1.산군_붙여넣기'!$A$1:$AZ$1001,ROW(),설정!$C$13)&amp;"",""))</f>
        <v/>
      </c>
      <c r="L490" s="7">
        <f>IF(X490="","",IF(AND(LEN(X490)=8,ISNUMBER(X490*1)),DATE(LEFT(X490,4),MID(X490,5,2),RIGHT(X490,2)),IFERROR(DATEVALUE(SUBSTITUTE(SUBSTITUTE(X490,".","-"),"/","-")),IFERROR(X490*1,""))))</f>
        <v/>
      </c>
      <c r="M490" s="7">
        <f>IF(Y490="","",IF(AND(LEN(Y490)=8,ISNUMBER(Y490*1)),DATE(LEFT(Y490,4),MID(Y490,5,2),RIGHT(Y490,2)),IFERROR(DATEVALUE(SUBSTITUTE(SUBSTITUTE(Y490,".","-"),"/","-")),IFERROR(Y490*1,""))))</f>
        <v/>
      </c>
      <c r="N490">
        <f>IFERROR(LEFT(B490,FIND(" ",B490)-1),B490)</f>
        <v/>
      </c>
      <c r="O490">
        <f>AND(B490&lt;&gt;"",B490&lt;&gt;설정!$B$4,C490&lt;&gt;설정!$B$5)</f>
        <v/>
      </c>
      <c r="P490">
        <f>IF(O490,B490&amp;"|"&amp;C490,"")</f>
        <v/>
      </c>
      <c r="Q490">
        <f>AND(O490,COUNTIF(P491:P$1002,P490)=0)</f>
        <v/>
      </c>
      <c r="R490">
        <f>OR(AND(설정!$A$42&lt;&gt;"",ISNUMBER(SEARCH(설정!$A$42,E490&amp;" "&amp;C490))),AND(설정!$A$43&lt;&gt;"",ISNUMBER(SEARCH(설정!$A$43,E490&amp;" "&amp;C490))),AND(설정!$A$44&lt;&gt;"",ISNUMBER(SEARCH(설정!$A$44,E490&amp;" "&amp;C490))),AND(설정!$A$45&lt;&gt;"",ISNUMBER(SEARCH(설정!$A$45,E490&amp;" "&amp;C490))),AND(설정!$A$46&lt;&gt;"",ISNUMBER(SEARCH(설정!$A$46,E490&amp;" "&amp;C490))),AND(설정!$A$47&lt;&gt;"",ISNUMBER(SEARCH(설정!$A$47,E490&amp;" "&amp;C490))),AND(설정!$A$48&lt;&gt;"",ISNUMBER(SEARCH(설정!$A$48,E490&amp;" "&amp;C490))),AND(설정!$A$49&lt;&gt;"",ISNUMBER(SEARCH(설정!$A$49,E490&amp;" "&amp;C490))),AND(설정!$A$50&lt;&gt;"",ISNUMBER(SEARCH(설정!$A$50,E490&amp;" "&amp;C490))),AND(설정!$A$51&lt;&gt;"",ISNUMBER(SEARCH(설정!$A$51,E490&amp;" "&amp;C490))))</f>
        <v/>
      </c>
      <c r="S490">
        <f>OR(D490="",D490&gt;=설정!$B$19)</f>
        <v/>
      </c>
      <c r="T490">
        <f>AND(Q490,R490,S490)</f>
        <v/>
      </c>
      <c r="U490">
        <f>IF(T490,IF(AND(설정!$A$54&lt;&gt;"",ISNUMBER(SEARCH(설정!$A$54,K490))),설정!$B$54,IF(AND(설정!$A$55&lt;&gt;"",ISNUMBER(SEARCH(설정!$A$55,K490))),설정!$B$55,IF(AND(설정!$A$56&lt;&gt;"",ISNUMBER(SEARCH(설정!$A$56,K490))),설정!$B$56,IF(AND(설정!$A$57&lt;&gt;"",ISNUMBER(SEARCH(설정!$A$57,K490))),설정!$B$57,IF(AND(설정!$A$58&lt;&gt;"",ISNUMBER(SEARCH(설정!$A$58,K490))),설정!$B$58,IF(AND(설정!$A$59&lt;&gt;"",ISNUMBER(SEARCH(설정!$A$59,K490))),설정!$B$59,IF(AND(설정!$A$60&lt;&gt;"",ISNUMBER(SEARCH(설정!$A$60,K490))),설정!$B$60,IF(AND(설정!$A$61&lt;&gt;"",ISNUMBER(SEARCH(설정!$A$61,K490))),설정!$B$61,IF(M490="","설계사","시공사"))))))))),"")</f>
        <v/>
      </c>
      <c r="V490">
        <f>SUBSTITUTE(SUBSTITUTE(SUBSTITUTE(SUBSTITUTE(G490,"(주)",""),"㈜",""),"주식회사","")," ","")</f>
        <v/>
      </c>
      <c r="W490">
        <f>IF(AND(T490,V490&lt;&gt;""),IF(COUNTIFS(V$2:V490,V490,T$2:T490,TRUE)=1,MAX(W$1:W489)+1,""),"")</f>
        <v/>
      </c>
      <c r="X490">
        <f>IF(설정!$C$14="","",IFERROR(INDEX('1.산군_붙여넣기'!$A$1:$AZ$1001,ROW(),설정!$C$14)&amp;"",""))</f>
        <v/>
      </c>
      <c r="Y490">
        <f>IF(설정!$C$15="","",IFERROR(INDEX('1.산군_붙여넣기'!$A$1:$AZ$1001,ROW(),설정!$C$15)&amp;"",""))</f>
        <v/>
      </c>
      <c r="Z490">
        <f>IF(T490,V490&amp;"|"&amp;U490,"")</f>
        <v/>
      </c>
      <c r="AA490">
        <f>IF(NOT(Q490),"",IF(NOT(AND(R490,S490)),"✕",IF(OR(OR(AND(L490&lt;&gt;"",M490&lt;&gt;"",N(M490)-N(L490)&gt;설정!$B$27),AND(L490&lt;&gt;"",M490="",설정!$B$24-N(L490)&gt;설정!$B$27)),AND(D490&lt;&gt;"",D490&lt;설정!$B$26)),"△","★")))</f>
        <v/>
      </c>
      <c r="AB490">
        <f>IF(NOT(T490),"",IF(U490="설계사",설정!$B$31,IF(U490="시공사",IF(OR(M490="",설정!$B$24-N(M490)&lt;=설정!$B$28*30.4),설정!$B$32,설정!$B$33),설정!$B$34))+IF(AA490="★",설정!$B$35,0))</f>
        <v/>
      </c>
      <c r="AC490">
        <f>SUBSTITUTE(SUBSTITUTE(SUBSTITUTE(SUBSTITUTE(H490,"(주)",""),"㈜",""),"주식회사","")," ","")</f>
        <v/>
      </c>
      <c r="AD490">
        <f>IF(AND(T490,AC490&lt;&gt;""),IF(COUNTIFS(AC$2:AC490,AC490,T$2:T490,TRUE)=1,MAX(AD$1:AD489)+1,""),"")</f>
        <v/>
      </c>
    </row>
    <row r="491">
      <c r="A491">
        <f>ROW()</f>
        <v/>
      </c>
      <c r="B491">
        <f>IF(설정!$C$4="","",IFERROR(INDEX('1.산군_붙여넣기'!$A$1:$AZ$1001,ROW(),설정!$C$4)&amp;"",""))</f>
        <v/>
      </c>
      <c r="C491">
        <f>IF(설정!$C$5="","",IFERROR(INDEX('1.산군_붙여넣기'!$A$1:$AZ$1001,ROW(),설정!$C$5)&amp;"",""))</f>
        <v/>
      </c>
      <c r="D491" s="5">
        <f>IFERROR(VALUE(SUBSTITUTE(SUBSTITUTE(SUBSTITUTE(IF(설정!$C$6="","",IFERROR(INDEX('1.산군_붙여넣기'!$A$1:$AZ$1001,ROW(),설정!$C$6)&amp;"","")),",",""),"㎡",""),"m2","")),"")</f>
        <v/>
      </c>
      <c r="E491">
        <f>IF(설정!$C$7="","",IFERROR(INDEX('1.산군_붙여넣기'!$A$1:$AZ$1001,ROW(),설정!$C$7)&amp;"",""))</f>
        <v/>
      </c>
      <c r="F491">
        <f>IF(설정!$C$8="","",IFERROR(INDEX('1.산군_붙여넣기'!$A$1:$AZ$1001,ROW(),설정!$C$8)&amp;"",""))</f>
        <v/>
      </c>
      <c r="G491">
        <f>IF(설정!$C$9="","",IFERROR(INDEX('1.산군_붙여넣기'!$A$1:$AZ$1001,ROW(),설정!$C$9)&amp;"",""))</f>
        <v/>
      </c>
      <c r="H491">
        <f>IF(설정!$C$10="","",IFERROR(INDEX('1.산군_붙여넣기'!$A$1:$AZ$1001,ROW(),설정!$C$10)&amp;"",""))</f>
        <v/>
      </c>
      <c r="I491">
        <f>IF(설정!$C$11="","",IFERROR(INDEX('1.산군_붙여넣기'!$A$1:$AZ$1001,ROW(),설정!$C$11)&amp;"",""))</f>
        <v/>
      </c>
      <c r="J491">
        <f>IF(설정!$C$12="","",IFERROR(INDEX('1.산군_붙여넣기'!$A$1:$AZ$1001,ROW(),설정!$C$12)&amp;"",""))</f>
        <v/>
      </c>
      <c r="K491">
        <f>IF(설정!$C$13="","",IFERROR(INDEX('1.산군_붙여넣기'!$A$1:$AZ$1001,ROW(),설정!$C$13)&amp;"",""))</f>
        <v/>
      </c>
      <c r="L491" s="7">
        <f>IF(X491="","",IF(AND(LEN(X491)=8,ISNUMBER(X491*1)),DATE(LEFT(X491,4),MID(X491,5,2),RIGHT(X491,2)),IFERROR(DATEVALUE(SUBSTITUTE(SUBSTITUTE(X491,".","-"),"/","-")),IFERROR(X491*1,""))))</f>
        <v/>
      </c>
      <c r="M491" s="7">
        <f>IF(Y491="","",IF(AND(LEN(Y491)=8,ISNUMBER(Y491*1)),DATE(LEFT(Y491,4),MID(Y491,5,2),RIGHT(Y491,2)),IFERROR(DATEVALUE(SUBSTITUTE(SUBSTITUTE(Y491,".","-"),"/","-")),IFERROR(Y491*1,""))))</f>
        <v/>
      </c>
      <c r="N491">
        <f>IFERROR(LEFT(B491,FIND(" ",B491)-1),B491)</f>
        <v/>
      </c>
      <c r="O491">
        <f>AND(B491&lt;&gt;"",B491&lt;&gt;설정!$B$4,C491&lt;&gt;설정!$B$5)</f>
        <v/>
      </c>
      <c r="P491">
        <f>IF(O491,B491&amp;"|"&amp;C491,"")</f>
        <v/>
      </c>
      <c r="Q491">
        <f>AND(O491,COUNTIF(P492:P$1002,P491)=0)</f>
        <v/>
      </c>
      <c r="R491">
        <f>OR(AND(설정!$A$42&lt;&gt;"",ISNUMBER(SEARCH(설정!$A$42,E491&amp;" "&amp;C491))),AND(설정!$A$43&lt;&gt;"",ISNUMBER(SEARCH(설정!$A$43,E491&amp;" "&amp;C491))),AND(설정!$A$44&lt;&gt;"",ISNUMBER(SEARCH(설정!$A$44,E491&amp;" "&amp;C491))),AND(설정!$A$45&lt;&gt;"",ISNUMBER(SEARCH(설정!$A$45,E491&amp;" "&amp;C491))),AND(설정!$A$46&lt;&gt;"",ISNUMBER(SEARCH(설정!$A$46,E491&amp;" "&amp;C491))),AND(설정!$A$47&lt;&gt;"",ISNUMBER(SEARCH(설정!$A$47,E491&amp;" "&amp;C491))),AND(설정!$A$48&lt;&gt;"",ISNUMBER(SEARCH(설정!$A$48,E491&amp;" "&amp;C491))),AND(설정!$A$49&lt;&gt;"",ISNUMBER(SEARCH(설정!$A$49,E491&amp;" "&amp;C491))),AND(설정!$A$50&lt;&gt;"",ISNUMBER(SEARCH(설정!$A$50,E491&amp;" "&amp;C491))),AND(설정!$A$51&lt;&gt;"",ISNUMBER(SEARCH(설정!$A$51,E491&amp;" "&amp;C491))))</f>
        <v/>
      </c>
      <c r="S491">
        <f>OR(D491="",D491&gt;=설정!$B$19)</f>
        <v/>
      </c>
      <c r="T491">
        <f>AND(Q491,R491,S491)</f>
        <v/>
      </c>
      <c r="U491">
        <f>IF(T491,IF(AND(설정!$A$54&lt;&gt;"",ISNUMBER(SEARCH(설정!$A$54,K491))),설정!$B$54,IF(AND(설정!$A$55&lt;&gt;"",ISNUMBER(SEARCH(설정!$A$55,K491))),설정!$B$55,IF(AND(설정!$A$56&lt;&gt;"",ISNUMBER(SEARCH(설정!$A$56,K491))),설정!$B$56,IF(AND(설정!$A$57&lt;&gt;"",ISNUMBER(SEARCH(설정!$A$57,K491))),설정!$B$57,IF(AND(설정!$A$58&lt;&gt;"",ISNUMBER(SEARCH(설정!$A$58,K491))),설정!$B$58,IF(AND(설정!$A$59&lt;&gt;"",ISNUMBER(SEARCH(설정!$A$59,K491))),설정!$B$59,IF(AND(설정!$A$60&lt;&gt;"",ISNUMBER(SEARCH(설정!$A$60,K491))),설정!$B$60,IF(AND(설정!$A$61&lt;&gt;"",ISNUMBER(SEARCH(설정!$A$61,K491))),설정!$B$61,IF(M491="","설계사","시공사"))))))))),"")</f>
        <v/>
      </c>
      <c r="V491">
        <f>SUBSTITUTE(SUBSTITUTE(SUBSTITUTE(SUBSTITUTE(G491,"(주)",""),"㈜",""),"주식회사","")," ","")</f>
        <v/>
      </c>
      <c r="W491">
        <f>IF(AND(T491,V491&lt;&gt;""),IF(COUNTIFS(V$2:V491,V491,T$2:T491,TRUE)=1,MAX(W$1:W490)+1,""),"")</f>
        <v/>
      </c>
      <c r="X491">
        <f>IF(설정!$C$14="","",IFERROR(INDEX('1.산군_붙여넣기'!$A$1:$AZ$1001,ROW(),설정!$C$14)&amp;"",""))</f>
        <v/>
      </c>
      <c r="Y491">
        <f>IF(설정!$C$15="","",IFERROR(INDEX('1.산군_붙여넣기'!$A$1:$AZ$1001,ROW(),설정!$C$15)&amp;"",""))</f>
        <v/>
      </c>
      <c r="Z491">
        <f>IF(T491,V491&amp;"|"&amp;U491,"")</f>
        <v/>
      </c>
      <c r="AA491">
        <f>IF(NOT(Q491),"",IF(NOT(AND(R491,S491)),"✕",IF(OR(OR(AND(L491&lt;&gt;"",M491&lt;&gt;"",N(M491)-N(L491)&gt;설정!$B$27),AND(L491&lt;&gt;"",M491="",설정!$B$24-N(L491)&gt;설정!$B$27)),AND(D491&lt;&gt;"",D491&lt;설정!$B$26)),"△","★")))</f>
        <v/>
      </c>
      <c r="AB491">
        <f>IF(NOT(T491),"",IF(U491="설계사",설정!$B$31,IF(U491="시공사",IF(OR(M491="",설정!$B$24-N(M491)&lt;=설정!$B$28*30.4),설정!$B$32,설정!$B$33),설정!$B$34))+IF(AA491="★",설정!$B$35,0))</f>
        <v/>
      </c>
      <c r="AC491">
        <f>SUBSTITUTE(SUBSTITUTE(SUBSTITUTE(SUBSTITUTE(H491,"(주)",""),"㈜",""),"주식회사","")," ","")</f>
        <v/>
      </c>
      <c r="AD491">
        <f>IF(AND(T491,AC491&lt;&gt;""),IF(COUNTIFS(AC$2:AC491,AC491,T$2:T491,TRUE)=1,MAX(AD$1:AD490)+1,""),"")</f>
        <v/>
      </c>
    </row>
    <row r="492">
      <c r="A492">
        <f>ROW()</f>
        <v/>
      </c>
      <c r="B492">
        <f>IF(설정!$C$4="","",IFERROR(INDEX('1.산군_붙여넣기'!$A$1:$AZ$1001,ROW(),설정!$C$4)&amp;"",""))</f>
        <v/>
      </c>
      <c r="C492">
        <f>IF(설정!$C$5="","",IFERROR(INDEX('1.산군_붙여넣기'!$A$1:$AZ$1001,ROW(),설정!$C$5)&amp;"",""))</f>
        <v/>
      </c>
      <c r="D492" s="5">
        <f>IFERROR(VALUE(SUBSTITUTE(SUBSTITUTE(SUBSTITUTE(IF(설정!$C$6="","",IFERROR(INDEX('1.산군_붙여넣기'!$A$1:$AZ$1001,ROW(),설정!$C$6)&amp;"","")),",",""),"㎡",""),"m2","")),"")</f>
        <v/>
      </c>
      <c r="E492">
        <f>IF(설정!$C$7="","",IFERROR(INDEX('1.산군_붙여넣기'!$A$1:$AZ$1001,ROW(),설정!$C$7)&amp;"",""))</f>
        <v/>
      </c>
      <c r="F492">
        <f>IF(설정!$C$8="","",IFERROR(INDEX('1.산군_붙여넣기'!$A$1:$AZ$1001,ROW(),설정!$C$8)&amp;"",""))</f>
        <v/>
      </c>
      <c r="G492">
        <f>IF(설정!$C$9="","",IFERROR(INDEX('1.산군_붙여넣기'!$A$1:$AZ$1001,ROW(),설정!$C$9)&amp;"",""))</f>
        <v/>
      </c>
      <c r="H492">
        <f>IF(설정!$C$10="","",IFERROR(INDEX('1.산군_붙여넣기'!$A$1:$AZ$1001,ROW(),설정!$C$10)&amp;"",""))</f>
        <v/>
      </c>
      <c r="I492">
        <f>IF(설정!$C$11="","",IFERROR(INDEX('1.산군_붙여넣기'!$A$1:$AZ$1001,ROW(),설정!$C$11)&amp;"",""))</f>
        <v/>
      </c>
      <c r="J492">
        <f>IF(설정!$C$12="","",IFERROR(INDEX('1.산군_붙여넣기'!$A$1:$AZ$1001,ROW(),설정!$C$12)&amp;"",""))</f>
        <v/>
      </c>
      <c r="K492">
        <f>IF(설정!$C$13="","",IFERROR(INDEX('1.산군_붙여넣기'!$A$1:$AZ$1001,ROW(),설정!$C$13)&amp;"",""))</f>
        <v/>
      </c>
      <c r="L492" s="7">
        <f>IF(X492="","",IF(AND(LEN(X492)=8,ISNUMBER(X492*1)),DATE(LEFT(X492,4),MID(X492,5,2),RIGHT(X492,2)),IFERROR(DATEVALUE(SUBSTITUTE(SUBSTITUTE(X492,".","-"),"/","-")),IFERROR(X492*1,""))))</f>
        <v/>
      </c>
      <c r="M492" s="7">
        <f>IF(Y492="","",IF(AND(LEN(Y492)=8,ISNUMBER(Y492*1)),DATE(LEFT(Y492,4),MID(Y492,5,2),RIGHT(Y492,2)),IFERROR(DATEVALUE(SUBSTITUTE(SUBSTITUTE(Y492,".","-"),"/","-")),IFERROR(Y492*1,""))))</f>
        <v/>
      </c>
      <c r="N492">
        <f>IFERROR(LEFT(B492,FIND(" ",B492)-1),B492)</f>
        <v/>
      </c>
      <c r="O492">
        <f>AND(B492&lt;&gt;"",B492&lt;&gt;설정!$B$4,C492&lt;&gt;설정!$B$5)</f>
        <v/>
      </c>
      <c r="P492">
        <f>IF(O492,B492&amp;"|"&amp;C492,"")</f>
        <v/>
      </c>
      <c r="Q492">
        <f>AND(O492,COUNTIF(P493:P$1002,P492)=0)</f>
        <v/>
      </c>
      <c r="R492">
        <f>OR(AND(설정!$A$42&lt;&gt;"",ISNUMBER(SEARCH(설정!$A$42,E492&amp;" "&amp;C492))),AND(설정!$A$43&lt;&gt;"",ISNUMBER(SEARCH(설정!$A$43,E492&amp;" "&amp;C492))),AND(설정!$A$44&lt;&gt;"",ISNUMBER(SEARCH(설정!$A$44,E492&amp;" "&amp;C492))),AND(설정!$A$45&lt;&gt;"",ISNUMBER(SEARCH(설정!$A$45,E492&amp;" "&amp;C492))),AND(설정!$A$46&lt;&gt;"",ISNUMBER(SEARCH(설정!$A$46,E492&amp;" "&amp;C492))),AND(설정!$A$47&lt;&gt;"",ISNUMBER(SEARCH(설정!$A$47,E492&amp;" "&amp;C492))),AND(설정!$A$48&lt;&gt;"",ISNUMBER(SEARCH(설정!$A$48,E492&amp;" "&amp;C492))),AND(설정!$A$49&lt;&gt;"",ISNUMBER(SEARCH(설정!$A$49,E492&amp;" "&amp;C492))),AND(설정!$A$50&lt;&gt;"",ISNUMBER(SEARCH(설정!$A$50,E492&amp;" "&amp;C492))),AND(설정!$A$51&lt;&gt;"",ISNUMBER(SEARCH(설정!$A$51,E492&amp;" "&amp;C492))))</f>
        <v/>
      </c>
      <c r="S492">
        <f>OR(D492="",D492&gt;=설정!$B$19)</f>
        <v/>
      </c>
      <c r="T492">
        <f>AND(Q492,R492,S492)</f>
        <v/>
      </c>
      <c r="U492">
        <f>IF(T492,IF(AND(설정!$A$54&lt;&gt;"",ISNUMBER(SEARCH(설정!$A$54,K492))),설정!$B$54,IF(AND(설정!$A$55&lt;&gt;"",ISNUMBER(SEARCH(설정!$A$55,K492))),설정!$B$55,IF(AND(설정!$A$56&lt;&gt;"",ISNUMBER(SEARCH(설정!$A$56,K492))),설정!$B$56,IF(AND(설정!$A$57&lt;&gt;"",ISNUMBER(SEARCH(설정!$A$57,K492))),설정!$B$57,IF(AND(설정!$A$58&lt;&gt;"",ISNUMBER(SEARCH(설정!$A$58,K492))),설정!$B$58,IF(AND(설정!$A$59&lt;&gt;"",ISNUMBER(SEARCH(설정!$A$59,K492))),설정!$B$59,IF(AND(설정!$A$60&lt;&gt;"",ISNUMBER(SEARCH(설정!$A$60,K492))),설정!$B$60,IF(AND(설정!$A$61&lt;&gt;"",ISNUMBER(SEARCH(설정!$A$61,K492))),설정!$B$61,IF(M492="","설계사","시공사"))))))))),"")</f>
        <v/>
      </c>
      <c r="V492">
        <f>SUBSTITUTE(SUBSTITUTE(SUBSTITUTE(SUBSTITUTE(G492,"(주)",""),"㈜",""),"주식회사","")," ","")</f>
        <v/>
      </c>
      <c r="W492">
        <f>IF(AND(T492,V492&lt;&gt;""),IF(COUNTIFS(V$2:V492,V492,T$2:T492,TRUE)=1,MAX(W$1:W491)+1,""),"")</f>
        <v/>
      </c>
      <c r="X492">
        <f>IF(설정!$C$14="","",IFERROR(INDEX('1.산군_붙여넣기'!$A$1:$AZ$1001,ROW(),설정!$C$14)&amp;"",""))</f>
        <v/>
      </c>
      <c r="Y492">
        <f>IF(설정!$C$15="","",IFERROR(INDEX('1.산군_붙여넣기'!$A$1:$AZ$1001,ROW(),설정!$C$15)&amp;"",""))</f>
        <v/>
      </c>
      <c r="Z492">
        <f>IF(T492,V492&amp;"|"&amp;U492,"")</f>
        <v/>
      </c>
      <c r="AA492">
        <f>IF(NOT(Q492),"",IF(NOT(AND(R492,S492)),"✕",IF(OR(OR(AND(L492&lt;&gt;"",M492&lt;&gt;"",N(M492)-N(L492)&gt;설정!$B$27),AND(L492&lt;&gt;"",M492="",설정!$B$24-N(L492)&gt;설정!$B$27)),AND(D492&lt;&gt;"",D492&lt;설정!$B$26)),"△","★")))</f>
        <v/>
      </c>
      <c r="AB492">
        <f>IF(NOT(T492),"",IF(U492="설계사",설정!$B$31,IF(U492="시공사",IF(OR(M492="",설정!$B$24-N(M492)&lt;=설정!$B$28*30.4),설정!$B$32,설정!$B$33),설정!$B$34))+IF(AA492="★",설정!$B$35,0))</f>
        <v/>
      </c>
      <c r="AC492">
        <f>SUBSTITUTE(SUBSTITUTE(SUBSTITUTE(SUBSTITUTE(H492,"(주)",""),"㈜",""),"주식회사","")," ","")</f>
        <v/>
      </c>
      <c r="AD492">
        <f>IF(AND(T492,AC492&lt;&gt;""),IF(COUNTIFS(AC$2:AC492,AC492,T$2:T492,TRUE)=1,MAX(AD$1:AD491)+1,""),"")</f>
        <v/>
      </c>
    </row>
    <row r="493">
      <c r="A493">
        <f>ROW()</f>
        <v/>
      </c>
      <c r="B493">
        <f>IF(설정!$C$4="","",IFERROR(INDEX('1.산군_붙여넣기'!$A$1:$AZ$1001,ROW(),설정!$C$4)&amp;"",""))</f>
        <v/>
      </c>
      <c r="C493">
        <f>IF(설정!$C$5="","",IFERROR(INDEX('1.산군_붙여넣기'!$A$1:$AZ$1001,ROW(),설정!$C$5)&amp;"",""))</f>
        <v/>
      </c>
      <c r="D493" s="5">
        <f>IFERROR(VALUE(SUBSTITUTE(SUBSTITUTE(SUBSTITUTE(IF(설정!$C$6="","",IFERROR(INDEX('1.산군_붙여넣기'!$A$1:$AZ$1001,ROW(),설정!$C$6)&amp;"","")),",",""),"㎡",""),"m2","")),"")</f>
        <v/>
      </c>
      <c r="E493">
        <f>IF(설정!$C$7="","",IFERROR(INDEX('1.산군_붙여넣기'!$A$1:$AZ$1001,ROW(),설정!$C$7)&amp;"",""))</f>
        <v/>
      </c>
      <c r="F493">
        <f>IF(설정!$C$8="","",IFERROR(INDEX('1.산군_붙여넣기'!$A$1:$AZ$1001,ROW(),설정!$C$8)&amp;"",""))</f>
        <v/>
      </c>
      <c r="G493">
        <f>IF(설정!$C$9="","",IFERROR(INDEX('1.산군_붙여넣기'!$A$1:$AZ$1001,ROW(),설정!$C$9)&amp;"",""))</f>
        <v/>
      </c>
      <c r="H493">
        <f>IF(설정!$C$10="","",IFERROR(INDEX('1.산군_붙여넣기'!$A$1:$AZ$1001,ROW(),설정!$C$10)&amp;"",""))</f>
        <v/>
      </c>
      <c r="I493">
        <f>IF(설정!$C$11="","",IFERROR(INDEX('1.산군_붙여넣기'!$A$1:$AZ$1001,ROW(),설정!$C$11)&amp;"",""))</f>
        <v/>
      </c>
      <c r="J493">
        <f>IF(설정!$C$12="","",IFERROR(INDEX('1.산군_붙여넣기'!$A$1:$AZ$1001,ROW(),설정!$C$12)&amp;"",""))</f>
        <v/>
      </c>
      <c r="K493">
        <f>IF(설정!$C$13="","",IFERROR(INDEX('1.산군_붙여넣기'!$A$1:$AZ$1001,ROW(),설정!$C$13)&amp;"",""))</f>
        <v/>
      </c>
      <c r="L493" s="7">
        <f>IF(X493="","",IF(AND(LEN(X493)=8,ISNUMBER(X493*1)),DATE(LEFT(X493,4),MID(X493,5,2),RIGHT(X493,2)),IFERROR(DATEVALUE(SUBSTITUTE(SUBSTITUTE(X493,".","-"),"/","-")),IFERROR(X493*1,""))))</f>
        <v/>
      </c>
      <c r="M493" s="7">
        <f>IF(Y493="","",IF(AND(LEN(Y493)=8,ISNUMBER(Y493*1)),DATE(LEFT(Y493,4),MID(Y493,5,2),RIGHT(Y493,2)),IFERROR(DATEVALUE(SUBSTITUTE(SUBSTITUTE(Y493,".","-"),"/","-")),IFERROR(Y493*1,""))))</f>
        <v/>
      </c>
      <c r="N493">
        <f>IFERROR(LEFT(B493,FIND(" ",B493)-1),B493)</f>
        <v/>
      </c>
      <c r="O493">
        <f>AND(B493&lt;&gt;"",B493&lt;&gt;설정!$B$4,C493&lt;&gt;설정!$B$5)</f>
        <v/>
      </c>
      <c r="P493">
        <f>IF(O493,B493&amp;"|"&amp;C493,"")</f>
        <v/>
      </c>
      <c r="Q493">
        <f>AND(O493,COUNTIF(P494:P$1002,P493)=0)</f>
        <v/>
      </c>
      <c r="R493">
        <f>OR(AND(설정!$A$42&lt;&gt;"",ISNUMBER(SEARCH(설정!$A$42,E493&amp;" "&amp;C493))),AND(설정!$A$43&lt;&gt;"",ISNUMBER(SEARCH(설정!$A$43,E493&amp;" "&amp;C493))),AND(설정!$A$44&lt;&gt;"",ISNUMBER(SEARCH(설정!$A$44,E493&amp;" "&amp;C493))),AND(설정!$A$45&lt;&gt;"",ISNUMBER(SEARCH(설정!$A$45,E493&amp;" "&amp;C493))),AND(설정!$A$46&lt;&gt;"",ISNUMBER(SEARCH(설정!$A$46,E493&amp;" "&amp;C493))),AND(설정!$A$47&lt;&gt;"",ISNUMBER(SEARCH(설정!$A$47,E493&amp;" "&amp;C493))),AND(설정!$A$48&lt;&gt;"",ISNUMBER(SEARCH(설정!$A$48,E493&amp;" "&amp;C493))),AND(설정!$A$49&lt;&gt;"",ISNUMBER(SEARCH(설정!$A$49,E493&amp;" "&amp;C493))),AND(설정!$A$50&lt;&gt;"",ISNUMBER(SEARCH(설정!$A$50,E493&amp;" "&amp;C493))),AND(설정!$A$51&lt;&gt;"",ISNUMBER(SEARCH(설정!$A$51,E493&amp;" "&amp;C493))))</f>
        <v/>
      </c>
      <c r="S493">
        <f>OR(D493="",D493&gt;=설정!$B$19)</f>
        <v/>
      </c>
      <c r="T493">
        <f>AND(Q493,R493,S493)</f>
        <v/>
      </c>
      <c r="U493">
        <f>IF(T493,IF(AND(설정!$A$54&lt;&gt;"",ISNUMBER(SEARCH(설정!$A$54,K493))),설정!$B$54,IF(AND(설정!$A$55&lt;&gt;"",ISNUMBER(SEARCH(설정!$A$55,K493))),설정!$B$55,IF(AND(설정!$A$56&lt;&gt;"",ISNUMBER(SEARCH(설정!$A$56,K493))),설정!$B$56,IF(AND(설정!$A$57&lt;&gt;"",ISNUMBER(SEARCH(설정!$A$57,K493))),설정!$B$57,IF(AND(설정!$A$58&lt;&gt;"",ISNUMBER(SEARCH(설정!$A$58,K493))),설정!$B$58,IF(AND(설정!$A$59&lt;&gt;"",ISNUMBER(SEARCH(설정!$A$59,K493))),설정!$B$59,IF(AND(설정!$A$60&lt;&gt;"",ISNUMBER(SEARCH(설정!$A$60,K493))),설정!$B$60,IF(AND(설정!$A$61&lt;&gt;"",ISNUMBER(SEARCH(설정!$A$61,K493))),설정!$B$61,IF(M493="","설계사","시공사"))))))))),"")</f>
        <v/>
      </c>
      <c r="V493">
        <f>SUBSTITUTE(SUBSTITUTE(SUBSTITUTE(SUBSTITUTE(G493,"(주)",""),"㈜",""),"주식회사","")," ","")</f>
        <v/>
      </c>
      <c r="W493">
        <f>IF(AND(T493,V493&lt;&gt;""),IF(COUNTIFS(V$2:V493,V493,T$2:T493,TRUE)=1,MAX(W$1:W492)+1,""),"")</f>
        <v/>
      </c>
      <c r="X493">
        <f>IF(설정!$C$14="","",IFERROR(INDEX('1.산군_붙여넣기'!$A$1:$AZ$1001,ROW(),설정!$C$14)&amp;"",""))</f>
        <v/>
      </c>
      <c r="Y493">
        <f>IF(설정!$C$15="","",IFERROR(INDEX('1.산군_붙여넣기'!$A$1:$AZ$1001,ROW(),설정!$C$15)&amp;"",""))</f>
        <v/>
      </c>
      <c r="Z493">
        <f>IF(T493,V493&amp;"|"&amp;U493,"")</f>
        <v/>
      </c>
      <c r="AA493">
        <f>IF(NOT(Q493),"",IF(NOT(AND(R493,S493)),"✕",IF(OR(OR(AND(L493&lt;&gt;"",M493&lt;&gt;"",N(M493)-N(L493)&gt;설정!$B$27),AND(L493&lt;&gt;"",M493="",설정!$B$24-N(L493)&gt;설정!$B$27)),AND(D493&lt;&gt;"",D493&lt;설정!$B$26)),"△","★")))</f>
        <v/>
      </c>
      <c r="AB493">
        <f>IF(NOT(T493),"",IF(U493="설계사",설정!$B$31,IF(U493="시공사",IF(OR(M493="",설정!$B$24-N(M493)&lt;=설정!$B$28*30.4),설정!$B$32,설정!$B$33),설정!$B$34))+IF(AA493="★",설정!$B$35,0))</f>
        <v/>
      </c>
      <c r="AC493">
        <f>SUBSTITUTE(SUBSTITUTE(SUBSTITUTE(SUBSTITUTE(H493,"(주)",""),"㈜",""),"주식회사","")," ","")</f>
        <v/>
      </c>
      <c r="AD493">
        <f>IF(AND(T493,AC493&lt;&gt;""),IF(COUNTIFS(AC$2:AC493,AC493,T$2:T493,TRUE)=1,MAX(AD$1:AD492)+1,""),"")</f>
        <v/>
      </c>
    </row>
    <row r="494">
      <c r="A494">
        <f>ROW()</f>
        <v/>
      </c>
      <c r="B494">
        <f>IF(설정!$C$4="","",IFERROR(INDEX('1.산군_붙여넣기'!$A$1:$AZ$1001,ROW(),설정!$C$4)&amp;"",""))</f>
        <v/>
      </c>
      <c r="C494">
        <f>IF(설정!$C$5="","",IFERROR(INDEX('1.산군_붙여넣기'!$A$1:$AZ$1001,ROW(),설정!$C$5)&amp;"",""))</f>
        <v/>
      </c>
      <c r="D494" s="5">
        <f>IFERROR(VALUE(SUBSTITUTE(SUBSTITUTE(SUBSTITUTE(IF(설정!$C$6="","",IFERROR(INDEX('1.산군_붙여넣기'!$A$1:$AZ$1001,ROW(),설정!$C$6)&amp;"","")),",",""),"㎡",""),"m2","")),"")</f>
        <v/>
      </c>
      <c r="E494">
        <f>IF(설정!$C$7="","",IFERROR(INDEX('1.산군_붙여넣기'!$A$1:$AZ$1001,ROW(),설정!$C$7)&amp;"",""))</f>
        <v/>
      </c>
      <c r="F494">
        <f>IF(설정!$C$8="","",IFERROR(INDEX('1.산군_붙여넣기'!$A$1:$AZ$1001,ROW(),설정!$C$8)&amp;"",""))</f>
        <v/>
      </c>
      <c r="G494">
        <f>IF(설정!$C$9="","",IFERROR(INDEX('1.산군_붙여넣기'!$A$1:$AZ$1001,ROW(),설정!$C$9)&amp;"",""))</f>
        <v/>
      </c>
      <c r="H494">
        <f>IF(설정!$C$10="","",IFERROR(INDEX('1.산군_붙여넣기'!$A$1:$AZ$1001,ROW(),설정!$C$10)&amp;"",""))</f>
        <v/>
      </c>
      <c r="I494">
        <f>IF(설정!$C$11="","",IFERROR(INDEX('1.산군_붙여넣기'!$A$1:$AZ$1001,ROW(),설정!$C$11)&amp;"",""))</f>
        <v/>
      </c>
      <c r="J494">
        <f>IF(설정!$C$12="","",IFERROR(INDEX('1.산군_붙여넣기'!$A$1:$AZ$1001,ROW(),설정!$C$12)&amp;"",""))</f>
        <v/>
      </c>
      <c r="K494">
        <f>IF(설정!$C$13="","",IFERROR(INDEX('1.산군_붙여넣기'!$A$1:$AZ$1001,ROW(),설정!$C$13)&amp;"",""))</f>
        <v/>
      </c>
      <c r="L494" s="7">
        <f>IF(X494="","",IF(AND(LEN(X494)=8,ISNUMBER(X494*1)),DATE(LEFT(X494,4),MID(X494,5,2),RIGHT(X494,2)),IFERROR(DATEVALUE(SUBSTITUTE(SUBSTITUTE(X494,".","-"),"/","-")),IFERROR(X494*1,""))))</f>
        <v/>
      </c>
      <c r="M494" s="7">
        <f>IF(Y494="","",IF(AND(LEN(Y494)=8,ISNUMBER(Y494*1)),DATE(LEFT(Y494,4),MID(Y494,5,2),RIGHT(Y494,2)),IFERROR(DATEVALUE(SUBSTITUTE(SUBSTITUTE(Y494,".","-"),"/","-")),IFERROR(Y494*1,""))))</f>
        <v/>
      </c>
      <c r="N494">
        <f>IFERROR(LEFT(B494,FIND(" ",B494)-1),B494)</f>
        <v/>
      </c>
      <c r="O494">
        <f>AND(B494&lt;&gt;"",B494&lt;&gt;설정!$B$4,C494&lt;&gt;설정!$B$5)</f>
        <v/>
      </c>
      <c r="P494">
        <f>IF(O494,B494&amp;"|"&amp;C494,"")</f>
        <v/>
      </c>
      <c r="Q494">
        <f>AND(O494,COUNTIF(P495:P$1002,P494)=0)</f>
        <v/>
      </c>
      <c r="R494">
        <f>OR(AND(설정!$A$42&lt;&gt;"",ISNUMBER(SEARCH(설정!$A$42,E494&amp;" "&amp;C494))),AND(설정!$A$43&lt;&gt;"",ISNUMBER(SEARCH(설정!$A$43,E494&amp;" "&amp;C494))),AND(설정!$A$44&lt;&gt;"",ISNUMBER(SEARCH(설정!$A$44,E494&amp;" "&amp;C494))),AND(설정!$A$45&lt;&gt;"",ISNUMBER(SEARCH(설정!$A$45,E494&amp;" "&amp;C494))),AND(설정!$A$46&lt;&gt;"",ISNUMBER(SEARCH(설정!$A$46,E494&amp;" "&amp;C494))),AND(설정!$A$47&lt;&gt;"",ISNUMBER(SEARCH(설정!$A$47,E494&amp;" "&amp;C494))),AND(설정!$A$48&lt;&gt;"",ISNUMBER(SEARCH(설정!$A$48,E494&amp;" "&amp;C494))),AND(설정!$A$49&lt;&gt;"",ISNUMBER(SEARCH(설정!$A$49,E494&amp;" "&amp;C494))),AND(설정!$A$50&lt;&gt;"",ISNUMBER(SEARCH(설정!$A$50,E494&amp;" "&amp;C494))),AND(설정!$A$51&lt;&gt;"",ISNUMBER(SEARCH(설정!$A$51,E494&amp;" "&amp;C494))))</f>
        <v/>
      </c>
      <c r="S494">
        <f>OR(D494="",D494&gt;=설정!$B$19)</f>
        <v/>
      </c>
      <c r="T494">
        <f>AND(Q494,R494,S494)</f>
        <v/>
      </c>
      <c r="U494">
        <f>IF(T494,IF(AND(설정!$A$54&lt;&gt;"",ISNUMBER(SEARCH(설정!$A$54,K494))),설정!$B$54,IF(AND(설정!$A$55&lt;&gt;"",ISNUMBER(SEARCH(설정!$A$55,K494))),설정!$B$55,IF(AND(설정!$A$56&lt;&gt;"",ISNUMBER(SEARCH(설정!$A$56,K494))),설정!$B$56,IF(AND(설정!$A$57&lt;&gt;"",ISNUMBER(SEARCH(설정!$A$57,K494))),설정!$B$57,IF(AND(설정!$A$58&lt;&gt;"",ISNUMBER(SEARCH(설정!$A$58,K494))),설정!$B$58,IF(AND(설정!$A$59&lt;&gt;"",ISNUMBER(SEARCH(설정!$A$59,K494))),설정!$B$59,IF(AND(설정!$A$60&lt;&gt;"",ISNUMBER(SEARCH(설정!$A$60,K494))),설정!$B$60,IF(AND(설정!$A$61&lt;&gt;"",ISNUMBER(SEARCH(설정!$A$61,K494))),설정!$B$61,IF(M494="","설계사","시공사"))))))))),"")</f>
        <v/>
      </c>
      <c r="V494">
        <f>SUBSTITUTE(SUBSTITUTE(SUBSTITUTE(SUBSTITUTE(G494,"(주)",""),"㈜",""),"주식회사","")," ","")</f>
        <v/>
      </c>
      <c r="W494">
        <f>IF(AND(T494,V494&lt;&gt;""),IF(COUNTIFS(V$2:V494,V494,T$2:T494,TRUE)=1,MAX(W$1:W493)+1,""),"")</f>
        <v/>
      </c>
      <c r="X494">
        <f>IF(설정!$C$14="","",IFERROR(INDEX('1.산군_붙여넣기'!$A$1:$AZ$1001,ROW(),설정!$C$14)&amp;"",""))</f>
        <v/>
      </c>
      <c r="Y494">
        <f>IF(설정!$C$15="","",IFERROR(INDEX('1.산군_붙여넣기'!$A$1:$AZ$1001,ROW(),설정!$C$15)&amp;"",""))</f>
        <v/>
      </c>
      <c r="Z494">
        <f>IF(T494,V494&amp;"|"&amp;U494,"")</f>
        <v/>
      </c>
      <c r="AA494">
        <f>IF(NOT(Q494),"",IF(NOT(AND(R494,S494)),"✕",IF(OR(OR(AND(L494&lt;&gt;"",M494&lt;&gt;"",N(M494)-N(L494)&gt;설정!$B$27),AND(L494&lt;&gt;"",M494="",설정!$B$24-N(L494)&gt;설정!$B$27)),AND(D494&lt;&gt;"",D494&lt;설정!$B$26)),"△","★")))</f>
        <v/>
      </c>
      <c r="AB494">
        <f>IF(NOT(T494),"",IF(U494="설계사",설정!$B$31,IF(U494="시공사",IF(OR(M494="",설정!$B$24-N(M494)&lt;=설정!$B$28*30.4),설정!$B$32,설정!$B$33),설정!$B$34))+IF(AA494="★",설정!$B$35,0))</f>
        <v/>
      </c>
      <c r="AC494">
        <f>SUBSTITUTE(SUBSTITUTE(SUBSTITUTE(SUBSTITUTE(H494,"(주)",""),"㈜",""),"주식회사","")," ","")</f>
        <v/>
      </c>
      <c r="AD494">
        <f>IF(AND(T494,AC494&lt;&gt;""),IF(COUNTIFS(AC$2:AC494,AC494,T$2:T494,TRUE)=1,MAX(AD$1:AD493)+1,""),"")</f>
        <v/>
      </c>
    </row>
    <row r="495">
      <c r="A495">
        <f>ROW()</f>
        <v/>
      </c>
      <c r="B495">
        <f>IF(설정!$C$4="","",IFERROR(INDEX('1.산군_붙여넣기'!$A$1:$AZ$1001,ROW(),설정!$C$4)&amp;"",""))</f>
        <v/>
      </c>
      <c r="C495">
        <f>IF(설정!$C$5="","",IFERROR(INDEX('1.산군_붙여넣기'!$A$1:$AZ$1001,ROW(),설정!$C$5)&amp;"",""))</f>
        <v/>
      </c>
      <c r="D495" s="5">
        <f>IFERROR(VALUE(SUBSTITUTE(SUBSTITUTE(SUBSTITUTE(IF(설정!$C$6="","",IFERROR(INDEX('1.산군_붙여넣기'!$A$1:$AZ$1001,ROW(),설정!$C$6)&amp;"","")),",",""),"㎡",""),"m2","")),"")</f>
        <v/>
      </c>
      <c r="E495">
        <f>IF(설정!$C$7="","",IFERROR(INDEX('1.산군_붙여넣기'!$A$1:$AZ$1001,ROW(),설정!$C$7)&amp;"",""))</f>
        <v/>
      </c>
      <c r="F495">
        <f>IF(설정!$C$8="","",IFERROR(INDEX('1.산군_붙여넣기'!$A$1:$AZ$1001,ROW(),설정!$C$8)&amp;"",""))</f>
        <v/>
      </c>
      <c r="G495">
        <f>IF(설정!$C$9="","",IFERROR(INDEX('1.산군_붙여넣기'!$A$1:$AZ$1001,ROW(),설정!$C$9)&amp;"",""))</f>
        <v/>
      </c>
      <c r="H495">
        <f>IF(설정!$C$10="","",IFERROR(INDEX('1.산군_붙여넣기'!$A$1:$AZ$1001,ROW(),설정!$C$10)&amp;"",""))</f>
        <v/>
      </c>
      <c r="I495">
        <f>IF(설정!$C$11="","",IFERROR(INDEX('1.산군_붙여넣기'!$A$1:$AZ$1001,ROW(),설정!$C$11)&amp;"",""))</f>
        <v/>
      </c>
      <c r="J495">
        <f>IF(설정!$C$12="","",IFERROR(INDEX('1.산군_붙여넣기'!$A$1:$AZ$1001,ROW(),설정!$C$12)&amp;"",""))</f>
        <v/>
      </c>
      <c r="K495">
        <f>IF(설정!$C$13="","",IFERROR(INDEX('1.산군_붙여넣기'!$A$1:$AZ$1001,ROW(),설정!$C$13)&amp;"",""))</f>
        <v/>
      </c>
      <c r="L495" s="7">
        <f>IF(X495="","",IF(AND(LEN(X495)=8,ISNUMBER(X495*1)),DATE(LEFT(X495,4),MID(X495,5,2),RIGHT(X495,2)),IFERROR(DATEVALUE(SUBSTITUTE(SUBSTITUTE(X495,".","-"),"/","-")),IFERROR(X495*1,""))))</f>
        <v/>
      </c>
      <c r="M495" s="7">
        <f>IF(Y495="","",IF(AND(LEN(Y495)=8,ISNUMBER(Y495*1)),DATE(LEFT(Y495,4),MID(Y495,5,2),RIGHT(Y495,2)),IFERROR(DATEVALUE(SUBSTITUTE(SUBSTITUTE(Y495,".","-"),"/","-")),IFERROR(Y495*1,""))))</f>
        <v/>
      </c>
      <c r="N495">
        <f>IFERROR(LEFT(B495,FIND(" ",B495)-1),B495)</f>
        <v/>
      </c>
      <c r="O495">
        <f>AND(B495&lt;&gt;"",B495&lt;&gt;설정!$B$4,C495&lt;&gt;설정!$B$5)</f>
        <v/>
      </c>
      <c r="P495">
        <f>IF(O495,B495&amp;"|"&amp;C495,"")</f>
        <v/>
      </c>
      <c r="Q495">
        <f>AND(O495,COUNTIF(P496:P$1002,P495)=0)</f>
        <v/>
      </c>
      <c r="R495">
        <f>OR(AND(설정!$A$42&lt;&gt;"",ISNUMBER(SEARCH(설정!$A$42,E495&amp;" "&amp;C495))),AND(설정!$A$43&lt;&gt;"",ISNUMBER(SEARCH(설정!$A$43,E495&amp;" "&amp;C495))),AND(설정!$A$44&lt;&gt;"",ISNUMBER(SEARCH(설정!$A$44,E495&amp;" "&amp;C495))),AND(설정!$A$45&lt;&gt;"",ISNUMBER(SEARCH(설정!$A$45,E495&amp;" "&amp;C495))),AND(설정!$A$46&lt;&gt;"",ISNUMBER(SEARCH(설정!$A$46,E495&amp;" "&amp;C495))),AND(설정!$A$47&lt;&gt;"",ISNUMBER(SEARCH(설정!$A$47,E495&amp;" "&amp;C495))),AND(설정!$A$48&lt;&gt;"",ISNUMBER(SEARCH(설정!$A$48,E495&amp;" "&amp;C495))),AND(설정!$A$49&lt;&gt;"",ISNUMBER(SEARCH(설정!$A$49,E495&amp;" "&amp;C495))),AND(설정!$A$50&lt;&gt;"",ISNUMBER(SEARCH(설정!$A$50,E495&amp;" "&amp;C495))),AND(설정!$A$51&lt;&gt;"",ISNUMBER(SEARCH(설정!$A$51,E495&amp;" "&amp;C495))))</f>
        <v/>
      </c>
      <c r="S495">
        <f>OR(D495="",D495&gt;=설정!$B$19)</f>
        <v/>
      </c>
      <c r="T495">
        <f>AND(Q495,R495,S495)</f>
        <v/>
      </c>
      <c r="U495">
        <f>IF(T495,IF(AND(설정!$A$54&lt;&gt;"",ISNUMBER(SEARCH(설정!$A$54,K495))),설정!$B$54,IF(AND(설정!$A$55&lt;&gt;"",ISNUMBER(SEARCH(설정!$A$55,K495))),설정!$B$55,IF(AND(설정!$A$56&lt;&gt;"",ISNUMBER(SEARCH(설정!$A$56,K495))),설정!$B$56,IF(AND(설정!$A$57&lt;&gt;"",ISNUMBER(SEARCH(설정!$A$57,K495))),설정!$B$57,IF(AND(설정!$A$58&lt;&gt;"",ISNUMBER(SEARCH(설정!$A$58,K495))),설정!$B$58,IF(AND(설정!$A$59&lt;&gt;"",ISNUMBER(SEARCH(설정!$A$59,K495))),설정!$B$59,IF(AND(설정!$A$60&lt;&gt;"",ISNUMBER(SEARCH(설정!$A$60,K495))),설정!$B$60,IF(AND(설정!$A$61&lt;&gt;"",ISNUMBER(SEARCH(설정!$A$61,K495))),설정!$B$61,IF(M495="","설계사","시공사"))))))))),"")</f>
        <v/>
      </c>
      <c r="V495">
        <f>SUBSTITUTE(SUBSTITUTE(SUBSTITUTE(SUBSTITUTE(G495,"(주)",""),"㈜",""),"주식회사","")," ","")</f>
        <v/>
      </c>
      <c r="W495">
        <f>IF(AND(T495,V495&lt;&gt;""),IF(COUNTIFS(V$2:V495,V495,T$2:T495,TRUE)=1,MAX(W$1:W494)+1,""),"")</f>
        <v/>
      </c>
      <c r="X495">
        <f>IF(설정!$C$14="","",IFERROR(INDEX('1.산군_붙여넣기'!$A$1:$AZ$1001,ROW(),설정!$C$14)&amp;"",""))</f>
        <v/>
      </c>
      <c r="Y495">
        <f>IF(설정!$C$15="","",IFERROR(INDEX('1.산군_붙여넣기'!$A$1:$AZ$1001,ROW(),설정!$C$15)&amp;"",""))</f>
        <v/>
      </c>
      <c r="Z495">
        <f>IF(T495,V495&amp;"|"&amp;U495,"")</f>
        <v/>
      </c>
      <c r="AA495">
        <f>IF(NOT(Q495),"",IF(NOT(AND(R495,S495)),"✕",IF(OR(OR(AND(L495&lt;&gt;"",M495&lt;&gt;"",N(M495)-N(L495)&gt;설정!$B$27),AND(L495&lt;&gt;"",M495="",설정!$B$24-N(L495)&gt;설정!$B$27)),AND(D495&lt;&gt;"",D495&lt;설정!$B$26)),"△","★")))</f>
        <v/>
      </c>
      <c r="AB495">
        <f>IF(NOT(T495),"",IF(U495="설계사",설정!$B$31,IF(U495="시공사",IF(OR(M495="",설정!$B$24-N(M495)&lt;=설정!$B$28*30.4),설정!$B$32,설정!$B$33),설정!$B$34))+IF(AA495="★",설정!$B$35,0))</f>
        <v/>
      </c>
      <c r="AC495">
        <f>SUBSTITUTE(SUBSTITUTE(SUBSTITUTE(SUBSTITUTE(H495,"(주)",""),"㈜",""),"주식회사","")," ","")</f>
        <v/>
      </c>
      <c r="AD495">
        <f>IF(AND(T495,AC495&lt;&gt;""),IF(COUNTIFS(AC$2:AC495,AC495,T$2:T495,TRUE)=1,MAX(AD$1:AD494)+1,""),"")</f>
        <v/>
      </c>
    </row>
    <row r="496">
      <c r="A496">
        <f>ROW()</f>
        <v/>
      </c>
      <c r="B496">
        <f>IF(설정!$C$4="","",IFERROR(INDEX('1.산군_붙여넣기'!$A$1:$AZ$1001,ROW(),설정!$C$4)&amp;"",""))</f>
        <v/>
      </c>
      <c r="C496">
        <f>IF(설정!$C$5="","",IFERROR(INDEX('1.산군_붙여넣기'!$A$1:$AZ$1001,ROW(),설정!$C$5)&amp;"",""))</f>
        <v/>
      </c>
      <c r="D496" s="5">
        <f>IFERROR(VALUE(SUBSTITUTE(SUBSTITUTE(SUBSTITUTE(IF(설정!$C$6="","",IFERROR(INDEX('1.산군_붙여넣기'!$A$1:$AZ$1001,ROW(),설정!$C$6)&amp;"","")),",",""),"㎡",""),"m2","")),"")</f>
        <v/>
      </c>
      <c r="E496">
        <f>IF(설정!$C$7="","",IFERROR(INDEX('1.산군_붙여넣기'!$A$1:$AZ$1001,ROW(),설정!$C$7)&amp;"",""))</f>
        <v/>
      </c>
      <c r="F496">
        <f>IF(설정!$C$8="","",IFERROR(INDEX('1.산군_붙여넣기'!$A$1:$AZ$1001,ROW(),설정!$C$8)&amp;"",""))</f>
        <v/>
      </c>
      <c r="G496">
        <f>IF(설정!$C$9="","",IFERROR(INDEX('1.산군_붙여넣기'!$A$1:$AZ$1001,ROW(),설정!$C$9)&amp;"",""))</f>
        <v/>
      </c>
      <c r="H496">
        <f>IF(설정!$C$10="","",IFERROR(INDEX('1.산군_붙여넣기'!$A$1:$AZ$1001,ROW(),설정!$C$10)&amp;"",""))</f>
        <v/>
      </c>
      <c r="I496">
        <f>IF(설정!$C$11="","",IFERROR(INDEX('1.산군_붙여넣기'!$A$1:$AZ$1001,ROW(),설정!$C$11)&amp;"",""))</f>
        <v/>
      </c>
      <c r="J496">
        <f>IF(설정!$C$12="","",IFERROR(INDEX('1.산군_붙여넣기'!$A$1:$AZ$1001,ROW(),설정!$C$12)&amp;"",""))</f>
        <v/>
      </c>
      <c r="K496">
        <f>IF(설정!$C$13="","",IFERROR(INDEX('1.산군_붙여넣기'!$A$1:$AZ$1001,ROW(),설정!$C$13)&amp;"",""))</f>
        <v/>
      </c>
      <c r="L496" s="7">
        <f>IF(X496="","",IF(AND(LEN(X496)=8,ISNUMBER(X496*1)),DATE(LEFT(X496,4),MID(X496,5,2),RIGHT(X496,2)),IFERROR(DATEVALUE(SUBSTITUTE(SUBSTITUTE(X496,".","-"),"/","-")),IFERROR(X496*1,""))))</f>
        <v/>
      </c>
      <c r="M496" s="7">
        <f>IF(Y496="","",IF(AND(LEN(Y496)=8,ISNUMBER(Y496*1)),DATE(LEFT(Y496,4),MID(Y496,5,2),RIGHT(Y496,2)),IFERROR(DATEVALUE(SUBSTITUTE(SUBSTITUTE(Y496,".","-"),"/","-")),IFERROR(Y496*1,""))))</f>
        <v/>
      </c>
      <c r="N496">
        <f>IFERROR(LEFT(B496,FIND(" ",B496)-1),B496)</f>
        <v/>
      </c>
      <c r="O496">
        <f>AND(B496&lt;&gt;"",B496&lt;&gt;설정!$B$4,C496&lt;&gt;설정!$B$5)</f>
        <v/>
      </c>
      <c r="P496">
        <f>IF(O496,B496&amp;"|"&amp;C496,"")</f>
        <v/>
      </c>
      <c r="Q496">
        <f>AND(O496,COUNTIF(P497:P$1002,P496)=0)</f>
        <v/>
      </c>
      <c r="R496">
        <f>OR(AND(설정!$A$42&lt;&gt;"",ISNUMBER(SEARCH(설정!$A$42,E496&amp;" "&amp;C496))),AND(설정!$A$43&lt;&gt;"",ISNUMBER(SEARCH(설정!$A$43,E496&amp;" "&amp;C496))),AND(설정!$A$44&lt;&gt;"",ISNUMBER(SEARCH(설정!$A$44,E496&amp;" "&amp;C496))),AND(설정!$A$45&lt;&gt;"",ISNUMBER(SEARCH(설정!$A$45,E496&amp;" "&amp;C496))),AND(설정!$A$46&lt;&gt;"",ISNUMBER(SEARCH(설정!$A$46,E496&amp;" "&amp;C496))),AND(설정!$A$47&lt;&gt;"",ISNUMBER(SEARCH(설정!$A$47,E496&amp;" "&amp;C496))),AND(설정!$A$48&lt;&gt;"",ISNUMBER(SEARCH(설정!$A$48,E496&amp;" "&amp;C496))),AND(설정!$A$49&lt;&gt;"",ISNUMBER(SEARCH(설정!$A$49,E496&amp;" "&amp;C496))),AND(설정!$A$50&lt;&gt;"",ISNUMBER(SEARCH(설정!$A$50,E496&amp;" "&amp;C496))),AND(설정!$A$51&lt;&gt;"",ISNUMBER(SEARCH(설정!$A$51,E496&amp;" "&amp;C496))))</f>
        <v/>
      </c>
      <c r="S496">
        <f>OR(D496="",D496&gt;=설정!$B$19)</f>
        <v/>
      </c>
      <c r="T496">
        <f>AND(Q496,R496,S496)</f>
        <v/>
      </c>
      <c r="U496">
        <f>IF(T496,IF(AND(설정!$A$54&lt;&gt;"",ISNUMBER(SEARCH(설정!$A$54,K496))),설정!$B$54,IF(AND(설정!$A$55&lt;&gt;"",ISNUMBER(SEARCH(설정!$A$55,K496))),설정!$B$55,IF(AND(설정!$A$56&lt;&gt;"",ISNUMBER(SEARCH(설정!$A$56,K496))),설정!$B$56,IF(AND(설정!$A$57&lt;&gt;"",ISNUMBER(SEARCH(설정!$A$57,K496))),설정!$B$57,IF(AND(설정!$A$58&lt;&gt;"",ISNUMBER(SEARCH(설정!$A$58,K496))),설정!$B$58,IF(AND(설정!$A$59&lt;&gt;"",ISNUMBER(SEARCH(설정!$A$59,K496))),설정!$B$59,IF(AND(설정!$A$60&lt;&gt;"",ISNUMBER(SEARCH(설정!$A$60,K496))),설정!$B$60,IF(AND(설정!$A$61&lt;&gt;"",ISNUMBER(SEARCH(설정!$A$61,K496))),설정!$B$61,IF(M496="","설계사","시공사"))))))))),"")</f>
        <v/>
      </c>
      <c r="V496">
        <f>SUBSTITUTE(SUBSTITUTE(SUBSTITUTE(SUBSTITUTE(G496,"(주)",""),"㈜",""),"주식회사","")," ","")</f>
        <v/>
      </c>
      <c r="W496">
        <f>IF(AND(T496,V496&lt;&gt;""),IF(COUNTIFS(V$2:V496,V496,T$2:T496,TRUE)=1,MAX(W$1:W495)+1,""),"")</f>
        <v/>
      </c>
      <c r="X496">
        <f>IF(설정!$C$14="","",IFERROR(INDEX('1.산군_붙여넣기'!$A$1:$AZ$1001,ROW(),설정!$C$14)&amp;"",""))</f>
        <v/>
      </c>
      <c r="Y496">
        <f>IF(설정!$C$15="","",IFERROR(INDEX('1.산군_붙여넣기'!$A$1:$AZ$1001,ROW(),설정!$C$15)&amp;"",""))</f>
        <v/>
      </c>
      <c r="Z496">
        <f>IF(T496,V496&amp;"|"&amp;U496,"")</f>
        <v/>
      </c>
      <c r="AA496">
        <f>IF(NOT(Q496),"",IF(NOT(AND(R496,S496)),"✕",IF(OR(OR(AND(L496&lt;&gt;"",M496&lt;&gt;"",N(M496)-N(L496)&gt;설정!$B$27),AND(L496&lt;&gt;"",M496="",설정!$B$24-N(L496)&gt;설정!$B$27)),AND(D496&lt;&gt;"",D496&lt;설정!$B$26)),"△","★")))</f>
        <v/>
      </c>
      <c r="AB496">
        <f>IF(NOT(T496),"",IF(U496="설계사",설정!$B$31,IF(U496="시공사",IF(OR(M496="",설정!$B$24-N(M496)&lt;=설정!$B$28*30.4),설정!$B$32,설정!$B$33),설정!$B$34))+IF(AA496="★",설정!$B$35,0))</f>
        <v/>
      </c>
      <c r="AC496">
        <f>SUBSTITUTE(SUBSTITUTE(SUBSTITUTE(SUBSTITUTE(H496,"(주)",""),"㈜",""),"주식회사","")," ","")</f>
        <v/>
      </c>
      <c r="AD496">
        <f>IF(AND(T496,AC496&lt;&gt;""),IF(COUNTIFS(AC$2:AC496,AC496,T$2:T496,TRUE)=1,MAX(AD$1:AD495)+1,""),"")</f>
        <v/>
      </c>
    </row>
    <row r="497">
      <c r="A497">
        <f>ROW()</f>
        <v/>
      </c>
      <c r="B497">
        <f>IF(설정!$C$4="","",IFERROR(INDEX('1.산군_붙여넣기'!$A$1:$AZ$1001,ROW(),설정!$C$4)&amp;"",""))</f>
        <v/>
      </c>
      <c r="C497">
        <f>IF(설정!$C$5="","",IFERROR(INDEX('1.산군_붙여넣기'!$A$1:$AZ$1001,ROW(),설정!$C$5)&amp;"",""))</f>
        <v/>
      </c>
      <c r="D497" s="5">
        <f>IFERROR(VALUE(SUBSTITUTE(SUBSTITUTE(SUBSTITUTE(IF(설정!$C$6="","",IFERROR(INDEX('1.산군_붙여넣기'!$A$1:$AZ$1001,ROW(),설정!$C$6)&amp;"","")),",",""),"㎡",""),"m2","")),"")</f>
        <v/>
      </c>
      <c r="E497">
        <f>IF(설정!$C$7="","",IFERROR(INDEX('1.산군_붙여넣기'!$A$1:$AZ$1001,ROW(),설정!$C$7)&amp;"",""))</f>
        <v/>
      </c>
      <c r="F497">
        <f>IF(설정!$C$8="","",IFERROR(INDEX('1.산군_붙여넣기'!$A$1:$AZ$1001,ROW(),설정!$C$8)&amp;"",""))</f>
        <v/>
      </c>
      <c r="G497">
        <f>IF(설정!$C$9="","",IFERROR(INDEX('1.산군_붙여넣기'!$A$1:$AZ$1001,ROW(),설정!$C$9)&amp;"",""))</f>
        <v/>
      </c>
      <c r="H497">
        <f>IF(설정!$C$10="","",IFERROR(INDEX('1.산군_붙여넣기'!$A$1:$AZ$1001,ROW(),설정!$C$10)&amp;"",""))</f>
        <v/>
      </c>
      <c r="I497">
        <f>IF(설정!$C$11="","",IFERROR(INDEX('1.산군_붙여넣기'!$A$1:$AZ$1001,ROW(),설정!$C$11)&amp;"",""))</f>
        <v/>
      </c>
      <c r="J497">
        <f>IF(설정!$C$12="","",IFERROR(INDEX('1.산군_붙여넣기'!$A$1:$AZ$1001,ROW(),설정!$C$12)&amp;"",""))</f>
        <v/>
      </c>
      <c r="K497">
        <f>IF(설정!$C$13="","",IFERROR(INDEX('1.산군_붙여넣기'!$A$1:$AZ$1001,ROW(),설정!$C$13)&amp;"",""))</f>
        <v/>
      </c>
      <c r="L497" s="7">
        <f>IF(X497="","",IF(AND(LEN(X497)=8,ISNUMBER(X497*1)),DATE(LEFT(X497,4),MID(X497,5,2),RIGHT(X497,2)),IFERROR(DATEVALUE(SUBSTITUTE(SUBSTITUTE(X497,".","-"),"/","-")),IFERROR(X497*1,""))))</f>
        <v/>
      </c>
      <c r="M497" s="7">
        <f>IF(Y497="","",IF(AND(LEN(Y497)=8,ISNUMBER(Y497*1)),DATE(LEFT(Y497,4),MID(Y497,5,2),RIGHT(Y497,2)),IFERROR(DATEVALUE(SUBSTITUTE(SUBSTITUTE(Y497,".","-"),"/","-")),IFERROR(Y497*1,""))))</f>
        <v/>
      </c>
      <c r="N497">
        <f>IFERROR(LEFT(B497,FIND(" ",B497)-1),B497)</f>
        <v/>
      </c>
      <c r="O497">
        <f>AND(B497&lt;&gt;"",B497&lt;&gt;설정!$B$4,C497&lt;&gt;설정!$B$5)</f>
        <v/>
      </c>
      <c r="P497">
        <f>IF(O497,B497&amp;"|"&amp;C497,"")</f>
        <v/>
      </c>
      <c r="Q497">
        <f>AND(O497,COUNTIF(P498:P$1002,P497)=0)</f>
        <v/>
      </c>
      <c r="R497">
        <f>OR(AND(설정!$A$42&lt;&gt;"",ISNUMBER(SEARCH(설정!$A$42,E497&amp;" "&amp;C497))),AND(설정!$A$43&lt;&gt;"",ISNUMBER(SEARCH(설정!$A$43,E497&amp;" "&amp;C497))),AND(설정!$A$44&lt;&gt;"",ISNUMBER(SEARCH(설정!$A$44,E497&amp;" "&amp;C497))),AND(설정!$A$45&lt;&gt;"",ISNUMBER(SEARCH(설정!$A$45,E497&amp;" "&amp;C497))),AND(설정!$A$46&lt;&gt;"",ISNUMBER(SEARCH(설정!$A$46,E497&amp;" "&amp;C497))),AND(설정!$A$47&lt;&gt;"",ISNUMBER(SEARCH(설정!$A$47,E497&amp;" "&amp;C497))),AND(설정!$A$48&lt;&gt;"",ISNUMBER(SEARCH(설정!$A$48,E497&amp;" "&amp;C497))),AND(설정!$A$49&lt;&gt;"",ISNUMBER(SEARCH(설정!$A$49,E497&amp;" "&amp;C497))),AND(설정!$A$50&lt;&gt;"",ISNUMBER(SEARCH(설정!$A$50,E497&amp;" "&amp;C497))),AND(설정!$A$51&lt;&gt;"",ISNUMBER(SEARCH(설정!$A$51,E497&amp;" "&amp;C497))))</f>
        <v/>
      </c>
      <c r="S497">
        <f>OR(D497="",D497&gt;=설정!$B$19)</f>
        <v/>
      </c>
      <c r="T497">
        <f>AND(Q497,R497,S497)</f>
        <v/>
      </c>
      <c r="U497">
        <f>IF(T497,IF(AND(설정!$A$54&lt;&gt;"",ISNUMBER(SEARCH(설정!$A$54,K497))),설정!$B$54,IF(AND(설정!$A$55&lt;&gt;"",ISNUMBER(SEARCH(설정!$A$55,K497))),설정!$B$55,IF(AND(설정!$A$56&lt;&gt;"",ISNUMBER(SEARCH(설정!$A$56,K497))),설정!$B$56,IF(AND(설정!$A$57&lt;&gt;"",ISNUMBER(SEARCH(설정!$A$57,K497))),설정!$B$57,IF(AND(설정!$A$58&lt;&gt;"",ISNUMBER(SEARCH(설정!$A$58,K497))),설정!$B$58,IF(AND(설정!$A$59&lt;&gt;"",ISNUMBER(SEARCH(설정!$A$59,K497))),설정!$B$59,IF(AND(설정!$A$60&lt;&gt;"",ISNUMBER(SEARCH(설정!$A$60,K497))),설정!$B$60,IF(AND(설정!$A$61&lt;&gt;"",ISNUMBER(SEARCH(설정!$A$61,K497))),설정!$B$61,IF(M497="","설계사","시공사"))))))))),"")</f>
        <v/>
      </c>
      <c r="V497">
        <f>SUBSTITUTE(SUBSTITUTE(SUBSTITUTE(SUBSTITUTE(G497,"(주)",""),"㈜",""),"주식회사","")," ","")</f>
        <v/>
      </c>
      <c r="W497">
        <f>IF(AND(T497,V497&lt;&gt;""),IF(COUNTIFS(V$2:V497,V497,T$2:T497,TRUE)=1,MAX(W$1:W496)+1,""),"")</f>
        <v/>
      </c>
      <c r="X497">
        <f>IF(설정!$C$14="","",IFERROR(INDEX('1.산군_붙여넣기'!$A$1:$AZ$1001,ROW(),설정!$C$14)&amp;"",""))</f>
        <v/>
      </c>
      <c r="Y497">
        <f>IF(설정!$C$15="","",IFERROR(INDEX('1.산군_붙여넣기'!$A$1:$AZ$1001,ROW(),설정!$C$15)&amp;"",""))</f>
        <v/>
      </c>
      <c r="Z497">
        <f>IF(T497,V497&amp;"|"&amp;U497,"")</f>
        <v/>
      </c>
      <c r="AA497">
        <f>IF(NOT(Q497),"",IF(NOT(AND(R497,S497)),"✕",IF(OR(OR(AND(L497&lt;&gt;"",M497&lt;&gt;"",N(M497)-N(L497)&gt;설정!$B$27),AND(L497&lt;&gt;"",M497="",설정!$B$24-N(L497)&gt;설정!$B$27)),AND(D497&lt;&gt;"",D497&lt;설정!$B$26)),"△","★")))</f>
        <v/>
      </c>
      <c r="AB497">
        <f>IF(NOT(T497),"",IF(U497="설계사",설정!$B$31,IF(U497="시공사",IF(OR(M497="",설정!$B$24-N(M497)&lt;=설정!$B$28*30.4),설정!$B$32,설정!$B$33),설정!$B$34))+IF(AA497="★",설정!$B$35,0))</f>
        <v/>
      </c>
      <c r="AC497">
        <f>SUBSTITUTE(SUBSTITUTE(SUBSTITUTE(SUBSTITUTE(H497,"(주)",""),"㈜",""),"주식회사","")," ","")</f>
        <v/>
      </c>
      <c r="AD497">
        <f>IF(AND(T497,AC497&lt;&gt;""),IF(COUNTIFS(AC$2:AC497,AC497,T$2:T497,TRUE)=1,MAX(AD$1:AD496)+1,""),"")</f>
        <v/>
      </c>
    </row>
    <row r="498">
      <c r="A498">
        <f>ROW()</f>
        <v/>
      </c>
      <c r="B498">
        <f>IF(설정!$C$4="","",IFERROR(INDEX('1.산군_붙여넣기'!$A$1:$AZ$1001,ROW(),설정!$C$4)&amp;"",""))</f>
        <v/>
      </c>
      <c r="C498">
        <f>IF(설정!$C$5="","",IFERROR(INDEX('1.산군_붙여넣기'!$A$1:$AZ$1001,ROW(),설정!$C$5)&amp;"",""))</f>
        <v/>
      </c>
      <c r="D498" s="5">
        <f>IFERROR(VALUE(SUBSTITUTE(SUBSTITUTE(SUBSTITUTE(IF(설정!$C$6="","",IFERROR(INDEX('1.산군_붙여넣기'!$A$1:$AZ$1001,ROW(),설정!$C$6)&amp;"","")),",",""),"㎡",""),"m2","")),"")</f>
        <v/>
      </c>
      <c r="E498">
        <f>IF(설정!$C$7="","",IFERROR(INDEX('1.산군_붙여넣기'!$A$1:$AZ$1001,ROW(),설정!$C$7)&amp;"",""))</f>
        <v/>
      </c>
      <c r="F498">
        <f>IF(설정!$C$8="","",IFERROR(INDEX('1.산군_붙여넣기'!$A$1:$AZ$1001,ROW(),설정!$C$8)&amp;"",""))</f>
        <v/>
      </c>
      <c r="G498">
        <f>IF(설정!$C$9="","",IFERROR(INDEX('1.산군_붙여넣기'!$A$1:$AZ$1001,ROW(),설정!$C$9)&amp;"",""))</f>
        <v/>
      </c>
      <c r="H498">
        <f>IF(설정!$C$10="","",IFERROR(INDEX('1.산군_붙여넣기'!$A$1:$AZ$1001,ROW(),설정!$C$10)&amp;"",""))</f>
        <v/>
      </c>
      <c r="I498">
        <f>IF(설정!$C$11="","",IFERROR(INDEX('1.산군_붙여넣기'!$A$1:$AZ$1001,ROW(),설정!$C$11)&amp;"",""))</f>
        <v/>
      </c>
      <c r="J498">
        <f>IF(설정!$C$12="","",IFERROR(INDEX('1.산군_붙여넣기'!$A$1:$AZ$1001,ROW(),설정!$C$12)&amp;"",""))</f>
        <v/>
      </c>
      <c r="K498">
        <f>IF(설정!$C$13="","",IFERROR(INDEX('1.산군_붙여넣기'!$A$1:$AZ$1001,ROW(),설정!$C$13)&amp;"",""))</f>
        <v/>
      </c>
      <c r="L498" s="7">
        <f>IF(X498="","",IF(AND(LEN(X498)=8,ISNUMBER(X498*1)),DATE(LEFT(X498,4),MID(X498,5,2),RIGHT(X498,2)),IFERROR(DATEVALUE(SUBSTITUTE(SUBSTITUTE(X498,".","-"),"/","-")),IFERROR(X498*1,""))))</f>
        <v/>
      </c>
      <c r="M498" s="7">
        <f>IF(Y498="","",IF(AND(LEN(Y498)=8,ISNUMBER(Y498*1)),DATE(LEFT(Y498,4),MID(Y498,5,2),RIGHT(Y498,2)),IFERROR(DATEVALUE(SUBSTITUTE(SUBSTITUTE(Y498,".","-"),"/","-")),IFERROR(Y498*1,""))))</f>
        <v/>
      </c>
      <c r="N498">
        <f>IFERROR(LEFT(B498,FIND(" ",B498)-1),B498)</f>
        <v/>
      </c>
      <c r="O498">
        <f>AND(B498&lt;&gt;"",B498&lt;&gt;설정!$B$4,C498&lt;&gt;설정!$B$5)</f>
        <v/>
      </c>
      <c r="P498">
        <f>IF(O498,B498&amp;"|"&amp;C498,"")</f>
        <v/>
      </c>
      <c r="Q498">
        <f>AND(O498,COUNTIF(P499:P$1002,P498)=0)</f>
        <v/>
      </c>
      <c r="R498">
        <f>OR(AND(설정!$A$42&lt;&gt;"",ISNUMBER(SEARCH(설정!$A$42,E498&amp;" "&amp;C498))),AND(설정!$A$43&lt;&gt;"",ISNUMBER(SEARCH(설정!$A$43,E498&amp;" "&amp;C498))),AND(설정!$A$44&lt;&gt;"",ISNUMBER(SEARCH(설정!$A$44,E498&amp;" "&amp;C498))),AND(설정!$A$45&lt;&gt;"",ISNUMBER(SEARCH(설정!$A$45,E498&amp;" "&amp;C498))),AND(설정!$A$46&lt;&gt;"",ISNUMBER(SEARCH(설정!$A$46,E498&amp;" "&amp;C498))),AND(설정!$A$47&lt;&gt;"",ISNUMBER(SEARCH(설정!$A$47,E498&amp;" "&amp;C498))),AND(설정!$A$48&lt;&gt;"",ISNUMBER(SEARCH(설정!$A$48,E498&amp;" "&amp;C498))),AND(설정!$A$49&lt;&gt;"",ISNUMBER(SEARCH(설정!$A$49,E498&amp;" "&amp;C498))),AND(설정!$A$50&lt;&gt;"",ISNUMBER(SEARCH(설정!$A$50,E498&amp;" "&amp;C498))),AND(설정!$A$51&lt;&gt;"",ISNUMBER(SEARCH(설정!$A$51,E498&amp;" "&amp;C498))))</f>
        <v/>
      </c>
      <c r="S498">
        <f>OR(D498="",D498&gt;=설정!$B$19)</f>
        <v/>
      </c>
      <c r="T498">
        <f>AND(Q498,R498,S498)</f>
        <v/>
      </c>
      <c r="U498">
        <f>IF(T498,IF(AND(설정!$A$54&lt;&gt;"",ISNUMBER(SEARCH(설정!$A$54,K498))),설정!$B$54,IF(AND(설정!$A$55&lt;&gt;"",ISNUMBER(SEARCH(설정!$A$55,K498))),설정!$B$55,IF(AND(설정!$A$56&lt;&gt;"",ISNUMBER(SEARCH(설정!$A$56,K498))),설정!$B$56,IF(AND(설정!$A$57&lt;&gt;"",ISNUMBER(SEARCH(설정!$A$57,K498))),설정!$B$57,IF(AND(설정!$A$58&lt;&gt;"",ISNUMBER(SEARCH(설정!$A$58,K498))),설정!$B$58,IF(AND(설정!$A$59&lt;&gt;"",ISNUMBER(SEARCH(설정!$A$59,K498))),설정!$B$59,IF(AND(설정!$A$60&lt;&gt;"",ISNUMBER(SEARCH(설정!$A$60,K498))),설정!$B$60,IF(AND(설정!$A$61&lt;&gt;"",ISNUMBER(SEARCH(설정!$A$61,K498))),설정!$B$61,IF(M498="","설계사","시공사"))))))))),"")</f>
        <v/>
      </c>
      <c r="V498">
        <f>SUBSTITUTE(SUBSTITUTE(SUBSTITUTE(SUBSTITUTE(G498,"(주)",""),"㈜",""),"주식회사","")," ","")</f>
        <v/>
      </c>
      <c r="W498">
        <f>IF(AND(T498,V498&lt;&gt;""),IF(COUNTIFS(V$2:V498,V498,T$2:T498,TRUE)=1,MAX(W$1:W497)+1,""),"")</f>
        <v/>
      </c>
      <c r="X498">
        <f>IF(설정!$C$14="","",IFERROR(INDEX('1.산군_붙여넣기'!$A$1:$AZ$1001,ROW(),설정!$C$14)&amp;"",""))</f>
        <v/>
      </c>
      <c r="Y498">
        <f>IF(설정!$C$15="","",IFERROR(INDEX('1.산군_붙여넣기'!$A$1:$AZ$1001,ROW(),설정!$C$15)&amp;"",""))</f>
        <v/>
      </c>
      <c r="Z498">
        <f>IF(T498,V498&amp;"|"&amp;U498,"")</f>
        <v/>
      </c>
      <c r="AA498">
        <f>IF(NOT(Q498),"",IF(NOT(AND(R498,S498)),"✕",IF(OR(OR(AND(L498&lt;&gt;"",M498&lt;&gt;"",N(M498)-N(L498)&gt;설정!$B$27),AND(L498&lt;&gt;"",M498="",설정!$B$24-N(L498)&gt;설정!$B$27)),AND(D498&lt;&gt;"",D498&lt;설정!$B$26)),"△","★")))</f>
        <v/>
      </c>
      <c r="AB498">
        <f>IF(NOT(T498),"",IF(U498="설계사",설정!$B$31,IF(U498="시공사",IF(OR(M498="",설정!$B$24-N(M498)&lt;=설정!$B$28*30.4),설정!$B$32,설정!$B$33),설정!$B$34))+IF(AA498="★",설정!$B$35,0))</f>
        <v/>
      </c>
      <c r="AC498">
        <f>SUBSTITUTE(SUBSTITUTE(SUBSTITUTE(SUBSTITUTE(H498,"(주)",""),"㈜",""),"주식회사","")," ","")</f>
        <v/>
      </c>
      <c r="AD498">
        <f>IF(AND(T498,AC498&lt;&gt;""),IF(COUNTIFS(AC$2:AC498,AC498,T$2:T498,TRUE)=1,MAX(AD$1:AD497)+1,""),"")</f>
        <v/>
      </c>
    </row>
    <row r="499">
      <c r="A499">
        <f>ROW()</f>
        <v/>
      </c>
      <c r="B499">
        <f>IF(설정!$C$4="","",IFERROR(INDEX('1.산군_붙여넣기'!$A$1:$AZ$1001,ROW(),설정!$C$4)&amp;"",""))</f>
        <v/>
      </c>
      <c r="C499">
        <f>IF(설정!$C$5="","",IFERROR(INDEX('1.산군_붙여넣기'!$A$1:$AZ$1001,ROW(),설정!$C$5)&amp;"",""))</f>
        <v/>
      </c>
      <c r="D499" s="5">
        <f>IFERROR(VALUE(SUBSTITUTE(SUBSTITUTE(SUBSTITUTE(IF(설정!$C$6="","",IFERROR(INDEX('1.산군_붙여넣기'!$A$1:$AZ$1001,ROW(),설정!$C$6)&amp;"","")),",",""),"㎡",""),"m2","")),"")</f>
        <v/>
      </c>
      <c r="E499">
        <f>IF(설정!$C$7="","",IFERROR(INDEX('1.산군_붙여넣기'!$A$1:$AZ$1001,ROW(),설정!$C$7)&amp;"",""))</f>
        <v/>
      </c>
      <c r="F499">
        <f>IF(설정!$C$8="","",IFERROR(INDEX('1.산군_붙여넣기'!$A$1:$AZ$1001,ROW(),설정!$C$8)&amp;"",""))</f>
        <v/>
      </c>
      <c r="G499">
        <f>IF(설정!$C$9="","",IFERROR(INDEX('1.산군_붙여넣기'!$A$1:$AZ$1001,ROW(),설정!$C$9)&amp;"",""))</f>
        <v/>
      </c>
      <c r="H499">
        <f>IF(설정!$C$10="","",IFERROR(INDEX('1.산군_붙여넣기'!$A$1:$AZ$1001,ROW(),설정!$C$10)&amp;"",""))</f>
        <v/>
      </c>
      <c r="I499">
        <f>IF(설정!$C$11="","",IFERROR(INDEX('1.산군_붙여넣기'!$A$1:$AZ$1001,ROW(),설정!$C$11)&amp;"",""))</f>
        <v/>
      </c>
      <c r="J499">
        <f>IF(설정!$C$12="","",IFERROR(INDEX('1.산군_붙여넣기'!$A$1:$AZ$1001,ROW(),설정!$C$12)&amp;"",""))</f>
        <v/>
      </c>
      <c r="K499">
        <f>IF(설정!$C$13="","",IFERROR(INDEX('1.산군_붙여넣기'!$A$1:$AZ$1001,ROW(),설정!$C$13)&amp;"",""))</f>
        <v/>
      </c>
      <c r="L499" s="7">
        <f>IF(X499="","",IF(AND(LEN(X499)=8,ISNUMBER(X499*1)),DATE(LEFT(X499,4),MID(X499,5,2),RIGHT(X499,2)),IFERROR(DATEVALUE(SUBSTITUTE(SUBSTITUTE(X499,".","-"),"/","-")),IFERROR(X499*1,""))))</f>
        <v/>
      </c>
      <c r="M499" s="7">
        <f>IF(Y499="","",IF(AND(LEN(Y499)=8,ISNUMBER(Y499*1)),DATE(LEFT(Y499,4),MID(Y499,5,2),RIGHT(Y499,2)),IFERROR(DATEVALUE(SUBSTITUTE(SUBSTITUTE(Y499,".","-"),"/","-")),IFERROR(Y499*1,""))))</f>
        <v/>
      </c>
      <c r="N499">
        <f>IFERROR(LEFT(B499,FIND(" ",B499)-1),B499)</f>
        <v/>
      </c>
      <c r="O499">
        <f>AND(B499&lt;&gt;"",B499&lt;&gt;설정!$B$4,C499&lt;&gt;설정!$B$5)</f>
        <v/>
      </c>
      <c r="P499">
        <f>IF(O499,B499&amp;"|"&amp;C499,"")</f>
        <v/>
      </c>
      <c r="Q499">
        <f>AND(O499,COUNTIF(P500:P$1002,P499)=0)</f>
        <v/>
      </c>
      <c r="R499">
        <f>OR(AND(설정!$A$42&lt;&gt;"",ISNUMBER(SEARCH(설정!$A$42,E499&amp;" "&amp;C499))),AND(설정!$A$43&lt;&gt;"",ISNUMBER(SEARCH(설정!$A$43,E499&amp;" "&amp;C499))),AND(설정!$A$44&lt;&gt;"",ISNUMBER(SEARCH(설정!$A$44,E499&amp;" "&amp;C499))),AND(설정!$A$45&lt;&gt;"",ISNUMBER(SEARCH(설정!$A$45,E499&amp;" "&amp;C499))),AND(설정!$A$46&lt;&gt;"",ISNUMBER(SEARCH(설정!$A$46,E499&amp;" "&amp;C499))),AND(설정!$A$47&lt;&gt;"",ISNUMBER(SEARCH(설정!$A$47,E499&amp;" "&amp;C499))),AND(설정!$A$48&lt;&gt;"",ISNUMBER(SEARCH(설정!$A$48,E499&amp;" "&amp;C499))),AND(설정!$A$49&lt;&gt;"",ISNUMBER(SEARCH(설정!$A$49,E499&amp;" "&amp;C499))),AND(설정!$A$50&lt;&gt;"",ISNUMBER(SEARCH(설정!$A$50,E499&amp;" "&amp;C499))),AND(설정!$A$51&lt;&gt;"",ISNUMBER(SEARCH(설정!$A$51,E499&amp;" "&amp;C499))))</f>
        <v/>
      </c>
      <c r="S499">
        <f>OR(D499="",D499&gt;=설정!$B$19)</f>
        <v/>
      </c>
      <c r="T499">
        <f>AND(Q499,R499,S499)</f>
        <v/>
      </c>
      <c r="U499">
        <f>IF(T499,IF(AND(설정!$A$54&lt;&gt;"",ISNUMBER(SEARCH(설정!$A$54,K499))),설정!$B$54,IF(AND(설정!$A$55&lt;&gt;"",ISNUMBER(SEARCH(설정!$A$55,K499))),설정!$B$55,IF(AND(설정!$A$56&lt;&gt;"",ISNUMBER(SEARCH(설정!$A$56,K499))),설정!$B$56,IF(AND(설정!$A$57&lt;&gt;"",ISNUMBER(SEARCH(설정!$A$57,K499))),설정!$B$57,IF(AND(설정!$A$58&lt;&gt;"",ISNUMBER(SEARCH(설정!$A$58,K499))),설정!$B$58,IF(AND(설정!$A$59&lt;&gt;"",ISNUMBER(SEARCH(설정!$A$59,K499))),설정!$B$59,IF(AND(설정!$A$60&lt;&gt;"",ISNUMBER(SEARCH(설정!$A$60,K499))),설정!$B$60,IF(AND(설정!$A$61&lt;&gt;"",ISNUMBER(SEARCH(설정!$A$61,K499))),설정!$B$61,IF(M499="","설계사","시공사"))))))))),"")</f>
        <v/>
      </c>
      <c r="V499">
        <f>SUBSTITUTE(SUBSTITUTE(SUBSTITUTE(SUBSTITUTE(G499,"(주)",""),"㈜",""),"주식회사","")," ","")</f>
        <v/>
      </c>
      <c r="W499">
        <f>IF(AND(T499,V499&lt;&gt;""),IF(COUNTIFS(V$2:V499,V499,T$2:T499,TRUE)=1,MAX(W$1:W498)+1,""),"")</f>
        <v/>
      </c>
      <c r="X499">
        <f>IF(설정!$C$14="","",IFERROR(INDEX('1.산군_붙여넣기'!$A$1:$AZ$1001,ROW(),설정!$C$14)&amp;"",""))</f>
        <v/>
      </c>
      <c r="Y499">
        <f>IF(설정!$C$15="","",IFERROR(INDEX('1.산군_붙여넣기'!$A$1:$AZ$1001,ROW(),설정!$C$15)&amp;"",""))</f>
        <v/>
      </c>
      <c r="Z499">
        <f>IF(T499,V499&amp;"|"&amp;U499,"")</f>
        <v/>
      </c>
      <c r="AA499">
        <f>IF(NOT(Q499),"",IF(NOT(AND(R499,S499)),"✕",IF(OR(OR(AND(L499&lt;&gt;"",M499&lt;&gt;"",N(M499)-N(L499)&gt;설정!$B$27),AND(L499&lt;&gt;"",M499="",설정!$B$24-N(L499)&gt;설정!$B$27)),AND(D499&lt;&gt;"",D499&lt;설정!$B$26)),"△","★")))</f>
        <v/>
      </c>
      <c r="AB499">
        <f>IF(NOT(T499),"",IF(U499="설계사",설정!$B$31,IF(U499="시공사",IF(OR(M499="",설정!$B$24-N(M499)&lt;=설정!$B$28*30.4),설정!$B$32,설정!$B$33),설정!$B$34))+IF(AA499="★",설정!$B$35,0))</f>
        <v/>
      </c>
      <c r="AC499">
        <f>SUBSTITUTE(SUBSTITUTE(SUBSTITUTE(SUBSTITUTE(H499,"(주)",""),"㈜",""),"주식회사","")," ","")</f>
        <v/>
      </c>
      <c r="AD499">
        <f>IF(AND(T499,AC499&lt;&gt;""),IF(COUNTIFS(AC$2:AC499,AC499,T$2:T499,TRUE)=1,MAX(AD$1:AD498)+1,""),"")</f>
        <v/>
      </c>
    </row>
    <row r="500">
      <c r="A500">
        <f>ROW()</f>
        <v/>
      </c>
      <c r="B500">
        <f>IF(설정!$C$4="","",IFERROR(INDEX('1.산군_붙여넣기'!$A$1:$AZ$1001,ROW(),설정!$C$4)&amp;"",""))</f>
        <v/>
      </c>
      <c r="C500">
        <f>IF(설정!$C$5="","",IFERROR(INDEX('1.산군_붙여넣기'!$A$1:$AZ$1001,ROW(),설정!$C$5)&amp;"",""))</f>
        <v/>
      </c>
      <c r="D500" s="5">
        <f>IFERROR(VALUE(SUBSTITUTE(SUBSTITUTE(SUBSTITUTE(IF(설정!$C$6="","",IFERROR(INDEX('1.산군_붙여넣기'!$A$1:$AZ$1001,ROW(),설정!$C$6)&amp;"","")),",",""),"㎡",""),"m2","")),"")</f>
        <v/>
      </c>
      <c r="E500">
        <f>IF(설정!$C$7="","",IFERROR(INDEX('1.산군_붙여넣기'!$A$1:$AZ$1001,ROW(),설정!$C$7)&amp;"",""))</f>
        <v/>
      </c>
      <c r="F500">
        <f>IF(설정!$C$8="","",IFERROR(INDEX('1.산군_붙여넣기'!$A$1:$AZ$1001,ROW(),설정!$C$8)&amp;"",""))</f>
        <v/>
      </c>
      <c r="G500">
        <f>IF(설정!$C$9="","",IFERROR(INDEX('1.산군_붙여넣기'!$A$1:$AZ$1001,ROW(),설정!$C$9)&amp;"",""))</f>
        <v/>
      </c>
      <c r="H500">
        <f>IF(설정!$C$10="","",IFERROR(INDEX('1.산군_붙여넣기'!$A$1:$AZ$1001,ROW(),설정!$C$10)&amp;"",""))</f>
        <v/>
      </c>
      <c r="I500">
        <f>IF(설정!$C$11="","",IFERROR(INDEX('1.산군_붙여넣기'!$A$1:$AZ$1001,ROW(),설정!$C$11)&amp;"",""))</f>
        <v/>
      </c>
      <c r="J500">
        <f>IF(설정!$C$12="","",IFERROR(INDEX('1.산군_붙여넣기'!$A$1:$AZ$1001,ROW(),설정!$C$12)&amp;"",""))</f>
        <v/>
      </c>
      <c r="K500">
        <f>IF(설정!$C$13="","",IFERROR(INDEX('1.산군_붙여넣기'!$A$1:$AZ$1001,ROW(),설정!$C$13)&amp;"",""))</f>
        <v/>
      </c>
      <c r="L500" s="7">
        <f>IF(X500="","",IF(AND(LEN(X500)=8,ISNUMBER(X500*1)),DATE(LEFT(X500,4),MID(X500,5,2),RIGHT(X500,2)),IFERROR(DATEVALUE(SUBSTITUTE(SUBSTITUTE(X500,".","-"),"/","-")),IFERROR(X500*1,""))))</f>
        <v/>
      </c>
      <c r="M500" s="7">
        <f>IF(Y500="","",IF(AND(LEN(Y500)=8,ISNUMBER(Y500*1)),DATE(LEFT(Y500,4),MID(Y500,5,2),RIGHT(Y500,2)),IFERROR(DATEVALUE(SUBSTITUTE(SUBSTITUTE(Y500,".","-"),"/","-")),IFERROR(Y500*1,""))))</f>
        <v/>
      </c>
      <c r="N500">
        <f>IFERROR(LEFT(B500,FIND(" ",B500)-1),B500)</f>
        <v/>
      </c>
      <c r="O500">
        <f>AND(B500&lt;&gt;"",B500&lt;&gt;설정!$B$4,C500&lt;&gt;설정!$B$5)</f>
        <v/>
      </c>
      <c r="P500">
        <f>IF(O500,B500&amp;"|"&amp;C500,"")</f>
        <v/>
      </c>
      <c r="Q500">
        <f>AND(O500,COUNTIF(P501:P$1002,P500)=0)</f>
        <v/>
      </c>
      <c r="R500">
        <f>OR(AND(설정!$A$42&lt;&gt;"",ISNUMBER(SEARCH(설정!$A$42,E500&amp;" "&amp;C500))),AND(설정!$A$43&lt;&gt;"",ISNUMBER(SEARCH(설정!$A$43,E500&amp;" "&amp;C500))),AND(설정!$A$44&lt;&gt;"",ISNUMBER(SEARCH(설정!$A$44,E500&amp;" "&amp;C500))),AND(설정!$A$45&lt;&gt;"",ISNUMBER(SEARCH(설정!$A$45,E500&amp;" "&amp;C500))),AND(설정!$A$46&lt;&gt;"",ISNUMBER(SEARCH(설정!$A$46,E500&amp;" "&amp;C500))),AND(설정!$A$47&lt;&gt;"",ISNUMBER(SEARCH(설정!$A$47,E500&amp;" "&amp;C500))),AND(설정!$A$48&lt;&gt;"",ISNUMBER(SEARCH(설정!$A$48,E500&amp;" "&amp;C500))),AND(설정!$A$49&lt;&gt;"",ISNUMBER(SEARCH(설정!$A$49,E500&amp;" "&amp;C500))),AND(설정!$A$50&lt;&gt;"",ISNUMBER(SEARCH(설정!$A$50,E500&amp;" "&amp;C500))),AND(설정!$A$51&lt;&gt;"",ISNUMBER(SEARCH(설정!$A$51,E500&amp;" "&amp;C500))))</f>
        <v/>
      </c>
      <c r="S500">
        <f>OR(D500="",D500&gt;=설정!$B$19)</f>
        <v/>
      </c>
      <c r="T500">
        <f>AND(Q500,R500,S500)</f>
        <v/>
      </c>
      <c r="U500">
        <f>IF(T500,IF(AND(설정!$A$54&lt;&gt;"",ISNUMBER(SEARCH(설정!$A$54,K500))),설정!$B$54,IF(AND(설정!$A$55&lt;&gt;"",ISNUMBER(SEARCH(설정!$A$55,K500))),설정!$B$55,IF(AND(설정!$A$56&lt;&gt;"",ISNUMBER(SEARCH(설정!$A$56,K500))),설정!$B$56,IF(AND(설정!$A$57&lt;&gt;"",ISNUMBER(SEARCH(설정!$A$57,K500))),설정!$B$57,IF(AND(설정!$A$58&lt;&gt;"",ISNUMBER(SEARCH(설정!$A$58,K500))),설정!$B$58,IF(AND(설정!$A$59&lt;&gt;"",ISNUMBER(SEARCH(설정!$A$59,K500))),설정!$B$59,IF(AND(설정!$A$60&lt;&gt;"",ISNUMBER(SEARCH(설정!$A$60,K500))),설정!$B$60,IF(AND(설정!$A$61&lt;&gt;"",ISNUMBER(SEARCH(설정!$A$61,K500))),설정!$B$61,IF(M500="","설계사","시공사"))))))))),"")</f>
        <v/>
      </c>
      <c r="V500">
        <f>SUBSTITUTE(SUBSTITUTE(SUBSTITUTE(SUBSTITUTE(G500,"(주)",""),"㈜",""),"주식회사","")," ","")</f>
        <v/>
      </c>
      <c r="W500">
        <f>IF(AND(T500,V500&lt;&gt;""),IF(COUNTIFS(V$2:V500,V500,T$2:T500,TRUE)=1,MAX(W$1:W499)+1,""),"")</f>
        <v/>
      </c>
      <c r="X500">
        <f>IF(설정!$C$14="","",IFERROR(INDEX('1.산군_붙여넣기'!$A$1:$AZ$1001,ROW(),설정!$C$14)&amp;"",""))</f>
        <v/>
      </c>
      <c r="Y500">
        <f>IF(설정!$C$15="","",IFERROR(INDEX('1.산군_붙여넣기'!$A$1:$AZ$1001,ROW(),설정!$C$15)&amp;"",""))</f>
        <v/>
      </c>
      <c r="Z500">
        <f>IF(T500,V500&amp;"|"&amp;U500,"")</f>
        <v/>
      </c>
      <c r="AA500">
        <f>IF(NOT(Q500),"",IF(NOT(AND(R500,S500)),"✕",IF(OR(OR(AND(L500&lt;&gt;"",M500&lt;&gt;"",N(M500)-N(L500)&gt;설정!$B$27),AND(L500&lt;&gt;"",M500="",설정!$B$24-N(L500)&gt;설정!$B$27)),AND(D500&lt;&gt;"",D500&lt;설정!$B$26)),"△","★")))</f>
        <v/>
      </c>
      <c r="AB500">
        <f>IF(NOT(T500),"",IF(U500="설계사",설정!$B$31,IF(U500="시공사",IF(OR(M500="",설정!$B$24-N(M500)&lt;=설정!$B$28*30.4),설정!$B$32,설정!$B$33),설정!$B$34))+IF(AA500="★",설정!$B$35,0))</f>
        <v/>
      </c>
      <c r="AC500">
        <f>SUBSTITUTE(SUBSTITUTE(SUBSTITUTE(SUBSTITUTE(H500,"(주)",""),"㈜",""),"주식회사","")," ","")</f>
        <v/>
      </c>
      <c r="AD500">
        <f>IF(AND(T500,AC500&lt;&gt;""),IF(COUNTIFS(AC$2:AC500,AC500,T$2:T500,TRUE)=1,MAX(AD$1:AD499)+1,""),"")</f>
        <v/>
      </c>
    </row>
    <row r="501">
      <c r="A501">
        <f>ROW()</f>
        <v/>
      </c>
      <c r="B501">
        <f>IF(설정!$C$4="","",IFERROR(INDEX('1.산군_붙여넣기'!$A$1:$AZ$1001,ROW(),설정!$C$4)&amp;"",""))</f>
        <v/>
      </c>
      <c r="C501">
        <f>IF(설정!$C$5="","",IFERROR(INDEX('1.산군_붙여넣기'!$A$1:$AZ$1001,ROW(),설정!$C$5)&amp;"",""))</f>
        <v/>
      </c>
      <c r="D501" s="5">
        <f>IFERROR(VALUE(SUBSTITUTE(SUBSTITUTE(SUBSTITUTE(IF(설정!$C$6="","",IFERROR(INDEX('1.산군_붙여넣기'!$A$1:$AZ$1001,ROW(),설정!$C$6)&amp;"","")),",",""),"㎡",""),"m2","")),"")</f>
        <v/>
      </c>
      <c r="E501">
        <f>IF(설정!$C$7="","",IFERROR(INDEX('1.산군_붙여넣기'!$A$1:$AZ$1001,ROW(),설정!$C$7)&amp;"",""))</f>
        <v/>
      </c>
      <c r="F501">
        <f>IF(설정!$C$8="","",IFERROR(INDEX('1.산군_붙여넣기'!$A$1:$AZ$1001,ROW(),설정!$C$8)&amp;"",""))</f>
        <v/>
      </c>
      <c r="G501">
        <f>IF(설정!$C$9="","",IFERROR(INDEX('1.산군_붙여넣기'!$A$1:$AZ$1001,ROW(),설정!$C$9)&amp;"",""))</f>
        <v/>
      </c>
      <c r="H501">
        <f>IF(설정!$C$10="","",IFERROR(INDEX('1.산군_붙여넣기'!$A$1:$AZ$1001,ROW(),설정!$C$10)&amp;"",""))</f>
        <v/>
      </c>
      <c r="I501">
        <f>IF(설정!$C$11="","",IFERROR(INDEX('1.산군_붙여넣기'!$A$1:$AZ$1001,ROW(),설정!$C$11)&amp;"",""))</f>
        <v/>
      </c>
      <c r="J501">
        <f>IF(설정!$C$12="","",IFERROR(INDEX('1.산군_붙여넣기'!$A$1:$AZ$1001,ROW(),설정!$C$12)&amp;"",""))</f>
        <v/>
      </c>
      <c r="K501">
        <f>IF(설정!$C$13="","",IFERROR(INDEX('1.산군_붙여넣기'!$A$1:$AZ$1001,ROW(),설정!$C$13)&amp;"",""))</f>
        <v/>
      </c>
      <c r="L501" s="7">
        <f>IF(X501="","",IF(AND(LEN(X501)=8,ISNUMBER(X501*1)),DATE(LEFT(X501,4),MID(X501,5,2),RIGHT(X501,2)),IFERROR(DATEVALUE(SUBSTITUTE(SUBSTITUTE(X501,".","-"),"/","-")),IFERROR(X501*1,""))))</f>
        <v/>
      </c>
      <c r="M501" s="7">
        <f>IF(Y501="","",IF(AND(LEN(Y501)=8,ISNUMBER(Y501*1)),DATE(LEFT(Y501,4),MID(Y501,5,2),RIGHT(Y501,2)),IFERROR(DATEVALUE(SUBSTITUTE(SUBSTITUTE(Y501,".","-"),"/","-")),IFERROR(Y501*1,""))))</f>
        <v/>
      </c>
      <c r="N501">
        <f>IFERROR(LEFT(B501,FIND(" ",B501)-1),B501)</f>
        <v/>
      </c>
      <c r="O501">
        <f>AND(B501&lt;&gt;"",B501&lt;&gt;설정!$B$4,C501&lt;&gt;설정!$B$5)</f>
        <v/>
      </c>
      <c r="P501">
        <f>IF(O501,B501&amp;"|"&amp;C501,"")</f>
        <v/>
      </c>
      <c r="Q501">
        <f>AND(O501,COUNTIF(P502:P$1002,P501)=0)</f>
        <v/>
      </c>
      <c r="R501">
        <f>OR(AND(설정!$A$42&lt;&gt;"",ISNUMBER(SEARCH(설정!$A$42,E501&amp;" "&amp;C501))),AND(설정!$A$43&lt;&gt;"",ISNUMBER(SEARCH(설정!$A$43,E501&amp;" "&amp;C501))),AND(설정!$A$44&lt;&gt;"",ISNUMBER(SEARCH(설정!$A$44,E501&amp;" "&amp;C501))),AND(설정!$A$45&lt;&gt;"",ISNUMBER(SEARCH(설정!$A$45,E501&amp;" "&amp;C501))),AND(설정!$A$46&lt;&gt;"",ISNUMBER(SEARCH(설정!$A$46,E501&amp;" "&amp;C501))),AND(설정!$A$47&lt;&gt;"",ISNUMBER(SEARCH(설정!$A$47,E501&amp;" "&amp;C501))),AND(설정!$A$48&lt;&gt;"",ISNUMBER(SEARCH(설정!$A$48,E501&amp;" "&amp;C501))),AND(설정!$A$49&lt;&gt;"",ISNUMBER(SEARCH(설정!$A$49,E501&amp;" "&amp;C501))),AND(설정!$A$50&lt;&gt;"",ISNUMBER(SEARCH(설정!$A$50,E501&amp;" "&amp;C501))),AND(설정!$A$51&lt;&gt;"",ISNUMBER(SEARCH(설정!$A$51,E501&amp;" "&amp;C501))))</f>
        <v/>
      </c>
      <c r="S501">
        <f>OR(D501="",D501&gt;=설정!$B$19)</f>
        <v/>
      </c>
      <c r="T501">
        <f>AND(Q501,R501,S501)</f>
        <v/>
      </c>
      <c r="U501">
        <f>IF(T501,IF(AND(설정!$A$54&lt;&gt;"",ISNUMBER(SEARCH(설정!$A$54,K501))),설정!$B$54,IF(AND(설정!$A$55&lt;&gt;"",ISNUMBER(SEARCH(설정!$A$55,K501))),설정!$B$55,IF(AND(설정!$A$56&lt;&gt;"",ISNUMBER(SEARCH(설정!$A$56,K501))),설정!$B$56,IF(AND(설정!$A$57&lt;&gt;"",ISNUMBER(SEARCH(설정!$A$57,K501))),설정!$B$57,IF(AND(설정!$A$58&lt;&gt;"",ISNUMBER(SEARCH(설정!$A$58,K501))),설정!$B$58,IF(AND(설정!$A$59&lt;&gt;"",ISNUMBER(SEARCH(설정!$A$59,K501))),설정!$B$59,IF(AND(설정!$A$60&lt;&gt;"",ISNUMBER(SEARCH(설정!$A$60,K501))),설정!$B$60,IF(AND(설정!$A$61&lt;&gt;"",ISNUMBER(SEARCH(설정!$A$61,K501))),설정!$B$61,IF(M501="","설계사","시공사"))))))))),"")</f>
        <v/>
      </c>
      <c r="V501">
        <f>SUBSTITUTE(SUBSTITUTE(SUBSTITUTE(SUBSTITUTE(G501,"(주)",""),"㈜",""),"주식회사","")," ","")</f>
        <v/>
      </c>
      <c r="W501">
        <f>IF(AND(T501,V501&lt;&gt;""),IF(COUNTIFS(V$2:V501,V501,T$2:T501,TRUE)=1,MAX(W$1:W500)+1,""),"")</f>
        <v/>
      </c>
      <c r="X501">
        <f>IF(설정!$C$14="","",IFERROR(INDEX('1.산군_붙여넣기'!$A$1:$AZ$1001,ROW(),설정!$C$14)&amp;"",""))</f>
        <v/>
      </c>
      <c r="Y501">
        <f>IF(설정!$C$15="","",IFERROR(INDEX('1.산군_붙여넣기'!$A$1:$AZ$1001,ROW(),설정!$C$15)&amp;"",""))</f>
        <v/>
      </c>
      <c r="Z501">
        <f>IF(T501,V501&amp;"|"&amp;U501,"")</f>
        <v/>
      </c>
      <c r="AA501">
        <f>IF(NOT(Q501),"",IF(NOT(AND(R501,S501)),"✕",IF(OR(OR(AND(L501&lt;&gt;"",M501&lt;&gt;"",N(M501)-N(L501)&gt;설정!$B$27),AND(L501&lt;&gt;"",M501="",설정!$B$24-N(L501)&gt;설정!$B$27)),AND(D501&lt;&gt;"",D501&lt;설정!$B$26)),"△","★")))</f>
        <v/>
      </c>
      <c r="AB501">
        <f>IF(NOT(T501),"",IF(U501="설계사",설정!$B$31,IF(U501="시공사",IF(OR(M501="",설정!$B$24-N(M501)&lt;=설정!$B$28*30.4),설정!$B$32,설정!$B$33),설정!$B$34))+IF(AA501="★",설정!$B$35,0))</f>
        <v/>
      </c>
      <c r="AC501">
        <f>SUBSTITUTE(SUBSTITUTE(SUBSTITUTE(SUBSTITUTE(H501,"(주)",""),"㈜",""),"주식회사","")," ","")</f>
        <v/>
      </c>
      <c r="AD501">
        <f>IF(AND(T501,AC501&lt;&gt;""),IF(COUNTIFS(AC$2:AC501,AC501,T$2:T501,TRUE)=1,MAX(AD$1:AD500)+1,""),"")</f>
        <v/>
      </c>
    </row>
    <row r="502">
      <c r="A502">
        <f>ROW()</f>
        <v/>
      </c>
      <c r="B502">
        <f>IF(설정!$C$4="","",IFERROR(INDEX('1.산군_붙여넣기'!$A$1:$AZ$1001,ROW(),설정!$C$4)&amp;"",""))</f>
        <v/>
      </c>
      <c r="C502">
        <f>IF(설정!$C$5="","",IFERROR(INDEX('1.산군_붙여넣기'!$A$1:$AZ$1001,ROW(),설정!$C$5)&amp;"",""))</f>
        <v/>
      </c>
      <c r="D502" s="5">
        <f>IFERROR(VALUE(SUBSTITUTE(SUBSTITUTE(SUBSTITUTE(IF(설정!$C$6="","",IFERROR(INDEX('1.산군_붙여넣기'!$A$1:$AZ$1001,ROW(),설정!$C$6)&amp;"","")),",",""),"㎡",""),"m2","")),"")</f>
        <v/>
      </c>
      <c r="E502">
        <f>IF(설정!$C$7="","",IFERROR(INDEX('1.산군_붙여넣기'!$A$1:$AZ$1001,ROW(),설정!$C$7)&amp;"",""))</f>
        <v/>
      </c>
      <c r="F502">
        <f>IF(설정!$C$8="","",IFERROR(INDEX('1.산군_붙여넣기'!$A$1:$AZ$1001,ROW(),설정!$C$8)&amp;"",""))</f>
        <v/>
      </c>
      <c r="G502">
        <f>IF(설정!$C$9="","",IFERROR(INDEX('1.산군_붙여넣기'!$A$1:$AZ$1001,ROW(),설정!$C$9)&amp;"",""))</f>
        <v/>
      </c>
      <c r="H502">
        <f>IF(설정!$C$10="","",IFERROR(INDEX('1.산군_붙여넣기'!$A$1:$AZ$1001,ROW(),설정!$C$10)&amp;"",""))</f>
        <v/>
      </c>
      <c r="I502">
        <f>IF(설정!$C$11="","",IFERROR(INDEX('1.산군_붙여넣기'!$A$1:$AZ$1001,ROW(),설정!$C$11)&amp;"",""))</f>
        <v/>
      </c>
      <c r="J502">
        <f>IF(설정!$C$12="","",IFERROR(INDEX('1.산군_붙여넣기'!$A$1:$AZ$1001,ROW(),설정!$C$12)&amp;"",""))</f>
        <v/>
      </c>
      <c r="K502">
        <f>IF(설정!$C$13="","",IFERROR(INDEX('1.산군_붙여넣기'!$A$1:$AZ$1001,ROW(),설정!$C$13)&amp;"",""))</f>
        <v/>
      </c>
      <c r="L502" s="7">
        <f>IF(X502="","",IF(AND(LEN(X502)=8,ISNUMBER(X502*1)),DATE(LEFT(X502,4),MID(X502,5,2),RIGHT(X502,2)),IFERROR(DATEVALUE(SUBSTITUTE(SUBSTITUTE(X502,".","-"),"/","-")),IFERROR(X502*1,""))))</f>
        <v/>
      </c>
      <c r="M502" s="7">
        <f>IF(Y502="","",IF(AND(LEN(Y502)=8,ISNUMBER(Y502*1)),DATE(LEFT(Y502,4),MID(Y502,5,2),RIGHT(Y502,2)),IFERROR(DATEVALUE(SUBSTITUTE(SUBSTITUTE(Y502,".","-"),"/","-")),IFERROR(Y502*1,""))))</f>
        <v/>
      </c>
      <c r="N502">
        <f>IFERROR(LEFT(B502,FIND(" ",B502)-1),B502)</f>
        <v/>
      </c>
      <c r="O502">
        <f>AND(B502&lt;&gt;"",B502&lt;&gt;설정!$B$4,C502&lt;&gt;설정!$B$5)</f>
        <v/>
      </c>
      <c r="P502">
        <f>IF(O502,B502&amp;"|"&amp;C502,"")</f>
        <v/>
      </c>
      <c r="Q502">
        <f>AND(O502,COUNTIF(P503:P$1002,P502)=0)</f>
        <v/>
      </c>
      <c r="R502">
        <f>OR(AND(설정!$A$42&lt;&gt;"",ISNUMBER(SEARCH(설정!$A$42,E502&amp;" "&amp;C502))),AND(설정!$A$43&lt;&gt;"",ISNUMBER(SEARCH(설정!$A$43,E502&amp;" "&amp;C502))),AND(설정!$A$44&lt;&gt;"",ISNUMBER(SEARCH(설정!$A$44,E502&amp;" "&amp;C502))),AND(설정!$A$45&lt;&gt;"",ISNUMBER(SEARCH(설정!$A$45,E502&amp;" "&amp;C502))),AND(설정!$A$46&lt;&gt;"",ISNUMBER(SEARCH(설정!$A$46,E502&amp;" "&amp;C502))),AND(설정!$A$47&lt;&gt;"",ISNUMBER(SEARCH(설정!$A$47,E502&amp;" "&amp;C502))),AND(설정!$A$48&lt;&gt;"",ISNUMBER(SEARCH(설정!$A$48,E502&amp;" "&amp;C502))),AND(설정!$A$49&lt;&gt;"",ISNUMBER(SEARCH(설정!$A$49,E502&amp;" "&amp;C502))),AND(설정!$A$50&lt;&gt;"",ISNUMBER(SEARCH(설정!$A$50,E502&amp;" "&amp;C502))),AND(설정!$A$51&lt;&gt;"",ISNUMBER(SEARCH(설정!$A$51,E502&amp;" "&amp;C502))))</f>
        <v/>
      </c>
      <c r="S502">
        <f>OR(D502="",D502&gt;=설정!$B$19)</f>
        <v/>
      </c>
      <c r="T502">
        <f>AND(Q502,R502,S502)</f>
        <v/>
      </c>
      <c r="U502">
        <f>IF(T502,IF(AND(설정!$A$54&lt;&gt;"",ISNUMBER(SEARCH(설정!$A$54,K502))),설정!$B$54,IF(AND(설정!$A$55&lt;&gt;"",ISNUMBER(SEARCH(설정!$A$55,K502))),설정!$B$55,IF(AND(설정!$A$56&lt;&gt;"",ISNUMBER(SEARCH(설정!$A$56,K502))),설정!$B$56,IF(AND(설정!$A$57&lt;&gt;"",ISNUMBER(SEARCH(설정!$A$57,K502))),설정!$B$57,IF(AND(설정!$A$58&lt;&gt;"",ISNUMBER(SEARCH(설정!$A$58,K502))),설정!$B$58,IF(AND(설정!$A$59&lt;&gt;"",ISNUMBER(SEARCH(설정!$A$59,K502))),설정!$B$59,IF(AND(설정!$A$60&lt;&gt;"",ISNUMBER(SEARCH(설정!$A$60,K502))),설정!$B$60,IF(AND(설정!$A$61&lt;&gt;"",ISNUMBER(SEARCH(설정!$A$61,K502))),설정!$B$61,IF(M502="","설계사","시공사"))))))))),"")</f>
        <v/>
      </c>
      <c r="V502">
        <f>SUBSTITUTE(SUBSTITUTE(SUBSTITUTE(SUBSTITUTE(G502,"(주)",""),"㈜",""),"주식회사","")," ","")</f>
        <v/>
      </c>
      <c r="W502">
        <f>IF(AND(T502,V502&lt;&gt;""),IF(COUNTIFS(V$2:V502,V502,T$2:T502,TRUE)=1,MAX(W$1:W501)+1,""),"")</f>
        <v/>
      </c>
      <c r="X502">
        <f>IF(설정!$C$14="","",IFERROR(INDEX('1.산군_붙여넣기'!$A$1:$AZ$1001,ROW(),설정!$C$14)&amp;"",""))</f>
        <v/>
      </c>
      <c r="Y502">
        <f>IF(설정!$C$15="","",IFERROR(INDEX('1.산군_붙여넣기'!$A$1:$AZ$1001,ROW(),설정!$C$15)&amp;"",""))</f>
        <v/>
      </c>
      <c r="Z502">
        <f>IF(T502,V502&amp;"|"&amp;U502,"")</f>
        <v/>
      </c>
      <c r="AA502">
        <f>IF(NOT(Q502),"",IF(NOT(AND(R502,S502)),"✕",IF(OR(OR(AND(L502&lt;&gt;"",M502&lt;&gt;"",N(M502)-N(L502)&gt;설정!$B$27),AND(L502&lt;&gt;"",M502="",설정!$B$24-N(L502)&gt;설정!$B$27)),AND(D502&lt;&gt;"",D502&lt;설정!$B$26)),"△","★")))</f>
        <v/>
      </c>
      <c r="AB502">
        <f>IF(NOT(T502),"",IF(U502="설계사",설정!$B$31,IF(U502="시공사",IF(OR(M502="",설정!$B$24-N(M502)&lt;=설정!$B$28*30.4),설정!$B$32,설정!$B$33),설정!$B$34))+IF(AA502="★",설정!$B$35,0))</f>
        <v/>
      </c>
      <c r="AC502">
        <f>SUBSTITUTE(SUBSTITUTE(SUBSTITUTE(SUBSTITUTE(H502,"(주)",""),"㈜",""),"주식회사","")," ","")</f>
        <v/>
      </c>
      <c r="AD502">
        <f>IF(AND(T502,AC502&lt;&gt;""),IF(COUNTIFS(AC$2:AC502,AC502,T$2:T502,TRUE)=1,MAX(AD$1:AD501)+1,""),"")</f>
        <v/>
      </c>
    </row>
    <row r="503">
      <c r="A503">
        <f>ROW()</f>
        <v/>
      </c>
      <c r="B503">
        <f>IF(설정!$C$4="","",IFERROR(INDEX('1.산군_붙여넣기'!$A$1:$AZ$1001,ROW(),설정!$C$4)&amp;"",""))</f>
        <v/>
      </c>
      <c r="C503">
        <f>IF(설정!$C$5="","",IFERROR(INDEX('1.산군_붙여넣기'!$A$1:$AZ$1001,ROW(),설정!$C$5)&amp;"",""))</f>
        <v/>
      </c>
      <c r="D503" s="5">
        <f>IFERROR(VALUE(SUBSTITUTE(SUBSTITUTE(SUBSTITUTE(IF(설정!$C$6="","",IFERROR(INDEX('1.산군_붙여넣기'!$A$1:$AZ$1001,ROW(),설정!$C$6)&amp;"","")),",",""),"㎡",""),"m2","")),"")</f>
        <v/>
      </c>
      <c r="E503">
        <f>IF(설정!$C$7="","",IFERROR(INDEX('1.산군_붙여넣기'!$A$1:$AZ$1001,ROW(),설정!$C$7)&amp;"",""))</f>
        <v/>
      </c>
      <c r="F503">
        <f>IF(설정!$C$8="","",IFERROR(INDEX('1.산군_붙여넣기'!$A$1:$AZ$1001,ROW(),설정!$C$8)&amp;"",""))</f>
        <v/>
      </c>
      <c r="G503">
        <f>IF(설정!$C$9="","",IFERROR(INDEX('1.산군_붙여넣기'!$A$1:$AZ$1001,ROW(),설정!$C$9)&amp;"",""))</f>
        <v/>
      </c>
      <c r="H503">
        <f>IF(설정!$C$10="","",IFERROR(INDEX('1.산군_붙여넣기'!$A$1:$AZ$1001,ROW(),설정!$C$10)&amp;"",""))</f>
        <v/>
      </c>
      <c r="I503">
        <f>IF(설정!$C$11="","",IFERROR(INDEX('1.산군_붙여넣기'!$A$1:$AZ$1001,ROW(),설정!$C$11)&amp;"",""))</f>
        <v/>
      </c>
      <c r="J503">
        <f>IF(설정!$C$12="","",IFERROR(INDEX('1.산군_붙여넣기'!$A$1:$AZ$1001,ROW(),설정!$C$12)&amp;"",""))</f>
        <v/>
      </c>
      <c r="K503">
        <f>IF(설정!$C$13="","",IFERROR(INDEX('1.산군_붙여넣기'!$A$1:$AZ$1001,ROW(),설정!$C$13)&amp;"",""))</f>
        <v/>
      </c>
      <c r="L503" s="7">
        <f>IF(X503="","",IF(AND(LEN(X503)=8,ISNUMBER(X503*1)),DATE(LEFT(X503,4),MID(X503,5,2),RIGHT(X503,2)),IFERROR(DATEVALUE(SUBSTITUTE(SUBSTITUTE(X503,".","-"),"/","-")),IFERROR(X503*1,""))))</f>
        <v/>
      </c>
      <c r="M503" s="7">
        <f>IF(Y503="","",IF(AND(LEN(Y503)=8,ISNUMBER(Y503*1)),DATE(LEFT(Y503,4),MID(Y503,5,2),RIGHT(Y503,2)),IFERROR(DATEVALUE(SUBSTITUTE(SUBSTITUTE(Y503,".","-"),"/","-")),IFERROR(Y503*1,""))))</f>
        <v/>
      </c>
      <c r="N503">
        <f>IFERROR(LEFT(B503,FIND(" ",B503)-1),B503)</f>
        <v/>
      </c>
      <c r="O503">
        <f>AND(B503&lt;&gt;"",B503&lt;&gt;설정!$B$4,C503&lt;&gt;설정!$B$5)</f>
        <v/>
      </c>
      <c r="P503">
        <f>IF(O503,B503&amp;"|"&amp;C503,"")</f>
        <v/>
      </c>
      <c r="Q503">
        <f>AND(O503,COUNTIF(P504:P$1002,P503)=0)</f>
        <v/>
      </c>
      <c r="R503">
        <f>OR(AND(설정!$A$42&lt;&gt;"",ISNUMBER(SEARCH(설정!$A$42,E503&amp;" "&amp;C503))),AND(설정!$A$43&lt;&gt;"",ISNUMBER(SEARCH(설정!$A$43,E503&amp;" "&amp;C503))),AND(설정!$A$44&lt;&gt;"",ISNUMBER(SEARCH(설정!$A$44,E503&amp;" "&amp;C503))),AND(설정!$A$45&lt;&gt;"",ISNUMBER(SEARCH(설정!$A$45,E503&amp;" "&amp;C503))),AND(설정!$A$46&lt;&gt;"",ISNUMBER(SEARCH(설정!$A$46,E503&amp;" "&amp;C503))),AND(설정!$A$47&lt;&gt;"",ISNUMBER(SEARCH(설정!$A$47,E503&amp;" "&amp;C503))),AND(설정!$A$48&lt;&gt;"",ISNUMBER(SEARCH(설정!$A$48,E503&amp;" "&amp;C503))),AND(설정!$A$49&lt;&gt;"",ISNUMBER(SEARCH(설정!$A$49,E503&amp;" "&amp;C503))),AND(설정!$A$50&lt;&gt;"",ISNUMBER(SEARCH(설정!$A$50,E503&amp;" "&amp;C503))),AND(설정!$A$51&lt;&gt;"",ISNUMBER(SEARCH(설정!$A$51,E503&amp;" "&amp;C503))))</f>
        <v/>
      </c>
      <c r="S503">
        <f>OR(D503="",D503&gt;=설정!$B$19)</f>
        <v/>
      </c>
      <c r="T503">
        <f>AND(Q503,R503,S503)</f>
        <v/>
      </c>
      <c r="U503">
        <f>IF(T503,IF(AND(설정!$A$54&lt;&gt;"",ISNUMBER(SEARCH(설정!$A$54,K503))),설정!$B$54,IF(AND(설정!$A$55&lt;&gt;"",ISNUMBER(SEARCH(설정!$A$55,K503))),설정!$B$55,IF(AND(설정!$A$56&lt;&gt;"",ISNUMBER(SEARCH(설정!$A$56,K503))),설정!$B$56,IF(AND(설정!$A$57&lt;&gt;"",ISNUMBER(SEARCH(설정!$A$57,K503))),설정!$B$57,IF(AND(설정!$A$58&lt;&gt;"",ISNUMBER(SEARCH(설정!$A$58,K503))),설정!$B$58,IF(AND(설정!$A$59&lt;&gt;"",ISNUMBER(SEARCH(설정!$A$59,K503))),설정!$B$59,IF(AND(설정!$A$60&lt;&gt;"",ISNUMBER(SEARCH(설정!$A$60,K503))),설정!$B$60,IF(AND(설정!$A$61&lt;&gt;"",ISNUMBER(SEARCH(설정!$A$61,K503))),설정!$B$61,IF(M503="","설계사","시공사"))))))))),"")</f>
        <v/>
      </c>
      <c r="V503">
        <f>SUBSTITUTE(SUBSTITUTE(SUBSTITUTE(SUBSTITUTE(G503,"(주)",""),"㈜",""),"주식회사","")," ","")</f>
        <v/>
      </c>
      <c r="W503">
        <f>IF(AND(T503,V503&lt;&gt;""),IF(COUNTIFS(V$2:V503,V503,T$2:T503,TRUE)=1,MAX(W$1:W502)+1,""),"")</f>
        <v/>
      </c>
      <c r="X503">
        <f>IF(설정!$C$14="","",IFERROR(INDEX('1.산군_붙여넣기'!$A$1:$AZ$1001,ROW(),설정!$C$14)&amp;"",""))</f>
        <v/>
      </c>
      <c r="Y503">
        <f>IF(설정!$C$15="","",IFERROR(INDEX('1.산군_붙여넣기'!$A$1:$AZ$1001,ROW(),설정!$C$15)&amp;"",""))</f>
        <v/>
      </c>
      <c r="Z503">
        <f>IF(T503,V503&amp;"|"&amp;U503,"")</f>
        <v/>
      </c>
      <c r="AA503">
        <f>IF(NOT(Q503),"",IF(NOT(AND(R503,S503)),"✕",IF(OR(OR(AND(L503&lt;&gt;"",M503&lt;&gt;"",N(M503)-N(L503)&gt;설정!$B$27),AND(L503&lt;&gt;"",M503="",설정!$B$24-N(L503)&gt;설정!$B$27)),AND(D503&lt;&gt;"",D503&lt;설정!$B$26)),"△","★")))</f>
        <v/>
      </c>
      <c r="AB503">
        <f>IF(NOT(T503),"",IF(U503="설계사",설정!$B$31,IF(U503="시공사",IF(OR(M503="",설정!$B$24-N(M503)&lt;=설정!$B$28*30.4),설정!$B$32,설정!$B$33),설정!$B$34))+IF(AA503="★",설정!$B$35,0))</f>
        <v/>
      </c>
      <c r="AC503">
        <f>SUBSTITUTE(SUBSTITUTE(SUBSTITUTE(SUBSTITUTE(H503,"(주)",""),"㈜",""),"주식회사","")," ","")</f>
        <v/>
      </c>
      <c r="AD503">
        <f>IF(AND(T503,AC503&lt;&gt;""),IF(COUNTIFS(AC$2:AC503,AC503,T$2:T503,TRUE)=1,MAX(AD$1:AD502)+1,""),"")</f>
        <v/>
      </c>
    </row>
    <row r="504">
      <c r="A504">
        <f>ROW()</f>
        <v/>
      </c>
      <c r="B504">
        <f>IF(설정!$C$4="","",IFERROR(INDEX('1.산군_붙여넣기'!$A$1:$AZ$1001,ROW(),설정!$C$4)&amp;"",""))</f>
        <v/>
      </c>
      <c r="C504">
        <f>IF(설정!$C$5="","",IFERROR(INDEX('1.산군_붙여넣기'!$A$1:$AZ$1001,ROW(),설정!$C$5)&amp;"",""))</f>
        <v/>
      </c>
      <c r="D504" s="5">
        <f>IFERROR(VALUE(SUBSTITUTE(SUBSTITUTE(SUBSTITUTE(IF(설정!$C$6="","",IFERROR(INDEX('1.산군_붙여넣기'!$A$1:$AZ$1001,ROW(),설정!$C$6)&amp;"","")),",",""),"㎡",""),"m2","")),"")</f>
        <v/>
      </c>
      <c r="E504">
        <f>IF(설정!$C$7="","",IFERROR(INDEX('1.산군_붙여넣기'!$A$1:$AZ$1001,ROW(),설정!$C$7)&amp;"",""))</f>
        <v/>
      </c>
      <c r="F504">
        <f>IF(설정!$C$8="","",IFERROR(INDEX('1.산군_붙여넣기'!$A$1:$AZ$1001,ROW(),설정!$C$8)&amp;"",""))</f>
        <v/>
      </c>
      <c r="G504">
        <f>IF(설정!$C$9="","",IFERROR(INDEX('1.산군_붙여넣기'!$A$1:$AZ$1001,ROW(),설정!$C$9)&amp;"",""))</f>
        <v/>
      </c>
      <c r="H504">
        <f>IF(설정!$C$10="","",IFERROR(INDEX('1.산군_붙여넣기'!$A$1:$AZ$1001,ROW(),설정!$C$10)&amp;"",""))</f>
        <v/>
      </c>
      <c r="I504">
        <f>IF(설정!$C$11="","",IFERROR(INDEX('1.산군_붙여넣기'!$A$1:$AZ$1001,ROW(),설정!$C$11)&amp;"",""))</f>
        <v/>
      </c>
      <c r="J504">
        <f>IF(설정!$C$12="","",IFERROR(INDEX('1.산군_붙여넣기'!$A$1:$AZ$1001,ROW(),설정!$C$12)&amp;"",""))</f>
        <v/>
      </c>
      <c r="K504">
        <f>IF(설정!$C$13="","",IFERROR(INDEX('1.산군_붙여넣기'!$A$1:$AZ$1001,ROW(),설정!$C$13)&amp;"",""))</f>
        <v/>
      </c>
      <c r="L504" s="7">
        <f>IF(X504="","",IF(AND(LEN(X504)=8,ISNUMBER(X504*1)),DATE(LEFT(X504,4),MID(X504,5,2),RIGHT(X504,2)),IFERROR(DATEVALUE(SUBSTITUTE(SUBSTITUTE(X504,".","-"),"/","-")),IFERROR(X504*1,""))))</f>
        <v/>
      </c>
      <c r="M504" s="7">
        <f>IF(Y504="","",IF(AND(LEN(Y504)=8,ISNUMBER(Y504*1)),DATE(LEFT(Y504,4),MID(Y504,5,2),RIGHT(Y504,2)),IFERROR(DATEVALUE(SUBSTITUTE(SUBSTITUTE(Y504,".","-"),"/","-")),IFERROR(Y504*1,""))))</f>
        <v/>
      </c>
      <c r="N504">
        <f>IFERROR(LEFT(B504,FIND(" ",B504)-1),B504)</f>
        <v/>
      </c>
      <c r="O504">
        <f>AND(B504&lt;&gt;"",B504&lt;&gt;설정!$B$4,C504&lt;&gt;설정!$B$5)</f>
        <v/>
      </c>
      <c r="P504">
        <f>IF(O504,B504&amp;"|"&amp;C504,"")</f>
        <v/>
      </c>
      <c r="Q504">
        <f>AND(O504,COUNTIF(P505:P$1002,P504)=0)</f>
        <v/>
      </c>
      <c r="R504">
        <f>OR(AND(설정!$A$42&lt;&gt;"",ISNUMBER(SEARCH(설정!$A$42,E504&amp;" "&amp;C504))),AND(설정!$A$43&lt;&gt;"",ISNUMBER(SEARCH(설정!$A$43,E504&amp;" "&amp;C504))),AND(설정!$A$44&lt;&gt;"",ISNUMBER(SEARCH(설정!$A$44,E504&amp;" "&amp;C504))),AND(설정!$A$45&lt;&gt;"",ISNUMBER(SEARCH(설정!$A$45,E504&amp;" "&amp;C504))),AND(설정!$A$46&lt;&gt;"",ISNUMBER(SEARCH(설정!$A$46,E504&amp;" "&amp;C504))),AND(설정!$A$47&lt;&gt;"",ISNUMBER(SEARCH(설정!$A$47,E504&amp;" "&amp;C504))),AND(설정!$A$48&lt;&gt;"",ISNUMBER(SEARCH(설정!$A$48,E504&amp;" "&amp;C504))),AND(설정!$A$49&lt;&gt;"",ISNUMBER(SEARCH(설정!$A$49,E504&amp;" "&amp;C504))),AND(설정!$A$50&lt;&gt;"",ISNUMBER(SEARCH(설정!$A$50,E504&amp;" "&amp;C504))),AND(설정!$A$51&lt;&gt;"",ISNUMBER(SEARCH(설정!$A$51,E504&amp;" "&amp;C504))))</f>
        <v/>
      </c>
      <c r="S504">
        <f>OR(D504="",D504&gt;=설정!$B$19)</f>
        <v/>
      </c>
      <c r="T504">
        <f>AND(Q504,R504,S504)</f>
        <v/>
      </c>
      <c r="U504">
        <f>IF(T504,IF(AND(설정!$A$54&lt;&gt;"",ISNUMBER(SEARCH(설정!$A$54,K504))),설정!$B$54,IF(AND(설정!$A$55&lt;&gt;"",ISNUMBER(SEARCH(설정!$A$55,K504))),설정!$B$55,IF(AND(설정!$A$56&lt;&gt;"",ISNUMBER(SEARCH(설정!$A$56,K504))),설정!$B$56,IF(AND(설정!$A$57&lt;&gt;"",ISNUMBER(SEARCH(설정!$A$57,K504))),설정!$B$57,IF(AND(설정!$A$58&lt;&gt;"",ISNUMBER(SEARCH(설정!$A$58,K504))),설정!$B$58,IF(AND(설정!$A$59&lt;&gt;"",ISNUMBER(SEARCH(설정!$A$59,K504))),설정!$B$59,IF(AND(설정!$A$60&lt;&gt;"",ISNUMBER(SEARCH(설정!$A$60,K504))),설정!$B$60,IF(AND(설정!$A$61&lt;&gt;"",ISNUMBER(SEARCH(설정!$A$61,K504))),설정!$B$61,IF(M504="","설계사","시공사"))))))))),"")</f>
        <v/>
      </c>
      <c r="V504">
        <f>SUBSTITUTE(SUBSTITUTE(SUBSTITUTE(SUBSTITUTE(G504,"(주)",""),"㈜",""),"주식회사","")," ","")</f>
        <v/>
      </c>
      <c r="W504">
        <f>IF(AND(T504,V504&lt;&gt;""),IF(COUNTIFS(V$2:V504,V504,T$2:T504,TRUE)=1,MAX(W$1:W503)+1,""),"")</f>
        <v/>
      </c>
      <c r="X504">
        <f>IF(설정!$C$14="","",IFERROR(INDEX('1.산군_붙여넣기'!$A$1:$AZ$1001,ROW(),설정!$C$14)&amp;"",""))</f>
        <v/>
      </c>
      <c r="Y504">
        <f>IF(설정!$C$15="","",IFERROR(INDEX('1.산군_붙여넣기'!$A$1:$AZ$1001,ROW(),설정!$C$15)&amp;"",""))</f>
        <v/>
      </c>
      <c r="Z504">
        <f>IF(T504,V504&amp;"|"&amp;U504,"")</f>
        <v/>
      </c>
      <c r="AA504">
        <f>IF(NOT(Q504),"",IF(NOT(AND(R504,S504)),"✕",IF(OR(OR(AND(L504&lt;&gt;"",M504&lt;&gt;"",N(M504)-N(L504)&gt;설정!$B$27),AND(L504&lt;&gt;"",M504="",설정!$B$24-N(L504)&gt;설정!$B$27)),AND(D504&lt;&gt;"",D504&lt;설정!$B$26)),"△","★")))</f>
        <v/>
      </c>
      <c r="AB504">
        <f>IF(NOT(T504),"",IF(U504="설계사",설정!$B$31,IF(U504="시공사",IF(OR(M504="",설정!$B$24-N(M504)&lt;=설정!$B$28*30.4),설정!$B$32,설정!$B$33),설정!$B$34))+IF(AA504="★",설정!$B$35,0))</f>
        <v/>
      </c>
      <c r="AC504">
        <f>SUBSTITUTE(SUBSTITUTE(SUBSTITUTE(SUBSTITUTE(H504,"(주)",""),"㈜",""),"주식회사","")," ","")</f>
        <v/>
      </c>
      <c r="AD504">
        <f>IF(AND(T504,AC504&lt;&gt;""),IF(COUNTIFS(AC$2:AC504,AC504,T$2:T504,TRUE)=1,MAX(AD$1:AD503)+1,""),"")</f>
        <v/>
      </c>
    </row>
    <row r="505">
      <c r="A505">
        <f>ROW()</f>
        <v/>
      </c>
      <c r="B505">
        <f>IF(설정!$C$4="","",IFERROR(INDEX('1.산군_붙여넣기'!$A$1:$AZ$1001,ROW(),설정!$C$4)&amp;"",""))</f>
        <v/>
      </c>
      <c r="C505">
        <f>IF(설정!$C$5="","",IFERROR(INDEX('1.산군_붙여넣기'!$A$1:$AZ$1001,ROW(),설정!$C$5)&amp;"",""))</f>
        <v/>
      </c>
      <c r="D505" s="5">
        <f>IFERROR(VALUE(SUBSTITUTE(SUBSTITUTE(SUBSTITUTE(IF(설정!$C$6="","",IFERROR(INDEX('1.산군_붙여넣기'!$A$1:$AZ$1001,ROW(),설정!$C$6)&amp;"","")),",",""),"㎡",""),"m2","")),"")</f>
        <v/>
      </c>
      <c r="E505">
        <f>IF(설정!$C$7="","",IFERROR(INDEX('1.산군_붙여넣기'!$A$1:$AZ$1001,ROW(),설정!$C$7)&amp;"",""))</f>
        <v/>
      </c>
      <c r="F505">
        <f>IF(설정!$C$8="","",IFERROR(INDEX('1.산군_붙여넣기'!$A$1:$AZ$1001,ROW(),설정!$C$8)&amp;"",""))</f>
        <v/>
      </c>
      <c r="G505">
        <f>IF(설정!$C$9="","",IFERROR(INDEX('1.산군_붙여넣기'!$A$1:$AZ$1001,ROW(),설정!$C$9)&amp;"",""))</f>
        <v/>
      </c>
      <c r="H505">
        <f>IF(설정!$C$10="","",IFERROR(INDEX('1.산군_붙여넣기'!$A$1:$AZ$1001,ROW(),설정!$C$10)&amp;"",""))</f>
        <v/>
      </c>
      <c r="I505">
        <f>IF(설정!$C$11="","",IFERROR(INDEX('1.산군_붙여넣기'!$A$1:$AZ$1001,ROW(),설정!$C$11)&amp;"",""))</f>
        <v/>
      </c>
      <c r="J505">
        <f>IF(설정!$C$12="","",IFERROR(INDEX('1.산군_붙여넣기'!$A$1:$AZ$1001,ROW(),설정!$C$12)&amp;"",""))</f>
        <v/>
      </c>
      <c r="K505">
        <f>IF(설정!$C$13="","",IFERROR(INDEX('1.산군_붙여넣기'!$A$1:$AZ$1001,ROW(),설정!$C$13)&amp;"",""))</f>
        <v/>
      </c>
      <c r="L505" s="7">
        <f>IF(X505="","",IF(AND(LEN(X505)=8,ISNUMBER(X505*1)),DATE(LEFT(X505,4),MID(X505,5,2),RIGHT(X505,2)),IFERROR(DATEVALUE(SUBSTITUTE(SUBSTITUTE(X505,".","-"),"/","-")),IFERROR(X505*1,""))))</f>
        <v/>
      </c>
      <c r="M505" s="7">
        <f>IF(Y505="","",IF(AND(LEN(Y505)=8,ISNUMBER(Y505*1)),DATE(LEFT(Y505,4),MID(Y505,5,2),RIGHT(Y505,2)),IFERROR(DATEVALUE(SUBSTITUTE(SUBSTITUTE(Y505,".","-"),"/","-")),IFERROR(Y505*1,""))))</f>
        <v/>
      </c>
      <c r="N505">
        <f>IFERROR(LEFT(B505,FIND(" ",B505)-1),B505)</f>
        <v/>
      </c>
      <c r="O505">
        <f>AND(B505&lt;&gt;"",B505&lt;&gt;설정!$B$4,C505&lt;&gt;설정!$B$5)</f>
        <v/>
      </c>
      <c r="P505">
        <f>IF(O505,B505&amp;"|"&amp;C505,"")</f>
        <v/>
      </c>
      <c r="Q505">
        <f>AND(O505,COUNTIF(P506:P$1002,P505)=0)</f>
        <v/>
      </c>
      <c r="R505">
        <f>OR(AND(설정!$A$42&lt;&gt;"",ISNUMBER(SEARCH(설정!$A$42,E505&amp;" "&amp;C505))),AND(설정!$A$43&lt;&gt;"",ISNUMBER(SEARCH(설정!$A$43,E505&amp;" "&amp;C505))),AND(설정!$A$44&lt;&gt;"",ISNUMBER(SEARCH(설정!$A$44,E505&amp;" "&amp;C505))),AND(설정!$A$45&lt;&gt;"",ISNUMBER(SEARCH(설정!$A$45,E505&amp;" "&amp;C505))),AND(설정!$A$46&lt;&gt;"",ISNUMBER(SEARCH(설정!$A$46,E505&amp;" "&amp;C505))),AND(설정!$A$47&lt;&gt;"",ISNUMBER(SEARCH(설정!$A$47,E505&amp;" "&amp;C505))),AND(설정!$A$48&lt;&gt;"",ISNUMBER(SEARCH(설정!$A$48,E505&amp;" "&amp;C505))),AND(설정!$A$49&lt;&gt;"",ISNUMBER(SEARCH(설정!$A$49,E505&amp;" "&amp;C505))),AND(설정!$A$50&lt;&gt;"",ISNUMBER(SEARCH(설정!$A$50,E505&amp;" "&amp;C505))),AND(설정!$A$51&lt;&gt;"",ISNUMBER(SEARCH(설정!$A$51,E505&amp;" "&amp;C505))))</f>
        <v/>
      </c>
      <c r="S505">
        <f>OR(D505="",D505&gt;=설정!$B$19)</f>
        <v/>
      </c>
      <c r="T505">
        <f>AND(Q505,R505,S505)</f>
        <v/>
      </c>
      <c r="U505">
        <f>IF(T505,IF(AND(설정!$A$54&lt;&gt;"",ISNUMBER(SEARCH(설정!$A$54,K505))),설정!$B$54,IF(AND(설정!$A$55&lt;&gt;"",ISNUMBER(SEARCH(설정!$A$55,K505))),설정!$B$55,IF(AND(설정!$A$56&lt;&gt;"",ISNUMBER(SEARCH(설정!$A$56,K505))),설정!$B$56,IF(AND(설정!$A$57&lt;&gt;"",ISNUMBER(SEARCH(설정!$A$57,K505))),설정!$B$57,IF(AND(설정!$A$58&lt;&gt;"",ISNUMBER(SEARCH(설정!$A$58,K505))),설정!$B$58,IF(AND(설정!$A$59&lt;&gt;"",ISNUMBER(SEARCH(설정!$A$59,K505))),설정!$B$59,IF(AND(설정!$A$60&lt;&gt;"",ISNUMBER(SEARCH(설정!$A$60,K505))),설정!$B$60,IF(AND(설정!$A$61&lt;&gt;"",ISNUMBER(SEARCH(설정!$A$61,K505))),설정!$B$61,IF(M505="","설계사","시공사"))))))))),"")</f>
        <v/>
      </c>
      <c r="V505">
        <f>SUBSTITUTE(SUBSTITUTE(SUBSTITUTE(SUBSTITUTE(G505,"(주)",""),"㈜",""),"주식회사","")," ","")</f>
        <v/>
      </c>
      <c r="W505">
        <f>IF(AND(T505,V505&lt;&gt;""),IF(COUNTIFS(V$2:V505,V505,T$2:T505,TRUE)=1,MAX(W$1:W504)+1,""),"")</f>
        <v/>
      </c>
      <c r="X505">
        <f>IF(설정!$C$14="","",IFERROR(INDEX('1.산군_붙여넣기'!$A$1:$AZ$1001,ROW(),설정!$C$14)&amp;"",""))</f>
        <v/>
      </c>
      <c r="Y505">
        <f>IF(설정!$C$15="","",IFERROR(INDEX('1.산군_붙여넣기'!$A$1:$AZ$1001,ROW(),설정!$C$15)&amp;"",""))</f>
        <v/>
      </c>
      <c r="Z505">
        <f>IF(T505,V505&amp;"|"&amp;U505,"")</f>
        <v/>
      </c>
      <c r="AA505">
        <f>IF(NOT(Q505),"",IF(NOT(AND(R505,S505)),"✕",IF(OR(OR(AND(L505&lt;&gt;"",M505&lt;&gt;"",N(M505)-N(L505)&gt;설정!$B$27),AND(L505&lt;&gt;"",M505="",설정!$B$24-N(L505)&gt;설정!$B$27)),AND(D505&lt;&gt;"",D505&lt;설정!$B$26)),"△","★")))</f>
        <v/>
      </c>
      <c r="AB505">
        <f>IF(NOT(T505),"",IF(U505="설계사",설정!$B$31,IF(U505="시공사",IF(OR(M505="",설정!$B$24-N(M505)&lt;=설정!$B$28*30.4),설정!$B$32,설정!$B$33),설정!$B$34))+IF(AA505="★",설정!$B$35,0))</f>
        <v/>
      </c>
      <c r="AC505">
        <f>SUBSTITUTE(SUBSTITUTE(SUBSTITUTE(SUBSTITUTE(H505,"(주)",""),"㈜",""),"주식회사","")," ","")</f>
        <v/>
      </c>
      <c r="AD505">
        <f>IF(AND(T505,AC505&lt;&gt;""),IF(COUNTIFS(AC$2:AC505,AC505,T$2:T505,TRUE)=1,MAX(AD$1:AD504)+1,""),"")</f>
        <v/>
      </c>
    </row>
    <row r="506">
      <c r="A506">
        <f>ROW()</f>
        <v/>
      </c>
      <c r="B506">
        <f>IF(설정!$C$4="","",IFERROR(INDEX('1.산군_붙여넣기'!$A$1:$AZ$1001,ROW(),설정!$C$4)&amp;"",""))</f>
        <v/>
      </c>
      <c r="C506">
        <f>IF(설정!$C$5="","",IFERROR(INDEX('1.산군_붙여넣기'!$A$1:$AZ$1001,ROW(),설정!$C$5)&amp;"",""))</f>
        <v/>
      </c>
      <c r="D506" s="5">
        <f>IFERROR(VALUE(SUBSTITUTE(SUBSTITUTE(SUBSTITUTE(IF(설정!$C$6="","",IFERROR(INDEX('1.산군_붙여넣기'!$A$1:$AZ$1001,ROW(),설정!$C$6)&amp;"","")),",",""),"㎡",""),"m2","")),"")</f>
        <v/>
      </c>
      <c r="E506">
        <f>IF(설정!$C$7="","",IFERROR(INDEX('1.산군_붙여넣기'!$A$1:$AZ$1001,ROW(),설정!$C$7)&amp;"",""))</f>
        <v/>
      </c>
      <c r="F506">
        <f>IF(설정!$C$8="","",IFERROR(INDEX('1.산군_붙여넣기'!$A$1:$AZ$1001,ROW(),설정!$C$8)&amp;"",""))</f>
        <v/>
      </c>
      <c r="G506">
        <f>IF(설정!$C$9="","",IFERROR(INDEX('1.산군_붙여넣기'!$A$1:$AZ$1001,ROW(),설정!$C$9)&amp;"",""))</f>
        <v/>
      </c>
      <c r="H506">
        <f>IF(설정!$C$10="","",IFERROR(INDEX('1.산군_붙여넣기'!$A$1:$AZ$1001,ROW(),설정!$C$10)&amp;"",""))</f>
        <v/>
      </c>
      <c r="I506">
        <f>IF(설정!$C$11="","",IFERROR(INDEX('1.산군_붙여넣기'!$A$1:$AZ$1001,ROW(),설정!$C$11)&amp;"",""))</f>
        <v/>
      </c>
      <c r="J506">
        <f>IF(설정!$C$12="","",IFERROR(INDEX('1.산군_붙여넣기'!$A$1:$AZ$1001,ROW(),설정!$C$12)&amp;"",""))</f>
        <v/>
      </c>
      <c r="K506">
        <f>IF(설정!$C$13="","",IFERROR(INDEX('1.산군_붙여넣기'!$A$1:$AZ$1001,ROW(),설정!$C$13)&amp;"",""))</f>
        <v/>
      </c>
      <c r="L506" s="7">
        <f>IF(X506="","",IF(AND(LEN(X506)=8,ISNUMBER(X506*1)),DATE(LEFT(X506,4),MID(X506,5,2),RIGHT(X506,2)),IFERROR(DATEVALUE(SUBSTITUTE(SUBSTITUTE(X506,".","-"),"/","-")),IFERROR(X506*1,""))))</f>
        <v/>
      </c>
      <c r="M506" s="7">
        <f>IF(Y506="","",IF(AND(LEN(Y506)=8,ISNUMBER(Y506*1)),DATE(LEFT(Y506,4),MID(Y506,5,2),RIGHT(Y506,2)),IFERROR(DATEVALUE(SUBSTITUTE(SUBSTITUTE(Y506,".","-"),"/","-")),IFERROR(Y506*1,""))))</f>
        <v/>
      </c>
      <c r="N506">
        <f>IFERROR(LEFT(B506,FIND(" ",B506)-1),B506)</f>
        <v/>
      </c>
      <c r="O506">
        <f>AND(B506&lt;&gt;"",B506&lt;&gt;설정!$B$4,C506&lt;&gt;설정!$B$5)</f>
        <v/>
      </c>
      <c r="P506">
        <f>IF(O506,B506&amp;"|"&amp;C506,"")</f>
        <v/>
      </c>
      <c r="Q506">
        <f>AND(O506,COUNTIF(P507:P$1002,P506)=0)</f>
        <v/>
      </c>
      <c r="R506">
        <f>OR(AND(설정!$A$42&lt;&gt;"",ISNUMBER(SEARCH(설정!$A$42,E506&amp;" "&amp;C506))),AND(설정!$A$43&lt;&gt;"",ISNUMBER(SEARCH(설정!$A$43,E506&amp;" "&amp;C506))),AND(설정!$A$44&lt;&gt;"",ISNUMBER(SEARCH(설정!$A$44,E506&amp;" "&amp;C506))),AND(설정!$A$45&lt;&gt;"",ISNUMBER(SEARCH(설정!$A$45,E506&amp;" "&amp;C506))),AND(설정!$A$46&lt;&gt;"",ISNUMBER(SEARCH(설정!$A$46,E506&amp;" "&amp;C506))),AND(설정!$A$47&lt;&gt;"",ISNUMBER(SEARCH(설정!$A$47,E506&amp;" "&amp;C506))),AND(설정!$A$48&lt;&gt;"",ISNUMBER(SEARCH(설정!$A$48,E506&amp;" "&amp;C506))),AND(설정!$A$49&lt;&gt;"",ISNUMBER(SEARCH(설정!$A$49,E506&amp;" "&amp;C506))),AND(설정!$A$50&lt;&gt;"",ISNUMBER(SEARCH(설정!$A$50,E506&amp;" "&amp;C506))),AND(설정!$A$51&lt;&gt;"",ISNUMBER(SEARCH(설정!$A$51,E506&amp;" "&amp;C506))))</f>
        <v/>
      </c>
      <c r="S506">
        <f>OR(D506="",D506&gt;=설정!$B$19)</f>
        <v/>
      </c>
      <c r="T506">
        <f>AND(Q506,R506,S506)</f>
        <v/>
      </c>
      <c r="U506">
        <f>IF(T506,IF(AND(설정!$A$54&lt;&gt;"",ISNUMBER(SEARCH(설정!$A$54,K506))),설정!$B$54,IF(AND(설정!$A$55&lt;&gt;"",ISNUMBER(SEARCH(설정!$A$55,K506))),설정!$B$55,IF(AND(설정!$A$56&lt;&gt;"",ISNUMBER(SEARCH(설정!$A$56,K506))),설정!$B$56,IF(AND(설정!$A$57&lt;&gt;"",ISNUMBER(SEARCH(설정!$A$57,K506))),설정!$B$57,IF(AND(설정!$A$58&lt;&gt;"",ISNUMBER(SEARCH(설정!$A$58,K506))),설정!$B$58,IF(AND(설정!$A$59&lt;&gt;"",ISNUMBER(SEARCH(설정!$A$59,K506))),설정!$B$59,IF(AND(설정!$A$60&lt;&gt;"",ISNUMBER(SEARCH(설정!$A$60,K506))),설정!$B$60,IF(AND(설정!$A$61&lt;&gt;"",ISNUMBER(SEARCH(설정!$A$61,K506))),설정!$B$61,IF(M506="","설계사","시공사"))))))))),"")</f>
        <v/>
      </c>
      <c r="V506">
        <f>SUBSTITUTE(SUBSTITUTE(SUBSTITUTE(SUBSTITUTE(G506,"(주)",""),"㈜",""),"주식회사","")," ","")</f>
        <v/>
      </c>
      <c r="W506">
        <f>IF(AND(T506,V506&lt;&gt;""),IF(COUNTIFS(V$2:V506,V506,T$2:T506,TRUE)=1,MAX(W$1:W505)+1,""),"")</f>
        <v/>
      </c>
      <c r="X506">
        <f>IF(설정!$C$14="","",IFERROR(INDEX('1.산군_붙여넣기'!$A$1:$AZ$1001,ROW(),설정!$C$14)&amp;"",""))</f>
        <v/>
      </c>
      <c r="Y506">
        <f>IF(설정!$C$15="","",IFERROR(INDEX('1.산군_붙여넣기'!$A$1:$AZ$1001,ROW(),설정!$C$15)&amp;"",""))</f>
        <v/>
      </c>
      <c r="Z506">
        <f>IF(T506,V506&amp;"|"&amp;U506,"")</f>
        <v/>
      </c>
      <c r="AA506">
        <f>IF(NOT(Q506),"",IF(NOT(AND(R506,S506)),"✕",IF(OR(OR(AND(L506&lt;&gt;"",M506&lt;&gt;"",N(M506)-N(L506)&gt;설정!$B$27),AND(L506&lt;&gt;"",M506="",설정!$B$24-N(L506)&gt;설정!$B$27)),AND(D506&lt;&gt;"",D506&lt;설정!$B$26)),"△","★")))</f>
        <v/>
      </c>
      <c r="AB506">
        <f>IF(NOT(T506),"",IF(U506="설계사",설정!$B$31,IF(U506="시공사",IF(OR(M506="",설정!$B$24-N(M506)&lt;=설정!$B$28*30.4),설정!$B$32,설정!$B$33),설정!$B$34))+IF(AA506="★",설정!$B$35,0))</f>
        <v/>
      </c>
      <c r="AC506">
        <f>SUBSTITUTE(SUBSTITUTE(SUBSTITUTE(SUBSTITUTE(H506,"(주)",""),"㈜",""),"주식회사","")," ","")</f>
        <v/>
      </c>
      <c r="AD506">
        <f>IF(AND(T506,AC506&lt;&gt;""),IF(COUNTIFS(AC$2:AC506,AC506,T$2:T506,TRUE)=1,MAX(AD$1:AD505)+1,""),"")</f>
        <v/>
      </c>
    </row>
    <row r="507">
      <c r="A507">
        <f>ROW()</f>
        <v/>
      </c>
      <c r="B507">
        <f>IF(설정!$C$4="","",IFERROR(INDEX('1.산군_붙여넣기'!$A$1:$AZ$1001,ROW(),설정!$C$4)&amp;"",""))</f>
        <v/>
      </c>
      <c r="C507">
        <f>IF(설정!$C$5="","",IFERROR(INDEX('1.산군_붙여넣기'!$A$1:$AZ$1001,ROW(),설정!$C$5)&amp;"",""))</f>
        <v/>
      </c>
      <c r="D507" s="5">
        <f>IFERROR(VALUE(SUBSTITUTE(SUBSTITUTE(SUBSTITUTE(IF(설정!$C$6="","",IFERROR(INDEX('1.산군_붙여넣기'!$A$1:$AZ$1001,ROW(),설정!$C$6)&amp;"","")),",",""),"㎡",""),"m2","")),"")</f>
        <v/>
      </c>
      <c r="E507">
        <f>IF(설정!$C$7="","",IFERROR(INDEX('1.산군_붙여넣기'!$A$1:$AZ$1001,ROW(),설정!$C$7)&amp;"",""))</f>
        <v/>
      </c>
      <c r="F507">
        <f>IF(설정!$C$8="","",IFERROR(INDEX('1.산군_붙여넣기'!$A$1:$AZ$1001,ROW(),설정!$C$8)&amp;"",""))</f>
        <v/>
      </c>
      <c r="G507">
        <f>IF(설정!$C$9="","",IFERROR(INDEX('1.산군_붙여넣기'!$A$1:$AZ$1001,ROW(),설정!$C$9)&amp;"",""))</f>
        <v/>
      </c>
      <c r="H507">
        <f>IF(설정!$C$10="","",IFERROR(INDEX('1.산군_붙여넣기'!$A$1:$AZ$1001,ROW(),설정!$C$10)&amp;"",""))</f>
        <v/>
      </c>
      <c r="I507">
        <f>IF(설정!$C$11="","",IFERROR(INDEX('1.산군_붙여넣기'!$A$1:$AZ$1001,ROW(),설정!$C$11)&amp;"",""))</f>
        <v/>
      </c>
      <c r="J507">
        <f>IF(설정!$C$12="","",IFERROR(INDEX('1.산군_붙여넣기'!$A$1:$AZ$1001,ROW(),설정!$C$12)&amp;"",""))</f>
        <v/>
      </c>
      <c r="K507">
        <f>IF(설정!$C$13="","",IFERROR(INDEX('1.산군_붙여넣기'!$A$1:$AZ$1001,ROW(),설정!$C$13)&amp;"",""))</f>
        <v/>
      </c>
      <c r="L507" s="7">
        <f>IF(X507="","",IF(AND(LEN(X507)=8,ISNUMBER(X507*1)),DATE(LEFT(X507,4),MID(X507,5,2),RIGHT(X507,2)),IFERROR(DATEVALUE(SUBSTITUTE(SUBSTITUTE(X507,".","-"),"/","-")),IFERROR(X507*1,""))))</f>
        <v/>
      </c>
      <c r="M507" s="7">
        <f>IF(Y507="","",IF(AND(LEN(Y507)=8,ISNUMBER(Y507*1)),DATE(LEFT(Y507,4),MID(Y507,5,2),RIGHT(Y507,2)),IFERROR(DATEVALUE(SUBSTITUTE(SUBSTITUTE(Y507,".","-"),"/","-")),IFERROR(Y507*1,""))))</f>
        <v/>
      </c>
      <c r="N507">
        <f>IFERROR(LEFT(B507,FIND(" ",B507)-1),B507)</f>
        <v/>
      </c>
      <c r="O507">
        <f>AND(B507&lt;&gt;"",B507&lt;&gt;설정!$B$4,C507&lt;&gt;설정!$B$5)</f>
        <v/>
      </c>
      <c r="P507">
        <f>IF(O507,B507&amp;"|"&amp;C507,"")</f>
        <v/>
      </c>
      <c r="Q507">
        <f>AND(O507,COUNTIF(P508:P$1002,P507)=0)</f>
        <v/>
      </c>
      <c r="R507">
        <f>OR(AND(설정!$A$42&lt;&gt;"",ISNUMBER(SEARCH(설정!$A$42,E507&amp;" "&amp;C507))),AND(설정!$A$43&lt;&gt;"",ISNUMBER(SEARCH(설정!$A$43,E507&amp;" "&amp;C507))),AND(설정!$A$44&lt;&gt;"",ISNUMBER(SEARCH(설정!$A$44,E507&amp;" "&amp;C507))),AND(설정!$A$45&lt;&gt;"",ISNUMBER(SEARCH(설정!$A$45,E507&amp;" "&amp;C507))),AND(설정!$A$46&lt;&gt;"",ISNUMBER(SEARCH(설정!$A$46,E507&amp;" "&amp;C507))),AND(설정!$A$47&lt;&gt;"",ISNUMBER(SEARCH(설정!$A$47,E507&amp;" "&amp;C507))),AND(설정!$A$48&lt;&gt;"",ISNUMBER(SEARCH(설정!$A$48,E507&amp;" "&amp;C507))),AND(설정!$A$49&lt;&gt;"",ISNUMBER(SEARCH(설정!$A$49,E507&amp;" "&amp;C507))),AND(설정!$A$50&lt;&gt;"",ISNUMBER(SEARCH(설정!$A$50,E507&amp;" "&amp;C507))),AND(설정!$A$51&lt;&gt;"",ISNUMBER(SEARCH(설정!$A$51,E507&amp;" "&amp;C507))))</f>
        <v/>
      </c>
      <c r="S507">
        <f>OR(D507="",D507&gt;=설정!$B$19)</f>
        <v/>
      </c>
      <c r="T507">
        <f>AND(Q507,R507,S507)</f>
        <v/>
      </c>
      <c r="U507">
        <f>IF(T507,IF(AND(설정!$A$54&lt;&gt;"",ISNUMBER(SEARCH(설정!$A$54,K507))),설정!$B$54,IF(AND(설정!$A$55&lt;&gt;"",ISNUMBER(SEARCH(설정!$A$55,K507))),설정!$B$55,IF(AND(설정!$A$56&lt;&gt;"",ISNUMBER(SEARCH(설정!$A$56,K507))),설정!$B$56,IF(AND(설정!$A$57&lt;&gt;"",ISNUMBER(SEARCH(설정!$A$57,K507))),설정!$B$57,IF(AND(설정!$A$58&lt;&gt;"",ISNUMBER(SEARCH(설정!$A$58,K507))),설정!$B$58,IF(AND(설정!$A$59&lt;&gt;"",ISNUMBER(SEARCH(설정!$A$59,K507))),설정!$B$59,IF(AND(설정!$A$60&lt;&gt;"",ISNUMBER(SEARCH(설정!$A$60,K507))),설정!$B$60,IF(AND(설정!$A$61&lt;&gt;"",ISNUMBER(SEARCH(설정!$A$61,K507))),설정!$B$61,IF(M507="","설계사","시공사"))))))))),"")</f>
        <v/>
      </c>
      <c r="V507">
        <f>SUBSTITUTE(SUBSTITUTE(SUBSTITUTE(SUBSTITUTE(G507,"(주)",""),"㈜",""),"주식회사","")," ","")</f>
        <v/>
      </c>
      <c r="W507">
        <f>IF(AND(T507,V507&lt;&gt;""),IF(COUNTIFS(V$2:V507,V507,T$2:T507,TRUE)=1,MAX(W$1:W506)+1,""),"")</f>
        <v/>
      </c>
      <c r="X507">
        <f>IF(설정!$C$14="","",IFERROR(INDEX('1.산군_붙여넣기'!$A$1:$AZ$1001,ROW(),설정!$C$14)&amp;"",""))</f>
        <v/>
      </c>
      <c r="Y507">
        <f>IF(설정!$C$15="","",IFERROR(INDEX('1.산군_붙여넣기'!$A$1:$AZ$1001,ROW(),설정!$C$15)&amp;"",""))</f>
        <v/>
      </c>
      <c r="Z507">
        <f>IF(T507,V507&amp;"|"&amp;U507,"")</f>
        <v/>
      </c>
      <c r="AA507">
        <f>IF(NOT(Q507),"",IF(NOT(AND(R507,S507)),"✕",IF(OR(OR(AND(L507&lt;&gt;"",M507&lt;&gt;"",N(M507)-N(L507)&gt;설정!$B$27),AND(L507&lt;&gt;"",M507="",설정!$B$24-N(L507)&gt;설정!$B$27)),AND(D507&lt;&gt;"",D507&lt;설정!$B$26)),"△","★")))</f>
        <v/>
      </c>
      <c r="AB507">
        <f>IF(NOT(T507),"",IF(U507="설계사",설정!$B$31,IF(U507="시공사",IF(OR(M507="",설정!$B$24-N(M507)&lt;=설정!$B$28*30.4),설정!$B$32,설정!$B$33),설정!$B$34))+IF(AA507="★",설정!$B$35,0))</f>
        <v/>
      </c>
      <c r="AC507">
        <f>SUBSTITUTE(SUBSTITUTE(SUBSTITUTE(SUBSTITUTE(H507,"(주)",""),"㈜",""),"주식회사","")," ","")</f>
        <v/>
      </c>
      <c r="AD507">
        <f>IF(AND(T507,AC507&lt;&gt;""),IF(COUNTIFS(AC$2:AC507,AC507,T$2:T507,TRUE)=1,MAX(AD$1:AD506)+1,""),"")</f>
        <v/>
      </c>
    </row>
    <row r="508">
      <c r="A508">
        <f>ROW()</f>
        <v/>
      </c>
      <c r="B508">
        <f>IF(설정!$C$4="","",IFERROR(INDEX('1.산군_붙여넣기'!$A$1:$AZ$1001,ROW(),설정!$C$4)&amp;"",""))</f>
        <v/>
      </c>
      <c r="C508">
        <f>IF(설정!$C$5="","",IFERROR(INDEX('1.산군_붙여넣기'!$A$1:$AZ$1001,ROW(),설정!$C$5)&amp;"",""))</f>
        <v/>
      </c>
      <c r="D508" s="5">
        <f>IFERROR(VALUE(SUBSTITUTE(SUBSTITUTE(SUBSTITUTE(IF(설정!$C$6="","",IFERROR(INDEX('1.산군_붙여넣기'!$A$1:$AZ$1001,ROW(),설정!$C$6)&amp;"","")),",",""),"㎡",""),"m2","")),"")</f>
        <v/>
      </c>
      <c r="E508">
        <f>IF(설정!$C$7="","",IFERROR(INDEX('1.산군_붙여넣기'!$A$1:$AZ$1001,ROW(),설정!$C$7)&amp;"",""))</f>
        <v/>
      </c>
      <c r="F508">
        <f>IF(설정!$C$8="","",IFERROR(INDEX('1.산군_붙여넣기'!$A$1:$AZ$1001,ROW(),설정!$C$8)&amp;"",""))</f>
        <v/>
      </c>
      <c r="G508">
        <f>IF(설정!$C$9="","",IFERROR(INDEX('1.산군_붙여넣기'!$A$1:$AZ$1001,ROW(),설정!$C$9)&amp;"",""))</f>
        <v/>
      </c>
      <c r="H508">
        <f>IF(설정!$C$10="","",IFERROR(INDEX('1.산군_붙여넣기'!$A$1:$AZ$1001,ROW(),설정!$C$10)&amp;"",""))</f>
        <v/>
      </c>
      <c r="I508">
        <f>IF(설정!$C$11="","",IFERROR(INDEX('1.산군_붙여넣기'!$A$1:$AZ$1001,ROW(),설정!$C$11)&amp;"",""))</f>
        <v/>
      </c>
      <c r="J508">
        <f>IF(설정!$C$12="","",IFERROR(INDEX('1.산군_붙여넣기'!$A$1:$AZ$1001,ROW(),설정!$C$12)&amp;"",""))</f>
        <v/>
      </c>
      <c r="K508">
        <f>IF(설정!$C$13="","",IFERROR(INDEX('1.산군_붙여넣기'!$A$1:$AZ$1001,ROW(),설정!$C$13)&amp;"",""))</f>
        <v/>
      </c>
      <c r="L508" s="7">
        <f>IF(X508="","",IF(AND(LEN(X508)=8,ISNUMBER(X508*1)),DATE(LEFT(X508,4),MID(X508,5,2),RIGHT(X508,2)),IFERROR(DATEVALUE(SUBSTITUTE(SUBSTITUTE(X508,".","-"),"/","-")),IFERROR(X508*1,""))))</f>
        <v/>
      </c>
      <c r="M508" s="7">
        <f>IF(Y508="","",IF(AND(LEN(Y508)=8,ISNUMBER(Y508*1)),DATE(LEFT(Y508,4),MID(Y508,5,2),RIGHT(Y508,2)),IFERROR(DATEVALUE(SUBSTITUTE(SUBSTITUTE(Y508,".","-"),"/","-")),IFERROR(Y508*1,""))))</f>
        <v/>
      </c>
      <c r="N508">
        <f>IFERROR(LEFT(B508,FIND(" ",B508)-1),B508)</f>
        <v/>
      </c>
      <c r="O508">
        <f>AND(B508&lt;&gt;"",B508&lt;&gt;설정!$B$4,C508&lt;&gt;설정!$B$5)</f>
        <v/>
      </c>
      <c r="P508">
        <f>IF(O508,B508&amp;"|"&amp;C508,"")</f>
        <v/>
      </c>
      <c r="Q508">
        <f>AND(O508,COUNTIF(P509:P$1002,P508)=0)</f>
        <v/>
      </c>
      <c r="R508">
        <f>OR(AND(설정!$A$42&lt;&gt;"",ISNUMBER(SEARCH(설정!$A$42,E508&amp;" "&amp;C508))),AND(설정!$A$43&lt;&gt;"",ISNUMBER(SEARCH(설정!$A$43,E508&amp;" "&amp;C508))),AND(설정!$A$44&lt;&gt;"",ISNUMBER(SEARCH(설정!$A$44,E508&amp;" "&amp;C508))),AND(설정!$A$45&lt;&gt;"",ISNUMBER(SEARCH(설정!$A$45,E508&amp;" "&amp;C508))),AND(설정!$A$46&lt;&gt;"",ISNUMBER(SEARCH(설정!$A$46,E508&amp;" "&amp;C508))),AND(설정!$A$47&lt;&gt;"",ISNUMBER(SEARCH(설정!$A$47,E508&amp;" "&amp;C508))),AND(설정!$A$48&lt;&gt;"",ISNUMBER(SEARCH(설정!$A$48,E508&amp;" "&amp;C508))),AND(설정!$A$49&lt;&gt;"",ISNUMBER(SEARCH(설정!$A$49,E508&amp;" "&amp;C508))),AND(설정!$A$50&lt;&gt;"",ISNUMBER(SEARCH(설정!$A$50,E508&amp;" "&amp;C508))),AND(설정!$A$51&lt;&gt;"",ISNUMBER(SEARCH(설정!$A$51,E508&amp;" "&amp;C508))))</f>
        <v/>
      </c>
      <c r="S508">
        <f>OR(D508="",D508&gt;=설정!$B$19)</f>
        <v/>
      </c>
      <c r="T508">
        <f>AND(Q508,R508,S508)</f>
        <v/>
      </c>
      <c r="U508">
        <f>IF(T508,IF(AND(설정!$A$54&lt;&gt;"",ISNUMBER(SEARCH(설정!$A$54,K508))),설정!$B$54,IF(AND(설정!$A$55&lt;&gt;"",ISNUMBER(SEARCH(설정!$A$55,K508))),설정!$B$55,IF(AND(설정!$A$56&lt;&gt;"",ISNUMBER(SEARCH(설정!$A$56,K508))),설정!$B$56,IF(AND(설정!$A$57&lt;&gt;"",ISNUMBER(SEARCH(설정!$A$57,K508))),설정!$B$57,IF(AND(설정!$A$58&lt;&gt;"",ISNUMBER(SEARCH(설정!$A$58,K508))),설정!$B$58,IF(AND(설정!$A$59&lt;&gt;"",ISNUMBER(SEARCH(설정!$A$59,K508))),설정!$B$59,IF(AND(설정!$A$60&lt;&gt;"",ISNUMBER(SEARCH(설정!$A$60,K508))),설정!$B$60,IF(AND(설정!$A$61&lt;&gt;"",ISNUMBER(SEARCH(설정!$A$61,K508))),설정!$B$61,IF(M508="","설계사","시공사"))))))))),"")</f>
        <v/>
      </c>
      <c r="V508">
        <f>SUBSTITUTE(SUBSTITUTE(SUBSTITUTE(SUBSTITUTE(G508,"(주)",""),"㈜",""),"주식회사","")," ","")</f>
        <v/>
      </c>
      <c r="W508">
        <f>IF(AND(T508,V508&lt;&gt;""),IF(COUNTIFS(V$2:V508,V508,T$2:T508,TRUE)=1,MAX(W$1:W507)+1,""),"")</f>
        <v/>
      </c>
      <c r="X508">
        <f>IF(설정!$C$14="","",IFERROR(INDEX('1.산군_붙여넣기'!$A$1:$AZ$1001,ROW(),설정!$C$14)&amp;"",""))</f>
        <v/>
      </c>
      <c r="Y508">
        <f>IF(설정!$C$15="","",IFERROR(INDEX('1.산군_붙여넣기'!$A$1:$AZ$1001,ROW(),설정!$C$15)&amp;"",""))</f>
        <v/>
      </c>
      <c r="Z508">
        <f>IF(T508,V508&amp;"|"&amp;U508,"")</f>
        <v/>
      </c>
      <c r="AA508">
        <f>IF(NOT(Q508),"",IF(NOT(AND(R508,S508)),"✕",IF(OR(OR(AND(L508&lt;&gt;"",M508&lt;&gt;"",N(M508)-N(L508)&gt;설정!$B$27),AND(L508&lt;&gt;"",M508="",설정!$B$24-N(L508)&gt;설정!$B$27)),AND(D508&lt;&gt;"",D508&lt;설정!$B$26)),"△","★")))</f>
        <v/>
      </c>
      <c r="AB508">
        <f>IF(NOT(T508),"",IF(U508="설계사",설정!$B$31,IF(U508="시공사",IF(OR(M508="",설정!$B$24-N(M508)&lt;=설정!$B$28*30.4),설정!$B$32,설정!$B$33),설정!$B$34))+IF(AA508="★",설정!$B$35,0))</f>
        <v/>
      </c>
      <c r="AC508">
        <f>SUBSTITUTE(SUBSTITUTE(SUBSTITUTE(SUBSTITUTE(H508,"(주)",""),"㈜",""),"주식회사","")," ","")</f>
        <v/>
      </c>
      <c r="AD508">
        <f>IF(AND(T508,AC508&lt;&gt;""),IF(COUNTIFS(AC$2:AC508,AC508,T$2:T508,TRUE)=1,MAX(AD$1:AD507)+1,""),"")</f>
        <v/>
      </c>
    </row>
    <row r="509">
      <c r="A509">
        <f>ROW()</f>
        <v/>
      </c>
      <c r="B509">
        <f>IF(설정!$C$4="","",IFERROR(INDEX('1.산군_붙여넣기'!$A$1:$AZ$1001,ROW(),설정!$C$4)&amp;"",""))</f>
        <v/>
      </c>
      <c r="C509">
        <f>IF(설정!$C$5="","",IFERROR(INDEX('1.산군_붙여넣기'!$A$1:$AZ$1001,ROW(),설정!$C$5)&amp;"",""))</f>
        <v/>
      </c>
      <c r="D509" s="5">
        <f>IFERROR(VALUE(SUBSTITUTE(SUBSTITUTE(SUBSTITUTE(IF(설정!$C$6="","",IFERROR(INDEX('1.산군_붙여넣기'!$A$1:$AZ$1001,ROW(),설정!$C$6)&amp;"","")),",",""),"㎡",""),"m2","")),"")</f>
        <v/>
      </c>
      <c r="E509">
        <f>IF(설정!$C$7="","",IFERROR(INDEX('1.산군_붙여넣기'!$A$1:$AZ$1001,ROW(),설정!$C$7)&amp;"",""))</f>
        <v/>
      </c>
      <c r="F509">
        <f>IF(설정!$C$8="","",IFERROR(INDEX('1.산군_붙여넣기'!$A$1:$AZ$1001,ROW(),설정!$C$8)&amp;"",""))</f>
        <v/>
      </c>
      <c r="G509">
        <f>IF(설정!$C$9="","",IFERROR(INDEX('1.산군_붙여넣기'!$A$1:$AZ$1001,ROW(),설정!$C$9)&amp;"",""))</f>
        <v/>
      </c>
      <c r="H509">
        <f>IF(설정!$C$10="","",IFERROR(INDEX('1.산군_붙여넣기'!$A$1:$AZ$1001,ROW(),설정!$C$10)&amp;"",""))</f>
        <v/>
      </c>
      <c r="I509">
        <f>IF(설정!$C$11="","",IFERROR(INDEX('1.산군_붙여넣기'!$A$1:$AZ$1001,ROW(),설정!$C$11)&amp;"",""))</f>
        <v/>
      </c>
      <c r="J509">
        <f>IF(설정!$C$12="","",IFERROR(INDEX('1.산군_붙여넣기'!$A$1:$AZ$1001,ROW(),설정!$C$12)&amp;"",""))</f>
        <v/>
      </c>
      <c r="K509">
        <f>IF(설정!$C$13="","",IFERROR(INDEX('1.산군_붙여넣기'!$A$1:$AZ$1001,ROW(),설정!$C$13)&amp;"",""))</f>
        <v/>
      </c>
      <c r="L509" s="7">
        <f>IF(X509="","",IF(AND(LEN(X509)=8,ISNUMBER(X509*1)),DATE(LEFT(X509,4),MID(X509,5,2),RIGHT(X509,2)),IFERROR(DATEVALUE(SUBSTITUTE(SUBSTITUTE(X509,".","-"),"/","-")),IFERROR(X509*1,""))))</f>
        <v/>
      </c>
      <c r="M509" s="7">
        <f>IF(Y509="","",IF(AND(LEN(Y509)=8,ISNUMBER(Y509*1)),DATE(LEFT(Y509,4),MID(Y509,5,2),RIGHT(Y509,2)),IFERROR(DATEVALUE(SUBSTITUTE(SUBSTITUTE(Y509,".","-"),"/","-")),IFERROR(Y509*1,""))))</f>
        <v/>
      </c>
      <c r="N509">
        <f>IFERROR(LEFT(B509,FIND(" ",B509)-1),B509)</f>
        <v/>
      </c>
      <c r="O509">
        <f>AND(B509&lt;&gt;"",B509&lt;&gt;설정!$B$4,C509&lt;&gt;설정!$B$5)</f>
        <v/>
      </c>
      <c r="P509">
        <f>IF(O509,B509&amp;"|"&amp;C509,"")</f>
        <v/>
      </c>
      <c r="Q509">
        <f>AND(O509,COUNTIF(P510:P$1002,P509)=0)</f>
        <v/>
      </c>
      <c r="R509">
        <f>OR(AND(설정!$A$42&lt;&gt;"",ISNUMBER(SEARCH(설정!$A$42,E509&amp;" "&amp;C509))),AND(설정!$A$43&lt;&gt;"",ISNUMBER(SEARCH(설정!$A$43,E509&amp;" "&amp;C509))),AND(설정!$A$44&lt;&gt;"",ISNUMBER(SEARCH(설정!$A$44,E509&amp;" "&amp;C509))),AND(설정!$A$45&lt;&gt;"",ISNUMBER(SEARCH(설정!$A$45,E509&amp;" "&amp;C509))),AND(설정!$A$46&lt;&gt;"",ISNUMBER(SEARCH(설정!$A$46,E509&amp;" "&amp;C509))),AND(설정!$A$47&lt;&gt;"",ISNUMBER(SEARCH(설정!$A$47,E509&amp;" "&amp;C509))),AND(설정!$A$48&lt;&gt;"",ISNUMBER(SEARCH(설정!$A$48,E509&amp;" "&amp;C509))),AND(설정!$A$49&lt;&gt;"",ISNUMBER(SEARCH(설정!$A$49,E509&amp;" "&amp;C509))),AND(설정!$A$50&lt;&gt;"",ISNUMBER(SEARCH(설정!$A$50,E509&amp;" "&amp;C509))),AND(설정!$A$51&lt;&gt;"",ISNUMBER(SEARCH(설정!$A$51,E509&amp;" "&amp;C509))))</f>
        <v/>
      </c>
      <c r="S509">
        <f>OR(D509="",D509&gt;=설정!$B$19)</f>
        <v/>
      </c>
      <c r="T509">
        <f>AND(Q509,R509,S509)</f>
        <v/>
      </c>
      <c r="U509">
        <f>IF(T509,IF(AND(설정!$A$54&lt;&gt;"",ISNUMBER(SEARCH(설정!$A$54,K509))),설정!$B$54,IF(AND(설정!$A$55&lt;&gt;"",ISNUMBER(SEARCH(설정!$A$55,K509))),설정!$B$55,IF(AND(설정!$A$56&lt;&gt;"",ISNUMBER(SEARCH(설정!$A$56,K509))),설정!$B$56,IF(AND(설정!$A$57&lt;&gt;"",ISNUMBER(SEARCH(설정!$A$57,K509))),설정!$B$57,IF(AND(설정!$A$58&lt;&gt;"",ISNUMBER(SEARCH(설정!$A$58,K509))),설정!$B$58,IF(AND(설정!$A$59&lt;&gt;"",ISNUMBER(SEARCH(설정!$A$59,K509))),설정!$B$59,IF(AND(설정!$A$60&lt;&gt;"",ISNUMBER(SEARCH(설정!$A$60,K509))),설정!$B$60,IF(AND(설정!$A$61&lt;&gt;"",ISNUMBER(SEARCH(설정!$A$61,K509))),설정!$B$61,IF(M509="","설계사","시공사"))))))))),"")</f>
        <v/>
      </c>
      <c r="V509">
        <f>SUBSTITUTE(SUBSTITUTE(SUBSTITUTE(SUBSTITUTE(G509,"(주)",""),"㈜",""),"주식회사","")," ","")</f>
        <v/>
      </c>
      <c r="W509">
        <f>IF(AND(T509,V509&lt;&gt;""),IF(COUNTIFS(V$2:V509,V509,T$2:T509,TRUE)=1,MAX(W$1:W508)+1,""),"")</f>
        <v/>
      </c>
      <c r="X509">
        <f>IF(설정!$C$14="","",IFERROR(INDEX('1.산군_붙여넣기'!$A$1:$AZ$1001,ROW(),설정!$C$14)&amp;"",""))</f>
        <v/>
      </c>
      <c r="Y509">
        <f>IF(설정!$C$15="","",IFERROR(INDEX('1.산군_붙여넣기'!$A$1:$AZ$1001,ROW(),설정!$C$15)&amp;"",""))</f>
        <v/>
      </c>
      <c r="Z509">
        <f>IF(T509,V509&amp;"|"&amp;U509,"")</f>
        <v/>
      </c>
      <c r="AA509">
        <f>IF(NOT(Q509),"",IF(NOT(AND(R509,S509)),"✕",IF(OR(OR(AND(L509&lt;&gt;"",M509&lt;&gt;"",N(M509)-N(L509)&gt;설정!$B$27),AND(L509&lt;&gt;"",M509="",설정!$B$24-N(L509)&gt;설정!$B$27)),AND(D509&lt;&gt;"",D509&lt;설정!$B$26)),"△","★")))</f>
        <v/>
      </c>
      <c r="AB509">
        <f>IF(NOT(T509),"",IF(U509="설계사",설정!$B$31,IF(U509="시공사",IF(OR(M509="",설정!$B$24-N(M509)&lt;=설정!$B$28*30.4),설정!$B$32,설정!$B$33),설정!$B$34))+IF(AA509="★",설정!$B$35,0))</f>
        <v/>
      </c>
      <c r="AC509">
        <f>SUBSTITUTE(SUBSTITUTE(SUBSTITUTE(SUBSTITUTE(H509,"(주)",""),"㈜",""),"주식회사","")," ","")</f>
        <v/>
      </c>
      <c r="AD509">
        <f>IF(AND(T509,AC509&lt;&gt;""),IF(COUNTIFS(AC$2:AC509,AC509,T$2:T509,TRUE)=1,MAX(AD$1:AD508)+1,""),"")</f>
        <v/>
      </c>
    </row>
    <row r="510">
      <c r="A510">
        <f>ROW()</f>
        <v/>
      </c>
      <c r="B510">
        <f>IF(설정!$C$4="","",IFERROR(INDEX('1.산군_붙여넣기'!$A$1:$AZ$1001,ROW(),설정!$C$4)&amp;"",""))</f>
        <v/>
      </c>
      <c r="C510">
        <f>IF(설정!$C$5="","",IFERROR(INDEX('1.산군_붙여넣기'!$A$1:$AZ$1001,ROW(),설정!$C$5)&amp;"",""))</f>
        <v/>
      </c>
      <c r="D510" s="5">
        <f>IFERROR(VALUE(SUBSTITUTE(SUBSTITUTE(SUBSTITUTE(IF(설정!$C$6="","",IFERROR(INDEX('1.산군_붙여넣기'!$A$1:$AZ$1001,ROW(),설정!$C$6)&amp;"","")),",",""),"㎡",""),"m2","")),"")</f>
        <v/>
      </c>
      <c r="E510">
        <f>IF(설정!$C$7="","",IFERROR(INDEX('1.산군_붙여넣기'!$A$1:$AZ$1001,ROW(),설정!$C$7)&amp;"",""))</f>
        <v/>
      </c>
      <c r="F510">
        <f>IF(설정!$C$8="","",IFERROR(INDEX('1.산군_붙여넣기'!$A$1:$AZ$1001,ROW(),설정!$C$8)&amp;"",""))</f>
        <v/>
      </c>
      <c r="G510">
        <f>IF(설정!$C$9="","",IFERROR(INDEX('1.산군_붙여넣기'!$A$1:$AZ$1001,ROW(),설정!$C$9)&amp;"",""))</f>
        <v/>
      </c>
      <c r="H510">
        <f>IF(설정!$C$10="","",IFERROR(INDEX('1.산군_붙여넣기'!$A$1:$AZ$1001,ROW(),설정!$C$10)&amp;"",""))</f>
        <v/>
      </c>
      <c r="I510">
        <f>IF(설정!$C$11="","",IFERROR(INDEX('1.산군_붙여넣기'!$A$1:$AZ$1001,ROW(),설정!$C$11)&amp;"",""))</f>
        <v/>
      </c>
      <c r="J510">
        <f>IF(설정!$C$12="","",IFERROR(INDEX('1.산군_붙여넣기'!$A$1:$AZ$1001,ROW(),설정!$C$12)&amp;"",""))</f>
        <v/>
      </c>
      <c r="K510">
        <f>IF(설정!$C$13="","",IFERROR(INDEX('1.산군_붙여넣기'!$A$1:$AZ$1001,ROW(),설정!$C$13)&amp;"",""))</f>
        <v/>
      </c>
      <c r="L510" s="7">
        <f>IF(X510="","",IF(AND(LEN(X510)=8,ISNUMBER(X510*1)),DATE(LEFT(X510,4),MID(X510,5,2),RIGHT(X510,2)),IFERROR(DATEVALUE(SUBSTITUTE(SUBSTITUTE(X510,".","-"),"/","-")),IFERROR(X510*1,""))))</f>
        <v/>
      </c>
      <c r="M510" s="7">
        <f>IF(Y510="","",IF(AND(LEN(Y510)=8,ISNUMBER(Y510*1)),DATE(LEFT(Y510,4),MID(Y510,5,2),RIGHT(Y510,2)),IFERROR(DATEVALUE(SUBSTITUTE(SUBSTITUTE(Y510,".","-"),"/","-")),IFERROR(Y510*1,""))))</f>
        <v/>
      </c>
      <c r="N510">
        <f>IFERROR(LEFT(B510,FIND(" ",B510)-1),B510)</f>
        <v/>
      </c>
      <c r="O510">
        <f>AND(B510&lt;&gt;"",B510&lt;&gt;설정!$B$4,C510&lt;&gt;설정!$B$5)</f>
        <v/>
      </c>
      <c r="P510">
        <f>IF(O510,B510&amp;"|"&amp;C510,"")</f>
        <v/>
      </c>
      <c r="Q510">
        <f>AND(O510,COUNTIF(P511:P$1002,P510)=0)</f>
        <v/>
      </c>
      <c r="R510">
        <f>OR(AND(설정!$A$42&lt;&gt;"",ISNUMBER(SEARCH(설정!$A$42,E510&amp;" "&amp;C510))),AND(설정!$A$43&lt;&gt;"",ISNUMBER(SEARCH(설정!$A$43,E510&amp;" "&amp;C510))),AND(설정!$A$44&lt;&gt;"",ISNUMBER(SEARCH(설정!$A$44,E510&amp;" "&amp;C510))),AND(설정!$A$45&lt;&gt;"",ISNUMBER(SEARCH(설정!$A$45,E510&amp;" "&amp;C510))),AND(설정!$A$46&lt;&gt;"",ISNUMBER(SEARCH(설정!$A$46,E510&amp;" "&amp;C510))),AND(설정!$A$47&lt;&gt;"",ISNUMBER(SEARCH(설정!$A$47,E510&amp;" "&amp;C510))),AND(설정!$A$48&lt;&gt;"",ISNUMBER(SEARCH(설정!$A$48,E510&amp;" "&amp;C510))),AND(설정!$A$49&lt;&gt;"",ISNUMBER(SEARCH(설정!$A$49,E510&amp;" "&amp;C510))),AND(설정!$A$50&lt;&gt;"",ISNUMBER(SEARCH(설정!$A$50,E510&amp;" "&amp;C510))),AND(설정!$A$51&lt;&gt;"",ISNUMBER(SEARCH(설정!$A$51,E510&amp;" "&amp;C510))))</f>
        <v/>
      </c>
      <c r="S510">
        <f>OR(D510="",D510&gt;=설정!$B$19)</f>
        <v/>
      </c>
      <c r="T510">
        <f>AND(Q510,R510,S510)</f>
        <v/>
      </c>
      <c r="U510">
        <f>IF(T510,IF(AND(설정!$A$54&lt;&gt;"",ISNUMBER(SEARCH(설정!$A$54,K510))),설정!$B$54,IF(AND(설정!$A$55&lt;&gt;"",ISNUMBER(SEARCH(설정!$A$55,K510))),설정!$B$55,IF(AND(설정!$A$56&lt;&gt;"",ISNUMBER(SEARCH(설정!$A$56,K510))),설정!$B$56,IF(AND(설정!$A$57&lt;&gt;"",ISNUMBER(SEARCH(설정!$A$57,K510))),설정!$B$57,IF(AND(설정!$A$58&lt;&gt;"",ISNUMBER(SEARCH(설정!$A$58,K510))),설정!$B$58,IF(AND(설정!$A$59&lt;&gt;"",ISNUMBER(SEARCH(설정!$A$59,K510))),설정!$B$59,IF(AND(설정!$A$60&lt;&gt;"",ISNUMBER(SEARCH(설정!$A$60,K510))),설정!$B$60,IF(AND(설정!$A$61&lt;&gt;"",ISNUMBER(SEARCH(설정!$A$61,K510))),설정!$B$61,IF(M510="","설계사","시공사"))))))))),"")</f>
        <v/>
      </c>
      <c r="V510">
        <f>SUBSTITUTE(SUBSTITUTE(SUBSTITUTE(SUBSTITUTE(G510,"(주)",""),"㈜",""),"주식회사","")," ","")</f>
        <v/>
      </c>
      <c r="W510">
        <f>IF(AND(T510,V510&lt;&gt;""),IF(COUNTIFS(V$2:V510,V510,T$2:T510,TRUE)=1,MAX(W$1:W509)+1,""),"")</f>
        <v/>
      </c>
      <c r="X510">
        <f>IF(설정!$C$14="","",IFERROR(INDEX('1.산군_붙여넣기'!$A$1:$AZ$1001,ROW(),설정!$C$14)&amp;"",""))</f>
        <v/>
      </c>
      <c r="Y510">
        <f>IF(설정!$C$15="","",IFERROR(INDEX('1.산군_붙여넣기'!$A$1:$AZ$1001,ROW(),설정!$C$15)&amp;"",""))</f>
        <v/>
      </c>
      <c r="Z510">
        <f>IF(T510,V510&amp;"|"&amp;U510,"")</f>
        <v/>
      </c>
      <c r="AA510">
        <f>IF(NOT(Q510),"",IF(NOT(AND(R510,S510)),"✕",IF(OR(OR(AND(L510&lt;&gt;"",M510&lt;&gt;"",N(M510)-N(L510)&gt;설정!$B$27),AND(L510&lt;&gt;"",M510="",설정!$B$24-N(L510)&gt;설정!$B$27)),AND(D510&lt;&gt;"",D510&lt;설정!$B$26)),"△","★")))</f>
        <v/>
      </c>
      <c r="AB510">
        <f>IF(NOT(T510),"",IF(U510="설계사",설정!$B$31,IF(U510="시공사",IF(OR(M510="",설정!$B$24-N(M510)&lt;=설정!$B$28*30.4),설정!$B$32,설정!$B$33),설정!$B$34))+IF(AA510="★",설정!$B$35,0))</f>
        <v/>
      </c>
      <c r="AC510">
        <f>SUBSTITUTE(SUBSTITUTE(SUBSTITUTE(SUBSTITUTE(H510,"(주)",""),"㈜",""),"주식회사","")," ","")</f>
        <v/>
      </c>
      <c r="AD510">
        <f>IF(AND(T510,AC510&lt;&gt;""),IF(COUNTIFS(AC$2:AC510,AC510,T$2:T510,TRUE)=1,MAX(AD$1:AD509)+1,""),"")</f>
        <v/>
      </c>
    </row>
    <row r="511">
      <c r="A511">
        <f>ROW()</f>
        <v/>
      </c>
      <c r="B511">
        <f>IF(설정!$C$4="","",IFERROR(INDEX('1.산군_붙여넣기'!$A$1:$AZ$1001,ROW(),설정!$C$4)&amp;"",""))</f>
        <v/>
      </c>
      <c r="C511">
        <f>IF(설정!$C$5="","",IFERROR(INDEX('1.산군_붙여넣기'!$A$1:$AZ$1001,ROW(),설정!$C$5)&amp;"",""))</f>
        <v/>
      </c>
      <c r="D511" s="5">
        <f>IFERROR(VALUE(SUBSTITUTE(SUBSTITUTE(SUBSTITUTE(IF(설정!$C$6="","",IFERROR(INDEX('1.산군_붙여넣기'!$A$1:$AZ$1001,ROW(),설정!$C$6)&amp;"","")),",",""),"㎡",""),"m2","")),"")</f>
        <v/>
      </c>
      <c r="E511">
        <f>IF(설정!$C$7="","",IFERROR(INDEX('1.산군_붙여넣기'!$A$1:$AZ$1001,ROW(),설정!$C$7)&amp;"",""))</f>
        <v/>
      </c>
      <c r="F511">
        <f>IF(설정!$C$8="","",IFERROR(INDEX('1.산군_붙여넣기'!$A$1:$AZ$1001,ROW(),설정!$C$8)&amp;"",""))</f>
        <v/>
      </c>
      <c r="G511">
        <f>IF(설정!$C$9="","",IFERROR(INDEX('1.산군_붙여넣기'!$A$1:$AZ$1001,ROW(),설정!$C$9)&amp;"",""))</f>
        <v/>
      </c>
      <c r="H511">
        <f>IF(설정!$C$10="","",IFERROR(INDEX('1.산군_붙여넣기'!$A$1:$AZ$1001,ROW(),설정!$C$10)&amp;"",""))</f>
        <v/>
      </c>
      <c r="I511">
        <f>IF(설정!$C$11="","",IFERROR(INDEX('1.산군_붙여넣기'!$A$1:$AZ$1001,ROW(),설정!$C$11)&amp;"",""))</f>
        <v/>
      </c>
      <c r="J511">
        <f>IF(설정!$C$12="","",IFERROR(INDEX('1.산군_붙여넣기'!$A$1:$AZ$1001,ROW(),설정!$C$12)&amp;"",""))</f>
        <v/>
      </c>
      <c r="K511">
        <f>IF(설정!$C$13="","",IFERROR(INDEX('1.산군_붙여넣기'!$A$1:$AZ$1001,ROW(),설정!$C$13)&amp;"",""))</f>
        <v/>
      </c>
      <c r="L511" s="7">
        <f>IF(X511="","",IF(AND(LEN(X511)=8,ISNUMBER(X511*1)),DATE(LEFT(X511,4),MID(X511,5,2),RIGHT(X511,2)),IFERROR(DATEVALUE(SUBSTITUTE(SUBSTITUTE(X511,".","-"),"/","-")),IFERROR(X511*1,""))))</f>
        <v/>
      </c>
      <c r="M511" s="7">
        <f>IF(Y511="","",IF(AND(LEN(Y511)=8,ISNUMBER(Y511*1)),DATE(LEFT(Y511,4),MID(Y511,5,2),RIGHT(Y511,2)),IFERROR(DATEVALUE(SUBSTITUTE(SUBSTITUTE(Y511,".","-"),"/","-")),IFERROR(Y511*1,""))))</f>
        <v/>
      </c>
      <c r="N511">
        <f>IFERROR(LEFT(B511,FIND(" ",B511)-1),B511)</f>
        <v/>
      </c>
      <c r="O511">
        <f>AND(B511&lt;&gt;"",B511&lt;&gt;설정!$B$4,C511&lt;&gt;설정!$B$5)</f>
        <v/>
      </c>
      <c r="P511">
        <f>IF(O511,B511&amp;"|"&amp;C511,"")</f>
        <v/>
      </c>
      <c r="Q511">
        <f>AND(O511,COUNTIF(P512:P$1002,P511)=0)</f>
        <v/>
      </c>
      <c r="R511">
        <f>OR(AND(설정!$A$42&lt;&gt;"",ISNUMBER(SEARCH(설정!$A$42,E511&amp;" "&amp;C511))),AND(설정!$A$43&lt;&gt;"",ISNUMBER(SEARCH(설정!$A$43,E511&amp;" "&amp;C511))),AND(설정!$A$44&lt;&gt;"",ISNUMBER(SEARCH(설정!$A$44,E511&amp;" "&amp;C511))),AND(설정!$A$45&lt;&gt;"",ISNUMBER(SEARCH(설정!$A$45,E511&amp;" "&amp;C511))),AND(설정!$A$46&lt;&gt;"",ISNUMBER(SEARCH(설정!$A$46,E511&amp;" "&amp;C511))),AND(설정!$A$47&lt;&gt;"",ISNUMBER(SEARCH(설정!$A$47,E511&amp;" "&amp;C511))),AND(설정!$A$48&lt;&gt;"",ISNUMBER(SEARCH(설정!$A$48,E511&amp;" "&amp;C511))),AND(설정!$A$49&lt;&gt;"",ISNUMBER(SEARCH(설정!$A$49,E511&amp;" "&amp;C511))),AND(설정!$A$50&lt;&gt;"",ISNUMBER(SEARCH(설정!$A$50,E511&amp;" "&amp;C511))),AND(설정!$A$51&lt;&gt;"",ISNUMBER(SEARCH(설정!$A$51,E511&amp;" "&amp;C511))))</f>
        <v/>
      </c>
      <c r="S511">
        <f>OR(D511="",D511&gt;=설정!$B$19)</f>
        <v/>
      </c>
      <c r="T511">
        <f>AND(Q511,R511,S511)</f>
        <v/>
      </c>
      <c r="U511">
        <f>IF(T511,IF(AND(설정!$A$54&lt;&gt;"",ISNUMBER(SEARCH(설정!$A$54,K511))),설정!$B$54,IF(AND(설정!$A$55&lt;&gt;"",ISNUMBER(SEARCH(설정!$A$55,K511))),설정!$B$55,IF(AND(설정!$A$56&lt;&gt;"",ISNUMBER(SEARCH(설정!$A$56,K511))),설정!$B$56,IF(AND(설정!$A$57&lt;&gt;"",ISNUMBER(SEARCH(설정!$A$57,K511))),설정!$B$57,IF(AND(설정!$A$58&lt;&gt;"",ISNUMBER(SEARCH(설정!$A$58,K511))),설정!$B$58,IF(AND(설정!$A$59&lt;&gt;"",ISNUMBER(SEARCH(설정!$A$59,K511))),설정!$B$59,IF(AND(설정!$A$60&lt;&gt;"",ISNUMBER(SEARCH(설정!$A$60,K511))),설정!$B$60,IF(AND(설정!$A$61&lt;&gt;"",ISNUMBER(SEARCH(설정!$A$61,K511))),설정!$B$61,IF(M511="","설계사","시공사"))))))))),"")</f>
        <v/>
      </c>
      <c r="V511">
        <f>SUBSTITUTE(SUBSTITUTE(SUBSTITUTE(SUBSTITUTE(G511,"(주)",""),"㈜",""),"주식회사","")," ","")</f>
        <v/>
      </c>
      <c r="W511">
        <f>IF(AND(T511,V511&lt;&gt;""),IF(COUNTIFS(V$2:V511,V511,T$2:T511,TRUE)=1,MAX(W$1:W510)+1,""),"")</f>
        <v/>
      </c>
      <c r="X511">
        <f>IF(설정!$C$14="","",IFERROR(INDEX('1.산군_붙여넣기'!$A$1:$AZ$1001,ROW(),설정!$C$14)&amp;"",""))</f>
        <v/>
      </c>
      <c r="Y511">
        <f>IF(설정!$C$15="","",IFERROR(INDEX('1.산군_붙여넣기'!$A$1:$AZ$1001,ROW(),설정!$C$15)&amp;"",""))</f>
        <v/>
      </c>
      <c r="Z511">
        <f>IF(T511,V511&amp;"|"&amp;U511,"")</f>
        <v/>
      </c>
      <c r="AA511">
        <f>IF(NOT(Q511),"",IF(NOT(AND(R511,S511)),"✕",IF(OR(OR(AND(L511&lt;&gt;"",M511&lt;&gt;"",N(M511)-N(L511)&gt;설정!$B$27),AND(L511&lt;&gt;"",M511="",설정!$B$24-N(L511)&gt;설정!$B$27)),AND(D511&lt;&gt;"",D511&lt;설정!$B$26)),"△","★")))</f>
        <v/>
      </c>
      <c r="AB511">
        <f>IF(NOT(T511),"",IF(U511="설계사",설정!$B$31,IF(U511="시공사",IF(OR(M511="",설정!$B$24-N(M511)&lt;=설정!$B$28*30.4),설정!$B$32,설정!$B$33),설정!$B$34))+IF(AA511="★",설정!$B$35,0))</f>
        <v/>
      </c>
      <c r="AC511">
        <f>SUBSTITUTE(SUBSTITUTE(SUBSTITUTE(SUBSTITUTE(H511,"(주)",""),"㈜",""),"주식회사","")," ","")</f>
        <v/>
      </c>
      <c r="AD511">
        <f>IF(AND(T511,AC511&lt;&gt;""),IF(COUNTIFS(AC$2:AC511,AC511,T$2:T511,TRUE)=1,MAX(AD$1:AD510)+1,""),"")</f>
        <v/>
      </c>
    </row>
    <row r="512">
      <c r="A512">
        <f>ROW()</f>
        <v/>
      </c>
      <c r="B512">
        <f>IF(설정!$C$4="","",IFERROR(INDEX('1.산군_붙여넣기'!$A$1:$AZ$1001,ROW(),설정!$C$4)&amp;"",""))</f>
        <v/>
      </c>
      <c r="C512">
        <f>IF(설정!$C$5="","",IFERROR(INDEX('1.산군_붙여넣기'!$A$1:$AZ$1001,ROW(),설정!$C$5)&amp;"",""))</f>
        <v/>
      </c>
      <c r="D512" s="5">
        <f>IFERROR(VALUE(SUBSTITUTE(SUBSTITUTE(SUBSTITUTE(IF(설정!$C$6="","",IFERROR(INDEX('1.산군_붙여넣기'!$A$1:$AZ$1001,ROW(),설정!$C$6)&amp;"","")),",",""),"㎡",""),"m2","")),"")</f>
        <v/>
      </c>
      <c r="E512">
        <f>IF(설정!$C$7="","",IFERROR(INDEX('1.산군_붙여넣기'!$A$1:$AZ$1001,ROW(),설정!$C$7)&amp;"",""))</f>
        <v/>
      </c>
      <c r="F512">
        <f>IF(설정!$C$8="","",IFERROR(INDEX('1.산군_붙여넣기'!$A$1:$AZ$1001,ROW(),설정!$C$8)&amp;"",""))</f>
        <v/>
      </c>
      <c r="G512">
        <f>IF(설정!$C$9="","",IFERROR(INDEX('1.산군_붙여넣기'!$A$1:$AZ$1001,ROW(),설정!$C$9)&amp;"",""))</f>
        <v/>
      </c>
      <c r="H512">
        <f>IF(설정!$C$10="","",IFERROR(INDEX('1.산군_붙여넣기'!$A$1:$AZ$1001,ROW(),설정!$C$10)&amp;"",""))</f>
        <v/>
      </c>
      <c r="I512">
        <f>IF(설정!$C$11="","",IFERROR(INDEX('1.산군_붙여넣기'!$A$1:$AZ$1001,ROW(),설정!$C$11)&amp;"",""))</f>
        <v/>
      </c>
      <c r="J512">
        <f>IF(설정!$C$12="","",IFERROR(INDEX('1.산군_붙여넣기'!$A$1:$AZ$1001,ROW(),설정!$C$12)&amp;"",""))</f>
        <v/>
      </c>
      <c r="K512">
        <f>IF(설정!$C$13="","",IFERROR(INDEX('1.산군_붙여넣기'!$A$1:$AZ$1001,ROW(),설정!$C$13)&amp;"",""))</f>
        <v/>
      </c>
      <c r="L512" s="7">
        <f>IF(X512="","",IF(AND(LEN(X512)=8,ISNUMBER(X512*1)),DATE(LEFT(X512,4),MID(X512,5,2),RIGHT(X512,2)),IFERROR(DATEVALUE(SUBSTITUTE(SUBSTITUTE(X512,".","-"),"/","-")),IFERROR(X512*1,""))))</f>
        <v/>
      </c>
      <c r="M512" s="7">
        <f>IF(Y512="","",IF(AND(LEN(Y512)=8,ISNUMBER(Y512*1)),DATE(LEFT(Y512,4),MID(Y512,5,2),RIGHT(Y512,2)),IFERROR(DATEVALUE(SUBSTITUTE(SUBSTITUTE(Y512,".","-"),"/","-")),IFERROR(Y512*1,""))))</f>
        <v/>
      </c>
      <c r="N512">
        <f>IFERROR(LEFT(B512,FIND(" ",B512)-1),B512)</f>
        <v/>
      </c>
      <c r="O512">
        <f>AND(B512&lt;&gt;"",B512&lt;&gt;설정!$B$4,C512&lt;&gt;설정!$B$5)</f>
        <v/>
      </c>
      <c r="P512">
        <f>IF(O512,B512&amp;"|"&amp;C512,"")</f>
        <v/>
      </c>
      <c r="Q512">
        <f>AND(O512,COUNTIF(P513:P$1002,P512)=0)</f>
        <v/>
      </c>
      <c r="R512">
        <f>OR(AND(설정!$A$42&lt;&gt;"",ISNUMBER(SEARCH(설정!$A$42,E512&amp;" "&amp;C512))),AND(설정!$A$43&lt;&gt;"",ISNUMBER(SEARCH(설정!$A$43,E512&amp;" "&amp;C512))),AND(설정!$A$44&lt;&gt;"",ISNUMBER(SEARCH(설정!$A$44,E512&amp;" "&amp;C512))),AND(설정!$A$45&lt;&gt;"",ISNUMBER(SEARCH(설정!$A$45,E512&amp;" "&amp;C512))),AND(설정!$A$46&lt;&gt;"",ISNUMBER(SEARCH(설정!$A$46,E512&amp;" "&amp;C512))),AND(설정!$A$47&lt;&gt;"",ISNUMBER(SEARCH(설정!$A$47,E512&amp;" "&amp;C512))),AND(설정!$A$48&lt;&gt;"",ISNUMBER(SEARCH(설정!$A$48,E512&amp;" "&amp;C512))),AND(설정!$A$49&lt;&gt;"",ISNUMBER(SEARCH(설정!$A$49,E512&amp;" "&amp;C512))),AND(설정!$A$50&lt;&gt;"",ISNUMBER(SEARCH(설정!$A$50,E512&amp;" "&amp;C512))),AND(설정!$A$51&lt;&gt;"",ISNUMBER(SEARCH(설정!$A$51,E512&amp;" "&amp;C512))))</f>
        <v/>
      </c>
      <c r="S512">
        <f>OR(D512="",D512&gt;=설정!$B$19)</f>
        <v/>
      </c>
      <c r="T512">
        <f>AND(Q512,R512,S512)</f>
        <v/>
      </c>
      <c r="U512">
        <f>IF(T512,IF(AND(설정!$A$54&lt;&gt;"",ISNUMBER(SEARCH(설정!$A$54,K512))),설정!$B$54,IF(AND(설정!$A$55&lt;&gt;"",ISNUMBER(SEARCH(설정!$A$55,K512))),설정!$B$55,IF(AND(설정!$A$56&lt;&gt;"",ISNUMBER(SEARCH(설정!$A$56,K512))),설정!$B$56,IF(AND(설정!$A$57&lt;&gt;"",ISNUMBER(SEARCH(설정!$A$57,K512))),설정!$B$57,IF(AND(설정!$A$58&lt;&gt;"",ISNUMBER(SEARCH(설정!$A$58,K512))),설정!$B$58,IF(AND(설정!$A$59&lt;&gt;"",ISNUMBER(SEARCH(설정!$A$59,K512))),설정!$B$59,IF(AND(설정!$A$60&lt;&gt;"",ISNUMBER(SEARCH(설정!$A$60,K512))),설정!$B$60,IF(AND(설정!$A$61&lt;&gt;"",ISNUMBER(SEARCH(설정!$A$61,K512))),설정!$B$61,IF(M512="","설계사","시공사"))))))))),"")</f>
        <v/>
      </c>
      <c r="V512">
        <f>SUBSTITUTE(SUBSTITUTE(SUBSTITUTE(SUBSTITUTE(G512,"(주)",""),"㈜",""),"주식회사","")," ","")</f>
        <v/>
      </c>
      <c r="W512">
        <f>IF(AND(T512,V512&lt;&gt;""),IF(COUNTIFS(V$2:V512,V512,T$2:T512,TRUE)=1,MAX(W$1:W511)+1,""),"")</f>
        <v/>
      </c>
      <c r="X512">
        <f>IF(설정!$C$14="","",IFERROR(INDEX('1.산군_붙여넣기'!$A$1:$AZ$1001,ROW(),설정!$C$14)&amp;"",""))</f>
        <v/>
      </c>
      <c r="Y512">
        <f>IF(설정!$C$15="","",IFERROR(INDEX('1.산군_붙여넣기'!$A$1:$AZ$1001,ROW(),설정!$C$15)&amp;"",""))</f>
        <v/>
      </c>
      <c r="Z512">
        <f>IF(T512,V512&amp;"|"&amp;U512,"")</f>
        <v/>
      </c>
      <c r="AA512">
        <f>IF(NOT(Q512),"",IF(NOT(AND(R512,S512)),"✕",IF(OR(OR(AND(L512&lt;&gt;"",M512&lt;&gt;"",N(M512)-N(L512)&gt;설정!$B$27),AND(L512&lt;&gt;"",M512="",설정!$B$24-N(L512)&gt;설정!$B$27)),AND(D512&lt;&gt;"",D512&lt;설정!$B$26)),"△","★")))</f>
        <v/>
      </c>
      <c r="AB512">
        <f>IF(NOT(T512),"",IF(U512="설계사",설정!$B$31,IF(U512="시공사",IF(OR(M512="",설정!$B$24-N(M512)&lt;=설정!$B$28*30.4),설정!$B$32,설정!$B$33),설정!$B$34))+IF(AA512="★",설정!$B$35,0))</f>
        <v/>
      </c>
      <c r="AC512">
        <f>SUBSTITUTE(SUBSTITUTE(SUBSTITUTE(SUBSTITUTE(H512,"(주)",""),"㈜",""),"주식회사","")," ","")</f>
        <v/>
      </c>
      <c r="AD512">
        <f>IF(AND(T512,AC512&lt;&gt;""),IF(COUNTIFS(AC$2:AC512,AC512,T$2:T512,TRUE)=1,MAX(AD$1:AD511)+1,""),"")</f>
        <v/>
      </c>
    </row>
    <row r="513">
      <c r="A513">
        <f>ROW()</f>
        <v/>
      </c>
      <c r="B513">
        <f>IF(설정!$C$4="","",IFERROR(INDEX('1.산군_붙여넣기'!$A$1:$AZ$1001,ROW(),설정!$C$4)&amp;"",""))</f>
        <v/>
      </c>
      <c r="C513">
        <f>IF(설정!$C$5="","",IFERROR(INDEX('1.산군_붙여넣기'!$A$1:$AZ$1001,ROW(),설정!$C$5)&amp;"",""))</f>
        <v/>
      </c>
      <c r="D513" s="5">
        <f>IFERROR(VALUE(SUBSTITUTE(SUBSTITUTE(SUBSTITUTE(IF(설정!$C$6="","",IFERROR(INDEX('1.산군_붙여넣기'!$A$1:$AZ$1001,ROW(),설정!$C$6)&amp;"","")),",",""),"㎡",""),"m2","")),"")</f>
        <v/>
      </c>
      <c r="E513">
        <f>IF(설정!$C$7="","",IFERROR(INDEX('1.산군_붙여넣기'!$A$1:$AZ$1001,ROW(),설정!$C$7)&amp;"",""))</f>
        <v/>
      </c>
      <c r="F513">
        <f>IF(설정!$C$8="","",IFERROR(INDEX('1.산군_붙여넣기'!$A$1:$AZ$1001,ROW(),설정!$C$8)&amp;"",""))</f>
        <v/>
      </c>
      <c r="G513">
        <f>IF(설정!$C$9="","",IFERROR(INDEX('1.산군_붙여넣기'!$A$1:$AZ$1001,ROW(),설정!$C$9)&amp;"",""))</f>
        <v/>
      </c>
      <c r="H513">
        <f>IF(설정!$C$10="","",IFERROR(INDEX('1.산군_붙여넣기'!$A$1:$AZ$1001,ROW(),설정!$C$10)&amp;"",""))</f>
        <v/>
      </c>
      <c r="I513">
        <f>IF(설정!$C$11="","",IFERROR(INDEX('1.산군_붙여넣기'!$A$1:$AZ$1001,ROW(),설정!$C$11)&amp;"",""))</f>
        <v/>
      </c>
      <c r="J513">
        <f>IF(설정!$C$12="","",IFERROR(INDEX('1.산군_붙여넣기'!$A$1:$AZ$1001,ROW(),설정!$C$12)&amp;"",""))</f>
        <v/>
      </c>
      <c r="K513">
        <f>IF(설정!$C$13="","",IFERROR(INDEX('1.산군_붙여넣기'!$A$1:$AZ$1001,ROW(),설정!$C$13)&amp;"",""))</f>
        <v/>
      </c>
      <c r="L513" s="7">
        <f>IF(X513="","",IF(AND(LEN(X513)=8,ISNUMBER(X513*1)),DATE(LEFT(X513,4),MID(X513,5,2),RIGHT(X513,2)),IFERROR(DATEVALUE(SUBSTITUTE(SUBSTITUTE(X513,".","-"),"/","-")),IFERROR(X513*1,""))))</f>
        <v/>
      </c>
      <c r="M513" s="7">
        <f>IF(Y513="","",IF(AND(LEN(Y513)=8,ISNUMBER(Y513*1)),DATE(LEFT(Y513,4),MID(Y513,5,2),RIGHT(Y513,2)),IFERROR(DATEVALUE(SUBSTITUTE(SUBSTITUTE(Y513,".","-"),"/","-")),IFERROR(Y513*1,""))))</f>
        <v/>
      </c>
      <c r="N513">
        <f>IFERROR(LEFT(B513,FIND(" ",B513)-1),B513)</f>
        <v/>
      </c>
      <c r="O513">
        <f>AND(B513&lt;&gt;"",B513&lt;&gt;설정!$B$4,C513&lt;&gt;설정!$B$5)</f>
        <v/>
      </c>
      <c r="P513">
        <f>IF(O513,B513&amp;"|"&amp;C513,"")</f>
        <v/>
      </c>
      <c r="Q513">
        <f>AND(O513,COUNTIF(P514:P$1002,P513)=0)</f>
        <v/>
      </c>
      <c r="R513">
        <f>OR(AND(설정!$A$42&lt;&gt;"",ISNUMBER(SEARCH(설정!$A$42,E513&amp;" "&amp;C513))),AND(설정!$A$43&lt;&gt;"",ISNUMBER(SEARCH(설정!$A$43,E513&amp;" "&amp;C513))),AND(설정!$A$44&lt;&gt;"",ISNUMBER(SEARCH(설정!$A$44,E513&amp;" "&amp;C513))),AND(설정!$A$45&lt;&gt;"",ISNUMBER(SEARCH(설정!$A$45,E513&amp;" "&amp;C513))),AND(설정!$A$46&lt;&gt;"",ISNUMBER(SEARCH(설정!$A$46,E513&amp;" "&amp;C513))),AND(설정!$A$47&lt;&gt;"",ISNUMBER(SEARCH(설정!$A$47,E513&amp;" "&amp;C513))),AND(설정!$A$48&lt;&gt;"",ISNUMBER(SEARCH(설정!$A$48,E513&amp;" "&amp;C513))),AND(설정!$A$49&lt;&gt;"",ISNUMBER(SEARCH(설정!$A$49,E513&amp;" "&amp;C513))),AND(설정!$A$50&lt;&gt;"",ISNUMBER(SEARCH(설정!$A$50,E513&amp;" "&amp;C513))),AND(설정!$A$51&lt;&gt;"",ISNUMBER(SEARCH(설정!$A$51,E513&amp;" "&amp;C513))))</f>
        <v/>
      </c>
      <c r="S513">
        <f>OR(D513="",D513&gt;=설정!$B$19)</f>
        <v/>
      </c>
      <c r="T513">
        <f>AND(Q513,R513,S513)</f>
        <v/>
      </c>
      <c r="U513">
        <f>IF(T513,IF(AND(설정!$A$54&lt;&gt;"",ISNUMBER(SEARCH(설정!$A$54,K513))),설정!$B$54,IF(AND(설정!$A$55&lt;&gt;"",ISNUMBER(SEARCH(설정!$A$55,K513))),설정!$B$55,IF(AND(설정!$A$56&lt;&gt;"",ISNUMBER(SEARCH(설정!$A$56,K513))),설정!$B$56,IF(AND(설정!$A$57&lt;&gt;"",ISNUMBER(SEARCH(설정!$A$57,K513))),설정!$B$57,IF(AND(설정!$A$58&lt;&gt;"",ISNUMBER(SEARCH(설정!$A$58,K513))),설정!$B$58,IF(AND(설정!$A$59&lt;&gt;"",ISNUMBER(SEARCH(설정!$A$59,K513))),설정!$B$59,IF(AND(설정!$A$60&lt;&gt;"",ISNUMBER(SEARCH(설정!$A$60,K513))),설정!$B$60,IF(AND(설정!$A$61&lt;&gt;"",ISNUMBER(SEARCH(설정!$A$61,K513))),설정!$B$61,IF(M513="","설계사","시공사"))))))))),"")</f>
        <v/>
      </c>
      <c r="V513">
        <f>SUBSTITUTE(SUBSTITUTE(SUBSTITUTE(SUBSTITUTE(G513,"(주)",""),"㈜",""),"주식회사","")," ","")</f>
        <v/>
      </c>
      <c r="W513">
        <f>IF(AND(T513,V513&lt;&gt;""),IF(COUNTIFS(V$2:V513,V513,T$2:T513,TRUE)=1,MAX(W$1:W512)+1,""),"")</f>
        <v/>
      </c>
      <c r="X513">
        <f>IF(설정!$C$14="","",IFERROR(INDEX('1.산군_붙여넣기'!$A$1:$AZ$1001,ROW(),설정!$C$14)&amp;"",""))</f>
        <v/>
      </c>
      <c r="Y513">
        <f>IF(설정!$C$15="","",IFERROR(INDEX('1.산군_붙여넣기'!$A$1:$AZ$1001,ROW(),설정!$C$15)&amp;"",""))</f>
        <v/>
      </c>
      <c r="Z513">
        <f>IF(T513,V513&amp;"|"&amp;U513,"")</f>
        <v/>
      </c>
      <c r="AA513">
        <f>IF(NOT(Q513),"",IF(NOT(AND(R513,S513)),"✕",IF(OR(OR(AND(L513&lt;&gt;"",M513&lt;&gt;"",N(M513)-N(L513)&gt;설정!$B$27),AND(L513&lt;&gt;"",M513="",설정!$B$24-N(L513)&gt;설정!$B$27)),AND(D513&lt;&gt;"",D513&lt;설정!$B$26)),"△","★")))</f>
        <v/>
      </c>
      <c r="AB513">
        <f>IF(NOT(T513),"",IF(U513="설계사",설정!$B$31,IF(U513="시공사",IF(OR(M513="",설정!$B$24-N(M513)&lt;=설정!$B$28*30.4),설정!$B$32,설정!$B$33),설정!$B$34))+IF(AA513="★",설정!$B$35,0))</f>
        <v/>
      </c>
      <c r="AC513">
        <f>SUBSTITUTE(SUBSTITUTE(SUBSTITUTE(SUBSTITUTE(H513,"(주)",""),"㈜",""),"주식회사","")," ","")</f>
        <v/>
      </c>
      <c r="AD513">
        <f>IF(AND(T513,AC513&lt;&gt;""),IF(COUNTIFS(AC$2:AC513,AC513,T$2:T513,TRUE)=1,MAX(AD$1:AD512)+1,""),"")</f>
        <v/>
      </c>
    </row>
    <row r="514">
      <c r="A514">
        <f>ROW()</f>
        <v/>
      </c>
      <c r="B514">
        <f>IF(설정!$C$4="","",IFERROR(INDEX('1.산군_붙여넣기'!$A$1:$AZ$1001,ROW(),설정!$C$4)&amp;"",""))</f>
        <v/>
      </c>
      <c r="C514">
        <f>IF(설정!$C$5="","",IFERROR(INDEX('1.산군_붙여넣기'!$A$1:$AZ$1001,ROW(),설정!$C$5)&amp;"",""))</f>
        <v/>
      </c>
      <c r="D514" s="5">
        <f>IFERROR(VALUE(SUBSTITUTE(SUBSTITUTE(SUBSTITUTE(IF(설정!$C$6="","",IFERROR(INDEX('1.산군_붙여넣기'!$A$1:$AZ$1001,ROW(),설정!$C$6)&amp;"","")),",",""),"㎡",""),"m2","")),"")</f>
        <v/>
      </c>
      <c r="E514">
        <f>IF(설정!$C$7="","",IFERROR(INDEX('1.산군_붙여넣기'!$A$1:$AZ$1001,ROW(),설정!$C$7)&amp;"",""))</f>
        <v/>
      </c>
      <c r="F514">
        <f>IF(설정!$C$8="","",IFERROR(INDEX('1.산군_붙여넣기'!$A$1:$AZ$1001,ROW(),설정!$C$8)&amp;"",""))</f>
        <v/>
      </c>
      <c r="G514">
        <f>IF(설정!$C$9="","",IFERROR(INDEX('1.산군_붙여넣기'!$A$1:$AZ$1001,ROW(),설정!$C$9)&amp;"",""))</f>
        <v/>
      </c>
      <c r="H514">
        <f>IF(설정!$C$10="","",IFERROR(INDEX('1.산군_붙여넣기'!$A$1:$AZ$1001,ROW(),설정!$C$10)&amp;"",""))</f>
        <v/>
      </c>
      <c r="I514">
        <f>IF(설정!$C$11="","",IFERROR(INDEX('1.산군_붙여넣기'!$A$1:$AZ$1001,ROW(),설정!$C$11)&amp;"",""))</f>
        <v/>
      </c>
      <c r="J514">
        <f>IF(설정!$C$12="","",IFERROR(INDEX('1.산군_붙여넣기'!$A$1:$AZ$1001,ROW(),설정!$C$12)&amp;"",""))</f>
        <v/>
      </c>
      <c r="K514">
        <f>IF(설정!$C$13="","",IFERROR(INDEX('1.산군_붙여넣기'!$A$1:$AZ$1001,ROW(),설정!$C$13)&amp;"",""))</f>
        <v/>
      </c>
      <c r="L514" s="7">
        <f>IF(X514="","",IF(AND(LEN(X514)=8,ISNUMBER(X514*1)),DATE(LEFT(X514,4),MID(X514,5,2),RIGHT(X514,2)),IFERROR(DATEVALUE(SUBSTITUTE(SUBSTITUTE(X514,".","-"),"/","-")),IFERROR(X514*1,""))))</f>
        <v/>
      </c>
      <c r="M514" s="7">
        <f>IF(Y514="","",IF(AND(LEN(Y514)=8,ISNUMBER(Y514*1)),DATE(LEFT(Y514,4),MID(Y514,5,2),RIGHT(Y514,2)),IFERROR(DATEVALUE(SUBSTITUTE(SUBSTITUTE(Y514,".","-"),"/","-")),IFERROR(Y514*1,""))))</f>
        <v/>
      </c>
      <c r="N514">
        <f>IFERROR(LEFT(B514,FIND(" ",B514)-1),B514)</f>
        <v/>
      </c>
      <c r="O514">
        <f>AND(B514&lt;&gt;"",B514&lt;&gt;설정!$B$4,C514&lt;&gt;설정!$B$5)</f>
        <v/>
      </c>
      <c r="P514">
        <f>IF(O514,B514&amp;"|"&amp;C514,"")</f>
        <v/>
      </c>
      <c r="Q514">
        <f>AND(O514,COUNTIF(P515:P$1002,P514)=0)</f>
        <v/>
      </c>
      <c r="R514">
        <f>OR(AND(설정!$A$42&lt;&gt;"",ISNUMBER(SEARCH(설정!$A$42,E514&amp;" "&amp;C514))),AND(설정!$A$43&lt;&gt;"",ISNUMBER(SEARCH(설정!$A$43,E514&amp;" "&amp;C514))),AND(설정!$A$44&lt;&gt;"",ISNUMBER(SEARCH(설정!$A$44,E514&amp;" "&amp;C514))),AND(설정!$A$45&lt;&gt;"",ISNUMBER(SEARCH(설정!$A$45,E514&amp;" "&amp;C514))),AND(설정!$A$46&lt;&gt;"",ISNUMBER(SEARCH(설정!$A$46,E514&amp;" "&amp;C514))),AND(설정!$A$47&lt;&gt;"",ISNUMBER(SEARCH(설정!$A$47,E514&amp;" "&amp;C514))),AND(설정!$A$48&lt;&gt;"",ISNUMBER(SEARCH(설정!$A$48,E514&amp;" "&amp;C514))),AND(설정!$A$49&lt;&gt;"",ISNUMBER(SEARCH(설정!$A$49,E514&amp;" "&amp;C514))),AND(설정!$A$50&lt;&gt;"",ISNUMBER(SEARCH(설정!$A$50,E514&amp;" "&amp;C514))),AND(설정!$A$51&lt;&gt;"",ISNUMBER(SEARCH(설정!$A$51,E514&amp;" "&amp;C514))))</f>
        <v/>
      </c>
      <c r="S514">
        <f>OR(D514="",D514&gt;=설정!$B$19)</f>
        <v/>
      </c>
      <c r="T514">
        <f>AND(Q514,R514,S514)</f>
        <v/>
      </c>
      <c r="U514">
        <f>IF(T514,IF(AND(설정!$A$54&lt;&gt;"",ISNUMBER(SEARCH(설정!$A$54,K514))),설정!$B$54,IF(AND(설정!$A$55&lt;&gt;"",ISNUMBER(SEARCH(설정!$A$55,K514))),설정!$B$55,IF(AND(설정!$A$56&lt;&gt;"",ISNUMBER(SEARCH(설정!$A$56,K514))),설정!$B$56,IF(AND(설정!$A$57&lt;&gt;"",ISNUMBER(SEARCH(설정!$A$57,K514))),설정!$B$57,IF(AND(설정!$A$58&lt;&gt;"",ISNUMBER(SEARCH(설정!$A$58,K514))),설정!$B$58,IF(AND(설정!$A$59&lt;&gt;"",ISNUMBER(SEARCH(설정!$A$59,K514))),설정!$B$59,IF(AND(설정!$A$60&lt;&gt;"",ISNUMBER(SEARCH(설정!$A$60,K514))),설정!$B$60,IF(AND(설정!$A$61&lt;&gt;"",ISNUMBER(SEARCH(설정!$A$61,K514))),설정!$B$61,IF(M514="","설계사","시공사"))))))))),"")</f>
        <v/>
      </c>
      <c r="V514">
        <f>SUBSTITUTE(SUBSTITUTE(SUBSTITUTE(SUBSTITUTE(G514,"(주)",""),"㈜",""),"주식회사","")," ","")</f>
        <v/>
      </c>
      <c r="W514">
        <f>IF(AND(T514,V514&lt;&gt;""),IF(COUNTIFS(V$2:V514,V514,T$2:T514,TRUE)=1,MAX(W$1:W513)+1,""),"")</f>
        <v/>
      </c>
      <c r="X514">
        <f>IF(설정!$C$14="","",IFERROR(INDEX('1.산군_붙여넣기'!$A$1:$AZ$1001,ROW(),설정!$C$14)&amp;"",""))</f>
        <v/>
      </c>
      <c r="Y514">
        <f>IF(설정!$C$15="","",IFERROR(INDEX('1.산군_붙여넣기'!$A$1:$AZ$1001,ROW(),설정!$C$15)&amp;"",""))</f>
        <v/>
      </c>
      <c r="Z514">
        <f>IF(T514,V514&amp;"|"&amp;U514,"")</f>
        <v/>
      </c>
      <c r="AA514">
        <f>IF(NOT(Q514),"",IF(NOT(AND(R514,S514)),"✕",IF(OR(OR(AND(L514&lt;&gt;"",M514&lt;&gt;"",N(M514)-N(L514)&gt;설정!$B$27),AND(L514&lt;&gt;"",M514="",설정!$B$24-N(L514)&gt;설정!$B$27)),AND(D514&lt;&gt;"",D514&lt;설정!$B$26)),"△","★")))</f>
        <v/>
      </c>
      <c r="AB514">
        <f>IF(NOT(T514),"",IF(U514="설계사",설정!$B$31,IF(U514="시공사",IF(OR(M514="",설정!$B$24-N(M514)&lt;=설정!$B$28*30.4),설정!$B$32,설정!$B$33),설정!$B$34))+IF(AA514="★",설정!$B$35,0))</f>
        <v/>
      </c>
      <c r="AC514">
        <f>SUBSTITUTE(SUBSTITUTE(SUBSTITUTE(SUBSTITUTE(H514,"(주)",""),"㈜",""),"주식회사","")," ","")</f>
        <v/>
      </c>
      <c r="AD514">
        <f>IF(AND(T514,AC514&lt;&gt;""),IF(COUNTIFS(AC$2:AC514,AC514,T$2:T514,TRUE)=1,MAX(AD$1:AD513)+1,""),"")</f>
        <v/>
      </c>
    </row>
    <row r="515">
      <c r="A515">
        <f>ROW()</f>
        <v/>
      </c>
      <c r="B515">
        <f>IF(설정!$C$4="","",IFERROR(INDEX('1.산군_붙여넣기'!$A$1:$AZ$1001,ROW(),설정!$C$4)&amp;"",""))</f>
        <v/>
      </c>
      <c r="C515">
        <f>IF(설정!$C$5="","",IFERROR(INDEX('1.산군_붙여넣기'!$A$1:$AZ$1001,ROW(),설정!$C$5)&amp;"",""))</f>
        <v/>
      </c>
      <c r="D515" s="5">
        <f>IFERROR(VALUE(SUBSTITUTE(SUBSTITUTE(SUBSTITUTE(IF(설정!$C$6="","",IFERROR(INDEX('1.산군_붙여넣기'!$A$1:$AZ$1001,ROW(),설정!$C$6)&amp;"","")),",",""),"㎡",""),"m2","")),"")</f>
        <v/>
      </c>
      <c r="E515">
        <f>IF(설정!$C$7="","",IFERROR(INDEX('1.산군_붙여넣기'!$A$1:$AZ$1001,ROW(),설정!$C$7)&amp;"",""))</f>
        <v/>
      </c>
      <c r="F515">
        <f>IF(설정!$C$8="","",IFERROR(INDEX('1.산군_붙여넣기'!$A$1:$AZ$1001,ROW(),설정!$C$8)&amp;"",""))</f>
        <v/>
      </c>
      <c r="G515">
        <f>IF(설정!$C$9="","",IFERROR(INDEX('1.산군_붙여넣기'!$A$1:$AZ$1001,ROW(),설정!$C$9)&amp;"",""))</f>
        <v/>
      </c>
      <c r="H515">
        <f>IF(설정!$C$10="","",IFERROR(INDEX('1.산군_붙여넣기'!$A$1:$AZ$1001,ROW(),설정!$C$10)&amp;"",""))</f>
        <v/>
      </c>
      <c r="I515">
        <f>IF(설정!$C$11="","",IFERROR(INDEX('1.산군_붙여넣기'!$A$1:$AZ$1001,ROW(),설정!$C$11)&amp;"",""))</f>
        <v/>
      </c>
      <c r="J515">
        <f>IF(설정!$C$12="","",IFERROR(INDEX('1.산군_붙여넣기'!$A$1:$AZ$1001,ROW(),설정!$C$12)&amp;"",""))</f>
        <v/>
      </c>
      <c r="K515">
        <f>IF(설정!$C$13="","",IFERROR(INDEX('1.산군_붙여넣기'!$A$1:$AZ$1001,ROW(),설정!$C$13)&amp;"",""))</f>
        <v/>
      </c>
      <c r="L515" s="7">
        <f>IF(X515="","",IF(AND(LEN(X515)=8,ISNUMBER(X515*1)),DATE(LEFT(X515,4),MID(X515,5,2),RIGHT(X515,2)),IFERROR(DATEVALUE(SUBSTITUTE(SUBSTITUTE(X515,".","-"),"/","-")),IFERROR(X515*1,""))))</f>
        <v/>
      </c>
      <c r="M515" s="7">
        <f>IF(Y515="","",IF(AND(LEN(Y515)=8,ISNUMBER(Y515*1)),DATE(LEFT(Y515,4),MID(Y515,5,2),RIGHT(Y515,2)),IFERROR(DATEVALUE(SUBSTITUTE(SUBSTITUTE(Y515,".","-"),"/","-")),IFERROR(Y515*1,""))))</f>
        <v/>
      </c>
      <c r="N515">
        <f>IFERROR(LEFT(B515,FIND(" ",B515)-1),B515)</f>
        <v/>
      </c>
      <c r="O515">
        <f>AND(B515&lt;&gt;"",B515&lt;&gt;설정!$B$4,C515&lt;&gt;설정!$B$5)</f>
        <v/>
      </c>
      <c r="P515">
        <f>IF(O515,B515&amp;"|"&amp;C515,"")</f>
        <v/>
      </c>
      <c r="Q515">
        <f>AND(O515,COUNTIF(P516:P$1002,P515)=0)</f>
        <v/>
      </c>
      <c r="R515">
        <f>OR(AND(설정!$A$42&lt;&gt;"",ISNUMBER(SEARCH(설정!$A$42,E515&amp;" "&amp;C515))),AND(설정!$A$43&lt;&gt;"",ISNUMBER(SEARCH(설정!$A$43,E515&amp;" "&amp;C515))),AND(설정!$A$44&lt;&gt;"",ISNUMBER(SEARCH(설정!$A$44,E515&amp;" "&amp;C515))),AND(설정!$A$45&lt;&gt;"",ISNUMBER(SEARCH(설정!$A$45,E515&amp;" "&amp;C515))),AND(설정!$A$46&lt;&gt;"",ISNUMBER(SEARCH(설정!$A$46,E515&amp;" "&amp;C515))),AND(설정!$A$47&lt;&gt;"",ISNUMBER(SEARCH(설정!$A$47,E515&amp;" "&amp;C515))),AND(설정!$A$48&lt;&gt;"",ISNUMBER(SEARCH(설정!$A$48,E515&amp;" "&amp;C515))),AND(설정!$A$49&lt;&gt;"",ISNUMBER(SEARCH(설정!$A$49,E515&amp;" "&amp;C515))),AND(설정!$A$50&lt;&gt;"",ISNUMBER(SEARCH(설정!$A$50,E515&amp;" "&amp;C515))),AND(설정!$A$51&lt;&gt;"",ISNUMBER(SEARCH(설정!$A$51,E515&amp;" "&amp;C515))))</f>
        <v/>
      </c>
      <c r="S515">
        <f>OR(D515="",D515&gt;=설정!$B$19)</f>
        <v/>
      </c>
      <c r="T515">
        <f>AND(Q515,R515,S515)</f>
        <v/>
      </c>
      <c r="U515">
        <f>IF(T515,IF(AND(설정!$A$54&lt;&gt;"",ISNUMBER(SEARCH(설정!$A$54,K515))),설정!$B$54,IF(AND(설정!$A$55&lt;&gt;"",ISNUMBER(SEARCH(설정!$A$55,K515))),설정!$B$55,IF(AND(설정!$A$56&lt;&gt;"",ISNUMBER(SEARCH(설정!$A$56,K515))),설정!$B$56,IF(AND(설정!$A$57&lt;&gt;"",ISNUMBER(SEARCH(설정!$A$57,K515))),설정!$B$57,IF(AND(설정!$A$58&lt;&gt;"",ISNUMBER(SEARCH(설정!$A$58,K515))),설정!$B$58,IF(AND(설정!$A$59&lt;&gt;"",ISNUMBER(SEARCH(설정!$A$59,K515))),설정!$B$59,IF(AND(설정!$A$60&lt;&gt;"",ISNUMBER(SEARCH(설정!$A$60,K515))),설정!$B$60,IF(AND(설정!$A$61&lt;&gt;"",ISNUMBER(SEARCH(설정!$A$61,K515))),설정!$B$61,IF(M515="","설계사","시공사"))))))))),"")</f>
        <v/>
      </c>
      <c r="V515">
        <f>SUBSTITUTE(SUBSTITUTE(SUBSTITUTE(SUBSTITUTE(G515,"(주)",""),"㈜",""),"주식회사","")," ","")</f>
        <v/>
      </c>
      <c r="W515">
        <f>IF(AND(T515,V515&lt;&gt;""),IF(COUNTIFS(V$2:V515,V515,T$2:T515,TRUE)=1,MAX(W$1:W514)+1,""),"")</f>
        <v/>
      </c>
      <c r="X515">
        <f>IF(설정!$C$14="","",IFERROR(INDEX('1.산군_붙여넣기'!$A$1:$AZ$1001,ROW(),설정!$C$14)&amp;"",""))</f>
        <v/>
      </c>
      <c r="Y515">
        <f>IF(설정!$C$15="","",IFERROR(INDEX('1.산군_붙여넣기'!$A$1:$AZ$1001,ROW(),설정!$C$15)&amp;"",""))</f>
        <v/>
      </c>
      <c r="Z515">
        <f>IF(T515,V515&amp;"|"&amp;U515,"")</f>
        <v/>
      </c>
      <c r="AA515">
        <f>IF(NOT(Q515),"",IF(NOT(AND(R515,S515)),"✕",IF(OR(OR(AND(L515&lt;&gt;"",M515&lt;&gt;"",N(M515)-N(L515)&gt;설정!$B$27),AND(L515&lt;&gt;"",M515="",설정!$B$24-N(L515)&gt;설정!$B$27)),AND(D515&lt;&gt;"",D515&lt;설정!$B$26)),"△","★")))</f>
        <v/>
      </c>
      <c r="AB515">
        <f>IF(NOT(T515),"",IF(U515="설계사",설정!$B$31,IF(U515="시공사",IF(OR(M515="",설정!$B$24-N(M515)&lt;=설정!$B$28*30.4),설정!$B$32,설정!$B$33),설정!$B$34))+IF(AA515="★",설정!$B$35,0))</f>
        <v/>
      </c>
      <c r="AC515">
        <f>SUBSTITUTE(SUBSTITUTE(SUBSTITUTE(SUBSTITUTE(H515,"(주)",""),"㈜",""),"주식회사","")," ","")</f>
        <v/>
      </c>
      <c r="AD515">
        <f>IF(AND(T515,AC515&lt;&gt;""),IF(COUNTIFS(AC$2:AC515,AC515,T$2:T515,TRUE)=1,MAX(AD$1:AD514)+1,""),"")</f>
        <v/>
      </c>
    </row>
    <row r="516">
      <c r="A516">
        <f>ROW()</f>
        <v/>
      </c>
      <c r="B516">
        <f>IF(설정!$C$4="","",IFERROR(INDEX('1.산군_붙여넣기'!$A$1:$AZ$1001,ROW(),설정!$C$4)&amp;"",""))</f>
        <v/>
      </c>
      <c r="C516">
        <f>IF(설정!$C$5="","",IFERROR(INDEX('1.산군_붙여넣기'!$A$1:$AZ$1001,ROW(),설정!$C$5)&amp;"",""))</f>
        <v/>
      </c>
      <c r="D516" s="5">
        <f>IFERROR(VALUE(SUBSTITUTE(SUBSTITUTE(SUBSTITUTE(IF(설정!$C$6="","",IFERROR(INDEX('1.산군_붙여넣기'!$A$1:$AZ$1001,ROW(),설정!$C$6)&amp;"","")),",",""),"㎡",""),"m2","")),"")</f>
        <v/>
      </c>
      <c r="E516">
        <f>IF(설정!$C$7="","",IFERROR(INDEX('1.산군_붙여넣기'!$A$1:$AZ$1001,ROW(),설정!$C$7)&amp;"",""))</f>
        <v/>
      </c>
      <c r="F516">
        <f>IF(설정!$C$8="","",IFERROR(INDEX('1.산군_붙여넣기'!$A$1:$AZ$1001,ROW(),설정!$C$8)&amp;"",""))</f>
        <v/>
      </c>
      <c r="G516">
        <f>IF(설정!$C$9="","",IFERROR(INDEX('1.산군_붙여넣기'!$A$1:$AZ$1001,ROW(),설정!$C$9)&amp;"",""))</f>
        <v/>
      </c>
      <c r="H516">
        <f>IF(설정!$C$10="","",IFERROR(INDEX('1.산군_붙여넣기'!$A$1:$AZ$1001,ROW(),설정!$C$10)&amp;"",""))</f>
        <v/>
      </c>
      <c r="I516">
        <f>IF(설정!$C$11="","",IFERROR(INDEX('1.산군_붙여넣기'!$A$1:$AZ$1001,ROW(),설정!$C$11)&amp;"",""))</f>
        <v/>
      </c>
      <c r="J516">
        <f>IF(설정!$C$12="","",IFERROR(INDEX('1.산군_붙여넣기'!$A$1:$AZ$1001,ROW(),설정!$C$12)&amp;"",""))</f>
        <v/>
      </c>
      <c r="K516">
        <f>IF(설정!$C$13="","",IFERROR(INDEX('1.산군_붙여넣기'!$A$1:$AZ$1001,ROW(),설정!$C$13)&amp;"",""))</f>
        <v/>
      </c>
      <c r="L516" s="7">
        <f>IF(X516="","",IF(AND(LEN(X516)=8,ISNUMBER(X516*1)),DATE(LEFT(X516,4),MID(X516,5,2),RIGHT(X516,2)),IFERROR(DATEVALUE(SUBSTITUTE(SUBSTITUTE(X516,".","-"),"/","-")),IFERROR(X516*1,""))))</f>
        <v/>
      </c>
      <c r="M516" s="7">
        <f>IF(Y516="","",IF(AND(LEN(Y516)=8,ISNUMBER(Y516*1)),DATE(LEFT(Y516,4),MID(Y516,5,2),RIGHT(Y516,2)),IFERROR(DATEVALUE(SUBSTITUTE(SUBSTITUTE(Y516,".","-"),"/","-")),IFERROR(Y516*1,""))))</f>
        <v/>
      </c>
      <c r="N516">
        <f>IFERROR(LEFT(B516,FIND(" ",B516)-1),B516)</f>
        <v/>
      </c>
      <c r="O516">
        <f>AND(B516&lt;&gt;"",B516&lt;&gt;설정!$B$4,C516&lt;&gt;설정!$B$5)</f>
        <v/>
      </c>
      <c r="P516">
        <f>IF(O516,B516&amp;"|"&amp;C516,"")</f>
        <v/>
      </c>
      <c r="Q516">
        <f>AND(O516,COUNTIF(P517:P$1002,P516)=0)</f>
        <v/>
      </c>
      <c r="R516">
        <f>OR(AND(설정!$A$42&lt;&gt;"",ISNUMBER(SEARCH(설정!$A$42,E516&amp;" "&amp;C516))),AND(설정!$A$43&lt;&gt;"",ISNUMBER(SEARCH(설정!$A$43,E516&amp;" "&amp;C516))),AND(설정!$A$44&lt;&gt;"",ISNUMBER(SEARCH(설정!$A$44,E516&amp;" "&amp;C516))),AND(설정!$A$45&lt;&gt;"",ISNUMBER(SEARCH(설정!$A$45,E516&amp;" "&amp;C516))),AND(설정!$A$46&lt;&gt;"",ISNUMBER(SEARCH(설정!$A$46,E516&amp;" "&amp;C516))),AND(설정!$A$47&lt;&gt;"",ISNUMBER(SEARCH(설정!$A$47,E516&amp;" "&amp;C516))),AND(설정!$A$48&lt;&gt;"",ISNUMBER(SEARCH(설정!$A$48,E516&amp;" "&amp;C516))),AND(설정!$A$49&lt;&gt;"",ISNUMBER(SEARCH(설정!$A$49,E516&amp;" "&amp;C516))),AND(설정!$A$50&lt;&gt;"",ISNUMBER(SEARCH(설정!$A$50,E516&amp;" "&amp;C516))),AND(설정!$A$51&lt;&gt;"",ISNUMBER(SEARCH(설정!$A$51,E516&amp;" "&amp;C516))))</f>
        <v/>
      </c>
      <c r="S516">
        <f>OR(D516="",D516&gt;=설정!$B$19)</f>
        <v/>
      </c>
      <c r="T516">
        <f>AND(Q516,R516,S516)</f>
        <v/>
      </c>
      <c r="U516">
        <f>IF(T516,IF(AND(설정!$A$54&lt;&gt;"",ISNUMBER(SEARCH(설정!$A$54,K516))),설정!$B$54,IF(AND(설정!$A$55&lt;&gt;"",ISNUMBER(SEARCH(설정!$A$55,K516))),설정!$B$55,IF(AND(설정!$A$56&lt;&gt;"",ISNUMBER(SEARCH(설정!$A$56,K516))),설정!$B$56,IF(AND(설정!$A$57&lt;&gt;"",ISNUMBER(SEARCH(설정!$A$57,K516))),설정!$B$57,IF(AND(설정!$A$58&lt;&gt;"",ISNUMBER(SEARCH(설정!$A$58,K516))),설정!$B$58,IF(AND(설정!$A$59&lt;&gt;"",ISNUMBER(SEARCH(설정!$A$59,K516))),설정!$B$59,IF(AND(설정!$A$60&lt;&gt;"",ISNUMBER(SEARCH(설정!$A$60,K516))),설정!$B$60,IF(AND(설정!$A$61&lt;&gt;"",ISNUMBER(SEARCH(설정!$A$61,K516))),설정!$B$61,IF(M516="","설계사","시공사"))))))))),"")</f>
        <v/>
      </c>
      <c r="V516">
        <f>SUBSTITUTE(SUBSTITUTE(SUBSTITUTE(SUBSTITUTE(G516,"(주)",""),"㈜",""),"주식회사","")," ","")</f>
        <v/>
      </c>
      <c r="W516">
        <f>IF(AND(T516,V516&lt;&gt;""),IF(COUNTIFS(V$2:V516,V516,T$2:T516,TRUE)=1,MAX(W$1:W515)+1,""),"")</f>
        <v/>
      </c>
      <c r="X516">
        <f>IF(설정!$C$14="","",IFERROR(INDEX('1.산군_붙여넣기'!$A$1:$AZ$1001,ROW(),설정!$C$14)&amp;"",""))</f>
        <v/>
      </c>
      <c r="Y516">
        <f>IF(설정!$C$15="","",IFERROR(INDEX('1.산군_붙여넣기'!$A$1:$AZ$1001,ROW(),설정!$C$15)&amp;"",""))</f>
        <v/>
      </c>
      <c r="Z516">
        <f>IF(T516,V516&amp;"|"&amp;U516,"")</f>
        <v/>
      </c>
      <c r="AA516">
        <f>IF(NOT(Q516),"",IF(NOT(AND(R516,S516)),"✕",IF(OR(OR(AND(L516&lt;&gt;"",M516&lt;&gt;"",N(M516)-N(L516)&gt;설정!$B$27),AND(L516&lt;&gt;"",M516="",설정!$B$24-N(L516)&gt;설정!$B$27)),AND(D516&lt;&gt;"",D516&lt;설정!$B$26)),"△","★")))</f>
        <v/>
      </c>
      <c r="AB516">
        <f>IF(NOT(T516),"",IF(U516="설계사",설정!$B$31,IF(U516="시공사",IF(OR(M516="",설정!$B$24-N(M516)&lt;=설정!$B$28*30.4),설정!$B$32,설정!$B$33),설정!$B$34))+IF(AA516="★",설정!$B$35,0))</f>
        <v/>
      </c>
      <c r="AC516">
        <f>SUBSTITUTE(SUBSTITUTE(SUBSTITUTE(SUBSTITUTE(H516,"(주)",""),"㈜",""),"주식회사","")," ","")</f>
        <v/>
      </c>
      <c r="AD516">
        <f>IF(AND(T516,AC516&lt;&gt;""),IF(COUNTIFS(AC$2:AC516,AC516,T$2:T516,TRUE)=1,MAX(AD$1:AD515)+1,""),"")</f>
        <v/>
      </c>
    </row>
    <row r="517">
      <c r="A517">
        <f>ROW()</f>
        <v/>
      </c>
      <c r="B517">
        <f>IF(설정!$C$4="","",IFERROR(INDEX('1.산군_붙여넣기'!$A$1:$AZ$1001,ROW(),설정!$C$4)&amp;"",""))</f>
        <v/>
      </c>
      <c r="C517">
        <f>IF(설정!$C$5="","",IFERROR(INDEX('1.산군_붙여넣기'!$A$1:$AZ$1001,ROW(),설정!$C$5)&amp;"",""))</f>
        <v/>
      </c>
      <c r="D517" s="5">
        <f>IFERROR(VALUE(SUBSTITUTE(SUBSTITUTE(SUBSTITUTE(IF(설정!$C$6="","",IFERROR(INDEX('1.산군_붙여넣기'!$A$1:$AZ$1001,ROW(),설정!$C$6)&amp;"","")),",",""),"㎡",""),"m2","")),"")</f>
        <v/>
      </c>
      <c r="E517">
        <f>IF(설정!$C$7="","",IFERROR(INDEX('1.산군_붙여넣기'!$A$1:$AZ$1001,ROW(),설정!$C$7)&amp;"",""))</f>
        <v/>
      </c>
      <c r="F517">
        <f>IF(설정!$C$8="","",IFERROR(INDEX('1.산군_붙여넣기'!$A$1:$AZ$1001,ROW(),설정!$C$8)&amp;"",""))</f>
        <v/>
      </c>
      <c r="G517">
        <f>IF(설정!$C$9="","",IFERROR(INDEX('1.산군_붙여넣기'!$A$1:$AZ$1001,ROW(),설정!$C$9)&amp;"",""))</f>
        <v/>
      </c>
      <c r="H517">
        <f>IF(설정!$C$10="","",IFERROR(INDEX('1.산군_붙여넣기'!$A$1:$AZ$1001,ROW(),설정!$C$10)&amp;"",""))</f>
        <v/>
      </c>
      <c r="I517">
        <f>IF(설정!$C$11="","",IFERROR(INDEX('1.산군_붙여넣기'!$A$1:$AZ$1001,ROW(),설정!$C$11)&amp;"",""))</f>
        <v/>
      </c>
      <c r="J517">
        <f>IF(설정!$C$12="","",IFERROR(INDEX('1.산군_붙여넣기'!$A$1:$AZ$1001,ROW(),설정!$C$12)&amp;"",""))</f>
        <v/>
      </c>
      <c r="K517">
        <f>IF(설정!$C$13="","",IFERROR(INDEX('1.산군_붙여넣기'!$A$1:$AZ$1001,ROW(),설정!$C$13)&amp;"",""))</f>
        <v/>
      </c>
      <c r="L517" s="7">
        <f>IF(X517="","",IF(AND(LEN(X517)=8,ISNUMBER(X517*1)),DATE(LEFT(X517,4),MID(X517,5,2),RIGHT(X517,2)),IFERROR(DATEVALUE(SUBSTITUTE(SUBSTITUTE(X517,".","-"),"/","-")),IFERROR(X517*1,""))))</f>
        <v/>
      </c>
      <c r="M517" s="7">
        <f>IF(Y517="","",IF(AND(LEN(Y517)=8,ISNUMBER(Y517*1)),DATE(LEFT(Y517,4),MID(Y517,5,2),RIGHT(Y517,2)),IFERROR(DATEVALUE(SUBSTITUTE(SUBSTITUTE(Y517,".","-"),"/","-")),IFERROR(Y517*1,""))))</f>
        <v/>
      </c>
      <c r="N517">
        <f>IFERROR(LEFT(B517,FIND(" ",B517)-1),B517)</f>
        <v/>
      </c>
      <c r="O517">
        <f>AND(B517&lt;&gt;"",B517&lt;&gt;설정!$B$4,C517&lt;&gt;설정!$B$5)</f>
        <v/>
      </c>
      <c r="P517">
        <f>IF(O517,B517&amp;"|"&amp;C517,"")</f>
        <v/>
      </c>
      <c r="Q517">
        <f>AND(O517,COUNTIF(P518:P$1002,P517)=0)</f>
        <v/>
      </c>
      <c r="R517">
        <f>OR(AND(설정!$A$42&lt;&gt;"",ISNUMBER(SEARCH(설정!$A$42,E517&amp;" "&amp;C517))),AND(설정!$A$43&lt;&gt;"",ISNUMBER(SEARCH(설정!$A$43,E517&amp;" "&amp;C517))),AND(설정!$A$44&lt;&gt;"",ISNUMBER(SEARCH(설정!$A$44,E517&amp;" "&amp;C517))),AND(설정!$A$45&lt;&gt;"",ISNUMBER(SEARCH(설정!$A$45,E517&amp;" "&amp;C517))),AND(설정!$A$46&lt;&gt;"",ISNUMBER(SEARCH(설정!$A$46,E517&amp;" "&amp;C517))),AND(설정!$A$47&lt;&gt;"",ISNUMBER(SEARCH(설정!$A$47,E517&amp;" "&amp;C517))),AND(설정!$A$48&lt;&gt;"",ISNUMBER(SEARCH(설정!$A$48,E517&amp;" "&amp;C517))),AND(설정!$A$49&lt;&gt;"",ISNUMBER(SEARCH(설정!$A$49,E517&amp;" "&amp;C517))),AND(설정!$A$50&lt;&gt;"",ISNUMBER(SEARCH(설정!$A$50,E517&amp;" "&amp;C517))),AND(설정!$A$51&lt;&gt;"",ISNUMBER(SEARCH(설정!$A$51,E517&amp;" "&amp;C517))))</f>
        <v/>
      </c>
      <c r="S517">
        <f>OR(D517="",D517&gt;=설정!$B$19)</f>
        <v/>
      </c>
      <c r="T517">
        <f>AND(Q517,R517,S517)</f>
        <v/>
      </c>
      <c r="U517">
        <f>IF(T517,IF(AND(설정!$A$54&lt;&gt;"",ISNUMBER(SEARCH(설정!$A$54,K517))),설정!$B$54,IF(AND(설정!$A$55&lt;&gt;"",ISNUMBER(SEARCH(설정!$A$55,K517))),설정!$B$55,IF(AND(설정!$A$56&lt;&gt;"",ISNUMBER(SEARCH(설정!$A$56,K517))),설정!$B$56,IF(AND(설정!$A$57&lt;&gt;"",ISNUMBER(SEARCH(설정!$A$57,K517))),설정!$B$57,IF(AND(설정!$A$58&lt;&gt;"",ISNUMBER(SEARCH(설정!$A$58,K517))),설정!$B$58,IF(AND(설정!$A$59&lt;&gt;"",ISNUMBER(SEARCH(설정!$A$59,K517))),설정!$B$59,IF(AND(설정!$A$60&lt;&gt;"",ISNUMBER(SEARCH(설정!$A$60,K517))),설정!$B$60,IF(AND(설정!$A$61&lt;&gt;"",ISNUMBER(SEARCH(설정!$A$61,K517))),설정!$B$61,IF(M517="","설계사","시공사"))))))))),"")</f>
        <v/>
      </c>
      <c r="V517">
        <f>SUBSTITUTE(SUBSTITUTE(SUBSTITUTE(SUBSTITUTE(G517,"(주)",""),"㈜",""),"주식회사","")," ","")</f>
        <v/>
      </c>
      <c r="W517">
        <f>IF(AND(T517,V517&lt;&gt;""),IF(COUNTIFS(V$2:V517,V517,T$2:T517,TRUE)=1,MAX(W$1:W516)+1,""),"")</f>
        <v/>
      </c>
      <c r="X517">
        <f>IF(설정!$C$14="","",IFERROR(INDEX('1.산군_붙여넣기'!$A$1:$AZ$1001,ROW(),설정!$C$14)&amp;"",""))</f>
        <v/>
      </c>
      <c r="Y517">
        <f>IF(설정!$C$15="","",IFERROR(INDEX('1.산군_붙여넣기'!$A$1:$AZ$1001,ROW(),설정!$C$15)&amp;"",""))</f>
        <v/>
      </c>
      <c r="Z517">
        <f>IF(T517,V517&amp;"|"&amp;U517,"")</f>
        <v/>
      </c>
      <c r="AA517">
        <f>IF(NOT(Q517),"",IF(NOT(AND(R517,S517)),"✕",IF(OR(OR(AND(L517&lt;&gt;"",M517&lt;&gt;"",N(M517)-N(L517)&gt;설정!$B$27),AND(L517&lt;&gt;"",M517="",설정!$B$24-N(L517)&gt;설정!$B$27)),AND(D517&lt;&gt;"",D517&lt;설정!$B$26)),"△","★")))</f>
        <v/>
      </c>
      <c r="AB517">
        <f>IF(NOT(T517),"",IF(U517="설계사",설정!$B$31,IF(U517="시공사",IF(OR(M517="",설정!$B$24-N(M517)&lt;=설정!$B$28*30.4),설정!$B$32,설정!$B$33),설정!$B$34))+IF(AA517="★",설정!$B$35,0))</f>
        <v/>
      </c>
      <c r="AC517">
        <f>SUBSTITUTE(SUBSTITUTE(SUBSTITUTE(SUBSTITUTE(H517,"(주)",""),"㈜",""),"주식회사","")," ","")</f>
        <v/>
      </c>
      <c r="AD517">
        <f>IF(AND(T517,AC517&lt;&gt;""),IF(COUNTIFS(AC$2:AC517,AC517,T$2:T517,TRUE)=1,MAX(AD$1:AD516)+1,""),"")</f>
        <v/>
      </c>
    </row>
    <row r="518">
      <c r="A518">
        <f>ROW()</f>
        <v/>
      </c>
      <c r="B518">
        <f>IF(설정!$C$4="","",IFERROR(INDEX('1.산군_붙여넣기'!$A$1:$AZ$1001,ROW(),설정!$C$4)&amp;"",""))</f>
        <v/>
      </c>
      <c r="C518">
        <f>IF(설정!$C$5="","",IFERROR(INDEX('1.산군_붙여넣기'!$A$1:$AZ$1001,ROW(),설정!$C$5)&amp;"",""))</f>
        <v/>
      </c>
      <c r="D518" s="5">
        <f>IFERROR(VALUE(SUBSTITUTE(SUBSTITUTE(SUBSTITUTE(IF(설정!$C$6="","",IFERROR(INDEX('1.산군_붙여넣기'!$A$1:$AZ$1001,ROW(),설정!$C$6)&amp;"","")),",",""),"㎡",""),"m2","")),"")</f>
        <v/>
      </c>
      <c r="E518">
        <f>IF(설정!$C$7="","",IFERROR(INDEX('1.산군_붙여넣기'!$A$1:$AZ$1001,ROW(),설정!$C$7)&amp;"",""))</f>
        <v/>
      </c>
      <c r="F518">
        <f>IF(설정!$C$8="","",IFERROR(INDEX('1.산군_붙여넣기'!$A$1:$AZ$1001,ROW(),설정!$C$8)&amp;"",""))</f>
        <v/>
      </c>
      <c r="G518">
        <f>IF(설정!$C$9="","",IFERROR(INDEX('1.산군_붙여넣기'!$A$1:$AZ$1001,ROW(),설정!$C$9)&amp;"",""))</f>
        <v/>
      </c>
      <c r="H518">
        <f>IF(설정!$C$10="","",IFERROR(INDEX('1.산군_붙여넣기'!$A$1:$AZ$1001,ROW(),설정!$C$10)&amp;"",""))</f>
        <v/>
      </c>
      <c r="I518">
        <f>IF(설정!$C$11="","",IFERROR(INDEX('1.산군_붙여넣기'!$A$1:$AZ$1001,ROW(),설정!$C$11)&amp;"",""))</f>
        <v/>
      </c>
      <c r="J518">
        <f>IF(설정!$C$12="","",IFERROR(INDEX('1.산군_붙여넣기'!$A$1:$AZ$1001,ROW(),설정!$C$12)&amp;"",""))</f>
        <v/>
      </c>
      <c r="K518">
        <f>IF(설정!$C$13="","",IFERROR(INDEX('1.산군_붙여넣기'!$A$1:$AZ$1001,ROW(),설정!$C$13)&amp;"",""))</f>
        <v/>
      </c>
      <c r="L518" s="7">
        <f>IF(X518="","",IF(AND(LEN(X518)=8,ISNUMBER(X518*1)),DATE(LEFT(X518,4),MID(X518,5,2),RIGHT(X518,2)),IFERROR(DATEVALUE(SUBSTITUTE(SUBSTITUTE(X518,".","-"),"/","-")),IFERROR(X518*1,""))))</f>
        <v/>
      </c>
      <c r="M518" s="7">
        <f>IF(Y518="","",IF(AND(LEN(Y518)=8,ISNUMBER(Y518*1)),DATE(LEFT(Y518,4),MID(Y518,5,2),RIGHT(Y518,2)),IFERROR(DATEVALUE(SUBSTITUTE(SUBSTITUTE(Y518,".","-"),"/","-")),IFERROR(Y518*1,""))))</f>
        <v/>
      </c>
      <c r="N518">
        <f>IFERROR(LEFT(B518,FIND(" ",B518)-1),B518)</f>
        <v/>
      </c>
      <c r="O518">
        <f>AND(B518&lt;&gt;"",B518&lt;&gt;설정!$B$4,C518&lt;&gt;설정!$B$5)</f>
        <v/>
      </c>
      <c r="P518">
        <f>IF(O518,B518&amp;"|"&amp;C518,"")</f>
        <v/>
      </c>
      <c r="Q518">
        <f>AND(O518,COUNTIF(P519:P$1002,P518)=0)</f>
        <v/>
      </c>
      <c r="R518">
        <f>OR(AND(설정!$A$42&lt;&gt;"",ISNUMBER(SEARCH(설정!$A$42,E518&amp;" "&amp;C518))),AND(설정!$A$43&lt;&gt;"",ISNUMBER(SEARCH(설정!$A$43,E518&amp;" "&amp;C518))),AND(설정!$A$44&lt;&gt;"",ISNUMBER(SEARCH(설정!$A$44,E518&amp;" "&amp;C518))),AND(설정!$A$45&lt;&gt;"",ISNUMBER(SEARCH(설정!$A$45,E518&amp;" "&amp;C518))),AND(설정!$A$46&lt;&gt;"",ISNUMBER(SEARCH(설정!$A$46,E518&amp;" "&amp;C518))),AND(설정!$A$47&lt;&gt;"",ISNUMBER(SEARCH(설정!$A$47,E518&amp;" "&amp;C518))),AND(설정!$A$48&lt;&gt;"",ISNUMBER(SEARCH(설정!$A$48,E518&amp;" "&amp;C518))),AND(설정!$A$49&lt;&gt;"",ISNUMBER(SEARCH(설정!$A$49,E518&amp;" "&amp;C518))),AND(설정!$A$50&lt;&gt;"",ISNUMBER(SEARCH(설정!$A$50,E518&amp;" "&amp;C518))),AND(설정!$A$51&lt;&gt;"",ISNUMBER(SEARCH(설정!$A$51,E518&amp;" "&amp;C518))))</f>
        <v/>
      </c>
      <c r="S518">
        <f>OR(D518="",D518&gt;=설정!$B$19)</f>
        <v/>
      </c>
      <c r="T518">
        <f>AND(Q518,R518,S518)</f>
        <v/>
      </c>
      <c r="U518">
        <f>IF(T518,IF(AND(설정!$A$54&lt;&gt;"",ISNUMBER(SEARCH(설정!$A$54,K518))),설정!$B$54,IF(AND(설정!$A$55&lt;&gt;"",ISNUMBER(SEARCH(설정!$A$55,K518))),설정!$B$55,IF(AND(설정!$A$56&lt;&gt;"",ISNUMBER(SEARCH(설정!$A$56,K518))),설정!$B$56,IF(AND(설정!$A$57&lt;&gt;"",ISNUMBER(SEARCH(설정!$A$57,K518))),설정!$B$57,IF(AND(설정!$A$58&lt;&gt;"",ISNUMBER(SEARCH(설정!$A$58,K518))),설정!$B$58,IF(AND(설정!$A$59&lt;&gt;"",ISNUMBER(SEARCH(설정!$A$59,K518))),설정!$B$59,IF(AND(설정!$A$60&lt;&gt;"",ISNUMBER(SEARCH(설정!$A$60,K518))),설정!$B$60,IF(AND(설정!$A$61&lt;&gt;"",ISNUMBER(SEARCH(설정!$A$61,K518))),설정!$B$61,IF(M518="","설계사","시공사"))))))))),"")</f>
        <v/>
      </c>
      <c r="V518">
        <f>SUBSTITUTE(SUBSTITUTE(SUBSTITUTE(SUBSTITUTE(G518,"(주)",""),"㈜",""),"주식회사","")," ","")</f>
        <v/>
      </c>
      <c r="W518">
        <f>IF(AND(T518,V518&lt;&gt;""),IF(COUNTIFS(V$2:V518,V518,T$2:T518,TRUE)=1,MAX(W$1:W517)+1,""),"")</f>
        <v/>
      </c>
      <c r="X518">
        <f>IF(설정!$C$14="","",IFERROR(INDEX('1.산군_붙여넣기'!$A$1:$AZ$1001,ROW(),설정!$C$14)&amp;"",""))</f>
        <v/>
      </c>
      <c r="Y518">
        <f>IF(설정!$C$15="","",IFERROR(INDEX('1.산군_붙여넣기'!$A$1:$AZ$1001,ROW(),설정!$C$15)&amp;"",""))</f>
        <v/>
      </c>
      <c r="Z518">
        <f>IF(T518,V518&amp;"|"&amp;U518,"")</f>
        <v/>
      </c>
      <c r="AA518">
        <f>IF(NOT(Q518),"",IF(NOT(AND(R518,S518)),"✕",IF(OR(OR(AND(L518&lt;&gt;"",M518&lt;&gt;"",N(M518)-N(L518)&gt;설정!$B$27),AND(L518&lt;&gt;"",M518="",설정!$B$24-N(L518)&gt;설정!$B$27)),AND(D518&lt;&gt;"",D518&lt;설정!$B$26)),"△","★")))</f>
        <v/>
      </c>
      <c r="AB518">
        <f>IF(NOT(T518),"",IF(U518="설계사",설정!$B$31,IF(U518="시공사",IF(OR(M518="",설정!$B$24-N(M518)&lt;=설정!$B$28*30.4),설정!$B$32,설정!$B$33),설정!$B$34))+IF(AA518="★",설정!$B$35,0))</f>
        <v/>
      </c>
      <c r="AC518">
        <f>SUBSTITUTE(SUBSTITUTE(SUBSTITUTE(SUBSTITUTE(H518,"(주)",""),"㈜",""),"주식회사","")," ","")</f>
        <v/>
      </c>
      <c r="AD518">
        <f>IF(AND(T518,AC518&lt;&gt;""),IF(COUNTIFS(AC$2:AC518,AC518,T$2:T518,TRUE)=1,MAX(AD$1:AD517)+1,""),"")</f>
        <v/>
      </c>
    </row>
    <row r="519">
      <c r="A519">
        <f>ROW()</f>
        <v/>
      </c>
      <c r="B519">
        <f>IF(설정!$C$4="","",IFERROR(INDEX('1.산군_붙여넣기'!$A$1:$AZ$1001,ROW(),설정!$C$4)&amp;"",""))</f>
        <v/>
      </c>
      <c r="C519">
        <f>IF(설정!$C$5="","",IFERROR(INDEX('1.산군_붙여넣기'!$A$1:$AZ$1001,ROW(),설정!$C$5)&amp;"",""))</f>
        <v/>
      </c>
      <c r="D519" s="5">
        <f>IFERROR(VALUE(SUBSTITUTE(SUBSTITUTE(SUBSTITUTE(IF(설정!$C$6="","",IFERROR(INDEX('1.산군_붙여넣기'!$A$1:$AZ$1001,ROW(),설정!$C$6)&amp;"","")),",",""),"㎡",""),"m2","")),"")</f>
        <v/>
      </c>
      <c r="E519">
        <f>IF(설정!$C$7="","",IFERROR(INDEX('1.산군_붙여넣기'!$A$1:$AZ$1001,ROW(),설정!$C$7)&amp;"",""))</f>
        <v/>
      </c>
      <c r="F519">
        <f>IF(설정!$C$8="","",IFERROR(INDEX('1.산군_붙여넣기'!$A$1:$AZ$1001,ROW(),설정!$C$8)&amp;"",""))</f>
        <v/>
      </c>
      <c r="G519">
        <f>IF(설정!$C$9="","",IFERROR(INDEX('1.산군_붙여넣기'!$A$1:$AZ$1001,ROW(),설정!$C$9)&amp;"",""))</f>
        <v/>
      </c>
      <c r="H519">
        <f>IF(설정!$C$10="","",IFERROR(INDEX('1.산군_붙여넣기'!$A$1:$AZ$1001,ROW(),설정!$C$10)&amp;"",""))</f>
        <v/>
      </c>
      <c r="I519">
        <f>IF(설정!$C$11="","",IFERROR(INDEX('1.산군_붙여넣기'!$A$1:$AZ$1001,ROW(),설정!$C$11)&amp;"",""))</f>
        <v/>
      </c>
      <c r="J519">
        <f>IF(설정!$C$12="","",IFERROR(INDEX('1.산군_붙여넣기'!$A$1:$AZ$1001,ROW(),설정!$C$12)&amp;"",""))</f>
        <v/>
      </c>
      <c r="K519">
        <f>IF(설정!$C$13="","",IFERROR(INDEX('1.산군_붙여넣기'!$A$1:$AZ$1001,ROW(),설정!$C$13)&amp;"",""))</f>
        <v/>
      </c>
      <c r="L519" s="7">
        <f>IF(X519="","",IF(AND(LEN(X519)=8,ISNUMBER(X519*1)),DATE(LEFT(X519,4),MID(X519,5,2),RIGHT(X519,2)),IFERROR(DATEVALUE(SUBSTITUTE(SUBSTITUTE(X519,".","-"),"/","-")),IFERROR(X519*1,""))))</f>
        <v/>
      </c>
      <c r="M519" s="7">
        <f>IF(Y519="","",IF(AND(LEN(Y519)=8,ISNUMBER(Y519*1)),DATE(LEFT(Y519,4),MID(Y519,5,2),RIGHT(Y519,2)),IFERROR(DATEVALUE(SUBSTITUTE(SUBSTITUTE(Y519,".","-"),"/","-")),IFERROR(Y519*1,""))))</f>
        <v/>
      </c>
      <c r="N519">
        <f>IFERROR(LEFT(B519,FIND(" ",B519)-1),B519)</f>
        <v/>
      </c>
      <c r="O519">
        <f>AND(B519&lt;&gt;"",B519&lt;&gt;설정!$B$4,C519&lt;&gt;설정!$B$5)</f>
        <v/>
      </c>
      <c r="P519">
        <f>IF(O519,B519&amp;"|"&amp;C519,"")</f>
        <v/>
      </c>
      <c r="Q519">
        <f>AND(O519,COUNTIF(P520:P$1002,P519)=0)</f>
        <v/>
      </c>
      <c r="R519">
        <f>OR(AND(설정!$A$42&lt;&gt;"",ISNUMBER(SEARCH(설정!$A$42,E519&amp;" "&amp;C519))),AND(설정!$A$43&lt;&gt;"",ISNUMBER(SEARCH(설정!$A$43,E519&amp;" "&amp;C519))),AND(설정!$A$44&lt;&gt;"",ISNUMBER(SEARCH(설정!$A$44,E519&amp;" "&amp;C519))),AND(설정!$A$45&lt;&gt;"",ISNUMBER(SEARCH(설정!$A$45,E519&amp;" "&amp;C519))),AND(설정!$A$46&lt;&gt;"",ISNUMBER(SEARCH(설정!$A$46,E519&amp;" "&amp;C519))),AND(설정!$A$47&lt;&gt;"",ISNUMBER(SEARCH(설정!$A$47,E519&amp;" "&amp;C519))),AND(설정!$A$48&lt;&gt;"",ISNUMBER(SEARCH(설정!$A$48,E519&amp;" "&amp;C519))),AND(설정!$A$49&lt;&gt;"",ISNUMBER(SEARCH(설정!$A$49,E519&amp;" "&amp;C519))),AND(설정!$A$50&lt;&gt;"",ISNUMBER(SEARCH(설정!$A$50,E519&amp;" "&amp;C519))),AND(설정!$A$51&lt;&gt;"",ISNUMBER(SEARCH(설정!$A$51,E519&amp;" "&amp;C519))))</f>
        <v/>
      </c>
      <c r="S519">
        <f>OR(D519="",D519&gt;=설정!$B$19)</f>
        <v/>
      </c>
      <c r="T519">
        <f>AND(Q519,R519,S519)</f>
        <v/>
      </c>
      <c r="U519">
        <f>IF(T519,IF(AND(설정!$A$54&lt;&gt;"",ISNUMBER(SEARCH(설정!$A$54,K519))),설정!$B$54,IF(AND(설정!$A$55&lt;&gt;"",ISNUMBER(SEARCH(설정!$A$55,K519))),설정!$B$55,IF(AND(설정!$A$56&lt;&gt;"",ISNUMBER(SEARCH(설정!$A$56,K519))),설정!$B$56,IF(AND(설정!$A$57&lt;&gt;"",ISNUMBER(SEARCH(설정!$A$57,K519))),설정!$B$57,IF(AND(설정!$A$58&lt;&gt;"",ISNUMBER(SEARCH(설정!$A$58,K519))),설정!$B$58,IF(AND(설정!$A$59&lt;&gt;"",ISNUMBER(SEARCH(설정!$A$59,K519))),설정!$B$59,IF(AND(설정!$A$60&lt;&gt;"",ISNUMBER(SEARCH(설정!$A$60,K519))),설정!$B$60,IF(AND(설정!$A$61&lt;&gt;"",ISNUMBER(SEARCH(설정!$A$61,K519))),설정!$B$61,IF(M519="","설계사","시공사"))))))))),"")</f>
        <v/>
      </c>
      <c r="V519">
        <f>SUBSTITUTE(SUBSTITUTE(SUBSTITUTE(SUBSTITUTE(G519,"(주)",""),"㈜",""),"주식회사","")," ","")</f>
        <v/>
      </c>
      <c r="W519">
        <f>IF(AND(T519,V519&lt;&gt;""),IF(COUNTIFS(V$2:V519,V519,T$2:T519,TRUE)=1,MAX(W$1:W518)+1,""),"")</f>
        <v/>
      </c>
      <c r="X519">
        <f>IF(설정!$C$14="","",IFERROR(INDEX('1.산군_붙여넣기'!$A$1:$AZ$1001,ROW(),설정!$C$14)&amp;"",""))</f>
        <v/>
      </c>
      <c r="Y519">
        <f>IF(설정!$C$15="","",IFERROR(INDEX('1.산군_붙여넣기'!$A$1:$AZ$1001,ROW(),설정!$C$15)&amp;"",""))</f>
        <v/>
      </c>
      <c r="Z519">
        <f>IF(T519,V519&amp;"|"&amp;U519,"")</f>
        <v/>
      </c>
      <c r="AA519">
        <f>IF(NOT(Q519),"",IF(NOT(AND(R519,S519)),"✕",IF(OR(OR(AND(L519&lt;&gt;"",M519&lt;&gt;"",N(M519)-N(L519)&gt;설정!$B$27),AND(L519&lt;&gt;"",M519="",설정!$B$24-N(L519)&gt;설정!$B$27)),AND(D519&lt;&gt;"",D519&lt;설정!$B$26)),"△","★")))</f>
        <v/>
      </c>
      <c r="AB519">
        <f>IF(NOT(T519),"",IF(U519="설계사",설정!$B$31,IF(U519="시공사",IF(OR(M519="",설정!$B$24-N(M519)&lt;=설정!$B$28*30.4),설정!$B$32,설정!$B$33),설정!$B$34))+IF(AA519="★",설정!$B$35,0))</f>
        <v/>
      </c>
      <c r="AC519">
        <f>SUBSTITUTE(SUBSTITUTE(SUBSTITUTE(SUBSTITUTE(H519,"(주)",""),"㈜",""),"주식회사","")," ","")</f>
        <v/>
      </c>
      <c r="AD519">
        <f>IF(AND(T519,AC519&lt;&gt;""),IF(COUNTIFS(AC$2:AC519,AC519,T$2:T519,TRUE)=1,MAX(AD$1:AD518)+1,""),"")</f>
        <v/>
      </c>
    </row>
    <row r="520">
      <c r="A520">
        <f>ROW()</f>
        <v/>
      </c>
      <c r="B520">
        <f>IF(설정!$C$4="","",IFERROR(INDEX('1.산군_붙여넣기'!$A$1:$AZ$1001,ROW(),설정!$C$4)&amp;"",""))</f>
        <v/>
      </c>
      <c r="C520">
        <f>IF(설정!$C$5="","",IFERROR(INDEX('1.산군_붙여넣기'!$A$1:$AZ$1001,ROW(),설정!$C$5)&amp;"",""))</f>
        <v/>
      </c>
      <c r="D520" s="5">
        <f>IFERROR(VALUE(SUBSTITUTE(SUBSTITUTE(SUBSTITUTE(IF(설정!$C$6="","",IFERROR(INDEX('1.산군_붙여넣기'!$A$1:$AZ$1001,ROW(),설정!$C$6)&amp;"","")),",",""),"㎡",""),"m2","")),"")</f>
        <v/>
      </c>
      <c r="E520">
        <f>IF(설정!$C$7="","",IFERROR(INDEX('1.산군_붙여넣기'!$A$1:$AZ$1001,ROW(),설정!$C$7)&amp;"",""))</f>
        <v/>
      </c>
      <c r="F520">
        <f>IF(설정!$C$8="","",IFERROR(INDEX('1.산군_붙여넣기'!$A$1:$AZ$1001,ROW(),설정!$C$8)&amp;"",""))</f>
        <v/>
      </c>
      <c r="G520">
        <f>IF(설정!$C$9="","",IFERROR(INDEX('1.산군_붙여넣기'!$A$1:$AZ$1001,ROW(),설정!$C$9)&amp;"",""))</f>
        <v/>
      </c>
      <c r="H520">
        <f>IF(설정!$C$10="","",IFERROR(INDEX('1.산군_붙여넣기'!$A$1:$AZ$1001,ROW(),설정!$C$10)&amp;"",""))</f>
        <v/>
      </c>
      <c r="I520">
        <f>IF(설정!$C$11="","",IFERROR(INDEX('1.산군_붙여넣기'!$A$1:$AZ$1001,ROW(),설정!$C$11)&amp;"",""))</f>
        <v/>
      </c>
      <c r="J520">
        <f>IF(설정!$C$12="","",IFERROR(INDEX('1.산군_붙여넣기'!$A$1:$AZ$1001,ROW(),설정!$C$12)&amp;"",""))</f>
        <v/>
      </c>
      <c r="K520">
        <f>IF(설정!$C$13="","",IFERROR(INDEX('1.산군_붙여넣기'!$A$1:$AZ$1001,ROW(),설정!$C$13)&amp;"",""))</f>
        <v/>
      </c>
      <c r="L520" s="7">
        <f>IF(X520="","",IF(AND(LEN(X520)=8,ISNUMBER(X520*1)),DATE(LEFT(X520,4),MID(X520,5,2),RIGHT(X520,2)),IFERROR(DATEVALUE(SUBSTITUTE(SUBSTITUTE(X520,".","-"),"/","-")),IFERROR(X520*1,""))))</f>
        <v/>
      </c>
      <c r="M520" s="7">
        <f>IF(Y520="","",IF(AND(LEN(Y520)=8,ISNUMBER(Y520*1)),DATE(LEFT(Y520,4),MID(Y520,5,2),RIGHT(Y520,2)),IFERROR(DATEVALUE(SUBSTITUTE(SUBSTITUTE(Y520,".","-"),"/","-")),IFERROR(Y520*1,""))))</f>
        <v/>
      </c>
      <c r="N520">
        <f>IFERROR(LEFT(B520,FIND(" ",B520)-1),B520)</f>
        <v/>
      </c>
      <c r="O520">
        <f>AND(B520&lt;&gt;"",B520&lt;&gt;설정!$B$4,C520&lt;&gt;설정!$B$5)</f>
        <v/>
      </c>
      <c r="P520">
        <f>IF(O520,B520&amp;"|"&amp;C520,"")</f>
        <v/>
      </c>
      <c r="Q520">
        <f>AND(O520,COUNTIF(P521:P$1002,P520)=0)</f>
        <v/>
      </c>
      <c r="R520">
        <f>OR(AND(설정!$A$42&lt;&gt;"",ISNUMBER(SEARCH(설정!$A$42,E520&amp;" "&amp;C520))),AND(설정!$A$43&lt;&gt;"",ISNUMBER(SEARCH(설정!$A$43,E520&amp;" "&amp;C520))),AND(설정!$A$44&lt;&gt;"",ISNUMBER(SEARCH(설정!$A$44,E520&amp;" "&amp;C520))),AND(설정!$A$45&lt;&gt;"",ISNUMBER(SEARCH(설정!$A$45,E520&amp;" "&amp;C520))),AND(설정!$A$46&lt;&gt;"",ISNUMBER(SEARCH(설정!$A$46,E520&amp;" "&amp;C520))),AND(설정!$A$47&lt;&gt;"",ISNUMBER(SEARCH(설정!$A$47,E520&amp;" "&amp;C520))),AND(설정!$A$48&lt;&gt;"",ISNUMBER(SEARCH(설정!$A$48,E520&amp;" "&amp;C520))),AND(설정!$A$49&lt;&gt;"",ISNUMBER(SEARCH(설정!$A$49,E520&amp;" "&amp;C520))),AND(설정!$A$50&lt;&gt;"",ISNUMBER(SEARCH(설정!$A$50,E520&amp;" "&amp;C520))),AND(설정!$A$51&lt;&gt;"",ISNUMBER(SEARCH(설정!$A$51,E520&amp;" "&amp;C520))))</f>
        <v/>
      </c>
      <c r="S520">
        <f>OR(D520="",D520&gt;=설정!$B$19)</f>
        <v/>
      </c>
      <c r="T520">
        <f>AND(Q520,R520,S520)</f>
        <v/>
      </c>
      <c r="U520">
        <f>IF(T520,IF(AND(설정!$A$54&lt;&gt;"",ISNUMBER(SEARCH(설정!$A$54,K520))),설정!$B$54,IF(AND(설정!$A$55&lt;&gt;"",ISNUMBER(SEARCH(설정!$A$55,K520))),설정!$B$55,IF(AND(설정!$A$56&lt;&gt;"",ISNUMBER(SEARCH(설정!$A$56,K520))),설정!$B$56,IF(AND(설정!$A$57&lt;&gt;"",ISNUMBER(SEARCH(설정!$A$57,K520))),설정!$B$57,IF(AND(설정!$A$58&lt;&gt;"",ISNUMBER(SEARCH(설정!$A$58,K520))),설정!$B$58,IF(AND(설정!$A$59&lt;&gt;"",ISNUMBER(SEARCH(설정!$A$59,K520))),설정!$B$59,IF(AND(설정!$A$60&lt;&gt;"",ISNUMBER(SEARCH(설정!$A$60,K520))),설정!$B$60,IF(AND(설정!$A$61&lt;&gt;"",ISNUMBER(SEARCH(설정!$A$61,K520))),설정!$B$61,IF(M520="","설계사","시공사"))))))))),"")</f>
        <v/>
      </c>
      <c r="V520">
        <f>SUBSTITUTE(SUBSTITUTE(SUBSTITUTE(SUBSTITUTE(G520,"(주)",""),"㈜",""),"주식회사","")," ","")</f>
        <v/>
      </c>
      <c r="W520">
        <f>IF(AND(T520,V520&lt;&gt;""),IF(COUNTIFS(V$2:V520,V520,T$2:T520,TRUE)=1,MAX(W$1:W519)+1,""),"")</f>
        <v/>
      </c>
      <c r="X520">
        <f>IF(설정!$C$14="","",IFERROR(INDEX('1.산군_붙여넣기'!$A$1:$AZ$1001,ROW(),설정!$C$14)&amp;"",""))</f>
        <v/>
      </c>
      <c r="Y520">
        <f>IF(설정!$C$15="","",IFERROR(INDEX('1.산군_붙여넣기'!$A$1:$AZ$1001,ROW(),설정!$C$15)&amp;"",""))</f>
        <v/>
      </c>
      <c r="Z520">
        <f>IF(T520,V520&amp;"|"&amp;U520,"")</f>
        <v/>
      </c>
      <c r="AA520">
        <f>IF(NOT(Q520),"",IF(NOT(AND(R520,S520)),"✕",IF(OR(OR(AND(L520&lt;&gt;"",M520&lt;&gt;"",N(M520)-N(L520)&gt;설정!$B$27),AND(L520&lt;&gt;"",M520="",설정!$B$24-N(L520)&gt;설정!$B$27)),AND(D520&lt;&gt;"",D520&lt;설정!$B$26)),"△","★")))</f>
        <v/>
      </c>
      <c r="AB520">
        <f>IF(NOT(T520),"",IF(U520="설계사",설정!$B$31,IF(U520="시공사",IF(OR(M520="",설정!$B$24-N(M520)&lt;=설정!$B$28*30.4),설정!$B$32,설정!$B$33),설정!$B$34))+IF(AA520="★",설정!$B$35,0))</f>
        <v/>
      </c>
      <c r="AC520">
        <f>SUBSTITUTE(SUBSTITUTE(SUBSTITUTE(SUBSTITUTE(H520,"(주)",""),"㈜",""),"주식회사","")," ","")</f>
        <v/>
      </c>
      <c r="AD520">
        <f>IF(AND(T520,AC520&lt;&gt;""),IF(COUNTIFS(AC$2:AC520,AC520,T$2:T520,TRUE)=1,MAX(AD$1:AD519)+1,""),"")</f>
        <v/>
      </c>
    </row>
    <row r="521">
      <c r="A521">
        <f>ROW()</f>
        <v/>
      </c>
      <c r="B521">
        <f>IF(설정!$C$4="","",IFERROR(INDEX('1.산군_붙여넣기'!$A$1:$AZ$1001,ROW(),설정!$C$4)&amp;"",""))</f>
        <v/>
      </c>
      <c r="C521">
        <f>IF(설정!$C$5="","",IFERROR(INDEX('1.산군_붙여넣기'!$A$1:$AZ$1001,ROW(),설정!$C$5)&amp;"",""))</f>
        <v/>
      </c>
      <c r="D521" s="5">
        <f>IFERROR(VALUE(SUBSTITUTE(SUBSTITUTE(SUBSTITUTE(IF(설정!$C$6="","",IFERROR(INDEX('1.산군_붙여넣기'!$A$1:$AZ$1001,ROW(),설정!$C$6)&amp;"","")),",",""),"㎡",""),"m2","")),"")</f>
        <v/>
      </c>
      <c r="E521">
        <f>IF(설정!$C$7="","",IFERROR(INDEX('1.산군_붙여넣기'!$A$1:$AZ$1001,ROW(),설정!$C$7)&amp;"",""))</f>
        <v/>
      </c>
      <c r="F521">
        <f>IF(설정!$C$8="","",IFERROR(INDEX('1.산군_붙여넣기'!$A$1:$AZ$1001,ROW(),설정!$C$8)&amp;"",""))</f>
        <v/>
      </c>
      <c r="G521">
        <f>IF(설정!$C$9="","",IFERROR(INDEX('1.산군_붙여넣기'!$A$1:$AZ$1001,ROW(),설정!$C$9)&amp;"",""))</f>
        <v/>
      </c>
      <c r="H521">
        <f>IF(설정!$C$10="","",IFERROR(INDEX('1.산군_붙여넣기'!$A$1:$AZ$1001,ROW(),설정!$C$10)&amp;"",""))</f>
        <v/>
      </c>
      <c r="I521">
        <f>IF(설정!$C$11="","",IFERROR(INDEX('1.산군_붙여넣기'!$A$1:$AZ$1001,ROW(),설정!$C$11)&amp;"",""))</f>
        <v/>
      </c>
      <c r="J521">
        <f>IF(설정!$C$12="","",IFERROR(INDEX('1.산군_붙여넣기'!$A$1:$AZ$1001,ROW(),설정!$C$12)&amp;"",""))</f>
        <v/>
      </c>
      <c r="K521">
        <f>IF(설정!$C$13="","",IFERROR(INDEX('1.산군_붙여넣기'!$A$1:$AZ$1001,ROW(),설정!$C$13)&amp;"",""))</f>
        <v/>
      </c>
      <c r="L521" s="7">
        <f>IF(X521="","",IF(AND(LEN(X521)=8,ISNUMBER(X521*1)),DATE(LEFT(X521,4),MID(X521,5,2),RIGHT(X521,2)),IFERROR(DATEVALUE(SUBSTITUTE(SUBSTITUTE(X521,".","-"),"/","-")),IFERROR(X521*1,""))))</f>
        <v/>
      </c>
      <c r="M521" s="7">
        <f>IF(Y521="","",IF(AND(LEN(Y521)=8,ISNUMBER(Y521*1)),DATE(LEFT(Y521,4),MID(Y521,5,2),RIGHT(Y521,2)),IFERROR(DATEVALUE(SUBSTITUTE(SUBSTITUTE(Y521,".","-"),"/","-")),IFERROR(Y521*1,""))))</f>
        <v/>
      </c>
      <c r="N521">
        <f>IFERROR(LEFT(B521,FIND(" ",B521)-1),B521)</f>
        <v/>
      </c>
      <c r="O521">
        <f>AND(B521&lt;&gt;"",B521&lt;&gt;설정!$B$4,C521&lt;&gt;설정!$B$5)</f>
        <v/>
      </c>
      <c r="P521">
        <f>IF(O521,B521&amp;"|"&amp;C521,"")</f>
        <v/>
      </c>
      <c r="Q521">
        <f>AND(O521,COUNTIF(P522:P$1002,P521)=0)</f>
        <v/>
      </c>
      <c r="R521">
        <f>OR(AND(설정!$A$42&lt;&gt;"",ISNUMBER(SEARCH(설정!$A$42,E521&amp;" "&amp;C521))),AND(설정!$A$43&lt;&gt;"",ISNUMBER(SEARCH(설정!$A$43,E521&amp;" "&amp;C521))),AND(설정!$A$44&lt;&gt;"",ISNUMBER(SEARCH(설정!$A$44,E521&amp;" "&amp;C521))),AND(설정!$A$45&lt;&gt;"",ISNUMBER(SEARCH(설정!$A$45,E521&amp;" "&amp;C521))),AND(설정!$A$46&lt;&gt;"",ISNUMBER(SEARCH(설정!$A$46,E521&amp;" "&amp;C521))),AND(설정!$A$47&lt;&gt;"",ISNUMBER(SEARCH(설정!$A$47,E521&amp;" "&amp;C521))),AND(설정!$A$48&lt;&gt;"",ISNUMBER(SEARCH(설정!$A$48,E521&amp;" "&amp;C521))),AND(설정!$A$49&lt;&gt;"",ISNUMBER(SEARCH(설정!$A$49,E521&amp;" "&amp;C521))),AND(설정!$A$50&lt;&gt;"",ISNUMBER(SEARCH(설정!$A$50,E521&amp;" "&amp;C521))),AND(설정!$A$51&lt;&gt;"",ISNUMBER(SEARCH(설정!$A$51,E521&amp;" "&amp;C521))))</f>
        <v/>
      </c>
      <c r="S521">
        <f>OR(D521="",D521&gt;=설정!$B$19)</f>
        <v/>
      </c>
      <c r="T521">
        <f>AND(Q521,R521,S521)</f>
        <v/>
      </c>
      <c r="U521">
        <f>IF(T521,IF(AND(설정!$A$54&lt;&gt;"",ISNUMBER(SEARCH(설정!$A$54,K521))),설정!$B$54,IF(AND(설정!$A$55&lt;&gt;"",ISNUMBER(SEARCH(설정!$A$55,K521))),설정!$B$55,IF(AND(설정!$A$56&lt;&gt;"",ISNUMBER(SEARCH(설정!$A$56,K521))),설정!$B$56,IF(AND(설정!$A$57&lt;&gt;"",ISNUMBER(SEARCH(설정!$A$57,K521))),설정!$B$57,IF(AND(설정!$A$58&lt;&gt;"",ISNUMBER(SEARCH(설정!$A$58,K521))),설정!$B$58,IF(AND(설정!$A$59&lt;&gt;"",ISNUMBER(SEARCH(설정!$A$59,K521))),설정!$B$59,IF(AND(설정!$A$60&lt;&gt;"",ISNUMBER(SEARCH(설정!$A$60,K521))),설정!$B$60,IF(AND(설정!$A$61&lt;&gt;"",ISNUMBER(SEARCH(설정!$A$61,K521))),설정!$B$61,IF(M521="","설계사","시공사"))))))))),"")</f>
        <v/>
      </c>
      <c r="V521">
        <f>SUBSTITUTE(SUBSTITUTE(SUBSTITUTE(SUBSTITUTE(G521,"(주)",""),"㈜",""),"주식회사","")," ","")</f>
        <v/>
      </c>
      <c r="W521">
        <f>IF(AND(T521,V521&lt;&gt;""),IF(COUNTIFS(V$2:V521,V521,T$2:T521,TRUE)=1,MAX(W$1:W520)+1,""),"")</f>
        <v/>
      </c>
      <c r="X521">
        <f>IF(설정!$C$14="","",IFERROR(INDEX('1.산군_붙여넣기'!$A$1:$AZ$1001,ROW(),설정!$C$14)&amp;"",""))</f>
        <v/>
      </c>
      <c r="Y521">
        <f>IF(설정!$C$15="","",IFERROR(INDEX('1.산군_붙여넣기'!$A$1:$AZ$1001,ROW(),설정!$C$15)&amp;"",""))</f>
        <v/>
      </c>
      <c r="Z521">
        <f>IF(T521,V521&amp;"|"&amp;U521,"")</f>
        <v/>
      </c>
      <c r="AA521">
        <f>IF(NOT(Q521),"",IF(NOT(AND(R521,S521)),"✕",IF(OR(OR(AND(L521&lt;&gt;"",M521&lt;&gt;"",N(M521)-N(L521)&gt;설정!$B$27),AND(L521&lt;&gt;"",M521="",설정!$B$24-N(L521)&gt;설정!$B$27)),AND(D521&lt;&gt;"",D521&lt;설정!$B$26)),"△","★")))</f>
        <v/>
      </c>
      <c r="AB521">
        <f>IF(NOT(T521),"",IF(U521="설계사",설정!$B$31,IF(U521="시공사",IF(OR(M521="",설정!$B$24-N(M521)&lt;=설정!$B$28*30.4),설정!$B$32,설정!$B$33),설정!$B$34))+IF(AA521="★",설정!$B$35,0))</f>
        <v/>
      </c>
      <c r="AC521">
        <f>SUBSTITUTE(SUBSTITUTE(SUBSTITUTE(SUBSTITUTE(H521,"(주)",""),"㈜",""),"주식회사","")," ","")</f>
        <v/>
      </c>
      <c r="AD521">
        <f>IF(AND(T521,AC521&lt;&gt;""),IF(COUNTIFS(AC$2:AC521,AC521,T$2:T521,TRUE)=1,MAX(AD$1:AD520)+1,""),"")</f>
        <v/>
      </c>
    </row>
    <row r="522">
      <c r="A522">
        <f>ROW()</f>
        <v/>
      </c>
      <c r="B522">
        <f>IF(설정!$C$4="","",IFERROR(INDEX('1.산군_붙여넣기'!$A$1:$AZ$1001,ROW(),설정!$C$4)&amp;"",""))</f>
        <v/>
      </c>
      <c r="C522">
        <f>IF(설정!$C$5="","",IFERROR(INDEX('1.산군_붙여넣기'!$A$1:$AZ$1001,ROW(),설정!$C$5)&amp;"",""))</f>
        <v/>
      </c>
      <c r="D522" s="5">
        <f>IFERROR(VALUE(SUBSTITUTE(SUBSTITUTE(SUBSTITUTE(IF(설정!$C$6="","",IFERROR(INDEX('1.산군_붙여넣기'!$A$1:$AZ$1001,ROW(),설정!$C$6)&amp;"","")),",",""),"㎡",""),"m2","")),"")</f>
        <v/>
      </c>
      <c r="E522">
        <f>IF(설정!$C$7="","",IFERROR(INDEX('1.산군_붙여넣기'!$A$1:$AZ$1001,ROW(),설정!$C$7)&amp;"",""))</f>
        <v/>
      </c>
      <c r="F522">
        <f>IF(설정!$C$8="","",IFERROR(INDEX('1.산군_붙여넣기'!$A$1:$AZ$1001,ROW(),설정!$C$8)&amp;"",""))</f>
        <v/>
      </c>
      <c r="G522">
        <f>IF(설정!$C$9="","",IFERROR(INDEX('1.산군_붙여넣기'!$A$1:$AZ$1001,ROW(),설정!$C$9)&amp;"",""))</f>
        <v/>
      </c>
      <c r="H522">
        <f>IF(설정!$C$10="","",IFERROR(INDEX('1.산군_붙여넣기'!$A$1:$AZ$1001,ROW(),설정!$C$10)&amp;"",""))</f>
        <v/>
      </c>
      <c r="I522">
        <f>IF(설정!$C$11="","",IFERROR(INDEX('1.산군_붙여넣기'!$A$1:$AZ$1001,ROW(),설정!$C$11)&amp;"",""))</f>
        <v/>
      </c>
      <c r="J522">
        <f>IF(설정!$C$12="","",IFERROR(INDEX('1.산군_붙여넣기'!$A$1:$AZ$1001,ROW(),설정!$C$12)&amp;"",""))</f>
        <v/>
      </c>
      <c r="K522">
        <f>IF(설정!$C$13="","",IFERROR(INDEX('1.산군_붙여넣기'!$A$1:$AZ$1001,ROW(),설정!$C$13)&amp;"",""))</f>
        <v/>
      </c>
      <c r="L522" s="7">
        <f>IF(X522="","",IF(AND(LEN(X522)=8,ISNUMBER(X522*1)),DATE(LEFT(X522,4),MID(X522,5,2),RIGHT(X522,2)),IFERROR(DATEVALUE(SUBSTITUTE(SUBSTITUTE(X522,".","-"),"/","-")),IFERROR(X522*1,""))))</f>
        <v/>
      </c>
      <c r="M522" s="7">
        <f>IF(Y522="","",IF(AND(LEN(Y522)=8,ISNUMBER(Y522*1)),DATE(LEFT(Y522,4),MID(Y522,5,2),RIGHT(Y522,2)),IFERROR(DATEVALUE(SUBSTITUTE(SUBSTITUTE(Y522,".","-"),"/","-")),IFERROR(Y522*1,""))))</f>
        <v/>
      </c>
      <c r="N522">
        <f>IFERROR(LEFT(B522,FIND(" ",B522)-1),B522)</f>
        <v/>
      </c>
      <c r="O522">
        <f>AND(B522&lt;&gt;"",B522&lt;&gt;설정!$B$4,C522&lt;&gt;설정!$B$5)</f>
        <v/>
      </c>
      <c r="P522">
        <f>IF(O522,B522&amp;"|"&amp;C522,"")</f>
        <v/>
      </c>
      <c r="Q522">
        <f>AND(O522,COUNTIF(P523:P$1002,P522)=0)</f>
        <v/>
      </c>
      <c r="R522">
        <f>OR(AND(설정!$A$42&lt;&gt;"",ISNUMBER(SEARCH(설정!$A$42,E522&amp;" "&amp;C522))),AND(설정!$A$43&lt;&gt;"",ISNUMBER(SEARCH(설정!$A$43,E522&amp;" "&amp;C522))),AND(설정!$A$44&lt;&gt;"",ISNUMBER(SEARCH(설정!$A$44,E522&amp;" "&amp;C522))),AND(설정!$A$45&lt;&gt;"",ISNUMBER(SEARCH(설정!$A$45,E522&amp;" "&amp;C522))),AND(설정!$A$46&lt;&gt;"",ISNUMBER(SEARCH(설정!$A$46,E522&amp;" "&amp;C522))),AND(설정!$A$47&lt;&gt;"",ISNUMBER(SEARCH(설정!$A$47,E522&amp;" "&amp;C522))),AND(설정!$A$48&lt;&gt;"",ISNUMBER(SEARCH(설정!$A$48,E522&amp;" "&amp;C522))),AND(설정!$A$49&lt;&gt;"",ISNUMBER(SEARCH(설정!$A$49,E522&amp;" "&amp;C522))),AND(설정!$A$50&lt;&gt;"",ISNUMBER(SEARCH(설정!$A$50,E522&amp;" "&amp;C522))),AND(설정!$A$51&lt;&gt;"",ISNUMBER(SEARCH(설정!$A$51,E522&amp;" "&amp;C522))))</f>
        <v/>
      </c>
      <c r="S522">
        <f>OR(D522="",D522&gt;=설정!$B$19)</f>
        <v/>
      </c>
      <c r="T522">
        <f>AND(Q522,R522,S522)</f>
        <v/>
      </c>
      <c r="U522">
        <f>IF(T522,IF(AND(설정!$A$54&lt;&gt;"",ISNUMBER(SEARCH(설정!$A$54,K522))),설정!$B$54,IF(AND(설정!$A$55&lt;&gt;"",ISNUMBER(SEARCH(설정!$A$55,K522))),설정!$B$55,IF(AND(설정!$A$56&lt;&gt;"",ISNUMBER(SEARCH(설정!$A$56,K522))),설정!$B$56,IF(AND(설정!$A$57&lt;&gt;"",ISNUMBER(SEARCH(설정!$A$57,K522))),설정!$B$57,IF(AND(설정!$A$58&lt;&gt;"",ISNUMBER(SEARCH(설정!$A$58,K522))),설정!$B$58,IF(AND(설정!$A$59&lt;&gt;"",ISNUMBER(SEARCH(설정!$A$59,K522))),설정!$B$59,IF(AND(설정!$A$60&lt;&gt;"",ISNUMBER(SEARCH(설정!$A$60,K522))),설정!$B$60,IF(AND(설정!$A$61&lt;&gt;"",ISNUMBER(SEARCH(설정!$A$61,K522))),설정!$B$61,IF(M522="","설계사","시공사"))))))))),"")</f>
        <v/>
      </c>
      <c r="V522">
        <f>SUBSTITUTE(SUBSTITUTE(SUBSTITUTE(SUBSTITUTE(G522,"(주)",""),"㈜",""),"주식회사","")," ","")</f>
        <v/>
      </c>
      <c r="W522">
        <f>IF(AND(T522,V522&lt;&gt;""),IF(COUNTIFS(V$2:V522,V522,T$2:T522,TRUE)=1,MAX(W$1:W521)+1,""),"")</f>
        <v/>
      </c>
      <c r="X522">
        <f>IF(설정!$C$14="","",IFERROR(INDEX('1.산군_붙여넣기'!$A$1:$AZ$1001,ROW(),설정!$C$14)&amp;"",""))</f>
        <v/>
      </c>
      <c r="Y522">
        <f>IF(설정!$C$15="","",IFERROR(INDEX('1.산군_붙여넣기'!$A$1:$AZ$1001,ROW(),설정!$C$15)&amp;"",""))</f>
        <v/>
      </c>
      <c r="Z522">
        <f>IF(T522,V522&amp;"|"&amp;U522,"")</f>
        <v/>
      </c>
      <c r="AA522">
        <f>IF(NOT(Q522),"",IF(NOT(AND(R522,S522)),"✕",IF(OR(OR(AND(L522&lt;&gt;"",M522&lt;&gt;"",N(M522)-N(L522)&gt;설정!$B$27),AND(L522&lt;&gt;"",M522="",설정!$B$24-N(L522)&gt;설정!$B$27)),AND(D522&lt;&gt;"",D522&lt;설정!$B$26)),"△","★")))</f>
        <v/>
      </c>
      <c r="AB522">
        <f>IF(NOT(T522),"",IF(U522="설계사",설정!$B$31,IF(U522="시공사",IF(OR(M522="",설정!$B$24-N(M522)&lt;=설정!$B$28*30.4),설정!$B$32,설정!$B$33),설정!$B$34))+IF(AA522="★",설정!$B$35,0))</f>
        <v/>
      </c>
      <c r="AC522">
        <f>SUBSTITUTE(SUBSTITUTE(SUBSTITUTE(SUBSTITUTE(H522,"(주)",""),"㈜",""),"주식회사","")," ","")</f>
        <v/>
      </c>
      <c r="AD522">
        <f>IF(AND(T522,AC522&lt;&gt;""),IF(COUNTIFS(AC$2:AC522,AC522,T$2:T522,TRUE)=1,MAX(AD$1:AD521)+1,""),"")</f>
        <v/>
      </c>
    </row>
    <row r="523">
      <c r="A523">
        <f>ROW()</f>
        <v/>
      </c>
      <c r="B523">
        <f>IF(설정!$C$4="","",IFERROR(INDEX('1.산군_붙여넣기'!$A$1:$AZ$1001,ROW(),설정!$C$4)&amp;"",""))</f>
        <v/>
      </c>
      <c r="C523">
        <f>IF(설정!$C$5="","",IFERROR(INDEX('1.산군_붙여넣기'!$A$1:$AZ$1001,ROW(),설정!$C$5)&amp;"",""))</f>
        <v/>
      </c>
      <c r="D523" s="5">
        <f>IFERROR(VALUE(SUBSTITUTE(SUBSTITUTE(SUBSTITUTE(IF(설정!$C$6="","",IFERROR(INDEX('1.산군_붙여넣기'!$A$1:$AZ$1001,ROW(),설정!$C$6)&amp;"","")),",",""),"㎡",""),"m2","")),"")</f>
        <v/>
      </c>
      <c r="E523">
        <f>IF(설정!$C$7="","",IFERROR(INDEX('1.산군_붙여넣기'!$A$1:$AZ$1001,ROW(),설정!$C$7)&amp;"",""))</f>
        <v/>
      </c>
      <c r="F523">
        <f>IF(설정!$C$8="","",IFERROR(INDEX('1.산군_붙여넣기'!$A$1:$AZ$1001,ROW(),설정!$C$8)&amp;"",""))</f>
        <v/>
      </c>
      <c r="G523">
        <f>IF(설정!$C$9="","",IFERROR(INDEX('1.산군_붙여넣기'!$A$1:$AZ$1001,ROW(),설정!$C$9)&amp;"",""))</f>
        <v/>
      </c>
      <c r="H523">
        <f>IF(설정!$C$10="","",IFERROR(INDEX('1.산군_붙여넣기'!$A$1:$AZ$1001,ROW(),설정!$C$10)&amp;"",""))</f>
        <v/>
      </c>
      <c r="I523">
        <f>IF(설정!$C$11="","",IFERROR(INDEX('1.산군_붙여넣기'!$A$1:$AZ$1001,ROW(),설정!$C$11)&amp;"",""))</f>
        <v/>
      </c>
      <c r="J523">
        <f>IF(설정!$C$12="","",IFERROR(INDEX('1.산군_붙여넣기'!$A$1:$AZ$1001,ROW(),설정!$C$12)&amp;"",""))</f>
        <v/>
      </c>
      <c r="K523">
        <f>IF(설정!$C$13="","",IFERROR(INDEX('1.산군_붙여넣기'!$A$1:$AZ$1001,ROW(),설정!$C$13)&amp;"",""))</f>
        <v/>
      </c>
      <c r="L523" s="7">
        <f>IF(X523="","",IF(AND(LEN(X523)=8,ISNUMBER(X523*1)),DATE(LEFT(X523,4),MID(X523,5,2),RIGHT(X523,2)),IFERROR(DATEVALUE(SUBSTITUTE(SUBSTITUTE(X523,".","-"),"/","-")),IFERROR(X523*1,""))))</f>
        <v/>
      </c>
      <c r="M523" s="7">
        <f>IF(Y523="","",IF(AND(LEN(Y523)=8,ISNUMBER(Y523*1)),DATE(LEFT(Y523,4),MID(Y523,5,2),RIGHT(Y523,2)),IFERROR(DATEVALUE(SUBSTITUTE(SUBSTITUTE(Y523,".","-"),"/","-")),IFERROR(Y523*1,""))))</f>
        <v/>
      </c>
      <c r="N523">
        <f>IFERROR(LEFT(B523,FIND(" ",B523)-1),B523)</f>
        <v/>
      </c>
      <c r="O523">
        <f>AND(B523&lt;&gt;"",B523&lt;&gt;설정!$B$4,C523&lt;&gt;설정!$B$5)</f>
        <v/>
      </c>
      <c r="P523">
        <f>IF(O523,B523&amp;"|"&amp;C523,"")</f>
        <v/>
      </c>
      <c r="Q523">
        <f>AND(O523,COUNTIF(P524:P$1002,P523)=0)</f>
        <v/>
      </c>
      <c r="R523">
        <f>OR(AND(설정!$A$42&lt;&gt;"",ISNUMBER(SEARCH(설정!$A$42,E523&amp;" "&amp;C523))),AND(설정!$A$43&lt;&gt;"",ISNUMBER(SEARCH(설정!$A$43,E523&amp;" "&amp;C523))),AND(설정!$A$44&lt;&gt;"",ISNUMBER(SEARCH(설정!$A$44,E523&amp;" "&amp;C523))),AND(설정!$A$45&lt;&gt;"",ISNUMBER(SEARCH(설정!$A$45,E523&amp;" "&amp;C523))),AND(설정!$A$46&lt;&gt;"",ISNUMBER(SEARCH(설정!$A$46,E523&amp;" "&amp;C523))),AND(설정!$A$47&lt;&gt;"",ISNUMBER(SEARCH(설정!$A$47,E523&amp;" "&amp;C523))),AND(설정!$A$48&lt;&gt;"",ISNUMBER(SEARCH(설정!$A$48,E523&amp;" "&amp;C523))),AND(설정!$A$49&lt;&gt;"",ISNUMBER(SEARCH(설정!$A$49,E523&amp;" "&amp;C523))),AND(설정!$A$50&lt;&gt;"",ISNUMBER(SEARCH(설정!$A$50,E523&amp;" "&amp;C523))),AND(설정!$A$51&lt;&gt;"",ISNUMBER(SEARCH(설정!$A$51,E523&amp;" "&amp;C523))))</f>
        <v/>
      </c>
      <c r="S523">
        <f>OR(D523="",D523&gt;=설정!$B$19)</f>
        <v/>
      </c>
      <c r="T523">
        <f>AND(Q523,R523,S523)</f>
        <v/>
      </c>
      <c r="U523">
        <f>IF(T523,IF(AND(설정!$A$54&lt;&gt;"",ISNUMBER(SEARCH(설정!$A$54,K523))),설정!$B$54,IF(AND(설정!$A$55&lt;&gt;"",ISNUMBER(SEARCH(설정!$A$55,K523))),설정!$B$55,IF(AND(설정!$A$56&lt;&gt;"",ISNUMBER(SEARCH(설정!$A$56,K523))),설정!$B$56,IF(AND(설정!$A$57&lt;&gt;"",ISNUMBER(SEARCH(설정!$A$57,K523))),설정!$B$57,IF(AND(설정!$A$58&lt;&gt;"",ISNUMBER(SEARCH(설정!$A$58,K523))),설정!$B$58,IF(AND(설정!$A$59&lt;&gt;"",ISNUMBER(SEARCH(설정!$A$59,K523))),설정!$B$59,IF(AND(설정!$A$60&lt;&gt;"",ISNUMBER(SEARCH(설정!$A$60,K523))),설정!$B$60,IF(AND(설정!$A$61&lt;&gt;"",ISNUMBER(SEARCH(설정!$A$61,K523))),설정!$B$61,IF(M523="","설계사","시공사"))))))))),"")</f>
        <v/>
      </c>
      <c r="V523">
        <f>SUBSTITUTE(SUBSTITUTE(SUBSTITUTE(SUBSTITUTE(G523,"(주)",""),"㈜",""),"주식회사","")," ","")</f>
        <v/>
      </c>
      <c r="W523">
        <f>IF(AND(T523,V523&lt;&gt;""),IF(COUNTIFS(V$2:V523,V523,T$2:T523,TRUE)=1,MAX(W$1:W522)+1,""),"")</f>
        <v/>
      </c>
      <c r="X523">
        <f>IF(설정!$C$14="","",IFERROR(INDEX('1.산군_붙여넣기'!$A$1:$AZ$1001,ROW(),설정!$C$14)&amp;"",""))</f>
        <v/>
      </c>
      <c r="Y523">
        <f>IF(설정!$C$15="","",IFERROR(INDEX('1.산군_붙여넣기'!$A$1:$AZ$1001,ROW(),설정!$C$15)&amp;"",""))</f>
        <v/>
      </c>
      <c r="Z523">
        <f>IF(T523,V523&amp;"|"&amp;U523,"")</f>
        <v/>
      </c>
      <c r="AA523">
        <f>IF(NOT(Q523),"",IF(NOT(AND(R523,S523)),"✕",IF(OR(OR(AND(L523&lt;&gt;"",M523&lt;&gt;"",N(M523)-N(L523)&gt;설정!$B$27),AND(L523&lt;&gt;"",M523="",설정!$B$24-N(L523)&gt;설정!$B$27)),AND(D523&lt;&gt;"",D523&lt;설정!$B$26)),"△","★")))</f>
        <v/>
      </c>
      <c r="AB523">
        <f>IF(NOT(T523),"",IF(U523="설계사",설정!$B$31,IF(U523="시공사",IF(OR(M523="",설정!$B$24-N(M523)&lt;=설정!$B$28*30.4),설정!$B$32,설정!$B$33),설정!$B$34))+IF(AA523="★",설정!$B$35,0))</f>
        <v/>
      </c>
      <c r="AC523">
        <f>SUBSTITUTE(SUBSTITUTE(SUBSTITUTE(SUBSTITUTE(H523,"(주)",""),"㈜",""),"주식회사","")," ","")</f>
        <v/>
      </c>
      <c r="AD523">
        <f>IF(AND(T523,AC523&lt;&gt;""),IF(COUNTIFS(AC$2:AC523,AC523,T$2:T523,TRUE)=1,MAX(AD$1:AD522)+1,""),"")</f>
        <v/>
      </c>
    </row>
    <row r="524">
      <c r="A524">
        <f>ROW()</f>
        <v/>
      </c>
      <c r="B524">
        <f>IF(설정!$C$4="","",IFERROR(INDEX('1.산군_붙여넣기'!$A$1:$AZ$1001,ROW(),설정!$C$4)&amp;"",""))</f>
        <v/>
      </c>
      <c r="C524">
        <f>IF(설정!$C$5="","",IFERROR(INDEX('1.산군_붙여넣기'!$A$1:$AZ$1001,ROW(),설정!$C$5)&amp;"",""))</f>
        <v/>
      </c>
      <c r="D524" s="5">
        <f>IFERROR(VALUE(SUBSTITUTE(SUBSTITUTE(SUBSTITUTE(IF(설정!$C$6="","",IFERROR(INDEX('1.산군_붙여넣기'!$A$1:$AZ$1001,ROW(),설정!$C$6)&amp;"","")),",",""),"㎡",""),"m2","")),"")</f>
        <v/>
      </c>
      <c r="E524">
        <f>IF(설정!$C$7="","",IFERROR(INDEX('1.산군_붙여넣기'!$A$1:$AZ$1001,ROW(),설정!$C$7)&amp;"",""))</f>
        <v/>
      </c>
      <c r="F524">
        <f>IF(설정!$C$8="","",IFERROR(INDEX('1.산군_붙여넣기'!$A$1:$AZ$1001,ROW(),설정!$C$8)&amp;"",""))</f>
        <v/>
      </c>
      <c r="G524">
        <f>IF(설정!$C$9="","",IFERROR(INDEX('1.산군_붙여넣기'!$A$1:$AZ$1001,ROW(),설정!$C$9)&amp;"",""))</f>
        <v/>
      </c>
      <c r="H524">
        <f>IF(설정!$C$10="","",IFERROR(INDEX('1.산군_붙여넣기'!$A$1:$AZ$1001,ROW(),설정!$C$10)&amp;"",""))</f>
        <v/>
      </c>
      <c r="I524">
        <f>IF(설정!$C$11="","",IFERROR(INDEX('1.산군_붙여넣기'!$A$1:$AZ$1001,ROW(),설정!$C$11)&amp;"",""))</f>
        <v/>
      </c>
      <c r="J524">
        <f>IF(설정!$C$12="","",IFERROR(INDEX('1.산군_붙여넣기'!$A$1:$AZ$1001,ROW(),설정!$C$12)&amp;"",""))</f>
        <v/>
      </c>
      <c r="K524">
        <f>IF(설정!$C$13="","",IFERROR(INDEX('1.산군_붙여넣기'!$A$1:$AZ$1001,ROW(),설정!$C$13)&amp;"",""))</f>
        <v/>
      </c>
      <c r="L524" s="7">
        <f>IF(X524="","",IF(AND(LEN(X524)=8,ISNUMBER(X524*1)),DATE(LEFT(X524,4),MID(X524,5,2),RIGHT(X524,2)),IFERROR(DATEVALUE(SUBSTITUTE(SUBSTITUTE(X524,".","-"),"/","-")),IFERROR(X524*1,""))))</f>
        <v/>
      </c>
      <c r="M524" s="7">
        <f>IF(Y524="","",IF(AND(LEN(Y524)=8,ISNUMBER(Y524*1)),DATE(LEFT(Y524,4),MID(Y524,5,2),RIGHT(Y524,2)),IFERROR(DATEVALUE(SUBSTITUTE(SUBSTITUTE(Y524,".","-"),"/","-")),IFERROR(Y524*1,""))))</f>
        <v/>
      </c>
      <c r="N524">
        <f>IFERROR(LEFT(B524,FIND(" ",B524)-1),B524)</f>
        <v/>
      </c>
      <c r="O524">
        <f>AND(B524&lt;&gt;"",B524&lt;&gt;설정!$B$4,C524&lt;&gt;설정!$B$5)</f>
        <v/>
      </c>
      <c r="P524">
        <f>IF(O524,B524&amp;"|"&amp;C524,"")</f>
        <v/>
      </c>
      <c r="Q524">
        <f>AND(O524,COUNTIF(P525:P$1002,P524)=0)</f>
        <v/>
      </c>
      <c r="R524">
        <f>OR(AND(설정!$A$42&lt;&gt;"",ISNUMBER(SEARCH(설정!$A$42,E524&amp;" "&amp;C524))),AND(설정!$A$43&lt;&gt;"",ISNUMBER(SEARCH(설정!$A$43,E524&amp;" "&amp;C524))),AND(설정!$A$44&lt;&gt;"",ISNUMBER(SEARCH(설정!$A$44,E524&amp;" "&amp;C524))),AND(설정!$A$45&lt;&gt;"",ISNUMBER(SEARCH(설정!$A$45,E524&amp;" "&amp;C524))),AND(설정!$A$46&lt;&gt;"",ISNUMBER(SEARCH(설정!$A$46,E524&amp;" "&amp;C524))),AND(설정!$A$47&lt;&gt;"",ISNUMBER(SEARCH(설정!$A$47,E524&amp;" "&amp;C524))),AND(설정!$A$48&lt;&gt;"",ISNUMBER(SEARCH(설정!$A$48,E524&amp;" "&amp;C524))),AND(설정!$A$49&lt;&gt;"",ISNUMBER(SEARCH(설정!$A$49,E524&amp;" "&amp;C524))),AND(설정!$A$50&lt;&gt;"",ISNUMBER(SEARCH(설정!$A$50,E524&amp;" "&amp;C524))),AND(설정!$A$51&lt;&gt;"",ISNUMBER(SEARCH(설정!$A$51,E524&amp;" "&amp;C524))))</f>
        <v/>
      </c>
      <c r="S524">
        <f>OR(D524="",D524&gt;=설정!$B$19)</f>
        <v/>
      </c>
      <c r="T524">
        <f>AND(Q524,R524,S524)</f>
        <v/>
      </c>
      <c r="U524">
        <f>IF(T524,IF(AND(설정!$A$54&lt;&gt;"",ISNUMBER(SEARCH(설정!$A$54,K524))),설정!$B$54,IF(AND(설정!$A$55&lt;&gt;"",ISNUMBER(SEARCH(설정!$A$55,K524))),설정!$B$55,IF(AND(설정!$A$56&lt;&gt;"",ISNUMBER(SEARCH(설정!$A$56,K524))),설정!$B$56,IF(AND(설정!$A$57&lt;&gt;"",ISNUMBER(SEARCH(설정!$A$57,K524))),설정!$B$57,IF(AND(설정!$A$58&lt;&gt;"",ISNUMBER(SEARCH(설정!$A$58,K524))),설정!$B$58,IF(AND(설정!$A$59&lt;&gt;"",ISNUMBER(SEARCH(설정!$A$59,K524))),설정!$B$59,IF(AND(설정!$A$60&lt;&gt;"",ISNUMBER(SEARCH(설정!$A$60,K524))),설정!$B$60,IF(AND(설정!$A$61&lt;&gt;"",ISNUMBER(SEARCH(설정!$A$61,K524))),설정!$B$61,IF(M524="","설계사","시공사"))))))))),"")</f>
        <v/>
      </c>
      <c r="V524">
        <f>SUBSTITUTE(SUBSTITUTE(SUBSTITUTE(SUBSTITUTE(G524,"(주)",""),"㈜",""),"주식회사","")," ","")</f>
        <v/>
      </c>
      <c r="W524">
        <f>IF(AND(T524,V524&lt;&gt;""),IF(COUNTIFS(V$2:V524,V524,T$2:T524,TRUE)=1,MAX(W$1:W523)+1,""),"")</f>
        <v/>
      </c>
      <c r="X524">
        <f>IF(설정!$C$14="","",IFERROR(INDEX('1.산군_붙여넣기'!$A$1:$AZ$1001,ROW(),설정!$C$14)&amp;"",""))</f>
        <v/>
      </c>
      <c r="Y524">
        <f>IF(설정!$C$15="","",IFERROR(INDEX('1.산군_붙여넣기'!$A$1:$AZ$1001,ROW(),설정!$C$15)&amp;"",""))</f>
        <v/>
      </c>
      <c r="Z524">
        <f>IF(T524,V524&amp;"|"&amp;U524,"")</f>
        <v/>
      </c>
      <c r="AA524">
        <f>IF(NOT(Q524),"",IF(NOT(AND(R524,S524)),"✕",IF(OR(OR(AND(L524&lt;&gt;"",M524&lt;&gt;"",N(M524)-N(L524)&gt;설정!$B$27),AND(L524&lt;&gt;"",M524="",설정!$B$24-N(L524)&gt;설정!$B$27)),AND(D524&lt;&gt;"",D524&lt;설정!$B$26)),"△","★")))</f>
        <v/>
      </c>
      <c r="AB524">
        <f>IF(NOT(T524),"",IF(U524="설계사",설정!$B$31,IF(U524="시공사",IF(OR(M524="",설정!$B$24-N(M524)&lt;=설정!$B$28*30.4),설정!$B$32,설정!$B$33),설정!$B$34))+IF(AA524="★",설정!$B$35,0))</f>
        <v/>
      </c>
      <c r="AC524">
        <f>SUBSTITUTE(SUBSTITUTE(SUBSTITUTE(SUBSTITUTE(H524,"(주)",""),"㈜",""),"주식회사","")," ","")</f>
        <v/>
      </c>
      <c r="AD524">
        <f>IF(AND(T524,AC524&lt;&gt;""),IF(COUNTIFS(AC$2:AC524,AC524,T$2:T524,TRUE)=1,MAX(AD$1:AD523)+1,""),"")</f>
        <v/>
      </c>
    </row>
    <row r="525">
      <c r="A525">
        <f>ROW()</f>
        <v/>
      </c>
      <c r="B525">
        <f>IF(설정!$C$4="","",IFERROR(INDEX('1.산군_붙여넣기'!$A$1:$AZ$1001,ROW(),설정!$C$4)&amp;"",""))</f>
        <v/>
      </c>
      <c r="C525">
        <f>IF(설정!$C$5="","",IFERROR(INDEX('1.산군_붙여넣기'!$A$1:$AZ$1001,ROW(),설정!$C$5)&amp;"",""))</f>
        <v/>
      </c>
      <c r="D525" s="5">
        <f>IFERROR(VALUE(SUBSTITUTE(SUBSTITUTE(SUBSTITUTE(IF(설정!$C$6="","",IFERROR(INDEX('1.산군_붙여넣기'!$A$1:$AZ$1001,ROW(),설정!$C$6)&amp;"","")),",",""),"㎡",""),"m2","")),"")</f>
        <v/>
      </c>
      <c r="E525">
        <f>IF(설정!$C$7="","",IFERROR(INDEX('1.산군_붙여넣기'!$A$1:$AZ$1001,ROW(),설정!$C$7)&amp;"",""))</f>
        <v/>
      </c>
      <c r="F525">
        <f>IF(설정!$C$8="","",IFERROR(INDEX('1.산군_붙여넣기'!$A$1:$AZ$1001,ROW(),설정!$C$8)&amp;"",""))</f>
        <v/>
      </c>
      <c r="G525">
        <f>IF(설정!$C$9="","",IFERROR(INDEX('1.산군_붙여넣기'!$A$1:$AZ$1001,ROW(),설정!$C$9)&amp;"",""))</f>
        <v/>
      </c>
      <c r="H525">
        <f>IF(설정!$C$10="","",IFERROR(INDEX('1.산군_붙여넣기'!$A$1:$AZ$1001,ROW(),설정!$C$10)&amp;"",""))</f>
        <v/>
      </c>
      <c r="I525">
        <f>IF(설정!$C$11="","",IFERROR(INDEX('1.산군_붙여넣기'!$A$1:$AZ$1001,ROW(),설정!$C$11)&amp;"",""))</f>
        <v/>
      </c>
      <c r="J525">
        <f>IF(설정!$C$12="","",IFERROR(INDEX('1.산군_붙여넣기'!$A$1:$AZ$1001,ROW(),설정!$C$12)&amp;"",""))</f>
        <v/>
      </c>
      <c r="K525">
        <f>IF(설정!$C$13="","",IFERROR(INDEX('1.산군_붙여넣기'!$A$1:$AZ$1001,ROW(),설정!$C$13)&amp;"",""))</f>
        <v/>
      </c>
      <c r="L525" s="7">
        <f>IF(X525="","",IF(AND(LEN(X525)=8,ISNUMBER(X525*1)),DATE(LEFT(X525,4),MID(X525,5,2),RIGHT(X525,2)),IFERROR(DATEVALUE(SUBSTITUTE(SUBSTITUTE(X525,".","-"),"/","-")),IFERROR(X525*1,""))))</f>
        <v/>
      </c>
      <c r="M525" s="7">
        <f>IF(Y525="","",IF(AND(LEN(Y525)=8,ISNUMBER(Y525*1)),DATE(LEFT(Y525,4),MID(Y525,5,2),RIGHT(Y525,2)),IFERROR(DATEVALUE(SUBSTITUTE(SUBSTITUTE(Y525,".","-"),"/","-")),IFERROR(Y525*1,""))))</f>
        <v/>
      </c>
      <c r="N525">
        <f>IFERROR(LEFT(B525,FIND(" ",B525)-1),B525)</f>
        <v/>
      </c>
      <c r="O525">
        <f>AND(B525&lt;&gt;"",B525&lt;&gt;설정!$B$4,C525&lt;&gt;설정!$B$5)</f>
        <v/>
      </c>
      <c r="P525">
        <f>IF(O525,B525&amp;"|"&amp;C525,"")</f>
        <v/>
      </c>
      <c r="Q525">
        <f>AND(O525,COUNTIF(P526:P$1002,P525)=0)</f>
        <v/>
      </c>
      <c r="R525">
        <f>OR(AND(설정!$A$42&lt;&gt;"",ISNUMBER(SEARCH(설정!$A$42,E525&amp;" "&amp;C525))),AND(설정!$A$43&lt;&gt;"",ISNUMBER(SEARCH(설정!$A$43,E525&amp;" "&amp;C525))),AND(설정!$A$44&lt;&gt;"",ISNUMBER(SEARCH(설정!$A$44,E525&amp;" "&amp;C525))),AND(설정!$A$45&lt;&gt;"",ISNUMBER(SEARCH(설정!$A$45,E525&amp;" "&amp;C525))),AND(설정!$A$46&lt;&gt;"",ISNUMBER(SEARCH(설정!$A$46,E525&amp;" "&amp;C525))),AND(설정!$A$47&lt;&gt;"",ISNUMBER(SEARCH(설정!$A$47,E525&amp;" "&amp;C525))),AND(설정!$A$48&lt;&gt;"",ISNUMBER(SEARCH(설정!$A$48,E525&amp;" "&amp;C525))),AND(설정!$A$49&lt;&gt;"",ISNUMBER(SEARCH(설정!$A$49,E525&amp;" "&amp;C525))),AND(설정!$A$50&lt;&gt;"",ISNUMBER(SEARCH(설정!$A$50,E525&amp;" "&amp;C525))),AND(설정!$A$51&lt;&gt;"",ISNUMBER(SEARCH(설정!$A$51,E525&amp;" "&amp;C525))))</f>
        <v/>
      </c>
      <c r="S525">
        <f>OR(D525="",D525&gt;=설정!$B$19)</f>
        <v/>
      </c>
      <c r="T525">
        <f>AND(Q525,R525,S525)</f>
        <v/>
      </c>
      <c r="U525">
        <f>IF(T525,IF(AND(설정!$A$54&lt;&gt;"",ISNUMBER(SEARCH(설정!$A$54,K525))),설정!$B$54,IF(AND(설정!$A$55&lt;&gt;"",ISNUMBER(SEARCH(설정!$A$55,K525))),설정!$B$55,IF(AND(설정!$A$56&lt;&gt;"",ISNUMBER(SEARCH(설정!$A$56,K525))),설정!$B$56,IF(AND(설정!$A$57&lt;&gt;"",ISNUMBER(SEARCH(설정!$A$57,K525))),설정!$B$57,IF(AND(설정!$A$58&lt;&gt;"",ISNUMBER(SEARCH(설정!$A$58,K525))),설정!$B$58,IF(AND(설정!$A$59&lt;&gt;"",ISNUMBER(SEARCH(설정!$A$59,K525))),설정!$B$59,IF(AND(설정!$A$60&lt;&gt;"",ISNUMBER(SEARCH(설정!$A$60,K525))),설정!$B$60,IF(AND(설정!$A$61&lt;&gt;"",ISNUMBER(SEARCH(설정!$A$61,K525))),설정!$B$61,IF(M525="","설계사","시공사"))))))))),"")</f>
        <v/>
      </c>
      <c r="V525">
        <f>SUBSTITUTE(SUBSTITUTE(SUBSTITUTE(SUBSTITUTE(G525,"(주)",""),"㈜",""),"주식회사","")," ","")</f>
        <v/>
      </c>
      <c r="W525">
        <f>IF(AND(T525,V525&lt;&gt;""),IF(COUNTIFS(V$2:V525,V525,T$2:T525,TRUE)=1,MAX(W$1:W524)+1,""),"")</f>
        <v/>
      </c>
      <c r="X525">
        <f>IF(설정!$C$14="","",IFERROR(INDEX('1.산군_붙여넣기'!$A$1:$AZ$1001,ROW(),설정!$C$14)&amp;"",""))</f>
        <v/>
      </c>
      <c r="Y525">
        <f>IF(설정!$C$15="","",IFERROR(INDEX('1.산군_붙여넣기'!$A$1:$AZ$1001,ROW(),설정!$C$15)&amp;"",""))</f>
        <v/>
      </c>
      <c r="Z525">
        <f>IF(T525,V525&amp;"|"&amp;U525,"")</f>
        <v/>
      </c>
      <c r="AA525">
        <f>IF(NOT(Q525),"",IF(NOT(AND(R525,S525)),"✕",IF(OR(OR(AND(L525&lt;&gt;"",M525&lt;&gt;"",N(M525)-N(L525)&gt;설정!$B$27),AND(L525&lt;&gt;"",M525="",설정!$B$24-N(L525)&gt;설정!$B$27)),AND(D525&lt;&gt;"",D525&lt;설정!$B$26)),"△","★")))</f>
        <v/>
      </c>
      <c r="AB525">
        <f>IF(NOT(T525),"",IF(U525="설계사",설정!$B$31,IF(U525="시공사",IF(OR(M525="",설정!$B$24-N(M525)&lt;=설정!$B$28*30.4),설정!$B$32,설정!$B$33),설정!$B$34))+IF(AA525="★",설정!$B$35,0))</f>
        <v/>
      </c>
      <c r="AC525">
        <f>SUBSTITUTE(SUBSTITUTE(SUBSTITUTE(SUBSTITUTE(H525,"(주)",""),"㈜",""),"주식회사","")," ","")</f>
        <v/>
      </c>
      <c r="AD525">
        <f>IF(AND(T525,AC525&lt;&gt;""),IF(COUNTIFS(AC$2:AC525,AC525,T$2:T525,TRUE)=1,MAX(AD$1:AD524)+1,""),"")</f>
        <v/>
      </c>
    </row>
    <row r="526">
      <c r="A526">
        <f>ROW()</f>
        <v/>
      </c>
      <c r="B526">
        <f>IF(설정!$C$4="","",IFERROR(INDEX('1.산군_붙여넣기'!$A$1:$AZ$1001,ROW(),설정!$C$4)&amp;"",""))</f>
        <v/>
      </c>
      <c r="C526">
        <f>IF(설정!$C$5="","",IFERROR(INDEX('1.산군_붙여넣기'!$A$1:$AZ$1001,ROW(),설정!$C$5)&amp;"",""))</f>
        <v/>
      </c>
      <c r="D526" s="5">
        <f>IFERROR(VALUE(SUBSTITUTE(SUBSTITUTE(SUBSTITUTE(IF(설정!$C$6="","",IFERROR(INDEX('1.산군_붙여넣기'!$A$1:$AZ$1001,ROW(),설정!$C$6)&amp;"","")),",",""),"㎡",""),"m2","")),"")</f>
        <v/>
      </c>
      <c r="E526">
        <f>IF(설정!$C$7="","",IFERROR(INDEX('1.산군_붙여넣기'!$A$1:$AZ$1001,ROW(),설정!$C$7)&amp;"",""))</f>
        <v/>
      </c>
      <c r="F526">
        <f>IF(설정!$C$8="","",IFERROR(INDEX('1.산군_붙여넣기'!$A$1:$AZ$1001,ROW(),설정!$C$8)&amp;"",""))</f>
        <v/>
      </c>
      <c r="G526">
        <f>IF(설정!$C$9="","",IFERROR(INDEX('1.산군_붙여넣기'!$A$1:$AZ$1001,ROW(),설정!$C$9)&amp;"",""))</f>
        <v/>
      </c>
      <c r="H526">
        <f>IF(설정!$C$10="","",IFERROR(INDEX('1.산군_붙여넣기'!$A$1:$AZ$1001,ROW(),설정!$C$10)&amp;"",""))</f>
        <v/>
      </c>
      <c r="I526">
        <f>IF(설정!$C$11="","",IFERROR(INDEX('1.산군_붙여넣기'!$A$1:$AZ$1001,ROW(),설정!$C$11)&amp;"",""))</f>
        <v/>
      </c>
      <c r="J526">
        <f>IF(설정!$C$12="","",IFERROR(INDEX('1.산군_붙여넣기'!$A$1:$AZ$1001,ROW(),설정!$C$12)&amp;"",""))</f>
        <v/>
      </c>
      <c r="K526">
        <f>IF(설정!$C$13="","",IFERROR(INDEX('1.산군_붙여넣기'!$A$1:$AZ$1001,ROW(),설정!$C$13)&amp;"",""))</f>
        <v/>
      </c>
      <c r="L526" s="7">
        <f>IF(X526="","",IF(AND(LEN(X526)=8,ISNUMBER(X526*1)),DATE(LEFT(X526,4),MID(X526,5,2),RIGHT(X526,2)),IFERROR(DATEVALUE(SUBSTITUTE(SUBSTITUTE(X526,".","-"),"/","-")),IFERROR(X526*1,""))))</f>
        <v/>
      </c>
      <c r="M526" s="7">
        <f>IF(Y526="","",IF(AND(LEN(Y526)=8,ISNUMBER(Y526*1)),DATE(LEFT(Y526,4),MID(Y526,5,2),RIGHT(Y526,2)),IFERROR(DATEVALUE(SUBSTITUTE(SUBSTITUTE(Y526,".","-"),"/","-")),IFERROR(Y526*1,""))))</f>
        <v/>
      </c>
      <c r="N526">
        <f>IFERROR(LEFT(B526,FIND(" ",B526)-1),B526)</f>
        <v/>
      </c>
      <c r="O526">
        <f>AND(B526&lt;&gt;"",B526&lt;&gt;설정!$B$4,C526&lt;&gt;설정!$B$5)</f>
        <v/>
      </c>
      <c r="P526">
        <f>IF(O526,B526&amp;"|"&amp;C526,"")</f>
        <v/>
      </c>
      <c r="Q526">
        <f>AND(O526,COUNTIF(P527:P$1002,P526)=0)</f>
        <v/>
      </c>
      <c r="R526">
        <f>OR(AND(설정!$A$42&lt;&gt;"",ISNUMBER(SEARCH(설정!$A$42,E526&amp;" "&amp;C526))),AND(설정!$A$43&lt;&gt;"",ISNUMBER(SEARCH(설정!$A$43,E526&amp;" "&amp;C526))),AND(설정!$A$44&lt;&gt;"",ISNUMBER(SEARCH(설정!$A$44,E526&amp;" "&amp;C526))),AND(설정!$A$45&lt;&gt;"",ISNUMBER(SEARCH(설정!$A$45,E526&amp;" "&amp;C526))),AND(설정!$A$46&lt;&gt;"",ISNUMBER(SEARCH(설정!$A$46,E526&amp;" "&amp;C526))),AND(설정!$A$47&lt;&gt;"",ISNUMBER(SEARCH(설정!$A$47,E526&amp;" "&amp;C526))),AND(설정!$A$48&lt;&gt;"",ISNUMBER(SEARCH(설정!$A$48,E526&amp;" "&amp;C526))),AND(설정!$A$49&lt;&gt;"",ISNUMBER(SEARCH(설정!$A$49,E526&amp;" "&amp;C526))),AND(설정!$A$50&lt;&gt;"",ISNUMBER(SEARCH(설정!$A$50,E526&amp;" "&amp;C526))),AND(설정!$A$51&lt;&gt;"",ISNUMBER(SEARCH(설정!$A$51,E526&amp;" "&amp;C526))))</f>
        <v/>
      </c>
      <c r="S526">
        <f>OR(D526="",D526&gt;=설정!$B$19)</f>
        <v/>
      </c>
      <c r="T526">
        <f>AND(Q526,R526,S526)</f>
        <v/>
      </c>
      <c r="U526">
        <f>IF(T526,IF(AND(설정!$A$54&lt;&gt;"",ISNUMBER(SEARCH(설정!$A$54,K526))),설정!$B$54,IF(AND(설정!$A$55&lt;&gt;"",ISNUMBER(SEARCH(설정!$A$55,K526))),설정!$B$55,IF(AND(설정!$A$56&lt;&gt;"",ISNUMBER(SEARCH(설정!$A$56,K526))),설정!$B$56,IF(AND(설정!$A$57&lt;&gt;"",ISNUMBER(SEARCH(설정!$A$57,K526))),설정!$B$57,IF(AND(설정!$A$58&lt;&gt;"",ISNUMBER(SEARCH(설정!$A$58,K526))),설정!$B$58,IF(AND(설정!$A$59&lt;&gt;"",ISNUMBER(SEARCH(설정!$A$59,K526))),설정!$B$59,IF(AND(설정!$A$60&lt;&gt;"",ISNUMBER(SEARCH(설정!$A$60,K526))),설정!$B$60,IF(AND(설정!$A$61&lt;&gt;"",ISNUMBER(SEARCH(설정!$A$61,K526))),설정!$B$61,IF(M526="","설계사","시공사"))))))))),"")</f>
        <v/>
      </c>
      <c r="V526">
        <f>SUBSTITUTE(SUBSTITUTE(SUBSTITUTE(SUBSTITUTE(G526,"(주)",""),"㈜",""),"주식회사","")," ","")</f>
        <v/>
      </c>
      <c r="W526">
        <f>IF(AND(T526,V526&lt;&gt;""),IF(COUNTIFS(V$2:V526,V526,T$2:T526,TRUE)=1,MAX(W$1:W525)+1,""),"")</f>
        <v/>
      </c>
      <c r="X526">
        <f>IF(설정!$C$14="","",IFERROR(INDEX('1.산군_붙여넣기'!$A$1:$AZ$1001,ROW(),설정!$C$14)&amp;"",""))</f>
        <v/>
      </c>
      <c r="Y526">
        <f>IF(설정!$C$15="","",IFERROR(INDEX('1.산군_붙여넣기'!$A$1:$AZ$1001,ROW(),설정!$C$15)&amp;"",""))</f>
        <v/>
      </c>
      <c r="Z526">
        <f>IF(T526,V526&amp;"|"&amp;U526,"")</f>
        <v/>
      </c>
      <c r="AA526">
        <f>IF(NOT(Q526),"",IF(NOT(AND(R526,S526)),"✕",IF(OR(OR(AND(L526&lt;&gt;"",M526&lt;&gt;"",N(M526)-N(L526)&gt;설정!$B$27),AND(L526&lt;&gt;"",M526="",설정!$B$24-N(L526)&gt;설정!$B$27)),AND(D526&lt;&gt;"",D526&lt;설정!$B$26)),"△","★")))</f>
        <v/>
      </c>
      <c r="AB526">
        <f>IF(NOT(T526),"",IF(U526="설계사",설정!$B$31,IF(U526="시공사",IF(OR(M526="",설정!$B$24-N(M526)&lt;=설정!$B$28*30.4),설정!$B$32,설정!$B$33),설정!$B$34))+IF(AA526="★",설정!$B$35,0))</f>
        <v/>
      </c>
      <c r="AC526">
        <f>SUBSTITUTE(SUBSTITUTE(SUBSTITUTE(SUBSTITUTE(H526,"(주)",""),"㈜",""),"주식회사","")," ","")</f>
        <v/>
      </c>
      <c r="AD526">
        <f>IF(AND(T526,AC526&lt;&gt;""),IF(COUNTIFS(AC$2:AC526,AC526,T$2:T526,TRUE)=1,MAX(AD$1:AD525)+1,""),"")</f>
        <v/>
      </c>
    </row>
    <row r="527">
      <c r="A527">
        <f>ROW()</f>
        <v/>
      </c>
      <c r="B527">
        <f>IF(설정!$C$4="","",IFERROR(INDEX('1.산군_붙여넣기'!$A$1:$AZ$1001,ROW(),설정!$C$4)&amp;"",""))</f>
        <v/>
      </c>
      <c r="C527">
        <f>IF(설정!$C$5="","",IFERROR(INDEX('1.산군_붙여넣기'!$A$1:$AZ$1001,ROW(),설정!$C$5)&amp;"",""))</f>
        <v/>
      </c>
      <c r="D527" s="5">
        <f>IFERROR(VALUE(SUBSTITUTE(SUBSTITUTE(SUBSTITUTE(IF(설정!$C$6="","",IFERROR(INDEX('1.산군_붙여넣기'!$A$1:$AZ$1001,ROW(),설정!$C$6)&amp;"","")),",",""),"㎡",""),"m2","")),"")</f>
        <v/>
      </c>
      <c r="E527">
        <f>IF(설정!$C$7="","",IFERROR(INDEX('1.산군_붙여넣기'!$A$1:$AZ$1001,ROW(),설정!$C$7)&amp;"",""))</f>
        <v/>
      </c>
      <c r="F527">
        <f>IF(설정!$C$8="","",IFERROR(INDEX('1.산군_붙여넣기'!$A$1:$AZ$1001,ROW(),설정!$C$8)&amp;"",""))</f>
        <v/>
      </c>
      <c r="G527">
        <f>IF(설정!$C$9="","",IFERROR(INDEX('1.산군_붙여넣기'!$A$1:$AZ$1001,ROW(),설정!$C$9)&amp;"",""))</f>
        <v/>
      </c>
      <c r="H527">
        <f>IF(설정!$C$10="","",IFERROR(INDEX('1.산군_붙여넣기'!$A$1:$AZ$1001,ROW(),설정!$C$10)&amp;"",""))</f>
        <v/>
      </c>
      <c r="I527">
        <f>IF(설정!$C$11="","",IFERROR(INDEX('1.산군_붙여넣기'!$A$1:$AZ$1001,ROW(),설정!$C$11)&amp;"",""))</f>
        <v/>
      </c>
      <c r="J527">
        <f>IF(설정!$C$12="","",IFERROR(INDEX('1.산군_붙여넣기'!$A$1:$AZ$1001,ROW(),설정!$C$12)&amp;"",""))</f>
        <v/>
      </c>
      <c r="K527">
        <f>IF(설정!$C$13="","",IFERROR(INDEX('1.산군_붙여넣기'!$A$1:$AZ$1001,ROW(),설정!$C$13)&amp;"",""))</f>
        <v/>
      </c>
      <c r="L527" s="7">
        <f>IF(X527="","",IF(AND(LEN(X527)=8,ISNUMBER(X527*1)),DATE(LEFT(X527,4),MID(X527,5,2),RIGHT(X527,2)),IFERROR(DATEVALUE(SUBSTITUTE(SUBSTITUTE(X527,".","-"),"/","-")),IFERROR(X527*1,""))))</f>
        <v/>
      </c>
      <c r="M527" s="7">
        <f>IF(Y527="","",IF(AND(LEN(Y527)=8,ISNUMBER(Y527*1)),DATE(LEFT(Y527,4),MID(Y527,5,2),RIGHT(Y527,2)),IFERROR(DATEVALUE(SUBSTITUTE(SUBSTITUTE(Y527,".","-"),"/","-")),IFERROR(Y527*1,""))))</f>
        <v/>
      </c>
      <c r="N527">
        <f>IFERROR(LEFT(B527,FIND(" ",B527)-1),B527)</f>
        <v/>
      </c>
      <c r="O527">
        <f>AND(B527&lt;&gt;"",B527&lt;&gt;설정!$B$4,C527&lt;&gt;설정!$B$5)</f>
        <v/>
      </c>
      <c r="P527">
        <f>IF(O527,B527&amp;"|"&amp;C527,"")</f>
        <v/>
      </c>
      <c r="Q527">
        <f>AND(O527,COUNTIF(P528:P$1002,P527)=0)</f>
        <v/>
      </c>
      <c r="R527">
        <f>OR(AND(설정!$A$42&lt;&gt;"",ISNUMBER(SEARCH(설정!$A$42,E527&amp;" "&amp;C527))),AND(설정!$A$43&lt;&gt;"",ISNUMBER(SEARCH(설정!$A$43,E527&amp;" "&amp;C527))),AND(설정!$A$44&lt;&gt;"",ISNUMBER(SEARCH(설정!$A$44,E527&amp;" "&amp;C527))),AND(설정!$A$45&lt;&gt;"",ISNUMBER(SEARCH(설정!$A$45,E527&amp;" "&amp;C527))),AND(설정!$A$46&lt;&gt;"",ISNUMBER(SEARCH(설정!$A$46,E527&amp;" "&amp;C527))),AND(설정!$A$47&lt;&gt;"",ISNUMBER(SEARCH(설정!$A$47,E527&amp;" "&amp;C527))),AND(설정!$A$48&lt;&gt;"",ISNUMBER(SEARCH(설정!$A$48,E527&amp;" "&amp;C527))),AND(설정!$A$49&lt;&gt;"",ISNUMBER(SEARCH(설정!$A$49,E527&amp;" "&amp;C527))),AND(설정!$A$50&lt;&gt;"",ISNUMBER(SEARCH(설정!$A$50,E527&amp;" "&amp;C527))),AND(설정!$A$51&lt;&gt;"",ISNUMBER(SEARCH(설정!$A$51,E527&amp;" "&amp;C527))))</f>
        <v/>
      </c>
      <c r="S527">
        <f>OR(D527="",D527&gt;=설정!$B$19)</f>
        <v/>
      </c>
      <c r="T527">
        <f>AND(Q527,R527,S527)</f>
        <v/>
      </c>
      <c r="U527">
        <f>IF(T527,IF(AND(설정!$A$54&lt;&gt;"",ISNUMBER(SEARCH(설정!$A$54,K527))),설정!$B$54,IF(AND(설정!$A$55&lt;&gt;"",ISNUMBER(SEARCH(설정!$A$55,K527))),설정!$B$55,IF(AND(설정!$A$56&lt;&gt;"",ISNUMBER(SEARCH(설정!$A$56,K527))),설정!$B$56,IF(AND(설정!$A$57&lt;&gt;"",ISNUMBER(SEARCH(설정!$A$57,K527))),설정!$B$57,IF(AND(설정!$A$58&lt;&gt;"",ISNUMBER(SEARCH(설정!$A$58,K527))),설정!$B$58,IF(AND(설정!$A$59&lt;&gt;"",ISNUMBER(SEARCH(설정!$A$59,K527))),설정!$B$59,IF(AND(설정!$A$60&lt;&gt;"",ISNUMBER(SEARCH(설정!$A$60,K527))),설정!$B$60,IF(AND(설정!$A$61&lt;&gt;"",ISNUMBER(SEARCH(설정!$A$61,K527))),설정!$B$61,IF(M527="","설계사","시공사"))))))))),"")</f>
        <v/>
      </c>
      <c r="V527">
        <f>SUBSTITUTE(SUBSTITUTE(SUBSTITUTE(SUBSTITUTE(G527,"(주)",""),"㈜",""),"주식회사","")," ","")</f>
        <v/>
      </c>
      <c r="W527">
        <f>IF(AND(T527,V527&lt;&gt;""),IF(COUNTIFS(V$2:V527,V527,T$2:T527,TRUE)=1,MAX(W$1:W526)+1,""),"")</f>
        <v/>
      </c>
      <c r="X527">
        <f>IF(설정!$C$14="","",IFERROR(INDEX('1.산군_붙여넣기'!$A$1:$AZ$1001,ROW(),설정!$C$14)&amp;"",""))</f>
        <v/>
      </c>
      <c r="Y527">
        <f>IF(설정!$C$15="","",IFERROR(INDEX('1.산군_붙여넣기'!$A$1:$AZ$1001,ROW(),설정!$C$15)&amp;"",""))</f>
        <v/>
      </c>
      <c r="Z527">
        <f>IF(T527,V527&amp;"|"&amp;U527,"")</f>
        <v/>
      </c>
      <c r="AA527">
        <f>IF(NOT(Q527),"",IF(NOT(AND(R527,S527)),"✕",IF(OR(OR(AND(L527&lt;&gt;"",M527&lt;&gt;"",N(M527)-N(L527)&gt;설정!$B$27),AND(L527&lt;&gt;"",M527="",설정!$B$24-N(L527)&gt;설정!$B$27)),AND(D527&lt;&gt;"",D527&lt;설정!$B$26)),"△","★")))</f>
        <v/>
      </c>
      <c r="AB527">
        <f>IF(NOT(T527),"",IF(U527="설계사",설정!$B$31,IF(U527="시공사",IF(OR(M527="",설정!$B$24-N(M527)&lt;=설정!$B$28*30.4),설정!$B$32,설정!$B$33),설정!$B$34))+IF(AA527="★",설정!$B$35,0))</f>
        <v/>
      </c>
      <c r="AC527">
        <f>SUBSTITUTE(SUBSTITUTE(SUBSTITUTE(SUBSTITUTE(H527,"(주)",""),"㈜",""),"주식회사","")," ","")</f>
        <v/>
      </c>
      <c r="AD527">
        <f>IF(AND(T527,AC527&lt;&gt;""),IF(COUNTIFS(AC$2:AC527,AC527,T$2:T527,TRUE)=1,MAX(AD$1:AD526)+1,""),"")</f>
        <v/>
      </c>
    </row>
    <row r="528">
      <c r="A528">
        <f>ROW()</f>
        <v/>
      </c>
      <c r="B528">
        <f>IF(설정!$C$4="","",IFERROR(INDEX('1.산군_붙여넣기'!$A$1:$AZ$1001,ROW(),설정!$C$4)&amp;"",""))</f>
        <v/>
      </c>
      <c r="C528">
        <f>IF(설정!$C$5="","",IFERROR(INDEX('1.산군_붙여넣기'!$A$1:$AZ$1001,ROW(),설정!$C$5)&amp;"",""))</f>
        <v/>
      </c>
      <c r="D528" s="5">
        <f>IFERROR(VALUE(SUBSTITUTE(SUBSTITUTE(SUBSTITUTE(IF(설정!$C$6="","",IFERROR(INDEX('1.산군_붙여넣기'!$A$1:$AZ$1001,ROW(),설정!$C$6)&amp;"","")),",",""),"㎡",""),"m2","")),"")</f>
        <v/>
      </c>
      <c r="E528">
        <f>IF(설정!$C$7="","",IFERROR(INDEX('1.산군_붙여넣기'!$A$1:$AZ$1001,ROW(),설정!$C$7)&amp;"",""))</f>
        <v/>
      </c>
      <c r="F528">
        <f>IF(설정!$C$8="","",IFERROR(INDEX('1.산군_붙여넣기'!$A$1:$AZ$1001,ROW(),설정!$C$8)&amp;"",""))</f>
        <v/>
      </c>
      <c r="G528">
        <f>IF(설정!$C$9="","",IFERROR(INDEX('1.산군_붙여넣기'!$A$1:$AZ$1001,ROW(),설정!$C$9)&amp;"",""))</f>
        <v/>
      </c>
      <c r="H528">
        <f>IF(설정!$C$10="","",IFERROR(INDEX('1.산군_붙여넣기'!$A$1:$AZ$1001,ROW(),설정!$C$10)&amp;"",""))</f>
        <v/>
      </c>
      <c r="I528">
        <f>IF(설정!$C$11="","",IFERROR(INDEX('1.산군_붙여넣기'!$A$1:$AZ$1001,ROW(),설정!$C$11)&amp;"",""))</f>
        <v/>
      </c>
      <c r="J528">
        <f>IF(설정!$C$12="","",IFERROR(INDEX('1.산군_붙여넣기'!$A$1:$AZ$1001,ROW(),설정!$C$12)&amp;"",""))</f>
        <v/>
      </c>
      <c r="K528">
        <f>IF(설정!$C$13="","",IFERROR(INDEX('1.산군_붙여넣기'!$A$1:$AZ$1001,ROW(),설정!$C$13)&amp;"",""))</f>
        <v/>
      </c>
      <c r="L528" s="7">
        <f>IF(X528="","",IF(AND(LEN(X528)=8,ISNUMBER(X528*1)),DATE(LEFT(X528,4),MID(X528,5,2),RIGHT(X528,2)),IFERROR(DATEVALUE(SUBSTITUTE(SUBSTITUTE(X528,".","-"),"/","-")),IFERROR(X528*1,""))))</f>
        <v/>
      </c>
      <c r="M528" s="7">
        <f>IF(Y528="","",IF(AND(LEN(Y528)=8,ISNUMBER(Y528*1)),DATE(LEFT(Y528,4),MID(Y528,5,2),RIGHT(Y528,2)),IFERROR(DATEVALUE(SUBSTITUTE(SUBSTITUTE(Y528,".","-"),"/","-")),IFERROR(Y528*1,""))))</f>
        <v/>
      </c>
      <c r="N528">
        <f>IFERROR(LEFT(B528,FIND(" ",B528)-1),B528)</f>
        <v/>
      </c>
      <c r="O528">
        <f>AND(B528&lt;&gt;"",B528&lt;&gt;설정!$B$4,C528&lt;&gt;설정!$B$5)</f>
        <v/>
      </c>
      <c r="P528">
        <f>IF(O528,B528&amp;"|"&amp;C528,"")</f>
        <v/>
      </c>
      <c r="Q528">
        <f>AND(O528,COUNTIF(P529:P$1002,P528)=0)</f>
        <v/>
      </c>
      <c r="R528">
        <f>OR(AND(설정!$A$42&lt;&gt;"",ISNUMBER(SEARCH(설정!$A$42,E528&amp;" "&amp;C528))),AND(설정!$A$43&lt;&gt;"",ISNUMBER(SEARCH(설정!$A$43,E528&amp;" "&amp;C528))),AND(설정!$A$44&lt;&gt;"",ISNUMBER(SEARCH(설정!$A$44,E528&amp;" "&amp;C528))),AND(설정!$A$45&lt;&gt;"",ISNUMBER(SEARCH(설정!$A$45,E528&amp;" "&amp;C528))),AND(설정!$A$46&lt;&gt;"",ISNUMBER(SEARCH(설정!$A$46,E528&amp;" "&amp;C528))),AND(설정!$A$47&lt;&gt;"",ISNUMBER(SEARCH(설정!$A$47,E528&amp;" "&amp;C528))),AND(설정!$A$48&lt;&gt;"",ISNUMBER(SEARCH(설정!$A$48,E528&amp;" "&amp;C528))),AND(설정!$A$49&lt;&gt;"",ISNUMBER(SEARCH(설정!$A$49,E528&amp;" "&amp;C528))),AND(설정!$A$50&lt;&gt;"",ISNUMBER(SEARCH(설정!$A$50,E528&amp;" "&amp;C528))),AND(설정!$A$51&lt;&gt;"",ISNUMBER(SEARCH(설정!$A$51,E528&amp;" "&amp;C528))))</f>
        <v/>
      </c>
      <c r="S528">
        <f>OR(D528="",D528&gt;=설정!$B$19)</f>
        <v/>
      </c>
      <c r="T528">
        <f>AND(Q528,R528,S528)</f>
        <v/>
      </c>
      <c r="U528">
        <f>IF(T528,IF(AND(설정!$A$54&lt;&gt;"",ISNUMBER(SEARCH(설정!$A$54,K528))),설정!$B$54,IF(AND(설정!$A$55&lt;&gt;"",ISNUMBER(SEARCH(설정!$A$55,K528))),설정!$B$55,IF(AND(설정!$A$56&lt;&gt;"",ISNUMBER(SEARCH(설정!$A$56,K528))),설정!$B$56,IF(AND(설정!$A$57&lt;&gt;"",ISNUMBER(SEARCH(설정!$A$57,K528))),설정!$B$57,IF(AND(설정!$A$58&lt;&gt;"",ISNUMBER(SEARCH(설정!$A$58,K528))),설정!$B$58,IF(AND(설정!$A$59&lt;&gt;"",ISNUMBER(SEARCH(설정!$A$59,K528))),설정!$B$59,IF(AND(설정!$A$60&lt;&gt;"",ISNUMBER(SEARCH(설정!$A$60,K528))),설정!$B$60,IF(AND(설정!$A$61&lt;&gt;"",ISNUMBER(SEARCH(설정!$A$61,K528))),설정!$B$61,IF(M528="","설계사","시공사"))))))))),"")</f>
        <v/>
      </c>
      <c r="V528">
        <f>SUBSTITUTE(SUBSTITUTE(SUBSTITUTE(SUBSTITUTE(G528,"(주)",""),"㈜",""),"주식회사","")," ","")</f>
        <v/>
      </c>
      <c r="W528">
        <f>IF(AND(T528,V528&lt;&gt;""),IF(COUNTIFS(V$2:V528,V528,T$2:T528,TRUE)=1,MAX(W$1:W527)+1,""),"")</f>
        <v/>
      </c>
      <c r="X528">
        <f>IF(설정!$C$14="","",IFERROR(INDEX('1.산군_붙여넣기'!$A$1:$AZ$1001,ROW(),설정!$C$14)&amp;"",""))</f>
        <v/>
      </c>
      <c r="Y528">
        <f>IF(설정!$C$15="","",IFERROR(INDEX('1.산군_붙여넣기'!$A$1:$AZ$1001,ROW(),설정!$C$15)&amp;"",""))</f>
        <v/>
      </c>
      <c r="Z528">
        <f>IF(T528,V528&amp;"|"&amp;U528,"")</f>
        <v/>
      </c>
      <c r="AA528">
        <f>IF(NOT(Q528),"",IF(NOT(AND(R528,S528)),"✕",IF(OR(OR(AND(L528&lt;&gt;"",M528&lt;&gt;"",N(M528)-N(L528)&gt;설정!$B$27),AND(L528&lt;&gt;"",M528="",설정!$B$24-N(L528)&gt;설정!$B$27)),AND(D528&lt;&gt;"",D528&lt;설정!$B$26)),"△","★")))</f>
        <v/>
      </c>
      <c r="AB528">
        <f>IF(NOT(T528),"",IF(U528="설계사",설정!$B$31,IF(U528="시공사",IF(OR(M528="",설정!$B$24-N(M528)&lt;=설정!$B$28*30.4),설정!$B$32,설정!$B$33),설정!$B$34))+IF(AA528="★",설정!$B$35,0))</f>
        <v/>
      </c>
      <c r="AC528">
        <f>SUBSTITUTE(SUBSTITUTE(SUBSTITUTE(SUBSTITUTE(H528,"(주)",""),"㈜",""),"주식회사","")," ","")</f>
        <v/>
      </c>
      <c r="AD528">
        <f>IF(AND(T528,AC528&lt;&gt;""),IF(COUNTIFS(AC$2:AC528,AC528,T$2:T528,TRUE)=1,MAX(AD$1:AD527)+1,""),"")</f>
        <v/>
      </c>
    </row>
    <row r="529">
      <c r="A529">
        <f>ROW()</f>
        <v/>
      </c>
      <c r="B529">
        <f>IF(설정!$C$4="","",IFERROR(INDEX('1.산군_붙여넣기'!$A$1:$AZ$1001,ROW(),설정!$C$4)&amp;"",""))</f>
        <v/>
      </c>
      <c r="C529">
        <f>IF(설정!$C$5="","",IFERROR(INDEX('1.산군_붙여넣기'!$A$1:$AZ$1001,ROW(),설정!$C$5)&amp;"",""))</f>
        <v/>
      </c>
      <c r="D529" s="5">
        <f>IFERROR(VALUE(SUBSTITUTE(SUBSTITUTE(SUBSTITUTE(IF(설정!$C$6="","",IFERROR(INDEX('1.산군_붙여넣기'!$A$1:$AZ$1001,ROW(),설정!$C$6)&amp;"","")),",",""),"㎡",""),"m2","")),"")</f>
        <v/>
      </c>
      <c r="E529">
        <f>IF(설정!$C$7="","",IFERROR(INDEX('1.산군_붙여넣기'!$A$1:$AZ$1001,ROW(),설정!$C$7)&amp;"",""))</f>
        <v/>
      </c>
      <c r="F529">
        <f>IF(설정!$C$8="","",IFERROR(INDEX('1.산군_붙여넣기'!$A$1:$AZ$1001,ROW(),설정!$C$8)&amp;"",""))</f>
        <v/>
      </c>
      <c r="G529">
        <f>IF(설정!$C$9="","",IFERROR(INDEX('1.산군_붙여넣기'!$A$1:$AZ$1001,ROW(),설정!$C$9)&amp;"",""))</f>
        <v/>
      </c>
      <c r="H529">
        <f>IF(설정!$C$10="","",IFERROR(INDEX('1.산군_붙여넣기'!$A$1:$AZ$1001,ROW(),설정!$C$10)&amp;"",""))</f>
        <v/>
      </c>
      <c r="I529">
        <f>IF(설정!$C$11="","",IFERROR(INDEX('1.산군_붙여넣기'!$A$1:$AZ$1001,ROW(),설정!$C$11)&amp;"",""))</f>
        <v/>
      </c>
      <c r="J529">
        <f>IF(설정!$C$12="","",IFERROR(INDEX('1.산군_붙여넣기'!$A$1:$AZ$1001,ROW(),설정!$C$12)&amp;"",""))</f>
        <v/>
      </c>
      <c r="K529">
        <f>IF(설정!$C$13="","",IFERROR(INDEX('1.산군_붙여넣기'!$A$1:$AZ$1001,ROW(),설정!$C$13)&amp;"",""))</f>
        <v/>
      </c>
      <c r="L529" s="7">
        <f>IF(X529="","",IF(AND(LEN(X529)=8,ISNUMBER(X529*1)),DATE(LEFT(X529,4),MID(X529,5,2),RIGHT(X529,2)),IFERROR(DATEVALUE(SUBSTITUTE(SUBSTITUTE(X529,".","-"),"/","-")),IFERROR(X529*1,""))))</f>
        <v/>
      </c>
      <c r="M529" s="7">
        <f>IF(Y529="","",IF(AND(LEN(Y529)=8,ISNUMBER(Y529*1)),DATE(LEFT(Y529,4),MID(Y529,5,2),RIGHT(Y529,2)),IFERROR(DATEVALUE(SUBSTITUTE(SUBSTITUTE(Y529,".","-"),"/","-")),IFERROR(Y529*1,""))))</f>
        <v/>
      </c>
      <c r="N529">
        <f>IFERROR(LEFT(B529,FIND(" ",B529)-1),B529)</f>
        <v/>
      </c>
      <c r="O529">
        <f>AND(B529&lt;&gt;"",B529&lt;&gt;설정!$B$4,C529&lt;&gt;설정!$B$5)</f>
        <v/>
      </c>
      <c r="P529">
        <f>IF(O529,B529&amp;"|"&amp;C529,"")</f>
        <v/>
      </c>
      <c r="Q529">
        <f>AND(O529,COUNTIF(P530:P$1002,P529)=0)</f>
        <v/>
      </c>
      <c r="R529">
        <f>OR(AND(설정!$A$42&lt;&gt;"",ISNUMBER(SEARCH(설정!$A$42,E529&amp;" "&amp;C529))),AND(설정!$A$43&lt;&gt;"",ISNUMBER(SEARCH(설정!$A$43,E529&amp;" "&amp;C529))),AND(설정!$A$44&lt;&gt;"",ISNUMBER(SEARCH(설정!$A$44,E529&amp;" "&amp;C529))),AND(설정!$A$45&lt;&gt;"",ISNUMBER(SEARCH(설정!$A$45,E529&amp;" "&amp;C529))),AND(설정!$A$46&lt;&gt;"",ISNUMBER(SEARCH(설정!$A$46,E529&amp;" "&amp;C529))),AND(설정!$A$47&lt;&gt;"",ISNUMBER(SEARCH(설정!$A$47,E529&amp;" "&amp;C529))),AND(설정!$A$48&lt;&gt;"",ISNUMBER(SEARCH(설정!$A$48,E529&amp;" "&amp;C529))),AND(설정!$A$49&lt;&gt;"",ISNUMBER(SEARCH(설정!$A$49,E529&amp;" "&amp;C529))),AND(설정!$A$50&lt;&gt;"",ISNUMBER(SEARCH(설정!$A$50,E529&amp;" "&amp;C529))),AND(설정!$A$51&lt;&gt;"",ISNUMBER(SEARCH(설정!$A$51,E529&amp;" "&amp;C529))))</f>
        <v/>
      </c>
      <c r="S529">
        <f>OR(D529="",D529&gt;=설정!$B$19)</f>
        <v/>
      </c>
      <c r="T529">
        <f>AND(Q529,R529,S529)</f>
        <v/>
      </c>
      <c r="U529">
        <f>IF(T529,IF(AND(설정!$A$54&lt;&gt;"",ISNUMBER(SEARCH(설정!$A$54,K529))),설정!$B$54,IF(AND(설정!$A$55&lt;&gt;"",ISNUMBER(SEARCH(설정!$A$55,K529))),설정!$B$55,IF(AND(설정!$A$56&lt;&gt;"",ISNUMBER(SEARCH(설정!$A$56,K529))),설정!$B$56,IF(AND(설정!$A$57&lt;&gt;"",ISNUMBER(SEARCH(설정!$A$57,K529))),설정!$B$57,IF(AND(설정!$A$58&lt;&gt;"",ISNUMBER(SEARCH(설정!$A$58,K529))),설정!$B$58,IF(AND(설정!$A$59&lt;&gt;"",ISNUMBER(SEARCH(설정!$A$59,K529))),설정!$B$59,IF(AND(설정!$A$60&lt;&gt;"",ISNUMBER(SEARCH(설정!$A$60,K529))),설정!$B$60,IF(AND(설정!$A$61&lt;&gt;"",ISNUMBER(SEARCH(설정!$A$61,K529))),설정!$B$61,IF(M529="","설계사","시공사"))))))))),"")</f>
        <v/>
      </c>
      <c r="V529">
        <f>SUBSTITUTE(SUBSTITUTE(SUBSTITUTE(SUBSTITUTE(G529,"(주)",""),"㈜",""),"주식회사","")," ","")</f>
        <v/>
      </c>
      <c r="W529">
        <f>IF(AND(T529,V529&lt;&gt;""),IF(COUNTIFS(V$2:V529,V529,T$2:T529,TRUE)=1,MAX(W$1:W528)+1,""),"")</f>
        <v/>
      </c>
      <c r="X529">
        <f>IF(설정!$C$14="","",IFERROR(INDEX('1.산군_붙여넣기'!$A$1:$AZ$1001,ROW(),설정!$C$14)&amp;"",""))</f>
        <v/>
      </c>
      <c r="Y529">
        <f>IF(설정!$C$15="","",IFERROR(INDEX('1.산군_붙여넣기'!$A$1:$AZ$1001,ROW(),설정!$C$15)&amp;"",""))</f>
        <v/>
      </c>
      <c r="Z529">
        <f>IF(T529,V529&amp;"|"&amp;U529,"")</f>
        <v/>
      </c>
      <c r="AA529">
        <f>IF(NOT(Q529),"",IF(NOT(AND(R529,S529)),"✕",IF(OR(OR(AND(L529&lt;&gt;"",M529&lt;&gt;"",N(M529)-N(L529)&gt;설정!$B$27),AND(L529&lt;&gt;"",M529="",설정!$B$24-N(L529)&gt;설정!$B$27)),AND(D529&lt;&gt;"",D529&lt;설정!$B$26)),"△","★")))</f>
        <v/>
      </c>
      <c r="AB529">
        <f>IF(NOT(T529),"",IF(U529="설계사",설정!$B$31,IF(U529="시공사",IF(OR(M529="",설정!$B$24-N(M529)&lt;=설정!$B$28*30.4),설정!$B$32,설정!$B$33),설정!$B$34))+IF(AA529="★",설정!$B$35,0))</f>
        <v/>
      </c>
      <c r="AC529">
        <f>SUBSTITUTE(SUBSTITUTE(SUBSTITUTE(SUBSTITUTE(H529,"(주)",""),"㈜",""),"주식회사","")," ","")</f>
        <v/>
      </c>
      <c r="AD529">
        <f>IF(AND(T529,AC529&lt;&gt;""),IF(COUNTIFS(AC$2:AC529,AC529,T$2:T529,TRUE)=1,MAX(AD$1:AD528)+1,""),"")</f>
        <v/>
      </c>
    </row>
    <row r="530">
      <c r="A530">
        <f>ROW()</f>
        <v/>
      </c>
      <c r="B530">
        <f>IF(설정!$C$4="","",IFERROR(INDEX('1.산군_붙여넣기'!$A$1:$AZ$1001,ROW(),설정!$C$4)&amp;"",""))</f>
        <v/>
      </c>
      <c r="C530">
        <f>IF(설정!$C$5="","",IFERROR(INDEX('1.산군_붙여넣기'!$A$1:$AZ$1001,ROW(),설정!$C$5)&amp;"",""))</f>
        <v/>
      </c>
      <c r="D530" s="5">
        <f>IFERROR(VALUE(SUBSTITUTE(SUBSTITUTE(SUBSTITUTE(IF(설정!$C$6="","",IFERROR(INDEX('1.산군_붙여넣기'!$A$1:$AZ$1001,ROW(),설정!$C$6)&amp;"","")),",",""),"㎡",""),"m2","")),"")</f>
        <v/>
      </c>
      <c r="E530">
        <f>IF(설정!$C$7="","",IFERROR(INDEX('1.산군_붙여넣기'!$A$1:$AZ$1001,ROW(),설정!$C$7)&amp;"",""))</f>
        <v/>
      </c>
      <c r="F530">
        <f>IF(설정!$C$8="","",IFERROR(INDEX('1.산군_붙여넣기'!$A$1:$AZ$1001,ROW(),설정!$C$8)&amp;"",""))</f>
        <v/>
      </c>
      <c r="G530">
        <f>IF(설정!$C$9="","",IFERROR(INDEX('1.산군_붙여넣기'!$A$1:$AZ$1001,ROW(),설정!$C$9)&amp;"",""))</f>
        <v/>
      </c>
      <c r="H530">
        <f>IF(설정!$C$10="","",IFERROR(INDEX('1.산군_붙여넣기'!$A$1:$AZ$1001,ROW(),설정!$C$10)&amp;"",""))</f>
        <v/>
      </c>
      <c r="I530">
        <f>IF(설정!$C$11="","",IFERROR(INDEX('1.산군_붙여넣기'!$A$1:$AZ$1001,ROW(),설정!$C$11)&amp;"",""))</f>
        <v/>
      </c>
      <c r="J530">
        <f>IF(설정!$C$12="","",IFERROR(INDEX('1.산군_붙여넣기'!$A$1:$AZ$1001,ROW(),설정!$C$12)&amp;"",""))</f>
        <v/>
      </c>
      <c r="K530">
        <f>IF(설정!$C$13="","",IFERROR(INDEX('1.산군_붙여넣기'!$A$1:$AZ$1001,ROW(),설정!$C$13)&amp;"",""))</f>
        <v/>
      </c>
      <c r="L530" s="7">
        <f>IF(X530="","",IF(AND(LEN(X530)=8,ISNUMBER(X530*1)),DATE(LEFT(X530,4),MID(X530,5,2),RIGHT(X530,2)),IFERROR(DATEVALUE(SUBSTITUTE(SUBSTITUTE(X530,".","-"),"/","-")),IFERROR(X530*1,""))))</f>
        <v/>
      </c>
      <c r="M530" s="7">
        <f>IF(Y530="","",IF(AND(LEN(Y530)=8,ISNUMBER(Y530*1)),DATE(LEFT(Y530,4),MID(Y530,5,2),RIGHT(Y530,2)),IFERROR(DATEVALUE(SUBSTITUTE(SUBSTITUTE(Y530,".","-"),"/","-")),IFERROR(Y530*1,""))))</f>
        <v/>
      </c>
      <c r="N530">
        <f>IFERROR(LEFT(B530,FIND(" ",B530)-1),B530)</f>
        <v/>
      </c>
      <c r="O530">
        <f>AND(B530&lt;&gt;"",B530&lt;&gt;설정!$B$4,C530&lt;&gt;설정!$B$5)</f>
        <v/>
      </c>
      <c r="P530">
        <f>IF(O530,B530&amp;"|"&amp;C530,"")</f>
        <v/>
      </c>
      <c r="Q530">
        <f>AND(O530,COUNTIF(P531:P$1002,P530)=0)</f>
        <v/>
      </c>
      <c r="R530">
        <f>OR(AND(설정!$A$42&lt;&gt;"",ISNUMBER(SEARCH(설정!$A$42,E530&amp;" "&amp;C530))),AND(설정!$A$43&lt;&gt;"",ISNUMBER(SEARCH(설정!$A$43,E530&amp;" "&amp;C530))),AND(설정!$A$44&lt;&gt;"",ISNUMBER(SEARCH(설정!$A$44,E530&amp;" "&amp;C530))),AND(설정!$A$45&lt;&gt;"",ISNUMBER(SEARCH(설정!$A$45,E530&amp;" "&amp;C530))),AND(설정!$A$46&lt;&gt;"",ISNUMBER(SEARCH(설정!$A$46,E530&amp;" "&amp;C530))),AND(설정!$A$47&lt;&gt;"",ISNUMBER(SEARCH(설정!$A$47,E530&amp;" "&amp;C530))),AND(설정!$A$48&lt;&gt;"",ISNUMBER(SEARCH(설정!$A$48,E530&amp;" "&amp;C530))),AND(설정!$A$49&lt;&gt;"",ISNUMBER(SEARCH(설정!$A$49,E530&amp;" "&amp;C530))),AND(설정!$A$50&lt;&gt;"",ISNUMBER(SEARCH(설정!$A$50,E530&amp;" "&amp;C530))),AND(설정!$A$51&lt;&gt;"",ISNUMBER(SEARCH(설정!$A$51,E530&amp;" "&amp;C530))))</f>
        <v/>
      </c>
      <c r="S530">
        <f>OR(D530="",D530&gt;=설정!$B$19)</f>
        <v/>
      </c>
      <c r="T530">
        <f>AND(Q530,R530,S530)</f>
        <v/>
      </c>
      <c r="U530">
        <f>IF(T530,IF(AND(설정!$A$54&lt;&gt;"",ISNUMBER(SEARCH(설정!$A$54,K530))),설정!$B$54,IF(AND(설정!$A$55&lt;&gt;"",ISNUMBER(SEARCH(설정!$A$55,K530))),설정!$B$55,IF(AND(설정!$A$56&lt;&gt;"",ISNUMBER(SEARCH(설정!$A$56,K530))),설정!$B$56,IF(AND(설정!$A$57&lt;&gt;"",ISNUMBER(SEARCH(설정!$A$57,K530))),설정!$B$57,IF(AND(설정!$A$58&lt;&gt;"",ISNUMBER(SEARCH(설정!$A$58,K530))),설정!$B$58,IF(AND(설정!$A$59&lt;&gt;"",ISNUMBER(SEARCH(설정!$A$59,K530))),설정!$B$59,IF(AND(설정!$A$60&lt;&gt;"",ISNUMBER(SEARCH(설정!$A$60,K530))),설정!$B$60,IF(AND(설정!$A$61&lt;&gt;"",ISNUMBER(SEARCH(설정!$A$61,K530))),설정!$B$61,IF(M530="","설계사","시공사"))))))))),"")</f>
        <v/>
      </c>
      <c r="V530">
        <f>SUBSTITUTE(SUBSTITUTE(SUBSTITUTE(SUBSTITUTE(G530,"(주)",""),"㈜",""),"주식회사","")," ","")</f>
        <v/>
      </c>
      <c r="W530">
        <f>IF(AND(T530,V530&lt;&gt;""),IF(COUNTIFS(V$2:V530,V530,T$2:T530,TRUE)=1,MAX(W$1:W529)+1,""),"")</f>
        <v/>
      </c>
      <c r="X530">
        <f>IF(설정!$C$14="","",IFERROR(INDEX('1.산군_붙여넣기'!$A$1:$AZ$1001,ROW(),설정!$C$14)&amp;"",""))</f>
        <v/>
      </c>
      <c r="Y530">
        <f>IF(설정!$C$15="","",IFERROR(INDEX('1.산군_붙여넣기'!$A$1:$AZ$1001,ROW(),설정!$C$15)&amp;"",""))</f>
        <v/>
      </c>
      <c r="Z530">
        <f>IF(T530,V530&amp;"|"&amp;U530,"")</f>
        <v/>
      </c>
      <c r="AA530">
        <f>IF(NOT(Q530),"",IF(NOT(AND(R530,S530)),"✕",IF(OR(OR(AND(L530&lt;&gt;"",M530&lt;&gt;"",N(M530)-N(L530)&gt;설정!$B$27),AND(L530&lt;&gt;"",M530="",설정!$B$24-N(L530)&gt;설정!$B$27)),AND(D530&lt;&gt;"",D530&lt;설정!$B$26)),"△","★")))</f>
        <v/>
      </c>
      <c r="AB530">
        <f>IF(NOT(T530),"",IF(U530="설계사",설정!$B$31,IF(U530="시공사",IF(OR(M530="",설정!$B$24-N(M530)&lt;=설정!$B$28*30.4),설정!$B$32,설정!$B$33),설정!$B$34))+IF(AA530="★",설정!$B$35,0))</f>
        <v/>
      </c>
      <c r="AC530">
        <f>SUBSTITUTE(SUBSTITUTE(SUBSTITUTE(SUBSTITUTE(H530,"(주)",""),"㈜",""),"주식회사","")," ","")</f>
        <v/>
      </c>
      <c r="AD530">
        <f>IF(AND(T530,AC530&lt;&gt;""),IF(COUNTIFS(AC$2:AC530,AC530,T$2:T530,TRUE)=1,MAX(AD$1:AD529)+1,""),"")</f>
        <v/>
      </c>
    </row>
    <row r="531">
      <c r="A531">
        <f>ROW()</f>
        <v/>
      </c>
      <c r="B531">
        <f>IF(설정!$C$4="","",IFERROR(INDEX('1.산군_붙여넣기'!$A$1:$AZ$1001,ROW(),설정!$C$4)&amp;"",""))</f>
        <v/>
      </c>
      <c r="C531">
        <f>IF(설정!$C$5="","",IFERROR(INDEX('1.산군_붙여넣기'!$A$1:$AZ$1001,ROW(),설정!$C$5)&amp;"",""))</f>
        <v/>
      </c>
      <c r="D531" s="5">
        <f>IFERROR(VALUE(SUBSTITUTE(SUBSTITUTE(SUBSTITUTE(IF(설정!$C$6="","",IFERROR(INDEX('1.산군_붙여넣기'!$A$1:$AZ$1001,ROW(),설정!$C$6)&amp;"","")),",",""),"㎡",""),"m2","")),"")</f>
        <v/>
      </c>
      <c r="E531">
        <f>IF(설정!$C$7="","",IFERROR(INDEX('1.산군_붙여넣기'!$A$1:$AZ$1001,ROW(),설정!$C$7)&amp;"",""))</f>
        <v/>
      </c>
      <c r="F531">
        <f>IF(설정!$C$8="","",IFERROR(INDEX('1.산군_붙여넣기'!$A$1:$AZ$1001,ROW(),설정!$C$8)&amp;"",""))</f>
        <v/>
      </c>
      <c r="G531">
        <f>IF(설정!$C$9="","",IFERROR(INDEX('1.산군_붙여넣기'!$A$1:$AZ$1001,ROW(),설정!$C$9)&amp;"",""))</f>
        <v/>
      </c>
      <c r="H531">
        <f>IF(설정!$C$10="","",IFERROR(INDEX('1.산군_붙여넣기'!$A$1:$AZ$1001,ROW(),설정!$C$10)&amp;"",""))</f>
        <v/>
      </c>
      <c r="I531">
        <f>IF(설정!$C$11="","",IFERROR(INDEX('1.산군_붙여넣기'!$A$1:$AZ$1001,ROW(),설정!$C$11)&amp;"",""))</f>
        <v/>
      </c>
      <c r="J531">
        <f>IF(설정!$C$12="","",IFERROR(INDEX('1.산군_붙여넣기'!$A$1:$AZ$1001,ROW(),설정!$C$12)&amp;"",""))</f>
        <v/>
      </c>
      <c r="K531">
        <f>IF(설정!$C$13="","",IFERROR(INDEX('1.산군_붙여넣기'!$A$1:$AZ$1001,ROW(),설정!$C$13)&amp;"",""))</f>
        <v/>
      </c>
      <c r="L531" s="7">
        <f>IF(X531="","",IF(AND(LEN(X531)=8,ISNUMBER(X531*1)),DATE(LEFT(X531,4),MID(X531,5,2),RIGHT(X531,2)),IFERROR(DATEVALUE(SUBSTITUTE(SUBSTITUTE(X531,".","-"),"/","-")),IFERROR(X531*1,""))))</f>
        <v/>
      </c>
      <c r="M531" s="7">
        <f>IF(Y531="","",IF(AND(LEN(Y531)=8,ISNUMBER(Y531*1)),DATE(LEFT(Y531,4),MID(Y531,5,2),RIGHT(Y531,2)),IFERROR(DATEVALUE(SUBSTITUTE(SUBSTITUTE(Y531,".","-"),"/","-")),IFERROR(Y531*1,""))))</f>
        <v/>
      </c>
      <c r="N531">
        <f>IFERROR(LEFT(B531,FIND(" ",B531)-1),B531)</f>
        <v/>
      </c>
      <c r="O531">
        <f>AND(B531&lt;&gt;"",B531&lt;&gt;설정!$B$4,C531&lt;&gt;설정!$B$5)</f>
        <v/>
      </c>
      <c r="P531">
        <f>IF(O531,B531&amp;"|"&amp;C531,"")</f>
        <v/>
      </c>
      <c r="Q531">
        <f>AND(O531,COUNTIF(P532:P$1002,P531)=0)</f>
        <v/>
      </c>
      <c r="R531">
        <f>OR(AND(설정!$A$42&lt;&gt;"",ISNUMBER(SEARCH(설정!$A$42,E531&amp;" "&amp;C531))),AND(설정!$A$43&lt;&gt;"",ISNUMBER(SEARCH(설정!$A$43,E531&amp;" "&amp;C531))),AND(설정!$A$44&lt;&gt;"",ISNUMBER(SEARCH(설정!$A$44,E531&amp;" "&amp;C531))),AND(설정!$A$45&lt;&gt;"",ISNUMBER(SEARCH(설정!$A$45,E531&amp;" "&amp;C531))),AND(설정!$A$46&lt;&gt;"",ISNUMBER(SEARCH(설정!$A$46,E531&amp;" "&amp;C531))),AND(설정!$A$47&lt;&gt;"",ISNUMBER(SEARCH(설정!$A$47,E531&amp;" "&amp;C531))),AND(설정!$A$48&lt;&gt;"",ISNUMBER(SEARCH(설정!$A$48,E531&amp;" "&amp;C531))),AND(설정!$A$49&lt;&gt;"",ISNUMBER(SEARCH(설정!$A$49,E531&amp;" "&amp;C531))),AND(설정!$A$50&lt;&gt;"",ISNUMBER(SEARCH(설정!$A$50,E531&amp;" "&amp;C531))),AND(설정!$A$51&lt;&gt;"",ISNUMBER(SEARCH(설정!$A$51,E531&amp;" "&amp;C531))))</f>
        <v/>
      </c>
      <c r="S531">
        <f>OR(D531="",D531&gt;=설정!$B$19)</f>
        <v/>
      </c>
      <c r="T531">
        <f>AND(Q531,R531,S531)</f>
        <v/>
      </c>
      <c r="U531">
        <f>IF(T531,IF(AND(설정!$A$54&lt;&gt;"",ISNUMBER(SEARCH(설정!$A$54,K531))),설정!$B$54,IF(AND(설정!$A$55&lt;&gt;"",ISNUMBER(SEARCH(설정!$A$55,K531))),설정!$B$55,IF(AND(설정!$A$56&lt;&gt;"",ISNUMBER(SEARCH(설정!$A$56,K531))),설정!$B$56,IF(AND(설정!$A$57&lt;&gt;"",ISNUMBER(SEARCH(설정!$A$57,K531))),설정!$B$57,IF(AND(설정!$A$58&lt;&gt;"",ISNUMBER(SEARCH(설정!$A$58,K531))),설정!$B$58,IF(AND(설정!$A$59&lt;&gt;"",ISNUMBER(SEARCH(설정!$A$59,K531))),설정!$B$59,IF(AND(설정!$A$60&lt;&gt;"",ISNUMBER(SEARCH(설정!$A$60,K531))),설정!$B$60,IF(AND(설정!$A$61&lt;&gt;"",ISNUMBER(SEARCH(설정!$A$61,K531))),설정!$B$61,IF(M531="","설계사","시공사"))))))))),"")</f>
        <v/>
      </c>
      <c r="V531">
        <f>SUBSTITUTE(SUBSTITUTE(SUBSTITUTE(SUBSTITUTE(G531,"(주)",""),"㈜",""),"주식회사","")," ","")</f>
        <v/>
      </c>
      <c r="W531">
        <f>IF(AND(T531,V531&lt;&gt;""),IF(COUNTIFS(V$2:V531,V531,T$2:T531,TRUE)=1,MAX(W$1:W530)+1,""),"")</f>
        <v/>
      </c>
      <c r="X531">
        <f>IF(설정!$C$14="","",IFERROR(INDEX('1.산군_붙여넣기'!$A$1:$AZ$1001,ROW(),설정!$C$14)&amp;"",""))</f>
        <v/>
      </c>
      <c r="Y531">
        <f>IF(설정!$C$15="","",IFERROR(INDEX('1.산군_붙여넣기'!$A$1:$AZ$1001,ROW(),설정!$C$15)&amp;"",""))</f>
        <v/>
      </c>
      <c r="Z531">
        <f>IF(T531,V531&amp;"|"&amp;U531,"")</f>
        <v/>
      </c>
      <c r="AA531">
        <f>IF(NOT(Q531),"",IF(NOT(AND(R531,S531)),"✕",IF(OR(OR(AND(L531&lt;&gt;"",M531&lt;&gt;"",N(M531)-N(L531)&gt;설정!$B$27),AND(L531&lt;&gt;"",M531="",설정!$B$24-N(L531)&gt;설정!$B$27)),AND(D531&lt;&gt;"",D531&lt;설정!$B$26)),"△","★")))</f>
        <v/>
      </c>
      <c r="AB531">
        <f>IF(NOT(T531),"",IF(U531="설계사",설정!$B$31,IF(U531="시공사",IF(OR(M531="",설정!$B$24-N(M531)&lt;=설정!$B$28*30.4),설정!$B$32,설정!$B$33),설정!$B$34))+IF(AA531="★",설정!$B$35,0))</f>
        <v/>
      </c>
      <c r="AC531">
        <f>SUBSTITUTE(SUBSTITUTE(SUBSTITUTE(SUBSTITUTE(H531,"(주)",""),"㈜",""),"주식회사","")," ","")</f>
        <v/>
      </c>
      <c r="AD531">
        <f>IF(AND(T531,AC531&lt;&gt;""),IF(COUNTIFS(AC$2:AC531,AC531,T$2:T531,TRUE)=1,MAX(AD$1:AD530)+1,""),"")</f>
        <v/>
      </c>
    </row>
    <row r="532">
      <c r="A532">
        <f>ROW()</f>
        <v/>
      </c>
      <c r="B532">
        <f>IF(설정!$C$4="","",IFERROR(INDEX('1.산군_붙여넣기'!$A$1:$AZ$1001,ROW(),설정!$C$4)&amp;"",""))</f>
        <v/>
      </c>
      <c r="C532">
        <f>IF(설정!$C$5="","",IFERROR(INDEX('1.산군_붙여넣기'!$A$1:$AZ$1001,ROW(),설정!$C$5)&amp;"",""))</f>
        <v/>
      </c>
      <c r="D532" s="5">
        <f>IFERROR(VALUE(SUBSTITUTE(SUBSTITUTE(SUBSTITUTE(IF(설정!$C$6="","",IFERROR(INDEX('1.산군_붙여넣기'!$A$1:$AZ$1001,ROW(),설정!$C$6)&amp;"","")),",",""),"㎡",""),"m2","")),"")</f>
        <v/>
      </c>
      <c r="E532">
        <f>IF(설정!$C$7="","",IFERROR(INDEX('1.산군_붙여넣기'!$A$1:$AZ$1001,ROW(),설정!$C$7)&amp;"",""))</f>
        <v/>
      </c>
      <c r="F532">
        <f>IF(설정!$C$8="","",IFERROR(INDEX('1.산군_붙여넣기'!$A$1:$AZ$1001,ROW(),설정!$C$8)&amp;"",""))</f>
        <v/>
      </c>
      <c r="G532">
        <f>IF(설정!$C$9="","",IFERROR(INDEX('1.산군_붙여넣기'!$A$1:$AZ$1001,ROW(),설정!$C$9)&amp;"",""))</f>
        <v/>
      </c>
      <c r="H532">
        <f>IF(설정!$C$10="","",IFERROR(INDEX('1.산군_붙여넣기'!$A$1:$AZ$1001,ROW(),설정!$C$10)&amp;"",""))</f>
        <v/>
      </c>
      <c r="I532">
        <f>IF(설정!$C$11="","",IFERROR(INDEX('1.산군_붙여넣기'!$A$1:$AZ$1001,ROW(),설정!$C$11)&amp;"",""))</f>
        <v/>
      </c>
      <c r="J532">
        <f>IF(설정!$C$12="","",IFERROR(INDEX('1.산군_붙여넣기'!$A$1:$AZ$1001,ROW(),설정!$C$12)&amp;"",""))</f>
        <v/>
      </c>
      <c r="K532">
        <f>IF(설정!$C$13="","",IFERROR(INDEX('1.산군_붙여넣기'!$A$1:$AZ$1001,ROW(),설정!$C$13)&amp;"",""))</f>
        <v/>
      </c>
      <c r="L532" s="7">
        <f>IF(X532="","",IF(AND(LEN(X532)=8,ISNUMBER(X532*1)),DATE(LEFT(X532,4),MID(X532,5,2),RIGHT(X532,2)),IFERROR(DATEVALUE(SUBSTITUTE(SUBSTITUTE(X532,".","-"),"/","-")),IFERROR(X532*1,""))))</f>
        <v/>
      </c>
      <c r="M532" s="7">
        <f>IF(Y532="","",IF(AND(LEN(Y532)=8,ISNUMBER(Y532*1)),DATE(LEFT(Y532,4),MID(Y532,5,2),RIGHT(Y532,2)),IFERROR(DATEVALUE(SUBSTITUTE(SUBSTITUTE(Y532,".","-"),"/","-")),IFERROR(Y532*1,""))))</f>
        <v/>
      </c>
      <c r="N532">
        <f>IFERROR(LEFT(B532,FIND(" ",B532)-1),B532)</f>
        <v/>
      </c>
      <c r="O532">
        <f>AND(B532&lt;&gt;"",B532&lt;&gt;설정!$B$4,C532&lt;&gt;설정!$B$5)</f>
        <v/>
      </c>
      <c r="P532">
        <f>IF(O532,B532&amp;"|"&amp;C532,"")</f>
        <v/>
      </c>
      <c r="Q532">
        <f>AND(O532,COUNTIF(P533:P$1002,P532)=0)</f>
        <v/>
      </c>
      <c r="R532">
        <f>OR(AND(설정!$A$42&lt;&gt;"",ISNUMBER(SEARCH(설정!$A$42,E532&amp;" "&amp;C532))),AND(설정!$A$43&lt;&gt;"",ISNUMBER(SEARCH(설정!$A$43,E532&amp;" "&amp;C532))),AND(설정!$A$44&lt;&gt;"",ISNUMBER(SEARCH(설정!$A$44,E532&amp;" "&amp;C532))),AND(설정!$A$45&lt;&gt;"",ISNUMBER(SEARCH(설정!$A$45,E532&amp;" "&amp;C532))),AND(설정!$A$46&lt;&gt;"",ISNUMBER(SEARCH(설정!$A$46,E532&amp;" "&amp;C532))),AND(설정!$A$47&lt;&gt;"",ISNUMBER(SEARCH(설정!$A$47,E532&amp;" "&amp;C532))),AND(설정!$A$48&lt;&gt;"",ISNUMBER(SEARCH(설정!$A$48,E532&amp;" "&amp;C532))),AND(설정!$A$49&lt;&gt;"",ISNUMBER(SEARCH(설정!$A$49,E532&amp;" "&amp;C532))),AND(설정!$A$50&lt;&gt;"",ISNUMBER(SEARCH(설정!$A$50,E532&amp;" "&amp;C532))),AND(설정!$A$51&lt;&gt;"",ISNUMBER(SEARCH(설정!$A$51,E532&amp;" "&amp;C532))))</f>
        <v/>
      </c>
      <c r="S532">
        <f>OR(D532="",D532&gt;=설정!$B$19)</f>
        <v/>
      </c>
      <c r="T532">
        <f>AND(Q532,R532,S532)</f>
        <v/>
      </c>
      <c r="U532">
        <f>IF(T532,IF(AND(설정!$A$54&lt;&gt;"",ISNUMBER(SEARCH(설정!$A$54,K532))),설정!$B$54,IF(AND(설정!$A$55&lt;&gt;"",ISNUMBER(SEARCH(설정!$A$55,K532))),설정!$B$55,IF(AND(설정!$A$56&lt;&gt;"",ISNUMBER(SEARCH(설정!$A$56,K532))),설정!$B$56,IF(AND(설정!$A$57&lt;&gt;"",ISNUMBER(SEARCH(설정!$A$57,K532))),설정!$B$57,IF(AND(설정!$A$58&lt;&gt;"",ISNUMBER(SEARCH(설정!$A$58,K532))),설정!$B$58,IF(AND(설정!$A$59&lt;&gt;"",ISNUMBER(SEARCH(설정!$A$59,K532))),설정!$B$59,IF(AND(설정!$A$60&lt;&gt;"",ISNUMBER(SEARCH(설정!$A$60,K532))),설정!$B$60,IF(AND(설정!$A$61&lt;&gt;"",ISNUMBER(SEARCH(설정!$A$61,K532))),설정!$B$61,IF(M532="","설계사","시공사"))))))))),"")</f>
        <v/>
      </c>
      <c r="V532">
        <f>SUBSTITUTE(SUBSTITUTE(SUBSTITUTE(SUBSTITUTE(G532,"(주)",""),"㈜",""),"주식회사","")," ","")</f>
        <v/>
      </c>
      <c r="W532">
        <f>IF(AND(T532,V532&lt;&gt;""),IF(COUNTIFS(V$2:V532,V532,T$2:T532,TRUE)=1,MAX(W$1:W531)+1,""),"")</f>
        <v/>
      </c>
      <c r="X532">
        <f>IF(설정!$C$14="","",IFERROR(INDEX('1.산군_붙여넣기'!$A$1:$AZ$1001,ROW(),설정!$C$14)&amp;"",""))</f>
        <v/>
      </c>
      <c r="Y532">
        <f>IF(설정!$C$15="","",IFERROR(INDEX('1.산군_붙여넣기'!$A$1:$AZ$1001,ROW(),설정!$C$15)&amp;"",""))</f>
        <v/>
      </c>
      <c r="Z532">
        <f>IF(T532,V532&amp;"|"&amp;U532,"")</f>
        <v/>
      </c>
      <c r="AA532">
        <f>IF(NOT(Q532),"",IF(NOT(AND(R532,S532)),"✕",IF(OR(OR(AND(L532&lt;&gt;"",M532&lt;&gt;"",N(M532)-N(L532)&gt;설정!$B$27),AND(L532&lt;&gt;"",M532="",설정!$B$24-N(L532)&gt;설정!$B$27)),AND(D532&lt;&gt;"",D532&lt;설정!$B$26)),"△","★")))</f>
        <v/>
      </c>
      <c r="AB532">
        <f>IF(NOT(T532),"",IF(U532="설계사",설정!$B$31,IF(U532="시공사",IF(OR(M532="",설정!$B$24-N(M532)&lt;=설정!$B$28*30.4),설정!$B$32,설정!$B$33),설정!$B$34))+IF(AA532="★",설정!$B$35,0))</f>
        <v/>
      </c>
      <c r="AC532">
        <f>SUBSTITUTE(SUBSTITUTE(SUBSTITUTE(SUBSTITUTE(H532,"(주)",""),"㈜",""),"주식회사","")," ","")</f>
        <v/>
      </c>
      <c r="AD532">
        <f>IF(AND(T532,AC532&lt;&gt;""),IF(COUNTIFS(AC$2:AC532,AC532,T$2:T532,TRUE)=1,MAX(AD$1:AD531)+1,""),"")</f>
        <v/>
      </c>
    </row>
    <row r="533">
      <c r="A533">
        <f>ROW()</f>
        <v/>
      </c>
      <c r="B533">
        <f>IF(설정!$C$4="","",IFERROR(INDEX('1.산군_붙여넣기'!$A$1:$AZ$1001,ROW(),설정!$C$4)&amp;"",""))</f>
        <v/>
      </c>
      <c r="C533">
        <f>IF(설정!$C$5="","",IFERROR(INDEX('1.산군_붙여넣기'!$A$1:$AZ$1001,ROW(),설정!$C$5)&amp;"",""))</f>
        <v/>
      </c>
      <c r="D533" s="5">
        <f>IFERROR(VALUE(SUBSTITUTE(SUBSTITUTE(SUBSTITUTE(IF(설정!$C$6="","",IFERROR(INDEX('1.산군_붙여넣기'!$A$1:$AZ$1001,ROW(),설정!$C$6)&amp;"","")),",",""),"㎡",""),"m2","")),"")</f>
        <v/>
      </c>
      <c r="E533">
        <f>IF(설정!$C$7="","",IFERROR(INDEX('1.산군_붙여넣기'!$A$1:$AZ$1001,ROW(),설정!$C$7)&amp;"",""))</f>
        <v/>
      </c>
      <c r="F533">
        <f>IF(설정!$C$8="","",IFERROR(INDEX('1.산군_붙여넣기'!$A$1:$AZ$1001,ROW(),설정!$C$8)&amp;"",""))</f>
        <v/>
      </c>
      <c r="G533">
        <f>IF(설정!$C$9="","",IFERROR(INDEX('1.산군_붙여넣기'!$A$1:$AZ$1001,ROW(),설정!$C$9)&amp;"",""))</f>
        <v/>
      </c>
      <c r="H533">
        <f>IF(설정!$C$10="","",IFERROR(INDEX('1.산군_붙여넣기'!$A$1:$AZ$1001,ROW(),설정!$C$10)&amp;"",""))</f>
        <v/>
      </c>
      <c r="I533">
        <f>IF(설정!$C$11="","",IFERROR(INDEX('1.산군_붙여넣기'!$A$1:$AZ$1001,ROW(),설정!$C$11)&amp;"",""))</f>
        <v/>
      </c>
      <c r="J533">
        <f>IF(설정!$C$12="","",IFERROR(INDEX('1.산군_붙여넣기'!$A$1:$AZ$1001,ROW(),설정!$C$12)&amp;"",""))</f>
        <v/>
      </c>
      <c r="K533">
        <f>IF(설정!$C$13="","",IFERROR(INDEX('1.산군_붙여넣기'!$A$1:$AZ$1001,ROW(),설정!$C$13)&amp;"",""))</f>
        <v/>
      </c>
      <c r="L533" s="7">
        <f>IF(X533="","",IF(AND(LEN(X533)=8,ISNUMBER(X533*1)),DATE(LEFT(X533,4),MID(X533,5,2),RIGHT(X533,2)),IFERROR(DATEVALUE(SUBSTITUTE(SUBSTITUTE(X533,".","-"),"/","-")),IFERROR(X533*1,""))))</f>
        <v/>
      </c>
      <c r="M533" s="7">
        <f>IF(Y533="","",IF(AND(LEN(Y533)=8,ISNUMBER(Y533*1)),DATE(LEFT(Y533,4),MID(Y533,5,2),RIGHT(Y533,2)),IFERROR(DATEVALUE(SUBSTITUTE(SUBSTITUTE(Y533,".","-"),"/","-")),IFERROR(Y533*1,""))))</f>
        <v/>
      </c>
      <c r="N533">
        <f>IFERROR(LEFT(B533,FIND(" ",B533)-1),B533)</f>
        <v/>
      </c>
      <c r="O533">
        <f>AND(B533&lt;&gt;"",B533&lt;&gt;설정!$B$4,C533&lt;&gt;설정!$B$5)</f>
        <v/>
      </c>
      <c r="P533">
        <f>IF(O533,B533&amp;"|"&amp;C533,"")</f>
        <v/>
      </c>
      <c r="Q533">
        <f>AND(O533,COUNTIF(P534:P$1002,P533)=0)</f>
        <v/>
      </c>
      <c r="R533">
        <f>OR(AND(설정!$A$42&lt;&gt;"",ISNUMBER(SEARCH(설정!$A$42,E533&amp;" "&amp;C533))),AND(설정!$A$43&lt;&gt;"",ISNUMBER(SEARCH(설정!$A$43,E533&amp;" "&amp;C533))),AND(설정!$A$44&lt;&gt;"",ISNUMBER(SEARCH(설정!$A$44,E533&amp;" "&amp;C533))),AND(설정!$A$45&lt;&gt;"",ISNUMBER(SEARCH(설정!$A$45,E533&amp;" "&amp;C533))),AND(설정!$A$46&lt;&gt;"",ISNUMBER(SEARCH(설정!$A$46,E533&amp;" "&amp;C533))),AND(설정!$A$47&lt;&gt;"",ISNUMBER(SEARCH(설정!$A$47,E533&amp;" "&amp;C533))),AND(설정!$A$48&lt;&gt;"",ISNUMBER(SEARCH(설정!$A$48,E533&amp;" "&amp;C533))),AND(설정!$A$49&lt;&gt;"",ISNUMBER(SEARCH(설정!$A$49,E533&amp;" "&amp;C533))),AND(설정!$A$50&lt;&gt;"",ISNUMBER(SEARCH(설정!$A$50,E533&amp;" "&amp;C533))),AND(설정!$A$51&lt;&gt;"",ISNUMBER(SEARCH(설정!$A$51,E533&amp;" "&amp;C533))))</f>
        <v/>
      </c>
      <c r="S533">
        <f>OR(D533="",D533&gt;=설정!$B$19)</f>
        <v/>
      </c>
      <c r="T533">
        <f>AND(Q533,R533,S533)</f>
        <v/>
      </c>
      <c r="U533">
        <f>IF(T533,IF(AND(설정!$A$54&lt;&gt;"",ISNUMBER(SEARCH(설정!$A$54,K533))),설정!$B$54,IF(AND(설정!$A$55&lt;&gt;"",ISNUMBER(SEARCH(설정!$A$55,K533))),설정!$B$55,IF(AND(설정!$A$56&lt;&gt;"",ISNUMBER(SEARCH(설정!$A$56,K533))),설정!$B$56,IF(AND(설정!$A$57&lt;&gt;"",ISNUMBER(SEARCH(설정!$A$57,K533))),설정!$B$57,IF(AND(설정!$A$58&lt;&gt;"",ISNUMBER(SEARCH(설정!$A$58,K533))),설정!$B$58,IF(AND(설정!$A$59&lt;&gt;"",ISNUMBER(SEARCH(설정!$A$59,K533))),설정!$B$59,IF(AND(설정!$A$60&lt;&gt;"",ISNUMBER(SEARCH(설정!$A$60,K533))),설정!$B$60,IF(AND(설정!$A$61&lt;&gt;"",ISNUMBER(SEARCH(설정!$A$61,K533))),설정!$B$61,IF(M533="","설계사","시공사"))))))))),"")</f>
        <v/>
      </c>
      <c r="V533">
        <f>SUBSTITUTE(SUBSTITUTE(SUBSTITUTE(SUBSTITUTE(G533,"(주)",""),"㈜",""),"주식회사","")," ","")</f>
        <v/>
      </c>
      <c r="W533">
        <f>IF(AND(T533,V533&lt;&gt;""),IF(COUNTIFS(V$2:V533,V533,T$2:T533,TRUE)=1,MAX(W$1:W532)+1,""),"")</f>
        <v/>
      </c>
      <c r="X533">
        <f>IF(설정!$C$14="","",IFERROR(INDEX('1.산군_붙여넣기'!$A$1:$AZ$1001,ROW(),설정!$C$14)&amp;"",""))</f>
        <v/>
      </c>
      <c r="Y533">
        <f>IF(설정!$C$15="","",IFERROR(INDEX('1.산군_붙여넣기'!$A$1:$AZ$1001,ROW(),설정!$C$15)&amp;"",""))</f>
        <v/>
      </c>
      <c r="Z533">
        <f>IF(T533,V533&amp;"|"&amp;U533,"")</f>
        <v/>
      </c>
      <c r="AA533">
        <f>IF(NOT(Q533),"",IF(NOT(AND(R533,S533)),"✕",IF(OR(OR(AND(L533&lt;&gt;"",M533&lt;&gt;"",N(M533)-N(L533)&gt;설정!$B$27),AND(L533&lt;&gt;"",M533="",설정!$B$24-N(L533)&gt;설정!$B$27)),AND(D533&lt;&gt;"",D533&lt;설정!$B$26)),"△","★")))</f>
        <v/>
      </c>
      <c r="AB533">
        <f>IF(NOT(T533),"",IF(U533="설계사",설정!$B$31,IF(U533="시공사",IF(OR(M533="",설정!$B$24-N(M533)&lt;=설정!$B$28*30.4),설정!$B$32,설정!$B$33),설정!$B$34))+IF(AA533="★",설정!$B$35,0))</f>
        <v/>
      </c>
      <c r="AC533">
        <f>SUBSTITUTE(SUBSTITUTE(SUBSTITUTE(SUBSTITUTE(H533,"(주)",""),"㈜",""),"주식회사","")," ","")</f>
        <v/>
      </c>
      <c r="AD533">
        <f>IF(AND(T533,AC533&lt;&gt;""),IF(COUNTIFS(AC$2:AC533,AC533,T$2:T533,TRUE)=1,MAX(AD$1:AD532)+1,""),"")</f>
        <v/>
      </c>
    </row>
    <row r="534">
      <c r="A534">
        <f>ROW()</f>
        <v/>
      </c>
      <c r="B534">
        <f>IF(설정!$C$4="","",IFERROR(INDEX('1.산군_붙여넣기'!$A$1:$AZ$1001,ROW(),설정!$C$4)&amp;"",""))</f>
        <v/>
      </c>
      <c r="C534">
        <f>IF(설정!$C$5="","",IFERROR(INDEX('1.산군_붙여넣기'!$A$1:$AZ$1001,ROW(),설정!$C$5)&amp;"",""))</f>
        <v/>
      </c>
      <c r="D534" s="5">
        <f>IFERROR(VALUE(SUBSTITUTE(SUBSTITUTE(SUBSTITUTE(IF(설정!$C$6="","",IFERROR(INDEX('1.산군_붙여넣기'!$A$1:$AZ$1001,ROW(),설정!$C$6)&amp;"","")),",",""),"㎡",""),"m2","")),"")</f>
        <v/>
      </c>
      <c r="E534">
        <f>IF(설정!$C$7="","",IFERROR(INDEX('1.산군_붙여넣기'!$A$1:$AZ$1001,ROW(),설정!$C$7)&amp;"",""))</f>
        <v/>
      </c>
      <c r="F534">
        <f>IF(설정!$C$8="","",IFERROR(INDEX('1.산군_붙여넣기'!$A$1:$AZ$1001,ROW(),설정!$C$8)&amp;"",""))</f>
        <v/>
      </c>
      <c r="G534">
        <f>IF(설정!$C$9="","",IFERROR(INDEX('1.산군_붙여넣기'!$A$1:$AZ$1001,ROW(),설정!$C$9)&amp;"",""))</f>
        <v/>
      </c>
      <c r="H534">
        <f>IF(설정!$C$10="","",IFERROR(INDEX('1.산군_붙여넣기'!$A$1:$AZ$1001,ROW(),설정!$C$10)&amp;"",""))</f>
        <v/>
      </c>
      <c r="I534">
        <f>IF(설정!$C$11="","",IFERROR(INDEX('1.산군_붙여넣기'!$A$1:$AZ$1001,ROW(),설정!$C$11)&amp;"",""))</f>
        <v/>
      </c>
      <c r="J534">
        <f>IF(설정!$C$12="","",IFERROR(INDEX('1.산군_붙여넣기'!$A$1:$AZ$1001,ROW(),설정!$C$12)&amp;"",""))</f>
        <v/>
      </c>
      <c r="K534">
        <f>IF(설정!$C$13="","",IFERROR(INDEX('1.산군_붙여넣기'!$A$1:$AZ$1001,ROW(),설정!$C$13)&amp;"",""))</f>
        <v/>
      </c>
      <c r="L534" s="7">
        <f>IF(X534="","",IF(AND(LEN(X534)=8,ISNUMBER(X534*1)),DATE(LEFT(X534,4),MID(X534,5,2),RIGHT(X534,2)),IFERROR(DATEVALUE(SUBSTITUTE(SUBSTITUTE(X534,".","-"),"/","-")),IFERROR(X534*1,""))))</f>
        <v/>
      </c>
      <c r="M534" s="7">
        <f>IF(Y534="","",IF(AND(LEN(Y534)=8,ISNUMBER(Y534*1)),DATE(LEFT(Y534,4),MID(Y534,5,2),RIGHT(Y534,2)),IFERROR(DATEVALUE(SUBSTITUTE(SUBSTITUTE(Y534,".","-"),"/","-")),IFERROR(Y534*1,""))))</f>
        <v/>
      </c>
      <c r="N534">
        <f>IFERROR(LEFT(B534,FIND(" ",B534)-1),B534)</f>
        <v/>
      </c>
      <c r="O534">
        <f>AND(B534&lt;&gt;"",B534&lt;&gt;설정!$B$4,C534&lt;&gt;설정!$B$5)</f>
        <v/>
      </c>
      <c r="P534">
        <f>IF(O534,B534&amp;"|"&amp;C534,"")</f>
        <v/>
      </c>
      <c r="Q534">
        <f>AND(O534,COUNTIF(P535:P$1002,P534)=0)</f>
        <v/>
      </c>
      <c r="R534">
        <f>OR(AND(설정!$A$42&lt;&gt;"",ISNUMBER(SEARCH(설정!$A$42,E534&amp;" "&amp;C534))),AND(설정!$A$43&lt;&gt;"",ISNUMBER(SEARCH(설정!$A$43,E534&amp;" "&amp;C534))),AND(설정!$A$44&lt;&gt;"",ISNUMBER(SEARCH(설정!$A$44,E534&amp;" "&amp;C534))),AND(설정!$A$45&lt;&gt;"",ISNUMBER(SEARCH(설정!$A$45,E534&amp;" "&amp;C534))),AND(설정!$A$46&lt;&gt;"",ISNUMBER(SEARCH(설정!$A$46,E534&amp;" "&amp;C534))),AND(설정!$A$47&lt;&gt;"",ISNUMBER(SEARCH(설정!$A$47,E534&amp;" "&amp;C534))),AND(설정!$A$48&lt;&gt;"",ISNUMBER(SEARCH(설정!$A$48,E534&amp;" "&amp;C534))),AND(설정!$A$49&lt;&gt;"",ISNUMBER(SEARCH(설정!$A$49,E534&amp;" "&amp;C534))),AND(설정!$A$50&lt;&gt;"",ISNUMBER(SEARCH(설정!$A$50,E534&amp;" "&amp;C534))),AND(설정!$A$51&lt;&gt;"",ISNUMBER(SEARCH(설정!$A$51,E534&amp;" "&amp;C534))))</f>
        <v/>
      </c>
      <c r="S534">
        <f>OR(D534="",D534&gt;=설정!$B$19)</f>
        <v/>
      </c>
      <c r="T534">
        <f>AND(Q534,R534,S534)</f>
        <v/>
      </c>
      <c r="U534">
        <f>IF(T534,IF(AND(설정!$A$54&lt;&gt;"",ISNUMBER(SEARCH(설정!$A$54,K534))),설정!$B$54,IF(AND(설정!$A$55&lt;&gt;"",ISNUMBER(SEARCH(설정!$A$55,K534))),설정!$B$55,IF(AND(설정!$A$56&lt;&gt;"",ISNUMBER(SEARCH(설정!$A$56,K534))),설정!$B$56,IF(AND(설정!$A$57&lt;&gt;"",ISNUMBER(SEARCH(설정!$A$57,K534))),설정!$B$57,IF(AND(설정!$A$58&lt;&gt;"",ISNUMBER(SEARCH(설정!$A$58,K534))),설정!$B$58,IF(AND(설정!$A$59&lt;&gt;"",ISNUMBER(SEARCH(설정!$A$59,K534))),설정!$B$59,IF(AND(설정!$A$60&lt;&gt;"",ISNUMBER(SEARCH(설정!$A$60,K534))),설정!$B$60,IF(AND(설정!$A$61&lt;&gt;"",ISNUMBER(SEARCH(설정!$A$61,K534))),설정!$B$61,IF(M534="","설계사","시공사"))))))))),"")</f>
        <v/>
      </c>
      <c r="V534">
        <f>SUBSTITUTE(SUBSTITUTE(SUBSTITUTE(SUBSTITUTE(G534,"(주)",""),"㈜",""),"주식회사","")," ","")</f>
        <v/>
      </c>
      <c r="W534">
        <f>IF(AND(T534,V534&lt;&gt;""),IF(COUNTIFS(V$2:V534,V534,T$2:T534,TRUE)=1,MAX(W$1:W533)+1,""),"")</f>
        <v/>
      </c>
      <c r="X534">
        <f>IF(설정!$C$14="","",IFERROR(INDEX('1.산군_붙여넣기'!$A$1:$AZ$1001,ROW(),설정!$C$14)&amp;"",""))</f>
        <v/>
      </c>
      <c r="Y534">
        <f>IF(설정!$C$15="","",IFERROR(INDEX('1.산군_붙여넣기'!$A$1:$AZ$1001,ROW(),설정!$C$15)&amp;"",""))</f>
        <v/>
      </c>
      <c r="Z534">
        <f>IF(T534,V534&amp;"|"&amp;U534,"")</f>
        <v/>
      </c>
      <c r="AA534">
        <f>IF(NOT(Q534),"",IF(NOT(AND(R534,S534)),"✕",IF(OR(OR(AND(L534&lt;&gt;"",M534&lt;&gt;"",N(M534)-N(L534)&gt;설정!$B$27),AND(L534&lt;&gt;"",M534="",설정!$B$24-N(L534)&gt;설정!$B$27)),AND(D534&lt;&gt;"",D534&lt;설정!$B$26)),"△","★")))</f>
        <v/>
      </c>
      <c r="AB534">
        <f>IF(NOT(T534),"",IF(U534="설계사",설정!$B$31,IF(U534="시공사",IF(OR(M534="",설정!$B$24-N(M534)&lt;=설정!$B$28*30.4),설정!$B$32,설정!$B$33),설정!$B$34))+IF(AA534="★",설정!$B$35,0))</f>
        <v/>
      </c>
      <c r="AC534">
        <f>SUBSTITUTE(SUBSTITUTE(SUBSTITUTE(SUBSTITUTE(H534,"(주)",""),"㈜",""),"주식회사","")," ","")</f>
        <v/>
      </c>
      <c r="AD534">
        <f>IF(AND(T534,AC534&lt;&gt;""),IF(COUNTIFS(AC$2:AC534,AC534,T$2:T534,TRUE)=1,MAX(AD$1:AD533)+1,""),"")</f>
        <v/>
      </c>
    </row>
    <row r="535">
      <c r="A535">
        <f>ROW()</f>
        <v/>
      </c>
      <c r="B535">
        <f>IF(설정!$C$4="","",IFERROR(INDEX('1.산군_붙여넣기'!$A$1:$AZ$1001,ROW(),설정!$C$4)&amp;"",""))</f>
        <v/>
      </c>
      <c r="C535">
        <f>IF(설정!$C$5="","",IFERROR(INDEX('1.산군_붙여넣기'!$A$1:$AZ$1001,ROW(),설정!$C$5)&amp;"",""))</f>
        <v/>
      </c>
      <c r="D535" s="5">
        <f>IFERROR(VALUE(SUBSTITUTE(SUBSTITUTE(SUBSTITUTE(IF(설정!$C$6="","",IFERROR(INDEX('1.산군_붙여넣기'!$A$1:$AZ$1001,ROW(),설정!$C$6)&amp;"","")),",",""),"㎡",""),"m2","")),"")</f>
        <v/>
      </c>
      <c r="E535">
        <f>IF(설정!$C$7="","",IFERROR(INDEX('1.산군_붙여넣기'!$A$1:$AZ$1001,ROW(),설정!$C$7)&amp;"",""))</f>
        <v/>
      </c>
      <c r="F535">
        <f>IF(설정!$C$8="","",IFERROR(INDEX('1.산군_붙여넣기'!$A$1:$AZ$1001,ROW(),설정!$C$8)&amp;"",""))</f>
        <v/>
      </c>
      <c r="G535">
        <f>IF(설정!$C$9="","",IFERROR(INDEX('1.산군_붙여넣기'!$A$1:$AZ$1001,ROW(),설정!$C$9)&amp;"",""))</f>
        <v/>
      </c>
      <c r="H535">
        <f>IF(설정!$C$10="","",IFERROR(INDEX('1.산군_붙여넣기'!$A$1:$AZ$1001,ROW(),설정!$C$10)&amp;"",""))</f>
        <v/>
      </c>
      <c r="I535">
        <f>IF(설정!$C$11="","",IFERROR(INDEX('1.산군_붙여넣기'!$A$1:$AZ$1001,ROW(),설정!$C$11)&amp;"",""))</f>
        <v/>
      </c>
      <c r="J535">
        <f>IF(설정!$C$12="","",IFERROR(INDEX('1.산군_붙여넣기'!$A$1:$AZ$1001,ROW(),설정!$C$12)&amp;"",""))</f>
        <v/>
      </c>
      <c r="K535">
        <f>IF(설정!$C$13="","",IFERROR(INDEX('1.산군_붙여넣기'!$A$1:$AZ$1001,ROW(),설정!$C$13)&amp;"",""))</f>
        <v/>
      </c>
      <c r="L535" s="7">
        <f>IF(X535="","",IF(AND(LEN(X535)=8,ISNUMBER(X535*1)),DATE(LEFT(X535,4),MID(X535,5,2),RIGHT(X535,2)),IFERROR(DATEVALUE(SUBSTITUTE(SUBSTITUTE(X535,".","-"),"/","-")),IFERROR(X535*1,""))))</f>
        <v/>
      </c>
      <c r="M535" s="7">
        <f>IF(Y535="","",IF(AND(LEN(Y535)=8,ISNUMBER(Y535*1)),DATE(LEFT(Y535,4),MID(Y535,5,2),RIGHT(Y535,2)),IFERROR(DATEVALUE(SUBSTITUTE(SUBSTITUTE(Y535,".","-"),"/","-")),IFERROR(Y535*1,""))))</f>
        <v/>
      </c>
      <c r="N535">
        <f>IFERROR(LEFT(B535,FIND(" ",B535)-1),B535)</f>
        <v/>
      </c>
      <c r="O535">
        <f>AND(B535&lt;&gt;"",B535&lt;&gt;설정!$B$4,C535&lt;&gt;설정!$B$5)</f>
        <v/>
      </c>
      <c r="P535">
        <f>IF(O535,B535&amp;"|"&amp;C535,"")</f>
        <v/>
      </c>
      <c r="Q535">
        <f>AND(O535,COUNTIF(P536:P$1002,P535)=0)</f>
        <v/>
      </c>
      <c r="R535">
        <f>OR(AND(설정!$A$42&lt;&gt;"",ISNUMBER(SEARCH(설정!$A$42,E535&amp;" "&amp;C535))),AND(설정!$A$43&lt;&gt;"",ISNUMBER(SEARCH(설정!$A$43,E535&amp;" "&amp;C535))),AND(설정!$A$44&lt;&gt;"",ISNUMBER(SEARCH(설정!$A$44,E535&amp;" "&amp;C535))),AND(설정!$A$45&lt;&gt;"",ISNUMBER(SEARCH(설정!$A$45,E535&amp;" "&amp;C535))),AND(설정!$A$46&lt;&gt;"",ISNUMBER(SEARCH(설정!$A$46,E535&amp;" "&amp;C535))),AND(설정!$A$47&lt;&gt;"",ISNUMBER(SEARCH(설정!$A$47,E535&amp;" "&amp;C535))),AND(설정!$A$48&lt;&gt;"",ISNUMBER(SEARCH(설정!$A$48,E535&amp;" "&amp;C535))),AND(설정!$A$49&lt;&gt;"",ISNUMBER(SEARCH(설정!$A$49,E535&amp;" "&amp;C535))),AND(설정!$A$50&lt;&gt;"",ISNUMBER(SEARCH(설정!$A$50,E535&amp;" "&amp;C535))),AND(설정!$A$51&lt;&gt;"",ISNUMBER(SEARCH(설정!$A$51,E535&amp;" "&amp;C535))))</f>
        <v/>
      </c>
      <c r="S535">
        <f>OR(D535="",D535&gt;=설정!$B$19)</f>
        <v/>
      </c>
      <c r="T535">
        <f>AND(Q535,R535,S535)</f>
        <v/>
      </c>
      <c r="U535">
        <f>IF(T535,IF(AND(설정!$A$54&lt;&gt;"",ISNUMBER(SEARCH(설정!$A$54,K535))),설정!$B$54,IF(AND(설정!$A$55&lt;&gt;"",ISNUMBER(SEARCH(설정!$A$55,K535))),설정!$B$55,IF(AND(설정!$A$56&lt;&gt;"",ISNUMBER(SEARCH(설정!$A$56,K535))),설정!$B$56,IF(AND(설정!$A$57&lt;&gt;"",ISNUMBER(SEARCH(설정!$A$57,K535))),설정!$B$57,IF(AND(설정!$A$58&lt;&gt;"",ISNUMBER(SEARCH(설정!$A$58,K535))),설정!$B$58,IF(AND(설정!$A$59&lt;&gt;"",ISNUMBER(SEARCH(설정!$A$59,K535))),설정!$B$59,IF(AND(설정!$A$60&lt;&gt;"",ISNUMBER(SEARCH(설정!$A$60,K535))),설정!$B$60,IF(AND(설정!$A$61&lt;&gt;"",ISNUMBER(SEARCH(설정!$A$61,K535))),설정!$B$61,IF(M535="","설계사","시공사"))))))))),"")</f>
        <v/>
      </c>
      <c r="V535">
        <f>SUBSTITUTE(SUBSTITUTE(SUBSTITUTE(SUBSTITUTE(G535,"(주)",""),"㈜",""),"주식회사","")," ","")</f>
        <v/>
      </c>
      <c r="W535">
        <f>IF(AND(T535,V535&lt;&gt;""),IF(COUNTIFS(V$2:V535,V535,T$2:T535,TRUE)=1,MAX(W$1:W534)+1,""),"")</f>
        <v/>
      </c>
      <c r="X535">
        <f>IF(설정!$C$14="","",IFERROR(INDEX('1.산군_붙여넣기'!$A$1:$AZ$1001,ROW(),설정!$C$14)&amp;"",""))</f>
        <v/>
      </c>
      <c r="Y535">
        <f>IF(설정!$C$15="","",IFERROR(INDEX('1.산군_붙여넣기'!$A$1:$AZ$1001,ROW(),설정!$C$15)&amp;"",""))</f>
        <v/>
      </c>
      <c r="Z535">
        <f>IF(T535,V535&amp;"|"&amp;U535,"")</f>
        <v/>
      </c>
      <c r="AA535">
        <f>IF(NOT(Q535),"",IF(NOT(AND(R535,S535)),"✕",IF(OR(OR(AND(L535&lt;&gt;"",M535&lt;&gt;"",N(M535)-N(L535)&gt;설정!$B$27),AND(L535&lt;&gt;"",M535="",설정!$B$24-N(L535)&gt;설정!$B$27)),AND(D535&lt;&gt;"",D535&lt;설정!$B$26)),"△","★")))</f>
        <v/>
      </c>
      <c r="AB535">
        <f>IF(NOT(T535),"",IF(U535="설계사",설정!$B$31,IF(U535="시공사",IF(OR(M535="",설정!$B$24-N(M535)&lt;=설정!$B$28*30.4),설정!$B$32,설정!$B$33),설정!$B$34))+IF(AA535="★",설정!$B$35,0))</f>
        <v/>
      </c>
      <c r="AC535">
        <f>SUBSTITUTE(SUBSTITUTE(SUBSTITUTE(SUBSTITUTE(H535,"(주)",""),"㈜",""),"주식회사","")," ","")</f>
        <v/>
      </c>
      <c r="AD535">
        <f>IF(AND(T535,AC535&lt;&gt;""),IF(COUNTIFS(AC$2:AC535,AC535,T$2:T535,TRUE)=1,MAX(AD$1:AD534)+1,""),"")</f>
        <v/>
      </c>
    </row>
    <row r="536">
      <c r="A536">
        <f>ROW()</f>
        <v/>
      </c>
      <c r="B536">
        <f>IF(설정!$C$4="","",IFERROR(INDEX('1.산군_붙여넣기'!$A$1:$AZ$1001,ROW(),설정!$C$4)&amp;"",""))</f>
        <v/>
      </c>
      <c r="C536">
        <f>IF(설정!$C$5="","",IFERROR(INDEX('1.산군_붙여넣기'!$A$1:$AZ$1001,ROW(),설정!$C$5)&amp;"",""))</f>
        <v/>
      </c>
      <c r="D536" s="5">
        <f>IFERROR(VALUE(SUBSTITUTE(SUBSTITUTE(SUBSTITUTE(IF(설정!$C$6="","",IFERROR(INDEX('1.산군_붙여넣기'!$A$1:$AZ$1001,ROW(),설정!$C$6)&amp;"","")),",",""),"㎡",""),"m2","")),"")</f>
        <v/>
      </c>
      <c r="E536">
        <f>IF(설정!$C$7="","",IFERROR(INDEX('1.산군_붙여넣기'!$A$1:$AZ$1001,ROW(),설정!$C$7)&amp;"",""))</f>
        <v/>
      </c>
      <c r="F536">
        <f>IF(설정!$C$8="","",IFERROR(INDEX('1.산군_붙여넣기'!$A$1:$AZ$1001,ROW(),설정!$C$8)&amp;"",""))</f>
        <v/>
      </c>
      <c r="G536">
        <f>IF(설정!$C$9="","",IFERROR(INDEX('1.산군_붙여넣기'!$A$1:$AZ$1001,ROW(),설정!$C$9)&amp;"",""))</f>
        <v/>
      </c>
      <c r="H536">
        <f>IF(설정!$C$10="","",IFERROR(INDEX('1.산군_붙여넣기'!$A$1:$AZ$1001,ROW(),설정!$C$10)&amp;"",""))</f>
        <v/>
      </c>
      <c r="I536">
        <f>IF(설정!$C$11="","",IFERROR(INDEX('1.산군_붙여넣기'!$A$1:$AZ$1001,ROW(),설정!$C$11)&amp;"",""))</f>
        <v/>
      </c>
      <c r="J536">
        <f>IF(설정!$C$12="","",IFERROR(INDEX('1.산군_붙여넣기'!$A$1:$AZ$1001,ROW(),설정!$C$12)&amp;"",""))</f>
        <v/>
      </c>
      <c r="K536">
        <f>IF(설정!$C$13="","",IFERROR(INDEX('1.산군_붙여넣기'!$A$1:$AZ$1001,ROW(),설정!$C$13)&amp;"",""))</f>
        <v/>
      </c>
      <c r="L536" s="7">
        <f>IF(X536="","",IF(AND(LEN(X536)=8,ISNUMBER(X536*1)),DATE(LEFT(X536,4),MID(X536,5,2),RIGHT(X536,2)),IFERROR(DATEVALUE(SUBSTITUTE(SUBSTITUTE(X536,".","-"),"/","-")),IFERROR(X536*1,""))))</f>
        <v/>
      </c>
      <c r="M536" s="7">
        <f>IF(Y536="","",IF(AND(LEN(Y536)=8,ISNUMBER(Y536*1)),DATE(LEFT(Y536,4),MID(Y536,5,2),RIGHT(Y536,2)),IFERROR(DATEVALUE(SUBSTITUTE(SUBSTITUTE(Y536,".","-"),"/","-")),IFERROR(Y536*1,""))))</f>
        <v/>
      </c>
      <c r="N536">
        <f>IFERROR(LEFT(B536,FIND(" ",B536)-1),B536)</f>
        <v/>
      </c>
      <c r="O536">
        <f>AND(B536&lt;&gt;"",B536&lt;&gt;설정!$B$4,C536&lt;&gt;설정!$B$5)</f>
        <v/>
      </c>
      <c r="P536">
        <f>IF(O536,B536&amp;"|"&amp;C536,"")</f>
        <v/>
      </c>
      <c r="Q536">
        <f>AND(O536,COUNTIF(P537:P$1002,P536)=0)</f>
        <v/>
      </c>
      <c r="R536">
        <f>OR(AND(설정!$A$42&lt;&gt;"",ISNUMBER(SEARCH(설정!$A$42,E536&amp;" "&amp;C536))),AND(설정!$A$43&lt;&gt;"",ISNUMBER(SEARCH(설정!$A$43,E536&amp;" "&amp;C536))),AND(설정!$A$44&lt;&gt;"",ISNUMBER(SEARCH(설정!$A$44,E536&amp;" "&amp;C536))),AND(설정!$A$45&lt;&gt;"",ISNUMBER(SEARCH(설정!$A$45,E536&amp;" "&amp;C536))),AND(설정!$A$46&lt;&gt;"",ISNUMBER(SEARCH(설정!$A$46,E536&amp;" "&amp;C536))),AND(설정!$A$47&lt;&gt;"",ISNUMBER(SEARCH(설정!$A$47,E536&amp;" "&amp;C536))),AND(설정!$A$48&lt;&gt;"",ISNUMBER(SEARCH(설정!$A$48,E536&amp;" "&amp;C536))),AND(설정!$A$49&lt;&gt;"",ISNUMBER(SEARCH(설정!$A$49,E536&amp;" "&amp;C536))),AND(설정!$A$50&lt;&gt;"",ISNUMBER(SEARCH(설정!$A$50,E536&amp;" "&amp;C536))),AND(설정!$A$51&lt;&gt;"",ISNUMBER(SEARCH(설정!$A$51,E536&amp;" "&amp;C536))))</f>
        <v/>
      </c>
      <c r="S536">
        <f>OR(D536="",D536&gt;=설정!$B$19)</f>
        <v/>
      </c>
      <c r="T536">
        <f>AND(Q536,R536,S536)</f>
        <v/>
      </c>
      <c r="U536">
        <f>IF(T536,IF(AND(설정!$A$54&lt;&gt;"",ISNUMBER(SEARCH(설정!$A$54,K536))),설정!$B$54,IF(AND(설정!$A$55&lt;&gt;"",ISNUMBER(SEARCH(설정!$A$55,K536))),설정!$B$55,IF(AND(설정!$A$56&lt;&gt;"",ISNUMBER(SEARCH(설정!$A$56,K536))),설정!$B$56,IF(AND(설정!$A$57&lt;&gt;"",ISNUMBER(SEARCH(설정!$A$57,K536))),설정!$B$57,IF(AND(설정!$A$58&lt;&gt;"",ISNUMBER(SEARCH(설정!$A$58,K536))),설정!$B$58,IF(AND(설정!$A$59&lt;&gt;"",ISNUMBER(SEARCH(설정!$A$59,K536))),설정!$B$59,IF(AND(설정!$A$60&lt;&gt;"",ISNUMBER(SEARCH(설정!$A$60,K536))),설정!$B$60,IF(AND(설정!$A$61&lt;&gt;"",ISNUMBER(SEARCH(설정!$A$61,K536))),설정!$B$61,IF(M536="","설계사","시공사"))))))))),"")</f>
        <v/>
      </c>
      <c r="V536">
        <f>SUBSTITUTE(SUBSTITUTE(SUBSTITUTE(SUBSTITUTE(G536,"(주)",""),"㈜",""),"주식회사","")," ","")</f>
        <v/>
      </c>
      <c r="W536">
        <f>IF(AND(T536,V536&lt;&gt;""),IF(COUNTIFS(V$2:V536,V536,T$2:T536,TRUE)=1,MAX(W$1:W535)+1,""),"")</f>
        <v/>
      </c>
      <c r="X536">
        <f>IF(설정!$C$14="","",IFERROR(INDEX('1.산군_붙여넣기'!$A$1:$AZ$1001,ROW(),설정!$C$14)&amp;"",""))</f>
        <v/>
      </c>
      <c r="Y536">
        <f>IF(설정!$C$15="","",IFERROR(INDEX('1.산군_붙여넣기'!$A$1:$AZ$1001,ROW(),설정!$C$15)&amp;"",""))</f>
        <v/>
      </c>
      <c r="Z536">
        <f>IF(T536,V536&amp;"|"&amp;U536,"")</f>
        <v/>
      </c>
      <c r="AA536">
        <f>IF(NOT(Q536),"",IF(NOT(AND(R536,S536)),"✕",IF(OR(OR(AND(L536&lt;&gt;"",M536&lt;&gt;"",N(M536)-N(L536)&gt;설정!$B$27),AND(L536&lt;&gt;"",M536="",설정!$B$24-N(L536)&gt;설정!$B$27)),AND(D536&lt;&gt;"",D536&lt;설정!$B$26)),"△","★")))</f>
        <v/>
      </c>
      <c r="AB536">
        <f>IF(NOT(T536),"",IF(U536="설계사",설정!$B$31,IF(U536="시공사",IF(OR(M536="",설정!$B$24-N(M536)&lt;=설정!$B$28*30.4),설정!$B$32,설정!$B$33),설정!$B$34))+IF(AA536="★",설정!$B$35,0))</f>
        <v/>
      </c>
      <c r="AC536">
        <f>SUBSTITUTE(SUBSTITUTE(SUBSTITUTE(SUBSTITUTE(H536,"(주)",""),"㈜",""),"주식회사","")," ","")</f>
        <v/>
      </c>
      <c r="AD536">
        <f>IF(AND(T536,AC536&lt;&gt;""),IF(COUNTIFS(AC$2:AC536,AC536,T$2:T536,TRUE)=1,MAX(AD$1:AD535)+1,""),"")</f>
        <v/>
      </c>
    </row>
    <row r="537">
      <c r="A537">
        <f>ROW()</f>
        <v/>
      </c>
      <c r="B537">
        <f>IF(설정!$C$4="","",IFERROR(INDEX('1.산군_붙여넣기'!$A$1:$AZ$1001,ROW(),설정!$C$4)&amp;"",""))</f>
        <v/>
      </c>
      <c r="C537">
        <f>IF(설정!$C$5="","",IFERROR(INDEX('1.산군_붙여넣기'!$A$1:$AZ$1001,ROW(),설정!$C$5)&amp;"",""))</f>
        <v/>
      </c>
      <c r="D537" s="5">
        <f>IFERROR(VALUE(SUBSTITUTE(SUBSTITUTE(SUBSTITUTE(IF(설정!$C$6="","",IFERROR(INDEX('1.산군_붙여넣기'!$A$1:$AZ$1001,ROW(),설정!$C$6)&amp;"","")),",",""),"㎡",""),"m2","")),"")</f>
        <v/>
      </c>
      <c r="E537">
        <f>IF(설정!$C$7="","",IFERROR(INDEX('1.산군_붙여넣기'!$A$1:$AZ$1001,ROW(),설정!$C$7)&amp;"",""))</f>
        <v/>
      </c>
      <c r="F537">
        <f>IF(설정!$C$8="","",IFERROR(INDEX('1.산군_붙여넣기'!$A$1:$AZ$1001,ROW(),설정!$C$8)&amp;"",""))</f>
        <v/>
      </c>
      <c r="G537">
        <f>IF(설정!$C$9="","",IFERROR(INDEX('1.산군_붙여넣기'!$A$1:$AZ$1001,ROW(),설정!$C$9)&amp;"",""))</f>
        <v/>
      </c>
      <c r="H537">
        <f>IF(설정!$C$10="","",IFERROR(INDEX('1.산군_붙여넣기'!$A$1:$AZ$1001,ROW(),설정!$C$10)&amp;"",""))</f>
        <v/>
      </c>
      <c r="I537">
        <f>IF(설정!$C$11="","",IFERROR(INDEX('1.산군_붙여넣기'!$A$1:$AZ$1001,ROW(),설정!$C$11)&amp;"",""))</f>
        <v/>
      </c>
      <c r="J537">
        <f>IF(설정!$C$12="","",IFERROR(INDEX('1.산군_붙여넣기'!$A$1:$AZ$1001,ROW(),설정!$C$12)&amp;"",""))</f>
        <v/>
      </c>
      <c r="K537">
        <f>IF(설정!$C$13="","",IFERROR(INDEX('1.산군_붙여넣기'!$A$1:$AZ$1001,ROW(),설정!$C$13)&amp;"",""))</f>
        <v/>
      </c>
      <c r="L537" s="7">
        <f>IF(X537="","",IF(AND(LEN(X537)=8,ISNUMBER(X537*1)),DATE(LEFT(X537,4),MID(X537,5,2),RIGHT(X537,2)),IFERROR(DATEVALUE(SUBSTITUTE(SUBSTITUTE(X537,".","-"),"/","-")),IFERROR(X537*1,""))))</f>
        <v/>
      </c>
      <c r="M537" s="7">
        <f>IF(Y537="","",IF(AND(LEN(Y537)=8,ISNUMBER(Y537*1)),DATE(LEFT(Y537,4),MID(Y537,5,2),RIGHT(Y537,2)),IFERROR(DATEVALUE(SUBSTITUTE(SUBSTITUTE(Y537,".","-"),"/","-")),IFERROR(Y537*1,""))))</f>
        <v/>
      </c>
      <c r="N537">
        <f>IFERROR(LEFT(B537,FIND(" ",B537)-1),B537)</f>
        <v/>
      </c>
      <c r="O537">
        <f>AND(B537&lt;&gt;"",B537&lt;&gt;설정!$B$4,C537&lt;&gt;설정!$B$5)</f>
        <v/>
      </c>
      <c r="P537">
        <f>IF(O537,B537&amp;"|"&amp;C537,"")</f>
        <v/>
      </c>
      <c r="Q537">
        <f>AND(O537,COUNTIF(P538:P$1002,P537)=0)</f>
        <v/>
      </c>
      <c r="R537">
        <f>OR(AND(설정!$A$42&lt;&gt;"",ISNUMBER(SEARCH(설정!$A$42,E537&amp;" "&amp;C537))),AND(설정!$A$43&lt;&gt;"",ISNUMBER(SEARCH(설정!$A$43,E537&amp;" "&amp;C537))),AND(설정!$A$44&lt;&gt;"",ISNUMBER(SEARCH(설정!$A$44,E537&amp;" "&amp;C537))),AND(설정!$A$45&lt;&gt;"",ISNUMBER(SEARCH(설정!$A$45,E537&amp;" "&amp;C537))),AND(설정!$A$46&lt;&gt;"",ISNUMBER(SEARCH(설정!$A$46,E537&amp;" "&amp;C537))),AND(설정!$A$47&lt;&gt;"",ISNUMBER(SEARCH(설정!$A$47,E537&amp;" "&amp;C537))),AND(설정!$A$48&lt;&gt;"",ISNUMBER(SEARCH(설정!$A$48,E537&amp;" "&amp;C537))),AND(설정!$A$49&lt;&gt;"",ISNUMBER(SEARCH(설정!$A$49,E537&amp;" "&amp;C537))),AND(설정!$A$50&lt;&gt;"",ISNUMBER(SEARCH(설정!$A$50,E537&amp;" "&amp;C537))),AND(설정!$A$51&lt;&gt;"",ISNUMBER(SEARCH(설정!$A$51,E537&amp;" "&amp;C537))))</f>
        <v/>
      </c>
      <c r="S537">
        <f>OR(D537="",D537&gt;=설정!$B$19)</f>
        <v/>
      </c>
      <c r="T537">
        <f>AND(Q537,R537,S537)</f>
        <v/>
      </c>
      <c r="U537">
        <f>IF(T537,IF(AND(설정!$A$54&lt;&gt;"",ISNUMBER(SEARCH(설정!$A$54,K537))),설정!$B$54,IF(AND(설정!$A$55&lt;&gt;"",ISNUMBER(SEARCH(설정!$A$55,K537))),설정!$B$55,IF(AND(설정!$A$56&lt;&gt;"",ISNUMBER(SEARCH(설정!$A$56,K537))),설정!$B$56,IF(AND(설정!$A$57&lt;&gt;"",ISNUMBER(SEARCH(설정!$A$57,K537))),설정!$B$57,IF(AND(설정!$A$58&lt;&gt;"",ISNUMBER(SEARCH(설정!$A$58,K537))),설정!$B$58,IF(AND(설정!$A$59&lt;&gt;"",ISNUMBER(SEARCH(설정!$A$59,K537))),설정!$B$59,IF(AND(설정!$A$60&lt;&gt;"",ISNUMBER(SEARCH(설정!$A$60,K537))),설정!$B$60,IF(AND(설정!$A$61&lt;&gt;"",ISNUMBER(SEARCH(설정!$A$61,K537))),설정!$B$61,IF(M537="","설계사","시공사"))))))))),"")</f>
        <v/>
      </c>
      <c r="V537">
        <f>SUBSTITUTE(SUBSTITUTE(SUBSTITUTE(SUBSTITUTE(G537,"(주)",""),"㈜",""),"주식회사","")," ","")</f>
        <v/>
      </c>
      <c r="W537">
        <f>IF(AND(T537,V537&lt;&gt;""),IF(COUNTIFS(V$2:V537,V537,T$2:T537,TRUE)=1,MAX(W$1:W536)+1,""),"")</f>
        <v/>
      </c>
      <c r="X537">
        <f>IF(설정!$C$14="","",IFERROR(INDEX('1.산군_붙여넣기'!$A$1:$AZ$1001,ROW(),설정!$C$14)&amp;"",""))</f>
        <v/>
      </c>
      <c r="Y537">
        <f>IF(설정!$C$15="","",IFERROR(INDEX('1.산군_붙여넣기'!$A$1:$AZ$1001,ROW(),설정!$C$15)&amp;"",""))</f>
        <v/>
      </c>
      <c r="Z537">
        <f>IF(T537,V537&amp;"|"&amp;U537,"")</f>
        <v/>
      </c>
      <c r="AA537">
        <f>IF(NOT(Q537),"",IF(NOT(AND(R537,S537)),"✕",IF(OR(OR(AND(L537&lt;&gt;"",M537&lt;&gt;"",N(M537)-N(L537)&gt;설정!$B$27),AND(L537&lt;&gt;"",M537="",설정!$B$24-N(L537)&gt;설정!$B$27)),AND(D537&lt;&gt;"",D537&lt;설정!$B$26)),"△","★")))</f>
        <v/>
      </c>
      <c r="AB537">
        <f>IF(NOT(T537),"",IF(U537="설계사",설정!$B$31,IF(U537="시공사",IF(OR(M537="",설정!$B$24-N(M537)&lt;=설정!$B$28*30.4),설정!$B$32,설정!$B$33),설정!$B$34))+IF(AA537="★",설정!$B$35,0))</f>
        <v/>
      </c>
      <c r="AC537">
        <f>SUBSTITUTE(SUBSTITUTE(SUBSTITUTE(SUBSTITUTE(H537,"(주)",""),"㈜",""),"주식회사","")," ","")</f>
        <v/>
      </c>
      <c r="AD537">
        <f>IF(AND(T537,AC537&lt;&gt;""),IF(COUNTIFS(AC$2:AC537,AC537,T$2:T537,TRUE)=1,MAX(AD$1:AD536)+1,""),"")</f>
        <v/>
      </c>
    </row>
    <row r="538">
      <c r="A538">
        <f>ROW()</f>
        <v/>
      </c>
      <c r="B538">
        <f>IF(설정!$C$4="","",IFERROR(INDEX('1.산군_붙여넣기'!$A$1:$AZ$1001,ROW(),설정!$C$4)&amp;"",""))</f>
        <v/>
      </c>
      <c r="C538">
        <f>IF(설정!$C$5="","",IFERROR(INDEX('1.산군_붙여넣기'!$A$1:$AZ$1001,ROW(),설정!$C$5)&amp;"",""))</f>
        <v/>
      </c>
      <c r="D538" s="5">
        <f>IFERROR(VALUE(SUBSTITUTE(SUBSTITUTE(SUBSTITUTE(IF(설정!$C$6="","",IFERROR(INDEX('1.산군_붙여넣기'!$A$1:$AZ$1001,ROW(),설정!$C$6)&amp;"","")),",",""),"㎡",""),"m2","")),"")</f>
        <v/>
      </c>
      <c r="E538">
        <f>IF(설정!$C$7="","",IFERROR(INDEX('1.산군_붙여넣기'!$A$1:$AZ$1001,ROW(),설정!$C$7)&amp;"",""))</f>
        <v/>
      </c>
      <c r="F538">
        <f>IF(설정!$C$8="","",IFERROR(INDEX('1.산군_붙여넣기'!$A$1:$AZ$1001,ROW(),설정!$C$8)&amp;"",""))</f>
        <v/>
      </c>
      <c r="G538">
        <f>IF(설정!$C$9="","",IFERROR(INDEX('1.산군_붙여넣기'!$A$1:$AZ$1001,ROW(),설정!$C$9)&amp;"",""))</f>
        <v/>
      </c>
      <c r="H538">
        <f>IF(설정!$C$10="","",IFERROR(INDEX('1.산군_붙여넣기'!$A$1:$AZ$1001,ROW(),설정!$C$10)&amp;"",""))</f>
        <v/>
      </c>
      <c r="I538">
        <f>IF(설정!$C$11="","",IFERROR(INDEX('1.산군_붙여넣기'!$A$1:$AZ$1001,ROW(),설정!$C$11)&amp;"",""))</f>
        <v/>
      </c>
      <c r="J538">
        <f>IF(설정!$C$12="","",IFERROR(INDEX('1.산군_붙여넣기'!$A$1:$AZ$1001,ROW(),설정!$C$12)&amp;"",""))</f>
        <v/>
      </c>
      <c r="K538">
        <f>IF(설정!$C$13="","",IFERROR(INDEX('1.산군_붙여넣기'!$A$1:$AZ$1001,ROW(),설정!$C$13)&amp;"",""))</f>
        <v/>
      </c>
      <c r="L538" s="7">
        <f>IF(X538="","",IF(AND(LEN(X538)=8,ISNUMBER(X538*1)),DATE(LEFT(X538,4),MID(X538,5,2),RIGHT(X538,2)),IFERROR(DATEVALUE(SUBSTITUTE(SUBSTITUTE(X538,".","-"),"/","-")),IFERROR(X538*1,""))))</f>
        <v/>
      </c>
      <c r="M538" s="7">
        <f>IF(Y538="","",IF(AND(LEN(Y538)=8,ISNUMBER(Y538*1)),DATE(LEFT(Y538,4),MID(Y538,5,2),RIGHT(Y538,2)),IFERROR(DATEVALUE(SUBSTITUTE(SUBSTITUTE(Y538,".","-"),"/","-")),IFERROR(Y538*1,""))))</f>
        <v/>
      </c>
      <c r="N538">
        <f>IFERROR(LEFT(B538,FIND(" ",B538)-1),B538)</f>
        <v/>
      </c>
      <c r="O538">
        <f>AND(B538&lt;&gt;"",B538&lt;&gt;설정!$B$4,C538&lt;&gt;설정!$B$5)</f>
        <v/>
      </c>
      <c r="P538">
        <f>IF(O538,B538&amp;"|"&amp;C538,"")</f>
        <v/>
      </c>
      <c r="Q538">
        <f>AND(O538,COUNTIF(P539:P$1002,P538)=0)</f>
        <v/>
      </c>
      <c r="R538">
        <f>OR(AND(설정!$A$42&lt;&gt;"",ISNUMBER(SEARCH(설정!$A$42,E538&amp;" "&amp;C538))),AND(설정!$A$43&lt;&gt;"",ISNUMBER(SEARCH(설정!$A$43,E538&amp;" "&amp;C538))),AND(설정!$A$44&lt;&gt;"",ISNUMBER(SEARCH(설정!$A$44,E538&amp;" "&amp;C538))),AND(설정!$A$45&lt;&gt;"",ISNUMBER(SEARCH(설정!$A$45,E538&amp;" "&amp;C538))),AND(설정!$A$46&lt;&gt;"",ISNUMBER(SEARCH(설정!$A$46,E538&amp;" "&amp;C538))),AND(설정!$A$47&lt;&gt;"",ISNUMBER(SEARCH(설정!$A$47,E538&amp;" "&amp;C538))),AND(설정!$A$48&lt;&gt;"",ISNUMBER(SEARCH(설정!$A$48,E538&amp;" "&amp;C538))),AND(설정!$A$49&lt;&gt;"",ISNUMBER(SEARCH(설정!$A$49,E538&amp;" "&amp;C538))),AND(설정!$A$50&lt;&gt;"",ISNUMBER(SEARCH(설정!$A$50,E538&amp;" "&amp;C538))),AND(설정!$A$51&lt;&gt;"",ISNUMBER(SEARCH(설정!$A$51,E538&amp;" "&amp;C538))))</f>
        <v/>
      </c>
      <c r="S538">
        <f>OR(D538="",D538&gt;=설정!$B$19)</f>
        <v/>
      </c>
      <c r="T538">
        <f>AND(Q538,R538,S538)</f>
        <v/>
      </c>
      <c r="U538">
        <f>IF(T538,IF(AND(설정!$A$54&lt;&gt;"",ISNUMBER(SEARCH(설정!$A$54,K538))),설정!$B$54,IF(AND(설정!$A$55&lt;&gt;"",ISNUMBER(SEARCH(설정!$A$55,K538))),설정!$B$55,IF(AND(설정!$A$56&lt;&gt;"",ISNUMBER(SEARCH(설정!$A$56,K538))),설정!$B$56,IF(AND(설정!$A$57&lt;&gt;"",ISNUMBER(SEARCH(설정!$A$57,K538))),설정!$B$57,IF(AND(설정!$A$58&lt;&gt;"",ISNUMBER(SEARCH(설정!$A$58,K538))),설정!$B$58,IF(AND(설정!$A$59&lt;&gt;"",ISNUMBER(SEARCH(설정!$A$59,K538))),설정!$B$59,IF(AND(설정!$A$60&lt;&gt;"",ISNUMBER(SEARCH(설정!$A$60,K538))),설정!$B$60,IF(AND(설정!$A$61&lt;&gt;"",ISNUMBER(SEARCH(설정!$A$61,K538))),설정!$B$61,IF(M538="","설계사","시공사"))))))))),"")</f>
        <v/>
      </c>
      <c r="V538">
        <f>SUBSTITUTE(SUBSTITUTE(SUBSTITUTE(SUBSTITUTE(G538,"(주)",""),"㈜",""),"주식회사","")," ","")</f>
        <v/>
      </c>
      <c r="W538">
        <f>IF(AND(T538,V538&lt;&gt;""),IF(COUNTIFS(V$2:V538,V538,T$2:T538,TRUE)=1,MAX(W$1:W537)+1,""),"")</f>
        <v/>
      </c>
      <c r="X538">
        <f>IF(설정!$C$14="","",IFERROR(INDEX('1.산군_붙여넣기'!$A$1:$AZ$1001,ROW(),설정!$C$14)&amp;"",""))</f>
        <v/>
      </c>
      <c r="Y538">
        <f>IF(설정!$C$15="","",IFERROR(INDEX('1.산군_붙여넣기'!$A$1:$AZ$1001,ROW(),설정!$C$15)&amp;"",""))</f>
        <v/>
      </c>
      <c r="Z538">
        <f>IF(T538,V538&amp;"|"&amp;U538,"")</f>
        <v/>
      </c>
      <c r="AA538">
        <f>IF(NOT(Q538),"",IF(NOT(AND(R538,S538)),"✕",IF(OR(OR(AND(L538&lt;&gt;"",M538&lt;&gt;"",N(M538)-N(L538)&gt;설정!$B$27),AND(L538&lt;&gt;"",M538="",설정!$B$24-N(L538)&gt;설정!$B$27)),AND(D538&lt;&gt;"",D538&lt;설정!$B$26)),"△","★")))</f>
        <v/>
      </c>
      <c r="AB538">
        <f>IF(NOT(T538),"",IF(U538="설계사",설정!$B$31,IF(U538="시공사",IF(OR(M538="",설정!$B$24-N(M538)&lt;=설정!$B$28*30.4),설정!$B$32,설정!$B$33),설정!$B$34))+IF(AA538="★",설정!$B$35,0))</f>
        <v/>
      </c>
      <c r="AC538">
        <f>SUBSTITUTE(SUBSTITUTE(SUBSTITUTE(SUBSTITUTE(H538,"(주)",""),"㈜",""),"주식회사","")," ","")</f>
        <v/>
      </c>
      <c r="AD538">
        <f>IF(AND(T538,AC538&lt;&gt;""),IF(COUNTIFS(AC$2:AC538,AC538,T$2:T538,TRUE)=1,MAX(AD$1:AD537)+1,""),"")</f>
        <v/>
      </c>
    </row>
    <row r="539">
      <c r="A539">
        <f>ROW()</f>
        <v/>
      </c>
      <c r="B539">
        <f>IF(설정!$C$4="","",IFERROR(INDEX('1.산군_붙여넣기'!$A$1:$AZ$1001,ROW(),설정!$C$4)&amp;"",""))</f>
        <v/>
      </c>
      <c r="C539">
        <f>IF(설정!$C$5="","",IFERROR(INDEX('1.산군_붙여넣기'!$A$1:$AZ$1001,ROW(),설정!$C$5)&amp;"",""))</f>
        <v/>
      </c>
      <c r="D539" s="5">
        <f>IFERROR(VALUE(SUBSTITUTE(SUBSTITUTE(SUBSTITUTE(IF(설정!$C$6="","",IFERROR(INDEX('1.산군_붙여넣기'!$A$1:$AZ$1001,ROW(),설정!$C$6)&amp;"","")),",",""),"㎡",""),"m2","")),"")</f>
        <v/>
      </c>
      <c r="E539">
        <f>IF(설정!$C$7="","",IFERROR(INDEX('1.산군_붙여넣기'!$A$1:$AZ$1001,ROW(),설정!$C$7)&amp;"",""))</f>
        <v/>
      </c>
      <c r="F539">
        <f>IF(설정!$C$8="","",IFERROR(INDEX('1.산군_붙여넣기'!$A$1:$AZ$1001,ROW(),설정!$C$8)&amp;"",""))</f>
        <v/>
      </c>
      <c r="G539">
        <f>IF(설정!$C$9="","",IFERROR(INDEX('1.산군_붙여넣기'!$A$1:$AZ$1001,ROW(),설정!$C$9)&amp;"",""))</f>
        <v/>
      </c>
      <c r="H539">
        <f>IF(설정!$C$10="","",IFERROR(INDEX('1.산군_붙여넣기'!$A$1:$AZ$1001,ROW(),설정!$C$10)&amp;"",""))</f>
        <v/>
      </c>
      <c r="I539">
        <f>IF(설정!$C$11="","",IFERROR(INDEX('1.산군_붙여넣기'!$A$1:$AZ$1001,ROW(),설정!$C$11)&amp;"",""))</f>
        <v/>
      </c>
      <c r="J539">
        <f>IF(설정!$C$12="","",IFERROR(INDEX('1.산군_붙여넣기'!$A$1:$AZ$1001,ROW(),설정!$C$12)&amp;"",""))</f>
        <v/>
      </c>
      <c r="K539">
        <f>IF(설정!$C$13="","",IFERROR(INDEX('1.산군_붙여넣기'!$A$1:$AZ$1001,ROW(),설정!$C$13)&amp;"",""))</f>
        <v/>
      </c>
      <c r="L539" s="7">
        <f>IF(X539="","",IF(AND(LEN(X539)=8,ISNUMBER(X539*1)),DATE(LEFT(X539,4),MID(X539,5,2),RIGHT(X539,2)),IFERROR(DATEVALUE(SUBSTITUTE(SUBSTITUTE(X539,".","-"),"/","-")),IFERROR(X539*1,""))))</f>
        <v/>
      </c>
      <c r="M539" s="7">
        <f>IF(Y539="","",IF(AND(LEN(Y539)=8,ISNUMBER(Y539*1)),DATE(LEFT(Y539,4),MID(Y539,5,2),RIGHT(Y539,2)),IFERROR(DATEVALUE(SUBSTITUTE(SUBSTITUTE(Y539,".","-"),"/","-")),IFERROR(Y539*1,""))))</f>
        <v/>
      </c>
      <c r="N539">
        <f>IFERROR(LEFT(B539,FIND(" ",B539)-1),B539)</f>
        <v/>
      </c>
      <c r="O539">
        <f>AND(B539&lt;&gt;"",B539&lt;&gt;설정!$B$4,C539&lt;&gt;설정!$B$5)</f>
        <v/>
      </c>
      <c r="P539">
        <f>IF(O539,B539&amp;"|"&amp;C539,"")</f>
        <v/>
      </c>
      <c r="Q539">
        <f>AND(O539,COUNTIF(P540:P$1002,P539)=0)</f>
        <v/>
      </c>
      <c r="R539">
        <f>OR(AND(설정!$A$42&lt;&gt;"",ISNUMBER(SEARCH(설정!$A$42,E539&amp;" "&amp;C539))),AND(설정!$A$43&lt;&gt;"",ISNUMBER(SEARCH(설정!$A$43,E539&amp;" "&amp;C539))),AND(설정!$A$44&lt;&gt;"",ISNUMBER(SEARCH(설정!$A$44,E539&amp;" "&amp;C539))),AND(설정!$A$45&lt;&gt;"",ISNUMBER(SEARCH(설정!$A$45,E539&amp;" "&amp;C539))),AND(설정!$A$46&lt;&gt;"",ISNUMBER(SEARCH(설정!$A$46,E539&amp;" "&amp;C539))),AND(설정!$A$47&lt;&gt;"",ISNUMBER(SEARCH(설정!$A$47,E539&amp;" "&amp;C539))),AND(설정!$A$48&lt;&gt;"",ISNUMBER(SEARCH(설정!$A$48,E539&amp;" "&amp;C539))),AND(설정!$A$49&lt;&gt;"",ISNUMBER(SEARCH(설정!$A$49,E539&amp;" "&amp;C539))),AND(설정!$A$50&lt;&gt;"",ISNUMBER(SEARCH(설정!$A$50,E539&amp;" "&amp;C539))),AND(설정!$A$51&lt;&gt;"",ISNUMBER(SEARCH(설정!$A$51,E539&amp;" "&amp;C539))))</f>
        <v/>
      </c>
      <c r="S539">
        <f>OR(D539="",D539&gt;=설정!$B$19)</f>
        <v/>
      </c>
      <c r="T539">
        <f>AND(Q539,R539,S539)</f>
        <v/>
      </c>
      <c r="U539">
        <f>IF(T539,IF(AND(설정!$A$54&lt;&gt;"",ISNUMBER(SEARCH(설정!$A$54,K539))),설정!$B$54,IF(AND(설정!$A$55&lt;&gt;"",ISNUMBER(SEARCH(설정!$A$55,K539))),설정!$B$55,IF(AND(설정!$A$56&lt;&gt;"",ISNUMBER(SEARCH(설정!$A$56,K539))),설정!$B$56,IF(AND(설정!$A$57&lt;&gt;"",ISNUMBER(SEARCH(설정!$A$57,K539))),설정!$B$57,IF(AND(설정!$A$58&lt;&gt;"",ISNUMBER(SEARCH(설정!$A$58,K539))),설정!$B$58,IF(AND(설정!$A$59&lt;&gt;"",ISNUMBER(SEARCH(설정!$A$59,K539))),설정!$B$59,IF(AND(설정!$A$60&lt;&gt;"",ISNUMBER(SEARCH(설정!$A$60,K539))),설정!$B$60,IF(AND(설정!$A$61&lt;&gt;"",ISNUMBER(SEARCH(설정!$A$61,K539))),설정!$B$61,IF(M539="","설계사","시공사"))))))))),"")</f>
        <v/>
      </c>
      <c r="V539">
        <f>SUBSTITUTE(SUBSTITUTE(SUBSTITUTE(SUBSTITUTE(G539,"(주)",""),"㈜",""),"주식회사","")," ","")</f>
        <v/>
      </c>
      <c r="W539">
        <f>IF(AND(T539,V539&lt;&gt;""),IF(COUNTIFS(V$2:V539,V539,T$2:T539,TRUE)=1,MAX(W$1:W538)+1,""),"")</f>
        <v/>
      </c>
      <c r="X539">
        <f>IF(설정!$C$14="","",IFERROR(INDEX('1.산군_붙여넣기'!$A$1:$AZ$1001,ROW(),설정!$C$14)&amp;"",""))</f>
        <v/>
      </c>
      <c r="Y539">
        <f>IF(설정!$C$15="","",IFERROR(INDEX('1.산군_붙여넣기'!$A$1:$AZ$1001,ROW(),설정!$C$15)&amp;"",""))</f>
        <v/>
      </c>
      <c r="Z539">
        <f>IF(T539,V539&amp;"|"&amp;U539,"")</f>
        <v/>
      </c>
      <c r="AA539">
        <f>IF(NOT(Q539),"",IF(NOT(AND(R539,S539)),"✕",IF(OR(OR(AND(L539&lt;&gt;"",M539&lt;&gt;"",N(M539)-N(L539)&gt;설정!$B$27),AND(L539&lt;&gt;"",M539="",설정!$B$24-N(L539)&gt;설정!$B$27)),AND(D539&lt;&gt;"",D539&lt;설정!$B$26)),"△","★")))</f>
        <v/>
      </c>
      <c r="AB539">
        <f>IF(NOT(T539),"",IF(U539="설계사",설정!$B$31,IF(U539="시공사",IF(OR(M539="",설정!$B$24-N(M539)&lt;=설정!$B$28*30.4),설정!$B$32,설정!$B$33),설정!$B$34))+IF(AA539="★",설정!$B$35,0))</f>
        <v/>
      </c>
      <c r="AC539">
        <f>SUBSTITUTE(SUBSTITUTE(SUBSTITUTE(SUBSTITUTE(H539,"(주)",""),"㈜",""),"주식회사","")," ","")</f>
        <v/>
      </c>
      <c r="AD539">
        <f>IF(AND(T539,AC539&lt;&gt;""),IF(COUNTIFS(AC$2:AC539,AC539,T$2:T539,TRUE)=1,MAX(AD$1:AD538)+1,""),"")</f>
        <v/>
      </c>
    </row>
    <row r="540">
      <c r="A540">
        <f>ROW()</f>
        <v/>
      </c>
      <c r="B540">
        <f>IF(설정!$C$4="","",IFERROR(INDEX('1.산군_붙여넣기'!$A$1:$AZ$1001,ROW(),설정!$C$4)&amp;"",""))</f>
        <v/>
      </c>
      <c r="C540">
        <f>IF(설정!$C$5="","",IFERROR(INDEX('1.산군_붙여넣기'!$A$1:$AZ$1001,ROW(),설정!$C$5)&amp;"",""))</f>
        <v/>
      </c>
      <c r="D540" s="5">
        <f>IFERROR(VALUE(SUBSTITUTE(SUBSTITUTE(SUBSTITUTE(IF(설정!$C$6="","",IFERROR(INDEX('1.산군_붙여넣기'!$A$1:$AZ$1001,ROW(),설정!$C$6)&amp;"","")),",",""),"㎡",""),"m2","")),"")</f>
        <v/>
      </c>
      <c r="E540">
        <f>IF(설정!$C$7="","",IFERROR(INDEX('1.산군_붙여넣기'!$A$1:$AZ$1001,ROW(),설정!$C$7)&amp;"",""))</f>
        <v/>
      </c>
      <c r="F540">
        <f>IF(설정!$C$8="","",IFERROR(INDEX('1.산군_붙여넣기'!$A$1:$AZ$1001,ROW(),설정!$C$8)&amp;"",""))</f>
        <v/>
      </c>
      <c r="G540">
        <f>IF(설정!$C$9="","",IFERROR(INDEX('1.산군_붙여넣기'!$A$1:$AZ$1001,ROW(),설정!$C$9)&amp;"",""))</f>
        <v/>
      </c>
      <c r="H540">
        <f>IF(설정!$C$10="","",IFERROR(INDEX('1.산군_붙여넣기'!$A$1:$AZ$1001,ROW(),설정!$C$10)&amp;"",""))</f>
        <v/>
      </c>
      <c r="I540">
        <f>IF(설정!$C$11="","",IFERROR(INDEX('1.산군_붙여넣기'!$A$1:$AZ$1001,ROW(),설정!$C$11)&amp;"",""))</f>
        <v/>
      </c>
      <c r="J540">
        <f>IF(설정!$C$12="","",IFERROR(INDEX('1.산군_붙여넣기'!$A$1:$AZ$1001,ROW(),설정!$C$12)&amp;"",""))</f>
        <v/>
      </c>
      <c r="K540">
        <f>IF(설정!$C$13="","",IFERROR(INDEX('1.산군_붙여넣기'!$A$1:$AZ$1001,ROW(),설정!$C$13)&amp;"",""))</f>
        <v/>
      </c>
      <c r="L540" s="7">
        <f>IF(X540="","",IF(AND(LEN(X540)=8,ISNUMBER(X540*1)),DATE(LEFT(X540,4),MID(X540,5,2),RIGHT(X540,2)),IFERROR(DATEVALUE(SUBSTITUTE(SUBSTITUTE(X540,".","-"),"/","-")),IFERROR(X540*1,""))))</f>
        <v/>
      </c>
      <c r="M540" s="7">
        <f>IF(Y540="","",IF(AND(LEN(Y540)=8,ISNUMBER(Y540*1)),DATE(LEFT(Y540,4),MID(Y540,5,2),RIGHT(Y540,2)),IFERROR(DATEVALUE(SUBSTITUTE(SUBSTITUTE(Y540,".","-"),"/","-")),IFERROR(Y540*1,""))))</f>
        <v/>
      </c>
      <c r="N540">
        <f>IFERROR(LEFT(B540,FIND(" ",B540)-1),B540)</f>
        <v/>
      </c>
      <c r="O540">
        <f>AND(B540&lt;&gt;"",B540&lt;&gt;설정!$B$4,C540&lt;&gt;설정!$B$5)</f>
        <v/>
      </c>
      <c r="P540">
        <f>IF(O540,B540&amp;"|"&amp;C540,"")</f>
        <v/>
      </c>
      <c r="Q540">
        <f>AND(O540,COUNTIF(P541:P$1002,P540)=0)</f>
        <v/>
      </c>
      <c r="R540">
        <f>OR(AND(설정!$A$42&lt;&gt;"",ISNUMBER(SEARCH(설정!$A$42,E540&amp;" "&amp;C540))),AND(설정!$A$43&lt;&gt;"",ISNUMBER(SEARCH(설정!$A$43,E540&amp;" "&amp;C540))),AND(설정!$A$44&lt;&gt;"",ISNUMBER(SEARCH(설정!$A$44,E540&amp;" "&amp;C540))),AND(설정!$A$45&lt;&gt;"",ISNUMBER(SEARCH(설정!$A$45,E540&amp;" "&amp;C540))),AND(설정!$A$46&lt;&gt;"",ISNUMBER(SEARCH(설정!$A$46,E540&amp;" "&amp;C540))),AND(설정!$A$47&lt;&gt;"",ISNUMBER(SEARCH(설정!$A$47,E540&amp;" "&amp;C540))),AND(설정!$A$48&lt;&gt;"",ISNUMBER(SEARCH(설정!$A$48,E540&amp;" "&amp;C540))),AND(설정!$A$49&lt;&gt;"",ISNUMBER(SEARCH(설정!$A$49,E540&amp;" "&amp;C540))),AND(설정!$A$50&lt;&gt;"",ISNUMBER(SEARCH(설정!$A$50,E540&amp;" "&amp;C540))),AND(설정!$A$51&lt;&gt;"",ISNUMBER(SEARCH(설정!$A$51,E540&amp;" "&amp;C540))))</f>
        <v/>
      </c>
      <c r="S540">
        <f>OR(D540="",D540&gt;=설정!$B$19)</f>
        <v/>
      </c>
      <c r="T540">
        <f>AND(Q540,R540,S540)</f>
        <v/>
      </c>
      <c r="U540">
        <f>IF(T540,IF(AND(설정!$A$54&lt;&gt;"",ISNUMBER(SEARCH(설정!$A$54,K540))),설정!$B$54,IF(AND(설정!$A$55&lt;&gt;"",ISNUMBER(SEARCH(설정!$A$55,K540))),설정!$B$55,IF(AND(설정!$A$56&lt;&gt;"",ISNUMBER(SEARCH(설정!$A$56,K540))),설정!$B$56,IF(AND(설정!$A$57&lt;&gt;"",ISNUMBER(SEARCH(설정!$A$57,K540))),설정!$B$57,IF(AND(설정!$A$58&lt;&gt;"",ISNUMBER(SEARCH(설정!$A$58,K540))),설정!$B$58,IF(AND(설정!$A$59&lt;&gt;"",ISNUMBER(SEARCH(설정!$A$59,K540))),설정!$B$59,IF(AND(설정!$A$60&lt;&gt;"",ISNUMBER(SEARCH(설정!$A$60,K540))),설정!$B$60,IF(AND(설정!$A$61&lt;&gt;"",ISNUMBER(SEARCH(설정!$A$61,K540))),설정!$B$61,IF(M540="","설계사","시공사"))))))))),"")</f>
        <v/>
      </c>
      <c r="V540">
        <f>SUBSTITUTE(SUBSTITUTE(SUBSTITUTE(SUBSTITUTE(G540,"(주)",""),"㈜",""),"주식회사","")," ","")</f>
        <v/>
      </c>
      <c r="W540">
        <f>IF(AND(T540,V540&lt;&gt;""),IF(COUNTIFS(V$2:V540,V540,T$2:T540,TRUE)=1,MAX(W$1:W539)+1,""),"")</f>
        <v/>
      </c>
      <c r="X540">
        <f>IF(설정!$C$14="","",IFERROR(INDEX('1.산군_붙여넣기'!$A$1:$AZ$1001,ROW(),설정!$C$14)&amp;"",""))</f>
        <v/>
      </c>
      <c r="Y540">
        <f>IF(설정!$C$15="","",IFERROR(INDEX('1.산군_붙여넣기'!$A$1:$AZ$1001,ROW(),설정!$C$15)&amp;"",""))</f>
        <v/>
      </c>
      <c r="Z540">
        <f>IF(T540,V540&amp;"|"&amp;U540,"")</f>
        <v/>
      </c>
      <c r="AA540">
        <f>IF(NOT(Q540),"",IF(NOT(AND(R540,S540)),"✕",IF(OR(OR(AND(L540&lt;&gt;"",M540&lt;&gt;"",N(M540)-N(L540)&gt;설정!$B$27),AND(L540&lt;&gt;"",M540="",설정!$B$24-N(L540)&gt;설정!$B$27)),AND(D540&lt;&gt;"",D540&lt;설정!$B$26)),"△","★")))</f>
        <v/>
      </c>
      <c r="AB540">
        <f>IF(NOT(T540),"",IF(U540="설계사",설정!$B$31,IF(U540="시공사",IF(OR(M540="",설정!$B$24-N(M540)&lt;=설정!$B$28*30.4),설정!$B$32,설정!$B$33),설정!$B$34))+IF(AA540="★",설정!$B$35,0))</f>
        <v/>
      </c>
      <c r="AC540">
        <f>SUBSTITUTE(SUBSTITUTE(SUBSTITUTE(SUBSTITUTE(H540,"(주)",""),"㈜",""),"주식회사","")," ","")</f>
        <v/>
      </c>
      <c r="AD540">
        <f>IF(AND(T540,AC540&lt;&gt;""),IF(COUNTIFS(AC$2:AC540,AC540,T$2:T540,TRUE)=1,MAX(AD$1:AD539)+1,""),"")</f>
        <v/>
      </c>
    </row>
    <row r="541">
      <c r="A541">
        <f>ROW()</f>
        <v/>
      </c>
      <c r="B541">
        <f>IF(설정!$C$4="","",IFERROR(INDEX('1.산군_붙여넣기'!$A$1:$AZ$1001,ROW(),설정!$C$4)&amp;"",""))</f>
        <v/>
      </c>
      <c r="C541">
        <f>IF(설정!$C$5="","",IFERROR(INDEX('1.산군_붙여넣기'!$A$1:$AZ$1001,ROW(),설정!$C$5)&amp;"",""))</f>
        <v/>
      </c>
      <c r="D541" s="5">
        <f>IFERROR(VALUE(SUBSTITUTE(SUBSTITUTE(SUBSTITUTE(IF(설정!$C$6="","",IFERROR(INDEX('1.산군_붙여넣기'!$A$1:$AZ$1001,ROW(),설정!$C$6)&amp;"","")),",",""),"㎡",""),"m2","")),"")</f>
        <v/>
      </c>
      <c r="E541">
        <f>IF(설정!$C$7="","",IFERROR(INDEX('1.산군_붙여넣기'!$A$1:$AZ$1001,ROW(),설정!$C$7)&amp;"",""))</f>
        <v/>
      </c>
      <c r="F541">
        <f>IF(설정!$C$8="","",IFERROR(INDEX('1.산군_붙여넣기'!$A$1:$AZ$1001,ROW(),설정!$C$8)&amp;"",""))</f>
        <v/>
      </c>
      <c r="G541">
        <f>IF(설정!$C$9="","",IFERROR(INDEX('1.산군_붙여넣기'!$A$1:$AZ$1001,ROW(),설정!$C$9)&amp;"",""))</f>
        <v/>
      </c>
      <c r="H541">
        <f>IF(설정!$C$10="","",IFERROR(INDEX('1.산군_붙여넣기'!$A$1:$AZ$1001,ROW(),설정!$C$10)&amp;"",""))</f>
        <v/>
      </c>
      <c r="I541">
        <f>IF(설정!$C$11="","",IFERROR(INDEX('1.산군_붙여넣기'!$A$1:$AZ$1001,ROW(),설정!$C$11)&amp;"",""))</f>
        <v/>
      </c>
      <c r="J541">
        <f>IF(설정!$C$12="","",IFERROR(INDEX('1.산군_붙여넣기'!$A$1:$AZ$1001,ROW(),설정!$C$12)&amp;"",""))</f>
        <v/>
      </c>
      <c r="K541">
        <f>IF(설정!$C$13="","",IFERROR(INDEX('1.산군_붙여넣기'!$A$1:$AZ$1001,ROW(),설정!$C$13)&amp;"",""))</f>
        <v/>
      </c>
      <c r="L541" s="7">
        <f>IF(X541="","",IF(AND(LEN(X541)=8,ISNUMBER(X541*1)),DATE(LEFT(X541,4),MID(X541,5,2),RIGHT(X541,2)),IFERROR(DATEVALUE(SUBSTITUTE(SUBSTITUTE(X541,".","-"),"/","-")),IFERROR(X541*1,""))))</f>
        <v/>
      </c>
      <c r="M541" s="7">
        <f>IF(Y541="","",IF(AND(LEN(Y541)=8,ISNUMBER(Y541*1)),DATE(LEFT(Y541,4),MID(Y541,5,2),RIGHT(Y541,2)),IFERROR(DATEVALUE(SUBSTITUTE(SUBSTITUTE(Y541,".","-"),"/","-")),IFERROR(Y541*1,""))))</f>
        <v/>
      </c>
      <c r="N541">
        <f>IFERROR(LEFT(B541,FIND(" ",B541)-1),B541)</f>
        <v/>
      </c>
      <c r="O541">
        <f>AND(B541&lt;&gt;"",B541&lt;&gt;설정!$B$4,C541&lt;&gt;설정!$B$5)</f>
        <v/>
      </c>
      <c r="P541">
        <f>IF(O541,B541&amp;"|"&amp;C541,"")</f>
        <v/>
      </c>
      <c r="Q541">
        <f>AND(O541,COUNTIF(P542:P$1002,P541)=0)</f>
        <v/>
      </c>
      <c r="R541">
        <f>OR(AND(설정!$A$42&lt;&gt;"",ISNUMBER(SEARCH(설정!$A$42,E541&amp;" "&amp;C541))),AND(설정!$A$43&lt;&gt;"",ISNUMBER(SEARCH(설정!$A$43,E541&amp;" "&amp;C541))),AND(설정!$A$44&lt;&gt;"",ISNUMBER(SEARCH(설정!$A$44,E541&amp;" "&amp;C541))),AND(설정!$A$45&lt;&gt;"",ISNUMBER(SEARCH(설정!$A$45,E541&amp;" "&amp;C541))),AND(설정!$A$46&lt;&gt;"",ISNUMBER(SEARCH(설정!$A$46,E541&amp;" "&amp;C541))),AND(설정!$A$47&lt;&gt;"",ISNUMBER(SEARCH(설정!$A$47,E541&amp;" "&amp;C541))),AND(설정!$A$48&lt;&gt;"",ISNUMBER(SEARCH(설정!$A$48,E541&amp;" "&amp;C541))),AND(설정!$A$49&lt;&gt;"",ISNUMBER(SEARCH(설정!$A$49,E541&amp;" "&amp;C541))),AND(설정!$A$50&lt;&gt;"",ISNUMBER(SEARCH(설정!$A$50,E541&amp;" "&amp;C541))),AND(설정!$A$51&lt;&gt;"",ISNUMBER(SEARCH(설정!$A$51,E541&amp;" "&amp;C541))))</f>
        <v/>
      </c>
      <c r="S541">
        <f>OR(D541="",D541&gt;=설정!$B$19)</f>
        <v/>
      </c>
      <c r="T541">
        <f>AND(Q541,R541,S541)</f>
        <v/>
      </c>
      <c r="U541">
        <f>IF(T541,IF(AND(설정!$A$54&lt;&gt;"",ISNUMBER(SEARCH(설정!$A$54,K541))),설정!$B$54,IF(AND(설정!$A$55&lt;&gt;"",ISNUMBER(SEARCH(설정!$A$55,K541))),설정!$B$55,IF(AND(설정!$A$56&lt;&gt;"",ISNUMBER(SEARCH(설정!$A$56,K541))),설정!$B$56,IF(AND(설정!$A$57&lt;&gt;"",ISNUMBER(SEARCH(설정!$A$57,K541))),설정!$B$57,IF(AND(설정!$A$58&lt;&gt;"",ISNUMBER(SEARCH(설정!$A$58,K541))),설정!$B$58,IF(AND(설정!$A$59&lt;&gt;"",ISNUMBER(SEARCH(설정!$A$59,K541))),설정!$B$59,IF(AND(설정!$A$60&lt;&gt;"",ISNUMBER(SEARCH(설정!$A$60,K541))),설정!$B$60,IF(AND(설정!$A$61&lt;&gt;"",ISNUMBER(SEARCH(설정!$A$61,K541))),설정!$B$61,IF(M541="","설계사","시공사"))))))))),"")</f>
        <v/>
      </c>
      <c r="V541">
        <f>SUBSTITUTE(SUBSTITUTE(SUBSTITUTE(SUBSTITUTE(G541,"(주)",""),"㈜",""),"주식회사","")," ","")</f>
        <v/>
      </c>
      <c r="W541">
        <f>IF(AND(T541,V541&lt;&gt;""),IF(COUNTIFS(V$2:V541,V541,T$2:T541,TRUE)=1,MAX(W$1:W540)+1,""),"")</f>
        <v/>
      </c>
      <c r="X541">
        <f>IF(설정!$C$14="","",IFERROR(INDEX('1.산군_붙여넣기'!$A$1:$AZ$1001,ROW(),설정!$C$14)&amp;"",""))</f>
        <v/>
      </c>
      <c r="Y541">
        <f>IF(설정!$C$15="","",IFERROR(INDEX('1.산군_붙여넣기'!$A$1:$AZ$1001,ROW(),설정!$C$15)&amp;"",""))</f>
        <v/>
      </c>
      <c r="Z541">
        <f>IF(T541,V541&amp;"|"&amp;U541,"")</f>
        <v/>
      </c>
      <c r="AA541">
        <f>IF(NOT(Q541),"",IF(NOT(AND(R541,S541)),"✕",IF(OR(OR(AND(L541&lt;&gt;"",M541&lt;&gt;"",N(M541)-N(L541)&gt;설정!$B$27),AND(L541&lt;&gt;"",M541="",설정!$B$24-N(L541)&gt;설정!$B$27)),AND(D541&lt;&gt;"",D541&lt;설정!$B$26)),"△","★")))</f>
        <v/>
      </c>
      <c r="AB541">
        <f>IF(NOT(T541),"",IF(U541="설계사",설정!$B$31,IF(U541="시공사",IF(OR(M541="",설정!$B$24-N(M541)&lt;=설정!$B$28*30.4),설정!$B$32,설정!$B$33),설정!$B$34))+IF(AA541="★",설정!$B$35,0))</f>
        <v/>
      </c>
      <c r="AC541">
        <f>SUBSTITUTE(SUBSTITUTE(SUBSTITUTE(SUBSTITUTE(H541,"(주)",""),"㈜",""),"주식회사","")," ","")</f>
        <v/>
      </c>
      <c r="AD541">
        <f>IF(AND(T541,AC541&lt;&gt;""),IF(COUNTIFS(AC$2:AC541,AC541,T$2:T541,TRUE)=1,MAX(AD$1:AD540)+1,""),"")</f>
        <v/>
      </c>
    </row>
    <row r="542">
      <c r="A542">
        <f>ROW()</f>
        <v/>
      </c>
      <c r="B542">
        <f>IF(설정!$C$4="","",IFERROR(INDEX('1.산군_붙여넣기'!$A$1:$AZ$1001,ROW(),설정!$C$4)&amp;"",""))</f>
        <v/>
      </c>
      <c r="C542">
        <f>IF(설정!$C$5="","",IFERROR(INDEX('1.산군_붙여넣기'!$A$1:$AZ$1001,ROW(),설정!$C$5)&amp;"",""))</f>
        <v/>
      </c>
      <c r="D542" s="5">
        <f>IFERROR(VALUE(SUBSTITUTE(SUBSTITUTE(SUBSTITUTE(IF(설정!$C$6="","",IFERROR(INDEX('1.산군_붙여넣기'!$A$1:$AZ$1001,ROW(),설정!$C$6)&amp;"","")),",",""),"㎡",""),"m2","")),"")</f>
        <v/>
      </c>
      <c r="E542">
        <f>IF(설정!$C$7="","",IFERROR(INDEX('1.산군_붙여넣기'!$A$1:$AZ$1001,ROW(),설정!$C$7)&amp;"",""))</f>
        <v/>
      </c>
      <c r="F542">
        <f>IF(설정!$C$8="","",IFERROR(INDEX('1.산군_붙여넣기'!$A$1:$AZ$1001,ROW(),설정!$C$8)&amp;"",""))</f>
        <v/>
      </c>
      <c r="G542">
        <f>IF(설정!$C$9="","",IFERROR(INDEX('1.산군_붙여넣기'!$A$1:$AZ$1001,ROW(),설정!$C$9)&amp;"",""))</f>
        <v/>
      </c>
      <c r="H542">
        <f>IF(설정!$C$10="","",IFERROR(INDEX('1.산군_붙여넣기'!$A$1:$AZ$1001,ROW(),설정!$C$10)&amp;"",""))</f>
        <v/>
      </c>
      <c r="I542">
        <f>IF(설정!$C$11="","",IFERROR(INDEX('1.산군_붙여넣기'!$A$1:$AZ$1001,ROW(),설정!$C$11)&amp;"",""))</f>
        <v/>
      </c>
      <c r="J542">
        <f>IF(설정!$C$12="","",IFERROR(INDEX('1.산군_붙여넣기'!$A$1:$AZ$1001,ROW(),설정!$C$12)&amp;"",""))</f>
        <v/>
      </c>
      <c r="K542">
        <f>IF(설정!$C$13="","",IFERROR(INDEX('1.산군_붙여넣기'!$A$1:$AZ$1001,ROW(),설정!$C$13)&amp;"",""))</f>
        <v/>
      </c>
      <c r="L542" s="7">
        <f>IF(X542="","",IF(AND(LEN(X542)=8,ISNUMBER(X542*1)),DATE(LEFT(X542,4),MID(X542,5,2),RIGHT(X542,2)),IFERROR(DATEVALUE(SUBSTITUTE(SUBSTITUTE(X542,".","-"),"/","-")),IFERROR(X542*1,""))))</f>
        <v/>
      </c>
      <c r="M542" s="7">
        <f>IF(Y542="","",IF(AND(LEN(Y542)=8,ISNUMBER(Y542*1)),DATE(LEFT(Y542,4),MID(Y542,5,2),RIGHT(Y542,2)),IFERROR(DATEVALUE(SUBSTITUTE(SUBSTITUTE(Y542,".","-"),"/","-")),IFERROR(Y542*1,""))))</f>
        <v/>
      </c>
      <c r="N542">
        <f>IFERROR(LEFT(B542,FIND(" ",B542)-1),B542)</f>
        <v/>
      </c>
      <c r="O542">
        <f>AND(B542&lt;&gt;"",B542&lt;&gt;설정!$B$4,C542&lt;&gt;설정!$B$5)</f>
        <v/>
      </c>
      <c r="P542">
        <f>IF(O542,B542&amp;"|"&amp;C542,"")</f>
        <v/>
      </c>
      <c r="Q542">
        <f>AND(O542,COUNTIF(P543:P$1002,P542)=0)</f>
        <v/>
      </c>
      <c r="R542">
        <f>OR(AND(설정!$A$42&lt;&gt;"",ISNUMBER(SEARCH(설정!$A$42,E542&amp;" "&amp;C542))),AND(설정!$A$43&lt;&gt;"",ISNUMBER(SEARCH(설정!$A$43,E542&amp;" "&amp;C542))),AND(설정!$A$44&lt;&gt;"",ISNUMBER(SEARCH(설정!$A$44,E542&amp;" "&amp;C542))),AND(설정!$A$45&lt;&gt;"",ISNUMBER(SEARCH(설정!$A$45,E542&amp;" "&amp;C542))),AND(설정!$A$46&lt;&gt;"",ISNUMBER(SEARCH(설정!$A$46,E542&amp;" "&amp;C542))),AND(설정!$A$47&lt;&gt;"",ISNUMBER(SEARCH(설정!$A$47,E542&amp;" "&amp;C542))),AND(설정!$A$48&lt;&gt;"",ISNUMBER(SEARCH(설정!$A$48,E542&amp;" "&amp;C542))),AND(설정!$A$49&lt;&gt;"",ISNUMBER(SEARCH(설정!$A$49,E542&amp;" "&amp;C542))),AND(설정!$A$50&lt;&gt;"",ISNUMBER(SEARCH(설정!$A$50,E542&amp;" "&amp;C542))),AND(설정!$A$51&lt;&gt;"",ISNUMBER(SEARCH(설정!$A$51,E542&amp;" "&amp;C542))))</f>
        <v/>
      </c>
      <c r="S542">
        <f>OR(D542="",D542&gt;=설정!$B$19)</f>
        <v/>
      </c>
      <c r="T542">
        <f>AND(Q542,R542,S542)</f>
        <v/>
      </c>
      <c r="U542">
        <f>IF(T542,IF(AND(설정!$A$54&lt;&gt;"",ISNUMBER(SEARCH(설정!$A$54,K542))),설정!$B$54,IF(AND(설정!$A$55&lt;&gt;"",ISNUMBER(SEARCH(설정!$A$55,K542))),설정!$B$55,IF(AND(설정!$A$56&lt;&gt;"",ISNUMBER(SEARCH(설정!$A$56,K542))),설정!$B$56,IF(AND(설정!$A$57&lt;&gt;"",ISNUMBER(SEARCH(설정!$A$57,K542))),설정!$B$57,IF(AND(설정!$A$58&lt;&gt;"",ISNUMBER(SEARCH(설정!$A$58,K542))),설정!$B$58,IF(AND(설정!$A$59&lt;&gt;"",ISNUMBER(SEARCH(설정!$A$59,K542))),설정!$B$59,IF(AND(설정!$A$60&lt;&gt;"",ISNUMBER(SEARCH(설정!$A$60,K542))),설정!$B$60,IF(AND(설정!$A$61&lt;&gt;"",ISNUMBER(SEARCH(설정!$A$61,K542))),설정!$B$61,IF(M542="","설계사","시공사"))))))))),"")</f>
        <v/>
      </c>
      <c r="V542">
        <f>SUBSTITUTE(SUBSTITUTE(SUBSTITUTE(SUBSTITUTE(G542,"(주)",""),"㈜",""),"주식회사","")," ","")</f>
        <v/>
      </c>
      <c r="W542">
        <f>IF(AND(T542,V542&lt;&gt;""),IF(COUNTIFS(V$2:V542,V542,T$2:T542,TRUE)=1,MAX(W$1:W541)+1,""),"")</f>
        <v/>
      </c>
      <c r="X542">
        <f>IF(설정!$C$14="","",IFERROR(INDEX('1.산군_붙여넣기'!$A$1:$AZ$1001,ROW(),설정!$C$14)&amp;"",""))</f>
        <v/>
      </c>
      <c r="Y542">
        <f>IF(설정!$C$15="","",IFERROR(INDEX('1.산군_붙여넣기'!$A$1:$AZ$1001,ROW(),설정!$C$15)&amp;"",""))</f>
        <v/>
      </c>
      <c r="Z542">
        <f>IF(T542,V542&amp;"|"&amp;U542,"")</f>
        <v/>
      </c>
      <c r="AA542">
        <f>IF(NOT(Q542),"",IF(NOT(AND(R542,S542)),"✕",IF(OR(OR(AND(L542&lt;&gt;"",M542&lt;&gt;"",N(M542)-N(L542)&gt;설정!$B$27),AND(L542&lt;&gt;"",M542="",설정!$B$24-N(L542)&gt;설정!$B$27)),AND(D542&lt;&gt;"",D542&lt;설정!$B$26)),"△","★")))</f>
        <v/>
      </c>
      <c r="AB542">
        <f>IF(NOT(T542),"",IF(U542="설계사",설정!$B$31,IF(U542="시공사",IF(OR(M542="",설정!$B$24-N(M542)&lt;=설정!$B$28*30.4),설정!$B$32,설정!$B$33),설정!$B$34))+IF(AA542="★",설정!$B$35,0))</f>
        <v/>
      </c>
      <c r="AC542">
        <f>SUBSTITUTE(SUBSTITUTE(SUBSTITUTE(SUBSTITUTE(H542,"(주)",""),"㈜",""),"주식회사","")," ","")</f>
        <v/>
      </c>
      <c r="AD542">
        <f>IF(AND(T542,AC542&lt;&gt;""),IF(COUNTIFS(AC$2:AC542,AC542,T$2:T542,TRUE)=1,MAX(AD$1:AD541)+1,""),"")</f>
        <v/>
      </c>
    </row>
    <row r="543">
      <c r="A543">
        <f>ROW()</f>
        <v/>
      </c>
      <c r="B543">
        <f>IF(설정!$C$4="","",IFERROR(INDEX('1.산군_붙여넣기'!$A$1:$AZ$1001,ROW(),설정!$C$4)&amp;"",""))</f>
        <v/>
      </c>
      <c r="C543">
        <f>IF(설정!$C$5="","",IFERROR(INDEX('1.산군_붙여넣기'!$A$1:$AZ$1001,ROW(),설정!$C$5)&amp;"",""))</f>
        <v/>
      </c>
      <c r="D543" s="5">
        <f>IFERROR(VALUE(SUBSTITUTE(SUBSTITUTE(SUBSTITUTE(IF(설정!$C$6="","",IFERROR(INDEX('1.산군_붙여넣기'!$A$1:$AZ$1001,ROW(),설정!$C$6)&amp;"","")),",",""),"㎡",""),"m2","")),"")</f>
        <v/>
      </c>
      <c r="E543">
        <f>IF(설정!$C$7="","",IFERROR(INDEX('1.산군_붙여넣기'!$A$1:$AZ$1001,ROW(),설정!$C$7)&amp;"",""))</f>
        <v/>
      </c>
      <c r="F543">
        <f>IF(설정!$C$8="","",IFERROR(INDEX('1.산군_붙여넣기'!$A$1:$AZ$1001,ROW(),설정!$C$8)&amp;"",""))</f>
        <v/>
      </c>
      <c r="G543">
        <f>IF(설정!$C$9="","",IFERROR(INDEX('1.산군_붙여넣기'!$A$1:$AZ$1001,ROW(),설정!$C$9)&amp;"",""))</f>
        <v/>
      </c>
      <c r="H543">
        <f>IF(설정!$C$10="","",IFERROR(INDEX('1.산군_붙여넣기'!$A$1:$AZ$1001,ROW(),설정!$C$10)&amp;"",""))</f>
        <v/>
      </c>
      <c r="I543">
        <f>IF(설정!$C$11="","",IFERROR(INDEX('1.산군_붙여넣기'!$A$1:$AZ$1001,ROW(),설정!$C$11)&amp;"",""))</f>
        <v/>
      </c>
      <c r="J543">
        <f>IF(설정!$C$12="","",IFERROR(INDEX('1.산군_붙여넣기'!$A$1:$AZ$1001,ROW(),설정!$C$12)&amp;"",""))</f>
        <v/>
      </c>
      <c r="K543">
        <f>IF(설정!$C$13="","",IFERROR(INDEX('1.산군_붙여넣기'!$A$1:$AZ$1001,ROW(),설정!$C$13)&amp;"",""))</f>
        <v/>
      </c>
      <c r="L543" s="7">
        <f>IF(X543="","",IF(AND(LEN(X543)=8,ISNUMBER(X543*1)),DATE(LEFT(X543,4),MID(X543,5,2),RIGHT(X543,2)),IFERROR(DATEVALUE(SUBSTITUTE(SUBSTITUTE(X543,".","-"),"/","-")),IFERROR(X543*1,""))))</f>
        <v/>
      </c>
      <c r="M543" s="7">
        <f>IF(Y543="","",IF(AND(LEN(Y543)=8,ISNUMBER(Y543*1)),DATE(LEFT(Y543,4),MID(Y543,5,2),RIGHT(Y543,2)),IFERROR(DATEVALUE(SUBSTITUTE(SUBSTITUTE(Y543,".","-"),"/","-")),IFERROR(Y543*1,""))))</f>
        <v/>
      </c>
      <c r="N543">
        <f>IFERROR(LEFT(B543,FIND(" ",B543)-1),B543)</f>
        <v/>
      </c>
      <c r="O543">
        <f>AND(B543&lt;&gt;"",B543&lt;&gt;설정!$B$4,C543&lt;&gt;설정!$B$5)</f>
        <v/>
      </c>
      <c r="P543">
        <f>IF(O543,B543&amp;"|"&amp;C543,"")</f>
        <v/>
      </c>
      <c r="Q543">
        <f>AND(O543,COUNTIF(P544:P$1002,P543)=0)</f>
        <v/>
      </c>
      <c r="R543">
        <f>OR(AND(설정!$A$42&lt;&gt;"",ISNUMBER(SEARCH(설정!$A$42,E543&amp;" "&amp;C543))),AND(설정!$A$43&lt;&gt;"",ISNUMBER(SEARCH(설정!$A$43,E543&amp;" "&amp;C543))),AND(설정!$A$44&lt;&gt;"",ISNUMBER(SEARCH(설정!$A$44,E543&amp;" "&amp;C543))),AND(설정!$A$45&lt;&gt;"",ISNUMBER(SEARCH(설정!$A$45,E543&amp;" "&amp;C543))),AND(설정!$A$46&lt;&gt;"",ISNUMBER(SEARCH(설정!$A$46,E543&amp;" "&amp;C543))),AND(설정!$A$47&lt;&gt;"",ISNUMBER(SEARCH(설정!$A$47,E543&amp;" "&amp;C543))),AND(설정!$A$48&lt;&gt;"",ISNUMBER(SEARCH(설정!$A$48,E543&amp;" "&amp;C543))),AND(설정!$A$49&lt;&gt;"",ISNUMBER(SEARCH(설정!$A$49,E543&amp;" "&amp;C543))),AND(설정!$A$50&lt;&gt;"",ISNUMBER(SEARCH(설정!$A$50,E543&amp;" "&amp;C543))),AND(설정!$A$51&lt;&gt;"",ISNUMBER(SEARCH(설정!$A$51,E543&amp;" "&amp;C543))))</f>
        <v/>
      </c>
      <c r="S543">
        <f>OR(D543="",D543&gt;=설정!$B$19)</f>
        <v/>
      </c>
      <c r="T543">
        <f>AND(Q543,R543,S543)</f>
        <v/>
      </c>
      <c r="U543">
        <f>IF(T543,IF(AND(설정!$A$54&lt;&gt;"",ISNUMBER(SEARCH(설정!$A$54,K543))),설정!$B$54,IF(AND(설정!$A$55&lt;&gt;"",ISNUMBER(SEARCH(설정!$A$55,K543))),설정!$B$55,IF(AND(설정!$A$56&lt;&gt;"",ISNUMBER(SEARCH(설정!$A$56,K543))),설정!$B$56,IF(AND(설정!$A$57&lt;&gt;"",ISNUMBER(SEARCH(설정!$A$57,K543))),설정!$B$57,IF(AND(설정!$A$58&lt;&gt;"",ISNUMBER(SEARCH(설정!$A$58,K543))),설정!$B$58,IF(AND(설정!$A$59&lt;&gt;"",ISNUMBER(SEARCH(설정!$A$59,K543))),설정!$B$59,IF(AND(설정!$A$60&lt;&gt;"",ISNUMBER(SEARCH(설정!$A$60,K543))),설정!$B$60,IF(AND(설정!$A$61&lt;&gt;"",ISNUMBER(SEARCH(설정!$A$61,K543))),설정!$B$61,IF(M543="","설계사","시공사"))))))))),"")</f>
        <v/>
      </c>
      <c r="V543">
        <f>SUBSTITUTE(SUBSTITUTE(SUBSTITUTE(SUBSTITUTE(G543,"(주)",""),"㈜",""),"주식회사","")," ","")</f>
        <v/>
      </c>
      <c r="W543">
        <f>IF(AND(T543,V543&lt;&gt;""),IF(COUNTIFS(V$2:V543,V543,T$2:T543,TRUE)=1,MAX(W$1:W542)+1,""),"")</f>
        <v/>
      </c>
      <c r="X543">
        <f>IF(설정!$C$14="","",IFERROR(INDEX('1.산군_붙여넣기'!$A$1:$AZ$1001,ROW(),설정!$C$14)&amp;"",""))</f>
        <v/>
      </c>
      <c r="Y543">
        <f>IF(설정!$C$15="","",IFERROR(INDEX('1.산군_붙여넣기'!$A$1:$AZ$1001,ROW(),설정!$C$15)&amp;"",""))</f>
        <v/>
      </c>
      <c r="Z543">
        <f>IF(T543,V543&amp;"|"&amp;U543,"")</f>
        <v/>
      </c>
      <c r="AA543">
        <f>IF(NOT(Q543),"",IF(NOT(AND(R543,S543)),"✕",IF(OR(OR(AND(L543&lt;&gt;"",M543&lt;&gt;"",N(M543)-N(L543)&gt;설정!$B$27),AND(L543&lt;&gt;"",M543="",설정!$B$24-N(L543)&gt;설정!$B$27)),AND(D543&lt;&gt;"",D543&lt;설정!$B$26)),"△","★")))</f>
        <v/>
      </c>
      <c r="AB543">
        <f>IF(NOT(T543),"",IF(U543="설계사",설정!$B$31,IF(U543="시공사",IF(OR(M543="",설정!$B$24-N(M543)&lt;=설정!$B$28*30.4),설정!$B$32,설정!$B$33),설정!$B$34))+IF(AA543="★",설정!$B$35,0))</f>
        <v/>
      </c>
      <c r="AC543">
        <f>SUBSTITUTE(SUBSTITUTE(SUBSTITUTE(SUBSTITUTE(H543,"(주)",""),"㈜",""),"주식회사","")," ","")</f>
        <v/>
      </c>
      <c r="AD543">
        <f>IF(AND(T543,AC543&lt;&gt;""),IF(COUNTIFS(AC$2:AC543,AC543,T$2:T543,TRUE)=1,MAX(AD$1:AD542)+1,""),"")</f>
        <v/>
      </c>
    </row>
    <row r="544">
      <c r="A544">
        <f>ROW()</f>
        <v/>
      </c>
      <c r="B544">
        <f>IF(설정!$C$4="","",IFERROR(INDEX('1.산군_붙여넣기'!$A$1:$AZ$1001,ROW(),설정!$C$4)&amp;"",""))</f>
        <v/>
      </c>
      <c r="C544">
        <f>IF(설정!$C$5="","",IFERROR(INDEX('1.산군_붙여넣기'!$A$1:$AZ$1001,ROW(),설정!$C$5)&amp;"",""))</f>
        <v/>
      </c>
      <c r="D544" s="5">
        <f>IFERROR(VALUE(SUBSTITUTE(SUBSTITUTE(SUBSTITUTE(IF(설정!$C$6="","",IFERROR(INDEX('1.산군_붙여넣기'!$A$1:$AZ$1001,ROW(),설정!$C$6)&amp;"","")),",",""),"㎡",""),"m2","")),"")</f>
        <v/>
      </c>
      <c r="E544">
        <f>IF(설정!$C$7="","",IFERROR(INDEX('1.산군_붙여넣기'!$A$1:$AZ$1001,ROW(),설정!$C$7)&amp;"",""))</f>
        <v/>
      </c>
      <c r="F544">
        <f>IF(설정!$C$8="","",IFERROR(INDEX('1.산군_붙여넣기'!$A$1:$AZ$1001,ROW(),설정!$C$8)&amp;"",""))</f>
        <v/>
      </c>
      <c r="G544">
        <f>IF(설정!$C$9="","",IFERROR(INDEX('1.산군_붙여넣기'!$A$1:$AZ$1001,ROW(),설정!$C$9)&amp;"",""))</f>
        <v/>
      </c>
      <c r="H544">
        <f>IF(설정!$C$10="","",IFERROR(INDEX('1.산군_붙여넣기'!$A$1:$AZ$1001,ROW(),설정!$C$10)&amp;"",""))</f>
        <v/>
      </c>
      <c r="I544">
        <f>IF(설정!$C$11="","",IFERROR(INDEX('1.산군_붙여넣기'!$A$1:$AZ$1001,ROW(),설정!$C$11)&amp;"",""))</f>
        <v/>
      </c>
      <c r="J544">
        <f>IF(설정!$C$12="","",IFERROR(INDEX('1.산군_붙여넣기'!$A$1:$AZ$1001,ROW(),설정!$C$12)&amp;"",""))</f>
        <v/>
      </c>
      <c r="K544">
        <f>IF(설정!$C$13="","",IFERROR(INDEX('1.산군_붙여넣기'!$A$1:$AZ$1001,ROW(),설정!$C$13)&amp;"",""))</f>
        <v/>
      </c>
      <c r="L544" s="7">
        <f>IF(X544="","",IF(AND(LEN(X544)=8,ISNUMBER(X544*1)),DATE(LEFT(X544,4),MID(X544,5,2),RIGHT(X544,2)),IFERROR(DATEVALUE(SUBSTITUTE(SUBSTITUTE(X544,".","-"),"/","-")),IFERROR(X544*1,""))))</f>
        <v/>
      </c>
      <c r="M544" s="7">
        <f>IF(Y544="","",IF(AND(LEN(Y544)=8,ISNUMBER(Y544*1)),DATE(LEFT(Y544,4),MID(Y544,5,2),RIGHT(Y544,2)),IFERROR(DATEVALUE(SUBSTITUTE(SUBSTITUTE(Y544,".","-"),"/","-")),IFERROR(Y544*1,""))))</f>
        <v/>
      </c>
      <c r="N544">
        <f>IFERROR(LEFT(B544,FIND(" ",B544)-1),B544)</f>
        <v/>
      </c>
      <c r="O544">
        <f>AND(B544&lt;&gt;"",B544&lt;&gt;설정!$B$4,C544&lt;&gt;설정!$B$5)</f>
        <v/>
      </c>
      <c r="P544">
        <f>IF(O544,B544&amp;"|"&amp;C544,"")</f>
        <v/>
      </c>
      <c r="Q544">
        <f>AND(O544,COUNTIF(P545:P$1002,P544)=0)</f>
        <v/>
      </c>
      <c r="R544">
        <f>OR(AND(설정!$A$42&lt;&gt;"",ISNUMBER(SEARCH(설정!$A$42,E544&amp;" "&amp;C544))),AND(설정!$A$43&lt;&gt;"",ISNUMBER(SEARCH(설정!$A$43,E544&amp;" "&amp;C544))),AND(설정!$A$44&lt;&gt;"",ISNUMBER(SEARCH(설정!$A$44,E544&amp;" "&amp;C544))),AND(설정!$A$45&lt;&gt;"",ISNUMBER(SEARCH(설정!$A$45,E544&amp;" "&amp;C544))),AND(설정!$A$46&lt;&gt;"",ISNUMBER(SEARCH(설정!$A$46,E544&amp;" "&amp;C544))),AND(설정!$A$47&lt;&gt;"",ISNUMBER(SEARCH(설정!$A$47,E544&amp;" "&amp;C544))),AND(설정!$A$48&lt;&gt;"",ISNUMBER(SEARCH(설정!$A$48,E544&amp;" "&amp;C544))),AND(설정!$A$49&lt;&gt;"",ISNUMBER(SEARCH(설정!$A$49,E544&amp;" "&amp;C544))),AND(설정!$A$50&lt;&gt;"",ISNUMBER(SEARCH(설정!$A$50,E544&amp;" "&amp;C544))),AND(설정!$A$51&lt;&gt;"",ISNUMBER(SEARCH(설정!$A$51,E544&amp;" "&amp;C544))))</f>
        <v/>
      </c>
      <c r="S544">
        <f>OR(D544="",D544&gt;=설정!$B$19)</f>
        <v/>
      </c>
      <c r="T544">
        <f>AND(Q544,R544,S544)</f>
        <v/>
      </c>
      <c r="U544">
        <f>IF(T544,IF(AND(설정!$A$54&lt;&gt;"",ISNUMBER(SEARCH(설정!$A$54,K544))),설정!$B$54,IF(AND(설정!$A$55&lt;&gt;"",ISNUMBER(SEARCH(설정!$A$55,K544))),설정!$B$55,IF(AND(설정!$A$56&lt;&gt;"",ISNUMBER(SEARCH(설정!$A$56,K544))),설정!$B$56,IF(AND(설정!$A$57&lt;&gt;"",ISNUMBER(SEARCH(설정!$A$57,K544))),설정!$B$57,IF(AND(설정!$A$58&lt;&gt;"",ISNUMBER(SEARCH(설정!$A$58,K544))),설정!$B$58,IF(AND(설정!$A$59&lt;&gt;"",ISNUMBER(SEARCH(설정!$A$59,K544))),설정!$B$59,IF(AND(설정!$A$60&lt;&gt;"",ISNUMBER(SEARCH(설정!$A$60,K544))),설정!$B$60,IF(AND(설정!$A$61&lt;&gt;"",ISNUMBER(SEARCH(설정!$A$61,K544))),설정!$B$61,IF(M544="","설계사","시공사"))))))))),"")</f>
        <v/>
      </c>
      <c r="V544">
        <f>SUBSTITUTE(SUBSTITUTE(SUBSTITUTE(SUBSTITUTE(G544,"(주)",""),"㈜",""),"주식회사","")," ","")</f>
        <v/>
      </c>
      <c r="W544">
        <f>IF(AND(T544,V544&lt;&gt;""),IF(COUNTIFS(V$2:V544,V544,T$2:T544,TRUE)=1,MAX(W$1:W543)+1,""),"")</f>
        <v/>
      </c>
      <c r="X544">
        <f>IF(설정!$C$14="","",IFERROR(INDEX('1.산군_붙여넣기'!$A$1:$AZ$1001,ROW(),설정!$C$14)&amp;"",""))</f>
        <v/>
      </c>
      <c r="Y544">
        <f>IF(설정!$C$15="","",IFERROR(INDEX('1.산군_붙여넣기'!$A$1:$AZ$1001,ROW(),설정!$C$15)&amp;"",""))</f>
        <v/>
      </c>
      <c r="Z544">
        <f>IF(T544,V544&amp;"|"&amp;U544,"")</f>
        <v/>
      </c>
      <c r="AA544">
        <f>IF(NOT(Q544),"",IF(NOT(AND(R544,S544)),"✕",IF(OR(OR(AND(L544&lt;&gt;"",M544&lt;&gt;"",N(M544)-N(L544)&gt;설정!$B$27),AND(L544&lt;&gt;"",M544="",설정!$B$24-N(L544)&gt;설정!$B$27)),AND(D544&lt;&gt;"",D544&lt;설정!$B$26)),"△","★")))</f>
        <v/>
      </c>
      <c r="AB544">
        <f>IF(NOT(T544),"",IF(U544="설계사",설정!$B$31,IF(U544="시공사",IF(OR(M544="",설정!$B$24-N(M544)&lt;=설정!$B$28*30.4),설정!$B$32,설정!$B$33),설정!$B$34))+IF(AA544="★",설정!$B$35,0))</f>
        <v/>
      </c>
      <c r="AC544">
        <f>SUBSTITUTE(SUBSTITUTE(SUBSTITUTE(SUBSTITUTE(H544,"(주)",""),"㈜",""),"주식회사","")," ","")</f>
        <v/>
      </c>
      <c r="AD544">
        <f>IF(AND(T544,AC544&lt;&gt;""),IF(COUNTIFS(AC$2:AC544,AC544,T$2:T544,TRUE)=1,MAX(AD$1:AD543)+1,""),"")</f>
        <v/>
      </c>
    </row>
    <row r="545">
      <c r="A545">
        <f>ROW()</f>
        <v/>
      </c>
      <c r="B545">
        <f>IF(설정!$C$4="","",IFERROR(INDEX('1.산군_붙여넣기'!$A$1:$AZ$1001,ROW(),설정!$C$4)&amp;"",""))</f>
        <v/>
      </c>
      <c r="C545">
        <f>IF(설정!$C$5="","",IFERROR(INDEX('1.산군_붙여넣기'!$A$1:$AZ$1001,ROW(),설정!$C$5)&amp;"",""))</f>
        <v/>
      </c>
      <c r="D545" s="5">
        <f>IFERROR(VALUE(SUBSTITUTE(SUBSTITUTE(SUBSTITUTE(IF(설정!$C$6="","",IFERROR(INDEX('1.산군_붙여넣기'!$A$1:$AZ$1001,ROW(),설정!$C$6)&amp;"","")),",",""),"㎡",""),"m2","")),"")</f>
        <v/>
      </c>
      <c r="E545">
        <f>IF(설정!$C$7="","",IFERROR(INDEX('1.산군_붙여넣기'!$A$1:$AZ$1001,ROW(),설정!$C$7)&amp;"",""))</f>
        <v/>
      </c>
      <c r="F545">
        <f>IF(설정!$C$8="","",IFERROR(INDEX('1.산군_붙여넣기'!$A$1:$AZ$1001,ROW(),설정!$C$8)&amp;"",""))</f>
        <v/>
      </c>
      <c r="G545">
        <f>IF(설정!$C$9="","",IFERROR(INDEX('1.산군_붙여넣기'!$A$1:$AZ$1001,ROW(),설정!$C$9)&amp;"",""))</f>
        <v/>
      </c>
      <c r="H545">
        <f>IF(설정!$C$10="","",IFERROR(INDEX('1.산군_붙여넣기'!$A$1:$AZ$1001,ROW(),설정!$C$10)&amp;"",""))</f>
        <v/>
      </c>
      <c r="I545">
        <f>IF(설정!$C$11="","",IFERROR(INDEX('1.산군_붙여넣기'!$A$1:$AZ$1001,ROW(),설정!$C$11)&amp;"",""))</f>
        <v/>
      </c>
      <c r="J545">
        <f>IF(설정!$C$12="","",IFERROR(INDEX('1.산군_붙여넣기'!$A$1:$AZ$1001,ROW(),설정!$C$12)&amp;"",""))</f>
        <v/>
      </c>
      <c r="K545">
        <f>IF(설정!$C$13="","",IFERROR(INDEX('1.산군_붙여넣기'!$A$1:$AZ$1001,ROW(),설정!$C$13)&amp;"",""))</f>
        <v/>
      </c>
      <c r="L545" s="7">
        <f>IF(X545="","",IF(AND(LEN(X545)=8,ISNUMBER(X545*1)),DATE(LEFT(X545,4),MID(X545,5,2),RIGHT(X545,2)),IFERROR(DATEVALUE(SUBSTITUTE(SUBSTITUTE(X545,".","-"),"/","-")),IFERROR(X545*1,""))))</f>
        <v/>
      </c>
      <c r="M545" s="7">
        <f>IF(Y545="","",IF(AND(LEN(Y545)=8,ISNUMBER(Y545*1)),DATE(LEFT(Y545,4),MID(Y545,5,2),RIGHT(Y545,2)),IFERROR(DATEVALUE(SUBSTITUTE(SUBSTITUTE(Y545,".","-"),"/","-")),IFERROR(Y545*1,""))))</f>
        <v/>
      </c>
      <c r="N545">
        <f>IFERROR(LEFT(B545,FIND(" ",B545)-1),B545)</f>
        <v/>
      </c>
      <c r="O545">
        <f>AND(B545&lt;&gt;"",B545&lt;&gt;설정!$B$4,C545&lt;&gt;설정!$B$5)</f>
        <v/>
      </c>
      <c r="P545">
        <f>IF(O545,B545&amp;"|"&amp;C545,"")</f>
        <v/>
      </c>
      <c r="Q545">
        <f>AND(O545,COUNTIF(P546:P$1002,P545)=0)</f>
        <v/>
      </c>
      <c r="R545">
        <f>OR(AND(설정!$A$42&lt;&gt;"",ISNUMBER(SEARCH(설정!$A$42,E545&amp;" "&amp;C545))),AND(설정!$A$43&lt;&gt;"",ISNUMBER(SEARCH(설정!$A$43,E545&amp;" "&amp;C545))),AND(설정!$A$44&lt;&gt;"",ISNUMBER(SEARCH(설정!$A$44,E545&amp;" "&amp;C545))),AND(설정!$A$45&lt;&gt;"",ISNUMBER(SEARCH(설정!$A$45,E545&amp;" "&amp;C545))),AND(설정!$A$46&lt;&gt;"",ISNUMBER(SEARCH(설정!$A$46,E545&amp;" "&amp;C545))),AND(설정!$A$47&lt;&gt;"",ISNUMBER(SEARCH(설정!$A$47,E545&amp;" "&amp;C545))),AND(설정!$A$48&lt;&gt;"",ISNUMBER(SEARCH(설정!$A$48,E545&amp;" "&amp;C545))),AND(설정!$A$49&lt;&gt;"",ISNUMBER(SEARCH(설정!$A$49,E545&amp;" "&amp;C545))),AND(설정!$A$50&lt;&gt;"",ISNUMBER(SEARCH(설정!$A$50,E545&amp;" "&amp;C545))),AND(설정!$A$51&lt;&gt;"",ISNUMBER(SEARCH(설정!$A$51,E545&amp;" "&amp;C545))))</f>
        <v/>
      </c>
      <c r="S545">
        <f>OR(D545="",D545&gt;=설정!$B$19)</f>
        <v/>
      </c>
      <c r="T545">
        <f>AND(Q545,R545,S545)</f>
        <v/>
      </c>
      <c r="U545">
        <f>IF(T545,IF(AND(설정!$A$54&lt;&gt;"",ISNUMBER(SEARCH(설정!$A$54,K545))),설정!$B$54,IF(AND(설정!$A$55&lt;&gt;"",ISNUMBER(SEARCH(설정!$A$55,K545))),설정!$B$55,IF(AND(설정!$A$56&lt;&gt;"",ISNUMBER(SEARCH(설정!$A$56,K545))),설정!$B$56,IF(AND(설정!$A$57&lt;&gt;"",ISNUMBER(SEARCH(설정!$A$57,K545))),설정!$B$57,IF(AND(설정!$A$58&lt;&gt;"",ISNUMBER(SEARCH(설정!$A$58,K545))),설정!$B$58,IF(AND(설정!$A$59&lt;&gt;"",ISNUMBER(SEARCH(설정!$A$59,K545))),설정!$B$59,IF(AND(설정!$A$60&lt;&gt;"",ISNUMBER(SEARCH(설정!$A$60,K545))),설정!$B$60,IF(AND(설정!$A$61&lt;&gt;"",ISNUMBER(SEARCH(설정!$A$61,K545))),설정!$B$61,IF(M545="","설계사","시공사"))))))))),"")</f>
        <v/>
      </c>
      <c r="V545">
        <f>SUBSTITUTE(SUBSTITUTE(SUBSTITUTE(SUBSTITUTE(G545,"(주)",""),"㈜",""),"주식회사","")," ","")</f>
        <v/>
      </c>
      <c r="W545">
        <f>IF(AND(T545,V545&lt;&gt;""),IF(COUNTIFS(V$2:V545,V545,T$2:T545,TRUE)=1,MAX(W$1:W544)+1,""),"")</f>
        <v/>
      </c>
      <c r="X545">
        <f>IF(설정!$C$14="","",IFERROR(INDEX('1.산군_붙여넣기'!$A$1:$AZ$1001,ROW(),설정!$C$14)&amp;"",""))</f>
        <v/>
      </c>
      <c r="Y545">
        <f>IF(설정!$C$15="","",IFERROR(INDEX('1.산군_붙여넣기'!$A$1:$AZ$1001,ROW(),설정!$C$15)&amp;"",""))</f>
        <v/>
      </c>
      <c r="Z545">
        <f>IF(T545,V545&amp;"|"&amp;U545,"")</f>
        <v/>
      </c>
      <c r="AA545">
        <f>IF(NOT(Q545),"",IF(NOT(AND(R545,S545)),"✕",IF(OR(OR(AND(L545&lt;&gt;"",M545&lt;&gt;"",N(M545)-N(L545)&gt;설정!$B$27),AND(L545&lt;&gt;"",M545="",설정!$B$24-N(L545)&gt;설정!$B$27)),AND(D545&lt;&gt;"",D545&lt;설정!$B$26)),"△","★")))</f>
        <v/>
      </c>
      <c r="AB545">
        <f>IF(NOT(T545),"",IF(U545="설계사",설정!$B$31,IF(U545="시공사",IF(OR(M545="",설정!$B$24-N(M545)&lt;=설정!$B$28*30.4),설정!$B$32,설정!$B$33),설정!$B$34))+IF(AA545="★",설정!$B$35,0))</f>
        <v/>
      </c>
      <c r="AC545">
        <f>SUBSTITUTE(SUBSTITUTE(SUBSTITUTE(SUBSTITUTE(H545,"(주)",""),"㈜",""),"주식회사","")," ","")</f>
        <v/>
      </c>
      <c r="AD545">
        <f>IF(AND(T545,AC545&lt;&gt;""),IF(COUNTIFS(AC$2:AC545,AC545,T$2:T545,TRUE)=1,MAX(AD$1:AD544)+1,""),"")</f>
        <v/>
      </c>
    </row>
    <row r="546">
      <c r="A546">
        <f>ROW()</f>
        <v/>
      </c>
      <c r="B546">
        <f>IF(설정!$C$4="","",IFERROR(INDEX('1.산군_붙여넣기'!$A$1:$AZ$1001,ROW(),설정!$C$4)&amp;"",""))</f>
        <v/>
      </c>
      <c r="C546">
        <f>IF(설정!$C$5="","",IFERROR(INDEX('1.산군_붙여넣기'!$A$1:$AZ$1001,ROW(),설정!$C$5)&amp;"",""))</f>
        <v/>
      </c>
      <c r="D546" s="5">
        <f>IFERROR(VALUE(SUBSTITUTE(SUBSTITUTE(SUBSTITUTE(IF(설정!$C$6="","",IFERROR(INDEX('1.산군_붙여넣기'!$A$1:$AZ$1001,ROW(),설정!$C$6)&amp;"","")),",",""),"㎡",""),"m2","")),"")</f>
        <v/>
      </c>
      <c r="E546">
        <f>IF(설정!$C$7="","",IFERROR(INDEX('1.산군_붙여넣기'!$A$1:$AZ$1001,ROW(),설정!$C$7)&amp;"",""))</f>
        <v/>
      </c>
      <c r="F546">
        <f>IF(설정!$C$8="","",IFERROR(INDEX('1.산군_붙여넣기'!$A$1:$AZ$1001,ROW(),설정!$C$8)&amp;"",""))</f>
        <v/>
      </c>
      <c r="G546">
        <f>IF(설정!$C$9="","",IFERROR(INDEX('1.산군_붙여넣기'!$A$1:$AZ$1001,ROW(),설정!$C$9)&amp;"",""))</f>
        <v/>
      </c>
      <c r="H546">
        <f>IF(설정!$C$10="","",IFERROR(INDEX('1.산군_붙여넣기'!$A$1:$AZ$1001,ROW(),설정!$C$10)&amp;"",""))</f>
        <v/>
      </c>
      <c r="I546">
        <f>IF(설정!$C$11="","",IFERROR(INDEX('1.산군_붙여넣기'!$A$1:$AZ$1001,ROW(),설정!$C$11)&amp;"",""))</f>
        <v/>
      </c>
      <c r="J546">
        <f>IF(설정!$C$12="","",IFERROR(INDEX('1.산군_붙여넣기'!$A$1:$AZ$1001,ROW(),설정!$C$12)&amp;"",""))</f>
        <v/>
      </c>
      <c r="K546">
        <f>IF(설정!$C$13="","",IFERROR(INDEX('1.산군_붙여넣기'!$A$1:$AZ$1001,ROW(),설정!$C$13)&amp;"",""))</f>
        <v/>
      </c>
      <c r="L546" s="7">
        <f>IF(X546="","",IF(AND(LEN(X546)=8,ISNUMBER(X546*1)),DATE(LEFT(X546,4),MID(X546,5,2),RIGHT(X546,2)),IFERROR(DATEVALUE(SUBSTITUTE(SUBSTITUTE(X546,".","-"),"/","-")),IFERROR(X546*1,""))))</f>
        <v/>
      </c>
      <c r="M546" s="7">
        <f>IF(Y546="","",IF(AND(LEN(Y546)=8,ISNUMBER(Y546*1)),DATE(LEFT(Y546,4),MID(Y546,5,2),RIGHT(Y546,2)),IFERROR(DATEVALUE(SUBSTITUTE(SUBSTITUTE(Y546,".","-"),"/","-")),IFERROR(Y546*1,""))))</f>
        <v/>
      </c>
      <c r="N546">
        <f>IFERROR(LEFT(B546,FIND(" ",B546)-1),B546)</f>
        <v/>
      </c>
      <c r="O546">
        <f>AND(B546&lt;&gt;"",B546&lt;&gt;설정!$B$4,C546&lt;&gt;설정!$B$5)</f>
        <v/>
      </c>
      <c r="P546">
        <f>IF(O546,B546&amp;"|"&amp;C546,"")</f>
        <v/>
      </c>
      <c r="Q546">
        <f>AND(O546,COUNTIF(P547:P$1002,P546)=0)</f>
        <v/>
      </c>
      <c r="R546">
        <f>OR(AND(설정!$A$42&lt;&gt;"",ISNUMBER(SEARCH(설정!$A$42,E546&amp;" "&amp;C546))),AND(설정!$A$43&lt;&gt;"",ISNUMBER(SEARCH(설정!$A$43,E546&amp;" "&amp;C546))),AND(설정!$A$44&lt;&gt;"",ISNUMBER(SEARCH(설정!$A$44,E546&amp;" "&amp;C546))),AND(설정!$A$45&lt;&gt;"",ISNUMBER(SEARCH(설정!$A$45,E546&amp;" "&amp;C546))),AND(설정!$A$46&lt;&gt;"",ISNUMBER(SEARCH(설정!$A$46,E546&amp;" "&amp;C546))),AND(설정!$A$47&lt;&gt;"",ISNUMBER(SEARCH(설정!$A$47,E546&amp;" "&amp;C546))),AND(설정!$A$48&lt;&gt;"",ISNUMBER(SEARCH(설정!$A$48,E546&amp;" "&amp;C546))),AND(설정!$A$49&lt;&gt;"",ISNUMBER(SEARCH(설정!$A$49,E546&amp;" "&amp;C546))),AND(설정!$A$50&lt;&gt;"",ISNUMBER(SEARCH(설정!$A$50,E546&amp;" "&amp;C546))),AND(설정!$A$51&lt;&gt;"",ISNUMBER(SEARCH(설정!$A$51,E546&amp;" "&amp;C546))))</f>
        <v/>
      </c>
      <c r="S546">
        <f>OR(D546="",D546&gt;=설정!$B$19)</f>
        <v/>
      </c>
      <c r="T546">
        <f>AND(Q546,R546,S546)</f>
        <v/>
      </c>
      <c r="U546">
        <f>IF(T546,IF(AND(설정!$A$54&lt;&gt;"",ISNUMBER(SEARCH(설정!$A$54,K546))),설정!$B$54,IF(AND(설정!$A$55&lt;&gt;"",ISNUMBER(SEARCH(설정!$A$55,K546))),설정!$B$55,IF(AND(설정!$A$56&lt;&gt;"",ISNUMBER(SEARCH(설정!$A$56,K546))),설정!$B$56,IF(AND(설정!$A$57&lt;&gt;"",ISNUMBER(SEARCH(설정!$A$57,K546))),설정!$B$57,IF(AND(설정!$A$58&lt;&gt;"",ISNUMBER(SEARCH(설정!$A$58,K546))),설정!$B$58,IF(AND(설정!$A$59&lt;&gt;"",ISNUMBER(SEARCH(설정!$A$59,K546))),설정!$B$59,IF(AND(설정!$A$60&lt;&gt;"",ISNUMBER(SEARCH(설정!$A$60,K546))),설정!$B$60,IF(AND(설정!$A$61&lt;&gt;"",ISNUMBER(SEARCH(설정!$A$61,K546))),설정!$B$61,IF(M546="","설계사","시공사"))))))))),"")</f>
        <v/>
      </c>
      <c r="V546">
        <f>SUBSTITUTE(SUBSTITUTE(SUBSTITUTE(SUBSTITUTE(G546,"(주)",""),"㈜",""),"주식회사","")," ","")</f>
        <v/>
      </c>
      <c r="W546">
        <f>IF(AND(T546,V546&lt;&gt;""),IF(COUNTIFS(V$2:V546,V546,T$2:T546,TRUE)=1,MAX(W$1:W545)+1,""),"")</f>
        <v/>
      </c>
      <c r="X546">
        <f>IF(설정!$C$14="","",IFERROR(INDEX('1.산군_붙여넣기'!$A$1:$AZ$1001,ROW(),설정!$C$14)&amp;"",""))</f>
        <v/>
      </c>
      <c r="Y546">
        <f>IF(설정!$C$15="","",IFERROR(INDEX('1.산군_붙여넣기'!$A$1:$AZ$1001,ROW(),설정!$C$15)&amp;"",""))</f>
        <v/>
      </c>
      <c r="Z546">
        <f>IF(T546,V546&amp;"|"&amp;U546,"")</f>
        <v/>
      </c>
      <c r="AA546">
        <f>IF(NOT(Q546),"",IF(NOT(AND(R546,S546)),"✕",IF(OR(OR(AND(L546&lt;&gt;"",M546&lt;&gt;"",N(M546)-N(L546)&gt;설정!$B$27),AND(L546&lt;&gt;"",M546="",설정!$B$24-N(L546)&gt;설정!$B$27)),AND(D546&lt;&gt;"",D546&lt;설정!$B$26)),"△","★")))</f>
        <v/>
      </c>
      <c r="AB546">
        <f>IF(NOT(T546),"",IF(U546="설계사",설정!$B$31,IF(U546="시공사",IF(OR(M546="",설정!$B$24-N(M546)&lt;=설정!$B$28*30.4),설정!$B$32,설정!$B$33),설정!$B$34))+IF(AA546="★",설정!$B$35,0))</f>
        <v/>
      </c>
      <c r="AC546">
        <f>SUBSTITUTE(SUBSTITUTE(SUBSTITUTE(SUBSTITUTE(H546,"(주)",""),"㈜",""),"주식회사","")," ","")</f>
        <v/>
      </c>
      <c r="AD546">
        <f>IF(AND(T546,AC546&lt;&gt;""),IF(COUNTIFS(AC$2:AC546,AC546,T$2:T546,TRUE)=1,MAX(AD$1:AD545)+1,""),"")</f>
        <v/>
      </c>
    </row>
    <row r="547">
      <c r="A547">
        <f>ROW()</f>
        <v/>
      </c>
      <c r="B547">
        <f>IF(설정!$C$4="","",IFERROR(INDEX('1.산군_붙여넣기'!$A$1:$AZ$1001,ROW(),설정!$C$4)&amp;"",""))</f>
        <v/>
      </c>
      <c r="C547">
        <f>IF(설정!$C$5="","",IFERROR(INDEX('1.산군_붙여넣기'!$A$1:$AZ$1001,ROW(),설정!$C$5)&amp;"",""))</f>
        <v/>
      </c>
      <c r="D547" s="5">
        <f>IFERROR(VALUE(SUBSTITUTE(SUBSTITUTE(SUBSTITUTE(IF(설정!$C$6="","",IFERROR(INDEX('1.산군_붙여넣기'!$A$1:$AZ$1001,ROW(),설정!$C$6)&amp;"","")),",",""),"㎡",""),"m2","")),"")</f>
        <v/>
      </c>
      <c r="E547">
        <f>IF(설정!$C$7="","",IFERROR(INDEX('1.산군_붙여넣기'!$A$1:$AZ$1001,ROW(),설정!$C$7)&amp;"",""))</f>
        <v/>
      </c>
      <c r="F547">
        <f>IF(설정!$C$8="","",IFERROR(INDEX('1.산군_붙여넣기'!$A$1:$AZ$1001,ROW(),설정!$C$8)&amp;"",""))</f>
        <v/>
      </c>
      <c r="G547">
        <f>IF(설정!$C$9="","",IFERROR(INDEX('1.산군_붙여넣기'!$A$1:$AZ$1001,ROW(),설정!$C$9)&amp;"",""))</f>
        <v/>
      </c>
      <c r="H547">
        <f>IF(설정!$C$10="","",IFERROR(INDEX('1.산군_붙여넣기'!$A$1:$AZ$1001,ROW(),설정!$C$10)&amp;"",""))</f>
        <v/>
      </c>
      <c r="I547">
        <f>IF(설정!$C$11="","",IFERROR(INDEX('1.산군_붙여넣기'!$A$1:$AZ$1001,ROW(),설정!$C$11)&amp;"",""))</f>
        <v/>
      </c>
      <c r="J547">
        <f>IF(설정!$C$12="","",IFERROR(INDEX('1.산군_붙여넣기'!$A$1:$AZ$1001,ROW(),설정!$C$12)&amp;"",""))</f>
        <v/>
      </c>
      <c r="K547">
        <f>IF(설정!$C$13="","",IFERROR(INDEX('1.산군_붙여넣기'!$A$1:$AZ$1001,ROW(),설정!$C$13)&amp;"",""))</f>
        <v/>
      </c>
      <c r="L547" s="7">
        <f>IF(X547="","",IF(AND(LEN(X547)=8,ISNUMBER(X547*1)),DATE(LEFT(X547,4),MID(X547,5,2),RIGHT(X547,2)),IFERROR(DATEVALUE(SUBSTITUTE(SUBSTITUTE(X547,".","-"),"/","-")),IFERROR(X547*1,""))))</f>
        <v/>
      </c>
      <c r="M547" s="7">
        <f>IF(Y547="","",IF(AND(LEN(Y547)=8,ISNUMBER(Y547*1)),DATE(LEFT(Y547,4),MID(Y547,5,2),RIGHT(Y547,2)),IFERROR(DATEVALUE(SUBSTITUTE(SUBSTITUTE(Y547,".","-"),"/","-")),IFERROR(Y547*1,""))))</f>
        <v/>
      </c>
      <c r="N547">
        <f>IFERROR(LEFT(B547,FIND(" ",B547)-1),B547)</f>
        <v/>
      </c>
      <c r="O547">
        <f>AND(B547&lt;&gt;"",B547&lt;&gt;설정!$B$4,C547&lt;&gt;설정!$B$5)</f>
        <v/>
      </c>
      <c r="P547">
        <f>IF(O547,B547&amp;"|"&amp;C547,"")</f>
        <v/>
      </c>
      <c r="Q547">
        <f>AND(O547,COUNTIF(P548:P$1002,P547)=0)</f>
        <v/>
      </c>
      <c r="R547">
        <f>OR(AND(설정!$A$42&lt;&gt;"",ISNUMBER(SEARCH(설정!$A$42,E547&amp;" "&amp;C547))),AND(설정!$A$43&lt;&gt;"",ISNUMBER(SEARCH(설정!$A$43,E547&amp;" "&amp;C547))),AND(설정!$A$44&lt;&gt;"",ISNUMBER(SEARCH(설정!$A$44,E547&amp;" "&amp;C547))),AND(설정!$A$45&lt;&gt;"",ISNUMBER(SEARCH(설정!$A$45,E547&amp;" "&amp;C547))),AND(설정!$A$46&lt;&gt;"",ISNUMBER(SEARCH(설정!$A$46,E547&amp;" "&amp;C547))),AND(설정!$A$47&lt;&gt;"",ISNUMBER(SEARCH(설정!$A$47,E547&amp;" "&amp;C547))),AND(설정!$A$48&lt;&gt;"",ISNUMBER(SEARCH(설정!$A$48,E547&amp;" "&amp;C547))),AND(설정!$A$49&lt;&gt;"",ISNUMBER(SEARCH(설정!$A$49,E547&amp;" "&amp;C547))),AND(설정!$A$50&lt;&gt;"",ISNUMBER(SEARCH(설정!$A$50,E547&amp;" "&amp;C547))),AND(설정!$A$51&lt;&gt;"",ISNUMBER(SEARCH(설정!$A$51,E547&amp;" "&amp;C547))))</f>
        <v/>
      </c>
      <c r="S547">
        <f>OR(D547="",D547&gt;=설정!$B$19)</f>
        <v/>
      </c>
      <c r="T547">
        <f>AND(Q547,R547,S547)</f>
        <v/>
      </c>
      <c r="U547">
        <f>IF(T547,IF(AND(설정!$A$54&lt;&gt;"",ISNUMBER(SEARCH(설정!$A$54,K547))),설정!$B$54,IF(AND(설정!$A$55&lt;&gt;"",ISNUMBER(SEARCH(설정!$A$55,K547))),설정!$B$55,IF(AND(설정!$A$56&lt;&gt;"",ISNUMBER(SEARCH(설정!$A$56,K547))),설정!$B$56,IF(AND(설정!$A$57&lt;&gt;"",ISNUMBER(SEARCH(설정!$A$57,K547))),설정!$B$57,IF(AND(설정!$A$58&lt;&gt;"",ISNUMBER(SEARCH(설정!$A$58,K547))),설정!$B$58,IF(AND(설정!$A$59&lt;&gt;"",ISNUMBER(SEARCH(설정!$A$59,K547))),설정!$B$59,IF(AND(설정!$A$60&lt;&gt;"",ISNUMBER(SEARCH(설정!$A$60,K547))),설정!$B$60,IF(AND(설정!$A$61&lt;&gt;"",ISNUMBER(SEARCH(설정!$A$61,K547))),설정!$B$61,IF(M547="","설계사","시공사"))))))))),"")</f>
        <v/>
      </c>
      <c r="V547">
        <f>SUBSTITUTE(SUBSTITUTE(SUBSTITUTE(SUBSTITUTE(G547,"(주)",""),"㈜",""),"주식회사","")," ","")</f>
        <v/>
      </c>
      <c r="W547">
        <f>IF(AND(T547,V547&lt;&gt;""),IF(COUNTIFS(V$2:V547,V547,T$2:T547,TRUE)=1,MAX(W$1:W546)+1,""),"")</f>
        <v/>
      </c>
      <c r="X547">
        <f>IF(설정!$C$14="","",IFERROR(INDEX('1.산군_붙여넣기'!$A$1:$AZ$1001,ROW(),설정!$C$14)&amp;"",""))</f>
        <v/>
      </c>
      <c r="Y547">
        <f>IF(설정!$C$15="","",IFERROR(INDEX('1.산군_붙여넣기'!$A$1:$AZ$1001,ROW(),설정!$C$15)&amp;"",""))</f>
        <v/>
      </c>
      <c r="Z547">
        <f>IF(T547,V547&amp;"|"&amp;U547,"")</f>
        <v/>
      </c>
      <c r="AA547">
        <f>IF(NOT(Q547),"",IF(NOT(AND(R547,S547)),"✕",IF(OR(OR(AND(L547&lt;&gt;"",M547&lt;&gt;"",N(M547)-N(L547)&gt;설정!$B$27),AND(L547&lt;&gt;"",M547="",설정!$B$24-N(L547)&gt;설정!$B$27)),AND(D547&lt;&gt;"",D547&lt;설정!$B$26)),"△","★")))</f>
        <v/>
      </c>
      <c r="AB547">
        <f>IF(NOT(T547),"",IF(U547="설계사",설정!$B$31,IF(U547="시공사",IF(OR(M547="",설정!$B$24-N(M547)&lt;=설정!$B$28*30.4),설정!$B$32,설정!$B$33),설정!$B$34))+IF(AA547="★",설정!$B$35,0))</f>
        <v/>
      </c>
      <c r="AC547">
        <f>SUBSTITUTE(SUBSTITUTE(SUBSTITUTE(SUBSTITUTE(H547,"(주)",""),"㈜",""),"주식회사","")," ","")</f>
        <v/>
      </c>
      <c r="AD547">
        <f>IF(AND(T547,AC547&lt;&gt;""),IF(COUNTIFS(AC$2:AC547,AC547,T$2:T547,TRUE)=1,MAX(AD$1:AD546)+1,""),"")</f>
        <v/>
      </c>
    </row>
    <row r="548">
      <c r="A548">
        <f>ROW()</f>
        <v/>
      </c>
      <c r="B548">
        <f>IF(설정!$C$4="","",IFERROR(INDEX('1.산군_붙여넣기'!$A$1:$AZ$1001,ROW(),설정!$C$4)&amp;"",""))</f>
        <v/>
      </c>
      <c r="C548">
        <f>IF(설정!$C$5="","",IFERROR(INDEX('1.산군_붙여넣기'!$A$1:$AZ$1001,ROW(),설정!$C$5)&amp;"",""))</f>
        <v/>
      </c>
      <c r="D548" s="5">
        <f>IFERROR(VALUE(SUBSTITUTE(SUBSTITUTE(SUBSTITUTE(IF(설정!$C$6="","",IFERROR(INDEX('1.산군_붙여넣기'!$A$1:$AZ$1001,ROW(),설정!$C$6)&amp;"","")),",",""),"㎡",""),"m2","")),"")</f>
        <v/>
      </c>
      <c r="E548">
        <f>IF(설정!$C$7="","",IFERROR(INDEX('1.산군_붙여넣기'!$A$1:$AZ$1001,ROW(),설정!$C$7)&amp;"",""))</f>
        <v/>
      </c>
      <c r="F548">
        <f>IF(설정!$C$8="","",IFERROR(INDEX('1.산군_붙여넣기'!$A$1:$AZ$1001,ROW(),설정!$C$8)&amp;"",""))</f>
        <v/>
      </c>
      <c r="G548">
        <f>IF(설정!$C$9="","",IFERROR(INDEX('1.산군_붙여넣기'!$A$1:$AZ$1001,ROW(),설정!$C$9)&amp;"",""))</f>
        <v/>
      </c>
      <c r="H548">
        <f>IF(설정!$C$10="","",IFERROR(INDEX('1.산군_붙여넣기'!$A$1:$AZ$1001,ROW(),설정!$C$10)&amp;"",""))</f>
        <v/>
      </c>
      <c r="I548">
        <f>IF(설정!$C$11="","",IFERROR(INDEX('1.산군_붙여넣기'!$A$1:$AZ$1001,ROW(),설정!$C$11)&amp;"",""))</f>
        <v/>
      </c>
      <c r="J548">
        <f>IF(설정!$C$12="","",IFERROR(INDEX('1.산군_붙여넣기'!$A$1:$AZ$1001,ROW(),설정!$C$12)&amp;"",""))</f>
        <v/>
      </c>
      <c r="K548">
        <f>IF(설정!$C$13="","",IFERROR(INDEX('1.산군_붙여넣기'!$A$1:$AZ$1001,ROW(),설정!$C$13)&amp;"",""))</f>
        <v/>
      </c>
      <c r="L548" s="7">
        <f>IF(X548="","",IF(AND(LEN(X548)=8,ISNUMBER(X548*1)),DATE(LEFT(X548,4),MID(X548,5,2),RIGHT(X548,2)),IFERROR(DATEVALUE(SUBSTITUTE(SUBSTITUTE(X548,".","-"),"/","-")),IFERROR(X548*1,""))))</f>
        <v/>
      </c>
      <c r="M548" s="7">
        <f>IF(Y548="","",IF(AND(LEN(Y548)=8,ISNUMBER(Y548*1)),DATE(LEFT(Y548,4),MID(Y548,5,2),RIGHT(Y548,2)),IFERROR(DATEVALUE(SUBSTITUTE(SUBSTITUTE(Y548,".","-"),"/","-")),IFERROR(Y548*1,""))))</f>
        <v/>
      </c>
      <c r="N548">
        <f>IFERROR(LEFT(B548,FIND(" ",B548)-1),B548)</f>
        <v/>
      </c>
      <c r="O548">
        <f>AND(B548&lt;&gt;"",B548&lt;&gt;설정!$B$4,C548&lt;&gt;설정!$B$5)</f>
        <v/>
      </c>
      <c r="P548">
        <f>IF(O548,B548&amp;"|"&amp;C548,"")</f>
        <v/>
      </c>
      <c r="Q548">
        <f>AND(O548,COUNTIF(P549:P$1002,P548)=0)</f>
        <v/>
      </c>
      <c r="R548">
        <f>OR(AND(설정!$A$42&lt;&gt;"",ISNUMBER(SEARCH(설정!$A$42,E548&amp;" "&amp;C548))),AND(설정!$A$43&lt;&gt;"",ISNUMBER(SEARCH(설정!$A$43,E548&amp;" "&amp;C548))),AND(설정!$A$44&lt;&gt;"",ISNUMBER(SEARCH(설정!$A$44,E548&amp;" "&amp;C548))),AND(설정!$A$45&lt;&gt;"",ISNUMBER(SEARCH(설정!$A$45,E548&amp;" "&amp;C548))),AND(설정!$A$46&lt;&gt;"",ISNUMBER(SEARCH(설정!$A$46,E548&amp;" "&amp;C548))),AND(설정!$A$47&lt;&gt;"",ISNUMBER(SEARCH(설정!$A$47,E548&amp;" "&amp;C548))),AND(설정!$A$48&lt;&gt;"",ISNUMBER(SEARCH(설정!$A$48,E548&amp;" "&amp;C548))),AND(설정!$A$49&lt;&gt;"",ISNUMBER(SEARCH(설정!$A$49,E548&amp;" "&amp;C548))),AND(설정!$A$50&lt;&gt;"",ISNUMBER(SEARCH(설정!$A$50,E548&amp;" "&amp;C548))),AND(설정!$A$51&lt;&gt;"",ISNUMBER(SEARCH(설정!$A$51,E548&amp;" "&amp;C548))))</f>
        <v/>
      </c>
      <c r="S548">
        <f>OR(D548="",D548&gt;=설정!$B$19)</f>
        <v/>
      </c>
      <c r="T548">
        <f>AND(Q548,R548,S548)</f>
        <v/>
      </c>
      <c r="U548">
        <f>IF(T548,IF(AND(설정!$A$54&lt;&gt;"",ISNUMBER(SEARCH(설정!$A$54,K548))),설정!$B$54,IF(AND(설정!$A$55&lt;&gt;"",ISNUMBER(SEARCH(설정!$A$55,K548))),설정!$B$55,IF(AND(설정!$A$56&lt;&gt;"",ISNUMBER(SEARCH(설정!$A$56,K548))),설정!$B$56,IF(AND(설정!$A$57&lt;&gt;"",ISNUMBER(SEARCH(설정!$A$57,K548))),설정!$B$57,IF(AND(설정!$A$58&lt;&gt;"",ISNUMBER(SEARCH(설정!$A$58,K548))),설정!$B$58,IF(AND(설정!$A$59&lt;&gt;"",ISNUMBER(SEARCH(설정!$A$59,K548))),설정!$B$59,IF(AND(설정!$A$60&lt;&gt;"",ISNUMBER(SEARCH(설정!$A$60,K548))),설정!$B$60,IF(AND(설정!$A$61&lt;&gt;"",ISNUMBER(SEARCH(설정!$A$61,K548))),설정!$B$61,IF(M548="","설계사","시공사"))))))))),"")</f>
        <v/>
      </c>
      <c r="V548">
        <f>SUBSTITUTE(SUBSTITUTE(SUBSTITUTE(SUBSTITUTE(G548,"(주)",""),"㈜",""),"주식회사","")," ","")</f>
        <v/>
      </c>
      <c r="W548">
        <f>IF(AND(T548,V548&lt;&gt;""),IF(COUNTIFS(V$2:V548,V548,T$2:T548,TRUE)=1,MAX(W$1:W547)+1,""),"")</f>
        <v/>
      </c>
      <c r="X548">
        <f>IF(설정!$C$14="","",IFERROR(INDEX('1.산군_붙여넣기'!$A$1:$AZ$1001,ROW(),설정!$C$14)&amp;"",""))</f>
        <v/>
      </c>
      <c r="Y548">
        <f>IF(설정!$C$15="","",IFERROR(INDEX('1.산군_붙여넣기'!$A$1:$AZ$1001,ROW(),설정!$C$15)&amp;"",""))</f>
        <v/>
      </c>
      <c r="Z548">
        <f>IF(T548,V548&amp;"|"&amp;U548,"")</f>
        <v/>
      </c>
      <c r="AA548">
        <f>IF(NOT(Q548),"",IF(NOT(AND(R548,S548)),"✕",IF(OR(OR(AND(L548&lt;&gt;"",M548&lt;&gt;"",N(M548)-N(L548)&gt;설정!$B$27),AND(L548&lt;&gt;"",M548="",설정!$B$24-N(L548)&gt;설정!$B$27)),AND(D548&lt;&gt;"",D548&lt;설정!$B$26)),"△","★")))</f>
        <v/>
      </c>
      <c r="AB548">
        <f>IF(NOT(T548),"",IF(U548="설계사",설정!$B$31,IF(U548="시공사",IF(OR(M548="",설정!$B$24-N(M548)&lt;=설정!$B$28*30.4),설정!$B$32,설정!$B$33),설정!$B$34))+IF(AA548="★",설정!$B$35,0))</f>
        <v/>
      </c>
      <c r="AC548">
        <f>SUBSTITUTE(SUBSTITUTE(SUBSTITUTE(SUBSTITUTE(H548,"(주)",""),"㈜",""),"주식회사","")," ","")</f>
        <v/>
      </c>
      <c r="AD548">
        <f>IF(AND(T548,AC548&lt;&gt;""),IF(COUNTIFS(AC$2:AC548,AC548,T$2:T548,TRUE)=1,MAX(AD$1:AD547)+1,""),"")</f>
        <v/>
      </c>
    </row>
    <row r="549">
      <c r="A549">
        <f>ROW()</f>
        <v/>
      </c>
      <c r="B549">
        <f>IF(설정!$C$4="","",IFERROR(INDEX('1.산군_붙여넣기'!$A$1:$AZ$1001,ROW(),설정!$C$4)&amp;"",""))</f>
        <v/>
      </c>
      <c r="C549">
        <f>IF(설정!$C$5="","",IFERROR(INDEX('1.산군_붙여넣기'!$A$1:$AZ$1001,ROW(),설정!$C$5)&amp;"",""))</f>
        <v/>
      </c>
      <c r="D549" s="5">
        <f>IFERROR(VALUE(SUBSTITUTE(SUBSTITUTE(SUBSTITUTE(IF(설정!$C$6="","",IFERROR(INDEX('1.산군_붙여넣기'!$A$1:$AZ$1001,ROW(),설정!$C$6)&amp;"","")),",",""),"㎡",""),"m2","")),"")</f>
        <v/>
      </c>
      <c r="E549">
        <f>IF(설정!$C$7="","",IFERROR(INDEX('1.산군_붙여넣기'!$A$1:$AZ$1001,ROW(),설정!$C$7)&amp;"",""))</f>
        <v/>
      </c>
      <c r="F549">
        <f>IF(설정!$C$8="","",IFERROR(INDEX('1.산군_붙여넣기'!$A$1:$AZ$1001,ROW(),설정!$C$8)&amp;"",""))</f>
        <v/>
      </c>
      <c r="G549">
        <f>IF(설정!$C$9="","",IFERROR(INDEX('1.산군_붙여넣기'!$A$1:$AZ$1001,ROW(),설정!$C$9)&amp;"",""))</f>
        <v/>
      </c>
      <c r="H549">
        <f>IF(설정!$C$10="","",IFERROR(INDEX('1.산군_붙여넣기'!$A$1:$AZ$1001,ROW(),설정!$C$10)&amp;"",""))</f>
        <v/>
      </c>
      <c r="I549">
        <f>IF(설정!$C$11="","",IFERROR(INDEX('1.산군_붙여넣기'!$A$1:$AZ$1001,ROW(),설정!$C$11)&amp;"",""))</f>
        <v/>
      </c>
      <c r="J549">
        <f>IF(설정!$C$12="","",IFERROR(INDEX('1.산군_붙여넣기'!$A$1:$AZ$1001,ROW(),설정!$C$12)&amp;"",""))</f>
        <v/>
      </c>
      <c r="K549">
        <f>IF(설정!$C$13="","",IFERROR(INDEX('1.산군_붙여넣기'!$A$1:$AZ$1001,ROW(),설정!$C$13)&amp;"",""))</f>
        <v/>
      </c>
      <c r="L549" s="7">
        <f>IF(X549="","",IF(AND(LEN(X549)=8,ISNUMBER(X549*1)),DATE(LEFT(X549,4),MID(X549,5,2),RIGHT(X549,2)),IFERROR(DATEVALUE(SUBSTITUTE(SUBSTITUTE(X549,".","-"),"/","-")),IFERROR(X549*1,""))))</f>
        <v/>
      </c>
      <c r="M549" s="7">
        <f>IF(Y549="","",IF(AND(LEN(Y549)=8,ISNUMBER(Y549*1)),DATE(LEFT(Y549,4),MID(Y549,5,2),RIGHT(Y549,2)),IFERROR(DATEVALUE(SUBSTITUTE(SUBSTITUTE(Y549,".","-"),"/","-")),IFERROR(Y549*1,""))))</f>
        <v/>
      </c>
      <c r="N549">
        <f>IFERROR(LEFT(B549,FIND(" ",B549)-1),B549)</f>
        <v/>
      </c>
      <c r="O549">
        <f>AND(B549&lt;&gt;"",B549&lt;&gt;설정!$B$4,C549&lt;&gt;설정!$B$5)</f>
        <v/>
      </c>
      <c r="P549">
        <f>IF(O549,B549&amp;"|"&amp;C549,"")</f>
        <v/>
      </c>
      <c r="Q549">
        <f>AND(O549,COUNTIF(P550:P$1002,P549)=0)</f>
        <v/>
      </c>
      <c r="R549">
        <f>OR(AND(설정!$A$42&lt;&gt;"",ISNUMBER(SEARCH(설정!$A$42,E549&amp;" "&amp;C549))),AND(설정!$A$43&lt;&gt;"",ISNUMBER(SEARCH(설정!$A$43,E549&amp;" "&amp;C549))),AND(설정!$A$44&lt;&gt;"",ISNUMBER(SEARCH(설정!$A$44,E549&amp;" "&amp;C549))),AND(설정!$A$45&lt;&gt;"",ISNUMBER(SEARCH(설정!$A$45,E549&amp;" "&amp;C549))),AND(설정!$A$46&lt;&gt;"",ISNUMBER(SEARCH(설정!$A$46,E549&amp;" "&amp;C549))),AND(설정!$A$47&lt;&gt;"",ISNUMBER(SEARCH(설정!$A$47,E549&amp;" "&amp;C549))),AND(설정!$A$48&lt;&gt;"",ISNUMBER(SEARCH(설정!$A$48,E549&amp;" "&amp;C549))),AND(설정!$A$49&lt;&gt;"",ISNUMBER(SEARCH(설정!$A$49,E549&amp;" "&amp;C549))),AND(설정!$A$50&lt;&gt;"",ISNUMBER(SEARCH(설정!$A$50,E549&amp;" "&amp;C549))),AND(설정!$A$51&lt;&gt;"",ISNUMBER(SEARCH(설정!$A$51,E549&amp;" "&amp;C549))))</f>
        <v/>
      </c>
      <c r="S549">
        <f>OR(D549="",D549&gt;=설정!$B$19)</f>
        <v/>
      </c>
      <c r="T549">
        <f>AND(Q549,R549,S549)</f>
        <v/>
      </c>
      <c r="U549">
        <f>IF(T549,IF(AND(설정!$A$54&lt;&gt;"",ISNUMBER(SEARCH(설정!$A$54,K549))),설정!$B$54,IF(AND(설정!$A$55&lt;&gt;"",ISNUMBER(SEARCH(설정!$A$55,K549))),설정!$B$55,IF(AND(설정!$A$56&lt;&gt;"",ISNUMBER(SEARCH(설정!$A$56,K549))),설정!$B$56,IF(AND(설정!$A$57&lt;&gt;"",ISNUMBER(SEARCH(설정!$A$57,K549))),설정!$B$57,IF(AND(설정!$A$58&lt;&gt;"",ISNUMBER(SEARCH(설정!$A$58,K549))),설정!$B$58,IF(AND(설정!$A$59&lt;&gt;"",ISNUMBER(SEARCH(설정!$A$59,K549))),설정!$B$59,IF(AND(설정!$A$60&lt;&gt;"",ISNUMBER(SEARCH(설정!$A$60,K549))),설정!$B$60,IF(AND(설정!$A$61&lt;&gt;"",ISNUMBER(SEARCH(설정!$A$61,K549))),설정!$B$61,IF(M549="","설계사","시공사"))))))))),"")</f>
        <v/>
      </c>
      <c r="V549">
        <f>SUBSTITUTE(SUBSTITUTE(SUBSTITUTE(SUBSTITUTE(G549,"(주)",""),"㈜",""),"주식회사","")," ","")</f>
        <v/>
      </c>
      <c r="W549">
        <f>IF(AND(T549,V549&lt;&gt;""),IF(COUNTIFS(V$2:V549,V549,T$2:T549,TRUE)=1,MAX(W$1:W548)+1,""),"")</f>
        <v/>
      </c>
      <c r="X549">
        <f>IF(설정!$C$14="","",IFERROR(INDEX('1.산군_붙여넣기'!$A$1:$AZ$1001,ROW(),설정!$C$14)&amp;"",""))</f>
        <v/>
      </c>
      <c r="Y549">
        <f>IF(설정!$C$15="","",IFERROR(INDEX('1.산군_붙여넣기'!$A$1:$AZ$1001,ROW(),설정!$C$15)&amp;"",""))</f>
        <v/>
      </c>
      <c r="Z549">
        <f>IF(T549,V549&amp;"|"&amp;U549,"")</f>
        <v/>
      </c>
      <c r="AA549">
        <f>IF(NOT(Q549),"",IF(NOT(AND(R549,S549)),"✕",IF(OR(OR(AND(L549&lt;&gt;"",M549&lt;&gt;"",N(M549)-N(L549)&gt;설정!$B$27),AND(L549&lt;&gt;"",M549="",설정!$B$24-N(L549)&gt;설정!$B$27)),AND(D549&lt;&gt;"",D549&lt;설정!$B$26)),"△","★")))</f>
        <v/>
      </c>
      <c r="AB549">
        <f>IF(NOT(T549),"",IF(U549="설계사",설정!$B$31,IF(U549="시공사",IF(OR(M549="",설정!$B$24-N(M549)&lt;=설정!$B$28*30.4),설정!$B$32,설정!$B$33),설정!$B$34))+IF(AA549="★",설정!$B$35,0))</f>
        <v/>
      </c>
      <c r="AC549">
        <f>SUBSTITUTE(SUBSTITUTE(SUBSTITUTE(SUBSTITUTE(H549,"(주)",""),"㈜",""),"주식회사","")," ","")</f>
        <v/>
      </c>
      <c r="AD549">
        <f>IF(AND(T549,AC549&lt;&gt;""),IF(COUNTIFS(AC$2:AC549,AC549,T$2:T549,TRUE)=1,MAX(AD$1:AD548)+1,""),"")</f>
        <v/>
      </c>
    </row>
    <row r="550">
      <c r="A550">
        <f>ROW()</f>
        <v/>
      </c>
      <c r="B550">
        <f>IF(설정!$C$4="","",IFERROR(INDEX('1.산군_붙여넣기'!$A$1:$AZ$1001,ROW(),설정!$C$4)&amp;"",""))</f>
        <v/>
      </c>
      <c r="C550">
        <f>IF(설정!$C$5="","",IFERROR(INDEX('1.산군_붙여넣기'!$A$1:$AZ$1001,ROW(),설정!$C$5)&amp;"",""))</f>
        <v/>
      </c>
      <c r="D550" s="5">
        <f>IFERROR(VALUE(SUBSTITUTE(SUBSTITUTE(SUBSTITUTE(IF(설정!$C$6="","",IFERROR(INDEX('1.산군_붙여넣기'!$A$1:$AZ$1001,ROW(),설정!$C$6)&amp;"","")),",",""),"㎡",""),"m2","")),"")</f>
        <v/>
      </c>
      <c r="E550">
        <f>IF(설정!$C$7="","",IFERROR(INDEX('1.산군_붙여넣기'!$A$1:$AZ$1001,ROW(),설정!$C$7)&amp;"",""))</f>
        <v/>
      </c>
      <c r="F550">
        <f>IF(설정!$C$8="","",IFERROR(INDEX('1.산군_붙여넣기'!$A$1:$AZ$1001,ROW(),설정!$C$8)&amp;"",""))</f>
        <v/>
      </c>
      <c r="G550">
        <f>IF(설정!$C$9="","",IFERROR(INDEX('1.산군_붙여넣기'!$A$1:$AZ$1001,ROW(),설정!$C$9)&amp;"",""))</f>
        <v/>
      </c>
      <c r="H550">
        <f>IF(설정!$C$10="","",IFERROR(INDEX('1.산군_붙여넣기'!$A$1:$AZ$1001,ROW(),설정!$C$10)&amp;"",""))</f>
        <v/>
      </c>
      <c r="I550">
        <f>IF(설정!$C$11="","",IFERROR(INDEX('1.산군_붙여넣기'!$A$1:$AZ$1001,ROW(),설정!$C$11)&amp;"",""))</f>
        <v/>
      </c>
      <c r="J550">
        <f>IF(설정!$C$12="","",IFERROR(INDEX('1.산군_붙여넣기'!$A$1:$AZ$1001,ROW(),설정!$C$12)&amp;"",""))</f>
        <v/>
      </c>
      <c r="K550">
        <f>IF(설정!$C$13="","",IFERROR(INDEX('1.산군_붙여넣기'!$A$1:$AZ$1001,ROW(),설정!$C$13)&amp;"",""))</f>
        <v/>
      </c>
      <c r="L550" s="7">
        <f>IF(X550="","",IF(AND(LEN(X550)=8,ISNUMBER(X550*1)),DATE(LEFT(X550,4),MID(X550,5,2),RIGHT(X550,2)),IFERROR(DATEVALUE(SUBSTITUTE(SUBSTITUTE(X550,".","-"),"/","-")),IFERROR(X550*1,""))))</f>
        <v/>
      </c>
      <c r="M550" s="7">
        <f>IF(Y550="","",IF(AND(LEN(Y550)=8,ISNUMBER(Y550*1)),DATE(LEFT(Y550,4),MID(Y550,5,2),RIGHT(Y550,2)),IFERROR(DATEVALUE(SUBSTITUTE(SUBSTITUTE(Y550,".","-"),"/","-")),IFERROR(Y550*1,""))))</f>
        <v/>
      </c>
      <c r="N550">
        <f>IFERROR(LEFT(B550,FIND(" ",B550)-1),B550)</f>
        <v/>
      </c>
      <c r="O550">
        <f>AND(B550&lt;&gt;"",B550&lt;&gt;설정!$B$4,C550&lt;&gt;설정!$B$5)</f>
        <v/>
      </c>
      <c r="P550">
        <f>IF(O550,B550&amp;"|"&amp;C550,"")</f>
        <v/>
      </c>
      <c r="Q550">
        <f>AND(O550,COUNTIF(P551:P$1002,P550)=0)</f>
        <v/>
      </c>
      <c r="R550">
        <f>OR(AND(설정!$A$42&lt;&gt;"",ISNUMBER(SEARCH(설정!$A$42,E550&amp;" "&amp;C550))),AND(설정!$A$43&lt;&gt;"",ISNUMBER(SEARCH(설정!$A$43,E550&amp;" "&amp;C550))),AND(설정!$A$44&lt;&gt;"",ISNUMBER(SEARCH(설정!$A$44,E550&amp;" "&amp;C550))),AND(설정!$A$45&lt;&gt;"",ISNUMBER(SEARCH(설정!$A$45,E550&amp;" "&amp;C550))),AND(설정!$A$46&lt;&gt;"",ISNUMBER(SEARCH(설정!$A$46,E550&amp;" "&amp;C550))),AND(설정!$A$47&lt;&gt;"",ISNUMBER(SEARCH(설정!$A$47,E550&amp;" "&amp;C550))),AND(설정!$A$48&lt;&gt;"",ISNUMBER(SEARCH(설정!$A$48,E550&amp;" "&amp;C550))),AND(설정!$A$49&lt;&gt;"",ISNUMBER(SEARCH(설정!$A$49,E550&amp;" "&amp;C550))),AND(설정!$A$50&lt;&gt;"",ISNUMBER(SEARCH(설정!$A$50,E550&amp;" "&amp;C550))),AND(설정!$A$51&lt;&gt;"",ISNUMBER(SEARCH(설정!$A$51,E550&amp;" "&amp;C550))))</f>
        <v/>
      </c>
      <c r="S550">
        <f>OR(D550="",D550&gt;=설정!$B$19)</f>
        <v/>
      </c>
      <c r="T550">
        <f>AND(Q550,R550,S550)</f>
        <v/>
      </c>
      <c r="U550">
        <f>IF(T550,IF(AND(설정!$A$54&lt;&gt;"",ISNUMBER(SEARCH(설정!$A$54,K550))),설정!$B$54,IF(AND(설정!$A$55&lt;&gt;"",ISNUMBER(SEARCH(설정!$A$55,K550))),설정!$B$55,IF(AND(설정!$A$56&lt;&gt;"",ISNUMBER(SEARCH(설정!$A$56,K550))),설정!$B$56,IF(AND(설정!$A$57&lt;&gt;"",ISNUMBER(SEARCH(설정!$A$57,K550))),설정!$B$57,IF(AND(설정!$A$58&lt;&gt;"",ISNUMBER(SEARCH(설정!$A$58,K550))),설정!$B$58,IF(AND(설정!$A$59&lt;&gt;"",ISNUMBER(SEARCH(설정!$A$59,K550))),설정!$B$59,IF(AND(설정!$A$60&lt;&gt;"",ISNUMBER(SEARCH(설정!$A$60,K550))),설정!$B$60,IF(AND(설정!$A$61&lt;&gt;"",ISNUMBER(SEARCH(설정!$A$61,K550))),설정!$B$61,IF(M550="","설계사","시공사"))))))))),"")</f>
        <v/>
      </c>
      <c r="V550">
        <f>SUBSTITUTE(SUBSTITUTE(SUBSTITUTE(SUBSTITUTE(G550,"(주)",""),"㈜",""),"주식회사","")," ","")</f>
        <v/>
      </c>
      <c r="W550">
        <f>IF(AND(T550,V550&lt;&gt;""),IF(COUNTIFS(V$2:V550,V550,T$2:T550,TRUE)=1,MAX(W$1:W549)+1,""),"")</f>
        <v/>
      </c>
      <c r="X550">
        <f>IF(설정!$C$14="","",IFERROR(INDEX('1.산군_붙여넣기'!$A$1:$AZ$1001,ROW(),설정!$C$14)&amp;"",""))</f>
        <v/>
      </c>
      <c r="Y550">
        <f>IF(설정!$C$15="","",IFERROR(INDEX('1.산군_붙여넣기'!$A$1:$AZ$1001,ROW(),설정!$C$15)&amp;"",""))</f>
        <v/>
      </c>
      <c r="Z550">
        <f>IF(T550,V550&amp;"|"&amp;U550,"")</f>
        <v/>
      </c>
      <c r="AA550">
        <f>IF(NOT(Q550),"",IF(NOT(AND(R550,S550)),"✕",IF(OR(OR(AND(L550&lt;&gt;"",M550&lt;&gt;"",N(M550)-N(L550)&gt;설정!$B$27),AND(L550&lt;&gt;"",M550="",설정!$B$24-N(L550)&gt;설정!$B$27)),AND(D550&lt;&gt;"",D550&lt;설정!$B$26)),"△","★")))</f>
        <v/>
      </c>
      <c r="AB550">
        <f>IF(NOT(T550),"",IF(U550="설계사",설정!$B$31,IF(U550="시공사",IF(OR(M550="",설정!$B$24-N(M550)&lt;=설정!$B$28*30.4),설정!$B$32,설정!$B$33),설정!$B$34))+IF(AA550="★",설정!$B$35,0))</f>
        <v/>
      </c>
      <c r="AC550">
        <f>SUBSTITUTE(SUBSTITUTE(SUBSTITUTE(SUBSTITUTE(H550,"(주)",""),"㈜",""),"주식회사","")," ","")</f>
        <v/>
      </c>
      <c r="AD550">
        <f>IF(AND(T550,AC550&lt;&gt;""),IF(COUNTIFS(AC$2:AC550,AC550,T$2:T550,TRUE)=1,MAX(AD$1:AD549)+1,""),"")</f>
        <v/>
      </c>
    </row>
    <row r="551">
      <c r="A551">
        <f>ROW()</f>
        <v/>
      </c>
      <c r="B551">
        <f>IF(설정!$C$4="","",IFERROR(INDEX('1.산군_붙여넣기'!$A$1:$AZ$1001,ROW(),설정!$C$4)&amp;"",""))</f>
        <v/>
      </c>
      <c r="C551">
        <f>IF(설정!$C$5="","",IFERROR(INDEX('1.산군_붙여넣기'!$A$1:$AZ$1001,ROW(),설정!$C$5)&amp;"",""))</f>
        <v/>
      </c>
      <c r="D551" s="5">
        <f>IFERROR(VALUE(SUBSTITUTE(SUBSTITUTE(SUBSTITUTE(IF(설정!$C$6="","",IFERROR(INDEX('1.산군_붙여넣기'!$A$1:$AZ$1001,ROW(),설정!$C$6)&amp;"","")),",",""),"㎡",""),"m2","")),"")</f>
        <v/>
      </c>
      <c r="E551">
        <f>IF(설정!$C$7="","",IFERROR(INDEX('1.산군_붙여넣기'!$A$1:$AZ$1001,ROW(),설정!$C$7)&amp;"",""))</f>
        <v/>
      </c>
      <c r="F551">
        <f>IF(설정!$C$8="","",IFERROR(INDEX('1.산군_붙여넣기'!$A$1:$AZ$1001,ROW(),설정!$C$8)&amp;"",""))</f>
        <v/>
      </c>
      <c r="G551">
        <f>IF(설정!$C$9="","",IFERROR(INDEX('1.산군_붙여넣기'!$A$1:$AZ$1001,ROW(),설정!$C$9)&amp;"",""))</f>
        <v/>
      </c>
      <c r="H551">
        <f>IF(설정!$C$10="","",IFERROR(INDEX('1.산군_붙여넣기'!$A$1:$AZ$1001,ROW(),설정!$C$10)&amp;"",""))</f>
        <v/>
      </c>
      <c r="I551">
        <f>IF(설정!$C$11="","",IFERROR(INDEX('1.산군_붙여넣기'!$A$1:$AZ$1001,ROW(),설정!$C$11)&amp;"",""))</f>
        <v/>
      </c>
      <c r="J551">
        <f>IF(설정!$C$12="","",IFERROR(INDEX('1.산군_붙여넣기'!$A$1:$AZ$1001,ROW(),설정!$C$12)&amp;"",""))</f>
        <v/>
      </c>
      <c r="K551">
        <f>IF(설정!$C$13="","",IFERROR(INDEX('1.산군_붙여넣기'!$A$1:$AZ$1001,ROW(),설정!$C$13)&amp;"",""))</f>
        <v/>
      </c>
      <c r="L551" s="7">
        <f>IF(X551="","",IF(AND(LEN(X551)=8,ISNUMBER(X551*1)),DATE(LEFT(X551,4),MID(X551,5,2),RIGHT(X551,2)),IFERROR(DATEVALUE(SUBSTITUTE(SUBSTITUTE(X551,".","-"),"/","-")),IFERROR(X551*1,""))))</f>
        <v/>
      </c>
      <c r="M551" s="7">
        <f>IF(Y551="","",IF(AND(LEN(Y551)=8,ISNUMBER(Y551*1)),DATE(LEFT(Y551,4),MID(Y551,5,2),RIGHT(Y551,2)),IFERROR(DATEVALUE(SUBSTITUTE(SUBSTITUTE(Y551,".","-"),"/","-")),IFERROR(Y551*1,""))))</f>
        <v/>
      </c>
      <c r="N551">
        <f>IFERROR(LEFT(B551,FIND(" ",B551)-1),B551)</f>
        <v/>
      </c>
      <c r="O551">
        <f>AND(B551&lt;&gt;"",B551&lt;&gt;설정!$B$4,C551&lt;&gt;설정!$B$5)</f>
        <v/>
      </c>
      <c r="P551">
        <f>IF(O551,B551&amp;"|"&amp;C551,"")</f>
        <v/>
      </c>
      <c r="Q551">
        <f>AND(O551,COUNTIF(P552:P$1002,P551)=0)</f>
        <v/>
      </c>
      <c r="R551">
        <f>OR(AND(설정!$A$42&lt;&gt;"",ISNUMBER(SEARCH(설정!$A$42,E551&amp;" "&amp;C551))),AND(설정!$A$43&lt;&gt;"",ISNUMBER(SEARCH(설정!$A$43,E551&amp;" "&amp;C551))),AND(설정!$A$44&lt;&gt;"",ISNUMBER(SEARCH(설정!$A$44,E551&amp;" "&amp;C551))),AND(설정!$A$45&lt;&gt;"",ISNUMBER(SEARCH(설정!$A$45,E551&amp;" "&amp;C551))),AND(설정!$A$46&lt;&gt;"",ISNUMBER(SEARCH(설정!$A$46,E551&amp;" "&amp;C551))),AND(설정!$A$47&lt;&gt;"",ISNUMBER(SEARCH(설정!$A$47,E551&amp;" "&amp;C551))),AND(설정!$A$48&lt;&gt;"",ISNUMBER(SEARCH(설정!$A$48,E551&amp;" "&amp;C551))),AND(설정!$A$49&lt;&gt;"",ISNUMBER(SEARCH(설정!$A$49,E551&amp;" "&amp;C551))),AND(설정!$A$50&lt;&gt;"",ISNUMBER(SEARCH(설정!$A$50,E551&amp;" "&amp;C551))),AND(설정!$A$51&lt;&gt;"",ISNUMBER(SEARCH(설정!$A$51,E551&amp;" "&amp;C551))))</f>
        <v/>
      </c>
      <c r="S551">
        <f>OR(D551="",D551&gt;=설정!$B$19)</f>
        <v/>
      </c>
      <c r="T551">
        <f>AND(Q551,R551,S551)</f>
        <v/>
      </c>
      <c r="U551">
        <f>IF(T551,IF(AND(설정!$A$54&lt;&gt;"",ISNUMBER(SEARCH(설정!$A$54,K551))),설정!$B$54,IF(AND(설정!$A$55&lt;&gt;"",ISNUMBER(SEARCH(설정!$A$55,K551))),설정!$B$55,IF(AND(설정!$A$56&lt;&gt;"",ISNUMBER(SEARCH(설정!$A$56,K551))),설정!$B$56,IF(AND(설정!$A$57&lt;&gt;"",ISNUMBER(SEARCH(설정!$A$57,K551))),설정!$B$57,IF(AND(설정!$A$58&lt;&gt;"",ISNUMBER(SEARCH(설정!$A$58,K551))),설정!$B$58,IF(AND(설정!$A$59&lt;&gt;"",ISNUMBER(SEARCH(설정!$A$59,K551))),설정!$B$59,IF(AND(설정!$A$60&lt;&gt;"",ISNUMBER(SEARCH(설정!$A$60,K551))),설정!$B$60,IF(AND(설정!$A$61&lt;&gt;"",ISNUMBER(SEARCH(설정!$A$61,K551))),설정!$B$61,IF(M551="","설계사","시공사"))))))))),"")</f>
        <v/>
      </c>
      <c r="V551">
        <f>SUBSTITUTE(SUBSTITUTE(SUBSTITUTE(SUBSTITUTE(G551,"(주)",""),"㈜",""),"주식회사","")," ","")</f>
        <v/>
      </c>
      <c r="W551">
        <f>IF(AND(T551,V551&lt;&gt;""),IF(COUNTIFS(V$2:V551,V551,T$2:T551,TRUE)=1,MAX(W$1:W550)+1,""),"")</f>
        <v/>
      </c>
      <c r="X551">
        <f>IF(설정!$C$14="","",IFERROR(INDEX('1.산군_붙여넣기'!$A$1:$AZ$1001,ROW(),설정!$C$14)&amp;"",""))</f>
        <v/>
      </c>
      <c r="Y551">
        <f>IF(설정!$C$15="","",IFERROR(INDEX('1.산군_붙여넣기'!$A$1:$AZ$1001,ROW(),설정!$C$15)&amp;"",""))</f>
        <v/>
      </c>
      <c r="Z551">
        <f>IF(T551,V551&amp;"|"&amp;U551,"")</f>
        <v/>
      </c>
      <c r="AA551">
        <f>IF(NOT(Q551),"",IF(NOT(AND(R551,S551)),"✕",IF(OR(OR(AND(L551&lt;&gt;"",M551&lt;&gt;"",N(M551)-N(L551)&gt;설정!$B$27),AND(L551&lt;&gt;"",M551="",설정!$B$24-N(L551)&gt;설정!$B$27)),AND(D551&lt;&gt;"",D551&lt;설정!$B$26)),"△","★")))</f>
        <v/>
      </c>
      <c r="AB551">
        <f>IF(NOT(T551),"",IF(U551="설계사",설정!$B$31,IF(U551="시공사",IF(OR(M551="",설정!$B$24-N(M551)&lt;=설정!$B$28*30.4),설정!$B$32,설정!$B$33),설정!$B$34))+IF(AA551="★",설정!$B$35,0))</f>
        <v/>
      </c>
      <c r="AC551">
        <f>SUBSTITUTE(SUBSTITUTE(SUBSTITUTE(SUBSTITUTE(H551,"(주)",""),"㈜",""),"주식회사","")," ","")</f>
        <v/>
      </c>
      <c r="AD551">
        <f>IF(AND(T551,AC551&lt;&gt;""),IF(COUNTIFS(AC$2:AC551,AC551,T$2:T551,TRUE)=1,MAX(AD$1:AD550)+1,""),"")</f>
        <v/>
      </c>
    </row>
    <row r="552">
      <c r="A552">
        <f>ROW()</f>
        <v/>
      </c>
      <c r="B552">
        <f>IF(설정!$C$4="","",IFERROR(INDEX('1.산군_붙여넣기'!$A$1:$AZ$1001,ROW(),설정!$C$4)&amp;"",""))</f>
        <v/>
      </c>
      <c r="C552">
        <f>IF(설정!$C$5="","",IFERROR(INDEX('1.산군_붙여넣기'!$A$1:$AZ$1001,ROW(),설정!$C$5)&amp;"",""))</f>
        <v/>
      </c>
      <c r="D552" s="5">
        <f>IFERROR(VALUE(SUBSTITUTE(SUBSTITUTE(SUBSTITUTE(IF(설정!$C$6="","",IFERROR(INDEX('1.산군_붙여넣기'!$A$1:$AZ$1001,ROW(),설정!$C$6)&amp;"","")),",",""),"㎡",""),"m2","")),"")</f>
        <v/>
      </c>
      <c r="E552">
        <f>IF(설정!$C$7="","",IFERROR(INDEX('1.산군_붙여넣기'!$A$1:$AZ$1001,ROW(),설정!$C$7)&amp;"",""))</f>
        <v/>
      </c>
      <c r="F552">
        <f>IF(설정!$C$8="","",IFERROR(INDEX('1.산군_붙여넣기'!$A$1:$AZ$1001,ROW(),설정!$C$8)&amp;"",""))</f>
        <v/>
      </c>
      <c r="G552">
        <f>IF(설정!$C$9="","",IFERROR(INDEX('1.산군_붙여넣기'!$A$1:$AZ$1001,ROW(),설정!$C$9)&amp;"",""))</f>
        <v/>
      </c>
      <c r="H552">
        <f>IF(설정!$C$10="","",IFERROR(INDEX('1.산군_붙여넣기'!$A$1:$AZ$1001,ROW(),설정!$C$10)&amp;"",""))</f>
        <v/>
      </c>
      <c r="I552">
        <f>IF(설정!$C$11="","",IFERROR(INDEX('1.산군_붙여넣기'!$A$1:$AZ$1001,ROW(),설정!$C$11)&amp;"",""))</f>
        <v/>
      </c>
      <c r="J552">
        <f>IF(설정!$C$12="","",IFERROR(INDEX('1.산군_붙여넣기'!$A$1:$AZ$1001,ROW(),설정!$C$12)&amp;"",""))</f>
        <v/>
      </c>
      <c r="K552">
        <f>IF(설정!$C$13="","",IFERROR(INDEX('1.산군_붙여넣기'!$A$1:$AZ$1001,ROW(),설정!$C$13)&amp;"",""))</f>
        <v/>
      </c>
      <c r="L552" s="7">
        <f>IF(X552="","",IF(AND(LEN(X552)=8,ISNUMBER(X552*1)),DATE(LEFT(X552,4),MID(X552,5,2),RIGHT(X552,2)),IFERROR(DATEVALUE(SUBSTITUTE(SUBSTITUTE(X552,".","-"),"/","-")),IFERROR(X552*1,""))))</f>
        <v/>
      </c>
      <c r="M552" s="7">
        <f>IF(Y552="","",IF(AND(LEN(Y552)=8,ISNUMBER(Y552*1)),DATE(LEFT(Y552,4),MID(Y552,5,2),RIGHT(Y552,2)),IFERROR(DATEVALUE(SUBSTITUTE(SUBSTITUTE(Y552,".","-"),"/","-")),IFERROR(Y552*1,""))))</f>
        <v/>
      </c>
      <c r="N552">
        <f>IFERROR(LEFT(B552,FIND(" ",B552)-1),B552)</f>
        <v/>
      </c>
      <c r="O552">
        <f>AND(B552&lt;&gt;"",B552&lt;&gt;설정!$B$4,C552&lt;&gt;설정!$B$5)</f>
        <v/>
      </c>
      <c r="P552">
        <f>IF(O552,B552&amp;"|"&amp;C552,"")</f>
        <v/>
      </c>
      <c r="Q552">
        <f>AND(O552,COUNTIF(P553:P$1002,P552)=0)</f>
        <v/>
      </c>
      <c r="R552">
        <f>OR(AND(설정!$A$42&lt;&gt;"",ISNUMBER(SEARCH(설정!$A$42,E552&amp;" "&amp;C552))),AND(설정!$A$43&lt;&gt;"",ISNUMBER(SEARCH(설정!$A$43,E552&amp;" "&amp;C552))),AND(설정!$A$44&lt;&gt;"",ISNUMBER(SEARCH(설정!$A$44,E552&amp;" "&amp;C552))),AND(설정!$A$45&lt;&gt;"",ISNUMBER(SEARCH(설정!$A$45,E552&amp;" "&amp;C552))),AND(설정!$A$46&lt;&gt;"",ISNUMBER(SEARCH(설정!$A$46,E552&amp;" "&amp;C552))),AND(설정!$A$47&lt;&gt;"",ISNUMBER(SEARCH(설정!$A$47,E552&amp;" "&amp;C552))),AND(설정!$A$48&lt;&gt;"",ISNUMBER(SEARCH(설정!$A$48,E552&amp;" "&amp;C552))),AND(설정!$A$49&lt;&gt;"",ISNUMBER(SEARCH(설정!$A$49,E552&amp;" "&amp;C552))),AND(설정!$A$50&lt;&gt;"",ISNUMBER(SEARCH(설정!$A$50,E552&amp;" "&amp;C552))),AND(설정!$A$51&lt;&gt;"",ISNUMBER(SEARCH(설정!$A$51,E552&amp;" "&amp;C552))))</f>
        <v/>
      </c>
      <c r="S552">
        <f>OR(D552="",D552&gt;=설정!$B$19)</f>
        <v/>
      </c>
      <c r="T552">
        <f>AND(Q552,R552,S552)</f>
        <v/>
      </c>
      <c r="U552">
        <f>IF(T552,IF(AND(설정!$A$54&lt;&gt;"",ISNUMBER(SEARCH(설정!$A$54,K552))),설정!$B$54,IF(AND(설정!$A$55&lt;&gt;"",ISNUMBER(SEARCH(설정!$A$55,K552))),설정!$B$55,IF(AND(설정!$A$56&lt;&gt;"",ISNUMBER(SEARCH(설정!$A$56,K552))),설정!$B$56,IF(AND(설정!$A$57&lt;&gt;"",ISNUMBER(SEARCH(설정!$A$57,K552))),설정!$B$57,IF(AND(설정!$A$58&lt;&gt;"",ISNUMBER(SEARCH(설정!$A$58,K552))),설정!$B$58,IF(AND(설정!$A$59&lt;&gt;"",ISNUMBER(SEARCH(설정!$A$59,K552))),설정!$B$59,IF(AND(설정!$A$60&lt;&gt;"",ISNUMBER(SEARCH(설정!$A$60,K552))),설정!$B$60,IF(AND(설정!$A$61&lt;&gt;"",ISNUMBER(SEARCH(설정!$A$61,K552))),설정!$B$61,IF(M552="","설계사","시공사"))))))))),"")</f>
        <v/>
      </c>
      <c r="V552">
        <f>SUBSTITUTE(SUBSTITUTE(SUBSTITUTE(SUBSTITUTE(G552,"(주)",""),"㈜",""),"주식회사","")," ","")</f>
        <v/>
      </c>
      <c r="W552">
        <f>IF(AND(T552,V552&lt;&gt;""),IF(COUNTIFS(V$2:V552,V552,T$2:T552,TRUE)=1,MAX(W$1:W551)+1,""),"")</f>
        <v/>
      </c>
      <c r="X552">
        <f>IF(설정!$C$14="","",IFERROR(INDEX('1.산군_붙여넣기'!$A$1:$AZ$1001,ROW(),설정!$C$14)&amp;"",""))</f>
        <v/>
      </c>
      <c r="Y552">
        <f>IF(설정!$C$15="","",IFERROR(INDEX('1.산군_붙여넣기'!$A$1:$AZ$1001,ROW(),설정!$C$15)&amp;"",""))</f>
        <v/>
      </c>
      <c r="Z552">
        <f>IF(T552,V552&amp;"|"&amp;U552,"")</f>
        <v/>
      </c>
      <c r="AA552">
        <f>IF(NOT(Q552),"",IF(NOT(AND(R552,S552)),"✕",IF(OR(OR(AND(L552&lt;&gt;"",M552&lt;&gt;"",N(M552)-N(L552)&gt;설정!$B$27),AND(L552&lt;&gt;"",M552="",설정!$B$24-N(L552)&gt;설정!$B$27)),AND(D552&lt;&gt;"",D552&lt;설정!$B$26)),"△","★")))</f>
        <v/>
      </c>
      <c r="AB552">
        <f>IF(NOT(T552),"",IF(U552="설계사",설정!$B$31,IF(U552="시공사",IF(OR(M552="",설정!$B$24-N(M552)&lt;=설정!$B$28*30.4),설정!$B$32,설정!$B$33),설정!$B$34))+IF(AA552="★",설정!$B$35,0))</f>
        <v/>
      </c>
      <c r="AC552">
        <f>SUBSTITUTE(SUBSTITUTE(SUBSTITUTE(SUBSTITUTE(H552,"(주)",""),"㈜",""),"주식회사","")," ","")</f>
        <v/>
      </c>
      <c r="AD552">
        <f>IF(AND(T552,AC552&lt;&gt;""),IF(COUNTIFS(AC$2:AC552,AC552,T$2:T552,TRUE)=1,MAX(AD$1:AD551)+1,""),"")</f>
        <v/>
      </c>
    </row>
    <row r="553">
      <c r="A553">
        <f>ROW()</f>
        <v/>
      </c>
      <c r="B553">
        <f>IF(설정!$C$4="","",IFERROR(INDEX('1.산군_붙여넣기'!$A$1:$AZ$1001,ROW(),설정!$C$4)&amp;"",""))</f>
        <v/>
      </c>
      <c r="C553">
        <f>IF(설정!$C$5="","",IFERROR(INDEX('1.산군_붙여넣기'!$A$1:$AZ$1001,ROW(),설정!$C$5)&amp;"",""))</f>
        <v/>
      </c>
      <c r="D553" s="5">
        <f>IFERROR(VALUE(SUBSTITUTE(SUBSTITUTE(SUBSTITUTE(IF(설정!$C$6="","",IFERROR(INDEX('1.산군_붙여넣기'!$A$1:$AZ$1001,ROW(),설정!$C$6)&amp;"","")),",",""),"㎡",""),"m2","")),"")</f>
        <v/>
      </c>
      <c r="E553">
        <f>IF(설정!$C$7="","",IFERROR(INDEX('1.산군_붙여넣기'!$A$1:$AZ$1001,ROW(),설정!$C$7)&amp;"",""))</f>
        <v/>
      </c>
      <c r="F553">
        <f>IF(설정!$C$8="","",IFERROR(INDEX('1.산군_붙여넣기'!$A$1:$AZ$1001,ROW(),설정!$C$8)&amp;"",""))</f>
        <v/>
      </c>
      <c r="G553">
        <f>IF(설정!$C$9="","",IFERROR(INDEX('1.산군_붙여넣기'!$A$1:$AZ$1001,ROW(),설정!$C$9)&amp;"",""))</f>
        <v/>
      </c>
      <c r="H553">
        <f>IF(설정!$C$10="","",IFERROR(INDEX('1.산군_붙여넣기'!$A$1:$AZ$1001,ROW(),설정!$C$10)&amp;"",""))</f>
        <v/>
      </c>
      <c r="I553">
        <f>IF(설정!$C$11="","",IFERROR(INDEX('1.산군_붙여넣기'!$A$1:$AZ$1001,ROW(),설정!$C$11)&amp;"",""))</f>
        <v/>
      </c>
      <c r="J553">
        <f>IF(설정!$C$12="","",IFERROR(INDEX('1.산군_붙여넣기'!$A$1:$AZ$1001,ROW(),설정!$C$12)&amp;"",""))</f>
        <v/>
      </c>
      <c r="K553">
        <f>IF(설정!$C$13="","",IFERROR(INDEX('1.산군_붙여넣기'!$A$1:$AZ$1001,ROW(),설정!$C$13)&amp;"",""))</f>
        <v/>
      </c>
      <c r="L553" s="7">
        <f>IF(X553="","",IF(AND(LEN(X553)=8,ISNUMBER(X553*1)),DATE(LEFT(X553,4),MID(X553,5,2),RIGHT(X553,2)),IFERROR(DATEVALUE(SUBSTITUTE(SUBSTITUTE(X553,".","-"),"/","-")),IFERROR(X553*1,""))))</f>
        <v/>
      </c>
      <c r="M553" s="7">
        <f>IF(Y553="","",IF(AND(LEN(Y553)=8,ISNUMBER(Y553*1)),DATE(LEFT(Y553,4),MID(Y553,5,2),RIGHT(Y553,2)),IFERROR(DATEVALUE(SUBSTITUTE(SUBSTITUTE(Y553,".","-"),"/","-")),IFERROR(Y553*1,""))))</f>
        <v/>
      </c>
      <c r="N553">
        <f>IFERROR(LEFT(B553,FIND(" ",B553)-1),B553)</f>
        <v/>
      </c>
      <c r="O553">
        <f>AND(B553&lt;&gt;"",B553&lt;&gt;설정!$B$4,C553&lt;&gt;설정!$B$5)</f>
        <v/>
      </c>
      <c r="P553">
        <f>IF(O553,B553&amp;"|"&amp;C553,"")</f>
        <v/>
      </c>
      <c r="Q553">
        <f>AND(O553,COUNTIF(P554:P$1002,P553)=0)</f>
        <v/>
      </c>
      <c r="R553">
        <f>OR(AND(설정!$A$42&lt;&gt;"",ISNUMBER(SEARCH(설정!$A$42,E553&amp;" "&amp;C553))),AND(설정!$A$43&lt;&gt;"",ISNUMBER(SEARCH(설정!$A$43,E553&amp;" "&amp;C553))),AND(설정!$A$44&lt;&gt;"",ISNUMBER(SEARCH(설정!$A$44,E553&amp;" "&amp;C553))),AND(설정!$A$45&lt;&gt;"",ISNUMBER(SEARCH(설정!$A$45,E553&amp;" "&amp;C553))),AND(설정!$A$46&lt;&gt;"",ISNUMBER(SEARCH(설정!$A$46,E553&amp;" "&amp;C553))),AND(설정!$A$47&lt;&gt;"",ISNUMBER(SEARCH(설정!$A$47,E553&amp;" "&amp;C553))),AND(설정!$A$48&lt;&gt;"",ISNUMBER(SEARCH(설정!$A$48,E553&amp;" "&amp;C553))),AND(설정!$A$49&lt;&gt;"",ISNUMBER(SEARCH(설정!$A$49,E553&amp;" "&amp;C553))),AND(설정!$A$50&lt;&gt;"",ISNUMBER(SEARCH(설정!$A$50,E553&amp;" "&amp;C553))),AND(설정!$A$51&lt;&gt;"",ISNUMBER(SEARCH(설정!$A$51,E553&amp;" "&amp;C553))))</f>
        <v/>
      </c>
      <c r="S553">
        <f>OR(D553="",D553&gt;=설정!$B$19)</f>
        <v/>
      </c>
      <c r="T553">
        <f>AND(Q553,R553,S553)</f>
        <v/>
      </c>
      <c r="U553">
        <f>IF(T553,IF(AND(설정!$A$54&lt;&gt;"",ISNUMBER(SEARCH(설정!$A$54,K553))),설정!$B$54,IF(AND(설정!$A$55&lt;&gt;"",ISNUMBER(SEARCH(설정!$A$55,K553))),설정!$B$55,IF(AND(설정!$A$56&lt;&gt;"",ISNUMBER(SEARCH(설정!$A$56,K553))),설정!$B$56,IF(AND(설정!$A$57&lt;&gt;"",ISNUMBER(SEARCH(설정!$A$57,K553))),설정!$B$57,IF(AND(설정!$A$58&lt;&gt;"",ISNUMBER(SEARCH(설정!$A$58,K553))),설정!$B$58,IF(AND(설정!$A$59&lt;&gt;"",ISNUMBER(SEARCH(설정!$A$59,K553))),설정!$B$59,IF(AND(설정!$A$60&lt;&gt;"",ISNUMBER(SEARCH(설정!$A$60,K553))),설정!$B$60,IF(AND(설정!$A$61&lt;&gt;"",ISNUMBER(SEARCH(설정!$A$61,K553))),설정!$B$61,IF(M553="","설계사","시공사"))))))))),"")</f>
        <v/>
      </c>
      <c r="V553">
        <f>SUBSTITUTE(SUBSTITUTE(SUBSTITUTE(SUBSTITUTE(G553,"(주)",""),"㈜",""),"주식회사","")," ","")</f>
        <v/>
      </c>
      <c r="W553">
        <f>IF(AND(T553,V553&lt;&gt;""),IF(COUNTIFS(V$2:V553,V553,T$2:T553,TRUE)=1,MAX(W$1:W552)+1,""),"")</f>
        <v/>
      </c>
      <c r="X553">
        <f>IF(설정!$C$14="","",IFERROR(INDEX('1.산군_붙여넣기'!$A$1:$AZ$1001,ROW(),설정!$C$14)&amp;"",""))</f>
        <v/>
      </c>
      <c r="Y553">
        <f>IF(설정!$C$15="","",IFERROR(INDEX('1.산군_붙여넣기'!$A$1:$AZ$1001,ROW(),설정!$C$15)&amp;"",""))</f>
        <v/>
      </c>
      <c r="Z553">
        <f>IF(T553,V553&amp;"|"&amp;U553,"")</f>
        <v/>
      </c>
      <c r="AA553">
        <f>IF(NOT(Q553),"",IF(NOT(AND(R553,S553)),"✕",IF(OR(OR(AND(L553&lt;&gt;"",M553&lt;&gt;"",N(M553)-N(L553)&gt;설정!$B$27),AND(L553&lt;&gt;"",M553="",설정!$B$24-N(L553)&gt;설정!$B$27)),AND(D553&lt;&gt;"",D553&lt;설정!$B$26)),"△","★")))</f>
        <v/>
      </c>
      <c r="AB553">
        <f>IF(NOT(T553),"",IF(U553="설계사",설정!$B$31,IF(U553="시공사",IF(OR(M553="",설정!$B$24-N(M553)&lt;=설정!$B$28*30.4),설정!$B$32,설정!$B$33),설정!$B$34))+IF(AA553="★",설정!$B$35,0))</f>
        <v/>
      </c>
      <c r="AC553">
        <f>SUBSTITUTE(SUBSTITUTE(SUBSTITUTE(SUBSTITUTE(H553,"(주)",""),"㈜",""),"주식회사","")," ","")</f>
        <v/>
      </c>
      <c r="AD553">
        <f>IF(AND(T553,AC553&lt;&gt;""),IF(COUNTIFS(AC$2:AC553,AC553,T$2:T553,TRUE)=1,MAX(AD$1:AD552)+1,""),"")</f>
        <v/>
      </c>
    </row>
    <row r="554">
      <c r="A554">
        <f>ROW()</f>
        <v/>
      </c>
      <c r="B554">
        <f>IF(설정!$C$4="","",IFERROR(INDEX('1.산군_붙여넣기'!$A$1:$AZ$1001,ROW(),설정!$C$4)&amp;"",""))</f>
        <v/>
      </c>
      <c r="C554">
        <f>IF(설정!$C$5="","",IFERROR(INDEX('1.산군_붙여넣기'!$A$1:$AZ$1001,ROW(),설정!$C$5)&amp;"",""))</f>
        <v/>
      </c>
      <c r="D554" s="5">
        <f>IFERROR(VALUE(SUBSTITUTE(SUBSTITUTE(SUBSTITUTE(IF(설정!$C$6="","",IFERROR(INDEX('1.산군_붙여넣기'!$A$1:$AZ$1001,ROW(),설정!$C$6)&amp;"","")),",",""),"㎡",""),"m2","")),"")</f>
        <v/>
      </c>
      <c r="E554">
        <f>IF(설정!$C$7="","",IFERROR(INDEX('1.산군_붙여넣기'!$A$1:$AZ$1001,ROW(),설정!$C$7)&amp;"",""))</f>
        <v/>
      </c>
      <c r="F554">
        <f>IF(설정!$C$8="","",IFERROR(INDEX('1.산군_붙여넣기'!$A$1:$AZ$1001,ROW(),설정!$C$8)&amp;"",""))</f>
        <v/>
      </c>
      <c r="G554">
        <f>IF(설정!$C$9="","",IFERROR(INDEX('1.산군_붙여넣기'!$A$1:$AZ$1001,ROW(),설정!$C$9)&amp;"",""))</f>
        <v/>
      </c>
      <c r="H554">
        <f>IF(설정!$C$10="","",IFERROR(INDEX('1.산군_붙여넣기'!$A$1:$AZ$1001,ROW(),설정!$C$10)&amp;"",""))</f>
        <v/>
      </c>
      <c r="I554">
        <f>IF(설정!$C$11="","",IFERROR(INDEX('1.산군_붙여넣기'!$A$1:$AZ$1001,ROW(),설정!$C$11)&amp;"",""))</f>
        <v/>
      </c>
      <c r="J554">
        <f>IF(설정!$C$12="","",IFERROR(INDEX('1.산군_붙여넣기'!$A$1:$AZ$1001,ROW(),설정!$C$12)&amp;"",""))</f>
        <v/>
      </c>
      <c r="K554">
        <f>IF(설정!$C$13="","",IFERROR(INDEX('1.산군_붙여넣기'!$A$1:$AZ$1001,ROW(),설정!$C$13)&amp;"",""))</f>
        <v/>
      </c>
      <c r="L554" s="7">
        <f>IF(X554="","",IF(AND(LEN(X554)=8,ISNUMBER(X554*1)),DATE(LEFT(X554,4),MID(X554,5,2),RIGHT(X554,2)),IFERROR(DATEVALUE(SUBSTITUTE(SUBSTITUTE(X554,".","-"),"/","-")),IFERROR(X554*1,""))))</f>
        <v/>
      </c>
      <c r="M554" s="7">
        <f>IF(Y554="","",IF(AND(LEN(Y554)=8,ISNUMBER(Y554*1)),DATE(LEFT(Y554,4),MID(Y554,5,2),RIGHT(Y554,2)),IFERROR(DATEVALUE(SUBSTITUTE(SUBSTITUTE(Y554,".","-"),"/","-")),IFERROR(Y554*1,""))))</f>
        <v/>
      </c>
      <c r="N554">
        <f>IFERROR(LEFT(B554,FIND(" ",B554)-1),B554)</f>
        <v/>
      </c>
      <c r="O554">
        <f>AND(B554&lt;&gt;"",B554&lt;&gt;설정!$B$4,C554&lt;&gt;설정!$B$5)</f>
        <v/>
      </c>
      <c r="P554">
        <f>IF(O554,B554&amp;"|"&amp;C554,"")</f>
        <v/>
      </c>
      <c r="Q554">
        <f>AND(O554,COUNTIF(P555:P$1002,P554)=0)</f>
        <v/>
      </c>
      <c r="R554">
        <f>OR(AND(설정!$A$42&lt;&gt;"",ISNUMBER(SEARCH(설정!$A$42,E554&amp;" "&amp;C554))),AND(설정!$A$43&lt;&gt;"",ISNUMBER(SEARCH(설정!$A$43,E554&amp;" "&amp;C554))),AND(설정!$A$44&lt;&gt;"",ISNUMBER(SEARCH(설정!$A$44,E554&amp;" "&amp;C554))),AND(설정!$A$45&lt;&gt;"",ISNUMBER(SEARCH(설정!$A$45,E554&amp;" "&amp;C554))),AND(설정!$A$46&lt;&gt;"",ISNUMBER(SEARCH(설정!$A$46,E554&amp;" "&amp;C554))),AND(설정!$A$47&lt;&gt;"",ISNUMBER(SEARCH(설정!$A$47,E554&amp;" "&amp;C554))),AND(설정!$A$48&lt;&gt;"",ISNUMBER(SEARCH(설정!$A$48,E554&amp;" "&amp;C554))),AND(설정!$A$49&lt;&gt;"",ISNUMBER(SEARCH(설정!$A$49,E554&amp;" "&amp;C554))),AND(설정!$A$50&lt;&gt;"",ISNUMBER(SEARCH(설정!$A$50,E554&amp;" "&amp;C554))),AND(설정!$A$51&lt;&gt;"",ISNUMBER(SEARCH(설정!$A$51,E554&amp;" "&amp;C554))))</f>
        <v/>
      </c>
      <c r="S554">
        <f>OR(D554="",D554&gt;=설정!$B$19)</f>
        <v/>
      </c>
      <c r="T554">
        <f>AND(Q554,R554,S554)</f>
        <v/>
      </c>
      <c r="U554">
        <f>IF(T554,IF(AND(설정!$A$54&lt;&gt;"",ISNUMBER(SEARCH(설정!$A$54,K554))),설정!$B$54,IF(AND(설정!$A$55&lt;&gt;"",ISNUMBER(SEARCH(설정!$A$55,K554))),설정!$B$55,IF(AND(설정!$A$56&lt;&gt;"",ISNUMBER(SEARCH(설정!$A$56,K554))),설정!$B$56,IF(AND(설정!$A$57&lt;&gt;"",ISNUMBER(SEARCH(설정!$A$57,K554))),설정!$B$57,IF(AND(설정!$A$58&lt;&gt;"",ISNUMBER(SEARCH(설정!$A$58,K554))),설정!$B$58,IF(AND(설정!$A$59&lt;&gt;"",ISNUMBER(SEARCH(설정!$A$59,K554))),설정!$B$59,IF(AND(설정!$A$60&lt;&gt;"",ISNUMBER(SEARCH(설정!$A$60,K554))),설정!$B$60,IF(AND(설정!$A$61&lt;&gt;"",ISNUMBER(SEARCH(설정!$A$61,K554))),설정!$B$61,IF(M554="","설계사","시공사"))))))))),"")</f>
        <v/>
      </c>
      <c r="V554">
        <f>SUBSTITUTE(SUBSTITUTE(SUBSTITUTE(SUBSTITUTE(G554,"(주)",""),"㈜",""),"주식회사","")," ","")</f>
        <v/>
      </c>
      <c r="W554">
        <f>IF(AND(T554,V554&lt;&gt;""),IF(COUNTIFS(V$2:V554,V554,T$2:T554,TRUE)=1,MAX(W$1:W553)+1,""),"")</f>
        <v/>
      </c>
      <c r="X554">
        <f>IF(설정!$C$14="","",IFERROR(INDEX('1.산군_붙여넣기'!$A$1:$AZ$1001,ROW(),설정!$C$14)&amp;"",""))</f>
        <v/>
      </c>
      <c r="Y554">
        <f>IF(설정!$C$15="","",IFERROR(INDEX('1.산군_붙여넣기'!$A$1:$AZ$1001,ROW(),설정!$C$15)&amp;"",""))</f>
        <v/>
      </c>
      <c r="Z554">
        <f>IF(T554,V554&amp;"|"&amp;U554,"")</f>
        <v/>
      </c>
      <c r="AA554">
        <f>IF(NOT(Q554),"",IF(NOT(AND(R554,S554)),"✕",IF(OR(OR(AND(L554&lt;&gt;"",M554&lt;&gt;"",N(M554)-N(L554)&gt;설정!$B$27),AND(L554&lt;&gt;"",M554="",설정!$B$24-N(L554)&gt;설정!$B$27)),AND(D554&lt;&gt;"",D554&lt;설정!$B$26)),"△","★")))</f>
        <v/>
      </c>
      <c r="AB554">
        <f>IF(NOT(T554),"",IF(U554="설계사",설정!$B$31,IF(U554="시공사",IF(OR(M554="",설정!$B$24-N(M554)&lt;=설정!$B$28*30.4),설정!$B$32,설정!$B$33),설정!$B$34))+IF(AA554="★",설정!$B$35,0))</f>
        <v/>
      </c>
      <c r="AC554">
        <f>SUBSTITUTE(SUBSTITUTE(SUBSTITUTE(SUBSTITUTE(H554,"(주)",""),"㈜",""),"주식회사","")," ","")</f>
        <v/>
      </c>
      <c r="AD554">
        <f>IF(AND(T554,AC554&lt;&gt;""),IF(COUNTIFS(AC$2:AC554,AC554,T$2:T554,TRUE)=1,MAX(AD$1:AD553)+1,""),"")</f>
        <v/>
      </c>
    </row>
    <row r="555">
      <c r="A555">
        <f>ROW()</f>
        <v/>
      </c>
      <c r="B555">
        <f>IF(설정!$C$4="","",IFERROR(INDEX('1.산군_붙여넣기'!$A$1:$AZ$1001,ROW(),설정!$C$4)&amp;"",""))</f>
        <v/>
      </c>
      <c r="C555">
        <f>IF(설정!$C$5="","",IFERROR(INDEX('1.산군_붙여넣기'!$A$1:$AZ$1001,ROW(),설정!$C$5)&amp;"",""))</f>
        <v/>
      </c>
      <c r="D555" s="5">
        <f>IFERROR(VALUE(SUBSTITUTE(SUBSTITUTE(SUBSTITUTE(IF(설정!$C$6="","",IFERROR(INDEX('1.산군_붙여넣기'!$A$1:$AZ$1001,ROW(),설정!$C$6)&amp;"","")),",",""),"㎡",""),"m2","")),"")</f>
        <v/>
      </c>
      <c r="E555">
        <f>IF(설정!$C$7="","",IFERROR(INDEX('1.산군_붙여넣기'!$A$1:$AZ$1001,ROW(),설정!$C$7)&amp;"",""))</f>
        <v/>
      </c>
      <c r="F555">
        <f>IF(설정!$C$8="","",IFERROR(INDEX('1.산군_붙여넣기'!$A$1:$AZ$1001,ROW(),설정!$C$8)&amp;"",""))</f>
        <v/>
      </c>
      <c r="G555">
        <f>IF(설정!$C$9="","",IFERROR(INDEX('1.산군_붙여넣기'!$A$1:$AZ$1001,ROW(),설정!$C$9)&amp;"",""))</f>
        <v/>
      </c>
      <c r="H555">
        <f>IF(설정!$C$10="","",IFERROR(INDEX('1.산군_붙여넣기'!$A$1:$AZ$1001,ROW(),설정!$C$10)&amp;"",""))</f>
        <v/>
      </c>
      <c r="I555">
        <f>IF(설정!$C$11="","",IFERROR(INDEX('1.산군_붙여넣기'!$A$1:$AZ$1001,ROW(),설정!$C$11)&amp;"",""))</f>
        <v/>
      </c>
      <c r="J555">
        <f>IF(설정!$C$12="","",IFERROR(INDEX('1.산군_붙여넣기'!$A$1:$AZ$1001,ROW(),설정!$C$12)&amp;"",""))</f>
        <v/>
      </c>
      <c r="K555">
        <f>IF(설정!$C$13="","",IFERROR(INDEX('1.산군_붙여넣기'!$A$1:$AZ$1001,ROW(),설정!$C$13)&amp;"",""))</f>
        <v/>
      </c>
      <c r="L555" s="7">
        <f>IF(X555="","",IF(AND(LEN(X555)=8,ISNUMBER(X555*1)),DATE(LEFT(X555,4),MID(X555,5,2),RIGHT(X555,2)),IFERROR(DATEVALUE(SUBSTITUTE(SUBSTITUTE(X555,".","-"),"/","-")),IFERROR(X555*1,""))))</f>
        <v/>
      </c>
      <c r="M555" s="7">
        <f>IF(Y555="","",IF(AND(LEN(Y555)=8,ISNUMBER(Y555*1)),DATE(LEFT(Y555,4),MID(Y555,5,2),RIGHT(Y555,2)),IFERROR(DATEVALUE(SUBSTITUTE(SUBSTITUTE(Y555,".","-"),"/","-")),IFERROR(Y555*1,""))))</f>
        <v/>
      </c>
      <c r="N555">
        <f>IFERROR(LEFT(B555,FIND(" ",B555)-1),B555)</f>
        <v/>
      </c>
      <c r="O555">
        <f>AND(B555&lt;&gt;"",B555&lt;&gt;설정!$B$4,C555&lt;&gt;설정!$B$5)</f>
        <v/>
      </c>
      <c r="P555">
        <f>IF(O555,B555&amp;"|"&amp;C555,"")</f>
        <v/>
      </c>
      <c r="Q555">
        <f>AND(O555,COUNTIF(P556:P$1002,P555)=0)</f>
        <v/>
      </c>
      <c r="R555">
        <f>OR(AND(설정!$A$42&lt;&gt;"",ISNUMBER(SEARCH(설정!$A$42,E555&amp;" "&amp;C555))),AND(설정!$A$43&lt;&gt;"",ISNUMBER(SEARCH(설정!$A$43,E555&amp;" "&amp;C555))),AND(설정!$A$44&lt;&gt;"",ISNUMBER(SEARCH(설정!$A$44,E555&amp;" "&amp;C555))),AND(설정!$A$45&lt;&gt;"",ISNUMBER(SEARCH(설정!$A$45,E555&amp;" "&amp;C555))),AND(설정!$A$46&lt;&gt;"",ISNUMBER(SEARCH(설정!$A$46,E555&amp;" "&amp;C555))),AND(설정!$A$47&lt;&gt;"",ISNUMBER(SEARCH(설정!$A$47,E555&amp;" "&amp;C555))),AND(설정!$A$48&lt;&gt;"",ISNUMBER(SEARCH(설정!$A$48,E555&amp;" "&amp;C555))),AND(설정!$A$49&lt;&gt;"",ISNUMBER(SEARCH(설정!$A$49,E555&amp;" "&amp;C555))),AND(설정!$A$50&lt;&gt;"",ISNUMBER(SEARCH(설정!$A$50,E555&amp;" "&amp;C555))),AND(설정!$A$51&lt;&gt;"",ISNUMBER(SEARCH(설정!$A$51,E555&amp;" "&amp;C555))))</f>
        <v/>
      </c>
      <c r="S555">
        <f>OR(D555="",D555&gt;=설정!$B$19)</f>
        <v/>
      </c>
      <c r="T555">
        <f>AND(Q555,R555,S555)</f>
        <v/>
      </c>
      <c r="U555">
        <f>IF(T555,IF(AND(설정!$A$54&lt;&gt;"",ISNUMBER(SEARCH(설정!$A$54,K555))),설정!$B$54,IF(AND(설정!$A$55&lt;&gt;"",ISNUMBER(SEARCH(설정!$A$55,K555))),설정!$B$55,IF(AND(설정!$A$56&lt;&gt;"",ISNUMBER(SEARCH(설정!$A$56,K555))),설정!$B$56,IF(AND(설정!$A$57&lt;&gt;"",ISNUMBER(SEARCH(설정!$A$57,K555))),설정!$B$57,IF(AND(설정!$A$58&lt;&gt;"",ISNUMBER(SEARCH(설정!$A$58,K555))),설정!$B$58,IF(AND(설정!$A$59&lt;&gt;"",ISNUMBER(SEARCH(설정!$A$59,K555))),설정!$B$59,IF(AND(설정!$A$60&lt;&gt;"",ISNUMBER(SEARCH(설정!$A$60,K555))),설정!$B$60,IF(AND(설정!$A$61&lt;&gt;"",ISNUMBER(SEARCH(설정!$A$61,K555))),설정!$B$61,IF(M555="","설계사","시공사"))))))))),"")</f>
        <v/>
      </c>
      <c r="V555">
        <f>SUBSTITUTE(SUBSTITUTE(SUBSTITUTE(SUBSTITUTE(G555,"(주)",""),"㈜",""),"주식회사","")," ","")</f>
        <v/>
      </c>
      <c r="W555">
        <f>IF(AND(T555,V555&lt;&gt;""),IF(COUNTIFS(V$2:V555,V555,T$2:T555,TRUE)=1,MAX(W$1:W554)+1,""),"")</f>
        <v/>
      </c>
      <c r="X555">
        <f>IF(설정!$C$14="","",IFERROR(INDEX('1.산군_붙여넣기'!$A$1:$AZ$1001,ROW(),설정!$C$14)&amp;"",""))</f>
        <v/>
      </c>
      <c r="Y555">
        <f>IF(설정!$C$15="","",IFERROR(INDEX('1.산군_붙여넣기'!$A$1:$AZ$1001,ROW(),설정!$C$15)&amp;"",""))</f>
        <v/>
      </c>
      <c r="Z555">
        <f>IF(T555,V555&amp;"|"&amp;U555,"")</f>
        <v/>
      </c>
      <c r="AA555">
        <f>IF(NOT(Q555),"",IF(NOT(AND(R555,S555)),"✕",IF(OR(OR(AND(L555&lt;&gt;"",M555&lt;&gt;"",N(M555)-N(L555)&gt;설정!$B$27),AND(L555&lt;&gt;"",M555="",설정!$B$24-N(L555)&gt;설정!$B$27)),AND(D555&lt;&gt;"",D555&lt;설정!$B$26)),"△","★")))</f>
        <v/>
      </c>
      <c r="AB555">
        <f>IF(NOT(T555),"",IF(U555="설계사",설정!$B$31,IF(U555="시공사",IF(OR(M555="",설정!$B$24-N(M555)&lt;=설정!$B$28*30.4),설정!$B$32,설정!$B$33),설정!$B$34))+IF(AA555="★",설정!$B$35,0))</f>
        <v/>
      </c>
      <c r="AC555">
        <f>SUBSTITUTE(SUBSTITUTE(SUBSTITUTE(SUBSTITUTE(H555,"(주)",""),"㈜",""),"주식회사","")," ","")</f>
        <v/>
      </c>
      <c r="AD555">
        <f>IF(AND(T555,AC555&lt;&gt;""),IF(COUNTIFS(AC$2:AC555,AC555,T$2:T555,TRUE)=1,MAX(AD$1:AD554)+1,""),"")</f>
        <v/>
      </c>
    </row>
    <row r="556">
      <c r="A556">
        <f>ROW()</f>
        <v/>
      </c>
      <c r="B556">
        <f>IF(설정!$C$4="","",IFERROR(INDEX('1.산군_붙여넣기'!$A$1:$AZ$1001,ROW(),설정!$C$4)&amp;"",""))</f>
        <v/>
      </c>
      <c r="C556">
        <f>IF(설정!$C$5="","",IFERROR(INDEX('1.산군_붙여넣기'!$A$1:$AZ$1001,ROW(),설정!$C$5)&amp;"",""))</f>
        <v/>
      </c>
      <c r="D556" s="5">
        <f>IFERROR(VALUE(SUBSTITUTE(SUBSTITUTE(SUBSTITUTE(IF(설정!$C$6="","",IFERROR(INDEX('1.산군_붙여넣기'!$A$1:$AZ$1001,ROW(),설정!$C$6)&amp;"","")),",",""),"㎡",""),"m2","")),"")</f>
        <v/>
      </c>
      <c r="E556">
        <f>IF(설정!$C$7="","",IFERROR(INDEX('1.산군_붙여넣기'!$A$1:$AZ$1001,ROW(),설정!$C$7)&amp;"",""))</f>
        <v/>
      </c>
      <c r="F556">
        <f>IF(설정!$C$8="","",IFERROR(INDEX('1.산군_붙여넣기'!$A$1:$AZ$1001,ROW(),설정!$C$8)&amp;"",""))</f>
        <v/>
      </c>
      <c r="G556">
        <f>IF(설정!$C$9="","",IFERROR(INDEX('1.산군_붙여넣기'!$A$1:$AZ$1001,ROW(),설정!$C$9)&amp;"",""))</f>
        <v/>
      </c>
      <c r="H556">
        <f>IF(설정!$C$10="","",IFERROR(INDEX('1.산군_붙여넣기'!$A$1:$AZ$1001,ROW(),설정!$C$10)&amp;"",""))</f>
        <v/>
      </c>
      <c r="I556">
        <f>IF(설정!$C$11="","",IFERROR(INDEX('1.산군_붙여넣기'!$A$1:$AZ$1001,ROW(),설정!$C$11)&amp;"",""))</f>
        <v/>
      </c>
      <c r="J556">
        <f>IF(설정!$C$12="","",IFERROR(INDEX('1.산군_붙여넣기'!$A$1:$AZ$1001,ROW(),설정!$C$12)&amp;"",""))</f>
        <v/>
      </c>
      <c r="K556">
        <f>IF(설정!$C$13="","",IFERROR(INDEX('1.산군_붙여넣기'!$A$1:$AZ$1001,ROW(),설정!$C$13)&amp;"",""))</f>
        <v/>
      </c>
      <c r="L556" s="7">
        <f>IF(X556="","",IF(AND(LEN(X556)=8,ISNUMBER(X556*1)),DATE(LEFT(X556,4),MID(X556,5,2),RIGHT(X556,2)),IFERROR(DATEVALUE(SUBSTITUTE(SUBSTITUTE(X556,".","-"),"/","-")),IFERROR(X556*1,""))))</f>
        <v/>
      </c>
      <c r="M556" s="7">
        <f>IF(Y556="","",IF(AND(LEN(Y556)=8,ISNUMBER(Y556*1)),DATE(LEFT(Y556,4),MID(Y556,5,2),RIGHT(Y556,2)),IFERROR(DATEVALUE(SUBSTITUTE(SUBSTITUTE(Y556,".","-"),"/","-")),IFERROR(Y556*1,""))))</f>
        <v/>
      </c>
      <c r="N556">
        <f>IFERROR(LEFT(B556,FIND(" ",B556)-1),B556)</f>
        <v/>
      </c>
      <c r="O556">
        <f>AND(B556&lt;&gt;"",B556&lt;&gt;설정!$B$4,C556&lt;&gt;설정!$B$5)</f>
        <v/>
      </c>
      <c r="P556">
        <f>IF(O556,B556&amp;"|"&amp;C556,"")</f>
        <v/>
      </c>
      <c r="Q556">
        <f>AND(O556,COUNTIF(P557:P$1002,P556)=0)</f>
        <v/>
      </c>
      <c r="R556">
        <f>OR(AND(설정!$A$42&lt;&gt;"",ISNUMBER(SEARCH(설정!$A$42,E556&amp;" "&amp;C556))),AND(설정!$A$43&lt;&gt;"",ISNUMBER(SEARCH(설정!$A$43,E556&amp;" "&amp;C556))),AND(설정!$A$44&lt;&gt;"",ISNUMBER(SEARCH(설정!$A$44,E556&amp;" "&amp;C556))),AND(설정!$A$45&lt;&gt;"",ISNUMBER(SEARCH(설정!$A$45,E556&amp;" "&amp;C556))),AND(설정!$A$46&lt;&gt;"",ISNUMBER(SEARCH(설정!$A$46,E556&amp;" "&amp;C556))),AND(설정!$A$47&lt;&gt;"",ISNUMBER(SEARCH(설정!$A$47,E556&amp;" "&amp;C556))),AND(설정!$A$48&lt;&gt;"",ISNUMBER(SEARCH(설정!$A$48,E556&amp;" "&amp;C556))),AND(설정!$A$49&lt;&gt;"",ISNUMBER(SEARCH(설정!$A$49,E556&amp;" "&amp;C556))),AND(설정!$A$50&lt;&gt;"",ISNUMBER(SEARCH(설정!$A$50,E556&amp;" "&amp;C556))),AND(설정!$A$51&lt;&gt;"",ISNUMBER(SEARCH(설정!$A$51,E556&amp;" "&amp;C556))))</f>
        <v/>
      </c>
      <c r="S556">
        <f>OR(D556="",D556&gt;=설정!$B$19)</f>
        <v/>
      </c>
      <c r="T556">
        <f>AND(Q556,R556,S556)</f>
        <v/>
      </c>
      <c r="U556">
        <f>IF(T556,IF(AND(설정!$A$54&lt;&gt;"",ISNUMBER(SEARCH(설정!$A$54,K556))),설정!$B$54,IF(AND(설정!$A$55&lt;&gt;"",ISNUMBER(SEARCH(설정!$A$55,K556))),설정!$B$55,IF(AND(설정!$A$56&lt;&gt;"",ISNUMBER(SEARCH(설정!$A$56,K556))),설정!$B$56,IF(AND(설정!$A$57&lt;&gt;"",ISNUMBER(SEARCH(설정!$A$57,K556))),설정!$B$57,IF(AND(설정!$A$58&lt;&gt;"",ISNUMBER(SEARCH(설정!$A$58,K556))),설정!$B$58,IF(AND(설정!$A$59&lt;&gt;"",ISNUMBER(SEARCH(설정!$A$59,K556))),설정!$B$59,IF(AND(설정!$A$60&lt;&gt;"",ISNUMBER(SEARCH(설정!$A$60,K556))),설정!$B$60,IF(AND(설정!$A$61&lt;&gt;"",ISNUMBER(SEARCH(설정!$A$61,K556))),설정!$B$61,IF(M556="","설계사","시공사"))))))))),"")</f>
        <v/>
      </c>
      <c r="V556">
        <f>SUBSTITUTE(SUBSTITUTE(SUBSTITUTE(SUBSTITUTE(G556,"(주)",""),"㈜",""),"주식회사","")," ","")</f>
        <v/>
      </c>
      <c r="W556">
        <f>IF(AND(T556,V556&lt;&gt;""),IF(COUNTIFS(V$2:V556,V556,T$2:T556,TRUE)=1,MAX(W$1:W555)+1,""),"")</f>
        <v/>
      </c>
      <c r="X556">
        <f>IF(설정!$C$14="","",IFERROR(INDEX('1.산군_붙여넣기'!$A$1:$AZ$1001,ROW(),설정!$C$14)&amp;"",""))</f>
        <v/>
      </c>
      <c r="Y556">
        <f>IF(설정!$C$15="","",IFERROR(INDEX('1.산군_붙여넣기'!$A$1:$AZ$1001,ROW(),설정!$C$15)&amp;"",""))</f>
        <v/>
      </c>
      <c r="Z556">
        <f>IF(T556,V556&amp;"|"&amp;U556,"")</f>
        <v/>
      </c>
      <c r="AA556">
        <f>IF(NOT(Q556),"",IF(NOT(AND(R556,S556)),"✕",IF(OR(OR(AND(L556&lt;&gt;"",M556&lt;&gt;"",N(M556)-N(L556)&gt;설정!$B$27),AND(L556&lt;&gt;"",M556="",설정!$B$24-N(L556)&gt;설정!$B$27)),AND(D556&lt;&gt;"",D556&lt;설정!$B$26)),"△","★")))</f>
        <v/>
      </c>
      <c r="AB556">
        <f>IF(NOT(T556),"",IF(U556="설계사",설정!$B$31,IF(U556="시공사",IF(OR(M556="",설정!$B$24-N(M556)&lt;=설정!$B$28*30.4),설정!$B$32,설정!$B$33),설정!$B$34))+IF(AA556="★",설정!$B$35,0))</f>
        <v/>
      </c>
      <c r="AC556">
        <f>SUBSTITUTE(SUBSTITUTE(SUBSTITUTE(SUBSTITUTE(H556,"(주)",""),"㈜",""),"주식회사","")," ","")</f>
        <v/>
      </c>
      <c r="AD556">
        <f>IF(AND(T556,AC556&lt;&gt;""),IF(COUNTIFS(AC$2:AC556,AC556,T$2:T556,TRUE)=1,MAX(AD$1:AD555)+1,""),"")</f>
        <v/>
      </c>
    </row>
    <row r="557">
      <c r="A557">
        <f>ROW()</f>
        <v/>
      </c>
      <c r="B557">
        <f>IF(설정!$C$4="","",IFERROR(INDEX('1.산군_붙여넣기'!$A$1:$AZ$1001,ROW(),설정!$C$4)&amp;"",""))</f>
        <v/>
      </c>
      <c r="C557">
        <f>IF(설정!$C$5="","",IFERROR(INDEX('1.산군_붙여넣기'!$A$1:$AZ$1001,ROW(),설정!$C$5)&amp;"",""))</f>
        <v/>
      </c>
      <c r="D557" s="5">
        <f>IFERROR(VALUE(SUBSTITUTE(SUBSTITUTE(SUBSTITUTE(IF(설정!$C$6="","",IFERROR(INDEX('1.산군_붙여넣기'!$A$1:$AZ$1001,ROW(),설정!$C$6)&amp;"","")),",",""),"㎡",""),"m2","")),"")</f>
        <v/>
      </c>
      <c r="E557">
        <f>IF(설정!$C$7="","",IFERROR(INDEX('1.산군_붙여넣기'!$A$1:$AZ$1001,ROW(),설정!$C$7)&amp;"",""))</f>
        <v/>
      </c>
      <c r="F557">
        <f>IF(설정!$C$8="","",IFERROR(INDEX('1.산군_붙여넣기'!$A$1:$AZ$1001,ROW(),설정!$C$8)&amp;"",""))</f>
        <v/>
      </c>
      <c r="G557">
        <f>IF(설정!$C$9="","",IFERROR(INDEX('1.산군_붙여넣기'!$A$1:$AZ$1001,ROW(),설정!$C$9)&amp;"",""))</f>
        <v/>
      </c>
      <c r="H557">
        <f>IF(설정!$C$10="","",IFERROR(INDEX('1.산군_붙여넣기'!$A$1:$AZ$1001,ROW(),설정!$C$10)&amp;"",""))</f>
        <v/>
      </c>
      <c r="I557">
        <f>IF(설정!$C$11="","",IFERROR(INDEX('1.산군_붙여넣기'!$A$1:$AZ$1001,ROW(),설정!$C$11)&amp;"",""))</f>
        <v/>
      </c>
      <c r="J557">
        <f>IF(설정!$C$12="","",IFERROR(INDEX('1.산군_붙여넣기'!$A$1:$AZ$1001,ROW(),설정!$C$12)&amp;"",""))</f>
        <v/>
      </c>
      <c r="K557">
        <f>IF(설정!$C$13="","",IFERROR(INDEX('1.산군_붙여넣기'!$A$1:$AZ$1001,ROW(),설정!$C$13)&amp;"",""))</f>
        <v/>
      </c>
      <c r="L557" s="7">
        <f>IF(X557="","",IF(AND(LEN(X557)=8,ISNUMBER(X557*1)),DATE(LEFT(X557,4),MID(X557,5,2),RIGHT(X557,2)),IFERROR(DATEVALUE(SUBSTITUTE(SUBSTITUTE(X557,".","-"),"/","-")),IFERROR(X557*1,""))))</f>
        <v/>
      </c>
      <c r="M557" s="7">
        <f>IF(Y557="","",IF(AND(LEN(Y557)=8,ISNUMBER(Y557*1)),DATE(LEFT(Y557,4),MID(Y557,5,2),RIGHT(Y557,2)),IFERROR(DATEVALUE(SUBSTITUTE(SUBSTITUTE(Y557,".","-"),"/","-")),IFERROR(Y557*1,""))))</f>
        <v/>
      </c>
      <c r="N557">
        <f>IFERROR(LEFT(B557,FIND(" ",B557)-1),B557)</f>
        <v/>
      </c>
      <c r="O557">
        <f>AND(B557&lt;&gt;"",B557&lt;&gt;설정!$B$4,C557&lt;&gt;설정!$B$5)</f>
        <v/>
      </c>
      <c r="P557">
        <f>IF(O557,B557&amp;"|"&amp;C557,"")</f>
        <v/>
      </c>
      <c r="Q557">
        <f>AND(O557,COUNTIF(P558:P$1002,P557)=0)</f>
        <v/>
      </c>
      <c r="R557">
        <f>OR(AND(설정!$A$42&lt;&gt;"",ISNUMBER(SEARCH(설정!$A$42,E557&amp;" "&amp;C557))),AND(설정!$A$43&lt;&gt;"",ISNUMBER(SEARCH(설정!$A$43,E557&amp;" "&amp;C557))),AND(설정!$A$44&lt;&gt;"",ISNUMBER(SEARCH(설정!$A$44,E557&amp;" "&amp;C557))),AND(설정!$A$45&lt;&gt;"",ISNUMBER(SEARCH(설정!$A$45,E557&amp;" "&amp;C557))),AND(설정!$A$46&lt;&gt;"",ISNUMBER(SEARCH(설정!$A$46,E557&amp;" "&amp;C557))),AND(설정!$A$47&lt;&gt;"",ISNUMBER(SEARCH(설정!$A$47,E557&amp;" "&amp;C557))),AND(설정!$A$48&lt;&gt;"",ISNUMBER(SEARCH(설정!$A$48,E557&amp;" "&amp;C557))),AND(설정!$A$49&lt;&gt;"",ISNUMBER(SEARCH(설정!$A$49,E557&amp;" "&amp;C557))),AND(설정!$A$50&lt;&gt;"",ISNUMBER(SEARCH(설정!$A$50,E557&amp;" "&amp;C557))),AND(설정!$A$51&lt;&gt;"",ISNUMBER(SEARCH(설정!$A$51,E557&amp;" "&amp;C557))))</f>
        <v/>
      </c>
      <c r="S557">
        <f>OR(D557="",D557&gt;=설정!$B$19)</f>
        <v/>
      </c>
      <c r="T557">
        <f>AND(Q557,R557,S557)</f>
        <v/>
      </c>
      <c r="U557">
        <f>IF(T557,IF(AND(설정!$A$54&lt;&gt;"",ISNUMBER(SEARCH(설정!$A$54,K557))),설정!$B$54,IF(AND(설정!$A$55&lt;&gt;"",ISNUMBER(SEARCH(설정!$A$55,K557))),설정!$B$55,IF(AND(설정!$A$56&lt;&gt;"",ISNUMBER(SEARCH(설정!$A$56,K557))),설정!$B$56,IF(AND(설정!$A$57&lt;&gt;"",ISNUMBER(SEARCH(설정!$A$57,K557))),설정!$B$57,IF(AND(설정!$A$58&lt;&gt;"",ISNUMBER(SEARCH(설정!$A$58,K557))),설정!$B$58,IF(AND(설정!$A$59&lt;&gt;"",ISNUMBER(SEARCH(설정!$A$59,K557))),설정!$B$59,IF(AND(설정!$A$60&lt;&gt;"",ISNUMBER(SEARCH(설정!$A$60,K557))),설정!$B$60,IF(AND(설정!$A$61&lt;&gt;"",ISNUMBER(SEARCH(설정!$A$61,K557))),설정!$B$61,IF(M557="","설계사","시공사"))))))))),"")</f>
        <v/>
      </c>
      <c r="V557">
        <f>SUBSTITUTE(SUBSTITUTE(SUBSTITUTE(SUBSTITUTE(G557,"(주)",""),"㈜",""),"주식회사","")," ","")</f>
        <v/>
      </c>
      <c r="W557">
        <f>IF(AND(T557,V557&lt;&gt;""),IF(COUNTIFS(V$2:V557,V557,T$2:T557,TRUE)=1,MAX(W$1:W556)+1,""),"")</f>
        <v/>
      </c>
      <c r="X557">
        <f>IF(설정!$C$14="","",IFERROR(INDEX('1.산군_붙여넣기'!$A$1:$AZ$1001,ROW(),설정!$C$14)&amp;"",""))</f>
        <v/>
      </c>
      <c r="Y557">
        <f>IF(설정!$C$15="","",IFERROR(INDEX('1.산군_붙여넣기'!$A$1:$AZ$1001,ROW(),설정!$C$15)&amp;"",""))</f>
        <v/>
      </c>
      <c r="Z557">
        <f>IF(T557,V557&amp;"|"&amp;U557,"")</f>
        <v/>
      </c>
      <c r="AA557">
        <f>IF(NOT(Q557),"",IF(NOT(AND(R557,S557)),"✕",IF(OR(OR(AND(L557&lt;&gt;"",M557&lt;&gt;"",N(M557)-N(L557)&gt;설정!$B$27),AND(L557&lt;&gt;"",M557="",설정!$B$24-N(L557)&gt;설정!$B$27)),AND(D557&lt;&gt;"",D557&lt;설정!$B$26)),"△","★")))</f>
        <v/>
      </c>
      <c r="AB557">
        <f>IF(NOT(T557),"",IF(U557="설계사",설정!$B$31,IF(U557="시공사",IF(OR(M557="",설정!$B$24-N(M557)&lt;=설정!$B$28*30.4),설정!$B$32,설정!$B$33),설정!$B$34))+IF(AA557="★",설정!$B$35,0))</f>
        <v/>
      </c>
      <c r="AC557">
        <f>SUBSTITUTE(SUBSTITUTE(SUBSTITUTE(SUBSTITUTE(H557,"(주)",""),"㈜",""),"주식회사","")," ","")</f>
        <v/>
      </c>
      <c r="AD557">
        <f>IF(AND(T557,AC557&lt;&gt;""),IF(COUNTIFS(AC$2:AC557,AC557,T$2:T557,TRUE)=1,MAX(AD$1:AD556)+1,""),"")</f>
        <v/>
      </c>
    </row>
    <row r="558">
      <c r="A558">
        <f>ROW()</f>
        <v/>
      </c>
      <c r="B558">
        <f>IF(설정!$C$4="","",IFERROR(INDEX('1.산군_붙여넣기'!$A$1:$AZ$1001,ROW(),설정!$C$4)&amp;"",""))</f>
        <v/>
      </c>
      <c r="C558">
        <f>IF(설정!$C$5="","",IFERROR(INDEX('1.산군_붙여넣기'!$A$1:$AZ$1001,ROW(),설정!$C$5)&amp;"",""))</f>
        <v/>
      </c>
      <c r="D558" s="5">
        <f>IFERROR(VALUE(SUBSTITUTE(SUBSTITUTE(SUBSTITUTE(IF(설정!$C$6="","",IFERROR(INDEX('1.산군_붙여넣기'!$A$1:$AZ$1001,ROW(),설정!$C$6)&amp;"","")),",",""),"㎡",""),"m2","")),"")</f>
        <v/>
      </c>
      <c r="E558">
        <f>IF(설정!$C$7="","",IFERROR(INDEX('1.산군_붙여넣기'!$A$1:$AZ$1001,ROW(),설정!$C$7)&amp;"",""))</f>
        <v/>
      </c>
      <c r="F558">
        <f>IF(설정!$C$8="","",IFERROR(INDEX('1.산군_붙여넣기'!$A$1:$AZ$1001,ROW(),설정!$C$8)&amp;"",""))</f>
        <v/>
      </c>
      <c r="G558">
        <f>IF(설정!$C$9="","",IFERROR(INDEX('1.산군_붙여넣기'!$A$1:$AZ$1001,ROW(),설정!$C$9)&amp;"",""))</f>
        <v/>
      </c>
      <c r="H558">
        <f>IF(설정!$C$10="","",IFERROR(INDEX('1.산군_붙여넣기'!$A$1:$AZ$1001,ROW(),설정!$C$10)&amp;"",""))</f>
        <v/>
      </c>
      <c r="I558">
        <f>IF(설정!$C$11="","",IFERROR(INDEX('1.산군_붙여넣기'!$A$1:$AZ$1001,ROW(),설정!$C$11)&amp;"",""))</f>
        <v/>
      </c>
      <c r="J558">
        <f>IF(설정!$C$12="","",IFERROR(INDEX('1.산군_붙여넣기'!$A$1:$AZ$1001,ROW(),설정!$C$12)&amp;"",""))</f>
        <v/>
      </c>
      <c r="K558">
        <f>IF(설정!$C$13="","",IFERROR(INDEX('1.산군_붙여넣기'!$A$1:$AZ$1001,ROW(),설정!$C$13)&amp;"",""))</f>
        <v/>
      </c>
      <c r="L558" s="7">
        <f>IF(X558="","",IF(AND(LEN(X558)=8,ISNUMBER(X558*1)),DATE(LEFT(X558,4),MID(X558,5,2),RIGHT(X558,2)),IFERROR(DATEVALUE(SUBSTITUTE(SUBSTITUTE(X558,".","-"),"/","-")),IFERROR(X558*1,""))))</f>
        <v/>
      </c>
      <c r="M558" s="7">
        <f>IF(Y558="","",IF(AND(LEN(Y558)=8,ISNUMBER(Y558*1)),DATE(LEFT(Y558,4),MID(Y558,5,2),RIGHT(Y558,2)),IFERROR(DATEVALUE(SUBSTITUTE(SUBSTITUTE(Y558,".","-"),"/","-")),IFERROR(Y558*1,""))))</f>
        <v/>
      </c>
      <c r="N558">
        <f>IFERROR(LEFT(B558,FIND(" ",B558)-1),B558)</f>
        <v/>
      </c>
      <c r="O558">
        <f>AND(B558&lt;&gt;"",B558&lt;&gt;설정!$B$4,C558&lt;&gt;설정!$B$5)</f>
        <v/>
      </c>
      <c r="P558">
        <f>IF(O558,B558&amp;"|"&amp;C558,"")</f>
        <v/>
      </c>
      <c r="Q558">
        <f>AND(O558,COUNTIF(P559:P$1002,P558)=0)</f>
        <v/>
      </c>
      <c r="R558">
        <f>OR(AND(설정!$A$42&lt;&gt;"",ISNUMBER(SEARCH(설정!$A$42,E558&amp;" "&amp;C558))),AND(설정!$A$43&lt;&gt;"",ISNUMBER(SEARCH(설정!$A$43,E558&amp;" "&amp;C558))),AND(설정!$A$44&lt;&gt;"",ISNUMBER(SEARCH(설정!$A$44,E558&amp;" "&amp;C558))),AND(설정!$A$45&lt;&gt;"",ISNUMBER(SEARCH(설정!$A$45,E558&amp;" "&amp;C558))),AND(설정!$A$46&lt;&gt;"",ISNUMBER(SEARCH(설정!$A$46,E558&amp;" "&amp;C558))),AND(설정!$A$47&lt;&gt;"",ISNUMBER(SEARCH(설정!$A$47,E558&amp;" "&amp;C558))),AND(설정!$A$48&lt;&gt;"",ISNUMBER(SEARCH(설정!$A$48,E558&amp;" "&amp;C558))),AND(설정!$A$49&lt;&gt;"",ISNUMBER(SEARCH(설정!$A$49,E558&amp;" "&amp;C558))),AND(설정!$A$50&lt;&gt;"",ISNUMBER(SEARCH(설정!$A$50,E558&amp;" "&amp;C558))),AND(설정!$A$51&lt;&gt;"",ISNUMBER(SEARCH(설정!$A$51,E558&amp;" "&amp;C558))))</f>
        <v/>
      </c>
      <c r="S558">
        <f>OR(D558="",D558&gt;=설정!$B$19)</f>
        <v/>
      </c>
      <c r="T558">
        <f>AND(Q558,R558,S558)</f>
        <v/>
      </c>
      <c r="U558">
        <f>IF(T558,IF(AND(설정!$A$54&lt;&gt;"",ISNUMBER(SEARCH(설정!$A$54,K558))),설정!$B$54,IF(AND(설정!$A$55&lt;&gt;"",ISNUMBER(SEARCH(설정!$A$55,K558))),설정!$B$55,IF(AND(설정!$A$56&lt;&gt;"",ISNUMBER(SEARCH(설정!$A$56,K558))),설정!$B$56,IF(AND(설정!$A$57&lt;&gt;"",ISNUMBER(SEARCH(설정!$A$57,K558))),설정!$B$57,IF(AND(설정!$A$58&lt;&gt;"",ISNUMBER(SEARCH(설정!$A$58,K558))),설정!$B$58,IF(AND(설정!$A$59&lt;&gt;"",ISNUMBER(SEARCH(설정!$A$59,K558))),설정!$B$59,IF(AND(설정!$A$60&lt;&gt;"",ISNUMBER(SEARCH(설정!$A$60,K558))),설정!$B$60,IF(AND(설정!$A$61&lt;&gt;"",ISNUMBER(SEARCH(설정!$A$61,K558))),설정!$B$61,IF(M558="","설계사","시공사"))))))))),"")</f>
        <v/>
      </c>
      <c r="V558">
        <f>SUBSTITUTE(SUBSTITUTE(SUBSTITUTE(SUBSTITUTE(G558,"(주)",""),"㈜",""),"주식회사","")," ","")</f>
        <v/>
      </c>
      <c r="W558">
        <f>IF(AND(T558,V558&lt;&gt;""),IF(COUNTIFS(V$2:V558,V558,T$2:T558,TRUE)=1,MAX(W$1:W557)+1,""),"")</f>
        <v/>
      </c>
      <c r="X558">
        <f>IF(설정!$C$14="","",IFERROR(INDEX('1.산군_붙여넣기'!$A$1:$AZ$1001,ROW(),설정!$C$14)&amp;"",""))</f>
        <v/>
      </c>
      <c r="Y558">
        <f>IF(설정!$C$15="","",IFERROR(INDEX('1.산군_붙여넣기'!$A$1:$AZ$1001,ROW(),설정!$C$15)&amp;"",""))</f>
        <v/>
      </c>
      <c r="Z558">
        <f>IF(T558,V558&amp;"|"&amp;U558,"")</f>
        <v/>
      </c>
      <c r="AA558">
        <f>IF(NOT(Q558),"",IF(NOT(AND(R558,S558)),"✕",IF(OR(OR(AND(L558&lt;&gt;"",M558&lt;&gt;"",N(M558)-N(L558)&gt;설정!$B$27),AND(L558&lt;&gt;"",M558="",설정!$B$24-N(L558)&gt;설정!$B$27)),AND(D558&lt;&gt;"",D558&lt;설정!$B$26)),"△","★")))</f>
        <v/>
      </c>
      <c r="AB558">
        <f>IF(NOT(T558),"",IF(U558="설계사",설정!$B$31,IF(U558="시공사",IF(OR(M558="",설정!$B$24-N(M558)&lt;=설정!$B$28*30.4),설정!$B$32,설정!$B$33),설정!$B$34))+IF(AA558="★",설정!$B$35,0))</f>
        <v/>
      </c>
      <c r="AC558">
        <f>SUBSTITUTE(SUBSTITUTE(SUBSTITUTE(SUBSTITUTE(H558,"(주)",""),"㈜",""),"주식회사","")," ","")</f>
        <v/>
      </c>
      <c r="AD558">
        <f>IF(AND(T558,AC558&lt;&gt;""),IF(COUNTIFS(AC$2:AC558,AC558,T$2:T558,TRUE)=1,MAX(AD$1:AD557)+1,""),"")</f>
        <v/>
      </c>
    </row>
    <row r="559">
      <c r="A559">
        <f>ROW()</f>
        <v/>
      </c>
      <c r="B559">
        <f>IF(설정!$C$4="","",IFERROR(INDEX('1.산군_붙여넣기'!$A$1:$AZ$1001,ROW(),설정!$C$4)&amp;"",""))</f>
        <v/>
      </c>
      <c r="C559">
        <f>IF(설정!$C$5="","",IFERROR(INDEX('1.산군_붙여넣기'!$A$1:$AZ$1001,ROW(),설정!$C$5)&amp;"",""))</f>
        <v/>
      </c>
      <c r="D559" s="5">
        <f>IFERROR(VALUE(SUBSTITUTE(SUBSTITUTE(SUBSTITUTE(IF(설정!$C$6="","",IFERROR(INDEX('1.산군_붙여넣기'!$A$1:$AZ$1001,ROW(),설정!$C$6)&amp;"","")),",",""),"㎡",""),"m2","")),"")</f>
        <v/>
      </c>
      <c r="E559">
        <f>IF(설정!$C$7="","",IFERROR(INDEX('1.산군_붙여넣기'!$A$1:$AZ$1001,ROW(),설정!$C$7)&amp;"",""))</f>
        <v/>
      </c>
      <c r="F559">
        <f>IF(설정!$C$8="","",IFERROR(INDEX('1.산군_붙여넣기'!$A$1:$AZ$1001,ROW(),설정!$C$8)&amp;"",""))</f>
        <v/>
      </c>
      <c r="G559">
        <f>IF(설정!$C$9="","",IFERROR(INDEX('1.산군_붙여넣기'!$A$1:$AZ$1001,ROW(),설정!$C$9)&amp;"",""))</f>
        <v/>
      </c>
      <c r="H559">
        <f>IF(설정!$C$10="","",IFERROR(INDEX('1.산군_붙여넣기'!$A$1:$AZ$1001,ROW(),설정!$C$10)&amp;"",""))</f>
        <v/>
      </c>
      <c r="I559">
        <f>IF(설정!$C$11="","",IFERROR(INDEX('1.산군_붙여넣기'!$A$1:$AZ$1001,ROW(),설정!$C$11)&amp;"",""))</f>
        <v/>
      </c>
      <c r="J559">
        <f>IF(설정!$C$12="","",IFERROR(INDEX('1.산군_붙여넣기'!$A$1:$AZ$1001,ROW(),설정!$C$12)&amp;"",""))</f>
        <v/>
      </c>
      <c r="K559">
        <f>IF(설정!$C$13="","",IFERROR(INDEX('1.산군_붙여넣기'!$A$1:$AZ$1001,ROW(),설정!$C$13)&amp;"",""))</f>
        <v/>
      </c>
      <c r="L559" s="7">
        <f>IF(X559="","",IF(AND(LEN(X559)=8,ISNUMBER(X559*1)),DATE(LEFT(X559,4),MID(X559,5,2),RIGHT(X559,2)),IFERROR(DATEVALUE(SUBSTITUTE(SUBSTITUTE(X559,".","-"),"/","-")),IFERROR(X559*1,""))))</f>
        <v/>
      </c>
      <c r="M559" s="7">
        <f>IF(Y559="","",IF(AND(LEN(Y559)=8,ISNUMBER(Y559*1)),DATE(LEFT(Y559,4),MID(Y559,5,2),RIGHT(Y559,2)),IFERROR(DATEVALUE(SUBSTITUTE(SUBSTITUTE(Y559,".","-"),"/","-")),IFERROR(Y559*1,""))))</f>
        <v/>
      </c>
      <c r="N559">
        <f>IFERROR(LEFT(B559,FIND(" ",B559)-1),B559)</f>
        <v/>
      </c>
      <c r="O559">
        <f>AND(B559&lt;&gt;"",B559&lt;&gt;설정!$B$4,C559&lt;&gt;설정!$B$5)</f>
        <v/>
      </c>
      <c r="P559">
        <f>IF(O559,B559&amp;"|"&amp;C559,"")</f>
        <v/>
      </c>
      <c r="Q559">
        <f>AND(O559,COUNTIF(P560:P$1002,P559)=0)</f>
        <v/>
      </c>
      <c r="R559">
        <f>OR(AND(설정!$A$42&lt;&gt;"",ISNUMBER(SEARCH(설정!$A$42,E559&amp;" "&amp;C559))),AND(설정!$A$43&lt;&gt;"",ISNUMBER(SEARCH(설정!$A$43,E559&amp;" "&amp;C559))),AND(설정!$A$44&lt;&gt;"",ISNUMBER(SEARCH(설정!$A$44,E559&amp;" "&amp;C559))),AND(설정!$A$45&lt;&gt;"",ISNUMBER(SEARCH(설정!$A$45,E559&amp;" "&amp;C559))),AND(설정!$A$46&lt;&gt;"",ISNUMBER(SEARCH(설정!$A$46,E559&amp;" "&amp;C559))),AND(설정!$A$47&lt;&gt;"",ISNUMBER(SEARCH(설정!$A$47,E559&amp;" "&amp;C559))),AND(설정!$A$48&lt;&gt;"",ISNUMBER(SEARCH(설정!$A$48,E559&amp;" "&amp;C559))),AND(설정!$A$49&lt;&gt;"",ISNUMBER(SEARCH(설정!$A$49,E559&amp;" "&amp;C559))),AND(설정!$A$50&lt;&gt;"",ISNUMBER(SEARCH(설정!$A$50,E559&amp;" "&amp;C559))),AND(설정!$A$51&lt;&gt;"",ISNUMBER(SEARCH(설정!$A$51,E559&amp;" "&amp;C559))))</f>
        <v/>
      </c>
      <c r="S559">
        <f>OR(D559="",D559&gt;=설정!$B$19)</f>
        <v/>
      </c>
      <c r="T559">
        <f>AND(Q559,R559,S559)</f>
        <v/>
      </c>
      <c r="U559">
        <f>IF(T559,IF(AND(설정!$A$54&lt;&gt;"",ISNUMBER(SEARCH(설정!$A$54,K559))),설정!$B$54,IF(AND(설정!$A$55&lt;&gt;"",ISNUMBER(SEARCH(설정!$A$55,K559))),설정!$B$55,IF(AND(설정!$A$56&lt;&gt;"",ISNUMBER(SEARCH(설정!$A$56,K559))),설정!$B$56,IF(AND(설정!$A$57&lt;&gt;"",ISNUMBER(SEARCH(설정!$A$57,K559))),설정!$B$57,IF(AND(설정!$A$58&lt;&gt;"",ISNUMBER(SEARCH(설정!$A$58,K559))),설정!$B$58,IF(AND(설정!$A$59&lt;&gt;"",ISNUMBER(SEARCH(설정!$A$59,K559))),설정!$B$59,IF(AND(설정!$A$60&lt;&gt;"",ISNUMBER(SEARCH(설정!$A$60,K559))),설정!$B$60,IF(AND(설정!$A$61&lt;&gt;"",ISNUMBER(SEARCH(설정!$A$61,K559))),설정!$B$61,IF(M559="","설계사","시공사"))))))))),"")</f>
        <v/>
      </c>
      <c r="V559">
        <f>SUBSTITUTE(SUBSTITUTE(SUBSTITUTE(SUBSTITUTE(G559,"(주)",""),"㈜",""),"주식회사","")," ","")</f>
        <v/>
      </c>
      <c r="W559">
        <f>IF(AND(T559,V559&lt;&gt;""),IF(COUNTIFS(V$2:V559,V559,T$2:T559,TRUE)=1,MAX(W$1:W558)+1,""),"")</f>
        <v/>
      </c>
      <c r="X559">
        <f>IF(설정!$C$14="","",IFERROR(INDEX('1.산군_붙여넣기'!$A$1:$AZ$1001,ROW(),설정!$C$14)&amp;"",""))</f>
        <v/>
      </c>
      <c r="Y559">
        <f>IF(설정!$C$15="","",IFERROR(INDEX('1.산군_붙여넣기'!$A$1:$AZ$1001,ROW(),설정!$C$15)&amp;"",""))</f>
        <v/>
      </c>
      <c r="Z559">
        <f>IF(T559,V559&amp;"|"&amp;U559,"")</f>
        <v/>
      </c>
      <c r="AA559">
        <f>IF(NOT(Q559),"",IF(NOT(AND(R559,S559)),"✕",IF(OR(OR(AND(L559&lt;&gt;"",M559&lt;&gt;"",N(M559)-N(L559)&gt;설정!$B$27),AND(L559&lt;&gt;"",M559="",설정!$B$24-N(L559)&gt;설정!$B$27)),AND(D559&lt;&gt;"",D559&lt;설정!$B$26)),"△","★")))</f>
        <v/>
      </c>
      <c r="AB559">
        <f>IF(NOT(T559),"",IF(U559="설계사",설정!$B$31,IF(U559="시공사",IF(OR(M559="",설정!$B$24-N(M559)&lt;=설정!$B$28*30.4),설정!$B$32,설정!$B$33),설정!$B$34))+IF(AA559="★",설정!$B$35,0))</f>
        <v/>
      </c>
      <c r="AC559">
        <f>SUBSTITUTE(SUBSTITUTE(SUBSTITUTE(SUBSTITUTE(H559,"(주)",""),"㈜",""),"주식회사","")," ","")</f>
        <v/>
      </c>
      <c r="AD559">
        <f>IF(AND(T559,AC559&lt;&gt;""),IF(COUNTIFS(AC$2:AC559,AC559,T$2:T559,TRUE)=1,MAX(AD$1:AD558)+1,""),"")</f>
        <v/>
      </c>
    </row>
    <row r="560">
      <c r="A560">
        <f>ROW()</f>
        <v/>
      </c>
      <c r="B560">
        <f>IF(설정!$C$4="","",IFERROR(INDEX('1.산군_붙여넣기'!$A$1:$AZ$1001,ROW(),설정!$C$4)&amp;"",""))</f>
        <v/>
      </c>
      <c r="C560">
        <f>IF(설정!$C$5="","",IFERROR(INDEX('1.산군_붙여넣기'!$A$1:$AZ$1001,ROW(),설정!$C$5)&amp;"",""))</f>
        <v/>
      </c>
      <c r="D560" s="5">
        <f>IFERROR(VALUE(SUBSTITUTE(SUBSTITUTE(SUBSTITUTE(IF(설정!$C$6="","",IFERROR(INDEX('1.산군_붙여넣기'!$A$1:$AZ$1001,ROW(),설정!$C$6)&amp;"","")),",",""),"㎡",""),"m2","")),"")</f>
        <v/>
      </c>
      <c r="E560">
        <f>IF(설정!$C$7="","",IFERROR(INDEX('1.산군_붙여넣기'!$A$1:$AZ$1001,ROW(),설정!$C$7)&amp;"",""))</f>
        <v/>
      </c>
      <c r="F560">
        <f>IF(설정!$C$8="","",IFERROR(INDEX('1.산군_붙여넣기'!$A$1:$AZ$1001,ROW(),설정!$C$8)&amp;"",""))</f>
        <v/>
      </c>
      <c r="G560">
        <f>IF(설정!$C$9="","",IFERROR(INDEX('1.산군_붙여넣기'!$A$1:$AZ$1001,ROW(),설정!$C$9)&amp;"",""))</f>
        <v/>
      </c>
      <c r="H560">
        <f>IF(설정!$C$10="","",IFERROR(INDEX('1.산군_붙여넣기'!$A$1:$AZ$1001,ROW(),설정!$C$10)&amp;"",""))</f>
        <v/>
      </c>
      <c r="I560">
        <f>IF(설정!$C$11="","",IFERROR(INDEX('1.산군_붙여넣기'!$A$1:$AZ$1001,ROW(),설정!$C$11)&amp;"",""))</f>
        <v/>
      </c>
      <c r="J560">
        <f>IF(설정!$C$12="","",IFERROR(INDEX('1.산군_붙여넣기'!$A$1:$AZ$1001,ROW(),설정!$C$12)&amp;"",""))</f>
        <v/>
      </c>
      <c r="K560">
        <f>IF(설정!$C$13="","",IFERROR(INDEX('1.산군_붙여넣기'!$A$1:$AZ$1001,ROW(),설정!$C$13)&amp;"",""))</f>
        <v/>
      </c>
      <c r="L560" s="7">
        <f>IF(X560="","",IF(AND(LEN(X560)=8,ISNUMBER(X560*1)),DATE(LEFT(X560,4),MID(X560,5,2),RIGHT(X560,2)),IFERROR(DATEVALUE(SUBSTITUTE(SUBSTITUTE(X560,".","-"),"/","-")),IFERROR(X560*1,""))))</f>
        <v/>
      </c>
      <c r="M560" s="7">
        <f>IF(Y560="","",IF(AND(LEN(Y560)=8,ISNUMBER(Y560*1)),DATE(LEFT(Y560,4),MID(Y560,5,2),RIGHT(Y560,2)),IFERROR(DATEVALUE(SUBSTITUTE(SUBSTITUTE(Y560,".","-"),"/","-")),IFERROR(Y560*1,""))))</f>
        <v/>
      </c>
      <c r="N560">
        <f>IFERROR(LEFT(B560,FIND(" ",B560)-1),B560)</f>
        <v/>
      </c>
      <c r="O560">
        <f>AND(B560&lt;&gt;"",B560&lt;&gt;설정!$B$4,C560&lt;&gt;설정!$B$5)</f>
        <v/>
      </c>
      <c r="P560">
        <f>IF(O560,B560&amp;"|"&amp;C560,"")</f>
        <v/>
      </c>
      <c r="Q560">
        <f>AND(O560,COUNTIF(P561:P$1002,P560)=0)</f>
        <v/>
      </c>
      <c r="R560">
        <f>OR(AND(설정!$A$42&lt;&gt;"",ISNUMBER(SEARCH(설정!$A$42,E560&amp;" "&amp;C560))),AND(설정!$A$43&lt;&gt;"",ISNUMBER(SEARCH(설정!$A$43,E560&amp;" "&amp;C560))),AND(설정!$A$44&lt;&gt;"",ISNUMBER(SEARCH(설정!$A$44,E560&amp;" "&amp;C560))),AND(설정!$A$45&lt;&gt;"",ISNUMBER(SEARCH(설정!$A$45,E560&amp;" "&amp;C560))),AND(설정!$A$46&lt;&gt;"",ISNUMBER(SEARCH(설정!$A$46,E560&amp;" "&amp;C560))),AND(설정!$A$47&lt;&gt;"",ISNUMBER(SEARCH(설정!$A$47,E560&amp;" "&amp;C560))),AND(설정!$A$48&lt;&gt;"",ISNUMBER(SEARCH(설정!$A$48,E560&amp;" "&amp;C560))),AND(설정!$A$49&lt;&gt;"",ISNUMBER(SEARCH(설정!$A$49,E560&amp;" "&amp;C560))),AND(설정!$A$50&lt;&gt;"",ISNUMBER(SEARCH(설정!$A$50,E560&amp;" "&amp;C560))),AND(설정!$A$51&lt;&gt;"",ISNUMBER(SEARCH(설정!$A$51,E560&amp;" "&amp;C560))))</f>
        <v/>
      </c>
      <c r="S560">
        <f>OR(D560="",D560&gt;=설정!$B$19)</f>
        <v/>
      </c>
      <c r="T560">
        <f>AND(Q560,R560,S560)</f>
        <v/>
      </c>
      <c r="U560">
        <f>IF(T560,IF(AND(설정!$A$54&lt;&gt;"",ISNUMBER(SEARCH(설정!$A$54,K560))),설정!$B$54,IF(AND(설정!$A$55&lt;&gt;"",ISNUMBER(SEARCH(설정!$A$55,K560))),설정!$B$55,IF(AND(설정!$A$56&lt;&gt;"",ISNUMBER(SEARCH(설정!$A$56,K560))),설정!$B$56,IF(AND(설정!$A$57&lt;&gt;"",ISNUMBER(SEARCH(설정!$A$57,K560))),설정!$B$57,IF(AND(설정!$A$58&lt;&gt;"",ISNUMBER(SEARCH(설정!$A$58,K560))),설정!$B$58,IF(AND(설정!$A$59&lt;&gt;"",ISNUMBER(SEARCH(설정!$A$59,K560))),설정!$B$59,IF(AND(설정!$A$60&lt;&gt;"",ISNUMBER(SEARCH(설정!$A$60,K560))),설정!$B$60,IF(AND(설정!$A$61&lt;&gt;"",ISNUMBER(SEARCH(설정!$A$61,K560))),설정!$B$61,IF(M560="","설계사","시공사"))))))))),"")</f>
        <v/>
      </c>
      <c r="V560">
        <f>SUBSTITUTE(SUBSTITUTE(SUBSTITUTE(SUBSTITUTE(G560,"(주)",""),"㈜",""),"주식회사","")," ","")</f>
        <v/>
      </c>
      <c r="W560">
        <f>IF(AND(T560,V560&lt;&gt;""),IF(COUNTIFS(V$2:V560,V560,T$2:T560,TRUE)=1,MAX(W$1:W559)+1,""),"")</f>
        <v/>
      </c>
      <c r="X560">
        <f>IF(설정!$C$14="","",IFERROR(INDEX('1.산군_붙여넣기'!$A$1:$AZ$1001,ROW(),설정!$C$14)&amp;"",""))</f>
        <v/>
      </c>
      <c r="Y560">
        <f>IF(설정!$C$15="","",IFERROR(INDEX('1.산군_붙여넣기'!$A$1:$AZ$1001,ROW(),설정!$C$15)&amp;"",""))</f>
        <v/>
      </c>
      <c r="Z560">
        <f>IF(T560,V560&amp;"|"&amp;U560,"")</f>
        <v/>
      </c>
      <c r="AA560">
        <f>IF(NOT(Q560),"",IF(NOT(AND(R560,S560)),"✕",IF(OR(OR(AND(L560&lt;&gt;"",M560&lt;&gt;"",N(M560)-N(L560)&gt;설정!$B$27),AND(L560&lt;&gt;"",M560="",설정!$B$24-N(L560)&gt;설정!$B$27)),AND(D560&lt;&gt;"",D560&lt;설정!$B$26)),"△","★")))</f>
        <v/>
      </c>
      <c r="AB560">
        <f>IF(NOT(T560),"",IF(U560="설계사",설정!$B$31,IF(U560="시공사",IF(OR(M560="",설정!$B$24-N(M560)&lt;=설정!$B$28*30.4),설정!$B$32,설정!$B$33),설정!$B$34))+IF(AA560="★",설정!$B$35,0))</f>
        <v/>
      </c>
      <c r="AC560">
        <f>SUBSTITUTE(SUBSTITUTE(SUBSTITUTE(SUBSTITUTE(H560,"(주)",""),"㈜",""),"주식회사","")," ","")</f>
        <v/>
      </c>
      <c r="AD560">
        <f>IF(AND(T560,AC560&lt;&gt;""),IF(COUNTIFS(AC$2:AC560,AC560,T$2:T560,TRUE)=1,MAX(AD$1:AD559)+1,""),"")</f>
        <v/>
      </c>
    </row>
    <row r="561">
      <c r="A561">
        <f>ROW()</f>
        <v/>
      </c>
      <c r="B561">
        <f>IF(설정!$C$4="","",IFERROR(INDEX('1.산군_붙여넣기'!$A$1:$AZ$1001,ROW(),설정!$C$4)&amp;"",""))</f>
        <v/>
      </c>
      <c r="C561">
        <f>IF(설정!$C$5="","",IFERROR(INDEX('1.산군_붙여넣기'!$A$1:$AZ$1001,ROW(),설정!$C$5)&amp;"",""))</f>
        <v/>
      </c>
      <c r="D561" s="5">
        <f>IFERROR(VALUE(SUBSTITUTE(SUBSTITUTE(SUBSTITUTE(IF(설정!$C$6="","",IFERROR(INDEX('1.산군_붙여넣기'!$A$1:$AZ$1001,ROW(),설정!$C$6)&amp;"","")),",",""),"㎡",""),"m2","")),"")</f>
        <v/>
      </c>
      <c r="E561">
        <f>IF(설정!$C$7="","",IFERROR(INDEX('1.산군_붙여넣기'!$A$1:$AZ$1001,ROW(),설정!$C$7)&amp;"",""))</f>
        <v/>
      </c>
      <c r="F561">
        <f>IF(설정!$C$8="","",IFERROR(INDEX('1.산군_붙여넣기'!$A$1:$AZ$1001,ROW(),설정!$C$8)&amp;"",""))</f>
        <v/>
      </c>
      <c r="G561">
        <f>IF(설정!$C$9="","",IFERROR(INDEX('1.산군_붙여넣기'!$A$1:$AZ$1001,ROW(),설정!$C$9)&amp;"",""))</f>
        <v/>
      </c>
      <c r="H561">
        <f>IF(설정!$C$10="","",IFERROR(INDEX('1.산군_붙여넣기'!$A$1:$AZ$1001,ROW(),설정!$C$10)&amp;"",""))</f>
        <v/>
      </c>
      <c r="I561">
        <f>IF(설정!$C$11="","",IFERROR(INDEX('1.산군_붙여넣기'!$A$1:$AZ$1001,ROW(),설정!$C$11)&amp;"",""))</f>
        <v/>
      </c>
      <c r="J561">
        <f>IF(설정!$C$12="","",IFERROR(INDEX('1.산군_붙여넣기'!$A$1:$AZ$1001,ROW(),설정!$C$12)&amp;"",""))</f>
        <v/>
      </c>
      <c r="K561">
        <f>IF(설정!$C$13="","",IFERROR(INDEX('1.산군_붙여넣기'!$A$1:$AZ$1001,ROW(),설정!$C$13)&amp;"",""))</f>
        <v/>
      </c>
      <c r="L561" s="7">
        <f>IF(X561="","",IF(AND(LEN(X561)=8,ISNUMBER(X561*1)),DATE(LEFT(X561,4),MID(X561,5,2),RIGHT(X561,2)),IFERROR(DATEVALUE(SUBSTITUTE(SUBSTITUTE(X561,".","-"),"/","-")),IFERROR(X561*1,""))))</f>
        <v/>
      </c>
      <c r="M561" s="7">
        <f>IF(Y561="","",IF(AND(LEN(Y561)=8,ISNUMBER(Y561*1)),DATE(LEFT(Y561,4),MID(Y561,5,2),RIGHT(Y561,2)),IFERROR(DATEVALUE(SUBSTITUTE(SUBSTITUTE(Y561,".","-"),"/","-")),IFERROR(Y561*1,""))))</f>
        <v/>
      </c>
      <c r="N561">
        <f>IFERROR(LEFT(B561,FIND(" ",B561)-1),B561)</f>
        <v/>
      </c>
      <c r="O561">
        <f>AND(B561&lt;&gt;"",B561&lt;&gt;설정!$B$4,C561&lt;&gt;설정!$B$5)</f>
        <v/>
      </c>
      <c r="P561">
        <f>IF(O561,B561&amp;"|"&amp;C561,"")</f>
        <v/>
      </c>
      <c r="Q561">
        <f>AND(O561,COUNTIF(P562:P$1002,P561)=0)</f>
        <v/>
      </c>
      <c r="R561">
        <f>OR(AND(설정!$A$42&lt;&gt;"",ISNUMBER(SEARCH(설정!$A$42,E561&amp;" "&amp;C561))),AND(설정!$A$43&lt;&gt;"",ISNUMBER(SEARCH(설정!$A$43,E561&amp;" "&amp;C561))),AND(설정!$A$44&lt;&gt;"",ISNUMBER(SEARCH(설정!$A$44,E561&amp;" "&amp;C561))),AND(설정!$A$45&lt;&gt;"",ISNUMBER(SEARCH(설정!$A$45,E561&amp;" "&amp;C561))),AND(설정!$A$46&lt;&gt;"",ISNUMBER(SEARCH(설정!$A$46,E561&amp;" "&amp;C561))),AND(설정!$A$47&lt;&gt;"",ISNUMBER(SEARCH(설정!$A$47,E561&amp;" "&amp;C561))),AND(설정!$A$48&lt;&gt;"",ISNUMBER(SEARCH(설정!$A$48,E561&amp;" "&amp;C561))),AND(설정!$A$49&lt;&gt;"",ISNUMBER(SEARCH(설정!$A$49,E561&amp;" "&amp;C561))),AND(설정!$A$50&lt;&gt;"",ISNUMBER(SEARCH(설정!$A$50,E561&amp;" "&amp;C561))),AND(설정!$A$51&lt;&gt;"",ISNUMBER(SEARCH(설정!$A$51,E561&amp;" "&amp;C561))))</f>
        <v/>
      </c>
      <c r="S561">
        <f>OR(D561="",D561&gt;=설정!$B$19)</f>
        <v/>
      </c>
      <c r="T561">
        <f>AND(Q561,R561,S561)</f>
        <v/>
      </c>
      <c r="U561">
        <f>IF(T561,IF(AND(설정!$A$54&lt;&gt;"",ISNUMBER(SEARCH(설정!$A$54,K561))),설정!$B$54,IF(AND(설정!$A$55&lt;&gt;"",ISNUMBER(SEARCH(설정!$A$55,K561))),설정!$B$55,IF(AND(설정!$A$56&lt;&gt;"",ISNUMBER(SEARCH(설정!$A$56,K561))),설정!$B$56,IF(AND(설정!$A$57&lt;&gt;"",ISNUMBER(SEARCH(설정!$A$57,K561))),설정!$B$57,IF(AND(설정!$A$58&lt;&gt;"",ISNUMBER(SEARCH(설정!$A$58,K561))),설정!$B$58,IF(AND(설정!$A$59&lt;&gt;"",ISNUMBER(SEARCH(설정!$A$59,K561))),설정!$B$59,IF(AND(설정!$A$60&lt;&gt;"",ISNUMBER(SEARCH(설정!$A$60,K561))),설정!$B$60,IF(AND(설정!$A$61&lt;&gt;"",ISNUMBER(SEARCH(설정!$A$61,K561))),설정!$B$61,IF(M561="","설계사","시공사"))))))))),"")</f>
        <v/>
      </c>
      <c r="V561">
        <f>SUBSTITUTE(SUBSTITUTE(SUBSTITUTE(SUBSTITUTE(G561,"(주)",""),"㈜",""),"주식회사","")," ","")</f>
        <v/>
      </c>
      <c r="W561">
        <f>IF(AND(T561,V561&lt;&gt;""),IF(COUNTIFS(V$2:V561,V561,T$2:T561,TRUE)=1,MAX(W$1:W560)+1,""),"")</f>
        <v/>
      </c>
      <c r="X561">
        <f>IF(설정!$C$14="","",IFERROR(INDEX('1.산군_붙여넣기'!$A$1:$AZ$1001,ROW(),설정!$C$14)&amp;"",""))</f>
        <v/>
      </c>
      <c r="Y561">
        <f>IF(설정!$C$15="","",IFERROR(INDEX('1.산군_붙여넣기'!$A$1:$AZ$1001,ROW(),설정!$C$15)&amp;"",""))</f>
        <v/>
      </c>
      <c r="Z561">
        <f>IF(T561,V561&amp;"|"&amp;U561,"")</f>
        <v/>
      </c>
      <c r="AA561">
        <f>IF(NOT(Q561),"",IF(NOT(AND(R561,S561)),"✕",IF(OR(OR(AND(L561&lt;&gt;"",M561&lt;&gt;"",N(M561)-N(L561)&gt;설정!$B$27),AND(L561&lt;&gt;"",M561="",설정!$B$24-N(L561)&gt;설정!$B$27)),AND(D561&lt;&gt;"",D561&lt;설정!$B$26)),"△","★")))</f>
        <v/>
      </c>
      <c r="AB561">
        <f>IF(NOT(T561),"",IF(U561="설계사",설정!$B$31,IF(U561="시공사",IF(OR(M561="",설정!$B$24-N(M561)&lt;=설정!$B$28*30.4),설정!$B$32,설정!$B$33),설정!$B$34))+IF(AA561="★",설정!$B$35,0))</f>
        <v/>
      </c>
      <c r="AC561">
        <f>SUBSTITUTE(SUBSTITUTE(SUBSTITUTE(SUBSTITUTE(H561,"(주)",""),"㈜",""),"주식회사","")," ","")</f>
        <v/>
      </c>
      <c r="AD561">
        <f>IF(AND(T561,AC561&lt;&gt;""),IF(COUNTIFS(AC$2:AC561,AC561,T$2:T561,TRUE)=1,MAX(AD$1:AD560)+1,""),"")</f>
        <v/>
      </c>
    </row>
    <row r="562">
      <c r="A562">
        <f>ROW()</f>
        <v/>
      </c>
      <c r="B562">
        <f>IF(설정!$C$4="","",IFERROR(INDEX('1.산군_붙여넣기'!$A$1:$AZ$1001,ROW(),설정!$C$4)&amp;"",""))</f>
        <v/>
      </c>
      <c r="C562">
        <f>IF(설정!$C$5="","",IFERROR(INDEX('1.산군_붙여넣기'!$A$1:$AZ$1001,ROW(),설정!$C$5)&amp;"",""))</f>
        <v/>
      </c>
      <c r="D562" s="5">
        <f>IFERROR(VALUE(SUBSTITUTE(SUBSTITUTE(SUBSTITUTE(IF(설정!$C$6="","",IFERROR(INDEX('1.산군_붙여넣기'!$A$1:$AZ$1001,ROW(),설정!$C$6)&amp;"","")),",",""),"㎡",""),"m2","")),"")</f>
        <v/>
      </c>
      <c r="E562">
        <f>IF(설정!$C$7="","",IFERROR(INDEX('1.산군_붙여넣기'!$A$1:$AZ$1001,ROW(),설정!$C$7)&amp;"",""))</f>
        <v/>
      </c>
      <c r="F562">
        <f>IF(설정!$C$8="","",IFERROR(INDEX('1.산군_붙여넣기'!$A$1:$AZ$1001,ROW(),설정!$C$8)&amp;"",""))</f>
        <v/>
      </c>
      <c r="G562">
        <f>IF(설정!$C$9="","",IFERROR(INDEX('1.산군_붙여넣기'!$A$1:$AZ$1001,ROW(),설정!$C$9)&amp;"",""))</f>
        <v/>
      </c>
      <c r="H562">
        <f>IF(설정!$C$10="","",IFERROR(INDEX('1.산군_붙여넣기'!$A$1:$AZ$1001,ROW(),설정!$C$10)&amp;"",""))</f>
        <v/>
      </c>
      <c r="I562">
        <f>IF(설정!$C$11="","",IFERROR(INDEX('1.산군_붙여넣기'!$A$1:$AZ$1001,ROW(),설정!$C$11)&amp;"",""))</f>
        <v/>
      </c>
      <c r="J562">
        <f>IF(설정!$C$12="","",IFERROR(INDEX('1.산군_붙여넣기'!$A$1:$AZ$1001,ROW(),설정!$C$12)&amp;"",""))</f>
        <v/>
      </c>
      <c r="K562">
        <f>IF(설정!$C$13="","",IFERROR(INDEX('1.산군_붙여넣기'!$A$1:$AZ$1001,ROW(),설정!$C$13)&amp;"",""))</f>
        <v/>
      </c>
      <c r="L562" s="7">
        <f>IF(X562="","",IF(AND(LEN(X562)=8,ISNUMBER(X562*1)),DATE(LEFT(X562,4),MID(X562,5,2),RIGHT(X562,2)),IFERROR(DATEVALUE(SUBSTITUTE(SUBSTITUTE(X562,".","-"),"/","-")),IFERROR(X562*1,""))))</f>
        <v/>
      </c>
      <c r="M562" s="7">
        <f>IF(Y562="","",IF(AND(LEN(Y562)=8,ISNUMBER(Y562*1)),DATE(LEFT(Y562,4),MID(Y562,5,2),RIGHT(Y562,2)),IFERROR(DATEVALUE(SUBSTITUTE(SUBSTITUTE(Y562,".","-"),"/","-")),IFERROR(Y562*1,""))))</f>
        <v/>
      </c>
      <c r="N562">
        <f>IFERROR(LEFT(B562,FIND(" ",B562)-1),B562)</f>
        <v/>
      </c>
      <c r="O562">
        <f>AND(B562&lt;&gt;"",B562&lt;&gt;설정!$B$4,C562&lt;&gt;설정!$B$5)</f>
        <v/>
      </c>
      <c r="P562">
        <f>IF(O562,B562&amp;"|"&amp;C562,"")</f>
        <v/>
      </c>
      <c r="Q562">
        <f>AND(O562,COUNTIF(P563:P$1002,P562)=0)</f>
        <v/>
      </c>
      <c r="R562">
        <f>OR(AND(설정!$A$42&lt;&gt;"",ISNUMBER(SEARCH(설정!$A$42,E562&amp;" "&amp;C562))),AND(설정!$A$43&lt;&gt;"",ISNUMBER(SEARCH(설정!$A$43,E562&amp;" "&amp;C562))),AND(설정!$A$44&lt;&gt;"",ISNUMBER(SEARCH(설정!$A$44,E562&amp;" "&amp;C562))),AND(설정!$A$45&lt;&gt;"",ISNUMBER(SEARCH(설정!$A$45,E562&amp;" "&amp;C562))),AND(설정!$A$46&lt;&gt;"",ISNUMBER(SEARCH(설정!$A$46,E562&amp;" "&amp;C562))),AND(설정!$A$47&lt;&gt;"",ISNUMBER(SEARCH(설정!$A$47,E562&amp;" "&amp;C562))),AND(설정!$A$48&lt;&gt;"",ISNUMBER(SEARCH(설정!$A$48,E562&amp;" "&amp;C562))),AND(설정!$A$49&lt;&gt;"",ISNUMBER(SEARCH(설정!$A$49,E562&amp;" "&amp;C562))),AND(설정!$A$50&lt;&gt;"",ISNUMBER(SEARCH(설정!$A$50,E562&amp;" "&amp;C562))),AND(설정!$A$51&lt;&gt;"",ISNUMBER(SEARCH(설정!$A$51,E562&amp;" "&amp;C562))))</f>
        <v/>
      </c>
      <c r="S562">
        <f>OR(D562="",D562&gt;=설정!$B$19)</f>
        <v/>
      </c>
      <c r="T562">
        <f>AND(Q562,R562,S562)</f>
        <v/>
      </c>
      <c r="U562">
        <f>IF(T562,IF(AND(설정!$A$54&lt;&gt;"",ISNUMBER(SEARCH(설정!$A$54,K562))),설정!$B$54,IF(AND(설정!$A$55&lt;&gt;"",ISNUMBER(SEARCH(설정!$A$55,K562))),설정!$B$55,IF(AND(설정!$A$56&lt;&gt;"",ISNUMBER(SEARCH(설정!$A$56,K562))),설정!$B$56,IF(AND(설정!$A$57&lt;&gt;"",ISNUMBER(SEARCH(설정!$A$57,K562))),설정!$B$57,IF(AND(설정!$A$58&lt;&gt;"",ISNUMBER(SEARCH(설정!$A$58,K562))),설정!$B$58,IF(AND(설정!$A$59&lt;&gt;"",ISNUMBER(SEARCH(설정!$A$59,K562))),설정!$B$59,IF(AND(설정!$A$60&lt;&gt;"",ISNUMBER(SEARCH(설정!$A$60,K562))),설정!$B$60,IF(AND(설정!$A$61&lt;&gt;"",ISNUMBER(SEARCH(설정!$A$61,K562))),설정!$B$61,IF(M562="","설계사","시공사"))))))))),"")</f>
        <v/>
      </c>
      <c r="V562">
        <f>SUBSTITUTE(SUBSTITUTE(SUBSTITUTE(SUBSTITUTE(G562,"(주)",""),"㈜",""),"주식회사","")," ","")</f>
        <v/>
      </c>
      <c r="W562">
        <f>IF(AND(T562,V562&lt;&gt;""),IF(COUNTIFS(V$2:V562,V562,T$2:T562,TRUE)=1,MAX(W$1:W561)+1,""),"")</f>
        <v/>
      </c>
      <c r="X562">
        <f>IF(설정!$C$14="","",IFERROR(INDEX('1.산군_붙여넣기'!$A$1:$AZ$1001,ROW(),설정!$C$14)&amp;"",""))</f>
        <v/>
      </c>
      <c r="Y562">
        <f>IF(설정!$C$15="","",IFERROR(INDEX('1.산군_붙여넣기'!$A$1:$AZ$1001,ROW(),설정!$C$15)&amp;"",""))</f>
        <v/>
      </c>
      <c r="Z562">
        <f>IF(T562,V562&amp;"|"&amp;U562,"")</f>
        <v/>
      </c>
      <c r="AA562">
        <f>IF(NOT(Q562),"",IF(NOT(AND(R562,S562)),"✕",IF(OR(OR(AND(L562&lt;&gt;"",M562&lt;&gt;"",N(M562)-N(L562)&gt;설정!$B$27),AND(L562&lt;&gt;"",M562="",설정!$B$24-N(L562)&gt;설정!$B$27)),AND(D562&lt;&gt;"",D562&lt;설정!$B$26)),"△","★")))</f>
        <v/>
      </c>
      <c r="AB562">
        <f>IF(NOT(T562),"",IF(U562="설계사",설정!$B$31,IF(U562="시공사",IF(OR(M562="",설정!$B$24-N(M562)&lt;=설정!$B$28*30.4),설정!$B$32,설정!$B$33),설정!$B$34))+IF(AA562="★",설정!$B$35,0))</f>
        <v/>
      </c>
      <c r="AC562">
        <f>SUBSTITUTE(SUBSTITUTE(SUBSTITUTE(SUBSTITUTE(H562,"(주)",""),"㈜",""),"주식회사","")," ","")</f>
        <v/>
      </c>
      <c r="AD562">
        <f>IF(AND(T562,AC562&lt;&gt;""),IF(COUNTIFS(AC$2:AC562,AC562,T$2:T562,TRUE)=1,MAX(AD$1:AD561)+1,""),"")</f>
        <v/>
      </c>
    </row>
    <row r="563">
      <c r="A563">
        <f>ROW()</f>
        <v/>
      </c>
      <c r="B563">
        <f>IF(설정!$C$4="","",IFERROR(INDEX('1.산군_붙여넣기'!$A$1:$AZ$1001,ROW(),설정!$C$4)&amp;"",""))</f>
        <v/>
      </c>
      <c r="C563">
        <f>IF(설정!$C$5="","",IFERROR(INDEX('1.산군_붙여넣기'!$A$1:$AZ$1001,ROW(),설정!$C$5)&amp;"",""))</f>
        <v/>
      </c>
      <c r="D563" s="5">
        <f>IFERROR(VALUE(SUBSTITUTE(SUBSTITUTE(SUBSTITUTE(IF(설정!$C$6="","",IFERROR(INDEX('1.산군_붙여넣기'!$A$1:$AZ$1001,ROW(),설정!$C$6)&amp;"","")),",",""),"㎡",""),"m2","")),"")</f>
        <v/>
      </c>
      <c r="E563">
        <f>IF(설정!$C$7="","",IFERROR(INDEX('1.산군_붙여넣기'!$A$1:$AZ$1001,ROW(),설정!$C$7)&amp;"",""))</f>
        <v/>
      </c>
      <c r="F563">
        <f>IF(설정!$C$8="","",IFERROR(INDEX('1.산군_붙여넣기'!$A$1:$AZ$1001,ROW(),설정!$C$8)&amp;"",""))</f>
        <v/>
      </c>
      <c r="G563">
        <f>IF(설정!$C$9="","",IFERROR(INDEX('1.산군_붙여넣기'!$A$1:$AZ$1001,ROW(),설정!$C$9)&amp;"",""))</f>
        <v/>
      </c>
      <c r="H563">
        <f>IF(설정!$C$10="","",IFERROR(INDEX('1.산군_붙여넣기'!$A$1:$AZ$1001,ROW(),설정!$C$10)&amp;"",""))</f>
        <v/>
      </c>
      <c r="I563">
        <f>IF(설정!$C$11="","",IFERROR(INDEX('1.산군_붙여넣기'!$A$1:$AZ$1001,ROW(),설정!$C$11)&amp;"",""))</f>
        <v/>
      </c>
      <c r="J563">
        <f>IF(설정!$C$12="","",IFERROR(INDEX('1.산군_붙여넣기'!$A$1:$AZ$1001,ROW(),설정!$C$12)&amp;"",""))</f>
        <v/>
      </c>
      <c r="K563">
        <f>IF(설정!$C$13="","",IFERROR(INDEX('1.산군_붙여넣기'!$A$1:$AZ$1001,ROW(),설정!$C$13)&amp;"",""))</f>
        <v/>
      </c>
      <c r="L563" s="7">
        <f>IF(X563="","",IF(AND(LEN(X563)=8,ISNUMBER(X563*1)),DATE(LEFT(X563,4),MID(X563,5,2),RIGHT(X563,2)),IFERROR(DATEVALUE(SUBSTITUTE(SUBSTITUTE(X563,".","-"),"/","-")),IFERROR(X563*1,""))))</f>
        <v/>
      </c>
      <c r="M563" s="7">
        <f>IF(Y563="","",IF(AND(LEN(Y563)=8,ISNUMBER(Y563*1)),DATE(LEFT(Y563,4),MID(Y563,5,2),RIGHT(Y563,2)),IFERROR(DATEVALUE(SUBSTITUTE(SUBSTITUTE(Y563,".","-"),"/","-")),IFERROR(Y563*1,""))))</f>
        <v/>
      </c>
      <c r="N563">
        <f>IFERROR(LEFT(B563,FIND(" ",B563)-1),B563)</f>
        <v/>
      </c>
      <c r="O563">
        <f>AND(B563&lt;&gt;"",B563&lt;&gt;설정!$B$4,C563&lt;&gt;설정!$B$5)</f>
        <v/>
      </c>
      <c r="P563">
        <f>IF(O563,B563&amp;"|"&amp;C563,"")</f>
        <v/>
      </c>
      <c r="Q563">
        <f>AND(O563,COUNTIF(P564:P$1002,P563)=0)</f>
        <v/>
      </c>
      <c r="R563">
        <f>OR(AND(설정!$A$42&lt;&gt;"",ISNUMBER(SEARCH(설정!$A$42,E563&amp;" "&amp;C563))),AND(설정!$A$43&lt;&gt;"",ISNUMBER(SEARCH(설정!$A$43,E563&amp;" "&amp;C563))),AND(설정!$A$44&lt;&gt;"",ISNUMBER(SEARCH(설정!$A$44,E563&amp;" "&amp;C563))),AND(설정!$A$45&lt;&gt;"",ISNUMBER(SEARCH(설정!$A$45,E563&amp;" "&amp;C563))),AND(설정!$A$46&lt;&gt;"",ISNUMBER(SEARCH(설정!$A$46,E563&amp;" "&amp;C563))),AND(설정!$A$47&lt;&gt;"",ISNUMBER(SEARCH(설정!$A$47,E563&amp;" "&amp;C563))),AND(설정!$A$48&lt;&gt;"",ISNUMBER(SEARCH(설정!$A$48,E563&amp;" "&amp;C563))),AND(설정!$A$49&lt;&gt;"",ISNUMBER(SEARCH(설정!$A$49,E563&amp;" "&amp;C563))),AND(설정!$A$50&lt;&gt;"",ISNUMBER(SEARCH(설정!$A$50,E563&amp;" "&amp;C563))),AND(설정!$A$51&lt;&gt;"",ISNUMBER(SEARCH(설정!$A$51,E563&amp;" "&amp;C563))))</f>
        <v/>
      </c>
      <c r="S563">
        <f>OR(D563="",D563&gt;=설정!$B$19)</f>
        <v/>
      </c>
      <c r="T563">
        <f>AND(Q563,R563,S563)</f>
        <v/>
      </c>
      <c r="U563">
        <f>IF(T563,IF(AND(설정!$A$54&lt;&gt;"",ISNUMBER(SEARCH(설정!$A$54,K563))),설정!$B$54,IF(AND(설정!$A$55&lt;&gt;"",ISNUMBER(SEARCH(설정!$A$55,K563))),설정!$B$55,IF(AND(설정!$A$56&lt;&gt;"",ISNUMBER(SEARCH(설정!$A$56,K563))),설정!$B$56,IF(AND(설정!$A$57&lt;&gt;"",ISNUMBER(SEARCH(설정!$A$57,K563))),설정!$B$57,IF(AND(설정!$A$58&lt;&gt;"",ISNUMBER(SEARCH(설정!$A$58,K563))),설정!$B$58,IF(AND(설정!$A$59&lt;&gt;"",ISNUMBER(SEARCH(설정!$A$59,K563))),설정!$B$59,IF(AND(설정!$A$60&lt;&gt;"",ISNUMBER(SEARCH(설정!$A$60,K563))),설정!$B$60,IF(AND(설정!$A$61&lt;&gt;"",ISNUMBER(SEARCH(설정!$A$61,K563))),설정!$B$61,IF(M563="","설계사","시공사"))))))))),"")</f>
        <v/>
      </c>
      <c r="V563">
        <f>SUBSTITUTE(SUBSTITUTE(SUBSTITUTE(SUBSTITUTE(G563,"(주)",""),"㈜",""),"주식회사","")," ","")</f>
        <v/>
      </c>
      <c r="W563">
        <f>IF(AND(T563,V563&lt;&gt;""),IF(COUNTIFS(V$2:V563,V563,T$2:T563,TRUE)=1,MAX(W$1:W562)+1,""),"")</f>
        <v/>
      </c>
      <c r="X563">
        <f>IF(설정!$C$14="","",IFERROR(INDEX('1.산군_붙여넣기'!$A$1:$AZ$1001,ROW(),설정!$C$14)&amp;"",""))</f>
        <v/>
      </c>
      <c r="Y563">
        <f>IF(설정!$C$15="","",IFERROR(INDEX('1.산군_붙여넣기'!$A$1:$AZ$1001,ROW(),설정!$C$15)&amp;"",""))</f>
        <v/>
      </c>
      <c r="Z563">
        <f>IF(T563,V563&amp;"|"&amp;U563,"")</f>
        <v/>
      </c>
      <c r="AA563">
        <f>IF(NOT(Q563),"",IF(NOT(AND(R563,S563)),"✕",IF(OR(OR(AND(L563&lt;&gt;"",M563&lt;&gt;"",N(M563)-N(L563)&gt;설정!$B$27),AND(L563&lt;&gt;"",M563="",설정!$B$24-N(L563)&gt;설정!$B$27)),AND(D563&lt;&gt;"",D563&lt;설정!$B$26)),"△","★")))</f>
        <v/>
      </c>
      <c r="AB563">
        <f>IF(NOT(T563),"",IF(U563="설계사",설정!$B$31,IF(U563="시공사",IF(OR(M563="",설정!$B$24-N(M563)&lt;=설정!$B$28*30.4),설정!$B$32,설정!$B$33),설정!$B$34))+IF(AA563="★",설정!$B$35,0))</f>
        <v/>
      </c>
      <c r="AC563">
        <f>SUBSTITUTE(SUBSTITUTE(SUBSTITUTE(SUBSTITUTE(H563,"(주)",""),"㈜",""),"주식회사","")," ","")</f>
        <v/>
      </c>
      <c r="AD563">
        <f>IF(AND(T563,AC563&lt;&gt;""),IF(COUNTIFS(AC$2:AC563,AC563,T$2:T563,TRUE)=1,MAX(AD$1:AD562)+1,""),"")</f>
        <v/>
      </c>
    </row>
    <row r="564">
      <c r="A564">
        <f>ROW()</f>
        <v/>
      </c>
      <c r="B564">
        <f>IF(설정!$C$4="","",IFERROR(INDEX('1.산군_붙여넣기'!$A$1:$AZ$1001,ROW(),설정!$C$4)&amp;"",""))</f>
        <v/>
      </c>
      <c r="C564">
        <f>IF(설정!$C$5="","",IFERROR(INDEX('1.산군_붙여넣기'!$A$1:$AZ$1001,ROW(),설정!$C$5)&amp;"",""))</f>
        <v/>
      </c>
      <c r="D564" s="5">
        <f>IFERROR(VALUE(SUBSTITUTE(SUBSTITUTE(SUBSTITUTE(IF(설정!$C$6="","",IFERROR(INDEX('1.산군_붙여넣기'!$A$1:$AZ$1001,ROW(),설정!$C$6)&amp;"","")),",",""),"㎡",""),"m2","")),"")</f>
        <v/>
      </c>
      <c r="E564">
        <f>IF(설정!$C$7="","",IFERROR(INDEX('1.산군_붙여넣기'!$A$1:$AZ$1001,ROW(),설정!$C$7)&amp;"",""))</f>
        <v/>
      </c>
      <c r="F564">
        <f>IF(설정!$C$8="","",IFERROR(INDEX('1.산군_붙여넣기'!$A$1:$AZ$1001,ROW(),설정!$C$8)&amp;"",""))</f>
        <v/>
      </c>
      <c r="G564">
        <f>IF(설정!$C$9="","",IFERROR(INDEX('1.산군_붙여넣기'!$A$1:$AZ$1001,ROW(),설정!$C$9)&amp;"",""))</f>
        <v/>
      </c>
      <c r="H564">
        <f>IF(설정!$C$10="","",IFERROR(INDEX('1.산군_붙여넣기'!$A$1:$AZ$1001,ROW(),설정!$C$10)&amp;"",""))</f>
        <v/>
      </c>
      <c r="I564">
        <f>IF(설정!$C$11="","",IFERROR(INDEX('1.산군_붙여넣기'!$A$1:$AZ$1001,ROW(),설정!$C$11)&amp;"",""))</f>
        <v/>
      </c>
      <c r="J564">
        <f>IF(설정!$C$12="","",IFERROR(INDEX('1.산군_붙여넣기'!$A$1:$AZ$1001,ROW(),설정!$C$12)&amp;"",""))</f>
        <v/>
      </c>
      <c r="K564">
        <f>IF(설정!$C$13="","",IFERROR(INDEX('1.산군_붙여넣기'!$A$1:$AZ$1001,ROW(),설정!$C$13)&amp;"",""))</f>
        <v/>
      </c>
      <c r="L564" s="7">
        <f>IF(X564="","",IF(AND(LEN(X564)=8,ISNUMBER(X564*1)),DATE(LEFT(X564,4),MID(X564,5,2),RIGHT(X564,2)),IFERROR(DATEVALUE(SUBSTITUTE(SUBSTITUTE(X564,".","-"),"/","-")),IFERROR(X564*1,""))))</f>
        <v/>
      </c>
      <c r="M564" s="7">
        <f>IF(Y564="","",IF(AND(LEN(Y564)=8,ISNUMBER(Y564*1)),DATE(LEFT(Y564,4),MID(Y564,5,2),RIGHT(Y564,2)),IFERROR(DATEVALUE(SUBSTITUTE(SUBSTITUTE(Y564,".","-"),"/","-")),IFERROR(Y564*1,""))))</f>
        <v/>
      </c>
      <c r="N564">
        <f>IFERROR(LEFT(B564,FIND(" ",B564)-1),B564)</f>
        <v/>
      </c>
      <c r="O564">
        <f>AND(B564&lt;&gt;"",B564&lt;&gt;설정!$B$4,C564&lt;&gt;설정!$B$5)</f>
        <v/>
      </c>
      <c r="P564">
        <f>IF(O564,B564&amp;"|"&amp;C564,"")</f>
        <v/>
      </c>
      <c r="Q564">
        <f>AND(O564,COUNTIF(P565:P$1002,P564)=0)</f>
        <v/>
      </c>
      <c r="R564">
        <f>OR(AND(설정!$A$42&lt;&gt;"",ISNUMBER(SEARCH(설정!$A$42,E564&amp;" "&amp;C564))),AND(설정!$A$43&lt;&gt;"",ISNUMBER(SEARCH(설정!$A$43,E564&amp;" "&amp;C564))),AND(설정!$A$44&lt;&gt;"",ISNUMBER(SEARCH(설정!$A$44,E564&amp;" "&amp;C564))),AND(설정!$A$45&lt;&gt;"",ISNUMBER(SEARCH(설정!$A$45,E564&amp;" "&amp;C564))),AND(설정!$A$46&lt;&gt;"",ISNUMBER(SEARCH(설정!$A$46,E564&amp;" "&amp;C564))),AND(설정!$A$47&lt;&gt;"",ISNUMBER(SEARCH(설정!$A$47,E564&amp;" "&amp;C564))),AND(설정!$A$48&lt;&gt;"",ISNUMBER(SEARCH(설정!$A$48,E564&amp;" "&amp;C564))),AND(설정!$A$49&lt;&gt;"",ISNUMBER(SEARCH(설정!$A$49,E564&amp;" "&amp;C564))),AND(설정!$A$50&lt;&gt;"",ISNUMBER(SEARCH(설정!$A$50,E564&amp;" "&amp;C564))),AND(설정!$A$51&lt;&gt;"",ISNUMBER(SEARCH(설정!$A$51,E564&amp;" "&amp;C564))))</f>
        <v/>
      </c>
      <c r="S564">
        <f>OR(D564="",D564&gt;=설정!$B$19)</f>
        <v/>
      </c>
      <c r="T564">
        <f>AND(Q564,R564,S564)</f>
        <v/>
      </c>
      <c r="U564">
        <f>IF(T564,IF(AND(설정!$A$54&lt;&gt;"",ISNUMBER(SEARCH(설정!$A$54,K564))),설정!$B$54,IF(AND(설정!$A$55&lt;&gt;"",ISNUMBER(SEARCH(설정!$A$55,K564))),설정!$B$55,IF(AND(설정!$A$56&lt;&gt;"",ISNUMBER(SEARCH(설정!$A$56,K564))),설정!$B$56,IF(AND(설정!$A$57&lt;&gt;"",ISNUMBER(SEARCH(설정!$A$57,K564))),설정!$B$57,IF(AND(설정!$A$58&lt;&gt;"",ISNUMBER(SEARCH(설정!$A$58,K564))),설정!$B$58,IF(AND(설정!$A$59&lt;&gt;"",ISNUMBER(SEARCH(설정!$A$59,K564))),설정!$B$59,IF(AND(설정!$A$60&lt;&gt;"",ISNUMBER(SEARCH(설정!$A$60,K564))),설정!$B$60,IF(AND(설정!$A$61&lt;&gt;"",ISNUMBER(SEARCH(설정!$A$61,K564))),설정!$B$61,IF(M564="","설계사","시공사"))))))))),"")</f>
        <v/>
      </c>
      <c r="V564">
        <f>SUBSTITUTE(SUBSTITUTE(SUBSTITUTE(SUBSTITUTE(G564,"(주)",""),"㈜",""),"주식회사","")," ","")</f>
        <v/>
      </c>
      <c r="W564">
        <f>IF(AND(T564,V564&lt;&gt;""),IF(COUNTIFS(V$2:V564,V564,T$2:T564,TRUE)=1,MAX(W$1:W563)+1,""),"")</f>
        <v/>
      </c>
      <c r="X564">
        <f>IF(설정!$C$14="","",IFERROR(INDEX('1.산군_붙여넣기'!$A$1:$AZ$1001,ROW(),설정!$C$14)&amp;"",""))</f>
        <v/>
      </c>
      <c r="Y564">
        <f>IF(설정!$C$15="","",IFERROR(INDEX('1.산군_붙여넣기'!$A$1:$AZ$1001,ROW(),설정!$C$15)&amp;"",""))</f>
        <v/>
      </c>
      <c r="Z564">
        <f>IF(T564,V564&amp;"|"&amp;U564,"")</f>
        <v/>
      </c>
      <c r="AA564">
        <f>IF(NOT(Q564),"",IF(NOT(AND(R564,S564)),"✕",IF(OR(OR(AND(L564&lt;&gt;"",M564&lt;&gt;"",N(M564)-N(L564)&gt;설정!$B$27),AND(L564&lt;&gt;"",M564="",설정!$B$24-N(L564)&gt;설정!$B$27)),AND(D564&lt;&gt;"",D564&lt;설정!$B$26)),"△","★")))</f>
        <v/>
      </c>
      <c r="AB564">
        <f>IF(NOT(T564),"",IF(U564="설계사",설정!$B$31,IF(U564="시공사",IF(OR(M564="",설정!$B$24-N(M564)&lt;=설정!$B$28*30.4),설정!$B$32,설정!$B$33),설정!$B$34))+IF(AA564="★",설정!$B$35,0))</f>
        <v/>
      </c>
      <c r="AC564">
        <f>SUBSTITUTE(SUBSTITUTE(SUBSTITUTE(SUBSTITUTE(H564,"(주)",""),"㈜",""),"주식회사","")," ","")</f>
        <v/>
      </c>
      <c r="AD564">
        <f>IF(AND(T564,AC564&lt;&gt;""),IF(COUNTIFS(AC$2:AC564,AC564,T$2:T564,TRUE)=1,MAX(AD$1:AD563)+1,""),"")</f>
        <v/>
      </c>
    </row>
    <row r="565">
      <c r="A565">
        <f>ROW()</f>
        <v/>
      </c>
      <c r="B565">
        <f>IF(설정!$C$4="","",IFERROR(INDEX('1.산군_붙여넣기'!$A$1:$AZ$1001,ROW(),설정!$C$4)&amp;"",""))</f>
        <v/>
      </c>
      <c r="C565">
        <f>IF(설정!$C$5="","",IFERROR(INDEX('1.산군_붙여넣기'!$A$1:$AZ$1001,ROW(),설정!$C$5)&amp;"",""))</f>
        <v/>
      </c>
      <c r="D565" s="5">
        <f>IFERROR(VALUE(SUBSTITUTE(SUBSTITUTE(SUBSTITUTE(IF(설정!$C$6="","",IFERROR(INDEX('1.산군_붙여넣기'!$A$1:$AZ$1001,ROW(),설정!$C$6)&amp;"","")),",",""),"㎡",""),"m2","")),"")</f>
        <v/>
      </c>
      <c r="E565">
        <f>IF(설정!$C$7="","",IFERROR(INDEX('1.산군_붙여넣기'!$A$1:$AZ$1001,ROW(),설정!$C$7)&amp;"",""))</f>
        <v/>
      </c>
      <c r="F565">
        <f>IF(설정!$C$8="","",IFERROR(INDEX('1.산군_붙여넣기'!$A$1:$AZ$1001,ROW(),설정!$C$8)&amp;"",""))</f>
        <v/>
      </c>
      <c r="G565">
        <f>IF(설정!$C$9="","",IFERROR(INDEX('1.산군_붙여넣기'!$A$1:$AZ$1001,ROW(),설정!$C$9)&amp;"",""))</f>
        <v/>
      </c>
      <c r="H565">
        <f>IF(설정!$C$10="","",IFERROR(INDEX('1.산군_붙여넣기'!$A$1:$AZ$1001,ROW(),설정!$C$10)&amp;"",""))</f>
        <v/>
      </c>
      <c r="I565">
        <f>IF(설정!$C$11="","",IFERROR(INDEX('1.산군_붙여넣기'!$A$1:$AZ$1001,ROW(),설정!$C$11)&amp;"",""))</f>
        <v/>
      </c>
      <c r="J565">
        <f>IF(설정!$C$12="","",IFERROR(INDEX('1.산군_붙여넣기'!$A$1:$AZ$1001,ROW(),설정!$C$12)&amp;"",""))</f>
        <v/>
      </c>
      <c r="K565">
        <f>IF(설정!$C$13="","",IFERROR(INDEX('1.산군_붙여넣기'!$A$1:$AZ$1001,ROW(),설정!$C$13)&amp;"",""))</f>
        <v/>
      </c>
      <c r="L565" s="7">
        <f>IF(X565="","",IF(AND(LEN(X565)=8,ISNUMBER(X565*1)),DATE(LEFT(X565,4),MID(X565,5,2),RIGHT(X565,2)),IFERROR(DATEVALUE(SUBSTITUTE(SUBSTITUTE(X565,".","-"),"/","-")),IFERROR(X565*1,""))))</f>
        <v/>
      </c>
      <c r="M565" s="7">
        <f>IF(Y565="","",IF(AND(LEN(Y565)=8,ISNUMBER(Y565*1)),DATE(LEFT(Y565,4),MID(Y565,5,2),RIGHT(Y565,2)),IFERROR(DATEVALUE(SUBSTITUTE(SUBSTITUTE(Y565,".","-"),"/","-")),IFERROR(Y565*1,""))))</f>
        <v/>
      </c>
      <c r="N565">
        <f>IFERROR(LEFT(B565,FIND(" ",B565)-1),B565)</f>
        <v/>
      </c>
      <c r="O565">
        <f>AND(B565&lt;&gt;"",B565&lt;&gt;설정!$B$4,C565&lt;&gt;설정!$B$5)</f>
        <v/>
      </c>
      <c r="P565">
        <f>IF(O565,B565&amp;"|"&amp;C565,"")</f>
        <v/>
      </c>
      <c r="Q565">
        <f>AND(O565,COUNTIF(P566:P$1002,P565)=0)</f>
        <v/>
      </c>
      <c r="R565">
        <f>OR(AND(설정!$A$42&lt;&gt;"",ISNUMBER(SEARCH(설정!$A$42,E565&amp;" "&amp;C565))),AND(설정!$A$43&lt;&gt;"",ISNUMBER(SEARCH(설정!$A$43,E565&amp;" "&amp;C565))),AND(설정!$A$44&lt;&gt;"",ISNUMBER(SEARCH(설정!$A$44,E565&amp;" "&amp;C565))),AND(설정!$A$45&lt;&gt;"",ISNUMBER(SEARCH(설정!$A$45,E565&amp;" "&amp;C565))),AND(설정!$A$46&lt;&gt;"",ISNUMBER(SEARCH(설정!$A$46,E565&amp;" "&amp;C565))),AND(설정!$A$47&lt;&gt;"",ISNUMBER(SEARCH(설정!$A$47,E565&amp;" "&amp;C565))),AND(설정!$A$48&lt;&gt;"",ISNUMBER(SEARCH(설정!$A$48,E565&amp;" "&amp;C565))),AND(설정!$A$49&lt;&gt;"",ISNUMBER(SEARCH(설정!$A$49,E565&amp;" "&amp;C565))),AND(설정!$A$50&lt;&gt;"",ISNUMBER(SEARCH(설정!$A$50,E565&amp;" "&amp;C565))),AND(설정!$A$51&lt;&gt;"",ISNUMBER(SEARCH(설정!$A$51,E565&amp;" "&amp;C565))))</f>
        <v/>
      </c>
      <c r="S565">
        <f>OR(D565="",D565&gt;=설정!$B$19)</f>
        <v/>
      </c>
      <c r="T565">
        <f>AND(Q565,R565,S565)</f>
        <v/>
      </c>
      <c r="U565">
        <f>IF(T565,IF(AND(설정!$A$54&lt;&gt;"",ISNUMBER(SEARCH(설정!$A$54,K565))),설정!$B$54,IF(AND(설정!$A$55&lt;&gt;"",ISNUMBER(SEARCH(설정!$A$55,K565))),설정!$B$55,IF(AND(설정!$A$56&lt;&gt;"",ISNUMBER(SEARCH(설정!$A$56,K565))),설정!$B$56,IF(AND(설정!$A$57&lt;&gt;"",ISNUMBER(SEARCH(설정!$A$57,K565))),설정!$B$57,IF(AND(설정!$A$58&lt;&gt;"",ISNUMBER(SEARCH(설정!$A$58,K565))),설정!$B$58,IF(AND(설정!$A$59&lt;&gt;"",ISNUMBER(SEARCH(설정!$A$59,K565))),설정!$B$59,IF(AND(설정!$A$60&lt;&gt;"",ISNUMBER(SEARCH(설정!$A$60,K565))),설정!$B$60,IF(AND(설정!$A$61&lt;&gt;"",ISNUMBER(SEARCH(설정!$A$61,K565))),설정!$B$61,IF(M565="","설계사","시공사"))))))))),"")</f>
        <v/>
      </c>
      <c r="V565">
        <f>SUBSTITUTE(SUBSTITUTE(SUBSTITUTE(SUBSTITUTE(G565,"(주)",""),"㈜",""),"주식회사","")," ","")</f>
        <v/>
      </c>
      <c r="W565">
        <f>IF(AND(T565,V565&lt;&gt;""),IF(COUNTIFS(V$2:V565,V565,T$2:T565,TRUE)=1,MAX(W$1:W564)+1,""),"")</f>
        <v/>
      </c>
      <c r="X565">
        <f>IF(설정!$C$14="","",IFERROR(INDEX('1.산군_붙여넣기'!$A$1:$AZ$1001,ROW(),설정!$C$14)&amp;"",""))</f>
        <v/>
      </c>
      <c r="Y565">
        <f>IF(설정!$C$15="","",IFERROR(INDEX('1.산군_붙여넣기'!$A$1:$AZ$1001,ROW(),설정!$C$15)&amp;"",""))</f>
        <v/>
      </c>
      <c r="Z565">
        <f>IF(T565,V565&amp;"|"&amp;U565,"")</f>
        <v/>
      </c>
      <c r="AA565">
        <f>IF(NOT(Q565),"",IF(NOT(AND(R565,S565)),"✕",IF(OR(OR(AND(L565&lt;&gt;"",M565&lt;&gt;"",N(M565)-N(L565)&gt;설정!$B$27),AND(L565&lt;&gt;"",M565="",설정!$B$24-N(L565)&gt;설정!$B$27)),AND(D565&lt;&gt;"",D565&lt;설정!$B$26)),"△","★")))</f>
        <v/>
      </c>
      <c r="AB565">
        <f>IF(NOT(T565),"",IF(U565="설계사",설정!$B$31,IF(U565="시공사",IF(OR(M565="",설정!$B$24-N(M565)&lt;=설정!$B$28*30.4),설정!$B$32,설정!$B$33),설정!$B$34))+IF(AA565="★",설정!$B$35,0))</f>
        <v/>
      </c>
      <c r="AC565">
        <f>SUBSTITUTE(SUBSTITUTE(SUBSTITUTE(SUBSTITUTE(H565,"(주)",""),"㈜",""),"주식회사","")," ","")</f>
        <v/>
      </c>
      <c r="AD565">
        <f>IF(AND(T565,AC565&lt;&gt;""),IF(COUNTIFS(AC$2:AC565,AC565,T$2:T565,TRUE)=1,MAX(AD$1:AD564)+1,""),"")</f>
        <v/>
      </c>
    </row>
    <row r="566">
      <c r="A566">
        <f>ROW()</f>
        <v/>
      </c>
      <c r="B566">
        <f>IF(설정!$C$4="","",IFERROR(INDEX('1.산군_붙여넣기'!$A$1:$AZ$1001,ROW(),설정!$C$4)&amp;"",""))</f>
        <v/>
      </c>
      <c r="C566">
        <f>IF(설정!$C$5="","",IFERROR(INDEX('1.산군_붙여넣기'!$A$1:$AZ$1001,ROW(),설정!$C$5)&amp;"",""))</f>
        <v/>
      </c>
      <c r="D566" s="5">
        <f>IFERROR(VALUE(SUBSTITUTE(SUBSTITUTE(SUBSTITUTE(IF(설정!$C$6="","",IFERROR(INDEX('1.산군_붙여넣기'!$A$1:$AZ$1001,ROW(),설정!$C$6)&amp;"","")),",",""),"㎡",""),"m2","")),"")</f>
        <v/>
      </c>
      <c r="E566">
        <f>IF(설정!$C$7="","",IFERROR(INDEX('1.산군_붙여넣기'!$A$1:$AZ$1001,ROW(),설정!$C$7)&amp;"",""))</f>
        <v/>
      </c>
      <c r="F566">
        <f>IF(설정!$C$8="","",IFERROR(INDEX('1.산군_붙여넣기'!$A$1:$AZ$1001,ROW(),설정!$C$8)&amp;"",""))</f>
        <v/>
      </c>
      <c r="G566">
        <f>IF(설정!$C$9="","",IFERROR(INDEX('1.산군_붙여넣기'!$A$1:$AZ$1001,ROW(),설정!$C$9)&amp;"",""))</f>
        <v/>
      </c>
      <c r="H566">
        <f>IF(설정!$C$10="","",IFERROR(INDEX('1.산군_붙여넣기'!$A$1:$AZ$1001,ROW(),설정!$C$10)&amp;"",""))</f>
        <v/>
      </c>
      <c r="I566">
        <f>IF(설정!$C$11="","",IFERROR(INDEX('1.산군_붙여넣기'!$A$1:$AZ$1001,ROW(),설정!$C$11)&amp;"",""))</f>
        <v/>
      </c>
      <c r="J566">
        <f>IF(설정!$C$12="","",IFERROR(INDEX('1.산군_붙여넣기'!$A$1:$AZ$1001,ROW(),설정!$C$12)&amp;"",""))</f>
        <v/>
      </c>
      <c r="K566">
        <f>IF(설정!$C$13="","",IFERROR(INDEX('1.산군_붙여넣기'!$A$1:$AZ$1001,ROW(),설정!$C$13)&amp;"",""))</f>
        <v/>
      </c>
      <c r="L566" s="7">
        <f>IF(X566="","",IF(AND(LEN(X566)=8,ISNUMBER(X566*1)),DATE(LEFT(X566,4),MID(X566,5,2),RIGHT(X566,2)),IFERROR(DATEVALUE(SUBSTITUTE(SUBSTITUTE(X566,".","-"),"/","-")),IFERROR(X566*1,""))))</f>
        <v/>
      </c>
      <c r="M566" s="7">
        <f>IF(Y566="","",IF(AND(LEN(Y566)=8,ISNUMBER(Y566*1)),DATE(LEFT(Y566,4),MID(Y566,5,2),RIGHT(Y566,2)),IFERROR(DATEVALUE(SUBSTITUTE(SUBSTITUTE(Y566,".","-"),"/","-")),IFERROR(Y566*1,""))))</f>
        <v/>
      </c>
      <c r="N566">
        <f>IFERROR(LEFT(B566,FIND(" ",B566)-1),B566)</f>
        <v/>
      </c>
      <c r="O566">
        <f>AND(B566&lt;&gt;"",B566&lt;&gt;설정!$B$4,C566&lt;&gt;설정!$B$5)</f>
        <v/>
      </c>
      <c r="P566">
        <f>IF(O566,B566&amp;"|"&amp;C566,"")</f>
        <v/>
      </c>
      <c r="Q566">
        <f>AND(O566,COUNTIF(P567:P$1002,P566)=0)</f>
        <v/>
      </c>
      <c r="R566">
        <f>OR(AND(설정!$A$42&lt;&gt;"",ISNUMBER(SEARCH(설정!$A$42,E566&amp;" "&amp;C566))),AND(설정!$A$43&lt;&gt;"",ISNUMBER(SEARCH(설정!$A$43,E566&amp;" "&amp;C566))),AND(설정!$A$44&lt;&gt;"",ISNUMBER(SEARCH(설정!$A$44,E566&amp;" "&amp;C566))),AND(설정!$A$45&lt;&gt;"",ISNUMBER(SEARCH(설정!$A$45,E566&amp;" "&amp;C566))),AND(설정!$A$46&lt;&gt;"",ISNUMBER(SEARCH(설정!$A$46,E566&amp;" "&amp;C566))),AND(설정!$A$47&lt;&gt;"",ISNUMBER(SEARCH(설정!$A$47,E566&amp;" "&amp;C566))),AND(설정!$A$48&lt;&gt;"",ISNUMBER(SEARCH(설정!$A$48,E566&amp;" "&amp;C566))),AND(설정!$A$49&lt;&gt;"",ISNUMBER(SEARCH(설정!$A$49,E566&amp;" "&amp;C566))),AND(설정!$A$50&lt;&gt;"",ISNUMBER(SEARCH(설정!$A$50,E566&amp;" "&amp;C566))),AND(설정!$A$51&lt;&gt;"",ISNUMBER(SEARCH(설정!$A$51,E566&amp;" "&amp;C566))))</f>
        <v/>
      </c>
      <c r="S566">
        <f>OR(D566="",D566&gt;=설정!$B$19)</f>
        <v/>
      </c>
      <c r="T566">
        <f>AND(Q566,R566,S566)</f>
        <v/>
      </c>
      <c r="U566">
        <f>IF(T566,IF(AND(설정!$A$54&lt;&gt;"",ISNUMBER(SEARCH(설정!$A$54,K566))),설정!$B$54,IF(AND(설정!$A$55&lt;&gt;"",ISNUMBER(SEARCH(설정!$A$55,K566))),설정!$B$55,IF(AND(설정!$A$56&lt;&gt;"",ISNUMBER(SEARCH(설정!$A$56,K566))),설정!$B$56,IF(AND(설정!$A$57&lt;&gt;"",ISNUMBER(SEARCH(설정!$A$57,K566))),설정!$B$57,IF(AND(설정!$A$58&lt;&gt;"",ISNUMBER(SEARCH(설정!$A$58,K566))),설정!$B$58,IF(AND(설정!$A$59&lt;&gt;"",ISNUMBER(SEARCH(설정!$A$59,K566))),설정!$B$59,IF(AND(설정!$A$60&lt;&gt;"",ISNUMBER(SEARCH(설정!$A$60,K566))),설정!$B$60,IF(AND(설정!$A$61&lt;&gt;"",ISNUMBER(SEARCH(설정!$A$61,K566))),설정!$B$61,IF(M566="","설계사","시공사"))))))))),"")</f>
        <v/>
      </c>
      <c r="V566">
        <f>SUBSTITUTE(SUBSTITUTE(SUBSTITUTE(SUBSTITUTE(G566,"(주)",""),"㈜",""),"주식회사","")," ","")</f>
        <v/>
      </c>
      <c r="W566">
        <f>IF(AND(T566,V566&lt;&gt;""),IF(COUNTIFS(V$2:V566,V566,T$2:T566,TRUE)=1,MAX(W$1:W565)+1,""),"")</f>
        <v/>
      </c>
      <c r="X566">
        <f>IF(설정!$C$14="","",IFERROR(INDEX('1.산군_붙여넣기'!$A$1:$AZ$1001,ROW(),설정!$C$14)&amp;"",""))</f>
        <v/>
      </c>
      <c r="Y566">
        <f>IF(설정!$C$15="","",IFERROR(INDEX('1.산군_붙여넣기'!$A$1:$AZ$1001,ROW(),설정!$C$15)&amp;"",""))</f>
        <v/>
      </c>
      <c r="Z566">
        <f>IF(T566,V566&amp;"|"&amp;U566,"")</f>
        <v/>
      </c>
      <c r="AA566">
        <f>IF(NOT(Q566),"",IF(NOT(AND(R566,S566)),"✕",IF(OR(OR(AND(L566&lt;&gt;"",M566&lt;&gt;"",N(M566)-N(L566)&gt;설정!$B$27),AND(L566&lt;&gt;"",M566="",설정!$B$24-N(L566)&gt;설정!$B$27)),AND(D566&lt;&gt;"",D566&lt;설정!$B$26)),"△","★")))</f>
        <v/>
      </c>
      <c r="AB566">
        <f>IF(NOT(T566),"",IF(U566="설계사",설정!$B$31,IF(U566="시공사",IF(OR(M566="",설정!$B$24-N(M566)&lt;=설정!$B$28*30.4),설정!$B$32,설정!$B$33),설정!$B$34))+IF(AA566="★",설정!$B$35,0))</f>
        <v/>
      </c>
      <c r="AC566">
        <f>SUBSTITUTE(SUBSTITUTE(SUBSTITUTE(SUBSTITUTE(H566,"(주)",""),"㈜",""),"주식회사","")," ","")</f>
        <v/>
      </c>
      <c r="AD566">
        <f>IF(AND(T566,AC566&lt;&gt;""),IF(COUNTIFS(AC$2:AC566,AC566,T$2:T566,TRUE)=1,MAX(AD$1:AD565)+1,""),"")</f>
        <v/>
      </c>
    </row>
    <row r="567">
      <c r="A567">
        <f>ROW()</f>
        <v/>
      </c>
      <c r="B567">
        <f>IF(설정!$C$4="","",IFERROR(INDEX('1.산군_붙여넣기'!$A$1:$AZ$1001,ROW(),설정!$C$4)&amp;"",""))</f>
        <v/>
      </c>
      <c r="C567">
        <f>IF(설정!$C$5="","",IFERROR(INDEX('1.산군_붙여넣기'!$A$1:$AZ$1001,ROW(),설정!$C$5)&amp;"",""))</f>
        <v/>
      </c>
      <c r="D567" s="5">
        <f>IFERROR(VALUE(SUBSTITUTE(SUBSTITUTE(SUBSTITUTE(IF(설정!$C$6="","",IFERROR(INDEX('1.산군_붙여넣기'!$A$1:$AZ$1001,ROW(),설정!$C$6)&amp;"","")),",",""),"㎡",""),"m2","")),"")</f>
        <v/>
      </c>
      <c r="E567">
        <f>IF(설정!$C$7="","",IFERROR(INDEX('1.산군_붙여넣기'!$A$1:$AZ$1001,ROW(),설정!$C$7)&amp;"",""))</f>
        <v/>
      </c>
      <c r="F567">
        <f>IF(설정!$C$8="","",IFERROR(INDEX('1.산군_붙여넣기'!$A$1:$AZ$1001,ROW(),설정!$C$8)&amp;"",""))</f>
        <v/>
      </c>
      <c r="G567">
        <f>IF(설정!$C$9="","",IFERROR(INDEX('1.산군_붙여넣기'!$A$1:$AZ$1001,ROW(),설정!$C$9)&amp;"",""))</f>
        <v/>
      </c>
      <c r="H567">
        <f>IF(설정!$C$10="","",IFERROR(INDEX('1.산군_붙여넣기'!$A$1:$AZ$1001,ROW(),설정!$C$10)&amp;"",""))</f>
        <v/>
      </c>
      <c r="I567">
        <f>IF(설정!$C$11="","",IFERROR(INDEX('1.산군_붙여넣기'!$A$1:$AZ$1001,ROW(),설정!$C$11)&amp;"",""))</f>
        <v/>
      </c>
      <c r="J567">
        <f>IF(설정!$C$12="","",IFERROR(INDEX('1.산군_붙여넣기'!$A$1:$AZ$1001,ROW(),설정!$C$12)&amp;"",""))</f>
        <v/>
      </c>
      <c r="K567">
        <f>IF(설정!$C$13="","",IFERROR(INDEX('1.산군_붙여넣기'!$A$1:$AZ$1001,ROW(),설정!$C$13)&amp;"",""))</f>
        <v/>
      </c>
      <c r="L567" s="7">
        <f>IF(X567="","",IF(AND(LEN(X567)=8,ISNUMBER(X567*1)),DATE(LEFT(X567,4),MID(X567,5,2),RIGHT(X567,2)),IFERROR(DATEVALUE(SUBSTITUTE(SUBSTITUTE(X567,".","-"),"/","-")),IFERROR(X567*1,""))))</f>
        <v/>
      </c>
      <c r="M567" s="7">
        <f>IF(Y567="","",IF(AND(LEN(Y567)=8,ISNUMBER(Y567*1)),DATE(LEFT(Y567,4),MID(Y567,5,2),RIGHT(Y567,2)),IFERROR(DATEVALUE(SUBSTITUTE(SUBSTITUTE(Y567,".","-"),"/","-")),IFERROR(Y567*1,""))))</f>
        <v/>
      </c>
      <c r="N567">
        <f>IFERROR(LEFT(B567,FIND(" ",B567)-1),B567)</f>
        <v/>
      </c>
      <c r="O567">
        <f>AND(B567&lt;&gt;"",B567&lt;&gt;설정!$B$4,C567&lt;&gt;설정!$B$5)</f>
        <v/>
      </c>
      <c r="P567">
        <f>IF(O567,B567&amp;"|"&amp;C567,"")</f>
        <v/>
      </c>
      <c r="Q567">
        <f>AND(O567,COUNTIF(P568:P$1002,P567)=0)</f>
        <v/>
      </c>
      <c r="R567">
        <f>OR(AND(설정!$A$42&lt;&gt;"",ISNUMBER(SEARCH(설정!$A$42,E567&amp;" "&amp;C567))),AND(설정!$A$43&lt;&gt;"",ISNUMBER(SEARCH(설정!$A$43,E567&amp;" "&amp;C567))),AND(설정!$A$44&lt;&gt;"",ISNUMBER(SEARCH(설정!$A$44,E567&amp;" "&amp;C567))),AND(설정!$A$45&lt;&gt;"",ISNUMBER(SEARCH(설정!$A$45,E567&amp;" "&amp;C567))),AND(설정!$A$46&lt;&gt;"",ISNUMBER(SEARCH(설정!$A$46,E567&amp;" "&amp;C567))),AND(설정!$A$47&lt;&gt;"",ISNUMBER(SEARCH(설정!$A$47,E567&amp;" "&amp;C567))),AND(설정!$A$48&lt;&gt;"",ISNUMBER(SEARCH(설정!$A$48,E567&amp;" "&amp;C567))),AND(설정!$A$49&lt;&gt;"",ISNUMBER(SEARCH(설정!$A$49,E567&amp;" "&amp;C567))),AND(설정!$A$50&lt;&gt;"",ISNUMBER(SEARCH(설정!$A$50,E567&amp;" "&amp;C567))),AND(설정!$A$51&lt;&gt;"",ISNUMBER(SEARCH(설정!$A$51,E567&amp;" "&amp;C567))))</f>
        <v/>
      </c>
      <c r="S567">
        <f>OR(D567="",D567&gt;=설정!$B$19)</f>
        <v/>
      </c>
      <c r="T567">
        <f>AND(Q567,R567,S567)</f>
        <v/>
      </c>
      <c r="U567">
        <f>IF(T567,IF(AND(설정!$A$54&lt;&gt;"",ISNUMBER(SEARCH(설정!$A$54,K567))),설정!$B$54,IF(AND(설정!$A$55&lt;&gt;"",ISNUMBER(SEARCH(설정!$A$55,K567))),설정!$B$55,IF(AND(설정!$A$56&lt;&gt;"",ISNUMBER(SEARCH(설정!$A$56,K567))),설정!$B$56,IF(AND(설정!$A$57&lt;&gt;"",ISNUMBER(SEARCH(설정!$A$57,K567))),설정!$B$57,IF(AND(설정!$A$58&lt;&gt;"",ISNUMBER(SEARCH(설정!$A$58,K567))),설정!$B$58,IF(AND(설정!$A$59&lt;&gt;"",ISNUMBER(SEARCH(설정!$A$59,K567))),설정!$B$59,IF(AND(설정!$A$60&lt;&gt;"",ISNUMBER(SEARCH(설정!$A$60,K567))),설정!$B$60,IF(AND(설정!$A$61&lt;&gt;"",ISNUMBER(SEARCH(설정!$A$61,K567))),설정!$B$61,IF(M567="","설계사","시공사"))))))))),"")</f>
        <v/>
      </c>
      <c r="V567">
        <f>SUBSTITUTE(SUBSTITUTE(SUBSTITUTE(SUBSTITUTE(G567,"(주)",""),"㈜",""),"주식회사","")," ","")</f>
        <v/>
      </c>
      <c r="W567">
        <f>IF(AND(T567,V567&lt;&gt;""),IF(COUNTIFS(V$2:V567,V567,T$2:T567,TRUE)=1,MAX(W$1:W566)+1,""),"")</f>
        <v/>
      </c>
      <c r="X567">
        <f>IF(설정!$C$14="","",IFERROR(INDEX('1.산군_붙여넣기'!$A$1:$AZ$1001,ROW(),설정!$C$14)&amp;"",""))</f>
        <v/>
      </c>
      <c r="Y567">
        <f>IF(설정!$C$15="","",IFERROR(INDEX('1.산군_붙여넣기'!$A$1:$AZ$1001,ROW(),설정!$C$15)&amp;"",""))</f>
        <v/>
      </c>
      <c r="Z567">
        <f>IF(T567,V567&amp;"|"&amp;U567,"")</f>
        <v/>
      </c>
      <c r="AA567">
        <f>IF(NOT(Q567),"",IF(NOT(AND(R567,S567)),"✕",IF(OR(OR(AND(L567&lt;&gt;"",M567&lt;&gt;"",N(M567)-N(L567)&gt;설정!$B$27),AND(L567&lt;&gt;"",M567="",설정!$B$24-N(L567)&gt;설정!$B$27)),AND(D567&lt;&gt;"",D567&lt;설정!$B$26)),"△","★")))</f>
        <v/>
      </c>
      <c r="AB567">
        <f>IF(NOT(T567),"",IF(U567="설계사",설정!$B$31,IF(U567="시공사",IF(OR(M567="",설정!$B$24-N(M567)&lt;=설정!$B$28*30.4),설정!$B$32,설정!$B$33),설정!$B$34))+IF(AA567="★",설정!$B$35,0))</f>
        <v/>
      </c>
      <c r="AC567">
        <f>SUBSTITUTE(SUBSTITUTE(SUBSTITUTE(SUBSTITUTE(H567,"(주)",""),"㈜",""),"주식회사","")," ","")</f>
        <v/>
      </c>
      <c r="AD567">
        <f>IF(AND(T567,AC567&lt;&gt;""),IF(COUNTIFS(AC$2:AC567,AC567,T$2:T567,TRUE)=1,MAX(AD$1:AD566)+1,""),"")</f>
        <v/>
      </c>
    </row>
    <row r="568">
      <c r="A568">
        <f>ROW()</f>
        <v/>
      </c>
      <c r="B568">
        <f>IF(설정!$C$4="","",IFERROR(INDEX('1.산군_붙여넣기'!$A$1:$AZ$1001,ROW(),설정!$C$4)&amp;"",""))</f>
        <v/>
      </c>
      <c r="C568">
        <f>IF(설정!$C$5="","",IFERROR(INDEX('1.산군_붙여넣기'!$A$1:$AZ$1001,ROW(),설정!$C$5)&amp;"",""))</f>
        <v/>
      </c>
      <c r="D568" s="5">
        <f>IFERROR(VALUE(SUBSTITUTE(SUBSTITUTE(SUBSTITUTE(IF(설정!$C$6="","",IFERROR(INDEX('1.산군_붙여넣기'!$A$1:$AZ$1001,ROW(),설정!$C$6)&amp;"","")),",",""),"㎡",""),"m2","")),"")</f>
        <v/>
      </c>
      <c r="E568">
        <f>IF(설정!$C$7="","",IFERROR(INDEX('1.산군_붙여넣기'!$A$1:$AZ$1001,ROW(),설정!$C$7)&amp;"",""))</f>
        <v/>
      </c>
      <c r="F568">
        <f>IF(설정!$C$8="","",IFERROR(INDEX('1.산군_붙여넣기'!$A$1:$AZ$1001,ROW(),설정!$C$8)&amp;"",""))</f>
        <v/>
      </c>
      <c r="G568">
        <f>IF(설정!$C$9="","",IFERROR(INDEX('1.산군_붙여넣기'!$A$1:$AZ$1001,ROW(),설정!$C$9)&amp;"",""))</f>
        <v/>
      </c>
      <c r="H568">
        <f>IF(설정!$C$10="","",IFERROR(INDEX('1.산군_붙여넣기'!$A$1:$AZ$1001,ROW(),설정!$C$10)&amp;"",""))</f>
        <v/>
      </c>
      <c r="I568">
        <f>IF(설정!$C$11="","",IFERROR(INDEX('1.산군_붙여넣기'!$A$1:$AZ$1001,ROW(),설정!$C$11)&amp;"",""))</f>
        <v/>
      </c>
      <c r="J568">
        <f>IF(설정!$C$12="","",IFERROR(INDEX('1.산군_붙여넣기'!$A$1:$AZ$1001,ROW(),설정!$C$12)&amp;"",""))</f>
        <v/>
      </c>
      <c r="K568">
        <f>IF(설정!$C$13="","",IFERROR(INDEX('1.산군_붙여넣기'!$A$1:$AZ$1001,ROW(),설정!$C$13)&amp;"",""))</f>
        <v/>
      </c>
      <c r="L568" s="7">
        <f>IF(X568="","",IF(AND(LEN(X568)=8,ISNUMBER(X568*1)),DATE(LEFT(X568,4),MID(X568,5,2),RIGHT(X568,2)),IFERROR(DATEVALUE(SUBSTITUTE(SUBSTITUTE(X568,".","-"),"/","-")),IFERROR(X568*1,""))))</f>
        <v/>
      </c>
      <c r="M568" s="7">
        <f>IF(Y568="","",IF(AND(LEN(Y568)=8,ISNUMBER(Y568*1)),DATE(LEFT(Y568,4),MID(Y568,5,2),RIGHT(Y568,2)),IFERROR(DATEVALUE(SUBSTITUTE(SUBSTITUTE(Y568,".","-"),"/","-")),IFERROR(Y568*1,""))))</f>
        <v/>
      </c>
      <c r="N568">
        <f>IFERROR(LEFT(B568,FIND(" ",B568)-1),B568)</f>
        <v/>
      </c>
      <c r="O568">
        <f>AND(B568&lt;&gt;"",B568&lt;&gt;설정!$B$4,C568&lt;&gt;설정!$B$5)</f>
        <v/>
      </c>
      <c r="P568">
        <f>IF(O568,B568&amp;"|"&amp;C568,"")</f>
        <v/>
      </c>
      <c r="Q568">
        <f>AND(O568,COUNTIF(P569:P$1002,P568)=0)</f>
        <v/>
      </c>
      <c r="R568">
        <f>OR(AND(설정!$A$42&lt;&gt;"",ISNUMBER(SEARCH(설정!$A$42,E568&amp;" "&amp;C568))),AND(설정!$A$43&lt;&gt;"",ISNUMBER(SEARCH(설정!$A$43,E568&amp;" "&amp;C568))),AND(설정!$A$44&lt;&gt;"",ISNUMBER(SEARCH(설정!$A$44,E568&amp;" "&amp;C568))),AND(설정!$A$45&lt;&gt;"",ISNUMBER(SEARCH(설정!$A$45,E568&amp;" "&amp;C568))),AND(설정!$A$46&lt;&gt;"",ISNUMBER(SEARCH(설정!$A$46,E568&amp;" "&amp;C568))),AND(설정!$A$47&lt;&gt;"",ISNUMBER(SEARCH(설정!$A$47,E568&amp;" "&amp;C568))),AND(설정!$A$48&lt;&gt;"",ISNUMBER(SEARCH(설정!$A$48,E568&amp;" "&amp;C568))),AND(설정!$A$49&lt;&gt;"",ISNUMBER(SEARCH(설정!$A$49,E568&amp;" "&amp;C568))),AND(설정!$A$50&lt;&gt;"",ISNUMBER(SEARCH(설정!$A$50,E568&amp;" "&amp;C568))),AND(설정!$A$51&lt;&gt;"",ISNUMBER(SEARCH(설정!$A$51,E568&amp;" "&amp;C568))))</f>
        <v/>
      </c>
      <c r="S568">
        <f>OR(D568="",D568&gt;=설정!$B$19)</f>
        <v/>
      </c>
      <c r="T568">
        <f>AND(Q568,R568,S568)</f>
        <v/>
      </c>
      <c r="U568">
        <f>IF(T568,IF(AND(설정!$A$54&lt;&gt;"",ISNUMBER(SEARCH(설정!$A$54,K568))),설정!$B$54,IF(AND(설정!$A$55&lt;&gt;"",ISNUMBER(SEARCH(설정!$A$55,K568))),설정!$B$55,IF(AND(설정!$A$56&lt;&gt;"",ISNUMBER(SEARCH(설정!$A$56,K568))),설정!$B$56,IF(AND(설정!$A$57&lt;&gt;"",ISNUMBER(SEARCH(설정!$A$57,K568))),설정!$B$57,IF(AND(설정!$A$58&lt;&gt;"",ISNUMBER(SEARCH(설정!$A$58,K568))),설정!$B$58,IF(AND(설정!$A$59&lt;&gt;"",ISNUMBER(SEARCH(설정!$A$59,K568))),설정!$B$59,IF(AND(설정!$A$60&lt;&gt;"",ISNUMBER(SEARCH(설정!$A$60,K568))),설정!$B$60,IF(AND(설정!$A$61&lt;&gt;"",ISNUMBER(SEARCH(설정!$A$61,K568))),설정!$B$61,IF(M568="","설계사","시공사"))))))))),"")</f>
        <v/>
      </c>
      <c r="V568">
        <f>SUBSTITUTE(SUBSTITUTE(SUBSTITUTE(SUBSTITUTE(G568,"(주)",""),"㈜",""),"주식회사","")," ","")</f>
        <v/>
      </c>
      <c r="W568">
        <f>IF(AND(T568,V568&lt;&gt;""),IF(COUNTIFS(V$2:V568,V568,T$2:T568,TRUE)=1,MAX(W$1:W567)+1,""),"")</f>
        <v/>
      </c>
      <c r="X568">
        <f>IF(설정!$C$14="","",IFERROR(INDEX('1.산군_붙여넣기'!$A$1:$AZ$1001,ROW(),설정!$C$14)&amp;"",""))</f>
        <v/>
      </c>
      <c r="Y568">
        <f>IF(설정!$C$15="","",IFERROR(INDEX('1.산군_붙여넣기'!$A$1:$AZ$1001,ROW(),설정!$C$15)&amp;"",""))</f>
        <v/>
      </c>
      <c r="Z568">
        <f>IF(T568,V568&amp;"|"&amp;U568,"")</f>
        <v/>
      </c>
      <c r="AA568">
        <f>IF(NOT(Q568),"",IF(NOT(AND(R568,S568)),"✕",IF(OR(OR(AND(L568&lt;&gt;"",M568&lt;&gt;"",N(M568)-N(L568)&gt;설정!$B$27),AND(L568&lt;&gt;"",M568="",설정!$B$24-N(L568)&gt;설정!$B$27)),AND(D568&lt;&gt;"",D568&lt;설정!$B$26)),"△","★")))</f>
        <v/>
      </c>
      <c r="AB568">
        <f>IF(NOT(T568),"",IF(U568="설계사",설정!$B$31,IF(U568="시공사",IF(OR(M568="",설정!$B$24-N(M568)&lt;=설정!$B$28*30.4),설정!$B$32,설정!$B$33),설정!$B$34))+IF(AA568="★",설정!$B$35,0))</f>
        <v/>
      </c>
      <c r="AC568">
        <f>SUBSTITUTE(SUBSTITUTE(SUBSTITUTE(SUBSTITUTE(H568,"(주)",""),"㈜",""),"주식회사","")," ","")</f>
        <v/>
      </c>
      <c r="AD568">
        <f>IF(AND(T568,AC568&lt;&gt;""),IF(COUNTIFS(AC$2:AC568,AC568,T$2:T568,TRUE)=1,MAX(AD$1:AD567)+1,""),"")</f>
        <v/>
      </c>
    </row>
    <row r="569">
      <c r="A569">
        <f>ROW()</f>
        <v/>
      </c>
      <c r="B569">
        <f>IF(설정!$C$4="","",IFERROR(INDEX('1.산군_붙여넣기'!$A$1:$AZ$1001,ROW(),설정!$C$4)&amp;"",""))</f>
        <v/>
      </c>
      <c r="C569">
        <f>IF(설정!$C$5="","",IFERROR(INDEX('1.산군_붙여넣기'!$A$1:$AZ$1001,ROW(),설정!$C$5)&amp;"",""))</f>
        <v/>
      </c>
      <c r="D569" s="5">
        <f>IFERROR(VALUE(SUBSTITUTE(SUBSTITUTE(SUBSTITUTE(IF(설정!$C$6="","",IFERROR(INDEX('1.산군_붙여넣기'!$A$1:$AZ$1001,ROW(),설정!$C$6)&amp;"","")),",",""),"㎡",""),"m2","")),"")</f>
        <v/>
      </c>
      <c r="E569">
        <f>IF(설정!$C$7="","",IFERROR(INDEX('1.산군_붙여넣기'!$A$1:$AZ$1001,ROW(),설정!$C$7)&amp;"",""))</f>
        <v/>
      </c>
      <c r="F569">
        <f>IF(설정!$C$8="","",IFERROR(INDEX('1.산군_붙여넣기'!$A$1:$AZ$1001,ROW(),설정!$C$8)&amp;"",""))</f>
        <v/>
      </c>
      <c r="G569">
        <f>IF(설정!$C$9="","",IFERROR(INDEX('1.산군_붙여넣기'!$A$1:$AZ$1001,ROW(),설정!$C$9)&amp;"",""))</f>
        <v/>
      </c>
      <c r="H569">
        <f>IF(설정!$C$10="","",IFERROR(INDEX('1.산군_붙여넣기'!$A$1:$AZ$1001,ROW(),설정!$C$10)&amp;"",""))</f>
        <v/>
      </c>
      <c r="I569">
        <f>IF(설정!$C$11="","",IFERROR(INDEX('1.산군_붙여넣기'!$A$1:$AZ$1001,ROW(),설정!$C$11)&amp;"",""))</f>
        <v/>
      </c>
      <c r="J569">
        <f>IF(설정!$C$12="","",IFERROR(INDEX('1.산군_붙여넣기'!$A$1:$AZ$1001,ROW(),설정!$C$12)&amp;"",""))</f>
        <v/>
      </c>
      <c r="K569">
        <f>IF(설정!$C$13="","",IFERROR(INDEX('1.산군_붙여넣기'!$A$1:$AZ$1001,ROW(),설정!$C$13)&amp;"",""))</f>
        <v/>
      </c>
      <c r="L569" s="7">
        <f>IF(X569="","",IF(AND(LEN(X569)=8,ISNUMBER(X569*1)),DATE(LEFT(X569,4),MID(X569,5,2),RIGHT(X569,2)),IFERROR(DATEVALUE(SUBSTITUTE(SUBSTITUTE(X569,".","-"),"/","-")),IFERROR(X569*1,""))))</f>
        <v/>
      </c>
      <c r="M569" s="7">
        <f>IF(Y569="","",IF(AND(LEN(Y569)=8,ISNUMBER(Y569*1)),DATE(LEFT(Y569,4),MID(Y569,5,2),RIGHT(Y569,2)),IFERROR(DATEVALUE(SUBSTITUTE(SUBSTITUTE(Y569,".","-"),"/","-")),IFERROR(Y569*1,""))))</f>
        <v/>
      </c>
      <c r="N569">
        <f>IFERROR(LEFT(B569,FIND(" ",B569)-1),B569)</f>
        <v/>
      </c>
      <c r="O569">
        <f>AND(B569&lt;&gt;"",B569&lt;&gt;설정!$B$4,C569&lt;&gt;설정!$B$5)</f>
        <v/>
      </c>
      <c r="P569">
        <f>IF(O569,B569&amp;"|"&amp;C569,"")</f>
        <v/>
      </c>
      <c r="Q569">
        <f>AND(O569,COUNTIF(P570:P$1002,P569)=0)</f>
        <v/>
      </c>
      <c r="R569">
        <f>OR(AND(설정!$A$42&lt;&gt;"",ISNUMBER(SEARCH(설정!$A$42,E569&amp;" "&amp;C569))),AND(설정!$A$43&lt;&gt;"",ISNUMBER(SEARCH(설정!$A$43,E569&amp;" "&amp;C569))),AND(설정!$A$44&lt;&gt;"",ISNUMBER(SEARCH(설정!$A$44,E569&amp;" "&amp;C569))),AND(설정!$A$45&lt;&gt;"",ISNUMBER(SEARCH(설정!$A$45,E569&amp;" "&amp;C569))),AND(설정!$A$46&lt;&gt;"",ISNUMBER(SEARCH(설정!$A$46,E569&amp;" "&amp;C569))),AND(설정!$A$47&lt;&gt;"",ISNUMBER(SEARCH(설정!$A$47,E569&amp;" "&amp;C569))),AND(설정!$A$48&lt;&gt;"",ISNUMBER(SEARCH(설정!$A$48,E569&amp;" "&amp;C569))),AND(설정!$A$49&lt;&gt;"",ISNUMBER(SEARCH(설정!$A$49,E569&amp;" "&amp;C569))),AND(설정!$A$50&lt;&gt;"",ISNUMBER(SEARCH(설정!$A$50,E569&amp;" "&amp;C569))),AND(설정!$A$51&lt;&gt;"",ISNUMBER(SEARCH(설정!$A$51,E569&amp;" "&amp;C569))))</f>
        <v/>
      </c>
      <c r="S569">
        <f>OR(D569="",D569&gt;=설정!$B$19)</f>
        <v/>
      </c>
      <c r="T569">
        <f>AND(Q569,R569,S569)</f>
        <v/>
      </c>
      <c r="U569">
        <f>IF(T569,IF(AND(설정!$A$54&lt;&gt;"",ISNUMBER(SEARCH(설정!$A$54,K569))),설정!$B$54,IF(AND(설정!$A$55&lt;&gt;"",ISNUMBER(SEARCH(설정!$A$55,K569))),설정!$B$55,IF(AND(설정!$A$56&lt;&gt;"",ISNUMBER(SEARCH(설정!$A$56,K569))),설정!$B$56,IF(AND(설정!$A$57&lt;&gt;"",ISNUMBER(SEARCH(설정!$A$57,K569))),설정!$B$57,IF(AND(설정!$A$58&lt;&gt;"",ISNUMBER(SEARCH(설정!$A$58,K569))),설정!$B$58,IF(AND(설정!$A$59&lt;&gt;"",ISNUMBER(SEARCH(설정!$A$59,K569))),설정!$B$59,IF(AND(설정!$A$60&lt;&gt;"",ISNUMBER(SEARCH(설정!$A$60,K569))),설정!$B$60,IF(AND(설정!$A$61&lt;&gt;"",ISNUMBER(SEARCH(설정!$A$61,K569))),설정!$B$61,IF(M569="","설계사","시공사"))))))))),"")</f>
        <v/>
      </c>
      <c r="V569">
        <f>SUBSTITUTE(SUBSTITUTE(SUBSTITUTE(SUBSTITUTE(G569,"(주)",""),"㈜",""),"주식회사","")," ","")</f>
        <v/>
      </c>
      <c r="W569">
        <f>IF(AND(T569,V569&lt;&gt;""),IF(COUNTIFS(V$2:V569,V569,T$2:T569,TRUE)=1,MAX(W$1:W568)+1,""),"")</f>
        <v/>
      </c>
      <c r="X569">
        <f>IF(설정!$C$14="","",IFERROR(INDEX('1.산군_붙여넣기'!$A$1:$AZ$1001,ROW(),설정!$C$14)&amp;"",""))</f>
        <v/>
      </c>
      <c r="Y569">
        <f>IF(설정!$C$15="","",IFERROR(INDEX('1.산군_붙여넣기'!$A$1:$AZ$1001,ROW(),설정!$C$15)&amp;"",""))</f>
        <v/>
      </c>
      <c r="Z569">
        <f>IF(T569,V569&amp;"|"&amp;U569,"")</f>
        <v/>
      </c>
      <c r="AA569">
        <f>IF(NOT(Q569),"",IF(NOT(AND(R569,S569)),"✕",IF(OR(OR(AND(L569&lt;&gt;"",M569&lt;&gt;"",N(M569)-N(L569)&gt;설정!$B$27),AND(L569&lt;&gt;"",M569="",설정!$B$24-N(L569)&gt;설정!$B$27)),AND(D569&lt;&gt;"",D569&lt;설정!$B$26)),"△","★")))</f>
        <v/>
      </c>
      <c r="AB569">
        <f>IF(NOT(T569),"",IF(U569="설계사",설정!$B$31,IF(U569="시공사",IF(OR(M569="",설정!$B$24-N(M569)&lt;=설정!$B$28*30.4),설정!$B$32,설정!$B$33),설정!$B$34))+IF(AA569="★",설정!$B$35,0))</f>
        <v/>
      </c>
      <c r="AC569">
        <f>SUBSTITUTE(SUBSTITUTE(SUBSTITUTE(SUBSTITUTE(H569,"(주)",""),"㈜",""),"주식회사","")," ","")</f>
        <v/>
      </c>
      <c r="AD569">
        <f>IF(AND(T569,AC569&lt;&gt;""),IF(COUNTIFS(AC$2:AC569,AC569,T$2:T569,TRUE)=1,MAX(AD$1:AD568)+1,""),"")</f>
        <v/>
      </c>
    </row>
    <row r="570">
      <c r="A570">
        <f>ROW()</f>
        <v/>
      </c>
      <c r="B570">
        <f>IF(설정!$C$4="","",IFERROR(INDEX('1.산군_붙여넣기'!$A$1:$AZ$1001,ROW(),설정!$C$4)&amp;"",""))</f>
        <v/>
      </c>
      <c r="C570">
        <f>IF(설정!$C$5="","",IFERROR(INDEX('1.산군_붙여넣기'!$A$1:$AZ$1001,ROW(),설정!$C$5)&amp;"",""))</f>
        <v/>
      </c>
      <c r="D570" s="5">
        <f>IFERROR(VALUE(SUBSTITUTE(SUBSTITUTE(SUBSTITUTE(IF(설정!$C$6="","",IFERROR(INDEX('1.산군_붙여넣기'!$A$1:$AZ$1001,ROW(),설정!$C$6)&amp;"","")),",",""),"㎡",""),"m2","")),"")</f>
        <v/>
      </c>
      <c r="E570">
        <f>IF(설정!$C$7="","",IFERROR(INDEX('1.산군_붙여넣기'!$A$1:$AZ$1001,ROW(),설정!$C$7)&amp;"",""))</f>
        <v/>
      </c>
      <c r="F570">
        <f>IF(설정!$C$8="","",IFERROR(INDEX('1.산군_붙여넣기'!$A$1:$AZ$1001,ROW(),설정!$C$8)&amp;"",""))</f>
        <v/>
      </c>
      <c r="G570">
        <f>IF(설정!$C$9="","",IFERROR(INDEX('1.산군_붙여넣기'!$A$1:$AZ$1001,ROW(),설정!$C$9)&amp;"",""))</f>
        <v/>
      </c>
      <c r="H570">
        <f>IF(설정!$C$10="","",IFERROR(INDEX('1.산군_붙여넣기'!$A$1:$AZ$1001,ROW(),설정!$C$10)&amp;"",""))</f>
        <v/>
      </c>
      <c r="I570">
        <f>IF(설정!$C$11="","",IFERROR(INDEX('1.산군_붙여넣기'!$A$1:$AZ$1001,ROW(),설정!$C$11)&amp;"",""))</f>
        <v/>
      </c>
      <c r="J570">
        <f>IF(설정!$C$12="","",IFERROR(INDEX('1.산군_붙여넣기'!$A$1:$AZ$1001,ROW(),설정!$C$12)&amp;"",""))</f>
        <v/>
      </c>
      <c r="K570">
        <f>IF(설정!$C$13="","",IFERROR(INDEX('1.산군_붙여넣기'!$A$1:$AZ$1001,ROW(),설정!$C$13)&amp;"",""))</f>
        <v/>
      </c>
      <c r="L570" s="7">
        <f>IF(X570="","",IF(AND(LEN(X570)=8,ISNUMBER(X570*1)),DATE(LEFT(X570,4),MID(X570,5,2),RIGHT(X570,2)),IFERROR(DATEVALUE(SUBSTITUTE(SUBSTITUTE(X570,".","-"),"/","-")),IFERROR(X570*1,""))))</f>
        <v/>
      </c>
      <c r="M570" s="7">
        <f>IF(Y570="","",IF(AND(LEN(Y570)=8,ISNUMBER(Y570*1)),DATE(LEFT(Y570,4),MID(Y570,5,2),RIGHT(Y570,2)),IFERROR(DATEVALUE(SUBSTITUTE(SUBSTITUTE(Y570,".","-"),"/","-")),IFERROR(Y570*1,""))))</f>
        <v/>
      </c>
      <c r="N570">
        <f>IFERROR(LEFT(B570,FIND(" ",B570)-1),B570)</f>
        <v/>
      </c>
      <c r="O570">
        <f>AND(B570&lt;&gt;"",B570&lt;&gt;설정!$B$4,C570&lt;&gt;설정!$B$5)</f>
        <v/>
      </c>
      <c r="P570">
        <f>IF(O570,B570&amp;"|"&amp;C570,"")</f>
        <v/>
      </c>
      <c r="Q570">
        <f>AND(O570,COUNTIF(P571:P$1002,P570)=0)</f>
        <v/>
      </c>
      <c r="R570">
        <f>OR(AND(설정!$A$42&lt;&gt;"",ISNUMBER(SEARCH(설정!$A$42,E570&amp;" "&amp;C570))),AND(설정!$A$43&lt;&gt;"",ISNUMBER(SEARCH(설정!$A$43,E570&amp;" "&amp;C570))),AND(설정!$A$44&lt;&gt;"",ISNUMBER(SEARCH(설정!$A$44,E570&amp;" "&amp;C570))),AND(설정!$A$45&lt;&gt;"",ISNUMBER(SEARCH(설정!$A$45,E570&amp;" "&amp;C570))),AND(설정!$A$46&lt;&gt;"",ISNUMBER(SEARCH(설정!$A$46,E570&amp;" "&amp;C570))),AND(설정!$A$47&lt;&gt;"",ISNUMBER(SEARCH(설정!$A$47,E570&amp;" "&amp;C570))),AND(설정!$A$48&lt;&gt;"",ISNUMBER(SEARCH(설정!$A$48,E570&amp;" "&amp;C570))),AND(설정!$A$49&lt;&gt;"",ISNUMBER(SEARCH(설정!$A$49,E570&amp;" "&amp;C570))),AND(설정!$A$50&lt;&gt;"",ISNUMBER(SEARCH(설정!$A$50,E570&amp;" "&amp;C570))),AND(설정!$A$51&lt;&gt;"",ISNUMBER(SEARCH(설정!$A$51,E570&amp;" "&amp;C570))))</f>
        <v/>
      </c>
      <c r="S570">
        <f>OR(D570="",D570&gt;=설정!$B$19)</f>
        <v/>
      </c>
      <c r="T570">
        <f>AND(Q570,R570,S570)</f>
        <v/>
      </c>
      <c r="U570">
        <f>IF(T570,IF(AND(설정!$A$54&lt;&gt;"",ISNUMBER(SEARCH(설정!$A$54,K570))),설정!$B$54,IF(AND(설정!$A$55&lt;&gt;"",ISNUMBER(SEARCH(설정!$A$55,K570))),설정!$B$55,IF(AND(설정!$A$56&lt;&gt;"",ISNUMBER(SEARCH(설정!$A$56,K570))),설정!$B$56,IF(AND(설정!$A$57&lt;&gt;"",ISNUMBER(SEARCH(설정!$A$57,K570))),설정!$B$57,IF(AND(설정!$A$58&lt;&gt;"",ISNUMBER(SEARCH(설정!$A$58,K570))),설정!$B$58,IF(AND(설정!$A$59&lt;&gt;"",ISNUMBER(SEARCH(설정!$A$59,K570))),설정!$B$59,IF(AND(설정!$A$60&lt;&gt;"",ISNUMBER(SEARCH(설정!$A$60,K570))),설정!$B$60,IF(AND(설정!$A$61&lt;&gt;"",ISNUMBER(SEARCH(설정!$A$61,K570))),설정!$B$61,IF(M570="","설계사","시공사"))))))))),"")</f>
        <v/>
      </c>
      <c r="V570">
        <f>SUBSTITUTE(SUBSTITUTE(SUBSTITUTE(SUBSTITUTE(G570,"(주)",""),"㈜",""),"주식회사","")," ","")</f>
        <v/>
      </c>
      <c r="W570">
        <f>IF(AND(T570,V570&lt;&gt;""),IF(COUNTIFS(V$2:V570,V570,T$2:T570,TRUE)=1,MAX(W$1:W569)+1,""),"")</f>
        <v/>
      </c>
      <c r="X570">
        <f>IF(설정!$C$14="","",IFERROR(INDEX('1.산군_붙여넣기'!$A$1:$AZ$1001,ROW(),설정!$C$14)&amp;"",""))</f>
        <v/>
      </c>
      <c r="Y570">
        <f>IF(설정!$C$15="","",IFERROR(INDEX('1.산군_붙여넣기'!$A$1:$AZ$1001,ROW(),설정!$C$15)&amp;"",""))</f>
        <v/>
      </c>
      <c r="Z570">
        <f>IF(T570,V570&amp;"|"&amp;U570,"")</f>
        <v/>
      </c>
      <c r="AA570">
        <f>IF(NOT(Q570),"",IF(NOT(AND(R570,S570)),"✕",IF(OR(OR(AND(L570&lt;&gt;"",M570&lt;&gt;"",N(M570)-N(L570)&gt;설정!$B$27),AND(L570&lt;&gt;"",M570="",설정!$B$24-N(L570)&gt;설정!$B$27)),AND(D570&lt;&gt;"",D570&lt;설정!$B$26)),"△","★")))</f>
        <v/>
      </c>
      <c r="AB570">
        <f>IF(NOT(T570),"",IF(U570="설계사",설정!$B$31,IF(U570="시공사",IF(OR(M570="",설정!$B$24-N(M570)&lt;=설정!$B$28*30.4),설정!$B$32,설정!$B$33),설정!$B$34))+IF(AA570="★",설정!$B$35,0))</f>
        <v/>
      </c>
      <c r="AC570">
        <f>SUBSTITUTE(SUBSTITUTE(SUBSTITUTE(SUBSTITUTE(H570,"(주)",""),"㈜",""),"주식회사","")," ","")</f>
        <v/>
      </c>
      <c r="AD570">
        <f>IF(AND(T570,AC570&lt;&gt;""),IF(COUNTIFS(AC$2:AC570,AC570,T$2:T570,TRUE)=1,MAX(AD$1:AD569)+1,""),"")</f>
        <v/>
      </c>
    </row>
    <row r="571">
      <c r="A571">
        <f>ROW()</f>
        <v/>
      </c>
      <c r="B571">
        <f>IF(설정!$C$4="","",IFERROR(INDEX('1.산군_붙여넣기'!$A$1:$AZ$1001,ROW(),설정!$C$4)&amp;"",""))</f>
        <v/>
      </c>
      <c r="C571">
        <f>IF(설정!$C$5="","",IFERROR(INDEX('1.산군_붙여넣기'!$A$1:$AZ$1001,ROW(),설정!$C$5)&amp;"",""))</f>
        <v/>
      </c>
      <c r="D571" s="5">
        <f>IFERROR(VALUE(SUBSTITUTE(SUBSTITUTE(SUBSTITUTE(IF(설정!$C$6="","",IFERROR(INDEX('1.산군_붙여넣기'!$A$1:$AZ$1001,ROW(),설정!$C$6)&amp;"","")),",",""),"㎡",""),"m2","")),"")</f>
        <v/>
      </c>
      <c r="E571">
        <f>IF(설정!$C$7="","",IFERROR(INDEX('1.산군_붙여넣기'!$A$1:$AZ$1001,ROW(),설정!$C$7)&amp;"",""))</f>
        <v/>
      </c>
      <c r="F571">
        <f>IF(설정!$C$8="","",IFERROR(INDEX('1.산군_붙여넣기'!$A$1:$AZ$1001,ROW(),설정!$C$8)&amp;"",""))</f>
        <v/>
      </c>
      <c r="G571">
        <f>IF(설정!$C$9="","",IFERROR(INDEX('1.산군_붙여넣기'!$A$1:$AZ$1001,ROW(),설정!$C$9)&amp;"",""))</f>
        <v/>
      </c>
      <c r="H571">
        <f>IF(설정!$C$10="","",IFERROR(INDEX('1.산군_붙여넣기'!$A$1:$AZ$1001,ROW(),설정!$C$10)&amp;"",""))</f>
        <v/>
      </c>
      <c r="I571">
        <f>IF(설정!$C$11="","",IFERROR(INDEX('1.산군_붙여넣기'!$A$1:$AZ$1001,ROW(),설정!$C$11)&amp;"",""))</f>
        <v/>
      </c>
      <c r="J571">
        <f>IF(설정!$C$12="","",IFERROR(INDEX('1.산군_붙여넣기'!$A$1:$AZ$1001,ROW(),설정!$C$12)&amp;"",""))</f>
        <v/>
      </c>
      <c r="K571">
        <f>IF(설정!$C$13="","",IFERROR(INDEX('1.산군_붙여넣기'!$A$1:$AZ$1001,ROW(),설정!$C$13)&amp;"",""))</f>
        <v/>
      </c>
      <c r="L571" s="7">
        <f>IF(X571="","",IF(AND(LEN(X571)=8,ISNUMBER(X571*1)),DATE(LEFT(X571,4),MID(X571,5,2),RIGHT(X571,2)),IFERROR(DATEVALUE(SUBSTITUTE(SUBSTITUTE(X571,".","-"),"/","-")),IFERROR(X571*1,""))))</f>
        <v/>
      </c>
      <c r="M571" s="7">
        <f>IF(Y571="","",IF(AND(LEN(Y571)=8,ISNUMBER(Y571*1)),DATE(LEFT(Y571,4),MID(Y571,5,2),RIGHT(Y571,2)),IFERROR(DATEVALUE(SUBSTITUTE(SUBSTITUTE(Y571,".","-"),"/","-")),IFERROR(Y571*1,""))))</f>
        <v/>
      </c>
      <c r="N571">
        <f>IFERROR(LEFT(B571,FIND(" ",B571)-1),B571)</f>
        <v/>
      </c>
      <c r="O571">
        <f>AND(B571&lt;&gt;"",B571&lt;&gt;설정!$B$4,C571&lt;&gt;설정!$B$5)</f>
        <v/>
      </c>
      <c r="P571">
        <f>IF(O571,B571&amp;"|"&amp;C571,"")</f>
        <v/>
      </c>
      <c r="Q571">
        <f>AND(O571,COUNTIF(P572:P$1002,P571)=0)</f>
        <v/>
      </c>
      <c r="R571">
        <f>OR(AND(설정!$A$42&lt;&gt;"",ISNUMBER(SEARCH(설정!$A$42,E571&amp;" "&amp;C571))),AND(설정!$A$43&lt;&gt;"",ISNUMBER(SEARCH(설정!$A$43,E571&amp;" "&amp;C571))),AND(설정!$A$44&lt;&gt;"",ISNUMBER(SEARCH(설정!$A$44,E571&amp;" "&amp;C571))),AND(설정!$A$45&lt;&gt;"",ISNUMBER(SEARCH(설정!$A$45,E571&amp;" "&amp;C571))),AND(설정!$A$46&lt;&gt;"",ISNUMBER(SEARCH(설정!$A$46,E571&amp;" "&amp;C571))),AND(설정!$A$47&lt;&gt;"",ISNUMBER(SEARCH(설정!$A$47,E571&amp;" "&amp;C571))),AND(설정!$A$48&lt;&gt;"",ISNUMBER(SEARCH(설정!$A$48,E571&amp;" "&amp;C571))),AND(설정!$A$49&lt;&gt;"",ISNUMBER(SEARCH(설정!$A$49,E571&amp;" "&amp;C571))),AND(설정!$A$50&lt;&gt;"",ISNUMBER(SEARCH(설정!$A$50,E571&amp;" "&amp;C571))),AND(설정!$A$51&lt;&gt;"",ISNUMBER(SEARCH(설정!$A$51,E571&amp;" "&amp;C571))))</f>
        <v/>
      </c>
      <c r="S571">
        <f>OR(D571="",D571&gt;=설정!$B$19)</f>
        <v/>
      </c>
      <c r="T571">
        <f>AND(Q571,R571,S571)</f>
        <v/>
      </c>
      <c r="U571">
        <f>IF(T571,IF(AND(설정!$A$54&lt;&gt;"",ISNUMBER(SEARCH(설정!$A$54,K571))),설정!$B$54,IF(AND(설정!$A$55&lt;&gt;"",ISNUMBER(SEARCH(설정!$A$55,K571))),설정!$B$55,IF(AND(설정!$A$56&lt;&gt;"",ISNUMBER(SEARCH(설정!$A$56,K571))),설정!$B$56,IF(AND(설정!$A$57&lt;&gt;"",ISNUMBER(SEARCH(설정!$A$57,K571))),설정!$B$57,IF(AND(설정!$A$58&lt;&gt;"",ISNUMBER(SEARCH(설정!$A$58,K571))),설정!$B$58,IF(AND(설정!$A$59&lt;&gt;"",ISNUMBER(SEARCH(설정!$A$59,K571))),설정!$B$59,IF(AND(설정!$A$60&lt;&gt;"",ISNUMBER(SEARCH(설정!$A$60,K571))),설정!$B$60,IF(AND(설정!$A$61&lt;&gt;"",ISNUMBER(SEARCH(설정!$A$61,K571))),설정!$B$61,IF(M571="","설계사","시공사"))))))))),"")</f>
        <v/>
      </c>
      <c r="V571">
        <f>SUBSTITUTE(SUBSTITUTE(SUBSTITUTE(SUBSTITUTE(G571,"(주)",""),"㈜",""),"주식회사","")," ","")</f>
        <v/>
      </c>
      <c r="W571">
        <f>IF(AND(T571,V571&lt;&gt;""),IF(COUNTIFS(V$2:V571,V571,T$2:T571,TRUE)=1,MAX(W$1:W570)+1,""),"")</f>
        <v/>
      </c>
      <c r="X571">
        <f>IF(설정!$C$14="","",IFERROR(INDEX('1.산군_붙여넣기'!$A$1:$AZ$1001,ROW(),설정!$C$14)&amp;"",""))</f>
        <v/>
      </c>
      <c r="Y571">
        <f>IF(설정!$C$15="","",IFERROR(INDEX('1.산군_붙여넣기'!$A$1:$AZ$1001,ROW(),설정!$C$15)&amp;"",""))</f>
        <v/>
      </c>
      <c r="Z571">
        <f>IF(T571,V571&amp;"|"&amp;U571,"")</f>
        <v/>
      </c>
      <c r="AA571">
        <f>IF(NOT(Q571),"",IF(NOT(AND(R571,S571)),"✕",IF(OR(OR(AND(L571&lt;&gt;"",M571&lt;&gt;"",N(M571)-N(L571)&gt;설정!$B$27),AND(L571&lt;&gt;"",M571="",설정!$B$24-N(L571)&gt;설정!$B$27)),AND(D571&lt;&gt;"",D571&lt;설정!$B$26)),"△","★")))</f>
        <v/>
      </c>
      <c r="AB571">
        <f>IF(NOT(T571),"",IF(U571="설계사",설정!$B$31,IF(U571="시공사",IF(OR(M571="",설정!$B$24-N(M571)&lt;=설정!$B$28*30.4),설정!$B$32,설정!$B$33),설정!$B$34))+IF(AA571="★",설정!$B$35,0))</f>
        <v/>
      </c>
      <c r="AC571">
        <f>SUBSTITUTE(SUBSTITUTE(SUBSTITUTE(SUBSTITUTE(H571,"(주)",""),"㈜",""),"주식회사","")," ","")</f>
        <v/>
      </c>
      <c r="AD571">
        <f>IF(AND(T571,AC571&lt;&gt;""),IF(COUNTIFS(AC$2:AC571,AC571,T$2:T571,TRUE)=1,MAX(AD$1:AD570)+1,""),"")</f>
        <v/>
      </c>
    </row>
    <row r="572">
      <c r="A572">
        <f>ROW()</f>
        <v/>
      </c>
      <c r="B572">
        <f>IF(설정!$C$4="","",IFERROR(INDEX('1.산군_붙여넣기'!$A$1:$AZ$1001,ROW(),설정!$C$4)&amp;"",""))</f>
        <v/>
      </c>
      <c r="C572">
        <f>IF(설정!$C$5="","",IFERROR(INDEX('1.산군_붙여넣기'!$A$1:$AZ$1001,ROW(),설정!$C$5)&amp;"",""))</f>
        <v/>
      </c>
      <c r="D572" s="5">
        <f>IFERROR(VALUE(SUBSTITUTE(SUBSTITUTE(SUBSTITUTE(IF(설정!$C$6="","",IFERROR(INDEX('1.산군_붙여넣기'!$A$1:$AZ$1001,ROW(),설정!$C$6)&amp;"","")),",",""),"㎡",""),"m2","")),"")</f>
        <v/>
      </c>
      <c r="E572">
        <f>IF(설정!$C$7="","",IFERROR(INDEX('1.산군_붙여넣기'!$A$1:$AZ$1001,ROW(),설정!$C$7)&amp;"",""))</f>
        <v/>
      </c>
      <c r="F572">
        <f>IF(설정!$C$8="","",IFERROR(INDEX('1.산군_붙여넣기'!$A$1:$AZ$1001,ROW(),설정!$C$8)&amp;"",""))</f>
        <v/>
      </c>
      <c r="G572">
        <f>IF(설정!$C$9="","",IFERROR(INDEX('1.산군_붙여넣기'!$A$1:$AZ$1001,ROW(),설정!$C$9)&amp;"",""))</f>
        <v/>
      </c>
      <c r="H572">
        <f>IF(설정!$C$10="","",IFERROR(INDEX('1.산군_붙여넣기'!$A$1:$AZ$1001,ROW(),설정!$C$10)&amp;"",""))</f>
        <v/>
      </c>
      <c r="I572">
        <f>IF(설정!$C$11="","",IFERROR(INDEX('1.산군_붙여넣기'!$A$1:$AZ$1001,ROW(),설정!$C$11)&amp;"",""))</f>
        <v/>
      </c>
      <c r="J572">
        <f>IF(설정!$C$12="","",IFERROR(INDEX('1.산군_붙여넣기'!$A$1:$AZ$1001,ROW(),설정!$C$12)&amp;"",""))</f>
        <v/>
      </c>
      <c r="K572">
        <f>IF(설정!$C$13="","",IFERROR(INDEX('1.산군_붙여넣기'!$A$1:$AZ$1001,ROW(),설정!$C$13)&amp;"",""))</f>
        <v/>
      </c>
      <c r="L572" s="7">
        <f>IF(X572="","",IF(AND(LEN(X572)=8,ISNUMBER(X572*1)),DATE(LEFT(X572,4),MID(X572,5,2),RIGHT(X572,2)),IFERROR(DATEVALUE(SUBSTITUTE(SUBSTITUTE(X572,".","-"),"/","-")),IFERROR(X572*1,""))))</f>
        <v/>
      </c>
      <c r="M572" s="7">
        <f>IF(Y572="","",IF(AND(LEN(Y572)=8,ISNUMBER(Y572*1)),DATE(LEFT(Y572,4),MID(Y572,5,2),RIGHT(Y572,2)),IFERROR(DATEVALUE(SUBSTITUTE(SUBSTITUTE(Y572,".","-"),"/","-")),IFERROR(Y572*1,""))))</f>
        <v/>
      </c>
      <c r="N572">
        <f>IFERROR(LEFT(B572,FIND(" ",B572)-1),B572)</f>
        <v/>
      </c>
      <c r="O572">
        <f>AND(B572&lt;&gt;"",B572&lt;&gt;설정!$B$4,C572&lt;&gt;설정!$B$5)</f>
        <v/>
      </c>
      <c r="P572">
        <f>IF(O572,B572&amp;"|"&amp;C572,"")</f>
        <v/>
      </c>
      <c r="Q572">
        <f>AND(O572,COUNTIF(P573:P$1002,P572)=0)</f>
        <v/>
      </c>
      <c r="R572">
        <f>OR(AND(설정!$A$42&lt;&gt;"",ISNUMBER(SEARCH(설정!$A$42,E572&amp;" "&amp;C572))),AND(설정!$A$43&lt;&gt;"",ISNUMBER(SEARCH(설정!$A$43,E572&amp;" "&amp;C572))),AND(설정!$A$44&lt;&gt;"",ISNUMBER(SEARCH(설정!$A$44,E572&amp;" "&amp;C572))),AND(설정!$A$45&lt;&gt;"",ISNUMBER(SEARCH(설정!$A$45,E572&amp;" "&amp;C572))),AND(설정!$A$46&lt;&gt;"",ISNUMBER(SEARCH(설정!$A$46,E572&amp;" "&amp;C572))),AND(설정!$A$47&lt;&gt;"",ISNUMBER(SEARCH(설정!$A$47,E572&amp;" "&amp;C572))),AND(설정!$A$48&lt;&gt;"",ISNUMBER(SEARCH(설정!$A$48,E572&amp;" "&amp;C572))),AND(설정!$A$49&lt;&gt;"",ISNUMBER(SEARCH(설정!$A$49,E572&amp;" "&amp;C572))),AND(설정!$A$50&lt;&gt;"",ISNUMBER(SEARCH(설정!$A$50,E572&amp;" "&amp;C572))),AND(설정!$A$51&lt;&gt;"",ISNUMBER(SEARCH(설정!$A$51,E572&amp;" "&amp;C572))))</f>
        <v/>
      </c>
      <c r="S572">
        <f>OR(D572="",D572&gt;=설정!$B$19)</f>
        <v/>
      </c>
      <c r="T572">
        <f>AND(Q572,R572,S572)</f>
        <v/>
      </c>
      <c r="U572">
        <f>IF(T572,IF(AND(설정!$A$54&lt;&gt;"",ISNUMBER(SEARCH(설정!$A$54,K572))),설정!$B$54,IF(AND(설정!$A$55&lt;&gt;"",ISNUMBER(SEARCH(설정!$A$55,K572))),설정!$B$55,IF(AND(설정!$A$56&lt;&gt;"",ISNUMBER(SEARCH(설정!$A$56,K572))),설정!$B$56,IF(AND(설정!$A$57&lt;&gt;"",ISNUMBER(SEARCH(설정!$A$57,K572))),설정!$B$57,IF(AND(설정!$A$58&lt;&gt;"",ISNUMBER(SEARCH(설정!$A$58,K572))),설정!$B$58,IF(AND(설정!$A$59&lt;&gt;"",ISNUMBER(SEARCH(설정!$A$59,K572))),설정!$B$59,IF(AND(설정!$A$60&lt;&gt;"",ISNUMBER(SEARCH(설정!$A$60,K572))),설정!$B$60,IF(AND(설정!$A$61&lt;&gt;"",ISNUMBER(SEARCH(설정!$A$61,K572))),설정!$B$61,IF(M572="","설계사","시공사"))))))))),"")</f>
        <v/>
      </c>
      <c r="V572">
        <f>SUBSTITUTE(SUBSTITUTE(SUBSTITUTE(SUBSTITUTE(G572,"(주)",""),"㈜",""),"주식회사","")," ","")</f>
        <v/>
      </c>
      <c r="W572">
        <f>IF(AND(T572,V572&lt;&gt;""),IF(COUNTIFS(V$2:V572,V572,T$2:T572,TRUE)=1,MAX(W$1:W571)+1,""),"")</f>
        <v/>
      </c>
      <c r="X572">
        <f>IF(설정!$C$14="","",IFERROR(INDEX('1.산군_붙여넣기'!$A$1:$AZ$1001,ROW(),설정!$C$14)&amp;"",""))</f>
        <v/>
      </c>
      <c r="Y572">
        <f>IF(설정!$C$15="","",IFERROR(INDEX('1.산군_붙여넣기'!$A$1:$AZ$1001,ROW(),설정!$C$15)&amp;"",""))</f>
        <v/>
      </c>
      <c r="Z572">
        <f>IF(T572,V572&amp;"|"&amp;U572,"")</f>
        <v/>
      </c>
      <c r="AA572">
        <f>IF(NOT(Q572),"",IF(NOT(AND(R572,S572)),"✕",IF(OR(OR(AND(L572&lt;&gt;"",M572&lt;&gt;"",N(M572)-N(L572)&gt;설정!$B$27),AND(L572&lt;&gt;"",M572="",설정!$B$24-N(L572)&gt;설정!$B$27)),AND(D572&lt;&gt;"",D572&lt;설정!$B$26)),"△","★")))</f>
        <v/>
      </c>
      <c r="AB572">
        <f>IF(NOT(T572),"",IF(U572="설계사",설정!$B$31,IF(U572="시공사",IF(OR(M572="",설정!$B$24-N(M572)&lt;=설정!$B$28*30.4),설정!$B$32,설정!$B$33),설정!$B$34))+IF(AA572="★",설정!$B$35,0))</f>
        <v/>
      </c>
      <c r="AC572">
        <f>SUBSTITUTE(SUBSTITUTE(SUBSTITUTE(SUBSTITUTE(H572,"(주)",""),"㈜",""),"주식회사","")," ","")</f>
        <v/>
      </c>
      <c r="AD572">
        <f>IF(AND(T572,AC572&lt;&gt;""),IF(COUNTIFS(AC$2:AC572,AC572,T$2:T572,TRUE)=1,MAX(AD$1:AD571)+1,""),"")</f>
        <v/>
      </c>
    </row>
    <row r="573">
      <c r="A573">
        <f>ROW()</f>
        <v/>
      </c>
      <c r="B573">
        <f>IF(설정!$C$4="","",IFERROR(INDEX('1.산군_붙여넣기'!$A$1:$AZ$1001,ROW(),설정!$C$4)&amp;"",""))</f>
        <v/>
      </c>
      <c r="C573">
        <f>IF(설정!$C$5="","",IFERROR(INDEX('1.산군_붙여넣기'!$A$1:$AZ$1001,ROW(),설정!$C$5)&amp;"",""))</f>
        <v/>
      </c>
      <c r="D573" s="5">
        <f>IFERROR(VALUE(SUBSTITUTE(SUBSTITUTE(SUBSTITUTE(IF(설정!$C$6="","",IFERROR(INDEX('1.산군_붙여넣기'!$A$1:$AZ$1001,ROW(),설정!$C$6)&amp;"","")),",",""),"㎡",""),"m2","")),"")</f>
        <v/>
      </c>
      <c r="E573">
        <f>IF(설정!$C$7="","",IFERROR(INDEX('1.산군_붙여넣기'!$A$1:$AZ$1001,ROW(),설정!$C$7)&amp;"",""))</f>
        <v/>
      </c>
      <c r="F573">
        <f>IF(설정!$C$8="","",IFERROR(INDEX('1.산군_붙여넣기'!$A$1:$AZ$1001,ROW(),설정!$C$8)&amp;"",""))</f>
        <v/>
      </c>
      <c r="G573">
        <f>IF(설정!$C$9="","",IFERROR(INDEX('1.산군_붙여넣기'!$A$1:$AZ$1001,ROW(),설정!$C$9)&amp;"",""))</f>
        <v/>
      </c>
      <c r="H573">
        <f>IF(설정!$C$10="","",IFERROR(INDEX('1.산군_붙여넣기'!$A$1:$AZ$1001,ROW(),설정!$C$10)&amp;"",""))</f>
        <v/>
      </c>
      <c r="I573">
        <f>IF(설정!$C$11="","",IFERROR(INDEX('1.산군_붙여넣기'!$A$1:$AZ$1001,ROW(),설정!$C$11)&amp;"",""))</f>
        <v/>
      </c>
      <c r="J573">
        <f>IF(설정!$C$12="","",IFERROR(INDEX('1.산군_붙여넣기'!$A$1:$AZ$1001,ROW(),설정!$C$12)&amp;"",""))</f>
        <v/>
      </c>
      <c r="K573">
        <f>IF(설정!$C$13="","",IFERROR(INDEX('1.산군_붙여넣기'!$A$1:$AZ$1001,ROW(),설정!$C$13)&amp;"",""))</f>
        <v/>
      </c>
      <c r="L573" s="7">
        <f>IF(X573="","",IF(AND(LEN(X573)=8,ISNUMBER(X573*1)),DATE(LEFT(X573,4),MID(X573,5,2),RIGHT(X573,2)),IFERROR(DATEVALUE(SUBSTITUTE(SUBSTITUTE(X573,".","-"),"/","-")),IFERROR(X573*1,""))))</f>
        <v/>
      </c>
      <c r="M573" s="7">
        <f>IF(Y573="","",IF(AND(LEN(Y573)=8,ISNUMBER(Y573*1)),DATE(LEFT(Y573,4),MID(Y573,5,2),RIGHT(Y573,2)),IFERROR(DATEVALUE(SUBSTITUTE(SUBSTITUTE(Y573,".","-"),"/","-")),IFERROR(Y573*1,""))))</f>
        <v/>
      </c>
      <c r="N573">
        <f>IFERROR(LEFT(B573,FIND(" ",B573)-1),B573)</f>
        <v/>
      </c>
      <c r="O573">
        <f>AND(B573&lt;&gt;"",B573&lt;&gt;설정!$B$4,C573&lt;&gt;설정!$B$5)</f>
        <v/>
      </c>
      <c r="P573">
        <f>IF(O573,B573&amp;"|"&amp;C573,"")</f>
        <v/>
      </c>
      <c r="Q573">
        <f>AND(O573,COUNTIF(P574:P$1002,P573)=0)</f>
        <v/>
      </c>
      <c r="R573">
        <f>OR(AND(설정!$A$42&lt;&gt;"",ISNUMBER(SEARCH(설정!$A$42,E573&amp;" "&amp;C573))),AND(설정!$A$43&lt;&gt;"",ISNUMBER(SEARCH(설정!$A$43,E573&amp;" "&amp;C573))),AND(설정!$A$44&lt;&gt;"",ISNUMBER(SEARCH(설정!$A$44,E573&amp;" "&amp;C573))),AND(설정!$A$45&lt;&gt;"",ISNUMBER(SEARCH(설정!$A$45,E573&amp;" "&amp;C573))),AND(설정!$A$46&lt;&gt;"",ISNUMBER(SEARCH(설정!$A$46,E573&amp;" "&amp;C573))),AND(설정!$A$47&lt;&gt;"",ISNUMBER(SEARCH(설정!$A$47,E573&amp;" "&amp;C573))),AND(설정!$A$48&lt;&gt;"",ISNUMBER(SEARCH(설정!$A$48,E573&amp;" "&amp;C573))),AND(설정!$A$49&lt;&gt;"",ISNUMBER(SEARCH(설정!$A$49,E573&amp;" "&amp;C573))),AND(설정!$A$50&lt;&gt;"",ISNUMBER(SEARCH(설정!$A$50,E573&amp;" "&amp;C573))),AND(설정!$A$51&lt;&gt;"",ISNUMBER(SEARCH(설정!$A$51,E573&amp;" "&amp;C573))))</f>
        <v/>
      </c>
      <c r="S573">
        <f>OR(D573="",D573&gt;=설정!$B$19)</f>
        <v/>
      </c>
      <c r="T573">
        <f>AND(Q573,R573,S573)</f>
        <v/>
      </c>
      <c r="U573">
        <f>IF(T573,IF(AND(설정!$A$54&lt;&gt;"",ISNUMBER(SEARCH(설정!$A$54,K573))),설정!$B$54,IF(AND(설정!$A$55&lt;&gt;"",ISNUMBER(SEARCH(설정!$A$55,K573))),설정!$B$55,IF(AND(설정!$A$56&lt;&gt;"",ISNUMBER(SEARCH(설정!$A$56,K573))),설정!$B$56,IF(AND(설정!$A$57&lt;&gt;"",ISNUMBER(SEARCH(설정!$A$57,K573))),설정!$B$57,IF(AND(설정!$A$58&lt;&gt;"",ISNUMBER(SEARCH(설정!$A$58,K573))),설정!$B$58,IF(AND(설정!$A$59&lt;&gt;"",ISNUMBER(SEARCH(설정!$A$59,K573))),설정!$B$59,IF(AND(설정!$A$60&lt;&gt;"",ISNUMBER(SEARCH(설정!$A$60,K573))),설정!$B$60,IF(AND(설정!$A$61&lt;&gt;"",ISNUMBER(SEARCH(설정!$A$61,K573))),설정!$B$61,IF(M573="","설계사","시공사"))))))))),"")</f>
        <v/>
      </c>
      <c r="V573">
        <f>SUBSTITUTE(SUBSTITUTE(SUBSTITUTE(SUBSTITUTE(G573,"(주)",""),"㈜",""),"주식회사","")," ","")</f>
        <v/>
      </c>
      <c r="W573">
        <f>IF(AND(T573,V573&lt;&gt;""),IF(COUNTIFS(V$2:V573,V573,T$2:T573,TRUE)=1,MAX(W$1:W572)+1,""),"")</f>
        <v/>
      </c>
      <c r="X573">
        <f>IF(설정!$C$14="","",IFERROR(INDEX('1.산군_붙여넣기'!$A$1:$AZ$1001,ROW(),설정!$C$14)&amp;"",""))</f>
        <v/>
      </c>
      <c r="Y573">
        <f>IF(설정!$C$15="","",IFERROR(INDEX('1.산군_붙여넣기'!$A$1:$AZ$1001,ROW(),설정!$C$15)&amp;"",""))</f>
        <v/>
      </c>
      <c r="Z573">
        <f>IF(T573,V573&amp;"|"&amp;U573,"")</f>
        <v/>
      </c>
      <c r="AA573">
        <f>IF(NOT(Q573),"",IF(NOT(AND(R573,S573)),"✕",IF(OR(OR(AND(L573&lt;&gt;"",M573&lt;&gt;"",N(M573)-N(L573)&gt;설정!$B$27),AND(L573&lt;&gt;"",M573="",설정!$B$24-N(L573)&gt;설정!$B$27)),AND(D573&lt;&gt;"",D573&lt;설정!$B$26)),"△","★")))</f>
        <v/>
      </c>
      <c r="AB573">
        <f>IF(NOT(T573),"",IF(U573="설계사",설정!$B$31,IF(U573="시공사",IF(OR(M573="",설정!$B$24-N(M573)&lt;=설정!$B$28*30.4),설정!$B$32,설정!$B$33),설정!$B$34))+IF(AA573="★",설정!$B$35,0))</f>
        <v/>
      </c>
      <c r="AC573">
        <f>SUBSTITUTE(SUBSTITUTE(SUBSTITUTE(SUBSTITUTE(H573,"(주)",""),"㈜",""),"주식회사","")," ","")</f>
        <v/>
      </c>
      <c r="AD573">
        <f>IF(AND(T573,AC573&lt;&gt;""),IF(COUNTIFS(AC$2:AC573,AC573,T$2:T573,TRUE)=1,MAX(AD$1:AD572)+1,""),"")</f>
        <v/>
      </c>
    </row>
    <row r="574">
      <c r="A574">
        <f>ROW()</f>
        <v/>
      </c>
      <c r="B574">
        <f>IF(설정!$C$4="","",IFERROR(INDEX('1.산군_붙여넣기'!$A$1:$AZ$1001,ROW(),설정!$C$4)&amp;"",""))</f>
        <v/>
      </c>
      <c r="C574">
        <f>IF(설정!$C$5="","",IFERROR(INDEX('1.산군_붙여넣기'!$A$1:$AZ$1001,ROW(),설정!$C$5)&amp;"",""))</f>
        <v/>
      </c>
      <c r="D574" s="5">
        <f>IFERROR(VALUE(SUBSTITUTE(SUBSTITUTE(SUBSTITUTE(IF(설정!$C$6="","",IFERROR(INDEX('1.산군_붙여넣기'!$A$1:$AZ$1001,ROW(),설정!$C$6)&amp;"","")),",",""),"㎡",""),"m2","")),"")</f>
        <v/>
      </c>
      <c r="E574">
        <f>IF(설정!$C$7="","",IFERROR(INDEX('1.산군_붙여넣기'!$A$1:$AZ$1001,ROW(),설정!$C$7)&amp;"",""))</f>
        <v/>
      </c>
      <c r="F574">
        <f>IF(설정!$C$8="","",IFERROR(INDEX('1.산군_붙여넣기'!$A$1:$AZ$1001,ROW(),설정!$C$8)&amp;"",""))</f>
        <v/>
      </c>
      <c r="G574">
        <f>IF(설정!$C$9="","",IFERROR(INDEX('1.산군_붙여넣기'!$A$1:$AZ$1001,ROW(),설정!$C$9)&amp;"",""))</f>
        <v/>
      </c>
      <c r="H574">
        <f>IF(설정!$C$10="","",IFERROR(INDEX('1.산군_붙여넣기'!$A$1:$AZ$1001,ROW(),설정!$C$10)&amp;"",""))</f>
        <v/>
      </c>
      <c r="I574">
        <f>IF(설정!$C$11="","",IFERROR(INDEX('1.산군_붙여넣기'!$A$1:$AZ$1001,ROW(),설정!$C$11)&amp;"",""))</f>
        <v/>
      </c>
      <c r="J574">
        <f>IF(설정!$C$12="","",IFERROR(INDEX('1.산군_붙여넣기'!$A$1:$AZ$1001,ROW(),설정!$C$12)&amp;"",""))</f>
        <v/>
      </c>
      <c r="K574">
        <f>IF(설정!$C$13="","",IFERROR(INDEX('1.산군_붙여넣기'!$A$1:$AZ$1001,ROW(),설정!$C$13)&amp;"",""))</f>
        <v/>
      </c>
      <c r="L574" s="7">
        <f>IF(X574="","",IF(AND(LEN(X574)=8,ISNUMBER(X574*1)),DATE(LEFT(X574,4),MID(X574,5,2),RIGHT(X574,2)),IFERROR(DATEVALUE(SUBSTITUTE(SUBSTITUTE(X574,".","-"),"/","-")),IFERROR(X574*1,""))))</f>
        <v/>
      </c>
      <c r="M574" s="7">
        <f>IF(Y574="","",IF(AND(LEN(Y574)=8,ISNUMBER(Y574*1)),DATE(LEFT(Y574,4),MID(Y574,5,2),RIGHT(Y574,2)),IFERROR(DATEVALUE(SUBSTITUTE(SUBSTITUTE(Y574,".","-"),"/","-")),IFERROR(Y574*1,""))))</f>
        <v/>
      </c>
      <c r="N574">
        <f>IFERROR(LEFT(B574,FIND(" ",B574)-1),B574)</f>
        <v/>
      </c>
      <c r="O574">
        <f>AND(B574&lt;&gt;"",B574&lt;&gt;설정!$B$4,C574&lt;&gt;설정!$B$5)</f>
        <v/>
      </c>
      <c r="P574">
        <f>IF(O574,B574&amp;"|"&amp;C574,"")</f>
        <v/>
      </c>
      <c r="Q574">
        <f>AND(O574,COUNTIF(P575:P$1002,P574)=0)</f>
        <v/>
      </c>
      <c r="R574">
        <f>OR(AND(설정!$A$42&lt;&gt;"",ISNUMBER(SEARCH(설정!$A$42,E574&amp;" "&amp;C574))),AND(설정!$A$43&lt;&gt;"",ISNUMBER(SEARCH(설정!$A$43,E574&amp;" "&amp;C574))),AND(설정!$A$44&lt;&gt;"",ISNUMBER(SEARCH(설정!$A$44,E574&amp;" "&amp;C574))),AND(설정!$A$45&lt;&gt;"",ISNUMBER(SEARCH(설정!$A$45,E574&amp;" "&amp;C574))),AND(설정!$A$46&lt;&gt;"",ISNUMBER(SEARCH(설정!$A$46,E574&amp;" "&amp;C574))),AND(설정!$A$47&lt;&gt;"",ISNUMBER(SEARCH(설정!$A$47,E574&amp;" "&amp;C574))),AND(설정!$A$48&lt;&gt;"",ISNUMBER(SEARCH(설정!$A$48,E574&amp;" "&amp;C574))),AND(설정!$A$49&lt;&gt;"",ISNUMBER(SEARCH(설정!$A$49,E574&amp;" "&amp;C574))),AND(설정!$A$50&lt;&gt;"",ISNUMBER(SEARCH(설정!$A$50,E574&amp;" "&amp;C574))),AND(설정!$A$51&lt;&gt;"",ISNUMBER(SEARCH(설정!$A$51,E574&amp;" "&amp;C574))))</f>
        <v/>
      </c>
      <c r="S574">
        <f>OR(D574="",D574&gt;=설정!$B$19)</f>
        <v/>
      </c>
      <c r="T574">
        <f>AND(Q574,R574,S574)</f>
        <v/>
      </c>
      <c r="U574">
        <f>IF(T574,IF(AND(설정!$A$54&lt;&gt;"",ISNUMBER(SEARCH(설정!$A$54,K574))),설정!$B$54,IF(AND(설정!$A$55&lt;&gt;"",ISNUMBER(SEARCH(설정!$A$55,K574))),설정!$B$55,IF(AND(설정!$A$56&lt;&gt;"",ISNUMBER(SEARCH(설정!$A$56,K574))),설정!$B$56,IF(AND(설정!$A$57&lt;&gt;"",ISNUMBER(SEARCH(설정!$A$57,K574))),설정!$B$57,IF(AND(설정!$A$58&lt;&gt;"",ISNUMBER(SEARCH(설정!$A$58,K574))),설정!$B$58,IF(AND(설정!$A$59&lt;&gt;"",ISNUMBER(SEARCH(설정!$A$59,K574))),설정!$B$59,IF(AND(설정!$A$60&lt;&gt;"",ISNUMBER(SEARCH(설정!$A$60,K574))),설정!$B$60,IF(AND(설정!$A$61&lt;&gt;"",ISNUMBER(SEARCH(설정!$A$61,K574))),설정!$B$61,IF(M574="","설계사","시공사"))))))))),"")</f>
        <v/>
      </c>
      <c r="V574">
        <f>SUBSTITUTE(SUBSTITUTE(SUBSTITUTE(SUBSTITUTE(G574,"(주)",""),"㈜",""),"주식회사","")," ","")</f>
        <v/>
      </c>
      <c r="W574">
        <f>IF(AND(T574,V574&lt;&gt;""),IF(COUNTIFS(V$2:V574,V574,T$2:T574,TRUE)=1,MAX(W$1:W573)+1,""),"")</f>
        <v/>
      </c>
      <c r="X574">
        <f>IF(설정!$C$14="","",IFERROR(INDEX('1.산군_붙여넣기'!$A$1:$AZ$1001,ROW(),설정!$C$14)&amp;"",""))</f>
        <v/>
      </c>
      <c r="Y574">
        <f>IF(설정!$C$15="","",IFERROR(INDEX('1.산군_붙여넣기'!$A$1:$AZ$1001,ROW(),설정!$C$15)&amp;"",""))</f>
        <v/>
      </c>
      <c r="Z574">
        <f>IF(T574,V574&amp;"|"&amp;U574,"")</f>
        <v/>
      </c>
      <c r="AA574">
        <f>IF(NOT(Q574),"",IF(NOT(AND(R574,S574)),"✕",IF(OR(OR(AND(L574&lt;&gt;"",M574&lt;&gt;"",N(M574)-N(L574)&gt;설정!$B$27),AND(L574&lt;&gt;"",M574="",설정!$B$24-N(L574)&gt;설정!$B$27)),AND(D574&lt;&gt;"",D574&lt;설정!$B$26)),"△","★")))</f>
        <v/>
      </c>
      <c r="AB574">
        <f>IF(NOT(T574),"",IF(U574="설계사",설정!$B$31,IF(U574="시공사",IF(OR(M574="",설정!$B$24-N(M574)&lt;=설정!$B$28*30.4),설정!$B$32,설정!$B$33),설정!$B$34))+IF(AA574="★",설정!$B$35,0))</f>
        <v/>
      </c>
      <c r="AC574">
        <f>SUBSTITUTE(SUBSTITUTE(SUBSTITUTE(SUBSTITUTE(H574,"(주)",""),"㈜",""),"주식회사","")," ","")</f>
        <v/>
      </c>
      <c r="AD574">
        <f>IF(AND(T574,AC574&lt;&gt;""),IF(COUNTIFS(AC$2:AC574,AC574,T$2:T574,TRUE)=1,MAX(AD$1:AD573)+1,""),"")</f>
        <v/>
      </c>
    </row>
    <row r="575">
      <c r="A575">
        <f>ROW()</f>
        <v/>
      </c>
      <c r="B575">
        <f>IF(설정!$C$4="","",IFERROR(INDEX('1.산군_붙여넣기'!$A$1:$AZ$1001,ROW(),설정!$C$4)&amp;"",""))</f>
        <v/>
      </c>
      <c r="C575">
        <f>IF(설정!$C$5="","",IFERROR(INDEX('1.산군_붙여넣기'!$A$1:$AZ$1001,ROW(),설정!$C$5)&amp;"",""))</f>
        <v/>
      </c>
      <c r="D575" s="5">
        <f>IFERROR(VALUE(SUBSTITUTE(SUBSTITUTE(SUBSTITUTE(IF(설정!$C$6="","",IFERROR(INDEX('1.산군_붙여넣기'!$A$1:$AZ$1001,ROW(),설정!$C$6)&amp;"","")),",",""),"㎡",""),"m2","")),"")</f>
        <v/>
      </c>
      <c r="E575">
        <f>IF(설정!$C$7="","",IFERROR(INDEX('1.산군_붙여넣기'!$A$1:$AZ$1001,ROW(),설정!$C$7)&amp;"",""))</f>
        <v/>
      </c>
      <c r="F575">
        <f>IF(설정!$C$8="","",IFERROR(INDEX('1.산군_붙여넣기'!$A$1:$AZ$1001,ROW(),설정!$C$8)&amp;"",""))</f>
        <v/>
      </c>
      <c r="G575">
        <f>IF(설정!$C$9="","",IFERROR(INDEX('1.산군_붙여넣기'!$A$1:$AZ$1001,ROW(),설정!$C$9)&amp;"",""))</f>
        <v/>
      </c>
      <c r="H575">
        <f>IF(설정!$C$10="","",IFERROR(INDEX('1.산군_붙여넣기'!$A$1:$AZ$1001,ROW(),설정!$C$10)&amp;"",""))</f>
        <v/>
      </c>
      <c r="I575">
        <f>IF(설정!$C$11="","",IFERROR(INDEX('1.산군_붙여넣기'!$A$1:$AZ$1001,ROW(),설정!$C$11)&amp;"",""))</f>
        <v/>
      </c>
      <c r="J575">
        <f>IF(설정!$C$12="","",IFERROR(INDEX('1.산군_붙여넣기'!$A$1:$AZ$1001,ROW(),설정!$C$12)&amp;"",""))</f>
        <v/>
      </c>
      <c r="K575">
        <f>IF(설정!$C$13="","",IFERROR(INDEX('1.산군_붙여넣기'!$A$1:$AZ$1001,ROW(),설정!$C$13)&amp;"",""))</f>
        <v/>
      </c>
      <c r="L575" s="7">
        <f>IF(X575="","",IF(AND(LEN(X575)=8,ISNUMBER(X575*1)),DATE(LEFT(X575,4),MID(X575,5,2),RIGHT(X575,2)),IFERROR(DATEVALUE(SUBSTITUTE(SUBSTITUTE(X575,".","-"),"/","-")),IFERROR(X575*1,""))))</f>
        <v/>
      </c>
      <c r="M575" s="7">
        <f>IF(Y575="","",IF(AND(LEN(Y575)=8,ISNUMBER(Y575*1)),DATE(LEFT(Y575,4),MID(Y575,5,2),RIGHT(Y575,2)),IFERROR(DATEVALUE(SUBSTITUTE(SUBSTITUTE(Y575,".","-"),"/","-")),IFERROR(Y575*1,""))))</f>
        <v/>
      </c>
      <c r="N575">
        <f>IFERROR(LEFT(B575,FIND(" ",B575)-1),B575)</f>
        <v/>
      </c>
      <c r="O575">
        <f>AND(B575&lt;&gt;"",B575&lt;&gt;설정!$B$4,C575&lt;&gt;설정!$B$5)</f>
        <v/>
      </c>
      <c r="P575">
        <f>IF(O575,B575&amp;"|"&amp;C575,"")</f>
        <v/>
      </c>
      <c r="Q575">
        <f>AND(O575,COUNTIF(P576:P$1002,P575)=0)</f>
        <v/>
      </c>
      <c r="R575">
        <f>OR(AND(설정!$A$42&lt;&gt;"",ISNUMBER(SEARCH(설정!$A$42,E575&amp;" "&amp;C575))),AND(설정!$A$43&lt;&gt;"",ISNUMBER(SEARCH(설정!$A$43,E575&amp;" "&amp;C575))),AND(설정!$A$44&lt;&gt;"",ISNUMBER(SEARCH(설정!$A$44,E575&amp;" "&amp;C575))),AND(설정!$A$45&lt;&gt;"",ISNUMBER(SEARCH(설정!$A$45,E575&amp;" "&amp;C575))),AND(설정!$A$46&lt;&gt;"",ISNUMBER(SEARCH(설정!$A$46,E575&amp;" "&amp;C575))),AND(설정!$A$47&lt;&gt;"",ISNUMBER(SEARCH(설정!$A$47,E575&amp;" "&amp;C575))),AND(설정!$A$48&lt;&gt;"",ISNUMBER(SEARCH(설정!$A$48,E575&amp;" "&amp;C575))),AND(설정!$A$49&lt;&gt;"",ISNUMBER(SEARCH(설정!$A$49,E575&amp;" "&amp;C575))),AND(설정!$A$50&lt;&gt;"",ISNUMBER(SEARCH(설정!$A$50,E575&amp;" "&amp;C575))),AND(설정!$A$51&lt;&gt;"",ISNUMBER(SEARCH(설정!$A$51,E575&amp;" "&amp;C575))))</f>
        <v/>
      </c>
      <c r="S575">
        <f>OR(D575="",D575&gt;=설정!$B$19)</f>
        <v/>
      </c>
      <c r="T575">
        <f>AND(Q575,R575,S575)</f>
        <v/>
      </c>
      <c r="U575">
        <f>IF(T575,IF(AND(설정!$A$54&lt;&gt;"",ISNUMBER(SEARCH(설정!$A$54,K575))),설정!$B$54,IF(AND(설정!$A$55&lt;&gt;"",ISNUMBER(SEARCH(설정!$A$55,K575))),설정!$B$55,IF(AND(설정!$A$56&lt;&gt;"",ISNUMBER(SEARCH(설정!$A$56,K575))),설정!$B$56,IF(AND(설정!$A$57&lt;&gt;"",ISNUMBER(SEARCH(설정!$A$57,K575))),설정!$B$57,IF(AND(설정!$A$58&lt;&gt;"",ISNUMBER(SEARCH(설정!$A$58,K575))),설정!$B$58,IF(AND(설정!$A$59&lt;&gt;"",ISNUMBER(SEARCH(설정!$A$59,K575))),설정!$B$59,IF(AND(설정!$A$60&lt;&gt;"",ISNUMBER(SEARCH(설정!$A$60,K575))),설정!$B$60,IF(AND(설정!$A$61&lt;&gt;"",ISNUMBER(SEARCH(설정!$A$61,K575))),설정!$B$61,IF(M575="","설계사","시공사"))))))))),"")</f>
        <v/>
      </c>
      <c r="V575">
        <f>SUBSTITUTE(SUBSTITUTE(SUBSTITUTE(SUBSTITUTE(G575,"(주)",""),"㈜",""),"주식회사","")," ","")</f>
        <v/>
      </c>
      <c r="W575">
        <f>IF(AND(T575,V575&lt;&gt;""),IF(COUNTIFS(V$2:V575,V575,T$2:T575,TRUE)=1,MAX(W$1:W574)+1,""),"")</f>
        <v/>
      </c>
      <c r="X575">
        <f>IF(설정!$C$14="","",IFERROR(INDEX('1.산군_붙여넣기'!$A$1:$AZ$1001,ROW(),설정!$C$14)&amp;"",""))</f>
        <v/>
      </c>
      <c r="Y575">
        <f>IF(설정!$C$15="","",IFERROR(INDEX('1.산군_붙여넣기'!$A$1:$AZ$1001,ROW(),설정!$C$15)&amp;"",""))</f>
        <v/>
      </c>
      <c r="Z575">
        <f>IF(T575,V575&amp;"|"&amp;U575,"")</f>
        <v/>
      </c>
      <c r="AA575">
        <f>IF(NOT(Q575),"",IF(NOT(AND(R575,S575)),"✕",IF(OR(OR(AND(L575&lt;&gt;"",M575&lt;&gt;"",N(M575)-N(L575)&gt;설정!$B$27),AND(L575&lt;&gt;"",M575="",설정!$B$24-N(L575)&gt;설정!$B$27)),AND(D575&lt;&gt;"",D575&lt;설정!$B$26)),"△","★")))</f>
        <v/>
      </c>
      <c r="AB575">
        <f>IF(NOT(T575),"",IF(U575="설계사",설정!$B$31,IF(U575="시공사",IF(OR(M575="",설정!$B$24-N(M575)&lt;=설정!$B$28*30.4),설정!$B$32,설정!$B$33),설정!$B$34))+IF(AA575="★",설정!$B$35,0))</f>
        <v/>
      </c>
      <c r="AC575">
        <f>SUBSTITUTE(SUBSTITUTE(SUBSTITUTE(SUBSTITUTE(H575,"(주)",""),"㈜",""),"주식회사","")," ","")</f>
        <v/>
      </c>
      <c r="AD575">
        <f>IF(AND(T575,AC575&lt;&gt;""),IF(COUNTIFS(AC$2:AC575,AC575,T$2:T575,TRUE)=1,MAX(AD$1:AD574)+1,""),"")</f>
        <v/>
      </c>
    </row>
    <row r="576">
      <c r="A576">
        <f>ROW()</f>
        <v/>
      </c>
      <c r="B576">
        <f>IF(설정!$C$4="","",IFERROR(INDEX('1.산군_붙여넣기'!$A$1:$AZ$1001,ROW(),설정!$C$4)&amp;"",""))</f>
        <v/>
      </c>
      <c r="C576">
        <f>IF(설정!$C$5="","",IFERROR(INDEX('1.산군_붙여넣기'!$A$1:$AZ$1001,ROW(),설정!$C$5)&amp;"",""))</f>
        <v/>
      </c>
      <c r="D576" s="5">
        <f>IFERROR(VALUE(SUBSTITUTE(SUBSTITUTE(SUBSTITUTE(IF(설정!$C$6="","",IFERROR(INDEX('1.산군_붙여넣기'!$A$1:$AZ$1001,ROW(),설정!$C$6)&amp;"","")),",",""),"㎡",""),"m2","")),"")</f>
        <v/>
      </c>
      <c r="E576">
        <f>IF(설정!$C$7="","",IFERROR(INDEX('1.산군_붙여넣기'!$A$1:$AZ$1001,ROW(),설정!$C$7)&amp;"",""))</f>
        <v/>
      </c>
      <c r="F576">
        <f>IF(설정!$C$8="","",IFERROR(INDEX('1.산군_붙여넣기'!$A$1:$AZ$1001,ROW(),설정!$C$8)&amp;"",""))</f>
        <v/>
      </c>
      <c r="G576">
        <f>IF(설정!$C$9="","",IFERROR(INDEX('1.산군_붙여넣기'!$A$1:$AZ$1001,ROW(),설정!$C$9)&amp;"",""))</f>
        <v/>
      </c>
      <c r="H576">
        <f>IF(설정!$C$10="","",IFERROR(INDEX('1.산군_붙여넣기'!$A$1:$AZ$1001,ROW(),설정!$C$10)&amp;"",""))</f>
        <v/>
      </c>
      <c r="I576">
        <f>IF(설정!$C$11="","",IFERROR(INDEX('1.산군_붙여넣기'!$A$1:$AZ$1001,ROW(),설정!$C$11)&amp;"",""))</f>
        <v/>
      </c>
      <c r="J576">
        <f>IF(설정!$C$12="","",IFERROR(INDEX('1.산군_붙여넣기'!$A$1:$AZ$1001,ROW(),설정!$C$12)&amp;"",""))</f>
        <v/>
      </c>
      <c r="K576">
        <f>IF(설정!$C$13="","",IFERROR(INDEX('1.산군_붙여넣기'!$A$1:$AZ$1001,ROW(),설정!$C$13)&amp;"",""))</f>
        <v/>
      </c>
      <c r="L576" s="7">
        <f>IF(X576="","",IF(AND(LEN(X576)=8,ISNUMBER(X576*1)),DATE(LEFT(X576,4),MID(X576,5,2),RIGHT(X576,2)),IFERROR(DATEVALUE(SUBSTITUTE(SUBSTITUTE(X576,".","-"),"/","-")),IFERROR(X576*1,""))))</f>
        <v/>
      </c>
      <c r="M576" s="7">
        <f>IF(Y576="","",IF(AND(LEN(Y576)=8,ISNUMBER(Y576*1)),DATE(LEFT(Y576,4),MID(Y576,5,2),RIGHT(Y576,2)),IFERROR(DATEVALUE(SUBSTITUTE(SUBSTITUTE(Y576,".","-"),"/","-")),IFERROR(Y576*1,""))))</f>
        <v/>
      </c>
      <c r="N576">
        <f>IFERROR(LEFT(B576,FIND(" ",B576)-1),B576)</f>
        <v/>
      </c>
      <c r="O576">
        <f>AND(B576&lt;&gt;"",B576&lt;&gt;설정!$B$4,C576&lt;&gt;설정!$B$5)</f>
        <v/>
      </c>
      <c r="P576">
        <f>IF(O576,B576&amp;"|"&amp;C576,"")</f>
        <v/>
      </c>
      <c r="Q576">
        <f>AND(O576,COUNTIF(P577:P$1002,P576)=0)</f>
        <v/>
      </c>
      <c r="R576">
        <f>OR(AND(설정!$A$42&lt;&gt;"",ISNUMBER(SEARCH(설정!$A$42,E576&amp;" "&amp;C576))),AND(설정!$A$43&lt;&gt;"",ISNUMBER(SEARCH(설정!$A$43,E576&amp;" "&amp;C576))),AND(설정!$A$44&lt;&gt;"",ISNUMBER(SEARCH(설정!$A$44,E576&amp;" "&amp;C576))),AND(설정!$A$45&lt;&gt;"",ISNUMBER(SEARCH(설정!$A$45,E576&amp;" "&amp;C576))),AND(설정!$A$46&lt;&gt;"",ISNUMBER(SEARCH(설정!$A$46,E576&amp;" "&amp;C576))),AND(설정!$A$47&lt;&gt;"",ISNUMBER(SEARCH(설정!$A$47,E576&amp;" "&amp;C576))),AND(설정!$A$48&lt;&gt;"",ISNUMBER(SEARCH(설정!$A$48,E576&amp;" "&amp;C576))),AND(설정!$A$49&lt;&gt;"",ISNUMBER(SEARCH(설정!$A$49,E576&amp;" "&amp;C576))),AND(설정!$A$50&lt;&gt;"",ISNUMBER(SEARCH(설정!$A$50,E576&amp;" "&amp;C576))),AND(설정!$A$51&lt;&gt;"",ISNUMBER(SEARCH(설정!$A$51,E576&amp;" "&amp;C576))))</f>
        <v/>
      </c>
      <c r="S576">
        <f>OR(D576="",D576&gt;=설정!$B$19)</f>
        <v/>
      </c>
      <c r="T576">
        <f>AND(Q576,R576,S576)</f>
        <v/>
      </c>
      <c r="U576">
        <f>IF(T576,IF(AND(설정!$A$54&lt;&gt;"",ISNUMBER(SEARCH(설정!$A$54,K576))),설정!$B$54,IF(AND(설정!$A$55&lt;&gt;"",ISNUMBER(SEARCH(설정!$A$55,K576))),설정!$B$55,IF(AND(설정!$A$56&lt;&gt;"",ISNUMBER(SEARCH(설정!$A$56,K576))),설정!$B$56,IF(AND(설정!$A$57&lt;&gt;"",ISNUMBER(SEARCH(설정!$A$57,K576))),설정!$B$57,IF(AND(설정!$A$58&lt;&gt;"",ISNUMBER(SEARCH(설정!$A$58,K576))),설정!$B$58,IF(AND(설정!$A$59&lt;&gt;"",ISNUMBER(SEARCH(설정!$A$59,K576))),설정!$B$59,IF(AND(설정!$A$60&lt;&gt;"",ISNUMBER(SEARCH(설정!$A$60,K576))),설정!$B$60,IF(AND(설정!$A$61&lt;&gt;"",ISNUMBER(SEARCH(설정!$A$61,K576))),설정!$B$61,IF(M576="","설계사","시공사"))))))))),"")</f>
        <v/>
      </c>
      <c r="V576">
        <f>SUBSTITUTE(SUBSTITUTE(SUBSTITUTE(SUBSTITUTE(G576,"(주)",""),"㈜",""),"주식회사","")," ","")</f>
        <v/>
      </c>
      <c r="W576">
        <f>IF(AND(T576,V576&lt;&gt;""),IF(COUNTIFS(V$2:V576,V576,T$2:T576,TRUE)=1,MAX(W$1:W575)+1,""),"")</f>
        <v/>
      </c>
      <c r="X576">
        <f>IF(설정!$C$14="","",IFERROR(INDEX('1.산군_붙여넣기'!$A$1:$AZ$1001,ROW(),설정!$C$14)&amp;"",""))</f>
        <v/>
      </c>
      <c r="Y576">
        <f>IF(설정!$C$15="","",IFERROR(INDEX('1.산군_붙여넣기'!$A$1:$AZ$1001,ROW(),설정!$C$15)&amp;"",""))</f>
        <v/>
      </c>
      <c r="Z576">
        <f>IF(T576,V576&amp;"|"&amp;U576,"")</f>
        <v/>
      </c>
      <c r="AA576">
        <f>IF(NOT(Q576),"",IF(NOT(AND(R576,S576)),"✕",IF(OR(OR(AND(L576&lt;&gt;"",M576&lt;&gt;"",N(M576)-N(L576)&gt;설정!$B$27),AND(L576&lt;&gt;"",M576="",설정!$B$24-N(L576)&gt;설정!$B$27)),AND(D576&lt;&gt;"",D576&lt;설정!$B$26)),"△","★")))</f>
        <v/>
      </c>
      <c r="AB576">
        <f>IF(NOT(T576),"",IF(U576="설계사",설정!$B$31,IF(U576="시공사",IF(OR(M576="",설정!$B$24-N(M576)&lt;=설정!$B$28*30.4),설정!$B$32,설정!$B$33),설정!$B$34))+IF(AA576="★",설정!$B$35,0))</f>
        <v/>
      </c>
      <c r="AC576">
        <f>SUBSTITUTE(SUBSTITUTE(SUBSTITUTE(SUBSTITUTE(H576,"(주)",""),"㈜",""),"주식회사","")," ","")</f>
        <v/>
      </c>
      <c r="AD576">
        <f>IF(AND(T576,AC576&lt;&gt;""),IF(COUNTIFS(AC$2:AC576,AC576,T$2:T576,TRUE)=1,MAX(AD$1:AD575)+1,""),"")</f>
        <v/>
      </c>
    </row>
    <row r="577">
      <c r="A577">
        <f>ROW()</f>
        <v/>
      </c>
      <c r="B577">
        <f>IF(설정!$C$4="","",IFERROR(INDEX('1.산군_붙여넣기'!$A$1:$AZ$1001,ROW(),설정!$C$4)&amp;"",""))</f>
        <v/>
      </c>
      <c r="C577">
        <f>IF(설정!$C$5="","",IFERROR(INDEX('1.산군_붙여넣기'!$A$1:$AZ$1001,ROW(),설정!$C$5)&amp;"",""))</f>
        <v/>
      </c>
      <c r="D577" s="5">
        <f>IFERROR(VALUE(SUBSTITUTE(SUBSTITUTE(SUBSTITUTE(IF(설정!$C$6="","",IFERROR(INDEX('1.산군_붙여넣기'!$A$1:$AZ$1001,ROW(),설정!$C$6)&amp;"","")),",",""),"㎡",""),"m2","")),"")</f>
        <v/>
      </c>
      <c r="E577">
        <f>IF(설정!$C$7="","",IFERROR(INDEX('1.산군_붙여넣기'!$A$1:$AZ$1001,ROW(),설정!$C$7)&amp;"",""))</f>
        <v/>
      </c>
      <c r="F577">
        <f>IF(설정!$C$8="","",IFERROR(INDEX('1.산군_붙여넣기'!$A$1:$AZ$1001,ROW(),설정!$C$8)&amp;"",""))</f>
        <v/>
      </c>
      <c r="G577">
        <f>IF(설정!$C$9="","",IFERROR(INDEX('1.산군_붙여넣기'!$A$1:$AZ$1001,ROW(),설정!$C$9)&amp;"",""))</f>
        <v/>
      </c>
      <c r="H577">
        <f>IF(설정!$C$10="","",IFERROR(INDEX('1.산군_붙여넣기'!$A$1:$AZ$1001,ROW(),설정!$C$10)&amp;"",""))</f>
        <v/>
      </c>
      <c r="I577">
        <f>IF(설정!$C$11="","",IFERROR(INDEX('1.산군_붙여넣기'!$A$1:$AZ$1001,ROW(),설정!$C$11)&amp;"",""))</f>
        <v/>
      </c>
      <c r="J577">
        <f>IF(설정!$C$12="","",IFERROR(INDEX('1.산군_붙여넣기'!$A$1:$AZ$1001,ROW(),설정!$C$12)&amp;"",""))</f>
        <v/>
      </c>
      <c r="K577">
        <f>IF(설정!$C$13="","",IFERROR(INDEX('1.산군_붙여넣기'!$A$1:$AZ$1001,ROW(),설정!$C$13)&amp;"",""))</f>
        <v/>
      </c>
      <c r="L577" s="7">
        <f>IF(X577="","",IF(AND(LEN(X577)=8,ISNUMBER(X577*1)),DATE(LEFT(X577,4),MID(X577,5,2),RIGHT(X577,2)),IFERROR(DATEVALUE(SUBSTITUTE(SUBSTITUTE(X577,".","-"),"/","-")),IFERROR(X577*1,""))))</f>
        <v/>
      </c>
      <c r="M577" s="7">
        <f>IF(Y577="","",IF(AND(LEN(Y577)=8,ISNUMBER(Y577*1)),DATE(LEFT(Y577,4),MID(Y577,5,2),RIGHT(Y577,2)),IFERROR(DATEVALUE(SUBSTITUTE(SUBSTITUTE(Y577,".","-"),"/","-")),IFERROR(Y577*1,""))))</f>
        <v/>
      </c>
      <c r="N577">
        <f>IFERROR(LEFT(B577,FIND(" ",B577)-1),B577)</f>
        <v/>
      </c>
      <c r="O577">
        <f>AND(B577&lt;&gt;"",B577&lt;&gt;설정!$B$4,C577&lt;&gt;설정!$B$5)</f>
        <v/>
      </c>
      <c r="P577">
        <f>IF(O577,B577&amp;"|"&amp;C577,"")</f>
        <v/>
      </c>
      <c r="Q577">
        <f>AND(O577,COUNTIF(P578:P$1002,P577)=0)</f>
        <v/>
      </c>
      <c r="R577">
        <f>OR(AND(설정!$A$42&lt;&gt;"",ISNUMBER(SEARCH(설정!$A$42,E577&amp;" "&amp;C577))),AND(설정!$A$43&lt;&gt;"",ISNUMBER(SEARCH(설정!$A$43,E577&amp;" "&amp;C577))),AND(설정!$A$44&lt;&gt;"",ISNUMBER(SEARCH(설정!$A$44,E577&amp;" "&amp;C577))),AND(설정!$A$45&lt;&gt;"",ISNUMBER(SEARCH(설정!$A$45,E577&amp;" "&amp;C577))),AND(설정!$A$46&lt;&gt;"",ISNUMBER(SEARCH(설정!$A$46,E577&amp;" "&amp;C577))),AND(설정!$A$47&lt;&gt;"",ISNUMBER(SEARCH(설정!$A$47,E577&amp;" "&amp;C577))),AND(설정!$A$48&lt;&gt;"",ISNUMBER(SEARCH(설정!$A$48,E577&amp;" "&amp;C577))),AND(설정!$A$49&lt;&gt;"",ISNUMBER(SEARCH(설정!$A$49,E577&amp;" "&amp;C577))),AND(설정!$A$50&lt;&gt;"",ISNUMBER(SEARCH(설정!$A$50,E577&amp;" "&amp;C577))),AND(설정!$A$51&lt;&gt;"",ISNUMBER(SEARCH(설정!$A$51,E577&amp;" "&amp;C577))))</f>
        <v/>
      </c>
      <c r="S577">
        <f>OR(D577="",D577&gt;=설정!$B$19)</f>
        <v/>
      </c>
      <c r="T577">
        <f>AND(Q577,R577,S577)</f>
        <v/>
      </c>
      <c r="U577">
        <f>IF(T577,IF(AND(설정!$A$54&lt;&gt;"",ISNUMBER(SEARCH(설정!$A$54,K577))),설정!$B$54,IF(AND(설정!$A$55&lt;&gt;"",ISNUMBER(SEARCH(설정!$A$55,K577))),설정!$B$55,IF(AND(설정!$A$56&lt;&gt;"",ISNUMBER(SEARCH(설정!$A$56,K577))),설정!$B$56,IF(AND(설정!$A$57&lt;&gt;"",ISNUMBER(SEARCH(설정!$A$57,K577))),설정!$B$57,IF(AND(설정!$A$58&lt;&gt;"",ISNUMBER(SEARCH(설정!$A$58,K577))),설정!$B$58,IF(AND(설정!$A$59&lt;&gt;"",ISNUMBER(SEARCH(설정!$A$59,K577))),설정!$B$59,IF(AND(설정!$A$60&lt;&gt;"",ISNUMBER(SEARCH(설정!$A$60,K577))),설정!$B$60,IF(AND(설정!$A$61&lt;&gt;"",ISNUMBER(SEARCH(설정!$A$61,K577))),설정!$B$61,IF(M577="","설계사","시공사"))))))))),"")</f>
        <v/>
      </c>
      <c r="V577">
        <f>SUBSTITUTE(SUBSTITUTE(SUBSTITUTE(SUBSTITUTE(G577,"(주)",""),"㈜",""),"주식회사","")," ","")</f>
        <v/>
      </c>
      <c r="W577">
        <f>IF(AND(T577,V577&lt;&gt;""),IF(COUNTIFS(V$2:V577,V577,T$2:T577,TRUE)=1,MAX(W$1:W576)+1,""),"")</f>
        <v/>
      </c>
      <c r="X577">
        <f>IF(설정!$C$14="","",IFERROR(INDEX('1.산군_붙여넣기'!$A$1:$AZ$1001,ROW(),설정!$C$14)&amp;"",""))</f>
        <v/>
      </c>
      <c r="Y577">
        <f>IF(설정!$C$15="","",IFERROR(INDEX('1.산군_붙여넣기'!$A$1:$AZ$1001,ROW(),설정!$C$15)&amp;"",""))</f>
        <v/>
      </c>
      <c r="Z577">
        <f>IF(T577,V577&amp;"|"&amp;U577,"")</f>
        <v/>
      </c>
      <c r="AA577">
        <f>IF(NOT(Q577),"",IF(NOT(AND(R577,S577)),"✕",IF(OR(OR(AND(L577&lt;&gt;"",M577&lt;&gt;"",N(M577)-N(L577)&gt;설정!$B$27),AND(L577&lt;&gt;"",M577="",설정!$B$24-N(L577)&gt;설정!$B$27)),AND(D577&lt;&gt;"",D577&lt;설정!$B$26)),"△","★")))</f>
        <v/>
      </c>
      <c r="AB577">
        <f>IF(NOT(T577),"",IF(U577="설계사",설정!$B$31,IF(U577="시공사",IF(OR(M577="",설정!$B$24-N(M577)&lt;=설정!$B$28*30.4),설정!$B$32,설정!$B$33),설정!$B$34))+IF(AA577="★",설정!$B$35,0))</f>
        <v/>
      </c>
      <c r="AC577">
        <f>SUBSTITUTE(SUBSTITUTE(SUBSTITUTE(SUBSTITUTE(H577,"(주)",""),"㈜",""),"주식회사","")," ","")</f>
        <v/>
      </c>
      <c r="AD577">
        <f>IF(AND(T577,AC577&lt;&gt;""),IF(COUNTIFS(AC$2:AC577,AC577,T$2:T577,TRUE)=1,MAX(AD$1:AD576)+1,""),"")</f>
        <v/>
      </c>
    </row>
    <row r="578">
      <c r="A578">
        <f>ROW()</f>
        <v/>
      </c>
      <c r="B578">
        <f>IF(설정!$C$4="","",IFERROR(INDEX('1.산군_붙여넣기'!$A$1:$AZ$1001,ROW(),설정!$C$4)&amp;"",""))</f>
        <v/>
      </c>
      <c r="C578">
        <f>IF(설정!$C$5="","",IFERROR(INDEX('1.산군_붙여넣기'!$A$1:$AZ$1001,ROW(),설정!$C$5)&amp;"",""))</f>
        <v/>
      </c>
      <c r="D578" s="5">
        <f>IFERROR(VALUE(SUBSTITUTE(SUBSTITUTE(SUBSTITUTE(IF(설정!$C$6="","",IFERROR(INDEX('1.산군_붙여넣기'!$A$1:$AZ$1001,ROW(),설정!$C$6)&amp;"","")),",",""),"㎡",""),"m2","")),"")</f>
        <v/>
      </c>
      <c r="E578">
        <f>IF(설정!$C$7="","",IFERROR(INDEX('1.산군_붙여넣기'!$A$1:$AZ$1001,ROW(),설정!$C$7)&amp;"",""))</f>
        <v/>
      </c>
      <c r="F578">
        <f>IF(설정!$C$8="","",IFERROR(INDEX('1.산군_붙여넣기'!$A$1:$AZ$1001,ROW(),설정!$C$8)&amp;"",""))</f>
        <v/>
      </c>
      <c r="G578">
        <f>IF(설정!$C$9="","",IFERROR(INDEX('1.산군_붙여넣기'!$A$1:$AZ$1001,ROW(),설정!$C$9)&amp;"",""))</f>
        <v/>
      </c>
      <c r="H578">
        <f>IF(설정!$C$10="","",IFERROR(INDEX('1.산군_붙여넣기'!$A$1:$AZ$1001,ROW(),설정!$C$10)&amp;"",""))</f>
        <v/>
      </c>
      <c r="I578">
        <f>IF(설정!$C$11="","",IFERROR(INDEX('1.산군_붙여넣기'!$A$1:$AZ$1001,ROW(),설정!$C$11)&amp;"",""))</f>
        <v/>
      </c>
      <c r="J578">
        <f>IF(설정!$C$12="","",IFERROR(INDEX('1.산군_붙여넣기'!$A$1:$AZ$1001,ROW(),설정!$C$12)&amp;"",""))</f>
        <v/>
      </c>
      <c r="K578">
        <f>IF(설정!$C$13="","",IFERROR(INDEX('1.산군_붙여넣기'!$A$1:$AZ$1001,ROW(),설정!$C$13)&amp;"",""))</f>
        <v/>
      </c>
      <c r="L578" s="7">
        <f>IF(X578="","",IF(AND(LEN(X578)=8,ISNUMBER(X578*1)),DATE(LEFT(X578,4),MID(X578,5,2),RIGHT(X578,2)),IFERROR(DATEVALUE(SUBSTITUTE(SUBSTITUTE(X578,".","-"),"/","-")),IFERROR(X578*1,""))))</f>
        <v/>
      </c>
      <c r="M578" s="7">
        <f>IF(Y578="","",IF(AND(LEN(Y578)=8,ISNUMBER(Y578*1)),DATE(LEFT(Y578,4),MID(Y578,5,2),RIGHT(Y578,2)),IFERROR(DATEVALUE(SUBSTITUTE(SUBSTITUTE(Y578,".","-"),"/","-")),IFERROR(Y578*1,""))))</f>
        <v/>
      </c>
      <c r="N578">
        <f>IFERROR(LEFT(B578,FIND(" ",B578)-1),B578)</f>
        <v/>
      </c>
      <c r="O578">
        <f>AND(B578&lt;&gt;"",B578&lt;&gt;설정!$B$4,C578&lt;&gt;설정!$B$5)</f>
        <v/>
      </c>
      <c r="P578">
        <f>IF(O578,B578&amp;"|"&amp;C578,"")</f>
        <v/>
      </c>
      <c r="Q578">
        <f>AND(O578,COUNTIF(P579:P$1002,P578)=0)</f>
        <v/>
      </c>
      <c r="R578">
        <f>OR(AND(설정!$A$42&lt;&gt;"",ISNUMBER(SEARCH(설정!$A$42,E578&amp;" "&amp;C578))),AND(설정!$A$43&lt;&gt;"",ISNUMBER(SEARCH(설정!$A$43,E578&amp;" "&amp;C578))),AND(설정!$A$44&lt;&gt;"",ISNUMBER(SEARCH(설정!$A$44,E578&amp;" "&amp;C578))),AND(설정!$A$45&lt;&gt;"",ISNUMBER(SEARCH(설정!$A$45,E578&amp;" "&amp;C578))),AND(설정!$A$46&lt;&gt;"",ISNUMBER(SEARCH(설정!$A$46,E578&amp;" "&amp;C578))),AND(설정!$A$47&lt;&gt;"",ISNUMBER(SEARCH(설정!$A$47,E578&amp;" "&amp;C578))),AND(설정!$A$48&lt;&gt;"",ISNUMBER(SEARCH(설정!$A$48,E578&amp;" "&amp;C578))),AND(설정!$A$49&lt;&gt;"",ISNUMBER(SEARCH(설정!$A$49,E578&amp;" "&amp;C578))),AND(설정!$A$50&lt;&gt;"",ISNUMBER(SEARCH(설정!$A$50,E578&amp;" "&amp;C578))),AND(설정!$A$51&lt;&gt;"",ISNUMBER(SEARCH(설정!$A$51,E578&amp;" "&amp;C578))))</f>
        <v/>
      </c>
      <c r="S578">
        <f>OR(D578="",D578&gt;=설정!$B$19)</f>
        <v/>
      </c>
      <c r="T578">
        <f>AND(Q578,R578,S578)</f>
        <v/>
      </c>
      <c r="U578">
        <f>IF(T578,IF(AND(설정!$A$54&lt;&gt;"",ISNUMBER(SEARCH(설정!$A$54,K578))),설정!$B$54,IF(AND(설정!$A$55&lt;&gt;"",ISNUMBER(SEARCH(설정!$A$55,K578))),설정!$B$55,IF(AND(설정!$A$56&lt;&gt;"",ISNUMBER(SEARCH(설정!$A$56,K578))),설정!$B$56,IF(AND(설정!$A$57&lt;&gt;"",ISNUMBER(SEARCH(설정!$A$57,K578))),설정!$B$57,IF(AND(설정!$A$58&lt;&gt;"",ISNUMBER(SEARCH(설정!$A$58,K578))),설정!$B$58,IF(AND(설정!$A$59&lt;&gt;"",ISNUMBER(SEARCH(설정!$A$59,K578))),설정!$B$59,IF(AND(설정!$A$60&lt;&gt;"",ISNUMBER(SEARCH(설정!$A$60,K578))),설정!$B$60,IF(AND(설정!$A$61&lt;&gt;"",ISNUMBER(SEARCH(설정!$A$61,K578))),설정!$B$61,IF(M578="","설계사","시공사"))))))))),"")</f>
        <v/>
      </c>
      <c r="V578">
        <f>SUBSTITUTE(SUBSTITUTE(SUBSTITUTE(SUBSTITUTE(G578,"(주)",""),"㈜",""),"주식회사","")," ","")</f>
        <v/>
      </c>
      <c r="W578">
        <f>IF(AND(T578,V578&lt;&gt;""),IF(COUNTIFS(V$2:V578,V578,T$2:T578,TRUE)=1,MAX(W$1:W577)+1,""),"")</f>
        <v/>
      </c>
      <c r="X578">
        <f>IF(설정!$C$14="","",IFERROR(INDEX('1.산군_붙여넣기'!$A$1:$AZ$1001,ROW(),설정!$C$14)&amp;"",""))</f>
        <v/>
      </c>
      <c r="Y578">
        <f>IF(설정!$C$15="","",IFERROR(INDEX('1.산군_붙여넣기'!$A$1:$AZ$1001,ROW(),설정!$C$15)&amp;"",""))</f>
        <v/>
      </c>
      <c r="Z578">
        <f>IF(T578,V578&amp;"|"&amp;U578,"")</f>
        <v/>
      </c>
      <c r="AA578">
        <f>IF(NOT(Q578),"",IF(NOT(AND(R578,S578)),"✕",IF(OR(OR(AND(L578&lt;&gt;"",M578&lt;&gt;"",N(M578)-N(L578)&gt;설정!$B$27),AND(L578&lt;&gt;"",M578="",설정!$B$24-N(L578)&gt;설정!$B$27)),AND(D578&lt;&gt;"",D578&lt;설정!$B$26)),"△","★")))</f>
        <v/>
      </c>
      <c r="AB578">
        <f>IF(NOT(T578),"",IF(U578="설계사",설정!$B$31,IF(U578="시공사",IF(OR(M578="",설정!$B$24-N(M578)&lt;=설정!$B$28*30.4),설정!$B$32,설정!$B$33),설정!$B$34))+IF(AA578="★",설정!$B$35,0))</f>
        <v/>
      </c>
      <c r="AC578">
        <f>SUBSTITUTE(SUBSTITUTE(SUBSTITUTE(SUBSTITUTE(H578,"(주)",""),"㈜",""),"주식회사","")," ","")</f>
        <v/>
      </c>
      <c r="AD578">
        <f>IF(AND(T578,AC578&lt;&gt;""),IF(COUNTIFS(AC$2:AC578,AC578,T$2:T578,TRUE)=1,MAX(AD$1:AD577)+1,""),"")</f>
        <v/>
      </c>
    </row>
    <row r="579">
      <c r="A579">
        <f>ROW()</f>
        <v/>
      </c>
      <c r="B579">
        <f>IF(설정!$C$4="","",IFERROR(INDEX('1.산군_붙여넣기'!$A$1:$AZ$1001,ROW(),설정!$C$4)&amp;"",""))</f>
        <v/>
      </c>
      <c r="C579">
        <f>IF(설정!$C$5="","",IFERROR(INDEX('1.산군_붙여넣기'!$A$1:$AZ$1001,ROW(),설정!$C$5)&amp;"",""))</f>
        <v/>
      </c>
      <c r="D579" s="5">
        <f>IFERROR(VALUE(SUBSTITUTE(SUBSTITUTE(SUBSTITUTE(IF(설정!$C$6="","",IFERROR(INDEX('1.산군_붙여넣기'!$A$1:$AZ$1001,ROW(),설정!$C$6)&amp;"","")),",",""),"㎡",""),"m2","")),"")</f>
        <v/>
      </c>
      <c r="E579">
        <f>IF(설정!$C$7="","",IFERROR(INDEX('1.산군_붙여넣기'!$A$1:$AZ$1001,ROW(),설정!$C$7)&amp;"",""))</f>
        <v/>
      </c>
      <c r="F579">
        <f>IF(설정!$C$8="","",IFERROR(INDEX('1.산군_붙여넣기'!$A$1:$AZ$1001,ROW(),설정!$C$8)&amp;"",""))</f>
        <v/>
      </c>
      <c r="G579">
        <f>IF(설정!$C$9="","",IFERROR(INDEX('1.산군_붙여넣기'!$A$1:$AZ$1001,ROW(),설정!$C$9)&amp;"",""))</f>
        <v/>
      </c>
      <c r="H579">
        <f>IF(설정!$C$10="","",IFERROR(INDEX('1.산군_붙여넣기'!$A$1:$AZ$1001,ROW(),설정!$C$10)&amp;"",""))</f>
        <v/>
      </c>
      <c r="I579">
        <f>IF(설정!$C$11="","",IFERROR(INDEX('1.산군_붙여넣기'!$A$1:$AZ$1001,ROW(),설정!$C$11)&amp;"",""))</f>
        <v/>
      </c>
      <c r="J579">
        <f>IF(설정!$C$12="","",IFERROR(INDEX('1.산군_붙여넣기'!$A$1:$AZ$1001,ROW(),설정!$C$12)&amp;"",""))</f>
        <v/>
      </c>
      <c r="K579">
        <f>IF(설정!$C$13="","",IFERROR(INDEX('1.산군_붙여넣기'!$A$1:$AZ$1001,ROW(),설정!$C$13)&amp;"",""))</f>
        <v/>
      </c>
      <c r="L579" s="7">
        <f>IF(X579="","",IF(AND(LEN(X579)=8,ISNUMBER(X579*1)),DATE(LEFT(X579,4),MID(X579,5,2),RIGHT(X579,2)),IFERROR(DATEVALUE(SUBSTITUTE(SUBSTITUTE(X579,".","-"),"/","-")),IFERROR(X579*1,""))))</f>
        <v/>
      </c>
      <c r="M579" s="7">
        <f>IF(Y579="","",IF(AND(LEN(Y579)=8,ISNUMBER(Y579*1)),DATE(LEFT(Y579,4),MID(Y579,5,2),RIGHT(Y579,2)),IFERROR(DATEVALUE(SUBSTITUTE(SUBSTITUTE(Y579,".","-"),"/","-")),IFERROR(Y579*1,""))))</f>
        <v/>
      </c>
      <c r="N579">
        <f>IFERROR(LEFT(B579,FIND(" ",B579)-1),B579)</f>
        <v/>
      </c>
      <c r="O579">
        <f>AND(B579&lt;&gt;"",B579&lt;&gt;설정!$B$4,C579&lt;&gt;설정!$B$5)</f>
        <v/>
      </c>
      <c r="P579">
        <f>IF(O579,B579&amp;"|"&amp;C579,"")</f>
        <v/>
      </c>
      <c r="Q579">
        <f>AND(O579,COUNTIF(P580:P$1002,P579)=0)</f>
        <v/>
      </c>
      <c r="R579">
        <f>OR(AND(설정!$A$42&lt;&gt;"",ISNUMBER(SEARCH(설정!$A$42,E579&amp;" "&amp;C579))),AND(설정!$A$43&lt;&gt;"",ISNUMBER(SEARCH(설정!$A$43,E579&amp;" "&amp;C579))),AND(설정!$A$44&lt;&gt;"",ISNUMBER(SEARCH(설정!$A$44,E579&amp;" "&amp;C579))),AND(설정!$A$45&lt;&gt;"",ISNUMBER(SEARCH(설정!$A$45,E579&amp;" "&amp;C579))),AND(설정!$A$46&lt;&gt;"",ISNUMBER(SEARCH(설정!$A$46,E579&amp;" "&amp;C579))),AND(설정!$A$47&lt;&gt;"",ISNUMBER(SEARCH(설정!$A$47,E579&amp;" "&amp;C579))),AND(설정!$A$48&lt;&gt;"",ISNUMBER(SEARCH(설정!$A$48,E579&amp;" "&amp;C579))),AND(설정!$A$49&lt;&gt;"",ISNUMBER(SEARCH(설정!$A$49,E579&amp;" "&amp;C579))),AND(설정!$A$50&lt;&gt;"",ISNUMBER(SEARCH(설정!$A$50,E579&amp;" "&amp;C579))),AND(설정!$A$51&lt;&gt;"",ISNUMBER(SEARCH(설정!$A$51,E579&amp;" "&amp;C579))))</f>
        <v/>
      </c>
      <c r="S579">
        <f>OR(D579="",D579&gt;=설정!$B$19)</f>
        <v/>
      </c>
      <c r="T579">
        <f>AND(Q579,R579,S579)</f>
        <v/>
      </c>
      <c r="U579">
        <f>IF(T579,IF(AND(설정!$A$54&lt;&gt;"",ISNUMBER(SEARCH(설정!$A$54,K579))),설정!$B$54,IF(AND(설정!$A$55&lt;&gt;"",ISNUMBER(SEARCH(설정!$A$55,K579))),설정!$B$55,IF(AND(설정!$A$56&lt;&gt;"",ISNUMBER(SEARCH(설정!$A$56,K579))),설정!$B$56,IF(AND(설정!$A$57&lt;&gt;"",ISNUMBER(SEARCH(설정!$A$57,K579))),설정!$B$57,IF(AND(설정!$A$58&lt;&gt;"",ISNUMBER(SEARCH(설정!$A$58,K579))),설정!$B$58,IF(AND(설정!$A$59&lt;&gt;"",ISNUMBER(SEARCH(설정!$A$59,K579))),설정!$B$59,IF(AND(설정!$A$60&lt;&gt;"",ISNUMBER(SEARCH(설정!$A$60,K579))),설정!$B$60,IF(AND(설정!$A$61&lt;&gt;"",ISNUMBER(SEARCH(설정!$A$61,K579))),설정!$B$61,IF(M579="","설계사","시공사"))))))))),"")</f>
        <v/>
      </c>
      <c r="V579">
        <f>SUBSTITUTE(SUBSTITUTE(SUBSTITUTE(SUBSTITUTE(G579,"(주)",""),"㈜",""),"주식회사","")," ","")</f>
        <v/>
      </c>
      <c r="W579">
        <f>IF(AND(T579,V579&lt;&gt;""),IF(COUNTIFS(V$2:V579,V579,T$2:T579,TRUE)=1,MAX(W$1:W578)+1,""),"")</f>
        <v/>
      </c>
      <c r="X579">
        <f>IF(설정!$C$14="","",IFERROR(INDEX('1.산군_붙여넣기'!$A$1:$AZ$1001,ROW(),설정!$C$14)&amp;"",""))</f>
        <v/>
      </c>
      <c r="Y579">
        <f>IF(설정!$C$15="","",IFERROR(INDEX('1.산군_붙여넣기'!$A$1:$AZ$1001,ROW(),설정!$C$15)&amp;"",""))</f>
        <v/>
      </c>
      <c r="Z579">
        <f>IF(T579,V579&amp;"|"&amp;U579,"")</f>
        <v/>
      </c>
      <c r="AA579">
        <f>IF(NOT(Q579),"",IF(NOT(AND(R579,S579)),"✕",IF(OR(OR(AND(L579&lt;&gt;"",M579&lt;&gt;"",N(M579)-N(L579)&gt;설정!$B$27),AND(L579&lt;&gt;"",M579="",설정!$B$24-N(L579)&gt;설정!$B$27)),AND(D579&lt;&gt;"",D579&lt;설정!$B$26)),"△","★")))</f>
        <v/>
      </c>
      <c r="AB579">
        <f>IF(NOT(T579),"",IF(U579="설계사",설정!$B$31,IF(U579="시공사",IF(OR(M579="",설정!$B$24-N(M579)&lt;=설정!$B$28*30.4),설정!$B$32,설정!$B$33),설정!$B$34))+IF(AA579="★",설정!$B$35,0))</f>
        <v/>
      </c>
      <c r="AC579">
        <f>SUBSTITUTE(SUBSTITUTE(SUBSTITUTE(SUBSTITUTE(H579,"(주)",""),"㈜",""),"주식회사","")," ","")</f>
        <v/>
      </c>
      <c r="AD579">
        <f>IF(AND(T579,AC579&lt;&gt;""),IF(COUNTIFS(AC$2:AC579,AC579,T$2:T579,TRUE)=1,MAX(AD$1:AD578)+1,""),"")</f>
        <v/>
      </c>
    </row>
    <row r="580">
      <c r="A580">
        <f>ROW()</f>
        <v/>
      </c>
      <c r="B580">
        <f>IF(설정!$C$4="","",IFERROR(INDEX('1.산군_붙여넣기'!$A$1:$AZ$1001,ROW(),설정!$C$4)&amp;"",""))</f>
        <v/>
      </c>
      <c r="C580">
        <f>IF(설정!$C$5="","",IFERROR(INDEX('1.산군_붙여넣기'!$A$1:$AZ$1001,ROW(),설정!$C$5)&amp;"",""))</f>
        <v/>
      </c>
      <c r="D580" s="5">
        <f>IFERROR(VALUE(SUBSTITUTE(SUBSTITUTE(SUBSTITUTE(IF(설정!$C$6="","",IFERROR(INDEX('1.산군_붙여넣기'!$A$1:$AZ$1001,ROW(),설정!$C$6)&amp;"","")),",",""),"㎡",""),"m2","")),"")</f>
        <v/>
      </c>
      <c r="E580">
        <f>IF(설정!$C$7="","",IFERROR(INDEX('1.산군_붙여넣기'!$A$1:$AZ$1001,ROW(),설정!$C$7)&amp;"",""))</f>
        <v/>
      </c>
      <c r="F580">
        <f>IF(설정!$C$8="","",IFERROR(INDEX('1.산군_붙여넣기'!$A$1:$AZ$1001,ROW(),설정!$C$8)&amp;"",""))</f>
        <v/>
      </c>
      <c r="G580">
        <f>IF(설정!$C$9="","",IFERROR(INDEX('1.산군_붙여넣기'!$A$1:$AZ$1001,ROW(),설정!$C$9)&amp;"",""))</f>
        <v/>
      </c>
      <c r="H580">
        <f>IF(설정!$C$10="","",IFERROR(INDEX('1.산군_붙여넣기'!$A$1:$AZ$1001,ROW(),설정!$C$10)&amp;"",""))</f>
        <v/>
      </c>
      <c r="I580">
        <f>IF(설정!$C$11="","",IFERROR(INDEX('1.산군_붙여넣기'!$A$1:$AZ$1001,ROW(),설정!$C$11)&amp;"",""))</f>
        <v/>
      </c>
      <c r="J580">
        <f>IF(설정!$C$12="","",IFERROR(INDEX('1.산군_붙여넣기'!$A$1:$AZ$1001,ROW(),설정!$C$12)&amp;"",""))</f>
        <v/>
      </c>
      <c r="K580">
        <f>IF(설정!$C$13="","",IFERROR(INDEX('1.산군_붙여넣기'!$A$1:$AZ$1001,ROW(),설정!$C$13)&amp;"",""))</f>
        <v/>
      </c>
      <c r="L580" s="7">
        <f>IF(X580="","",IF(AND(LEN(X580)=8,ISNUMBER(X580*1)),DATE(LEFT(X580,4),MID(X580,5,2),RIGHT(X580,2)),IFERROR(DATEVALUE(SUBSTITUTE(SUBSTITUTE(X580,".","-"),"/","-")),IFERROR(X580*1,""))))</f>
        <v/>
      </c>
      <c r="M580" s="7">
        <f>IF(Y580="","",IF(AND(LEN(Y580)=8,ISNUMBER(Y580*1)),DATE(LEFT(Y580,4),MID(Y580,5,2),RIGHT(Y580,2)),IFERROR(DATEVALUE(SUBSTITUTE(SUBSTITUTE(Y580,".","-"),"/","-")),IFERROR(Y580*1,""))))</f>
        <v/>
      </c>
      <c r="N580">
        <f>IFERROR(LEFT(B580,FIND(" ",B580)-1),B580)</f>
        <v/>
      </c>
      <c r="O580">
        <f>AND(B580&lt;&gt;"",B580&lt;&gt;설정!$B$4,C580&lt;&gt;설정!$B$5)</f>
        <v/>
      </c>
      <c r="P580">
        <f>IF(O580,B580&amp;"|"&amp;C580,"")</f>
        <v/>
      </c>
      <c r="Q580">
        <f>AND(O580,COUNTIF(P581:P$1002,P580)=0)</f>
        <v/>
      </c>
      <c r="R580">
        <f>OR(AND(설정!$A$42&lt;&gt;"",ISNUMBER(SEARCH(설정!$A$42,E580&amp;" "&amp;C580))),AND(설정!$A$43&lt;&gt;"",ISNUMBER(SEARCH(설정!$A$43,E580&amp;" "&amp;C580))),AND(설정!$A$44&lt;&gt;"",ISNUMBER(SEARCH(설정!$A$44,E580&amp;" "&amp;C580))),AND(설정!$A$45&lt;&gt;"",ISNUMBER(SEARCH(설정!$A$45,E580&amp;" "&amp;C580))),AND(설정!$A$46&lt;&gt;"",ISNUMBER(SEARCH(설정!$A$46,E580&amp;" "&amp;C580))),AND(설정!$A$47&lt;&gt;"",ISNUMBER(SEARCH(설정!$A$47,E580&amp;" "&amp;C580))),AND(설정!$A$48&lt;&gt;"",ISNUMBER(SEARCH(설정!$A$48,E580&amp;" "&amp;C580))),AND(설정!$A$49&lt;&gt;"",ISNUMBER(SEARCH(설정!$A$49,E580&amp;" "&amp;C580))),AND(설정!$A$50&lt;&gt;"",ISNUMBER(SEARCH(설정!$A$50,E580&amp;" "&amp;C580))),AND(설정!$A$51&lt;&gt;"",ISNUMBER(SEARCH(설정!$A$51,E580&amp;" "&amp;C580))))</f>
        <v/>
      </c>
      <c r="S580">
        <f>OR(D580="",D580&gt;=설정!$B$19)</f>
        <v/>
      </c>
      <c r="T580">
        <f>AND(Q580,R580,S580)</f>
        <v/>
      </c>
      <c r="U580">
        <f>IF(T580,IF(AND(설정!$A$54&lt;&gt;"",ISNUMBER(SEARCH(설정!$A$54,K580))),설정!$B$54,IF(AND(설정!$A$55&lt;&gt;"",ISNUMBER(SEARCH(설정!$A$55,K580))),설정!$B$55,IF(AND(설정!$A$56&lt;&gt;"",ISNUMBER(SEARCH(설정!$A$56,K580))),설정!$B$56,IF(AND(설정!$A$57&lt;&gt;"",ISNUMBER(SEARCH(설정!$A$57,K580))),설정!$B$57,IF(AND(설정!$A$58&lt;&gt;"",ISNUMBER(SEARCH(설정!$A$58,K580))),설정!$B$58,IF(AND(설정!$A$59&lt;&gt;"",ISNUMBER(SEARCH(설정!$A$59,K580))),설정!$B$59,IF(AND(설정!$A$60&lt;&gt;"",ISNUMBER(SEARCH(설정!$A$60,K580))),설정!$B$60,IF(AND(설정!$A$61&lt;&gt;"",ISNUMBER(SEARCH(설정!$A$61,K580))),설정!$B$61,IF(M580="","설계사","시공사"))))))))),"")</f>
        <v/>
      </c>
      <c r="V580">
        <f>SUBSTITUTE(SUBSTITUTE(SUBSTITUTE(SUBSTITUTE(G580,"(주)",""),"㈜",""),"주식회사","")," ","")</f>
        <v/>
      </c>
      <c r="W580">
        <f>IF(AND(T580,V580&lt;&gt;""),IF(COUNTIFS(V$2:V580,V580,T$2:T580,TRUE)=1,MAX(W$1:W579)+1,""),"")</f>
        <v/>
      </c>
      <c r="X580">
        <f>IF(설정!$C$14="","",IFERROR(INDEX('1.산군_붙여넣기'!$A$1:$AZ$1001,ROW(),설정!$C$14)&amp;"",""))</f>
        <v/>
      </c>
      <c r="Y580">
        <f>IF(설정!$C$15="","",IFERROR(INDEX('1.산군_붙여넣기'!$A$1:$AZ$1001,ROW(),설정!$C$15)&amp;"",""))</f>
        <v/>
      </c>
      <c r="Z580">
        <f>IF(T580,V580&amp;"|"&amp;U580,"")</f>
        <v/>
      </c>
      <c r="AA580">
        <f>IF(NOT(Q580),"",IF(NOT(AND(R580,S580)),"✕",IF(OR(OR(AND(L580&lt;&gt;"",M580&lt;&gt;"",N(M580)-N(L580)&gt;설정!$B$27),AND(L580&lt;&gt;"",M580="",설정!$B$24-N(L580)&gt;설정!$B$27)),AND(D580&lt;&gt;"",D580&lt;설정!$B$26)),"△","★")))</f>
        <v/>
      </c>
      <c r="AB580">
        <f>IF(NOT(T580),"",IF(U580="설계사",설정!$B$31,IF(U580="시공사",IF(OR(M580="",설정!$B$24-N(M580)&lt;=설정!$B$28*30.4),설정!$B$32,설정!$B$33),설정!$B$34))+IF(AA580="★",설정!$B$35,0))</f>
        <v/>
      </c>
      <c r="AC580">
        <f>SUBSTITUTE(SUBSTITUTE(SUBSTITUTE(SUBSTITUTE(H580,"(주)",""),"㈜",""),"주식회사","")," ","")</f>
        <v/>
      </c>
      <c r="AD580">
        <f>IF(AND(T580,AC580&lt;&gt;""),IF(COUNTIFS(AC$2:AC580,AC580,T$2:T580,TRUE)=1,MAX(AD$1:AD579)+1,""),"")</f>
        <v/>
      </c>
    </row>
    <row r="581">
      <c r="A581">
        <f>ROW()</f>
        <v/>
      </c>
      <c r="B581">
        <f>IF(설정!$C$4="","",IFERROR(INDEX('1.산군_붙여넣기'!$A$1:$AZ$1001,ROW(),설정!$C$4)&amp;"",""))</f>
        <v/>
      </c>
      <c r="C581">
        <f>IF(설정!$C$5="","",IFERROR(INDEX('1.산군_붙여넣기'!$A$1:$AZ$1001,ROW(),설정!$C$5)&amp;"",""))</f>
        <v/>
      </c>
      <c r="D581" s="5">
        <f>IFERROR(VALUE(SUBSTITUTE(SUBSTITUTE(SUBSTITUTE(IF(설정!$C$6="","",IFERROR(INDEX('1.산군_붙여넣기'!$A$1:$AZ$1001,ROW(),설정!$C$6)&amp;"","")),",",""),"㎡",""),"m2","")),"")</f>
        <v/>
      </c>
      <c r="E581">
        <f>IF(설정!$C$7="","",IFERROR(INDEX('1.산군_붙여넣기'!$A$1:$AZ$1001,ROW(),설정!$C$7)&amp;"",""))</f>
        <v/>
      </c>
      <c r="F581">
        <f>IF(설정!$C$8="","",IFERROR(INDEX('1.산군_붙여넣기'!$A$1:$AZ$1001,ROW(),설정!$C$8)&amp;"",""))</f>
        <v/>
      </c>
      <c r="G581">
        <f>IF(설정!$C$9="","",IFERROR(INDEX('1.산군_붙여넣기'!$A$1:$AZ$1001,ROW(),설정!$C$9)&amp;"",""))</f>
        <v/>
      </c>
      <c r="H581">
        <f>IF(설정!$C$10="","",IFERROR(INDEX('1.산군_붙여넣기'!$A$1:$AZ$1001,ROW(),설정!$C$10)&amp;"",""))</f>
        <v/>
      </c>
      <c r="I581">
        <f>IF(설정!$C$11="","",IFERROR(INDEX('1.산군_붙여넣기'!$A$1:$AZ$1001,ROW(),설정!$C$11)&amp;"",""))</f>
        <v/>
      </c>
      <c r="J581">
        <f>IF(설정!$C$12="","",IFERROR(INDEX('1.산군_붙여넣기'!$A$1:$AZ$1001,ROW(),설정!$C$12)&amp;"",""))</f>
        <v/>
      </c>
      <c r="K581">
        <f>IF(설정!$C$13="","",IFERROR(INDEX('1.산군_붙여넣기'!$A$1:$AZ$1001,ROW(),설정!$C$13)&amp;"",""))</f>
        <v/>
      </c>
      <c r="L581" s="7">
        <f>IF(X581="","",IF(AND(LEN(X581)=8,ISNUMBER(X581*1)),DATE(LEFT(X581,4),MID(X581,5,2),RIGHT(X581,2)),IFERROR(DATEVALUE(SUBSTITUTE(SUBSTITUTE(X581,".","-"),"/","-")),IFERROR(X581*1,""))))</f>
        <v/>
      </c>
      <c r="M581" s="7">
        <f>IF(Y581="","",IF(AND(LEN(Y581)=8,ISNUMBER(Y581*1)),DATE(LEFT(Y581,4),MID(Y581,5,2),RIGHT(Y581,2)),IFERROR(DATEVALUE(SUBSTITUTE(SUBSTITUTE(Y581,".","-"),"/","-")),IFERROR(Y581*1,""))))</f>
        <v/>
      </c>
      <c r="N581">
        <f>IFERROR(LEFT(B581,FIND(" ",B581)-1),B581)</f>
        <v/>
      </c>
      <c r="O581">
        <f>AND(B581&lt;&gt;"",B581&lt;&gt;설정!$B$4,C581&lt;&gt;설정!$B$5)</f>
        <v/>
      </c>
      <c r="P581">
        <f>IF(O581,B581&amp;"|"&amp;C581,"")</f>
        <v/>
      </c>
      <c r="Q581">
        <f>AND(O581,COUNTIF(P582:P$1002,P581)=0)</f>
        <v/>
      </c>
      <c r="R581">
        <f>OR(AND(설정!$A$42&lt;&gt;"",ISNUMBER(SEARCH(설정!$A$42,E581&amp;" "&amp;C581))),AND(설정!$A$43&lt;&gt;"",ISNUMBER(SEARCH(설정!$A$43,E581&amp;" "&amp;C581))),AND(설정!$A$44&lt;&gt;"",ISNUMBER(SEARCH(설정!$A$44,E581&amp;" "&amp;C581))),AND(설정!$A$45&lt;&gt;"",ISNUMBER(SEARCH(설정!$A$45,E581&amp;" "&amp;C581))),AND(설정!$A$46&lt;&gt;"",ISNUMBER(SEARCH(설정!$A$46,E581&amp;" "&amp;C581))),AND(설정!$A$47&lt;&gt;"",ISNUMBER(SEARCH(설정!$A$47,E581&amp;" "&amp;C581))),AND(설정!$A$48&lt;&gt;"",ISNUMBER(SEARCH(설정!$A$48,E581&amp;" "&amp;C581))),AND(설정!$A$49&lt;&gt;"",ISNUMBER(SEARCH(설정!$A$49,E581&amp;" "&amp;C581))),AND(설정!$A$50&lt;&gt;"",ISNUMBER(SEARCH(설정!$A$50,E581&amp;" "&amp;C581))),AND(설정!$A$51&lt;&gt;"",ISNUMBER(SEARCH(설정!$A$51,E581&amp;" "&amp;C581))))</f>
        <v/>
      </c>
      <c r="S581">
        <f>OR(D581="",D581&gt;=설정!$B$19)</f>
        <v/>
      </c>
      <c r="T581">
        <f>AND(Q581,R581,S581)</f>
        <v/>
      </c>
      <c r="U581">
        <f>IF(T581,IF(AND(설정!$A$54&lt;&gt;"",ISNUMBER(SEARCH(설정!$A$54,K581))),설정!$B$54,IF(AND(설정!$A$55&lt;&gt;"",ISNUMBER(SEARCH(설정!$A$55,K581))),설정!$B$55,IF(AND(설정!$A$56&lt;&gt;"",ISNUMBER(SEARCH(설정!$A$56,K581))),설정!$B$56,IF(AND(설정!$A$57&lt;&gt;"",ISNUMBER(SEARCH(설정!$A$57,K581))),설정!$B$57,IF(AND(설정!$A$58&lt;&gt;"",ISNUMBER(SEARCH(설정!$A$58,K581))),설정!$B$58,IF(AND(설정!$A$59&lt;&gt;"",ISNUMBER(SEARCH(설정!$A$59,K581))),설정!$B$59,IF(AND(설정!$A$60&lt;&gt;"",ISNUMBER(SEARCH(설정!$A$60,K581))),설정!$B$60,IF(AND(설정!$A$61&lt;&gt;"",ISNUMBER(SEARCH(설정!$A$61,K581))),설정!$B$61,IF(M581="","설계사","시공사"))))))))),"")</f>
        <v/>
      </c>
      <c r="V581">
        <f>SUBSTITUTE(SUBSTITUTE(SUBSTITUTE(SUBSTITUTE(G581,"(주)",""),"㈜",""),"주식회사","")," ","")</f>
        <v/>
      </c>
      <c r="W581">
        <f>IF(AND(T581,V581&lt;&gt;""),IF(COUNTIFS(V$2:V581,V581,T$2:T581,TRUE)=1,MAX(W$1:W580)+1,""),"")</f>
        <v/>
      </c>
      <c r="X581">
        <f>IF(설정!$C$14="","",IFERROR(INDEX('1.산군_붙여넣기'!$A$1:$AZ$1001,ROW(),설정!$C$14)&amp;"",""))</f>
        <v/>
      </c>
      <c r="Y581">
        <f>IF(설정!$C$15="","",IFERROR(INDEX('1.산군_붙여넣기'!$A$1:$AZ$1001,ROW(),설정!$C$15)&amp;"",""))</f>
        <v/>
      </c>
      <c r="Z581">
        <f>IF(T581,V581&amp;"|"&amp;U581,"")</f>
        <v/>
      </c>
      <c r="AA581">
        <f>IF(NOT(Q581),"",IF(NOT(AND(R581,S581)),"✕",IF(OR(OR(AND(L581&lt;&gt;"",M581&lt;&gt;"",N(M581)-N(L581)&gt;설정!$B$27),AND(L581&lt;&gt;"",M581="",설정!$B$24-N(L581)&gt;설정!$B$27)),AND(D581&lt;&gt;"",D581&lt;설정!$B$26)),"△","★")))</f>
        <v/>
      </c>
      <c r="AB581">
        <f>IF(NOT(T581),"",IF(U581="설계사",설정!$B$31,IF(U581="시공사",IF(OR(M581="",설정!$B$24-N(M581)&lt;=설정!$B$28*30.4),설정!$B$32,설정!$B$33),설정!$B$34))+IF(AA581="★",설정!$B$35,0))</f>
        <v/>
      </c>
      <c r="AC581">
        <f>SUBSTITUTE(SUBSTITUTE(SUBSTITUTE(SUBSTITUTE(H581,"(주)",""),"㈜",""),"주식회사","")," ","")</f>
        <v/>
      </c>
      <c r="AD581">
        <f>IF(AND(T581,AC581&lt;&gt;""),IF(COUNTIFS(AC$2:AC581,AC581,T$2:T581,TRUE)=1,MAX(AD$1:AD580)+1,""),"")</f>
        <v/>
      </c>
    </row>
    <row r="582">
      <c r="A582">
        <f>ROW()</f>
        <v/>
      </c>
      <c r="B582">
        <f>IF(설정!$C$4="","",IFERROR(INDEX('1.산군_붙여넣기'!$A$1:$AZ$1001,ROW(),설정!$C$4)&amp;"",""))</f>
        <v/>
      </c>
      <c r="C582">
        <f>IF(설정!$C$5="","",IFERROR(INDEX('1.산군_붙여넣기'!$A$1:$AZ$1001,ROW(),설정!$C$5)&amp;"",""))</f>
        <v/>
      </c>
      <c r="D582" s="5">
        <f>IFERROR(VALUE(SUBSTITUTE(SUBSTITUTE(SUBSTITUTE(IF(설정!$C$6="","",IFERROR(INDEX('1.산군_붙여넣기'!$A$1:$AZ$1001,ROW(),설정!$C$6)&amp;"","")),",",""),"㎡",""),"m2","")),"")</f>
        <v/>
      </c>
      <c r="E582">
        <f>IF(설정!$C$7="","",IFERROR(INDEX('1.산군_붙여넣기'!$A$1:$AZ$1001,ROW(),설정!$C$7)&amp;"",""))</f>
        <v/>
      </c>
      <c r="F582">
        <f>IF(설정!$C$8="","",IFERROR(INDEX('1.산군_붙여넣기'!$A$1:$AZ$1001,ROW(),설정!$C$8)&amp;"",""))</f>
        <v/>
      </c>
      <c r="G582">
        <f>IF(설정!$C$9="","",IFERROR(INDEX('1.산군_붙여넣기'!$A$1:$AZ$1001,ROW(),설정!$C$9)&amp;"",""))</f>
        <v/>
      </c>
      <c r="H582">
        <f>IF(설정!$C$10="","",IFERROR(INDEX('1.산군_붙여넣기'!$A$1:$AZ$1001,ROW(),설정!$C$10)&amp;"",""))</f>
        <v/>
      </c>
      <c r="I582">
        <f>IF(설정!$C$11="","",IFERROR(INDEX('1.산군_붙여넣기'!$A$1:$AZ$1001,ROW(),설정!$C$11)&amp;"",""))</f>
        <v/>
      </c>
      <c r="J582">
        <f>IF(설정!$C$12="","",IFERROR(INDEX('1.산군_붙여넣기'!$A$1:$AZ$1001,ROW(),설정!$C$12)&amp;"",""))</f>
        <v/>
      </c>
      <c r="K582">
        <f>IF(설정!$C$13="","",IFERROR(INDEX('1.산군_붙여넣기'!$A$1:$AZ$1001,ROW(),설정!$C$13)&amp;"",""))</f>
        <v/>
      </c>
      <c r="L582" s="7">
        <f>IF(X582="","",IF(AND(LEN(X582)=8,ISNUMBER(X582*1)),DATE(LEFT(X582,4),MID(X582,5,2),RIGHT(X582,2)),IFERROR(DATEVALUE(SUBSTITUTE(SUBSTITUTE(X582,".","-"),"/","-")),IFERROR(X582*1,""))))</f>
        <v/>
      </c>
      <c r="M582" s="7">
        <f>IF(Y582="","",IF(AND(LEN(Y582)=8,ISNUMBER(Y582*1)),DATE(LEFT(Y582,4),MID(Y582,5,2),RIGHT(Y582,2)),IFERROR(DATEVALUE(SUBSTITUTE(SUBSTITUTE(Y582,".","-"),"/","-")),IFERROR(Y582*1,""))))</f>
        <v/>
      </c>
      <c r="N582">
        <f>IFERROR(LEFT(B582,FIND(" ",B582)-1),B582)</f>
        <v/>
      </c>
      <c r="O582">
        <f>AND(B582&lt;&gt;"",B582&lt;&gt;설정!$B$4,C582&lt;&gt;설정!$B$5)</f>
        <v/>
      </c>
      <c r="P582">
        <f>IF(O582,B582&amp;"|"&amp;C582,"")</f>
        <v/>
      </c>
      <c r="Q582">
        <f>AND(O582,COUNTIF(P583:P$1002,P582)=0)</f>
        <v/>
      </c>
      <c r="R582">
        <f>OR(AND(설정!$A$42&lt;&gt;"",ISNUMBER(SEARCH(설정!$A$42,E582&amp;" "&amp;C582))),AND(설정!$A$43&lt;&gt;"",ISNUMBER(SEARCH(설정!$A$43,E582&amp;" "&amp;C582))),AND(설정!$A$44&lt;&gt;"",ISNUMBER(SEARCH(설정!$A$44,E582&amp;" "&amp;C582))),AND(설정!$A$45&lt;&gt;"",ISNUMBER(SEARCH(설정!$A$45,E582&amp;" "&amp;C582))),AND(설정!$A$46&lt;&gt;"",ISNUMBER(SEARCH(설정!$A$46,E582&amp;" "&amp;C582))),AND(설정!$A$47&lt;&gt;"",ISNUMBER(SEARCH(설정!$A$47,E582&amp;" "&amp;C582))),AND(설정!$A$48&lt;&gt;"",ISNUMBER(SEARCH(설정!$A$48,E582&amp;" "&amp;C582))),AND(설정!$A$49&lt;&gt;"",ISNUMBER(SEARCH(설정!$A$49,E582&amp;" "&amp;C582))),AND(설정!$A$50&lt;&gt;"",ISNUMBER(SEARCH(설정!$A$50,E582&amp;" "&amp;C582))),AND(설정!$A$51&lt;&gt;"",ISNUMBER(SEARCH(설정!$A$51,E582&amp;" "&amp;C582))))</f>
        <v/>
      </c>
      <c r="S582">
        <f>OR(D582="",D582&gt;=설정!$B$19)</f>
        <v/>
      </c>
      <c r="T582">
        <f>AND(Q582,R582,S582)</f>
        <v/>
      </c>
      <c r="U582">
        <f>IF(T582,IF(AND(설정!$A$54&lt;&gt;"",ISNUMBER(SEARCH(설정!$A$54,K582))),설정!$B$54,IF(AND(설정!$A$55&lt;&gt;"",ISNUMBER(SEARCH(설정!$A$55,K582))),설정!$B$55,IF(AND(설정!$A$56&lt;&gt;"",ISNUMBER(SEARCH(설정!$A$56,K582))),설정!$B$56,IF(AND(설정!$A$57&lt;&gt;"",ISNUMBER(SEARCH(설정!$A$57,K582))),설정!$B$57,IF(AND(설정!$A$58&lt;&gt;"",ISNUMBER(SEARCH(설정!$A$58,K582))),설정!$B$58,IF(AND(설정!$A$59&lt;&gt;"",ISNUMBER(SEARCH(설정!$A$59,K582))),설정!$B$59,IF(AND(설정!$A$60&lt;&gt;"",ISNUMBER(SEARCH(설정!$A$60,K582))),설정!$B$60,IF(AND(설정!$A$61&lt;&gt;"",ISNUMBER(SEARCH(설정!$A$61,K582))),설정!$B$61,IF(M582="","설계사","시공사"))))))))),"")</f>
        <v/>
      </c>
      <c r="V582">
        <f>SUBSTITUTE(SUBSTITUTE(SUBSTITUTE(SUBSTITUTE(G582,"(주)",""),"㈜",""),"주식회사","")," ","")</f>
        <v/>
      </c>
      <c r="W582">
        <f>IF(AND(T582,V582&lt;&gt;""),IF(COUNTIFS(V$2:V582,V582,T$2:T582,TRUE)=1,MAX(W$1:W581)+1,""),"")</f>
        <v/>
      </c>
      <c r="X582">
        <f>IF(설정!$C$14="","",IFERROR(INDEX('1.산군_붙여넣기'!$A$1:$AZ$1001,ROW(),설정!$C$14)&amp;"",""))</f>
        <v/>
      </c>
      <c r="Y582">
        <f>IF(설정!$C$15="","",IFERROR(INDEX('1.산군_붙여넣기'!$A$1:$AZ$1001,ROW(),설정!$C$15)&amp;"",""))</f>
        <v/>
      </c>
      <c r="Z582">
        <f>IF(T582,V582&amp;"|"&amp;U582,"")</f>
        <v/>
      </c>
      <c r="AA582">
        <f>IF(NOT(Q582),"",IF(NOT(AND(R582,S582)),"✕",IF(OR(OR(AND(L582&lt;&gt;"",M582&lt;&gt;"",N(M582)-N(L582)&gt;설정!$B$27),AND(L582&lt;&gt;"",M582="",설정!$B$24-N(L582)&gt;설정!$B$27)),AND(D582&lt;&gt;"",D582&lt;설정!$B$26)),"△","★")))</f>
        <v/>
      </c>
      <c r="AB582">
        <f>IF(NOT(T582),"",IF(U582="설계사",설정!$B$31,IF(U582="시공사",IF(OR(M582="",설정!$B$24-N(M582)&lt;=설정!$B$28*30.4),설정!$B$32,설정!$B$33),설정!$B$34))+IF(AA582="★",설정!$B$35,0))</f>
        <v/>
      </c>
      <c r="AC582">
        <f>SUBSTITUTE(SUBSTITUTE(SUBSTITUTE(SUBSTITUTE(H582,"(주)",""),"㈜",""),"주식회사","")," ","")</f>
        <v/>
      </c>
      <c r="AD582">
        <f>IF(AND(T582,AC582&lt;&gt;""),IF(COUNTIFS(AC$2:AC582,AC582,T$2:T582,TRUE)=1,MAX(AD$1:AD581)+1,""),"")</f>
        <v/>
      </c>
    </row>
    <row r="583">
      <c r="A583">
        <f>ROW()</f>
        <v/>
      </c>
      <c r="B583">
        <f>IF(설정!$C$4="","",IFERROR(INDEX('1.산군_붙여넣기'!$A$1:$AZ$1001,ROW(),설정!$C$4)&amp;"",""))</f>
        <v/>
      </c>
      <c r="C583">
        <f>IF(설정!$C$5="","",IFERROR(INDEX('1.산군_붙여넣기'!$A$1:$AZ$1001,ROW(),설정!$C$5)&amp;"",""))</f>
        <v/>
      </c>
      <c r="D583" s="5">
        <f>IFERROR(VALUE(SUBSTITUTE(SUBSTITUTE(SUBSTITUTE(IF(설정!$C$6="","",IFERROR(INDEX('1.산군_붙여넣기'!$A$1:$AZ$1001,ROW(),설정!$C$6)&amp;"","")),",",""),"㎡",""),"m2","")),"")</f>
        <v/>
      </c>
      <c r="E583">
        <f>IF(설정!$C$7="","",IFERROR(INDEX('1.산군_붙여넣기'!$A$1:$AZ$1001,ROW(),설정!$C$7)&amp;"",""))</f>
        <v/>
      </c>
      <c r="F583">
        <f>IF(설정!$C$8="","",IFERROR(INDEX('1.산군_붙여넣기'!$A$1:$AZ$1001,ROW(),설정!$C$8)&amp;"",""))</f>
        <v/>
      </c>
      <c r="G583">
        <f>IF(설정!$C$9="","",IFERROR(INDEX('1.산군_붙여넣기'!$A$1:$AZ$1001,ROW(),설정!$C$9)&amp;"",""))</f>
        <v/>
      </c>
      <c r="H583">
        <f>IF(설정!$C$10="","",IFERROR(INDEX('1.산군_붙여넣기'!$A$1:$AZ$1001,ROW(),설정!$C$10)&amp;"",""))</f>
        <v/>
      </c>
      <c r="I583">
        <f>IF(설정!$C$11="","",IFERROR(INDEX('1.산군_붙여넣기'!$A$1:$AZ$1001,ROW(),설정!$C$11)&amp;"",""))</f>
        <v/>
      </c>
      <c r="J583">
        <f>IF(설정!$C$12="","",IFERROR(INDEX('1.산군_붙여넣기'!$A$1:$AZ$1001,ROW(),설정!$C$12)&amp;"",""))</f>
        <v/>
      </c>
      <c r="K583">
        <f>IF(설정!$C$13="","",IFERROR(INDEX('1.산군_붙여넣기'!$A$1:$AZ$1001,ROW(),설정!$C$13)&amp;"",""))</f>
        <v/>
      </c>
      <c r="L583" s="7">
        <f>IF(X583="","",IF(AND(LEN(X583)=8,ISNUMBER(X583*1)),DATE(LEFT(X583,4),MID(X583,5,2),RIGHT(X583,2)),IFERROR(DATEVALUE(SUBSTITUTE(SUBSTITUTE(X583,".","-"),"/","-")),IFERROR(X583*1,""))))</f>
        <v/>
      </c>
      <c r="M583" s="7">
        <f>IF(Y583="","",IF(AND(LEN(Y583)=8,ISNUMBER(Y583*1)),DATE(LEFT(Y583,4),MID(Y583,5,2),RIGHT(Y583,2)),IFERROR(DATEVALUE(SUBSTITUTE(SUBSTITUTE(Y583,".","-"),"/","-")),IFERROR(Y583*1,""))))</f>
        <v/>
      </c>
      <c r="N583">
        <f>IFERROR(LEFT(B583,FIND(" ",B583)-1),B583)</f>
        <v/>
      </c>
      <c r="O583">
        <f>AND(B583&lt;&gt;"",B583&lt;&gt;설정!$B$4,C583&lt;&gt;설정!$B$5)</f>
        <v/>
      </c>
      <c r="P583">
        <f>IF(O583,B583&amp;"|"&amp;C583,"")</f>
        <v/>
      </c>
      <c r="Q583">
        <f>AND(O583,COUNTIF(P584:P$1002,P583)=0)</f>
        <v/>
      </c>
      <c r="R583">
        <f>OR(AND(설정!$A$42&lt;&gt;"",ISNUMBER(SEARCH(설정!$A$42,E583&amp;" "&amp;C583))),AND(설정!$A$43&lt;&gt;"",ISNUMBER(SEARCH(설정!$A$43,E583&amp;" "&amp;C583))),AND(설정!$A$44&lt;&gt;"",ISNUMBER(SEARCH(설정!$A$44,E583&amp;" "&amp;C583))),AND(설정!$A$45&lt;&gt;"",ISNUMBER(SEARCH(설정!$A$45,E583&amp;" "&amp;C583))),AND(설정!$A$46&lt;&gt;"",ISNUMBER(SEARCH(설정!$A$46,E583&amp;" "&amp;C583))),AND(설정!$A$47&lt;&gt;"",ISNUMBER(SEARCH(설정!$A$47,E583&amp;" "&amp;C583))),AND(설정!$A$48&lt;&gt;"",ISNUMBER(SEARCH(설정!$A$48,E583&amp;" "&amp;C583))),AND(설정!$A$49&lt;&gt;"",ISNUMBER(SEARCH(설정!$A$49,E583&amp;" "&amp;C583))),AND(설정!$A$50&lt;&gt;"",ISNUMBER(SEARCH(설정!$A$50,E583&amp;" "&amp;C583))),AND(설정!$A$51&lt;&gt;"",ISNUMBER(SEARCH(설정!$A$51,E583&amp;" "&amp;C583))))</f>
        <v/>
      </c>
      <c r="S583">
        <f>OR(D583="",D583&gt;=설정!$B$19)</f>
        <v/>
      </c>
      <c r="T583">
        <f>AND(Q583,R583,S583)</f>
        <v/>
      </c>
      <c r="U583">
        <f>IF(T583,IF(AND(설정!$A$54&lt;&gt;"",ISNUMBER(SEARCH(설정!$A$54,K583))),설정!$B$54,IF(AND(설정!$A$55&lt;&gt;"",ISNUMBER(SEARCH(설정!$A$55,K583))),설정!$B$55,IF(AND(설정!$A$56&lt;&gt;"",ISNUMBER(SEARCH(설정!$A$56,K583))),설정!$B$56,IF(AND(설정!$A$57&lt;&gt;"",ISNUMBER(SEARCH(설정!$A$57,K583))),설정!$B$57,IF(AND(설정!$A$58&lt;&gt;"",ISNUMBER(SEARCH(설정!$A$58,K583))),설정!$B$58,IF(AND(설정!$A$59&lt;&gt;"",ISNUMBER(SEARCH(설정!$A$59,K583))),설정!$B$59,IF(AND(설정!$A$60&lt;&gt;"",ISNUMBER(SEARCH(설정!$A$60,K583))),설정!$B$60,IF(AND(설정!$A$61&lt;&gt;"",ISNUMBER(SEARCH(설정!$A$61,K583))),설정!$B$61,IF(M583="","설계사","시공사"))))))))),"")</f>
        <v/>
      </c>
      <c r="V583">
        <f>SUBSTITUTE(SUBSTITUTE(SUBSTITUTE(SUBSTITUTE(G583,"(주)",""),"㈜",""),"주식회사","")," ","")</f>
        <v/>
      </c>
      <c r="W583">
        <f>IF(AND(T583,V583&lt;&gt;""),IF(COUNTIFS(V$2:V583,V583,T$2:T583,TRUE)=1,MAX(W$1:W582)+1,""),"")</f>
        <v/>
      </c>
      <c r="X583">
        <f>IF(설정!$C$14="","",IFERROR(INDEX('1.산군_붙여넣기'!$A$1:$AZ$1001,ROW(),설정!$C$14)&amp;"",""))</f>
        <v/>
      </c>
      <c r="Y583">
        <f>IF(설정!$C$15="","",IFERROR(INDEX('1.산군_붙여넣기'!$A$1:$AZ$1001,ROW(),설정!$C$15)&amp;"",""))</f>
        <v/>
      </c>
      <c r="Z583">
        <f>IF(T583,V583&amp;"|"&amp;U583,"")</f>
        <v/>
      </c>
      <c r="AA583">
        <f>IF(NOT(Q583),"",IF(NOT(AND(R583,S583)),"✕",IF(OR(OR(AND(L583&lt;&gt;"",M583&lt;&gt;"",N(M583)-N(L583)&gt;설정!$B$27),AND(L583&lt;&gt;"",M583="",설정!$B$24-N(L583)&gt;설정!$B$27)),AND(D583&lt;&gt;"",D583&lt;설정!$B$26)),"△","★")))</f>
        <v/>
      </c>
      <c r="AB583">
        <f>IF(NOT(T583),"",IF(U583="설계사",설정!$B$31,IF(U583="시공사",IF(OR(M583="",설정!$B$24-N(M583)&lt;=설정!$B$28*30.4),설정!$B$32,설정!$B$33),설정!$B$34))+IF(AA583="★",설정!$B$35,0))</f>
        <v/>
      </c>
      <c r="AC583">
        <f>SUBSTITUTE(SUBSTITUTE(SUBSTITUTE(SUBSTITUTE(H583,"(주)",""),"㈜",""),"주식회사","")," ","")</f>
        <v/>
      </c>
      <c r="AD583">
        <f>IF(AND(T583,AC583&lt;&gt;""),IF(COUNTIFS(AC$2:AC583,AC583,T$2:T583,TRUE)=1,MAX(AD$1:AD582)+1,""),"")</f>
        <v/>
      </c>
    </row>
    <row r="584">
      <c r="A584">
        <f>ROW()</f>
        <v/>
      </c>
      <c r="B584">
        <f>IF(설정!$C$4="","",IFERROR(INDEX('1.산군_붙여넣기'!$A$1:$AZ$1001,ROW(),설정!$C$4)&amp;"",""))</f>
        <v/>
      </c>
      <c r="C584">
        <f>IF(설정!$C$5="","",IFERROR(INDEX('1.산군_붙여넣기'!$A$1:$AZ$1001,ROW(),설정!$C$5)&amp;"",""))</f>
        <v/>
      </c>
      <c r="D584" s="5">
        <f>IFERROR(VALUE(SUBSTITUTE(SUBSTITUTE(SUBSTITUTE(IF(설정!$C$6="","",IFERROR(INDEX('1.산군_붙여넣기'!$A$1:$AZ$1001,ROW(),설정!$C$6)&amp;"","")),",",""),"㎡",""),"m2","")),"")</f>
        <v/>
      </c>
      <c r="E584">
        <f>IF(설정!$C$7="","",IFERROR(INDEX('1.산군_붙여넣기'!$A$1:$AZ$1001,ROW(),설정!$C$7)&amp;"",""))</f>
        <v/>
      </c>
      <c r="F584">
        <f>IF(설정!$C$8="","",IFERROR(INDEX('1.산군_붙여넣기'!$A$1:$AZ$1001,ROW(),설정!$C$8)&amp;"",""))</f>
        <v/>
      </c>
      <c r="G584">
        <f>IF(설정!$C$9="","",IFERROR(INDEX('1.산군_붙여넣기'!$A$1:$AZ$1001,ROW(),설정!$C$9)&amp;"",""))</f>
        <v/>
      </c>
      <c r="H584">
        <f>IF(설정!$C$10="","",IFERROR(INDEX('1.산군_붙여넣기'!$A$1:$AZ$1001,ROW(),설정!$C$10)&amp;"",""))</f>
        <v/>
      </c>
      <c r="I584">
        <f>IF(설정!$C$11="","",IFERROR(INDEX('1.산군_붙여넣기'!$A$1:$AZ$1001,ROW(),설정!$C$11)&amp;"",""))</f>
        <v/>
      </c>
      <c r="J584">
        <f>IF(설정!$C$12="","",IFERROR(INDEX('1.산군_붙여넣기'!$A$1:$AZ$1001,ROW(),설정!$C$12)&amp;"",""))</f>
        <v/>
      </c>
      <c r="K584">
        <f>IF(설정!$C$13="","",IFERROR(INDEX('1.산군_붙여넣기'!$A$1:$AZ$1001,ROW(),설정!$C$13)&amp;"",""))</f>
        <v/>
      </c>
      <c r="L584" s="7">
        <f>IF(X584="","",IF(AND(LEN(X584)=8,ISNUMBER(X584*1)),DATE(LEFT(X584,4),MID(X584,5,2),RIGHT(X584,2)),IFERROR(DATEVALUE(SUBSTITUTE(SUBSTITUTE(X584,".","-"),"/","-")),IFERROR(X584*1,""))))</f>
        <v/>
      </c>
      <c r="M584" s="7">
        <f>IF(Y584="","",IF(AND(LEN(Y584)=8,ISNUMBER(Y584*1)),DATE(LEFT(Y584,4),MID(Y584,5,2),RIGHT(Y584,2)),IFERROR(DATEVALUE(SUBSTITUTE(SUBSTITUTE(Y584,".","-"),"/","-")),IFERROR(Y584*1,""))))</f>
        <v/>
      </c>
      <c r="N584">
        <f>IFERROR(LEFT(B584,FIND(" ",B584)-1),B584)</f>
        <v/>
      </c>
      <c r="O584">
        <f>AND(B584&lt;&gt;"",B584&lt;&gt;설정!$B$4,C584&lt;&gt;설정!$B$5)</f>
        <v/>
      </c>
      <c r="P584">
        <f>IF(O584,B584&amp;"|"&amp;C584,"")</f>
        <v/>
      </c>
      <c r="Q584">
        <f>AND(O584,COUNTIF(P585:P$1002,P584)=0)</f>
        <v/>
      </c>
      <c r="R584">
        <f>OR(AND(설정!$A$42&lt;&gt;"",ISNUMBER(SEARCH(설정!$A$42,E584&amp;" "&amp;C584))),AND(설정!$A$43&lt;&gt;"",ISNUMBER(SEARCH(설정!$A$43,E584&amp;" "&amp;C584))),AND(설정!$A$44&lt;&gt;"",ISNUMBER(SEARCH(설정!$A$44,E584&amp;" "&amp;C584))),AND(설정!$A$45&lt;&gt;"",ISNUMBER(SEARCH(설정!$A$45,E584&amp;" "&amp;C584))),AND(설정!$A$46&lt;&gt;"",ISNUMBER(SEARCH(설정!$A$46,E584&amp;" "&amp;C584))),AND(설정!$A$47&lt;&gt;"",ISNUMBER(SEARCH(설정!$A$47,E584&amp;" "&amp;C584))),AND(설정!$A$48&lt;&gt;"",ISNUMBER(SEARCH(설정!$A$48,E584&amp;" "&amp;C584))),AND(설정!$A$49&lt;&gt;"",ISNUMBER(SEARCH(설정!$A$49,E584&amp;" "&amp;C584))),AND(설정!$A$50&lt;&gt;"",ISNUMBER(SEARCH(설정!$A$50,E584&amp;" "&amp;C584))),AND(설정!$A$51&lt;&gt;"",ISNUMBER(SEARCH(설정!$A$51,E584&amp;" "&amp;C584))))</f>
        <v/>
      </c>
      <c r="S584">
        <f>OR(D584="",D584&gt;=설정!$B$19)</f>
        <v/>
      </c>
      <c r="T584">
        <f>AND(Q584,R584,S584)</f>
        <v/>
      </c>
      <c r="U584">
        <f>IF(T584,IF(AND(설정!$A$54&lt;&gt;"",ISNUMBER(SEARCH(설정!$A$54,K584))),설정!$B$54,IF(AND(설정!$A$55&lt;&gt;"",ISNUMBER(SEARCH(설정!$A$55,K584))),설정!$B$55,IF(AND(설정!$A$56&lt;&gt;"",ISNUMBER(SEARCH(설정!$A$56,K584))),설정!$B$56,IF(AND(설정!$A$57&lt;&gt;"",ISNUMBER(SEARCH(설정!$A$57,K584))),설정!$B$57,IF(AND(설정!$A$58&lt;&gt;"",ISNUMBER(SEARCH(설정!$A$58,K584))),설정!$B$58,IF(AND(설정!$A$59&lt;&gt;"",ISNUMBER(SEARCH(설정!$A$59,K584))),설정!$B$59,IF(AND(설정!$A$60&lt;&gt;"",ISNUMBER(SEARCH(설정!$A$60,K584))),설정!$B$60,IF(AND(설정!$A$61&lt;&gt;"",ISNUMBER(SEARCH(설정!$A$61,K584))),설정!$B$61,IF(M584="","설계사","시공사"))))))))),"")</f>
        <v/>
      </c>
      <c r="V584">
        <f>SUBSTITUTE(SUBSTITUTE(SUBSTITUTE(SUBSTITUTE(G584,"(주)",""),"㈜",""),"주식회사","")," ","")</f>
        <v/>
      </c>
      <c r="W584">
        <f>IF(AND(T584,V584&lt;&gt;""),IF(COUNTIFS(V$2:V584,V584,T$2:T584,TRUE)=1,MAX(W$1:W583)+1,""),"")</f>
        <v/>
      </c>
      <c r="X584">
        <f>IF(설정!$C$14="","",IFERROR(INDEX('1.산군_붙여넣기'!$A$1:$AZ$1001,ROW(),설정!$C$14)&amp;"",""))</f>
        <v/>
      </c>
      <c r="Y584">
        <f>IF(설정!$C$15="","",IFERROR(INDEX('1.산군_붙여넣기'!$A$1:$AZ$1001,ROW(),설정!$C$15)&amp;"",""))</f>
        <v/>
      </c>
      <c r="Z584">
        <f>IF(T584,V584&amp;"|"&amp;U584,"")</f>
        <v/>
      </c>
      <c r="AA584">
        <f>IF(NOT(Q584),"",IF(NOT(AND(R584,S584)),"✕",IF(OR(OR(AND(L584&lt;&gt;"",M584&lt;&gt;"",N(M584)-N(L584)&gt;설정!$B$27),AND(L584&lt;&gt;"",M584="",설정!$B$24-N(L584)&gt;설정!$B$27)),AND(D584&lt;&gt;"",D584&lt;설정!$B$26)),"△","★")))</f>
        <v/>
      </c>
      <c r="AB584">
        <f>IF(NOT(T584),"",IF(U584="설계사",설정!$B$31,IF(U584="시공사",IF(OR(M584="",설정!$B$24-N(M584)&lt;=설정!$B$28*30.4),설정!$B$32,설정!$B$33),설정!$B$34))+IF(AA584="★",설정!$B$35,0))</f>
        <v/>
      </c>
      <c r="AC584">
        <f>SUBSTITUTE(SUBSTITUTE(SUBSTITUTE(SUBSTITUTE(H584,"(주)",""),"㈜",""),"주식회사","")," ","")</f>
        <v/>
      </c>
      <c r="AD584">
        <f>IF(AND(T584,AC584&lt;&gt;""),IF(COUNTIFS(AC$2:AC584,AC584,T$2:T584,TRUE)=1,MAX(AD$1:AD583)+1,""),"")</f>
        <v/>
      </c>
    </row>
    <row r="585">
      <c r="A585">
        <f>ROW()</f>
        <v/>
      </c>
      <c r="B585">
        <f>IF(설정!$C$4="","",IFERROR(INDEX('1.산군_붙여넣기'!$A$1:$AZ$1001,ROW(),설정!$C$4)&amp;"",""))</f>
        <v/>
      </c>
      <c r="C585">
        <f>IF(설정!$C$5="","",IFERROR(INDEX('1.산군_붙여넣기'!$A$1:$AZ$1001,ROW(),설정!$C$5)&amp;"",""))</f>
        <v/>
      </c>
      <c r="D585" s="5">
        <f>IFERROR(VALUE(SUBSTITUTE(SUBSTITUTE(SUBSTITUTE(IF(설정!$C$6="","",IFERROR(INDEX('1.산군_붙여넣기'!$A$1:$AZ$1001,ROW(),설정!$C$6)&amp;"","")),",",""),"㎡",""),"m2","")),"")</f>
        <v/>
      </c>
      <c r="E585">
        <f>IF(설정!$C$7="","",IFERROR(INDEX('1.산군_붙여넣기'!$A$1:$AZ$1001,ROW(),설정!$C$7)&amp;"",""))</f>
        <v/>
      </c>
      <c r="F585">
        <f>IF(설정!$C$8="","",IFERROR(INDEX('1.산군_붙여넣기'!$A$1:$AZ$1001,ROW(),설정!$C$8)&amp;"",""))</f>
        <v/>
      </c>
      <c r="G585">
        <f>IF(설정!$C$9="","",IFERROR(INDEX('1.산군_붙여넣기'!$A$1:$AZ$1001,ROW(),설정!$C$9)&amp;"",""))</f>
        <v/>
      </c>
      <c r="H585">
        <f>IF(설정!$C$10="","",IFERROR(INDEX('1.산군_붙여넣기'!$A$1:$AZ$1001,ROW(),설정!$C$10)&amp;"",""))</f>
        <v/>
      </c>
      <c r="I585">
        <f>IF(설정!$C$11="","",IFERROR(INDEX('1.산군_붙여넣기'!$A$1:$AZ$1001,ROW(),설정!$C$11)&amp;"",""))</f>
        <v/>
      </c>
      <c r="J585">
        <f>IF(설정!$C$12="","",IFERROR(INDEX('1.산군_붙여넣기'!$A$1:$AZ$1001,ROW(),설정!$C$12)&amp;"",""))</f>
        <v/>
      </c>
      <c r="K585">
        <f>IF(설정!$C$13="","",IFERROR(INDEX('1.산군_붙여넣기'!$A$1:$AZ$1001,ROW(),설정!$C$13)&amp;"",""))</f>
        <v/>
      </c>
      <c r="L585" s="7">
        <f>IF(X585="","",IF(AND(LEN(X585)=8,ISNUMBER(X585*1)),DATE(LEFT(X585,4),MID(X585,5,2),RIGHT(X585,2)),IFERROR(DATEVALUE(SUBSTITUTE(SUBSTITUTE(X585,".","-"),"/","-")),IFERROR(X585*1,""))))</f>
        <v/>
      </c>
      <c r="M585" s="7">
        <f>IF(Y585="","",IF(AND(LEN(Y585)=8,ISNUMBER(Y585*1)),DATE(LEFT(Y585,4),MID(Y585,5,2),RIGHT(Y585,2)),IFERROR(DATEVALUE(SUBSTITUTE(SUBSTITUTE(Y585,".","-"),"/","-")),IFERROR(Y585*1,""))))</f>
        <v/>
      </c>
      <c r="N585">
        <f>IFERROR(LEFT(B585,FIND(" ",B585)-1),B585)</f>
        <v/>
      </c>
      <c r="O585">
        <f>AND(B585&lt;&gt;"",B585&lt;&gt;설정!$B$4,C585&lt;&gt;설정!$B$5)</f>
        <v/>
      </c>
      <c r="P585">
        <f>IF(O585,B585&amp;"|"&amp;C585,"")</f>
        <v/>
      </c>
      <c r="Q585">
        <f>AND(O585,COUNTIF(P586:P$1002,P585)=0)</f>
        <v/>
      </c>
      <c r="R585">
        <f>OR(AND(설정!$A$42&lt;&gt;"",ISNUMBER(SEARCH(설정!$A$42,E585&amp;" "&amp;C585))),AND(설정!$A$43&lt;&gt;"",ISNUMBER(SEARCH(설정!$A$43,E585&amp;" "&amp;C585))),AND(설정!$A$44&lt;&gt;"",ISNUMBER(SEARCH(설정!$A$44,E585&amp;" "&amp;C585))),AND(설정!$A$45&lt;&gt;"",ISNUMBER(SEARCH(설정!$A$45,E585&amp;" "&amp;C585))),AND(설정!$A$46&lt;&gt;"",ISNUMBER(SEARCH(설정!$A$46,E585&amp;" "&amp;C585))),AND(설정!$A$47&lt;&gt;"",ISNUMBER(SEARCH(설정!$A$47,E585&amp;" "&amp;C585))),AND(설정!$A$48&lt;&gt;"",ISNUMBER(SEARCH(설정!$A$48,E585&amp;" "&amp;C585))),AND(설정!$A$49&lt;&gt;"",ISNUMBER(SEARCH(설정!$A$49,E585&amp;" "&amp;C585))),AND(설정!$A$50&lt;&gt;"",ISNUMBER(SEARCH(설정!$A$50,E585&amp;" "&amp;C585))),AND(설정!$A$51&lt;&gt;"",ISNUMBER(SEARCH(설정!$A$51,E585&amp;" "&amp;C585))))</f>
        <v/>
      </c>
      <c r="S585">
        <f>OR(D585="",D585&gt;=설정!$B$19)</f>
        <v/>
      </c>
      <c r="T585">
        <f>AND(Q585,R585,S585)</f>
        <v/>
      </c>
      <c r="U585">
        <f>IF(T585,IF(AND(설정!$A$54&lt;&gt;"",ISNUMBER(SEARCH(설정!$A$54,K585))),설정!$B$54,IF(AND(설정!$A$55&lt;&gt;"",ISNUMBER(SEARCH(설정!$A$55,K585))),설정!$B$55,IF(AND(설정!$A$56&lt;&gt;"",ISNUMBER(SEARCH(설정!$A$56,K585))),설정!$B$56,IF(AND(설정!$A$57&lt;&gt;"",ISNUMBER(SEARCH(설정!$A$57,K585))),설정!$B$57,IF(AND(설정!$A$58&lt;&gt;"",ISNUMBER(SEARCH(설정!$A$58,K585))),설정!$B$58,IF(AND(설정!$A$59&lt;&gt;"",ISNUMBER(SEARCH(설정!$A$59,K585))),설정!$B$59,IF(AND(설정!$A$60&lt;&gt;"",ISNUMBER(SEARCH(설정!$A$60,K585))),설정!$B$60,IF(AND(설정!$A$61&lt;&gt;"",ISNUMBER(SEARCH(설정!$A$61,K585))),설정!$B$61,IF(M585="","설계사","시공사"))))))))),"")</f>
        <v/>
      </c>
      <c r="V585">
        <f>SUBSTITUTE(SUBSTITUTE(SUBSTITUTE(SUBSTITUTE(G585,"(주)",""),"㈜",""),"주식회사","")," ","")</f>
        <v/>
      </c>
      <c r="W585">
        <f>IF(AND(T585,V585&lt;&gt;""),IF(COUNTIFS(V$2:V585,V585,T$2:T585,TRUE)=1,MAX(W$1:W584)+1,""),"")</f>
        <v/>
      </c>
      <c r="X585">
        <f>IF(설정!$C$14="","",IFERROR(INDEX('1.산군_붙여넣기'!$A$1:$AZ$1001,ROW(),설정!$C$14)&amp;"",""))</f>
        <v/>
      </c>
      <c r="Y585">
        <f>IF(설정!$C$15="","",IFERROR(INDEX('1.산군_붙여넣기'!$A$1:$AZ$1001,ROW(),설정!$C$15)&amp;"",""))</f>
        <v/>
      </c>
      <c r="Z585">
        <f>IF(T585,V585&amp;"|"&amp;U585,"")</f>
        <v/>
      </c>
      <c r="AA585">
        <f>IF(NOT(Q585),"",IF(NOT(AND(R585,S585)),"✕",IF(OR(OR(AND(L585&lt;&gt;"",M585&lt;&gt;"",N(M585)-N(L585)&gt;설정!$B$27),AND(L585&lt;&gt;"",M585="",설정!$B$24-N(L585)&gt;설정!$B$27)),AND(D585&lt;&gt;"",D585&lt;설정!$B$26)),"△","★")))</f>
        <v/>
      </c>
      <c r="AB585">
        <f>IF(NOT(T585),"",IF(U585="설계사",설정!$B$31,IF(U585="시공사",IF(OR(M585="",설정!$B$24-N(M585)&lt;=설정!$B$28*30.4),설정!$B$32,설정!$B$33),설정!$B$34))+IF(AA585="★",설정!$B$35,0))</f>
        <v/>
      </c>
      <c r="AC585">
        <f>SUBSTITUTE(SUBSTITUTE(SUBSTITUTE(SUBSTITUTE(H585,"(주)",""),"㈜",""),"주식회사","")," ","")</f>
        <v/>
      </c>
      <c r="AD585">
        <f>IF(AND(T585,AC585&lt;&gt;""),IF(COUNTIFS(AC$2:AC585,AC585,T$2:T585,TRUE)=1,MAX(AD$1:AD584)+1,""),"")</f>
        <v/>
      </c>
    </row>
    <row r="586">
      <c r="A586">
        <f>ROW()</f>
        <v/>
      </c>
      <c r="B586">
        <f>IF(설정!$C$4="","",IFERROR(INDEX('1.산군_붙여넣기'!$A$1:$AZ$1001,ROW(),설정!$C$4)&amp;"",""))</f>
        <v/>
      </c>
      <c r="C586">
        <f>IF(설정!$C$5="","",IFERROR(INDEX('1.산군_붙여넣기'!$A$1:$AZ$1001,ROW(),설정!$C$5)&amp;"",""))</f>
        <v/>
      </c>
      <c r="D586" s="5">
        <f>IFERROR(VALUE(SUBSTITUTE(SUBSTITUTE(SUBSTITUTE(IF(설정!$C$6="","",IFERROR(INDEX('1.산군_붙여넣기'!$A$1:$AZ$1001,ROW(),설정!$C$6)&amp;"","")),",",""),"㎡",""),"m2","")),"")</f>
        <v/>
      </c>
      <c r="E586">
        <f>IF(설정!$C$7="","",IFERROR(INDEX('1.산군_붙여넣기'!$A$1:$AZ$1001,ROW(),설정!$C$7)&amp;"",""))</f>
        <v/>
      </c>
      <c r="F586">
        <f>IF(설정!$C$8="","",IFERROR(INDEX('1.산군_붙여넣기'!$A$1:$AZ$1001,ROW(),설정!$C$8)&amp;"",""))</f>
        <v/>
      </c>
      <c r="G586">
        <f>IF(설정!$C$9="","",IFERROR(INDEX('1.산군_붙여넣기'!$A$1:$AZ$1001,ROW(),설정!$C$9)&amp;"",""))</f>
        <v/>
      </c>
      <c r="H586">
        <f>IF(설정!$C$10="","",IFERROR(INDEX('1.산군_붙여넣기'!$A$1:$AZ$1001,ROW(),설정!$C$10)&amp;"",""))</f>
        <v/>
      </c>
      <c r="I586">
        <f>IF(설정!$C$11="","",IFERROR(INDEX('1.산군_붙여넣기'!$A$1:$AZ$1001,ROW(),설정!$C$11)&amp;"",""))</f>
        <v/>
      </c>
      <c r="J586">
        <f>IF(설정!$C$12="","",IFERROR(INDEX('1.산군_붙여넣기'!$A$1:$AZ$1001,ROW(),설정!$C$12)&amp;"",""))</f>
        <v/>
      </c>
      <c r="K586">
        <f>IF(설정!$C$13="","",IFERROR(INDEX('1.산군_붙여넣기'!$A$1:$AZ$1001,ROW(),설정!$C$13)&amp;"",""))</f>
        <v/>
      </c>
      <c r="L586" s="7">
        <f>IF(X586="","",IF(AND(LEN(X586)=8,ISNUMBER(X586*1)),DATE(LEFT(X586,4),MID(X586,5,2),RIGHT(X586,2)),IFERROR(DATEVALUE(SUBSTITUTE(SUBSTITUTE(X586,".","-"),"/","-")),IFERROR(X586*1,""))))</f>
        <v/>
      </c>
      <c r="M586" s="7">
        <f>IF(Y586="","",IF(AND(LEN(Y586)=8,ISNUMBER(Y586*1)),DATE(LEFT(Y586,4),MID(Y586,5,2),RIGHT(Y586,2)),IFERROR(DATEVALUE(SUBSTITUTE(SUBSTITUTE(Y586,".","-"),"/","-")),IFERROR(Y586*1,""))))</f>
        <v/>
      </c>
      <c r="N586">
        <f>IFERROR(LEFT(B586,FIND(" ",B586)-1),B586)</f>
        <v/>
      </c>
      <c r="O586">
        <f>AND(B586&lt;&gt;"",B586&lt;&gt;설정!$B$4,C586&lt;&gt;설정!$B$5)</f>
        <v/>
      </c>
      <c r="P586">
        <f>IF(O586,B586&amp;"|"&amp;C586,"")</f>
        <v/>
      </c>
      <c r="Q586">
        <f>AND(O586,COUNTIF(P587:P$1002,P586)=0)</f>
        <v/>
      </c>
      <c r="R586">
        <f>OR(AND(설정!$A$42&lt;&gt;"",ISNUMBER(SEARCH(설정!$A$42,E586&amp;" "&amp;C586))),AND(설정!$A$43&lt;&gt;"",ISNUMBER(SEARCH(설정!$A$43,E586&amp;" "&amp;C586))),AND(설정!$A$44&lt;&gt;"",ISNUMBER(SEARCH(설정!$A$44,E586&amp;" "&amp;C586))),AND(설정!$A$45&lt;&gt;"",ISNUMBER(SEARCH(설정!$A$45,E586&amp;" "&amp;C586))),AND(설정!$A$46&lt;&gt;"",ISNUMBER(SEARCH(설정!$A$46,E586&amp;" "&amp;C586))),AND(설정!$A$47&lt;&gt;"",ISNUMBER(SEARCH(설정!$A$47,E586&amp;" "&amp;C586))),AND(설정!$A$48&lt;&gt;"",ISNUMBER(SEARCH(설정!$A$48,E586&amp;" "&amp;C586))),AND(설정!$A$49&lt;&gt;"",ISNUMBER(SEARCH(설정!$A$49,E586&amp;" "&amp;C586))),AND(설정!$A$50&lt;&gt;"",ISNUMBER(SEARCH(설정!$A$50,E586&amp;" "&amp;C586))),AND(설정!$A$51&lt;&gt;"",ISNUMBER(SEARCH(설정!$A$51,E586&amp;" "&amp;C586))))</f>
        <v/>
      </c>
      <c r="S586">
        <f>OR(D586="",D586&gt;=설정!$B$19)</f>
        <v/>
      </c>
      <c r="T586">
        <f>AND(Q586,R586,S586)</f>
        <v/>
      </c>
      <c r="U586">
        <f>IF(T586,IF(AND(설정!$A$54&lt;&gt;"",ISNUMBER(SEARCH(설정!$A$54,K586))),설정!$B$54,IF(AND(설정!$A$55&lt;&gt;"",ISNUMBER(SEARCH(설정!$A$55,K586))),설정!$B$55,IF(AND(설정!$A$56&lt;&gt;"",ISNUMBER(SEARCH(설정!$A$56,K586))),설정!$B$56,IF(AND(설정!$A$57&lt;&gt;"",ISNUMBER(SEARCH(설정!$A$57,K586))),설정!$B$57,IF(AND(설정!$A$58&lt;&gt;"",ISNUMBER(SEARCH(설정!$A$58,K586))),설정!$B$58,IF(AND(설정!$A$59&lt;&gt;"",ISNUMBER(SEARCH(설정!$A$59,K586))),설정!$B$59,IF(AND(설정!$A$60&lt;&gt;"",ISNUMBER(SEARCH(설정!$A$60,K586))),설정!$B$60,IF(AND(설정!$A$61&lt;&gt;"",ISNUMBER(SEARCH(설정!$A$61,K586))),설정!$B$61,IF(M586="","설계사","시공사"))))))))),"")</f>
        <v/>
      </c>
      <c r="V586">
        <f>SUBSTITUTE(SUBSTITUTE(SUBSTITUTE(SUBSTITUTE(G586,"(주)",""),"㈜",""),"주식회사","")," ","")</f>
        <v/>
      </c>
      <c r="W586">
        <f>IF(AND(T586,V586&lt;&gt;""),IF(COUNTIFS(V$2:V586,V586,T$2:T586,TRUE)=1,MAX(W$1:W585)+1,""),"")</f>
        <v/>
      </c>
      <c r="X586">
        <f>IF(설정!$C$14="","",IFERROR(INDEX('1.산군_붙여넣기'!$A$1:$AZ$1001,ROW(),설정!$C$14)&amp;"",""))</f>
        <v/>
      </c>
      <c r="Y586">
        <f>IF(설정!$C$15="","",IFERROR(INDEX('1.산군_붙여넣기'!$A$1:$AZ$1001,ROW(),설정!$C$15)&amp;"",""))</f>
        <v/>
      </c>
      <c r="Z586">
        <f>IF(T586,V586&amp;"|"&amp;U586,"")</f>
        <v/>
      </c>
      <c r="AA586">
        <f>IF(NOT(Q586),"",IF(NOT(AND(R586,S586)),"✕",IF(OR(OR(AND(L586&lt;&gt;"",M586&lt;&gt;"",N(M586)-N(L586)&gt;설정!$B$27),AND(L586&lt;&gt;"",M586="",설정!$B$24-N(L586)&gt;설정!$B$27)),AND(D586&lt;&gt;"",D586&lt;설정!$B$26)),"△","★")))</f>
        <v/>
      </c>
      <c r="AB586">
        <f>IF(NOT(T586),"",IF(U586="설계사",설정!$B$31,IF(U586="시공사",IF(OR(M586="",설정!$B$24-N(M586)&lt;=설정!$B$28*30.4),설정!$B$32,설정!$B$33),설정!$B$34))+IF(AA586="★",설정!$B$35,0))</f>
        <v/>
      </c>
      <c r="AC586">
        <f>SUBSTITUTE(SUBSTITUTE(SUBSTITUTE(SUBSTITUTE(H586,"(주)",""),"㈜",""),"주식회사","")," ","")</f>
        <v/>
      </c>
      <c r="AD586">
        <f>IF(AND(T586,AC586&lt;&gt;""),IF(COUNTIFS(AC$2:AC586,AC586,T$2:T586,TRUE)=1,MAX(AD$1:AD585)+1,""),"")</f>
        <v/>
      </c>
    </row>
    <row r="587">
      <c r="A587">
        <f>ROW()</f>
        <v/>
      </c>
      <c r="B587">
        <f>IF(설정!$C$4="","",IFERROR(INDEX('1.산군_붙여넣기'!$A$1:$AZ$1001,ROW(),설정!$C$4)&amp;"",""))</f>
        <v/>
      </c>
      <c r="C587">
        <f>IF(설정!$C$5="","",IFERROR(INDEX('1.산군_붙여넣기'!$A$1:$AZ$1001,ROW(),설정!$C$5)&amp;"",""))</f>
        <v/>
      </c>
      <c r="D587" s="5">
        <f>IFERROR(VALUE(SUBSTITUTE(SUBSTITUTE(SUBSTITUTE(IF(설정!$C$6="","",IFERROR(INDEX('1.산군_붙여넣기'!$A$1:$AZ$1001,ROW(),설정!$C$6)&amp;"","")),",",""),"㎡",""),"m2","")),"")</f>
        <v/>
      </c>
      <c r="E587">
        <f>IF(설정!$C$7="","",IFERROR(INDEX('1.산군_붙여넣기'!$A$1:$AZ$1001,ROW(),설정!$C$7)&amp;"",""))</f>
        <v/>
      </c>
      <c r="F587">
        <f>IF(설정!$C$8="","",IFERROR(INDEX('1.산군_붙여넣기'!$A$1:$AZ$1001,ROW(),설정!$C$8)&amp;"",""))</f>
        <v/>
      </c>
      <c r="G587">
        <f>IF(설정!$C$9="","",IFERROR(INDEX('1.산군_붙여넣기'!$A$1:$AZ$1001,ROW(),설정!$C$9)&amp;"",""))</f>
        <v/>
      </c>
      <c r="H587">
        <f>IF(설정!$C$10="","",IFERROR(INDEX('1.산군_붙여넣기'!$A$1:$AZ$1001,ROW(),설정!$C$10)&amp;"",""))</f>
        <v/>
      </c>
      <c r="I587">
        <f>IF(설정!$C$11="","",IFERROR(INDEX('1.산군_붙여넣기'!$A$1:$AZ$1001,ROW(),설정!$C$11)&amp;"",""))</f>
        <v/>
      </c>
      <c r="J587">
        <f>IF(설정!$C$12="","",IFERROR(INDEX('1.산군_붙여넣기'!$A$1:$AZ$1001,ROW(),설정!$C$12)&amp;"",""))</f>
        <v/>
      </c>
      <c r="K587">
        <f>IF(설정!$C$13="","",IFERROR(INDEX('1.산군_붙여넣기'!$A$1:$AZ$1001,ROW(),설정!$C$13)&amp;"",""))</f>
        <v/>
      </c>
      <c r="L587" s="7">
        <f>IF(X587="","",IF(AND(LEN(X587)=8,ISNUMBER(X587*1)),DATE(LEFT(X587,4),MID(X587,5,2),RIGHT(X587,2)),IFERROR(DATEVALUE(SUBSTITUTE(SUBSTITUTE(X587,".","-"),"/","-")),IFERROR(X587*1,""))))</f>
        <v/>
      </c>
      <c r="M587" s="7">
        <f>IF(Y587="","",IF(AND(LEN(Y587)=8,ISNUMBER(Y587*1)),DATE(LEFT(Y587,4),MID(Y587,5,2),RIGHT(Y587,2)),IFERROR(DATEVALUE(SUBSTITUTE(SUBSTITUTE(Y587,".","-"),"/","-")),IFERROR(Y587*1,""))))</f>
        <v/>
      </c>
      <c r="N587">
        <f>IFERROR(LEFT(B587,FIND(" ",B587)-1),B587)</f>
        <v/>
      </c>
      <c r="O587">
        <f>AND(B587&lt;&gt;"",B587&lt;&gt;설정!$B$4,C587&lt;&gt;설정!$B$5)</f>
        <v/>
      </c>
      <c r="P587">
        <f>IF(O587,B587&amp;"|"&amp;C587,"")</f>
        <v/>
      </c>
      <c r="Q587">
        <f>AND(O587,COUNTIF(P588:P$1002,P587)=0)</f>
        <v/>
      </c>
      <c r="R587">
        <f>OR(AND(설정!$A$42&lt;&gt;"",ISNUMBER(SEARCH(설정!$A$42,E587&amp;" "&amp;C587))),AND(설정!$A$43&lt;&gt;"",ISNUMBER(SEARCH(설정!$A$43,E587&amp;" "&amp;C587))),AND(설정!$A$44&lt;&gt;"",ISNUMBER(SEARCH(설정!$A$44,E587&amp;" "&amp;C587))),AND(설정!$A$45&lt;&gt;"",ISNUMBER(SEARCH(설정!$A$45,E587&amp;" "&amp;C587))),AND(설정!$A$46&lt;&gt;"",ISNUMBER(SEARCH(설정!$A$46,E587&amp;" "&amp;C587))),AND(설정!$A$47&lt;&gt;"",ISNUMBER(SEARCH(설정!$A$47,E587&amp;" "&amp;C587))),AND(설정!$A$48&lt;&gt;"",ISNUMBER(SEARCH(설정!$A$48,E587&amp;" "&amp;C587))),AND(설정!$A$49&lt;&gt;"",ISNUMBER(SEARCH(설정!$A$49,E587&amp;" "&amp;C587))),AND(설정!$A$50&lt;&gt;"",ISNUMBER(SEARCH(설정!$A$50,E587&amp;" "&amp;C587))),AND(설정!$A$51&lt;&gt;"",ISNUMBER(SEARCH(설정!$A$51,E587&amp;" "&amp;C587))))</f>
        <v/>
      </c>
      <c r="S587">
        <f>OR(D587="",D587&gt;=설정!$B$19)</f>
        <v/>
      </c>
      <c r="T587">
        <f>AND(Q587,R587,S587)</f>
        <v/>
      </c>
      <c r="U587">
        <f>IF(T587,IF(AND(설정!$A$54&lt;&gt;"",ISNUMBER(SEARCH(설정!$A$54,K587))),설정!$B$54,IF(AND(설정!$A$55&lt;&gt;"",ISNUMBER(SEARCH(설정!$A$55,K587))),설정!$B$55,IF(AND(설정!$A$56&lt;&gt;"",ISNUMBER(SEARCH(설정!$A$56,K587))),설정!$B$56,IF(AND(설정!$A$57&lt;&gt;"",ISNUMBER(SEARCH(설정!$A$57,K587))),설정!$B$57,IF(AND(설정!$A$58&lt;&gt;"",ISNUMBER(SEARCH(설정!$A$58,K587))),설정!$B$58,IF(AND(설정!$A$59&lt;&gt;"",ISNUMBER(SEARCH(설정!$A$59,K587))),설정!$B$59,IF(AND(설정!$A$60&lt;&gt;"",ISNUMBER(SEARCH(설정!$A$60,K587))),설정!$B$60,IF(AND(설정!$A$61&lt;&gt;"",ISNUMBER(SEARCH(설정!$A$61,K587))),설정!$B$61,IF(M587="","설계사","시공사"))))))))),"")</f>
        <v/>
      </c>
      <c r="V587">
        <f>SUBSTITUTE(SUBSTITUTE(SUBSTITUTE(SUBSTITUTE(G587,"(주)",""),"㈜",""),"주식회사","")," ","")</f>
        <v/>
      </c>
      <c r="W587">
        <f>IF(AND(T587,V587&lt;&gt;""),IF(COUNTIFS(V$2:V587,V587,T$2:T587,TRUE)=1,MAX(W$1:W586)+1,""),"")</f>
        <v/>
      </c>
      <c r="X587">
        <f>IF(설정!$C$14="","",IFERROR(INDEX('1.산군_붙여넣기'!$A$1:$AZ$1001,ROW(),설정!$C$14)&amp;"",""))</f>
        <v/>
      </c>
      <c r="Y587">
        <f>IF(설정!$C$15="","",IFERROR(INDEX('1.산군_붙여넣기'!$A$1:$AZ$1001,ROW(),설정!$C$15)&amp;"",""))</f>
        <v/>
      </c>
      <c r="Z587">
        <f>IF(T587,V587&amp;"|"&amp;U587,"")</f>
        <v/>
      </c>
      <c r="AA587">
        <f>IF(NOT(Q587),"",IF(NOT(AND(R587,S587)),"✕",IF(OR(OR(AND(L587&lt;&gt;"",M587&lt;&gt;"",N(M587)-N(L587)&gt;설정!$B$27),AND(L587&lt;&gt;"",M587="",설정!$B$24-N(L587)&gt;설정!$B$27)),AND(D587&lt;&gt;"",D587&lt;설정!$B$26)),"△","★")))</f>
        <v/>
      </c>
      <c r="AB587">
        <f>IF(NOT(T587),"",IF(U587="설계사",설정!$B$31,IF(U587="시공사",IF(OR(M587="",설정!$B$24-N(M587)&lt;=설정!$B$28*30.4),설정!$B$32,설정!$B$33),설정!$B$34))+IF(AA587="★",설정!$B$35,0))</f>
        <v/>
      </c>
      <c r="AC587">
        <f>SUBSTITUTE(SUBSTITUTE(SUBSTITUTE(SUBSTITUTE(H587,"(주)",""),"㈜",""),"주식회사","")," ","")</f>
        <v/>
      </c>
      <c r="AD587">
        <f>IF(AND(T587,AC587&lt;&gt;""),IF(COUNTIFS(AC$2:AC587,AC587,T$2:T587,TRUE)=1,MAX(AD$1:AD586)+1,""),"")</f>
        <v/>
      </c>
    </row>
    <row r="588">
      <c r="A588">
        <f>ROW()</f>
        <v/>
      </c>
      <c r="B588">
        <f>IF(설정!$C$4="","",IFERROR(INDEX('1.산군_붙여넣기'!$A$1:$AZ$1001,ROW(),설정!$C$4)&amp;"",""))</f>
        <v/>
      </c>
      <c r="C588">
        <f>IF(설정!$C$5="","",IFERROR(INDEX('1.산군_붙여넣기'!$A$1:$AZ$1001,ROW(),설정!$C$5)&amp;"",""))</f>
        <v/>
      </c>
      <c r="D588" s="5">
        <f>IFERROR(VALUE(SUBSTITUTE(SUBSTITUTE(SUBSTITUTE(IF(설정!$C$6="","",IFERROR(INDEX('1.산군_붙여넣기'!$A$1:$AZ$1001,ROW(),설정!$C$6)&amp;"","")),",",""),"㎡",""),"m2","")),"")</f>
        <v/>
      </c>
      <c r="E588">
        <f>IF(설정!$C$7="","",IFERROR(INDEX('1.산군_붙여넣기'!$A$1:$AZ$1001,ROW(),설정!$C$7)&amp;"",""))</f>
        <v/>
      </c>
      <c r="F588">
        <f>IF(설정!$C$8="","",IFERROR(INDEX('1.산군_붙여넣기'!$A$1:$AZ$1001,ROW(),설정!$C$8)&amp;"",""))</f>
        <v/>
      </c>
      <c r="G588">
        <f>IF(설정!$C$9="","",IFERROR(INDEX('1.산군_붙여넣기'!$A$1:$AZ$1001,ROW(),설정!$C$9)&amp;"",""))</f>
        <v/>
      </c>
      <c r="H588">
        <f>IF(설정!$C$10="","",IFERROR(INDEX('1.산군_붙여넣기'!$A$1:$AZ$1001,ROW(),설정!$C$10)&amp;"",""))</f>
        <v/>
      </c>
      <c r="I588">
        <f>IF(설정!$C$11="","",IFERROR(INDEX('1.산군_붙여넣기'!$A$1:$AZ$1001,ROW(),설정!$C$11)&amp;"",""))</f>
        <v/>
      </c>
      <c r="J588">
        <f>IF(설정!$C$12="","",IFERROR(INDEX('1.산군_붙여넣기'!$A$1:$AZ$1001,ROW(),설정!$C$12)&amp;"",""))</f>
        <v/>
      </c>
      <c r="K588">
        <f>IF(설정!$C$13="","",IFERROR(INDEX('1.산군_붙여넣기'!$A$1:$AZ$1001,ROW(),설정!$C$13)&amp;"",""))</f>
        <v/>
      </c>
      <c r="L588" s="7">
        <f>IF(X588="","",IF(AND(LEN(X588)=8,ISNUMBER(X588*1)),DATE(LEFT(X588,4),MID(X588,5,2),RIGHT(X588,2)),IFERROR(DATEVALUE(SUBSTITUTE(SUBSTITUTE(X588,".","-"),"/","-")),IFERROR(X588*1,""))))</f>
        <v/>
      </c>
      <c r="M588" s="7">
        <f>IF(Y588="","",IF(AND(LEN(Y588)=8,ISNUMBER(Y588*1)),DATE(LEFT(Y588,4),MID(Y588,5,2),RIGHT(Y588,2)),IFERROR(DATEVALUE(SUBSTITUTE(SUBSTITUTE(Y588,".","-"),"/","-")),IFERROR(Y588*1,""))))</f>
        <v/>
      </c>
      <c r="N588">
        <f>IFERROR(LEFT(B588,FIND(" ",B588)-1),B588)</f>
        <v/>
      </c>
      <c r="O588">
        <f>AND(B588&lt;&gt;"",B588&lt;&gt;설정!$B$4,C588&lt;&gt;설정!$B$5)</f>
        <v/>
      </c>
      <c r="P588">
        <f>IF(O588,B588&amp;"|"&amp;C588,"")</f>
        <v/>
      </c>
      <c r="Q588">
        <f>AND(O588,COUNTIF(P589:P$1002,P588)=0)</f>
        <v/>
      </c>
      <c r="R588">
        <f>OR(AND(설정!$A$42&lt;&gt;"",ISNUMBER(SEARCH(설정!$A$42,E588&amp;" "&amp;C588))),AND(설정!$A$43&lt;&gt;"",ISNUMBER(SEARCH(설정!$A$43,E588&amp;" "&amp;C588))),AND(설정!$A$44&lt;&gt;"",ISNUMBER(SEARCH(설정!$A$44,E588&amp;" "&amp;C588))),AND(설정!$A$45&lt;&gt;"",ISNUMBER(SEARCH(설정!$A$45,E588&amp;" "&amp;C588))),AND(설정!$A$46&lt;&gt;"",ISNUMBER(SEARCH(설정!$A$46,E588&amp;" "&amp;C588))),AND(설정!$A$47&lt;&gt;"",ISNUMBER(SEARCH(설정!$A$47,E588&amp;" "&amp;C588))),AND(설정!$A$48&lt;&gt;"",ISNUMBER(SEARCH(설정!$A$48,E588&amp;" "&amp;C588))),AND(설정!$A$49&lt;&gt;"",ISNUMBER(SEARCH(설정!$A$49,E588&amp;" "&amp;C588))),AND(설정!$A$50&lt;&gt;"",ISNUMBER(SEARCH(설정!$A$50,E588&amp;" "&amp;C588))),AND(설정!$A$51&lt;&gt;"",ISNUMBER(SEARCH(설정!$A$51,E588&amp;" "&amp;C588))))</f>
        <v/>
      </c>
      <c r="S588">
        <f>OR(D588="",D588&gt;=설정!$B$19)</f>
        <v/>
      </c>
      <c r="T588">
        <f>AND(Q588,R588,S588)</f>
        <v/>
      </c>
      <c r="U588">
        <f>IF(T588,IF(AND(설정!$A$54&lt;&gt;"",ISNUMBER(SEARCH(설정!$A$54,K588))),설정!$B$54,IF(AND(설정!$A$55&lt;&gt;"",ISNUMBER(SEARCH(설정!$A$55,K588))),설정!$B$55,IF(AND(설정!$A$56&lt;&gt;"",ISNUMBER(SEARCH(설정!$A$56,K588))),설정!$B$56,IF(AND(설정!$A$57&lt;&gt;"",ISNUMBER(SEARCH(설정!$A$57,K588))),설정!$B$57,IF(AND(설정!$A$58&lt;&gt;"",ISNUMBER(SEARCH(설정!$A$58,K588))),설정!$B$58,IF(AND(설정!$A$59&lt;&gt;"",ISNUMBER(SEARCH(설정!$A$59,K588))),설정!$B$59,IF(AND(설정!$A$60&lt;&gt;"",ISNUMBER(SEARCH(설정!$A$60,K588))),설정!$B$60,IF(AND(설정!$A$61&lt;&gt;"",ISNUMBER(SEARCH(설정!$A$61,K588))),설정!$B$61,IF(M588="","설계사","시공사"))))))))),"")</f>
        <v/>
      </c>
      <c r="V588">
        <f>SUBSTITUTE(SUBSTITUTE(SUBSTITUTE(SUBSTITUTE(G588,"(주)",""),"㈜",""),"주식회사","")," ","")</f>
        <v/>
      </c>
      <c r="W588">
        <f>IF(AND(T588,V588&lt;&gt;""),IF(COUNTIFS(V$2:V588,V588,T$2:T588,TRUE)=1,MAX(W$1:W587)+1,""),"")</f>
        <v/>
      </c>
      <c r="X588">
        <f>IF(설정!$C$14="","",IFERROR(INDEX('1.산군_붙여넣기'!$A$1:$AZ$1001,ROW(),설정!$C$14)&amp;"",""))</f>
        <v/>
      </c>
      <c r="Y588">
        <f>IF(설정!$C$15="","",IFERROR(INDEX('1.산군_붙여넣기'!$A$1:$AZ$1001,ROW(),설정!$C$15)&amp;"",""))</f>
        <v/>
      </c>
      <c r="Z588">
        <f>IF(T588,V588&amp;"|"&amp;U588,"")</f>
        <v/>
      </c>
      <c r="AA588">
        <f>IF(NOT(Q588),"",IF(NOT(AND(R588,S588)),"✕",IF(OR(OR(AND(L588&lt;&gt;"",M588&lt;&gt;"",N(M588)-N(L588)&gt;설정!$B$27),AND(L588&lt;&gt;"",M588="",설정!$B$24-N(L588)&gt;설정!$B$27)),AND(D588&lt;&gt;"",D588&lt;설정!$B$26)),"△","★")))</f>
        <v/>
      </c>
      <c r="AB588">
        <f>IF(NOT(T588),"",IF(U588="설계사",설정!$B$31,IF(U588="시공사",IF(OR(M588="",설정!$B$24-N(M588)&lt;=설정!$B$28*30.4),설정!$B$32,설정!$B$33),설정!$B$34))+IF(AA588="★",설정!$B$35,0))</f>
        <v/>
      </c>
      <c r="AC588">
        <f>SUBSTITUTE(SUBSTITUTE(SUBSTITUTE(SUBSTITUTE(H588,"(주)",""),"㈜",""),"주식회사","")," ","")</f>
        <v/>
      </c>
      <c r="AD588">
        <f>IF(AND(T588,AC588&lt;&gt;""),IF(COUNTIFS(AC$2:AC588,AC588,T$2:T588,TRUE)=1,MAX(AD$1:AD587)+1,""),"")</f>
        <v/>
      </c>
    </row>
    <row r="589">
      <c r="A589">
        <f>ROW()</f>
        <v/>
      </c>
      <c r="B589">
        <f>IF(설정!$C$4="","",IFERROR(INDEX('1.산군_붙여넣기'!$A$1:$AZ$1001,ROW(),설정!$C$4)&amp;"",""))</f>
        <v/>
      </c>
      <c r="C589">
        <f>IF(설정!$C$5="","",IFERROR(INDEX('1.산군_붙여넣기'!$A$1:$AZ$1001,ROW(),설정!$C$5)&amp;"",""))</f>
        <v/>
      </c>
      <c r="D589" s="5">
        <f>IFERROR(VALUE(SUBSTITUTE(SUBSTITUTE(SUBSTITUTE(IF(설정!$C$6="","",IFERROR(INDEX('1.산군_붙여넣기'!$A$1:$AZ$1001,ROW(),설정!$C$6)&amp;"","")),",",""),"㎡",""),"m2","")),"")</f>
        <v/>
      </c>
      <c r="E589">
        <f>IF(설정!$C$7="","",IFERROR(INDEX('1.산군_붙여넣기'!$A$1:$AZ$1001,ROW(),설정!$C$7)&amp;"",""))</f>
        <v/>
      </c>
      <c r="F589">
        <f>IF(설정!$C$8="","",IFERROR(INDEX('1.산군_붙여넣기'!$A$1:$AZ$1001,ROW(),설정!$C$8)&amp;"",""))</f>
        <v/>
      </c>
      <c r="G589">
        <f>IF(설정!$C$9="","",IFERROR(INDEX('1.산군_붙여넣기'!$A$1:$AZ$1001,ROW(),설정!$C$9)&amp;"",""))</f>
        <v/>
      </c>
      <c r="H589">
        <f>IF(설정!$C$10="","",IFERROR(INDEX('1.산군_붙여넣기'!$A$1:$AZ$1001,ROW(),설정!$C$10)&amp;"",""))</f>
        <v/>
      </c>
      <c r="I589">
        <f>IF(설정!$C$11="","",IFERROR(INDEX('1.산군_붙여넣기'!$A$1:$AZ$1001,ROW(),설정!$C$11)&amp;"",""))</f>
        <v/>
      </c>
      <c r="J589">
        <f>IF(설정!$C$12="","",IFERROR(INDEX('1.산군_붙여넣기'!$A$1:$AZ$1001,ROW(),설정!$C$12)&amp;"",""))</f>
        <v/>
      </c>
      <c r="K589">
        <f>IF(설정!$C$13="","",IFERROR(INDEX('1.산군_붙여넣기'!$A$1:$AZ$1001,ROW(),설정!$C$13)&amp;"",""))</f>
        <v/>
      </c>
      <c r="L589" s="7">
        <f>IF(X589="","",IF(AND(LEN(X589)=8,ISNUMBER(X589*1)),DATE(LEFT(X589,4),MID(X589,5,2),RIGHT(X589,2)),IFERROR(DATEVALUE(SUBSTITUTE(SUBSTITUTE(X589,".","-"),"/","-")),IFERROR(X589*1,""))))</f>
        <v/>
      </c>
      <c r="M589" s="7">
        <f>IF(Y589="","",IF(AND(LEN(Y589)=8,ISNUMBER(Y589*1)),DATE(LEFT(Y589,4),MID(Y589,5,2),RIGHT(Y589,2)),IFERROR(DATEVALUE(SUBSTITUTE(SUBSTITUTE(Y589,".","-"),"/","-")),IFERROR(Y589*1,""))))</f>
        <v/>
      </c>
      <c r="N589">
        <f>IFERROR(LEFT(B589,FIND(" ",B589)-1),B589)</f>
        <v/>
      </c>
      <c r="O589">
        <f>AND(B589&lt;&gt;"",B589&lt;&gt;설정!$B$4,C589&lt;&gt;설정!$B$5)</f>
        <v/>
      </c>
      <c r="P589">
        <f>IF(O589,B589&amp;"|"&amp;C589,"")</f>
        <v/>
      </c>
      <c r="Q589">
        <f>AND(O589,COUNTIF(P590:P$1002,P589)=0)</f>
        <v/>
      </c>
      <c r="R589">
        <f>OR(AND(설정!$A$42&lt;&gt;"",ISNUMBER(SEARCH(설정!$A$42,E589&amp;" "&amp;C589))),AND(설정!$A$43&lt;&gt;"",ISNUMBER(SEARCH(설정!$A$43,E589&amp;" "&amp;C589))),AND(설정!$A$44&lt;&gt;"",ISNUMBER(SEARCH(설정!$A$44,E589&amp;" "&amp;C589))),AND(설정!$A$45&lt;&gt;"",ISNUMBER(SEARCH(설정!$A$45,E589&amp;" "&amp;C589))),AND(설정!$A$46&lt;&gt;"",ISNUMBER(SEARCH(설정!$A$46,E589&amp;" "&amp;C589))),AND(설정!$A$47&lt;&gt;"",ISNUMBER(SEARCH(설정!$A$47,E589&amp;" "&amp;C589))),AND(설정!$A$48&lt;&gt;"",ISNUMBER(SEARCH(설정!$A$48,E589&amp;" "&amp;C589))),AND(설정!$A$49&lt;&gt;"",ISNUMBER(SEARCH(설정!$A$49,E589&amp;" "&amp;C589))),AND(설정!$A$50&lt;&gt;"",ISNUMBER(SEARCH(설정!$A$50,E589&amp;" "&amp;C589))),AND(설정!$A$51&lt;&gt;"",ISNUMBER(SEARCH(설정!$A$51,E589&amp;" "&amp;C589))))</f>
        <v/>
      </c>
      <c r="S589">
        <f>OR(D589="",D589&gt;=설정!$B$19)</f>
        <v/>
      </c>
      <c r="T589">
        <f>AND(Q589,R589,S589)</f>
        <v/>
      </c>
      <c r="U589">
        <f>IF(T589,IF(AND(설정!$A$54&lt;&gt;"",ISNUMBER(SEARCH(설정!$A$54,K589))),설정!$B$54,IF(AND(설정!$A$55&lt;&gt;"",ISNUMBER(SEARCH(설정!$A$55,K589))),설정!$B$55,IF(AND(설정!$A$56&lt;&gt;"",ISNUMBER(SEARCH(설정!$A$56,K589))),설정!$B$56,IF(AND(설정!$A$57&lt;&gt;"",ISNUMBER(SEARCH(설정!$A$57,K589))),설정!$B$57,IF(AND(설정!$A$58&lt;&gt;"",ISNUMBER(SEARCH(설정!$A$58,K589))),설정!$B$58,IF(AND(설정!$A$59&lt;&gt;"",ISNUMBER(SEARCH(설정!$A$59,K589))),설정!$B$59,IF(AND(설정!$A$60&lt;&gt;"",ISNUMBER(SEARCH(설정!$A$60,K589))),설정!$B$60,IF(AND(설정!$A$61&lt;&gt;"",ISNUMBER(SEARCH(설정!$A$61,K589))),설정!$B$61,IF(M589="","설계사","시공사"))))))))),"")</f>
        <v/>
      </c>
      <c r="V589">
        <f>SUBSTITUTE(SUBSTITUTE(SUBSTITUTE(SUBSTITUTE(G589,"(주)",""),"㈜",""),"주식회사","")," ","")</f>
        <v/>
      </c>
      <c r="W589">
        <f>IF(AND(T589,V589&lt;&gt;""),IF(COUNTIFS(V$2:V589,V589,T$2:T589,TRUE)=1,MAX(W$1:W588)+1,""),"")</f>
        <v/>
      </c>
      <c r="X589">
        <f>IF(설정!$C$14="","",IFERROR(INDEX('1.산군_붙여넣기'!$A$1:$AZ$1001,ROW(),설정!$C$14)&amp;"",""))</f>
        <v/>
      </c>
      <c r="Y589">
        <f>IF(설정!$C$15="","",IFERROR(INDEX('1.산군_붙여넣기'!$A$1:$AZ$1001,ROW(),설정!$C$15)&amp;"",""))</f>
        <v/>
      </c>
      <c r="Z589">
        <f>IF(T589,V589&amp;"|"&amp;U589,"")</f>
        <v/>
      </c>
      <c r="AA589">
        <f>IF(NOT(Q589),"",IF(NOT(AND(R589,S589)),"✕",IF(OR(OR(AND(L589&lt;&gt;"",M589&lt;&gt;"",N(M589)-N(L589)&gt;설정!$B$27),AND(L589&lt;&gt;"",M589="",설정!$B$24-N(L589)&gt;설정!$B$27)),AND(D589&lt;&gt;"",D589&lt;설정!$B$26)),"△","★")))</f>
        <v/>
      </c>
      <c r="AB589">
        <f>IF(NOT(T589),"",IF(U589="설계사",설정!$B$31,IF(U589="시공사",IF(OR(M589="",설정!$B$24-N(M589)&lt;=설정!$B$28*30.4),설정!$B$32,설정!$B$33),설정!$B$34))+IF(AA589="★",설정!$B$35,0))</f>
        <v/>
      </c>
      <c r="AC589">
        <f>SUBSTITUTE(SUBSTITUTE(SUBSTITUTE(SUBSTITUTE(H589,"(주)",""),"㈜",""),"주식회사","")," ","")</f>
        <v/>
      </c>
      <c r="AD589">
        <f>IF(AND(T589,AC589&lt;&gt;""),IF(COUNTIFS(AC$2:AC589,AC589,T$2:T589,TRUE)=1,MAX(AD$1:AD588)+1,""),"")</f>
        <v/>
      </c>
    </row>
    <row r="590">
      <c r="A590">
        <f>ROW()</f>
        <v/>
      </c>
      <c r="B590">
        <f>IF(설정!$C$4="","",IFERROR(INDEX('1.산군_붙여넣기'!$A$1:$AZ$1001,ROW(),설정!$C$4)&amp;"",""))</f>
        <v/>
      </c>
      <c r="C590">
        <f>IF(설정!$C$5="","",IFERROR(INDEX('1.산군_붙여넣기'!$A$1:$AZ$1001,ROW(),설정!$C$5)&amp;"",""))</f>
        <v/>
      </c>
      <c r="D590" s="5">
        <f>IFERROR(VALUE(SUBSTITUTE(SUBSTITUTE(SUBSTITUTE(IF(설정!$C$6="","",IFERROR(INDEX('1.산군_붙여넣기'!$A$1:$AZ$1001,ROW(),설정!$C$6)&amp;"","")),",",""),"㎡",""),"m2","")),"")</f>
        <v/>
      </c>
      <c r="E590">
        <f>IF(설정!$C$7="","",IFERROR(INDEX('1.산군_붙여넣기'!$A$1:$AZ$1001,ROW(),설정!$C$7)&amp;"",""))</f>
        <v/>
      </c>
      <c r="F590">
        <f>IF(설정!$C$8="","",IFERROR(INDEX('1.산군_붙여넣기'!$A$1:$AZ$1001,ROW(),설정!$C$8)&amp;"",""))</f>
        <v/>
      </c>
      <c r="G590">
        <f>IF(설정!$C$9="","",IFERROR(INDEX('1.산군_붙여넣기'!$A$1:$AZ$1001,ROW(),설정!$C$9)&amp;"",""))</f>
        <v/>
      </c>
      <c r="H590">
        <f>IF(설정!$C$10="","",IFERROR(INDEX('1.산군_붙여넣기'!$A$1:$AZ$1001,ROW(),설정!$C$10)&amp;"",""))</f>
        <v/>
      </c>
      <c r="I590">
        <f>IF(설정!$C$11="","",IFERROR(INDEX('1.산군_붙여넣기'!$A$1:$AZ$1001,ROW(),설정!$C$11)&amp;"",""))</f>
        <v/>
      </c>
      <c r="J590">
        <f>IF(설정!$C$12="","",IFERROR(INDEX('1.산군_붙여넣기'!$A$1:$AZ$1001,ROW(),설정!$C$12)&amp;"",""))</f>
        <v/>
      </c>
      <c r="K590">
        <f>IF(설정!$C$13="","",IFERROR(INDEX('1.산군_붙여넣기'!$A$1:$AZ$1001,ROW(),설정!$C$13)&amp;"",""))</f>
        <v/>
      </c>
      <c r="L590" s="7">
        <f>IF(X590="","",IF(AND(LEN(X590)=8,ISNUMBER(X590*1)),DATE(LEFT(X590,4),MID(X590,5,2),RIGHT(X590,2)),IFERROR(DATEVALUE(SUBSTITUTE(SUBSTITUTE(X590,".","-"),"/","-")),IFERROR(X590*1,""))))</f>
        <v/>
      </c>
      <c r="M590" s="7">
        <f>IF(Y590="","",IF(AND(LEN(Y590)=8,ISNUMBER(Y590*1)),DATE(LEFT(Y590,4),MID(Y590,5,2),RIGHT(Y590,2)),IFERROR(DATEVALUE(SUBSTITUTE(SUBSTITUTE(Y590,".","-"),"/","-")),IFERROR(Y590*1,""))))</f>
        <v/>
      </c>
      <c r="N590">
        <f>IFERROR(LEFT(B590,FIND(" ",B590)-1),B590)</f>
        <v/>
      </c>
      <c r="O590">
        <f>AND(B590&lt;&gt;"",B590&lt;&gt;설정!$B$4,C590&lt;&gt;설정!$B$5)</f>
        <v/>
      </c>
      <c r="P590">
        <f>IF(O590,B590&amp;"|"&amp;C590,"")</f>
        <v/>
      </c>
      <c r="Q590">
        <f>AND(O590,COUNTIF(P591:P$1002,P590)=0)</f>
        <v/>
      </c>
      <c r="R590">
        <f>OR(AND(설정!$A$42&lt;&gt;"",ISNUMBER(SEARCH(설정!$A$42,E590&amp;" "&amp;C590))),AND(설정!$A$43&lt;&gt;"",ISNUMBER(SEARCH(설정!$A$43,E590&amp;" "&amp;C590))),AND(설정!$A$44&lt;&gt;"",ISNUMBER(SEARCH(설정!$A$44,E590&amp;" "&amp;C590))),AND(설정!$A$45&lt;&gt;"",ISNUMBER(SEARCH(설정!$A$45,E590&amp;" "&amp;C590))),AND(설정!$A$46&lt;&gt;"",ISNUMBER(SEARCH(설정!$A$46,E590&amp;" "&amp;C590))),AND(설정!$A$47&lt;&gt;"",ISNUMBER(SEARCH(설정!$A$47,E590&amp;" "&amp;C590))),AND(설정!$A$48&lt;&gt;"",ISNUMBER(SEARCH(설정!$A$48,E590&amp;" "&amp;C590))),AND(설정!$A$49&lt;&gt;"",ISNUMBER(SEARCH(설정!$A$49,E590&amp;" "&amp;C590))),AND(설정!$A$50&lt;&gt;"",ISNUMBER(SEARCH(설정!$A$50,E590&amp;" "&amp;C590))),AND(설정!$A$51&lt;&gt;"",ISNUMBER(SEARCH(설정!$A$51,E590&amp;" "&amp;C590))))</f>
        <v/>
      </c>
      <c r="S590">
        <f>OR(D590="",D590&gt;=설정!$B$19)</f>
        <v/>
      </c>
      <c r="T590">
        <f>AND(Q590,R590,S590)</f>
        <v/>
      </c>
      <c r="U590">
        <f>IF(T590,IF(AND(설정!$A$54&lt;&gt;"",ISNUMBER(SEARCH(설정!$A$54,K590))),설정!$B$54,IF(AND(설정!$A$55&lt;&gt;"",ISNUMBER(SEARCH(설정!$A$55,K590))),설정!$B$55,IF(AND(설정!$A$56&lt;&gt;"",ISNUMBER(SEARCH(설정!$A$56,K590))),설정!$B$56,IF(AND(설정!$A$57&lt;&gt;"",ISNUMBER(SEARCH(설정!$A$57,K590))),설정!$B$57,IF(AND(설정!$A$58&lt;&gt;"",ISNUMBER(SEARCH(설정!$A$58,K590))),설정!$B$58,IF(AND(설정!$A$59&lt;&gt;"",ISNUMBER(SEARCH(설정!$A$59,K590))),설정!$B$59,IF(AND(설정!$A$60&lt;&gt;"",ISNUMBER(SEARCH(설정!$A$60,K590))),설정!$B$60,IF(AND(설정!$A$61&lt;&gt;"",ISNUMBER(SEARCH(설정!$A$61,K590))),설정!$B$61,IF(M590="","설계사","시공사"))))))))),"")</f>
        <v/>
      </c>
      <c r="V590">
        <f>SUBSTITUTE(SUBSTITUTE(SUBSTITUTE(SUBSTITUTE(G590,"(주)",""),"㈜",""),"주식회사","")," ","")</f>
        <v/>
      </c>
      <c r="W590">
        <f>IF(AND(T590,V590&lt;&gt;""),IF(COUNTIFS(V$2:V590,V590,T$2:T590,TRUE)=1,MAX(W$1:W589)+1,""),"")</f>
        <v/>
      </c>
      <c r="X590">
        <f>IF(설정!$C$14="","",IFERROR(INDEX('1.산군_붙여넣기'!$A$1:$AZ$1001,ROW(),설정!$C$14)&amp;"",""))</f>
        <v/>
      </c>
      <c r="Y590">
        <f>IF(설정!$C$15="","",IFERROR(INDEX('1.산군_붙여넣기'!$A$1:$AZ$1001,ROW(),설정!$C$15)&amp;"",""))</f>
        <v/>
      </c>
      <c r="Z590">
        <f>IF(T590,V590&amp;"|"&amp;U590,"")</f>
        <v/>
      </c>
      <c r="AA590">
        <f>IF(NOT(Q590),"",IF(NOT(AND(R590,S590)),"✕",IF(OR(OR(AND(L590&lt;&gt;"",M590&lt;&gt;"",N(M590)-N(L590)&gt;설정!$B$27),AND(L590&lt;&gt;"",M590="",설정!$B$24-N(L590)&gt;설정!$B$27)),AND(D590&lt;&gt;"",D590&lt;설정!$B$26)),"△","★")))</f>
        <v/>
      </c>
      <c r="AB590">
        <f>IF(NOT(T590),"",IF(U590="설계사",설정!$B$31,IF(U590="시공사",IF(OR(M590="",설정!$B$24-N(M590)&lt;=설정!$B$28*30.4),설정!$B$32,설정!$B$33),설정!$B$34))+IF(AA590="★",설정!$B$35,0))</f>
        <v/>
      </c>
      <c r="AC590">
        <f>SUBSTITUTE(SUBSTITUTE(SUBSTITUTE(SUBSTITUTE(H590,"(주)",""),"㈜",""),"주식회사","")," ","")</f>
        <v/>
      </c>
      <c r="AD590">
        <f>IF(AND(T590,AC590&lt;&gt;""),IF(COUNTIFS(AC$2:AC590,AC590,T$2:T590,TRUE)=1,MAX(AD$1:AD589)+1,""),"")</f>
        <v/>
      </c>
    </row>
    <row r="591">
      <c r="A591">
        <f>ROW()</f>
        <v/>
      </c>
      <c r="B591">
        <f>IF(설정!$C$4="","",IFERROR(INDEX('1.산군_붙여넣기'!$A$1:$AZ$1001,ROW(),설정!$C$4)&amp;"",""))</f>
        <v/>
      </c>
      <c r="C591">
        <f>IF(설정!$C$5="","",IFERROR(INDEX('1.산군_붙여넣기'!$A$1:$AZ$1001,ROW(),설정!$C$5)&amp;"",""))</f>
        <v/>
      </c>
      <c r="D591" s="5">
        <f>IFERROR(VALUE(SUBSTITUTE(SUBSTITUTE(SUBSTITUTE(IF(설정!$C$6="","",IFERROR(INDEX('1.산군_붙여넣기'!$A$1:$AZ$1001,ROW(),설정!$C$6)&amp;"","")),",",""),"㎡",""),"m2","")),"")</f>
        <v/>
      </c>
      <c r="E591">
        <f>IF(설정!$C$7="","",IFERROR(INDEX('1.산군_붙여넣기'!$A$1:$AZ$1001,ROW(),설정!$C$7)&amp;"",""))</f>
        <v/>
      </c>
      <c r="F591">
        <f>IF(설정!$C$8="","",IFERROR(INDEX('1.산군_붙여넣기'!$A$1:$AZ$1001,ROW(),설정!$C$8)&amp;"",""))</f>
        <v/>
      </c>
      <c r="G591">
        <f>IF(설정!$C$9="","",IFERROR(INDEX('1.산군_붙여넣기'!$A$1:$AZ$1001,ROW(),설정!$C$9)&amp;"",""))</f>
        <v/>
      </c>
      <c r="H591">
        <f>IF(설정!$C$10="","",IFERROR(INDEX('1.산군_붙여넣기'!$A$1:$AZ$1001,ROW(),설정!$C$10)&amp;"",""))</f>
        <v/>
      </c>
      <c r="I591">
        <f>IF(설정!$C$11="","",IFERROR(INDEX('1.산군_붙여넣기'!$A$1:$AZ$1001,ROW(),설정!$C$11)&amp;"",""))</f>
        <v/>
      </c>
      <c r="J591">
        <f>IF(설정!$C$12="","",IFERROR(INDEX('1.산군_붙여넣기'!$A$1:$AZ$1001,ROW(),설정!$C$12)&amp;"",""))</f>
        <v/>
      </c>
      <c r="K591">
        <f>IF(설정!$C$13="","",IFERROR(INDEX('1.산군_붙여넣기'!$A$1:$AZ$1001,ROW(),설정!$C$13)&amp;"",""))</f>
        <v/>
      </c>
      <c r="L591" s="7">
        <f>IF(X591="","",IF(AND(LEN(X591)=8,ISNUMBER(X591*1)),DATE(LEFT(X591,4),MID(X591,5,2),RIGHT(X591,2)),IFERROR(DATEVALUE(SUBSTITUTE(SUBSTITUTE(X591,".","-"),"/","-")),IFERROR(X591*1,""))))</f>
        <v/>
      </c>
      <c r="M591" s="7">
        <f>IF(Y591="","",IF(AND(LEN(Y591)=8,ISNUMBER(Y591*1)),DATE(LEFT(Y591,4),MID(Y591,5,2),RIGHT(Y591,2)),IFERROR(DATEVALUE(SUBSTITUTE(SUBSTITUTE(Y591,".","-"),"/","-")),IFERROR(Y591*1,""))))</f>
        <v/>
      </c>
      <c r="N591">
        <f>IFERROR(LEFT(B591,FIND(" ",B591)-1),B591)</f>
        <v/>
      </c>
      <c r="O591">
        <f>AND(B591&lt;&gt;"",B591&lt;&gt;설정!$B$4,C591&lt;&gt;설정!$B$5)</f>
        <v/>
      </c>
      <c r="P591">
        <f>IF(O591,B591&amp;"|"&amp;C591,"")</f>
        <v/>
      </c>
      <c r="Q591">
        <f>AND(O591,COUNTIF(P592:P$1002,P591)=0)</f>
        <v/>
      </c>
      <c r="R591">
        <f>OR(AND(설정!$A$42&lt;&gt;"",ISNUMBER(SEARCH(설정!$A$42,E591&amp;" "&amp;C591))),AND(설정!$A$43&lt;&gt;"",ISNUMBER(SEARCH(설정!$A$43,E591&amp;" "&amp;C591))),AND(설정!$A$44&lt;&gt;"",ISNUMBER(SEARCH(설정!$A$44,E591&amp;" "&amp;C591))),AND(설정!$A$45&lt;&gt;"",ISNUMBER(SEARCH(설정!$A$45,E591&amp;" "&amp;C591))),AND(설정!$A$46&lt;&gt;"",ISNUMBER(SEARCH(설정!$A$46,E591&amp;" "&amp;C591))),AND(설정!$A$47&lt;&gt;"",ISNUMBER(SEARCH(설정!$A$47,E591&amp;" "&amp;C591))),AND(설정!$A$48&lt;&gt;"",ISNUMBER(SEARCH(설정!$A$48,E591&amp;" "&amp;C591))),AND(설정!$A$49&lt;&gt;"",ISNUMBER(SEARCH(설정!$A$49,E591&amp;" "&amp;C591))),AND(설정!$A$50&lt;&gt;"",ISNUMBER(SEARCH(설정!$A$50,E591&amp;" "&amp;C591))),AND(설정!$A$51&lt;&gt;"",ISNUMBER(SEARCH(설정!$A$51,E591&amp;" "&amp;C591))))</f>
        <v/>
      </c>
      <c r="S591">
        <f>OR(D591="",D591&gt;=설정!$B$19)</f>
        <v/>
      </c>
      <c r="T591">
        <f>AND(Q591,R591,S591)</f>
        <v/>
      </c>
      <c r="U591">
        <f>IF(T591,IF(AND(설정!$A$54&lt;&gt;"",ISNUMBER(SEARCH(설정!$A$54,K591))),설정!$B$54,IF(AND(설정!$A$55&lt;&gt;"",ISNUMBER(SEARCH(설정!$A$55,K591))),설정!$B$55,IF(AND(설정!$A$56&lt;&gt;"",ISNUMBER(SEARCH(설정!$A$56,K591))),설정!$B$56,IF(AND(설정!$A$57&lt;&gt;"",ISNUMBER(SEARCH(설정!$A$57,K591))),설정!$B$57,IF(AND(설정!$A$58&lt;&gt;"",ISNUMBER(SEARCH(설정!$A$58,K591))),설정!$B$58,IF(AND(설정!$A$59&lt;&gt;"",ISNUMBER(SEARCH(설정!$A$59,K591))),설정!$B$59,IF(AND(설정!$A$60&lt;&gt;"",ISNUMBER(SEARCH(설정!$A$60,K591))),설정!$B$60,IF(AND(설정!$A$61&lt;&gt;"",ISNUMBER(SEARCH(설정!$A$61,K591))),설정!$B$61,IF(M591="","설계사","시공사"))))))))),"")</f>
        <v/>
      </c>
      <c r="V591">
        <f>SUBSTITUTE(SUBSTITUTE(SUBSTITUTE(SUBSTITUTE(G591,"(주)",""),"㈜",""),"주식회사","")," ","")</f>
        <v/>
      </c>
      <c r="W591">
        <f>IF(AND(T591,V591&lt;&gt;""),IF(COUNTIFS(V$2:V591,V591,T$2:T591,TRUE)=1,MAX(W$1:W590)+1,""),"")</f>
        <v/>
      </c>
      <c r="X591">
        <f>IF(설정!$C$14="","",IFERROR(INDEX('1.산군_붙여넣기'!$A$1:$AZ$1001,ROW(),설정!$C$14)&amp;"",""))</f>
        <v/>
      </c>
      <c r="Y591">
        <f>IF(설정!$C$15="","",IFERROR(INDEX('1.산군_붙여넣기'!$A$1:$AZ$1001,ROW(),설정!$C$15)&amp;"",""))</f>
        <v/>
      </c>
      <c r="Z591">
        <f>IF(T591,V591&amp;"|"&amp;U591,"")</f>
        <v/>
      </c>
      <c r="AA591">
        <f>IF(NOT(Q591),"",IF(NOT(AND(R591,S591)),"✕",IF(OR(OR(AND(L591&lt;&gt;"",M591&lt;&gt;"",N(M591)-N(L591)&gt;설정!$B$27),AND(L591&lt;&gt;"",M591="",설정!$B$24-N(L591)&gt;설정!$B$27)),AND(D591&lt;&gt;"",D591&lt;설정!$B$26)),"△","★")))</f>
        <v/>
      </c>
      <c r="AB591">
        <f>IF(NOT(T591),"",IF(U591="설계사",설정!$B$31,IF(U591="시공사",IF(OR(M591="",설정!$B$24-N(M591)&lt;=설정!$B$28*30.4),설정!$B$32,설정!$B$33),설정!$B$34))+IF(AA591="★",설정!$B$35,0))</f>
        <v/>
      </c>
      <c r="AC591">
        <f>SUBSTITUTE(SUBSTITUTE(SUBSTITUTE(SUBSTITUTE(H591,"(주)",""),"㈜",""),"주식회사","")," ","")</f>
        <v/>
      </c>
      <c r="AD591">
        <f>IF(AND(T591,AC591&lt;&gt;""),IF(COUNTIFS(AC$2:AC591,AC591,T$2:T591,TRUE)=1,MAX(AD$1:AD590)+1,""),"")</f>
        <v/>
      </c>
    </row>
    <row r="592">
      <c r="A592">
        <f>ROW()</f>
        <v/>
      </c>
      <c r="B592">
        <f>IF(설정!$C$4="","",IFERROR(INDEX('1.산군_붙여넣기'!$A$1:$AZ$1001,ROW(),설정!$C$4)&amp;"",""))</f>
        <v/>
      </c>
      <c r="C592">
        <f>IF(설정!$C$5="","",IFERROR(INDEX('1.산군_붙여넣기'!$A$1:$AZ$1001,ROW(),설정!$C$5)&amp;"",""))</f>
        <v/>
      </c>
      <c r="D592" s="5">
        <f>IFERROR(VALUE(SUBSTITUTE(SUBSTITUTE(SUBSTITUTE(IF(설정!$C$6="","",IFERROR(INDEX('1.산군_붙여넣기'!$A$1:$AZ$1001,ROW(),설정!$C$6)&amp;"","")),",",""),"㎡",""),"m2","")),"")</f>
        <v/>
      </c>
      <c r="E592">
        <f>IF(설정!$C$7="","",IFERROR(INDEX('1.산군_붙여넣기'!$A$1:$AZ$1001,ROW(),설정!$C$7)&amp;"",""))</f>
        <v/>
      </c>
      <c r="F592">
        <f>IF(설정!$C$8="","",IFERROR(INDEX('1.산군_붙여넣기'!$A$1:$AZ$1001,ROW(),설정!$C$8)&amp;"",""))</f>
        <v/>
      </c>
      <c r="G592">
        <f>IF(설정!$C$9="","",IFERROR(INDEX('1.산군_붙여넣기'!$A$1:$AZ$1001,ROW(),설정!$C$9)&amp;"",""))</f>
        <v/>
      </c>
      <c r="H592">
        <f>IF(설정!$C$10="","",IFERROR(INDEX('1.산군_붙여넣기'!$A$1:$AZ$1001,ROW(),설정!$C$10)&amp;"",""))</f>
        <v/>
      </c>
      <c r="I592">
        <f>IF(설정!$C$11="","",IFERROR(INDEX('1.산군_붙여넣기'!$A$1:$AZ$1001,ROW(),설정!$C$11)&amp;"",""))</f>
        <v/>
      </c>
      <c r="J592">
        <f>IF(설정!$C$12="","",IFERROR(INDEX('1.산군_붙여넣기'!$A$1:$AZ$1001,ROW(),설정!$C$12)&amp;"",""))</f>
        <v/>
      </c>
      <c r="K592">
        <f>IF(설정!$C$13="","",IFERROR(INDEX('1.산군_붙여넣기'!$A$1:$AZ$1001,ROW(),설정!$C$13)&amp;"",""))</f>
        <v/>
      </c>
      <c r="L592" s="7">
        <f>IF(X592="","",IF(AND(LEN(X592)=8,ISNUMBER(X592*1)),DATE(LEFT(X592,4),MID(X592,5,2),RIGHT(X592,2)),IFERROR(DATEVALUE(SUBSTITUTE(SUBSTITUTE(X592,".","-"),"/","-")),IFERROR(X592*1,""))))</f>
        <v/>
      </c>
      <c r="M592" s="7">
        <f>IF(Y592="","",IF(AND(LEN(Y592)=8,ISNUMBER(Y592*1)),DATE(LEFT(Y592,4),MID(Y592,5,2),RIGHT(Y592,2)),IFERROR(DATEVALUE(SUBSTITUTE(SUBSTITUTE(Y592,".","-"),"/","-")),IFERROR(Y592*1,""))))</f>
        <v/>
      </c>
      <c r="N592">
        <f>IFERROR(LEFT(B592,FIND(" ",B592)-1),B592)</f>
        <v/>
      </c>
      <c r="O592">
        <f>AND(B592&lt;&gt;"",B592&lt;&gt;설정!$B$4,C592&lt;&gt;설정!$B$5)</f>
        <v/>
      </c>
      <c r="P592">
        <f>IF(O592,B592&amp;"|"&amp;C592,"")</f>
        <v/>
      </c>
      <c r="Q592">
        <f>AND(O592,COUNTIF(P593:P$1002,P592)=0)</f>
        <v/>
      </c>
      <c r="R592">
        <f>OR(AND(설정!$A$42&lt;&gt;"",ISNUMBER(SEARCH(설정!$A$42,E592&amp;" "&amp;C592))),AND(설정!$A$43&lt;&gt;"",ISNUMBER(SEARCH(설정!$A$43,E592&amp;" "&amp;C592))),AND(설정!$A$44&lt;&gt;"",ISNUMBER(SEARCH(설정!$A$44,E592&amp;" "&amp;C592))),AND(설정!$A$45&lt;&gt;"",ISNUMBER(SEARCH(설정!$A$45,E592&amp;" "&amp;C592))),AND(설정!$A$46&lt;&gt;"",ISNUMBER(SEARCH(설정!$A$46,E592&amp;" "&amp;C592))),AND(설정!$A$47&lt;&gt;"",ISNUMBER(SEARCH(설정!$A$47,E592&amp;" "&amp;C592))),AND(설정!$A$48&lt;&gt;"",ISNUMBER(SEARCH(설정!$A$48,E592&amp;" "&amp;C592))),AND(설정!$A$49&lt;&gt;"",ISNUMBER(SEARCH(설정!$A$49,E592&amp;" "&amp;C592))),AND(설정!$A$50&lt;&gt;"",ISNUMBER(SEARCH(설정!$A$50,E592&amp;" "&amp;C592))),AND(설정!$A$51&lt;&gt;"",ISNUMBER(SEARCH(설정!$A$51,E592&amp;" "&amp;C592))))</f>
        <v/>
      </c>
      <c r="S592">
        <f>OR(D592="",D592&gt;=설정!$B$19)</f>
        <v/>
      </c>
      <c r="T592">
        <f>AND(Q592,R592,S592)</f>
        <v/>
      </c>
      <c r="U592">
        <f>IF(T592,IF(AND(설정!$A$54&lt;&gt;"",ISNUMBER(SEARCH(설정!$A$54,K592))),설정!$B$54,IF(AND(설정!$A$55&lt;&gt;"",ISNUMBER(SEARCH(설정!$A$55,K592))),설정!$B$55,IF(AND(설정!$A$56&lt;&gt;"",ISNUMBER(SEARCH(설정!$A$56,K592))),설정!$B$56,IF(AND(설정!$A$57&lt;&gt;"",ISNUMBER(SEARCH(설정!$A$57,K592))),설정!$B$57,IF(AND(설정!$A$58&lt;&gt;"",ISNUMBER(SEARCH(설정!$A$58,K592))),설정!$B$58,IF(AND(설정!$A$59&lt;&gt;"",ISNUMBER(SEARCH(설정!$A$59,K592))),설정!$B$59,IF(AND(설정!$A$60&lt;&gt;"",ISNUMBER(SEARCH(설정!$A$60,K592))),설정!$B$60,IF(AND(설정!$A$61&lt;&gt;"",ISNUMBER(SEARCH(설정!$A$61,K592))),설정!$B$61,IF(M592="","설계사","시공사"))))))))),"")</f>
        <v/>
      </c>
      <c r="V592">
        <f>SUBSTITUTE(SUBSTITUTE(SUBSTITUTE(SUBSTITUTE(G592,"(주)",""),"㈜",""),"주식회사","")," ","")</f>
        <v/>
      </c>
      <c r="W592">
        <f>IF(AND(T592,V592&lt;&gt;""),IF(COUNTIFS(V$2:V592,V592,T$2:T592,TRUE)=1,MAX(W$1:W591)+1,""),"")</f>
        <v/>
      </c>
      <c r="X592">
        <f>IF(설정!$C$14="","",IFERROR(INDEX('1.산군_붙여넣기'!$A$1:$AZ$1001,ROW(),설정!$C$14)&amp;"",""))</f>
        <v/>
      </c>
      <c r="Y592">
        <f>IF(설정!$C$15="","",IFERROR(INDEX('1.산군_붙여넣기'!$A$1:$AZ$1001,ROW(),설정!$C$15)&amp;"",""))</f>
        <v/>
      </c>
      <c r="Z592">
        <f>IF(T592,V592&amp;"|"&amp;U592,"")</f>
        <v/>
      </c>
      <c r="AA592">
        <f>IF(NOT(Q592),"",IF(NOT(AND(R592,S592)),"✕",IF(OR(OR(AND(L592&lt;&gt;"",M592&lt;&gt;"",N(M592)-N(L592)&gt;설정!$B$27),AND(L592&lt;&gt;"",M592="",설정!$B$24-N(L592)&gt;설정!$B$27)),AND(D592&lt;&gt;"",D592&lt;설정!$B$26)),"△","★")))</f>
        <v/>
      </c>
      <c r="AB592">
        <f>IF(NOT(T592),"",IF(U592="설계사",설정!$B$31,IF(U592="시공사",IF(OR(M592="",설정!$B$24-N(M592)&lt;=설정!$B$28*30.4),설정!$B$32,설정!$B$33),설정!$B$34))+IF(AA592="★",설정!$B$35,0))</f>
        <v/>
      </c>
      <c r="AC592">
        <f>SUBSTITUTE(SUBSTITUTE(SUBSTITUTE(SUBSTITUTE(H592,"(주)",""),"㈜",""),"주식회사","")," ","")</f>
        <v/>
      </c>
      <c r="AD592">
        <f>IF(AND(T592,AC592&lt;&gt;""),IF(COUNTIFS(AC$2:AC592,AC592,T$2:T592,TRUE)=1,MAX(AD$1:AD591)+1,""),"")</f>
        <v/>
      </c>
    </row>
    <row r="593">
      <c r="A593">
        <f>ROW()</f>
        <v/>
      </c>
      <c r="B593">
        <f>IF(설정!$C$4="","",IFERROR(INDEX('1.산군_붙여넣기'!$A$1:$AZ$1001,ROW(),설정!$C$4)&amp;"",""))</f>
        <v/>
      </c>
      <c r="C593">
        <f>IF(설정!$C$5="","",IFERROR(INDEX('1.산군_붙여넣기'!$A$1:$AZ$1001,ROW(),설정!$C$5)&amp;"",""))</f>
        <v/>
      </c>
      <c r="D593" s="5">
        <f>IFERROR(VALUE(SUBSTITUTE(SUBSTITUTE(SUBSTITUTE(IF(설정!$C$6="","",IFERROR(INDEX('1.산군_붙여넣기'!$A$1:$AZ$1001,ROW(),설정!$C$6)&amp;"","")),",",""),"㎡",""),"m2","")),"")</f>
        <v/>
      </c>
      <c r="E593">
        <f>IF(설정!$C$7="","",IFERROR(INDEX('1.산군_붙여넣기'!$A$1:$AZ$1001,ROW(),설정!$C$7)&amp;"",""))</f>
        <v/>
      </c>
      <c r="F593">
        <f>IF(설정!$C$8="","",IFERROR(INDEX('1.산군_붙여넣기'!$A$1:$AZ$1001,ROW(),설정!$C$8)&amp;"",""))</f>
        <v/>
      </c>
      <c r="G593">
        <f>IF(설정!$C$9="","",IFERROR(INDEX('1.산군_붙여넣기'!$A$1:$AZ$1001,ROW(),설정!$C$9)&amp;"",""))</f>
        <v/>
      </c>
      <c r="H593">
        <f>IF(설정!$C$10="","",IFERROR(INDEX('1.산군_붙여넣기'!$A$1:$AZ$1001,ROW(),설정!$C$10)&amp;"",""))</f>
        <v/>
      </c>
      <c r="I593">
        <f>IF(설정!$C$11="","",IFERROR(INDEX('1.산군_붙여넣기'!$A$1:$AZ$1001,ROW(),설정!$C$11)&amp;"",""))</f>
        <v/>
      </c>
      <c r="J593">
        <f>IF(설정!$C$12="","",IFERROR(INDEX('1.산군_붙여넣기'!$A$1:$AZ$1001,ROW(),설정!$C$12)&amp;"",""))</f>
        <v/>
      </c>
      <c r="K593">
        <f>IF(설정!$C$13="","",IFERROR(INDEX('1.산군_붙여넣기'!$A$1:$AZ$1001,ROW(),설정!$C$13)&amp;"",""))</f>
        <v/>
      </c>
      <c r="L593" s="7">
        <f>IF(X593="","",IF(AND(LEN(X593)=8,ISNUMBER(X593*1)),DATE(LEFT(X593,4),MID(X593,5,2),RIGHT(X593,2)),IFERROR(DATEVALUE(SUBSTITUTE(SUBSTITUTE(X593,".","-"),"/","-")),IFERROR(X593*1,""))))</f>
        <v/>
      </c>
      <c r="M593" s="7">
        <f>IF(Y593="","",IF(AND(LEN(Y593)=8,ISNUMBER(Y593*1)),DATE(LEFT(Y593,4),MID(Y593,5,2),RIGHT(Y593,2)),IFERROR(DATEVALUE(SUBSTITUTE(SUBSTITUTE(Y593,".","-"),"/","-")),IFERROR(Y593*1,""))))</f>
        <v/>
      </c>
      <c r="N593">
        <f>IFERROR(LEFT(B593,FIND(" ",B593)-1),B593)</f>
        <v/>
      </c>
      <c r="O593">
        <f>AND(B593&lt;&gt;"",B593&lt;&gt;설정!$B$4,C593&lt;&gt;설정!$B$5)</f>
        <v/>
      </c>
      <c r="P593">
        <f>IF(O593,B593&amp;"|"&amp;C593,"")</f>
        <v/>
      </c>
      <c r="Q593">
        <f>AND(O593,COUNTIF(P594:P$1002,P593)=0)</f>
        <v/>
      </c>
      <c r="R593">
        <f>OR(AND(설정!$A$42&lt;&gt;"",ISNUMBER(SEARCH(설정!$A$42,E593&amp;" "&amp;C593))),AND(설정!$A$43&lt;&gt;"",ISNUMBER(SEARCH(설정!$A$43,E593&amp;" "&amp;C593))),AND(설정!$A$44&lt;&gt;"",ISNUMBER(SEARCH(설정!$A$44,E593&amp;" "&amp;C593))),AND(설정!$A$45&lt;&gt;"",ISNUMBER(SEARCH(설정!$A$45,E593&amp;" "&amp;C593))),AND(설정!$A$46&lt;&gt;"",ISNUMBER(SEARCH(설정!$A$46,E593&amp;" "&amp;C593))),AND(설정!$A$47&lt;&gt;"",ISNUMBER(SEARCH(설정!$A$47,E593&amp;" "&amp;C593))),AND(설정!$A$48&lt;&gt;"",ISNUMBER(SEARCH(설정!$A$48,E593&amp;" "&amp;C593))),AND(설정!$A$49&lt;&gt;"",ISNUMBER(SEARCH(설정!$A$49,E593&amp;" "&amp;C593))),AND(설정!$A$50&lt;&gt;"",ISNUMBER(SEARCH(설정!$A$50,E593&amp;" "&amp;C593))),AND(설정!$A$51&lt;&gt;"",ISNUMBER(SEARCH(설정!$A$51,E593&amp;" "&amp;C593))))</f>
        <v/>
      </c>
      <c r="S593">
        <f>OR(D593="",D593&gt;=설정!$B$19)</f>
        <v/>
      </c>
      <c r="T593">
        <f>AND(Q593,R593,S593)</f>
        <v/>
      </c>
      <c r="U593">
        <f>IF(T593,IF(AND(설정!$A$54&lt;&gt;"",ISNUMBER(SEARCH(설정!$A$54,K593))),설정!$B$54,IF(AND(설정!$A$55&lt;&gt;"",ISNUMBER(SEARCH(설정!$A$55,K593))),설정!$B$55,IF(AND(설정!$A$56&lt;&gt;"",ISNUMBER(SEARCH(설정!$A$56,K593))),설정!$B$56,IF(AND(설정!$A$57&lt;&gt;"",ISNUMBER(SEARCH(설정!$A$57,K593))),설정!$B$57,IF(AND(설정!$A$58&lt;&gt;"",ISNUMBER(SEARCH(설정!$A$58,K593))),설정!$B$58,IF(AND(설정!$A$59&lt;&gt;"",ISNUMBER(SEARCH(설정!$A$59,K593))),설정!$B$59,IF(AND(설정!$A$60&lt;&gt;"",ISNUMBER(SEARCH(설정!$A$60,K593))),설정!$B$60,IF(AND(설정!$A$61&lt;&gt;"",ISNUMBER(SEARCH(설정!$A$61,K593))),설정!$B$61,IF(M593="","설계사","시공사"))))))))),"")</f>
        <v/>
      </c>
      <c r="V593">
        <f>SUBSTITUTE(SUBSTITUTE(SUBSTITUTE(SUBSTITUTE(G593,"(주)",""),"㈜",""),"주식회사","")," ","")</f>
        <v/>
      </c>
      <c r="W593">
        <f>IF(AND(T593,V593&lt;&gt;""),IF(COUNTIFS(V$2:V593,V593,T$2:T593,TRUE)=1,MAX(W$1:W592)+1,""),"")</f>
        <v/>
      </c>
      <c r="X593">
        <f>IF(설정!$C$14="","",IFERROR(INDEX('1.산군_붙여넣기'!$A$1:$AZ$1001,ROW(),설정!$C$14)&amp;"",""))</f>
        <v/>
      </c>
      <c r="Y593">
        <f>IF(설정!$C$15="","",IFERROR(INDEX('1.산군_붙여넣기'!$A$1:$AZ$1001,ROW(),설정!$C$15)&amp;"",""))</f>
        <v/>
      </c>
      <c r="Z593">
        <f>IF(T593,V593&amp;"|"&amp;U593,"")</f>
        <v/>
      </c>
      <c r="AA593">
        <f>IF(NOT(Q593),"",IF(NOT(AND(R593,S593)),"✕",IF(OR(OR(AND(L593&lt;&gt;"",M593&lt;&gt;"",N(M593)-N(L593)&gt;설정!$B$27),AND(L593&lt;&gt;"",M593="",설정!$B$24-N(L593)&gt;설정!$B$27)),AND(D593&lt;&gt;"",D593&lt;설정!$B$26)),"△","★")))</f>
        <v/>
      </c>
      <c r="AB593">
        <f>IF(NOT(T593),"",IF(U593="설계사",설정!$B$31,IF(U593="시공사",IF(OR(M593="",설정!$B$24-N(M593)&lt;=설정!$B$28*30.4),설정!$B$32,설정!$B$33),설정!$B$34))+IF(AA593="★",설정!$B$35,0))</f>
        <v/>
      </c>
      <c r="AC593">
        <f>SUBSTITUTE(SUBSTITUTE(SUBSTITUTE(SUBSTITUTE(H593,"(주)",""),"㈜",""),"주식회사","")," ","")</f>
        <v/>
      </c>
      <c r="AD593">
        <f>IF(AND(T593,AC593&lt;&gt;""),IF(COUNTIFS(AC$2:AC593,AC593,T$2:T593,TRUE)=1,MAX(AD$1:AD592)+1,""),"")</f>
        <v/>
      </c>
    </row>
    <row r="594">
      <c r="A594">
        <f>ROW()</f>
        <v/>
      </c>
      <c r="B594">
        <f>IF(설정!$C$4="","",IFERROR(INDEX('1.산군_붙여넣기'!$A$1:$AZ$1001,ROW(),설정!$C$4)&amp;"",""))</f>
        <v/>
      </c>
      <c r="C594">
        <f>IF(설정!$C$5="","",IFERROR(INDEX('1.산군_붙여넣기'!$A$1:$AZ$1001,ROW(),설정!$C$5)&amp;"",""))</f>
        <v/>
      </c>
      <c r="D594" s="5">
        <f>IFERROR(VALUE(SUBSTITUTE(SUBSTITUTE(SUBSTITUTE(IF(설정!$C$6="","",IFERROR(INDEX('1.산군_붙여넣기'!$A$1:$AZ$1001,ROW(),설정!$C$6)&amp;"","")),",",""),"㎡",""),"m2","")),"")</f>
        <v/>
      </c>
      <c r="E594">
        <f>IF(설정!$C$7="","",IFERROR(INDEX('1.산군_붙여넣기'!$A$1:$AZ$1001,ROW(),설정!$C$7)&amp;"",""))</f>
        <v/>
      </c>
      <c r="F594">
        <f>IF(설정!$C$8="","",IFERROR(INDEX('1.산군_붙여넣기'!$A$1:$AZ$1001,ROW(),설정!$C$8)&amp;"",""))</f>
        <v/>
      </c>
      <c r="G594">
        <f>IF(설정!$C$9="","",IFERROR(INDEX('1.산군_붙여넣기'!$A$1:$AZ$1001,ROW(),설정!$C$9)&amp;"",""))</f>
        <v/>
      </c>
      <c r="H594">
        <f>IF(설정!$C$10="","",IFERROR(INDEX('1.산군_붙여넣기'!$A$1:$AZ$1001,ROW(),설정!$C$10)&amp;"",""))</f>
        <v/>
      </c>
      <c r="I594">
        <f>IF(설정!$C$11="","",IFERROR(INDEX('1.산군_붙여넣기'!$A$1:$AZ$1001,ROW(),설정!$C$11)&amp;"",""))</f>
        <v/>
      </c>
      <c r="J594">
        <f>IF(설정!$C$12="","",IFERROR(INDEX('1.산군_붙여넣기'!$A$1:$AZ$1001,ROW(),설정!$C$12)&amp;"",""))</f>
        <v/>
      </c>
      <c r="K594">
        <f>IF(설정!$C$13="","",IFERROR(INDEX('1.산군_붙여넣기'!$A$1:$AZ$1001,ROW(),설정!$C$13)&amp;"",""))</f>
        <v/>
      </c>
      <c r="L594" s="7">
        <f>IF(X594="","",IF(AND(LEN(X594)=8,ISNUMBER(X594*1)),DATE(LEFT(X594,4),MID(X594,5,2),RIGHT(X594,2)),IFERROR(DATEVALUE(SUBSTITUTE(SUBSTITUTE(X594,".","-"),"/","-")),IFERROR(X594*1,""))))</f>
        <v/>
      </c>
      <c r="M594" s="7">
        <f>IF(Y594="","",IF(AND(LEN(Y594)=8,ISNUMBER(Y594*1)),DATE(LEFT(Y594,4),MID(Y594,5,2),RIGHT(Y594,2)),IFERROR(DATEVALUE(SUBSTITUTE(SUBSTITUTE(Y594,".","-"),"/","-")),IFERROR(Y594*1,""))))</f>
        <v/>
      </c>
      <c r="N594">
        <f>IFERROR(LEFT(B594,FIND(" ",B594)-1),B594)</f>
        <v/>
      </c>
      <c r="O594">
        <f>AND(B594&lt;&gt;"",B594&lt;&gt;설정!$B$4,C594&lt;&gt;설정!$B$5)</f>
        <v/>
      </c>
      <c r="P594">
        <f>IF(O594,B594&amp;"|"&amp;C594,"")</f>
        <v/>
      </c>
      <c r="Q594">
        <f>AND(O594,COUNTIF(P595:P$1002,P594)=0)</f>
        <v/>
      </c>
      <c r="R594">
        <f>OR(AND(설정!$A$42&lt;&gt;"",ISNUMBER(SEARCH(설정!$A$42,E594&amp;" "&amp;C594))),AND(설정!$A$43&lt;&gt;"",ISNUMBER(SEARCH(설정!$A$43,E594&amp;" "&amp;C594))),AND(설정!$A$44&lt;&gt;"",ISNUMBER(SEARCH(설정!$A$44,E594&amp;" "&amp;C594))),AND(설정!$A$45&lt;&gt;"",ISNUMBER(SEARCH(설정!$A$45,E594&amp;" "&amp;C594))),AND(설정!$A$46&lt;&gt;"",ISNUMBER(SEARCH(설정!$A$46,E594&amp;" "&amp;C594))),AND(설정!$A$47&lt;&gt;"",ISNUMBER(SEARCH(설정!$A$47,E594&amp;" "&amp;C594))),AND(설정!$A$48&lt;&gt;"",ISNUMBER(SEARCH(설정!$A$48,E594&amp;" "&amp;C594))),AND(설정!$A$49&lt;&gt;"",ISNUMBER(SEARCH(설정!$A$49,E594&amp;" "&amp;C594))),AND(설정!$A$50&lt;&gt;"",ISNUMBER(SEARCH(설정!$A$50,E594&amp;" "&amp;C594))),AND(설정!$A$51&lt;&gt;"",ISNUMBER(SEARCH(설정!$A$51,E594&amp;" "&amp;C594))))</f>
        <v/>
      </c>
      <c r="S594">
        <f>OR(D594="",D594&gt;=설정!$B$19)</f>
        <v/>
      </c>
      <c r="T594">
        <f>AND(Q594,R594,S594)</f>
        <v/>
      </c>
      <c r="U594">
        <f>IF(T594,IF(AND(설정!$A$54&lt;&gt;"",ISNUMBER(SEARCH(설정!$A$54,K594))),설정!$B$54,IF(AND(설정!$A$55&lt;&gt;"",ISNUMBER(SEARCH(설정!$A$55,K594))),설정!$B$55,IF(AND(설정!$A$56&lt;&gt;"",ISNUMBER(SEARCH(설정!$A$56,K594))),설정!$B$56,IF(AND(설정!$A$57&lt;&gt;"",ISNUMBER(SEARCH(설정!$A$57,K594))),설정!$B$57,IF(AND(설정!$A$58&lt;&gt;"",ISNUMBER(SEARCH(설정!$A$58,K594))),설정!$B$58,IF(AND(설정!$A$59&lt;&gt;"",ISNUMBER(SEARCH(설정!$A$59,K594))),설정!$B$59,IF(AND(설정!$A$60&lt;&gt;"",ISNUMBER(SEARCH(설정!$A$60,K594))),설정!$B$60,IF(AND(설정!$A$61&lt;&gt;"",ISNUMBER(SEARCH(설정!$A$61,K594))),설정!$B$61,IF(M594="","설계사","시공사"))))))))),"")</f>
        <v/>
      </c>
      <c r="V594">
        <f>SUBSTITUTE(SUBSTITUTE(SUBSTITUTE(SUBSTITUTE(G594,"(주)",""),"㈜",""),"주식회사","")," ","")</f>
        <v/>
      </c>
      <c r="W594">
        <f>IF(AND(T594,V594&lt;&gt;""),IF(COUNTIFS(V$2:V594,V594,T$2:T594,TRUE)=1,MAX(W$1:W593)+1,""),"")</f>
        <v/>
      </c>
      <c r="X594">
        <f>IF(설정!$C$14="","",IFERROR(INDEX('1.산군_붙여넣기'!$A$1:$AZ$1001,ROW(),설정!$C$14)&amp;"",""))</f>
        <v/>
      </c>
      <c r="Y594">
        <f>IF(설정!$C$15="","",IFERROR(INDEX('1.산군_붙여넣기'!$A$1:$AZ$1001,ROW(),설정!$C$15)&amp;"",""))</f>
        <v/>
      </c>
      <c r="Z594">
        <f>IF(T594,V594&amp;"|"&amp;U594,"")</f>
        <v/>
      </c>
      <c r="AA594">
        <f>IF(NOT(Q594),"",IF(NOT(AND(R594,S594)),"✕",IF(OR(OR(AND(L594&lt;&gt;"",M594&lt;&gt;"",N(M594)-N(L594)&gt;설정!$B$27),AND(L594&lt;&gt;"",M594="",설정!$B$24-N(L594)&gt;설정!$B$27)),AND(D594&lt;&gt;"",D594&lt;설정!$B$26)),"△","★")))</f>
        <v/>
      </c>
      <c r="AB594">
        <f>IF(NOT(T594),"",IF(U594="설계사",설정!$B$31,IF(U594="시공사",IF(OR(M594="",설정!$B$24-N(M594)&lt;=설정!$B$28*30.4),설정!$B$32,설정!$B$33),설정!$B$34))+IF(AA594="★",설정!$B$35,0))</f>
        <v/>
      </c>
      <c r="AC594">
        <f>SUBSTITUTE(SUBSTITUTE(SUBSTITUTE(SUBSTITUTE(H594,"(주)",""),"㈜",""),"주식회사","")," ","")</f>
        <v/>
      </c>
      <c r="AD594">
        <f>IF(AND(T594,AC594&lt;&gt;""),IF(COUNTIFS(AC$2:AC594,AC594,T$2:T594,TRUE)=1,MAX(AD$1:AD593)+1,""),"")</f>
        <v/>
      </c>
    </row>
    <row r="595">
      <c r="A595">
        <f>ROW()</f>
        <v/>
      </c>
      <c r="B595">
        <f>IF(설정!$C$4="","",IFERROR(INDEX('1.산군_붙여넣기'!$A$1:$AZ$1001,ROW(),설정!$C$4)&amp;"",""))</f>
        <v/>
      </c>
      <c r="C595">
        <f>IF(설정!$C$5="","",IFERROR(INDEX('1.산군_붙여넣기'!$A$1:$AZ$1001,ROW(),설정!$C$5)&amp;"",""))</f>
        <v/>
      </c>
      <c r="D595" s="5">
        <f>IFERROR(VALUE(SUBSTITUTE(SUBSTITUTE(SUBSTITUTE(IF(설정!$C$6="","",IFERROR(INDEX('1.산군_붙여넣기'!$A$1:$AZ$1001,ROW(),설정!$C$6)&amp;"","")),",",""),"㎡",""),"m2","")),"")</f>
        <v/>
      </c>
      <c r="E595">
        <f>IF(설정!$C$7="","",IFERROR(INDEX('1.산군_붙여넣기'!$A$1:$AZ$1001,ROW(),설정!$C$7)&amp;"",""))</f>
        <v/>
      </c>
      <c r="F595">
        <f>IF(설정!$C$8="","",IFERROR(INDEX('1.산군_붙여넣기'!$A$1:$AZ$1001,ROW(),설정!$C$8)&amp;"",""))</f>
        <v/>
      </c>
      <c r="G595">
        <f>IF(설정!$C$9="","",IFERROR(INDEX('1.산군_붙여넣기'!$A$1:$AZ$1001,ROW(),설정!$C$9)&amp;"",""))</f>
        <v/>
      </c>
      <c r="H595">
        <f>IF(설정!$C$10="","",IFERROR(INDEX('1.산군_붙여넣기'!$A$1:$AZ$1001,ROW(),설정!$C$10)&amp;"",""))</f>
        <v/>
      </c>
      <c r="I595">
        <f>IF(설정!$C$11="","",IFERROR(INDEX('1.산군_붙여넣기'!$A$1:$AZ$1001,ROW(),설정!$C$11)&amp;"",""))</f>
        <v/>
      </c>
      <c r="J595">
        <f>IF(설정!$C$12="","",IFERROR(INDEX('1.산군_붙여넣기'!$A$1:$AZ$1001,ROW(),설정!$C$12)&amp;"",""))</f>
        <v/>
      </c>
      <c r="K595">
        <f>IF(설정!$C$13="","",IFERROR(INDEX('1.산군_붙여넣기'!$A$1:$AZ$1001,ROW(),설정!$C$13)&amp;"",""))</f>
        <v/>
      </c>
      <c r="L595" s="7">
        <f>IF(X595="","",IF(AND(LEN(X595)=8,ISNUMBER(X595*1)),DATE(LEFT(X595,4),MID(X595,5,2),RIGHT(X595,2)),IFERROR(DATEVALUE(SUBSTITUTE(SUBSTITUTE(X595,".","-"),"/","-")),IFERROR(X595*1,""))))</f>
        <v/>
      </c>
      <c r="M595" s="7">
        <f>IF(Y595="","",IF(AND(LEN(Y595)=8,ISNUMBER(Y595*1)),DATE(LEFT(Y595,4),MID(Y595,5,2),RIGHT(Y595,2)),IFERROR(DATEVALUE(SUBSTITUTE(SUBSTITUTE(Y595,".","-"),"/","-")),IFERROR(Y595*1,""))))</f>
        <v/>
      </c>
      <c r="N595">
        <f>IFERROR(LEFT(B595,FIND(" ",B595)-1),B595)</f>
        <v/>
      </c>
      <c r="O595">
        <f>AND(B595&lt;&gt;"",B595&lt;&gt;설정!$B$4,C595&lt;&gt;설정!$B$5)</f>
        <v/>
      </c>
      <c r="P595">
        <f>IF(O595,B595&amp;"|"&amp;C595,"")</f>
        <v/>
      </c>
      <c r="Q595">
        <f>AND(O595,COUNTIF(P596:P$1002,P595)=0)</f>
        <v/>
      </c>
      <c r="R595">
        <f>OR(AND(설정!$A$42&lt;&gt;"",ISNUMBER(SEARCH(설정!$A$42,E595&amp;" "&amp;C595))),AND(설정!$A$43&lt;&gt;"",ISNUMBER(SEARCH(설정!$A$43,E595&amp;" "&amp;C595))),AND(설정!$A$44&lt;&gt;"",ISNUMBER(SEARCH(설정!$A$44,E595&amp;" "&amp;C595))),AND(설정!$A$45&lt;&gt;"",ISNUMBER(SEARCH(설정!$A$45,E595&amp;" "&amp;C595))),AND(설정!$A$46&lt;&gt;"",ISNUMBER(SEARCH(설정!$A$46,E595&amp;" "&amp;C595))),AND(설정!$A$47&lt;&gt;"",ISNUMBER(SEARCH(설정!$A$47,E595&amp;" "&amp;C595))),AND(설정!$A$48&lt;&gt;"",ISNUMBER(SEARCH(설정!$A$48,E595&amp;" "&amp;C595))),AND(설정!$A$49&lt;&gt;"",ISNUMBER(SEARCH(설정!$A$49,E595&amp;" "&amp;C595))),AND(설정!$A$50&lt;&gt;"",ISNUMBER(SEARCH(설정!$A$50,E595&amp;" "&amp;C595))),AND(설정!$A$51&lt;&gt;"",ISNUMBER(SEARCH(설정!$A$51,E595&amp;" "&amp;C595))))</f>
        <v/>
      </c>
      <c r="S595">
        <f>OR(D595="",D595&gt;=설정!$B$19)</f>
        <v/>
      </c>
      <c r="T595">
        <f>AND(Q595,R595,S595)</f>
        <v/>
      </c>
      <c r="U595">
        <f>IF(T595,IF(AND(설정!$A$54&lt;&gt;"",ISNUMBER(SEARCH(설정!$A$54,K595))),설정!$B$54,IF(AND(설정!$A$55&lt;&gt;"",ISNUMBER(SEARCH(설정!$A$55,K595))),설정!$B$55,IF(AND(설정!$A$56&lt;&gt;"",ISNUMBER(SEARCH(설정!$A$56,K595))),설정!$B$56,IF(AND(설정!$A$57&lt;&gt;"",ISNUMBER(SEARCH(설정!$A$57,K595))),설정!$B$57,IF(AND(설정!$A$58&lt;&gt;"",ISNUMBER(SEARCH(설정!$A$58,K595))),설정!$B$58,IF(AND(설정!$A$59&lt;&gt;"",ISNUMBER(SEARCH(설정!$A$59,K595))),설정!$B$59,IF(AND(설정!$A$60&lt;&gt;"",ISNUMBER(SEARCH(설정!$A$60,K595))),설정!$B$60,IF(AND(설정!$A$61&lt;&gt;"",ISNUMBER(SEARCH(설정!$A$61,K595))),설정!$B$61,IF(M595="","설계사","시공사"))))))))),"")</f>
        <v/>
      </c>
      <c r="V595">
        <f>SUBSTITUTE(SUBSTITUTE(SUBSTITUTE(SUBSTITUTE(G595,"(주)",""),"㈜",""),"주식회사","")," ","")</f>
        <v/>
      </c>
      <c r="W595">
        <f>IF(AND(T595,V595&lt;&gt;""),IF(COUNTIFS(V$2:V595,V595,T$2:T595,TRUE)=1,MAX(W$1:W594)+1,""),"")</f>
        <v/>
      </c>
      <c r="X595">
        <f>IF(설정!$C$14="","",IFERROR(INDEX('1.산군_붙여넣기'!$A$1:$AZ$1001,ROW(),설정!$C$14)&amp;"",""))</f>
        <v/>
      </c>
      <c r="Y595">
        <f>IF(설정!$C$15="","",IFERROR(INDEX('1.산군_붙여넣기'!$A$1:$AZ$1001,ROW(),설정!$C$15)&amp;"",""))</f>
        <v/>
      </c>
      <c r="Z595">
        <f>IF(T595,V595&amp;"|"&amp;U595,"")</f>
        <v/>
      </c>
      <c r="AA595">
        <f>IF(NOT(Q595),"",IF(NOT(AND(R595,S595)),"✕",IF(OR(OR(AND(L595&lt;&gt;"",M595&lt;&gt;"",N(M595)-N(L595)&gt;설정!$B$27),AND(L595&lt;&gt;"",M595="",설정!$B$24-N(L595)&gt;설정!$B$27)),AND(D595&lt;&gt;"",D595&lt;설정!$B$26)),"△","★")))</f>
        <v/>
      </c>
      <c r="AB595">
        <f>IF(NOT(T595),"",IF(U595="설계사",설정!$B$31,IF(U595="시공사",IF(OR(M595="",설정!$B$24-N(M595)&lt;=설정!$B$28*30.4),설정!$B$32,설정!$B$33),설정!$B$34))+IF(AA595="★",설정!$B$35,0))</f>
        <v/>
      </c>
      <c r="AC595">
        <f>SUBSTITUTE(SUBSTITUTE(SUBSTITUTE(SUBSTITUTE(H595,"(주)",""),"㈜",""),"주식회사","")," ","")</f>
        <v/>
      </c>
      <c r="AD595">
        <f>IF(AND(T595,AC595&lt;&gt;""),IF(COUNTIFS(AC$2:AC595,AC595,T$2:T595,TRUE)=1,MAX(AD$1:AD594)+1,""),"")</f>
        <v/>
      </c>
    </row>
    <row r="596">
      <c r="A596">
        <f>ROW()</f>
        <v/>
      </c>
      <c r="B596">
        <f>IF(설정!$C$4="","",IFERROR(INDEX('1.산군_붙여넣기'!$A$1:$AZ$1001,ROW(),설정!$C$4)&amp;"",""))</f>
        <v/>
      </c>
      <c r="C596">
        <f>IF(설정!$C$5="","",IFERROR(INDEX('1.산군_붙여넣기'!$A$1:$AZ$1001,ROW(),설정!$C$5)&amp;"",""))</f>
        <v/>
      </c>
      <c r="D596" s="5">
        <f>IFERROR(VALUE(SUBSTITUTE(SUBSTITUTE(SUBSTITUTE(IF(설정!$C$6="","",IFERROR(INDEX('1.산군_붙여넣기'!$A$1:$AZ$1001,ROW(),설정!$C$6)&amp;"","")),",",""),"㎡",""),"m2","")),"")</f>
        <v/>
      </c>
      <c r="E596">
        <f>IF(설정!$C$7="","",IFERROR(INDEX('1.산군_붙여넣기'!$A$1:$AZ$1001,ROW(),설정!$C$7)&amp;"",""))</f>
        <v/>
      </c>
      <c r="F596">
        <f>IF(설정!$C$8="","",IFERROR(INDEX('1.산군_붙여넣기'!$A$1:$AZ$1001,ROW(),설정!$C$8)&amp;"",""))</f>
        <v/>
      </c>
      <c r="G596">
        <f>IF(설정!$C$9="","",IFERROR(INDEX('1.산군_붙여넣기'!$A$1:$AZ$1001,ROW(),설정!$C$9)&amp;"",""))</f>
        <v/>
      </c>
      <c r="H596">
        <f>IF(설정!$C$10="","",IFERROR(INDEX('1.산군_붙여넣기'!$A$1:$AZ$1001,ROW(),설정!$C$10)&amp;"",""))</f>
        <v/>
      </c>
      <c r="I596">
        <f>IF(설정!$C$11="","",IFERROR(INDEX('1.산군_붙여넣기'!$A$1:$AZ$1001,ROW(),설정!$C$11)&amp;"",""))</f>
        <v/>
      </c>
      <c r="J596">
        <f>IF(설정!$C$12="","",IFERROR(INDEX('1.산군_붙여넣기'!$A$1:$AZ$1001,ROW(),설정!$C$12)&amp;"",""))</f>
        <v/>
      </c>
      <c r="K596">
        <f>IF(설정!$C$13="","",IFERROR(INDEX('1.산군_붙여넣기'!$A$1:$AZ$1001,ROW(),설정!$C$13)&amp;"",""))</f>
        <v/>
      </c>
      <c r="L596" s="7">
        <f>IF(X596="","",IF(AND(LEN(X596)=8,ISNUMBER(X596*1)),DATE(LEFT(X596,4),MID(X596,5,2),RIGHT(X596,2)),IFERROR(DATEVALUE(SUBSTITUTE(SUBSTITUTE(X596,".","-"),"/","-")),IFERROR(X596*1,""))))</f>
        <v/>
      </c>
      <c r="M596" s="7">
        <f>IF(Y596="","",IF(AND(LEN(Y596)=8,ISNUMBER(Y596*1)),DATE(LEFT(Y596,4),MID(Y596,5,2),RIGHT(Y596,2)),IFERROR(DATEVALUE(SUBSTITUTE(SUBSTITUTE(Y596,".","-"),"/","-")),IFERROR(Y596*1,""))))</f>
        <v/>
      </c>
      <c r="N596">
        <f>IFERROR(LEFT(B596,FIND(" ",B596)-1),B596)</f>
        <v/>
      </c>
      <c r="O596">
        <f>AND(B596&lt;&gt;"",B596&lt;&gt;설정!$B$4,C596&lt;&gt;설정!$B$5)</f>
        <v/>
      </c>
      <c r="P596">
        <f>IF(O596,B596&amp;"|"&amp;C596,"")</f>
        <v/>
      </c>
      <c r="Q596">
        <f>AND(O596,COUNTIF(P597:P$1002,P596)=0)</f>
        <v/>
      </c>
      <c r="R596">
        <f>OR(AND(설정!$A$42&lt;&gt;"",ISNUMBER(SEARCH(설정!$A$42,E596&amp;" "&amp;C596))),AND(설정!$A$43&lt;&gt;"",ISNUMBER(SEARCH(설정!$A$43,E596&amp;" "&amp;C596))),AND(설정!$A$44&lt;&gt;"",ISNUMBER(SEARCH(설정!$A$44,E596&amp;" "&amp;C596))),AND(설정!$A$45&lt;&gt;"",ISNUMBER(SEARCH(설정!$A$45,E596&amp;" "&amp;C596))),AND(설정!$A$46&lt;&gt;"",ISNUMBER(SEARCH(설정!$A$46,E596&amp;" "&amp;C596))),AND(설정!$A$47&lt;&gt;"",ISNUMBER(SEARCH(설정!$A$47,E596&amp;" "&amp;C596))),AND(설정!$A$48&lt;&gt;"",ISNUMBER(SEARCH(설정!$A$48,E596&amp;" "&amp;C596))),AND(설정!$A$49&lt;&gt;"",ISNUMBER(SEARCH(설정!$A$49,E596&amp;" "&amp;C596))),AND(설정!$A$50&lt;&gt;"",ISNUMBER(SEARCH(설정!$A$50,E596&amp;" "&amp;C596))),AND(설정!$A$51&lt;&gt;"",ISNUMBER(SEARCH(설정!$A$51,E596&amp;" "&amp;C596))))</f>
        <v/>
      </c>
      <c r="S596">
        <f>OR(D596="",D596&gt;=설정!$B$19)</f>
        <v/>
      </c>
      <c r="T596">
        <f>AND(Q596,R596,S596)</f>
        <v/>
      </c>
      <c r="U596">
        <f>IF(T596,IF(AND(설정!$A$54&lt;&gt;"",ISNUMBER(SEARCH(설정!$A$54,K596))),설정!$B$54,IF(AND(설정!$A$55&lt;&gt;"",ISNUMBER(SEARCH(설정!$A$55,K596))),설정!$B$55,IF(AND(설정!$A$56&lt;&gt;"",ISNUMBER(SEARCH(설정!$A$56,K596))),설정!$B$56,IF(AND(설정!$A$57&lt;&gt;"",ISNUMBER(SEARCH(설정!$A$57,K596))),설정!$B$57,IF(AND(설정!$A$58&lt;&gt;"",ISNUMBER(SEARCH(설정!$A$58,K596))),설정!$B$58,IF(AND(설정!$A$59&lt;&gt;"",ISNUMBER(SEARCH(설정!$A$59,K596))),설정!$B$59,IF(AND(설정!$A$60&lt;&gt;"",ISNUMBER(SEARCH(설정!$A$60,K596))),설정!$B$60,IF(AND(설정!$A$61&lt;&gt;"",ISNUMBER(SEARCH(설정!$A$61,K596))),설정!$B$61,IF(M596="","설계사","시공사"))))))))),"")</f>
        <v/>
      </c>
      <c r="V596">
        <f>SUBSTITUTE(SUBSTITUTE(SUBSTITUTE(SUBSTITUTE(G596,"(주)",""),"㈜",""),"주식회사","")," ","")</f>
        <v/>
      </c>
      <c r="W596">
        <f>IF(AND(T596,V596&lt;&gt;""),IF(COUNTIFS(V$2:V596,V596,T$2:T596,TRUE)=1,MAX(W$1:W595)+1,""),"")</f>
        <v/>
      </c>
      <c r="X596">
        <f>IF(설정!$C$14="","",IFERROR(INDEX('1.산군_붙여넣기'!$A$1:$AZ$1001,ROW(),설정!$C$14)&amp;"",""))</f>
        <v/>
      </c>
      <c r="Y596">
        <f>IF(설정!$C$15="","",IFERROR(INDEX('1.산군_붙여넣기'!$A$1:$AZ$1001,ROW(),설정!$C$15)&amp;"",""))</f>
        <v/>
      </c>
      <c r="Z596">
        <f>IF(T596,V596&amp;"|"&amp;U596,"")</f>
        <v/>
      </c>
      <c r="AA596">
        <f>IF(NOT(Q596),"",IF(NOT(AND(R596,S596)),"✕",IF(OR(OR(AND(L596&lt;&gt;"",M596&lt;&gt;"",N(M596)-N(L596)&gt;설정!$B$27),AND(L596&lt;&gt;"",M596="",설정!$B$24-N(L596)&gt;설정!$B$27)),AND(D596&lt;&gt;"",D596&lt;설정!$B$26)),"△","★")))</f>
        <v/>
      </c>
      <c r="AB596">
        <f>IF(NOT(T596),"",IF(U596="설계사",설정!$B$31,IF(U596="시공사",IF(OR(M596="",설정!$B$24-N(M596)&lt;=설정!$B$28*30.4),설정!$B$32,설정!$B$33),설정!$B$34))+IF(AA596="★",설정!$B$35,0))</f>
        <v/>
      </c>
      <c r="AC596">
        <f>SUBSTITUTE(SUBSTITUTE(SUBSTITUTE(SUBSTITUTE(H596,"(주)",""),"㈜",""),"주식회사","")," ","")</f>
        <v/>
      </c>
      <c r="AD596">
        <f>IF(AND(T596,AC596&lt;&gt;""),IF(COUNTIFS(AC$2:AC596,AC596,T$2:T596,TRUE)=1,MAX(AD$1:AD595)+1,""),"")</f>
        <v/>
      </c>
    </row>
    <row r="597">
      <c r="A597">
        <f>ROW()</f>
        <v/>
      </c>
      <c r="B597">
        <f>IF(설정!$C$4="","",IFERROR(INDEX('1.산군_붙여넣기'!$A$1:$AZ$1001,ROW(),설정!$C$4)&amp;"",""))</f>
        <v/>
      </c>
      <c r="C597">
        <f>IF(설정!$C$5="","",IFERROR(INDEX('1.산군_붙여넣기'!$A$1:$AZ$1001,ROW(),설정!$C$5)&amp;"",""))</f>
        <v/>
      </c>
      <c r="D597" s="5">
        <f>IFERROR(VALUE(SUBSTITUTE(SUBSTITUTE(SUBSTITUTE(IF(설정!$C$6="","",IFERROR(INDEX('1.산군_붙여넣기'!$A$1:$AZ$1001,ROW(),설정!$C$6)&amp;"","")),",",""),"㎡",""),"m2","")),"")</f>
        <v/>
      </c>
      <c r="E597">
        <f>IF(설정!$C$7="","",IFERROR(INDEX('1.산군_붙여넣기'!$A$1:$AZ$1001,ROW(),설정!$C$7)&amp;"",""))</f>
        <v/>
      </c>
      <c r="F597">
        <f>IF(설정!$C$8="","",IFERROR(INDEX('1.산군_붙여넣기'!$A$1:$AZ$1001,ROW(),설정!$C$8)&amp;"",""))</f>
        <v/>
      </c>
      <c r="G597">
        <f>IF(설정!$C$9="","",IFERROR(INDEX('1.산군_붙여넣기'!$A$1:$AZ$1001,ROW(),설정!$C$9)&amp;"",""))</f>
        <v/>
      </c>
      <c r="H597">
        <f>IF(설정!$C$10="","",IFERROR(INDEX('1.산군_붙여넣기'!$A$1:$AZ$1001,ROW(),설정!$C$10)&amp;"",""))</f>
        <v/>
      </c>
      <c r="I597">
        <f>IF(설정!$C$11="","",IFERROR(INDEX('1.산군_붙여넣기'!$A$1:$AZ$1001,ROW(),설정!$C$11)&amp;"",""))</f>
        <v/>
      </c>
      <c r="J597">
        <f>IF(설정!$C$12="","",IFERROR(INDEX('1.산군_붙여넣기'!$A$1:$AZ$1001,ROW(),설정!$C$12)&amp;"",""))</f>
        <v/>
      </c>
      <c r="K597">
        <f>IF(설정!$C$13="","",IFERROR(INDEX('1.산군_붙여넣기'!$A$1:$AZ$1001,ROW(),설정!$C$13)&amp;"",""))</f>
        <v/>
      </c>
      <c r="L597" s="7">
        <f>IF(X597="","",IF(AND(LEN(X597)=8,ISNUMBER(X597*1)),DATE(LEFT(X597,4),MID(X597,5,2),RIGHT(X597,2)),IFERROR(DATEVALUE(SUBSTITUTE(SUBSTITUTE(X597,".","-"),"/","-")),IFERROR(X597*1,""))))</f>
        <v/>
      </c>
      <c r="M597" s="7">
        <f>IF(Y597="","",IF(AND(LEN(Y597)=8,ISNUMBER(Y597*1)),DATE(LEFT(Y597,4),MID(Y597,5,2),RIGHT(Y597,2)),IFERROR(DATEVALUE(SUBSTITUTE(SUBSTITUTE(Y597,".","-"),"/","-")),IFERROR(Y597*1,""))))</f>
        <v/>
      </c>
      <c r="N597">
        <f>IFERROR(LEFT(B597,FIND(" ",B597)-1),B597)</f>
        <v/>
      </c>
      <c r="O597">
        <f>AND(B597&lt;&gt;"",B597&lt;&gt;설정!$B$4,C597&lt;&gt;설정!$B$5)</f>
        <v/>
      </c>
      <c r="P597">
        <f>IF(O597,B597&amp;"|"&amp;C597,"")</f>
        <v/>
      </c>
      <c r="Q597">
        <f>AND(O597,COUNTIF(P598:P$1002,P597)=0)</f>
        <v/>
      </c>
      <c r="R597">
        <f>OR(AND(설정!$A$42&lt;&gt;"",ISNUMBER(SEARCH(설정!$A$42,E597&amp;" "&amp;C597))),AND(설정!$A$43&lt;&gt;"",ISNUMBER(SEARCH(설정!$A$43,E597&amp;" "&amp;C597))),AND(설정!$A$44&lt;&gt;"",ISNUMBER(SEARCH(설정!$A$44,E597&amp;" "&amp;C597))),AND(설정!$A$45&lt;&gt;"",ISNUMBER(SEARCH(설정!$A$45,E597&amp;" "&amp;C597))),AND(설정!$A$46&lt;&gt;"",ISNUMBER(SEARCH(설정!$A$46,E597&amp;" "&amp;C597))),AND(설정!$A$47&lt;&gt;"",ISNUMBER(SEARCH(설정!$A$47,E597&amp;" "&amp;C597))),AND(설정!$A$48&lt;&gt;"",ISNUMBER(SEARCH(설정!$A$48,E597&amp;" "&amp;C597))),AND(설정!$A$49&lt;&gt;"",ISNUMBER(SEARCH(설정!$A$49,E597&amp;" "&amp;C597))),AND(설정!$A$50&lt;&gt;"",ISNUMBER(SEARCH(설정!$A$50,E597&amp;" "&amp;C597))),AND(설정!$A$51&lt;&gt;"",ISNUMBER(SEARCH(설정!$A$51,E597&amp;" "&amp;C597))))</f>
        <v/>
      </c>
      <c r="S597">
        <f>OR(D597="",D597&gt;=설정!$B$19)</f>
        <v/>
      </c>
      <c r="T597">
        <f>AND(Q597,R597,S597)</f>
        <v/>
      </c>
      <c r="U597">
        <f>IF(T597,IF(AND(설정!$A$54&lt;&gt;"",ISNUMBER(SEARCH(설정!$A$54,K597))),설정!$B$54,IF(AND(설정!$A$55&lt;&gt;"",ISNUMBER(SEARCH(설정!$A$55,K597))),설정!$B$55,IF(AND(설정!$A$56&lt;&gt;"",ISNUMBER(SEARCH(설정!$A$56,K597))),설정!$B$56,IF(AND(설정!$A$57&lt;&gt;"",ISNUMBER(SEARCH(설정!$A$57,K597))),설정!$B$57,IF(AND(설정!$A$58&lt;&gt;"",ISNUMBER(SEARCH(설정!$A$58,K597))),설정!$B$58,IF(AND(설정!$A$59&lt;&gt;"",ISNUMBER(SEARCH(설정!$A$59,K597))),설정!$B$59,IF(AND(설정!$A$60&lt;&gt;"",ISNUMBER(SEARCH(설정!$A$60,K597))),설정!$B$60,IF(AND(설정!$A$61&lt;&gt;"",ISNUMBER(SEARCH(설정!$A$61,K597))),설정!$B$61,IF(M597="","설계사","시공사"))))))))),"")</f>
        <v/>
      </c>
      <c r="V597">
        <f>SUBSTITUTE(SUBSTITUTE(SUBSTITUTE(SUBSTITUTE(G597,"(주)",""),"㈜",""),"주식회사","")," ","")</f>
        <v/>
      </c>
      <c r="W597">
        <f>IF(AND(T597,V597&lt;&gt;""),IF(COUNTIFS(V$2:V597,V597,T$2:T597,TRUE)=1,MAX(W$1:W596)+1,""),"")</f>
        <v/>
      </c>
      <c r="X597">
        <f>IF(설정!$C$14="","",IFERROR(INDEX('1.산군_붙여넣기'!$A$1:$AZ$1001,ROW(),설정!$C$14)&amp;"",""))</f>
        <v/>
      </c>
      <c r="Y597">
        <f>IF(설정!$C$15="","",IFERROR(INDEX('1.산군_붙여넣기'!$A$1:$AZ$1001,ROW(),설정!$C$15)&amp;"",""))</f>
        <v/>
      </c>
      <c r="Z597">
        <f>IF(T597,V597&amp;"|"&amp;U597,"")</f>
        <v/>
      </c>
      <c r="AA597">
        <f>IF(NOT(Q597),"",IF(NOT(AND(R597,S597)),"✕",IF(OR(OR(AND(L597&lt;&gt;"",M597&lt;&gt;"",N(M597)-N(L597)&gt;설정!$B$27),AND(L597&lt;&gt;"",M597="",설정!$B$24-N(L597)&gt;설정!$B$27)),AND(D597&lt;&gt;"",D597&lt;설정!$B$26)),"△","★")))</f>
        <v/>
      </c>
      <c r="AB597">
        <f>IF(NOT(T597),"",IF(U597="설계사",설정!$B$31,IF(U597="시공사",IF(OR(M597="",설정!$B$24-N(M597)&lt;=설정!$B$28*30.4),설정!$B$32,설정!$B$33),설정!$B$34))+IF(AA597="★",설정!$B$35,0))</f>
        <v/>
      </c>
      <c r="AC597">
        <f>SUBSTITUTE(SUBSTITUTE(SUBSTITUTE(SUBSTITUTE(H597,"(주)",""),"㈜",""),"주식회사","")," ","")</f>
        <v/>
      </c>
      <c r="AD597">
        <f>IF(AND(T597,AC597&lt;&gt;""),IF(COUNTIFS(AC$2:AC597,AC597,T$2:T597,TRUE)=1,MAX(AD$1:AD596)+1,""),"")</f>
        <v/>
      </c>
    </row>
    <row r="598">
      <c r="A598">
        <f>ROW()</f>
        <v/>
      </c>
      <c r="B598">
        <f>IF(설정!$C$4="","",IFERROR(INDEX('1.산군_붙여넣기'!$A$1:$AZ$1001,ROW(),설정!$C$4)&amp;"",""))</f>
        <v/>
      </c>
      <c r="C598">
        <f>IF(설정!$C$5="","",IFERROR(INDEX('1.산군_붙여넣기'!$A$1:$AZ$1001,ROW(),설정!$C$5)&amp;"",""))</f>
        <v/>
      </c>
      <c r="D598" s="5">
        <f>IFERROR(VALUE(SUBSTITUTE(SUBSTITUTE(SUBSTITUTE(IF(설정!$C$6="","",IFERROR(INDEX('1.산군_붙여넣기'!$A$1:$AZ$1001,ROW(),설정!$C$6)&amp;"","")),",",""),"㎡",""),"m2","")),"")</f>
        <v/>
      </c>
      <c r="E598">
        <f>IF(설정!$C$7="","",IFERROR(INDEX('1.산군_붙여넣기'!$A$1:$AZ$1001,ROW(),설정!$C$7)&amp;"",""))</f>
        <v/>
      </c>
      <c r="F598">
        <f>IF(설정!$C$8="","",IFERROR(INDEX('1.산군_붙여넣기'!$A$1:$AZ$1001,ROW(),설정!$C$8)&amp;"",""))</f>
        <v/>
      </c>
      <c r="G598">
        <f>IF(설정!$C$9="","",IFERROR(INDEX('1.산군_붙여넣기'!$A$1:$AZ$1001,ROW(),설정!$C$9)&amp;"",""))</f>
        <v/>
      </c>
      <c r="H598">
        <f>IF(설정!$C$10="","",IFERROR(INDEX('1.산군_붙여넣기'!$A$1:$AZ$1001,ROW(),설정!$C$10)&amp;"",""))</f>
        <v/>
      </c>
      <c r="I598">
        <f>IF(설정!$C$11="","",IFERROR(INDEX('1.산군_붙여넣기'!$A$1:$AZ$1001,ROW(),설정!$C$11)&amp;"",""))</f>
        <v/>
      </c>
      <c r="J598">
        <f>IF(설정!$C$12="","",IFERROR(INDEX('1.산군_붙여넣기'!$A$1:$AZ$1001,ROW(),설정!$C$12)&amp;"",""))</f>
        <v/>
      </c>
      <c r="K598">
        <f>IF(설정!$C$13="","",IFERROR(INDEX('1.산군_붙여넣기'!$A$1:$AZ$1001,ROW(),설정!$C$13)&amp;"",""))</f>
        <v/>
      </c>
      <c r="L598" s="7">
        <f>IF(X598="","",IF(AND(LEN(X598)=8,ISNUMBER(X598*1)),DATE(LEFT(X598,4),MID(X598,5,2),RIGHT(X598,2)),IFERROR(DATEVALUE(SUBSTITUTE(SUBSTITUTE(X598,".","-"),"/","-")),IFERROR(X598*1,""))))</f>
        <v/>
      </c>
      <c r="M598" s="7">
        <f>IF(Y598="","",IF(AND(LEN(Y598)=8,ISNUMBER(Y598*1)),DATE(LEFT(Y598,4),MID(Y598,5,2),RIGHT(Y598,2)),IFERROR(DATEVALUE(SUBSTITUTE(SUBSTITUTE(Y598,".","-"),"/","-")),IFERROR(Y598*1,""))))</f>
        <v/>
      </c>
      <c r="N598">
        <f>IFERROR(LEFT(B598,FIND(" ",B598)-1),B598)</f>
        <v/>
      </c>
      <c r="O598">
        <f>AND(B598&lt;&gt;"",B598&lt;&gt;설정!$B$4,C598&lt;&gt;설정!$B$5)</f>
        <v/>
      </c>
      <c r="P598">
        <f>IF(O598,B598&amp;"|"&amp;C598,"")</f>
        <v/>
      </c>
      <c r="Q598">
        <f>AND(O598,COUNTIF(P599:P$1002,P598)=0)</f>
        <v/>
      </c>
      <c r="R598">
        <f>OR(AND(설정!$A$42&lt;&gt;"",ISNUMBER(SEARCH(설정!$A$42,E598&amp;" "&amp;C598))),AND(설정!$A$43&lt;&gt;"",ISNUMBER(SEARCH(설정!$A$43,E598&amp;" "&amp;C598))),AND(설정!$A$44&lt;&gt;"",ISNUMBER(SEARCH(설정!$A$44,E598&amp;" "&amp;C598))),AND(설정!$A$45&lt;&gt;"",ISNUMBER(SEARCH(설정!$A$45,E598&amp;" "&amp;C598))),AND(설정!$A$46&lt;&gt;"",ISNUMBER(SEARCH(설정!$A$46,E598&amp;" "&amp;C598))),AND(설정!$A$47&lt;&gt;"",ISNUMBER(SEARCH(설정!$A$47,E598&amp;" "&amp;C598))),AND(설정!$A$48&lt;&gt;"",ISNUMBER(SEARCH(설정!$A$48,E598&amp;" "&amp;C598))),AND(설정!$A$49&lt;&gt;"",ISNUMBER(SEARCH(설정!$A$49,E598&amp;" "&amp;C598))),AND(설정!$A$50&lt;&gt;"",ISNUMBER(SEARCH(설정!$A$50,E598&amp;" "&amp;C598))),AND(설정!$A$51&lt;&gt;"",ISNUMBER(SEARCH(설정!$A$51,E598&amp;" "&amp;C598))))</f>
        <v/>
      </c>
      <c r="S598">
        <f>OR(D598="",D598&gt;=설정!$B$19)</f>
        <v/>
      </c>
      <c r="T598">
        <f>AND(Q598,R598,S598)</f>
        <v/>
      </c>
      <c r="U598">
        <f>IF(T598,IF(AND(설정!$A$54&lt;&gt;"",ISNUMBER(SEARCH(설정!$A$54,K598))),설정!$B$54,IF(AND(설정!$A$55&lt;&gt;"",ISNUMBER(SEARCH(설정!$A$55,K598))),설정!$B$55,IF(AND(설정!$A$56&lt;&gt;"",ISNUMBER(SEARCH(설정!$A$56,K598))),설정!$B$56,IF(AND(설정!$A$57&lt;&gt;"",ISNUMBER(SEARCH(설정!$A$57,K598))),설정!$B$57,IF(AND(설정!$A$58&lt;&gt;"",ISNUMBER(SEARCH(설정!$A$58,K598))),설정!$B$58,IF(AND(설정!$A$59&lt;&gt;"",ISNUMBER(SEARCH(설정!$A$59,K598))),설정!$B$59,IF(AND(설정!$A$60&lt;&gt;"",ISNUMBER(SEARCH(설정!$A$60,K598))),설정!$B$60,IF(AND(설정!$A$61&lt;&gt;"",ISNUMBER(SEARCH(설정!$A$61,K598))),설정!$B$61,IF(M598="","설계사","시공사"))))))))),"")</f>
        <v/>
      </c>
      <c r="V598">
        <f>SUBSTITUTE(SUBSTITUTE(SUBSTITUTE(SUBSTITUTE(G598,"(주)",""),"㈜",""),"주식회사","")," ","")</f>
        <v/>
      </c>
      <c r="W598">
        <f>IF(AND(T598,V598&lt;&gt;""),IF(COUNTIFS(V$2:V598,V598,T$2:T598,TRUE)=1,MAX(W$1:W597)+1,""),"")</f>
        <v/>
      </c>
      <c r="X598">
        <f>IF(설정!$C$14="","",IFERROR(INDEX('1.산군_붙여넣기'!$A$1:$AZ$1001,ROW(),설정!$C$14)&amp;"",""))</f>
        <v/>
      </c>
      <c r="Y598">
        <f>IF(설정!$C$15="","",IFERROR(INDEX('1.산군_붙여넣기'!$A$1:$AZ$1001,ROW(),설정!$C$15)&amp;"",""))</f>
        <v/>
      </c>
      <c r="Z598">
        <f>IF(T598,V598&amp;"|"&amp;U598,"")</f>
        <v/>
      </c>
      <c r="AA598">
        <f>IF(NOT(Q598),"",IF(NOT(AND(R598,S598)),"✕",IF(OR(OR(AND(L598&lt;&gt;"",M598&lt;&gt;"",N(M598)-N(L598)&gt;설정!$B$27),AND(L598&lt;&gt;"",M598="",설정!$B$24-N(L598)&gt;설정!$B$27)),AND(D598&lt;&gt;"",D598&lt;설정!$B$26)),"△","★")))</f>
        <v/>
      </c>
      <c r="AB598">
        <f>IF(NOT(T598),"",IF(U598="설계사",설정!$B$31,IF(U598="시공사",IF(OR(M598="",설정!$B$24-N(M598)&lt;=설정!$B$28*30.4),설정!$B$32,설정!$B$33),설정!$B$34))+IF(AA598="★",설정!$B$35,0))</f>
        <v/>
      </c>
      <c r="AC598">
        <f>SUBSTITUTE(SUBSTITUTE(SUBSTITUTE(SUBSTITUTE(H598,"(주)",""),"㈜",""),"주식회사","")," ","")</f>
        <v/>
      </c>
      <c r="AD598">
        <f>IF(AND(T598,AC598&lt;&gt;""),IF(COUNTIFS(AC$2:AC598,AC598,T$2:T598,TRUE)=1,MAX(AD$1:AD597)+1,""),"")</f>
        <v/>
      </c>
    </row>
    <row r="599">
      <c r="A599">
        <f>ROW()</f>
        <v/>
      </c>
      <c r="B599">
        <f>IF(설정!$C$4="","",IFERROR(INDEX('1.산군_붙여넣기'!$A$1:$AZ$1001,ROW(),설정!$C$4)&amp;"",""))</f>
        <v/>
      </c>
      <c r="C599">
        <f>IF(설정!$C$5="","",IFERROR(INDEX('1.산군_붙여넣기'!$A$1:$AZ$1001,ROW(),설정!$C$5)&amp;"",""))</f>
        <v/>
      </c>
      <c r="D599" s="5">
        <f>IFERROR(VALUE(SUBSTITUTE(SUBSTITUTE(SUBSTITUTE(IF(설정!$C$6="","",IFERROR(INDEX('1.산군_붙여넣기'!$A$1:$AZ$1001,ROW(),설정!$C$6)&amp;"","")),",",""),"㎡",""),"m2","")),"")</f>
        <v/>
      </c>
      <c r="E599">
        <f>IF(설정!$C$7="","",IFERROR(INDEX('1.산군_붙여넣기'!$A$1:$AZ$1001,ROW(),설정!$C$7)&amp;"",""))</f>
        <v/>
      </c>
      <c r="F599">
        <f>IF(설정!$C$8="","",IFERROR(INDEX('1.산군_붙여넣기'!$A$1:$AZ$1001,ROW(),설정!$C$8)&amp;"",""))</f>
        <v/>
      </c>
      <c r="G599">
        <f>IF(설정!$C$9="","",IFERROR(INDEX('1.산군_붙여넣기'!$A$1:$AZ$1001,ROW(),설정!$C$9)&amp;"",""))</f>
        <v/>
      </c>
      <c r="H599">
        <f>IF(설정!$C$10="","",IFERROR(INDEX('1.산군_붙여넣기'!$A$1:$AZ$1001,ROW(),설정!$C$10)&amp;"",""))</f>
        <v/>
      </c>
      <c r="I599">
        <f>IF(설정!$C$11="","",IFERROR(INDEX('1.산군_붙여넣기'!$A$1:$AZ$1001,ROW(),설정!$C$11)&amp;"",""))</f>
        <v/>
      </c>
      <c r="J599">
        <f>IF(설정!$C$12="","",IFERROR(INDEX('1.산군_붙여넣기'!$A$1:$AZ$1001,ROW(),설정!$C$12)&amp;"",""))</f>
        <v/>
      </c>
      <c r="K599">
        <f>IF(설정!$C$13="","",IFERROR(INDEX('1.산군_붙여넣기'!$A$1:$AZ$1001,ROW(),설정!$C$13)&amp;"",""))</f>
        <v/>
      </c>
      <c r="L599" s="7">
        <f>IF(X599="","",IF(AND(LEN(X599)=8,ISNUMBER(X599*1)),DATE(LEFT(X599,4),MID(X599,5,2),RIGHT(X599,2)),IFERROR(DATEVALUE(SUBSTITUTE(SUBSTITUTE(X599,".","-"),"/","-")),IFERROR(X599*1,""))))</f>
        <v/>
      </c>
      <c r="M599" s="7">
        <f>IF(Y599="","",IF(AND(LEN(Y599)=8,ISNUMBER(Y599*1)),DATE(LEFT(Y599,4),MID(Y599,5,2),RIGHT(Y599,2)),IFERROR(DATEVALUE(SUBSTITUTE(SUBSTITUTE(Y599,".","-"),"/","-")),IFERROR(Y599*1,""))))</f>
        <v/>
      </c>
      <c r="N599">
        <f>IFERROR(LEFT(B599,FIND(" ",B599)-1),B599)</f>
        <v/>
      </c>
      <c r="O599">
        <f>AND(B599&lt;&gt;"",B599&lt;&gt;설정!$B$4,C599&lt;&gt;설정!$B$5)</f>
        <v/>
      </c>
      <c r="P599">
        <f>IF(O599,B599&amp;"|"&amp;C599,"")</f>
        <v/>
      </c>
      <c r="Q599">
        <f>AND(O599,COUNTIF(P600:P$1002,P599)=0)</f>
        <v/>
      </c>
      <c r="R599">
        <f>OR(AND(설정!$A$42&lt;&gt;"",ISNUMBER(SEARCH(설정!$A$42,E599&amp;" "&amp;C599))),AND(설정!$A$43&lt;&gt;"",ISNUMBER(SEARCH(설정!$A$43,E599&amp;" "&amp;C599))),AND(설정!$A$44&lt;&gt;"",ISNUMBER(SEARCH(설정!$A$44,E599&amp;" "&amp;C599))),AND(설정!$A$45&lt;&gt;"",ISNUMBER(SEARCH(설정!$A$45,E599&amp;" "&amp;C599))),AND(설정!$A$46&lt;&gt;"",ISNUMBER(SEARCH(설정!$A$46,E599&amp;" "&amp;C599))),AND(설정!$A$47&lt;&gt;"",ISNUMBER(SEARCH(설정!$A$47,E599&amp;" "&amp;C599))),AND(설정!$A$48&lt;&gt;"",ISNUMBER(SEARCH(설정!$A$48,E599&amp;" "&amp;C599))),AND(설정!$A$49&lt;&gt;"",ISNUMBER(SEARCH(설정!$A$49,E599&amp;" "&amp;C599))),AND(설정!$A$50&lt;&gt;"",ISNUMBER(SEARCH(설정!$A$50,E599&amp;" "&amp;C599))),AND(설정!$A$51&lt;&gt;"",ISNUMBER(SEARCH(설정!$A$51,E599&amp;" "&amp;C599))))</f>
        <v/>
      </c>
      <c r="S599">
        <f>OR(D599="",D599&gt;=설정!$B$19)</f>
        <v/>
      </c>
      <c r="T599">
        <f>AND(Q599,R599,S599)</f>
        <v/>
      </c>
      <c r="U599">
        <f>IF(T599,IF(AND(설정!$A$54&lt;&gt;"",ISNUMBER(SEARCH(설정!$A$54,K599))),설정!$B$54,IF(AND(설정!$A$55&lt;&gt;"",ISNUMBER(SEARCH(설정!$A$55,K599))),설정!$B$55,IF(AND(설정!$A$56&lt;&gt;"",ISNUMBER(SEARCH(설정!$A$56,K599))),설정!$B$56,IF(AND(설정!$A$57&lt;&gt;"",ISNUMBER(SEARCH(설정!$A$57,K599))),설정!$B$57,IF(AND(설정!$A$58&lt;&gt;"",ISNUMBER(SEARCH(설정!$A$58,K599))),설정!$B$58,IF(AND(설정!$A$59&lt;&gt;"",ISNUMBER(SEARCH(설정!$A$59,K599))),설정!$B$59,IF(AND(설정!$A$60&lt;&gt;"",ISNUMBER(SEARCH(설정!$A$60,K599))),설정!$B$60,IF(AND(설정!$A$61&lt;&gt;"",ISNUMBER(SEARCH(설정!$A$61,K599))),설정!$B$61,IF(M599="","설계사","시공사"))))))))),"")</f>
        <v/>
      </c>
      <c r="V599">
        <f>SUBSTITUTE(SUBSTITUTE(SUBSTITUTE(SUBSTITUTE(G599,"(주)",""),"㈜",""),"주식회사","")," ","")</f>
        <v/>
      </c>
      <c r="W599">
        <f>IF(AND(T599,V599&lt;&gt;""),IF(COUNTIFS(V$2:V599,V599,T$2:T599,TRUE)=1,MAX(W$1:W598)+1,""),"")</f>
        <v/>
      </c>
      <c r="X599">
        <f>IF(설정!$C$14="","",IFERROR(INDEX('1.산군_붙여넣기'!$A$1:$AZ$1001,ROW(),설정!$C$14)&amp;"",""))</f>
        <v/>
      </c>
      <c r="Y599">
        <f>IF(설정!$C$15="","",IFERROR(INDEX('1.산군_붙여넣기'!$A$1:$AZ$1001,ROW(),설정!$C$15)&amp;"",""))</f>
        <v/>
      </c>
      <c r="Z599">
        <f>IF(T599,V599&amp;"|"&amp;U599,"")</f>
        <v/>
      </c>
      <c r="AA599">
        <f>IF(NOT(Q599),"",IF(NOT(AND(R599,S599)),"✕",IF(OR(OR(AND(L599&lt;&gt;"",M599&lt;&gt;"",N(M599)-N(L599)&gt;설정!$B$27),AND(L599&lt;&gt;"",M599="",설정!$B$24-N(L599)&gt;설정!$B$27)),AND(D599&lt;&gt;"",D599&lt;설정!$B$26)),"△","★")))</f>
        <v/>
      </c>
      <c r="AB599">
        <f>IF(NOT(T599),"",IF(U599="설계사",설정!$B$31,IF(U599="시공사",IF(OR(M599="",설정!$B$24-N(M599)&lt;=설정!$B$28*30.4),설정!$B$32,설정!$B$33),설정!$B$34))+IF(AA599="★",설정!$B$35,0))</f>
        <v/>
      </c>
      <c r="AC599">
        <f>SUBSTITUTE(SUBSTITUTE(SUBSTITUTE(SUBSTITUTE(H599,"(주)",""),"㈜",""),"주식회사","")," ","")</f>
        <v/>
      </c>
      <c r="AD599">
        <f>IF(AND(T599,AC599&lt;&gt;""),IF(COUNTIFS(AC$2:AC599,AC599,T$2:T599,TRUE)=1,MAX(AD$1:AD598)+1,""),"")</f>
        <v/>
      </c>
    </row>
    <row r="600">
      <c r="A600">
        <f>ROW()</f>
        <v/>
      </c>
      <c r="B600">
        <f>IF(설정!$C$4="","",IFERROR(INDEX('1.산군_붙여넣기'!$A$1:$AZ$1001,ROW(),설정!$C$4)&amp;"",""))</f>
        <v/>
      </c>
      <c r="C600">
        <f>IF(설정!$C$5="","",IFERROR(INDEX('1.산군_붙여넣기'!$A$1:$AZ$1001,ROW(),설정!$C$5)&amp;"",""))</f>
        <v/>
      </c>
      <c r="D600" s="5">
        <f>IFERROR(VALUE(SUBSTITUTE(SUBSTITUTE(SUBSTITUTE(IF(설정!$C$6="","",IFERROR(INDEX('1.산군_붙여넣기'!$A$1:$AZ$1001,ROW(),설정!$C$6)&amp;"","")),",",""),"㎡",""),"m2","")),"")</f>
        <v/>
      </c>
      <c r="E600">
        <f>IF(설정!$C$7="","",IFERROR(INDEX('1.산군_붙여넣기'!$A$1:$AZ$1001,ROW(),설정!$C$7)&amp;"",""))</f>
        <v/>
      </c>
      <c r="F600">
        <f>IF(설정!$C$8="","",IFERROR(INDEX('1.산군_붙여넣기'!$A$1:$AZ$1001,ROW(),설정!$C$8)&amp;"",""))</f>
        <v/>
      </c>
      <c r="G600">
        <f>IF(설정!$C$9="","",IFERROR(INDEX('1.산군_붙여넣기'!$A$1:$AZ$1001,ROW(),설정!$C$9)&amp;"",""))</f>
        <v/>
      </c>
      <c r="H600">
        <f>IF(설정!$C$10="","",IFERROR(INDEX('1.산군_붙여넣기'!$A$1:$AZ$1001,ROW(),설정!$C$10)&amp;"",""))</f>
        <v/>
      </c>
      <c r="I600">
        <f>IF(설정!$C$11="","",IFERROR(INDEX('1.산군_붙여넣기'!$A$1:$AZ$1001,ROW(),설정!$C$11)&amp;"",""))</f>
        <v/>
      </c>
      <c r="J600">
        <f>IF(설정!$C$12="","",IFERROR(INDEX('1.산군_붙여넣기'!$A$1:$AZ$1001,ROW(),설정!$C$12)&amp;"",""))</f>
        <v/>
      </c>
      <c r="K600">
        <f>IF(설정!$C$13="","",IFERROR(INDEX('1.산군_붙여넣기'!$A$1:$AZ$1001,ROW(),설정!$C$13)&amp;"",""))</f>
        <v/>
      </c>
      <c r="L600" s="7">
        <f>IF(X600="","",IF(AND(LEN(X600)=8,ISNUMBER(X600*1)),DATE(LEFT(X600,4),MID(X600,5,2),RIGHT(X600,2)),IFERROR(DATEVALUE(SUBSTITUTE(SUBSTITUTE(X600,".","-"),"/","-")),IFERROR(X600*1,""))))</f>
        <v/>
      </c>
      <c r="M600" s="7">
        <f>IF(Y600="","",IF(AND(LEN(Y600)=8,ISNUMBER(Y600*1)),DATE(LEFT(Y600,4),MID(Y600,5,2),RIGHT(Y600,2)),IFERROR(DATEVALUE(SUBSTITUTE(SUBSTITUTE(Y600,".","-"),"/","-")),IFERROR(Y600*1,""))))</f>
        <v/>
      </c>
      <c r="N600">
        <f>IFERROR(LEFT(B600,FIND(" ",B600)-1),B600)</f>
        <v/>
      </c>
      <c r="O600">
        <f>AND(B600&lt;&gt;"",B600&lt;&gt;설정!$B$4,C600&lt;&gt;설정!$B$5)</f>
        <v/>
      </c>
      <c r="P600">
        <f>IF(O600,B600&amp;"|"&amp;C600,"")</f>
        <v/>
      </c>
      <c r="Q600">
        <f>AND(O600,COUNTIF(P601:P$1002,P600)=0)</f>
        <v/>
      </c>
      <c r="R600">
        <f>OR(AND(설정!$A$42&lt;&gt;"",ISNUMBER(SEARCH(설정!$A$42,E600&amp;" "&amp;C600))),AND(설정!$A$43&lt;&gt;"",ISNUMBER(SEARCH(설정!$A$43,E600&amp;" "&amp;C600))),AND(설정!$A$44&lt;&gt;"",ISNUMBER(SEARCH(설정!$A$44,E600&amp;" "&amp;C600))),AND(설정!$A$45&lt;&gt;"",ISNUMBER(SEARCH(설정!$A$45,E600&amp;" "&amp;C600))),AND(설정!$A$46&lt;&gt;"",ISNUMBER(SEARCH(설정!$A$46,E600&amp;" "&amp;C600))),AND(설정!$A$47&lt;&gt;"",ISNUMBER(SEARCH(설정!$A$47,E600&amp;" "&amp;C600))),AND(설정!$A$48&lt;&gt;"",ISNUMBER(SEARCH(설정!$A$48,E600&amp;" "&amp;C600))),AND(설정!$A$49&lt;&gt;"",ISNUMBER(SEARCH(설정!$A$49,E600&amp;" "&amp;C600))),AND(설정!$A$50&lt;&gt;"",ISNUMBER(SEARCH(설정!$A$50,E600&amp;" "&amp;C600))),AND(설정!$A$51&lt;&gt;"",ISNUMBER(SEARCH(설정!$A$51,E600&amp;" "&amp;C600))))</f>
        <v/>
      </c>
      <c r="S600">
        <f>OR(D600="",D600&gt;=설정!$B$19)</f>
        <v/>
      </c>
      <c r="T600">
        <f>AND(Q600,R600,S600)</f>
        <v/>
      </c>
      <c r="U600">
        <f>IF(T600,IF(AND(설정!$A$54&lt;&gt;"",ISNUMBER(SEARCH(설정!$A$54,K600))),설정!$B$54,IF(AND(설정!$A$55&lt;&gt;"",ISNUMBER(SEARCH(설정!$A$55,K600))),설정!$B$55,IF(AND(설정!$A$56&lt;&gt;"",ISNUMBER(SEARCH(설정!$A$56,K600))),설정!$B$56,IF(AND(설정!$A$57&lt;&gt;"",ISNUMBER(SEARCH(설정!$A$57,K600))),설정!$B$57,IF(AND(설정!$A$58&lt;&gt;"",ISNUMBER(SEARCH(설정!$A$58,K600))),설정!$B$58,IF(AND(설정!$A$59&lt;&gt;"",ISNUMBER(SEARCH(설정!$A$59,K600))),설정!$B$59,IF(AND(설정!$A$60&lt;&gt;"",ISNUMBER(SEARCH(설정!$A$60,K600))),설정!$B$60,IF(AND(설정!$A$61&lt;&gt;"",ISNUMBER(SEARCH(설정!$A$61,K600))),설정!$B$61,IF(M600="","설계사","시공사"))))))))),"")</f>
        <v/>
      </c>
      <c r="V600">
        <f>SUBSTITUTE(SUBSTITUTE(SUBSTITUTE(SUBSTITUTE(G600,"(주)",""),"㈜",""),"주식회사","")," ","")</f>
        <v/>
      </c>
      <c r="W600">
        <f>IF(AND(T600,V600&lt;&gt;""),IF(COUNTIFS(V$2:V600,V600,T$2:T600,TRUE)=1,MAX(W$1:W599)+1,""),"")</f>
        <v/>
      </c>
      <c r="X600">
        <f>IF(설정!$C$14="","",IFERROR(INDEX('1.산군_붙여넣기'!$A$1:$AZ$1001,ROW(),설정!$C$14)&amp;"",""))</f>
        <v/>
      </c>
      <c r="Y600">
        <f>IF(설정!$C$15="","",IFERROR(INDEX('1.산군_붙여넣기'!$A$1:$AZ$1001,ROW(),설정!$C$15)&amp;"",""))</f>
        <v/>
      </c>
      <c r="Z600">
        <f>IF(T600,V600&amp;"|"&amp;U600,"")</f>
        <v/>
      </c>
      <c r="AA600">
        <f>IF(NOT(Q600),"",IF(NOT(AND(R600,S600)),"✕",IF(OR(OR(AND(L600&lt;&gt;"",M600&lt;&gt;"",N(M600)-N(L600)&gt;설정!$B$27),AND(L600&lt;&gt;"",M600="",설정!$B$24-N(L600)&gt;설정!$B$27)),AND(D600&lt;&gt;"",D600&lt;설정!$B$26)),"△","★")))</f>
        <v/>
      </c>
      <c r="AB600">
        <f>IF(NOT(T600),"",IF(U600="설계사",설정!$B$31,IF(U600="시공사",IF(OR(M600="",설정!$B$24-N(M600)&lt;=설정!$B$28*30.4),설정!$B$32,설정!$B$33),설정!$B$34))+IF(AA600="★",설정!$B$35,0))</f>
        <v/>
      </c>
      <c r="AC600">
        <f>SUBSTITUTE(SUBSTITUTE(SUBSTITUTE(SUBSTITUTE(H600,"(주)",""),"㈜",""),"주식회사","")," ","")</f>
        <v/>
      </c>
      <c r="AD600">
        <f>IF(AND(T600,AC600&lt;&gt;""),IF(COUNTIFS(AC$2:AC600,AC600,T$2:T600,TRUE)=1,MAX(AD$1:AD599)+1,""),"")</f>
        <v/>
      </c>
    </row>
    <row r="601">
      <c r="A601">
        <f>ROW()</f>
        <v/>
      </c>
      <c r="B601">
        <f>IF(설정!$C$4="","",IFERROR(INDEX('1.산군_붙여넣기'!$A$1:$AZ$1001,ROW(),설정!$C$4)&amp;"",""))</f>
        <v/>
      </c>
      <c r="C601">
        <f>IF(설정!$C$5="","",IFERROR(INDEX('1.산군_붙여넣기'!$A$1:$AZ$1001,ROW(),설정!$C$5)&amp;"",""))</f>
        <v/>
      </c>
      <c r="D601" s="5">
        <f>IFERROR(VALUE(SUBSTITUTE(SUBSTITUTE(SUBSTITUTE(IF(설정!$C$6="","",IFERROR(INDEX('1.산군_붙여넣기'!$A$1:$AZ$1001,ROW(),설정!$C$6)&amp;"","")),",",""),"㎡",""),"m2","")),"")</f>
        <v/>
      </c>
      <c r="E601">
        <f>IF(설정!$C$7="","",IFERROR(INDEX('1.산군_붙여넣기'!$A$1:$AZ$1001,ROW(),설정!$C$7)&amp;"",""))</f>
        <v/>
      </c>
      <c r="F601">
        <f>IF(설정!$C$8="","",IFERROR(INDEX('1.산군_붙여넣기'!$A$1:$AZ$1001,ROW(),설정!$C$8)&amp;"",""))</f>
        <v/>
      </c>
      <c r="G601">
        <f>IF(설정!$C$9="","",IFERROR(INDEX('1.산군_붙여넣기'!$A$1:$AZ$1001,ROW(),설정!$C$9)&amp;"",""))</f>
        <v/>
      </c>
      <c r="H601">
        <f>IF(설정!$C$10="","",IFERROR(INDEX('1.산군_붙여넣기'!$A$1:$AZ$1001,ROW(),설정!$C$10)&amp;"",""))</f>
        <v/>
      </c>
      <c r="I601">
        <f>IF(설정!$C$11="","",IFERROR(INDEX('1.산군_붙여넣기'!$A$1:$AZ$1001,ROW(),설정!$C$11)&amp;"",""))</f>
        <v/>
      </c>
      <c r="J601">
        <f>IF(설정!$C$12="","",IFERROR(INDEX('1.산군_붙여넣기'!$A$1:$AZ$1001,ROW(),설정!$C$12)&amp;"",""))</f>
        <v/>
      </c>
      <c r="K601">
        <f>IF(설정!$C$13="","",IFERROR(INDEX('1.산군_붙여넣기'!$A$1:$AZ$1001,ROW(),설정!$C$13)&amp;"",""))</f>
        <v/>
      </c>
      <c r="L601" s="7">
        <f>IF(X601="","",IF(AND(LEN(X601)=8,ISNUMBER(X601*1)),DATE(LEFT(X601,4),MID(X601,5,2),RIGHT(X601,2)),IFERROR(DATEVALUE(SUBSTITUTE(SUBSTITUTE(X601,".","-"),"/","-")),IFERROR(X601*1,""))))</f>
        <v/>
      </c>
      <c r="M601" s="7">
        <f>IF(Y601="","",IF(AND(LEN(Y601)=8,ISNUMBER(Y601*1)),DATE(LEFT(Y601,4),MID(Y601,5,2),RIGHT(Y601,2)),IFERROR(DATEVALUE(SUBSTITUTE(SUBSTITUTE(Y601,".","-"),"/","-")),IFERROR(Y601*1,""))))</f>
        <v/>
      </c>
      <c r="N601">
        <f>IFERROR(LEFT(B601,FIND(" ",B601)-1),B601)</f>
        <v/>
      </c>
      <c r="O601">
        <f>AND(B601&lt;&gt;"",B601&lt;&gt;설정!$B$4,C601&lt;&gt;설정!$B$5)</f>
        <v/>
      </c>
      <c r="P601">
        <f>IF(O601,B601&amp;"|"&amp;C601,"")</f>
        <v/>
      </c>
      <c r="Q601">
        <f>AND(O601,COUNTIF(P602:P$1002,P601)=0)</f>
        <v/>
      </c>
      <c r="R601">
        <f>OR(AND(설정!$A$42&lt;&gt;"",ISNUMBER(SEARCH(설정!$A$42,E601&amp;" "&amp;C601))),AND(설정!$A$43&lt;&gt;"",ISNUMBER(SEARCH(설정!$A$43,E601&amp;" "&amp;C601))),AND(설정!$A$44&lt;&gt;"",ISNUMBER(SEARCH(설정!$A$44,E601&amp;" "&amp;C601))),AND(설정!$A$45&lt;&gt;"",ISNUMBER(SEARCH(설정!$A$45,E601&amp;" "&amp;C601))),AND(설정!$A$46&lt;&gt;"",ISNUMBER(SEARCH(설정!$A$46,E601&amp;" "&amp;C601))),AND(설정!$A$47&lt;&gt;"",ISNUMBER(SEARCH(설정!$A$47,E601&amp;" "&amp;C601))),AND(설정!$A$48&lt;&gt;"",ISNUMBER(SEARCH(설정!$A$48,E601&amp;" "&amp;C601))),AND(설정!$A$49&lt;&gt;"",ISNUMBER(SEARCH(설정!$A$49,E601&amp;" "&amp;C601))),AND(설정!$A$50&lt;&gt;"",ISNUMBER(SEARCH(설정!$A$50,E601&amp;" "&amp;C601))),AND(설정!$A$51&lt;&gt;"",ISNUMBER(SEARCH(설정!$A$51,E601&amp;" "&amp;C601))))</f>
        <v/>
      </c>
      <c r="S601">
        <f>OR(D601="",D601&gt;=설정!$B$19)</f>
        <v/>
      </c>
      <c r="T601">
        <f>AND(Q601,R601,S601)</f>
        <v/>
      </c>
      <c r="U601">
        <f>IF(T601,IF(AND(설정!$A$54&lt;&gt;"",ISNUMBER(SEARCH(설정!$A$54,K601))),설정!$B$54,IF(AND(설정!$A$55&lt;&gt;"",ISNUMBER(SEARCH(설정!$A$55,K601))),설정!$B$55,IF(AND(설정!$A$56&lt;&gt;"",ISNUMBER(SEARCH(설정!$A$56,K601))),설정!$B$56,IF(AND(설정!$A$57&lt;&gt;"",ISNUMBER(SEARCH(설정!$A$57,K601))),설정!$B$57,IF(AND(설정!$A$58&lt;&gt;"",ISNUMBER(SEARCH(설정!$A$58,K601))),설정!$B$58,IF(AND(설정!$A$59&lt;&gt;"",ISNUMBER(SEARCH(설정!$A$59,K601))),설정!$B$59,IF(AND(설정!$A$60&lt;&gt;"",ISNUMBER(SEARCH(설정!$A$60,K601))),설정!$B$60,IF(AND(설정!$A$61&lt;&gt;"",ISNUMBER(SEARCH(설정!$A$61,K601))),설정!$B$61,IF(M601="","설계사","시공사"))))))))),"")</f>
        <v/>
      </c>
      <c r="V601">
        <f>SUBSTITUTE(SUBSTITUTE(SUBSTITUTE(SUBSTITUTE(G601,"(주)",""),"㈜",""),"주식회사","")," ","")</f>
        <v/>
      </c>
      <c r="W601">
        <f>IF(AND(T601,V601&lt;&gt;""),IF(COUNTIFS(V$2:V601,V601,T$2:T601,TRUE)=1,MAX(W$1:W600)+1,""),"")</f>
        <v/>
      </c>
      <c r="X601">
        <f>IF(설정!$C$14="","",IFERROR(INDEX('1.산군_붙여넣기'!$A$1:$AZ$1001,ROW(),설정!$C$14)&amp;"",""))</f>
        <v/>
      </c>
      <c r="Y601">
        <f>IF(설정!$C$15="","",IFERROR(INDEX('1.산군_붙여넣기'!$A$1:$AZ$1001,ROW(),설정!$C$15)&amp;"",""))</f>
        <v/>
      </c>
      <c r="Z601">
        <f>IF(T601,V601&amp;"|"&amp;U601,"")</f>
        <v/>
      </c>
      <c r="AA601">
        <f>IF(NOT(Q601),"",IF(NOT(AND(R601,S601)),"✕",IF(OR(OR(AND(L601&lt;&gt;"",M601&lt;&gt;"",N(M601)-N(L601)&gt;설정!$B$27),AND(L601&lt;&gt;"",M601="",설정!$B$24-N(L601)&gt;설정!$B$27)),AND(D601&lt;&gt;"",D601&lt;설정!$B$26)),"△","★")))</f>
        <v/>
      </c>
      <c r="AB601">
        <f>IF(NOT(T601),"",IF(U601="설계사",설정!$B$31,IF(U601="시공사",IF(OR(M601="",설정!$B$24-N(M601)&lt;=설정!$B$28*30.4),설정!$B$32,설정!$B$33),설정!$B$34))+IF(AA601="★",설정!$B$35,0))</f>
        <v/>
      </c>
      <c r="AC601">
        <f>SUBSTITUTE(SUBSTITUTE(SUBSTITUTE(SUBSTITUTE(H601,"(주)",""),"㈜",""),"주식회사","")," ","")</f>
        <v/>
      </c>
      <c r="AD601">
        <f>IF(AND(T601,AC601&lt;&gt;""),IF(COUNTIFS(AC$2:AC601,AC601,T$2:T601,TRUE)=1,MAX(AD$1:AD600)+1,""),"")</f>
        <v/>
      </c>
    </row>
    <row r="602">
      <c r="A602">
        <f>ROW()</f>
        <v/>
      </c>
      <c r="B602">
        <f>IF(설정!$C$4="","",IFERROR(INDEX('1.산군_붙여넣기'!$A$1:$AZ$1001,ROW(),설정!$C$4)&amp;"",""))</f>
        <v/>
      </c>
      <c r="C602">
        <f>IF(설정!$C$5="","",IFERROR(INDEX('1.산군_붙여넣기'!$A$1:$AZ$1001,ROW(),설정!$C$5)&amp;"",""))</f>
        <v/>
      </c>
      <c r="D602" s="5">
        <f>IFERROR(VALUE(SUBSTITUTE(SUBSTITUTE(SUBSTITUTE(IF(설정!$C$6="","",IFERROR(INDEX('1.산군_붙여넣기'!$A$1:$AZ$1001,ROW(),설정!$C$6)&amp;"","")),",",""),"㎡",""),"m2","")),"")</f>
        <v/>
      </c>
      <c r="E602">
        <f>IF(설정!$C$7="","",IFERROR(INDEX('1.산군_붙여넣기'!$A$1:$AZ$1001,ROW(),설정!$C$7)&amp;"",""))</f>
        <v/>
      </c>
      <c r="F602">
        <f>IF(설정!$C$8="","",IFERROR(INDEX('1.산군_붙여넣기'!$A$1:$AZ$1001,ROW(),설정!$C$8)&amp;"",""))</f>
        <v/>
      </c>
      <c r="G602">
        <f>IF(설정!$C$9="","",IFERROR(INDEX('1.산군_붙여넣기'!$A$1:$AZ$1001,ROW(),설정!$C$9)&amp;"",""))</f>
        <v/>
      </c>
      <c r="H602">
        <f>IF(설정!$C$10="","",IFERROR(INDEX('1.산군_붙여넣기'!$A$1:$AZ$1001,ROW(),설정!$C$10)&amp;"",""))</f>
        <v/>
      </c>
      <c r="I602">
        <f>IF(설정!$C$11="","",IFERROR(INDEX('1.산군_붙여넣기'!$A$1:$AZ$1001,ROW(),설정!$C$11)&amp;"",""))</f>
        <v/>
      </c>
      <c r="J602">
        <f>IF(설정!$C$12="","",IFERROR(INDEX('1.산군_붙여넣기'!$A$1:$AZ$1001,ROW(),설정!$C$12)&amp;"",""))</f>
        <v/>
      </c>
      <c r="K602">
        <f>IF(설정!$C$13="","",IFERROR(INDEX('1.산군_붙여넣기'!$A$1:$AZ$1001,ROW(),설정!$C$13)&amp;"",""))</f>
        <v/>
      </c>
      <c r="L602" s="7">
        <f>IF(X602="","",IF(AND(LEN(X602)=8,ISNUMBER(X602*1)),DATE(LEFT(X602,4),MID(X602,5,2),RIGHT(X602,2)),IFERROR(DATEVALUE(SUBSTITUTE(SUBSTITUTE(X602,".","-"),"/","-")),IFERROR(X602*1,""))))</f>
        <v/>
      </c>
      <c r="M602" s="7">
        <f>IF(Y602="","",IF(AND(LEN(Y602)=8,ISNUMBER(Y602*1)),DATE(LEFT(Y602,4),MID(Y602,5,2),RIGHT(Y602,2)),IFERROR(DATEVALUE(SUBSTITUTE(SUBSTITUTE(Y602,".","-"),"/","-")),IFERROR(Y602*1,""))))</f>
        <v/>
      </c>
      <c r="N602">
        <f>IFERROR(LEFT(B602,FIND(" ",B602)-1),B602)</f>
        <v/>
      </c>
      <c r="O602">
        <f>AND(B602&lt;&gt;"",B602&lt;&gt;설정!$B$4,C602&lt;&gt;설정!$B$5)</f>
        <v/>
      </c>
      <c r="P602">
        <f>IF(O602,B602&amp;"|"&amp;C602,"")</f>
        <v/>
      </c>
      <c r="Q602">
        <f>AND(O602,COUNTIF(P603:P$1002,P602)=0)</f>
        <v/>
      </c>
      <c r="R602">
        <f>OR(AND(설정!$A$42&lt;&gt;"",ISNUMBER(SEARCH(설정!$A$42,E602&amp;" "&amp;C602))),AND(설정!$A$43&lt;&gt;"",ISNUMBER(SEARCH(설정!$A$43,E602&amp;" "&amp;C602))),AND(설정!$A$44&lt;&gt;"",ISNUMBER(SEARCH(설정!$A$44,E602&amp;" "&amp;C602))),AND(설정!$A$45&lt;&gt;"",ISNUMBER(SEARCH(설정!$A$45,E602&amp;" "&amp;C602))),AND(설정!$A$46&lt;&gt;"",ISNUMBER(SEARCH(설정!$A$46,E602&amp;" "&amp;C602))),AND(설정!$A$47&lt;&gt;"",ISNUMBER(SEARCH(설정!$A$47,E602&amp;" "&amp;C602))),AND(설정!$A$48&lt;&gt;"",ISNUMBER(SEARCH(설정!$A$48,E602&amp;" "&amp;C602))),AND(설정!$A$49&lt;&gt;"",ISNUMBER(SEARCH(설정!$A$49,E602&amp;" "&amp;C602))),AND(설정!$A$50&lt;&gt;"",ISNUMBER(SEARCH(설정!$A$50,E602&amp;" "&amp;C602))),AND(설정!$A$51&lt;&gt;"",ISNUMBER(SEARCH(설정!$A$51,E602&amp;" "&amp;C602))))</f>
        <v/>
      </c>
      <c r="S602">
        <f>OR(D602="",D602&gt;=설정!$B$19)</f>
        <v/>
      </c>
      <c r="T602">
        <f>AND(Q602,R602,S602)</f>
        <v/>
      </c>
      <c r="U602">
        <f>IF(T602,IF(AND(설정!$A$54&lt;&gt;"",ISNUMBER(SEARCH(설정!$A$54,K602))),설정!$B$54,IF(AND(설정!$A$55&lt;&gt;"",ISNUMBER(SEARCH(설정!$A$55,K602))),설정!$B$55,IF(AND(설정!$A$56&lt;&gt;"",ISNUMBER(SEARCH(설정!$A$56,K602))),설정!$B$56,IF(AND(설정!$A$57&lt;&gt;"",ISNUMBER(SEARCH(설정!$A$57,K602))),설정!$B$57,IF(AND(설정!$A$58&lt;&gt;"",ISNUMBER(SEARCH(설정!$A$58,K602))),설정!$B$58,IF(AND(설정!$A$59&lt;&gt;"",ISNUMBER(SEARCH(설정!$A$59,K602))),설정!$B$59,IF(AND(설정!$A$60&lt;&gt;"",ISNUMBER(SEARCH(설정!$A$60,K602))),설정!$B$60,IF(AND(설정!$A$61&lt;&gt;"",ISNUMBER(SEARCH(설정!$A$61,K602))),설정!$B$61,IF(M602="","설계사","시공사"))))))))),"")</f>
        <v/>
      </c>
      <c r="V602">
        <f>SUBSTITUTE(SUBSTITUTE(SUBSTITUTE(SUBSTITUTE(G602,"(주)",""),"㈜",""),"주식회사","")," ","")</f>
        <v/>
      </c>
      <c r="W602">
        <f>IF(AND(T602,V602&lt;&gt;""),IF(COUNTIFS(V$2:V602,V602,T$2:T602,TRUE)=1,MAX(W$1:W601)+1,""),"")</f>
        <v/>
      </c>
      <c r="X602">
        <f>IF(설정!$C$14="","",IFERROR(INDEX('1.산군_붙여넣기'!$A$1:$AZ$1001,ROW(),설정!$C$14)&amp;"",""))</f>
        <v/>
      </c>
      <c r="Y602">
        <f>IF(설정!$C$15="","",IFERROR(INDEX('1.산군_붙여넣기'!$A$1:$AZ$1001,ROW(),설정!$C$15)&amp;"",""))</f>
        <v/>
      </c>
      <c r="Z602">
        <f>IF(T602,V602&amp;"|"&amp;U602,"")</f>
        <v/>
      </c>
      <c r="AA602">
        <f>IF(NOT(Q602),"",IF(NOT(AND(R602,S602)),"✕",IF(OR(OR(AND(L602&lt;&gt;"",M602&lt;&gt;"",N(M602)-N(L602)&gt;설정!$B$27),AND(L602&lt;&gt;"",M602="",설정!$B$24-N(L602)&gt;설정!$B$27)),AND(D602&lt;&gt;"",D602&lt;설정!$B$26)),"△","★")))</f>
        <v/>
      </c>
      <c r="AB602">
        <f>IF(NOT(T602),"",IF(U602="설계사",설정!$B$31,IF(U602="시공사",IF(OR(M602="",설정!$B$24-N(M602)&lt;=설정!$B$28*30.4),설정!$B$32,설정!$B$33),설정!$B$34))+IF(AA602="★",설정!$B$35,0))</f>
        <v/>
      </c>
      <c r="AC602">
        <f>SUBSTITUTE(SUBSTITUTE(SUBSTITUTE(SUBSTITUTE(H602,"(주)",""),"㈜",""),"주식회사","")," ","")</f>
        <v/>
      </c>
      <c r="AD602">
        <f>IF(AND(T602,AC602&lt;&gt;""),IF(COUNTIFS(AC$2:AC602,AC602,T$2:T602,TRUE)=1,MAX(AD$1:AD601)+1,""),"")</f>
        <v/>
      </c>
    </row>
    <row r="603">
      <c r="A603">
        <f>ROW()</f>
        <v/>
      </c>
      <c r="B603">
        <f>IF(설정!$C$4="","",IFERROR(INDEX('1.산군_붙여넣기'!$A$1:$AZ$1001,ROW(),설정!$C$4)&amp;"",""))</f>
        <v/>
      </c>
      <c r="C603">
        <f>IF(설정!$C$5="","",IFERROR(INDEX('1.산군_붙여넣기'!$A$1:$AZ$1001,ROW(),설정!$C$5)&amp;"",""))</f>
        <v/>
      </c>
      <c r="D603" s="5">
        <f>IFERROR(VALUE(SUBSTITUTE(SUBSTITUTE(SUBSTITUTE(IF(설정!$C$6="","",IFERROR(INDEX('1.산군_붙여넣기'!$A$1:$AZ$1001,ROW(),설정!$C$6)&amp;"","")),",",""),"㎡",""),"m2","")),"")</f>
        <v/>
      </c>
      <c r="E603">
        <f>IF(설정!$C$7="","",IFERROR(INDEX('1.산군_붙여넣기'!$A$1:$AZ$1001,ROW(),설정!$C$7)&amp;"",""))</f>
        <v/>
      </c>
      <c r="F603">
        <f>IF(설정!$C$8="","",IFERROR(INDEX('1.산군_붙여넣기'!$A$1:$AZ$1001,ROW(),설정!$C$8)&amp;"",""))</f>
        <v/>
      </c>
      <c r="G603">
        <f>IF(설정!$C$9="","",IFERROR(INDEX('1.산군_붙여넣기'!$A$1:$AZ$1001,ROW(),설정!$C$9)&amp;"",""))</f>
        <v/>
      </c>
      <c r="H603">
        <f>IF(설정!$C$10="","",IFERROR(INDEX('1.산군_붙여넣기'!$A$1:$AZ$1001,ROW(),설정!$C$10)&amp;"",""))</f>
        <v/>
      </c>
      <c r="I603">
        <f>IF(설정!$C$11="","",IFERROR(INDEX('1.산군_붙여넣기'!$A$1:$AZ$1001,ROW(),설정!$C$11)&amp;"",""))</f>
        <v/>
      </c>
      <c r="J603">
        <f>IF(설정!$C$12="","",IFERROR(INDEX('1.산군_붙여넣기'!$A$1:$AZ$1001,ROW(),설정!$C$12)&amp;"",""))</f>
        <v/>
      </c>
      <c r="K603">
        <f>IF(설정!$C$13="","",IFERROR(INDEX('1.산군_붙여넣기'!$A$1:$AZ$1001,ROW(),설정!$C$13)&amp;"",""))</f>
        <v/>
      </c>
      <c r="L603" s="7">
        <f>IF(X603="","",IF(AND(LEN(X603)=8,ISNUMBER(X603*1)),DATE(LEFT(X603,4),MID(X603,5,2),RIGHT(X603,2)),IFERROR(DATEVALUE(SUBSTITUTE(SUBSTITUTE(X603,".","-"),"/","-")),IFERROR(X603*1,""))))</f>
        <v/>
      </c>
      <c r="M603" s="7">
        <f>IF(Y603="","",IF(AND(LEN(Y603)=8,ISNUMBER(Y603*1)),DATE(LEFT(Y603,4),MID(Y603,5,2),RIGHT(Y603,2)),IFERROR(DATEVALUE(SUBSTITUTE(SUBSTITUTE(Y603,".","-"),"/","-")),IFERROR(Y603*1,""))))</f>
        <v/>
      </c>
      <c r="N603">
        <f>IFERROR(LEFT(B603,FIND(" ",B603)-1),B603)</f>
        <v/>
      </c>
      <c r="O603">
        <f>AND(B603&lt;&gt;"",B603&lt;&gt;설정!$B$4,C603&lt;&gt;설정!$B$5)</f>
        <v/>
      </c>
      <c r="P603">
        <f>IF(O603,B603&amp;"|"&amp;C603,"")</f>
        <v/>
      </c>
      <c r="Q603">
        <f>AND(O603,COUNTIF(P604:P$1002,P603)=0)</f>
        <v/>
      </c>
      <c r="R603">
        <f>OR(AND(설정!$A$42&lt;&gt;"",ISNUMBER(SEARCH(설정!$A$42,E603&amp;" "&amp;C603))),AND(설정!$A$43&lt;&gt;"",ISNUMBER(SEARCH(설정!$A$43,E603&amp;" "&amp;C603))),AND(설정!$A$44&lt;&gt;"",ISNUMBER(SEARCH(설정!$A$44,E603&amp;" "&amp;C603))),AND(설정!$A$45&lt;&gt;"",ISNUMBER(SEARCH(설정!$A$45,E603&amp;" "&amp;C603))),AND(설정!$A$46&lt;&gt;"",ISNUMBER(SEARCH(설정!$A$46,E603&amp;" "&amp;C603))),AND(설정!$A$47&lt;&gt;"",ISNUMBER(SEARCH(설정!$A$47,E603&amp;" "&amp;C603))),AND(설정!$A$48&lt;&gt;"",ISNUMBER(SEARCH(설정!$A$48,E603&amp;" "&amp;C603))),AND(설정!$A$49&lt;&gt;"",ISNUMBER(SEARCH(설정!$A$49,E603&amp;" "&amp;C603))),AND(설정!$A$50&lt;&gt;"",ISNUMBER(SEARCH(설정!$A$50,E603&amp;" "&amp;C603))),AND(설정!$A$51&lt;&gt;"",ISNUMBER(SEARCH(설정!$A$51,E603&amp;" "&amp;C603))))</f>
        <v/>
      </c>
      <c r="S603">
        <f>OR(D603="",D603&gt;=설정!$B$19)</f>
        <v/>
      </c>
      <c r="T603">
        <f>AND(Q603,R603,S603)</f>
        <v/>
      </c>
      <c r="U603">
        <f>IF(T603,IF(AND(설정!$A$54&lt;&gt;"",ISNUMBER(SEARCH(설정!$A$54,K603))),설정!$B$54,IF(AND(설정!$A$55&lt;&gt;"",ISNUMBER(SEARCH(설정!$A$55,K603))),설정!$B$55,IF(AND(설정!$A$56&lt;&gt;"",ISNUMBER(SEARCH(설정!$A$56,K603))),설정!$B$56,IF(AND(설정!$A$57&lt;&gt;"",ISNUMBER(SEARCH(설정!$A$57,K603))),설정!$B$57,IF(AND(설정!$A$58&lt;&gt;"",ISNUMBER(SEARCH(설정!$A$58,K603))),설정!$B$58,IF(AND(설정!$A$59&lt;&gt;"",ISNUMBER(SEARCH(설정!$A$59,K603))),설정!$B$59,IF(AND(설정!$A$60&lt;&gt;"",ISNUMBER(SEARCH(설정!$A$60,K603))),설정!$B$60,IF(AND(설정!$A$61&lt;&gt;"",ISNUMBER(SEARCH(설정!$A$61,K603))),설정!$B$61,IF(M603="","설계사","시공사"))))))))),"")</f>
        <v/>
      </c>
      <c r="V603">
        <f>SUBSTITUTE(SUBSTITUTE(SUBSTITUTE(SUBSTITUTE(G603,"(주)",""),"㈜",""),"주식회사","")," ","")</f>
        <v/>
      </c>
      <c r="W603">
        <f>IF(AND(T603,V603&lt;&gt;""),IF(COUNTIFS(V$2:V603,V603,T$2:T603,TRUE)=1,MAX(W$1:W602)+1,""),"")</f>
        <v/>
      </c>
      <c r="X603">
        <f>IF(설정!$C$14="","",IFERROR(INDEX('1.산군_붙여넣기'!$A$1:$AZ$1001,ROW(),설정!$C$14)&amp;"",""))</f>
        <v/>
      </c>
      <c r="Y603">
        <f>IF(설정!$C$15="","",IFERROR(INDEX('1.산군_붙여넣기'!$A$1:$AZ$1001,ROW(),설정!$C$15)&amp;"",""))</f>
        <v/>
      </c>
      <c r="Z603">
        <f>IF(T603,V603&amp;"|"&amp;U603,"")</f>
        <v/>
      </c>
      <c r="AA603">
        <f>IF(NOT(Q603),"",IF(NOT(AND(R603,S603)),"✕",IF(OR(OR(AND(L603&lt;&gt;"",M603&lt;&gt;"",N(M603)-N(L603)&gt;설정!$B$27),AND(L603&lt;&gt;"",M603="",설정!$B$24-N(L603)&gt;설정!$B$27)),AND(D603&lt;&gt;"",D603&lt;설정!$B$26)),"△","★")))</f>
        <v/>
      </c>
      <c r="AB603">
        <f>IF(NOT(T603),"",IF(U603="설계사",설정!$B$31,IF(U603="시공사",IF(OR(M603="",설정!$B$24-N(M603)&lt;=설정!$B$28*30.4),설정!$B$32,설정!$B$33),설정!$B$34))+IF(AA603="★",설정!$B$35,0))</f>
        <v/>
      </c>
      <c r="AC603">
        <f>SUBSTITUTE(SUBSTITUTE(SUBSTITUTE(SUBSTITUTE(H603,"(주)",""),"㈜",""),"주식회사","")," ","")</f>
        <v/>
      </c>
      <c r="AD603">
        <f>IF(AND(T603,AC603&lt;&gt;""),IF(COUNTIFS(AC$2:AC603,AC603,T$2:T603,TRUE)=1,MAX(AD$1:AD602)+1,""),"")</f>
        <v/>
      </c>
    </row>
    <row r="604">
      <c r="A604">
        <f>ROW()</f>
        <v/>
      </c>
      <c r="B604">
        <f>IF(설정!$C$4="","",IFERROR(INDEX('1.산군_붙여넣기'!$A$1:$AZ$1001,ROW(),설정!$C$4)&amp;"",""))</f>
        <v/>
      </c>
      <c r="C604">
        <f>IF(설정!$C$5="","",IFERROR(INDEX('1.산군_붙여넣기'!$A$1:$AZ$1001,ROW(),설정!$C$5)&amp;"",""))</f>
        <v/>
      </c>
      <c r="D604" s="5">
        <f>IFERROR(VALUE(SUBSTITUTE(SUBSTITUTE(SUBSTITUTE(IF(설정!$C$6="","",IFERROR(INDEX('1.산군_붙여넣기'!$A$1:$AZ$1001,ROW(),설정!$C$6)&amp;"","")),",",""),"㎡",""),"m2","")),"")</f>
        <v/>
      </c>
      <c r="E604">
        <f>IF(설정!$C$7="","",IFERROR(INDEX('1.산군_붙여넣기'!$A$1:$AZ$1001,ROW(),설정!$C$7)&amp;"",""))</f>
        <v/>
      </c>
      <c r="F604">
        <f>IF(설정!$C$8="","",IFERROR(INDEX('1.산군_붙여넣기'!$A$1:$AZ$1001,ROW(),설정!$C$8)&amp;"",""))</f>
        <v/>
      </c>
      <c r="G604">
        <f>IF(설정!$C$9="","",IFERROR(INDEX('1.산군_붙여넣기'!$A$1:$AZ$1001,ROW(),설정!$C$9)&amp;"",""))</f>
        <v/>
      </c>
      <c r="H604">
        <f>IF(설정!$C$10="","",IFERROR(INDEX('1.산군_붙여넣기'!$A$1:$AZ$1001,ROW(),설정!$C$10)&amp;"",""))</f>
        <v/>
      </c>
      <c r="I604">
        <f>IF(설정!$C$11="","",IFERROR(INDEX('1.산군_붙여넣기'!$A$1:$AZ$1001,ROW(),설정!$C$11)&amp;"",""))</f>
        <v/>
      </c>
      <c r="J604">
        <f>IF(설정!$C$12="","",IFERROR(INDEX('1.산군_붙여넣기'!$A$1:$AZ$1001,ROW(),설정!$C$12)&amp;"",""))</f>
        <v/>
      </c>
      <c r="K604">
        <f>IF(설정!$C$13="","",IFERROR(INDEX('1.산군_붙여넣기'!$A$1:$AZ$1001,ROW(),설정!$C$13)&amp;"",""))</f>
        <v/>
      </c>
      <c r="L604" s="7">
        <f>IF(X604="","",IF(AND(LEN(X604)=8,ISNUMBER(X604*1)),DATE(LEFT(X604,4),MID(X604,5,2),RIGHT(X604,2)),IFERROR(DATEVALUE(SUBSTITUTE(SUBSTITUTE(X604,".","-"),"/","-")),IFERROR(X604*1,""))))</f>
        <v/>
      </c>
      <c r="M604" s="7">
        <f>IF(Y604="","",IF(AND(LEN(Y604)=8,ISNUMBER(Y604*1)),DATE(LEFT(Y604,4),MID(Y604,5,2),RIGHT(Y604,2)),IFERROR(DATEVALUE(SUBSTITUTE(SUBSTITUTE(Y604,".","-"),"/","-")),IFERROR(Y604*1,""))))</f>
        <v/>
      </c>
      <c r="N604">
        <f>IFERROR(LEFT(B604,FIND(" ",B604)-1),B604)</f>
        <v/>
      </c>
      <c r="O604">
        <f>AND(B604&lt;&gt;"",B604&lt;&gt;설정!$B$4,C604&lt;&gt;설정!$B$5)</f>
        <v/>
      </c>
      <c r="P604">
        <f>IF(O604,B604&amp;"|"&amp;C604,"")</f>
        <v/>
      </c>
      <c r="Q604">
        <f>AND(O604,COUNTIF(P605:P$1002,P604)=0)</f>
        <v/>
      </c>
      <c r="R604">
        <f>OR(AND(설정!$A$42&lt;&gt;"",ISNUMBER(SEARCH(설정!$A$42,E604&amp;" "&amp;C604))),AND(설정!$A$43&lt;&gt;"",ISNUMBER(SEARCH(설정!$A$43,E604&amp;" "&amp;C604))),AND(설정!$A$44&lt;&gt;"",ISNUMBER(SEARCH(설정!$A$44,E604&amp;" "&amp;C604))),AND(설정!$A$45&lt;&gt;"",ISNUMBER(SEARCH(설정!$A$45,E604&amp;" "&amp;C604))),AND(설정!$A$46&lt;&gt;"",ISNUMBER(SEARCH(설정!$A$46,E604&amp;" "&amp;C604))),AND(설정!$A$47&lt;&gt;"",ISNUMBER(SEARCH(설정!$A$47,E604&amp;" "&amp;C604))),AND(설정!$A$48&lt;&gt;"",ISNUMBER(SEARCH(설정!$A$48,E604&amp;" "&amp;C604))),AND(설정!$A$49&lt;&gt;"",ISNUMBER(SEARCH(설정!$A$49,E604&amp;" "&amp;C604))),AND(설정!$A$50&lt;&gt;"",ISNUMBER(SEARCH(설정!$A$50,E604&amp;" "&amp;C604))),AND(설정!$A$51&lt;&gt;"",ISNUMBER(SEARCH(설정!$A$51,E604&amp;" "&amp;C604))))</f>
        <v/>
      </c>
      <c r="S604">
        <f>OR(D604="",D604&gt;=설정!$B$19)</f>
        <v/>
      </c>
      <c r="T604">
        <f>AND(Q604,R604,S604)</f>
        <v/>
      </c>
      <c r="U604">
        <f>IF(T604,IF(AND(설정!$A$54&lt;&gt;"",ISNUMBER(SEARCH(설정!$A$54,K604))),설정!$B$54,IF(AND(설정!$A$55&lt;&gt;"",ISNUMBER(SEARCH(설정!$A$55,K604))),설정!$B$55,IF(AND(설정!$A$56&lt;&gt;"",ISNUMBER(SEARCH(설정!$A$56,K604))),설정!$B$56,IF(AND(설정!$A$57&lt;&gt;"",ISNUMBER(SEARCH(설정!$A$57,K604))),설정!$B$57,IF(AND(설정!$A$58&lt;&gt;"",ISNUMBER(SEARCH(설정!$A$58,K604))),설정!$B$58,IF(AND(설정!$A$59&lt;&gt;"",ISNUMBER(SEARCH(설정!$A$59,K604))),설정!$B$59,IF(AND(설정!$A$60&lt;&gt;"",ISNUMBER(SEARCH(설정!$A$60,K604))),설정!$B$60,IF(AND(설정!$A$61&lt;&gt;"",ISNUMBER(SEARCH(설정!$A$61,K604))),설정!$B$61,IF(M604="","설계사","시공사"))))))))),"")</f>
        <v/>
      </c>
      <c r="V604">
        <f>SUBSTITUTE(SUBSTITUTE(SUBSTITUTE(SUBSTITUTE(G604,"(주)",""),"㈜",""),"주식회사","")," ","")</f>
        <v/>
      </c>
      <c r="W604">
        <f>IF(AND(T604,V604&lt;&gt;""),IF(COUNTIFS(V$2:V604,V604,T$2:T604,TRUE)=1,MAX(W$1:W603)+1,""),"")</f>
        <v/>
      </c>
      <c r="X604">
        <f>IF(설정!$C$14="","",IFERROR(INDEX('1.산군_붙여넣기'!$A$1:$AZ$1001,ROW(),설정!$C$14)&amp;"",""))</f>
        <v/>
      </c>
      <c r="Y604">
        <f>IF(설정!$C$15="","",IFERROR(INDEX('1.산군_붙여넣기'!$A$1:$AZ$1001,ROW(),설정!$C$15)&amp;"",""))</f>
        <v/>
      </c>
      <c r="Z604">
        <f>IF(T604,V604&amp;"|"&amp;U604,"")</f>
        <v/>
      </c>
      <c r="AA604">
        <f>IF(NOT(Q604),"",IF(NOT(AND(R604,S604)),"✕",IF(OR(OR(AND(L604&lt;&gt;"",M604&lt;&gt;"",N(M604)-N(L604)&gt;설정!$B$27),AND(L604&lt;&gt;"",M604="",설정!$B$24-N(L604)&gt;설정!$B$27)),AND(D604&lt;&gt;"",D604&lt;설정!$B$26)),"△","★")))</f>
        <v/>
      </c>
      <c r="AB604">
        <f>IF(NOT(T604),"",IF(U604="설계사",설정!$B$31,IF(U604="시공사",IF(OR(M604="",설정!$B$24-N(M604)&lt;=설정!$B$28*30.4),설정!$B$32,설정!$B$33),설정!$B$34))+IF(AA604="★",설정!$B$35,0))</f>
        <v/>
      </c>
      <c r="AC604">
        <f>SUBSTITUTE(SUBSTITUTE(SUBSTITUTE(SUBSTITUTE(H604,"(주)",""),"㈜",""),"주식회사","")," ","")</f>
        <v/>
      </c>
      <c r="AD604">
        <f>IF(AND(T604,AC604&lt;&gt;""),IF(COUNTIFS(AC$2:AC604,AC604,T$2:T604,TRUE)=1,MAX(AD$1:AD603)+1,""),"")</f>
        <v/>
      </c>
    </row>
    <row r="605">
      <c r="A605">
        <f>ROW()</f>
        <v/>
      </c>
      <c r="B605">
        <f>IF(설정!$C$4="","",IFERROR(INDEX('1.산군_붙여넣기'!$A$1:$AZ$1001,ROW(),설정!$C$4)&amp;"",""))</f>
        <v/>
      </c>
      <c r="C605">
        <f>IF(설정!$C$5="","",IFERROR(INDEX('1.산군_붙여넣기'!$A$1:$AZ$1001,ROW(),설정!$C$5)&amp;"",""))</f>
        <v/>
      </c>
      <c r="D605" s="5">
        <f>IFERROR(VALUE(SUBSTITUTE(SUBSTITUTE(SUBSTITUTE(IF(설정!$C$6="","",IFERROR(INDEX('1.산군_붙여넣기'!$A$1:$AZ$1001,ROW(),설정!$C$6)&amp;"","")),",",""),"㎡",""),"m2","")),"")</f>
        <v/>
      </c>
      <c r="E605">
        <f>IF(설정!$C$7="","",IFERROR(INDEX('1.산군_붙여넣기'!$A$1:$AZ$1001,ROW(),설정!$C$7)&amp;"",""))</f>
        <v/>
      </c>
      <c r="F605">
        <f>IF(설정!$C$8="","",IFERROR(INDEX('1.산군_붙여넣기'!$A$1:$AZ$1001,ROW(),설정!$C$8)&amp;"",""))</f>
        <v/>
      </c>
      <c r="G605">
        <f>IF(설정!$C$9="","",IFERROR(INDEX('1.산군_붙여넣기'!$A$1:$AZ$1001,ROW(),설정!$C$9)&amp;"",""))</f>
        <v/>
      </c>
      <c r="H605">
        <f>IF(설정!$C$10="","",IFERROR(INDEX('1.산군_붙여넣기'!$A$1:$AZ$1001,ROW(),설정!$C$10)&amp;"",""))</f>
        <v/>
      </c>
      <c r="I605">
        <f>IF(설정!$C$11="","",IFERROR(INDEX('1.산군_붙여넣기'!$A$1:$AZ$1001,ROW(),설정!$C$11)&amp;"",""))</f>
        <v/>
      </c>
      <c r="J605">
        <f>IF(설정!$C$12="","",IFERROR(INDEX('1.산군_붙여넣기'!$A$1:$AZ$1001,ROW(),설정!$C$12)&amp;"",""))</f>
        <v/>
      </c>
      <c r="K605">
        <f>IF(설정!$C$13="","",IFERROR(INDEX('1.산군_붙여넣기'!$A$1:$AZ$1001,ROW(),설정!$C$13)&amp;"",""))</f>
        <v/>
      </c>
      <c r="L605" s="7">
        <f>IF(X605="","",IF(AND(LEN(X605)=8,ISNUMBER(X605*1)),DATE(LEFT(X605,4),MID(X605,5,2),RIGHT(X605,2)),IFERROR(DATEVALUE(SUBSTITUTE(SUBSTITUTE(X605,".","-"),"/","-")),IFERROR(X605*1,""))))</f>
        <v/>
      </c>
      <c r="M605" s="7">
        <f>IF(Y605="","",IF(AND(LEN(Y605)=8,ISNUMBER(Y605*1)),DATE(LEFT(Y605,4),MID(Y605,5,2),RIGHT(Y605,2)),IFERROR(DATEVALUE(SUBSTITUTE(SUBSTITUTE(Y605,".","-"),"/","-")),IFERROR(Y605*1,""))))</f>
        <v/>
      </c>
      <c r="N605">
        <f>IFERROR(LEFT(B605,FIND(" ",B605)-1),B605)</f>
        <v/>
      </c>
      <c r="O605">
        <f>AND(B605&lt;&gt;"",B605&lt;&gt;설정!$B$4,C605&lt;&gt;설정!$B$5)</f>
        <v/>
      </c>
      <c r="P605">
        <f>IF(O605,B605&amp;"|"&amp;C605,"")</f>
        <v/>
      </c>
      <c r="Q605">
        <f>AND(O605,COUNTIF(P606:P$1002,P605)=0)</f>
        <v/>
      </c>
      <c r="R605">
        <f>OR(AND(설정!$A$42&lt;&gt;"",ISNUMBER(SEARCH(설정!$A$42,E605&amp;" "&amp;C605))),AND(설정!$A$43&lt;&gt;"",ISNUMBER(SEARCH(설정!$A$43,E605&amp;" "&amp;C605))),AND(설정!$A$44&lt;&gt;"",ISNUMBER(SEARCH(설정!$A$44,E605&amp;" "&amp;C605))),AND(설정!$A$45&lt;&gt;"",ISNUMBER(SEARCH(설정!$A$45,E605&amp;" "&amp;C605))),AND(설정!$A$46&lt;&gt;"",ISNUMBER(SEARCH(설정!$A$46,E605&amp;" "&amp;C605))),AND(설정!$A$47&lt;&gt;"",ISNUMBER(SEARCH(설정!$A$47,E605&amp;" "&amp;C605))),AND(설정!$A$48&lt;&gt;"",ISNUMBER(SEARCH(설정!$A$48,E605&amp;" "&amp;C605))),AND(설정!$A$49&lt;&gt;"",ISNUMBER(SEARCH(설정!$A$49,E605&amp;" "&amp;C605))),AND(설정!$A$50&lt;&gt;"",ISNUMBER(SEARCH(설정!$A$50,E605&amp;" "&amp;C605))),AND(설정!$A$51&lt;&gt;"",ISNUMBER(SEARCH(설정!$A$51,E605&amp;" "&amp;C605))))</f>
        <v/>
      </c>
      <c r="S605">
        <f>OR(D605="",D605&gt;=설정!$B$19)</f>
        <v/>
      </c>
      <c r="T605">
        <f>AND(Q605,R605,S605)</f>
        <v/>
      </c>
      <c r="U605">
        <f>IF(T605,IF(AND(설정!$A$54&lt;&gt;"",ISNUMBER(SEARCH(설정!$A$54,K605))),설정!$B$54,IF(AND(설정!$A$55&lt;&gt;"",ISNUMBER(SEARCH(설정!$A$55,K605))),설정!$B$55,IF(AND(설정!$A$56&lt;&gt;"",ISNUMBER(SEARCH(설정!$A$56,K605))),설정!$B$56,IF(AND(설정!$A$57&lt;&gt;"",ISNUMBER(SEARCH(설정!$A$57,K605))),설정!$B$57,IF(AND(설정!$A$58&lt;&gt;"",ISNUMBER(SEARCH(설정!$A$58,K605))),설정!$B$58,IF(AND(설정!$A$59&lt;&gt;"",ISNUMBER(SEARCH(설정!$A$59,K605))),설정!$B$59,IF(AND(설정!$A$60&lt;&gt;"",ISNUMBER(SEARCH(설정!$A$60,K605))),설정!$B$60,IF(AND(설정!$A$61&lt;&gt;"",ISNUMBER(SEARCH(설정!$A$61,K605))),설정!$B$61,IF(M605="","설계사","시공사"))))))))),"")</f>
        <v/>
      </c>
      <c r="V605">
        <f>SUBSTITUTE(SUBSTITUTE(SUBSTITUTE(SUBSTITUTE(G605,"(주)",""),"㈜",""),"주식회사","")," ","")</f>
        <v/>
      </c>
      <c r="W605">
        <f>IF(AND(T605,V605&lt;&gt;""),IF(COUNTIFS(V$2:V605,V605,T$2:T605,TRUE)=1,MAX(W$1:W604)+1,""),"")</f>
        <v/>
      </c>
      <c r="X605">
        <f>IF(설정!$C$14="","",IFERROR(INDEX('1.산군_붙여넣기'!$A$1:$AZ$1001,ROW(),설정!$C$14)&amp;"",""))</f>
        <v/>
      </c>
      <c r="Y605">
        <f>IF(설정!$C$15="","",IFERROR(INDEX('1.산군_붙여넣기'!$A$1:$AZ$1001,ROW(),설정!$C$15)&amp;"",""))</f>
        <v/>
      </c>
      <c r="Z605">
        <f>IF(T605,V605&amp;"|"&amp;U605,"")</f>
        <v/>
      </c>
      <c r="AA605">
        <f>IF(NOT(Q605),"",IF(NOT(AND(R605,S605)),"✕",IF(OR(OR(AND(L605&lt;&gt;"",M605&lt;&gt;"",N(M605)-N(L605)&gt;설정!$B$27),AND(L605&lt;&gt;"",M605="",설정!$B$24-N(L605)&gt;설정!$B$27)),AND(D605&lt;&gt;"",D605&lt;설정!$B$26)),"△","★")))</f>
        <v/>
      </c>
      <c r="AB605">
        <f>IF(NOT(T605),"",IF(U605="설계사",설정!$B$31,IF(U605="시공사",IF(OR(M605="",설정!$B$24-N(M605)&lt;=설정!$B$28*30.4),설정!$B$32,설정!$B$33),설정!$B$34))+IF(AA605="★",설정!$B$35,0))</f>
        <v/>
      </c>
      <c r="AC605">
        <f>SUBSTITUTE(SUBSTITUTE(SUBSTITUTE(SUBSTITUTE(H605,"(주)",""),"㈜",""),"주식회사","")," ","")</f>
        <v/>
      </c>
      <c r="AD605">
        <f>IF(AND(T605,AC605&lt;&gt;""),IF(COUNTIFS(AC$2:AC605,AC605,T$2:T605,TRUE)=1,MAX(AD$1:AD604)+1,""),"")</f>
        <v/>
      </c>
    </row>
    <row r="606">
      <c r="A606">
        <f>ROW()</f>
        <v/>
      </c>
      <c r="B606">
        <f>IF(설정!$C$4="","",IFERROR(INDEX('1.산군_붙여넣기'!$A$1:$AZ$1001,ROW(),설정!$C$4)&amp;"",""))</f>
        <v/>
      </c>
      <c r="C606">
        <f>IF(설정!$C$5="","",IFERROR(INDEX('1.산군_붙여넣기'!$A$1:$AZ$1001,ROW(),설정!$C$5)&amp;"",""))</f>
        <v/>
      </c>
      <c r="D606" s="5">
        <f>IFERROR(VALUE(SUBSTITUTE(SUBSTITUTE(SUBSTITUTE(IF(설정!$C$6="","",IFERROR(INDEX('1.산군_붙여넣기'!$A$1:$AZ$1001,ROW(),설정!$C$6)&amp;"","")),",",""),"㎡",""),"m2","")),"")</f>
        <v/>
      </c>
      <c r="E606">
        <f>IF(설정!$C$7="","",IFERROR(INDEX('1.산군_붙여넣기'!$A$1:$AZ$1001,ROW(),설정!$C$7)&amp;"",""))</f>
        <v/>
      </c>
      <c r="F606">
        <f>IF(설정!$C$8="","",IFERROR(INDEX('1.산군_붙여넣기'!$A$1:$AZ$1001,ROW(),설정!$C$8)&amp;"",""))</f>
        <v/>
      </c>
      <c r="G606">
        <f>IF(설정!$C$9="","",IFERROR(INDEX('1.산군_붙여넣기'!$A$1:$AZ$1001,ROW(),설정!$C$9)&amp;"",""))</f>
        <v/>
      </c>
      <c r="H606">
        <f>IF(설정!$C$10="","",IFERROR(INDEX('1.산군_붙여넣기'!$A$1:$AZ$1001,ROW(),설정!$C$10)&amp;"",""))</f>
        <v/>
      </c>
      <c r="I606">
        <f>IF(설정!$C$11="","",IFERROR(INDEX('1.산군_붙여넣기'!$A$1:$AZ$1001,ROW(),설정!$C$11)&amp;"",""))</f>
        <v/>
      </c>
      <c r="J606">
        <f>IF(설정!$C$12="","",IFERROR(INDEX('1.산군_붙여넣기'!$A$1:$AZ$1001,ROW(),설정!$C$12)&amp;"",""))</f>
        <v/>
      </c>
      <c r="K606">
        <f>IF(설정!$C$13="","",IFERROR(INDEX('1.산군_붙여넣기'!$A$1:$AZ$1001,ROW(),설정!$C$13)&amp;"",""))</f>
        <v/>
      </c>
      <c r="L606" s="7">
        <f>IF(X606="","",IF(AND(LEN(X606)=8,ISNUMBER(X606*1)),DATE(LEFT(X606,4),MID(X606,5,2),RIGHT(X606,2)),IFERROR(DATEVALUE(SUBSTITUTE(SUBSTITUTE(X606,".","-"),"/","-")),IFERROR(X606*1,""))))</f>
        <v/>
      </c>
      <c r="M606" s="7">
        <f>IF(Y606="","",IF(AND(LEN(Y606)=8,ISNUMBER(Y606*1)),DATE(LEFT(Y606,4),MID(Y606,5,2),RIGHT(Y606,2)),IFERROR(DATEVALUE(SUBSTITUTE(SUBSTITUTE(Y606,".","-"),"/","-")),IFERROR(Y606*1,""))))</f>
        <v/>
      </c>
      <c r="N606">
        <f>IFERROR(LEFT(B606,FIND(" ",B606)-1),B606)</f>
        <v/>
      </c>
      <c r="O606">
        <f>AND(B606&lt;&gt;"",B606&lt;&gt;설정!$B$4,C606&lt;&gt;설정!$B$5)</f>
        <v/>
      </c>
      <c r="P606">
        <f>IF(O606,B606&amp;"|"&amp;C606,"")</f>
        <v/>
      </c>
      <c r="Q606">
        <f>AND(O606,COUNTIF(P607:P$1002,P606)=0)</f>
        <v/>
      </c>
      <c r="R606">
        <f>OR(AND(설정!$A$42&lt;&gt;"",ISNUMBER(SEARCH(설정!$A$42,E606&amp;" "&amp;C606))),AND(설정!$A$43&lt;&gt;"",ISNUMBER(SEARCH(설정!$A$43,E606&amp;" "&amp;C606))),AND(설정!$A$44&lt;&gt;"",ISNUMBER(SEARCH(설정!$A$44,E606&amp;" "&amp;C606))),AND(설정!$A$45&lt;&gt;"",ISNUMBER(SEARCH(설정!$A$45,E606&amp;" "&amp;C606))),AND(설정!$A$46&lt;&gt;"",ISNUMBER(SEARCH(설정!$A$46,E606&amp;" "&amp;C606))),AND(설정!$A$47&lt;&gt;"",ISNUMBER(SEARCH(설정!$A$47,E606&amp;" "&amp;C606))),AND(설정!$A$48&lt;&gt;"",ISNUMBER(SEARCH(설정!$A$48,E606&amp;" "&amp;C606))),AND(설정!$A$49&lt;&gt;"",ISNUMBER(SEARCH(설정!$A$49,E606&amp;" "&amp;C606))),AND(설정!$A$50&lt;&gt;"",ISNUMBER(SEARCH(설정!$A$50,E606&amp;" "&amp;C606))),AND(설정!$A$51&lt;&gt;"",ISNUMBER(SEARCH(설정!$A$51,E606&amp;" "&amp;C606))))</f>
        <v/>
      </c>
      <c r="S606">
        <f>OR(D606="",D606&gt;=설정!$B$19)</f>
        <v/>
      </c>
      <c r="T606">
        <f>AND(Q606,R606,S606)</f>
        <v/>
      </c>
      <c r="U606">
        <f>IF(T606,IF(AND(설정!$A$54&lt;&gt;"",ISNUMBER(SEARCH(설정!$A$54,K606))),설정!$B$54,IF(AND(설정!$A$55&lt;&gt;"",ISNUMBER(SEARCH(설정!$A$55,K606))),설정!$B$55,IF(AND(설정!$A$56&lt;&gt;"",ISNUMBER(SEARCH(설정!$A$56,K606))),설정!$B$56,IF(AND(설정!$A$57&lt;&gt;"",ISNUMBER(SEARCH(설정!$A$57,K606))),설정!$B$57,IF(AND(설정!$A$58&lt;&gt;"",ISNUMBER(SEARCH(설정!$A$58,K606))),설정!$B$58,IF(AND(설정!$A$59&lt;&gt;"",ISNUMBER(SEARCH(설정!$A$59,K606))),설정!$B$59,IF(AND(설정!$A$60&lt;&gt;"",ISNUMBER(SEARCH(설정!$A$60,K606))),설정!$B$60,IF(AND(설정!$A$61&lt;&gt;"",ISNUMBER(SEARCH(설정!$A$61,K606))),설정!$B$61,IF(M606="","설계사","시공사"))))))))),"")</f>
        <v/>
      </c>
      <c r="V606">
        <f>SUBSTITUTE(SUBSTITUTE(SUBSTITUTE(SUBSTITUTE(G606,"(주)",""),"㈜",""),"주식회사","")," ","")</f>
        <v/>
      </c>
      <c r="W606">
        <f>IF(AND(T606,V606&lt;&gt;""),IF(COUNTIFS(V$2:V606,V606,T$2:T606,TRUE)=1,MAX(W$1:W605)+1,""),"")</f>
        <v/>
      </c>
      <c r="X606">
        <f>IF(설정!$C$14="","",IFERROR(INDEX('1.산군_붙여넣기'!$A$1:$AZ$1001,ROW(),설정!$C$14)&amp;"",""))</f>
        <v/>
      </c>
      <c r="Y606">
        <f>IF(설정!$C$15="","",IFERROR(INDEX('1.산군_붙여넣기'!$A$1:$AZ$1001,ROW(),설정!$C$15)&amp;"",""))</f>
        <v/>
      </c>
      <c r="Z606">
        <f>IF(T606,V606&amp;"|"&amp;U606,"")</f>
        <v/>
      </c>
      <c r="AA606">
        <f>IF(NOT(Q606),"",IF(NOT(AND(R606,S606)),"✕",IF(OR(OR(AND(L606&lt;&gt;"",M606&lt;&gt;"",N(M606)-N(L606)&gt;설정!$B$27),AND(L606&lt;&gt;"",M606="",설정!$B$24-N(L606)&gt;설정!$B$27)),AND(D606&lt;&gt;"",D606&lt;설정!$B$26)),"△","★")))</f>
        <v/>
      </c>
      <c r="AB606">
        <f>IF(NOT(T606),"",IF(U606="설계사",설정!$B$31,IF(U606="시공사",IF(OR(M606="",설정!$B$24-N(M606)&lt;=설정!$B$28*30.4),설정!$B$32,설정!$B$33),설정!$B$34))+IF(AA606="★",설정!$B$35,0))</f>
        <v/>
      </c>
      <c r="AC606">
        <f>SUBSTITUTE(SUBSTITUTE(SUBSTITUTE(SUBSTITUTE(H606,"(주)",""),"㈜",""),"주식회사","")," ","")</f>
        <v/>
      </c>
      <c r="AD606">
        <f>IF(AND(T606,AC606&lt;&gt;""),IF(COUNTIFS(AC$2:AC606,AC606,T$2:T606,TRUE)=1,MAX(AD$1:AD605)+1,""),"")</f>
        <v/>
      </c>
    </row>
    <row r="607">
      <c r="A607">
        <f>ROW()</f>
        <v/>
      </c>
      <c r="B607">
        <f>IF(설정!$C$4="","",IFERROR(INDEX('1.산군_붙여넣기'!$A$1:$AZ$1001,ROW(),설정!$C$4)&amp;"",""))</f>
        <v/>
      </c>
      <c r="C607">
        <f>IF(설정!$C$5="","",IFERROR(INDEX('1.산군_붙여넣기'!$A$1:$AZ$1001,ROW(),설정!$C$5)&amp;"",""))</f>
        <v/>
      </c>
      <c r="D607" s="5">
        <f>IFERROR(VALUE(SUBSTITUTE(SUBSTITUTE(SUBSTITUTE(IF(설정!$C$6="","",IFERROR(INDEX('1.산군_붙여넣기'!$A$1:$AZ$1001,ROW(),설정!$C$6)&amp;"","")),",",""),"㎡",""),"m2","")),"")</f>
        <v/>
      </c>
      <c r="E607">
        <f>IF(설정!$C$7="","",IFERROR(INDEX('1.산군_붙여넣기'!$A$1:$AZ$1001,ROW(),설정!$C$7)&amp;"",""))</f>
        <v/>
      </c>
      <c r="F607">
        <f>IF(설정!$C$8="","",IFERROR(INDEX('1.산군_붙여넣기'!$A$1:$AZ$1001,ROW(),설정!$C$8)&amp;"",""))</f>
        <v/>
      </c>
      <c r="G607">
        <f>IF(설정!$C$9="","",IFERROR(INDEX('1.산군_붙여넣기'!$A$1:$AZ$1001,ROW(),설정!$C$9)&amp;"",""))</f>
        <v/>
      </c>
      <c r="H607">
        <f>IF(설정!$C$10="","",IFERROR(INDEX('1.산군_붙여넣기'!$A$1:$AZ$1001,ROW(),설정!$C$10)&amp;"",""))</f>
        <v/>
      </c>
      <c r="I607">
        <f>IF(설정!$C$11="","",IFERROR(INDEX('1.산군_붙여넣기'!$A$1:$AZ$1001,ROW(),설정!$C$11)&amp;"",""))</f>
        <v/>
      </c>
      <c r="J607">
        <f>IF(설정!$C$12="","",IFERROR(INDEX('1.산군_붙여넣기'!$A$1:$AZ$1001,ROW(),설정!$C$12)&amp;"",""))</f>
        <v/>
      </c>
      <c r="K607">
        <f>IF(설정!$C$13="","",IFERROR(INDEX('1.산군_붙여넣기'!$A$1:$AZ$1001,ROW(),설정!$C$13)&amp;"",""))</f>
        <v/>
      </c>
      <c r="L607" s="7">
        <f>IF(X607="","",IF(AND(LEN(X607)=8,ISNUMBER(X607*1)),DATE(LEFT(X607,4),MID(X607,5,2),RIGHT(X607,2)),IFERROR(DATEVALUE(SUBSTITUTE(SUBSTITUTE(X607,".","-"),"/","-")),IFERROR(X607*1,""))))</f>
        <v/>
      </c>
      <c r="M607" s="7">
        <f>IF(Y607="","",IF(AND(LEN(Y607)=8,ISNUMBER(Y607*1)),DATE(LEFT(Y607,4),MID(Y607,5,2),RIGHT(Y607,2)),IFERROR(DATEVALUE(SUBSTITUTE(SUBSTITUTE(Y607,".","-"),"/","-")),IFERROR(Y607*1,""))))</f>
        <v/>
      </c>
      <c r="N607">
        <f>IFERROR(LEFT(B607,FIND(" ",B607)-1),B607)</f>
        <v/>
      </c>
      <c r="O607">
        <f>AND(B607&lt;&gt;"",B607&lt;&gt;설정!$B$4,C607&lt;&gt;설정!$B$5)</f>
        <v/>
      </c>
      <c r="P607">
        <f>IF(O607,B607&amp;"|"&amp;C607,"")</f>
        <v/>
      </c>
      <c r="Q607">
        <f>AND(O607,COUNTIF(P608:P$1002,P607)=0)</f>
        <v/>
      </c>
      <c r="R607">
        <f>OR(AND(설정!$A$42&lt;&gt;"",ISNUMBER(SEARCH(설정!$A$42,E607&amp;" "&amp;C607))),AND(설정!$A$43&lt;&gt;"",ISNUMBER(SEARCH(설정!$A$43,E607&amp;" "&amp;C607))),AND(설정!$A$44&lt;&gt;"",ISNUMBER(SEARCH(설정!$A$44,E607&amp;" "&amp;C607))),AND(설정!$A$45&lt;&gt;"",ISNUMBER(SEARCH(설정!$A$45,E607&amp;" "&amp;C607))),AND(설정!$A$46&lt;&gt;"",ISNUMBER(SEARCH(설정!$A$46,E607&amp;" "&amp;C607))),AND(설정!$A$47&lt;&gt;"",ISNUMBER(SEARCH(설정!$A$47,E607&amp;" "&amp;C607))),AND(설정!$A$48&lt;&gt;"",ISNUMBER(SEARCH(설정!$A$48,E607&amp;" "&amp;C607))),AND(설정!$A$49&lt;&gt;"",ISNUMBER(SEARCH(설정!$A$49,E607&amp;" "&amp;C607))),AND(설정!$A$50&lt;&gt;"",ISNUMBER(SEARCH(설정!$A$50,E607&amp;" "&amp;C607))),AND(설정!$A$51&lt;&gt;"",ISNUMBER(SEARCH(설정!$A$51,E607&amp;" "&amp;C607))))</f>
        <v/>
      </c>
      <c r="S607">
        <f>OR(D607="",D607&gt;=설정!$B$19)</f>
        <v/>
      </c>
      <c r="T607">
        <f>AND(Q607,R607,S607)</f>
        <v/>
      </c>
      <c r="U607">
        <f>IF(T607,IF(AND(설정!$A$54&lt;&gt;"",ISNUMBER(SEARCH(설정!$A$54,K607))),설정!$B$54,IF(AND(설정!$A$55&lt;&gt;"",ISNUMBER(SEARCH(설정!$A$55,K607))),설정!$B$55,IF(AND(설정!$A$56&lt;&gt;"",ISNUMBER(SEARCH(설정!$A$56,K607))),설정!$B$56,IF(AND(설정!$A$57&lt;&gt;"",ISNUMBER(SEARCH(설정!$A$57,K607))),설정!$B$57,IF(AND(설정!$A$58&lt;&gt;"",ISNUMBER(SEARCH(설정!$A$58,K607))),설정!$B$58,IF(AND(설정!$A$59&lt;&gt;"",ISNUMBER(SEARCH(설정!$A$59,K607))),설정!$B$59,IF(AND(설정!$A$60&lt;&gt;"",ISNUMBER(SEARCH(설정!$A$60,K607))),설정!$B$60,IF(AND(설정!$A$61&lt;&gt;"",ISNUMBER(SEARCH(설정!$A$61,K607))),설정!$B$61,IF(M607="","설계사","시공사"))))))))),"")</f>
        <v/>
      </c>
      <c r="V607">
        <f>SUBSTITUTE(SUBSTITUTE(SUBSTITUTE(SUBSTITUTE(G607,"(주)",""),"㈜",""),"주식회사","")," ","")</f>
        <v/>
      </c>
      <c r="W607">
        <f>IF(AND(T607,V607&lt;&gt;""),IF(COUNTIFS(V$2:V607,V607,T$2:T607,TRUE)=1,MAX(W$1:W606)+1,""),"")</f>
        <v/>
      </c>
      <c r="X607">
        <f>IF(설정!$C$14="","",IFERROR(INDEX('1.산군_붙여넣기'!$A$1:$AZ$1001,ROW(),설정!$C$14)&amp;"",""))</f>
        <v/>
      </c>
      <c r="Y607">
        <f>IF(설정!$C$15="","",IFERROR(INDEX('1.산군_붙여넣기'!$A$1:$AZ$1001,ROW(),설정!$C$15)&amp;"",""))</f>
        <v/>
      </c>
      <c r="Z607">
        <f>IF(T607,V607&amp;"|"&amp;U607,"")</f>
        <v/>
      </c>
      <c r="AA607">
        <f>IF(NOT(Q607),"",IF(NOT(AND(R607,S607)),"✕",IF(OR(OR(AND(L607&lt;&gt;"",M607&lt;&gt;"",N(M607)-N(L607)&gt;설정!$B$27),AND(L607&lt;&gt;"",M607="",설정!$B$24-N(L607)&gt;설정!$B$27)),AND(D607&lt;&gt;"",D607&lt;설정!$B$26)),"△","★")))</f>
        <v/>
      </c>
      <c r="AB607">
        <f>IF(NOT(T607),"",IF(U607="설계사",설정!$B$31,IF(U607="시공사",IF(OR(M607="",설정!$B$24-N(M607)&lt;=설정!$B$28*30.4),설정!$B$32,설정!$B$33),설정!$B$34))+IF(AA607="★",설정!$B$35,0))</f>
        <v/>
      </c>
      <c r="AC607">
        <f>SUBSTITUTE(SUBSTITUTE(SUBSTITUTE(SUBSTITUTE(H607,"(주)",""),"㈜",""),"주식회사","")," ","")</f>
        <v/>
      </c>
      <c r="AD607">
        <f>IF(AND(T607,AC607&lt;&gt;""),IF(COUNTIFS(AC$2:AC607,AC607,T$2:T607,TRUE)=1,MAX(AD$1:AD606)+1,""),"")</f>
        <v/>
      </c>
    </row>
    <row r="608">
      <c r="A608">
        <f>ROW()</f>
        <v/>
      </c>
      <c r="B608">
        <f>IF(설정!$C$4="","",IFERROR(INDEX('1.산군_붙여넣기'!$A$1:$AZ$1001,ROW(),설정!$C$4)&amp;"",""))</f>
        <v/>
      </c>
      <c r="C608">
        <f>IF(설정!$C$5="","",IFERROR(INDEX('1.산군_붙여넣기'!$A$1:$AZ$1001,ROW(),설정!$C$5)&amp;"",""))</f>
        <v/>
      </c>
      <c r="D608" s="5">
        <f>IFERROR(VALUE(SUBSTITUTE(SUBSTITUTE(SUBSTITUTE(IF(설정!$C$6="","",IFERROR(INDEX('1.산군_붙여넣기'!$A$1:$AZ$1001,ROW(),설정!$C$6)&amp;"","")),",",""),"㎡",""),"m2","")),"")</f>
        <v/>
      </c>
      <c r="E608">
        <f>IF(설정!$C$7="","",IFERROR(INDEX('1.산군_붙여넣기'!$A$1:$AZ$1001,ROW(),설정!$C$7)&amp;"",""))</f>
        <v/>
      </c>
      <c r="F608">
        <f>IF(설정!$C$8="","",IFERROR(INDEX('1.산군_붙여넣기'!$A$1:$AZ$1001,ROW(),설정!$C$8)&amp;"",""))</f>
        <v/>
      </c>
      <c r="G608">
        <f>IF(설정!$C$9="","",IFERROR(INDEX('1.산군_붙여넣기'!$A$1:$AZ$1001,ROW(),설정!$C$9)&amp;"",""))</f>
        <v/>
      </c>
      <c r="H608">
        <f>IF(설정!$C$10="","",IFERROR(INDEX('1.산군_붙여넣기'!$A$1:$AZ$1001,ROW(),설정!$C$10)&amp;"",""))</f>
        <v/>
      </c>
      <c r="I608">
        <f>IF(설정!$C$11="","",IFERROR(INDEX('1.산군_붙여넣기'!$A$1:$AZ$1001,ROW(),설정!$C$11)&amp;"",""))</f>
        <v/>
      </c>
      <c r="J608">
        <f>IF(설정!$C$12="","",IFERROR(INDEX('1.산군_붙여넣기'!$A$1:$AZ$1001,ROW(),설정!$C$12)&amp;"",""))</f>
        <v/>
      </c>
      <c r="K608">
        <f>IF(설정!$C$13="","",IFERROR(INDEX('1.산군_붙여넣기'!$A$1:$AZ$1001,ROW(),설정!$C$13)&amp;"",""))</f>
        <v/>
      </c>
      <c r="L608" s="7">
        <f>IF(X608="","",IF(AND(LEN(X608)=8,ISNUMBER(X608*1)),DATE(LEFT(X608,4),MID(X608,5,2),RIGHT(X608,2)),IFERROR(DATEVALUE(SUBSTITUTE(SUBSTITUTE(X608,".","-"),"/","-")),IFERROR(X608*1,""))))</f>
        <v/>
      </c>
      <c r="M608" s="7">
        <f>IF(Y608="","",IF(AND(LEN(Y608)=8,ISNUMBER(Y608*1)),DATE(LEFT(Y608,4),MID(Y608,5,2),RIGHT(Y608,2)),IFERROR(DATEVALUE(SUBSTITUTE(SUBSTITUTE(Y608,".","-"),"/","-")),IFERROR(Y608*1,""))))</f>
        <v/>
      </c>
      <c r="N608">
        <f>IFERROR(LEFT(B608,FIND(" ",B608)-1),B608)</f>
        <v/>
      </c>
      <c r="O608">
        <f>AND(B608&lt;&gt;"",B608&lt;&gt;설정!$B$4,C608&lt;&gt;설정!$B$5)</f>
        <v/>
      </c>
      <c r="P608">
        <f>IF(O608,B608&amp;"|"&amp;C608,"")</f>
        <v/>
      </c>
      <c r="Q608">
        <f>AND(O608,COUNTIF(P609:P$1002,P608)=0)</f>
        <v/>
      </c>
      <c r="R608">
        <f>OR(AND(설정!$A$42&lt;&gt;"",ISNUMBER(SEARCH(설정!$A$42,E608&amp;" "&amp;C608))),AND(설정!$A$43&lt;&gt;"",ISNUMBER(SEARCH(설정!$A$43,E608&amp;" "&amp;C608))),AND(설정!$A$44&lt;&gt;"",ISNUMBER(SEARCH(설정!$A$44,E608&amp;" "&amp;C608))),AND(설정!$A$45&lt;&gt;"",ISNUMBER(SEARCH(설정!$A$45,E608&amp;" "&amp;C608))),AND(설정!$A$46&lt;&gt;"",ISNUMBER(SEARCH(설정!$A$46,E608&amp;" "&amp;C608))),AND(설정!$A$47&lt;&gt;"",ISNUMBER(SEARCH(설정!$A$47,E608&amp;" "&amp;C608))),AND(설정!$A$48&lt;&gt;"",ISNUMBER(SEARCH(설정!$A$48,E608&amp;" "&amp;C608))),AND(설정!$A$49&lt;&gt;"",ISNUMBER(SEARCH(설정!$A$49,E608&amp;" "&amp;C608))),AND(설정!$A$50&lt;&gt;"",ISNUMBER(SEARCH(설정!$A$50,E608&amp;" "&amp;C608))),AND(설정!$A$51&lt;&gt;"",ISNUMBER(SEARCH(설정!$A$51,E608&amp;" "&amp;C608))))</f>
        <v/>
      </c>
      <c r="S608">
        <f>OR(D608="",D608&gt;=설정!$B$19)</f>
        <v/>
      </c>
      <c r="T608">
        <f>AND(Q608,R608,S608)</f>
        <v/>
      </c>
      <c r="U608">
        <f>IF(T608,IF(AND(설정!$A$54&lt;&gt;"",ISNUMBER(SEARCH(설정!$A$54,K608))),설정!$B$54,IF(AND(설정!$A$55&lt;&gt;"",ISNUMBER(SEARCH(설정!$A$55,K608))),설정!$B$55,IF(AND(설정!$A$56&lt;&gt;"",ISNUMBER(SEARCH(설정!$A$56,K608))),설정!$B$56,IF(AND(설정!$A$57&lt;&gt;"",ISNUMBER(SEARCH(설정!$A$57,K608))),설정!$B$57,IF(AND(설정!$A$58&lt;&gt;"",ISNUMBER(SEARCH(설정!$A$58,K608))),설정!$B$58,IF(AND(설정!$A$59&lt;&gt;"",ISNUMBER(SEARCH(설정!$A$59,K608))),설정!$B$59,IF(AND(설정!$A$60&lt;&gt;"",ISNUMBER(SEARCH(설정!$A$60,K608))),설정!$B$60,IF(AND(설정!$A$61&lt;&gt;"",ISNUMBER(SEARCH(설정!$A$61,K608))),설정!$B$61,IF(M608="","설계사","시공사"))))))))),"")</f>
        <v/>
      </c>
      <c r="V608">
        <f>SUBSTITUTE(SUBSTITUTE(SUBSTITUTE(SUBSTITUTE(G608,"(주)",""),"㈜",""),"주식회사","")," ","")</f>
        <v/>
      </c>
      <c r="W608">
        <f>IF(AND(T608,V608&lt;&gt;""),IF(COUNTIFS(V$2:V608,V608,T$2:T608,TRUE)=1,MAX(W$1:W607)+1,""),"")</f>
        <v/>
      </c>
      <c r="X608">
        <f>IF(설정!$C$14="","",IFERROR(INDEX('1.산군_붙여넣기'!$A$1:$AZ$1001,ROW(),설정!$C$14)&amp;"",""))</f>
        <v/>
      </c>
      <c r="Y608">
        <f>IF(설정!$C$15="","",IFERROR(INDEX('1.산군_붙여넣기'!$A$1:$AZ$1001,ROW(),설정!$C$15)&amp;"",""))</f>
        <v/>
      </c>
      <c r="Z608">
        <f>IF(T608,V608&amp;"|"&amp;U608,"")</f>
        <v/>
      </c>
      <c r="AA608">
        <f>IF(NOT(Q608),"",IF(NOT(AND(R608,S608)),"✕",IF(OR(OR(AND(L608&lt;&gt;"",M608&lt;&gt;"",N(M608)-N(L608)&gt;설정!$B$27),AND(L608&lt;&gt;"",M608="",설정!$B$24-N(L608)&gt;설정!$B$27)),AND(D608&lt;&gt;"",D608&lt;설정!$B$26)),"△","★")))</f>
        <v/>
      </c>
      <c r="AB608">
        <f>IF(NOT(T608),"",IF(U608="설계사",설정!$B$31,IF(U608="시공사",IF(OR(M608="",설정!$B$24-N(M608)&lt;=설정!$B$28*30.4),설정!$B$32,설정!$B$33),설정!$B$34))+IF(AA608="★",설정!$B$35,0))</f>
        <v/>
      </c>
      <c r="AC608">
        <f>SUBSTITUTE(SUBSTITUTE(SUBSTITUTE(SUBSTITUTE(H608,"(주)",""),"㈜",""),"주식회사","")," ","")</f>
        <v/>
      </c>
      <c r="AD608">
        <f>IF(AND(T608,AC608&lt;&gt;""),IF(COUNTIFS(AC$2:AC608,AC608,T$2:T608,TRUE)=1,MAX(AD$1:AD607)+1,""),"")</f>
        <v/>
      </c>
    </row>
    <row r="609">
      <c r="A609">
        <f>ROW()</f>
        <v/>
      </c>
      <c r="B609">
        <f>IF(설정!$C$4="","",IFERROR(INDEX('1.산군_붙여넣기'!$A$1:$AZ$1001,ROW(),설정!$C$4)&amp;"",""))</f>
        <v/>
      </c>
      <c r="C609">
        <f>IF(설정!$C$5="","",IFERROR(INDEX('1.산군_붙여넣기'!$A$1:$AZ$1001,ROW(),설정!$C$5)&amp;"",""))</f>
        <v/>
      </c>
      <c r="D609" s="5">
        <f>IFERROR(VALUE(SUBSTITUTE(SUBSTITUTE(SUBSTITUTE(IF(설정!$C$6="","",IFERROR(INDEX('1.산군_붙여넣기'!$A$1:$AZ$1001,ROW(),설정!$C$6)&amp;"","")),",",""),"㎡",""),"m2","")),"")</f>
        <v/>
      </c>
      <c r="E609">
        <f>IF(설정!$C$7="","",IFERROR(INDEX('1.산군_붙여넣기'!$A$1:$AZ$1001,ROW(),설정!$C$7)&amp;"",""))</f>
        <v/>
      </c>
      <c r="F609">
        <f>IF(설정!$C$8="","",IFERROR(INDEX('1.산군_붙여넣기'!$A$1:$AZ$1001,ROW(),설정!$C$8)&amp;"",""))</f>
        <v/>
      </c>
      <c r="G609">
        <f>IF(설정!$C$9="","",IFERROR(INDEX('1.산군_붙여넣기'!$A$1:$AZ$1001,ROW(),설정!$C$9)&amp;"",""))</f>
        <v/>
      </c>
      <c r="H609">
        <f>IF(설정!$C$10="","",IFERROR(INDEX('1.산군_붙여넣기'!$A$1:$AZ$1001,ROW(),설정!$C$10)&amp;"",""))</f>
        <v/>
      </c>
      <c r="I609">
        <f>IF(설정!$C$11="","",IFERROR(INDEX('1.산군_붙여넣기'!$A$1:$AZ$1001,ROW(),설정!$C$11)&amp;"",""))</f>
        <v/>
      </c>
      <c r="J609">
        <f>IF(설정!$C$12="","",IFERROR(INDEX('1.산군_붙여넣기'!$A$1:$AZ$1001,ROW(),설정!$C$12)&amp;"",""))</f>
        <v/>
      </c>
      <c r="K609">
        <f>IF(설정!$C$13="","",IFERROR(INDEX('1.산군_붙여넣기'!$A$1:$AZ$1001,ROW(),설정!$C$13)&amp;"",""))</f>
        <v/>
      </c>
      <c r="L609" s="7">
        <f>IF(X609="","",IF(AND(LEN(X609)=8,ISNUMBER(X609*1)),DATE(LEFT(X609,4),MID(X609,5,2),RIGHT(X609,2)),IFERROR(DATEVALUE(SUBSTITUTE(SUBSTITUTE(X609,".","-"),"/","-")),IFERROR(X609*1,""))))</f>
        <v/>
      </c>
      <c r="M609" s="7">
        <f>IF(Y609="","",IF(AND(LEN(Y609)=8,ISNUMBER(Y609*1)),DATE(LEFT(Y609,4),MID(Y609,5,2),RIGHT(Y609,2)),IFERROR(DATEVALUE(SUBSTITUTE(SUBSTITUTE(Y609,".","-"),"/","-")),IFERROR(Y609*1,""))))</f>
        <v/>
      </c>
      <c r="N609">
        <f>IFERROR(LEFT(B609,FIND(" ",B609)-1),B609)</f>
        <v/>
      </c>
      <c r="O609">
        <f>AND(B609&lt;&gt;"",B609&lt;&gt;설정!$B$4,C609&lt;&gt;설정!$B$5)</f>
        <v/>
      </c>
      <c r="P609">
        <f>IF(O609,B609&amp;"|"&amp;C609,"")</f>
        <v/>
      </c>
      <c r="Q609">
        <f>AND(O609,COUNTIF(P610:P$1002,P609)=0)</f>
        <v/>
      </c>
      <c r="R609">
        <f>OR(AND(설정!$A$42&lt;&gt;"",ISNUMBER(SEARCH(설정!$A$42,E609&amp;" "&amp;C609))),AND(설정!$A$43&lt;&gt;"",ISNUMBER(SEARCH(설정!$A$43,E609&amp;" "&amp;C609))),AND(설정!$A$44&lt;&gt;"",ISNUMBER(SEARCH(설정!$A$44,E609&amp;" "&amp;C609))),AND(설정!$A$45&lt;&gt;"",ISNUMBER(SEARCH(설정!$A$45,E609&amp;" "&amp;C609))),AND(설정!$A$46&lt;&gt;"",ISNUMBER(SEARCH(설정!$A$46,E609&amp;" "&amp;C609))),AND(설정!$A$47&lt;&gt;"",ISNUMBER(SEARCH(설정!$A$47,E609&amp;" "&amp;C609))),AND(설정!$A$48&lt;&gt;"",ISNUMBER(SEARCH(설정!$A$48,E609&amp;" "&amp;C609))),AND(설정!$A$49&lt;&gt;"",ISNUMBER(SEARCH(설정!$A$49,E609&amp;" "&amp;C609))),AND(설정!$A$50&lt;&gt;"",ISNUMBER(SEARCH(설정!$A$50,E609&amp;" "&amp;C609))),AND(설정!$A$51&lt;&gt;"",ISNUMBER(SEARCH(설정!$A$51,E609&amp;" "&amp;C609))))</f>
        <v/>
      </c>
      <c r="S609">
        <f>OR(D609="",D609&gt;=설정!$B$19)</f>
        <v/>
      </c>
      <c r="T609">
        <f>AND(Q609,R609,S609)</f>
        <v/>
      </c>
      <c r="U609">
        <f>IF(T609,IF(AND(설정!$A$54&lt;&gt;"",ISNUMBER(SEARCH(설정!$A$54,K609))),설정!$B$54,IF(AND(설정!$A$55&lt;&gt;"",ISNUMBER(SEARCH(설정!$A$55,K609))),설정!$B$55,IF(AND(설정!$A$56&lt;&gt;"",ISNUMBER(SEARCH(설정!$A$56,K609))),설정!$B$56,IF(AND(설정!$A$57&lt;&gt;"",ISNUMBER(SEARCH(설정!$A$57,K609))),설정!$B$57,IF(AND(설정!$A$58&lt;&gt;"",ISNUMBER(SEARCH(설정!$A$58,K609))),설정!$B$58,IF(AND(설정!$A$59&lt;&gt;"",ISNUMBER(SEARCH(설정!$A$59,K609))),설정!$B$59,IF(AND(설정!$A$60&lt;&gt;"",ISNUMBER(SEARCH(설정!$A$60,K609))),설정!$B$60,IF(AND(설정!$A$61&lt;&gt;"",ISNUMBER(SEARCH(설정!$A$61,K609))),설정!$B$61,IF(M609="","설계사","시공사"))))))))),"")</f>
        <v/>
      </c>
      <c r="V609">
        <f>SUBSTITUTE(SUBSTITUTE(SUBSTITUTE(SUBSTITUTE(G609,"(주)",""),"㈜",""),"주식회사","")," ","")</f>
        <v/>
      </c>
      <c r="W609">
        <f>IF(AND(T609,V609&lt;&gt;""),IF(COUNTIFS(V$2:V609,V609,T$2:T609,TRUE)=1,MAX(W$1:W608)+1,""),"")</f>
        <v/>
      </c>
      <c r="X609">
        <f>IF(설정!$C$14="","",IFERROR(INDEX('1.산군_붙여넣기'!$A$1:$AZ$1001,ROW(),설정!$C$14)&amp;"",""))</f>
        <v/>
      </c>
      <c r="Y609">
        <f>IF(설정!$C$15="","",IFERROR(INDEX('1.산군_붙여넣기'!$A$1:$AZ$1001,ROW(),설정!$C$15)&amp;"",""))</f>
        <v/>
      </c>
      <c r="Z609">
        <f>IF(T609,V609&amp;"|"&amp;U609,"")</f>
        <v/>
      </c>
      <c r="AA609">
        <f>IF(NOT(Q609),"",IF(NOT(AND(R609,S609)),"✕",IF(OR(OR(AND(L609&lt;&gt;"",M609&lt;&gt;"",N(M609)-N(L609)&gt;설정!$B$27),AND(L609&lt;&gt;"",M609="",설정!$B$24-N(L609)&gt;설정!$B$27)),AND(D609&lt;&gt;"",D609&lt;설정!$B$26)),"△","★")))</f>
        <v/>
      </c>
      <c r="AB609">
        <f>IF(NOT(T609),"",IF(U609="설계사",설정!$B$31,IF(U609="시공사",IF(OR(M609="",설정!$B$24-N(M609)&lt;=설정!$B$28*30.4),설정!$B$32,설정!$B$33),설정!$B$34))+IF(AA609="★",설정!$B$35,0))</f>
        <v/>
      </c>
      <c r="AC609">
        <f>SUBSTITUTE(SUBSTITUTE(SUBSTITUTE(SUBSTITUTE(H609,"(주)",""),"㈜",""),"주식회사","")," ","")</f>
        <v/>
      </c>
      <c r="AD609">
        <f>IF(AND(T609,AC609&lt;&gt;""),IF(COUNTIFS(AC$2:AC609,AC609,T$2:T609,TRUE)=1,MAX(AD$1:AD608)+1,""),"")</f>
        <v/>
      </c>
    </row>
    <row r="610">
      <c r="A610">
        <f>ROW()</f>
        <v/>
      </c>
      <c r="B610">
        <f>IF(설정!$C$4="","",IFERROR(INDEX('1.산군_붙여넣기'!$A$1:$AZ$1001,ROW(),설정!$C$4)&amp;"",""))</f>
        <v/>
      </c>
      <c r="C610">
        <f>IF(설정!$C$5="","",IFERROR(INDEX('1.산군_붙여넣기'!$A$1:$AZ$1001,ROW(),설정!$C$5)&amp;"",""))</f>
        <v/>
      </c>
      <c r="D610" s="5">
        <f>IFERROR(VALUE(SUBSTITUTE(SUBSTITUTE(SUBSTITUTE(IF(설정!$C$6="","",IFERROR(INDEX('1.산군_붙여넣기'!$A$1:$AZ$1001,ROW(),설정!$C$6)&amp;"","")),",",""),"㎡",""),"m2","")),"")</f>
        <v/>
      </c>
      <c r="E610">
        <f>IF(설정!$C$7="","",IFERROR(INDEX('1.산군_붙여넣기'!$A$1:$AZ$1001,ROW(),설정!$C$7)&amp;"",""))</f>
        <v/>
      </c>
      <c r="F610">
        <f>IF(설정!$C$8="","",IFERROR(INDEX('1.산군_붙여넣기'!$A$1:$AZ$1001,ROW(),설정!$C$8)&amp;"",""))</f>
        <v/>
      </c>
      <c r="G610">
        <f>IF(설정!$C$9="","",IFERROR(INDEX('1.산군_붙여넣기'!$A$1:$AZ$1001,ROW(),설정!$C$9)&amp;"",""))</f>
        <v/>
      </c>
      <c r="H610">
        <f>IF(설정!$C$10="","",IFERROR(INDEX('1.산군_붙여넣기'!$A$1:$AZ$1001,ROW(),설정!$C$10)&amp;"",""))</f>
        <v/>
      </c>
      <c r="I610">
        <f>IF(설정!$C$11="","",IFERROR(INDEX('1.산군_붙여넣기'!$A$1:$AZ$1001,ROW(),설정!$C$11)&amp;"",""))</f>
        <v/>
      </c>
      <c r="J610">
        <f>IF(설정!$C$12="","",IFERROR(INDEX('1.산군_붙여넣기'!$A$1:$AZ$1001,ROW(),설정!$C$12)&amp;"",""))</f>
        <v/>
      </c>
      <c r="K610">
        <f>IF(설정!$C$13="","",IFERROR(INDEX('1.산군_붙여넣기'!$A$1:$AZ$1001,ROW(),설정!$C$13)&amp;"",""))</f>
        <v/>
      </c>
      <c r="L610" s="7">
        <f>IF(X610="","",IF(AND(LEN(X610)=8,ISNUMBER(X610*1)),DATE(LEFT(X610,4),MID(X610,5,2),RIGHT(X610,2)),IFERROR(DATEVALUE(SUBSTITUTE(SUBSTITUTE(X610,".","-"),"/","-")),IFERROR(X610*1,""))))</f>
        <v/>
      </c>
      <c r="M610" s="7">
        <f>IF(Y610="","",IF(AND(LEN(Y610)=8,ISNUMBER(Y610*1)),DATE(LEFT(Y610,4),MID(Y610,5,2),RIGHT(Y610,2)),IFERROR(DATEVALUE(SUBSTITUTE(SUBSTITUTE(Y610,".","-"),"/","-")),IFERROR(Y610*1,""))))</f>
        <v/>
      </c>
      <c r="N610">
        <f>IFERROR(LEFT(B610,FIND(" ",B610)-1),B610)</f>
        <v/>
      </c>
      <c r="O610">
        <f>AND(B610&lt;&gt;"",B610&lt;&gt;설정!$B$4,C610&lt;&gt;설정!$B$5)</f>
        <v/>
      </c>
      <c r="P610">
        <f>IF(O610,B610&amp;"|"&amp;C610,"")</f>
        <v/>
      </c>
      <c r="Q610">
        <f>AND(O610,COUNTIF(P611:P$1002,P610)=0)</f>
        <v/>
      </c>
      <c r="R610">
        <f>OR(AND(설정!$A$42&lt;&gt;"",ISNUMBER(SEARCH(설정!$A$42,E610&amp;" "&amp;C610))),AND(설정!$A$43&lt;&gt;"",ISNUMBER(SEARCH(설정!$A$43,E610&amp;" "&amp;C610))),AND(설정!$A$44&lt;&gt;"",ISNUMBER(SEARCH(설정!$A$44,E610&amp;" "&amp;C610))),AND(설정!$A$45&lt;&gt;"",ISNUMBER(SEARCH(설정!$A$45,E610&amp;" "&amp;C610))),AND(설정!$A$46&lt;&gt;"",ISNUMBER(SEARCH(설정!$A$46,E610&amp;" "&amp;C610))),AND(설정!$A$47&lt;&gt;"",ISNUMBER(SEARCH(설정!$A$47,E610&amp;" "&amp;C610))),AND(설정!$A$48&lt;&gt;"",ISNUMBER(SEARCH(설정!$A$48,E610&amp;" "&amp;C610))),AND(설정!$A$49&lt;&gt;"",ISNUMBER(SEARCH(설정!$A$49,E610&amp;" "&amp;C610))),AND(설정!$A$50&lt;&gt;"",ISNUMBER(SEARCH(설정!$A$50,E610&amp;" "&amp;C610))),AND(설정!$A$51&lt;&gt;"",ISNUMBER(SEARCH(설정!$A$51,E610&amp;" "&amp;C610))))</f>
        <v/>
      </c>
      <c r="S610">
        <f>OR(D610="",D610&gt;=설정!$B$19)</f>
        <v/>
      </c>
      <c r="T610">
        <f>AND(Q610,R610,S610)</f>
        <v/>
      </c>
      <c r="U610">
        <f>IF(T610,IF(AND(설정!$A$54&lt;&gt;"",ISNUMBER(SEARCH(설정!$A$54,K610))),설정!$B$54,IF(AND(설정!$A$55&lt;&gt;"",ISNUMBER(SEARCH(설정!$A$55,K610))),설정!$B$55,IF(AND(설정!$A$56&lt;&gt;"",ISNUMBER(SEARCH(설정!$A$56,K610))),설정!$B$56,IF(AND(설정!$A$57&lt;&gt;"",ISNUMBER(SEARCH(설정!$A$57,K610))),설정!$B$57,IF(AND(설정!$A$58&lt;&gt;"",ISNUMBER(SEARCH(설정!$A$58,K610))),설정!$B$58,IF(AND(설정!$A$59&lt;&gt;"",ISNUMBER(SEARCH(설정!$A$59,K610))),설정!$B$59,IF(AND(설정!$A$60&lt;&gt;"",ISNUMBER(SEARCH(설정!$A$60,K610))),설정!$B$60,IF(AND(설정!$A$61&lt;&gt;"",ISNUMBER(SEARCH(설정!$A$61,K610))),설정!$B$61,IF(M610="","설계사","시공사"))))))))),"")</f>
        <v/>
      </c>
      <c r="V610">
        <f>SUBSTITUTE(SUBSTITUTE(SUBSTITUTE(SUBSTITUTE(G610,"(주)",""),"㈜",""),"주식회사","")," ","")</f>
        <v/>
      </c>
      <c r="W610">
        <f>IF(AND(T610,V610&lt;&gt;""),IF(COUNTIFS(V$2:V610,V610,T$2:T610,TRUE)=1,MAX(W$1:W609)+1,""),"")</f>
        <v/>
      </c>
      <c r="X610">
        <f>IF(설정!$C$14="","",IFERROR(INDEX('1.산군_붙여넣기'!$A$1:$AZ$1001,ROW(),설정!$C$14)&amp;"",""))</f>
        <v/>
      </c>
      <c r="Y610">
        <f>IF(설정!$C$15="","",IFERROR(INDEX('1.산군_붙여넣기'!$A$1:$AZ$1001,ROW(),설정!$C$15)&amp;"",""))</f>
        <v/>
      </c>
      <c r="Z610">
        <f>IF(T610,V610&amp;"|"&amp;U610,"")</f>
        <v/>
      </c>
      <c r="AA610">
        <f>IF(NOT(Q610),"",IF(NOT(AND(R610,S610)),"✕",IF(OR(OR(AND(L610&lt;&gt;"",M610&lt;&gt;"",N(M610)-N(L610)&gt;설정!$B$27),AND(L610&lt;&gt;"",M610="",설정!$B$24-N(L610)&gt;설정!$B$27)),AND(D610&lt;&gt;"",D610&lt;설정!$B$26)),"△","★")))</f>
        <v/>
      </c>
      <c r="AB610">
        <f>IF(NOT(T610),"",IF(U610="설계사",설정!$B$31,IF(U610="시공사",IF(OR(M610="",설정!$B$24-N(M610)&lt;=설정!$B$28*30.4),설정!$B$32,설정!$B$33),설정!$B$34))+IF(AA610="★",설정!$B$35,0))</f>
        <v/>
      </c>
      <c r="AC610">
        <f>SUBSTITUTE(SUBSTITUTE(SUBSTITUTE(SUBSTITUTE(H610,"(주)",""),"㈜",""),"주식회사","")," ","")</f>
        <v/>
      </c>
      <c r="AD610">
        <f>IF(AND(T610,AC610&lt;&gt;""),IF(COUNTIFS(AC$2:AC610,AC610,T$2:T610,TRUE)=1,MAX(AD$1:AD609)+1,""),"")</f>
        <v/>
      </c>
    </row>
    <row r="611">
      <c r="A611">
        <f>ROW()</f>
        <v/>
      </c>
      <c r="B611">
        <f>IF(설정!$C$4="","",IFERROR(INDEX('1.산군_붙여넣기'!$A$1:$AZ$1001,ROW(),설정!$C$4)&amp;"",""))</f>
        <v/>
      </c>
      <c r="C611">
        <f>IF(설정!$C$5="","",IFERROR(INDEX('1.산군_붙여넣기'!$A$1:$AZ$1001,ROW(),설정!$C$5)&amp;"",""))</f>
        <v/>
      </c>
      <c r="D611" s="5">
        <f>IFERROR(VALUE(SUBSTITUTE(SUBSTITUTE(SUBSTITUTE(IF(설정!$C$6="","",IFERROR(INDEX('1.산군_붙여넣기'!$A$1:$AZ$1001,ROW(),설정!$C$6)&amp;"","")),",",""),"㎡",""),"m2","")),"")</f>
        <v/>
      </c>
      <c r="E611">
        <f>IF(설정!$C$7="","",IFERROR(INDEX('1.산군_붙여넣기'!$A$1:$AZ$1001,ROW(),설정!$C$7)&amp;"",""))</f>
        <v/>
      </c>
      <c r="F611">
        <f>IF(설정!$C$8="","",IFERROR(INDEX('1.산군_붙여넣기'!$A$1:$AZ$1001,ROW(),설정!$C$8)&amp;"",""))</f>
        <v/>
      </c>
      <c r="G611">
        <f>IF(설정!$C$9="","",IFERROR(INDEX('1.산군_붙여넣기'!$A$1:$AZ$1001,ROW(),설정!$C$9)&amp;"",""))</f>
        <v/>
      </c>
      <c r="H611">
        <f>IF(설정!$C$10="","",IFERROR(INDEX('1.산군_붙여넣기'!$A$1:$AZ$1001,ROW(),설정!$C$10)&amp;"",""))</f>
        <v/>
      </c>
      <c r="I611">
        <f>IF(설정!$C$11="","",IFERROR(INDEX('1.산군_붙여넣기'!$A$1:$AZ$1001,ROW(),설정!$C$11)&amp;"",""))</f>
        <v/>
      </c>
      <c r="J611">
        <f>IF(설정!$C$12="","",IFERROR(INDEX('1.산군_붙여넣기'!$A$1:$AZ$1001,ROW(),설정!$C$12)&amp;"",""))</f>
        <v/>
      </c>
      <c r="K611">
        <f>IF(설정!$C$13="","",IFERROR(INDEX('1.산군_붙여넣기'!$A$1:$AZ$1001,ROW(),설정!$C$13)&amp;"",""))</f>
        <v/>
      </c>
      <c r="L611" s="7">
        <f>IF(X611="","",IF(AND(LEN(X611)=8,ISNUMBER(X611*1)),DATE(LEFT(X611,4),MID(X611,5,2),RIGHT(X611,2)),IFERROR(DATEVALUE(SUBSTITUTE(SUBSTITUTE(X611,".","-"),"/","-")),IFERROR(X611*1,""))))</f>
        <v/>
      </c>
      <c r="M611" s="7">
        <f>IF(Y611="","",IF(AND(LEN(Y611)=8,ISNUMBER(Y611*1)),DATE(LEFT(Y611,4),MID(Y611,5,2),RIGHT(Y611,2)),IFERROR(DATEVALUE(SUBSTITUTE(SUBSTITUTE(Y611,".","-"),"/","-")),IFERROR(Y611*1,""))))</f>
        <v/>
      </c>
      <c r="N611">
        <f>IFERROR(LEFT(B611,FIND(" ",B611)-1),B611)</f>
        <v/>
      </c>
      <c r="O611">
        <f>AND(B611&lt;&gt;"",B611&lt;&gt;설정!$B$4,C611&lt;&gt;설정!$B$5)</f>
        <v/>
      </c>
      <c r="P611">
        <f>IF(O611,B611&amp;"|"&amp;C611,"")</f>
        <v/>
      </c>
      <c r="Q611">
        <f>AND(O611,COUNTIF(P612:P$1002,P611)=0)</f>
        <v/>
      </c>
      <c r="R611">
        <f>OR(AND(설정!$A$42&lt;&gt;"",ISNUMBER(SEARCH(설정!$A$42,E611&amp;" "&amp;C611))),AND(설정!$A$43&lt;&gt;"",ISNUMBER(SEARCH(설정!$A$43,E611&amp;" "&amp;C611))),AND(설정!$A$44&lt;&gt;"",ISNUMBER(SEARCH(설정!$A$44,E611&amp;" "&amp;C611))),AND(설정!$A$45&lt;&gt;"",ISNUMBER(SEARCH(설정!$A$45,E611&amp;" "&amp;C611))),AND(설정!$A$46&lt;&gt;"",ISNUMBER(SEARCH(설정!$A$46,E611&amp;" "&amp;C611))),AND(설정!$A$47&lt;&gt;"",ISNUMBER(SEARCH(설정!$A$47,E611&amp;" "&amp;C611))),AND(설정!$A$48&lt;&gt;"",ISNUMBER(SEARCH(설정!$A$48,E611&amp;" "&amp;C611))),AND(설정!$A$49&lt;&gt;"",ISNUMBER(SEARCH(설정!$A$49,E611&amp;" "&amp;C611))),AND(설정!$A$50&lt;&gt;"",ISNUMBER(SEARCH(설정!$A$50,E611&amp;" "&amp;C611))),AND(설정!$A$51&lt;&gt;"",ISNUMBER(SEARCH(설정!$A$51,E611&amp;" "&amp;C611))))</f>
        <v/>
      </c>
      <c r="S611">
        <f>OR(D611="",D611&gt;=설정!$B$19)</f>
        <v/>
      </c>
      <c r="T611">
        <f>AND(Q611,R611,S611)</f>
        <v/>
      </c>
      <c r="U611">
        <f>IF(T611,IF(AND(설정!$A$54&lt;&gt;"",ISNUMBER(SEARCH(설정!$A$54,K611))),설정!$B$54,IF(AND(설정!$A$55&lt;&gt;"",ISNUMBER(SEARCH(설정!$A$55,K611))),설정!$B$55,IF(AND(설정!$A$56&lt;&gt;"",ISNUMBER(SEARCH(설정!$A$56,K611))),설정!$B$56,IF(AND(설정!$A$57&lt;&gt;"",ISNUMBER(SEARCH(설정!$A$57,K611))),설정!$B$57,IF(AND(설정!$A$58&lt;&gt;"",ISNUMBER(SEARCH(설정!$A$58,K611))),설정!$B$58,IF(AND(설정!$A$59&lt;&gt;"",ISNUMBER(SEARCH(설정!$A$59,K611))),설정!$B$59,IF(AND(설정!$A$60&lt;&gt;"",ISNUMBER(SEARCH(설정!$A$60,K611))),설정!$B$60,IF(AND(설정!$A$61&lt;&gt;"",ISNUMBER(SEARCH(설정!$A$61,K611))),설정!$B$61,IF(M611="","설계사","시공사"))))))))),"")</f>
        <v/>
      </c>
      <c r="V611">
        <f>SUBSTITUTE(SUBSTITUTE(SUBSTITUTE(SUBSTITUTE(G611,"(주)",""),"㈜",""),"주식회사","")," ","")</f>
        <v/>
      </c>
      <c r="W611">
        <f>IF(AND(T611,V611&lt;&gt;""),IF(COUNTIFS(V$2:V611,V611,T$2:T611,TRUE)=1,MAX(W$1:W610)+1,""),"")</f>
        <v/>
      </c>
      <c r="X611">
        <f>IF(설정!$C$14="","",IFERROR(INDEX('1.산군_붙여넣기'!$A$1:$AZ$1001,ROW(),설정!$C$14)&amp;"",""))</f>
        <v/>
      </c>
      <c r="Y611">
        <f>IF(설정!$C$15="","",IFERROR(INDEX('1.산군_붙여넣기'!$A$1:$AZ$1001,ROW(),설정!$C$15)&amp;"",""))</f>
        <v/>
      </c>
      <c r="Z611">
        <f>IF(T611,V611&amp;"|"&amp;U611,"")</f>
        <v/>
      </c>
      <c r="AA611">
        <f>IF(NOT(Q611),"",IF(NOT(AND(R611,S611)),"✕",IF(OR(OR(AND(L611&lt;&gt;"",M611&lt;&gt;"",N(M611)-N(L611)&gt;설정!$B$27),AND(L611&lt;&gt;"",M611="",설정!$B$24-N(L611)&gt;설정!$B$27)),AND(D611&lt;&gt;"",D611&lt;설정!$B$26)),"△","★")))</f>
        <v/>
      </c>
      <c r="AB611">
        <f>IF(NOT(T611),"",IF(U611="설계사",설정!$B$31,IF(U611="시공사",IF(OR(M611="",설정!$B$24-N(M611)&lt;=설정!$B$28*30.4),설정!$B$32,설정!$B$33),설정!$B$34))+IF(AA611="★",설정!$B$35,0))</f>
        <v/>
      </c>
      <c r="AC611">
        <f>SUBSTITUTE(SUBSTITUTE(SUBSTITUTE(SUBSTITUTE(H611,"(주)",""),"㈜",""),"주식회사","")," ","")</f>
        <v/>
      </c>
      <c r="AD611">
        <f>IF(AND(T611,AC611&lt;&gt;""),IF(COUNTIFS(AC$2:AC611,AC611,T$2:T611,TRUE)=1,MAX(AD$1:AD610)+1,""),"")</f>
        <v/>
      </c>
    </row>
    <row r="612">
      <c r="A612">
        <f>ROW()</f>
        <v/>
      </c>
      <c r="B612">
        <f>IF(설정!$C$4="","",IFERROR(INDEX('1.산군_붙여넣기'!$A$1:$AZ$1001,ROW(),설정!$C$4)&amp;"",""))</f>
        <v/>
      </c>
      <c r="C612">
        <f>IF(설정!$C$5="","",IFERROR(INDEX('1.산군_붙여넣기'!$A$1:$AZ$1001,ROW(),설정!$C$5)&amp;"",""))</f>
        <v/>
      </c>
      <c r="D612" s="5">
        <f>IFERROR(VALUE(SUBSTITUTE(SUBSTITUTE(SUBSTITUTE(IF(설정!$C$6="","",IFERROR(INDEX('1.산군_붙여넣기'!$A$1:$AZ$1001,ROW(),설정!$C$6)&amp;"","")),",",""),"㎡",""),"m2","")),"")</f>
        <v/>
      </c>
      <c r="E612">
        <f>IF(설정!$C$7="","",IFERROR(INDEX('1.산군_붙여넣기'!$A$1:$AZ$1001,ROW(),설정!$C$7)&amp;"",""))</f>
        <v/>
      </c>
      <c r="F612">
        <f>IF(설정!$C$8="","",IFERROR(INDEX('1.산군_붙여넣기'!$A$1:$AZ$1001,ROW(),설정!$C$8)&amp;"",""))</f>
        <v/>
      </c>
      <c r="G612">
        <f>IF(설정!$C$9="","",IFERROR(INDEX('1.산군_붙여넣기'!$A$1:$AZ$1001,ROW(),설정!$C$9)&amp;"",""))</f>
        <v/>
      </c>
      <c r="H612">
        <f>IF(설정!$C$10="","",IFERROR(INDEX('1.산군_붙여넣기'!$A$1:$AZ$1001,ROW(),설정!$C$10)&amp;"",""))</f>
        <v/>
      </c>
      <c r="I612">
        <f>IF(설정!$C$11="","",IFERROR(INDEX('1.산군_붙여넣기'!$A$1:$AZ$1001,ROW(),설정!$C$11)&amp;"",""))</f>
        <v/>
      </c>
      <c r="J612">
        <f>IF(설정!$C$12="","",IFERROR(INDEX('1.산군_붙여넣기'!$A$1:$AZ$1001,ROW(),설정!$C$12)&amp;"",""))</f>
        <v/>
      </c>
      <c r="K612">
        <f>IF(설정!$C$13="","",IFERROR(INDEX('1.산군_붙여넣기'!$A$1:$AZ$1001,ROW(),설정!$C$13)&amp;"",""))</f>
        <v/>
      </c>
      <c r="L612" s="7">
        <f>IF(X612="","",IF(AND(LEN(X612)=8,ISNUMBER(X612*1)),DATE(LEFT(X612,4),MID(X612,5,2),RIGHT(X612,2)),IFERROR(DATEVALUE(SUBSTITUTE(SUBSTITUTE(X612,".","-"),"/","-")),IFERROR(X612*1,""))))</f>
        <v/>
      </c>
      <c r="M612" s="7">
        <f>IF(Y612="","",IF(AND(LEN(Y612)=8,ISNUMBER(Y612*1)),DATE(LEFT(Y612,4),MID(Y612,5,2),RIGHT(Y612,2)),IFERROR(DATEVALUE(SUBSTITUTE(SUBSTITUTE(Y612,".","-"),"/","-")),IFERROR(Y612*1,""))))</f>
        <v/>
      </c>
      <c r="N612">
        <f>IFERROR(LEFT(B612,FIND(" ",B612)-1),B612)</f>
        <v/>
      </c>
      <c r="O612">
        <f>AND(B612&lt;&gt;"",B612&lt;&gt;설정!$B$4,C612&lt;&gt;설정!$B$5)</f>
        <v/>
      </c>
      <c r="P612">
        <f>IF(O612,B612&amp;"|"&amp;C612,"")</f>
        <v/>
      </c>
      <c r="Q612">
        <f>AND(O612,COUNTIF(P613:P$1002,P612)=0)</f>
        <v/>
      </c>
      <c r="R612">
        <f>OR(AND(설정!$A$42&lt;&gt;"",ISNUMBER(SEARCH(설정!$A$42,E612&amp;" "&amp;C612))),AND(설정!$A$43&lt;&gt;"",ISNUMBER(SEARCH(설정!$A$43,E612&amp;" "&amp;C612))),AND(설정!$A$44&lt;&gt;"",ISNUMBER(SEARCH(설정!$A$44,E612&amp;" "&amp;C612))),AND(설정!$A$45&lt;&gt;"",ISNUMBER(SEARCH(설정!$A$45,E612&amp;" "&amp;C612))),AND(설정!$A$46&lt;&gt;"",ISNUMBER(SEARCH(설정!$A$46,E612&amp;" "&amp;C612))),AND(설정!$A$47&lt;&gt;"",ISNUMBER(SEARCH(설정!$A$47,E612&amp;" "&amp;C612))),AND(설정!$A$48&lt;&gt;"",ISNUMBER(SEARCH(설정!$A$48,E612&amp;" "&amp;C612))),AND(설정!$A$49&lt;&gt;"",ISNUMBER(SEARCH(설정!$A$49,E612&amp;" "&amp;C612))),AND(설정!$A$50&lt;&gt;"",ISNUMBER(SEARCH(설정!$A$50,E612&amp;" "&amp;C612))),AND(설정!$A$51&lt;&gt;"",ISNUMBER(SEARCH(설정!$A$51,E612&amp;" "&amp;C612))))</f>
        <v/>
      </c>
      <c r="S612">
        <f>OR(D612="",D612&gt;=설정!$B$19)</f>
        <v/>
      </c>
      <c r="T612">
        <f>AND(Q612,R612,S612)</f>
        <v/>
      </c>
      <c r="U612">
        <f>IF(T612,IF(AND(설정!$A$54&lt;&gt;"",ISNUMBER(SEARCH(설정!$A$54,K612))),설정!$B$54,IF(AND(설정!$A$55&lt;&gt;"",ISNUMBER(SEARCH(설정!$A$55,K612))),설정!$B$55,IF(AND(설정!$A$56&lt;&gt;"",ISNUMBER(SEARCH(설정!$A$56,K612))),설정!$B$56,IF(AND(설정!$A$57&lt;&gt;"",ISNUMBER(SEARCH(설정!$A$57,K612))),설정!$B$57,IF(AND(설정!$A$58&lt;&gt;"",ISNUMBER(SEARCH(설정!$A$58,K612))),설정!$B$58,IF(AND(설정!$A$59&lt;&gt;"",ISNUMBER(SEARCH(설정!$A$59,K612))),설정!$B$59,IF(AND(설정!$A$60&lt;&gt;"",ISNUMBER(SEARCH(설정!$A$60,K612))),설정!$B$60,IF(AND(설정!$A$61&lt;&gt;"",ISNUMBER(SEARCH(설정!$A$61,K612))),설정!$B$61,IF(M612="","설계사","시공사"))))))))),"")</f>
        <v/>
      </c>
      <c r="V612">
        <f>SUBSTITUTE(SUBSTITUTE(SUBSTITUTE(SUBSTITUTE(G612,"(주)",""),"㈜",""),"주식회사","")," ","")</f>
        <v/>
      </c>
      <c r="W612">
        <f>IF(AND(T612,V612&lt;&gt;""),IF(COUNTIFS(V$2:V612,V612,T$2:T612,TRUE)=1,MAX(W$1:W611)+1,""),"")</f>
        <v/>
      </c>
      <c r="X612">
        <f>IF(설정!$C$14="","",IFERROR(INDEX('1.산군_붙여넣기'!$A$1:$AZ$1001,ROW(),설정!$C$14)&amp;"",""))</f>
        <v/>
      </c>
      <c r="Y612">
        <f>IF(설정!$C$15="","",IFERROR(INDEX('1.산군_붙여넣기'!$A$1:$AZ$1001,ROW(),설정!$C$15)&amp;"",""))</f>
        <v/>
      </c>
      <c r="Z612">
        <f>IF(T612,V612&amp;"|"&amp;U612,"")</f>
        <v/>
      </c>
      <c r="AA612">
        <f>IF(NOT(Q612),"",IF(NOT(AND(R612,S612)),"✕",IF(OR(OR(AND(L612&lt;&gt;"",M612&lt;&gt;"",N(M612)-N(L612)&gt;설정!$B$27),AND(L612&lt;&gt;"",M612="",설정!$B$24-N(L612)&gt;설정!$B$27)),AND(D612&lt;&gt;"",D612&lt;설정!$B$26)),"△","★")))</f>
        <v/>
      </c>
      <c r="AB612">
        <f>IF(NOT(T612),"",IF(U612="설계사",설정!$B$31,IF(U612="시공사",IF(OR(M612="",설정!$B$24-N(M612)&lt;=설정!$B$28*30.4),설정!$B$32,설정!$B$33),설정!$B$34))+IF(AA612="★",설정!$B$35,0))</f>
        <v/>
      </c>
      <c r="AC612">
        <f>SUBSTITUTE(SUBSTITUTE(SUBSTITUTE(SUBSTITUTE(H612,"(주)",""),"㈜",""),"주식회사","")," ","")</f>
        <v/>
      </c>
      <c r="AD612">
        <f>IF(AND(T612,AC612&lt;&gt;""),IF(COUNTIFS(AC$2:AC612,AC612,T$2:T612,TRUE)=1,MAX(AD$1:AD611)+1,""),"")</f>
        <v/>
      </c>
    </row>
    <row r="613">
      <c r="A613">
        <f>ROW()</f>
        <v/>
      </c>
      <c r="B613">
        <f>IF(설정!$C$4="","",IFERROR(INDEX('1.산군_붙여넣기'!$A$1:$AZ$1001,ROW(),설정!$C$4)&amp;"",""))</f>
        <v/>
      </c>
      <c r="C613">
        <f>IF(설정!$C$5="","",IFERROR(INDEX('1.산군_붙여넣기'!$A$1:$AZ$1001,ROW(),설정!$C$5)&amp;"",""))</f>
        <v/>
      </c>
      <c r="D613" s="5">
        <f>IFERROR(VALUE(SUBSTITUTE(SUBSTITUTE(SUBSTITUTE(IF(설정!$C$6="","",IFERROR(INDEX('1.산군_붙여넣기'!$A$1:$AZ$1001,ROW(),설정!$C$6)&amp;"","")),",",""),"㎡",""),"m2","")),"")</f>
        <v/>
      </c>
      <c r="E613">
        <f>IF(설정!$C$7="","",IFERROR(INDEX('1.산군_붙여넣기'!$A$1:$AZ$1001,ROW(),설정!$C$7)&amp;"",""))</f>
        <v/>
      </c>
      <c r="F613">
        <f>IF(설정!$C$8="","",IFERROR(INDEX('1.산군_붙여넣기'!$A$1:$AZ$1001,ROW(),설정!$C$8)&amp;"",""))</f>
        <v/>
      </c>
      <c r="G613">
        <f>IF(설정!$C$9="","",IFERROR(INDEX('1.산군_붙여넣기'!$A$1:$AZ$1001,ROW(),설정!$C$9)&amp;"",""))</f>
        <v/>
      </c>
      <c r="H613">
        <f>IF(설정!$C$10="","",IFERROR(INDEX('1.산군_붙여넣기'!$A$1:$AZ$1001,ROW(),설정!$C$10)&amp;"",""))</f>
        <v/>
      </c>
      <c r="I613">
        <f>IF(설정!$C$11="","",IFERROR(INDEX('1.산군_붙여넣기'!$A$1:$AZ$1001,ROW(),설정!$C$11)&amp;"",""))</f>
        <v/>
      </c>
      <c r="J613">
        <f>IF(설정!$C$12="","",IFERROR(INDEX('1.산군_붙여넣기'!$A$1:$AZ$1001,ROW(),설정!$C$12)&amp;"",""))</f>
        <v/>
      </c>
      <c r="K613">
        <f>IF(설정!$C$13="","",IFERROR(INDEX('1.산군_붙여넣기'!$A$1:$AZ$1001,ROW(),설정!$C$13)&amp;"",""))</f>
        <v/>
      </c>
      <c r="L613" s="7">
        <f>IF(X613="","",IF(AND(LEN(X613)=8,ISNUMBER(X613*1)),DATE(LEFT(X613,4),MID(X613,5,2),RIGHT(X613,2)),IFERROR(DATEVALUE(SUBSTITUTE(SUBSTITUTE(X613,".","-"),"/","-")),IFERROR(X613*1,""))))</f>
        <v/>
      </c>
      <c r="M613" s="7">
        <f>IF(Y613="","",IF(AND(LEN(Y613)=8,ISNUMBER(Y613*1)),DATE(LEFT(Y613,4),MID(Y613,5,2),RIGHT(Y613,2)),IFERROR(DATEVALUE(SUBSTITUTE(SUBSTITUTE(Y613,".","-"),"/","-")),IFERROR(Y613*1,""))))</f>
        <v/>
      </c>
      <c r="N613">
        <f>IFERROR(LEFT(B613,FIND(" ",B613)-1),B613)</f>
        <v/>
      </c>
      <c r="O613">
        <f>AND(B613&lt;&gt;"",B613&lt;&gt;설정!$B$4,C613&lt;&gt;설정!$B$5)</f>
        <v/>
      </c>
      <c r="P613">
        <f>IF(O613,B613&amp;"|"&amp;C613,"")</f>
        <v/>
      </c>
      <c r="Q613">
        <f>AND(O613,COUNTIF(P614:P$1002,P613)=0)</f>
        <v/>
      </c>
      <c r="R613">
        <f>OR(AND(설정!$A$42&lt;&gt;"",ISNUMBER(SEARCH(설정!$A$42,E613&amp;" "&amp;C613))),AND(설정!$A$43&lt;&gt;"",ISNUMBER(SEARCH(설정!$A$43,E613&amp;" "&amp;C613))),AND(설정!$A$44&lt;&gt;"",ISNUMBER(SEARCH(설정!$A$44,E613&amp;" "&amp;C613))),AND(설정!$A$45&lt;&gt;"",ISNUMBER(SEARCH(설정!$A$45,E613&amp;" "&amp;C613))),AND(설정!$A$46&lt;&gt;"",ISNUMBER(SEARCH(설정!$A$46,E613&amp;" "&amp;C613))),AND(설정!$A$47&lt;&gt;"",ISNUMBER(SEARCH(설정!$A$47,E613&amp;" "&amp;C613))),AND(설정!$A$48&lt;&gt;"",ISNUMBER(SEARCH(설정!$A$48,E613&amp;" "&amp;C613))),AND(설정!$A$49&lt;&gt;"",ISNUMBER(SEARCH(설정!$A$49,E613&amp;" "&amp;C613))),AND(설정!$A$50&lt;&gt;"",ISNUMBER(SEARCH(설정!$A$50,E613&amp;" "&amp;C613))),AND(설정!$A$51&lt;&gt;"",ISNUMBER(SEARCH(설정!$A$51,E613&amp;" "&amp;C613))))</f>
        <v/>
      </c>
      <c r="S613">
        <f>OR(D613="",D613&gt;=설정!$B$19)</f>
        <v/>
      </c>
      <c r="T613">
        <f>AND(Q613,R613,S613)</f>
        <v/>
      </c>
      <c r="U613">
        <f>IF(T613,IF(AND(설정!$A$54&lt;&gt;"",ISNUMBER(SEARCH(설정!$A$54,K613))),설정!$B$54,IF(AND(설정!$A$55&lt;&gt;"",ISNUMBER(SEARCH(설정!$A$55,K613))),설정!$B$55,IF(AND(설정!$A$56&lt;&gt;"",ISNUMBER(SEARCH(설정!$A$56,K613))),설정!$B$56,IF(AND(설정!$A$57&lt;&gt;"",ISNUMBER(SEARCH(설정!$A$57,K613))),설정!$B$57,IF(AND(설정!$A$58&lt;&gt;"",ISNUMBER(SEARCH(설정!$A$58,K613))),설정!$B$58,IF(AND(설정!$A$59&lt;&gt;"",ISNUMBER(SEARCH(설정!$A$59,K613))),설정!$B$59,IF(AND(설정!$A$60&lt;&gt;"",ISNUMBER(SEARCH(설정!$A$60,K613))),설정!$B$60,IF(AND(설정!$A$61&lt;&gt;"",ISNUMBER(SEARCH(설정!$A$61,K613))),설정!$B$61,IF(M613="","설계사","시공사"))))))))),"")</f>
        <v/>
      </c>
      <c r="V613">
        <f>SUBSTITUTE(SUBSTITUTE(SUBSTITUTE(SUBSTITUTE(G613,"(주)",""),"㈜",""),"주식회사","")," ","")</f>
        <v/>
      </c>
      <c r="W613">
        <f>IF(AND(T613,V613&lt;&gt;""),IF(COUNTIFS(V$2:V613,V613,T$2:T613,TRUE)=1,MAX(W$1:W612)+1,""),"")</f>
        <v/>
      </c>
      <c r="X613">
        <f>IF(설정!$C$14="","",IFERROR(INDEX('1.산군_붙여넣기'!$A$1:$AZ$1001,ROW(),설정!$C$14)&amp;"",""))</f>
        <v/>
      </c>
      <c r="Y613">
        <f>IF(설정!$C$15="","",IFERROR(INDEX('1.산군_붙여넣기'!$A$1:$AZ$1001,ROW(),설정!$C$15)&amp;"",""))</f>
        <v/>
      </c>
      <c r="Z613">
        <f>IF(T613,V613&amp;"|"&amp;U613,"")</f>
        <v/>
      </c>
      <c r="AA613">
        <f>IF(NOT(Q613),"",IF(NOT(AND(R613,S613)),"✕",IF(OR(OR(AND(L613&lt;&gt;"",M613&lt;&gt;"",N(M613)-N(L613)&gt;설정!$B$27),AND(L613&lt;&gt;"",M613="",설정!$B$24-N(L613)&gt;설정!$B$27)),AND(D613&lt;&gt;"",D613&lt;설정!$B$26)),"△","★")))</f>
        <v/>
      </c>
      <c r="AB613">
        <f>IF(NOT(T613),"",IF(U613="설계사",설정!$B$31,IF(U613="시공사",IF(OR(M613="",설정!$B$24-N(M613)&lt;=설정!$B$28*30.4),설정!$B$32,설정!$B$33),설정!$B$34))+IF(AA613="★",설정!$B$35,0))</f>
        <v/>
      </c>
      <c r="AC613">
        <f>SUBSTITUTE(SUBSTITUTE(SUBSTITUTE(SUBSTITUTE(H613,"(주)",""),"㈜",""),"주식회사","")," ","")</f>
        <v/>
      </c>
      <c r="AD613">
        <f>IF(AND(T613,AC613&lt;&gt;""),IF(COUNTIFS(AC$2:AC613,AC613,T$2:T613,TRUE)=1,MAX(AD$1:AD612)+1,""),"")</f>
        <v/>
      </c>
    </row>
    <row r="614">
      <c r="A614">
        <f>ROW()</f>
        <v/>
      </c>
      <c r="B614">
        <f>IF(설정!$C$4="","",IFERROR(INDEX('1.산군_붙여넣기'!$A$1:$AZ$1001,ROW(),설정!$C$4)&amp;"",""))</f>
        <v/>
      </c>
      <c r="C614">
        <f>IF(설정!$C$5="","",IFERROR(INDEX('1.산군_붙여넣기'!$A$1:$AZ$1001,ROW(),설정!$C$5)&amp;"",""))</f>
        <v/>
      </c>
      <c r="D614" s="5">
        <f>IFERROR(VALUE(SUBSTITUTE(SUBSTITUTE(SUBSTITUTE(IF(설정!$C$6="","",IFERROR(INDEX('1.산군_붙여넣기'!$A$1:$AZ$1001,ROW(),설정!$C$6)&amp;"","")),",",""),"㎡",""),"m2","")),"")</f>
        <v/>
      </c>
      <c r="E614">
        <f>IF(설정!$C$7="","",IFERROR(INDEX('1.산군_붙여넣기'!$A$1:$AZ$1001,ROW(),설정!$C$7)&amp;"",""))</f>
        <v/>
      </c>
      <c r="F614">
        <f>IF(설정!$C$8="","",IFERROR(INDEX('1.산군_붙여넣기'!$A$1:$AZ$1001,ROW(),설정!$C$8)&amp;"",""))</f>
        <v/>
      </c>
      <c r="G614">
        <f>IF(설정!$C$9="","",IFERROR(INDEX('1.산군_붙여넣기'!$A$1:$AZ$1001,ROW(),설정!$C$9)&amp;"",""))</f>
        <v/>
      </c>
      <c r="H614">
        <f>IF(설정!$C$10="","",IFERROR(INDEX('1.산군_붙여넣기'!$A$1:$AZ$1001,ROW(),설정!$C$10)&amp;"",""))</f>
        <v/>
      </c>
      <c r="I614">
        <f>IF(설정!$C$11="","",IFERROR(INDEX('1.산군_붙여넣기'!$A$1:$AZ$1001,ROW(),설정!$C$11)&amp;"",""))</f>
        <v/>
      </c>
      <c r="J614">
        <f>IF(설정!$C$12="","",IFERROR(INDEX('1.산군_붙여넣기'!$A$1:$AZ$1001,ROW(),설정!$C$12)&amp;"",""))</f>
        <v/>
      </c>
      <c r="K614">
        <f>IF(설정!$C$13="","",IFERROR(INDEX('1.산군_붙여넣기'!$A$1:$AZ$1001,ROW(),설정!$C$13)&amp;"",""))</f>
        <v/>
      </c>
      <c r="L614" s="7">
        <f>IF(X614="","",IF(AND(LEN(X614)=8,ISNUMBER(X614*1)),DATE(LEFT(X614,4),MID(X614,5,2),RIGHT(X614,2)),IFERROR(DATEVALUE(SUBSTITUTE(SUBSTITUTE(X614,".","-"),"/","-")),IFERROR(X614*1,""))))</f>
        <v/>
      </c>
      <c r="M614" s="7">
        <f>IF(Y614="","",IF(AND(LEN(Y614)=8,ISNUMBER(Y614*1)),DATE(LEFT(Y614,4),MID(Y614,5,2),RIGHT(Y614,2)),IFERROR(DATEVALUE(SUBSTITUTE(SUBSTITUTE(Y614,".","-"),"/","-")),IFERROR(Y614*1,""))))</f>
        <v/>
      </c>
      <c r="N614">
        <f>IFERROR(LEFT(B614,FIND(" ",B614)-1),B614)</f>
        <v/>
      </c>
      <c r="O614">
        <f>AND(B614&lt;&gt;"",B614&lt;&gt;설정!$B$4,C614&lt;&gt;설정!$B$5)</f>
        <v/>
      </c>
      <c r="P614">
        <f>IF(O614,B614&amp;"|"&amp;C614,"")</f>
        <v/>
      </c>
      <c r="Q614">
        <f>AND(O614,COUNTIF(P615:P$1002,P614)=0)</f>
        <v/>
      </c>
      <c r="R614">
        <f>OR(AND(설정!$A$42&lt;&gt;"",ISNUMBER(SEARCH(설정!$A$42,E614&amp;" "&amp;C614))),AND(설정!$A$43&lt;&gt;"",ISNUMBER(SEARCH(설정!$A$43,E614&amp;" "&amp;C614))),AND(설정!$A$44&lt;&gt;"",ISNUMBER(SEARCH(설정!$A$44,E614&amp;" "&amp;C614))),AND(설정!$A$45&lt;&gt;"",ISNUMBER(SEARCH(설정!$A$45,E614&amp;" "&amp;C614))),AND(설정!$A$46&lt;&gt;"",ISNUMBER(SEARCH(설정!$A$46,E614&amp;" "&amp;C614))),AND(설정!$A$47&lt;&gt;"",ISNUMBER(SEARCH(설정!$A$47,E614&amp;" "&amp;C614))),AND(설정!$A$48&lt;&gt;"",ISNUMBER(SEARCH(설정!$A$48,E614&amp;" "&amp;C614))),AND(설정!$A$49&lt;&gt;"",ISNUMBER(SEARCH(설정!$A$49,E614&amp;" "&amp;C614))),AND(설정!$A$50&lt;&gt;"",ISNUMBER(SEARCH(설정!$A$50,E614&amp;" "&amp;C614))),AND(설정!$A$51&lt;&gt;"",ISNUMBER(SEARCH(설정!$A$51,E614&amp;" "&amp;C614))))</f>
        <v/>
      </c>
      <c r="S614">
        <f>OR(D614="",D614&gt;=설정!$B$19)</f>
        <v/>
      </c>
      <c r="T614">
        <f>AND(Q614,R614,S614)</f>
        <v/>
      </c>
      <c r="U614">
        <f>IF(T614,IF(AND(설정!$A$54&lt;&gt;"",ISNUMBER(SEARCH(설정!$A$54,K614))),설정!$B$54,IF(AND(설정!$A$55&lt;&gt;"",ISNUMBER(SEARCH(설정!$A$55,K614))),설정!$B$55,IF(AND(설정!$A$56&lt;&gt;"",ISNUMBER(SEARCH(설정!$A$56,K614))),설정!$B$56,IF(AND(설정!$A$57&lt;&gt;"",ISNUMBER(SEARCH(설정!$A$57,K614))),설정!$B$57,IF(AND(설정!$A$58&lt;&gt;"",ISNUMBER(SEARCH(설정!$A$58,K614))),설정!$B$58,IF(AND(설정!$A$59&lt;&gt;"",ISNUMBER(SEARCH(설정!$A$59,K614))),설정!$B$59,IF(AND(설정!$A$60&lt;&gt;"",ISNUMBER(SEARCH(설정!$A$60,K614))),설정!$B$60,IF(AND(설정!$A$61&lt;&gt;"",ISNUMBER(SEARCH(설정!$A$61,K614))),설정!$B$61,IF(M614="","설계사","시공사"))))))))),"")</f>
        <v/>
      </c>
      <c r="V614">
        <f>SUBSTITUTE(SUBSTITUTE(SUBSTITUTE(SUBSTITUTE(G614,"(주)",""),"㈜",""),"주식회사","")," ","")</f>
        <v/>
      </c>
      <c r="W614">
        <f>IF(AND(T614,V614&lt;&gt;""),IF(COUNTIFS(V$2:V614,V614,T$2:T614,TRUE)=1,MAX(W$1:W613)+1,""),"")</f>
        <v/>
      </c>
      <c r="X614">
        <f>IF(설정!$C$14="","",IFERROR(INDEX('1.산군_붙여넣기'!$A$1:$AZ$1001,ROW(),설정!$C$14)&amp;"",""))</f>
        <v/>
      </c>
      <c r="Y614">
        <f>IF(설정!$C$15="","",IFERROR(INDEX('1.산군_붙여넣기'!$A$1:$AZ$1001,ROW(),설정!$C$15)&amp;"",""))</f>
        <v/>
      </c>
      <c r="Z614">
        <f>IF(T614,V614&amp;"|"&amp;U614,"")</f>
        <v/>
      </c>
      <c r="AA614">
        <f>IF(NOT(Q614),"",IF(NOT(AND(R614,S614)),"✕",IF(OR(OR(AND(L614&lt;&gt;"",M614&lt;&gt;"",N(M614)-N(L614)&gt;설정!$B$27),AND(L614&lt;&gt;"",M614="",설정!$B$24-N(L614)&gt;설정!$B$27)),AND(D614&lt;&gt;"",D614&lt;설정!$B$26)),"△","★")))</f>
        <v/>
      </c>
      <c r="AB614">
        <f>IF(NOT(T614),"",IF(U614="설계사",설정!$B$31,IF(U614="시공사",IF(OR(M614="",설정!$B$24-N(M614)&lt;=설정!$B$28*30.4),설정!$B$32,설정!$B$33),설정!$B$34))+IF(AA614="★",설정!$B$35,0))</f>
        <v/>
      </c>
      <c r="AC614">
        <f>SUBSTITUTE(SUBSTITUTE(SUBSTITUTE(SUBSTITUTE(H614,"(주)",""),"㈜",""),"주식회사","")," ","")</f>
        <v/>
      </c>
      <c r="AD614">
        <f>IF(AND(T614,AC614&lt;&gt;""),IF(COUNTIFS(AC$2:AC614,AC614,T$2:T614,TRUE)=1,MAX(AD$1:AD613)+1,""),"")</f>
        <v/>
      </c>
    </row>
    <row r="615">
      <c r="A615">
        <f>ROW()</f>
        <v/>
      </c>
      <c r="B615">
        <f>IF(설정!$C$4="","",IFERROR(INDEX('1.산군_붙여넣기'!$A$1:$AZ$1001,ROW(),설정!$C$4)&amp;"",""))</f>
        <v/>
      </c>
      <c r="C615">
        <f>IF(설정!$C$5="","",IFERROR(INDEX('1.산군_붙여넣기'!$A$1:$AZ$1001,ROW(),설정!$C$5)&amp;"",""))</f>
        <v/>
      </c>
      <c r="D615" s="5">
        <f>IFERROR(VALUE(SUBSTITUTE(SUBSTITUTE(SUBSTITUTE(IF(설정!$C$6="","",IFERROR(INDEX('1.산군_붙여넣기'!$A$1:$AZ$1001,ROW(),설정!$C$6)&amp;"","")),",",""),"㎡",""),"m2","")),"")</f>
        <v/>
      </c>
      <c r="E615">
        <f>IF(설정!$C$7="","",IFERROR(INDEX('1.산군_붙여넣기'!$A$1:$AZ$1001,ROW(),설정!$C$7)&amp;"",""))</f>
        <v/>
      </c>
      <c r="F615">
        <f>IF(설정!$C$8="","",IFERROR(INDEX('1.산군_붙여넣기'!$A$1:$AZ$1001,ROW(),설정!$C$8)&amp;"",""))</f>
        <v/>
      </c>
      <c r="G615">
        <f>IF(설정!$C$9="","",IFERROR(INDEX('1.산군_붙여넣기'!$A$1:$AZ$1001,ROW(),설정!$C$9)&amp;"",""))</f>
        <v/>
      </c>
      <c r="H615">
        <f>IF(설정!$C$10="","",IFERROR(INDEX('1.산군_붙여넣기'!$A$1:$AZ$1001,ROW(),설정!$C$10)&amp;"",""))</f>
        <v/>
      </c>
      <c r="I615">
        <f>IF(설정!$C$11="","",IFERROR(INDEX('1.산군_붙여넣기'!$A$1:$AZ$1001,ROW(),설정!$C$11)&amp;"",""))</f>
        <v/>
      </c>
      <c r="J615">
        <f>IF(설정!$C$12="","",IFERROR(INDEX('1.산군_붙여넣기'!$A$1:$AZ$1001,ROW(),설정!$C$12)&amp;"",""))</f>
        <v/>
      </c>
      <c r="K615">
        <f>IF(설정!$C$13="","",IFERROR(INDEX('1.산군_붙여넣기'!$A$1:$AZ$1001,ROW(),설정!$C$13)&amp;"",""))</f>
        <v/>
      </c>
      <c r="L615" s="7">
        <f>IF(X615="","",IF(AND(LEN(X615)=8,ISNUMBER(X615*1)),DATE(LEFT(X615,4),MID(X615,5,2),RIGHT(X615,2)),IFERROR(DATEVALUE(SUBSTITUTE(SUBSTITUTE(X615,".","-"),"/","-")),IFERROR(X615*1,""))))</f>
        <v/>
      </c>
      <c r="M615" s="7">
        <f>IF(Y615="","",IF(AND(LEN(Y615)=8,ISNUMBER(Y615*1)),DATE(LEFT(Y615,4),MID(Y615,5,2),RIGHT(Y615,2)),IFERROR(DATEVALUE(SUBSTITUTE(SUBSTITUTE(Y615,".","-"),"/","-")),IFERROR(Y615*1,""))))</f>
        <v/>
      </c>
      <c r="N615">
        <f>IFERROR(LEFT(B615,FIND(" ",B615)-1),B615)</f>
        <v/>
      </c>
      <c r="O615">
        <f>AND(B615&lt;&gt;"",B615&lt;&gt;설정!$B$4,C615&lt;&gt;설정!$B$5)</f>
        <v/>
      </c>
      <c r="P615">
        <f>IF(O615,B615&amp;"|"&amp;C615,"")</f>
        <v/>
      </c>
      <c r="Q615">
        <f>AND(O615,COUNTIF(P616:P$1002,P615)=0)</f>
        <v/>
      </c>
      <c r="R615">
        <f>OR(AND(설정!$A$42&lt;&gt;"",ISNUMBER(SEARCH(설정!$A$42,E615&amp;" "&amp;C615))),AND(설정!$A$43&lt;&gt;"",ISNUMBER(SEARCH(설정!$A$43,E615&amp;" "&amp;C615))),AND(설정!$A$44&lt;&gt;"",ISNUMBER(SEARCH(설정!$A$44,E615&amp;" "&amp;C615))),AND(설정!$A$45&lt;&gt;"",ISNUMBER(SEARCH(설정!$A$45,E615&amp;" "&amp;C615))),AND(설정!$A$46&lt;&gt;"",ISNUMBER(SEARCH(설정!$A$46,E615&amp;" "&amp;C615))),AND(설정!$A$47&lt;&gt;"",ISNUMBER(SEARCH(설정!$A$47,E615&amp;" "&amp;C615))),AND(설정!$A$48&lt;&gt;"",ISNUMBER(SEARCH(설정!$A$48,E615&amp;" "&amp;C615))),AND(설정!$A$49&lt;&gt;"",ISNUMBER(SEARCH(설정!$A$49,E615&amp;" "&amp;C615))),AND(설정!$A$50&lt;&gt;"",ISNUMBER(SEARCH(설정!$A$50,E615&amp;" "&amp;C615))),AND(설정!$A$51&lt;&gt;"",ISNUMBER(SEARCH(설정!$A$51,E615&amp;" "&amp;C615))))</f>
        <v/>
      </c>
      <c r="S615">
        <f>OR(D615="",D615&gt;=설정!$B$19)</f>
        <v/>
      </c>
      <c r="T615">
        <f>AND(Q615,R615,S615)</f>
        <v/>
      </c>
      <c r="U615">
        <f>IF(T615,IF(AND(설정!$A$54&lt;&gt;"",ISNUMBER(SEARCH(설정!$A$54,K615))),설정!$B$54,IF(AND(설정!$A$55&lt;&gt;"",ISNUMBER(SEARCH(설정!$A$55,K615))),설정!$B$55,IF(AND(설정!$A$56&lt;&gt;"",ISNUMBER(SEARCH(설정!$A$56,K615))),설정!$B$56,IF(AND(설정!$A$57&lt;&gt;"",ISNUMBER(SEARCH(설정!$A$57,K615))),설정!$B$57,IF(AND(설정!$A$58&lt;&gt;"",ISNUMBER(SEARCH(설정!$A$58,K615))),설정!$B$58,IF(AND(설정!$A$59&lt;&gt;"",ISNUMBER(SEARCH(설정!$A$59,K615))),설정!$B$59,IF(AND(설정!$A$60&lt;&gt;"",ISNUMBER(SEARCH(설정!$A$60,K615))),설정!$B$60,IF(AND(설정!$A$61&lt;&gt;"",ISNUMBER(SEARCH(설정!$A$61,K615))),설정!$B$61,IF(M615="","설계사","시공사"))))))))),"")</f>
        <v/>
      </c>
      <c r="V615">
        <f>SUBSTITUTE(SUBSTITUTE(SUBSTITUTE(SUBSTITUTE(G615,"(주)",""),"㈜",""),"주식회사","")," ","")</f>
        <v/>
      </c>
      <c r="W615">
        <f>IF(AND(T615,V615&lt;&gt;""),IF(COUNTIFS(V$2:V615,V615,T$2:T615,TRUE)=1,MAX(W$1:W614)+1,""),"")</f>
        <v/>
      </c>
      <c r="X615">
        <f>IF(설정!$C$14="","",IFERROR(INDEX('1.산군_붙여넣기'!$A$1:$AZ$1001,ROW(),설정!$C$14)&amp;"",""))</f>
        <v/>
      </c>
      <c r="Y615">
        <f>IF(설정!$C$15="","",IFERROR(INDEX('1.산군_붙여넣기'!$A$1:$AZ$1001,ROW(),설정!$C$15)&amp;"",""))</f>
        <v/>
      </c>
      <c r="Z615">
        <f>IF(T615,V615&amp;"|"&amp;U615,"")</f>
        <v/>
      </c>
      <c r="AA615">
        <f>IF(NOT(Q615),"",IF(NOT(AND(R615,S615)),"✕",IF(OR(OR(AND(L615&lt;&gt;"",M615&lt;&gt;"",N(M615)-N(L615)&gt;설정!$B$27),AND(L615&lt;&gt;"",M615="",설정!$B$24-N(L615)&gt;설정!$B$27)),AND(D615&lt;&gt;"",D615&lt;설정!$B$26)),"△","★")))</f>
        <v/>
      </c>
      <c r="AB615">
        <f>IF(NOT(T615),"",IF(U615="설계사",설정!$B$31,IF(U615="시공사",IF(OR(M615="",설정!$B$24-N(M615)&lt;=설정!$B$28*30.4),설정!$B$32,설정!$B$33),설정!$B$34))+IF(AA615="★",설정!$B$35,0))</f>
        <v/>
      </c>
      <c r="AC615">
        <f>SUBSTITUTE(SUBSTITUTE(SUBSTITUTE(SUBSTITUTE(H615,"(주)",""),"㈜",""),"주식회사","")," ","")</f>
        <v/>
      </c>
      <c r="AD615">
        <f>IF(AND(T615,AC615&lt;&gt;""),IF(COUNTIFS(AC$2:AC615,AC615,T$2:T615,TRUE)=1,MAX(AD$1:AD614)+1,""),"")</f>
        <v/>
      </c>
    </row>
    <row r="616">
      <c r="A616">
        <f>ROW()</f>
        <v/>
      </c>
      <c r="B616">
        <f>IF(설정!$C$4="","",IFERROR(INDEX('1.산군_붙여넣기'!$A$1:$AZ$1001,ROW(),설정!$C$4)&amp;"",""))</f>
        <v/>
      </c>
      <c r="C616">
        <f>IF(설정!$C$5="","",IFERROR(INDEX('1.산군_붙여넣기'!$A$1:$AZ$1001,ROW(),설정!$C$5)&amp;"",""))</f>
        <v/>
      </c>
      <c r="D616" s="5">
        <f>IFERROR(VALUE(SUBSTITUTE(SUBSTITUTE(SUBSTITUTE(IF(설정!$C$6="","",IFERROR(INDEX('1.산군_붙여넣기'!$A$1:$AZ$1001,ROW(),설정!$C$6)&amp;"","")),",",""),"㎡",""),"m2","")),"")</f>
        <v/>
      </c>
      <c r="E616">
        <f>IF(설정!$C$7="","",IFERROR(INDEX('1.산군_붙여넣기'!$A$1:$AZ$1001,ROW(),설정!$C$7)&amp;"",""))</f>
        <v/>
      </c>
      <c r="F616">
        <f>IF(설정!$C$8="","",IFERROR(INDEX('1.산군_붙여넣기'!$A$1:$AZ$1001,ROW(),설정!$C$8)&amp;"",""))</f>
        <v/>
      </c>
      <c r="G616">
        <f>IF(설정!$C$9="","",IFERROR(INDEX('1.산군_붙여넣기'!$A$1:$AZ$1001,ROW(),설정!$C$9)&amp;"",""))</f>
        <v/>
      </c>
      <c r="H616">
        <f>IF(설정!$C$10="","",IFERROR(INDEX('1.산군_붙여넣기'!$A$1:$AZ$1001,ROW(),설정!$C$10)&amp;"",""))</f>
        <v/>
      </c>
      <c r="I616">
        <f>IF(설정!$C$11="","",IFERROR(INDEX('1.산군_붙여넣기'!$A$1:$AZ$1001,ROW(),설정!$C$11)&amp;"",""))</f>
        <v/>
      </c>
      <c r="J616">
        <f>IF(설정!$C$12="","",IFERROR(INDEX('1.산군_붙여넣기'!$A$1:$AZ$1001,ROW(),설정!$C$12)&amp;"",""))</f>
        <v/>
      </c>
      <c r="K616">
        <f>IF(설정!$C$13="","",IFERROR(INDEX('1.산군_붙여넣기'!$A$1:$AZ$1001,ROW(),설정!$C$13)&amp;"",""))</f>
        <v/>
      </c>
      <c r="L616" s="7">
        <f>IF(X616="","",IF(AND(LEN(X616)=8,ISNUMBER(X616*1)),DATE(LEFT(X616,4),MID(X616,5,2),RIGHT(X616,2)),IFERROR(DATEVALUE(SUBSTITUTE(SUBSTITUTE(X616,".","-"),"/","-")),IFERROR(X616*1,""))))</f>
        <v/>
      </c>
      <c r="M616" s="7">
        <f>IF(Y616="","",IF(AND(LEN(Y616)=8,ISNUMBER(Y616*1)),DATE(LEFT(Y616,4),MID(Y616,5,2),RIGHT(Y616,2)),IFERROR(DATEVALUE(SUBSTITUTE(SUBSTITUTE(Y616,".","-"),"/","-")),IFERROR(Y616*1,""))))</f>
        <v/>
      </c>
      <c r="N616">
        <f>IFERROR(LEFT(B616,FIND(" ",B616)-1),B616)</f>
        <v/>
      </c>
      <c r="O616">
        <f>AND(B616&lt;&gt;"",B616&lt;&gt;설정!$B$4,C616&lt;&gt;설정!$B$5)</f>
        <v/>
      </c>
      <c r="P616">
        <f>IF(O616,B616&amp;"|"&amp;C616,"")</f>
        <v/>
      </c>
      <c r="Q616">
        <f>AND(O616,COUNTIF(P617:P$1002,P616)=0)</f>
        <v/>
      </c>
      <c r="R616">
        <f>OR(AND(설정!$A$42&lt;&gt;"",ISNUMBER(SEARCH(설정!$A$42,E616&amp;" "&amp;C616))),AND(설정!$A$43&lt;&gt;"",ISNUMBER(SEARCH(설정!$A$43,E616&amp;" "&amp;C616))),AND(설정!$A$44&lt;&gt;"",ISNUMBER(SEARCH(설정!$A$44,E616&amp;" "&amp;C616))),AND(설정!$A$45&lt;&gt;"",ISNUMBER(SEARCH(설정!$A$45,E616&amp;" "&amp;C616))),AND(설정!$A$46&lt;&gt;"",ISNUMBER(SEARCH(설정!$A$46,E616&amp;" "&amp;C616))),AND(설정!$A$47&lt;&gt;"",ISNUMBER(SEARCH(설정!$A$47,E616&amp;" "&amp;C616))),AND(설정!$A$48&lt;&gt;"",ISNUMBER(SEARCH(설정!$A$48,E616&amp;" "&amp;C616))),AND(설정!$A$49&lt;&gt;"",ISNUMBER(SEARCH(설정!$A$49,E616&amp;" "&amp;C616))),AND(설정!$A$50&lt;&gt;"",ISNUMBER(SEARCH(설정!$A$50,E616&amp;" "&amp;C616))),AND(설정!$A$51&lt;&gt;"",ISNUMBER(SEARCH(설정!$A$51,E616&amp;" "&amp;C616))))</f>
        <v/>
      </c>
      <c r="S616">
        <f>OR(D616="",D616&gt;=설정!$B$19)</f>
        <v/>
      </c>
      <c r="T616">
        <f>AND(Q616,R616,S616)</f>
        <v/>
      </c>
      <c r="U616">
        <f>IF(T616,IF(AND(설정!$A$54&lt;&gt;"",ISNUMBER(SEARCH(설정!$A$54,K616))),설정!$B$54,IF(AND(설정!$A$55&lt;&gt;"",ISNUMBER(SEARCH(설정!$A$55,K616))),설정!$B$55,IF(AND(설정!$A$56&lt;&gt;"",ISNUMBER(SEARCH(설정!$A$56,K616))),설정!$B$56,IF(AND(설정!$A$57&lt;&gt;"",ISNUMBER(SEARCH(설정!$A$57,K616))),설정!$B$57,IF(AND(설정!$A$58&lt;&gt;"",ISNUMBER(SEARCH(설정!$A$58,K616))),설정!$B$58,IF(AND(설정!$A$59&lt;&gt;"",ISNUMBER(SEARCH(설정!$A$59,K616))),설정!$B$59,IF(AND(설정!$A$60&lt;&gt;"",ISNUMBER(SEARCH(설정!$A$60,K616))),설정!$B$60,IF(AND(설정!$A$61&lt;&gt;"",ISNUMBER(SEARCH(설정!$A$61,K616))),설정!$B$61,IF(M616="","설계사","시공사"))))))))),"")</f>
        <v/>
      </c>
      <c r="V616">
        <f>SUBSTITUTE(SUBSTITUTE(SUBSTITUTE(SUBSTITUTE(G616,"(주)",""),"㈜",""),"주식회사","")," ","")</f>
        <v/>
      </c>
      <c r="W616">
        <f>IF(AND(T616,V616&lt;&gt;""),IF(COUNTIFS(V$2:V616,V616,T$2:T616,TRUE)=1,MAX(W$1:W615)+1,""),"")</f>
        <v/>
      </c>
      <c r="X616">
        <f>IF(설정!$C$14="","",IFERROR(INDEX('1.산군_붙여넣기'!$A$1:$AZ$1001,ROW(),설정!$C$14)&amp;"",""))</f>
        <v/>
      </c>
      <c r="Y616">
        <f>IF(설정!$C$15="","",IFERROR(INDEX('1.산군_붙여넣기'!$A$1:$AZ$1001,ROW(),설정!$C$15)&amp;"",""))</f>
        <v/>
      </c>
      <c r="Z616">
        <f>IF(T616,V616&amp;"|"&amp;U616,"")</f>
        <v/>
      </c>
      <c r="AA616">
        <f>IF(NOT(Q616),"",IF(NOT(AND(R616,S616)),"✕",IF(OR(OR(AND(L616&lt;&gt;"",M616&lt;&gt;"",N(M616)-N(L616)&gt;설정!$B$27),AND(L616&lt;&gt;"",M616="",설정!$B$24-N(L616)&gt;설정!$B$27)),AND(D616&lt;&gt;"",D616&lt;설정!$B$26)),"△","★")))</f>
        <v/>
      </c>
      <c r="AB616">
        <f>IF(NOT(T616),"",IF(U616="설계사",설정!$B$31,IF(U616="시공사",IF(OR(M616="",설정!$B$24-N(M616)&lt;=설정!$B$28*30.4),설정!$B$32,설정!$B$33),설정!$B$34))+IF(AA616="★",설정!$B$35,0))</f>
        <v/>
      </c>
      <c r="AC616">
        <f>SUBSTITUTE(SUBSTITUTE(SUBSTITUTE(SUBSTITUTE(H616,"(주)",""),"㈜",""),"주식회사","")," ","")</f>
        <v/>
      </c>
      <c r="AD616">
        <f>IF(AND(T616,AC616&lt;&gt;""),IF(COUNTIFS(AC$2:AC616,AC616,T$2:T616,TRUE)=1,MAX(AD$1:AD615)+1,""),"")</f>
        <v/>
      </c>
    </row>
    <row r="617">
      <c r="A617">
        <f>ROW()</f>
        <v/>
      </c>
      <c r="B617">
        <f>IF(설정!$C$4="","",IFERROR(INDEX('1.산군_붙여넣기'!$A$1:$AZ$1001,ROW(),설정!$C$4)&amp;"",""))</f>
        <v/>
      </c>
      <c r="C617">
        <f>IF(설정!$C$5="","",IFERROR(INDEX('1.산군_붙여넣기'!$A$1:$AZ$1001,ROW(),설정!$C$5)&amp;"",""))</f>
        <v/>
      </c>
      <c r="D617" s="5">
        <f>IFERROR(VALUE(SUBSTITUTE(SUBSTITUTE(SUBSTITUTE(IF(설정!$C$6="","",IFERROR(INDEX('1.산군_붙여넣기'!$A$1:$AZ$1001,ROW(),설정!$C$6)&amp;"","")),",",""),"㎡",""),"m2","")),"")</f>
        <v/>
      </c>
      <c r="E617">
        <f>IF(설정!$C$7="","",IFERROR(INDEX('1.산군_붙여넣기'!$A$1:$AZ$1001,ROW(),설정!$C$7)&amp;"",""))</f>
        <v/>
      </c>
      <c r="F617">
        <f>IF(설정!$C$8="","",IFERROR(INDEX('1.산군_붙여넣기'!$A$1:$AZ$1001,ROW(),설정!$C$8)&amp;"",""))</f>
        <v/>
      </c>
      <c r="G617">
        <f>IF(설정!$C$9="","",IFERROR(INDEX('1.산군_붙여넣기'!$A$1:$AZ$1001,ROW(),설정!$C$9)&amp;"",""))</f>
        <v/>
      </c>
      <c r="H617">
        <f>IF(설정!$C$10="","",IFERROR(INDEX('1.산군_붙여넣기'!$A$1:$AZ$1001,ROW(),설정!$C$10)&amp;"",""))</f>
        <v/>
      </c>
      <c r="I617">
        <f>IF(설정!$C$11="","",IFERROR(INDEX('1.산군_붙여넣기'!$A$1:$AZ$1001,ROW(),설정!$C$11)&amp;"",""))</f>
        <v/>
      </c>
      <c r="J617">
        <f>IF(설정!$C$12="","",IFERROR(INDEX('1.산군_붙여넣기'!$A$1:$AZ$1001,ROW(),설정!$C$12)&amp;"",""))</f>
        <v/>
      </c>
      <c r="K617">
        <f>IF(설정!$C$13="","",IFERROR(INDEX('1.산군_붙여넣기'!$A$1:$AZ$1001,ROW(),설정!$C$13)&amp;"",""))</f>
        <v/>
      </c>
      <c r="L617" s="7">
        <f>IF(X617="","",IF(AND(LEN(X617)=8,ISNUMBER(X617*1)),DATE(LEFT(X617,4),MID(X617,5,2),RIGHT(X617,2)),IFERROR(DATEVALUE(SUBSTITUTE(SUBSTITUTE(X617,".","-"),"/","-")),IFERROR(X617*1,""))))</f>
        <v/>
      </c>
      <c r="M617" s="7">
        <f>IF(Y617="","",IF(AND(LEN(Y617)=8,ISNUMBER(Y617*1)),DATE(LEFT(Y617,4),MID(Y617,5,2),RIGHT(Y617,2)),IFERROR(DATEVALUE(SUBSTITUTE(SUBSTITUTE(Y617,".","-"),"/","-")),IFERROR(Y617*1,""))))</f>
        <v/>
      </c>
      <c r="N617">
        <f>IFERROR(LEFT(B617,FIND(" ",B617)-1),B617)</f>
        <v/>
      </c>
      <c r="O617">
        <f>AND(B617&lt;&gt;"",B617&lt;&gt;설정!$B$4,C617&lt;&gt;설정!$B$5)</f>
        <v/>
      </c>
      <c r="P617">
        <f>IF(O617,B617&amp;"|"&amp;C617,"")</f>
        <v/>
      </c>
      <c r="Q617">
        <f>AND(O617,COUNTIF(P618:P$1002,P617)=0)</f>
        <v/>
      </c>
      <c r="R617">
        <f>OR(AND(설정!$A$42&lt;&gt;"",ISNUMBER(SEARCH(설정!$A$42,E617&amp;" "&amp;C617))),AND(설정!$A$43&lt;&gt;"",ISNUMBER(SEARCH(설정!$A$43,E617&amp;" "&amp;C617))),AND(설정!$A$44&lt;&gt;"",ISNUMBER(SEARCH(설정!$A$44,E617&amp;" "&amp;C617))),AND(설정!$A$45&lt;&gt;"",ISNUMBER(SEARCH(설정!$A$45,E617&amp;" "&amp;C617))),AND(설정!$A$46&lt;&gt;"",ISNUMBER(SEARCH(설정!$A$46,E617&amp;" "&amp;C617))),AND(설정!$A$47&lt;&gt;"",ISNUMBER(SEARCH(설정!$A$47,E617&amp;" "&amp;C617))),AND(설정!$A$48&lt;&gt;"",ISNUMBER(SEARCH(설정!$A$48,E617&amp;" "&amp;C617))),AND(설정!$A$49&lt;&gt;"",ISNUMBER(SEARCH(설정!$A$49,E617&amp;" "&amp;C617))),AND(설정!$A$50&lt;&gt;"",ISNUMBER(SEARCH(설정!$A$50,E617&amp;" "&amp;C617))),AND(설정!$A$51&lt;&gt;"",ISNUMBER(SEARCH(설정!$A$51,E617&amp;" "&amp;C617))))</f>
        <v/>
      </c>
      <c r="S617">
        <f>OR(D617="",D617&gt;=설정!$B$19)</f>
        <v/>
      </c>
      <c r="T617">
        <f>AND(Q617,R617,S617)</f>
        <v/>
      </c>
      <c r="U617">
        <f>IF(T617,IF(AND(설정!$A$54&lt;&gt;"",ISNUMBER(SEARCH(설정!$A$54,K617))),설정!$B$54,IF(AND(설정!$A$55&lt;&gt;"",ISNUMBER(SEARCH(설정!$A$55,K617))),설정!$B$55,IF(AND(설정!$A$56&lt;&gt;"",ISNUMBER(SEARCH(설정!$A$56,K617))),설정!$B$56,IF(AND(설정!$A$57&lt;&gt;"",ISNUMBER(SEARCH(설정!$A$57,K617))),설정!$B$57,IF(AND(설정!$A$58&lt;&gt;"",ISNUMBER(SEARCH(설정!$A$58,K617))),설정!$B$58,IF(AND(설정!$A$59&lt;&gt;"",ISNUMBER(SEARCH(설정!$A$59,K617))),설정!$B$59,IF(AND(설정!$A$60&lt;&gt;"",ISNUMBER(SEARCH(설정!$A$60,K617))),설정!$B$60,IF(AND(설정!$A$61&lt;&gt;"",ISNUMBER(SEARCH(설정!$A$61,K617))),설정!$B$61,IF(M617="","설계사","시공사"))))))))),"")</f>
        <v/>
      </c>
      <c r="V617">
        <f>SUBSTITUTE(SUBSTITUTE(SUBSTITUTE(SUBSTITUTE(G617,"(주)",""),"㈜",""),"주식회사","")," ","")</f>
        <v/>
      </c>
      <c r="W617">
        <f>IF(AND(T617,V617&lt;&gt;""),IF(COUNTIFS(V$2:V617,V617,T$2:T617,TRUE)=1,MAX(W$1:W616)+1,""),"")</f>
        <v/>
      </c>
      <c r="X617">
        <f>IF(설정!$C$14="","",IFERROR(INDEX('1.산군_붙여넣기'!$A$1:$AZ$1001,ROW(),설정!$C$14)&amp;"",""))</f>
        <v/>
      </c>
      <c r="Y617">
        <f>IF(설정!$C$15="","",IFERROR(INDEX('1.산군_붙여넣기'!$A$1:$AZ$1001,ROW(),설정!$C$15)&amp;"",""))</f>
        <v/>
      </c>
      <c r="Z617">
        <f>IF(T617,V617&amp;"|"&amp;U617,"")</f>
        <v/>
      </c>
      <c r="AA617">
        <f>IF(NOT(Q617),"",IF(NOT(AND(R617,S617)),"✕",IF(OR(OR(AND(L617&lt;&gt;"",M617&lt;&gt;"",N(M617)-N(L617)&gt;설정!$B$27),AND(L617&lt;&gt;"",M617="",설정!$B$24-N(L617)&gt;설정!$B$27)),AND(D617&lt;&gt;"",D617&lt;설정!$B$26)),"△","★")))</f>
        <v/>
      </c>
      <c r="AB617">
        <f>IF(NOT(T617),"",IF(U617="설계사",설정!$B$31,IF(U617="시공사",IF(OR(M617="",설정!$B$24-N(M617)&lt;=설정!$B$28*30.4),설정!$B$32,설정!$B$33),설정!$B$34))+IF(AA617="★",설정!$B$35,0))</f>
        <v/>
      </c>
      <c r="AC617">
        <f>SUBSTITUTE(SUBSTITUTE(SUBSTITUTE(SUBSTITUTE(H617,"(주)",""),"㈜",""),"주식회사","")," ","")</f>
        <v/>
      </c>
      <c r="AD617">
        <f>IF(AND(T617,AC617&lt;&gt;""),IF(COUNTIFS(AC$2:AC617,AC617,T$2:T617,TRUE)=1,MAX(AD$1:AD616)+1,""),"")</f>
        <v/>
      </c>
    </row>
    <row r="618">
      <c r="A618">
        <f>ROW()</f>
        <v/>
      </c>
      <c r="B618">
        <f>IF(설정!$C$4="","",IFERROR(INDEX('1.산군_붙여넣기'!$A$1:$AZ$1001,ROW(),설정!$C$4)&amp;"",""))</f>
        <v/>
      </c>
      <c r="C618">
        <f>IF(설정!$C$5="","",IFERROR(INDEX('1.산군_붙여넣기'!$A$1:$AZ$1001,ROW(),설정!$C$5)&amp;"",""))</f>
        <v/>
      </c>
      <c r="D618" s="5">
        <f>IFERROR(VALUE(SUBSTITUTE(SUBSTITUTE(SUBSTITUTE(IF(설정!$C$6="","",IFERROR(INDEX('1.산군_붙여넣기'!$A$1:$AZ$1001,ROW(),설정!$C$6)&amp;"","")),",",""),"㎡",""),"m2","")),"")</f>
        <v/>
      </c>
      <c r="E618">
        <f>IF(설정!$C$7="","",IFERROR(INDEX('1.산군_붙여넣기'!$A$1:$AZ$1001,ROW(),설정!$C$7)&amp;"",""))</f>
        <v/>
      </c>
      <c r="F618">
        <f>IF(설정!$C$8="","",IFERROR(INDEX('1.산군_붙여넣기'!$A$1:$AZ$1001,ROW(),설정!$C$8)&amp;"",""))</f>
        <v/>
      </c>
      <c r="G618">
        <f>IF(설정!$C$9="","",IFERROR(INDEX('1.산군_붙여넣기'!$A$1:$AZ$1001,ROW(),설정!$C$9)&amp;"",""))</f>
        <v/>
      </c>
      <c r="H618">
        <f>IF(설정!$C$10="","",IFERROR(INDEX('1.산군_붙여넣기'!$A$1:$AZ$1001,ROW(),설정!$C$10)&amp;"",""))</f>
        <v/>
      </c>
      <c r="I618">
        <f>IF(설정!$C$11="","",IFERROR(INDEX('1.산군_붙여넣기'!$A$1:$AZ$1001,ROW(),설정!$C$11)&amp;"",""))</f>
        <v/>
      </c>
      <c r="J618">
        <f>IF(설정!$C$12="","",IFERROR(INDEX('1.산군_붙여넣기'!$A$1:$AZ$1001,ROW(),설정!$C$12)&amp;"",""))</f>
        <v/>
      </c>
      <c r="K618">
        <f>IF(설정!$C$13="","",IFERROR(INDEX('1.산군_붙여넣기'!$A$1:$AZ$1001,ROW(),설정!$C$13)&amp;"",""))</f>
        <v/>
      </c>
      <c r="L618" s="7">
        <f>IF(X618="","",IF(AND(LEN(X618)=8,ISNUMBER(X618*1)),DATE(LEFT(X618,4),MID(X618,5,2),RIGHT(X618,2)),IFERROR(DATEVALUE(SUBSTITUTE(SUBSTITUTE(X618,".","-"),"/","-")),IFERROR(X618*1,""))))</f>
        <v/>
      </c>
      <c r="M618" s="7">
        <f>IF(Y618="","",IF(AND(LEN(Y618)=8,ISNUMBER(Y618*1)),DATE(LEFT(Y618,4),MID(Y618,5,2),RIGHT(Y618,2)),IFERROR(DATEVALUE(SUBSTITUTE(SUBSTITUTE(Y618,".","-"),"/","-")),IFERROR(Y618*1,""))))</f>
        <v/>
      </c>
      <c r="N618">
        <f>IFERROR(LEFT(B618,FIND(" ",B618)-1),B618)</f>
        <v/>
      </c>
      <c r="O618">
        <f>AND(B618&lt;&gt;"",B618&lt;&gt;설정!$B$4,C618&lt;&gt;설정!$B$5)</f>
        <v/>
      </c>
      <c r="P618">
        <f>IF(O618,B618&amp;"|"&amp;C618,"")</f>
        <v/>
      </c>
      <c r="Q618">
        <f>AND(O618,COUNTIF(P619:P$1002,P618)=0)</f>
        <v/>
      </c>
      <c r="R618">
        <f>OR(AND(설정!$A$42&lt;&gt;"",ISNUMBER(SEARCH(설정!$A$42,E618&amp;" "&amp;C618))),AND(설정!$A$43&lt;&gt;"",ISNUMBER(SEARCH(설정!$A$43,E618&amp;" "&amp;C618))),AND(설정!$A$44&lt;&gt;"",ISNUMBER(SEARCH(설정!$A$44,E618&amp;" "&amp;C618))),AND(설정!$A$45&lt;&gt;"",ISNUMBER(SEARCH(설정!$A$45,E618&amp;" "&amp;C618))),AND(설정!$A$46&lt;&gt;"",ISNUMBER(SEARCH(설정!$A$46,E618&amp;" "&amp;C618))),AND(설정!$A$47&lt;&gt;"",ISNUMBER(SEARCH(설정!$A$47,E618&amp;" "&amp;C618))),AND(설정!$A$48&lt;&gt;"",ISNUMBER(SEARCH(설정!$A$48,E618&amp;" "&amp;C618))),AND(설정!$A$49&lt;&gt;"",ISNUMBER(SEARCH(설정!$A$49,E618&amp;" "&amp;C618))),AND(설정!$A$50&lt;&gt;"",ISNUMBER(SEARCH(설정!$A$50,E618&amp;" "&amp;C618))),AND(설정!$A$51&lt;&gt;"",ISNUMBER(SEARCH(설정!$A$51,E618&amp;" "&amp;C618))))</f>
        <v/>
      </c>
      <c r="S618">
        <f>OR(D618="",D618&gt;=설정!$B$19)</f>
        <v/>
      </c>
      <c r="T618">
        <f>AND(Q618,R618,S618)</f>
        <v/>
      </c>
      <c r="U618">
        <f>IF(T618,IF(AND(설정!$A$54&lt;&gt;"",ISNUMBER(SEARCH(설정!$A$54,K618))),설정!$B$54,IF(AND(설정!$A$55&lt;&gt;"",ISNUMBER(SEARCH(설정!$A$55,K618))),설정!$B$55,IF(AND(설정!$A$56&lt;&gt;"",ISNUMBER(SEARCH(설정!$A$56,K618))),설정!$B$56,IF(AND(설정!$A$57&lt;&gt;"",ISNUMBER(SEARCH(설정!$A$57,K618))),설정!$B$57,IF(AND(설정!$A$58&lt;&gt;"",ISNUMBER(SEARCH(설정!$A$58,K618))),설정!$B$58,IF(AND(설정!$A$59&lt;&gt;"",ISNUMBER(SEARCH(설정!$A$59,K618))),설정!$B$59,IF(AND(설정!$A$60&lt;&gt;"",ISNUMBER(SEARCH(설정!$A$60,K618))),설정!$B$60,IF(AND(설정!$A$61&lt;&gt;"",ISNUMBER(SEARCH(설정!$A$61,K618))),설정!$B$61,IF(M618="","설계사","시공사"))))))))),"")</f>
        <v/>
      </c>
      <c r="V618">
        <f>SUBSTITUTE(SUBSTITUTE(SUBSTITUTE(SUBSTITUTE(G618,"(주)",""),"㈜",""),"주식회사","")," ","")</f>
        <v/>
      </c>
      <c r="W618">
        <f>IF(AND(T618,V618&lt;&gt;""),IF(COUNTIFS(V$2:V618,V618,T$2:T618,TRUE)=1,MAX(W$1:W617)+1,""),"")</f>
        <v/>
      </c>
      <c r="X618">
        <f>IF(설정!$C$14="","",IFERROR(INDEX('1.산군_붙여넣기'!$A$1:$AZ$1001,ROW(),설정!$C$14)&amp;"",""))</f>
        <v/>
      </c>
      <c r="Y618">
        <f>IF(설정!$C$15="","",IFERROR(INDEX('1.산군_붙여넣기'!$A$1:$AZ$1001,ROW(),설정!$C$15)&amp;"",""))</f>
        <v/>
      </c>
      <c r="Z618">
        <f>IF(T618,V618&amp;"|"&amp;U618,"")</f>
        <v/>
      </c>
      <c r="AA618">
        <f>IF(NOT(Q618),"",IF(NOT(AND(R618,S618)),"✕",IF(OR(OR(AND(L618&lt;&gt;"",M618&lt;&gt;"",N(M618)-N(L618)&gt;설정!$B$27),AND(L618&lt;&gt;"",M618="",설정!$B$24-N(L618)&gt;설정!$B$27)),AND(D618&lt;&gt;"",D618&lt;설정!$B$26)),"△","★")))</f>
        <v/>
      </c>
      <c r="AB618">
        <f>IF(NOT(T618),"",IF(U618="설계사",설정!$B$31,IF(U618="시공사",IF(OR(M618="",설정!$B$24-N(M618)&lt;=설정!$B$28*30.4),설정!$B$32,설정!$B$33),설정!$B$34))+IF(AA618="★",설정!$B$35,0))</f>
        <v/>
      </c>
      <c r="AC618">
        <f>SUBSTITUTE(SUBSTITUTE(SUBSTITUTE(SUBSTITUTE(H618,"(주)",""),"㈜",""),"주식회사","")," ","")</f>
        <v/>
      </c>
      <c r="AD618">
        <f>IF(AND(T618,AC618&lt;&gt;""),IF(COUNTIFS(AC$2:AC618,AC618,T$2:T618,TRUE)=1,MAX(AD$1:AD617)+1,""),"")</f>
        <v/>
      </c>
    </row>
    <row r="619">
      <c r="A619">
        <f>ROW()</f>
        <v/>
      </c>
      <c r="B619">
        <f>IF(설정!$C$4="","",IFERROR(INDEX('1.산군_붙여넣기'!$A$1:$AZ$1001,ROW(),설정!$C$4)&amp;"",""))</f>
        <v/>
      </c>
      <c r="C619">
        <f>IF(설정!$C$5="","",IFERROR(INDEX('1.산군_붙여넣기'!$A$1:$AZ$1001,ROW(),설정!$C$5)&amp;"",""))</f>
        <v/>
      </c>
      <c r="D619" s="5">
        <f>IFERROR(VALUE(SUBSTITUTE(SUBSTITUTE(SUBSTITUTE(IF(설정!$C$6="","",IFERROR(INDEX('1.산군_붙여넣기'!$A$1:$AZ$1001,ROW(),설정!$C$6)&amp;"","")),",",""),"㎡",""),"m2","")),"")</f>
        <v/>
      </c>
      <c r="E619">
        <f>IF(설정!$C$7="","",IFERROR(INDEX('1.산군_붙여넣기'!$A$1:$AZ$1001,ROW(),설정!$C$7)&amp;"",""))</f>
        <v/>
      </c>
      <c r="F619">
        <f>IF(설정!$C$8="","",IFERROR(INDEX('1.산군_붙여넣기'!$A$1:$AZ$1001,ROW(),설정!$C$8)&amp;"",""))</f>
        <v/>
      </c>
      <c r="G619">
        <f>IF(설정!$C$9="","",IFERROR(INDEX('1.산군_붙여넣기'!$A$1:$AZ$1001,ROW(),설정!$C$9)&amp;"",""))</f>
        <v/>
      </c>
      <c r="H619">
        <f>IF(설정!$C$10="","",IFERROR(INDEX('1.산군_붙여넣기'!$A$1:$AZ$1001,ROW(),설정!$C$10)&amp;"",""))</f>
        <v/>
      </c>
      <c r="I619">
        <f>IF(설정!$C$11="","",IFERROR(INDEX('1.산군_붙여넣기'!$A$1:$AZ$1001,ROW(),설정!$C$11)&amp;"",""))</f>
        <v/>
      </c>
      <c r="J619">
        <f>IF(설정!$C$12="","",IFERROR(INDEX('1.산군_붙여넣기'!$A$1:$AZ$1001,ROW(),설정!$C$12)&amp;"",""))</f>
        <v/>
      </c>
      <c r="K619">
        <f>IF(설정!$C$13="","",IFERROR(INDEX('1.산군_붙여넣기'!$A$1:$AZ$1001,ROW(),설정!$C$13)&amp;"",""))</f>
        <v/>
      </c>
      <c r="L619" s="7">
        <f>IF(X619="","",IF(AND(LEN(X619)=8,ISNUMBER(X619*1)),DATE(LEFT(X619,4),MID(X619,5,2),RIGHT(X619,2)),IFERROR(DATEVALUE(SUBSTITUTE(SUBSTITUTE(X619,".","-"),"/","-")),IFERROR(X619*1,""))))</f>
        <v/>
      </c>
      <c r="M619" s="7">
        <f>IF(Y619="","",IF(AND(LEN(Y619)=8,ISNUMBER(Y619*1)),DATE(LEFT(Y619,4),MID(Y619,5,2),RIGHT(Y619,2)),IFERROR(DATEVALUE(SUBSTITUTE(SUBSTITUTE(Y619,".","-"),"/","-")),IFERROR(Y619*1,""))))</f>
        <v/>
      </c>
      <c r="N619">
        <f>IFERROR(LEFT(B619,FIND(" ",B619)-1),B619)</f>
        <v/>
      </c>
      <c r="O619">
        <f>AND(B619&lt;&gt;"",B619&lt;&gt;설정!$B$4,C619&lt;&gt;설정!$B$5)</f>
        <v/>
      </c>
      <c r="P619">
        <f>IF(O619,B619&amp;"|"&amp;C619,"")</f>
        <v/>
      </c>
      <c r="Q619">
        <f>AND(O619,COUNTIF(P620:P$1002,P619)=0)</f>
        <v/>
      </c>
      <c r="R619">
        <f>OR(AND(설정!$A$42&lt;&gt;"",ISNUMBER(SEARCH(설정!$A$42,E619&amp;" "&amp;C619))),AND(설정!$A$43&lt;&gt;"",ISNUMBER(SEARCH(설정!$A$43,E619&amp;" "&amp;C619))),AND(설정!$A$44&lt;&gt;"",ISNUMBER(SEARCH(설정!$A$44,E619&amp;" "&amp;C619))),AND(설정!$A$45&lt;&gt;"",ISNUMBER(SEARCH(설정!$A$45,E619&amp;" "&amp;C619))),AND(설정!$A$46&lt;&gt;"",ISNUMBER(SEARCH(설정!$A$46,E619&amp;" "&amp;C619))),AND(설정!$A$47&lt;&gt;"",ISNUMBER(SEARCH(설정!$A$47,E619&amp;" "&amp;C619))),AND(설정!$A$48&lt;&gt;"",ISNUMBER(SEARCH(설정!$A$48,E619&amp;" "&amp;C619))),AND(설정!$A$49&lt;&gt;"",ISNUMBER(SEARCH(설정!$A$49,E619&amp;" "&amp;C619))),AND(설정!$A$50&lt;&gt;"",ISNUMBER(SEARCH(설정!$A$50,E619&amp;" "&amp;C619))),AND(설정!$A$51&lt;&gt;"",ISNUMBER(SEARCH(설정!$A$51,E619&amp;" "&amp;C619))))</f>
        <v/>
      </c>
      <c r="S619">
        <f>OR(D619="",D619&gt;=설정!$B$19)</f>
        <v/>
      </c>
      <c r="T619">
        <f>AND(Q619,R619,S619)</f>
        <v/>
      </c>
      <c r="U619">
        <f>IF(T619,IF(AND(설정!$A$54&lt;&gt;"",ISNUMBER(SEARCH(설정!$A$54,K619))),설정!$B$54,IF(AND(설정!$A$55&lt;&gt;"",ISNUMBER(SEARCH(설정!$A$55,K619))),설정!$B$55,IF(AND(설정!$A$56&lt;&gt;"",ISNUMBER(SEARCH(설정!$A$56,K619))),설정!$B$56,IF(AND(설정!$A$57&lt;&gt;"",ISNUMBER(SEARCH(설정!$A$57,K619))),설정!$B$57,IF(AND(설정!$A$58&lt;&gt;"",ISNUMBER(SEARCH(설정!$A$58,K619))),설정!$B$58,IF(AND(설정!$A$59&lt;&gt;"",ISNUMBER(SEARCH(설정!$A$59,K619))),설정!$B$59,IF(AND(설정!$A$60&lt;&gt;"",ISNUMBER(SEARCH(설정!$A$60,K619))),설정!$B$60,IF(AND(설정!$A$61&lt;&gt;"",ISNUMBER(SEARCH(설정!$A$61,K619))),설정!$B$61,IF(M619="","설계사","시공사"))))))))),"")</f>
        <v/>
      </c>
      <c r="V619">
        <f>SUBSTITUTE(SUBSTITUTE(SUBSTITUTE(SUBSTITUTE(G619,"(주)",""),"㈜",""),"주식회사","")," ","")</f>
        <v/>
      </c>
      <c r="W619">
        <f>IF(AND(T619,V619&lt;&gt;""),IF(COUNTIFS(V$2:V619,V619,T$2:T619,TRUE)=1,MAX(W$1:W618)+1,""),"")</f>
        <v/>
      </c>
      <c r="X619">
        <f>IF(설정!$C$14="","",IFERROR(INDEX('1.산군_붙여넣기'!$A$1:$AZ$1001,ROW(),설정!$C$14)&amp;"",""))</f>
        <v/>
      </c>
      <c r="Y619">
        <f>IF(설정!$C$15="","",IFERROR(INDEX('1.산군_붙여넣기'!$A$1:$AZ$1001,ROW(),설정!$C$15)&amp;"",""))</f>
        <v/>
      </c>
      <c r="Z619">
        <f>IF(T619,V619&amp;"|"&amp;U619,"")</f>
        <v/>
      </c>
      <c r="AA619">
        <f>IF(NOT(Q619),"",IF(NOT(AND(R619,S619)),"✕",IF(OR(OR(AND(L619&lt;&gt;"",M619&lt;&gt;"",N(M619)-N(L619)&gt;설정!$B$27),AND(L619&lt;&gt;"",M619="",설정!$B$24-N(L619)&gt;설정!$B$27)),AND(D619&lt;&gt;"",D619&lt;설정!$B$26)),"△","★")))</f>
        <v/>
      </c>
      <c r="AB619">
        <f>IF(NOT(T619),"",IF(U619="설계사",설정!$B$31,IF(U619="시공사",IF(OR(M619="",설정!$B$24-N(M619)&lt;=설정!$B$28*30.4),설정!$B$32,설정!$B$33),설정!$B$34))+IF(AA619="★",설정!$B$35,0))</f>
        <v/>
      </c>
      <c r="AC619">
        <f>SUBSTITUTE(SUBSTITUTE(SUBSTITUTE(SUBSTITUTE(H619,"(주)",""),"㈜",""),"주식회사","")," ","")</f>
        <v/>
      </c>
      <c r="AD619">
        <f>IF(AND(T619,AC619&lt;&gt;""),IF(COUNTIFS(AC$2:AC619,AC619,T$2:T619,TRUE)=1,MAX(AD$1:AD618)+1,""),"")</f>
        <v/>
      </c>
    </row>
    <row r="620">
      <c r="A620">
        <f>ROW()</f>
        <v/>
      </c>
      <c r="B620">
        <f>IF(설정!$C$4="","",IFERROR(INDEX('1.산군_붙여넣기'!$A$1:$AZ$1001,ROW(),설정!$C$4)&amp;"",""))</f>
        <v/>
      </c>
      <c r="C620">
        <f>IF(설정!$C$5="","",IFERROR(INDEX('1.산군_붙여넣기'!$A$1:$AZ$1001,ROW(),설정!$C$5)&amp;"",""))</f>
        <v/>
      </c>
      <c r="D620" s="5">
        <f>IFERROR(VALUE(SUBSTITUTE(SUBSTITUTE(SUBSTITUTE(IF(설정!$C$6="","",IFERROR(INDEX('1.산군_붙여넣기'!$A$1:$AZ$1001,ROW(),설정!$C$6)&amp;"","")),",",""),"㎡",""),"m2","")),"")</f>
        <v/>
      </c>
      <c r="E620">
        <f>IF(설정!$C$7="","",IFERROR(INDEX('1.산군_붙여넣기'!$A$1:$AZ$1001,ROW(),설정!$C$7)&amp;"",""))</f>
        <v/>
      </c>
      <c r="F620">
        <f>IF(설정!$C$8="","",IFERROR(INDEX('1.산군_붙여넣기'!$A$1:$AZ$1001,ROW(),설정!$C$8)&amp;"",""))</f>
        <v/>
      </c>
      <c r="G620">
        <f>IF(설정!$C$9="","",IFERROR(INDEX('1.산군_붙여넣기'!$A$1:$AZ$1001,ROW(),설정!$C$9)&amp;"",""))</f>
        <v/>
      </c>
      <c r="H620">
        <f>IF(설정!$C$10="","",IFERROR(INDEX('1.산군_붙여넣기'!$A$1:$AZ$1001,ROW(),설정!$C$10)&amp;"",""))</f>
        <v/>
      </c>
      <c r="I620">
        <f>IF(설정!$C$11="","",IFERROR(INDEX('1.산군_붙여넣기'!$A$1:$AZ$1001,ROW(),설정!$C$11)&amp;"",""))</f>
        <v/>
      </c>
      <c r="J620">
        <f>IF(설정!$C$12="","",IFERROR(INDEX('1.산군_붙여넣기'!$A$1:$AZ$1001,ROW(),설정!$C$12)&amp;"",""))</f>
        <v/>
      </c>
      <c r="K620">
        <f>IF(설정!$C$13="","",IFERROR(INDEX('1.산군_붙여넣기'!$A$1:$AZ$1001,ROW(),설정!$C$13)&amp;"",""))</f>
        <v/>
      </c>
      <c r="L620" s="7">
        <f>IF(X620="","",IF(AND(LEN(X620)=8,ISNUMBER(X620*1)),DATE(LEFT(X620,4),MID(X620,5,2),RIGHT(X620,2)),IFERROR(DATEVALUE(SUBSTITUTE(SUBSTITUTE(X620,".","-"),"/","-")),IFERROR(X620*1,""))))</f>
        <v/>
      </c>
      <c r="M620" s="7">
        <f>IF(Y620="","",IF(AND(LEN(Y620)=8,ISNUMBER(Y620*1)),DATE(LEFT(Y620,4),MID(Y620,5,2),RIGHT(Y620,2)),IFERROR(DATEVALUE(SUBSTITUTE(SUBSTITUTE(Y620,".","-"),"/","-")),IFERROR(Y620*1,""))))</f>
        <v/>
      </c>
      <c r="N620">
        <f>IFERROR(LEFT(B620,FIND(" ",B620)-1),B620)</f>
        <v/>
      </c>
      <c r="O620">
        <f>AND(B620&lt;&gt;"",B620&lt;&gt;설정!$B$4,C620&lt;&gt;설정!$B$5)</f>
        <v/>
      </c>
      <c r="P620">
        <f>IF(O620,B620&amp;"|"&amp;C620,"")</f>
        <v/>
      </c>
      <c r="Q620">
        <f>AND(O620,COUNTIF(P621:P$1002,P620)=0)</f>
        <v/>
      </c>
      <c r="R620">
        <f>OR(AND(설정!$A$42&lt;&gt;"",ISNUMBER(SEARCH(설정!$A$42,E620&amp;" "&amp;C620))),AND(설정!$A$43&lt;&gt;"",ISNUMBER(SEARCH(설정!$A$43,E620&amp;" "&amp;C620))),AND(설정!$A$44&lt;&gt;"",ISNUMBER(SEARCH(설정!$A$44,E620&amp;" "&amp;C620))),AND(설정!$A$45&lt;&gt;"",ISNUMBER(SEARCH(설정!$A$45,E620&amp;" "&amp;C620))),AND(설정!$A$46&lt;&gt;"",ISNUMBER(SEARCH(설정!$A$46,E620&amp;" "&amp;C620))),AND(설정!$A$47&lt;&gt;"",ISNUMBER(SEARCH(설정!$A$47,E620&amp;" "&amp;C620))),AND(설정!$A$48&lt;&gt;"",ISNUMBER(SEARCH(설정!$A$48,E620&amp;" "&amp;C620))),AND(설정!$A$49&lt;&gt;"",ISNUMBER(SEARCH(설정!$A$49,E620&amp;" "&amp;C620))),AND(설정!$A$50&lt;&gt;"",ISNUMBER(SEARCH(설정!$A$50,E620&amp;" "&amp;C620))),AND(설정!$A$51&lt;&gt;"",ISNUMBER(SEARCH(설정!$A$51,E620&amp;" "&amp;C620))))</f>
        <v/>
      </c>
      <c r="S620">
        <f>OR(D620="",D620&gt;=설정!$B$19)</f>
        <v/>
      </c>
      <c r="T620">
        <f>AND(Q620,R620,S620)</f>
        <v/>
      </c>
      <c r="U620">
        <f>IF(T620,IF(AND(설정!$A$54&lt;&gt;"",ISNUMBER(SEARCH(설정!$A$54,K620))),설정!$B$54,IF(AND(설정!$A$55&lt;&gt;"",ISNUMBER(SEARCH(설정!$A$55,K620))),설정!$B$55,IF(AND(설정!$A$56&lt;&gt;"",ISNUMBER(SEARCH(설정!$A$56,K620))),설정!$B$56,IF(AND(설정!$A$57&lt;&gt;"",ISNUMBER(SEARCH(설정!$A$57,K620))),설정!$B$57,IF(AND(설정!$A$58&lt;&gt;"",ISNUMBER(SEARCH(설정!$A$58,K620))),설정!$B$58,IF(AND(설정!$A$59&lt;&gt;"",ISNUMBER(SEARCH(설정!$A$59,K620))),설정!$B$59,IF(AND(설정!$A$60&lt;&gt;"",ISNUMBER(SEARCH(설정!$A$60,K620))),설정!$B$60,IF(AND(설정!$A$61&lt;&gt;"",ISNUMBER(SEARCH(설정!$A$61,K620))),설정!$B$61,IF(M620="","설계사","시공사"))))))))),"")</f>
        <v/>
      </c>
      <c r="V620">
        <f>SUBSTITUTE(SUBSTITUTE(SUBSTITUTE(SUBSTITUTE(G620,"(주)",""),"㈜",""),"주식회사","")," ","")</f>
        <v/>
      </c>
      <c r="W620">
        <f>IF(AND(T620,V620&lt;&gt;""),IF(COUNTIFS(V$2:V620,V620,T$2:T620,TRUE)=1,MAX(W$1:W619)+1,""),"")</f>
        <v/>
      </c>
      <c r="X620">
        <f>IF(설정!$C$14="","",IFERROR(INDEX('1.산군_붙여넣기'!$A$1:$AZ$1001,ROW(),설정!$C$14)&amp;"",""))</f>
        <v/>
      </c>
      <c r="Y620">
        <f>IF(설정!$C$15="","",IFERROR(INDEX('1.산군_붙여넣기'!$A$1:$AZ$1001,ROW(),설정!$C$15)&amp;"",""))</f>
        <v/>
      </c>
      <c r="Z620">
        <f>IF(T620,V620&amp;"|"&amp;U620,"")</f>
        <v/>
      </c>
      <c r="AA620">
        <f>IF(NOT(Q620),"",IF(NOT(AND(R620,S620)),"✕",IF(OR(OR(AND(L620&lt;&gt;"",M620&lt;&gt;"",N(M620)-N(L620)&gt;설정!$B$27),AND(L620&lt;&gt;"",M620="",설정!$B$24-N(L620)&gt;설정!$B$27)),AND(D620&lt;&gt;"",D620&lt;설정!$B$26)),"△","★")))</f>
        <v/>
      </c>
      <c r="AB620">
        <f>IF(NOT(T620),"",IF(U620="설계사",설정!$B$31,IF(U620="시공사",IF(OR(M620="",설정!$B$24-N(M620)&lt;=설정!$B$28*30.4),설정!$B$32,설정!$B$33),설정!$B$34))+IF(AA620="★",설정!$B$35,0))</f>
        <v/>
      </c>
      <c r="AC620">
        <f>SUBSTITUTE(SUBSTITUTE(SUBSTITUTE(SUBSTITUTE(H620,"(주)",""),"㈜",""),"주식회사","")," ","")</f>
        <v/>
      </c>
      <c r="AD620">
        <f>IF(AND(T620,AC620&lt;&gt;""),IF(COUNTIFS(AC$2:AC620,AC620,T$2:T620,TRUE)=1,MAX(AD$1:AD619)+1,""),"")</f>
        <v/>
      </c>
    </row>
    <row r="621">
      <c r="A621">
        <f>ROW()</f>
        <v/>
      </c>
      <c r="B621">
        <f>IF(설정!$C$4="","",IFERROR(INDEX('1.산군_붙여넣기'!$A$1:$AZ$1001,ROW(),설정!$C$4)&amp;"",""))</f>
        <v/>
      </c>
      <c r="C621">
        <f>IF(설정!$C$5="","",IFERROR(INDEX('1.산군_붙여넣기'!$A$1:$AZ$1001,ROW(),설정!$C$5)&amp;"",""))</f>
        <v/>
      </c>
      <c r="D621" s="5">
        <f>IFERROR(VALUE(SUBSTITUTE(SUBSTITUTE(SUBSTITUTE(IF(설정!$C$6="","",IFERROR(INDEX('1.산군_붙여넣기'!$A$1:$AZ$1001,ROW(),설정!$C$6)&amp;"","")),",",""),"㎡",""),"m2","")),"")</f>
        <v/>
      </c>
      <c r="E621">
        <f>IF(설정!$C$7="","",IFERROR(INDEX('1.산군_붙여넣기'!$A$1:$AZ$1001,ROW(),설정!$C$7)&amp;"",""))</f>
        <v/>
      </c>
      <c r="F621">
        <f>IF(설정!$C$8="","",IFERROR(INDEX('1.산군_붙여넣기'!$A$1:$AZ$1001,ROW(),설정!$C$8)&amp;"",""))</f>
        <v/>
      </c>
      <c r="G621">
        <f>IF(설정!$C$9="","",IFERROR(INDEX('1.산군_붙여넣기'!$A$1:$AZ$1001,ROW(),설정!$C$9)&amp;"",""))</f>
        <v/>
      </c>
      <c r="H621">
        <f>IF(설정!$C$10="","",IFERROR(INDEX('1.산군_붙여넣기'!$A$1:$AZ$1001,ROW(),설정!$C$10)&amp;"",""))</f>
        <v/>
      </c>
      <c r="I621">
        <f>IF(설정!$C$11="","",IFERROR(INDEX('1.산군_붙여넣기'!$A$1:$AZ$1001,ROW(),설정!$C$11)&amp;"",""))</f>
        <v/>
      </c>
      <c r="J621">
        <f>IF(설정!$C$12="","",IFERROR(INDEX('1.산군_붙여넣기'!$A$1:$AZ$1001,ROW(),설정!$C$12)&amp;"",""))</f>
        <v/>
      </c>
      <c r="K621">
        <f>IF(설정!$C$13="","",IFERROR(INDEX('1.산군_붙여넣기'!$A$1:$AZ$1001,ROW(),설정!$C$13)&amp;"",""))</f>
        <v/>
      </c>
      <c r="L621" s="7">
        <f>IF(X621="","",IF(AND(LEN(X621)=8,ISNUMBER(X621*1)),DATE(LEFT(X621,4),MID(X621,5,2),RIGHT(X621,2)),IFERROR(DATEVALUE(SUBSTITUTE(SUBSTITUTE(X621,".","-"),"/","-")),IFERROR(X621*1,""))))</f>
        <v/>
      </c>
      <c r="M621" s="7">
        <f>IF(Y621="","",IF(AND(LEN(Y621)=8,ISNUMBER(Y621*1)),DATE(LEFT(Y621,4),MID(Y621,5,2),RIGHT(Y621,2)),IFERROR(DATEVALUE(SUBSTITUTE(SUBSTITUTE(Y621,".","-"),"/","-")),IFERROR(Y621*1,""))))</f>
        <v/>
      </c>
      <c r="N621">
        <f>IFERROR(LEFT(B621,FIND(" ",B621)-1),B621)</f>
        <v/>
      </c>
      <c r="O621">
        <f>AND(B621&lt;&gt;"",B621&lt;&gt;설정!$B$4,C621&lt;&gt;설정!$B$5)</f>
        <v/>
      </c>
      <c r="P621">
        <f>IF(O621,B621&amp;"|"&amp;C621,"")</f>
        <v/>
      </c>
      <c r="Q621">
        <f>AND(O621,COUNTIF(P622:P$1002,P621)=0)</f>
        <v/>
      </c>
      <c r="R621">
        <f>OR(AND(설정!$A$42&lt;&gt;"",ISNUMBER(SEARCH(설정!$A$42,E621&amp;" "&amp;C621))),AND(설정!$A$43&lt;&gt;"",ISNUMBER(SEARCH(설정!$A$43,E621&amp;" "&amp;C621))),AND(설정!$A$44&lt;&gt;"",ISNUMBER(SEARCH(설정!$A$44,E621&amp;" "&amp;C621))),AND(설정!$A$45&lt;&gt;"",ISNUMBER(SEARCH(설정!$A$45,E621&amp;" "&amp;C621))),AND(설정!$A$46&lt;&gt;"",ISNUMBER(SEARCH(설정!$A$46,E621&amp;" "&amp;C621))),AND(설정!$A$47&lt;&gt;"",ISNUMBER(SEARCH(설정!$A$47,E621&amp;" "&amp;C621))),AND(설정!$A$48&lt;&gt;"",ISNUMBER(SEARCH(설정!$A$48,E621&amp;" "&amp;C621))),AND(설정!$A$49&lt;&gt;"",ISNUMBER(SEARCH(설정!$A$49,E621&amp;" "&amp;C621))),AND(설정!$A$50&lt;&gt;"",ISNUMBER(SEARCH(설정!$A$50,E621&amp;" "&amp;C621))),AND(설정!$A$51&lt;&gt;"",ISNUMBER(SEARCH(설정!$A$51,E621&amp;" "&amp;C621))))</f>
        <v/>
      </c>
      <c r="S621">
        <f>OR(D621="",D621&gt;=설정!$B$19)</f>
        <v/>
      </c>
      <c r="T621">
        <f>AND(Q621,R621,S621)</f>
        <v/>
      </c>
      <c r="U621">
        <f>IF(T621,IF(AND(설정!$A$54&lt;&gt;"",ISNUMBER(SEARCH(설정!$A$54,K621))),설정!$B$54,IF(AND(설정!$A$55&lt;&gt;"",ISNUMBER(SEARCH(설정!$A$55,K621))),설정!$B$55,IF(AND(설정!$A$56&lt;&gt;"",ISNUMBER(SEARCH(설정!$A$56,K621))),설정!$B$56,IF(AND(설정!$A$57&lt;&gt;"",ISNUMBER(SEARCH(설정!$A$57,K621))),설정!$B$57,IF(AND(설정!$A$58&lt;&gt;"",ISNUMBER(SEARCH(설정!$A$58,K621))),설정!$B$58,IF(AND(설정!$A$59&lt;&gt;"",ISNUMBER(SEARCH(설정!$A$59,K621))),설정!$B$59,IF(AND(설정!$A$60&lt;&gt;"",ISNUMBER(SEARCH(설정!$A$60,K621))),설정!$B$60,IF(AND(설정!$A$61&lt;&gt;"",ISNUMBER(SEARCH(설정!$A$61,K621))),설정!$B$61,IF(M621="","설계사","시공사"))))))))),"")</f>
        <v/>
      </c>
      <c r="V621">
        <f>SUBSTITUTE(SUBSTITUTE(SUBSTITUTE(SUBSTITUTE(G621,"(주)",""),"㈜",""),"주식회사","")," ","")</f>
        <v/>
      </c>
      <c r="W621">
        <f>IF(AND(T621,V621&lt;&gt;""),IF(COUNTIFS(V$2:V621,V621,T$2:T621,TRUE)=1,MAX(W$1:W620)+1,""),"")</f>
        <v/>
      </c>
      <c r="X621">
        <f>IF(설정!$C$14="","",IFERROR(INDEX('1.산군_붙여넣기'!$A$1:$AZ$1001,ROW(),설정!$C$14)&amp;"",""))</f>
        <v/>
      </c>
      <c r="Y621">
        <f>IF(설정!$C$15="","",IFERROR(INDEX('1.산군_붙여넣기'!$A$1:$AZ$1001,ROW(),설정!$C$15)&amp;"",""))</f>
        <v/>
      </c>
      <c r="Z621">
        <f>IF(T621,V621&amp;"|"&amp;U621,"")</f>
        <v/>
      </c>
      <c r="AA621">
        <f>IF(NOT(Q621),"",IF(NOT(AND(R621,S621)),"✕",IF(OR(OR(AND(L621&lt;&gt;"",M621&lt;&gt;"",N(M621)-N(L621)&gt;설정!$B$27),AND(L621&lt;&gt;"",M621="",설정!$B$24-N(L621)&gt;설정!$B$27)),AND(D621&lt;&gt;"",D621&lt;설정!$B$26)),"△","★")))</f>
        <v/>
      </c>
      <c r="AB621">
        <f>IF(NOT(T621),"",IF(U621="설계사",설정!$B$31,IF(U621="시공사",IF(OR(M621="",설정!$B$24-N(M621)&lt;=설정!$B$28*30.4),설정!$B$32,설정!$B$33),설정!$B$34))+IF(AA621="★",설정!$B$35,0))</f>
        <v/>
      </c>
      <c r="AC621">
        <f>SUBSTITUTE(SUBSTITUTE(SUBSTITUTE(SUBSTITUTE(H621,"(주)",""),"㈜",""),"주식회사","")," ","")</f>
        <v/>
      </c>
      <c r="AD621">
        <f>IF(AND(T621,AC621&lt;&gt;""),IF(COUNTIFS(AC$2:AC621,AC621,T$2:T621,TRUE)=1,MAX(AD$1:AD620)+1,""),"")</f>
        <v/>
      </c>
    </row>
    <row r="622">
      <c r="A622">
        <f>ROW()</f>
        <v/>
      </c>
      <c r="B622">
        <f>IF(설정!$C$4="","",IFERROR(INDEX('1.산군_붙여넣기'!$A$1:$AZ$1001,ROW(),설정!$C$4)&amp;"",""))</f>
        <v/>
      </c>
      <c r="C622">
        <f>IF(설정!$C$5="","",IFERROR(INDEX('1.산군_붙여넣기'!$A$1:$AZ$1001,ROW(),설정!$C$5)&amp;"",""))</f>
        <v/>
      </c>
      <c r="D622" s="5">
        <f>IFERROR(VALUE(SUBSTITUTE(SUBSTITUTE(SUBSTITUTE(IF(설정!$C$6="","",IFERROR(INDEX('1.산군_붙여넣기'!$A$1:$AZ$1001,ROW(),설정!$C$6)&amp;"","")),",",""),"㎡",""),"m2","")),"")</f>
        <v/>
      </c>
      <c r="E622">
        <f>IF(설정!$C$7="","",IFERROR(INDEX('1.산군_붙여넣기'!$A$1:$AZ$1001,ROW(),설정!$C$7)&amp;"",""))</f>
        <v/>
      </c>
      <c r="F622">
        <f>IF(설정!$C$8="","",IFERROR(INDEX('1.산군_붙여넣기'!$A$1:$AZ$1001,ROW(),설정!$C$8)&amp;"",""))</f>
        <v/>
      </c>
      <c r="G622">
        <f>IF(설정!$C$9="","",IFERROR(INDEX('1.산군_붙여넣기'!$A$1:$AZ$1001,ROW(),설정!$C$9)&amp;"",""))</f>
        <v/>
      </c>
      <c r="H622">
        <f>IF(설정!$C$10="","",IFERROR(INDEX('1.산군_붙여넣기'!$A$1:$AZ$1001,ROW(),설정!$C$10)&amp;"",""))</f>
        <v/>
      </c>
      <c r="I622">
        <f>IF(설정!$C$11="","",IFERROR(INDEX('1.산군_붙여넣기'!$A$1:$AZ$1001,ROW(),설정!$C$11)&amp;"",""))</f>
        <v/>
      </c>
      <c r="J622">
        <f>IF(설정!$C$12="","",IFERROR(INDEX('1.산군_붙여넣기'!$A$1:$AZ$1001,ROW(),설정!$C$12)&amp;"",""))</f>
        <v/>
      </c>
      <c r="K622">
        <f>IF(설정!$C$13="","",IFERROR(INDEX('1.산군_붙여넣기'!$A$1:$AZ$1001,ROW(),설정!$C$13)&amp;"",""))</f>
        <v/>
      </c>
      <c r="L622" s="7">
        <f>IF(X622="","",IF(AND(LEN(X622)=8,ISNUMBER(X622*1)),DATE(LEFT(X622,4),MID(X622,5,2),RIGHT(X622,2)),IFERROR(DATEVALUE(SUBSTITUTE(SUBSTITUTE(X622,".","-"),"/","-")),IFERROR(X622*1,""))))</f>
        <v/>
      </c>
      <c r="M622" s="7">
        <f>IF(Y622="","",IF(AND(LEN(Y622)=8,ISNUMBER(Y622*1)),DATE(LEFT(Y622,4),MID(Y622,5,2),RIGHT(Y622,2)),IFERROR(DATEVALUE(SUBSTITUTE(SUBSTITUTE(Y622,".","-"),"/","-")),IFERROR(Y622*1,""))))</f>
        <v/>
      </c>
      <c r="N622">
        <f>IFERROR(LEFT(B622,FIND(" ",B622)-1),B622)</f>
        <v/>
      </c>
      <c r="O622">
        <f>AND(B622&lt;&gt;"",B622&lt;&gt;설정!$B$4,C622&lt;&gt;설정!$B$5)</f>
        <v/>
      </c>
      <c r="P622">
        <f>IF(O622,B622&amp;"|"&amp;C622,"")</f>
        <v/>
      </c>
      <c r="Q622">
        <f>AND(O622,COUNTIF(P623:P$1002,P622)=0)</f>
        <v/>
      </c>
      <c r="R622">
        <f>OR(AND(설정!$A$42&lt;&gt;"",ISNUMBER(SEARCH(설정!$A$42,E622&amp;" "&amp;C622))),AND(설정!$A$43&lt;&gt;"",ISNUMBER(SEARCH(설정!$A$43,E622&amp;" "&amp;C622))),AND(설정!$A$44&lt;&gt;"",ISNUMBER(SEARCH(설정!$A$44,E622&amp;" "&amp;C622))),AND(설정!$A$45&lt;&gt;"",ISNUMBER(SEARCH(설정!$A$45,E622&amp;" "&amp;C622))),AND(설정!$A$46&lt;&gt;"",ISNUMBER(SEARCH(설정!$A$46,E622&amp;" "&amp;C622))),AND(설정!$A$47&lt;&gt;"",ISNUMBER(SEARCH(설정!$A$47,E622&amp;" "&amp;C622))),AND(설정!$A$48&lt;&gt;"",ISNUMBER(SEARCH(설정!$A$48,E622&amp;" "&amp;C622))),AND(설정!$A$49&lt;&gt;"",ISNUMBER(SEARCH(설정!$A$49,E622&amp;" "&amp;C622))),AND(설정!$A$50&lt;&gt;"",ISNUMBER(SEARCH(설정!$A$50,E622&amp;" "&amp;C622))),AND(설정!$A$51&lt;&gt;"",ISNUMBER(SEARCH(설정!$A$51,E622&amp;" "&amp;C622))))</f>
        <v/>
      </c>
      <c r="S622">
        <f>OR(D622="",D622&gt;=설정!$B$19)</f>
        <v/>
      </c>
      <c r="T622">
        <f>AND(Q622,R622,S622)</f>
        <v/>
      </c>
      <c r="U622">
        <f>IF(T622,IF(AND(설정!$A$54&lt;&gt;"",ISNUMBER(SEARCH(설정!$A$54,K622))),설정!$B$54,IF(AND(설정!$A$55&lt;&gt;"",ISNUMBER(SEARCH(설정!$A$55,K622))),설정!$B$55,IF(AND(설정!$A$56&lt;&gt;"",ISNUMBER(SEARCH(설정!$A$56,K622))),설정!$B$56,IF(AND(설정!$A$57&lt;&gt;"",ISNUMBER(SEARCH(설정!$A$57,K622))),설정!$B$57,IF(AND(설정!$A$58&lt;&gt;"",ISNUMBER(SEARCH(설정!$A$58,K622))),설정!$B$58,IF(AND(설정!$A$59&lt;&gt;"",ISNUMBER(SEARCH(설정!$A$59,K622))),설정!$B$59,IF(AND(설정!$A$60&lt;&gt;"",ISNUMBER(SEARCH(설정!$A$60,K622))),설정!$B$60,IF(AND(설정!$A$61&lt;&gt;"",ISNUMBER(SEARCH(설정!$A$61,K622))),설정!$B$61,IF(M622="","설계사","시공사"))))))))),"")</f>
        <v/>
      </c>
      <c r="V622">
        <f>SUBSTITUTE(SUBSTITUTE(SUBSTITUTE(SUBSTITUTE(G622,"(주)",""),"㈜",""),"주식회사","")," ","")</f>
        <v/>
      </c>
      <c r="W622">
        <f>IF(AND(T622,V622&lt;&gt;""),IF(COUNTIFS(V$2:V622,V622,T$2:T622,TRUE)=1,MAX(W$1:W621)+1,""),"")</f>
        <v/>
      </c>
      <c r="X622">
        <f>IF(설정!$C$14="","",IFERROR(INDEX('1.산군_붙여넣기'!$A$1:$AZ$1001,ROW(),설정!$C$14)&amp;"",""))</f>
        <v/>
      </c>
      <c r="Y622">
        <f>IF(설정!$C$15="","",IFERROR(INDEX('1.산군_붙여넣기'!$A$1:$AZ$1001,ROW(),설정!$C$15)&amp;"",""))</f>
        <v/>
      </c>
      <c r="Z622">
        <f>IF(T622,V622&amp;"|"&amp;U622,"")</f>
        <v/>
      </c>
      <c r="AA622">
        <f>IF(NOT(Q622),"",IF(NOT(AND(R622,S622)),"✕",IF(OR(OR(AND(L622&lt;&gt;"",M622&lt;&gt;"",N(M622)-N(L622)&gt;설정!$B$27),AND(L622&lt;&gt;"",M622="",설정!$B$24-N(L622)&gt;설정!$B$27)),AND(D622&lt;&gt;"",D622&lt;설정!$B$26)),"△","★")))</f>
        <v/>
      </c>
      <c r="AB622">
        <f>IF(NOT(T622),"",IF(U622="설계사",설정!$B$31,IF(U622="시공사",IF(OR(M622="",설정!$B$24-N(M622)&lt;=설정!$B$28*30.4),설정!$B$32,설정!$B$33),설정!$B$34))+IF(AA622="★",설정!$B$35,0))</f>
        <v/>
      </c>
      <c r="AC622">
        <f>SUBSTITUTE(SUBSTITUTE(SUBSTITUTE(SUBSTITUTE(H622,"(주)",""),"㈜",""),"주식회사","")," ","")</f>
        <v/>
      </c>
      <c r="AD622">
        <f>IF(AND(T622,AC622&lt;&gt;""),IF(COUNTIFS(AC$2:AC622,AC622,T$2:T622,TRUE)=1,MAX(AD$1:AD621)+1,""),"")</f>
        <v/>
      </c>
    </row>
    <row r="623">
      <c r="A623">
        <f>ROW()</f>
        <v/>
      </c>
      <c r="B623">
        <f>IF(설정!$C$4="","",IFERROR(INDEX('1.산군_붙여넣기'!$A$1:$AZ$1001,ROW(),설정!$C$4)&amp;"",""))</f>
        <v/>
      </c>
      <c r="C623">
        <f>IF(설정!$C$5="","",IFERROR(INDEX('1.산군_붙여넣기'!$A$1:$AZ$1001,ROW(),설정!$C$5)&amp;"",""))</f>
        <v/>
      </c>
      <c r="D623" s="5">
        <f>IFERROR(VALUE(SUBSTITUTE(SUBSTITUTE(SUBSTITUTE(IF(설정!$C$6="","",IFERROR(INDEX('1.산군_붙여넣기'!$A$1:$AZ$1001,ROW(),설정!$C$6)&amp;"","")),",",""),"㎡",""),"m2","")),"")</f>
        <v/>
      </c>
      <c r="E623">
        <f>IF(설정!$C$7="","",IFERROR(INDEX('1.산군_붙여넣기'!$A$1:$AZ$1001,ROW(),설정!$C$7)&amp;"",""))</f>
        <v/>
      </c>
      <c r="F623">
        <f>IF(설정!$C$8="","",IFERROR(INDEX('1.산군_붙여넣기'!$A$1:$AZ$1001,ROW(),설정!$C$8)&amp;"",""))</f>
        <v/>
      </c>
      <c r="G623">
        <f>IF(설정!$C$9="","",IFERROR(INDEX('1.산군_붙여넣기'!$A$1:$AZ$1001,ROW(),설정!$C$9)&amp;"",""))</f>
        <v/>
      </c>
      <c r="H623">
        <f>IF(설정!$C$10="","",IFERROR(INDEX('1.산군_붙여넣기'!$A$1:$AZ$1001,ROW(),설정!$C$10)&amp;"",""))</f>
        <v/>
      </c>
      <c r="I623">
        <f>IF(설정!$C$11="","",IFERROR(INDEX('1.산군_붙여넣기'!$A$1:$AZ$1001,ROW(),설정!$C$11)&amp;"",""))</f>
        <v/>
      </c>
      <c r="J623">
        <f>IF(설정!$C$12="","",IFERROR(INDEX('1.산군_붙여넣기'!$A$1:$AZ$1001,ROW(),설정!$C$12)&amp;"",""))</f>
        <v/>
      </c>
      <c r="K623">
        <f>IF(설정!$C$13="","",IFERROR(INDEX('1.산군_붙여넣기'!$A$1:$AZ$1001,ROW(),설정!$C$13)&amp;"",""))</f>
        <v/>
      </c>
      <c r="L623" s="7">
        <f>IF(X623="","",IF(AND(LEN(X623)=8,ISNUMBER(X623*1)),DATE(LEFT(X623,4),MID(X623,5,2),RIGHT(X623,2)),IFERROR(DATEVALUE(SUBSTITUTE(SUBSTITUTE(X623,".","-"),"/","-")),IFERROR(X623*1,""))))</f>
        <v/>
      </c>
      <c r="M623" s="7">
        <f>IF(Y623="","",IF(AND(LEN(Y623)=8,ISNUMBER(Y623*1)),DATE(LEFT(Y623,4),MID(Y623,5,2),RIGHT(Y623,2)),IFERROR(DATEVALUE(SUBSTITUTE(SUBSTITUTE(Y623,".","-"),"/","-")),IFERROR(Y623*1,""))))</f>
        <v/>
      </c>
      <c r="N623">
        <f>IFERROR(LEFT(B623,FIND(" ",B623)-1),B623)</f>
        <v/>
      </c>
      <c r="O623">
        <f>AND(B623&lt;&gt;"",B623&lt;&gt;설정!$B$4,C623&lt;&gt;설정!$B$5)</f>
        <v/>
      </c>
      <c r="P623">
        <f>IF(O623,B623&amp;"|"&amp;C623,"")</f>
        <v/>
      </c>
      <c r="Q623">
        <f>AND(O623,COUNTIF(P624:P$1002,P623)=0)</f>
        <v/>
      </c>
      <c r="R623">
        <f>OR(AND(설정!$A$42&lt;&gt;"",ISNUMBER(SEARCH(설정!$A$42,E623&amp;" "&amp;C623))),AND(설정!$A$43&lt;&gt;"",ISNUMBER(SEARCH(설정!$A$43,E623&amp;" "&amp;C623))),AND(설정!$A$44&lt;&gt;"",ISNUMBER(SEARCH(설정!$A$44,E623&amp;" "&amp;C623))),AND(설정!$A$45&lt;&gt;"",ISNUMBER(SEARCH(설정!$A$45,E623&amp;" "&amp;C623))),AND(설정!$A$46&lt;&gt;"",ISNUMBER(SEARCH(설정!$A$46,E623&amp;" "&amp;C623))),AND(설정!$A$47&lt;&gt;"",ISNUMBER(SEARCH(설정!$A$47,E623&amp;" "&amp;C623))),AND(설정!$A$48&lt;&gt;"",ISNUMBER(SEARCH(설정!$A$48,E623&amp;" "&amp;C623))),AND(설정!$A$49&lt;&gt;"",ISNUMBER(SEARCH(설정!$A$49,E623&amp;" "&amp;C623))),AND(설정!$A$50&lt;&gt;"",ISNUMBER(SEARCH(설정!$A$50,E623&amp;" "&amp;C623))),AND(설정!$A$51&lt;&gt;"",ISNUMBER(SEARCH(설정!$A$51,E623&amp;" "&amp;C623))))</f>
        <v/>
      </c>
      <c r="S623">
        <f>OR(D623="",D623&gt;=설정!$B$19)</f>
        <v/>
      </c>
      <c r="T623">
        <f>AND(Q623,R623,S623)</f>
        <v/>
      </c>
      <c r="U623">
        <f>IF(T623,IF(AND(설정!$A$54&lt;&gt;"",ISNUMBER(SEARCH(설정!$A$54,K623))),설정!$B$54,IF(AND(설정!$A$55&lt;&gt;"",ISNUMBER(SEARCH(설정!$A$55,K623))),설정!$B$55,IF(AND(설정!$A$56&lt;&gt;"",ISNUMBER(SEARCH(설정!$A$56,K623))),설정!$B$56,IF(AND(설정!$A$57&lt;&gt;"",ISNUMBER(SEARCH(설정!$A$57,K623))),설정!$B$57,IF(AND(설정!$A$58&lt;&gt;"",ISNUMBER(SEARCH(설정!$A$58,K623))),설정!$B$58,IF(AND(설정!$A$59&lt;&gt;"",ISNUMBER(SEARCH(설정!$A$59,K623))),설정!$B$59,IF(AND(설정!$A$60&lt;&gt;"",ISNUMBER(SEARCH(설정!$A$60,K623))),설정!$B$60,IF(AND(설정!$A$61&lt;&gt;"",ISNUMBER(SEARCH(설정!$A$61,K623))),설정!$B$61,IF(M623="","설계사","시공사"))))))))),"")</f>
        <v/>
      </c>
      <c r="V623">
        <f>SUBSTITUTE(SUBSTITUTE(SUBSTITUTE(SUBSTITUTE(G623,"(주)",""),"㈜",""),"주식회사","")," ","")</f>
        <v/>
      </c>
      <c r="W623">
        <f>IF(AND(T623,V623&lt;&gt;""),IF(COUNTIFS(V$2:V623,V623,T$2:T623,TRUE)=1,MAX(W$1:W622)+1,""),"")</f>
        <v/>
      </c>
      <c r="X623">
        <f>IF(설정!$C$14="","",IFERROR(INDEX('1.산군_붙여넣기'!$A$1:$AZ$1001,ROW(),설정!$C$14)&amp;"",""))</f>
        <v/>
      </c>
      <c r="Y623">
        <f>IF(설정!$C$15="","",IFERROR(INDEX('1.산군_붙여넣기'!$A$1:$AZ$1001,ROW(),설정!$C$15)&amp;"",""))</f>
        <v/>
      </c>
      <c r="Z623">
        <f>IF(T623,V623&amp;"|"&amp;U623,"")</f>
        <v/>
      </c>
      <c r="AA623">
        <f>IF(NOT(Q623),"",IF(NOT(AND(R623,S623)),"✕",IF(OR(OR(AND(L623&lt;&gt;"",M623&lt;&gt;"",N(M623)-N(L623)&gt;설정!$B$27),AND(L623&lt;&gt;"",M623="",설정!$B$24-N(L623)&gt;설정!$B$27)),AND(D623&lt;&gt;"",D623&lt;설정!$B$26)),"△","★")))</f>
        <v/>
      </c>
      <c r="AB623">
        <f>IF(NOT(T623),"",IF(U623="설계사",설정!$B$31,IF(U623="시공사",IF(OR(M623="",설정!$B$24-N(M623)&lt;=설정!$B$28*30.4),설정!$B$32,설정!$B$33),설정!$B$34))+IF(AA623="★",설정!$B$35,0))</f>
        <v/>
      </c>
      <c r="AC623">
        <f>SUBSTITUTE(SUBSTITUTE(SUBSTITUTE(SUBSTITUTE(H623,"(주)",""),"㈜",""),"주식회사","")," ","")</f>
        <v/>
      </c>
      <c r="AD623">
        <f>IF(AND(T623,AC623&lt;&gt;""),IF(COUNTIFS(AC$2:AC623,AC623,T$2:T623,TRUE)=1,MAX(AD$1:AD622)+1,""),"")</f>
        <v/>
      </c>
    </row>
    <row r="624">
      <c r="A624">
        <f>ROW()</f>
        <v/>
      </c>
      <c r="B624">
        <f>IF(설정!$C$4="","",IFERROR(INDEX('1.산군_붙여넣기'!$A$1:$AZ$1001,ROW(),설정!$C$4)&amp;"",""))</f>
        <v/>
      </c>
      <c r="C624">
        <f>IF(설정!$C$5="","",IFERROR(INDEX('1.산군_붙여넣기'!$A$1:$AZ$1001,ROW(),설정!$C$5)&amp;"",""))</f>
        <v/>
      </c>
      <c r="D624" s="5">
        <f>IFERROR(VALUE(SUBSTITUTE(SUBSTITUTE(SUBSTITUTE(IF(설정!$C$6="","",IFERROR(INDEX('1.산군_붙여넣기'!$A$1:$AZ$1001,ROW(),설정!$C$6)&amp;"","")),",",""),"㎡",""),"m2","")),"")</f>
        <v/>
      </c>
      <c r="E624">
        <f>IF(설정!$C$7="","",IFERROR(INDEX('1.산군_붙여넣기'!$A$1:$AZ$1001,ROW(),설정!$C$7)&amp;"",""))</f>
        <v/>
      </c>
      <c r="F624">
        <f>IF(설정!$C$8="","",IFERROR(INDEX('1.산군_붙여넣기'!$A$1:$AZ$1001,ROW(),설정!$C$8)&amp;"",""))</f>
        <v/>
      </c>
      <c r="G624">
        <f>IF(설정!$C$9="","",IFERROR(INDEX('1.산군_붙여넣기'!$A$1:$AZ$1001,ROW(),설정!$C$9)&amp;"",""))</f>
        <v/>
      </c>
      <c r="H624">
        <f>IF(설정!$C$10="","",IFERROR(INDEX('1.산군_붙여넣기'!$A$1:$AZ$1001,ROW(),설정!$C$10)&amp;"",""))</f>
        <v/>
      </c>
      <c r="I624">
        <f>IF(설정!$C$11="","",IFERROR(INDEX('1.산군_붙여넣기'!$A$1:$AZ$1001,ROW(),설정!$C$11)&amp;"",""))</f>
        <v/>
      </c>
      <c r="J624">
        <f>IF(설정!$C$12="","",IFERROR(INDEX('1.산군_붙여넣기'!$A$1:$AZ$1001,ROW(),설정!$C$12)&amp;"",""))</f>
        <v/>
      </c>
      <c r="K624">
        <f>IF(설정!$C$13="","",IFERROR(INDEX('1.산군_붙여넣기'!$A$1:$AZ$1001,ROW(),설정!$C$13)&amp;"",""))</f>
        <v/>
      </c>
      <c r="L624" s="7">
        <f>IF(X624="","",IF(AND(LEN(X624)=8,ISNUMBER(X624*1)),DATE(LEFT(X624,4),MID(X624,5,2),RIGHT(X624,2)),IFERROR(DATEVALUE(SUBSTITUTE(SUBSTITUTE(X624,".","-"),"/","-")),IFERROR(X624*1,""))))</f>
        <v/>
      </c>
      <c r="M624" s="7">
        <f>IF(Y624="","",IF(AND(LEN(Y624)=8,ISNUMBER(Y624*1)),DATE(LEFT(Y624,4),MID(Y624,5,2),RIGHT(Y624,2)),IFERROR(DATEVALUE(SUBSTITUTE(SUBSTITUTE(Y624,".","-"),"/","-")),IFERROR(Y624*1,""))))</f>
        <v/>
      </c>
      <c r="N624">
        <f>IFERROR(LEFT(B624,FIND(" ",B624)-1),B624)</f>
        <v/>
      </c>
      <c r="O624">
        <f>AND(B624&lt;&gt;"",B624&lt;&gt;설정!$B$4,C624&lt;&gt;설정!$B$5)</f>
        <v/>
      </c>
      <c r="P624">
        <f>IF(O624,B624&amp;"|"&amp;C624,"")</f>
        <v/>
      </c>
      <c r="Q624">
        <f>AND(O624,COUNTIF(P625:P$1002,P624)=0)</f>
        <v/>
      </c>
      <c r="R624">
        <f>OR(AND(설정!$A$42&lt;&gt;"",ISNUMBER(SEARCH(설정!$A$42,E624&amp;" "&amp;C624))),AND(설정!$A$43&lt;&gt;"",ISNUMBER(SEARCH(설정!$A$43,E624&amp;" "&amp;C624))),AND(설정!$A$44&lt;&gt;"",ISNUMBER(SEARCH(설정!$A$44,E624&amp;" "&amp;C624))),AND(설정!$A$45&lt;&gt;"",ISNUMBER(SEARCH(설정!$A$45,E624&amp;" "&amp;C624))),AND(설정!$A$46&lt;&gt;"",ISNUMBER(SEARCH(설정!$A$46,E624&amp;" "&amp;C624))),AND(설정!$A$47&lt;&gt;"",ISNUMBER(SEARCH(설정!$A$47,E624&amp;" "&amp;C624))),AND(설정!$A$48&lt;&gt;"",ISNUMBER(SEARCH(설정!$A$48,E624&amp;" "&amp;C624))),AND(설정!$A$49&lt;&gt;"",ISNUMBER(SEARCH(설정!$A$49,E624&amp;" "&amp;C624))),AND(설정!$A$50&lt;&gt;"",ISNUMBER(SEARCH(설정!$A$50,E624&amp;" "&amp;C624))),AND(설정!$A$51&lt;&gt;"",ISNUMBER(SEARCH(설정!$A$51,E624&amp;" "&amp;C624))))</f>
        <v/>
      </c>
      <c r="S624">
        <f>OR(D624="",D624&gt;=설정!$B$19)</f>
        <v/>
      </c>
      <c r="T624">
        <f>AND(Q624,R624,S624)</f>
        <v/>
      </c>
      <c r="U624">
        <f>IF(T624,IF(AND(설정!$A$54&lt;&gt;"",ISNUMBER(SEARCH(설정!$A$54,K624))),설정!$B$54,IF(AND(설정!$A$55&lt;&gt;"",ISNUMBER(SEARCH(설정!$A$55,K624))),설정!$B$55,IF(AND(설정!$A$56&lt;&gt;"",ISNUMBER(SEARCH(설정!$A$56,K624))),설정!$B$56,IF(AND(설정!$A$57&lt;&gt;"",ISNUMBER(SEARCH(설정!$A$57,K624))),설정!$B$57,IF(AND(설정!$A$58&lt;&gt;"",ISNUMBER(SEARCH(설정!$A$58,K624))),설정!$B$58,IF(AND(설정!$A$59&lt;&gt;"",ISNUMBER(SEARCH(설정!$A$59,K624))),설정!$B$59,IF(AND(설정!$A$60&lt;&gt;"",ISNUMBER(SEARCH(설정!$A$60,K624))),설정!$B$60,IF(AND(설정!$A$61&lt;&gt;"",ISNUMBER(SEARCH(설정!$A$61,K624))),설정!$B$61,IF(M624="","설계사","시공사"))))))))),"")</f>
        <v/>
      </c>
      <c r="V624">
        <f>SUBSTITUTE(SUBSTITUTE(SUBSTITUTE(SUBSTITUTE(G624,"(주)",""),"㈜",""),"주식회사","")," ","")</f>
        <v/>
      </c>
      <c r="W624">
        <f>IF(AND(T624,V624&lt;&gt;""),IF(COUNTIFS(V$2:V624,V624,T$2:T624,TRUE)=1,MAX(W$1:W623)+1,""),"")</f>
        <v/>
      </c>
      <c r="X624">
        <f>IF(설정!$C$14="","",IFERROR(INDEX('1.산군_붙여넣기'!$A$1:$AZ$1001,ROW(),설정!$C$14)&amp;"",""))</f>
        <v/>
      </c>
      <c r="Y624">
        <f>IF(설정!$C$15="","",IFERROR(INDEX('1.산군_붙여넣기'!$A$1:$AZ$1001,ROW(),설정!$C$15)&amp;"",""))</f>
        <v/>
      </c>
      <c r="Z624">
        <f>IF(T624,V624&amp;"|"&amp;U624,"")</f>
        <v/>
      </c>
      <c r="AA624">
        <f>IF(NOT(Q624),"",IF(NOT(AND(R624,S624)),"✕",IF(OR(OR(AND(L624&lt;&gt;"",M624&lt;&gt;"",N(M624)-N(L624)&gt;설정!$B$27),AND(L624&lt;&gt;"",M624="",설정!$B$24-N(L624)&gt;설정!$B$27)),AND(D624&lt;&gt;"",D624&lt;설정!$B$26)),"△","★")))</f>
        <v/>
      </c>
      <c r="AB624">
        <f>IF(NOT(T624),"",IF(U624="설계사",설정!$B$31,IF(U624="시공사",IF(OR(M624="",설정!$B$24-N(M624)&lt;=설정!$B$28*30.4),설정!$B$32,설정!$B$33),설정!$B$34))+IF(AA624="★",설정!$B$35,0))</f>
        <v/>
      </c>
      <c r="AC624">
        <f>SUBSTITUTE(SUBSTITUTE(SUBSTITUTE(SUBSTITUTE(H624,"(주)",""),"㈜",""),"주식회사","")," ","")</f>
        <v/>
      </c>
      <c r="AD624">
        <f>IF(AND(T624,AC624&lt;&gt;""),IF(COUNTIFS(AC$2:AC624,AC624,T$2:T624,TRUE)=1,MAX(AD$1:AD623)+1,""),"")</f>
        <v/>
      </c>
    </row>
    <row r="625">
      <c r="A625">
        <f>ROW()</f>
        <v/>
      </c>
      <c r="B625">
        <f>IF(설정!$C$4="","",IFERROR(INDEX('1.산군_붙여넣기'!$A$1:$AZ$1001,ROW(),설정!$C$4)&amp;"",""))</f>
        <v/>
      </c>
      <c r="C625">
        <f>IF(설정!$C$5="","",IFERROR(INDEX('1.산군_붙여넣기'!$A$1:$AZ$1001,ROW(),설정!$C$5)&amp;"",""))</f>
        <v/>
      </c>
      <c r="D625" s="5">
        <f>IFERROR(VALUE(SUBSTITUTE(SUBSTITUTE(SUBSTITUTE(IF(설정!$C$6="","",IFERROR(INDEX('1.산군_붙여넣기'!$A$1:$AZ$1001,ROW(),설정!$C$6)&amp;"","")),",",""),"㎡",""),"m2","")),"")</f>
        <v/>
      </c>
      <c r="E625">
        <f>IF(설정!$C$7="","",IFERROR(INDEX('1.산군_붙여넣기'!$A$1:$AZ$1001,ROW(),설정!$C$7)&amp;"",""))</f>
        <v/>
      </c>
      <c r="F625">
        <f>IF(설정!$C$8="","",IFERROR(INDEX('1.산군_붙여넣기'!$A$1:$AZ$1001,ROW(),설정!$C$8)&amp;"",""))</f>
        <v/>
      </c>
      <c r="G625">
        <f>IF(설정!$C$9="","",IFERROR(INDEX('1.산군_붙여넣기'!$A$1:$AZ$1001,ROW(),설정!$C$9)&amp;"",""))</f>
        <v/>
      </c>
      <c r="H625">
        <f>IF(설정!$C$10="","",IFERROR(INDEX('1.산군_붙여넣기'!$A$1:$AZ$1001,ROW(),설정!$C$10)&amp;"",""))</f>
        <v/>
      </c>
      <c r="I625">
        <f>IF(설정!$C$11="","",IFERROR(INDEX('1.산군_붙여넣기'!$A$1:$AZ$1001,ROW(),설정!$C$11)&amp;"",""))</f>
        <v/>
      </c>
      <c r="J625">
        <f>IF(설정!$C$12="","",IFERROR(INDEX('1.산군_붙여넣기'!$A$1:$AZ$1001,ROW(),설정!$C$12)&amp;"",""))</f>
        <v/>
      </c>
      <c r="K625">
        <f>IF(설정!$C$13="","",IFERROR(INDEX('1.산군_붙여넣기'!$A$1:$AZ$1001,ROW(),설정!$C$13)&amp;"",""))</f>
        <v/>
      </c>
      <c r="L625" s="7">
        <f>IF(X625="","",IF(AND(LEN(X625)=8,ISNUMBER(X625*1)),DATE(LEFT(X625,4),MID(X625,5,2),RIGHT(X625,2)),IFERROR(DATEVALUE(SUBSTITUTE(SUBSTITUTE(X625,".","-"),"/","-")),IFERROR(X625*1,""))))</f>
        <v/>
      </c>
      <c r="M625" s="7">
        <f>IF(Y625="","",IF(AND(LEN(Y625)=8,ISNUMBER(Y625*1)),DATE(LEFT(Y625,4),MID(Y625,5,2),RIGHT(Y625,2)),IFERROR(DATEVALUE(SUBSTITUTE(SUBSTITUTE(Y625,".","-"),"/","-")),IFERROR(Y625*1,""))))</f>
        <v/>
      </c>
      <c r="N625">
        <f>IFERROR(LEFT(B625,FIND(" ",B625)-1),B625)</f>
        <v/>
      </c>
      <c r="O625">
        <f>AND(B625&lt;&gt;"",B625&lt;&gt;설정!$B$4,C625&lt;&gt;설정!$B$5)</f>
        <v/>
      </c>
      <c r="P625">
        <f>IF(O625,B625&amp;"|"&amp;C625,"")</f>
        <v/>
      </c>
      <c r="Q625">
        <f>AND(O625,COUNTIF(P626:P$1002,P625)=0)</f>
        <v/>
      </c>
      <c r="R625">
        <f>OR(AND(설정!$A$42&lt;&gt;"",ISNUMBER(SEARCH(설정!$A$42,E625&amp;" "&amp;C625))),AND(설정!$A$43&lt;&gt;"",ISNUMBER(SEARCH(설정!$A$43,E625&amp;" "&amp;C625))),AND(설정!$A$44&lt;&gt;"",ISNUMBER(SEARCH(설정!$A$44,E625&amp;" "&amp;C625))),AND(설정!$A$45&lt;&gt;"",ISNUMBER(SEARCH(설정!$A$45,E625&amp;" "&amp;C625))),AND(설정!$A$46&lt;&gt;"",ISNUMBER(SEARCH(설정!$A$46,E625&amp;" "&amp;C625))),AND(설정!$A$47&lt;&gt;"",ISNUMBER(SEARCH(설정!$A$47,E625&amp;" "&amp;C625))),AND(설정!$A$48&lt;&gt;"",ISNUMBER(SEARCH(설정!$A$48,E625&amp;" "&amp;C625))),AND(설정!$A$49&lt;&gt;"",ISNUMBER(SEARCH(설정!$A$49,E625&amp;" "&amp;C625))),AND(설정!$A$50&lt;&gt;"",ISNUMBER(SEARCH(설정!$A$50,E625&amp;" "&amp;C625))),AND(설정!$A$51&lt;&gt;"",ISNUMBER(SEARCH(설정!$A$51,E625&amp;" "&amp;C625))))</f>
        <v/>
      </c>
      <c r="S625">
        <f>OR(D625="",D625&gt;=설정!$B$19)</f>
        <v/>
      </c>
      <c r="T625">
        <f>AND(Q625,R625,S625)</f>
        <v/>
      </c>
      <c r="U625">
        <f>IF(T625,IF(AND(설정!$A$54&lt;&gt;"",ISNUMBER(SEARCH(설정!$A$54,K625))),설정!$B$54,IF(AND(설정!$A$55&lt;&gt;"",ISNUMBER(SEARCH(설정!$A$55,K625))),설정!$B$55,IF(AND(설정!$A$56&lt;&gt;"",ISNUMBER(SEARCH(설정!$A$56,K625))),설정!$B$56,IF(AND(설정!$A$57&lt;&gt;"",ISNUMBER(SEARCH(설정!$A$57,K625))),설정!$B$57,IF(AND(설정!$A$58&lt;&gt;"",ISNUMBER(SEARCH(설정!$A$58,K625))),설정!$B$58,IF(AND(설정!$A$59&lt;&gt;"",ISNUMBER(SEARCH(설정!$A$59,K625))),설정!$B$59,IF(AND(설정!$A$60&lt;&gt;"",ISNUMBER(SEARCH(설정!$A$60,K625))),설정!$B$60,IF(AND(설정!$A$61&lt;&gt;"",ISNUMBER(SEARCH(설정!$A$61,K625))),설정!$B$61,IF(M625="","설계사","시공사"))))))))),"")</f>
        <v/>
      </c>
      <c r="V625">
        <f>SUBSTITUTE(SUBSTITUTE(SUBSTITUTE(SUBSTITUTE(G625,"(주)",""),"㈜",""),"주식회사","")," ","")</f>
        <v/>
      </c>
      <c r="W625">
        <f>IF(AND(T625,V625&lt;&gt;""),IF(COUNTIFS(V$2:V625,V625,T$2:T625,TRUE)=1,MAX(W$1:W624)+1,""),"")</f>
        <v/>
      </c>
      <c r="X625">
        <f>IF(설정!$C$14="","",IFERROR(INDEX('1.산군_붙여넣기'!$A$1:$AZ$1001,ROW(),설정!$C$14)&amp;"",""))</f>
        <v/>
      </c>
      <c r="Y625">
        <f>IF(설정!$C$15="","",IFERROR(INDEX('1.산군_붙여넣기'!$A$1:$AZ$1001,ROW(),설정!$C$15)&amp;"",""))</f>
        <v/>
      </c>
      <c r="Z625">
        <f>IF(T625,V625&amp;"|"&amp;U625,"")</f>
        <v/>
      </c>
      <c r="AA625">
        <f>IF(NOT(Q625),"",IF(NOT(AND(R625,S625)),"✕",IF(OR(OR(AND(L625&lt;&gt;"",M625&lt;&gt;"",N(M625)-N(L625)&gt;설정!$B$27),AND(L625&lt;&gt;"",M625="",설정!$B$24-N(L625)&gt;설정!$B$27)),AND(D625&lt;&gt;"",D625&lt;설정!$B$26)),"△","★")))</f>
        <v/>
      </c>
      <c r="AB625">
        <f>IF(NOT(T625),"",IF(U625="설계사",설정!$B$31,IF(U625="시공사",IF(OR(M625="",설정!$B$24-N(M625)&lt;=설정!$B$28*30.4),설정!$B$32,설정!$B$33),설정!$B$34))+IF(AA625="★",설정!$B$35,0))</f>
        <v/>
      </c>
      <c r="AC625">
        <f>SUBSTITUTE(SUBSTITUTE(SUBSTITUTE(SUBSTITUTE(H625,"(주)",""),"㈜",""),"주식회사","")," ","")</f>
        <v/>
      </c>
      <c r="AD625">
        <f>IF(AND(T625,AC625&lt;&gt;""),IF(COUNTIFS(AC$2:AC625,AC625,T$2:T625,TRUE)=1,MAX(AD$1:AD624)+1,""),"")</f>
        <v/>
      </c>
    </row>
    <row r="626">
      <c r="A626">
        <f>ROW()</f>
        <v/>
      </c>
      <c r="B626">
        <f>IF(설정!$C$4="","",IFERROR(INDEX('1.산군_붙여넣기'!$A$1:$AZ$1001,ROW(),설정!$C$4)&amp;"",""))</f>
        <v/>
      </c>
      <c r="C626">
        <f>IF(설정!$C$5="","",IFERROR(INDEX('1.산군_붙여넣기'!$A$1:$AZ$1001,ROW(),설정!$C$5)&amp;"",""))</f>
        <v/>
      </c>
      <c r="D626" s="5">
        <f>IFERROR(VALUE(SUBSTITUTE(SUBSTITUTE(SUBSTITUTE(IF(설정!$C$6="","",IFERROR(INDEX('1.산군_붙여넣기'!$A$1:$AZ$1001,ROW(),설정!$C$6)&amp;"","")),",",""),"㎡",""),"m2","")),"")</f>
        <v/>
      </c>
      <c r="E626">
        <f>IF(설정!$C$7="","",IFERROR(INDEX('1.산군_붙여넣기'!$A$1:$AZ$1001,ROW(),설정!$C$7)&amp;"",""))</f>
        <v/>
      </c>
      <c r="F626">
        <f>IF(설정!$C$8="","",IFERROR(INDEX('1.산군_붙여넣기'!$A$1:$AZ$1001,ROW(),설정!$C$8)&amp;"",""))</f>
        <v/>
      </c>
      <c r="G626">
        <f>IF(설정!$C$9="","",IFERROR(INDEX('1.산군_붙여넣기'!$A$1:$AZ$1001,ROW(),설정!$C$9)&amp;"",""))</f>
        <v/>
      </c>
      <c r="H626">
        <f>IF(설정!$C$10="","",IFERROR(INDEX('1.산군_붙여넣기'!$A$1:$AZ$1001,ROW(),설정!$C$10)&amp;"",""))</f>
        <v/>
      </c>
      <c r="I626">
        <f>IF(설정!$C$11="","",IFERROR(INDEX('1.산군_붙여넣기'!$A$1:$AZ$1001,ROW(),설정!$C$11)&amp;"",""))</f>
        <v/>
      </c>
      <c r="J626">
        <f>IF(설정!$C$12="","",IFERROR(INDEX('1.산군_붙여넣기'!$A$1:$AZ$1001,ROW(),설정!$C$12)&amp;"",""))</f>
        <v/>
      </c>
      <c r="K626">
        <f>IF(설정!$C$13="","",IFERROR(INDEX('1.산군_붙여넣기'!$A$1:$AZ$1001,ROW(),설정!$C$13)&amp;"",""))</f>
        <v/>
      </c>
      <c r="L626" s="7">
        <f>IF(X626="","",IF(AND(LEN(X626)=8,ISNUMBER(X626*1)),DATE(LEFT(X626,4),MID(X626,5,2),RIGHT(X626,2)),IFERROR(DATEVALUE(SUBSTITUTE(SUBSTITUTE(X626,".","-"),"/","-")),IFERROR(X626*1,""))))</f>
        <v/>
      </c>
      <c r="M626" s="7">
        <f>IF(Y626="","",IF(AND(LEN(Y626)=8,ISNUMBER(Y626*1)),DATE(LEFT(Y626,4),MID(Y626,5,2),RIGHT(Y626,2)),IFERROR(DATEVALUE(SUBSTITUTE(SUBSTITUTE(Y626,".","-"),"/","-")),IFERROR(Y626*1,""))))</f>
        <v/>
      </c>
      <c r="N626">
        <f>IFERROR(LEFT(B626,FIND(" ",B626)-1),B626)</f>
        <v/>
      </c>
      <c r="O626">
        <f>AND(B626&lt;&gt;"",B626&lt;&gt;설정!$B$4,C626&lt;&gt;설정!$B$5)</f>
        <v/>
      </c>
      <c r="P626">
        <f>IF(O626,B626&amp;"|"&amp;C626,"")</f>
        <v/>
      </c>
      <c r="Q626">
        <f>AND(O626,COUNTIF(P627:P$1002,P626)=0)</f>
        <v/>
      </c>
      <c r="R626">
        <f>OR(AND(설정!$A$42&lt;&gt;"",ISNUMBER(SEARCH(설정!$A$42,E626&amp;" "&amp;C626))),AND(설정!$A$43&lt;&gt;"",ISNUMBER(SEARCH(설정!$A$43,E626&amp;" "&amp;C626))),AND(설정!$A$44&lt;&gt;"",ISNUMBER(SEARCH(설정!$A$44,E626&amp;" "&amp;C626))),AND(설정!$A$45&lt;&gt;"",ISNUMBER(SEARCH(설정!$A$45,E626&amp;" "&amp;C626))),AND(설정!$A$46&lt;&gt;"",ISNUMBER(SEARCH(설정!$A$46,E626&amp;" "&amp;C626))),AND(설정!$A$47&lt;&gt;"",ISNUMBER(SEARCH(설정!$A$47,E626&amp;" "&amp;C626))),AND(설정!$A$48&lt;&gt;"",ISNUMBER(SEARCH(설정!$A$48,E626&amp;" "&amp;C626))),AND(설정!$A$49&lt;&gt;"",ISNUMBER(SEARCH(설정!$A$49,E626&amp;" "&amp;C626))),AND(설정!$A$50&lt;&gt;"",ISNUMBER(SEARCH(설정!$A$50,E626&amp;" "&amp;C626))),AND(설정!$A$51&lt;&gt;"",ISNUMBER(SEARCH(설정!$A$51,E626&amp;" "&amp;C626))))</f>
        <v/>
      </c>
      <c r="S626">
        <f>OR(D626="",D626&gt;=설정!$B$19)</f>
        <v/>
      </c>
      <c r="T626">
        <f>AND(Q626,R626,S626)</f>
        <v/>
      </c>
      <c r="U626">
        <f>IF(T626,IF(AND(설정!$A$54&lt;&gt;"",ISNUMBER(SEARCH(설정!$A$54,K626))),설정!$B$54,IF(AND(설정!$A$55&lt;&gt;"",ISNUMBER(SEARCH(설정!$A$55,K626))),설정!$B$55,IF(AND(설정!$A$56&lt;&gt;"",ISNUMBER(SEARCH(설정!$A$56,K626))),설정!$B$56,IF(AND(설정!$A$57&lt;&gt;"",ISNUMBER(SEARCH(설정!$A$57,K626))),설정!$B$57,IF(AND(설정!$A$58&lt;&gt;"",ISNUMBER(SEARCH(설정!$A$58,K626))),설정!$B$58,IF(AND(설정!$A$59&lt;&gt;"",ISNUMBER(SEARCH(설정!$A$59,K626))),설정!$B$59,IF(AND(설정!$A$60&lt;&gt;"",ISNUMBER(SEARCH(설정!$A$60,K626))),설정!$B$60,IF(AND(설정!$A$61&lt;&gt;"",ISNUMBER(SEARCH(설정!$A$61,K626))),설정!$B$61,IF(M626="","설계사","시공사"))))))))),"")</f>
        <v/>
      </c>
      <c r="V626">
        <f>SUBSTITUTE(SUBSTITUTE(SUBSTITUTE(SUBSTITUTE(G626,"(주)",""),"㈜",""),"주식회사","")," ","")</f>
        <v/>
      </c>
      <c r="W626">
        <f>IF(AND(T626,V626&lt;&gt;""),IF(COUNTIFS(V$2:V626,V626,T$2:T626,TRUE)=1,MAX(W$1:W625)+1,""),"")</f>
        <v/>
      </c>
      <c r="X626">
        <f>IF(설정!$C$14="","",IFERROR(INDEX('1.산군_붙여넣기'!$A$1:$AZ$1001,ROW(),설정!$C$14)&amp;"",""))</f>
        <v/>
      </c>
      <c r="Y626">
        <f>IF(설정!$C$15="","",IFERROR(INDEX('1.산군_붙여넣기'!$A$1:$AZ$1001,ROW(),설정!$C$15)&amp;"",""))</f>
        <v/>
      </c>
      <c r="Z626">
        <f>IF(T626,V626&amp;"|"&amp;U626,"")</f>
        <v/>
      </c>
      <c r="AA626">
        <f>IF(NOT(Q626),"",IF(NOT(AND(R626,S626)),"✕",IF(OR(OR(AND(L626&lt;&gt;"",M626&lt;&gt;"",N(M626)-N(L626)&gt;설정!$B$27),AND(L626&lt;&gt;"",M626="",설정!$B$24-N(L626)&gt;설정!$B$27)),AND(D626&lt;&gt;"",D626&lt;설정!$B$26)),"△","★")))</f>
        <v/>
      </c>
      <c r="AB626">
        <f>IF(NOT(T626),"",IF(U626="설계사",설정!$B$31,IF(U626="시공사",IF(OR(M626="",설정!$B$24-N(M626)&lt;=설정!$B$28*30.4),설정!$B$32,설정!$B$33),설정!$B$34))+IF(AA626="★",설정!$B$35,0))</f>
        <v/>
      </c>
      <c r="AC626">
        <f>SUBSTITUTE(SUBSTITUTE(SUBSTITUTE(SUBSTITUTE(H626,"(주)",""),"㈜",""),"주식회사","")," ","")</f>
        <v/>
      </c>
      <c r="AD626">
        <f>IF(AND(T626,AC626&lt;&gt;""),IF(COUNTIFS(AC$2:AC626,AC626,T$2:T626,TRUE)=1,MAX(AD$1:AD625)+1,""),"")</f>
        <v/>
      </c>
    </row>
    <row r="627">
      <c r="A627">
        <f>ROW()</f>
        <v/>
      </c>
      <c r="B627">
        <f>IF(설정!$C$4="","",IFERROR(INDEX('1.산군_붙여넣기'!$A$1:$AZ$1001,ROW(),설정!$C$4)&amp;"",""))</f>
        <v/>
      </c>
      <c r="C627">
        <f>IF(설정!$C$5="","",IFERROR(INDEX('1.산군_붙여넣기'!$A$1:$AZ$1001,ROW(),설정!$C$5)&amp;"",""))</f>
        <v/>
      </c>
      <c r="D627" s="5">
        <f>IFERROR(VALUE(SUBSTITUTE(SUBSTITUTE(SUBSTITUTE(IF(설정!$C$6="","",IFERROR(INDEX('1.산군_붙여넣기'!$A$1:$AZ$1001,ROW(),설정!$C$6)&amp;"","")),",",""),"㎡",""),"m2","")),"")</f>
        <v/>
      </c>
      <c r="E627">
        <f>IF(설정!$C$7="","",IFERROR(INDEX('1.산군_붙여넣기'!$A$1:$AZ$1001,ROW(),설정!$C$7)&amp;"",""))</f>
        <v/>
      </c>
      <c r="F627">
        <f>IF(설정!$C$8="","",IFERROR(INDEX('1.산군_붙여넣기'!$A$1:$AZ$1001,ROW(),설정!$C$8)&amp;"",""))</f>
        <v/>
      </c>
      <c r="G627">
        <f>IF(설정!$C$9="","",IFERROR(INDEX('1.산군_붙여넣기'!$A$1:$AZ$1001,ROW(),설정!$C$9)&amp;"",""))</f>
        <v/>
      </c>
      <c r="H627">
        <f>IF(설정!$C$10="","",IFERROR(INDEX('1.산군_붙여넣기'!$A$1:$AZ$1001,ROW(),설정!$C$10)&amp;"",""))</f>
        <v/>
      </c>
      <c r="I627">
        <f>IF(설정!$C$11="","",IFERROR(INDEX('1.산군_붙여넣기'!$A$1:$AZ$1001,ROW(),설정!$C$11)&amp;"",""))</f>
        <v/>
      </c>
      <c r="J627">
        <f>IF(설정!$C$12="","",IFERROR(INDEX('1.산군_붙여넣기'!$A$1:$AZ$1001,ROW(),설정!$C$12)&amp;"",""))</f>
        <v/>
      </c>
      <c r="K627">
        <f>IF(설정!$C$13="","",IFERROR(INDEX('1.산군_붙여넣기'!$A$1:$AZ$1001,ROW(),설정!$C$13)&amp;"",""))</f>
        <v/>
      </c>
      <c r="L627" s="7">
        <f>IF(X627="","",IF(AND(LEN(X627)=8,ISNUMBER(X627*1)),DATE(LEFT(X627,4),MID(X627,5,2),RIGHT(X627,2)),IFERROR(DATEVALUE(SUBSTITUTE(SUBSTITUTE(X627,".","-"),"/","-")),IFERROR(X627*1,""))))</f>
        <v/>
      </c>
      <c r="M627" s="7">
        <f>IF(Y627="","",IF(AND(LEN(Y627)=8,ISNUMBER(Y627*1)),DATE(LEFT(Y627,4),MID(Y627,5,2),RIGHT(Y627,2)),IFERROR(DATEVALUE(SUBSTITUTE(SUBSTITUTE(Y627,".","-"),"/","-")),IFERROR(Y627*1,""))))</f>
        <v/>
      </c>
      <c r="N627">
        <f>IFERROR(LEFT(B627,FIND(" ",B627)-1),B627)</f>
        <v/>
      </c>
      <c r="O627">
        <f>AND(B627&lt;&gt;"",B627&lt;&gt;설정!$B$4,C627&lt;&gt;설정!$B$5)</f>
        <v/>
      </c>
      <c r="P627">
        <f>IF(O627,B627&amp;"|"&amp;C627,"")</f>
        <v/>
      </c>
      <c r="Q627">
        <f>AND(O627,COUNTIF(P628:P$1002,P627)=0)</f>
        <v/>
      </c>
      <c r="R627">
        <f>OR(AND(설정!$A$42&lt;&gt;"",ISNUMBER(SEARCH(설정!$A$42,E627&amp;" "&amp;C627))),AND(설정!$A$43&lt;&gt;"",ISNUMBER(SEARCH(설정!$A$43,E627&amp;" "&amp;C627))),AND(설정!$A$44&lt;&gt;"",ISNUMBER(SEARCH(설정!$A$44,E627&amp;" "&amp;C627))),AND(설정!$A$45&lt;&gt;"",ISNUMBER(SEARCH(설정!$A$45,E627&amp;" "&amp;C627))),AND(설정!$A$46&lt;&gt;"",ISNUMBER(SEARCH(설정!$A$46,E627&amp;" "&amp;C627))),AND(설정!$A$47&lt;&gt;"",ISNUMBER(SEARCH(설정!$A$47,E627&amp;" "&amp;C627))),AND(설정!$A$48&lt;&gt;"",ISNUMBER(SEARCH(설정!$A$48,E627&amp;" "&amp;C627))),AND(설정!$A$49&lt;&gt;"",ISNUMBER(SEARCH(설정!$A$49,E627&amp;" "&amp;C627))),AND(설정!$A$50&lt;&gt;"",ISNUMBER(SEARCH(설정!$A$50,E627&amp;" "&amp;C627))),AND(설정!$A$51&lt;&gt;"",ISNUMBER(SEARCH(설정!$A$51,E627&amp;" "&amp;C627))))</f>
        <v/>
      </c>
      <c r="S627">
        <f>OR(D627="",D627&gt;=설정!$B$19)</f>
        <v/>
      </c>
      <c r="T627">
        <f>AND(Q627,R627,S627)</f>
        <v/>
      </c>
      <c r="U627">
        <f>IF(T627,IF(AND(설정!$A$54&lt;&gt;"",ISNUMBER(SEARCH(설정!$A$54,K627))),설정!$B$54,IF(AND(설정!$A$55&lt;&gt;"",ISNUMBER(SEARCH(설정!$A$55,K627))),설정!$B$55,IF(AND(설정!$A$56&lt;&gt;"",ISNUMBER(SEARCH(설정!$A$56,K627))),설정!$B$56,IF(AND(설정!$A$57&lt;&gt;"",ISNUMBER(SEARCH(설정!$A$57,K627))),설정!$B$57,IF(AND(설정!$A$58&lt;&gt;"",ISNUMBER(SEARCH(설정!$A$58,K627))),설정!$B$58,IF(AND(설정!$A$59&lt;&gt;"",ISNUMBER(SEARCH(설정!$A$59,K627))),설정!$B$59,IF(AND(설정!$A$60&lt;&gt;"",ISNUMBER(SEARCH(설정!$A$60,K627))),설정!$B$60,IF(AND(설정!$A$61&lt;&gt;"",ISNUMBER(SEARCH(설정!$A$61,K627))),설정!$B$61,IF(M627="","설계사","시공사"))))))))),"")</f>
        <v/>
      </c>
      <c r="V627">
        <f>SUBSTITUTE(SUBSTITUTE(SUBSTITUTE(SUBSTITUTE(G627,"(주)",""),"㈜",""),"주식회사","")," ","")</f>
        <v/>
      </c>
      <c r="W627">
        <f>IF(AND(T627,V627&lt;&gt;""),IF(COUNTIFS(V$2:V627,V627,T$2:T627,TRUE)=1,MAX(W$1:W626)+1,""),"")</f>
        <v/>
      </c>
      <c r="X627">
        <f>IF(설정!$C$14="","",IFERROR(INDEX('1.산군_붙여넣기'!$A$1:$AZ$1001,ROW(),설정!$C$14)&amp;"",""))</f>
        <v/>
      </c>
      <c r="Y627">
        <f>IF(설정!$C$15="","",IFERROR(INDEX('1.산군_붙여넣기'!$A$1:$AZ$1001,ROW(),설정!$C$15)&amp;"",""))</f>
        <v/>
      </c>
      <c r="Z627">
        <f>IF(T627,V627&amp;"|"&amp;U627,"")</f>
        <v/>
      </c>
      <c r="AA627">
        <f>IF(NOT(Q627),"",IF(NOT(AND(R627,S627)),"✕",IF(OR(OR(AND(L627&lt;&gt;"",M627&lt;&gt;"",N(M627)-N(L627)&gt;설정!$B$27),AND(L627&lt;&gt;"",M627="",설정!$B$24-N(L627)&gt;설정!$B$27)),AND(D627&lt;&gt;"",D627&lt;설정!$B$26)),"△","★")))</f>
        <v/>
      </c>
      <c r="AB627">
        <f>IF(NOT(T627),"",IF(U627="설계사",설정!$B$31,IF(U627="시공사",IF(OR(M627="",설정!$B$24-N(M627)&lt;=설정!$B$28*30.4),설정!$B$32,설정!$B$33),설정!$B$34))+IF(AA627="★",설정!$B$35,0))</f>
        <v/>
      </c>
      <c r="AC627">
        <f>SUBSTITUTE(SUBSTITUTE(SUBSTITUTE(SUBSTITUTE(H627,"(주)",""),"㈜",""),"주식회사","")," ","")</f>
        <v/>
      </c>
      <c r="AD627">
        <f>IF(AND(T627,AC627&lt;&gt;""),IF(COUNTIFS(AC$2:AC627,AC627,T$2:T627,TRUE)=1,MAX(AD$1:AD626)+1,""),"")</f>
        <v/>
      </c>
    </row>
    <row r="628">
      <c r="A628">
        <f>ROW()</f>
        <v/>
      </c>
      <c r="B628">
        <f>IF(설정!$C$4="","",IFERROR(INDEX('1.산군_붙여넣기'!$A$1:$AZ$1001,ROW(),설정!$C$4)&amp;"",""))</f>
        <v/>
      </c>
      <c r="C628">
        <f>IF(설정!$C$5="","",IFERROR(INDEX('1.산군_붙여넣기'!$A$1:$AZ$1001,ROW(),설정!$C$5)&amp;"",""))</f>
        <v/>
      </c>
      <c r="D628" s="5">
        <f>IFERROR(VALUE(SUBSTITUTE(SUBSTITUTE(SUBSTITUTE(IF(설정!$C$6="","",IFERROR(INDEX('1.산군_붙여넣기'!$A$1:$AZ$1001,ROW(),설정!$C$6)&amp;"","")),",",""),"㎡",""),"m2","")),"")</f>
        <v/>
      </c>
      <c r="E628">
        <f>IF(설정!$C$7="","",IFERROR(INDEX('1.산군_붙여넣기'!$A$1:$AZ$1001,ROW(),설정!$C$7)&amp;"",""))</f>
        <v/>
      </c>
      <c r="F628">
        <f>IF(설정!$C$8="","",IFERROR(INDEX('1.산군_붙여넣기'!$A$1:$AZ$1001,ROW(),설정!$C$8)&amp;"",""))</f>
        <v/>
      </c>
      <c r="G628">
        <f>IF(설정!$C$9="","",IFERROR(INDEX('1.산군_붙여넣기'!$A$1:$AZ$1001,ROW(),설정!$C$9)&amp;"",""))</f>
        <v/>
      </c>
      <c r="H628">
        <f>IF(설정!$C$10="","",IFERROR(INDEX('1.산군_붙여넣기'!$A$1:$AZ$1001,ROW(),설정!$C$10)&amp;"",""))</f>
        <v/>
      </c>
      <c r="I628">
        <f>IF(설정!$C$11="","",IFERROR(INDEX('1.산군_붙여넣기'!$A$1:$AZ$1001,ROW(),설정!$C$11)&amp;"",""))</f>
        <v/>
      </c>
      <c r="J628">
        <f>IF(설정!$C$12="","",IFERROR(INDEX('1.산군_붙여넣기'!$A$1:$AZ$1001,ROW(),설정!$C$12)&amp;"",""))</f>
        <v/>
      </c>
      <c r="K628">
        <f>IF(설정!$C$13="","",IFERROR(INDEX('1.산군_붙여넣기'!$A$1:$AZ$1001,ROW(),설정!$C$13)&amp;"",""))</f>
        <v/>
      </c>
      <c r="L628" s="7">
        <f>IF(X628="","",IF(AND(LEN(X628)=8,ISNUMBER(X628*1)),DATE(LEFT(X628,4),MID(X628,5,2),RIGHT(X628,2)),IFERROR(DATEVALUE(SUBSTITUTE(SUBSTITUTE(X628,".","-"),"/","-")),IFERROR(X628*1,""))))</f>
        <v/>
      </c>
      <c r="M628" s="7">
        <f>IF(Y628="","",IF(AND(LEN(Y628)=8,ISNUMBER(Y628*1)),DATE(LEFT(Y628,4),MID(Y628,5,2),RIGHT(Y628,2)),IFERROR(DATEVALUE(SUBSTITUTE(SUBSTITUTE(Y628,".","-"),"/","-")),IFERROR(Y628*1,""))))</f>
        <v/>
      </c>
      <c r="N628">
        <f>IFERROR(LEFT(B628,FIND(" ",B628)-1),B628)</f>
        <v/>
      </c>
      <c r="O628">
        <f>AND(B628&lt;&gt;"",B628&lt;&gt;설정!$B$4,C628&lt;&gt;설정!$B$5)</f>
        <v/>
      </c>
      <c r="P628">
        <f>IF(O628,B628&amp;"|"&amp;C628,"")</f>
        <v/>
      </c>
      <c r="Q628">
        <f>AND(O628,COUNTIF(P629:P$1002,P628)=0)</f>
        <v/>
      </c>
      <c r="R628">
        <f>OR(AND(설정!$A$42&lt;&gt;"",ISNUMBER(SEARCH(설정!$A$42,E628&amp;" "&amp;C628))),AND(설정!$A$43&lt;&gt;"",ISNUMBER(SEARCH(설정!$A$43,E628&amp;" "&amp;C628))),AND(설정!$A$44&lt;&gt;"",ISNUMBER(SEARCH(설정!$A$44,E628&amp;" "&amp;C628))),AND(설정!$A$45&lt;&gt;"",ISNUMBER(SEARCH(설정!$A$45,E628&amp;" "&amp;C628))),AND(설정!$A$46&lt;&gt;"",ISNUMBER(SEARCH(설정!$A$46,E628&amp;" "&amp;C628))),AND(설정!$A$47&lt;&gt;"",ISNUMBER(SEARCH(설정!$A$47,E628&amp;" "&amp;C628))),AND(설정!$A$48&lt;&gt;"",ISNUMBER(SEARCH(설정!$A$48,E628&amp;" "&amp;C628))),AND(설정!$A$49&lt;&gt;"",ISNUMBER(SEARCH(설정!$A$49,E628&amp;" "&amp;C628))),AND(설정!$A$50&lt;&gt;"",ISNUMBER(SEARCH(설정!$A$50,E628&amp;" "&amp;C628))),AND(설정!$A$51&lt;&gt;"",ISNUMBER(SEARCH(설정!$A$51,E628&amp;" "&amp;C628))))</f>
        <v/>
      </c>
      <c r="S628">
        <f>OR(D628="",D628&gt;=설정!$B$19)</f>
        <v/>
      </c>
      <c r="T628">
        <f>AND(Q628,R628,S628)</f>
        <v/>
      </c>
      <c r="U628">
        <f>IF(T628,IF(AND(설정!$A$54&lt;&gt;"",ISNUMBER(SEARCH(설정!$A$54,K628))),설정!$B$54,IF(AND(설정!$A$55&lt;&gt;"",ISNUMBER(SEARCH(설정!$A$55,K628))),설정!$B$55,IF(AND(설정!$A$56&lt;&gt;"",ISNUMBER(SEARCH(설정!$A$56,K628))),설정!$B$56,IF(AND(설정!$A$57&lt;&gt;"",ISNUMBER(SEARCH(설정!$A$57,K628))),설정!$B$57,IF(AND(설정!$A$58&lt;&gt;"",ISNUMBER(SEARCH(설정!$A$58,K628))),설정!$B$58,IF(AND(설정!$A$59&lt;&gt;"",ISNUMBER(SEARCH(설정!$A$59,K628))),설정!$B$59,IF(AND(설정!$A$60&lt;&gt;"",ISNUMBER(SEARCH(설정!$A$60,K628))),설정!$B$60,IF(AND(설정!$A$61&lt;&gt;"",ISNUMBER(SEARCH(설정!$A$61,K628))),설정!$B$61,IF(M628="","설계사","시공사"))))))))),"")</f>
        <v/>
      </c>
      <c r="V628">
        <f>SUBSTITUTE(SUBSTITUTE(SUBSTITUTE(SUBSTITUTE(G628,"(주)",""),"㈜",""),"주식회사","")," ","")</f>
        <v/>
      </c>
      <c r="W628">
        <f>IF(AND(T628,V628&lt;&gt;""),IF(COUNTIFS(V$2:V628,V628,T$2:T628,TRUE)=1,MAX(W$1:W627)+1,""),"")</f>
        <v/>
      </c>
      <c r="X628">
        <f>IF(설정!$C$14="","",IFERROR(INDEX('1.산군_붙여넣기'!$A$1:$AZ$1001,ROW(),설정!$C$14)&amp;"",""))</f>
        <v/>
      </c>
      <c r="Y628">
        <f>IF(설정!$C$15="","",IFERROR(INDEX('1.산군_붙여넣기'!$A$1:$AZ$1001,ROW(),설정!$C$15)&amp;"",""))</f>
        <v/>
      </c>
      <c r="Z628">
        <f>IF(T628,V628&amp;"|"&amp;U628,"")</f>
        <v/>
      </c>
      <c r="AA628">
        <f>IF(NOT(Q628),"",IF(NOT(AND(R628,S628)),"✕",IF(OR(OR(AND(L628&lt;&gt;"",M628&lt;&gt;"",N(M628)-N(L628)&gt;설정!$B$27),AND(L628&lt;&gt;"",M628="",설정!$B$24-N(L628)&gt;설정!$B$27)),AND(D628&lt;&gt;"",D628&lt;설정!$B$26)),"△","★")))</f>
        <v/>
      </c>
      <c r="AB628">
        <f>IF(NOT(T628),"",IF(U628="설계사",설정!$B$31,IF(U628="시공사",IF(OR(M628="",설정!$B$24-N(M628)&lt;=설정!$B$28*30.4),설정!$B$32,설정!$B$33),설정!$B$34))+IF(AA628="★",설정!$B$35,0))</f>
        <v/>
      </c>
      <c r="AC628">
        <f>SUBSTITUTE(SUBSTITUTE(SUBSTITUTE(SUBSTITUTE(H628,"(주)",""),"㈜",""),"주식회사","")," ","")</f>
        <v/>
      </c>
      <c r="AD628">
        <f>IF(AND(T628,AC628&lt;&gt;""),IF(COUNTIFS(AC$2:AC628,AC628,T$2:T628,TRUE)=1,MAX(AD$1:AD627)+1,""),"")</f>
        <v/>
      </c>
    </row>
    <row r="629">
      <c r="A629">
        <f>ROW()</f>
        <v/>
      </c>
      <c r="B629">
        <f>IF(설정!$C$4="","",IFERROR(INDEX('1.산군_붙여넣기'!$A$1:$AZ$1001,ROW(),설정!$C$4)&amp;"",""))</f>
        <v/>
      </c>
      <c r="C629">
        <f>IF(설정!$C$5="","",IFERROR(INDEX('1.산군_붙여넣기'!$A$1:$AZ$1001,ROW(),설정!$C$5)&amp;"",""))</f>
        <v/>
      </c>
      <c r="D629" s="5">
        <f>IFERROR(VALUE(SUBSTITUTE(SUBSTITUTE(SUBSTITUTE(IF(설정!$C$6="","",IFERROR(INDEX('1.산군_붙여넣기'!$A$1:$AZ$1001,ROW(),설정!$C$6)&amp;"","")),",",""),"㎡",""),"m2","")),"")</f>
        <v/>
      </c>
      <c r="E629">
        <f>IF(설정!$C$7="","",IFERROR(INDEX('1.산군_붙여넣기'!$A$1:$AZ$1001,ROW(),설정!$C$7)&amp;"",""))</f>
        <v/>
      </c>
      <c r="F629">
        <f>IF(설정!$C$8="","",IFERROR(INDEX('1.산군_붙여넣기'!$A$1:$AZ$1001,ROW(),설정!$C$8)&amp;"",""))</f>
        <v/>
      </c>
      <c r="G629">
        <f>IF(설정!$C$9="","",IFERROR(INDEX('1.산군_붙여넣기'!$A$1:$AZ$1001,ROW(),설정!$C$9)&amp;"",""))</f>
        <v/>
      </c>
      <c r="H629">
        <f>IF(설정!$C$10="","",IFERROR(INDEX('1.산군_붙여넣기'!$A$1:$AZ$1001,ROW(),설정!$C$10)&amp;"",""))</f>
        <v/>
      </c>
      <c r="I629">
        <f>IF(설정!$C$11="","",IFERROR(INDEX('1.산군_붙여넣기'!$A$1:$AZ$1001,ROW(),설정!$C$11)&amp;"",""))</f>
        <v/>
      </c>
      <c r="J629">
        <f>IF(설정!$C$12="","",IFERROR(INDEX('1.산군_붙여넣기'!$A$1:$AZ$1001,ROW(),설정!$C$12)&amp;"",""))</f>
        <v/>
      </c>
      <c r="K629">
        <f>IF(설정!$C$13="","",IFERROR(INDEX('1.산군_붙여넣기'!$A$1:$AZ$1001,ROW(),설정!$C$13)&amp;"",""))</f>
        <v/>
      </c>
      <c r="L629" s="7">
        <f>IF(X629="","",IF(AND(LEN(X629)=8,ISNUMBER(X629*1)),DATE(LEFT(X629,4),MID(X629,5,2),RIGHT(X629,2)),IFERROR(DATEVALUE(SUBSTITUTE(SUBSTITUTE(X629,".","-"),"/","-")),IFERROR(X629*1,""))))</f>
        <v/>
      </c>
      <c r="M629" s="7">
        <f>IF(Y629="","",IF(AND(LEN(Y629)=8,ISNUMBER(Y629*1)),DATE(LEFT(Y629,4),MID(Y629,5,2),RIGHT(Y629,2)),IFERROR(DATEVALUE(SUBSTITUTE(SUBSTITUTE(Y629,".","-"),"/","-")),IFERROR(Y629*1,""))))</f>
        <v/>
      </c>
      <c r="N629">
        <f>IFERROR(LEFT(B629,FIND(" ",B629)-1),B629)</f>
        <v/>
      </c>
      <c r="O629">
        <f>AND(B629&lt;&gt;"",B629&lt;&gt;설정!$B$4,C629&lt;&gt;설정!$B$5)</f>
        <v/>
      </c>
      <c r="P629">
        <f>IF(O629,B629&amp;"|"&amp;C629,"")</f>
        <v/>
      </c>
      <c r="Q629">
        <f>AND(O629,COUNTIF(P630:P$1002,P629)=0)</f>
        <v/>
      </c>
      <c r="R629">
        <f>OR(AND(설정!$A$42&lt;&gt;"",ISNUMBER(SEARCH(설정!$A$42,E629&amp;" "&amp;C629))),AND(설정!$A$43&lt;&gt;"",ISNUMBER(SEARCH(설정!$A$43,E629&amp;" "&amp;C629))),AND(설정!$A$44&lt;&gt;"",ISNUMBER(SEARCH(설정!$A$44,E629&amp;" "&amp;C629))),AND(설정!$A$45&lt;&gt;"",ISNUMBER(SEARCH(설정!$A$45,E629&amp;" "&amp;C629))),AND(설정!$A$46&lt;&gt;"",ISNUMBER(SEARCH(설정!$A$46,E629&amp;" "&amp;C629))),AND(설정!$A$47&lt;&gt;"",ISNUMBER(SEARCH(설정!$A$47,E629&amp;" "&amp;C629))),AND(설정!$A$48&lt;&gt;"",ISNUMBER(SEARCH(설정!$A$48,E629&amp;" "&amp;C629))),AND(설정!$A$49&lt;&gt;"",ISNUMBER(SEARCH(설정!$A$49,E629&amp;" "&amp;C629))),AND(설정!$A$50&lt;&gt;"",ISNUMBER(SEARCH(설정!$A$50,E629&amp;" "&amp;C629))),AND(설정!$A$51&lt;&gt;"",ISNUMBER(SEARCH(설정!$A$51,E629&amp;" "&amp;C629))))</f>
        <v/>
      </c>
      <c r="S629">
        <f>OR(D629="",D629&gt;=설정!$B$19)</f>
        <v/>
      </c>
      <c r="T629">
        <f>AND(Q629,R629,S629)</f>
        <v/>
      </c>
      <c r="U629">
        <f>IF(T629,IF(AND(설정!$A$54&lt;&gt;"",ISNUMBER(SEARCH(설정!$A$54,K629))),설정!$B$54,IF(AND(설정!$A$55&lt;&gt;"",ISNUMBER(SEARCH(설정!$A$55,K629))),설정!$B$55,IF(AND(설정!$A$56&lt;&gt;"",ISNUMBER(SEARCH(설정!$A$56,K629))),설정!$B$56,IF(AND(설정!$A$57&lt;&gt;"",ISNUMBER(SEARCH(설정!$A$57,K629))),설정!$B$57,IF(AND(설정!$A$58&lt;&gt;"",ISNUMBER(SEARCH(설정!$A$58,K629))),설정!$B$58,IF(AND(설정!$A$59&lt;&gt;"",ISNUMBER(SEARCH(설정!$A$59,K629))),설정!$B$59,IF(AND(설정!$A$60&lt;&gt;"",ISNUMBER(SEARCH(설정!$A$60,K629))),설정!$B$60,IF(AND(설정!$A$61&lt;&gt;"",ISNUMBER(SEARCH(설정!$A$61,K629))),설정!$B$61,IF(M629="","설계사","시공사"))))))))),"")</f>
        <v/>
      </c>
      <c r="V629">
        <f>SUBSTITUTE(SUBSTITUTE(SUBSTITUTE(SUBSTITUTE(G629,"(주)",""),"㈜",""),"주식회사","")," ","")</f>
        <v/>
      </c>
      <c r="W629">
        <f>IF(AND(T629,V629&lt;&gt;""),IF(COUNTIFS(V$2:V629,V629,T$2:T629,TRUE)=1,MAX(W$1:W628)+1,""),"")</f>
        <v/>
      </c>
      <c r="X629">
        <f>IF(설정!$C$14="","",IFERROR(INDEX('1.산군_붙여넣기'!$A$1:$AZ$1001,ROW(),설정!$C$14)&amp;"",""))</f>
        <v/>
      </c>
      <c r="Y629">
        <f>IF(설정!$C$15="","",IFERROR(INDEX('1.산군_붙여넣기'!$A$1:$AZ$1001,ROW(),설정!$C$15)&amp;"",""))</f>
        <v/>
      </c>
      <c r="Z629">
        <f>IF(T629,V629&amp;"|"&amp;U629,"")</f>
        <v/>
      </c>
      <c r="AA629">
        <f>IF(NOT(Q629),"",IF(NOT(AND(R629,S629)),"✕",IF(OR(OR(AND(L629&lt;&gt;"",M629&lt;&gt;"",N(M629)-N(L629)&gt;설정!$B$27),AND(L629&lt;&gt;"",M629="",설정!$B$24-N(L629)&gt;설정!$B$27)),AND(D629&lt;&gt;"",D629&lt;설정!$B$26)),"△","★")))</f>
        <v/>
      </c>
      <c r="AB629">
        <f>IF(NOT(T629),"",IF(U629="설계사",설정!$B$31,IF(U629="시공사",IF(OR(M629="",설정!$B$24-N(M629)&lt;=설정!$B$28*30.4),설정!$B$32,설정!$B$33),설정!$B$34))+IF(AA629="★",설정!$B$35,0))</f>
        <v/>
      </c>
      <c r="AC629">
        <f>SUBSTITUTE(SUBSTITUTE(SUBSTITUTE(SUBSTITUTE(H629,"(주)",""),"㈜",""),"주식회사","")," ","")</f>
        <v/>
      </c>
      <c r="AD629">
        <f>IF(AND(T629,AC629&lt;&gt;""),IF(COUNTIFS(AC$2:AC629,AC629,T$2:T629,TRUE)=1,MAX(AD$1:AD628)+1,""),"")</f>
        <v/>
      </c>
    </row>
    <row r="630">
      <c r="A630">
        <f>ROW()</f>
        <v/>
      </c>
      <c r="B630">
        <f>IF(설정!$C$4="","",IFERROR(INDEX('1.산군_붙여넣기'!$A$1:$AZ$1001,ROW(),설정!$C$4)&amp;"",""))</f>
        <v/>
      </c>
      <c r="C630">
        <f>IF(설정!$C$5="","",IFERROR(INDEX('1.산군_붙여넣기'!$A$1:$AZ$1001,ROW(),설정!$C$5)&amp;"",""))</f>
        <v/>
      </c>
      <c r="D630" s="5">
        <f>IFERROR(VALUE(SUBSTITUTE(SUBSTITUTE(SUBSTITUTE(IF(설정!$C$6="","",IFERROR(INDEX('1.산군_붙여넣기'!$A$1:$AZ$1001,ROW(),설정!$C$6)&amp;"","")),",",""),"㎡",""),"m2","")),"")</f>
        <v/>
      </c>
      <c r="E630">
        <f>IF(설정!$C$7="","",IFERROR(INDEX('1.산군_붙여넣기'!$A$1:$AZ$1001,ROW(),설정!$C$7)&amp;"",""))</f>
        <v/>
      </c>
      <c r="F630">
        <f>IF(설정!$C$8="","",IFERROR(INDEX('1.산군_붙여넣기'!$A$1:$AZ$1001,ROW(),설정!$C$8)&amp;"",""))</f>
        <v/>
      </c>
      <c r="G630">
        <f>IF(설정!$C$9="","",IFERROR(INDEX('1.산군_붙여넣기'!$A$1:$AZ$1001,ROW(),설정!$C$9)&amp;"",""))</f>
        <v/>
      </c>
      <c r="H630">
        <f>IF(설정!$C$10="","",IFERROR(INDEX('1.산군_붙여넣기'!$A$1:$AZ$1001,ROW(),설정!$C$10)&amp;"",""))</f>
        <v/>
      </c>
      <c r="I630">
        <f>IF(설정!$C$11="","",IFERROR(INDEX('1.산군_붙여넣기'!$A$1:$AZ$1001,ROW(),설정!$C$11)&amp;"",""))</f>
        <v/>
      </c>
      <c r="J630">
        <f>IF(설정!$C$12="","",IFERROR(INDEX('1.산군_붙여넣기'!$A$1:$AZ$1001,ROW(),설정!$C$12)&amp;"",""))</f>
        <v/>
      </c>
      <c r="K630">
        <f>IF(설정!$C$13="","",IFERROR(INDEX('1.산군_붙여넣기'!$A$1:$AZ$1001,ROW(),설정!$C$13)&amp;"",""))</f>
        <v/>
      </c>
      <c r="L630" s="7">
        <f>IF(X630="","",IF(AND(LEN(X630)=8,ISNUMBER(X630*1)),DATE(LEFT(X630,4),MID(X630,5,2),RIGHT(X630,2)),IFERROR(DATEVALUE(SUBSTITUTE(SUBSTITUTE(X630,".","-"),"/","-")),IFERROR(X630*1,""))))</f>
        <v/>
      </c>
      <c r="M630" s="7">
        <f>IF(Y630="","",IF(AND(LEN(Y630)=8,ISNUMBER(Y630*1)),DATE(LEFT(Y630,4),MID(Y630,5,2),RIGHT(Y630,2)),IFERROR(DATEVALUE(SUBSTITUTE(SUBSTITUTE(Y630,".","-"),"/","-")),IFERROR(Y630*1,""))))</f>
        <v/>
      </c>
      <c r="N630">
        <f>IFERROR(LEFT(B630,FIND(" ",B630)-1),B630)</f>
        <v/>
      </c>
      <c r="O630">
        <f>AND(B630&lt;&gt;"",B630&lt;&gt;설정!$B$4,C630&lt;&gt;설정!$B$5)</f>
        <v/>
      </c>
      <c r="P630">
        <f>IF(O630,B630&amp;"|"&amp;C630,"")</f>
        <v/>
      </c>
      <c r="Q630">
        <f>AND(O630,COUNTIF(P631:P$1002,P630)=0)</f>
        <v/>
      </c>
      <c r="R630">
        <f>OR(AND(설정!$A$42&lt;&gt;"",ISNUMBER(SEARCH(설정!$A$42,E630&amp;" "&amp;C630))),AND(설정!$A$43&lt;&gt;"",ISNUMBER(SEARCH(설정!$A$43,E630&amp;" "&amp;C630))),AND(설정!$A$44&lt;&gt;"",ISNUMBER(SEARCH(설정!$A$44,E630&amp;" "&amp;C630))),AND(설정!$A$45&lt;&gt;"",ISNUMBER(SEARCH(설정!$A$45,E630&amp;" "&amp;C630))),AND(설정!$A$46&lt;&gt;"",ISNUMBER(SEARCH(설정!$A$46,E630&amp;" "&amp;C630))),AND(설정!$A$47&lt;&gt;"",ISNUMBER(SEARCH(설정!$A$47,E630&amp;" "&amp;C630))),AND(설정!$A$48&lt;&gt;"",ISNUMBER(SEARCH(설정!$A$48,E630&amp;" "&amp;C630))),AND(설정!$A$49&lt;&gt;"",ISNUMBER(SEARCH(설정!$A$49,E630&amp;" "&amp;C630))),AND(설정!$A$50&lt;&gt;"",ISNUMBER(SEARCH(설정!$A$50,E630&amp;" "&amp;C630))),AND(설정!$A$51&lt;&gt;"",ISNUMBER(SEARCH(설정!$A$51,E630&amp;" "&amp;C630))))</f>
        <v/>
      </c>
      <c r="S630">
        <f>OR(D630="",D630&gt;=설정!$B$19)</f>
        <v/>
      </c>
      <c r="T630">
        <f>AND(Q630,R630,S630)</f>
        <v/>
      </c>
      <c r="U630">
        <f>IF(T630,IF(AND(설정!$A$54&lt;&gt;"",ISNUMBER(SEARCH(설정!$A$54,K630))),설정!$B$54,IF(AND(설정!$A$55&lt;&gt;"",ISNUMBER(SEARCH(설정!$A$55,K630))),설정!$B$55,IF(AND(설정!$A$56&lt;&gt;"",ISNUMBER(SEARCH(설정!$A$56,K630))),설정!$B$56,IF(AND(설정!$A$57&lt;&gt;"",ISNUMBER(SEARCH(설정!$A$57,K630))),설정!$B$57,IF(AND(설정!$A$58&lt;&gt;"",ISNUMBER(SEARCH(설정!$A$58,K630))),설정!$B$58,IF(AND(설정!$A$59&lt;&gt;"",ISNUMBER(SEARCH(설정!$A$59,K630))),설정!$B$59,IF(AND(설정!$A$60&lt;&gt;"",ISNUMBER(SEARCH(설정!$A$60,K630))),설정!$B$60,IF(AND(설정!$A$61&lt;&gt;"",ISNUMBER(SEARCH(설정!$A$61,K630))),설정!$B$61,IF(M630="","설계사","시공사"))))))))),"")</f>
        <v/>
      </c>
      <c r="V630">
        <f>SUBSTITUTE(SUBSTITUTE(SUBSTITUTE(SUBSTITUTE(G630,"(주)",""),"㈜",""),"주식회사","")," ","")</f>
        <v/>
      </c>
      <c r="W630">
        <f>IF(AND(T630,V630&lt;&gt;""),IF(COUNTIFS(V$2:V630,V630,T$2:T630,TRUE)=1,MAX(W$1:W629)+1,""),"")</f>
        <v/>
      </c>
      <c r="X630">
        <f>IF(설정!$C$14="","",IFERROR(INDEX('1.산군_붙여넣기'!$A$1:$AZ$1001,ROW(),설정!$C$14)&amp;"",""))</f>
        <v/>
      </c>
      <c r="Y630">
        <f>IF(설정!$C$15="","",IFERROR(INDEX('1.산군_붙여넣기'!$A$1:$AZ$1001,ROW(),설정!$C$15)&amp;"",""))</f>
        <v/>
      </c>
      <c r="Z630">
        <f>IF(T630,V630&amp;"|"&amp;U630,"")</f>
        <v/>
      </c>
      <c r="AA630">
        <f>IF(NOT(Q630),"",IF(NOT(AND(R630,S630)),"✕",IF(OR(OR(AND(L630&lt;&gt;"",M630&lt;&gt;"",N(M630)-N(L630)&gt;설정!$B$27),AND(L630&lt;&gt;"",M630="",설정!$B$24-N(L630)&gt;설정!$B$27)),AND(D630&lt;&gt;"",D630&lt;설정!$B$26)),"△","★")))</f>
        <v/>
      </c>
      <c r="AB630">
        <f>IF(NOT(T630),"",IF(U630="설계사",설정!$B$31,IF(U630="시공사",IF(OR(M630="",설정!$B$24-N(M630)&lt;=설정!$B$28*30.4),설정!$B$32,설정!$B$33),설정!$B$34))+IF(AA630="★",설정!$B$35,0))</f>
        <v/>
      </c>
      <c r="AC630">
        <f>SUBSTITUTE(SUBSTITUTE(SUBSTITUTE(SUBSTITUTE(H630,"(주)",""),"㈜",""),"주식회사","")," ","")</f>
        <v/>
      </c>
      <c r="AD630">
        <f>IF(AND(T630,AC630&lt;&gt;""),IF(COUNTIFS(AC$2:AC630,AC630,T$2:T630,TRUE)=1,MAX(AD$1:AD629)+1,""),"")</f>
        <v/>
      </c>
    </row>
    <row r="631">
      <c r="A631">
        <f>ROW()</f>
        <v/>
      </c>
      <c r="B631">
        <f>IF(설정!$C$4="","",IFERROR(INDEX('1.산군_붙여넣기'!$A$1:$AZ$1001,ROW(),설정!$C$4)&amp;"",""))</f>
        <v/>
      </c>
      <c r="C631">
        <f>IF(설정!$C$5="","",IFERROR(INDEX('1.산군_붙여넣기'!$A$1:$AZ$1001,ROW(),설정!$C$5)&amp;"",""))</f>
        <v/>
      </c>
      <c r="D631" s="5">
        <f>IFERROR(VALUE(SUBSTITUTE(SUBSTITUTE(SUBSTITUTE(IF(설정!$C$6="","",IFERROR(INDEX('1.산군_붙여넣기'!$A$1:$AZ$1001,ROW(),설정!$C$6)&amp;"","")),",",""),"㎡",""),"m2","")),"")</f>
        <v/>
      </c>
      <c r="E631">
        <f>IF(설정!$C$7="","",IFERROR(INDEX('1.산군_붙여넣기'!$A$1:$AZ$1001,ROW(),설정!$C$7)&amp;"",""))</f>
        <v/>
      </c>
      <c r="F631">
        <f>IF(설정!$C$8="","",IFERROR(INDEX('1.산군_붙여넣기'!$A$1:$AZ$1001,ROW(),설정!$C$8)&amp;"",""))</f>
        <v/>
      </c>
      <c r="G631">
        <f>IF(설정!$C$9="","",IFERROR(INDEX('1.산군_붙여넣기'!$A$1:$AZ$1001,ROW(),설정!$C$9)&amp;"",""))</f>
        <v/>
      </c>
      <c r="H631">
        <f>IF(설정!$C$10="","",IFERROR(INDEX('1.산군_붙여넣기'!$A$1:$AZ$1001,ROW(),설정!$C$10)&amp;"",""))</f>
        <v/>
      </c>
      <c r="I631">
        <f>IF(설정!$C$11="","",IFERROR(INDEX('1.산군_붙여넣기'!$A$1:$AZ$1001,ROW(),설정!$C$11)&amp;"",""))</f>
        <v/>
      </c>
      <c r="J631">
        <f>IF(설정!$C$12="","",IFERROR(INDEX('1.산군_붙여넣기'!$A$1:$AZ$1001,ROW(),설정!$C$12)&amp;"",""))</f>
        <v/>
      </c>
      <c r="K631">
        <f>IF(설정!$C$13="","",IFERROR(INDEX('1.산군_붙여넣기'!$A$1:$AZ$1001,ROW(),설정!$C$13)&amp;"",""))</f>
        <v/>
      </c>
      <c r="L631" s="7">
        <f>IF(X631="","",IF(AND(LEN(X631)=8,ISNUMBER(X631*1)),DATE(LEFT(X631,4),MID(X631,5,2),RIGHT(X631,2)),IFERROR(DATEVALUE(SUBSTITUTE(SUBSTITUTE(X631,".","-"),"/","-")),IFERROR(X631*1,""))))</f>
        <v/>
      </c>
      <c r="M631" s="7">
        <f>IF(Y631="","",IF(AND(LEN(Y631)=8,ISNUMBER(Y631*1)),DATE(LEFT(Y631,4),MID(Y631,5,2),RIGHT(Y631,2)),IFERROR(DATEVALUE(SUBSTITUTE(SUBSTITUTE(Y631,".","-"),"/","-")),IFERROR(Y631*1,""))))</f>
        <v/>
      </c>
      <c r="N631">
        <f>IFERROR(LEFT(B631,FIND(" ",B631)-1),B631)</f>
        <v/>
      </c>
      <c r="O631">
        <f>AND(B631&lt;&gt;"",B631&lt;&gt;설정!$B$4,C631&lt;&gt;설정!$B$5)</f>
        <v/>
      </c>
      <c r="P631">
        <f>IF(O631,B631&amp;"|"&amp;C631,"")</f>
        <v/>
      </c>
      <c r="Q631">
        <f>AND(O631,COUNTIF(P632:P$1002,P631)=0)</f>
        <v/>
      </c>
      <c r="R631">
        <f>OR(AND(설정!$A$42&lt;&gt;"",ISNUMBER(SEARCH(설정!$A$42,E631&amp;" "&amp;C631))),AND(설정!$A$43&lt;&gt;"",ISNUMBER(SEARCH(설정!$A$43,E631&amp;" "&amp;C631))),AND(설정!$A$44&lt;&gt;"",ISNUMBER(SEARCH(설정!$A$44,E631&amp;" "&amp;C631))),AND(설정!$A$45&lt;&gt;"",ISNUMBER(SEARCH(설정!$A$45,E631&amp;" "&amp;C631))),AND(설정!$A$46&lt;&gt;"",ISNUMBER(SEARCH(설정!$A$46,E631&amp;" "&amp;C631))),AND(설정!$A$47&lt;&gt;"",ISNUMBER(SEARCH(설정!$A$47,E631&amp;" "&amp;C631))),AND(설정!$A$48&lt;&gt;"",ISNUMBER(SEARCH(설정!$A$48,E631&amp;" "&amp;C631))),AND(설정!$A$49&lt;&gt;"",ISNUMBER(SEARCH(설정!$A$49,E631&amp;" "&amp;C631))),AND(설정!$A$50&lt;&gt;"",ISNUMBER(SEARCH(설정!$A$50,E631&amp;" "&amp;C631))),AND(설정!$A$51&lt;&gt;"",ISNUMBER(SEARCH(설정!$A$51,E631&amp;" "&amp;C631))))</f>
        <v/>
      </c>
      <c r="S631">
        <f>OR(D631="",D631&gt;=설정!$B$19)</f>
        <v/>
      </c>
      <c r="T631">
        <f>AND(Q631,R631,S631)</f>
        <v/>
      </c>
      <c r="U631">
        <f>IF(T631,IF(AND(설정!$A$54&lt;&gt;"",ISNUMBER(SEARCH(설정!$A$54,K631))),설정!$B$54,IF(AND(설정!$A$55&lt;&gt;"",ISNUMBER(SEARCH(설정!$A$55,K631))),설정!$B$55,IF(AND(설정!$A$56&lt;&gt;"",ISNUMBER(SEARCH(설정!$A$56,K631))),설정!$B$56,IF(AND(설정!$A$57&lt;&gt;"",ISNUMBER(SEARCH(설정!$A$57,K631))),설정!$B$57,IF(AND(설정!$A$58&lt;&gt;"",ISNUMBER(SEARCH(설정!$A$58,K631))),설정!$B$58,IF(AND(설정!$A$59&lt;&gt;"",ISNUMBER(SEARCH(설정!$A$59,K631))),설정!$B$59,IF(AND(설정!$A$60&lt;&gt;"",ISNUMBER(SEARCH(설정!$A$60,K631))),설정!$B$60,IF(AND(설정!$A$61&lt;&gt;"",ISNUMBER(SEARCH(설정!$A$61,K631))),설정!$B$61,IF(M631="","설계사","시공사"))))))))),"")</f>
        <v/>
      </c>
      <c r="V631">
        <f>SUBSTITUTE(SUBSTITUTE(SUBSTITUTE(SUBSTITUTE(G631,"(주)",""),"㈜",""),"주식회사","")," ","")</f>
        <v/>
      </c>
      <c r="W631">
        <f>IF(AND(T631,V631&lt;&gt;""),IF(COUNTIFS(V$2:V631,V631,T$2:T631,TRUE)=1,MAX(W$1:W630)+1,""),"")</f>
        <v/>
      </c>
      <c r="X631">
        <f>IF(설정!$C$14="","",IFERROR(INDEX('1.산군_붙여넣기'!$A$1:$AZ$1001,ROW(),설정!$C$14)&amp;"",""))</f>
        <v/>
      </c>
      <c r="Y631">
        <f>IF(설정!$C$15="","",IFERROR(INDEX('1.산군_붙여넣기'!$A$1:$AZ$1001,ROW(),설정!$C$15)&amp;"",""))</f>
        <v/>
      </c>
      <c r="Z631">
        <f>IF(T631,V631&amp;"|"&amp;U631,"")</f>
        <v/>
      </c>
      <c r="AA631">
        <f>IF(NOT(Q631),"",IF(NOT(AND(R631,S631)),"✕",IF(OR(OR(AND(L631&lt;&gt;"",M631&lt;&gt;"",N(M631)-N(L631)&gt;설정!$B$27),AND(L631&lt;&gt;"",M631="",설정!$B$24-N(L631)&gt;설정!$B$27)),AND(D631&lt;&gt;"",D631&lt;설정!$B$26)),"△","★")))</f>
        <v/>
      </c>
      <c r="AB631">
        <f>IF(NOT(T631),"",IF(U631="설계사",설정!$B$31,IF(U631="시공사",IF(OR(M631="",설정!$B$24-N(M631)&lt;=설정!$B$28*30.4),설정!$B$32,설정!$B$33),설정!$B$34))+IF(AA631="★",설정!$B$35,0))</f>
        <v/>
      </c>
      <c r="AC631">
        <f>SUBSTITUTE(SUBSTITUTE(SUBSTITUTE(SUBSTITUTE(H631,"(주)",""),"㈜",""),"주식회사","")," ","")</f>
        <v/>
      </c>
      <c r="AD631">
        <f>IF(AND(T631,AC631&lt;&gt;""),IF(COUNTIFS(AC$2:AC631,AC631,T$2:T631,TRUE)=1,MAX(AD$1:AD630)+1,""),"")</f>
        <v/>
      </c>
    </row>
    <row r="632">
      <c r="A632">
        <f>ROW()</f>
        <v/>
      </c>
      <c r="B632">
        <f>IF(설정!$C$4="","",IFERROR(INDEX('1.산군_붙여넣기'!$A$1:$AZ$1001,ROW(),설정!$C$4)&amp;"",""))</f>
        <v/>
      </c>
      <c r="C632">
        <f>IF(설정!$C$5="","",IFERROR(INDEX('1.산군_붙여넣기'!$A$1:$AZ$1001,ROW(),설정!$C$5)&amp;"",""))</f>
        <v/>
      </c>
      <c r="D632" s="5">
        <f>IFERROR(VALUE(SUBSTITUTE(SUBSTITUTE(SUBSTITUTE(IF(설정!$C$6="","",IFERROR(INDEX('1.산군_붙여넣기'!$A$1:$AZ$1001,ROW(),설정!$C$6)&amp;"","")),",",""),"㎡",""),"m2","")),"")</f>
        <v/>
      </c>
      <c r="E632">
        <f>IF(설정!$C$7="","",IFERROR(INDEX('1.산군_붙여넣기'!$A$1:$AZ$1001,ROW(),설정!$C$7)&amp;"",""))</f>
        <v/>
      </c>
      <c r="F632">
        <f>IF(설정!$C$8="","",IFERROR(INDEX('1.산군_붙여넣기'!$A$1:$AZ$1001,ROW(),설정!$C$8)&amp;"",""))</f>
        <v/>
      </c>
      <c r="G632">
        <f>IF(설정!$C$9="","",IFERROR(INDEX('1.산군_붙여넣기'!$A$1:$AZ$1001,ROW(),설정!$C$9)&amp;"",""))</f>
        <v/>
      </c>
      <c r="H632">
        <f>IF(설정!$C$10="","",IFERROR(INDEX('1.산군_붙여넣기'!$A$1:$AZ$1001,ROW(),설정!$C$10)&amp;"",""))</f>
        <v/>
      </c>
      <c r="I632">
        <f>IF(설정!$C$11="","",IFERROR(INDEX('1.산군_붙여넣기'!$A$1:$AZ$1001,ROW(),설정!$C$11)&amp;"",""))</f>
        <v/>
      </c>
      <c r="J632">
        <f>IF(설정!$C$12="","",IFERROR(INDEX('1.산군_붙여넣기'!$A$1:$AZ$1001,ROW(),설정!$C$12)&amp;"",""))</f>
        <v/>
      </c>
      <c r="K632">
        <f>IF(설정!$C$13="","",IFERROR(INDEX('1.산군_붙여넣기'!$A$1:$AZ$1001,ROW(),설정!$C$13)&amp;"",""))</f>
        <v/>
      </c>
      <c r="L632" s="7">
        <f>IF(X632="","",IF(AND(LEN(X632)=8,ISNUMBER(X632*1)),DATE(LEFT(X632,4),MID(X632,5,2),RIGHT(X632,2)),IFERROR(DATEVALUE(SUBSTITUTE(SUBSTITUTE(X632,".","-"),"/","-")),IFERROR(X632*1,""))))</f>
        <v/>
      </c>
      <c r="M632" s="7">
        <f>IF(Y632="","",IF(AND(LEN(Y632)=8,ISNUMBER(Y632*1)),DATE(LEFT(Y632,4),MID(Y632,5,2),RIGHT(Y632,2)),IFERROR(DATEVALUE(SUBSTITUTE(SUBSTITUTE(Y632,".","-"),"/","-")),IFERROR(Y632*1,""))))</f>
        <v/>
      </c>
      <c r="N632">
        <f>IFERROR(LEFT(B632,FIND(" ",B632)-1),B632)</f>
        <v/>
      </c>
      <c r="O632">
        <f>AND(B632&lt;&gt;"",B632&lt;&gt;설정!$B$4,C632&lt;&gt;설정!$B$5)</f>
        <v/>
      </c>
      <c r="P632">
        <f>IF(O632,B632&amp;"|"&amp;C632,"")</f>
        <v/>
      </c>
      <c r="Q632">
        <f>AND(O632,COUNTIF(P633:P$1002,P632)=0)</f>
        <v/>
      </c>
      <c r="R632">
        <f>OR(AND(설정!$A$42&lt;&gt;"",ISNUMBER(SEARCH(설정!$A$42,E632&amp;" "&amp;C632))),AND(설정!$A$43&lt;&gt;"",ISNUMBER(SEARCH(설정!$A$43,E632&amp;" "&amp;C632))),AND(설정!$A$44&lt;&gt;"",ISNUMBER(SEARCH(설정!$A$44,E632&amp;" "&amp;C632))),AND(설정!$A$45&lt;&gt;"",ISNUMBER(SEARCH(설정!$A$45,E632&amp;" "&amp;C632))),AND(설정!$A$46&lt;&gt;"",ISNUMBER(SEARCH(설정!$A$46,E632&amp;" "&amp;C632))),AND(설정!$A$47&lt;&gt;"",ISNUMBER(SEARCH(설정!$A$47,E632&amp;" "&amp;C632))),AND(설정!$A$48&lt;&gt;"",ISNUMBER(SEARCH(설정!$A$48,E632&amp;" "&amp;C632))),AND(설정!$A$49&lt;&gt;"",ISNUMBER(SEARCH(설정!$A$49,E632&amp;" "&amp;C632))),AND(설정!$A$50&lt;&gt;"",ISNUMBER(SEARCH(설정!$A$50,E632&amp;" "&amp;C632))),AND(설정!$A$51&lt;&gt;"",ISNUMBER(SEARCH(설정!$A$51,E632&amp;" "&amp;C632))))</f>
        <v/>
      </c>
      <c r="S632">
        <f>OR(D632="",D632&gt;=설정!$B$19)</f>
        <v/>
      </c>
      <c r="T632">
        <f>AND(Q632,R632,S632)</f>
        <v/>
      </c>
      <c r="U632">
        <f>IF(T632,IF(AND(설정!$A$54&lt;&gt;"",ISNUMBER(SEARCH(설정!$A$54,K632))),설정!$B$54,IF(AND(설정!$A$55&lt;&gt;"",ISNUMBER(SEARCH(설정!$A$55,K632))),설정!$B$55,IF(AND(설정!$A$56&lt;&gt;"",ISNUMBER(SEARCH(설정!$A$56,K632))),설정!$B$56,IF(AND(설정!$A$57&lt;&gt;"",ISNUMBER(SEARCH(설정!$A$57,K632))),설정!$B$57,IF(AND(설정!$A$58&lt;&gt;"",ISNUMBER(SEARCH(설정!$A$58,K632))),설정!$B$58,IF(AND(설정!$A$59&lt;&gt;"",ISNUMBER(SEARCH(설정!$A$59,K632))),설정!$B$59,IF(AND(설정!$A$60&lt;&gt;"",ISNUMBER(SEARCH(설정!$A$60,K632))),설정!$B$60,IF(AND(설정!$A$61&lt;&gt;"",ISNUMBER(SEARCH(설정!$A$61,K632))),설정!$B$61,IF(M632="","설계사","시공사"))))))))),"")</f>
        <v/>
      </c>
      <c r="V632">
        <f>SUBSTITUTE(SUBSTITUTE(SUBSTITUTE(SUBSTITUTE(G632,"(주)",""),"㈜",""),"주식회사","")," ","")</f>
        <v/>
      </c>
      <c r="W632">
        <f>IF(AND(T632,V632&lt;&gt;""),IF(COUNTIFS(V$2:V632,V632,T$2:T632,TRUE)=1,MAX(W$1:W631)+1,""),"")</f>
        <v/>
      </c>
      <c r="X632">
        <f>IF(설정!$C$14="","",IFERROR(INDEX('1.산군_붙여넣기'!$A$1:$AZ$1001,ROW(),설정!$C$14)&amp;"",""))</f>
        <v/>
      </c>
      <c r="Y632">
        <f>IF(설정!$C$15="","",IFERROR(INDEX('1.산군_붙여넣기'!$A$1:$AZ$1001,ROW(),설정!$C$15)&amp;"",""))</f>
        <v/>
      </c>
      <c r="Z632">
        <f>IF(T632,V632&amp;"|"&amp;U632,"")</f>
        <v/>
      </c>
      <c r="AA632">
        <f>IF(NOT(Q632),"",IF(NOT(AND(R632,S632)),"✕",IF(OR(OR(AND(L632&lt;&gt;"",M632&lt;&gt;"",N(M632)-N(L632)&gt;설정!$B$27),AND(L632&lt;&gt;"",M632="",설정!$B$24-N(L632)&gt;설정!$B$27)),AND(D632&lt;&gt;"",D632&lt;설정!$B$26)),"△","★")))</f>
        <v/>
      </c>
      <c r="AB632">
        <f>IF(NOT(T632),"",IF(U632="설계사",설정!$B$31,IF(U632="시공사",IF(OR(M632="",설정!$B$24-N(M632)&lt;=설정!$B$28*30.4),설정!$B$32,설정!$B$33),설정!$B$34))+IF(AA632="★",설정!$B$35,0))</f>
        <v/>
      </c>
      <c r="AC632">
        <f>SUBSTITUTE(SUBSTITUTE(SUBSTITUTE(SUBSTITUTE(H632,"(주)",""),"㈜",""),"주식회사","")," ","")</f>
        <v/>
      </c>
      <c r="AD632">
        <f>IF(AND(T632,AC632&lt;&gt;""),IF(COUNTIFS(AC$2:AC632,AC632,T$2:T632,TRUE)=1,MAX(AD$1:AD631)+1,""),"")</f>
        <v/>
      </c>
    </row>
    <row r="633">
      <c r="A633">
        <f>ROW()</f>
        <v/>
      </c>
      <c r="B633">
        <f>IF(설정!$C$4="","",IFERROR(INDEX('1.산군_붙여넣기'!$A$1:$AZ$1001,ROW(),설정!$C$4)&amp;"",""))</f>
        <v/>
      </c>
      <c r="C633">
        <f>IF(설정!$C$5="","",IFERROR(INDEX('1.산군_붙여넣기'!$A$1:$AZ$1001,ROW(),설정!$C$5)&amp;"",""))</f>
        <v/>
      </c>
      <c r="D633" s="5">
        <f>IFERROR(VALUE(SUBSTITUTE(SUBSTITUTE(SUBSTITUTE(IF(설정!$C$6="","",IFERROR(INDEX('1.산군_붙여넣기'!$A$1:$AZ$1001,ROW(),설정!$C$6)&amp;"","")),",",""),"㎡",""),"m2","")),"")</f>
        <v/>
      </c>
      <c r="E633">
        <f>IF(설정!$C$7="","",IFERROR(INDEX('1.산군_붙여넣기'!$A$1:$AZ$1001,ROW(),설정!$C$7)&amp;"",""))</f>
        <v/>
      </c>
      <c r="F633">
        <f>IF(설정!$C$8="","",IFERROR(INDEX('1.산군_붙여넣기'!$A$1:$AZ$1001,ROW(),설정!$C$8)&amp;"",""))</f>
        <v/>
      </c>
      <c r="G633">
        <f>IF(설정!$C$9="","",IFERROR(INDEX('1.산군_붙여넣기'!$A$1:$AZ$1001,ROW(),설정!$C$9)&amp;"",""))</f>
        <v/>
      </c>
      <c r="H633">
        <f>IF(설정!$C$10="","",IFERROR(INDEX('1.산군_붙여넣기'!$A$1:$AZ$1001,ROW(),설정!$C$10)&amp;"",""))</f>
        <v/>
      </c>
      <c r="I633">
        <f>IF(설정!$C$11="","",IFERROR(INDEX('1.산군_붙여넣기'!$A$1:$AZ$1001,ROW(),설정!$C$11)&amp;"",""))</f>
        <v/>
      </c>
      <c r="J633">
        <f>IF(설정!$C$12="","",IFERROR(INDEX('1.산군_붙여넣기'!$A$1:$AZ$1001,ROW(),설정!$C$12)&amp;"",""))</f>
        <v/>
      </c>
      <c r="K633">
        <f>IF(설정!$C$13="","",IFERROR(INDEX('1.산군_붙여넣기'!$A$1:$AZ$1001,ROW(),설정!$C$13)&amp;"",""))</f>
        <v/>
      </c>
      <c r="L633" s="7">
        <f>IF(X633="","",IF(AND(LEN(X633)=8,ISNUMBER(X633*1)),DATE(LEFT(X633,4),MID(X633,5,2),RIGHT(X633,2)),IFERROR(DATEVALUE(SUBSTITUTE(SUBSTITUTE(X633,".","-"),"/","-")),IFERROR(X633*1,""))))</f>
        <v/>
      </c>
      <c r="M633" s="7">
        <f>IF(Y633="","",IF(AND(LEN(Y633)=8,ISNUMBER(Y633*1)),DATE(LEFT(Y633,4),MID(Y633,5,2),RIGHT(Y633,2)),IFERROR(DATEVALUE(SUBSTITUTE(SUBSTITUTE(Y633,".","-"),"/","-")),IFERROR(Y633*1,""))))</f>
        <v/>
      </c>
      <c r="N633">
        <f>IFERROR(LEFT(B633,FIND(" ",B633)-1),B633)</f>
        <v/>
      </c>
      <c r="O633">
        <f>AND(B633&lt;&gt;"",B633&lt;&gt;설정!$B$4,C633&lt;&gt;설정!$B$5)</f>
        <v/>
      </c>
      <c r="P633">
        <f>IF(O633,B633&amp;"|"&amp;C633,"")</f>
        <v/>
      </c>
      <c r="Q633">
        <f>AND(O633,COUNTIF(P634:P$1002,P633)=0)</f>
        <v/>
      </c>
      <c r="R633">
        <f>OR(AND(설정!$A$42&lt;&gt;"",ISNUMBER(SEARCH(설정!$A$42,E633&amp;" "&amp;C633))),AND(설정!$A$43&lt;&gt;"",ISNUMBER(SEARCH(설정!$A$43,E633&amp;" "&amp;C633))),AND(설정!$A$44&lt;&gt;"",ISNUMBER(SEARCH(설정!$A$44,E633&amp;" "&amp;C633))),AND(설정!$A$45&lt;&gt;"",ISNUMBER(SEARCH(설정!$A$45,E633&amp;" "&amp;C633))),AND(설정!$A$46&lt;&gt;"",ISNUMBER(SEARCH(설정!$A$46,E633&amp;" "&amp;C633))),AND(설정!$A$47&lt;&gt;"",ISNUMBER(SEARCH(설정!$A$47,E633&amp;" "&amp;C633))),AND(설정!$A$48&lt;&gt;"",ISNUMBER(SEARCH(설정!$A$48,E633&amp;" "&amp;C633))),AND(설정!$A$49&lt;&gt;"",ISNUMBER(SEARCH(설정!$A$49,E633&amp;" "&amp;C633))),AND(설정!$A$50&lt;&gt;"",ISNUMBER(SEARCH(설정!$A$50,E633&amp;" "&amp;C633))),AND(설정!$A$51&lt;&gt;"",ISNUMBER(SEARCH(설정!$A$51,E633&amp;" "&amp;C633))))</f>
        <v/>
      </c>
      <c r="S633">
        <f>OR(D633="",D633&gt;=설정!$B$19)</f>
        <v/>
      </c>
      <c r="T633">
        <f>AND(Q633,R633,S633)</f>
        <v/>
      </c>
      <c r="U633">
        <f>IF(T633,IF(AND(설정!$A$54&lt;&gt;"",ISNUMBER(SEARCH(설정!$A$54,K633))),설정!$B$54,IF(AND(설정!$A$55&lt;&gt;"",ISNUMBER(SEARCH(설정!$A$55,K633))),설정!$B$55,IF(AND(설정!$A$56&lt;&gt;"",ISNUMBER(SEARCH(설정!$A$56,K633))),설정!$B$56,IF(AND(설정!$A$57&lt;&gt;"",ISNUMBER(SEARCH(설정!$A$57,K633))),설정!$B$57,IF(AND(설정!$A$58&lt;&gt;"",ISNUMBER(SEARCH(설정!$A$58,K633))),설정!$B$58,IF(AND(설정!$A$59&lt;&gt;"",ISNUMBER(SEARCH(설정!$A$59,K633))),설정!$B$59,IF(AND(설정!$A$60&lt;&gt;"",ISNUMBER(SEARCH(설정!$A$60,K633))),설정!$B$60,IF(AND(설정!$A$61&lt;&gt;"",ISNUMBER(SEARCH(설정!$A$61,K633))),설정!$B$61,IF(M633="","설계사","시공사"))))))))),"")</f>
        <v/>
      </c>
      <c r="V633">
        <f>SUBSTITUTE(SUBSTITUTE(SUBSTITUTE(SUBSTITUTE(G633,"(주)",""),"㈜",""),"주식회사","")," ","")</f>
        <v/>
      </c>
      <c r="W633">
        <f>IF(AND(T633,V633&lt;&gt;""),IF(COUNTIFS(V$2:V633,V633,T$2:T633,TRUE)=1,MAX(W$1:W632)+1,""),"")</f>
        <v/>
      </c>
      <c r="X633">
        <f>IF(설정!$C$14="","",IFERROR(INDEX('1.산군_붙여넣기'!$A$1:$AZ$1001,ROW(),설정!$C$14)&amp;"",""))</f>
        <v/>
      </c>
      <c r="Y633">
        <f>IF(설정!$C$15="","",IFERROR(INDEX('1.산군_붙여넣기'!$A$1:$AZ$1001,ROW(),설정!$C$15)&amp;"",""))</f>
        <v/>
      </c>
      <c r="Z633">
        <f>IF(T633,V633&amp;"|"&amp;U633,"")</f>
        <v/>
      </c>
      <c r="AA633">
        <f>IF(NOT(Q633),"",IF(NOT(AND(R633,S633)),"✕",IF(OR(OR(AND(L633&lt;&gt;"",M633&lt;&gt;"",N(M633)-N(L633)&gt;설정!$B$27),AND(L633&lt;&gt;"",M633="",설정!$B$24-N(L633)&gt;설정!$B$27)),AND(D633&lt;&gt;"",D633&lt;설정!$B$26)),"△","★")))</f>
        <v/>
      </c>
      <c r="AB633">
        <f>IF(NOT(T633),"",IF(U633="설계사",설정!$B$31,IF(U633="시공사",IF(OR(M633="",설정!$B$24-N(M633)&lt;=설정!$B$28*30.4),설정!$B$32,설정!$B$33),설정!$B$34))+IF(AA633="★",설정!$B$35,0))</f>
        <v/>
      </c>
      <c r="AC633">
        <f>SUBSTITUTE(SUBSTITUTE(SUBSTITUTE(SUBSTITUTE(H633,"(주)",""),"㈜",""),"주식회사","")," ","")</f>
        <v/>
      </c>
      <c r="AD633">
        <f>IF(AND(T633,AC633&lt;&gt;""),IF(COUNTIFS(AC$2:AC633,AC633,T$2:T633,TRUE)=1,MAX(AD$1:AD632)+1,""),"")</f>
        <v/>
      </c>
    </row>
    <row r="634">
      <c r="A634">
        <f>ROW()</f>
        <v/>
      </c>
      <c r="B634">
        <f>IF(설정!$C$4="","",IFERROR(INDEX('1.산군_붙여넣기'!$A$1:$AZ$1001,ROW(),설정!$C$4)&amp;"",""))</f>
        <v/>
      </c>
      <c r="C634">
        <f>IF(설정!$C$5="","",IFERROR(INDEX('1.산군_붙여넣기'!$A$1:$AZ$1001,ROW(),설정!$C$5)&amp;"",""))</f>
        <v/>
      </c>
      <c r="D634" s="5">
        <f>IFERROR(VALUE(SUBSTITUTE(SUBSTITUTE(SUBSTITUTE(IF(설정!$C$6="","",IFERROR(INDEX('1.산군_붙여넣기'!$A$1:$AZ$1001,ROW(),설정!$C$6)&amp;"","")),",",""),"㎡",""),"m2","")),"")</f>
        <v/>
      </c>
      <c r="E634">
        <f>IF(설정!$C$7="","",IFERROR(INDEX('1.산군_붙여넣기'!$A$1:$AZ$1001,ROW(),설정!$C$7)&amp;"",""))</f>
        <v/>
      </c>
      <c r="F634">
        <f>IF(설정!$C$8="","",IFERROR(INDEX('1.산군_붙여넣기'!$A$1:$AZ$1001,ROW(),설정!$C$8)&amp;"",""))</f>
        <v/>
      </c>
      <c r="G634">
        <f>IF(설정!$C$9="","",IFERROR(INDEX('1.산군_붙여넣기'!$A$1:$AZ$1001,ROW(),설정!$C$9)&amp;"",""))</f>
        <v/>
      </c>
      <c r="H634">
        <f>IF(설정!$C$10="","",IFERROR(INDEX('1.산군_붙여넣기'!$A$1:$AZ$1001,ROW(),설정!$C$10)&amp;"",""))</f>
        <v/>
      </c>
      <c r="I634">
        <f>IF(설정!$C$11="","",IFERROR(INDEX('1.산군_붙여넣기'!$A$1:$AZ$1001,ROW(),설정!$C$11)&amp;"",""))</f>
        <v/>
      </c>
      <c r="J634">
        <f>IF(설정!$C$12="","",IFERROR(INDEX('1.산군_붙여넣기'!$A$1:$AZ$1001,ROW(),설정!$C$12)&amp;"",""))</f>
        <v/>
      </c>
      <c r="K634">
        <f>IF(설정!$C$13="","",IFERROR(INDEX('1.산군_붙여넣기'!$A$1:$AZ$1001,ROW(),설정!$C$13)&amp;"",""))</f>
        <v/>
      </c>
      <c r="L634" s="7">
        <f>IF(X634="","",IF(AND(LEN(X634)=8,ISNUMBER(X634*1)),DATE(LEFT(X634,4),MID(X634,5,2),RIGHT(X634,2)),IFERROR(DATEVALUE(SUBSTITUTE(SUBSTITUTE(X634,".","-"),"/","-")),IFERROR(X634*1,""))))</f>
        <v/>
      </c>
      <c r="M634" s="7">
        <f>IF(Y634="","",IF(AND(LEN(Y634)=8,ISNUMBER(Y634*1)),DATE(LEFT(Y634,4),MID(Y634,5,2),RIGHT(Y634,2)),IFERROR(DATEVALUE(SUBSTITUTE(SUBSTITUTE(Y634,".","-"),"/","-")),IFERROR(Y634*1,""))))</f>
        <v/>
      </c>
      <c r="N634">
        <f>IFERROR(LEFT(B634,FIND(" ",B634)-1),B634)</f>
        <v/>
      </c>
      <c r="O634">
        <f>AND(B634&lt;&gt;"",B634&lt;&gt;설정!$B$4,C634&lt;&gt;설정!$B$5)</f>
        <v/>
      </c>
      <c r="P634">
        <f>IF(O634,B634&amp;"|"&amp;C634,"")</f>
        <v/>
      </c>
      <c r="Q634">
        <f>AND(O634,COUNTIF(P635:P$1002,P634)=0)</f>
        <v/>
      </c>
      <c r="R634">
        <f>OR(AND(설정!$A$42&lt;&gt;"",ISNUMBER(SEARCH(설정!$A$42,E634&amp;" "&amp;C634))),AND(설정!$A$43&lt;&gt;"",ISNUMBER(SEARCH(설정!$A$43,E634&amp;" "&amp;C634))),AND(설정!$A$44&lt;&gt;"",ISNUMBER(SEARCH(설정!$A$44,E634&amp;" "&amp;C634))),AND(설정!$A$45&lt;&gt;"",ISNUMBER(SEARCH(설정!$A$45,E634&amp;" "&amp;C634))),AND(설정!$A$46&lt;&gt;"",ISNUMBER(SEARCH(설정!$A$46,E634&amp;" "&amp;C634))),AND(설정!$A$47&lt;&gt;"",ISNUMBER(SEARCH(설정!$A$47,E634&amp;" "&amp;C634))),AND(설정!$A$48&lt;&gt;"",ISNUMBER(SEARCH(설정!$A$48,E634&amp;" "&amp;C634))),AND(설정!$A$49&lt;&gt;"",ISNUMBER(SEARCH(설정!$A$49,E634&amp;" "&amp;C634))),AND(설정!$A$50&lt;&gt;"",ISNUMBER(SEARCH(설정!$A$50,E634&amp;" "&amp;C634))),AND(설정!$A$51&lt;&gt;"",ISNUMBER(SEARCH(설정!$A$51,E634&amp;" "&amp;C634))))</f>
        <v/>
      </c>
      <c r="S634">
        <f>OR(D634="",D634&gt;=설정!$B$19)</f>
        <v/>
      </c>
      <c r="T634">
        <f>AND(Q634,R634,S634)</f>
        <v/>
      </c>
      <c r="U634">
        <f>IF(T634,IF(AND(설정!$A$54&lt;&gt;"",ISNUMBER(SEARCH(설정!$A$54,K634))),설정!$B$54,IF(AND(설정!$A$55&lt;&gt;"",ISNUMBER(SEARCH(설정!$A$55,K634))),설정!$B$55,IF(AND(설정!$A$56&lt;&gt;"",ISNUMBER(SEARCH(설정!$A$56,K634))),설정!$B$56,IF(AND(설정!$A$57&lt;&gt;"",ISNUMBER(SEARCH(설정!$A$57,K634))),설정!$B$57,IF(AND(설정!$A$58&lt;&gt;"",ISNUMBER(SEARCH(설정!$A$58,K634))),설정!$B$58,IF(AND(설정!$A$59&lt;&gt;"",ISNUMBER(SEARCH(설정!$A$59,K634))),설정!$B$59,IF(AND(설정!$A$60&lt;&gt;"",ISNUMBER(SEARCH(설정!$A$60,K634))),설정!$B$60,IF(AND(설정!$A$61&lt;&gt;"",ISNUMBER(SEARCH(설정!$A$61,K634))),설정!$B$61,IF(M634="","설계사","시공사"))))))))),"")</f>
        <v/>
      </c>
      <c r="V634">
        <f>SUBSTITUTE(SUBSTITUTE(SUBSTITUTE(SUBSTITUTE(G634,"(주)",""),"㈜",""),"주식회사","")," ","")</f>
        <v/>
      </c>
      <c r="W634">
        <f>IF(AND(T634,V634&lt;&gt;""),IF(COUNTIFS(V$2:V634,V634,T$2:T634,TRUE)=1,MAX(W$1:W633)+1,""),"")</f>
        <v/>
      </c>
      <c r="X634">
        <f>IF(설정!$C$14="","",IFERROR(INDEX('1.산군_붙여넣기'!$A$1:$AZ$1001,ROW(),설정!$C$14)&amp;"",""))</f>
        <v/>
      </c>
      <c r="Y634">
        <f>IF(설정!$C$15="","",IFERROR(INDEX('1.산군_붙여넣기'!$A$1:$AZ$1001,ROW(),설정!$C$15)&amp;"",""))</f>
        <v/>
      </c>
      <c r="Z634">
        <f>IF(T634,V634&amp;"|"&amp;U634,"")</f>
        <v/>
      </c>
      <c r="AA634">
        <f>IF(NOT(Q634),"",IF(NOT(AND(R634,S634)),"✕",IF(OR(OR(AND(L634&lt;&gt;"",M634&lt;&gt;"",N(M634)-N(L634)&gt;설정!$B$27),AND(L634&lt;&gt;"",M634="",설정!$B$24-N(L634)&gt;설정!$B$27)),AND(D634&lt;&gt;"",D634&lt;설정!$B$26)),"△","★")))</f>
        <v/>
      </c>
      <c r="AB634">
        <f>IF(NOT(T634),"",IF(U634="설계사",설정!$B$31,IF(U634="시공사",IF(OR(M634="",설정!$B$24-N(M634)&lt;=설정!$B$28*30.4),설정!$B$32,설정!$B$33),설정!$B$34))+IF(AA634="★",설정!$B$35,0))</f>
        <v/>
      </c>
      <c r="AC634">
        <f>SUBSTITUTE(SUBSTITUTE(SUBSTITUTE(SUBSTITUTE(H634,"(주)",""),"㈜",""),"주식회사","")," ","")</f>
        <v/>
      </c>
      <c r="AD634">
        <f>IF(AND(T634,AC634&lt;&gt;""),IF(COUNTIFS(AC$2:AC634,AC634,T$2:T634,TRUE)=1,MAX(AD$1:AD633)+1,""),"")</f>
        <v/>
      </c>
    </row>
    <row r="635">
      <c r="A635">
        <f>ROW()</f>
        <v/>
      </c>
      <c r="B635">
        <f>IF(설정!$C$4="","",IFERROR(INDEX('1.산군_붙여넣기'!$A$1:$AZ$1001,ROW(),설정!$C$4)&amp;"",""))</f>
        <v/>
      </c>
      <c r="C635">
        <f>IF(설정!$C$5="","",IFERROR(INDEX('1.산군_붙여넣기'!$A$1:$AZ$1001,ROW(),설정!$C$5)&amp;"",""))</f>
        <v/>
      </c>
      <c r="D635" s="5">
        <f>IFERROR(VALUE(SUBSTITUTE(SUBSTITUTE(SUBSTITUTE(IF(설정!$C$6="","",IFERROR(INDEX('1.산군_붙여넣기'!$A$1:$AZ$1001,ROW(),설정!$C$6)&amp;"","")),",",""),"㎡",""),"m2","")),"")</f>
        <v/>
      </c>
      <c r="E635">
        <f>IF(설정!$C$7="","",IFERROR(INDEX('1.산군_붙여넣기'!$A$1:$AZ$1001,ROW(),설정!$C$7)&amp;"",""))</f>
        <v/>
      </c>
      <c r="F635">
        <f>IF(설정!$C$8="","",IFERROR(INDEX('1.산군_붙여넣기'!$A$1:$AZ$1001,ROW(),설정!$C$8)&amp;"",""))</f>
        <v/>
      </c>
      <c r="G635">
        <f>IF(설정!$C$9="","",IFERROR(INDEX('1.산군_붙여넣기'!$A$1:$AZ$1001,ROW(),설정!$C$9)&amp;"",""))</f>
        <v/>
      </c>
      <c r="H635">
        <f>IF(설정!$C$10="","",IFERROR(INDEX('1.산군_붙여넣기'!$A$1:$AZ$1001,ROW(),설정!$C$10)&amp;"",""))</f>
        <v/>
      </c>
      <c r="I635">
        <f>IF(설정!$C$11="","",IFERROR(INDEX('1.산군_붙여넣기'!$A$1:$AZ$1001,ROW(),설정!$C$11)&amp;"",""))</f>
        <v/>
      </c>
      <c r="J635">
        <f>IF(설정!$C$12="","",IFERROR(INDEX('1.산군_붙여넣기'!$A$1:$AZ$1001,ROW(),설정!$C$12)&amp;"",""))</f>
        <v/>
      </c>
      <c r="K635">
        <f>IF(설정!$C$13="","",IFERROR(INDEX('1.산군_붙여넣기'!$A$1:$AZ$1001,ROW(),설정!$C$13)&amp;"",""))</f>
        <v/>
      </c>
      <c r="L635" s="7">
        <f>IF(X635="","",IF(AND(LEN(X635)=8,ISNUMBER(X635*1)),DATE(LEFT(X635,4),MID(X635,5,2),RIGHT(X635,2)),IFERROR(DATEVALUE(SUBSTITUTE(SUBSTITUTE(X635,".","-"),"/","-")),IFERROR(X635*1,""))))</f>
        <v/>
      </c>
      <c r="M635" s="7">
        <f>IF(Y635="","",IF(AND(LEN(Y635)=8,ISNUMBER(Y635*1)),DATE(LEFT(Y635,4),MID(Y635,5,2),RIGHT(Y635,2)),IFERROR(DATEVALUE(SUBSTITUTE(SUBSTITUTE(Y635,".","-"),"/","-")),IFERROR(Y635*1,""))))</f>
        <v/>
      </c>
      <c r="N635">
        <f>IFERROR(LEFT(B635,FIND(" ",B635)-1),B635)</f>
        <v/>
      </c>
      <c r="O635">
        <f>AND(B635&lt;&gt;"",B635&lt;&gt;설정!$B$4,C635&lt;&gt;설정!$B$5)</f>
        <v/>
      </c>
      <c r="P635">
        <f>IF(O635,B635&amp;"|"&amp;C635,"")</f>
        <v/>
      </c>
      <c r="Q635">
        <f>AND(O635,COUNTIF(P636:P$1002,P635)=0)</f>
        <v/>
      </c>
      <c r="R635">
        <f>OR(AND(설정!$A$42&lt;&gt;"",ISNUMBER(SEARCH(설정!$A$42,E635&amp;" "&amp;C635))),AND(설정!$A$43&lt;&gt;"",ISNUMBER(SEARCH(설정!$A$43,E635&amp;" "&amp;C635))),AND(설정!$A$44&lt;&gt;"",ISNUMBER(SEARCH(설정!$A$44,E635&amp;" "&amp;C635))),AND(설정!$A$45&lt;&gt;"",ISNUMBER(SEARCH(설정!$A$45,E635&amp;" "&amp;C635))),AND(설정!$A$46&lt;&gt;"",ISNUMBER(SEARCH(설정!$A$46,E635&amp;" "&amp;C635))),AND(설정!$A$47&lt;&gt;"",ISNUMBER(SEARCH(설정!$A$47,E635&amp;" "&amp;C635))),AND(설정!$A$48&lt;&gt;"",ISNUMBER(SEARCH(설정!$A$48,E635&amp;" "&amp;C635))),AND(설정!$A$49&lt;&gt;"",ISNUMBER(SEARCH(설정!$A$49,E635&amp;" "&amp;C635))),AND(설정!$A$50&lt;&gt;"",ISNUMBER(SEARCH(설정!$A$50,E635&amp;" "&amp;C635))),AND(설정!$A$51&lt;&gt;"",ISNUMBER(SEARCH(설정!$A$51,E635&amp;" "&amp;C635))))</f>
        <v/>
      </c>
      <c r="S635">
        <f>OR(D635="",D635&gt;=설정!$B$19)</f>
        <v/>
      </c>
      <c r="T635">
        <f>AND(Q635,R635,S635)</f>
        <v/>
      </c>
      <c r="U635">
        <f>IF(T635,IF(AND(설정!$A$54&lt;&gt;"",ISNUMBER(SEARCH(설정!$A$54,K635))),설정!$B$54,IF(AND(설정!$A$55&lt;&gt;"",ISNUMBER(SEARCH(설정!$A$55,K635))),설정!$B$55,IF(AND(설정!$A$56&lt;&gt;"",ISNUMBER(SEARCH(설정!$A$56,K635))),설정!$B$56,IF(AND(설정!$A$57&lt;&gt;"",ISNUMBER(SEARCH(설정!$A$57,K635))),설정!$B$57,IF(AND(설정!$A$58&lt;&gt;"",ISNUMBER(SEARCH(설정!$A$58,K635))),설정!$B$58,IF(AND(설정!$A$59&lt;&gt;"",ISNUMBER(SEARCH(설정!$A$59,K635))),설정!$B$59,IF(AND(설정!$A$60&lt;&gt;"",ISNUMBER(SEARCH(설정!$A$60,K635))),설정!$B$60,IF(AND(설정!$A$61&lt;&gt;"",ISNUMBER(SEARCH(설정!$A$61,K635))),설정!$B$61,IF(M635="","설계사","시공사"))))))))),"")</f>
        <v/>
      </c>
      <c r="V635">
        <f>SUBSTITUTE(SUBSTITUTE(SUBSTITUTE(SUBSTITUTE(G635,"(주)",""),"㈜",""),"주식회사","")," ","")</f>
        <v/>
      </c>
      <c r="W635">
        <f>IF(AND(T635,V635&lt;&gt;""),IF(COUNTIFS(V$2:V635,V635,T$2:T635,TRUE)=1,MAX(W$1:W634)+1,""),"")</f>
        <v/>
      </c>
      <c r="X635">
        <f>IF(설정!$C$14="","",IFERROR(INDEX('1.산군_붙여넣기'!$A$1:$AZ$1001,ROW(),설정!$C$14)&amp;"",""))</f>
        <v/>
      </c>
      <c r="Y635">
        <f>IF(설정!$C$15="","",IFERROR(INDEX('1.산군_붙여넣기'!$A$1:$AZ$1001,ROW(),설정!$C$15)&amp;"",""))</f>
        <v/>
      </c>
      <c r="Z635">
        <f>IF(T635,V635&amp;"|"&amp;U635,"")</f>
        <v/>
      </c>
      <c r="AA635">
        <f>IF(NOT(Q635),"",IF(NOT(AND(R635,S635)),"✕",IF(OR(OR(AND(L635&lt;&gt;"",M635&lt;&gt;"",N(M635)-N(L635)&gt;설정!$B$27),AND(L635&lt;&gt;"",M635="",설정!$B$24-N(L635)&gt;설정!$B$27)),AND(D635&lt;&gt;"",D635&lt;설정!$B$26)),"△","★")))</f>
        <v/>
      </c>
      <c r="AB635">
        <f>IF(NOT(T635),"",IF(U635="설계사",설정!$B$31,IF(U635="시공사",IF(OR(M635="",설정!$B$24-N(M635)&lt;=설정!$B$28*30.4),설정!$B$32,설정!$B$33),설정!$B$34))+IF(AA635="★",설정!$B$35,0))</f>
        <v/>
      </c>
      <c r="AC635">
        <f>SUBSTITUTE(SUBSTITUTE(SUBSTITUTE(SUBSTITUTE(H635,"(주)",""),"㈜",""),"주식회사","")," ","")</f>
        <v/>
      </c>
      <c r="AD635">
        <f>IF(AND(T635,AC635&lt;&gt;""),IF(COUNTIFS(AC$2:AC635,AC635,T$2:T635,TRUE)=1,MAX(AD$1:AD634)+1,""),"")</f>
        <v/>
      </c>
    </row>
    <row r="636">
      <c r="A636">
        <f>ROW()</f>
        <v/>
      </c>
      <c r="B636">
        <f>IF(설정!$C$4="","",IFERROR(INDEX('1.산군_붙여넣기'!$A$1:$AZ$1001,ROW(),설정!$C$4)&amp;"",""))</f>
        <v/>
      </c>
      <c r="C636">
        <f>IF(설정!$C$5="","",IFERROR(INDEX('1.산군_붙여넣기'!$A$1:$AZ$1001,ROW(),설정!$C$5)&amp;"",""))</f>
        <v/>
      </c>
      <c r="D636" s="5">
        <f>IFERROR(VALUE(SUBSTITUTE(SUBSTITUTE(SUBSTITUTE(IF(설정!$C$6="","",IFERROR(INDEX('1.산군_붙여넣기'!$A$1:$AZ$1001,ROW(),설정!$C$6)&amp;"","")),",",""),"㎡",""),"m2","")),"")</f>
        <v/>
      </c>
      <c r="E636">
        <f>IF(설정!$C$7="","",IFERROR(INDEX('1.산군_붙여넣기'!$A$1:$AZ$1001,ROW(),설정!$C$7)&amp;"",""))</f>
        <v/>
      </c>
      <c r="F636">
        <f>IF(설정!$C$8="","",IFERROR(INDEX('1.산군_붙여넣기'!$A$1:$AZ$1001,ROW(),설정!$C$8)&amp;"",""))</f>
        <v/>
      </c>
      <c r="G636">
        <f>IF(설정!$C$9="","",IFERROR(INDEX('1.산군_붙여넣기'!$A$1:$AZ$1001,ROW(),설정!$C$9)&amp;"",""))</f>
        <v/>
      </c>
      <c r="H636">
        <f>IF(설정!$C$10="","",IFERROR(INDEX('1.산군_붙여넣기'!$A$1:$AZ$1001,ROW(),설정!$C$10)&amp;"",""))</f>
        <v/>
      </c>
      <c r="I636">
        <f>IF(설정!$C$11="","",IFERROR(INDEX('1.산군_붙여넣기'!$A$1:$AZ$1001,ROW(),설정!$C$11)&amp;"",""))</f>
        <v/>
      </c>
      <c r="J636">
        <f>IF(설정!$C$12="","",IFERROR(INDEX('1.산군_붙여넣기'!$A$1:$AZ$1001,ROW(),설정!$C$12)&amp;"",""))</f>
        <v/>
      </c>
      <c r="K636">
        <f>IF(설정!$C$13="","",IFERROR(INDEX('1.산군_붙여넣기'!$A$1:$AZ$1001,ROW(),설정!$C$13)&amp;"",""))</f>
        <v/>
      </c>
      <c r="L636" s="7">
        <f>IF(X636="","",IF(AND(LEN(X636)=8,ISNUMBER(X636*1)),DATE(LEFT(X636,4),MID(X636,5,2),RIGHT(X636,2)),IFERROR(DATEVALUE(SUBSTITUTE(SUBSTITUTE(X636,".","-"),"/","-")),IFERROR(X636*1,""))))</f>
        <v/>
      </c>
      <c r="M636" s="7">
        <f>IF(Y636="","",IF(AND(LEN(Y636)=8,ISNUMBER(Y636*1)),DATE(LEFT(Y636,4),MID(Y636,5,2),RIGHT(Y636,2)),IFERROR(DATEVALUE(SUBSTITUTE(SUBSTITUTE(Y636,".","-"),"/","-")),IFERROR(Y636*1,""))))</f>
        <v/>
      </c>
      <c r="N636">
        <f>IFERROR(LEFT(B636,FIND(" ",B636)-1),B636)</f>
        <v/>
      </c>
      <c r="O636">
        <f>AND(B636&lt;&gt;"",B636&lt;&gt;설정!$B$4,C636&lt;&gt;설정!$B$5)</f>
        <v/>
      </c>
      <c r="P636">
        <f>IF(O636,B636&amp;"|"&amp;C636,"")</f>
        <v/>
      </c>
      <c r="Q636">
        <f>AND(O636,COUNTIF(P637:P$1002,P636)=0)</f>
        <v/>
      </c>
      <c r="R636">
        <f>OR(AND(설정!$A$42&lt;&gt;"",ISNUMBER(SEARCH(설정!$A$42,E636&amp;" "&amp;C636))),AND(설정!$A$43&lt;&gt;"",ISNUMBER(SEARCH(설정!$A$43,E636&amp;" "&amp;C636))),AND(설정!$A$44&lt;&gt;"",ISNUMBER(SEARCH(설정!$A$44,E636&amp;" "&amp;C636))),AND(설정!$A$45&lt;&gt;"",ISNUMBER(SEARCH(설정!$A$45,E636&amp;" "&amp;C636))),AND(설정!$A$46&lt;&gt;"",ISNUMBER(SEARCH(설정!$A$46,E636&amp;" "&amp;C636))),AND(설정!$A$47&lt;&gt;"",ISNUMBER(SEARCH(설정!$A$47,E636&amp;" "&amp;C636))),AND(설정!$A$48&lt;&gt;"",ISNUMBER(SEARCH(설정!$A$48,E636&amp;" "&amp;C636))),AND(설정!$A$49&lt;&gt;"",ISNUMBER(SEARCH(설정!$A$49,E636&amp;" "&amp;C636))),AND(설정!$A$50&lt;&gt;"",ISNUMBER(SEARCH(설정!$A$50,E636&amp;" "&amp;C636))),AND(설정!$A$51&lt;&gt;"",ISNUMBER(SEARCH(설정!$A$51,E636&amp;" "&amp;C636))))</f>
        <v/>
      </c>
      <c r="S636">
        <f>OR(D636="",D636&gt;=설정!$B$19)</f>
        <v/>
      </c>
      <c r="T636">
        <f>AND(Q636,R636,S636)</f>
        <v/>
      </c>
      <c r="U636">
        <f>IF(T636,IF(AND(설정!$A$54&lt;&gt;"",ISNUMBER(SEARCH(설정!$A$54,K636))),설정!$B$54,IF(AND(설정!$A$55&lt;&gt;"",ISNUMBER(SEARCH(설정!$A$55,K636))),설정!$B$55,IF(AND(설정!$A$56&lt;&gt;"",ISNUMBER(SEARCH(설정!$A$56,K636))),설정!$B$56,IF(AND(설정!$A$57&lt;&gt;"",ISNUMBER(SEARCH(설정!$A$57,K636))),설정!$B$57,IF(AND(설정!$A$58&lt;&gt;"",ISNUMBER(SEARCH(설정!$A$58,K636))),설정!$B$58,IF(AND(설정!$A$59&lt;&gt;"",ISNUMBER(SEARCH(설정!$A$59,K636))),설정!$B$59,IF(AND(설정!$A$60&lt;&gt;"",ISNUMBER(SEARCH(설정!$A$60,K636))),설정!$B$60,IF(AND(설정!$A$61&lt;&gt;"",ISNUMBER(SEARCH(설정!$A$61,K636))),설정!$B$61,IF(M636="","설계사","시공사"))))))))),"")</f>
        <v/>
      </c>
      <c r="V636">
        <f>SUBSTITUTE(SUBSTITUTE(SUBSTITUTE(SUBSTITUTE(G636,"(주)",""),"㈜",""),"주식회사","")," ","")</f>
        <v/>
      </c>
      <c r="W636">
        <f>IF(AND(T636,V636&lt;&gt;""),IF(COUNTIFS(V$2:V636,V636,T$2:T636,TRUE)=1,MAX(W$1:W635)+1,""),"")</f>
        <v/>
      </c>
      <c r="X636">
        <f>IF(설정!$C$14="","",IFERROR(INDEX('1.산군_붙여넣기'!$A$1:$AZ$1001,ROW(),설정!$C$14)&amp;"",""))</f>
        <v/>
      </c>
      <c r="Y636">
        <f>IF(설정!$C$15="","",IFERROR(INDEX('1.산군_붙여넣기'!$A$1:$AZ$1001,ROW(),설정!$C$15)&amp;"",""))</f>
        <v/>
      </c>
      <c r="Z636">
        <f>IF(T636,V636&amp;"|"&amp;U636,"")</f>
        <v/>
      </c>
      <c r="AA636">
        <f>IF(NOT(Q636),"",IF(NOT(AND(R636,S636)),"✕",IF(OR(OR(AND(L636&lt;&gt;"",M636&lt;&gt;"",N(M636)-N(L636)&gt;설정!$B$27),AND(L636&lt;&gt;"",M636="",설정!$B$24-N(L636)&gt;설정!$B$27)),AND(D636&lt;&gt;"",D636&lt;설정!$B$26)),"△","★")))</f>
        <v/>
      </c>
      <c r="AB636">
        <f>IF(NOT(T636),"",IF(U636="설계사",설정!$B$31,IF(U636="시공사",IF(OR(M636="",설정!$B$24-N(M636)&lt;=설정!$B$28*30.4),설정!$B$32,설정!$B$33),설정!$B$34))+IF(AA636="★",설정!$B$35,0))</f>
        <v/>
      </c>
      <c r="AC636">
        <f>SUBSTITUTE(SUBSTITUTE(SUBSTITUTE(SUBSTITUTE(H636,"(주)",""),"㈜",""),"주식회사","")," ","")</f>
        <v/>
      </c>
      <c r="AD636">
        <f>IF(AND(T636,AC636&lt;&gt;""),IF(COUNTIFS(AC$2:AC636,AC636,T$2:T636,TRUE)=1,MAX(AD$1:AD635)+1,""),"")</f>
        <v/>
      </c>
    </row>
    <row r="637">
      <c r="A637">
        <f>ROW()</f>
        <v/>
      </c>
      <c r="B637">
        <f>IF(설정!$C$4="","",IFERROR(INDEX('1.산군_붙여넣기'!$A$1:$AZ$1001,ROW(),설정!$C$4)&amp;"",""))</f>
        <v/>
      </c>
      <c r="C637">
        <f>IF(설정!$C$5="","",IFERROR(INDEX('1.산군_붙여넣기'!$A$1:$AZ$1001,ROW(),설정!$C$5)&amp;"",""))</f>
        <v/>
      </c>
      <c r="D637" s="5">
        <f>IFERROR(VALUE(SUBSTITUTE(SUBSTITUTE(SUBSTITUTE(IF(설정!$C$6="","",IFERROR(INDEX('1.산군_붙여넣기'!$A$1:$AZ$1001,ROW(),설정!$C$6)&amp;"","")),",",""),"㎡",""),"m2","")),"")</f>
        <v/>
      </c>
      <c r="E637">
        <f>IF(설정!$C$7="","",IFERROR(INDEX('1.산군_붙여넣기'!$A$1:$AZ$1001,ROW(),설정!$C$7)&amp;"",""))</f>
        <v/>
      </c>
      <c r="F637">
        <f>IF(설정!$C$8="","",IFERROR(INDEX('1.산군_붙여넣기'!$A$1:$AZ$1001,ROW(),설정!$C$8)&amp;"",""))</f>
        <v/>
      </c>
      <c r="G637">
        <f>IF(설정!$C$9="","",IFERROR(INDEX('1.산군_붙여넣기'!$A$1:$AZ$1001,ROW(),설정!$C$9)&amp;"",""))</f>
        <v/>
      </c>
      <c r="H637">
        <f>IF(설정!$C$10="","",IFERROR(INDEX('1.산군_붙여넣기'!$A$1:$AZ$1001,ROW(),설정!$C$10)&amp;"",""))</f>
        <v/>
      </c>
      <c r="I637">
        <f>IF(설정!$C$11="","",IFERROR(INDEX('1.산군_붙여넣기'!$A$1:$AZ$1001,ROW(),설정!$C$11)&amp;"",""))</f>
        <v/>
      </c>
      <c r="J637">
        <f>IF(설정!$C$12="","",IFERROR(INDEX('1.산군_붙여넣기'!$A$1:$AZ$1001,ROW(),설정!$C$12)&amp;"",""))</f>
        <v/>
      </c>
      <c r="K637">
        <f>IF(설정!$C$13="","",IFERROR(INDEX('1.산군_붙여넣기'!$A$1:$AZ$1001,ROW(),설정!$C$13)&amp;"",""))</f>
        <v/>
      </c>
      <c r="L637" s="7">
        <f>IF(X637="","",IF(AND(LEN(X637)=8,ISNUMBER(X637*1)),DATE(LEFT(X637,4),MID(X637,5,2),RIGHT(X637,2)),IFERROR(DATEVALUE(SUBSTITUTE(SUBSTITUTE(X637,".","-"),"/","-")),IFERROR(X637*1,""))))</f>
        <v/>
      </c>
      <c r="M637" s="7">
        <f>IF(Y637="","",IF(AND(LEN(Y637)=8,ISNUMBER(Y637*1)),DATE(LEFT(Y637,4),MID(Y637,5,2),RIGHT(Y637,2)),IFERROR(DATEVALUE(SUBSTITUTE(SUBSTITUTE(Y637,".","-"),"/","-")),IFERROR(Y637*1,""))))</f>
        <v/>
      </c>
      <c r="N637">
        <f>IFERROR(LEFT(B637,FIND(" ",B637)-1),B637)</f>
        <v/>
      </c>
      <c r="O637">
        <f>AND(B637&lt;&gt;"",B637&lt;&gt;설정!$B$4,C637&lt;&gt;설정!$B$5)</f>
        <v/>
      </c>
      <c r="P637">
        <f>IF(O637,B637&amp;"|"&amp;C637,"")</f>
        <v/>
      </c>
      <c r="Q637">
        <f>AND(O637,COUNTIF(P638:P$1002,P637)=0)</f>
        <v/>
      </c>
      <c r="R637">
        <f>OR(AND(설정!$A$42&lt;&gt;"",ISNUMBER(SEARCH(설정!$A$42,E637&amp;" "&amp;C637))),AND(설정!$A$43&lt;&gt;"",ISNUMBER(SEARCH(설정!$A$43,E637&amp;" "&amp;C637))),AND(설정!$A$44&lt;&gt;"",ISNUMBER(SEARCH(설정!$A$44,E637&amp;" "&amp;C637))),AND(설정!$A$45&lt;&gt;"",ISNUMBER(SEARCH(설정!$A$45,E637&amp;" "&amp;C637))),AND(설정!$A$46&lt;&gt;"",ISNUMBER(SEARCH(설정!$A$46,E637&amp;" "&amp;C637))),AND(설정!$A$47&lt;&gt;"",ISNUMBER(SEARCH(설정!$A$47,E637&amp;" "&amp;C637))),AND(설정!$A$48&lt;&gt;"",ISNUMBER(SEARCH(설정!$A$48,E637&amp;" "&amp;C637))),AND(설정!$A$49&lt;&gt;"",ISNUMBER(SEARCH(설정!$A$49,E637&amp;" "&amp;C637))),AND(설정!$A$50&lt;&gt;"",ISNUMBER(SEARCH(설정!$A$50,E637&amp;" "&amp;C637))),AND(설정!$A$51&lt;&gt;"",ISNUMBER(SEARCH(설정!$A$51,E637&amp;" "&amp;C637))))</f>
        <v/>
      </c>
      <c r="S637">
        <f>OR(D637="",D637&gt;=설정!$B$19)</f>
        <v/>
      </c>
      <c r="T637">
        <f>AND(Q637,R637,S637)</f>
        <v/>
      </c>
      <c r="U637">
        <f>IF(T637,IF(AND(설정!$A$54&lt;&gt;"",ISNUMBER(SEARCH(설정!$A$54,K637))),설정!$B$54,IF(AND(설정!$A$55&lt;&gt;"",ISNUMBER(SEARCH(설정!$A$55,K637))),설정!$B$55,IF(AND(설정!$A$56&lt;&gt;"",ISNUMBER(SEARCH(설정!$A$56,K637))),설정!$B$56,IF(AND(설정!$A$57&lt;&gt;"",ISNUMBER(SEARCH(설정!$A$57,K637))),설정!$B$57,IF(AND(설정!$A$58&lt;&gt;"",ISNUMBER(SEARCH(설정!$A$58,K637))),설정!$B$58,IF(AND(설정!$A$59&lt;&gt;"",ISNUMBER(SEARCH(설정!$A$59,K637))),설정!$B$59,IF(AND(설정!$A$60&lt;&gt;"",ISNUMBER(SEARCH(설정!$A$60,K637))),설정!$B$60,IF(AND(설정!$A$61&lt;&gt;"",ISNUMBER(SEARCH(설정!$A$61,K637))),설정!$B$61,IF(M637="","설계사","시공사"))))))))),"")</f>
        <v/>
      </c>
      <c r="V637">
        <f>SUBSTITUTE(SUBSTITUTE(SUBSTITUTE(SUBSTITUTE(G637,"(주)",""),"㈜",""),"주식회사","")," ","")</f>
        <v/>
      </c>
      <c r="W637">
        <f>IF(AND(T637,V637&lt;&gt;""),IF(COUNTIFS(V$2:V637,V637,T$2:T637,TRUE)=1,MAX(W$1:W636)+1,""),"")</f>
        <v/>
      </c>
      <c r="X637">
        <f>IF(설정!$C$14="","",IFERROR(INDEX('1.산군_붙여넣기'!$A$1:$AZ$1001,ROW(),설정!$C$14)&amp;"",""))</f>
        <v/>
      </c>
      <c r="Y637">
        <f>IF(설정!$C$15="","",IFERROR(INDEX('1.산군_붙여넣기'!$A$1:$AZ$1001,ROW(),설정!$C$15)&amp;"",""))</f>
        <v/>
      </c>
      <c r="Z637">
        <f>IF(T637,V637&amp;"|"&amp;U637,"")</f>
        <v/>
      </c>
      <c r="AA637">
        <f>IF(NOT(Q637),"",IF(NOT(AND(R637,S637)),"✕",IF(OR(OR(AND(L637&lt;&gt;"",M637&lt;&gt;"",N(M637)-N(L637)&gt;설정!$B$27),AND(L637&lt;&gt;"",M637="",설정!$B$24-N(L637)&gt;설정!$B$27)),AND(D637&lt;&gt;"",D637&lt;설정!$B$26)),"△","★")))</f>
        <v/>
      </c>
      <c r="AB637">
        <f>IF(NOT(T637),"",IF(U637="설계사",설정!$B$31,IF(U637="시공사",IF(OR(M637="",설정!$B$24-N(M637)&lt;=설정!$B$28*30.4),설정!$B$32,설정!$B$33),설정!$B$34))+IF(AA637="★",설정!$B$35,0))</f>
        <v/>
      </c>
      <c r="AC637">
        <f>SUBSTITUTE(SUBSTITUTE(SUBSTITUTE(SUBSTITUTE(H637,"(주)",""),"㈜",""),"주식회사","")," ","")</f>
        <v/>
      </c>
      <c r="AD637">
        <f>IF(AND(T637,AC637&lt;&gt;""),IF(COUNTIFS(AC$2:AC637,AC637,T$2:T637,TRUE)=1,MAX(AD$1:AD636)+1,""),"")</f>
        <v/>
      </c>
    </row>
    <row r="638">
      <c r="A638">
        <f>ROW()</f>
        <v/>
      </c>
      <c r="B638">
        <f>IF(설정!$C$4="","",IFERROR(INDEX('1.산군_붙여넣기'!$A$1:$AZ$1001,ROW(),설정!$C$4)&amp;"",""))</f>
        <v/>
      </c>
      <c r="C638">
        <f>IF(설정!$C$5="","",IFERROR(INDEX('1.산군_붙여넣기'!$A$1:$AZ$1001,ROW(),설정!$C$5)&amp;"",""))</f>
        <v/>
      </c>
      <c r="D638" s="5">
        <f>IFERROR(VALUE(SUBSTITUTE(SUBSTITUTE(SUBSTITUTE(IF(설정!$C$6="","",IFERROR(INDEX('1.산군_붙여넣기'!$A$1:$AZ$1001,ROW(),설정!$C$6)&amp;"","")),",",""),"㎡",""),"m2","")),"")</f>
        <v/>
      </c>
      <c r="E638">
        <f>IF(설정!$C$7="","",IFERROR(INDEX('1.산군_붙여넣기'!$A$1:$AZ$1001,ROW(),설정!$C$7)&amp;"",""))</f>
        <v/>
      </c>
      <c r="F638">
        <f>IF(설정!$C$8="","",IFERROR(INDEX('1.산군_붙여넣기'!$A$1:$AZ$1001,ROW(),설정!$C$8)&amp;"",""))</f>
        <v/>
      </c>
      <c r="G638">
        <f>IF(설정!$C$9="","",IFERROR(INDEX('1.산군_붙여넣기'!$A$1:$AZ$1001,ROW(),설정!$C$9)&amp;"",""))</f>
        <v/>
      </c>
      <c r="H638">
        <f>IF(설정!$C$10="","",IFERROR(INDEX('1.산군_붙여넣기'!$A$1:$AZ$1001,ROW(),설정!$C$10)&amp;"",""))</f>
        <v/>
      </c>
      <c r="I638">
        <f>IF(설정!$C$11="","",IFERROR(INDEX('1.산군_붙여넣기'!$A$1:$AZ$1001,ROW(),설정!$C$11)&amp;"",""))</f>
        <v/>
      </c>
      <c r="J638">
        <f>IF(설정!$C$12="","",IFERROR(INDEX('1.산군_붙여넣기'!$A$1:$AZ$1001,ROW(),설정!$C$12)&amp;"",""))</f>
        <v/>
      </c>
      <c r="K638">
        <f>IF(설정!$C$13="","",IFERROR(INDEX('1.산군_붙여넣기'!$A$1:$AZ$1001,ROW(),설정!$C$13)&amp;"",""))</f>
        <v/>
      </c>
      <c r="L638" s="7">
        <f>IF(X638="","",IF(AND(LEN(X638)=8,ISNUMBER(X638*1)),DATE(LEFT(X638,4),MID(X638,5,2),RIGHT(X638,2)),IFERROR(DATEVALUE(SUBSTITUTE(SUBSTITUTE(X638,".","-"),"/","-")),IFERROR(X638*1,""))))</f>
        <v/>
      </c>
      <c r="M638" s="7">
        <f>IF(Y638="","",IF(AND(LEN(Y638)=8,ISNUMBER(Y638*1)),DATE(LEFT(Y638,4),MID(Y638,5,2),RIGHT(Y638,2)),IFERROR(DATEVALUE(SUBSTITUTE(SUBSTITUTE(Y638,".","-"),"/","-")),IFERROR(Y638*1,""))))</f>
        <v/>
      </c>
      <c r="N638">
        <f>IFERROR(LEFT(B638,FIND(" ",B638)-1),B638)</f>
        <v/>
      </c>
      <c r="O638">
        <f>AND(B638&lt;&gt;"",B638&lt;&gt;설정!$B$4,C638&lt;&gt;설정!$B$5)</f>
        <v/>
      </c>
      <c r="P638">
        <f>IF(O638,B638&amp;"|"&amp;C638,"")</f>
        <v/>
      </c>
      <c r="Q638">
        <f>AND(O638,COUNTIF(P639:P$1002,P638)=0)</f>
        <v/>
      </c>
      <c r="R638">
        <f>OR(AND(설정!$A$42&lt;&gt;"",ISNUMBER(SEARCH(설정!$A$42,E638&amp;" "&amp;C638))),AND(설정!$A$43&lt;&gt;"",ISNUMBER(SEARCH(설정!$A$43,E638&amp;" "&amp;C638))),AND(설정!$A$44&lt;&gt;"",ISNUMBER(SEARCH(설정!$A$44,E638&amp;" "&amp;C638))),AND(설정!$A$45&lt;&gt;"",ISNUMBER(SEARCH(설정!$A$45,E638&amp;" "&amp;C638))),AND(설정!$A$46&lt;&gt;"",ISNUMBER(SEARCH(설정!$A$46,E638&amp;" "&amp;C638))),AND(설정!$A$47&lt;&gt;"",ISNUMBER(SEARCH(설정!$A$47,E638&amp;" "&amp;C638))),AND(설정!$A$48&lt;&gt;"",ISNUMBER(SEARCH(설정!$A$48,E638&amp;" "&amp;C638))),AND(설정!$A$49&lt;&gt;"",ISNUMBER(SEARCH(설정!$A$49,E638&amp;" "&amp;C638))),AND(설정!$A$50&lt;&gt;"",ISNUMBER(SEARCH(설정!$A$50,E638&amp;" "&amp;C638))),AND(설정!$A$51&lt;&gt;"",ISNUMBER(SEARCH(설정!$A$51,E638&amp;" "&amp;C638))))</f>
        <v/>
      </c>
      <c r="S638">
        <f>OR(D638="",D638&gt;=설정!$B$19)</f>
        <v/>
      </c>
      <c r="T638">
        <f>AND(Q638,R638,S638)</f>
        <v/>
      </c>
      <c r="U638">
        <f>IF(T638,IF(AND(설정!$A$54&lt;&gt;"",ISNUMBER(SEARCH(설정!$A$54,K638))),설정!$B$54,IF(AND(설정!$A$55&lt;&gt;"",ISNUMBER(SEARCH(설정!$A$55,K638))),설정!$B$55,IF(AND(설정!$A$56&lt;&gt;"",ISNUMBER(SEARCH(설정!$A$56,K638))),설정!$B$56,IF(AND(설정!$A$57&lt;&gt;"",ISNUMBER(SEARCH(설정!$A$57,K638))),설정!$B$57,IF(AND(설정!$A$58&lt;&gt;"",ISNUMBER(SEARCH(설정!$A$58,K638))),설정!$B$58,IF(AND(설정!$A$59&lt;&gt;"",ISNUMBER(SEARCH(설정!$A$59,K638))),설정!$B$59,IF(AND(설정!$A$60&lt;&gt;"",ISNUMBER(SEARCH(설정!$A$60,K638))),설정!$B$60,IF(AND(설정!$A$61&lt;&gt;"",ISNUMBER(SEARCH(설정!$A$61,K638))),설정!$B$61,IF(M638="","설계사","시공사"))))))))),"")</f>
        <v/>
      </c>
      <c r="V638">
        <f>SUBSTITUTE(SUBSTITUTE(SUBSTITUTE(SUBSTITUTE(G638,"(주)",""),"㈜",""),"주식회사","")," ","")</f>
        <v/>
      </c>
      <c r="W638">
        <f>IF(AND(T638,V638&lt;&gt;""),IF(COUNTIFS(V$2:V638,V638,T$2:T638,TRUE)=1,MAX(W$1:W637)+1,""),"")</f>
        <v/>
      </c>
      <c r="X638">
        <f>IF(설정!$C$14="","",IFERROR(INDEX('1.산군_붙여넣기'!$A$1:$AZ$1001,ROW(),설정!$C$14)&amp;"",""))</f>
        <v/>
      </c>
      <c r="Y638">
        <f>IF(설정!$C$15="","",IFERROR(INDEX('1.산군_붙여넣기'!$A$1:$AZ$1001,ROW(),설정!$C$15)&amp;"",""))</f>
        <v/>
      </c>
      <c r="Z638">
        <f>IF(T638,V638&amp;"|"&amp;U638,"")</f>
        <v/>
      </c>
      <c r="AA638">
        <f>IF(NOT(Q638),"",IF(NOT(AND(R638,S638)),"✕",IF(OR(OR(AND(L638&lt;&gt;"",M638&lt;&gt;"",N(M638)-N(L638)&gt;설정!$B$27),AND(L638&lt;&gt;"",M638="",설정!$B$24-N(L638)&gt;설정!$B$27)),AND(D638&lt;&gt;"",D638&lt;설정!$B$26)),"△","★")))</f>
        <v/>
      </c>
      <c r="AB638">
        <f>IF(NOT(T638),"",IF(U638="설계사",설정!$B$31,IF(U638="시공사",IF(OR(M638="",설정!$B$24-N(M638)&lt;=설정!$B$28*30.4),설정!$B$32,설정!$B$33),설정!$B$34))+IF(AA638="★",설정!$B$35,0))</f>
        <v/>
      </c>
      <c r="AC638">
        <f>SUBSTITUTE(SUBSTITUTE(SUBSTITUTE(SUBSTITUTE(H638,"(주)",""),"㈜",""),"주식회사","")," ","")</f>
        <v/>
      </c>
      <c r="AD638">
        <f>IF(AND(T638,AC638&lt;&gt;""),IF(COUNTIFS(AC$2:AC638,AC638,T$2:T638,TRUE)=1,MAX(AD$1:AD637)+1,""),"")</f>
        <v/>
      </c>
    </row>
    <row r="639">
      <c r="A639">
        <f>ROW()</f>
        <v/>
      </c>
      <c r="B639">
        <f>IF(설정!$C$4="","",IFERROR(INDEX('1.산군_붙여넣기'!$A$1:$AZ$1001,ROW(),설정!$C$4)&amp;"",""))</f>
        <v/>
      </c>
      <c r="C639">
        <f>IF(설정!$C$5="","",IFERROR(INDEX('1.산군_붙여넣기'!$A$1:$AZ$1001,ROW(),설정!$C$5)&amp;"",""))</f>
        <v/>
      </c>
      <c r="D639" s="5">
        <f>IFERROR(VALUE(SUBSTITUTE(SUBSTITUTE(SUBSTITUTE(IF(설정!$C$6="","",IFERROR(INDEX('1.산군_붙여넣기'!$A$1:$AZ$1001,ROW(),설정!$C$6)&amp;"","")),",",""),"㎡",""),"m2","")),"")</f>
        <v/>
      </c>
      <c r="E639">
        <f>IF(설정!$C$7="","",IFERROR(INDEX('1.산군_붙여넣기'!$A$1:$AZ$1001,ROW(),설정!$C$7)&amp;"",""))</f>
        <v/>
      </c>
      <c r="F639">
        <f>IF(설정!$C$8="","",IFERROR(INDEX('1.산군_붙여넣기'!$A$1:$AZ$1001,ROW(),설정!$C$8)&amp;"",""))</f>
        <v/>
      </c>
      <c r="G639">
        <f>IF(설정!$C$9="","",IFERROR(INDEX('1.산군_붙여넣기'!$A$1:$AZ$1001,ROW(),설정!$C$9)&amp;"",""))</f>
        <v/>
      </c>
      <c r="H639">
        <f>IF(설정!$C$10="","",IFERROR(INDEX('1.산군_붙여넣기'!$A$1:$AZ$1001,ROW(),설정!$C$10)&amp;"",""))</f>
        <v/>
      </c>
      <c r="I639">
        <f>IF(설정!$C$11="","",IFERROR(INDEX('1.산군_붙여넣기'!$A$1:$AZ$1001,ROW(),설정!$C$11)&amp;"",""))</f>
        <v/>
      </c>
      <c r="J639">
        <f>IF(설정!$C$12="","",IFERROR(INDEX('1.산군_붙여넣기'!$A$1:$AZ$1001,ROW(),설정!$C$12)&amp;"",""))</f>
        <v/>
      </c>
      <c r="K639">
        <f>IF(설정!$C$13="","",IFERROR(INDEX('1.산군_붙여넣기'!$A$1:$AZ$1001,ROW(),설정!$C$13)&amp;"",""))</f>
        <v/>
      </c>
      <c r="L639" s="7">
        <f>IF(X639="","",IF(AND(LEN(X639)=8,ISNUMBER(X639*1)),DATE(LEFT(X639,4),MID(X639,5,2),RIGHT(X639,2)),IFERROR(DATEVALUE(SUBSTITUTE(SUBSTITUTE(X639,".","-"),"/","-")),IFERROR(X639*1,""))))</f>
        <v/>
      </c>
      <c r="M639" s="7">
        <f>IF(Y639="","",IF(AND(LEN(Y639)=8,ISNUMBER(Y639*1)),DATE(LEFT(Y639,4),MID(Y639,5,2),RIGHT(Y639,2)),IFERROR(DATEVALUE(SUBSTITUTE(SUBSTITUTE(Y639,".","-"),"/","-")),IFERROR(Y639*1,""))))</f>
        <v/>
      </c>
      <c r="N639">
        <f>IFERROR(LEFT(B639,FIND(" ",B639)-1),B639)</f>
        <v/>
      </c>
      <c r="O639">
        <f>AND(B639&lt;&gt;"",B639&lt;&gt;설정!$B$4,C639&lt;&gt;설정!$B$5)</f>
        <v/>
      </c>
      <c r="P639">
        <f>IF(O639,B639&amp;"|"&amp;C639,"")</f>
        <v/>
      </c>
      <c r="Q639">
        <f>AND(O639,COUNTIF(P640:P$1002,P639)=0)</f>
        <v/>
      </c>
      <c r="R639">
        <f>OR(AND(설정!$A$42&lt;&gt;"",ISNUMBER(SEARCH(설정!$A$42,E639&amp;" "&amp;C639))),AND(설정!$A$43&lt;&gt;"",ISNUMBER(SEARCH(설정!$A$43,E639&amp;" "&amp;C639))),AND(설정!$A$44&lt;&gt;"",ISNUMBER(SEARCH(설정!$A$44,E639&amp;" "&amp;C639))),AND(설정!$A$45&lt;&gt;"",ISNUMBER(SEARCH(설정!$A$45,E639&amp;" "&amp;C639))),AND(설정!$A$46&lt;&gt;"",ISNUMBER(SEARCH(설정!$A$46,E639&amp;" "&amp;C639))),AND(설정!$A$47&lt;&gt;"",ISNUMBER(SEARCH(설정!$A$47,E639&amp;" "&amp;C639))),AND(설정!$A$48&lt;&gt;"",ISNUMBER(SEARCH(설정!$A$48,E639&amp;" "&amp;C639))),AND(설정!$A$49&lt;&gt;"",ISNUMBER(SEARCH(설정!$A$49,E639&amp;" "&amp;C639))),AND(설정!$A$50&lt;&gt;"",ISNUMBER(SEARCH(설정!$A$50,E639&amp;" "&amp;C639))),AND(설정!$A$51&lt;&gt;"",ISNUMBER(SEARCH(설정!$A$51,E639&amp;" "&amp;C639))))</f>
        <v/>
      </c>
      <c r="S639">
        <f>OR(D639="",D639&gt;=설정!$B$19)</f>
        <v/>
      </c>
      <c r="T639">
        <f>AND(Q639,R639,S639)</f>
        <v/>
      </c>
      <c r="U639">
        <f>IF(T639,IF(AND(설정!$A$54&lt;&gt;"",ISNUMBER(SEARCH(설정!$A$54,K639))),설정!$B$54,IF(AND(설정!$A$55&lt;&gt;"",ISNUMBER(SEARCH(설정!$A$55,K639))),설정!$B$55,IF(AND(설정!$A$56&lt;&gt;"",ISNUMBER(SEARCH(설정!$A$56,K639))),설정!$B$56,IF(AND(설정!$A$57&lt;&gt;"",ISNUMBER(SEARCH(설정!$A$57,K639))),설정!$B$57,IF(AND(설정!$A$58&lt;&gt;"",ISNUMBER(SEARCH(설정!$A$58,K639))),설정!$B$58,IF(AND(설정!$A$59&lt;&gt;"",ISNUMBER(SEARCH(설정!$A$59,K639))),설정!$B$59,IF(AND(설정!$A$60&lt;&gt;"",ISNUMBER(SEARCH(설정!$A$60,K639))),설정!$B$60,IF(AND(설정!$A$61&lt;&gt;"",ISNUMBER(SEARCH(설정!$A$61,K639))),설정!$B$61,IF(M639="","설계사","시공사"))))))))),"")</f>
        <v/>
      </c>
      <c r="V639">
        <f>SUBSTITUTE(SUBSTITUTE(SUBSTITUTE(SUBSTITUTE(G639,"(주)",""),"㈜",""),"주식회사","")," ","")</f>
        <v/>
      </c>
      <c r="W639">
        <f>IF(AND(T639,V639&lt;&gt;""),IF(COUNTIFS(V$2:V639,V639,T$2:T639,TRUE)=1,MAX(W$1:W638)+1,""),"")</f>
        <v/>
      </c>
      <c r="X639">
        <f>IF(설정!$C$14="","",IFERROR(INDEX('1.산군_붙여넣기'!$A$1:$AZ$1001,ROW(),설정!$C$14)&amp;"",""))</f>
        <v/>
      </c>
      <c r="Y639">
        <f>IF(설정!$C$15="","",IFERROR(INDEX('1.산군_붙여넣기'!$A$1:$AZ$1001,ROW(),설정!$C$15)&amp;"",""))</f>
        <v/>
      </c>
      <c r="Z639">
        <f>IF(T639,V639&amp;"|"&amp;U639,"")</f>
        <v/>
      </c>
      <c r="AA639">
        <f>IF(NOT(Q639),"",IF(NOT(AND(R639,S639)),"✕",IF(OR(OR(AND(L639&lt;&gt;"",M639&lt;&gt;"",N(M639)-N(L639)&gt;설정!$B$27),AND(L639&lt;&gt;"",M639="",설정!$B$24-N(L639)&gt;설정!$B$27)),AND(D639&lt;&gt;"",D639&lt;설정!$B$26)),"△","★")))</f>
        <v/>
      </c>
      <c r="AB639">
        <f>IF(NOT(T639),"",IF(U639="설계사",설정!$B$31,IF(U639="시공사",IF(OR(M639="",설정!$B$24-N(M639)&lt;=설정!$B$28*30.4),설정!$B$32,설정!$B$33),설정!$B$34))+IF(AA639="★",설정!$B$35,0))</f>
        <v/>
      </c>
      <c r="AC639">
        <f>SUBSTITUTE(SUBSTITUTE(SUBSTITUTE(SUBSTITUTE(H639,"(주)",""),"㈜",""),"주식회사","")," ","")</f>
        <v/>
      </c>
      <c r="AD639">
        <f>IF(AND(T639,AC639&lt;&gt;""),IF(COUNTIFS(AC$2:AC639,AC639,T$2:T639,TRUE)=1,MAX(AD$1:AD638)+1,""),"")</f>
        <v/>
      </c>
    </row>
    <row r="640">
      <c r="A640">
        <f>ROW()</f>
        <v/>
      </c>
      <c r="B640">
        <f>IF(설정!$C$4="","",IFERROR(INDEX('1.산군_붙여넣기'!$A$1:$AZ$1001,ROW(),설정!$C$4)&amp;"",""))</f>
        <v/>
      </c>
      <c r="C640">
        <f>IF(설정!$C$5="","",IFERROR(INDEX('1.산군_붙여넣기'!$A$1:$AZ$1001,ROW(),설정!$C$5)&amp;"",""))</f>
        <v/>
      </c>
      <c r="D640" s="5">
        <f>IFERROR(VALUE(SUBSTITUTE(SUBSTITUTE(SUBSTITUTE(IF(설정!$C$6="","",IFERROR(INDEX('1.산군_붙여넣기'!$A$1:$AZ$1001,ROW(),설정!$C$6)&amp;"","")),",",""),"㎡",""),"m2","")),"")</f>
        <v/>
      </c>
      <c r="E640">
        <f>IF(설정!$C$7="","",IFERROR(INDEX('1.산군_붙여넣기'!$A$1:$AZ$1001,ROW(),설정!$C$7)&amp;"",""))</f>
        <v/>
      </c>
      <c r="F640">
        <f>IF(설정!$C$8="","",IFERROR(INDEX('1.산군_붙여넣기'!$A$1:$AZ$1001,ROW(),설정!$C$8)&amp;"",""))</f>
        <v/>
      </c>
      <c r="G640">
        <f>IF(설정!$C$9="","",IFERROR(INDEX('1.산군_붙여넣기'!$A$1:$AZ$1001,ROW(),설정!$C$9)&amp;"",""))</f>
        <v/>
      </c>
      <c r="H640">
        <f>IF(설정!$C$10="","",IFERROR(INDEX('1.산군_붙여넣기'!$A$1:$AZ$1001,ROW(),설정!$C$10)&amp;"",""))</f>
        <v/>
      </c>
      <c r="I640">
        <f>IF(설정!$C$11="","",IFERROR(INDEX('1.산군_붙여넣기'!$A$1:$AZ$1001,ROW(),설정!$C$11)&amp;"",""))</f>
        <v/>
      </c>
      <c r="J640">
        <f>IF(설정!$C$12="","",IFERROR(INDEX('1.산군_붙여넣기'!$A$1:$AZ$1001,ROW(),설정!$C$12)&amp;"",""))</f>
        <v/>
      </c>
      <c r="K640">
        <f>IF(설정!$C$13="","",IFERROR(INDEX('1.산군_붙여넣기'!$A$1:$AZ$1001,ROW(),설정!$C$13)&amp;"",""))</f>
        <v/>
      </c>
      <c r="L640" s="7">
        <f>IF(X640="","",IF(AND(LEN(X640)=8,ISNUMBER(X640*1)),DATE(LEFT(X640,4),MID(X640,5,2),RIGHT(X640,2)),IFERROR(DATEVALUE(SUBSTITUTE(SUBSTITUTE(X640,".","-"),"/","-")),IFERROR(X640*1,""))))</f>
        <v/>
      </c>
      <c r="M640" s="7">
        <f>IF(Y640="","",IF(AND(LEN(Y640)=8,ISNUMBER(Y640*1)),DATE(LEFT(Y640,4),MID(Y640,5,2),RIGHT(Y640,2)),IFERROR(DATEVALUE(SUBSTITUTE(SUBSTITUTE(Y640,".","-"),"/","-")),IFERROR(Y640*1,""))))</f>
        <v/>
      </c>
      <c r="N640">
        <f>IFERROR(LEFT(B640,FIND(" ",B640)-1),B640)</f>
        <v/>
      </c>
      <c r="O640">
        <f>AND(B640&lt;&gt;"",B640&lt;&gt;설정!$B$4,C640&lt;&gt;설정!$B$5)</f>
        <v/>
      </c>
      <c r="P640">
        <f>IF(O640,B640&amp;"|"&amp;C640,"")</f>
        <v/>
      </c>
      <c r="Q640">
        <f>AND(O640,COUNTIF(P641:P$1002,P640)=0)</f>
        <v/>
      </c>
      <c r="R640">
        <f>OR(AND(설정!$A$42&lt;&gt;"",ISNUMBER(SEARCH(설정!$A$42,E640&amp;" "&amp;C640))),AND(설정!$A$43&lt;&gt;"",ISNUMBER(SEARCH(설정!$A$43,E640&amp;" "&amp;C640))),AND(설정!$A$44&lt;&gt;"",ISNUMBER(SEARCH(설정!$A$44,E640&amp;" "&amp;C640))),AND(설정!$A$45&lt;&gt;"",ISNUMBER(SEARCH(설정!$A$45,E640&amp;" "&amp;C640))),AND(설정!$A$46&lt;&gt;"",ISNUMBER(SEARCH(설정!$A$46,E640&amp;" "&amp;C640))),AND(설정!$A$47&lt;&gt;"",ISNUMBER(SEARCH(설정!$A$47,E640&amp;" "&amp;C640))),AND(설정!$A$48&lt;&gt;"",ISNUMBER(SEARCH(설정!$A$48,E640&amp;" "&amp;C640))),AND(설정!$A$49&lt;&gt;"",ISNUMBER(SEARCH(설정!$A$49,E640&amp;" "&amp;C640))),AND(설정!$A$50&lt;&gt;"",ISNUMBER(SEARCH(설정!$A$50,E640&amp;" "&amp;C640))),AND(설정!$A$51&lt;&gt;"",ISNUMBER(SEARCH(설정!$A$51,E640&amp;" "&amp;C640))))</f>
        <v/>
      </c>
      <c r="S640">
        <f>OR(D640="",D640&gt;=설정!$B$19)</f>
        <v/>
      </c>
      <c r="T640">
        <f>AND(Q640,R640,S640)</f>
        <v/>
      </c>
      <c r="U640">
        <f>IF(T640,IF(AND(설정!$A$54&lt;&gt;"",ISNUMBER(SEARCH(설정!$A$54,K640))),설정!$B$54,IF(AND(설정!$A$55&lt;&gt;"",ISNUMBER(SEARCH(설정!$A$55,K640))),설정!$B$55,IF(AND(설정!$A$56&lt;&gt;"",ISNUMBER(SEARCH(설정!$A$56,K640))),설정!$B$56,IF(AND(설정!$A$57&lt;&gt;"",ISNUMBER(SEARCH(설정!$A$57,K640))),설정!$B$57,IF(AND(설정!$A$58&lt;&gt;"",ISNUMBER(SEARCH(설정!$A$58,K640))),설정!$B$58,IF(AND(설정!$A$59&lt;&gt;"",ISNUMBER(SEARCH(설정!$A$59,K640))),설정!$B$59,IF(AND(설정!$A$60&lt;&gt;"",ISNUMBER(SEARCH(설정!$A$60,K640))),설정!$B$60,IF(AND(설정!$A$61&lt;&gt;"",ISNUMBER(SEARCH(설정!$A$61,K640))),설정!$B$61,IF(M640="","설계사","시공사"))))))))),"")</f>
        <v/>
      </c>
      <c r="V640">
        <f>SUBSTITUTE(SUBSTITUTE(SUBSTITUTE(SUBSTITUTE(G640,"(주)",""),"㈜",""),"주식회사","")," ","")</f>
        <v/>
      </c>
      <c r="W640">
        <f>IF(AND(T640,V640&lt;&gt;""),IF(COUNTIFS(V$2:V640,V640,T$2:T640,TRUE)=1,MAX(W$1:W639)+1,""),"")</f>
        <v/>
      </c>
      <c r="X640">
        <f>IF(설정!$C$14="","",IFERROR(INDEX('1.산군_붙여넣기'!$A$1:$AZ$1001,ROW(),설정!$C$14)&amp;"",""))</f>
        <v/>
      </c>
      <c r="Y640">
        <f>IF(설정!$C$15="","",IFERROR(INDEX('1.산군_붙여넣기'!$A$1:$AZ$1001,ROW(),설정!$C$15)&amp;"",""))</f>
        <v/>
      </c>
      <c r="Z640">
        <f>IF(T640,V640&amp;"|"&amp;U640,"")</f>
        <v/>
      </c>
      <c r="AA640">
        <f>IF(NOT(Q640),"",IF(NOT(AND(R640,S640)),"✕",IF(OR(OR(AND(L640&lt;&gt;"",M640&lt;&gt;"",N(M640)-N(L640)&gt;설정!$B$27),AND(L640&lt;&gt;"",M640="",설정!$B$24-N(L640)&gt;설정!$B$27)),AND(D640&lt;&gt;"",D640&lt;설정!$B$26)),"△","★")))</f>
        <v/>
      </c>
      <c r="AB640">
        <f>IF(NOT(T640),"",IF(U640="설계사",설정!$B$31,IF(U640="시공사",IF(OR(M640="",설정!$B$24-N(M640)&lt;=설정!$B$28*30.4),설정!$B$32,설정!$B$33),설정!$B$34))+IF(AA640="★",설정!$B$35,0))</f>
        <v/>
      </c>
      <c r="AC640">
        <f>SUBSTITUTE(SUBSTITUTE(SUBSTITUTE(SUBSTITUTE(H640,"(주)",""),"㈜",""),"주식회사","")," ","")</f>
        <v/>
      </c>
      <c r="AD640">
        <f>IF(AND(T640,AC640&lt;&gt;""),IF(COUNTIFS(AC$2:AC640,AC640,T$2:T640,TRUE)=1,MAX(AD$1:AD639)+1,""),"")</f>
        <v/>
      </c>
    </row>
    <row r="641">
      <c r="A641">
        <f>ROW()</f>
        <v/>
      </c>
      <c r="B641">
        <f>IF(설정!$C$4="","",IFERROR(INDEX('1.산군_붙여넣기'!$A$1:$AZ$1001,ROW(),설정!$C$4)&amp;"",""))</f>
        <v/>
      </c>
      <c r="C641">
        <f>IF(설정!$C$5="","",IFERROR(INDEX('1.산군_붙여넣기'!$A$1:$AZ$1001,ROW(),설정!$C$5)&amp;"",""))</f>
        <v/>
      </c>
      <c r="D641" s="5">
        <f>IFERROR(VALUE(SUBSTITUTE(SUBSTITUTE(SUBSTITUTE(IF(설정!$C$6="","",IFERROR(INDEX('1.산군_붙여넣기'!$A$1:$AZ$1001,ROW(),설정!$C$6)&amp;"","")),",",""),"㎡",""),"m2","")),"")</f>
        <v/>
      </c>
      <c r="E641">
        <f>IF(설정!$C$7="","",IFERROR(INDEX('1.산군_붙여넣기'!$A$1:$AZ$1001,ROW(),설정!$C$7)&amp;"",""))</f>
        <v/>
      </c>
      <c r="F641">
        <f>IF(설정!$C$8="","",IFERROR(INDEX('1.산군_붙여넣기'!$A$1:$AZ$1001,ROW(),설정!$C$8)&amp;"",""))</f>
        <v/>
      </c>
      <c r="G641">
        <f>IF(설정!$C$9="","",IFERROR(INDEX('1.산군_붙여넣기'!$A$1:$AZ$1001,ROW(),설정!$C$9)&amp;"",""))</f>
        <v/>
      </c>
      <c r="H641">
        <f>IF(설정!$C$10="","",IFERROR(INDEX('1.산군_붙여넣기'!$A$1:$AZ$1001,ROW(),설정!$C$10)&amp;"",""))</f>
        <v/>
      </c>
      <c r="I641">
        <f>IF(설정!$C$11="","",IFERROR(INDEX('1.산군_붙여넣기'!$A$1:$AZ$1001,ROW(),설정!$C$11)&amp;"",""))</f>
        <v/>
      </c>
      <c r="J641">
        <f>IF(설정!$C$12="","",IFERROR(INDEX('1.산군_붙여넣기'!$A$1:$AZ$1001,ROW(),설정!$C$12)&amp;"",""))</f>
        <v/>
      </c>
      <c r="K641">
        <f>IF(설정!$C$13="","",IFERROR(INDEX('1.산군_붙여넣기'!$A$1:$AZ$1001,ROW(),설정!$C$13)&amp;"",""))</f>
        <v/>
      </c>
      <c r="L641" s="7">
        <f>IF(X641="","",IF(AND(LEN(X641)=8,ISNUMBER(X641*1)),DATE(LEFT(X641,4),MID(X641,5,2),RIGHT(X641,2)),IFERROR(DATEVALUE(SUBSTITUTE(SUBSTITUTE(X641,".","-"),"/","-")),IFERROR(X641*1,""))))</f>
        <v/>
      </c>
      <c r="M641" s="7">
        <f>IF(Y641="","",IF(AND(LEN(Y641)=8,ISNUMBER(Y641*1)),DATE(LEFT(Y641,4),MID(Y641,5,2),RIGHT(Y641,2)),IFERROR(DATEVALUE(SUBSTITUTE(SUBSTITUTE(Y641,".","-"),"/","-")),IFERROR(Y641*1,""))))</f>
        <v/>
      </c>
      <c r="N641">
        <f>IFERROR(LEFT(B641,FIND(" ",B641)-1),B641)</f>
        <v/>
      </c>
      <c r="O641">
        <f>AND(B641&lt;&gt;"",B641&lt;&gt;설정!$B$4,C641&lt;&gt;설정!$B$5)</f>
        <v/>
      </c>
      <c r="P641">
        <f>IF(O641,B641&amp;"|"&amp;C641,"")</f>
        <v/>
      </c>
      <c r="Q641">
        <f>AND(O641,COUNTIF(P642:P$1002,P641)=0)</f>
        <v/>
      </c>
      <c r="R641">
        <f>OR(AND(설정!$A$42&lt;&gt;"",ISNUMBER(SEARCH(설정!$A$42,E641&amp;" "&amp;C641))),AND(설정!$A$43&lt;&gt;"",ISNUMBER(SEARCH(설정!$A$43,E641&amp;" "&amp;C641))),AND(설정!$A$44&lt;&gt;"",ISNUMBER(SEARCH(설정!$A$44,E641&amp;" "&amp;C641))),AND(설정!$A$45&lt;&gt;"",ISNUMBER(SEARCH(설정!$A$45,E641&amp;" "&amp;C641))),AND(설정!$A$46&lt;&gt;"",ISNUMBER(SEARCH(설정!$A$46,E641&amp;" "&amp;C641))),AND(설정!$A$47&lt;&gt;"",ISNUMBER(SEARCH(설정!$A$47,E641&amp;" "&amp;C641))),AND(설정!$A$48&lt;&gt;"",ISNUMBER(SEARCH(설정!$A$48,E641&amp;" "&amp;C641))),AND(설정!$A$49&lt;&gt;"",ISNUMBER(SEARCH(설정!$A$49,E641&amp;" "&amp;C641))),AND(설정!$A$50&lt;&gt;"",ISNUMBER(SEARCH(설정!$A$50,E641&amp;" "&amp;C641))),AND(설정!$A$51&lt;&gt;"",ISNUMBER(SEARCH(설정!$A$51,E641&amp;" "&amp;C641))))</f>
        <v/>
      </c>
      <c r="S641">
        <f>OR(D641="",D641&gt;=설정!$B$19)</f>
        <v/>
      </c>
      <c r="T641">
        <f>AND(Q641,R641,S641)</f>
        <v/>
      </c>
      <c r="U641">
        <f>IF(T641,IF(AND(설정!$A$54&lt;&gt;"",ISNUMBER(SEARCH(설정!$A$54,K641))),설정!$B$54,IF(AND(설정!$A$55&lt;&gt;"",ISNUMBER(SEARCH(설정!$A$55,K641))),설정!$B$55,IF(AND(설정!$A$56&lt;&gt;"",ISNUMBER(SEARCH(설정!$A$56,K641))),설정!$B$56,IF(AND(설정!$A$57&lt;&gt;"",ISNUMBER(SEARCH(설정!$A$57,K641))),설정!$B$57,IF(AND(설정!$A$58&lt;&gt;"",ISNUMBER(SEARCH(설정!$A$58,K641))),설정!$B$58,IF(AND(설정!$A$59&lt;&gt;"",ISNUMBER(SEARCH(설정!$A$59,K641))),설정!$B$59,IF(AND(설정!$A$60&lt;&gt;"",ISNUMBER(SEARCH(설정!$A$60,K641))),설정!$B$60,IF(AND(설정!$A$61&lt;&gt;"",ISNUMBER(SEARCH(설정!$A$61,K641))),설정!$B$61,IF(M641="","설계사","시공사"))))))))),"")</f>
        <v/>
      </c>
      <c r="V641">
        <f>SUBSTITUTE(SUBSTITUTE(SUBSTITUTE(SUBSTITUTE(G641,"(주)",""),"㈜",""),"주식회사","")," ","")</f>
        <v/>
      </c>
      <c r="W641">
        <f>IF(AND(T641,V641&lt;&gt;""),IF(COUNTIFS(V$2:V641,V641,T$2:T641,TRUE)=1,MAX(W$1:W640)+1,""),"")</f>
        <v/>
      </c>
      <c r="X641">
        <f>IF(설정!$C$14="","",IFERROR(INDEX('1.산군_붙여넣기'!$A$1:$AZ$1001,ROW(),설정!$C$14)&amp;"",""))</f>
        <v/>
      </c>
      <c r="Y641">
        <f>IF(설정!$C$15="","",IFERROR(INDEX('1.산군_붙여넣기'!$A$1:$AZ$1001,ROW(),설정!$C$15)&amp;"",""))</f>
        <v/>
      </c>
      <c r="Z641">
        <f>IF(T641,V641&amp;"|"&amp;U641,"")</f>
        <v/>
      </c>
      <c r="AA641">
        <f>IF(NOT(Q641),"",IF(NOT(AND(R641,S641)),"✕",IF(OR(OR(AND(L641&lt;&gt;"",M641&lt;&gt;"",N(M641)-N(L641)&gt;설정!$B$27),AND(L641&lt;&gt;"",M641="",설정!$B$24-N(L641)&gt;설정!$B$27)),AND(D641&lt;&gt;"",D641&lt;설정!$B$26)),"△","★")))</f>
        <v/>
      </c>
      <c r="AB641">
        <f>IF(NOT(T641),"",IF(U641="설계사",설정!$B$31,IF(U641="시공사",IF(OR(M641="",설정!$B$24-N(M641)&lt;=설정!$B$28*30.4),설정!$B$32,설정!$B$33),설정!$B$34))+IF(AA641="★",설정!$B$35,0))</f>
        <v/>
      </c>
      <c r="AC641">
        <f>SUBSTITUTE(SUBSTITUTE(SUBSTITUTE(SUBSTITUTE(H641,"(주)",""),"㈜",""),"주식회사","")," ","")</f>
        <v/>
      </c>
      <c r="AD641">
        <f>IF(AND(T641,AC641&lt;&gt;""),IF(COUNTIFS(AC$2:AC641,AC641,T$2:T641,TRUE)=1,MAX(AD$1:AD640)+1,""),"")</f>
        <v/>
      </c>
    </row>
    <row r="642">
      <c r="A642">
        <f>ROW()</f>
        <v/>
      </c>
      <c r="B642">
        <f>IF(설정!$C$4="","",IFERROR(INDEX('1.산군_붙여넣기'!$A$1:$AZ$1001,ROW(),설정!$C$4)&amp;"",""))</f>
        <v/>
      </c>
      <c r="C642">
        <f>IF(설정!$C$5="","",IFERROR(INDEX('1.산군_붙여넣기'!$A$1:$AZ$1001,ROW(),설정!$C$5)&amp;"",""))</f>
        <v/>
      </c>
      <c r="D642" s="5">
        <f>IFERROR(VALUE(SUBSTITUTE(SUBSTITUTE(SUBSTITUTE(IF(설정!$C$6="","",IFERROR(INDEX('1.산군_붙여넣기'!$A$1:$AZ$1001,ROW(),설정!$C$6)&amp;"","")),",",""),"㎡",""),"m2","")),"")</f>
        <v/>
      </c>
      <c r="E642">
        <f>IF(설정!$C$7="","",IFERROR(INDEX('1.산군_붙여넣기'!$A$1:$AZ$1001,ROW(),설정!$C$7)&amp;"",""))</f>
        <v/>
      </c>
      <c r="F642">
        <f>IF(설정!$C$8="","",IFERROR(INDEX('1.산군_붙여넣기'!$A$1:$AZ$1001,ROW(),설정!$C$8)&amp;"",""))</f>
        <v/>
      </c>
      <c r="G642">
        <f>IF(설정!$C$9="","",IFERROR(INDEX('1.산군_붙여넣기'!$A$1:$AZ$1001,ROW(),설정!$C$9)&amp;"",""))</f>
        <v/>
      </c>
      <c r="H642">
        <f>IF(설정!$C$10="","",IFERROR(INDEX('1.산군_붙여넣기'!$A$1:$AZ$1001,ROW(),설정!$C$10)&amp;"",""))</f>
        <v/>
      </c>
      <c r="I642">
        <f>IF(설정!$C$11="","",IFERROR(INDEX('1.산군_붙여넣기'!$A$1:$AZ$1001,ROW(),설정!$C$11)&amp;"",""))</f>
        <v/>
      </c>
      <c r="J642">
        <f>IF(설정!$C$12="","",IFERROR(INDEX('1.산군_붙여넣기'!$A$1:$AZ$1001,ROW(),설정!$C$12)&amp;"",""))</f>
        <v/>
      </c>
      <c r="K642">
        <f>IF(설정!$C$13="","",IFERROR(INDEX('1.산군_붙여넣기'!$A$1:$AZ$1001,ROW(),설정!$C$13)&amp;"",""))</f>
        <v/>
      </c>
      <c r="L642" s="7">
        <f>IF(X642="","",IF(AND(LEN(X642)=8,ISNUMBER(X642*1)),DATE(LEFT(X642,4),MID(X642,5,2),RIGHT(X642,2)),IFERROR(DATEVALUE(SUBSTITUTE(SUBSTITUTE(X642,".","-"),"/","-")),IFERROR(X642*1,""))))</f>
        <v/>
      </c>
      <c r="M642" s="7">
        <f>IF(Y642="","",IF(AND(LEN(Y642)=8,ISNUMBER(Y642*1)),DATE(LEFT(Y642,4),MID(Y642,5,2),RIGHT(Y642,2)),IFERROR(DATEVALUE(SUBSTITUTE(SUBSTITUTE(Y642,".","-"),"/","-")),IFERROR(Y642*1,""))))</f>
        <v/>
      </c>
      <c r="N642">
        <f>IFERROR(LEFT(B642,FIND(" ",B642)-1),B642)</f>
        <v/>
      </c>
      <c r="O642">
        <f>AND(B642&lt;&gt;"",B642&lt;&gt;설정!$B$4,C642&lt;&gt;설정!$B$5)</f>
        <v/>
      </c>
      <c r="P642">
        <f>IF(O642,B642&amp;"|"&amp;C642,"")</f>
        <v/>
      </c>
      <c r="Q642">
        <f>AND(O642,COUNTIF(P643:P$1002,P642)=0)</f>
        <v/>
      </c>
      <c r="R642">
        <f>OR(AND(설정!$A$42&lt;&gt;"",ISNUMBER(SEARCH(설정!$A$42,E642&amp;" "&amp;C642))),AND(설정!$A$43&lt;&gt;"",ISNUMBER(SEARCH(설정!$A$43,E642&amp;" "&amp;C642))),AND(설정!$A$44&lt;&gt;"",ISNUMBER(SEARCH(설정!$A$44,E642&amp;" "&amp;C642))),AND(설정!$A$45&lt;&gt;"",ISNUMBER(SEARCH(설정!$A$45,E642&amp;" "&amp;C642))),AND(설정!$A$46&lt;&gt;"",ISNUMBER(SEARCH(설정!$A$46,E642&amp;" "&amp;C642))),AND(설정!$A$47&lt;&gt;"",ISNUMBER(SEARCH(설정!$A$47,E642&amp;" "&amp;C642))),AND(설정!$A$48&lt;&gt;"",ISNUMBER(SEARCH(설정!$A$48,E642&amp;" "&amp;C642))),AND(설정!$A$49&lt;&gt;"",ISNUMBER(SEARCH(설정!$A$49,E642&amp;" "&amp;C642))),AND(설정!$A$50&lt;&gt;"",ISNUMBER(SEARCH(설정!$A$50,E642&amp;" "&amp;C642))),AND(설정!$A$51&lt;&gt;"",ISNUMBER(SEARCH(설정!$A$51,E642&amp;" "&amp;C642))))</f>
        <v/>
      </c>
      <c r="S642">
        <f>OR(D642="",D642&gt;=설정!$B$19)</f>
        <v/>
      </c>
      <c r="T642">
        <f>AND(Q642,R642,S642)</f>
        <v/>
      </c>
      <c r="U642">
        <f>IF(T642,IF(AND(설정!$A$54&lt;&gt;"",ISNUMBER(SEARCH(설정!$A$54,K642))),설정!$B$54,IF(AND(설정!$A$55&lt;&gt;"",ISNUMBER(SEARCH(설정!$A$55,K642))),설정!$B$55,IF(AND(설정!$A$56&lt;&gt;"",ISNUMBER(SEARCH(설정!$A$56,K642))),설정!$B$56,IF(AND(설정!$A$57&lt;&gt;"",ISNUMBER(SEARCH(설정!$A$57,K642))),설정!$B$57,IF(AND(설정!$A$58&lt;&gt;"",ISNUMBER(SEARCH(설정!$A$58,K642))),설정!$B$58,IF(AND(설정!$A$59&lt;&gt;"",ISNUMBER(SEARCH(설정!$A$59,K642))),설정!$B$59,IF(AND(설정!$A$60&lt;&gt;"",ISNUMBER(SEARCH(설정!$A$60,K642))),설정!$B$60,IF(AND(설정!$A$61&lt;&gt;"",ISNUMBER(SEARCH(설정!$A$61,K642))),설정!$B$61,IF(M642="","설계사","시공사"))))))))),"")</f>
        <v/>
      </c>
      <c r="V642">
        <f>SUBSTITUTE(SUBSTITUTE(SUBSTITUTE(SUBSTITUTE(G642,"(주)",""),"㈜",""),"주식회사","")," ","")</f>
        <v/>
      </c>
      <c r="W642">
        <f>IF(AND(T642,V642&lt;&gt;""),IF(COUNTIFS(V$2:V642,V642,T$2:T642,TRUE)=1,MAX(W$1:W641)+1,""),"")</f>
        <v/>
      </c>
      <c r="X642">
        <f>IF(설정!$C$14="","",IFERROR(INDEX('1.산군_붙여넣기'!$A$1:$AZ$1001,ROW(),설정!$C$14)&amp;"",""))</f>
        <v/>
      </c>
      <c r="Y642">
        <f>IF(설정!$C$15="","",IFERROR(INDEX('1.산군_붙여넣기'!$A$1:$AZ$1001,ROW(),설정!$C$15)&amp;"",""))</f>
        <v/>
      </c>
      <c r="Z642">
        <f>IF(T642,V642&amp;"|"&amp;U642,"")</f>
        <v/>
      </c>
      <c r="AA642">
        <f>IF(NOT(Q642),"",IF(NOT(AND(R642,S642)),"✕",IF(OR(OR(AND(L642&lt;&gt;"",M642&lt;&gt;"",N(M642)-N(L642)&gt;설정!$B$27),AND(L642&lt;&gt;"",M642="",설정!$B$24-N(L642)&gt;설정!$B$27)),AND(D642&lt;&gt;"",D642&lt;설정!$B$26)),"△","★")))</f>
        <v/>
      </c>
      <c r="AB642">
        <f>IF(NOT(T642),"",IF(U642="설계사",설정!$B$31,IF(U642="시공사",IF(OR(M642="",설정!$B$24-N(M642)&lt;=설정!$B$28*30.4),설정!$B$32,설정!$B$33),설정!$B$34))+IF(AA642="★",설정!$B$35,0))</f>
        <v/>
      </c>
      <c r="AC642">
        <f>SUBSTITUTE(SUBSTITUTE(SUBSTITUTE(SUBSTITUTE(H642,"(주)",""),"㈜",""),"주식회사","")," ","")</f>
        <v/>
      </c>
      <c r="AD642">
        <f>IF(AND(T642,AC642&lt;&gt;""),IF(COUNTIFS(AC$2:AC642,AC642,T$2:T642,TRUE)=1,MAX(AD$1:AD641)+1,""),"")</f>
        <v/>
      </c>
    </row>
    <row r="643">
      <c r="A643">
        <f>ROW()</f>
        <v/>
      </c>
      <c r="B643">
        <f>IF(설정!$C$4="","",IFERROR(INDEX('1.산군_붙여넣기'!$A$1:$AZ$1001,ROW(),설정!$C$4)&amp;"",""))</f>
        <v/>
      </c>
      <c r="C643">
        <f>IF(설정!$C$5="","",IFERROR(INDEX('1.산군_붙여넣기'!$A$1:$AZ$1001,ROW(),설정!$C$5)&amp;"",""))</f>
        <v/>
      </c>
      <c r="D643" s="5">
        <f>IFERROR(VALUE(SUBSTITUTE(SUBSTITUTE(SUBSTITUTE(IF(설정!$C$6="","",IFERROR(INDEX('1.산군_붙여넣기'!$A$1:$AZ$1001,ROW(),설정!$C$6)&amp;"","")),",",""),"㎡",""),"m2","")),"")</f>
        <v/>
      </c>
      <c r="E643">
        <f>IF(설정!$C$7="","",IFERROR(INDEX('1.산군_붙여넣기'!$A$1:$AZ$1001,ROW(),설정!$C$7)&amp;"",""))</f>
        <v/>
      </c>
      <c r="F643">
        <f>IF(설정!$C$8="","",IFERROR(INDEX('1.산군_붙여넣기'!$A$1:$AZ$1001,ROW(),설정!$C$8)&amp;"",""))</f>
        <v/>
      </c>
      <c r="G643">
        <f>IF(설정!$C$9="","",IFERROR(INDEX('1.산군_붙여넣기'!$A$1:$AZ$1001,ROW(),설정!$C$9)&amp;"",""))</f>
        <v/>
      </c>
      <c r="H643">
        <f>IF(설정!$C$10="","",IFERROR(INDEX('1.산군_붙여넣기'!$A$1:$AZ$1001,ROW(),설정!$C$10)&amp;"",""))</f>
        <v/>
      </c>
      <c r="I643">
        <f>IF(설정!$C$11="","",IFERROR(INDEX('1.산군_붙여넣기'!$A$1:$AZ$1001,ROW(),설정!$C$11)&amp;"",""))</f>
        <v/>
      </c>
      <c r="J643">
        <f>IF(설정!$C$12="","",IFERROR(INDEX('1.산군_붙여넣기'!$A$1:$AZ$1001,ROW(),설정!$C$12)&amp;"",""))</f>
        <v/>
      </c>
      <c r="K643">
        <f>IF(설정!$C$13="","",IFERROR(INDEX('1.산군_붙여넣기'!$A$1:$AZ$1001,ROW(),설정!$C$13)&amp;"",""))</f>
        <v/>
      </c>
      <c r="L643" s="7">
        <f>IF(X643="","",IF(AND(LEN(X643)=8,ISNUMBER(X643*1)),DATE(LEFT(X643,4),MID(X643,5,2),RIGHT(X643,2)),IFERROR(DATEVALUE(SUBSTITUTE(SUBSTITUTE(X643,".","-"),"/","-")),IFERROR(X643*1,""))))</f>
        <v/>
      </c>
      <c r="M643" s="7">
        <f>IF(Y643="","",IF(AND(LEN(Y643)=8,ISNUMBER(Y643*1)),DATE(LEFT(Y643,4),MID(Y643,5,2),RIGHT(Y643,2)),IFERROR(DATEVALUE(SUBSTITUTE(SUBSTITUTE(Y643,".","-"),"/","-")),IFERROR(Y643*1,""))))</f>
        <v/>
      </c>
      <c r="N643">
        <f>IFERROR(LEFT(B643,FIND(" ",B643)-1),B643)</f>
        <v/>
      </c>
      <c r="O643">
        <f>AND(B643&lt;&gt;"",B643&lt;&gt;설정!$B$4,C643&lt;&gt;설정!$B$5)</f>
        <v/>
      </c>
      <c r="P643">
        <f>IF(O643,B643&amp;"|"&amp;C643,"")</f>
        <v/>
      </c>
      <c r="Q643">
        <f>AND(O643,COUNTIF(P644:P$1002,P643)=0)</f>
        <v/>
      </c>
      <c r="R643">
        <f>OR(AND(설정!$A$42&lt;&gt;"",ISNUMBER(SEARCH(설정!$A$42,E643&amp;" "&amp;C643))),AND(설정!$A$43&lt;&gt;"",ISNUMBER(SEARCH(설정!$A$43,E643&amp;" "&amp;C643))),AND(설정!$A$44&lt;&gt;"",ISNUMBER(SEARCH(설정!$A$44,E643&amp;" "&amp;C643))),AND(설정!$A$45&lt;&gt;"",ISNUMBER(SEARCH(설정!$A$45,E643&amp;" "&amp;C643))),AND(설정!$A$46&lt;&gt;"",ISNUMBER(SEARCH(설정!$A$46,E643&amp;" "&amp;C643))),AND(설정!$A$47&lt;&gt;"",ISNUMBER(SEARCH(설정!$A$47,E643&amp;" "&amp;C643))),AND(설정!$A$48&lt;&gt;"",ISNUMBER(SEARCH(설정!$A$48,E643&amp;" "&amp;C643))),AND(설정!$A$49&lt;&gt;"",ISNUMBER(SEARCH(설정!$A$49,E643&amp;" "&amp;C643))),AND(설정!$A$50&lt;&gt;"",ISNUMBER(SEARCH(설정!$A$50,E643&amp;" "&amp;C643))),AND(설정!$A$51&lt;&gt;"",ISNUMBER(SEARCH(설정!$A$51,E643&amp;" "&amp;C643))))</f>
        <v/>
      </c>
      <c r="S643">
        <f>OR(D643="",D643&gt;=설정!$B$19)</f>
        <v/>
      </c>
      <c r="T643">
        <f>AND(Q643,R643,S643)</f>
        <v/>
      </c>
      <c r="U643">
        <f>IF(T643,IF(AND(설정!$A$54&lt;&gt;"",ISNUMBER(SEARCH(설정!$A$54,K643))),설정!$B$54,IF(AND(설정!$A$55&lt;&gt;"",ISNUMBER(SEARCH(설정!$A$55,K643))),설정!$B$55,IF(AND(설정!$A$56&lt;&gt;"",ISNUMBER(SEARCH(설정!$A$56,K643))),설정!$B$56,IF(AND(설정!$A$57&lt;&gt;"",ISNUMBER(SEARCH(설정!$A$57,K643))),설정!$B$57,IF(AND(설정!$A$58&lt;&gt;"",ISNUMBER(SEARCH(설정!$A$58,K643))),설정!$B$58,IF(AND(설정!$A$59&lt;&gt;"",ISNUMBER(SEARCH(설정!$A$59,K643))),설정!$B$59,IF(AND(설정!$A$60&lt;&gt;"",ISNUMBER(SEARCH(설정!$A$60,K643))),설정!$B$60,IF(AND(설정!$A$61&lt;&gt;"",ISNUMBER(SEARCH(설정!$A$61,K643))),설정!$B$61,IF(M643="","설계사","시공사"))))))))),"")</f>
        <v/>
      </c>
      <c r="V643">
        <f>SUBSTITUTE(SUBSTITUTE(SUBSTITUTE(SUBSTITUTE(G643,"(주)",""),"㈜",""),"주식회사","")," ","")</f>
        <v/>
      </c>
      <c r="W643">
        <f>IF(AND(T643,V643&lt;&gt;""),IF(COUNTIFS(V$2:V643,V643,T$2:T643,TRUE)=1,MAX(W$1:W642)+1,""),"")</f>
        <v/>
      </c>
      <c r="X643">
        <f>IF(설정!$C$14="","",IFERROR(INDEX('1.산군_붙여넣기'!$A$1:$AZ$1001,ROW(),설정!$C$14)&amp;"",""))</f>
        <v/>
      </c>
      <c r="Y643">
        <f>IF(설정!$C$15="","",IFERROR(INDEX('1.산군_붙여넣기'!$A$1:$AZ$1001,ROW(),설정!$C$15)&amp;"",""))</f>
        <v/>
      </c>
      <c r="Z643">
        <f>IF(T643,V643&amp;"|"&amp;U643,"")</f>
        <v/>
      </c>
      <c r="AA643">
        <f>IF(NOT(Q643),"",IF(NOT(AND(R643,S643)),"✕",IF(OR(OR(AND(L643&lt;&gt;"",M643&lt;&gt;"",N(M643)-N(L643)&gt;설정!$B$27),AND(L643&lt;&gt;"",M643="",설정!$B$24-N(L643)&gt;설정!$B$27)),AND(D643&lt;&gt;"",D643&lt;설정!$B$26)),"△","★")))</f>
        <v/>
      </c>
      <c r="AB643">
        <f>IF(NOT(T643),"",IF(U643="설계사",설정!$B$31,IF(U643="시공사",IF(OR(M643="",설정!$B$24-N(M643)&lt;=설정!$B$28*30.4),설정!$B$32,설정!$B$33),설정!$B$34))+IF(AA643="★",설정!$B$35,0))</f>
        <v/>
      </c>
      <c r="AC643">
        <f>SUBSTITUTE(SUBSTITUTE(SUBSTITUTE(SUBSTITUTE(H643,"(주)",""),"㈜",""),"주식회사","")," ","")</f>
        <v/>
      </c>
      <c r="AD643">
        <f>IF(AND(T643,AC643&lt;&gt;""),IF(COUNTIFS(AC$2:AC643,AC643,T$2:T643,TRUE)=1,MAX(AD$1:AD642)+1,""),"")</f>
        <v/>
      </c>
    </row>
    <row r="644">
      <c r="A644">
        <f>ROW()</f>
        <v/>
      </c>
      <c r="B644">
        <f>IF(설정!$C$4="","",IFERROR(INDEX('1.산군_붙여넣기'!$A$1:$AZ$1001,ROW(),설정!$C$4)&amp;"",""))</f>
        <v/>
      </c>
      <c r="C644">
        <f>IF(설정!$C$5="","",IFERROR(INDEX('1.산군_붙여넣기'!$A$1:$AZ$1001,ROW(),설정!$C$5)&amp;"",""))</f>
        <v/>
      </c>
      <c r="D644" s="5">
        <f>IFERROR(VALUE(SUBSTITUTE(SUBSTITUTE(SUBSTITUTE(IF(설정!$C$6="","",IFERROR(INDEX('1.산군_붙여넣기'!$A$1:$AZ$1001,ROW(),설정!$C$6)&amp;"","")),",",""),"㎡",""),"m2","")),"")</f>
        <v/>
      </c>
      <c r="E644">
        <f>IF(설정!$C$7="","",IFERROR(INDEX('1.산군_붙여넣기'!$A$1:$AZ$1001,ROW(),설정!$C$7)&amp;"",""))</f>
        <v/>
      </c>
      <c r="F644">
        <f>IF(설정!$C$8="","",IFERROR(INDEX('1.산군_붙여넣기'!$A$1:$AZ$1001,ROW(),설정!$C$8)&amp;"",""))</f>
        <v/>
      </c>
      <c r="G644">
        <f>IF(설정!$C$9="","",IFERROR(INDEX('1.산군_붙여넣기'!$A$1:$AZ$1001,ROW(),설정!$C$9)&amp;"",""))</f>
        <v/>
      </c>
      <c r="H644">
        <f>IF(설정!$C$10="","",IFERROR(INDEX('1.산군_붙여넣기'!$A$1:$AZ$1001,ROW(),설정!$C$10)&amp;"",""))</f>
        <v/>
      </c>
      <c r="I644">
        <f>IF(설정!$C$11="","",IFERROR(INDEX('1.산군_붙여넣기'!$A$1:$AZ$1001,ROW(),설정!$C$11)&amp;"",""))</f>
        <v/>
      </c>
      <c r="J644">
        <f>IF(설정!$C$12="","",IFERROR(INDEX('1.산군_붙여넣기'!$A$1:$AZ$1001,ROW(),설정!$C$12)&amp;"",""))</f>
        <v/>
      </c>
      <c r="K644">
        <f>IF(설정!$C$13="","",IFERROR(INDEX('1.산군_붙여넣기'!$A$1:$AZ$1001,ROW(),설정!$C$13)&amp;"",""))</f>
        <v/>
      </c>
      <c r="L644" s="7">
        <f>IF(X644="","",IF(AND(LEN(X644)=8,ISNUMBER(X644*1)),DATE(LEFT(X644,4),MID(X644,5,2),RIGHT(X644,2)),IFERROR(DATEVALUE(SUBSTITUTE(SUBSTITUTE(X644,".","-"),"/","-")),IFERROR(X644*1,""))))</f>
        <v/>
      </c>
      <c r="M644" s="7">
        <f>IF(Y644="","",IF(AND(LEN(Y644)=8,ISNUMBER(Y644*1)),DATE(LEFT(Y644,4),MID(Y644,5,2),RIGHT(Y644,2)),IFERROR(DATEVALUE(SUBSTITUTE(SUBSTITUTE(Y644,".","-"),"/","-")),IFERROR(Y644*1,""))))</f>
        <v/>
      </c>
      <c r="N644">
        <f>IFERROR(LEFT(B644,FIND(" ",B644)-1),B644)</f>
        <v/>
      </c>
      <c r="O644">
        <f>AND(B644&lt;&gt;"",B644&lt;&gt;설정!$B$4,C644&lt;&gt;설정!$B$5)</f>
        <v/>
      </c>
      <c r="P644">
        <f>IF(O644,B644&amp;"|"&amp;C644,"")</f>
        <v/>
      </c>
      <c r="Q644">
        <f>AND(O644,COUNTIF(P645:P$1002,P644)=0)</f>
        <v/>
      </c>
      <c r="R644">
        <f>OR(AND(설정!$A$42&lt;&gt;"",ISNUMBER(SEARCH(설정!$A$42,E644&amp;" "&amp;C644))),AND(설정!$A$43&lt;&gt;"",ISNUMBER(SEARCH(설정!$A$43,E644&amp;" "&amp;C644))),AND(설정!$A$44&lt;&gt;"",ISNUMBER(SEARCH(설정!$A$44,E644&amp;" "&amp;C644))),AND(설정!$A$45&lt;&gt;"",ISNUMBER(SEARCH(설정!$A$45,E644&amp;" "&amp;C644))),AND(설정!$A$46&lt;&gt;"",ISNUMBER(SEARCH(설정!$A$46,E644&amp;" "&amp;C644))),AND(설정!$A$47&lt;&gt;"",ISNUMBER(SEARCH(설정!$A$47,E644&amp;" "&amp;C644))),AND(설정!$A$48&lt;&gt;"",ISNUMBER(SEARCH(설정!$A$48,E644&amp;" "&amp;C644))),AND(설정!$A$49&lt;&gt;"",ISNUMBER(SEARCH(설정!$A$49,E644&amp;" "&amp;C644))),AND(설정!$A$50&lt;&gt;"",ISNUMBER(SEARCH(설정!$A$50,E644&amp;" "&amp;C644))),AND(설정!$A$51&lt;&gt;"",ISNUMBER(SEARCH(설정!$A$51,E644&amp;" "&amp;C644))))</f>
        <v/>
      </c>
      <c r="S644">
        <f>OR(D644="",D644&gt;=설정!$B$19)</f>
        <v/>
      </c>
      <c r="T644">
        <f>AND(Q644,R644,S644)</f>
        <v/>
      </c>
      <c r="U644">
        <f>IF(T644,IF(AND(설정!$A$54&lt;&gt;"",ISNUMBER(SEARCH(설정!$A$54,K644))),설정!$B$54,IF(AND(설정!$A$55&lt;&gt;"",ISNUMBER(SEARCH(설정!$A$55,K644))),설정!$B$55,IF(AND(설정!$A$56&lt;&gt;"",ISNUMBER(SEARCH(설정!$A$56,K644))),설정!$B$56,IF(AND(설정!$A$57&lt;&gt;"",ISNUMBER(SEARCH(설정!$A$57,K644))),설정!$B$57,IF(AND(설정!$A$58&lt;&gt;"",ISNUMBER(SEARCH(설정!$A$58,K644))),설정!$B$58,IF(AND(설정!$A$59&lt;&gt;"",ISNUMBER(SEARCH(설정!$A$59,K644))),설정!$B$59,IF(AND(설정!$A$60&lt;&gt;"",ISNUMBER(SEARCH(설정!$A$60,K644))),설정!$B$60,IF(AND(설정!$A$61&lt;&gt;"",ISNUMBER(SEARCH(설정!$A$61,K644))),설정!$B$61,IF(M644="","설계사","시공사"))))))))),"")</f>
        <v/>
      </c>
      <c r="V644">
        <f>SUBSTITUTE(SUBSTITUTE(SUBSTITUTE(SUBSTITUTE(G644,"(주)",""),"㈜",""),"주식회사","")," ","")</f>
        <v/>
      </c>
      <c r="W644">
        <f>IF(AND(T644,V644&lt;&gt;""),IF(COUNTIFS(V$2:V644,V644,T$2:T644,TRUE)=1,MAX(W$1:W643)+1,""),"")</f>
        <v/>
      </c>
      <c r="X644">
        <f>IF(설정!$C$14="","",IFERROR(INDEX('1.산군_붙여넣기'!$A$1:$AZ$1001,ROW(),설정!$C$14)&amp;"",""))</f>
        <v/>
      </c>
      <c r="Y644">
        <f>IF(설정!$C$15="","",IFERROR(INDEX('1.산군_붙여넣기'!$A$1:$AZ$1001,ROW(),설정!$C$15)&amp;"",""))</f>
        <v/>
      </c>
      <c r="Z644">
        <f>IF(T644,V644&amp;"|"&amp;U644,"")</f>
        <v/>
      </c>
      <c r="AA644">
        <f>IF(NOT(Q644),"",IF(NOT(AND(R644,S644)),"✕",IF(OR(OR(AND(L644&lt;&gt;"",M644&lt;&gt;"",N(M644)-N(L644)&gt;설정!$B$27),AND(L644&lt;&gt;"",M644="",설정!$B$24-N(L644)&gt;설정!$B$27)),AND(D644&lt;&gt;"",D644&lt;설정!$B$26)),"△","★")))</f>
        <v/>
      </c>
      <c r="AB644">
        <f>IF(NOT(T644),"",IF(U644="설계사",설정!$B$31,IF(U644="시공사",IF(OR(M644="",설정!$B$24-N(M644)&lt;=설정!$B$28*30.4),설정!$B$32,설정!$B$33),설정!$B$34))+IF(AA644="★",설정!$B$35,0))</f>
        <v/>
      </c>
      <c r="AC644">
        <f>SUBSTITUTE(SUBSTITUTE(SUBSTITUTE(SUBSTITUTE(H644,"(주)",""),"㈜",""),"주식회사","")," ","")</f>
        <v/>
      </c>
      <c r="AD644">
        <f>IF(AND(T644,AC644&lt;&gt;""),IF(COUNTIFS(AC$2:AC644,AC644,T$2:T644,TRUE)=1,MAX(AD$1:AD643)+1,""),"")</f>
        <v/>
      </c>
    </row>
    <row r="645">
      <c r="A645">
        <f>ROW()</f>
        <v/>
      </c>
      <c r="B645">
        <f>IF(설정!$C$4="","",IFERROR(INDEX('1.산군_붙여넣기'!$A$1:$AZ$1001,ROW(),설정!$C$4)&amp;"",""))</f>
        <v/>
      </c>
      <c r="C645">
        <f>IF(설정!$C$5="","",IFERROR(INDEX('1.산군_붙여넣기'!$A$1:$AZ$1001,ROW(),설정!$C$5)&amp;"",""))</f>
        <v/>
      </c>
      <c r="D645" s="5">
        <f>IFERROR(VALUE(SUBSTITUTE(SUBSTITUTE(SUBSTITUTE(IF(설정!$C$6="","",IFERROR(INDEX('1.산군_붙여넣기'!$A$1:$AZ$1001,ROW(),설정!$C$6)&amp;"","")),",",""),"㎡",""),"m2","")),"")</f>
        <v/>
      </c>
      <c r="E645">
        <f>IF(설정!$C$7="","",IFERROR(INDEX('1.산군_붙여넣기'!$A$1:$AZ$1001,ROW(),설정!$C$7)&amp;"",""))</f>
        <v/>
      </c>
      <c r="F645">
        <f>IF(설정!$C$8="","",IFERROR(INDEX('1.산군_붙여넣기'!$A$1:$AZ$1001,ROW(),설정!$C$8)&amp;"",""))</f>
        <v/>
      </c>
      <c r="G645">
        <f>IF(설정!$C$9="","",IFERROR(INDEX('1.산군_붙여넣기'!$A$1:$AZ$1001,ROW(),설정!$C$9)&amp;"",""))</f>
        <v/>
      </c>
      <c r="H645">
        <f>IF(설정!$C$10="","",IFERROR(INDEX('1.산군_붙여넣기'!$A$1:$AZ$1001,ROW(),설정!$C$10)&amp;"",""))</f>
        <v/>
      </c>
      <c r="I645">
        <f>IF(설정!$C$11="","",IFERROR(INDEX('1.산군_붙여넣기'!$A$1:$AZ$1001,ROW(),설정!$C$11)&amp;"",""))</f>
        <v/>
      </c>
      <c r="J645">
        <f>IF(설정!$C$12="","",IFERROR(INDEX('1.산군_붙여넣기'!$A$1:$AZ$1001,ROW(),설정!$C$12)&amp;"",""))</f>
        <v/>
      </c>
      <c r="K645">
        <f>IF(설정!$C$13="","",IFERROR(INDEX('1.산군_붙여넣기'!$A$1:$AZ$1001,ROW(),설정!$C$13)&amp;"",""))</f>
        <v/>
      </c>
      <c r="L645" s="7">
        <f>IF(X645="","",IF(AND(LEN(X645)=8,ISNUMBER(X645*1)),DATE(LEFT(X645,4),MID(X645,5,2),RIGHT(X645,2)),IFERROR(DATEVALUE(SUBSTITUTE(SUBSTITUTE(X645,".","-"),"/","-")),IFERROR(X645*1,""))))</f>
        <v/>
      </c>
      <c r="M645" s="7">
        <f>IF(Y645="","",IF(AND(LEN(Y645)=8,ISNUMBER(Y645*1)),DATE(LEFT(Y645,4),MID(Y645,5,2),RIGHT(Y645,2)),IFERROR(DATEVALUE(SUBSTITUTE(SUBSTITUTE(Y645,".","-"),"/","-")),IFERROR(Y645*1,""))))</f>
        <v/>
      </c>
      <c r="N645">
        <f>IFERROR(LEFT(B645,FIND(" ",B645)-1),B645)</f>
        <v/>
      </c>
      <c r="O645">
        <f>AND(B645&lt;&gt;"",B645&lt;&gt;설정!$B$4,C645&lt;&gt;설정!$B$5)</f>
        <v/>
      </c>
      <c r="P645">
        <f>IF(O645,B645&amp;"|"&amp;C645,"")</f>
        <v/>
      </c>
      <c r="Q645">
        <f>AND(O645,COUNTIF(P646:P$1002,P645)=0)</f>
        <v/>
      </c>
      <c r="R645">
        <f>OR(AND(설정!$A$42&lt;&gt;"",ISNUMBER(SEARCH(설정!$A$42,E645&amp;" "&amp;C645))),AND(설정!$A$43&lt;&gt;"",ISNUMBER(SEARCH(설정!$A$43,E645&amp;" "&amp;C645))),AND(설정!$A$44&lt;&gt;"",ISNUMBER(SEARCH(설정!$A$44,E645&amp;" "&amp;C645))),AND(설정!$A$45&lt;&gt;"",ISNUMBER(SEARCH(설정!$A$45,E645&amp;" "&amp;C645))),AND(설정!$A$46&lt;&gt;"",ISNUMBER(SEARCH(설정!$A$46,E645&amp;" "&amp;C645))),AND(설정!$A$47&lt;&gt;"",ISNUMBER(SEARCH(설정!$A$47,E645&amp;" "&amp;C645))),AND(설정!$A$48&lt;&gt;"",ISNUMBER(SEARCH(설정!$A$48,E645&amp;" "&amp;C645))),AND(설정!$A$49&lt;&gt;"",ISNUMBER(SEARCH(설정!$A$49,E645&amp;" "&amp;C645))),AND(설정!$A$50&lt;&gt;"",ISNUMBER(SEARCH(설정!$A$50,E645&amp;" "&amp;C645))),AND(설정!$A$51&lt;&gt;"",ISNUMBER(SEARCH(설정!$A$51,E645&amp;" "&amp;C645))))</f>
        <v/>
      </c>
      <c r="S645">
        <f>OR(D645="",D645&gt;=설정!$B$19)</f>
        <v/>
      </c>
      <c r="T645">
        <f>AND(Q645,R645,S645)</f>
        <v/>
      </c>
      <c r="U645">
        <f>IF(T645,IF(AND(설정!$A$54&lt;&gt;"",ISNUMBER(SEARCH(설정!$A$54,K645))),설정!$B$54,IF(AND(설정!$A$55&lt;&gt;"",ISNUMBER(SEARCH(설정!$A$55,K645))),설정!$B$55,IF(AND(설정!$A$56&lt;&gt;"",ISNUMBER(SEARCH(설정!$A$56,K645))),설정!$B$56,IF(AND(설정!$A$57&lt;&gt;"",ISNUMBER(SEARCH(설정!$A$57,K645))),설정!$B$57,IF(AND(설정!$A$58&lt;&gt;"",ISNUMBER(SEARCH(설정!$A$58,K645))),설정!$B$58,IF(AND(설정!$A$59&lt;&gt;"",ISNUMBER(SEARCH(설정!$A$59,K645))),설정!$B$59,IF(AND(설정!$A$60&lt;&gt;"",ISNUMBER(SEARCH(설정!$A$60,K645))),설정!$B$60,IF(AND(설정!$A$61&lt;&gt;"",ISNUMBER(SEARCH(설정!$A$61,K645))),설정!$B$61,IF(M645="","설계사","시공사"))))))))),"")</f>
        <v/>
      </c>
      <c r="V645">
        <f>SUBSTITUTE(SUBSTITUTE(SUBSTITUTE(SUBSTITUTE(G645,"(주)",""),"㈜",""),"주식회사","")," ","")</f>
        <v/>
      </c>
      <c r="W645">
        <f>IF(AND(T645,V645&lt;&gt;""),IF(COUNTIFS(V$2:V645,V645,T$2:T645,TRUE)=1,MAX(W$1:W644)+1,""),"")</f>
        <v/>
      </c>
      <c r="X645">
        <f>IF(설정!$C$14="","",IFERROR(INDEX('1.산군_붙여넣기'!$A$1:$AZ$1001,ROW(),설정!$C$14)&amp;"",""))</f>
        <v/>
      </c>
      <c r="Y645">
        <f>IF(설정!$C$15="","",IFERROR(INDEX('1.산군_붙여넣기'!$A$1:$AZ$1001,ROW(),설정!$C$15)&amp;"",""))</f>
        <v/>
      </c>
      <c r="Z645">
        <f>IF(T645,V645&amp;"|"&amp;U645,"")</f>
        <v/>
      </c>
      <c r="AA645">
        <f>IF(NOT(Q645),"",IF(NOT(AND(R645,S645)),"✕",IF(OR(OR(AND(L645&lt;&gt;"",M645&lt;&gt;"",N(M645)-N(L645)&gt;설정!$B$27),AND(L645&lt;&gt;"",M645="",설정!$B$24-N(L645)&gt;설정!$B$27)),AND(D645&lt;&gt;"",D645&lt;설정!$B$26)),"△","★")))</f>
        <v/>
      </c>
      <c r="AB645">
        <f>IF(NOT(T645),"",IF(U645="설계사",설정!$B$31,IF(U645="시공사",IF(OR(M645="",설정!$B$24-N(M645)&lt;=설정!$B$28*30.4),설정!$B$32,설정!$B$33),설정!$B$34))+IF(AA645="★",설정!$B$35,0))</f>
        <v/>
      </c>
      <c r="AC645">
        <f>SUBSTITUTE(SUBSTITUTE(SUBSTITUTE(SUBSTITUTE(H645,"(주)",""),"㈜",""),"주식회사","")," ","")</f>
        <v/>
      </c>
      <c r="AD645">
        <f>IF(AND(T645,AC645&lt;&gt;""),IF(COUNTIFS(AC$2:AC645,AC645,T$2:T645,TRUE)=1,MAX(AD$1:AD644)+1,""),"")</f>
        <v/>
      </c>
    </row>
    <row r="646">
      <c r="A646">
        <f>ROW()</f>
        <v/>
      </c>
      <c r="B646">
        <f>IF(설정!$C$4="","",IFERROR(INDEX('1.산군_붙여넣기'!$A$1:$AZ$1001,ROW(),설정!$C$4)&amp;"",""))</f>
        <v/>
      </c>
      <c r="C646">
        <f>IF(설정!$C$5="","",IFERROR(INDEX('1.산군_붙여넣기'!$A$1:$AZ$1001,ROW(),설정!$C$5)&amp;"",""))</f>
        <v/>
      </c>
      <c r="D646" s="5">
        <f>IFERROR(VALUE(SUBSTITUTE(SUBSTITUTE(SUBSTITUTE(IF(설정!$C$6="","",IFERROR(INDEX('1.산군_붙여넣기'!$A$1:$AZ$1001,ROW(),설정!$C$6)&amp;"","")),",",""),"㎡",""),"m2","")),"")</f>
        <v/>
      </c>
      <c r="E646">
        <f>IF(설정!$C$7="","",IFERROR(INDEX('1.산군_붙여넣기'!$A$1:$AZ$1001,ROW(),설정!$C$7)&amp;"",""))</f>
        <v/>
      </c>
      <c r="F646">
        <f>IF(설정!$C$8="","",IFERROR(INDEX('1.산군_붙여넣기'!$A$1:$AZ$1001,ROW(),설정!$C$8)&amp;"",""))</f>
        <v/>
      </c>
      <c r="G646">
        <f>IF(설정!$C$9="","",IFERROR(INDEX('1.산군_붙여넣기'!$A$1:$AZ$1001,ROW(),설정!$C$9)&amp;"",""))</f>
        <v/>
      </c>
      <c r="H646">
        <f>IF(설정!$C$10="","",IFERROR(INDEX('1.산군_붙여넣기'!$A$1:$AZ$1001,ROW(),설정!$C$10)&amp;"",""))</f>
        <v/>
      </c>
      <c r="I646">
        <f>IF(설정!$C$11="","",IFERROR(INDEX('1.산군_붙여넣기'!$A$1:$AZ$1001,ROW(),설정!$C$11)&amp;"",""))</f>
        <v/>
      </c>
      <c r="J646">
        <f>IF(설정!$C$12="","",IFERROR(INDEX('1.산군_붙여넣기'!$A$1:$AZ$1001,ROW(),설정!$C$12)&amp;"",""))</f>
        <v/>
      </c>
      <c r="K646">
        <f>IF(설정!$C$13="","",IFERROR(INDEX('1.산군_붙여넣기'!$A$1:$AZ$1001,ROW(),설정!$C$13)&amp;"",""))</f>
        <v/>
      </c>
      <c r="L646" s="7">
        <f>IF(X646="","",IF(AND(LEN(X646)=8,ISNUMBER(X646*1)),DATE(LEFT(X646,4),MID(X646,5,2),RIGHT(X646,2)),IFERROR(DATEVALUE(SUBSTITUTE(SUBSTITUTE(X646,".","-"),"/","-")),IFERROR(X646*1,""))))</f>
        <v/>
      </c>
      <c r="M646" s="7">
        <f>IF(Y646="","",IF(AND(LEN(Y646)=8,ISNUMBER(Y646*1)),DATE(LEFT(Y646,4),MID(Y646,5,2),RIGHT(Y646,2)),IFERROR(DATEVALUE(SUBSTITUTE(SUBSTITUTE(Y646,".","-"),"/","-")),IFERROR(Y646*1,""))))</f>
        <v/>
      </c>
      <c r="N646">
        <f>IFERROR(LEFT(B646,FIND(" ",B646)-1),B646)</f>
        <v/>
      </c>
      <c r="O646">
        <f>AND(B646&lt;&gt;"",B646&lt;&gt;설정!$B$4,C646&lt;&gt;설정!$B$5)</f>
        <v/>
      </c>
      <c r="P646">
        <f>IF(O646,B646&amp;"|"&amp;C646,"")</f>
        <v/>
      </c>
      <c r="Q646">
        <f>AND(O646,COUNTIF(P647:P$1002,P646)=0)</f>
        <v/>
      </c>
      <c r="R646">
        <f>OR(AND(설정!$A$42&lt;&gt;"",ISNUMBER(SEARCH(설정!$A$42,E646&amp;" "&amp;C646))),AND(설정!$A$43&lt;&gt;"",ISNUMBER(SEARCH(설정!$A$43,E646&amp;" "&amp;C646))),AND(설정!$A$44&lt;&gt;"",ISNUMBER(SEARCH(설정!$A$44,E646&amp;" "&amp;C646))),AND(설정!$A$45&lt;&gt;"",ISNUMBER(SEARCH(설정!$A$45,E646&amp;" "&amp;C646))),AND(설정!$A$46&lt;&gt;"",ISNUMBER(SEARCH(설정!$A$46,E646&amp;" "&amp;C646))),AND(설정!$A$47&lt;&gt;"",ISNUMBER(SEARCH(설정!$A$47,E646&amp;" "&amp;C646))),AND(설정!$A$48&lt;&gt;"",ISNUMBER(SEARCH(설정!$A$48,E646&amp;" "&amp;C646))),AND(설정!$A$49&lt;&gt;"",ISNUMBER(SEARCH(설정!$A$49,E646&amp;" "&amp;C646))),AND(설정!$A$50&lt;&gt;"",ISNUMBER(SEARCH(설정!$A$50,E646&amp;" "&amp;C646))),AND(설정!$A$51&lt;&gt;"",ISNUMBER(SEARCH(설정!$A$51,E646&amp;" "&amp;C646))))</f>
        <v/>
      </c>
      <c r="S646">
        <f>OR(D646="",D646&gt;=설정!$B$19)</f>
        <v/>
      </c>
      <c r="T646">
        <f>AND(Q646,R646,S646)</f>
        <v/>
      </c>
      <c r="U646">
        <f>IF(T646,IF(AND(설정!$A$54&lt;&gt;"",ISNUMBER(SEARCH(설정!$A$54,K646))),설정!$B$54,IF(AND(설정!$A$55&lt;&gt;"",ISNUMBER(SEARCH(설정!$A$55,K646))),설정!$B$55,IF(AND(설정!$A$56&lt;&gt;"",ISNUMBER(SEARCH(설정!$A$56,K646))),설정!$B$56,IF(AND(설정!$A$57&lt;&gt;"",ISNUMBER(SEARCH(설정!$A$57,K646))),설정!$B$57,IF(AND(설정!$A$58&lt;&gt;"",ISNUMBER(SEARCH(설정!$A$58,K646))),설정!$B$58,IF(AND(설정!$A$59&lt;&gt;"",ISNUMBER(SEARCH(설정!$A$59,K646))),설정!$B$59,IF(AND(설정!$A$60&lt;&gt;"",ISNUMBER(SEARCH(설정!$A$60,K646))),설정!$B$60,IF(AND(설정!$A$61&lt;&gt;"",ISNUMBER(SEARCH(설정!$A$61,K646))),설정!$B$61,IF(M646="","설계사","시공사"))))))))),"")</f>
        <v/>
      </c>
      <c r="V646">
        <f>SUBSTITUTE(SUBSTITUTE(SUBSTITUTE(SUBSTITUTE(G646,"(주)",""),"㈜",""),"주식회사","")," ","")</f>
        <v/>
      </c>
      <c r="W646">
        <f>IF(AND(T646,V646&lt;&gt;""),IF(COUNTIFS(V$2:V646,V646,T$2:T646,TRUE)=1,MAX(W$1:W645)+1,""),"")</f>
        <v/>
      </c>
      <c r="X646">
        <f>IF(설정!$C$14="","",IFERROR(INDEX('1.산군_붙여넣기'!$A$1:$AZ$1001,ROW(),설정!$C$14)&amp;"",""))</f>
        <v/>
      </c>
      <c r="Y646">
        <f>IF(설정!$C$15="","",IFERROR(INDEX('1.산군_붙여넣기'!$A$1:$AZ$1001,ROW(),설정!$C$15)&amp;"",""))</f>
        <v/>
      </c>
      <c r="Z646">
        <f>IF(T646,V646&amp;"|"&amp;U646,"")</f>
        <v/>
      </c>
      <c r="AA646">
        <f>IF(NOT(Q646),"",IF(NOT(AND(R646,S646)),"✕",IF(OR(OR(AND(L646&lt;&gt;"",M646&lt;&gt;"",N(M646)-N(L646)&gt;설정!$B$27),AND(L646&lt;&gt;"",M646="",설정!$B$24-N(L646)&gt;설정!$B$27)),AND(D646&lt;&gt;"",D646&lt;설정!$B$26)),"△","★")))</f>
        <v/>
      </c>
      <c r="AB646">
        <f>IF(NOT(T646),"",IF(U646="설계사",설정!$B$31,IF(U646="시공사",IF(OR(M646="",설정!$B$24-N(M646)&lt;=설정!$B$28*30.4),설정!$B$32,설정!$B$33),설정!$B$34))+IF(AA646="★",설정!$B$35,0))</f>
        <v/>
      </c>
      <c r="AC646">
        <f>SUBSTITUTE(SUBSTITUTE(SUBSTITUTE(SUBSTITUTE(H646,"(주)",""),"㈜",""),"주식회사","")," ","")</f>
        <v/>
      </c>
      <c r="AD646">
        <f>IF(AND(T646,AC646&lt;&gt;""),IF(COUNTIFS(AC$2:AC646,AC646,T$2:T646,TRUE)=1,MAX(AD$1:AD645)+1,""),"")</f>
        <v/>
      </c>
    </row>
    <row r="647">
      <c r="A647">
        <f>ROW()</f>
        <v/>
      </c>
      <c r="B647">
        <f>IF(설정!$C$4="","",IFERROR(INDEX('1.산군_붙여넣기'!$A$1:$AZ$1001,ROW(),설정!$C$4)&amp;"",""))</f>
        <v/>
      </c>
      <c r="C647">
        <f>IF(설정!$C$5="","",IFERROR(INDEX('1.산군_붙여넣기'!$A$1:$AZ$1001,ROW(),설정!$C$5)&amp;"",""))</f>
        <v/>
      </c>
      <c r="D647" s="5">
        <f>IFERROR(VALUE(SUBSTITUTE(SUBSTITUTE(SUBSTITUTE(IF(설정!$C$6="","",IFERROR(INDEX('1.산군_붙여넣기'!$A$1:$AZ$1001,ROW(),설정!$C$6)&amp;"","")),",",""),"㎡",""),"m2","")),"")</f>
        <v/>
      </c>
      <c r="E647">
        <f>IF(설정!$C$7="","",IFERROR(INDEX('1.산군_붙여넣기'!$A$1:$AZ$1001,ROW(),설정!$C$7)&amp;"",""))</f>
        <v/>
      </c>
      <c r="F647">
        <f>IF(설정!$C$8="","",IFERROR(INDEX('1.산군_붙여넣기'!$A$1:$AZ$1001,ROW(),설정!$C$8)&amp;"",""))</f>
        <v/>
      </c>
      <c r="G647">
        <f>IF(설정!$C$9="","",IFERROR(INDEX('1.산군_붙여넣기'!$A$1:$AZ$1001,ROW(),설정!$C$9)&amp;"",""))</f>
        <v/>
      </c>
      <c r="H647">
        <f>IF(설정!$C$10="","",IFERROR(INDEX('1.산군_붙여넣기'!$A$1:$AZ$1001,ROW(),설정!$C$10)&amp;"",""))</f>
        <v/>
      </c>
      <c r="I647">
        <f>IF(설정!$C$11="","",IFERROR(INDEX('1.산군_붙여넣기'!$A$1:$AZ$1001,ROW(),설정!$C$11)&amp;"",""))</f>
        <v/>
      </c>
      <c r="J647">
        <f>IF(설정!$C$12="","",IFERROR(INDEX('1.산군_붙여넣기'!$A$1:$AZ$1001,ROW(),설정!$C$12)&amp;"",""))</f>
        <v/>
      </c>
      <c r="K647">
        <f>IF(설정!$C$13="","",IFERROR(INDEX('1.산군_붙여넣기'!$A$1:$AZ$1001,ROW(),설정!$C$13)&amp;"",""))</f>
        <v/>
      </c>
      <c r="L647" s="7">
        <f>IF(X647="","",IF(AND(LEN(X647)=8,ISNUMBER(X647*1)),DATE(LEFT(X647,4),MID(X647,5,2),RIGHT(X647,2)),IFERROR(DATEVALUE(SUBSTITUTE(SUBSTITUTE(X647,".","-"),"/","-")),IFERROR(X647*1,""))))</f>
        <v/>
      </c>
      <c r="M647" s="7">
        <f>IF(Y647="","",IF(AND(LEN(Y647)=8,ISNUMBER(Y647*1)),DATE(LEFT(Y647,4),MID(Y647,5,2),RIGHT(Y647,2)),IFERROR(DATEVALUE(SUBSTITUTE(SUBSTITUTE(Y647,".","-"),"/","-")),IFERROR(Y647*1,""))))</f>
        <v/>
      </c>
      <c r="N647">
        <f>IFERROR(LEFT(B647,FIND(" ",B647)-1),B647)</f>
        <v/>
      </c>
      <c r="O647">
        <f>AND(B647&lt;&gt;"",B647&lt;&gt;설정!$B$4,C647&lt;&gt;설정!$B$5)</f>
        <v/>
      </c>
      <c r="P647">
        <f>IF(O647,B647&amp;"|"&amp;C647,"")</f>
        <v/>
      </c>
      <c r="Q647">
        <f>AND(O647,COUNTIF(P648:P$1002,P647)=0)</f>
        <v/>
      </c>
      <c r="R647">
        <f>OR(AND(설정!$A$42&lt;&gt;"",ISNUMBER(SEARCH(설정!$A$42,E647&amp;" "&amp;C647))),AND(설정!$A$43&lt;&gt;"",ISNUMBER(SEARCH(설정!$A$43,E647&amp;" "&amp;C647))),AND(설정!$A$44&lt;&gt;"",ISNUMBER(SEARCH(설정!$A$44,E647&amp;" "&amp;C647))),AND(설정!$A$45&lt;&gt;"",ISNUMBER(SEARCH(설정!$A$45,E647&amp;" "&amp;C647))),AND(설정!$A$46&lt;&gt;"",ISNUMBER(SEARCH(설정!$A$46,E647&amp;" "&amp;C647))),AND(설정!$A$47&lt;&gt;"",ISNUMBER(SEARCH(설정!$A$47,E647&amp;" "&amp;C647))),AND(설정!$A$48&lt;&gt;"",ISNUMBER(SEARCH(설정!$A$48,E647&amp;" "&amp;C647))),AND(설정!$A$49&lt;&gt;"",ISNUMBER(SEARCH(설정!$A$49,E647&amp;" "&amp;C647))),AND(설정!$A$50&lt;&gt;"",ISNUMBER(SEARCH(설정!$A$50,E647&amp;" "&amp;C647))),AND(설정!$A$51&lt;&gt;"",ISNUMBER(SEARCH(설정!$A$51,E647&amp;" "&amp;C647))))</f>
        <v/>
      </c>
      <c r="S647">
        <f>OR(D647="",D647&gt;=설정!$B$19)</f>
        <v/>
      </c>
      <c r="T647">
        <f>AND(Q647,R647,S647)</f>
        <v/>
      </c>
      <c r="U647">
        <f>IF(T647,IF(AND(설정!$A$54&lt;&gt;"",ISNUMBER(SEARCH(설정!$A$54,K647))),설정!$B$54,IF(AND(설정!$A$55&lt;&gt;"",ISNUMBER(SEARCH(설정!$A$55,K647))),설정!$B$55,IF(AND(설정!$A$56&lt;&gt;"",ISNUMBER(SEARCH(설정!$A$56,K647))),설정!$B$56,IF(AND(설정!$A$57&lt;&gt;"",ISNUMBER(SEARCH(설정!$A$57,K647))),설정!$B$57,IF(AND(설정!$A$58&lt;&gt;"",ISNUMBER(SEARCH(설정!$A$58,K647))),설정!$B$58,IF(AND(설정!$A$59&lt;&gt;"",ISNUMBER(SEARCH(설정!$A$59,K647))),설정!$B$59,IF(AND(설정!$A$60&lt;&gt;"",ISNUMBER(SEARCH(설정!$A$60,K647))),설정!$B$60,IF(AND(설정!$A$61&lt;&gt;"",ISNUMBER(SEARCH(설정!$A$61,K647))),설정!$B$61,IF(M647="","설계사","시공사"))))))))),"")</f>
        <v/>
      </c>
      <c r="V647">
        <f>SUBSTITUTE(SUBSTITUTE(SUBSTITUTE(SUBSTITUTE(G647,"(주)",""),"㈜",""),"주식회사","")," ","")</f>
        <v/>
      </c>
      <c r="W647">
        <f>IF(AND(T647,V647&lt;&gt;""),IF(COUNTIFS(V$2:V647,V647,T$2:T647,TRUE)=1,MAX(W$1:W646)+1,""),"")</f>
        <v/>
      </c>
      <c r="X647">
        <f>IF(설정!$C$14="","",IFERROR(INDEX('1.산군_붙여넣기'!$A$1:$AZ$1001,ROW(),설정!$C$14)&amp;"",""))</f>
        <v/>
      </c>
      <c r="Y647">
        <f>IF(설정!$C$15="","",IFERROR(INDEX('1.산군_붙여넣기'!$A$1:$AZ$1001,ROW(),설정!$C$15)&amp;"",""))</f>
        <v/>
      </c>
      <c r="Z647">
        <f>IF(T647,V647&amp;"|"&amp;U647,"")</f>
        <v/>
      </c>
      <c r="AA647">
        <f>IF(NOT(Q647),"",IF(NOT(AND(R647,S647)),"✕",IF(OR(OR(AND(L647&lt;&gt;"",M647&lt;&gt;"",N(M647)-N(L647)&gt;설정!$B$27),AND(L647&lt;&gt;"",M647="",설정!$B$24-N(L647)&gt;설정!$B$27)),AND(D647&lt;&gt;"",D647&lt;설정!$B$26)),"△","★")))</f>
        <v/>
      </c>
      <c r="AB647">
        <f>IF(NOT(T647),"",IF(U647="설계사",설정!$B$31,IF(U647="시공사",IF(OR(M647="",설정!$B$24-N(M647)&lt;=설정!$B$28*30.4),설정!$B$32,설정!$B$33),설정!$B$34))+IF(AA647="★",설정!$B$35,0))</f>
        <v/>
      </c>
      <c r="AC647">
        <f>SUBSTITUTE(SUBSTITUTE(SUBSTITUTE(SUBSTITUTE(H647,"(주)",""),"㈜",""),"주식회사","")," ","")</f>
        <v/>
      </c>
      <c r="AD647">
        <f>IF(AND(T647,AC647&lt;&gt;""),IF(COUNTIFS(AC$2:AC647,AC647,T$2:T647,TRUE)=1,MAX(AD$1:AD646)+1,""),"")</f>
        <v/>
      </c>
    </row>
    <row r="648">
      <c r="A648">
        <f>ROW()</f>
        <v/>
      </c>
      <c r="B648">
        <f>IF(설정!$C$4="","",IFERROR(INDEX('1.산군_붙여넣기'!$A$1:$AZ$1001,ROW(),설정!$C$4)&amp;"",""))</f>
        <v/>
      </c>
      <c r="C648">
        <f>IF(설정!$C$5="","",IFERROR(INDEX('1.산군_붙여넣기'!$A$1:$AZ$1001,ROW(),설정!$C$5)&amp;"",""))</f>
        <v/>
      </c>
      <c r="D648" s="5">
        <f>IFERROR(VALUE(SUBSTITUTE(SUBSTITUTE(SUBSTITUTE(IF(설정!$C$6="","",IFERROR(INDEX('1.산군_붙여넣기'!$A$1:$AZ$1001,ROW(),설정!$C$6)&amp;"","")),",",""),"㎡",""),"m2","")),"")</f>
        <v/>
      </c>
      <c r="E648">
        <f>IF(설정!$C$7="","",IFERROR(INDEX('1.산군_붙여넣기'!$A$1:$AZ$1001,ROW(),설정!$C$7)&amp;"",""))</f>
        <v/>
      </c>
      <c r="F648">
        <f>IF(설정!$C$8="","",IFERROR(INDEX('1.산군_붙여넣기'!$A$1:$AZ$1001,ROW(),설정!$C$8)&amp;"",""))</f>
        <v/>
      </c>
      <c r="G648">
        <f>IF(설정!$C$9="","",IFERROR(INDEX('1.산군_붙여넣기'!$A$1:$AZ$1001,ROW(),설정!$C$9)&amp;"",""))</f>
        <v/>
      </c>
      <c r="H648">
        <f>IF(설정!$C$10="","",IFERROR(INDEX('1.산군_붙여넣기'!$A$1:$AZ$1001,ROW(),설정!$C$10)&amp;"",""))</f>
        <v/>
      </c>
      <c r="I648">
        <f>IF(설정!$C$11="","",IFERROR(INDEX('1.산군_붙여넣기'!$A$1:$AZ$1001,ROW(),설정!$C$11)&amp;"",""))</f>
        <v/>
      </c>
      <c r="J648">
        <f>IF(설정!$C$12="","",IFERROR(INDEX('1.산군_붙여넣기'!$A$1:$AZ$1001,ROW(),설정!$C$12)&amp;"",""))</f>
        <v/>
      </c>
      <c r="K648">
        <f>IF(설정!$C$13="","",IFERROR(INDEX('1.산군_붙여넣기'!$A$1:$AZ$1001,ROW(),설정!$C$13)&amp;"",""))</f>
        <v/>
      </c>
      <c r="L648" s="7">
        <f>IF(X648="","",IF(AND(LEN(X648)=8,ISNUMBER(X648*1)),DATE(LEFT(X648,4),MID(X648,5,2),RIGHT(X648,2)),IFERROR(DATEVALUE(SUBSTITUTE(SUBSTITUTE(X648,".","-"),"/","-")),IFERROR(X648*1,""))))</f>
        <v/>
      </c>
      <c r="M648" s="7">
        <f>IF(Y648="","",IF(AND(LEN(Y648)=8,ISNUMBER(Y648*1)),DATE(LEFT(Y648,4),MID(Y648,5,2),RIGHT(Y648,2)),IFERROR(DATEVALUE(SUBSTITUTE(SUBSTITUTE(Y648,".","-"),"/","-")),IFERROR(Y648*1,""))))</f>
        <v/>
      </c>
      <c r="N648">
        <f>IFERROR(LEFT(B648,FIND(" ",B648)-1),B648)</f>
        <v/>
      </c>
      <c r="O648">
        <f>AND(B648&lt;&gt;"",B648&lt;&gt;설정!$B$4,C648&lt;&gt;설정!$B$5)</f>
        <v/>
      </c>
      <c r="P648">
        <f>IF(O648,B648&amp;"|"&amp;C648,"")</f>
        <v/>
      </c>
      <c r="Q648">
        <f>AND(O648,COUNTIF(P649:P$1002,P648)=0)</f>
        <v/>
      </c>
      <c r="R648">
        <f>OR(AND(설정!$A$42&lt;&gt;"",ISNUMBER(SEARCH(설정!$A$42,E648&amp;" "&amp;C648))),AND(설정!$A$43&lt;&gt;"",ISNUMBER(SEARCH(설정!$A$43,E648&amp;" "&amp;C648))),AND(설정!$A$44&lt;&gt;"",ISNUMBER(SEARCH(설정!$A$44,E648&amp;" "&amp;C648))),AND(설정!$A$45&lt;&gt;"",ISNUMBER(SEARCH(설정!$A$45,E648&amp;" "&amp;C648))),AND(설정!$A$46&lt;&gt;"",ISNUMBER(SEARCH(설정!$A$46,E648&amp;" "&amp;C648))),AND(설정!$A$47&lt;&gt;"",ISNUMBER(SEARCH(설정!$A$47,E648&amp;" "&amp;C648))),AND(설정!$A$48&lt;&gt;"",ISNUMBER(SEARCH(설정!$A$48,E648&amp;" "&amp;C648))),AND(설정!$A$49&lt;&gt;"",ISNUMBER(SEARCH(설정!$A$49,E648&amp;" "&amp;C648))),AND(설정!$A$50&lt;&gt;"",ISNUMBER(SEARCH(설정!$A$50,E648&amp;" "&amp;C648))),AND(설정!$A$51&lt;&gt;"",ISNUMBER(SEARCH(설정!$A$51,E648&amp;" "&amp;C648))))</f>
        <v/>
      </c>
      <c r="S648">
        <f>OR(D648="",D648&gt;=설정!$B$19)</f>
        <v/>
      </c>
      <c r="T648">
        <f>AND(Q648,R648,S648)</f>
        <v/>
      </c>
      <c r="U648">
        <f>IF(T648,IF(AND(설정!$A$54&lt;&gt;"",ISNUMBER(SEARCH(설정!$A$54,K648))),설정!$B$54,IF(AND(설정!$A$55&lt;&gt;"",ISNUMBER(SEARCH(설정!$A$55,K648))),설정!$B$55,IF(AND(설정!$A$56&lt;&gt;"",ISNUMBER(SEARCH(설정!$A$56,K648))),설정!$B$56,IF(AND(설정!$A$57&lt;&gt;"",ISNUMBER(SEARCH(설정!$A$57,K648))),설정!$B$57,IF(AND(설정!$A$58&lt;&gt;"",ISNUMBER(SEARCH(설정!$A$58,K648))),설정!$B$58,IF(AND(설정!$A$59&lt;&gt;"",ISNUMBER(SEARCH(설정!$A$59,K648))),설정!$B$59,IF(AND(설정!$A$60&lt;&gt;"",ISNUMBER(SEARCH(설정!$A$60,K648))),설정!$B$60,IF(AND(설정!$A$61&lt;&gt;"",ISNUMBER(SEARCH(설정!$A$61,K648))),설정!$B$61,IF(M648="","설계사","시공사"))))))))),"")</f>
        <v/>
      </c>
      <c r="V648">
        <f>SUBSTITUTE(SUBSTITUTE(SUBSTITUTE(SUBSTITUTE(G648,"(주)",""),"㈜",""),"주식회사","")," ","")</f>
        <v/>
      </c>
      <c r="W648">
        <f>IF(AND(T648,V648&lt;&gt;""),IF(COUNTIFS(V$2:V648,V648,T$2:T648,TRUE)=1,MAX(W$1:W647)+1,""),"")</f>
        <v/>
      </c>
      <c r="X648">
        <f>IF(설정!$C$14="","",IFERROR(INDEX('1.산군_붙여넣기'!$A$1:$AZ$1001,ROW(),설정!$C$14)&amp;"",""))</f>
        <v/>
      </c>
      <c r="Y648">
        <f>IF(설정!$C$15="","",IFERROR(INDEX('1.산군_붙여넣기'!$A$1:$AZ$1001,ROW(),설정!$C$15)&amp;"",""))</f>
        <v/>
      </c>
      <c r="Z648">
        <f>IF(T648,V648&amp;"|"&amp;U648,"")</f>
        <v/>
      </c>
      <c r="AA648">
        <f>IF(NOT(Q648),"",IF(NOT(AND(R648,S648)),"✕",IF(OR(OR(AND(L648&lt;&gt;"",M648&lt;&gt;"",N(M648)-N(L648)&gt;설정!$B$27),AND(L648&lt;&gt;"",M648="",설정!$B$24-N(L648)&gt;설정!$B$27)),AND(D648&lt;&gt;"",D648&lt;설정!$B$26)),"△","★")))</f>
        <v/>
      </c>
      <c r="AB648">
        <f>IF(NOT(T648),"",IF(U648="설계사",설정!$B$31,IF(U648="시공사",IF(OR(M648="",설정!$B$24-N(M648)&lt;=설정!$B$28*30.4),설정!$B$32,설정!$B$33),설정!$B$34))+IF(AA648="★",설정!$B$35,0))</f>
        <v/>
      </c>
      <c r="AC648">
        <f>SUBSTITUTE(SUBSTITUTE(SUBSTITUTE(SUBSTITUTE(H648,"(주)",""),"㈜",""),"주식회사","")," ","")</f>
        <v/>
      </c>
      <c r="AD648">
        <f>IF(AND(T648,AC648&lt;&gt;""),IF(COUNTIFS(AC$2:AC648,AC648,T$2:T648,TRUE)=1,MAX(AD$1:AD647)+1,""),"")</f>
        <v/>
      </c>
    </row>
    <row r="649">
      <c r="A649">
        <f>ROW()</f>
        <v/>
      </c>
      <c r="B649">
        <f>IF(설정!$C$4="","",IFERROR(INDEX('1.산군_붙여넣기'!$A$1:$AZ$1001,ROW(),설정!$C$4)&amp;"",""))</f>
        <v/>
      </c>
      <c r="C649">
        <f>IF(설정!$C$5="","",IFERROR(INDEX('1.산군_붙여넣기'!$A$1:$AZ$1001,ROW(),설정!$C$5)&amp;"",""))</f>
        <v/>
      </c>
      <c r="D649" s="5">
        <f>IFERROR(VALUE(SUBSTITUTE(SUBSTITUTE(SUBSTITUTE(IF(설정!$C$6="","",IFERROR(INDEX('1.산군_붙여넣기'!$A$1:$AZ$1001,ROW(),설정!$C$6)&amp;"","")),",",""),"㎡",""),"m2","")),"")</f>
        <v/>
      </c>
      <c r="E649">
        <f>IF(설정!$C$7="","",IFERROR(INDEX('1.산군_붙여넣기'!$A$1:$AZ$1001,ROW(),설정!$C$7)&amp;"",""))</f>
        <v/>
      </c>
      <c r="F649">
        <f>IF(설정!$C$8="","",IFERROR(INDEX('1.산군_붙여넣기'!$A$1:$AZ$1001,ROW(),설정!$C$8)&amp;"",""))</f>
        <v/>
      </c>
      <c r="G649">
        <f>IF(설정!$C$9="","",IFERROR(INDEX('1.산군_붙여넣기'!$A$1:$AZ$1001,ROW(),설정!$C$9)&amp;"",""))</f>
        <v/>
      </c>
      <c r="H649">
        <f>IF(설정!$C$10="","",IFERROR(INDEX('1.산군_붙여넣기'!$A$1:$AZ$1001,ROW(),설정!$C$10)&amp;"",""))</f>
        <v/>
      </c>
      <c r="I649">
        <f>IF(설정!$C$11="","",IFERROR(INDEX('1.산군_붙여넣기'!$A$1:$AZ$1001,ROW(),설정!$C$11)&amp;"",""))</f>
        <v/>
      </c>
      <c r="J649">
        <f>IF(설정!$C$12="","",IFERROR(INDEX('1.산군_붙여넣기'!$A$1:$AZ$1001,ROW(),설정!$C$12)&amp;"",""))</f>
        <v/>
      </c>
      <c r="K649">
        <f>IF(설정!$C$13="","",IFERROR(INDEX('1.산군_붙여넣기'!$A$1:$AZ$1001,ROW(),설정!$C$13)&amp;"",""))</f>
        <v/>
      </c>
      <c r="L649" s="7">
        <f>IF(X649="","",IF(AND(LEN(X649)=8,ISNUMBER(X649*1)),DATE(LEFT(X649,4),MID(X649,5,2),RIGHT(X649,2)),IFERROR(DATEVALUE(SUBSTITUTE(SUBSTITUTE(X649,".","-"),"/","-")),IFERROR(X649*1,""))))</f>
        <v/>
      </c>
      <c r="M649" s="7">
        <f>IF(Y649="","",IF(AND(LEN(Y649)=8,ISNUMBER(Y649*1)),DATE(LEFT(Y649,4),MID(Y649,5,2),RIGHT(Y649,2)),IFERROR(DATEVALUE(SUBSTITUTE(SUBSTITUTE(Y649,".","-"),"/","-")),IFERROR(Y649*1,""))))</f>
        <v/>
      </c>
      <c r="N649">
        <f>IFERROR(LEFT(B649,FIND(" ",B649)-1),B649)</f>
        <v/>
      </c>
      <c r="O649">
        <f>AND(B649&lt;&gt;"",B649&lt;&gt;설정!$B$4,C649&lt;&gt;설정!$B$5)</f>
        <v/>
      </c>
      <c r="P649">
        <f>IF(O649,B649&amp;"|"&amp;C649,"")</f>
        <v/>
      </c>
      <c r="Q649">
        <f>AND(O649,COUNTIF(P650:P$1002,P649)=0)</f>
        <v/>
      </c>
      <c r="R649">
        <f>OR(AND(설정!$A$42&lt;&gt;"",ISNUMBER(SEARCH(설정!$A$42,E649&amp;" "&amp;C649))),AND(설정!$A$43&lt;&gt;"",ISNUMBER(SEARCH(설정!$A$43,E649&amp;" "&amp;C649))),AND(설정!$A$44&lt;&gt;"",ISNUMBER(SEARCH(설정!$A$44,E649&amp;" "&amp;C649))),AND(설정!$A$45&lt;&gt;"",ISNUMBER(SEARCH(설정!$A$45,E649&amp;" "&amp;C649))),AND(설정!$A$46&lt;&gt;"",ISNUMBER(SEARCH(설정!$A$46,E649&amp;" "&amp;C649))),AND(설정!$A$47&lt;&gt;"",ISNUMBER(SEARCH(설정!$A$47,E649&amp;" "&amp;C649))),AND(설정!$A$48&lt;&gt;"",ISNUMBER(SEARCH(설정!$A$48,E649&amp;" "&amp;C649))),AND(설정!$A$49&lt;&gt;"",ISNUMBER(SEARCH(설정!$A$49,E649&amp;" "&amp;C649))),AND(설정!$A$50&lt;&gt;"",ISNUMBER(SEARCH(설정!$A$50,E649&amp;" "&amp;C649))),AND(설정!$A$51&lt;&gt;"",ISNUMBER(SEARCH(설정!$A$51,E649&amp;" "&amp;C649))))</f>
        <v/>
      </c>
      <c r="S649">
        <f>OR(D649="",D649&gt;=설정!$B$19)</f>
        <v/>
      </c>
      <c r="T649">
        <f>AND(Q649,R649,S649)</f>
        <v/>
      </c>
      <c r="U649">
        <f>IF(T649,IF(AND(설정!$A$54&lt;&gt;"",ISNUMBER(SEARCH(설정!$A$54,K649))),설정!$B$54,IF(AND(설정!$A$55&lt;&gt;"",ISNUMBER(SEARCH(설정!$A$55,K649))),설정!$B$55,IF(AND(설정!$A$56&lt;&gt;"",ISNUMBER(SEARCH(설정!$A$56,K649))),설정!$B$56,IF(AND(설정!$A$57&lt;&gt;"",ISNUMBER(SEARCH(설정!$A$57,K649))),설정!$B$57,IF(AND(설정!$A$58&lt;&gt;"",ISNUMBER(SEARCH(설정!$A$58,K649))),설정!$B$58,IF(AND(설정!$A$59&lt;&gt;"",ISNUMBER(SEARCH(설정!$A$59,K649))),설정!$B$59,IF(AND(설정!$A$60&lt;&gt;"",ISNUMBER(SEARCH(설정!$A$60,K649))),설정!$B$60,IF(AND(설정!$A$61&lt;&gt;"",ISNUMBER(SEARCH(설정!$A$61,K649))),설정!$B$61,IF(M649="","설계사","시공사"))))))))),"")</f>
        <v/>
      </c>
      <c r="V649">
        <f>SUBSTITUTE(SUBSTITUTE(SUBSTITUTE(SUBSTITUTE(G649,"(주)",""),"㈜",""),"주식회사","")," ","")</f>
        <v/>
      </c>
      <c r="W649">
        <f>IF(AND(T649,V649&lt;&gt;""),IF(COUNTIFS(V$2:V649,V649,T$2:T649,TRUE)=1,MAX(W$1:W648)+1,""),"")</f>
        <v/>
      </c>
      <c r="X649">
        <f>IF(설정!$C$14="","",IFERROR(INDEX('1.산군_붙여넣기'!$A$1:$AZ$1001,ROW(),설정!$C$14)&amp;"",""))</f>
        <v/>
      </c>
      <c r="Y649">
        <f>IF(설정!$C$15="","",IFERROR(INDEX('1.산군_붙여넣기'!$A$1:$AZ$1001,ROW(),설정!$C$15)&amp;"",""))</f>
        <v/>
      </c>
      <c r="Z649">
        <f>IF(T649,V649&amp;"|"&amp;U649,"")</f>
        <v/>
      </c>
      <c r="AA649">
        <f>IF(NOT(Q649),"",IF(NOT(AND(R649,S649)),"✕",IF(OR(OR(AND(L649&lt;&gt;"",M649&lt;&gt;"",N(M649)-N(L649)&gt;설정!$B$27),AND(L649&lt;&gt;"",M649="",설정!$B$24-N(L649)&gt;설정!$B$27)),AND(D649&lt;&gt;"",D649&lt;설정!$B$26)),"△","★")))</f>
        <v/>
      </c>
      <c r="AB649">
        <f>IF(NOT(T649),"",IF(U649="설계사",설정!$B$31,IF(U649="시공사",IF(OR(M649="",설정!$B$24-N(M649)&lt;=설정!$B$28*30.4),설정!$B$32,설정!$B$33),설정!$B$34))+IF(AA649="★",설정!$B$35,0))</f>
        <v/>
      </c>
      <c r="AC649">
        <f>SUBSTITUTE(SUBSTITUTE(SUBSTITUTE(SUBSTITUTE(H649,"(주)",""),"㈜",""),"주식회사","")," ","")</f>
        <v/>
      </c>
      <c r="AD649">
        <f>IF(AND(T649,AC649&lt;&gt;""),IF(COUNTIFS(AC$2:AC649,AC649,T$2:T649,TRUE)=1,MAX(AD$1:AD648)+1,""),"")</f>
        <v/>
      </c>
    </row>
    <row r="650">
      <c r="A650">
        <f>ROW()</f>
        <v/>
      </c>
      <c r="B650">
        <f>IF(설정!$C$4="","",IFERROR(INDEX('1.산군_붙여넣기'!$A$1:$AZ$1001,ROW(),설정!$C$4)&amp;"",""))</f>
        <v/>
      </c>
      <c r="C650">
        <f>IF(설정!$C$5="","",IFERROR(INDEX('1.산군_붙여넣기'!$A$1:$AZ$1001,ROW(),설정!$C$5)&amp;"",""))</f>
        <v/>
      </c>
      <c r="D650" s="5">
        <f>IFERROR(VALUE(SUBSTITUTE(SUBSTITUTE(SUBSTITUTE(IF(설정!$C$6="","",IFERROR(INDEX('1.산군_붙여넣기'!$A$1:$AZ$1001,ROW(),설정!$C$6)&amp;"","")),",",""),"㎡",""),"m2","")),"")</f>
        <v/>
      </c>
      <c r="E650">
        <f>IF(설정!$C$7="","",IFERROR(INDEX('1.산군_붙여넣기'!$A$1:$AZ$1001,ROW(),설정!$C$7)&amp;"",""))</f>
        <v/>
      </c>
      <c r="F650">
        <f>IF(설정!$C$8="","",IFERROR(INDEX('1.산군_붙여넣기'!$A$1:$AZ$1001,ROW(),설정!$C$8)&amp;"",""))</f>
        <v/>
      </c>
      <c r="G650">
        <f>IF(설정!$C$9="","",IFERROR(INDEX('1.산군_붙여넣기'!$A$1:$AZ$1001,ROW(),설정!$C$9)&amp;"",""))</f>
        <v/>
      </c>
      <c r="H650">
        <f>IF(설정!$C$10="","",IFERROR(INDEX('1.산군_붙여넣기'!$A$1:$AZ$1001,ROW(),설정!$C$10)&amp;"",""))</f>
        <v/>
      </c>
      <c r="I650">
        <f>IF(설정!$C$11="","",IFERROR(INDEX('1.산군_붙여넣기'!$A$1:$AZ$1001,ROW(),설정!$C$11)&amp;"",""))</f>
        <v/>
      </c>
      <c r="J650">
        <f>IF(설정!$C$12="","",IFERROR(INDEX('1.산군_붙여넣기'!$A$1:$AZ$1001,ROW(),설정!$C$12)&amp;"",""))</f>
        <v/>
      </c>
      <c r="K650">
        <f>IF(설정!$C$13="","",IFERROR(INDEX('1.산군_붙여넣기'!$A$1:$AZ$1001,ROW(),설정!$C$13)&amp;"",""))</f>
        <v/>
      </c>
      <c r="L650" s="7">
        <f>IF(X650="","",IF(AND(LEN(X650)=8,ISNUMBER(X650*1)),DATE(LEFT(X650,4),MID(X650,5,2),RIGHT(X650,2)),IFERROR(DATEVALUE(SUBSTITUTE(SUBSTITUTE(X650,".","-"),"/","-")),IFERROR(X650*1,""))))</f>
        <v/>
      </c>
      <c r="M650" s="7">
        <f>IF(Y650="","",IF(AND(LEN(Y650)=8,ISNUMBER(Y650*1)),DATE(LEFT(Y650,4),MID(Y650,5,2),RIGHT(Y650,2)),IFERROR(DATEVALUE(SUBSTITUTE(SUBSTITUTE(Y650,".","-"),"/","-")),IFERROR(Y650*1,""))))</f>
        <v/>
      </c>
      <c r="N650">
        <f>IFERROR(LEFT(B650,FIND(" ",B650)-1),B650)</f>
        <v/>
      </c>
      <c r="O650">
        <f>AND(B650&lt;&gt;"",B650&lt;&gt;설정!$B$4,C650&lt;&gt;설정!$B$5)</f>
        <v/>
      </c>
      <c r="P650">
        <f>IF(O650,B650&amp;"|"&amp;C650,"")</f>
        <v/>
      </c>
      <c r="Q650">
        <f>AND(O650,COUNTIF(P651:P$1002,P650)=0)</f>
        <v/>
      </c>
      <c r="R650">
        <f>OR(AND(설정!$A$42&lt;&gt;"",ISNUMBER(SEARCH(설정!$A$42,E650&amp;" "&amp;C650))),AND(설정!$A$43&lt;&gt;"",ISNUMBER(SEARCH(설정!$A$43,E650&amp;" "&amp;C650))),AND(설정!$A$44&lt;&gt;"",ISNUMBER(SEARCH(설정!$A$44,E650&amp;" "&amp;C650))),AND(설정!$A$45&lt;&gt;"",ISNUMBER(SEARCH(설정!$A$45,E650&amp;" "&amp;C650))),AND(설정!$A$46&lt;&gt;"",ISNUMBER(SEARCH(설정!$A$46,E650&amp;" "&amp;C650))),AND(설정!$A$47&lt;&gt;"",ISNUMBER(SEARCH(설정!$A$47,E650&amp;" "&amp;C650))),AND(설정!$A$48&lt;&gt;"",ISNUMBER(SEARCH(설정!$A$48,E650&amp;" "&amp;C650))),AND(설정!$A$49&lt;&gt;"",ISNUMBER(SEARCH(설정!$A$49,E650&amp;" "&amp;C650))),AND(설정!$A$50&lt;&gt;"",ISNUMBER(SEARCH(설정!$A$50,E650&amp;" "&amp;C650))),AND(설정!$A$51&lt;&gt;"",ISNUMBER(SEARCH(설정!$A$51,E650&amp;" "&amp;C650))))</f>
        <v/>
      </c>
      <c r="S650">
        <f>OR(D650="",D650&gt;=설정!$B$19)</f>
        <v/>
      </c>
      <c r="T650">
        <f>AND(Q650,R650,S650)</f>
        <v/>
      </c>
      <c r="U650">
        <f>IF(T650,IF(AND(설정!$A$54&lt;&gt;"",ISNUMBER(SEARCH(설정!$A$54,K650))),설정!$B$54,IF(AND(설정!$A$55&lt;&gt;"",ISNUMBER(SEARCH(설정!$A$55,K650))),설정!$B$55,IF(AND(설정!$A$56&lt;&gt;"",ISNUMBER(SEARCH(설정!$A$56,K650))),설정!$B$56,IF(AND(설정!$A$57&lt;&gt;"",ISNUMBER(SEARCH(설정!$A$57,K650))),설정!$B$57,IF(AND(설정!$A$58&lt;&gt;"",ISNUMBER(SEARCH(설정!$A$58,K650))),설정!$B$58,IF(AND(설정!$A$59&lt;&gt;"",ISNUMBER(SEARCH(설정!$A$59,K650))),설정!$B$59,IF(AND(설정!$A$60&lt;&gt;"",ISNUMBER(SEARCH(설정!$A$60,K650))),설정!$B$60,IF(AND(설정!$A$61&lt;&gt;"",ISNUMBER(SEARCH(설정!$A$61,K650))),설정!$B$61,IF(M650="","설계사","시공사"))))))))),"")</f>
        <v/>
      </c>
      <c r="V650">
        <f>SUBSTITUTE(SUBSTITUTE(SUBSTITUTE(SUBSTITUTE(G650,"(주)",""),"㈜",""),"주식회사","")," ","")</f>
        <v/>
      </c>
      <c r="W650">
        <f>IF(AND(T650,V650&lt;&gt;""),IF(COUNTIFS(V$2:V650,V650,T$2:T650,TRUE)=1,MAX(W$1:W649)+1,""),"")</f>
        <v/>
      </c>
      <c r="X650">
        <f>IF(설정!$C$14="","",IFERROR(INDEX('1.산군_붙여넣기'!$A$1:$AZ$1001,ROW(),설정!$C$14)&amp;"",""))</f>
        <v/>
      </c>
      <c r="Y650">
        <f>IF(설정!$C$15="","",IFERROR(INDEX('1.산군_붙여넣기'!$A$1:$AZ$1001,ROW(),설정!$C$15)&amp;"",""))</f>
        <v/>
      </c>
      <c r="Z650">
        <f>IF(T650,V650&amp;"|"&amp;U650,"")</f>
        <v/>
      </c>
      <c r="AA650">
        <f>IF(NOT(Q650),"",IF(NOT(AND(R650,S650)),"✕",IF(OR(OR(AND(L650&lt;&gt;"",M650&lt;&gt;"",N(M650)-N(L650)&gt;설정!$B$27),AND(L650&lt;&gt;"",M650="",설정!$B$24-N(L650)&gt;설정!$B$27)),AND(D650&lt;&gt;"",D650&lt;설정!$B$26)),"△","★")))</f>
        <v/>
      </c>
      <c r="AB650">
        <f>IF(NOT(T650),"",IF(U650="설계사",설정!$B$31,IF(U650="시공사",IF(OR(M650="",설정!$B$24-N(M650)&lt;=설정!$B$28*30.4),설정!$B$32,설정!$B$33),설정!$B$34))+IF(AA650="★",설정!$B$35,0))</f>
        <v/>
      </c>
      <c r="AC650">
        <f>SUBSTITUTE(SUBSTITUTE(SUBSTITUTE(SUBSTITUTE(H650,"(주)",""),"㈜",""),"주식회사","")," ","")</f>
        <v/>
      </c>
      <c r="AD650">
        <f>IF(AND(T650,AC650&lt;&gt;""),IF(COUNTIFS(AC$2:AC650,AC650,T$2:T650,TRUE)=1,MAX(AD$1:AD649)+1,""),"")</f>
        <v/>
      </c>
    </row>
    <row r="651">
      <c r="A651">
        <f>ROW()</f>
        <v/>
      </c>
      <c r="B651">
        <f>IF(설정!$C$4="","",IFERROR(INDEX('1.산군_붙여넣기'!$A$1:$AZ$1001,ROW(),설정!$C$4)&amp;"",""))</f>
        <v/>
      </c>
      <c r="C651">
        <f>IF(설정!$C$5="","",IFERROR(INDEX('1.산군_붙여넣기'!$A$1:$AZ$1001,ROW(),설정!$C$5)&amp;"",""))</f>
        <v/>
      </c>
      <c r="D651" s="5">
        <f>IFERROR(VALUE(SUBSTITUTE(SUBSTITUTE(SUBSTITUTE(IF(설정!$C$6="","",IFERROR(INDEX('1.산군_붙여넣기'!$A$1:$AZ$1001,ROW(),설정!$C$6)&amp;"","")),",",""),"㎡",""),"m2","")),"")</f>
        <v/>
      </c>
      <c r="E651">
        <f>IF(설정!$C$7="","",IFERROR(INDEX('1.산군_붙여넣기'!$A$1:$AZ$1001,ROW(),설정!$C$7)&amp;"",""))</f>
        <v/>
      </c>
      <c r="F651">
        <f>IF(설정!$C$8="","",IFERROR(INDEX('1.산군_붙여넣기'!$A$1:$AZ$1001,ROW(),설정!$C$8)&amp;"",""))</f>
        <v/>
      </c>
      <c r="G651">
        <f>IF(설정!$C$9="","",IFERROR(INDEX('1.산군_붙여넣기'!$A$1:$AZ$1001,ROW(),설정!$C$9)&amp;"",""))</f>
        <v/>
      </c>
      <c r="H651">
        <f>IF(설정!$C$10="","",IFERROR(INDEX('1.산군_붙여넣기'!$A$1:$AZ$1001,ROW(),설정!$C$10)&amp;"",""))</f>
        <v/>
      </c>
      <c r="I651">
        <f>IF(설정!$C$11="","",IFERROR(INDEX('1.산군_붙여넣기'!$A$1:$AZ$1001,ROW(),설정!$C$11)&amp;"",""))</f>
        <v/>
      </c>
      <c r="J651">
        <f>IF(설정!$C$12="","",IFERROR(INDEX('1.산군_붙여넣기'!$A$1:$AZ$1001,ROW(),설정!$C$12)&amp;"",""))</f>
        <v/>
      </c>
      <c r="K651">
        <f>IF(설정!$C$13="","",IFERROR(INDEX('1.산군_붙여넣기'!$A$1:$AZ$1001,ROW(),설정!$C$13)&amp;"",""))</f>
        <v/>
      </c>
      <c r="L651" s="7">
        <f>IF(X651="","",IF(AND(LEN(X651)=8,ISNUMBER(X651*1)),DATE(LEFT(X651,4),MID(X651,5,2),RIGHT(X651,2)),IFERROR(DATEVALUE(SUBSTITUTE(SUBSTITUTE(X651,".","-"),"/","-")),IFERROR(X651*1,""))))</f>
        <v/>
      </c>
      <c r="M651" s="7">
        <f>IF(Y651="","",IF(AND(LEN(Y651)=8,ISNUMBER(Y651*1)),DATE(LEFT(Y651,4),MID(Y651,5,2),RIGHT(Y651,2)),IFERROR(DATEVALUE(SUBSTITUTE(SUBSTITUTE(Y651,".","-"),"/","-")),IFERROR(Y651*1,""))))</f>
        <v/>
      </c>
      <c r="N651">
        <f>IFERROR(LEFT(B651,FIND(" ",B651)-1),B651)</f>
        <v/>
      </c>
      <c r="O651">
        <f>AND(B651&lt;&gt;"",B651&lt;&gt;설정!$B$4,C651&lt;&gt;설정!$B$5)</f>
        <v/>
      </c>
      <c r="P651">
        <f>IF(O651,B651&amp;"|"&amp;C651,"")</f>
        <v/>
      </c>
      <c r="Q651">
        <f>AND(O651,COUNTIF(P652:P$1002,P651)=0)</f>
        <v/>
      </c>
      <c r="R651">
        <f>OR(AND(설정!$A$42&lt;&gt;"",ISNUMBER(SEARCH(설정!$A$42,E651&amp;" "&amp;C651))),AND(설정!$A$43&lt;&gt;"",ISNUMBER(SEARCH(설정!$A$43,E651&amp;" "&amp;C651))),AND(설정!$A$44&lt;&gt;"",ISNUMBER(SEARCH(설정!$A$44,E651&amp;" "&amp;C651))),AND(설정!$A$45&lt;&gt;"",ISNUMBER(SEARCH(설정!$A$45,E651&amp;" "&amp;C651))),AND(설정!$A$46&lt;&gt;"",ISNUMBER(SEARCH(설정!$A$46,E651&amp;" "&amp;C651))),AND(설정!$A$47&lt;&gt;"",ISNUMBER(SEARCH(설정!$A$47,E651&amp;" "&amp;C651))),AND(설정!$A$48&lt;&gt;"",ISNUMBER(SEARCH(설정!$A$48,E651&amp;" "&amp;C651))),AND(설정!$A$49&lt;&gt;"",ISNUMBER(SEARCH(설정!$A$49,E651&amp;" "&amp;C651))),AND(설정!$A$50&lt;&gt;"",ISNUMBER(SEARCH(설정!$A$50,E651&amp;" "&amp;C651))),AND(설정!$A$51&lt;&gt;"",ISNUMBER(SEARCH(설정!$A$51,E651&amp;" "&amp;C651))))</f>
        <v/>
      </c>
      <c r="S651">
        <f>OR(D651="",D651&gt;=설정!$B$19)</f>
        <v/>
      </c>
      <c r="T651">
        <f>AND(Q651,R651,S651)</f>
        <v/>
      </c>
      <c r="U651">
        <f>IF(T651,IF(AND(설정!$A$54&lt;&gt;"",ISNUMBER(SEARCH(설정!$A$54,K651))),설정!$B$54,IF(AND(설정!$A$55&lt;&gt;"",ISNUMBER(SEARCH(설정!$A$55,K651))),설정!$B$55,IF(AND(설정!$A$56&lt;&gt;"",ISNUMBER(SEARCH(설정!$A$56,K651))),설정!$B$56,IF(AND(설정!$A$57&lt;&gt;"",ISNUMBER(SEARCH(설정!$A$57,K651))),설정!$B$57,IF(AND(설정!$A$58&lt;&gt;"",ISNUMBER(SEARCH(설정!$A$58,K651))),설정!$B$58,IF(AND(설정!$A$59&lt;&gt;"",ISNUMBER(SEARCH(설정!$A$59,K651))),설정!$B$59,IF(AND(설정!$A$60&lt;&gt;"",ISNUMBER(SEARCH(설정!$A$60,K651))),설정!$B$60,IF(AND(설정!$A$61&lt;&gt;"",ISNUMBER(SEARCH(설정!$A$61,K651))),설정!$B$61,IF(M651="","설계사","시공사"))))))))),"")</f>
        <v/>
      </c>
      <c r="V651">
        <f>SUBSTITUTE(SUBSTITUTE(SUBSTITUTE(SUBSTITUTE(G651,"(주)",""),"㈜",""),"주식회사","")," ","")</f>
        <v/>
      </c>
      <c r="W651">
        <f>IF(AND(T651,V651&lt;&gt;""),IF(COUNTIFS(V$2:V651,V651,T$2:T651,TRUE)=1,MAX(W$1:W650)+1,""),"")</f>
        <v/>
      </c>
      <c r="X651">
        <f>IF(설정!$C$14="","",IFERROR(INDEX('1.산군_붙여넣기'!$A$1:$AZ$1001,ROW(),설정!$C$14)&amp;"",""))</f>
        <v/>
      </c>
      <c r="Y651">
        <f>IF(설정!$C$15="","",IFERROR(INDEX('1.산군_붙여넣기'!$A$1:$AZ$1001,ROW(),설정!$C$15)&amp;"",""))</f>
        <v/>
      </c>
      <c r="Z651">
        <f>IF(T651,V651&amp;"|"&amp;U651,"")</f>
        <v/>
      </c>
      <c r="AA651">
        <f>IF(NOT(Q651),"",IF(NOT(AND(R651,S651)),"✕",IF(OR(OR(AND(L651&lt;&gt;"",M651&lt;&gt;"",N(M651)-N(L651)&gt;설정!$B$27),AND(L651&lt;&gt;"",M651="",설정!$B$24-N(L651)&gt;설정!$B$27)),AND(D651&lt;&gt;"",D651&lt;설정!$B$26)),"△","★")))</f>
        <v/>
      </c>
      <c r="AB651">
        <f>IF(NOT(T651),"",IF(U651="설계사",설정!$B$31,IF(U651="시공사",IF(OR(M651="",설정!$B$24-N(M651)&lt;=설정!$B$28*30.4),설정!$B$32,설정!$B$33),설정!$B$34))+IF(AA651="★",설정!$B$35,0))</f>
        <v/>
      </c>
      <c r="AC651">
        <f>SUBSTITUTE(SUBSTITUTE(SUBSTITUTE(SUBSTITUTE(H651,"(주)",""),"㈜",""),"주식회사","")," ","")</f>
        <v/>
      </c>
      <c r="AD651">
        <f>IF(AND(T651,AC651&lt;&gt;""),IF(COUNTIFS(AC$2:AC651,AC651,T$2:T651,TRUE)=1,MAX(AD$1:AD650)+1,""),"")</f>
        <v/>
      </c>
    </row>
    <row r="652">
      <c r="A652">
        <f>ROW()</f>
        <v/>
      </c>
      <c r="B652">
        <f>IF(설정!$C$4="","",IFERROR(INDEX('1.산군_붙여넣기'!$A$1:$AZ$1001,ROW(),설정!$C$4)&amp;"",""))</f>
        <v/>
      </c>
      <c r="C652">
        <f>IF(설정!$C$5="","",IFERROR(INDEX('1.산군_붙여넣기'!$A$1:$AZ$1001,ROW(),설정!$C$5)&amp;"",""))</f>
        <v/>
      </c>
      <c r="D652" s="5">
        <f>IFERROR(VALUE(SUBSTITUTE(SUBSTITUTE(SUBSTITUTE(IF(설정!$C$6="","",IFERROR(INDEX('1.산군_붙여넣기'!$A$1:$AZ$1001,ROW(),설정!$C$6)&amp;"","")),",",""),"㎡",""),"m2","")),"")</f>
        <v/>
      </c>
      <c r="E652">
        <f>IF(설정!$C$7="","",IFERROR(INDEX('1.산군_붙여넣기'!$A$1:$AZ$1001,ROW(),설정!$C$7)&amp;"",""))</f>
        <v/>
      </c>
      <c r="F652">
        <f>IF(설정!$C$8="","",IFERROR(INDEX('1.산군_붙여넣기'!$A$1:$AZ$1001,ROW(),설정!$C$8)&amp;"",""))</f>
        <v/>
      </c>
      <c r="G652">
        <f>IF(설정!$C$9="","",IFERROR(INDEX('1.산군_붙여넣기'!$A$1:$AZ$1001,ROW(),설정!$C$9)&amp;"",""))</f>
        <v/>
      </c>
      <c r="H652">
        <f>IF(설정!$C$10="","",IFERROR(INDEX('1.산군_붙여넣기'!$A$1:$AZ$1001,ROW(),설정!$C$10)&amp;"",""))</f>
        <v/>
      </c>
      <c r="I652">
        <f>IF(설정!$C$11="","",IFERROR(INDEX('1.산군_붙여넣기'!$A$1:$AZ$1001,ROW(),설정!$C$11)&amp;"",""))</f>
        <v/>
      </c>
      <c r="J652">
        <f>IF(설정!$C$12="","",IFERROR(INDEX('1.산군_붙여넣기'!$A$1:$AZ$1001,ROW(),설정!$C$12)&amp;"",""))</f>
        <v/>
      </c>
      <c r="K652">
        <f>IF(설정!$C$13="","",IFERROR(INDEX('1.산군_붙여넣기'!$A$1:$AZ$1001,ROW(),설정!$C$13)&amp;"",""))</f>
        <v/>
      </c>
      <c r="L652" s="7">
        <f>IF(X652="","",IF(AND(LEN(X652)=8,ISNUMBER(X652*1)),DATE(LEFT(X652,4),MID(X652,5,2),RIGHT(X652,2)),IFERROR(DATEVALUE(SUBSTITUTE(SUBSTITUTE(X652,".","-"),"/","-")),IFERROR(X652*1,""))))</f>
        <v/>
      </c>
      <c r="M652" s="7">
        <f>IF(Y652="","",IF(AND(LEN(Y652)=8,ISNUMBER(Y652*1)),DATE(LEFT(Y652,4),MID(Y652,5,2),RIGHT(Y652,2)),IFERROR(DATEVALUE(SUBSTITUTE(SUBSTITUTE(Y652,".","-"),"/","-")),IFERROR(Y652*1,""))))</f>
        <v/>
      </c>
      <c r="N652">
        <f>IFERROR(LEFT(B652,FIND(" ",B652)-1),B652)</f>
        <v/>
      </c>
      <c r="O652">
        <f>AND(B652&lt;&gt;"",B652&lt;&gt;설정!$B$4,C652&lt;&gt;설정!$B$5)</f>
        <v/>
      </c>
      <c r="P652">
        <f>IF(O652,B652&amp;"|"&amp;C652,"")</f>
        <v/>
      </c>
      <c r="Q652">
        <f>AND(O652,COUNTIF(P653:P$1002,P652)=0)</f>
        <v/>
      </c>
      <c r="R652">
        <f>OR(AND(설정!$A$42&lt;&gt;"",ISNUMBER(SEARCH(설정!$A$42,E652&amp;" "&amp;C652))),AND(설정!$A$43&lt;&gt;"",ISNUMBER(SEARCH(설정!$A$43,E652&amp;" "&amp;C652))),AND(설정!$A$44&lt;&gt;"",ISNUMBER(SEARCH(설정!$A$44,E652&amp;" "&amp;C652))),AND(설정!$A$45&lt;&gt;"",ISNUMBER(SEARCH(설정!$A$45,E652&amp;" "&amp;C652))),AND(설정!$A$46&lt;&gt;"",ISNUMBER(SEARCH(설정!$A$46,E652&amp;" "&amp;C652))),AND(설정!$A$47&lt;&gt;"",ISNUMBER(SEARCH(설정!$A$47,E652&amp;" "&amp;C652))),AND(설정!$A$48&lt;&gt;"",ISNUMBER(SEARCH(설정!$A$48,E652&amp;" "&amp;C652))),AND(설정!$A$49&lt;&gt;"",ISNUMBER(SEARCH(설정!$A$49,E652&amp;" "&amp;C652))),AND(설정!$A$50&lt;&gt;"",ISNUMBER(SEARCH(설정!$A$50,E652&amp;" "&amp;C652))),AND(설정!$A$51&lt;&gt;"",ISNUMBER(SEARCH(설정!$A$51,E652&amp;" "&amp;C652))))</f>
        <v/>
      </c>
      <c r="S652">
        <f>OR(D652="",D652&gt;=설정!$B$19)</f>
        <v/>
      </c>
      <c r="T652">
        <f>AND(Q652,R652,S652)</f>
        <v/>
      </c>
      <c r="U652">
        <f>IF(T652,IF(AND(설정!$A$54&lt;&gt;"",ISNUMBER(SEARCH(설정!$A$54,K652))),설정!$B$54,IF(AND(설정!$A$55&lt;&gt;"",ISNUMBER(SEARCH(설정!$A$55,K652))),설정!$B$55,IF(AND(설정!$A$56&lt;&gt;"",ISNUMBER(SEARCH(설정!$A$56,K652))),설정!$B$56,IF(AND(설정!$A$57&lt;&gt;"",ISNUMBER(SEARCH(설정!$A$57,K652))),설정!$B$57,IF(AND(설정!$A$58&lt;&gt;"",ISNUMBER(SEARCH(설정!$A$58,K652))),설정!$B$58,IF(AND(설정!$A$59&lt;&gt;"",ISNUMBER(SEARCH(설정!$A$59,K652))),설정!$B$59,IF(AND(설정!$A$60&lt;&gt;"",ISNUMBER(SEARCH(설정!$A$60,K652))),설정!$B$60,IF(AND(설정!$A$61&lt;&gt;"",ISNUMBER(SEARCH(설정!$A$61,K652))),설정!$B$61,IF(M652="","설계사","시공사"))))))))),"")</f>
        <v/>
      </c>
      <c r="V652">
        <f>SUBSTITUTE(SUBSTITUTE(SUBSTITUTE(SUBSTITUTE(G652,"(주)",""),"㈜",""),"주식회사","")," ","")</f>
        <v/>
      </c>
      <c r="W652">
        <f>IF(AND(T652,V652&lt;&gt;""),IF(COUNTIFS(V$2:V652,V652,T$2:T652,TRUE)=1,MAX(W$1:W651)+1,""),"")</f>
        <v/>
      </c>
      <c r="X652">
        <f>IF(설정!$C$14="","",IFERROR(INDEX('1.산군_붙여넣기'!$A$1:$AZ$1001,ROW(),설정!$C$14)&amp;"",""))</f>
        <v/>
      </c>
      <c r="Y652">
        <f>IF(설정!$C$15="","",IFERROR(INDEX('1.산군_붙여넣기'!$A$1:$AZ$1001,ROW(),설정!$C$15)&amp;"",""))</f>
        <v/>
      </c>
      <c r="Z652">
        <f>IF(T652,V652&amp;"|"&amp;U652,"")</f>
        <v/>
      </c>
      <c r="AA652">
        <f>IF(NOT(Q652),"",IF(NOT(AND(R652,S652)),"✕",IF(OR(OR(AND(L652&lt;&gt;"",M652&lt;&gt;"",N(M652)-N(L652)&gt;설정!$B$27),AND(L652&lt;&gt;"",M652="",설정!$B$24-N(L652)&gt;설정!$B$27)),AND(D652&lt;&gt;"",D652&lt;설정!$B$26)),"△","★")))</f>
        <v/>
      </c>
      <c r="AB652">
        <f>IF(NOT(T652),"",IF(U652="설계사",설정!$B$31,IF(U652="시공사",IF(OR(M652="",설정!$B$24-N(M652)&lt;=설정!$B$28*30.4),설정!$B$32,설정!$B$33),설정!$B$34))+IF(AA652="★",설정!$B$35,0))</f>
        <v/>
      </c>
      <c r="AC652">
        <f>SUBSTITUTE(SUBSTITUTE(SUBSTITUTE(SUBSTITUTE(H652,"(주)",""),"㈜",""),"주식회사","")," ","")</f>
        <v/>
      </c>
      <c r="AD652">
        <f>IF(AND(T652,AC652&lt;&gt;""),IF(COUNTIFS(AC$2:AC652,AC652,T$2:T652,TRUE)=1,MAX(AD$1:AD651)+1,""),"")</f>
        <v/>
      </c>
    </row>
    <row r="653">
      <c r="A653">
        <f>ROW()</f>
        <v/>
      </c>
      <c r="B653">
        <f>IF(설정!$C$4="","",IFERROR(INDEX('1.산군_붙여넣기'!$A$1:$AZ$1001,ROW(),설정!$C$4)&amp;"",""))</f>
        <v/>
      </c>
      <c r="C653">
        <f>IF(설정!$C$5="","",IFERROR(INDEX('1.산군_붙여넣기'!$A$1:$AZ$1001,ROW(),설정!$C$5)&amp;"",""))</f>
        <v/>
      </c>
      <c r="D653" s="5">
        <f>IFERROR(VALUE(SUBSTITUTE(SUBSTITUTE(SUBSTITUTE(IF(설정!$C$6="","",IFERROR(INDEX('1.산군_붙여넣기'!$A$1:$AZ$1001,ROW(),설정!$C$6)&amp;"","")),",",""),"㎡",""),"m2","")),"")</f>
        <v/>
      </c>
      <c r="E653">
        <f>IF(설정!$C$7="","",IFERROR(INDEX('1.산군_붙여넣기'!$A$1:$AZ$1001,ROW(),설정!$C$7)&amp;"",""))</f>
        <v/>
      </c>
      <c r="F653">
        <f>IF(설정!$C$8="","",IFERROR(INDEX('1.산군_붙여넣기'!$A$1:$AZ$1001,ROW(),설정!$C$8)&amp;"",""))</f>
        <v/>
      </c>
      <c r="G653">
        <f>IF(설정!$C$9="","",IFERROR(INDEX('1.산군_붙여넣기'!$A$1:$AZ$1001,ROW(),설정!$C$9)&amp;"",""))</f>
        <v/>
      </c>
      <c r="H653">
        <f>IF(설정!$C$10="","",IFERROR(INDEX('1.산군_붙여넣기'!$A$1:$AZ$1001,ROW(),설정!$C$10)&amp;"",""))</f>
        <v/>
      </c>
      <c r="I653">
        <f>IF(설정!$C$11="","",IFERROR(INDEX('1.산군_붙여넣기'!$A$1:$AZ$1001,ROW(),설정!$C$11)&amp;"",""))</f>
        <v/>
      </c>
      <c r="J653">
        <f>IF(설정!$C$12="","",IFERROR(INDEX('1.산군_붙여넣기'!$A$1:$AZ$1001,ROW(),설정!$C$12)&amp;"",""))</f>
        <v/>
      </c>
      <c r="K653">
        <f>IF(설정!$C$13="","",IFERROR(INDEX('1.산군_붙여넣기'!$A$1:$AZ$1001,ROW(),설정!$C$13)&amp;"",""))</f>
        <v/>
      </c>
      <c r="L653" s="7">
        <f>IF(X653="","",IF(AND(LEN(X653)=8,ISNUMBER(X653*1)),DATE(LEFT(X653,4),MID(X653,5,2),RIGHT(X653,2)),IFERROR(DATEVALUE(SUBSTITUTE(SUBSTITUTE(X653,".","-"),"/","-")),IFERROR(X653*1,""))))</f>
        <v/>
      </c>
      <c r="M653" s="7">
        <f>IF(Y653="","",IF(AND(LEN(Y653)=8,ISNUMBER(Y653*1)),DATE(LEFT(Y653,4),MID(Y653,5,2),RIGHT(Y653,2)),IFERROR(DATEVALUE(SUBSTITUTE(SUBSTITUTE(Y653,".","-"),"/","-")),IFERROR(Y653*1,""))))</f>
        <v/>
      </c>
      <c r="N653">
        <f>IFERROR(LEFT(B653,FIND(" ",B653)-1),B653)</f>
        <v/>
      </c>
      <c r="O653">
        <f>AND(B653&lt;&gt;"",B653&lt;&gt;설정!$B$4,C653&lt;&gt;설정!$B$5)</f>
        <v/>
      </c>
      <c r="P653">
        <f>IF(O653,B653&amp;"|"&amp;C653,"")</f>
        <v/>
      </c>
      <c r="Q653">
        <f>AND(O653,COUNTIF(P654:P$1002,P653)=0)</f>
        <v/>
      </c>
      <c r="R653">
        <f>OR(AND(설정!$A$42&lt;&gt;"",ISNUMBER(SEARCH(설정!$A$42,E653&amp;" "&amp;C653))),AND(설정!$A$43&lt;&gt;"",ISNUMBER(SEARCH(설정!$A$43,E653&amp;" "&amp;C653))),AND(설정!$A$44&lt;&gt;"",ISNUMBER(SEARCH(설정!$A$44,E653&amp;" "&amp;C653))),AND(설정!$A$45&lt;&gt;"",ISNUMBER(SEARCH(설정!$A$45,E653&amp;" "&amp;C653))),AND(설정!$A$46&lt;&gt;"",ISNUMBER(SEARCH(설정!$A$46,E653&amp;" "&amp;C653))),AND(설정!$A$47&lt;&gt;"",ISNUMBER(SEARCH(설정!$A$47,E653&amp;" "&amp;C653))),AND(설정!$A$48&lt;&gt;"",ISNUMBER(SEARCH(설정!$A$48,E653&amp;" "&amp;C653))),AND(설정!$A$49&lt;&gt;"",ISNUMBER(SEARCH(설정!$A$49,E653&amp;" "&amp;C653))),AND(설정!$A$50&lt;&gt;"",ISNUMBER(SEARCH(설정!$A$50,E653&amp;" "&amp;C653))),AND(설정!$A$51&lt;&gt;"",ISNUMBER(SEARCH(설정!$A$51,E653&amp;" "&amp;C653))))</f>
        <v/>
      </c>
      <c r="S653">
        <f>OR(D653="",D653&gt;=설정!$B$19)</f>
        <v/>
      </c>
      <c r="T653">
        <f>AND(Q653,R653,S653)</f>
        <v/>
      </c>
      <c r="U653">
        <f>IF(T653,IF(AND(설정!$A$54&lt;&gt;"",ISNUMBER(SEARCH(설정!$A$54,K653))),설정!$B$54,IF(AND(설정!$A$55&lt;&gt;"",ISNUMBER(SEARCH(설정!$A$55,K653))),설정!$B$55,IF(AND(설정!$A$56&lt;&gt;"",ISNUMBER(SEARCH(설정!$A$56,K653))),설정!$B$56,IF(AND(설정!$A$57&lt;&gt;"",ISNUMBER(SEARCH(설정!$A$57,K653))),설정!$B$57,IF(AND(설정!$A$58&lt;&gt;"",ISNUMBER(SEARCH(설정!$A$58,K653))),설정!$B$58,IF(AND(설정!$A$59&lt;&gt;"",ISNUMBER(SEARCH(설정!$A$59,K653))),설정!$B$59,IF(AND(설정!$A$60&lt;&gt;"",ISNUMBER(SEARCH(설정!$A$60,K653))),설정!$B$60,IF(AND(설정!$A$61&lt;&gt;"",ISNUMBER(SEARCH(설정!$A$61,K653))),설정!$B$61,IF(M653="","설계사","시공사"))))))))),"")</f>
        <v/>
      </c>
      <c r="V653">
        <f>SUBSTITUTE(SUBSTITUTE(SUBSTITUTE(SUBSTITUTE(G653,"(주)",""),"㈜",""),"주식회사","")," ","")</f>
        <v/>
      </c>
      <c r="W653">
        <f>IF(AND(T653,V653&lt;&gt;""),IF(COUNTIFS(V$2:V653,V653,T$2:T653,TRUE)=1,MAX(W$1:W652)+1,""),"")</f>
        <v/>
      </c>
      <c r="X653">
        <f>IF(설정!$C$14="","",IFERROR(INDEX('1.산군_붙여넣기'!$A$1:$AZ$1001,ROW(),설정!$C$14)&amp;"",""))</f>
        <v/>
      </c>
      <c r="Y653">
        <f>IF(설정!$C$15="","",IFERROR(INDEX('1.산군_붙여넣기'!$A$1:$AZ$1001,ROW(),설정!$C$15)&amp;"",""))</f>
        <v/>
      </c>
      <c r="Z653">
        <f>IF(T653,V653&amp;"|"&amp;U653,"")</f>
        <v/>
      </c>
      <c r="AA653">
        <f>IF(NOT(Q653),"",IF(NOT(AND(R653,S653)),"✕",IF(OR(OR(AND(L653&lt;&gt;"",M653&lt;&gt;"",N(M653)-N(L653)&gt;설정!$B$27),AND(L653&lt;&gt;"",M653="",설정!$B$24-N(L653)&gt;설정!$B$27)),AND(D653&lt;&gt;"",D653&lt;설정!$B$26)),"△","★")))</f>
        <v/>
      </c>
      <c r="AB653">
        <f>IF(NOT(T653),"",IF(U653="설계사",설정!$B$31,IF(U653="시공사",IF(OR(M653="",설정!$B$24-N(M653)&lt;=설정!$B$28*30.4),설정!$B$32,설정!$B$33),설정!$B$34))+IF(AA653="★",설정!$B$35,0))</f>
        <v/>
      </c>
      <c r="AC653">
        <f>SUBSTITUTE(SUBSTITUTE(SUBSTITUTE(SUBSTITUTE(H653,"(주)",""),"㈜",""),"주식회사","")," ","")</f>
        <v/>
      </c>
      <c r="AD653">
        <f>IF(AND(T653,AC653&lt;&gt;""),IF(COUNTIFS(AC$2:AC653,AC653,T$2:T653,TRUE)=1,MAX(AD$1:AD652)+1,""),"")</f>
        <v/>
      </c>
    </row>
    <row r="654">
      <c r="A654">
        <f>ROW()</f>
        <v/>
      </c>
      <c r="B654">
        <f>IF(설정!$C$4="","",IFERROR(INDEX('1.산군_붙여넣기'!$A$1:$AZ$1001,ROW(),설정!$C$4)&amp;"",""))</f>
        <v/>
      </c>
      <c r="C654">
        <f>IF(설정!$C$5="","",IFERROR(INDEX('1.산군_붙여넣기'!$A$1:$AZ$1001,ROW(),설정!$C$5)&amp;"",""))</f>
        <v/>
      </c>
      <c r="D654" s="5">
        <f>IFERROR(VALUE(SUBSTITUTE(SUBSTITUTE(SUBSTITUTE(IF(설정!$C$6="","",IFERROR(INDEX('1.산군_붙여넣기'!$A$1:$AZ$1001,ROW(),설정!$C$6)&amp;"","")),",",""),"㎡",""),"m2","")),"")</f>
        <v/>
      </c>
      <c r="E654">
        <f>IF(설정!$C$7="","",IFERROR(INDEX('1.산군_붙여넣기'!$A$1:$AZ$1001,ROW(),설정!$C$7)&amp;"",""))</f>
        <v/>
      </c>
      <c r="F654">
        <f>IF(설정!$C$8="","",IFERROR(INDEX('1.산군_붙여넣기'!$A$1:$AZ$1001,ROW(),설정!$C$8)&amp;"",""))</f>
        <v/>
      </c>
      <c r="G654">
        <f>IF(설정!$C$9="","",IFERROR(INDEX('1.산군_붙여넣기'!$A$1:$AZ$1001,ROW(),설정!$C$9)&amp;"",""))</f>
        <v/>
      </c>
      <c r="H654">
        <f>IF(설정!$C$10="","",IFERROR(INDEX('1.산군_붙여넣기'!$A$1:$AZ$1001,ROW(),설정!$C$10)&amp;"",""))</f>
        <v/>
      </c>
      <c r="I654">
        <f>IF(설정!$C$11="","",IFERROR(INDEX('1.산군_붙여넣기'!$A$1:$AZ$1001,ROW(),설정!$C$11)&amp;"",""))</f>
        <v/>
      </c>
      <c r="J654">
        <f>IF(설정!$C$12="","",IFERROR(INDEX('1.산군_붙여넣기'!$A$1:$AZ$1001,ROW(),설정!$C$12)&amp;"",""))</f>
        <v/>
      </c>
      <c r="K654">
        <f>IF(설정!$C$13="","",IFERROR(INDEX('1.산군_붙여넣기'!$A$1:$AZ$1001,ROW(),설정!$C$13)&amp;"",""))</f>
        <v/>
      </c>
      <c r="L654" s="7">
        <f>IF(X654="","",IF(AND(LEN(X654)=8,ISNUMBER(X654*1)),DATE(LEFT(X654,4),MID(X654,5,2),RIGHT(X654,2)),IFERROR(DATEVALUE(SUBSTITUTE(SUBSTITUTE(X654,".","-"),"/","-")),IFERROR(X654*1,""))))</f>
        <v/>
      </c>
      <c r="M654" s="7">
        <f>IF(Y654="","",IF(AND(LEN(Y654)=8,ISNUMBER(Y654*1)),DATE(LEFT(Y654,4),MID(Y654,5,2),RIGHT(Y654,2)),IFERROR(DATEVALUE(SUBSTITUTE(SUBSTITUTE(Y654,".","-"),"/","-")),IFERROR(Y654*1,""))))</f>
        <v/>
      </c>
      <c r="N654">
        <f>IFERROR(LEFT(B654,FIND(" ",B654)-1),B654)</f>
        <v/>
      </c>
      <c r="O654">
        <f>AND(B654&lt;&gt;"",B654&lt;&gt;설정!$B$4,C654&lt;&gt;설정!$B$5)</f>
        <v/>
      </c>
      <c r="P654">
        <f>IF(O654,B654&amp;"|"&amp;C654,"")</f>
        <v/>
      </c>
      <c r="Q654">
        <f>AND(O654,COUNTIF(P655:P$1002,P654)=0)</f>
        <v/>
      </c>
      <c r="R654">
        <f>OR(AND(설정!$A$42&lt;&gt;"",ISNUMBER(SEARCH(설정!$A$42,E654&amp;" "&amp;C654))),AND(설정!$A$43&lt;&gt;"",ISNUMBER(SEARCH(설정!$A$43,E654&amp;" "&amp;C654))),AND(설정!$A$44&lt;&gt;"",ISNUMBER(SEARCH(설정!$A$44,E654&amp;" "&amp;C654))),AND(설정!$A$45&lt;&gt;"",ISNUMBER(SEARCH(설정!$A$45,E654&amp;" "&amp;C654))),AND(설정!$A$46&lt;&gt;"",ISNUMBER(SEARCH(설정!$A$46,E654&amp;" "&amp;C654))),AND(설정!$A$47&lt;&gt;"",ISNUMBER(SEARCH(설정!$A$47,E654&amp;" "&amp;C654))),AND(설정!$A$48&lt;&gt;"",ISNUMBER(SEARCH(설정!$A$48,E654&amp;" "&amp;C654))),AND(설정!$A$49&lt;&gt;"",ISNUMBER(SEARCH(설정!$A$49,E654&amp;" "&amp;C654))),AND(설정!$A$50&lt;&gt;"",ISNUMBER(SEARCH(설정!$A$50,E654&amp;" "&amp;C654))),AND(설정!$A$51&lt;&gt;"",ISNUMBER(SEARCH(설정!$A$51,E654&amp;" "&amp;C654))))</f>
        <v/>
      </c>
      <c r="S654">
        <f>OR(D654="",D654&gt;=설정!$B$19)</f>
        <v/>
      </c>
      <c r="T654">
        <f>AND(Q654,R654,S654)</f>
        <v/>
      </c>
      <c r="U654">
        <f>IF(T654,IF(AND(설정!$A$54&lt;&gt;"",ISNUMBER(SEARCH(설정!$A$54,K654))),설정!$B$54,IF(AND(설정!$A$55&lt;&gt;"",ISNUMBER(SEARCH(설정!$A$55,K654))),설정!$B$55,IF(AND(설정!$A$56&lt;&gt;"",ISNUMBER(SEARCH(설정!$A$56,K654))),설정!$B$56,IF(AND(설정!$A$57&lt;&gt;"",ISNUMBER(SEARCH(설정!$A$57,K654))),설정!$B$57,IF(AND(설정!$A$58&lt;&gt;"",ISNUMBER(SEARCH(설정!$A$58,K654))),설정!$B$58,IF(AND(설정!$A$59&lt;&gt;"",ISNUMBER(SEARCH(설정!$A$59,K654))),설정!$B$59,IF(AND(설정!$A$60&lt;&gt;"",ISNUMBER(SEARCH(설정!$A$60,K654))),설정!$B$60,IF(AND(설정!$A$61&lt;&gt;"",ISNUMBER(SEARCH(설정!$A$61,K654))),설정!$B$61,IF(M654="","설계사","시공사"))))))))),"")</f>
        <v/>
      </c>
      <c r="V654">
        <f>SUBSTITUTE(SUBSTITUTE(SUBSTITUTE(SUBSTITUTE(G654,"(주)",""),"㈜",""),"주식회사","")," ","")</f>
        <v/>
      </c>
      <c r="W654">
        <f>IF(AND(T654,V654&lt;&gt;""),IF(COUNTIFS(V$2:V654,V654,T$2:T654,TRUE)=1,MAX(W$1:W653)+1,""),"")</f>
        <v/>
      </c>
      <c r="X654">
        <f>IF(설정!$C$14="","",IFERROR(INDEX('1.산군_붙여넣기'!$A$1:$AZ$1001,ROW(),설정!$C$14)&amp;"",""))</f>
        <v/>
      </c>
      <c r="Y654">
        <f>IF(설정!$C$15="","",IFERROR(INDEX('1.산군_붙여넣기'!$A$1:$AZ$1001,ROW(),설정!$C$15)&amp;"",""))</f>
        <v/>
      </c>
      <c r="Z654">
        <f>IF(T654,V654&amp;"|"&amp;U654,"")</f>
        <v/>
      </c>
      <c r="AA654">
        <f>IF(NOT(Q654),"",IF(NOT(AND(R654,S654)),"✕",IF(OR(OR(AND(L654&lt;&gt;"",M654&lt;&gt;"",N(M654)-N(L654)&gt;설정!$B$27),AND(L654&lt;&gt;"",M654="",설정!$B$24-N(L654)&gt;설정!$B$27)),AND(D654&lt;&gt;"",D654&lt;설정!$B$26)),"△","★")))</f>
        <v/>
      </c>
      <c r="AB654">
        <f>IF(NOT(T654),"",IF(U654="설계사",설정!$B$31,IF(U654="시공사",IF(OR(M654="",설정!$B$24-N(M654)&lt;=설정!$B$28*30.4),설정!$B$32,설정!$B$33),설정!$B$34))+IF(AA654="★",설정!$B$35,0))</f>
        <v/>
      </c>
      <c r="AC654">
        <f>SUBSTITUTE(SUBSTITUTE(SUBSTITUTE(SUBSTITUTE(H654,"(주)",""),"㈜",""),"주식회사","")," ","")</f>
        <v/>
      </c>
      <c r="AD654">
        <f>IF(AND(T654,AC654&lt;&gt;""),IF(COUNTIFS(AC$2:AC654,AC654,T$2:T654,TRUE)=1,MAX(AD$1:AD653)+1,""),"")</f>
        <v/>
      </c>
    </row>
    <row r="655">
      <c r="A655">
        <f>ROW()</f>
        <v/>
      </c>
      <c r="B655">
        <f>IF(설정!$C$4="","",IFERROR(INDEX('1.산군_붙여넣기'!$A$1:$AZ$1001,ROW(),설정!$C$4)&amp;"",""))</f>
        <v/>
      </c>
      <c r="C655">
        <f>IF(설정!$C$5="","",IFERROR(INDEX('1.산군_붙여넣기'!$A$1:$AZ$1001,ROW(),설정!$C$5)&amp;"",""))</f>
        <v/>
      </c>
      <c r="D655" s="5">
        <f>IFERROR(VALUE(SUBSTITUTE(SUBSTITUTE(SUBSTITUTE(IF(설정!$C$6="","",IFERROR(INDEX('1.산군_붙여넣기'!$A$1:$AZ$1001,ROW(),설정!$C$6)&amp;"","")),",",""),"㎡",""),"m2","")),"")</f>
        <v/>
      </c>
      <c r="E655">
        <f>IF(설정!$C$7="","",IFERROR(INDEX('1.산군_붙여넣기'!$A$1:$AZ$1001,ROW(),설정!$C$7)&amp;"",""))</f>
        <v/>
      </c>
      <c r="F655">
        <f>IF(설정!$C$8="","",IFERROR(INDEX('1.산군_붙여넣기'!$A$1:$AZ$1001,ROW(),설정!$C$8)&amp;"",""))</f>
        <v/>
      </c>
      <c r="G655">
        <f>IF(설정!$C$9="","",IFERROR(INDEX('1.산군_붙여넣기'!$A$1:$AZ$1001,ROW(),설정!$C$9)&amp;"",""))</f>
        <v/>
      </c>
      <c r="H655">
        <f>IF(설정!$C$10="","",IFERROR(INDEX('1.산군_붙여넣기'!$A$1:$AZ$1001,ROW(),설정!$C$10)&amp;"",""))</f>
        <v/>
      </c>
      <c r="I655">
        <f>IF(설정!$C$11="","",IFERROR(INDEX('1.산군_붙여넣기'!$A$1:$AZ$1001,ROW(),설정!$C$11)&amp;"",""))</f>
        <v/>
      </c>
      <c r="J655">
        <f>IF(설정!$C$12="","",IFERROR(INDEX('1.산군_붙여넣기'!$A$1:$AZ$1001,ROW(),설정!$C$12)&amp;"",""))</f>
        <v/>
      </c>
      <c r="K655">
        <f>IF(설정!$C$13="","",IFERROR(INDEX('1.산군_붙여넣기'!$A$1:$AZ$1001,ROW(),설정!$C$13)&amp;"",""))</f>
        <v/>
      </c>
      <c r="L655" s="7">
        <f>IF(X655="","",IF(AND(LEN(X655)=8,ISNUMBER(X655*1)),DATE(LEFT(X655,4),MID(X655,5,2),RIGHT(X655,2)),IFERROR(DATEVALUE(SUBSTITUTE(SUBSTITUTE(X655,".","-"),"/","-")),IFERROR(X655*1,""))))</f>
        <v/>
      </c>
      <c r="M655" s="7">
        <f>IF(Y655="","",IF(AND(LEN(Y655)=8,ISNUMBER(Y655*1)),DATE(LEFT(Y655,4),MID(Y655,5,2),RIGHT(Y655,2)),IFERROR(DATEVALUE(SUBSTITUTE(SUBSTITUTE(Y655,".","-"),"/","-")),IFERROR(Y655*1,""))))</f>
        <v/>
      </c>
      <c r="N655">
        <f>IFERROR(LEFT(B655,FIND(" ",B655)-1),B655)</f>
        <v/>
      </c>
      <c r="O655">
        <f>AND(B655&lt;&gt;"",B655&lt;&gt;설정!$B$4,C655&lt;&gt;설정!$B$5)</f>
        <v/>
      </c>
      <c r="P655">
        <f>IF(O655,B655&amp;"|"&amp;C655,"")</f>
        <v/>
      </c>
      <c r="Q655">
        <f>AND(O655,COUNTIF(P656:P$1002,P655)=0)</f>
        <v/>
      </c>
      <c r="R655">
        <f>OR(AND(설정!$A$42&lt;&gt;"",ISNUMBER(SEARCH(설정!$A$42,E655&amp;" "&amp;C655))),AND(설정!$A$43&lt;&gt;"",ISNUMBER(SEARCH(설정!$A$43,E655&amp;" "&amp;C655))),AND(설정!$A$44&lt;&gt;"",ISNUMBER(SEARCH(설정!$A$44,E655&amp;" "&amp;C655))),AND(설정!$A$45&lt;&gt;"",ISNUMBER(SEARCH(설정!$A$45,E655&amp;" "&amp;C655))),AND(설정!$A$46&lt;&gt;"",ISNUMBER(SEARCH(설정!$A$46,E655&amp;" "&amp;C655))),AND(설정!$A$47&lt;&gt;"",ISNUMBER(SEARCH(설정!$A$47,E655&amp;" "&amp;C655))),AND(설정!$A$48&lt;&gt;"",ISNUMBER(SEARCH(설정!$A$48,E655&amp;" "&amp;C655))),AND(설정!$A$49&lt;&gt;"",ISNUMBER(SEARCH(설정!$A$49,E655&amp;" "&amp;C655))),AND(설정!$A$50&lt;&gt;"",ISNUMBER(SEARCH(설정!$A$50,E655&amp;" "&amp;C655))),AND(설정!$A$51&lt;&gt;"",ISNUMBER(SEARCH(설정!$A$51,E655&amp;" "&amp;C655))))</f>
        <v/>
      </c>
      <c r="S655">
        <f>OR(D655="",D655&gt;=설정!$B$19)</f>
        <v/>
      </c>
      <c r="T655">
        <f>AND(Q655,R655,S655)</f>
        <v/>
      </c>
      <c r="U655">
        <f>IF(T655,IF(AND(설정!$A$54&lt;&gt;"",ISNUMBER(SEARCH(설정!$A$54,K655))),설정!$B$54,IF(AND(설정!$A$55&lt;&gt;"",ISNUMBER(SEARCH(설정!$A$55,K655))),설정!$B$55,IF(AND(설정!$A$56&lt;&gt;"",ISNUMBER(SEARCH(설정!$A$56,K655))),설정!$B$56,IF(AND(설정!$A$57&lt;&gt;"",ISNUMBER(SEARCH(설정!$A$57,K655))),설정!$B$57,IF(AND(설정!$A$58&lt;&gt;"",ISNUMBER(SEARCH(설정!$A$58,K655))),설정!$B$58,IF(AND(설정!$A$59&lt;&gt;"",ISNUMBER(SEARCH(설정!$A$59,K655))),설정!$B$59,IF(AND(설정!$A$60&lt;&gt;"",ISNUMBER(SEARCH(설정!$A$60,K655))),설정!$B$60,IF(AND(설정!$A$61&lt;&gt;"",ISNUMBER(SEARCH(설정!$A$61,K655))),설정!$B$61,IF(M655="","설계사","시공사"))))))))),"")</f>
        <v/>
      </c>
      <c r="V655">
        <f>SUBSTITUTE(SUBSTITUTE(SUBSTITUTE(SUBSTITUTE(G655,"(주)",""),"㈜",""),"주식회사","")," ","")</f>
        <v/>
      </c>
      <c r="W655">
        <f>IF(AND(T655,V655&lt;&gt;""),IF(COUNTIFS(V$2:V655,V655,T$2:T655,TRUE)=1,MAX(W$1:W654)+1,""),"")</f>
        <v/>
      </c>
      <c r="X655">
        <f>IF(설정!$C$14="","",IFERROR(INDEX('1.산군_붙여넣기'!$A$1:$AZ$1001,ROW(),설정!$C$14)&amp;"",""))</f>
        <v/>
      </c>
      <c r="Y655">
        <f>IF(설정!$C$15="","",IFERROR(INDEX('1.산군_붙여넣기'!$A$1:$AZ$1001,ROW(),설정!$C$15)&amp;"",""))</f>
        <v/>
      </c>
      <c r="Z655">
        <f>IF(T655,V655&amp;"|"&amp;U655,"")</f>
        <v/>
      </c>
      <c r="AA655">
        <f>IF(NOT(Q655),"",IF(NOT(AND(R655,S655)),"✕",IF(OR(OR(AND(L655&lt;&gt;"",M655&lt;&gt;"",N(M655)-N(L655)&gt;설정!$B$27),AND(L655&lt;&gt;"",M655="",설정!$B$24-N(L655)&gt;설정!$B$27)),AND(D655&lt;&gt;"",D655&lt;설정!$B$26)),"△","★")))</f>
        <v/>
      </c>
      <c r="AB655">
        <f>IF(NOT(T655),"",IF(U655="설계사",설정!$B$31,IF(U655="시공사",IF(OR(M655="",설정!$B$24-N(M655)&lt;=설정!$B$28*30.4),설정!$B$32,설정!$B$33),설정!$B$34))+IF(AA655="★",설정!$B$35,0))</f>
        <v/>
      </c>
      <c r="AC655">
        <f>SUBSTITUTE(SUBSTITUTE(SUBSTITUTE(SUBSTITUTE(H655,"(주)",""),"㈜",""),"주식회사","")," ","")</f>
        <v/>
      </c>
      <c r="AD655">
        <f>IF(AND(T655,AC655&lt;&gt;""),IF(COUNTIFS(AC$2:AC655,AC655,T$2:T655,TRUE)=1,MAX(AD$1:AD654)+1,""),"")</f>
        <v/>
      </c>
    </row>
    <row r="656">
      <c r="A656">
        <f>ROW()</f>
        <v/>
      </c>
      <c r="B656">
        <f>IF(설정!$C$4="","",IFERROR(INDEX('1.산군_붙여넣기'!$A$1:$AZ$1001,ROW(),설정!$C$4)&amp;"",""))</f>
        <v/>
      </c>
      <c r="C656">
        <f>IF(설정!$C$5="","",IFERROR(INDEX('1.산군_붙여넣기'!$A$1:$AZ$1001,ROW(),설정!$C$5)&amp;"",""))</f>
        <v/>
      </c>
      <c r="D656" s="5">
        <f>IFERROR(VALUE(SUBSTITUTE(SUBSTITUTE(SUBSTITUTE(IF(설정!$C$6="","",IFERROR(INDEX('1.산군_붙여넣기'!$A$1:$AZ$1001,ROW(),설정!$C$6)&amp;"","")),",",""),"㎡",""),"m2","")),"")</f>
        <v/>
      </c>
      <c r="E656">
        <f>IF(설정!$C$7="","",IFERROR(INDEX('1.산군_붙여넣기'!$A$1:$AZ$1001,ROW(),설정!$C$7)&amp;"",""))</f>
        <v/>
      </c>
      <c r="F656">
        <f>IF(설정!$C$8="","",IFERROR(INDEX('1.산군_붙여넣기'!$A$1:$AZ$1001,ROW(),설정!$C$8)&amp;"",""))</f>
        <v/>
      </c>
      <c r="G656">
        <f>IF(설정!$C$9="","",IFERROR(INDEX('1.산군_붙여넣기'!$A$1:$AZ$1001,ROW(),설정!$C$9)&amp;"",""))</f>
        <v/>
      </c>
      <c r="H656">
        <f>IF(설정!$C$10="","",IFERROR(INDEX('1.산군_붙여넣기'!$A$1:$AZ$1001,ROW(),설정!$C$10)&amp;"",""))</f>
        <v/>
      </c>
      <c r="I656">
        <f>IF(설정!$C$11="","",IFERROR(INDEX('1.산군_붙여넣기'!$A$1:$AZ$1001,ROW(),설정!$C$11)&amp;"",""))</f>
        <v/>
      </c>
      <c r="J656">
        <f>IF(설정!$C$12="","",IFERROR(INDEX('1.산군_붙여넣기'!$A$1:$AZ$1001,ROW(),설정!$C$12)&amp;"",""))</f>
        <v/>
      </c>
      <c r="K656">
        <f>IF(설정!$C$13="","",IFERROR(INDEX('1.산군_붙여넣기'!$A$1:$AZ$1001,ROW(),설정!$C$13)&amp;"",""))</f>
        <v/>
      </c>
      <c r="L656" s="7">
        <f>IF(X656="","",IF(AND(LEN(X656)=8,ISNUMBER(X656*1)),DATE(LEFT(X656,4),MID(X656,5,2),RIGHT(X656,2)),IFERROR(DATEVALUE(SUBSTITUTE(SUBSTITUTE(X656,".","-"),"/","-")),IFERROR(X656*1,""))))</f>
        <v/>
      </c>
      <c r="M656" s="7">
        <f>IF(Y656="","",IF(AND(LEN(Y656)=8,ISNUMBER(Y656*1)),DATE(LEFT(Y656,4),MID(Y656,5,2),RIGHT(Y656,2)),IFERROR(DATEVALUE(SUBSTITUTE(SUBSTITUTE(Y656,".","-"),"/","-")),IFERROR(Y656*1,""))))</f>
        <v/>
      </c>
      <c r="N656">
        <f>IFERROR(LEFT(B656,FIND(" ",B656)-1),B656)</f>
        <v/>
      </c>
      <c r="O656">
        <f>AND(B656&lt;&gt;"",B656&lt;&gt;설정!$B$4,C656&lt;&gt;설정!$B$5)</f>
        <v/>
      </c>
      <c r="P656">
        <f>IF(O656,B656&amp;"|"&amp;C656,"")</f>
        <v/>
      </c>
      <c r="Q656">
        <f>AND(O656,COUNTIF(P657:P$1002,P656)=0)</f>
        <v/>
      </c>
      <c r="R656">
        <f>OR(AND(설정!$A$42&lt;&gt;"",ISNUMBER(SEARCH(설정!$A$42,E656&amp;" "&amp;C656))),AND(설정!$A$43&lt;&gt;"",ISNUMBER(SEARCH(설정!$A$43,E656&amp;" "&amp;C656))),AND(설정!$A$44&lt;&gt;"",ISNUMBER(SEARCH(설정!$A$44,E656&amp;" "&amp;C656))),AND(설정!$A$45&lt;&gt;"",ISNUMBER(SEARCH(설정!$A$45,E656&amp;" "&amp;C656))),AND(설정!$A$46&lt;&gt;"",ISNUMBER(SEARCH(설정!$A$46,E656&amp;" "&amp;C656))),AND(설정!$A$47&lt;&gt;"",ISNUMBER(SEARCH(설정!$A$47,E656&amp;" "&amp;C656))),AND(설정!$A$48&lt;&gt;"",ISNUMBER(SEARCH(설정!$A$48,E656&amp;" "&amp;C656))),AND(설정!$A$49&lt;&gt;"",ISNUMBER(SEARCH(설정!$A$49,E656&amp;" "&amp;C656))),AND(설정!$A$50&lt;&gt;"",ISNUMBER(SEARCH(설정!$A$50,E656&amp;" "&amp;C656))),AND(설정!$A$51&lt;&gt;"",ISNUMBER(SEARCH(설정!$A$51,E656&amp;" "&amp;C656))))</f>
        <v/>
      </c>
      <c r="S656">
        <f>OR(D656="",D656&gt;=설정!$B$19)</f>
        <v/>
      </c>
      <c r="T656">
        <f>AND(Q656,R656,S656)</f>
        <v/>
      </c>
      <c r="U656">
        <f>IF(T656,IF(AND(설정!$A$54&lt;&gt;"",ISNUMBER(SEARCH(설정!$A$54,K656))),설정!$B$54,IF(AND(설정!$A$55&lt;&gt;"",ISNUMBER(SEARCH(설정!$A$55,K656))),설정!$B$55,IF(AND(설정!$A$56&lt;&gt;"",ISNUMBER(SEARCH(설정!$A$56,K656))),설정!$B$56,IF(AND(설정!$A$57&lt;&gt;"",ISNUMBER(SEARCH(설정!$A$57,K656))),설정!$B$57,IF(AND(설정!$A$58&lt;&gt;"",ISNUMBER(SEARCH(설정!$A$58,K656))),설정!$B$58,IF(AND(설정!$A$59&lt;&gt;"",ISNUMBER(SEARCH(설정!$A$59,K656))),설정!$B$59,IF(AND(설정!$A$60&lt;&gt;"",ISNUMBER(SEARCH(설정!$A$60,K656))),설정!$B$60,IF(AND(설정!$A$61&lt;&gt;"",ISNUMBER(SEARCH(설정!$A$61,K656))),설정!$B$61,IF(M656="","설계사","시공사"))))))))),"")</f>
        <v/>
      </c>
      <c r="V656">
        <f>SUBSTITUTE(SUBSTITUTE(SUBSTITUTE(SUBSTITUTE(G656,"(주)",""),"㈜",""),"주식회사","")," ","")</f>
        <v/>
      </c>
      <c r="W656">
        <f>IF(AND(T656,V656&lt;&gt;""),IF(COUNTIFS(V$2:V656,V656,T$2:T656,TRUE)=1,MAX(W$1:W655)+1,""),"")</f>
        <v/>
      </c>
      <c r="X656">
        <f>IF(설정!$C$14="","",IFERROR(INDEX('1.산군_붙여넣기'!$A$1:$AZ$1001,ROW(),설정!$C$14)&amp;"",""))</f>
        <v/>
      </c>
      <c r="Y656">
        <f>IF(설정!$C$15="","",IFERROR(INDEX('1.산군_붙여넣기'!$A$1:$AZ$1001,ROW(),설정!$C$15)&amp;"",""))</f>
        <v/>
      </c>
      <c r="Z656">
        <f>IF(T656,V656&amp;"|"&amp;U656,"")</f>
        <v/>
      </c>
      <c r="AA656">
        <f>IF(NOT(Q656),"",IF(NOT(AND(R656,S656)),"✕",IF(OR(OR(AND(L656&lt;&gt;"",M656&lt;&gt;"",N(M656)-N(L656)&gt;설정!$B$27),AND(L656&lt;&gt;"",M656="",설정!$B$24-N(L656)&gt;설정!$B$27)),AND(D656&lt;&gt;"",D656&lt;설정!$B$26)),"△","★")))</f>
        <v/>
      </c>
      <c r="AB656">
        <f>IF(NOT(T656),"",IF(U656="설계사",설정!$B$31,IF(U656="시공사",IF(OR(M656="",설정!$B$24-N(M656)&lt;=설정!$B$28*30.4),설정!$B$32,설정!$B$33),설정!$B$34))+IF(AA656="★",설정!$B$35,0))</f>
        <v/>
      </c>
      <c r="AC656">
        <f>SUBSTITUTE(SUBSTITUTE(SUBSTITUTE(SUBSTITUTE(H656,"(주)",""),"㈜",""),"주식회사","")," ","")</f>
        <v/>
      </c>
      <c r="AD656">
        <f>IF(AND(T656,AC656&lt;&gt;""),IF(COUNTIFS(AC$2:AC656,AC656,T$2:T656,TRUE)=1,MAX(AD$1:AD655)+1,""),"")</f>
        <v/>
      </c>
    </row>
    <row r="657">
      <c r="A657">
        <f>ROW()</f>
        <v/>
      </c>
      <c r="B657">
        <f>IF(설정!$C$4="","",IFERROR(INDEX('1.산군_붙여넣기'!$A$1:$AZ$1001,ROW(),설정!$C$4)&amp;"",""))</f>
        <v/>
      </c>
      <c r="C657">
        <f>IF(설정!$C$5="","",IFERROR(INDEX('1.산군_붙여넣기'!$A$1:$AZ$1001,ROW(),설정!$C$5)&amp;"",""))</f>
        <v/>
      </c>
      <c r="D657" s="5">
        <f>IFERROR(VALUE(SUBSTITUTE(SUBSTITUTE(SUBSTITUTE(IF(설정!$C$6="","",IFERROR(INDEX('1.산군_붙여넣기'!$A$1:$AZ$1001,ROW(),설정!$C$6)&amp;"","")),",",""),"㎡",""),"m2","")),"")</f>
        <v/>
      </c>
      <c r="E657">
        <f>IF(설정!$C$7="","",IFERROR(INDEX('1.산군_붙여넣기'!$A$1:$AZ$1001,ROW(),설정!$C$7)&amp;"",""))</f>
        <v/>
      </c>
      <c r="F657">
        <f>IF(설정!$C$8="","",IFERROR(INDEX('1.산군_붙여넣기'!$A$1:$AZ$1001,ROW(),설정!$C$8)&amp;"",""))</f>
        <v/>
      </c>
      <c r="G657">
        <f>IF(설정!$C$9="","",IFERROR(INDEX('1.산군_붙여넣기'!$A$1:$AZ$1001,ROW(),설정!$C$9)&amp;"",""))</f>
        <v/>
      </c>
      <c r="H657">
        <f>IF(설정!$C$10="","",IFERROR(INDEX('1.산군_붙여넣기'!$A$1:$AZ$1001,ROW(),설정!$C$10)&amp;"",""))</f>
        <v/>
      </c>
      <c r="I657">
        <f>IF(설정!$C$11="","",IFERROR(INDEX('1.산군_붙여넣기'!$A$1:$AZ$1001,ROW(),설정!$C$11)&amp;"",""))</f>
        <v/>
      </c>
      <c r="J657">
        <f>IF(설정!$C$12="","",IFERROR(INDEX('1.산군_붙여넣기'!$A$1:$AZ$1001,ROW(),설정!$C$12)&amp;"",""))</f>
        <v/>
      </c>
      <c r="K657">
        <f>IF(설정!$C$13="","",IFERROR(INDEX('1.산군_붙여넣기'!$A$1:$AZ$1001,ROW(),설정!$C$13)&amp;"",""))</f>
        <v/>
      </c>
      <c r="L657" s="7">
        <f>IF(X657="","",IF(AND(LEN(X657)=8,ISNUMBER(X657*1)),DATE(LEFT(X657,4),MID(X657,5,2),RIGHT(X657,2)),IFERROR(DATEVALUE(SUBSTITUTE(SUBSTITUTE(X657,".","-"),"/","-")),IFERROR(X657*1,""))))</f>
        <v/>
      </c>
      <c r="M657" s="7">
        <f>IF(Y657="","",IF(AND(LEN(Y657)=8,ISNUMBER(Y657*1)),DATE(LEFT(Y657,4),MID(Y657,5,2),RIGHT(Y657,2)),IFERROR(DATEVALUE(SUBSTITUTE(SUBSTITUTE(Y657,".","-"),"/","-")),IFERROR(Y657*1,""))))</f>
        <v/>
      </c>
      <c r="N657">
        <f>IFERROR(LEFT(B657,FIND(" ",B657)-1),B657)</f>
        <v/>
      </c>
      <c r="O657">
        <f>AND(B657&lt;&gt;"",B657&lt;&gt;설정!$B$4,C657&lt;&gt;설정!$B$5)</f>
        <v/>
      </c>
      <c r="P657">
        <f>IF(O657,B657&amp;"|"&amp;C657,"")</f>
        <v/>
      </c>
      <c r="Q657">
        <f>AND(O657,COUNTIF(P658:P$1002,P657)=0)</f>
        <v/>
      </c>
      <c r="R657">
        <f>OR(AND(설정!$A$42&lt;&gt;"",ISNUMBER(SEARCH(설정!$A$42,E657&amp;" "&amp;C657))),AND(설정!$A$43&lt;&gt;"",ISNUMBER(SEARCH(설정!$A$43,E657&amp;" "&amp;C657))),AND(설정!$A$44&lt;&gt;"",ISNUMBER(SEARCH(설정!$A$44,E657&amp;" "&amp;C657))),AND(설정!$A$45&lt;&gt;"",ISNUMBER(SEARCH(설정!$A$45,E657&amp;" "&amp;C657))),AND(설정!$A$46&lt;&gt;"",ISNUMBER(SEARCH(설정!$A$46,E657&amp;" "&amp;C657))),AND(설정!$A$47&lt;&gt;"",ISNUMBER(SEARCH(설정!$A$47,E657&amp;" "&amp;C657))),AND(설정!$A$48&lt;&gt;"",ISNUMBER(SEARCH(설정!$A$48,E657&amp;" "&amp;C657))),AND(설정!$A$49&lt;&gt;"",ISNUMBER(SEARCH(설정!$A$49,E657&amp;" "&amp;C657))),AND(설정!$A$50&lt;&gt;"",ISNUMBER(SEARCH(설정!$A$50,E657&amp;" "&amp;C657))),AND(설정!$A$51&lt;&gt;"",ISNUMBER(SEARCH(설정!$A$51,E657&amp;" "&amp;C657))))</f>
        <v/>
      </c>
      <c r="S657">
        <f>OR(D657="",D657&gt;=설정!$B$19)</f>
        <v/>
      </c>
      <c r="T657">
        <f>AND(Q657,R657,S657)</f>
        <v/>
      </c>
      <c r="U657">
        <f>IF(T657,IF(AND(설정!$A$54&lt;&gt;"",ISNUMBER(SEARCH(설정!$A$54,K657))),설정!$B$54,IF(AND(설정!$A$55&lt;&gt;"",ISNUMBER(SEARCH(설정!$A$55,K657))),설정!$B$55,IF(AND(설정!$A$56&lt;&gt;"",ISNUMBER(SEARCH(설정!$A$56,K657))),설정!$B$56,IF(AND(설정!$A$57&lt;&gt;"",ISNUMBER(SEARCH(설정!$A$57,K657))),설정!$B$57,IF(AND(설정!$A$58&lt;&gt;"",ISNUMBER(SEARCH(설정!$A$58,K657))),설정!$B$58,IF(AND(설정!$A$59&lt;&gt;"",ISNUMBER(SEARCH(설정!$A$59,K657))),설정!$B$59,IF(AND(설정!$A$60&lt;&gt;"",ISNUMBER(SEARCH(설정!$A$60,K657))),설정!$B$60,IF(AND(설정!$A$61&lt;&gt;"",ISNUMBER(SEARCH(설정!$A$61,K657))),설정!$B$61,IF(M657="","설계사","시공사"))))))))),"")</f>
        <v/>
      </c>
      <c r="V657">
        <f>SUBSTITUTE(SUBSTITUTE(SUBSTITUTE(SUBSTITUTE(G657,"(주)",""),"㈜",""),"주식회사","")," ","")</f>
        <v/>
      </c>
      <c r="W657">
        <f>IF(AND(T657,V657&lt;&gt;""),IF(COUNTIFS(V$2:V657,V657,T$2:T657,TRUE)=1,MAX(W$1:W656)+1,""),"")</f>
        <v/>
      </c>
      <c r="X657">
        <f>IF(설정!$C$14="","",IFERROR(INDEX('1.산군_붙여넣기'!$A$1:$AZ$1001,ROW(),설정!$C$14)&amp;"",""))</f>
        <v/>
      </c>
      <c r="Y657">
        <f>IF(설정!$C$15="","",IFERROR(INDEX('1.산군_붙여넣기'!$A$1:$AZ$1001,ROW(),설정!$C$15)&amp;"",""))</f>
        <v/>
      </c>
      <c r="Z657">
        <f>IF(T657,V657&amp;"|"&amp;U657,"")</f>
        <v/>
      </c>
      <c r="AA657">
        <f>IF(NOT(Q657),"",IF(NOT(AND(R657,S657)),"✕",IF(OR(OR(AND(L657&lt;&gt;"",M657&lt;&gt;"",N(M657)-N(L657)&gt;설정!$B$27),AND(L657&lt;&gt;"",M657="",설정!$B$24-N(L657)&gt;설정!$B$27)),AND(D657&lt;&gt;"",D657&lt;설정!$B$26)),"△","★")))</f>
        <v/>
      </c>
      <c r="AB657">
        <f>IF(NOT(T657),"",IF(U657="설계사",설정!$B$31,IF(U657="시공사",IF(OR(M657="",설정!$B$24-N(M657)&lt;=설정!$B$28*30.4),설정!$B$32,설정!$B$33),설정!$B$34))+IF(AA657="★",설정!$B$35,0))</f>
        <v/>
      </c>
      <c r="AC657">
        <f>SUBSTITUTE(SUBSTITUTE(SUBSTITUTE(SUBSTITUTE(H657,"(주)",""),"㈜",""),"주식회사","")," ","")</f>
        <v/>
      </c>
      <c r="AD657">
        <f>IF(AND(T657,AC657&lt;&gt;""),IF(COUNTIFS(AC$2:AC657,AC657,T$2:T657,TRUE)=1,MAX(AD$1:AD656)+1,""),"")</f>
        <v/>
      </c>
    </row>
    <row r="658">
      <c r="A658">
        <f>ROW()</f>
        <v/>
      </c>
      <c r="B658">
        <f>IF(설정!$C$4="","",IFERROR(INDEX('1.산군_붙여넣기'!$A$1:$AZ$1001,ROW(),설정!$C$4)&amp;"",""))</f>
        <v/>
      </c>
      <c r="C658">
        <f>IF(설정!$C$5="","",IFERROR(INDEX('1.산군_붙여넣기'!$A$1:$AZ$1001,ROW(),설정!$C$5)&amp;"",""))</f>
        <v/>
      </c>
      <c r="D658" s="5">
        <f>IFERROR(VALUE(SUBSTITUTE(SUBSTITUTE(SUBSTITUTE(IF(설정!$C$6="","",IFERROR(INDEX('1.산군_붙여넣기'!$A$1:$AZ$1001,ROW(),설정!$C$6)&amp;"","")),",",""),"㎡",""),"m2","")),"")</f>
        <v/>
      </c>
      <c r="E658">
        <f>IF(설정!$C$7="","",IFERROR(INDEX('1.산군_붙여넣기'!$A$1:$AZ$1001,ROW(),설정!$C$7)&amp;"",""))</f>
        <v/>
      </c>
      <c r="F658">
        <f>IF(설정!$C$8="","",IFERROR(INDEX('1.산군_붙여넣기'!$A$1:$AZ$1001,ROW(),설정!$C$8)&amp;"",""))</f>
        <v/>
      </c>
      <c r="G658">
        <f>IF(설정!$C$9="","",IFERROR(INDEX('1.산군_붙여넣기'!$A$1:$AZ$1001,ROW(),설정!$C$9)&amp;"",""))</f>
        <v/>
      </c>
      <c r="H658">
        <f>IF(설정!$C$10="","",IFERROR(INDEX('1.산군_붙여넣기'!$A$1:$AZ$1001,ROW(),설정!$C$10)&amp;"",""))</f>
        <v/>
      </c>
      <c r="I658">
        <f>IF(설정!$C$11="","",IFERROR(INDEX('1.산군_붙여넣기'!$A$1:$AZ$1001,ROW(),설정!$C$11)&amp;"",""))</f>
        <v/>
      </c>
      <c r="J658">
        <f>IF(설정!$C$12="","",IFERROR(INDEX('1.산군_붙여넣기'!$A$1:$AZ$1001,ROW(),설정!$C$12)&amp;"",""))</f>
        <v/>
      </c>
      <c r="K658">
        <f>IF(설정!$C$13="","",IFERROR(INDEX('1.산군_붙여넣기'!$A$1:$AZ$1001,ROW(),설정!$C$13)&amp;"",""))</f>
        <v/>
      </c>
      <c r="L658" s="7">
        <f>IF(X658="","",IF(AND(LEN(X658)=8,ISNUMBER(X658*1)),DATE(LEFT(X658,4),MID(X658,5,2),RIGHT(X658,2)),IFERROR(DATEVALUE(SUBSTITUTE(SUBSTITUTE(X658,".","-"),"/","-")),IFERROR(X658*1,""))))</f>
        <v/>
      </c>
      <c r="M658" s="7">
        <f>IF(Y658="","",IF(AND(LEN(Y658)=8,ISNUMBER(Y658*1)),DATE(LEFT(Y658,4),MID(Y658,5,2),RIGHT(Y658,2)),IFERROR(DATEVALUE(SUBSTITUTE(SUBSTITUTE(Y658,".","-"),"/","-")),IFERROR(Y658*1,""))))</f>
        <v/>
      </c>
      <c r="N658">
        <f>IFERROR(LEFT(B658,FIND(" ",B658)-1),B658)</f>
        <v/>
      </c>
      <c r="O658">
        <f>AND(B658&lt;&gt;"",B658&lt;&gt;설정!$B$4,C658&lt;&gt;설정!$B$5)</f>
        <v/>
      </c>
      <c r="P658">
        <f>IF(O658,B658&amp;"|"&amp;C658,"")</f>
        <v/>
      </c>
      <c r="Q658">
        <f>AND(O658,COUNTIF(P659:P$1002,P658)=0)</f>
        <v/>
      </c>
      <c r="R658">
        <f>OR(AND(설정!$A$42&lt;&gt;"",ISNUMBER(SEARCH(설정!$A$42,E658&amp;" "&amp;C658))),AND(설정!$A$43&lt;&gt;"",ISNUMBER(SEARCH(설정!$A$43,E658&amp;" "&amp;C658))),AND(설정!$A$44&lt;&gt;"",ISNUMBER(SEARCH(설정!$A$44,E658&amp;" "&amp;C658))),AND(설정!$A$45&lt;&gt;"",ISNUMBER(SEARCH(설정!$A$45,E658&amp;" "&amp;C658))),AND(설정!$A$46&lt;&gt;"",ISNUMBER(SEARCH(설정!$A$46,E658&amp;" "&amp;C658))),AND(설정!$A$47&lt;&gt;"",ISNUMBER(SEARCH(설정!$A$47,E658&amp;" "&amp;C658))),AND(설정!$A$48&lt;&gt;"",ISNUMBER(SEARCH(설정!$A$48,E658&amp;" "&amp;C658))),AND(설정!$A$49&lt;&gt;"",ISNUMBER(SEARCH(설정!$A$49,E658&amp;" "&amp;C658))),AND(설정!$A$50&lt;&gt;"",ISNUMBER(SEARCH(설정!$A$50,E658&amp;" "&amp;C658))),AND(설정!$A$51&lt;&gt;"",ISNUMBER(SEARCH(설정!$A$51,E658&amp;" "&amp;C658))))</f>
        <v/>
      </c>
      <c r="S658">
        <f>OR(D658="",D658&gt;=설정!$B$19)</f>
        <v/>
      </c>
      <c r="T658">
        <f>AND(Q658,R658,S658)</f>
        <v/>
      </c>
      <c r="U658">
        <f>IF(T658,IF(AND(설정!$A$54&lt;&gt;"",ISNUMBER(SEARCH(설정!$A$54,K658))),설정!$B$54,IF(AND(설정!$A$55&lt;&gt;"",ISNUMBER(SEARCH(설정!$A$55,K658))),설정!$B$55,IF(AND(설정!$A$56&lt;&gt;"",ISNUMBER(SEARCH(설정!$A$56,K658))),설정!$B$56,IF(AND(설정!$A$57&lt;&gt;"",ISNUMBER(SEARCH(설정!$A$57,K658))),설정!$B$57,IF(AND(설정!$A$58&lt;&gt;"",ISNUMBER(SEARCH(설정!$A$58,K658))),설정!$B$58,IF(AND(설정!$A$59&lt;&gt;"",ISNUMBER(SEARCH(설정!$A$59,K658))),설정!$B$59,IF(AND(설정!$A$60&lt;&gt;"",ISNUMBER(SEARCH(설정!$A$60,K658))),설정!$B$60,IF(AND(설정!$A$61&lt;&gt;"",ISNUMBER(SEARCH(설정!$A$61,K658))),설정!$B$61,IF(M658="","설계사","시공사"))))))))),"")</f>
        <v/>
      </c>
      <c r="V658">
        <f>SUBSTITUTE(SUBSTITUTE(SUBSTITUTE(SUBSTITUTE(G658,"(주)",""),"㈜",""),"주식회사","")," ","")</f>
        <v/>
      </c>
      <c r="W658">
        <f>IF(AND(T658,V658&lt;&gt;""),IF(COUNTIFS(V$2:V658,V658,T$2:T658,TRUE)=1,MAX(W$1:W657)+1,""),"")</f>
        <v/>
      </c>
      <c r="X658">
        <f>IF(설정!$C$14="","",IFERROR(INDEX('1.산군_붙여넣기'!$A$1:$AZ$1001,ROW(),설정!$C$14)&amp;"",""))</f>
        <v/>
      </c>
      <c r="Y658">
        <f>IF(설정!$C$15="","",IFERROR(INDEX('1.산군_붙여넣기'!$A$1:$AZ$1001,ROW(),설정!$C$15)&amp;"",""))</f>
        <v/>
      </c>
      <c r="Z658">
        <f>IF(T658,V658&amp;"|"&amp;U658,"")</f>
        <v/>
      </c>
      <c r="AA658">
        <f>IF(NOT(Q658),"",IF(NOT(AND(R658,S658)),"✕",IF(OR(OR(AND(L658&lt;&gt;"",M658&lt;&gt;"",N(M658)-N(L658)&gt;설정!$B$27),AND(L658&lt;&gt;"",M658="",설정!$B$24-N(L658)&gt;설정!$B$27)),AND(D658&lt;&gt;"",D658&lt;설정!$B$26)),"△","★")))</f>
        <v/>
      </c>
      <c r="AB658">
        <f>IF(NOT(T658),"",IF(U658="설계사",설정!$B$31,IF(U658="시공사",IF(OR(M658="",설정!$B$24-N(M658)&lt;=설정!$B$28*30.4),설정!$B$32,설정!$B$33),설정!$B$34))+IF(AA658="★",설정!$B$35,0))</f>
        <v/>
      </c>
      <c r="AC658">
        <f>SUBSTITUTE(SUBSTITUTE(SUBSTITUTE(SUBSTITUTE(H658,"(주)",""),"㈜",""),"주식회사","")," ","")</f>
        <v/>
      </c>
      <c r="AD658">
        <f>IF(AND(T658,AC658&lt;&gt;""),IF(COUNTIFS(AC$2:AC658,AC658,T$2:T658,TRUE)=1,MAX(AD$1:AD657)+1,""),"")</f>
        <v/>
      </c>
    </row>
    <row r="659">
      <c r="A659">
        <f>ROW()</f>
        <v/>
      </c>
      <c r="B659">
        <f>IF(설정!$C$4="","",IFERROR(INDEX('1.산군_붙여넣기'!$A$1:$AZ$1001,ROW(),설정!$C$4)&amp;"",""))</f>
        <v/>
      </c>
      <c r="C659">
        <f>IF(설정!$C$5="","",IFERROR(INDEX('1.산군_붙여넣기'!$A$1:$AZ$1001,ROW(),설정!$C$5)&amp;"",""))</f>
        <v/>
      </c>
      <c r="D659" s="5">
        <f>IFERROR(VALUE(SUBSTITUTE(SUBSTITUTE(SUBSTITUTE(IF(설정!$C$6="","",IFERROR(INDEX('1.산군_붙여넣기'!$A$1:$AZ$1001,ROW(),설정!$C$6)&amp;"","")),",",""),"㎡",""),"m2","")),"")</f>
        <v/>
      </c>
      <c r="E659">
        <f>IF(설정!$C$7="","",IFERROR(INDEX('1.산군_붙여넣기'!$A$1:$AZ$1001,ROW(),설정!$C$7)&amp;"",""))</f>
        <v/>
      </c>
      <c r="F659">
        <f>IF(설정!$C$8="","",IFERROR(INDEX('1.산군_붙여넣기'!$A$1:$AZ$1001,ROW(),설정!$C$8)&amp;"",""))</f>
        <v/>
      </c>
      <c r="G659">
        <f>IF(설정!$C$9="","",IFERROR(INDEX('1.산군_붙여넣기'!$A$1:$AZ$1001,ROW(),설정!$C$9)&amp;"",""))</f>
        <v/>
      </c>
      <c r="H659">
        <f>IF(설정!$C$10="","",IFERROR(INDEX('1.산군_붙여넣기'!$A$1:$AZ$1001,ROW(),설정!$C$10)&amp;"",""))</f>
        <v/>
      </c>
      <c r="I659">
        <f>IF(설정!$C$11="","",IFERROR(INDEX('1.산군_붙여넣기'!$A$1:$AZ$1001,ROW(),설정!$C$11)&amp;"",""))</f>
        <v/>
      </c>
      <c r="J659">
        <f>IF(설정!$C$12="","",IFERROR(INDEX('1.산군_붙여넣기'!$A$1:$AZ$1001,ROW(),설정!$C$12)&amp;"",""))</f>
        <v/>
      </c>
      <c r="K659">
        <f>IF(설정!$C$13="","",IFERROR(INDEX('1.산군_붙여넣기'!$A$1:$AZ$1001,ROW(),설정!$C$13)&amp;"",""))</f>
        <v/>
      </c>
      <c r="L659" s="7">
        <f>IF(X659="","",IF(AND(LEN(X659)=8,ISNUMBER(X659*1)),DATE(LEFT(X659,4),MID(X659,5,2),RIGHT(X659,2)),IFERROR(DATEVALUE(SUBSTITUTE(SUBSTITUTE(X659,".","-"),"/","-")),IFERROR(X659*1,""))))</f>
        <v/>
      </c>
      <c r="M659" s="7">
        <f>IF(Y659="","",IF(AND(LEN(Y659)=8,ISNUMBER(Y659*1)),DATE(LEFT(Y659,4),MID(Y659,5,2),RIGHT(Y659,2)),IFERROR(DATEVALUE(SUBSTITUTE(SUBSTITUTE(Y659,".","-"),"/","-")),IFERROR(Y659*1,""))))</f>
        <v/>
      </c>
      <c r="N659">
        <f>IFERROR(LEFT(B659,FIND(" ",B659)-1),B659)</f>
        <v/>
      </c>
      <c r="O659">
        <f>AND(B659&lt;&gt;"",B659&lt;&gt;설정!$B$4,C659&lt;&gt;설정!$B$5)</f>
        <v/>
      </c>
      <c r="P659">
        <f>IF(O659,B659&amp;"|"&amp;C659,"")</f>
        <v/>
      </c>
      <c r="Q659">
        <f>AND(O659,COUNTIF(P660:P$1002,P659)=0)</f>
        <v/>
      </c>
      <c r="R659">
        <f>OR(AND(설정!$A$42&lt;&gt;"",ISNUMBER(SEARCH(설정!$A$42,E659&amp;" "&amp;C659))),AND(설정!$A$43&lt;&gt;"",ISNUMBER(SEARCH(설정!$A$43,E659&amp;" "&amp;C659))),AND(설정!$A$44&lt;&gt;"",ISNUMBER(SEARCH(설정!$A$44,E659&amp;" "&amp;C659))),AND(설정!$A$45&lt;&gt;"",ISNUMBER(SEARCH(설정!$A$45,E659&amp;" "&amp;C659))),AND(설정!$A$46&lt;&gt;"",ISNUMBER(SEARCH(설정!$A$46,E659&amp;" "&amp;C659))),AND(설정!$A$47&lt;&gt;"",ISNUMBER(SEARCH(설정!$A$47,E659&amp;" "&amp;C659))),AND(설정!$A$48&lt;&gt;"",ISNUMBER(SEARCH(설정!$A$48,E659&amp;" "&amp;C659))),AND(설정!$A$49&lt;&gt;"",ISNUMBER(SEARCH(설정!$A$49,E659&amp;" "&amp;C659))),AND(설정!$A$50&lt;&gt;"",ISNUMBER(SEARCH(설정!$A$50,E659&amp;" "&amp;C659))),AND(설정!$A$51&lt;&gt;"",ISNUMBER(SEARCH(설정!$A$51,E659&amp;" "&amp;C659))))</f>
        <v/>
      </c>
      <c r="S659">
        <f>OR(D659="",D659&gt;=설정!$B$19)</f>
        <v/>
      </c>
      <c r="T659">
        <f>AND(Q659,R659,S659)</f>
        <v/>
      </c>
      <c r="U659">
        <f>IF(T659,IF(AND(설정!$A$54&lt;&gt;"",ISNUMBER(SEARCH(설정!$A$54,K659))),설정!$B$54,IF(AND(설정!$A$55&lt;&gt;"",ISNUMBER(SEARCH(설정!$A$55,K659))),설정!$B$55,IF(AND(설정!$A$56&lt;&gt;"",ISNUMBER(SEARCH(설정!$A$56,K659))),설정!$B$56,IF(AND(설정!$A$57&lt;&gt;"",ISNUMBER(SEARCH(설정!$A$57,K659))),설정!$B$57,IF(AND(설정!$A$58&lt;&gt;"",ISNUMBER(SEARCH(설정!$A$58,K659))),설정!$B$58,IF(AND(설정!$A$59&lt;&gt;"",ISNUMBER(SEARCH(설정!$A$59,K659))),설정!$B$59,IF(AND(설정!$A$60&lt;&gt;"",ISNUMBER(SEARCH(설정!$A$60,K659))),설정!$B$60,IF(AND(설정!$A$61&lt;&gt;"",ISNUMBER(SEARCH(설정!$A$61,K659))),설정!$B$61,IF(M659="","설계사","시공사"))))))))),"")</f>
        <v/>
      </c>
      <c r="V659">
        <f>SUBSTITUTE(SUBSTITUTE(SUBSTITUTE(SUBSTITUTE(G659,"(주)",""),"㈜",""),"주식회사","")," ","")</f>
        <v/>
      </c>
      <c r="W659">
        <f>IF(AND(T659,V659&lt;&gt;""),IF(COUNTIFS(V$2:V659,V659,T$2:T659,TRUE)=1,MAX(W$1:W658)+1,""),"")</f>
        <v/>
      </c>
      <c r="X659">
        <f>IF(설정!$C$14="","",IFERROR(INDEX('1.산군_붙여넣기'!$A$1:$AZ$1001,ROW(),설정!$C$14)&amp;"",""))</f>
        <v/>
      </c>
      <c r="Y659">
        <f>IF(설정!$C$15="","",IFERROR(INDEX('1.산군_붙여넣기'!$A$1:$AZ$1001,ROW(),설정!$C$15)&amp;"",""))</f>
        <v/>
      </c>
      <c r="Z659">
        <f>IF(T659,V659&amp;"|"&amp;U659,"")</f>
        <v/>
      </c>
      <c r="AA659">
        <f>IF(NOT(Q659),"",IF(NOT(AND(R659,S659)),"✕",IF(OR(OR(AND(L659&lt;&gt;"",M659&lt;&gt;"",N(M659)-N(L659)&gt;설정!$B$27),AND(L659&lt;&gt;"",M659="",설정!$B$24-N(L659)&gt;설정!$B$27)),AND(D659&lt;&gt;"",D659&lt;설정!$B$26)),"△","★")))</f>
        <v/>
      </c>
      <c r="AB659">
        <f>IF(NOT(T659),"",IF(U659="설계사",설정!$B$31,IF(U659="시공사",IF(OR(M659="",설정!$B$24-N(M659)&lt;=설정!$B$28*30.4),설정!$B$32,설정!$B$33),설정!$B$34))+IF(AA659="★",설정!$B$35,0))</f>
        <v/>
      </c>
      <c r="AC659">
        <f>SUBSTITUTE(SUBSTITUTE(SUBSTITUTE(SUBSTITUTE(H659,"(주)",""),"㈜",""),"주식회사","")," ","")</f>
        <v/>
      </c>
      <c r="AD659">
        <f>IF(AND(T659,AC659&lt;&gt;""),IF(COUNTIFS(AC$2:AC659,AC659,T$2:T659,TRUE)=1,MAX(AD$1:AD658)+1,""),"")</f>
        <v/>
      </c>
    </row>
    <row r="660">
      <c r="A660">
        <f>ROW()</f>
        <v/>
      </c>
      <c r="B660">
        <f>IF(설정!$C$4="","",IFERROR(INDEX('1.산군_붙여넣기'!$A$1:$AZ$1001,ROW(),설정!$C$4)&amp;"",""))</f>
        <v/>
      </c>
      <c r="C660">
        <f>IF(설정!$C$5="","",IFERROR(INDEX('1.산군_붙여넣기'!$A$1:$AZ$1001,ROW(),설정!$C$5)&amp;"",""))</f>
        <v/>
      </c>
      <c r="D660" s="5">
        <f>IFERROR(VALUE(SUBSTITUTE(SUBSTITUTE(SUBSTITUTE(IF(설정!$C$6="","",IFERROR(INDEX('1.산군_붙여넣기'!$A$1:$AZ$1001,ROW(),설정!$C$6)&amp;"","")),",",""),"㎡",""),"m2","")),"")</f>
        <v/>
      </c>
      <c r="E660">
        <f>IF(설정!$C$7="","",IFERROR(INDEX('1.산군_붙여넣기'!$A$1:$AZ$1001,ROW(),설정!$C$7)&amp;"",""))</f>
        <v/>
      </c>
      <c r="F660">
        <f>IF(설정!$C$8="","",IFERROR(INDEX('1.산군_붙여넣기'!$A$1:$AZ$1001,ROW(),설정!$C$8)&amp;"",""))</f>
        <v/>
      </c>
      <c r="G660">
        <f>IF(설정!$C$9="","",IFERROR(INDEX('1.산군_붙여넣기'!$A$1:$AZ$1001,ROW(),설정!$C$9)&amp;"",""))</f>
        <v/>
      </c>
      <c r="H660">
        <f>IF(설정!$C$10="","",IFERROR(INDEX('1.산군_붙여넣기'!$A$1:$AZ$1001,ROW(),설정!$C$10)&amp;"",""))</f>
        <v/>
      </c>
      <c r="I660">
        <f>IF(설정!$C$11="","",IFERROR(INDEX('1.산군_붙여넣기'!$A$1:$AZ$1001,ROW(),설정!$C$11)&amp;"",""))</f>
        <v/>
      </c>
      <c r="J660">
        <f>IF(설정!$C$12="","",IFERROR(INDEX('1.산군_붙여넣기'!$A$1:$AZ$1001,ROW(),설정!$C$12)&amp;"",""))</f>
        <v/>
      </c>
      <c r="K660">
        <f>IF(설정!$C$13="","",IFERROR(INDEX('1.산군_붙여넣기'!$A$1:$AZ$1001,ROW(),설정!$C$13)&amp;"",""))</f>
        <v/>
      </c>
      <c r="L660" s="7">
        <f>IF(X660="","",IF(AND(LEN(X660)=8,ISNUMBER(X660*1)),DATE(LEFT(X660,4),MID(X660,5,2),RIGHT(X660,2)),IFERROR(DATEVALUE(SUBSTITUTE(SUBSTITUTE(X660,".","-"),"/","-")),IFERROR(X660*1,""))))</f>
        <v/>
      </c>
      <c r="M660" s="7">
        <f>IF(Y660="","",IF(AND(LEN(Y660)=8,ISNUMBER(Y660*1)),DATE(LEFT(Y660,4),MID(Y660,5,2),RIGHT(Y660,2)),IFERROR(DATEVALUE(SUBSTITUTE(SUBSTITUTE(Y660,".","-"),"/","-")),IFERROR(Y660*1,""))))</f>
        <v/>
      </c>
      <c r="N660">
        <f>IFERROR(LEFT(B660,FIND(" ",B660)-1),B660)</f>
        <v/>
      </c>
      <c r="O660">
        <f>AND(B660&lt;&gt;"",B660&lt;&gt;설정!$B$4,C660&lt;&gt;설정!$B$5)</f>
        <v/>
      </c>
      <c r="P660">
        <f>IF(O660,B660&amp;"|"&amp;C660,"")</f>
        <v/>
      </c>
      <c r="Q660">
        <f>AND(O660,COUNTIF(P661:P$1002,P660)=0)</f>
        <v/>
      </c>
      <c r="R660">
        <f>OR(AND(설정!$A$42&lt;&gt;"",ISNUMBER(SEARCH(설정!$A$42,E660&amp;" "&amp;C660))),AND(설정!$A$43&lt;&gt;"",ISNUMBER(SEARCH(설정!$A$43,E660&amp;" "&amp;C660))),AND(설정!$A$44&lt;&gt;"",ISNUMBER(SEARCH(설정!$A$44,E660&amp;" "&amp;C660))),AND(설정!$A$45&lt;&gt;"",ISNUMBER(SEARCH(설정!$A$45,E660&amp;" "&amp;C660))),AND(설정!$A$46&lt;&gt;"",ISNUMBER(SEARCH(설정!$A$46,E660&amp;" "&amp;C660))),AND(설정!$A$47&lt;&gt;"",ISNUMBER(SEARCH(설정!$A$47,E660&amp;" "&amp;C660))),AND(설정!$A$48&lt;&gt;"",ISNUMBER(SEARCH(설정!$A$48,E660&amp;" "&amp;C660))),AND(설정!$A$49&lt;&gt;"",ISNUMBER(SEARCH(설정!$A$49,E660&amp;" "&amp;C660))),AND(설정!$A$50&lt;&gt;"",ISNUMBER(SEARCH(설정!$A$50,E660&amp;" "&amp;C660))),AND(설정!$A$51&lt;&gt;"",ISNUMBER(SEARCH(설정!$A$51,E660&amp;" "&amp;C660))))</f>
        <v/>
      </c>
      <c r="S660">
        <f>OR(D660="",D660&gt;=설정!$B$19)</f>
        <v/>
      </c>
      <c r="T660">
        <f>AND(Q660,R660,S660)</f>
        <v/>
      </c>
      <c r="U660">
        <f>IF(T660,IF(AND(설정!$A$54&lt;&gt;"",ISNUMBER(SEARCH(설정!$A$54,K660))),설정!$B$54,IF(AND(설정!$A$55&lt;&gt;"",ISNUMBER(SEARCH(설정!$A$55,K660))),설정!$B$55,IF(AND(설정!$A$56&lt;&gt;"",ISNUMBER(SEARCH(설정!$A$56,K660))),설정!$B$56,IF(AND(설정!$A$57&lt;&gt;"",ISNUMBER(SEARCH(설정!$A$57,K660))),설정!$B$57,IF(AND(설정!$A$58&lt;&gt;"",ISNUMBER(SEARCH(설정!$A$58,K660))),설정!$B$58,IF(AND(설정!$A$59&lt;&gt;"",ISNUMBER(SEARCH(설정!$A$59,K660))),설정!$B$59,IF(AND(설정!$A$60&lt;&gt;"",ISNUMBER(SEARCH(설정!$A$60,K660))),설정!$B$60,IF(AND(설정!$A$61&lt;&gt;"",ISNUMBER(SEARCH(설정!$A$61,K660))),설정!$B$61,IF(M660="","설계사","시공사"))))))))),"")</f>
        <v/>
      </c>
      <c r="V660">
        <f>SUBSTITUTE(SUBSTITUTE(SUBSTITUTE(SUBSTITUTE(G660,"(주)",""),"㈜",""),"주식회사","")," ","")</f>
        <v/>
      </c>
      <c r="W660">
        <f>IF(AND(T660,V660&lt;&gt;""),IF(COUNTIFS(V$2:V660,V660,T$2:T660,TRUE)=1,MAX(W$1:W659)+1,""),"")</f>
        <v/>
      </c>
      <c r="X660">
        <f>IF(설정!$C$14="","",IFERROR(INDEX('1.산군_붙여넣기'!$A$1:$AZ$1001,ROW(),설정!$C$14)&amp;"",""))</f>
        <v/>
      </c>
      <c r="Y660">
        <f>IF(설정!$C$15="","",IFERROR(INDEX('1.산군_붙여넣기'!$A$1:$AZ$1001,ROW(),설정!$C$15)&amp;"",""))</f>
        <v/>
      </c>
      <c r="Z660">
        <f>IF(T660,V660&amp;"|"&amp;U660,"")</f>
        <v/>
      </c>
      <c r="AA660">
        <f>IF(NOT(Q660),"",IF(NOT(AND(R660,S660)),"✕",IF(OR(OR(AND(L660&lt;&gt;"",M660&lt;&gt;"",N(M660)-N(L660)&gt;설정!$B$27),AND(L660&lt;&gt;"",M660="",설정!$B$24-N(L660)&gt;설정!$B$27)),AND(D660&lt;&gt;"",D660&lt;설정!$B$26)),"△","★")))</f>
        <v/>
      </c>
      <c r="AB660">
        <f>IF(NOT(T660),"",IF(U660="설계사",설정!$B$31,IF(U660="시공사",IF(OR(M660="",설정!$B$24-N(M660)&lt;=설정!$B$28*30.4),설정!$B$32,설정!$B$33),설정!$B$34))+IF(AA660="★",설정!$B$35,0))</f>
        <v/>
      </c>
      <c r="AC660">
        <f>SUBSTITUTE(SUBSTITUTE(SUBSTITUTE(SUBSTITUTE(H660,"(주)",""),"㈜",""),"주식회사","")," ","")</f>
        <v/>
      </c>
      <c r="AD660">
        <f>IF(AND(T660,AC660&lt;&gt;""),IF(COUNTIFS(AC$2:AC660,AC660,T$2:T660,TRUE)=1,MAX(AD$1:AD659)+1,""),"")</f>
        <v/>
      </c>
    </row>
    <row r="661">
      <c r="A661">
        <f>ROW()</f>
        <v/>
      </c>
      <c r="B661">
        <f>IF(설정!$C$4="","",IFERROR(INDEX('1.산군_붙여넣기'!$A$1:$AZ$1001,ROW(),설정!$C$4)&amp;"",""))</f>
        <v/>
      </c>
      <c r="C661">
        <f>IF(설정!$C$5="","",IFERROR(INDEX('1.산군_붙여넣기'!$A$1:$AZ$1001,ROW(),설정!$C$5)&amp;"",""))</f>
        <v/>
      </c>
      <c r="D661" s="5">
        <f>IFERROR(VALUE(SUBSTITUTE(SUBSTITUTE(SUBSTITUTE(IF(설정!$C$6="","",IFERROR(INDEX('1.산군_붙여넣기'!$A$1:$AZ$1001,ROW(),설정!$C$6)&amp;"","")),",",""),"㎡",""),"m2","")),"")</f>
        <v/>
      </c>
      <c r="E661">
        <f>IF(설정!$C$7="","",IFERROR(INDEX('1.산군_붙여넣기'!$A$1:$AZ$1001,ROW(),설정!$C$7)&amp;"",""))</f>
        <v/>
      </c>
      <c r="F661">
        <f>IF(설정!$C$8="","",IFERROR(INDEX('1.산군_붙여넣기'!$A$1:$AZ$1001,ROW(),설정!$C$8)&amp;"",""))</f>
        <v/>
      </c>
      <c r="G661">
        <f>IF(설정!$C$9="","",IFERROR(INDEX('1.산군_붙여넣기'!$A$1:$AZ$1001,ROW(),설정!$C$9)&amp;"",""))</f>
        <v/>
      </c>
      <c r="H661">
        <f>IF(설정!$C$10="","",IFERROR(INDEX('1.산군_붙여넣기'!$A$1:$AZ$1001,ROW(),설정!$C$10)&amp;"",""))</f>
        <v/>
      </c>
      <c r="I661">
        <f>IF(설정!$C$11="","",IFERROR(INDEX('1.산군_붙여넣기'!$A$1:$AZ$1001,ROW(),설정!$C$11)&amp;"",""))</f>
        <v/>
      </c>
      <c r="J661">
        <f>IF(설정!$C$12="","",IFERROR(INDEX('1.산군_붙여넣기'!$A$1:$AZ$1001,ROW(),설정!$C$12)&amp;"",""))</f>
        <v/>
      </c>
      <c r="K661">
        <f>IF(설정!$C$13="","",IFERROR(INDEX('1.산군_붙여넣기'!$A$1:$AZ$1001,ROW(),설정!$C$13)&amp;"",""))</f>
        <v/>
      </c>
      <c r="L661" s="7">
        <f>IF(X661="","",IF(AND(LEN(X661)=8,ISNUMBER(X661*1)),DATE(LEFT(X661,4),MID(X661,5,2),RIGHT(X661,2)),IFERROR(DATEVALUE(SUBSTITUTE(SUBSTITUTE(X661,".","-"),"/","-")),IFERROR(X661*1,""))))</f>
        <v/>
      </c>
      <c r="M661" s="7">
        <f>IF(Y661="","",IF(AND(LEN(Y661)=8,ISNUMBER(Y661*1)),DATE(LEFT(Y661,4),MID(Y661,5,2),RIGHT(Y661,2)),IFERROR(DATEVALUE(SUBSTITUTE(SUBSTITUTE(Y661,".","-"),"/","-")),IFERROR(Y661*1,""))))</f>
        <v/>
      </c>
      <c r="N661">
        <f>IFERROR(LEFT(B661,FIND(" ",B661)-1),B661)</f>
        <v/>
      </c>
      <c r="O661">
        <f>AND(B661&lt;&gt;"",B661&lt;&gt;설정!$B$4,C661&lt;&gt;설정!$B$5)</f>
        <v/>
      </c>
      <c r="P661">
        <f>IF(O661,B661&amp;"|"&amp;C661,"")</f>
        <v/>
      </c>
      <c r="Q661">
        <f>AND(O661,COUNTIF(P662:P$1002,P661)=0)</f>
        <v/>
      </c>
      <c r="R661">
        <f>OR(AND(설정!$A$42&lt;&gt;"",ISNUMBER(SEARCH(설정!$A$42,E661&amp;" "&amp;C661))),AND(설정!$A$43&lt;&gt;"",ISNUMBER(SEARCH(설정!$A$43,E661&amp;" "&amp;C661))),AND(설정!$A$44&lt;&gt;"",ISNUMBER(SEARCH(설정!$A$44,E661&amp;" "&amp;C661))),AND(설정!$A$45&lt;&gt;"",ISNUMBER(SEARCH(설정!$A$45,E661&amp;" "&amp;C661))),AND(설정!$A$46&lt;&gt;"",ISNUMBER(SEARCH(설정!$A$46,E661&amp;" "&amp;C661))),AND(설정!$A$47&lt;&gt;"",ISNUMBER(SEARCH(설정!$A$47,E661&amp;" "&amp;C661))),AND(설정!$A$48&lt;&gt;"",ISNUMBER(SEARCH(설정!$A$48,E661&amp;" "&amp;C661))),AND(설정!$A$49&lt;&gt;"",ISNUMBER(SEARCH(설정!$A$49,E661&amp;" "&amp;C661))),AND(설정!$A$50&lt;&gt;"",ISNUMBER(SEARCH(설정!$A$50,E661&amp;" "&amp;C661))),AND(설정!$A$51&lt;&gt;"",ISNUMBER(SEARCH(설정!$A$51,E661&amp;" "&amp;C661))))</f>
        <v/>
      </c>
      <c r="S661">
        <f>OR(D661="",D661&gt;=설정!$B$19)</f>
        <v/>
      </c>
      <c r="T661">
        <f>AND(Q661,R661,S661)</f>
        <v/>
      </c>
      <c r="U661">
        <f>IF(T661,IF(AND(설정!$A$54&lt;&gt;"",ISNUMBER(SEARCH(설정!$A$54,K661))),설정!$B$54,IF(AND(설정!$A$55&lt;&gt;"",ISNUMBER(SEARCH(설정!$A$55,K661))),설정!$B$55,IF(AND(설정!$A$56&lt;&gt;"",ISNUMBER(SEARCH(설정!$A$56,K661))),설정!$B$56,IF(AND(설정!$A$57&lt;&gt;"",ISNUMBER(SEARCH(설정!$A$57,K661))),설정!$B$57,IF(AND(설정!$A$58&lt;&gt;"",ISNUMBER(SEARCH(설정!$A$58,K661))),설정!$B$58,IF(AND(설정!$A$59&lt;&gt;"",ISNUMBER(SEARCH(설정!$A$59,K661))),설정!$B$59,IF(AND(설정!$A$60&lt;&gt;"",ISNUMBER(SEARCH(설정!$A$60,K661))),설정!$B$60,IF(AND(설정!$A$61&lt;&gt;"",ISNUMBER(SEARCH(설정!$A$61,K661))),설정!$B$61,IF(M661="","설계사","시공사"))))))))),"")</f>
        <v/>
      </c>
      <c r="V661">
        <f>SUBSTITUTE(SUBSTITUTE(SUBSTITUTE(SUBSTITUTE(G661,"(주)",""),"㈜",""),"주식회사","")," ","")</f>
        <v/>
      </c>
      <c r="W661">
        <f>IF(AND(T661,V661&lt;&gt;""),IF(COUNTIFS(V$2:V661,V661,T$2:T661,TRUE)=1,MAX(W$1:W660)+1,""),"")</f>
        <v/>
      </c>
      <c r="X661">
        <f>IF(설정!$C$14="","",IFERROR(INDEX('1.산군_붙여넣기'!$A$1:$AZ$1001,ROW(),설정!$C$14)&amp;"",""))</f>
        <v/>
      </c>
      <c r="Y661">
        <f>IF(설정!$C$15="","",IFERROR(INDEX('1.산군_붙여넣기'!$A$1:$AZ$1001,ROW(),설정!$C$15)&amp;"",""))</f>
        <v/>
      </c>
      <c r="Z661">
        <f>IF(T661,V661&amp;"|"&amp;U661,"")</f>
        <v/>
      </c>
      <c r="AA661">
        <f>IF(NOT(Q661),"",IF(NOT(AND(R661,S661)),"✕",IF(OR(OR(AND(L661&lt;&gt;"",M661&lt;&gt;"",N(M661)-N(L661)&gt;설정!$B$27),AND(L661&lt;&gt;"",M661="",설정!$B$24-N(L661)&gt;설정!$B$27)),AND(D661&lt;&gt;"",D661&lt;설정!$B$26)),"△","★")))</f>
        <v/>
      </c>
      <c r="AB661">
        <f>IF(NOT(T661),"",IF(U661="설계사",설정!$B$31,IF(U661="시공사",IF(OR(M661="",설정!$B$24-N(M661)&lt;=설정!$B$28*30.4),설정!$B$32,설정!$B$33),설정!$B$34))+IF(AA661="★",설정!$B$35,0))</f>
        <v/>
      </c>
      <c r="AC661">
        <f>SUBSTITUTE(SUBSTITUTE(SUBSTITUTE(SUBSTITUTE(H661,"(주)",""),"㈜",""),"주식회사","")," ","")</f>
        <v/>
      </c>
      <c r="AD661">
        <f>IF(AND(T661,AC661&lt;&gt;""),IF(COUNTIFS(AC$2:AC661,AC661,T$2:T661,TRUE)=1,MAX(AD$1:AD660)+1,""),"")</f>
        <v/>
      </c>
    </row>
    <row r="662">
      <c r="A662">
        <f>ROW()</f>
        <v/>
      </c>
      <c r="B662">
        <f>IF(설정!$C$4="","",IFERROR(INDEX('1.산군_붙여넣기'!$A$1:$AZ$1001,ROW(),설정!$C$4)&amp;"",""))</f>
        <v/>
      </c>
      <c r="C662">
        <f>IF(설정!$C$5="","",IFERROR(INDEX('1.산군_붙여넣기'!$A$1:$AZ$1001,ROW(),설정!$C$5)&amp;"",""))</f>
        <v/>
      </c>
      <c r="D662" s="5">
        <f>IFERROR(VALUE(SUBSTITUTE(SUBSTITUTE(SUBSTITUTE(IF(설정!$C$6="","",IFERROR(INDEX('1.산군_붙여넣기'!$A$1:$AZ$1001,ROW(),설정!$C$6)&amp;"","")),",",""),"㎡",""),"m2","")),"")</f>
        <v/>
      </c>
      <c r="E662">
        <f>IF(설정!$C$7="","",IFERROR(INDEX('1.산군_붙여넣기'!$A$1:$AZ$1001,ROW(),설정!$C$7)&amp;"",""))</f>
        <v/>
      </c>
      <c r="F662">
        <f>IF(설정!$C$8="","",IFERROR(INDEX('1.산군_붙여넣기'!$A$1:$AZ$1001,ROW(),설정!$C$8)&amp;"",""))</f>
        <v/>
      </c>
      <c r="G662">
        <f>IF(설정!$C$9="","",IFERROR(INDEX('1.산군_붙여넣기'!$A$1:$AZ$1001,ROW(),설정!$C$9)&amp;"",""))</f>
        <v/>
      </c>
      <c r="H662">
        <f>IF(설정!$C$10="","",IFERROR(INDEX('1.산군_붙여넣기'!$A$1:$AZ$1001,ROW(),설정!$C$10)&amp;"",""))</f>
        <v/>
      </c>
      <c r="I662">
        <f>IF(설정!$C$11="","",IFERROR(INDEX('1.산군_붙여넣기'!$A$1:$AZ$1001,ROW(),설정!$C$11)&amp;"",""))</f>
        <v/>
      </c>
      <c r="J662">
        <f>IF(설정!$C$12="","",IFERROR(INDEX('1.산군_붙여넣기'!$A$1:$AZ$1001,ROW(),설정!$C$12)&amp;"",""))</f>
        <v/>
      </c>
      <c r="K662">
        <f>IF(설정!$C$13="","",IFERROR(INDEX('1.산군_붙여넣기'!$A$1:$AZ$1001,ROW(),설정!$C$13)&amp;"",""))</f>
        <v/>
      </c>
      <c r="L662" s="7">
        <f>IF(X662="","",IF(AND(LEN(X662)=8,ISNUMBER(X662*1)),DATE(LEFT(X662,4),MID(X662,5,2),RIGHT(X662,2)),IFERROR(DATEVALUE(SUBSTITUTE(SUBSTITUTE(X662,".","-"),"/","-")),IFERROR(X662*1,""))))</f>
        <v/>
      </c>
      <c r="M662" s="7">
        <f>IF(Y662="","",IF(AND(LEN(Y662)=8,ISNUMBER(Y662*1)),DATE(LEFT(Y662,4),MID(Y662,5,2),RIGHT(Y662,2)),IFERROR(DATEVALUE(SUBSTITUTE(SUBSTITUTE(Y662,".","-"),"/","-")),IFERROR(Y662*1,""))))</f>
        <v/>
      </c>
      <c r="N662">
        <f>IFERROR(LEFT(B662,FIND(" ",B662)-1),B662)</f>
        <v/>
      </c>
      <c r="O662">
        <f>AND(B662&lt;&gt;"",B662&lt;&gt;설정!$B$4,C662&lt;&gt;설정!$B$5)</f>
        <v/>
      </c>
      <c r="P662">
        <f>IF(O662,B662&amp;"|"&amp;C662,"")</f>
        <v/>
      </c>
      <c r="Q662">
        <f>AND(O662,COUNTIF(P663:P$1002,P662)=0)</f>
        <v/>
      </c>
      <c r="R662">
        <f>OR(AND(설정!$A$42&lt;&gt;"",ISNUMBER(SEARCH(설정!$A$42,E662&amp;" "&amp;C662))),AND(설정!$A$43&lt;&gt;"",ISNUMBER(SEARCH(설정!$A$43,E662&amp;" "&amp;C662))),AND(설정!$A$44&lt;&gt;"",ISNUMBER(SEARCH(설정!$A$44,E662&amp;" "&amp;C662))),AND(설정!$A$45&lt;&gt;"",ISNUMBER(SEARCH(설정!$A$45,E662&amp;" "&amp;C662))),AND(설정!$A$46&lt;&gt;"",ISNUMBER(SEARCH(설정!$A$46,E662&amp;" "&amp;C662))),AND(설정!$A$47&lt;&gt;"",ISNUMBER(SEARCH(설정!$A$47,E662&amp;" "&amp;C662))),AND(설정!$A$48&lt;&gt;"",ISNUMBER(SEARCH(설정!$A$48,E662&amp;" "&amp;C662))),AND(설정!$A$49&lt;&gt;"",ISNUMBER(SEARCH(설정!$A$49,E662&amp;" "&amp;C662))),AND(설정!$A$50&lt;&gt;"",ISNUMBER(SEARCH(설정!$A$50,E662&amp;" "&amp;C662))),AND(설정!$A$51&lt;&gt;"",ISNUMBER(SEARCH(설정!$A$51,E662&amp;" "&amp;C662))))</f>
        <v/>
      </c>
      <c r="S662">
        <f>OR(D662="",D662&gt;=설정!$B$19)</f>
        <v/>
      </c>
      <c r="T662">
        <f>AND(Q662,R662,S662)</f>
        <v/>
      </c>
      <c r="U662">
        <f>IF(T662,IF(AND(설정!$A$54&lt;&gt;"",ISNUMBER(SEARCH(설정!$A$54,K662))),설정!$B$54,IF(AND(설정!$A$55&lt;&gt;"",ISNUMBER(SEARCH(설정!$A$55,K662))),설정!$B$55,IF(AND(설정!$A$56&lt;&gt;"",ISNUMBER(SEARCH(설정!$A$56,K662))),설정!$B$56,IF(AND(설정!$A$57&lt;&gt;"",ISNUMBER(SEARCH(설정!$A$57,K662))),설정!$B$57,IF(AND(설정!$A$58&lt;&gt;"",ISNUMBER(SEARCH(설정!$A$58,K662))),설정!$B$58,IF(AND(설정!$A$59&lt;&gt;"",ISNUMBER(SEARCH(설정!$A$59,K662))),설정!$B$59,IF(AND(설정!$A$60&lt;&gt;"",ISNUMBER(SEARCH(설정!$A$60,K662))),설정!$B$60,IF(AND(설정!$A$61&lt;&gt;"",ISNUMBER(SEARCH(설정!$A$61,K662))),설정!$B$61,IF(M662="","설계사","시공사"))))))))),"")</f>
        <v/>
      </c>
      <c r="V662">
        <f>SUBSTITUTE(SUBSTITUTE(SUBSTITUTE(SUBSTITUTE(G662,"(주)",""),"㈜",""),"주식회사","")," ","")</f>
        <v/>
      </c>
      <c r="W662">
        <f>IF(AND(T662,V662&lt;&gt;""),IF(COUNTIFS(V$2:V662,V662,T$2:T662,TRUE)=1,MAX(W$1:W661)+1,""),"")</f>
        <v/>
      </c>
      <c r="X662">
        <f>IF(설정!$C$14="","",IFERROR(INDEX('1.산군_붙여넣기'!$A$1:$AZ$1001,ROW(),설정!$C$14)&amp;"",""))</f>
        <v/>
      </c>
      <c r="Y662">
        <f>IF(설정!$C$15="","",IFERROR(INDEX('1.산군_붙여넣기'!$A$1:$AZ$1001,ROW(),설정!$C$15)&amp;"",""))</f>
        <v/>
      </c>
      <c r="Z662">
        <f>IF(T662,V662&amp;"|"&amp;U662,"")</f>
        <v/>
      </c>
      <c r="AA662">
        <f>IF(NOT(Q662),"",IF(NOT(AND(R662,S662)),"✕",IF(OR(OR(AND(L662&lt;&gt;"",M662&lt;&gt;"",N(M662)-N(L662)&gt;설정!$B$27),AND(L662&lt;&gt;"",M662="",설정!$B$24-N(L662)&gt;설정!$B$27)),AND(D662&lt;&gt;"",D662&lt;설정!$B$26)),"△","★")))</f>
        <v/>
      </c>
      <c r="AB662">
        <f>IF(NOT(T662),"",IF(U662="설계사",설정!$B$31,IF(U662="시공사",IF(OR(M662="",설정!$B$24-N(M662)&lt;=설정!$B$28*30.4),설정!$B$32,설정!$B$33),설정!$B$34))+IF(AA662="★",설정!$B$35,0))</f>
        <v/>
      </c>
      <c r="AC662">
        <f>SUBSTITUTE(SUBSTITUTE(SUBSTITUTE(SUBSTITUTE(H662,"(주)",""),"㈜",""),"주식회사","")," ","")</f>
        <v/>
      </c>
      <c r="AD662">
        <f>IF(AND(T662,AC662&lt;&gt;""),IF(COUNTIFS(AC$2:AC662,AC662,T$2:T662,TRUE)=1,MAX(AD$1:AD661)+1,""),"")</f>
        <v/>
      </c>
    </row>
    <row r="663">
      <c r="A663">
        <f>ROW()</f>
        <v/>
      </c>
      <c r="B663">
        <f>IF(설정!$C$4="","",IFERROR(INDEX('1.산군_붙여넣기'!$A$1:$AZ$1001,ROW(),설정!$C$4)&amp;"",""))</f>
        <v/>
      </c>
      <c r="C663">
        <f>IF(설정!$C$5="","",IFERROR(INDEX('1.산군_붙여넣기'!$A$1:$AZ$1001,ROW(),설정!$C$5)&amp;"",""))</f>
        <v/>
      </c>
      <c r="D663" s="5">
        <f>IFERROR(VALUE(SUBSTITUTE(SUBSTITUTE(SUBSTITUTE(IF(설정!$C$6="","",IFERROR(INDEX('1.산군_붙여넣기'!$A$1:$AZ$1001,ROW(),설정!$C$6)&amp;"","")),",",""),"㎡",""),"m2","")),"")</f>
        <v/>
      </c>
      <c r="E663">
        <f>IF(설정!$C$7="","",IFERROR(INDEX('1.산군_붙여넣기'!$A$1:$AZ$1001,ROW(),설정!$C$7)&amp;"",""))</f>
        <v/>
      </c>
      <c r="F663">
        <f>IF(설정!$C$8="","",IFERROR(INDEX('1.산군_붙여넣기'!$A$1:$AZ$1001,ROW(),설정!$C$8)&amp;"",""))</f>
        <v/>
      </c>
      <c r="G663">
        <f>IF(설정!$C$9="","",IFERROR(INDEX('1.산군_붙여넣기'!$A$1:$AZ$1001,ROW(),설정!$C$9)&amp;"",""))</f>
        <v/>
      </c>
      <c r="H663">
        <f>IF(설정!$C$10="","",IFERROR(INDEX('1.산군_붙여넣기'!$A$1:$AZ$1001,ROW(),설정!$C$10)&amp;"",""))</f>
        <v/>
      </c>
      <c r="I663">
        <f>IF(설정!$C$11="","",IFERROR(INDEX('1.산군_붙여넣기'!$A$1:$AZ$1001,ROW(),설정!$C$11)&amp;"",""))</f>
        <v/>
      </c>
      <c r="J663">
        <f>IF(설정!$C$12="","",IFERROR(INDEX('1.산군_붙여넣기'!$A$1:$AZ$1001,ROW(),설정!$C$12)&amp;"",""))</f>
        <v/>
      </c>
      <c r="K663">
        <f>IF(설정!$C$13="","",IFERROR(INDEX('1.산군_붙여넣기'!$A$1:$AZ$1001,ROW(),설정!$C$13)&amp;"",""))</f>
        <v/>
      </c>
      <c r="L663" s="7">
        <f>IF(X663="","",IF(AND(LEN(X663)=8,ISNUMBER(X663*1)),DATE(LEFT(X663,4),MID(X663,5,2),RIGHT(X663,2)),IFERROR(DATEVALUE(SUBSTITUTE(SUBSTITUTE(X663,".","-"),"/","-")),IFERROR(X663*1,""))))</f>
        <v/>
      </c>
      <c r="M663" s="7">
        <f>IF(Y663="","",IF(AND(LEN(Y663)=8,ISNUMBER(Y663*1)),DATE(LEFT(Y663,4),MID(Y663,5,2),RIGHT(Y663,2)),IFERROR(DATEVALUE(SUBSTITUTE(SUBSTITUTE(Y663,".","-"),"/","-")),IFERROR(Y663*1,""))))</f>
        <v/>
      </c>
      <c r="N663">
        <f>IFERROR(LEFT(B663,FIND(" ",B663)-1),B663)</f>
        <v/>
      </c>
      <c r="O663">
        <f>AND(B663&lt;&gt;"",B663&lt;&gt;설정!$B$4,C663&lt;&gt;설정!$B$5)</f>
        <v/>
      </c>
      <c r="P663">
        <f>IF(O663,B663&amp;"|"&amp;C663,"")</f>
        <v/>
      </c>
      <c r="Q663">
        <f>AND(O663,COUNTIF(P664:P$1002,P663)=0)</f>
        <v/>
      </c>
      <c r="R663">
        <f>OR(AND(설정!$A$42&lt;&gt;"",ISNUMBER(SEARCH(설정!$A$42,E663&amp;" "&amp;C663))),AND(설정!$A$43&lt;&gt;"",ISNUMBER(SEARCH(설정!$A$43,E663&amp;" "&amp;C663))),AND(설정!$A$44&lt;&gt;"",ISNUMBER(SEARCH(설정!$A$44,E663&amp;" "&amp;C663))),AND(설정!$A$45&lt;&gt;"",ISNUMBER(SEARCH(설정!$A$45,E663&amp;" "&amp;C663))),AND(설정!$A$46&lt;&gt;"",ISNUMBER(SEARCH(설정!$A$46,E663&amp;" "&amp;C663))),AND(설정!$A$47&lt;&gt;"",ISNUMBER(SEARCH(설정!$A$47,E663&amp;" "&amp;C663))),AND(설정!$A$48&lt;&gt;"",ISNUMBER(SEARCH(설정!$A$48,E663&amp;" "&amp;C663))),AND(설정!$A$49&lt;&gt;"",ISNUMBER(SEARCH(설정!$A$49,E663&amp;" "&amp;C663))),AND(설정!$A$50&lt;&gt;"",ISNUMBER(SEARCH(설정!$A$50,E663&amp;" "&amp;C663))),AND(설정!$A$51&lt;&gt;"",ISNUMBER(SEARCH(설정!$A$51,E663&amp;" "&amp;C663))))</f>
        <v/>
      </c>
      <c r="S663">
        <f>OR(D663="",D663&gt;=설정!$B$19)</f>
        <v/>
      </c>
      <c r="T663">
        <f>AND(Q663,R663,S663)</f>
        <v/>
      </c>
      <c r="U663">
        <f>IF(T663,IF(AND(설정!$A$54&lt;&gt;"",ISNUMBER(SEARCH(설정!$A$54,K663))),설정!$B$54,IF(AND(설정!$A$55&lt;&gt;"",ISNUMBER(SEARCH(설정!$A$55,K663))),설정!$B$55,IF(AND(설정!$A$56&lt;&gt;"",ISNUMBER(SEARCH(설정!$A$56,K663))),설정!$B$56,IF(AND(설정!$A$57&lt;&gt;"",ISNUMBER(SEARCH(설정!$A$57,K663))),설정!$B$57,IF(AND(설정!$A$58&lt;&gt;"",ISNUMBER(SEARCH(설정!$A$58,K663))),설정!$B$58,IF(AND(설정!$A$59&lt;&gt;"",ISNUMBER(SEARCH(설정!$A$59,K663))),설정!$B$59,IF(AND(설정!$A$60&lt;&gt;"",ISNUMBER(SEARCH(설정!$A$60,K663))),설정!$B$60,IF(AND(설정!$A$61&lt;&gt;"",ISNUMBER(SEARCH(설정!$A$61,K663))),설정!$B$61,IF(M663="","설계사","시공사"))))))))),"")</f>
        <v/>
      </c>
      <c r="V663">
        <f>SUBSTITUTE(SUBSTITUTE(SUBSTITUTE(SUBSTITUTE(G663,"(주)",""),"㈜",""),"주식회사","")," ","")</f>
        <v/>
      </c>
      <c r="W663">
        <f>IF(AND(T663,V663&lt;&gt;""),IF(COUNTIFS(V$2:V663,V663,T$2:T663,TRUE)=1,MAX(W$1:W662)+1,""),"")</f>
        <v/>
      </c>
      <c r="X663">
        <f>IF(설정!$C$14="","",IFERROR(INDEX('1.산군_붙여넣기'!$A$1:$AZ$1001,ROW(),설정!$C$14)&amp;"",""))</f>
        <v/>
      </c>
      <c r="Y663">
        <f>IF(설정!$C$15="","",IFERROR(INDEX('1.산군_붙여넣기'!$A$1:$AZ$1001,ROW(),설정!$C$15)&amp;"",""))</f>
        <v/>
      </c>
      <c r="Z663">
        <f>IF(T663,V663&amp;"|"&amp;U663,"")</f>
        <v/>
      </c>
      <c r="AA663">
        <f>IF(NOT(Q663),"",IF(NOT(AND(R663,S663)),"✕",IF(OR(OR(AND(L663&lt;&gt;"",M663&lt;&gt;"",N(M663)-N(L663)&gt;설정!$B$27),AND(L663&lt;&gt;"",M663="",설정!$B$24-N(L663)&gt;설정!$B$27)),AND(D663&lt;&gt;"",D663&lt;설정!$B$26)),"△","★")))</f>
        <v/>
      </c>
      <c r="AB663">
        <f>IF(NOT(T663),"",IF(U663="설계사",설정!$B$31,IF(U663="시공사",IF(OR(M663="",설정!$B$24-N(M663)&lt;=설정!$B$28*30.4),설정!$B$32,설정!$B$33),설정!$B$34))+IF(AA663="★",설정!$B$35,0))</f>
        <v/>
      </c>
      <c r="AC663">
        <f>SUBSTITUTE(SUBSTITUTE(SUBSTITUTE(SUBSTITUTE(H663,"(주)",""),"㈜",""),"주식회사","")," ","")</f>
        <v/>
      </c>
      <c r="AD663">
        <f>IF(AND(T663,AC663&lt;&gt;""),IF(COUNTIFS(AC$2:AC663,AC663,T$2:T663,TRUE)=1,MAX(AD$1:AD662)+1,""),"")</f>
        <v/>
      </c>
    </row>
    <row r="664">
      <c r="A664">
        <f>ROW()</f>
        <v/>
      </c>
      <c r="B664">
        <f>IF(설정!$C$4="","",IFERROR(INDEX('1.산군_붙여넣기'!$A$1:$AZ$1001,ROW(),설정!$C$4)&amp;"",""))</f>
        <v/>
      </c>
      <c r="C664">
        <f>IF(설정!$C$5="","",IFERROR(INDEX('1.산군_붙여넣기'!$A$1:$AZ$1001,ROW(),설정!$C$5)&amp;"",""))</f>
        <v/>
      </c>
      <c r="D664" s="5">
        <f>IFERROR(VALUE(SUBSTITUTE(SUBSTITUTE(SUBSTITUTE(IF(설정!$C$6="","",IFERROR(INDEX('1.산군_붙여넣기'!$A$1:$AZ$1001,ROW(),설정!$C$6)&amp;"","")),",",""),"㎡",""),"m2","")),"")</f>
        <v/>
      </c>
      <c r="E664">
        <f>IF(설정!$C$7="","",IFERROR(INDEX('1.산군_붙여넣기'!$A$1:$AZ$1001,ROW(),설정!$C$7)&amp;"",""))</f>
        <v/>
      </c>
      <c r="F664">
        <f>IF(설정!$C$8="","",IFERROR(INDEX('1.산군_붙여넣기'!$A$1:$AZ$1001,ROW(),설정!$C$8)&amp;"",""))</f>
        <v/>
      </c>
      <c r="G664">
        <f>IF(설정!$C$9="","",IFERROR(INDEX('1.산군_붙여넣기'!$A$1:$AZ$1001,ROW(),설정!$C$9)&amp;"",""))</f>
        <v/>
      </c>
      <c r="H664">
        <f>IF(설정!$C$10="","",IFERROR(INDEX('1.산군_붙여넣기'!$A$1:$AZ$1001,ROW(),설정!$C$10)&amp;"",""))</f>
        <v/>
      </c>
      <c r="I664">
        <f>IF(설정!$C$11="","",IFERROR(INDEX('1.산군_붙여넣기'!$A$1:$AZ$1001,ROW(),설정!$C$11)&amp;"",""))</f>
        <v/>
      </c>
      <c r="J664">
        <f>IF(설정!$C$12="","",IFERROR(INDEX('1.산군_붙여넣기'!$A$1:$AZ$1001,ROW(),설정!$C$12)&amp;"",""))</f>
        <v/>
      </c>
      <c r="K664">
        <f>IF(설정!$C$13="","",IFERROR(INDEX('1.산군_붙여넣기'!$A$1:$AZ$1001,ROW(),설정!$C$13)&amp;"",""))</f>
        <v/>
      </c>
      <c r="L664" s="7">
        <f>IF(X664="","",IF(AND(LEN(X664)=8,ISNUMBER(X664*1)),DATE(LEFT(X664,4),MID(X664,5,2),RIGHT(X664,2)),IFERROR(DATEVALUE(SUBSTITUTE(SUBSTITUTE(X664,".","-"),"/","-")),IFERROR(X664*1,""))))</f>
        <v/>
      </c>
      <c r="M664" s="7">
        <f>IF(Y664="","",IF(AND(LEN(Y664)=8,ISNUMBER(Y664*1)),DATE(LEFT(Y664,4),MID(Y664,5,2),RIGHT(Y664,2)),IFERROR(DATEVALUE(SUBSTITUTE(SUBSTITUTE(Y664,".","-"),"/","-")),IFERROR(Y664*1,""))))</f>
        <v/>
      </c>
      <c r="N664">
        <f>IFERROR(LEFT(B664,FIND(" ",B664)-1),B664)</f>
        <v/>
      </c>
      <c r="O664">
        <f>AND(B664&lt;&gt;"",B664&lt;&gt;설정!$B$4,C664&lt;&gt;설정!$B$5)</f>
        <v/>
      </c>
      <c r="P664">
        <f>IF(O664,B664&amp;"|"&amp;C664,"")</f>
        <v/>
      </c>
      <c r="Q664">
        <f>AND(O664,COUNTIF(P665:P$1002,P664)=0)</f>
        <v/>
      </c>
      <c r="R664">
        <f>OR(AND(설정!$A$42&lt;&gt;"",ISNUMBER(SEARCH(설정!$A$42,E664&amp;" "&amp;C664))),AND(설정!$A$43&lt;&gt;"",ISNUMBER(SEARCH(설정!$A$43,E664&amp;" "&amp;C664))),AND(설정!$A$44&lt;&gt;"",ISNUMBER(SEARCH(설정!$A$44,E664&amp;" "&amp;C664))),AND(설정!$A$45&lt;&gt;"",ISNUMBER(SEARCH(설정!$A$45,E664&amp;" "&amp;C664))),AND(설정!$A$46&lt;&gt;"",ISNUMBER(SEARCH(설정!$A$46,E664&amp;" "&amp;C664))),AND(설정!$A$47&lt;&gt;"",ISNUMBER(SEARCH(설정!$A$47,E664&amp;" "&amp;C664))),AND(설정!$A$48&lt;&gt;"",ISNUMBER(SEARCH(설정!$A$48,E664&amp;" "&amp;C664))),AND(설정!$A$49&lt;&gt;"",ISNUMBER(SEARCH(설정!$A$49,E664&amp;" "&amp;C664))),AND(설정!$A$50&lt;&gt;"",ISNUMBER(SEARCH(설정!$A$50,E664&amp;" "&amp;C664))),AND(설정!$A$51&lt;&gt;"",ISNUMBER(SEARCH(설정!$A$51,E664&amp;" "&amp;C664))))</f>
        <v/>
      </c>
      <c r="S664">
        <f>OR(D664="",D664&gt;=설정!$B$19)</f>
        <v/>
      </c>
      <c r="T664">
        <f>AND(Q664,R664,S664)</f>
        <v/>
      </c>
      <c r="U664">
        <f>IF(T664,IF(AND(설정!$A$54&lt;&gt;"",ISNUMBER(SEARCH(설정!$A$54,K664))),설정!$B$54,IF(AND(설정!$A$55&lt;&gt;"",ISNUMBER(SEARCH(설정!$A$55,K664))),설정!$B$55,IF(AND(설정!$A$56&lt;&gt;"",ISNUMBER(SEARCH(설정!$A$56,K664))),설정!$B$56,IF(AND(설정!$A$57&lt;&gt;"",ISNUMBER(SEARCH(설정!$A$57,K664))),설정!$B$57,IF(AND(설정!$A$58&lt;&gt;"",ISNUMBER(SEARCH(설정!$A$58,K664))),설정!$B$58,IF(AND(설정!$A$59&lt;&gt;"",ISNUMBER(SEARCH(설정!$A$59,K664))),설정!$B$59,IF(AND(설정!$A$60&lt;&gt;"",ISNUMBER(SEARCH(설정!$A$60,K664))),설정!$B$60,IF(AND(설정!$A$61&lt;&gt;"",ISNUMBER(SEARCH(설정!$A$61,K664))),설정!$B$61,IF(M664="","설계사","시공사"))))))))),"")</f>
        <v/>
      </c>
      <c r="V664">
        <f>SUBSTITUTE(SUBSTITUTE(SUBSTITUTE(SUBSTITUTE(G664,"(주)",""),"㈜",""),"주식회사","")," ","")</f>
        <v/>
      </c>
      <c r="W664">
        <f>IF(AND(T664,V664&lt;&gt;""),IF(COUNTIFS(V$2:V664,V664,T$2:T664,TRUE)=1,MAX(W$1:W663)+1,""),"")</f>
        <v/>
      </c>
      <c r="X664">
        <f>IF(설정!$C$14="","",IFERROR(INDEX('1.산군_붙여넣기'!$A$1:$AZ$1001,ROW(),설정!$C$14)&amp;"",""))</f>
        <v/>
      </c>
      <c r="Y664">
        <f>IF(설정!$C$15="","",IFERROR(INDEX('1.산군_붙여넣기'!$A$1:$AZ$1001,ROW(),설정!$C$15)&amp;"",""))</f>
        <v/>
      </c>
      <c r="Z664">
        <f>IF(T664,V664&amp;"|"&amp;U664,"")</f>
        <v/>
      </c>
      <c r="AA664">
        <f>IF(NOT(Q664),"",IF(NOT(AND(R664,S664)),"✕",IF(OR(OR(AND(L664&lt;&gt;"",M664&lt;&gt;"",N(M664)-N(L664)&gt;설정!$B$27),AND(L664&lt;&gt;"",M664="",설정!$B$24-N(L664)&gt;설정!$B$27)),AND(D664&lt;&gt;"",D664&lt;설정!$B$26)),"△","★")))</f>
        <v/>
      </c>
      <c r="AB664">
        <f>IF(NOT(T664),"",IF(U664="설계사",설정!$B$31,IF(U664="시공사",IF(OR(M664="",설정!$B$24-N(M664)&lt;=설정!$B$28*30.4),설정!$B$32,설정!$B$33),설정!$B$34))+IF(AA664="★",설정!$B$35,0))</f>
        <v/>
      </c>
      <c r="AC664">
        <f>SUBSTITUTE(SUBSTITUTE(SUBSTITUTE(SUBSTITUTE(H664,"(주)",""),"㈜",""),"주식회사","")," ","")</f>
        <v/>
      </c>
      <c r="AD664">
        <f>IF(AND(T664,AC664&lt;&gt;""),IF(COUNTIFS(AC$2:AC664,AC664,T$2:T664,TRUE)=1,MAX(AD$1:AD663)+1,""),"")</f>
        <v/>
      </c>
    </row>
    <row r="665">
      <c r="A665">
        <f>ROW()</f>
        <v/>
      </c>
      <c r="B665">
        <f>IF(설정!$C$4="","",IFERROR(INDEX('1.산군_붙여넣기'!$A$1:$AZ$1001,ROW(),설정!$C$4)&amp;"",""))</f>
        <v/>
      </c>
      <c r="C665">
        <f>IF(설정!$C$5="","",IFERROR(INDEX('1.산군_붙여넣기'!$A$1:$AZ$1001,ROW(),설정!$C$5)&amp;"",""))</f>
        <v/>
      </c>
      <c r="D665" s="5">
        <f>IFERROR(VALUE(SUBSTITUTE(SUBSTITUTE(SUBSTITUTE(IF(설정!$C$6="","",IFERROR(INDEX('1.산군_붙여넣기'!$A$1:$AZ$1001,ROW(),설정!$C$6)&amp;"","")),",",""),"㎡",""),"m2","")),"")</f>
        <v/>
      </c>
      <c r="E665">
        <f>IF(설정!$C$7="","",IFERROR(INDEX('1.산군_붙여넣기'!$A$1:$AZ$1001,ROW(),설정!$C$7)&amp;"",""))</f>
        <v/>
      </c>
      <c r="F665">
        <f>IF(설정!$C$8="","",IFERROR(INDEX('1.산군_붙여넣기'!$A$1:$AZ$1001,ROW(),설정!$C$8)&amp;"",""))</f>
        <v/>
      </c>
      <c r="G665">
        <f>IF(설정!$C$9="","",IFERROR(INDEX('1.산군_붙여넣기'!$A$1:$AZ$1001,ROW(),설정!$C$9)&amp;"",""))</f>
        <v/>
      </c>
      <c r="H665">
        <f>IF(설정!$C$10="","",IFERROR(INDEX('1.산군_붙여넣기'!$A$1:$AZ$1001,ROW(),설정!$C$10)&amp;"",""))</f>
        <v/>
      </c>
      <c r="I665">
        <f>IF(설정!$C$11="","",IFERROR(INDEX('1.산군_붙여넣기'!$A$1:$AZ$1001,ROW(),설정!$C$11)&amp;"",""))</f>
        <v/>
      </c>
      <c r="J665">
        <f>IF(설정!$C$12="","",IFERROR(INDEX('1.산군_붙여넣기'!$A$1:$AZ$1001,ROW(),설정!$C$12)&amp;"",""))</f>
        <v/>
      </c>
      <c r="K665">
        <f>IF(설정!$C$13="","",IFERROR(INDEX('1.산군_붙여넣기'!$A$1:$AZ$1001,ROW(),설정!$C$13)&amp;"",""))</f>
        <v/>
      </c>
      <c r="L665" s="7">
        <f>IF(X665="","",IF(AND(LEN(X665)=8,ISNUMBER(X665*1)),DATE(LEFT(X665,4),MID(X665,5,2),RIGHT(X665,2)),IFERROR(DATEVALUE(SUBSTITUTE(SUBSTITUTE(X665,".","-"),"/","-")),IFERROR(X665*1,""))))</f>
        <v/>
      </c>
      <c r="M665" s="7">
        <f>IF(Y665="","",IF(AND(LEN(Y665)=8,ISNUMBER(Y665*1)),DATE(LEFT(Y665,4),MID(Y665,5,2),RIGHT(Y665,2)),IFERROR(DATEVALUE(SUBSTITUTE(SUBSTITUTE(Y665,".","-"),"/","-")),IFERROR(Y665*1,""))))</f>
        <v/>
      </c>
      <c r="N665">
        <f>IFERROR(LEFT(B665,FIND(" ",B665)-1),B665)</f>
        <v/>
      </c>
      <c r="O665">
        <f>AND(B665&lt;&gt;"",B665&lt;&gt;설정!$B$4,C665&lt;&gt;설정!$B$5)</f>
        <v/>
      </c>
      <c r="P665">
        <f>IF(O665,B665&amp;"|"&amp;C665,"")</f>
        <v/>
      </c>
      <c r="Q665">
        <f>AND(O665,COUNTIF(P666:P$1002,P665)=0)</f>
        <v/>
      </c>
      <c r="R665">
        <f>OR(AND(설정!$A$42&lt;&gt;"",ISNUMBER(SEARCH(설정!$A$42,E665&amp;" "&amp;C665))),AND(설정!$A$43&lt;&gt;"",ISNUMBER(SEARCH(설정!$A$43,E665&amp;" "&amp;C665))),AND(설정!$A$44&lt;&gt;"",ISNUMBER(SEARCH(설정!$A$44,E665&amp;" "&amp;C665))),AND(설정!$A$45&lt;&gt;"",ISNUMBER(SEARCH(설정!$A$45,E665&amp;" "&amp;C665))),AND(설정!$A$46&lt;&gt;"",ISNUMBER(SEARCH(설정!$A$46,E665&amp;" "&amp;C665))),AND(설정!$A$47&lt;&gt;"",ISNUMBER(SEARCH(설정!$A$47,E665&amp;" "&amp;C665))),AND(설정!$A$48&lt;&gt;"",ISNUMBER(SEARCH(설정!$A$48,E665&amp;" "&amp;C665))),AND(설정!$A$49&lt;&gt;"",ISNUMBER(SEARCH(설정!$A$49,E665&amp;" "&amp;C665))),AND(설정!$A$50&lt;&gt;"",ISNUMBER(SEARCH(설정!$A$50,E665&amp;" "&amp;C665))),AND(설정!$A$51&lt;&gt;"",ISNUMBER(SEARCH(설정!$A$51,E665&amp;" "&amp;C665))))</f>
        <v/>
      </c>
      <c r="S665">
        <f>OR(D665="",D665&gt;=설정!$B$19)</f>
        <v/>
      </c>
      <c r="T665">
        <f>AND(Q665,R665,S665)</f>
        <v/>
      </c>
      <c r="U665">
        <f>IF(T665,IF(AND(설정!$A$54&lt;&gt;"",ISNUMBER(SEARCH(설정!$A$54,K665))),설정!$B$54,IF(AND(설정!$A$55&lt;&gt;"",ISNUMBER(SEARCH(설정!$A$55,K665))),설정!$B$55,IF(AND(설정!$A$56&lt;&gt;"",ISNUMBER(SEARCH(설정!$A$56,K665))),설정!$B$56,IF(AND(설정!$A$57&lt;&gt;"",ISNUMBER(SEARCH(설정!$A$57,K665))),설정!$B$57,IF(AND(설정!$A$58&lt;&gt;"",ISNUMBER(SEARCH(설정!$A$58,K665))),설정!$B$58,IF(AND(설정!$A$59&lt;&gt;"",ISNUMBER(SEARCH(설정!$A$59,K665))),설정!$B$59,IF(AND(설정!$A$60&lt;&gt;"",ISNUMBER(SEARCH(설정!$A$60,K665))),설정!$B$60,IF(AND(설정!$A$61&lt;&gt;"",ISNUMBER(SEARCH(설정!$A$61,K665))),설정!$B$61,IF(M665="","설계사","시공사"))))))))),"")</f>
        <v/>
      </c>
      <c r="V665">
        <f>SUBSTITUTE(SUBSTITUTE(SUBSTITUTE(SUBSTITUTE(G665,"(주)",""),"㈜",""),"주식회사","")," ","")</f>
        <v/>
      </c>
      <c r="W665">
        <f>IF(AND(T665,V665&lt;&gt;""),IF(COUNTIFS(V$2:V665,V665,T$2:T665,TRUE)=1,MAX(W$1:W664)+1,""),"")</f>
        <v/>
      </c>
      <c r="X665">
        <f>IF(설정!$C$14="","",IFERROR(INDEX('1.산군_붙여넣기'!$A$1:$AZ$1001,ROW(),설정!$C$14)&amp;"",""))</f>
        <v/>
      </c>
      <c r="Y665">
        <f>IF(설정!$C$15="","",IFERROR(INDEX('1.산군_붙여넣기'!$A$1:$AZ$1001,ROW(),설정!$C$15)&amp;"",""))</f>
        <v/>
      </c>
      <c r="Z665">
        <f>IF(T665,V665&amp;"|"&amp;U665,"")</f>
        <v/>
      </c>
      <c r="AA665">
        <f>IF(NOT(Q665),"",IF(NOT(AND(R665,S665)),"✕",IF(OR(OR(AND(L665&lt;&gt;"",M665&lt;&gt;"",N(M665)-N(L665)&gt;설정!$B$27),AND(L665&lt;&gt;"",M665="",설정!$B$24-N(L665)&gt;설정!$B$27)),AND(D665&lt;&gt;"",D665&lt;설정!$B$26)),"△","★")))</f>
        <v/>
      </c>
      <c r="AB665">
        <f>IF(NOT(T665),"",IF(U665="설계사",설정!$B$31,IF(U665="시공사",IF(OR(M665="",설정!$B$24-N(M665)&lt;=설정!$B$28*30.4),설정!$B$32,설정!$B$33),설정!$B$34))+IF(AA665="★",설정!$B$35,0))</f>
        <v/>
      </c>
      <c r="AC665">
        <f>SUBSTITUTE(SUBSTITUTE(SUBSTITUTE(SUBSTITUTE(H665,"(주)",""),"㈜",""),"주식회사","")," ","")</f>
        <v/>
      </c>
      <c r="AD665">
        <f>IF(AND(T665,AC665&lt;&gt;""),IF(COUNTIFS(AC$2:AC665,AC665,T$2:T665,TRUE)=1,MAX(AD$1:AD664)+1,""),"")</f>
        <v/>
      </c>
    </row>
    <row r="666">
      <c r="A666">
        <f>ROW()</f>
        <v/>
      </c>
      <c r="B666">
        <f>IF(설정!$C$4="","",IFERROR(INDEX('1.산군_붙여넣기'!$A$1:$AZ$1001,ROW(),설정!$C$4)&amp;"",""))</f>
        <v/>
      </c>
      <c r="C666">
        <f>IF(설정!$C$5="","",IFERROR(INDEX('1.산군_붙여넣기'!$A$1:$AZ$1001,ROW(),설정!$C$5)&amp;"",""))</f>
        <v/>
      </c>
      <c r="D666" s="5">
        <f>IFERROR(VALUE(SUBSTITUTE(SUBSTITUTE(SUBSTITUTE(IF(설정!$C$6="","",IFERROR(INDEX('1.산군_붙여넣기'!$A$1:$AZ$1001,ROW(),설정!$C$6)&amp;"","")),",",""),"㎡",""),"m2","")),"")</f>
        <v/>
      </c>
      <c r="E666">
        <f>IF(설정!$C$7="","",IFERROR(INDEX('1.산군_붙여넣기'!$A$1:$AZ$1001,ROW(),설정!$C$7)&amp;"",""))</f>
        <v/>
      </c>
      <c r="F666">
        <f>IF(설정!$C$8="","",IFERROR(INDEX('1.산군_붙여넣기'!$A$1:$AZ$1001,ROW(),설정!$C$8)&amp;"",""))</f>
        <v/>
      </c>
      <c r="G666">
        <f>IF(설정!$C$9="","",IFERROR(INDEX('1.산군_붙여넣기'!$A$1:$AZ$1001,ROW(),설정!$C$9)&amp;"",""))</f>
        <v/>
      </c>
      <c r="H666">
        <f>IF(설정!$C$10="","",IFERROR(INDEX('1.산군_붙여넣기'!$A$1:$AZ$1001,ROW(),설정!$C$10)&amp;"",""))</f>
        <v/>
      </c>
      <c r="I666">
        <f>IF(설정!$C$11="","",IFERROR(INDEX('1.산군_붙여넣기'!$A$1:$AZ$1001,ROW(),설정!$C$11)&amp;"",""))</f>
        <v/>
      </c>
      <c r="J666">
        <f>IF(설정!$C$12="","",IFERROR(INDEX('1.산군_붙여넣기'!$A$1:$AZ$1001,ROW(),설정!$C$12)&amp;"",""))</f>
        <v/>
      </c>
      <c r="K666">
        <f>IF(설정!$C$13="","",IFERROR(INDEX('1.산군_붙여넣기'!$A$1:$AZ$1001,ROW(),설정!$C$13)&amp;"",""))</f>
        <v/>
      </c>
      <c r="L666" s="7">
        <f>IF(X666="","",IF(AND(LEN(X666)=8,ISNUMBER(X666*1)),DATE(LEFT(X666,4),MID(X666,5,2),RIGHT(X666,2)),IFERROR(DATEVALUE(SUBSTITUTE(SUBSTITUTE(X666,".","-"),"/","-")),IFERROR(X666*1,""))))</f>
        <v/>
      </c>
      <c r="M666" s="7">
        <f>IF(Y666="","",IF(AND(LEN(Y666)=8,ISNUMBER(Y666*1)),DATE(LEFT(Y666,4),MID(Y666,5,2),RIGHT(Y666,2)),IFERROR(DATEVALUE(SUBSTITUTE(SUBSTITUTE(Y666,".","-"),"/","-")),IFERROR(Y666*1,""))))</f>
        <v/>
      </c>
      <c r="N666">
        <f>IFERROR(LEFT(B666,FIND(" ",B666)-1),B666)</f>
        <v/>
      </c>
      <c r="O666">
        <f>AND(B666&lt;&gt;"",B666&lt;&gt;설정!$B$4,C666&lt;&gt;설정!$B$5)</f>
        <v/>
      </c>
      <c r="P666">
        <f>IF(O666,B666&amp;"|"&amp;C666,"")</f>
        <v/>
      </c>
      <c r="Q666">
        <f>AND(O666,COUNTIF(P667:P$1002,P666)=0)</f>
        <v/>
      </c>
      <c r="R666">
        <f>OR(AND(설정!$A$42&lt;&gt;"",ISNUMBER(SEARCH(설정!$A$42,E666&amp;" "&amp;C666))),AND(설정!$A$43&lt;&gt;"",ISNUMBER(SEARCH(설정!$A$43,E666&amp;" "&amp;C666))),AND(설정!$A$44&lt;&gt;"",ISNUMBER(SEARCH(설정!$A$44,E666&amp;" "&amp;C666))),AND(설정!$A$45&lt;&gt;"",ISNUMBER(SEARCH(설정!$A$45,E666&amp;" "&amp;C666))),AND(설정!$A$46&lt;&gt;"",ISNUMBER(SEARCH(설정!$A$46,E666&amp;" "&amp;C666))),AND(설정!$A$47&lt;&gt;"",ISNUMBER(SEARCH(설정!$A$47,E666&amp;" "&amp;C666))),AND(설정!$A$48&lt;&gt;"",ISNUMBER(SEARCH(설정!$A$48,E666&amp;" "&amp;C666))),AND(설정!$A$49&lt;&gt;"",ISNUMBER(SEARCH(설정!$A$49,E666&amp;" "&amp;C666))),AND(설정!$A$50&lt;&gt;"",ISNUMBER(SEARCH(설정!$A$50,E666&amp;" "&amp;C666))),AND(설정!$A$51&lt;&gt;"",ISNUMBER(SEARCH(설정!$A$51,E666&amp;" "&amp;C666))))</f>
        <v/>
      </c>
      <c r="S666">
        <f>OR(D666="",D666&gt;=설정!$B$19)</f>
        <v/>
      </c>
      <c r="T666">
        <f>AND(Q666,R666,S666)</f>
        <v/>
      </c>
      <c r="U666">
        <f>IF(T666,IF(AND(설정!$A$54&lt;&gt;"",ISNUMBER(SEARCH(설정!$A$54,K666))),설정!$B$54,IF(AND(설정!$A$55&lt;&gt;"",ISNUMBER(SEARCH(설정!$A$55,K666))),설정!$B$55,IF(AND(설정!$A$56&lt;&gt;"",ISNUMBER(SEARCH(설정!$A$56,K666))),설정!$B$56,IF(AND(설정!$A$57&lt;&gt;"",ISNUMBER(SEARCH(설정!$A$57,K666))),설정!$B$57,IF(AND(설정!$A$58&lt;&gt;"",ISNUMBER(SEARCH(설정!$A$58,K666))),설정!$B$58,IF(AND(설정!$A$59&lt;&gt;"",ISNUMBER(SEARCH(설정!$A$59,K666))),설정!$B$59,IF(AND(설정!$A$60&lt;&gt;"",ISNUMBER(SEARCH(설정!$A$60,K666))),설정!$B$60,IF(AND(설정!$A$61&lt;&gt;"",ISNUMBER(SEARCH(설정!$A$61,K666))),설정!$B$61,IF(M666="","설계사","시공사"))))))))),"")</f>
        <v/>
      </c>
      <c r="V666">
        <f>SUBSTITUTE(SUBSTITUTE(SUBSTITUTE(SUBSTITUTE(G666,"(주)",""),"㈜",""),"주식회사","")," ","")</f>
        <v/>
      </c>
      <c r="W666">
        <f>IF(AND(T666,V666&lt;&gt;""),IF(COUNTIFS(V$2:V666,V666,T$2:T666,TRUE)=1,MAX(W$1:W665)+1,""),"")</f>
        <v/>
      </c>
      <c r="X666">
        <f>IF(설정!$C$14="","",IFERROR(INDEX('1.산군_붙여넣기'!$A$1:$AZ$1001,ROW(),설정!$C$14)&amp;"",""))</f>
        <v/>
      </c>
      <c r="Y666">
        <f>IF(설정!$C$15="","",IFERROR(INDEX('1.산군_붙여넣기'!$A$1:$AZ$1001,ROW(),설정!$C$15)&amp;"",""))</f>
        <v/>
      </c>
      <c r="Z666">
        <f>IF(T666,V666&amp;"|"&amp;U666,"")</f>
        <v/>
      </c>
      <c r="AA666">
        <f>IF(NOT(Q666),"",IF(NOT(AND(R666,S666)),"✕",IF(OR(OR(AND(L666&lt;&gt;"",M666&lt;&gt;"",N(M666)-N(L666)&gt;설정!$B$27),AND(L666&lt;&gt;"",M666="",설정!$B$24-N(L666)&gt;설정!$B$27)),AND(D666&lt;&gt;"",D666&lt;설정!$B$26)),"△","★")))</f>
        <v/>
      </c>
      <c r="AB666">
        <f>IF(NOT(T666),"",IF(U666="설계사",설정!$B$31,IF(U666="시공사",IF(OR(M666="",설정!$B$24-N(M666)&lt;=설정!$B$28*30.4),설정!$B$32,설정!$B$33),설정!$B$34))+IF(AA666="★",설정!$B$35,0))</f>
        <v/>
      </c>
      <c r="AC666">
        <f>SUBSTITUTE(SUBSTITUTE(SUBSTITUTE(SUBSTITUTE(H666,"(주)",""),"㈜",""),"주식회사","")," ","")</f>
        <v/>
      </c>
      <c r="AD666">
        <f>IF(AND(T666,AC666&lt;&gt;""),IF(COUNTIFS(AC$2:AC666,AC666,T$2:T666,TRUE)=1,MAX(AD$1:AD665)+1,""),"")</f>
        <v/>
      </c>
    </row>
    <row r="667">
      <c r="A667">
        <f>ROW()</f>
        <v/>
      </c>
      <c r="B667">
        <f>IF(설정!$C$4="","",IFERROR(INDEX('1.산군_붙여넣기'!$A$1:$AZ$1001,ROW(),설정!$C$4)&amp;"",""))</f>
        <v/>
      </c>
      <c r="C667">
        <f>IF(설정!$C$5="","",IFERROR(INDEX('1.산군_붙여넣기'!$A$1:$AZ$1001,ROW(),설정!$C$5)&amp;"",""))</f>
        <v/>
      </c>
      <c r="D667" s="5">
        <f>IFERROR(VALUE(SUBSTITUTE(SUBSTITUTE(SUBSTITUTE(IF(설정!$C$6="","",IFERROR(INDEX('1.산군_붙여넣기'!$A$1:$AZ$1001,ROW(),설정!$C$6)&amp;"","")),",",""),"㎡",""),"m2","")),"")</f>
        <v/>
      </c>
      <c r="E667">
        <f>IF(설정!$C$7="","",IFERROR(INDEX('1.산군_붙여넣기'!$A$1:$AZ$1001,ROW(),설정!$C$7)&amp;"",""))</f>
        <v/>
      </c>
      <c r="F667">
        <f>IF(설정!$C$8="","",IFERROR(INDEX('1.산군_붙여넣기'!$A$1:$AZ$1001,ROW(),설정!$C$8)&amp;"",""))</f>
        <v/>
      </c>
      <c r="G667">
        <f>IF(설정!$C$9="","",IFERROR(INDEX('1.산군_붙여넣기'!$A$1:$AZ$1001,ROW(),설정!$C$9)&amp;"",""))</f>
        <v/>
      </c>
      <c r="H667">
        <f>IF(설정!$C$10="","",IFERROR(INDEX('1.산군_붙여넣기'!$A$1:$AZ$1001,ROW(),설정!$C$10)&amp;"",""))</f>
        <v/>
      </c>
      <c r="I667">
        <f>IF(설정!$C$11="","",IFERROR(INDEX('1.산군_붙여넣기'!$A$1:$AZ$1001,ROW(),설정!$C$11)&amp;"",""))</f>
        <v/>
      </c>
      <c r="J667">
        <f>IF(설정!$C$12="","",IFERROR(INDEX('1.산군_붙여넣기'!$A$1:$AZ$1001,ROW(),설정!$C$12)&amp;"",""))</f>
        <v/>
      </c>
      <c r="K667">
        <f>IF(설정!$C$13="","",IFERROR(INDEX('1.산군_붙여넣기'!$A$1:$AZ$1001,ROW(),설정!$C$13)&amp;"",""))</f>
        <v/>
      </c>
      <c r="L667" s="7">
        <f>IF(X667="","",IF(AND(LEN(X667)=8,ISNUMBER(X667*1)),DATE(LEFT(X667,4),MID(X667,5,2),RIGHT(X667,2)),IFERROR(DATEVALUE(SUBSTITUTE(SUBSTITUTE(X667,".","-"),"/","-")),IFERROR(X667*1,""))))</f>
        <v/>
      </c>
      <c r="M667" s="7">
        <f>IF(Y667="","",IF(AND(LEN(Y667)=8,ISNUMBER(Y667*1)),DATE(LEFT(Y667,4),MID(Y667,5,2),RIGHT(Y667,2)),IFERROR(DATEVALUE(SUBSTITUTE(SUBSTITUTE(Y667,".","-"),"/","-")),IFERROR(Y667*1,""))))</f>
        <v/>
      </c>
      <c r="N667">
        <f>IFERROR(LEFT(B667,FIND(" ",B667)-1),B667)</f>
        <v/>
      </c>
      <c r="O667">
        <f>AND(B667&lt;&gt;"",B667&lt;&gt;설정!$B$4,C667&lt;&gt;설정!$B$5)</f>
        <v/>
      </c>
      <c r="P667">
        <f>IF(O667,B667&amp;"|"&amp;C667,"")</f>
        <v/>
      </c>
      <c r="Q667">
        <f>AND(O667,COUNTIF(P668:P$1002,P667)=0)</f>
        <v/>
      </c>
      <c r="R667">
        <f>OR(AND(설정!$A$42&lt;&gt;"",ISNUMBER(SEARCH(설정!$A$42,E667&amp;" "&amp;C667))),AND(설정!$A$43&lt;&gt;"",ISNUMBER(SEARCH(설정!$A$43,E667&amp;" "&amp;C667))),AND(설정!$A$44&lt;&gt;"",ISNUMBER(SEARCH(설정!$A$44,E667&amp;" "&amp;C667))),AND(설정!$A$45&lt;&gt;"",ISNUMBER(SEARCH(설정!$A$45,E667&amp;" "&amp;C667))),AND(설정!$A$46&lt;&gt;"",ISNUMBER(SEARCH(설정!$A$46,E667&amp;" "&amp;C667))),AND(설정!$A$47&lt;&gt;"",ISNUMBER(SEARCH(설정!$A$47,E667&amp;" "&amp;C667))),AND(설정!$A$48&lt;&gt;"",ISNUMBER(SEARCH(설정!$A$48,E667&amp;" "&amp;C667))),AND(설정!$A$49&lt;&gt;"",ISNUMBER(SEARCH(설정!$A$49,E667&amp;" "&amp;C667))),AND(설정!$A$50&lt;&gt;"",ISNUMBER(SEARCH(설정!$A$50,E667&amp;" "&amp;C667))),AND(설정!$A$51&lt;&gt;"",ISNUMBER(SEARCH(설정!$A$51,E667&amp;" "&amp;C667))))</f>
        <v/>
      </c>
      <c r="S667">
        <f>OR(D667="",D667&gt;=설정!$B$19)</f>
        <v/>
      </c>
      <c r="T667">
        <f>AND(Q667,R667,S667)</f>
        <v/>
      </c>
      <c r="U667">
        <f>IF(T667,IF(AND(설정!$A$54&lt;&gt;"",ISNUMBER(SEARCH(설정!$A$54,K667))),설정!$B$54,IF(AND(설정!$A$55&lt;&gt;"",ISNUMBER(SEARCH(설정!$A$55,K667))),설정!$B$55,IF(AND(설정!$A$56&lt;&gt;"",ISNUMBER(SEARCH(설정!$A$56,K667))),설정!$B$56,IF(AND(설정!$A$57&lt;&gt;"",ISNUMBER(SEARCH(설정!$A$57,K667))),설정!$B$57,IF(AND(설정!$A$58&lt;&gt;"",ISNUMBER(SEARCH(설정!$A$58,K667))),설정!$B$58,IF(AND(설정!$A$59&lt;&gt;"",ISNUMBER(SEARCH(설정!$A$59,K667))),설정!$B$59,IF(AND(설정!$A$60&lt;&gt;"",ISNUMBER(SEARCH(설정!$A$60,K667))),설정!$B$60,IF(AND(설정!$A$61&lt;&gt;"",ISNUMBER(SEARCH(설정!$A$61,K667))),설정!$B$61,IF(M667="","설계사","시공사"))))))))),"")</f>
        <v/>
      </c>
      <c r="V667">
        <f>SUBSTITUTE(SUBSTITUTE(SUBSTITUTE(SUBSTITUTE(G667,"(주)",""),"㈜",""),"주식회사","")," ","")</f>
        <v/>
      </c>
      <c r="W667">
        <f>IF(AND(T667,V667&lt;&gt;""),IF(COUNTIFS(V$2:V667,V667,T$2:T667,TRUE)=1,MAX(W$1:W666)+1,""),"")</f>
        <v/>
      </c>
      <c r="X667">
        <f>IF(설정!$C$14="","",IFERROR(INDEX('1.산군_붙여넣기'!$A$1:$AZ$1001,ROW(),설정!$C$14)&amp;"",""))</f>
        <v/>
      </c>
      <c r="Y667">
        <f>IF(설정!$C$15="","",IFERROR(INDEX('1.산군_붙여넣기'!$A$1:$AZ$1001,ROW(),설정!$C$15)&amp;"",""))</f>
        <v/>
      </c>
      <c r="Z667">
        <f>IF(T667,V667&amp;"|"&amp;U667,"")</f>
        <v/>
      </c>
      <c r="AA667">
        <f>IF(NOT(Q667),"",IF(NOT(AND(R667,S667)),"✕",IF(OR(OR(AND(L667&lt;&gt;"",M667&lt;&gt;"",N(M667)-N(L667)&gt;설정!$B$27),AND(L667&lt;&gt;"",M667="",설정!$B$24-N(L667)&gt;설정!$B$27)),AND(D667&lt;&gt;"",D667&lt;설정!$B$26)),"△","★")))</f>
        <v/>
      </c>
      <c r="AB667">
        <f>IF(NOT(T667),"",IF(U667="설계사",설정!$B$31,IF(U667="시공사",IF(OR(M667="",설정!$B$24-N(M667)&lt;=설정!$B$28*30.4),설정!$B$32,설정!$B$33),설정!$B$34))+IF(AA667="★",설정!$B$35,0))</f>
        <v/>
      </c>
      <c r="AC667">
        <f>SUBSTITUTE(SUBSTITUTE(SUBSTITUTE(SUBSTITUTE(H667,"(주)",""),"㈜",""),"주식회사","")," ","")</f>
        <v/>
      </c>
      <c r="AD667">
        <f>IF(AND(T667,AC667&lt;&gt;""),IF(COUNTIFS(AC$2:AC667,AC667,T$2:T667,TRUE)=1,MAX(AD$1:AD666)+1,""),"")</f>
        <v/>
      </c>
    </row>
    <row r="668">
      <c r="A668">
        <f>ROW()</f>
        <v/>
      </c>
      <c r="B668">
        <f>IF(설정!$C$4="","",IFERROR(INDEX('1.산군_붙여넣기'!$A$1:$AZ$1001,ROW(),설정!$C$4)&amp;"",""))</f>
        <v/>
      </c>
      <c r="C668">
        <f>IF(설정!$C$5="","",IFERROR(INDEX('1.산군_붙여넣기'!$A$1:$AZ$1001,ROW(),설정!$C$5)&amp;"",""))</f>
        <v/>
      </c>
      <c r="D668" s="5">
        <f>IFERROR(VALUE(SUBSTITUTE(SUBSTITUTE(SUBSTITUTE(IF(설정!$C$6="","",IFERROR(INDEX('1.산군_붙여넣기'!$A$1:$AZ$1001,ROW(),설정!$C$6)&amp;"","")),",",""),"㎡",""),"m2","")),"")</f>
        <v/>
      </c>
      <c r="E668">
        <f>IF(설정!$C$7="","",IFERROR(INDEX('1.산군_붙여넣기'!$A$1:$AZ$1001,ROW(),설정!$C$7)&amp;"",""))</f>
        <v/>
      </c>
      <c r="F668">
        <f>IF(설정!$C$8="","",IFERROR(INDEX('1.산군_붙여넣기'!$A$1:$AZ$1001,ROW(),설정!$C$8)&amp;"",""))</f>
        <v/>
      </c>
      <c r="G668">
        <f>IF(설정!$C$9="","",IFERROR(INDEX('1.산군_붙여넣기'!$A$1:$AZ$1001,ROW(),설정!$C$9)&amp;"",""))</f>
        <v/>
      </c>
      <c r="H668">
        <f>IF(설정!$C$10="","",IFERROR(INDEX('1.산군_붙여넣기'!$A$1:$AZ$1001,ROW(),설정!$C$10)&amp;"",""))</f>
        <v/>
      </c>
      <c r="I668">
        <f>IF(설정!$C$11="","",IFERROR(INDEX('1.산군_붙여넣기'!$A$1:$AZ$1001,ROW(),설정!$C$11)&amp;"",""))</f>
        <v/>
      </c>
      <c r="J668">
        <f>IF(설정!$C$12="","",IFERROR(INDEX('1.산군_붙여넣기'!$A$1:$AZ$1001,ROW(),설정!$C$12)&amp;"",""))</f>
        <v/>
      </c>
      <c r="K668">
        <f>IF(설정!$C$13="","",IFERROR(INDEX('1.산군_붙여넣기'!$A$1:$AZ$1001,ROW(),설정!$C$13)&amp;"",""))</f>
        <v/>
      </c>
      <c r="L668" s="7">
        <f>IF(X668="","",IF(AND(LEN(X668)=8,ISNUMBER(X668*1)),DATE(LEFT(X668,4),MID(X668,5,2),RIGHT(X668,2)),IFERROR(DATEVALUE(SUBSTITUTE(SUBSTITUTE(X668,".","-"),"/","-")),IFERROR(X668*1,""))))</f>
        <v/>
      </c>
      <c r="M668" s="7">
        <f>IF(Y668="","",IF(AND(LEN(Y668)=8,ISNUMBER(Y668*1)),DATE(LEFT(Y668,4),MID(Y668,5,2),RIGHT(Y668,2)),IFERROR(DATEVALUE(SUBSTITUTE(SUBSTITUTE(Y668,".","-"),"/","-")),IFERROR(Y668*1,""))))</f>
        <v/>
      </c>
      <c r="N668">
        <f>IFERROR(LEFT(B668,FIND(" ",B668)-1),B668)</f>
        <v/>
      </c>
      <c r="O668">
        <f>AND(B668&lt;&gt;"",B668&lt;&gt;설정!$B$4,C668&lt;&gt;설정!$B$5)</f>
        <v/>
      </c>
      <c r="P668">
        <f>IF(O668,B668&amp;"|"&amp;C668,"")</f>
        <v/>
      </c>
      <c r="Q668">
        <f>AND(O668,COUNTIF(P669:P$1002,P668)=0)</f>
        <v/>
      </c>
      <c r="R668">
        <f>OR(AND(설정!$A$42&lt;&gt;"",ISNUMBER(SEARCH(설정!$A$42,E668&amp;" "&amp;C668))),AND(설정!$A$43&lt;&gt;"",ISNUMBER(SEARCH(설정!$A$43,E668&amp;" "&amp;C668))),AND(설정!$A$44&lt;&gt;"",ISNUMBER(SEARCH(설정!$A$44,E668&amp;" "&amp;C668))),AND(설정!$A$45&lt;&gt;"",ISNUMBER(SEARCH(설정!$A$45,E668&amp;" "&amp;C668))),AND(설정!$A$46&lt;&gt;"",ISNUMBER(SEARCH(설정!$A$46,E668&amp;" "&amp;C668))),AND(설정!$A$47&lt;&gt;"",ISNUMBER(SEARCH(설정!$A$47,E668&amp;" "&amp;C668))),AND(설정!$A$48&lt;&gt;"",ISNUMBER(SEARCH(설정!$A$48,E668&amp;" "&amp;C668))),AND(설정!$A$49&lt;&gt;"",ISNUMBER(SEARCH(설정!$A$49,E668&amp;" "&amp;C668))),AND(설정!$A$50&lt;&gt;"",ISNUMBER(SEARCH(설정!$A$50,E668&amp;" "&amp;C668))),AND(설정!$A$51&lt;&gt;"",ISNUMBER(SEARCH(설정!$A$51,E668&amp;" "&amp;C668))))</f>
        <v/>
      </c>
      <c r="S668">
        <f>OR(D668="",D668&gt;=설정!$B$19)</f>
        <v/>
      </c>
      <c r="T668">
        <f>AND(Q668,R668,S668)</f>
        <v/>
      </c>
      <c r="U668">
        <f>IF(T668,IF(AND(설정!$A$54&lt;&gt;"",ISNUMBER(SEARCH(설정!$A$54,K668))),설정!$B$54,IF(AND(설정!$A$55&lt;&gt;"",ISNUMBER(SEARCH(설정!$A$55,K668))),설정!$B$55,IF(AND(설정!$A$56&lt;&gt;"",ISNUMBER(SEARCH(설정!$A$56,K668))),설정!$B$56,IF(AND(설정!$A$57&lt;&gt;"",ISNUMBER(SEARCH(설정!$A$57,K668))),설정!$B$57,IF(AND(설정!$A$58&lt;&gt;"",ISNUMBER(SEARCH(설정!$A$58,K668))),설정!$B$58,IF(AND(설정!$A$59&lt;&gt;"",ISNUMBER(SEARCH(설정!$A$59,K668))),설정!$B$59,IF(AND(설정!$A$60&lt;&gt;"",ISNUMBER(SEARCH(설정!$A$60,K668))),설정!$B$60,IF(AND(설정!$A$61&lt;&gt;"",ISNUMBER(SEARCH(설정!$A$61,K668))),설정!$B$61,IF(M668="","설계사","시공사"))))))))),"")</f>
        <v/>
      </c>
      <c r="V668">
        <f>SUBSTITUTE(SUBSTITUTE(SUBSTITUTE(SUBSTITUTE(G668,"(주)",""),"㈜",""),"주식회사","")," ","")</f>
        <v/>
      </c>
      <c r="W668">
        <f>IF(AND(T668,V668&lt;&gt;""),IF(COUNTIFS(V$2:V668,V668,T$2:T668,TRUE)=1,MAX(W$1:W667)+1,""),"")</f>
        <v/>
      </c>
      <c r="X668">
        <f>IF(설정!$C$14="","",IFERROR(INDEX('1.산군_붙여넣기'!$A$1:$AZ$1001,ROW(),설정!$C$14)&amp;"",""))</f>
        <v/>
      </c>
      <c r="Y668">
        <f>IF(설정!$C$15="","",IFERROR(INDEX('1.산군_붙여넣기'!$A$1:$AZ$1001,ROW(),설정!$C$15)&amp;"",""))</f>
        <v/>
      </c>
      <c r="Z668">
        <f>IF(T668,V668&amp;"|"&amp;U668,"")</f>
        <v/>
      </c>
      <c r="AA668">
        <f>IF(NOT(Q668),"",IF(NOT(AND(R668,S668)),"✕",IF(OR(OR(AND(L668&lt;&gt;"",M668&lt;&gt;"",N(M668)-N(L668)&gt;설정!$B$27),AND(L668&lt;&gt;"",M668="",설정!$B$24-N(L668)&gt;설정!$B$27)),AND(D668&lt;&gt;"",D668&lt;설정!$B$26)),"△","★")))</f>
        <v/>
      </c>
      <c r="AB668">
        <f>IF(NOT(T668),"",IF(U668="설계사",설정!$B$31,IF(U668="시공사",IF(OR(M668="",설정!$B$24-N(M668)&lt;=설정!$B$28*30.4),설정!$B$32,설정!$B$33),설정!$B$34))+IF(AA668="★",설정!$B$35,0))</f>
        <v/>
      </c>
      <c r="AC668">
        <f>SUBSTITUTE(SUBSTITUTE(SUBSTITUTE(SUBSTITUTE(H668,"(주)",""),"㈜",""),"주식회사","")," ","")</f>
        <v/>
      </c>
      <c r="AD668">
        <f>IF(AND(T668,AC668&lt;&gt;""),IF(COUNTIFS(AC$2:AC668,AC668,T$2:T668,TRUE)=1,MAX(AD$1:AD667)+1,""),"")</f>
        <v/>
      </c>
    </row>
    <row r="669">
      <c r="A669">
        <f>ROW()</f>
        <v/>
      </c>
      <c r="B669">
        <f>IF(설정!$C$4="","",IFERROR(INDEX('1.산군_붙여넣기'!$A$1:$AZ$1001,ROW(),설정!$C$4)&amp;"",""))</f>
        <v/>
      </c>
      <c r="C669">
        <f>IF(설정!$C$5="","",IFERROR(INDEX('1.산군_붙여넣기'!$A$1:$AZ$1001,ROW(),설정!$C$5)&amp;"",""))</f>
        <v/>
      </c>
      <c r="D669" s="5">
        <f>IFERROR(VALUE(SUBSTITUTE(SUBSTITUTE(SUBSTITUTE(IF(설정!$C$6="","",IFERROR(INDEX('1.산군_붙여넣기'!$A$1:$AZ$1001,ROW(),설정!$C$6)&amp;"","")),",",""),"㎡",""),"m2","")),"")</f>
        <v/>
      </c>
      <c r="E669">
        <f>IF(설정!$C$7="","",IFERROR(INDEX('1.산군_붙여넣기'!$A$1:$AZ$1001,ROW(),설정!$C$7)&amp;"",""))</f>
        <v/>
      </c>
      <c r="F669">
        <f>IF(설정!$C$8="","",IFERROR(INDEX('1.산군_붙여넣기'!$A$1:$AZ$1001,ROW(),설정!$C$8)&amp;"",""))</f>
        <v/>
      </c>
      <c r="G669">
        <f>IF(설정!$C$9="","",IFERROR(INDEX('1.산군_붙여넣기'!$A$1:$AZ$1001,ROW(),설정!$C$9)&amp;"",""))</f>
        <v/>
      </c>
      <c r="H669">
        <f>IF(설정!$C$10="","",IFERROR(INDEX('1.산군_붙여넣기'!$A$1:$AZ$1001,ROW(),설정!$C$10)&amp;"",""))</f>
        <v/>
      </c>
      <c r="I669">
        <f>IF(설정!$C$11="","",IFERROR(INDEX('1.산군_붙여넣기'!$A$1:$AZ$1001,ROW(),설정!$C$11)&amp;"",""))</f>
        <v/>
      </c>
      <c r="J669">
        <f>IF(설정!$C$12="","",IFERROR(INDEX('1.산군_붙여넣기'!$A$1:$AZ$1001,ROW(),설정!$C$12)&amp;"",""))</f>
        <v/>
      </c>
      <c r="K669">
        <f>IF(설정!$C$13="","",IFERROR(INDEX('1.산군_붙여넣기'!$A$1:$AZ$1001,ROW(),설정!$C$13)&amp;"",""))</f>
        <v/>
      </c>
      <c r="L669" s="7">
        <f>IF(X669="","",IF(AND(LEN(X669)=8,ISNUMBER(X669*1)),DATE(LEFT(X669,4),MID(X669,5,2),RIGHT(X669,2)),IFERROR(DATEVALUE(SUBSTITUTE(SUBSTITUTE(X669,".","-"),"/","-")),IFERROR(X669*1,""))))</f>
        <v/>
      </c>
      <c r="M669" s="7">
        <f>IF(Y669="","",IF(AND(LEN(Y669)=8,ISNUMBER(Y669*1)),DATE(LEFT(Y669,4),MID(Y669,5,2),RIGHT(Y669,2)),IFERROR(DATEVALUE(SUBSTITUTE(SUBSTITUTE(Y669,".","-"),"/","-")),IFERROR(Y669*1,""))))</f>
        <v/>
      </c>
      <c r="N669">
        <f>IFERROR(LEFT(B669,FIND(" ",B669)-1),B669)</f>
        <v/>
      </c>
      <c r="O669">
        <f>AND(B669&lt;&gt;"",B669&lt;&gt;설정!$B$4,C669&lt;&gt;설정!$B$5)</f>
        <v/>
      </c>
      <c r="P669">
        <f>IF(O669,B669&amp;"|"&amp;C669,"")</f>
        <v/>
      </c>
      <c r="Q669">
        <f>AND(O669,COUNTIF(P670:P$1002,P669)=0)</f>
        <v/>
      </c>
      <c r="R669">
        <f>OR(AND(설정!$A$42&lt;&gt;"",ISNUMBER(SEARCH(설정!$A$42,E669&amp;" "&amp;C669))),AND(설정!$A$43&lt;&gt;"",ISNUMBER(SEARCH(설정!$A$43,E669&amp;" "&amp;C669))),AND(설정!$A$44&lt;&gt;"",ISNUMBER(SEARCH(설정!$A$44,E669&amp;" "&amp;C669))),AND(설정!$A$45&lt;&gt;"",ISNUMBER(SEARCH(설정!$A$45,E669&amp;" "&amp;C669))),AND(설정!$A$46&lt;&gt;"",ISNUMBER(SEARCH(설정!$A$46,E669&amp;" "&amp;C669))),AND(설정!$A$47&lt;&gt;"",ISNUMBER(SEARCH(설정!$A$47,E669&amp;" "&amp;C669))),AND(설정!$A$48&lt;&gt;"",ISNUMBER(SEARCH(설정!$A$48,E669&amp;" "&amp;C669))),AND(설정!$A$49&lt;&gt;"",ISNUMBER(SEARCH(설정!$A$49,E669&amp;" "&amp;C669))),AND(설정!$A$50&lt;&gt;"",ISNUMBER(SEARCH(설정!$A$50,E669&amp;" "&amp;C669))),AND(설정!$A$51&lt;&gt;"",ISNUMBER(SEARCH(설정!$A$51,E669&amp;" "&amp;C669))))</f>
        <v/>
      </c>
      <c r="S669">
        <f>OR(D669="",D669&gt;=설정!$B$19)</f>
        <v/>
      </c>
      <c r="T669">
        <f>AND(Q669,R669,S669)</f>
        <v/>
      </c>
      <c r="U669">
        <f>IF(T669,IF(AND(설정!$A$54&lt;&gt;"",ISNUMBER(SEARCH(설정!$A$54,K669))),설정!$B$54,IF(AND(설정!$A$55&lt;&gt;"",ISNUMBER(SEARCH(설정!$A$55,K669))),설정!$B$55,IF(AND(설정!$A$56&lt;&gt;"",ISNUMBER(SEARCH(설정!$A$56,K669))),설정!$B$56,IF(AND(설정!$A$57&lt;&gt;"",ISNUMBER(SEARCH(설정!$A$57,K669))),설정!$B$57,IF(AND(설정!$A$58&lt;&gt;"",ISNUMBER(SEARCH(설정!$A$58,K669))),설정!$B$58,IF(AND(설정!$A$59&lt;&gt;"",ISNUMBER(SEARCH(설정!$A$59,K669))),설정!$B$59,IF(AND(설정!$A$60&lt;&gt;"",ISNUMBER(SEARCH(설정!$A$60,K669))),설정!$B$60,IF(AND(설정!$A$61&lt;&gt;"",ISNUMBER(SEARCH(설정!$A$61,K669))),설정!$B$61,IF(M669="","설계사","시공사"))))))))),"")</f>
        <v/>
      </c>
      <c r="V669">
        <f>SUBSTITUTE(SUBSTITUTE(SUBSTITUTE(SUBSTITUTE(G669,"(주)",""),"㈜",""),"주식회사","")," ","")</f>
        <v/>
      </c>
      <c r="W669">
        <f>IF(AND(T669,V669&lt;&gt;""),IF(COUNTIFS(V$2:V669,V669,T$2:T669,TRUE)=1,MAX(W$1:W668)+1,""),"")</f>
        <v/>
      </c>
      <c r="X669">
        <f>IF(설정!$C$14="","",IFERROR(INDEX('1.산군_붙여넣기'!$A$1:$AZ$1001,ROW(),설정!$C$14)&amp;"",""))</f>
        <v/>
      </c>
      <c r="Y669">
        <f>IF(설정!$C$15="","",IFERROR(INDEX('1.산군_붙여넣기'!$A$1:$AZ$1001,ROW(),설정!$C$15)&amp;"",""))</f>
        <v/>
      </c>
      <c r="Z669">
        <f>IF(T669,V669&amp;"|"&amp;U669,"")</f>
        <v/>
      </c>
      <c r="AA669">
        <f>IF(NOT(Q669),"",IF(NOT(AND(R669,S669)),"✕",IF(OR(OR(AND(L669&lt;&gt;"",M669&lt;&gt;"",N(M669)-N(L669)&gt;설정!$B$27),AND(L669&lt;&gt;"",M669="",설정!$B$24-N(L669)&gt;설정!$B$27)),AND(D669&lt;&gt;"",D669&lt;설정!$B$26)),"△","★")))</f>
        <v/>
      </c>
      <c r="AB669">
        <f>IF(NOT(T669),"",IF(U669="설계사",설정!$B$31,IF(U669="시공사",IF(OR(M669="",설정!$B$24-N(M669)&lt;=설정!$B$28*30.4),설정!$B$32,설정!$B$33),설정!$B$34))+IF(AA669="★",설정!$B$35,0))</f>
        <v/>
      </c>
      <c r="AC669">
        <f>SUBSTITUTE(SUBSTITUTE(SUBSTITUTE(SUBSTITUTE(H669,"(주)",""),"㈜",""),"주식회사","")," ","")</f>
        <v/>
      </c>
      <c r="AD669">
        <f>IF(AND(T669,AC669&lt;&gt;""),IF(COUNTIFS(AC$2:AC669,AC669,T$2:T669,TRUE)=1,MAX(AD$1:AD668)+1,""),"")</f>
        <v/>
      </c>
    </row>
    <row r="670">
      <c r="A670">
        <f>ROW()</f>
        <v/>
      </c>
      <c r="B670">
        <f>IF(설정!$C$4="","",IFERROR(INDEX('1.산군_붙여넣기'!$A$1:$AZ$1001,ROW(),설정!$C$4)&amp;"",""))</f>
        <v/>
      </c>
      <c r="C670">
        <f>IF(설정!$C$5="","",IFERROR(INDEX('1.산군_붙여넣기'!$A$1:$AZ$1001,ROW(),설정!$C$5)&amp;"",""))</f>
        <v/>
      </c>
      <c r="D670" s="5">
        <f>IFERROR(VALUE(SUBSTITUTE(SUBSTITUTE(SUBSTITUTE(IF(설정!$C$6="","",IFERROR(INDEX('1.산군_붙여넣기'!$A$1:$AZ$1001,ROW(),설정!$C$6)&amp;"","")),",",""),"㎡",""),"m2","")),"")</f>
        <v/>
      </c>
      <c r="E670">
        <f>IF(설정!$C$7="","",IFERROR(INDEX('1.산군_붙여넣기'!$A$1:$AZ$1001,ROW(),설정!$C$7)&amp;"",""))</f>
        <v/>
      </c>
      <c r="F670">
        <f>IF(설정!$C$8="","",IFERROR(INDEX('1.산군_붙여넣기'!$A$1:$AZ$1001,ROW(),설정!$C$8)&amp;"",""))</f>
        <v/>
      </c>
      <c r="G670">
        <f>IF(설정!$C$9="","",IFERROR(INDEX('1.산군_붙여넣기'!$A$1:$AZ$1001,ROW(),설정!$C$9)&amp;"",""))</f>
        <v/>
      </c>
      <c r="H670">
        <f>IF(설정!$C$10="","",IFERROR(INDEX('1.산군_붙여넣기'!$A$1:$AZ$1001,ROW(),설정!$C$10)&amp;"",""))</f>
        <v/>
      </c>
      <c r="I670">
        <f>IF(설정!$C$11="","",IFERROR(INDEX('1.산군_붙여넣기'!$A$1:$AZ$1001,ROW(),설정!$C$11)&amp;"",""))</f>
        <v/>
      </c>
      <c r="J670">
        <f>IF(설정!$C$12="","",IFERROR(INDEX('1.산군_붙여넣기'!$A$1:$AZ$1001,ROW(),설정!$C$12)&amp;"",""))</f>
        <v/>
      </c>
      <c r="K670">
        <f>IF(설정!$C$13="","",IFERROR(INDEX('1.산군_붙여넣기'!$A$1:$AZ$1001,ROW(),설정!$C$13)&amp;"",""))</f>
        <v/>
      </c>
      <c r="L670" s="7">
        <f>IF(X670="","",IF(AND(LEN(X670)=8,ISNUMBER(X670*1)),DATE(LEFT(X670,4),MID(X670,5,2),RIGHT(X670,2)),IFERROR(DATEVALUE(SUBSTITUTE(SUBSTITUTE(X670,".","-"),"/","-")),IFERROR(X670*1,""))))</f>
        <v/>
      </c>
      <c r="M670" s="7">
        <f>IF(Y670="","",IF(AND(LEN(Y670)=8,ISNUMBER(Y670*1)),DATE(LEFT(Y670,4),MID(Y670,5,2),RIGHT(Y670,2)),IFERROR(DATEVALUE(SUBSTITUTE(SUBSTITUTE(Y670,".","-"),"/","-")),IFERROR(Y670*1,""))))</f>
        <v/>
      </c>
      <c r="N670">
        <f>IFERROR(LEFT(B670,FIND(" ",B670)-1),B670)</f>
        <v/>
      </c>
      <c r="O670">
        <f>AND(B670&lt;&gt;"",B670&lt;&gt;설정!$B$4,C670&lt;&gt;설정!$B$5)</f>
        <v/>
      </c>
      <c r="P670">
        <f>IF(O670,B670&amp;"|"&amp;C670,"")</f>
        <v/>
      </c>
      <c r="Q670">
        <f>AND(O670,COUNTIF(P671:P$1002,P670)=0)</f>
        <v/>
      </c>
      <c r="R670">
        <f>OR(AND(설정!$A$42&lt;&gt;"",ISNUMBER(SEARCH(설정!$A$42,E670&amp;" "&amp;C670))),AND(설정!$A$43&lt;&gt;"",ISNUMBER(SEARCH(설정!$A$43,E670&amp;" "&amp;C670))),AND(설정!$A$44&lt;&gt;"",ISNUMBER(SEARCH(설정!$A$44,E670&amp;" "&amp;C670))),AND(설정!$A$45&lt;&gt;"",ISNUMBER(SEARCH(설정!$A$45,E670&amp;" "&amp;C670))),AND(설정!$A$46&lt;&gt;"",ISNUMBER(SEARCH(설정!$A$46,E670&amp;" "&amp;C670))),AND(설정!$A$47&lt;&gt;"",ISNUMBER(SEARCH(설정!$A$47,E670&amp;" "&amp;C670))),AND(설정!$A$48&lt;&gt;"",ISNUMBER(SEARCH(설정!$A$48,E670&amp;" "&amp;C670))),AND(설정!$A$49&lt;&gt;"",ISNUMBER(SEARCH(설정!$A$49,E670&amp;" "&amp;C670))),AND(설정!$A$50&lt;&gt;"",ISNUMBER(SEARCH(설정!$A$50,E670&amp;" "&amp;C670))),AND(설정!$A$51&lt;&gt;"",ISNUMBER(SEARCH(설정!$A$51,E670&amp;" "&amp;C670))))</f>
        <v/>
      </c>
      <c r="S670">
        <f>OR(D670="",D670&gt;=설정!$B$19)</f>
        <v/>
      </c>
      <c r="T670">
        <f>AND(Q670,R670,S670)</f>
        <v/>
      </c>
      <c r="U670">
        <f>IF(T670,IF(AND(설정!$A$54&lt;&gt;"",ISNUMBER(SEARCH(설정!$A$54,K670))),설정!$B$54,IF(AND(설정!$A$55&lt;&gt;"",ISNUMBER(SEARCH(설정!$A$55,K670))),설정!$B$55,IF(AND(설정!$A$56&lt;&gt;"",ISNUMBER(SEARCH(설정!$A$56,K670))),설정!$B$56,IF(AND(설정!$A$57&lt;&gt;"",ISNUMBER(SEARCH(설정!$A$57,K670))),설정!$B$57,IF(AND(설정!$A$58&lt;&gt;"",ISNUMBER(SEARCH(설정!$A$58,K670))),설정!$B$58,IF(AND(설정!$A$59&lt;&gt;"",ISNUMBER(SEARCH(설정!$A$59,K670))),설정!$B$59,IF(AND(설정!$A$60&lt;&gt;"",ISNUMBER(SEARCH(설정!$A$60,K670))),설정!$B$60,IF(AND(설정!$A$61&lt;&gt;"",ISNUMBER(SEARCH(설정!$A$61,K670))),설정!$B$61,IF(M670="","설계사","시공사"))))))))),"")</f>
        <v/>
      </c>
      <c r="V670">
        <f>SUBSTITUTE(SUBSTITUTE(SUBSTITUTE(SUBSTITUTE(G670,"(주)",""),"㈜",""),"주식회사","")," ","")</f>
        <v/>
      </c>
      <c r="W670">
        <f>IF(AND(T670,V670&lt;&gt;""),IF(COUNTIFS(V$2:V670,V670,T$2:T670,TRUE)=1,MAX(W$1:W669)+1,""),"")</f>
        <v/>
      </c>
      <c r="X670">
        <f>IF(설정!$C$14="","",IFERROR(INDEX('1.산군_붙여넣기'!$A$1:$AZ$1001,ROW(),설정!$C$14)&amp;"",""))</f>
        <v/>
      </c>
      <c r="Y670">
        <f>IF(설정!$C$15="","",IFERROR(INDEX('1.산군_붙여넣기'!$A$1:$AZ$1001,ROW(),설정!$C$15)&amp;"",""))</f>
        <v/>
      </c>
      <c r="Z670">
        <f>IF(T670,V670&amp;"|"&amp;U670,"")</f>
        <v/>
      </c>
      <c r="AA670">
        <f>IF(NOT(Q670),"",IF(NOT(AND(R670,S670)),"✕",IF(OR(OR(AND(L670&lt;&gt;"",M670&lt;&gt;"",N(M670)-N(L670)&gt;설정!$B$27),AND(L670&lt;&gt;"",M670="",설정!$B$24-N(L670)&gt;설정!$B$27)),AND(D670&lt;&gt;"",D670&lt;설정!$B$26)),"△","★")))</f>
        <v/>
      </c>
      <c r="AB670">
        <f>IF(NOT(T670),"",IF(U670="설계사",설정!$B$31,IF(U670="시공사",IF(OR(M670="",설정!$B$24-N(M670)&lt;=설정!$B$28*30.4),설정!$B$32,설정!$B$33),설정!$B$34))+IF(AA670="★",설정!$B$35,0))</f>
        <v/>
      </c>
      <c r="AC670">
        <f>SUBSTITUTE(SUBSTITUTE(SUBSTITUTE(SUBSTITUTE(H670,"(주)",""),"㈜",""),"주식회사","")," ","")</f>
        <v/>
      </c>
      <c r="AD670">
        <f>IF(AND(T670,AC670&lt;&gt;""),IF(COUNTIFS(AC$2:AC670,AC670,T$2:T670,TRUE)=1,MAX(AD$1:AD669)+1,""),"")</f>
        <v/>
      </c>
    </row>
    <row r="671">
      <c r="A671">
        <f>ROW()</f>
        <v/>
      </c>
      <c r="B671">
        <f>IF(설정!$C$4="","",IFERROR(INDEX('1.산군_붙여넣기'!$A$1:$AZ$1001,ROW(),설정!$C$4)&amp;"",""))</f>
        <v/>
      </c>
      <c r="C671">
        <f>IF(설정!$C$5="","",IFERROR(INDEX('1.산군_붙여넣기'!$A$1:$AZ$1001,ROW(),설정!$C$5)&amp;"",""))</f>
        <v/>
      </c>
      <c r="D671" s="5">
        <f>IFERROR(VALUE(SUBSTITUTE(SUBSTITUTE(SUBSTITUTE(IF(설정!$C$6="","",IFERROR(INDEX('1.산군_붙여넣기'!$A$1:$AZ$1001,ROW(),설정!$C$6)&amp;"","")),",",""),"㎡",""),"m2","")),"")</f>
        <v/>
      </c>
      <c r="E671">
        <f>IF(설정!$C$7="","",IFERROR(INDEX('1.산군_붙여넣기'!$A$1:$AZ$1001,ROW(),설정!$C$7)&amp;"",""))</f>
        <v/>
      </c>
      <c r="F671">
        <f>IF(설정!$C$8="","",IFERROR(INDEX('1.산군_붙여넣기'!$A$1:$AZ$1001,ROW(),설정!$C$8)&amp;"",""))</f>
        <v/>
      </c>
      <c r="G671">
        <f>IF(설정!$C$9="","",IFERROR(INDEX('1.산군_붙여넣기'!$A$1:$AZ$1001,ROW(),설정!$C$9)&amp;"",""))</f>
        <v/>
      </c>
      <c r="H671">
        <f>IF(설정!$C$10="","",IFERROR(INDEX('1.산군_붙여넣기'!$A$1:$AZ$1001,ROW(),설정!$C$10)&amp;"",""))</f>
        <v/>
      </c>
      <c r="I671">
        <f>IF(설정!$C$11="","",IFERROR(INDEX('1.산군_붙여넣기'!$A$1:$AZ$1001,ROW(),설정!$C$11)&amp;"",""))</f>
        <v/>
      </c>
      <c r="J671">
        <f>IF(설정!$C$12="","",IFERROR(INDEX('1.산군_붙여넣기'!$A$1:$AZ$1001,ROW(),설정!$C$12)&amp;"",""))</f>
        <v/>
      </c>
      <c r="K671">
        <f>IF(설정!$C$13="","",IFERROR(INDEX('1.산군_붙여넣기'!$A$1:$AZ$1001,ROW(),설정!$C$13)&amp;"",""))</f>
        <v/>
      </c>
      <c r="L671" s="7">
        <f>IF(X671="","",IF(AND(LEN(X671)=8,ISNUMBER(X671*1)),DATE(LEFT(X671,4),MID(X671,5,2),RIGHT(X671,2)),IFERROR(DATEVALUE(SUBSTITUTE(SUBSTITUTE(X671,".","-"),"/","-")),IFERROR(X671*1,""))))</f>
        <v/>
      </c>
      <c r="M671" s="7">
        <f>IF(Y671="","",IF(AND(LEN(Y671)=8,ISNUMBER(Y671*1)),DATE(LEFT(Y671,4),MID(Y671,5,2),RIGHT(Y671,2)),IFERROR(DATEVALUE(SUBSTITUTE(SUBSTITUTE(Y671,".","-"),"/","-")),IFERROR(Y671*1,""))))</f>
        <v/>
      </c>
      <c r="N671">
        <f>IFERROR(LEFT(B671,FIND(" ",B671)-1),B671)</f>
        <v/>
      </c>
      <c r="O671">
        <f>AND(B671&lt;&gt;"",B671&lt;&gt;설정!$B$4,C671&lt;&gt;설정!$B$5)</f>
        <v/>
      </c>
      <c r="P671">
        <f>IF(O671,B671&amp;"|"&amp;C671,"")</f>
        <v/>
      </c>
      <c r="Q671">
        <f>AND(O671,COUNTIF(P672:P$1002,P671)=0)</f>
        <v/>
      </c>
      <c r="R671">
        <f>OR(AND(설정!$A$42&lt;&gt;"",ISNUMBER(SEARCH(설정!$A$42,E671&amp;" "&amp;C671))),AND(설정!$A$43&lt;&gt;"",ISNUMBER(SEARCH(설정!$A$43,E671&amp;" "&amp;C671))),AND(설정!$A$44&lt;&gt;"",ISNUMBER(SEARCH(설정!$A$44,E671&amp;" "&amp;C671))),AND(설정!$A$45&lt;&gt;"",ISNUMBER(SEARCH(설정!$A$45,E671&amp;" "&amp;C671))),AND(설정!$A$46&lt;&gt;"",ISNUMBER(SEARCH(설정!$A$46,E671&amp;" "&amp;C671))),AND(설정!$A$47&lt;&gt;"",ISNUMBER(SEARCH(설정!$A$47,E671&amp;" "&amp;C671))),AND(설정!$A$48&lt;&gt;"",ISNUMBER(SEARCH(설정!$A$48,E671&amp;" "&amp;C671))),AND(설정!$A$49&lt;&gt;"",ISNUMBER(SEARCH(설정!$A$49,E671&amp;" "&amp;C671))),AND(설정!$A$50&lt;&gt;"",ISNUMBER(SEARCH(설정!$A$50,E671&amp;" "&amp;C671))),AND(설정!$A$51&lt;&gt;"",ISNUMBER(SEARCH(설정!$A$51,E671&amp;" "&amp;C671))))</f>
        <v/>
      </c>
      <c r="S671">
        <f>OR(D671="",D671&gt;=설정!$B$19)</f>
        <v/>
      </c>
      <c r="T671">
        <f>AND(Q671,R671,S671)</f>
        <v/>
      </c>
      <c r="U671">
        <f>IF(T671,IF(AND(설정!$A$54&lt;&gt;"",ISNUMBER(SEARCH(설정!$A$54,K671))),설정!$B$54,IF(AND(설정!$A$55&lt;&gt;"",ISNUMBER(SEARCH(설정!$A$55,K671))),설정!$B$55,IF(AND(설정!$A$56&lt;&gt;"",ISNUMBER(SEARCH(설정!$A$56,K671))),설정!$B$56,IF(AND(설정!$A$57&lt;&gt;"",ISNUMBER(SEARCH(설정!$A$57,K671))),설정!$B$57,IF(AND(설정!$A$58&lt;&gt;"",ISNUMBER(SEARCH(설정!$A$58,K671))),설정!$B$58,IF(AND(설정!$A$59&lt;&gt;"",ISNUMBER(SEARCH(설정!$A$59,K671))),설정!$B$59,IF(AND(설정!$A$60&lt;&gt;"",ISNUMBER(SEARCH(설정!$A$60,K671))),설정!$B$60,IF(AND(설정!$A$61&lt;&gt;"",ISNUMBER(SEARCH(설정!$A$61,K671))),설정!$B$61,IF(M671="","설계사","시공사"))))))))),"")</f>
        <v/>
      </c>
      <c r="V671">
        <f>SUBSTITUTE(SUBSTITUTE(SUBSTITUTE(SUBSTITUTE(G671,"(주)",""),"㈜",""),"주식회사","")," ","")</f>
        <v/>
      </c>
      <c r="W671">
        <f>IF(AND(T671,V671&lt;&gt;""),IF(COUNTIFS(V$2:V671,V671,T$2:T671,TRUE)=1,MAX(W$1:W670)+1,""),"")</f>
        <v/>
      </c>
      <c r="X671">
        <f>IF(설정!$C$14="","",IFERROR(INDEX('1.산군_붙여넣기'!$A$1:$AZ$1001,ROW(),설정!$C$14)&amp;"",""))</f>
        <v/>
      </c>
      <c r="Y671">
        <f>IF(설정!$C$15="","",IFERROR(INDEX('1.산군_붙여넣기'!$A$1:$AZ$1001,ROW(),설정!$C$15)&amp;"",""))</f>
        <v/>
      </c>
      <c r="Z671">
        <f>IF(T671,V671&amp;"|"&amp;U671,"")</f>
        <v/>
      </c>
      <c r="AA671">
        <f>IF(NOT(Q671),"",IF(NOT(AND(R671,S671)),"✕",IF(OR(OR(AND(L671&lt;&gt;"",M671&lt;&gt;"",N(M671)-N(L671)&gt;설정!$B$27),AND(L671&lt;&gt;"",M671="",설정!$B$24-N(L671)&gt;설정!$B$27)),AND(D671&lt;&gt;"",D671&lt;설정!$B$26)),"△","★")))</f>
        <v/>
      </c>
      <c r="AB671">
        <f>IF(NOT(T671),"",IF(U671="설계사",설정!$B$31,IF(U671="시공사",IF(OR(M671="",설정!$B$24-N(M671)&lt;=설정!$B$28*30.4),설정!$B$32,설정!$B$33),설정!$B$34))+IF(AA671="★",설정!$B$35,0))</f>
        <v/>
      </c>
      <c r="AC671">
        <f>SUBSTITUTE(SUBSTITUTE(SUBSTITUTE(SUBSTITUTE(H671,"(주)",""),"㈜",""),"주식회사","")," ","")</f>
        <v/>
      </c>
      <c r="AD671">
        <f>IF(AND(T671,AC671&lt;&gt;""),IF(COUNTIFS(AC$2:AC671,AC671,T$2:T671,TRUE)=1,MAX(AD$1:AD670)+1,""),"")</f>
        <v/>
      </c>
    </row>
    <row r="672">
      <c r="A672">
        <f>ROW()</f>
        <v/>
      </c>
      <c r="B672">
        <f>IF(설정!$C$4="","",IFERROR(INDEX('1.산군_붙여넣기'!$A$1:$AZ$1001,ROW(),설정!$C$4)&amp;"",""))</f>
        <v/>
      </c>
      <c r="C672">
        <f>IF(설정!$C$5="","",IFERROR(INDEX('1.산군_붙여넣기'!$A$1:$AZ$1001,ROW(),설정!$C$5)&amp;"",""))</f>
        <v/>
      </c>
      <c r="D672" s="5">
        <f>IFERROR(VALUE(SUBSTITUTE(SUBSTITUTE(SUBSTITUTE(IF(설정!$C$6="","",IFERROR(INDEX('1.산군_붙여넣기'!$A$1:$AZ$1001,ROW(),설정!$C$6)&amp;"","")),",",""),"㎡",""),"m2","")),"")</f>
        <v/>
      </c>
      <c r="E672">
        <f>IF(설정!$C$7="","",IFERROR(INDEX('1.산군_붙여넣기'!$A$1:$AZ$1001,ROW(),설정!$C$7)&amp;"",""))</f>
        <v/>
      </c>
      <c r="F672">
        <f>IF(설정!$C$8="","",IFERROR(INDEX('1.산군_붙여넣기'!$A$1:$AZ$1001,ROW(),설정!$C$8)&amp;"",""))</f>
        <v/>
      </c>
      <c r="G672">
        <f>IF(설정!$C$9="","",IFERROR(INDEX('1.산군_붙여넣기'!$A$1:$AZ$1001,ROW(),설정!$C$9)&amp;"",""))</f>
        <v/>
      </c>
      <c r="H672">
        <f>IF(설정!$C$10="","",IFERROR(INDEX('1.산군_붙여넣기'!$A$1:$AZ$1001,ROW(),설정!$C$10)&amp;"",""))</f>
        <v/>
      </c>
      <c r="I672">
        <f>IF(설정!$C$11="","",IFERROR(INDEX('1.산군_붙여넣기'!$A$1:$AZ$1001,ROW(),설정!$C$11)&amp;"",""))</f>
        <v/>
      </c>
      <c r="J672">
        <f>IF(설정!$C$12="","",IFERROR(INDEX('1.산군_붙여넣기'!$A$1:$AZ$1001,ROW(),설정!$C$12)&amp;"",""))</f>
        <v/>
      </c>
      <c r="K672">
        <f>IF(설정!$C$13="","",IFERROR(INDEX('1.산군_붙여넣기'!$A$1:$AZ$1001,ROW(),설정!$C$13)&amp;"",""))</f>
        <v/>
      </c>
      <c r="L672" s="7">
        <f>IF(X672="","",IF(AND(LEN(X672)=8,ISNUMBER(X672*1)),DATE(LEFT(X672,4),MID(X672,5,2),RIGHT(X672,2)),IFERROR(DATEVALUE(SUBSTITUTE(SUBSTITUTE(X672,".","-"),"/","-")),IFERROR(X672*1,""))))</f>
        <v/>
      </c>
      <c r="M672" s="7">
        <f>IF(Y672="","",IF(AND(LEN(Y672)=8,ISNUMBER(Y672*1)),DATE(LEFT(Y672,4),MID(Y672,5,2),RIGHT(Y672,2)),IFERROR(DATEVALUE(SUBSTITUTE(SUBSTITUTE(Y672,".","-"),"/","-")),IFERROR(Y672*1,""))))</f>
        <v/>
      </c>
      <c r="N672">
        <f>IFERROR(LEFT(B672,FIND(" ",B672)-1),B672)</f>
        <v/>
      </c>
      <c r="O672">
        <f>AND(B672&lt;&gt;"",B672&lt;&gt;설정!$B$4,C672&lt;&gt;설정!$B$5)</f>
        <v/>
      </c>
      <c r="P672">
        <f>IF(O672,B672&amp;"|"&amp;C672,"")</f>
        <v/>
      </c>
      <c r="Q672">
        <f>AND(O672,COUNTIF(P673:P$1002,P672)=0)</f>
        <v/>
      </c>
      <c r="R672">
        <f>OR(AND(설정!$A$42&lt;&gt;"",ISNUMBER(SEARCH(설정!$A$42,E672&amp;" "&amp;C672))),AND(설정!$A$43&lt;&gt;"",ISNUMBER(SEARCH(설정!$A$43,E672&amp;" "&amp;C672))),AND(설정!$A$44&lt;&gt;"",ISNUMBER(SEARCH(설정!$A$44,E672&amp;" "&amp;C672))),AND(설정!$A$45&lt;&gt;"",ISNUMBER(SEARCH(설정!$A$45,E672&amp;" "&amp;C672))),AND(설정!$A$46&lt;&gt;"",ISNUMBER(SEARCH(설정!$A$46,E672&amp;" "&amp;C672))),AND(설정!$A$47&lt;&gt;"",ISNUMBER(SEARCH(설정!$A$47,E672&amp;" "&amp;C672))),AND(설정!$A$48&lt;&gt;"",ISNUMBER(SEARCH(설정!$A$48,E672&amp;" "&amp;C672))),AND(설정!$A$49&lt;&gt;"",ISNUMBER(SEARCH(설정!$A$49,E672&amp;" "&amp;C672))),AND(설정!$A$50&lt;&gt;"",ISNUMBER(SEARCH(설정!$A$50,E672&amp;" "&amp;C672))),AND(설정!$A$51&lt;&gt;"",ISNUMBER(SEARCH(설정!$A$51,E672&amp;" "&amp;C672))))</f>
        <v/>
      </c>
      <c r="S672">
        <f>OR(D672="",D672&gt;=설정!$B$19)</f>
        <v/>
      </c>
      <c r="T672">
        <f>AND(Q672,R672,S672)</f>
        <v/>
      </c>
      <c r="U672">
        <f>IF(T672,IF(AND(설정!$A$54&lt;&gt;"",ISNUMBER(SEARCH(설정!$A$54,K672))),설정!$B$54,IF(AND(설정!$A$55&lt;&gt;"",ISNUMBER(SEARCH(설정!$A$55,K672))),설정!$B$55,IF(AND(설정!$A$56&lt;&gt;"",ISNUMBER(SEARCH(설정!$A$56,K672))),설정!$B$56,IF(AND(설정!$A$57&lt;&gt;"",ISNUMBER(SEARCH(설정!$A$57,K672))),설정!$B$57,IF(AND(설정!$A$58&lt;&gt;"",ISNUMBER(SEARCH(설정!$A$58,K672))),설정!$B$58,IF(AND(설정!$A$59&lt;&gt;"",ISNUMBER(SEARCH(설정!$A$59,K672))),설정!$B$59,IF(AND(설정!$A$60&lt;&gt;"",ISNUMBER(SEARCH(설정!$A$60,K672))),설정!$B$60,IF(AND(설정!$A$61&lt;&gt;"",ISNUMBER(SEARCH(설정!$A$61,K672))),설정!$B$61,IF(M672="","설계사","시공사"))))))))),"")</f>
        <v/>
      </c>
      <c r="V672">
        <f>SUBSTITUTE(SUBSTITUTE(SUBSTITUTE(SUBSTITUTE(G672,"(주)",""),"㈜",""),"주식회사","")," ","")</f>
        <v/>
      </c>
      <c r="W672">
        <f>IF(AND(T672,V672&lt;&gt;""),IF(COUNTIFS(V$2:V672,V672,T$2:T672,TRUE)=1,MAX(W$1:W671)+1,""),"")</f>
        <v/>
      </c>
      <c r="X672">
        <f>IF(설정!$C$14="","",IFERROR(INDEX('1.산군_붙여넣기'!$A$1:$AZ$1001,ROW(),설정!$C$14)&amp;"",""))</f>
        <v/>
      </c>
      <c r="Y672">
        <f>IF(설정!$C$15="","",IFERROR(INDEX('1.산군_붙여넣기'!$A$1:$AZ$1001,ROW(),설정!$C$15)&amp;"",""))</f>
        <v/>
      </c>
      <c r="Z672">
        <f>IF(T672,V672&amp;"|"&amp;U672,"")</f>
        <v/>
      </c>
      <c r="AA672">
        <f>IF(NOT(Q672),"",IF(NOT(AND(R672,S672)),"✕",IF(OR(OR(AND(L672&lt;&gt;"",M672&lt;&gt;"",N(M672)-N(L672)&gt;설정!$B$27),AND(L672&lt;&gt;"",M672="",설정!$B$24-N(L672)&gt;설정!$B$27)),AND(D672&lt;&gt;"",D672&lt;설정!$B$26)),"△","★")))</f>
        <v/>
      </c>
      <c r="AB672">
        <f>IF(NOT(T672),"",IF(U672="설계사",설정!$B$31,IF(U672="시공사",IF(OR(M672="",설정!$B$24-N(M672)&lt;=설정!$B$28*30.4),설정!$B$32,설정!$B$33),설정!$B$34))+IF(AA672="★",설정!$B$35,0))</f>
        <v/>
      </c>
      <c r="AC672">
        <f>SUBSTITUTE(SUBSTITUTE(SUBSTITUTE(SUBSTITUTE(H672,"(주)",""),"㈜",""),"주식회사","")," ","")</f>
        <v/>
      </c>
      <c r="AD672">
        <f>IF(AND(T672,AC672&lt;&gt;""),IF(COUNTIFS(AC$2:AC672,AC672,T$2:T672,TRUE)=1,MAX(AD$1:AD671)+1,""),"")</f>
        <v/>
      </c>
    </row>
    <row r="673">
      <c r="A673">
        <f>ROW()</f>
        <v/>
      </c>
      <c r="B673">
        <f>IF(설정!$C$4="","",IFERROR(INDEX('1.산군_붙여넣기'!$A$1:$AZ$1001,ROW(),설정!$C$4)&amp;"",""))</f>
        <v/>
      </c>
      <c r="C673">
        <f>IF(설정!$C$5="","",IFERROR(INDEX('1.산군_붙여넣기'!$A$1:$AZ$1001,ROW(),설정!$C$5)&amp;"",""))</f>
        <v/>
      </c>
      <c r="D673" s="5">
        <f>IFERROR(VALUE(SUBSTITUTE(SUBSTITUTE(SUBSTITUTE(IF(설정!$C$6="","",IFERROR(INDEX('1.산군_붙여넣기'!$A$1:$AZ$1001,ROW(),설정!$C$6)&amp;"","")),",",""),"㎡",""),"m2","")),"")</f>
        <v/>
      </c>
      <c r="E673">
        <f>IF(설정!$C$7="","",IFERROR(INDEX('1.산군_붙여넣기'!$A$1:$AZ$1001,ROW(),설정!$C$7)&amp;"",""))</f>
        <v/>
      </c>
      <c r="F673">
        <f>IF(설정!$C$8="","",IFERROR(INDEX('1.산군_붙여넣기'!$A$1:$AZ$1001,ROW(),설정!$C$8)&amp;"",""))</f>
        <v/>
      </c>
      <c r="G673">
        <f>IF(설정!$C$9="","",IFERROR(INDEX('1.산군_붙여넣기'!$A$1:$AZ$1001,ROW(),설정!$C$9)&amp;"",""))</f>
        <v/>
      </c>
      <c r="H673">
        <f>IF(설정!$C$10="","",IFERROR(INDEX('1.산군_붙여넣기'!$A$1:$AZ$1001,ROW(),설정!$C$10)&amp;"",""))</f>
        <v/>
      </c>
      <c r="I673">
        <f>IF(설정!$C$11="","",IFERROR(INDEX('1.산군_붙여넣기'!$A$1:$AZ$1001,ROW(),설정!$C$11)&amp;"",""))</f>
        <v/>
      </c>
      <c r="J673">
        <f>IF(설정!$C$12="","",IFERROR(INDEX('1.산군_붙여넣기'!$A$1:$AZ$1001,ROW(),설정!$C$12)&amp;"",""))</f>
        <v/>
      </c>
      <c r="K673">
        <f>IF(설정!$C$13="","",IFERROR(INDEX('1.산군_붙여넣기'!$A$1:$AZ$1001,ROW(),설정!$C$13)&amp;"",""))</f>
        <v/>
      </c>
      <c r="L673" s="7">
        <f>IF(X673="","",IF(AND(LEN(X673)=8,ISNUMBER(X673*1)),DATE(LEFT(X673,4),MID(X673,5,2),RIGHT(X673,2)),IFERROR(DATEVALUE(SUBSTITUTE(SUBSTITUTE(X673,".","-"),"/","-")),IFERROR(X673*1,""))))</f>
        <v/>
      </c>
      <c r="M673" s="7">
        <f>IF(Y673="","",IF(AND(LEN(Y673)=8,ISNUMBER(Y673*1)),DATE(LEFT(Y673,4),MID(Y673,5,2),RIGHT(Y673,2)),IFERROR(DATEVALUE(SUBSTITUTE(SUBSTITUTE(Y673,".","-"),"/","-")),IFERROR(Y673*1,""))))</f>
        <v/>
      </c>
      <c r="N673">
        <f>IFERROR(LEFT(B673,FIND(" ",B673)-1),B673)</f>
        <v/>
      </c>
      <c r="O673">
        <f>AND(B673&lt;&gt;"",B673&lt;&gt;설정!$B$4,C673&lt;&gt;설정!$B$5)</f>
        <v/>
      </c>
      <c r="P673">
        <f>IF(O673,B673&amp;"|"&amp;C673,"")</f>
        <v/>
      </c>
      <c r="Q673">
        <f>AND(O673,COUNTIF(P674:P$1002,P673)=0)</f>
        <v/>
      </c>
      <c r="R673">
        <f>OR(AND(설정!$A$42&lt;&gt;"",ISNUMBER(SEARCH(설정!$A$42,E673&amp;" "&amp;C673))),AND(설정!$A$43&lt;&gt;"",ISNUMBER(SEARCH(설정!$A$43,E673&amp;" "&amp;C673))),AND(설정!$A$44&lt;&gt;"",ISNUMBER(SEARCH(설정!$A$44,E673&amp;" "&amp;C673))),AND(설정!$A$45&lt;&gt;"",ISNUMBER(SEARCH(설정!$A$45,E673&amp;" "&amp;C673))),AND(설정!$A$46&lt;&gt;"",ISNUMBER(SEARCH(설정!$A$46,E673&amp;" "&amp;C673))),AND(설정!$A$47&lt;&gt;"",ISNUMBER(SEARCH(설정!$A$47,E673&amp;" "&amp;C673))),AND(설정!$A$48&lt;&gt;"",ISNUMBER(SEARCH(설정!$A$48,E673&amp;" "&amp;C673))),AND(설정!$A$49&lt;&gt;"",ISNUMBER(SEARCH(설정!$A$49,E673&amp;" "&amp;C673))),AND(설정!$A$50&lt;&gt;"",ISNUMBER(SEARCH(설정!$A$50,E673&amp;" "&amp;C673))),AND(설정!$A$51&lt;&gt;"",ISNUMBER(SEARCH(설정!$A$51,E673&amp;" "&amp;C673))))</f>
        <v/>
      </c>
      <c r="S673">
        <f>OR(D673="",D673&gt;=설정!$B$19)</f>
        <v/>
      </c>
      <c r="T673">
        <f>AND(Q673,R673,S673)</f>
        <v/>
      </c>
      <c r="U673">
        <f>IF(T673,IF(AND(설정!$A$54&lt;&gt;"",ISNUMBER(SEARCH(설정!$A$54,K673))),설정!$B$54,IF(AND(설정!$A$55&lt;&gt;"",ISNUMBER(SEARCH(설정!$A$55,K673))),설정!$B$55,IF(AND(설정!$A$56&lt;&gt;"",ISNUMBER(SEARCH(설정!$A$56,K673))),설정!$B$56,IF(AND(설정!$A$57&lt;&gt;"",ISNUMBER(SEARCH(설정!$A$57,K673))),설정!$B$57,IF(AND(설정!$A$58&lt;&gt;"",ISNUMBER(SEARCH(설정!$A$58,K673))),설정!$B$58,IF(AND(설정!$A$59&lt;&gt;"",ISNUMBER(SEARCH(설정!$A$59,K673))),설정!$B$59,IF(AND(설정!$A$60&lt;&gt;"",ISNUMBER(SEARCH(설정!$A$60,K673))),설정!$B$60,IF(AND(설정!$A$61&lt;&gt;"",ISNUMBER(SEARCH(설정!$A$61,K673))),설정!$B$61,IF(M673="","설계사","시공사"))))))))),"")</f>
        <v/>
      </c>
      <c r="V673">
        <f>SUBSTITUTE(SUBSTITUTE(SUBSTITUTE(SUBSTITUTE(G673,"(주)",""),"㈜",""),"주식회사","")," ","")</f>
        <v/>
      </c>
      <c r="W673">
        <f>IF(AND(T673,V673&lt;&gt;""),IF(COUNTIFS(V$2:V673,V673,T$2:T673,TRUE)=1,MAX(W$1:W672)+1,""),"")</f>
        <v/>
      </c>
      <c r="X673">
        <f>IF(설정!$C$14="","",IFERROR(INDEX('1.산군_붙여넣기'!$A$1:$AZ$1001,ROW(),설정!$C$14)&amp;"",""))</f>
        <v/>
      </c>
      <c r="Y673">
        <f>IF(설정!$C$15="","",IFERROR(INDEX('1.산군_붙여넣기'!$A$1:$AZ$1001,ROW(),설정!$C$15)&amp;"",""))</f>
        <v/>
      </c>
      <c r="Z673">
        <f>IF(T673,V673&amp;"|"&amp;U673,"")</f>
        <v/>
      </c>
      <c r="AA673">
        <f>IF(NOT(Q673),"",IF(NOT(AND(R673,S673)),"✕",IF(OR(OR(AND(L673&lt;&gt;"",M673&lt;&gt;"",N(M673)-N(L673)&gt;설정!$B$27),AND(L673&lt;&gt;"",M673="",설정!$B$24-N(L673)&gt;설정!$B$27)),AND(D673&lt;&gt;"",D673&lt;설정!$B$26)),"△","★")))</f>
        <v/>
      </c>
      <c r="AB673">
        <f>IF(NOT(T673),"",IF(U673="설계사",설정!$B$31,IF(U673="시공사",IF(OR(M673="",설정!$B$24-N(M673)&lt;=설정!$B$28*30.4),설정!$B$32,설정!$B$33),설정!$B$34))+IF(AA673="★",설정!$B$35,0))</f>
        <v/>
      </c>
      <c r="AC673">
        <f>SUBSTITUTE(SUBSTITUTE(SUBSTITUTE(SUBSTITUTE(H673,"(주)",""),"㈜",""),"주식회사","")," ","")</f>
        <v/>
      </c>
      <c r="AD673">
        <f>IF(AND(T673,AC673&lt;&gt;""),IF(COUNTIFS(AC$2:AC673,AC673,T$2:T673,TRUE)=1,MAX(AD$1:AD672)+1,""),"")</f>
        <v/>
      </c>
    </row>
    <row r="674">
      <c r="A674">
        <f>ROW()</f>
        <v/>
      </c>
      <c r="B674">
        <f>IF(설정!$C$4="","",IFERROR(INDEX('1.산군_붙여넣기'!$A$1:$AZ$1001,ROW(),설정!$C$4)&amp;"",""))</f>
        <v/>
      </c>
      <c r="C674">
        <f>IF(설정!$C$5="","",IFERROR(INDEX('1.산군_붙여넣기'!$A$1:$AZ$1001,ROW(),설정!$C$5)&amp;"",""))</f>
        <v/>
      </c>
      <c r="D674" s="5">
        <f>IFERROR(VALUE(SUBSTITUTE(SUBSTITUTE(SUBSTITUTE(IF(설정!$C$6="","",IFERROR(INDEX('1.산군_붙여넣기'!$A$1:$AZ$1001,ROW(),설정!$C$6)&amp;"","")),",",""),"㎡",""),"m2","")),"")</f>
        <v/>
      </c>
      <c r="E674">
        <f>IF(설정!$C$7="","",IFERROR(INDEX('1.산군_붙여넣기'!$A$1:$AZ$1001,ROW(),설정!$C$7)&amp;"",""))</f>
        <v/>
      </c>
      <c r="F674">
        <f>IF(설정!$C$8="","",IFERROR(INDEX('1.산군_붙여넣기'!$A$1:$AZ$1001,ROW(),설정!$C$8)&amp;"",""))</f>
        <v/>
      </c>
      <c r="G674">
        <f>IF(설정!$C$9="","",IFERROR(INDEX('1.산군_붙여넣기'!$A$1:$AZ$1001,ROW(),설정!$C$9)&amp;"",""))</f>
        <v/>
      </c>
      <c r="H674">
        <f>IF(설정!$C$10="","",IFERROR(INDEX('1.산군_붙여넣기'!$A$1:$AZ$1001,ROW(),설정!$C$10)&amp;"",""))</f>
        <v/>
      </c>
      <c r="I674">
        <f>IF(설정!$C$11="","",IFERROR(INDEX('1.산군_붙여넣기'!$A$1:$AZ$1001,ROW(),설정!$C$11)&amp;"",""))</f>
        <v/>
      </c>
      <c r="J674">
        <f>IF(설정!$C$12="","",IFERROR(INDEX('1.산군_붙여넣기'!$A$1:$AZ$1001,ROW(),설정!$C$12)&amp;"",""))</f>
        <v/>
      </c>
      <c r="K674">
        <f>IF(설정!$C$13="","",IFERROR(INDEX('1.산군_붙여넣기'!$A$1:$AZ$1001,ROW(),설정!$C$13)&amp;"",""))</f>
        <v/>
      </c>
      <c r="L674" s="7">
        <f>IF(X674="","",IF(AND(LEN(X674)=8,ISNUMBER(X674*1)),DATE(LEFT(X674,4),MID(X674,5,2),RIGHT(X674,2)),IFERROR(DATEVALUE(SUBSTITUTE(SUBSTITUTE(X674,".","-"),"/","-")),IFERROR(X674*1,""))))</f>
        <v/>
      </c>
      <c r="M674" s="7">
        <f>IF(Y674="","",IF(AND(LEN(Y674)=8,ISNUMBER(Y674*1)),DATE(LEFT(Y674,4),MID(Y674,5,2),RIGHT(Y674,2)),IFERROR(DATEVALUE(SUBSTITUTE(SUBSTITUTE(Y674,".","-"),"/","-")),IFERROR(Y674*1,""))))</f>
        <v/>
      </c>
      <c r="N674">
        <f>IFERROR(LEFT(B674,FIND(" ",B674)-1),B674)</f>
        <v/>
      </c>
      <c r="O674">
        <f>AND(B674&lt;&gt;"",B674&lt;&gt;설정!$B$4,C674&lt;&gt;설정!$B$5)</f>
        <v/>
      </c>
      <c r="P674">
        <f>IF(O674,B674&amp;"|"&amp;C674,"")</f>
        <v/>
      </c>
      <c r="Q674">
        <f>AND(O674,COUNTIF(P675:P$1002,P674)=0)</f>
        <v/>
      </c>
      <c r="R674">
        <f>OR(AND(설정!$A$42&lt;&gt;"",ISNUMBER(SEARCH(설정!$A$42,E674&amp;" "&amp;C674))),AND(설정!$A$43&lt;&gt;"",ISNUMBER(SEARCH(설정!$A$43,E674&amp;" "&amp;C674))),AND(설정!$A$44&lt;&gt;"",ISNUMBER(SEARCH(설정!$A$44,E674&amp;" "&amp;C674))),AND(설정!$A$45&lt;&gt;"",ISNUMBER(SEARCH(설정!$A$45,E674&amp;" "&amp;C674))),AND(설정!$A$46&lt;&gt;"",ISNUMBER(SEARCH(설정!$A$46,E674&amp;" "&amp;C674))),AND(설정!$A$47&lt;&gt;"",ISNUMBER(SEARCH(설정!$A$47,E674&amp;" "&amp;C674))),AND(설정!$A$48&lt;&gt;"",ISNUMBER(SEARCH(설정!$A$48,E674&amp;" "&amp;C674))),AND(설정!$A$49&lt;&gt;"",ISNUMBER(SEARCH(설정!$A$49,E674&amp;" "&amp;C674))),AND(설정!$A$50&lt;&gt;"",ISNUMBER(SEARCH(설정!$A$50,E674&amp;" "&amp;C674))),AND(설정!$A$51&lt;&gt;"",ISNUMBER(SEARCH(설정!$A$51,E674&amp;" "&amp;C674))))</f>
        <v/>
      </c>
      <c r="S674">
        <f>OR(D674="",D674&gt;=설정!$B$19)</f>
        <v/>
      </c>
      <c r="T674">
        <f>AND(Q674,R674,S674)</f>
        <v/>
      </c>
      <c r="U674">
        <f>IF(T674,IF(AND(설정!$A$54&lt;&gt;"",ISNUMBER(SEARCH(설정!$A$54,K674))),설정!$B$54,IF(AND(설정!$A$55&lt;&gt;"",ISNUMBER(SEARCH(설정!$A$55,K674))),설정!$B$55,IF(AND(설정!$A$56&lt;&gt;"",ISNUMBER(SEARCH(설정!$A$56,K674))),설정!$B$56,IF(AND(설정!$A$57&lt;&gt;"",ISNUMBER(SEARCH(설정!$A$57,K674))),설정!$B$57,IF(AND(설정!$A$58&lt;&gt;"",ISNUMBER(SEARCH(설정!$A$58,K674))),설정!$B$58,IF(AND(설정!$A$59&lt;&gt;"",ISNUMBER(SEARCH(설정!$A$59,K674))),설정!$B$59,IF(AND(설정!$A$60&lt;&gt;"",ISNUMBER(SEARCH(설정!$A$60,K674))),설정!$B$60,IF(AND(설정!$A$61&lt;&gt;"",ISNUMBER(SEARCH(설정!$A$61,K674))),설정!$B$61,IF(M674="","설계사","시공사"))))))))),"")</f>
        <v/>
      </c>
      <c r="V674">
        <f>SUBSTITUTE(SUBSTITUTE(SUBSTITUTE(SUBSTITUTE(G674,"(주)",""),"㈜",""),"주식회사","")," ","")</f>
        <v/>
      </c>
      <c r="W674">
        <f>IF(AND(T674,V674&lt;&gt;""),IF(COUNTIFS(V$2:V674,V674,T$2:T674,TRUE)=1,MAX(W$1:W673)+1,""),"")</f>
        <v/>
      </c>
      <c r="X674">
        <f>IF(설정!$C$14="","",IFERROR(INDEX('1.산군_붙여넣기'!$A$1:$AZ$1001,ROW(),설정!$C$14)&amp;"",""))</f>
        <v/>
      </c>
      <c r="Y674">
        <f>IF(설정!$C$15="","",IFERROR(INDEX('1.산군_붙여넣기'!$A$1:$AZ$1001,ROW(),설정!$C$15)&amp;"",""))</f>
        <v/>
      </c>
      <c r="Z674">
        <f>IF(T674,V674&amp;"|"&amp;U674,"")</f>
        <v/>
      </c>
      <c r="AA674">
        <f>IF(NOT(Q674),"",IF(NOT(AND(R674,S674)),"✕",IF(OR(OR(AND(L674&lt;&gt;"",M674&lt;&gt;"",N(M674)-N(L674)&gt;설정!$B$27),AND(L674&lt;&gt;"",M674="",설정!$B$24-N(L674)&gt;설정!$B$27)),AND(D674&lt;&gt;"",D674&lt;설정!$B$26)),"△","★")))</f>
        <v/>
      </c>
      <c r="AB674">
        <f>IF(NOT(T674),"",IF(U674="설계사",설정!$B$31,IF(U674="시공사",IF(OR(M674="",설정!$B$24-N(M674)&lt;=설정!$B$28*30.4),설정!$B$32,설정!$B$33),설정!$B$34))+IF(AA674="★",설정!$B$35,0))</f>
        <v/>
      </c>
      <c r="AC674">
        <f>SUBSTITUTE(SUBSTITUTE(SUBSTITUTE(SUBSTITUTE(H674,"(주)",""),"㈜",""),"주식회사","")," ","")</f>
        <v/>
      </c>
      <c r="AD674">
        <f>IF(AND(T674,AC674&lt;&gt;""),IF(COUNTIFS(AC$2:AC674,AC674,T$2:T674,TRUE)=1,MAX(AD$1:AD673)+1,""),"")</f>
        <v/>
      </c>
    </row>
    <row r="675">
      <c r="A675">
        <f>ROW()</f>
        <v/>
      </c>
      <c r="B675">
        <f>IF(설정!$C$4="","",IFERROR(INDEX('1.산군_붙여넣기'!$A$1:$AZ$1001,ROW(),설정!$C$4)&amp;"",""))</f>
        <v/>
      </c>
      <c r="C675">
        <f>IF(설정!$C$5="","",IFERROR(INDEX('1.산군_붙여넣기'!$A$1:$AZ$1001,ROW(),설정!$C$5)&amp;"",""))</f>
        <v/>
      </c>
      <c r="D675" s="5">
        <f>IFERROR(VALUE(SUBSTITUTE(SUBSTITUTE(SUBSTITUTE(IF(설정!$C$6="","",IFERROR(INDEX('1.산군_붙여넣기'!$A$1:$AZ$1001,ROW(),설정!$C$6)&amp;"","")),",",""),"㎡",""),"m2","")),"")</f>
        <v/>
      </c>
      <c r="E675">
        <f>IF(설정!$C$7="","",IFERROR(INDEX('1.산군_붙여넣기'!$A$1:$AZ$1001,ROW(),설정!$C$7)&amp;"",""))</f>
        <v/>
      </c>
      <c r="F675">
        <f>IF(설정!$C$8="","",IFERROR(INDEX('1.산군_붙여넣기'!$A$1:$AZ$1001,ROW(),설정!$C$8)&amp;"",""))</f>
        <v/>
      </c>
      <c r="G675">
        <f>IF(설정!$C$9="","",IFERROR(INDEX('1.산군_붙여넣기'!$A$1:$AZ$1001,ROW(),설정!$C$9)&amp;"",""))</f>
        <v/>
      </c>
      <c r="H675">
        <f>IF(설정!$C$10="","",IFERROR(INDEX('1.산군_붙여넣기'!$A$1:$AZ$1001,ROW(),설정!$C$10)&amp;"",""))</f>
        <v/>
      </c>
      <c r="I675">
        <f>IF(설정!$C$11="","",IFERROR(INDEX('1.산군_붙여넣기'!$A$1:$AZ$1001,ROW(),설정!$C$11)&amp;"",""))</f>
        <v/>
      </c>
      <c r="J675">
        <f>IF(설정!$C$12="","",IFERROR(INDEX('1.산군_붙여넣기'!$A$1:$AZ$1001,ROW(),설정!$C$12)&amp;"",""))</f>
        <v/>
      </c>
      <c r="K675">
        <f>IF(설정!$C$13="","",IFERROR(INDEX('1.산군_붙여넣기'!$A$1:$AZ$1001,ROW(),설정!$C$13)&amp;"",""))</f>
        <v/>
      </c>
      <c r="L675" s="7">
        <f>IF(X675="","",IF(AND(LEN(X675)=8,ISNUMBER(X675*1)),DATE(LEFT(X675,4),MID(X675,5,2),RIGHT(X675,2)),IFERROR(DATEVALUE(SUBSTITUTE(SUBSTITUTE(X675,".","-"),"/","-")),IFERROR(X675*1,""))))</f>
        <v/>
      </c>
      <c r="M675" s="7">
        <f>IF(Y675="","",IF(AND(LEN(Y675)=8,ISNUMBER(Y675*1)),DATE(LEFT(Y675,4),MID(Y675,5,2),RIGHT(Y675,2)),IFERROR(DATEVALUE(SUBSTITUTE(SUBSTITUTE(Y675,".","-"),"/","-")),IFERROR(Y675*1,""))))</f>
        <v/>
      </c>
      <c r="N675">
        <f>IFERROR(LEFT(B675,FIND(" ",B675)-1),B675)</f>
        <v/>
      </c>
      <c r="O675">
        <f>AND(B675&lt;&gt;"",B675&lt;&gt;설정!$B$4,C675&lt;&gt;설정!$B$5)</f>
        <v/>
      </c>
      <c r="P675">
        <f>IF(O675,B675&amp;"|"&amp;C675,"")</f>
        <v/>
      </c>
      <c r="Q675">
        <f>AND(O675,COUNTIF(P676:P$1002,P675)=0)</f>
        <v/>
      </c>
      <c r="R675">
        <f>OR(AND(설정!$A$42&lt;&gt;"",ISNUMBER(SEARCH(설정!$A$42,E675&amp;" "&amp;C675))),AND(설정!$A$43&lt;&gt;"",ISNUMBER(SEARCH(설정!$A$43,E675&amp;" "&amp;C675))),AND(설정!$A$44&lt;&gt;"",ISNUMBER(SEARCH(설정!$A$44,E675&amp;" "&amp;C675))),AND(설정!$A$45&lt;&gt;"",ISNUMBER(SEARCH(설정!$A$45,E675&amp;" "&amp;C675))),AND(설정!$A$46&lt;&gt;"",ISNUMBER(SEARCH(설정!$A$46,E675&amp;" "&amp;C675))),AND(설정!$A$47&lt;&gt;"",ISNUMBER(SEARCH(설정!$A$47,E675&amp;" "&amp;C675))),AND(설정!$A$48&lt;&gt;"",ISNUMBER(SEARCH(설정!$A$48,E675&amp;" "&amp;C675))),AND(설정!$A$49&lt;&gt;"",ISNUMBER(SEARCH(설정!$A$49,E675&amp;" "&amp;C675))),AND(설정!$A$50&lt;&gt;"",ISNUMBER(SEARCH(설정!$A$50,E675&amp;" "&amp;C675))),AND(설정!$A$51&lt;&gt;"",ISNUMBER(SEARCH(설정!$A$51,E675&amp;" "&amp;C675))))</f>
        <v/>
      </c>
      <c r="S675">
        <f>OR(D675="",D675&gt;=설정!$B$19)</f>
        <v/>
      </c>
      <c r="T675">
        <f>AND(Q675,R675,S675)</f>
        <v/>
      </c>
      <c r="U675">
        <f>IF(T675,IF(AND(설정!$A$54&lt;&gt;"",ISNUMBER(SEARCH(설정!$A$54,K675))),설정!$B$54,IF(AND(설정!$A$55&lt;&gt;"",ISNUMBER(SEARCH(설정!$A$55,K675))),설정!$B$55,IF(AND(설정!$A$56&lt;&gt;"",ISNUMBER(SEARCH(설정!$A$56,K675))),설정!$B$56,IF(AND(설정!$A$57&lt;&gt;"",ISNUMBER(SEARCH(설정!$A$57,K675))),설정!$B$57,IF(AND(설정!$A$58&lt;&gt;"",ISNUMBER(SEARCH(설정!$A$58,K675))),설정!$B$58,IF(AND(설정!$A$59&lt;&gt;"",ISNUMBER(SEARCH(설정!$A$59,K675))),설정!$B$59,IF(AND(설정!$A$60&lt;&gt;"",ISNUMBER(SEARCH(설정!$A$60,K675))),설정!$B$60,IF(AND(설정!$A$61&lt;&gt;"",ISNUMBER(SEARCH(설정!$A$61,K675))),설정!$B$61,IF(M675="","설계사","시공사"))))))))),"")</f>
        <v/>
      </c>
      <c r="V675">
        <f>SUBSTITUTE(SUBSTITUTE(SUBSTITUTE(SUBSTITUTE(G675,"(주)",""),"㈜",""),"주식회사","")," ","")</f>
        <v/>
      </c>
      <c r="W675">
        <f>IF(AND(T675,V675&lt;&gt;""),IF(COUNTIFS(V$2:V675,V675,T$2:T675,TRUE)=1,MAX(W$1:W674)+1,""),"")</f>
        <v/>
      </c>
      <c r="X675">
        <f>IF(설정!$C$14="","",IFERROR(INDEX('1.산군_붙여넣기'!$A$1:$AZ$1001,ROW(),설정!$C$14)&amp;"",""))</f>
        <v/>
      </c>
      <c r="Y675">
        <f>IF(설정!$C$15="","",IFERROR(INDEX('1.산군_붙여넣기'!$A$1:$AZ$1001,ROW(),설정!$C$15)&amp;"",""))</f>
        <v/>
      </c>
      <c r="Z675">
        <f>IF(T675,V675&amp;"|"&amp;U675,"")</f>
        <v/>
      </c>
      <c r="AA675">
        <f>IF(NOT(Q675),"",IF(NOT(AND(R675,S675)),"✕",IF(OR(OR(AND(L675&lt;&gt;"",M675&lt;&gt;"",N(M675)-N(L675)&gt;설정!$B$27),AND(L675&lt;&gt;"",M675="",설정!$B$24-N(L675)&gt;설정!$B$27)),AND(D675&lt;&gt;"",D675&lt;설정!$B$26)),"△","★")))</f>
        <v/>
      </c>
      <c r="AB675">
        <f>IF(NOT(T675),"",IF(U675="설계사",설정!$B$31,IF(U675="시공사",IF(OR(M675="",설정!$B$24-N(M675)&lt;=설정!$B$28*30.4),설정!$B$32,설정!$B$33),설정!$B$34))+IF(AA675="★",설정!$B$35,0))</f>
        <v/>
      </c>
      <c r="AC675">
        <f>SUBSTITUTE(SUBSTITUTE(SUBSTITUTE(SUBSTITUTE(H675,"(주)",""),"㈜",""),"주식회사","")," ","")</f>
        <v/>
      </c>
      <c r="AD675">
        <f>IF(AND(T675,AC675&lt;&gt;""),IF(COUNTIFS(AC$2:AC675,AC675,T$2:T675,TRUE)=1,MAX(AD$1:AD674)+1,""),"")</f>
        <v/>
      </c>
    </row>
    <row r="676">
      <c r="A676">
        <f>ROW()</f>
        <v/>
      </c>
      <c r="B676">
        <f>IF(설정!$C$4="","",IFERROR(INDEX('1.산군_붙여넣기'!$A$1:$AZ$1001,ROW(),설정!$C$4)&amp;"",""))</f>
        <v/>
      </c>
      <c r="C676">
        <f>IF(설정!$C$5="","",IFERROR(INDEX('1.산군_붙여넣기'!$A$1:$AZ$1001,ROW(),설정!$C$5)&amp;"",""))</f>
        <v/>
      </c>
      <c r="D676" s="5">
        <f>IFERROR(VALUE(SUBSTITUTE(SUBSTITUTE(SUBSTITUTE(IF(설정!$C$6="","",IFERROR(INDEX('1.산군_붙여넣기'!$A$1:$AZ$1001,ROW(),설정!$C$6)&amp;"","")),",",""),"㎡",""),"m2","")),"")</f>
        <v/>
      </c>
      <c r="E676">
        <f>IF(설정!$C$7="","",IFERROR(INDEX('1.산군_붙여넣기'!$A$1:$AZ$1001,ROW(),설정!$C$7)&amp;"",""))</f>
        <v/>
      </c>
      <c r="F676">
        <f>IF(설정!$C$8="","",IFERROR(INDEX('1.산군_붙여넣기'!$A$1:$AZ$1001,ROW(),설정!$C$8)&amp;"",""))</f>
        <v/>
      </c>
      <c r="G676">
        <f>IF(설정!$C$9="","",IFERROR(INDEX('1.산군_붙여넣기'!$A$1:$AZ$1001,ROW(),설정!$C$9)&amp;"",""))</f>
        <v/>
      </c>
      <c r="H676">
        <f>IF(설정!$C$10="","",IFERROR(INDEX('1.산군_붙여넣기'!$A$1:$AZ$1001,ROW(),설정!$C$10)&amp;"",""))</f>
        <v/>
      </c>
      <c r="I676">
        <f>IF(설정!$C$11="","",IFERROR(INDEX('1.산군_붙여넣기'!$A$1:$AZ$1001,ROW(),설정!$C$11)&amp;"",""))</f>
        <v/>
      </c>
      <c r="J676">
        <f>IF(설정!$C$12="","",IFERROR(INDEX('1.산군_붙여넣기'!$A$1:$AZ$1001,ROW(),설정!$C$12)&amp;"",""))</f>
        <v/>
      </c>
      <c r="K676">
        <f>IF(설정!$C$13="","",IFERROR(INDEX('1.산군_붙여넣기'!$A$1:$AZ$1001,ROW(),설정!$C$13)&amp;"",""))</f>
        <v/>
      </c>
      <c r="L676" s="7">
        <f>IF(X676="","",IF(AND(LEN(X676)=8,ISNUMBER(X676*1)),DATE(LEFT(X676,4),MID(X676,5,2),RIGHT(X676,2)),IFERROR(DATEVALUE(SUBSTITUTE(SUBSTITUTE(X676,".","-"),"/","-")),IFERROR(X676*1,""))))</f>
        <v/>
      </c>
      <c r="M676" s="7">
        <f>IF(Y676="","",IF(AND(LEN(Y676)=8,ISNUMBER(Y676*1)),DATE(LEFT(Y676,4),MID(Y676,5,2),RIGHT(Y676,2)),IFERROR(DATEVALUE(SUBSTITUTE(SUBSTITUTE(Y676,".","-"),"/","-")),IFERROR(Y676*1,""))))</f>
        <v/>
      </c>
      <c r="N676">
        <f>IFERROR(LEFT(B676,FIND(" ",B676)-1),B676)</f>
        <v/>
      </c>
      <c r="O676">
        <f>AND(B676&lt;&gt;"",B676&lt;&gt;설정!$B$4,C676&lt;&gt;설정!$B$5)</f>
        <v/>
      </c>
      <c r="P676">
        <f>IF(O676,B676&amp;"|"&amp;C676,"")</f>
        <v/>
      </c>
      <c r="Q676">
        <f>AND(O676,COUNTIF(P677:P$1002,P676)=0)</f>
        <v/>
      </c>
      <c r="R676">
        <f>OR(AND(설정!$A$42&lt;&gt;"",ISNUMBER(SEARCH(설정!$A$42,E676&amp;" "&amp;C676))),AND(설정!$A$43&lt;&gt;"",ISNUMBER(SEARCH(설정!$A$43,E676&amp;" "&amp;C676))),AND(설정!$A$44&lt;&gt;"",ISNUMBER(SEARCH(설정!$A$44,E676&amp;" "&amp;C676))),AND(설정!$A$45&lt;&gt;"",ISNUMBER(SEARCH(설정!$A$45,E676&amp;" "&amp;C676))),AND(설정!$A$46&lt;&gt;"",ISNUMBER(SEARCH(설정!$A$46,E676&amp;" "&amp;C676))),AND(설정!$A$47&lt;&gt;"",ISNUMBER(SEARCH(설정!$A$47,E676&amp;" "&amp;C676))),AND(설정!$A$48&lt;&gt;"",ISNUMBER(SEARCH(설정!$A$48,E676&amp;" "&amp;C676))),AND(설정!$A$49&lt;&gt;"",ISNUMBER(SEARCH(설정!$A$49,E676&amp;" "&amp;C676))),AND(설정!$A$50&lt;&gt;"",ISNUMBER(SEARCH(설정!$A$50,E676&amp;" "&amp;C676))),AND(설정!$A$51&lt;&gt;"",ISNUMBER(SEARCH(설정!$A$51,E676&amp;" "&amp;C676))))</f>
        <v/>
      </c>
      <c r="S676">
        <f>OR(D676="",D676&gt;=설정!$B$19)</f>
        <v/>
      </c>
      <c r="T676">
        <f>AND(Q676,R676,S676)</f>
        <v/>
      </c>
      <c r="U676">
        <f>IF(T676,IF(AND(설정!$A$54&lt;&gt;"",ISNUMBER(SEARCH(설정!$A$54,K676))),설정!$B$54,IF(AND(설정!$A$55&lt;&gt;"",ISNUMBER(SEARCH(설정!$A$55,K676))),설정!$B$55,IF(AND(설정!$A$56&lt;&gt;"",ISNUMBER(SEARCH(설정!$A$56,K676))),설정!$B$56,IF(AND(설정!$A$57&lt;&gt;"",ISNUMBER(SEARCH(설정!$A$57,K676))),설정!$B$57,IF(AND(설정!$A$58&lt;&gt;"",ISNUMBER(SEARCH(설정!$A$58,K676))),설정!$B$58,IF(AND(설정!$A$59&lt;&gt;"",ISNUMBER(SEARCH(설정!$A$59,K676))),설정!$B$59,IF(AND(설정!$A$60&lt;&gt;"",ISNUMBER(SEARCH(설정!$A$60,K676))),설정!$B$60,IF(AND(설정!$A$61&lt;&gt;"",ISNUMBER(SEARCH(설정!$A$61,K676))),설정!$B$61,IF(M676="","설계사","시공사"))))))))),"")</f>
        <v/>
      </c>
      <c r="V676">
        <f>SUBSTITUTE(SUBSTITUTE(SUBSTITUTE(SUBSTITUTE(G676,"(주)",""),"㈜",""),"주식회사","")," ","")</f>
        <v/>
      </c>
      <c r="W676">
        <f>IF(AND(T676,V676&lt;&gt;""),IF(COUNTIFS(V$2:V676,V676,T$2:T676,TRUE)=1,MAX(W$1:W675)+1,""),"")</f>
        <v/>
      </c>
      <c r="X676">
        <f>IF(설정!$C$14="","",IFERROR(INDEX('1.산군_붙여넣기'!$A$1:$AZ$1001,ROW(),설정!$C$14)&amp;"",""))</f>
        <v/>
      </c>
      <c r="Y676">
        <f>IF(설정!$C$15="","",IFERROR(INDEX('1.산군_붙여넣기'!$A$1:$AZ$1001,ROW(),설정!$C$15)&amp;"",""))</f>
        <v/>
      </c>
      <c r="Z676">
        <f>IF(T676,V676&amp;"|"&amp;U676,"")</f>
        <v/>
      </c>
      <c r="AA676">
        <f>IF(NOT(Q676),"",IF(NOT(AND(R676,S676)),"✕",IF(OR(OR(AND(L676&lt;&gt;"",M676&lt;&gt;"",N(M676)-N(L676)&gt;설정!$B$27),AND(L676&lt;&gt;"",M676="",설정!$B$24-N(L676)&gt;설정!$B$27)),AND(D676&lt;&gt;"",D676&lt;설정!$B$26)),"△","★")))</f>
        <v/>
      </c>
      <c r="AB676">
        <f>IF(NOT(T676),"",IF(U676="설계사",설정!$B$31,IF(U676="시공사",IF(OR(M676="",설정!$B$24-N(M676)&lt;=설정!$B$28*30.4),설정!$B$32,설정!$B$33),설정!$B$34))+IF(AA676="★",설정!$B$35,0))</f>
        <v/>
      </c>
      <c r="AC676">
        <f>SUBSTITUTE(SUBSTITUTE(SUBSTITUTE(SUBSTITUTE(H676,"(주)",""),"㈜",""),"주식회사","")," ","")</f>
        <v/>
      </c>
      <c r="AD676">
        <f>IF(AND(T676,AC676&lt;&gt;""),IF(COUNTIFS(AC$2:AC676,AC676,T$2:T676,TRUE)=1,MAX(AD$1:AD675)+1,""),"")</f>
        <v/>
      </c>
    </row>
    <row r="677">
      <c r="A677">
        <f>ROW()</f>
        <v/>
      </c>
      <c r="B677">
        <f>IF(설정!$C$4="","",IFERROR(INDEX('1.산군_붙여넣기'!$A$1:$AZ$1001,ROW(),설정!$C$4)&amp;"",""))</f>
        <v/>
      </c>
      <c r="C677">
        <f>IF(설정!$C$5="","",IFERROR(INDEX('1.산군_붙여넣기'!$A$1:$AZ$1001,ROW(),설정!$C$5)&amp;"",""))</f>
        <v/>
      </c>
      <c r="D677" s="5">
        <f>IFERROR(VALUE(SUBSTITUTE(SUBSTITUTE(SUBSTITUTE(IF(설정!$C$6="","",IFERROR(INDEX('1.산군_붙여넣기'!$A$1:$AZ$1001,ROW(),설정!$C$6)&amp;"","")),",",""),"㎡",""),"m2","")),"")</f>
        <v/>
      </c>
      <c r="E677">
        <f>IF(설정!$C$7="","",IFERROR(INDEX('1.산군_붙여넣기'!$A$1:$AZ$1001,ROW(),설정!$C$7)&amp;"",""))</f>
        <v/>
      </c>
      <c r="F677">
        <f>IF(설정!$C$8="","",IFERROR(INDEX('1.산군_붙여넣기'!$A$1:$AZ$1001,ROW(),설정!$C$8)&amp;"",""))</f>
        <v/>
      </c>
      <c r="G677">
        <f>IF(설정!$C$9="","",IFERROR(INDEX('1.산군_붙여넣기'!$A$1:$AZ$1001,ROW(),설정!$C$9)&amp;"",""))</f>
        <v/>
      </c>
      <c r="H677">
        <f>IF(설정!$C$10="","",IFERROR(INDEX('1.산군_붙여넣기'!$A$1:$AZ$1001,ROW(),설정!$C$10)&amp;"",""))</f>
        <v/>
      </c>
      <c r="I677">
        <f>IF(설정!$C$11="","",IFERROR(INDEX('1.산군_붙여넣기'!$A$1:$AZ$1001,ROW(),설정!$C$11)&amp;"",""))</f>
        <v/>
      </c>
      <c r="J677">
        <f>IF(설정!$C$12="","",IFERROR(INDEX('1.산군_붙여넣기'!$A$1:$AZ$1001,ROW(),설정!$C$12)&amp;"",""))</f>
        <v/>
      </c>
      <c r="K677">
        <f>IF(설정!$C$13="","",IFERROR(INDEX('1.산군_붙여넣기'!$A$1:$AZ$1001,ROW(),설정!$C$13)&amp;"",""))</f>
        <v/>
      </c>
      <c r="L677" s="7">
        <f>IF(X677="","",IF(AND(LEN(X677)=8,ISNUMBER(X677*1)),DATE(LEFT(X677,4),MID(X677,5,2),RIGHT(X677,2)),IFERROR(DATEVALUE(SUBSTITUTE(SUBSTITUTE(X677,".","-"),"/","-")),IFERROR(X677*1,""))))</f>
        <v/>
      </c>
      <c r="M677" s="7">
        <f>IF(Y677="","",IF(AND(LEN(Y677)=8,ISNUMBER(Y677*1)),DATE(LEFT(Y677,4),MID(Y677,5,2),RIGHT(Y677,2)),IFERROR(DATEVALUE(SUBSTITUTE(SUBSTITUTE(Y677,".","-"),"/","-")),IFERROR(Y677*1,""))))</f>
        <v/>
      </c>
      <c r="N677">
        <f>IFERROR(LEFT(B677,FIND(" ",B677)-1),B677)</f>
        <v/>
      </c>
      <c r="O677">
        <f>AND(B677&lt;&gt;"",B677&lt;&gt;설정!$B$4,C677&lt;&gt;설정!$B$5)</f>
        <v/>
      </c>
      <c r="P677">
        <f>IF(O677,B677&amp;"|"&amp;C677,"")</f>
        <v/>
      </c>
      <c r="Q677">
        <f>AND(O677,COUNTIF(P678:P$1002,P677)=0)</f>
        <v/>
      </c>
      <c r="R677">
        <f>OR(AND(설정!$A$42&lt;&gt;"",ISNUMBER(SEARCH(설정!$A$42,E677&amp;" "&amp;C677))),AND(설정!$A$43&lt;&gt;"",ISNUMBER(SEARCH(설정!$A$43,E677&amp;" "&amp;C677))),AND(설정!$A$44&lt;&gt;"",ISNUMBER(SEARCH(설정!$A$44,E677&amp;" "&amp;C677))),AND(설정!$A$45&lt;&gt;"",ISNUMBER(SEARCH(설정!$A$45,E677&amp;" "&amp;C677))),AND(설정!$A$46&lt;&gt;"",ISNUMBER(SEARCH(설정!$A$46,E677&amp;" "&amp;C677))),AND(설정!$A$47&lt;&gt;"",ISNUMBER(SEARCH(설정!$A$47,E677&amp;" "&amp;C677))),AND(설정!$A$48&lt;&gt;"",ISNUMBER(SEARCH(설정!$A$48,E677&amp;" "&amp;C677))),AND(설정!$A$49&lt;&gt;"",ISNUMBER(SEARCH(설정!$A$49,E677&amp;" "&amp;C677))),AND(설정!$A$50&lt;&gt;"",ISNUMBER(SEARCH(설정!$A$50,E677&amp;" "&amp;C677))),AND(설정!$A$51&lt;&gt;"",ISNUMBER(SEARCH(설정!$A$51,E677&amp;" "&amp;C677))))</f>
        <v/>
      </c>
      <c r="S677">
        <f>OR(D677="",D677&gt;=설정!$B$19)</f>
        <v/>
      </c>
      <c r="T677">
        <f>AND(Q677,R677,S677)</f>
        <v/>
      </c>
      <c r="U677">
        <f>IF(T677,IF(AND(설정!$A$54&lt;&gt;"",ISNUMBER(SEARCH(설정!$A$54,K677))),설정!$B$54,IF(AND(설정!$A$55&lt;&gt;"",ISNUMBER(SEARCH(설정!$A$55,K677))),설정!$B$55,IF(AND(설정!$A$56&lt;&gt;"",ISNUMBER(SEARCH(설정!$A$56,K677))),설정!$B$56,IF(AND(설정!$A$57&lt;&gt;"",ISNUMBER(SEARCH(설정!$A$57,K677))),설정!$B$57,IF(AND(설정!$A$58&lt;&gt;"",ISNUMBER(SEARCH(설정!$A$58,K677))),설정!$B$58,IF(AND(설정!$A$59&lt;&gt;"",ISNUMBER(SEARCH(설정!$A$59,K677))),설정!$B$59,IF(AND(설정!$A$60&lt;&gt;"",ISNUMBER(SEARCH(설정!$A$60,K677))),설정!$B$60,IF(AND(설정!$A$61&lt;&gt;"",ISNUMBER(SEARCH(설정!$A$61,K677))),설정!$B$61,IF(M677="","설계사","시공사"))))))))),"")</f>
        <v/>
      </c>
      <c r="V677">
        <f>SUBSTITUTE(SUBSTITUTE(SUBSTITUTE(SUBSTITUTE(G677,"(주)",""),"㈜",""),"주식회사","")," ","")</f>
        <v/>
      </c>
      <c r="W677">
        <f>IF(AND(T677,V677&lt;&gt;""),IF(COUNTIFS(V$2:V677,V677,T$2:T677,TRUE)=1,MAX(W$1:W676)+1,""),"")</f>
        <v/>
      </c>
      <c r="X677">
        <f>IF(설정!$C$14="","",IFERROR(INDEX('1.산군_붙여넣기'!$A$1:$AZ$1001,ROW(),설정!$C$14)&amp;"",""))</f>
        <v/>
      </c>
      <c r="Y677">
        <f>IF(설정!$C$15="","",IFERROR(INDEX('1.산군_붙여넣기'!$A$1:$AZ$1001,ROW(),설정!$C$15)&amp;"",""))</f>
        <v/>
      </c>
      <c r="Z677">
        <f>IF(T677,V677&amp;"|"&amp;U677,"")</f>
        <v/>
      </c>
      <c r="AA677">
        <f>IF(NOT(Q677),"",IF(NOT(AND(R677,S677)),"✕",IF(OR(OR(AND(L677&lt;&gt;"",M677&lt;&gt;"",N(M677)-N(L677)&gt;설정!$B$27),AND(L677&lt;&gt;"",M677="",설정!$B$24-N(L677)&gt;설정!$B$27)),AND(D677&lt;&gt;"",D677&lt;설정!$B$26)),"△","★")))</f>
        <v/>
      </c>
      <c r="AB677">
        <f>IF(NOT(T677),"",IF(U677="설계사",설정!$B$31,IF(U677="시공사",IF(OR(M677="",설정!$B$24-N(M677)&lt;=설정!$B$28*30.4),설정!$B$32,설정!$B$33),설정!$B$34))+IF(AA677="★",설정!$B$35,0))</f>
        <v/>
      </c>
      <c r="AC677">
        <f>SUBSTITUTE(SUBSTITUTE(SUBSTITUTE(SUBSTITUTE(H677,"(주)",""),"㈜",""),"주식회사","")," ","")</f>
        <v/>
      </c>
      <c r="AD677">
        <f>IF(AND(T677,AC677&lt;&gt;""),IF(COUNTIFS(AC$2:AC677,AC677,T$2:T677,TRUE)=1,MAX(AD$1:AD676)+1,""),"")</f>
        <v/>
      </c>
    </row>
    <row r="678">
      <c r="A678">
        <f>ROW()</f>
        <v/>
      </c>
      <c r="B678">
        <f>IF(설정!$C$4="","",IFERROR(INDEX('1.산군_붙여넣기'!$A$1:$AZ$1001,ROW(),설정!$C$4)&amp;"",""))</f>
        <v/>
      </c>
      <c r="C678">
        <f>IF(설정!$C$5="","",IFERROR(INDEX('1.산군_붙여넣기'!$A$1:$AZ$1001,ROW(),설정!$C$5)&amp;"",""))</f>
        <v/>
      </c>
      <c r="D678" s="5">
        <f>IFERROR(VALUE(SUBSTITUTE(SUBSTITUTE(SUBSTITUTE(IF(설정!$C$6="","",IFERROR(INDEX('1.산군_붙여넣기'!$A$1:$AZ$1001,ROW(),설정!$C$6)&amp;"","")),",",""),"㎡",""),"m2","")),"")</f>
        <v/>
      </c>
      <c r="E678">
        <f>IF(설정!$C$7="","",IFERROR(INDEX('1.산군_붙여넣기'!$A$1:$AZ$1001,ROW(),설정!$C$7)&amp;"",""))</f>
        <v/>
      </c>
      <c r="F678">
        <f>IF(설정!$C$8="","",IFERROR(INDEX('1.산군_붙여넣기'!$A$1:$AZ$1001,ROW(),설정!$C$8)&amp;"",""))</f>
        <v/>
      </c>
      <c r="G678">
        <f>IF(설정!$C$9="","",IFERROR(INDEX('1.산군_붙여넣기'!$A$1:$AZ$1001,ROW(),설정!$C$9)&amp;"",""))</f>
        <v/>
      </c>
      <c r="H678">
        <f>IF(설정!$C$10="","",IFERROR(INDEX('1.산군_붙여넣기'!$A$1:$AZ$1001,ROW(),설정!$C$10)&amp;"",""))</f>
        <v/>
      </c>
      <c r="I678">
        <f>IF(설정!$C$11="","",IFERROR(INDEX('1.산군_붙여넣기'!$A$1:$AZ$1001,ROW(),설정!$C$11)&amp;"",""))</f>
        <v/>
      </c>
      <c r="J678">
        <f>IF(설정!$C$12="","",IFERROR(INDEX('1.산군_붙여넣기'!$A$1:$AZ$1001,ROW(),설정!$C$12)&amp;"",""))</f>
        <v/>
      </c>
      <c r="K678">
        <f>IF(설정!$C$13="","",IFERROR(INDEX('1.산군_붙여넣기'!$A$1:$AZ$1001,ROW(),설정!$C$13)&amp;"",""))</f>
        <v/>
      </c>
      <c r="L678" s="7">
        <f>IF(X678="","",IF(AND(LEN(X678)=8,ISNUMBER(X678*1)),DATE(LEFT(X678,4),MID(X678,5,2),RIGHT(X678,2)),IFERROR(DATEVALUE(SUBSTITUTE(SUBSTITUTE(X678,".","-"),"/","-")),IFERROR(X678*1,""))))</f>
        <v/>
      </c>
      <c r="M678" s="7">
        <f>IF(Y678="","",IF(AND(LEN(Y678)=8,ISNUMBER(Y678*1)),DATE(LEFT(Y678,4),MID(Y678,5,2),RIGHT(Y678,2)),IFERROR(DATEVALUE(SUBSTITUTE(SUBSTITUTE(Y678,".","-"),"/","-")),IFERROR(Y678*1,""))))</f>
        <v/>
      </c>
      <c r="N678">
        <f>IFERROR(LEFT(B678,FIND(" ",B678)-1),B678)</f>
        <v/>
      </c>
      <c r="O678">
        <f>AND(B678&lt;&gt;"",B678&lt;&gt;설정!$B$4,C678&lt;&gt;설정!$B$5)</f>
        <v/>
      </c>
      <c r="P678">
        <f>IF(O678,B678&amp;"|"&amp;C678,"")</f>
        <v/>
      </c>
      <c r="Q678">
        <f>AND(O678,COUNTIF(P679:P$1002,P678)=0)</f>
        <v/>
      </c>
      <c r="R678">
        <f>OR(AND(설정!$A$42&lt;&gt;"",ISNUMBER(SEARCH(설정!$A$42,E678&amp;" "&amp;C678))),AND(설정!$A$43&lt;&gt;"",ISNUMBER(SEARCH(설정!$A$43,E678&amp;" "&amp;C678))),AND(설정!$A$44&lt;&gt;"",ISNUMBER(SEARCH(설정!$A$44,E678&amp;" "&amp;C678))),AND(설정!$A$45&lt;&gt;"",ISNUMBER(SEARCH(설정!$A$45,E678&amp;" "&amp;C678))),AND(설정!$A$46&lt;&gt;"",ISNUMBER(SEARCH(설정!$A$46,E678&amp;" "&amp;C678))),AND(설정!$A$47&lt;&gt;"",ISNUMBER(SEARCH(설정!$A$47,E678&amp;" "&amp;C678))),AND(설정!$A$48&lt;&gt;"",ISNUMBER(SEARCH(설정!$A$48,E678&amp;" "&amp;C678))),AND(설정!$A$49&lt;&gt;"",ISNUMBER(SEARCH(설정!$A$49,E678&amp;" "&amp;C678))),AND(설정!$A$50&lt;&gt;"",ISNUMBER(SEARCH(설정!$A$50,E678&amp;" "&amp;C678))),AND(설정!$A$51&lt;&gt;"",ISNUMBER(SEARCH(설정!$A$51,E678&amp;" "&amp;C678))))</f>
        <v/>
      </c>
      <c r="S678">
        <f>OR(D678="",D678&gt;=설정!$B$19)</f>
        <v/>
      </c>
      <c r="T678">
        <f>AND(Q678,R678,S678)</f>
        <v/>
      </c>
      <c r="U678">
        <f>IF(T678,IF(AND(설정!$A$54&lt;&gt;"",ISNUMBER(SEARCH(설정!$A$54,K678))),설정!$B$54,IF(AND(설정!$A$55&lt;&gt;"",ISNUMBER(SEARCH(설정!$A$55,K678))),설정!$B$55,IF(AND(설정!$A$56&lt;&gt;"",ISNUMBER(SEARCH(설정!$A$56,K678))),설정!$B$56,IF(AND(설정!$A$57&lt;&gt;"",ISNUMBER(SEARCH(설정!$A$57,K678))),설정!$B$57,IF(AND(설정!$A$58&lt;&gt;"",ISNUMBER(SEARCH(설정!$A$58,K678))),설정!$B$58,IF(AND(설정!$A$59&lt;&gt;"",ISNUMBER(SEARCH(설정!$A$59,K678))),설정!$B$59,IF(AND(설정!$A$60&lt;&gt;"",ISNUMBER(SEARCH(설정!$A$60,K678))),설정!$B$60,IF(AND(설정!$A$61&lt;&gt;"",ISNUMBER(SEARCH(설정!$A$61,K678))),설정!$B$61,IF(M678="","설계사","시공사"))))))))),"")</f>
        <v/>
      </c>
      <c r="V678">
        <f>SUBSTITUTE(SUBSTITUTE(SUBSTITUTE(SUBSTITUTE(G678,"(주)",""),"㈜",""),"주식회사","")," ","")</f>
        <v/>
      </c>
      <c r="W678">
        <f>IF(AND(T678,V678&lt;&gt;""),IF(COUNTIFS(V$2:V678,V678,T$2:T678,TRUE)=1,MAX(W$1:W677)+1,""),"")</f>
        <v/>
      </c>
      <c r="X678">
        <f>IF(설정!$C$14="","",IFERROR(INDEX('1.산군_붙여넣기'!$A$1:$AZ$1001,ROW(),설정!$C$14)&amp;"",""))</f>
        <v/>
      </c>
      <c r="Y678">
        <f>IF(설정!$C$15="","",IFERROR(INDEX('1.산군_붙여넣기'!$A$1:$AZ$1001,ROW(),설정!$C$15)&amp;"",""))</f>
        <v/>
      </c>
      <c r="Z678">
        <f>IF(T678,V678&amp;"|"&amp;U678,"")</f>
        <v/>
      </c>
      <c r="AA678">
        <f>IF(NOT(Q678),"",IF(NOT(AND(R678,S678)),"✕",IF(OR(OR(AND(L678&lt;&gt;"",M678&lt;&gt;"",N(M678)-N(L678)&gt;설정!$B$27),AND(L678&lt;&gt;"",M678="",설정!$B$24-N(L678)&gt;설정!$B$27)),AND(D678&lt;&gt;"",D678&lt;설정!$B$26)),"△","★")))</f>
        <v/>
      </c>
      <c r="AB678">
        <f>IF(NOT(T678),"",IF(U678="설계사",설정!$B$31,IF(U678="시공사",IF(OR(M678="",설정!$B$24-N(M678)&lt;=설정!$B$28*30.4),설정!$B$32,설정!$B$33),설정!$B$34))+IF(AA678="★",설정!$B$35,0))</f>
        <v/>
      </c>
      <c r="AC678">
        <f>SUBSTITUTE(SUBSTITUTE(SUBSTITUTE(SUBSTITUTE(H678,"(주)",""),"㈜",""),"주식회사","")," ","")</f>
        <v/>
      </c>
      <c r="AD678">
        <f>IF(AND(T678,AC678&lt;&gt;""),IF(COUNTIFS(AC$2:AC678,AC678,T$2:T678,TRUE)=1,MAX(AD$1:AD677)+1,""),"")</f>
        <v/>
      </c>
    </row>
    <row r="679">
      <c r="A679">
        <f>ROW()</f>
        <v/>
      </c>
      <c r="B679">
        <f>IF(설정!$C$4="","",IFERROR(INDEX('1.산군_붙여넣기'!$A$1:$AZ$1001,ROW(),설정!$C$4)&amp;"",""))</f>
        <v/>
      </c>
      <c r="C679">
        <f>IF(설정!$C$5="","",IFERROR(INDEX('1.산군_붙여넣기'!$A$1:$AZ$1001,ROW(),설정!$C$5)&amp;"",""))</f>
        <v/>
      </c>
      <c r="D679" s="5">
        <f>IFERROR(VALUE(SUBSTITUTE(SUBSTITUTE(SUBSTITUTE(IF(설정!$C$6="","",IFERROR(INDEX('1.산군_붙여넣기'!$A$1:$AZ$1001,ROW(),설정!$C$6)&amp;"","")),",",""),"㎡",""),"m2","")),"")</f>
        <v/>
      </c>
      <c r="E679">
        <f>IF(설정!$C$7="","",IFERROR(INDEX('1.산군_붙여넣기'!$A$1:$AZ$1001,ROW(),설정!$C$7)&amp;"",""))</f>
        <v/>
      </c>
      <c r="F679">
        <f>IF(설정!$C$8="","",IFERROR(INDEX('1.산군_붙여넣기'!$A$1:$AZ$1001,ROW(),설정!$C$8)&amp;"",""))</f>
        <v/>
      </c>
      <c r="G679">
        <f>IF(설정!$C$9="","",IFERROR(INDEX('1.산군_붙여넣기'!$A$1:$AZ$1001,ROW(),설정!$C$9)&amp;"",""))</f>
        <v/>
      </c>
      <c r="H679">
        <f>IF(설정!$C$10="","",IFERROR(INDEX('1.산군_붙여넣기'!$A$1:$AZ$1001,ROW(),설정!$C$10)&amp;"",""))</f>
        <v/>
      </c>
      <c r="I679">
        <f>IF(설정!$C$11="","",IFERROR(INDEX('1.산군_붙여넣기'!$A$1:$AZ$1001,ROW(),설정!$C$11)&amp;"",""))</f>
        <v/>
      </c>
      <c r="J679">
        <f>IF(설정!$C$12="","",IFERROR(INDEX('1.산군_붙여넣기'!$A$1:$AZ$1001,ROW(),설정!$C$12)&amp;"",""))</f>
        <v/>
      </c>
      <c r="K679">
        <f>IF(설정!$C$13="","",IFERROR(INDEX('1.산군_붙여넣기'!$A$1:$AZ$1001,ROW(),설정!$C$13)&amp;"",""))</f>
        <v/>
      </c>
      <c r="L679" s="7">
        <f>IF(X679="","",IF(AND(LEN(X679)=8,ISNUMBER(X679*1)),DATE(LEFT(X679,4),MID(X679,5,2),RIGHT(X679,2)),IFERROR(DATEVALUE(SUBSTITUTE(SUBSTITUTE(X679,".","-"),"/","-")),IFERROR(X679*1,""))))</f>
        <v/>
      </c>
      <c r="M679" s="7">
        <f>IF(Y679="","",IF(AND(LEN(Y679)=8,ISNUMBER(Y679*1)),DATE(LEFT(Y679,4),MID(Y679,5,2),RIGHT(Y679,2)),IFERROR(DATEVALUE(SUBSTITUTE(SUBSTITUTE(Y679,".","-"),"/","-")),IFERROR(Y679*1,""))))</f>
        <v/>
      </c>
      <c r="N679">
        <f>IFERROR(LEFT(B679,FIND(" ",B679)-1),B679)</f>
        <v/>
      </c>
      <c r="O679">
        <f>AND(B679&lt;&gt;"",B679&lt;&gt;설정!$B$4,C679&lt;&gt;설정!$B$5)</f>
        <v/>
      </c>
      <c r="P679">
        <f>IF(O679,B679&amp;"|"&amp;C679,"")</f>
        <v/>
      </c>
      <c r="Q679">
        <f>AND(O679,COUNTIF(P680:P$1002,P679)=0)</f>
        <v/>
      </c>
      <c r="R679">
        <f>OR(AND(설정!$A$42&lt;&gt;"",ISNUMBER(SEARCH(설정!$A$42,E679&amp;" "&amp;C679))),AND(설정!$A$43&lt;&gt;"",ISNUMBER(SEARCH(설정!$A$43,E679&amp;" "&amp;C679))),AND(설정!$A$44&lt;&gt;"",ISNUMBER(SEARCH(설정!$A$44,E679&amp;" "&amp;C679))),AND(설정!$A$45&lt;&gt;"",ISNUMBER(SEARCH(설정!$A$45,E679&amp;" "&amp;C679))),AND(설정!$A$46&lt;&gt;"",ISNUMBER(SEARCH(설정!$A$46,E679&amp;" "&amp;C679))),AND(설정!$A$47&lt;&gt;"",ISNUMBER(SEARCH(설정!$A$47,E679&amp;" "&amp;C679))),AND(설정!$A$48&lt;&gt;"",ISNUMBER(SEARCH(설정!$A$48,E679&amp;" "&amp;C679))),AND(설정!$A$49&lt;&gt;"",ISNUMBER(SEARCH(설정!$A$49,E679&amp;" "&amp;C679))),AND(설정!$A$50&lt;&gt;"",ISNUMBER(SEARCH(설정!$A$50,E679&amp;" "&amp;C679))),AND(설정!$A$51&lt;&gt;"",ISNUMBER(SEARCH(설정!$A$51,E679&amp;" "&amp;C679))))</f>
        <v/>
      </c>
      <c r="S679">
        <f>OR(D679="",D679&gt;=설정!$B$19)</f>
        <v/>
      </c>
      <c r="T679">
        <f>AND(Q679,R679,S679)</f>
        <v/>
      </c>
      <c r="U679">
        <f>IF(T679,IF(AND(설정!$A$54&lt;&gt;"",ISNUMBER(SEARCH(설정!$A$54,K679))),설정!$B$54,IF(AND(설정!$A$55&lt;&gt;"",ISNUMBER(SEARCH(설정!$A$55,K679))),설정!$B$55,IF(AND(설정!$A$56&lt;&gt;"",ISNUMBER(SEARCH(설정!$A$56,K679))),설정!$B$56,IF(AND(설정!$A$57&lt;&gt;"",ISNUMBER(SEARCH(설정!$A$57,K679))),설정!$B$57,IF(AND(설정!$A$58&lt;&gt;"",ISNUMBER(SEARCH(설정!$A$58,K679))),설정!$B$58,IF(AND(설정!$A$59&lt;&gt;"",ISNUMBER(SEARCH(설정!$A$59,K679))),설정!$B$59,IF(AND(설정!$A$60&lt;&gt;"",ISNUMBER(SEARCH(설정!$A$60,K679))),설정!$B$60,IF(AND(설정!$A$61&lt;&gt;"",ISNUMBER(SEARCH(설정!$A$61,K679))),설정!$B$61,IF(M679="","설계사","시공사"))))))))),"")</f>
        <v/>
      </c>
      <c r="V679">
        <f>SUBSTITUTE(SUBSTITUTE(SUBSTITUTE(SUBSTITUTE(G679,"(주)",""),"㈜",""),"주식회사","")," ","")</f>
        <v/>
      </c>
      <c r="W679">
        <f>IF(AND(T679,V679&lt;&gt;""),IF(COUNTIFS(V$2:V679,V679,T$2:T679,TRUE)=1,MAX(W$1:W678)+1,""),"")</f>
        <v/>
      </c>
      <c r="X679">
        <f>IF(설정!$C$14="","",IFERROR(INDEX('1.산군_붙여넣기'!$A$1:$AZ$1001,ROW(),설정!$C$14)&amp;"",""))</f>
        <v/>
      </c>
      <c r="Y679">
        <f>IF(설정!$C$15="","",IFERROR(INDEX('1.산군_붙여넣기'!$A$1:$AZ$1001,ROW(),설정!$C$15)&amp;"",""))</f>
        <v/>
      </c>
      <c r="Z679">
        <f>IF(T679,V679&amp;"|"&amp;U679,"")</f>
        <v/>
      </c>
      <c r="AA679">
        <f>IF(NOT(Q679),"",IF(NOT(AND(R679,S679)),"✕",IF(OR(OR(AND(L679&lt;&gt;"",M679&lt;&gt;"",N(M679)-N(L679)&gt;설정!$B$27),AND(L679&lt;&gt;"",M679="",설정!$B$24-N(L679)&gt;설정!$B$27)),AND(D679&lt;&gt;"",D679&lt;설정!$B$26)),"△","★")))</f>
        <v/>
      </c>
      <c r="AB679">
        <f>IF(NOT(T679),"",IF(U679="설계사",설정!$B$31,IF(U679="시공사",IF(OR(M679="",설정!$B$24-N(M679)&lt;=설정!$B$28*30.4),설정!$B$32,설정!$B$33),설정!$B$34))+IF(AA679="★",설정!$B$35,0))</f>
        <v/>
      </c>
      <c r="AC679">
        <f>SUBSTITUTE(SUBSTITUTE(SUBSTITUTE(SUBSTITUTE(H679,"(주)",""),"㈜",""),"주식회사","")," ","")</f>
        <v/>
      </c>
      <c r="AD679">
        <f>IF(AND(T679,AC679&lt;&gt;""),IF(COUNTIFS(AC$2:AC679,AC679,T$2:T679,TRUE)=1,MAX(AD$1:AD678)+1,""),"")</f>
        <v/>
      </c>
    </row>
    <row r="680">
      <c r="A680">
        <f>ROW()</f>
        <v/>
      </c>
      <c r="B680">
        <f>IF(설정!$C$4="","",IFERROR(INDEX('1.산군_붙여넣기'!$A$1:$AZ$1001,ROW(),설정!$C$4)&amp;"",""))</f>
        <v/>
      </c>
      <c r="C680">
        <f>IF(설정!$C$5="","",IFERROR(INDEX('1.산군_붙여넣기'!$A$1:$AZ$1001,ROW(),설정!$C$5)&amp;"",""))</f>
        <v/>
      </c>
      <c r="D680" s="5">
        <f>IFERROR(VALUE(SUBSTITUTE(SUBSTITUTE(SUBSTITUTE(IF(설정!$C$6="","",IFERROR(INDEX('1.산군_붙여넣기'!$A$1:$AZ$1001,ROW(),설정!$C$6)&amp;"","")),",",""),"㎡",""),"m2","")),"")</f>
        <v/>
      </c>
      <c r="E680">
        <f>IF(설정!$C$7="","",IFERROR(INDEX('1.산군_붙여넣기'!$A$1:$AZ$1001,ROW(),설정!$C$7)&amp;"",""))</f>
        <v/>
      </c>
      <c r="F680">
        <f>IF(설정!$C$8="","",IFERROR(INDEX('1.산군_붙여넣기'!$A$1:$AZ$1001,ROW(),설정!$C$8)&amp;"",""))</f>
        <v/>
      </c>
      <c r="G680">
        <f>IF(설정!$C$9="","",IFERROR(INDEX('1.산군_붙여넣기'!$A$1:$AZ$1001,ROW(),설정!$C$9)&amp;"",""))</f>
        <v/>
      </c>
      <c r="H680">
        <f>IF(설정!$C$10="","",IFERROR(INDEX('1.산군_붙여넣기'!$A$1:$AZ$1001,ROW(),설정!$C$10)&amp;"",""))</f>
        <v/>
      </c>
      <c r="I680">
        <f>IF(설정!$C$11="","",IFERROR(INDEX('1.산군_붙여넣기'!$A$1:$AZ$1001,ROW(),설정!$C$11)&amp;"",""))</f>
        <v/>
      </c>
      <c r="J680">
        <f>IF(설정!$C$12="","",IFERROR(INDEX('1.산군_붙여넣기'!$A$1:$AZ$1001,ROW(),설정!$C$12)&amp;"",""))</f>
        <v/>
      </c>
      <c r="K680">
        <f>IF(설정!$C$13="","",IFERROR(INDEX('1.산군_붙여넣기'!$A$1:$AZ$1001,ROW(),설정!$C$13)&amp;"",""))</f>
        <v/>
      </c>
      <c r="L680" s="7">
        <f>IF(X680="","",IF(AND(LEN(X680)=8,ISNUMBER(X680*1)),DATE(LEFT(X680,4),MID(X680,5,2),RIGHT(X680,2)),IFERROR(DATEVALUE(SUBSTITUTE(SUBSTITUTE(X680,".","-"),"/","-")),IFERROR(X680*1,""))))</f>
        <v/>
      </c>
      <c r="M680" s="7">
        <f>IF(Y680="","",IF(AND(LEN(Y680)=8,ISNUMBER(Y680*1)),DATE(LEFT(Y680,4),MID(Y680,5,2),RIGHT(Y680,2)),IFERROR(DATEVALUE(SUBSTITUTE(SUBSTITUTE(Y680,".","-"),"/","-")),IFERROR(Y680*1,""))))</f>
        <v/>
      </c>
      <c r="N680">
        <f>IFERROR(LEFT(B680,FIND(" ",B680)-1),B680)</f>
        <v/>
      </c>
      <c r="O680">
        <f>AND(B680&lt;&gt;"",B680&lt;&gt;설정!$B$4,C680&lt;&gt;설정!$B$5)</f>
        <v/>
      </c>
      <c r="P680">
        <f>IF(O680,B680&amp;"|"&amp;C680,"")</f>
        <v/>
      </c>
      <c r="Q680">
        <f>AND(O680,COUNTIF(P681:P$1002,P680)=0)</f>
        <v/>
      </c>
      <c r="R680">
        <f>OR(AND(설정!$A$42&lt;&gt;"",ISNUMBER(SEARCH(설정!$A$42,E680&amp;" "&amp;C680))),AND(설정!$A$43&lt;&gt;"",ISNUMBER(SEARCH(설정!$A$43,E680&amp;" "&amp;C680))),AND(설정!$A$44&lt;&gt;"",ISNUMBER(SEARCH(설정!$A$44,E680&amp;" "&amp;C680))),AND(설정!$A$45&lt;&gt;"",ISNUMBER(SEARCH(설정!$A$45,E680&amp;" "&amp;C680))),AND(설정!$A$46&lt;&gt;"",ISNUMBER(SEARCH(설정!$A$46,E680&amp;" "&amp;C680))),AND(설정!$A$47&lt;&gt;"",ISNUMBER(SEARCH(설정!$A$47,E680&amp;" "&amp;C680))),AND(설정!$A$48&lt;&gt;"",ISNUMBER(SEARCH(설정!$A$48,E680&amp;" "&amp;C680))),AND(설정!$A$49&lt;&gt;"",ISNUMBER(SEARCH(설정!$A$49,E680&amp;" "&amp;C680))),AND(설정!$A$50&lt;&gt;"",ISNUMBER(SEARCH(설정!$A$50,E680&amp;" "&amp;C680))),AND(설정!$A$51&lt;&gt;"",ISNUMBER(SEARCH(설정!$A$51,E680&amp;" "&amp;C680))))</f>
        <v/>
      </c>
      <c r="S680">
        <f>OR(D680="",D680&gt;=설정!$B$19)</f>
        <v/>
      </c>
      <c r="T680">
        <f>AND(Q680,R680,S680)</f>
        <v/>
      </c>
      <c r="U680">
        <f>IF(T680,IF(AND(설정!$A$54&lt;&gt;"",ISNUMBER(SEARCH(설정!$A$54,K680))),설정!$B$54,IF(AND(설정!$A$55&lt;&gt;"",ISNUMBER(SEARCH(설정!$A$55,K680))),설정!$B$55,IF(AND(설정!$A$56&lt;&gt;"",ISNUMBER(SEARCH(설정!$A$56,K680))),설정!$B$56,IF(AND(설정!$A$57&lt;&gt;"",ISNUMBER(SEARCH(설정!$A$57,K680))),설정!$B$57,IF(AND(설정!$A$58&lt;&gt;"",ISNUMBER(SEARCH(설정!$A$58,K680))),설정!$B$58,IF(AND(설정!$A$59&lt;&gt;"",ISNUMBER(SEARCH(설정!$A$59,K680))),설정!$B$59,IF(AND(설정!$A$60&lt;&gt;"",ISNUMBER(SEARCH(설정!$A$60,K680))),설정!$B$60,IF(AND(설정!$A$61&lt;&gt;"",ISNUMBER(SEARCH(설정!$A$61,K680))),설정!$B$61,IF(M680="","설계사","시공사"))))))))),"")</f>
        <v/>
      </c>
      <c r="V680">
        <f>SUBSTITUTE(SUBSTITUTE(SUBSTITUTE(SUBSTITUTE(G680,"(주)",""),"㈜",""),"주식회사","")," ","")</f>
        <v/>
      </c>
      <c r="W680">
        <f>IF(AND(T680,V680&lt;&gt;""),IF(COUNTIFS(V$2:V680,V680,T$2:T680,TRUE)=1,MAX(W$1:W679)+1,""),"")</f>
        <v/>
      </c>
      <c r="X680">
        <f>IF(설정!$C$14="","",IFERROR(INDEX('1.산군_붙여넣기'!$A$1:$AZ$1001,ROW(),설정!$C$14)&amp;"",""))</f>
        <v/>
      </c>
      <c r="Y680">
        <f>IF(설정!$C$15="","",IFERROR(INDEX('1.산군_붙여넣기'!$A$1:$AZ$1001,ROW(),설정!$C$15)&amp;"",""))</f>
        <v/>
      </c>
      <c r="Z680">
        <f>IF(T680,V680&amp;"|"&amp;U680,"")</f>
        <v/>
      </c>
      <c r="AA680">
        <f>IF(NOT(Q680),"",IF(NOT(AND(R680,S680)),"✕",IF(OR(OR(AND(L680&lt;&gt;"",M680&lt;&gt;"",N(M680)-N(L680)&gt;설정!$B$27),AND(L680&lt;&gt;"",M680="",설정!$B$24-N(L680)&gt;설정!$B$27)),AND(D680&lt;&gt;"",D680&lt;설정!$B$26)),"△","★")))</f>
        <v/>
      </c>
      <c r="AB680">
        <f>IF(NOT(T680),"",IF(U680="설계사",설정!$B$31,IF(U680="시공사",IF(OR(M680="",설정!$B$24-N(M680)&lt;=설정!$B$28*30.4),설정!$B$32,설정!$B$33),설정!$B$34))+IF(AA680="★",설정!$B$35,0))</f>
        <v/>
      </c>
      <c r="AC680">
        <f>SUBSTITUTE(SUBSTITUTE(SUBSTITUTE(SUBSTITUTE(H680,"(주)",""),"㈜",""),"주식회사","")," ","")</f>
        <v/>
      </c>
      <c r="AD680">
        <f>IF(AND(T680,AC680&lt;&gt;""),IF(COUNTIFS(AC$2:AC680,AC680,T$2:T680,TRUE)=1,MAX(AD$1:AD679)+1,""),"")</f>
        <v/>
      </c>
    </row>
    <row r="681">
      <c r="A681">
        <f>ROW()</f>
        <v/>
      </c>
      <c r="B681">
        <f>IF(설정!$C$4="","",IFERROR(INDEX('1.산군_붙여넣기'!$A$1:$AZ$1001,ROW(),설정!$C$4)&amp;"",""))</f>
        <v/>
      </c>
      <c r="C681">
        <f>IF(설정!$C$5="","",IFERROR(INDEX('1.산군_붙여넣기'!$A$1:$AZ$1001,ROW(),설정!$C$5)&amp;"",""))</f>
        <v/>
      </c>
      <c r="D681" s="5">
        <f>IFERROR(VALUE(SUBSTITUTE(SUBSTITUTE(SUBSTITUTE(IF(설정!$C$6="","",IFERROR(INDEX('1.산군_붙여넣기'!$A$1:$AZ$1001,ROW(),설정!$C$6)&amp;"","")),",",""),"㎡",""),"m2","")),"")</f>
        <v/>
      </c>
      <c r="E681">
        <f>IF(설정!$C$7="","",IFERROR(INDEX('1.산군_붙여넣기'!$A$1:$AZ$1001,ROW(),설정!$C$7)&amp;"",""))</f>
        <v/>
      </c>
      <c r="F681">
        <f>IF(설정!$C$8="","",IFERROR(INDEX('1.산군_붙여넣기'!$A$1:$AZ$1001,ROW(),설정!$C$8)&amp;"",""))</f>
        <v/>
      </c>
      <c r="G681">
        <f>IF(설정!$C$9="","",IFERROR(INDEX('1.산군_붙여넣기'!$A$1:$AZ$1001,ROW(),설정!$C$9)&amp;"",""))</f>
        <v/>
      </c>
      <c r="H681">
        <f>IF(설정!$C$10="","",IFERROR(INDEX('1.산군_붙여넣기'!$A$1:$AZ$1001,ROW(),설정!$C$10)&amp;"",""))</f>
        <v/>
      </c>
      <c r="I681">
        <f>IF(설정!$C$11="","",IFERROR(INDEX('1.산군_붙여넣기'!$A$1:$AZ$1001,ROW(),설정!$C$11)&amp;"",""))</f>
        <v/>
      </c>
      <c r="J681">
        <f>IF(설정!$C$12="","",IFERROR(INDEX('1.산군_붙여넣기'!$A$1:$AZ$1001,ROW(),설정!$C$12)&amp;"",""))</f>
        <v/>
      </c>
      <c r="K681">
        <f>IF(설정!$C$13="","",IFERROR(INDEX('1.산군_붙여넣기'!$A$1:$AZ$1001,ROW(),설정!$C$13)&amp;"",""))</f>
        <v/>
      </c>
      <c r="L681" s="7">
        <f>IF(X681="","",IF(AND(LEN(X681)=8,ISNUMBER(X681*1)),DATE(LEFT(X681,4),MID(X681,5,2),RIGHT(X681,2)),IFERROR(DATEVALUE(SUBSTITUTE(SUBSTITUTE(X681,".","-"),"/","-")),IFERROR(X681*1,""))))</f>
        <v/>
      </c>
      <c r="M681" s="7">
        <f>IF(Y681="","",IF(AND(LEN(Y681)=8,ISNUMBER(Y681*1)),DATE(LEFT(Y681,4),MID(Y681,5,2),RIGHT(Y681,2)),IFERROR(DATEVALUE(SUBSTITUTE(SUBSTITUTE(Y681,".","-"),"/","-")),IFERROR(Y681*1,""))))</f>
        <v/>
      </c>
      <c r="N681">
        <f>IFERROR(LEFT(B681,FIND(" ",B681)-1),B681)</f>
        <v/>
      </c>
      <c r="O681">
        <f>AND(B681&lt;&gt;"",B681&lt;&gt;설정!$B$4,C681&lt;&gt;설정!$B$5)</f>
        <v/>
      </c>
      <c r="P681">
        <f>IF(O681,B681&amp;"|"&amp;C681,"")</f>
        <v/>
      </c>
      <c r="Q681">
        <f>AND(O681,COUNTIF(P682:P$1002,P681)=0)</f>
        <v/>
      </c>
      <c r="R681">
        <f>OR(AND(설정!$A$42&lt;&gt;"",ISNUMBER(SEARCH(설정!$A$42,E681&amp;" "&amp;C681))),AND(설정!$A$43&lt;&gt;"",ISNUMBER(SEARCH(설정!$A$43,E681&amp;" "&amp;C681))),AND(설정!$A$44&lt;&gt;"",ISNUMBER(SEARCH(설정!$A$44,E681&amp;" "&amp;C681))),AND(설정!$A$45&lt;&gt;"",ISNUMBER(SEARCH(설정!$A$45,E681&amp;" "&amp;C681))),AND(설정!$A$46&lt;&gt;"",ISNUMBER(SEARCH(설정!$A$46,E681&amp;" "&amp;C681))),AND(설정!$A$47&lt;&gt;"",ISNUMBER(SEARCH(설정!$A$47,E681&amp;" "&amp;C681))),AND(설정!$A$48&lt;&gt;"",ISNUMBER(SEARCH(설정!$A$48,E681&amp;" "&amp;C681))),AND(설정!$A$49&lt;&gt;"",ISNUMBER(SEARCH(설정!$A$49,E681&amp;" "&amp;C681))),AND(설정!$A$50&lt;&gt;"",ISNUMBER(SEARCH(설정!$A$50,E681&amp;" "&amp;C681))),AND(설정!$A$51&lt;&gt;"",ISNUMBER(SEARCH(설정!$A$51,E681&amp;" "&amp;C681))))</f>
        <v/>
      </c>
      <c r="S681">
        <f>OR(D681="",D681&gt;=설정!$B$19)</f>
        <v/>
      </c>
      <c r="T681">
        <f>AND(Q681,R681,S681)</f>
        <v/>
      </c>
      <c r="U681">
        <f>IF(T681,IF(AND(설정!$A$54&lt;&gt;"",ISNUMBER(SEARCH(설정!$A$54,K681))),설정!$B$54,IF(AND(설정!$A$55&lt;&gt;"",ISNUMBER(SEARCH(설정!$A$55,K681))),설정!$B$55,IF(AND(설정!$A$56&lt;&gt;"",ISNUMBER(SEARCH(설정!$A$56,K681))),설정!$B$56,IF(AND(설정!$A$57&lt;&gt;"",ISNUMBER(SEARCH(설정!$A$57,K681))),설정!$B$57,IF(AND(설정!$A$58&lt;&gt;"",ISNUMBER(SEARCH(설정!$A$58,K681))),설정!$B$58,IF(AND(설정!$A$59&lt;&gt;"",ISNUMBER(SEARCH(설정!$A$59,K681))),설정!$B$59,IF(AND(설정!$A$60&lt;&gt;"",ISNUMBER(SEARCH(설정!$A$60,K681))),설정!$B$60,IF(AND(설정!$A$61&lt;&gt;"",ISNUMBER(SEARCH(설정!$A$61,K681))),설정!$B$61,IF(M681="","설계사","시공사"))))))))),"")</f>
        <v/>
      </c>
      <c r="V681">
        <f>SUBSTITUTE(SUBSTITUTE(SUBSTITUTE(SUBSTITUTE(G681,"(주)",""),"㈜",""),"주식회사","")," ","")</f>
        <v/>
      </c>
      <c r="W681">
        <f>IF(AND(T681,V681&lt;&gt;""),IF(COUNTIFS(V$2:V681,V681,T$2:T681,TRUE)=1,MAX(W$1:W680)+1,""),"")</f>
        <v/>
      </c>
      <c r="X681">
        <f>IF(설정!$C$14="","",IFERROR(INDEX('1.산군_붙여넣기'!$A$1:$AZ$1001,ROW(),설정!$C$14)&amp;"",""))</f>
        <v/>
      </c>
      <c r="Y681">
        <f>IF(설정!$C$15="","",IFERROR(INDEX('1.산군_붙여넣기'!$A$1:$AZ$1001,ROW(),설정!$C$15)&amp;"",""))</f>
        <v/>
      </c>
      <c r="Z681">
        <f>IF(T681,V681&amp;"|"&amp;U681,"")</f>
        <v/>
      </c>
      <c r="AA681">
        <f>IF(NOT(Q681),"",IF(NOT(AND(R681,S681)),"✕",IF(OR(OR(AND(L681&lt;&gt;"",M681&lt;&gt;"",N(M681)-N(L681)&gt;설정!$B$27),AND(L681&lt;&gt;"",M681="",설정!$B$24-N(L681)&gt;설정!$B$27)),AND(D681&lt;&gt;"",D681&lt;설정!$B$26)),"△","★")))</f>
        <v/>
      </c>
      <c r="AB681">
        <f>IF(NOT(T681),"",IF(U681="설계사",설정!$B$31,IF(U681="시공사",IF(OR(M681="",설정!$B$24-N(M681)&lt;=설정!$B$28*30.4),설정!$B$32,설정!$B$33),설정!$B$34))+IF(AA681="★",설정!$B$35,0))</f>
        <v/>
      </c>
      <c r="AC681">
        <f>SUBSTITUTE(SUBSTITUTE(SUBSTITUTE(SUBSTITUTE(H681,"(주)",""),"㈜",""),"주식회사","")," ","")</f>
        <v/>
      </c>
      <c r="AD681">
        <f>IF(AND(T681,AC681&lt;&gt;""),IF(COUNTIFS(AC$2:AC681,AC681,T$2:T681,TRUE)=1,MAX(AD$1:AD680)+1,""),"")</f>
        <v/>
      </c>
    </row>
    <row r="682">
      <c r="A682">
        <f>ROW()</f>
        <v/>
      </c>
      <c r="B682">
        <f>IF(설정!$C$4="","",IFERROR(INDEX('1.산군_붙여넣기'!$A$1:$AZ$1001,ROW(),설정!$C$4)&amp;"",""))</f>
        <v/>
      </c>
      <c r="C682">
        <f>IF(설정!$C$5="","",IFERROR(INDEX('1.산군_붙여넣기'!$A$1:$AZ$1001,ROW(),설정!$C$5)&amp;"",""))</f>
        <v/>
      </c>
      <c r="D682" s="5">
        <f>IFERROR(VALUE(SUBSTITUTE(SUBSTITUTE(SUBSTITUTE(IF(설정!$C$6="","",IFERROR(INDEX('1.산군_붙여넣기'!$A$1:$AZ$1001,ROW(),설정!$C$6)&amp;"","")),",",""),"㎡",""),"m2","")),"")</f>
        <v/>
      </c>
      <c r="E682">
        <f>IF(설정!$C$7="","",IFERROR(INDEX('1.산군_붙여넣기'!$A$1:$AZ$1001,ROW(),설정!$C$7)&amp;"",""))</f>
        <v/>
      </c>
      <c r="F682">
        <f>IF(설정!$C$8="","",IFERROR(INDEX('1.산군_붙여넣기'!$A$1:$AZ$1001,ROW(),설정!$C$8)&amp;"",""))</f>
        <v/>
      </c>
      <c r="G682">
        <f>IF(설정!$C$9="","",IFERROR(INDEX('1.산군_붙여넣기'!$A$1:$AZ$1001,ROW(),설정!$C$9)&amp;"",""))</f>
        <v/>
      </c>
      <c r="H682">
        <f>IF(설정!$C$10="","",IFERROR(INDEX('1.산군_붙여넣기'!$A$1:$AZ$1001,ROW(),설정!$C$10)&amp;"",""))</f>
        <v/>
      </c>
      <c r="I682">
        <f>IF(설정!$C$11="","",IFERROR(INDEX('1.산군_붙여넣기'!$A$1:$AZ$1001,ROW(),설정!$C$11)&amp;"",""))</f>
        <v/>
      </c>
      <c r="J682">
        <f>IF(설정!$C$12="","",IFERROR(INDEX('1.산군_붙여넣기'!$A$1:$AZ$1001,ROW(),설정!$C$12)&amp;"",""))</f>
        <v/>
      </c>
      <c r="K682">
        <f>IF(설정!$C$13="","",IFERROR(INDEX('1.산군_붙여넣기'!$A$1:$AZ$1001,ROW(),설정!$C$13)&amp;"",""))</f>
        <v/>
      </c>
      <c r="L682" s="7">
        <f>IF(X682="","",IF(AND(LEN(X682)=8,ISNUMBER(X682*1)),DATE(LEFT(X682,4),MID(X682,5,2),RIGHT(X682,2)),IFERROR(DATEVALUE(SUBSTITUTE(SUBSTITUTE(X682,".","-"),"/","-")),IFERROR(X682*1,""))))</f>
        <v/>
      </c>
      <c r="M682" s="7">
        <f>IF(Y682="","",IF(AND(LEN(Y682)=8,ISNUMBER(Y682*1)),DATE(LEFT(Y682,4),MID(Y682,5,2),RIGHT(Y682,2)),IFERROR(DATEVALUE(SUBSTITUTE(SUBSTITUTE(Y682,".","-"),"/","-")),IFERROR(Y682*1,""))))</f>
        <v/>
      </c>
      <c r="N682">
        <f>IFERROR(LEFT(B682,FIND(" ",B682)-1),B682)</f>
        <v/>
      </c>
      <c r="O682">
        <f>AND(B682&lt;&gt;"",B682&lt;&gt;설정!$B$4,C682&lt;&gt;설정!$B$5)</f>
        <v/>
      </c>
      <c r="P682">
        <f>IF(O682,B682&amp;"|"&amp;C682,"")</f>
        <v/>
      </c>
      <c r="Q682">
        <f>AND(O682,COUNTIF(P683:P$1002,P682)=0)</f>
        <v/>
      </c>
      <c r="R682">
        <f>OR(AND(설정!$A$42&lt;&gt;"",ISNUMBER(SEARCH(설정!$A$42,E682&amp;" "&amp;C682))),AND(설정!$A$43&lt;&gt;"",ISNUMBER(SEARCH(설정!$A$43,E682&amp;" "&amp;C682))),AND(설정!$A$44&lt;&gt;"",ISNUMBER(SEARCH(설정!$A$44,E682&amp;" "&amp;C682))),AND(설정!$A$45&lt;&gt;"",ISNUMBER(SEARCH(설정!$A$45,E682&amp;" "&amp;C682))),AND(설정!$A$46&lt;&gt;"",ISNUMBER(SEARCH(설정!$A$46,E682&amp;" "&amp;C682))),AND(설정!$A$47&lt;&gt;"",ISNUMBER(SEARCH(설정!$A$47,E682&amp;" "&amp;C682))),AND(설정!$A$48&lt;&gt;"",ISNUMBER(SEARCH(설정!$A$48,E682&amp;" "&amp;C682))),AND(설정!$A$49&lt;&gt;"",ISNUMBER(SEARCH(설정!$A$49,E682&amp;" "&amp;C682))),AND(설정!$A$50&lt;&gt;"",ISNUMBER(SEARCH(설정!$A$50,E682&amp;" "&amp;C682))),AND(설정!$A$51&lt;&gt;"",ISNUMBER(SEARCH(설정!$A$51,E682&amp;" "&amp;C682))))</f>
        <v/>
      </c>
      <c r="S682">
        <f>OR(D682="",D682&gt;=설정!$B$19)</f>
        <v/>
      </c>
      <c r="T682">
        <f>AND(Q682,R682,S682)</f>
        <v/>
      </c>
      <c r="U682">
        <f>IF(T682,IF(AND(설정!$A$54&lt;&gt;"",ISNUMBER(SEARCH(설정!$A$54,K682))),설정!$B$54,IF(AND(설정!$A$55&lt;&gt;"",ISNUMBER(SEARCH(설정!$A$55,K682))),설정!$B$55,IF(AND(설정!$A$56&lt;&gt;"",ISNUMBER(SEARCH(설정!$A$56,K682))),설정!$B$56,IF(AND(설정!$A$57&lt;&gt;"",ISNUMBER(SEARCH(설정!$A$57,K682))),설정!$B$57,IF(AND(설정!$A$58&lt;&gt;"",ISNUMBER(SEARCH(설정!$A$58,K682))),설정!$B$58,IF(AND(설정!$A$59&lt;&gt;"",ISNUMBER(SEARCH(설정!$A$59,K682))),설정!$B$59,IF(AND(설정!$A$60&lt;&gt;"",ISNUMBER(SEARCH(설정!$A$60,K682))),설정!$B$60,IF(AND(설정!$A$61&lt;&gt;"",ISNUMBER(SEARCH(설정!$A$61,K682))),설정!$B$61,IF(M682="","설계사","시공사"))))))))),"")</f>
        <v/>
      </c>
      <c r="V682">
        <f>SUBSTITUTE(SUBSTITUTE(SUBSTITUTE(SUBSTITUTE(G682,"(주)",""),"㈜",""),"주식회사","")," ","")</f>
        <v/>
      </c>
      <c r="W682">
        <f>IF(AND(T682,V682&lt;&gt;""),IF(COUNTIFS(V$2:V682,V682,T$2:T682,TRUE)=1,MAX(W$1:W681)+1,""),"")</f>
        <v/>
      </c>
      <c r="X682">
        <f>IF(설정!$C$14="","",IFERROR(INDEX('1.산군_붙여넣기'!$A$1:$AZ$1001,ROW(),설정!$C$14)&amp;"",""))</f>
        <v/>
      </c>
      <c r="Y682">
        <f>IF(설정!$C$15="","",IFERROR(INDEX('1.산군_붙여넣기'!$A$1:$AZ$1001,ROW(),설정!$C$15)&amp;"",""))</f>
        <v/>
      </c>
      <c r="Z682">
        <f>IF(T682,V682&amp;"|"&amp;U682,"")</f>
        <v/>
      </c>
      <c r="AA682">
        <f>IF(NOT(Q682),"",IF(NOT(AND(R682,S682)),"✕",IF(OR(OR(AND(L682&lt;&gt;"",M682&lt;&gt;"",N(M682)-N(L682)&gt;설정!$B$27),AND(L682&lt;&gt;"",M682="",설정!$B$24-N(L682)&gt;설정!$B$27)),AND(D682&lt;&gt;"",D682&lt;설정!$B$26)),"△","★")))</f>
        <v/>
      </c>
      <c r="AB682">
        <f>IF(NOT(T682),"",IF(U682="설계사",설정!$B$31,IF(U682="시공사",IF(OR(M682="",설정!$B$24-N(M682)&lt;=설정!$B$28*30.4),설정!$B$32,설정!$B$33),설정!$B$34))+IF(AA682="★",설정!$B$35,0))</f>
        <v/>
      </c>
      <c r="AC682">
        <f>SUBSTITUTE(SUBSTITUTE(SUBSTITUTE(SUBSTITUTE(H682,"(주)",""),"㈜",""),"주식회사","")," ","")</f>
        <v/>
      </c>
      <c r="AD682">
        <f>IF(AND(T682,AC682&lt;&gt;""),IF(COUNTIFS(AC$2:AC682,AC682,T$2:T682,TRUE)=1,MAX(AD$1:AD681)+1,""),"")</f>
        <v/>
      </c>
    </row>
    <row r="683">
      <c r="A683">
        <f>ROW()</f>
        <v/>
      </c>
      <c r="B683">
        <f>IF(설정!$C$4="","",IFERROR(INDEX('1.산군_붙여넣기'!$A$1:$AZ$1001,ROW(),설정!$C$4)&amp;"",""))</f>
        <v/>
      </c>
      <c r="C683">
        <f>IF(설정!$C$5="","",IFERROR(INDEX('1.산군_붙여넣기'!$A$1:$AZ$1001,ROW(),설정!$C$5)&amp;"",""))</f>
        <v/>
      </c>
      <c r="D683" s="5">
        <f>IFERROR(VALUE(SUBSTITUTE(SUBSTITUTE(SUBSTITUTE(IF(설정!$C$6="","",IFERROR(INDEX('1.산군_붙여넣기'!$A$1:$AZ$1001,ROW(),설정!$C$6)&amp;"","")),",",""),"㎡",""),"m2","")),"")</f>
        <v/>
      </c>
      <c r="E683">
        <f>IF(설정!$C$7="","",IFERROR(INDEX('1.산군_붙여넣기'!$A$1:$AZ$1001,ROW(),설정!$C$7)&amp;"",""))</f>
        <v/>
      </c>
      <c r="F683">
        <f>IF(설정!$C$8="","",IFERROR(INDEX('1.산군_붙여넣기'!$A$1:$AZ$1001,ROW(),설정!$C$8)&amp;"",""))</f>
        <v/>
      </c>
      <c r="G683">
        <f>IF(설정!$C$9="","",IFERROR(INDEX('1.산군_붙여넣기'!$A$1:$AZ$1001,ROW(),설정!$C$9)&amp;"",""))</f>
        <v/>
      </c>
      <c r="H683">
        <f>IF(설정!$C$10="","",IFERROR(INDEX('1.산군_붙여넣기'!$A$1:$AZ$1001,ROW(),설정!$C$10)&amp;"",""))</f>
        <v/>
      </c>
      <c r="I683">
        <f>IF(설정!$C$11="","",IFERROR(INDEX('1.산군_붙여넣기'!$A$1:$AZ$1001,ROW(),설정!$C$11)&amp;"",""))</f>
        <v/>
      </c>
      <c r="J683">
        <f>IF(설정!$C$12="","",IFERROR(INDEX('1.산군_붙여넣기'!$A$1:$AZ$1001,ROW(),설정!$C$12)&amp;"",""))</f>
        <v/>
      </c>
      <c r="K683">
        <f>IF(설정!$C$13="","",IFERROR(INDEX('1.산군_붙여넣기'!$A$1:$AZ$1001,ROW(),설정!$C$13)&amp;"",""))</f>
        <v/>
      </c>
      <c r="L683" s="7">
        <f>IF(X683="","",IF(AND(LEN(X683)=8,ISNUMBER(X683*1)),DATE(LEFT(X683,4),MID(X683,5,2),RIGHT(X683,2)),IFERROR(DATEVALUE(SUBSTITUTE(SUBSTITUTE(X683,".","-"),"/","-")),IFERROR(X683*1,""))))</f>
        <v/>
      </c>
      <c r="M683" s="7">
        <f>IF(Y683="","",IF(AND(LEN(Y683)=8,ISNUMBER(Y683*1)),DATE(LEFT(Y683,4),MID(Y683,5,2),RIGHT(Y683,2)),IFERROR(DATEVALUE(SUBSTITUTE(SUBSTITUTE(Y683,".","-"),"/","-")),IFERROR(Y683*1,""))))</f>
        <v/>
      </c>
      <c r="N683">
        <f>IFERROR(LEFT(B683,FIND(" ",B683)-1),B683)</f>
        <v/>
      </c>
      <c r="O683">
        <f>AND(B683&lt;&gt;"",B683&lt;&gt;설정!$B$4,C683&lt;&gt;설정!$B$5)</f>
        <v/>
      </c>
      <c r="P683">
        <f>IF(O683,B683&amp;"|"&amp;C683,"")</f>
        <v/>
      </c>
      <c r="Q683">
        <f>AND(O683,COUNTIF(P684:P$1002,P683)=0)</f>
        <v/>
      </c>
      <c r="R683">
        <f>OR(AND(설정!$A$42&lt;&gt;"",ISNUMBER(SEARCH(설정!$A$42,E683&amp;" "&amp;C683))),AND(설정!$A$43&lt;&gt;"",ISNUMBER(SEARCH(설정!$A$43,E683&amp;" "&amp;C683))),AND(설정!$A$44&lt;&gt;"",ISNUMBER(SEARCH(설정!$A$44,E683&amp;" "&amp;C683))),AND(설정!$A$45&lt;&gt;"",ISNUMBER(SEARCH(설정!$A$45,E683&amp;" "&amp;C683))),AND(설정!$A$46&lt;&gt;"",ISNUMBER(SEARCH(설정!$A$46,E683&amp;" "&amp;C683))),AND(설정!$A$47&lt;&gt;"",ISNUMBER(SEARCH(설정!$A$47,E683&amp;" "&amp;C683))),AND(설정!$A$48&lt;&gt;"",ISNUMBER(SEARCH(설정!$A$48,E683&amp;" "&amp;C683))),AND(설정!$A$49&lt;&gt;"",ISNUMBER(SEARCH(설정!$A$49,E683&amp;" "&amp;C683))),AND(설정!$A$50&lt;&gt;"",ISNUMBER(SEARCH(설정!$A$50,E683&amp;" "&amp;C683))),AND(설정!$A$51&lt;&gt;"",ISNUMBER(SEARCH(설정!$A$51,E683&amp;" "&amp;C683))))</f>
        <v/>
      </c>
      <c r="S683">
        <f>OR(D683="",D683&gt;=설정!$B$19)</f>
        <v/>
      </c>
      <c r="T683">
        <f>AND(Q683,R683,S683)</f>
        <v/>
      </c>
      <c r="U683">
        <f>IF(T683,IF(AND(설정!$A$54&lt;&gt;"",ISNUMBER(SEARCH(설정!$A$54,K683))),설정!$B$54,IF(AND(설정!$A$55&lt;&gt;"",ISNUMBER(SEARCH(설정!$A$55,K683))),설정!$B$55,IF(AND(설정!$A$56&lt;&gt;"",ISNUMBER(SEARCH(설정!$A$56,K683))),설정!$B$56,IF(AND(설정!$A$57&lt;&gt;"",ISNUMBER(SEARCH(설정!$A$57,K683))),설정!$B$57,IF(AND(설정!$A$58&lt;&gt;"",ISNUMBER(SEARCH(설정!$A$58,K683))),설정!$B$58,IF(AND(설정!$A$59&lt;&gt;"",ISNUMBER(SEARCH(설정!$A$59,K683))),설정!$B$59,IF(AND(설정!$A$60&lt;&gt;"",ISNUMBER(SEARCH(설정!$A$60,K683))),설정!$B$60,IF(AND(설정!$A$61&lt;&gt;"",ISNUMBER(SEARCH(설정!$A$61,K683))),설정!$B$61,IF(M683="","설계사","시공사"))))))))),"")</f>
        <v/>
      </c>
      <c r="V683">
        <f>SUBSTITUTE(SUBSTITUTE(SUBSTITUTE(SUBSTITUTE(G683,"(주)",""),"㈜",""),"주식회사","")," ","")</f>
        <v/>
      </c>
      <c r="W683">
        <f>IF(AND(T683,V683&lt;&gt;""),IF(COUNTIFS(V$2:V683,V683,T$2:T683,TRUE)=1,MAX(W$1:W682)+1,""),"")</f>
        <v/>
      </c>
      <c r="X683">
        <f>IF(설정!$C$14="","",IFERROR(INDEX('1.산군_붙여넣기'!$A$1:$AZ$1001,ROW(),설정!$C$14)&amp;"",""))</f>
        <v/>
      </c>
      <c r="Y683">
        <f>IF(설정!$C$15="","",IFERROR(INDEX('1.산군_붙여넣기'!$A$1:$AZ$1001,ROW(),설정!$C$15)&amp;"",""))</f>
        <v/>
      </c>
      <c r="Z683">
        <f>IF(T683,V683&amp;"|"&amp;U683,"")</f>
        <v/>
      </c>
      <c r="AA683">
        <f>IF(NOT(Q683),"",IF(NOT(AND(R683,S683)),"✕",IF(OR(OR(AND(L683&lt;&gt;"",M683&lt;&gt;"",N(M683)-N(L683)&gt;설정!$B$27),AND(L683&lt;&gt;"",M683="",설정!$B$24-N(L683)&gt;설정!$B$27)),AND(D683&lt;&gt;"",D683&lt;설정!$B$26)),"△","★")))</f>
        <v/>
      </c>
      <c r="AB683">
        <f>IF(NOT(T683),"",IF(U683="설계사",설정!$B$31,IF(U683="시공사",IF(OR(M683="",설정!$B$24-N(M683)&lt;=설정!$B$28*30.4),설정!$B$32,설정!$B$33),설정!$B$34))+IF(AA683="★",설정!$B$35,0))</f>
        <v/>
      </c>
      <c r="AC683">
        <f>SUBSTITUTE(SUBSTITUTE(SUBSTITUTE(SUBSTITUTE(H683,"(주)",""),"㈜",""),"주식회사","")," ","")</f>
        <v/>
      </c>
      <c r="AD683">
        <f>IF(AND(T683,AC683&lt;&gt;""),IF(COUNTIFS(AC$2:AC683,AC683,T$2:T683,TRUE)=1,MAX(AD$1:AD682)+1,""),"")</f>
        <v/>
      </c>
    </row>
    <row r="684">
      <c r="A684">
        <f>ROW()</f>
        <v/>
      </c>
      <c r="B684">
        <f>IF(설정!$C$4="","",IFERROR(INDEX('1.산군_붙여넣기'!$A$1:$AZ$1001,ROW(),설정!$C$4)&amp;"",""))</f>
        <v/>
      </c>
      <c r="C684">
        <f>IF(설정!$C$5="","",IFERROR(INDEX('1.산군_붙여넣기'!$A$1:$AZ$1001,ROW(),설정!$C$5)&amp;"",""))</f>
        <v/>
      </c>
      <c r="D684" s="5">
        <f>IFERROR(VALUE(SUBSTITUTE(SUBSTITUTE(SUBSTITUTE(IF(설정!$C$6="","",IFERROR(INDEX('1.산군_붙여넣기'!$A$1:$AZ$1001,ROW(),설정!$C$6)&amp;"","")),",",""),"㎡",""),"m2","")),"")</f>
        <v/>
      </c>
      <c r="E684">
        <f>IF(설정!$C$7="","",IFERROR(INDEX('1.산군_붙여넣기'!$A$1:$AZ$1001,ROW(),설정!$C$7)&amp;"",""))</f>
        <v/>
      </c>
      <c r="F684">
        <f>IF(설정!$C$8="","",IFERROR(INDEX('1.산군_붙여넣기'!$A$1:$AZ$1001,ROW(),설정!$C$8)&amp;"",""))</f>
        <v/>
      </c>
      <c r="G684">
        <f>IF(설정!$C$9="","",IFERROR(INDEX('1.산군_붙여넣기'!$A$1:$AZ$1001,ROW(),설정!$C$9)&amp;"",""))</f>
        <v/>
      </c>
      <c r="H684">
        <f>IF(설정!$C$10="","",IFERROR(INDEX('1.산군_붙여넣기'!$A$1:$AZ$1001,ROW(),설정!$C$10)&amp;"",""))</f>
        <v/>
      </c>
      <c r="I684">
        <f>IF(설정!$C$11="","",IFERROR(INDEX('1.산군_붙여넣기'!$A$1:$AZ$1001,ROW(),설정!$C$11)&amp;"",""))</f>
        <v/>
      </c>
      <c r="J684">
        <f>IF(설정!$C$12="","",IFERROR(INDEX('1.산군_붙여넣기'!$A$1:$AZ$1001,ROW(),설정!$C$12)&amp;"",""))</f>
        <v/>
      </c>
      <c r="K684">
        <f>IF(설정!$C$13="","",IFERROR(INDEX('1.산군_붙여넣기'!$A$1:$AZ$1001,ROW(),설정!$C$13)&amp;"",""))</f>
        <v/>
      </c>
      <c r="L684" s="7">
        <f>IF(X684="","",IF(AND(LEN(X684)=8,ISNUMBER(X684*1)),DATE(LEFT(X684,4),MID(X684,5,2),RIGHT(X684,2)),IFERROR(DATEVALUE(SUBSTITUTE(SUBSTITUTE(X684,".","-"),"/","-")),IFERROR(X684*1,""))))</f>
        <v/>
      </c>
      <c r="M684" s="7">
        <f>IF(Y684="","",IF(AND(LEN(Y684)=8,ISNUMBER(Y684*1)),DATE(LEFT(Y684,4),MID(Y684,5,2),RIGHT(Y684,2)),IFERROR(DATEVALUE(SUBSTITUTE(SUBSTITUTE(Y684,".","-"),"/","-")),IFERROR(Y684*1,""))))</f>
        <v/>
      </c>
      <c r="N684">
        <f>IFERROR(LEFT(B684,FIND(" ",B684)-1),B684)</f>
        <v/>
      </c>
      <c r="O684">
        <f>AND(B684&lt;&gt;"",B684&lt;&gt;설정!$B$4,C684&lt;&gt;설정!$B$5)</f>
        <v/>
      </c>
      <c r="P684">
        <f>IF(O684,B684&amp;"|"&amp;C684,"")</f>
        <v/>
      </c>
      <c r="Q684">
        <f>AND(O684,COUNTIF(P685:P$1002,P684)=0)</f>
        <v/>
      </c>
      <c r="R684">
        <f>OR(AND(설정!$A$42&lt;&gt;"",ISNUMBER(SEARCH(설정!$A$42,E684&amp;" "&amp;C684))),AND(설정!$A$43&lt;&gt;"",ISNUMBER(SEARCH(설정!$A$43,E684&amp;" "&amp;C684))),AND(설정!$A$44&lt;&gt;"",ISNUMBER(SEARCH(설정!$A$44,E684&amp;" "&amp;C684))),AND(설정!$A$45&lt;&gt;"",ISNUMBER(SEARCH(설정!$A$45,E684&amp;" "&amp;C684))),AND(설정!$A$46&lt;&gt;"",ISNUMBER(SEARCH(설정!$A$46,E684&amp;" "&amp;C684))),AND(설정!$A$47&lt;&gt;"",ISNUMBER(SEARCH(설정!$A$47,E684&amp;" "&amp;C684))),AND(설정!$A$48&lt;&gt;"",ISNUMBER(SEARCH(설정!$A$48,E684&amp;" "&amp;C684))),AND(설정!$A$49&lt;&gt;"",ISNUMBER(SEARCH(설정!$A$49,E684&amp;" "&amp;C684))),AND(설정!$A$50&lt;&gt;"",ISNUMBER(SEARCH(설정!$A$50,E684&amp;" "&amp;C684))),AND(설정!$A$51&lt;&gt;"",ISNUMBER(SEARCH(설정!$A$51,E684&amp;" "&amp;C684))))</f>
        <v/>
      </c>
      <c r="S684">
        <f>OR(D684="",D684&gt;=설정!$B$19)</f>
        <v/>
      </c>
      <c r="T684">
        <f>AND(Q684,R684,S684)</f>
        <v/>
      </c>
      <c r="U684">
        <f>IF(T684,IF(AND(설정!$A$54&lt;&gt;"",ISNUMBER(SEARCH(설정!$A$54,K684))),설정!$B$54,IF(AND(설정!$A$55&lt;&gt;"",ISNUMBER(SEARCH(설정!$A$55,K684))),설정!$B$55,IF(AND(설정!$A$56&lt;&gt;"",ISNUMBER(SEARCH(설정!$A$56,K684))),설정!$B$56,IF(AND(설정!$A$57&lt;&gt;"",ISNUMBER(SEARCH(설정!$A$57,K684))),설정!$B$57,IF(AND(설정!$A$58&lt;&gt;"",ISNUMBER(SEARCH(설정!$A$58,K684))),설정!$B$58,IF(AND(설정!$A$59&lt;&gt;"",ISNUMBER(SEARCH(설정!$A$59,K684))),설정!$B$59,IF(AND(설정!$A$60&lt;&gt;"",ISNUMBER(SEARCH(설정!$A$60,K684))),설정!$B$60,IF(AND(설정!$A$61&lt;&gt;"",ISNUMBER(SEARCH(설정!$A$61,K684))),설정!$B$61,IF(M684="","설계사","시공사"))))))))),"")</f>
        <v/>
      </c>
      <c r="V684">
        <f>SUBSTITUTE(SUBSTITUTE(SUBSTITUTE(SUBSTITUTE(G684,"(주)",""),"㈜",""),"주식회사","")," ","")</f>
        <v/>
      </c>
      <c r="W684">
        <f>IF(AND(T684,V684&lt;&gt;""),IF(COUNTIFS(V$2:V684,V684,T$2:T684,TRUE)=1,MAX(W$1:W683)+1,""),"")</f>
        <v/>
      </c>
      <c r="X684">
        <f>IF(설정!$C$14="","",IFERROR(INDEX('1.산군_붙여넣기'!$A$1:$AZ$1001,ROW(),설정!$C$14)&amp;"",""))</f>
        <v/>
      </c>
      <c r="Y684">
        <f>IF(설정!$C$15="","",IFERROR(INDEX('1.산군_붙여넣기'!$A$1:$AZ$1001,ROW(),설정!$C$15)&amp;"",""))</f>
        <v/>
      </c>
      <c r="Z684">
        <f>IF(T684,V684&amp;"|"&amp;U684,"")</f>
        <v/>
      </c>
      <c r="AA684">
        <f>IF(NOT(Q684),"",IF(NOT(AND(R684,S684)),"✕",IF(OR(OR(AND(L684&lt;&gt;"",M684&lt;&gt;"",N(M684)-N(L684)&gt;설정!$B$27),AND(L684&lt;&gt;"",M684="",설정!$B$24-N(L684)&gt;설정!$B$27)),AND(D684&lt;&gt;"",D684&lt;설정!$B$26)),"△","★")))</f>
        <v/>
      </c>
      <c r="AB684">
        <f>IF(NOT(T684),"",IF(U684="설계사",설정!$B$31,IF(U684="시공사",IF(OR(M684="",설정!$B$24-N(M684)&lt;=설정!$B$28*30.4),설정!$B$32,설정!$B$33),설정!$B$34))+IF(AA684="★",설정!$B$35,0))</f>
        <v/>
      </c>
      <c r="AC684">
        <f>SUBSTITUTE(SUBSTITUTE(SUBSTITUTE(SUBSTITUTE(H684,"(주)",""),"㈜",""),"주식회사","")," ","")</f>
        <v/>
      </c>
      <c r="AD684">
        <f>IF(AND(T684,AC684&lt;&gt;""),IF(COUNTIFS(AC$2:AC684,AC684,T$2:T684,TRUE)=1,MAX(AD$1:AD683)+1,""),"")</f>
        <v/>
      </c>
    </row>
    <row r="685">
      <c r="A685">
        <f>ROW()</f>
        <v/>
      </c>
      <c r="B685">
        <f>IF(설정!$C$4="","",IFERROR(INDEX('1.산군_붙여넣기'!$A$1:$AZ$1001,ROW(),설정!$C$4)&amp;"",""))</f>
        <v/>
      </c>
      <c r="C685">
        <f>IF(설정!$C$5="","",IFERROR(INDEX('1.산군_붙여넣기'!$A$1:$AZ$1001,ROW(),설정!$C$5)&amp;"",""))</f>
        <v/>
      </c>
      <c r="D685" s="5">
        <f>IFERROR(VALUE(SUBSTITUTE(SUBSTITUTE(SUBSTITUTE(IF(설정!$C$6="","",IFERROR(INDEX('1.산군_붙여넣기'!$A$1:$AZ$1001,ROW(),설정!$C$6)&amp;"","")),",",""),"㎡",""),"m2","")),"")</f>
        <v/>
      </c>
      <c r="E685">
        <f>IF(설정!$C$7="","",IFERROR(INDEX('1.산군_붙여넣기'!$A$1:$AZ$1001,ROW(),설정!$C$7)&amp;"",""))</f>
        <v/>
      </c>
      <c r="F685">
        <f>IF(설정!$C$8="","",IFERROR(INDEX('1.산군_붙여넣기'!$A$1:$AZ$1001,ROW(),설정!$C$8)&amp;"",""))</f>
        <v/>
      </c>
      <c r="G685">
        <f>IF(설정!$C$9="","",IFERROR(INDEX('1.산군_붙여넣기'!$A$1:$AZ$1001,ROW(),설정!$C$9)&amp;"",""))</f>
        <v/>
      </c>
      <c r="H685">
        <f>IF(설정!$C$10="","",IFERROR(INDEX('1.산군_붙여넣기'!$A$1:$AZ$1001,ROW(),설정!$C$10)&amp;"",""))</f>
        <v/>
      </c>
      <c r="I685">
        <f>IF(설정!$C$11="","",IFERROR(INDEX('1.산군_붙여넣기'!$A$1:$AZ$1001,ROW(),설정!$C$11)&amp;"",""))</f>
        <v/>
      </c>
      <c r="J685">
        <f>IF(설정!$C$12="","",IFERROR(INDEX('1.산군_붙여넣기'!$A$1:$AZ$1001,ROW(),설정!$C$12)&amp;"",""))</f>
        <v/>
      </c>
      <c r="K685">
        <f>IF(설정!$C$13="","",IFERROR(INDEX('1.산군_붙여넣기'!$A$1:$AZ$1001,ROW(),설정!$C$13)&amp;"",""))</f>
        <v/>
      </c>
      <c r="L685" s="7">
        <f>IF(X685="","",IF(AND(LEN(X685)=8,ISNUMBER(X685*1)),DATE(LEFT(X685,4),MID(X685,5,2),RIGHT(X685,2)),IFERROR(DATEVALUE(SUBSTITUTE(SUBSTITUTE(X685,".","-"),"/","-")),IFERROR(X685*1,""))))</f>
        <v/>
      </c>
      <c r="M685" s="7">
        <f>IF(Y685="","",IF(AND(LEN(Y685)=8,ISNUMBER(Y685*1)),DATE(LEFT(Y685,4),MID(Y685,5,2),RIGHT(Y685,2)),IFERROR(DATEVALUE(SUBSTITUTE(SUBSTITUTE(Y685,".","-"),"/","-")),IFERROR(Y685*1,""))))</f>
        <v/>
      </c>
      <c r="N685">
        <f>IFERROR(LEFT(B685,FIND(" ",B685)-1),B685)</f>
        <v/>
      </c>
      <c r="O685">
        <f>AND(B685&lt;&gt;"",B685&lt;&gt;설정!$B$4,C685&lt;&gt;설정!$B$5)</f>
        <v/>
      </c>
      <c r="P685">
        <f>IF(O685,B685&amp;"|"&amp;C685,"")</f>
        <v/>
      </c>
      <c r="Q685">
        <f>AND(O685,COUNTIF(P686:P$1002,P685)=0)</f>
        <v/>
      </c>
      <c r="R685">
        <f>OR(AND(설정!$A$42&lt;&gt;"",ISNUMBER(SEARCH(설정!$A$42,E685&amp;" "&amp;C685))),AND(설정!$A$43&lt;&gt;"",ISNUMBER(SEARCH(설정!$A$43,E685&amp;" "&amp;C685))),AND(설정!$A$44&lt;&gt;"",ISNUMBER(SEARCH(설정!$A$44,E685&amp;" "&amp;C685))),AND(설정!$A$45&lt;&gt;"",ISNUMBER(SEARCH(설정!$A$45,E685&amp;" "&amp;C685))),AND(설정!$A$46&lt;&gt;"",ISNUMBER(SEARCH(설정!$A$46,E685&amp;" "&amp;C685))),AND(설정!$A$47&lt;&gt;"",ISNUMBER(SEARCH(설정!$A$47,E685&amp;" "&amp;C685))),AND(설정!$A$48&lt;&gt;"",ISNUMBER(SEARCH(설정!$A$48,E685&amp;" "&amp;C685))),AND(설정!$A$49&lt;&gt;"",ISNUMBER(SEARCH(설정!$A$49,E685&amp;" "&amp;C685))),AND(설정!$A$50&lt;&gt;"",ISNUMBER(SEARCH(설정!$A$50,E685&amp;" "&amp;C685))),AND(설정!$A$51&lt;&gt;"",ISNUMBER(SEARCH(설정!$A$51,E685&amp;" "&amp;C685))))</f>
        <v/>
      </c>
      <c r="S685">
        <f>OR(D685="",D685&gt;=설정!$B$19)</f>
        <v/>
      </c>
      <c r="T685">
        <f>AND(Q685,R685,S685)</f>
        <v/>
      </c>
      <c r="U685">
        <f>IF(T685,IF(AND(설정!$A$54&lt;&gt;"",ISNUMBER(SEARCH(설정!$A$54,K685))),설정!$B$54,IF(AND(설정!$A$55&lt;&gt;"",ISNUMBER(SEARCH(설정!$A$55,K685))),설정!$B$55,IF(AND(설정!$A$56&lt;&gt;"",ISNUMBER(SEARCH(설정!$A$56,K685))),설정!$B$56,IF(AND(설정!$A$57&lt;&gt;"",ISNUMBER(SEARCH(설정!$A$57,K685))),설정!$B$57,IF(AND(설정!$A$58&lt;&gt;"",ISNUMBER(SEARCH(설정!$A$58,K685))),설정!$B$58,IF(AND(설정!$A$59&lt;&gt;"",ISNUMBER(SEARCH(설정!$A$59,K685))),설정!$B$59,IF(AND(설정!$A$60&lt;&gt;"",ISNUMBER(SEARCH(설정!$A$60,K685))),설정!$B$60,IF(AND(설정!$A$61&lt;&gt;"",ISNUMBER(SEARCH(설정!$A$61,K685))),설정!$B$61,IF(M685="","설계사","시공사"))))))))),"")</f>
        <v/>
      </c>
      <c r="V685">
        <f>SUBSTITUTE(SUBSTITUTE(SUBSTITUTE(SUBSTITUTE(G685,"(주)",""),"㈜",""),"주식회사","")," ","")</f>
        <v/>
      </c>
      <c r="W685">
        <f>IF(AND(T685,V685&lt;&gt;""),IF(COUNTIFS(V$2:V685,V685,T$2:T685,TRUE)=1,MAX(W$1:W684)+1,""),"")</f>
        <v/>
      </c>
      <c r="X685">
        <f>IF(설정!$C$14="","",IFERROR(INDEX('1.산군_붙여넣기'!$A$1:$AZ$1001,ROW(),설정!$C$14)&amp;"",""))</f>
        <v/>
      </c>
      <c r="Y685">
        <f>IF(설정!$C$15="","",IFERROR(INDEX('1.산군_붙여넣기'!$A$1:$AZ$1001,ROW(),설정!$C$15)&amp;"",""))</f>
        <v/>
      </c>
      <c r="Z685">
        <f>IF(T685,V685&amp;"|"&amp;U685,"")</f>
        <v/>
      </c>
      <c r="AA685">
        <f>IF(NOT(Q685),"",IF(NOT(AND(R685,S685)),"✕",IF(OR(OR(AND(L685&lt;&gt;"",M685&lt;&gt;"",N(M685)-N(L685)&gt;설정!$B$27),AND(L685&lt;&gt;"",M685="",설정!$B$24-N(L685)&gt;설정!$B$27)),AND(D685&lt;&gt;"",D685&lt;설정!$B$26)),"△","★")))</f>
        <v/>
      </c>
      <c r="AB685">
        <f>IF(NOT(T685),"",IF(U685="설계사",설정!$B$31,IF(U685="시공사",IF(OR(M685="",설정!$B$24-N(M685)&lt;=설정!$B$28*30.4),설정!$B$32,설정!$B$33),설정!$B$34))+IF(AA685="★",설정!$B$35,0))</f>
        <v/>
      </c>
      <c r="AC685">
        <f>SUBSTITUTE(SUBSTITUTE(SUBSTITUTE(SUBSTITUTE(H685,"(주)",""),"㈜",""),"주식회사","")," ","")</f>
        <v/>
      </c>
      <c r="AD685">
        <f>IF(AND(T685,AC685&lt;&gt;""),IF(COUNTIFS(AC$2:AC685,AC685,T$2:T685,TRUE)=1,MAX(AD$1:AD684)+1,""),"")</f>
        <v/>
      </c>
    </row>
    <row r="686">
      <c r="A686">
        <f>ROW()</f>
        <v/>
      </c>
      <c r="B686">
        <f>IF(설정!$C$4="","",IFERROR(INDEX('1.산군_붙여넣기'!$A$1:$AZ$1001,ROW(),설정!$C$4)&amp;"",""))</f>
        <v/>
      </c>
      <c r="C686">
        <f>IF(설정!$C$5="","",IFERROR(INDEX('1.산군_붙여넣기'!$A$1:$AZ$1001,ROW(),설정!$C$5)&amp;"",""))</f>
        <v/>
      </c>
      <c r="D686" s="5">
        <f>IFERROR(VALUE(SUBSTITUTE(SUBSTITUTE(SUBSTITUTE(IF(설정!$C$6="","",IFERROR(INDEX('1.산군_붙여넣기'!$A$1:$AZ$1001,ROW(),설정!$C$6)&amp;"","")),",",""),"㎡",""),"m2","")),"")</f>
        <v/>
      </c>
      <c r="E686">
        <f>IF(설정!$C$7="","",IFERROR(INDEX('1.산군_붙여넣기'!$A$1:$AZ$1001,ROW(),설정!$C$7)&amp;"",""))</f>
        <v/>
      </c>
      <c r="F686">
        <f>IF(설정!$C$8="","",IFERROR(INDEX('1.산군_붙여넣기'!$A$1:$AZ$1001,ROW(),설정!$C$8)&amp;"",""))</f>
        <v/>
      </c>
      <c r="G686">
        <f>IF(설정!$C$9="","",IFERROR(INDEX('1.산군_붙여넣기'!$A$1:$AZ$1001,ROW(),설정!$C$9)&amp;"",""))</f>
        <v/>
      </c>
      <c r="H686">
        <f>IF(설정!$C$10="","",IFERROR(INDEX('1.산군_붙여넣기'!$A$1:$AZ$1001,ROW(),설정!$C$10)&amp;"",""))</f>
        <v/>
      </c>
      <c r="I686">
        <f>IF(설정!$C$11="","",IFERROR(INDEX('1.산군_붙여넣기'!$A$1:$AZ$1001,ROW(),설정!$C$11)&amp;"",""))</f>
        <v/>
      </c>
      <c r="J686">
        <f>IF(설정!$C$12="","",IFERROR(INDEX('1.산군_붙여넣기'!$A$1:$AZ$1001,ROW(),설정!$C$12)&amp;"",""))</f>
        <v/>
      </c>
      <c r="K686">
        <f>IF(설정!$C$13="","",IFERROR(INDEX('1.산군_붙여넣기'!$A$1:$AZ$1001,ROW(),설정!$C$13)&amp;"",""))</f>
        <v/>
      </c>
      <c r="L686" s="7">
        <f>IF(X686="","",IF(AND(LEN(X686)=8,ISNUMBER(X686*1)),DATE(LEFT(X686,4),MID(X686,5,2),RIGHT(X686,2)),IFERROR(DATEVALUE(SUBSTITUTE(SUBSTITUTE(X686,".","-"),"/","-")),IFERROR(X686*1,""))))</f>
        <v/>
      </c>
      <c r="M686" s="7">
        <f>IF(Y686="","",IF(AND(LEN(Y686)=8,ISNUMBER(Y686*1)),DATE(LEFT(Y686,4),MID(Y686,5,2),RIGHT(Y686,2)),IFERROR(DATEVALUE(SUBSTITUTE(SUBSTITUTE(Y686,".","-"),"/","-")),IFERROR(Y686*1,""))))</f>
        <v/>
      </c>
      <c r="N686">
        <f>IFERROR(LEFT(B686,FIND(" ",B686)-1),B686)</f>
        <v/>
      </c>
      <c r="O686">
        <f>AND(B686&lt;&gt;"",B686&lt;&gt;설정!$B$4,C686&lt;&gt;설정!$B$5)</f>
        <v/>
      </c>
      <c r="P686">
        <f>IF(O686,B686&amp;"|"&amp;C686,"")</f>
        <v/>
      </c>
      <c r="Q686">
        <f>AND(O686,COUNTIF(P687:P$1002,P686)=0)</f>
        <v/>
      </c>
      <c r="R686">
        <f>OR(AND(설정!$A$42&lt;&gt;"",ISNUMBER(SEARCH(설정!$A$42,E686&amp;" "&amp;C686))),AND(설정!$A$43&lt;&gt;"",ISNUMBER(SEARCH(설정!$A$43,E686&amp;" "&amp;C686))),AND(설정!$A$44&lt;&gt;"",ISNUMBER(SEARCH(설정!$A$44,E686&amp;" "&amp;C686))),AND(설정!$A$45&lt;&gt;"",ISNUMBER(SEARCH(설정!$A$45,E686&amp;" "&amp;C686))),AND(설정!$A$46&lt;&gt;"",ISNUMBER(SEARCH(설정!$A$46,E686&amp;" "&amp;C686))),AND(설정!$A$47&lt;&gt;"",ISNUMBER(SEARCH(설정!$A$47,E686&amp;" "&amp;C686))),AND(설정!$A$48&lt;&gt;"",ISNUMBER(SEARCH(설정!$A$48,E686&amp;" "&amp;C686))),AND(설정!$A$49&lt;&gt;"",ISNUMBER(SEARCH(설정!$A$49,E686&amp;" "&amp;C686))),AND(설정!$A$50&lt;&gt;"",ISNUMBER(SEARCH(설정!$A$50,E686&amp;" "&amp;C686))),AND(설정!$A$51&lt;&gt;"",ISNUMBER(SEARCH(설정!$A$51,E686&amp;" "&amp;C686))))</f>
        <v/>
      </c>
      <c r="S686">
        <f>OR(D686="",D686&gt;=설정!$B$19)</f>
        <v/>
      </c>
      <c r="T686">
        <f>AND(Q686,R686,S686)</f>
        <v/>
      </c>
      <c r="U686">
        <f>IF(T686,IF(AND(설정!$A$54&lt;&gt;"",ISNUMBER(SEARCH(설정!$A$54,K686))),설정!$B$54,IF(AND(설정!$A$55&lt;&gt;"",ISNUMBER(SEARCH(설정!$A$55,K686))),설정!$B$55,IF(AND(설정!$A$56&lt;&gt;"",ISNUMBER(SEARCH(설정!$A$56,K686))),설정!$B$56,IF(AND(설정!$A$57&lt;&gt;"",ISNUMBER(SEARCH(설정!$A$57,K686))),설정!$B$57,IF(AND(설정!$A$58&lt;&gt;"",ISNUMBER(SEARCH(설정!$A$58,K686))),설정!$B$58,IF(AND(설정!$A$59&lt;&gt;"",ISNUMBER(SEARCH(설정!$A$59,K686))),설정!$B$59,IF(AND(설정!$A$60&lt;&gt;"",ISNUMBER(SEARCH(설정!$A$60,K686))),설정!$B$60,IF(AND(설정!$A$61&lt;&gt;"",ISNUMBER(SEARCH(설정!$A$61,K686))),설정!$B$61,IF(M686="","설계사","시공사"))))))))),"")</f>
        <v/>
      </c>
      <c r="V686">
        <f>SUBSTITUTE(SUBSTITUTE(SUBSTITUTE(SUBSTITUTE(G686,"(주)",""),"㈜",""),"주식회사","")," ","")</f>
        <v/>
      </c>
      <c r="W686">
        <f>IF(AND(T686,V686&lt;&gt;""),IF(COUNTIFS(V$2:V686,V686,T$2:T686,TRUE)=1,MAX(W$1:W685)+1,""),"")</f>
        <v/>
      </c>
      <c r="X686">
        <f>IF(설정!$C$14="","",IFERROR(INDEX('1.산군_붙여넣기'!$A$1:$AZ$1001,ROW(),설정!$C$14)&amp;"",""))</f>
        <v/>
      </c>
      <c r="Y686">
        <f>IF(설정!$C$15="","",IFERROR(INDEX('1.산군_붙여넣기'!$A$1:$AZ$1001,ROW(),설정!$C$15)&amp;"",""))</f>
        <v/>
      </c>
      <c r="Z686">
        <f>IF(T686,V686&amp;"|"&amp;U686,"")</f>
        <v/>
      </c>
      <c r="AA686">
        <f>IF(NOT(Q686),"",IF(NOT(AND(R686,S686)),"✕",IF(OR(OR(AND(L686&lt;&gt;"",M686&lt;&gt;"",N(M686)-N(L686)&gt;설정!$B$27),AND(L686&lt;&gt;"",M686="",설정!$B$24-N(L686)&gt;설정!$B$27)),AND(D686&lt;&gt;"",D686&lt;설정!$B$26)),"△","★")))</f>
        <v/>
      </c>
      <c r="AB686">
        <f>IF(NOT(T686),"",IF(U686="설계사",설정!$B$31,IF(U686="시공사",IF(OR(M686="",설정!$B$24-N(M686)&lt;=설정!$B$28*30.4),설정!$B$32,설정!$B$33),설정!$B$34))+IF(AA686="★",설정!$B$35,0))</f>
        <v/>
      </c>
      <c r="AC686">
        <f>SUBSTITUTE(SUBSTITUTE(SUBSTITUTE(SUBSTITUTE(H686,"(주)",""),"㈜",""),"주식회사","")," ","")</f>
        <v/>
      </c>
      <c r="AD686">
        <f>IF(AND(T686,AC686&lt;&gt;""),IF(COUNTIFS(AC$2:AC686,AC686,T$2:T686,TRUE)=1,MAX(AD$1:AD685)+1,""),"")</f>
        <v/>
      </c>
    </row>
    <row r="687">
      <c r="A687">
        <f>ROW()</f>
        <v/>
      </c>
      <c r="B687">
        <f>IF(설정!$C$4="","",IFERROR(INDEX('1.산군_붙여넣기'!$A$1:$AZ$1001,ROW(),설정!$C$4)&amp;"",""))</f>
        <v/>
      </c>
      <c r="C687">
        <f>IF(설정!$C$5="","",IFERROR(INDEX('1.산군_붙여넣기'!$A$1:$AZ$1001,ROW(),설정!$C$5)&amp;"",""))</f>
        <v/>
      </c>
      <c r="D687" s="5">
        <f>IFERROR(VALUE(SUBSTITUTE(SUBSTITUTE(SUBSTITUTE(IF(설정!$C$6="","",IFERROR(INDEX('1.산군_붙여넣기'!$A$1:$AZ$1001,ROW(),설정!$C$6)&amp;"","")),",",""),"㎡",""),"m2","")),"")</f>
        <v/>
      </c>
      <c r="E687">
        <f>IF(설정!$C$7="","",IFERROR(INDEX('1.산군_붙여넣기'!$A$1:$AZ$1001,ROW(),설정!$C$7)&amp;"",""))</f>
        <v/>
      </c>
      <c r="F687">
        <f>IF(설정!$C$8="","",IFERROR(INDEX('1.산군_붙여넣기'!$A$1:$AZ$1001,ROW(),설정!$C$8)&amp;"",""))</f>
        <v/>
      </c>
      <c r="G687">
        <f>IF(설정!$C$9="","",IFERROR(INDEX('1.산군_붙여넣기'!$A$1:$AZ$1001,ROW(),설정!$C$9)&amp;"",""))</f>
        <v/>
      </c>
      <c r="H687">
        <f>IF(설정!$C$10="","",IFERROR(INDEX('1.산군_붙여넣기'!$A$1:$AZ$1001,ROW(),설정!$C$10)&amp;"",""))</f>
        <v/>
      </c>
      <c r="I687">
        <f>IF(설정!$C$11="","",IFERROR(INDEX('1.산군_붙여넣기'!$A$1:$AZ$1001,ROW(),설정!$C$11)&amp;"",""))</f>
        <v/>
      </c>
      <c r="J687">
        <f>IF(설정!$C$12="","",IFERROR(INDEX('1.산군_붙여넣기'!$A$1:$AZ$1001,ROW(),설정!$C$12)&amp;"",""))</f>
        <v/>
      </c>
      <c r="K687">
        <f>IF(설정!$C$13="","",IFERROR(INDEX('1.산군_붙여넣기'!$A$1:$AZ$1001,ROW(),설정!$C$13)&amp;"",""))</f>
        <v/>
      </c>
      <c r="L687" s="7">
        <f>IF(X687="","",IF(AND(LEN(X687)=8,ISNUMBER(X687*1)),DATE(LEFT(X687,4),MID(X687,5,2),RIGHT(X687,2)),IFERROR(DATEVALUE(SUBSTITUTE(SUBSTITUTE(X687,".","-"),"/","-")),IFERROR(X687*1,""))))</f>
        <v/>
      </c>
      <c r="M687" s="7">
        <f>IF(Y687="","",IF(AND(LEN(Y687)=8,ISNUMBER(Y687*1)),DATE(LEFT(Y687,4),MID(Y687,5,2),RIGHT(Y687,2)),IFERROR(DATEVALUE(SUBSTITUTE(SUBSTITUTE(Y687,".","-"),"/","-")),IFERROR(Y687*1,""))))</f>
        <v/>
      </c>
      <c r="N687">
        <f>IFERROR(LEFT(B687,FIND(" ",B687)-1),B687)</f>
        <v/>
      </c>
      <c r="O687">
        <f>AND(B687&lt;&gt;"",B687&lt;&gt;설정!$B$4,C687&lt;&gt;설정!$B$5)</f>
        <v/>
      </c>
      <c r="P687">
        <f>IF(O687,B687&amp;"|"&amp;C687,"")</f>
        <v/>
      </c>
      <c r="Q687">
        <f>AND(O687,COUNTIF(P688:P$1002,P687)=0)</f>
        <v/>
      </c>
      <c r="R687">
        <f>OR(AND(설정!$A$42&lt;&gt;"",ISNUMBER(SEARCH(설정!$A$42,E687&amp;" "&amp;C687))),AND(설정!$A$43&lt;&gt;"",ISNUMBER(SEARCH(설정!$A$43,E687&amp;" "&amp;C687))),AND(설정!$A$44&lt;&gt;"",ISNUMBER(SEARCH(설정!$A$44,E687&amp;" "&amp;C687))),AND(설정!$A$45&lt;&gt;"",ISNUMBER(SEARCH(설정!$A$45,E687&amp;" "&amp;C687))),AND(설정!$A$46&lt;&gt;"",ISNUMBER(SEARCH(설정!$A$46,E687&amp;" "&amp;C687))),AND(설정!$A$47&lt;&gt;"",ISNUMBER(SEARCH(설정!$A$47,E687&amp;" "&amp;C687))),AND(설정!$A$48&lt;&gt;"",ISNUMBER(SEARCH(설정!$A$48,E687&amp;" "&amp;C687))),AND(설정!$A$49&lt;&gt;"",ISNUMBER(SEARCH(설정!$A$49,E687&amp;" "&amp;C687))),AND(설정!$A$50&lt;&gt;"",ISNUMBER(SEARCH(설정!$A$50,E687&amp;" "&amp;C687))),AND(설정!$A$51&lt;&gt;"",ISNUMBER(SEARCH(설정!$A$51,E687&amp;" "&amp;C687))))</f>
        <v/>
      </c>
      <c r="S687">
        <f>OR(D687="",D687&gt;=설정!$B$19)</f>
        <v/>
      </c>
      <c r="T687">
        <f>AND(Q687,R687,S687)</f>
        <v/>
      </c>
      <c r="U687">
        <f>IF(T687,IF(AND(설정!$A$54&lt;&gt;"",ISNUMBER(SEARCH(설정!$A$54,K687))),설정!$B$54,IF(AND(설정!$A$55&lt;&gt;"",ISNUMBER(SEARCH(설정!$A$55,K687))),설정!$B$55,IF(AND(설정!$A$56&lt;&gt;"",ISNUMBER(SEARCH(설정!$A$56,K687))),설정!$B$56,IF(AND(설정!$A$57&lt;&gt;"",ISNUMBER(SEARCH(설정!$A$57,K687))),설정!$B$57,IF(AND(설정!$A$58&lt;&gt;"",ISNUMBER(SEARCH(설정!$A$58,K687))),설정!$B$58,IF(AND(설정!$A$59&lt;&gt;"",ISNUMBER(SEARCH(설정!$A$59,K687))),설정!$B$59,IF(AND(설정!$A$60&lt;&gt;"",ISNUMBER(SEARCH(설정!$A$60,K687))),설정!$B$60,IF(AND(설정!$A$61&lt;&gt;"",ISNUMBER(SEARCH(설정!$A$61,K687))),설정!$B$61,IF(M687="","설계사","시공사"))))))))),"")</f>
        <v/>
      </c>
      <c r="V687">
        <f>SUBSTITUTE(SUBSTITUTE(SUBSTITUTE(SUBSTITUTE(G687,"(주)",""),"㈜",""),"주식회사","")," ","")</f>
        <v/>
      </c>
      <c r="W687">
        <f>IF(AND(T687,V687&lt;&gt;""),IF(COUNTIFS(V$2:V687,V687,T$2:T687,TRUE)=1,MAX(W$1:W686)+1,""),"")</f>
        <v/>
      </c>
      <c r="X687">
        <f>IF(설정!$C$14="","",IFERROR(INDEX('1.산군_붙여넣기'!$A$1:$AZ$1001,ROW(),설정!$C$14)&amp;"",""))</f>
        <v/>
      </c>
      <c r="Y687">
        <f>IF(설정!$C$15="","",IFERROR(INDEX('1.산군_붙여넣기'!$A$1:$AZ$1001,ROW(),설정!$C$15)&amp;"",""))</f>
        <v/>
      </c>
      <c r="Z687">
        <f>IF(T687,V687&amp;"|"&amp;U687,"")</f>
        <v/>
      </c>
      <c r="AA687">
        <f>IF(NOT(Q687),"",IF(NOT(AND(R687,S687)),"✕",IF(OR(OR(AND(L687&lt;&gt;"",M687&lt;&gt;"",N(M687)-N(L687)&gt;설정!$B$27),AND(L687&lt;&gt;"",M687="",설정!$B$24-N(L687)&gt;설정!$B$27)),AND(D687&lt;&gt;"",D687&lt;설정!$B$26)),"△","★")))</f>
        <v/>
      </c>
      <c r="AB687">
        <f>IF(NOT(T687),"",IF(U687="설계사",설정!$B$31,IF(U687="시공사",IF(OR(M687="",설정!$B$24-N(M687)&lt;=설정!$B$28*30.4),설정!$B$32,설정!$B$33),설정!$B$34))+IF(AA687="★",설정!$B$35,0))</f>
        <v/>
      </c>
      <c r="AC687">
        <f>SUBSTITUTE(SUBSTITUTE(SUBSTITUTE(SUBSTITUTE(H687,"(주)",""),"㈜",""),"주식회사","")," ","")</f>
        <v/>
      </c>
      <c r="AD687">
        <f>IF(AND(T687,AC687&lt;&gt;""),IF(COUNTIFS(AC$2:AC687,AC687,T$2:T687,TRUE)=1,MAX(AD$1:AD686)+1,""),"")</f>
        <v/>
      </c>
    </row>
    <row r="688">
      <c r="A688">
        <f>ROW()</f>
        <v/>
      </c>
      <c r="B688">
        <f>IF(설정!$C$4="","",IFERROR(INDEX('1.산군_붙여넣기'!$A$1:$AZ$1001,ROW(),설정!$C$4)&amp;"",""))</f>
        <v/>
      </c>
      <c r="C688">
        <f>IF(설정!$C$5="","",IFERROR(INDEX('1.산군_붙여넣기'!$A$1:$AZ$1001,ROW(),설정!$C$5)&amp;"",""))</f>
        <v/>
      </c>
      <c r="D688" s="5">
        <f>IFERROR(VALUE(SUBSTITUTE(SUBSTITUTE(SUBSTITUTE(IF(설정!$C$6="","",IFERROR(INDEX('1.산군_붙여넣기'!$A$1:$AZ$1001,ROW(),설정!$C$6)&amp;"","")),",",""),"㎡",""),"m2","")),"")</f>
        <v/>
      </c>
      <c r="E688">
        <f>IF(설정!$C$7="","",IFERROR(INDEX('1.산군_붙여넣기'!$A$1:$AZ$1001,ROW(),설정!$C$7)&amp;"",""))</f>
        <v/>
      </c>
      <c r="F688">
        <f>IF(설정!$C$8="","",IFERROR(INDEX('1.산군_붙여넣기'!$A$1:$AZ$1001,ROW(),설정!$C$8)&amp;"",""))</f>
        <v/>
      </c>
      <c r="G688">
        <f>IF(설정!$C$9="","",IFERROR(INDEX('1.산군_붙여넣기'!$A$1:$AZ$1001,ROW(),설정!$C$9)&amp;"",""))</f>
        <v/>
      </c>
      <c r="H688">
        <f>IF(설정!$C$10="","",IFERROR(INDEX('1.산군_붙여넣기'!$A$1:$AZ$1001,ROW(),설정!$C$10)&amp;"",""))</f>
        <v/>
      </c>
      <c r="I688">
        <f>IF(설정!$C$11="","",IFERROR(INDEX('1.산군_붙여넣기'!$A$1:$AZ$1001,ROW(),설정!$C$11)&amp;"",""))</f>
        <v/>
      </c>
      <c r="J688">
        <f>IF(설정!$C$12="","",IFERROR(INDEX('1.산군_붙여넣기'!$A$1:$AZ$1001,ROW(),설정!$C$12)&amp;"",""))</f>
        <v/>
      </c>
      <c r="K688">
        <f>IF(설정!$C$13="","",IFERROR(INDEX('1.산군_붙여넣기'!$A$1:$AZ$1001,ROW(),설정!$C$13)&amp;"",""))</f>
        <v/>
      </c>
      <c r="L688" s="7">
        <f>IF(X688="","",IF(AND(LEN(X688)=8,ISNUMBER(X688*1)),DATE(LEFT(X688,4),MID(X688,5,2),RIGHT(X688,2)),IFERROR(DATEVALUE(SUBSTITUTE(SUBSTITUTE(X688,".","-"),"/","-")),IFERROR(X688*1,""))))</f>
        <v/>
      </c>
      <c r="M688" s="7">
        <f>IF(Y688="","",IF(AND(LEN(Y688)=8,ISNUMBER(Y688*1)),DATE(LEFT(Y688,4),MID(Y688,5,2),RIGHT(Y688,2)),IFERROR(DATEVALUE(SUBSTITUTE(SUBSTITUTE(Y688,".","-"),"/","-")),IFERROR(Y688*1,""))))</f>
        <v/>
      </c>
      <c r="N688">
        <f>IFERROR(LEFT(B688,FIND(" ",B688)-1),B688)</f>
        <v/>
      </c>
      <c r="O688">
        <f>AND(B688&lt;&gt;"",B688&lt;&gt;설정!$B$4,C688&lt;&gt;설정!$B$5)</f>
        <v/>
      </c>
      <c r="P688">
        <f>IF(O688,B688&amp;"|"&amp;C688,"")</f>
        <v/>
      </c>
      <c r="Q688">
        <f>AND(O688,COUNTIF(P689:P$1002,P688)=0)</f>
        <v/>
      </c>
      <c r="R688">
        <f>OR(AND(설정!$A$42&lt;&gt;"",ISNUMBER(SEARCH(설정!$A$42,E688&amp;" "&amp;C688))),AND(설정!$A$43&lt;&gt;"",ISNUMBER(SEARCH(설정!$A$43,E688&amp;" "&amp;C688))),AND(설정!$A$44&lt;&gt;"",ISNUMBER(SEARCH(설정!$A$44,E688&amp;" "&amp;C688))),AND(설정!$A$45&lt;&gt;"",ISNUMBER(SEARCH(설정!$A$45,E688&amp;" "&amp;C688))),AND(설정!$A$46&lt;&gt;"",ISNUMBER(SEARCH(설정!$A$46,E688&amp;" "&amp;C688))),AND(설정!$A$47&lt;&gt;"",ISNUMBER(SEARCH(설정!$A$47,E688&amp;" "&amp;C688))),AND(설정!$A$48&lt;&gt;"",ISNUMBER(SEARCH(설정!$A$48,E688&amp;" "&amp;C688))),AND(설정!$A$49&lt;&gt;"",ISNUMBER(SEARCH(설정!$A$49,E688&amp;" "&amp;C688))),AND(설정!$A$50&lt;&gt;"",ISNUMBER(SEARCH(설정!$A$50,E688&amp;" "&amp;C688))),AND(설정!$A$51&lt;&gt;"",ISNUMBER(SEARCH(설정!$A$51,E688&amp;" "&amp;C688))))</f>
        <v/>
      </c>
      <c r="S688">
        <f>OR(D688="",D688&gt;=설정!$B$19)</f>
        <v/>
      </c>
      <c r="T688">
        <f>AND(Q688,R688,S688)</f>
        <v/>
      </c>
      <c r="U688">
        <f>IF(T688,IF(AND(설정!$A$54&lt;&gt;"",ISNUMBER(SEARCH(설정!$A$54,K688))),설정!$B$54,IF(AND(설정!$A$55&lt;&gt;"",ISNUMBER(SEARCH(설정!$A$55,K688))),설정!$B$55,IF(AND(설정!$A$56&lt;&gt;"",ISNUMBER(SEARCH(설정!$A$56,K688))),설정!$B$56,IF(AND(설정!$A$57&lt;&gt;"",ISNUMBER(SEARCH(설정!$A$57,K688))),설정!$B$57,IF(AND(설정!$A$58&lt;&gt;"",ISNUMBER(SEARCH(설정!$A$58,K688))),설정!$B$58,IF(AND(설정!$A$59&lt;&gt;"",ISNUMBER(SEARCH(설정!$A$59,K688))),설정!$B$59,IF(AND(설정!$A$60&lt;&gt;"",ISNUMBER(SEARCH(설정!$A$60,K688))),설정!$B$60,IF(AND(설정!$A$61&lt;&gt;"",ISNUMBER(SEARCH(설정!$A$61,K688))),설정!$B$61,IF(M688="","설계사","시공사"))))))))),"")</f>
        <v/>
      </c>
      <c r="V688">
        <f>SUBSTITUTE(SUBSTITUTE(SUBSTITUTE(SUBSTITUTE(G688,"(주)",""),"㈜",""),"주식회사","")," ","")</f>
        <v/>
      </c>
      <c r="W688">
        <f>IF(AND(T688,V688&lt;&gt;""),IF(COUNTIFS(V$2:V688,V688,T$2:T688,TRUE)=1,MAX(W$1:W687)+1,""),"")</f>
        <v/>
      </c>
      <c r="X688">
        <f>IF(설정!$C$14="","",IFERROR(INDEX('1.산군_붙여넣기'!$A$1:$AZ$1001,ROW(),설정!$C$14)&amp;"",""))</f>
        <v/>
      </c>
      <c r="Y688">
        <f>IF(설정!$C$15="","",IFERROR(INDEX('1.산군_붙여넣기'!$A$1:$AZ$1001,ROW(),설정!$C$15)&amp;"",""))</f>
        <v/>
      </c>
      <c r="Z688">
        <f>IF(T688,V688&amp;"|"&amp;U688,"")</f>
        <v/>
      </c>
      <c r="AA688">
        <f>IF(NOT(Q688),"",IF(NOT(AND(R688,S688)),"✕",IF(OR(OR(AND(L688&lt;&gt;"",M688&lt;&gt;"",N(M688)-N(L688)&gt;설정!$B$27),AND(L688&lt;&gt;"",M688="",설정!$B$24-N(L688)&gt;설정!$B$27)),AND(D688&lt;&gt;"",D688&lt;설정!$B$26)),"△","★")))</f>
        <v/>
      </c>
      <c r="AB688">
        <f>IF(NOT(T688),"",IF(U688="설계사",설정!$B$31,IF(U688="시공사",IF(OR(M688="",설정!$B$24-N(M688)&lt;=설정!$B$28*30.4),설정!$B$32,설정!$B$33),설정!$B$34))+IF(AA688="★",설정!$B$35,0))</f>
        <v/>
      </c>
      <c r="AC688">
        <f>SUBSTITUTE(SUBSTITUTE(SUBSTITUTE(SUBSTITUTE(H688,"(주)",""),"㈜",""),"주식회사","")," ","")</f>
        <v/>
      </c>
      <c r="AD688">
        <f>IF(AND(T688,AC688&lt;&gt;""),IF(COUNTIFS(AC$2:AC688,AC688,T$2:T688,TRUE)=1,MAX(AD$1:AD687)+1,""),"")</f>
        <v/>
      </c>
    </row>
    <row r="689">
      <c r="A689">
        <f>ROW()</f>
        <v/>
      </c>
      <c r="B689">
        <f>IF(설정!$C$4="","",IFERROR(INDEX('1.산군_붙여넣기'!$A$1:$AZ$1001,ROW(),설정!$C$4)&amp;"",""))</f>
        <v/>
      </c>
      <c r="C689">
        <f>IF(설정!$C$5="","",IFERROR(INDEX('1.산군_붙여넣기'!$A$1:$AZ$1001,ROW(),설정!$C$5)&amp;"",""))</f>
        <v/>
      </c>
      <c r="D689" s="5">
        <f>IFERROR(VALUE(SUBSTITUTE(SUBSTITUTE(SUBSTITUTE(IF(설정!$C$6="","",IFERROR(INDEX('1.산군_붙여넣기'!$A$1:$AZ$1001,ROW(),설정!$C$6)&amp;"","")),",",""),"㎡",""),"m2","")),"")</f>
        <v/>
      </c>
      <c r="E689">
        <f>IF(설정!$C$7="","",IFERROR(INDEX('1.산군_붙여넣기'!$A$1:$AZ$1001,ROW(),설정!$C$7)&amp;"",""))</f>
        <v/>
      </c>
      <c r="F689">
        <f>IF(설정!$C$8="","",IFERROR(INDEX('1.산군_붙여넣기'!$A$1:$AZ$1001,ROW(),설정!$C$8)&amp;"",""))</f>
        <v/>
      </c>
      <c r="G689">
        <f>IF(설정!$C$9="","",IFERROR(INDEX('1.산군_붙여넣기'!$A$1:$AZ$1001,ROW(),설정!$C$9)&amp;"",""))</f>
        <v/>
      </c>
      <c r="H689">
        <f>IF(설정!$C$10="","",IFERROR(INDEX('1.산군_붙여넣기'!$A$1:$AZ$1001,ROW(),설정!$C$10)&amp;"",""))</f>
        <v/>
      </c>
      <c r="I689">
        <f>IF(설정!$C$11="","",IFERROR(INDEX('1.산군_붙여넣기'!$A$1:$AZ$1001,ROW(),설정!$C$11)&amp;"",""))</f>
        <v/>
      </c>
      <c r="J689">
        <f>IF(설정!$C$12="","",IFERROR(INDEX('1.산군_붙여넣기'!$A$1:$AZ$1001,ROW(),설정!$C$12)&amp;"",""))</f>
        <v/>
      </c>
      <c r="K689">
        <f>IF(설정!$C$13="","",IFERROR(INDEX('1.산군_붙여넣기'!$A$1:$AZ$1001,ROW(),설정!$C$13)&amp;"",""))</f>
        <v/>
      </c>
      <c r="L689" s="7">
        <f>IF(X689="","",IF(AND(LEN(X689)=8,ISNUMBER(X689*1)),DATE(LEFT(X689,4),MID(X689,5,2),RIGHT(X689,2)),IFERROR(DATEVALUE(SUBSTITUTE(SUBSTITUTE(X689,".","-"),"/","-")),IFERROR(X689*1,""))))</f>
        <v/>
      </c>
      <c r="M689" s="7">
        <f>IF(Y689="","",IF(AND(LEN(Y689)=8,ISNUMBER(Y689*1)),DATE(LEFT(Y689,4),MID(Y689,5,2),RIGHT(Y689,2)),IFERROR(DATEVALUE(SUBSTITUTE(SUBSTITUTE(Y689,".","-"),"/","-")),IFERROR(Y689*1,""))))</f>
        <v/>
      </c>
      <c r="N689">
        <f>IFERROR(LEFT(B689,FIND(" ",B689)-1),B689)</f>
        <v/>
      </c>
      <c r="O689">
        <f>AND(B689&lt;&gt;"",B689&lt;&gt;설정!$B$4,C689&lt;&gt;설정!$B$5)</f>
        <v/>
      </c>
      <c r="P689">
        <f>IF(O689,B689&amp;"|"&amp;C689,"")</f>
        <v/>
      </c>
      <c r="Q689">
        <f>AND(O689,COUNTIF(P690:P$1002,P689)=0)</f>
        <v/>
      </c>
      <c r="R689">
        <f>OR(AND(설정!$A$42&lt;&gt;"",ISNUMBER(SEARCH(설정!$A$42,E689&amp;" "&amp;C689))),AND(설정!$A$43&lt;&gt;"",ISNUMBER(SEARCH(설정!$A$43,E689&amp;" "&amp;C689))),AND(설정!$A$44&lt;&gt;"",ISNUMBER(SEARCH(설정!$A$44,E689&amp;" "&amp;C689))),AND(설정!$A$45&lt;&gt;"",ISNUMBER(SEARCH(설정!$A$45,E689&amp;" "&amp;C689))),AND(설정!$A$46&lt;&gt;"",ISNUMBER(SEARCH(설정!$A$46,E689&amp;" "&amp;C689))),AND(설정!$A$47&lt;&gt;"",ISNUMBER(SEARCH(설정!$A$47,E689&amp;" "&amp;C689))),AND(설정!$A$48&lt;&gt;"",ISNUMBER(SEARCH(설정!$A$48,E689&amp;" "&amp;C689))),AND(설정!$A$49&lt;&gt;"",ISNUMBER(SEARCH(설정!$A$49,E689&amp;" "&amp;C689))),AND(설정!$A$50&lt;&gt;"",ISNUMBER(SEARCH(설정!$A$50,E689&amp;" "&amp;C689))),AND(설정!$A$51&lt;&gt;"",ISNUMBER(SEARCH(설정!$A$51,E689&amp;" "&amp;C689))))</f>
        <v/>
      </c>
      <c r="S689">
        <f>OR(D689="",D689&gt;=설정!$B$19)</f>
        <v/>
      </c>
      <c r="T689">
        <f>AND(Q689,R689,S689)</f>
        <v/>
      </c>
      <c r="U689">
        <f>IF(T689,IF(AND(설정!$A$54&lt;&gt;"",ISNUMBER(SEARCH(설정!$A$54,K689))),설정!$B$54,IF(AND(설정!$A$55&lt;&gt;"",ISNUMBER(SEARCH(설정!$A$55,K689))),설정!$B$55,IF(AND(설정!$A$56&lt;&gt;"",ISNUMBER(SEARCH(설정!$A$56,K689))),설정!$B$56,IF(AND(설정!$A$57&lt;&gt;"",ISNUMBER(SEARCH(설정!$A$57,K689))),설정!$B$57,IF(AND(설정!$A$58&lt;&gt;"",ISNUMBER(SEARCH(설정!$A$58,K689))),설정!$B$58,IF(AND(설정!$A$59&lt;&gt;"",ISNUMBER(SEARCH(설정!$A$59,K689))),설정!$B$59,IF(AND(설정!$A$60&lt;&gt;"",ISNUMBER(SEARCH(설정!$A$60,K689))),설정!$B$60,IF(AND(설정!$A$61&lt;&gt;"",ISNUMBER(SEARCH(설정!$A$61,K689))),설정!$B$61,IF(M689="","설계사","시공사"))))))))),"")</f>
        <v/>
      </c>
      <c r="V689">
        <f>SUBSTITUTE(SUBSTITUTE(SUBSTITUTE(SUBSTITUTE(G689,"(주)",""),"㈜",""),"주식회사","")," ","")</f>
        <v/>
      </c>
      <c r="W689">
        <f>IF(AND(T689,V689&lt;&gt;""),IF(COUNTIFS(V$2:V689,V689,T$2:T689,TRUE)=1,MAX(W$1:W688)+1,""),"")</f>
        <v/>
      </c>
      <c r="X689">
        <f>IF(설정!$C$14="","",IFERROR(INDEX('1.산군_붙여넣기'!$A$1:$AZ$1001,ROW(),설정!$C$14)&amp;"",""))</f>
        <v/>
      </c>
      <c r="Y689">
        <f>IF(설정!$C$15="","",IFERROR(INDEX('1.산군_붙여넣기'!$A$1:$AZ$1001,ROW(),설정!$C$15)&amp;"",""))</f>
        <v/>
      </c>
      <c r="Z689">
        <f>IF(T689,V689&amp;"|"&amp;U689,"")</f>
        <v/>
      </c>
      <c r="AA689">
        <f>IF(NOT(Q689),"",IF(NOT(AND(R689,S689)),"✕",IF(OR(OR(AND(L689&lt;&gt;"",M689&lt;&gt;"",N(M689)-N(L689)&gt;설정!$B$27),AND(L689&lt;&gt;"",M689="",설정!$B$24-N(L689)&gt;설정!$B$27)),AND(D689&lt;&gt;"",D689&lt;설정!$B$26)),"△","★")))</f>
        <v/>
      </c>
      <c r="AB689">
        <f>IF(NOT(T689),"",IF(U689="설계사",설정!$B$31,IF(U689="시공사",IF(OR(M689="",설정!$B$24-N(M689)&lt;=설정!$B$28*30.4),설정!$B$32,설정!$B$33),설정!$B$34))+IF(AA689="★",설정!$B$35,0))</f>
        <v/>
      </c>
      <c r="AC689">
        <f>SUBSTITUTE(SUBSTITUTE(SUBSTITUTE(SUBSTITUTE(H689,"(주)",""),"㈜",""),"주식회사","")," ","")</f>
        <v/>
      </c>
      <c r="AD689">
        <f>IF(AND(T689,AC689&lt;&gt;""),IF(COUNTIFS(AC$2:AC689,AC689,T$2:T689,TRUE)=1,MAX(AD$1:AD688)+1,""),"")</f>
        <v/>
      </c>
    </row>
    <row r="690">
      <c r="A690">
        <f>ROW()</f>
        <v/>
      </c>
      <c r="B690">
        <f>IF(설정!$C$4="","",IFERROR(INDEX('1.산군_붙여넣기'!$A$1:$AZ$1001,ROW(),설정!$C$4)&amp;"",""))</f>
        <v/>
      </c>
      <c r="C690">
        <f>IF(설정!$C$5="","",IFERROR(INDEX('1.산군_붙여넣기'!$A$1:$AZ$1001,ROW(),설정!$C$5)&amp;"",""))</f>
        <v/>
      </c>
      <c r="D690" s="5">
        <f>IFERROR(VALUE(SUBSTITUTE(SUBSTITUTE(SUBSTITUTE(IF(설정!$C$6="","",IFERROR(INDEX('1.산군_붙여넣기'!$A$1:$AZ$1001,ROW(),설정!$C$6)&amp;"","")),",",""),"㎡",""),"m2","")),"")</f>
        <v/>
      </c>
      <c r="E690">
        <f>IF(설정!$C$7="","",IFERROR(INDEX('1.산군_붙여넣기'!$A$1:$AZ$1001,ROW(),설정!$C$7)&amp;"",""))</f>
        <v/>
      </c>
      <c r="F690">
        <f>IF(설정!$C$8="","",IFERROR(INDEX('1.산군_붙여넣기'!$A$1:$AZ$1001,ROW(),설정!$C$8)&amp;"",""))</f>
        <v/>
      </c>
      <c r="G690">
        <f>IF(설정!$C$9="","",IFERROR(INDEX('1.산군_붙여넣기'!$A$1:$AZ$1001,ROW(),설정!$C$9)&amp;"",""))</f>
        <v/>
      </c>
      <c r="H690">
        <f>IF(설정!$C$10="","",IFERROR(INDEX('1.산군_붙여넣기'!$A$1:$AZ$1001,ROW(),설정!$C$10)&amp;"",""))</f>
        <v/>
      </c>
      <c r="I690">
        <f>IF(설정!$C$11="","",IFERROR(INDEX('1.산군_붙여넣기'!$A$1:$AZ$1001,ROW(),설정!$C$11)&amp;"",""))</f>
        <v/>
      </c>
      <c r="J690">
        <f>IF(설정!$C$12="","",IFERROR(INDEX('1.산군_붙여넣기'!$A$1:$AZ$1001,ROW(),설정!$C$12)&amp;"",""))</f>
        <v/>
      </c>
      <c r="K690">
        <f>IF(설정!$C$13="","",IFERROR(INDEX('1.산군_붙여넣기'!$A$1:$AZ$1001,ROW(),설정!$C$13)&amp;"",""))</f>
        <v/>
      </c>
      <c r="L690" s="7">
        <f>IF(X690="","",IF(AND(LEN(X690)=8,ISNUMBER(X690*1)),DATE(LEFT(X690,4),MID(X690,5,2),RIGHT(X690,2)),IFERROR(DATEVALUE(SUBSTITUTE(SUBSTITUTE(X690,".","-"),"/","-")),IFERROR(X690*1,""))))</f>
        <v/>
      </c>
      <c r="M690" s="7">
        <f>IF(Y690="","",IF(AND(LEN(Y690)=8,ISNUMBER(Y690*1)),DATE(LEFT(Y690,4),MID(Y690,5,2),RIGHT(Y690,2)),IFERROR(DATEVALUE(SUBSTITUTE(SUBSTITUTE(Y690,".","-"),"/","-")),IFERROR(Y690*1,""))))</f>
        <v/>
      </c>
      <c r="N690">
        <f>IFERROR(LEFT(B690,FIND(" ",B690)-1),B690)</f>
        <v/>
      </c>
      <c r="O690">
        <f>AND(B690&lt;&gt;"",B690&lt;&gt;설정!$B$4,C690&lt;&gt;설정!$B$5)</f>
        <v/>
      </c>
      <c r="P690">
        <f>IF(O690,B690&amp;"|"&amp;C690,"")</f>
        <v/>
      </c>
      <c r="Q690">
        <f>AND(O690,COUNTIF(P691:P$1002,P690)=0)</f>
        <v/>
      </c>
      <c r="R690">
        <f>OR(AND(설정!$A$42&lt;&gt;"",ISNUMBER(SEARCH(설정!$A$42,E690&amp;" "&amp;C690))),AND(설정!$A$43&lt;&gt;"",ISNUMBER(SEARCH(설정!$A$43,E690&amp;" "&amp;C690))),AND(설정!$A$44&lt;&gt;"",ISNUMBER(SEARCH(설정!$A$44,E690&amp;" "&amp;C690))),AND(설정!$A$45&lt;&gt;"",ISNUMBER(SEARCH(설정!$A$45,E690&amp;" "&amp;C690))),AND(설정!$A$46&lt;&gt;"",ISNUMBER(SEARCH(설정!$A$46,E690&amp;" "&amp;C690))),AND(설정!$A$47&lt;&gt;"",ISNUMBER(SEARCH(설정!$A$47,E690&amp;" "&amp;C690))),AND(설정!$A$48&lt;&gt;"",ISNUMBER(SEARCH(설정!$A$48,E690&amp;" "&amp;C690))),AND(설정!$A$49&lt;&gt;"",ISNUMBER(SEARCH(설정!$A$49,E690&amp;" "&amp;C690))),AND(설정!$A$50&lt;&gt;"",ISNUMBER(SEARCH(설정!$A$50,E690&amp;" "&amp;C690))),AND(설정!$A$51&lt;&gt;"",ISNUMBER(SEARCH(설정!$A$51,E690&amp;" "&amp;C690))))</f>
        <v/>
      </c>
      <c r="S690">
        <f>OR(D690="",D690&gt;=설정!$B$19)</f>
        <v/>
      </c>
      <c r="T690">
        <f>AND(Q690,R690,S690)</f>
        <v/>
      </c>
      <c r="U690">
        <f>IF(T690,IF(AND(설정!$A$54&lt;&gt;"",ISNUMBER(SEARCH(설정!$A$54,K690))),설정!$B$54,IF(AND(설정!$A$55&lt;&gt;"",ISNUMBER(SEARCH(설정!$A$55,K690))),설정!$B$55,IF(AND(설정!$A$56&lt;&gt;"",ISNUMBER(SEARCH(설정!$A$56,K690))),설정!$B$56,IF(AND(설정!$A$57&lt;&gt;"",ISNUMBER(SEARCH(설정!$A$57,K690))),설정!$B$57,IF(AND(설정!$A$58&lt;&gt;"",ISNUMBER(SEARCH(설정!$A$58,K690))),설정!$B$58,IF(AND(설정!$A$59&lt;&gt;"",ISNUMBER(SEARCH(설정!$A$59,K690))),설정!$B$59,IF(AND(설정!$A$60&lt;&gt;"",ISNUMBER(SEARCH(설정!$A$60,K690))),설정!$B$60,IF(AND(설정!$A$61&lt;&gt;"",ISNUMBER(SEARCH(설정!$A$61,K690))),설정!$B$61,IF(M690="","설계사","시공사"))))))))),"")</f>
        <v/>
      </c>
      <c r="V690">
        <f>SUBSTITUTE(SUBSTITUTE(SUBSTITUTE(SUBSTITUTE(G690,"(주)",""),"㈜",""),"주식회사","")," ","")</f>
        <v/>
      </c>
      <c r="W690">
        <f>IF(AND(T690,V690&lt;&gt;""),IF(COUNTIFS(V$2:V690,V690,T$2:T690,TRUE)=1,MAX(W$1:W689)+1,""),"")</f>
        <v/>
      </c>
      <c r="X690">
        <f>IF(설정!$C$14="","",IFERROR(INDEX('1.산군_붙여넣기'!$A$1:$AZ$1001,ROW(),설정!$C$14)&amp;"",""))</f>
        <v/>
      </c>
      <c r="Y690">
        <f>IF(설정!$C$15="","",IFERROR(INDEX('1.산군_붙여넣기'!$A$1:$AZ$1001,ROW(),설정!$C$15)&amp;"",""))</f>
        <v/>
      </c>
      <c r="Z690">
        <f>IF(T690,V690&amp;"|"&amp;U690,"")</f>
        <v/>
      </c>
      <c r="AA690">
        <f>IF(NOT(Q690),"",IF(NOT(AND(R690,S690)),"✕",IF(OR(OR(AND(L690&lt;&gt;"",M690&lt;&gt;"",N(M690)-N(L690)&gt;설정!$B$27),AND(L690&lt;&gt;"",M690="",설정!$B$24-N(L690)&gt;설정!$B$27)),AND(D690&lt;&gt;"",D690&lt;설정!$B$26)),"△","★")))</f>
        <v/>
      </c>
      <c r="AB690">
        <f>IF(NOT(T690),"",IF(U690="설계사",설정!$B$31,IF(U690="시공사",IF(OR(M690="",설정!$B$24-N(M690)&lt;=설정!$B$28*30.4),설정!$B$32,설정!$B$33),설정!$B$34))+IF(AA690="★",설정!$B$35,0))</f>
        <v/>
      </c>
      <c r="AC690">
        <f>SUBSTITUTE(SUBSTITUTE(SUBSTITUTE(SUBSTITUTE(H690,"(주)",""),"㈜",""),"주식회사","")," ","")</f>
        <v/>
      </c>
      <c r="AD690">
        <f>IF(AND(T690,AC690&lt;&gt;""),IF(COUNTIFS(AC$2:AC690,AC690,T$2:T690,TRUE)=1,MAX(AD$1:AD689)+1,""),"")</f>
        <v/>
      </c>
    </row>
    <row r="691">
      <c r="A691">
        <f>ROW()</f>
        <v/>
      </c>
      <c r="B691">
        <f>IF(설정!$C$4="","",IFERROR(INDEX('1.산군_붙여넣기'!$A$1:$AZ$1001,ROW(),설정!$C$4)&amp;"",""))</f>
        <v/>
      </c>
      <c r="C691">
        <f>IF(설정!$C$5="","",IFERROR(INDEX('1.산군_붙여넣기'!$A$1:$AZ$1001,ROW(),설정!$C$5)&amp;"",""))</f>
        <v/>
      </c>
      <c r="D691" s="5">
        <f>IFERROR(VALUE(SUBSTITUTE(SUBSTITUTE(SUBSTITUTE(IF(설정!$C$6="","",IFERROR(INDEX('1.산군_붙여넣기'!$A$1:$AZ$1001,ROW(),설정!$C$6)&amp;"","")),",",""),"㎡",""),"m2","")),"")</f>
        <v/>
      </c>
      <c r="E691">
        <f>IF(설정!$C$7="","",IFERROR(INDEX('1.산군_붙여넣기'!$A$1:$AZ$1001,ROW(),설정!$C$7)&amp;"",""))</f>
        <v/>
      </c>
      <c r="F691">
        <f>IF(설정!$C$8="","",IFERROR(INDEX('1.산군_붙여넣기'!$A$1:$AZ$1001,ROW(),설정!$C$8)&amp;"",""))</f>
        <v/>
      </c>
      <c r="G691">
        <f>IF(설정!$C$9="","",IFERROR(INDEX('1.산군_붙여넣기'!$A$1:$AZ$1001,ROW(),설정!$C$9)&amp;"",""))</f>
        <v/>
      </c>
      <c r="H691">
        <f>IF(설정!$C$10="","",IFERROR(INDEX('1.산군_붙여넣기'!$A$1:$AZ$1001,ROW(),설정!$C$10)&amp;"",""))</f>
        <v/>
      </c>
      <c r="I691">
        <f>IF(설정!$C$11="","",IFERROR(INDEX('1.산군_붙여넣기'!$A$1:$AZ$1001,ROW(),설정!$C$11)&amp;"",""))</f>
        <v/>
      </c>
      <c r="J691">
        <f>IF(설정!$C$12="","",IFERROR(INDEX('1.산군_붙여넣기'!$A$1:$AZ$1001,ROW(),설정!$C$12)&amp;"",""))</f>
        <v/>
      </c>
      <c r="K691">
        <f>IF(설정!$C$13="","",IFERROR(INDEX('1.산군_붙여넣기'!$A$1:$AZ$1001,ROW(),설정!$C$13)&amp;"",""))</f>
        <v/>
      </c>
      <c r="L691" s="7">
        <f>IF(X691="","",IF(AND(LEN(X691)=8,ISNUMBER(X691*1)),DATE(LEFT(X691,4),MID(X691,5,2),RIGHT(X691,2)),IFERROR(DATEVALUE(SUBSTITUTE(SUBSTITUTE(X691,".","-"),"/","-")),IFERROR(X691*1,""))))</f>
        <v/>
      </c>
      <c r="M691" s="7">
        <f>IF(Y691="","",IF(AND(LEN(Y691)=8,ISNUMBER(Y691*1)),DATE(LEFT(Y691,4),MID(Y691,5,2),RIGHT(Y691,2)),IFERROR(DATEVALUE(SUBSTITUTE(SUBSTITUTE(Y691,".","-"),"/","-")),IFERROR(Y691*1,""))))</f>
        <v/>
      </c>
      <c r="N691">
        <f>IFERROR(LEFT(B691,FIND(" ",B691)-1),B691)</f>
        <v/>
      </c>
      <c r="O691">
        <f>AND(B691&lt;&gt;"",B691&lt;&gt;설정!$B$4,C691&lt;&gt;설정!$B$5)</f>
        <v/>
      </c>
      <c r="P691">
        <f>IF(O691,B691&amp;"|"&amp;C691,"")</f>
        <v/>
      </c>
      <c r="Q691">
        <f>AND(O691,COUNTIF(P692:P$1002,P691)=0)</f>
        <v/>
      </c>
      <c r="R691">
        <f>OR(AND(설정!$A$42&lt;&gt;"",ISNUMBER(SEARCH(설정!$A$42,E691&amp;" "&amp;C691))),AND(설정!$A$43&lt;&gt;"",ISNUMBER(SEARCH(설정!$A$43,E691&amp;" "&amp;C691))),AND(설정!$A$44&lt;&gt;"",ISNUMBER(SEARCH(설정!$A$44,E691&amp;" "&amp;C691))),AND(설정!$A$45&lt;&gt;"",ISNUMBER(SEARCH(설정!$A$45,E691&amp;" "&amp;C691))),AND(설정!$A$46&lt;&gt;"",ISNUMBER(SEARCH(설정!$A$46,E691&amp;" "&amp;C691))),AND(설정!$A$47&lt;&gt;"",ISNUMBER(SEARCH(설정!$A$47,E691&amp;" "&amp;C691))),AND(설정!$A$48&lt;&gt;"",ISNUMBER(SEARCH(설정!$A$48,E691&amp;" "&amp;C691))),AND(설정!$A$49&lt;&gt;"",ISNUMBER(SEARCH(설정!$A$49,E691&amp;" "&amp;C691))),AND(설정!$A$50&lt;&gt;"",ISNUMBER(SEARCH(설정!$A$50,E691&amp;" "&amp;C691))),AND(설정!$A$51&lt;&gt;"",ISNUMBER(SEARCH(설정!$A$51,E691&amp;" "&amp;C691))))</f>
        <v/>
      </c>
      <c r="S691">
        <f>OR(D691="",D691&gt;=설정!$B$19)</f>
        <v/>
      </c>
      <c r="T691">
        <f>AND(Q691,R691,S691)</f>
        <v/>
      </c>
      <c r="U691">
        <f>IF(T691,IF(AND(설정!$A$54&lt;&gt;"",ISNUMBER(SEARCH(설정!$A$54,K691))),설정!$B$54,IF(AND(설정!$A$55&lt;&gt;"",ISNUMBER(SEARCH(설정!$A$55,K691))),설정!$B$55,IF(AND(설정!$A$56&lt;&gt;"",ISNUMBER(SEARCH(설정!$A$56,K691))),설정!$B$56,IF(AND(설정!$A$57&lt;&gt;"",ISNUMBER(SEARCH(설정!$A$57,K691))),설정!$B$57,IF(AND(설정!$A$58&lt;&gt;"",ISNUMBER(SEARCH(설정!$A$58,K691))),설정!$B$58,IF(AND(설정!$A$59&lt;&gt;"",ISNUMBER(SEARCH(설정!$A$59,K691))),설정!$B$59,IF(AND(설정!$A$60&lt;&gt;"",ISNUMBER(SEARCH(설정!$A$60,K691))),설정!$B$60,IF(AND(설정!$A$61&lt;&gt;"",ISNUMBER(SEARCH(설정!$A$61,K691))),설정!$B$61,IF(M691="","설계사","시공사"))))))))),"")</f>
        <v/>
      </c>
      <c r="V691">
        <f>SUBSTITUTE(SUBSTITUTE(SUBSTITUTE(SUBSTITUTE(G691,"(주)",""),"㈜",""),"주식회사","")," ","")</f>
        <v/>
      </c>
      <c r="W691">
        <f>IF(AND(T691,V691&lt;&gt;""),IF(COUNTIFS(V$2:V691,V691,T$2:T691,TRUE)=1,MAX(W$1:W690)+1,""),"")</f>
        <v/>
      </c>
      <c r="X691">
        <f>IF(설정!$C$14="","",IFERROR(INDEX('1.산군_붙여넣기'!$A$1:$AZ$1001,ROW(),설정!$C$14)&amp;"",""))</f>
        <v/>
      </c>
      <c r="Y691">
        <f>IF(설정!$C$15="","",IFERROR(INDEX('1.산군_붙여넣기'!$A$1:$AZ$1001,ROW(),설정!$C$15)&amp;"",""))</f>
        <v/>
      </c>
      <c r="Z691">
        <f>IF(T691,V691&amp;"|"&amp;U691,"")</f>
        <v/>
      </c>
      <c r="AA691">
        <f>IF(NOT(Q691),"",IF(NOT(AND(R691,S691)),"✕",IF(OR(OR(AND(L691&lt;&gt;"",M691&lt;&gt;"",N(M691)-N(L691)&gt;설정!$B$27),AND(L691&lt;&gt;"",M691="",설정!$B$24-N(L691)&gt;설정!$B$27)),AND(D691&lt;&gt;"",D691&lt;설정!$B$26)),"△","★")))</f>
        <v/>
      </c>
      <c r="AB691">
        <f>IF(NOT(T691),"",IF(U691="설계사",설정!$B$31,IF(U691="시공사",IF(OR(M691="",설정!$B$24-N(M691)&lt;=설정!$B$28*30.4),설정!$B$32,설정!$B$33),설정!$B$34))+IF(AA691="★",설정!$B$35,0))</f>
        <v/>
      </c>
      <c r="AC691">
        <f>SUBSTITUTE(SUBSTITUTE(SUBSTITUTE(SUBSTITUTE(H691,"(주)",""),"㈜",""),"주식회사","")," ","")</f>
        <v/>
      </c>
      <c r="AD691">
        <f>IF(AND(T691,AC691&lt;&gt;""),IF(COUNTIFS(AC$2:AC691,AC691,T$2:T691,TRUE)=1,MAX(AD$1:AD690)+1,""),"")</f>
        <v/>
      </c>
    </row>
    <row r="692">
      <c r="A692">
        <f>ROW()</f>
        <v/>
      </c>
      <c r="B692">
        <f>IF(설정!$C$4="","",IFERROR(INDEX('1.산군_붙여넣기'!$A$1:$AZ$1001,ROW(),설정!$C$4)&amp;"",""))</f>
        <v/>
      </c>
      <c r="C692">
        <f>IF(설정!$C$5="","",IFERROR(INDEX('1.산군_붙여넣기'!$A$1:$AZ$1001,ROW(),설정!$C$5)&amp;"",""))</f>
        <v/>
      </c>
      <c r="D692" s="5">
        <f>IFERROR(VALUE(SUBSTITUTE(SUBSTITUTE(SUBSTITUTE(IF(설정!$C$6="","",IFERROR(INDEX('1.산군_붙여넣기'!$A$1:$AZ$1001,ROW(),설정!$C$6)&amp;"","")),",",""),"㎡",""),"m2","")),"")</f>
        <v/>
      </c>
      <c r="E692">
        <f>IF(설정!$C$7="","",IFERROR(INDEX('1.산군_붙여넣기'!$A$1:$AZ$1001,ROW(),설정!$C$7)&amp;"",""))</f>
        <v/>
      </c>
      <c r="F692">
        <f>IF(설정!$C$8="","",IFERROR(INDEX('1.산군_붙여넣기'!$A$1:$AZ$1001,ROW(),설정!$C$8)&amp;"",""))</f>
        <v/>
      </c>
      <c r="G692">
        <f>IF(설정!$C$9="","",IFERROR(INDEX('1.산군_붙여넣기'!$A$1:$AZ$1001,ROW(),설정!$C$9)&amp;"",""))</f>
        <v/>
      </c>
      <c r="H692">
        <f>IF(설정!$C$10="","",IFERROR(INDEX('1.산군_붙여넣기'!$A$1:$AZ$1001,ROW(),설정!$C$10)&amp;"",""))</f>
        <v/>
      </c>
      <c r="I692">
        <f>IF(설정!$C$11="","",IFERROR(INDEX('1.산군_붙여넣기'!$A$1:$AZ$1001,ROW(),설정!$C$11)&amp;"",""))</f>
        <v/>
      </c>
      <c r="J692">
        <f>IF(설정!$C$12="","",IFERROR(INDEX('1.산군_붙여넣기'!$A$1:$AZ$1001,ROW(),설정!$C$12)&amp;"",""))</f>
        <v/>
      </c>
      <c r="K692">
        <f>IF(설정!$C$13="","",IFERROR(INDEX('1.산군_붙여넣기'!$A$1:$AZ$1001,ROW(),설정!$C$13)&amp;"",""))</f>
        <v/>
      </c>
      <c r="L692" s="7">
        <f>IF(X692="","",IF(AND(LEN(X692)=8,ISNUMBER(X692*1)),DATE(LEFT(X692,4),MID(X692,5,2),RIGHT(X692,2)),IFERROR(DATEVALUE(SUBSTITUTE(SUBSTITUTE(X692,".","-"),"/","-")),IFERROR(X692*1,""))))</f>
        <v/>
      </c>
      <c r="M692" s="7">
        <f>IF(Y692="","",IF(AND(LEN(Y692)=8,ISNUMBER(Y692*1)),DATE(LEFT(Y692,4),MID(Y692,5,2),RIGHT(Y692,2)),IFERROR(DATEVALUE(SUBSTITUTE(SUBSTITUTE(Y692,".","-"),"/","-")),IFERROR(Y692*1,""))))</f>
        <v/>
      </c>
      <c r="N692">
        <f>IFERROR(LEFT(B692,FIND(" ",B692)-1),B692)</f>
        <v/>
      </c>
      <c r="O692">
        <f>AND(B692&lt;&gt;"",B692&lt;&gt;설정!$B$4,C692&lt;&gt;설정!$B$5)</f>
        <v/>
      </c>
      <c r="P692">
        <f>IF(O692,B692&amp;"|"&amp;C692,"")</f>
        <v/>
      </c>
      <c r="Q692">
        <f>AND(O692,COUNTIF(P693:P$1002,P692)=0)</f>
        <v/>
      </c>
      <c r="R692">
        <f>OR(AND(설정!$A$42&lt;&gt;"",ISNUMBER(SEARCH(설정!$A$42,E692&amp;" "&amp;C692))),AND(설정!$A$43&lt;&gt;"",ISNUMBER(SEARCH(설정!$A$43,E692&amp;" "&amp;C692))),AND(설정!$A$44&lt;&gt;"",ISNUMBER(SEARCH(설정!$A$44,E692&amp;" "&amp;C692))),AND(설정!$A$45&lt;&gt;"",ISNUMBER(SEARCH(설정!$A$45,E692&amp;" "&amp;C692))),AND(설정!$A$46&lt;&gt;"",ISNUMBER(SEARCH(설정!$A$46,E692&amp;" "&amp;C692))),AND(설정!$A$47&lt;&gt;"",ISNUMBER(SEARCH(설정!$A$47,E692&amp;" "&amp;C692))),AND(설정!$A$48&lt;&gt;"",ISNUMBER(SEARCH(설정!$A$48,E692&amp;" "&amp;C692))),AND(설정!$A$49&lt;&gt;"",ISNUMBER(SEARCH(설정!$A$49,E692&amp;" "&amp;C692))),AND(설정!$A$50&lt;&gt;"",ISNUMBER(SEARCH(설정!$A$50,E692&amp;" "&amp;C692))),AND(설정!$A$51&lt;&gt;"",ISNUMBER(SEARCH(설정!$A$51,E692&amp;" "&amp;C692))))</f>
        <v/>
      </c>
      <c r="S692">
        <f>OR(D692="",D692&gt;=설정!$B$19)</f>
        <v/>
      </c>
      <c r="T692">
        <f>AND(Q692,R692,S692)</f>
        <v/>
      </c>
      <c r="U692">
        <f>IF(T692,IF(AND(설정!$A$54&lt;&gt;"",ISNUMBER(SEARCH(설정!$A$54,K692))),설정!$B$54,IF(AND(설정!$A$55&lt;&gt;"",ISNUMBER(SEARCH(설정!$A$55,K692))),설정!$B$55,IF(AND(설정!$A$56&lt;&gt;"",ISNUMBER(SEARCH(설정!$A$56,K692))),설정!$B$56,IF(AND(설정!$A$57&lt;&gt;"",ISNUMBER(SEARCH(설정!$A$57,K692))),설정!$B$57,IF(AND(설정!$A$58&lt;&gt;"",ISNUMBER(SEARCH(설정!$A$58,K692))),설정!$B$58,IF(AND(설정!$A$59&lt;&gt;"",ISNUMBER(SEARCH(설정!$A$59,K692))),설정!$B$59,IF(AND(설정!$A$60&lt;&gt;"",ISNUMBER(SEARCH(설정!$A$60,K692))),설정!$B$60,IF(AND(설정!$A$61&lt;&gt;"",ISNUMBER(SEARCH(설정!$A$61,K692))),설정!$B$61,IF(M692="","설계사","시공사"))))))))),"")</f>
        <v/>
      </c>
      <c r="V692">
        <f>SUBSTITUTE(SUBSTITUTE(SUBSTITUTE(SUBSTITUTE(G692,"(주)",""),"㈜",""),"주식회사","")," ","")</f>
        <v/>
      </c>
      <c r="W692">
        <f>IF(AND(T692,V692&lt;&gt;""),IF(COUNTIFS(V$2:V692,V692,T$2:T692,TRUE)=1,MAX(W$1:W691)+1,""),"")</f>
        <v/>
      </c>
      <c r="X692">
        <f>IF(설정!$C$14="","",IFERROR(INDEX('1.산군_붙여넣기'!$A$1:$AZ$1001,ROW(),설정!$C$14)&amp;"",""))</f>
        <v/>
      </c>
      <c r="Y692">
        <f>IF(설정!$C$15="","",IFERROR(INDEX('1.산군_붙여넣기'!$A$1:$AZ$1001,ROW(),설정!$C$15)&amp;"",""))</f>
        <v/>
      </c>
      <c r="Z692">
        <f>IF(T692,V692&amp;"|"&amp;U692,"")</f>
        <v/>
      </c>
      <c r="AA692">
        <f>IF(NOT(Q692),"",IF(NOT(AND(R692,S692)),"✕",IF(OR(OR(AND(L692&lt;&gt;"",M692&lt;&gt;"",N(M692)-N(L692)&gt;설정!$B$27),AND(L692&lt;&gt;"",M692="",설정!$B$24-N(L692)&gt;설정!$B$27)),AND(D692&lt;&gt;"",D692&lt;설정!$B$26)),"△","★")))</f>
        <v/>
      </c>
      <c r="AB692">
        <f>IF(NOT(T692),"",IF(U692="설계사",설정!$B$31,IF(U692="시공사",IF(OR(M692="",설정!$B$24-N(M692)&lt;=설정!$B$28*30.4),설정!$B$32,설정!$B$33),설정!$B$34))+IF(AA692="★",설정!$B$35,0))</f>
        <v/>
      </c>
      <c r="AC692">
        <f>SUBSTITUTE(SUBSTITUTE(SUBSTITUTE(SUBSTITUTE(H692,"(주)",""),"㈜",""),"주식회사","")," ","")</f>
        <v/>
      </c>
      <c r="AD692">
        <f>IF(AND(T692,AC692&lt;&gt;""),IF(COUNTIFS(AC$2:AC692,AC692,T$2:T692,TRUE)=1,MAX(AD$1:AD691)+1,""),"")</f>
        <v/>
      </c>
    </row>
    <row r="693">
      <c r="A693">
        <f>ROW()</f>
        <v/>
      </c>
      <c r="B693">
        <f>IF(설정!$C$4="","",IFERROR(INDEX('1.산군_붙여넣기'!$A$1:$AZ$1001,ROW(),설정!$C$4)&amp;"",""))</f>
        <v/>
      </c>
      <c r="C693">
        <f>IF(설정!$C$5="","",IFERROR(INDEX('1.산군_붙여넣기'!$A$1:$AZ$1001,ROW(),설정!$C$5)&amp;"",""))</f>
        <v/>
      </c>
      <c r="D693" s="5">
        <f>IFERROR(VALUE(SUBSTITUTE(SUBSTITUTE(SUBSTITUTE(IF(설정!$C$6="","",IFERROR(INDEX('1.산군_붙여넣기'!$A$1:$AZ$1001,ROW(),설정!$C$6)&amp;"","")),",",""),"㎡",""),"m2","")),"")</f>
        <v/>
      </c>
      <c r="E693">
        <f>IF(설정!$C$7="","",IFERROR(INDEX('1.산군_붙여넣기'!$A$1:$AZ$1001,ROW(),설정!$C$7)&amp;"",""))</f>
        <v/>
      </c>
      <c r="F693">
        <f>IF(설정!$C$8="","",IFERROR(INDEX('1.산군_붙여넣기'!$A$1:$AZ$1001,ROW(),설정!$C$8)&amp;"",""))</f>
        <v/>
      </c>
      <c r="G693">
        <f>IF(설정!$C$9="","",IFERROR(INDEX('1.산군_붙여넣기'!$A$1:$AZ$1001,ROW(),설정!$C$9)&amp;"",""))</f>
        <v/>
      </c>
      <c r="H693">
        <f>IF(설정!$C$10="","",IFERROR(INDEX('1.산군_붙여넣기'!$A$1:$AZ$1001,ROW(),설정!$C$10)&amp;"",""))</f>
        <v/>
      </c>
      <c r="I693">
        <f>IF(설정!$C$11="","",IFERROR(INDEX('1.산군_붙여넣기'!$A$1:$AZ$1001,ROW(),설정!$C$11)&amp;"",""))</f>
        <v/>
      </c>
      <c r="J693">
        <f>IF(설정!$C$12="","",IFERROR(INDEX('1.산군_붙여넣기'!$A$1:$AZ$1001,ROW(),설정!$C$12)&amp;"",""))</f>
        <v/>
      </c>
      <c r="K693">
        <f>IF(설정!$C$13="","",IFERROR(INDEX('1.산군_붙여넣기'!$A$1:$AZ$1001,ROW(),설정!$C$13)&amp;"",""))</f>
        <v/>
      </c>
      <c r="L693" s="7">
        <f>IF(X693="","",IF(AND(LEN(X693)=8,ISNUMBER(X693*1)),DATE(LEFT(X693,4),MID(X693,5,2),RIGHT(X693,2)),IFERROR(DATEVALUE(SUBSTITUTE(SUBSTITUTE(X693,".","-"),"/","-")),IFERROR(X693*1,""))))</f>
        <v/>
      </c>
      <c r="M693" s="7">
        <f>IF(Y693="","",IF(AND(LEN(Y693)=8,ISNUMBER(Y693*1)),DATE(LEFT(Y693,4),MID(Y693,5,2),RIGHT(Y693,2)),IFERROR(DATEVALUE(SUBSTITUTE(SUBSTITUTE(Y693,".","-"),"/","-")),IFERROR(Y693*1,""))))</f>
        <v/>
      </c>
      <c r="N693">
        <f>IFERROR(LEFT(B693,FIND(" ",B693)-1),B693)</f>
        <v/>
      </c>
      <c r="O693">
        <f>AND(B693&lt;&gt;"",B693&lt;&gt;설정!$B$4,C693&lt;&gt;설정!$B$5)</f>
        <v/>
      </c>
      <c r="P693">
        <f>IF(O693,B693&amp;"|"&amp;C693,"")</f>
        <v/>
      </c>
      <c r="Q693">
        <f>AND(O693,COUNTIF(P694:P$1002,P693)=0)</f>
        <v/>
      </c>
      <c r="R693">
        <f>OR(AND(설정!$A$42&lt;&gt;"",ISNUMBER(SEARCH(설정!$A$42,E693&amp;" "&amp;C693))),AND(설정!$A$43&lt;&gt;"",ISNUMBER(SEARCH(설정!$A$43,E693&amp;" "&amp;C693))),AND(설정!$A$44&lt;&gt;"",ISNUMBER(SEARCH(설정!$A$44,E693&amp;" "&amp;C693))),AND(설정!$A$45&lt;&gt;"",ISNUMBER(SEARCH(설정!$A$45,E693&amp;" "&amp;C693))),AND(설정!$A$46&lt;&gt;"",ISNUMBER(SEARCH(설정!$A$46,E693&amp;" "&amp;C693))),AND(설정!$A$47&lt;&gt;"",ISNUMBER(SEARCH(설정!$A$47,E693&amp;" "&amp;C693))),AND(설정!$A$48&lt;&gt;"",ISNUMBER(SEARCH(설정!$A$48,E693&amp;" "&amp;C693))),AND(설정!$A$49&lt;&gt;"",ISNUMBER(SEARCH(설정!$A$49,E693&amp;" "&amp;C693))),AND(설정!$A$50&lt;&gt;"",ISNUMBER(SEARCH(설정!$A$50,E693&amp;" "&amp;C693))),AND(설정!$A$51&lt;&gt;"",ISNUMBER(SEARCH(설정!$A$51,E693&amp;" "&amp;C693))))</f>
        <v/>
      </c>
      <c r="S693">
        <f>OR(D693="",D693&gt;=설정!$B$19)</f>
        <v/>
      </c>
      <c r="T693">
        <f>AND(Q693,R693,S693)</f>
        <v/>
      </c>
      <c r="U693">
        <f>IF(T693,IF(AND(설정!$A$54&lt;&gt;"",ISNUMBER(SEARCH(설정!$A$54,K693))),설정!$B$54,IF(AND(설정!$A$55&lt;&gt;"",ISNUMBER(SEARCH(설정!$A$55,K693))),설정!$B$55,IF(AND(설정!$A$56&lt;&gt;"",ISNUMBER(SEARCH(설정!$A$56,K693))),설정!$B$56,IF(AND(설정!$A$57&lt;&gt;"",ISNUMBER(SEARCH(설정!$A$57,K693))),설정!$B$57,IF(AND(설정!$A$58&lt;&gt;"",ISNUMBER(SEARCH(설정!$A$58,K693))),설정!$B$58,IF(AND(설정!$A$59&lt;&gt;"",ISNUMBER(SEARCH(설정!$A$59,K693))),설정!$B$59,IF(AND(설정!$A$60&lt;&gt;"",ISNUMBER(SEARCH(설정!$A$60,K693))),설정!$B$60,IF(AND(설정!$A$61&lt;&gt;"",ISNUMBER(SEARCH(설정!$A$61,K693))),설정!$B$61,IF(M693="","설계사","시공사"))))))))),"")</f>
        <v/>
      </c>
      <c r="V693">
        <f>SUBSTITUTE(SUBSTITUTE(SUBSTITUTE(SUBSTITUTE(G693,"(주)",""),"㈜",""),"주식회사","")," ","")</f>
        <v/>
      </c>
      <c r="W693">
        <f>IF(AND(T693,V693&lt;&gt;""),IF(COUNTIFS(V$2:V693,V693,T$2:T693,TRUE)=1,MAX(W$1:W692)+1,""),"")</f>
        <v/>
      </c>
      <c r="X693">
        <f>IF(설정!$C$14="","",IFERROR(INDEX('1.산군_붙여넣기'!$A$1:$AZ$1001,ROW(),설정!$C$14)&amp;"",""))</f>
        <v/>
      </c>
      <c r="Y693">
        <f>IF(설정!$C$15="","",IFERROR(INDEX('1.산군_붙여넣기'!$A$1:$AZ$1001,ROW(),설정!$C$15)&amp;"",""))</f>
        <v/>
      </c>
      <c r="Z693">
        <f>IF(T693,V693&amp;"|"&amp;U693,"")</f>
        <v/>
      </c>
      <c r="AA693">
        <f>IF(NOT(Q693),"",IF(NOT(AND(R693,S693)),"✕",IF(OR(OR(AND(L693&lt;&gt;"",M693&lt;&gt;"",N(M693)-N(L693)&gt;설정!$B$27),AND(L693&lt;&gt;"",M693="",설정!$B$24-N(L693)&gt;설정!$B$27)),AND(D693&lt;&gt;"",D693&lt;설정!$B$26)),"△","★")))</f>
        <v/>
      </c>
      <c r="AB693">
        <f>IF(NOT(T693),"",IF(U693="설계사",설정!$B$31,IF(U693="시공사",IF(OR(M693="",설정!$B$24-N(M693)&lt;=설정!$B$28*30.4),설정!$B$32,설정!$B$33),설정!$B$34))+IF(AA693="★",설정!$B$35,0))</f>
        <v/>
      </c>
      <c r="AC693">
        <f>SUBSTITUTE(SUBSTITUTE(SUBSTITUTE(SUBSTITUTE(H693,"(주)",""),"㈜",""),"주식회사","")," ","")</f>
        <v/>
      </c>
      <c r="AD693">
        <f>IF(AND(T693,AC693&lt;&gt;""),IF(COUNTIFS(AC$2:AC693,AC693,T$2:T693,TRUE)=1,MAX(AD$1:AD692)+1,""),"")</f>
        <v/>
      </c>
    </row>
    <row r="694">
      <c r="A694">
        <f>ROW()</f>
        <v/>
      </c>
      <c r="B694">
        <f>IF(설정!$C$4="","",IFERROR(INDEX('1.산군_붙여넣기'!$A$1:$AZ$1001,ROW(),설정!$C$4)&amp;"",""))</f>
        <v/>
      </c>
      <c r="C694">
        <f>IF(설정!$C$5="","",IFERROR(INDEX('1.산군_붙여넣기'!$A$1:$AZ$1001,ROW(),설정!$C$5)&amp;"",""))</f>
        <v/>
      </c>
      <c r="D694" s="5">
        <f>IFERROR(VALUE(SUBSTITUTE(SUBSTITUTE(SUBSTITUTE(IF(설정!$C$6="","",IFERROR(INDEX('1.산군_붙여넣기'!$A$1:$AZ$1001,ROW(),설정!$C$6)&amp;"","")),",",""),"㎡",""),"m2","")),"")</f>
        <v/>
      </c>
      <c r="E694">
        <f>IF(설정!$C$7="","",IFERROR(INDEX('1.산군_붙여넣기'!$A$1:$AZ$1001,ROW(),설정!$C$7)&amp;"",""))</f>
        <v/>
      </c>
      <c r="F694">
        <f>IF(설정!$C$8="","",IFERROR(INDEX('1.산군_붙여넣기'!$A$1:$AZ$1001,ROW(),설정!$C$8)&amp;"",""))</f>
        <v/>
      </c>
      <c r="G694">
        <f>IF(설정!$C$9="","",IFERROR(INDEX('1.산군_붙여넣기'!$A$1:$AZ$1001,ROW(),설정!$C$9)&amp;"",""))</f>
        <v/>
      </c>
      <c r="H694">
        <f>IF(설정!$C$10="","",IFERROR(INDEX('1.산군_붙여넣기'!$A$1:$AZ$1001,ROW(),설정!$C$10)&amp;"",""))</f>
        <v/>
      </c>
      <c r="I694">
        <f>IF(설정!$C$11="","",IFERROR(INDEX('1.산군_붙여넣기'!$A$1:$AZ$1001,ROW(),설정!$C$11)&amp;"",""))</f>
        <v/>
      </c>
      <c r="J694">
        <f>IF(설정!$C$12="","",IFERROR(INDEX('1.산군_붙여넣기'!$A$1:$AZ$1001,ROW(),설정!$C$12)&amp;"",""))</f>
        <v/>
      </c>
      <c r="K694">
        <f>IF(설정!$C$13="","",IFERROR(INDEX('1.산군_붙여넣기'!$A$1:$AZ$1001,ROW(),설정!$C$13)&amp;"",""))</f>
        <v/>
      </c>
      <c r="L694" s="7">
        <f>IF(X694="","",IF(AND(LEN(X694)=8,ISNUMBER(X694*1)),DATE(LEFT(X694,4),MID(X694,5,2),RIGHT(X694,2)),IFERROR(DATEVALUE(SUBSTITUTE(SUBSTITUTE(X694,".","-"),"/","-")),IFERROR(X694*1,""))))</f>
        <v/>
      </c>
      <c r="M694" s="7">
        <f>IF(Y694="","",IF(AND(LEN(Y694)=8,ISNUMBER(Y694*1)),DATE(LEFT(Y694,4),MID(Y694,5,2),RIGHT(Y694,2)),IFERROR(DATEVALUE(SUBSTITUTE(SUBSTITUTE(Y694,".","-"),"/","-")),IFERROR(Y694*1,""))))</f>
        <v/>
      </c>
      <c r="N694">
        <f>IFERROR(LEFT(B694,FIND(" ",B694)-1),B694)</f>
        <v/>
      </c>
      <c r="O694">
        <f>AND(B694&lt;&gt;"",B694&lt;&gt;설정!$B$4,C694&lt;&gt;설정!$B$5)</f>
        <v/>
      </c>
      <c r="P694">
        <f>IF(O694,B694&amp;"|"&amp;C694,"")</f>
        <v/>
      </c>
      <c r="Q694">
        <f>AND(O694,COUNTIF(P695:P$1002,P694)=0)</f>
        <v/>
      </c>
      <c r="R694">
        <f>OR(AND(설정!$A$42&lt;&gt;"",ISNUMBER(SEARCH(설정!$A$42,E694&amp;" "&amp;C694))),AND(설정!$A$43&lt;&gt;"",ISNUMBER(SEARCH(설정!$A$43,E694&amp;" "&amp;C694))),AND(설정!$A$44&lt;&gt;"",ISNUMBER(SEARCH(설정!$A$44,E694&amp;" "&amp;C694))),AND(설정!$A$45&lt;&gt;"",ISNUMBER(SEARCH(설정!$A$45,E694&amp;" "&amp;C694))),AND(설정!$A$46&lt;&gt;"",ISNUMBER(SEARCH(설정!$A$46,E694&amp;" "&amp;C694))),AND(설정!$A$47&lt;&gt;"",ISNUMBER(SEARCH(설정!$A$47,E694&amp;" "&amp;C694))),AND(설정!$A$48&lt;&gt;"",ISNUMBER(SEARCH(설정!$A$48,E694&amp;" "&amp;C694))),AND(설정!$A$49&lt;&gt;"",ISNUMBER(SEARCH(설정!$A$49,E694&amp;" "&amp;C694))),AND(설정!$A$50&lt;&gt;"",ISNUMBER(SEARCH(설정!$A$50,E694&amp;" "&amp;C694))),AND(설정!$A$51&lt;&gt;"",ISNUMBER(SEARCH(설정!$A$51,E694&amp;" "&amp;C694))))</f>
        <v/>
      </c>
      <c r="S694">
        <f>OR(D694="",D694&gt;=설정!$B$19)</f>
        <v/>
      </c>
      <c r="T694">
        <f>AND(Q694,R694,S694)</f>
        <v/>
      </c>
      <c r="U694">
        <f>IF(T694,IF(AND(설정!$A$54&lt;&gt;"",ISNUMBER(SEARCH(설정!$A$54,K694))),설정!$B$54,IF(AND(설정!$A$55&lt;&gt;"",ISNUMBER(SEARCH(설정!$A$55,K694))),설정!$B$55,IF(AND(설정!$A$56&lt;&gt;"",ISNUMBER(SEARCH(설정!$A$56,K694))),설정!$B$56,IF(AND(설정!$A$57&lt;&gt;"",ISNUMBER(SEARCH(설정!$A$57,K694))),설정!$B$57,IF(AND(설정!$A$58&lt;&gt;"",ISNUMBER(SEARCH(설정!$A$58,K694))),설정!$B$58,IF(AND(설정!$A$59&lt;&gt;"",ISNUMBER(SEARCH(설정!$A$59,K694))),설정!$B$59,IF(AND(설정!$A$60&lt;&gt;"",ISNUMBER(SEARCH(설정!$A$60,K694))),설정!$B$60,IF(AND(설정!$A$61&lt;&gt;"",ISNUMBER(SEARCH(설정!$A$61,K694))),설정!$B$61,IF(M694="","설계사","시공사"))))))))),"")</f>
        <v/>
      </c>
      <c r="V694">
        <f>SUBSTITUTE(SUBSTITUTE(SUBSTITUTE(SUBSTITUTE(G694,"(주)",""),"㈜",""),"주식회사","")," ","")</f>
        <v/>
      </c>
      <c r="W694">
        <f>IF(AND(T694,V694&lt;&gt;""),IF(COUNTIFS(V$2:V694,V694,T$2:T694,TRUE)=1,MAX(W$1:W693)+1,""),"")</f>
        <v/>
      </c>
      <c r="X694">
        <f>IF(설정!$C$14="","",IFERROR(INDEX('1.산군_붙여넣기'!$A$1:$AZ$1001,ROW(),설정!$C$14)&amp;"",""))</f>
        <v/>
      </c>
      <c r="Y694">
        <f>IF(설정!$C$15="","",IFERROR(INDEX('1.산군_붙여넣기'!$A$1:$AZ$1001,ROW(),설정!$C$15)&amp;"",""))</f>
        <v/>
      </c>
      <c r="Z694">
        <f>IF(T694,V694&amp;"|"&amp;U694,"")</f>
        <v/>
      </c>
      <c r="AA694">
        <f>IF(NOT(Q694),"",IF(NOT(AND(R694,S694)),"✕",IF(OR(OR(AND(L694&lt;&gt;"",M694&lt;&gt;"",N(M694)-N(L694)&gt;설정!$B$27),AND(L694&lt;&gt;"",M694="",설정!$B$24-N(L694)&gt;설정!$B$27)),AND(D694&lt;&gt;"",D694&lt;설정!$B$26)),"△","★")))</f>
        <v/>
      </c>
      <c r="AB694">
        <f>IF(NOT(T694),"",IF(U694="설계사",설정!$B$31,IF(U694="시공사",IF(OR(M694="",설정!$B$24-N(M694)&lt;=설정!$B$28*30.4),설정!$B$32,설정!$B$33),설정!$B$34))+IF(AA694="★",설정!$B$35,0))</f>
        <v/>
      </c>
      <c r="AC694">
        <f>SUBSTITUTE(SUBSTITUTE(SUBSTITUTE(SUBSTITUTE(H694,"(주)",""),"㈜",""),"주식회사","")," ","")</f>
        <v/>
      </c>
      <c r="AD694">
        <f>IF(AND(T694,AC694&lt;&gt;""),IF(COUNTIFS(AC$2:AC694,AC694,T$2:T694,TRUE)=1,MAX(AD$1:AD693)+1,""),"")</f>
        <v/>
      </c>
    </row>
    <row r="695">
      <c r="A695">
        <f>ROW()</f>
        <v/>
      </c>
      <c r="B695">
        <f>IF(설정!$C$4="","",IFERROR(INDEX('1.산군_붙여넣기'!$A$1:$AZ$1001,ROW(),설정!$C$4)&amp;"",""))</f>
        <v/>
      </c>
      <c r="C695">
        <f>IF(설정!$C$5="","",IFERROR(INDEX('1.산군_붙여넣기'!$A$1:$AZ$1001,ROW(),설정!$C$5)&amp;"",""))</f>
        <v/>
      </c>
      <c r="D695" s="5">
        <f>IFERROR(VALUE(SUBSTITUTE(SUBSTITUTE(SUBSTITUTE(IF(설정!$C$6="","",IFERROR(INDEX('1.산군_붙여넣기'!$A$1:$AZ$1001,ROW(),설정!$C$6)&amp;"","")),",",""),"㎡",""),"m2","")),"")</f>
        <v/>
      </c>
      <c r="E695">
        <f>IF(설정!$C$7="","",IFERROR(INDEX('1.산군_붙여넣기'!$A$1:$AZ$1001,ROW(),설정!$C$7)&amp;"",""))</f>
        <v/>
      </c>
      <c r="F695">
        <f>IF(설정!$C$8="","",IFERROR(INDEX('1.산군_붙여넣기'!$A$1:$AZ$1001,ROW(),설정!$C$8)&amp;"",""))</f>
        <v/>
      </c>
      <c r="G695">
        <f>IF(설정!$C$9="","",IFERROR(INDEX('1.산군_붙여넣기'!$A$1:$AZ$1001,ROW(),설정!$C$9)&amp;"",""))</f>
        <v/>
      </c>
      <c r="H695">
        <f>IF(설정!$C$10="","",IFERROR(INDEX('1.산군_붙여넣기'!$A$1:$AZ$1001,ROW(),설정!$C$10)&amp;"",""))</f>
        <v/>
      </c>
      <c r="I695">
        <f>IF(설정!$C$11="","",IFERROR(INDEX('1.산군_붙여넣기'!$A$1:$AZ$1001,ROW(),설정!$C$11)&amp;"",""))</f>
        <v/>
      </c>
      <c r="J695">
        <f>IF(설정!$C$12="","",IFERROR(INDEX('1.산군_붙여넣기'!$A$1:$AZ$1001,ROW(),설정!$C$12)&amp;"",""))</f>
        <v/>
      </c>
      <c r="K695">
        <f>IF(설정!$C$13="","",IFERROR(INDEX('1.산군_붙여넣기'!$A$1:$AZ$1001,ROW(),설정!$C$13)&amp;"",""))</f>
        <v/>
      </c>
      <c r="L695" s="7">
        <f>IF(X695="","",IF(AND(LEN(X695)=8,ISNUMBER(X695*1)),DATE(LEFT(X695,4),MID(X695,5,2),RIGHT(X695,2)),IFERROR(DATEVALUE(SUBSTITUTE(SUBSTITUTE(X695,".","-"),"/","-")),IFERROR(X695*1,""))))</f>
        <v/>
      </c>
      <c r="M695" s="7">
        <f>IF(Y695="","",IF(AND(LEN(Y695)=8,ISNUMBER(Y695*1)),DATE(LEFT(Y695,4),MID(Y695,5,2),RIGHT(Y695,2)),IFERROR(DATEVALUE(SUBSTITUTE(SUBSTITUTE(Y695,".","-"),"/","-")),IFERROR(Y695*1,""))))</f>
        <v/>
      </c>
      <c r="N695">
        <f>IFERROR(LEFT(B695,FIND(" ",B695)-1),B695)</f>
        <v/>
      </c>
      <c r="O695">
        <f>AND(B695&lt;&gt;"",B695&lt;&gt;설정!$B$4,C695&lt;&gt;설정!$B$5)</f>
        <v/>
      </c>
      <c r="P695">
        <f>IF(O695,B695&amp;"|"&amp;C695,"")</f>
        <v/>
      </c>
      <c r="Q695">
        <f>AND(O695,COUNTIF(P696:P$1002,P695)=0)</f>
        <v/>
      </c>
      <c r="R695">
        <f>OR(AND(설정!$A$42&lt;&gt;"",ISNUMBER(SEARCH(설정!$A$42,E695&amp;" "&amp;C695))),AND(설정!$A$43&lt;&gt;"",ISNUMBER(SEARCH(설정!$A$43,E695&amp;" "&amp;C695))),AND(설정!$A$44&lt;&gt;"",ISNUMBER(SEARCH(설정!$A$44,E695&amp;" "&amp;C695))),AND(설정!$A$45&lt;&gt;"",ISNUMBER(SEARCH(설정!$A$45,E695&amp;" "&amp;C695))),AND(설정!$A$46&lt;&gt;"",ISNUMBER(SEARCH(설정!$A$46,E695&amp;" "&amp;C695))),AND(설정!$A$47&lt;&gt;"",ISNUMBER(SEARCH(설정!$A$47,E695&amp;" "&amp;C695))),AND(설정!$A$48&lt;&gt;"",ISNUMBER(SEARCH(설정!$A$48,E695&amp;" "&amp;C695))),AND(설정!$A$49&lt;&gt;"",ISNUMBER(SEARCH(설정!$A$49,E695&amp;" "&amp;C695))),AND(설정!$A$50&lt;&gt;"",ISNUMBER(SEARCH(설정!$A$50,E695&amp;" "&amp;C695))),AND(설정!$A$51&lt;&gt;"",ISNUMBER(SEARCH(설정!$A$51,E695&amp;" "&amp;C695))))</f>
        <v/>
      </c>
      <c r="S695">
        <f>OR(D695="",D695&gt;=설정!$B$19)</f>
        <v/>
      </c>
      <c r="T695">
        <f>AND(Q695,R695,S695)</f>
        <v/>
      </c>
      <c r="U695">
        <f>IF(T695,IF(AND(설정!$A$54&lt;&gt;"",ISNUMBER(SEARCH(설정!$A$54,K695))),설정!$B$54,IF(AND(설정!$A$55&lt;&gt;"",ISNUMBER(SEARCH(설정!$A$55,K695))),설정!$B$55,IF(AND(설정!$A$56&lt;&gt;"",ISNUMBER(SEARCH(설정!$A$56,K695))),설정!$B$56,IF(AND(설정!$A$57&lt;&gt;"",ISNUMBER(SEARCH(설정!$A$57,K695))),설정!$B$57,IF(AND(설정!$A$58&lt;&gt;"",ISNUMBER(SEARCH(설정!$A$58,K695))),설정!$B$58,IF(AND(설정!$A$59&lt;&gt;"",ISNUMBER(SEARCH(설정!$A$59,K695))),설정!$B$59,IF(AND(설정!$A$60&lt;&gt;"",ISNUMBER(SEARCH(설정!$A$60,K695))),설정!$B$60,IF(AND(설정!$A$61&lt;&gt;"",ISNUMBER(SEARCH(설정!$A$61,K695))),설정!$B$61,IF(M695="","설계사","시공사"))))))))),"")</f>
        <v/>
      </c>
      <c r="V695">
        <f>SUBSTITUTE(SUBSTITUTE(SUBSTITUTE(SUBSTITUTE(G695,"(주)",""),"㈜",""),"주식회사","")," ","")</f>
        <v/>
      </c>
      <c r="W695">
        <f>IF(AND(T695,V695&lt;&gt;""),IF(COUNTIFS(V$2:V695,V695,T$2:T695,TRUE)=1,MAX(W$1:W694)+1,""),"")</f>
        <v/>
      </c>
      <c r="X695">
        <f>IF(설정!$C$14="","",IFERROR(INDEX('1.산군_붙여넣기'!$A$1:$AZ$1001,ROW(),설정!$C$14)&amp;"",""))</f>
        <v/>
      </c>
      <c r="Y695">
        <f>IF(설정!$C$15="","",IFERROR(INDEX('1.산군_붙여넣기'!$A$1:$AZ$1001,ROW(),설정!$C$15)&amp;"",""))</f>
        <v/>
      </c>
      <c r="Z695">
        <f>IF(T695,V695&amp;"|"&amp;U695,"")</f>
        <v/>
      </c>
      <c r="AA695">
        <f>IF(NOT(Q695),"",IF(NOT(AND(R695,S695)),"✕",IF(OR(OR(AND(L695&lt;&gt;"",M695&lt;&gt;"",N(M695)-N(L695)&gt;설정!$B$27),AND(L695&lt;&gt;"",M695="",설정!$B$24-N(L695)&gt;설정!$B$27)),AND(D695&lt;&gt;"",D695&lt;설정!$B$26)),"△","★")))</f>
        <v/>
      </c>
      <c r="AB695">
        <f>IF(NOT(T695),"",IF(U695="설계사",설정!$B$31,IF(U695="시공사",IF(OR(M695="",설정!$B$24-N(M695)&lt;=설정!$B$28*30.4),설정!$B$32,설정!$B$33),설정!$B$34))+IF(AA695="★",설정!$B$35,0))</f>
        <v/>
      </c>
      <c r="AC695">
        <f>SUBSTITUTE(SUBSTITUTE(SUBSTITUTE(SUBSTITUTE(H695,"(주)",""),"㈜",""),"주식회사","")," ","")</f>
        <v/>
      </c>
      <c r="AD695">
        <f>IF(AND(T695,AC695&lt;&gt;""),IF(COUNTIFS(AC$2:AC695,AC695,T$2:T695,TRUE)=1,MAX(AD$1:AD694)+1,""),"")</f>
        <v/>
      </c>
    </row>
    <row r="696">
      <c r="A696">
        <f>ROW()</f>
        <v/>
      </c>
      <c r="B696">
        <f>IF(설정!$C$4="","",IFERROR(INDEX('1.산군_붙여넣기'!$A$1:$AZ$1001,ROW(),설정!$C$4)&amp;"",""))</f>
        <v/>
      </c>
      <c r="C696">
        <f>IF(설정!$C$5="","",IFERROR(INDEX('1.산군_붙여넣기'!$A$1:$AZ$1001,ROW(),설정!$C$5)&amp;"",""))</f>
        <v/>
      </c>
      <c r="D696" s="5">
        <f>IFERROR(VALUE(SUBSTITUTE(SUBSTITUTE(SUBSTITUTE(IF(설정!$C$6="","",IFERROR(INDEX('1.산군_붙여넣기'!$A$1:$AZ$1001,ROW(),설정!$C$6)&amp;"","")),",",""),"㎡",""),"m2","")),"")</f>
        <v/>
      </c>
      <c r="E696">
        <f>IF(설정!$C$7="","",IFERROR(INDEX('1.산군_붙여넣기'!$A$1:$AZ$1001,ROW(),설정!$C$7)&amp;"",""))</f>
        <v/>
      </c>
      <c r="F696">
        <f>IF(설정!$C$8="","",IFERROR(INDEX('1.산군_붙여넣기'!$A$1:$AZ$1001,ROW(),설정!$C$8)&amp;"",""))</f>
        <v/>
      </c>
      <c r="G696">
        <f>IF(설정!$C$9="","",IFERROR(INDEX('1.산군_붙여넣기'!$A$1:$AZ$1001,ROW(),설정!$C$9)&amp;"",""))</f>
        <v/>
      </c>
      <c r="H696">
        <f>IF(설정!$C$10="","",IFERROR(INDEX('1.산군_붙여넣기'!$A$1:$AZ$1001,ROW(),설정!$C$10)&amp;"",""))</f>
        <v/>
      </c>
      <c r="I696">
        <f>IF(설정!$C$11="","",IFERROR(INDEX('1.산군_붙여넣기'!$A$1:$AZ$1001,ROW(),설정!$C$11)&amp;"",""))</f>
        <v/>
      </c>
      <c r="J696">
        <f>IF(설정!$C$12="","",IFERROR(INDEX('1.산군_붙여넣기'!$A$1:$AZ$1001,ROW(),설정!$C$12)&amp;"",""))</f>
        <v/>
      </c>
      <c r="K696">
        <f>IF(설정!$C$13="","",IFERROR(INDEX('1.산군_붙여넣기'!$A$1:$AZ$1001,ROW(),설정!$C$13)&amp;"",""))</f>
        <v/>
      </c>
      <c r="L696" s="7">
        <f>IF(X696="","",IF(AND(LEN(X696)=8,ISNUMBER(X696*1)),DATE(LEFT(X696,4),MID(X696,5,2),RIGHT(X696,2)),IFERROR(DATEVALUE(SUBSTITUTE(SUBSTITUTE(X696,".","-"),"/","-")),IFERROR(X696*1,""))))</f>
        <v/>
      </c>
      <c r="M696" s="7">
        <f>IF(Y696="","",IF(AND(LEN(Y696)=8,ISNUMBER(Y696*1)),DATE(LEFT(Y696,4),MID(Y696,5,2),RIGHT(Y696,2)),IFERROR(DATEVALUE(SUBSTITUTE(SUBSTITUTE(Y696,".","-"),"/","-")),IFERROR(Y696*1,""))))</f>
        <v/>
      </c>
      <c r="N696">
        <f>IFERROR(LEFT(B696,FIND(" ",B696)-1),B696)</f>
        <v/>
      </c>
      <c r="O696">
        <f>AND(B696&lt;&gt;"",B696&lt;&gt;설정!$B$4,C696&lt;&gt;설정!$B$5)</f>
        <v/>
      </c>
      <c r="P696">
        <f>IF(O696,B696&amp;"|"&amp;C696,"")</f>
        <v/>
      </c>
      <c r="Q696">
        <f>AND(O696,COUNTIF(P697:P$1002,P696)=0)</f>
        <v/>
      </c>
      <c r="R696">
        <f>OR(AND(설정!$A$42&lt;&gt;"",ISNUMBER(SEARCH(설정!$A$42,E696&amp;" "&amp;C696))),AND(설정!$A$43&lt;&gt;"",ISNUMBER(SEARCH(설정!$A$43,E696&amp;" "&amp;C696))),AND(설정!$A$44&lt;&gt;"",ISNUMBER(SEARCH(설정!$A$44,E696&amp;" "&amp;C696))),AND(설정!$A$45&lt;&gt;"",ISNUMBER(SEARCH(설정!$A$45,E696&amp;" "&amp;C696))),AND(설정!$A$46&lt;&gt;"",ISNUMBER(SEARCH(설정!$A$46,E696&amp;" "&amp;C696))),AND(설정!$A$47&lt;&gt;"",ISNUMBER(SEARCH(설정!$A$47,E696&amp;" "&amp;C696))),AND(설정!$A$48&lt;&gt;"",ISNUMBER(SEARCH(설정!$A$48,E696&amp;" "&amp;C696))),AND(설정!$A$49&lt;&gt;"",ISNUMBER(SEARCH(설정!$A$49,E696&amp;" "&amp;C696))),AND(설정!$A$50&lt;&gt;"",ISNUMBER(SEARCH(설정!$A$50,E696&amp;" "&amp;C696))),AND(설정!$A$51&lt;&gt;"",ISNUMBER(SEARCH(설정!$A$51,E696&amp;" "&amp;C696))))</f>
        <v/>
      </c>
      <c r="S696">
        <f>OR(D696="",D696&gt;=설정!$B$19)</f>
        <v/>
      </c>
      <c r="T696">
        <f>AND(Q696,R696,S696)</f>
        <v/>
      </c>
      <c r="U696">
        <f>IF(T696,IF(AND(설정!$A$54&lt;&gt;"",ISNUMBER(SEARCH(설정!$A$54,K696))),설정!$B$54,IF(AND(설정!$A$55&lt;&gt;"",ISNUMBER(SEARCH(설정!$A$55,K696))),설정!$B$55,IF(AND(설정!$A$56&lt;&gt;"",ISNUMBER(SEARCH(설정!$A$56,K696))),설정!$B$56,IF(AND(설정!$A$57&lt;&gt;"",ISNUMBER(SEARCH(설정!$A$57,K696))),설정!$B$57,IF(AND(설정!$A$58&lt;&gt;"",ISNUMBER(SEARCH(설정!$A$58,K696))),설정!$B$58,IF(AND(설정!$A$59&lt;&gt;"",ISNUMBER(SEARCH(설정!$A$59,K696))),설정!$B$59,IF(AND(설정!$A$60&lt;&gt;"",ISNUMBER(SEARCH(설정!$A$60,K696))),설정!$B$60,IF(AND(설정!$A$61&lt;&gt;"",ISNUMBER(SEARCH(설정!$A$61,K696))),설정!$B$61,IF(M696="","설계사","시공사"))))))))),"")</f>
        <v/>
      </c>
      <c r="V696">
        <f>SUBSTITUTE(SUBSTITUTE(SUBSTITUTE(SUBSTITUTE(G696,"(주)",""),"㈜",""),"주식회사","")," ","")</f>
        <v/>
      </c>
      <c r="W696">
        <f>IF(AND(T696,V696&lt;&gt;""),IF(COUNTIFS(V$2:V696,V696,T$2:T696,TRUE)=1,MAX(W$1:W695)+1,""),"")</f>
        <v/>
      </c>
      <c r="X696">
        <f>IF(설정!$C$14="","",IFERROR(INDEX('1.산군_붙여넣기'!$A$1:$AZ$1001,ROW(),설정!$C$14)&amp;"",""))</f>
        <v/>
      </c>
      <c r="Y696">
        <f>IF(설정!$C$15="","",IFERROR(INDEX('1.산군_붙여넣기'!$A$1:$AZ$1001,ROW(),설정!$C$15)&amp;"",""))</f>
        <v/>
      </c>
      <c r="Z696">
        <f>IF(T696,V696&amp;"|"&amp;U696,"")</f>
        <v/>
      </c>
      <c r="AA696">
        <f>IF(NOT(Q696),"",IF(NOT(AND(R696,S696)),"✕",IF(OR(OR(AND(L696&lt;&gt;"",M696&lt;&gt;"",N(M696)-N(L696)&gt;설정!$B$27),AND(L696&lt;&gt;"",M696="",설정!$B$24-N(L696)&gt;설정!$B$27)),AND(D696&lt;&gt;"",D696&lt;설정!$B$26)),"△","★")))</f>
        <v/>
      </c>
      <c r="AB696">
        <f>IF(NOT(T696),"",IF(U696="설계사",설정!$B$31,IF(U696="시공사",IF(OR(M696="",설정!$B$24-N(M696)&lt;=설정!$B$28*30.4),설정!$B$32,설정!$B$33),설정!$B$34))+IF(AA696="★",설정!$B$35,0))</f>
        <v/>
      </c>
      <c r="AC696">
        <f>SUBSTITUTE(SUBSTITUTE(SUBSTITUTE(SUBSTITUTE(H696,"(주)",""),"㈜",""),"주식회사","")," ","")</f>
        <v/>
      </c>
      <c r="AD696">
        <f>IF(AND(T696,AC696&lt;&gt;""),IF(COUNTIFS(AC$2:AC696,AC696,T$2:T696,TRUE)=1,MAX(AD$1:AD695)+1,""),"")</f>
        <v/>
      </c>
    </row>
    <row r="697">
      <c r="A697">
        <f>ROW()</f>
        <v/>
      </c>
      <c r="B697">
        <f>IF(설정!$C$4="","",IFERROR(INDEX('1.산군_붙여넣기'!$A$1:$AZ$1001,ROW(),설정!$C$4)&amp;"",""))</f>
        <v/>
      </c>
      <c r="C697">
        <f>IF(설정!$C$5="","",IFERROR(INDEX('1.산군_붙여넣기'!$A$1:$AZ$1001,ROW(),설정!$C$5)&amp;"",""))</f>
        <v/>
      </c>
      <c r="D697" s="5">
        <f>IFERROR(VALUE(SUBSTITUTE(SUBSTITUTE(SUBSTITUTE(IF(설정!$C$6="","",IFERROR(INDEX('1.산군_붙여넣기'!$A$1:$AZ$1001,ROW(),설정!$C$6)&amp;"","")),",",""),"㎡",""),"m2","")),"")</f>
        <v/>
      </c>
      <c r="E697">
        <f>IF(설정!$C$7="","",IFERROR(INDEX('1.산군_붙여넣기'!$A$1:$AZ$1001,ROW(),설정!$C$7)&amp;"",""))</f>
        <v/>
      </c>
      <c r="F697">
        <f>IF(설정!$C$8="","",IFERROR(INDEX('1.산군_붙여넣기'!$A$1:$AZ$1001,ROW(),설정!$C$8)&amp;"",""))</f>
        <v/>
      </c>
      <c r="G697">
        <f>IF(설정!$C$9="","",IFERROR(INDEX('1.산군_붙여넣기'!$A$1:$AZ$1001,ROW(),설정!$C$9)&amp;"",""))</f>
        <v/>
      </c>
      <c r="H697">
        <f>IF(설정!$C$10="","",IFERROR(INDEX('1.산군_붙여넣기'!$A$1:$AZ$1001,ROW(),설정!$C$10)&amp;"",""))</f>
        <v/>
      </c>
      <c r="I697">
        <f>IF(설정!$C$11="","",IFERROR(INDEX('1.산군_붙여넣기'!$A$1:$AZ$1001,ROW(),설정!$C$11)&amp;"",""))</f>
        <v/>
      </c>
      <c r="J697">
        <f>IF(설정!$C$12="","",IFERROR(INDEX('1.산군_붙여넣기'!$A$1:$AZ$1001,ROW(),설정!$C$12)&amp;"",""))</f>
        <v/>
      </c>
      <c r="K697">
        <f>IF(설정!$C$13="","",IFERROR(INDEX('1.산군_붙여넣기'!$A$1:$AZ$1001,ROW(),설정!$C$13)&amp;"",""))</f>
        <v/>
      </c>
      <c r="L697" s="7">
        <f>IF(X697="","",IF(AND(LEN(X697)=8,ISNUMBER(X697*1)),DATE(LEFT(X697,4),MID(X697,5,2),RIGHT(X697,2)),IFERROR(DATEVALUE(SUBSTITUTE(SUBSTITUTE(X697,".","-"),"/","-")),IFERROR(X697*1,""))))</f>
        <v/>
      </c>
      <c r="M697" s="7">
        <f>IF(Y697="","",IF(AND(LEN(Y697)=8,ISNUMBER(Y697*1)),DATE(LEFT(Y697,4),MID(Y697,5,2),RIGHT(Y697,2)),IFERROR(DATEVALUE(SUBSTITUTE(SUBSTITUTE(Y697,".","-"),"/","-")),IFERROR(Y697*1,""))))</f>
        <v/>
      </c>
      <c r="N697">
        <f>IFERROR(LEFT(B697,FIND(" ",B697)-1),B697)</f>
        <v/>
      </c>
      <c r="O697">
        <f>AND(B697&lt;&gt;"",B697&lt;&gt;설정!$B$4,C697&lt;&gt;설정!$B$5)</f>
        <v/>
      </c>
      <c r="P697">
        <f>IF(O697,B697&amp;"|"&amp;C697,"")</f>
        <v/>
      </c>
      <c r="Q697">
        <f>AND(O697,COUNTIF(P698:P$1002,P697)=0)</f>
        <v/>
      </c>
      <c r="R697">
        <f>OR(AND(설정!$A$42&lt;&gt;"",ISNUMBER(SEARCH(설정!$A$42,E697&amp;" "&amp;C697))),AND(설정!$A$43&lt;&gt;"",ISNUMBER(SEARCH(설정!$A$43,E697&amp;" "&amp;C697))),AND(설정!$A$44&lt;&gt;"",ISNUMBER(SEARCH(설정!$A$44,E697&amp;" "&amp;C697))),AND(설정!$A$45&lt;&gt;"",ISNUMBER(SEARCH(설정!$A$45,E697&amp;" "&amp;C697))),AND(설정!$A$46&lt;&gt;"",ISNUMBER(SEARCH(설정!$A$46,E697&amp;" "&amp;C697))),AND(설정!$A$47&lt;&gt;"",ISNUMBER(SEARCH(설정!$A$47,E697&amp;" "&amp;C697))),AND(설정!$A$48&lt;&gt;"",ISNUMBER(SEARCH(설정!$A$48,E697&amp;" "&amp;C697))),AND(설정!$A$49&lt;&gt;"",ISNUMBER(SEARCH(설정!$A$49,E697&amp;" "&amp;C697))),AND(설정!$A$50&lt;&gt;"",ISNUMBER(SEARCH(설정!$A$50,E697&amp;" "&amp;C697))),AND(설정!$A$51&lt;&gt;"",ISNUMBER(SEARCH(설정!$A$51,E697&amp;" "&amp;C697))))</f>
        <v/>
      </c>
      <c r="S697">
        <f>OR(D697="",D697&gt;=설정!$B$19)</f>
        <v/>
      </c>
      <c r="T697">
        <f>AND(Q697,R697,S697)</f>
        <v/>
      </c>
      <c r="U697">
        <f>IF(T697,IF(AND(설정!$A$54&lt;&gt;"",ISNUMBER(SEARCH(설정!$A$54,K697))),설정!$B$54,IF(AND(설정!$A$55&lt;&gt;"",ISNUMBER(SEARCH(설정!$A$55,K697))),설정!$B$55,IF(AND(설정!$A$56&lt;&gt;"",ISNUMBER(SEARCH(설정!$A$56,K697))),설정!$B$56,IF(AND(설정!$A$57&lt;&gt;"",ISNUMBER(SEARCH(설정!$A$57,K697))),설정!$B$57,IF(AND(설정!$A$58&lt;&gt;"",ISNUMBER(SEARCH(설정!$A$58,K697))),설정!$B$58,IF(AND(설정!$A$59&lt;&gt;"",ISNUMBER(SEARCH(설정!$A$59,K697))),설정!$B$59,IF(AND(설정!$A$60&lt;&gt;"",ISNUMBER(SEARCH(설정!$A$60,K697))),설정!$B$60,IF(AND(설정!$A$61&lt;&gt;"",ISNUMBER(SEARCH(설정!$A$61,K697))),설정!$B$61,IF(M697="","설계사","시공사"))))))))),"")</f>
        <v/>
      </c>
      <c r="V697">
        <f>SUBSTITUTE(SUBSTITUTE(SUBSTITUTE(SUBSTITUTE(G697,"(주)",""),"㈜",""),"주식회사","")," ","")</f>
        <v/>
      </c>
      <c r="W697">
        <f>IF(AND(T697,V697&lt;&gt;""),IF(COUNTIFS(V$2:V697,V697,T$2:T697,TRUE)=1,MAX(W$1:W696)+1,""),"")</f>
        <v/>
      </c>
      <c r="X697">
        <f>IF(설정!$C$14="","",IFERROR(INDEX('1.산군_붙여넣기'!$A$1:$AZ$1001,ROW(),설정!$C$14)&amp;"",""))</f>
        <v/>
      </c>
      <c r="Y697">
        <f>IF(설정!$C$15="","",IFERROR(INDEX('1.산군_붙여넣기'!$A$1:$AZ$1001,ROW(),설정!$C$15)&amp;"",""))</f>
        <v/>
      </c>
      <c r="Z697">
        <f>IF(T697,V697&amp;"|"&amp;U697,"")</f>
        <v/>
      </c>
      <c r="AA697">
        <f>IF(NOT(Q697),"",IF(NOT(AND(R697,S697)),"✕",IF(OR(OR(AND(L697&lt;&gt;"",M697&lt;&gt;"",N(M697)-N(L697)&gt;설정!$B$27),AND(L697&lt;&gt;"",M697="",설정!$B$24-N(L697)&gt;설정!$B$27)),AND(D697&lt;&gt;"",D697&lt;설정!$B$26)),"△","★")))</f>
        <v/>
      </c>
      <c r="AB697">
        <f>IF(NOT(T697),"",IF(U697="설계사",설정!$B$31,IF(U697="시공사",IF(OR(M697="",설정!$B$24-N(M697)&lt;=설정!$B$28*30.4),설정!$B$32,설정!$B$33),설정!$B$34))+IF(AA697="★",설정!$B$35,0))</f>
        <v/>
      </c>
      <c r="AC697">
        <f>SUBSTITUTE(SUBSTITUTE(SUBSTITUTE(SUBSTITUTE(H697,"(주)",""),"㈜",""),"주식회사","")," ","")</f>
        <v/>
      </c>
      <c r="AD697">
        <f>IF(AND(T697,AC697&lt;&gt;""),IF(COUNTIFS(AC$2:AC697,AC697,T$2:T697,TRUE)=1,MAX(AD$1:AD696)+1,""),"")</f>
        <v/>
      </c>
    </row>
    <row r="698">
      <c r="A698">
        <f>ROW()</f>
        <v/>
      </c>
      <c r="B698">
        <f>IF(설정!$C$4="","",IFERROR(INDEX('1.산군_붙여넣기'!$A$1:$AZ$1001,ROW(),설정!$C$4)&amp;"",""))</f>
        <v/>
      </c>
      <c r="C698">
        <f>IF(설정!$C$5="","",IFERROR(INDEX('1.산군_붙여넣기'!$A$1:$AZ$1001,ROW(),설정!$C$5)&amp;"",""))</f>
        <v/>
      </c>
      <c r="D698" s="5">
        <f>IFERROR(VALUE(SUBSTITUTE(SUBSTITUTE(SUBSTITUTE(IF(설정!$C$6="","",IFERROR(INDEX('1.산군_붙여넣기'!$A$1:$AZ$1001,ROW(),설정!$C$6)&amp;"","")),",",""),"㎡",""),"m2","")),"")</f>
        <v/>
      </c>
      <c r="E698">
        <f>IF(설정!$C$7="","",IFERROR(INDEX('1.산군_붙여넣기'!$A$1:$AZ$1001,ROW(),설정!$C$7)&amp;"",""))</f>
        <v/>
      </c>
      <c r="F698">
        <f>IF(설정!$C$8="","",IFERROR(INDEX('1.산군_붙여넣기'!$A$1:$AZ$1001,ROW(),설정!$C$8)&amp;"",""))</f>
        <v/>
      </c>
      <c r="G698">
        <f>IF(설정!$C$9="","",IFERROR(INDEX('1.산군_붙여넣기'!$A$1:$AZ$1001,ROW(),설정!$C$9)&amp;"",""))</f>
        <v/>
      </c>
      <c r="H698">
        <f>IF(설정!$C$10="","",IFERROR(INDEX('1.산군_붙여넣기'!$A$1:$AZ$1001,ROW(),설정!$C$10)&amp;"",""))</f>
        <v/>
      </c>
      <c r="I698">
        <f>IF(설정!$C$11="","",IFERROR(INDEX('1.산군_붙여넣기'!$A$1:$AZ$1001,ROW(),설정!$C$11)&amp;"",""))</f>
        <v/>
      </c>
      <c r="J698">
        <f>IF(설정!$C$12="","",IFERROR(INDEX('1.산군_붙여넣기'!$A$1:$AZ$1001,ROW(),설정!$C$12)&amp;"",""))</f>
        <v/>
      </c>
      <c r="K698">
        <f>IF(설정!$C$13="","",IFERROR(INDEX('1.산군_붙여넣기'!$A$1:$AZ$1001,ROW(),설정!$C$13)&amp;"",""))</f>
        <v/>
      </c>
      <c r="L698" s="7">
        <f>IF(X698="","",IF(AND(LEN(X698)=8,ISNUMBER(X698*1)),DATE(LEFT(X698,4),MID(X698,5,2),RIGHT(X698,2)),IFERROR(DATEVALUE(SUBSTITUTE(SUBSTITUTE(X698,".","-"),"/","-")),IFERROR(X698*1,""))))</f>
        <v/>
      </c>
      <c r="M698" s="7">
        <f>IF(Y698="","",IF(AND(LEN(Y698)=8,ISNUMBER(Y698*1)),DATE(LEFT(Y698,4),MID(Y698,5,2),RIGHT(Y698,2)),IFERROR(DATEVALUE(SUBSTITUTE(SUBSTITUTE(Y698,".","-"),"/","-")),IFERROR(Y698*1,""))))</f>
        <v/>
      </c>
      <c r="N698">
        <f>IFERROR(LEFT(B698,FIND(" ",B698)-1),B698)</f>
        <v/>
      </c>
      <c r="O698">
        <f>AND(B698&lt;&gt;"",B698&lt;&gt;설정!$B$4,C698&lt;&gt;설정!$B$5)</f>
        <v/>
      </c>
      <c r="P698">
        <f>IF(O698,B698&amp;"|"&amp;C698,"")</f>
        <v/>
      </c>
      <c r="Q698">
        <f>AND(O698,COUNTIF(P699:P$1002,P698)=0)</f>
        <v/>
      </c>
      <c r="R698">
        <f>OR(AND(설정!$A$42&lt;&gt;"",ISNUMBER(SEARCH(설정!$A$42,E698&amp;" "&amp;C698))),AND(설정!$A$43&lt;&gt;"",ISNUMBER(SEARCH(설정!$A$43,E698&amp;" "&amp;C698))),AND(설정!$A$44&lt;&gt;"",ISNUMBER(SEARCH(설정!$A$44,E698&amp;" "&amp;C698))),AND(설정!$A$45&lt;&gt;"",ISNUMBER(SEARCH(설정!$A$45,E698&amp;" "&amp;C698))),AND(설정!$A$46&lt;&gt;"",ISNUMBER(SEARCH(설정!$A$46,E698&amp;" "&amp;C698))),AND(설정!$A$47&lt;&gt;"",ISNUMBER(SEARCH(설정!$A$47,E698&amp;" "&amp;C698))),AND(설정!$A$48&lt;&gt;"",ISNUMBER(SEARCH(설정!$A$48,E698&amp;" "&amp;C698))),AND(설정!$A$49&lt;&gt;"",ISNUMBER(SEARCH(설정!$A$49,E698&amp;" "&amp;C698))),AND(설정!$A$50&lt;&gt;"",ISNUMBER(SEARCH(설정!$A$50,E698&amp;" "&amp;C698))),AND(설정!$A$51&lt;&gt;"",ISNUMBER(SEARCH(설정!$A$51,E698&amp;" "&amp;C698))))</f>
        <v/>
      </c>
      <c r="S698">
        <f>OR(D698="",D698&gt;=설정!$B$19)</f>
        <v/>
      </c>
      <c r="T698">
        <f>AND(Q698,R698,S698)</f>
        <v/>
      </c>
      <c r="U698">
        <f>IF(T698,IF(AND(설정!$A$54&lt;&gt;"",ISNUMBER(SEARCH(설정!$A$54,K698))),설정!$B$54,IF(AND(설정!$A$55&lt;&gt;"",ISNUMBER(SEARCH(설정!$A$55,K698))),설정!$B$55,IF(AND(설정!$A$56&lt;&gt;"",ISNUMBER(SEARCH(설정!$A$56,K698))),설정!$B$56,IF(AND(설정!$A$57&lt;&gt;"",ISNUMBER(SEARCH(설정!$A$57,K698))),설정!$B$57,IF(AND(설정!$A$58&lt;&gt;"",ISNUMBER(SEARCH(설정!$A$58,K698))),설정!$B$58,IF(AND(설정!$A$59&lt;&gt;"",ISNUMBER(SEARCH(설정!$A$59,K698))),설정!$B$59,IF(AND(설정!$A$60&lt;&gt;"",ISNUMBER(SEARCH(설정!$A$60,K698))),설정!$B$60,IF(AND(설정!$A$61&lt;&gt;"",ISNUMBER(SEARCH(설정!$A$61,K698))),설정!$B$61,IF(M698="","설계사","시공사"))))))))),"")</f>
        <v/>
      </c>
      <c r="V698">
        <f>SUBSTITUTE(SUBSTITUTE(SUBSTITUTE(SUBSTITUTE(G698,"(주)",""),"㈜",""),"주식회사","")," ","")</f>
        <v/>
      </c>
      <c r="W698">
        <f>IF(AND(T698,V698&lt;&gt;""),IF(COUNTIFS(V$2:V698,V698,T$2:T698,TRUE)=1,MAX(W$1:W697)+1,""),"")</f>
        <v/>
      </c>
      <c r="X698">
        <f>IF(설정!$C$14="","",IFERROR(INDEX('1.산군_붙여넣기'!$A$1:$AZ$1001,ROW(),설정!$C$14)&amp;"",""))</f>
        <v/>
      </c>
      <c r="Y698">
        <f>IF(설정!$C$15="","",IFERROR(INDEX('1.산군_붙여넣기'!$A$1:$AZ$1001,ROW(),설정!$C$15)&amp;"",""))</f>
        <v/>
      </c>
      <c r="Z698">
        <f>IF(T698,V698&amp;"|"&amp;U698,"")</f>
        <v/>
      </c>
      <c r="AA698">
        <f>IF(NOT(Q698),"",IF(NOT(AND(R698,S698)),"✕",IF(OR(OR(AND(L698&lt;&gt;"",M698&lt;&gt;"",N(M698)-N(L698)&gt;설정!$B$27),AND(L698&lt;&gt;"",M698="",설정!$B$24-N(L698)&gt;설정!$B$27)),AND(D698&lt;&gt;"",D698&lt;설정!$B$26)),"△","★")))</f>
        <v/>
      </c>
      <c r="AB698">
        <f>IF(NOT(T698),"",IF(U698="설계사",설정!$B$31,IF(U698="시공사",IF(OR(M698="",설정!$B$24-N(M698)&lt;=설정!$B$28*30.4),설정!$B$32,설정!$B$33),설정!$B$34))+IF(AA698="★",설정!$B$35,0))</f>
        <v/>
      </c>
      <c r="AC698">
        <f>SUBSTITUTE(SUBSTITUTE(SUBSTITUTE(SUBSTITUTE(H698,"(주)",""),"㈜",""),"주식회사","")," ","")</f>
        <v/>
      </c>
      <c r="AD698">
        <f>IF(AND(T698,AC698&lt;&gt;""),IF(COUNTIFS(AC$2:AC698,AC698,T$2:T698,TRUE)=1,MAX(AD$1:AD697)+1,""),"")</f>
        <v/>
      </c>
    </row>
    <row r="699">
      <c r="A699">
        <f>ROW()</f>
        <v/>
      </c>
      <c r="B699">
        <f>IF(설정!$C$4="","",IFERROR(INDEX('1.산군_붙여넣기'!$A$1:$AZ$1001,ROW(),설정!$C$4)&amp;"",""))</f>
        <v/>
      </c>
      <c r="C699">
        <f>IF(설정!$C$5="","",IFERROR(INDEX('1.산군_붙여넣기'!$A$1:$AZ$1001,ROW(),설정!$C$5)&amp;"",""))</f>
        <v/>
      </c>
      <c r="D699" s="5">
        <f>IFERROR(VALUE(SUBSTITUTE(SUBSTITUTE(SUBSTITUTE(IF(설정!$C$6="","",IFERROR(INDEX('1.산군_붙여넣기'!$A$1:$AZ$1001,ROW(),설정!$C$6)&amp;"","")),",",""),"㎡",""),"m2","")),"")</f>
        <v/>
      </c>
      <c r="E699">
        <f>IF(설정!$C$7="","",IFERROR(INDEX('1.산군_붙여넣기'!$A$1:$AZ$1001,ROW(),설정!$C$7)&amp;"",""))</f>
        <v/>
      </c>
      <c r="F699">
        <f>IF(설정!$C$8="","",IFERROR(INDEX('1.산군_붙여넣기'!$A$1:$AZ$1001,ROW(),설정!$C$8)&amp;"",""))</f>
        <v/>
      </c>
      <c r="G699">
        <f>IF(설정!$C$9="","",IFERROR(INDEX('1.산군_붙여넣기'!$A$1:$AZ$1001,ROW(),설정!$C$9)&amp;"",""))</f>
        <v/>
      </c>
      <c r="H699">
        <f>IF(설정!$C$10="","",IFERROR(INDEX('1.산군_붙여넣기'!$A$1:$AZ$1001,ROW(),설정!$C$10)&amp;"",""))</f>
        <v/>
      </c>
      <c r="I699">
        <f>IF(설정!$C$11="","",IFERROR(INDEX('1.산군_붙여넣기'!$A$1:$AZ$1001,ROW(),설정!$C$11)&amp;"",""))</f>
        <v/>
      </c>
      <c r="J699">
        <f>IF(설정!$C$12="","",IFERROR(INDEX('1.산군_붙여넣기'!$A$1:$AZ$1001,ROW(),설정!$C$12)&amp;"",""))</f>
        <v/>
      </c>
      <c r="K699">
        <f>IF(설정!$C$13="","",IFERROR(INDEX('1.산군_붙여넣기'!$A$1:$AZ$1001,ROW(),설정!$C$13)&amp;"",""))</f>
        <v/>
      </c>
      <c r="L699" s="7">
        <f>IF(X699="","",IF(AND(LEN(X699)=8,ISNUMBER(X699*1)),DATE(LEFT(X699,4),MID(X699,5,2),RIGHT(X699,2)),IFERROR(DATEVALUE(SUBSTITUTE(SUBSTITUTE(X699,".","-"),"/","-")),IFERROR(X699*1,""))))</f>
        <v/>
      </c>
      <c r="M699" s="7">
        <f>IF(Y699="","",IF(AND(LEN(Y699)=8,ISNUMBER(Y699*1)),DATE(LEFT(Y699,4),MID(Y699,5,2),RIGHT(Y699,2)),IFERROR(DATEVALUE(SUBSTITUTE(SUBSTITUTE(Y699,".","-"),"/","-")),IFERROR(Y699*1,""))))</f>
        <v/>
      </c>
      <c r="N699">
        <f>IFERROR(LEFT(B699,FIND(" ",B699)-1),B699)</f>
        <v/>
      </c>
      <c r="O699">
        <f>AND(B699&lt;&gt;"",B699&lt;&gt;설정!$B$4,C699&lt;&gt;설정!$B$5)</f>
        <v/>
      </c>
      <c r="P699">
        <f>IF(O699,B699&amp;"|"&amp;C699,"")</f>
        <v/>
      </c>
      <c r="Q699">
        <f>AND(O699,COUNTIF(P700:P$1002,P699)=0)</f>
        <v/>
      </c>
      <c r="R699">
        <f>OR(AND(설정!$A$42&lt;&gt;"",ISNUMBER(SEARCH(설정!$A$42,E699&amp;" "&amp;C699))),AND(설정!$A$43&lt;&gt;"",ISNUMBER(SEARCH(설정!$A$43,E699&amp;" "&amp;C699))),AND(설정!$A$44&lt;&gt;"",ISNUMBER(SEARCH(설정!$A$44,E699&amp;" "&amp;C699))),AND(설정!$A$45&lt;&gt;"",ISNUMBER(SEARCH(설정!$A$45,E699&amp;" "&amp;C699))),AND(설정!$A$46&lt;&gt;"",ISNUMBER(SEARCH(설정!$A$46,E699&amp;" "&amp;C699))),AND(설정!$A$47&lt;&gt;"",ISNUMBER(SEARCH(설정!$A$47,E699&amp;" "&amp;C699))),AND(설정!$A$48&lt;&gt;"",ISNUMBER(SEARCH(설정!$A$48,E699&amp;" "&amp;C699))),AND(설정!$A$49&lt;&gt;"",ISNUMBER(SEARCH(설정!$A$49,E699&amp;" "&amp;C699))),AND(설정!$A$50&lt;&gt;"",ISNUMBER(SEARCH(설정!$A$50,E699&amp;" "&amp;C699))),AND(설정!$A$51&lt;&gt;"",ISNUMBER(SEARCH(설정!$A$51,E699&amp;" "&amp;C699))))</f>
        <v/>
      </c>
      <c r="S699">
        <f>OR(D699="",D699&gt;=설정!$B$19)</f>
        <v/>
      </c>
      <c r="T699">
        <f>AND(Q699,R699,S699)</f>
        <v/>
      </c>
      <c r="U699">
        <f>IF(T699,IF(AND(설정!$A$54&lt;&gt;"",ISNUMBER(SEARCH(설정!$A$54,K699))),설정!$B$54,IF(AND(설정!$A$55&lt;&gt;"",ISNUMBER(SEARCH(설정!$A$55,K699))),설정!$B$55,IF(AND(설정!$A$56&lt;&gt;"",ISNUMBER(SEARCH(설정!$A$56,K699))),설정!$B$56,IF(AND(설정!$A$57&lt;&gt;"",ISNUMBER(SEARCH(설정!$A$57,K699))),설정!$B$57,IF(AND(설정!$A$58&lt;&gt;"",ISNUMBER(SEARCH(설정!$A$58,K699))),설정!$B$58,IF(AND(설정!$A$59&lt;&gt;"",ISNUMBER(SEARCH(설정!$A$59,K699))),설정!$B$59,IF(AND(설정!$A$60&lt;&gt;"",ISNUMBER(SEARCH(설정!$A$60,K699))),설정!$B$60,IF(AND(설정!$A$61&lt;&gt;"",ISNUMBER(SEARCH(설정!$A$61,K699))),설정!$B$61,IF(M699="","설계사","시공사"))))))))),"")</f>
        <v/>
      </c>
      <c r="V699">
        <f>SUBSTITUTE(SUBSTITUTE(SUBSTITUTE(SUBSTITUTE(G699,"(주)",""),"㈜",""),"주식회사","")," ","")</f>
        <v/>
      </c>
      <c r="W699">
        <f>IF(AND(T699,V699&lt;&gt;""),IF(COUNTIFS(V$2:V699,V699,T$2:T699,TRUE)=1,MAX(W$1:W698)+1,""),"")</f>
        <v/>
      </c>
      <c r="X699">
        <f>IF(설정!$C$14="","",IFERROR(INDEX('1.산군_붙여넣기'!$A$1:$AZ$1001,ROW(),설정!$C$14)&amp;"",""))</f>
        <v/>
      </c>
      <c r="Y699">
        <f>IF(설정!$C$15="","",IFERROR(INDEX('1.산군_붙여넣기'!$A$1:$AZ$1001,ROW(),설정!$C$15)&amp;"",""))</f>
        <v/>
      </c>
      <c r="Z699">
        <f>IF(T699,V699&amp;"|"&amp;U699,"")</f>
        <v/>
      </c>
      <c r="AA699">
        <f>IF(NOT(Q699),"",IF(NOT(AND(R699,S699)),"✕",IF(OR(OR(AND(L699&lt;&gt;"",M699&lt;&gt;"",N(M699)-N(L699)&gt;설정!$B$27),AND(L699&lt;&gt;"",M699="",설정!$B$24-N(L699)&gt;설정!$B$27)),AND(D699&lt;&gt;"",D699&lt;설정!$B$26)),"△","★")))</f>
        <v/>
      </c>
      <c r="AB699">
        <f>IF(NOT(T699),"",IF(U699="설계사",설정!$B$31,IF(U699="시공사",IF(OR(M699="",설정!$B$24-N(M699)&lt;=설정!$B$28*30.4),설정!$B$32,설정!$B$33),설정!$B$34))+IF(AA699="★",설정!$B$35,0))</f>
        <v/>
      </c>
      <c r="AC699">
        <f>SUBSTITUTE(SUBSTITUTE(SUBSTITUTE(SUBSTITUTE(H699,"(주)",""),"㈜",""),"주식회사","")," ","")</f>
        <v/>
      </c>
      <c r="AD699">
        <f>IF(AND(T699,AC699&lt;&gt;""),IF(COUNTIFS(AC$2:AC699,AC699,T$2:T699,TRUE)=1,MAX(AD$1:AD698)+1,""),"")</f>
        <v/>
      </c>
    </row>
    <row r="700">
      <c r="A700">
        <f>ROW()</f>
        <v/>
      </c>
      <c r="B700">
        <f>IF(설정!$C$4="","",IFERROR(INDEX('1.산군_붙여넣기'!$A$1:$AZ$1001,ROW(),설정!$C$4)&amp;"",""))</f>
        <v/>
      </c>
      <c r="C700">
        <f>IF(설정!$C$5="","",IFERROR(INDEX('1.산군_붙여넣기'!$A$1:$AZ$1001,ROW(),설정!$C$5)&amp;"",""))</f>
        <v/>
      </c>
      <c r="D700" s="5">
        <f>IFERROR(VALUE(SUBSTITUTE(SUBSTITUTE(SUBSTITUTE(IF(설정!$C$6="","",IFERROR(INDEX('1.산군_붙여넣기'!$A$1:$AZ$1001,ROW(),설정!$C$6)&amp;"","")),",",""),"㎡",""),"m2","")),"")</f>
        <v/>
      </c>
      <c r="E700">
        <f>IF(설정!$C$7="","",IFERROR(INDEX('1.산군_붙여넣기'!$A$1:$AZ$1001,ROW(),설정!$C$7)&amp;"",""))</f>
        <v/>
      </c>
      <c r="F700">
        <f>IF(설정!$C$8="","",IFERROR(INDEX('1.산군_붙여넣기'!$A$1:$AZ$1001,ROW(),설정!$C$8)&amp;"",""))</f>
        <v/>
      </c>
      <c r="G700">
        <f>IF(설정!$C$9="","",IFERROR(INDEX('1.산군_붙여넣기'!$A$1:$AZ$1001,ROW(),설정!$C$9)&amp;"",""))</f>
        <v/>
      </c>
      <c r="H700">
        <f>IF(설정!$C$10="","",IFERROR(INDEX('1.산군_붙여넣기'!$A$1:$AZ$1001,ROW(),설정!$C$10)&amp;"",""))</f>
        <v/>
      </c>
      <c r="I700">
        <f>IF(설정!$C$11="","",IFERROR(INDEX('1.산군_붙여넣기'!$A$1:$AZ$1001,ROW(),설정!$C$11)&amp;"",""))</f>
        <v/>
      </c>
      <c r="J700">
        <f>IF(설정!$C$12="","",IFERROR(INDEX('1.산군_붙여넣기'!$A$1:$AZ$1001,ROW(),설정!$C$12)&amp;"",""))</f>
        <v/>
      </c>
      <c r="K700">
        <f>IF(설정!$C$13="","",IFERROR(INDEX('1.산군_붙여넣기'!$A$1:$AZ$1001,ROW(),설정!$C$13)&amp;"",""))</f>
        <v/>
      </c>
      <c r="L700" s="7">
        <f>IF(X700="","",IF(AND(LEN(X700)=8,ISNUMBER(X700*1)),DATE(LEFT(X700,4),MID(X700,5,2),RIGHT(X700,2)),IFERROR(DATEVALUE(SUBSTITUTE(SUBSTITUTE(X700,".","-"),"/","-")),IFERROR(X700*1,""))))</f>
        <v/>
      </c>
      <c r="M700" s="7">
        <f>IF(Y700="","",IF(AND(LEN(Y700)=8,ISNUMBER(Y700*1)),DATE(LEFT(Y700,4),MID(Y700,5,2),RIGHT(Y700,2)),IFERROR(DATEVALUE(SUBSTITUTE(SUBSTITUTE(Y700,".","-"),"/","-")),IFERROR(Y700*1,""))))</f>
        <v/>
      </c>
      <c r="N700">
        <f>IFERROR(LEFT(B700,FIND(" ",B700)-1),B700)</f>
        <v/>
      </c>
      <c r="O700">
        <f>AND(B700&lt;&gt;"",B700&lt;&gt;설정!$B$4,C700&lt;&gt;설정!$B$5)</f>
        <v/>
      </c>
      <c r="P700">
        <f>IF(O700,B700&amp;"|"&amp;C700,"")</f>
        <v/>
      </c>
      <c r="Q700">
        <f>AND(O700,COUNTIF(P701:P$1002,P700)=0)</f>
        <v/>
      </c>
      <c r="R700">
        <f>OR(AND(설정!$A$42&lt;&gt;"",ISNUMBER(SEARCH(설정!$A$42,E700&amp;" "&amp;C700))),AND(설정!$A$43&lt;&gt;"",ISNUMBER(SEARCH(설정!$A$43,E700&amp;" "&amp;C700))),AND(설정!$A$44&lt;&gt;"",ISNUMBER(SEARCH(설정!$A$44,E700&amp;" "&amp;C700))),AND(설정!$A$45&lt;&gt;"",ISNUMBER(SEARCH(설정!$A$45,E700&amp;" "&amp;C700))),AND(설정!$A$46&lt;&gt;"",ISNUMBER(SEARCH(설정!$A$46,E700&amp;" "&amp;C700))),AND(설정!$A$47&lt;&gt;"",ISNUMBER(SEARCH(설정!$A$47,E700&amp;" "&amp;C700))),AND(설정!$A$48&lt;&gt;"",ISNUMBER(SEARCH(설정!$A$48,E700&amp;" "&amp;C700))),AND(설정!$A$49&lt;&gt;"",ISNUMBER(SEARCH(설정!$A$49,E700&amp;" "&amp;C700))),AND(설정!$A$50&lt;&gt;"",ISNUMBER(SEARCH(설정!$A$50,E700&amp;" "&amp;C700))),AND(설정!$A$51&lt;&gt;"",ISNUMBER(SEARCH(설정!$A$51,E700&amp;" "&amp;C700))))</f>
        <v/>
      </c>
      <c r="S700">
        <f>OR(D700="",D700&gt;=설정!$B$19)</f>
        <v/>
      </c>
      <c r="T700">
        <f>AND(Q700,R700,S700)</f>
        <v/>
      </c>
      <c r="U700">
        <f>IF(T700,IF(AND(설정!$A$54&lt;&gt;"",ISNUMBER(SEARCH(설정!$A$54,K700))),설정!$B$54,IF(AND(설정!$A$55&lt;&gt;"",ISNUMBER(SEARCH(설정!$A$55,K700))),설정!$B$55,IF(AND(설정!$A$56&lt;&gt;"",ISNUMBER(SEARCH(설정!$A$56,K700))),설정!$B$56,IF(AND(설정!$A$57&lt;&gt;"",ISNUMBER(SEARCH(설정!$A$57,K700))),설정!$B$57,IF(AND(설정!$A$58&lt;&gt;"",ISNUMBER(SEARCH(설정!$A$58,K700))),설정!$B$58,IF(AND(설정!$A$59&lt;&gt;"",ISNUMBER(SEARCH(설정!$A$59,K700))),설정!$B$59,IF(AND(설정!$A$60&lt;&gt;"",ISNUMBER(SEARCH(설정!$A$60,K700))),설정!$B$60,IF(AND(설정!$A$61&lt;&gt;"",ISNUMBER(SEARCH(설정!$A$61,K700))),설정!$B$61,IF(M700="","설계사","시공사"))))))))),"")</f>
        <v/>
      </c>
      <c r="V700">
        <f>SUBSTITUTE(SUBSTITUTE(SUBSTITUTE(SUBSTITUTE(G700,"(주)",""),"㈜",""),"주식회사","")," ","")</f>
        <v/>
      </c>
      <c r="W700">
        <f>IF(AND(T700,V700&lt;&gt;""),IF(COUNTIFS(V$2:V700,V700,T$2:T700,TRUE)=1,MAX(W$1:W699)+1,""),"")</f>
        <v/>
      </c>
      <c r="X700">
        <f>IF(설정!$C$14="","",IFERROR(INDEX('1.산군_붙여넣기'!$A$1:$AZ$1001,ROW(),설정!$C$14)&amp;"",""))</f>
        <v/>
      </c>
      <c r="Y700">
        <f>IF(설정!$C$15="","",IFERROR(INDEX('1.산군_붙여넣기'!$A$1:$AZ$1001,ROW(),설정!$C$15)&amp;"",""))</f>
        <v/>
      </c>
      <c r="Z700">
        <f>IF(T700,V700&amp;"|"&amp;U700,"")</f>
        <v/>
      </c>
      <c r="AA700">
        <f>IF(NOT(Q700),"",IF(NOT(AND(R700,S700)),"✕",IF(OR(OR(AND(L700&lt;&gt;"",M700&lt;&gt;"",N(M700)-N(L700)&gt;설정!$B$27),AND(L700&lt;&gt;"",M700="",설정!$B$24-N(L700)&gt;설정!$B$27)),AND(D700&lt;&gt;"",D700&lt;설정!$B$26)),"△","★")))</f>
        <v/>
      </c>
      <c r="AB700">
        <f>IF(NOT(T700),"",IF(U700="설계사",설정!$B$31,IF(U700="시공사",IF(OR(M700="",설정!$B$24-N(M700)&lt;=설정!$B$28*30.4),설정!$B$32,설정!$B$33),설정!$B$34))+IF(AA700="★",설정!$B$35,0))</f>
        <v/>
      </c>
      <c r="AC700">
        <f>SUBSTITUTE(SUBSTITUTE(SUBSTITUTE(SUBSTITUTE(H700,"(주)",""),"㈜",""),"주식회사","")," ","")</f>
        <v/>
      </c>
      <c r="AD700">
        <f>IF(AND(T700,AC700&lt;&gt;""),IF(COUNTIFS(AC$2:AC700,AC700,T$2:T700,TRUE)=1,MAX(AD$1:AD699)+1,""),"")</f>
        <v/>
      </c>
    </row>
    <row r="701">
      <c r="A701">
        <f>ROW()</f>
        <v/>
      </c>
      <c r="B701">
        <f>IF(설정!$C$4="","",IFERROR(INDEX('1.산군_붙여넣기'!$A$1:$AZ$1001,ROW(),설정!$C$4)&amp;"",""))</f>
        <v/>
      </c>
      <c r="C701">
        <f>IF(설정!$C$5="","",IFERROR(INDEX('1.산군_붙여넣기'!$A$1:$AZ$1001,ROW(),설정!$C$5)&amp;"",""))</f>
        <v/>
      </c>
      <c r="D701" s="5">
        <f>IFERROR(VALUE(SUBSTITUTE(SUBSTITUTE(SUBSTITUTE(IF(설정!$C$6="","",IFERROR(INDEX('1.산군_붙여넣기'!$A$1:$AZ$1001,ROW(),설정!$C$6)&amp;"","")),",",""),"㎡",""),"m2","")),"")</f>
        <v/>
      </c>
      <c r="E701">
        <f>IF(설정!$C$7="","",IFERROR(INDEX('1.산군_붙여넣기'!$A$1:$AZ$1001,ROW(),설정!$C$7)&amp;"",""))</f>
        <v/>
      </c>
      <c r="F701">
        <f>IF(설정!$C$8="","",IFERROR(INDEX('1.산군_붙여넣기'!$A$1:$AZ$1001,ROW(),설정!$C$8)&amp;"",""))</f>
        <v/>
      </c>
      <c r="G701">
        <f>IF(설정!$C$9="","",IFERROR(INDEX('1.산군_붙여넣기'!$A$1:$AZ$1001,ROW(),설정!$C$9)&amp;"",""))</f>
        <v/>
      </c>
      <c r="H701">
        <f>IF(설정!$C$10="","",IFERROR(INDEX('1.산군_붙여넣기'!$A$1:$AZ$1001,ROW(),설정!$C$10)&amp;"",""))</f>
        <v/>
      </c>
      <c r="I701">
        <f>IF(설정!$C$11="","",IFERROR(INDEX('1.산군_붙여넣기'!$A$1:$AZ$1001,ROW(),설정!$C$11)&amp;"",""))</f>
        <v/>
      </c>
      <c r="J701">
        <f>IF(설정!$C$12="","",IFERROR(INDEX('1.산군_붙여넣기'!$A$1:$AZ$1001,ROW(),설정!$C$12)&amp;"",""))</f>
        <v/>
      </c>
      <c r="K701">
        <f>IF(설정!$C$13="","",IFERROR(INDEX('1.산군_붙여넣기'!$A$1:$AZ$1001,ROW(),설정!$C$13)&amp;"",""))</f>
        <v/>
      </c>
      <c r="L701" s="7">
        <f>IF(X701="","",IF(AND(LEN(X701)=8,ISNUMBER(X701*1)),DATE(LEFT(X701,4),MID(X701,5,2),RIGHT(X701,2)),IFERROR(DATEVALUE(SUBSTITUTE(SUBSTITUTE(X701,".","-"),"/","-")),IFERROR(X701*1,""))))</f>
        <v/>
      </c>
      <c r="M701" s="7">
        <f>IF(Y701="","",IF(AND(LEN(Y701)=8,ISNUMBER(Y701*1)),DATE(LEFT(Y701,4),MID(Y701,5,2),RIGHT(Y701,2)),IFERROR(DATEVALUE(SUBSTITUTE(SUBSTITUTE(Y701,".","-"),"/","-")),IFERROR(Y701*1,""))))</f>
        <v/>
      </c>
      <c r="N701">
        <f>IFERROR(LEFT(B701,FIND(" ",B701)-1),B701)</f>
        <v/>
      </c>
      <c r="O701">
        <f>AND(B701&lt;&gt;"",B701&lt;&gt;설정!$B$4,C701&lt;&gt;설정!$B$5)</f>
        <v/>
      </c>
      <c r="P701">
        <f>IF(O701,B701&amp;"|"&amp;C701,"")</f>
        <v/>
      </c>
      <c r="Q701">
        <f>AND(O701,COUNTIF(P702:P$1002,P701)=0)</f>
        <v/>
      </c>
      <c r="R701">
        <f>OR(AND(설정!$A$42&lt;&gt;"",ISNUMBER(SEARCH(설정!$A$42,E701&amp;" "&amp;C701))),AND(설정!$A$43&lt;&gt;"",ISNUMBER(SEARCH(설정!$A$43,E701&amp;" "&amp;C701))),AND(설정!$A$44&lt;&gt;"",ISNUMBER(SEARCH(설정!$A$44,E701&amp;" "&amp;C701))),AND(설정!$A$45&lt;&gt;"",ISNUMBER(SEARCH(설정!$A$45,E701&amp;" "&amp;C701))),AND(설정!$A$46&lt;&gt;"",ISNUMBER(SEARCH(설정!$A$46,E701&amp;" "&amp;C701))),AND(설정!$A$47&lt;&gt;"",ISNUMBER(SEARCH(설정!$A$47,E701&amp;" "&amp;C701))),AND(설정!$A$48&lt;&gt;"",ISNUMBER(SEARCH(설정!$A$48,E701&amp;" "&amp;C701))),AND(설정!$A$49&lt;&gt;"",ISNUMBER(SEARCH(설정!$A$49,E701&amp;" "&amp;C701))),AND(설정!$A$50&lt;&gt;"",ISNUMBER(SEARCH(설정!$A$50,E701&amp;" "&amp;C701))),AND(설정!$A$51&lt;&gt;"",ISNUMBER(SEARCH(설정!$A$51,E701&amp;" "&amp;C701))))</f>
        <v/>
      </c>
      <c r="S701">
        <f>OR(D701="",D701&gt;=설정!$B$19)</f>
        <v/>
      </c>
      <c r="T701">
        <f>AND(Q701,R701,S701)</f>
        <v/>
      </c>
      <c r="U701">
        <f>IF(T701,IF(AND(설정!$A$54&lt;&gt;"",ISNUMBER(SEARCH(설정!$A$54,K701))),설정!$B$54,IF(AND(설정!$A$55&lt;&gt;"",ISNUMBER(SEARCH(설정!$A$55,K701))),설정!$B$55,IF(AND(설정!$A$56&lt;&gt;"",ISNUMBER(SEARCH(설정!$A$56,K701))),설정!$B$56,IF(AND(설정!$A$57&lt;&gt;"",ISNUMBER(SEARCH(설정!$A$57,K701))),설정!$B$57,IF(AND(설정!$A$58&lt;&gt;"",ISNUMBER(SEARCH(설정!$A$58,K701))),설정!$B$58,IF(AND(설정!$A$59&lt;&gt;"",ISNUMBER(SEARCH(설정!$A$59,K701))),설정!$B$59,IF(AND(설정!$A$60&lt;&gt;"",ISNUMBER(SEARCH(설정!$A$60,K701))),설정!$B$60,IF(AND(설정!$A$61&lt;&gt;"",ISNUMBER(SEARCH(설정!$A$61,K701))),설정!$B$61,IF(M701="","설계사","시공사"))))))))),"")</f>
        <v/>
      </c>
      <c r="V701">
        <f>SUBSTITUTE(SUBSTITUTE(SUBSTITUTE(SUBSTITUTE(G701,"(주)",""),"㈜",""),"주식회사","")," ","")</f>
        <v/>
      </c>
      <c r="W701">
        <f>IF(AND(T701,V701&lt;&gt;""),IF(COUNTIFS(V$2:V701,V701,T$2:T701,TRUE)=1,MAX(W$1:W700)+1,""),"")</f>
        <v/>
      </c>
      <c r="X701">
        <f>IF(설정!$C$14="","",IFERROR(INDEX('1.산군_붙여넣기'!$A$1:$AZ$1001,ROW(),설정!$C$14)&amp;"",""))</f>
        <v/>
      </c>
      <c r="Y701">
        <f>IF(설정!$C$15="","",IFERROR(INDEX('1.산군_붙여넣기'!$A$1:$AZ$1001,ROW(),설정!$C$15)&amp;"",""))</f>
        <v/>
      </c>
      <c r="Z701">
        <f>IF(T701,V701&amp;"|"&amp;U701,"")</f>
        <v/>
      </c>
      <c r="AA701">
        <f>IF(NOT(Q701),"",IF(NOT(AND(R701,S701)),"✕",IF(OR(OR(AND(L701&lt;&gt;"",M701&lt;&gt;"",N(M701)-N(L701)&gt;설정!$B$27),AND(L701&lt;&gt;"",M701="",설정!$B$24-N(L701)&gt;설정!$B$27)),AND(D701&lt;&gt;"",D701&lt;설정!$B$26)),"△","★")))</f>
        <v/>
      </c>
      <c r="AB701">
        <f>IF(NOT(T701),"",IF(U701="설계사",설정!$B$31,IF(U701="시공사",IF(OR(M701="",설정!$B$24-N(M701)&lt;=설정!$B$28*30.4),설정!$B$32,설정!$B$33),설정!$B$34))+IF(AA701="★",설정!$B$35,0))</f>
        <v/>
      </c>
      <c r="AC701">
        <f>SUBSTITUTE(SUBSTITUTE(SUBSTITUTE(SUBSTITUTE(H701,"(주)",""),"㈜",""),"주식회사","")," ","")</f>
        <v/>
      </c>
      <c r="AD701">
        <f>IF(AND(T701,AC701&lt;&gt;""),IF(COUNTIFS(AC$2:AC701,AC701,T$2:T701,TRUE)=1,MAX(AD$1:AD700)+1,""),"")</f>
        <v/>
      </c>
    </row>
    <row r="702">
      <c r="A702">
        <f>ROW()</f>
        <v/>
      </c>
      <c r="B702">
        <f>IF(설정!$C$4="","",IFERROR(INDEX('1.산군_붙여넣기'!$A$1:$AZ$1001,ROW(),설정!$C$4)&amp;"",""))</f>
        <v/>
      </c>
      <c r="C702">
        <f>IF(설정!$C$5="","",IFERROR(INDEX('1.산군_붙여넣기'!$A$1:$AZ$1001,ROW(),설정!$C$5)&amp;"",""))</f>
        <v/>
      </c>
      <c r="D702" s="5">
        <f>IFERROR(VALUE(SUBSTITUTE(SUBSTITUTE(SUBSTITUTE(IF(설정!$C$6="","",IFERROR(INDEX('1.산군_붙여넣기'!$A$1:$AZ$1001,ROW(),설정!$C$6)&amp;"","")),",",""),"㎡",""),"m2","")),"")</f>
        <v/>
      </c>
      <c r="E702">
        <f>IF(설정!$C$7="","",IFERROR(INDEX('1.산군_붙여넣기'!$A$1:$AZ$1001,ROW(),설정!$C$7)&amp;"",""))</f>
        <v/>
      </c>
      <c r="F702">
        <f>IF(설정!$C$8="","",IFERROR(INDEX('1.산군_붙여넣기'!$A$1:$AZ$1001,ROW(),설정!$C$8)&amp;"",""))</f>
        <v/>
      </c>
      <c r="G702">
        <f>IF(설정!$C$9="","",IFERROR(INDEX('1.산군_붙여넣기'!$A$1:$AZ$1001,ROW(),설정!$C$9)&amp;"",""))</f>
        <v/>
      </c>
      <c r="H702">
        <f>IF(설정!$C$10="","",IFERROR(INDEX('1.산군_붙여넣기'!$A$1:$AZ$1001,ROW(),설정!$C$10)&amp;"",""))</f>
        <v/>
      </c>
      <c r="I702">
        <f>IF(설정!$C$11="","",IFERROR(INDEX('1.산군_붙여넣기'!$A$1:$AZ$1001,ROW(),설정!$C$11)&amp;"",""))</f>
        <v/>
      </c>
      <c r="J702">
        <f>IF(설정!$C$12="","",IFERROR(INDEX('1.산군_붙여넣기'!$A$1:$AZ$1001,ROW(),설정!$C$12)&amp;"",""))</f>
        <v/>
      </c>
      <c r="K702">
        <f>IF(설정!$C$13="","",IFERROR(INDEX('1.산군_붙여넣기'!$A$1:$AZ$1001,ROW(),설정!$C$13)&amp;"",""))</f>
        <v/>
      </c>
      <c r="L702" s="7">
        <f>IF(X702="","",IF(AND(LEN(X702)=8,ISNUMBER(X702*1)),DATE(LEFT(X702,4),MID(X702,5,2),RIGHT(X702,2)),IFERROR(DATEVALUE(SUBSTITUTE(SUBSTITUTE(X702,".","-"),"/","-")),IFERROR(X702*1,""))))</f>
        <v/>
      </c>
      <c r="M702" s="7">
        <f>IF(Y702="","",IF(AND(LEN(Y702)=8,ISNUMBER(Y702*1)),DATE(LEFT(Y702,4),MID(Y702,5,2),RIGHT(Y702,2)),IFERROR(DATEVALUE(SUBSTITUTE(SUBSTITUTE(Y702,".","-"),"/","-")),IFERROR(Y702*1,""))))</f>
        <v/>
      </c>
      <c r="N702">
        <f>IFERROR(LEFT(B702,FIND(" ",B702)-1),B702)</f>
        <v/>
      </c>
      <c r="O702">
        <f>AND(B702&lt;&gt;"",B702&lt;&gt;설정!$B$4,C702&lt;&gt;설정!$B$5)</f>
        <v/>
      </c>
      <c r="P702">
        <f>IF(O702,B702&amp;"|"&amp;C702,"")</f>
        <v/>
      </c>
      <c r="Q702">
        <f>AND(O702,COUNTIF(P703:P$1002,P702)=0)</f>
        <v/>
      </c>
      <c r="R702">
        <f>OR(AND(설정!$A$42&lt;&gt;"",ISNUMBER(SEARCH(설정!$A$42,E702&amp;" "&amp;C702))),AND(설정!$A$43&lt;&gt;"",ISNUMBER(SEARCH(설정!$A$43,E702&amp;" "&amp;C702))),AND(설정!$A$44&lt;&gt;"",ISNUMBER(SEARCH(설정!$A$44,E702&amp;" "&amp;C702))),AND(설정!$A$45&lt;&gt;"",ISNUMBER(SEARCH(설정!$A$45,E702&amp;" "&amp;C702))),AND(설정!$A$46&lt;&gt;"",ISNUMBER(SEARCH(설정!$A$46,E702&amp;" "&amp;C702))),AND(설정!$A$47&lt;&gt;"",ISNUMBER(SEARCH(설정!$A$47,E702&amp;" "&amp;C702))),AND(설정!$A$48&lt;&gt;"",ISNUMBER(SEARCH(설정!$A$48,E702&amp;" "&amp;C702))),AND(설정!$A$49&lt;&gt;"",ISNUMBER(SEARCH(설정!$A$49,E702&amp;" "&amp;C702))),AND(설정!$A$50&lt;&gt;"",ISNUMBER(SEARCH(설정!$A$50,E702&amp;" "&amp;C702))),AND(설정!$A$51&lt;&gt;"",ISNUMBER(SEARCH(설정!$A$51,E702&amp;" "&amp;C702))))</f>
        <v/>
      </c>
      <c r="S702">
        <f>OR(D702="",D702&gt;=설정!$B$19)</f>
        <v/>
      </c>
      <c r="T702">
        <f>AND(Q702,R702,S702)</f>
        <v/>
      </c>
      <c r="U702">
        <f>IF(T702,IF(AND(설정!$A$54&lt;&gt;"",ISNUMBER(SEARCH(설정!$A$54,K702))),설정!$B$54,IF(AND(설정!$A$55&lt;&gt;"",ISNUMBER(SEARCH(설정!$A$55,K702))),설정!$B$55,IF(AND(설정!$A$56&lt;&gt;"",ISNUMBER(SEARCH(설정!$A$56,K702))),설정!$B$56,IF(AND(설정!$A$57&lt;&gt;"",ISNUMBER(SEARCH(설정!$A$57,K702))),설정!$B$57,IF(AND(설정!$A$58&lt;&gt;"",ISNUMBER(SEARCH(설정!$A$58,K702))),설정!$B$58,IF(AND(설정!$A$59&lt;&gt;"",ISNUMBER(SEARCH(설정!$A$59,K702))),설정!$B$59,IF(AND(설정!$A$60&lt;&gt;"",ISNUMBER(SEARCH(설정!$A$60,K702))),설정!$B$60,IF(AND(설정!$A$61&lt;&gt;"",ISNUMBER(SEARCH(설정!$A$61,K702))),설정!$B$61,IF(M702="","설계사","시공사"))))))))),"")</f>
        <v/>
      </c>
      <c r="V702">
        <f>SUBSTITUTE(SUBSTITUTE(SUBSTITUTE(SUBSTITUTE(G702,"(주)",""),"㈜",""),"주식회사","")," ","")</f>
        <v/>
      </c>
      <c r="W702">
        <f>IF(AND(T702,V702&lt;&gt;""),IF(COUNTIFS(V$2:V702,V702,T$2:T702,TRUE)=1,MAX(W$1:W701)+1,""),"")</f>
        <v/>
      </c>
      <c r="X702">
        <f>IF(설정!$C$14="","",IFERROR(INDEX('1.산군_붙여넣기'!$A$1:$AZ$1001,ROW(),설정!$C$14)&amp;"",""))</f>
        <v/>
      </c>
      <c r="Y702">
        <f>IF(설정!$C$15="","",IFERROR(INDEX('1.산군_붙여넣기'!$A$1:$AZ$1001,ROW(),설정!$C$15)&amp;"",""))</f>
        <v/>
      </c>
      <c r="Z702">
        <f>IF(T702,V702&amp;"|"&amp;U702,"")</f>
        <v/>
      </c>
      <c r="AA702">
        <f>IF(NOT(Q702),"",IF(NOT(AND(R702,S702)),"✕",IF(OR(OR(AND(L702&lt;&gt;"",M702&lt;&gt;"",N(M702)-N(L702)&gt;설정!$B$27),AND(L702&lt;&gt;"",M702="",설정!$B$24-N(L702)&gt;설정!$B$27)),AND(D702&lt;&gt;"",D702&lt;설정!$B$26)),"△","★")))</f>
        <v/>
      </c>
      <c r="AB702">
        <f>IF(NOT(T702),"",IF(U702="설계사",설정!$B$31,IF(U702="시공사",IF(OR(M702="",설정!$B$24-N(M702)&lt;=설정!$B$28*30.4),설정!$B$32,설정!$B$33),설정!$B$34))+IF(AA702="★",설정!$B$35,0))</f>
        <v/>
      </c>
      <c r="AC702">
        <f>SUBSTITUTE(SUBSTITUTE(SUBSTITUTE(SUBSTITUTE(H702,"(주)",""),"㈜",""),"주식회사","")," ","")</f>
        <v/>
      </c>
      <c r="AD702">
        <f>IF(AND(T702,AC702&lt;&gt;""),IF(COUNTIFS(AC$2:AC702,AC702,T$2:T702,TRUE)=1,MAX(AD$1:AD701)+1,""),"")</f>
        <v/>
      </c>
    </row>
    <row r="703">
      <c r="A703">
        <f>ROW()</f>
        <v/>
      </c>
      <c r="B703">
        <f>IF(설정!$C$4="","",IFERROR(INDEX('1.산군_붙여넣기'!$A$1:$AZ$1001,ROW(),설정!$C$4)&amp;"",""))</f>
        <v/>
      </c>
      <c r="C703">
        <f>IF(설정!$C$5="","",IFERROR(INDEX('1.산군_붙여넣기'!$A$1:$AZ$1001,ROW(),설정!$C$5)&amp;"",""))</f>
        <v/>
      </c>
      <c r="D703" s="5">
        <f>IFERROR(VALUE(SUBSTITUTE(SUBSTITUTE(SUBSTITUTE(IF(설정!$C$6="","",IFERROR(INDEX('1.산군_붙여넣기'!$A$1:$AZ$1001,ROW(),설정!$C$6)&amp;"","")),",",""),"㎡",""),"m2","")),"")</f>
        <v/>
      </c>
      <c r="E703">
        <f>IF(설정!$C$7="","",IFERROR(INDEX('1.산군_붙여넣기'!$A$1:$AZ$1001,ROW(),설정!$C$7)&amp;"",""))</f>
        <v/>
      </c>
      <c r="F703">
        <f>IF(설정!$C$8="","",IFERROR(INDEX('1.산군_붙여넣기'!$A$1:$AZ$1001,ROW(),설정!$C$8)&amp;"",""))</f>
        <v/>
      </c>
      <c r="G703">
        <f>IF(설정!$C$9="","",IFERROR(INDEX('1.산군_붙여넣기'!$A$1:$AZ$1001,ROW(),설정!$C$9)&amp;"",""))</f>
        <v/>
      </c>
      <c r="H703">
        <f>IF(설정!$C$10="","",IFERROR(INDEX('1.산군_붙여넣기'!$A$1:$AZ$1001,ROW(),설정!$C$10)&amp;"",""))</f>
        <v/>
      </c>
      <c r="I703">
        <f>IF(설정!$C$11="","",IFERROR(INDEX('1.산군_붙여넣기'!$A$1:$AZ$1001,ROW(),설정!$C$11)&amp;"",""))</f>
        <v/>
      </c>
      <c r="J703">
        <f>IF(설정!$C$12="","",IFERROR(INDEX('1.산군_붙여넣기'!$A$1:$AZ$1001,ROW(),설정!$C$12)&amp;"",""))</f>
        <v/>
      </c>
      <c r="K703">
        <f>IF(설정!$C$13="","",IFERROR(INDEX('1.산군_붙여넣기'!$A$1:$AZ$1001,ROW(),설정!$C$13)&amp;"",""))</f>
        <v/>
      </c>
      <c r="L703" s="7">
        <f>IF(X703="","",IF(AND(LEN(X703)=8,ISNUMBER(X703*1)),DATE(LEFT(X703,4),MID(X703,5,2),RIGHT(X703,2)),IFERROR(DATEVALUE(SUBSTITUTE(SUBSTITUTE(X703,".","-"),"/","-")),IFERROR(X703*1,""))))</f>
        <v/>
      </c>
      <c r="M703" s="7">
        <f>IF(Y703="","",IF(AND(LEN(Y703)=8,ISNUMBER(Y703*1)),DATE(LEFT(Y703,4),MID(Y703,5,2),RIGHT(Y703,2)),IFERROR(DATEVALUE(SUBSTITUTE(SUBSTITUTE(Y703,".","-"),"/","-")),IFERROR(Y703*1,""))))</f>
        <v/>
      </c>
      <c r="N703">
        <f>IFERROR(LEFT(B703,FIND(" ",B703)-1),B703)</f>
        <v/>
      </c>
      <c r="O703">
        <f>AND(B703&lt;&gt;"",B703&lt;&gt;설정!$B$4,C703&lt;&gt;설정!$B$5)</f>
        <v/>
      </c>
      <c r="P703">
        <f>IF(O703,B703&amp;"|"&amp;C703,"")</f>
        <v/>
      </c>
      <c r="Q703">
        <f>AND(O703,COUNTIF(P704:P$1002,P703)=0)</f>
        <v/>
      </c>
      <c r="R703">
        <f>OR(AND(설정!$A$42&lt;&gt;"",ISNUMBER(SEARCH(설정!$A$42,E703&amp;" "&amp;C703))),AND(설정!$A$43&lt;&gt;"",ISNUMBER(SEARCH(설정!$A$43,E703&amp;" "&amp;C703))),AND(설정!$A$44&lt;&gt;"",ISNUMBER(SEARCH(설정!$A$44,E703&amp;" "&amp;C703))),AND(설정!$A$45&lt;&gt;"",ISNUMBER(SEARCH(설정!$A$45,E703&amp;" "&amp;C703))),AND(설정!$A$46&lt;&gt;"",ISNUMBER(SEARCH(설정!$A$46,E703&amp;" "&amp;C703))),AND(설정!$A$47&lt;&gt;"",ISNUMBER(SEARCH(설정!$A$47,E703&amp;" "&amp;C703))),AND(설정!$A$48&lt;&gt;"",ISNUMBER(SEARCH(설정!$A$48,E703&amp;" "&amp;C703))),AND(설정!$A$49&lt;&gt;"",ISNUMBER(SEARCH(설정!$A$49,E703&amp;" "&amp;C703))),AND(설정!$A$50&lt;&gt;"",ISNUMBER(SEARCH(설정!$A$50,E703&amp;" "&amp;C703))),AND(설정!$A$51&lt;&gt;"",ISNUMBER(SEARCH(설정!$A$51,E703&amp;" "&amp;C703))))</f>
        <v/>
      </c>
      <c r="S703">
        <f>OR(D703="",D703&gt;=설정!$B$19)</f>
        <v/>
      </c>
      <c r="T703">
        <f>AND(Q703,R703,S703)</f>
        <v/>
      </c>
      <c r="U703">
        <f>IF(T703,IF(AND(설정!$A$54&lt;&gt;"",ISNUMBER(SEARCH(설정!$A$54,K703))),설정!$B$54,IF(AND(설정!$A$55&lt;&gt;"",ISNUMBER(SEARCH(설정!$A$55,K703))),설정!$B$55,IF(AND(설정!$A$56&lt;&gt;"",ISNUMBER(SEARCH(설정!$A$56,K703))),설정!$B$56,IF(AND(설정!$A$57&lt;&gt;"",ISNUMBER(SEARCH(설정!$A$57,K703))),설정!$B$57,IF(AND(설정!$A$58&lt;&gt;"",ISNUMBER(SEARCH(설정!$A$58,K703))),설정!$B$58,IF(AND(설정!$A$59&lt;&gt;"",ISNUMBER(SEARCH(설정!$A$59,K703))),설정!$B$59,IF(AND(설정!$A$60&lt;&gt;"",ISNUMBER(SEARCH(설정!$A$60,K703))),설정!$B$60,IF(AND(설정!$A$61&lt;&gt;"",ISNUMBER(SEARCH(설정!$A$61,K703))),설정!$B$61,IF(M703="","설계사","시공사"))))))))),"")</f>
        <v/>
      </c>
      <c r="V703">
        <f>SUBSTITUTE(SUBSTITUTE(SUBSTITUTE(SUBSTITUTE(G703,"(주)",""),"㈜",""),"주식회사","")," ","")</f>
        <v/>
      </c>
      <c r="W703">
        <f>IF(AND(T703,V703&lt;&gt;""),IF(COUNTIFS(V$2:V703,V703,T$2:T703,TRUE)=1,MAX(W$1:W702)+1,""),"")</f>
        <v/>
      </c>
      <c r="X703">
        <f>IF(설정!$C$14="","",IFERROR(INDEX('1.산군_붙여넣기'!$A$1:$AZ$1001,ROW(),설정!$C$14)&amp;"",""))</f>
        <v/>
      </c>
      <c r="Y703">
        <f>IF(설정!$C$15="","",IFERROR(INDEX('1.산군_붙여넣기'!$A$1:$AZ$1001,ROW(),설정!$C$15)&amp;"",""))</f>
        <v/>
      </c>
      <c r="Z703">
        <f>IF(T703,V703&amp;"|"&amp;U703,"")</f>
        <v/>
      </c>
      <c r="AA703">
        <f>IF(NOT(Q703),"",IF(NOT(AND(R703,S703)),"✕",IF(OR(OR(AND(L703&lt;&gt;"",M703&lt;&gt;"",N(M703)-N(L703)&gt;설정!$B$27),AND(L703&lt;&gt;"",M703="",설정!$B$24-N(L703)&gt;설정!$B$27)),AND(D703&lt;&gt;"",D703&lt;설정!$B$26)),"△","★")))</f>
        <v/>
      </c>
      <c r="AB703">
        <f>IF(NOT(T703),"",IF(U703="설계사",설정!$B$31,IF(U703="시공사",IF(OR(M703="",설정!$B$24-N(M703)&lt;=설정!$B$28*30.4),설정!$B$32,설정!$B$33),설정!$B$34))+IF(AA703="★",설정!$B$35,0))</f>
        <v/>
      </c>
      <c r="AC703">
        <f>SUBSTITUTE(SUBSTITUTE(SUBSTITUTE(SUBSTITUTE(H703,"(주)",""),"㈜",""),"주식회사","")," ","")</f>
        <v/>
      </c>
      <c r="AD703">
        <f>IF(AND(T703,AC703&lt;&gt;""),IF(COUNTIFS(AC$2:AC703,AC703,T$2:T703,TRUE)=1,MAX(AD$1:AD702)+1,""),"")</f>
        <v/>
      </c>
    </row>
    <row r="704">
      <c r="A704">
        <f>ROW()</f>
        <v/>
      </c>
      <c r="B704">
        <f>IF(설정!$C$4="","",IFERROR(INDEX('1.산군_붙여넣기'!$A$1:$AZ$1001,ROW(),설정!$C$4)&amp;"",""))</f>
        <v/>
      </c>
      <c r="C704">
        <f>IF(설정!$C$5="","",IFERROR(INDEX('1.산군_붙여넣기'!$A$1:$AZ$1001,ROW(),설정!$C$5)&amp;"",""))</f>
        <v/>
      </c>
      <c r="D704" s="5">
        <f>IFERROR(VALUE(SUBSTITUTE(SUBSTITUTE(SUBSTITUTE(IF(설정!$C$6="","",IFERROR(INDEX('1.산군_붙여넣기'!$A$1:$AZ$1001,ROW(),설정!$C$6)&amp;"","")),",",""),"㎡",""),"m2","")),"")</f>
        <v/>
      </c>
      <c r="E704">
        <f>IF(설정!$C$7="","",IFERROR(INDEX('1.산군_붙여넣기'!$A$1:$AZ$1001,ROW(),설정!$C$7)&amp;"",""))</f>
        <v/>
      </c>
      <c r="F704">
        <f>IF(설정!$C$8="","",IFERROR(INDEX('1.산군_붙여넣기'!$A$1:$AZ$1001,ROW(),설정!$C$8)&amp;"",""))</f>
        <v/>
      </c>
      <c r="G704">
        <f>IF(설정!$C$9="","",IFERROR(INDEX('1.산군_붙여넣기'!$A$1:$AZ$1001,ROW(),설정!$C$9)&amp;"",""))</f>
        <v/>
      </c>
      <c r="H704">
        <f>IF(설정!$C$10="","",IFERROR(INDEX('1.산군_붙여넣기'!$A$1:$AZ$1001,ROW(),설정!$C$10)&amp;"",""))</f>
        <v/>
      </c>
      <c r="I704">
        <f>IF(설정!$C$11="","",IFERROR(INDEX('1.산군_붙여넣기'!$A$1:$AZ$1001,ROW(),설정!$C$11)&amp;"",""))</f>
        <v/>
      </c>
      <c r="J704">
        <f>IF(설정!$C$12="","",IFERROR(INDEX('1.산군_붙여넣기'!$A$1:$AZ$1001,ROW(),설정!$C$12)&amp;"",""))</f>
        <v/>
      </c>
      <c r="K704">
        <f>IF(설정!$C$13="","",IFERROR(INDEX('1.산군_붙여넣기'!$A$1:$AZ$1001,ROW(),설정!$C$13)&amp;"",""))</f>
        <v/>
      </c>
      <c r="L704" s="7">
        <f>IF(X704="","",IF(AND(LEN(X704)=8,ISNUMBER(X704*1)),DATE(LEFT(X704,4),MID(X704,5,2),RIGHT(X704,2)),IFERROR(DATEVALUE(SUBSTITUTE(SUBSTITUTE(X704,".","-"),"/","-")),IFERROR(X704*1,""))))</f>
        <v/>
      </c>
      <c r="M704" s="7">
        <f>IF(Y704="","",IF(AND(LEN(Y704)=8,ISNUMBER(Y704*1)),DATE(LEFT(Y704,4),MID(Y704,5,2),RIGHT(Y704,2)),IFERROR(DATEVALUE(SUBSTITUTE(SUBSTITUTE(Y704,".","-"),"/","-")),IFERROR(Y704*1,""))))</f>
        <v/>
      </c>
      <c r="N704">
        <f>IFERROR(LEFT(B704,FIND(" ",B704)-1),B704)</f>
        <v/>
      </c>
      <c r="O704">
        <f>AND(B704&lt;&gt;"",B704&lt;&gt;설정!$B$4,C704&lt;&gt;설정!$B$5)</f>
        <v/>
      </c>
      <c r="P704">
        <f>IF(O704,B704&amp;"|"&amp;C704,"")</f>
        <v/>
      </c>
      <c r="Q704">
        <f>AND(O704,COUNTIF(P705:P$1002,P704)=0)</f>
        <v/>
      </c>
      <c r="R704">
        <f>OR(AND(설정!$A$42&lt;&gt;"",ISNUMBER(SEARCH(설정!$A$42,E704&amp;" "&amp;C704))),AND(설정!$A$43&lt;&gt;"",ISNUMBER(SEARCH(설정!$A$43,E704&amp;" "&amp;C704))),AND(설정!$A$44&lt;&gt;"",ISNUMBER(SEARCH(설정!$A$44,E704&amp;" "&amp;C704))),AND(설정!$A$45&lt;&gt;"",ISNUMBER(SEARCH(설정!$A$45,E704&amp;" "&amp;C704))),AND(설정!$A$46&lt;&gt;"",ISNUMBER(SEARCH(설정!$A$46,E704&amp;" "&amp;C704))),AND(설정!$A$47&lt;&gt;"",ISNUMBER(SEARCH(설정!$A$47,E704&amp;" "&amp;C704))),AND(설정!$A$48&lt;&gt;"",ISNUMBER(SEARCH(설정!$A$48,E704&amp;" "&amp;C704))),AND(설정!$A$49&lt;&gt;"",ISNUMBER(SEARCH(설정!$A$49,E704&amp;" "&amp;C704))),AND(설정!$A$50&lt;&gt;"",ISNUMBER(SEARCH(설정!$A$50,E704&amp;" "&amp;C704))),AND(설정!$A$51&lt;&gt;"",ISNUMBER(SEARCH(설정!$A$51,E704&amp;" "&amp;C704))))</f>
        <v/>
      </c>
      <c r="S704">
        <f>OR(D704="",D704&gt;=설정!$B$19)</f>
        <v/>
      </c>
      <c r="T704">
        <f>AND(Q704,R704,S704)</f>
        <v/>
      </c>
      <c r="U704">
        <f>IF(T704,IF(AND(설정!$A$54&lt;&gt;"",ISNUMBER(SEARCH(설정!$A$54,K704))),설정!$B$54,IF(AND(설정!$A$55&lt;&gt;"",ISNUMBER(SEARCH(설정!$A$55,K704))),설정!$B$55,IF(AND(설정!$A$56&lt;&gt;"",ISNUMBER(SEARCH(설정!$A$56,K704))),설정!$B$56,IF(AND(설정!$A$57&lt;&gt;"",ISNUMBER(SEARCH(설정!$A$57,K704))),설정!$B$57,IF(AND(설정!$A$58&lt;&gt;"",ISNUMBER(SEARCH(설정!$A$58,K704))),설정!$B$58,IF(AND(설정!$A$59&lt;&gt;"",ISNUMBER(SEARCH(설정!$A$59,K704))),설정!$B$59,IF(AND(설정!$A$60&lt;&gt;"",ISNUMBER(SEARCH(설정!$A$60,K704))),설정!$B$60,IF(AND(설정!$A$61&lt;&gt;"",ISNUMBER(SEARCH(설정!$A$61,K704))),설정!$B$61,IF(M704="","설계사","시공사"))))))))),"")</f>
        <v/>
      </c>
      <c r="V704">
        <f>SUBSTITUTE(SUBSTITUTE(SUBSTITUTE(SUBSTITUTE(G704,"(주)",""),"㈜",""),"주식회사","")," ","")</f>
        <v/>
      </c>
      <c r="W704">
        <f>IF(AND(T704,V704&lt;&gt;""),IF(COUNTIFS(V$2:V704,V704,T$2:T704,TRUE)=1,MAX(W$1:W703)+1,""),"")</f>
        <v/>
      </c>
      <c r="X704">
        <f>IF(설정!$C$14="","",IFERROR(INDEX('1.산군_붙여넣기'!$A$1:$AZ$1001,ROW(),설정!$C$14)&amp;"",""))</f>
        <v/>
      </c>
      <c r="Y704">
        <f>IF(설정!$C$15="","",IFERROR(INDEX('1.산군_붙여넣기'!$A$1:$AZ$1001,ROW(),설정!$C$15)&amp;"",""))</f>
        <v/>
      </c>
      <c r="Z704">
        <f>IF(T704,V704&amp;"|"&amp;U704,"")</f>
        <v/>
      </c>
      <c r="AA704">
        <f>IF(NOT(Q704),"",IF(NOT(AND(R704,S704)),"✕",IF(OR(OR(AND(L704&lt;&gt;"",M704&lt;&gt;"",N(M704)-N(L704)&gt;설정!$B$27),AND(L704&lt;&gt;"",M704="",설정!$B$24-N(L704)&gt;설정!$B$27)),AND(D704&lt;&gt;"",D704&lt;설정!$B$26)),"△","★")))</f>
        <v/>
      </c>
      <c r="AB704">
        <f>IF(NOT(T704),"",IF(U704="설계사",설정!$B$31,IF(U704="시공사",IF(OR(M704="",설정!$B$24-N(M704)&lt;=설정!$B$28*30.4),설정!$B$32,설정!$B$33),설정!$B$34))+IF(AA704="★",설정!$B$35,0))</f>
        <v/>
      </c>
      <c r="AC704">
        <f>SUBSTITUTE(SUBSTITUTE(SUBSTITUTE(SUBSTITUTE(H704,"(주)",""),"㈜",""),"주식회사","")," ","")</f>
        <v/>
      </c>
      <c r="AD704">
        <f>IF(AND(T704,AC704&lt;&gt;""),IF(COUNTIFS(AC$2:AC704,AC704,T$2:T704,TRUE)=1,MAX(AD$1:AD703)+1,""),"")</f>
        <v/>
      </c>
    </row>
    <row r="705">
      <c r="A705">
        <f>ROW()</f>
        <v/>
      </c>
      <c r="B705">
        <f>IF(설정!$C$4="","",IFERROR(INDEX('1.산군_붙여넣기'!$A$1:$AZ$1001,ROW(),설정!$C$4)&amp;"",""))</f>
        <v/>
      </c>
      <c r="C705">
        <f>IF(설정!$C$5="","",IFERROR(INDEX('1.산군_붙여넣기'!$A$1:$AZ$1001,ROW(),설정!$C$5)&amp;"",""))</f>
        <v/>
      </c>
      <c r="D705" s="5">
        <f>IFERROR(VALUE(SUBSTITUTE(SUBSTITUTE(SUBSTITUTE(IF(설정!$C$6="","",IFERROR(INDEX('1.산군_붙여넣기'!$A$1:$AZ$1001,ROW(),설정!$C$6)&amp;"","")),",",""),"㎡",""),"m2","")),"")</f>
        <v/>
      </c>
      <c r="E705">
        <f>IF(설정!$C$7="","",IFERROR(INDEX('1.산군_붙여넣기'!$A$1:$AZ$1001,ROW(),설정!$C$7)&amp;"",""))</f>
        <v/>
      </c>
      <c r="F705">
        <f>IF(설정!$C$8="","",IFERROR(INDEX('1.산군_붙여넣기'!$A$1:$AZ$1001,ROW(),설정!$C$8)&amp;"",""))</f>
        <v/>
      </c>
      <c r="G705">
        <f>IF(설정!$C$9="","",IFERROR(INDEX('1.산군_붙여넣기'!$A$1:$AZ$1001,ROW(),설정!$C$9)&amp;"",""))</f>
        <v/>
      </c>
      <c r="H705">
        <f>IF(설정!$C$10="","",IFERROR(INDEX('1.산군_붙여넣기'!$A$1:$AZ$1001,ROW(),설정!$C$10)&amp;"",""))</f>
        <v/>
      </c>
      <c r="I705">
        <f>IF(설정!$C$11="","",IFERROR(INDEX('1.산군_붙여넣기'!$A$1:$AZ$1001,ROW(),설정!$C$11)&amp;"",""))</f>
        <v/>
      </c>
      <c r="J705">
        <f>IF(설정!$C$12="","",IFERROR(INDEX('1.산군_붙여넣기'!$A$1:$AZ$1001,ROW(),설정!$C$12)&amp;"",""))</f>
        <v/>
      </c>
      <c r="K705">
        <f>IF(설정!$C$13="","",IFERROR(INDEX('1.산군_붙여넣기'!$A$1:$AZ$1001,ROW(),설정!$C$13)&amp;"",""))</f>
        <v/>
      </c>
      <c r="L705" s="7">
        <f>IF(X705="","",IF(AND(LEN(X705)=8,ISNUMBER(X705*1)),DATE(LEFT(X705,4),MID(X705,5,2),RIGHT(X705,2)),IFERROR(DATEVALUE(SUBSTITUTE(SUBSTITUTE(X705,".","-"),"/","-")),IFERROR(X705*1,""))))</f>
        <v/>
      </c>
      <c r="M705" s="7">
        <f>IF(Y705="","",IF(AND(LEN(Y705)=8,ISNUMBER(Y705*1)),DATE(LEFT(Y705,4),MID(Y705,5,2),RIGHT(Y705,2)),IFERROR(DATEVALUE(SUBSTITUTE(SUBSTITUTE(Y705,".","-"),"/","-")),IFERROR(Y705*1,""))))</f>
        <v/>
      </c>
      <c r="N705">
        <f>IFERROR(LEFT(B705,FIND(" ",B705)-1),B705)</f>
        <v/>
      </c>
      <c r="O705">
        <f>AND(B705&lt;&gt;"",B705&lt;&gt;설정!$B$4,C705&lt;&gt;설정!$B$5)</f>
        <v/>
      </c>
      <c r="P705">
        <f>IF(O705,B705&amp;"|"&amp;C705,"")</f>
        <v/>
      </c>
      <c r="Q705">
        <f>AND(O705,COUNTIF(P706:P$1002,P705)=0)</f>
        <v/>
      </c>
      <c r="R705">
        <f>OR(AND(설정!$A$42&lt;&gt;"",ISNUMBER(SEARCH(설정!$A$42,E705&amp;" "&amp;C705))),AND(설정!$A$43&lt;&gt;"",ISNUMBER(SEARCH(설정!$A$43,E705&amp;" "&amp;C705))),AND(설정!$A$44&lt;&gt;"",ISNUMBER(SEARCH(설정!$A$44,E705&amp;" "&amp;C705))),AND(설정!$A$45&lt;&gt;"",ISNUMBER(SEARCH(설정!$A$45,E705&amp;" "&amp;C705))),AND(설정!$A$46&lt;&gt;"",ISNUMBER(SEARCH(설정!$A$46,E705&amp;" "&amp;C705))),AND(설정!$A$47&lt;&gt;"",ISNUMBER(SEARCH(설정!$A$47,E705&amp;" "&amp;C705))),AND(설정!$A$48&lt;&gt;"",ISNUMBER(SEARCH(설정!$A$48,E705&amp;" "&amp;C705))),AND(설정!$A$49&lt;&gt;"",ISNUMBER(SEARCH(설정!$A$49,E705&amp;" "&amp;C705))),AND(설정!$A$50&lt;&gt;"",ISNUMBER(SEARCH(설정!$A$50,E705&amp;" "&amp;C705))),AND(설정!$A$51&lt;&gt;"",ISNUMBER(SEARCH(설정!$A$51,E705&amp;" "&amp;C705))))</f>
        <v/>
      </c>
      <c r="S705">
        <f>OR(D705="",D705&gt;=설정!$B$19)</f>
        <v/>
      </c>
      <c r="T705">
        <f>AND(Q705,R705,S705)</f>
        <v/>
      </c>
      <c r="U705">
        <f>IF(T705,IF(AND(설정!$A$54&lt;&gt;"",ISNUMBER(SEARCH(설정!$A$54,K705))),설정!$B$54,IF(AND(설정!$A$55&lt;&gt;"",ISNUMBER(SEARCH(설정!$A$55,K705))),설정!$B$55,IF(AND(설정!$A$56&lt;&gt;"",ISNUMBER(SEARCH(설정!$A$56,K705))),설정!$B$56,IF(AND(설정!$A$57&lt;&gt;"",ISNUMBER(SEARCH(설정!$A$57,K705))),설정!$B$57,IF(AND(설정!$A$58&lt;&gt;"",ISNUMBER(SEARCH(설정!$A$58,K705))),설정!$B$58,IF(AND(설정!$A$59&lt;&gt;"",ISNUMBER(SEARCH(설정!$A$59,K705))),설정!$B$59,IF(AND(설정!$A$60&lt;&gt;"",ISNUMBER(SEARCH(설정!$A$60,K705))),설정!$B$60,IF(AND(설정!$A$61&lt;&gt;"",ISNUMBER(SEARCH(설정!$A$61,K705))),설정!$B$61,IF(M705="","설계사","시공사"))))))))),"")</f>
        <v/>
      </c>
      <c r="V705">
        <f>SUBSTITUTE(SUBSTITUTE(SUBSTITUTE(SUBSTITUTE(G705,"(주)",""),"㈜",""),"주식회사","")," ","")</f>
        <v/>
      </c>
      <c r="W705">
        <f>IF(AND(T705,V705&lt;&gt;""),IF(COUNTIFS(V$2:V705,V705,T$2:T705,TRUE)=1,MAX(W$1:W704)+1,""),"")</f>
        <v/>
      </c>
      <c r="X705">
        <f>IF(설정!$C$14="","",IFERROR(INDEX('1.산군_붙여넣기'!$A$1:$AZ$1001,ROW(),설정!$C$14)&amp;"",""))</f>
        <v/>
      </c>
      <c r="Y705">
        <f>IF(설정!$C$15="","",IFERROR(INDEX('1.산군_붙여넣기'!$A$1:$AZ$1001,ROW(),설정!$C$15)&amp;"",""))</f>
        <v/>
      </c>
      <c r="Z705">
        <f>IF(T705,V705&amp;"|"&amp;U705,"")</f>
        <v/>
      </c>
      <c r="AA705">
        <f>IF(NOT(Q705),"",IF(NOT(AND(R705,S705)),"✕",IF(OR(OR(AND(L705&lt;&gt;"",M705&lt;&gt;"",N(M705)-N(L705)&gt;설정!$B$27),AND(L705&lt;&gt;"",M705="",설정!$B$24-N(L705)&gt;설정!$B$27)),AND(D705&lt;&gt;"",D705&lt;설정!$B$26)),"△","★")))</f>
        <v/>
      </c>
      <c r="AB705">
        <f>IF(NOT(T705),"",IF(U705="설계사",설정!$B$31,IF(U705="시공사",IF(OR(M705="",설정!$B$24-N(M705)&lt;=설정!$B$28*30.4),설정!$B$32,설정!$B$33),설정!$B$34))+IF(AA705="★",설정!$B$35,0))</f>
        <v/>
      </c>
      <c r="AC705">
        <f>SUBSTITUTE(SUBSTITUTE(SUBSTITUTE(SUBSTITUTE(H705,"(주)",""),"㈜",""),"주식회사","")," ","")</f>
        <v/>
      </c>
      <c r="AD705">
        <f>IF(AND(T705,AC705&lt;&gt;""),IF(COUNTIFS(AC$2:AC705,AC705,T$2:T705,TRUE)=1,MAX(AD$1:AD704)+1,""),"")</f>
        <v/>
      </c>
    </row>
    <row r="706">
      <c r="A706">
        <f>ROW()</f>
        <v/>
      </c>
      <c r="B706">
        <f>IF(설정!$C$4="","",IFERROR(INDEX('1.산군_붙여넣기'!$A$1:$AZ$1001,ROW(),설정!$C$4)&amp;"",""))</f>
        <v/>
      </c>
      <c r="C706">
        <f>IF(설정!$C$5="","",IFERROR(INDEX('1.산군_붙여넣기'!$A$1:$AZ$1001,ROW(),설정!$C$5)&amp;"",""))</f>
        <v/>
      </c>
      <c r="D706" s="5">
        <f>IFERROR(VALUE(SUBSTITUTE(SUBSTITUTE(SUBSTITUTE(IF(설정!$C$6="","",IFERROR(INDEX('1.산군_붙여넣기'!$A$1:$AZ$1001,ROW(),설정!$C$6)&amp;"","")),",",""),"㎡",""),"m2","")),"")</f>
        <v/>
      </c>
      <c r="E706">
        <f>IF(설정!$C$7="","",IFERROR(INDEX('1.산군_붙여넣기'!$A$1:$AZ$1001,ROW(),설정!$C$7)&amp;"",""))</f>
        <v/>
      </c>
      <c r="F706">
        <f>IF(설정!$C$8="","",IFERROR(INDEX('1.산군_붙여넣기'!$A$1:$AZ$1001,ROW(),설정!$C$8)&amp;"",""))</f>
        <v/>
      </c>
      <c r="G706">
        <f>IF(설정!$C$9="","",IFERROR(INDEX('1.산군_붙여넣기'!$A$1:$AZ$1001,ROW(),설정!$C$9)&amp;"",""))</f>
        <v/>
      </c>
      <c r="H706">
        <f>IF(설정!$C$10="","",IFERROR(INDEX('1.산군_붙여넣기'!$A$1:$AZ$1001,ROW(),설정!$C$10)&amp;"",""))</f>
        <v/>
      </c>
      <c r="I706">
        <f>IF(설정!$C$11="","",IFERROR(INDEX('1.산군_붙여넣기'!$A$1:$AZ$1001,ROW(),설정!$C$11)&amp;"",""))</f>
        <v/>
      </c>
      <c r="J706">
        <f>IF(설정!$C$12="","",IFERROR(INDEX('1.산군_붙여넣기'!$A$1:$AZ$1001,ROW(),설정!$C$12)&amp;"",""))</f>
        <v/>
      </c>
      <c r="K706">
        <f>IF(설정!$C$13="","",IFERROR(INDEX('1.산군_붙여넣기'!$A$1:$AZ$1001,ROW(),설정!$C$13)&amp;"",""))</f>
        <v/>
      </c>
      <c r="L706" s="7">
        <f>IF(X706="","",IF(AND(LEN(X706)=8,ISNUMBER(X706*1)),DATE(LEFT(X706,4),MID(X706,5,2),RIGHT(X706,2)),IFERROR(DATEVALUE(SUBSTITUTE(SUBSTITUTE(X706,".","-"),"/","-")),IFERROR(X706*1,""))))</f>
        <v/>
      </c>
      <c r="M706" s="7">
        <f>IF(Y706="","",IF(AND(LEN(Y706)=8,ISNUMBER(Y706*1)),DATE(LEFT(Y706,4),MID(Y706,5,2),RIGHT(Y706,2)),IFERROR(DATEVALUE(SUBSTITUTE(SUBSTITUTE(Y706,".","-"),"/","-")),IFERROR(Y706*1,""))))</f>
        <v/>
      </c>
      <c r="N706">
        <f>IFERROR(LEFT(B706,FIND(" ",B706)-1),B706)</f>
        <v/>
      </c>
      <c r="O706">
        <f>AND(B706&lt;&gt;"",B706&lt;&gt;설정!$B$4,C706&lt;&gt;설정!$B$5)</f>
        <v/>
      </c>
      <c r="P706">
        <f>IF(O706,B706&amp;"|"&amp;C706,"")</f>
        <v/>
      </c>
      <c r="Q706">
        <f>AND(O706,COUNTIF(P707:P$1002,P706)=0)</f>
        <v/>
      </c>
      <c r="R706">
        <f>OR(AND(설정!$A$42&lt;&gt;"",ISNUMBER(SEARCH(설정!$A$42,E706&amp;" "&amp;C706))),AND(설정!$A$43&lt;&gt;"",ISNUMBER(SEARCH(설정!$A$43,E706&amp;" "&amp;C706))),AND(설정!$A$44&lt;&gt;"",ISNUMBER(SEARCH(설정!$A$44,E706&amp;" "&amp;C706))),AND(설정!$A$45&lt;&gt;"",ISNUMBER(SEARCH(설정!$A$45,E706&amp;" "&amp;C706))),AND(설정!$A$46&lt;&gt;"",ISNUMBER(SEARCH(설정!$A$46,E706&amp;" "&amp;C706))),AND(설정!$A$47&lt;&gt;"",ISNUMBER(SEARCH(설정!$A$47,E706&amp;" "&amp;C706))),AND(설정!$A$48&lt;&gt;"",ISNUMBER(SEARCH(설정!$A$48,E706&amp;" "&amp;C706))),AND(설정!$A$49&lt;&gt;"",ISNUMBER(SEARCH(설정!$A$49,E706&amp;" "&amp;C706))),AND(설정!$A$50&lt;&gt;"",ISNUMBER(SEARCH(설정!$A$50,E706&amp;" "&amp;C706))),AND(설정!$A$51&lt;&gt;"",ISNUMBER(SEARCH(설정!$A$51,E706&amp;" "&amp;C706))))</f>
        <v/>
      </c>
      <c r="S706">
        <f>OR(D706="",D706&gt;=설정!$B$19)</f>
        <v/>
      </c>
      <c r="T706">
        <f>AND(Q706,R706,S706)</f>
        <v/>
      </c>
      <c r="U706">
        <f>IF(T706,IF(AND(설정!$A$54&lt;&gt;"",ISNUMBER(SEARCH(설정!$A$54,K706))),설정!$B$54,IF(AND(설정!$A$55&lt;&gt;"",ISNUMBER(SEARCH(설정!$A$55,K706))),설정!$B$55,IF(AND(설정!$A$56&lt;&gt;"",ISNUMBER(SEARCH(설정!$A$56,K706))),설정!$B$56,IF(AND(설정!$A$57&lt;&gt;"",ISNUMBER(SEARCH(설정!$A$57,K706))),설정!$B$57,IF(AND(설정!$A$58&lt;&gt;"",ISNUMBER(SEARCH(설정!$A$58,K706))),설정!$B$58,IF(AND(설정!$A$59&lt;&gt;"",ISNUMBER(SEARCH(설정!$A$59,K706))),설정!$B$59,IF(AND(설정!$A$60&lt;&gt;"",ISNUMBER(SEARCH(설정!$A$60,K706))),설정!$B$60,IF(AND(설정!$A$61&lt;&gt;"",ISNUMBER(SEARCH(설정!$A$61,K706))),설정!$B$61,IF(M706="","설계사","시공사"))))))))),"")</f>
        <v/>
      </c>
      <c r="V706">
        <f>SUBSTITUTE(SUBSTITUTE(SUBSTITUTE(SUBSTITUTE(G706,"(주)",""),"㈜",""),"주식회사","")," ","")</f>
        <v/>
      </c>
      <c r="W706">
        <f>IF(AND(T706,V706&lt;&gt;""),IF(COUNTIFS(V$2:V706,V706,T$2:T706,TRUE)=1,MAX(W$1:W705)+1,""),"")</f>
        <v/>
      </c>
      <c r="X706">
        <f>IF(설정!$C$14="","",IFERROR(INDEX('1.산군_붙여넣기'!$A$1:$AZ$1001,ROW(),설정!$C$14)&amp;"",""))</f>
        <v/>
      </c>
      <c r="Y706">
        <f>IF(설정!$C$15="","",IFERROR(INDEX('1.산군_붙여넣기'!$A$1:$AZ$1001,ROW(),설정!$C$15)&amp;"",""))</f>
        <v/>
      </c>
      <c r="Z706">
        <f>IF(T706,V706&amp;"|"&amp;U706,"")</f>
        <v/>
      </c>
      <c r="AA706">
        <f>IF(NOT(Q706),"",IF(NOT(AND(R706,S706)),"✕",IF(OR(OR(AND(L706&lt;&gt;"",M706&lt;&gt;"",N(M706)-N(L706)&gt;설정!$B$27),AND(L706&lt;&gt;"",M706="",설정!$B$24-N(L706)&gt;설정!$B$27)),AND(D706&lt;&gt;"",D706&lt;설정!$B$26)),"△","★")))</f>
        <v/>
      </c>
      <c r="AB706">
        <f>IF(NOT(T706),"",IF(U706="설계사",설정!$B$31,IF(U706="시공사",IF(OR(M706="",설정!$B$24-N(M706)&lt;=설정!$B$28*30.4),설정!$B$32,설정!$B$33),설정!$B$34))+IF(AA706="★",설정!$B$35,0))</f>
        <v/>
      </c>
      <c r="AC706">
        <f>SUBSTITUTE(SUBSTITUTE(SUBSTITUTE(SUBSTITUTE(H706,"(주)",""),"㈜",""),"주식회사","")," ","")</f>
        <v/>
      </c>
      <c r="AD706">
        <f>IF(AND(T706,AC706&lt;&gt;""),IF(COUNTIFS(AC$2:AC706,AC706,T$2:T706,TRUE)=1,MAX(AD$1:AD705)+1,""),"")</f>
        <v/>
      </c>
    </row>
    <row r="707">
      <c r="A707">
        <f>ROW()</f>
        <v/>
      </c>
      <c r="B707">
        <f>IF(설정!$C$4="","",IFERROR(INDEX('1.산군_붙여넣기'!$A$1:$AZ$1001,ROW(),설정!$C$4)&amp;"",""))</f>
        <v/>
      </c>
      <c r="C707">
        <f>IF(설정!$C$5="","",IFERROR(INDEX('1.산군_붙여넣기'!$A$1:$AZ$1001,ROW(),설정!$C$5)&amp;"",""))</f>
        <v/>
      </c>
      <c r="D707" s="5">
        <f>IFERROR(VALUE(SUBSTITUTE(SUBSTITUTE(SUBSTITUTE(IF(설정!$C$6="","",IFERROR(INDEX('1.산군_붙여넣기'!$A$1:$AZ$1001,ROW(),설정!$C$6)&amp;"","")),",",""),"㎡",""),"m2","")),"")</f>
        <v/>
      </c>
      <c r="E707">
        <f>IF(설정!$C$7="","",IFERROR(INDEX('1.산군_붙여넣기'!$A$1:$AZ$1001,ROW(),설정!$C$7)&amp;"",""))</f>
        <v/>
      </c>
      <c r="F707">
        <f>IF(설정!$C$8="","",IFERROR(INDEX('1.산군_붙여넣기'!$A$1:$AZ$1001,ROW(),설정!$C$8)&amp;"",""))</f>
        <v/>
      </c>
      <c r="G707">
        <f>IF(설정!$C$9="","",IFERROR(INDEX('1.산군_붙여넣기'!$A$1:$AZ$1001,ROW(),설정!$C$9)&amp;"",""))</f>
        <v/>
      </c>
      <c r="H707">
        <f>IF(설정!$C$10="","",IFERROR(INDEX('1.산군_붙여넣기'!$A$1:$AZ$1001,ROW(),설정!$C$10)&amp;"",""))</f>
        <v/>
      </c>
      <c r="I707">
        <f>IF(설정!$C$11="","",IFERROR(INDEX('1.산군_붙여넣기'!$A$1:$AZ$1001,ROW(),설정!$C$11)&amp;"",""))</f>
        <v/>
      </c>
      <c r="J707">
        <f>IF(설정!$C$12="","",IFERROR(INDEX('1.산군_붙여넣기'!$A$1:$AZ$1001,ROW(),설정!$C$12)&amp;"",""))</f>
        <v/>
      </c>
      <c r="K707">
        <f>IF(설정!$C$13="","",IFERROR(INDEX('1.산군_붙여넣기'!$A$1:$AZ$1001,ROW(),설정!$C$13)&amp;"",""))</f>
        <v/>
      </c>
      <c r="L707" s="7">
        <f>IF(X707="","",IF(AND(LEN(X707)=8,ISNUMBER(X707*1)),DATE(LEFT(X707,4),MID(X707,5,2),RIGHT(X707,2)),IFERROR(DATEVALUE(SUBSTITUTE(SUBSTITUTE(X707,".","-"),"/","-")),IFERROR(X707*1,""))))</f>
        <v/>
      </c>
      <c r="M707" s="7">
        <f>IF(Y707="","",IF(AND(LEN(Y707)=8,ISNUMBER(Y707*1)),DATE(LEFT(Y707,4),MID(Y707,5,2),RIGHT(Y707,2)),IFERROR(DATEVALUE(SUBSTITUTE(SUBSTITUTE(Y707,".","-"),"/","-")),IFERROR(Y707*1,""))))</f>
        <v/>
      </c>
      <c r="N707">
        <f>IFERROR(LEFT(B707,FIND(" ",B707)-1),B707)</f>
        <v/>
      </c>
      <c r="O707">
        <f>AND(B707&lt;&gt;"",B707&lt;&gt;설정!$B$4,C707&lt;&gt;설정!$B$5)</f>
        <v/>
      </c>
      <c r="P707">
        <f>IF(O707,B707&amp;"|"&amp;C707,"")</f>
        <v/>
      </c>
      <c r="Q707">
        <f>AND(O707,COUNTIF(P708:P$1002,P707)=0)</f>
        <v/>
      </c>
      <c r="R707">
        <f>OR(AND(설정!$A$42&lt;&gt;"",ISNUMBER(SEARCH(설정!$A$42,E707&amp;" "&amp;C707))),AND(설정!$A$43&lt;&gt;"",ISNUMBER(SEARCH(설정!$A$43,E707&amp;" "&amp;C707))),AND(설정!$A$44&lt;&gt;"",ISNUMBER(SEARCH(설정!$A$44,E707&amp;" "&amp;C707))),AND(설정!$A$45&lt;&gt;"",ISNUMBER(SEARCH(설정!$A$45,E707&amp;" "&amp;C707))),AND(설정!$A$46&lt;&gt;"",ISNUMBER(SEARCH(설정!$A$46,E707&amp;" "&amp;C707))),AND(설정!$A$47&lt;&gt;"",ISNUMBER(SEARCH(설정!$A$47,E707&amp;" "&amp;C707))),AND(설정!$A$48&lt;&gt;"",ISNUMBER(SEARCH(설정!$A$48,E707&amp;" "&amp;C707))),AND(설정!$A$49&lt;&gt;"",ISNUMBER(SEARCH(설정!$A$49,E707&amp;" "&amp;C707))),AND(설정!$A$50&lt;&gt;"",ISNUMBER(SEARCH(설정!$A$50,E707&amp;" "&amp;C707))),AND(설정!$A$51&lt;&gt;"",ISNUMBER(SEARCH(설정!$A$51,E707&amp;" "&amp;C707))))</f>
        <v/>
      </c>
      <c r="S707">
        <f>OR(D707="",D707&gt;=설정!$B$19)</f>
        <v/>
      </c>
      <c r="T707">
        <f>AND(Q707,R707,S707)</f>
        <v/>
      </c>
      <c r="U707">
        <f>IF(T707,IF(AND(설정!$A$54&lt;&gt;"",ISNUMBER(SEARCH(설정!$A$54,K707))),설정!$B$54,IF(AND(설정!$A$55&lt;&gt;"",ISNUMBER(SEARCH(설정!$A$55,K707))),설정!$B$55,IF(AND(설정!$A$56&lt;&gt;"",ISNUMBER(SEARCH(설정!$A$56,K707))),설정!$B$56,IF(AND(설정!$A$57&lt;&gt;"",ISNUMBER(SEARCH(설정!$A$57,K707))),설정!$B$57,IF(AND(설정!$A$58&lt;&gt;"",ISNUMBER(SEARCH(설정!$A$58,K707))),설정!$B$58,IF(AND(설정!$A$59&lt;&gt;"",ISNUMBER(SEARCH(설정!$A$59,K707))),설정!$B$59,IF(AND(설정!$A$60&lt;&gt;"",ISNUMBER(SEARCH(설정!$A$60,K707))),설정!$B$60,IF(AND(설정!$A$61&lt;&gt;"",ISNUMBER(SEARCH(설정!$A$61,K707))),설정!$B$61,IF(M707="","설계사","시공사"))))))))),"")</f>
        <v/>
      </c>
      <c r="V707">
        <f>SUBSTITUTE(SUBSTITUTE(SUBSTITUTE(SUBSTITUTE(G707,"(주)",""),"㈜",""),"주식회사","")," ","")</f>
        <v/>
      </c>
      <c r="W707">
        <f>IF(AND(T707,V707&lt;&gt;""),IF(COUNTIFS(V$2:V707,V707,T$2:T707,TRUE)=1,MAX(W$1:W706)+1,""),"")</f>
        <v/>
      </c>
      <c r="X707">
        <f>IF(설정!$C$14="","",IFERROR(INDEX('1.산군_붙여넣기'!$A$1:$AZ$1001,ROW(),설정!$C$14)&amp;"",""))</f>
        <v/>
      </c>
      <c r="Y707">
        <f>IF(설정!$C$15="","",IFERROR(INDEX('1.산군_붙여넣기'!$A$1:$AZ$1001,ROW(),설정!$C$15)&amp;"",""))</f>
        <v/>
      </c>
      <c r="Z707">
        <f>IF(T707,V707&amp;"|"&amp;U707,"")</f>
        <v/>
      </c>
      <c r="AA707">
        <f>IF(NOT(Q707),"",IF(NOT(AND(R707,S707)),"✕",IF(OR(OR(AND(L707&lt;&gt;"",M707&lt;&gt;"",N(M707)-N(L707)&gt;설정!$B$27),AND(L707&lt;&gt;"",M707="",설정!$B$24-N(L707)&gt;설정!$B$27)),AND(D707&lt;&gt;"",D707&lt;설정!$B$26)),"△","★")))</f>
        <v/>
      </c>
      <c r="AB707">
        <f>IF(NOT(T707),"",IF(U707="설계사",설정!$B$31,IF(U707="시공사",IF(OR(M707="",설정!$B$24-N(M707)&lt;=설정!$B$28*30.4),설정!$B$32,설정!$B$33),설정!$B$34))+IF(AA707="★",설정!$B$35,0))</f>
        <v/>
      </c>
      <c r="AC707">
        <f>SUBSTITUTE(SUBSTITUTE(SUBSTITUTE(SUBSTITUTE(H707,"(주)",""),"㈜",""),"주식회사","")," ","")</f>
        <v/>
      </c>
      <c r="AD707">
        <f>IF(AND(T707,AC707&lt;&gt;""),IF(COUNTIFS(AC$2:AC707,AC707,T$2:T707,TRUE)=1,MAX(AD$1:AD706)+1,""),"")</f>
        <v/>
      </c>
    </row>
    <row r="708">
      <c r="A708">
        <f>ROW()</f>
        <v/>
      </c>
      <c r="B708">
        <f>IF(설정!$C$4="","",IFERROR(INDEX('1.산군_붙여넣기'!$A$1:$AZ$1001,ROW(),설정!$C$4)&amp;"",""))</f>
        <v/>
      </c>
      <c r="C708">
        <f>IF(설정!$C$5="","",IFERROR(INDEX('1.산군_붙여넣기'!$A$1:$AZ$1001,ROW(),설정!$C$5)&amp;"",""))</f>
        <v/>
      </c>
      <c r="D708" s="5">
        <f>IFERROR(VALUE(SUBSTITUTE(SUBSTITUTE(SUBSTITUTE(IF(설정!$C$6="","",IFERROR(INDEX('1.산군_붙여넣기'!$A$1:$AZ$1001,ROW(),설정!$C$6)&amp;"","")),",",""),"㎡",""),"m2","")),"")</f>
        <v/>
      </c>
      <c r="E708">
        <f>IF(설정!$C$7="","",IFERROR(INDEX('1.산군_붙여넣기'!$A$1:$AZ$1001,ROW(),설정!$C$7)&amp;"",""))</f>
        <v/>
      </c>
      <c r="F708">
        <f>IF(설정!$C$8="","",IFERROR(INDEX('1.산군_붙여넣기'!$A$1:$AZ$1001,ROW(),설정!$C$8)&amp;"",""))</f>
        <v/>
      </c>
      <c r="G708">
        <f>IF(설정!$C$9="","",IFERROR(INDEX('1.산군_붙여넣기'!$A$1:$AZ$1001,ROW(),설정!$C$9)&amp;"",""))</f>
        <v/>
      </c>
      <c r="H708">
        <f>IF(설정!$C$10="","",IFERROR(INDEX('1.산군_붙여넣기'!$A$1:$AZ$1001,ROW(),설정!$C$10)&amp;"",""))</f>
        <v/>
      </c>
      <c r="I708">
        <f>IF(설정!$C$11="","",IFERROR(INDEX('1.산군_붙여넣기'!$A$1:$AZ$1001,ROW(),설정!$C$11)&amp;"",""))</f>
        <v/>
      </c>
      <c r="J708">
        <f>IF(설정!$C$12="","",IFERROR(INDEX('1.산군_붙여넣기'!$A$1:$AZ$1001,ROW(),설정!$C$12)&amp;"",""))</f>
        <v/>
      </c>
      <c r="K708">
        <f>IF(설정!$C$13="","",IFERROR(INDEX('1.산군_붙여넣기'!$A$1:$AZ$1001,ROW(),설정!$C$13)&amp;"",""))</f>
        <v/>
      </c>
      <c r="L708" s="7">
        <f>IF(X708="","",IF(AND(LEN(X708)=8,ISNUMBER(X708*1)),DATE(LEFT(X708,4),MID(X708,5,2),RIGHT(X708,2)),IFERROR(DATEVALUE(SUBSTITUTE(SUBSTITUTE(X708,".","-"),"/","-")),IFERROR(X708*1,""))))</f>
        <v/>
      </c>
      <c r="M708" s="7">
        <f>IF(Y708="","",IF(AND(LEN(Y708)=8,ISNUMBER(Y708*1)),DATE(LEFT(Y708,4),MID(Y708,5,2),RIGHT(Y708,2)),IFERROR(DATEVALUE(SUBSTITUTE(SUBSTITUTE(Y708,".","-"),"/","-")),IFERROR(Y708*1,""))))</f>
        <v/>
      </c>
      <c r="N708">
        <f>IFERROR(LEFT(B708,FIND(" ",B708)-1),B708)</f>
        <v/>
      </c>
      <c r="O708">
        <f>AND(B708&lt;&gt;"",B708&lt;&gt;설정!$B$4,C708&lt;&gt;설정!$B$5)</f>
        <v/>
      </c>
      <c r="P708">
        <f>IF(O708,B708&amp;"|"&amp;C708,"")</f>
        <v/>
      </c>
      <c r="Q708">
        <f>AND(O708,COUNTIF(P709:P$1002,P708)=0)</f>
        <v/>
      </c>
      <c r="R708">
        <f>OR(AND(설정!$A$42&lt;&gt;"",ISNUMBER(SEARCH(설정!$A$42,E708&amp;" "&amp;C708))),AND(설정!$A$43&lt;&gt;"",ISNUMBER(SEARCH(설정!$A$43,E708&amp;" "&amp;C708))),AND(설정!$A$44&lt;&gt;"",ISNUMBER(SEARCH(설정!$A$44,E708&amp;" "&amp;C708))),AND(설정!$A$45&lt;&gt;"",ISNUMBER(SEARCH(설정!$A$45,E708&amp;" "&amp;C708))),AND(설정!$A$46&lt;&gt;"",ISNUMBER(SEARCH(설정!$A$46,E708&amp;" "&amp;C708))),AND(설정!$A$47&lt;&gt;"",ISNUMBER(SEARCH(설정!$A$47,E708&amp;" "&amp;C708))),AND(설정!$A$48&lt;&gt;"",ISNUMBER(SEARCH(설정!$A$48,E708&amp;" "&amp;C708))),AND(설정!$A$49&lt;&gt;"",ISNUMBER(SEARCH(설정!$A$49,E708&amp;" "&amp;C708))),AND(설정!$A$50&lt;&gt;"",ISNUMBER(SEARCH(설정!$A$50,E708&amp;" "&amp;C708))),AND(설정!$A$51&lt;&gt;"",ISNUMBER(SEARCH(설정!$A$51,E708&amp;" "&amp;C708))))</f>
        <v/>
      </c>
      <c r="S708">
        <f>OR(D708="",D708&gt;=설정!$B$19)</f>
        <v/>
      </c>
      <c r="T708">
        <f>AND(Q708,R708,S708)</f>
        <v/>
      </c>
      <c r="U708">
        <f>IF(T708,IF(AND(설정!$A$54&lt;&gt;"",ISNUMBER(SEARCH(설정!$A$54,K708))),설정!$B$54,IF(AND(설정!$A$55&lt;&gt;"",ISNUMBER(SEARCH(설정!$A$55,K708))),설정!$B$55,IF(AND(설정!$A$56&lt;&gt;"",ISNUMBER(SEARCH(설정!$A$56,K708))),설정!$B$56,IF(AND(설정!$A$57&lt;&gt;"",ISNUMBER(SEARCH(설정!$A$57,K708))),설정!$B$57,IF(AND(설정!$A$58&lt;&gt;"",ISNUMBER(SEARCH(설정!$A$58,K708))),설정!$B$58,IF(AND(설정!$A$59&lt;&gt;"",ISNUMBER(SEARCH(설정!$A$59,K708))),설정!$B$59,IF(AND(설정!$A$60&lt;&gt;"",ISNUMBER(SEARCH(설정!$A$60,K708))),설정!$B$60,IF(AND(설정!$A$61&lt;&gt;"",ISNUMBER(SEARCH(설정!$A$61,K708))),설정!$B$61,IF(M708="","설계사","시공사"))))))))),"")</f>
        <v/>
      </c>
      <c r="V708">
        <f>SUBSTITUTE(SUBSTITUTE(SUBSTITUTE(SUBSTITUTE(G708,"(주)",""),"㈜",""),"주식회사","")," ","")</f>
        <v/>
      </c>
      <c r="W708">
        <f>IF(AND(T708,V708&lt;&gt;""),IF(COUNTIFS(V$2:V708,V708,T$2:T708,TRUE)=1,MAX(W$1:W707)+1,""),"")</f>
        <v/>
      </c>
      <c r="X708">
        <f>IF(설정!$C$14="","",IFERROR(INDEX('1.산군_붙여넣기'!$A$1:$AZ$1001,ROW(),설정!$C$14)&amp;"",""))</f>
        <v/>
      </c>
      <c r="Y708">
        <f>IF(설정!$C$15="","",IFERROR(INDEX('1.산군_붙여넣기'!$A$1:$AZ$1001,ROW(),설정!$C$15)&amp;"",""))</f>
        <v/>
      </c>
      <c r="Z708">
        <f>IF(T708,V708&amp;"|"&amp;U708,"")</f>
        <v/>
      </c>
      <c r="AA708">
        <f>IF(NOT(Q708),"",IF(NOT(AND(R708,S708)),"✕",IF(OR(OR(AND(L708&lt;&gt;"",M708&lt;&gt;"",N(M708)-N(L708)&gt;설정!$B$27),AND(L708&lt;&gt;"",M708="",설정!$B$24-N(L708)&gt;설정!$B$27)),AND(D708&lt;&gt;"",D708&lt;설정!$B$26)),"△","★")))</f>
        <v/>
      </c>
      <c r="AB708">
        <f>IF(NOT(T708),"",IF(U708="설계사",설정!$B$31,IF(U708="시공사",IF(OR(M708="",설정!$B$24-N(M708)&lt;=설정!$B$28*30.4),설정!$B$32,설정!$B$33),설정!$B$34))+IF(AA708="★",설정!$B$35,0))</f>
        <v/>
      </c>
      <c r="AC708">
        <f>SUBSTITUTE(SUBSTITUTE(SUBSTITUTE(SUBSTITUTE(H708,"(주)",""),"㈜",""),"주식회사","")," ","")</f>
        <v/>
      </c>
      <c r="AD708">
        <f>IF(AND(T708,AC708&lt;&gt;""),IF(COUNTIFS(AC$2:AC708,AC708,T$2:T708,TRUE)=1,MAX(AD$1:AD707)+1,""),"")</f>
        <v/>
      </c>
    </row>
    <row r="709">
      <c r="A709">
        <f>ROW()</f>
        <v/>
      </c>
      <c r="B709">
        <f>IF(설정!$C$4="","",IFERROR(INDEX('1.산군_붙여넣기'!$A$1:$AZ$1001,ROW(),설정!$C$4)&amp;"",""))</f>
        <v/>
      </c>
      <c r="C709">
        <f>IF(설정!$C$5="","",IFERROR(INDEX('1.산군_붙여넣기'!$A$1:$AZ$1001,ROW(),설정!$C$5)&amp;"",""))</f>
        <v/>
      </c>
      <c r="D709" s="5">
        <f>IFERROR(VALUE(SUBSTITUTE(SUBSTITUTE(SUBSTITUTE(IF(설정!$C$6="","",IFERROR(INDEX('1.산군_붙여넣기'!$A$1:$AZ$1001,ROW(),설정!$C$6)&amp;"","")),",",""),"㎡",""),"m2","")),"")</f>
        <v/>
      </c>
      <c r="E709">
        <f>IF(설정!$C$7="","",IFERROR(INDEX('1.산군_붙여넣기'!$A$1:$AZ$1001,ROW(),설정!$C$7)&amp;"",""))</f>
        <v/>
      </c>
      <c r="F709">
        <f>IF(설정!$C$8="","",IFERROR(INDEX('1.산군_붙여넣기'!$A$1:$AZ$1001,ROW(),설정!$C$8)&amp;"",""))</f>
        <v/>
      </c>
      <c r="G709">
        <f>IF(설정!$C$9="","",IFERROR(INDEX('1.산군_붙여넣기'!$A$1:$AZ$1001,ROW(),설정!$C$9)&amp;"",""))</f>
        <v/>
      </c>
      <c r="H709">
        <f>IF(설정!$C$10="","",IFERROR(INDEX('1.산군_붙여넣기'!$A$1:$AZ$1001,ROW(),설정!$C$10)&amp;"",""))</f>
        <v/>
      </c>
      <c r="I709">
        <f>IF(설정!$C$11="","",IFERROR(INDEX('1.산군_붙여넣기'!$A$1:$AZ$1001,ROW(),설정!$C$11)&amp;"",""))</f>
        <v/>
      </c>
      <c r="J709">
        <f>IF(설정!$C$12="","",IFERROR(INDEX('1.산군_붙여넣기'!$A$1:$AZ$1001,ROW(),설정!$C$12)&amp;"",""))</f>
        <v/>
      </c>
      <c r="K709">
        <f>IF(설정!$C$13="","",IFERROR(INDEX('1.산군_붙여넣기'!$A$1:$AZ$1001,ROW(),설정!$C$13)&amp;"",""))</f>
        <v/>
      </c>
      <c r="L709" s="7">
        <f>IF(X709="","",IF(AND(LEN(X709)=8,ISNUMBER(X709*1)),DATE(LEFT(X709,4),MID(X709,5,2),RIGHT(X709,2)),IFERROR(DATEVALUE(SUBSTITUTE(SUBSTITUTE(X709,".","-"),"/","-")),IFERROR(X709*1,""))))</f>
        <v/>
      </c>
      <c r="M709" s="7">
        <f>IF(Y709="","",IF(AND(LEN(Y709)=8,ISNUMBER(Y709*1)),DATE(LEFT(Y709,4),MID(Y709,5,2),RIGHT(Y709,2)),IFERROR(DATEVALUE(SUBSTITUTE(SUBSTITUTE(Y709,".","-"),"/","-")),IFERROR(Y709*1,""))))</f>
        <v/>
      </c>
      <c r="N709">
        <f>IFERROR(LEFT(B709,FIND(" ",B709)-1),B709)</f>
        <v/>
      </c>
      <c r="O709">
        <f>AND(B709&lt;&gt;"",B709&lt;&gt;설정!$B$4,C709&lt;&gt;설정!$B$5)</f>
        <v/>
      </c>
      <c r="P709">
        <f>IF(O709,B709&amp;"|"&amp;C709,"")</f>
        <v/>
      </c>
      <c r="Q709">
        <f>AND(O709,COUNTIF(P710:P$1002,P709)=0)</f>
        <v/>
      </c>
      <c r="R709">
        <f>OR(AND(설정!$A$42&lt;&gt;"",ISNUMBER(SEARCH(설정!$A$42,E709&amp;" "&amp;C709))),AND(설정!$A$43&lt;&gt;"",ISNUMBER(SEARCH(설정!$A$43,E709&amp;" "&amp;C709))),AND(설정!$A$44&lt;&gt;"",ISNUMBER(SEARCH(설정!$A$44,E709&amp;" "&amp;C709))),AND(설정!$A$45&lt;&gt;"",ISNUMBER(SEARCH(설정!$A$45,E709&amp;" "&amp;C709))),AND(설정!$A$46&lt;&gt;"",ISNUMBER(SEARCH(설정!$A$46,E709&amp;" "&amp;C709))),AND(설정!$A$47&lt;&gt;"",ISNUMBER(SEARCH(설정!$A$47,E709&amp;" "&amp;C709))),AND(설정!$A$48&lt;&gt;"",ISNUMBER(SEARCH(설정!$A$48,E709&amp;" "&amp;C709))),AND(설정!$A$49&lt;&gt;"",ISNUMBER(SEARCH(설정!$A$49,E709&amp;" "&amp;C709))),AND(설정!$A$50&lt;&gt;"",ISNUMBER(SEARCH(설정!$A$50,E709&amp;" "&amp;C709))),AND(설정!$A$51&lt;&gt;"",ISNUMBER(SEARCH(설정!$A$51,E709&amp;" "&amp;C709))))</f>
        <v/>
      </c>
      <c r="S709">
        <f>OR(D709="",D709&gt;=설정!$B$19)</f>
        <v/>
      </c>
      <c r="T709">
        <f>AND(Q709,R709,S709)</f>
        <v/>
      </c>
      <c r="U709">
        <f>IF(T709,IF(AND(설정!$A$54&lt;&gt;"",ISNUMBER(SEARCH(설정!$A$54,K709))),설정!$B$54,IF(AND(설정!$A$55&lt;&gt;"",ISNUMBER(SEARCH(설정!$A$55,K709))),설정!$B$55,IF(AND(설정!$A$56&lt;&gt;"",ISNUMBER(SEARCH(설정!$A$56,K709))),설정!$B$56,IF(AND(설정!$A$57&lt;&gt;"",ISNUMBER(SEARCH(설정!$A$57,K709))),설정!$B$57,IF(AND(설정!$A$58&lt;&gt;"",ISNUMBER(SEARCH(설정!$A$58,K709))),설정!$B$58,IF(AND(설정!$A$59&lt;&gt;"",ISNUMBER(SEARCH(설정!$A$59,K709))),설정!$B$59,IF(AND(설정!$A$60&lt;&gt;"",ISNUMBER(SEARCH(설정!$A$60,K709))),설정!$B$60,IF(AND(설정!$A$61&lt;&gt;"",ISNUMBER(SEARCH(설정!$A$61,K709))),설정!$B$61,IF(M709="","설계사","시공사"))))))))),"")</f>
        <v/>
      </c>
      <c r="V709">
        <f>SUBSTITUTE(SUBSTITUTE(SUBSTITUTE(SUBSTITUTE(G709,"(주)",""),"㈜",""),"주식회사","")," ","")</f>
        <v/>
      </c>
      <c r="W709">
        <f>IF(AND(T709,V709&lt;&gt;""),IF(COUNTIFS(V$2:V709,V709,T$2:T709,TRUE)=1,MAX(W$1:W708)+1,""),"")</f>
        <v/>
      </c>
      <c r="X709">
        <f>IF(설정!$C$14="","",IFERROR(INDEX('1.산군_붙여넣기'!$A$1:$AZ$1001,ROW(),설정!$C$14)&amp;"",""))</f>
        <v/>
      </c>
      <c r="Y709">
        <f>IF(설정!$C$15="","",IFERROR(INDEX('1.산군_붙여넣기'!$A$1:$AZ$1001,ROW(),설정!$C$15)&amp;"",""))</f>
        <v/>
      </c>
      <c r="Z709">
        <f>IF(T709,V709&amp;"|"&amp;U709,"")</f>
        <v/>
      </c>
      <c r="AA709">
        <f>IF(NOT(Q709),"",IF(NOT(AND(R709,S709)),"✕",IF(OR(OR(AND(L709&lt;&gt;"",M709&lt;&gt;"",N(M709)-N(L709)&gt;설정!$B$27),AND(L709&lt;&gt;"",M709="",설정!$B$24-N(L709)&gt;설정!$B$27)),AND(D709&lt;&gt;"",D709&lt;설정!$B$26)),"△","★")))</f>
        <v/>
      </c>
      <c r="AB709">
        <f>IF(NOT(T709),"",IF(U709="설계사",설정!$B$31,IF(U709="시공사",IF(OR(M709="",설정!$B$24-N(M709)&lt;=설정!$B$28*30.4),설정!$B$32,설정!$B$33),설정!$B$34))+IF(AA709="★",설정!$B$35,0))</f>
        <v/>
      </c>
      <c r="AC709">
        <f>SUBSTITUTE(SUBSTITUTE(SUBSTITUTE(SUBSTITUTE(H709,"(주)",""),"㈜",""),"주식회사","")," ","")</f>
        <v/>
      </c>
      <c r="AD709">
        <f>IF(AND(T709,AC709&lt;&gt;""),IF(COUNTIFS(AC$2:AC709,AC709,T$2:T709,TRUE)=1,MAX(AD$1:AD708)+1,""),"")</f>
        <v/>
      </c>
    </row>
    <row r="710">
      <c r="A710">
        <f>ROW()</f>
        <v/>
      </c>
      <c r="B710">
        <f>IF(설정!$C$4="","",IFERROR(INDEX('1.산군_붙여넣기'!$A$1:$AZ$1001,ROW(),설정!$C$4)&amp;"",""))</f>
        <v/>
      </c>
      <c r="C710">
        <f>IF(설정!$C$5="","",IFERROR(INDEX('1.산군_붙여넣기'!$A$1:$AZ$1001,ROW(),설정!$C$5)&amp;"",""))</f>
        <v/>
      </c>
      <c r="D710" s="5">
        <f>IFERROR(VALUE(SUBSTITUTE(SUBSTITUTE(SUBSTITUTE(IF(설정!$C$6="","",IFERROR(INDEX('1.산군_붙여넣기'!$A$1:$AZ$1001,ROW(),설정!$C$6)&amp;"","")),",",""),"㎡",""),"m2","")),"")</f>
        <v/>
      </c>
      <c r="E710">
        <f>IF(설정!$C$7="","",IFERROR(INDEX('1.산군_붙여넣기'!$A$1:$AZ$1001,ROW(),설정!$C$7)&amp;"",""))</f>
        <v/>
      </c>
      <c r="F710">
        <f>IF(설정!$C$8="","",IFERROR(INDEX('1.산군_붙여넣기'!$A$1:$AZ$1001,ROW(),설정!$C$8)&amp;"",""))</f>
        <v/>
      </c>
      <c r="G710">
        <f>IF(설정!$C$9="","",IFERROR(INDEX('1.산군_붙여넣기'!$A$1:$AZ$1001,ROW(),설정!$C$9)&amp;"",""))</f>
        <v/>
      </c>
      <c r="H710">
        <f>IF(설정!$C$10="","",IFERROR(INDEX('1.산군_붙여넣기'!$A$1:$AZ$1001,ROW(),설정!$C$10)&amp;"",""))</f>
        <v/>
      </c>
      <c r="I710">
        <f>IF(설정!$C$11="","",IFERROR(INDEX('1.산군_붙여넣기'!$A$1:$AZ$1001,ROW(),설정!$C$11)&amp;"",""))</f>
        <v/>
      </c>
      <c r="J710">
        <f>IF(설정!$C$12="","",IFERROR(INDEX('1.산군_붙여넣기'!$A$1:$AZ$1001,ROW(),설정!$C$12)&amp;"",""))</f>
        <v/>
      </c>
      <c r="K710">
        <f>IF(설정!$C$13="","",IFERROR(INDEX('1.산군_붙여넣기'!$A$1:$AZ$1001,ROW(),설정!$C$13)&amp;"",""))</f>
        <v/>
      </c>
      <c r="L710" s="7">
        <f>IF(X710="","",IF(AND(LEN(X710)=8,ISNUMBER(X710*1)),DATE(LEFT(X710,4),MID(X710,5,2),RIGHT(X710,2)),IFERROR(DATEVALUE(SUBSTITUTE(SUBSTITUTE(X710,".","-"),"/","-")),IFERROR(X710*1,""))))</f>
        <v/>
      </c>
      <c r="M710" s="7">
        <f>IF(Y710="","",IF(AND(LEN(Y710)=8,ISNUMBER(Y710*1)),DATE(LEFT(Y710,4),MID(Y710,5,2),RIGHT(Y710,2)),IFERROR(DATEVALUE(SUBSTITUTE(SUBSTITUTE(Y710,".","-"),"/","-")),IFERROR(Y710*1,""))))</f>
        <v/>
      </c>
      <c r="N710">
        <f>IFERROR(LEFT(B710,FIND(" ",B710)-1),B710)</f>
        <v/>
      </c>
      <c r="O710">
        <f>AND(B710&lt;&gt;"",B710&lt;&gt;설정!$B$4,C710&lt;&gt;설정!$B$5)</f>
        <v/>
      </c>
      <c r="P710">
        <f>IF(O710,B710&amp;"|"&amp;C710,"")</f>
        <v/>
      </c>
      <c r="Q710">
        <f>AND(O710,COUNTIF(P711:P$1002,P710)=0)</f>
        <v/>
      </c>
      <c r="R710">
        <f>OR(AND(설정!$A$42&lt;&gt;"",ISNUMBER(SEARCH(설정!$A$42,E710&amp;" "&amp;C710))),AND(설정!$A$43&lt;&gt;"",ISNUMBER(SEARCH(설정!$A$43,E710&amp;" "&amp;C710))),AND(설정!$A$44&lt;&gt;"",ISNUMBER(SEARCH(설정!$A$44,E710&amp;" "&amp;C710))),AND(설정!$A$45&lt;&gt;"",ISNUMBER(SEARCH(설정!$A$45,E710&amp;" "&amp;C710))),AND(설정!$A$46&lt;&gt;"",ISNUMBER(SEARCH(설정!$A$46,E710&amp;" "&amp;C710))),AND(설정!$A$47&lt;&gt;"",ISNUMBER(SEARCH(설정!$A$47,E710&amp;" "&amp;C710))),AND(설정!$A$48&lt;&gt;"",ISNUMBER(SEARCH(설정!$A$48,E710&amp;" "&amp;C710))),AND(설정!$A$49&lt;&gt;"",ISNUMBER(SEARCH(설정!$A$49,E710&amp;" "&amp;C710))),AND(설정!$A$50&lt;&gt;"",ISNUMBER(SEARCH(설정!$A$50,E710&amp;" "&amp;C710))),AND(설정!$A$51&lt;&gt;"",ISNUMBER(SEARCH(설정!$A$51,E710&amp;" "&amp;C710))))</f>
        <v/>
      </c>
      <c r="S710">
        <f>OR(D710="",D710&gt;=설정!$B$19)</f>
        <v/>
      </c>
      <c r="T710">
        <f>AND(Q710,R710,S710)</f>
        <v/>
      </c>
      <c r="U710">
        <f>IF(T710,IF(AND(설정!$A$54&lt;&gt;"",ISNUMBER(SEARCH(설정!$A$54,K710))),설정!$B$54,IF(AND(설정!$A$55&lt;&gt;"",ISNUMBER(SEARCH(설정!$A$55,K710))),설정!$B$55,IF(AND(설정!$A$56&lt;&gt;"",ISNUMBER(SEARCH(설정!$A$56,K710))),설정!$B$56,IF(AND(설정!$A$57&lt;&gt;"",ISNUMBER(SEARCH(설정!$A$57,K710))),설정!$B$57,IF(AND(설정!$A$58&lt;&gt;"",ISNUMBER(SEARCH(설정!$A$58,K710))),설정!$B$58,IF(AND(설정!$A$59&lt;&gt;"",ISNUMBER(SEARCH(설정!$A$59,K710))),설정!$B$59,IF(AND(설정!$A$60&lt;&gt;"",ISNUMBER(SEARCH(설정!$A$60,K710))),설정!$B$60,IF(AND(설정!$A$61&lt;&gt;"",ISNUMBER(SEARCH(설정!$A$61,K710))),설정!$B$61,IF(M710="","설계사","시공사"))))))))),"")</f>
        <v/>
      </c>
      <c r="V710">
        <f>SUBSTITUTE(SUBSTITUTE(SUBSTITUTE(SUBSTITUTE(G710,"(주)",""),"㈜",""),"주식회사","")," ","")</f>
        <v/>
      </c>
      <c r="W710">
        <f>IF(AND(T710,V710&lt;&gt;""),IF(COUNTIFS(V$2:V710,V710,T$2:T710,TRUE)=1,MAX(W$1:W709)+1,""),"")</f>
        <v/>
      </c>
      <c r="X710">
        <f>IF(설정!$C$14="","",IFERROR(INDEX('1.산군_붙여넣기'!$A$1:$AZ$1001,ROW(),설정!$C$14)&amp;"",""))</f>
        <v/>
      </c>
      <c r="Y710">
        <f>IF(설정!$C$15="","",IFERROR(INDEX('1.산군_붙여넣기'!$A$1:$AZ$1001,ROW(),설정!$C$15)&amp;"",""))</f>
        <v/>
      </c>
      <c r="Z710">
        <f>IF(T710,V710&amp;"|"&amp;U710,"")</f>
        <v/>
      </c>
      <c r="AA710">
        <f>IF(NOT(Q710),"",IF(NOT(AND(R710,S710)),"✕",IF(OR(OR(AND(L710&lt;&gt;"",M710&lt;&gt;"",N(M710)-N(L710)&gt;설정!$B$27),AND(L710&lt;&gt;"",M710="",설정!$B$24-N(L710)&gt;설정!$B$27)),AND(D710&lt;&gt;"",D710&lt;설정!$B$26)),"△","★")))</f>
        <v/>
      </c>
      <c r="AB710">
        <f>IF(NOT(T710),"",IF(U710="설계사",설정!$B$31,IF(U710="시공사",IF(OR(M710="",설정!$B$24-N(M710)&lt;=설정!$B$28*30.4),설정!$B$32,설정!$B$33),설정!$B$34))+IF(AA710="★",설정!$B$35,0))</f>
        <v/>
      </c>
      <c r="AC710">
        <f>SUBSTITUTE(SUBSTITUTE(SUBSTITUTE(SUBSTITUTE(H710,"(주)",""),"㈜",""),"주식회사","")," ","")</f>
        <v/>
      </c>
      <c r="AD710">
        <f>IF(AND(T710,AC710&lt;&gt;""),IF(COUNTIFS(AC$2:AC710,AC710,T$2:T710,TRUE)=1,MAX(AD$1:AD709)+1,""),"")</f>
        <v/>
      </c>
    </row>
    <row r="711">
      <c r="A711">
        <f>ROW()</f>
        <v/>
      </c>
      <c r="B711">
        <f>IF(설정!$C$4="","",IFERROR(INDEX('1.산군_붙여넣기'!$A$1:$AZ$1001,ROW(),설정!$C$4)&amp;"",""))</f>
        <v/>
      </c>
      <c r="C711">
        <f>IF(설정!$C$5="","",IFERROR(INDEX('1.산군_붙여넣기'!$A$1:$AZ$1001,ROW(),설정!$C$5)&amp;"",""))</f>
        <v/>
      </c>
      <c r="D711" s="5">
        <f>IFERROR(VALUE(SUBSTITUTE(SUBSTITUTE(SUBSTITUTE(IF(설정!$C$6="","",IFERROR(INDEX('1.산군_붙여넣기'!$A$1:$AZ$1001,ROW(),설정!$C$6)&amp;"","")),",",""),"㎡",""),"m2","")),"")</f>
        <v/>
      </c>
      <c r="E711">
        <f>IF(설정!$C$7="","",IFERROR(INDEX('1.산군_붙여넣기'!$A$1:$AZ$1001,ROW(),설정!$C$7)&amp;"",""))</f>
        <v/>
      </c>
      <c r="F711">
        <f>IF(설정!$C$8="","",IFERROR(INDEX('1.산군_붙여넣기'!$A$1:$AZ$1001,ROW(),설정!$C$8)&amp;"",""))</f>
        <v/>
      </c>
      <c r="G711">
        <f>IF(설정!$C$9="","",IFERROR(INDEX('1.산군_붙여넣기'!$A$1:$AZ$1001,ROW(),설정!$C$9)&amp;"",""))</f>
        <v/>
      </c>
      <c r="H711">
        <f>IF(설정!$C$10="","",IFERROR(INDEX('1.산군_붙여넣기'!$A$1:$AZ$1001,ROW(),설정!$C$10)&amp;"",""))</f>
        <v/>
      </c>
      <c r="I711">
        <f>IF(설정!$C$11="","",IFERROR(INDEX('1.산군_붙여넣기'!$A$1:$AZ$1001,ROW(),설정!$C$11)&amp;"",""))</f>
        <v/>
      </c>
      <c r="J711">
        <f>IF(설정!$C$12="","",IFERROR(INDEX('1.산군_붙여넣기'!$A$1:$AZ$1001,ROW(),설정!$C$12)&amp;"",""))</f>
        <v/>
      </c>
      <c r="K711">
        <f>IF(설정!$C$13="","",IFERROR(INDEX('1.산군_붙여넣기'!$A$1:$AZ$1001,ROW(),설정!$C$13)&amp;"",""))</f>
        <v/>
      </c>
      <c r="L711" s="7">
        <f>IF(X711="","",IF(AND(LEN(X711)=8,ISNUMBER(X711*1)),DATE(LEFT(X711,4),MID(X711,5,2),RIGHT(X711,2)),IFERROR(DATEVALUE(SUBSTITUTE(SUBSTITUTE(X711,".","-"),"/","-")),IFERROR(X711*1,""))))</f>
        <v/>
      </c>
      <c r="M711" s="7">
        <f>IF(Y711="","",IF(AND(LEN(Y711)=8,ISNUMBER(Y711*1)),DATE(LEFT(Y711,4),MID(Y711,5,2),RIGHT(Y711,2)),IFERROR(DATEVALUE(SUBSTITUTE(SUBSTITUTE(Y711,".","-"),"/","-")),IFERROR(Y711*1,""))))</f>
        <v/>
      </c>
      <c r="N711">
        <f>IFERROR(LEFT(B711,FIND(" ",B711)-1),B711)</f>
        <v/>
      </c>
      <c r="O711">
        <f>AND(B711&lt;&gt;"",B711&lt;&gt;설정!$B$4,C711&lt;&gt;설정!$B$5)</f>
        <v/>
      </c>
      <c r="P711">
        <f>IF(O711,B711&amp;"|"&amp;C711,"")</f>
        <v/>
      </c>
      <c r="Q711">
        <f>AND(O711,COUNTIF(P712:P$1002,P711)=0)</f>
        <v/>
      </c>
      <c r="R711">
        <f>OR(AND(설정!$A$42&lt;&gt;"",ISNUMBER(SEARCH(설정!$A$42,E711&amp;" "&amp;C711))),AND(설정!$A$43&lt;&gt;"",ISNUMBER(SEARCH(설정!$A$43,E711&amp;" "&amp;C711))),AND(설정!$A$44&lt;&gt;"",ISNUMBER(SEARCH(설정!$A$44,E711&amp;" "&amp;C711))),AND(설정!$A$45&lt;&gt;"",ISNUMBER(SEARCH(설정!$A$45,E711&amp;" "&amp;C711))),AND(설정!$A$46&lt;&gt;"",ISNUMBER(SEARCH(설정!$A$46,E711&amp;" "&amp;C711))),AND(설정!$A$47&lt;&gt;"",ISNUMBER(SEARCH(설정!$A$47,E711&amp;" "&amp;C711))),AND(설정!$A$48&lt;&gt;"",ISNUMBER(SEARCH(설정!$A$48,E711&amp;" "&amp;C711))),AND(설정!$A$49&lt;&gt;"",ISNUMBER(SEARCH(설정!$A$49,E711&amp;" "&amp;C711))),AND(설정!$A$50&lt;&gt;"",ISNUMBER(SEARCH(설정!$A$50,E711&amp;" "&amp;C711))),AND(설정!$A$51&lt;&gt;"",ISNUMBER(SEARCH(설정!$A$51,E711&amp;" "&amp;C711))))</f>
        <v/>
      </c>
      <c r="S711">
        <f>OR(D711="",D711&gt;=설정!$B$19)</f>
        <v/>
      </c>
      <c r="T711">
        <f>AND(Q711,R711,S711)</f>
        <v/>
      </c>
      <c r="U711">
        <f>IF(T711,IF(AND(설정!$A$54&lt;&gt;"",ISNUMBER(SEARCH(설정!$A$54,K711))),설정!$B$54,IF(AND(설정!$A$55&lt;&gt;"",ISNUMBER(SEARCH(설정!$A$55,K711))),설정!$B$55,IF(AND(설정!$A$56&lt;&gt;"",ISNUMBER(SEARCH(설정!$A$56,K711))),설정!$B$56,IF(AND(설정!$A$57&lt;&gt;"",ISNUMBER(SEARCH(설정!$A$57,K711))),설정!$B$57,IF(AND(설정!$A$58&lt;&gt;"",ISNUMBER(SEARCH(설정!$A$58,K711))),설정!$B$58,IF(AND(설정!$A$59&lt;&gt;"",ISNUMBER(SEARCH(설정!$A$59,K711))),설정!$B$59,IF(AND(설정!$A$60&lt;&gt;"",ISNUMBER(SEARCH(설정!$A$60,K711))),설정!$B$60,IF(AND(설정!$A$61&lt;&gt;"",ISNUMBER(SEARCH(설정!$A$61,K711))),설정!$B$61,IF(M711="","설계사","시공사"))))))))),"")</f>
        <v/>
      </c>
      <c r="V711">
        <f>SUBSTITUTE(SUBSTITUTE(SUBSTITUTE(SUBSTITUTE(G711,"(주)",""),"㈜",""),"주식회사","")," ","")</f>
        <v/>
      </c>
      <c r="W711">
        <f>IF(AND(T711,V711&lt;&gt;""),IF(COUNTIFS(V$2:V711,V711,T$2:T711,TRUE)=1,MAX(W$1:W710)+1,""),"")</f>
        <v/>
      </c>
      <c r="X711">
        <f>IF(설정!$C$14="","",IFERROR(INDEX('1.산군_붙여넣기'!$A$1:$AZ$1001,ROW(),설정!$C$14)&amp;"",""))</f>
        <v/>
      </c>
      <c r="Y711">
        <f>IF(설정!$C$15="","",IFERROR(INDEX('1.산군_붙여넣기'!$A$1:$AZ$1001,ROW(),설정!$C$15)&amp;"",""))</f>
        <v/>
      </c>
      <c r="Z711">
        <f>IF(T711,V711&amp;"|"&amp;U711,"")</f>
        <v/>
      </c>
      <c r="AA711">
        <f>IF(NOT(Q711),"",IF(NOT(AND(R711,S711)),"✕",IF(OR(OR(AND(L711&lt;&gt;"",M711&lt;&gt;"",N(M711)-N(L711)&gt;설정!$B$27),AND(L711&lt;&gt;"",M711="",설정!$B$24-N(L711)&gt;설정!$B$27)),AND(D711&lt;&gt;"",D711&lt;설정!$B$26)),"△","★")))</f>
        <v/>
      </c>
      <c r="AB711">
        <f>IF(NOT(T711),"",IF(U711="설계사",설정!$B$31,IF(U711="시공사",IF(OR(M711="",설정!$B$24-N(M711)&lt;=설정!$B$28*30.4),설정!$B$32,설정!$B$33),설정!$B$34))+IF(AA711="★",설정!$B$35,0))</f>
        <v/>
      </c>
      <c r="AC711">
        <f>SUBSTITUTE(SUBSTITUTE(SUBSTITUTE(SUBSTITUTE(H711,"(주)",""),"㈜",""),"주식회사","")," ","")</f>
        <v/>
      </c>
      <c r="AD711">
        <f>IF(AND(T711,AC711&lt;&gt;""),IF(COUNTIFS(AC$2:AC711,AC711,T$2:T711,TRUE)=1,MAX(AD$1:AD710)+1,""),"")</f>
        <v/>
      </c>
    </row>
    <row r="712">
      <c r="A712">
        <f>ROW()</f>
        <v/>
      </c>
      <c r="B712">
        <f>IF(설정!$C$4="","",IFERROR(INDEX('1.산군_붙여넣기'!$A$1:$AZ$1001,ROW(),설정!$C$4)&amp;"",""))</f>
        <v/>
      </c>
      <c r="C712">
        <f>IF(설정!$C$5="","",IFERROR(INDEX('1.산군_붙여넣기'!$A$1:$AZ$1001,ROW(),설정!$C$5)&amp;"",""))</f>
        <v/>
      </c>
      <c r="D712" s="5">
        <f>IFERROR(VALUE(SUBSTITUTE(SUBSTITUTE(SUBSTITUTE(IF(설정!$C$6="","",IFERROR(INDEX('1.산군_붙여넣기'!$A$1:$AZ$1001,ROW(),설정!$C$6)&amp;"","")),",",""),"㎡",""),"m2","")),"")</f>
        <v/>
      </c>
      <c r="E712">
        <f>IF(설정!$C$7="","",IFERROR(INDEX('1.산군_붙여넣기'!$A$1:$AZ$1001,ROW(),설정!$C$7)&amp;"",""))</f>
        <v/>
      </c>
      <c r="F712">
        <f>IF(설정!$C$8="","",IFERROR(INDEX('1.산군_붙여넣기'!$A$1:$AZ$1001,ROW(),설정!$C$8)&amp;"",""))</f>
        <v/>
      </c>
      <c r="G712">
        <f>IF(설정!$C$9="","",IFERROR(INDEX('1.산군_붙여넣기'!$A$1:$AZ$1001,ROW(),설정!$C$9)&amp;"",""))</f>
        <v/>
      </c>
      <c r="H712">
        <f>IF(설정!$C$10="","",IFERROR(INDEX('1.산군_붙여넣기'!$A$1:$AZ$1001,ROW(),설정!$C$10)&amp;"",""))</f>
        <v/>
      </c>
      <c r="I712">
        <f>IF(설정!$C$11="","",IFERROR(INDEX('1.산군_붙여넣기'!$A$1:$AZ$1001,ROW(),설정!$C$11)&amp;"",""))</f>
        <v/>
      </c>
      <c r="J712">
        <f>IF(설정!$C$12="","",IFERROR(INDEX('1.산군_붙여넣기'!$A$1:$AZ$1001,ROW(),설정!$C$12)&amp;"",""))</f>
        <v/>
      </c>
      <c r="K712">
        <f>IF(설정!$C$13="","",IFERROR(INDEX('1.산군_붙여넣기'!$A$1:$AZ$1001,ROW(),설정!$C$13)&amp;"",""))</f>
        <v/>
      </c>
      <c r="L712" s="7">
        <f>IF(X712="","",IF(AND(LEN(X712)=8,ISNUMBER(X712*1)),DATE(LEFT(X712,4),MID(X712,5,2),RIGHT(X712,2)),IFERROR(DATEVALUE(SUBSTITUTE(SUBSTITUTE(X712,".","-"),"/","-")),IFERROR(X712*1,""))))</f>
        <v/>
      </c>
      <c r="M712" s="7">
        <f>IF(Y712="","",IF(AND(LEN(Y712)=8,ISNUMBER(Y712*1)),DATE(LEFT(Y712,4),MID(Y712,5,2),RIGHT(Y712,2)),IFERROR(DATEVALUE(SUBSTITUTE(SUBSTITUTE(Y712,".","-"),"/","-")),IFERROR(Y712*1,""))))</f>
        <v/>
      </c>
      <c r="N712">
        <f>IFERROR(LEFT(B712,FIND(" ",B712)-1),B712)</f>
        <v/>
      </c>
      <c r="O712">
        <f>AND(B712&lt;&gt;"",B712&lt;&gt;설정!$B$4,C712&lt;&gt;설정!$B$5)</f>
        <v/>
      </c>
      <c r="P712">
        <f>IF(O712,B712&amp;"|"&amp;C712,"")</f>
        <v/>
      </c>
      <c r="Q712">
        <f>AND(O712,COUNTIF(P713:P$1002,P712)=0)</f>
        <v/>
      </c>
      <c r="R712">
        <f>OR(AND(설정!$A$42&lt;&gt;"",ISNUMBER(SEARCH(설정!$A$42,E712&amp;" "&amp;C712))),AND(설정!$A$43&lt;&gt;"",ISNUMBER(SEARCH(설정!$A$43,E712&amp;" "&amp;C712))),AND(설정!$A$44&lt;&gt;"",ISNUMBER(SEARCH(설정!$A$44,E712&amp;" "&amp;C712))),AND(설정!$A$45&lt;&gt;"",ISNUMBER(SEARCH(설정!$A$45,E712&amp;" "&amp;C712))),AND(설정!$A$46&lt;&gt;"",ISNUMBER(SEARCH(설정!$A$46,E712&amp;" "&amp;C712))),AND(설정!$A$47&lt;&gt;"",ISNUMBER(SEARCH(설정!$A$47,E712&amp;" "&amp;C712))),AND(설정!$A$48&lt;&gt;"",ISNUMBER(SEARCH(설정!$A$48,E712&amp;" "&amp;C712))),AND(설정!$A$49&lt;&gt;"",ISNUMBER(SEARCH(설정!$A$49,E712&amp;" "&amp;C712))),AND(설정!$A$50&lt;&gt;"",ISNUMBER(SEARCH(설정!$A$50,E712&amp;" "&amp;C712))),AND(설정!$A$51&lt;&gt;"",ISNUMBER(SEARCH(설정!$A$51,E712&amp;" "&amp;C712))))</f>
        <v/>
      </c>
      <c r="S712">
        <f>OR(D712="",D712&gt;=설정!$B$19)</f>
        <v/>
      </c>
      <c r="T712">
        <f>AND(Q712,R712,S712)</f>
        <v/>
      </c>
      <c r="U712">
        <f>IF(T712,IF(AND(설정!$A$54&lt;&gt;"",ISNUMBER(SEARCH(설정!$A$54,K712))),설정!$B$54,IF(AND(설정!$A$55&lt;&gt;"",ISNUMBER(SEARCH(설정!$A$55,K712))),설정!$B$55,IF(AND(설정!$A$56&lt;&gt;"",ISNUMBER(SEARCH(설정!$A$56,K712))),설정!$B$56,IF(AND(설정!$A$57&lt;&gt;"",ISNUMBER(SEARCH(설정!$A$57,K712))),설정!$B$57,IF(AND(설정!$A$58&lt;&gt;"",ISNUMBER(SEARCH(설정!$A$58,K712))),설정!$B$58,IF(AND(설정!$A$59&lt;&gt;"",ISNUMBER(SEARCH(설정!$A$59,K712))),설정!$B$59,IF(AND(설정!$A$60&lt;&gt;"",ISNUMBER(SEARCH(설정!$A$60,K712))),설정!$B$60,IF(AND(설정!$A$61&lt;&gt;"",ISNUMBER(SEARCH(설정!$A$61,K712))),설정!$B$61,IF(M712="","설계사","시공사"))))))))),"")</f>
        <v/>
      </c>
      <c r="V712">
        <f>SUBSTITUTE(SUBSTITUTE(SUBSTITUTE(SUBSTITUTE(G712,"(주)",""),"㈜",""),"주식회사","")," ","")</f>
        <v/>
      </c>
      <c r="W712">
        <f>IF(AND(T712,V712&lt;&gt;""),IF(COUNTIFS(V$2:V712,V712,T$2:T712,TRUE)=1,MAX(W$1:W711)+1,""),"")</f>
        <v/>
      </c>
      <c r="X712">
        <f>IF(설정!$C$14="","",IFERROR(INDEX('1.산군_붙여넣기'!$A$1:$AZ$1001,ROW(),설정!$C$14)&amp;"",""))</f>
        <v/>
      </c>
      <c r="Y712">
        <f>IF(설정!$C$15="","",IFERROR(INDEX('1.산군_붙여넣기'!$A$1:$AZ$1001,ROW(),설정!$C$15)&amp;"",""))</f>
        <v/>
      </c>
      <c r="Z712">
        <f>IF(T712,V712&amp;"|"&amp;U712,"")</f>
        <v/>
      </c>
      <c r="AA712">
        <f>IF(NOT(Q712),"",IF(NOT(AND(R712,S712)),"✕",IF(OR(OR(AND(L712&lt;&gt;"",M712&lt;&gt;"",N(M712)-N(L712)&gt;설정!$B$27),AND(L712&lt;&gt;"",M712="",설정!$B$24-N(L712)&gt;설정!$B$27)),AND(D712&lt;&gt;"",D712&lt;설정!$B$26)),"△","★")))</f>
        <v/>
      </c>
      <c r="AB712">
        <f>IF(NOT(T712),"",IF(U712="설계사",설정!$B$31,IF(U712="시공사",IF(OR(M712="",설정!$B$24-N(M712)&lt;=설정!$B$28*30.4),설정!$B$32,설정!$B$33),설정!$B$34))+IF(AA712="★",설정!$B$35,0))</f>
        <v/>
      </c>
      <c r="AC712">
        <f>SUBSTITUTE(SUBSTITUTE(SUBSTITUTE(SUBSTITUTE(H712,"(주)",""),"㈜",""),"주식회사","")," ","")</f>
        <v/>
      </c>
      <c r="AD712">
        <f>IF(AND(T712,AC712&lt;&gt;""),IF(COUNTIFS(AC$2:AC712,AC712,T$2:T712,TRUE)=1,MAX(AD$1:AD711)+1,""),"")</f>
        <v/>
      </c>
    </row>
    <row r="713">
      <c r="A713">
        <f>ROW()</f>
        <v/>
      </c>
      <c r="B713">
        <f>IF(설정!$C$4="","",IFERROR(INDEX('1.산군_붙여넣기'!$A$1:$AZ$1001,ROW(),설정!$C$4)&amp;"",""))</f>
        <v/>
      </c>
      <c r="C713">
        <f>IF(설정!$C$5="","",IFERROR(INDEX('1.산군_붙여넣기'!$A$1:$AZ$1001,ROW(),설정!$C$5)&amp;"",""))</f>
        <v/>
      </c>
      <c r="D713" s="5">
        <f>IFERROR(VALUE(SUBSTITUTE(SUBSTITUTE(SUBSTITUTE(IF(설정!$C$6="","",IFERROR(INDEX('1.산군_붙여넣기'!$A$1:$AZ$1001,ROW(),설정!$C$6)&amp;"","")),",",""),"㎡",""),"m2","")),"")</f>
        <v/>
      </c>
      <c r="E713">
        <f>IF(설정!$C$7="","",IFERROR(INDEX('1.산군_붙여넣기'!$A$1:$AZ$1001,ROW(),설정!$C$7)&amp;"",""))</f>
        <v/>
      </c>
      <c r="F713">
        <f>IF(설정!$C$8="","",IFERROR(INDEX('1.산군_붙여넣기'!$A$1:$AZ$1001,ROW(),설정!$C$8)&amp;"",""))</f>
        <v/>
      </c>
      <c r="G713">
        <f>IF(설정!$C$9="","",IFERROR(INDEX('1.산군_붙여넣기'!$A$1:$AZ$1001,ROW(),설정!$C$9)&amp;"",""))</f>
        <v/>
      </c>
      <c r="H713">
        <f>IF(설정!$C$10="","",IFERROR(INDEX('1.산군_붙여넣기'!$A$1:$AZ$1001,ROW(),설정!$C$10)&amp;"",""))</f>
        <v/>
      </c>
      <c r="I713">
        <f>IF(설정!$C$11="","",IFERROR(INDEX('1.산군_붙여넣기'!$A$1:$AZ$1001,ROW(),설정!$C$11)&amp;"",""))</f>
        <v/>
      </c>
      <c r="J713">
        <f>IF(설정!$C$12="","",IFERROR(INDEX('1.산군_붙여넣기'!$A$1:$AZ$1001,ROW(),설정!$C$12)&amp;"",""))</f>
        <v/>
      </c>
      <c r="K713">
        <f>IF(설정!$C$13="","",IFERROR(INDEX('1.산군_붙여넣기'!$A$1:$AZ$1001,ROW(),설정!$C$13)&amp;"",""))</f>
        <v/>
      </c>
      <c r="L713" s="7">
        <f>IF(X713="","",IF(AND(LEN(X713)=8,ISNUMBER(X713*1)),DATE(LEFT(X713,4),MID(X713,5,2),RIGHT(X713,2)),IFERROR(DATEVALUE(SUBSTITUTE(SUBSTITUTE(X713,".","-"),"/","-")),IFERROR(X713*1,""))))</f>
        <v/>
      </c>
      <c r="M713" s="7">
        <f>IF(Y713="","",IF(AND(LEN(Y713)=8,ISNUMBER(Y713*1)),DATE(LEFT(Y713,4),MID(Y713,5,2),RIGHT(Y713,2)),IFERROR(DATEVALUE(SUBSTITUTE(SUBSTITUTE(Y713,".","-"),"/","-")),IFERROR(Y713*1,""))))</f>
        <v/>
      </c>
      <c r="N713">
        <f>IFERROR(LEFT(B713,FIND(" ",B713)-1),B713)</f>
        <v/>
      </c>
      <c r="O713">
        <f>AND(B713&lt;&gt;"",B713&lt;&gt;설정!$B$4,C713&lt;&gt;설정!$B$5)</f>
        <v/>
      </c>
      <c r="P713">
        <f>IF(O713,B713&amp;"|"&amp;C713,"")</f>
        <v/>
      </c>
      <c r="Q713">
        <f>AND(O713,COUNTIF(P714:P$1002,P713)=0)</f>
        <v/>
      </c>
      <c r="R713">
        <f>OR(AND(설정!$A$42&lt;&gt;"",ISNUMBER(SEARCH(설정!$A$42,E713&amp;" "&amp;C713))),AND(설정!$A$43&lt;&gt;"",ISNUMBER(SEARCH(설정!$A$43,E713&amp;" "&amp;C713))),AND(설정!$A$44&lt;&gt;"",ISNUMBER(SEARCH(설정!$A$44,E713&amp;" "&amp;C713))),AND(설정!$A$45&lt;&gt;"",ISNUMBER(SEARCH(설정!$A$45,E713&amp;" "&amp;C713))),AND(설정!$A$46&lt;&gt;"",ISNUMBER(SEARCH(설정!$A$46,E713&amp;" "&amp;C713))),AND(설정!$A$47&lt;&gt;"",ISNUMBER(SEARCH(설정!$A$47,E713&amp;" "&amp;C713))),AND(설정!$A$48&lt;&gt;"",ISNUMBER(SEARCH(설정!$A$48,E713&amp;" "&amp;C713))),AND(설정!$A$49&lt;&gt;"",ISNUMBER(SEARCH(설정!$A$49,E713&amp;" "&amp;C713))),AND(설정!$A$50&lt;&gt;"",ISNUMBER(SEARCH(설정!$A$50,E713&amp;" "&amp;C713))),AND(설정!$A$51&lt;&gt;"",ISNUMBER(SEARCH(설정!$A$51,E713&amp;" "&amp;C713))))</f>
        <v/>
      </c>
      <c r="S713">
        <f>OR(D713="",D713&gt;=설정!$B$19)</f>
        <v/>
      </c>
      <c r="T713">
        <f>AND(Q713,R713,S713)</f>
        <v/>
      </c>
      <c r="U713">
        <f>IF(T713,IF(AND(설정!$A$54&lt;&gt;"",ISNUMBER(SEARCH(설정!$A$54,K713))),설정!$B$54,IF(AND(설정!$A$55&lt;&gt;"",ISNUMBER(SEARCH(설정!$A$55,K713))),설정!$B$55,IF(AND(설정!$A$56&lt;&gt;"",ISNUMBER(SEARCH(설정!$A$56,K713))),설정!$B$56,IF(AND(설정!$A$57&lt;&gt;"",ISNUMBER(SEARCH(설정!$A$57,K713))),설정!$B$57,IF(AND(설정!$A$58&lt;&gt;"",ISNUMBER(SEARCH(설정!$A$58,K713))),설정!$B$58,IF(AND(설정!$A$59&lt;&gt;"",ISNUMBER(SEARCH(설정!$A$59,K713))),설정!$B$59,IF(AND(설정!$A$60&lt;&gt;"",ISNUMBER(SEARCH(설정!$A$60,K713))),설정!$B$60,IF(AND(설정!$A$61&lt;&gt;"",ISNUMBER(SEARCH(설정!$A$61,K713))),설정!$B$61,IF(M713="","설계사","시공사"))))))))),"")</f>
        <v/>
      </c>
      <c r="V713">
        <f>SUBSTITUTE(SUBSTITUTE(SUBSTITUTE(SUBSTITUTE(G713,"(주)",""),"㈜",""),"주식회사","")," ","")</f>
        <v/>
      </c>
      <c r="W713">
        <f>IF(AND(T713,V713&lt;&gt;""),IF(COUNTIFS(V$2:V713,V713,T$2:T713,TRUE)=1,MAX(W$1:W712)+1,""),"")</f>
        <v/>
      </c>
      <c r="X713">
        <f>IF(설정!$C$14="","",IFERROR(INDEX('1.산군_붙여넣기'!$A$1:$AZ$1001,ROW(),설정!$C$14)&amp;"",""))</f>
        <v/>
      </c>
      <c r="Y713">
        <f>IF(설정!$C$15="","",IFERROR(INDEX('1.산군_붙여넣기'!$A$1:$AZ$1001,ROW(),설정!$C$15)&amp;"",""))</f>
        <v/>
      </c>
      <c r="Z713">
        <f>IF(T713,V713&amp;"|"&amp;U713,"")</f>
        <v/>
      </c>
      <c r="AA713">
        <f>IF(NOT(Q713),"",IF(NOT(AND(R713,S713)),"✕",IF(OR(OR(AND(L713&lt;&gt;"",M713&lt;&gt;"",N(M713)-N(L713)&gt;설정!$B$27),AND(L713&lt;&gt;"",M713="",설정!$B$24-N(L713)&gt;설정!$B$27)),AND(D713&lt;&gt;"",D713&lt;설정!$B$26)),"△","★")))</f>
        <v/>
      </c>
      <c r="AB713">
        <f>IF(NOT(T713),"",IF(U713="설계사",설정!$B$31,IF(U713="시공사",IF(OR(M713="",설정!$B$24-N(M713)&lt;=설정!$B$28*30.4),설정!$B$32,설정!$B$33),설정!$B$34))+IF(AA713="★",설정!$B$35,0))</f>
        <v/>
      </c>
      <c r="AC713">
        <f>SUBSTITUTE(SUBSTITUTE(SUBSTITUTE(SUBSTITUTE(H713,"(주)",""),"㈜",""),"주식회사","")," ","")</f>
        <v/>
      </c>
      <c r="AD713">
        <f>IF(AND(T713,AC713&lt;&gt;""),IF(COUNTIFS(AC$2:AC713,AC713,T$2:T713,TRUE)=1,MAX(AD$1:AD712)+1,""),"")</f>
        <v/>
      </c>
    </row>
    <row r="714">
      <c r="A714">
        <f>ROW()</f>
        <v/>
      </c>
      <c r="B714">
        <f>IF(설정!$C$4="","",IFERROR(INDEX('1.산군_붙여넣기'!$A$1:$AZ$1001,ROW(),설정!$C$4)&amp;"",""))</f>
        <v/>
      </c>
      <c r="C714">
        <f>IF(설정!$C$5="","",IFERROR(INDEX('1.산군_붙여넣기'!$A$1:$AZ$1001,ROW(),설정!$C$5)&amp;"",""))</f>
        <v/>
      </c>
      <c r="D714" s="5">
        <f>IFERROR(VALUE(SUBSTITUTE(SUBSTITUTE(SUBSTITUTE(IF(설정!$C$6="","",IFERROR(INDEX('1.산군_붙여넣기'!$A$1:$AZ$1001,ROW(),설정!$C$6)&amp;"","")),",",""),"㎡",""),"m2","")),"")</f>
        <v/>
      </c>
      <c r="E714">
        <f>IF(설정!$C$7="","",IFERROR(INDEX('1.산군_붙여넣기'!$A$1:$AZ$1001,ROW(),설정!$C$7)&amp;"",""))</f>
        <v/>
      </c>
      <c r="F714">
        <f>IF(설정!$C$8="","",IFERROR(INDEX('1.산군_붙여넣기'!$A$1:$AZ$1001,ROW(),설정!$C$8)&amp;"",""))</f>
        <v/>
      </c>
      <c r="G714">
        <f>IF(설정!$C$9="","",IFERROR(INDEX('1.산군_붙여넣기'!$A$1:$AZ$1001,ROW(),설정!$C$9)&amp;"",""))</f>
        <v/>
      </c>
      <c r="H714">
        <f>IF(설정!$C$10="","",IFERROR(INDEX('1.산군_붙여넣기'!$A$1:$AZ$1001,ROW(),설정!$C$10)&amp;"",""))</f>
        <v/>
      </c>
      <c r="I714">
        <f>IF(설정!$C$11="","",IFERROR(INDEX('1.산군_붙여넣기'!$A$1:$AZ$1001,ROW(),설정!$C$11)&amp;"",""))</f>
        <v/>
      </c>
      <c r="J714">
        <f>IF(설정!$C$12="","",IFERROR(INDEX('1.산군_붙여넣기'!$A$1:$AZ$1001,ROW(),설정!$C$12)&amp;"",""))</f>
        <v/>
      </c>
      <c r="K714">
        <f>IF(설정!$C$13="","",IFERROR(INDEX('1.산군_붙여넣기'!$A$1:$AZ$1001,ROW(),설정!$C$13)&amp;"",""))</f>
        <v/>
      </c>
      <c r="L714" s="7">
        <f>IF(X714="","",IF(AND(LEN(X714)=8,ISNUMBER(X714*1)),DATE(LEFT(X714,4),MID(X714,5,2),RIGHT(X714,2)),IFERROR(DATEVALUE(SUBSTITUTE(SUBSTITUTE(X714,".","-"),"/","-")),IFERROR(X714*1,""))))</f>
        <v/>
      </c>
      <c r="M714" s="7">
        <f>IF(Y714="","",IF(AND(LEN(Y714)=8,ISNUMBER(Y714*1)),DATE(LEFT(Y714,4),MID(Y714,5,2),RIGHT(Y714,2)),IFERROR(DATEVALUE(SUBSTITUTE(SUBSTITUTE(Y714,".","-"),"/","-")),IFERROR(Y714*1,""))))</f>
        <v/>
      </c>
      <c r="N714">
        <f>IFERROR(LEFT(B714,FIND(" ",B714)-1),B714)</f>
        <v/>
      </c>
      <c r="O714">
        <f>AND(B714&lt;&gt;"",B714&lt;&gt;설정!$B$4,C714&lt;&gt;설정!$B$5)</f>
        <v/>
      </c>
      <c r="P714">
        <f>IF(O714,B714&amp;"|"&amp;C714,"")</f>
        <v/>
      </c>
      <c r="Q714">
        <f>AND(O714,COUNTIF(P715:P$1002,P714)=0)</f>
        <v/>
      </c>
      <c r="R714">
        <f>OR(AND(설정!$A$42&lt;&gt;"",ISNUMBER(SEARCH(설정!$A$42,E714&amp;" "&amp;C714))),AND(설정!$A$43&lt;&gt;"",ISNUMBER(SEARCH(설정!$A$43,E714&amp;" "&amp;C714))),AND(설정!$A$44&lt;&gt;"",ISNUMBER(SEARCH(설정!$A$44,E714&amp;" "&amp;C714))),AND(설정!$A$45&lt;&gt;"",ISNUMBER(SEARCH(설정!$A$45,E714&amp;" "&amp;C714))),AND(설정!$A$46&lt;&gt;"",ISNUMBER(SEARCH(설정!$A$46,E714&amp;" "&amp;C714))),AND(설정!$A$47&lt;&gt;"",ISNUMBER(SEARCH(설정!$A$47,E714&amp;" "&amp;C714))),AND(설정!$A$48&lt;&gt;"",ISNUMBER(SEARCH(설정!$A$48,E714&amp;" "&amp;C714))),AND(설정!$A$49&lt;&gt;"",ISNUMBER(SEARCH(설정!$A$49,E714&amp;" "&amp;C714))),AND(설정!$A$50&lt;&gt;"",ISNUMBER(SEARCH(설정!$A$50,E714&amp;" "&amp;C714))),AND(설정!$A$51&lt;&gt;"",ISNUMBER(SEARCH(설정!$A$51,E714&amp;" "&amp;C714))))</f>
        <v/>
      </c>
      <c r="S714">
        <f>OR(D714="",D714&gt;=설정!$B$19)</f>
        <v/>
      </c>
      <c r="T714">
        <f>AND(Q714,R714,S714)</f>
        <v/>
      </c>
      <c r="U714">
        <f>IF(T714,IF(AND(설정!$A$54&lt;&gt;"",ISNUMBER(SEARCH(설정!$A$54,K714))),설정!$B$54,IF(AND(설정!$A$55&lt;&gt;"",ISNUMBER(SEARCH(설정!$A$55,K714))),설정!$B$55,IF(AND(설정!$A$56&lt;&gt;"",ISNUMBER(SEARCH(설정!$A$56,K714))),설정!$B$56,IF(AND(설정!$A$57&lt;&gt;"",ISNUMBER(SEARCH(설정!$A$57,K714))),설정!$B$57,IF(AND(설정!$A$58&lt;&gt;"",ISNUMBER(SEARCH(설정!$A$58,K714))),설정!$B$58,IF(AND(설정!$A$59&lt;&gt;"",ISNUMBER(SEARCH(설정!$A$59,K714))),설정!$B$59,IF(AND(설정!$A$60&lt;&gt;"",ISNUMBER(SEARCH(설정!$A$60,K714))),설정!$B$60,IF(AND(설정!$A$61&lt;&gt;"",ISNUMBER(SEARCH(설정!$A$61,K714))),설정!$B$61,IF(M714="","설계사","시공사"))))))))),"")</f>
        <v/>
      </c>
      <c r="V714">
        <f>SUBSTITUTE(SUBSTITUTE(SUBSTITUTE(SUBSTITUTE(G714,"(주)",""),"㈜",""),"주식회사","")," ","")</f>
        <v/>
      </c>
      <c r="W714">
        <f>IF(AND(T714,V714&lt;&gt;""),IF(COUNTIFS(V$2:V714,V714,T$2:T714,TRUE)=1,MAX(W$1:W713)+1,""),"")</f>
        <v/>
      </c>
      <c r="X714">
        <f>IF(설정!$C$14="","",IFERROR(INDEX('1.산군_붙여넣기'!$A$1:$AZ$1001,ROW(),설정!$C$14)&amp;"",""))</f>
        <v/>
      </c>
      <c r="Y714">
        <f>IF(설정!$C$15="","",IFERROR(INDEX('1.산군_붙여넣기'!$A$1:$AZ$1001,ROW(),설정!$C$15)&amp;"",""))</f>
        <v/>
      </c>
      <c r="Z714">
        <f>IF(T714,V714&amp;"|"&amp;U714,"")</f>
        <v/>
      </c>
      <c r="AA714">
        <f>IF(NOT(Q714),"",IF(NOT(AND(R714,S714)),"✕",IF(OR(OR(AND(L714&lt;&gt;"",M714&lt;&gt;"",N(M714)-N(L714)&gt;설정!$B$27),AND(L714&lt;&gt;"",M714="",설정!$B$24-N(L714)&gt;설정!$B$27)),AND(D714&lt;&gt;"",D714&lt;설정!$B$26)),"△","★")))</f>
        <v/>
      </c>
      <c r="AB714">
        <f>IF(NOT(T714),"",IF(U714="설계사",설정!$B$31,IF(U714="시공사",IF(OR(M714="",설정!$B$24-N(M714)&lt;=설정!$B$28*30.4),설정!$B$32,설정!$B$33),설정!$B$34))+IF(AA714="★",설정!$B$35,0))</f>
        <v/>
      </c>
      <c r="AC714">
        <f>SUBSTITUTE(SUBSTITUTE(SUBSTITUTE(SUBSTITUTE(H714,"(주)",""),"㈜",""),"주식회사","")," ","")</f>
        <v/>
      </c>
      <c r="AD714">
        <f>IF(AND(T714,AC714&lt;&gt;""),IF(COUNTIFS(AC$2:AC714,AC714,T$2:T714,TRUE)=1,MAX(AD$1:AD713)+1,""),"")</f>
        <v/>
      </c>
    </row>
    <row r="715">
      <c r="A715">
        <f>ROW()</f>
        <v/>
      </c>
      <c r="B715">
        <f>IF(설정!$C$4="","",IFERROR(INDEX('1.산군_붙여넣기'!$A$1:$AZ$1001,ROW(),설정!$C$4)&amp;"",""))</f>
        <v/>
      </c>
      <c r="C715">
        <f>IF(설정!$C$5="","",IFERROR(INDEX('1.산군_붙여넣기'!$A$1:$AZ$1001,ROW(),설정!$C$5)&amp;"",""))</f>
        <v/>
      </c>
      <c r="D715" s="5">
        <f>IFERROR(VALUE(SUBSTITUTE(SUBSTITUTE(SUBSTITUTE(IF(설정!$C$6="","",IFERROR(INDEX('1.산군_붙여넣기'!$A$1:$AZ$1001,ROW(),설정!$C$6)&amp;"","")),",",""),"㎡",""),"m2","")),"")</f>
        <v/>
      </c>
      <c r="E715">
        <f>IF(설정!$C$7="","",IFERROR(INDEX('1.산군_붙여넣기'!$A$1:$AZ$1001,ROW(),설정!$C$7)&amp;"",""))</f>
        <v/>
      </c>
      <c r="F715">
        <f>IF(설정!$C$8="","",IFERROR(INDEX('1.산군_붙여넣기'!$A$1:$AZ$1001,ROW(),설정!$C$8)&amp;"",""))</f>
        <v/>
      </c>
      <c r="G715">
        <f>IF(설정!$C$9="","",IFERROR(INDEX('1.산군_붙여넣기'!$A$1:$AZ$1001,ROW(),설정!$C$9)&amp;"",""))</f>
        <v/>
      </c>
      <c r="H715">
        <f>IF(설정!$C$10="","",IFERROR(INDEX('1.산군_붙여넣기'!$A$1:$AZ$1001,ROW(),설정!$C$10)&amp;"",""))</f>
        <v/>
      </c>
      <c r="I715">
        <f>IF(설정!$C$11="","",IFERROR(INDEX('1.산군_붙여넣기'!$A$1:$AZ$1001,ROW(),설정!$C$11)&amp;"",""))</f>
        <v/>
      </c>
      <c r="J715">
        <f>IF(설정!$C$12="","",IFERROR(INDEX('1.산군_붙여넣기'!$A$1:$AZ$1001,ROW(),설정!$C$12)&amp;"",""))</f>
        <v/>
      </c>
      <c r="K715">
        <f>IF(설정!$C$13="","",IFERROR(INDEX('1.산군_붙여넣기'!$A$1:$AZ$1001,ROW(),설정!$C$13)&amp;"",""))</f>
        <v/>
      </c>
      <c r="L715" s="7">
        <f>IF(X715="","",IF(AND(LEN(X715)=8,ISNUMBER(X715*1)),DATE(LEFT(X715,4),MID(X715,5,2),RIGHT(X715,2)),IFERROR(DATEVALUE(SUBSTITUTE(SUBSTITUTE(X715,".","-"),"/","-")),IFERROR(X715*1,""))))</f>
        <v/>
      </c>
      <c r="M715" s="7">
        <f>IF(Y715="","",IF(AND(LEN(Y715)=8,ISNUMBER(Y715*1)),DATE(LEFT(Y715,4),MID(Y715,5,2),RIGHT(Y715,2)),IFERROR(DATEVALUE(SUBSTITUTE(SUBSTITUTE(Y715,".","-"),"/","-")),IFERROR(Y715*1,""))))</f>
        <v/>
      </c>
      <c r="N715">
        <f>IFERROR(LEFT(B715,FIND(" ",B715)-1),B715)</f>
        <v/>
      </c>
      <c r="O715">
        <f>AND(B715&lt;&gt;"",B715&lt;&gt;설정!$B$4,C715&lt;&gt;설정!$B$5)</f>
        <v/>
      </c>
      <c r="P715">
        <f>IF(O715,B715&amp;"|"&amp;C715,"")</f>
        <v/>
      </c>
      <c r="Q715">
        <f>AND(O715,COUNTIF(P716:P$1002,P715)=0)</f>
        <v/>
      </c>
      <c r="R715">
        <f>OR(AND(설정!$A$42&lt;&gt;"",ISNUMBER(SEARCH(설정!$A$42,E715&amp;" "&amp;C715))),AND(설정!$A$43&lt;&gt;"",ISNUMBER(SEARCH(설정!$A$43,E715&amp;" "&amp;C715))),AND(설정!$A$44&lt;&gt;"",ISNUMBER(SEARCH(설정!$A$44,E715&amp;" "&amp;C715))),AND(설정!$A$45&lt;&gt;"",ISNUMBER(SEARCH(설정!$A$45,E715&amp;" "&amp;C715))),AND(설정!$A$46&lt;&gt;"",ISNUMBER(SEARCH(설정!$A$46,E715&amp;" "&amp;C715))),AND(설정!$A$47&lt;&gt;"",ISNUMBER(SEARCH(설정!$A$47,E715&amp;" "&amp;C715))),AND(설정!$A$48&lt;&gt;"",ISNUMBER(SEARCH(설정!$A$48,E715&amp;" "&amp;C715))),AND(설정!$A$49&lt;&gt;"",ISNUMBER(SEARCH(설정!$A$49,E715&amp;" "&amp;C715))),AND(설정!$A$50&lt;&gt;"",ISNUMBER(SEARCH(설정!$A$50,E715&amp;" "&amp;C715))),AND(설정!$A$51&lt;&gt;"",ISNUMBER(SEARCH(설정!$A$51,E715&amp;" "&amp;C715))))</f>
        <v/>
      </c>
      <c r="S715">
        <f>OR(D715="",D715&gt;=설정!$B$19)</f>
        <v/>
      </c>
      <c r="T715">
        <f>AND(Q715,R715,S715)</f>
        <v/>
      </c>
      <c r="U715">
        <f>IF(T715,IF(AND(설정!$A$54&lt;&gt;"",ISNUMBER(SEARCH(설정!$A$54,K715))),설정!$B$54,IF(AND(설정!$A$55&lt;&gt;"",ISNUMBER(SEARCH(설정!$A$55,K715))),설정!$B$55,IF(AND(설정!$A$56&lt;&gt;"",ISNUMBER(SEARCH(설정!$A$56,K715))),설정!$B$56,IF(AND(설정!$A$57&lt;&gt;"",ISNUMBER(SEARCH(설정!$A$57,K715))),설정!$B$57,IF(AND(설정!$A$58&lt;&gt;"",ISNUMBER(SEARCH(설정!$A$58,K715))),설정!$B$58,IF(AND(설정!$A$59&lt;&gt;"",ISNUMBER(SEARCH(설정!$A$59,K715))),설정!$B$59,IF(AND(설정!$A$60&lt;&gt;"",ISNUMBER(SEARCH(설정!$A$60,K715))),설정!$B$60,IF(AND(설정!$A$61&lt;&gt;"",ISNUMBER(SEARCH(설정!$A$61,K715))),설정!$B$61,IF(M715="","설계사","시공사"))))))))),"")</f>
        <v/>
      </c>
      <c r="V715">
        <f>SUBSTITUTE(SUBSTITUTE(SUBSTITUTE(SUBSTITUTE(G715,"(주)",""),"㈜",""),"주식회사","")," ","")</f>
        <v/>
      </c>
      <c r="W715">
        <f>IF(AND(T715,V715&lt;&gt;""),IF(COUNTIFS(V$2:V715,V715,T$2:T715,TRUE)=1,MAX(W$1:W714)+1,""),"")</f>
        <v/>
      </c>
      <c r="X715">
        <f>IF(설정!$C$14="","",IFERROR(INDEX('1.산군_붙여넣기'!$A$1:$AZ$1001,ROW(),설정!$C$14)&amp;"",""))</f>
        <v/>
      </c>
      <c r="Y715">
        <f>IF(설정!$C$15="","",IFERROR(INDEX('1.산군_붙여넣기'!$A$1:$AZ$1001,ROW(),설정!$C$15)&amp;"",""))</f>
        <v/>
      </c>
      <c r="Z715">
        <f>IF(T715,V715&amp;"|"&amp;U715,"")</f>
        <v/>
      </c>
      <c r="AA715">
        <f>IF(NOT(Q715),"",IF(NOT(AND(R715,S715)),"✕",IF(OR(OR(AND(L715&lt;&gt;"",M715&lt;&gt;"",N(M715)-N(L715)&gt;설정!$B$27),AND(L715&lt;&gt;"",M715="",설정!$B$24-N(L715)&gt;설정!$B$27)),AND(D715&lt;&gt;"",D715&lt;설정!$B$26)),"△","★")))</f>
        <v/>
      </c>
      <c r="AB715">
        <f>IF(NOT(T715),"",IF(U715="설계사",설정!$B$31,IF(U715="시공사",IF(OR(M715="",설정!$B$24-N(M715)&lt;=설정!$B$28*30.4),설정!$B$32,설정!$B$33),설정!$B$34))+IF(AA715="★",설정!$B$35,0))</f>
        <v/>
      </c>
      <c r="AC715">
        <f>SUBSTITUTE(SUBSTITUTE(SUBSTITUTE(SUBSTITUTE(H715,"(주)",""),"㈜",""),"주식회사","")," ","")</f>
        <v/>
      </c>
      <c r="AD715">
        <f>IF(AND(T715,AC715&lt;&gt;""),IF(COUNTIFS(AC$2:AC715,AC715,T$2:T715,TRUE)=1,MAX(AD$1:AD714)+1,""),"")</f>
        <v/>
      </c>
    </row>
    <row r="716">
      <c r="A716">
        <f>ROW()</f>
        <v/>
      </c>
      <c r="B716">
        <f>IF(설정!$C$4="","",IFERROR(INDEX('1.산군_붙여넣기'!$A$1:$AZ$1001,ROW(),설정!$C$4)&amp;"",""))</f>
        <v/>
      </c>
      <c r="C716">
        <f>IF(설정!$C$5="","",IFERROR(INDEX('1.산군_붙여넣기'!$A$1:$AZ$1001,ROW(),설정!$C$5)&amp;"",""))</f>
        <v/>
      </c>
      <c r="D716" s="5">
        <f>IFERROR(VALUE(SUBSTITUTE(SUBSTITUTE(SUBSTITUTE(IF(설정!$C$6="","",IFERROR(INDEX('1.산군_붙여넣기'!$A$1:$AZ$1001,ROW(),설정!$C$6)&amp;"","")),",",""),"㎡",""),"m2","")),"")</f>
        <v/>
      </c>
      <c r="E716">
        <f>IF(설정!$C$7="","",IFERROR(INDEX('1.산군_붙여넣기'!$A$1:$AZ$1001,ROW(),설정!$C$7)&amp;"",""))</f>
        <v/>
      </c>
      <c r="F716">
        <f>IF(설정!$C$8="","",IFERROR(INDEX('1.산군_붙여넣기'!$A$1:$AZ$1001,ROW(),설정!$C$8)&amp;"",""))</f>
        <v/>
      </c>
      <c r="G716">
        <f>IF(설정!$C$9="","",IFERROR(INDEX('1.산군_붙여넣기'!$A$1:$AZ$1001,ROW(),설정!$C$9)&amp;"",""))</f>
        <v/>
      </c>
      <c r="H716">
        <f>IF(설정!$C$10="","",IFERROR(INDEX('1.산군_붙여넣기'!$A$1:$AZ$1001,ROW(),설정!$C$10)&amp;"",""))</f>
        <v/>
      </c>
      <c r="I716">
        <f>IF(설정!$C$11="","",IFERROR(INDEX('1.산군_붙여넣기'!$A$1:$AZ$1001,ROW(),설정!$C$11)&amp;"",""))</f>
        <v/>
      </c>
      <c r="J716">
        <f>IF(설정!$C$12="","",IFERROR(INDEX('1.산군_붙여넣기'!$A$1:$AZ$1001,ROW(),설정!$C$12)&amp;"",""))</f>
        <v/>
      </c>
      <c r="K716">
        <f>IF(설정!$C$13="","",IFERROR(INDEX('1.산군_붙여넣기'!$A$1:$AZ$1001,ROW(),설정!$C$13)&amp;"",""))</f>
        <v/>
      </c>
      <c r="L716" s="7">
        <f>IF(X716="","",IF(AND(LEN(X716)=8,ISNUMBER(X716*1)),DATE(LEFT(X716,4),MID(X716,5,2),RIGHT(X716,2)),IFERROR(DATEVALUE(SUBSTITUTE(SUBSTITUTE(X716,".","-"),"/","-")),IFERROR(X716*1,""))))</f>
        <v/>
      </c>
      <c r="M716" s="7">
        <f>IF(Y716="","",IF(AND(LEN(Y716)=8,ISNUMBER(Y716*1)),DATE(LEFT(Y716,4),MID(Y716,5,2),RIGHT(Y716,2)),IFERROR(DATEVALUE(SUBSTITUTE(SUBSTITUTE(Y716,".","-"),"/","-")),IFERROR(Y716*1,""))))</f>
        <v/>
      </c>
      <c r="N716">
        <f>IFERROR(LEFT(B716,FIND(" ",B716)-1),B716)</f>
        <v/>
      </c>
      <c r="O716">
        <f>AND(B716&lt;&gt;"",B716&lt;&gt;설정!$B$4,C716&lt;&gt;설정!$B$5)</f>
        <v/>
      </c>
      <c r="P716">
        <f>IF(O716,B716&amp;"|"&amp;C716,"")</f>
        <v/>
      </c>
      <c r="Q716">
        <f>AND(O716,COUNTIF(P717:P$1002,P716)=0)</f>
        <v/>
      </c>
      <c r="R716">
        <f>OR(AND(설정!$A$42&lt;&gt;"",ISNUMBER(SEARCH(설정!$A$42,E716&amp;" "&amp;C716))),AND(설정!$A$43&lt;&gt;"",ISNUMBER(SEARCH(설정!$A$43,E716&amp;" "&amp;C716))),AND(설정!$A$44&lt;&gt;"",ISNUMBER(SEARCH(설정!$A$44,E716&amp;" "&amp;C716))),AND(설정!$A$45&lt;&gt;"",ISNUMBER(SEARCH(설정!$A$45,E716&amp;" "&amp;C716))),AND(설정!$A$46&lt;&gt;"",ISNUMBER(SEARCH(설정!$A$46,E716&amp;" "&amp;C716))),AND(설정!$A$47&lt;&gt;"",ISNUMBER(SEARCH(설정!$A$47,E716&amp;" "&amp;C716))),AND(설정!$A$48&lt;&gt;"",ISNUMBER(SEARCH(설정!$A$48,E716&amp;" "&amp;C716))),AND(설정!$A$49&lt;&gt;"",ISNUMBER(SEARCH(설정!$A$49,E716&amp;" "&amp;C716))),AND(설정!$A$50&lt;&gt;"",ISNUMBER(SEARCH(설정!$A$50,E716&amp;" "&amp;C716))),AND(설정!$A$51&lt;&gt;"",ISNUMBER(SEARCH(설정!$A$51,E716&amp;" "&amp;C716))))</f>
        <v/>
      </c>
      <c r="S716">
        <f>OR(D716="",D716&gt;=설정!$B$19)</f>
        <v/>
      </c>
      <c r="T716">
        <f>AND(Q716,R716,S716)</f>
        <v/>
      </c>
      <c r="U716">
        <f>IF(T716,IF(AND(설정!$A$54&lt;&gt;"",ISNUMBER(SEARCH(설정!$A$54,K716))),설정!$B$54,IF(AND(설정!$A$55&lt;&gt;"",ISNUMBER(SEARCH(설정!$A$55,K716))),설정!$B$55,IF(AND(설정!$A$56&lt;&gt;"",ISNUMBER(SEARCH(설정!$A$56,K716))),설정!$B$56,IF(AND(설정!$A$57&lt;&gt;"",ISNUMBER(SEARCH(설정!$A$57,K716))),설정!$B$57,IF(AND(설정!$A$58&lt;&gt;"",ISNUMBER(SEARCH(설정!$A$58,K716))),설정!$B$58,IF(AND(설정!$A$59&lt;&gt;"",ISNUMBER(SEARCH(설정!$A$59,K716))),설정!$B$59,IF(AND(설정!$A$60&lt;&gt;"",ISNUMBER(SEARCH(설정!$A$60,K716))),설정!$B$60,IF(AND(설정!$A$61&lt;&gt;"",ISNUMBER(SEARCH(설정!$A$61,K716))),설정!$B$61,IF(M716="","설계사","시공사"))))))))),"")</f>
        <v/>
      </c>
      <c r="V716">
        <f>SUBSTITUTE(SUBSTITUTE(SUBSTITUTE(SUBSTITUTE(G716,"(주)",""),"㈜",""),"주식회사","")," ","")</f>
        <v/>
      </c>
      <c r="W716">
        <f>IF(AND(T716,V716&lt;&gt;""),IF(COUNTIFS(V$2:V716,V716,T$2:T716,TRUE)=1,MAX(W$1:W715)+1,""),"")</f>
        <v/>
      </c>
      <c r="X716">
        <f>IF(설정!$C$14="","",IFERROR(INDEX('1.산군_붙여넣기'!$A$1:$AZ$1001,ROW(),설정!$C$14)&amp;"",""))</f>
        <v/>
      </c>
      <c r="Y716">
        <f>IF(설정!$C$15="","",IFERROR(INDEX('1.산군_붙여넣기'!$A$1:$AZ$1001,ROW(),설정!$C$15)&amp;"",""))</f>
        <v/>
      </c>
      <c r="Z716">
        <f>IF(T716,V716&amp;"|"&amp;U716,"")</f>
        <v/>
      </c>
      <c r="AA716">
        <f>IF(NOT(Q716),"",IF(NOT(AND(R716,S716)),"✕",IF(OR(OR(AND(L716&lt;&gt;"",M716&lt;&gt;"",N(M716)-N(L716)&gt;설정!$B$27),AND(L716&lt;&gt;"",M716="",설정!$B$24-N(L716)&gt;설정!$B$27)),AND(D716&lt;&gt;"",D716&lt;설정!$B$26)),"△","★")))</f>
        <v/>
      </c>
      <c r="AB716">
        <f>IF(NOT(T716),"",IF(U716="설계사",설정!$B$31,IF(U716="시공사",IF(OR(M716="",설정!$B$24-N(M716)&lt;=설정!$B$28*30.4),설정!$B$32,설정!$B$33),설정!$B$34))+IF(AA716="★",설정!$B$35,0))</f>
        <v/>
      </c>
      <c r="AC716">
        <f>SUBSTITUTE(SUBSTITUTE(SUBSTITUTE(SUBSTITUTE(H716,"(주)",""),"㈜",""),"주식회사","")," ","")</f>
        <v/>
      </c>
      <c r="AD716">
        <f>IF(AND(T716,AC716&lt;&gt;""),IF(COUNTIFS(AC$2:AC716,AC716,T$2:T716,TRUE)=1,MAX(AD$1:AD715)+1,""),"")</f>
        <v/>
      </c>
    </row>
    <row r="717">
      <c r="A717">
        <f>ROW()</f>
        <v/>
      </c>
      <c r="B717">
        <f>IF(설정!$C$4="","",IFERROR(INDEX('1.산군_붙여넣기'!$A$1:$AZ$1001,ROW(),설정!$C$4)&amp;"",""))</f>
        <v/>
      </c>
      <c r="C717">
        <f>IF(설정!$C$5="","",IFERROR(INDEX('1.산군_붙여넣기'!$A$1:$AZ$1001,ROW(),설정!$C$5)&amp;"",""))</f>
        <v/>
      </c>
      <c r="D717" s="5">
        <f>IFERROR(VALUE(SUBSTITUTE(SUBSTITUTE(SUBSTITUTE(IF(설정!$C$6="","",IFERROR(INDEX('1.산군_붙여넣기'!$A$1:$AZ$1001,ROW(),설정!$C$6)&amp;"","")),",",""),"㎡",""),"m2","")),"")</f>
        <v/>
      </c>
      <c r="E717">
        <f>IF(설정!$C$7="","",IFERROR(INDEX('1.산군_붙여넣기'!$A$1:$AZ$1001,ROW(),설정!$C$7)&amp;"",""))</f>
        <v/>
      </c>
      <c r="F717">
        <f>IF(설정!$C$8="","",IFERROR(INDEX('1.산군_붙여넣기'!$A$1:$AZ$1001,ROW(),설정!$C$8)&amp;"",""))</f>
        <v/>
      </c>
      <c r="G717">
        <f>IF(설정!$C$9="","",IFERROR(INDEX('1.산군_붙여넣기'!$A$1:$AZ$1001,ROW(),설정!$C$9)&amp;"",""))</f>
        <v/>
      </c>
      <c r="H717">
        <f>IF(설정!$C$10="","",IFERROR(INDEX('1.산군_붙여넣기'!$A$1:$AZ$1001,ROW(),설정!$C$10)&amp;"",""))</f>
        <v/>
      </c>
      <c r="I717">
        <f>IF(설정!$C$11="","",IFERROR(INDEX('1.산군_붙여넣기'!$A$1:$AZ$1001,ROW(),설정!$C$11)&amp;"",""))</f>
        <v/>
      </c>
      <c r="J717">
        <f>IF(설정!$C$12="","",IFERROR(INDEX('1.산군_붙여넣기'!$A$1:$AZ$1001,ROW(),설정!$C$12)&amp;"",""))</f>
        <v/>
      </c>
      <c r="K717">
        <f>IF(설정!$C$13="","",IFERROR(INDEX('1.산군_붙여넣기'!$A$1:$AZ$1001,ROW(),설정!$C$13)&amp;"",""))</f>
        <v/>
      </c>
      <c r="L717" s="7">
        <f>IF(X717="","",IF(AND(LEN(X717)=8,ISNUMBER(X717*1)),DATE(LEFT(X717,4),MID(X717,5,2),RIGHT(X717,2)),IFERROR(DATEVALUE(SUBSTITUTE(SUBSTITUTE(X717,".","-"),"/","-")),IFERROR(X717*1,""))))</f>
        <v/>
      </c>
      <c r="M717" s="7">
        <f>IF(Y717="","",IF(AND(LEN(Y717)=8,ISNUMBER(Y717*1)),DATE(LEFT(Y717,4),MID(Y717,5,2),RIGHT(Y717,2)),IFERROR(DATEVALUE(SUBSTITUTE(SUBSTITUTE(Y717,".","-"),"/","-")),IFERROR(Y717*1,""))))</f>
        <v/>
      </c>
      <c r="N717">
        <f>IFERROR(LEFT(B717,FIND(" ",B717)-1),B717)</f>
        <v/>
      </c>
      <c r="O717">
        <f>AND(B717&lt;&gt;"",B717&lt;&gt;설정!$B$4,C717&lt;&gt;설정!$B$5)</f>
        <v/>
      </c>
      <c r="P717">
        <f>IF(O717,B717&amp;"|"&amp;C717,"")</f>
        <v/>
      </c>
      <c r="Q717">
        <f>AND(O717,COUNTIF(P718:P$1002,P717)=0)</f>
        <v/>
      </c>
      <c r="R717">
        <f>OR(AND(설정!$A$42&lt;&gt;"",ISNUMBER(SEARCH(설정!$A$42,E717&amp;" "&amp;C717))),AND(설정!$A$43&lt;&gt;"",ISNUMBER(SEARCH(설정!$A$43,E717&amp;" "&amp;C717))),AND(설정!$A$44&lt;&gt;"",ISNUMBER(SEARCH(설정!$A$44,E717&amp;" "&amp;C717))),AND(설정!$A$45&lt;&gt;"",ISNUMBER(SEARCH(설정!$A$45,E717&amp;" "&amp;C717))),AND(설정!$A$46&lt;&gt;"",ISNUMBER(SEARCH(설정!$A$46,E717&amp;" "&amp;C717))),AND(설정!$A$47&lt;&gt;"",ISNUMBER(SEARCH(설정!$A$47,E717&amp;" "&amp;C717))),AND(설정!$A$48&lt;&gt;"",ISNUMBER(SEARCH(설정!$A$48,E717&amp;" "&amp;C717))),AND(설정!$A$49&lt;&gt;"",ISNUMBER(SEARCH(설정!$A$49,E717&amp;" "&amp;C717))),AND(설정!$A$50&lt;&gt;"",ISNUMBER(SEARCH(설정!$A$50,E717&amp;" "&amp;C717))),AND(설정!$A$51&lt;&gt;"",ISNUMBER(SEARCH(설정!$A$51,E717&amp;" "&amp;C717))))</f>
        <v/>
      </c>
      <c r="S717">
        <f>OR(D717="",D717&gt;=설정!$B$19)</f>
        <v/>
      </c>
      <c r="T717">
        <f>AND(Q717,R717,S717)</f>
        <v/>
      </c>
      <c r="U717">
        <f>IF(T717,IF(AND(설정!$A$54&lt;&gt;"",ISNUMBER(SEARCH(설정!$A$54,K717))),설정!$B$54,IF(AND(설정!$A$55&lt;&gt;"",ISNUMBER(SEARCH(설정!$A$55,K717))),설정!$B$55,IF(AND(설정!$A$56&lt;&gt;"",ISNUMBER(SEARCH(설정!$A$56,K717))),설정!$B$56,IF(AND(설정!$A$57&lt;&gt;"",ISNUMBER(SEARCH(설정!$A$57,K717))),설정!$B$57,IF(AND(설정!$A$58&lt;&gt;"",ISNUMBER(SEARCH(설정!$A$58,K717))),설정!$B$58,IF(AND(설정!$A$59&lt;&gt;"",ISNUMBER(SEARCH(설정!$A$59,K717))),설정!$B$59,IF(AND(설정!$A$60&lt;&gt;"",ISNUMBER(SEARCH(설정!$A$60,K717))),설정!$B$60,IF(AND(설정!$A$61&lt;&gt;"",ISNUMBER(SEARCH(설정!$A$61,K717))),설정!$B$61,IF(M717="","설계사","시공사"))))))))),"")</f>
        <v/>
      </c>
      <c r="V717">
        <f>SUBSTITUTE(SUBSTITUTE(SUBSTITUTE(SUBSTITUTE(G717,"(주)",""),"㈜",""),"주식회사","")," ","")</f>
        <v/>
      </c>
      <c r="W717">
        <f>IF(AND(T717,V717&lt;&gt;""),IF(COUNTIFS(V$2:V717,V717,T$2:T717,TRUE)=1,MAX(W$1:W716)+1,""),"")</f>
        <v/>
      </c>
      <c r="X717">
        <f>IF(설정!$C$14="","",IFERROR(INDEX('1.산군_붙여넣기'!$A$1:$AZ$1001,ROW(),설정!$C$14)&amp;"",""))</f>
        <v/>
      </c>
      <c r="Y717">
        <f>IF(설정!$C$15="","",IFERROR(INDEX('1.산군_붙여넣기'!$A$1:$AZ$1001,ROW(),설정!$C$15)&amp;"",""))</f>
        <v/>
      </c>
      <c r="Z717">
        <f>IF(T717,V717&amp;"|"&amp;U717,"")</f>
        <v/>
      </c>
      <c r="AA717">
        <f>IF(NOT(Q717),"",IF(NOT(AND(R717,S717)),"✕",IF(OR(OR(AND(L717&lt;&gt;"",M717&lt;&gt;"",N(M717)-N(L717)&gt;설정!$B$27),AND(L717&lt;&gt;"",M717="",설정!$B$24-N(L717)&gt;설정!$B$27)),AND(D717&lt;&gt;"",D717&lt;설정!$B$26)),"△","★")))</f>
        <v/>
      </c>
      <c r="AB717">
        <f>IF(NOT(T717),"",IF(U717="설계사",설정!$B$31,IF(U717="시공사",IF(OR(M717="",설정!$B$24-N(M717)&lt;=설정!$B$28*30.4),설정!$B$32,설정!$B$33),설정!$B$34))+IF(AA717="★",설정!$B$35,0))</f>
        <v/>
      </c>
      <c r="AC717">
        <f>SUBSTITUTE(SUBSTITUTE(SUBSTITUTE(SUBSTITUTE(H717,"(주)",""),"㈜",""),"주식회사","")," ","")</f>
        <v/>
      </c>
      <c r="AD717">
        <f>IF(AND(T717,AC717&lt;&gt;""),IF(COUNTIFS(AC$2:AC717,AC717,T$2:T717,TRUE)=1,MAX(AD$1:AD716)+1,""),"")</f>
        <v/>
      </c>
    </row>
    <row r="718">
      <c r="A718">
        <f>ROW()</f>
        <v/>
      </c>
      <c r="B718">
        <f>IF(설정!$C$4="","",IFERROR(INDEX('1.산군_붙여넣기'!$A$1:$AZ$1001,ROW(),설정!$C$4)&amp;"",""))</f>
        <v/>
      </c>
      <c r="C718">
        <f>IF(설정!$C$5="","",IFERROR(INDEX('1.산군_붙여넣기'!$A$1:$AZ$1001,ROW(),설정!$C$5)&amp;"",""))</f>
        <v/>
      </c>
      <c r="D718" s="5">
        <f>IFERROR(VALUE(SUBSTITUTE(SUBSTITUTE(SUBSTITUTE(IF(설정!$C$6="","",IFERROR(INDEX('1.산군_붙여넣기'!$A$1:$AZ$1001,ROW(),설정!$C$6)&amp;"","")),",",""),"㎡",""),"m2","")),"")</f>
        <v/>
      </c>
      <c r="E718">
        <f>IF(설정!$C$7="","",IFERROR(INDEX('1.산군_붙여넣기'!$A$1:$AZ$1001,ROW(),설정!$C$7)&amp;"",""))</f>
        <v/>
      </c>
      <c r="F718">
        <f>IF(설정!$C$8="","",IFERROR(INDEX('1.산군_붙여넣기'!$A$1:$AZ$1001,ROW(),설정!$C$8)&amp;"",""))</f>
        <v/>
      </c>
      <c r="G718">
        <f>IF(설정!$C$9="","",IFERROR(INDEX('1.산군_붙여넣기'!$A$1:$AZ$1001,ROW(),설정!$C$9)&amp;"",""))</f>
        <v/>
      </c>
      <c r="H718">
        <f>IF(설정!$C$10="","",IFERROR(INDEX('1.산군_붙여넣기'!$A$1:$AZ$1001,ROW(),설정!$C$10)&amp;"",""))</f>
        <v/>
      </c>
      <c r="I718">
        <f>IF(설정!$C$11="","",IFERROR(INDEX('1.산군_붙여넣기'!$A$1:$AZ$1001,ROW(),설정!$C$11)&amp;"",""))</f>
        <v/>
      </c>
      <c r="J718">
        <f>IF(설정!$C$12="","",IFERROR(INDEX('1.산군_붙여넣기'!$A$1:$AZ$1001,ROW(),설정!$C$12)&amp;"",""))</f>
        <v/>
      </c>
      <c r="K718">
        <f>IF(설정!$C$13="","",IFERROR(INDEX('1.산군_붙여넣기'!$A$1:$AZ$1001,ROW(),설정!$C$13)&amp;"",""))</f>
        <v/>
      </c>
      <c r="L718" s="7">
        <f>IF(X718="","",IF(AND(LEN(X718)=8,ISNUMBER(X718*1)),DATE(LEFT(X718,4),MID(X718,5,2),RIGHT(X718,2)),IFERROR(DATEVALUE(SUBSTITUTE(SUBSTITUTE(X718,".","-"),"/","-")),IFERROR(X718*1,""))))</f>
        <v/>
      </c>
      <c r="M718" s="7">
        <f>IF(Y718="","",IF(AND(LEN(Y718)=8,ISNUMBER(Y718*1)),DATE(LEFT(Y718,4),MID(Y718,5,2),RIGHT(Y718,2)),IFERROR(DATEVALUE(SUBSTITUTE(SUBSTITUTE(Y718,".","-"),"/","-")),IFERROR(Y718*1,""))))</f>
        <v/>
      </c>
      <c r="N718">
        <f>IFERROR(LEFT(B718,FIND(" ",B718)-1),B718)</f>
        <v/>
      </c>
      <c r="O718">
        <f>AND(B718&lt;&gt;"",B718&lt;&gt;설정!$B$4,C718&lt;&gt;설정!$B$5)</f>
        <v/>
      </c>
      <c r="P718">
        <f>IF(O718,B718&amp;"|"&amp;C718,"")</f>
        <v/>
      </c>
      <c r="Q718">
        <f>AND(O718,COUNTIF(P719:P$1002,P718)=0)</f>
        <v/>
      </c>
      <c r="R718">
        <f>OR(AND(설정!$A$42&lt;&gt;"",ISNUMBER(SEARCH(설정!$A$42,E718&amp;" "&amp;C718))),AND(설정!$A$43&lt;&gt;"",ISNUMBER(SEARCH(설정!$A$43,E718&amp;" "&amp;C718))),AND(설정!$A$44&lt;&gt;"",ISNUMBER(SEARCH(설정!$A$44,E718&amp;" "&amp;C718))),AND(설정!$A$45&lt;&gt;"",ISNUMBER(SEARCH(설정!$A$45,E718&amp;" "&amp;C718))),AND(설정!$A$46&lt;&gt;"",ISNUMBER(SEARCH(설정!$A$46,E718&amp;" "&amp;C718))),AND(설정!$A$47&lt;&gt;"",ISNUMBER(SEARCH(설정!$A$47,E718&amp;" "&amp;C718))),AND(설정!$A$48&lt;&gt;"",ISNUMBER(SEARCH(설정!$A$48,E718&amp;" "&amp;C718))),AND(설정!$A$49&lt;&gt;"",ISNUMBER(SEARCH(설정!$A$49,E718&amp;" "&amp;C718))),AND(설정!$A$50&lt;&gt;"",ISNUMBER(SEARCH(설정!$A$50,E718&amp;" "&amp;C718))),AND(설정!$A$51&lt;&gt;"",ISNUMBER(SEARCH(설정!$A$51,E718&amp;" "&amp;C718))))</f>
        <v/>
      </c>
      <c r="S718">
        <f>OR(D718="",D718&gt;=설정!$B$19)</f>
        <v/>
      </c>
      <c r="T718">
        <f>AND(Q718,R718,S718)</f>
        <v/>
      </c>
      <c r="U718">
        <f>IF(T718,IF(AND(설정!$A$54&lt;&gt;"",ISNUMBER(SEARCH(설정!$A$54,K718))),설정!$B$54,IF(AND(설정!$A$55&lt;&gt;"",ISNUMBER(SEARCH(설정!$A$55,K718))),설정!$B$55,IF(AND(설정!$A$56&lt;&gt;"",ISNUMBER(SEARCH(설정!$A$56,K718))),설정!$B$56,IF(AND(설정!$A$57&lt;&gt;"",ISNUMBER(SEARCH(설정!$A$57,K718))),설정!$B$57,IF(AND(설정!$A$58&lt;&gt;"",ISNUMBER(SEARCH(설정!$A$58,K718))),설정!$B$58,IF(AND(설정!$A$59&lt;&gt;"",ISNUMBER(SEARCH(설정!$A$59,K718))),설정!$B$59,IF(AND(설정!$A$60&lt;&gt;"",ISNUMBER(SEARCH(설정!$A$60,K718))),설정!$B$60,IF(AND(설정!$A$61&lt;&gt;"",ISNUMBER(SEARCH(설정!$A$61,K718))),설정!$B$61,IF(M718="","설계사","시공사"))))))))),"")</f>
        <v/>
      </c>
      <c r="V718">
        <f>SUBSTITUTE(SUBSTITUTE(SUBSTITUTE(SUBSTITUTE(G718,"(주)",""),"㈜",""),"주식회사","")," ","")</f>
        <v/>
      </c>
      <c r="W718">
        <f>IF(AND(T718,V718&lt;&gt;""),IF(COUNTIFS(V$2:V718,V718,T$2:T718,TRUE)=1,MAX(W$1:W717)+1,""),"")</f>
        <v/>
      </c>
      <c r="X718">
        <f>IF(설정!$C$14="","",IFERROR(INDEX('1.산군_붙여넣기'!$A$1:$AZ$1001,ROW(),설정!$C$14)&amp;"",""))</f>
        <v/>
      </c>
      <c r="Y718">
        <f>IF(설정!$C$15="","",IFERROR(INDEX('1.산군_붙여넣기'!$A$1:$AZ$1001,ROW(),설정!$C$15)&amp;"",""))</f>
        <v/>
      </c>
      <c r="Z718">
        <f>IF(T718,V718&amp;"|"&amp;U718,"")</f>
        <v/>
      </c>
      <c r="AA718">
        <f>IF(NOT(Q718),"",IF(NOT(AND(R718,S718)),"✕",IF(OR(OR(AND(L718&lt;&gt;"",M718&lt;&gt;"",N(M718)-N(L718)&gt;설정!$B$27),AND(L718&lt;&gt;"",M718="",설정!$B$24-N(L718)&gt;설정!$B$27)),AND(D718&lt;&gt;"",D718&lt;설정!$B$26)),"△","★")))</f>
        <v/>
      </c>
      <c r="AB718">
        <f>IF(NOT(T718),"",IF(U718="설계사",설정!$B$31,IF(U718="시공사",IF(OR(M718="",설정!$B$24-N(M718)&lt;=설정!$B$28*30.4),설정!$B$32,설정!$B$33),설정!$B$34))+IF(AA718="★",설정!$B$35,0))</f>
        <v/>
      </c>
      <c r="AC718">
        <f>SUBSTITUTE(SUBSTITUTE(SUBSTITUTE(SUBSTITUTE(H718,"(주)",""),"㈜",""),"주식회사","")," ","")</f>
        <v/>
      </c>
      <c r="AD718">
        <f>IF(AND(T718,AC718&lt;&gt;""),IF(COUNTIFS(AC$2:AC718,AC718,T$2:T718,TRUE)=1,MAX(AD$1:AD717)+1,""),"")</f>
        <v/>
      </c>
    </row>
    <row r="719">
      <c r="A719">
        <f>ROW()</f>
        <v/>
      </c>
      <c r="B719">
        <f>IF(설정!$C$4="","",IFERROR(INDEX('1.산군_붙여넣기'!$A$1:$AZ$1001,ROW(),설정!$C$4)&amp;"",""))</f>
        <v/>
      </c>
      <c r="C719">
        <f>IF(설정!$C$5="","",IFERROR(INDEX('1.산군_붙여넣기'!$A$1:$AZ$1001,ROW(),설정!$C$5)&amp;"",""))</f>
        <v/>
      </c>
      <c r="D719" s="5">
        <f>IFERROR(VALUE(SUBSTITUTE(SUBSTITUTE(SUBSTITUTE(IF(설정!$C$6="","",IFERROR(INDEX('1.산군_붙여넣기'!$A$1:$AZ$1001,ROW(),설정!$C$6)&amp;"","")),",",""),"㎡",""),"m2","")),"")</f>
        <v/>
      </c>
      <c r="E719">
        <f>IF(설정!$C$7="","",IFERROR(INDEX('1.산군_붙여넣기'!$A$1:$AZ$1001,ROW(),설정!$C$7)&amp;"",""))</f>
        <v/>
      </c>
      <c r="F719">
        <f>IF(설정!$C$8="","",IFERROR(INDEX('1.산군_붙여넣기'!$A$1:$AZ$1001,ROW(),설정!$C$8)&amp;"",""))</f>
        <v/>
      </c>
      <c r="G719">
        <f>IF(설정!$C$9="","",IFERROR(INDEX('1.산군_붙여넣기'!$A$1:$AZ$1001,ROW(),설정!$C$9)&amp;"",""))</f>
        <v/>
      </c>
      <c r="H719">
        <f>IF(설정!$C$10="","",IFERROR(INDEX('1.산군_붙여넣기'!$A$1:$AZ$1001,ROW(),설정!$C$10)&amp;"",""))</f>
        <v/>
      </c>
      <c r="I719">
        <f>IF(설정!$C$11="","",IFERROR(INDEX('1.산군_붙여넣기'!$A$1:$AZ$1001,ROW(),설정!$C$11)&amp;"",""))</f>
        <v/>
      </c>
      <c r="J719">
        <f>IF(설정!$C$12="","",IFERROR(INDEX('1.산군_붙여넣기'!$A$1:$AZ$1001,ROW(),설정!$C$12)&amp;"",""))</f>
        <v/>
      </c>
      <c r="K719">
        <f>IF(설정!$C$13="","",IFERROR(INDEX('1.산군_붙여넣기'!$A$1:$AZ$1001,ROW(),설정!$C$13)&amp;"",""))</f>
        <v/>
      </c>
      <c r="L719" s="7">
        <f>IF(X719="","",IF(AND(LEN(X719)=8,ISNUMBER(X719*1)),DATE(LEFT(X719,4),MID(X719,5,2),RIGHT(X719,2)),IFERROR(DATEVALUE(SUBSTITUTE(SUBSTITUTE(X719,".","-"),"/","-")),IFERROR(X719*1,""))))</f>
        <v/>
      </c>
      <c r="M719" s="7">
        <f>IF(Y719="","",IF(AND(LEN(Y719)=8,ISNUMBER(Y719*1)),DATE(LEFT(Y719,4),MID(Y719,5,2),RIGHT(Y719,2)),IFERROR(DATEVALUE(SUBSTITUTE(SUBSTITUTE(Y719,".","-"),"/","-")),IFERROR(Y719*1,""))))</f>
        <v/>
      </c>
      <c r="N719">
        <f>IFERROR(LEFT(B719,FIND(" ",B719)-1),B719)</f>
        <v/>
      </c>
      <c r="O719">
        <f>AND(B719&lt;&gt;"",B719&lt;&gt;설정!$B$4,C719&lt;&gt;설정!$B$5)</f>
        <v/>
      </c>
      <c r="P719">
        <f>IF(O719,B719&amp;"|"&amp;C719,"")</f>
        <v/>
      </c>
      <c r="Q719">
        <f>AND(O719,COUNTIF(P720:P$1002,P719)=0)</f>
        <v/>
      </c>
      <c r="R719">
        <f>OR(AND(설정!$A$42&lt;&gt;"",ISNUMBER(SEARCH(설정!$A$42,E719&amp;" "&amp;C719))),AND(설정!$A$43&lt;&gt;"",ISNUMBER(SEARCH(설정!$A$43,E719&amp;" "&amp;C719))),AND(설정!$A$44&lt;&gt;"",ISNUMBER(SEARCH(설정!$A$44,E719&amp;" "&amp;C719))),AND(설정!$A$45&lt;&gt;"",ISNUMBER(SEARCH(설정!$A$45,E719&amp;" "&amp;C719))),AND(설정!$A$46&lt;&gt;"",ISNUMBER(SEARCH(설정!$A$46,E719&amp;" "&amp;C719))),AND(설정!$A$47&lt;&gt;"",ISNUMBER(SEARCH(설정!$A$47,E719&amp;" "&amp;C719))),AND(설정!$A$48&lt;&gt;"",ISNUMBER(SEARCH(설정!$A$48,E719&amp;" "&amp;C719))),AND(설정!$A$49&lt;&gt;"",ISNUMBER(SEARCH(설정!$A$49,E719&amp;" "&amp;C719))),AND(설정!$A$50&lt;&gt;"",ISNUMBER(SEARCH(설정!$A$50,E719&amp;" "&amp;C719))),AND(설정!$A$51&lt;&gt;"",ISNUMBER(SEARCH(설정!$A$51,E719&amp;" "&amp;C719))))</f>
        <v/>
      </c>
      <c r="S719">
        <f>OR(D719="",D719&gt;=설정!$B$19)</f>
        <v/>
      </c>
      <c r="T719">
        <f>AND(Q719,R719,S719)</f>
        <v/>
      </c>
      <c r="U719">
        <f>IF(T719,IF(AND(설정!$A$54&lt;&gt;"",ISNUMBER(SEARCH(설정!$A$54,K719))),설정!$B$54,IF(AND(설정!$A$55&lt;&gt;"",ISNUMBER(SEARCH(설정!$A$55,K719))),설정!$B$55,IF(AND(설정!$A$56&lt;&gt;"",ISNUMBER(SEARCH(설정!$A$56,K719))),설정!$B$56,IF(AND(설정!$A$57&lt;&gt;"",ISNUMBER(SEARCH(설정!$A$57,K719))),설정!$B$57,IF(AND(설정!$A$58&lt;&gt;"",ISNUMBER(SEARCH(설정!$A$58,K719))),설정!$B$58,IF(AND(설정!$A$59&lt;&gt;"",ISNUMBER(SEARCH(설정!$A$59,K719))),설정!$B$59,IF(AND(설정!$A$60&lt;&gt;"",ISNUMBER(SEARCH(설정!$A$60,K719))),설정!$B$60,IF(AND(설정!$A$61&lt;&gt;"",ISNUMBER(SEARCH(설정!$A$61,K719))),설정!$B$61,IF(M719="","설계사","시공사"))))))))),"")</f>
        <v/>
      </c>
      <c r="V719">
        <f>SUBSTITUTE(SUBSTITUTE(SUBSTITUTE(SUBSTITUTE(G719,"(주)",""),"㈜",""),"주식회사","")," ","")</f>
        <v/>
      </c>
      <c r="W719">
        <f>IF(AND(T719,V719&lt;&gt;""),IF(COUNTIFS(V$2:V719,V719,T$2:T719,TRUE)=1,MAX(W$1:W718)+1,""),"")</f>
        <v/>
      </c>
      <c r="X719">
        <f>IF(설정!$C$14="","",IFERROR(INDEX('1.산군_붙여넣기'!$A$1:$AZ$1001,ROW(),설정!$C$14)&amp;"",""))</f>
        <v/>
      </c>
      <c r="Y719">
        <f>IF(설정!$C$15="","",IFERROR(INDEX('1.산군_붙여넣기'!$A$1:$AZ$1001,ROW(),설정!$C$15)&amp;"",""))</f>
        <v/>
      </c>
      <c r="Z719">
        <f>IF(T719,V719&amp;"|"&amp;U719,"")</f>
        <v/>
      </c>
      <c r="AA719">
        <f>IF(NOT(Q719),"",IF(NOT(AND(R719,S719)),"✕",IF(OR(OR(AND(L719&lt;&gt;"",M719&lt;&gt;"",N(M719)-N(L719)&gt;설정!$B$27),AND(L719&lt;&gt;"",M719="",설정!$B$24-N(L719)&gt;설정!$B$27)),AND(D719&lt;&gt;"",D719&lt;설정!$B$26)),"△","★")))</f>
        <v/>
      </c>
      <c r="AB719">
        <f>IF(NOT(T719),"",IF(U719="설계사",설정!$B$31,IF(U719="시공사",IF(OR(M719="",설정!$B$24-N(M719)&lt;=설정!$B$28*30.4),설정!$B$32,설정!$B$33),설정!$B$34))+IF(AA719="★",설정!$B$35,0))</f>
        <v/>
      </c>
      <c r="AC719">
        <f>SUBSTITUTE(SUBSTITUTE(SUBSTITUTE(SUBSTITUTE(H719,"(주)",""),"㈜",""),"주식회사","")," ","")</f>
        <v/>
      </c>
      <c r="AD719">
        <f>IF(AND(T719,AC719&lt;&gt;""),IF(COUNTIFS(AC$2:AC719,AC719,T$2:T719,TRUE)=1,MAX(AD$1:AD718)+1,""),"")</f>
        <v/>
      </c>
    </row>
    <row r="720">
      <c r="A720">
        <f>ROW()</f>
        <v/>
      </c>
      <c r="B720">
        <f>IF(설정!$C$4="","",IFERROR(INDEX('1.산군_붙여넣기'!$A$1:$AZ$1001,ROW(),설정!$C$4)&amp;"",""))</f>
        <v/>
      </c>
      <c r="C720">
        <f>IF(설정!$C$5="","",IFERROR(INDEX('1.산군_붙여넣기'!$A$1:$AZ$1001,ROW(),설정!$C$5)&amp;"",""))</f>
        <v/>
      </c>
      <c r="D720" s="5">
        <f>IFERROR(VALUE(SUBSTITUTE(SUBSTITUTE(SUBSTITUTE(IF(설정!$C$6="","",IFERROR(INDEX('1.산군_붙여넣기'!$A$1:$AZ$1001,ROW(),설정!$C$6)&amp;"","")),",",""),"㎡",""),"m2","")),"")</f>
        <v/>
      </c>
      <c r="E720">
        <f>IF(설정!$C$7="","",IFERROR(INDEX('1.산군_붙여넣기'!$A$1:$AZ$1001,ROW(),설정!$C$7)&amp;"",""))</f>
        <v/>
      </c>
      <c r="F720">
        <f>IF(설정!$C$8="","",IFERROR(INDEX('1.산군_붙여넣기'!$A$1:$AZ$1001,ROW(),설정!$C$8)&amp;"",""))</f>
        <v/>
      </c>
      <c r="G720">
        <f>IF(설정!$C$9="","",IFERROR(INDEX('1.산군_붙여넣기'!$A$1:$AZ$1001,ROW(),설정!$C$9)&amp;"",""))</f>
        <v/>
      </c>
      <c r="H720">
        <f>IF(설정!$C$10="","",IFERROR(INDEX('1.산군_붙여넣기'!$A$1:$AZ$1001,ROW(),설정!$C$10)&amp;"",""))</f>
        <v/>
      </c>
      <c r="I720">
        <f>IF(설정!$C$11="","",IFERROR(INDEX('1.산군_붙여넣기'!$A$1:$AZ$1001,ROW(),설정!$C$11)&amp;"",""))</f>
        <v/>
      </c>
      <c r="J720">
        <f>IF(설정!$C$12="","",IFERROR(INDEX('1.산군_붙여넣기'!$A$1:$AZ$1001,ROW(),설정!$C$12)&amp;"",""))</f>
        <v/>
      </c>
      <c r="K720">
        <f>IF(설정!$C$13="","",IFERROR(INDEX('1.산군_붙여넣기'!$A$1:$AZ$1001,ROW(),설정!$C$13)&amp;"",""))</f>
        <v/>
      </c>
      <c r="L720" s="7">
        <f>IF(X720="","",IF(AND(LEN(X720)=8,ISNUMBER(X720*1)),DATE(LEFT(X720,4),MID(X720,5,2),RIGHT(X720,2)),IFERROR(DATEVALUE(SUBSTITUTE(SUBSTITUTE(X720,".","-"),"/","-")),IFERROR(X720*1,""))))</f>
        <v/>
      </c>
      <c r="M720" s="7">
        <f>IF(Y720="","",IF(AND(LEN(Y720)=8,ISNUMBER(Y720*1)),DATE(LEFT(Y720,4),MID(Y720,5,2),RIGHT(Y720,2)),IFERROR(DATEVALUE(SUBSTITUTE(SUBSTITUTE(Y720,".","-"),"/","-")),IFERROR(Y720*1,""))))</f>
        <v/>
      </c>
      <c r="N720">
        <f>IFERROR(LEFT(B720,FIND(" ",B720)-1),B720)</f>
        <v/>
      </c>
      <c r="O720">
        <f>AND(B720&lt;&gt;"",B720&lt;&gt;설정!$B$4,C720&lt;&gt;설정!$B$5)</f>
        <v/>
      </c>
      <c r="P720">
        <f>IF(O720,B720&amp;"|"&amp;C720,"")</f>
        <v/>
      </c>
      <c r="Q720">
        <f>AND(O720,COUNTIF(P721:P$1002,P720)=0)</f>
        <v/>
      </c>
      <c r="R720">
        <f>OR(AND(설정!$A$42&lt;&gt;"",ISNUMBER(SEARCH(설정!$A$42,E720&amp;" "&amp;C720))),AND(설정!$A$43&lt;&gt;"",ISNUMBER(SEARCH(설정!$A$43,E720&amp;" "&amp;C720))),AND(설정!$A$44&lt;&gt;"",ISNUMBER(SEARCH(설정!$A$44,E720&amp;" "&amp;C720))),AND(설정!$A$45&lt;&gt;"",ISNUMBER(SEARCH(설정!$A$45,E720&amp;" "&amp;C720))),AND(설정!$A$46&lt;&gt;"",ISNUMBER(SEARCH(설정!$A$46,E720&amp;" "&amp;C720))),AND(설정!$A$47&lt;&gt;"",ISNUMBER(SEARCH(설정!$A$47,E720&amp;" "&amp;C720))),AND(설정!$A$48&lt;&gt;"",ISNUMBER(SEARCH(설정!$A$48,E720&amp;" "&amp;C720))),AND(설정!$A$49&lt;&gt;"",ISNUMBER(SEARCH(설정!$A$49,E720&amp;" "&amp;C720))),AND(설정!$A$50&lt;&gt;"",ISNUMBER(SEARCH(설정!$A$50,E720&amp;" "&amp;C720))),AND(설정!$A$51&lt;&gt;"",ISNUMBER(SEARCH(설정!$A$51,E720&amp;" "&amp;C720))))</f>
        <v/>
      </c>
      <c r="S720">
        <f>OR(D720="",D720&gt;=설정!$B$19)</f>
        <v/>
      </c>
      <c r="T720">
        <f>AND(Q720,R720,S720)</f>
        <v/>
      </c>
      <c r="U720">
        <f>IF(T720,IF(AND(설정!$A$54&lt;&gt;"",ISNUMBER(SEARCH(설정!$A$54,K720))),설정!$B$54,IF(AND(설정!$A$55&lt;&gt;"",ISNUMBER(SEARCH(설정!$A$55,K720))),설정!$B$55,IF(AND(설정!$A$56&lt;&gt;"",ISNUMBER(SEARCH(설정!$A$56,K720))),설정!$B$56,IF(AND(설정!$A$57&lt;&gt;"",ISNUMBER(SEARCH(설정!$A$57,K720))),설정!$B$57,IF(AND(설정!$A$58&lt;&gt;"",ISNUMBER(SEARCH(설정!$A$58,K720))),설정!$B$58,IF(AND(설정!$A$59&lt;&gt;"",ISNUMBER(SEARCH(설정!$A$59,K720))),설정!$B$59,IF(AND(설정!$A$60&lt;&gt;"",ISNUMBER(SEARCH(설정!$A$60,K720))),설정!$B$60,IF(AND(설정!$A$61&lt;&gt;"",ISNUMBER(SEARCH(설정!$A$61,K720))),설정!$B$61,IF(M720="","설계사","시공사"))))))))),"")</f>
        <v/>
      </c>
      <c r="V720">
        <f>SUBSTITUTE(SUBSTITUTE(SUBSTITUTE(SUBSTITUTE(G720,"(주)",""),"㈜",""),"주식회사","")," ","")</f>
        <v/>
      </c>
      <c r="W720">
        <f>IF(AND(T720,V720&lt;&gt;""),IF(COUNTIFS(V$2:V720,V720,T$2:T720,TRUE)=1,MAX(W$1:W719)+1,""),"")</f>
        <v/>
      </c>
      <c r="X720">
        <f>IF(설정!$C$14="","",IFERROR(INDEX('1.산군_붙여넣기'!$A$1:$AZ$1001,ROW(),설정!$C$14)&amp;"",""))</f>
        <v/>
      </c>
      <c r="Y720">
        <f>IF(설정!$C$15="","",IFERROR(INDEX('1.산군_붙여넣기'!$A$1:$AZ$1001,ROW(),설정!$C$15)&amp;"",""))</f>
        <v/>
      </c>
      <c r="Z720">
        <f>IF(T720,V720&amp;"|"&amp;U720,"")</f>
        <v/>
      </c>
      <c r="AA720">
        <f>IF(NOT(Q720),"",IF(NOT(AND(R720,S720)),"✕",IF(OR(OR(AND(L720&lt;&gt;"",M720&lt;&gt;"",N(M720)-N(L720)&gt;설정!$B$27),AND(L720&lt;&gt;"",M720="",설정!$B$24-N(L720)&gt;설정!$B$27)),AND(D720&lt;&gt;"",D720&lt;설정!$B$26)),"△","★")))</f>
        <v/>
      </c>
      <c r="AB720">
        <f>IF(NOT(T720),"",IF(U720="설계사",설정!$B$31,IF(U720="시공사",IF(OR(M720="",설정!$B$24-N(M720)&lt;=설정!$B$28*30.4),설정!$B$32,설정!$B$33),설정!$B$34))+IF(AA720="★",설정!$B$35,0))</f>
        <v/>
      </c>
      <c r="AC720">
        <f>SUBSTITUTE(SUBSTITUTE(SUBSTITUTE(SUBSTITUTE(H720,"(주)",""),"㈜",""),"주식회사","")," ","")</f>
        <v/>
      </c>
      <c r="AD720">
        <f>IF(AND(T720,AC720&lt;&gt;""),IF(COUNTIFS(AC$2:AC720,AC720,T$2:T720,TRUE)=1,MAX(AD$1:AD719)+1,""),"")</f>
        <v/>
      </c>
    </row>
    <row r="721">
      <c r="A721">
        <f>ROW()</f>
        <v/>
      </c>
      <c r="B721">
        <f>IF(설정!$C$4="","",IFERROR(INDEX('1.산군_붙여넣기'!$A$1:$AZ$1001,ROW(),설정!$C$4)&amp;"",""))</f>
        <v/>
      </c>
      <c r="C721">
        <f>IF(설정!$C$5="","",IFERROR(INDEX('1.산군_붙여넣기'!$A$1:$AZ$1001,ROW(),설정!$C$5)&amp;"",""))</f>
        <v/>
      </c>
      <c r="D721" s="5">
        <f>IFERROR(VALUE(SUBSTITUTE(SUBSTITUTE(SUBSTITUTE(IF(설정!$C$6="","",IFERROR(INDEX('1.산군_붙여넣기'!$A$1:$AZ$1001,ROW(),설정!$C$6)&amp;"","")),",",""),"㎡",""),"m2","")),"")</f>
        <v/>
      </c>
      <c r="E721">
        <f>IF(설정!$C$7="","",IFERROR(INDEX('1.산군_붙여넣기'!$A$1:$AZ$1001,ROW(),설정!$C$7)&amp;"",""))</f>
        <v/>
      </c>
      <c r="F721">
        <f>IF(설정!$C$8="","",IFERROR(INDEX('1.산군_붙여넣기'!$A$1:$AZ$1001,ROW(),설정!$C$8)&amp;"",""))</f>
        <v/>
      </c>
      <c r="G721">
        <f>IF(설정!$C$9="","",IFERROR(INDEX('1.산군_붙여넣기'!$A$1:$AZ$1001,ROW(),설정!$C$9)&amp;"",""))</f>
        <v/>
      </c>
      <c r="H721">
        <f>IF(설정!$C$10="","",IFERROR(INDEX('1.산군_붙여넣기'!$A$1:$AZ$1001,ROW(),설정!$C$10)&amp;"",""))</f>
        <v/>
      </c>
      <c r="I721">
        <f>IF(설정!$C$11="","",IFERROR(INDEX('1.산군_붙여넣기'!$A$1:$AZ$1001,ROW(),설정!$C$11)&amp;"",""))</f>
        <v/>
      </c>
      <c r="J721">
        <f>IF(설정!$C$12="","",IFERROR(INDEX('1.산군_붙여넣기'!$A$1:$AZ$1001,ROW(),설정!$C$12)&amp;"",""))</f>
        <v/>
      </c>
      <c r="K721">
        <f>IF(설정!$C$13="","",IFERROR(INDEX('1.산군_붙여넣기'!$A$1:$AZ$1001,ROW(),설정!$C$13)&amp;"",""))</f>
        <v/>
      </c>
      <c r="L721" s="7">
        <f>IF(X721="","",IF(AND(LEN(X721)=8,ISNUMBER(X721*1)),DATE(LEFT(X721,4),MID(X721,5,2),RIGHT(X721,2)),IFERROR(DATEVALUE(SUBSTITUTE(SUBSTITUTE(X721,".","-"),"/","-")),IFERROR(X721*1,""))))</f>
        <v/>
      </c>
      <c r="M721" s="7">
        <f>IF(Y721="","",IF(AND(LEN(Y721)=8,ISNUMBER(Y721*1)),DATE(LEFT(Y721,4),MID(Y721,5,2),RIGHT(Y721,2)),IFERROR(DATEVALUE(SUBSTITUTE(SUBSTITUTE(Y721,".","-"),"/","-")),IFERROR(Y721*1,""))))</f>
        <v/>
      </c>
      <c r="N721">
        <f>IFERROR(LEFT(B721,FIND(" ",B721)-1),B721)</f>
        <v/>
      </c>
      <c r="O721">
        <f>AND(B721&lt;&gt;"",B721&lt;&gt;설정!$B$4,C721&lt;&gt;설정!$B$5)</f>
        <v/>
      </c>
      <c r="P721">
        <f>IF(O721,B721&amp;"|"&amp;C721,"")</f>
        <v/>
      </c>
      <c r="Q721">
        <f>AND(O721,COUNTIF(P722:P$1002,P721)=0)</f>
        <v/>
      </c>
      <c r="R721">
        <f>OR(AND(설정!$A$42&lt;&gt;"",ISNUMBER(SEARCH(설정!$A$42,E721&amp;" "&amp;C721))),AND(설정!$A$43&lt;&gt;"",ISNUMBER(SEARCH(설정!$A$43,E721&amp;" "&amp;C721))),AND(설정!$A$44&lt;&gt;"",ISNUMBER(SEARCH(설정!$A$44,E721&amp;" "&amp;C721))),AND(설정!$A$45&lt;&gt;"",ISNUMBER(SEARCH(설정!$A$45,E721&amp;" "&amp;C721))),AND(설정!$A$46&lt;&gt;"",ISNUMBER(SEARCH(설정!$A$46,E721&amp;" "&amp;C721))),AND(설정!$A$47&lt;&gt;"",ISNUMBER(SEARCH(설정!$A$47,E721&amp;" "&amp;C721))),AND(설정!$A$48&lt;&gt;"",ISNUMBER(SEARCH(설정!$A$48,E721&amp;" "&amp;C721))),AND(설정!$A$49&lt;&gt;"",ISNUMBER(SEARCH(설정!$A$49,E721&amp;" "&amp;C721))),AND(설정!$A$50&lt;&gt;"",ISNUMBER(SEARCH(설정!$A$50,E721&amp;" "&amp;C721))),AND(설정!$A$51&lt;&gt;"",ISNUMBER(SEARCH(설정!$A$51,E721&amp;" "&amp;C721))))</f>
        <v/>
      </c>
      <c r="S721">
        <f>OR(D721="",D721&gt;=설정!$B$19)</f>
        <v/>
      </c>
      <c r="T721">
        <f>AND(Q721,R721,S721)</f>
        <v/>
      </c>
      <c r="U721">
        <f>IF(T721,IF(AND(설정!$A$54&lt;&gt;"",ISNUMBER(SEARCH(설정!$A$54,K721))),설정!$B$54,IF(AND(설정!$A$55&lt;&gt;"",ISNUMBER(SEARCH(설정!$A$55,K721))),설정!$B$55,IF(AND(설정!$A$56&lt;&gt;"",ISNUMBER(SEARCH(설정!$A$56,K721))),설정!$B$56,IF(AND(설정!$A$57&lt;&gt;"",ISNUMBER(SEARCH(설정!$A$57,K721))),설정!$B$57,IF(AND(설정!$A$58&lt;&gt;"",ISNUMBER(SEARCH(설정!$A$58,K721))),설정!$B$58,IF(AND(설정!$A$59&lt;&gt;"",ISNUMBER(SEARCH(설정!$A$59,K721))),설정!$B$59,IF(AND(설정!$A$60&lt;&gt;"",ISNUMBER(SEARCH(설정!$A$60,K721))),설정!$B$60,IF(AND(설정!$A$61&lt;&gt;"",ISNUMBER(SEARCH(설정!$A$61,K721))),설정!$B$61,IF(M721="","설계사","시공사"))))))))),"")</f>
        <v/>
      </c>
      <c r="V721">
        <f>SUBSTITUTE(SUBSTITUTE(SUBSTITUTE(SUBSTITUTE(G721,"(주)",""),"㈜",""),"주식회사","")," ","")</f>
        <v/>
      </c>
      <c r="W721">
        <f>IF(AND(T721,V721&lt;&gt;""),IF(COUNTIFS(V$2:V721,V721,T$2:T721,TRUE)=1,MAX(W$1:W720)+1,""),"")</f>
        <v/>
      </c>
      <c r="X721">
        <f>IF(설정!$C$14="","",IFERROR(INDEX('1.산군_붙여넣기'!$A$1:$AZ$1001,ROW(),설정!$C$14)&amp;"",""))</f>
        <v/>
      </c>
      <c r="Y721">
        <f>IF(설정!$C$15="","",IFERROR(INDEX('1.산군_붙여넣기'!$A$1:$AZ$1001,ROW(),설정!$C$15)&amp;"",""))</f>
        <v/>
      </c>
      <c r="Z721">
        <f>IF(T721,V721&amp;"|"&amp;U721,"")</f>
        <v/>
      </c>
      <c r="AA721">
        <f>IF(NOT(Q721),"",IF(NOT(AND(R721,S721)),"✕",IF(OR(OR(AND(L721&lt;&gt;"",M721&lt;&gt;"",N(M721)-N(L721)&gt;설정!$B$27),AND(L721&lt;&gt;"",M721="",설정!$B$24-N(L721)&gt;설정!$B$27)),AND(D721&lt;&gt;"",D721&lt;설정!$B$26)),"△","★")))</f>
        <v/>
      </c>
      <c r="AB721">
        <f>IF(NOT(T721),"",IF(U721="설계사",설정!$B$31,IF(U721="시공사",IF(OR(M721="",설정!$B$24-N(M721)&lt;=설정!$B$28*30.4),설정!$B$32,설정!$B$33),설정!$B$34))+IF(AA721="★",설정!$B$35,0))</f>
        <v/>
      </c>
      <c r="AC721">
        <f>SUBSTITUTE(SUBSTITUTE(SUBSTITUTE(SUBSTITUTE(H721,"(주)",""),"㈜",""),"주식회사","")," ","")</f>
        <v/>
      </c>
      <c r="AD721">
        <f>IF(AND(T721,AC721&lt;&gt;""),IF(COUNTIFS(AC$2:AC721,AC721,T$2:T721,TRUE)=1,MAX(AD$1:AD720)+1,""),"")</f>
        <v/>
      </c>
    </row>
    <row r="722">
      <c r="A722">
        <f>ROW()</f>
        <v/>
      </c>
      <c r="B722">
        <f>IF(설정!$C$4="","",IFERROR(INDEX('1.산군_붙여넣기'!$A$1:$AZ$1001,ROW(),설정!$C$4)&amp;"",""))</f>
        <v/>
      </c>
      <c r="C722">
        <f>IF(설정!$C$5="","",IFERROR(INDEX('1.산군_붙여넣기'!$A$1:$AZ$1001,ROW(),설정!$C$5)&amp;"",""))</f>
        <v/>
      </c>
      <c r="D722" s="5">
        <f>IFERROR(VALUE(SUBSTITUTE(SUBSTITUTE(SUBSTITUTE(IF(설정!$C$6="","",IFERROR(INDEX('1.산군_붙여넣기'!$A$1:$AZ$1001,ROW(),설정!$C$6)&amp;"","")),",",""),"㎡",""),"m2","")),"")</f>
        <v/>
      </c>
      <c r="E722">
        <f>IF(설정!$C$7="","",IFERROR(INDEX('1.산군_붙여넣기'!$A$1:$AZ$1001,ROW(),설정!$C$7)&amp;"",""))</f>
        <v/>
      </c>
      <c r="F722">
        <f>IF(설정!$C$8="","",IFERROR(INDEX('1.산군_붙여넣기'!$A$1:$AZ$1001,ROW(),설정!$C$8)&amp;"",""))</f>
        <v/>
      </c>
      <c r="G722">
        <f>IF(설정!$C$9="","",IFERROR(INDEX('1.산군_붙여넣기'!$A$1:$AZ$1001,ROW(),설정!$C$9)&amp;"",""))</f>
        <v/>
      </c>
      <c r="H722">
        <f>IF(설정!$C$10="","",IFERROR(INDEX('1.산군_붙여넣기'!$A$1:$AZ$1001,ROW(),설정!$C$10)&amp;"",""))</f>
        <v/>
      </c>
      <c r="I722">
        <f>IF(설정!$C$11="","",IFERROR(INDEX('1.산군_붙여넣기'!$A$1:$AZ$1001,ROW(),설정!$C$11)&amp;"",""))</f>
        <v/>
      </c>
      <c r="J722">
        <f>IF(설정!$C$12="","",IFERROR(INDEX('1.산군_붙여넣기'!$A$1:$AZ$1001,ROW(),설정!$C$12)&amp;"",""))</f>
        <v/>
      </c>
      <c r="K722">
        <f>IF(설정!$C$13="","",IFERROR(INDEX('1.산군_붙여넣기'!$A$1:$AZ$1001,ROW(),설정!$C$13)&amp;"",""))</f>
        <v/>
      </c>
      <c r="L722" s="7">
        <f>IF(X722="","",IF(AND(LEN(X722)=8,ISNUMBER(X722*1)),DATE(LEFT(X722,4),MID(X722,5,2),RIGHT(X722,2)),IFERROR(DATEVALUE(SUBSTITUTE(SUBSTITUTE(X722,".","-"),"/","-")),IFERROR(X722*1,""))))</f>
        <v/>
      </c>
      <c r="M722" s="7">
        <f>IF(Y722="","",IF(AND(LEN(Y722)=8,ISNUMBER(Y722*1)),DATE(LEFT(Y722,4),MID(Y722,5,2),RIGHT(Y722,2)),IFERROR(DATEVALUE(SUBSTITUTE(SUBSTITUTE(Y722,".","-"),"/","-")),IFERROR(Y722*1,""))))</f>
        <v/>
      </c>
      <c r="N722">
        <f>IFERROR(LEFT(B722,FIND(" ",B722)-1),B722)</f>
        <v/>
      </c>
      <c r="O722">
        <f>AND(B722&lt;&gt;"",B722&lt;&gt;설정!$B$4,C722&lt;&gt;설정!$B$5)</f>
        <v/>
      </c>
      <c r="P722">
        <f>IF(O722,B722&amp;"|"&amp;C722,"")</f>
        <v/>
      </c>
      <c r="Q722">
        <f>AND(O722,COUNTIF(P723:P$1002,P722)=0)</f>
        <v/>
      </c>
      <c r="R722">
        <f>OR(AND(설정!$A$42&lt;&gt;"",ISNUMBER(SEARCH(설정!$A$42,E722&amp;" "&amp;C722))),AND(설정!$A$43&lt;&gt;"",ISNUMBER(SEARCH(설정!$A$43,E722&amp;" "&amp;C722))),AND(설정!$A$44&lt;&gt;"",ISNUMBER(SEARCH(설정!$A$44,E722&amp;" "&amp;C722))),AND(설정!$A$45&lt;&gt;"",ISNUMBER(SEARCH(설정!$A$45,E722&amp;" "&amp;C722))),AND(설정!$A$46&lt;&gt;"",ISNUMBER(SEARCH(설정!$A$46,E722&amp;" "&amp;C722))),AND(설정!$A$47&lt;&gt;"",ISNUMBER(SEARCH(설정!$A$47,E722&amp;" "&amp;C722))),AND(설정!$A$48&lt;&gt;"",ISNUMBER(SEARCH(설정!$A$48,E722&amp;" "&amp;C722))),AND(설정!$A$49&lt;&gt;"",ISNUMBER(SEARCH(설정!$A$49,E722&amp;" "&amp;C722))),AND(설정!$A$50&lt;&gt;"",ISNUMBER(SEARCH(설정!$A$50,E722&amp;" "&amp;C722))),AND(설정!$A$51&lt;&gt;"",ISNUMBER(SEARCH(설정!$A$51,E722&amp;" "&amp;C722))))</f>
        <v/>
      </c>
      <c r="S722">
        <f>OR(D722="",D722&gt;=설정!$B$19)</f>
        <v/>
      </c>
      <c r="T722">
        <f>AND(Q722,R722,S722)</f>
        <v/>
      </c>
      <c r="U722">
        <f>IF(T722,IF(AND(설정!$A$54&lt;&gt;"",ISNUMBER(SEARCH(설정!$A$54,K722))),설정!$B$54,IF(AND(설정!$A$55&lt;&gt;"",ISNUMBER(SEARCH(설정!$A$55,K722))),설정!$B$55,IF(AND(설정!$A$56&lt;&gt;"",ISNUMBER(SEARCH(설정!$A$56,K722))),설정!$B$56,IF(AND(설정!$A$57&lt;&gt;"",ISNUMBER(SEARCH(설정!$A$57,K722))),설정!$B$57,IF(AND(설정!$A$58&lt;&gt;"",ISNUMBER(SEARCH(설정!$A$58,K722))),설정!$B$58,IF(AND(설정!$A$59&lt;&gt;"",ISNUMBER(SEARCH(설정!$A$59,K722))),설정!$B$59,IF(AND(설정!$A$60&lt;&gt;"",ISNUMBER(SEARCH(설정!$A$60,K722))),설정!$B$60,IF(AND(설정!$A$61&lt;&gt;"",ISNUMBER(SEARCH(설정!$A$61,K722))),설정!$B$61,IF(M722="","설계사","시공사"))))))))),"")</f>
        <v/>
      </c>
      <c r="V722">
        <f>SUBSTITUTE(SUBSTITUTE(SUBSTITUTE(SUBSTITUTE(G722,"(주)",""),"㈜",""),"주식회사","")," ","")</f>
        <v/>
      </c>
      <c r="W722">
        <f>IF(AND(T722,V722&lt;&gt;""),IF(COUNTIFS(V$2:V722,V722,T$2:T722,TRUE)=1,MAX(W$1:W721)+1,""),"")</f>
        <v/>
      </c>
      <c r="X722">
        <f>IF(설정!$C$14="","",IFERROR(INDEX('1.산군_붙여넣기'!$A$1:$AZ$1001,ROW(),설정!$C$14)&amp;"",""))</f>
        <v/>
      </c>
      <c r="Y722">
        <f>IF(설정!$C$15="","",IFERROR(INDEX('1.산군_붙여넣기'!$A$1:$AZ$1001,ROW(),설정!$C$15)&amp;"",""))</f>
        <v/>
      </c>
      <c r="Z722">
        <f>IF(T722,V722&amp;"|"&amp;U722,"")</f>
        <v/>
      </c>
      <c r="AA722">
        <f>IF(NOT(Q722),"",IF(NOT(AND(R722,S722)),"✕",IF(OR(OR(AND(L722&lt;&gt;"",M722&lt;&gt;"",N(M722)-N(L722)&gt;설정!$B$27),AND(L722&lt;&gt;"",M722="",설정!$B$24-N(L722)&gt;설정!$B$27)),AND(D722&lt;&gt;"",D722&lt;설정!$B$26)),"△","★")))</f>
        <v/>
      </c>
      <c r="AB722">
        <f>IF(NOT(T722),"",IF(U722="설계사",설정!$B$31,IF(U722="시공사",IF(OR(M722="",설정!$B$24-N(M722)&lt;=설정!$B$28*30.4),설정!$B$32,설정!$B$33),설정!$B$34))+IF(AA722="★",설정!$B$35,0))</f>
        <v/>
      </c>
      <c r="AC722">
        <f>SUBSTITUTE(SUBSTITUTE(SUBSTITUTE(SUBSTITUTE(H722,"(주)",""),"㈜",""),"주식회사","")," ","")</f>
        <v/>
      </c>
      <c r="AD722">
        <f>IF(AND(T722,AC722&lt;&gt;""),IF(COUNTIFS(AC$2:AC722,AC722,T$2:T722,TRUE)=1,MAX(AD$1:AD721)+1,""),"")</f>
        <v/>
      </c>
    </row>
    <row r="723">
      <c r="A723">
        <f>ROW()</f>
        <v/>
      </c>
      <c r="B723">
        <f>IF(설정!$C$4="","",IFERROR(INDEX('1.산군_붙여넣기'!$A$1:$AZ$1001,ROW(),설정!$C$4)&amp;"",""))</f>
        <v/>
      </c>
      <c r="C723">
        <f>IF(설정!$C$5="","",IFERROR(INDEX('1.산군_붙여넣기'!$A$1:$AZ$1001,ROW(),설정!$C$5)&amp;"",""))</f>
        <v/>
      </c>
      <c r="D723" s="5">
        <f>IFERROR(VALUE(SUBSTITUTE(SUBSTITUTE(SUBSTITUTE(IF(설정!$C$6="","",IFERROR(INDEX('1.산군_붙여넣기'!$A$1:$AZ$1001,ROW(),설정!$C$6)&amp;"","")),",",""),"㎡",""),"m2","")),"")</f>
        <v/>
      </c>
      <c r="E723">
        <f>IF(설정!$C$7="","",IFERROR(INDEX('1.산군_붙여넣기'!$A$1:$AZ$1001,ROW(),설정!$C$7)&amp;"",""))</f>
        <v/>
      </c>
      <c r="F723">
        <f>IF(설정!$C$8="","",IFERROR(INDEX('1.산군_붙여넣기'!$A$1:$AZ$1001,ROW(),설정!$C$8)&amp;"",""))</f>
        <v/>
      </c>
      <c r="G723">
        <f>IF(설정!$C$9="","",IFERROR(INDEX('1.산군_붙여넣기'!$A$1:$AZ$1001,ROW(),설정!$C$9)&amp;"",""))</f>
        <v/>
      </c>
      <c r="H723">
        <f>IF(설정!$C$10="","",IFERROR(INDEX('1.산군_붙여넣기'!$A$1:$AZ$1001,ROW(),설정!$C$10)&amp;"",""))</f>
        <v/>
      </c>
      <c r="I723">
        <f>IF(설정!$C$11="","",IFERROR(INDEX('1.산군_붙여넣기'!$A$1:$AZ$1001,ROW(),설정!$C$11)&amp;"",""))</f>
        <v/>
      </c>
      <c r="J723">
        <f>IF(설정!$C$12="","",IFERROR(INDEX('1.산군_붙여넣기'!$A$1:$AZ$1001,ROW(),설정!$C$12)&amp;"",""))</f>
        <v/>
      </c>
      <c r="K723">
        <f>IF(설정!$C$13="","",IFERROR(INDEX('1.산군_붙여넣기'!$A$1:$AZ$1001,ROW(),설정!$C$13)&amp;"",""))</f>
        <v/>
      </c>
      <c r="L723" s="7">
        <f>IF(X723="","",IF(AND(LEN(X723)=8,ISNUMBER(X723*1)),DATE(LEFT(X723,4),MID(X723,5,2),RIGHT(X723,2)),IFERROR(DATEVALUE(SUBSTITUTE(SUBSTITUTE(X723,".","-"),"/","-")),IFERROR(X723*1,""))))</f>
        <v/>
      </c>
      <c r="M723" s="7">
        <f>IF(Y723="","",IF(AND(LEN(Y723)=8,ISNUMBER(Y723*1)),DATE(LEFT(Y723,4),MID(Y723,5,2),RIGHT(Y723,2)),IFERROR(DATEVALUE(SUBSTITUTE(SUBSTITUTE(Y723,".","-"),"/","-")),IFERROR(Y723*1,""))))</f>
        <v/>
      </c>
      <c r="N723">
        <f>IFERROR(LEFT(B723,FIND(" ",B723)-1),B723)</f>
        <v/>
      </c>
      <c r="O723">
        <f>AND(B723&lt;&gt;"",B723&lt;&gt;설정!$B$4,C723&lt;&gt;설정!$B$5)</f>
        <v/>
      </c>
      <c r="P723">
        <f>IF(O723,B723&amp;"|"&amp;C723,"")</f>
        <v/>
      </c>
      <c r="Q723">
        <f>AND(O723,COUNTIF(P724:P$1002,P723)=0)</f>
        <v/>
      </c>
      <c r="R723">
        <f>OR(AND(설정!$A$42&lt;&gt;"",ISNUMBER(SEARCH(설정!$A$42,E723&amp;" "&amp;C723))),AND(설정!$A$43&lt;&gt;"",ISNUMBER(SEARCH(설정!$A$43,E723&amp;" "&amp;C723))),AND(설정!$A$44&lt;&gt;"",ISNUMBER(SEARCH(설정!$A$44,E723&amp;" "&amp;C723))),AND(설정!$A$45&lt;&gt;"",ISNUMBER(SEARCH(설정!$A$45,E723&amp;" "&amp;C723))),AND(설정!$A$46&lt;&gt;"",ISNUMBER(SEARCH(설정!$A$46,E723&amp;" "&amp;C723))),AND(설정!$A$47&lt;&gt;"",ISNUMBER(SEARCH(설정!$A$47,E723&amp;" "&amp;C723))),AND(설정!$A$48&lt;&gt;"",ISNUMBER(SEARCH(설정!$A$48,E723&amp;" "&amp;C723))),AND(설정!$A$49&lt;&gt;"",ISNUMBER(SEARCH(설정!$A$49,E723&amp;" "&amp;C723))),AND(설정!$A$50&lt;&gt;"",ISNUMBER(SEARCH(설정!$A$50,E723&amp;" "&amp;C723))),AND(설정!$A$51&lt;&gt;"",ISNUMBER(SEARCH(설정!$A$51,E723&amp;" "&amp;C723))))</f>
        <v/>
      </c>
      <c r="S723">
        <f>OR(D723="",D723&gt;=설정!$B$19)</f>
        <v/>
      </c>
      <c r="T723">
        <f>AND(Q723,R723,S723)</f>
        <v/>
      </c>
      <c r="U723">
        <f>IF(T723,IF(AND(설정!$A$54&lt;&gt;"",ISNUMBER(SEARCH(설정!$A$54,K723))),설정!$B$54,IF(AND(설정!$A$55&lt;&gt;"",ISNUMBER(SEARCH(설정!$A$55,K723))),설정!$B$55,IF(AND(설정!$A$56&lt;&gt;"",ISNUMBER(SEARCH(설정!$A$56,K723))),설정!$B$56,IF(AND(설정!$A$57&lt;&gt;"",ISNUMBER(SEARCH(설정!$A$57,K723))),설정!$B$57,IF(AND(설정!$A$58&lt;&gt;"",ISNUMBER(SEARCH(설정!$A$58,K723))),설정!$B$58,IF(AND(설정!$A$59&lt;&gt;"",ISNUMBER(SEARCH(설정!$A$59,K723))),설정!$B$59,IF(AND(설정!$A$60&lt;&gt;"",ISNUMBER(SEARCH(설정!$A$60,K723))),설정!$B$60,IF(AND(설정!$A$61&lt;&gt;"",ISNUMBER(SEARCH(설정!$A$61,K723))),설정!$B$61,IF(M723="","설계사","시공사"))))))))),"")</f>
        <v/>
      </c>
      <c r="V723">
        <f>SUBSTITUTE(SUBSTITUTE(SUBSTITUTE(SUBSTITUTE(G723,"(주)",""),"㈜",""),"주식회사","")," ","")</f>
        <v/>
      </c>
      <c r="W723">
        <f>IF(AND(T723,V723&lt;&gt;""),IF(COUNTIFS(V$2:V723,V723,T$2:T723,TRUE)=1,MAX(W$1:W722)+1,""),"")</f>
        <v/>
      </c>
      <c r="X723">
        <f>IF(설정!$C$14="","",IFERROR(INDEX('1.산군_붙여넣기'!$A$1:$AZ$1001,ROW(),설정!$C$14)&amp;"",""))</f>
        <v/>
      </c>
      <c r="Y723">
        <f>IF(설정!$C$15="","",IFERROR(INDEX('1.산군_붙여넣기'!$A$1:$AZ$1001,ROW(),설정!$C$15)&amp;"",""))</f>
        <v/>
      </c>
      <c r="Z723">
        <f>IF(T723,V723&amp;"|"&amp;U723,"")</f>
        <v/>
      </c>
      <c r="AA723">
        <f>IF(NOT(Q723),"",IF(NOT(AND(R723,S723)),"✕",IF(OR(OR(AND(L723&lt;&gt;"",M723&lt;&gt;"",N(M723)-N(L723)&gt;설정!$B$27),AND(L723&lt;&gt;"",M723="",설정!$B$24-N(L723)&gt;설정!$B$27)),AND(D723&lt;&gt;"",D723&lt;설정!$B$26)),"△","★")))</f>
        <v/>
      </c>
      <c r="AB723">
        <f>IF(NOT(T723),"",IF(U723="설계사",설정!$B$31,IF(U723="시공사",IF(OR(M723="",설정!$B$24-N(M723)&lt;=설정!$B$28*30.4),설정!$B$32,설정!$B$33),설정!$B$34))+IF(AA723="★",설정!$B$35,0))</f>
        <v/>
      </c>
      <c r="AC723">
        <f>SUBSTITUTE(SUBSTITUTE(SUBSTITUTE(SUBSTITUTE(H723,"(주)",""),"㈜",""),"주식회사","")," ","")</f>
        <v/>
      </c>
      <c r="AD723">
        <f>IF(AND(T723,AC723&lt;&gt;""),IF(COUNTIFS(AC$2:AC723,AC723,T$2:T723,TRUE)=1,MAX(AD$1:AD722)+1,""),"")</f>
        <v/>
      </c>
    </row>
    <row r="724">
      <c r="A724">
        <f>ROW()</f>
        <v/>
      </c>
      <c r="B724">
        <f>IF(설정!$C$4="","",IFERROR(INDEX('1.산군_붙여넣기'!$A$1:$AZ$1001,ROW(),설정!$C$4)&amp;"",""))</f>
        <v/>
      </c>
      <c r="C724">
        <f>IF(설정!$C$5="","",IFERROR(INDEX('1.산군_붙여넣기'!$A$1:$AZ$1001,ROW(),설정!$C$5)&amp;"",""))</f>
        <v/>
      </c>
      <c r="D724" s="5">
        <f>IFERROR(VALUE(SUBSTITUTE(SUBSTITUTE(SUBSTITUTE(IF(설정!$C$6="","",IFERROR(INDEX('1.산군_붙여넣기'!$A$1:$AZ$1001,ROW(),설정!$C$6)&amp;"","")),",",""),"㎡",""),"m2","")),"")</f>
        <v/>
      </c>
      <c r="E724">
        <f>IF(설정!$C$7="","",IFERROR(INDEX('1.산군_붙여넣기'!$A$1:$AZ$1001,ROW(),설정!$C$7)&amp;"",""))</f>
        <v/>
      </c>
      <c r="F724">
        <f>IF(설정!$C$8="","",IFERROR(INDEX('1.산군_붙여넣기'!$A$1:$AZ$1001,ROW(),설정!$C$8)&amp;"",""))</f>
        <v/>
      </c>
      <c r="G724">
        <f>IF(설정!$C$9="","",IFERROR(INDEX('1.산군_붙여넣기'!$A$1:$AZ$1001,ROW(),설정!$C$9)&amp;"",""))</f>
        <v/>
      </c>
      <c r="H724">
        <f>IF(설정!$C$10="","",IFERROR(INDEX('1.산군_붙여넣기'!$A$1:$AZ$1001,ROW(),설정!$C$10)&amp;"",""))</f>
        <v/>
      </c>
      <c r="I724">
        <f>IF(설정!$C$11="","",IFERROR(INDEX('1.산군_붙여넣기'!$A$1:$AZ$1001,ROW(),설정!$C$11)&amp;"",""))</f>
        <v/>
      </c>
      <c r="J724">
        <f>IF(설정!$C$12="","",IFERROR(INDEX('1.산군_붙여넣기'!$A$1:$AZ$1001,ROW(),설정!$C$12)&amp;"",""))</f>
        <v/>
      </c>
      <c r="K724">
        <f>IF(설정!$C$13="","",IFERROR(INDEX('1.산군_붙여넣기'!$A$1:$AZ$1001,ROW(),설정!$C$13)&amp;"",""))</f>
        <v/>
      </c>
      <c r="L724" s="7">
        <f>IF(X724="","",IF(AND(LEN(X724)=8,ISNUMBER(X724*1)),DATE(LEFT(X724,4),MID(X724,5,2),RIGHT(X724,2)),IFERROR(DATEVALUE(SUBSTITUTE(SUBSTITUTE(X724,".","-"),"/","-")),IFERROR(X724*1,""))))</f>
        <v/>
      </c>
      <c r="M724" s="7">
        <f>IF(Y724="","",IF(AND(LEN(Y724)=8,ISNUMBER(Y724*1)),DATE(LEFT(Y724,4),MID(Y724,5,2),RIGHT(Y724,2)),IFERROR(DATEVALUE(SUBSTITUTE(SUBSTITUTE(Y724,".","-"),"/","-")),IFERROR(Y724*1,""))))</f>
        <v/>
      </c>
      <c r="N724">
        <f>IFERROR(LEFT(B724,FIND(" ",B724)-1),B724)</f>
        <v/>
      </c>
      <c r="O724">
        <f>AND(B724&lt;&gt;"",B724&lt;&gt;설정!$B$4,C724&lt;&gt;설정!$B$5)</f>
        <v/>
      </c>
      <c r="P724">
        <f>IF(O724,B724&amp;"|"&amp;C724,"")</f>
        <v/>
      </c>
      <c r="Q724">
        <f>AND(O724,COUNTIF(P725:P$1002,P724)=0)</f>
        <v/>
      </c>
      <c r="R724">
        <f>OR(AND(설정!$A$42&lt;&gt;"",ISNUMBER(SEARCH(설정!$A$42,E724&amp;" "&amp;C724))),AND(설정!$A$43&lt;&gt;"",ISNUMBER(SEARCH(설정!$A$43,E724&amp;" "&amp;C724))),AND(설정!$A$44&lt;&gt;"",ISNUMBER(SEARCH(설정!$A$44,E724&amp;" "&amp;C724))),AND(설정!$A$45&lt;&gt;"",ISNUMBER(SEARCH(설정!$A$45,E724&amp;" "&amp;C724))),AND(설정!$A$46&lt;&gt;"",ISNUMBER(SEARCH(설정!$A$46,E724&amp;" "&amp;C724))),AND(설정!$A$47&lt;&gt;"",ISNUMBER(SEARCH(설정!$A$47,E724&amp;" "&amp;C724))),AND(설정!$A$48&lt;&gt;"",ISNUMBER(SEARCH(설정!$A$48,E724&amp;" "&amp;C724))),AND(설정!$A$49&lt;&gt;"",ISNUMBER(SEARCH(설정!$A$49,E724&amp;" "&amp;C724))),AND(설정!$A$50&lt;&gt;"",ISNUMBER(SEARCH(설정!$A$50,E724&amp;" "&amp;C724))),AND(설정!$A$51&lt;&gt;"",ISNUMBER(SEARCH(설정!$A$51,E724&amp;" "&amp;C724))))</f>
        <v/>
      </c>
      <c r="S724">
        <f>OR(D724="",D724&gt;=설정!$B$19)</f>
        <v/>
      </c>
      <c r="T724">
        <f>AND(Q724,R724,S724)</f>
        <v/>
      </c>
      <c r="U724">
        <f>IF(T724,IF(AND(설정!$A$54&lt;&gt;"",ISNUMBER(SEARCH(설정!$A$54,K724))),설정!$B$54,IF(AND(설정!$A$55&lt;&gt;"",ISNUMBER(SEARCH(설정!$A$55,K724))),설정!$B$55,IF(AND(설정!$A$56&lt;&gt;"",ISNUMBER(SEARCH(설정!$A$56,K724))),설정!$B$56,IF(AND(설정!$A$57&lt;&gt;"",ISNUMBER(SEARCH(설정!$A$57,K724))),설정!$B$57,IF(AND(설정!$A$58&lt;&gt;"",ISNUMBER(SEARCH(설정!$A$58,K724))),설정!$B$58,IF(AND(설정!$A$59&lt;&gt;"",ISNUMBER(SEARCH(설정!$A$59,K724))),설정!$B$59,IF(AND(설정!$A$60&lt;&gt;"",ISNUMBER(SEARCH(설정!$A$60,K724))),설정!$B$60,IF(AND(설정!$A$61&lt;&gt;"",ISNUMBER(SEARCH(설정!$A$61,K724))),설정!$B$61,IF(M724="","설계사","시공사"))))))))),"")</f>
        <v/>
      </c>
      <c r="V724">
        <f>SUBSTITUTE(SUBSTITUTE(SUBSTITUTE(SUBSTITUTE(G724,"(주)",""),"㈜",""),"주식회사","")," ","")</f>
        <v/>
      </c>
      <c r="W724">
        <f>IF(AND(T724,V724&lt;&gt;""),IF(COUNTIFS(V$2:V724,V724,T$2:T724,TRUE)=1,MAX(W$1:W723)+1,""),"")</f>
        <v/>
      </c>
      <c r="X724">
        <f>IF(설정!$C$14="","",IFERROR(INDEX('1.산군_붙여넣기'!$A$1:$AZ$1001,ROW(),설정!$C$14)&amp;"",""))</f>
        <v/>
      </c>
      <c r="Y724">
        <f>IF(설정!$C$15="","",IFERROR(INDEX('1.산군_붙여넣기'!$A$1:$AZ$1001,ROW(),설정!$C$15)&amp;"",""))</f>
        <v/>
      </c>
      <c r="Z724">
        <f>IF(T724,V724&amp;"|"&amp;U724,"")</f>
        <v/>
      </c>
      <c r="AA724">
        <f>IF(NOT(Q724),"",IF(NOT(AND(R724,S724)),"✕",IF(OR(OR(AND(L724&lt;&gt;"",M724&lt;&gt;"",N(M724)-N(L724)&gt;설정!$B$27),AND(L724&lt;&gt;"",M724="",설정!$B$24-N(L724)&gt;설정!$B$27)),AND(D724&lt;&gt;"",D724&lt;설정!$B$26)),"△","★")))</f>
        <v/>
      </c>
      <c r="AB724">
        <f>IF(NOT(T724),"",IF(U724="설계사",설정!$B$31,IF(U724="시공사",IF(OR(M724="",설정!$B$24-N(M724)&lt;=설정!$B$28*30.4),설정!$B$32,설정!$B$33),설정!$B$34))+IF(AA724="★",설정!$B$35,0))</f>
        <v/>
      </c>
      <c r="AC724">
        <f>SUBSTITUTE(SUBSTITUTE(SUBSTITUTE(SUBSTITUTE(H724,"(주)",""),"㈜",""),"주식회사","")," ","")</f>
        <v/>
      </c>
      <c r="AD724">
        <f>IF(AND(T724,AC724&lt;&gt;""),IF(COUNTIFS(AC$2:AC724,AC724,T$2:T724,TRUE)=1,MAX(AD$1:AD723)+1,""),"")</f>
        <v/>
      </c>
    </row>
    <row r="725">
      <c r="A725">
        <f>ROW()</f>
        <v/>
      </c>
      <c r="B725">
        <f>IF(설정!$C$4="","",IFERROR(INDEX('1.산군_붙여넣기'!$A$1:$AZ$1001,ROW(),설정!$C$4)&amp;"",""))</f>
        <v/>
      </c>
      <c r="C725">
        <f>IF(설정!$C$5="","",IFERROR(INDEX('1.산군_붙여넣기'!$A$1:$AZ$1001,ROW(),설정!$C$5)&amp;"",""))</f>
        <v/>
      </c>
      <c r="D725" s="5">
        <f>IFERROR(VALUE(SUBSTITUTE(SUBSTITUTE(SUBSTITUTE(IF(설정!$C$6="","",IFERROR(INDEX('1.산군_붙여넣기'!$A$1:$AZ$1001,ROW(),설정!$C$6)&amp;"","")),",",""),"㎡",""),"m2","")),"")</f>
        <v/>
      </c>
      <c r="E725">
        <f>IF(설정!$C$7="","",IFERROR(INDEX('1.산군_붙여넣기'!$A$1:$AZ$1001,ROW(),설정!$C$7)&amp;"",""))</f>
        <v/>
      </c>
      <c r="F725">
        <f>IF(설정!$C$8="","",IFERROR(INDEX('1.산군_붙여넣기'!$A$1:$AZ$1001,ROW(),설정!$C$8)&amp;"",""))</f>
        <v/>
      </c>
      <c r="G725">
        <f>IF(설정!$C$9="","",IFERROR(INDEX('1.산군_붙여넣기'!$A$1:$AZ$1001,ROW(),설정!$C$9)&amp;"",""))</f>
        <v/>
      </c>
      <c r="H725">
        <f>IF(설정!$C$10="","",IFERROR(INDEX('1.산군_붙여넣기'!$A$1:$AZ$1001,ROW(),설정!$C$10)&amp;"",""))</f>
        <v/>
      </c>
      <c r="I725">
        <f>IF(설정!$C$11="","",IFERROR(INDEX('1.산군_붙여넣기'!$A$1:$AZ$1001,ROW(),설정!$C$11)&amp;"",""))</f>
        <v/>
      </c>
      <c r="J725">
        <f>IF(설정!$C$12="","",IFERROR(INDEX('1.산군_붙여넣기'!$A$1:$AZ$1001,ROW(),설정!$C$12)&amp;"",""))</f>
        <v/>
      </c>
      <c r="K725">
        <f>IF(설정!$C$13="","",IFERROR(INDEX('1.산군_붙여넣기'!$A$1:$AZ$1001,ROW(),설정!$C$13)&amp;"",""))</f>
        <v/>
      </c>
      <c r="L725" s="7">
        <f>IF(X725="","",IF(AND(LEN(X725)=8,ISNUMBER(X725*1)),DATE(LEFT(X725,4),MID(X725,5,2),RIGHT(X725,2)),IFERROR(DATEVALUE(SUBSTITUTE(SUBSTITUTE(X725,".","-"),"/","-")),IFERROR(X725*1,""))))</f>
        <v/>
      </c>
      <c r="M725" s="7">
        <f>IF(Y725="","",IF(AND(LEN(Y725)=8,ISNUMBER(Y725*1)),DATE(LEFT(Y725,4),MID(Y725,5,2),RIGHT(Y725,2)),IFERROR(DATEVALUE(SUBSTITUTE(SUBSTITUTE(Y725,".","-"),"/","-")),IFERROR(Y725*1,""))))</f>
        <v/>
      </c>
      <c r="N725">
        <f>IFERROR(LEFT(B725,FIND(" ",B725)-1),B725)</f>
        <v/>
      </c>
      <c r="O725">
        <f>AND(B725&lt;&gt;"",B725&lt;&gt;설정!$B$4,C725&lt;&gt;설정!$B$5)</f>
        <v/>
      </c>
      <c r="P725">
        <f>IF(O725,B725&amp;"|"&amp;C725,"")</f>
        <v/>
      </c>
      <c r="Q725">
        <f>AND(O725,COUNTIF(P726:P$1002,P725)=0)</f>
        <v/>
      </c>
      <c r="R725">
        <f>OR(AND(설정!$A$42&lt;&gt;"",ISNUMBER(SEARCH(설정!$A$42,E725&amp;" "&amp;C725))),AND(설정!$A$43&lt;&gt;"",ISNUMBER(SEARCH(설정!$A$43,E725&amp;" "&amp;C725))),AND(설정!$A$44&lt;&gt;"",ISNUMBER(SEARCH(설정!$A$44,E725&amp;" "&amp;C725))),AND(설정!$A$45&lt;&gt;"",ISNUMBER(SEARCH(설정!$A$45,E725&amp;" "&amp;C725))),AND(설정!$A$46&lt;&gt;"",ISNUMBER(SEARCH(설정!$A$46,E725&amp;" "&amp;C725))),AND(설정!$A$47&lt;&gt;"",ISNUMBER(SEARCH(설정!$A$47,E725&amp;" "&amp;C725))),AND(설정!$A$48&lt;&gt;"",ISNUMBER(SEARCH(설정!$A$48,E725&amp;" "&amp;C725))),AND(설정!$A$49&lt;&gt;"",ISNUMBER(SEARCH(설정!$A$49,E725&amp;" "&amp;C725))),AND(설정!$A$50&lt;&gt;"",ISNUMBER(SEARCH(설정!$A$50,E725&amp;" "&amp;C725))),AND(설정!$A$51&lt;&gt;"",ISNUMBER(SEARCH(설정!$A$51,E725&amp;" "&amp;C725))))</f>
        <v/>
      </c>
      <c r="S725">
        <f>OR(D725="",D725&gt;=설정!$B$19)</f>
        <v/>
      </c>
      <c r="T725">
        <f>AND(Q725,R725,S725)</f>
        <v/>
      </c>
      <c r="U725">
        <f>IF(T725,IF(AND(설정!$A$54&lt;&gt;"",ISNUMBER(SEARCH(설정!$A$54,K725))),설정!$B$54,IF(AND(설정!$A$55&lt;&gt;"",ISNUMBER(SEARCH(설정!$A$55,K725))),설정!$B$55,IF(AND(설정!$A$56&lt;&gt;"",ISNUMBER(SEARCH(설정!$A$56,K725))),설정!$B$56,IF(AND(설정!$A$57&lt;&gt;"",ISNUMBER(SEARCH(설정!$A$57,K725))),설정!$B$57,IF(AND(설정!$A$58&lt;&gt;"",ISNUMBER(SEARCH(설정!$A$58,K725))),설정!$B$58,IF(AND(설정!$A$59&lt;&gt;"",ISNUMBER(SEARCH(설정!$A$59,K725))),설정!$B$59,IF(AND(설정!$A$60&lt;&gt;"",ISNUMBER(SEARCH(설정!$A$60,K725))),설정!$B$60,IF(AND(설정!$A$61&lt;&gt;"",ISNUMBER(SEARCH(설정!$A$61,K725))),설정!$B$61,IF(M725="","설계사","시공사"))))))))),"")</f>
        <v/>
      </c>
      <c r="V725">
        <f>SUBSTITUTE(SUBSTITUTE(SUBSTITUTE(SUBSTITUTE(G725,"(주)",""),"㈜",""),"주식회사","")," ","")</f>
        <v/>
      </c>
      <c r="W725">
        <f>IF(AND(T725,V725&lt;&gt;""),IF(COUNTIFS(V$2:V725,V725,T$2:T725,TRUE)=1,MAX(W$1:W724)+1,""),"")</f>
        <v/>
      </c>
      <c r="X725">
        <f>IF(설정!$C$14="","",IFERROR(INDEX('1.산군_붙여넣기'!$A$1:$AZ$1001,ROW(),설정!$C$14)&amp;"",""))</f>
        <v/>
      </c>
      <c r="Y725">
        <f>IF(설정!$C$15="","",IFERROR(INDEX('1.산군_붙여넣기'!$A$1:$AZ$1001,ROW(),설정!$C$15)&amp;"",""))</f>
        <v/>
      </c>
      <c r="Z725">
        <f>IF(T725,V725&amp;"|"&amp;U725,"")</f>
        <v/>
      </c>
      <c r="AA725">
        <f>IF(NOT(Q725),"",IF(NOT(AND(R725,S725)),"✕",IF(OR(OR(AND(L725&lt;&gt;"",M725&lt;&gt;"",N(M725)-N(L725)&gt;설정!$B$27),AND(L725&lt;&gt;"",M725="",설정!$B$24-N(L725)&gt;설정!$B$27)),AND(D725&lt;&gt;"",D725&lt;설정!$B$26)),"△","★")))</f>
        <v/>
      </c>
      <c r="AB725">
        <f>IF(NOT(T725),"",IF(U725="설계사",설정!$B$31,IF(U725="시공사",IF(OR(M725="",설정!$B$24-N(M725)&lt;=설정!$B$28*30.4),설정!$B$32,설정!$B$33),설정!$B$34))+IF(AA725="★",설정!$B$35,0))</f>
        <v/>
      </c>
      <c r="AC725">
        <f>SUBSTITUTE(SUBSTITUTE(SUBSTITUTE(SUBSTITUTE(H725,"(주)",""),"㈜",""),"주식회사","")," ","")</f>
        <v/>
      </c>
      <c r="AD725">
        <f>IF(AND(T725,AC725&lt;&gt;""),IF(COUNTIFS(AC$2:AC725,AC725,T$2:T725,TRUE)=1,MAX(AD$1:AD724)+1,""),"")</f>
        <v/>
      </c>
    </row>
    <row r="726">
      <c r="A726">
        <f>ROW()</f>
        <v/>
      </c>
      <c r="B726">
        <f>IF(설정!$C$4="","",IFERROR(INDEX('1.산군_붙여넣기'!$A$1:$AZ$1001,ROW(),설정!$C$4)&amp;"",""))</f>
        <v/>
      </c>
      <c r="C726">
        <f>IF(설정!$C$5="","",IFERROR(INDEX('1.산군_붙여넣기'!$A$1:$AZ$1001,ROW(),설정!$C$5)&amp;"",""))</f>
        <v/>
      </c>
      <c r="D726" s="5">
        <f>IFERROR(VALUE(SUBSTITUTE(SUBSTITUTE(SUBSTITUTE(IF(설정!$C$6="","",IFERROR(INDEX('1.산군_붙여넣기'!$A$1:$AZ$1001,ROW(),설정!$C$6)&amp;"","")),",",""),"㎡",""),"m2","")),"")</f>
        <v/>
      </c>
      <c r="E726">
        <f>IF(설정!$C$7="","",IFERROR(INDEX('1.산군_붙여넣기'!$A$1:$AZ$1001,ROW(),설정!$C$7)&amp;"",""))</f>
        <v/>
      </c>
      <c r="F726">
        <f>IF(설정!$C$8="","",IFERROR(INDEX('1.산군_붙여넣기'!$A$1:$AZ$1001,ROW(),설정!$C$8)&amp;"",""))</f>
        <v/>
      </c>
      <c r="G726">
        <f>IF(설정!$C$9="","",IFERROR(INDEX('1.산군_붙여넣기'!$A$1:$AZ$1001,ROW(),설정!$C$9)&amp;"",""))</f>
        <v/>
      </c>
      <c r="H726">
        <f>IF(설정!$C$10="","",IFERROR(INDEX('1.산군_붙여넣기'!$A$1:$AZ$1001,ROW(),설정!$C$10)&amp;"",""))</f>
        <v/>
      </c>
      <c r="I726">
        <f>IF(설정!$C$11="","",IFERROR(INDEX('1.산군_붙여넣기'!$A$1:$AZ$1001,ROW(),설정!$C$11)&amp;"",""))</f>
        <v/>
      </c>
      <c r="J726">
        <f>IF(설정!$C$12="","",IFERROR(INDEX('1.산군_붙여넣기'!$A$1:$AZ$1001,ROW(),설정!$C$12)&amp;"",""))</f>
        <v/>
      </c>
      <c r="K726">
        <f>IF(설정!$C$13="","",IFERROR(INDEX('1.산군_붙여넣기'!$A$1:$AZ$1001,ROW(),설정!$C$13)&amp;"",""))</f>
        <v/>
      </c>
      <c r="L726" s="7">
        <f>IF(X726="","",IF(AND(LEN(X726)=8,ISNUMBER(X726*1)),DATE(LEFT(X726,4),MID(X726,5,2),RIGHT(X726,2)),IFERROR(DATEVALUE(SUBSTITUTE(SUBSTITUTE(X726,".","-"),"/","-")),IFERROR(X726*1,""))))</f>
        <v/>
      </c>
      <c r="M726" s="7">
        <f>IF(Y726="","",IF(AND(LEN(Y726)=8,ISNUMBER(Y726*1)),DATE(LEFT(Y726,4),MID(Y726,5,2),RIGHT(Y726,2)),IFERROR(DATEVALUE(SUBSTITUTE(SUBSTITUTE(Y726,".","-"),"/","-")),IFERROR(Y726*1,""))))</f>
        <v/>
      </c>
      <c r="N726">
        <f>IFERROR(LEFT(B726,FIND(" ",B726)-1),B726)</f>
        <v/>
      </c>
      <c r="O726">
        <f>AND(B726&lt;&gt;"",B726&lt;&gt;설정!$B$4,C726&lt;&gt;설정!$B$5)</f>
        <v/>
      </c>
      <c r="P726">
        <f>IF(O726,B726&amp;"|"&amp;C726,"")</f>
        <v/>
      </c>
      <c r="Q726">
        <f>AND(O726,COUNTIF(P727:P$1002,P726)=0)</f>
        <v/>
      </c>
      <c r="R726">
        <f>OR(AND(설정!$A$42&lt;&gt;"",ISNUMBER(SEARCH(설정!$A$42,E726&amp;" "&amp;C726))),AND(설정!$A$43&lt;&gt;"",ISNUMBER(SEARCH(설정!$A$43,E726&amp;" "&amp;C726))),AND(설정!$A$44&lt;&gt;"",ISNUMBER(SEARCH(설정!$A$44,E726&amp;" "&amp;C726))),AND(설정!$A$45&lt;&gt;"",ISNUMBER(SEARCH(설정!$A$45,E726&amp;" "&amp;C726))),AND(설정!$A$46&lt;&gt;"",ISNUMBER(SEARCH(설정!$A$46,E726&amp;" "&amp;C726))),AND(설정!$A$47&lt;&gt;"",ISNUMBER(SEARCH(설정!$A$47,E726&amp;" "&amp;C726))),AND(설정!$A$48&lt;&gt;"",ISNUMBER(SEARCH(설정!$A$48,E726&amp;" "&amp;C726))),AND(설정!$A$49&lt;&gt;"",ISNUMBER(SEARCH(설정!$A$49,E726&amp;" "&amp;C726))),AND(설정!$A$50&lt;&gt;"",ISNUMBER(SEARCH(설정!$A$50,E726&amp;" "&amp;C726))),AND(설정!$A$51&lt;&gt;"",ISNUMBER(SEARCH(설정!$A$51,E726&amp;" "&amp;C726))))</f>
        <v/>
      </c>
      <c r="S726">
        <f>OR(D726="",D726&gt;=설정!$B$19)</f>
        <v/>
      </c>
      <c r="T726">
        <f>AND(Q726,R726,S726)</f>
        <v/>
      </c>
      <c r="U726">
        <f>IF(T726,IF(AND(설정!$A$54&lt;&gt;"",ISNUMBER(SEARCH(설정!$A$54,K726))),설정!$B$54,IF(AND(설정!$A$55&lt;&gt;"",ISNUMBER(SEARCH(설정!$A$55,K726))),설정!$B$55,IF(AND(설정!$A$56&lt;&gt;"",ISNUMBER(SEARCH(설정!$A$56,K726))),설정!$B$56,IF(AND(설정!$A$57&lt;&gt;"",ISNUMBER(SEARCH(설정!$A$57,K726))),설정!$B$57,IF(AND(설정!$A$58&lt;&gt;"",ISNUMBER(SEARCH(설정!$A$58,K726))),설정!$B$58,IF(AND(설정!$A$59&lt;&gt;"",ISNUMBER(SEARCH(설정!$A$59,K726))),설정!$B$59,IF(AND(설정!$A$60&lt;&gt;"",ISNUMBER(SEARCH(설정!$A$60,K726))),설정!$B$60,IF(AND(설정!$A$61&lt;&gt;"",ISNUMBER(SEARCH(설정!$A$61,K726))),설정!$B$61,IF(M726="","설계사","시공사"))))))))),"")</f>
        <v/>
      </c>
      <c r="V726">
        <f>SUBSTITUTE(SUBSTITUTE(SUBSTITUTE(SUBSTITUTE(G726,"(주)",""),"㈜",""),"주식회사","")," ","")</f>
        <v/>
      </c>
      <c r="W726">
        <f>IF(AND(T726,V726&lt;&gt;""),IF(COUNTIFS(V$2:V726,V726,T$2:T726,TRUE)=1,MAX(W$1:W725)+1,""),"")</f>
        <v/>
      </c>
      <c r="X726">
        <f>IF(설정!$C$14="","",IFERROR(INDEX('1.산군_붙여넣기'!$A$1:$AZ$1001,ROW(),설정!$C$14)&amp;"",""))</f>
        <v/>
      </c>
      <c r="Y726">
        <f>IF(설정!$C$15="","",IFERROR(INDEX('1.산군_붙여넣기'!$A$1:$AZ$1001,ROW(),설정!$C$15)&amp;"",""))</f>
        <v/>
      </c>
      <c r="Z726">
        <f>IF(T726,V726&amp;"|"&amp;U726,"")</f>
        <v/>
      </c>
      <c r="AA726">
        <f>IF(NOT(Q726),"",IF(NOT(AND(R726,S726)),"✕",IF(OR(OR(AND(L726&lt;&gt;"",M726&lt;&gt;"",N(M726)-N(L726)&gt;설정!$B$27),AND(L726&lt;&gt;"",M726="",설정!$B$24-N(L726)&gt;설정!$B$27)),AND(D726&lt;&gt;"",D726&lt;설정!$B$26)),"△","★")))</f>
        <v/>
      </c>
      <c r="AB726">
        <f>IF(NOT(T726),"",IF(U726="설계사",설정!$B$31,IF(U726="시공사",IF(OR(M726="",설정!$B$24-N(M726)&lt;=설정!$B$28*30.4),설정!$B$32,설정!$B$33),설정!$B$34))+IF(AA726="★",설정!$B$35,0))</f>
        <v/>
      </c>
      <c r="AC726">
        <f>SUBSTITUTE(SUBSTITUTE(SUBSTITUTE(SUBSTITUTE(H726,"(주)",""),"㈜",""),"주식회사","")," ","")</f>
        <v/>
      </c>
      <c r="AD726">
        <f>IF(AND(T726,AC726&lt;&gt;""),IF(COUNTIFS(AC$2:AC726,AC726,T$2:T726,TRUE)=1,MAX(AD$1:AD725)+1,""),"")</f>
        <v/>
      </c>
    </row>
    <row r="727">
      <c r="A727">
        <f>ROW()</f>
        <v/>
      </c>
      <c r="B727">
        <f>IF(설정!$C$4="","",IFERROR(INDEX('1.산군_붙여넣기'!$A$1:$AZ$1001,ROW(),설정!$C$4)&amp;"",""))</f>
        <v/>
      </c>
      <c r="C727">
        <f>IF(설정!$C$5="","",IFERROR(INDEX('1.산군_붙여넣기'!$A$1:$AZ$1001,ROW(),설정!$C$5)&amp;"",""))</f>
        <v/>
      </c>
      <c r="D727" s="5">
        <f>IFERROR(VALUE(SUBSTITUTE(SUBSTITUTE(SUBSTITUTE(IF(설정!$C$6="","",IFERROR(INDEX('1.산군_붙여넣기'!$A$1:$AZ$1001,ROW(),설정!$C$6)&amp;"","")),",",""),"㎡",""),"m2","")),"")</f>
        <v/>
      </c>
      <c r="E727">
        <f>IF(설정!$C$7="","",IFERROR(INDEX('1.산군_붙여넣기'!$A$1:$AZ$1001,ROW(),설정!$C$7)&amp;"",""))</f>
        <v/>
      </c>
      <c r="F727">
        <f>IF(설정!$C$8="","",IFERROR(INDEX('1.산군_붙여넣기'!$A$1:$AZ$1001,ROW(),설정!$C$8)&amp;"",""))</f>
        <v/>
      </c>
      <c r="G727">
        <f>IF(설정!$C$9="","",IFERROR(INDEX('1.산군_붙여넣기'!$A$1:$AZ$1001,ROW(),설정!$C$9)&amp;"",""))</f>
        <v/>
      </c>
      <c r="H727">
        <f>IF(설정!$C$10="","",IFERROR(INDEX('1.산군_붙여넣기'!$A$1:$AZ$1001,ROW(),설정!$C$10)&amp;"",""))</f>
        <v/>
      </c>
      <c r="I727">
        <f>IF(설정!$C$11="","",IFERROR(INDEX('1.산군_붙여넣기'!$A$1:$AZ$1001,ROW(),설정!$C$11)&amp;"",""))</f>
        <v/>
      </c>
      <c r="J727">
        <f>IF(설정!$C$12="","",IFERROR(INDEX('1.산군_붙여넣기'!$A$1:$AZ$1001,ROW(),설정!$C$12)&amp;"",""))</f>
        <v/>
      </c>
      <c r="K727">
        <f>IF(설정!$C$13="","",IFERROR(INDEX('1.산군_붙여넣기'!$A$1:$AZ$1001,ROW(),설정!$C$13)&amp;"",""))</f>
        <v/>
      </c>
      <c r="L727" s="7">
        <f>IF(X727="","",IF(AND(LEN(X727)=8,ISNUMBER(X727*1)),DATE(LEFT(X727,4),MID(X727,5,2),RIGHT(X727,2)),IFERROR(DATEVALUE(SUBSTITUTE(SUBSTITUTE(X727,".","-"),"/","-")),IFERROR(X727*1,""))))</f>
        <v/>
      </c>
      <c r="M727" s="7">
        <f>IF(Y727="","",IF(AND(LEN(Y727)=8,ISNUMBER(Y727*1)),DATE(LEFT(Y727,4),MID(Y727,5,2),RIGHT(Y727,2)),IFERROR(DATEVALUE(SUBSTITUTE(SUBSTITUTE(Y727,".","-"),"/","-")),IFERROR(Y727*1,""))))</f>
        <v/>
      </c>
      <c r="N727">
        <f>IFERROR(LEFT(B727,FIND(" ",B727)-1),B727)</f>
        <v/>
      </c>
      <c r="O727">
        <f>AND(B727&lt;&gt;"",B727&lt;&gt;설정!$B$4,C727&lt;&gt;설정!$B$5)</f>
        <v/>
      </c>
      <c r="P727">
        <f>IF(O727,B727&amp;"|"&amp;C727,"")</f>
        <v/>
      </c>
      <c r="Q727">
        <f>AND(O727,COUNTIF(P728:P$1002,P727)=0)</f>
        <v/>
      </c>
      <c r="R727">
        <f>OR(AND(설정!$A$42&lt;&gt;"",ISNUMBER(SEARCH(설정!$A$42,E727&amp;" "&amp;C727))),AND(설정!$A$43&lt;&gt;"",ISNUMBER(SEARCH(설정!$A$43,E727&amp;" "&amp;C727))),AND(설정!$A$44&lt;&gt;"",ISNUMBER(SEARCH(설정!$A$44,E727&amp;" "&amp;C727))),AND(설정!$A$45&lt;&gt;"",ISNUMBER(SEARCH(설정!$A$45,E727&amp;" "&amp;C727))),AND(설정!$A$46&lt;&gt;"",ISNUMBER(SEARCH(설정!$A$46,E727&amp;" "&amp;C727))),AND(설정!$A$47&lt;&gt;"",ISNUMBER(SEARCH(설정!$A$47,E727&amp;" "&amp;C727))),AND(설정!$A$48&lt;&gt;"",ISNUMBER(SEARCH(설정!$A$48,E727&amp;" "&amp;C727))),AND(설정!$A$49&lt;&gt;"",ISNUMBER(SEARCH(설정!$A$49,E727&amp;" "&amp;C727))),AND(설정!$A$50&lt;&gt;"",ISNUMBER(SEARCH(설정!$A$50,E727&amp;" "&amp;C727))),AND(설정!$A$51&lt;&gt;"",ISNUMBER(SEARCH(설정!$A$51,E727&amp;" "&amp;C727))))</f>
        <v/>
      </c>
      <c r="S727">
        <f>OR(D727="",D727&gt;=설정!$B$19)</f>
        <v/>
      </c>
      <c r="T727">
        <f>AND(Q727,R727,S727)</f>
        <v/>
      </c>
      <c r="U727">
        <f>IF(T727,IF(AND(설정!$A$54&lt;&gt;"",ISNUMBER(SEARCH(설정!$A$54,K727))),설정!$B$54,IF(AND(설정!$A$55&lt;&gt;"",ISNUMBER(SEARCH(설정!$A$55,K727))),설정!$B$55,IF(AND(설정!$A$56&lt;&gt;"",ISNUMBER(SEARCH(설정!$A$56,K727))),설정!$B$56,IF(AND(설정!$A$57&lt;&gt;"",ISNUMBER(SEARCH(설정!$A$57,K727))),설정!$B$57,IF(AND(설정!$A$58&lt;&gt;"",ISNUMBER(SEARCH(설정!$A$58,K727))),설정!$B$58,IF(AND(설정!$A$59&lt;&gt;"",ISNUMBER(SEARCH(설정!$A$59,K727))),설정!$B$59,IF(AND(설정!$A$60&lt;&gt;"",ISNUMBER(SEARCH(설정!$A$60,K727))),설정!$B$60,IF(AND(설정!$A$61&lt;&gt;"",ISNUMBER(SEARCH(설정!$A$61,K727))),설정!$B$61,IF(M727="","설계사","시공사"))))))))),"")</f>
        <v/>
      </c>
      <c r="V727">
        <f>SUBSTITUTE(SUBSTITUTE(SUBSTITUTE(SUBSTITUTE(G727,"(주)",""),"㈜",""),"주식회사","")," ","")</f>
        <v/>
      </c>
      <c r="W727">
        <f>IF(AND(T727,V727&lt;&gt;""),IF(COUNTIFS(V$2:V727,V727,T$2:T727,TRUE)=1,MAX(W$1:W726)+1,""),"")</f>
        <v/>
      </c>
      <c r="X727">
        <f>IF(설정!$C$14="","",IFERROR(INDEX('1.산군_붙여넣기'!$A$1:$AZ$1001,ROW(),설정!$C$14)&amp;"",""))</f>
        <v/>
      </c>
      <c r="Y727">
        <f>IF(설정!$C$15="","",IFERROR(INDEX('1.산군_붙여넣기'!$A$1:$AZ$1001,ROW(),설정!$C$15)&amp;"",""))</f>
        <v/>
      </c>
      <c r="Z727">
        <f>IF(T727,V727&amp;"|"&amp;U727,"")</f>
        <v/>
      </c>
      <c r="AA727">
        <f>IF(NOT(Q727),"",IF(NOT(AND(R727,S727)),"✕",IF(OR(OR(AND(L727&lt;&gt;"",M727&lt;&gt;"",N(M727)-N(L727)&gt;설정!$B$27),AND(L727&lt;&gt;"",M727="",설정!$B$24-N(L727)&gt;설정!$B$27)),AND(D727&lt;&gt;"",D727&lt;설정!$B$26)),"△","★")))</f>
        <v/>
      </c>
      <c r="AB727">
        <f>IF(NOT(T727),"",IF(U727="설계사",설정!$B$31,IF(U727="시공사",IF(OR(M727="",설정!$B$24-N(M727)&lt;=설정!$B$28*30.4),설정!$B$32,설정!$B$33),설정!$B$34))+IF(AA727="★",설정!$B$35,0))</f>
        <v/>
      </c>
      <c r="AC727">
        <f>SUBSTITUTE(SUBSTITUTE(SUBSTITUTE(SUBSTITUTE(H727,"(주)",""),"㈜",""),"주식회사","")," ","")</f>
        <v/>
      </c>
      <c r="AD727">
        <f>IF(AND(T727,AC727&lt;&gt;""),IF(COUNTIFS(AC$2:AC727,AC727,T$2:T727,TRUE)=1,MAX(AD$1:AD726)+1,""),"")</f>
        <v/>
      </c>
    </row>
    <row r="728">
      <c r="A728">
        <f>ROW()</f>
        <v/>
      </c>
      <c r="B728">
        <f>IF(설정!$C$4="","",IFERROR(INDEX('1.산군_붙여넣기'!$A$1:$AZ$1001,ROW(),설정!$C$4)&amp;"",""))</f>
        <v/>
      </c>
      <c r="C728">
        <f>IF(설정!$C$5="","",IFERROR(INDEX('1.산군_붙여넣기'!$A$1:$AZ$1001,ROW(),설정!$C$5)&amp;"",""))</f>
        <v/>
      </c>
      <c r="D728" s="5">
        <f>IFERROR(VALUE(SUBSTITUTE(SUBSTITUTE(SUBSTITUTE(IF(설정!$C$6="","",IFERROR(INDEX('1.산군_붙여넣기'!$A$1:$AZ$1001,ROW(),설정!$C$6)&amp;"","")),",",""),"㎡",""),"m2","")),"")</f>
        <v/>
      </c>
      <c r="E728">
        <f>IF(설정!$C$7="","",IFERROR(INDEX('1.산군_붙여넣기'!$A$1:$AZ$1001,ROW(),설정!$C$7)&amp;"",""))</f>
        <v/>
      </c>
      <c r="F728">
        <f>IF(설정!$C$8="","",IFERROR(INDEX('1.산군_붙여넣기'!$A$1:$AZ$1001,ROW(),설정!$C$8)&amp;"",""))</f>
        <v/>
      </c>
      <c r="G728">
        <f>IF(설정!$C$9="","",IFERROR(INDEX('1.산군_붙여넣기'!$A$1:$AZ$1001,ROW(),설정!$C$9)&amp;"",""))</f>
        <v/>
      </c>
      <c r="H728">
        <f>IF(설정!$C$10="","",IFERROR(INDEX('1.산군_붙여넣기'!$A$1:$AZ$1001,ROW(),설정!$C$10)&amp;"",""))</f>
        <v/>
      </c>
      <c r="I728">
        <f>IF(설정!$C$11="","",IFERROR(INDEX('1.산군_붙여넣기'!$A$1:$AZ$1001,ROW(),설정!$C$11)&amp;"",""))</f>
        <v/>
      </c>
      <c r="J728">
        <f>IF(설정!$C$12="","",IFERROR(INDEX('1.산군_붙여넣기'!$A$1:$AZ$1001,ROW(),설정!$C$12)&amp;"",""))</f>
        <v/>
      </c>
      <c r="K728">
        <f>IF(설정!$C$13="","",IFERROR(INDEX('1.산군_붙여넣기'!$A$1:$AZ$1001,ROW(),설정!$C$13)&amp;"",""))</f>
        <v/>
      </c>
      <c r="L728" s="7">
        <f>IF(X728="","",IF(AND(LEN(X728)=8,ISNUMBER(X728*1)),DATE(LEFT(X728,4),MID(X728,5,2),RIGHT(X728,2)),IFERROR(DATEVALUE(SUBSTITUTE(SUBSTITUTE(X728,".","-"),"/","-")),IFERROR(X728*1,""))))</f>
        <v/>
      </c>
      <c r="M728" s="7">
        <f>IF(Y728="","",IF(AND(LEN(Y728)=8,ISNUMBER(Y728*1)),DATE(LEFT(Y728,4),MID(Y728,5,2),RIGHT(Y728,2)),IFERROR(DATEVALUE(SUBSTITUTE(SUBSTITUTE(Y728,".","-"),"/","-")),IFERROR(Y728*1,""))))</f>
        <v/>
      </c>
      <c r="N728">
        <f>IFERROR(LEFT(B728,FIND(" ",B728)-1),B728)</f>
        <v/>
      </c>
      <c r="O728">
        <f>AND(B728&lt;&gt;"",B728&lt;&gt;설정!$B$4,C728&lt;&gt;설정!$B$5)</f>
        <v/>
      </c>
      <c r="P728">
        <f>IF(O728,B728&amp;"|"&amp;C728,"")</f>
        <v/>
      </c>
      <c r="Q728">
        <f>AND(O728,COUNTIF(P729:P$1002,P728)=0)</f>
        <v/>
      </c>
      <c r="R728">
        <f>OR(AND(설정!$A$42&lt;&gt;"",ISNUMBER(SEARCH(설정!$A$42,E728&amp;" "&amp;C728))),AND(설정!$A$43&lt;&gt;"",ISNUMBER(SEARCH(설정!$A$43,E728&amp;" "&amp;C728))),AND(설정!$A$44&lt;&gt;"",ISNUMBER(SEARCH(설정!$A$44,E728&amp;" "&amp;C728))),AND(설정!$A$45&lt;&gt;"",ISNUMBER(SEARCH(설정!$A$45,E728&amp;" "&amp;C728))),AND(설정!$A$46&lt;&gt;"",ISNUMBER(SEARCH(설정!$A$46,E728&amp;" "&amp;C728))),AND(설정!$A$47&lt;&gt;"",ISNUMBER(SEARCH(설정!$A$47,E728&amp;" "&amp;C728))),AND(설정!$A$48&lt;&gt;"",ISNUMBER(SEARCH(설정!$A$48,E728&amp;" "&amp;C728))),AND(설정!$A$49&lt;&gt;"",ISNUMBER(SEARCH(설정!$A$49,E728&amp;" "&amp;C728))),AND(설정!$A$50&lt;&gt;"",ISNUMBER(SEARCH(설정!$A$50,E728&amp;" "&amp;C728))),AND(설정!$A$51&lt;&gt;"",ISNUMBER(SEARCH(설정!$A$51,E728&amp;" "&amp;C728))))</f>
        <v/>
      </c>
      <c r="S728">
        <f>OR(D728="",D728&gt;=설정!$B$19)</f>
        <v/>
      </c>
      <c r="T728">
        <f>AND(Q728,R728,S728)</f>
        <v/>
      </c>
      <c r="U728">
        <f>IF(T728,IF(AND(설정!$A$54&lt;&gt;"",ISNUMBER(SEARCH(설정!$A$54,K728))),설정!$B$54,IF(AND(설정!$A$55&lt;&gt;"",ISNUMBER(SEARCH(설정!$A$55,K728))),설정!$B$55,IF(AND(설정!$A$56&lt;&gt;"",ISNUMBER(SEARCH(설정!$A$56,K728))),설정!$B$56,IF(AND(설정!$A$57&lt;&gt;"",ISNUMBER(SEARCH(설정!$A$57,K728))),설정!$B$57,IF(AND(설정!$A$58&lt;&gt;"",ISNUMBER(SEARCH(설정!$A$58,K728))),설정!$B$58,IF(AND(설정!$A$59&lt;&gt;"",ISNUMBER(SEARCH(설정!$A$59,K728))),설정!$B$59,IF(AND(설정!$A$60&lt;&gt;"",ISNUMBER(SEARCH(설정!$A$60,K728))),설정!$B$60,IF(AND(설정!$A$61&lt;&gt;"",ISNUMBER(SEARCH(설정!$A$61,K728))),설정!$B$61,IF(M728="","설계사","시공사"))))))))),"")</f>
        <v/>
      </c>
      <c r="V728">
        <f>SUBSTITUTE(SUBSTITUTE(SUBSTITUTE(SUBSTITUTE(G728,"(주)",""),"㈜",""),"주식회사","")," ","")</f>
        <v/>
      </c>
      <c r="W728">
        <f>IF(AND(T728,V728&lt;&gt;""),IF(COUNTIFS(V$2:V728,V728,T$2:T728,TRUE)=1,MAX(W$1:W727)+1,""),"")</f>
        <v/>
      </c>
      <c r="X728">
        <f>IF(설정!$C$14="","",IFERROR(INDEX('1.산군_붙여넣기'!$A$1:$AZ$1001,ROW(),설정!$C$14)&amp;"",""))</f>
        <v/>
      </c>
      <c r="Y728">
        <f>IF(설정!$C$15="","",IFERROR(INDEX('1.산군_붙여넣기'!$A$1:$AZ$1001,ROW(),설정!$C$15)&amp;"",""))</f>
        <v/>
      </c>
      <c r="Z728">
        <f>IF(T728,V728&amp;"|"&amp;U728,"")</f>
        <v/>
      </c>
      <c r="AA728">
        <f>IF(NOT(Q728),"",IF(NOT(AND(R728,S728)),"✕",IF(OR(OR(AND(L728&lt;&gt;"",M728&lt;&gt;"",N(M728)-N(L728)&gt;설정!$B$27),AND(L728&lt;&gt;"",M728="",설정!$B$24-N(L728)&gt;설정!$B$27)),AND(D728&lt;&gt;"",D728&lt;설정!$B$26)),"△","★")))</f>
        <v/>
      </c>
      <c r="AB728">
        <f>IF(NOT(T728),"",IF(U728="설계사",설정!$B$31,IF(U728="시공사",IF(OR(M728="",설정!$B$24-N(M728)&lt;=설정!$B$28*30.4),설정!$B$32,설정!$B$33),설정!$B$34))+IF(AA728="★",설정!$B$35,0))</f>
        <v/>
      </c>
      <c r="AC728">
        <f>SUBSTITUTE(SUBSTITUTE(SUBSTITUTE(SUBSTITUTE(H728,"(주)",""),"㈜",""),"주식회사","")," ","")</f>
        <v/>
      </c>
      <c r="AD728">
        <f>IF(AND(T728,AC728&lt;&gt;""),IF(COUNTIFS(AC$2:AC728,AC728,T$2:T728,TRUE)=1,MAX(AD$1:AD727)+1,""),"")</f>
        <v/>
      </c>
    </row>
    <row r="729">
      <c r="A729">
        <f>ROW()</f>
        <v/>
      </c>
      <c r="B729">
        <f>IF(설정!$C$4="","",IFERROR(INDEX('1.산군_붙여넣기'!$A$1:$AZ$1001,ROW(),설정!$C$4)&amp;"",""))</f>
        <v/>
      </c>
      <c r="C729">
        <f>IF(설정!$C$5="","",IFERROR(INDEX('1.산군_붙여넣기'!$A$1:$AZ$1001,ROW(),설정!$C$5)&amp;"",""))</f>
        <v/>
      </c>
      <c r="D729" s="5">
        <f>IFERROR(VALUE(SUBSTITUTE(SUBSTITUTE(SUBSTITUTE(IF(설정!$C$6="","",IFERROR(INDEX('1.산군_붙여넣기'!$A$1:$AZ$1001,ROW(),설정!$C$6)&amp;"","")),",",""),"㎡",""),"m2","")),"")</f>
        <v/>
      </c>
      <c r="E729">
        <f>IF(설정!$C$7="","",IFERROR(INDEX('1.산군_붙여넣기'!$A$1:$AZ$1001,ROW(),설정!$C$7)&amp;"",""))</f>
        <v/>
      </c>
      <c r="F729">
        <f>IF(설정!$C$8="","",IFERROR(INDEX('1.산군_붙여넣기'!$A$1:$AZ$1001,ROW(),설정!$C$8)&amp;"",""))</f>
        <v/>
      </c>
      <c r="G729">
        <f>IF(설정!$C$9="","",IFERROR(INDEX('1.산군_붙여넣기'!$A$1:$AZ$1001,ROW(),설정!$C$9)&amp;"",""))</f>
        <v/>
      </c>
      <c r="H729">
        <f>IF(설정!$C$10="","",IFERROR(INDEX('1.산군_붙여넣기'!$A$1:$AZ$1001,ROW(),설정!$C$10)&amp;"",""))</f>
        <v/>
      </c>
      <c r="I729">
        <f>IF(설정!$C$11="","",IFERROR(INDEX('1.산군_붙여넣기'!$A$1:$AZ$1001,ROW(),설정!$C$11)&amp;"",""))</f>
        <v/>
      </c>
      <c r="J729">
        <f>IF(설정!$C$12="","",IFERROR(INDEX('1.산군_붙여넣기'!$A$1:$AZ$1001,ROW(),설정!$C$12)&amp;"",""))</f>
        <v/>
      </c>
      <c r="K729">
        <f>IF(설정!$C$13="","",IFERROR(INDEX('1.산군_붙여넣기'!$A$1:$AZ$1001,ROW(),설정!$C$13)&amp;"",""))</f>
        <v/>
      </c>
      <c r="L729" s="7">
        <f>IF(X729="","",IF(AND(LEN(X729)=8,ISNUMBER(X729*1)),DATE(LEFT(X729,4),MID(X729,5,2),RIGHT(X729,2)),IFERROR(DATEVALUE(SUBSTITUTE(SUBSTITUTE(X729,".","-"),"/","-")),IFERROR(X729*1,""))))</f>
        <v/>
      </c>
      <c r="M729" s="7">
        <f>IF(Y729="","",IF(AND(LEN(Y729)=8,ISNUMBER(Y729*1)),DATE(LEFT(Y729,4),MID(Y729,5,2),RIGHT(Y729,2)),IFERROR(DATEVALUE(SUBSTITUTE(SUBSTITUTE(Y729,".","-"),"/","-")),IFERROR(Y729*1,""))))</f>
        <v/>
      </c>
      <c r="N729">
        <f>IFERROR(LEFT(B729,FIND(" ",B729)-1),B729)</f>
        <v/>
      </c>
      <c r="O729">
        <f>AND(B729&lt;&gt;"",B729&lt;&gt;설정!$B$4,C729&lt;&gt;설정!$B$5)</f>
        <v/>
      </c>
      <c r="P729">
        <f>IF(O729,B729&amp;"|"&amp;C729,"")</f>
        <v/>
      </c>
      <c r="Q729">
        <f>AND(O729,COUNTIF(P730:P$1002,P729)=0)</f>
        <v/>
      </c>
      <c r="R729">
        <f>OR(AND(설정!$A$42&lt;&gt;"",ISNUMBER(SEARCH(설정!$A$42,E729&amp;" "&amp;C729))),AND(설정!$A$43&lt;&gt;"",ISNUMBER(SEARCH(설정!$A$43,E729&amp;" "&amp;C729))),AND(설정!$A$44&lt;&gt;"",ISNUMBER(SEARCH(설정!$A$44,E729&amp;" "&amp;C729))),AND(설정!$A$45&lt;&gt;"",ISNUMBER(SEARCH(설정!$A$45,E729&amp;" "&amp;C729))),AND(설정!$A$46&lt;&gt;"",ISNUMBER(SEARCH(설정!$A$46,E729&amp;" "&amp;C729))),AND(설정!$A$47&lt;&gt;"",ISNUMBER(SEARCH(설정!$A$47,E729&amp;" "&amp;C729))),AND(설정!$A$48&lt;&gt;"",ISNUMBER(SEARCH(설정!$A$48,E729&amp;" "&amp;C729))),AND(설정!$A$49&lt;&gt;"",ISNUMBER(SEARCH(설정!$A$49,E729&amp;" "&amp;C729))),AND(설정!$A$50&lt;&gt;"",ISNUMBER(SEARCH(설정!$A$50,E729&amp;" "&amp;C729))),AND(설정!$A$51&lt;&gt;"",ISNUMBER(SEARCH(설정!$A$51,E729&amp;" "&amp;C729))))</f>
        <v/>
      </c>
      <c r="S729">
        <f>OR(D729="",D729&gt;=설정!$B$19)</f>
        <v/>
      </c>
      <c r="T729">
        <f>AND(Q729,R729,S729)</f>
        <v/>
      </c>
      <c r="U729">
        <f>IF(T729,IF(AND(설정!$A$54&lt;&gt;"",ISNUMBER(SEARCH(설정!$A$54,K729))),설정!$B$54,IF(AND(설정!$A$55&lt;&gt;"",ISNUMBER(SEARCH(설정!$A$55,K729))),설정!$B$55,IF(AND(설정!$A$56&lt;&gt;"",ISNUMBER(SEARCH(설정!$A$56,K729))),설정!$B$56,IF(AND(설정!$A$57&lt;&gt;"",ISNUMBER(SEARCH(설정!$A$57,K729))),설정!$B$57,IF(AND(설정!$A$58&lt;&gt;"",ISNUMBER(SEARCH(설정!$A$58,K729))),설정!$B$58,IF(AND(설정!$A$59&lt;&gt;"",ISNUMBER(SEARCH(설정!$A$59,K729))),설정!$B$59,IF(AND(설정!$A$60&lt;&gt;"",ISNUMBER(SEARCH(설정!$A$60,K729))),설정!$B$60,IF(AND(설정!$A$61&lt;&gt;"",ISNUMBER(SEARCH(설정!$A$61,K729))),설정!$B$61,IF(M729="","설계사","시공사"))))))))),"")</f>
        <v/>
      </c>
      <c r="V729">
        <f>SUBSTITUTE(SUBSTITUTE(SUBSTITUTE(SUBSTITUTE(G729,"(주)",""),"㈜",""),"주식회사","")," ","")</f>
        <v/>
      </c>
      <c r="W729">
        <f>IF(AND(T729,V729&lt;&gt;""),IF(COUNTIFS(V$2:V729,V729,T$2:T729,TRUE)=1,MAX(W$1:W728)+1,""),"")</f>
        <v/>
      </c>
      <c r="X729">
        <f>IF(설정!$C$14="","",IFERROR(INDEX('1.산군_붙여넣기'!$A$1:$AZ$1001,ROW(),설정!$C$14)&amp;"",""))</f>
        <v/>
      </c>
      <c r="Y729">
        <f>IF(설정!$C$15="","",IFERROR(INDEX('1.산군_붙여넣기'!$A$1:$AZ$1001,ROW(),설정!$C$15)&amp;"",""))</f>
        <v/>
      </c>
      <c r="Z729">
        <f>IF(T729,V729&amp;"|"&amp;U729,"")</f>
        <v/>
      </c>
      <c r="AA729">
        <f>IF(NOT(Q729),"",IF(NOT(AND(R729,S729)),"✕",IF(OR(OR(AND(L729&lt;&gt;"",M729&lt;&gt;"",N(M729)-N(L729)&gt;설정!$B$27),AND(L729&lt;&gt;"",M729="",설정!$B$24-N(L729)&gt;설정!$B$27)),AND(D729&lt;&gt;"",D729&lt;설정!$B$26)),"△","★")))</f>
        <v/>
      </c>
      <c r="AB729">
        <f>IF(NOT(T729),"",IF(U729="설계사",설정!$B$31,IF(U729="시공사",IF(OR(M729="",설정!$B$24-N(M729)&lt;=설정!$B$28*30.4),설정!$B$32,설정!$B$33),설정!$B$34))+IF(AA729="★",설정!$B$35,0))</f>
        <v/>
      </c>
      <c r="AC729">
        <f>SUBSTITUTE(SUBSTITUTE(SUBSTITUTE(SUBSTITUTE(H729,"(주)",""),"㈜",""),"주식회사","")," ","")</f>
        <v/>
      </c>
      <c r="AD729">
        <f>IF(AND(T729,AC729&lt;&gt;""),IF(COUNTIFS(AC$2:AC729,AC729,T$2:T729,TRUE)=1,MAX(AD$1:AD728)+1,""),"")</f>
        <v/>
      </c>
    </row>
    <row r="730">
      <c r="A730">
        <f>ROW()</f>
        <v/>
      </c>
      <c r="B730">
        <f>IF(설정!$C$4="","",IFERROR(INDEX('1.산군_붙여넣기'!$A$1:$AZ$1001,ROW(),설정!$C$4)&amp;"",""))</f>
        <v/>
      </c>
      <c r="C730">
        <f>IF(설정!$C$5="","",IFERROR(INDEX('1.산군_붙여넣기'!$A$1:$AZ$1001,ROW(),설정!$C$5)&amp;"",""))</f>
        <v/>
      </c>
      <c r="D730" s="5">
        <f>IFERROR(VALUE(SUBSTITUTE(SUBSTITUTE(SUBSTITUTE(IF(설정!$C$6="","",IFERROR(INDEX('1.산군_붙여넣기'!$A$1:$AZ$1001,ROW(),설정!$C$6)&amp;"","")),",",""),"㎡",""),"m2","")),"")</f>
        <v/>
      </c>
      <c r="E730">
        <f>IF(설정!$C$7="","",IFERROR(INDEX('1.산군_붙여넣기'!$A$1:$AZ$1001,ROW(),설정!$C$7)&amp;"",""))</f>
        <v/>
      </c>
      <c r="F730">
        <f>IF(설정!$C$8="","",IFERROR(INDEX('1.산군_붙여넣기'!$A$1:$AZ$1001,ROW(),설정!$C$8)&amp;"",""))</f>
        <v/>
      </c>
      <c r="G730">
        <f>IF(설정!$C$9="","",IFERROR(INDEX('1.산군_붙여넣기'!$A$1:$AZ$1001,ROW(),설정!$C$9)&amp;"",""))</f>
        <v/>
      </c>
      <c r="H730">
        <f>IF(설정!$C$10="","",IFERROR(INDEX('1.산군_붙여넣기'!$A$1:$AZ$1001,ROW(),설정!$C$10)&amp;"",""))</f>
        <v/>
      </c>
      <c r="I730">
        <f>IF(설정!$C$11="","",IFERROR(INDEX('1.산군_붙여넣기'!$A$1:$AZ$1001,ROW(),설정!$C$11)&amp;"",""))</f>
        <v/>
      </c>
      <c r="J730">
        <f>IF(설정!$C$12="","",IFERROR(INDEX('1.산군_붙여넣기'!$A$1:$AZ$1001,ROW(),설정!$C$12)&amp;"",""))</f>
        <v/>
      </c>
      <c r="K730">
        <f>IF(설정!$C$13="","",IFERROR(INDEX('1.산군_붙여넣기'!$A$1:$AZ$1001,ROW(),설정!$C$13)&amp;"",""))</f>
        <v/>
      </c>
      <c r="L730" s="7">
        <f>IF(X730="","",IF(AND(LEN(X730)=8,ISNUMBER(X730*1)),DATE(LEFT(X730,4),MID(X730,5,2),RIGHT(X730,2)),IFERROR(DATEVALUE(SUBSTITUTE(SUBSTITUTE(X730,".","-"),"/","-")),IFERROR(X730*1,""))))</f>
        <v/>
      </c>
      <c r="M730" s="7">
        <f>IF(Y730="","",IF(AND(LEN(Y730)=8,ISNUMBER(Y730*1)),DATE(LEFT(Y730,4),MID(Y730,5,2),RIGHT(Y730,2)),IFERROR(DATEVALUE(SUBSTITUTE(SUBSTITUTE(Y730,".","-"),"/","-")),IFERROR(Y730*1,""))))</f>
        <v/>
      </c>
      <c r="N730">
        <f>IFERROR(LEFT(B730,FIND(" ",B730)-1),B730)</f>
        <v/>
      </c>
      <c r="O730">
        <f>AND(B730&lt;&gt;"",B730&lt;&gt;설정!$B$4,C730&lt;&gt;설정!$B$5)</f>
        <v/>
      </c>
      <c r="P730">
        <f>IF(O730,B730&amp;"|"&amp;C730,"")</f>
        <v/>
      </c>
      <c r="Q730">
        <f>AND(O730,COUNTIF(P731:P$1002,P730)=0)</f>
        <v/>
      </c>
      <c r="R730">
        <f>OR(AND(설정!$A$42&lt;&gt;"",ISNUMBER(SEARCH(설정!$A$42,E730&amp;" "&amp;C730))),AND(설정!$A$43&lt;&gt;"",ISNUMBER(SEARCH(설정!$A$43,E730&amp;" "&amp;C730))),AND(설정!$A$44&lt;&gt;"",ISNUMBER(SEARCH(설정!$A$44,E730&amp;" "&amp;C730))),AND(설정!$A$45&lt;&gt;"",ISNUMBER(SEARCH(설정!$A$45,E730&amp;" "&amp;C730))),AND(설정!$A$46&lt;&gt;"",ISNUMBER(SEARCH(설정!$A$46,E730&amp;" "&amp;C730))),AND(설정!$A$47&lt;&gt;"",ISNUMBER(SEARCH(설정!$A$47,E730&amp;" "&amp;C730))),AND(설정!$A$48&lt;&gt;"",ISNUMBER(SEARCH(설정!$A$48,E730&amp;" "&amp;C730))),AND(설정!$A$49&lt;&gt;"",ISNUMBER(SEARCH(설정!$A$49,E730&amp;" "&amp;C730))),AND(설정!$A$50&lt;&gt;"",ISNUMBER(SEARCH(설정!$A$50,E730&amp;" "&amp;C730))),AND(설정!$A$51&lt;&gt;"",ISNUMBER(SEARCH(설정!$A$51,E730&amp;" "&amp;C730))))</f>
        <v/>
      </c>
      <c r="S730">
        <f>OR(D730="",D730&gt;=설정!$B$19)</f>
        <v/>
      </c>
      <c r="T730">
        <f>AND(Q730,R730,S730)</f>
        <v/>
      </c>
      <c r="U730">
        <f>IF(T730,IF(AND(설정!$A$54&lt;&gt;"",ISNUMBER(SEARCH(설정!$A$54,K730))),설정!$B$54,IF(AND(설정!$A$55&lt;&gt;"",ISNUMBER(SEARCH(설정!$A$55,K730))),설정!$B$55,IF(AND(설정!$A$56&lt;&gt;"",ISNUMBER(SEARCH(설정!$A$56,K730))),설정!$B$56,IF(AND(설정!$A$57&lt;&gt;"",ISNUMBER(SEARCH(설정!$A$57,K730))),설정!$B$57,IF(AND(설정!$A$58&lt;&gt;"",ISNUMBER(SEARCH(설정!$A$58,K730))),설정!$B$58,IF(AND(설정!$A$59&lt;&gt;"",ISNUMBER(SEARCH(설정!$A$59,K730))),설정!$B$59,IF(AND(설정!$A$60&lt;&gt;"",ISNUMBER(SEARCH(설정!$A$60,K730))),설정!$B$60,IF(AND(설정!$A$61&lt;&gt;"",ISNUMBER(SEARCH(설정!$A$61,K730))),설정!$B$61,IF(M730="","설계사","시공사"))))))))),"")</f>
        <v/>
      </c>
      <c r="V730">
        <f>SUBSTITUTE(SUBSTITUTE(SUBSTITUTE(SUBSTITUTE(G730,"(주)",""),"㈜",""),"주식회사","")," ","")</f>
        <v/>
      </c>
      <c r="W730">
        <f>IF(AND(T730,V730&lt;&gt;""),IF(COUNTIFS(V$2:V730,V730,T$2:T730,TRUE)=1,MAX(W$1:W729)+1,""),"")</f>
        <v/>
      </c>
      <c r="X730">
        <f>IF(설정!$C$14="","",IFERROR(INDEX('1.산군_붙여넣기'!$A$1:$AZ$1001,ROW(),설정!$C$14)&amp;"",""))</f>
        <v/>
      </c>
      <c r="Y730">
        <f>IF(설정!$C$15="","",IFERROR(INDEX('1.산군_붙여넣기'!$A$1:$AZ$1001,ROW(),설정!$C$15)&amp;"",""))</f>
        <v/>
      </c>
      <c r="Z730">
        <f>IF(T730,V730&amp;"|"&amp;U730,"")</f>
        <v/>
      </c>
      <c r="AA730">
        <f>IF(NOT(Q730),"",IF(NOT(AND(R730,S730)),"✕",IF(OR(OR(AND(L730&lt;&gt;"",M730&lt;&gt;"",N(M730)-N(L730)&gt;설정!$B$27),AND(L730&lt;&gt;"",M730="",설정!$B$24-N(L730)&gt;설정!$B$27)),AND(D730&lt;&gt;"",D730&lt;설정!$B$26)),"△","★")))</f>
        <v/>
      </c>
      <c r="AB730">
        <f>IF(NOT(T730),"",IF(U730="설계사",설정!$B$31,IF(U730="시공사",IF(OR(M730="",설정!$B$24-N(M730)&lt;=설정!$B$28*30.4),설정!$B$32,설정!$B$33),설정!$B$34))+IF(AA730="★",설정!$B$35,0))</f>
        <v/>
      </c>
      <c r="AC730">
        <f>SUBSTITUTE(SUBSTITUTE(SUBSTITUTE(SUBSTITUTE(H730,"(주)",""),"㈜",""),"주식회사","")," ","")</f>
        <v/>
      </c>
      <c r="AD730">
        <f>IF(AND(T730,AC730&lt;&gt;""),IF(COUNTIFS(AC$2:AC730,AC730,T$2:T730,TRUE)=1,MAX(AD$1:AD729)+1,""),"")</f>
        <v/>
      </c>
    </row>
    <row r="731">
      <c r="A731">
        <f>ROW()</f>
        <v/>
      </c>
      <c r="B731">
        <f>IF(설정!$C$4="","",IFERROR(INDEX('1.산군_붙여넣기'!$A$1:$AZ$1001,ROW(),설정!$C$4)&amp;"",""))</f>
        <v/>
      </c>
      <c r="C731">
        <f>IF(설정!$C$5="","",IFERROR(INDEX('1.산군_붙여넣기'!$A$1:$AZ$1001,ROW(),설정!$C$5)&amp;"",""))</f>
        <v/>
      </c>
      <c r="D731" s="5">
        <f>IFERROR(VALUE(SUBSTITUTE(SUBSTITUTE(SUBSTITUTE(IF(설정!$C$6="","",IFERROR(INDEX('1.산군_붙여넣기'!$A$1:$AZ$1001,ROW(),설정!$C$6)&amp;"","")),",",""),"㎡",""),"m2","")),"")</f>
        <v/>
      </c>
      <c r="E731">
        <f>IF(설정!$C$7="","",IFERROR(INDEX('1.산군_붙여넣기'!$A$1:$AZ$1001,ROW(),설정!$C$7)&amp;"",""))</f>
        <v/>
      </c>
      <c r="F731">
        <f>IF(설정!$C$8="","",IFERROR(INDEX('1.산군_붙여넣기'!$A$1:$AZ$1001,ROW(),설정!$C$8)&amp;"",""))</f>
        <v/>
      </c>
      <c r="G731">
        <f>IF(설정!$C$9="","",IFERROR(INDEX('1.산군_붙여넣기'!$A$1:$AZ$1001,ROW(),설정!$C$9)&amp;"",""))</f>
        <v/>
      </c>
      <c r="H731">
        <f>IF(설정!$C$10="","",IFERROR(INDEX('1.산군_붙여넣기'!$A$1:$AZ$1001,ROW(),설정!$C$10)&amp;"",""))</f>
        <v/>
      </c>
      <c r="I731">
        <f>IF(설정!$C$11="","",IFERROR(INDEX('1.산군_붙여넣기'!$A$1:$AZ$1001,ROW(),설정!$C$11)&amp;"",""))</f>
        <v/>
      </c>
      <c r="J731">
        <f>IF(설정!$C$12="","",IFERROR(INDEX('1.산군_붙여넣기'!$A$1:$AZ$1001,ROW(),설정!$C$12)&amp;"",""))</f>
        <v/>
      </c>
      <c r="K731">
        <f>IF(설정!$C$13="","",IFERROR(INDEX('1.산군_붙여넣기'!$A$1:$AZ$1001,ROW(),설정!$C$13)&amp;"",""))</f>
        <v/>
      </c>
      <c r="L731" s="7">
        <f>IF(X731="","",IF(AND(LEN(X731)=8,ISNUMBER(X731*1)),DATE(LEFT(X731,4),MID(X731,5,2),RIGHT(X731,2)),IFERROR(DATEVALUE(SUBSTITUTE(SUBSTITUTE(X731,".","-"),"/","-")),IFERROR(X731*1,""))))</f>
        <v/>
      </c>
      <c r="M731" s="7">
        <f>IF(Y731="","",IF(AND(LEN(Y731)=8,ISNUMBER(Y731*1)),DATE(LEFT(Y731,4),MID(Y731,5,2),RIGHT(Y731,2)),IFERROR(DATEVALUE(SUBSTITUTE(SUBSTITUTE(Y731,".","-"),"/","-")),IFERROR(Y731*1,""))))</f>
        <v/>
      </c>
      <c r="N731">
        <f>IFERROR(LEFT(B731,FIND(" ",B731)-1),B731)</f>
        <v/>
      </c>
      <c r="O731">
        <f>AND(B731&lt;&gt;"",B731&lt;&gt;설정!$B$4,C731&lt;&gt;설정!$B$5)</f>
        <v/>
      </c>
      <c r="P731">
        <f>IF(O731,B731&amp;"|"&amp;C731,"")</f>
        <v/>
      </c>
      <c r="Q731">
        <f>AND(O731,COUNTIF(P732:P$1002,P731)=0)</f>
        <v/>
      </c>
      <c r="R731">
        <f>OR(AND(설정!$A$42&lt;&gt;"",ISNUMBER(SEARCH(설정!$A$42,E731&amp;" "&amp;C731))),AND(설정!$A$43&lt;&gt;"",ISNUMBER(SEARCH(설정!$A$43,E731&amp;" "&amp;C731))),AND(설정!$A$44&lt;&gt;"",ISNUMBER(SEARCH(설정!$A$44,E731&amp;" "&amp;C731))),AND(설정!$A$45&lt;&gt;"",ISNUMBER(SEARCH(설정!$A$45,E731&amp;" "&amp;C731))),AND(설정!$A$46&lt;&gt;"",ISNUMBER(SEARCH(설정!$A$46,E731&amp;" "&amp;C731))),AND(설정!$A$47&lt;&gt;"",ISNUMBER(SEARCH(설정!$A$47,E731&amp;" "&amp;C731))),AND(설정!$A$48&lt;&gt;"",ISNUMBER(SEARCH(설정!$A$48,E731&amp;" "&amp;C731))),AND(설정!$A$49&lt;&gt;"",ISNUMBER(SEARCH(설정!$A$49,E731&amp;" "&amp;C731))),AND(설정!$A$50&lt;&gt;"",ISNUMBER(SEARCH(설정!$A$50,E731&amp;" "&amp;C731))),AND(설정!$A$51&lt;&gt;"",ISNUMBER(SEARCH(설정!$A$51,E731&amp;" "&amp;C731))))</f>
        <v/>
      </c>
      <c r="S731">
        <f>OR(D731="",D731&gt;=설정!$B$19)</f>
        <v/>
      </c>
      <c r="T731">
        <f>AND(Q731,R731,S731)</f>
        <v/>
      </c>
      <c r="U731">
        <f>IF(T731,IF(AND(설정!$A$54&lt;&gt;"",ISNUMBER(SEARCH(설정!$A$54,K731))),설정!$B$54,IF(AND(설정!$A$55&lt;&gt;"",ISNUMBER(SEARCH(설정!$A$55,K731))),설정!$B$55,IF(AND(설정!$A$56&lt;&gt;"",ISNUMBER(SEARCH(설정!$A$56,K731))),설정!$B$56,IF(AND(설정!$A$57&lt;&gt;"",ISNUMBER(SEARCH(설정!$A$57,K731))),설정!$B$57,IF(AND(설정!$A$58&lt;&gt;"",ISNUMBER(SEARCH(설정!$A$58,K731))),설정!$B$58,IF(AND(설정!$A$59&lt;&gt;"",ISNUMBER(SEARCH(설정!$A$59,K731))),설정!$B$59,IF(AND(설정!$A$60&lt;&gt;"",ISNUMBER(SEARCH(설정!$A$60,K731))),설정!$B$60,IF(AND(설정!$A$61&lt;&gt;"",ISNUMBER(SEARCH(설정!$A$61,K731))),설정!$B$61,IF(M731="","설계사","시공사"))))))))),"")</f>
        <v/>
      </c>
      <c r="V731">
        <f>SUBSTITUTE(SUBSTITUTE(SUBSTITUTE(SUBSTITUTE(G731,"(주)",""),"㈜",""),"주식회사","")," ","")</f>
        <v/>
      </c>
      <c r="W731">
        <f>IF(AND(T731,V731&lt;&gt;""),IF(COUNTIFS(V$2:V731,V731,T$2:T731,TRUE)=1,MAX(W$1:W730)+1,""),"")</f>
        <v/>
      </c>
      <c r="X731">
        <f>IF(설정!$C$14="","",IFERROR(INDEX('1.산군_붙여넣기'!$A$1:$AZ$1001,ROW(),설정!$C$14)&amp;"",""))</f>
        <v/>
      </c>
      <c r="Y731">
        <f>IF(설정!$C$15="","",IFERROR(INDEX('1.산군_붙여넣기'!$A$1:$AZ$1001,ROW(),설정!$C$15)&amp;"",""))</f>
        <v/>
      </c>
      <c r="Z731">
        <f>IF(T731,V731&amp;"|"&amp;U731,"")</f>
        <v/>
      </c>
      <c r="AA731">
        <f>IF(NOT(Q731),"",IF(NOT(AND(R731,S731)),"✕",IF(OR(OR(AND(L731&lt;&gt;"",M731&lt;&gt;"",N(M731)-N(L731)&gt;설정!$B$27),AND(L731&lt;&gt;"",M731="",설정!$B$24-N(L731)&gt;설정!$B$27)),AND(D731&lt;&gt;"",D731&lt;설정!$B$26)),"△","★")))</f>
        <v/>
      </c>
      <c r="AB731">
        <f>IF(NOT(T731),"",IF(U731="설계사",설정!$B$31,IF(U731="시공사",IF(OR(M731="",설정!$B$24-N(M731)&lt;=설정!$B$28*30.4),설정!$B$32,설정!$B$33),설정!$B$34))+IF(AA731="★",설정!$B$35,0))</f>
        <v/>
      </c>
      <c r="AC731">
        <f>SUBSTITUTE(SUBSTITUTE(SUBSTITUTE(SUBSTITUTE(H731,"(주)",""),"㈜",""),"주식회사","")," ","")</f>
        <v/>
      </c>
      <c r="AD731">
        <f>IF(AND(T731,AC731&lt;&gt;""),IF(COUNTIFS(AC$2:AC731,AC731,T$2:T731,TRUE)=1,MAX(AD$1:AD730)+1,""),"")</f>
        <v/>
      </c>
    </row>
    <row r="732">
      <c r="A732">
        <f>ROW()</f>
        <v/>
      </c>
      <c r="B732">
        <f>IF(설정!$C$4="","",IFERROR(INDEX('1.산군_붙여넣기'!$A$1:$AZ$1001,ROW(),설정!$C$4)&amp;"",""))</f>
        <v/>
      </c>
      <c r="C732">
        <f>IF(설정!$C$5="","",IFERROR(INDEX('1.산군_붙여넣기'!$A$1:$AZ$1001,ROW(),설정!$C$5)&amp;"",""))</f>
        <v/>
      </c>
      <c r="D732" s="5">
        <f>IFERROR(VALUE(SUBSTITUTE(SUBSTITUTE(SUBSTITUTE(IF(설정!$C$6="","",IFERROR(INDEX('1.산군_붙여넣기'!$A$1:$AZ$1001,ROW(),설정!$C$6)&amp;"","")),",",""),"㎡",""),"m2","")),"")</f>
        <v/>
      </c>
      <c r="E732">
        <f>IF(설정!$C$7="","",IFERROR(INDEX('1.산군_붙여넣기'!$A$1:$AZ$1001,ROW(),설정!$C$7)&amp;"",""))</f>
        <v/>
      </c>
      <c r="F732">
        <f>IF(설정!$C$8="","",IFERROR(INDEX('1.산군_붙여넣기'!$A$1:$AZ$1001,ROW(),설정!$C$8)&amp;"",""))</f>
        <v/>
      </c>
      <c r="G732">
        <f>IF(설정!$C$9="","",IFERROR(INDEX('1.산군_붙여넣기'!$A$1:$AZ$1001,ROW(),설정!$C$9)&amp;"",""))</f>
        <v/>
      </c>
      <c r="H732">
        <f>IF(설정!$C$10="","",IFERROR(INDEX('1.산군_붙여넣기'!$A$1:$AZ$1001,ROW(),설정!$C$10)&amp;"",""))</f>
        <v/>
      </c>
      <c r="I732">
        <f>IF(설정!$C$11="","",IFERROR(INDEX('1.산군_붙여넣기'!$A$1:$AZ$1001,ROW(),설정!$C$11)&amp;"",""))</f>
        <v/>
      </c>
      <c r="J732">
        <f>IF(설정!$C$12="","",IFERROR(INDEX('1.산군_붙여넣기'!$A$1:$AZ$1001,ROW(),설정!$C$12)&amp;"",""))</f>
        <v/>
      </c>
      <c r="K732">
        <f>IF(설정!$C$13="","",IFERROR(INDEX('1.산군_붙여넣기'!$A$1:$AZ$1001,ROW(),설정!$C$13)&amp;"",""))</f>
        <v/>
      </c>
      <c r="L732" s="7">
        <f>IF(X732="","",IF(AND(LEN(X732)=8,ISNUMBER(X732*1)),DATE(LEFT(X732,4),MID(X732,5,2),RIGHT(X732,2)),IFERROR(DATEVALUE(SUBSTITUTE(SUBSTITUTE(X732,".","-"),"/","-")),IFERROR(X732*1,""))))</f>
        <v/>
      </c>
      <c r="M732" s="7">
        <f>IF(Y732="","",IF(AND(LEN(Y732)=8,ISNUMBER(Y732*1)),DATE(LEFT(Y732,4),MID(Y732,5,2),RIGHT(Y732,2)),IFERROR(DATEVALUE(SUBSTITUTE(SUBSTITUTE(Y732,".","-"),"/","-")),IFERROR(Y732*1,""))))</f>
        <v/>
      </c>
      <c r="N732">
        <f>IFERROR(LEFT(B732,FIND(" ",B732)-1),B732)</f>
        <v/>
      </c>
      <c r="O732">
        <f>AND(B732&lt;&gt;"",B732&lt;&gt;설정!$B$4,C732&lt;&gt;설정!$B$5)</f>
        <v/>
      </c>
      <c r="P732">
        <f>IF(O732,B732&amp;"|"&amp;C732,"")</f>
        <v/>
      </c>
      <c r="Q732">
        <f>AND(O732,COUNTIF(P733:P$1002,P732)=0)</f>
        <v/>
      </c>
      <c r="R732">
        <f>OR(AND(설정!$A$42&lt;&gt;"",ISNUMBER(SEARCH(설정!$A$42,E732&amp;" "&amp;C732))),AND(설정!$A$43&lt;&gt;"",ISNUMBER(SEARCH(설정!$A$43,E732&amp;" "&amp;C732))),AND(설정!$A$44&lt;&gt;"",ISNUMBER(SEARCH(설정!$A$44,E732&amp;" "&amp;C732))),AND(설정!$A$45&lt;&gt;"",ISNUMBER(SEARCH(설정!$A$45,E732&amp;" "&amp;C732))),AND(설정!$A$46&lt;&gt;"",ISNUMBER(SEARCH(설정!$A$46,E732&amp;" "&amp;C732))),AND(설정!$A$47&lt;&gt;"",ISNUMBER(SEARCH(설정!$A$47,E732&amp;" "&amp;C732))),AND(설정!$A$48&lt;&gt;"",ISNUMBER(SEARCH(설정!$A$48,E732&amp;" "&amp;C732))),AND(설정!$A$49&lt;&gt;"",ISNUMBER(SEARCH(설정!$A$49,E732&amp;" "&amp;C732))),AND(설정!$A$50&lt;&gt;"",ISNUMBER(SEARCH(설정!$A$50,E732&amp;" "&amp;C732))),AND(설정!$A$51&lt;&gt;"",ISNUMBER(SEARCH(설정!$A$51,E732&amp;" "&amp;C732))))</f>
        <v/>
      </c>
      <c r="S732">
        <f>OR(D732="",D732&gt;=설정!$B$19)</f>
        <v/>
      </c>
      <c r="T732">
        <f>AND(Q732,R732,S732)</f>
        <v/>
      </c>
      <c r="U732">
        <f>IF(T732,IF(AND(설정!$A$54&lt;&gt;"",ISNUMBER(SEARCH(설정!$A$54,K732))),설정!$B$54,IF(AND(설정!$A$55&lt;&gt;"",ISNUMBER(SEARCH(설정!$A$55,K732))),설정!$B$55,IF(AND(설정!$A$56&lt;&gt;"",ISNUMBER(SEARCH(설정!$A$56,K732))),설정!$B$56,IF(AND(설정!$A$57&lt;&gt;"",ISNUMBER(SEARCH(설정!$A$57,K732))),설정!$B$57,IF(AND(설정!$A$58&lt;&gt;"",ISNUMBER(SEARCH(설정!$A$58,K732))),설정!$B$58,IF(AND(설정!$A$59&lt;&gt;"",ISNUMBER(SEARCH(설정!$A$59,K732))),설정!$B$59,IF(AND(설정!$A$60&lt;&gt;"",ISNUMBER(SEARCH(설정!$A$60,K732))),설정!$B$60,IF(AND(설정!$A$61&lt;&gt;"",ISNUMBER(SEARCH(설정!$A$61,K732))),설정!$B$61,IF(M732="","설계사","시공사"))))))))),"")</f>
        <v/>
      </c>
      <c r="V732">
        <f>SUBSTITUTE(SUBSTITUTE(SUBSTITUTE(SUBSTITUTE(G732,"(주)",""),"㈜",""),"주식회사","")," ","")</f>
        <v/>
      </c>
      <c r="W732">
        <f>IF(AND(T732,V732&lt;&gt;""),IF(COUNTIFS(V$2:V732,V732,T$2:T732,TRUE)=1,MAX(W$1:W731)+1,""),"")</f>
        <v/>
      </c>
      <c r="X732">
        <f>IF(설정!$C$14="","",IFERROR(INDEX('1.산군_붙여넣기'!$A$1:$AZ$1001,ROW(),설정!$C$14)&amp;"",""))</f>
        <v/>
      </c>
      <c r="Y732">
        <f>IF(설정!$C$15="","",IFERROR(INDEX('1.산군_붙여넣기'!$A$1:$AZ$1001,ROW(),설정!$C$15)&amp;"",""))</f>
        <v/>
      </c>
      <c r="Z732">
        <f>IF(T732,V732&amp;"|"&amp;U732,"")</f>
        <v/>
      </c>
      <c r="AA732">
        <f>IF(NOT(Q732),"",IF(NOT(AND(R732,S732)),"✕",IF(OR(OR(AND(L732&lt;&gt;"",M732&lt;&gt;"",N(M732)-N(L732)&gt;설정!$B$27),AND(L732&lt;&gt;"",M732="",설정!$B$24-N(L732)&gt;설정!$B$27)),AND(D732&lt;&gt;"",D732&lt;설정!$B$26)),"△","★")))</f>
        <v/>
      </c>
      <c r="AB732">
        <f>IF(NOT(T732),"",IF(U732="설계사",설정!$B$31,IF(U732="시공사",IF(OR(M732="",설정!$B$24-N(M732)&lt;=설정!$B$28*30.4),설정!$B$32,설정!$B$33),설정!$B$34))+IF(AA732="★",설정!$B$35,0))</f>
        <v/>
      </c>
      <c r="AC732">
        <f>SUBSTITUTE(SUBSTITUTE(SUBSTITUTE(SUBSTITUTE(H732,"(주)",""),"㈜",""),"주식회사","")," ","")</f>
        <v/>
      </c>
      <c r="AD732">
        <f>IF(AND(T732,AC732&lt;&gt;""),IF(COUNTIFS(AC$2:AC732,AC732,T$2:T732,TRUE)=1,MAX(AD$1:AD731)+1,""),"")</f>
        <v/>
      </c>
    </row>
    <row r="733">
      <c r="A733">
        <f>ROW()</f>
        <v/>
      </c>
      <c r="B733">
        <f>IF(설정!$C$4="","",IFERROR(INDEX('1.산군_붙여넣기'!$A$1:$AZ$1001,ROW(),설정!$C$4)&amp;"",""))</f>
        <v/>
      </c>
      <c r="C733">
        <f>IF(설정!$C$5="","",IFERROR(INDEX('1.산군_붙여넣기'!$A$1:$AZ$1001,ROW(),설정!$C$5)&amp;"",""))</f>
        <v/>
      </c>
      <c r="D733" s="5">
        <f>IFERROR(VALUE(SUBSTITUTE(SUBSTITUTE(SUBSTITUTE(IF(설정!$C$6="","",IFERROR(INDEX('1.산군_붙여넣기'!$A$1:$AZ$1001,ROW(),설정!$C$6)&amp;"","")),",",""),"㎡",""),"m2","")),"")</f>
        <v/>
      </c>
      <c r="E733">
        <f>IF(설정!$C$7="","",IFERROR(INDEX('1.산군_붙여넣기'!$A$1:$AZ$1001,ROW(),설정!$C$7)&amp;"",""))</f>
        <v/>
      </c>
      <c r="F733">
        <f>IF(설정!$C$8="","",IFERROR(INDEX('1.산군_붙여넣기'!$A$1:$AZ$1001,ROW(),설정!$C$8)&amp;"",""))</f>
        <v/>
      </c>
      <c r="G733">
        <f>IF(설정!$C$9="","",IFERROR(INDEX('1.산군_붙여넣기'!$A$1:$AZ$1001,ROW(),설정!$C$9)&amp;"",""))</f>
        <v/>
      </c>
      <c r="H733">
        <f>IF(설정!$C$10="","",IFERROR(INDEX('1.산군_붙여넣기'!$A$1:$AZ$1001,ROW(),설정!$C$10)&amp;"",""))</f>
        <v/>
      </c>
      <c r="I733">
        <f>IF(설정!$C$11="","",IFERROR(INDEX('1.산군_붙여넣기'!$A$1:$AZ$1001,ROW(),설정!$C$11)&amp;"",""))</f>
        <v/>
      </c>
      <c r="J733">
        <f>IF(설정!$C$12="","",IFERROR(INDEX('1.산군_붙여넣기'!$A$1:$AZ$1001,ROW(),설정!$C$12)&amp;"",""))</f>
        <v/>
      </c>
      <c r="K733">
        <f>IF(설정!$C$13="","",IFERROR(INDEX('1.산군_붙여넣기'!$A$1:$AZ$1001,ROW(),설정!$C$13)&amp;"",""))</f>
        <v/>
      </c>
      <c r="L733" s="7">
        <f>IF(X733="","",IF(AND(LEN(X733)=8,ISNUMBER(X733*1)),DATE(LEFT(X733,4),MID(X733,5,2),RIGHT(X733,2)),IFERROR(DATEVALUE(SUBSTITUTE(SUBSTITUTE(X733,".","-"),"/","-")),IFERROR(X733*1,""))))</f>
        <v/>
      </c>
      <c r="M733" s="7">
        <f>IF(Y733="","",IF(AND(LEN(Y733)=8,ISNUMBER(Y733*1)),DATE(LEFT(Y733,4),MID(Y733,5,2),RIGHT(Y733,2)),IFERROR(DATEVALUE(SUBSTITUTE(SUBSTITUTE(Y733,".","-"),"/","-")),IFERROR(Y733*1,""))))</f>
        <v/>
      </c>
      <c r="N733">
        <f>IFERROR(LEFT(B733,FIND(" ",B733)-1),B733)</f>
        <v/>
      </c>
      <c r="O733">
        <f>AND(B733&lt;&gt;"",B733&lt;&gt;설정!$B$4,C733&lt;&gt;설정!$B$5)</f>
        <v/>
      </c>
      <c r="P733">
        <f>IF(O733,B733&amp;"|"&amp;C733,"")</f>
        <v/>
      </c>
      <c r="Q733">
        <f>AND(O733,COUNTIF(P734:P$1002,P733)=0)</f>
        <v/>
      </c>
      <c r="R733">
        <f>OR(AND(설정!$A$42&lt;&gt;"",ISNUMBER(SEARCH(설정!$A$42,E733&amp;" "&amp;C733))),AND(설정!$A$43&lt;&gt;"",ISNUMBER(SEARCH(설정!$A$43,E733&amp;" "&amp;C733))),AND(설정!$A$44&lt;&gt;"",ISNUMBER(SEARCH(설정!$A$44,E733&amp;" "&amp;C733))),AND(설정!$A$45&lt;&gt;"",ISNUMBER(SEARCH(설정!$A$45,E733&amp;" "&amp;C733))),AND(설정!$A$46&lt;&gt;"",ISNUMBER(SEARCH(설정!$A$46,E733&amp;" "&amp;C733))),AND(설정!$A$47&lt;&gt;"",ISNUMBER(SEARCH(설정!$A$47,E733&amp;" "&amp;C733))),AND(설정!$A$48&lt;&gt;"",ISNUMBER(SEARCH(설정!$A$48,E733&amp;" "&amp;C733))),AND(설정!$A$49&lt;&gt;"",ISNUMBER(SEARCH(설정!$A$49,E733&amp;" "&amp;C733))),AND(설정!$A$50&lt;&gt;"",ISNUMBER(SEARCH(설정!$A$50,E733&amp;" "&amp;C733))),AND(설정!$A$51&lt;&gt;"",ISNUMBER(SEARCH(설정!$A$51,E733&amp;" "&amp;C733))))</f>
        <v/>
      </c>
      <c r="S733">
        <f>OR(D733="",D733&gt;=설정!$B$19)</f>
        <v/>
      </c>
      <c r="T733">
        <f>AND(Q733,R733,S733)</f>
        <v/>
      </c>
      <c r="U733">
        <f>IF(T733,IF(AND(설정!$A$54&lt;&gt;"",ISNUMBER(SEARCH(설정!$A$54,K733))),설정!$B$54,IF(AND(설정!$A$55&lt;&gt;"",ISNUMBER(SEARCH(설정!$A$55,K733))),설정!$B$55,IF(AND(설정!$A$56&lt;&gt;"",ISNUMBER(SEARCH(설정!$A$56,K733))),설정!$B$56,IF(AND(설정!$A$57&lt;&gt;"",ISNUMBER(SEARCH(설정!$A$57,K733))),설정!$B$57,IF(AND(설정!$A$58&lt;&gt;"",ISNUMBER(SEARCH(설정!$A$58,K733))),설정!$B$58,IF(AND(설정!$A$59&lt;&gt;"",ISNUMBER(SEARCH(설정!$A$59,K733))),설정!$B$59,IF(AND(설정!$A$60&lt;&gt;"",ISNUMBER(SEARCH(설정!$A$60,K733))),설정!$B$60,IF(AND(설정!$A$61&lt;&gt;"",ISNUMBER(SEARCH(설정!$A$61,K733))),설정!$B$61,IF(M733="","설계사","시공사"))))))))),"")</f>
        <v/>
      </c>
      <c r="V733">
        <f>SUBSTITUTE(SUBSTITUTE(SUBSTITUTE(SUBSTITUTE(G733,"(주)",""),"㈜",""),"주식회사","")," ","")</f>
        <v/>
      </c>
      <c r="W733">
        <f>IF(AND(T733,V733&lt;&gt;""),IF(COUNTIFS(V$2:V733,V733,T$2:T733,TRUE)=1,MAX(W$1:W732)+1,""),"")</f>
        <v/>
      </c>
      <c r="X733">
        <f>IF(설정!$C$14="","",IFERROR(INDEX('1.산군_붙여넣기'!$A$1:$AZ$1001,ROW(),설정!$C$14)&amp;"",""))</f>
        <v/>
      </c>
      <c r="Y733">
        <f>IF(설정!$C$15="","",IFERROR(INDEX('1.산군_붙여넣기'!$A$1:$AZ$1001,ROW(),설정!$C$15)&amp;"",""))</f>
        <v/>
      </c>
      <c r="Z733">
        <f>IF(T733,V733&amp;"|"&amp;U733,"")</f>
        <v/>
      </c>
      <c r="AA733">
        <f>IF(NOT(Q733),"",IF(NOT(AND(R733,S733)),"✕",IF(OR(OR(AND(L733&lt;&gt;"",M733&lt;&gt;"",N(M733)-N(L733)&gt;설정!$B$27),AND(L733&lt;&gt;"",M733="",설정!$B$24-N(L733)&gt;설정!$B$27)),AND(D733&lt;&gt;"",D733&lt;설정!$B$26)),"△","★")))</f>
        <v/>
      </c>
      <c r="AB733">
        <f>IF(NOT(T733),"",IF(U733="설계사",설정!$B$31,IF(U733="시공사",IF(OR(M733="",설정!$B$24-N(M733)&lt;=설정!$B$28*30.4),설정!$B$32,설정!$B$33),설정!$B$34))+IF(AA733="★",설정!$B$35,0))</f>
        <v/>
      </c>
      <c r="AC733">
        <f>SUBSTITUTE(SUBSTITUTE(SUBSTITUTE(SUBSTITUTE(H733,"(주)",""),"㈜",""),"주식회사","")," ","")</f>
        <v/>
      </c>
      <c r="AD733">
        <f>IF(AND(T733,AC733&lt;&gt;""),IF(COUNTIFS(AC$2:AC733,AC733,T$2:T733,TRUE)=1,MAX(AD$1:AD732)+1,""),"")</f>
        <v/>
      </c>
    </row>
    <row r="734">
      <c r="A734">
        <f>ROW()</f>
        <v/>
      </c>
      <c r="B734">
        <f>IF(설정!$C$4="","",IFERROR(INDEX('1.산군_붙여넣기'!$A$1:$AZ$1001,ROW(),설정!$C$4)&amp;"",""))</f>
        <v/>
      </c>
      <c r="C734">
        <f>IF(설정!$C$5="","",IFERROR(INDEX('1.산군_붙여넣기'!$A$1:$AZ$1001,ROW(),설정!$C$5)&amp;"",""))</f>
        <v/>
      </c>
      <c r="D734" s="5">
        <f>IFERROR(VALUE(SUBSTITUTE(SUBSTITUTE(SUBSTITUTE(IF(설정!$C$6="","",IFERROR(INDEX('1.산군_붙여넣기'!$A$1:$AZ$1001,ROW(),설정!$C$6)&amp;"","")),",",""),"㎡",""),"m2","")),"")</f>
        <v/>
      </c>
      <c r="E734">
        <f>IF(설정!$C$7="","",IFERROR(INDEX('1.산군_붙여넣기'!$A$1:$AZ$1001,ROW(),설정!$C$7)&amp;"",""))</f>
        <v/>
      </c>
      <c r="F734">
        <f>IF(설정!$C$8="","",IFERROR(INDEX('1.산군_붙여넣기'!$A$1:$AZ$1001,ROW(),설정!$C$8)&amp;"",""))</f>
        <v/>
      </c>
      <c r="G734">
        <f>IF(설정!$C$9="","",IFERROR(INDEX('1.산군_붙여넣기'!$A$1:$AZ$1001,ROW(),설정!$C$9)&amp;"",""))</f>
        <v/>
      </c>
      <c r="H734">
        <f>IF(설정!$C$10="","",IFERROR(INDEX('1.산군_붙여넣기'!$A$1:$AZ$1001,ROW(),설정!$C$10)&amp;"",""))</f>
        <v/>
      </c>
      <c r="I734">
        <f>IF(설정!$C$11="","",IFERROR(INDEX('1.산군_붙여넣기'!$A$1:$AZ$1001,ROW(),설정!$C$11)&amp;"",""))</f>
        <v/>
      </c>
      <c r="J734">
        <f>IF(설정!$C$12="","",IFERROR(INDEX('1.산군_붙여넣기'!$A$1:$AZ$1001,ROW(),설정!$C$12)&amp;"",""))</f>
        <v/>
      </c>
      <c r="K734">
        <f>IF(설정!$C$13="","",IFERROR(INDEX('1.산군_붙여넣기'!$A$1:$AZ$1001,ROW(),설정!$C$13)&amp;"",""))</f>
        <v/>
      </c>
      <c r="L734" s="7">
        <f>IF(X734="","",IF(AND(LEN(X734)=8,ISNUMBER(X734*1)),DATE(LEFT(X734,4),MID(X734,5,2),RIGHT(X734,2)),IFERROR(DATEVALUE(SUBSTITUTE(SUBSTITUTE(X734,".","-"),"/","-")),IFERROR(X734*1,""))))</f>
        <v/>
      </c>
      <c r="M734" s="7">
        <f>IF(Y734="","",IF(AND(LEN(Y734)=8,ISNUMBER(Y734*1)),DATE(LEFT(Y734,4),MID(Y734,5,2),RIGHT(Y734,2)),IFERROR(DATEVALUE(SUBSTITUTE(SUBSTITUTE(Y734,".","-"),"/","-")),IFERROR(Y734*1,""))))</f>
        <v/>
      </c>
      <c r="N734">
        <f>IFERROR(LEFT(B734,FIND(" ",B734)-1),B734)</f>
        <v/>
      </c>
      <c r="O734">
        <f>AND(B734&lt;&gt;"",B734&lt;&gt;설정!$B$4,C734&lt;&gt;설정!$B$5)</f>
        <v/>
      </c>
      <c r="P734">
        <f>IF(O734,B734&amp;"|"&amp;C734,"")</f>
        <v/>
      </c>
      <c r="Q734">
        <f>AND(O734,COUNTIF(P735:P$1002,P734)=0)</f>
        <v/>
      </c>
      <c r="R734">
        <f>OR(AND(설정!$A$42&lt;&gt;"",ISNUMBER(SEARCH(설정!$A$42,E734&amp;" "&amp;C734))),AND(설정!$A$43&lt;&gt;"",ISNUMBER(SEARCH(설정!$A$43,E734&amp;" "&amp;C734))),AND(설정!$A$44&lt;&gt;"",ISNUMBER(SEARCH(설정!$A$44,E734&amp;" "&amp;C734))),AND(설정!$A$45&lt;&gt;"",ISNUMBER(SEARCH(설정!$A$45,E734&amp;" "&amp;C734))),AND(설정!$A$46&lt;&gt;"",ISNUMBER(SEARCH(설정!$A$46,E734&amp;" "&amp;C734))),AND(설정!$A$47&lt;&gt;"",ISNUMBER(SEARCH(설정!$A$47,E734&amp;" "&amp;C734))),AND(설정!$A$48&lt;&gt;"",ISNUMBER(SEARCH(설정!$A$48,E734&amp;" "&amp;C734))),AND(설정!$A$49&lt;&gt;"",ISNUMBER(SEARCH(설정!$A$49,E734&amp;" "&amp;C734))),AND(설정!$A$50&lt;&gt;"",ISNUMBER(SEARCH(설정!$A$50,E734&amp;" "&amp;C734))),AND(설정!$A$51&lt;&gt;"",ISNUMBER(SEARCH(설정!$A$51,E734&amp;" "&amp;C734))))</f>
        <v/>
      </c>
      <c r="S734">
        <f>OR(D734="",D734&gt;=설정!$B$19)</f>
        <v/>
      </c>
      <c r="T734">
        <f>AND(Q734,R734,S734)</f>
        <v/>
      </c>
      <c r="U734">
        <f>IF(T734,IF(AND(설정!$A$54&lt;&gt;"",ISNUMBER(SEARCH(설정!$A$54,K734))),설정!$B$54,IF(AND(설정!$A$55&lt;&gt;"",ISNUMBER(SEARCH(설정!$A$55,K734))),설정!$B$55,IF(AND(설정!$A$56&lt;&gt;"",ISNUMBER(SEARCH(설정!$A$56,K734))),설정!$B$56,IF(AND(설정!$A$57&lt;&gt;"",ISNUMBER(SEARCH(설정!$A$57,K734))),설정!$B$57,IF(AND(설정!$A$58&lt;&gt;"",ISNUMBER(SEARCH(설정!$A$58,K734))),설정!$B$58,IF(AND(설정!$A$59&lt;&gt;"",ISNUMBER(SEARCH(설정!$A$59,K734))),설정!$B$59,IF(AND(설정!$A$60&lt;&gt;"",ISNUMBER(SEARCH(설정!$A$60,K734))),설정!$B$60,IF(AND(설정!$A$61&lt;&gt;"",ISNUMBER(SEARCH(설정!$A$61,K734))),설정!$B$61,IF(M734="","설계사","시공사"))))))))),"")</f>
        <v/>
      </c>
      <c r="V734">
        <f>SUBSTITUTE(SUBSTITUTE(SUBSTITUTE(SUBSTITUTE(G734,"(주)",""),"㈜",""),"주식회사","")," ","")</f>
        <v/>
      </c>
      <c r="W734">
        <f>IF(AND(T734,V734&lt;&gt;""),IF(COUNTIFS(V$2:V734,V734,T$2:T734,TRUE)=1,MAX(W$1:W733)+1,""),"")</f>
        <v/>
      </c>
      <c r="X734">
        <f>IF(설정!$C$14="","",IFERROR(INDEX('1.산군_붙여넣기'!$A$1:$AZ$1001,ROW(),설정!$C$14)&amp;"",""))</f>
        <v/>
      </c>
      <c r="Y734">
        <f>IF(설정!$C$15="","",IFERROR(INDEX('1.산군_붙여넣기'!$A$1:$AZ$1001,ROW(),설정!$C$15)&amp;"",""))</f>
        <v/>
      </c>
      <c r="Z734">
        <f>IF(T734,V734&amp;"|"&amp;U734,"")</f>
        <v/>
      </c>
      <c r="AA734">
        <f>IF(NOT(Q734),"",IF(NOT(AND(R734,S734)),"✕",IF(OR(OR(AND(L734&lt;&gt;"",M734&lt;&gt;"",N(M734)-N(L734)&gt;설정!$B$27),AND(L734&lt;&gt;"",M734="",설정!$B$24-N(L734)&gt;설정!$B$27)),AND(D734&lt;&gt;"",D734&lt;설정!$B$26)),"△","★")))</f>
        <v/>
      </c>
      <c r="AB734">
        <f>IF(NOT(T734),"",IF(U734="설계사",설정!$B$31,IF(U734="시공사",IF(OR(M734="",설정!$B$24-N(M734)&lt;=설정!$B$28*30.4),설정!$B$32,설정!$B$33),설정!$B$34))+IF(AA734="★",설정!$B$35,0))</f>
        <v/>
      </c>
      <c r="AC734">
        <f>SUBSTITUTE(SUBSTITUTE(SUBSTITUTE(SUBSTITUTE(H734,"(주)",""),"㈜",""),"주식회사","")," ","")</f>
        <v/>
      </c>
      <c r="AD734">
        <f>IF(AND(T734,AC734&lt;&gt;""),IF(COUNTIFS(AC$2:AC734,AC734,T$2:T734,TRUE)=1,MAX(AD$1:AD733)+1,""),"")</f>
        <v/>
      </c>
    </row>
    <row r="735">
      <c r="A735">
        <f>ROW()</f>
        <v/>
      </c>
      <c r="B735">
        <f>IF(설정!$C$4="","",IFERROR(INDEX('1.산군_붙여넣기'!$A$1:$AZ$1001,ROW(),설정!$C$4)&amp;"",""))</f>
        <v/>
      </c>
      <c r="C735">
        <f>IF(설정!$C$5="","",IFERROR(INDEX('1.산군_붙여넣기'!$A$1:$AZ$1001,ROW(),설정!$C$5)&amp;"",""))</f>
        <v/>
      </c>
      <c r="D735" s="5">
        <f>IFERROR(VALUE(SUBSTITUTE(SUBSTITUTE(SUBSTITUTE(IF(설정!$C$6="","",IFERROR(INDEX('1.산군_붙여넣기'!$A$1:$AZ$1001,ROW(),설정!$C$6)&amp;"","")),",",""),"㎡",""),"m2","")),"")</f>
        <v/>
      </c>
      <c r="E735">
        <f>IF(설정!$C$7="","",IFERROR(INDEX('1.산군_붙여넣기'!$A$1:$AZ$1001,ROW(),설정!$C$7)&amp;"",""))</f>
        <v/>
      </c>
      <c r="F735">
        <f>IF(설정!$C$8="","",IFERROR(INDEX('1.산군_붙여넣기'!$A$1:$AZ$1001,ROW(),설정!$C$8)&amp;"",""))</f>
        <v/>
      </c>
      <c r="G735">
        <f>IF(설정!$C$9="","",IFERROR(INDEX('1.산군_붙여넣기'!$A$1:$AZ$1001,ROW(),설정!$C$9)&amp;"",""))</f>
        <v/>
      </c>
      <c r="H735">
        <f>IF(설정!$C$10="","",IFERROR(INDEX('1.산군_붙여넣기'!$A$1:$AZ$1001,ROW(),설정!$C$10)&amp;"",""))</f>
        <v/>
      </c>
      <c r="I735">
        <f>IF(설정!$C$11="","",IFERROR(INDEX('1.산군_붙여넣기'!$A$1:$AZ$1001,ROW(),설정!$C$11)&amp;"",""))</f>
        <v/>
      </c>
      <c r="J735">
        <f>IF(설정!$C$12="","",IFERROR(INDEX('1.산군_붙여넣기'!$A$1:$AZ$1001,ROW(),설정!$C$12)&amp;"",""))</f>
        <v/>
      </c>
      <c r="K735">
        <f>IF(설정!$C$13="","",IFERROR(INDEX('1.산군_붙여넣기'!$A$1:$AZ$1001,ROW(),설정!$C$13)&amp;"",""))</f>
        <v/>
      </c>
      <c r="L735" s="7">
        <f>IF(X735="","",IF(AND(LEN(X735)=8,ISNUMBER(X735*1)),DATE(LEFT(X735,4),MID(X735,5,2),RIGHT(X735,2)),IFERROR(DATEVALUE(SUBSTITUTE(SUBSTITUTE(X735,".","-"),"/","-")),IFERROR(X735*1,""))))</f>
        <v/>
      </c>
      <c r="M735" s="7">
        <f>IF(Y735="","",IF(AND(LEN(Y735)=8,ISNUMBER(Y735*1)),DATE(LEFT(Y735,4),MID(Y735,5,2),RIGHT(Y735,2)),IFERROR(DATEVALUE(SUBSTITUTE(SUBSTITUTE(Y735,".","-"),"/","-")),IFERROR(Y735*1,""))))</f>
        <v/>
      </c>
      <c r="N735">
        <f>IFERROR(LEFT(B735,FIND(" ",B735)-1),B735)</f>
        <v/>
      </c>
      <c r="O735">
        <f>AND(B735&lt;&gt;"",B735&lt;&gt;설정!$B$4,C735&lt;&gt;설정!$B$5)</f>
        <v/>
      </c>
      <c r="P735">
        <f>IF(O735,B735&amp;"|"&amp;C735,"")</f>
        <v/>
      </c>
      <c r="Q735">
        <f>AND(O735,COUNTIF(P736:P$1002,P735)=0)</f>
        <v/>
      </c>
      <c r="R735">
        <f>OR(AND(설정!$A$42&lt;&gt;"",ISNUMBER(SEARCH(설정!$A$42,E735&amp;" "&amp;C735))),AND(설정!$A$43&lt;&gt;"",ISNUMBER(SEARCH(설정!$A$43,E735&amp;" "&amp;C735))),AND(설정!$A$44&lt;&gt;"",ISNUMBER(SEARCH(설정!$A$44,E735&amp;" "&amp;C735))),AND(설정!$A$45&lt;&gt;"",ISNUMBER(SEARCH(설정!$A$45,E735&amp;" "&amp;C735))),AND(설정!$A$46&lt;&gt;"",ISNUMBER(SEARCH(설정!$A$46,E735&amp;" "&amp;C735))),AND(설정!$A$47&lt;&gt;"",ISNUMBER(SEARCH(설정!$A$47,E735&amp;" "&amp;C735))),AND(설정!$A$48&lt;&gt;"",ISNUMBER(SEARCH(설정!$A$48,E735&amp;" "&amp;C735))),AND(설정!$A$49&lt;&gt;"",ISNUMBER(SEARCH(설정!$A$49,E735&amp;" "&amp;C735))),AND(설정!$A$50&lt;&gt;"",ISNUMBER(SEARCH(설정!$A$50,E735&amp;" "&amp;C735))),AND(설정!$A$51&lt;&gt;"",ISNUMBER(SEARCH(설정!$A$51,E735&amp;" "&amp;C735))))</f>
        <v/>
      </c>
      <c r="S735">
        <f>OR(D735="",D735&gt;=설정!$B$19)</f>
        <v/>
      </c>
      <c r="T735">
        <f>AND(Q735,R735,S735)</f>
        <v/>
      </c>
      <c r="U735">
        <f>IF(T735,IF(AND(설정!$A$54&lt;&gt;"",ISNUMBER(SEARCH(설정!$A$54,K735))),설정!$B$54,IF(AND(설정!$A$55&lt;&gt;"",ISNUMBER(SEARCH(설정!$A$55,K735))),설정!$B$55,IF(AND(설정!$A$56&lt;&gt;"",ISNUMBER(SEARCH(설정!$A$56,K735))),설정!$B$56,IF(AND(설정!$A$57&lt;&gt;"",ISNUMBER(SEARCH(설정!$A$57,K735))),설정!$B$57,IF(AND(설정!$A$58&lt;&gt;"",ISNUMBER(SEARCH(설정!$A$58,K735))),설정!$B$58,IF(AND(설정!$A$59&lt;&gt;"",ISNUMBER(SEARCH(설정!$A$59,K735))),설정!$B$59,IF(AND(설정!$A$60&lt;&gt;"",ISNUMBER(SEARCH(설정!$A$60,K735))),설정!$B$60,IF(AND(설정!$A$61&lt;&gt;"",ISNUMBER(SEARCH(설정!$A$61,K735))),설정!$B$61,IF(M735="","설계사","시공사"))))))))),"")</f>
        <v/>
      </c>
      <c r="V735">
        <f>SUBSTITUTE(SUBSTITUTE(SUBSTITUTE(SUBSTITUTE(G735,"(주)",""),"㈜",""),"주식회사","")," ","")</f>
        <v/>
      </c>
      <c r="W735">
        <f>IF(AND(T735,V735&lt;&gt;""),IF(COUNTIFS(V$2:V735,V735,T$2:T735,TRUE)=1,MAX(W$1:W734)+1,""),"")</f>
        <v/>
      </c>
      <c r="X735">
        <f>IF(설정!$C$14="","",IFERROR(INDEX('1.산군_붙여넣기'!$A$1:$AZ$1001,ROW(),설정!$C$14)&amp;"",""))</f>
        <v/>
      </c>
      <c r="Y735">
        <f>IF(설정!$C$15="","",IFERROR(INDEX('1.산군_붙여넣기'!$A$1:$AZ$1001,ROW(),설정!$C$15)&amp;"",""))</f>
        <v/>
      </c>
      <c r="Z735">
        <f>IF(T735,V735&amp;"|"&amp;U735,"")</f>
        <v/>
      </c>
      <c r="AA735">
        <f>IF(NOT(Q735),"",IF(NOT(AND(R735,S735)),"✕",IF(OR(OR(AND(L735&lt;&gt;"",M735&lt;&gt;"",N(M735)-N(L735)&gt;설정!$B$27),AND(L735&lt;&gt;"",M735="",설정!$B$24-N(L735)&gt;설정!$B$27)),AND(D735&lt;&gt;"",D735&lt;설정!$B$26)),"△","★")))</f>
        <v/>
      </c>
      <c r="AB735">
        <f>IF(NOT(T735),"",IF(U735="설계사",설정!$B$31,IF(U735="시공사",IF(OR(M735="",설정!$B$24-N(M735)&lt;=설정!$B$28*30.4),설정!$B$32,설정!$B$33),설정!$B$34))+IF(AA735="★",설정!$B$35,0))</f>
        <v/>
      </c>
      <c r="AC735">
        <f>SUBSTITUTE(SUBSTITUTE(SUBSTITUTE(SUBSTITUTE(H735,"(주)",""),"㈜",""),"주식회사","")," ","")</f>
        <v/>
      </c>
      <c r="AD735">
        <f>IF(AND(T735,AC735&lt;&gt;""),IF(COUNTIFS(AC$2:AC735,AC735,T$2:T735,TRUE)=1,MAX(AD$1:AD734)+1,""),"")</f>
        <v/>
      </c>
    </row>
    <row r="736">
      <c r="A736">
        <f>ROW()</f>
        <v/>
      </c>
      <c r="B736">
        <f>IF(설정!$C$4="","",IFERROR(INDEX('1.산군_붙여넣기'!$A$1:$AZ$1001,ROW(),설정!$C$4)&amp;"",""))</f>
        <v/>
      </c>
      <c r="C736">
        <f>IF(설정!$C$5="","",IFERROR(INDEX('1.산군_붙여넣기'!$A$1:$AZ$1001,ROW(),설정!$C$5)&amp;"",""))</f>
        <v/>
      </c>
      <c r="D736" s="5">
        <f>IFERROR(VALUE(SUBSTITUTE(SUBSTITUTE(SUBSTITUTE(IF(설정!$C$6="","",IFERROR(INDEX('1.산군_붙여넣기'!$A$1:$AZ$1001,ROW(),설정!$C$6)&amp;"","")),",",""),"㎡",""),"m2","")),"")</f>
        <v/>
      </c>
      <c r="E736">
        <f>IF(설정!$C$7="","",IFERROR(INDEX('1.산군_붙여넣기'!$A$1:$AZ$1001,ROW(),설정!$C$7)&amp;"",""))</f>
        <v/>
      </c>
      <c r="F736">
        <f>IF(설정!$C$8="","",IFERROR(INDEX('1.산군_붙여넣기'!$A$1:$AZ$1001,ROW(),설정!$C$8)&amp;"",""))</f>
        <v/>
      </c>
      <c r="G736">
        <f>IF(설정!$C$9="","",IFERROR(INDEX('1.산군_붙여넣기'!$A$1:$AZ$1001,ROW(),설정!$C$9)&amp;"",""))</f>
        <v/>
      </c>
      <c r="H736">
        <f>IF(설정!$C$10="","",IFERROR(INDEX('1.산군_붙여넣기'!$A$1:$AZ$1001,ROW(),설정!$C$10)&amp;"",""))</f>
        <v/>
      </c>
      <c r="I736">
        <f>IF(설정!$C$11="","",IFERROR(INDEX('1.산군_붙여넣기'!$A$1:$AZ$1001,ROW(),설정!$C$11)&amp;"",""))</f>
        <v/>
      </c>
      <c r="J736">
        <f>IF(설정!$C$12="","",IFERROR(INDEX('1.산군_붙여넣기'!$A$1:$AZ$1001,ROW(),설정!$C$12)&amp;"",""))</f>
        <v/>
      </c>
      <c r="K736">
        <f>IF(설정!$C$13="","",IFERROR(INDEX('1.산군_붙여넣기'!$A$1:$AZ$1001,ROW(),설정!$C$13)&amp;"",""))</f>
        <v/>
      </c>
      <c r="L736" s="7">
        <f>IF(X736="","",IF(AND(LEN(X736)=8,ISNUMBER(X736*1)),DATE(LEFT(X736,4),MID(X736,5,2),RIGHT(X736,2)),IFERROR(DATEVALUE(SUBSTITUTE(SUBSTITUTE(X736,".","-"),"/","-")),IFERROR(X736*1,""))))</f>
        <v/>
      </c>
      <c r="M736" s="7">
        <f>IF(Y736="","",IF(AND(LEN(Y736)=8,ISNUMBER(Y736*1)),DATE(LEFT(Y736,4),MID(Y736,5,2),RIGHT(Y736,2)),IFERROR(DATEVALUE(SUBSTITUTE(SUBSTITUTE(Y736,".","-"),"/","-")),IFERROR(Y736*1,""))))</f>
        <v/>
      </c>
      <c r="N736">
        <f>IFERROR(LEFT(B736,FIND(" ",B736)-1),B736)</f>
        <v/>
      </c>
      <c r="O736">
        <f>AND(B736&lt;&gt;"",B736&lt;&gt;설정!$B$4,C736&lt;&gt;설정!$B$5)</f>
        <v/>
      </c>
      <c r="P736">
        <f>IF(O736,B736&amp;"|"&amp;C736,"")</f>
        <v/>
      </c>
      <c r="Q736">
        <f>AND(O736,COUNTIF(P737:P$1002,P736)=0)</f>
        <v/>
      </c>
      <c r="R736">
        <f>OR(AND(설정!$A$42&lt;&gt;"",ISNUMBER(SEARCH(설정!$A$42,E736&amp;" "&amp;C736))),AND(설정!$A$43&lt;&gt;"",ISNUMBER(SEARCH(설정!$A$43,E736&amp;" "&amp;C736))),AND(설정!$A$44&lt;&gt;"",ISNUMBER(SEARCH(설정!$A$44,E736&amp;" "&amp;C736))),AND(설정!$A$45&lt;&gt;"",ISNUMBER(SEARCH(설정!$A$45,E736&amp;" "&amp;C736))),AND(설정!$A$46&lt;&gt;"",ISNUMBER(SEARCH(설정!$A$46,E736&amp;" "&amp;C736))),AND(설정!$A$47&lt;&gt;"",ISNUMBER(SEARCH(설정!$A$47,E736&amp;" "&amp;C736))),AND(설정!$A$48&lt;&gt;"",ISNUMBER(SEARCH(설정!$A$48,E736&amp;" "&amp;C736))),AND(설정!$A$49&lt;&gt;"",ISNUMBER(SEARCH(설정!$A$49,E736&amp;" "&amp;C736))),AND(설정!$A$50&lt;&gt;"",ISNUMBER(SEARCH(설정!$A$50,E736&amp;" "&amp;C736))),AND(설정!$A$51&lt;&gt;"",ISNUMBER(SEARCH(설정!$A$51,E736&amp;" "&amp;C736))))</f>
        <v/>
      </c>
      <c r="S736">
        <f>OR(D736="",D736&gt;=설정!$B$19)</f>
        <v/>
      </c>
      <c r="T736">
        <f>AND(Q736,R736,S736)</f>
        <v/>
      </c>
      <c r="U736">
        <f>IF(T736,IF(AND(설정!$A$54&lt;&gt;"",ISNUMBER(SEARCH(설정!$A$54,K736))),설정!$B$54,IF(AND(설정!$A$55&lt;&gt;"",ISNUMBER(SEARCH(설정!$A$55,K736))),설정!$B$55,IF(AND(설정!$A$56&lt;&gt;"",ISNUMBER(SEARCH(설정!$A$56,K736))),설정!$B$56,IF(AND(설정!$A$57&lt;&gt;"",ISNUMBER(SEARCH(설정!$A$57,K736))),설정!$B$57,IF(AND(설정!$A$58&lt;&gt;"",ISNUMBER(SEARCH(설정!$A$58,K736))),설정!$B$58,IF(AND(설정!$A$59&lt;&gt;"",ISNUMBER(SEARCH(설정!$A$59,K736))),설정!$B$59,IF(AND(설정!$A$60&lt;&gt;"",ISNUMBER(SEARCH(설정!$A$60,K736))),설정!$B$60,IF(AND(설정!$A$61&lt;&gt;"",ISNUMBER(SEARCH(설정!$A$61,K736))),설정!$B$61,IF(M736="","설계사","시공사"))))))))),"")</f>
        <v/>
      </c>
      <c r="V736">
        <f>SUBSTITUTE(SUBSTITUTE(SUBSTITUTE(SUBSTITUTE(G736,"(주)",""),"㈜",""),"주식회사","")," ","")</f>
        <v/>
      </c>
      <c r="W736">
        <f>IF(AND(T736,V736&lt;&gt;""),IF(COUNTIFS(V$2:V736,V736,T$2:T736,TRUE)=1,MAX(W$1:W735)+1,""),"")</f>
        <v/>
      </c>
      <c r="X736">
        <f>IF(설정!$C$14="","",IFERROR(INDEX('1.산군_붙여넣기'!$A$1:$AZ$1001,ROW(),설정!$C$14)&amp;"",""))</f>
        <v/>
      </c>
      <c r="Y736">
        <f>IF(설정!$C$15="","",IFERROR(INDEX('1.산군_붙여넣기'!$A$1:$AZ$1001,ROW(),설정!$C$15)&amp;"",""))</f>
        <v/>
      </c>
      <c r="Z736">
        <f>IF(T736,V736&amp;"|"&amp;U736,"")</f>
        <v/>
      </c>
      <c r="AA736">
        <f>IF(NOT(Q736),"",IF(NOT(AND(R736,S736)),"✕",IF(OR(OR(AND(L736&lt;&gt;"",M736&lt;&gt;"",N(M736)-N(L736)&gt;설정!$B$27),AND(L736&lt;&gt;"",M736="",설정!$B$24-N(L736)&gt;설정!$B$27)),AND(D736&lt;&gt;"",D736&lt;설정!$B$26)),"△","★")))</f>
        <v/>
      </c>
      <c r="AB736">
        <f>IF(NOT(T736),"",IF(U736="설계사",설정!$B$31,IF(U736="시공사",IF(OR(M736="",설정!$B$24-N(M736)&lt;=설정!$B$28*30.4),설정!$B$32,설정!$B$33),설정!$B$34))+IF(AA736="★",설정!$B$35,0))</f>
        <v/>
      </c>
      <c r="AC736">
        <f>SUBSTITUTE(SUBSTITUTE(SUBSTITUTE(SUBSTITUTE(H736,"(주)",""),"㈜",""),"주식회사","")," ","")</f>
        <v/>
      </c>
      <c r="AD736">
        <f>IF(AND(T736,AC736&lt;&gt;""),IF(COUNTIFS(AC$2:AC736,AC736,T$2:T736,TRUE)=1,MAX(AD$1:AD735)+1,""),"")</f>
        <v/>
      </c>
    </row>
    <row r="737">
      <c r="A737">
        <f>ROW()</f>
        <v/>
      </c>
      <c r="B737">
        <f>IF(설정!$C$4="","",IFERROR(INDEX('1.산군_붙여넣기'!$A$1:$AZ$1001,ROW(),설정!$C$4)&amp;"",""))</f>
        <v/>
      </c>
      <c r="C737">
        <f>IF(설정!$C$5="","",IFERROR(INDEX('1.산군_붙여넣기'!$A$1:$AZ$1001,ROW(),설정!$C$5)&amp;"",""))</f>
        <v/>
      </c>
      <c r="D737" s="5">
        <f>IFERROR(VALUE(SUBSTITUTE(SUBSTITUTE(SUBSTITUTE(IF(설정!$C$6="","",IFERROR(INDEX('1.산군_붙여넣기'!$A$1:$AZ$1001,ROW(),설정!$C$6)&amp;"","")),",",""),"㎡",""),"m2","")),"")</f>
        <v/>
      </c>
      <c r="E737">
        <f>IF(설정!$C$7="","",IFERROR(INDEX('1.산군_붙여넣기'!$A$1:$AZ$1001,ROW(),설정!$C$7)&amp;"",""))</f>
        <v/>
      </c>
      <c r="F737">
        <f>IF(설정!$C$8="","",IFERROR(INDEX('1.산군_붙여넣기'!$A$1:$AZ$1001,ROW(),설정!$C$8)&amp;"",""))</f>
        <v/>
      </c>
      <c r="G737">
        <f>IF(설정!$C$9="","",IFERROR(INDEX('1.산군_붙여넣기'!$A$1:$AZ$1001,ROW(),설정!$C$9)&amp;"",""))</f>
        <v/>
      </c>
      <c r="H737">
        <f>IF(설정!$C$10="","",IFERROR(INDEX('1.산군_붙여넣기'!$A$1:$AZ$1001,ROW(),설정!$C$10)&amp;"",""))</f>
        <v/>
      </c>
      <c r="I737">
        <f>IF(설정!$C$11="","",IFERROR(INDEX('1.산군_붙여넣기'!$A$1:$AZ$1001,ROW(),설정!$C$11)&amp;"",""))</f>
        <v/>
      </c>
      <c r="J737">
        <f>IF(설정!$C$12="","",IFERROR(INDEX('1.산군_붙여넣기'!$A$1:$AZ$1001,ROW(),설정!$C$12)&amp;"",""))</f>
        <v/>
      </c>
      <c r="K737">
        <f>IF(설정!$C$13="","",IFERROR(INDEX('1.산군_붙여넣기'!$A$1:$AZ$1001,ROW(),설정!$C$13)&amp;"",""))</f>
        <v/>
      </c>
      <c r="L737" s="7">
        <f>IF(X737="","",IF(AND(LEN(X737)=8,ISNUMBER(X737*1)),DATE(LEFT(X737,4),MID(X737,5,2),RIGHT(X737,2)),IFERROR(DATEVALUE(SUBSTITUTE(SUBSTITUTE(X737,".","-"),"/","-")),IFERROR(X737*1,""))))</f>
        <v/>
      </c>
      <c r="M737" s="7">
        <f>IF(Y737="","",IF(AND(LEN(Y737)=8,ISNUMBER(Y737*1)),DATE(LEFT(Y737,4),MID(Y737,5,2),RIGHT(Y737,2)),IFERROR(DATEVALUE(SUBSTITUTE(SUBSTITUTE(Y737,".","-"),"/","-")),IFERROR(Y737*1,""))))</f>
        <v/>
      </c>
      <c r="N737">
        <f>IFERROR(LEFT(B737,FIND(" ",B737)-1),B737)</f>
        <v/>
      </c>
      <c r="O737">
        <f>AND(B737&lt;&gt;"",B737&lt;&gt;설정!$B$4,C737&lt;&gt;설정!$B$5)</f>
        <v/>
      </c>
      <c r="P737">
        <f>IF(O737,B737&amp;"|"&amp;C737,"")</f>
        <v/>
      </c>
      <c r="Q737">
        <f>AND(O737,COUNTIF(P738:P$1002,P737)=0)</f>
        <v/>
      </c>
      <c r="R737">
        <f>OR(AND(설정!$A$42&lt;&gt;"",ISNUMBER(SEARCH(설정!$A$42,E737&amp;" "&amp;C737))),AND(설정!$A$43&lt;&gt;"",ISNUMBER(SEARCH(설정!$A$43,E737&amp;" "&amp;C737))),AND(설정!$A$44&lt;&gt;"",ISNUMBER(SEARCH(설정!$A$44,E737&amp;" "&amp;C737))),AND(설정!$A$45&lt;&gt;"",ISNUMBER(SEARCH(설정!$A$45,E737&amp;" "&amp;C737))),AND(설정!$A$46&lt;&gt;"",ISNUMBER(SEARCH(설정!$A$46,E737&amp;" "&amp;C737))),AND(설정!$A$47&lt;&gt;"",ISNUMBER(SEARCH(설정!$A$47,E737&amp;" "&amp;C737))),AND(설정!$A$48&lt;&gt;"",ISNUMBER(SEARCH(설정!$A$48,E737&amp;" "&amp;C737))),AND(설정!$A$49&lt;&gt;"",ISNUMBER(SEARCH(설정!$A$49,E737&amp;" "&amp;C737))),AND(설정!$A$50&lt;&gt;"",ISNUMBER(SEARCH(설정!$A$50,E737&amp;" "&amp;C737))),AND(설정!$A$51&lt;&gt;"",ISNUMBER(SEARCH(설정!$A$51,E737&amp;" "&amp;C737))))</f>
        <v/>
      </c>
      <c r="S737">
        <f>OR(D737="",D737&gt;=설정!$B$19)</f>
        <v/>
      </c>
      <c r="T737">
        <f>AND(Q737,R737,S737)</f>
        <v/>
      </c>
      <c r="U737">
        <f>IF(T737,IF(AND(설정!$A$54&lt;&gt;"",ISNUMBER(SEARCH(설정!$A$54,K737))),설정!$B$54,IF(AND(설정!$A$55&lt;&gt;"",ISNUMBER(SEARCH(설정!$A$55,K737))),설정!$B$55,IF(AND(설정!$A$56&lt;&gt;"",ISNUMBER(SEARCH(설정!$A$56,K737))),설정!$B$56,IF(AND(설정!$A$57&lt;&gt;"",ISNUMBER(SEARCH(설정!$A$57,K737))),설정!$B$57,IF(AND(설정!$A$58&lt;&gt;"",ISNUMBER(SEARCH(설정!$A$58,K737))),설정!$B$58,IF(AND(설정!$A$59&lt;&gt;"",ISNUMBER(SEARCH(설정!$A$59,K737))),설정!$B$59,IF(AND(설정!$A$60&lt;&gt;"",ISNUMBER(SEARCH(설정!$A$60,K737))),설정!$B$60,IF(AND(설정!$A$61&lt;&gt;"",ISNUMBER(SEARCH(설정!$A$61,K737))),설정!$B$61,IF(M737="","설계사","시공사"))))))))),"")</f>
        <v/>
      </c>
      <c r="V737">
        <f>SUBSTITUTE(SUBSTITUTE(SUBSTITUTE(SUBSTITUTE(G737,"(주)",""),"㈜",""),"주식회사","")," ","")</f>
        <v/>
      </c>
      <c r="W737">
        <f>IF(AND(T737,V737&lt;&gt;""),IF(COUNTIFS(V$2:V737,V737,T$2:T737,TRUE)=1,MAX(W$1:W736)+1,""),"")</f>
        <v/>
      </c>
      <c r="X737">
        <f>IF(설정!$C$14="","",IFERROR(INDEX('1.산군_붙여넣기'!$A$1:$AZ$1001,ROW(),설정!$C$14)&amp;"",""))</f>
        <v/>
      </c>
      <c r="Y737">
        <f>IF(설정!$C$15="","",IFERROR(INDEX('1.산군_붙여넣기'!$A$1:$AZ$1001,ROW(),설정!$C$15)&amp;"",""))</f>
        <v/>
      </c>
      <c r="Z737">
        <f>IF(T737,V737&amp;"|"&amp;U737,"")</f>
        <v/>
      </c>
      <c r="AA737">
        <f>IF(NOT(Q737),"",IF(NOT(AND(R737,S737)),"✕",IF(OR(OR(AND(L737&lt;&gt;"",M737&lt;&gt;"",N(M737)-N(L737)&gt;설정!$B$27),AND(L737&lt;&gt;"",M737="",설정!$B$24-N(L737)&gt;설정!$B$27)),AND(D737&lt;&gt;"",D737&lt;설정!$B$26)),"△","★")))</f>
        <v/>
      </c>
      <c r="AB737">
        <f>IF(NOT(T737),"",IF(U737="설계사",설정!$B$31,IF(U737="시공사",IF(OR(M737="",설정!$B$24-N(M737)&lt;=설정!$B$28*30.4),설정!$B$32,설정!$B$33),설정!$B$34))+IF(AA737="★",설정!$B$35,0))</f>
        <v/>
      </c>
      <c r="AC737">
        <f>SUBSTITUTE(SUBSTITUTE(SUBSTITUTE(SUBSTITUTE(H737,"(주)",""),"㈜",""),"주식회사","")," ","")</f>
        <v/>
      </c>
      <c r="AD737">
        <f>IF(AND(T737,AC737&lt;&gt;""),IF(COUNTIFS(AC$2:AC737,AC737,T$2:T737,TRUE)=1,MAX(AD$1:AD736)+1,""),"")</f>
        <v/>
      </c>
    </row>
    <row r="738">
      <c r="A738">
        <f>ROW()</f>
        <v/>
      </c>
      <c r="B738">
        <f>IF(설정!$C$4="","",IFERROR(INDEX('1.산군_붙여넣기'!$A$1:$AZ$1001,ROW(),설정!$C$4)&amp;"",""))</f>
        <v/>
      </c>
      <c r="C738">
        <f>IF(설정!$C$5="","",IFERROR(INDEX('1.산군_붙여넣기'!$A$1:$AZ$1001,ROW(),설정!$C$5)&amp;"",""))</f>
        <v/>
      </c>
      <c r="D738" s="5">
        <f>IFERROR(VALUE(SUBSTITUTE(SUBSTITUTE(SUBSTITUTE(IF(설정!$C$6="","",IFERROR(INDEX('1.산군_붙여넣기'!$A$1:$AZ$1001,ROW(),설정!$C$6)&amp;"","")),",",""),"㎡",""),"m2","")),"")</f>
        <v/>
      </c>
      <c r="E738">
        <f>IF(설정!$C$7="","",IFERROR(INDEX('1.산군_붙여넣기'!$A$1:$AZ$1001,ROW(),설정!$C$7)&amp;"",""))</f>
        <v/>
      </c>
      <c r="F738">
        <f>IF(설정!$C$8="","",IFERROR(INDEX('1.산군_붙여넣기'!$A$1:$AZ$1001,ROW(),설정!$C$8)&amp;"",""))</f>
        <v/>
      </c>
      <c r="G738">
        <f>IF(설정!$C$9="","",IFERROR(INDEX('1.산군_붙여넣기'!$A$1:$AZ$1001,ROW(),설정!$C$9)&amp;"",""))</f>
        <v/>
      </c>
      <c r="H738">
        <f>IF(설정!$C$10="","",IFERROR(INDEX('1.산군_붙여넣기'!$A$1:$AZ$1001,ROW(),설정!$C$10)&amp;"",""))</f>
        <v/>
      </c>
      <c r="I738">
        <f>IF(설정!$C$11="","",IFERROR(INDEX('1.산군_붙여넣기'!$A$1:$AZ$1001,ROW(),설정!$C$11)&amp;"",""))</f>
        <v/>
      </c>
      <c r="J738">
        <f>IF(설정!$C$12="","",IFERROR(INDEX('1.산군_붙여넣기'!$A$1:$AZ$1001,ROW(),설정!$C$12)&amp;"",""))</f>
        <v/>
      </c>
      <c r="K738">
        <f>IF(설정!$C$13="","",IFERROR(INDEX('1.산군_붙여넣기'!$A$1:$AZ$1001,ROW(),설정!$C$13)&amp;"",""))</f>
        <v/>
      </c>
      <c r="L738" s="7">
        <f>IF(X738="","",IF(AND(LEN(X738)=8,ISNUMBER(X738*1)),DATE(LEFT(X738,4),MID(X738,5,2),RIGHT(X738,2)),IFERROR(DATEVALUE(SUBSTITUTE(SUBSTITUTE(X738,".","-"),"/","-")),IFERROR(X738*1,""))))</f>
        <v/>
      </c>
      <c r="M738" s="7">
        <f>IF(Y738="","",IF(AND(LEN(Y738)=8,ISNUMBER(Y738*1)),DATE(LEFT(Y738,4),MID(Y738,5,2),RIGHT(Y738,2)),IFERROR(DATEVALUE(SUBSTITUTE(SUBSTITUTE(Y738,".","-"),"/","-")),IFERROR(Y738*1,""))))</f>
        <v/>
      </c>
      <c r="N738">
        <f>IFERROR(LEFT(B738,FIND(" ",B738)-1),B738)</f>
        <v/>
      </c>
      <c r="O738">
        <f>AND(B738&lt;&gt;"",B738&lt;&gt;설정!$B$4,C738&lt;&gt;설정!$B$5)</f>
        <v/>
      </c>
      <c r="P738">
        <f>IF(O738,B738&amp;"|"&amp;C738,"")</f>
        <v/>
      </c>
      <c r="Q738">
        <f>AND(O738,COUNTIF(P739:P$1002,P738)=0)</f>
        <v/>
      </c>
      <c r="R738">
        <f>OR(AND(설정!$A$42&lt;&gt;"",ISNUMBER(SEARCH(설정!$A$42,E738&amp;" "&amp;C738))),AND(설정!$A$43&lt;&gt;"",ISNUMBER(SEARCH(설정!$A$43,E738&amp;" "&amp;C738))),AND(설정!$A$44&lt;&gt;"",ISNUMBER(SEARCH(설정!$A$44,E738&amp;" "&amp;C738))),AND(설정!$A$45&lt;&gt;"",ISNUMBER(SEARCH(설정!$A$45,E738&amp;" "&amp;C738))),AND(설정!$A$46&lt;&gt;"",ISNUMBER(SEARCH(설정!$A$46,E738&amp;" "&amp;C738))),AND(설정!$A$47&lt;&gt;"",ISNUMBER(SEARCH(설정!$A$47,E738&amp;" "&amp;C738))),AND(설정!$A$48&lt;&gt;"",ISNUMBER(SEARCH(설정!$A$48,E738&amp;" "&amp;C738))),AND(설정!$A$49&lt;&gt;"",ISNUMBER(SEARCH(설정!$A$49,E738&amp;" "&amp;C738))),AND(설정!$A$50&lt;&gt;"",ISNUMBER(SEARCH(설정!$A$50,E738&amp;" "&amp;C738))),AND(설정!$A$51&lt;&gt;"",ISNUMBER(SEARCH(설정!$A$51,E738&amp;" "&amp;C738))))</f>
        <v/>
      </c>
      <c r="S738">
        <f>OR(D738="",D738&gt;=설정!$B$19)</f>
        <v/>
      </c>
      <c r="T738">
        <f>AND(Q738,R738,S738)</f>
        <v/>
      </c>
      <c r="U738">
        <f>IF(T738,IF(AND(설정!$A$54&lt;&gt;"",ISNUMBER(SEARCH(설정!$A$54,K738))),설정!$B$54,IF(AND(설정!$A$55&lt;&gt;"",ISNUMBER(SEARCH(설정!$A$55,K738))),설정!$B$55,IF(AND(설정!$A$56&lt;&gt;"",ISNUMBER(SEARCH(설정!$A$56,K738))),설정!$B$56,IF(AND(설정!$A$57&lt;&gt;"",ISNUMBER(SEARCH(설정!$A$57,K738))),설정!$B$57,IF(AND(설정!$A$58&lt;&gt;"",ISNUMBER(SEARCH(설정!$A$58,K738))),설정!$B$58,IF(AND(설정!$A$59&lt;&gt;"",ISNUMBER(SEARCH(설정!$A$59,K738))),설정!$B$59,IF(AND(설정!$A$60&lt;&gt;"",ISNUMBER(SEARCH(설정!$A$60,K738))),설정!$B$60,IF(AND(설정!$A$61&lt;&gt;"",ISNUMBER(SEARCH(설정!$A$61,K738))),설정!$B$61,IF(M738="","설계사","시공사"))))))))),"")</f>
        <v/>
      </c>
      <c r="V738">
        <f>SUBSTITUTE(SUBSTITUTE(SUBSTITUTE(SUBSTITUTE(G738,"(주)",""),"㈜",""),"주식회사","")," ","")</f>
        <v/>
      </c>
      <c r="W738">
        <f>IF(AND(T738,V738&lt;&gt;""),IF(COUNTIFS(V$2:V738,V738,T$2:T738,TRUE)=1,MAX(W$1:W737)+1,""),"")</f>
        <v/>
      </c>
      <c r="X738">
        <f>IF(설정!$C$14="","",IFERROR(INDEX('1.산군_붙여넣기'!$A$1:$AZ$1001,ROW(),설정!$C$14)&amp;"",""))</f>
        <v/>
      </c>
      <c r="Y738">
        <f>IF(설정!$C$15="","",IFERROR(INDEX('1.산군_붙여넣기'!$A$1:$AZ$1001,ROW(),설정!$C$15)&amp;"",""))</f>
        <v/>
      </c>
      <c r="Z738">
        <f>IF(T738,V738&amp;"|"&amp;U738,"")</f>
        <v/>
      </c>
      <c r="AA738">
        <f>IF(NOT(Q738),"",IF(NOT(AND(R738,S738)),"✕",IF(OR(OR(AND(L738&lt;&gt;"",M738&lt;&gt;"",N(M738)-N(L738)&gt;설정!$B$27),AND(L738&lt;&gt;"",M738="",설정!$B$24-N(L738)&gt;설정!$B$27)),AND(D738&lt;&gt;"",D738&lt;설정!$B$26)),"△","★")))</f>
        <v/>
      </c>
      <c r="AB738">
        <f>IF(NOT(T738),"",IF(U738="설계사",설정!$B$31,IF(U738="시공사",IF(OR(M738="",설정!$B$24-N(M738)&lt;=설정!$B$28*30.4),설정!$B$32,설정!$B$33),설정!$B$34))+IF(AA738="★",설정!$B$35,0))</f>
        <v/>
      </c>
      <c r="AC738">
        <f>SUBSTITUTE(SUBSTITUTE(SUBSTITUTE(SUBSTITUTE(H738,"(주)",""),"㈜",""),"주식회사","")," ","")</f>
        <v/>
      </c>
      <c r="AD738">
        <f>IF(AND(T738,AC738&lt;&gt;""),IF(COUNTIFS(AC$2:AC738,AC738,T$2:T738,TRUE)=1,MAX(AD$1:AD737)+1,""),"")</f>
        <v/>
      </c>
    </row>
    <row r="739">
      <c r="A739">
        <f>ROW()</f>
        <v/>
      </c>
      <c r="B739">
        <f>IF(설정!$C$4="","",IFERROR(INDEX('1.산군_붙여넣기'!$A$1:$AZ$1001,ROW(),설정!$C$4)&amp;"",""))</f>
        <v/>
      </c>
      <c r="C739">
        <f>IF(설정!$C$5="","",IFERROR(INDEX('1.산군_붙여넣기'!$A$1:$AZ$1001,ROW(),설정!$C$5)&amp;"",""))</f>
        <v/>
      </c>
      <c r="D739" s="5">
        <f>IFERROR(VALUE(SUBSTITUTE(SUBSTITUTE(SUBSTITUTE(IF(설정!$C$6="","",IFERROR(INDEX('1.산군_붙여넣기'!$A$1:$AZ$1001,ROW(),설정!$C$6)&amp;"","")),",",""),"㎡",""),"m2","")),"")</f>
        <v/>
      </c>
      <c r="E739">
        <f>IF(설정!$C$7="","",IFERROR(INDEX('1.산군_붙여넣기'!$A$1:$AZ$1001,ROW(),설정!$C$7)&amp;"",""))</f>
        <v/>
      </c>
      <c r="F739">
        <f>IF(설정!$C$8="","",IFERROR(INDEX('1.산군_붙여넣기'!$A$1:$AZ$1001,ROW(),설정!$C$8)&amp;"",""))</f>
        <v/>
      </c>
      <c r="G739">
        <f>IF(설정!$C$9="","",IFERROR(INDEX('1.산군_붙여넣기'!$A$1:$AZ$1001,ROW(),설정!$C$9)&amp;"",""))</f>
        <v/>
      </c>
      <c r="H739">
        <f>IF(설정!$C$10="","",IFERROR(INDEX('1.산군_붙여넣기'!$A$1:$AZ$1001,ROW(),설정!$C$10)&amp;"",""))</f>
        <v/>
      </c>
      <c r="I739">
        <f>IF(설정!$C$11="","",IFERROR(INDEX('1.산군_붙여넣기'!$A$1:$AZ$1001,ROW(),설정!$C$11)&amp;"",""))</f>
        <v/>
      </c>
      <c r="J739">
        <f>IF(설정!$C$12="","",IFERROR(INDEX('1.산군_붙여넣기'!$A$1:$AZ$1001,ROW(),설정!$C$12)&amp;"",""))</f>
        <v/>
      </c>
      <c r="K739">
        <f>IF(설정!$C$13="","",IFERROR(INDEX('1.산군_붙여넣기'!$A$1:$AZ$1001,ROW(),설정!$C$13)&amp;"",""))</f>
        <v/>
      </c>
      <c r="L739" s="7">
        <f>IF(X739="","",IF(AND(LEN(X739)=8,ISNUMBER(X739*1)),DATE(LEFT(X739,4),MID(X739,5,2),RIGHT(X739,2)),IFERROR(DATEVALUE(SUBSTITUTE(SUBSTITUTE(X739,".","-"),"/","-")),IFERROR(X739*1,""))))</f>
        <v/>
      </c>
      <c r="M739" s="7">
        <f>IF(Y739="","",IF(AND(LEN(Y739)=8,ISNUMBER(Y739*1)),DATE(LEFT(Y739,4),MID(Y739,5,2),RIGHT(Y739,2)),IFERROR(DATEVALUE(SUBSTITUTE(SUBSTITUTE(Y739,".","-"),"/","-")),IFERROR(Y739*1,""))))</f>
        <v/>
      </c>
      <c r="N739">
        <f>IFERROR(LEFT(B739,FIND(" ",B739)-1),B739)</f>
        <v/>
      </c>
      <c r="O739">
        <f>AND(B739&lt;&gt;"",B739&lt;&gt;설정!$B$4,C739&lt;&gt;설정!$B$5)</f>
        <v/>
      </c>
      <c r="P739">
        <f>IF(O739,B739&amp;"|"&amp;C739,"")</f>
        <v/>
      </c>
      <c r="Q739">
        <f>AND(O739,COUNTIF(P740:P$1002,P739)=0)</f>
        <v/>
      </c>
      <c r="R739">
        <f>OR(AND(설정!$A$42&lt;&gt;"",ISNUMBER(SEARCH(설정!$A$42,E739&amp;" "&amp;C739))),AND(설정!$A$43&lt;&gt;"",ISNUMBER(SEARCH(설정!$A$43,E739&amp;" "&amp;C739))),AND(설정!$A$44&lt;&gt;"",ISNUMBER(SEARCH(설정!$A$44,E739&amp;" "&amp;C739))),AND(설정!$A$45&lt;&gt;"",ISNUMBER(SEARCH(설정!$A$45,E739&amp;" "&amp;C739))),AND(설정!$A$46&lt;&gt;"",ISNUMBER(SEARCH(설정!$A$46,E739&amp;" "&amp;C739))),AND(설정!$A$47&lt;&gt;"",ISNUMBER(SEARCH(설정!$A$47,E739&amp;" "&amp;C739))),AND(설정!$A$48&lt;&gt;"",ISNUMBER(SEARCH(설정!$A$48,E739&amp;" "&amp;C739))),AND(설정!$A$49&lt;&gt;"",ISNUMBER(SEARCH(설정!$A$49,E739&amp;" "&amp;C739))),AND(설정!$A$50&lt;&gt;"",ISNUMBER(SEARCH(설정!$A$50,E739&amp;" "&amp;C739))),AND(설정!$A$51&lt;&gt;"",ISNUMBER(SEARCH(설정!$A$51,E739&amp;" "&amp;C739))))</f>
        <v/>
      </c>
      <c r="S739">
        <f>OR(D739="",D739&gt;=설정!$B$19)</f>
        <v/>
      </c>
      <c r="T739">
        <f>AND(Q739,R739,S739)</f>
        <v/>
      </c>
      <c r="U739">
        <f>IF(T739,IF(AND(설정!$A$54&lt;&gt;"",ISNUMBER(SEARCH(설정!$A$54,K739))),설정!$B$54,IF(AND(설정!$A$55&lt;&gt;"",ISNUMBER(SEARCH(설정!$A$55,K739))),설정!$B$55,IF(AND(설정!$A$56&lt;&gt;"",ISNUMBER(SEARCH(설정!$A$56,K739))),설정!$B$56,IF(AND(설정!$A$57&lt;&gt;"",ISNUMBER(SEARCH(설정!$A$57,K739))),설정!$B$57,IF(AND(설정!$A$58&lt;&gt;"",ISNUMBER(SEARCH(설정!$A$58,K739))),설정!$B$58,IF(AND(설정!$A$59&lt;&gt;"",ISNUMBER(SEARCH(설정!$A$59,K739))),설정!$B$59,IF(AND(설정!$A$60&lt;&gt;"",ISNUMBER(SEARCH(설정!$A$60,K739))),설정!$B$60,IF(AND(설정!$A$61&lt;&gt;"",ISNUMBER(SEARCH(설정!$A$61,K739))),설정!$B$61,IF(M739="","설계사","시공사"))))))))),"")</f>
        <v/>
      </c>
      <c r="V739">
        <f>SUBSTITUTE(SUBSTITUTE(SUBSTITUTE(SUBSTITUTE(G739,"(주)",""),"㈜",""),"주식회사","")," ","")</f>
        <v/>
      </c>
      <c r="W739">
        <f>IF(AND(T739,V739&lt;&gt;""),IF(COUNTIFS(V$2:V739,V739,T$2:T739,TRUE)=1,MAX(W$1:W738)+1,""),"")</f>
        <v/>
      </c>
      <c r="X739">
        <f>IF(설정!$C$14="","",IFERROR(INDEX('1.산군_붙여넣기'!$A$1:$AZ$1001,ROW(),설정!$C$14)&amp;"",""))</f>
        <v/>
      </c>
      <c r="Y739">
        <f>IF(설정!$C$15="","",IFERROR(INDEX('1.산군_붙여넣기'!$A$1:$AZ$1001,ROW(),설정!$C$15)&amp;"",""))</f>
        <v/>
      </c>
      <c r="Z739">
        <f>IF(T739,V739&amp;"|"&amp;U739,"")</f>
        <v/>
      </c>
      <c r="AA739">
        <f>IF(NOT(Q739),"",IF(NOT(AND(R739,S739)),"✕",IF(OR(OR(AND(L739&lt;&gt;"",M739&lt;&gt;"",N(M739)-N(L739)&gt;설정!$B$27),AND(L739&lt;&gt;"",M739="",설정!$B$24-N(L739)&gt;설정!$B$27)),AND(D739&lt;&gt;"",D739&lt;설정!$B$26)),"△","★")))</f>
        <v/>
      </c>
      <c r="AB739">
        <f>IF(NOT(T739),"",IF(U739="설계사",설정!$B$31,IF(U739="시공사",IF(OR(M739="",설정!$B$24-N(M739)&lt;=설정!$B$28*30.4),설정!$B$32,설정!$B$33),설정!$B$34))+IF(AA739="★",설정!$B$35,0))</f>
        <v/>
      </c>
      <c r="AC739">
        <f>SUBSTITUTE(SUBSTITUTE(SUBSTITUTE(SUBSTITUTE(H739,"(주)",""),"㈜",""),"주식회사","")," ","")</f>
        <v/>
      </c>
      <c r="AD739">
        <f>IF(AND(T739,AC739&lt;&gt;""),IF(COUNTIFS(AC$2:AC739,AC739,T$2:T739,TRUE)=1,MAX(AD$1:AD738)+1,""),"")</f>
        <v/>
      </c>
    </row>
    <row r="740">
      <c r="A740">
        <f>ROW()</f>
        <v/>
      </c>
      <c r="B740">
        <f>IF(설정!$C$4="","",IFERROR(INDEX('1.산군_붙여넣기'!$A$1:$AZ$1001,ROW(),설정!$C$4)&amp;"",""))</f>
        <v/>
      </c>
      <c r="C740">
        <f>IF(설정!$C$5="","",IFERROR(INDEX('1.산군_붙여넣기'!$A$1:$AZ$1001,ROW(),설정!$C$5)&amp;"",""))</f>
        <v/>
      </c>
      <c r="D740" s="5">
        <f>IFERROR(VALUE(SUBSTITUTE(SUBSTITUTE(SUBSTITUTE(IF(설정!$C$6="","",IFERROR(INDEX('1.산군_붙여넣기'!$A$1:$AZ$1001,ROW(),설정!$C$6)&amp;"","")),",",""),"㎡",""),"m2","")),"")</f>
        <v/>
      </c>
      <c r="E740">
        <f>IF(설정!$C$7="","",IFERROR(INDEX('1.산군_붙여넣기'!$A$1:$AZ$1001,ROW(),설정!$C$7)&amp;"",""))</f>
        <v/>
      </c>
      <c r="F740">
        <f>IF(설정!$C$8="","",IFERROR(INDEX('1.산군_붙여넣기'!$A$1:$AZ$1001,ROW(),설정!$C$8)&amp;"",""))</f>
        <v/>
      </c>
      <c r="G740">
        <f>IF(설정!$C$9="","",IFERROR(INDEX('1.산군_붙여넣기'!$A$1:$AZ$1001,ROW(),설정!$C$9)&amp;"",""))</f>
        <v/>
      </c>
      <c r="H740">
        <f>IF(설정!$C$10="","",IFERROR(INDEX('1.산군_붙여넣기'!$A$1:$AZ$1001,ROW(),설정!$C$10)&amp;"",""))</f>
        <v/>
      </c>
      <c r="I740">
        <f>IF(설정!$C$11="","",IFERROR(INDEX('1.산군_붙여넣기'!$A$1:$AZ$1001,ROW(),설정!$C$11)&amp;"",""))</f>
        <v/>
      </c>
      <c r="J740">
        <f>IF(설정!$C$12="","",IFERROR(INDEX('1.산군_붙여넣기'!$A$1:$AZ$1001,ROW(),설정!$C$12)&amp;"",""))</f>
        <v/>
      </c>
      <c r="K740">
        <f>IF(설정!$C$13="","",IFERROR(INDEX('1.산군_붙여넣기'!$A$1:$AZ$1001,ROW(),설정!$C$13)&amp;"",""))</f>
        <v/>
      </c>
      <c r="L740" s="7">
        <f>IF(X740="","",IF(AND(LEN(X740)=8,ISNUMBER(X740*1)),DATE(LEFT(X740,4),MID(X740,5,2),RIGHT(X740,2)),IFERROR(DATEVALUE(SUBSTITUTE(SUBSTITUTE(X740,".","-"),"/","-")),IFERROR(X740*1,""))))</f>
        <v/>
      </c>
      <c r="M740" s="7">
        <f>IF(Y740="","",IF(AND(LEN(Y740)=8,ISNUMBER(Y740*1)),DATE(LEFT(Y740,4),MID(Y740,5,2),RIGHT(Y740,2)),IFERROR(DATEVALUE(SUBSTITUTE(SUBSTITUTE(Y740,".","-"),"/","-")),IFERROR(Y740*1,""))))</f>
        <v/>
      </c>
      <c r="N740">
        <f>IFERROR(LEFT(B740,FIND(" ",B740)-1),B740)</f>
        <v/>
      </c>
      <c r="O740">
        <f>AND(B740&lt;&gt;"",B740&lt;&gt;설정!$B$4,C740&lt;&gt;설정!$B$5)</f>
        <v/>
      </c>
      <c r="P740">
        <f>IF(O740,B740&amp;"|"&amp;C740,"")</f>
        <v/>
      </c>
      <c r="Q740">
        <f>AND(O740,COUNTIF(P741:P$1002,P740)=0)</f>
        <v/>
      </c>
      <c r="R740">
        <f>OR(AND(설정!$A$42&lt;&gt;"",ISNUMBER(SEARCH(설정!$A$42,E740&amp;" "&amp;C740))),AND(설정!$A$43&lt;&gt;"",ISNUMBER(SEARCH(설정!$A$43,E740&amp;" "&amp;C740))),AND(설정!$A$44&lt;&gt;"",ISNUMBER(SEARCH(설정!$A$44,E740&amp;" "&amp;C740))),AND(설정!$A$45&lt;&gt;"",ISNUMBER(SEARCH(설정!$A$45,E740&amp;" "&amp;C740))),AND(설정!$A$46&lt;&gt;"",ISNUMBER(SEARCH(설정!$A$46,E740&amp;" "&amp;C740))),AND(설정!$A$47&lt;&gt;"",ISNUMBER(SEARCH(설정!$A$47,E740&amp;" "&amp;C740))),AND(설정!$A$48&lt;&gt;"",ISNUMBER(SEARCH(설정!$A$48,E740&amp;" "&amp;C740))),AND(설정!$A$49&lt;&gt;"",ISNUMBER(SEARCH(설정!$A$49,E740&amp;" "&amp;C740))),AND(설정!$A$50&lt;&gt;"",ISNUMBER(SEARCH(설정!$A$50,E740&amp;" "&amp;C740))),AND(설정!$A$51&lt;&gt;"",ISNUMBER(SEARCH(설정!$A$51,E740&amp;" "&amp;C740))))</f>
        <v/>
      </c>
      <c r="S740">
        <f>OR(D740="",D740&gt;=설정!$B$19)</f>
        <v/>
      </c>
      <c r="T740">
        <f>AND(Q740,R740,S740)</f>
        <v/>
      </c>
      <c r="U740">
        <f>IF(T740,IF(AND(설정!$A$54&lt;&gt;"",ISNUMBER(SEARCH(설정!$A$54,K740))),설정!$B$54,IF(AND(설정!$A$55&lt;&gt;"",ISNUMBER(SEARCH(설정!$A$55,K740))),설정!$B$55,IF(AND(설정!$A$56&lt;&gt;"",ISNUMBER(SEARCH(설정!$A$56,K740))),설정!$B$56,IF(AND(설정!$A$57&lt;&gt;"",ISNUMBER(SEARCH(설정!$A$57,K740))),설정!$B$57,IF(AND(설정!$A$58&lt;&gt;"",ISNUMBER(SEARCH(설정!$A$58,K740))),설정!$B$58,IF(AND(설정!$A$59&lt;&gt;"",ISNUMBER(SEARCH(설정!$A$59,K740))),설정!$B$59,IF(AND(설정!$A$60&lt;&gt;"",ISNUMBER(SEARCH(설정!$A$60,K740))),설정!$B$60,IF(AND(설정!$A$61&lt;&gt;"",ISNUMBER(SEARCH(설정!$A$61,K740))),설정!$B$61,IF(M740="","설계사","시공사"))))))))),"")</f>
        <v/>
      </c>
      <c r="V740">
        <f>SUBSTITUTE(SUBSTITUTE(SUBSTITUTE(SUBSTITUTE(G740,"(주)",""),"㈜",""),"주식회사","")," ","")</f>
        <v/>
      </c>
      <c r="W740">
        <f>IF(AND(T740,V740&lt;&gt;""),IF(COUNTIFS(V$2:V740,V740,T$2:T740,TRUE)=1,MAX(W$1:W739)+1,""),"")</f>
        <v/>
      </c>
      <c r="X740">
        <f>IF(설정!$C$14="","",IFERROR(INDEX('1.산군_붙여넣기'!$A$1:$AZ$1001,ROW(),설정!$C$14)&amp;"",""))</f>
        <v/>
      </c>
      <c r="Y740">
        <f>IF(설정!$C$15="","",IFERROR(INDEX('1.산군_붙여넣기'!$A$1:$AZ$1001,ROW(),설정!$C$15)&amp;"",""))</f>
        <v/>
      </c>
      <c r="Z740">
        <f>IF(T740,V740&amp;"|"&amp;U740,"")</f>
        <v/>
      </c>
      <c r="AA740">
        <f>IF(NOT(Q740),"",IF(NOT(AND(R740,S740)),"✕",IF(OR(OR(AND(L740&lt;&gt;"",M740&lt;&gt;"",N(M740)-N(L740)&gt;설정!$B$27),AND(L740&lt;&gt;"",M740="",설정!$B$24-N(L740)&gt;설정!$B$27)),AND(D740&lt;&gt;"",D740&lt;설정!$B$26)),"△","★")))</f>
        <v/>
      </c>
      <c r="AB740">
        <f>IF(NOT(T740),"",IF(U740="설계사",설정!$B$31,IF(U740="시공사",IF(OR(M740="",설정!$B$24-N(M740)&lt;=설정!$B$28*30.4),설정!$B$32,설정!$B$33),설정!$B$34))+IF(AA740="★",설정!$B$35,0))</f>
        <v/>
      </c>
      <c r="AC740">
        <f>SUBSTITUTE(SUBSTITUTE(SUBSTITUTE(SUBSTITUTE(H740,"(주)",""),"㈜",""),"주식회사","")," ","")</f>
        <v/>
      </c>
      <c r="AD740">
        <f>IF(AND(T740,AC740&lt;&gt;""),IF(COUNTIFS(AC$2:AC740,AC740,T$2:T740,TRUE)=1,MAX(AD$1:AD739)+1,""),"")</f>
        <v/>
      </c>
    </row>
    <row r="741">
      <c r="A741">
        <f>ROW()</f>
        <v/>
      </c>
      <c r="B741">
        <f>IF(설정!$C$4="","",IFERROR(INDEX('1.산군_붙여넣기'!$A$1:$AZ$1001,ROW(),설정!$C$4)&amp;"",""))</f>
        <v/>
      </c>
      <c r="C741">
        <f>IF(설정!$C$5="","",IFERROR(INDEX('1.산군_붙여넣기'!$A$1:$AZ$1001,ROW(),설정!$C$5)&amp;"",""))</f>
        <v/>
      </c>
      <c r="D741" s="5">
        <f>IFERROR(VALUE(SUBSTITUTE(SUBSTITUTE(SUBSTITUTE(IF(설정!$C$6="","",IFERROR(INDEX('1.산군_붙여넣기'!$A$1:$AZ$1001,ROW(),설정!$C$6)&amp;"","")),",",""),"㎡",""),"m2","")),"")</f>
        <v/>
      </c>
      <c r="E741">
        <f>IF(설정!$C$7="","",IFERROR(INDEX('1.산군_붙여넣기'!$A$1:$AZ$1001,ROW(),설정!$C$7)&amp;"",""))</f>
        <v/>
      </c>
      <c r="F741">
        <f>IF(설정!$C$8="","",IFERROR(INDEX('1.산군_붙여넣기'!$A$1:$AZ$1001,ROW(),설정!$C$8)&amp;"",""))</f>
        <v/>
      </c>
      <c r="G741">
        <f>IF(설정!$C$9="","",IFERROR(INDEX('1.산군_붙여넣기'!$A$1:$AZ$1001,ROW(),설정!$C$9)&amp;"",""))</f>
        <v/>
      </c>
      <c r="H741">
        <f>IF(설정!$C$10="","",IFERROR(INDEX('1.산군_붙여넣기'!$A$1:$AZ$1001,ROW(),설정!$C$10)&amp;"",""))</f>
        <v/>
      </c>
      <c r="I741">
        <f>IF(설정!$C$11="","",IFERROR(INDEX('1.산군_붙여넣기'!$A$1:$AZ$1001,ROW(),설정!$C$11)&amp;"",""))</f>
        <v/>
      </c>
      <c r="J741">
        <f>IF(설정!$C$12="","",IFERROR(INDEX('1.산군_붙여넣기'!$A$1:$AZ$1001,ROW(),설정!$C$12)&amp;"",""))</f>
        <v/>
      </c>
      <c r="K741">
        <f>IF(설정!$C$13="","",IFERROR(INDEX('1.산군_붙여넣기'!$A$1:$AZ$1001,ROW(),설정!$C$13)&amp;"",""))</f>
        <v/>
      </c>
      <c r="L741" s="7">
        <f>IF(X741="","",IF(AND(LEN(X741)=8,ISNUMBER(X741*1)),DATE(LEFT(X741,4),MID(X741,5,2),RIGHT(X741,2)),IFERROR(DATEVALUE(SUBSTITUTE(SUBSTITUTE(X741,".","-"),"/","-")),IFERROR(X741*1,""))))</f>
        <v/>
      </c>
      <c r="M741" s="7">
        <f>IF(Y741="","",IF(AND(LEN(Y741)=8,ISNUMBER(Y741*1)),DATE(LEFT(Y741,4),MID(Y741,5,2),RIGHT(Y741,2)),IFERROR(DATEVALUE(SUBSTITUTE(SUBSTITUTE(Y741,".","-"),"/","-")),IFERROR(Y741*1,""))))</f>
        <v/>
      </c>
      <c r="N741">
        <f>IFERROR(LEFT(B741,FIND(" ",B741)-1),B741)</f>
        <v/>
      </c>
      <c r="O741">
        <f>AND(B741&lt;&gt;"",B741&lt;&gt;설정!$B$4,C741&lt;&gt;설정!$B$5)</f>
        <v/>
      </c>
      <c r="P741">
        <f>IF(O741,B741&amp;"|"&amp;C741,"")</f>
        <v/>
      </c>
      <c r="Q741">
        <f>AND(O741,COUNTIF(P742:P$1002,P741)=0)</f>
        <v/>
      </c>
      <c r="R741">
        <f>OR(AND(설정!$A$42&lt;&gt;"",ISNUMBER(SEARCH(설정!$A$42,E741&amp;" "&amp;C741))),AND(설정!$A$43&lt;&gt;"",ISNUMBER(SEARCH(설정!$A$43,E741&amp;" "&amp;C741))),AND(설정!$A$44&lt;&gt;"",ISNUMBER(SEARCH(설정!$A$44,E741&amp;" "&amp;C741))),AND(설정!$A$45&lt;&gt;"",ISNUMBER(SEARCH(설정!$A$45,E741&amp;" "&amp;C741))),AND(설정!$A$46&lt;&gt;"",ISNUMBER(SEARCH(설정!$A$46,E741&amp;" "&amp;C741))),AND(설정!$A$47&lt;&gt;"",ISNUMBER(SEARCH(설정!$A$47,E741&amp;" "&amp;C741))),AND(설정!$A$48&lt;&gt;"",ISNUMBER(SEARCH(설정!$A$48,E741&amp;" "&amp;C741))),AND(설정!$A$49&lt;&gt;"",ISNUMBER(SEARCH(설정!$A$49,E741&amp;" "&amp;C741))),AND(설정!$A$50&lt;&gt;"",ISNUMBER(SEARCH(설정!$A$50,E741&amp;" "&amp;C741))),AND(설정!$A$51&lt;&gt;"",ISNUMBER(SEARCH(설정!$A$51,E741&amp;" "&amp;C741))))</f>
        <v/>
      </c>
      <c r="S741">
        <f>OR(D741="",D741&gt;=설정!$B$19)</f>
        <v/>
      </c>
      <c r="T741">
        <f>AND(Q741,R741,S741)</f>
        <v/>
      </c>
      <c r="U741">
        <f>IF(T741,IF(AND(설정!$A$54&lt;&gt;"",ISNUMBER(SEARCH(설정!$A$54,K741))),설정!$B$54,IF(AND(설정!$A$55&lt;&gt;"",ISNUMBER(SEARCH(설정!$A$55,K741))),설정!$B$55,IF(AND(설정!$A$56&lt;&gt;"",ISNUMBER(SEARCH(설정!$A$56,K741))),설정!$B$56,IF(AND(설정!$A$57&lt;&gt;"",ISNUMBER(SEARCH(설정!$A$57,K741))),설정!$B$57,IF(AND(설정!$A$58&lt;&gt;"",ISNUMBER(SEARCH(설정!$A$58,K741))),설정!$B$58,IF(AND(설정!$A$59&lt;&gt;"",ISNUMBER(SEARCH(설정!$A$59,K741))),설정!$B$59,IF(AND(설정!$A$60&lt;&gt;"",ISNUMBER(SEARCH(설정!$A$60,K741))),설정!$B$60,IF(AND(설정!$A$61&lt;&gt;"",ISNUMBER(SEARCH(설정!$A$61,K741))),설정!$B$61,IF(M741="","설계사","시공사"))))))))),"")</f>
        <v/>
      </c>
      <c r="V741">
        <f>SUBSTITUTE(SUBSTITUTE(SUBSTITUTE(SUBSTITUTE(G741,"(주)",""),"㈜",""),"주식회사","")," ","")</f>
        <v/>
      </c>
      <c r="W741">
        <f>IF(AND(T741,V741&lt;&gt;""),IF(COUNTIFS(V$2:V741,V741,T$2:T741,TRUE)=1,MAX(W$1:W740)+1,""),"")</f>
        <v/>
      </c>
      <c r="X741">
        <f>IF(설정!$C$14="","",IFERROR(INDEX('1.산군_붙여넣기'!$A$1:$AZ$1001,ROW(),설정!$C$14)&amp;"",""))</f>
        <v/>
      </c>
      <c r="Y741">
        <f>IF(설정!$C$15="","",IFERROR(INDEX('1.산군_붙여넣기'!$A$1:$AZ$1001,ROW(),설정!$C$15)&amp;"",""))</f>
        <v/>
      </c>
      <c r="Z741">
        <f>IF(T741,V741&amp;"|"&amp;U741,"")</f>
        <v/>
      </c>
      <c r="AA741">
        <f>IF(NOT(Q741),"",IF(NOT(AND(R741,S741)),"✕",IF(OR(OR(AND(L741&lt;&gt;"",M741&lt;&gt;"",N(M741)-N(L741)&gt;설정!$B$27),AND(L741&lt;&gt;"",M741="",설정!$B$24-N(L741)&gt;설정!$B$27)),AND(D741&lt;&gt;"",D741&lt;설정!$B$26)),"△","★")))</f>
        <v/>
      </c>
      <c r="AB741">
        <f>IF(NOT(T741),"",IF(U741="설계사",설정!$B$31,IF(U741="시공사",IF(OR(M741="",설정!$B$24-N(M741)&lt;=설정!$B$28*30.4),설정!$B$32,설정!$B$33),설정!$B$34))+IF(AA741="★",설정!$B$35,0))</f>
        <v/>
      </c>
      <c r="AC741">
        <f>SUBSTITUTE(SUBSTITUTE(SUBSTITUTE(SUBSTITUTE(H741,"(주)",""),"㈜",""),"주식회사","")," ","")</f>
        <v/>
      </c>
      <c r="AD741">
        <f>IF(AND(T741,AC741&lt;&gt;""),IF(COUNTIFS(AC$2:AC741,AC741,T$2:T741,TRUE)=1,MAX(AD$1:AD740)+1,""),"")</f>
        <v/>
      </c>
    </row>
    <row r="742">
      <c r="A742">
        <f>ROW()</f>
        <v/>
      </c>
      <c r="B742">
        <f>IF(설정!$C$4="","",IFERROR(INDEX('1.산군_붙여넣기'!$A$1:$AZ$1001,ROW(),설정!$C$4)&amp;"",""))</f>
        <v/>
      </c>
      <c r="C742">
        <f>IF(설정!$C$5="","",IFERROR(INDEX('1.산군_붙여넣기'!$A$1:$AZ$1001,ROW(),설정!$C$5)&amp;"",""))</f>
        <v/>
      </c>
      <c r="D742" s="5">
        <f>IFERROR(VALUE(SUBSTITUTE(SUBSTITUTE(SUBSTITUTE(IF(설정!$C$6="","",IFERROR(INDEX('1.산군_붙여넣기'!$A$1:$AZ$1001,ROW(),설정!$C$6)&amp;"","")),",",""),"㎡",""),"m2","")),"")</f>
        <v/>
      </c>
      <c r="E742">
        <f>IF(설정!$C$7="","",IFERROR(INDEX('1.산군_붙여넣기'!$A$1:$AZ$1001,ROW(),설정!$C$7)&amp;"",""))</f>
        <v/>
      </c>
      <c r="F742">
        <f>IF(설정!$C$8="","",IFERROR(INDEX('1.산군_붙여넣기'!$A$1:$AZ$1001,ROW(),설정!$C$8)&amp;"",""))</f>
        <v/>
      </c>
      <c r="G742">
        <f>IF(설정!$C$9="","",IFERROR(INDEX('1.산군_붙여넣기'!$A$1:$AZ$1001,ROW(),설정!$C$9)&amp;"",""))</f>
        <v/>
      </c>
      <c r="H742">
        <f>IF(설정!$C$10="","",IFERROR(INDEX('1.산군_붙여넣기'!$A$1:$AZ$1001,ROW(),설정!$C$10)&amp;"",""))</f>
        <v/>
      </c>
      <c r="I742">
        <f>IF(설정!$C$11="","",IFERROR(INDEX('1.산군_붙여넣기'!$A$1:$AZ$1001,ROW(),설정!$C$11)&amp;"",""))</f>
        <v/>
      </c>
      <c r="J742">
        <f>IF(설정!$C$12="","",IFERROR(INDEX('1.산군_붙여넣기'!$A$1:$AZ$1001,ROW(),설정!$C$12)&amp;"",""))</f>
        <v/>
      </c>
      <c r="K742">
        <f>IF(설정!$C$13="","",IFERROR(INDEX('1.산군_붙여넣기'!$A$1:$AZ$1001,ROW(),설정!$C$13)&amp;"",""))</f>
        <v/>
      </c>
      <c r="L742" s="7">
        <f>IF(X742="","",IF(AND(LEN(X742)=8,ISNUMBER(X742*1)),DATE(LEFT(X742,4),MID(X742,5,2),RIGHT(X742,2)),IFERROR(DATEVALUE(SUBSTITUTE(SUBSTITUTE(X742,".","-"),"/","-")),IFERROR(X742*1,""))))</f>
        <v/>
      </c>
      <c r="M742" s="7">
        <f>IF(Y742="","",IF(AND(LEN(Y742)=8,ISNUMBER(Y742*1)),DATE(LEFT(Y742,4),MID(Y742,5,2),RIGHT(Y742,2)),IFERROR(DATEVALUE(SUBSTITUTE(SUBSTITUTE(Y742,".","-"),"/","-")),IFERROR(Y742*1,""))))</f>
        <v/>
      </c>
      <c r="N742">
        <f>IFERROR(LEFT(B742,FIND(" ",B742)-1),B742)</f>
        <v/>
      </c>
      <c r="O742">
        <f>AND(B742&lt;&gt;"",B742&lt;&gt;설정!$B$4,C742&lt;&gt;설정!$B$5)</f>
        <v/>
      </c>
      <c r="P742">
        <f>IF(O742,B742&amp;"|"&amp;C742,"")</f>
        <v/>
      </c>
      <c r="Q742">
        <f>AND(O742,COUNTIF(P743:P$1002,P742)=0)</f>
        <v/>
      </c>
      <c r="R742">
        <f>OR(AND(설정!$A$42&lt;&gt;"",ISNUMBER(SEARCH(설정!$A$42,E742&amp;" "&amp;C742))),AND(설정!$A$43&lt;&gt;"",ISNUMBER(SEARCH(설정!$A$43,E742&amp;" "&amp;C742))),AND(설정!$A$44&lt;&gt;"",ISNUMBER(SEARCH(설정!$A$44,E742&amp;" "&amp;C742))),AND(설정!$A$45&lt;&gt;"",ISNUMBER(SEARCH(설정!$A$45,E742&amp;" "&amp;C742))),AND(설정!$A$46&lt;&gt;"",ISNUMBER(SEARCH(설정!$A$46,E742&amp;" "&amp;C742))),AND(설정!$A$47&lt;&gt;"",ISNUMBER(SEARCH(설정!$A$47,E742&amp;" "&amp;C742))),AND(설정!$A$48&lt;&gt;"",ISNUMBER(SEARCH(설정!$A$48,E742&amp;" "&amp;C742))),AND(설정!$A$49&lt;&gt;"",ISNUMBER(SEARCH(설정!$A$49,E742&amp;" "&amp;C742))),AND(설정!$A$50&lt;&gt;"",ISNUMBER(SEARCH(설정!$A$50,E742&amp;" "&amp;C742))),AND(설정!$A$51&lt;&gt;"",ISNUMBER(SEARCH(설정!$A$51,E742&amp;" "&amp;C742))))</f>
        <v/>
      </c>
      <c r="S742">
        <f>OR(D742="",D742&gt;=설정!$B$19)</f>
        <v/>
      </c>
      <c r="T742">
        <f>AND(Q742,R742,S742)</f>
        <v/>
      </c>
      <c r="U742">
        <f>IF(T742,IF(AND(설정!$A$54&lt;&gt;"",ISNUMBER(SEARCH(설정!$A$54,K742))),설정!$B$54,IF(AND(설정!$A$55&lt;&gt;"",ISNUMBER(SEARCH(설정!$A$55,K742))),설정!$B$55,IF(AND(설정!$A$56&lt;&gt;"",ISNUMBER(SEARCH(설정!$A$56,K742))),설정!$B$56,IF(AND(설정!$A$57&lt;&gt;"",ISNUMBER(SEARCH(설정!$A$57,K742))),설정!$B$57,IF(AND(설정!$A$58&lt;&gt;"",ISNUMBER(SEARCH(설정!$A$58,K742))),설정!$B$58,IF(AND(설정!$A$59&lt;&gt;"",ISNUMBER(SEARCH(설정!$A$59,K742))),설정!$B$59,IF(AND(설정!$A$60&lt;&gt;"",ISNUMBER(SEARCH(설정!$A$60,K742))),설정!$B$60,IF(AND(설정!$A$61&lt;&gt;"",ISNUMBER(SEARCH(설정!$A$61,K742))),설정!$B$61,IF(M742="","설계사","시공사"))))))))),"")</f>
        <v/>
      </c>
      <c r="V742">
        <f>SUBSTITUTE(SUBSTITUTE(SUBSTITUTE(SUBSTITUTE(G742,"(주)",""),"㈜",""),"주식회사","")," ","")</f>
        <v/>
      </c>
      <c r="W742">
        <f>IF(AND(T742,V742&lt;&gt;""),IF(COUNTIFS(V$2:V742,V742,T$2:T742,TRUE)=1,MAX(W$1:W741)+1,""),"")</f>
        <v/>
      </c>
      <c r="X742">
        <f>IF(설정!$C$14="","",IFERROR(INDEX('1.산군_붙여넣기'!$A$1:$AZ$1001,ROW(),설정!$C$14)&amp;"",""))</f>
        <v/>
      </c>
      <c r="Y742">
        <f>IF(설정!$C$15="","",IFERROR(INDEX('1.산군_붙여넣기'!$A$1:$AZ$1001,ROW(),설정!$C$15)&amp;"",""))</f>
        <v/>
      </c>
      <c r="Z742">
        <f>IF(T742,V742&amp;"|"&amp;U742,"")</f>
        <v/>
      </c>
      <c r="AA742">
        <f>IF(NOT(Q742),"",IF(NOT(AND(R742,S742)),"✕",IF(OR(OR(AND(L742&lt;&gt;"",M742&lt;&gt;"",N(M742)-N(L742)&gt;설정!$B$27),AND(L742&lt;&gt;"",M742="",설정!$B$24-N(L742)&gt;설정!$B$27)),AND(D742&lt;&gt;"",D742&lt;설정!$B$26)),"△","★")))</f>
        <v/>
      </c>
      <c r="AB742">
        <f>IF(NOT(T742),"",IF(U742="설계사",설정!$B$31,IF(U742="시공사",IF(OR(M742="",설정!$B$24-N(M742)&lt;=설정!$B$28*30.4),설정!$B$32,설정!$B$33),설정!$B$34))+IF(AA742="★",설정!$B$35,0))</f>
        <v/>
      </c>
      <c r="AC742">
        <f>SUBSTITUTE(SUBSTITUTE(SUBSTITUTE(SUBSTITUTE(H742,"(주)",""),"㈜",""),"주식회사","")," ","")</f>
        <v/>
      </c>
      <c r="AD742">
        <f>IF(AND(T742,AC742&lt;&gt;""),IF(COUNTIFS(AC$2:AC742,AC742,T$2:T742,TRUE)=1,MAX(AD$1:AD741)+1,""),"")</f>
        <v/>
      </c>
    </row>
    <row r="743">
      <c r="A743">
        <f>ROW()</f>
        <v/>
      </c>
      <c r="B743">
        <f>IF(설정!$C$4="","",IFERROR(INDEX('1.산군_붙여넣기'!$A$1:$AZ$1001,ROW(),설정!$C$4)&amp;"",""))</f>
        <v/>
      </c>
      <c r="C743">
        <f>IF(설정!$C$5="","",IFERROR(INDEX('1.산군_붙여넣기'!$A$1:$AZ$1001,ROW(),설정!$C$5)&amp;"",""))</f>
        <v/>
      </c>
      <c r="D743" s="5">
        <f>IFERROR(VALUE(SUBSTITUTE(SUBSTITUTE(SUBSTITUTE(IF(설정!$C$6="","",IFERROR(INDEX('1.산군_붙여넣기'!$A$1:$AZ$1001,ROW(),설정!$C$6)&amp;"","")),",",""),"㎡",""),"m2","")),"")</f>
        <v/>
      </c>
      <c r="E743">
        <f>IF(설정!$C$7="","",IFERROR(INDEX('1.산군_붙여넣기'!$A$1:$AZ$1001,ROW(),설정!$C$7)&amp;"",""))</f>
        <v/>
      </c>
      <c r="F743">
        <f>IF(설정!$C$8="","",IFERROR(INDEX('1.산군_붙여넣기'!$A$1:$AZ$1001,ROW(),설정!$C$8)&amp;"",""))</f>
        <v/>
      </c>
      <c r="G743">
        <f>IF(설정!$C$9="","",IFERROR(INDEX('1.산군_붙여넣기'!$A$1:$AZ$1001,ROW(),설정!$C$9)&amp;"",""))</f>
        <v/>
      </c>
      <c r="H743">
        <f>IF(설정!$C$10="","",IFERROR(INDEX('1.산군_붙여넣기'!$A$1:$AZ$1001,ROW(),설정!$C$10)&amp;"",""))</f>
        <v/>
      </c>
      <c r="I743">
        <f>IF(설정!$C$11="","",IFERROR(INDEX('1.산군_붙여넣기'!$A$1:$AZ$1001,ROW(),설정!$C$11)&amp;"",""))</f>
        <v/>
      </c>
      <c r="J743">
        <f>IF(설정!$C$12="","",IFERROR(INDEX('1.산군_붙여넣기'!$A$1:$AZ$1001,ROW(),설정!$C$12)&amp;"",""))</f>
        <v/>
      </c>
      <c r="K743">
        <f>IF(설정!$C$13="","",IFERROR(INDEX('1.산군_붙여넣기'!$A$1:$AZ$1001,ROW(),설정!$C$13)&amp;"",""))</f>
        <v/>
      </c>
      <c r="L743" s="7">
        <f>IF(X743="","",IF(AND(LEN(X743)=8,ISNUMBER(X743*1)),DATE(LEFT(X743,4),MID(X743,5,2),RIGHT(X743,2)),IFERROR(DATEVALUE(SUBSTITUTE(SUBSTITUTE(X743,".","-"),"/","-")),IFERROR(X743*1,""))))</f>
        <v/>
      </c>
      <c r="M743" s="7">
        <f>IF(Y743="","",IF(AND(LEN(Y743)=8,ISNUMBER(Y743*1)),DATE(LEFT(Y743,4),MID(Y743,5,2),RIGHT(Y743,2)),IFERROR(DATEVALUE(SUBSTITUTE(SUBSTITUTE(Y743,".","-"),"/","-")),IFERROR(Y743*1,""))))</f>
        <v/>
      </c>
      <c r="N743">
        <f>IFERROR(LEFT(B743,FIND(" ",B743)-1),B743)</f>
        <v/>
      </c>
      <c r="O743">
        <f>AND(B743&lt;&gt;"",B743&lt;&gt;설정!$B$4,C743&lt;&gt;설정!$B$5)</f>
        <v/>
      </c>
      <c r="P743">
        <f>IF(O743,B743&amp;"|"&amp;C743,"")</f>
        <v/>
      </c>
      <c r="Q743">
        <f>AND(O743,COUNTIF(P744:P$1002,P743)=0)</f>
        <v/>
      </c>
      <c r="R743">
        <f>OR(AND(설정!$A$42&lt;&gt;"",ISNUMBER(SEARCH(설정!$A$42,E743&amp;" "&amp;C743))),AND(설정!$A$43&lt;&gt;"",ISNUMBER(SEARCH(설정!$A$43,E743&amp;" "&amp;C743))),AND(설정!$A$44&lt;&gt;"",ISNUMBER(SEARCH(설정!$A$44,E743&amp;" "&amp;C743))),AND(설정!$A$45&lt;&gt;"",ISNUMBER(SEARCH(설정!$A$45,E743&amp;" "&amp;C743))),AND(설정!$A$46&lt;&gt;"",ISNUMBER(SEARCH(설정!$A$46,E743&amp;" "&amp;C743))),AND(설정!$A$47&lt;&gt;"",ISNUMBER(SEARCH(설정!$A$47,E743&amp;" "&amp;C743))),AND(설정!$A$48&lt;&gt;"",ISNUMBER(SEARCH(설정!$A$48,E743&amp;" "&amp;C743))),AND(설정!$A$49&lt;&gt;"",ISNUMBER(SEARCH(설정!$A$49,E743&amp;" "&amp;C743))),AND(설정!$A$50&lt;&gt;"",ISNUMBER(SEARCH(설정!$A$50,E743&amp;" "&amp;C743))),AND(설정!$A$51&lt;&gt;"",ISNUMBER(SEARCH(설정!$A$51,E743&amp;" "&amp;C743))))</f>
        <v/>
      </c>
      <c r="S743">
        <f>OR(D743="",D743&gt;=설정!$B$19)</f>
        <v/>
      </c>
      <c r="T743">
        <f>AND(Q743,R743,S743)</f>
        <v/>
      </c>
      <c r="U743">
        <f>IF(T743,IF(AND(설정!$A$54&lt;&gt;"",ISNUMBER(SEARCH(설정!$A$54,K743))),설정!$B$54,IF(AND(설정!$A$55&lt;&gt;"",ISNUMBER(SEARCH(설정!$A$55,K743))),설정!$B$55,IF(AND(설정!$A$56&lt;&gt;"",ISNUMBER(SEARCH(설정!$A$56,K743))),설정!$B$56,IF(AND(설정!$A$57&lt;&gt;"",ISNUMBER(SEARCH(설정!$A$57,K743))),설정!$B$57,IF(AND(설정!$A$58&lt;&gt;"",ISNUMBER(SEARCH(설정!$A$58,K743))),설정!$B$58,IF(AND(설정!$A$59&lt;&gt;"",ISNUMBER(SEARCH(설정!$A$59,K743))),설정!$B$59,IF(AND(설정!$A$60&lt;&gt;"",ISNUMBER(SEARCH(설정!$A$60,K743))),설정!$B$60,IF(AND(설정!$A$61&lt;&gt;"",ISNUMBER(SEARCH(설정!$A$61,K743))),설정!$B$61,IF(M743="","설계사","시공사"))))))))),"")</f>
        <v/>
      </c>
      <c r="V743">
        <f>SUBSTITUTE(SUBSTITUTE(SUBSTITUTE(SUBSTITUTE(G743,"(주)",""),"㈜",""),"주식회사","")," ","")</f>
        <v/>
      </c>
      <c r="W743">
        <f>IF(AND(T743,V743&lt;&gt;""),IF(COUNTIFS(V$2:V743,V743,T$2:T743,TRUE)=1,MAX(W$1:W742)+1,""),"")</f>
        <v/>
      </c>
      <c r="X743">
        <f>IF(설정!$C$14="","",IFERROR(INDEX('1.산군_붙여넣기'!$A$1:$AZ$1001,ROW(),설정!$C$14)&amp;"",""))</f>
        <v/>
      </c>
      <c r="Y743">
        <f>IF(설정!$C$15="","",IFERROR(INDEX('1.산군_붙여넣기'!$A$1:$AZ$1001,ROW(),설정!$C$15)&amp;"",""))</f>
        <v/>
      </c>
      <c r="Z743">
        <f>IF(T743,V743&amp;"|"&amp;U743,"")</f>
        <v/>
      </c>
      <c r="AA743">
        <f>IF(NOT(Q743),"",IF(NOT(AND(R743,S743)),"✕",IF(OR(OR(AND(L743&lt;&gt;"",M743&lt;&gt;"",N(M743)-N(L743)&gt;설정!$B$27),AND(L743&lt;&gt;"",M743="",설정!$B$24-N(L743)&gt;설정!$B$27)),AND(D743&lt;&gt;"",D743&lt;설정!$B$26)),"△","★")))</f>
        <v/>
      </c>
      <c r="AB743">
        <f>IF(NOT(T743),"",IF(U743="설계사",설정!$B$31,IF(U743="시공사",IF(OR(M743="",설정!$B$24-N(M743)&lt;=설정!$B$28*30.4),설정!$B$32,설정!$B$33),설정!$B$34))+IF(AA743="★",설정!$B$35,0))</f>
        <v/>
      </c>
      <c r="AC743">
        <f>SUBSTITUTE(SUBSTITUTE(SUBSTITUTE(SUBSTITUTE(H743,"(주)",""),"㈜",""),"주식회사","")," ","")</f>
        <v/>
      </c>
      <c r="AD743">
        <f>IF(AND(T743,AC743&lt;&gt;""),IF(COUNTIFS(AC$2:AC743,AC743,T$2:T743,TRUE)=1,MAX(AD$1:AD742)+1,""),"")</f>
        <v/>
      </c>
    </row>
    <row r="744">
      <c r="A744">
        <f>ROW()</f>
        <v/>
      </c>
      <c r="B744">
        <f>IF(설정!$C$4="","",IFERROR(INDEX('1.산군_붙여넣기'!$A$1:$AZ$1001,ROW(),설정!$C$4)&amp;"",""))</f>
        <v/>
      </c>
      <c r="C744">
        <f>IF(설정!$C$5="","",IFERROR(INDEX('1.산군_붙여넣기'!$A$1:$AZ$1001,ROW(),설정!$C$5)&amp;"",""))</f>
        <v/>
      </c>
      <c r="D744" s="5">
        <f>IFERROR(VALUE(SUBSTITUTE(SUBSTITUTE(SUBSTITUTE(IF(설정!$C$6="","",IFERROR(INDEX('1.산군_붙여넣기'!$A$1:$AZ$1001,ROW(),설정!$C$6)&amp;"","")),",",""),"㎡",""),"m2","")),"")</f>
        <v/>
      </c>
      <c r="E744">
        <f>IF(설정!$C$7="","",IFERROR(INDEX('1.산군_붙여넣기'!$A$1:$AZ$1001,ROW(),설정!$C$7)&amp;"",""))</f>
        <v/>
      </c>
      <c r="F744">
        <f>IF(설정!$C$8="","",IFERROR(INDEX('1.산군_붙여넣기'!$A$1:$AZ$1001,ROW(),설정!$C$8)&amp;"",""))</f>
        <v/>
      </c>
      <c r="G744">
        <f>IF(설정!$C$9="","",IFERROR(INDEX('1.산군_붙여넣기'!$A$1:$AZ$1001,ROW(),설정!$C$9)&amp;"",""))</f>
        <v/>
      </c>
      <c r="H744">
        <f>IF(설정!$C$10="","",IFERROR(INDEX('1.산군_붙여넣기'!$A$1:$AZ$1001,ROW(),설정!$C$10)&amp;"",""))</f>
        <v/>
      </c>
      <c r="I744">
        <f>IF(설정!$C$11="","",IFERROR(INDEX('1.산군_붙여넣기'!$A$1:$AZ$1001,ROW(),설정!$C$11)&amp;"",""))</f>
        <v/>
      </c>
      <c r="J744">
        <f>IF(설정!$C$12="","",IFERROR(INDEX('1.산군_붙여넣기'!$A$1:$AZ$1001,ROW(),설정!$C$12)&amp;"",""))</f>
        <v/>
      </c>
      <c r="K744">
        <f>IF(설정!$C$13="","",IFERROR(INDEX('1.산군_붙여넣기'!$A$1:$AZ$1001,ROW(),설정!$C$13)&amp;"",""))</f>
        <v/>
      </c>
      <c r="L744" s="7">
        <f>IF(X744="","",IF(AND(LEN(X744)=8,ISNUMBER(X744*1)),DATE(LEFT(X744,4),MID(X744,5,2),RIGHT(X744,2)),IFERROR(DATEVALUE(SUBSTITUTE(SUBSTITUTE(X744,".","-"),"/","-")),IFERROR(X744*1,""))))</f>
        <v/>
      </c>
      <c r="M744" s="7">
        <f>IF(Y744="","",IF(AND(LEN(Y744)=8,ISNUMBER(Y744*1)),DATE(LEFT(Y744,4),MID(Y744,5,2),RIGHT(Y744,2)),IFERROR(DATEVALUE(SUBSTITUTE(SUBSTITUTE(Y744,".","-"),"/","-")),IFERROR(Y744*1,""))))</f>
        <v/>
      </c>
      <c r="N744">
        <f>IFERROR(LEFT(B744,FIND(" ",B744)-1),B744)</f>
        <v/>
      </c>
      <c r="O744">
        <f>AND(B744&lt;&gt;"",B744&lt;&gt;설정!$B$4,C744&lt;&gt;설정!$B$5)</f>
        <v/>
      </c>
      <c r="P744">
        <f>IF(O744,B744&amp;"|"&amp;C744,"")</f>
        <v/>
      </c>
      <c r="Q744">
        <f>AND(O744,COUNTIF(P745:P$1002,P744)=0)</f>
        <v/>
      </c>
      <c r="R744">
        <f>OR(AND(설정!$A$42&lt;&gt;"",ISNUMBER(SEARCH(설정!$A$42,E744&amp;" "&amp;C744))),AND(설정!$A$43&lt;&gt;"",ISNUMBER(SEARCH(설정!$A$43,E744&amp;" "&amp;C744))),AND(설정!$A$44&lt;&gt;"",ISNUMBER(SEARCH(설정!$A$44,E744&amp;" "&amp;C744))),AND(설정!$A$45&lt;&gt;"",ISNUMBER(SEARCH(설정!$A$45,E744&amp;" "&amp;C744))),AND(설정!$A$46&lt;&gt;"",ISNUMBER(SEARCH(설정!$A$46,E744&amp;" "&amp;C744))),AND(설정!$A$47&lt;&gt;"",ISNUMBER(SEARCH(설정!$A$47,E744&amp;" "&amp;C744))),AND(설정!$A$48&lt;&gt;"",ISNUMBER(SEARCH(설정!$A$48,E744&amp;" "&amp;C744))),AND(설정!$A$49&lt;&gt;"",ISNUMBER(SEARCH(설정!$A$49,E744&amp;" "&amp;C744))),AND(설정!$A$50&lt;&gt;"",ISNUMBER(SEARCH(설정!$A$50,E744&amp;" "&amp;C744))),AND(설정!$A$51&lt;&gt;"",ISNUMBER(SEARCH(설정!$A$51,E744&amp;" "&amp;C744))))</f>
        <v/>
      </c>
      <c r="S744">
        <f>OR(D744="",D744&gt;=설정!$B$19)</f>
        <v/>
      </c>
      <c r="T744">
        <f>AND(Q744,R744,S744)</f>
        <v/>
      </c>
      <c r="U744">
        <f>IF(T744,IF(AND(설정!$A$54&lt;&gt;"",ISNUMBER(SEARCH(설정!$A$54,K744))),설정!$B$54,IF(AND(설정!$A$55&lt;&gt;"",ISNUMBER(SEARCH(설정!$A$55,K744))),설정!$B$55,IF(AND(설정!$A$56&lt;&gt;"",ISNUMBER(SEARCH(설정!$A$56,K744))),설정!$B$56,IF(AND(설정!$A$57&lt;&gt;"",ISNUMBER(SEARCH(설정!$A$57,K744))),설정!$B$57,IF(AND(설정!$A$58&lt;&gt;"",ISNUMBER(SEARCH(설정!$A$58,K744))),설정!$B$58,IF(AND(설정!$A$59&lt;&gt;"",ISNUMBER(SEARCH(설정!$A$59,K744))),설정!$B$59,IF(AND(설정!$A$60&lt;&gt;"",ISNUMBER(SEARCH(설정!$A$60,K744))),설정!$B$60,IF(AND(설정!$A$61&lt;&gt;"",ISNUMBER(SEARCH(설정!$A$61,K744))),설정!$B$61,IF(M744="","설계사","시공사"))))))))),"")</f>
        <v/>
      </c>
      <c r="V744">
        <f>SUBSTITUTE(SUBSTITUTE(SUBSTITUTE(SUBSTITUTE(G744,"(주)",""),"㈜",""),"주식회사","")," ","")</f>
        <v/>
      </c>
      <c r="W744">
        <f>IF(AND(T744,V744&lt;&gt;""),IF(COUNTIFS(V$2:V744,V744,T$2:T744,TRUE)=1,MAX(W$1:W743)+1,""),"")</f>
        <v/>
      </c>
      <c r="X744">
        <f>IF(설정!$C$14="","",IFERROR(INDEX('1.산군_붙여넣기'!$A$1:$AZ$1001,ROW(),설정!$C$14)&amp;"",""))</f>
        <v/>
      </c>
      <c r="Y744">
        <f>IF(설정!$C$15="","",IFERROR(INDEX('1.산군_붙여넣기'!$A$1:$AZ$1001,ROW(),설정!$C$15)&amp;"",""))</f>
        <v/>
      </c>
      <c r="Z744">
        <f>IF(T744,V744&amp;"|"&amp;U744,"")</f>
        <v/>
      </c>
      <c r="AA744">
        <f>IF(NOT(Q744),"",IF(NOT(AND(R744,S744)),"✕",IF(OR(OR(AND(L744&lt;&gt;"",M744&lt;&gt;"",N(M744)-N(L744)&gt;설정!$B$27),AND(L744&lt;&gt;"",M744="",설정!$B$24-N(L744)&gt;설정!$B$27)),AND(D744&lt;&gt;"",D744&lt;설정!$B$26)),"△","★")))</f>
        <v/>
      </c>
      <c r="AB744">
        <f>IF(NOT(T744),"",IF(U744="설계사",설정!$B$31,IF(U744="시공사",IF(OR(M744="",설정!$B$24-N(M744)&lt;=설정!$B$28*30.4),설정!$B$32,설정!$B$33),설정!$B$34))+IF(AA744="★",설정!$B$35,0))</f>
        <v/>
      </c>
      <c r="AC744">
        <f>SUBSTITUTE(SUBSTITUTE(SUBSTITUTE(SUBSTITUTE(H744,"(주)",""),"㈜",""),"주식회사","")," ","")</f>
        <v/>
      </c>
      <c r="AD744">
        <f>IF(AND(T744,AC744&lt;&gt;""),IF(COUNTIFS(AC$2:AC744,AC744,T$2:T744,TRUE)=1,MAX(AD$1:AD743)+1,""),"")</f>
        <v/>
      </c>
    </row>
    <row r="745">
      <c r="A745">
        <f>ROW()</f>
        <v/>
      </c>
      <c r="B745">
        <f>IF(설정!$C$4="","",IFERROR(INDEX('1.산군_붙여넣기'!$A$1:$AZ$1001,ROW(),설정!$C$4)&amp;"",""))</f>
        <v/>
      </c>
      <c r="C745">
        <f>IF(설정!$C$5="","",IFERROR(INDEX('1.산군_붙여넣기'!$A$1:$AZ$1001,ROW(),설정!$C$5)&amp;"",""))</f>
        <v/>
      </c>
      <c r="D745" s="5">
        <f>IFERROR(VALUE(SUBSTITUTE(SUBSTITUTE(SUBSTITUTE(IF(설정!$C$6="","",IFERROR(INDEX('1.산군_붙여넣기'!$A$1:$AZ$1001,ROW(),설정!$C$6)&amp;"","")),",",""),"㎡",""),"m2","")),"")</f>
        <v/>
      </c>
      <c r="E745">
        <f>IF(설정!$C$7="","",IFERROR(INDEX('1.산군_붙여넣기'!$A$1:$AZ$1001,ROW(),설정!$C$7)&amp;"",""))</f>
        <v/>
      </c>
      <c r="F745">
        <f>IF(설정!$C$8="","",IFERROR(INDEX('1.산군_붙여넣기'!$A$1:$AZ$1001,ROW(),설정!$C$8)&amp;"",""))</f>
        <v/>
      </c>
      <c r="G745">
        <f>IF(설정!$C$9="","",IFERROR(INDEX('1.산군_붙여넣기'!$A$1:$AZ$1001,ROW(),설정!$C$9)&amp;"",""))</f>
        <v/>
      </c>
      <c r="H745">
        <f>IF(설정!$C$10="","",IFERROR(INDEX('1.산군_붙여넣기'!$A$1:$AZ$1001,ROW(),설정!$C$10)&amp;"",""))</f>
        <v/>
      </c>
      <c r="I745">
        <f>IF(설정!$C$11="","",IFERROR(INDEX('1.산군_붙여넣기'!$A$1:$AZ$1001,ROW(),설정!$C$11)&amp;"",""))</f>
        <v/>
      </c>
      <c r="J745">
        <f>IF(설정!$C$12="","",IFERROR(INDEX('1.산군_붙여넣기'!$A$1:$AZ$1001,ROW(),설정!$C$12)&amp;"",""))</f>
        <v/>
      </c>
      <c r="K745">
        <f>IF(설정!$C$13="","",IFERROR(INDEX('1.산군_붙여넣기'!$A$1:$AZ$1001,ROW(),설정!$C$13)&amp;"",""))</f>
        <v/>
      </c>
      <c r="L745" s="7">
        <f>IF(X745="","",IF(AND(LEN(X745)=8,ISNUMBER(X745*1)),DATE(LEFT(X745,4),MID(X745,5,2),RIGHT(X745,2)),IFERROR(DATEVALUE(SUBSTITUTE(SUBSTITUTE(X745,".","-"),"/","-")),IFERROR(X745*1,""))))</f>
        <v/>
      </c>
      <c r="M745" s="7">
        <f>IF(Y745="","",IF(AND(LEN(Y745)=8,ISNUMBER(Y745*1)),DATE(LEFT(Y745,4),MID(Y745,5,2),RIGHT(Y745,2)),IFERROR(DATEVALUE(SUBSTITUTE(SUBSTITUTE(Y745,".","-"),"/","-")),IFERROR(Y745*1,""))))</f>
        <v/>
      </c>
      <c r="N745">
        <f>IFERROR(LEFT(B745,FIND(" ",B745)-1),B745)</f>
        <v/>
      </c>
      <c r="O745">
        <f>AND(B745&lt;&gt;"",B745&lt;&gt;설정!$B$4,C745&lt;&gt;설정!$B$5)</f>
        <v/>
      </c>
      <c r="P745">
        <f>IF(O745,B745&amp;"|"&amp;C745,"")</f>
        <v/>
      </c>
      <c r="Q745">
        <f>AND(O745,COUNTIF(P746:P$1002,P745)=0)</f>
        <v/>
      </c>
      <c r="R745">
        <f>OR(AND(설정!$A$42&lt;&gt;"",ISNUMBER(SEARCH(설정!$A$42,E745&amp;" "&amp;C745))),AND(설정!$A$43&lt;&gt;"",ISNUMBER(SEARCH(설정!$A$43,E745&amp;" "&amp;C745))),AND(설정!$A$44&lt;&gt;"",ISNUMBER(SEARCH(설정!$A$44,E745&amp;" "&amp;C745))),AND(설정!$A$45&lt;&gt;"",ISNUMBER(SEARCH(설정!$A$45,E745&amp;" "&amp;C745))),AND(설정!$A$46&lt;&gt;"",ISNUMBER(SEARCH(설정!$A$46,E745&amp;" "&amp;C745))),AND(설정!$A$47&lt;&gt;"",ISNUMBER(SEARCH(설정!$A$47,E745&amp;" "&amp;C745))),AND(설정!$A$48&lt;&gt;"",ISNUMBER(SEARCH(설정!$A$48,E745&amp;" "&amp;C745))),AND(설정!$A$49&lt;&gt;"",ISNUMBER(SEARCH(설정!$A$49,E745&amp;" "&amp;C745))),AND(설정!$A$50&lt;&gt;"",ISNUMBER(SEARCH(설정!$A$50,E745&amp;" "&amp;C745))),AND(설정!$A$51&lt;&gt;"",ISNUMBER(SEARCH(설정!$A$51,E745&amp;" "&amp;C745))))</f>
        <v/>
      </c>
      <c r="S745">
        <f>OR(D745="",D745&gt;=설정!$B$19)</f>
        <v/>
      </c>
      <c r="T745">
        <f>AND(Q745,R745,S745)</f>
        <v/>
      </c>
      <c r="U745">
        <f>IF(T745,IF(AND(설정!$A$54&lt;&gt;"",ISNUMBER(SEARCH(설정!$A$54,K745))),설정!$B$54,IF(AND(설정!$A$55&lt;&gt;"",ISNUMBER(SEARCH(설정!$A$55,K745))),설정!$B$55,IF(AND(설정!$A$56&lt;&gt;"",ISNUMBER(SEARCH(설정!$A$56,K745))),설정!$B$56,IF(AND(설정!$A$57&lt;&gt;"",ISNUMBER(SEARCH(설정!$A$57,K745))),설정!$B$57,IF(AND(설정!$A$58&lt;&gt;"",ISNUMBER(SEARCH(설정!$A$58,K745))),설정!$B$58,IF(AND(설정!$A$59&lt;&gt;"",ISNUMBER(SEARCH(설정!$A$59,K745))),설정!$B$59,IF(AND(설정!$A$60&lt;&gt;"",ISNUMBER(SEARCH(설정!$A$60,K745))),설정!$B$60,IF(AND(설정!$A$61&lt;&gt;"",ISNUMBER(SEARCH(설정!$A$61,K745))),설정!$B$61,IF(M745="","설계사","시공사"))))))))),"")</f>
        <v/>
      </c>
      <c r="V745">
        <f>SUBSTITUTE(SUBSTITUTE(SUBSTITUTE(SUBSTITUTE(G745,"(주)",""),"㈜",""),"주식회사","")," ","")</f>
        <v/>
      </c>
      <c r="W745">
        <f>IF(AND(T745,V745&lt;&gt;""),IF(COUNTIFS(V$2:V745,V745,T$2:T745,TRUE)=1,MAX(W$1:W744)+1,""),"")</f>
        <v/>
      </c>
      <c r="X745">
        <f>IF(설정!$C$14="","",IFERROR(INDEX('1.산군_붙여넣기'!$A$1:$AZ$1001,ROW(),설정!$C$14)&amp;"",""))</f>
        <v/>
      </c>
      <c r="Y745">
        <f>IF(설정!$C$15="","",IFERROR(INDEX('1.산군_붙여넣기'!$A$1:$AZ$1001,ROW(),설정!$C$15)&amp;"",""))</f>
        <v/>
      </c>
      <c r="Z745">
        <f>IF(T745,V745&amp;"|"&amp;U745,"")</f>
        <v/>
      </c>
      <c r="AA745">
        <f>IF(NOT(Q745),"",IF(NOT(AND(R745,S745)),"✕",IF(OR(OR(AND(L745&lt;&gt;"",M745&lt;&gt;"",N(M745)-N(L745)&gt;설정!$B$27),AND(L745&lt;&gt;"",M745="",설정!$B$24-N(L745)&gt;설정!$B$27)),AND(D745&lt;&gt;"",D745&lt;설정!$B$26)),"△","★")))</f>
        <v/>
      </c>
      <c r="AB745">
        <f>IF(NOT(T745),"",IF(U745="설계사",설정!$B$31,IF(U745="시공사",IF(OR(M745="",설정!$B$24-N(M745)&lt;=설정!$B$28*30.4),설정!$B$32,설정!$B$33),설정!$B$34))+IF(AA745="★",설정!$B$35,0))</f>
        <v/>
      </c>
      <c r="AC745">
        <f>SUBSTITUTE(SUBSTITUTE(SUBSTITUTE(SUBSTITUTE(H745,"(주)",""),"㈜",""),"주식회사","")," ","")</f>
        <v/>
      </c>
      <c r="AD745">
        <f>IF(AND(T745,AC745&lt;&gt;""),IF(COUNTIFS(AC$2:AC745,AC745,T$2:T745,TRUE)=1,MAX(AD$1:AD744)+1,""),"")</f>
        <v/>
      </c>
    </row>
    <row r="746">
      <c r="A746">
        <f>ROW()</f>
        <v/>
      </c>
      <c r="B746">
        <f>IF(설정!$C$4="","",IFERROR(INDEX('1.산군_붙여넣기'!$A$1:$AZ$1001,ROW(),설정!$C$4)&amp;"",""))</f>
        <v/>
      </c>
      <c r="C746">
        <f>IF(설정!$C$5="","",IFERROR(INDEX('1.산군_붙여넣기'!$A$1:$AZ$1001,ROW(),설정!$C$5)&amp;"",""))</f>
        <v/>
      </c>
      <c r="D746" s="5">
        <f>IFERROR(VALUE(SUBSTITUTE(SUBSTITUTE(SUBSTITUTE(IF(설정!$C$6="","",IFERROR(INDEX('1.산군_붙여넣기'!$A$1:$AZ$1001,ROW(),설정!$C$6)&amp;"","")),",",""),"㎡",""),"m2","")),"")</f>
        <v/>
      </c>
      <c r="E746">
        <f>IF(설정!$C$7="","",IFERROR(INDEX('1.산군_붙여넣기'!$A$1:$AZ$1001,ROW(),설정!$C$7)&amp;"",""))</f>
        <v/>
      </c>
      <c r="F746">
        <f>IF(설정!$C$8="","",IFERROR(INDEX('1.산군_붙여넣기'!$A$1:$AZ$1001,ROW(),설정!$C$8)&amp;"",""))</f>
        <v/>
      </c>
      <c r="G746">
        <f>IF(설정!$C$9="","",IFERROR(INDEX('1.산군_붙여넣기'!$A$1:$AZ$1001,ROW(),설정!$C$9)&amp;"",""))</f>
        <v/>
      </c>
      <c r="H746">
        <f>IF(설정!$C$10="","",IFERROR(INDEX('1.산군_붙여넣기'!$A$1:$AZ$1001,ROW(),설정!$C$10)&amp;"",""))</f>
        <v/>
      </c>
      <c r="I746">
        <f>IF(설정!$C$11="","",IFERROR(INDEX('1.산군_붙여넣기'!$A$1:$AZ$1001,ROW(),설정!$C$11)&amp;"",""))</f>
        <v/>
      </c>
      <c r="J746">
        <f>IF(설정!$C$12="","",IFERROR(INDEX('1.산군_붙여넣기'!$A$1:$AZ$1001,ROW(),설정!$C$12)&amp;"",""))</f>
        <v/>
      </c>
      <c r="K746">
        <f>IF(설정!$C$13="","",IFERROR(INDEX('1.산군_붙여넣기'!$A$1:$AZ$1001,ROW(),설정!$C$13)&amp;"",""))</f>
        <v/>
      </c>
      <c r="L746" s="7">
        <f>IF(X746="","",IF(AND(LEN(X746)=8,ISNUMBER(X746*1)),DATE(LEFT(X746,4),MID(X746,5,2),RIGHT(X746,2)),IFERROR(DATEVALUE(SUBSTITUTE(SUBSTITUTE(X746,".","-"),"/","-")),IFERROR(X746*1,""))))</f>
        <v/>
      </c>
      <c r="M746" s="7">
        <f>IF(Y746="","",IF(AND(LEN(Y746)=8,ISNUMBER(Y746*1)),DATE(LEFT(Y746,4),MID(Y746,5,2),RIGHT(Y746,2)),IFERROR(DATEVALUE(SUBSTITUTE(SUBSTITUTE(Y746,".","-"),"/","-")),IFERROR(Y746*1,""))))</f>
        <v/>
      </c>
      <c r="N746">
        <f>IFERROR(LEFT(B746,FIND(" ",B746)-1),B746)</f>
        <v/>
      </c>
      <c r="O746">
        <f>AND(B746&lt;&gt;"",B746&lt;&gt;설정!$B$4,C746&lt;&gt;설정!$B$5)</f>
        <v/>
      </c>
      <c r="P746">
        <f>IF(O746,B746&amp;"|"&amp;C746,"")</f>
        <v/>
      </c>
      <c r="Q746">
        <f>AND(O746,COUNTIF(P747:P$1002,P746)=0)</f>
        <v/>
      </c>
      <c r="R746">
        <f>OR(AND(설정!$A$42&lt;&gt;"",ISNUMBER(SEARCH(설정!$A$42,E746&amp;" "&amp;C746))),AND(설정!$A$43&lt;&gt;"",ISNUMBER(SEARCH(설정!$A$43,E746&amp;" "&amp;C746))),AND(설정!$A$44&lt;&gt;"",ISNUMBER(SEARCH(설정!$A$44,E746&amp;" "&amp;C746))),AND(설정!$A$45&lt;&gt;"",ISNUMBER(SEARCH(설정!$A$45,E746&amp;" "&amp;C746))),AND(설정!$A$46&lt;&gt;"",ISNUMBER(SEARCH(설정!$A$46,E746&amp;" "&amp;C746))),AND(설정!$A$47&lt;&gt;"",ISNUMBER(SEARCH(설정!$A$47,E746&amp;" "&amp;C746))),AND(설정!$A$48&lt;&gt;"",ISNUMBER(SEARCH(설정!$A$48,E746&amp;" "&amp;C746))),AND(설정!$A$49&lt;&gt;"",ISNUMBER(SEARCH(설정!$A$49,E746&amp;" "&amp;C746))),AND(설정!$A$50&lt;&gt;"",ISNUMBER(SEARCH(설정!$A$50,E746&amp;" "&amp;C746))),AND(설정!$A$51&lt;&gt;"",ISNUMBER(SEARCH(설정!$A$51,E746&amp;" "&amp;C746))))</f>
        <v/>
      </c>
      <c r="S746">
        <f>OR(D746="",D746&gt;=설정!$B$19)</f>
        <v/>
      </c>
      <c r="T746">
        <f>AND(Q746,R746,S746)</f>
        <v/>
      </c>
      <c r="U746">
        <f>IF(T746,IF(AND(설정!$A$54&lt;&gt;"",ISNUMBER(SEARCH(설정!$A$54,K746))),설정!$B$54,IF(AND(설정!$A$55&lt;&gt;"",ISNUMBER(SEARCH(설정!$A$55,K746))),설정!$B$55,IF(AND(설정!$A$56&lt;&gt;"",ISNUMBER(SEARCH(설정!$A$56,K746))),설정!$B$56,IF(AND(설정!$A$57&lt;&gt;"",ISNUMBER(SEARCH(설정!$A$57,K746))),설정!$B$57,IF(AND(설정!$A$58&lt;&gt;"",ISNUMBER(SEARCH(설정!$A$58,K746))),설정!$B$58,IF(AND(설정!$A$59&lt;&gt;"",ISNUMBER(SEARCH(설정!$A$59,K746))),설정!$B$59,IF(AND(설정!$A$60&lt;&gt;"",ISNUMBER(SEARCH(설정!$A$60,K746))),설정!$B$60,IF(AND(설정!$A$61&lt;&gt;"",ISNUMBER(SEARCH(설정!$A$61,K746))),설정!$B$61,IF(M746="","설계사","시공사"))))))))),"")</f>
        <v/>
      </c>
      <c r="V746">
        <f>SUBSTITUTE(SUBSTITUTE(SUBSTITUTE(SUBSTITUTE(G746,"(주)",""),"㈜",""),"주식회사","")," ","")</f>
        <v/>
      </c>
      <c r="W746">
        <f>IF(AND(T746,V746&lt;&gt;""),IF(COUNTIFS(V$2:V746,V746,T$2:T746,TRUE)=1,MAX(W$1:W745)+1,""),"")</f>
        <v/>
      </c>
      <c r="X746">
        <f>IF(설정!$C$14="","",IFERROR(INDEX('1.산군_붙여넣기'!$A$1:$AZ$1001,ROW(),설정!$C$14)&amp;"",""))</f>
        <v/>
      </c>
      <c r="Y746">
        <f>IF(설정!$C$15="","",IFERROR(INDEX('1.산군_붙여넣기'!$A$1:$AZ$1001,ROW(),설정!$C$15)&amp;"",""))</f>
        <v/>
      </c>
      <c r="Z746">
        <f>IF(T746,V746&amp;"|"&amp;U746,"")</f>
        <v/>
      </c>
      <c r="AA746">
        <f>IF(NOT(Q746),"",IF(NOT(AND(R746,S746)),"✕",IF(OR(OR(AND(L746&lt;&gt;"",M746&lt;&gt;"",N(M746)-N(L746)&gt;설정!$B$27),AND(L746&lt;&gt;"",M746="",설정!$B$24-N(L746)&gt;설정!$B$27)),AND(D746&lt;&gt;"",D746&lt;설정!$B$26)),"△","★")))</f>
        <v/>
      </c>
      <c r="AB746">
        <f>IF(NOT(T746),"",IF(U746="설계사",설정!$B$31,IF(U746="시공사",IF(OR(M746="",설정!$B$24-N(M746)&lt;=설정!$B$28*30.4),설정!$B$32,설정!$B$33),설정!$B$34))+IF(AA746="★",설정!$B$35,0))</f>
        <v/>
      </c>
      <c r="AC746">
        <f>SUBSTITUTE(SUBSTITUTE(SUBSTITUTE(SUBSTITUTE(H746,"(주)",""),"㈜",""),"주식회사","")," ","")</f>
        <v/>
      </c>
      <c r="AD746">
        <f>IF(AND(T746,AC746&lt;&gt;""),IF(COUNTIFS(AC$2:AC746,AC746,T$2:T746,TRUE)=1,MAX(AD$1:AD745)+1,""),"")</f>
        <v/>
      </c>
    </row>
    <row r="747">
      <c r="A747">
        <f>ROW()</f>
        <v/>
      </c>
      <c r="B747">
        <f>IF(설정!$C$4="","",IFERROR(INDEX('1.산군_붙여넣기'!$A$1:$AZ$1001,ROW(),설정!$C$4)&amp;"",""))</f>
        <v/>
      </c>
      <c r="C747">
        <f>IF(설정!$C$5="","",IFERROR(INDEX('1.산군_붙여넣기'!$A$1:$AZ$1001,ROW(),설정!$C$5)&amp;"",""))</f>
        <v/>
      </c>
      <c r="D747" s="5">
        <f>IFERROR(VALUE(SUBSTITUTE(SUBSTITUTE(SUBSTITUTE(IF(설정!$C$6="","",IFERROR(INDEX('1.산군_붙여넣기'!$A$1:$AZ$1001,ROW(),설정!$C$6)&amp;"","")),",",""),"㎡",""),"m2","")),"")</f>
        <v/>
      </c>
      <c r="E747">
        <f>IF(설정!$C$7="","",IFERROR(INDEX('1.산군_붙여넣기'!$A$1:$AZ$1001,ROW(),설정!$C$7)&amp;"",""))</f>
        <v/>
      </c>
      <c r="F747">
        <f>IF(설정!$C$8="","",IFERROR(INDEX('1.산군_붙여넣기'!$A$1:$AZ$1001,ROW(),설정!$C$8)&amp;"",""))</f>
        <v/>
      </c>
      <c r="G747">
        <f>IF(설정!$C$9="","",IFERROR(INDEX('1.산군_붙여넣기'!$A$1:$AZ$1001,ROW(),설정!$C$9)&amp;"",""))</f>
        <v/>
      </c>
      <c r="H747">
        <f>IF(설정!$C$10="","",IFERROR(INDEX('1.산군_붙여넣기'!$A$1:$AZ$1001,ROW(),설정!$C$10)&amp;"",""))</f>
        <v/>
      </c>
      <c r="I747">
        <f>IF(설정!$C$11="","",IFERROR(INDEX('1.산군_붙여넣기'!$A$1:$AZ$1001,ROW(),설정!$C$11)&amp;"",""))</f>
        <v/>
      </c>
      <c r="J747">
        <f>IF(설정!$C$12="","",IFERROR(INDEX('1.산군_붙여넣기'!$A$1:$AZ$1001,ROW(),설정!$C$12)&amp;"",""))</f>
        <v/>
      </c>
      <c r="K747">
        <f>IF(설정!$C$13="","",IFERROR(INDEX('1.산군_붙여넣기'!$A$1:$AZ$1001,ROW(),설정!$C$13)&amp;"",""))</f>
        <v/>
      </c>
      <c r="L747" s="7">
        <f>IF(X747="","",IF(AND(LEN(X747)=8,ISNUMBER(X747*1)),DATE(LEFT(X747,4),MID(X747,5,2),RIGHT(X747,2)),IFERROR(DATEVALUE(SUBSTITUTE(SUBSTITUTE(X747,".","-"),"/","-")),IFERROR(X747*1,""))))</f>
        <v/>
      </c>
      <c r="M747" s="7">
        <f>IF(Y747="","",IF(AND(LEN(Y747)=8,ISNUMBER(Y747*1)),DATE(LEFT(Y747,4),MID(Y747,5,2),RIGHT(Y747,2)),IFERROR(DATEVALUE(SUBSTITUTE(SUBSTITUTE(Y747,".","-"),"/","-")),IFERROR(Y747*1,""))))</f>
        <v/>
      </c>
      <c r="N747">
        <f>IFERROR(LEFT(B747,FIND(" ",B747)-1),B747)</f>
        <v/>
      </c>
      <c r="O747">
        <f>AND(B747&lt;&gt;"",B747&lt;&gt;설정!$B$4,C747&lt;&gt;설정!$B$5)</f>
        <v/>
      </c>
      <c r="P747">
        <f>IF(O747,B747&amp;"|"&amp;C747,"")</f>
        <v/>
      </c>
      <c r="Q747">
        <f>AND(O747,COUNTIF(P748:P$1002,P747)=0)</f>
        <v/>
      </c>
      <c r="R747">
        <f>OR(AND(설정!$A$42&lt;&gt;"",ISNUMBER(SEARCH(설정!$A$42,E747&amp;" "&amp;C747))),AND(설정!$A$43&lt;&gt;"",ISNUMBER(SEARCH(설정!$A$43,E747&amp;" "&amp;C747))),AND(설정!$A$44&lt;&gt;"",ISNUMBER(SEARCH(설정!$A$44,E747&amp;" "&amp;C747))),AND(설정!$A$45&lt;&gt;"",ISNUMBER(SEARCH(설정!$A$45,E747&amp;" "&amp;C747))),AND(설정!$A$46&lt;&gt;"",ISNUMBER(SEARCH(설정!$A$46,E747&amp;" "&amp;C747))),AND(설정!$A$47&lt;&gt;"",ISNUMBER(SEARCH(설정!$A$47,E747&amp;" "&amp;C747))),AND(설정!$A$48&lt;&gt;"",ISNUMBER(SEARCH(설정!$A$48,E747&amp;" "&amp;C747))),AND(설정!$A$49&lt;&gt;"",ISNUMBER(SEARCH(설정!$A$49,E747&amp;" "&amp;C747))),AND(설정!$A$50&lt;&gt;"",ISNUMBER(SEARCH(설정!$A$50,E747&amp;" "&amp;C747))),AND(설정!$A$51&lt;&gt;"",ISNUMBER(SEARCH(설정!$A$51,E747&amp;" "&amp;C747))))</f>
        <v/>
      </c>
      <c r="S747">
        <f>OR(D747="",D747&gt;=설정!$B$19)</f>
        <v/>
      </c>
      <c r="T747">
        <f>AND(Q747,R747,S747)</f>
        <v/>
      </c>
      <c r="U747">
        <f>IF(T747,IF(AND(설정!$A$54&lt;&gt;"",ISNUMBER(SEARCH(설정!$A$54,K747))),설정!$B$54,IF(AND(설정!$A$55&lt;&gt;"",ISNUMBER(SEARCH(설정!$A$55,K747))),설정!$B$55,IF(AND(설정!$A$56&lt;&gt;"",ISNUMBER(SEARCH(설정!$A$56,K747))),설정!$B$56,IF(AND(설정!$A$57&lt;&gt;"",ISNUMBER(SEARCH(설정!$A$57,K747))),설정!$B$57,IF(AND(설정!$A$58&lt;&gt;"",ISNUMBER(SEARCH(설정!$A$58,K747))),설정!$B$58,IF(AND(설정!$A$59&lt;&gt;"",ISNUMBER(SEARCH(설정!$A$59,K747))),설정!$B$59,IF(AND(설정!$A$60&lt;&gt;"",ISNUMBER(SEARCH(설정!$A$60,K747))),설정!$B$60,IF(AND(설정!$A$61&lt;&gt;"",ISNUMBER(SEARCH(설정!$A$61,K747))),설정!$B$61,IF(M747="","설계사","시공사"))))))))),"")</f>
        <v/>
      </c>
      <c r="V747">
        <f>SUBSTITUTE(SUBSTITUTE(SUBSTITUTE(SUBSTITUTE(G747,"(주)",""),"㈜",""),"주식회사","")," ","")</f>
        <v/>
      </c>
      <c r="W747">
        <f>IF(AND(T747,V747&lt;&gt;""),IF(COUNTIFS(V$2:V747,V747,T$2:T747,TRUE)=1,MAX(W$1:W746)+1,""),"")</f>
        <v/>
      </c>
      <c r="X747">
        <f>IF(설정!$C$14="","",IFERROR(INDEX('1.산군_붙여넣기'!$A$1:$AZ$1001,ROW(),설정!$C$14)&amp;"",""))</f>
        <v/>
      </c>
      <c r="Y747">
        <f>IF(설정!$C$15="","",IFERROR(INDEX('1.산군_붙여넣기'!$A$1:$AZ$1001,ROW(),설정!$C$15)&amp;"",""))</f>
        <v/>
      </c>
      <c r="Z747">
        <f>IF(T747,V747&amp;"|"&amp;U747,"")</f>
        <v/>
      </c>
      <c r="AA747">
        <f>IF(NOT(Q747),"",IF(NOT(AND(R747,S747)),"✕",IF(OR(OR(AND(L747&lt;&gt;"",M747&lt;&gt;"",N(M747)-N(L747)&gt;설정!$B$27),AND(L747&lt;&gt;"",M747="",설정!$B$24-N(L747)&gt;설정!$B$27)),AND(D747&lt;&gt;"",D747&lt;설정!$B$26)),"△","★")))</f>
        <v/>
      </c>
      <c r="AB747">
        <f>IF(NOT(T747),"",IF(U747="설계사",설정!$B$31,IF(U747="시공사",IF(OR(M747="",설정!$B$24-N(M747)&lt;=설정!$B$28*30.4),설정!$B$32,설정!$B$33),설정!$B$34))+IF(AA747="★",설정!$B$35,0))</f>
        <v/>
      </c>
      <c r="AC747">
        <f>SUBSTITUTE(SUBSTITUTE(SUBSTITUTE(SUBSTITUTE(H747,"(주)",""),"㈜",""),"주식회사","")," ","")</f>
        <v/>
      </c>
      <c r="AD747">
        <f>IF(AND(T747,AC747&lt;&gt;""),IF(COUNTIFS(AC$2:AC747,AC747,T$2:T747,TRUE)=1,MAX(AD$1:AD746)+1,""),"")</f>
        <v/>
      </c>
    </row>
    <row r="748">
      <c r="A748">
        <f>ROW()</f>
        <v/>
      </c>
      <c r="B748">
        <f>IF(설정!$C$4="","",IFERROR(INDEX('1.산군_붙여넣기'!$A$1:$AZ$1001,ROW(),설정!$C$4)&amp;"",""))</f>
        <v/>
      </c>
      <c r="C748">
        <f>IF(설정!$C$5="","",IFERROR(INDEX('1.산군_붙여넣기'!$A$1:$AZ$1001,ROW(),설정!$C$5)&amp;"",""))</f>
        <v/>
      </c>
      <c r="D748" s="5">
        <f>IFERROR(VALUE(SUBSTITUTE(SUBSTITUTE(SUBSTITUTE(IF(설정!$C$6="","",IFERROR(INDEX('1.산군_붙여넣기'!$A$1:$AZ$1001,ROW(),설정!$C$6)&amp;"","")),",",""),"㎡",""),"m2","")),"")</f>
        <v/>
      </c>
      <c r="E748">
        <f>IF(설정!$C$7="","",IFERROR(INDEX('1.산군_붙여넣기'!$A$1:$AZ$1001,ROW(),설정!$C$7)&amp;"",""))</f>
        <v/>
      </c>
      <c r="F748">
        <f>IF(설정!$C$8="","",IFERROR(INDEX('1.산군_붙여넣기'!$A$1:$AZ$1001,ROW(),설정!$C$8)&amp;"",""))</f>
        <v/>
      </c>
      <c r="G748">
        <f>IF(설정!$C$9="","",IFERROR(INDEX('1.산군_붙여넣기'!$A$1:$AZ$1001,ROW(),설정!$C$9)&amp;"",""))</f>
        <v/>
      </c>
      <c r="H748">
        <f>IF(설정!$C$10="","",IFERROR(INDEX('1.산군_붙여넣기'!$A$1:$AZ$1001,ROW(),설정!$C$10)&amp;"",""))</f>
        <v/>
      </c>
      <c r="I748">
        <f>IF(설정!$C$11="","",IFERROR(INDEX('1.산군_붙여넣기'!$A$1:$AZ$1001,ROW(),설정!$C$11)&amp;"",""))</f>
        <v/>
      </c>
      <c r="J748">
        <f>IF(설정!$C$12="","",IFERROR(INDEX('1.산군_붙여넣기'!$A$1:$AZ$1001,ROW(),설정!$C$12)&amp;"",""))</f>
        <v/>
      </c>
      <c r="K748">
        <f>IF(설정!$C$13="","",IFERROR(INDEX('1.산군_붙여넣기'!$A$1:$AZ$1001,ROW(),설정!$C$13)&amp;"",""))</f>
        <v/>
      </c>
      <c r="L748" s="7">
        <f>IF(X748="","",IF(AND(LEN(X748)=8,ISNUMBER(X748*1)),DATE(LEFT(X748,4),MID(X748,5,2),RIGHT(X748,2)),IFERROR(DATEVALUE(SUBSTITUTE(SUBSTITUTE(X748,".","-"),"/","-")),IFERROR(X748*1,""))))</f>
        <v/>
      </c>
      <c r="M748" s="7">
        <f>IF(Y748="","",IF(AND(LEN(Y748)=8,ISNUMBER(Y748*1)),DATE(LEFT(Y748,4),MID(Y748,5,2),RIGHT(Y748,2)),IFERROR(DATEVALUE(SUBSTITUTE(SUBSTITUTE(Y748,".","-"),"/","-")),IFERROR(Y748*1,""))))</f>
        <v/>
      </c>
      <c r="N748">
        <f>IFERROR(LEFT(B748,FIND(" ",B748)-1),B748)</f>
        <v/>
      </c>
      <c r="O748">
        <f>AND(B748&lt;&gt;"",B748&lt;&gt;설정!$B$4,C748&lt;&gt;설정!$B$5)</f>
        <v/>
      </c>
      <c r="P748">
        <f>IF(O748,B748&amp;"|"&amp;C748,"")</f>
        <v/>
      </c>
      <c r="Q748">
        <f>AND(O748,COUNTIF(P749:P$1002,P748)=0)</f>
        <v/>
      </c>
      <c r="R748">
        <f>OR(AND(설정!$A$42&lt;&gt;"",ISNUMBER(SEARCH(설정!$A$42,E748&amp;" "&amp;C748))),AND(설정!$A$43&lt;&gt;"",ISNUMBER(SEARCH(설정!$A$43,E748&amp;" "&amp;C748))),AND(설정!$A$44&lt;&gt;"",ISNUMBER(SEARCH(설정!$A$44,E748&amp;" "&amp;C748))),AND(설정!$A$45&lt;&gt;"",ISNUMBER(SEARCH(설정!$A$45,E748&amp;" "&amp;C748))),AND(설정!$A$46&lt;&gt;"",ISNUMBER(SEARCH(설정!$A$46,E748&amp;" "&amp;C748))),AND(설정!$A$47&lt;&gt;"",ISNUMBER(SEARCH(설정!$A$47,E748&amp;" "&amp;C748))),AND(설정!$A$48&lt;&gt;"",ISNUMBER(SEARCH(설정!$A$48,E748&amp;" "&amp;C748))),AND(설정!$A$49&lt;&gt;"",ISNUMBER(SEARCH(설정!$A$49,E748&amp;" "&amp;C748))),AND(설정!$A$50&lt;&gt;"",ISNUMBER(SEARCH(설정!$A$50,E748&amp;" "&amp;C748))),AND(설정!$A$51&lt;&gt;"",ISNUMBER(SEARCH(설정!$A$51,E748&amp;" "&amp;C748))))</f>
        <v/>
      </c>
      <c r="S748">
        <f>OR(D748="",D748&gt;=설정!$B$19)</f>
        <v/>
      </c>
      <c r="T748">
        <f>AND(Q748,R748,S748)</f>
        <v/>
      </c>
      <c r="U748">
        <f>IF(T748,IF(AND(설정!$A$54&lt;&gt;"",ISNUMBER(SEARCH(설정!$A$54,K748))),설정!$B$54,IF(AND(설정!$A$55&lt;&gt;"",ISNUMBER(SEARCH(설정!$A$55,K748))),설정!$B$55,IF(AND(설정!$A$56&lt;&gt;"",ISNUMBER(SEARCH(설정!$A$56,K748))),설정!$B$56,IF(AND(설정!$A$57&lt;&gt;"",ISNUMBER(SEARCH(설정!$A$57,K748))),설정!$B$57,IF(AND(설정!$A$58&lt;&gt;"",ISNUMBER(SEARCH(설정!$A$58,K748))),설정!$B$58,IF(AND(설정!$A$59&lt;&gt;"",ISNUMBER(SEARCH(설정!$A$59,K748))),설정!$B$59,IF(AND(설정!$A$60&lt;&gt;"",ISNUMBER(SEARCH(설정!$A$60,K748))),설정!$B$60,IF(AND(설정!$A$61&lt;&gt;"",ISNUMBER(SEARCH(설정!$A$61,K748))),설정!$B$61,IF(M748="","설계사","시공사"))))))))),"")</f>
        <v/>
      </c>
      <c r="V748">
        <f>SUBSTITUTE(SUBSTITUTE(SUBSTITUTE(SUBSTITUTE(G748,"(주)",""),"㈜",""),"주식회사","")," ","")</f>
        <v/>
      </c>
      <c r="W748">
        <f>IF(AND(T748,V748&lt;&gt;""),IF(COUNTIFS(V$2:V748,V748,T$2:T748,TRUE)=1,MAX(W$1:W747)+1,""),"")</f>
        <v/>
      </c>
      <c r="X748">
        <f>IF(설정!$C$14="","",IFERROR(INDEX('1.산군_붙여넣기'!$A$1:$AZ$1001,ROW(),설정!$C$14)&amp;"",""))</f>
        <v/>
      </c>
      <c r="Y748">
        <f>IF(설정!$C$15="","",IFERROR(INDEX('1.산군_붙여넣기'!$A$1:$AZ$1001,ROW(),설정!$C$15)&amp;"",""))</f>
        <v/>
      </c>
      <c r="Z748">
        <f>IF(T748,V748&amp;"|"&amp;U748,"")</f>
        <v/>
      </c>
      <c r="AA748">
        <f>IF(NOT(Q748),"",IF(NOT(AND(R748,S748)),"✕",IF(OR(OR(AND(L748&lt;&gt;"",M748&lt;&gt;"",N(M748)-N(L748)&gt;설정!$B$27),AND(L748&lt;&gt;"",M748="",설정!$B$24-N(L748)&gt;설정!$B$27)),AND(D748&lt;&gt;"",D748&lt;설정!$B$26)),"△","★")))</f>
        <v/>
      </c>
      <c r="AB748">
        <f>IF(NOT(T748),"",IF(U748="설계사",설정!$B$31,IF(U748="시공사",IF(OR(M748="",설정!$B$24-N(M748)&lt;=설정!$B$28*30.4),설정!$B$32,설정!$B$33),설정!$B$34))+IF(AA748="★",설정!$B$35,0))</f>
        <v/>
      </c>
      <c r="AC748">
        <f>SUBSTITUTE(SUBSTITUTE(SUBSTITUTE(SUBSTITUTE(H748,"(주)",""),"㈜",""),"주식회사","")," ","")</f>
        <v/>
      </c>
      <c r="AD748">
        <f>IF(AND(T748,AC748&lt;&gt;""),IF(COUNTIFS(AC$2:AC748,AC748,T$2:T748,TRUE)=1,MAX(AD$1:AD747)+1,""),"")</f>
        <v/>
      </c>
    </row>
    <row r="749">
      <c r="A749">
        <f>ROW()</f>
        <v/>
      </c>
      <c r="B749">
        <f>IF(설정!$C$4="","",IFERROR(INDEX('1.산군_붙여넣기'!$A$1:$AZ$1001,ROW(),설정!$C$4)&amp;"",""))</f>
        <v/>
      </c>
      <c r="C749">
        <f>IF(설정!$C$5="","",IFERROR(INDEX('1.산군_붙여넣기'!$A$1:$AZ$1001,ROW(),설정!$C$5)&amp;"",""))</f>
        <v/>
      </c>
      <c r="D749" s="5">
        <f>IFERROR(VALUE(SUBSTITUTE(SUBSTITUTE(SUBSTITUTE(IF(설정!$C$6="","",IFERROR(INDEX('1.산군_붙여넣기'!$A$1:$AZ$1001,ROW(),설정!$C$6)&amp;"","")),",",""),"㎡",""),"m2","")),"")</f>
        <v/>
      </c>
      <c r="E749">
        <f>IF(설정!$C$7="","",IFERROR(INDEX('1.산군_붙여넣기'!$A$1:$AZ$1001,ROW(),설정!$C$7)&amp;"",""))</f>
        <v/>
      </c>
      <c r="F749">
        <f>IF(설정!$C$8="","",IFERROR(INDEX('1.산군_붙여넣기'!$A$1:$AZ$1001,ROW(),설정!$C$8)&amp;"",""))</f>
        <v/>
      </c>
      <c r="G749">
        <f>IF(설정!$C$9="","",IFERROR(INDEX('1.산군_붙여넣기'!$A$1:$AZ$1001,ROW(),설정!$C$9)&amp;"",""))</f>
        <v/>
      </c>
      <c r="H749">
        <f>IF(설정!$C$10="","",IFERROR(INDEX('1.산군_붙여넣기'!$A$1:$AZ$1001,ROW(),설정!$C$10)&amp;"",""))</f>
        <v/>
      </c>
      <c r="I749">
        <f>IF(설정!$C$11="","",IFERROR(INDEX('1.산군_붙여넣기'!$A$1:$AZ$1001,ROW(),설정!$C$11)&amp;"",""))</f>
        <v/>
      </c>
      <c r="J749">
        <f>IF(설정!$C$12="","",IFERROR(INDEX('1.산군_붙여넣기'!$A$1:$AZ$1001,ROW(),설정!$C$12)&amp;"",""))</f>
        <v/>
      </c>
      <c r="K749">
        <f>IF(설정!$C$13="","",IFERROR(INDEX('1.산군_붙여넣기'!$A$1:$AZ$1001,ROW(),설정!$C$13)&amp;"",""))</f>
        <v/>
      </c>
      <c r="L749" s="7">
        <f>IF(X749="","",IF(AND(LEN(X749)=8,ISNUMBER(X749*1)),DATE(LEFT(X749,4),MID(X749,5,2),RIGHT(X749,2)),IFERROR(DATEVALUE(SUBSTITUTE(SUBSTITUTE(X749,".","-"),"/","-")),IFERROR(X749*1,""))))</f>
        <v/>
      </c>
      <c r="M749" s="7">
        <f>IF(Y749="","",IF(AND(LEN(Y749)=8,ISNUMBER(Y749*1)),DATE(LEFT(Y749,4),MID(Y749,5,2),RIGHT(Y749,2)),IFERROR(DATEVALUE(SUBSTITUTE(SUBSTITUTE(Y749,".","-"),"/","-")),IFERROR(Y749*1,""))))</f>
        <v/>
      </c>
      <c r="N749">
        <f>IFERROR(LEFT(B749,FIND(" ",B749)-1),B749)</f>
        <v/>
      </c>
      <c r="O749">
        <f>AND(B749&lt;&gt;"",B749&lt;&gt;설정!$B$4,C749&lt;&gt;설정!$B$5)</f>
        <v/>
      </c>
      <c r="P749">
        <f>IF(O749,B749&amp;"|"&amp;C749,"")</f>
        <v/>
      </c>
      <c r="Q749">
        <f>AND(O749,COUNTIF(P750:P$1002,P749)=0)</f>
        <v/>
      </c>
      <c r="R749">
        <f>OR(AND(설정!$A$42&lt;&gt;"",ISNUMBER(SEARCH(설정!$A$42,E749&amp;" "&amp;C749))),AND(설정!$A$43&lt;&gt;"",ISNUMBER(SEARCH(설정!$A$43,E749&amp;" "&amp;C749))),AND(설정!$A$44&lt;&gt;"",ISNUMBER(SEARCH(설정!$A$44,E749&amp;" "&amp;C749))),AND(설정!$A$45&lt;&gt;"",ISNUMBER(SEARCH(설정!$A$45,E749&amp;" "&amp;C749))),AND(설정!$A$46&lt;&gt;"",ISNUMBER(SEARCH(설정!$A$46,E749&amp;" "&amp;C749))),AND(설정!$A$47&lt;&gt;"",ISNUMBER(SEARCH(설정!$A$47,E749&amp;" "&amp;C749))),AND(설정!$A$48&lt;&gt;"",ISNUMBER(SEARCH(설정!$A$48,E749&amp;" "&amp;C749))),AND(설정!$A$49&lt;&gt;"",ISNUMBER(SEARCH(설정!$A$49,E749&amp;" "&amp;C749))),AND(설정!$A$50&lt;&gt;"",ISNUMBER(SEARCH(설정!$A$50,E749&amp;" "&amp;C749))),AND(설정!$A$51&lt;&gt;"",ISNUMBER(SEARCH(설정!$A$51,E749&amp;" "&amp;C749))))</f>
        <v/>
      </c>
      <c r="S749">
        <f>OR(D749="",D749&gt;=설정!$B$19)</f>
        <v/>
      </c>
      <c r="T749">
        <f>AND(Q749,R749,S749)</f>
        <v/>
      </c>
      <c r="U749">
        <f>IF(T749,IF(AND(설정!$A$54&lt;&gt;"",ISNUMBER(SEARCH(설정!$A$54,K749))),설정!$B$54,IF(AND(설정!$A$55&lt;&gt;"",ISNUMBER(SEARCH(설정!$A$55,K749))),설정!$B$55,IF(AND(설정!$A$56&lt;&gt;"",ISNUMBER(SEARCH(설정!$A$56,K749))),설정!$B$56,IF(AND(설정!$A$57&lt;&gt;"",ISNUMBER(SEARCH(설정!$A$57,K749))),설정!$B$57,IF(AND(설정!$A$58&lt;&gt;"",ISNUMBER(SEARCH(설정!$A$58,K749))),설정!$B$58,IF(AND(설정!$A$59&lt;&gt;"",ISNUMBER(SEARCH(설정!$A$59,K749))),설정!$B$59,IF(AND(설정!$A$60&lt;&gt;"",ISNUMBER(SEARCH(설정!$A$60,K749))),설정!$B$60,IF(AND(설정!$A$61&lt;&gt;"",ISNUMBER(SEARCH(설정!$A$61,K749))),설정!$B$61,IF(M749="","설계사","시공사"))))))))),"")</f>
        <v/>
      </c>
      <c r="V749">
        <f>SUBSTITUTE(SUBSTITUTE(SUBSTITUTE(SUBSTITUTE(G749,"(주)",""),"㈜",""),"주식회사","")," ","")</f>
        <v/>
      </c>
      <c r="W749">
        <f>IF(AND(T749,V749&lt;&gt;""),IF(COUNTIFS(V$2:V749,V749,T$2:T749,TRUE)=1,MAX(W$1:W748)+1,""),"")</f>
        <v/>
      </c>
      <c r="X749">
        <f>IF(설정!$C$14="","",IFERROR(INDEX('1.산군_붙여넣기'!$A$1:$AZ$1001,ROW(),설정!$C$14)&amp;"",""))</f>
        <v/>
      </c>
      <c r="Y749">
        <f>IF(설정!$C$15="","",IFERROR(INDEX('1.산군_붙여넣기'!$A$1:$AZ$1001,ROW(),설정!$C$15)&amp;"",""))</f>
        <v/>
      </c>
      <c r="Z749">
        <f>IF(T749,V749&amp;"|"&amp;U749,"")</f>
        <v/>
      </c>
      <c r="AA749">
        <f>IF(NOT(Q749),"",IF(NOT(AND(R749,S749)),"✕",IF(OR(OR(AND(L749&lt;&gt;"",M749&lt;&gt;"",N(M749)-N(L749)&gt;설정!$B$27),AND(L749&lt;&gt;"",M749="",설정!$B$24-N(L749)&gt;설정!$B$27)),AND(D749&lt;&gt;"",D749&lt;설정!$B$26)),"△","★")))</f>
        <v/>
      </c>
      <c r="AB749">
        <f>IF(NOT(T749),"",IF(U749="설계사",설정!$B$31,IF(U749="시공사",IF(OR(M749="",설정!$B$24-N(M749)&lt;=설정!$B$28*30.4),설정!$B$32,설정!$B$33),설정!$B$34))+IF(AA749="★",설정!$B$35,0))</f>
        <v/>
      </c>
      <c r="AC749">
        <f>SUBSTITUTE(SUBSTITUTE(SUBSTITUTE(SUBSTITUTE(H749,"(주)",""),"㈜",""),"주식회사","")," ","")</f>
        <v/>
      </c>
      <c r="AD749">
        <f>IF(AND(T749,AC749&lt;&gt;""),IF(COUNTIFS(AC$2:AC749,AC749,T$2:T749,TRUE)=1,MAX(AD$1:AD748)+1,""),"")</f>
        <v/>
      </c>
    </row>
    <row r="750">
      <c r="A750">
        <f>ROW()</f>
        <v/>
      </c>
      <c r="B750">
        <f>IF(설정!$C$4="","",IFERROR(INDEX('1.산군_붙여넣기'!$A$1:$AZ$1001,ROW(),설정!$C$4)&amp;"",""))</f>
        <v/>
      </c>
      <c r="C750">
        <f>IF(설정!$C$5="","",IFERROR(INDEX('1.산군_붙여넣기'!$A$1:$AZ$1001,ROW(),설정!$C$5)&amp;"",""))</f>
        <v/>
      </c>
      <c r="D750" s="5">
        <f>IFERROR(VALUE(SUBSTITUTE(SUBSTITUTE(SUBSTITUTE(IF(설정!$C$6="","",IFERROR(INDEX('1.산군_붙여넣기'!$A$1:$AZ$1001,ROW(),설정!$C$6)&amp;"","")),",",""),"㎡",""),"m2","")),"")</f>
        <v/>
      </c>
      <c r="E750">
        <f>IF(설정!$C$7="","",IFERROR(INDEX('1.산군_붙여넣기'!$A$1:$AZ$1001,ROW(),설정!$C$7)&amp;"",""))</f>
        <v/>
      </c>
      <c r="F750">
        <f>IF(설정!$C$8="","",IFERROR(INDEX('1.산군_붙여넣기'!$A$1:$AZ$1001,ROW(),설정!$C$8)&amp;"",""))</f>
        <v/>
      </c>
      <c r="G750">
        <f>IF(설정!$C$9="","",IFERROR(INDEX('1.산군_붙여넣기'!$A$1:$AZ$1001,ROW(),설정!$C$9)&amp;"",""))</f>
        <v/>
      </c>
      <c r="H750">
        <f>IF(설정!$C$10="","",IFERROR(INDEX('1.산군_붙여넣기'!$A$1:$AZ$1001,ROW(),설정!$C$10)&amp;"",""))</f>
        <v/>
      </c>
      <c r="I750">
        <f>IF(설정!$C$11="","",IFERROR(INDEX('1.산군_붙여넣기'!$A$1:$AZ$1001,ROW(),설정!$C$11)&amp;"",""))</f>
        <v/>
      </c>
      <c r="J750">
        <f>IF(설정!$C$12="","",IFERROR(INDEX('1.산군_붙여넣기'!$A$1:$AZ$1001,ROW(),설정!$C$12)&amp;"",""))</f>
        <v/>
      </c>
      <c r="K750">
        <f>IF(설정!$C$13="","",IFERROR(INDEX('1.산군_붙여넣기'!$A$1:$AZ$1001,ROW(),설정!$C$13)&amp;"",""))</f>
        <v/>
      </c>
      <c r="L750" s="7">
        <f>IF(X750="","",IF(AND(LEN(X750)=8,ISNUMBER(X750*1)),DATE(LEFT(X750,4),MID(X750,5,2),RIGHT(X750,2)),IFERROR(DATEVALUE(SUBSTITUTE(SUBSTITUTE(X750,".","-"),"/","-")),IFERROR(X750*1,""))))</f>
        <v/>
      </c>
      <c r="M750" s="7">
        <f>IF(Y750="","",IF(AND(LEN(Y750)=8,ISNUMBER(Y750*1)),DATE(LEFT(Y750,4),MID(Y750,5,2),RIGHT(Y750,2)),IFERROR(DATEVALUE(SUBSTITUTE(SUBSTITUTE(Y750,".","-"),"/","-")),IFERROR(Y750*1,""))))</f>
        <v/>
      </c>
      <c r="N750">
        <f>IFERROR(LEFT(B750,FIND(" ",B750)-1),B750)</f>
        <v/>
      </c>
      <c r="O750">
        <f>AND(B750&lt;&gt;"",B750&lt;&gt;설정!$B$4,C750&lt;&gt;설정!$B$5)</f>
        <v/>
      </c>
      <c r="P750">
        <f>IF(O750,B750&amp;"|"&amp;C750,"")</f>
        <v/>
      </c>
      <c r="Q750">
        <f>AND(O750,COUNTIF(P751:P$1002,P750)=0)</f>
        <v/>
      </c>
      <c r="R750">
        <f>OR(AND(설정!$A$42&lt;&gt;"",ISNUMBER(SEARCH(설정!$A$42,E750&amp;" "&amp;C750))),AND(설정!$A$43&lt;&gt;"",ISNUMBER(SEARCH(설정!$A$43,E750&amp;" "&amp;C750))),AND(설정!$A$44&lt;&gt;"",ISNUMBER(SEARCH(설정!$A$44,E750&amp;" "&amp;C750))),AND(설정!$A$45&lt;&gt;"",ISNUMBER(SEARCH(설정!$A$45,E750&amp;" "&amp;C750))),AND(설정!$A$46&lt;&gt;"",ISNUMBER(SEARCH(설정!$A$46,E750&amp;" "&amp;C750))),AND(설정!$A$47&lt;&gt;"",ISNUMBER(SEARCH(설정!$A$47,E750&amp;" "&amp;C750))),AND(설정!$A$48&lt;&gt;"",ISNUMBER(SEARCH(설정!$A$48,E750&amp;" "&amp;C750))),AND(설정!$A$49&lt;&gt;"",ISNUMBER(SEARCH(설정!$A$49,E750&amp;" "&amp;C750))),AND(설정!$A$50&lt;&gt;"",ISNUMBER(SEARCH(설정!$A$50,E750&amp;" "&amp;C750))),AND(설정!$A$51&lt;&gt;"",ISNUMBER(SEARCH(설정!$A$51,E750&amp;" "&amp;C750))))</f>
        <v/>
      </c>
      <c r="S750">
        <f>OR(D750="",D750&gt;=설정!$B$19)</f>
        <v/>
      </c>
      <c r="T750">
        <f>AND(Q750,R750,S750)</f>
        <v/>
      </c>
      <c r="U750">
        <f>IF(T750,IF(AND(설정!$A$54&lt;&gt;"",ISNUMBER(SEARCH(설정!$A$54,K750))),설정!$B$54,IF(AND(설정!$A$55&lt;&gt;"",ISNUMBER(SEARCH(설정!$A$55,K750))),설정!$B$55,IF(AND(설정!$A$56&lt;&gt;"",ISNUMBER(SEARCH(설정!$A$56,K750))),설정!$B$56,IF(AND(설정!$A$57&lt;&gt;"",ISNUMBER(SEARCH(설정!$A$57,K750))),설정!$B$57,IF(AND(설정!$A$58&lt;&gt;"",ISNUMBER(SEARCH(설정!$A$58,K750))),설정!$B$58,IF(AND(설정!$A$59&lt;&gt;"",ISNUMBER(SEARCH(설정!$A$59,K750))),설정!$B$59,IF(AND(설정!$A$60&lt;&gt;"",ISNUMBER(SEARCH(설정!$A$60,K750))),설정!$B$60,IF(AND(설정!$A$61&lt;&gt;"",ISNUMBER(SEARCH(설정!$A$61,K750))),설정!$B$61,IF(M750="","설계사","시공사"))))))))),"")</f>
        <v/>
      </c>
      <c r="V750">
        <f>SUBSTITUTE(SUBSTITUTE(SUBSTITUTE(SUBSTITUTE(G750,"(주)",""),"㈜",""),"주식회사","")," ","")</f>
        <v/>
      </c>
      <c r="W750">
        <f>IF(AND(T750,V750&lt;&gt;""),IF(COUNTIFS(V$2:V750,V750,T$2:T750,TRUE)=1,MAX(W$1:W749)+1,""),"")</f>
        <v/>
      </c>
      <c r="X750">
        <f>IF(설정!$C$14="","",IFERROR(INDEX('1.산군_붙여넣기'!$A$1:$AZ$1001,ROW(),설정!$C$14)&amp;"",""))</f>
        <v/>
      </c>
      <c r="Y750">
        <f>IF(설정!$C$15="","",IFERROR(INDEX('1.산군_붙여넣기'!$A$1:$AZ$1001,ROW(),설정!$C$15)&amp;"",""))</f>
        <v/>
      </c>
      <c r="Z750">
        <f>IF(T750,V750&amp;"|"&amp;U750,"")</f>
        <v/>
      </c>
      <c r="AA750">
        <f>IF(NOT(Q750),"",IF(NOT(AND(R750,S750)),"✕",IF(OR(OR(AND(L750&lt;&gt;"",M750&lt;&gt;"",N(M750)-N(L750)&gt;설정!$B$27),AND(L750&lt;&gt;"",M750="",설정!$B$24-N(L750)&gt;설정!$B$27)),AND(D750&lt;&gt;"",D750&lt;설정!$B$26)),"△","★")))</f>
        <v/>
      </c>
      <c r="AB750">
        <f>IF(NOT(T750),"",IF(U750="설계사",설정!$B$31,IF(U750="시공사",IF(OR(M750="",설정!$B$24-N(M750)&lt;=설정!$B$28*30.4),설정!$B$32,설정!$B$33),설정!$B$34))+IF(AA750="★",설정!$B$35,0))</f>
        <v/>
      </c>
      <c r="AC750">
        <f>SUBSTITUTE(SUBSTITUTE(SUBSTITUTE(SUBSTITUTE(H750,"(주)",""),"㈜",""),"주식회사","")," ","")</f>
        <v/>
      </c>
      <c r="AD750">
        <f>IF(AND(T750,AC750&lt;&gt;""),IF(COUNTIFS(AC$2:AC750,AC750,T$2:T750,TRUE)=1,MAX(AD$1:AD749)+1,""),"")</f>
        <v/>
      </c>
    </row>
    <row r="751">
      <c r="A751">
        <f>ROW()</f>
        <v/>
      </c>
      <c r="B751">
        <f>IF(설정!$C$4="","",IFERROR(INDEX('1.산군_붙여넣기'!$A$1:$AZ$1001,ROW(),설정!$C$4)&amp;"",""))</f>
        <v/>
      </c>
      <c r="C751">
        <f>IF(설정!$C$5="","",IFERROR(INDEX('1.산군_붙여넣기'!$A$1:$AZ$1001,ROW(),설정!$C$5)&amp;"",""))</f>
        <v/>
      </c>
      <c r="D751" s="5">
        <f>IFERROR(VALUE(SUBSTITUTE(SUBSTITUTE(SUBSTITUTE(IF(설정!$C$6="","",IFERROR(INDEX('1.산군_붙여넣기'!$A$1:$AZ$1001,ROW(),설정!$C$6)&amp;"","")),",",""),"㎡",""),"m2","")),"")</f>
        <v/>
      </c>
      <c r="E751">
        <f>IF(설정!$C$7="","",IFERROR(INDEX('1.산군_붙여넣기'!$A$1:$AZ$1001,ROW(),설정!$C$7)&amp;"",""))</f>
        <v/>
      </c>
      <c r="F751">
        <f>IF(설정!$C$8="","",IFERROR(INDEX('1.산군_붙여넣기'!$A$1:$AZ$1001,ROW(),설정!$C$8)&amp;"",""))</f>
        <v/>
      </c>
      <c r="G751">
        <f>IF(설정!$C$9="","",IFERROR(INDEX('1.산군_붙여넣기'!$A$1:$AZ$1001,ROW(),설정!$C$9)&amp;"",""))</f>
        <v/>
      </c>
      <c r="H751">
        <f>IF(설정!$C$10="","",IFERROR(INDEX('1.산군_붙여넣기'!$A$1:$AZ$1001,ROW(),설정!$C$10)&amp;"",""))</f>
        <v/>
      </c>
      <c r="I751">
        <f>IF(설정!$C$11="","",IFERROR(INDEX('1.산군_붙여넣기'!$A$1:$AZ$1001,ROW(),설정!$C$11)&amp;"",""))</f>
        <v/>
      </c>
      <c r="J751">
        <f>IF(설정!$C$12="","",IFERROR(INDEX('1.산군_붙여넣기'!$A$1:$AZ$1001,ROW(),설정!$C$12)&amp;"",""))</f>
        <v/>
      </c>
      <c r="K751">
        <f>IF(설정!$C$13="","",IFERROR(INDEX('1.산군_붙여넣기'!$A$1:$AZ$1001,ROW(),설정!$C$13)&amp;"",""))</f>
        <v/>
      </c>
      <c r="L751" s="7">
        <f>IF(X751="","",IF(AND(LEN(X751)=8,ISNUMBER(X751*1)),DATE(LEFT(X751,4),MID(X751,5,2),RIGHT(X751,2)),IFERROR(DATEVALUE(SUBSTITUTE(SUBSTITUTE(X751,".","-"),"/","-")),IFERROR(X751*1,""))))</f>
        <v/>
      </c>
      <c r="M751" s="7">
        <f>IF(Y751="","",IF(AND(LEN(Y751)=8,ISNUMBER(Y751*1)),DATE(LEFT(Y751,4),MID(Y751,5,2),RIGHT(Y751,2)),IFERROR(DATEVALUE(SUBSTITUTE(SUBSTITUTE(Y751,".","-"),"/","-")),IFERROR(Y751*1,""))))</f>
        <v/>
      </c>
      <c r="N751">
        <f>IFERROR(LEFT(B751,FIND(" ",B751)-1),B751)</f>
        <v/>
      </c>
      <c r="O751">
        <f>AND(B751&lt;&gt;"",B751&lt;&gt;설정!$B$4,C751&lt;&gt;설정!$B$5)</f>
        <v/>
      </c>
      <c r="P751">
        <f>IF(O751,B751&amp;"|"&amp;C751,"")</f>
        <v/>
      </c>
      <c r="Q751">
        <f>AND(O751,COUNTIF(P752:P$1002,P751)=0)</f>
        <v/>
      </c>
      <c r="R751">
        <f>OR(AND(설정!$A$42&lt;&gt;"",ISNUMBER(SEARCH(설정!$A$42,E751&amp;" "&amp;C751))),AND(설정!$A$43&lt;&gt;"",ISNUMBER(SEARCH(설정!$A$43,E751&amp;" "&amp;C751))),AND(설정!$A$44&lt;&gt;"",ISNUMBER(SEARCH(설정!$A$44,E751&amp;" "&amp;C751))),AND(설정!$A$45&lt;&gt;"",ISNUMBER(SEARCH(설정!$A$45,E751&amp;" "&amp;C751))),AND(설정!$A$46&lt;&gt;"",ISNUMBER(SEARCH(설정!$A$46,E751&amp;" "&amp;C751))),AND(설정!$A$47&lt;&gt;"",ISNUMBER(SEARCH(설정!$A$47,E751&amp;" "&amp;C751))),AND(설정!$A$48&lt;&gt;"",ISNUMBER(SEARCH(설정!$A$48,E751&amp;" "&amp;C751))),AND(설정!$A$49&lt;&gt;"",ISNUMBER(SEARCH(설정!$A$49,E751&amp;" "&amp;C751))),AND(설정!$A$50&lt;&gt;"",ISNUMBER(SEARCH(설정!$A$50,E751&amp;" "&amp;C751))),AND(설정!$A$51&lt;&gt;"",ISNUMBER(SEARCH(설정!$A$51,E751&amp;" "&amp;C751))))</f>
        <v/>
      </c>
      <c r="S751">
        <f>OR(D751="",D751&gt;=설정!$B$19)</f>
        <v/>
      </c>
      <c r="T751">
        <f>AND(Q751,R751,S751)</f>
        <v/>
      </c>
      <c r="U751">
        <f>IF(T751,IF(AND(설정!$A$54&lt;&gt;"",ISNUMBER(SEARCH(설정!$A$54,K751))),설정!$B$54,IF(AND(설정!$A$55&lt;&gt;"",ISNUMBER(SEARCH(설정!$A$55,K751))),설정!$B$55,IF(AND(설정!$A$56&lt;&gt;"",ISNUMBER(SEARCH(설정!$A$56,K751))),설정!$B$56,IF(AND(설정!$A$57&lt;&gt;"",ISNUMBER(SEARCH(설정!$A$57,K751))),설정!$B$57,IF(AND(설정!$A$58&lt;&gt;"",ISNUMBER(SEARCH(설정!$A$58,K751))),설정!$B$58,IF(AND(설정!$A$59&lt;&gt;"",ISNUMBER(SEARCH(설정!$A$59,K751))),설정!$B$59,IF(AND(설정!$A$60&lt;&gt;"",ISNUMBER(SEARCH(설정!$A$60,K751))),설정!$B$60,IF(AND(설정!$A$61&lt;&gt;"",ISNUMBER(SEARCH(설정!$A$61,K751))),설정!$B$61,IF(M751="","설계사","시공사"))))))))),"")</f>
        <v/>
      </c>
      <c r="V751">
        <f>SUBSTITUTE(SUBSTITUTE(SUBSTITUTE(SUBSTITUTE(G751,"(주)",""),"㈜",""),"주식회사","")," ","")</f>
        <v/>
      </c>
      <c r="W751">
        <f>IF(AND(T751,V751&lt;&gt;""),IF(COUNTIFS(V$2:V751,V751,T$2:T751,TRUE)=1,MAX(W$1:W750)+1,""),"")</f>
        <v/>
      </c>
      <c r="X751">
        <f>IF(설정!$C$14="","",IFERROR(INDEX('1.산군_붙여넣기'!$A$1:$AZ$1001,ROW(),설정!$C$14)&amp;"",""))</f>
        <v/>
      </c>
      <c r="Y751">
        <f>IF(설정!$C$15="","",IFERROR(INDEX('1.산군_붙여넣기'!$A$1:$AZ$1001,ROW(),설정!$C$15)&amp;"",""))</f>
        <v/>
      </c>
      <c r="Z751">
        <f>IF(T751,V751&amp;"|"&amp;U751,"")</f>
        <v/>
      </c>
      <c r="AA751">
        <f>IF(NOT(Q751),"",IF(NOT(AND(R751,S751)),"✕",IF(OR(OR(AND(L751&lt;&gt;"",M751&lt;&gt;"",N(M751)-N(L751)&gt;설정!$B$27),AND(L751&lt;&gt;"",M751="",설정!$B$24-N(L751)&gt;설정!$B$27)),AND(D751&lt;&gt;"",D751&lt;설정!$B$26)),"△","★")))</f>
        <v/>
      </c>
      <c r="AB751">
        <f>IF(NOT(T751),"",IF(U751="설계사",설정!$B$31,IF(U751="시공사",IF(OR(M751="",설정!$B$24-N(M751)&lt;=설정!$B$28*30.4),설정!$B$32,설정!$B$33),설정!$B$34))+IF(AA751="★",설정!$B$35,0))</f>
        <v/>
      </c>
      <c r="AC751">
        <f>SUBSTITUTE(SUBSTITUTE(SUBSTITUTE(SUBSTITUTE(H751,"(주)",""),"㈜",""),"주식회사","")," ","")</f>
        <v/>
      </c>
      <c r="AD751">
        <f>IF(AND(T751,AC751&lt;&gt;""),IF(COUNTIFS(AC$2:AC751,AC751,T$2:T751,TRUE)=1,MAX(AD$1:AD750)+1,""),"")</f>
        <v/>
      </c>
    </row>
    <row r="752">
      <c r="A752">
        <f>ROW()</f>
        <v/>
      </c>
      <c r="B752">
        <f>IF(설정!$C$4="","",IFERROR(INDEX('1.산군_붙여넣기'!$A$1:$AZ$1001,ROW(),설정!$C$4)&amp;"",""))</f>
        <v/>
      </c>
      <c r="C752">
        <f>IF(설정!$C$5="","",IFERROR(INDEX('1.산군_붙여넣기'!$A$1:$AZ$1001,ROW(),설정!$C$5)&amp;"",""))</f>
        <v/>
      </c>
      <c r="D752" s="5">
        <f>IFERROR(VALUE(SUBSTITUTE(SUBSTITUTE(SUBSTITUTE(IF(설정!$C$6="","",IFERROR(INDEX('1.산군_붙여넣기'!$A$1:$AZ$1001,ROW(),설정!$C$6)&amp;"","")),",",""),"㎡",""),"m2","")),"")</f>
        <v/>
      </c>
      <c r="E752">
        <f>IF(설정!$C$7="","",IFERROR(INDEX('1.산군_붙여넣기'!$A$1:$AZ$1001,ROW(),설정!$C$7)&amp;"",""))</f>
        <v/>
      </c>
      <c r="F752">
        <f>IF(설정!$C$8="","",IFERROR(INDEX('1.산군_붙여넣기'!$A$1:$AZ$1001,ROW(),설정!$C$8)&amp;"",""))</f>
        <v/>
      </c>
      <c r="G752">
        <f>IF(설정!$C$9="","",IFERROR(INDEX('1.산군_붙여넣기'!$A$1:$AZ$1001,ROW(),설정!$C$9)&amp;"",""))</f>
        <v/>
      </c>
      <c r="H752">
        <f>IF(설정!$C$10="","",IFERROR(INDEX('1.산군_붙여넣기'!$A$1:$AZ$1001,ROW(),설정!$C$10)&amp;"",""))</f>
        <v/>
      </c>
      <c r="I752">
        <f>IF(설정!$C$11="","",IFERROR(INDEX('1.산군_붙여넣기'!$A$1:$AZ$1001,ROW(),설정!$C$11)&amp;"",""))</f>
        <v/>
      </c>
      <c r="J752">
        <f>IF(설정!$C$12="","",IFERROR(INDEX('1.산군_붙여넣기'!$A$1:$AZ$1001,ROW(),설정!$C$12)&amp;"",""))</f>
        <v/>
      </c>
      <c r="K752">
        <f>IF(설정!$C$13="","",IFERROR(INDEX('1.산군_붙여넣기'!$A$1:$AZ$1001,ROW(),설정!$C$13)&amp;"",""))</f>
        <v/>
      </c>
      <c r="L752" s="7">
        <f>IF(X752="","",IF(AND(LEN(X752)=8,ISNUMBER(X752*1)),DATE(LEFT(X752,4),MID(X752,5,2),RIGHT(X752,2)),IFERROR(DATEVALUE(SUBSTITUTE(SUBSTITUTE(X752,".","-"),"/","-")),IFERROR(X752*1,""))))</f>
        <v/>
      </c>
      <c r="M752" s="7">
        <f>IF(Y752="","",IF(AND(LEN(Y752)=8,ISNUMBER(Y752*1)),DATE(LEFT(Y752,4),MID(Y752,5,2),RIGHT(Y752,2)),IFERROR(DATEVALUE(SUBSTITUTE(SUBSTITUTE(Y752,".","-"),"/","-")),IFERROR(Y752*1,""))))</f>
        <v/>
      </c>
      <c r="N752">
        <f>IFERROR(LEFT(B752,FIND(" ",B752)-1),B752)</f>
        <v/>
      </c>
      <c r="O752">
        <f>AND(B752&lt;&gt;"",B752&lt;&gt;설정!$B$4,C752&lt;&gt;설정!$B$5)</f>
        <v/>
      </c>
      <c r="P752">
        <f>IF(O752,B752&amp;"|"&amp;C752,"")</f>
        <v/>
      </c>
      <c r="Q752">
        <f>AND(O752,COUNTIF(P753:P$1002,P752)=0)</f>
        <v/>
      </c>
      <c r="R752">
        <f>OR(AND(설정!$A$42&lt;&gt;"",ISNUMBER(SEARCH(설정!$A$42,E752&amp;" "&amp;C752))),AND(설정!$A$43&lt;&gt;"",ISNUMBER(SEARCH(설정!$A$43,E752&amp;" "&amp;C752))),AND(설정!$A$44&lt;&gt;"",ISNUMBER(SEARCH(설정!$A$44,E752&amp;" "&amp;C752))),AND(설정!$A$45&lt;&gt;"",ISNUMBER(SEARCH(설정!$A$45,E752&amp;" "&amp;C752))),AND(설정!$A$46&lt;&gt;"",ISNUMBER(SEARCH(설정!$A$46,E752&amp;" "&amp;C752))),AND(설정!$A$47&lt;&gt;"",ISNUMBER(SEARCH(설정!$A$47,E752&amp;" "&amp;C752))),AND(설정!$A$48&lt;&gt;"",ISNUMBER(SEARCH(설정!$A$48,E752&amp;" "&amp;C752))),AND(설정!$A$49&lt;&gt;"",ISNUMBER(SEARCH(설정!$A$49,E752&amp;" "&amp;C752))),AND(설정!$A$50&lt;&gt;"",ISNUMBER(SEARCH(설정!$A$50,E752&amp;" "&amp;C752))),AND(설정!$A$51&lt;&gt;"",ISNUMBER(SEARCH(설정!$A$51,E752&amp;" "&amp;C752))))</f>
        <v/>
      </c>
      <c r="S752">
        <f>OR(D752="",D752&gt;=설정!$B$19)</f>
        <v/>
      </c>
      <c r="T752">
        <f>AND(Q752,R752,S752)</f>
        <v/>
      </c>
      <c r="U752">
        <f>IF(T752,IF(AND(설정!$A$54&lt;&gt;"",ISNUMBER(SEARCH(설정!$A$54,K752))),설정!$B$54,IF(AND(설정!$A$55&lt;&gt;"",ISNUMBER(SEARCH(설정!$A$55,K752))),설정!$B$55,IF(AND(설정!$A$56&lt;&gt;"",ISNUMBER(SEARCH(설정!$A$56,K752))),설정!$B$56,IF(AND(설정!$A$57&lt;&gt;"",ISNUMBER(SEARCH(설정!$A$57,K752))),설정!$B$57,IF(AND(설정!$A$58&lt;&gt;"",ISNUMBER(SEARCH(설정!$A$58,K752))),설정!$B$58,IF(AND(설정!$A$59&lt;&gt;"",ISNUMBER(SEARCH(설정!$A$59,K752))),설정!$B$59,IF(AND(설정!$A$60&lt;&gt;"",ISNUMBER(SEARCH(설정!$A$60,K752))),설정!$B$60,IF(AND(설정!$A$61&lt;&gt;"",ISNUMBER(SEARCH(설정!$A$61,K752))),설정!$B$61,IF(M752="","설계사","시공사"))))))))),"")</f>
        <v/>
      </c>
      <c r="V752">
        <f>SUBSTITUTE(SUBSTITUTE(SUBSTITUTE(SUBSTITUTE(G752,"(주)",""),"㈜",""),"주식회사","")," ","")</f>
        <v/>
      </c>
      <c r="W752">
        <f>IF(AND(T752,V752&lt;&gt;""),IF(COUNTIFS(V$2:V752,V752,T$2:T752,TRUE)=1,MAX(W$1:W751)+1,""),"")</f>
        <v/>
      </c>
      <c r="X752">
        <f>IF(설정!$C$14="","",IFERROR(INDEX('1.산군_붙여넣기'!$A$1:$AZ$1001,ROW(),설정!$C$14)&amp;"",""))</f>
        <v/>
      </c>
      <c r="Y752">
        <f>IF(설정!$C$15="","",IFERROR(INDEX('1.산군_붙여넣기'!$A$1:$AZ$1001,ROW(),설정!$C$15)&amp;"",""))</f>
        <v/>
      </c>
      <c r="Z752">
        <f>IF(T752,V752&amp;"|"&amp;U752,"")</f>
        <v/>
      </c>
      <c r="AA752">
        <f>IF(NOT(Q752),"",IF(NOT(AND(R752,S752)),"✕",IF(OR(OR(AND(L752&lt;&gt;"",M752&lt;&gt;"",N(M752)-N(L752)&gt;설정!$B$27),AND(L752&lt;&gt;"",M752="",설정!$B$24-N(L752)&gt;설정!$B$27)),AND(D752&lt;&gt;"",D752&lt;설정!$B$26)),"△","★")))</f>
        <v/>
      </c>
      <c r="AB752">
        <f>IF(NOT(T752),"",IF(U752="설계사",설정!$B$31,IF(U752="시공사",IF(OR(M752="",설정!$B$24-N(M752)&lt;=설정!$B$28*30.4),설정!$B$32,설정!$B$33),설정!$B$34))+IF(AA752="★",설정!$B$35,0))</f>
        <v/>
      </c>
      <c r="AC752">
        <f>SUBSTITUTE(SUBSTITUTE(SUBSTITUTE(SUBSTITUTE(H752,"(주)",""),"㈜",""),"주식회사","")," ","")</f>
        <v/>
      </c>
      <c r="AD752">
        <f>IF(AND(T752,AC752&lt;&gt;""),IF(COUNTIFS(AC$2:AC752,AC752,T$2:T752,TRUE)=1,MAX(AD$1:AD751)+1,""),"")</f>
        <v/>
      </c>
    </row>
    <row r="753">
      <c r="A753">
        <f>ROW()</f>
        <v/>
      </c>
      <c r="B753">
        <f>IF(설정!$C$4="","",IFERROR(INDEX('1.산군_붙여넣기'!$A$1:$AZ$1001,ROW(),설정!$C$4)&amp;"",""))</f>
        <v/>
      </c>
      <c r="C753">
        <f>IF(설정!$C$5="","",IFERROR(INDEX('1.산군_붙여넣기'!$A$1:$AZ$1001,ROW(),설정!$C$5)&amp;"",""))</f>
        <v/>
      </c>
      <c r="D753" s="5">
        <f>IFERROR(VALUE(SUBSTITUTE(SUBSTITUTE(SUBSTITUTE(IF(설정!$C$6="","",IFERROR(INDEX('1.산군_붙여넣기'!$A$1:$AZ$1001,ROW(),설정!$C$6)&amp;"","")),",",""),"㎡",""),"m2","")),"")</f>
        <v/>
      </c>
      <c r="E753">
        <f>IF(설정!$C$7="","",IFERROR(INDEX('1.산군_붙여넣기'!$A$1:$AZ$1001,ROW(),설정!$C$7)&amp;"",""))</f>
        <v/>
      </c>
      <c r="F753">
        <f>IF(설정!$C$8="","",IFERROR(INDEX('1.산군_붙여넣기'!$A$1:$AZ$1001,ROW(),설정!$C$8)&amp;"",""))</f>
        <v/>
      </c>
      <c r="G753">
        <f>IF(설정!$C$9="","",IFERROR(INDEX('1.산군_붙여넣기'!$A$1:$AZ$1001,ROW(),설정!$C$9)&amp;"",""))</f>
        <v/>
      </c>
      <c r="H753">
        <f>IF(설정!$C$10="","",IFERROR(INDEX('1.산군_붙여넣기'!$A$1:$AZ$1001,ROW(),설정!$C$10)&amp;"",""))</f>
        <v/>
      </c>
      <c r="I753">
        <f>IF(설정!$C$11="","",IFERROR(INDEX('1.산군_붙여넣기'!$A$1:$AZ$1001,ROW(),설정!$C$11)&amp;"",""))</f>
        <v/>
      </c>
      <c r="J753">
        <f>IF(설정!$C$12="","",IFERROR(INDEX('1.산군_붙여넣기'!$A$1:$AZ$1001,ROW(),설정!$C$12)&amp;"",""))</f>
        <v/>
      </c>
      <c r="K753">
        <f>IF(설정!$C$13="","",IFERROR(INDEX('1.산군_붙여넣기'!$A$1:$AZ$1001,ROW(),설정!$C$13)&amp;"",""))</f>
        <v/>
      </c>
      <c r="L753" s="7">
        <f>IF(X753="","",IF(AND(LEN(X753)=8,ISNUMBER(X753*1)),DATE(LEFT(X753,4),MID(X753,5,2),RIGHT(X753,2)),IFERROR(DATEVALUE(SUBSTITUTE(SUBSTITUTE(X753,".","-"),"/","-")),IFERROR(X753*1,""))))</f>
        <v/>
      </c>
      <c r="M753" s="7">
        <f>IF(Y753="","",IF(AND(LEN(Y753)=8,ISNUMBER(Y753*1)),DATE(LEFT(Y753,4),MID(Y753,5,2),RIGHT(Y753,2)),IFERROR(DATEVALUE(SUBSTITUTE(SUBSTITUTE(Y753,".","-"),"/","-")),IFERROR(Y753*1,""))))</f>
        <v/>
      </c>
      <c r="N753">
        <f>IFERROR(LEFT(B753,FIND(" ",B753)-1),B753)</f>
        <v/>
      </c>
      <c r="O753">
        <f>AND(B753&lt;&gt;"",B753&lt;&gt;설정!$B$4,C753&lt;&gt;설정!$B$5)</f>
        <v/>
      </c>
      <c r="P753">
        <f>IF(O753,B753&amp;"|"&amp;C753,"")</f>
        <v/>
      </c>
      <c r="Q753">
        <f>AND(O753,COUNTIF(P754:P$1002,P753)=0)</f>
        <v/>
      </c>
      <c r="R753">
        <f>OR(AND(설정!$A$42&lt;&gt;"",ISNUMBER(SEARCH(설정!$A$42,E753&amp;" "&amp;C753))),AND(설정!$A$43&lt;&gt;"",ISNUMBER(SEARCH(설정!$A$43,E753&amp;" "&amp;C753))),AND(설정!$A$44&lt;&gt;"",ISNUMBER(SEARCH(설정!$A$44,E753&amp;" "&amp;C753))),AND(설정!$A$45&lt;&gt;"",ISNUMBER(SEARCH(설정!$A$45,E753&amp;" "&amp;C753))),AND(설정!$A$46&lt;&gt;"",ISNUMBER(SEARCH(설정!$A$46,E753&amp;" "&amp;C753))),AND(설정!$A$47&lt;&gt;"",ISNUMBER(SEARCH(설정!$A$47,E753&amp;" "&amp;C753))),AND(설정!$A$48&lt;&gt;"",ISNUMBER(SEARCH(설정!$A$48,E753&amp;" "&amp;C753))),AND(설정!$A$49&lt;&gt;"",ISNUMBER(SEARCH(설정!$A$49,E753&amp;" "&amp;C753))),AND(설정!$A$50&lt;&gt;"",ISNUMBER(SEARCH(설정!$A$50,E753&amp;" "&amp;C753))),AND(설정!$A$51&lt;&gt;"",ISNUMBER(SEARCH(설정!$A$51,E753&amp;" "&amp;C753))))</f>
        <v/>
      </c>
      <c r="S753">
        <f>OR(D753="",D753&gt;=설정!$B$19)</f>
        <v/>
      </c>
      <c r="T753">
        <f>AND(Q753,R753,S753)</f>
        <v/>
      </c>
      <c r="U753">
        <f>IF(T753,IF(AND(설정!$A$54&lt;&gt;"",ISNUMBER(SEARCH(설정!$A$54,K753))),설정!$B$54,IF(AND(설정!$A$55&lt;&gt;"",ISNUMBER(SEARCH(설정!$A$55,K753))),설정!$B$55,IF(AND(설정!$A$56&lt;&gt;"",ISNUMBER(SEARCH(설정!$A$56,K753))),설정!$B$56,IF(AND(설정!$A$57&lt;&gt;"",ISNUMBER(SEARCH(설정!$A$57,K753))),설정!$B$57,IF(AND(설정!$A$58&lt;&gt;"",ISNUMBER(SEARCH(설정!$A$58,K753))),설정!$B$58,IF(AND(설정!$A$59&lt;&gt;"",ISNUMBER(SEARCH(설정!$A$59,K753))),설정!$B$59,IF(AND(설정!$A$60&lt;&gt;"",ISNUMBER(SEARCH(설정!$A$60,K753))),설정!$B$60,IF(AND(설정!$A$61&lt;&gt;"",ISNUMBER(SEARCH(설정!$A$61,K753))),설정!$B$61,IF(M753="","설계사","시공사"))))))))),"")</f>
        <v/>
      </c>
      <c r="V753">
        <f>SUBSTITUTE(SUBSTITUTE(SUBSTITUTE(SUBSTITUTE(G753,"(주)",""),"㈜",""),"주식회사","")," ","")</f>
        <v/>
      </c>
      <c r="W753">
        <f>IF(AND(T753,V753&lt;&gt;""),IF(COUNTIFS(V$2:V753,V753,T$2:T753,TRUE)=1,MAX(W$1:W752)+1,""),"")</f>
        <v/>
      </c>
      <c r="X753">
        <f>IF(설정!$C$14="","",IFERROR(INDEX('1.산군_붙여넣기'!$A$1:$AZ$1001,ROW(),설정!$C$14)&amp;"",""))</f>
        <v/>
      </c>
      <c r="Y753">
        <f>IF(설정!$C$15="","",IFERROR(INDEX('1.산군_붙여넣기'!$A$1:$AZ$1001,ROW(),설정!$C$15)&amp;"",""))</f>
        <v/>
      </c>
      <c r="Z753">
        <f>IF(T753,V753&amp;"|"&amp;U753,"")</f>
        <v/>
      </c>
      <c r="AA753">
        <f>IF(NOT(Q753),"",IF(NOT(AND(R753,S753)),"✕",IF(OR(OR(AND(L753&lt;&gt;"",M753&lt;&gt;"",N(M753)-N(L753)&gt;설정!$B$27),AND(L753&lt;&gt;"",M753="",설정!$B$24-N(L753)&gt;설정!$B$27)),AND(D753&lt;&gt;"",D753&lt;설정!$B$26)),"△","★")))</f>
        <v/>
      </c>
      <c r="AB753">
        <f>IF(NOT(T753),"",IF(U753="설계사",설정!$B$31,IF(U753="시공사",IF(OR(M753="",설정!$B$24-N(M753)&lt;=설정!$B$28*30.4),설정!$B$32,설정!$B$33),설정!$B$34))+IF(AA753="★",설정!$B$35,0))</f>
        <v/>
      </c>
      <c r="AC753">
        <f>SUBSTITUTE(SUBSTITUTE(SUBSTITUTE(SUBSTITUTE(H753,"(주)",""),"㈜",""),"주식회사","")," ","")</f>
        <v/>
      </c>
      <c r="AD753">
        <f>IF(AND(T753,AC753&lt;&gt;""),IF(COUNTIFS(AC$2:AC753,AC753,T$2:T753,TRUE)=1,MAX(AD$1:AD752)+1,""),"")</f>
        <v/>
      </c>
    </row>
    <row r="754">
      <c r="A754">
        <f>ROW()</f>
        <v/>
      </c>
      <c r="B754">
        <f>IF(설정!$C$4="","",IFERROR(INDEX('1.산군_붙여넣기'!$A$1:$AZ$1001,ROW(),설정!$C$4)&amp;"",""))</f>
        <v/>
      </c>
      <c r="C754">
        <f>IF(설정!$C$5="","",IFERROR(INDEX('1.산군_붙여넣기'!$A$1:$AZ$1001,ROW(),설정!$C$5)&amp;"",""))</f>
        <v/>
      </c>
      <c r="D754" s="5">
        <f>IFERROR(VALUE(SUBSTITUTE(SUBSTITUTE(SUBSTITUTE(IF(설정!$C$6="","",IFERROR(INDEX('1.산군_붙여넣기'!$A$1:$AZ$1001,ROW(),설정!$C$6)&amp;"","")),",",""),"㎡",""),"m2","")),"")</f>
        <v/>
      </c>
      <c r="E754">
        <f>IF(설정!$C$7="","",IFERROR(INDEX('1.산군_붙여넣기'!$A$1:$AZ$1001,ROW(),설정!$C$7)&amp;"",""))</f>
        <v/>
      </c>
      <c r="F754">
        <f>IF(설정!$C$8="","",IFERROR(INDEX('1.산군_붙여넣기'!$A$1:$AZ$1001,ROW(),설정!$C$8)&amp;"",""))</f>
        <v/>
      </c>
      <c r="G754">
        <f>IF(설정!$C$9="","",IFERROR(INDEX('1.산군_붙여넣기'!$A$1:$AZ$1001,ROW(),설정!$C$9)&amp;"",""))</f>
        <v/>
      </c>
      <c r="H754">
        <f>IF(설정!$C$10="","",IFERROR(INDEX('1.산군_붙여넣기'!$A$1:$AZ$1001,ROW(),설정!$C$10)&amp;"",""))</f>
        <v/>
      </c>
      <c r="I754">
        <f>IF(설정!$C$11="","",IFERROR(INDEX('1.산군_붙여넣기'!$A$1:$AZ$1001,ROW(),설정!$C$11)&amp;"",""))</f>
        <v/>
      </c>
      <c r="J754">
        <f>IF(설정!$C$12="","",IFERROR(INDEX('1.산군_붙여넣기'!$A$1:$AZ$1001,ROW(),설정!$C$12)&amp;"",""))</f>
        <v/>
      </c>
      <c r="K754">
        <f>IF(설정!$C$13="","",IFERROR(INDEX('1.산군_붙여넣기'!$A$1:$AZ$1001,ROW(),설정!$C$13)&amp;"",""))</f>
        <v/>
      </c>
      <c r="L754" s="7">
        <f>IF(X754="","",IF(AND(LEN(X754)=8,ISNUMBER(X754*1)),DATE(LEFT(X754,4),MID(X754,5,2),RIGHT(X754,2)),IFERROR(DATEVALUE(SUBSTITUTE(SUBSTITUTE(X754,".","-"),"/","-")),IFERROR(X754*1,""))))</f>
        <v/>
      </c>
      <c r="M754" s="7">
        <f>IF(Y754="","",IF(AND(LEN(Y754)=8,ISNUMBER(Y754*1)),DATE(LEFT(Y754,4),MID(Y754,5,2),RIGHT(Y754,2)),IFERROR(DATEVALUE(SUBSTITUTE(SUBSTITUTE(Y754,".","-"),"/","-")),IFERROR(Y754*1,""))))</f>
        <v/>
      </c>
      <c r="N754">
        <f>IFERROR(LEFT(B754,FIND(" ",B754)-1),B754)</f>
        <v/>
      </c>
      <c r="O754">
        <f>AND(B754&lt;&gt;"",B754&lt;&gt;설정!$B$4,C754&lt;&gt;설정!$B$5)</f>
        <v/>
      </c>
      <c r="P754">
        <f>IF(O754,B754&amp;"|"&amp;C754,"")</f>
        <v/>
      </c>
      <c r="Q754">
        <f>AND(O754,COUNTIF(P755:P$1002,P754)=0)</f>
        <v/>
      </c>
      <c r="R754">
        <f>OR(AND(설정!$A$42&lt;&gt;"",ISNUMBER(SEARCH(설정!$A$42,E754&amp;" "&amp;C754))),AND(설정!$A$43&lt;&gt;"",ISNUMBER(SEARCH(설정!$A$43,E754&amp;" "&amp;C754))),AND(설정!$A$44&lt;&gt;"",ISNUMBER(SEARCH(설정!$A$44,E754&amp;" "&amp;C754))),AND(설정!$A$45&lt;&gt;"",ISNUMBER(SEARCH(설정!$A$45,E754&amp;" "&amp;C754))),AND(설정!$A$46&lt;&gt;"",ISNUMBER(SEARCH(설정!$A$46,E754&amp;" "&amp;C754))),AND(설정!$A$47&lt;&gt;"",ISNUMBER(SEARCH(설정!$A$47,E754&amp;" "&amp;C754))),AND(설정!$A$48&lt;&gt;"",ISNUMBER(SEARCH(설정!$A$48,E754&amp;" "&amp;C754))),AND(설정!$A$49&lt;&gt;"",ISNUMBER(SEARCH(설정!$A$49,E754&amp;" "&amp;C754))),AND(설정!$A$50&lt;&gt;"",ISNUMBER(SEARCH(설정!$A$50,E754&amp;" "&amp;C754))),AND(설정!$A$51&lt;&gt;"",ISNUMBER(SEARCH(설정!$A$51,E754&amp;" "&amp;C754))))</f>
        <v/>
      </c>
      <c r="S754">
        <f>OR(D754="",D754&gt;=설정!$B$19)</f>
        <v/>
      </c>
      <c r="T754">
        <f>AND(Q754,R754,S754)</f>
        <v/>
      </c>
      <c r="U754">
        <f>IF(T754,IF(AND(설정!$A$54&lt;&gt;"",ISNUMBER(SEARCH(설정!$A$54,K754))),설정!$B$54,IF(AND(설정!$A$55&lt;&gt;"",ISNUMBER(SEARCH(설정!$A$55,K754))),설정!$B$55,IF(AND(설정!$A$56&lt;&gt;"",ISNUMBER(SEARCH(설정!$A$56,K754))),설정!$B$56,IF(AND(설정!$A$57&lt;&gt;"",ISNUMBER(SEARCH(설정!$A$57,K754))),설정!$B$57,IF(AND(설정!$A$58&lt;&gt;"",ISNUMBER(SEARCH(설정!$A$58,K754))),설정!$B$58,IF(AND(설정!$A$59&lt;&gt;"",ISNUMBER(SEARCH(설정!$A$59,K754))),설정!$B$59,IF(AND(설정!$A$60&lt;&gt;"",ISNUMBER(SEARCH(설정!$A$60,K754))),설정!$B$60,IF(AND(설정!$A$61&lt;&gt;"",ISNUMBER(SEARCH(설정!$A$61,K754))),설정!$B$61,IF(M754="","설계사","시공사"))))))))),"")</f>
        <v/>
      </c>
      <c r="V754">
        <f>SUBSTITUTE(SUBSTITUTE(SUBSTITUTE(SUBSTITUTE(G754,"(주)",""),"㈜",""),"주식회사","")," ","")</f>
        <v/>
      </c>
      <c r="W754">
        <f>IF(AND(T754,V754&lt;&gt;""),IF(COUNTIFS(V$2:V754,V754,T$2:T754,TRUE)=1,MAX(W$1:W753)+1,""),"")</f>
        <v/>
      </c>
      <c r="X754">
        <f>IF(설정!$C$14="","",IFERROR(INDEX('1.산군_붙여넣기'!$A$1:$AZ$1001,ROW(),설정!$C$14)&amp;"",""))</f>
        <v/>
      </c>
      <c r="Y754">
        <f>IF(설정!$C$15="","",IFERROR(INDEX('1.산군_붙여넣기'!$A$1:$AZ$1001,ROW(),설정!$C$15)&amp;"",""))</f>
        <v/>
      </c>
      <c r="Z754">
        <f>IF(T754,V754&amp;"|"&amp;U754,"")</f>
        <v/>
      </c>
      <c r="AA754">
        <f>IF(NOT(Q754),"",IF(NOT(AND(R754,S754)),"✕",IF(OR(OR(AND(L754&lt;&gt;"",M754&lt;&gt;"",N(M754)-N(L754)&gt;설정!$B$27),AND(L754&lt;&gt;"",M754="",설정!$B$24-N(L754)&gt;설정!$B$27)),AND(D754&lt;&gt;"",D754&lt;설정!$B$26)),"△","★")))</f>
        <v/>
      </c>
      <c r="AB754">
        <f>IF(NOT(T754),"",IF(U754="설계사",설정!$B$31,IF(U754="시공사",IF(OR(M754="",설정!$B$24-N(M754)&lt;=설정!$B$28*30.4),설정!$B$32,설정!$B$33),설정!$B$34))+IF(AA754="★",설정!$B$35,0))</f>
        <v/>
      </c>
      <c r="AC754">
        <f>SUBSTITUTE(SUBSTITUTE(SUBSTITUTE(SUBSTITUTE(H754,"(주)",""),"㈜",""),"주식회사","")," ","")</f>
        <v/>
      </c>
      <c r="AD754">
        <f>IF(AND(T754,AC754&lt;&gt;""),IF(COUNTIFS(AC$2:AC754,AC754,T$2:T754,TRUE)=1,MAX(AD$1:AD753)+1,""),"")</f>
        <v/>
      </c>
    </row>
    <row r="755">
      <c r="A755">
        <f>ROW()</f>
        <v/>
      </c>
      <c r="B755">
        <f>IF(설정!$C$4="","",IFERROR(INDEX('1.산군_붙여넣기'!$A$1:$AZ$1001,ROW(),설정!$C$4)&amp;"",""))</f>
        <v/>
      </c>
      <c r="C755">
        <f>IF(설정!$C$5="","",IFERROR(INDEX('1.산군_붙여넣기'!$A$1:$AZ$1001,ROW(),설정!$C$5)&amp;"",""))</f>
        <v/>
      </c>
      <c r="D755" s="5">
        <f>IFERROR(VALUE(SUBSTITUTE(SUBSTITUTE(SUBSTITUTE(IF(설정!$C$6="","",IFERROR(INDEX('1.산군_붙여넣기'!$A$1:$AZ$1001,ROW(),설정!$C$6)&amp;"","")),",",""),"㎡",""),"m2","")),"")</f>
        <v/>
      </c>
      <c r="E755">
        <f>IF(설정!$C$7="","",IFERROR(INDEX('1.산군_붙여넣기'!$A$1:$AZ$1001,ROW(),설정!$C$7)&amp;"",""))</f>
        <v/>
      </c>
      <c r="F755">
        <f>IF(설정!$C$8="","",IFERROR(INDEX('1.산군_붙여넣기'!$A$1:$AZ$1001,ROW(),설정!$C$8)&amp;"",""))</f>
        <v/>
      </c>
      <c r="G755">
        <f>IF(설정!$C$9="","",IFERROR(INDEX('1.산군_붙여넣기'!$A$1:$AZ$1001,ROW(),설정!$C$9)&amp;"",""))</f>
        <v/>
      </c>
      <c r="H755">
        <f>IF(설정!$C$10="","",IFERROR(INDEX('1.산군_붙여넣기'!$A$1:$AZ$1001,ROW(),설정!$C$10)&amp;"",""))</f>
        <v/>
      </c>
      <c r="I755">
        <f>IF(설정!$C$11="","",IFERROR(INDEX('1.산군_붙여넣기'!$A$1:$AZ$1001,ROW(),설정!$C$11)&amp;"",""))</f>
        <v/>
      </c>
      <c r="J755">
        <f>IF(설정!$C$12="","",IFERROR(INDEX('1.산군_붙여넣기'!$A$1:$AZ$1001,ROW(),설정!$C$12)&amp;"",""))</f>
        <v/>
      </c>
      <c r="K755">
        <f>IF(설정!$C$13="","",IFERROR(INDEX('1.산군_붙여넣기'!$A$1:$AZ$1001,ROW(),설정!$C$13)&amp;"",""))</f>
        <v/>
      </c>
      <c r="L755" s="7">
        <f>IF(X755="","",IF(AND(LEN(X755)=8,ISNUMBER(X755*1)),DATE(LEFT(X755,4),MID(X755,5,2),RIGHT(X755,2)),IFERROR(DATEVALUE(SUBSTITUTE(SUBSTITUTE(X755,".","-"),"/","-")),IFERROR(X755*1,""))))</f>
        <v/>
      </c>
      <c r="M755" s="7">
        <f>IF(Y755="","",IF(AND(LEN(Y755)=8,ISNUMBER(Y755*1)),DATE(LEFT(Y755,4),MID(Y755,5,2),RIGHT(Y755,2)),IFERROR(DATEVALUE(SUBSTITUTE(SUBSTITUTE(Y755,".","-"),"/","-")),IFERROR(Y755*1,""))))</f>
        <v/>
      </c>
      <c r="N755">
        <f>IFERROR(LEFT(B755,FIND(" ",B755)-1),B755)</f>
        <v/>
      </c>
      <c r="O755">
        <f>AND(B755&lt;&gt;"",B755&lt;&gt;설정!$B$4,C755&lt;&gt;설정!$B$5)</f>
        <v/>
      </c>
      <c r="P755">
        <f>IF(O755,B755&amp;"|"&amp;C755,"")</f>
        <v/>
      </c>
      <c r="Q755">
        <f>AND(O755,COUNTIF(P756:P$1002,P755)=0)</f>
        <v/>
      </c>
      <c r="R755">
        <f>OR(AND(설정!$A$42&lt;&gt;"",ISNUMBER(SEARCH(설정!$A$42,E755&amp;" "&amp;C755))),AND(설정!$A$43&lt;&gt;"",ISNUMBER(SEARCH(설정!$A$43,E755&amp;" "&amp;C755))),AND(설정!$A$44&lt;&gt;"",ISNUMBER(SEARCH(설정!$A$44,E755&amp;" "&amp;C755))),AND(설정!$A$45&lt;&gt;"",ISNUMBER(SEARCH(설정!$A$45,E755&amp;" "&amp;C755))),AND(설정!$A$46&lt;&gt;"",ISNUMBER(SEARCH(설정!$A$46,E755&amp;" "&amp;C755))),AND(설정!$A$47&lt;&gt;"",ISNUMBER(SEARCH(설정!$A$47,E755&amp;" "&amp;C755))),AND(설정!$A$48&lt;&gt;"",ISNUMBER(SEARCH(설정!$A$48,E755&amp;" "&amp;C755))),AND(설정!$A$49&lt;&gt;"",ISNUMBER(SEARCH(설정!$A$49,E755&amp;" "&amp;C755))),AND(설정!$A$50&lt;&gt;"",ISNUMBER(SEARCH(설정!$A$50,E755&amp;" "&amp;C755))),AND(설정!$A$51&lt;&gt;"",ISNUMBER(SEARCH(설정!$A$51,E755&amp;" "&amp;C755))))</f>
        <v/>
      </c>
      <c r="S755">
        <f>OR(D755="",D755&gt;=설정!$B$19)</f>
        <v/>
      </c>
      <c r="T755">
        <f>AND(Q755,R755,S755)</f>
        <v/>
      </c>
      <c r="U755">
        <f>IF(T755,IF(AND(설정!$A$54&lt;&gt;"",ISNUMBER(SEARCH(설정!$A$54,K755))),설정!$B$54,IF(AND(설정!$A$55&lt;&gt;"",ISNUMBER(SEARCH(설정!$A$55,K755))),설정!$B$55,IF(AND(설정!$A$56&lt;&gt;"",ISNUMBER(SEARCH(설정!$A$56,K755))),설정!$B$56,IF(AND(설정!$A$57&lt;&gt;"",ISNUMBER(SEARCH(설정!$A$57,K755))),설정!$B$57,IF(AND(설정!$A$58&lt;&gt;"",ISNUMBER(SEARCH(설정!$A$58,K755))),설정!$B$58,IF(AND(설정!$A$59&lt;&gt;"",ISNUMBER(SEARCH(설정!$A$59,K755))),설정!$B$59,IF(AND(설정!$A$60&lt;&gt;"",ISNUMBER(SEARCH(설정!$A$60,K755))),설정!$B$60,IF(AND(설정!$A$61&lt;&gt;"",ISNUMBER(SEARCH(설정!$A$61,K755))),설정!$B$61,IF(M755="","설계사","시공사"))))))))),"")</f>
        <v/>
      </c>
      <c r="V755">
        <f>SUBSTITUTE(SUBSTITUTE(SUBSTITUTE(SUBSTITUTE(G755,"(주)",""),"㈜",""),"주식회사","")," ","")</f>
        <v/>
      </c>
      <c r="W755">
        <f>IF(AND(T755,V755&lt;&gt;""),IF(COUNTIFS(V$2:V755,V755,T$2:T755,TRUE)=1,MAX(W$1:W754)+1,""),"")</f>
        <v/>
      </c>
      <c r="X755">
        <f>IF(설정!$C$14="","",IFERROR(INDEX('1.산군_붙여넣기'!$A$1:$AZ$1001,ROW(),설정!$C$14)&amp;"",""))</f>
        <v/>
      </c>
      <c r="Y755">
        <f>IF(설정!$C$15="","",IFERROR(INDEX('1.산군_붙여넣기'!$A$1:$AZ$1001,ROW(),설정!$C$15)&amp;"",""))</f>
        <v/>
      </c>
      <c r="Z755">
        <f>IF(T755,V755&amp;"|"&amp;U755,"")</f>
        <v/>
      </c>
      <c r="AA755">
        <f>IF(NOT(Q755),"",IF(NOT(AND(R755,S755)),"✕",IF(OR(OR(AND(L755&lt;&gt;"",M755&lt;&gt;"",N(M755)-N(L755)&gt;설정!$B$27),AND(L755&lt;&gt;"",M755="",설정!$B$24-N(L755)&gt;설정!$B$27)),AND(D755&lt;&gt;"",D755&lt;설정!$B$26)),"△","★")))</f>
        <v/>
      </c>
      <c r="AB755">
        <f>IF(NOT(T755),"",IF(U755="설계사",설정!$B$31,IF(U755="시공사",IF(OR(M755="",설정!$B$24-N(M755)&lt;=설정!$B$28*30.4),설정!$B$32,설정!$B$33),설정!$B$34))+IF(AA755="★",설정!$B$35,0))</f>
        <v/>
      </c>
      <c r="AC755">
        <f>SUBSTITUTE(SUBSTITUTE(SUBSTITUTE(SUBSTITUTE(H755,"(주)",""),"㈜",""),"주식회사","")," ","")</f>
        <v/>
      </c>
      <c r="AD755">
        <f>IF(AND(T755,AC755&lt;&gt;""),IF(COUNTIFS(AC$2:AC755,AC755,T$2:T755,TRUE)=1,MAX(AD$1:AD754)+1,""),"")</f>
        <v/>
      </c>
    </row>
    <row r="756">
      <c r="A756">
        <f>ROW()</f>
        <v/>
      </c>
      <c r="B756">
        <f>IF(설정!$C$4="","",IFERROR(INDEX('1.산군_붙여넣기'!$A$1:$AZ$1001,ROW(),설정!$C$4)&amp;"",""))</f>
        <v/>
      </c>
      <c r="C756">
        <f>IF(설정!$C$5="","",IFERROR(INDEX('1.산군_붙여넣기'!$A$1:$AZ$1001,ROW(),설정!$C$5)&amp;"",""))</f>
        <v/>
      </c>
      <c r="D756" s="5">
        <f>IFERROR(VALUE(SUBSTITUTE(SUBSTITUTE(SUBSTITUTE(IF(설정!$C$6="","",IFERROR(INDEX('1.산군_붙여넣기'!$A$1:$AZ$1001,ROW(),설정!$C$6)&amp;"","")),",",""),"㎡",""),"m2","")),"")</f>
        <v/>
      </c>
      <c r="E756">
        <f>IF(설정!$C$7="","",IFERROR(INDEX('1.산군_붙여넣기'!$A$1:$AZ$1001,ROW(),설정!$C$7)&amp;"",""))</f>
        <v/>
      </c>
      <c r="F756">
        <f>IF(설정!$C$8="","",IFERROR(INDEX('1.산군_붙여넣기'!$A$1:$AZ$1001,ROW(),설정!$C$8)&amp;"",""))</f>
        <v/>
      </c>
      <c r="G756">
        <f>IF(설정!$C$9="","",IFERROR(INDEX('1.산군_붙여넣기'!$A$1:$AZ$1001,ROW(),설정!$C$9)&amp;"",""))</f>
        <v/>
      </c>
      <c r="H756">
        <f>IF(설정!$C$10="","",IFERROR(INDEX('1.산군_붙여넣기'!$A$1:$AZ$1001,ROW(),설정!$C$10)&amp;"",""))</f>
        <v/>
      </c>
      <c r="I756">
        <f>IF(설정!$C$11="","",IFERROR(INDEX('1.산군_붙여넣기'!$A$1:$AZ$1001,ROW(),설정!$C$11)&amp;"",""))</f>
        <v/>
      </c>
      <c r="J756">
        <f>IF(설정!$C$12="","",IFERROR(INDEX('1.산군_붙여넣기'!$A$1:$AZ$1001,ROW(),설정!$C$12)&amp;"",""))</f>
        <v/>
      </c>
      <c r="K756">
        <f>IF(설정!$C$13="","",IFERROR(INDEX('1.산군_붙여넣기'!$A$1:$AZ$1001,ROW(),설정!$C$13)&amp;"",""))</f>
        <v/>
      </c>
      <c r="L756" s="7">
        <f>IF(X756="","",IF(AND(LEN(X756)=8,ISNUMBER(X756*1)),DATE(LEFT(X756,4),MID(X756,5,2),RIGHT(X756,2)),IFERROR(DATEVALUE(SUBSTITUTE(SUBSTITUTE(X756,".","-"),"/","-")),IFERROR(X756*1,""))))</f>
        <v/>
      </c>
      <c r="M756" s="7">
        <f>IF(Y756="","",IF(AND(LEN(Y756)=8,ISNUMBER(Y756*1)),DATE(LEFT(Y756,4),MID(Y756,5,2),RIGHT(Y756,2)),IFERROR(DATEVALUE(SUBSTITUTE(SUBSTITUTE(Y756,".","-"),"/","-")),IFERROR(Y756*1,""))))</f>
        <v/>
      </c>
      <c r="N756">
        <f>IFERROR(LEFT(B756,FIND(" ",B756)-1),B756)</f>
        <v/>
      </c>
      <c r="O756">
        <f>AND(B756&lt;&gt;"",B756&lt;&gt;설정!$B$4,C756&lt;&gt;설정!$B$5)</f>
        <v/>
      </c>
      <c r="P756">
        <f>IF(O756,B756&amp;"|"&amp;C756,"")</f>
        <v/>
      </c>
      <c r="Q756">
        <f>AND(O756,COUNTIF(P757:P$1002,P756)=0)</f>
        <v/>
      </c>
      <c r="R756">
        <f>OR(AND(설정!$A$42&lt;&gt;"",ISNUMBER(SEARCH(설정!$A$42,E756&amp;" "&amp;C756))),AND(설정!$A$43&lt;&gt;"",ISNUMBER(SEARCH(설정!$A$43,E756&amp;" "&amp;C756))),AND(설정!$A$44&lt;&gt;"",ISNUMBER(SEARCH(설정!$A$44,E756&amp;" "&amp;C756))),AND(설정!$A$45&lt;&gt;"",ISNUMBER(SEARCH(설정!$A$45,E756&amp;" "&amp;C756))),AND(설정!$A$46&lt;&gt;"",ISNUMBER(SEARCH(설정!$A$46,E756&amp;" "&amp;C756))),AND(설정!$A$47&lt;&gt;"",ISNUMBER(SEARCH(설정!$A$47,E756&amp;" "&amp;C756))),AND(설정!$A$48&lt;&gt;"",ISNUMBER(SEARCH(설정!$A$48,E756&amp;" "&amp;C756))),AND(설정!$A$49&lt;&gt;"",ISNUMBER(SEARCH(설정!$A$49,E756&amp;" "&amp;C756))),AND(설정!$A$50&lt;&gt;"",ISNUMBER(SEARCH(설정!$A$50,E756&amp;" "&amp;C756))),AND(설정!$A$51&lt;&gt;"",ISNUMBER(SEARCH(설정!$A$51,E756&amp;" "&amp;C756))))</f>
        <v/>
      </c>
      <c r="S756">
        <f>OR(D756="",D756&gt;=설정!$B$19)</f>
        <v/>
      </c>
      <c r="T756">
        <f>AND(Q756,R756,S756)</f>
        <v/>
      </c>
      <c r="U756">
        <f>IF(T756,IF(AND(설정!$A$54&lt;&gt;"",ISNUMBER(SEARCH(설정!$A$54,K756))),설정!$B$54,IF(AND(설정!$A$55&lt;&gt;"",ISNUMBER(SEARCH(설정!$A$55,K756))),설정!$B$55,IF(AND(설정!$A$56&lt;&gt;"",ISNUMBER(SEARCH(설정!$A$56,K756))),설정!$B$56,IF(AND(설정!$A$57&lt;&gt;"",ISNUMBER(SEARCH(설정!$A$57,K756))),설정!$B$57,IF(AND(설정!$A$58&lt;&gt;"",ISNUMBER(SEARCH(설정!$A$58,K756))),설정!$B$58,IF(AND(설정!$A$59&lt;&gt;"",ISNUMBER(SEARCH(설정!$A$59,K756))),설정!$B$59,IF(AND(설정!$A$60&lt;&gt;"",ISNUMBER(SEARCH(설정!$A$60,K756))),설정!$B$60,IF(AND(설정!$A$61&lt;&gt;"",ISNUMBER(SEARCH(설정!$A$61,K756))),설정!$B$61,IF(M756="","설계사","시공사"))))))))),"")</f>
        <v/>
      </c>
      <c r="V756">
        <f>SUBSTITUTE(SUBSTITUTE(SUBSTITUTE(SUBSTITUTE(G756,"(주)",""),"㈜",""),"주식회사","")," ","")</f>
        <v/>
      </c>
      <c r="W756">
        <f>IF(AND(T756,V756&lt;&gt;""),IF(COUNTIFS(V$2:V756,V756,T$2:T756,TRUE)=1,MAX(W$1:W755)+1,""),"")</f>
        <v/>
      </c>
      <c r="X756">
        <f>IF(설정!$C$14="","",IFERROR(INDEX('1.산군_붙여넣기'!$A$1:$AZ$1001,ROW(),설정!$C$14)&amp;"",""))</f>
        <v/>
      </c>
      <c r="Y756">
        <f>IF(설정!$C$15="","",IFERROR(INDEX('1.산군_붙여넣기'!$A$1:$AZ$1001,ROW(),설정!$C$15)&amp;"",""))</f>
        <v/>
      </c>
      <c r="Z756">
        <f>IF(T756,V756&amp;"|"&amp;U756,"")</f>
        <v/>
      </c>
      <c r="AA756">
        <f>IF(NOT(Q756),"",IF(NOT(AND(R756,S756)),"✕",IF(OR(OR(AND(L756&lt;&gt;"",M756&lt;&gt;"",N(M756)-N(L756)&gt;설정!$B$27),AND(L756&lt;&gt;"",M756="",설정!$B$24-N(L756)&gt;설정!$B$27)),AND(D756&lt;&gt;"",D756&lt;설정!$B$26)),"△","★")))</f>
        <v/>
      </c>
      <c r="AB756">
        <f>IF(NOT(T756),"",IF(U756="설계사",설정!$B$31,IF(U756="시공사",IF(OR(M756="",설정!$B$24-N(M756)&lt;=설정!$B$28*30.4),설정!$B$32,설정!$B$33),설정!$B$34))+IF(AA756="★",설정!$B$35,0))</f>
        <v/>
      </c>
      <c r="AC756">
        <f>SUBSTITUTE(SUBSTITUTE(SUBSTITUTE(SUBSTITUTE(H756,"(주)",""),"㈜",""),"주식회사","")," ","")</f>
        <v/>
      </c>
      <c r="AD756">
        <f>IF(AND(T756,AC756&lt;&gt;""),IF(COUNTIFS(AC$2:AC756,AC756,T$2:T756,TRUE)=1,MAX(AD$1:AD755)+1,""),"")</f>
        <v/>
      </c>
    </row>
    <row r="757">
      <c r="A757">
        <f>ROW()</f>
        <v/>
      </c>
      <c r="B757">
        <f>IF(설정!$C$4="","",IFERROR(INDEX('1.산군_붙여넣기'!$A$1:$AZ$1001,ROW(),설정!$C$4)&amp;"",""))</f>
        <v/>
      </c>
      <c r="C757">
        <f>IF(설정!$C$5="","",IFERROR(INDEX('1.산군_붙여넣기'!$A$1:$AZ$1001,ROW(),설정!$C$5)&amp;"",""))</f>
        <v/>
      </c>
      <c r="D757" s="5">
        <f>IFERROR(VALUE(SUBSTITUTE(SUBSTITUTE(SUBSTITUTE(IF(설정!$C$6="","",IFERROR(INDEX('1.산군_붙여넣기'!$A$1:$AZ$1001,ROW(),설정!$C$6)&amp;"","")),",",""),"㎡",""),"m2","")),"")</f>
        <v/>
      </c>
      <c r="E757">
        <f>IF(설정!$C$7="","",IFERROR(INDEX('1.산군_붙여넣기'!$A$1:$AZ$1001,ROW(),설정!$C$7)&amp;"",""))</f>
        <v/>
      </c>
      <c r="F757">
        <f>IF(설정!$C$8="","",IFERROR(INDEX('1.산군_붙여넣기'!$A$1:$AZ$1001,ROW(),설정!$C$8)&amp;"",""))</f>
        <v/>
      </c>
      <c r="G757">
        <f>IF(설정!$C$9="","",IFERROR(INDEX('1.산군_붙여넣기'!$A$1:$AZ$1001,ROW(),설정!$C$9)&amp;"",""))</f>
        <v/>
      </c>
      <c r="H757">
        <f>IF(설정!$C$10="","",IFERROR(INDEX('1.산군_붙여넣기'!$A$1:$AZ$1001,ROW(),설정!$C$10)&amp;"",""))</f>
        <v/>
      </c>
      <c r="I757">
        <f>IF(설정!$C$11="","",IFERROR(INDEX('1.산군_붙여넣기'!$A$1:$AZ$1001,ROW(),설정!$C$11)&amp;"",""))</f>
        <v/>
      </c>
      <c r="J757">
        <f>IF(설정!$C$12="","",IFERROR(INDEX('1.산군_붙여넣기'!$A$1:$AZ$1001,ROW(),설정!$C$12)&amp;"",""))</f>
        <v/>
      </c>
      <c r="K757">
        <f>IF(설정!$C$13="","",IFERROR(INDEX('1.산군_붙여넣기'!$A$1:$AZ$1001,ROW(),설정!$C$13)&amp;"",""))</f>
        <v/>
      </c>
      <c r="L757" s="7">
        <f>IF(X757="","",IF(AND(LEN(X757)=8,ISNUMBER(X757*1)),DATE(LEFT(X757,4),MID(X757,5,2),RIGHT(X757,2)),IFERROR(DATEVALUE(SUBSTITUTE(SUBSTITUTE(X757,".","-"),"/","-")),IFERROR(X757*1,""))))</f>
        <v/>
      </c>
      <c r="M757" s="7">
        <f>IF(Y757="","",IF(AND(LEN(Y757)=8,ISNUMBER(Y757*1)),DATE(LEFT(Y757,4),MID(Y757,5,2),RIGHT(Y757,2)),IFERROR(DATEVALUE(SUBSTITUTE(SUBSTITUTE(Y757,".","-"),"/","-")),IFERROR(Y757*1,""))))</f>
        <v/>
      </c>
      <c r="N757">
        <f>IFERROR(LEFT(B757,FIND(" ",B757)-1),B757)</f>
        <v/>
      </c>
      <c r="O757">
        <f>AND(B757&lt;&gt;"",B757&lt;&gt;설정!$B$4,C757&lt;&gt;설정!$B$5)</f>
        <v/>
      </c>
      <c r="P757">
        <f>IF(O757,B757&amp;"|"&amp;C757,"")</f>
        <v/>
      </c>
      <c r="Q757">
        <f>AND(O757,COUNTIF(P758:P$1002,P757)=0)</f>
        <v/>
      </c>
      <c r="R757">
        <f>OR(AND(설정!$A$42&lt;&gt;"",ISNUMBER(SEARCH(설정!$A$42,E757&amp;" "&amp;C757))),AND(설정!$A$43&lt;&gt;"",ISNUMBER(SEARCH(설정!$A$43,E757&amp;" "&amp;C757))),AND(설정!$A$44&lt;&gt;"",ISNUMBER(SEARCH(설정!$A$44,E757&amp;" "&amp;C757))),AND(설정!$A$45&lt;&gt;"",ISNUMBER(SEARCH(설정!$A$45,E757&amp;" "&amp;C757))),AND(설정!$A$46&lt;&gt;"",ISNUMBER(SEARCH(설정!$A$46,E757&amp;" "&amp;C757))),AND(설정!$A$47&lt;&gt;"",ISNUMBER(SEARCH(설정!$A$47,E757&amp;" "&amp;C757))),AND(설정!$A$48&lt;&gt;"",ISNUMBER(SEARCH(설정!$A$48,E757&amp;" "&amp;C757))),AND(설정!$A$49&lt;&gt;"",ISNUMBER(SEARCH(설정!$A$49,E757&amp;" "&amp;C757))),AND(설정!$A$50&lt;&gt;"",ISNUMBER(SEARCH(설정!$A$50,E757&amp;" "&amp;C757))),AND(설정!$A$51&lt;&gt;"",ISNUMBER(SEARCH(설정!$A$51,E757&amp;" "&amp;C757))))</f>
        <v/>
      </c>
      <c r="S757">
        <f>OR(D757="",D757&gt;=설정!$B$19)</f>
        <v/>
      </c>
      <c r="T757">
        <f>AND(Q757,R757,S757)</f>
        <v/>
      </c>
      <c r="U757">
        <f>IF(T757,IF(AND(설정!$A$54&lt;&gt;"",ISNUMBER(SEARCH(설정!$A$54,K757))),설정!$B$54,IF(AND(설정!$A$55&lt;&gt;"",ISNUMBER(SEARCH(설정!$A$55,K757))),설정!$B$55,IF(AND(설정!$A$56&lt;&gt;"",ISNUMBER(SEARCH(설정!$A$56,K757))),설정!$B$56,IF(AND(설정!$A$57&lt;&gt;"",ISNUMBER(SEARCH(설정!$A$57,K757))),설정!$B$57,IF(AND(설정!$A$58&lt;&gt;"",ISNUMBER(SEARCH(설정!$A$58,K757))),설정!$B$58,IF(AND(설정!$A$59&lt;&gt;"",ISNUMBER(SEARCH(설정!$A$59,K757))),설정!$B$59,IF(AND(설정!$A$60&lt;&gt;"",ISNUMBER(SEARCH(설정!$A$60,K757))),설정!$B$60,IF(AND(설정!$A$61&lt;&gt;"",ISNUMBER(SEARCH(설정!$A$61,K757))),설정!$B$61,IF(M757="","설계사","시공사"))))))))),"")</f>
        <v/>
      </c>
      <c r="V757">
        <f>SUBSTITUTE(SUBSTITUTE(SUBSTITUTE(SUBSTITUTE(G757,"(주)",""),"㈜",""),"주식회사","")," ","")</f>
        <v/>
      </c>
      <c r="W757">
        <f>IF(AND(T757,V757&lt;&gt;""),IF(COUNTIFS(V$2:V757,V757,T$2:T757,TRUE)=1,MAX(W$1:W756)+1,""),"")</f>
        <v/>
      </c>
      <c r="X757">
        <f>IF(설정!$C$14="","",IFERROR(INDEX('1.산군_붙여넣기'!$A$1:$AZ$1001,ROW(),설정!$C$14)&amp;"",""))</f>
        <v/>
      </c>
      <c r="Y757">
        <f>IF(설정!$C$15="","",IFERROR(INDEX('1.산군_붙여넣기'!$A$1:$AZ$1001,ROW(),설정!$C$15)&amp;"",""))</f>
        <v/>
      </c>
      <c r="Z757">
        <f>IF(T757,V757&amp;"|"&amp;U757,"")</f>
        <v/>
      </c>
      <c r="AA757">
        <f>IF(NOT(Q757),"",IF(NOT(AND(R757,S757)),"✕",IF(OR(OR(AND(L757&lt;&gt;"",M757&lt;&gt;"",N(M757)-N(L757)&gt;설정!$B$27),AND(L757&lt;&gt;"",M757="",설정!$B$24-N(L757)&gt;설정!$B$27)),AND(D757&lt;&gt;"",D757&lt;설정!$B$26)),"△","★")))</f>
        <v/>
      </c>
      <c r="AB757">
        <f>IF(NOT(T757),"",IF(U757="설계사",설정!$B$31,IF(U757="시공사",IF(OR(M757="",설정!$B$24-N(M757)&lt;=설정!$B$28*30.4),설정!$B$32,설정!$B$33),설정!$B$34))+IF(AA757="★",설정!$B$35,0))</f>
        <v/>
      </c>
      <c r="AC757">
        <f>SUBSTITUTE(SUBSTITUTE(SUBSTITUTE(SUBSTITUTE(H757,"(주)",""),"㈜",""),"주식회사","")," ","")</f>
        <v/>
      </c>
      <c r="AD757">
        <f>IF(AND(T757,AC757&lt;&gt;""),IF(COUNTIFS(AC$2:AC757,AC757,T$2:T757,TRUE)=1,MAX(AD$1:AD756)+1,""),"")</f>
        <v/>
      </c>
    </row>
    <row r="758">
      <c r="A758">
        <f>ROW()</f>
        <v/>
      </c>
      <c r="B758">
        <f>IF(설정!$C$4="","",IFERROR(INDEX('1.산군_붙여넣기'!$A$1:$AZ$1001,ROW(),설정!$C$4)&amp;"",""))</f>
        <v/>
      </c>
      <c r="C758">
        <f>IF(설정!$C$5="","",IFERROR(INDEX('1.산군_붙여넣기'!$A$1:$AZ$1001,ROW(),설정!$C$5)&amp;"",""))</f>
        <v/>
      </c>
      <c r="D758" s="5">
        <f>IFERROR(VALUE(SUBSTITUTE(SUBSTITUTE(SUBSTITUTE(IF(설정!$C$6="","",IFERROR(INDEX('1.산군_붙여넣기'!$A$1:$AZ$1001,ROW(),설정!$C$6)&amp;"","")),",",""),"㎡",""),"m2","")),"")</f>
        <v/>
      </c>
      <c r="E758">
        <f>IF(설정!$C$7="","",IFERROR(INDEX('1.산군_붙여넣기'!$A$1:$AZ$1001,ROW(),설정!$C$7)&amp;"",""))</f>
        <v/>
      </c>
      <c r="F758">
        <f>IF(설정!$C$8="","",IFERROR(INDEX('1.산군_붙여넣기'!$A$1:$AZ$1001,ROW(),설정!$C$8)&amp;"",""))</f>
        <v/>
      </c>
      <c r="G758">
        <f>IF(설정!$C$9="","",IFERROR(INDEX('1.산군_붙여넣기'!$A$1:$AZ$1001,ROW(),설정!$C$9)&amp;"",""))</f>
        <v/>
      </c>
      <c r="H758">
        <f>IF(설정!$C$10="","",IFERROR(INDEX('1.산군_붙여넣기'!$A$1:$AZ$1001,ROW(),설정!$C$10)&amp;"",""))</f>
        <v/>
      </c>
      <c r="I758">
        <f>IF(설정!$C$11="","",IFERROR(INDEX('1.산군_붙여넣기'!$A$1:$AZ$1001,ROW(),설정!$C$11)&amp;"",""))</f>
        <v/>
      </c>
      <c r="J758">
        <f>IF(설정!$C$12="","",IFERROR(INDEX('1.산군_붙여넣기'!$A$1:$AZ$1001,ROW(),설정!$C$12)&amp;"",""))</f>
        <v/>
      </c>
      <c r="K758">
        <f>IF(설정!$C$13="","",IFERROR(INDEX('1.산군_붙여넣기'!$A$1:$AZ$1001,ROW(),설정!$C$13)&amp;"",""))</f>
        <v/>
      </c>
      <c r="L758" s="7">
        <f>IF(X758="","",IF(AND(LEN(X758)=8,ISNUMBER(X758*1)),DATE(LEFT(X758,4),MID(X758,5,2),RIGHT(X758,2)),IFERROR(DATEVALUE(SUBSTITUTE(SUBSTITUTE(X758,".","-"),"/","-")),IFERROR(X758*1,""))))</f>
        <v/>
      </c>
      <c r="M758" s="7">
        <f>IF(Y758="","",IF(AND(LEN(Y758)=8,ISNUMBER(Y758*1)),DATE(LEFT(Y758,4),MID(Y758,5,2),RIGHT(Y758,2)),IFERROR(DATEVALUE(SUBSTITUTE(SUBSTITUTE(Y758,".","-"),"/","-")),IFERROR(Y758*1,""))))</f>
        <v/>
      </c>
      <c r="N758">
        <f>IFERROR(LEFT(B758,FIND(" ",B758)-1),B758)</f>
        <v/>
      </c>
      <c r="O758">
        <f>AND(B758&lt;&gt;"",B758&lt;&gt;설정!$B$4,C758&lt;&gt;설정!$B$5)</f>
        <v/>
      </c>
      <c r="P758">
        <f>IF(O758,B758&amp;"|"&amp;C758,"")</f>
        <v/>
      </c>
      <c r="Q758">
        <f>AND(O758,COUNTIF(P759:P$1002,P758)=0)</f>
        <v/>
      </c>
      <c r="R758">
        <f>OR(AND(설정!$A$42&lt;&gt;"",ISNUMBER(SEARCH(설정!$A$42,E758&amp;" "&amp;C758))),AND(설정!$A$43&lt;&gt;"",ISNUMBER(SEARCH(설정!$A$43,E758&amp;" "&amp;C758))),AND(설정!$A$44&lt;&gt;"",ISNUMBER(SEARCH(설정!$A$44,E758&amp;" "&amp;C758))),AND(설정!$A$45&lt;&gt;"",ISNUMBER(SEARCH(설정!$A$45,E758&amp;" "&amp;C758))),AND(설정!$A$46&lt;&gt;"",ISNUMBER(SEARCH(설정!$A$46,E758&amp;" "&amp;C758))),AND(설정!$A$47&lt;&gt;"",ISNUMBER(SEARCH(설정!$A$47,E758&amp;" "&amp;C758))),AND(설정!$A$48&lt;&gt;"",ISNUMBER(SEARCH(설정!$A$48,E758&amp;" "&amp;C758))),AND(설정!$A$49&lt;&gt;"",ISNUMBER(SEARCH(설정!$A$49,E758&amp;" "&amp;C758))),AND(설정!$A$50&lt;&gt;"",ISNUMBER(SEARCH(설정!$A$50,E758&amp;" "&amp;C758))),AND(설정!$A$51&lt;&gt;"",ISNUMBER(SEARCH(설정!$A$51,E758&amp;" "&amp;C758))))</f>
        <v/>
      </c>
      <c r="S758">
        <f>OR(D758="",D758&gt;=설정!$B$19)</f>
        <v/>
      </c>
      <c r="T758">
        <f>AND(Q758,R758,S758)</f>
        <v/>
      </c>
      <c r="U758">
        <f>IF(T758,IF(AND(설정!$A$54&lt;&gt;"",ISNUMBER(SEARCH(설정!$A$54,K758))),설정!$B$54,IF(AND(설정!$A$55&lt;&gt;"",ISNUMBER(SEARCH(설정!$A$55,K758))),설정!$B$55,IF(AND(설정!$A$56&lt;&gt;"",ISNUMBER(SEARCH(설정!$A$56,K758))),설정!$B$56,IF(AND(설정!$A$57&lt;&gt;"",ISNUMBER(SEARCH(설정!$A$57,K758))),설정!$B$57,IF(AND(설정!$A$58&lt;&gt;"",ISNUMBER(SEARCH(설정!$A$58,K758))),설정!$B$58,IF(AND(설정!$A$59&lt;&gt;"",ISNUMBER(SEARCH(설정!$A$59,K758))),설정!$B$59,IF(AND(설정!$A$60&lt;&gt;"",ISNUMBER(SEARCH(설정!$A$60,K758))),설정!$B$60,IF(AND(설정!$A$61&lt;&gt;"",ISNUMBER(SEARCH(설정!$A$61,K758))),설정!$B$61,IF(M758="","설계사","시공사"))))))))),"")</f>
        <v/>
      </c>
      <c r="V758">
        <f>SUBSTITUTE(SUBSTITUTE(SUBSTITUTE(SUBSTITUTE(G758,"(주)",""),"㈜",""),"주식회사","")," ","")</f>
        <v/>
      </c>
      <c r="W758">
        <f>IF(AND(T758,V758&lt;&gt;""),IF(COUNTIFS(V$2:V758,V758,T$2:T758,TRUE)=1,MAX(W$1:W757)+1,""),"")</f>
        <v/>
      </c>
      <c r="X758">
        <f>IF(설정!$C$14="","",IFERROR(INDEX('1.산군_붙여넣기'!$A$1:$AZ$1001,ROW(),설정!$C$14)&amp;"",""))</f>
        <v/>
      </c>
      <c r="Y758">
        <f>IF(설정!$C$15="","",IFERROR(INDEX('1.산군_붙여넣기'!$A$1:$AZ$1001,ROW(),설정!$C$15)&amp;"",""))</f>
        <v/>
      </c>
      <c r="Z758">
        <f>IF(T758,V758&amp;"|"&amp;U758,"")</f>
        <v/>
      </c>
      <c r="AA758">
        <f>IF(NOT(Q758),"",IF(NOT(AND(R758,S758)),"✕",IF(OR(OR(AND(L758&lt;&gt;"",M758&lt;&gt;"",N(M758)-N(L758)&gt;설정!$B$27),AND(L758&lt;&gt;"",M758="",설정!$B$24-N(L758)&gt;설정!$B$27)),AND(D758&lt;&gt;"",D758&lt;설정!$B$26)),"△","★")))</f>
        <v/>
      </c>
      <c r="AB758">
        <f>IF(NOT(T758),"",IF(U758="설계사",설정!$B$31,IF(U758="시공사",IF(OR(M758="",설정!$B$24-N(M758)&lt;=설정!$B$28*30.4),설정!$B$32,설정!$B$33),설정!$B$34))+IF(AA758="★",설정!$B$35,0))</f>
        <v/>
      </c>
      <c r="AC758">
        <f>SUBSTITUTE(SUBSTITUTE(SUBSTITUTE(SUBSTITUTE(H758,"(주)",""),"㈜",""),"주식회사","")," ","")</f>
        <v/>
      </c>
      <c r="AD758">
        <f>IF(AND(T758,AC758&lt;&gt;""),IF(COUNTIFS(AC$2:AC758,AC758,T$2:T758,TRUE)=1,MAX(AD$1:AD757)+1,""),"")</f>
        <v/>
      </c>
    </row>
    <row r="759">
      <c r="A759">
        <f>ROW()</f>
        <v/>
      </c>
      <c r="B759">
        <f>IF(설정!$C$4="","",IFERROR(INDEX('1.산군_붙여넣기'!$A$1:$AZ$1001,ROW(),설정!$C$4)&amp;"",""))</f>
        <v/>
      </c>
      <c r="C759">
        <f>IF(설정!$C$5="","",IFERROR(INDEX('1.산군_붙여넣기'!$A$1:$AZ$1001,ROW(),설정!$C$5)&amp;"",""))</f>
        <v/>
      </c>
      <c r="D759" s="5">
        <f>IFERROR(VALUE(SUBSTITUTE(SUBSTITUTE(SUBSTITUTE(IF(설정!$C$6="","",IFERROR(INDEX('1.산군_붙여넣기'!$A$1:$AZ$1001,ROW(),설정!$C$6)&amp;"","")),",",""),"㎡",""),"m2","")),"")</f>
        <v/>
      </c>
      <c r="E759">
        <f>IF(설정!$C$7="","",IFERROR(INDEX('1.산군_붙여넣기'!$A$1:$AZ$1001,ROW(),설정!$C$7)&amp;"",""))</f>
        <v/>
      </c>
      <c r="F759">
        <f>IF(설정!$C$8="","",IFERROR(INDEX('1.산군_붙여넣기'!$A$1:$AZ$1001,ROW(),설정!$C$8)&amp;"",""))</f>
        <v/>
      </c>
      <c r="G759">
        <f>IF(설정!$C$9="","",IFERROR(INDEX('1.산군_붙여넣기'!$A$1:$AZ$1001,ROW(),설정!$C$9)&amp;"",""))</f>
        <v/>
      </c>
      <c r="H759">
        <f>IF(설정!$C$10="","",IFERROR(INDEX('1.산군_붙여넣기'!$A$1:$AZ$1001,ROW(),설정!$C$10)&amp;"",""))</f>
        <v/>
      </c>
      <c r="I759">
        <f>IF(설정!$C$11="","",IFERROR(INDEX('1.산군_붙여넣기'!$A$1:$AZ$1001,ROW(),설정!$C$11)&amp;"",""))</f>
        <v/>
      </c>
      <c r="J759">
        <f>IF(설정!$C$12="","",IFERROR(INDEX('1.산군_붙여넣기'!$A$1:$AZ$1001,ROW(),설정!$C$12)&amp;"",""))</f>
        <v/>
      </c>
      <c r="K759">
        <f>IF(설정!$C$13="","",IFERROR(INDEX('1.산군_붙여넣기'!$A$1:$AZ$1001,ROW(),설정!$C$13)&amp;"",""))</f>
        <v/>
      </c>
      <c r="L759" s="7">
        <f>IF(X759="","",IF(AND(LEN(X759)=8,ISNUMBER(X759*1)),DATE(LEFT(X759,4),MID(X759,5,2),RIGHT(X759,2)),IFERROR(DATEVALUE(SUBSTITUTE(SUBSTITUTE(X759,".","-"),"/","-")),IFERROR(X759*1,""))))</f>
        <v/>
      </c>
      <c r="M759" s="7">
        <f>IF(Y759="","",IF(AND(LEN(Y759)=8,ISNUMBER(Y759*1)),DATE(LEFT(Y759,4),MID(Y759,5,2),RIGHT(Y759,2)),IFERROR(DATEVALUE(SUBSTITUTE(SUBSTITUTE(Y759,".","-"),"/","-")),IFERROR(Y759*1,""))))</f>
        <v/>
      </c>
      <c r="N759">
        <f>IFERROR(LEFT(B759,FIND(" ",B759)-1),B759)</f>
        <v/>
      </c>
      <c r="O759">
        <f>AND(B759&lt;&gt;"",B759&lt;&gt;설정!$B$4,C759&lt;&gt;설정!$B$5)</f>
        <v/>
      </c>
      <c r="P759">
        <f>IF(O759,B759&amp;"|"&amp;C759,"")</f>
        <v/>
      </c>
      <c r="Q759">
        <f>AND(O759,COUNTIF(P760:P$1002,P759)=0)</f>
        <v/>
      </c>
      <c r="R759">
        <f>OR(AND(설정!$A$42&lt;&gt;"",ISNUMBER(SEARCH(설정!$A$42,E759&amp;" "&amp;C759))),AND(설정!$A$43&lt;&gt;"",ISNUMBER(SEARCH(설정!$A$43,E759&amp;" "&amp;C759))),AND(설정!$A$44&lt;&gt;"",ISNUMBER(SEARCH(설정!$A$44,E759&amp;" "&amp;C759))),AND(설정!$A$45&lt;&gt;"",ISNUMBER(SEARCH(설정!$A$45,E759&amp;" "&amp;C759))),AND(설정!$A$46&lt;&gt;"",ISNUMBER(SEARCH(설정!$A$46,E759&amp;" "&amp;C759))),AND(설정!$A$47&lt;&gt;"",ISNUMBER(SEARCH(설정!$A$47,E759&amp;" "&amp;C759))),AND(설정!$A$48&lt;&gt;"",ISNUMBER(SEARCH(설정!$A$48,E759&amp;" "&amp;C759))),AND(설정!$A$49&lt;&gt;"",ISNUMBER(SEARCH(설정!$A$49,E759&amp;" "&amp;C759))),AND(설정!$A$50&lt;&gt;"",ISNUMBER(SEARCH(설정!$A$50,E759&amp;" "&amp;C759))),AND(설정!$A$51&lt;&gt;"",ISNUMBER(SEARCH(설정!$A$51,E759&amp;" "&amp;C759))))</f>
        <v/>
      </c>
      <c r="S759">
        <f>OR(D759="",D759&gt;=설정!$B$19)</f>
        <v/>
      </c>
      <c r="T759">
        <f>AND(Q759,R759,S759)</f>
        <v/>
      </c>
      <c r="U759">
        <f>IF(T759,IF(AND(설정!$A$54&lt;&gt;"",ISNUMBER(SEARCH(설정!$A$54,K759))),설정!$B$54,IF(AND(설정!$A$55&lt;&gt;"",ISNUMBER(SEARCH(설정!$A$55,K759))),설정!$B$55,IF(AND(설정!$A$56&lt;&gt;"",ISNUMBER(SEARCH(설정!$A$56,K759))),설정!$B$56,IF(AND(설정!$A$57&lt;&gt;"",ISNUMBER(SEARCH(설정!$A$57,K759))),설정!$B$57,IF(AND(설정!$A$58&lt;&gt;"",ISNUMBER(SEARCH(설정!$A$58,K759))),설정!$B$58,IF(AND(설정!$A$59&lt;&gt;"",ISNUMBER(SEARCH(설정!$A$59,K759))),설정!$B$59,IF(AND(설정!$A$60&lt;&gt;"",ISNUMBER(SEARCH(설정!$A$60,K759))),설정!$B$60,IF(AND(설정!$A$61&lt;&gt;"",ISNUMBER(SEARCH(설정!$A$61,K759))),설정!$B$61,IF(M759="","설계사","시공사"))))))))),"")</f>
        <v/>
      </c>
      <c r="V759">
        <f>SUBSTITUTE(SUBSTITUTE(SUBSTITUTE(SUBSTITUTE(G759,"(주)",""),"㈜",""),"주식회사","")," ","")</f>
        <v/>
      </c>
      <c r="W759">
        <f>IF(AND(T759,V759&lt;&gt;""),IF(COUNTIFS(V$2:V759,V759,T$2:T759,TRUE)=1,MAX(W$1:W758)+1,""),"")</f>
        <v/>
      </c>
      <c r="X759">
        <f>IF(설정!$C$14="","",IFERROR(INDEX('1.산군_붙여넣기'!$A$1:$AZ$1001,ROW(),설정!$C$14)&amp;"",""))</f>
        <v/>
      </c>
      <c r="Y759">
        <f>IF(설정!$C$15="","",IFERROR(INDEX('1.산군_붙여넣기'!$A$1:$AZ$1001,ROW(),설정!$C$15)&amp;"",""))</f>
        <v/>
      </c>
      <c r="Z759">
        <f>IF(T759,V759&amp;"|"&amp;U759,"")</f>
        <v/>
      </c>
      <c r="AA759">
        <f>IF(NOT(Q759),"",IF(NOT(AND(R759,S759)),"✕",IF(OR(OR(AND(L759&lt;&gt;"",M759&lt;&gt;"",N(M759)-N(L759)&gt;설정!$B$27),AND(L759&lt;&gt;"",M759="",설정!$B$24-N(L759)&gt;설정!$B$27)),AND(D759&lt;&gt;"",D759&lt;설정!$B$26)),"△","★")))</f>
        <v/>
      </c>
      <c r="AB759">
        <f>IF(NOT(T759),"",IF(U759="설계사",설정!$B$31,IF(U759="시공사",IF(OR(M759="",설정!$B$24-N(M759)&lt;=설정!$B$28*30.4),설정!$B$32,설정!$B$33),설정!$B$34))+IF(AA759="★",설정!$B$35,0))</f>
        <v/>
      </c>
      <c r="AC759">
        <f>SUBSTITUTE(SUBSTITUTE(SUBSTITUTE(SUBSTITUTE(H759,"(주)",""),"㈜",""),"주식회사","")," ","")</f>
        <v/>
      </c>
      <c r="AD759">
        <f>IF(AND(T759,AC759&lt;&gt;""),IF(COUNTIFS(AC$2:AC759,AC759,T$2:T759,TRUE)=1,MAX(AD$1:AD758)+1,""),"")</f>
        <v/>
      </c>
    </row>
    <row r="760">
      <c r="A760">
        <f>ROW()</f>
        <v/>
      </c>
      <c r="B760">
        <f>IF(설정!$C$4="","",IFERROR(INDEX('1.산군_붙여넣기'!$A$1:$AZ$1001,ROW(),설정!$C$4)&amp;"",""))</f>
        <v/>
      </c>
      <c r="C760">
        <f>IF(설정!$C$5="","",IFERROR(INDEX('1.산군_붙여넣기'!$A$1:$AZ$1001,ROW(),설정!$C$5)&amp;"",""))</f>
        <v/>
      </c>
      <c r="D760" s="5">
        <f>IFERROR(VALUE(SUBSTITUTE(SUBSTITUTE(SUBSTITUTE(IF(설정!$C$6="","",IFERROR(INDEX('1.산군_붙여넣기'!$A$1:$AZ$1001,ROW(),설정!$C$6)&amp;"","")),",",""),"㎡",""),"m2","")),"")</f>
        <v/>
      </c>
      <c r="E760">
        <f>IF(설정!$C$7="","",IFERROR(INDEX('1.산군_붙여넣기'!$A$1:$AZ$1001,ROW(),설정!$C$7)&amp;"",""))</f>
        <v/>
      </c>
      <c r="F760">
        <f>IF(설정!$C$8="","",IFERROR(INDEX('1.산군_붙여넣기'!$A$1:$AZ$1001,ROW(),설정!$C$8)&amp;"",""))</f>
        <v/>
      </c>
      <c r="G760">
        <f>IF(설정!$C$9="","",IFERROR(INDEX('1.산군_붙여넣기'!$A$1:$AZ$1001,ROW(),설정!$C$9)&amp;"",""))</f>
        <v/>
      </c>
      <c r="H760">
        <f>IF(설정!$C$10="","",IFERROR(INDEX('1.산군_붙여넣기'!$A$1:$AZ$1001,ROW(),설정!$C$10)&amp;"",""))</f>
        <v/>
      </c>
      <c r="I760">
        <f>IF(설정!$C$11="","",IFERROR(INDEX('1.산군_붙여넣기'!$A$1:$AZ$1001,ROW(),설정!$C$11)&amp;"",""))</f>
        <v/>
      </c>
      <c r="J760">
        <f>IF(설정!$C$12="","",IFERROR(INDEX('1.산군_붙여넣기'!$A$1:$AZ$1001,ROW(),설정!$C$12)&amp;"",""))</f>
        <v/>
      </c>
      <c r="K760">
        <f>IF(설정!$C$13="","",IFERROR(INDEX('1.산군_붙여넣기'!$A$1:$AZ$1001,ROW(),설정!$C$13)&amp;"",""))</f>
        <v/>
      </c>
      <c r="L760" s="7">
        <f>IF(X760="","",IF(AND(LEN(X760)=8,ISNUMBER(X760*1)),DATE(LEFT(X760,4),MID(X760,5,2),RIGHT(X760,2)),IFERROR(DATEVALUE(SUBSTITUTE(SUBSTITUTE(X760,".","-"),"/","-")),IFERROR(X760*1,""))))</f>
        <v/>
      </c>
      <c r="M760" s="7">
        <f>IF(Y760="","",IF(AND(LEN(Y760)=8,ISNUMBER(Y760*1)),DATE(LEFT(Y760,4),MID(Y760,5,2),RIGHT(Y760,2)),IFERROR(DATEVALUE(SUBSTITUTE(SUBSTITUTE(Y760,".","-"),"/","-")),IFERROR(Y760*1,""))))</f>
        <v/>
      </c>
      <c r="N760">
        <f>IFERROR(LEFT(B760,FIND(" ",B760)-1),B760)</f>
        <v/>
      </c>
      <c r="O760">
        <f>AND(B760&lt;&gt;"",B760&lt;&gt;설정!$B$4,C760&lt;&gt;설정!$B$5)</f>
        <v/>
      </c>
      <c r="P760">
        <f>IF(O760,B760&amp;"|"&amp;C760,"")</f>
        <v/>
      </c>
      <c r="Q760">
        <f>AND(O760,COUNTIF(P761:P$1002,P760)=0)</f>
        <v/>
      </c>
      <c r="R760">
        <f>OR(AND(설정!$A$42&lt;&gt;"",ISNUMBER(SEARCH(설정!$A$42,E760&amp;" "&amp;C760))),AND(설정!$A$43&lt;&gt;"",ISNUMBER(SEARCH(설정!$A$43,E760&amp;" "&amp;C760))),AND(설정!$A$44&lt;&gt;"",ISNUMBER(SEARCH(설정!$A$44,E760&amp;" "&amp;C760))),AND(설정!$A$45&lt;&gt;"",ISNUMBER(SEARCH(설정!$A$45,E760&amp;" "&amp;C760))),AND(설정!$A$46&lt;&gt;"",ISNUMBER(SEARCH(설정!$A$46,E760&amp;" "&amp;C760))),AND(설정!$A$47&lt;&gt;"",ISNUMBER(SEARCH(설정!$A$47,E760&amp;" "&amp;C760))),AND(설정!$A$48&lt;&gt;"",ISNUMBER(SEARCH(설정!$A$48,E760&amp;" "&amp;C760))),AND(설정!$A$49&lt;&gt;"",ISNUMBER(SEARCH(설정!$A$49,E760&amp;" "&amp;C760))),AND(설정!$A$50&lt;&gt;"",ISNUMBER(SEARCH(설정!$A$50,E760&amp;" "&amp;C760))),AND(설정!$A$51&lt;&gt;"",ISNUMBER(SEARCH(설정!$A$51,E760&amp;" "&amp;C760))))</f>
        <v/>
      </c>
      <c r="S760">
        <f>OR(D760="",D760&gt;=설정!$B$19)</f>
        <v/>
      </c>
      <c r="T760">
        <f>AND(Q760,R760,S760)</f>
        <v/>
      </c>
      <c r="U760">
        <f>IF(T760,IF(AND(설정!$A$54&lt;&gt;"",ISNUMBER(SEARCH(설정!$A$54,K760))),설정!$B$54,IF(AND(설정!$A$55&lt;&gt;"",ISNUMBER(SEARCH(설정!$A$55,K760))),설정!$B$55,IF(AND(설정!$A$56&lt;&gt;"",ISNUMBER(SEARCH(설정!$A$56,K760))),설정!$B$56,IF(AND(설정!$A$57&lt;&gt;"",ISNUMBER(SEARCH(설정!$A$57,K760))),설정!$B$57,IF(AND(설정!$A$58&lt;&gt;"",ISNUMBER(SEARCH(설정!$A$58,K760))),설정!$B$58,IF(AND(설정!$A$59&lt;&gt;"",ISNUMBER(SEARCH(설정!$A$59,K760))),설정!$B$59,IF(AND(설정!$A$60&lt;&gt;"",ISNUMBER(SEARCH(설정!$A$60,K760))),설정!$B$60,IF(AND(설정!$A$61&lt;&gt;"",ISNUMBER(SEARCH(설정!$A$61,K760))),설정!$B$61,IF(M760="","설계사","시공사"))))))))),"")</f>
        <v/>
      </c>
      <c r="V760">
        <f>SUBSTITUTE(SUBSTITUTE(SUBSTITUTE(SUBSTITUTE(G760,"(주)",""),"㈜",""),"주식회사","")," ","")</f>
        <v/>
      </c>
      <c r="W760">
        <f>IF(AND(T760,V760&lt;&gt;""),IF(COUNTIFS(V$2:V760,V760,T$2:T760,TRUE)=1,MAX(W$1:W759)+1,""),"")</f>
        <v/>
      </c>
      <c r="X760">
        <f>IF(설정!$C$14="","",IFERROR(INDEX('1.산군_붙여넣기'!$A$1:$AZ$1001,ROW(),설정!$C$14)&amp;"",""))</f>
        <v/>
      </c>
      <c r="Y760">
        <f>IF(설정!$C$15="","",IFERROR(INDEX('1.산군_붙여넣기'!$A$1:$AZ$1001,ROW(),설정!$C$15)&amp;"",""))</f>
        <v/>
      </c>
      <c r="Z760">
        <f>IF(T760,V760&amp;"|"&amp;U760,"")</f>
        <v/>
      </c>
      <c r="AA760">
        <f>IF(NOT(Q760),"",IF(NOT(AND(R760,S760)),"✕",IF(OR(OR(AND(L760&lt;&gt;"",M760&lt;&gt;"",N(M760)-N(L760)&gt;설정!$B$27),AND(L760&lt;&gt;"",M760="",설정!$B$24-N(L760)&gt;설정!$B$27)),AND(D760&lt;&gt;"",D760&lt;설정!$B$26)),"△","★")))</f>
        <v/>
      </c>
      <c r="AB760">
        <f>IF(NOT(T760),"",IF(U760="설계사",설정!$B$31,IF(U760="시공사",IF(OR(M760="",설정!$B$24-N(M760)&lt;=설정!$B$28*30.4),설정!$B$32,설정!$B$33),설정!$B$34))+IF(AA760="★",설정!$B$35,0))</f>
        <v/>
      </c>
      <c r="AC760">
        <f>SUBSTITUTE(SUBSTITUTE(SUBSTITUTE(SUBSTITUTE(H760,"(주)",""),"㈜",""),"주식회사","")," ","")</f>
        <v/>
      </c>
      <c r="AD760">
        <f>IF(AND(T760,AC760&lt;&gt;""),IF(COUNTIFS(AC$2:AC760,AC760,T$2:T760,TRUE)=1,MAX(AD$1:AD759)+1,""),"")</f>
        <v/>
      </c>
    </row>
    <row r="761">
      <c r="A761">
        <f>ROW()</f>
        <v/>
      </c>
      <c r="B761">
        <f>IF(설정!$C$4="","",IFERROR(INDEX('1.산군_붙여넣기'!$A$1:$AZ$1001,ROW(),설정!$C$4)&amp;"",""))</f>
        <v/>
      </c>
      <c r="C761">
        <f>IF(설정!$C$5="","",IFERROR(INDEX('1.산군_붙여넣기'!$A$1:$AZ$1001,ROW(),설정!$C$5)&amp;"",""))</f>
        <v/>
      </c>
      <c r="D761" s="5">
        <f>IFERROR(VALUE(SUBSTITUTE(SUBSTITUTE(SUBSTITUTE(IF(설정!$C$6="","",IFERROR(INDEX('1.산군_붙여넣기'!$A$1:$AZ$1001,ROW(),설정!$C$6)&amp;"","")),",",""),"㎡",""),"m2","")),"")</f>
        <v/>
      </c>
      <c r="E761">
        <f>IF(설정!$C$7="","",IFERROR(INDEX('1.산군_붙여넣기'!$A$1:$AZ$1001,ROW(),설정!$C$7)&amp;"",""))</f>
        <v/>
      </c>
      <c r="F761">
        <f>IF(설정!$C$8="","",IFERROR(INDEX('1.산군_붙여넣기'!$A$1:$AZ$1001,ROW(),설정!$C$8)&amp;"",""))</f>
        <v/>
      </c>
      <c r="G761">
        <f>IF(설정!$C$9="","",IFERROR(INDEX('1.산군_붙여넣기'!$A$1:$AZ$1001,ROW(),설정!$C$9)&amp;"",""))</f>
        <v/>
      </c>
      <c r="H761">
        <f>IF(설정!$C$10="","",IFERROR(INDEX('1.산군_붙여넣기'!$A$1:$AZ$1001,ROW(),설정!$C$10)&amp;"",""))</f>
        <v/>
      </c>
      <c r="I761">
        <f>IF(설정!$C$11="","",IFERROR(INDEX('1.산군_붙여넣기'!$A$1:$AZ$1001,ROW(),설정!$C$11)&amp;"",""))</f>
        <v/>
      </c>
      <c r="J761">
        <f>IF(설정!$C$12="","",IFERROR(INDEX('1.산군_붙여넣기'!$A$1:$AZ$1001,ROW(),설정!$C$12)&amp;"",""))</f>
        <v/>
      </c>
      <c r="K761">
        <f>IF(설정!$C$13="","",IFERROR(INDEX('1.산군_붙여넣기'!$A$1:$AZ$1001,ROW(),설정!$C$13)&amp;"",""))</f>
        <v/>
      </c>
      <c r="L761" s="7">
        <f>IF(X761="","",IF(AND(LEN(X761)=8,ISNUMBER(X761*1)),DATE(LEFT(X761,4),MID(X761,5,2),RIGHT(X761,2)),IFERROR(DATEVALUE(SUBSTITUTE(SUBSTITUTE(X761,".","-"),"/","-")),IFERROR(X761*1,""))))</f>
        <v/>
      </c>
      <c r="M761" s="7">
        <f>IF(Y761="","",IF(AND(LEN(Y761)=8,ISNUMBER(Y761*1)),DATE(LEFT(Y761,4),MID(Y761,5,2),RIGHT(Y761,2)),IFERROR(DATEVALUE(SUBSTITUTE(SUBSTITUTE(Y761,".","-"),"/","-")),IFERROR(Y761*1,""))))</f>
        <v/>
      </c>
      <c r="N761">
        <f>IFERROR(LEFT(B761,FIND(" ",B761)-1),B761)</f>
        <v/>
      </c>
      <c r="O761">
        <f>AND(B761&lt;&gt;"",B761&lt;&gt;설정!$B$4,C761&lt;&gt;설정!$B$5)</f>
        <v/>
      </c>
      <c r="P761">
        <f>IF(O761,B761&amp;"|"&amp;C761,"")</f>
        <v/>
      </c>
      <c r="Q761">
        <f>AND(O761,COUNTIF(P762:P$1002,P761)=0)</f>
        <v/>
      </c>
      <c r="R761">
        <f>OR(AND(설정!$A$42&lt;&gt;"",ISNUMBER(SEARCH(설정!$A$42,E761&amp;" "&amp;C761))),AND(설정!$A$43&lt;&gt;"",ISNUMBER(SEARCH(설정!$A$43,E761&amp;" "&amp;C761))),AND(설정!$A$44&lt;&gt;"",ISNUMBER(SEARCH(설정!$A$44,E761&amp;" "&amp;C761))),AND(설정!$A$45&lt;&gt;"",ISNUMBER(SEARCH(설정!$A$45,E761&amp;" "&amp;C761))),AND(설정!$A$46&lt;&gt;"",ISNUMBER(SEARCH(설정!$A$46,E761&amp;" "&amp;C761))),AND(설정!$A$47&lt;&gt;"",ISNUMBER(SEARCH(설정!$A$47,E761&amp;" "&amp;C761))),AND(설정!$A$48&lt;&gt;"",ISNUMBER(SEARCH(설정!$A$48,E761&amp;" "&amp;C761))),AND(설정!$A$49&lt;&gt;"",ISNUMBER(SEARCH(설정!$A$49,E761&amp;" "&amp;C761))),AND(설정!$A$50&lt;&gt;"",ISNUMBER(SEARCH(설정!$A$50,E761&amp;" "&amp;C761))),AND(설정!$A$51&lt;&gt;"",ISNUMBER(SEARCH(설정!$A$51,E761&amp;" "&amp;C761))))</f>
        <v/>
      </c>
      <c r="S761">
        <f>OR(D761="",D761&gt;=설정!$B$19)</f>
        <v/>
      </c>
      <c r="T761">
        <f>AND(Q761,R761,S761)</f>
        <v/>
      </c>
      <c r="U761">
        <f>IF(T761,IF(AND(설정!$A$54&lt;&gt;"",ISNUMBER(SEARCH(설정!$A$54,K761))),설정!$B$54,IF(AND(설정!$A$55&lt;&gt;"",ISNUMBER(SEARCH(설정!$A$55,K761))),설정!$B$55,IF(AND(설정!$A$56&lt;&gt;"",ISNUMBER(SEARCH(설정!$A$56,K761))),설정!$B$56,IF(AND(설정!$A$57&lt;&gt;"",ISNUMBER(SEARCH(설정!$A$57,K761))),설정!$B$57,IF(AND(설정!$A$58&lt;&gt;"",ISNUMBER(SEARCH(설정!$A$58,K761))),설정!$B$58,IF(AND(설정!$A$59&lt;&gt;"",ISNUMBER(SEARCH(설정!$A$59,K761))),설정!$B$59,IF(AND(설정!$A$60&lt;&gt;"",ISNUMBER(SEARCH(설정!$A$60,K761))),설정!$B$60,IF(AND(설정!$A$61&lt;&gt;"",ISNUMBER(SEARCH(설정!$A$61,K761))),설정!$B$61,IF(M761="","설계사","시공사"))))))))),"")</f>
        <v/>
      </c>
      <c r="V761">
        <f>SUBSTITUTE(SUBSTITUTE(SUBSTITUTE(SUBSTITUTE(G761,"(주)",""),"㈜",""),"주식회사","")," ","")</f>
        <v/>
      </c>
      <c r="W761">
        <f>IF(AND(T761,V761&lt;&gt;""),IF(COUNTIFS(V$2:V761,V761,T$2:T761,TRUE)=1,MAX(W$1:W760)+1,""),"")</f>
        <v/>
      </c>
      <c r="X761">
        <f>IF(설정!$C$14="","",IFERROR(INDEX('1.산군_붙여넣기'!$A$1:$AZ$1001,ROW(),설정!$C$14)&amp;"",""))</f>
        <v/>
      </c>
      <c r="Y761">
        <f>IF(설정!$C$15="","",IFERROR(INDEX('1.산군_붙여넣기'!$A$1:$AZ$1001,ROW(),설정!$C$15)&amp;"",""))</f>
        <v/>
      </c>
      <c r="Z761">
        <f>IF(T761,V761&amp;"|"&amp;U761,"")</f>
        <v/>
      </c>
      <c r="AA761">
        <f>IF(NOT(Q761),"",IF(NOT(AND(R761,S761)),"✕",IF(OR(OR(AND(L761&lt;&gt;"",M761&lt;&gt;"",N(M761)-N(L761)&gt;설정!$B$27),AND(L761&lt;&gt;"",M761="",설정!$B$24-N(L761)&gt;설정!$B$27)),AND(D761&lt;&gt;"",D761&lt;설정!$B$26)),"△","★")))</f>
        <v/>
      </c>
      <c r="AB761">
        <f>IF(NOT(T761),"",IF(U761="설계사",설정!$B$31,IF(U761="시공사",IF(OR(M761="",설정!$B$24-N(M761)&lt;=설정!$B$28*30.4),설정!$B$32,설정!$B$33),설정!$B$34))+IF(AA761="★",설정!$B$35,0))</f>
        <v/>
      </c>
      <c r="AC761">
        <f>SUBSTITUTE(SUBSTITUTE(SUBSTITUTE(SUBSTITUTE(H761,"(주)",""),"㈜",""),"주식회사","")," ","")</f>
        <v/>
      </c>
      <c r="AD761">
        <f>IF(AND(T761,AC761&lt;&gt;""),IF(COUNTIFS(AC$2:AC761,AC761,T$2:T761,TRUE)=1,MAX(AD$1:AD760)+1,""),"")</f>
        <v/>
      </c>
    </row>
    <row r="762">
      <c r="A762">
        <f>ROW()</f>
        <v/>
      </c>
      <c r="B762">
        <f>IF(설정!$C$4="","",IFERROR(INDEX('1.산군_붙여넣기'!$A$1:$AZ$1001,ROW(),설정!$C$4)&amp;"",""))</f>
        <v/>
      </c>
      <c r="C762">
        <f>IF(설정!$C$5="","",IFERROR(INDEX('1.산군_붙여넣기'!$A$1:$AZ$1001,ROW(),설정!$C$5)&amp;"",""))</f>
        <v/>
      </c>
      <c r="D762" s="5">
        <f>IFERROR(VALUE(SUBSTITUTE(SUBSTITUTE(SUBSTITUTE(IF(설정!$C$6="","",IFERROR(INDEX('1.산군_붙여넣기'!$A$1:$AZ$1001,ROW(),설정!$C$6)&amp;"","")),",",""),"㎡",""),"m2","")),"")</f>
        <v/>
      </c>
      <c r="E762">
        <f>IF(설정!$C$7="","",IFERROR(INDEX('1.산군_붙여넣기'!$A$1:$AZ$1001,ROW(),설정!$C$7)&amp;"",""))</f>
        <v/>
      </c>
      <c r="F762">
        <f>IF(설정!$C$8="","",IFERROR(INDEX('1.산군_붙여넣기'!$A$1:$AZ$1001,ROW(),설정!$C$8)&amp;"",""))</f>
        <v/>
      </c>
      <c r="G762">
        <f>IF(설정!$C$9="","",IFERROR(INDEX('1.산군_붙여넣기'!$A$1:$AZ$1001,ROW(),설정!$C$9)&amp;"",""))</f>
        <v/>
      </c>
      <c r="H762">
        <f>IF(설정!$C$10="","",IFERROR(INDEX('1.산군_붙여넣기'!$A$1:$AZ$1001,ROW(),설정!$C$10)&amp;"",""))</f>
        <v/>
      </c>
      <c r="I762">
        <f>IF(설정!$C$11="","",IFERROR(INDEX('1.산군_붙여넣기'!$A$1:$AZ$1001,ROW(),설정!$C$11)&amp;"",""))</f>
        <v/>
      </c>
      <c r="J762">
        <f>IF(설정!$C$12="","",IFERROR(INDEX('1.산군_붙여넣기'!$A$1:$AZ$1001,ROW(),설정!$C$12)&amp;"",""))</f>
        <v/>
      </c>
      <c r="K762">
        <f>IF(설정!$C$13="","",IFERROR(INDEX('1.산군_붙여넣기'!$A$1:$AZ$1001,ROW(),설정!$C$13)&amp;"",""))</f>
        <v/>
      </c>
      <c r="L762" s="7">
        <f>IF(X762="","",IF(AND(LEN(X762)=8,ISNUMBER(X762*1)),DATE(LEFT(X762,4),MID(X762,5,2),RIGHT(X762,2)),IFERROR(DATEVALUE(SUBSTITUTE(SUBSTITUTE(X762,".","-"),"/","-")),IFERROR(X762*1,""))))</f>
        <v/>
      </c>
      <c r="M762" s="7">
        <f>IF(Y762="","",IF(AND(LEN(Y762)=8,ISNUMBER(Y762*1)),DATE(LEFT(Y762,4),MID(Y762,5,2),RIGHT(Y762,2)),IFERROR(DATEVALUE(SUBSTITUTE(SUBSTITUTE(Y762,".","-"),"/","-")),IFERROR(Y762*1,""))))</f>
        <v/>
      </c>
      <c r="N762">
        <f>IFERROR(LEFT(B762,FIND(" ",B762)-1),B762)</f>
        <v/>
      </c>
      <c r="O762">
        <f>AND(B762&lt;&gt;"",B762&lt;&gt;설정!$B$4,C762&lt;&gt;설정!$B$5)</f>
        <v/>
      </c>
      <c r="P762">
        <f>IF(O762,B762&amp;"|"&amp;C762,"")</f>
        <v/>
      </c>
      <c r="Q762">
        <f>AND(O762,COUNTIF(P763:P$1002,P762)=0)</f>
        <v/>
      </c>
      <c r="R762">
        <f>OR(AND(설정!$A$42&lt;&gt;"",ISNUMBER(SEARCH(설정!$A$42,E762&amp;" "&amp;C762))),AND(설정!$A$43&lt;&gt;"",ISNUMBER(SEARCH(설정!$A$43,E762&amp;" "&amp;C762))),AND(설정!$A$44&lt;&gt;"",ISNUMBER(SEARCH(설정!$A$44,E762&amp;" "&amp;C762))),AND(설정!$A$45&lt;&gt;"",ISNUMBER(SEARCH(설정!$A$45,E762&amp;" "&amp;C762))),AND(설정!$A$46&lt;&gt;"",ISNUMBER(SEARCH(설정!$A$46,E762&amp;" "&amp;C762))),AND(설정!$A$47&lt;&gt;"",ISNUMBER(SEARCH(설정!$A$47,E762&amp;" "&amp;C762))),AND(설정!$A$48&lt;&gt;"",ISNUMBER(SEARCH(설정!$A$48,E762&amp;" "&amp;C762))),AND(설정!$A$49&lt;&gt;"",ISNUMBER(SEARCH(설정!$A$49,E762&amp;" "&amp;C762))),AND(설정!$A$50&lt;&gt;"",ISNUMBER(SEARCH(설정!$A$50,E762&amp;" "&amp;C762))),AND(설정!$A$51&lt;&gt;"",ISNUMBER(SEARCH(설정!$A$51,E762&amp;" "&amp;C762))))</f>
        <v/>
      </c>
      <c r="S762">
        <f>OR(D762="",D762&gt;=설정!$B$19)</f>
        <v/>
      </c>
      <c r="T762">
        <f>AND(Q762,R762,S762)</f>
        <v/>
      </c>
      <c r="U762">
        <f>IF(T762,IF(AND(설정!$A$54&lt;&gt;"",ISNUMBER(SEARCH(설정!$A$54,K762))),설정!$B$54,IF(AND(설정!$A$55&lt;&gt;"",ISNUMBER(SEARCH(설정!$A$55,K762))),설정!$B$55,IF(AND(설정!$A$56&lt;&gt;"",ISNUMBER(SEARCH(설정!$A$56,K762))),설정!$B$56,IF(AND(설정!$A$57&lt;&gt;"",ISNUMBER(SEARCH(설정!$A$57,K762))),설정!$B$57,IF(AND(설정!$A$58&lt;&gt;"",ISNUMBER(SEARCH(설정!$A$58,K762))),설정!$B$58,IF(AND(설정!$A$59&lt;&gt;"",ISNUMBER(SEARCH(설정!$A$59,K762))),설정!$B$59,IF(AND(설정!$A$60&lt;&gt;"",ISNUMBER(SEARCH(설정!$A$60,K762))),설정!$B$60,IF(AND(설정!$A$61&lt;&gt;"",ISNUMBER(SEARCH(설정!$A$61,K762))),설정!$B$61,IF(M762="","설계사","시공사"))))))))),"")</f>
        <v/>
      </c>
      <c r="V762">
        <f>SUBSTITUTE(SUBSTITUTE(SUBSTITUTE(SUBSTITUTE(G762,"(주)",""),"㈜",""),"주식회사","")," ","")</f>
        <v/>
      </c>
      <c r="W762">
        <f>IF(AND(T762,V762&lt;&gt;""),IF(COUNTIFS(V$2:V762,V762,T$2:T762,TRUE)=1,MAX(W$1:W761)+1,""),"")</f>
        <v/>
      </c>
      <c r="X762">
        <f>IF(설정!$C$14="","",IFERROR(INDEX('1.산군_붙여넣기'!$A$1:$AZ$1001,ROW(),설정!$C$14)&amp;"",""))</f>
        <v/>
      </c>
      <c r="Y762">
        <f>IF(설정!$C$15="","",IFERROR(INDEX('1.산군_붙여넣기'!$A$1:$AZ$1001,ROW(),설정!$C$15)&amp;"",""))</f>
        <v/>
      </c>
      <c r="Z762">
        <f>IF(T762,V762&amp;"|"&amp;U762,"")</f>
        <v/>
      </c>
      <c r="AA762">
        <f>IF(NOT(Q762),"",IF(NOT(AND(R762,S762)),"✕",IF(OR(OR(AND(L762&lt;&gt;"",M762&lt;&gt;"",N(M762)-N(L762)&gt;설정!$B$27),AND(L762&lt;&gt;"",M762="",설정!$B$24-N(L762)&gt;설정!$B$27)),AND(D762&lt;&gt;"",D762&lt;설정!$B$26)),"△","★")))</f>
        <v/>
      </c>
      <c r="AB762">
        <f>IF(NOT(T762),"",IF(U762="설계사",설정!$B$31,IF(U762="시공사",IF(OR(M762="",설정!$B$24-N(M762)&lt;=설정!$B$28*30.4),설정!$B$32,설정!$B$33),설정!$B$34))+IF(AA762="★",설정!$B$35,0))</f>
        <v/>
      </c>
      <c r="AC762">
        <f>SUBSTITUTE(SUBSTITUTE(SUBSTITUTE(SUBSTITUTE(H762,"(주)",""),"㈜",""),"주식회사","")," ","")</f>
        <v/>
      </c>
      <c r="AD762">
        <f>IF(AND(T762,AC762&lt;&gt;""),IF(COUNTIFS(AC$2:AC762,AC762,T$2:T762,TRUE)=1,MAX(AD$1:AD761)+1,""),"")</f>
        <v/>
      </c>
    </row>
    <row r="763">
      <c r="A763">
        <f>ROW()</f>
        <v/>
      </c>
      <c r="B763">
        <f>IF(설정!$C$4="","",IFERROR(INDEX('1.산군_붙여넣기'!$A$1:$AZ$1001,ROW(),설정!$C$4)&amp;"",""))</f>
        <v/>
      </c>
      <c r="C763">
        <f>IF(설정!$C$5="","",IFERROR(INDEX('1.산군_붙여넣기'!$A$1:$AZ$1001,ROW(),설정!$C$5)&amp;"",""))</f>
        <v/>
      </c>
      <c r="D763" s="5">
        <f>IFERROR(VALUE(SUBSTITUTE(SUBSTITUTE(SUBSTITUTE(IF(설정!$C$6="","",IFERROR(INDEX('1.산군_붙여넣기'!$A$1:$AZ$1001,ROW(),설정!$C$6)&amp;"","")),",",""),"㎡",""),"m2","")),"")</f>
        <v/>
      </c>
      <c r="E763">
        <f>IF(설정!$C$7="","",IFERROR(INDEX('1.산군_붙여넣기'!$A$1:$AZ$1001,ROW(),설정!$C$7)&amp;"",""))</f>
        <v/>
      </c>
      <c r="F763">
        <f>IF(설정!$C$8="","",IFERROR(INDEX('1.산군_붙여넣기'!$A$1:$AZ$1001,ROW(),설정!$C$8)&amp;"",""))</f>
        <v/>
      </c>
      <c r="G763">
        <f>IF(설정!$C$9="","",IFERROR(INDEX('1.산군_붙여넣기'!$A$1:$AZ$1001,ROW(),설정!$C$9)&amp;"",""))</f>
        <v/>
      </c>
      <c r="H763">
        <f>IF(설정!$C$10="","",IFERROR(INDEX('1.산군_붙여넣기'!$A$1:$AZ$1001,ROW(),설정!$C$10)&amp;"",""))</f>
        <v/>
      </c>
      <c r="I763">
        <f>IF(설정!$C$11="","",IFERROR(INDEX('1.산군_붙여넣기'!$A$1:$AZ$1001,ROW(),설정!$C$11)&amp;"",""))</f>
        <v/>
      </c>
      <c r="J763">
        <f>IF(설정!$C$12="","",IFERROR(INDEX('1.산군_붙여넣기'!$A$1:$AZ$1001,ROW(),설정!$C$12)&amp;"",""))</f>
        <v/>
      </c>
      <c r="K763">
        <f>IF(설정!$C$13="","",IFERROR(INDEX('1.산군_붙여넣기'!$A$1:$AZ$1001,ROW(),설정!$C$13)&amp;"",""))</f>
        <v/>
      </c>
      <c r="L763" s="7">
        <f>IF(X763="","",IF(AND(LEN(X763)=8,ISNUMBER(X763*1)),DATE(LEFT(X763,4),MID(X763,5,2),RIGHT(X763,2)),IFERROR(DATEVALUE(SUBSTITUTE(SUBSTITUTE(X763,".","-"),"/","-")),IFERROR(X763*1,""))))</f>
        <v/>
      </c>
      <c r="M763" s="7">
        <f>IF(Y763="","",IF(AND(LEN(Y763)=8,ISNUMBER(Y763*1)),DATE(LEFT(Y763,4),MID(Y763,5,2),RIGHT(Y763,2)),IFERROR(DATEVALUE(SUBSTITUTE(SUBSTITUTE(Y763,".","-"),"/","-")),IFERROR(Y763*1,""))))</f>
        <v/>
      </c>
      <c r="N763">
        <f>IFERROR(LEFT(B763,FIND(" ",B763)-1),B763)</f>
        <v/>
      </c>
      <c r="O763">
        <f>AND(B763&lt;&gt;"",B763&lt;&gt;설정!$B$4,C763&lt;&gt;설정!$B$5)</f>
        <v/>
      </c>
      <c r="P763">
        <f>IF(O763,B763&amp;"|"&amp;C763,"")</f>
        <v/>
      </c>
      <c r="Q763">
        <f>AND(O763,COUNTIF(P764:P$1002,P763)=0)</f>
        <v/>
      </c>
      <c r="R763">
        <f>OR(AND(설정!$A$42&lt;&gt;"",ISNUMBER(SEARCH(설정!$A$42,E763&amp;" "&amp;C763))),AND(설정!$A$43&lt;&gt;"",ISNUMBER(SEARCH(설정!$A$43,E763&amp;" "&amp;C763))),AND(설정!$A$44&lt;&gt;"",ISNUMBER(SEARCH(설정!$A$44,E763&amp;" "&amp;C763))),AND(설정!$A$45&lt;&gt;"",ISNUMBER(SEARCH(설정!$A$45,E763&amp;" "&amp;C763))),AND(설정!$A$46&lt;&gt;"",ISNUMBER(SEARCH(설정!$A$46,E763&amp;" "&amp;C763))),AND(설정!$A$47&lt;&gt;"",ISNUMBER(SEARCH(설정!$A$47,E763&amp;" "&amp;C763))),AND(설정!$A$48&lt;&gt;"",ISNUMBER(SEARCH(설정!$A$48,E763&amp;" "&amp;C763))),AND(설정!$A$49&lt;&gt;"",ISNUMBER(SEARCH(설정!$A$49,E763&amp;" "&amp;C763))),AND(설정!$A$50&lt;&gt;"",ISNUMBER(SEARCH(설정!$A$50,E763&amp;" "&amp;C763))),AND(설정!$A$51&lt;&gt;"",ISNUMBER(SEARCH(설정!$A$51,E763&amp;" "&amp;C763))))</f>
        <v/>
      </c>
      <c r="S763">
        <f>OR(D763="",D763&gt;=설정!$B$19)</f>
        <v/>
      </c>
      <c r="T763">
        <f>AND(Q763,R763,S763)</f>
        <v/>
      </c>
      <c r="U763">
        <f>IF(T763,IF(AND(설정!$A$54&lt;&gt;"",ISNUMBER(SEARCH(설정!$A$54,K763))),설정!$B$54,IF(AND(설정!$A$55&lt;&gt;"",ISNUMBER(SEARCH(설정!$A$55,K763))),설정!$B$55,IF(AND(설정!$A$56&lt;&gt;"",ISNUMBER(SEARCH(설정!$A$56,K763))),설정!$B$56,IF(AND(설정!$A$57&lt;&gt;"",ISNUMBER(SEARCH(설정!$A$57,K763))),설정!$B$57,IF(AND(설정!$A$58&lt;&gt;"",ISNUMBER(SEARCH(설정!$A$58,K763))),설정!$B$58,IF(AND(설정!$A$59&lt;&gt;"",ISNUMBER(SEARCH(설정!$A$59,K763))),설정!$B$59,IF(AND(설정!$A$60&lt;&gt;"",ISNUMBER(SEARCH(설정!$A$60,K763))),설정!$B$60,IF(AND(설정!$A$61&lt;&gt;"",ISNUMBER(SEARCH(설정!$A$61,K763))),설정!$B$61,IF(M763="","설계사","시공사"))))))))),"")</f>
        <v/>
      </c>
      <c r="V763">
        <f>SUBSTITUTE(SUBSTITUTE(SUBSTITUTE(SUBSTITUTE(G763,"(주)",""),"㈜",""),"주식회사","")," ","")</f>
        <v/>
      </c>
      <c r="W763">
        <f>IF(AND(T763,V763&lt;&gt;""),IF(COUNTIFS(V$2:V763,V763,T$2:T763,TRUE)=1,MAX(W$1:W762)+1,""),"")</f>
        <v/>
      </c>
      <c r="X763">
        <f>IF(설정!$C$14="","",IFERROR(INDEX('1.산군_붙여넣기'!$A$1:$AZ$1001,ROW(),설정!$C$14)&amp;"",""))</f>
        <v/>
      </c>
      <c r="Y763">
        <f>IF(설정!$C$15="","",IFERROR(INDEX('1.산군_붙여넣기'!$A$1:$AZ$1001,ROW(),설정!$C$15)&amp;"",""))</f>
        <v/>
      </c>
      <c r="Z763">
        <f>IF(T763,V763&amp;"|"&amp;U763,"")</f>
        <v/>
      </c>
      <c r="AA763">
        <f>IF(NOT(Q763),"",IF(NOT(AND(R763,S763)),"✕",IF(OR(OR(AND(L763&lt;&gt;"",M763&lt;&gt;"",N(M763)-N(L763)&gt;설정!$B$27),AND(L763&lt;&gt;"",M763="",설정!$B$24-N(L763)&gt;설정!$B$27)),AND(D763&lt;&gt;"",D763&lt;설정!$B$26)),"△","★")))</f>
        <v/>
      </c>
      <c r="AB763">
        <f>IF(NOT(T763),"",IF(U763="설계사",설정!$B$31,IF(U763="시공사",IF(OR(M763="",설정!$B$24-N(M763)&lt;=설정!$B$28*30.4),설정!$B$32,설정!$B$33),설정!$B$34))+IF(AA763="★",설정!$B$35,0))</f>
        <v/>
      </c>
      <c r="AC763">
        <f>SUBSTITUTE(SUBSTITUTE(SUBSTITUTE(SUBSTITUTE(H763,"(주)",""),"㈜",""),"주식회사","")," ","")</f>
        <v/>
      </c>
      <c r="AD763">
        <f>IF(AND(T763,AC763&lt;&gt;""),IF(COUNTIFS(AC$2:AC763,AC763,T$2:T763,TRUE)=1,MAX(AD$1:AD762)+1,""),"")</f>
        <v/>
      </c>
    </row>
    <row r="764">
      <c r="A764">
        <f>ROW()</f>
        <v/>
      </c>
      <c r="B764">
        <f>IF(설정!$C$4="","",IFERROR(INDEX('1.산군_붙여넣기'!$A$1:$AZ$1001,ROW(),설정!$C$4)&amp;"",""))</f>
        <v/>
      </c>
      <c r="C764">
        <f>IF(설정!$C$5="","",IFERROR(INDEX('1.산군_붙여넣기'!$A$1:$AZ$1001,ROW(),설정!$C$5)&amp;"",""))</f>
        <v/>
      </c>
      <c r="D764" s="5">
        <f>IFERROR(VALUE(SUBSTITUTE(SUBSTITUTE(SUBSTITUTE(IF(설정!$C$6="","",IFERROR(INDEX('1.산군_붙여넣기'!$A$1:$AZ$1001,ROW(),설정!$C$6)&amp;"","")),",",""),"㎡",""),"m2","")),"")</f>
        <v/>
      </c>
      <c r="E764">
        <f>IF(설정!$C$7="","",IFERROR(INDEX('1.산군_붙여넣기'!$A$1:$AZ$1001,ROW(),설정!$C$7)&amp;"",""))</f>
        <v/>
      </c>
      <c r="F764">
        <f>IF(설정!$C$8="","",IFERROR(INDEX('1.산군_붙여넣기'!$A$1:$AZ$1001,ROW(),설정!$C$8)&amp;"",""))</f>
        <v/>
      </c>
      <c r="G764">
        <f>IF(설정!$C$9="","",IFERROR(INDEX('1.산군_붙여넣기'!$A$1:$AZ$1001,ROW(),설정!$C$9)&amp;"",""))</f>
        <v/>
      </c>
      <c r="H764">
        <f>IF(설정!$C$10="","",IFERROR(INDEX('1.산군_붙여넣기'!$A$1:$AZ$1001,ROW(),설정!$C$10)&amp;"",""))</f>
        <v/>
      </c>
      <c r="I764">
        <f>IF(설정!$C$11="","",IFERROR(INDEX('1.산군_붙여넣기'!$A$1:$AZ$1001,ROW(),설정!$C$11)&amp;"",""))</f>
        <v/>
      </c>
      <c r="J764">
        <f>IF(설정!$C$12="","",IFERROR(INDEX('1.산군_붙여넣기'!$A$1:$AZ$1001,ROW(),설정!$C$12)&amp;"",""))</f>
        <v/>
      </c>
      <c r="K764">
        <f>IF(설정!$C$13="","",IFERROR(INDEX('1.산군_붙여넣기'!$A$1:$AZ$1001,ROW(),설정!$C$13)&amp;"",""))</f>
        <v/>
      </c>
      <c r="L764" s="7">
        <f>IF(X764="","",IF(AND(LEN(X764)=8,ISNUMBER(X764*1)),DATE(LEFT(X764,4),MID(X764,5,2),RIGHT(X764,2)),IFERROR(DATEVALUE(SUBSTITUTE(SUBSTITUTE(X764,".","-"),"/","-")),IFERROR(X764*1,""))))</f>
        <v/>
      </c>
      <c r="M764" s="7">
        <f>IF(Y764="","",IF(AND(LEN(Y764)=8,ISNUMBER(Y764*1)),DATE(LEFT(Y764,4),MID(Y764,5,2),RIGHT(Y764,2)),IFERROR(DATEVALUE(SUBSTITUTE(SUBSTITUTE(Y764,".","-"),"/","-")),IFERROR(Y764*1,""))))</f>
        <v/>
      </c>
      <c r="N764">
        <f>IFERROR(LEFT(B764,FIND(" ",B764)-1),B764)</f>
        <v/>
      </c>
      <c r="O764">
        <f>AND(B764&lt;&gt;"",B764&lt;&gt;설정!$B$4,C764&lt;&gt;설정!$B$5)</f>
        <v/>
      </c>
      <c r="P764">
        <f>IF(O764,B764&amp;"|"&amp;C764,"")</f>
        <v/>
      </c>
      <c r="Q764">
        <f>AND(O764,COUNTIF(P765:P$1002,P764)=0)</f>
        <v/>
      </c>
      <c r="R764">
        <f>OR(AND(설정!$A$42&lt;&gt;"",ISNUMBER(SEARCH(설정!$A$42,E764&amp;" "&amp;C764))),AND(설정!$A$43&lt;&gt;"",ISNUMBER(SEARCH(설정!$A$43,E764&amp;" "&amp;C764))),AND(설정!$A$44&lt;&gt;"",ISNUMBER(SEARCH(설정!$A$44,E764&amp;" "&amp;C764))),AND(설정!$A$45&lt;&gt;"",ISNUMBER(SEARCH(설정!$A$45,E764&amp;" "&amp;C764))),AND(설정!$A$46&lt;&gt;"",ISNUMBER(SEARCH(설정!$A$46,E764&amp;" "&amp;C764))),AND(설정!$A$47&lt;&gt;"",ISNUMBER(SEARCH(설정!$A$47,E764&amp;" "&amp;C764))),AND(설정!$A$48&lt;&gt;"",ISNUMBER(SEARCH(설정!$A$48,E764&amp;" "&amp;C764))),AND(설정!$A$49&lt;&gt;"",ISNUMBER(SEARCH(설정!$A$49,E764&amp;" "&amp;C764))),AND(설정!$A$50&lt;&gt;"",ISNUMBER(SEARCH(설정!$A$50,E764&amp;" "&amp;C764))),AND(설정!$A$51&lt;&gt;"",ISNUMBER(SEARCH(설정!$A$51,E764&amp;" "&amp;C764))))</f>
        <v/>
      </c>
      <c r="S764">
        <f>OR(D764="",D764&gt;=설정!$B$19)</f>
        <v/>
      </c>
      <c r="T764">
        <f>AND(Q764,R764,S764)</f>
        <v/>
      </c>
      <c r="U764">
        <f>IF(T764,IF(AND(설정!$A$54&lt;&gt;"",ISNUMBER(SEARCH(설정!$A$54,K764))),설정!$B$54,IF(AND(설정!$A$55&lt;&gt;"",ISNUMBER(SEARCH(설정!$A$55,K764))),설정!$B$55,IF(AND(설정!$A$56&lt;&gt;"",ISNUMBER(SEARCH(설정!$A$56,K764))),설정!$B$56,IF(AND(설정!$A$57&lt;&gt;"",ISNUMBER(SEARCH(설정!$A$57,K764))),설정!$B$57,IF(AND(설정!$A$58&lt;&gt;"",ISNUMBER(SEARCH(설정!$A$58,K764))),설정!$B$58,IF(AND(설정!$A$59&lt;&gt;"",ISNUMBER(SEARCH(설정!$A$59,K764))),설정!$B$59,IF(AND(설정!$A$60&lt;&gt;"",ISNUMBER(SEARCH(설정!$A$60,K764))),설정!$B$60,IF(AND(설정!$A$61&lt;&gt;"",ISNUMBER(SEARCH(설정!$A$61,K764))),설정!$B$61,IF(M764="","설계사","시공사"))))))))),"")</f>
        <v/>
      </c>
      <c r="V764">
        <f>SUBSTITUTE(SUBSTITUTE(SUBSTITUTE(SUBSTITUTE(G764,"(주)",""),"㈜",""),"주식회사","")," ","")</f>
        <v/>
      </c>
      <c r="W764">
        <f>IF(AND(T764,V764&lt;&gt;""),IF(COUNTIFS(V$2:V764,V764,T$2:T764,TRUE)=1,MAX(W$1:W763)+1,""),"")</f>
        <v/>
      </c>
      <c r="X764">
        <f>IF(설정!$C$14="","",IFERROR(INDEX('1.산군_붙여넣기'!$A$1:$AZ$1001,ROW(),설정!$C$14)&amp;"",""))</f>
        <v/>
      </c>
      <c r="Y764">
        <f>IF(설정!$C$15="","",IFERROR(INDEX('1.산군_붙여넣기'!$A$1:$AZ$1001,ROW(),설정!$C$15)&amp;"",""))</f>
        <v/>
      </c>
      <c r="Z764">
        <f>IF(T764,V764&amp;"|"&amp;U764,"")</f>
        <v/>
      </c>
      <c r="AA764">
        <f>IF(NOT(Q764),"",IF(NOT(AND(R764,S764)),"✕",IF(OR(OR(AND(L764&lt;&gt;"",M764&lt;&gt;"",N(M764)-N(L764)&gt;설정!$B$27),AND(L764&lt;&gt;"",M764="",설정!$B$24-N(L764)&gt;설정!$B$27)),AND(D764&lt;&gt;"",D764&lt;설정!$B$26)),"△","★")))</f>
        <v/>
      </c>
      <c r="AB764">
        <f>IF(NOT(T764),"",IF(U764="설계사",설정!$B$31,IF(U764="시공사",IF(OR(M764="",설정!$B$24-N(M764)&lt;=설정!$B$28*30.4),설정!$B$32,설정!$B$33),설정!$B$34))+IF(AA764="★",설정!$B$35,0))</f>
        <v/>
      </c>
      <c r="AC764">
        <f>SUBSTITUTE(SUBSTITUTE(SUBSTITUTE(SUBSTITUTE(H764,"(주)",""),"㈜",""),"주식회사","")," ","")</f>
        <v/>
      </c>
      <c r="AD764">
        <f>IF(AND(T764,AC764&lt;&gt;""),IF(COUNTIFS(AC$2:AC764,AC764,T$2:T764,TRUE)=1,MAX(AD$1:AD763)+1,""),"")</f>
        <v/>
      </c>
    </row>
    <row r="765">
      <c r="A765">
        <f>ROW()</f>
        <v/>
      </c>
      <c r="B765">
        <f>IF(설정!$C$4="","",IFERROR(INDEX('1.산군_붙여넣기'!$A$1:$AZ$1001,ROW(),설정!$C$4)&amp;"",""))</f>
        <v/>
      </c>
      <c r="C765">
        <f>IF(설정!$C$5="","",IFERROR(INDEX('1.산군_붙여넣기'!$A$1:$AZ$1001,ROW(),설정!$C$5)&amp;"",""))</f>
        <v/>
      </c>
      <c r="D765" s="5">
        <f>IFERROR(VALUE(SUBSTITUTE(SUBSTITUTE(SUBSTITUTE(IF(설정!$C$6="","",IFERROR(INDEX('1.산군_붙여넣기'!$A$1:$AZ$1001,ROW(),설정!$C$6)&amp;"","")),",",""),"㎡",""),"m2","")),"")</f>
        <v/>
      </c>
      <c r="E765">
        <f>IF(설정!$C$7="","",IFERROR(INDEX('1.산군_붙여넣기'!$A$1:$AZ$1001,ROW(),설정!$C$7)&amp;"",""))</f>
        <v/>
      </c>
      <c r="F765">
        <f>IF(설정!$C$8="","",IFERROR(INDEX('1.산군_붙여넣기'!$A$1:$AZ$1001,ROW(),설정!$C$8)&amp;"",""))</f>
        <v/>
      </c>
      <c r="G765">
        <f>IF(설정!$C$9="","",IFERROR(INDEX('1.산군_붙여넣기'!$A$1:$AZ$1001,ROW(),설정!$C$9)&amp;"",""))</f>
        <v/>
      </c>
      <c r="H765">
        <f>IF(설정!$C$10="","",IFERROR(INDEX('1.산군_붙여넣기'!$A$1:$AZ$1001,ROW(),설정!$C$10)&amp;"",""))</f>
        <v/>
      </c>
      <c r="I765">
        <f>IF(설정!$C$11="","",IFERROR(INDEX('1.산군_붙여넣기'!$A$1:$AZ$1001,ROW(),설정!$C$11)&amp;"",""))</f>
        <v/>
      </c>
      <c r="J765">
        <f>IF(설정!$C$12="","",IFERROR(INDEX('1.산군_붙여넣기'!$A$1:$AZ$1001,ROW(),설정!$C$12)&amp;"",""))</f>
        <v/>
      </c>
      <c r="K765">
        <f>IF(설정!$C$13="","",IFERROR(INDEX('1.산군_붙여넣기'!$A$1:$AZ$1001,ROW(),설정!$C$13)&amp;"",""))</f>
        <v/>
      </c>
      <c r="L765" s="7">
        <f>IF(X765="","",IF(AND(LEN(X765)=8,ISNUMBER(X765*1)),DATE(LEFT(X765,4),MID(X765,5,2),RIGHT(X765,2)),IFERROR(DATEVALUE(SUBSTITUTE(SUBSTITUTE(X765,".","-"),"/","-")),IFERROR(X765*1,""))))</f>
        <v/>
      </c>
      <c r="M765" s="7">
        <f>IF(Y765="","",IF(AND(LEN(Y765)=8,ISNUMBER(Y765*1)),DATE(LEFT(Y765,4),MID(Y765,5,2),RIGHT(Y765,2)),IFERROR(DATEVALUE(SUBSTITUTE(SUBSTITUTE(Y765,".","-"),"/","-")),IFERROR(Y765*1,""))))</f>
        <v/>
      </c>
      <c r="N765">
        <f>IFERROR(LEFT(B765,FIND(" ",B765)-1),B765)</f>
        <v/>
      </c>
      <c r="O765">
        <f>AND(B765&lt;&gt;"",B765&lt;&gt;설정!$B$4,C765&lt;&gt;설정!$B$5)</f>
        <v/>
      </c>
      <c r="P765">
        <f>IF(O765,B765&amp;"|"&amp;C765,"")</f>
        <v/>
      </c>
      <c r="Q765">
        <f>AND(O765,COUNTIF(P766:P$1002,P765)=0)</f>
        <v/>
      </c>
      <c r="R765">
        <f>OR(AND(설정!$A$42&lt;&gt;"",ISNUMBER(SEARCH(설정!$A$42,E765&amp;" "&amp;C765))),AND(설정!$A$43&lt;&gt;"",ISNUMBER(SEARCH(설정!$A$43,E765&amp;" "&amp;C765))),AND(설정!$A$44&lt;&gt;"",ISNUMBER(SEARCH(설정!$A$44,E765&amp;" "&amp;C765))),AND(설정!$A$45&lt;&gt;"",ISNUMBER(SEARCH(설정!$A$45,E765&amp;" "&amp;C765))),AND(설정!$A$46&lt;&gt;"",ISNUMBER(SEARCH(설정!$A$46,E765&amp;" "&amp;C765))),AND(설정!$A$47&lt;&gt;"",ISNUMBER(SEARCH(설정!$A$47,E765&amp;" "&amp;C765))),AND(설정!$A$48&lt;&gt;"",ISNUMBER(SEARCH(설정!$A$48,E765&amp;" "&amp;C765))),AND(설정!$A$49&lt;&gt;"",ISNUMBER(SEARCH(설정!$A$49,E765&amp;" "&amp;C765))),AND(설정!$A$50&lt;&gt;"",ISNUMBER(SEARCH(설정!$A$50,E765&amp;" "&amp;C765))),AND(설정!$A$51&lt;&gt;"",ISNUMBER(SEARCH(설정!$A$51,E765&amp;" "&amp;C765))))</f>
        <v/>
      </c>
      <c r="S765">
        <f>OR(D765="",D765&gt;=설정!$B$19)</f>
        <v/>
      </c>
      <c r="T765">
        <f>AND(Q765,R765,S765)</f>
        <v/>
      </c>
      <c r="U765">
        <f>IF(T765,IF(AND(설정!$A$54&lt;&gt;"",ISNUMBER(SEARCH(설정!$A$54,K765))),설정!$B$54,IF(AND(설정!$A$55&lt;&gt;"",ISNUMBER(SEARCH(설정!$A$55,K765))),설정!$B$55,IF(AND(설정!$A$56&lt;&gt;"",ISNUMBER(SEARCH(설정!$A$56,K765))),설정!$B$56,IF(AND(설정!$A$57&lt;&gt;"",ISNUMBER(SEARCH(설정!$A$57,K765))),설정!$B$57,IF(AND(설정!$A$58&lt;&gt;"",ISNUMBER(SEARCH(설정!$A$58,K765))),설정!$B$58,IF(AND(설정!$A$59&lt;&gt;"",ISNUMBER(SEARCH(설정!$A$59,K765))),설정!$B$59,IF(AND(설정!$A$60&lt;&gt;"",ISNUMBER(SEARCH(설정!$A$60,K765))),설정!$B$60,IF(AND(설정!$A$61&lt;&gt;"",ISNUMBER(SEARCH(설정!$A$61,K765))),설정!$B$61,IF(M765="","설계사","시공사"))))))))),"")</f>
        <v/>
      </c>
      <c r="V765">
        <f>SUBSTITUTE(SUBSTITUTE(SUBSTITUTE(SUBSTITUTE(G765,"(주)",""),"㈜",""),"주식회사","")," ","")</f>
        <v/>
      </c>
      <c r="W765">
        <f>IF(AND(T765,V765&lt;&gt;""),IF(COUNTIFS(V$2:V765,V765,T$2:T765,TRUE)=1,MAX(W$1:W764)+1,""),"")</f>
        <v/>
      </c>
      <c r="X765">
        <f>IF(설정!$C$14="","",IFERROR(INDEX('1.산군_붙여넣기'!$A$1:$AZ$1001,ROW(),설정!$C$14)&amp;"",""))</f>
        <v/>
      </c>
      <c r="Y765">
        <f>IF(설정!$C$15="","",IFERROR(INDEX('1.산군_붙여넣기'!$A$1:$AZ$1001,ROW(),설정!$C$15)&amp;"",""))</f>
        <v/>
      </c>
      <c r="Z765">
        <f>IF(T765,V765&amp;"|"&amp;U765,"")</f>
        <v/>
      </c>
      <c r="AA765">
        <f>IF(NOT(Q765),"",IF(NOT(AND(R765,S765)),"✕",IF(OR(OR(AND(L765&lt;&gt;"",M765&lt;&gt;"",N(M765)-N(L765)&gt;설정!$B$27),AND(L765&lt;&gt;"",M765="",설정!$B$24-N(L765)&gt;설정!$B$27)),AND(D765&lt;&gt;"",D765&lt;설정!$B$26)),"△","★")))</f>
        <v/>
      </c>
      <c r="AB765">
        <f>IF(NOT(T765),"",IF(U765="설계사",설정!$B$31,IF(U765="시공사",IF(OR(M765="",설정!$B$24-N(M765)&lt;=설정!$B$28*30.4),설정!$B$32,설정!$B$33),설정!$B$34))+IF(AA765="★",설정!$B$35,0))</f>
        <v/>
      </c>
      <c r="AC765">
        <f>SUBSTITUTE(SUBSTITUTE(SUBSTITUTE(SUBSTITUTE(H765,"(주)",""),"㈜",""),"주식회사","")," ","")</f>
        <v/>
      </c>
      <c r="AD765">
        <f>IF(AND(T765,AC765&lt;&gt;""),IF(COUNTIFS(AC$2:AC765,AC765,T$2:T765,TRUE)=1,MAX(AD$1:AD764)+1,""),"")</f>
        <v/>
      </c>
    </row>
    <row r="766">
      <c r="A766">
        <f>ROW()</f>
        <v/>
      </c>
      <c r="B766">
        <f>IF(설정!$C$4="","",IFERROR(INDEX('1.산군_붙여넣기'!$A$1:$AZ$1001,ROW(),설정!$C$4)&amp;"",""))</f>
        <v/>
      </c>
      <c r="C766">
        <f>IF(설정!$C$5="","",IFERROR(INDEX('1.산군_붙여넣기'!$A$1:$AZ$1001,ROW(),설정!$C$5)&amp;"",""))</f>
        <v/>
      </c>
      <c r="D766" s="5">
        <f>IFERROR(VALUE(SUBSTITUTE(SUBSTITUTE(SUBSTITUTE(IF(설정!$C$6="","",IFERROR(INDEX('1.산군_붙여넣기'!$A$1:$AZ$1001,ROW(),설정!$C$6)&amp;"","")),",",""),"㎡",""),"m2","")),"")</f>
        <v/>
      </c>
      <c r="E766">
        <f>IF(설정!$C$7="","",IFERROR(INDEX('1.산군_붙여넣기'!$A$1:$AZ$1001,ROW(),설정!$C$7)&amp;"",""))</f>
        <v/>
      </c>
      <c r="F766">
        <f>IF(설정!$C$8="","",IFERROR(INDEX('1.산군_붙여넣기'!$A$1:$AZ$1001,ROW(),설정!$C$8)&amp;"",""))</f>
        <v/>
      </c>
      <c r="G766">
        <f>IF(설정!$C$9="","",IFERROR(INDEX('1.산군_붙여넣기'!$A$1:$AZ$1001,ROW(),설정!$C$9)&amp;"",""))</f>
        <v/>
      </c>
      <c r="H766">
        <f>IF(설정!$C$10="","",IFERROR(INDEX('1.산군_붙여넣기'!$A$1:$AZ$1001,ROW(),설정!$C$10)&amp;"",""))</f>
        <v/>
      </c>
      <c r="I766">
        <f>IF(설정!$C$11="","",IFERROR(INDEX('1.산군_붙여넣기'!$A$1:$AZ$1001,ROW(),설정!$C$11)&amp;"",""))</f>
        <v/>
      </c>
      <c r="J766">
        <f>IF(설정!$C$12="","",IFERROR(INDEX('1.산군_붙여넣기'!$A$1:$AZ$1001,ROW(),설정!$C$12)&amp;"",""))</f>
        <v/>
      </c>
      <c r="K766">
        <f>IF(설정!$C$13="","",IFERROR(INDEX('1.산군_붙여넣기'!$A$1:$AZ$1001,ROW(),설정!$C$13)&amp;"",""))</f>
        <v/>
      </c>
      <c r="L766" s="7">
        <f>IF(X766="","",IF(AND(LEN(X766)=8,ISNUMBER(X766*1)),DATE(LEFT(X766,4),MID(X766,5,2),RIGHT(X766,2)),IFERROR(DATEVALUE(SUBSTITUTE(SUBSTITUTE(X766,".","-"),"/","-")),IFERROR(X766*1,""))))</f>
        <v/>
      </c>
      <c r="M766" s="7">
        <f>IF(Y766="","",IF(AND(LEN(Y766)=8,ISNUMBER(Y766*1)),DATE(LEFT(Y766,4),MID(Y766,5,2),RIGHT(Y766,2)),IFERROR(DATEVALUE(SUBSTITUTE(SUBSTITUTE(Y766,".","-"),"/","-")),IFERROR(Y766*1,""))))</f>
        <v/>
      </c>
      <c r="N766">
        <f>IFERROR(LEFT(B766,FIND(" ",B766)-1),B766)</f>
        <v/>
      </c>
      <c r="O766">
        <f>AND(B766&lt;&gt;"",B766&lt;&gt;설정!$B$4,C766&lt;&gt;설정!$B$5)</f>
        <v/>
      </c>
      <c r="P766">
        <f>IF(O766,B766&amp;"|"&amp;C766,"")</f>
        <v/>
      </c>
      <c r="Q766">
        <f>AND(O766,COUNTIF(P767:P$1002,P766)=0)</f>
        <v/>
      </c>
      <c r="R766">
        <f>OR(AND(설정!$A$42&lt;&gt;"",ISNUMBER(SEARCH(설정!$A$42,E766&amp;" "&amp;C766))),AND(설정!$A$43&lt;&gt;"",ISNUMBER(SEARCH(설정!$A$43,E766&amp;" "&amp;C766))),AND(설정!$A$44&lt;&gt;"",ISNUMBER(SEARCH(설정!$A$44,E766&amp;" "&amp;C766))),AND(설정!$A$45&lt;&gt;"",ISNUMBER(SEARCH(설정!$A$45,E766&amp;" "&amp;C766))),AND(설정!$A$46&lt;&gt;"",ISNUMBER(SEARCH(설정!$A$46,E766&amp;" "&amp;C766))),AND(설정!$A$47&lt;&gt;"",ISNUMBER(SEARCH(설정!$A$47,E766&amp;" "&amp;C766))),AND(설정!$A$48&lt;&gt;"",ISNUMBER(SEARCH(설정!$A$48,E766&amp;" "&amp;C766))),AND(설정!$A$49&lt;&gt;"",ISNUMBER(SEARCH(설정!$A$49,E766&amp;" "&amp;C766))),AND(설정!$A$50&lt;&gt;"",ISNUMBER(SEARCH(설정!$A$50,E766&amp;" "&amp;C766))),AND(설정!$A$51&lt;&gt;"",ISNUMBER(SEARCH(설정!$A$51,E766&amp;" "&amp;C766))))</f>
        <v/>
      </c>
      <c r="S766">
        <f>OR(D766="",D766&gt;=설정!$B$19)</f>
        <v/>
      </c>
      <c r="T766">
        <f>AND(Q766,R766,S766)</f>
        <v/>
      </c>
      <c r="U766">
        <f>IF(T766,IF(AND(설정!$A$54&lt;&gt;"",ISNUMBER(SEARCH(설정!$A$54,K766))),설정!$B$54,IF(AND(설정!$A$55&lt;&gt;"",ISNUMBER(SEARCH(설정!$A$55,K766))),설정!$B$55,IF(AND(설정!$A$56&lt;&gt;"",ISNUMBER(SEARCH(설정!$A$56,K766))),설정!$B$56,IF(AND(설정!$A$57&lt;&gt;"",ISNUMBER(SEARCH(설정!$A$57,K766))),설정!$B$57,IF(AND(설정!$A$58&lt;&gt;"",ISNUMBER(SEARCH(설정!$A$58,K766))),설정!$B$58,IF(AND(설정!$A$59&lt;&gt;"",ISNUMBER(SEARCH(설정!$A$59,K766))),설정!$B$59,IF(AND(설정!$A$60&lt;&gt;"",ISNUMBER(SEARCH(설정!$A$60,K766))),설정!$B$60,IF(AND(설정!$A$61&lt;&gt;"",ISNUMBER(SEARCH(설정!$A$61,K766))),설정!$B$61,IF(M766="","설계사","시공사"))))))))),"")</f>
        <v/>
      </c>
      <c r="V766">
        <f>SUBSTITUTE(SUBSTITUTE(SUBSTITUTE(SUBSTITUTE(G766,"(주)",""),"㈜",""),"주식회사","")," ","")</f>
        <v/>
      </c>
      <c r="W766">
        <f>IF(AND(T766,V766&lt;&gt;""),IF(COUNTIFS(V$2:V766,V766,T$2:T766,TRUE)=1,MAX(W$1:W765)+1,""),"")</f>
        <v/>
      </c>
      <c r="X766">
        <f>IF(설정!$C$14="","",IFERROR(INDEX('1.산군_붙여넣기'!$A$1:$AZ$1001,ROW(),설정!$C$14)&amp;"",""))</f>
        <v/>
      </c>
      <c r="Y766">
        <f>IF(설정!$C$15="","",IFERROR(INDEX('1.산군_붙여넣기'!$A$1:$AZ$1001,ROW(),설정!$C$15)&amp;"",""))</f>
        <v/>
      </c>
      <c r="Z766">
        <f>IF(T766,V766&amp;"|"&amp;U766,"")</f>
        <v/>
      </c>
      <c r="AA766">
        <f>IF(NOT(Q766),"",IF(NOT(AND(R766,S766)),"✕",IF(OR(OR(AND(L766&lt;&gt;"",M766&lt;&gt;"",N(M766)-N(L766)&gt;설정!$B$27),AND(L766&lt;&gt;"",M766="",설정!$B$24-N(L766)&gt;설정!$B$27)),AND(D766&lt;&gt;"",D766&lt;설정!$B$26)),"△","★")))</f>
        <v/>
      </c>
      <c r="AB766">
        <f>IF(NOT(T766),"",IF(U766="설계사",설정!$B$31,IF(U766="시공사",IF(OR(M766="",설정!$B$24-N(M766)&lt;=설정!$B$28*30.4),설정!$B$32,설정!$B$33),설정!$B$34))+IF(AA766="★",설정!$B$35,0))</f>
        <v/>
      </c>
      <c r="AC766">
        <f>SUBSTITUTE(SUBSTITUTE(SUBSTITUTE(SUBSTITUTE(H766,"(주)",""),"㈜",""),"주식회사","")," ","")</f>
        <v/>
      </c>
      <c r="AD766">
        <f>IF(AND(T766,AC766&lt;&gt;""),IF(COUNTIFS(AC$2:AC766,AC766,T$2:T766,TRUE)=1,MAX(AD$1:AD765)+1,""),"")</f>
        <v/>
      </c>
    </row>
    <row r="767">
      <c r="A767">
        <f>ROW()</f>
        <v/>
      </c>
      <c r="B767">
        <f>IF(설정!$C$4="","",IFERROR(INDEX('1.산군_붙여넣기'!$A$1:$AZ$1001,ROW(),설정!$C$4)&amp;"",""))</f>
        <v/>
      </c>
      <c r="C767">
        <f>IF(설정!$C$5="","",IFERROR(INDEX('1.산군_붙여넣기'!$A$1:$AZ$1001,ROW(),설정!$C$5)&amp;"",""))</f>
        <v/>
      </c>
      <c r="D767" s="5">
        <f>IFERROR(VALUE(SUBSTITUTE(SUBSTITUTE(SUBSTITUTE(IF(설정!$C$6="","",IFERROR(INDEX('1.산군_붙여넣기'!$A$1:$AZ$1001,ROW(),설정!$C$6)&amp;"","")),",",""),"㎡",""),"m2","")),"")</f>
        <v/>
      </c>
      <c r="E767">
        <f>IF(설정!$C$7="","",IFERROR(INDEX('1.산군_붙여넣기'!$A$1:$AZ$1001,ROW(),설정!$C$7)&amp;"",""))</f>
        <v/>
      </c>
      <c r="F767">
        <f>IF(설정!$C$8="","",IFERROR(INDEX('1.산군_붙여넣기'!$A$1:$AZ$1001,ROW(),설정!$C$8)&amp;"",""))</f>
        <v/>
      </c>
      <c r="G767">
        <f>IF(설정!$C$9="","",IFERROR(INDEX('1.산군_붙여넣기'!$A$1:$AZ$1001,ROW(),설정!$C$9)&amp;"",""))</f>
        <v/>
      </c>
      <c r="H767">
        <f>IF(설정!$C$10="","",IFERROR(INDEX('1.산군_붙여넣기'!$A$1:$AZ$1001,ROW(),설정!$C$10)&amp;"",""))</f>
        <v/>
      </c>
      <c r="I767">
        <f>IF(설정!$C$11="","",IFERROR(INDEX('1.산군_붙여넣기'!$A$1:$AZ$1001,ROW(),설정!$C$11)&amp;"",""))</f>
        <v/>
      </c>
      <c r="J767">
        <f>IF(설정!$C$12="","",IFERROR(INDEX('1.산군_붙여넣기'!$A$1:$AZ$1001,ROW(),설정!$C$12)&amp;"",""))</f>
        <v/>
      </c>
      <c r="K767">
        <f>IF(설정!$C$13="","",IFERROR(INDEX('1.산군_붙여넣기'!$A$1:$AZ$1001,ROW(),설정!$C$13)&amp;"",""))</f>
        <v/>
      </c>
      <c r="L767" s="7">
        <f>IF(X767="","",IF(AND(LEN(X767)=8,ISNUMBER(X767*1)),DATE(LEFT(X767,4),MID(X767,5,2),RIGHT(X767,2)),IFERROR(DATEVALUE(SUBSTITUTE(SUBSTITUTE(X767,".","-"),"/","-")),IFERROR(X767*1,""))))</f>
        <v/>
      </c>
      <c r="M767" s="7">
        <f>IF(Y767="","",IF(AND(LEN(Y767)=8,ISNUMBER(Y767*1)),DATE(LEFT(Y767,4),MID(Y767,5,2),RIGHT(Y767,2)),IFERROR(DATEVALUE(SUBSTITUTE(SUBSTITUTE(Y767,".","-"),"/","-")),IFERROR(Y767*1,""))))</f>
        <v/>
      </c>
      <c r="N767">
        <f>IFERROR(LEFT(B767,FIND(" ",B767)-1),B767)</f>
        <v/>
      </c>
      <c r="O767">
        <f>AND(B767&lt;&gt;"",B767&lt;&gt;설정!$B$4,C767&lt;&gt;설정!$B$5)</f>
        <v/>
      </c>
      <c r="P767">
        <f>IF(O767,B767&amp;"|"&amp;C767,"")</f>
        <v/>
      </c>
      <c r="Q767">
        <f>AND(O767,COUNTIF(P768:P$1002,P767)=0)</f>
        <v/>
      </c>
      <c r="R767">
        <f>OR(AND(설정!$A$42&lt;&gt;"",ISNUMBER(SEARCH(설정!$A$42,E767&amp;" "&amp;C767))),AND(설정!$A$43&lt;&gt;"",ISNUMBER(SEARCH(설정!$A$43,E767&amp;" "&amp;C767))),AND(설정!$A$44&lt;&gt;"",ISNUMBER(SEARCH(설정!$A$44,E767&amp;" "&amp;C767))),AND(설정!$A$45&lt;&gt;"",ISNUMBER(SEARCH(설정!$A$45,E767&amp;" "&amp;C767))),AND(설정!$A$46&lt;&gt;"",ISNUMBER(SEARCH(설정!$A$46,E767&amp;" "&amp;C767))),AND(설정!$A$47&lt;&gt;"",ISNUMBER(SEARCH(설정!$A$47,E767&amp;" "&amp;C767))),AND(설정!$A$48&lt;&gt;"",ISNUMBER(SEARCH(설정!$A$48,E767&amp;" "&amp;C767))),AND(설정!$A$49&lt;&gt;"",ISNUMBER(SEARCH(설정!$A$49,E767&amp;" "&amp;C767))),AND(설정!$A$50&lt;&gt;"",ISNUMBER(SEARCH(설정!$A$50,E767&amp;" "&amp;C767))),AND(설정!$A$51&lt;&gt;"",ISNUMBER(SEARCH(설정!$A$51,E767&amp;" "&amp;C767))))</f>
        <v/>
      </c>
      <c r="S767">
        <f>OR(D767="",D767&gt;=설정!$B$19)</f>
        <v/>
      </c>
      <c r="T767">
        <f>AND(Q767,R767,S767)</f>
        <v/>
      </c>
      <c r="U767">
        <f>IF(T767,IF(AND(설정!$A$54&lt;&gt;"",ISNUMBER(SEARCH(설정!$A$54,K767))),설정!$B$54,IF(AND(설정!$A$55&lt;&gt;"",ISNUMBER(SEARCH(설정!$A$55,K767))),설정!$B$55,IF(AND(설정!$A$56&lt;&gt;"",ISNUMBER(SEARCH(설정!$A$56,K767))),설정!$B$56,IF(AND(설정!$A$57&lt;&gt;"",ISNUMBER(SEARCH(설정!$A$57,K767))),설정!$B$57,IF(AND(설정!$A$58&lt;&gt;"",ISNUMBER(SEARCH(설정!$A$58,K767))),설정!$B$58,IF(AND(설정!$A$59&lt;&gt;"",ISNUMBER(SEARCH(설정!$A$59,K767))),설정!$B$59,IF(AND(설정!$A$60&lt;&gt;"",ISNUMBER(SEARCH(설정!$A$60,K767))),설정!$B$60,IF(AND(설정!$A$61&lt;&gt;"",ISNUMBER(SEARCH(설정!$A$61,K767))),설정!$B$61,IF(M767="","설계사","시공사"))))))))),"")</f>
        <v/>
      </c>
      <c r="V767">
        <f>SUBSTITUTE(SUBSTITUTE(SUBSTITUTE(SUBSTITUTE(G767,"(주)",""),"㈜",""),"주식회사","")," ","")</f>
        <v/>
      </c>
      <c r="W767">
        <f>IF(AND(T767,V767&lt;&gt;""),IF(COUNTIFS(V$2:V767,V767,T$2:T767,TRUE)=1,MAX(W$1:W766)+1,""),"")</f>
        <v/>
      </c>
      <c r="X767">
        <f>IF(설정!$C$14="","",IFERROR(INDEX('1.산군_붙여넣기'!$A$1:$AZ$1001,ROW(),설정!$C$14)&amp;"",""))</f>
        <v/>
      </c>
      <c r="Y767">
        <f>IF(설정!$C$15="","",IFERROR(INDEX('1.산군_붙여넣기'!$A$1:$AZ$1001,ROW(),설정!$C$15)&amp;"",""))</f>
        <v/>
      </c>
      <c r="Z767">
        <f>IF(T767,V767&amp;"|"&amp;U767,"")</f>
        <v/>
      </c>
      <c r="AA767">
        <f>IF(NOT(Q767),"",IF(NOT(AND(R767,S767)),"✕",IF(OR(OR(AND(L767&lt;&gt;"",M767&lt;&gt;"",N(M767)-N(L767)&gt;설정!$B$27),AND(L767&lt;&gt;"",M767="",설정!$B$24-N(L767)&gt;설정!$B$27)),AND(D767&lt;&gt;"",D767&lt;설정!$B$26)),"△","★")))</f>
        <v/>
      </c>
      <c r="AB767">
        <f>IF(NOT(T767),"",IF(U767="설계사",설정!$B$31,IF(U767="시공사",IF(OR(M767="",설정!$B$24-N(M767)&lt;=설정!$B$28*30.4),설정!$B$32,설정!$B$33),설정!$B$34))+IF(AA767="★",설정!$B$35,0))</f>
        <v/>
      </c>
      <c r="AC767">
        <f>SUBSTITUTE(SUBSTITUTE(SUBSTITUTE(SUBSTITUTE(H767,"(주)",""),"㈜",""),"주식회사","")," ","")</f>
        <v/>
      </c>
      <c r="AD767">
        <f>IF(AND(T767,AC767&lt;&gt;""),IF(COUNTIFS(AC$2:AC767,AC767,T$2:T767,TRUE)=1,MAX(AD$1:AD766)+1,""),"")</f>
        <v/>
      </c>
    </row>
    <row r="768">
      <c r="A768">
        <f>ROW()</f>
        <v/>
      </c>
      <c r="B768">
        <f>IF(설정!$C$4="","",IFERROR(INDEX('1.산군_붙여넣기'!$A$1:$AZ$1001,ROW(),설정!$C$4)&amp;"",""))</f>
        <v/>
      </c>
      <c r="C768">
        <f>IF(설정!$C$5="","",IFERROR(INDEX('1.산군_붙여넣기'!$A$1:$AZ$1001,ROW(),설정!$C$5)&amp;"",""))</f>
        <v/>
      </c>
      <c r="D768" s="5">
        <f>IFERROR(VALUE(SUBSTITUTE(SUBSTITUTE(SUBSTITUTE(IF(설정!$C$6="","",IFERROR(INDEX('1.산군_붙여넣기'!$A$1:$AZ$1001,ROW(),설정!$C$6)&amp;"","")),",",""),"㎡",""),"m2","")),"")</f>
        <v/>
      </c>
      <c r="E768">
        <f>IF(설정!$C$7="","",IFERROR(INDEX('1.산군_붙여넣기'!$A$1:$AZ$1001,ROW(),설정!$C$7)&amp;"",""))</f>
        <v/>
      </c>
      <c r="F768">
        <f>IF(설정!$C$8="","",IFERROR(INDEX('1.산군_붙여넣기'!$A$1:$AZ$1001,ROW(),설정!$C$8)&amp;"",""))</f>
        <v/>
      </c>
      <c r="G768">
        <f>IF(설정!$C$9="","",IFERROR(INDEX('1.산군_붙여넣기'!$A$1:$AZ$1001,ROW(),설정!$C$9)&amp;"",""))</f>
        <v/>
      </c>
      <c r="H768">
        <f>IF(설정!$C$10="","",IFERROR(INDEX('1.산군_붙여넣기'!$A$1:$AZ$1001,ROW(),설정!$C$10)&amp;"",""))</f>
        <v/>
      </c>
      <c r="I768">
        <f>IF(설정!$C$11="","",IFERROR(INDEX('1.산군_붙여넣기'!$A$1:$AZ$1001,ROW(),설정!$C$11)&amp;"",""))</f>
        <v/>
      </c>
      <c r="J768">
        <f>IF(설정!$C$12="","",IFERROR(INDEX('1.산군_붙여넣기'!$A$1:$AZ$1001,ROW(),설정!$C$12)&amp;"",""))</f>
        <v/>
      </c>
      <c r="K768">
        <f>IF(설정!$C$13="","",IFERROR(INDEX('1.산군_붙여넣기'!$A$1:$AZ$1001,ROW(),설정!$C$13)&amp;"",""))</f>
        <v/>
      </c>
      <c r="L768" s="7">
        <f>IF(X768="","",IF(AND(LEN(X768)=8,ISNUMBER(X768*1)),DATE(LEFT(X768,4),MID(X768,5,2),RIGHT(X768,2)),IFERROR(DATEVALUE(SUBSTITUTE(SUBSTITUTE(X768,".","-"),"/","-")),IFERROR(X768*1,""))))</f>
        <v/>
      </c>
      <c r="M768" s="7">
        <f>IF(Y768="","",IF(AND(LEN(Y768)=8,ISNUMBER(Y768*1)),DATE(LEFT(Y768,4),MID(Y768,5,2),RIGHT(Y768,2)),IFERROR(DATEVALUE(SUBSTITUTE(SUBSTITUTE(Y768,".","-"),"/","-")),IFERROR(Y768*1,""))))</f>
        <v/>
      </c>
      <c r="N768">
        <f>IFERROR(LEFT(B768,FIND(" ",B768)-1),B768)</f>
        <v/>
      </c>
      <c r="O768">
        <f>AND(B768&lt;&gt;"",B768&lt;&gt;설정!$B$4,C768&lt;&gt;설정!$B$5)</f>
        <v/>
      </c>
      <c r="P768">
        <f>IF(O768,B768&amp;"|"&amp;C768,"")</f>
        <v/>
      </c>
      <c r="Q768">
        <f>AND(O768,COUNTIF(P769:P$1002,P768)=0)</f>
        <v/>
      </c>
      <c r="R768">
        <f>OR(AND(설정!$A$42&lt;&gt;"",ISNUMBER(SEARCH(설정!$A$42,E768&amp;" "&amp;C768))),AND(설정!$A$43&lt;&gt;"",ISNUMBER(SEARCH(설정!$A$43,E768&amp;" "&amp;C768))),AND(설정!$A$44&lt;&gt;"",ISNUMBER(SEARCH(설정!$A$44,E768&amp;" "&amp;C768))),AND(설정!$A$45&lt;&gt;"",ISNUMBER(SEARCH(설정!$A$45,E768&amp;" "&amp;C768))),AND(설정!$A$46&lt;&gt;"",ISNUMBER(SEARCH(설정!$A$46,E768&amp;" "&amp;C768))),AND(설정!$A$47&lt;&gt;"",ISNUMBER(SEARCH(설정!$A$47,E768&amp;" "&amp;C768))),AND(설정!$A$48&lt;&gt;"",ISNUMBER(SEARCH(설정!$A$48,E768&amp;" "&amp;C768))),AND(설정!$A$49&lt;&gt;"",ISNUMBER(SEARCH(설정!$A$49,E768&amp;" "&amp;C768))),AND(설정!$A$50&lt;&gt;"",ISNUMBER(SEARCH(설정!$A$50,E768&amp;" "&amp;C768))),AND(설정!$A$51&lt;&gt;"",ISNUMBER(SEARCH(설정!$A$51,E768&amp;" "&amp;C768))))</f>
        <v/>
      </c>
      <c r="S768">
        <f>OR(D768="",D768&gt;=설정!$B$19)</f>
        <v/>
      </c>
      <c r="T768">
        <f>AND(Q768,R768,S768)</f>
        <v/>
      </c>
      <c r="U768">
        <f>IF(T768,IF(AND(설정!$A$54&lt;&gt;"",ISNUMBER(SEARCH(설정!$A$54,K768))),설정!$B$54,IF(AND(설정!$A$55&lt;&gt;"",ISNUMBER(SEARCH(설정!$A$55,K768))),설정!$B$55,IF(AND(설정!$A$56&lt;&gt;"",ISNUMBER(SEARCH(설정!$A$56,K768))),설정!$B$56,IF(AND(설정!$A$57&lt;&gt;"",ISNUMBER(SEARCH(설정!$A$57,K768))),설정!$B$57,IF(AND(설정!$A$58&lt;&gt;"",ISNUMBER(SEARCH(설정!$A$58,K768))),설정!$B$58,IF(AND(설정!$A$59&lt;&gt;"",ISNUMBER(SEARCH(설정!$A$59,K768))),설정!$B$59,IF(AND(설정!$A$60&lt;&gt;"",ISNUMBER(SEARCH(설정!$A$60,K768))),설정!$B$60,IF(AND(설정!$A$61&lt;&gt;"",ISNUMBER(SEARCH(설정!$A$61,K768))),설정!$B$61,IF(M768="","설계사","시공사"))))))))),"")</f>
        <v/>
      </c>
      <c r="V768">
        <f>SUBSTITUTE(SUBSTITUTE(SUBSTITUTE(SUBSTITUTE(G768,"(주)",""),"㈜",""),"주식회사","")," ","")</f>
        <v/>
      </c>
      <c r="W768">
        <f>IF(AND(T768,V768&lt;&gt;""),IF(COUNTIFS(V$2:V768,V768,T$2:T768,TRUE)=1,MAX(W$1:W767)+1,""),"")</f>
        <v/>
      </c>
      <c r="X768">
        <f>IF(설정!$C$14="","",IFERROR(INDEX('1.산군_붙여넣기'!$A$1:$AZ$1001,ROW(),설정!$C$14)&amp;"",""))</f>
        <v/>
      </c>
      <c r="Y768">
        <f>IF(설정!$C$15="","",IFERROR(INDEX('1.산군_붙여넣기'!$A$1:$AZ$1001,ROW(),설정!$C$15)&amp;"",""))</f>
        <v/>
      </c>
      <c r="Z768">
        <f>IF(T768,V768&amp;"|"&amp;U768,"")</f>
        <v/>
      </c>
      <c r="AA768">
        <f>IF(NOT(Q768),"",IF(NOT(AND(R768,S768)),"✕",IF(OR(OR(AND(L768&lt;&gt;"",M768&lt;&gt;"",N(M768)-N(L768)&gt;설정!$B$27),AND(L768&lt;&gt;"",M768="",설정!$B$24-N(L768)&gt;설정!$B$27)),AND(D768&lt;&gt;"",D768&lt;설정!$B$26)),"△","★")))</f>
        <v/>
      </c>
      <c r="AB768">
        <f>IF(NOT(T768),"",IF(U768="설계사",설정!$B$31,IF(U768="시공사",IF(OR(M768="",설정!$B$24-N(M768)&lt;=설정!$B$28*30.4),설정!$B$32,설정!$B$33),설정!$B$34))+IF(AA768="★",설정!$B$35,0))</f>
        <v/>
      </c>
      <c r="AC768">
        <f>SUBSTITUTE(SUBSTITUTE(SUBSTITUTE(SUBSTITUTE(H768,"(주)",""),"㈜",""),"주식회사","")," ","")</f>
        <v/>
      </c>
      <c r="AD768">
        <f>IF(AND(T768,AC768&lt;&gt;""),IF(COUNTIFS(AC$2:AC768,AC768,T$2:T768,TRUE)=1,MAX(AD$1:AD767)+1,""),"")</f>
        <v/>
      </c>
    </row>
    <row r="769">
      <c r="A769">
        <f>ROW()</f>
        <v/>
      </c>
      <c r="B769">
        <f>IF(설정!$C$4="","",IFERROR(INDEX('1.산군_붙여넣기'!$A$1:$AZ$1001,ROW(),설정!$C$4)&amp;"",""))</f>
        <v/>
      </c>
      <c r="C769">
        <f>IF(설정!$C$5="","",IFERROR(INDEX('1.산군_붙여넣기'!$A$1:$AZ$1001,ROW(),설정!$C$5)&amp;"",""))</f>
        <v/>
      </c>
      <c r="D769" s="5">
        <f>IFERROR(VALUE(SUBSTITUTE(SUBSTITUTE(SUBSTITUTE(IF(설정!$C$6="","",IFERROR(INDEX('1.산군_붙여넣기'!$A$1:$AZ$1001,ROW(),설정!$C$6)&amp;"","")),",",""),"㎡",""),"m2","")),"")</f>
        <v/>
      </c>
      <c r="E769">
        <f>IF(설정!$C$7="","",IFERROR(INDEX('1.산군_붙여넣기'!$A$1:$AZ$1001,ROW(),설정!$C$7)&amp;"",""))</f>
        <v/>
      </c>
      <c r="F769">
        <f>IF(설정!$C$8="","",IFERROR(INDEX('1.산군_붙여넣기'!$A$1:$AZ$1001,ROW(),설정!$C$8)&amp;"",""))</f>
        <v/>
      </c>
      <c r="G769">
        <f>IF(설정!$C$9="","",IFERROR(INDEX('1.산군_붙여넣기'!$A$1:$AZ$1001,ROW(),설정!$C$9)&amp;"",""))</f>
        <v/>
      </c>
      <c r="H769">
        <f>IF(설정!$C$10="","",IFERROR(INDEX('1.산군_붙여넣기'!$A$1:$AZ$1001,ROW(),설정!$C$10)&amp;"",""))</f>
        <v/>
      </c>
      <c r="I769">
        <f>IF(설정!$C$11="","",IFERROR(INDEX('1.산군_붙여넣기'!$A$1:$AZ$1001,ROW(),설정!$C$11)&amp;"",""))</f>
        <v/>
      </c>
      <c r="J769">
        <f>IF(설정!$C$12="","",IFERROR(INDEX('1.산군_붙여넣기'!$A$1:$AZ$1001,ROW(),설정!$C$12)&amp;"",""))</f>
        <v/>
      </c>
      <c r="K769">
        <f>IF(설정!$C$13="","",IFERROR(INDEX('1.산군_붙여넣기'!$A$1:$AZ$1001,ROW(),설정!$C$13)&amp;"",""))</f>
        <v/>
      </c>
      <c r="L769" s="7">
        <f>IF(X769="","",IF(AND(LEN(X769)=8,ISNUMBER(X769*1)),DATE(LEFT(X769,4),MID(X769,5,2),RIGHT(X769,2)),IFERROR(DATEVALUE(SUBSTITUTE(SUBSTITUTE(X769,".","-"),"/","-")),IFERROR(X769*1,""))))</f>
        <v/>
      </c>
      <c r="M769" s="7">
        <f>IF(Y769="","",IF(AND(LEN(Y769)=8,ISNUMBER(Y769*1)),DATE(LEFT(Y769,4),MID(Y769,5,2),RIGHT(Y769,2)),IFERROR(DATEVALUE(SUBSTITUTE(SUBSTITUTE(Y769,".","-"),"/","-")),IFERROR(Y769*1,""))))</f>
        <v/>
      </c>
      <c r="N769">
        <f>IFERROR(LEFT(B769,FIND(" ",B769)-1),B769)</f>
        <v/>
      </c>
      <c r="O769">
        <f>AND(B769&lt;&gt;"",B769&lt;&gt;설정!$B$4,C769&lt;&gt;설정!$B$5)</f>
        <v/>
      </c>
      <c r="P769">
        <f>IF(O769,B769&amp;"|"&amp;C769,"")</f>
        <v/>
      </c>
      <c r="Q769">
        <f>AND(O769,COUNTIF(P770:P$1002,P769)=0)</f>
        <v/>
      </c>
      <c r="R769">
        <f>OR(AND(설정!$A$42&lt;&gt;"",ISNUMBER(SEARCH(설정!$A$42,E769&amp;" "&amp;C769))),AND(설정!$A$43&lt;&gt;"",ISNUMBER(SEARCH(설정!$A$43,E769&amp;" "&amp;C769))),AND(설정!$A$44&lt;&gt;"",ISNUMBER(SEARCH(설정!$A$44,E769&amp;" "&amp;C769))),AND(설정!$A$45&lt;&gt;"",ISNUMBER(SEARCH(설정!$A$45,E769&amp;" "&amp;C769))),AND(설정!$A$46&lt;&gt;"",ISNUMBER(SEARCH(설정!$A$46,E769&amp;" "&amp;C769))),AND(설정!$A$47&lt;&gt;"",ISNUMBER(SEARCH(설정!$A$47,E769&amp;" "&amp;C769))),AND(설정!$A$48&lt;&gt;"",ISNUMBER(SEARCH(설정!$A$48,E769&amp;" "&amp;C769))),AND(설정!$A$49&lt;&gt;"",ISNUMBER(SEARCH(설정!$A$49,E769&amp;" "&amp;C769))),AND(설정!$A$50&lt;&gt;"",ISNUMBER(SEARCH(설정!$A$50,E769&amp;" "&amp;C769))),AND(설정!$A$51&lt;&gt;"",ISNUMBER(SEARCH(설정!$A$51,E769&amp;" "&amp;C769))))</f>
        <v/>
      </c>
      <c r="S769">
        <f>OR(D769="",D769&gt;=설정!$B$19)</f>
        <v/>
      </c>
      <c r="T769">
        <f>AND(Q769,R769,S769)</f>
        <v/>
      </c>
      <c r="U769">
        <f>IF(T769,IF(AND(설정!$A$54&lt;&gt;"",ISNUMBER(SEARCH(설정!$A$54,K769))),설정!$B$54,IF(AND(설정!$A$55&lt;&gt;"",ISNUMBER(SEARCH(설정!$A$55,K769))),설정!$B$55,IF(AND(설정!$A$56&lt;&gt;"",ISNUMBER(SEARCH(설정!$A$56,K769))),설정!$B$56,IF(AND(설정!$A$57&lt;&gt;"",ISNUMBER(SEARCH(설정!$A$57,K769))),설정!$B$57,IF(AND(설정!$A$58&lt;&gt;"",ISNUMBER(SEARCH(설정!$A$58,K769))),설정!$B$58,IF(AND(설정!$A$59&lt;&gt;"",ISNUMBER(SEARCH(설정!$A$59,K769))),설정!$B$59,IF(AND(설정!$A$60&lt;&gt;"",ISNUMBER(SEARCH(설정!$A$60,K769))),설정!$B$60,IF(AND(설정!$A$61&lt;&gt;"",ISNUMBER(SEARCH(설정!$A$61,K769))),설정!$B$61,IF(M769="","설계사","시공사"))))))))),"")</f>
        <v/>
      </c>
      <c r="V769">
        <f>SUBSTITUTE(SUBSTITUTE(SUBSTITUTE(SUBSTITUTE(G769,"(주)",""),"㈜",""),"주식회사","")," ","")</f>
        <v/>
      </c>
      <c r="W769">
        <f>IF(AND(T769,V769&lt;&gt;""),IF(COUNTIFS(V$2:V769,V769,T$2:T769,TRUE)=1,MAX(W$1:W768)+1,""),"")</f>
        <v/>
      </c>
      <c r="X769">
        <f>IF(설정!$C$14="","",IFERROR(INDEX('1.산군_붙여넣기'!$A$1:$AZ$1001,ROW(),설정!$C$14)&amp;"",""))</f>
        <v/>
      </c>
      <c r="Y769">
        <f>IF(설정!$C$15="","",IFERROR(INDEX('1.산군_붙여넣기'!$A$1:$AZ$1001,ROW(),설정!$C$15)&amp;"",""))</f>
        <v/>
      </c>
      <c r="Z769">
        <f>IF(T769,V769&amp;"|"&amp;U769,"")</f>
        <v/>
      </c>
      <c r="AA769">
        <f>IF(NOT(Q769),"",IF(NOT(AND(R769,S769)),"✕",IF(OR(OR(AND(L769&lt;&gt;"",M769&lt;&gt;"",N(M769)-N(L769)&gt;설정!$B$27),AND(L769&lt;&gt;"",M769="",설정!$B$24-N(L769)&gt;설정!$B$27)),AND(D769&lt;&gt;"",D769&lt;설정!$B$26)),"△","★")))</f>
        <v/>
      </c>
      <c r="AB769">
        <f>IF(NOT(T769),"",IF(U769="설계사",설정!$B$31,IF(U769="시공사",IF(OR(M769="",설정!$B$24-N(M769)&lt;=설정!$B$28*30.4),설정!$B$32,설정!$B$33),설정!$B$34))+IF(AA769="★",설정!$B$35,0))</f>
        <v/>
      </c>
      <c r="AC769">
        <f>SUBSTITUTE(SUBSTITUTE(SUBSTITUTE(SUBSTITUTE(H769,"(주)",""),"㈜",""),"주식회사","")," ","")</f>
        <v/>
      </c>
      <c r="AD769">
        <f>IF(AND(T769,AC769&lt;&gt;""),IF(COUNTIFS(AC$2:AC769,AC769,T$2:T769,TRUE)=1,MAX(AD$1:AD768)+1,""),"")</f>
        <v/>
      </c>
    </row>
    <row r="770">
      <c r="A770">
        <f>ROW()</f>
        <v/>
      </c>
      <c r="B770">
        <f>IF(설정!$C$4="","",IFERROR(INDEX('1.산군_붙여넣기'!$A$1:$AZ$1001,ROW(),설정!$C$4)&amp;"",""))</f>
        <v/>
      </c>
      <c r="C770">
        <f>IF(설정!$C$5="","",IFERROR(INDEX('1.산군_붙여넣기'!$A$1:$AZ$1001,ROW(),설정!$C$5)&amp;"",""))</f>
        <v/>
      </c>
      <c r="D770" s="5">
        <f>IFERROR(VALUE(SUBSTITUTE(SUBSTITUTE(SUBSTITUTE(IF(설정!$C$6="","",IFERROR(INDEX('1.산군_붙여넣기'!$A$1:$AZ$1001,ROW(),설정!$C$6)&amp;"","")),",",""),"㎡",""),"m2","")),"")</f>
        <v/>
      </c>
      <c r="E770">
        <f>IF(설정!$C$7="","",IFERROR(INDEX('1.산군_붙여넣기'!$A$1:$AZ$1001,ROW(),설정!$C$7)&amp;"",""))</f>
        <v/>
      </c>
      <c r="F770">
        <f>IF(설정!$C$8="","",IFERROR(INDEX('1.산군_붙여넣기'!$A$1:$AZ$1001,ROW(),설정!$C$8)&amp;"",""))</f>
        <v/>
      </c>
      <c r="G770">
        <f>IF(설정!$C$9="","",IFERROR(INDEX('1.산군_붙여넣기'!$A$1:$AZ$1001,ROW(),설정!$C$9)&amp;"",""))</f>
        <v/>
      </c>
      <c r="H770">
        <f>IF(설정!$C$10="","",IFERROR(INDEX('1.산군_붙여넣기'!$A$1:$AZ$1001,ROW(),설정!$C$10)&amp;"",""))</f>
        <v/>
      </c>
      <c r="I770">
        <f>IF(설정!$C$11="","",IFERROR(INDEX('1.산군_붙여넣기'!$A$1:$AZ$1001,ROW(),설정!$C$11)&amp;"",""))</f>
        <v/>
      </c>
      <c r="J770">
        <f>IF(설정!$C$12="","",IFERROR(INDEX('1.산군_붙여넣기'!$A$1:$AZ$1001,ROW(),설정!$C$12)&amp;"",""))</f>
        <v/>
      </c>
      <c r="K770">
        <f>IF(설정!$C$13="","",IFERROR(INDEX('1.산군_붙여넣기'!$A$1:$AZ$1001,ROW(),설정!$C$13)&amp;"",""))</f>
        <v/>
      </c>
      <c r="L770" s="7">
        <f>IF(X770="","",IF(AND(LEN(X770)=8,ISNUMBER(X770*1)),DATE(LEFT(X770,4),MID(X770,5,2),RIGHT(X770,2)),IFERROR(DATEVALUE(SUBSTITUTE(SUBSTITUTE(X770,".","-"),"/","-")),IFERROR(X770*1,""))))</f>
        <v/>
      </c>
      <c r="M770" s="7">
        <f>IF(Y770="","",IF(AND(LEN(Y770)=8,ISNUMBER(Y770*1)),DATE(LEFT(Y770,4),MID(Y770,5,2),RIGHT(Y770,2)),IFERROR(DATEVALUE(SUBSTITUTE(SUBSTITUTE(Y770,".","-"),"/","-")),IFERROR(Y770*1,""))))</f>
        <v/>
      </c>
      <c r="N770">
        <f>IFERROR(LEFT(B770,FIND(" ",B770)-1),B770)</f>
        <v/>
      </c>
      <c r="O770">
        <f>AND(B770&lt;&gt;"",B770&lt;&gt;설정!$B$4,C770&lt;&gt;설정!$B$5)</f>
        <v/>
      </c>
      <c r="P770">
        <f>IF(O770,B770&amp;"|"&amp;C770,"")</f>
        <v/>
      </c>
      <c r="Q770">
        <f>AND(O770,COUNTIF(P771:P$1002,P770)=0)</f>
        <v/>
      </c>
      <c r="R770">
        <f>OR(AND(설정!$A$42&lt;&gt;"",ISNUMBER(SEARCH(설정!$A$42,E770&amp;" "&amp;C770))),AND(설정!$A$43&lt;&gt;"",ISNUMBER(SEARCH(설정!$A$43,E770&amp;" "&amp;C770))),AND(설정!$A$44&lt;&gt;"",ISNUMBER(SEARCH(설정!$A$44,E770&amp;" "&amp;C770))),AND(설정!$A$45&lt;&gt;"",ISNUMBER(SEARCH(설정!$A$45,E770&amp;" "&amp;C770))),AND(설정!$A$46&lt;&gt;"",ISNUMBER(SEARCH(설정!$A$46,E770&amp;" "&amp;C770))),AND(설정!$A$47&lt;&gt;"",ISNUMBER(SEARCH(설정!$A$47,E770&amp;" "&amp;C770))),AND(설정!$A$48&lt;&gt;"",ISNUMBER(SEARCH(설정!$A$48,E770&amp;" "&amp;C770))),AND(설정!$A$49&lt;&gt;"",ISNUMBER(SEARCH(설정!$A$49,E770&amp;" "&amp;C770))),AND(설정!$A$50&lt;&gt;"",ISNUMBER(SEARCH(설정!$A$50,E770&amp;" "&amp;C770))),AND(설정!$A$51&lt;&gt;"",ISNUMBER(SEARCH(설정!$A$51,E770&amp;" "&amp;C770))))</f>
        <v/>
      </c>
      <c r="S770">
        <f>OR(D770="",D770&gt;=설정!$B$19)</f>
        <v/>
      </c>
      <c r="T770">
        <f>AND(Q770,R770,S770)</f>
        <v/>
      </c>
      <c r="U770">
        <f>IF(T770,IF(AND(설정!$A$54&lt;&gt;"",ISNUMBER(SEARCH(설정!$A$54,K770))),설정!$B$54,IF(AND(설정!$A$55&lt;&gt;"",ISNUMBER(SEARCH(설정!$A$55,K770))),설정!$B$55,IF(AND(설정!$A$56&lt;&gt;"",ISNUMBER(SEARCH(설정!$A$56,K770))),설정!$B$56,IF(AND(설정!$A$57&lt;&gt;"",ISNUMBER(SEARCH(설정!$A$57,K770))),설정!$B$57,IF(AND(설정!$A$58&lt;&gt;"",ISNUMBER(SEARCH(설정!$A$58,K770))),설정!$B$58,IF(AND(설정!$A$59&lt;&gt;"",ISNUMBER(SEARCH(설정!$A$59,K770))),설정!$B$59,IF(AND(설정!$A$60&lt;&gt;"",ISNUMBER(SEARCH(설정!$A$60,K770))),설정!$B$60,IF(AND(설정!$A$61&lt;&gt;"",ISNUMBER(SEARCH(설정!$A$61,K770))),설정!$B$61,IF(M770="","설계사","시공사"))))))))),"")</f>
        <v/>
      </c>
      <c r="V770">
        <f>SUBSTITUTE(SUBSTITUTE(SUBSTITUTE(SUBSTITUTE(G770,"(주)",""),"㈜",""),"주식회사","")," ","")</f>
        <v/>
      </c>
      <c r="W770">
        <f>IF(AND(T770,V770&lt;&gt;""),IF(COUNTIFS(V$2:V770,V770,T$2:T770,TRUE)=1,MAX(W$1:W769)+1,""),"")</f>
        <v/>
      </c>
      <c r="X770">
        <f>IF(설정!$C$14="","",IFERROR(INDEX('1.산군_붙여넣기'!$A$1:$AZ$1001,ROW(),설정!$C$14)&amp;"",""))</f>
        <v/>
      </c>
      <c r="Y770">
        <f>IF(설정!$C$15="","",IFERROR(INDEX('1.산군_붙여넣기'!$A$1:$AZ$1001,ROW(),설정!$C$15)&amp;"",""))</f>
        <v/>
      </c>
      <c r="Z770">
        <f>IF(T770,V770&amp;"|"&amp;U770,"")</f>
        <v/>
      </c>
      <c r="AA770">
        <f>IF(NOT(Q770),"",IF(NOT(AND(R770,S770)),"✕",IF(OR(OR(AND(L770&lt;&gt;"",M770&lt;&gt;"",N(M770)-N(L770)&gt;설정!$B$27),AND(L770&lt;&gt;"",M770="",설정!$B$24-N(L770)&gt;설정!$B$27)),AND(D770&lt;&gt;"",D770&lt;설정!$B$26)),"△","★")))</f>
        <v/>
      </c>
      <c r="AB770">
        <f>IF(NOT(T770),"",IF(U770="설계사",설정!$B$31,IF(U770="시공사",IF(OR(M770="",설정!$B$24-N(M770)&lt;=설정!$B$28*30.4),설정!$B$32,설정!$B$33),설정!$B$34))+IF(AA770="★",설정!$B$35,0))</f>
        <v/>
      </c>
      <c r="AC770">
        <f>SUBSTITUTE(SUBSTITUTE(SUBSTITUTE(SUBSTITUTE(H770,"(주)",""),"㈜",""),"주식회사","")," ","")</f>
        <v/>
      </c>
      <c r="AD770">
        <f>IF(AND(T770,AC770&lt;&gt;""),IF(COUNTIFS(AC$2:AC770,AC770,T$2:T770,TRUE)=1,MAX(AD$1:AD769)+1,""),"")</f>
        <v/>
      </c>
    </row>
    <row r="771">
      <c r="A771">
        <f>ROW()</f>
        <v/>
      </c>
      <c r="B771">
        <f>IF(설정!$C$4="","",IFERROR(INDEX('1.산군_붙여넣기'!$A$1:$AZ$1001,ROW(),설정!$C$4)&amp;"",""))</f>
        <v/>
      </c>
      <c r="C771">
        <f>IF(설정!$C$5="","",IFERROR(INDEX('1.산군_붙여넣기'!$A$1:$AZ$1001,ROW(),설정!$C$5)&amp;"",""))</f>
        <v/>
      </c>
      <c r="D771" s="5">
        <f>IFERROR(VALUE(SUBSTITUTE(SUBSTITUTE(SUBSTITUTE(IF(설정!$C$6="","",IFERROR(INDEX('1.산군_붙여넣기'!$A$1:$AZ$1001,ROW(),설정!$C$6)&amp;"","")),",",""),"㎡",""),"m2","")),"")</f>
        <v/>
      </c>
      <c r="E771">
        <f>IF(설정!$C$7="","",IFERROR(INDEX('1.산군_붙여넣기'!$A$1:$AZ$1001,ROW(),설정!$C$7)&amp;"",""))</f>
        <v/>
      </c>
      <c r="F771">
        <f>IF(설정!$C$8="","",IFERROR(INDEX('1.산군_붙여넣기'!$A$1:$AZ$1001,ROW(),설정!$C$8)&amp;"",""))</f>
        <v/>
      </c>
      <c r="G771">
        <f>IF(설정!$C$9="","",IFERROR(INDEX('1.산군_붙여넣기'!$A$1:$AZ$1001,ROW(),설정!$C$9)&amp;"",""))</f>
        <v/>
      </c>
      <c r="H771">
        <f>IF(설정!$C$10="","",IFERROR(INDEX('1.산군_붙여넣기'!$A$1:$AZ$1001,ROW(),설정!$C$10)&amp;"",""))</f>
        <v/>
      </c>
      <c r="I771">
        <f>IF(설정!$C$11="","",IFERROR(INDEX('1.산군_붙여넣기'!$A$1:$AZ$1001,ROW(),설정!$C$11)&amp;"",""))</f>
        <v/>
      </c>
      <c r="J771">
        <f>IF(설정!$C$12="","",IFERROR(INDEX('1.산군_붙여넣기'!$A$1:$AZ$1001,ROW(),설정!$C$12)&amp;"",""))</f>
        <v/>
      </c>
      <c r="K771">
        <f>IF(설정!$C$13="","",IFERROR(INDEX('1.산군_붙여넣기'!$A$1:$AZ$1001,ROW(),설정!$C$13)&amp;"",""))</f>
        <v/>
      </c>
      <c r="L771" s="7">
        <f>IF(X771="","",IF(AND(LEN(X771)=8,ISNUMBER(X771*1)),DATE(LEFT(X771,4),MID(X771,5,2),RIGHT(X771,2)),IFERROR(DATEVALUE(SUBSTITUTE(SUBSTITUTE(X771,".","-"),"/","-")),IFERROR(X771*1,""))))</f>
        <v/>
      </c>
      <c r="M771" s="7">
        <f>IF(Y771="","",IF(AND(LEN(Y771)=8,ISNUMBER(Y771*1)),DATE(LEFT(Y771,4),MID(Y771,5,2),RIGHT(Y771,2)),IFERROR(DATEVALUE(SUBSTITUTE(SUBSTITUTE(Y771,".","-"),"/","-")),IFERROR(Y771*1,""))))</f>
        <v/>
      </c>
      <c r="N771">
        <f>IFERROR(LEFT(B771,FIND(" ",B771)-1),B771)</f>
        <v/>
      </c>
      <c r="O771">
        <f>AND(B771&lt;&gt;"",B771&lt;&gt;설정!$B$4,C771&lt;&gt;설정!$B$5)</f>
        <v/>
      </c>
      <c r="P771">
        <f>IF(O771,B771&amp;"|"&amp;C771,"")</f>
        <v/>
      </c>
      <c r="Q771">
        <f>AND(O771,COUNTIF(P772:P$1002,P771)=0)</f>
        <v/>
      </c>
      <c r="R771">
        <f>OR(AND(설정!$A$42&lt;&gt;"",ISNUMBER(SEARCH(설정!$A$42,E771&amp;" "&amp;C771))),AND(설정!$A$43&lt;&gt;"",ISNUMBER(SEARCH(설정!$A$43,E771&amp;" "&amp;C771))),AND(설정!$A$44&lt;&gt;"",ISNUMBER(SEARCH(설정!$A$44,E771&amp;" "&amp;C771))),AND(설정!$A$45&lt;&gt;"",ISNUMBER(SEARCH(설정!$A$45,E771&amp;" "&amp;C771))),AND(설정!$A$46&lt;&gt;"",ISNUMBER(SEARCH(설정!$A$46,E771&amp;" "&amp;C771))),AND(설정!$A$47&lt;&gt;"",ISNUMBER(SEARCH(설정!$A$47,E771&amp;" "&amp;C771))),AND(설정!$A$48&lt;&gt;"",ISNUMBER(SEARCH(설정!$A$48,E771&amp;" "&amp;C771))),AND(설정!$A$49&lt;&gt;"",ISNUMBER(SEARCH(설정!$A$49,E771&amp;" "&amp;C771))),AND(설정!$A$50&lt;&gt;"",ISNUMBER(SEARCH(설정!$A$50,E771&amp;" "&amp;C771))),AND(설정!$A$51&lt;&gt;"",ISNUMBER(SEARCH(설정!$A$51,E771&amp;" "&amp;C771))))</f>
        <v/>
      </c>
      <c r="S771">
        <f>OR(D771="",D771&gt;=설정!$B$19)</f>
        <v/>
      </c>
      <c r="T771">
        <f>AND(Q771,R771,S771)</f>
        <v/>
      </c>
      <c r="U771">
        <f>IF(T771,IF(AND(설정!$A$54&lt;&gt;"",ISNUMBER(SEARCH(설정!$A$54,K771))),설정!$B$54,IF(AND(설정!$A$55&lt;&gt;"",ISNUMBER(SEARCH(설정!$A$55,K771))),설정!$B$55,IF(AND(설정!$A$56&lt;&gt;"",ISNUMBER(SEARCH(설정!$A$56,K771))),설정!$B$56,IF(AND(설정!$A$57&lt;&gt;"",ISNUMBER(SEARCH(설정!$A$57,K771))),설정!$B$57,IF(AND(설정!$A$58&lt;&gt;"",ISNUMBER(SEARCH(설정!$A$58,K771))),설정!$B$58,IF(AND(설정!$A$59&lt;&gt;"",ISNUMBER(SEARCH(설정!$A$59,K771))),설정!$B$59,IF(AND(설정!$A$60&lt;&gt;"",ISNUMBER(SEARCH(설정!$A$60,K771))),설정!$B$60,IF(AND(설정!$A$61&lt;&gt;"",ISNUMBER(SEARCH(설정!$A$61,K771))),설정!$B$61,IF(M771="","설계사","시공사"))))))))),"")</f>
        <v/>
      </c>
      <c r="V771">
        <f>SUBSTITUTE(SUBSTITUTE(SUBSTITUTE(SUBSTITUTE(G771,"(주)",""),"㈜",""),"주식회사","")," ","")</f>
        <v/>
      </c>
      <c r="W771">
        <f>IF(AND(T771,V771&lt;&gt;""),IF(COUNTIFS(V$2:V771,V771,T$2:T771,TRUE)=1,MAX(W$1:W770)+1,""),"")</f>
        <v/>
      </c>
      <c r="X771">
        <f>IF(설정!$C$14="","",IFERROR(INDEX('1.산군_붙여넣기'!$A$1:$AZ$1001,ROW(),설정!$C$14)&amp;"",""))</f>
        <v/>
      </c>
      <c r="Y771">
        <f>IF(설정!$C$15="","",IFERROR(INDEX('1.산군_붙여넣기'!$A$1:$AZ$1001,ROW(),설정!$C$15)&amp;"",""))</f>
        <v/>
      </c>
      <c r="Z771">
        <f>IF(T771,V771&amp;"|"&amp;U771,"")</f>
        <v/>
      </c>
      <c r="AA771">
        <f>IF(NOT(Q771),"",IF(NOT(AND(R771,S771)),"✕",IF(OR(OR(AND(L771&lt;&gt;"",M771&lt;&gt;"",N(M771)-N(L771)&gt;설정!$B$27),AND(L771&lt;&gt;"",M771="",설정!$B$24-N(L771)&gt;설정!$B$27)),AND(D771&lt;&gt;"",D771&lt;설정!$B$26)),"△","★")))</f>
        <v/>
      </c>
      <c r="AB771">
        <f>IF(NOT(T771),"",IF(U771="설계사",설정!$B$31,IF(U771="시공사",IF(OR(M771="",설정!$B$24-N(M771)&lt;=설정!$B$28*30.4),설정!$B$32,설정!$B$33),설정!$B$34))+IF(AA771="★",설정!$B$35,0))</f>
        <v/>
      </c>
      <c r="AC771">
        <f>SUBSTITUTE(SUBSTITUTE(SUBSTITUTE(SUBSTITUTE(H771,"(주)",""),"㈜",""),"주식회사","")," ","")</f>
        <v/>
      </c>
      <c r="AD771">
        <f>IF(AND(T771,AC771&lt;&gt;""),IF(COUNTIFS(AC$2:AC771,AC771,T$2:T771,TRUE)=1,MAX(AD$1:AD770)+1,""),"")</f>
        <v/>
      </c>
    </row>
    <row r="772">
      <c r="A772">
        <f>ROW()</f>
        <v/>
      </c>
      <c r="B772">
        <f>IF(설정!$C$4="","",IFERROR(INDEX('1.산군_붙여넣기'!$A$1:$AZ$1001,ROW(),설정!$C$4)&amp;"",""))</f>
        <v/>
      </c>
      <c r="C772">
        <f>IF(설정!$C$5="","",IFERROR(INDEX('1.산군_붙여넣기'!$A$1:$AZ$1001,ROW(),설정!$C$5)&amp;"",""))</f>
        <v/>
      </c>
      <c r="D772" s="5">
        <f>IFERROR(VALUE(SUBSTITUTE(SUBSTITUTE(SUBSTITUTE(IF(설정!$C$6="","",IFERROR(INDEX('1.산군_붙여넣기'!$A$1:$AZ$1001,ROW(),설정!$C$6)&amp;"","")),",",""),"㎡",""),"m2","")),"")</f>
        <v/>
      </c>
      <c r="E772">
        <f>IF(설정!$C$7="","",IFERROR(INDEX('1.산군_붙여넣기'!$A$1:$AZ$1001,ROW(),설정!$C$7)&amp;"",""))</f>
        <v/>
      </c>
      <c r="F772">
        <f>IF(설정!$C$8="","",IFERROR(INDEX('1.산군_붙여넣기'!$A$1:$AZ$1001,ROW(),설정!$C$8)&amp;"",""))</f>
        <v/>
      </c>
      <c r="G772">
        <f>IF(설정!$C$9="","",IFERROR(INDEX('1.산군_붙여넣기'!$A$1:$AZ$1001,ROW(),설정!$C$9)&amp;"",""))</f>
        <v/>
      </c>
      <c r="H772">
        <f>IF(설정!$C$10="","",IFERROR(INDEX('1.산군_붙여넣기'!$A$1:$AZ$1001,ROW(),설정!$C$10)&amp;"",""))</f>
        <v/>
      </c>
      <c r="I772">
        <f>IF(설정!$C$11="","",IFERROR(INDEX('1.산군_붙여넣기'!$A$1:$AZ$1001,ROW(),설정!$C$11)&amp;"",""))</f>
        <v/>
      </c>
      <c r="J772">
        <f>IF(설정!$C$12="","",IFERROR(INDEX('1.산군_붙여넣기'!$A$1:$AZ$1001,ROW(),설정!$C$12)&amp;"",""))</f>
        <v/>
      </c>
      <c r="K772">
        <f>IF(설정!$C$13="","",IFERROR(INDEX('1.산군_붙여넣기'!$A$1:$AZ$1001,ROW(),설정!$C$13)&amp;"",""))</f>
        <v/>
      </c>
      <c r="L772" s="7">
        <f>IF(X772="","",IF(AND(LEN(X772)=8,ISNUMBER(X772*1)),DATE(LEFT(X772,4),MID(X772,5,2),RIGHT(X772,2)),IFERROR(DATEVALUE(SUBSTITUTE(SUBSTITUTE(X772,".","-"),"/","-")),IFERROR(X772*1,""))))</f>
        <v/>
      </c>
      <c r="M772" s="7">
        <f>IF(Y772="","",IF(AND(LEN(Y772)=8,ISNUMBER(Y772*1)),DATE(LEFT(Y772,4),MID(Y772,5,2),RIGHT(Y772,2)),IFERROR(DATEVALUE(SUBSTITUTE(SUBSTITUTE(Y772,".","-"),"/","-")),IFERROR(Y772*1,""))))</f>
        <v/>
      </c>
      <c r="N772">
        <f>IFERROR(LEFT(B772,FIND(" ",B772)-1),B772)</f>
        <v/>
      </c>
      <c r="O772">
        <f>AND(B772&lt;&gt;"",B772&lt;&gt;설정!$B$4,C772&lt;&gt;설정!$B$5)</f>
        <v/>
      </c>
      <c r="P772">
        <f>IF(O772,B772&amp;"|"&amp;C772,"")</f>
        <v/>
      </c>
      <c r="Q772">
        <f>AND(O772,COUNTIF(P773:P$1002,P772)=0)</f>
        <v/>
      </c>
      <c r="R772">
        <f>OR(AND(설정!$A$42&lt;&gt;"",ISNUMBER(SEARCH(설정!$A$42,E772&amp;" "&amp;C772))),AND(설정!$A$43&lt;&gt;"",ISNUMBER(SEARCH(설정!$A$43,E772&amp;" "&amp;C772))),AND(설정!$A$44&lt;&gt;"",ISNUMBER(SEARCH(설정!$A$44,E772&amp;" "&amp;C772))),AND(설정!$A$45&lt;&gt;"",ISNUMBER(SEARCH(설정!$A$45,E772&amp;" "&amp;C772))),AND(설정!$A$46&lt;&gt;"",ISNUMBER(SEARCH(설정!$A$46,E772&amp;" "&amp;C772))),AND(설정!$A$47&lt;&gt;"",ISNUMBER(SEARCH(설정!$A$47,E772&amp;" "&amp;C772))),AND(설정!$A$48&lt;&gt;"",ISNUMBER(SEARCH(설정!$A$48,E772&amp;" "&amp;C772))),AND(설정!$A$49&lt;&gt;"",ISNUMBER(SEARCH(설정!$A$49,E772&amp;" "&amp;C772))),AND(설정!$A$50&lt;&gt;"",ISNUMBER(SEARCH(설정!$A$50,E772&amp;" "&amp;C772))),AND(설정!$A$51&lt;&gt;"",ISNUMBER(SEARCH(설정!$A$51,E772&amp;" "&amp;C772))))</f>
        <v/>
      </c>
      <c r="S772">
        <f>OR(D772="",D772&gt;=설정!$B$19)</f>
        <v/>
      </c>
      <c r="T772">
        <f>AND(Q772,R772,S772)</f>
        <v/>
      </c>
      <c r="U772">
        <f>IF(T772,IF(AND(설정!$A$54&lt;&gt;"",ISNUMBER(SEARCH(설정!$A$54,K772))),설정!$B$54,IF(AND(설정!$A$55&lt;&gt;"",ISNUMBER(SEARCH(설정!$A$55,K772))),설정!$B$55,IF(AND(설정!$A$56&lt;&gt;"",ISNUMBER(SEARCH(설정!$A$56,K772))),설정!$B$56,IF(AND(설정!$A$57&lt;&gt;"",ISNUMBER(SEARCH(설정!$A$57,K772))),설정!$B$57,IF(AND(설정!$A$58&lt;&gt;"",ISNUMBER(SEARCH(설정!$A$58,K772))),설정!$B$58,IF(AND(설정!$A$59&lt;&gt;"",ISNUMBER(SEARCH(설정!$A$59,K772))),설정!$B$59,IF(AND(설정!$A$60&lt;&gt;"",ISNUMBER(SEARCH(설정!$A$60,K772))),설정!$B$60,IF(AND(설정!$A$61&lt;&gt;"",ISNUMBER(SEARCH(설정!$A$61,K772))),설정!$B$61,IF(M772="","설계사","시공사"))))))))),"")</f>
        <v/>
      </c>
      <c r="V772">
        <f>SUBSTITUTE(SUBSTITUTE(SUBSTITUTE(SUBSTITUTE(G772,"(주)",""),"㈜",""),"주식회사","")," ","")</f>
        <v/>
      </c>
      <c r="W772">
        <f>IF(AND(T772,V772&lt;&gt;""),IF(COUNTIFS(V$2:V772,V772,T$2:T772,TRUE)=1,MAX(W$1:W771)+1,""),"")</f>
        <v/>
      </c>
      <c r="X772">
        <f>IF(설정!$C$14="","",IFERROR(INDEX('1.산군_붙여넣기'!$A$1:$AZ$1001,ROW(),설정!$C$14)&amp;"",""))</f>
        <v/>
      </c>
      <c r="Y772">
        <f>IF(설정!$C$15="","",IFERROR(INDEX('1.산군_붙여넣기'!$A$1:$AZ$1001,ROW(),설정!$C$15)&amp;"",""))</f>
        <v/>
      </c>
      <c r="Z772">
        <f>IF(T772,V772&amp;"|"&amp;U772,"")</f>
        <v/>
      </c>
      <c r="AA772">
        <f>IF(NOT(Q772),"",IF(NOT(AND(R772,S772)),"✕",IF(OR(OR(AND(L772&lt;&gt;"",M772&lt;&gt;"",N(M772)-N(L772)&gt;설정!$B$27),AND(L772&lt;&gt;"",M772="",설정!$B$24-N(L772)&gt;설정!$B$27)),AND(D772&lt;&gt;"",D772&lt;설정!$B$26)),"△","★")))</f>
        <v/>
      </c>
      <c r="AB772">
        <f>IF(NOT(T772),"",IF(U772="설계사",설정!$B$31,IF(U772="시공사",IF(OR(M772="",설정!$B$24-N(M772)&lt;=설정!$B$28*30.4),설정!$B$32,설정!$B$33),설정!$B$34))+IF(AA772="★",설정!$B$35,0))</f>
        <v/>
      </c>
      <c r="AC772">
        <f>SUBSTITUTE(SUBSTITUTE(SUBSTITUTE(SUBSTITUTE(H772,"(주)",""),"㈜",""),"주식회사","")," ","")</f>
        <v/>
      </c>
      <c r="AD772">
        <f>IF(AND(T772,AC772&lt;&gt;""),IF(COUNTIFS(AC$2:AC772,AC772,T$2:T772,TRUE)=1,MAX(AD$1:AD771)+1,""),"")</f>
        <v/>
      </c>
    </row>
    <row r="773">
      <c r="A773">
        <f>ROW()</f>
        <v/>
      </c>
      <c r="B773">
        <f>IF(설정!$C$4="","",IFERROR(INDEX('1.산군_붙여넣기'!$A$1:$AZ$1001,ROW(),설정!$C$4)&amp;"",""))</f>
        <v/>
      </c>
      <c r="C773">
        <f>IF(설정!$C$5="","",IFERROR(INDEX('1.산군_붙여넣기'!$A$1:$AZ$1001,ROW(),설정!$C$5)&amp;"",""))</f>
        <v/>
      </c>
      <c r="D773" s="5">
        <f>IFERROR(VALUE(SUBSTITUTE(SUBSTITUTE(SUBSTITUTE(IF(설정!$C$6="","",IFERROR(INDEX('1.산군_붙여넣기'!$A$1:$AZ$1001,ROW(),설정!$C$6)&amp;"","")),",",""),"㎡",""),"m2","")),"")</f>
        <v/>
      </c>
      <c r="E773">
        <f>IF(설정!$C$7="","",IFERROR(INDEX('1.산군_붙여넣기'!$A$1:$AZ$1001,ROW(),설정!$C$7)&amp;"",""))</f>
        <v/>
      </c>
      <c r="F773">
        <f>IF(설정!$C$8="","",IFERROR(INDEX('1.산군_붙여넣기'!$A$1:$AZ$1001,ROW(),설정!$C$8)&amp;"",""))</f>
        <v/>
      </c>
      <c r="G773">
        <f>IF(설정!$C$9="","",IFERROR(INDEX('1.산군_붙여넣기'!$A$1:$AZ$1001,ROW(),설정!$C$9)&amp;"",""))</f>
        <v/>
      </c>
      <c r="H773">
        <f>IF(설정!$C$10="","",IFERROR(INDEX('1.산군_붙여넣기'!$A$1:$AZ$1001,ROW(),설정!$C$10)&amp;"",""))</f>
        <v/>
      </c>
      <c r="I773">
        <f>IF(설정!$C$11="","",IFERROR(INDEX('1.산군_붙여넣기'!$A$1:$AZ$1001,ROW(),설정!$C$11)&amp;"",""))</f>
        <v/>
      </c>
      <c r="J773">
        <f>IF(설정!$C$12="","",IFERROR(INDEX('1.산군_붙여넣기'!$A$1:$AZ$1001,ROW(),설정!$C$12)&amp;"",""))</f>
        <v/>
      </c>
      <c r="K773">
        <f>IF(설정!$C$13="","",IFERROR(INDEX('1.산군_붙여넣기'!$A$1:$AZ$1001,ROW(),설정!$C$13)&amp;"",""))</f>
        <v/>
      </c>
      <c r="L773" s="7">
        <f>IF(X773="","",IF(AND(LEN(X773)=8,ISNUMBER(X773*1)),DATE(LEFT(X773,4),MID(X773,5,2),RIGHT(X773,2)),IFERROR(DATEVALUE(SUBSTITUTE(SUBSTITUTE(X773,".","-"),"/","-")),IFERROR(X773*1,""))))</f>
        <v/>
      </c>
      <c r="M773" s="7">
        <f>IF(Y773="","",IF(AND(LEN(Y773)=8,ISNUMBER(Y773*1)),DATE(LEFT(Y773,4),MID(Y773,5,2),RIGHT(Y773,2)),IFERROR(DATEVALUE(SUBSTITUTE(SUBSTITUTE(Y773,".","-"),"/","-")),IFERROR(Y773*1,""))))</f>
        <v/>
      </c>
      <c r="N773">
        <f>IFERROR(LEFT(B773,FIND(" ",B773)-1),B773)</f>
        <v/>
      </c>
      <c r="O773">
        <f>AND(B773&lt;&gt;"",B773&lt;&gt;설정!$B$4,C773&lt;&gt;설정!$B$5)</f>
        <v/>
      </c>
      <c r="P773">
        <f>IF(O773,B773&amp;"|"&amp;C773,"")</f>
        <v/>
      </c>
      <c r="Q773">
        <f>AND(O773,COUNTIF(P774:P$1002,P773)=0)</f>
        <v/>
      </c>
      <c r="R773">
        <f>OR(AND(설정!$A$42&lt;&gt;"",ISNUMBER(SEARCH(설정!$A$42,E773&amp;" "&amp;C773))),AND(설정!$A$43&lt;&gt;"",ISNUMBER(SEARCH(설정!$A$43,E773&amp;" "&amp;C773))),AND(설정!$A$44&lt;&gt;"",ISNUMBER(SEARCH(설정!$A$44,E773&amp;" "&amp;C773))),AND(설정!$A$45&lt;&gt;"",ISNUMBER(SEARCH(설정!$A$45,E773&amp;" "&amp;C773))),AND(설정!$A$46&lt;&gt;"",ISNUMBER(SEARCH(설정!$A$46,E773&amp;" "&amp;C773))),AND(설정!$A$47&lt;&gt;"",ISNUMBER(SEARCH(설정!$A$47,E773&amp;" "&amp;C773))),AND(설정!$A$48&lt;&gt;"",ISNUMBER(SEARCH(설정!$A$48,E773&amp;" "&amp;C773))),AND(설정!$A$49&lt;&gt;"",ISNUMBER(SEARCH(설정!$A$49,E773&amp;" "&amp;C773))),AND(설정!$A$50&lt;&gt;"",ISNUMBER(SEARCH(설정!$A$50,E773&amp;" "&amp;C773))),AND(설정!$A$51&lt;&gt;"",ISNUMBER(SEARCH(설정!$A$51,E773&amp;" "&amp;C773))))</f>
        <v/>
      </c>
      <c r="S773">
        <f>OR(D773="",D773&gt;=설정!$B$19)</f>
        <v/>
      </c>
      <c r="T773">
        <f>AND(Q773,R773,S773)</f>
        <v/>
      </c>
      <c r="U773">
        <f>IF(T773,IF(AND(설정!$A$54&lt;&gt;"",ISNUMBER(SEARCH(설정!$A$54,K773))),설정!$B$54,IF(AND(설정!$A$55&lt;&gt;"",ISNUMBER(SEARCH(설정!$A$55,K773))),설정!$B$55,IF(AND(설정!$A$56&lt;&gt;"",ISNUMBER(SEARCH(설정!$A$56,K773))),설정!$B$56,IF(AND(설정!$A$57&lt;&gt;"",ISNUMBER(SEARCH(설정!$A$57,K773))),설정!$B$57,IF(AND(설정!$A$58&lt;&gt;"",ISNUMBER(SEARCH(설정!$A$58,K773))),설정!$B$58,IF(AND(설정!$A$59&lt;&gt;"",ISNUMBER(SEARCH(설정!$A$59,K773))),설정!$B$59,IF(AND(설정!$A$60&lt;&gt;"",ISNUMBER(SEARCH(설정!$A$60,K773))),설정!$B$60,IF(AND(설정!$A$61&lt;&gt;"",ISNUMBER(SEARCH(설정!$A$61,K773))),설정!$B$61,IF(M773="","설계사","시공사"))))))))),"")</f>
        <v/>
      </c>
      <c r="V773">
        <f>SUBSTITUTE(SUBSTITUTE(SUBSTITUTE(SUBSTITUTE(G773,"(주)",""),"㈜",""),"주식회사","")," ","")</f>
        <v/>
      </c>
      <c r="W773">
        <f>IF(AND(T773,V773&lt;&gt;""),IF(COUNTIFS(V$2:V773,V773,T$2:T773,TRUE)=1,MAX(W$1:W772)+1,""),"")</f>
        <v/>
      </c>
      <c r="X773">
        <f>IF(설정!$C$14="","",IFERROR(INDEX('1.산군_붙여넣기'!$A$1:$AZ$1001,ROW(),설정!$C$14)&amp;"",""))</f>
        <v/>
      </c>
      <c r="Y773">
        <f>IF(설정!$C$15="","",IFERROR(INDEX('1.산군_붙여넣기'!$A$1:$AZ$1001,ROW(),설정!$C$15)&amp;"",""))</f>
        <v/>
      </c>
      <c r="Z773">
        <f>IF(T773,V773&amp;"|"&amp;U773,"")</f>
        <v/>
      </c>
      <c r="AA773">
        <f>IF(NOT(Q773),"",IF(NOT(AND(R773,S773)),"✕",IF(OR(OR(AND(L773&lt;&gt;"",M773&lt;&gt;"",N(M773)-N(L773)&gt;설정!$B$27),AND(L773&lt;&gt;"",M773="",설정!$B$24-N(L773)&gt;설정!$B$27)),AND(D773&lt;&gt;"",D773&lt;설정!$B$26)),"△","★")))</f>
        <v/>
      </c>
      <c r="AB773">
        <f>IF(NOT(T773),"",IF(U773="설계사",설정!$B$31,IF(U773="시공사",IF(OR(M773="",설정!$B$24-N(M773)&lt;=설정!$B$28*30.4),설정!$B$32,설정!$B$33),설정!$B$34))+IF(AA773="★",설정!$B$35,0))</f>
        <v/>
      </c>
      <c r="AC773">
        <f>SUBSTITUTE(SUBSTITUTE(SUBSTITUTE(SUBSTITUTE(H773,"(주)",""),"㈜",""),"주식회사","")," ","")</f>
        <v/>
      </c>
      <c r="AD773">
        <f>IF(AND(T773,AC773&lt;&gt;""),IF(COUNTIFS(AC$2:AC773,AC773,T$2:T773,TRUE)=1,MAX(AD$1:AD772)+1,""),"")</f>
        <v/>
      </c>
    </row>
    <row r="774">
      <c r="A774">
        <f>ROW()</f>
        <v/>
      </c>
      <c r="B774">
        <f>IF(설정!$C$4="","",IFERROR(INDEX('1.산군_붙여넣기'!$A$1:$AZ$1001,ROW(),설정!$C$4)&amp;"",""))</f>
        <v/>
      </c>
      <c r="C774">
        <f>IF(설정!$C$5="","",IFERROR(INDEX('1.산군_붙여넣기'!$A$1:$AZ$1001,ROW(),설정!$C$5)&amp;"",""))</f>
        <v/>
      </c>
      <c r="D774" s="5">
        <f>IFERROR(VALUE(SUBSTITUTE(SUBSTITUTE(SUBSTITUTE(IF(설정!$C$6="","",IFERROR(INDEX('1.산군_붙여넣기'!$A$1:$AZ$1001,ROW(),설정!$C$6)&amp;"","")),",",""),"㎡",""),"m2","")),"")</f>
        <v/>
      </c>
      <c r="E774">
        <f>IF(설정!$C$7="","",IFERROR(INDEX('1.산군_붙여넣기'!$A$1:$AZ$1001,ROW(),설정!$C$7)&amp;"",""))</f>
        <v/>
      </c>
      <c r="F774">
        <f>IF(설정!$C$8="","",IFERROR(INDEX('1.산군_붙여넣기'!$A$1:$AZ$1001,ROW(),설정!$C$8)&amp;"",""))</f>
        <v/>
      </c>
      <c r="G774">
        <f>IF(설정!$C$9="","",IFERROR(INDEX('1.산군_붙여넣기'!$A$1:$AZ$1001,ROW(),설정!$C$9)&amp;"",""))</f>
        <v/>
      </c>
      <c r="H774">
        <f>IF(설정!$C$10="","",IFERROR(INDEX('1.산군_붙여넣기'!$A$1:$AZ$1001,ROW(),설정!$C$10)&amp;"",""))</f>
        <v/>
      </c>
      <c r="I774">
        <f>IF(설정!$C$11="","",IFERROR(INDEX('1.산군_붙여넣기'!$A$1:$AZ$1001,ROW(),설정!$C$11)&amp;"",""))</f>
        <v/>
      </c>
      <c r="J774">
        <f>IF(설정!$C$12="","",IFERROR(INDEX('1.산군_붙여넣기'!$A$1:$AZ$1001,ROW(),설정!$C$12)&amp;"",""))</f>
        <v/>
      </c>
      <c r="K774">
        <f>IF(설정!$C$13="","",IFERROR(INDEX('1.산군_붙여넣기'!$A$1:$AZ$1001,ROW(),설정!$C$13)&amp;"",""))</f>
        <v/>
      </c>
      <c r="L774" s="7">
        <f>IF(X774="","",IF(AND(LEN(X774)=8,ISNUMBER(X774*1)),DATE(LEFT(X774,4),MID(X774,5,2),RIGHT(X774,2)),IFERROR(DATEVALUE(SUBSTITUTE(SUBSTITUTE(X774,".","-"),"/","-")),IFERROR(X774*1,""))))</f>
        <v/>
      </c>
      <c r="M774" s="7">
        <f>IF(Y774="","",IF(AND(LEN(Y774)=8,ISNUMBER(Y774*1)),DATE(LEFT(Y774,4),MID(Y774,5,2),RIGHT(Y774,2)),IFERROR(DATEVALUE(SUBSTITUTE(SUBSTITUTE(Y774,".","-"),"/","-")),IFERROR(Y774*1,""))))</f>
        <v/>
      </c>
      <c r="N774">
        <f>IFERROR(LEFT(B774,FIND(" ",B774)-1),B774)</f>
        <v/>
      </c>
      <c r="O774">
        <f>AND(B774&lt;&gt;"",B774&lt;&gt;설정!$B$4,C774&lt;&gt;설정!$B$5)</f>
        <v/>
      </c>
      <c r="P774">
        <f>IF(O774,B774&amp;"|"&amp;C774,"")</f>
        <v/>
      </c>
      <c r="Q774">
        <f>AND(O774,COUNTIF(P775:P$1002,P774)=0)</f>
        <v/>
      </c>
      <c r="R774">
        <f>OR(AND(설정!$A$42&lt;&gt;"",ISNUMBER(SEARCH(설정!$A$42,E774&amp;" "&amp;C774))),AND(설정!$A$43&lt;&gt;"",ISNUMBER(SEARCH(설정!$A$43,E774&amp;" "&amp;C774))),AND(설정!$A$44&lt;&gt;"",ISNUMBER(SEARCH(설정!$A$44,E774&amp;" "&amp;C774))),AND(설정!$A$45&lt;&gt;"",ISNUMBER(SEARCH(설정!$A$45,E774&amp;" "&amp;C774))),AND(설정!$A$46&lt;&gt;"",ISNUMBER(SEARCH(설정!$A$46,E774&amp;" "&amp;C774))),AND(설정!$A$47&lt;&gt;"",ISNUMBER(SEARCH(설정!$A$47,E774&amp;" "&amp;C774))),AND(설정!$A$48&lt;&gt;"",ISNUMBER(SEARCH(설정!$A$48,E774&amp;" "&amp;C774))),AND(설정!$A$49&lt;&gt;"",ISNUMBER(SEARCH(설정!$A$49,E774&amp;" "&amp;C774))),AND(설정!$A$50&lt;&gt;"",ISNUMBER(SEARCH(설정!$A$50,E774&amp;" "&amp;C774))),AND(설정!$A$51&lt;&gt;"",ISNUMBER(SEARCH(설정!$A$51,E774&amp;" "&amp;C774))))</f>
        <v/>
      </c>
      <c r="S774">
        <f>OR(D774="",D774&gt;=설정!$B$19)</f>
        <v/>
      </c>
      <c r="T774">
        <f>AND(Q774,R774,S774)</f>
        <v/>
      </c>
      <c r="U774">
        <f>IF(T774,IF(AND(설정!$A$54&lt;&gt;"",ISNUMBER(SEARCH(설정!$A$54,K774))),설정!$B$54,IF(AND(설정!$A$55&lt;&gt;"",ISNUMBER(SEARCH(설정!$A$55,K774))),설정!$B$55,IF(AND(설정!$A$56&lt;&gt;"",ISNUMBER(SEARCH(설정!$A$56,K774))),설정!$B$56,IF(AND(설정!$A$57&lt;&gt;"",ISNUMBER(SEARCH(설정!$A$57,K774))),설정!$B$57,IF(AND(설정!$A$58&lt;&gt;"",ISNUMBER(SEARCH(설정!$A$58,K774))),설정!$B$58,IF(AND(설정!$A$59&lt;&gt;"",ISNUMBER(SEARCH(설정!$A$59,K774))),설정!$B$59,IF(AND(설정!$A$60&lt;&gt;"",ISNUMBER(SEARCH(설정!$A$60,K774))),설정!$B$60,IF(AND(설정!$A$61&lt;&gt;"",ISNUMBER(SEARCH(설정!$A$61,K774))),설정!$B$61,IF(M774="","설계사","시공사"))))))))),"")</f>
        <v/>
      </c>
      <c r="V774">
        <f>SUBSTITUTE(SUBSTITUTE(SUBSTITUTE(SUBSTITUTE(G774,"(주)",""),"㈜",""),"주식회사","")," ","")</f>
        <v/>
      </c>
      <c r="W774">
        <f>IF(AND(T774,V774&lt;&gt;""),IF(COUNTIFS(V$2:V774,V774,T$2:T774,TRUE)=1,MAX(W$1:W773)+1,""),"")</f>
        <v/>
      </c>
      <c r="X774">
        <f>IF(설정!$C$14="","",IFERROR(INDEX('1.산군_붙여넣기'!$A$1:$AZ$1001,ROW(),설정!$C$14)&amp;"",""))</f>
        <v/>
      </c>
      <c r="Y774">
        <f>IF(설정!$C$15="","",IFERROR(INDEX('1.산군_붙여넣기'!$A$1:$AZ$1001,ROW(),설정!$C$15)&amp;"",""))</f>
        <v/>
      </c>
      <c r="Z774">
        <f>IF(T774,V774&amp;"|"&amp;U774,"")</f>
        <v/>
      </c>
      <c r="AA774">
        <f>IF(NOT(Q774),"",IF(NOT(AND(R774,S774)),"✕",IF(OR(OR(AND(L774&lt;&gt;"",M774&lt;&gt;"",N(M774)-N(L774)&gt;설정!$B$27),AND(L774&lt;&gt;"",M774="",설정!$B$24-N(L774)&gt;설정!$B$27)),AND(D774&lt;&gt;"",D774&lt;설정!$B$26)),"△","★")))</f>
        <v/>
      </c>
      <c r="AB774">
        <f>IF(NOT(T774),"",IF(U774="설계사",설정!$B$31,IF(U774="시공사",IF(OR(M774="",설정!$B$24-N(M774)&lt;=설정!$B$28*30.4),설정!$B$32,설정!$B$33),설정!$B$34))+IF(AA774="★",설정!$B$35,0))</f>
        <v/>
      </c>
      <c r="AC774">
        <f>SUBSTITUTE(SUBSTITUTE(SUBSTITUTE(SUBSTITUTE(H774,"(주)",""),"㈜",""),"주식회사","")," ","")</f>
        <v/>
      </c>
      <c r="AD774">
        <f>IF(AND(T774,AC774&lt;&gt;""),IF(COUNTIFS(AC$2:AC774,AC774,T$2:T774,TRUE)=1,MAX(AD$1:AD773)+1,""),"")</f>
        <v/>
      </c>
    </row>
    <row r="775">
      <c r="A775">
        <f>ROW()</f>
        <v/>
      </c>
      <c r="B775">
        <f>IF(설정!$C$4="","",IFERROR(INDEX('1.산군_붙여넣기'!$A$1:$AZ$1001,ROW(),설정!$C$4)&amp;"",""))</f>
        <v/>
      </c>
      <c r="C775">
        <f>IF(설정!$C$5="","",IFERROR(INDEX('1.산군_붙여넣기'!$A$1:$AZ$1001,ROW(),설정!$C$5)&amp;"",""))</f>
        <v/>
      </c>
      <c r="D775" s="5">
        <f>IFERROR(VALUE(SUBSTITUTE(SUBSTITUTE(SUBSTITUTE(IF(설정!$C$6="","",IFERROR(INDEX('1.산군_붙여넣기'!$A$1:$AZ$1001,ROW(),설정!$C$6)&amp;"","")),",",""),"㎡",""),"m2","")),"")</f>
        <v/>
      </c>
      <c r="E775">
        <f>IF(설정!$C$7="","",IFERROR(INDEX('1.산군_붙여넣기'!$A$1:$AZ$1001,ROW(),설정!$C$7)&amp;"",""))</f>
        <v/>
      </c>
      <c r="F775">
        <f>IF(설정!$C$8="","",IFERROR(INDEX('1.산군_붙여넣기'!$A$1:$AZ$1001,ROW(),설정!$C$8)&amp;"",""))</f>
        <v/>
      </c>
      <c r="G775">
        <f>IF(설정!$C$9="","",IFERROR(INDEX('1.산군_붙여넣기'!$A$1:$AZ$1001,ROW(),설정!$C$9)&amp;"",""))</f>
        <v/>
      </c>
      <c r="H775">
        <f>IF(설정!$C$10="","",IFERROR(INDEX('1.산군_붙여넣기'!$A$1:$AZ$1001,ROW(),설정!$C$10)&amp;"",""))</f>
        <v/>
      </c>
      <c r="I775">
        <f>IF(설정!$C$11="","",IFERROR(INDEX('1.산군_붙여넣기'!$A$1:$AZ$1001,ROW(),설정!$C$11)&amp;"",""))</f>
        <v/>
      </c>
      <c r="J775">
        <f>IF(설정!$C$12="","",IFERROR(INDEX('1.산군_붙여넣기'!$A$1:$AZ$1001,ROW(),설정!$C$12)&amp;"",""))</f>
        <v/>
      </c>
      <c r="K775">
        <f>IF(설정!$C$13="","",IFERROR(INDEX('1.산군_붙여넣기'!$A$1:$AZ$1001,ROW(),설정!$C$13)&amp;"",""))</f>
        <v/>
      </c>
      <c r="L775" s="7">
        <f>IF(X775="","",IF(AND(LEN(X775)=8,ISNUMBER(X775*1)),DATE(LEFT(X775,4),MID(X775,5,2),RIGHT(X775,2)),IFERROR(DATEVALUE(SUBSTITUTE(SUBSTITUTE(X775,".","-"),"/","-")),IFERROR(X775*1,""))))</f>
        <v/>
      </c>
      <c r="M775" s="7">
        <f>IF(Y775="","",IF(AND(LEN(Y775)=8,ISNUMBER(Y775*1)),DATE(LEFT(Y775,4),MID(Y775,5,2),RIGHT(Y775,2)),IFERROR(DATEVALUE(SUBSTITUTE(SUBSTITUTE(Y775,".","-"),"/","-")),IFERROR(Y775*1,""))))</f>
        <v/>
      </c>
      <c r="N775">
        <f>IFERROR(LEFT(B775,FIND(" ",B775)-1),B775)</f>
        <v/>
      </c>
      <c r="O775">
        <f>AND(B775&lt;&gt;"",B775&lt;&gt;설정!$B$4,C775&lt;&gt;설정!$B$5)</f>
        <v/>
      </c>
      <c r="P775">
        <f>IF(O775,B775&amp;"|"&amp;C775,"")</f>
        <v/>
      </c>
      <c r="Q775">
        <f>AND(O775,COUNTIF(P776:P$1002,P775)=0)</f>
        <v/>
      </c>
      <c r="R775">
        <f>OR(AND(설정!$A$42&lt;&gt;"",ISNUMBER(SEARCH(설정!$A$42,E775&amp;" "&amp;C775))),AND(설정!$A$43&lt;&gt;"",ISNUMBER(SEARCH(설정!$A$43,E775&amp;" "&amp;C775))),AND(설정!$A$44&lt;&gt;"",ISNUMBER(SEARCH(설정!$A$44,E775&amp;" "&amp;C775))),AND(설정!$A$45&lt;&gt;"",ISNUMBER(SEARCH(설정!$A$45,E775&amp;" "&amp;C775))),AND(설정!$A$46&lt;&gt;"",ISNUMBER(SEARCH(설정!$A$46,E775&amp;" "&amp;C775))),AND(설정!$A$47&lt;&gt;"",ISNUMBER(SEARCH(설정!$A$47,E775&amp;" "&amp;C775))),AND(설정!$A$48&lt;&gt;"",ISNUMBER(SEARCH(설정!$A$48,E775&amp;" "&amp;C775))),AND(설정!$A$49&lt;&gt;"",ISNUMBER(SEARCH(설정!$A$49,E775&amp;" "&amp;C775))),AND(설정!$A$50&lt;&gt;"",ISNUMBER(SEARCH(설정!$A$50,E775&amp;" "&amp;C775))),AND(설정!$A$51&lt;&gt;"",ISNUMBER(SEARCH(설정!$A$51,E775&amp;" "&amp;C775))))</f>
        <v/>
      </c>
      <c r="S775">
        <f>OR(D775="",D775&gt;=설정!$B$19)</f>
        <v/>
      </c>
      <c r="T775">
        <f>AND(Q775,R775,S775)</f>
        <v/>
      </c>
      <c r="U775">
        <f>IF(T775,IF(AND(설정!$A$54&lt;&gt;"",ISNUMBER(SEARCH(설정!$A$54,K775))),설정!$B$54,IF(AND(설정!$A$55&lt;&gt;"",ISNUMBER(SEARCH(설정!$A$55,K775))),설정!$B$55,IF(AND(설정!$A$56&lt;&gt;"",ISNUMBER(SEARCH(설정!$A$56,K775))),설정!$B$56,IF(AND(설정!$A$57&lt;&gt;"",ISNUMBER(SEARCH(설정!$A$57,K775))),설정!$B$57,IF(AND(설정!$A$58&lt;&gt;"",ISNUMBER(SEARCH(설정!$A$58,K775))),설정!$B$58,IF(AND(설정!$A$59&lt;&gt;"",ISNUMBER(SEARCH(설정!$A$59,K775))),설정!$B$59,IF(AND(설정!$A$60&lt;&gt;"",ISNUMBER(SEARCH(설정!$A$60,K775))),설정!$B$60,IF(AND(설정!$A$61&lt;&gt;"",ISNUMBER(SEARCH(설정!$A$61,K775))),설정!$B$61,IF(M775="","설계사","시공사"))))))))),"")</f>
        <v/>
      </c>
      <c r="V775">
        <f>SUBSTITUTE(SUBSTITUTE(SUBSTITUTE(SUBSTITUTE(G775,"(주)",""),"㈜",""),"주식회사","")," ","")</f>
        <v/>
      </c>
      <c r="W775">
        <f>IF(AND(T775,V775&lt;&gt;""),IF(COUNTIFS(V$2:V775,V775,T$2:T775,TRUE)=1,MAX(W$1:W774)+1,""),"")</f>
        <v/>
      </c>
      <c r="X775">
        <f>IF(설정!$C$14="","",IFERROR(INDEX('1.산군_붙여넣기'!$A$1:$AZ$1001,ROW(),설정!$C$14)&amp;"",""))</f>
        <v/>
      </c>
      <c r="Y775">
        <f>IF(설정!$C$15="","",IFERROR(INDEX('1.산군_붙여넣기'!$A$1:$AZ$1001,ROW(),설정!$C$15)&amp;"",""))</f>
        <v/>
      </c>
      <c r="Z775">
        <f>IF(T775,V775&amp;"|"&amp;U775,"")</f>
        <v/>
      </c>
      <c r="AA775">
        <f>IF(NOT(Q775),"",IF(NOT(AND(R775,S775)),"✕",IF(OR(OR(AND(L775&lt;&gt;"",M775&lt;&gt;"",N(M775)-N(L775)&gt;설정!$B$27),AND(L775&lt;&gt;"",M775="",설정!$B$24-N(L775)&gt;설정!$B$27)),AND(D775&lt;&gt;"",D775&lt;설정!$B$26)),"△","★")))</f>
        <v/>
      </c>
      <c r="AB775">
        <f>IF(NOT(T775),"",IF(U775="설계사",설정!$B$31,IF(U775="시공사",IF(OR(M775="",설정!$B$24-N(M775)&lt;=설정!$B$28*30.4),설정!$B$32,설정!$B$33),설정!$B$34))+IF(AA775="★",설정!$B$35,0))</f>
        <v/>
      </c>
      <c r="AC775">
        <f>SUBSTITUTE(SUBSTITUTE(SUBSTITUTE(SUBSTITUTE(H775,"(주)",""),"㈜",""),"주식회사","")," ","")</f>
        <v/>
      </c>
      <c r="AD775">
        <f>IF(AND(T775,AC775&lt;&gt;""),IF(COUNTIFS(AC$2:AC775,AC775,T$2:T775,TRUE)=1,MAX(AD$1:AD774)+1,""),"")</f>
        <v/>
      </c>
    </row>
    <row r="776">
      <c r="A776">
        <f>ROW()</f>
        <v/>
      </c>
      <c r="B776">
        <f>IF(설정!$C$4="","",IFERROR(INDEX('1.산군_붙여넣기'!$A$1:$AZ$1001,ROW(),설정!$C$4)&amp;"",""))</f>
        <v/>
      </c>
      <c r="C776">
        <f>IF(설정!$C$5="","",IFERROR(INDEX('1.산군_붙여넣기'!$A$1:$AZ$1001,ROW(),설정!$C$5)&amp;"",""))</f>
        <v/>
      </c>
      <c r="D776" s="5">
        <f>IFERROR(VALUE(SUBSTITUTE(SUBSTITUTE(SUBSTITUTE(IF(설정!$C$6="","",IFERROR(INDEX('1.산군_붙여넣기'!$A$1:$AZ$1001,ROW(),설정!$C$6)&amp;"","")),",",""),"㎡",""),"m2","")),"")</f>
        <v/>
      </c>
      <c r="E776">
        <f>IF(설정!$C$7="","",IFERROR(INDEX('1.산군_붙여넣기'!$A$1:$AZ$1001,ROW(),설정!$C$7)&amp;"",""))</f>
        <v/>
      </c>
      <c r="F776">
        <f>IF(설정!$C$8="","",IFERROR(INDEX('1.산군_붙여넣기'!$A$1:$AZ$1001,ROW(),설정!$C$8)&amp;"",""))</f>
        <v/>
      </c>
      <c r="G776">
        <f>IF(설정!$C$9="","",IFERROR(INDEX('1.산군_붙여넣기'!$A$1:$AZ$1001,ROW(),설정!$C$9)&amp;"",""))</f>
        <v/>
      </c>
      <c r="H776">
        <f>IF(설정!$C$10="","",IFERROR(INDEX('1.산군_붙여넣기'!$A$1:$AZ$1001,ROW(),설정!$C$10)&amp;"",""))</f>
        <v/>
      </c>
      <c r="I776">
        <f>IF(설정!$C$11="","",IFERROR(INDEX('1.산군_붙여넣기'!$A$1:$AZ$1001,ROW(),설정!$C$11)&amp;"",""))</f>
        <v/>
      </c>
      <c r="J776">
        <f>IF(설정!$C$12="","",IFERROR(INDEX('1.산군_붙여넣기'!$A$1:$AZ$1001,ROW(),설정!$C$12)&amp;"",""))</f>
        <v/>
      </c>
      <c r="K776">
        <f>IF(설정!$C$13="","",IFERROR(INDEX('1.산군_붙여넣기'!$A$1:$AZ$1001,ROW(),설정!$C$13)&amp;"",""))</f>
        <v/>
      </c>
      <c r="L776" s="7">
        <f>IF(X776="","",IF(AND(LEN(X776)=8,ISNUMBER(X776*1)),DATE(LEFT(X776,4),MID(X776,5,2),RIGHT(X776,2)),IFERROR(DATEVALUE(SUBSTITUTE(SUBSTITUTE(X776,".","-"),"/","-")),IFERROR(X776*1,""))))</f>
        <v/>
      </c>
      <c r="M776" s="7">
        <f>IF(Y776="","",IF(AND(LEN(Y776)=8,ISNUMBER(Y776*1)),DATE(LEFT(Y776,4),MID(Y776,5,2),RIGHT(Y776,2)),IFERROR(DATEVALUE(SUBSTITUTE(SUBSTITUTE(Y776,".","-"),"/","-")),IFERROR(Y776*1,""))))</f>
        <v/>
      </c>
      <c r="N776">
        <f>IFERROR(LEFT(B776,FIND(" ",B776)-1),B776)</f>
        <v/>
      </c>
      <c r="O776">
        <f>AND(B776&lt;&gt;"",B776&lt;&gt;설정!$B$4,C776&lt;&gt;설정!$B$5)</f>
        <v/>
      </c>
      <c r="P776">
        <f>IF(O776,B776&amp;"|"&amp;C776,"")</f>
        <v/>
      </c>
      <c r="Q776">
        <f>AND(O776,COUNTIF(P777:P$1002,P776)=0)</f>
        <v/>
      </c>
      <c r="R776">
        <f>OR(AND(설정!$A$42&lt;&gt;"",ISNUMBER(SEARCH(설정!$A$42,E776&amp;" "&amp;C776))),AND(설정!$A$43&lt;&gt;"",ISNUMBER(SEARCH(설정!$A$43,E776&amp;" "&amp;C776))),AND(설정!$A$44&lt;&gt;"",ISNUMBER(SEARCH(설정!$A$44,E776&amp;" "&amp;C776))),AND(설정!$A$45&lt;&gt;"",ISNUMBER(SEARCH(설정!$A$45,E776&amp;" "&amp;C776))),AND(설정!$A$46&lt;&gt;"",ISNUMBER(SEARCH(설정!$A$46,E776&amp;" "&amp;C776))),AND(설정!$A$47&lt;&gt;"",ISNUMBER(SEARCH(설정!$A$47,E776&amp;" "&amp;C776))),AND(설정!$A$48&lt;&gt;"",ISNUMBER(SEARCH(설정!$A$48,E776&amp;" "&amp;C776))),AND(설정!$A$49&lt;&gt;"",ISNUMBER(SEARCH(설정!$A$49,E776&amp;" "&amp;C776))),AND(설정!$A$50&lt;&gt;"",ISNUMBER(SEARCH(설정!$A$50,E776&amp;" "&amp;C776))),AND(설정!$A$51&lt;&gt;"",ISNUMBER(SEARCH(설정!$A$51,E776&amp;" "&amp;C776))))</f>
        <v/>
      </c>
      <c r="S776">
        <f>OR(D776="",D776&gt;=설정!$B$19)</f>
        <v/>
      </c>
      <c r="T776">
        <f>AND(Q776,R776,S776)</f>
        <v/>
      </c>
      <c r="U776">
        <f>IF(T776,IF(AND(설정!$A$54&lt;&gt;"",ISNUMBER(SEARCH(설정!$A$54,K776))),설정!$B$54,IF(AND(설정!$A$55&lt;&gt;"",ISNUMBER(SEARCH(설정!$A$55,K776))),설정!$B$55,IF(AND(설정!$A$56&lt;&gt;"",ISNUMBER(SEARCH(설정!$A$56,K776))),설정!$B$56,IF(AND(설정!$A$57&lt;&gt;"",ISNUMBER(SEARCH(설정!$A$57,K776))),설정!$B$57,IF(AND(설정!$A$58&lt;&gt;"",ISNUMBER(SEARCH(설정!$A$58,K776))),설정!$B$58,IF(AND(설정!$A$59&lt;&gt;"",ISNUMBER(SEARCH(설정!$A$59,K776))),설정!$B$59,IF(AND(설정!$A$60&lt;&gt;"",ISNUMBER(SEARCH(설정!$A$60,K776))),설정!$B$60,IF(AND(설정!$A$61&lt;&gt;"",ISNUMBER(SEARCH(설정!$A$61,K776))),설정!$B$61,IF(M776="","설계사","시공사"))))))))),"")</f>
        <v/>
      </c>
      <c r="V776">
        <f>SUBSTITUTE(SUBSTITUTE(SUBSTITUTE(SUBSTITUTE(G776,"(주)",""),"㈜",""),"주식회사","")," ","")</f>
        <v/>
      </c>
      <c r="W776">
        <f>IF(AND(T776,V776&lt;&gt;""),IF(COUNTIFS(V$2:V776,V776,T$2:T776,TRUE)=1,MAX(W$1:W775)+1,""),"")</f>
        <v/>
      </c>
      <c r="X776">
        <f>IF(설정!$C$14="","",IFERROR(INDEX('1.산군_붙여넣기'!$A$1:$AZ$1001,ROW(),설정!$C$14)&amp;"",""))</f>
        <v/>
      </c>
      <c r="Y776">
        <f>IF(설정!$C$15="","",IFERROR(INDEX('1.산군_붙여넣기'!$A$1:$AZ$1001,ROW(),설정!$C$15)&amp;"",""))</f>
        <v/>
      </c>
      <c r="Z776">
        <f>IF(T776,V776&amp;"|"&amp;U776,"")</f>
        <v/>
      </c>
      <c r="AA776">
        <f>IF(NOT(Q776),"",IF(NOT(AND(R776,S776)),"✕",IF(OR(OR(AND(L776&lt;&gt;"",M776&lt;&gt;"",N(M776)-N(L776)&gt;설정!$B$27),AND(L776&lt;&gt;"",M776="",설정!$B$24-N(L776)&gt;설정!$B$27)),AND(D776&lt;&gt;"",D776&lt;설정!$B$26)),"△","★")))</f>
        <v/>
      </c>
      <c r="AB776">
        <f>IF(NOT(T776),"",IF(U776="설계사",설정!$B$31,IF(U776="시공사",IF(OR(M776="",설정!$B$24-N(M776)&lt;=설정!$B$28*30.4),설정!$B$32,설정!$B$33),설정!$B$34))+IF(AA776="★",설정!$B$35,0))</f>
        <v/>
      </c>
      <c r="AC776">
        <f>SUBSTITUTE(SUBSTITUTE(SUBSTITUTE(SUBSTITUTE(H776,"(주)",""),"㈜",""),"주식회사","")," ","")</f>
        <v/>
      </c>
      <c r="AD776">
        <f>IF(AND(T776,AC776&lt;&gt;""),IF(COUNTIFS(AC$2:AC776,AC776,T$2:T776,TRUE)=1,MAX(AD$1:AD775)+1,""),"")</f>
        <v/>
      </c>
    </row>
    <row r="777">
      <c r="A777">
        <f>ROW()</f>
        <v/>
      </c>
      <c r="B777">
        <f>IF(설정!$C$4="","",IFERROR(INDEX('1.산군_붙여넣기'!$A$1:$AZ$1001,ROW(),설정!$C$4)&amp;"",""))</f>
        <v/>
      </c>
      <c r="C777">
        <f>IF(설정!$C$5="","",IFERROR(INDEX('1.산군_붙여넣기'!$A$1:$AZ$1001,ROW(),설정!$C$5)&amp;"",""))</f>
        <v/>
      </c>
      <c r="D777" s="5">
        <f>IFERROR(VALUE(SUBSTITUTE(SUBSTITUTE(SUBSTITUTE(IF(설정!$C$6="","",IFERROR(INDEX('1.산군_붙여넣기'!$A$1:$AZ$1001,ROW(),설정!$C$6)&amp;"","")),",",""),"㎡",""),"m2","")),"")</f>
        <v/>
      </c>
      <c r="E777">
        <f>IF(설정!$C$7="","",IFERROR(INDEX('1.산군_붙여넣기'!$A$1:$AZ$1001,ROW(),설정!$C$7)&amp;"",""))</f>
        <v/>
      </c>
      <c r="F777">
        <f>IF(설정!$C$8="","",IFERROR(INDEX('1.산군_붙여넣기'!$A$1:$AZ$1001,ROW(),설정!$C$8)&amp;"",""))</f>
        <v/>
      </c>
      <c r="G777">
        <f>IF(설정!$C$9="","",IFERROR(INDEX('1.산군_붙여넣기'!$A$1:$AZ$1001,ROW(),설정!$C$9)&amp;"",""))</f>
        <v/>
      </c>
      <c r="H777">
        <f>IF(설정!$C$10="","",IFERROR(INDEX('1.산군_붙여넣기'!$A$1:$AZ$1001,ROW(),설정!$C$10)&amp;"",""))</f>
        <v/>
      </c>
      <c r="I777">
        <f>IF(설정!$C$11="","",IFERROR(INDEX('1.산군_붙여넣기'!$A$1:$AZ$1001,ROW(),설정!$C$11)&amp;"",""))</f>
        <v/>
      </c>
      <c r="J777">
        <f>IF(설정!$C$12="","",IFERROR(INDEX('1.산군_붙여넣기'!$A$1:$AZ$1001,ROW(),설정!$C$12)&amp;"",""))</f>
        <v/>
      </c>
      <c r="K777">
        <f>IF(설정!$C$13="","",IFERROR(INDEX('1.산군_붙여넣기'!$A$1:$AZ$1001,ROW(),설정!$C$13)&amp;"",""))</f>
        <v/>
      </c>
      <c r="L777" s="7">
        <f>IF(X777="","",IF(AND(LEN(X777)=8,ISNUMBER(X777*1)),DATE(LEFT(X777,4),MID(X777,5,2),RIGHT(X777,2)),IFERROR(DATEVALUE(SUBSTITUTE(SUBSTITUTE(X777,".","-"),"/","-")),IFERROR(X777*1,""))))</f>
        <v/>
      </c>
      <c r="M777" s="7">
        <f>IF(Y777="","",IF(AND(LEN(Y777)=8,ISNUMBER(Y777*1)),DATE(LEFT(Y777,4),MID(Y777,5,2),RIGHT(Y777,2)),IFERROR(DATEVALUE(SUBSTITUTE(SUBSTITUTE(Y777,".","-"),"/","-")),IFERROR(Y777*1,""))))</f>
        <v/>
      </c>
      <c r="N777">
        <f>IFERROR(LEFT(B777,FIND(" ",B777)-1),B777)</f>
        <v/>
      </c>
      <c r="O777">
        <f>AND(B777&lt;&gt;"",B777&lt;&gt;설정!$B$4,C777&lt;&gt;설정!$B$5)</f>
        <v/>
      </c>
      <c r="P777">
        <f>IF(O777,B777&amp;"|"&amp;C777,"")</f>
        <v/>
      </c>
      <c r="Q777">
        <f>AND(O777,COUNTIF(P778:P$1002,P777)=0)</f>
        <v/>
      </c>
      <c r="R777">
        <f>OR(AND(설정!$A$42&lt;&gt;"",ISNUMBER(SEARCH(설정!$A$42,E777&amp;" "&amp;C777))),AND(설정!$A$43&lt;&gt;"",ISNUMBER(SEARCH(설정!$A$43,E777&amp;" "&amp;C777))),AND(설정!$A$44&lt;&gt;"",ISNUMBER(SEARCH(설정!$A$44,E777&amp;" "&amp;C777))),AND(설정!$A$45&lt;&gt;"",ISNUMBER(SEARCH(설정!$A$45,E777&amp;" "&amp;C777))),AND(설정!$A$46&lt;&gt;"",ISNUMBER(SEARCH(설정!$A$46,E777&amp;" "&amp;C777))),AND(설정!$A$47&lt;&gt;"",ISNUMBER(SEARCH(설정!$A$47,E777&amp;" "&amp;C777))),AND(설정!$A$48&lt;&gt;"",ISNUMBER(SEARCH(설정!$A$48,E777&amp;" "&amp;C777))),AND(설정!$A$49&lt;&gt;"",ISNUMBER(SEARCH(설정!$A$49,E777&amp;" "&amp;C777))),AND(설정!$A$50&lt;&gt;"",ISNUMBER(SEARCH(설정!$A$50,E777&amp;" "&amp;C777))),AND(설정!$A$51&lt;&gt;"",ISNUMBER(SEARCH(설정!$A$51,E777&amp;" "&amp;C777))))</f>
        <v/>
      </c>
      <c r="S777">
        <f>OR(D777="",D777&gt;=설정!$B$19)</f>
        <v/>
      </c>
      <c r="T777">
        <f>AND(Q777,R777,S777)</f>
        <v/>
      </c>
      <c r="U777">
        <f>IF(T777,IF(AND(설정!$A$54&lt;&gt;"",ISNUMBER(SEARCH(설정!$A$54,K777))),설정!$B$54,IF(AND(설정!$A$55&lt;&gt;"",ISNUMBER(SEARCH(설정!$A$55,K777))),설정!$B$55,IF(AND(설정!$A$56&lt;&gt;"",ISNUMBER(SEARCH(설정!$A$56,K777))),설정!$B$56,IF(AND(설정!$A$57&lt;&gt;"",ISNUMBER(SEARCH(설정!$A$57,K777))),설정!$B$57,IF(AND(설정!$A$58&lt;&gt;"",ISNUMBER(SEARCH(설정!$A$58,K777))),설정!$B$58,IF(AND(설정!$A$59&lt;&gt;"",ISNUMBER(SEARCH(설정!$A$59,K777))),설정!$B$59,IF(AND(설정!$A$60&lt;&gt;"",ISNUMBER(SEARCH(설정!$A$60,K777))),설정!$B$60,IF(AND(설정!$A$61&lt;&gt;"",ISNUMBER(SEARCH(설정!$A$61,K777))),설정!$B$61,IF(M777="","설계사","시공사"))))))))),"")</f>
        <v/>
      </c>
      <c r="V777">
        <f>SUBSTITUTE(SUBSTITUTE(SUBSTITUTE(SUBSTITUTE(G777,"(주)",""),"㈜",""),"주식회사","")," ","")</f>
        <v/>
      </c>
      <c r="W777">
        <f>IF(AND(T777,V777&lt;&gt;""),IF(COUNTIFS(V$2:V777,V777,T$2:T777,TRUE)=1,MAX(W$1:W776)+1,""),"")</f>
        <v/>
      </c>
      <c r="X777">
        <f>IF(설정!$C$14="","",IFERROR(INDEX('1.산군_붙여넣기'!$A$1:$AZ$1001,ROW(),설정!$C$14)&amp;"",""))</f>
        <v/>
      </c>
      <c r="Y777">
        <f>IF(설정!$C$15="","",IFERROR(INDEX('1.산군_붙여넣기'!$A$1:$AZ$1001,ROW(),설정!$C$15)&amp;"",""))</f>
        <v/>
      </c>
      <c r="Z777">
        <f>IF(T777,V777&amp;"|"&amp;U777,"")</f>
        <v/>
      </c>
      <c r="AA777">
        <f>IF(NOT(Q777),"",IF(NOT(AND(R777,S777)),"✕",IF(OR(OR(AND(L777&lt;&gt;"",M777&lt;&gt;"",N(M777)-N(L777)&gt;설정!$B$27),AND(L777&lt;&gt;"",M777="",설정!$B$24-N(L777)&gt;설정!$B$27)),AND(D777&lt;&gt;"",D777&lt;설정!$B$26)),"△","★")))</f>
        <v/>
      </c>
      <c r="AB777">
        <f>IF(NOT(T777),"",IF(U777="설계사",설정!$B$31,IF(U777="시공사",IF(OR(M777="",설정!$B$24-N(M777)&lt;=설정!$B$28*30.4),설정!$B$32,설정!$B$33),설정!$B$34))+IF(AA777="★",설정!$B$35,0))</f>
        <v/>
      </c>
      <c r="AC777">
        <f>SUBSTITUTE(SUBSTITUTE(SUBSTITUTE(SUBSTITUTE(H777,"(주)",""),"㈜",""),"주식회사","")," ","")</f>
        <v/>
      </c>
      <c r="AD777">
        <f>IF(AND(T777,AC777&lt;&gt;""),IF(COUNTIFS(AC$2:AC777,AC777,T$2:T777,TRUE)=1,MAX(AD$1:AD776)+1,""),"")</f>
        <v/>
      </c>
    </row>
    <row r="778">
      <c r="A778">
        <f>ROW()</f>
        <v/>
      </c>
      <c r="B778">
        <f>IF(설정!$C$4="","",IFERROR(INDEX('1.산군_붙여넣기'!$A$1:$AZ$1001,ROW(),설정!$C$4)&amp;"",""))</f>
        <v/>
      </c>
      <c r="C778">
        <f>IF(설정!$C$5="","",IFERROR(INDEX('1.산군_붙여넣기'!$A$1:$AZ$1001,ROW(),설정!$C$5)&amp;"",""))</f>
        <v/>
      </c>
      <c r="D778" s="5">
        <f>IFERROR(VALUE(SUBSTITUTE(SUBSTITUTE(SUBSTITUTE(IF(설정!$C$6="","",IFERROR(INDEX('1.산군_붙여넣기'!$A$1:$AZ$1001,ROW(),설정!$C$6)&amp;"","")),",",""),"㎡",""),"m2","")),"")</f>
        <v/>
      </c>
      <c r="E778">
        <f>IF(설정!$C$7="","",IFERROR(INDEX('1.산군_붙여넣기'!$A$1:$AZ$1001,ROW(),설정!$C$7)&amp;"",""))</f>
        <v/>
      </c>
      <c r="F778">
        <f>IF(설정!$C$8="","",IFERROR(INDEX('1.산군_붙여넣기'!$A$1:$AZ$1001,ROW(),설정!$C$8)&amp;"",""))</f>
        <v/>
      </c>
      <c r="G778">
        <f>IF(설정!$C$9="","",IFERROR(INDEX('1.산군_붙여넣기'!$A$1:$AZ$1001,ROW(),설정!$C$9)&amp;"",""))</f>
        <v/>
      </c>
      <c r="H778">
        <f>IF(설정!$C$10="","",IFERROR(INDEX('1.산군_붙여넣기'!$A$1:$AZ$1001,ROW(),설정!$C$10)&amp;"",""))</f>
        <v/>
      </c>
      <c r="I778">
        <f>IF(설정!$C$11="","",IFERROR(INDEX('1.산군_붙여넣기'!$A$1:$AZ$1001,ROW(),설정!$C$11)&amp;"",""))</f>
        <v/>
      </c>
      <c r="J778">
        <f>IF(설정!$C$12="","",IFERROR(INDEX('1.산군_붙여넣기'!$A$1:$AZ$1001,ROW(),설정!$C$12)&amp;"",""))</f>
        <v/>
      </c>
      <c r="K778">
        <f>IF(설정!$C$13="","",IFERROR(INDEX('1.산군_붙여넣기'!$A$1:$AZ$1001,ROW(),설정!$C$13)&amp;"",""))</f>
        <v/>
      </c>
      <c r="L778" s="7">
        <f>IF(X778="","",IF(AND(LEN(X778)=8,ISNUMBER(X778*1)),DATE(LEFT(X778,4),MID(X778,5,2),RIGHT(X778,2)),IFERROR(DATEVALUE(SUBSTITUTE(SUBSTITUTE(X778,".","-"),"/","-")),IFERROR(X778*1,""))))</f>
        <v/>
      </c>
      <c r="M778" s="7">
        <f>IF(Y778="","",IF(AND(LEN(Y778)=8,ISNUMBER(Y778*1)),DATE(LEFT(Y778,4),MID(Y778,5,2),RIGHT(Y778,2)),IFERROR(DATEVALUE(SUBSTITUTE(SUBSTITUTE(Y778,".","-"),"/","-")),IFERROR(Y778*1,""))))</f>
        <v/>
      </c>
      <c r="N778">
        <f>IFERROR(LEFT(B778,FIND(" ",B778)-1),B778)</f>
        <v/>
      </c>
      <c r="O778">
        <f>AND(B778&lt;&gt;"",B778&lt;&gt;설정!$B$4,C778&lt;&gt;설정!$B$5)</f>
        <v/>
      </c>
      <c r="P778">
        <f>IF(O778,B778&amp;"|"&amp;C778,"")</f>
        <v/>
      </c>
      <c r="Q778">
        <f>AND(O778,COUNTIF(P779:P$1002,P778)=0)</f>
        <v/>
      </c>
      <c r="R778">
        <f>OR(AND(설정!$A$42&lt;&gt;"",ISNUMBER(SEARCH(설정!$A$42,E778&amp;" "&amp;C778))),AND(설정!$A$43&lt;&gt;"",ISNUMBER(SEARCH(설정!$A$43,E778&amp;" "&amp;C778))),AND(설정!$A$44&lt;&gt;"",ISNUMBER(SEARCH(설정!$A$44,E778&amp;" "&amp;C778))),AND(설정!$A$45&lt;&gt;"",ISNUMBER(SEARCH(설정!$A$45,E778&amp;" "&amp;C778))),AND(설정!$A$46&lt;&gt;"",ISNUMBER(SEARCH(설정!$A$46,E778&amp;" "&amp;C778))),AND(설정!$A$47&lt;&gt;"",ISNUMBER(SEARCH(설정!$A$47,E778&amp;" "&amp;C778))),AND(설정!$A$48&lt;&gt;"",ISNUMBER(SEARCH(설정!$A$48,E778&amp;" "&amp;C778))),AND(설정!$A$49&lt;&gt;"",ISNUMBER(SEARCH(설정!$A$49,E778&amp;" "&amp;C778))),AND(설정!$A$50&lt;&gt;"",ISNUMBER(SEARCH(설정!$A$50,E778&amp;" "&amp;C778))),AND(설정!$A$51&lt;&gt;"",ISNUMBER(SEARCH(설정!$A$51,E778&amp;" "&amp;C778))))</f>
        <v/>
      </c>
      <c r="S778">
        <f>OR(D778="",D778&gt;=설정!$B$19)</f>
        <v/>
      </c>
      <c r="T778">
        <f>AND(Q778,R778,S778)</f>
        <v/>
      </c>
      <c r="U778">
        <f>IF(T778,IF(AND(설정!$A$54&lt;&gt;"",ISNUMBER(SEARCH(설정!$A$54,K778))),설정!$B$54,IF(AND(설정!$A$55&lt;&gt;"",ISNUMBER(SEARCH(설정!$A$55,K778))),설정!$B$55,IF(AND(설정!$A$56&lt;&gt;"",ISNUMBER(SEARCH(설정!$A$56,K778))),설정!$B$56,IF(AND(설정!$A$57&lt;&gt;"",ISNUMBER(SEARCH(설정!$A$57,K778))),설정!$B$57,IF(AND(설정!$A$58&lt;&gt;"",ISNUMBER(SEARCH(설정!$A$58,K778))),설정!$B$58,IF(AND(설정!$A$59&lt;&gt;"",ISNUMBER(SEARCH(설정!$A$59,K778))),설정!$B$59,IF(AND(설정!$A$60&lt;&gt;"",ISNUMBER(SEARCH(설정!$A$60,K778))),설정!$B$60,IF(AND(설정!$A$61&lt;&gt;"",ISNUMBER(SEARCH(설정!$A$61,K778))),설정!$B$61,IF(M778="","설계사","시공사"))))))))),"")</f>
        <v/>
      </c>
      <c r="V778">
        <f>SUBSTITUTE(SUBSTITUTE(SUBSTITUTE(SUBSTITUTE(G778,"(주)",""),"㈜",""),"주식회사","")," ","")</f>
        <v/>
      </c>
      <c r="W778">
        <f>IF(AND(T778,V778&lt;&gt;""),IF(COUNTIFS(V$2:V778,V778,T$2:T778,TRUE)=1,MAX(W$1:W777)+1,""),"")</f>
        <v/>
      </c>
      <c r="X778">
        <f>IF(설정!$C$14="","",IFERROR(INDEX('1.산군_붙여넣기'!$A$1:$AZ$1001,ROW(),설정!$C$14)&amp;"",""))</f>
        <v/>
      </c>
      <c r="Y778">
        <f>IF(설정!$C$15="","",IFERROR(INDEX('1.산군_붙여넣기'!$A$1:$AZ$1001,ROW(),설정!$C$15)&amp;"",""))</f>
        <v/>
      </c>
      <c r="Z778">
        <f>IF(T778,V778&amp;"|"&amp;U778,"")</f>
        <v/>
      </c>
      <c r="AA778">
        <f>IF(NOT(Q778),"",IF(NOT(AND(R778,S778)),"✕",IF(OR(OR(AND(L778&lt;&gt;"",M778&lt;&gt;"",N(M778)-N(L778)&gt;설정!$B$27),AND(L778&lt;&gt;"",M778="",설정!$B$24-N(L778)&gt;설정!$B$27)),AND(D778&lt;&gt;"",D778&lt;설정!$B$26)),"△","★")))</f>
        <v/>
      </c>
      <c r="AB778">
        <f>IF(NOT(T778),"",IF(U778="설계사",설정!$B$31,IF(U778="시공사",IF(OR(M778="",설정!$B$24-N(M778)&lt;=설정!$B$28*30.4),설정!$B$32,설정!$B$33),설정!$B$34))+IF(AA778="★",설정!$B$35,0))</f>
        <v/>
      </c>
      <c r="AC778">
        <f>SUBSTITUTE(SUBSTITUTE(SUBSTITUTE(SUBSTITUTE(H778,"(주)",""),"㈜",""),"주식회사","")," ","")</f>
        <v/>
      </c>
      <c r="AD778">
        <f>IF(AND(T778,AC778&lt;&gt;""),IF(COUNTIFS(AC$2:AC778,AC778,T$2:T778,TRUE)=1,MAX(AD$1:AD777)+1,""),"")</f>
        <v/>
      </c>
    </row>
    <row r="779">
      <c r="A779">
        <f>ROW()</f>
        <v/>
      </c>
      <c r="B779">
        <f>IF(설정!$C$4="","",IFERROR(INDEX('1.산군_붙여넣기'!$A$1:$AZ$1001,ROW(),설정!$C$4)&amp;"",""))</f>
        <v/>
      </c>
      <c r="C779">
        <f>IF(설정!$C$5="","",IFERROR(INDEX('1.산군_붙여넣기'!$A$1:$AZ$1001,ROW(),설정!$C$5)&amp;"",""))</f>
        <v/>
      </c>
      <c r="D779" s="5">
        <f>IFERROR(VALUE(SUBSTITUTE(SUBSTITUTE(SUBSTITUTE(IF(설정!$C$6="","",IFERROR(INDEX('1.산군_붙여넣기'!$A$1:$AZ$1001,ROW(),설정!$C$6)&amp;"","")),",",""),"㎡",""),"m2","")),"")</f>
        <v/>
      </c>
      <c r="E779">
        <f>IF(설정!$C$7="","",IFERROR(INDEX('1.산군_붙여넣기'!$A$1:$AZ$1001,ROW(),설정!$C$7)&amp;"",""))</f>
        <v/>
      </c>
      <c r="F779">
        <f>IF(설정!$C$8="","",IFERROR(INDEX('1.산군_붙여넣기'!$A$1:$AZ$1001,ROW(),설정!$C$8)&amp;"",""))</f>
        <v/>
      </c>
      <c r="G779">
        <f>IF(설정!$C$9="","",IFERROR(INDEX('1.산군_붙여넣기'!$A$1:$AZ$1001,ROW(),설정!$C$9)&amp;"",""))</f>
        <v/>
      </c>
      <c r="H779">
        <f>IF(설정!$C$10="","",IFERROR(INDEX('1.산군_붙여넣기'!$A$1:$AZ$1001,ROW(),설정!$C$10)&amp;"",""))</f>
        <v/>
      </c>
      <c r="I779">
        <f>IF(설정!$C$11="","",IFERROR(INDEX('1.산군_붙여넣기'!$A$1:$AZ$1001,ROW(),설정!$C$11)&amp;"",""))</f>
        <v/>
      </c>
      <c r="J779">
        <f>IF(설정!$C$12="","",IFERROR(INDEX('1.산군_붙여넣기'!$A$1:$AZ$1001,ROW(),설정!$C$12)&amp;"",""))</f>
        <v/>
      </c>
      <c r="K779">
        <f>IF(설정!$C$13="","",IFERROR(INDEX('1.산군_붙여넣기'!$A$1:$AZ$1001,ROW(),설정!$C$13)&amp;"",""))</f>
        <v/>
      </c>
      <c r="L779" s="7">
        <f>IF(X779="","",IF(AND(LEN(X779)=8,ISNUMBER(X779*1)),DATE(LEFT(X779,4),MID(X779,5,2),RIGHT(X779,2)),IFERROR(DATEVALUE(SUBSTITUTE(SUBSTITUTE(X779,".","-"),"/","-")),IFERROR(X779*1,""))))</f>
        <v/>
      </c>
      <c r="M779" s="7">
        <f>IF(Y779="","",IF(AND(LEN(Y779)=8,ISNUMBER(Y779*1)),DATE(LEFT(Y779,4),MID(Y779,5,2),RIGHT(Y779,2)),IFERROR(DATEVALUE(SUBSTITUTE(SUBSTITUTE(Y779,".","-"),"/","-")),IFERROR(Y779*1,""))))</f>
        <v/>
      </c>
      <c r="N779">
        <f>IFERROR(LEFT(B779,FIND(" ",B779)-1),B779)</f>
        <v/>
      </c>
      <c r="O779">
        <f>AND(B779&lt;&gt;"",B779&lt;&gt;설정!$B$4,C779&lt;&gt;설정!$B$5)</f>
        <v/>
      </c>
      <c r="P779">
        <f>IF(O779,B779&amp;"|"&amp;C779,"")</f>
        <v/>
      </c>
      <c r="Q779">
        <f>AND(O779,COUNTIF(P780:P$1002,P779)=0)</f>
        <v/>
      </c>
      <c r="R779">
        <f>OR(AND(설정!$A$42&lt;&gt;"",ISNUMBER(SEARCH(설정!$A$42,E779&amp;" "&amp;C779))),AND(설정!$A$43&lt;&gt;"",ISNUMBER(SEARCH(설정!$A$43,E779&amp;" "&amp;C779))),AND(설정!$A$44&lt;&gt;"",ISNUMBER(SEARCH(설정!$A$44,E779&amp;" "&amp;C779))),AND(설정!$A$45&lt;&gt;"",ISNUMBER(SEARCH(설정!$A$45,E779&amp;" "&amp;C779))),AND(설정!$A$46&lt;&gt;"",ISNUMBER(SEARCH(설정!$A$46,E779&amp;" "&amp;C779))),AND(설정!$A$47&lt;&gt;"",ISNUMBER(SEARCH(설정!$A$47,E779&amp;" "&amp;C779))),AND(설정!$A$48&lt;&gt;"",ISNUMBER(SEARCH(설정!$A$48,E779&amp;" "&amp;C779))),AND(설정!$A$49&lt;&gt;"",ISNUMBER(SEARCH(설정!$A$49,E779&amp;" "&amp;C779))),AND(설정!$A$50&lt;&gt;"",ISNUMBER(SEARCH(설정!$A$50,E779&amp;" "&amp;C779))),AND(설정!$A$51&lt;&gt;"",ISNUMBER(SEARCH(설정!$A$51,E779&amp;" "&amp;C779))))</f>
        <v/>
      </c>
      <c r="S779">
        <f>OR(D779="",D779&gt;=설정!$B$19)</f>
        <v/>
      </c>
      <c r="T779">
        <f>AND(Q779,R779,S779)</f>
        <v/>
      </c>
      <c r="U779">
        <f>IF(T779,IF(AND(설정!$A$54&lt;&gt;"",ISNUMBER(SEARCH(설정!$A$54,K779))),설정!$B$54,IF(AND(설정!$A$55&lt;&gt;"",ISNUMBER(SEARCH(설정!$A$55,K779))),설정!$B$55,IF(AND(설정!$A$56&lt;&gt;"",ISNUMBER(SEARCH(설정!$A$56,K779))),설정!$B$56,IF(AND(설정!$A$57&lt;&gt;"",ISNUMBER(SEARCH(설정!$A$57,K779))),설정!$B$57,IF(AND(설정!$A$58&lt;&gt;"",ISNUMBER(SEARCH(설정!$A$58,K779))),설정!$B$58,IF(AND(설정!$A$59&lt;&gt;"",ISNUMBER(SEARCH(설정!$A$59,K779))),설정!$B$59,IF(AND(설정!$A$60&lt;&gt;"",ISNUMBER(SEARCH(설정!$A$60,K779))),설정!$B$60,IF(AND(설정!$A$61&lt;&gt;"",ISNUMBER(SEARCH(설정!$A$61,K779))),설정!$B$61,IF(M779="","설계사","시공사"))))))))),"")</f>
        <v/>
      </c>
      <c r="V779">
        <f>SUBSTITUTE(SUBSTITUTE(SUBSTITUTE(SUBSTITUTE(G779,"(주)",""),"㈜",""),"주식회사","")," ","")</f>
        <v/>
      </c>
      <c r="W779">
        <f>IF(AND(T779,V779&lt;&gt;""),IF(COUNTIFS(V$2:V779,V779,T$2:T779,TRUE)=1,MAX(W$1:W778)+1,""),"")</f>
        <v/>
      </c>
      <c r="X779">
        <f>IF(설정!$C$14="","",IFERROR(INDEX('1.산군_붙여넣기'!$A$1:$AZ$1001,ROW(),설정!$C$14)&amp;"",""))</f>
        <v/>
      </c>
      <c r="Y779">
        <f>IF(설정!$C$15="","",IFERROR(INDEX('1.산군_붙여넣기'!$A$1:$AZ$1001,ROW(),설정!$C$15)&amp;"",""))</f>
        <v/>
      </c>
      <c r="Z779">
        <f>IF(T779,V779&amp;"|"&amp;U779,"")</f>
        <v/>
      </c>
      <c r="AA779">
        <f>IF(NOT(Q779),"",IF(NOT(AND(R779,S779)),"✕",IF(OR(OR(AND(L779&lt;&gt;"",M779&lt;&gt;"",N(M779)-N(L779)&gt;설정!$B$27),AND(L779&lt;&gt;"",M779="",설정!$B$24-N(L779)&gt;설정!$B$27)),AND(D779&lt;&gt;"",D779&lt;설정!$B$26)),"△","★")))</f>
        <v/>
      </c>
      <c r="AB779">
        <f>IF(NOT(T779),"",IF(U779="설계사",설정!$B$31,IF(U779="시공사",IF(OR(M779="",설정!$B$24-N(M779)&lt;=설정!$B$28*30.4),설정!$B$32,설정!$B$33),설정!$B$34))+IF(AA779="★",설정!$B$35,0))</f>
        <v/>
      </c>
      <c r="AC779">
        <f>SUBSTITUTE(SUBSTITUTE(SUBSTITUTE(SUBSTITUTE(H779,"(주)",""),"㈜",""),"주식회사","")," ","")</f>
        <v/>
      </c>
      <c r="AD779">
        <f>IF(AND(T779,AC779&lt;&gt;""),IF(COUNTIFS(AC$2:AC779,AC779,T$2:T779,TRUE)=1,MAX(AD$1:AD778)+1,""),"")</f>
        <v/>
      </c>
    </row>
    <row r="780">
      <c r="A780">
        <f>ROW()</f>
        <v/>
      </c>
      <c r="B780">
        <f>IF(설정!$C$4="","",IFERROR(INDEX('1.산군_붙여넣기'!$A$1:$AZ$1001,ROW(),설정!$C$4)&amp;"",""))</f>
        <v/>
      </c>
      <c r="C780">
        <f>IF(설정!$C$5="","",IFERROR(INDEX('1.산군_붙여넣기'!$A$1:$AZ$1001,ROW(),설정!$C$5)&amp;"",""))</f>
        <v/>
      </c>
      <c r="D780" s="5">
        <f>IFERROR(VALUE(SUBSTITUTE(SUBSTITUTE(SUBSTITUTE(IF(설정!$C$6="","",IFERROR(INDEX('1.산군_붙여넣기'!$A$1:$AZ$1001,ROW(),설정!$C$6)&amp;"","")),",",""),"㎡",""),"m2","")),"")</f>
        <v/>
      </c>
      <c r="E780">
        <f>IF(설정!$C$7="","",IFERROR(INDEX('1.산군_붙여넣기'!$A$1:$AZ$1001,ROW(),설정!$C$7)&amp;"",""))</f>
        <v/>
      </c>
      <c r="F780">
        <f>IF(설정!$C$8="","",IFERROR(INDEX('1.산군_붙여넣기'!$A$1:$AZ$1001,ROW(),설정!$C$8)&amp;"",""))</f>
        <v/>
      </c>
      <c r="G780">
        <f>IF(설정!$C$9="","",IFERROR(INDEX('1.산군_붙여넣기'!$A$1:$AZ$1001,ROW(),설정!$C$9)&amp;"",""))</f>
        <v/>
      </c>
      <c r="H780">
        <f>IF(설정!$C$10="","",IFERROR(INDEX('1.산군_붙여넣기'!$A$1:$AZ$1001,ROW(),설정!$C$10)&amp;"",""))</f>
        <v/>
      </c>
      <c r="I780">
        <f>IF(설정!$C$11="","",IFERROR(INDEX('1.산군_붙여넣기'!$A$1:$AZ$1001,ROW(),설정!$C$11)&amp;"",""))</f>
        <v/>
      </c>
      <c r="J780">
        <f>IF(설정!$C$12="","",IFERROR(INDEX('1.산군_붙여넣기'!$A$1:$AZ$1001,ROW(),설정!$C$12)&amp;"",""))</f>
        <v/>
      </c>
      <c r="K780">
        <f>IF(설정!$C$13="","",IFERROR(INDEX('1.산군_붙여넣기'!$A$1:$AZ$1001,ROW(),설정!$C$13)&amp;"",""))</f>
        <v/>
      </c>
      <c r="L780" s="7">
        <f>IF(X780="","",IF(AND(LEN(X780)=8,ISNUMBER(X780*1)),DATE(LEFT(X780,4),MID(X780,5,2),RIGHT(X780,2)),IFERROR(DATEVALUE(SUBSTITUTE(SUBSTITUTE(X780,".","-"),"/","-")),IFERROR(X780*1,""))))</f>
        <v/>
      </c>
      <c r="M780" s="7">
        <f>IF(Y780="","",IF(AND(LEN(Y780)=8,ISNUMBER(Y780*1)),DATE(LEFT(Y780,4),MID(Y780,5,2),RIGHT(Y780,2)),IFERROR(DATEVALUE(SUBSTITUTE(SUBSTITUTE(Y780,".","-"),"/","-")),IFERROR(Y780*1,""))))</f>
        <v/>
      </c>
      <c r="N780">
        <f>IFERROR(LEFT(B780,FIND(" ",B780)-1),B780)</f>
        <v/>
      </c>
      <c r="O780">
        <f>AND(B780&lt;&gt;"",B780&lt;&gt;설정!$B$4,C780&lt;&gt;설정!$B$5)</f>
        <v/>
      </c>
      <c r="P780">
        <f>IF(O780,B780&amp;"|"&amp;C780,"")</f>
        <v/>
      </c>
      <c r="Q780">
        <f>AND(O780,COUNTIF(P781:P$1002,P780)=0)</f>
        <v/>
      </c>
      <c r="R780">
        <f>OR(AND(설정!$A$42&lt;&gt;"",ISNUMBER(SEARCH(설정!$A$42,E780&amp;" "&amp;C780))),AND(설정!$A$43&lt;&gt;"",ISNUMBER(SEARCH(설정!$A$43,E780&amp;" "&amp;C780))),AND(설정!$A$44&lt;&gt;"",ISNUMBER(SEARCH(설정!$A$44,E780&amp;" "&amp;C780))),AND(설정!$A$45&lt;&gt;"",ISNUMBER(SEARCH(설정!$A$45,E780&amp;" "&amp;C780))),AND(설정!$A$46&lt;&gt;"",ISNUMBER(SEARCH(설정!$A$46,E780&amp;" "&amp;C780))),AND(설정!$A$47&lt;&gt;"",ISNUMBER(SEARCH(설정!$A$47,E780&amp;" "&amp;C780))),AND(설정!$A$48&lt;&gt;"",ISNUMBER(SEARCH(설정!$A$48,E780&amp;" "&amp;C780))),AND(설정!$A$49&lt;&gt;"",ISNUMBER(SEARCH(설정!$A$49,E780&amp;" "&amp;C780))),AND(설정!$A$50&lt;&gt;"",ISNUMBER(SEARCH(설정!$A$50,E780&amp;" "&amp;C780))),AND(설정!$A$51&lt;&gt;"",ISNUMBER(SEARCH(설정!$A$51,E780&amp;" "&amp;C780))))</f>
        <v/>
      </c>
      <c r="S780">
        <f>OR(D780="",D780&gt;=설정!$B$19)</f>
        <v/>
      </c>
      <c r="T780">
        <f>AND(Q780,R780,S780)</f>
        <v/>
      </c>
      <c r="U780">
        <f>IF(T780,IF(AND(설정!$A$54&lt;&gt;"",ISNUMBER(SEARCH(설정!$A$54,K780))),설정!$B$54,IF(AND(설정!$A$55&lt;&gt;"",ISNUMBER(SEARCH(설정!$A$55,K780))),설정!$B$55,IF(AND(설정!$A$56&lt;&gt;"",ISNUMBER(SEARCH(설정!$A$56,K780))),설정!$B$56,IF(AND(설정!$A$57&lt;&gt;"",ISNUMBER(SEARCH(설정!$A$57,K780))),설정!$B$57,IF(AND(설정!$A$58&lt;&gt;"",ISNUMBER(SEARCH(설정!$A$58,K780))),설정!$B$58,IF(AND(설정!$A$59&lt;&gt;"",ISNUMBER(SEARCH(설정!$A$59,K780))),설정!$B$59,IF(AND(설정!$A$60&lt;&gt;"",ISNUMBER(SEARCH(설정!$A$60,K780))),설정!$B$60,IF(AND(설정!$A$61&lt;&gt;"",ISNUMBER(SEARCH(설정!$A$61,K780))),설정!$B$61,IF(M780="","설계사","시공사"))))))))),"")</f>
        <v/>
      </c>
      <c r="V780">
        <f>SUBSTITUTE(SUBSTITUTE(SUBSTITUTE(SUBSTITUTE(G780,"(주)",""),"㈜",""),"주식회사","")," ","")</f>
        <v/>
      </c>
      <c r="W780">
        <f>IF(AND(T780,V780&lt;&gt;""),IF(COUNTIFS(V$2:V780,V780,T$2:T780,TRUE)=1,MAX(W$1:W779)+1,""),"")</f>
        <v/>
      </c>
      <c r="X780">
        <f>IF(설정!$C$14="","",IFERROR(INDEX('1.산군_붙여넣기'!$A$1:$AZ$1001,ROW(),설정!$C$14)&amp;"",""))</f>
        <v/>
      </c>
      <c r="Y780">
        <f>IF(설정!$C$15="","",IFERROR(INDEX('1.산군_붙여넣기'!$A$1:$AZ$1001,ROW(),설정!$C$15)&amp;"",""))</f>
        <v/>
      </c>
      <c r="Z780">
        <f>IF(T780,V780&amp;"|"&amp;U780,"")</f>
        <v/>
      </c>
      <c r="AA780">
        <f>IF(NOT(Q780),"",IF(NOT(AND(R780,S780)),"✕",IF(OR(OR(AND(L780&lt;&gt;"",M780&lt;&gt;"",N(M780)-N(L780)&gt;설정!$B$27),AND(L780&lt;&gt;"",M780="",설정!$B$24-N(L780)&gt;설정!$B$27)),AND(D780&lt;&gt;"",D780&lt;설정!$B$26)),"△","★")))</f>
        <v/>
      </c>
      <c r="AB780">
        <f>IF(NOT(T780),"",IF(U780="설계사",설정!$B$31,IF(U780="시공사",IF(OR(M780="",설정!$B$24-N(M780)&lt;=설정!$B$28*30.4),설정!$B$32,설정!$B$33),설정!$B$34))+IF(AA780="★",설정!$B$35,0))</f>
        <v/>
      </c>
      <c r="AC780">
        <f>SUBSTITUTE(SUBSTITUTE(SUBSTITUTE(SUBSTITUTE(H780,"(주)",""),"㈜",""),"주식회사","")," ","")</f>
        <v/>
      </c>
      <c r="AD780">
        <f>IF(AND(T780,AC780&lt;&gt;""),IF(COUNTIFS(AC$2:AC780,AC780,T$2:T780,TRUE)=1,MAX(AD$1:AD779)+1,""),"")</f>
        <v/>
      </c>
    </row>
    <row r="781">
      <c r="A781">
        <f>ROW()</f>
        <v/>
      </c>
      <c r="B781">
        <f>IF(설정!$C$4="","",IFERROR(INDEX('1.산군_붙여넣기'!$A$1:$AZ$1001,ROW(),설정!$C$4)&amp;"",""))</f>
        <v/>
      </c>
      <c r="C781">
        <f>IF(설정!$C$5="","",IFERROR(INDEX('1.산군_붙여넣기'!$A$1:$AZ$1001,ROW(),설정!$C$5)&amp;"",""))</f>
        <v/>
      </c>
      <c r="D781" s="5">
        <f>IFERROR(VALUE(SUBSTITUTE(SUBSTITUTE(SUBSTITUTE(IF(설정!$C$6="","",IFERROR(INDEX('1.산군_붙여넣기'!$A$1:$AZ$1001,ROW(),설정!$C$6)&amp;"","")),",",""),"㎡",""),"m2","")),"")</f>
        <v/>
      </c>
      <c r="E781">
        <f>IF(설정!$C$7="","",IFERROR(INDEX('1.산군_붙여넣기'!$A$1:$AZ$1001,ROW(),설정!$C$7)&amp;"",""))</f>
        <v/>
      </c>
      <c r="F781">
        <f>IF(설정!$C$8="","",IFERROR(INDEX('1.산군_붙여넣기'!$A$1:$AZ$1001,ROW(),설정!$C$8)&amp;"",""))</f>
        <v/>
      </c>
      <c r="G781">
        <f>IF(설정!$C$9="","",IFERROR(INDEX('1.산군_붙여넣기'!$A$1:$AZ$1001,ROW(),설정!$C$9)&amp;"",""))</f>
        <v/>
      </c>
      <c r="H781">
        <f>IF(설정!$C$10="","",IFERROR(INDEX('1.산군_붙여넣기'!$A$1:$AZ$1001,ROW(),설정!$C$10)&amp;"",""))</f>
        <v/>
      </c>
      <c r="I781">
        <f>IF(설정!$C$11="","",IFERROR(INDEX('1.산군_붙여넣기'!$A$1:$AZ$1001,ROW(),설정!$C$11)&amp;"",""))</f>
        <v/>
      </c>
      <c r="J781">
        <f>IF(설정!$C$12="","",IFERROR(INDEX('1.산군_붙여넣기'!$A$1:$AZ$1001,ROW(),설정!$C$12)&amp;"",""))</f>
        <v/>
      </c>
      <c r="K781">
        <f>IF(설정!$C$13="","",IFERROR(INDEX('1.산군_붙여넣기'!$A$1:$AZ$1001,ROW(),설정!$C$13)&amp;"",""))</f>
        <v/>
      </c>
      <c r="L781" s="7">
        <f>IF(X781="","",IF(AND(LEN(X781)=8,ISNUMBER(X781*1)),DATE(LEFT(X781,4),MID(X781,5,2),RIGHT(X781,2)),IFERROR(DATEVALUE(SUBSTITUTE(SUBSTITUTE(X781,".","-"),"/","-")),IFERROR(X781*1,""))))</f>
        <v/>
      </c>
      <c r="M781" s="7">
        <f>IF(Y781="","",IF(AND(LEN(Y781)=8,ISNUMBER(Y781*1)),DATE(LEFT(Y781,4),MID(Y781,5,2),RIGHT(Y781,2)),IFERROR(DATEVALUE(SUBSTITUTE(SUBSTITUTE(Y781,".","-"),"/","-")),IFERROR(Y781*1,""))))</f>
        <v/>
      </c>
      <c r="N781">
        <f>IFERROR(LEFT(B781,FIND(" ",B781)-1),B781)</f>
        <v/>
      </c>
      <c r="O781">
        <f>AND(B781&lt;&gt;"",B781&lt;&gt;설정!$B$4,C781&lt;&gt;설정!$B$5)</f>
        <v/>
      </c>
      <c r="P781">
        <f>IF(O781,B781&amp;"|"&amp;C781,"")</f>
        <v/>
      </c>
      <c r="Q781">
        <f>AND(O781,COUNTIF(P782:P$1002,P781)=0)</f>
        <v/>
      </c>
      <c r="R781">
        <f>OR(AND(설정!$A$42&lt;&gt;"",ISNUMBER(SEARCH(설정!$A$42,E781&amp;" "&amp;C781))),AND(설정!$A$43&lt;&gt;"",ISNUMBER(SEARCH(설정!$A$43,E781&amp;" "&amp;C781))),AND(설정!$A$44&lt;&gt;"",ISNUMBER(SEARCH(설정!$A$44,E781&amp;" "&amp;C781))),AND(설정!$A$45&lt;&gt;"",ISNUMBER(SEARCH(설정!$A$45,E781&amp;" "&amp;C781))),AND(설정!$A$46&lt;&gt;"",ISNUMBER(SEARCH(설정!$A$46,E781&amp;" "&amp;C781))),AND(설정!$A$47&lt;&gt;"",ISNUMBER(SEARCH(설정!$A$47,E781&amp;" "&amp;C781))),AND(설정!$A$48&lt;&gt;"",ISNUMBER(SEARCH(설정!$A$48,E781&amp;" "&amp;C781))),AND(설정!$A$49&lt;&gt;"",ISNUMBER(SEARCH(설정!$A$49,E781&amp;" "&amp;C781))),AND(설정!$A$50&lt;&gt;"",ISNUMBER(SEARCH(설정!$A$50,E781&amp;" "&amp;C781))),AND(설정!$A$51&lt;&gt;"",ISNUMBER(SEARCH(설정!$A$51,E781&amp;" "&amp;C781))))</f>
        <v/>
      </c>
      <c r="S781">
        <f>OR(D781="",D781&gt;=설정!$B$19)</f>
        <v/>
      </c>
      <c r="T781">
        <f>AND(Q781,R781,S781)</f>
        <v/>
      </c>
      <c r="U781">
        <f>IF(T781,IF(AND(설정!$A$54&lt;&gt;"",ISNUMBER(SEARCH(설정!$A$54,K781))),설정!$B$54,IF(AND(설정!$A$55&lt;&gt;"",ISNUMBER(SEARCH(설정!$A$55,K781))),설정!$B$55,IF(AND(설정!$A$56&lt;&gt;"",ISNUMBER(SEARCH(설정!$A$56,K781))),설정!$B$56,IF(AND(설정!$A$57&lt;&gt;"",ISNUMBER(SEARCH(설정!$A$57,K781))),설정!$B$57,IF(AND(설정!$A$58&lt;&gt;"",ISNUMBER(SEARCH(설정!$A$58,K781))),설정!$B$58,IF(AND(설정!$A$59&lt;&gt;"",ISNUMBER(SEARCH(설정!$A$59,K781))),설정!$B$59,IF(AND(설정!$A$60&lt;&gt;"",ISNUMBER(SEARCH(설정!$A$60,K781))),설정!$B$60,IF(AND(설정!$A$61&lt;&gt;"",ISNUMBER(SEARCH(설정!$A$61,K781))),설정!$B$61,IF(M781="","설계사","시공사"))))))))),"")</f>
        <v/>
      </c>
      <c r="V781">
        <f>SUBSTITUTE(SUBSTITUTE(SUBSTITUTE(SUBSTITUTE(G781,"(주)",""),"㈜",""),"주식회사","")," ","")</f>
        <v/>
      </c>
      <c r="W781">
        <f>IF(AND(T781,V781&lt;&gt;""),IF(COUNTIFS(V$2:V781,V781,T$2:T781,TRUE)=1,MAX(W$1:W780)+1,""),"")</f>
        <v/>
      </c>
      <c r="X781">
        <f>IF(설정!$C$14="","",IFERROR(INDEX('1.산군_붙여넣기'!$A$1:$AZ$1001,ROW(),설정!$C$14)&amp;"",""))</f>
        <v/>
      </c>
      <c r="Y781">
        <f>IF(설정!$C$15="","",IFERROR(INDEX('1.산군_붙여넣기'!$A$1:$AZ$1001,ROW(),설정!$C$15)&amp;"",""))</f>
        <v/>
      </c>
      <c r="Z781">
        <f>IF(T781,V781&amp;"|"&amp;U781,"")</f>
        <v/>
      </c>
      <c r="AA781">
        <f>IF(NOT(Q781),"",IF(NOT(AND(R781,S781)),"✕",IF(OR(OR(AND(L781&lt;&gt;"",M781&lt;&gt;"",N(M781)-N(L781)&gt;설정!$B$27),AND(L781&lt;&gt;"",M781="",설정!$B$24-N(L781)&gt;설정!$B$27)),AND(D781&lt;&gt;"",D781&lt;설정!$B$26)),"△","★")))</f>
        <v/>
      </c>
      <c r="AB781">
        <f>IF(NOT(T781),"",IF(U781="설계사",설정!$B$31,IF(U781="시공사",IF(OR(M781="",설정!$B$24-N(M781)&lt;=설정!$B$28*30.4),설정!$B$32,설정!$B$33),설정!$B$34))+IF(AA781="★",설정!$B$35,0))</f>
        <v/>
      </c>
      <c r="AC781">
        <f>SUBSTITUTE(SUBSTITUTE(SUBSTITUTE(SUBSTITUTE(H781,"(주)",""),"㈜",""),"주식회사","")," ","")</f>
        <v/>
      </c>
      <c r="AD781">
        <f>IF(AND(T781,AC781&lt;&gt;""),IF(COUNTIFS(AC$2:AC781,AC781,T$2:T781,TRUE)=1,MAX(AD$1:AD780)+1,""),"")</f>
        <v/>
      </c>
    </row>
    <row r="782">
      <c r="A782">
        <f>ROW()</f>
        <v/>
      </c>
      <c r="B782">
        <f>IF(설정!$C$4="","",IFERROR(INDEX('1.산군_붙여넣기'!$A$1:$AZ$1001,ROW(),설정!$C$4)&amp;"",""))</f>
        <v/>
      </c>
      <c r="C782">
        <f>IF(설정!$C$5="","",IFERROR(INDEX('1.산군_붙여넣기'!$A$1:$AZ$1001,ROW(),설정!$C$5)&amp;"",""))</f>
        <v/>
      </c>
      <c r="D782" s="5">
        <f>IFERROR(VALUE(SUBSTITUTE(SUBSTITUTE(SUBSTITUTE(IF(설정!$C$6="","",IFERROR(INDEX('1.산군_붙여넣기'!$A$1:$AZ$1001,ROW(),설정!$C$6)&amp;"","")),",",""),"㎡",""),"m2","")),"")</f>
        <v/>
      </c>
      <c r="E782">
        <f>IF(설정!$C$7="","",IFERROR(INDEX('1.산군_붙여넣기'!$A$1:$AZ$1001,ROW(),설정!$C$7)&amp;"",""))</f>
        <v/>
      </c>
      <c r="F782">
        <f>IF(설정!$C$8="","",IFERROR(INDEX('1.산군_붙여넣기'!$A$1:$AZ$1001,ROW(),설정!$C$8)&amp;"",""))</f>
        <v/>
      </c>
      <c r="G782">
        <f>IF(설정!$C$9="","",IFERROR(INDEX('1.산군_붙여넣기'!$A$1:$AZ$1001,ROW(),설정!$C$9)&amp;"",""))</f>
        <v/>
      </c>
      <c r="H782">
        <f>IF(설정!$C$10="","",IFERROR(INDEX('1.산군_붙여넣기'!$A$1:$AZ$1001,ROW(),설정!$C$10)&amp;"",""))</f>
        <v/>
      </c>
      <c r="I782">
        <f>IF(설정!$C$11="","",IFERROR(INDEX('1.산군_붙여넣기'!$A$1:$AZ$1001,ROW(),설정!$C$11)&amp;"",""))</f>
        <v/>
      </c>
      <c r="J782">
        <f>IF(설정!$C$12="","",IFERROR(INDEX('1.산군_붙여넣기'!$A$1:$AZ$1001,ROW(),설정!$C$12)&amp;"",""))</f>
        <v/>
      </c>
      <c r="K782">
        <f>IF(설정!$C$13="","",IFERROR(INDEX('1.산군_붙여넣기'!$A$1:$AZ$1001,ROW(),설정!$C$13)&amp;"",""))</f>
        <v/>
      </c>
      <c r="L782" s="7">
        <f>IF(X782="","",IF(AND(LEN(X782)=8,ISNUMBER(X782*1)),DATE(LEFT(X782,4),MID(X782,5,2),RIGHT(X782,2)),IFERROR(DATEVALUE(SUBSTITUTE(SUBSTITUTE(X782,".","-"),"/","-")),IFERROR(X782*1,""))))</f>
        <v/>
      </c>
      <c r="M782" s="7">
        <f>IF(Y782="","",IF(AND(LEN(Y782)=8,ISNUMBER(Y782*1)),DATE(LEFT(Y782,4),MID(Y782,5,2),RIGHT(Y782,2)),IFERROR(DATEVALUE(SUBSTITUTE(SUBSTITUTE(Y782,".","-"),"/","-")),IFERROR(Y782*1,""))))</f>
        <v/>
      </c>
      <c r="N782">
        <f>IFERROR(LEFT(B782,FIND(" ",B782)-1),B782)</f>
        <v/>
      </c>
      <c r="O782">
        <f>AND(B782&lt;&gt;"",B782&lt;&gt;설정!$B$4,C782&lt;&gt;설정!$B$5)</f>
        <v/>
      </c>
      <c r="P782">
        <f>IF(O782,B782&amp;"|"&amp;C782,"")</f>
        <v/>
      </c>
      <c r="Q782">
        <f>AND(O782,COUNTIF(P783:P$1002,P782)=0)</f>
        <v/>
      </c>
      <c r="R782">
        <f>OR(AND(설정!$A$42&lt;&gt;"",ISNUMBER(SEARCH(설정!$A$42,E782&amp;" "&amp;C782))),AND(설정!$A$43&lt;&gt;"",ISNUMBER(SEARCH(설정!$A$43,E782&amp;" "&amp;C782))),AND(설정!$A$44&lt;&gt;"",ISNUMBER(SEARCH(설정!$A$44,E782&amp;" "&amp;C782))),AND(설정!$A$45&lt;&gt;"",ISNUMBER(SEARCH(설정!$A$45,E782&amp;" "&amp;C782))),AND(설정!$A$46&lt;&gt;"",ISNUMBER(SEARCH(설정!$A$46,E782&amp;" "&amp;C782))),AND(설정!$A$47&lt;&gt;"",ISNUMBER(SEARCH(설정!$A$47,E782&amp;" "&amp;C782))),AND(설정!$A$48&lt;&gt;"",ISNUMBER(SEARCH(설정!$A$48,E782&amp;" "&amp;C782))),AND(설정!$A$49&lt;&gt;"",ISNUMBER(SEARCH(설정!$A$49,E782&amp;" "&amp;C782))),AND(설정!$A$50&lt;&gt;"",ISNUMBER(SEARCH(설정!$A$50,E782&amp;" "&amp;C782))),AND(설정!$A$51&lt;&gt;"",ISNUMBER(SEARCH(설정!$A$51,E782&amp;" "&amp;C782))))</f>
        <v/>
      </c>
      <c r="S782">
        <f>OR(D782="",D782&gt;=설정!$B$19)</f>
        <v/>
      </c>
      <c r="T782">
        <f>AND(Q782,R782,S782)</f>
        <v/>
      </c>
      <c r="U782">
        <f>IF(T782,IF(AND(설정!$A$54&lt;&gt;"",ISNUMBER(SEARCH(설정!$A$54,K782))),설정!$B$54,IF(AND(설정!$A$55&lt;&gt;"",ISNUMBER(SEARCH(설정!$A$55,K782))),설정!$B$55,IF(AND(설정!$A$56&lt;&gt;"",ISNUMBER(SEARCH(설정!$A$56,K782))),설정!$B$56,IF(AND(설정!$A$57&lt;&gt;"",ISNUMBER(SEARCH(설정!$A$57,K782))),설정!$B$57,IF(AND(설정!$A$58&lt;&gt;"",ISNUMBER(SEARCH(설정!$A$58,K782))),설정!$B$58,IF(AND(설정!$A$59&lt;&gt;"",ISNUMBER(SEARCH(설정!$A$59,K782))),설정!$B$59,IF(AND(설정!$A$60&lt;&gt;"",ISNUMBER(SEARCH(설정!$A$60,K782))),설정!$B$60,IF(AND(설정!$A$61&lt;&gt;"",ISNUMBER(SEARCH(설정!$A$61,K782))),설정!$B$61,IF(M782="","설계사","시공사"))))))))),"")</f>
        <v/>
      </c>
      <c r="V782">
        <f>SUBSTITUTE(SUBSTITUTE(SUBSTITUTE(SUBSTITUTE(G782,"(주)",""),"㈜",""),"주식회사","")," ","")</f>
        <v/>
      </c>
      <c r="W782">
        <f>IF(AND(T782,V782&lt;&gt;""),IF(COUNTIFS(V$2:V782,V782,T$2:T782,TRUE)=1,MAX(W$1:W781)+1,""),"")</f>
        <v/>
      </c>
      <c r="X782">
        <f>IF(설정!$C$14="","",IFERROR(INDEX('1.산군_붙여넣기'!$A$1:$AZ$1001,ROW(),설정!$C$14)&amp;"",""))</f>
        <v/>
      </c>
      <c r="Y782">
        <f>IF(설정!$C$15="","",IFERROR(INDEX('1.산군_붙여넣기'!$A$1:$AZ$1001,ROW(),설정!$C$15)&amp;"",""))</f>
        <v/>
      </c>
      <c r="Z782">
        <f>IF(T782,V782&amp;"|"&amp;U782,"")</f>
        <v/>
      </c>
      <c r="AA782">
        <f>IF(NOT(Q782),"",IF(NOT(AND(R782,S782)),"✕",IF(OR(OR(AND(L782&lt;&gt;"",M782&lt;&gt;"",N(M782)-N(L782)&gt;설정!$B$27),AND(L782&lt;&gt;"",M782="",설정!$B$24-N(L782)&gt;설정!$B$27)),AND(D782&lt;&gt;"",D782&lt;설정!$B$26)),"△","★")))</f>
        <v/>
      </c>
      <c r="AB782">
        <f>IF(NOT(T782),"",IF(U782="설계사",설정!$B$31,IF(U782="시공사",IF(OR(M782="",설정!$B$24-N(M782)&lt;=설정!$B$28*30.4),설정!$B$32,설정!$B$33),설정!$B$34))+IF(AA782="★",설정!$B$35,0))</f>
        <v/>
      </c>
      <c r="AC782">
        <f>SUBSTITUTE(SUBSTITUTE(SUBSTITUTE(SUBSTITUTE(H782,"(주)",""),"㈜",""),"주식회사","")," ","")</f>
        <v/>
      </c>
      <c r="AD782">
        <f>IF(AND(T782,AC782&lt;&gt;""),IF(COUNTIFS(AC$2:AC782,AC782,T$2:T782,TRUE)=1,MAX(AD$1:AD781)+1,""),"")</f>
        <v/>
      </c>
    </row>
    <row r="783">
      <c r="A783">
        <f>ROW()</f>
        <v/>
      </c>
      <c r="B783">
        <f>IF(설정!$C$4="","",IFERROR(INDEX('1.산군_붙여넣기'!$A$1:$AZ$1001,ROW(),설정!$C$4)&amp;"",""))</f>
        <v/>
      </c>
      <c r="C783">
        <f>IF(설정!$C$5="","",IFERROR(INDEX('1.산군_붙여넣기'!$A$1:$AZ$1001,ROW(),설정!$C$5)&amp;"",""))</f>
        <v/>
      </c>
      <c r="D783" s="5">
        <f>IFERROR(VALUE(SUBSTITUTE(SUBSTITUTE(SUBSTITUTE(IF(설정!$C$6="","",IFERROR(INDEX('1.산군_붙여넣기'!$A$1:$AZ$1001,ROW(),설정!$C$6)&amp;"","")),",",""),"㎡",""),"m2","")),"")</f>
        <v/>
      </c>
      <c r="E783">
        <f>IF(설정!$C$7="","",IFERROR(INDEX('1.산군_붙여넣기'!$A$1:$AZ$1001,ROW(),설정!$C$7)&amp;"",""))</f>
        <v/>
      </c>
      <c r="F783">
        <f>IF(설정!$C$8="","",IFERROR(INDEX('1.산군_붙여넣기'!$A$1:$AZ$1001,ROW(),설정!$C$8)&amp;"",""))</f>
        <v/>
      </c>
      <c r="G783">
        <f>IF(설정!$C$9="","",IFERROR(INDEX('1.산군_붙여넣기'!$A$1:$AZ$1001,ROW(),설정!$C$9)&amp;"",""))</f>
        <v/>
      </c>
      <c r="H783">
        <f>IF(설정!$C$10="","",IFERROR(INDEX('1.산군_붙여넣기'!$A$1:$AZ$1001,ROW(),설정!$C$10)&amp;"",""))</f>
        <v/>
      </c>
      <c r="I783">
        <f>IF(설정!$C$11="","",IFERROR(INDEX('1.산군_붙여넣기'!$A$1:$AZ$1001,ROW(),설정!$C$11)&amp;"",""))</f>
        <v/>
      </c>
      <c r="J783">
        <f>IF(설정!$C$12="","",IFERROR(INDEX('1.산군_붙여넣기'!$A$1:$AZ$1001,ROW(),설정!$C$12)&amp;"",""))</f>
        <v/>
      </c>
      <c r="K783">
        <f>IF(설정!$C$13="","",IFERROR(INDEX('1.산군_붙여넣기'!$A$1:$AZ$1001,ROW(),설정!$C$13)&amp;"",""))</f>
        <v/>
      </c>
      <c r="L783" s="7">
        <f>IF(X783="","",IF(AND(LEN(X783)=8,ISNUMBER(X783*1)),DATE(LEFT(X783,4),MID(X783,5,2),RIGHT(X783,2)),IFERROR(DATEVALUE(SUBSTITUTE(SUBSTITUTE(X783,".","-"),"/","-")),IFERROR(X783*1,""))))</f>
        <v/>
      </c>
      <c r="M783" s="7">
        <f>IF(Y783="","",IF(AND(LEN(Y783)=8,ISNUMBER(Y783*1)),DATE(LEFT(Y783,4),MID(Y783,5,2),RIGHT(Y783,2)),IFERROR(DATEVALUE(SUBSTITUTE(SUBSTITUTE(Y783,".","-"),"/","-")),IFERROR(Y783*1,""))))</f>
        <v/>
      </c>
      <c r="N783">
        <f>IFERROR(LEFT(B783,FIND(" ",B783)-1),B783)</f>
        <v/>
      </c>
      <c r="O783">
        <f>AND(B783&lt;&gt;"",B783&lt;&gt;설정!$B$4,C783&lt;&gt;설정!$B$5)</f>
        <v/>
      </c>
      <c r="P783">
        <f>IF(O783,B783&amp;"|"&amp;C783,"")</f>
        <v/>
      </c>
      <c r="Q783">
        <f>AND(O783,COUNTIF(P784:P$1002,P783)=0)</f>
        <v/>
      </c>
      <c r="R783">
        <f>OR(AND(설정!$A$42&lt;&gt;"",ISNUMBER(SEARCH(설정!$A$42,E783&amp;" "&amp;C783))),AND(설정!$A$43&lt;&gt;"",ISNUMBER(SEARCH(설정!$A$43,E783&amp;" "&amp;C783))),AND(설정!$A$44&lt;&gt;"",ISNUMBER(SEARCH(설정!$A$44,E783&amp;" "&amp;C783))),AND(설정!$A$45&lt;&gt;"",ISNUMBER(SEARCH(설정!$A$45,E783&amp;" "&amp;C783))),AND(설정!$A$46&lt;&gt;"",ISNUMBER(SEARCH(설정!$A$46,E783&amp;" "&amp;C783))),AND(설정!$A$47&lt;&gt;"",ISNUMBER(SEARCH(설정!$A$47,E783&amp;" "&amp;C783))),AND(설정!$A$48&lt;&gt;"",ISNUMBER(SEARCH(설정!$A$48,E783&amp;" "&amp;C783))),AND(설정!$A$49&lt;&gt;"",ISNUMBER(SEARCH(설정!$A$49,E783&amp;" "&amp;C783))),AND(설정!$A$50&lt;&gt;"",ISNUMBER(SEARCH(설정!$A$50,E783&amp;" "&amp;C783))),AND(설정!$A$51&lt;&gt;"",ISNUMBER(SEARCH(설정!$A$51,E783&amp;" "&amp;C783))))</f>
        <v/>
      </c>
      <c r="S783">
        <f>OR(D783="",D783&gt;=설정!$B$19)</f>
        <v/>
      </c>
      <c r="T783">
        <f>AND(Q783,R783,S783)</f>
        <v/>
      </c>
      <c r="U783">
        <f>IF(T783,IF(AND(설정!$A$54&lt;&gt;"",ISNUMBER(SEARCH(설정!$A$54,K783))),설정!$B$54,IF(AND(설정!$A$55&lt;&gt;"",ISNUMBER(SEARCH(설정!$A$55,K783))),설정!$B$55,IF(AND(설정!$A$56&lt;&gt;"",ISNUMBER(SEARCH(설정!$A$56,K783))),설정!$B$56,IF(AND(설정!$A$57&lt;&gt;"",ISNUMBER(SEARCH(설정!$A$57,K783))),설정!$B$57,IF(AND(설정!$A$58&lt;&gt;"",ISNUMBER(SEARCH(설정!$A$58,K783))),설정!$B$58,IF(AND(설정!$A$59&lt;&gt;"",ISNUMBER(SEARCH(설정!$A$59,K783))),설정!$B$59,IF(AND(설정!$A$60&lt;&gt;"",ISNUMBER(SEARCH(설정!$A$60,K783))),설정!$B$60,IF(AND(설정!$A$61&lt;&gt;"",ISNUMBER(SEARCH(설정!$A$61,K783))),설정!$B$61,IF(M783="","설계사","시공사"))))))))),"")</f>
        <v/>
      </c>
      <c r="V783">
        <f>SUBSTITUTE(SUBSTITUTE(SUBSTITUTE(SUBSTITUTE(G783,"(주)",""),"㈜",""),"주식회사","")," ","")</f>
        <v/>
      </c>
      <c r="W783">
        <f>IF(AND(T783,V783&lt;&gt;""),IF(COUNTIFS(V$2:V783,V783,T$2:T783,TRUE)=1,MAX(W$1:W782)+1,""),"")</f>
        <v/>
      </c>
      <c r="X783">
        <f>IF(설정!$C$14="","",IFERROR(INDEX('1.산군_붙여넣기'!$A$1:$AZ$1001,ROW(),설정!$C$14)&amp;"",""))</f>
        <v/>
      </c>
      <c r="Y783">
        <f>IF(설정!$C$15="","",IFERROR(INDEX('1.산군_붙여넣기'!$A$1:$AZ$1001,ROW(),설정!$C$15)&amp;"",""))</f>
        <v/>
      </c>
      <c r="Z783">
        <f>IF(T783,V783&amp;"|"&amp;U783,"")</f>
        <v/>
      </c>
      <c r="AA783">
        <f>IF(NOT(Q783),"",IF(NOT(AND(R783,S783)),"✕",IF(OR(OR(AND(L783&lt;&gt;"",M783&lt;&gt;"",N(M783)-N(L783)&gt;설정!$B$27),AND(L783&lt;&gt;"",M783="",설정!$B$24-N(L783)&gt;설정!$B$27)),AND(D783&lt;&gt;"",D783&lt;설정!$B$26)),"△","★")))</f>
        <v/>
      </c>
      <c r="AB783">
        <f>IF(NOT(T783),"",IF(U783="설계사",설정!$B$31,IF(U783="시공사",IF(OR(M783="",설정!$B$24-N(M783)&lt;=설정!$B$28*30.4),설정!$B$32,설정!$B$33),설정!$B$34))+IF(AA783="★",설정!$B$35,0))</f>
        <v/>
      </c>
      <c r="AC783">
        <f>SUBSTITUTE(SUBSTITUTE(SUBSTITUTE(SUBSTITUTE(H783,"(주)",""),"㈜",""),"주식회사","")," ","")</f>
        <v/>
      </c>
      <c r="AD783">
        <f>IF(AND(T783,AC783&lt;&gt;""),IF(COUNTIFS(AC$2:AC783,AC783,T$2:T783,TRUE)=1,MAX(AD$1:AD782)+1,""),"")</f>
        <v/>
      </c>
    </row>
    <row r="784">
      <c r="A784">
        <f>ROW()</f>
        <v/>
      </c>
      <c r="B784">
        <f>IF(설정!$C$4="","",IFERROR(INDEX('1.산군_붙여넣기'!$A$1:$AZ$1001,ROW(),설정!$C$4)&amp;"",""))</f>
        <v/>
      </c>
      <c r="C784">
        <f>IF(설정!$C$5="","",IFERROR(INDEX('1.산군_붙여넣기'!$A$1:$AZ$1001,ROW(),설정!$C$5)&amp;"",""))</f>
        <v/>
      </c>
      <c r="D784" s="5">
        <f>IFERROR(VALUE(SUBSTITUTE(SUBSTITUTE(SUBSTITUTE(IF(설정!$C$6="","",IFERROR(INDEX('1.산군_붙여넣기'!$A$1:$AZ$1001,ROW(),설정!$C$6)&amp;"","")),",",""),"㎡",""),"m2","")),"")</f>
        <v/>
      </c>
      <c r="E784">
        <f>IF(설정!$C$7="","",IFERROR(INDEX('1.산군_붙여넣기'!$A$1:$AZ$1001,ROW(),설정!$C$7)&amp;"",""))</f>
        <v/>
      </c>
      <c r="F784">
        <f>IF(설정!$C$8="","",IFERROR(INDEX('1.산군_붙여넣기'!$A$1:$AZ$1001,ROW(),설정!$C$8)&amp;"",""))</f>
        <v/>
      </c>
      <c r="G784">
        <f>IF(설정!$C$9="","",IFERROR(INDEX('1.산군_붙여넣기'!$A$1:$AZ$1001,ROW(),설정!$C$9)&amp;"",""))</f>
        <v/>
      </c>
      <c r="H784">
        <f>IF(설정!$C$10="","",IFERROR(INDEX('1.산군_붙여넣기'!$A$1:$AZ$1001,ROW(),설정!$C$10)&amp;"",""))</f>
        <v/>
      </c>
      <c r="I784">
        <f>IF(설정!$C$11="","",IFERROR(INDEX('1.산군_붙여넣기'!$A$1:$AZ$1001,ROW(),설정!$C$11)&amp;"",""))</f>
        <v/>
      </c>
      <c r="J784">
        <f>IF(설정!$C$12="","",IFERROR(INDEX('1.산군_붙여넣기'!$A$1:$AZ$1001,ROW(),설정!$C$12)&amp;"",""))</f>
        <v/>
      </c>
      <c r="K784">
        <f>IF(설정!$C$13="","",IFERROR(INDEX('1.산군_붙여넣기'!$A$1:$AZ$1001,ROW(),설정!$C$13)&amp;"",""))</f>
        <v/>
      </c>
      <c r="L784" s="7">
        <f>IF(X784="","",IF(AND(LEN(X784)=8,ISNUMBER(X784*1)),DATE(LEFT(X784,4),MID(X784,5,2),RIGHT(X784,2)),IFERROR(DATEVALUE(SUBSTITUTE(SUBSTITUTE(X784,".","-"),"/","-")),IFERROR(X784*1,""))))</f>
        <v/>
      </c>
      <c r="M784" s="7">
        <f>IF(Y784="","",IF(AND(LEN(Y784)=8,ISNUMBER(Y784*1)),DATE(LEFT(Y784,4),MID(Y784,5,2),RIGHT(Y784,2)),IFERROR(DATEVALUE(SUBSTITUTE(SUBSTITUTE(Y784,".","-"),"/","-")),IFERROR(Y784*1,""))))</f>
        <v/>
      </c>
      <c r="N784">
        <f>IFERROR(LEFT(B784,FIND(" ",B784)-1),B784)</f>
        <v/>
      </c>
      <c r="O784">
        <f>AND(B784&lt;&gt;"",B784&lt;&gt;설정!$B$4,C784&lt;&gt;설정!$B$5)</f>
        <v/>
      </c>
      <c r="P784">
        <f>IF(O784,B784&amp;"|"&amp;C784,"")</f>
        <v/>
      </c>
      <c r="Q784">
        <f>AND(O784,COUNTIF(P785:P$1002,P784)=0)</f>
        <v/>
      </c>
      <c r="R784">
        <f>OR(AND(설정!$A$42&lt;&gt;"",ISNUMBER(SEARCH(설정!$A$42,E784&amp;" "&amp;C784))),AND(설정!$A$43&lt;&gt;"",ISNUMBER(SEARCH(설정!$A$43,E784&amp;" "&amp;C784))),AND(설정!$A$44&lt;&gt;"",ISNUMBER(SEARCH(설정!$A$44,E784&amp;" "&amp;C784))),AND(설정!$A$45&lt;&gt;"",ISNUMBER(SEARCH(설정!$A$45,E784&amp;" "&amp;C784))),AND(설정!$A$46&lt;&gt;"",ISNUMBER(SEARCH(설정!$A$46,E784&amp;" "&amp;C784))),AND(설정!$A$47&lt;&gt;"",ISNUMBER(SEARCH(설정!$A$47,E784&amp;" "&amp;C784))),AND(설정!$A$48&lt;&gt;"",ISNUMBER(SEARCH(설정!$A$48,E784&amp;" "&amp;C784))),AND(설정!$A$49&lt;&gt;"",ISNUMBER(SEARCH(설정!$A$49,E784&amp;" "&amp;C784))),AND(설정!$A$50&lt;&gt;"",ISNUMBER(SEARCH(설정!$A$50,E784&amp;" "&amp;C784))),AND(설정!$A$51&lt;&gt;"",ISNUMBER(SEARCH(설정!$A$51,E784&amp;" "&amp;C784))))</f>
        <v/>
      </c>
      <c r="S784">
        <f>OR(D784="",D784&gt;=설정!$B$19)</f>
        <v/>
      </c>
      <c r="T784">
        <f>AND(Q784,R784,S784)</f>
        <v/>
      </c>
      <c r="U784">
        <f>IF(T784,IF(AND(설정!$A$54&lt;&gt;"",ISNUMBER(SEARCH(설정!$A$54,K784))),설정!$B$54,IF(AND(설정!$A$55&lt;&gt;"",ISNUMBER(SEARCH(설정!$A$55,K784))),설정!$B$55,IF(AND(설정!$A$56&lt;&gt;"",ISNUMBER(SEARCH(설정!$A$56,K784))),설정!$B$56,IF(AND(설정!$A$57&lt;&gt;"",ISNUMBER(SEARCH(설정!$A$57,K784))),설정!$B$57,IF(AND(설정!$A$58&lt;&gt;"",ISNUMBER(SEARCH(설정!$A$58,K784))),설정!$B$58,IF(AND(설정!$A$59&lt;&gt;"",ISNUMBER(SEARCH(설정!$A$59,K784))),설정!$B$59,IF(AND(설정!$A$60&lt;&gt;"",ISNUMBER(SEARCH(설정!$A$60,K784))),설정!$B$60,IF(AND(설정!$A$61&lt;&gt;"",ISNUMBER(SEARCH(설정!$A$61,K784))),설정!$B$61,IF(M784="","설계사","시공사"))))))))),"")</f>
        <v/>
      </c>
      <c r="V784">
        <f>SUBSTITUTE(SUBSTITUTE(SUBSTITUTE(SUBSTITUTE(G784,"(주)",""),"㈜",""),"주식회사","")," ","")</f>
        <v/>
      </c>
      <c r="W784">
        <f>IF(AND(T784,V784&lt;&gt;""),IF(COUNTIFS(V$2:V784,V784,T$2:T784,TRUE)=1,MAX(W$1:W783)+1,""),"")</f>
        <v/>
      </c>
      <c r="X784">
        <f>IF(설정!$C$14="","",IFERROR(INDEX('1.산군_붙여넣기'!$A$1:$AZ$1001,ROW(),설정!$C$14)&amp;"",""))</f>
        <v/>
      </c>
      <c r="Y784">
        <f>IF(설정!$C$15="","",IFERROR(INDEX('1.산군_붙여넣기'!$A$1:$AZ$1001,ROW(),설정!$C$15)&amp;"",""))</f>
        <v/>
      </c>
      <c r="Z784">
        <f>IF(T784,V784&amp;"|"&amp;U784,"")</f>
        <v/>
      </c>
      <c r="AA784">
        <f>IF(NOT(Q784),"",IF(NOT(AND(R784,S784)),"✕",IF(OR(OR(AND(L784&lt;&gt;"",M784&lt;&gt;"",N(M784)-N(L784)&gt;설정!$B$27),AND(L784&lt;&gt;"",M784="",설정!$B$24-N(L784)&gt;설정!$B$27)),AND(D784&lt;&gt;"",D784&lt;설정!$B$26)),"△","★")))</f>
        <v/>
      </c>
      <c r="AB784">
        <f>IF(NOT(T784),"",IF(U784="설계사",설정!$B$31,IF(U784="시공사",IF(OR(M784="",설정!$B$24-N(M784)&lt;=설정!$B$28*30.4),설정!$B$32,설정!$B$33),설정!$B$34))+IF(AA784="★",설정!$B$35,0))</f>
        <v/>
      </c>
      <c r="AC784">
        <f>SUBSTITUTE(SUBSTITUTE(SUBSTITUTE(SUBSTITUTE(H784,"(주)",""),"㈜",""),"주식회사","")," ","")</f>
        <v/>
      </c>
      <c r="AD784">
        <f>IF(AND(T784,AC784&lt;&gt;""),IF(COUNTIFS(AC$2:AC784,AC784,T$2:T784,TRUE)=1,MAX(AD$1:AD783)+1,""),"")</f>
        <v/>
      </c>
    </row>
    <row r="785">
      <c r="A785">
        <f>ROW()</f>
        <v/>
      </c>
      <c r="B785">
        <f>IF(설정!$C$4="","",IFERROR(INDEX('1.산군_붙여넣기'!$A$1:$AZ$1001,ROW(),설정!$C$4)&amp;"",""))</f>
        <v/>
      </c>
      <c r="C785">
        <f>IF(설정!$C$5="","",IFERROR(INDEX('1.산군_붙여넣기'!$A$1:$AZ$1001,ROW(),설정!$C$5)&amp;"",""))</f>
        <v/>
      </c>
      <c r="D785" s="5">
        <f>IFERROR(VALUE(SUBSTITUTE(SUBSTITUTE(SUBSTITUTE(IF(설정!$C$6="","",IFERROR(INDEX('1.산군_붙여넣기'!$A$1:$AZ$1001,ROW(),설정!$C$6)&amp;"","")),",",""),"㎡",""),"m2","")),"")</f>
        <v/>
      </c>
      <c r="E785">
        <f>IF(설정!$C$7="","",IFERROR(INDEX('1.산군_붙여넣기'!$A$1:$AZ$1001,ROW(),설정!$C$7)&amp;"",""))</f>
        <v/>
      </c>
      <c r="F785">
        <f>IF(설정!$C$8="","",IFERROR(INDEX('1.산군_붙여넣기'!$A$1:$AZ$1001,ROW(),설정!$C$8)&amp;"",""))</f>
        <v/>
      </c>
      <c r="G785">
        <f>IF(설정!$C$9="","",IFERROR(INDEX('1.산군_붙여넣기'!$A$1:$AZ$1001,ROW(),설정!$C$9)&amp;"",""))</f>
        <v/>
      </c>
      <c r="H785">
        <f>IF(설정!$C$10="","",IFERROR(INDEX('1.산군_붙여넣기'!$A$1:$AZ$1001,ROW(),설정!$C$10)&amp;"",""))</f>
        <v/>
      </c>
      <c r="I785">
        <f>IF(설정!$C$11="","",IFERROR(INDEX('1.산군_붙여넣기'!$A$1:$AZ$1001,ROW(),설정!$C$11)&amp;"",""))</f>
        <v/>
      </c>
      <c r="J785">
        <f>IF(설정!$C$12="","",IFERROR(INDEX('1.산군_붙여넣기'!$A$1:$AZ$1001,ROW(),설정!$C$12)&amp;"",""))</f>
        <v/>
      </c>
      <c r="K785">
        <f>IF(설정!$C$13="","",IFERROR(INDEX('1.산군_붙여넣기'!$A$1:$AZ$1001,ROW(),설정!$C$13)&amp;"",""))</f>
        <v/>
      </c>
      <c r="L785" s="7">
        <f>IF(X785="","",IF(AND(LEN(X785)=8,ISNUMBER(X785*1)),DATE(LEFT(X785,4),MID(X785,5,2),RIGHT(X785,2)),IFERROR(DATEVALUE(SUBSTITUTE(SUBSTITUTE(X785,".","-"),"/","-")),IFERROR(X785*1,""))))</f>
        <v/>
      </c>
      <c r="M785" s="7">
        <f>IF(Y785="","",IF(AND(LEN(Y785)=8,ISNUMBER(Y785*1)),DATE(LEFT(Y785,4),MID(Y785,5,2),RIGHT(Y785,2)),IFERROR(DATEVALUE(SUBSTITUTE(SUBSTITUTE(Y785,".","-"),"/","-")),IFERROR(Y785*1,""))))</f>
        <v/>
      </c>
      <c r="N785">
        <f>IFERROR(LEFT(B785,FIND(" ",B785)-1),B785)</f>
        <v/>
      </c>
      <c r="O785">
        <f>AND(B785&lt;&gt;"",B785&lt;&gt;설정!$B$4,C785&lt;&gt;설정!$B$5)</f>
        <v/>
      </c>
      <c r="P785">
        <f>IF(O785,B785&amp;"|"&amp;C785,"")</f>
        <v/>
      </c>
      <c r="Q785">
        <f>AND(O785,COUNTIF(P786:P$1002,P785)=0)</f>
        <v/>
      </c>
      <c r="R785">
        <f>OR(AND(설정!$A$42&lt;&gt;"",ISNUMBER(SEARCH(설정!$A$42,E785&amp;" "&amp;C785))),AND(설정!$A$43&lt;&gt;"",ISNUMBER(SEARCH(설정!$A$43,E785&amp;" "&amp;C785))),AND(설정!$A$44&lt;&gt;"",ISNUMBER(SEARCH(설정!$A$44,E785&amp;" "&amp;C785))),AND(설정!$A$45&lt;&gt;"",ISNUMBER(SEARCH(설정!$A$45,E785&amp;" "&amp;C785))),AND(설정!$A$46&lt;&gt;"",ISNUMBER(SEARCH(설정!$A$46,E785&amp;" "&amp;C785))),AND(설정!$A$47&lt;&gt;"",ISNUMBER(SEARCH(설정!$A$47,E785&amp;" "&amp;C785))),AND(설정!$A$48&lt;&gt;"",ISNUMBER(SEARCH(설정!$A$48,E785&amp;" "&amp;C785))),AND(설정!$A$49&lt;&gt;"",ISNUMBER(SEARCH(설정!$A$49,E785&amp;" "&amp;C785))),AND(설정!$A$50&lt;&gt;"",ISNUMBER(SEARCH(설정!$A$50,E785&amp;" "&amp;C785))),AND(설정!$A$51&lt;&gt;"",ISNUMBER(SEARCH(설정!$A$51,E785&amp;" "&amp;C785))))</f>
        <v/>
      </c>
      <c r="S785">
        <f>OR(D785="",D785&gt;=설정!$B$19)</f>
        <v/>
      </c>
      <c r="T785">
        <f>AND(Q785,R785,S785)</f>
        <v/>
      </c>
      <c r="U785">
        <f>IF(T785,IF(AND(설정!$A$54&lt;&gt;"",ISNUMBER(SEARCH(설정!$A$54,K785))),설정!$B$54,IF(AND(설정!$A$55&lt;&gt;"",ISNUMBER(SEARCH(설정!$A$55,K785))),설정!$B$55,IF(AND(설정!$A$56&lt;&gt;"",ISNUMBER(SEARCH(설정!$A$56,K785))),설정!$B$56,IF(AND(설정!$A$57&lt;&gt;"",ISNUMBER(SEARCH(설정!$A$57,K785))),설정!$B$57,IF(AND(설정!$A$58&lt;&gt;"",ISNUMBER(SEARCH(설정!$A$58,K785))),설정!$B$58,IF(AND(설정!$A$59&lt;&gt;"",ISNUMBER(SEARCH(설정!$A$59,K785))),설정!$B$59,IF(AND(설정!$A$60&lt;&gt;"",ISNUMBER(SEARCH(설정!$A$60,K785))),설정!$B$60,IF(AND(설정!$A$61&lt;&gt;"",ISNUMBER(SEARCH(설정!$A$61,K785))),설정!$B$61,IF(M785="","설계사","시공사"))))))))),"")</f>
        <v/>
      </c>
      <c r="V785">
        <f>SUBSTITUTE(SUBSTITUTE(SUBSTITUTE(SUBSTITUTE(G785,"(주)",""),"㈜",""),"주식회사","")," ","")</f>
        <v/>
      </c>
      <c r="W785">
        <f>IF(AND(T785,V785&lt;&gt;""),IF(COUNTIFS(V$2:V785,V785,T$2:T785,TRUE)=1,MAX(W$1:W784)+1,""),"")</f>
        <v/>
      </c>
      <c r="X785">
        <f>IF(설정!$C$14="","",IFERROR(INDEX('1.산군_붙여넣기'!$A$1:$AZ$1001,ROW(),설정!$C$14)&amp;"",""))</f>
        <v/>
      </c>
      <c r="Y785">
        <f>IF(설정!$C$15="","",IFERROR(INDEX('1.산군_붙여넣기'!$A$1:$AZ$1001,ROW(),설정!$C$15)&amp;"",""))</f>
        <v/>
      </c>
      <c r="Z785">
        <f>IF(T785,V785&amp;"|"&amp;U785,"")</f>
        <v/>
      </c>
      <c r="AA785">
        <f>IF(NOT(Q785),"",IF(NOT(AND(R785,S785)),"✕",IF(OR(OR(AND(L785&lt;&gt;"",M785&lt;&gt;"",N(M785)-N(L785)&gt;설정!$B$27),AND(L785&lt;&gt;"",M785="",설정!$B$24-N(L785)&gt;설정!$B$27)),AND(D785&lt;&gt;"",D785&lt;설정!$B$26)),"△","★")))</f>
        <v/>
      </c>
      <c r="AB785">
        <f>IF(NOT(T785),"",IF(U785="설계사",설정!$B$31,IF(U785="시공사",IF(OR(M785="",설정!$B$24-N(M785)&lt;=설정!$B$28*30.4),설정!$B$32,설정!$B$33),설정!$B$34))+IF(AA785="★",설정!$B$35,0))</f>
        <v/>
      </c>
      <c r="AC785">
        <f>SUBSTITUTE(SUBSTITUTE(SUBSTITUTE(SUBSTITUTE(H785,"(주)",""),"㈜",""),"주식회사","")," ","")</f>
        <v/>
      </c>
      <c r="AD785">
        <f>IF(AND(T785,AC785&lt;&gt;""),IF(COUNTIFS(AC$2:AC785,AC785,T$2:T785,TRUE)=1,MAX(AD$1:AD784)+1,""),"")</f>
        <v/>
      </c>
    </row>
    <row r="786">
      <c r="A786">
        <f>ROW()</f>
        <v/>
      </c>
      <c r="B786">
        <f>IF(설정!$C$4="","",IFERROR(INDEX('1.산군_붙여넣기'!$A$1:$AZ$1001,ROW(),설정!$C$4)&amp;"",""))</f>
        <v/>
      </c>
      <c r="C786">
        <f>IF(설정!$C$5="","",IFERROR(INDEX('1.산군_붙여넣기'!$A$1:$AZ$1001,ROW(),설정!$C$5)&amp;"",""))</f>
        <v/>
      </c>
      <c r="D786" s="5">
        <f>IFERROR(VALUE(SUBSTITUTE(SUBSTITUTE(SUBSTITUTE(IF(설정!$C$6="","",IFERROR(INDEX('1.산군_붙여넣기'!$A$1:$AZ$1001,ROW(),설정!$C$6)&amp;"","")),",",""),"㎡",""),"m2","")),"")</f>
        <v/>
      </c>
      <c r="E786">
        <f>IF(설정!$C$7="","",IFERROR(INDEX('1.산군_붙여넣기'!$A$1:$AZ$1001,ROW(),설정!$C$7)&amp;"",""))</f>
        <v/>
      </c>
      <c r="F786">
        <f>IF(설정!$C$8="","",IFERROR(INDEX('1.산군_붙여넣기'!$A$1:$AZ$1001,ROW(),설정!$C$8)&amp;"",""))</f>
        <v/>
      </c>
      <c r="G786">
        <f>IF(설정!$C$9="","",IFERROR(INDEX('1.산군_붙여넣기'!$A$1:$AZ$1001,ROW(),설정!$C$9)&amp;"",""))</f>
        <v/>
      </c>
      <c r="H786">
        <f>IF(설정!$C$10="","",IFERROR(INDEX('1.산군_붙여넣기'!$A$1:$AZ$1001,ROW(),설정!$C$10)&amp;"",""))</f>
        <v/>
      </c>
      <c r="I786">
        <f>IF(설정!$C$11="","",IFERROR(INDEX('1.산군_붙여넣기'!$A$1:$AZ$1001,ROW(),설정!$C$11)&amp;"",""))</f>
        <v/>
      </c>
      <c r="J786">
        <f>IF(설정!$C$12="","",IFERROR(INDEX('1.산군_붙여넣기'!$A$1:$AZ$1001,ROW(),설정!$C$12)&amp;"",""))</f>
        <v/>
      </c>
      <c r="K786">
        <f>IF(설정!$C$13="","",IFERROR(INDEX('1.산군_붙여넣기'!$A$1:$AZ$1001,ROW(),설정!$C$13)&amp;"",""))</f>
        <v/>
      </c>
      <c r="L786" s="7">
        <f>IF(X786="","",IF(AND(LEN(X786)=8,ISNUMBER(X786*1)),DATE(LEFT(X786,4),MID(X786,5,2),RIGHT(X786,2)),IFERROR(DATEVALUE(SUBSTITUTE(SUBSTITUTE(X786,".","-"),"/","-")),IFERROR(X786*1,""))))</f>
        <v/>
      </c>
      <c r="M786" s="7">
        <f>IF(Y786="","",IF(AND(LEN(Y786)=8,ISNUMBER(Y786*1)),DATE(LEFT(Y786,4),MID(Y786,5,2),RIGHT(Y786,2)),IFERROR(DATEVALUE(SUBSTITUTE(SUBSTITUTE(Y786,".","-"),"/","-")),IFERROR(Y786*1,""))))</f>
        <v/>
      </c>
      <c r="N786">
        <f>IFERROR(LEFT(B786,FIND(" ",B786)-1),B786)</f>
        <v/>
      </c>
      <c r="O786">
        <f>AND(B786&lt;&gt;"",B786&lt;&gt;설정!$B$4,C786&lt;&gt;설정!$B$5)</f>
        <v/>
      </c>
      <c r="P786">
        <f>IF(O786,B786&amp;"|"&amp;C786,"")</f>
        <v/>
      </c>
      <c r="Q786">
        <f>AND(O786,COUNTIF(P787:P$1002,P786)=0)</f>
        <v/>
      </c>
      <c r="R786">
        <f>OR(AND(설정!$A$42&lt;&gt;"",ISNUMBER(SEARCH(설정!$A$42,E786&amp;" "&amp;C786))),AND(설정!$A$43&lt;&gt;"",ISNUMBER(SEARCH(설정!$A$43,E786&amp;" "&amp;C786))),AND(설정!$A$44&lt;&gt;"",ISNUMBER(SEARCH(설정!$A$44,E786&amp;" "&amp;C786))),AND(설정!$A$45&lt;&gt;"",ISNUMBER(SEARCH(설정!$A$45,E786&amp;" "&amp;C786))),AND(설정!$A$46&lt;&gt;"",ISNUMBER(SEARCH(설정!$A$46,E786&amp;" "&amp;C786))),AND(설정!$A$47&lt;&gt;"",ISNUMBER(SEARCH(설정!$A$47,E786&amp;" "&amp;C786))),AND(설정!$A$48&lt;&gt;"",ISNUMBER(SEARCH(설정!$A$48,E786&amp;" "&amp;C786))),AND(설정!$A$49&lt;&gt;"",ISNUMBER(SEARCH(설정!$A$49,E786&amp;" "&amp;C786))),AND(설정!$A$50&lt;&gt;"",ISNUMBER(SEARCH(설정!$A$50,E786&amp;" "&amp;C786))),AND(설정!$A$51&lt;&gt;"",ISNUMBER(SEARCH(설정!$A$51,E786&amp;" "&amp;C786))))</f>
        <v/>
      </c>
      <c r="S786">
        <f>OR(D786="",D786&gt;=설정!$B$19)</f>
        <v/>
      </c>
      <c r="T786">
        <f>AND(Q786,R786,S786)</f>
        <v/>
      </c>
      <c r="U786">
        <f>IF(T786,IF(AND(설정!$A$54&lt;&gt;"",ISNUMBER(SEARCH(설정!$A$54,K786))),설정!$B$54,IF(AND(설정!$A$55&lt;&gt;"",ISNUMBER(SEARCH(설정!$A$55,K786))),설정!$B$55,IF(AND(설정!$A$56&lt;&gt;"",ISNUMBER(SEARCH(설정!$A$56,K786))),설정!$B$56,IF(AND(설정!$A$57&lt;&gt;"",ISNUMBER(SEARCH(설정!$A$57,K786))),설정!$B$57,IF(AND(설정!$A$58&lt;&gt;"",ISNUMBER(SEARCH(설정!$A$58,K786))),설정!$B$58,IF(AND(설정!$A$59&lt;&gt;"",ISNUMBER(SEARCH(설정!$A$59,K786))),설정!$B$59,IF(AND(설정!$A$60&lt;&gt;"",ISNUMBER(SEARCH(설정!$A$60,K786))),설정!$B$60,IF(AND(설정!$A$61&lt;&gt;"",ISNUMBER(SEARCH(설정!$A$61,K786))),설정!$B$61,IF(M786="","설계사","시공사"))))))))),"")</f>
        <v/>
      </c>
      <c r="V786">
        <f>SUBSTITUTE(SUBSTITUTE(SUBSTITUTE(SUBSTITUTE(G786,"(주)",""),"㈜",""),"주식회사","")," ","")</f>
        <v/>
      </c>
      <c r="W786">
        <f>IF(AND(T786,V786&lt;&gt;""),IF(COUNTIFS(V$2:V786,V786,T$2:T786,TRUE)=1,MAX(W$1:W785)+1,""),"")</f>
        <v/>
      </c>
      <c r="X786">
        <f>IF(설정!$C$14="","",IFERROR(INDEX('1.산군_붙여넣기'!$A$1:$AZ$1001,ROW(),설정!$C$14)&amp;"",""))</f>
        <v/>
      </c>
      <c r="Y786">
        <f>IF(설정!$C$15="","",IFERROR(INDEX('1.산군_붙여넣기'!$A$1:$AZ$1001,ROW(),설정!$C$15)&amp;"",""))</f>
        <v/>
      </c>
      <c r="Z786">
        <f>IF(T786,V786&amp;"|"&amp;U786,"")</f>
        <v/>
      </c>
      <c r="AA786">
        <f>IF(NOT(Q786),"",IF(NOT(AND(R786,S786)),"✕",IF(OR(OR(AND(L786&lt;&gt;"",M786&lt;&gt;"",N(M786)-N(L786)&gt;설정!$B$27),AND(L786&lt;&gt;"",M786="",설정!$B$24-N(L786)&gt;설정!$B$27)),AND(D786&lt;&gt;"",D786&lt;설정!$B$26)),"△","★")))</f>
        <v/>
      </c>
      <c r="AB786">
        <f>IF(NOT(T786),"",IF(U786="설계사",설정!$B$31,IF(U786="시공사",IF(OR(M786="",설정!$B$24-N(M786)&lt;=설정!$B$28*30.4),설정!$B$32,설정!$B$33),설정!$B$34))+IF(AA786="★",설정!$B$35,0))</f>
        <v/>
      </c>
      <c r="AC786">
        <f>SUBSTITUTE(SUBSTITUTE(SUBSTITUTE(SUBSTITUTE(H786,"(주)",""),"㈜",""),"주식회사","")," ","")</f>
        <v/>
      </c>
      <c r="AD786">
        <f>IF(AND(T786,AC786&lt;&gt;""),IF(COUNTIFS(AC$2:AC786,AC786,T$2:T786,TRUE)=1,MAX(AD$1:AD785)+1,""),"")</f>
        <v/>
      </c>
    </row>
    <row r="787">
      <c r="A787">
        <f>ROW()</f>
        <v/>
      </c>
      <c r="B787">
        <f>IF(설정!$C$4="","",IFERROR(INDEX('1.산군_붙여넣기'!$A$1:$AZ$1001,ROW(),설정!$C$4)&amp;"",""))</f>
        <v/>
      </c>
      <c r="C787">
        <f>IF(설정!$C$5="","",IFERROR(INDEX('1.산군_붙여넣기'!$A$1:$AZ$1001,ROW(),설정!$C$5)&amp;"",""))</f>
        <v/>
      </c>
      <c r="D787" s="5">
        <f>IFERROR(VALUE(SUBSTITUTE(SUBSTITUTE(SUBSTITUTE(IF(설정!$C$6="","",IFERROR(INDEX('1.산군_붙여넣기'!$A$1:$AZ$1001,ROW(),설정!$C$6)&amp;"","")),",",""),"㎡",""),"m2","")),"")</f>
        <v/>
      </c>
      <c r="E787">
        <f>IF(설정!$C$7="","",IFERROR(INDEX('1.산군_붙여넣기'!$A$1:$AZ$1001,ROW(),설정!$C$7)&amp;"",""))</f>
        <v/>
      </c>
      <c r="F787">
        <f>IF(설정!$C$8="","",IFERROR(INDEX('1.산군_붙여넣기'!$A$1:$AZ$1001,ROW(),설정!$C$8)&amp;"",""))</f>
        <v/>
      </c>
      <c r="G787">
        <f>IF(설정!$C$9="","",IFERROR(INDEX('1.산군_붙여넣기'!$A$1:$AZ$1001,ROW(),설정!$C$9)&amp;"",""))</f>
        <v/>
      </c>
      <c r="H787">
        <f>IF(설정!$C$10="","",IFERROR(INDEX('1.산군_붙여넣기'!$A$1:$AZ$1001,ROW(),설정!$C$10)&amp;"",""))</f>
        <v/>
      </c>
      <c r="I787">
        <f>IF(설정!$C$11="","",IFERROR(INDEX('1.산군_붙여넣기'!$A$1:$AZ$1001,ROW(),설정!$C$11)&amp;"",""))</f>
        <v/>
      </c>
      <c r="J787">
        <f>IF(설정!$C$12="","",IFERROR(INDEX('1.산군_붙여넣기'!$A$1:$AZ$1001,ROW(),설정!$C$12)&amp;"",""))</f>
        <v/>
      </c>
      <c r="K787">
        <f>IF(설정!$C$13="","",IFERROR(INDEX('1.산군_붙여넣기'!$A$1:$AZ$1001,ROW(),설정!$C$13)&amp;"",""))</f>
        <v/>
      </c>
      <c r="L787" s="7">
        <f>IF(X787="","",IF(AND(LEN(X787)=8,ISNUMBER(X787*1)),DATE(LEFT(X787,4),MID(X787,5,2),RIGHT(X787,2)),IFERROR(DATEVALUE(SUBSTITUTE(SUBSTITUTE(X787,".","-"),"/","-")),IFERROR(X787*1,""))))</f>
        <v/>
      </c>
      <c r="M787" s="7">
        <f>IF(Y787="","",IF(AND(LEN(Y787)=8,ISNUMBER(Y787*1)),DATE(LEFT(Y787,4),MID(Y787,5,2),RIGHT(Y787,2)),IFERROR(DATEVALUE(SUBSTITUTE(SUBSTITUTE(Y787,".","-"),"/","-")),IFERROR(Y787*1,""))))</f>
        <v/>
      </c>
      <c r="N787">
        <f>IFERROR(LEFT(B787,FIND(" ",B787)-1),B787)</f>
        <v/>
      </c>
      <c r="O787">
        <f>AND(B787&lt;&gt;"",B787&lt;&gt;설정!$B$4,C787&lt;&gt;설정!$B$5)</f>
        <v/>
      </c>
      <c r="P787">
        <f>IF(O787,B787&amp;"|"&amp;C787,"")</f>
        <v/>
      </c>
      <c r="Q787">
        <f>AND(O787,COUNTIF(P788:P$1002,P787)=0)</f>
        <v/>
      </c>
      <c r="R787">
        <f>OR(AND(설정!$A$42&lt;&gt;"",ISNUMBER(SEARCH(설정!$A$42,E787&amp;" "&amp;C787))),AND(설정!$A$43&lt;&gt;"",ISNUMBER(SEARCH(설정!$A$43,E787&amp;" "&amp;C787))),AND(설정!$A$44&lt;&gt;"",ISNUMBER(SEARCH(설정!$A$44,E787&amp;" "&amp;C787))),AND(설정!$A$45&lt;&gt;"",ISNUMBER(SEARCH(설정!$A$45,E787&amp;" "&amp;C787))),AND(설정!$A$46&lt;&gt;"",ISNUMBER(SEARCH(설정!$A$46,E787&amp;" "&amp;C787))),AND(설정!$A$47&lt;&gt;"",ISNUMBER(SEARCH(설정!$A$47,E787&amp;" "&amp;C787))),AND(설정!$A$48&lt;&gt;"",ISNUMBER(SEARCH(설정!$A$48,E787&amp;" "&amp;C787))),AND(설정!$A$49&lt;&gt;"",ISNUMBER(SEARCH(설정!$A$49,E787&amp;" "&amp;C787))),AND(설정!$A$50&lt;&gt;"",ISNUMBER(SEARCH(설정!$A$50,E787&amp;" "&amp;C787))),AND(설정!$A$51&lt;&gt;"",ISNUMBER(SEARCH(설정!$A$51,E787&amp;" "&amp;C787))))</f>
        <v/>
      </c>
      <c r="S787">
        <f>OR(D787="",D787&gt;=설정!$B$19)</f>
        <v/>
      </c>
      <c r="T787">
        <f>AND(Q787,R787,S787)</f>
        <v/>
      </c>
      <c r="U787">
        <f>IF(T787,IF(AND(설정!$A$54&lt;&gt;"",ISNUMBER(SEARCH(설정!$A$54,K787))),설정!$B$54,IF(AND(설정!$A$55&lt;&gt;"",ISNUMBER(SEARCH(설정!$A$55,K787))),설정!$B$55,IF(AND(설정!$A$56&lt;&gt;"",ISNUMBER(SEARCH(설정!$A$56,K787))),설정!$B$56,IF(AND(설정!$A$57&lt;&gt;"",ISNUMBER(SEARCH(설정!$A$57,K787))),설정!$B$57,IF(AND(설정!$A$58&lt;&gt;"",ISNUMBER(SEARCH(설정!$A$58,K787))),설정!$B$58,IF(AND(설정!$A$59&lt;&gt;"",ISNUMBER(SEARCH(설정!$A$59,K787))),설정!$B$59,IF(AND(설정!$A$60&lt;&gt;"",ISNUMBER(SEARCH(설정!$A$60,K787))),설정!$B$60,IF(AND(설정!$A$61&lt;&gt;"",ISNUMBER(SEARCH(설정!$A$61,K787))),설정!$B$61,IF(M787="","설계사","시공사"))))))))),"")</f>
        <v/>
      </c>
      <c r="V787">
        <f>SUBSTITUTE(SUBSTITUTE(SUBSTITUTE(SUBSTITUTE(G787,"(주)",""),"㈜",""),"주식회사","")," ","")</f>
        <v/>
      </c>
      <c r="W787">
        <f>IF(AND(T787,V787&lt;&gt;""),IF(COUNTIFS(V$2:V787,V787,T$2:T787,TRUE)=1,MAX(W$1:W786)+1,""),"")</f>
        <v/>
      </c>
      <c r="X787">
        <f>IF(설정!$C$14="","",IFERROR(INDEX('1.산군_붙여넣기'!$A$1:$AZ$1001,ROW(),설정!$C$14)&amp;"",""))</f>
        <v/>
      </c>
      <c r="Y787">
        <f>IF(설정!$C$15="","",IFERROR(INDEX('1.산군_붙여넣기'!$A$1:$AZ$1001,ROW(),설정!$C$15)&amp;"",""))</f>
        <v/>
      </c>
      <c r="Z787">
        <f>IF(T787,V787&amp;"|"&amp;U787,"")</f>
        <v/>
      </c>
      <c r="AA787">
        <f>IF(NOT(Q787),"",IF(NOT(AND(R787,S787)),"✕",IF(OR(OR(AND(L787&lt;&gt;"",M787&lt;&gt;"",N(M787)-N(L787)&gt;설정!$B$27),AND(L787&lt;&gt;"",M787="",설정!$B$24-N(L787)&gt;설정!$B$27)),AND(D787&lt;&gt;"",D787&lt;설정!$B$26)),"△","★")))</f>
        <v/>
      </c>
      <c r="AB787">
        <f>IF(NOT(T787),"",IF(U787="설계사",설정!$B$31,IF(U787="시공사",IF(OR(M787="",설정!$B$24-N(M787)&lt;=설정!$B$28*30.4),설정!$B$32,설정!$B$33),설정!$B$34))+IF(AA787="★",설정!$B$35,0))</f>
        <v/>
      </c>
      <c r="AC787">
        <f>SUBSTITUTE(SUBSTITUTE(SUBSTITUTE(SUBSTITUTE(H787,"(주)",""),"㈜",""),"주식회사","")," ","")</f>
        <v/>
      </c>
      <c r="AD787">
        <f>IF(AND(T787,AC787&lt;&gt;""),IF(COUNTIFS(AC$2:AC787,AC787,T$2:T787,TRUE)=1,MAX(AD$1:AD786)+1,""),"")</f>
        <v/>
      </c>
    </row>
    <row r="788">
      <c r="A788">
        <f>ROW()</f>
        <v/>
      </c>
      <c r="B788">
        <f>IF(설정!$C$4="","",IFERROR(INDEX('1.산군_붙여넣기'!$A$1:$AZ$1001,ROW(),설정!$C$4)&amp;"",""))</f>
        <v/>
      </c>
      <c r="C788">
        <f>IF(설정!$C$5="","",IFERROR(INDEX('1.산군_붙여넣기'!$A$1:$AZ$1001,ROW(),설정!$C$5)&amp;"",""))</f>
        <v/>
      </c>
      <c r="D788" s="5">
        <f>IFERROR(VALUE(SUBSTITUTE(SUBSTITUTE(SUBSTITUTE(IF(설정!$C$6="","",IFERROR(INDEX('1.산군_붙여넣기'!$A$1:$AZ$1001,ROW(),설정!$C$6)&amp;"","")),",",""),"㎡",""),"m2","")),"")</f>
        <v/>
      </c>
      <c r="E788">
        <f>IF(설정!$C$7="","",IFERROR(INDEX('1.산군_붙여넣기'!$A$1:$AZ$1001,ROW(),설정!$C$7)&amp;"",""))</f>
        <v/>
      </c>
      <c r="F788">
        <f>IF(설정!$C$8="","",IFERROR(INDEX('1.산군_붙여넣기'!$A$1:$AZ$1001,ROW(),설정!$C$8)&amp;"",""))</f>
        <v/>
      </c>
      <c r="G788">
        <f>IF(설정!$C$9="","",IFERROR(INDEX('1.산군_붙여넣기'!$A$1:$AZ$1001,ROW(),설정!$C$9)&amp;"",""))</f>
        <v/>
      </c>
      <c r="H788">
        <f>IF(설정!$C$10="","",IFERROR(INDEX('1.산군_붙여넣기'!$A$1:$AZ$1001,ROW(),설정!$C$10)&amp;"",""))</f>
        <v/>
      </c>
      <c r="I788">
        <f>IF(설정!$C$11="","",IFERROR(INDEX('1.산군_붙여넣기'!$A$1:$AZ$1001,ROW(),설정!$C$11)&amp;"",""))</f>
        <v/>
      </c>
      <c r="J788">
        <f>IF(설정!$C$12="","",IFERROR(INDEX('1.산군_붙여넣기'!$A$1:$AZ$1001,ROW(),설정!$C$12)&amp;"",""))</f>
        <v/>
      </c>
      <c r="K788">
        <f>IF(설정!$C$13="","",IFERROR(INDEX('1.산군_붙여넣기'!$A$1:$AZ$1001,ROW(),설정!$C$13)&amp;"",""))</f>
        <v/>
      </c>
      <c r="L788" s="7">
        <f>IF(X788="","",IF(AND(LEN(X788)=8,ISNUMBER(X788*1)),DATE(LEFT(X788,4),MID(X788,5,2),RIGHT(X788,2)),IFERROR(DATEVALUE(SUBSTITUTE(SUBSTITUTE(X788,".","-"),"/","-")),IFERROR(X788*1,""))))</f>
        <v/>
      </c>
      <c r="M788" s="7">
        <f>IF(Y788="","",IF(AND(LEN(Y788)=8,ISNUMBER(Y788*1)),DATE(LEFT(Y788,4),MID(Y788,5,2),RIGHT(Y788,2)),IFERROR(DATEVALUE(SUBSTITUTE(SUBSTITUTE(Y788,".","-"),"/","-")),IFERROR(Y788*1,""))))</f>
        <v/>
      </c>
      <c r="N788">
        <f>IFERROR(LEFT(B788,FIND(" ",B788)-1),B788)</f>
        <v/>
      </c>
      <c r="O788">
        <f>AND(B788&lt;&gt;"",B788&lt;&gt;설정!$B$4,C788&lt;&gt;설정!$B$5)</f>
        <v/>
      </c>
      <c r="P788">
        <f>IF(O788,B788&amp;"|"&amp;C788,"")</f>
        <v/>
      </c>
      <c r="Q788">
        <f>AND(O788,COUNTIF(P789:P$1002,P788)=0)</f>
        <v/>
      </c>
      <c r="R788">
        <f>OR(AND(설정!$A$42&lt;&gt;"",ISNUMBER(SEARCH(설정!$A$42,E788&amp;" "&amp;C788))),AND(설정!$A$43&lt;&gt;"",ISNUMBER(SEARCH(설정!$A$43,E788&amp;" "&amp;C788))),AND(설정!$A$44&lt;&gt;"",ISNUMBER(SEARCH(설정!$A$44,E788&amp;" "&amp;C788))),AND(설정!$A$45&lt;&gt;"",ISNUMBER(SEARCH(설정!$A$45,E788&amp;" "&amp;C788))),AND(설정!$A$46&lt;&gt;"",ISNUMBER(SEARCH(설정!$A$46,E788&amp;" "&amp;C788))),AND(설정!$A$47&lt;&gt;"",ISNUMBER(SEARCH(설정!$A$47,E788&amp;" "&amp;C788))),AND(설정!$A$48&lt;&gt;"",ISNUMBER(SEARCH(설정!$A$48,E788&amp;" "&amp;C788))),AND(설정!$A$49&lt;&gt;"",ISNUMBER(SEARCH(설정!$A$49,E788&amp;" "&amp;C788))),AND(설정!$A$50&lt;&gt;"",ISNUMBER(SEARCH(설정!$A$50,E788&amp;" "&amp;C788))),AND(설정!$A$51&lt;&gt;"",ISNUMBER(SEARCH(설정!$A$51,E788&amp;" "&amp;C788))))</f>
        <v/>
      </c>
      <c r="S788">
        <f>OR(D788="",D788&gt;=설정!$B$19)</f>
        <v/>
      </c>
      <c r="T788">
        <f>AND(Q788,R788,S788)</f>
        <v/>
      </c>
      <c r="U788">
        <f>IF(T788,IF(AND(설정!$A$54&lt;&gt;"",ISNUMBER(SEARCH(설정!$A$54,K788))),설정!$B$54,IF(AND(설정!$A$55&lt;&gt;"",ISNUMBER(SEARCH(설정!$A$55,K788))),설정!$B$55,IF(AND(설정!$A$56&lt;&gt;"",ISNUMBER(SEARCH(설정!$A$56,K788))),설정!$B$56,IF(AND(설정!$A$57&lt;&gt;"",ISNUMBER(SEARCH(설정!$A$57,K788))),설정!$B$57,IF(AND(설정!$A$58&lt;&gt;"",ISNUMBER(SEARCH(설정!$A$58,K788))),설정!$B$58,IF(AND(설정!$A$59&lt;&gt;"",ISNUMBER(SEARCH(설정!$A$59,K788))),설정!$B$59,IF(AND(설정!$A$60&lt;&gt;"",ISNUMBER(SEARCH(설정!$A$60,K788))),설정!$B$60,IF(AND(설정!$A$61&lt;&gt;"",ISNUMBER(SEARCH(설정!$A$61,K788))),설정!$B$61,IF(M788="","설계사","시공사"))))))))),"")</f>
        <v/>
      </c>
      <c r="V788">
        <f>SUBSTITUTE(SUBSTITUTE(SUBSTITUTE(SUBSTITUTE(G788,"(주)",""),"㈜",""),"주식회사","")," ","")</f>
        <v/>
      </c>
      <c r="W788">
        <f>IF(AND(T788,V788&lt;&gt;""),IF(COUNTIFS(V$2:V788,V788,T$2:T788,TRUE)=1,MAX(W$1:W787)+1,""),"")</f>
        <v/>
      </c>
      <c r="X788">
        <f>IF(설정!$C$14="","",IFERROR(INDEX('1.산군_붙여넣기'!$A$1:$AZ$1001,ROW(),설정!$C$14)&amp;"",""))</f>
        <v/>
      </c>
      <c r="Y788">
        <f>IF(설정!$C$15="","",IFERROR(INDEX('1.산군_붙여넣기'!$A$1:$AZ$1001,ROW(),설정!$C$15)&amp;"",""))</f>
        <v/>
      </c>
      <c r="Z788">
        <f>IF(T788,V788&amp;"|"&amp;U788,"")</f>
        <v/>
      </c>
      <c r="AA788">
        <f>IF(NOT(Q788),"",IF(NOT(AND(R788,S788)),"✕",IF(OR(OR(AND(L788&lt;&gt;"",M788&lt;&gt;"",N(M788)-N(L788)&gt;설정!$B$27),AND(L788&lt;&gt;"",M788="",설정!$B$24-N(L788)&gt;설정!$B$27)),AND(D788&lt;&gt;"",D788&lt;설정!$B$26)),"△","★")))</f>
        <v/>
      </c>
      <c r="AB788">
        <f>IF(NOT(T788),"",IF(U788="설계사",설정!$B$31,IF(U788="시공사",IF(OR(M788="",설정!$B$24-N(M788)&lt;=설정!$B$28*30.4),설정!$B$32,설정!$B$33),설정!$B$34))+IF(AA788="★",설정!$B$35,0))</f>
        <v/>
      </c>
      <c r="AC788">
        <f>SUBSTITUTE(SUBSTITUTE(SUBSTITUTE(SUBSTITUTE(H788,"(주)",""),"㈜",""),"주식회사","")," ","")</f>
        <v/>
      </c>
      <c r="AD788">
        <f>IF(AND(T788,AC788&lt;&gt;""),IF(COUNTIFS(AC$2:AC788,AC788,T$2:T788,TRUE)=1,MAX(AD$1:AD787)+1,""),"")</f>
        <v/>
      </c>
    </row>
    <row r="789">
      <c r="A789">
        <f>ROW()</f>
        <v/>
      </c>
      <c r="B789">
        <f>IF(설정!$C$4="","",IFERROR(INDEX('1.산군_붙여넣기'!$A$1:$AZ$1001,ROW(),설정!$C$4)&amp;"",""))</f>
        <v/>
      </c>
      <c r="C789">
        <f>IF(설정!$C$5="","",IFERROR(INDEX('1.산군_붙여넣기'!$A$1:$AZ$1001,ROW(),설정!$C$5)&amp;"",""))</f>
        <v/>
      </c>
      <c r="D789" s="5">
        <f>IFERROR(VALUE(SUBSTITUTE(SUBSTITUTE(SUBSTITUTE(IF(설정!$C$6="","",IFERROR(INDEX('1.산군_붙여넣기'!$A$1:$AZ$1001,ROW(),설정!$C$6)&amp;"","")),",",""),"㎡",""),"m2","")),"")</f>
        <v/>
      </c>
      <c r="E789">
        <f>IF(설정!$C$7="","",IFERROR(INDEX('1.산군_붙여넣기'!$A$1:$AZ$1001,ROW(),설정!$C$7)&amp;"",""))</f>
        <v/>
      </c>
      <c r="F789">
        <f>IF(설정!$C$8="","",IFERROR(INDEX('1.산군_붙여넣기'!$A$1:$AZ$1001,ROW(),설정!$C$8)&amp;"",""))</f>
        <v/>
      </c>
      <c r="G789">
        <f>IF(설정!$C$9="","",IFERROR(INDEX('1.산군_붙여넣기'!$A$1:$AZ$1001,ROW(),설정!$C$9)&amp;"",""))</f>
        <v/>
      </c>
      <c r="H789">
        <f>IF(설정!$C$10="","",IFERROR(INDEX('1.산군_붙여넣기'!$A$1:$AZ$1001,ROW(),설정!$C$10)&amp;"",""))</f>
        <v/>
      </c>
      <c r="I789">
        <f>IF(설정!$C$11="","",IFERROR(INDEX('1.산군_붙여넣기'!$A$1:$AZ$1001,ROW(),설정!$C$11)&amp;"",""))</f>
        <v/>
      </c>
      <c r="J789">
        <f>IF(설정!$C$12="","",IFERROR(INDEX('1.산군_붙여넣기'!$A$1:$AZ$1001,ROW(),설정!$C$12)&amp;"",""))</f>
        <v/>
      </c>
      <c r="K789">
        <f>IF(설정!$C$13="","",IFERROR(INDEX('1.산군_붙여넣기'!$A$1:$AZ$1001,ROW(),설정!$C$13)&amp;"",""))</f>
        <v/>
      </c>
      <c r="L789" s="7">
        <f>IF(X789="","",IF(AND(LEN(X789)=8,ISNUMBER(X789*1)),DATE(LEFT(X789,4),MID(X789,5,2),RIGHT(X789,2)),IFERROR(DATEVALUE(SUBSTITUTE(SUBSTITUTE(X789,".","-"),"/","-")),IFERROR(X789*1,""))))</f>
        <v/>
      </c>
      <c r="M789" s="7">
        <f>IF(Y789="","",IF(AND(LEN(Y789)=8,ISNUMBER(Y789*1)),DATE(LEFT(Y789,4),MID(Y789,5,2),RIGHT(Y789,2)),IFERROR(DATEVALUE(SUBSTITUTE(SUBSTITUTE(Y789,".","-"),"/","-")),IFERROR(Y789*1,""))))</f>
        <v/>
      </c>
      <c r="N789">
        <f>IFERROR(LEFT(B789,FIND(" ",B789)-1),B789)</f>
        <v/>
      </c>
      <c r="O789">
        <f>AND(B789&lt;&gt;"",B789&lt;&gt;설정!$B$4,C789&lt;&gt;설정!$B$5)</f>
        <v/>
      </c>
      <c r="P789">
        <f>IF(O789,B789&amp;"|"&amp;C789,"")</f>
        <v/>
      </c>
      <c r="Q789">
        <f>AND(O789,COUNTIF(P790:P$1002,P789)=0)</f>
        <v/>
      </c>
      <c r="R789">
        <f>OR(AND(설정!$A$42&lt;&gt;"",ISNUMBER(SEARCH(설정!$A$42,E789&amp;" "&amp;C789))),AND(설정!$A$43&lt;&gt;"",ISNUMBER(SEARCH(설정!$A$43,E789&amp;" "&amp;C789))),AND(설정!$A$44&lt;&gt;"",ISNUMBER(SEARCH(설정!$A$44,E789&amp;" "&amp;C789))),AND(설정!$A$45&lt;&gt;"",ISNUMBER(SEARCH(설정!$A$45,E789&amp;" "&amp;C789))),AND(설정!$A$46&lt;&gt;"",ISNUMBER(SEARCH(설정!$A$46,E789&amp;" "&amp;C789))),AND(설정!$A$47&lt;&gt;"",ISNUMBER(SEARCH(설정!$A$47,E789&amp;" "&amp;C789))),AND(설정!$A$48&lt;&gt;"",ISNUMBER(SEARCH(설정!$A$48,E789&amp;" "&amp;C789))),AND(설정!$A$49&lt;&gt;"",ISNUMBER(SEARCH(설정!$A$49,E789&amp;" "&amp;C789))),AND(설정!$A$50&lt;&gt;"",ISNUMBER(SEARCH(설정!$A$50,E789&amp;" "&amp;C789))),AND(설정!$A$51&lt;&gt;"",ISNUMBER(SEARCH(설정!$A$51,E789&amp;" "&amp;C789))))</f>
        <v/>
      </c>
      <c r="S789">
        <f>OR(D789="",D789&gt;=설정!$B$19)</f>
        <v/>
      </c>
      <c r="T789">
        <f>AND(Q789,R789,S789)</f>
        <v/>
      </c>
      <c r="U789">
        <f>IF(T789,IF(AND(설정!$A$54&lt;&gt;"",ISNUMBER(SEARCH(설정!$A$54,K789))),설정!$B$54,IF(AND(설정!$A$55&lt;&gt;"",ISNUMBER(SEARCH(설정!$A$55,K789))),설정!$B$55,IF(AND(설정!$A$56&lt;&gt;"",ISNUMBER(SEARCH(설정!$A$56,K789))),설정!$B$56,IF(AND(설정!$A$57&lt;&gt;"",ISNUMBER(SEARCH(설정!$A$57,K789))),설정!$B$57,IF(AND(설정!$A$58&lt;&gt;"",ISNUMBER(SEARCH(설정!$A$58,K789))),설정!$B$58,IF(AND(설정!$A$59&lt;&gt;"",ISNUMBER(SEARCH(설정!$A$59,K789))),설정!$B$59,IF(AND(설정!$A$60&lt;&gt;"",ISNUMBER(SEARCH(설정!$A$60,K789))),설정!$B$60,IF(AND(설정!$A$61&lt;&gt;"",ISNUMBER(SEARCH(설정!$A$61,K789))),설정!$B$61,IF(M789="","설계사","시공사"))))))))),"")</f>
        <v/>
      </c>
      <c r="V789">
        <f>SUBSTITUTE(SUBSTITUTE(SUBSTITUTE(SUBSTITUTE(G789,"(주)",""),"㈜",""),"주식회사","")," ","")</f>
        <v/>
      </c>
      <c r="W789">
        <f>IF(AND(T789,V789&lt;&gt;""),IF(COUNTIFS(V$2:V789,V789,T$2:T789,TRUE)=1,MAX(W$1:W788)+1,""),"")</f>
        <v/>
      </c>
      <c r="X789">
        <f>IF(설정!$C$14="","",IFERROR(INDEX('1.산군_붙여넣기'!$A$1:$AZ$1001,ROW(),설정!$C$14)&amp;"",""))</f>
        <v/>
      </c>
      <c r="Y789">
        <f>IF(설정!$C$15="","",IFERROR(INDEX('1.산군_붙여넣기'!$A$1:$AZ$1001,ROW(),설정!$C$15)&amp;"",""))</f>
        <v/>
      </c>
      <c r="Z789">
        <f>IF(T789,V789&amp;"|"&amp;U789,"")</f>
        <v/>
      </c>
      <c r="AA789">
        <f>IF(NOT(Q789),"",IF(NOT(AND(R789,S789)),"✕",IF(OR(OR(AND(L789&lt;&gt;"",M789&lt;&gt;"",N(M789)-N(L789)&gt;설정!$B$27),AND(L789&lt;&gt;"",M789="",설정!$B$24-N(L789)&gt;설정!$B$27)),AND(D789&lt;&gt;"",D789&lt;설정!$B$26)),"△","★")))</f>
        <v/>
      </c>
      <c r="AB789">
        <f>IF(NOT(T789),"",IF(U789="설계사",설정!$B$31,IF(U789="시공사",IF(OR(M789="",설정!$B$24-N(M789)&lt;=설정!$B$28*30.4),설정!$B$32,설정!$B$33),설정!$B$34))+IF(AA789="★",설정!$B$35,0))</f>
        <v/>
      </c>
      <c r="AC789">
        <f>SUBSTITUTE(SUBSTITUTE(SUBSTITUTE(SUBSTITUTE(H789,"(주)",""),"㈜",""),"주식회사","")," ","")</f>
        <v/>
      </c>
      <c r="AD789">
        <f>IF(AND(T789,AC789&lt;&gt;""),IF(COUNTIFS(AC$2:AC789,AC789,T$2:T789,TRUE)=1,MAX(AD$1:AD788)+1,""),"")</f>
        <v/>
      </c>
    </row>
    <row r="790">
      <c r="A790">
        <f>ROW()</f>
        <v/>
      </c>
      <c r="B790">
        <f>IF(설정!$C$4="","",IFERROR(INDEX('1.산군_붙여넣기'!$A$1:$AZ$1001,ROW(),설정!$C$4)&amp;"",""))</f>
        <v/>
      </c>
      <c r="C790">
        <f>IF(설정!$C$5="","",IFERROR(INDEX('1.산군_붙여넣기'!$A$1:$AZ$1001,ROW(),설정!$C$5)&amp;"",""))</f>
        <v/>
      </c>
      <c r="D790" s="5">
        <f>IFERROR(VALUE(SUBSTITUTE(SUBSTITUTE(SUBSTITUTE(IF(설정!$C$6="","",IFERROR(INDEX('1.산군_붙여넣기'!$A$1:$AZ$1001,ROW(),설정!$C$6)&amp;"","")),",",""),"㎡",""),"m2","")),"")</f>
        <v/>
      </c>
      <c r="E790">
        <f>IF(설정!$C$7="","",IFERROR(INDEX('1.산군_붙여넣기'!$A$1:$AZ$1001,ROW(),설정!$C$7)&amp;"",""))</f>
        <v/>
      </c>
      <c r="F790">
        <f>IF(설정!$C$8="","",IFERROR(INDEX('1.산군_붙여넣기'!$A$1:$AZ$1001,ROW(),설정!$C$8)&amp;"",""))</f>
        <v/>
      </c>
      <c r="G790">
        <f>IF(설정!$C$9="","",IFERROR(INDEX('1.산군_붙여넣기'!$A$1:$AZ$1001,ROW(),설정!$C$9)&amp;"",""))</f>
        <v/>
      </c>
      <c r="H790">
        <f>IF(설정!$C$10="","",IFERROR(INDEX('1.산군_붙여넣기'!$A$1:$AZ$1001,ROW(),설정!$C$10)&amp;"",""))</f>
        <v/>
      </c>
      <c r="I790">
        <f>IF(설정!$C$11="","",IFERROR(INDEX('1.산군_붙여넣기'!$A$1:$AZ$1001,ROW(),설정!$C$11)&amp;"",""))</f>
        <v/>
      </c>
      <c r="J790">
        <f>IF(설정!$C$12="","",IFERROR(INDEX('1.산군_붙여넣기'!$A$1:$AZ$1001,ROW(),설정!$C$12)&amp;"",""))</f>
        <v/>
      </c>
      <c r="K790">
        <f>IF(설정!$C$13="","",IFERROR(INDEX('1.산군_붙여넣기'!$A$1:$AZ$1001,ROW(),설정!$C$13)&amp;"",""))</f>
        <v/>
      </c>
      <c r="L790" s="7">
        <f>IF(X790="","",IF(AND(LEN(X790)=8,ISNUMBER(X790*1)),DATE(LEFT(X790,4),MID(X790,5,2),RIGHT(X790,2)),IFERROR(DATEVALUE(SUBSTITUTE(SUBSTITUTE(X790,".","-"),"/","-")),IFERROR(X790*1,""))))</f>
        <v/>
      </c>
      <c r="M790" s="7">
        <f>IF(Y790="","",IF(AND(LEN(Y790)=8,ISNUMBER(Y790*1)),DATE(LEFT(Y790,4),MID(Y790,5,2),RIGHT(Y790,2)),IFERROR(DATEVALUE(SUBSTITUTE(SUBSTITUTE(Y790,".","-"),"/","-")),IFERROR(Y790*1,""))))</f>
        <v/>
      </c>
      <c r="N790">
        <f>IFERROR(LEFT(B790,FIND(" ",B790)-1),B790)</f>
        <v/>
      </c>
      <c r="O790">
        <f>AND(B790&lt;&gt;"",B790&lt;&gt;설정!$B$4,C790&lt;&gt;설정!$B$5)</f>
        <v/>
      </c>
      <c r="P790">
        <f>IF(O790,B790&amp;"|"&amp;C790,"")</f>
        <v/>
      </c>
      <c r="Q790">
        <f>AND(O790,COUNTIF(P791:P$1002,P790)=0)</f>
        <v/>
      </c>
      <c r="R790">
        <f>OR(AND(설정!$A$42&lt;&gt;"",ISNUMBER(SEARCH(설정!$A$42,E790&amp;" "&amp;C790))),AND(설정!$A$43&lt;&gt;"",ISNUMBER(SEARCH(설정!$A$43,E790&amp;" "&amp;C790))),AND(설정!$A$44&lt;&gt;"",ISNUMBER(SEARCH(설정!$A$44,E790&amp;" "&amp;C790))),AND(설정!$A$45&lt;&gt;"",ISNUMBER(SEARCH(설정!$A$45,E790&amp;" "&amp;C790))),AND(설정!$A$46&lt;&gt;"",ISNUMBER(SEARCH(설정!$A$46,E790&amp;" "&amp;C790))),AND(설정!$A$47&lt;&gt;"",ISNUMBER(SEARCH(설정!$A$47,E790&amp;" "&amp;C790))),AND(설정!$A$48&lt;&gt;"",ISNUMBER(SEARCH(설정!$A$48,E790&amp;" "&amp;C790))),AND(설정!$A$49&lt;&gt;"",ISNUMBER(SEARCH(설정!$A$49,E790&amp;" "&amp;C790))),AND(설정!$A$50&lt;&gt;"",ISNUMBER(SEARCH(설정!$A$50,E790&amp;" "&amp;C790))),AND(설정!$A$51&lt;&gt;"",ISNUMBER(SEARCH(설정!$A$51,E790&amp;" "&amp;C790))))</f>
        <v/>
      </c>
      <c r="S790">
        <f>OR(D790="",D790&gt;=설정!$B$19)</f>
        <v/>
      </c>
      <c r="T790">
        <f>AND(Q790,R790,S790)</f>
        <v/>
      </c>
      <c r="U790">
        <f>IF(T790,IF(AND(설정!$A$54&lt;&gt;"",ISNUMBER(SEARCH(설정!$A$54,K790))),설정!$B$54,IF(AND(설정!$A$55&lt;&gt;"",ISNUMBER(SEARCH(설정!$A$55,K790))),설정!$B$55,IF(AND(설정!$A$56&lt;&gt;"",ISNUMBER(SEARCH(설정!$A$56,K790))),설정!$B$56,IF(AND(설정!$A$57&lt;&gt;"",ISNUMBER(SEARCH(설정!$A$57,K790))),설정!$B$57,IF(AND(설정!$A$58&lt;&gt;"",ISNUMBER(SEARCH(설정!$A$58,K790))),설정!$B$58,IF(AND(설정!$A$59&lt;&gt;"",ISNUMBER(SEARCH(설정!$A$59,K790))),설정!$B$59,IF(AND(설정!$A$60&lt;&gt;"",ISNUMBER(SEARCH(설정!$A$60,K790))),설정!$B$60,IF(AND(설정!$A$61&lt;&gt;"",ISNUMBER(SEARCH(설정!$A$61,K790))),설정!$B$61,IF(M790="","설계사","시공사"))))))))),"")</f>
        <v/>
      </c>
      <c r="V790">
        <f>SUBSTITUTE(SUBSTITUTE(SUBSTITUTE(SUBSTITUTE(G790,"(주)",""),"㈜",""),"주식회사","")," ","")</f>
        <v/>
      </c>
      <c r="W790">
        <f>IF(AND(T790,V790&lt;&gt;""),IF(COUNTIFS(V$2:V790,V790,T$2:T790,TRUE)=1,MAX(W$1:W789)+1,""),"")</f>
        <v/>
      </c>
      <c r="X790">
        <f>IF(설정!$C$14="","",IFERROR(INDEX('1.산군_붙여넣기'!$A$1:$AZ$1001,ROW(),설정!$C$14)&amp;"",""))</f>
        <v/>
      </c>
      <c r="Y790">
        <f>IF(설정!$C$15="","",IFERROR(INDEX('1.산군_붙여넣기'!$A$1:$AZ$1001,ROW(),설정!$C$15)&amp;"",""))</f>
        <v/>
      </c>
      <c r="Z790">
        <f>IF(T790,V790&amp;"|"&amp;U790,"")</f>
        <v/>
      </c>
      <c r="AA790">
        <f>IF(NOT(Q790),"",IF(NOT(AND(R790,S790)),"✕",IF(OR(OR(AND(L790&lt;&gt;"",M790&lt;&gt;"",N(M790)-N(L790)&gt;설정!$B$27),AND(L790&lt;&gt;"",M790="",설정!$B$24-N(L790)&gt;설정!$B$27)),AND(D790&lt;&gt;"",D790&lt;설정!$B$26)),"△","★")))</f>
        <v/>
      </c>
      <c r="AB790">
        <f>IF(NOT(T790),"",IF(U790="설계사",설정!$B$31,IF(U790="시공사",IF(OR(M790="",설정!$B$24-N(M790)&lt;=설정!$B$28*30.4),설정!$B$32,설정!$B$33),설정!$B$34))+IF(AA790="★",설정!$B$35,0))</f>
        <v/>
      </c>
      <c r="AC790">
        <f>SUBSTITUTE(SUBSTITUTE(SUBSTITUTE(SUBSTITUTE(H790,"(주)",""),"㈜",""),"주식회사","")," ","")</f>
        <v/>
      </c>
      <c r="AD790">
        <f>IF(AND(T790,AC790&lt;&gt;""),IF(COUNTIFS(AC$2:AC790,AC790,T$2:T790,TRUE)=1,MAX(AD$1:AD789)+1,""),"")</f>
        <v/>
      </c>
    </row>
    <row r="791">
      <c r="A791">
        <f>ROW()</f>
        <v/>
      </c>
      <c r="B791">
        <f>IF(설정!$C$4="","",IFERROR(INDEX('1.산군_붙여넣기'!$A$1:$AZ$1001,ROW(),설정!$C$4)&amp;"",""))</f>
        <v/>
      </c>
      <c r="C791">
        <f>IF(설정!$C$5="","",IFERROR(INDEX('1.산군_붙여넣기'!$A$1:$AZ$1001,ROW(),설정!$C$5)&amp;"",""))</f>
        <v/>
      </c>
      <c r="D791" s="5">
        <f>IFERROR(VALUE(SUBSTITUTE(SUBSTITUTE(SUBSTITUTE(IF(설정!$C$6="","",IFERROR(INDEX('1.산군_붙여넣기'!$A$1:$AZ$1001,ROW(),설정!$C$6)&amp;"","")),",",""),"㎡",""),"m2","")),"")</f>
        <v/>
      </c>
      <c r="E791">
        <f>IF(설정!$C$7="","",IFERROR(INDEX('1.산군_붙여넣기'!$A$1:$AZ$1001,ROW(),설정!$C$7)&amp;"",""))</f>
        <v/>
      </c>
      <c r="F791">
        <f>IF(설정!$C$8="","",IFERROR(INDEX('1.산군_붙여넣기'!$A$1:$AZ$1001,ROW(),설정!$C$8)&amp;"",""))</f>
        <v/>
      </c>
      <c r="G791">
        <f>IF(설정!$C$9="","",IFERROR(INDEX('1.산군_붙여넣기'!$A$1:$AZ$1001,ROW(),설정!$C$9)&amp;"",""))</f>
        <v/>
      </c>
      <c r="H791">
        <f>IF(설정!$C$10="","",IFERROR(INDEX('1.산군_붙여넣기'!$A$1:$AZ$1001,ROW(),설정!$C$10)&amp;"",""))</f>
        <v/>
      </c>
      <c r="I791">
        <f>IF(설정!$C$11="","",IFERROR(INDEX('1.산군_붙여넣기'!$A$1:$AZ$1001,ROW(),설정!$C$11)&amp;"",""))</f>
        <v/>
      </c>
      <c r="J791">
        <f>IF(설정!$C$12="","",IFERROR(INDEX('1.산군_붙여넣기'!$A$1:$AZ$1001,ROW(),설정!$C$12)&amp;"",""))</f>
        <v/>
      </c>
      <c r="K791">
        <f>IF(설정!$C$13="","",IFERROR(INDEX('1.산군_붙여넣기'!$A$1:$AZ$1001,ROW(),설정!$C$13)&amp;"",""))</f>
        <v/>
      </c>
      <c r="L791" s="7">
        <f>IF(X791="","",IF(AND(LEN(X791)=8,ISNUMBER(X791*1)),DATE(LEFT(X791,4),MID(X791,5,2),RIGHT(X791,2)),IFERROR(DATEVALUE(SUBSTITUTE(SUBSTITUTE(X791,".","-"),"/","-")),IFERROR(X791*1,""))))</f>
        <v/>
      </c>
      <c r="M791" s="7">
        <f>IF(Y791="","",IF(AND(LEN(Y791)=8,ISNUMBER(Y791*1)),DATE(LEFT(Y791,4),MID(Y791,5,2),RIGHT(Y791,2)),IFERROR(DATEVALUE(SUBSTITUTE(SUBSTITUTE(Y791,".","-"),"/","-")),IFERROR(Y791*1,""))))</f>
        <v/>
      </c>
      <c r="N791">
        <f>IFERROR(LEFT(B791,FIND(" ",B791)-1),B791)</f>
        <v/>
      </c>
      <c r="O791">
        <f>AND(B791&lt;&gt;"",B791&lt;&gt;설정!$B$4,C791&lt;&gt;설정!$B$5)</f>
        <v/>
      </c>
      <c r="P791">
        <f>IF(O791,B791&amp;"|"&amp;C791,"")</f>
        <v/>
      </c>
      <c r="Q791">
        <f>AND(O791,COUNTIF(P792:P$1002,P791)=0)</f>
        <v/>
      </c>
      <c r="R791">
        <f>OR(AND(설정!$A$42&lt;&gt;"",ISNUMBER(SEARCH(설정!$A$42,E791&amp;" "&amp;C791))),AND(설정!$A$43&lt;&gt;"",ISNUMBER(SEARCH(설정!$A$43,E791&amp;" "&amp;C791))),AND(설정!$A$44&lt;&gt;"",ISNUMBER(SEARCH(설정!$A$44,E791&amp;" "&amp;C791))),AND(설정!$A$45&lt;&gt;"",ISNUMBER(SEARCH(설정!$A$45,E791&amp;" "&amp;C791))),AND(설정!$A$46&lt;&gt;"",ISNUMBER(SEARCH(설정!$A$46,E791&amp;" "&amp;C791))),AND(설정!$A$47&lt;&gt;"",ISNUMBER(SEARCH(설정!$A$47,E791&amp;" "&amp;C791))),AND(설정!$A$48&lt;&gt;"",ISNUMBER(SEARCH(설정!$A$48,E791&amp;" "&amp;C791))),AND(설정!$A$49&lt;&gt;"",ISNUMBER(SEARCH(설정!$A$49,E791&amp;" "&amp;C791))),AND(설정!$A$50&lt;&gt;"",ISNUMBER(SEARCH(설정!$A$50,E791&amp;" "&amp;C791))),AND(설정!$A$51&lt;&gt;"",ISNUMBER(SEARCH(설정!$A$51,E791&amp;" "&amp;C791))))</f>
        <v/>
      </c>
      <c r="S791">
        <f>OR(D791="",D791&gt;=설정!$B$19)</f>
        <v/>
      </c>
      <c r="T791">
        <f>AND(Q791,R791,S791)</f>
        <v/>
      </c>
      <c r="U791">
        <f>IF(T791,IF(AND(설정!$A$54&lt;&gt;"",ISNUMBER(SEARCH(설정!$A$54,K791))),설정!$B$54,IF(AND(설정!$A$55&lt;&gt;"",ISNUMBER(SEARCH(설정!$A$55,K791))),설정!$B$55,IF(AND(설정!$A$56&lt;&gt;"",ISNUMBER(SEARCH(설정!$A$56,K791))),설정!$B$56,IF(AND(설정!$A$57&lt;&gt;"",ISNUMBER(SEARCH(설정!$A$57,K791))),설정!$B$57,IF(AND(설정!$A$58&lt;&gt;"",ISNUMBER(SEARCH(설정!$A$58,K791))),설정!$B$58,IF(AND(설정!$A$59&lt;&gt;"",ISNUMBER(SEARCH(설정!$A$59,K791))),설정!$B$59,IF(AND(설정!$A$60&lt;&gt;"",ISNUMBER(SEARCH(설정!$A$60,K791))),설정!$B$60,IF(AND(설정!$A$61&lt;&gt;"",ISNUMBER(SEARCH(설정!$A$61,K791))),설정!$B$61,IF(M791="","설계사","시공사"))))))))),"")</f>
        <v/>
      </c>
      <c r="V791">
        <f>SUBSTITUTE(SUBSTITUTE(SUBSTITUTE(SUBSTITUTE(G791,"(주)",""),"㈜",""),"주식회사","")," ","")</f>
        <v/>
      </c>
      <c r="W791">
        <f>IF(AND(T791,V791&lt;&gt;""),IF(COUNTIFS(V$2:V791,V791,T$2:T791,TRUE)=1,MAX(W$1:W790)+1,""),"")</f>
        <v/>
      </c>
      <c r="X791">
        <f>IF(설정!$C$14="","",IFERROR(INDEX('1.산군_붙여넣기'!$A$1:$AZ$1001,ROW(),설정!$C$14)&amp;"",""))</f>
        <v/>
      </c>
      <c r="Y791">
        <f>IF(설정!$C$15="","",IFERROR(INDEX('1.산군_붙여넣기'!$A$1:$AZ$1001,ROW(),설정!$C$15)&amp;"",""))</f>
        <v/>
      </c>
      <c r="Z791">
        <f>IF(T791,V791&amp;"|"&amp;U791,"")</f>
        <v/>
      </c>
      <c r="AA791">
        <f>IF(NOT(Q791),"",IF(NOT(AND(R791,S791)),"✕",IF(OR(OR(AND(L791&lt;&gt;"",M791&lt;&gt;"",N(M791)-N(L791)&gt;설정!$B$27),AND(L791&lt;&gt;"",M791="",설정!$B$24-N(L791)&gt;설정!$B$27)),AND(D791&lt;&gt;"",D791&lt;설정!$B$26)),"△","★")))</f>
        <v/>
      </c>
      <c r="AB791">
        <f>IF(NOT(T791),"",IF(U791="설계사",설정!$B$31,IF(U791="시공사",IF(OR(M791="",설정!$B$24-N(M791)&lt;=설정!$B$28*30.4),설정!$B$32,설정!$B$33),설정!$B$34))+IF(AA791="★",설정!$B$35,0))</f>
        <v/>
      </c>
      <c r="AC791">
        <f>SUBSTITUTE(SUBSTITUTE(SUBSTITUTE(SUBSTITUTE(H791,"(주)",""),"㈜",""),"주식회사","")," ","")</f>
        <v/>
      </c>
      <c r="AD791">
        <f>IF(AND(T791,AC791&lt;&gt;""),IF(COUNTIFS(AC$2:AC791,AC791,T$2:T791,TRUE)=1,MAX(AD$1:AD790)+1,""),"")</f>
        <v/>
      </c>
    </row>
    <row r="792">
      <c r="A792">
        <f>ROW()</f>
        <v/>
      </c>
      <c r="B792">
        <f>IF(설정!$C$4="","",IFERROR(INDEX('1.산군_붙여넣기'!$A$1:$AZ$1001,ROW(),설정!$C$4)&amp;"",""))</f>
        <v/>
      </c>
      <c r="C792">
        <f>IF(설정!$C$5="","",IFERROR(INDEX('1.산군_붙여넣기'!$A$1:$AZ$1001,ROW(),설정!$C$5)&amp;"",""))</f>
        <v/>
      </c>
      <c r="D792" s="5">
        <f>IFERROR(VALUE(SUBSTITUTE(SUBSTITUTE(SUBSTITUTE(IF(설정!$C$6="","",IFERROR(INDEX('1.산군_붙여넣기'!$A$1:$AZ$1001,ROW(),설정!$C$6)&amp;"","")),",",""),"㎡",""),"m2","")),"")</f>
        <v/>
      </c>
      <c r="E792">
        <f>IF(설정!$C$7="","",IFERROR(INDEX('1.산군_붙여넣기'!$A$1:$AZ$1001,ROW(),설정!$C$7)&amp;"",""))</f>
        <v/>
      </c>
      <c r="F792">
        <f>IF(설정!$C$8="","",IFERROR(INDEX('1.산군_붙여넣기'!$A$1:$AZ$1001,ROW(),설정!$C$8)&amp;"",""))</f>
        <v/>
      </c>
      <c r="G792">
        <f>IF(설정!$C$9="","",IFERROR(INDEX('1.산군_붙여넣기'!$A$1:$AZ$1001,ROW(),설정!$C$9)&amp;"",""))</f>
        <v/>
      </c>
      <c r="H792">
        <f>IF(설정!$C$10="","",IFERROR(INDEX('1.산군_붙여넣기'!$A$1:$AZ$1001,ROW(),설정!$C$10)&amp;"",""))</f>
        <v/>
      </c>
      <c r="I792">
        <f>IF(설정!$C$11="","",IFERROR(INDEX('1.산군_붙여넣기'!$A$1:$AZ$1001,ROW(),설정!$C$11)&amp;"",""))</f>
        <v/>
      </c>
      <c r="J792">
        <f>IF(설정!$C$12="","",IFERROR(INDEX('1.산군_붙여넣기'!$A$1:$AZ$1001,ROW(),설정!$C$12)&amp;"",""))</f>
        <v/>
      </c>
      <c r="K792">
        <f>IF(설정!$C$13="","",IFERROR(INDEX('1.산군_붙여넣기'!$A$1:$AZ$1001,ROW(),설정!$C$13)&amp;"",""))</f>
        <v/>
      </c>
      <c r="L792" s="7">
        <f>IF(X792="","",IF(AND(LEN(X792)=8,ISNUMBER(X792*1)),DATE(LEFT(X792,4),MID(X792,5,2),RIGHT(X792,2)),IFERROR(DATEVALUE(SUBSTITUTE(SUBSTITUTE(X792,".","-"),"/","-")),IFERROR(X792*1,""))))</f>
        <v/>
      </c>
      <c r="M792" s="7">
        <f>IF(Y792="","",IF(AND(LEN(Y792)=8,ISNUMBER(Y792*1)),DATE(LEFT(Y792,4),MID(Y792,5,2),RIGHT(Y792,2)),IFERROR(DATEVALUE(SUBSTITUTE(SUBSTITUTE(Y792,".","-"),"/","-")),IFERROR(Y792*1,""))))</f>
        <v/>
      </c>
      <c r="N792">
        <f>IFERROR(LEFT(B792,FIND(" ",B792)-1),B792)</f>
        <v/>
      </c>
      <c r="O792">
        <f>AND(B792&lt;&gt;"",B792&lt;&gt;설정!$B$4,C792&lt;&gt;설정!$B$5)</f>
        <v/>
      </c>
      <c r="P792">
        <f>IF(O792,B792&amp;"|"&amp;C792,"")</f>
        <v/>
      </c>
      <c r="Q792">
        <f>AND(O792,COUNTIF(P793:P$1002,P792)=0)</f>
        <v/>
      </c>
      <c r="R792">
        <f>OR(AND(설정!$A$42&lt;&gt;"",ISNUMBER(SEARCH(설정!$A$42,E792&amp;" "&amp;C792))),AND(설정!$A$43&lt;&gt;"",ISNUMBER(SEARCH(설정!$A$43,E792&amp;" "&amp;C792))),AND(설정!$A$44&lt;&gt;"",ISNUMBER(SEARCH(설정!$A$44,E792&amp;" "&amp;C792))),AND(설정!$A$45&lt;&gt;"",ISNUMBER(SEARCH(설정!$A$45,E792&amp;" "&amp;C792))),AND(설정!$A$46&lt;&gt;"",ISNUMBER(SEARCH(설정!$A$46,E792&amp;" "&amp;C792))),AND(설정!$A$47&lt;&gt;"",ISNUMBER(SEARCH(설정!$A$47,E792&amp;" "&amp;C792))),AND(설정!$A$48&lt;&gt;"",ISNUMBER(SEARCH(설정!$A$48,E792&amp;" "&amp;C792))),AND(설정!$A$49&lt;&gt;"",ISNUMBER(SEARCH(설정!$A$49,E792&amp;" "&amp;C792))),AND(설정!$A$50&lt;&gt;"",ISNUMBER(SEARCH(설정!$A$50,E792&amp;" "&amp;C792))),AND(설정!$A$51&lt;&gt;"",ISNUMBER(SEARCH(설정!$A$51,E792&amp;" "&amp;C792))))</f>
        <v/>
      </c>
      <c r="S792">
        <f>OR(D792="",D792&gt;=설정!$B$19)</f>
        <v/>
      </c>
      <c r="T792">
        <f>AND(Q792,R792,S792)</f>
        <v/>
      </c>
      <c r="U792">
        <f>IF(T792,IF(AND(설정!$A$54&lt;&gt;"",ISNUMBER(SEARCH(설정!$A$54,K792))),설정!$B$54,IF(AND(설정!$A$55&lt;&gt;"",ISNUMBER(SEARCH(설정!$A$55,K792))),설정!$B$55,IF(AND(설정!$A$56&lt;&gt;"",ISNUMBER(SEARCH(설정!$A$56,K792))),설정!$B$56,IF(AND(설정!$A$57&lt;&gt;"",ISNUMBER(SEARCH(설정!$A$57,K792))),설정!$B$57,IF(AND(설정!$A$58&lt;&gt;"",ISNUMBER(SEARCH(설정!$A$58,K792))),설정!$B$58,IF(AND(설정!$A$59&lt;&gt;"",ISNUMBER(SEARCH(설정!$A$59,K792))),설정!$B$59,IF(AND(설정!$A$60&lt;&gt;"",ISNUMBER(SEARCH(설정!$A$60,K792))),설정!$B$60,IF(AND(설정!$A$61&lt;&gt;"",ISNUMBER(SEARCH(설정!$A$61,K792))),설정!$B$61,IF(M792="","설계사","시공사"))))))))),"")</f>
        <v/>
      </c>
      <c r="V792">
        <f>SUBSTITUTE(SUBSTITUTE(SUBSTITUTE(SUBSTITUTE(G792,"(주)",""),"㈜",""),"주식회사","")," ","")</f>
        <v/>
      </c>
      <c r="W792">
        <f>IF(AND(T792,V792&lt;&gt;""),IF(COUNTIFS(V$2:V792,V792,T$2:T792,TRUE)=1,MAX(W$1:W791)+1,""),"")</f>
        <v/>
      </c>
      <c r="X792">
        <f>IF(설정!$C$14="","",IFERROR(INDEX('1.산군_붙여넣기'!$A$1:$AZ$1001,ROW(),설정!$C$14)&amp;"",""))</f>
        <v/>
      </c>
      <c r="Y792">
        <f>IF(설정!$C$15="","",IFERROR(INDEX('1.산군_붙여넣기'!$A$1:$AZ$1001,ROW(),설정!$C$15)&amp;"",""))</f>
        <v/>
      </c>
      <c r="Z792">
        <f>IF(T792,V792&amp;"|"&amp;U792,"")</f>
        <v/>
      </c>
      <c r="AA792">
        <f>IF(NOT(Q792),"",IF(NOT(AND(R792,S792)),"✕",IF(OR(OR(AND(L792&lt;&gt;"",M792&lt;&gt;"",N(M792)-N(L792)&gt;설정!$B$27),AND(L792&lt;&gt;"",M792="",설정!$B$24-N(L792)&gt;설정!$B$27)),AND(D792&lt;&gt;"",D792&lt;설정!$B$26)),"△","★")))</f>
        <v/>
      </c>
      <c r="AB792">
        <f>IF(NOT(T792),"",IF(U792="설계사",설정!$B$31,IF(U792="시공사",IF(OR(M792="",설정!$B$24-N(M792)&lt;=설정!$B$28*30.4),설정!$B$32,설정!$B$33),설정!$B$34))+IF(AA792="★",설정!$B$35,0))</f>
        <v/>
      </c>
      <c r="AC792">
        <f>SUBSTITUTE(SUBSTITUTE(SUBSTITUTE(SUBSTITUTE(H792,"(주)",""),"㈜",""),"주식회사","")," ","")</f>
        <v/>
      </c>
      <c r="AD792">
        <f>IF(AND(T792,AC792&lt;&gt;""),IF(COUNTIFS(AC$2:AC792,AC792,T$2:T792,TRUE)=1,MAX(AD$1:AD791)+1,""),"")</f>
        <v/>
      </c>
    </row>
    <row r="793">
      <c r="A793">
        <f>ROW()</f>
        <v/>
      </c>
      <c r="B793">
        <f>IF(설정!$C$4="","",IFERROR(INDEX('1.산군_붙여넣기'!$A$1:$AZ$1001,ROW(),설정!$C$4)&amp;"",""))</f>
        <v/>
      </c>
      <c r="C793">
        <f>IF(설정!$C$5="","",IFERROR(INDEX('1.산군_붙여넣기'!$A$1:$AZ$1001,ROW(),설정!$C$5)&amp;"",""))</f>
        <v/>
      </c>
      <c r="D793" s="5">
        <f>IFERROR(VALUE(SUBSTITUTE(SUBSTITUTE(SUBSTITUTE(IF(설정!$C$6="","",IFERROR(INDEX('1.산군_붙여넣기'!$A$1:$AZ$1001,ROW(),설정!$C$6)&amp;"","")),",",""),"㎡",""),"m2","")),"")</f>
        <v/>
      </c>
      <c r="E793">
        <f>IF(설정!$C$7="","",IFERROR(INDEX('1.산군_붙여넣기'!$A$1:$AZ$1001,ROW(),설정!$C$7)&amp;"",""))</f>
        <v/>
      </c>
      <c r="F793">
        <f>IF(설정!$C$8="","",IFERROR(INDEX('1.산군_붙여넣기'!$A$1:$AZ$1001,ROW(),설정!$C$8)&amp;"",""))</f>
        <v/>
      </c>
      <c r="G793">
        <f>IF(설정!$C$9="","",IFERROR(INDEX('1.산군_붙여넣기'!$A$1:$AZ$1001,ROW(),설정!$C$9)&amp;"",""))</f>
        <v/>
      </c>
      <c r="H793">
        <f>IF(설정!$C$10="","",IFERROR(INDEX('1.산군_붙여넣기'!$A$1:$AZ$1001,ROW(),설정!$C$10)&amp;"",""))</f>
        <v/>
      </c>
      <c r="I793">
        <f>IF(설정!$C$11="","",IFERROR(INDEX('1.산군_붙여넣기'!$A$1:$AZ$1001,ROW(),설정!$C$11)&amp;"",""))</f>
        <v/>
      </c>
      <c r="J793">
        <f>IF(설정!$C$12="","",IFERROR(INDEX('1.산군_붙여넣기'!$A$1:$AZ$1001,ROW(),설정!$C$12)&amp;"",""))</f>
        <v/>
      </c>
      <c r="K793">
        <f>IF(설정!$C$13="","",IFERROR(INDEX('1.산군_붙여넣기'!$A$1:$AZ$1001,ROW(),설정!$C$13)&amp;"",""))</f>
        <v/>
      </c>
      <c r="L793" s="7">
        <f>IF(X793="","",IF(AND(LEN(X793)=8,ISNUMBER(X793*1)),DATE(LEFT(X793,4),MID(X793,5,2),RIGHT(X793,2)),IFERROR(DATEVALUE(SUBSTITUTE(SUBSTITUTE(X793,".","-"),"/","-")),IFERROR(X793*1,""))))</f>
        <v/>
      </c>
      <c r="M793" s="7">
        <f>IF(Y793="","",IF(AND(LEN(Y793)=8,ISNUMBER(Y793*1)),DATE(LEFT(Y793,4),MID(Y793,5,2),RIGHT(Y793,2)),IFERROR(DATEVALUE(SUBSTITUTE(SUBSTITUTE(Y793,".","-"),"/","-")),IFERROR(Y793*1,""))))</f>
        <v/>
      </c>
      <c r="N793">
        <f>IFERROR(LEFT(B793,FIND(" ",B793)-1),B793)</f>
        <v/>
      </c>
      <c r="O793">
        <f>AND(B793&lt;&gt;"",B793&lt;&gt;설정!$B$4,C793&lt;&gt;설정!$B$5)</f>
        <v/>
      </c>
      <c r="P793">
        <f>IF(O793,B793&amp;"|"&amp;C793,"")</f>
        <v/>
      </c>
      <c r="Q793">
        <f>AND(O793,COUNTIF(P794:P$1002,P793)=0)</f>
        <v/>
      </c>
      <c r="R793">
        <f>OR(AND(설정!$A$42&lt;&gt;"",ISNUMBER(SEARCH(설정!$A$42,E793&amp;" "&amp;C793))),AND(설정!$A$43&lt;&gt;"",ISNUMBER(SEARCH(설정!$A$43,E793&amp;" "&amp;C793))),AND(설정!$A$44&lt;&gt;"",ISNUMBER(SEARCH(설정!$A$44,E793&amp;" "&amp;C793))),AND(설정!$A$45&lt;&gt;"",ISNUMBER(SEARCH(설정!$A$45,E793&amp;" "&amp;C793))),AND(설정!$A$46&lt;&gt;"",ISNUMBER(SEARCH(설정!$A$46,E793&amp;" "&amp;C793))),AND(설정!$A$47&lt;&gt;"",ISNUMBER(SEARCH(설정!$A$47,E793&amp;" "&amp;C793))),AND(설정!$A$48&lt;&gt;"",ISNUMBER(SEARCH(설정!$A$48,E793&amp;" "&amp;C793))),AND(설정!$A$49&lt;&gt;"",ISNUMBER(SEARCH(설정!$A$49,E793&amp;" "&amp;C793))),AND(설정!$A$50&lt;&gt;"",ISNUMBER(SEARCH(설정!$A$50,E793&amp;" "&amp;C793))),AND(설정!$A$51&lt;&gt;"",ISNUMBER(SEARCH(설정!$A$51,E793&amp;" "&amp;C793))))</f>
        <v/>
      </c>
      <c r="S793">
        <f>OR(D793="",D793&gt;=설정!$B$19)</f>
        <v/>
      </c>
      <c r="T793">
        <f>AND(Q793,R793,S793)</f>
        <v/>
      </c>
      <c r="U793">
        <f>IF(T793,IF(AND(설정!$A$54&lt;&gt;"",ISNUMBER(SEARCH(설정!$A$54,K793))),설정!$B$54,IF(AND(설정!$A$55&lt;&gt;"",ISNUMBER(SEARCH(설정!$A$55,K793))),설정!$B$55,IF(AND(설정!$A$56&lt;&gt;"",ISNUMBER(SEARCH(설정!$A$56,K793))),설정!$B$56,IF(AND(설정!$A$57&lt;&gt;"",ISNUMBER(SEARCH(설정!$A$57,K793))),설정!$B$57,IF(AND(설정!$A$58&lt;&gt;"",ISNUMBER(SEARCH(설정!$A$58,K793))),설정!$B$58,IF(AND(설정!$A$59&lt;&gt;"",ISNUMBER(SEARCH(설정!$A$59,K793))),설정!$B$59,IF(AND(설정!$A$60&lt;&gt;"",ISNUMBER(SEARCH(설정!$A$60,K793))),설정!$B$60,IF(AND(설정!$A$61&lt;&gt;"",ISNUMBER(SEARCH(설정!$A$61,K793))),설정!$B$61,IF(M793="","설계사","시공사"))))))))),"")</f>
        <v/>
      </c>
      <c r="V793">
        <f>SUBSTITUTE(SUBSTITUTE(SUBSTITUTE(SUBSTITUTE(G793,"(주)",""),"㈜",""),"주식회사","")," ","")</f>
        <v/>
      </c>
      <c r="W793">
        <f>IF(AND(T793,V793&lt;&gt;""),IF(COUNTIFS(V$2:V793,V793,T$2:T793,TRUE)=1,MAX(W$1:W792)+1,""),"")</f>
        <v/>
      </c>
      <c r="X793">
        <f>IF(설정!$C$14="","",IFERROR(INDEX('1.산군_붙여넣기'!$A$1:$AZ$1001,ROW(),설정!$C$14)&amp;"",""))</f>
        <v/>
      </c>
      <c r="Y793">
        <f>IF(설정!$C$15="","",IFERROR(INDEX('1.산군_붙여넣기'!$A$1:$AZ$1001,ROW(),설정!$C$15)&amp;"",""))</f>
        <v/>
      </c>
      <c r="Z793">
        <f>IF(T793,V793&amp;"|"&amp;U793,"")</f>
        <v/>
      </c>
      <c r="AA793">
        <f>IF(NOT(Q793),"",IF(NOT(AND(R793,S793)),"✕",IF(OR(OR(AND(L793&lt;&gt;"",M793&lt;&gt;"",N(M793)-N(L793)&gt;설정!$B$27),AND(L793&lt;&gt;"",M793="",설정!$B$24-N(L793)&gt;설정!$B$27)),AND(D793&lt;&gt;"",D793&lt;설정!$B$26)),"△","★")))</f>
        <v/>
      </c>
      <c r="AB793">
        <f>IF(NOT(T793),"",IF(U793="설계사",설정!$B$31,IF(U793="시공사",IF(OR(M793="",설정!$B$24-N(M793)&lt;=설정!$B$28*30.4),설정!$B$32,설정!$B$33),설정!$B$34))+IF(AA793="★",설정!$B$35,0))</f>
        <v/>
      </c>
      <c r="AC793">
        <f>SUBSTITUTE(SUBSTITUTE(SUBSTITUTE(SUBSTITUTE(H793,"(주)",""),"㈜",""),"주식회사","")," ","")</f>
        <v/>
      </c>
      <c r="AD793">
        <f>IF(AND(T793,AC793&lt;&gt;""),IF(COUNTIFS(AC$2:AC793,AC793,T$2:T793,TRUE)=1,MAX(AD$1:AD792)+1,""),"")</f>
        <v/>
      </c>
    </row>
    <row r="794">
      <c r="A794">
        <f>ROW()</f>
        <v/>
      </c>
      <c r="B794">
        <f>IF(설정!$C$4="","",IFERROR(INDEX('1.산군_붙여넣기'!$A$1:$AZ$1001,ROW(),설정!$C$4)&amp;"",""))</f>
        <v/>
      </c>
      <c r="C794">
        <f>IF(설정!$C$5="","",IFERROR(INDEX('1.산군_붙여넣기'!$A$1:$AZ$1001,ROW(),설정!$C$5)&amp;"",""))</f>
        <v/>
      </c>
      <c r="D794" s="5">
        <f>IFERROR(VALUE(SUBSTITUTE(SUBSTITUTE(SUBSTITUTE(IF(설정!$C$6="","",IFERROR(INDEX('1.산군_붙여넣기'!$A$1:$AZ$1001,ROW(),설정!$C$6)&amp;"","")),",",""),"㎡",""),"m2","")),"")</f>
        <v/>
      </c>
      <c r="E794">
        <f>IF(설정!$C$7="","",IFERROR(INDEX('1.산군_붙여넣기'!$A$1:$AZ$1001,ROW(),설정!$C$7)&amp;"",""))</f>
        <v/>
      </c>
      <c r="F794">
        <f>IF(설정!$C$8="","",IFERROR(INDEX('1.산군_붙여넣기'!$A$1:$AZ$1001,ROW(),설정!$C$8)&amp;"",""))</f>
        <v/>
      </c>
      <c r="G794">
        <f>IF(설정!$C$9="","",IFERROR(INDEX('1.산군_붙여넣기'!$A$1:$AZ$1001,ROW(),설정!$C$9)&amp;"",""))</f>
        <v/>
      </c>
      <c r="H794">
        <f>IF(설정!$C$10="","",IFERROR(INDEX('1.산군_붙여넣기'!$A$1:$AZ$1001,ROW(),설정!$C$10)&amp;"",""))</f>
        <v/>
      </c>
      <c r="I794">
        <f>IF(설정!$C$11="","",IFERROR(INDEX('1.산군_붙여넣기'!$A$1:$AZ$1001,ROW(),설정!$C$11)&amp;"",""))</f>
        <v/>
      </c>
      <c r="J794">
        <f>IF(설정!$C$12="","",IFERROR(INDEX('1.산군_붙여넣기'!$A$1:$AZ$1001,ROW(),설정!$C$12)&amp;"",""))</f>
        <v/>
      </c>
      <c r="K794">
        <f>IF(설정!$C$13="","",IFERROR(INDEX('1.산군_붙여넣기'!$A$1:$AZ$1001,ROW(),설정!$C$13)&amp;"",""))</f>
        <v/>
      </c>
      <c r="L794" s="7">
        <f>IF(X794="","",IF(AND(LEN(X794)=8,ISNUMBER(X794*1)),DATE(LEFT(X794,4),MID(X794,5,2),RIGHT(X794,2)),IFERROR(DATEVALUE(SUBSTITUTE(SUBSTITUTE(X794,".","-"),"/","-")),IFERROR(X794*1,""))))</f>
        <v/>
      </c>
      <c r="M794" s="7">
        <f>IF(Y794="","",IF(AND(LEN(Y794)=8,ISNUMBER(Y794*1)),DATE(LEFT(Y794,4),MID(Y794,5,2),RIGHT(Y794,2)),IFERROR(DATEVALUE(SUBSTITUTE(SUBSTITUTE(Y794,".","-"),"/","-")),IFERROR(Y794*1,""))))</f>
        <v/>
      </c>
      <c r="N794">
        <f>IFERROR(LEFT(B794,FIND(" ",B794)-1),B794)</f>
        <v/>
      </c>
      <c r="O794">
        <f>AND(B794&lt;&gt;"",B794&lt;&gt;설정!$B$4,C794&lt;&gt;설정!$B$5)</f>
        <v/>
      </c>
      <c r="P794">
        <f>IF(O794,B794&amp;"|"&amp;C794,"")</f>
        <v/>
      </c>
      <c r="Q794">
        <f>AND(O794,COUNTIF(P795:P$1002,P794)=0)</f>
        <v/>
      </c>
      <c r="R794">
        <f>OR(AND(설정!$A$42&lt;&gt;"",ISNUMBER(SEARCH(설정!$A$42,E794&amp;" "&amp;C794))),AND(설정!$A$43&lt;&gt;"",ISNUMBER(SEARCH(설정!$A$43,E794&amp;" "&amp;C794))),AND(설정!$A$44&lt;&gt;"",ISNUMBER(SEARCH(설정!$A$44,E794&amp;" "&amp;C794))),AND(설정!$A$45&lt;&gt;"",ISNUMBER(SEARCH(설정!$A$45,E794&amp;" "&amp;C794))),AND(설정!$A$46&lt;&gt;"",ISNUMBER(SEARCH(설정!$A$46,E794&amp;" "&amp;C794))),AND(설정!$A$47&lt;&gt;"",ISNUMBER(SEARCH(설정!$A$47,E794&amp;" "&amp;C794))),AND(설정!$A$48&lt;&gt;"",ISNUMBER(SEARCH(설정!$A$48,E794&amp;" "&amp;C794))),AND(설정!$A$49&lt;&gt;"",ISNUMBER(SEARCH(설정!$A$49,E794&amp;" "&amp;C794))),AND(설정!$A$50&lt;&gt;"",ISNUMBER(SEARCH(설정!$A$50,E794&amp;" "&amp;C794))),AND(설정!$A$51&lt;&gt;"",ISNUMBER(SEARCH(설정!$A$51,E794&amp;" "&amp;C794))))</f>
        <v/>
      </c>
      <c r="S794">
        <f>OR(D794="",D794&gt;=설정!$B$19)</f>
        <v/>
      </c>
      <c r="T794">
        <f>AND(Q794,R794,S794)</f>
        <v/>
      </c>
      <c r="U794">
        <f>IF(T794,IF(AND(설정!$A$54&lt;&gt;"",ISNUMBER(SEARCH(설정!$A$54,K794))),설정!$B$54,IF(AND(설정!$A$55&lt;&gt;"",ISNUMBER(SEARCH(설정!$A$55,K794))),설정!$B$55,IF(AND(설정!$A$56&lt;&gt;"",ISNUMBER(SEARCH(설정!$A$56,K794))),설정!$B$56,IF(AND(설정!$A$57&lt;&gt;"",ISNUMBER(SEARCH(설정!$A$57,K794))),설정!$B$57,IF(AND(설정!$A$58&lt;&gt;"",ISNUMBER(SEARCH(설정!$A$58,K794))),설정!$B$58,IF(AND(설정!$A$59&lt;&gt;"",ISNUMBER(SEARCH(설정!$A$59,K794))),설정!$B$59,IF(AND(설정!$A$60&lt;&gt;"",ISNUMBER(SEARCH(설정!$A$60,K794))),설정!$B$60,IF(AND(설정!$A$61&lt;&gt;"",ISNUMBER(SEARCH(설정!$A$61,K794))),설정!$B$61,IF(M794="","설계사","시공사"))))))))),"")</f>
        <v/>
      </c>
      <c r="V794">
        <f>SUBSTITUTE(SUBSTITUTE(SUBSTITUTE(SUBSTITUTE(G794,"(주)",""),"㈜",""),"주식회사","")," ","")</f>
        <v/>
      </c>
      <c r="W794">
        <f>IF(AND(T794,V794&lt;&gt;""),IF(COUNTIFS(V$2:V794,V794,T$2:T794,TRUE)=1,MAX(W$1:W793)+1,""),"")</f>
        <v/>
      </c>
      <c r="X794">
        <f>IF(설정!$C$14="","",IFERROR(INDEX('1.산군_붙여넣기'!$A$1:$AZ$1001,ROW(),설정!$C$14)&amp;"",""))</f>
        <v/>
      </c>
      <c r="Y794">
        <f>IF(설정!$C$15="","",IFERROR(INDEX('1.산군_붙여넣기'!$A$1:$AZ$1001,ROW(),설정!$C$15)&amp;"",""))</f>
        <v/>
      </c>
      <c r="Z794">
        <f>IF(T794,V794&amp;"|"&amp;U794,"")</f>
        <v/>
      </c>
      <c r="AA794">
        <f>IF(NOT(Q794),"",IF(NOT(AND(R794,S794)),"✕",IF(OR(OR(AND(L794&lt;&gt;"",M794&lt;&gt;"",N(M794)-N(L794)&gt;설정!$B$27),AND(L794&lt;&gt;"",M794="",설정!$B$24-N(L794)&gt;설정!$B$27)),AND(D794&lt;&gt;"",D794&lt;설정!$B$26)),"△","★")))</f>
        <v/>
      </c>
      <c r="AB794">
        <f>IF(NOT(T794),"",IF(U794="설계사",설정!$B$31,IF(U794="시공사",IF(OR(M794="",설정!$B$24-N(M794)&lt;=설정!$B$28*30.4),설정!$B$32,설정!$B$33),설정!$B$34))+IF(AA794="★",설정!$B$35,0))</f>
        <v/>
      </c>
      <c r="AC794">
        <f>SUBSTITUTE(SUBSTITUTE(SUBSTITUTE(SUBSTITUTE(H794,"(주)",""),"㈜",""),"주식회사","")," ","")</f>
        <v/>
      </c>
      <c r="AD794">
        <f>IF(AND(T794,AC794&lt;&gt;""),IF(COUNTIFS(AC$2:AC794,AC794,T$2:T794,TRUE)=1,MAX(AD$1:AD793)+1,""),"")</f>
        <v/>
      </c>
    </row>
    <row r="795">
      <c r="A795">
        <f>ROW()</f>
        <v/>
      </c>
      <c r="B795">
        <f>IF(설정!$C$4="","",IFERROR(INDEX('1.산군_붙여넣기'!$A$1:$AZ$1001,ROW(),설정!$C$4)&amp;"",""))</f>
        <v/>
      </c>
      <c r="C795">
        <f>IF(설정!$C$5="","",IFERROR(INDEX('1.산군_붙여넣기'!$A$1:$AZ$1001,ROW(),설정!$C$5)&amp;"",""))</f>
        <v/>
      </c>
      <c r="D795" s="5">
        <f>IFERROR(VALUE(SUBSTITUTE(SUBSTITUTE(SUBSTITUTE(IF(설정!$C$6="","",IFERROR(INDEX('1.산군_붙여넣기'!$A$1:$AZ$1001,ROW(),설정!$C$6)&amp;"","")),",",""),"㎡",""),"m2","")),"")</f>
        <v/>
      </c>
      <c r="E795">
        <f>IF(설정!$C$7="","",IFERROR(INDEX('1.산군_붙여넣기'!$A$1:$AZ$1001,ROW(),설정!$C$7)&amp;"",""))</f>
        <v/>
      </c>
      <c r="F795">
        <f>IF(설정!$C$8="","",IFERROR(INDEX('1.산군_붙여넣기'!$A$1:$AZ$1001,ROW(),설정!$C$8)&amp;"",""))</f>
        <v/>
      </c>
      <c r="G795">
        <f>IF(설정!$C$9="","",IFERROR(INDEX('1.산군_붙여넣기'!$A$1:$AZ$1001,ROW(),설정!$C$9)&amp;"",""))</f>
        <v/>
      </c>
      <c r="H795">
        <f>IF(설정!$C$10="","",IFERROR(INDEX('1.산군_붙여넣기'!$A$1:$AZ$1001,ROW(),설정!$C$10)&amp;"",""))</f>
        <v/>
      </c>
      <c r="I795">
        <f>IF(설정!$C$11="","",IFERROR(INDEX('1.산군_붙여넣기'!$A$1:$AZ$1001,ROW(),설정!$C$11)&amp;"",""))</f>
        <v/>
      </c>
      <c r="J795">
        <f>IF(설정!$C$12="","",IFERROR(INDEX('1.산군_붙여넣기'!$A$1:$AZ$1001,ROW(),설정!$C$12)&amp;"",""))</f>
        <v/>
      </c>
      <c r="K795">
        <f>IF(설정!$C$13="","",IFERROR(INDEX('1.산군_붙여넣기'!$A$1:$AZ$1001,ROW(),설정!$C$13)&amp;"",""))</f>
        <v/>
      </c>
      <c r="L795" s="7">
        <f>IF(X795="","",IF(AND(LEN(X795)=8,ISNUMBER(X795*1)),DATE(LEFT(X795,4),MID(X795,5,2),RIGHT(X795,2)),IFERROR(DATEVALUE(SUBSTITUTE(SUBSTITUTE(X795,".","-"),"/","-")),IFERROR(X795*1,""))))</f>
        <v/>
      </c>
      <c r="M795" s="7">
        <f>IF(Y795="","",IF(AND(LEN(Y795)=8,ISNUMBER(Y795*1)),DATE(LEFT(Y795,4),MID(Y795,5,2),RIGHT(Y795,2)),IFERROR(DATEVALUE(SUBSTITUTE(SUBSTITUTE(Y795,".","-"),"/","-")),IFERROR(Y795*1,""))))</f>
        <v/>
      </c>
      <c r="N795">
        <f>IFERROR(LEFT(B795,FIND(" ",B795)-1),B795)</f>
        <v/>
      </c>
      <c r="O795">
        <f>AND(B795&lt;&gt;"",B795&lt;&gt;설정!$B$4,C795&lt;&gt;설정!$B$5)</f>
        <v/>
      </c>
      <c r="P795">
        <f>IF(O795,B795&amp;"|"&amp;C795,"")</f>
        <v/>
      </c>
      <c r="Q795">
        <f>AND(O795,COUNTIF(P796:P$1002,P795)=0)</f>
        <v/>
      </c>
      <c r="R795">
        <f>OR(AND(설정!$A$42&lt;&gt;"",ISNUMBER(SEARCH(설정!$A$42,E795&amp;" "&amp;C795))),AND(설정!$A$43&lt;&gt;"",ISNUMBER(SEARCH(설정!$A$43,E795&amp;" "&amp;C795))),AND(설정!$A$44&lt;&gt;"",ISNUMBER(SEARCH(설정!$A$44,E795&amp;" "&amp;C795))),AND(설정!$A$45&lt;&gt;"",ISNUMBER(SEARCH(설정!$A$45,E795&amp;" "&amp;C795))),AND(설정!$A$46&lt;&gt;"",ISNUMBER(SEARCH(설정!$A$46,E795&amp;" "&amp;C795))),AND(설정!$A$47&lt;&gt;"",ISNUMBER(SEARCH(설정!$A$47,E795&amp;" "&amp;C795))),AND(설정!$A$48&lt;&gt;"",ISNUMBER(SEARCH(설정!$A$48,E795&amp;" "&amp;C795))),AND(설정!$A$49&lt;&gt;"",ISNUMBER(SEARCH(설정!$A$49,E795&amp;" "&amp;C795))),AND(설정!$A$50&lt;&gt;"",ISNUMBER(SEARCH(설정!$A$50,E795&amp;" "&amp;C795))),AND(설정!$A$51&lt;&gt;"",ISNUMBER(SEARCH(설정!$A$51,E795&amp;" "&amp;C795))))</f>
        <v/>
      </c>
      <c r="S795">
        <f>OR(D795="",D795&gt;=설정!$B$19)</f>
        <v/>
      </c>
      <c r="T795">
        <f>AND(Q795,R795,S795)</f>
        <v/>
      </c>
      <c r="U795">
        <f>IF(T795,IF(AND(설정!$A$54&lt;&gt;"",ISNUMBER(SEARCH(설정!$A$54,K795))),설정!$B$54,IF(AND(설정!$A$55&lt;&gt;"",ISNUMBER(SEARCH(설정!$A$55,K795))),설정!$B$55,IF(AND(설정!$A$56&lt;&gt;"",ISNUMBER(SEARCH(설정!$A$56,K795))),설정!$B$56,IF(AND(설정!$A$57&lt;&gt;"",ISNUMBER(SEARCH(설정!$A$57,K795))),설정!$B$57,IF(AND(설정!$A$58&lt;&gt;"",ISNUMBER(SEARCH(설정!$A$58,K795))),설정!$B$58,IF(AND(설정!$A$59&lt;&gt;"",ISNUMBER(SEARCH(설정!$A$59,K795))),설정!$B$59,IF(AND(설정!$A$60&lt;&gt;"",ISNUMBER(SEARCH(설정!$A$60,K795))),설정!$B$60,IF(AND(설정!$A$61&lt;&gt;"",ISNUMBER(SEARCH(설정!$A$61,K795))),설정!$B$61,IF(M795="","설계사","시공사"))))))))),"")</f>
        <v/>
      </c>
      <c r="V795">
        <f>SUBSTITUTE(SUBSTITUTE(SUBSTITUTE(SUBSTITUTE(G795,"(주)",""),"㈜",""),"주식회사","")," ","")</f>
        <v/>
      </c>
      <c r="W795">
        <f>IF(AND(T795,V795&lt;&gt;""),IF(COUNTIFS(V$2:V795,V795,T$2:T795,TRUE)=1,MAX(W$1:W794)+1,""),"")</f>
        <v/>
      </c>
      <c r="X795">
        <f>IF(설정!$C$14="","",IFERROR(INDEX('1.산군_붙여넣기'!$A$1:$AZ$1001,ROW(),설정!$C$14)&amp;"",""))</f>
        <v/>
      </c>
      <c r="Y795">
        <f>IF(설정!$C$15="","",IFERROR(INDEX('1.산군_붙여넣기'!$A$1:$AZ$1001,ROW(),설정!$C$15)&amp;"",""))</f>
        <v/>
      </c>
      <c r="Z795">
        <f>IF(T795,V795&amp;"|"&amp;U795,"")</f>
        <v/>
      </c>
      <c r="AA795">
        <f>IF(NOT(Q795),"",IF(NOT(AND(R795,S795)),"✕",IF(OR(OR(AND(L795&lt;&gt;"",M795&lt;&gt;"",N(M795)-N(L795)&gt;설정!$B$27),AND(L795&lt;&gt;"",M795="",설정!$B$24-N(L795)&gt;설정!$B$27)),AND(D795&lt;&gt;"",D795&lt;설정!$B$26)),"△","★")))</f>
        <v/>
      </c>
      <c r="AB795">
        <f>IF(NOT(T795),"",IF(U795="설계사",설정!$B$31,IF(U795="시공사",IF(OR(M795="",설정!$B$24-N(M795)&lt;=설정!$B$28*30.4),설정!$B$32,설정!$B$33),설정!$B$34))+IF(AA795="★",설정!$B$35,0))</f>
        <v/>
      </c>
      <c r="AC795">
        <f>SUBSTITUTE(SUBSTITUTE(SUBSTITUTE(SUBSTITUTE(H795,"(주)",""),"㈜",""),"주식회사","")," ","")</f>
        <v/>
      </c>
      <c r="AD795">
        <f>IF(AND(T795,AC795&lt;&gt;""),IF(COUNTIFS(AC$2:AC795,AC795,T$2:T795,TRUE)=1,MAX(AD$1:AD794)+1,""),"")</f>
        <v/>
      </c>
    </row>
    <row r="796">
      <c r="A796">
        <f>ROW()</f>
        <v/>
      </c>
      <c r="B796">
        <f>IF(설정!$C$4="","",IFERROR(INDEX('1.산군_붙여넣기'!$A$1:$AZ$1001,ROW(),설정!$C$4)&amp;"",""))</f>
        <v/>
      </c>
      <c r="C796">
        <f>IF(설정!$C$5="","",IFERROR(INDEX('1.산군_붙여넣기'!$A$1:$AZ$1001,ROW(),설정!$C$5)&amp;"",""))</f>
        <v/>
      </c>
      <c r="D796" s="5">
        <f>IFERROR(VALUE(SUBSTITUTE(SUBSTITUTE(SUBSTITUTE(IF(설정!$C$6="","",IFERROR(INDEX('1.산군_붙여넣기'!$A$1:$AZ$1001,ROW(),설정!$C$6)&amp;"","")),",",""),"㎡",""),"m2","")),"")</f>
        <v/>
      </c>
      <c r="E796">
        <f>IF(설정!$C$7="","",IFERROR(INDEX('1.산군_붙여넣기'!$A$1:$AZ$1001,ROW(),설정!$C$7)&amp;"",""))</f>
        <v/>
      </c>
      <c r="F796">
        <f>IF(설정!$C$8="","",IFERROR(INDEX('1.산군_붙여넣기'!$A$1:$AZ$1001,ROW(),설정!$C$8)&amp;"",""))</f>
        <v/>
      </c>
      <c r="G796">
        <f>IF(설정!$C$9="","",IFERROR(INDEX('1.산군_붙여넣기'!$A$1:$AZ$1001,ROW(),설정!$C$9)&amp;"",""))</f>
        <v/>
      </c>
      <c r="H796">
        <f>IF(설정!$C$10="","",IFERROR(INDEX('1.산군_붙여넣기'!$A$1:$AZ$1001,ROW(),설정!$C$10)&amp;"",""))</f>
        <v/>
      </c>
      <c r="I796">
        <f>IF(설정!$C$11="","",IFERROR(INDEX('1.산군_붙여넣기'!$A$1:$AZ$1001,ROW(),설정!$C$11)&amp;"",""))</f>
        <v/>
      </c>
      <c r="J796">
        <f>IF(설정!$C$12="","",IFERROR(INDEX('1.산군_붙여넣기'!$A$1:$AZ$1001,ROW(),설정!$C$12)&amp;"",""))</f>
        <v/>
      </c>
      <c r="K796">
        <f>IF(설정!$C$13="","",IFERROR(INDEX('1.산군_붙여넣기'!$A$1:$AZ$1001,ROW(),설정!$C$13)&amp;"",""))</f>
        <v/>
      </c>
      <c r="L796" s="7">
        <f>IF(X796="","",IF(AND(LEN(X796)=8,ISNUMBER(X796*1)),DATE(LEFT(X796,4),MID(X796,5,2),RIGHT(X796,2)),IFERROR(DATEVALUE(SUBSTITUTE(SUBSTITUTE(X796,".","-"),"/","-")),IFERROR(X796*1,""))))</f>
        <v/>
      </c>
      <c r="M796" s="7">
        <f>IF(Y796="","",IF(AND(LEN(Y796)=8,ISNUMBER(Y796*1)),DATE(LEFT(Y796,4),MID(Y796,5,2),RIGHT(Y796,2)),IFERROR(DATEVALUE(SUBSTITUTE(SUBSTITUTE(Y796,".","-"),"/","-")),IFERROR(Y796*1,""))))</f>
        <v/>
      </c>
      <c r="N796">
        <f>IFERROR(LEFT(B796,FIND(" ",B796)-1),B796)</f>
        <v/>
      </c>
      <c r="O796">
        <f>AND(B796&lt;&gt;"",B796&lt;&gt;설정!$B$4,C796&lt;&gt;설정!$B$5)</f>
        <v/>
      </c>
      <c r="P796">
        <f>IF(O796,B796&amp;"|"&amp;C796,"")</f>
        <v/>
      </c>
      <c r="Q796">
        <f>AND(O796,COUNTIF(P797:P$1002,P796)=0)</f>
        <v/>
      </c>
      <c r="R796">
        <f>OR(AND(설정!$A$42&lt;&gt;"",ISNUMBER(SEARCH(설정!$A$42,E796&amp;" "&amp;C796))),AND(설정!$A$43&lt;&gt;"",ISNUMBER(SEARCH(설정!$A$43,E796&amp;" "&amp;C796))),AND(설정!$A$44&lt;&gt;"",ISNUMBER(SEARCH(설정!$A$44,E796&amp;" "&amp;C796))),AND(설정!$A$45&lt;&gt;"",ISNUMBER(SEARCH(설정!$A$45,E796&amp;" "&amp;C796))),AND(설정!$A$46&lt;&gt;"",ISNUMBER(SEARCH(설정!$A$46,E796&amp;" "&amp;C796))),AND(설정!$A$47&lt;&gt;"",ISNUMBER(SEARCH(설정!$A$47,E796&amp;" "&amp;C796))),AND(설정!$A$48&lt;&gt;"",ISNUMBER(SEARCH(설정!$A$48,E796&amp;" "&amp;C796))),AND(설정!$A$49&lt;&gt;"",ISNUMBER(SEARCH(설정!$A$49,E796&amp;" "&amp;C796))),AND(설정!$A$50&lt;&gt;"",ISNUMBER(SEARCH(설정!$A$50,E796&amp;" "&amp;C796))),AND(설정!$A$51&lt;&gt;"",ISNUMBER(SEARCH(설정!$A$51,E796&amp;" "&amp;C796))))</f>
        <v/>
      </c>
      <c r="S796">
        <f>OR(D796="",D796&gt;=설정!$B$19)</f>
        <v/>
      </c>
      <c r="T796">
        <f>AND(Q796,R796,S796)</f>
        <v/>
      </c>
      <c r="U796">
        <f>IF(T796,IF(AND(설정!$A$54&lt;&gt;"",ISNUMBER(SEARCH(설정!$A$54,K796))),설정!$B$54,IF(AND(설정!$A$55&lt;&gt;"",ISNUMBER(SEARCH(설정!$A$55,K796))),설정!$B$55,IF(AND(설정!$A$56&lt;&gt;"",ISNUMBER(SEARCH(설정!$A$56,K796))),설정!$B$56,IF(AND(설정!$A$57&lt;&gt;"",ISNUMBER(SEARCH(설정!$A$57,K796))),설정!$B$57,IF(AND(설정!$A$58&lt;&gt;"",ISNUMBER(SEARCH(설정!$A$58,K796))),설정!$B$58,IF(AND(설정!$A$59&lt;&gt;"",ISNUMBER(SEARCH(설정!$A$59,K796))),설정!$B$59,IF(AND(설정!$A$60&lt;&gt;"",ISNUMBER(SEARCH(설정!$A$60,K796))),설정!$B$60,IF(AND(설정!$A$61&lt;&gt;"",ISNUMBER(SEARCH(설정!$A$61,K796))),설정!$B$61,IF(M796="","설계사","시공사"))))))))),"")</f>
        <v/>
      </c>
      <c r="V796">
        <f>SUBSTITUTE(SUBSTITUTE(SUBSTITUTE(SUBSTITUTE(G796,"(주)",""),"㈜",""),"주식회사","")," ","")</f>
        <v/>
      </c>
      <c r="W796">
        <f>IF(AND(T796,V796&lt;&gt;""),IF(COUNTIFS(V$2:V796,V796,T$2:T796,TRUE)=1,MAX(W$1:W795)+1,""),"")</f>
        <v/>
      </c>
      <c r="X796">
        <f>IF(설정!$C$14="","",IFERROR(INDEX('1.산군_붙여넣기'!$A$1:$AZ$1001,ROW(),설정!$C$14)&amp;"",""))</f>
        <v/>
      </c>
      <c r="Y796">
        <f>IF(설정!$C$15="","",IFERROR(INDEX('1.산군_붙여넣기'!$A$1:$AZ$1001,ROW(),설정!$C$15)&amp;"",""))</f>
        <v/>
      </c>
      <c r="Z796">
        <f>IF(T796,V796&amp;"|"&amp;U796,"")</f>
        <v/>
      </c>
      <c r="AA796">
        <f>IF(NOT(Q796),"",IF(NOT(AND(R796,S796)),"✕",IF(OR(OR(AND(L796&lt;&gt;"",M796&lt;&gt;"",N(M796)-N(L796)&gt;설정!$B$27),AND(L796&lt;&gt;"",M796="",설정!$B$24-N(L796)&gt;설정!$B$27)),AND(D796&lt;&gt;"",D796&lt;설정!$B$26)),"△","★")))</f>
        <v/>
      </c>
      <c r="AB796">
        <f>IF(NOT(T796),"",IF(U796="설계사",설정!$B$31,IF(U796="시공사",IF(OR(M796="",설정!$B$24-N(M796)&lt;=설정!$B$28*30.4),설정!$B$32,설정!$B$33),설정!$B$34))+IF(AA796="★",설정!$B$35,0))</f>
        <v/>
      </c>
      <c r="AC796">
        <f>SUBSTITUTE(SUBSTITUTE(SUBSTITUTE(SUBSTITUTE(H796,"(주)",""),"㈜",""),"주식회사","")," ","")</f>
        <v/>
      </c>
      <c r="AD796">
        <f>IF(AND(T796,AC796&lt;&gt;""),IF(COUNTIFS(AC$2:AC796,AC796,T$2:T796,TRUE)=1,MAX(AD$1:AD795)+1,""),"")</f>
        <v/>
      </c>
    </row>
    <row r="797">
      <c r="A797">
        <f>ROW()</f>
        <v/>
      </c>
      <c r="B797">
        <f>IF(설정!$C$4="","",IFERROR(INDEX('1.산군_붙여넣기'!$A$1:$AZ$1001,ROW(),설정!$C$4)&amp;"",""))</f>
        <v/>
      </c>
      <c r="C797">
        <f>IF(설정!$C$5="","",IFERROR(INDEX('1.산군_붙여넣기'!$A$1:$AZ$1001,ROW(),설정!$C$5)&amp;"",""))</f>
        <v/>
      </c>
      <c r="D797" s="5">
        <f>IFERROR(VALUE(SUBSTITUTE(SUBSTITUTE(SUBSTITUTE(IF(설정!$C$6="","",IFERROR(INDEX('1.산군_붙여넣기'!$A$1:$AZ$1001,ROW(),설정!$C$6)&amp;"","")),",",""),"㎡",""),"m2","")),"")</f>
        <v/>
      </c>
      <c r="E797">
        <f>IF(설정!$C$7="","",IFERROR(INDEX('1.산군_붙여넣기'!$A$1:$AZ$1001,ROW(),설정!$C$7)&amp;"",""))</f>
        <v/>
      </c>
      <c r="F797">
        <f>IF(설정!$C$8="","",IFERROR(INDEX('1.산군_붙여넣기'!$A$1:$AZ$1001,ROW(),설정!$C$8)&amp;"",""))</f>
        <v/>
      </c>
      <c r="G797">
        <f>IF(설정!$C$9="","",IFERROR(INDEX('1.산군_붙여넣기'!$A$1:$AZ$1001,ROW(),설정!$C$9)&amp;"",""))</f>
        <v/>
      </c>
      <c r="H797">
        <f>IF(설정!$C$10="","",IFERROR(INDEX('1.산군_붙여넣기'!$A$1:$AZ$1001,ROW(),설정!$C$10)&amp;"",""))</f>
        <v/>
      </c>
      <c r="I797">
        <f>IF(설정!$C$11="","",IFERROR(INDEX('1.산군_붙여넣기'!$A$1:$AZ$1001,ROW(),설정!$C$11)&amp;"",""))</f>
        <v/>
      </c>
      <c r="J797">
        <f>IF(설정!$C$12="","",IFERROR(INDEX('1.산군_붙여넣기'!$A$1:$AZ$1001,ROW(),설정!$C$12)&amp;"",""))</f>
        <v/>
      </c>
      <c r="K797">
        <f>IF(설정!$C$13="","",IFERROR(INDEX('1.산군_붙여넣기'!$A$1:$AZ$1001,ROW(),설정!$C$13)&amp;"",""))</f>
        <v/>
      </c>
      <c r="L797" s="7">
        <f>IF(X797="","",IF(AND(LEN(X797)=8,ISNUMBER(X797*1)),DATE(LEFT(X797,4),MID(X797,5,2),RIGHT(X797,2)),IFERROR(DATEVALUE(SUBSTITUTE(SUBSTITUTE(X797,".","-"),"/","-")),IFERROR(X797*1,""))))</f>
        <v/>
      </c>
      <c r="M797" s="7">
        <f>IF(Y797="","",IF(AND(LEN(Y797)=8,ISNUMBER(Y797*1)),DATE(LEFT(Y797,4),MID(Y797,5,2),RIGHT(Y797,2)),IFERROR(DATEVALUE(SUBSTITUTE(SUBSTITUTE(Y797,".","-"),"/","-")),IFERROR(Y797*1,""))))</f>
        <v/>
      </c>
      <c r="N797">
        <f>IFERROR(LEFT(B797,FIND(" ",B797)-1),B797)</f>
        <v/>
      </c>
      <c r="O797">
        <f>AND(B797&lt;&gt;"",B797&lt;&gt;설정!$B$4,C797&lt;&gt;설정!$B$5)</f>
        <v/>
      </c>
      <c r="P797">
        <f>IF(O797,B797&amp;"|"&amp;C797,"")</f>
        <v/>
      </c>
      <c r="Q797">
        <f>AND(O797,COUNTIF(P798:P$1002,P797)=0)</f>
        <v/>
      </c>
      <c r="R797">
        <f>OR(AND(설정!$A$42&lt;&gt;"",ISNUMBER(SEARCH(설정!$A$42,E797&amp;" "&amp;C797))),AND(설정!$A$43&lt;&gt;"",ISNUMBER(SEARCH(설정!$A$43,E797&amp;" "&amp;C797))),AND(설정!$A$44&lt;&gt;"",ISNUMBER(SEARCH(설정!$A$44,E797&amp;" "&amp;C797))),AND(설정!$A$45&lt;&gt;"",ISNUMBER(SEARCH(설정!$A$45,E797&amp;" "&amp;C797))),AND(설정!$A$46&lt;&gt;"",ISNUMBER(SEARCH(설정!$A$46,E797&amp;" "&amp;C797))),AND(설정!$A$47&lt;&gt;"",ISNUMBER(SEARCH(설정!$A$47,E797&amp;" "&amp;C797))),AND(설정!$A$48&lt;&gt;"",ISNUMBER(SEARCH(설정!$A$48,E797&amp;" "&amp;C797))),AND(설정!$A$49&lt;&gt;"",ISNUMBER(SEARCH(설정!$A$49,E797&amp;" "&amp;C797))),AND(설정!$A$50&lt;&gt;"",ISNUMBER(SEARCH(설정!$A$50,E797&amp;" "&amp;C797))),AND(설정!$A$51&lt;&gt;"",ISNUMBER(SEARCH(설정!$A$51,E797&amp;" "&amp;C797))))</f>
        <v/>
      </c>
      <c r="S797">
        <f>OR(D797="",D797&gt;=설정!$B$19)</f>
        <v/>
      </c>
      <c r="T797">
        <f>AND(Q797,R797,S797)</f>
        <v/>
      </c>
      <c r="U797">
        <f>IF(T797,IF(AND(설정!$A$54&lt;&gt;"",ISNUMBER(SEARCH(설정!$A$54,K797))),설정!$B$54,IF(AND(설정!$A$55&lt;&gt;"",ISNUMBER(SEARCH(설정!$A$55,K797))),설정!$B$55,IF(AND(설정!$A$56&lt;&gt;"",ISNUMBER(SEARCH(설정!$A$56,K797))),설정!$B$56,IF(AND(설정!$A$57&lt;&gt;"",ISNUMBER(SEARCH(설정!$A$57,K797))),설정!$B$57,IF(AND(설정!$A$58&lt;&gt;"",ISNUMBER(SEARCH(설정!$A$58,K797))),설정!$B$58,IF(AND(설정!$A$59&lt;&gt;"",ISNUMBER(SEARCH(설정!$A$59,K797))),설정!$B$59,IF(AND(설정!$A$60&lt;&gt;"",ISNUMBER(SEARCH(설정!$A$60,K797))),설정!$B$60,IF(AND(설정!$A$61&lt;&gt;"",ISNUMBER(SEARCH(설정!$A$61,K797))),설정!$B$61,IF(M797="","설계사","시공사"))))))))),"")</f>
        <v/>
      </c>
      <c r="V797">
        <f>SUBSTITUTE(SUBSTITUTE(SUBSTITUTE(SUBSTITUTE(G797,"(주)",""),"㈜",""),"주식회사","")," ","")</f>
        <v/>
      </c>
      <c r="W797">
        <f>IF(AND(T797,V797&lt;&gt;""),IF(COUNTIFS(V$2:V797,V797,T$2:T797,TRUE)=1,MAX(W$1:W796)+1,""),"")</f>
        <v/>
      </c>
      <c r="X797">
        <f>IF(설정!$C$14="","",IFERROR(INDEX('1.산군_붙여넣기'!$A$1:$AZ$1001,ROW(),설정!$C$14)&amp;"",""))</f>
        <v/>
      </c>
      <c r="Y797">
        <f>IF(설정!$C$15="","",IFERROR(INDEX('1.산군_붙여넣기'!$A$1:$AZ$1001,ROW(),설정!$C$15)&amp;"",""))</f>
        <v/>
      </c>
      <c r="Z797">
        <f>IF(T797,V797&amp;"|"&amp;U797,"")</f>
        <v/>
      </c>
      <c r="AA797">
        <f>IF(NOT(Q797),"",IF(NOT(AND(R797,S797)),"✕",IF(OR(OR(AND(L797&lt;&gt;"",M797&lt;&gt;"",N(M797)-N(L797)&gt;설정!$B$27),AND(L797&lt;&gt;"",M797="",설정!$B$24-N(L797)&gt;설정!$B$27)),AND(D797&lt;&gt;"",D797&lt;설정!$B$26)),"△","★")))</f>
        <v/>
      </c>
      <c r="AB797">
        <f>IF(NOT(T797),"",IF(U797="설계사",설정!$B$31,IF(U797="시공사",IF(OR(M797="",설정!$B$24-N(M797)&lt;=설정!$B$28*30.4),설정!$B$32,설정!$B$33),설정!$B$34))+IF(AA797="★",설정!$B$35,0))</f>
        <v/>
      </c>
      <c r="AC797">
        <f>SUBSTITUTE(SUBSTITUTE(SUBSTITUTE(SUBSTITUTE(H797,"(주)",""),"㈜",""),"주식회사","")," ","")</f>
        <v/>
      </c>
      <c r="AD797">
        <f>IF(AND(T797,AC797&lt;&gt;""),IF(COUNTIFS(AC$2:AC797,AC797,T$2:T797,TRUE)=1,MAX(AD$1:AD796)+1,""),"")</f>
        <v/>
      </c>
    </row>
    <row r="798">
      <c r="A798">
        <f>ROW()</f>
        <v/>
      </c>
      <c r="B798">
        <f>IF(설정!$C$4="","",IFERROR(INDEX('1.산군_붙여넣기'!$A$1:$AZ$1001,ROW(),설정!$C$4)&amp;"",""))</f>
        <v/>
      </c>
      <c r="C798">
        <f>IF(설정!$C$5="","",IFERROR(INDEX('1.산군_붙여넣기'!$A$1:$AZ$1001,ROW(),설정!$C$5)&amp;"",""))</f>
        <v/>
      </c>
      <c r="D798" s="5">
        <f>IFERROR(VALUE(SUBSTITUTE(SUBSTITUTE(SUBSTITUTE(IF(설정!$C$6="","",IFERROR(INDEX('1.산군_붙여넣기'!$A$1:$AZ$1001,ROW(),설정!$C$6)&amp;"","")),",",""),"㎡",""),"m2","")),"")</f>
        <v/>
      </c>
      <c r="E798">
        <f>IF(설정!$C$7="","",IFERROR(INDEX('1.산군_붙여넣기'!$A$1:$AZ$1001,ROW(),설정!$C$7)&amp;"",""))</f>
        <v/>
      </c>
      <c r="F798">
        <f>IF(설정!$C$8="","",IFERROR(INDEX('1.산군_붙여넣기'!$A$1:$AZ$1001,ROW(),설정!$C$8)&amp;"",""))</f>
        <v/>
      </c>
      <c r="G798">
        <f>IF(설정!$C$9="","",IFERROR(INDEX('1.산군_붙여넣기'!$A$1:$AZ$1001,ROW(),설정!$C$9)&amp;"",""))</f>
        <v/>
      </c>
      <c r="H798">
        <f>IF(설정!$C$10="","",IFERROR(INDEX('1.산군_붙여넣기'!$A$1:$AZ$1001,ROW(),설정!$C$10)&amp;"",""))</f>
        <v/>
      </c>
      <c r="I798">
        <f>IF(설정!$C$11="","",IFERROR(INDEX('1.산군_붙여넣기'!$A$1:$AZ$1001,ROW(),설정!$C$11)&amp;"",""))</f>
        <v/>
      </c>
      <c r="J798">
        <f>IF(설정!$C$12="","",IFERROR(INDEX('1.산군_붙여넣기'!$A$1:$AZ$1001,ROW(),설정!$C$12)&amp;"",""))</f>
        <v/>
      </c>
      <c r="K798">
        <f>IF(설정!$C$13="","",IFERROR(INDEX('1.산군_붙여넣기'!$A$1:$AZ$1001,ROW(),설정!$C$13)&amp;"",""))</f>
        <v/>
      </c>
      <c r="L798" s="7">
        <f>IF(X798="","",IF(AND(LEN(X798)=8,ISNUMBER(X798*1)),DATE(LEFT(X798,4),MID(X798,5,2),RIGHT(X798,2)),IFERROR(DATEVALUE(SUBSTITUTE(SUBSTITUTE(X798,".","-"),"/","-")),IFERROR(X798*1,""))))</f>
        <v/>
      </c>
      <c r="M798" s="7">
        <f>IF(Y798="","",IF(AND(LEN(Y798)=8,ISNUMBER(Y798*1)),DATE(LEFT(Y798,4),MID(Y798,5,2),RIGHT(Y798,2)),IFERROR(DATEVALUE(SUBSTITUTE(SUBSTITUTE(Y798,".","-"),"/","-")),IFERROR(Y798*1,""))))</f>
        <v/>
      </c>
      <c r="N798">
        <f>IFERROR(LEFT(B798,FIND(" ",B798)-1),B798)</f>
        <v/>
      </c>
      <c r="O798">
        <f>AND(B798&lt;&gt;"",B798&lt;&gt;설정!$B$4,C798&lt;&gt;설정!$B$5)</f>
        <v/>
      </c>
      <c r="P798">
        <f>IF(O798,B798&amp;"|"&amp;C798,"")</f>
        <v/>
      </c>
      <c r="Q798">
        <f>AND(O798,COUNTIF(P799:P$1002,P798)=0)</f>
        <v/>
      </c>
      <c r="R798">
        <f>OR(AND(설정!$A$42&lt;&gt;"",ISNUMBER(SEARCH(설정!$A$42,E798&amp;" "&amp;C798))),AND(설정!$A$43&lt;&gt;"",ISNUMBER(SEARCH(설정!$A$43,E798&amp;" "&amp;C798))),AND(설정!$A$44&lt;&gt;"",ISNUMBER(SEARCH(설정!$A$44,E798&amp;" "&amp;C798))),AND(설정!$A$45&lt;&gt;"",ISNUMBER(SEARCH(설정!$A$45,E798&amp;" "&amp;C798))),AND(설정!$A$46&lt;&gt;"",ISNUMBER(SEARCH(설정!$A$46,E798&amp;" "&amp;C798))),AND(설정!$A$47&lt;&gt;"",ISNUMBER(SEARCH(설정!$A$47,E798&amp;" "&amp;C798))),AND(설정!$A$48&lt;&gt;"",ISNUMBER(SEARCH(설정!$A$48,E798&amp;" "&amp;C798))),AND(설정!$A$49&lt;&gt;"",ISNUMBER(SEARCH(설정!$A$49,E798&amp;" "&amp;C798))),AND(설정!$A$50&lt;&gt;"",ISNUMBER(SEARCH(설정!$A$50,E798&amp;" "&amp;C798))),AND(설정!$A$51&lt;&gt;"",ISNUMBER(SEARCH(설정!$A$51,E798&amp;" "&amp;C798))))</f>
        <v/>
      </c>
      <c r="S798">
        <f>OR(D798="",D798&gt;=설정!$B$19)</f>
        <v/>
      </c>
      <c r="T798">
        <f>AND(Q798,R798,S798)</f>
        <v/>
      </c>
      <c r="U798">
        <f>IF(T798,IF(AND(설정!$A$54&lt;&gt;"",ISNUMBER(SEARCH(설정!$A$54,K798))),설정!$B$54,IF(AND(설정!$A$55&lt;&gt;"",ISNUMBER(SEARCH(설정!$A$55,K798))),설정!$B$55,IF(AND(설정!$A$56&lt;&gt;"",ISNUMBER(SEARCH(설정!$A$56,K798))),설정!$B$56,IF(AND(설정!$A$57&lt;&gt;"",ISNUMBER(SEARCH(설정!$A$57,K798))),설정!$B$57,IF(AND(설정!$A$58&lt;&gt;"",ISNUMBER(SEARCH(설정!$A$58,K798))),설정!$B$58,IF(AND(설정!$A$59&lt;&gt;"",ISNUMBER(SEARCH(설정!$A$59,K798))),설정!$B$59,IF(AND(설정!$A$60&lt;&gt;"",ISNUMBER(SEARCH(설정!$A$60,K798))),설정!$B$60,IF(AND(설정!$A$61&lt;&gt;"",ISNUMBER(SEARCH(설정!$A$61,K798))),설정!$B$61,IF(M798="","설계사","시공사"))))))))),"")</f>
        <v/>
      </c>
      <c r="V798">
        <f>SUBSTITUTE(SUBSTITUTE(SUBSTITUTE(SUBSTITUTE(G798,"(주)",""),"㈜",""),"주식회사","")," ","")</f>
        <v/>
      </c>
      <c r="W798">
        <f>IF(AND(T798,V798&lt;&gt;""),IF(COUNTIFS(V$2:V798,V798,T$2:T798,TRUE)=1,MAX(W$1:W797)+1,""),"")</f>
        <v/>
      </c>
      <c r="X798">
        <f>IF(설정!$C$14="","",IFERROR(INDEX('1.산군_붙여넣기'!$A$1:$AZ$1001,ROW(),설정!$C$14)&amp;"",""))</f>
        <v/>
      </c>
      <c r="Y798">
        <f>IF(설정!$C$15="","",IFERROR(INDEX('1.산군_붙여넣기'!$A$1:$AZ$1001,ROW(),설정!$C$15)&amp;"",""))</f>
        <v/>
      </c>
      <c r="Z798">
        <f>IF(T798,V798&amp;"|"&amp;U798,"")</f>
        <v/>
      </c>
      <c r="AA798">
        <f>IF(NOT(Q798),"",IF(NOT(AND(R798,S798)),"✕",IF(OR(OR(AND(L798&lt;&gt;"",M798&lt;&gt;"",N(M798)-N(L798)&gt;설정!$B$27),AND(L798&lt;&gt;"",M798="",설정!$B$24-N(L798)&gt;설정!$B$27)),AND(D798&lt;&gt;"",D798&lt;설정!$B$26)),"△","★")))</f>
        <v/>
      </c>
      <c r="AB798">
        <f>IF(NOT(T798),"",IF(U798="설계사",설정!$B$31,IF(U798="시공사",IF(OR(M798="",설정!$B$24-N(M798)&lt;=설정!$B$28*30.4),설정!$B$32,설정!$B$33),설정!$B$34))+IF(AA798="★",설정!$B$35,0))</f>
        <v/>
      </c>
      <c r="AC798">
        <f>SUBSTITUTE(SUBSTITUTE(SUBSTITUTE(SUBSTITUTE(H798,"(주)",""),"㈜",""),"주식회사","")," ","")</f>
        <v/>
      </c>
      <c r="AD798">
        <f>IF(AND(T798,AC798&lt;&gt;""),IF(COUNTIFS(AC$2:AC798,AC798,T$2:T798,TRUE)=1,MAX(AD$1:AD797)+1,""),"")</f>
        <v/>
      </c>
    </row>
    <row r="799">
      <c r="A799">
        <f>ROW()</f>
        <v/>
      </c>
      <c r="B799">
        <f>IF(설정!$C$4="","",IFERROR(INDEX('1.산군_붙여넣기'!$A$1:$AZ$1001,ROW(),설정!$C$4)&amp;"",""))</f>
        <v/>
      </c>
      <c r="C799">
        <f>IF(설정!$C$5="","",IFERROR(INDEX('1.산군_붙여넣기'!$A$1:$AZ$1001,ROW(),설정!$C$5)&amp;"",""))</f>
        <v/>
      </c>
      <c r="D799" s="5">
        <f>IFERROR(VALUE(SUBSTITUTE(SUBSTITUTE(SUBSTITUTE(IF(설정!$C$6="","",IFERROR(INDEX('1.산군_붙여넣기'!$A$1:$AZ$1001,ROW(),설정!$C$6)&amp;"","")),",",""),"㎡",""),"m2","")),"")</f>
        <v/>
      </c>
      <c r="E799">
        <f>IF(설정!$C$7="","",IFERROR(INDEX('1.산군_붙여넣기'!$A$1:$AZ$1001,ROW(),설정!$C$7)&amp;"",""))</f>
        <v/>
      </c>
      <c r="F799">
        <f>IF(설정!$C$8="","",IFERROR(INDEX('1.산군_붙여넣기'!$A$1:$AZ$1001,ROW(),설정!$C$8)&amp;"",""))</f>
        <v/>
      </c>
      <c r="G799">
        <f>IF(설정!$C$9="","",IFERROR(INDEX('1.산군_붙여넣기'!$A$1:$AZ$1001,ROW(),설정!$C$9)&amp;"",""))</f>
        <v/>
      </c>
      <c r="H799">
        <f>IF(설정!$C$10="","",IFERROR(INDEX('1.산군_붙여넣기'!$A$1:$AZ$1001,ROW(),설정!$C$10)&amp;"",""))</f>
        <v/>
      </c>
      <c r="I799">
        <f>IF(설정!$C$11="","",IFERROR(INDEX('1.산군_붙여넣기'!$A$1:$AZ$1001,ROW(),설정!$C$11)&amp;"",""))</f>
        <v/>
      </c>
      <c r="J799">
        <f>IF(설정!$C$12="","",IFERROR(INDEX('1.산군_붙여넣기'!$A$1:$AZ$1001,ROW(),설정!$C$12)&amp;"",""))</f>
        <v/>
      </c>
      <c r="K799">
        <f>IF(설정!$C$13="","",IFERROR(INDEX('1.산군_붙여넣기'!$A$1:$AZ$1001,ROW(),설정!$C$13)&amp;"",""))</f>
        <v/>
      </c>
      <c r="L799" s="7">
        <f>IF(X799="","",IF(AND(LEN(X799)=8,ISNUMBER(X799*1)),DATE(LEFT(X799,4),MID(X799,5,2),RIGHT(X799,2)),IFERROR(DATEVALUE(SUBSTITUTE(SUBSTITUTE(X799,".","-"),"/","-")),IFERROR(X799*1,""))))</f>
        <v/>
      </c>
      <c r="M799" s="7">
        <f>IF(Y799="","",IF(AND(LEN(Y799)=8,ISNUMBER(Y799*1)),DATE(LEFT(Y799,4),MID(Y799,5,2),RIGHT(Y799,2)),IFERROR(DATEVALUE(SUBSTITUTE(SUBSTITUTE(Y799,".","-"),"/","-")),IFERROR(Y799*1,""))))</f>
        <v/>
      </c>
      <c r="N799">
        <f>IFERROR(LEFT(B799,FIND(" ",B799)-1),B799)</f>
        <v/>
      </c>
      <c r="O799">
        <f>AND(B799&lt;&gt;"",B799&lt;&gt;설정!$B$4,C799&lt;&gt;설정!$B$5)</f>
        <v/>
      </c>
      <c r="P799">
        <f>IF(O799,B799&amp;"|"&amp;C799,"")</f>
        <v/>
      </c>
      <c r="Q799">
        <f>AND(O799,COUNTIF(P800:P$1002,P799)=0)</f>
        <v/>
      </c>
      <c r="R799">
        <f>OR(AND(설정!$A$42&lt;&gt;"",ISNUMBER(SEARCH(설정!$A$42,E799&amp;" "&amp;C799))),AND(설정!$A$43&lt;&gt;"",ISNUMBER(SEARCH(설정!$A$43,E799&amp;" "&amp;C799))),AND(설정!$A$44&lt;&gt;"",ISNUMBER(SEARCH(설정!$A$44,E799&amp;" "&amp;C799))),AND(설정!$A$45&lt;&gt;"",ISNUMBER(SEARCH(설정!$A$45,E799&amp;" "&amp;C799))),AND(설정!$A$46&lt;&gt;"",ISNUMBER(SEARCH(설정!$A$46,E799&amp;" "&amp;C799))),AND(설정!$A$47&lt;&gt;"",ISNUMBER(SEARCH(설정!$A$47,E799&amp;" "&amp;C799))),AND(설정!$A$48&lt;&gt;"",ISNUMBER(SEARCH(설정!$A$48,E799&amp;" "&amp;C799))),AND(설정!$A$49&lt;&gt;"",ISNUMBER(SEARCH(설정!$A$49,E799&amp;" "&amp;C799))),AND(설정!$A$50&lt;&gt;"",ISNUMBER(SEARCH(설정!$A$50,E799&amp;" "&amp;C799))),AND(설정!$A$51&lt;&gt;"",ISNUMBER(SEARCH(설정!$A$51,E799&amp;" "&amp;C799))))</f>
        <v/>
      </c>
      <c r="S799">
        <f>OR(D799="",D799&gt;=설정!$B$19)</f>
        <v/>
      </c>
      <c r="T799">
        <f>AND(Q799,R799,S799)</f>
        <v/>
      </c>
      <c r="U799">
        <f>IF(T799,IF(AND(설정!$A$54&lt;&gt;"",ISNUMBER(SEARCH(설정!$A$54,K799))),설정!$B$54,IF(AND(설정!$A$55&lt;&gt;"",ISNUMBER(SEARCH(설정!$A$55,K799))),설정!$B$55,IF(AND(설정!$A$56&lt;&gt;"",ISNUMBER(SEARCH(설정!$A$56,K799))),설정!$B$56,IF(AND(설정!$A$57&lt;&gt;"",ISNUMBER(SEARCH(설정!$A$57,K799))),설정!$B$57,IF(AND(설정!$A$58&lt;&gt;"",ISNUMBER(SEARCH(설정!$A$58,K799))),설정!$B$58,IF(AND(설정!$A$59&lt;&gt;"",ISNUMBER(SEARCH(설정!$A$59,K799))),설정!$B$59,IF(AND(설정!$A$60&lt;&gt;"",ISNUMBER(SEARCH(설정!$A$60,K799))),설정!$B$60,IF(AND(설정!$A$61&lt;&gt;"",ISNUMBER(SEARCH(설정!$A$61,K799))),설정!$B$61,IF(M799="","설계사","시공사"))))))))),"")</f>
        <v/>
      </c>
      <c r="V799">
        <f>SUBSTITUTE(SUBSTITUTE(SUBSTITUTE(SUBSTITUTE(G799,"(주)",""),"㈜",""),"주식회사","")," ","")</f>
        <v/>
      </c>
      <c r="W799">
        <f>IF(AND(T799,V799&lt;&gt;""),IF(COUNTIFS(V$2:V799,V799,T$2:T799,TRUE)=1,MAX(W$1:W798)+1,""),"")</f>
        <v/>
      </c>
      <c r="X799">
        <f>IF(설정!$C$14="","",IFERROR(INDEX('1.산군_붙여넣기'!$A$1:$AZ$1001,ROW(),설정!$C$14)&amp;"",""))</f>
        <v/>
      </c>
      <c r="Y799">
        <f>IF(설정!$C$15="","",IFERROR(INDEX('1.산군_붙여넣기'!$A$1:$AZ$1001,ROW(),설정!$C$15)&amp;"",""))</f>
        <v/>
      </c>
      <c r="Z799">
        <f>IF(T799,V799&amp;"|"&amp;U799,"")</f>
        <v/>
      </c>
      <c r="AA799">
        <f>IF(NOT(Q799),"",IF(NOT(AND(R799,S799)),"✕",IF(OR(OR(AND(L799&lt;&gt;"",M799&lt;&gt;"",N(M799)-N(L799)&gt;설정!$B$27),AND(L799&lt;&gt;"",M799="",설정!$B$24-N(L799)&gt;설정!$B$27)),AND(D799&lt;&gt;"",D799&lt;설정!$B$26)),"△","★")))</f>
        <v/>
      </c>
      <c r="AB799">
        <f>IF(NOT(T799),"",IF(U799="설계사",설정!$B$31,IF(U799="시공사",IF(OR(M799="",설정!$B$24-N(M799)&lt;=설정!$B$28*30.4),설정!$B$32,설정!$B$33),설정!$B$34))+IF(AA799="★",설정!$B$35,0))</f>
        <v/>
      </c>
      <c r="AC799">
        <f>SUBSTITUTE(SUBSTITUTE(SUBSTITUTE(SUBSTITUTE(H799,"(주)",""),"㈜",""),"주식회사","")," ","")</f>
        <v/>
      </c>
      <c r="AD799">
        <f>IF(AND(T799,AC799&lt;&gt;""),IF(COUNTIFS(AC$2:AC799,AC799,T$2:T799,TRUE)=1,MAX(AD$1:AD798)+1,""),"")</f>
        <v/>
      </c>
    </row>
    <row r="800">
      <c r="A800">
        <f>ROW()</f>
        <v/>
      </c>
      <c r="B800">
        <f>IF(설정!$C$4="","",IFERROR(INDEX('1.산군_붙여넣기'!$A$1:$AZ$1001,ROW(),설정!$C$4)&amp;"",""))</f>
        <v/>
      </c>
      <c r="C800">
        <f>IF(설정!$C$5="","",IFERROR(INDEX('1.산군_붙여넣기'!$A$1:$AZ$1001,ROW(),설정!$C$5)&amp;"",""))</f>
        <v/>
      </c>
      <c r="D800" s="5">
        <f>IFERROR(VALUE(SUBSTITUTE(SUBSTITUTE(SUBSTITUTE(IF(설정!$C$6="","",IFERROR(INDEX('1.산군_붙여넣기'!$A$1:$AZ$1001,ROW(),설정!$C$6)&amp;"","")),",",""),"㎡",""),"m2","")),"")</f>
        <v/>
      </c>
      <c r="E800">
        <f>IF(설정!$C$7="","",IFERROR(INDEX('1.산군_붙여넣기'!$A$1:$AZ$1001,ROW(),설정!$C$7)&amp;"",""))</f>
        <v/>
      </c>
      <c r="F800">
        <f>IF(설정!$C$8="","",IFERROR(INDEX('1.산군_붙여넣기'!$A$1:$AZ$1001,ROW(),설정!$C$8)&amp;"",""))</f>
        <v/>
      </c>
      <c r="G800">
        <f>IF(설정!$C$9="","",IFERROR(INDEX('1.산군_붙여넣기'!$A$1:$AZ$1001,ROW(),설정!$C$9)&amp;"",""))</f>
        <v/>
      </c>
      <c r="H800">
        <f>IF(설정!$C$10="","",IFERROR(INDEX('1.산군_붙여넣기'!$A$1:$AZ$1001,ROW(),설정!$C$10)&amp;"",""))</f>
        <v/>
      </c>
      <c r="I800">
        <f>IF(설정!$C$11="","",IFERROR(INDEX('1.산군_붙여넣기'!$A$1:$AZ$1001,ROW(),설정!$C$11)&amp;"",""))</f>
        <v/>
      </c>
      <c r="J800">
        <f>IF(설정!$C$12="","",IFERROR(INDEX('1.산군_붙여넣기'!$A$1:$AZ$1001,ROW(),설정!$C$12)&amp;"",""))</f>
        <v/>
      </c>
      <c r="K800">
        <f>IF(설정!$C$13="","",IFERROR(INDEX('1.산군_붙여넣기'!$A$1:$AZ$1001,ROW(),설정!$C$13)&amp;"",""))</f>
        <v/>
      </c>
      <c r="L800" s="7">
        <f>IF(X800="","",IF(AND(LEN(X800)=8,ISNUMBER(X800*1)),DATE(LEFT(X800,4),MID(X800,5,2),RIGHT(X800,2)),IFERROR(DATEVALUE(SUBSTITUTE(SUBSTITUTE(X800,".","-"),"/","-")),IFERROR(X800*1,""))))</f>
        <v/>
      </c>
      <c r="M800" s="7">
        <f>IF(Y800="","",IF(AND(LEN(Y800)=8,ISNUMBER(Y800*1)),DATE(LEFT(Y800,4),MID(Y800,5,2),RIGHT(Y800,2)),IFERROR(DATEVALUE(SUBSTITUTE(SUBSTITUTE(Y800,".","-"),"/","-")),IFERROR(Y800*1,""))))</f>
        <v/>
      </c>
      <c r="N800">
        <f>IFERROR(LEFT(B800,FIND(" ",B800)-1),B800)</f>
        <v/>
      </c>
      <c r="O800">
        <f>AND(B800&lt;&gt;"",B800&lt;&gt;설정!$B$4,C800&lt;&gt;설정!$B$5)</f>
        <v/>
      </c>
      <c r="P800">
        <f>IF(O800,B800&amp;"|"&amp;C800,"")</f>
        <v/>
      </c>
      <c r="Q800">
        <f>AND(O800,COUNTIF(P801:P$1002,P800)=0)</f>
        <v/>
      </c>
      <c r="R800">
        <f>OR(AND(설정!$A$42&lt;&gt;"",ISNUMBER(SEARCH(설정!$A$42,E800&amp;" "&amp;C800))),AND(설정!$A$43&lt;&gt;"",ISNUMBER(SEARCH(설정!$A$43,E800&amp;" "&amp;C800))),AND(설정!$A$44&lt;&gt;"",ISNUMBER(SEARCH(설정!$A$44,E800&amp;" "&amp;C800))),AND(설정!$A$45&lt;&gt;"",ISNUMBER(SEARCH(설정!$A$45,E800&amp;" "&amp;C800))),AND(설정!$A$46&lt;&gt;"",ISNUMBER(SEARCH(설정!$A$46,E800&amp;" "&amp;C800))),AND(설정!$A$47&lt;&gt;"",ISNUMBER(SEARCH(설정!$A$47,E800&amp;" "&amp;C800))),AND(설정!$A$48&lt;&gt;"",ISNUMBER(SEARCH(설정!$A$48,E800&amp;" "&amp;C800))),AND(설정!$A$49&lt;&gt;"",ISNUMBER(SEARCH(설정!$A$49,E800&amp;" "&amp;C800))),AND(설정!$A$50&lt;&gt;"",ISNUMBER(SEARCH(설정!$A$50,E800&amp;" "&amp;C800))),AND(설정!$A$51&lt;&gt;"",ISNUMBER(SEARCH(설정!$A$51,E800&amp;" "&amp;C800))))</f>
        <v/>
      </c>
      <c r="S800">
        <f>OR(D800="",D800&gt;=설정!$B$19)</f>
        <v/>
      </c>
      <c r="T800">
        <f>AND(Q800,R800,S800)</f>
        <v/>
      </c>
      <c r="U800">
        <f>IF(T800,IF(AND(설정!$A$54&lt;&gt;"",ISNUMBER(SEARCH(설정!$A$54,K800))),설정!$B$54,IF(AND(설정!$A$55&lt;&gt;"",ISNUMBER(SEARCH(설정!$A$55,K800))),설정!$B$55,IF(AND(설정!$A$56&lt;&gt;"",ISNUMBER(SEARCH(설정!$A$56,K800))),설정!$B$56,IF(AND(설정!$A$57&lt;&gt;"",ISNUMBER(SEARCH(설정!$A$57,K800))),설정!$B$57,IF(AND(설정!$A$58&lt;&gt;"",ISNUMBER(SEARCH(설정!$A$58,K800))),설정!$B$58,IF(AND(설정!$A$59&lt;&gt;"",ISNUMBER(SEARCH(설정!$A$59,K800))),설정!$B$59,IF(AND(설정!$A$60&lt;&gt;"",ISNUMBER(SEARCH(설정!$A$60,K800))),설정!$B$60,IF(AND(설정!$A$61&lt;&gt;"",ISNUMBER(SEARCH(설정!$A$61,K800))),설정!$B$61,IF(M800="","설계사","시공사"))))))))),"")</f>
        <v/>
      </c>
      <c r="V800">
        <f>SUBSTITUTE(SUBSTITUTE(SUBSTITUTE(SUBSTITUTE(G800,"(주)",""),"㈜",""),"주식회사","")," ","")</f>
        <v/>
      </c>
      <c r="W800">
        <f>IF(AND(T800,V800&lt;&gt;""),IF(COUNTIFS(V$2:V800,V800,T$2:T800,TRUE)=1,MAX(W$1:W799)+1,""),"")</f>
        <v/>
      </c>
      <c r="X800">
        <f>IF(설정!$C$14="","",IFERROR(INDEX('1.산군_붙여넣기'!$A$1:$AZ$1001,ROW(),설정!$C$14)&amp;"",""))</f>
        <v/>
      </c>
      <c r="Y800">
        <f>IF(설정!$C$15="","",IFERROR(INDEX('1.산군_붙여넣기'!$A$1:$AZ$1001,ROW(),설정!$C$15)&amp;"",""))</f>
        <v/>
      </c>
      <c r="Z800">
        <f>IF(T800,V800&amp;"|"&amp;U800,"")</f>
        <v/>
      </c>
      <c r="AA800">
        <f>IF(NOT(Q800),"",IF(NOT(AND(R800,S800)),"✕",IF(OR(OR(AND(L800&lt;&gt;"",M800&lt;&gt;"",N(M800)-N(L800)&gt;설정!$B$27),AND(L800&lt;&gt;"",M800="",설정!$B$24-N(L800)&gt;설정!$B$27)),AND(D800&lt;&gt;"",D800&lt;설정!$B$26)),"△","★")))</f>
        <v/>
      </c>
      <c r="AB800">
        <f>IF(NOT(T800),"",IF(U800="설계사",설정!$B$31,IF(U800="시공사",IF(OR(M800="",설정!$B$24-N(M800)&lt;=설정!$B$28*30.4),설정!$B$32,설정!$B$33),설정!$B$34))+IF(AA800="★",설정!$B$35,0))</f>
        <v/>
      </c>
      <c r="AC800">
        <f>SUBSTITUTE(SUBSTITUTE(SUBSTITUTE(SUBSTITUTE(H800,"(주)",""),"㈜",""),"주식회사","")," ","")</f>
        <v/>
      </c>
      <c r="AD800">
        <f>IF(AND(T800,AC800&lt;&gt;""),IF(COUNTIFS(AC$2:AC800,AC800,T$2:T800,TRUE)=1,MAX(AD$1:AD799)+1,""),"")</f>
        <v/>
      </c>
    </row>
    <row r="801">
      <c r="A801">
        <f>ROW()</f>
        <v/>
      </c>
      <c r="B801">
        <f>IF(설정!$C$4="","",IFERROR(INDEX('1.산군_붙여넣기'!$A$1:$AZ$1001,ROW(),설정!$C$4)&amp;"",""))</f>
        <v/>
      </c>
      <c r="C801">
        <f>IF(설정!$C$5="","",IFERROR(INDEX('1.산군_붙여넣기'!$A$1:$AZ$1001,ROW(),설정!$C$5)&amp;"",""))</f>
        <v/>
      </c>
      <c r="D801" s="5">
        <f>IFERROR(VALUE(SUBSTITUTE(SUBSTITUTE(SUBSTITUTE(IF(설정!$C$6="","",IFERROR(INDEX('1.산군_붙여넣기'!$A$1:$AZ$1001,ROW(),설정!$C$6)&amp;"","")),",",""),"㎡",""),"m2","")),"")</f>
        <v/>
      </c>
      <c r="E801">
        <f>IF(설정!$C$7="","",IFERROR(INDEX('1.산군_붙여넣기'!$A$1:$AZ$1001,ROW(),설정!$C$7)&amp;"",""))</f>
        <v/>
      </c>
      <c r="F801">
        <f>IF(설정!$C$8="","",IFERROR(INDEX('1.산군_붙여넣기'!$A$1:$AZ$1001,ROW(),설정!$C$8)&amp;"",""))</f>
        <v/>
      </c>
      <c r="G801">
        <f>IF(설정!$C$9="","",IFERROR(INDEX('1.산군_붙여넣기'!$A$1:$AZ$1001,ROW(),설정!$C$9)&amp;"",""))</f>
        <v/>
      </c>
      <c r="H801">
        <f>IF(설정!$C$10="","",IFERROR(INDEX('1.산군_붙여넣기'!$A$1:$AZ$1001,ROW(),설정!$C$10)&amp;"",""))</f>
        <v/>
      </c>
      <c r="I801">
        <f>IF(설정!$C$11="","",IFERROR(INDEX('1.산군_붙여넣기'!$A$1:$AZ$1001,ROW(),설정!$C$11)&amp;"",""))</f>
        <v/>
      </c>
      <c r="J801">
        <f>IF(설정!$C$12="","",IFERROR(INDEX('1.산군_붙여넣기'!$A$1:$AZ$1001,ROW(),설정!$C$12)&amp;"",""))</f>
        <v/>
      </c>
      <c r="K801">
        <f>IF(설정!$C$13="","",IFERROR(INDEX('1.산군_붙여넣기'!$A$1:$AZ$1001,ROW(),설정!$C$13)&amp;"",""))</f>
        <v/>
      </c>
      <c r="L801" s="7">
        <f>IF(X801="","",IF(AND(LEN(X801)=8,ISNUMBER(X801*1)),DATE(LEFT(X801,4),MID(X801,5,2),RIGHT(X801,2)),IFERROR(DATEVALUE(SUBSTITUTE(SUBSTITUTE(X801,".","-"),"/","-")),IFERROR(X801*1,""))))</f>
        <v/>
      </c>
      <c r="M801" s="7">
        <f>IF(Y801="","",IF(AND(LEN(Y801)=8,ISNUMBER(Y801*1)),DATE(LEFT(Y801,4),MID(Y801,5,2),RIGHT(Y801,2)),IFERROR(DATEVALUE(SUBSTITUTE(SUBSTITUTE(Y801,".","-"),"/","-")),IFERROR(Y801*1,""))))</f>
        <v/>
      </c>
      <c r="N801">
        <f>IFERROR(LEFT(B801,FIND(" ",B801)-1),B801)</f>
        <v/>
      </c>
      <c r="O801">
        <f>AND(B801&lt;&gt;"",B801&lt;&gt;설정!$B$4,C801&lt;&gt;설정!$B$5)</f>
        <v/>
      </c>
      <c r="P801">
        <f>IF(O801,B801&amp;"|"&amp;C801,"")</f>
        <v/>
      </c>
      <c r="Q801">
        <f>AND(O801,COUNTIF(P802:P$1002,P801)=0)</f>
        <v/>
      </c>
      <c r="R801">
        <f>OR(AND(설정!$A$42&lt;&gt;"",ISNUMBER(SEARCH(설정!$A$42,E801&amp;" "&amp;C801))),AND(설정!$A$43&lt;&gt;"",ISNUMBER(SEARCH(설정!$A$43,E801&amp;" "&amp;C801))),AND(설정!$A$44&lt;&gt;"",ISNUMBER(SEARCH(설정!$A$44,E801&amp;" "&amp;C801))),AND(설정!$A$45&lt;&gt;"",ISNUMBER(SEARCH(설정!$A$45,E801&amp;" "&amp;C801))),AND(설정!$A$46&lt;&gt;"",ISNUMBER(SEARCH(설정!$A$46,E801&amp;" "&amp;C801))),AND(설정!$A$47&lt;&gt;"",ISNUMBER(SEARCH(설정!$A$47,E801&amp;" "&amp;C801))),AND(설정!$A$48&lt;&gt;"",ISNUMBER(SEARCH(설정!$A$48,E801&amp;" "&amp;C801))),AND(설정!$A$49&lt;&gt;"",ISNUMBER(SEARCH(설정!$A$49,E801&amp;" "&amp;C801))),AND(설정!$A$50&lt;&gt;"",ISNUMBER(SEARCH(설정!$A$50,E801&amp;" "&amp;C801))),AND(설정!$A$51&lt;&gt;"",ISNUMBER(SEARCH(설정!$A$51,E801&amp;" "&amp;C801))))</f>
        <v/>
      </c>
      <c r="S801">
        <f>OR(D801="",D801&gt;=설정!$B$19)</f>
        <v/>
      </c>
      <c r="T801">
        <f>AND(Q801,R801,S801)</f>
        <v/>
      </c>
      <c r="U801">
        <f>IF(T801,IF(AND(설정!$A$54&lt;&gt;"",ISNUMBER(SEARCH(설정!$A$54,K801))),설정!$B$54,IF(AND(설정!$A$55&lt;&gt;"",ISNUMBER(SEARCH(설정!$A$55,K801))),설정!$B$55,IF(AND(설정!$A$56&lt;&gt;"",ISNUMBER(SEARCH(설정!$A$56,K801))),설정!$B$56,IF(AND(설정!$A$57&lt;&gt;"",ISNUMBER(SEARCH(설정!$A$57,K801))),설정!$B$57,IF(AND(설정!$A$58&lt;&gt;"",ISNUMBER(SEARCH(설정!$A$58,K801))),설정!$B$58,IF(AND(설정!$A$59&lt;&gt;"",ISNUMBER(SEARCH(설정!$A$59,K801))),설정!$B$59,IF(AND(설정!$A$60&lt;&gt;"",ISNUMBER(SEARCH(설정!$A$60,K801))),설정!$B$60,IF(AND(설정!$A$61&lt;&gt;"",ISNUMBER(SEARCH(설정!$A$61,K801))),설정!$B$61,IF(M801="","설계사","시공사"))))))))),"")</f>
        <v/>
      </c>
      <c r="V801">
        <f>SUBSTITUTE(SUBSTITUTE(SUBSTITUTE(SUBSTITUTE(G801,"(주)",""),"㈜",""),"주식회사","")," ","")</f>
        <v/>
      </c>
      <c r="W801">
        <f>IF(AND(T801,V801&lt;&gt;""),IF(COUNTIFS(V$2:V801,V801,T$2:T801,TRUE)=1,MAX(W$1:W800)+1,""),"")</f>
        <v/>
      </c>
      <c r="X801">
        <f>IF(설정!$C$14="","",IFERROR(INDEX('1.산군_붙여넣기'!$A$1:$AZ$1001,ROW(),설정!$C$14)&amp;"",""))</f>
        <v/>
      </c>
      <c r="Y801">
        <f>IF(설정!$C$15="","",IFERROR(INDEX('1.산군_붙여넣기'!$A$1:$AZ$1001,ROW(),설정!$C$15)&amp;"",""))</f>
        <v/>
      </c>
      <c r="Z801">
        <f>IF(T801,V801&amp;"|"&amp;U801,"")</f>
        <v/>
      </c>
      <c r="AA801">
        <f>IF(NOT(Q801),"",IF(NOT(AND(R801,S801)),"✕",IF(OR(OR(AND(L801&lt;&gt;"",M801&lt;&gt;"",N(M801)-N(L801)&gt;설정!$B$27),AND(L801&lt;&gt;"",M801="",설정!$B$24-N(L801)&gt;설정!$B$27)),AND(D801&lt;&gt;"",D801&lt;설정!$B$26)),"△","★")))</f>
        <v/>
      </c>
      <c r="AB801">
        <f>IF(NOT(T801),"",IF(U801="설계사",설정!$B$31,IF(U801="시공사",IF(OR(M801="",설정!$B$24-N(M801)&lt;=설정!$B$28*30.4),설정!$B$32,설정!$B$33),설정!$B$34))+IF(AA801="★",설정!$B$35,0))</f>
        <v/>
      </c>
      <c r="AC801">
        <f>SUBSTITUTE(SUBSTITUTE(SUBSTITUTE(SUBSTITUTE(H801,"(주)",""),"㈜",""),"주식회사","")," ","")</f>
        <v/>
      </c>
      <c r="AD801">
        <f>IF(AND(T801,AC801&lt;&gt;""),IF(COUNTIFS(AC$2:AC801,AC801,T$2:T801,TRUE)=1,MAX(AD$1:AD800)+1,""),"")</f>
        <v/>
      </c>
    </row>
    <row r="802">
      <c r="A802">
        <f>ROW()</f>
        <v/>
      </c>
      <c r="B802">
        <f>IF(설정!$C$4="","",IFERROR(INDEX('1.산군_붙여넣기'!$A$1:$AZ$1001,ROW(),설정!$C$4)&amp;"",""))</f>
        <v/>
      </c>
      <c r="C802">
        <f>IF(설정!$C$5="","",IFERROR(INDEX('1.산군_붙여넣기'!$A$1:$AZ$1001,ROW(),설정!$C$5)&amp;"",""))</f>
        <v/>
      </c>
      <c r="D802" s="5">
        <f>IFERROR(VALUE(SUBSTITUTE(SUBSTITUTE(SUBSTITUTE(IF(설정!$C$6="","",IFERROR(INDEX('1.산군_붙여넣기'!$A$1:$AZ$1001,ROW(),설정!$C$6)&amp;"","")),",",""),"㎡",""),"m2","")),"")</f>
        <v/>
      </c>
      <c r="E802">
        <f>IF(설정!$C$7="","",IFERROR(INDEX('1.산군_붙여넣기'!$A$1:$AZ$1001,ROW(),설정!$C$7)&amp;"",""))</f>
        <v/>
      </c>
      <c r="F802">
        <f>IF(설정!$C$8="","",IFERROR(INDEX('1.산군_붙여넣기'!$A$1:$AZ$1001,ROW(),설정!$C$8)&amp;"",""))</f>
        <v/>
      </c>
      <c r="G802">
        <f>IF(설정!$C$9="","",IFERROR(INDEX('1.산군_붙여넣기'!$A$1:$AZ$1001,ROW(),설정!$C$9)&amp;"",""))</f>
        <v/>
      </c>
      <c r="H802">
        <f>IF(설정!$C$10="","",IFERROR(INDEX('1.산군_붙여넣기'!$A$1:$AZ$1001,ROW(),설정!$C$10)&amp;"",""))</f>
        <v/>
      </c>
      <c r="I802">
        <f>IF(설정!$C$11="","",IFERROR(INDEX('1.산군_붙여넣기'!$A$1:$AZ$1001,ROW(),설정!$C$11)&amp;"",""))</f>
        <v/>
      </c>
      <c r="J802">
        <f>IF(설정!$C$12="","",IFERROR(INDEX('1.산군_붙여넣기'!$A$1:$AZ$1001,ROW(),설정!$C$12)&amp;"",""))</f>
        <v/>
      </c>
      <c r="K802">
        <f>IF(설정!$C$13="","",IFERROR(INDEX('1.산군_붙여넣기'!$A$1:$AZ$1001,ROW(),설정!$C$13)&amp;"",""))</f>
        <v/>
      </c>
      <c r="L802" s="7">
        <f>IF(X802="","",IF(AND(LEN(X802)=8,ISNUMBER(X802*1)),DATE(LEFT(X802,4),MID(X802,5,2),RIGHT(X802,2)),IFERROR(DATEVALUE(SUBSTITUTE(SUBSTITUTE(X802,".","-"),"/","-")),IFERROR(X802*1,""))))</f>
        <v/>
      </c>
      <c r="M802" s="7">
        <f>IF(Y802="","",IF(AND(LEN(Y802)=8,ISNUMBER(Y802*1)),DATE(LEFT(Y802,4),MID(Y802,5,2),RIGHT(Y802,2)),IFERROR(DATEVALUE(SUBSTITUTE(SUBSTITUTE(Y802,".","-"),"/","-")),IFERROR(Y802*1,""))))</f>
        <v/>
      </c>
      <c r="N802">
        <f>IFERROR(LEFT(B802,FIND(" ",B802)-1),B802)</f>
        <v/>
      </c>
      <c r="O802">
        <f>AND(B802&lt;&gt;"",B802&lt;&gt;설정!$B$4,C802&lt;&gt;설정!$B$5)</f>
        <v/>
      </c>
      <c r="P802">
        <f>IF(O802,B802&amp;"|"&amp;C802,"")</f>
        <v/>
      </c>
      <c r="Q802">
        <f>AND(O802,COUNTIF(P803:P$1002,P802)=0)</f>
        <v/>
      </c>
      <c r="R802">
        <f>OR(AND(설정!$A$42&lt;&gt;"",ISNUMBER(SEARCH(설정!$A$42,E802&amp;" "&amp;C802))),AND(설정!$A$43&lt;&gt;"",ISNUMBER(SEARCH(설정!$A$43,E802&amp;" "&amp;C802))),AND(설정!$A$44&lt;&gt;"",ISNUMBER(SEARCH(설정!$A$44,E802&amp;" "&amp;C802))),AND(설정!$A$45&lt;&gt;"",ISNUMBER(SEARCH(설정!$A$45,E802&amp;" "&amp;C802))),AND(설정!$A$46&lt;&gt;"",ISNUMBER(SEARCH(설정!$A$46,E802&amp;" "&amp;C802))),AND(설정!$A$47&lt;&gt;"",ISNUMBER(SEARCH(설정!$A$47,E802&amp;" "&amp;C802))),AND(설정!$A$48&lt;&gt;"",ISNUMBER(SEARCH(설정!$A$48,E802&amp;" "&amp;C802))),AND(설정!$A$49&lt;&gt;"",ISNUMBER(SEARCH(설정!$A$49,E802&amp;" "&amp;C802))),AND(설정!$A$50&lt;&gt;"",ISNUMBER(SEARCH(설정!$A$50,E802&amp;" "&amp;C802))),AND(설정!$A$51&lt;&gt;"",ISNUMBER(SEARCH(설정!$A$51,E802&amp;" "&amp;C802))))</f>
        <v/>
      </c>
      <c r="S802">
        <f>OR(D802="",D802&gt;=설정!$B$19)</f>
        <v/>
      </c>
      <c r="T802">
        <f>AND(Q802,R802,S802)</f>
        <v/>
      </c>
      <c r="U802">
        <f>IF(T802,IF(AND(설정!$A$54&lt;&gt;"",ISNUMBER(SEARCH(설정!$A$54,K802))),설정!$B$54,IF(AND(설정!$A$55&lt;&gt;"",ISNUMBER(SEARCH(설정!$A$55,K802))),설정!$B$55,IF(AND(설정!$A$56&lt;&gt;"",ISNUMBER(SEARCH(설정!$A$56,K802))),설정!$B$56,IF(AND(설정!$A$57&lt;&gt;"",ISNUMBER(SEARCH(설정!$A$57,K802))),설정!$B$57,IF(AND(설정!$A$58&lt;&gt;"",ISNUMBER(SEARCH(설정!$A$58,K802))),설정!$B$58,IF(AND(설정!$A$59&lt;&gt;"",ISNUMBER(SEARCH(설정!$A$59,K802))),설정!$B$59,IF(AND(설정!$A$60&lt;&gt;"",ISNUMBER(SEARCH(설정!$A$60,K802))),설정!$B$60,IF(AND(설정!$A$61&lt;&gt;"",ISNUMBER(SEARCH(설정!$A$61,K802))),설정!$B$61,IF(M802="","설계사","시공사"))))))))),"")</f>
        <v/>
      </c>
      <c r="V802">
        <f>SUBSTITUTE(SUBSTITUTE(SUBSTITUTE(SUBSTITUTE(G802,"(주)",""),"㈜",""),"주식회사","")," ","")</f>
        <v/>
      </c>
      <c r="W802">
        <f>IF(AND(T802,V802&lt;&gt;""),IF(COUNTIFS(V$2:V802,V802,T$2:T802,TRUE)=1,MAX(W$1:W801)+1,""),"")</f>
        <v/>
      </c>
      <c r="X802">
        <f>IF(설정!$C$14="","",IFERROR(INDEX('1.산군_붙여넣기'!$A$1:$AZ$1001,ROW(),설정!$C$14)&amp;"",""))</f>
        <v/>
      </c>
      <c r="Y802">
        <f>IF(설정!$C$15="","",IFERROR(INDEX('1.산군_붙여넣기'!$A$1:$AZ$1001,ROW(),설정!$C$15)&amp;"",""))</f>
        <v/>
      </c>
      <c r="Z802">
        <f>IF(T802,V802&amp;"|"&amp;U802,"")</f>
        <v/>
      </c>
      <c r="AA802">
        <f>IF(NOT(Q802),"",IF(NOT(AND(R802,S802)),"✕",IF(OR(OR(AND(L802&lt;&gt;"",M802&lt;&gt;"",N(M802)-N(L802)&gt;설정!$B$27),AND(L802&lt;&gt;"",M802="",설정!$B$24-N(L802)&gt;설정!$B$27)),AND(D802&lt;&gt;"",D802&lt;설정!$B$26)),"△","★")))</f>
        <v/>
      </c>
      <c r="AB802">
        <f>IF(NOT(T802),"",IF(U802="설계사",설정!$B$31,IF(U802="시공사",IF(OR(M802="",설정!$B$24-N(M802)&lt;=설정!$B$28*30.4),설정!$B$32,설정!$B$33),설정!$B$34))+IF(AA802="★",설정!$B$35,0))</f>
        <v/>
      </c>
      <c r="AC802">
        <f>SUBSTITUTE(SUBSTITUTE(SUBSTITUTE(SUBSTITUTE(H802,"(주)",""),"㈜",""),"주식회사","")," ","")</f>
        <v/>
      </c>
      <c r="AD802">
        <f>IF(AND(T802,AC802&lt;&gt;""),IF(COUNTIFS(AC$2:AC802,AC802,T$2:T802,TRUE)=1,MAX(AD$1:AD801)+1,""),"")</f>
        <v/>
      </c>
    </row>
    <row r="803">
      <c r="A803">
        <f>ROW()</f>
        <v/>
      </c>
      <c r="B803">
        <f>IF(설정!$C$4="","",IFERROR(INDEX('1.산군_붙여넣기'!$A$1:$AZ$1001,ROW(),설정!$C$4)&amp;"",""))</f>
        <v/>
      </c>
      <c r="C803">
        <f>IF(설정!$C$5="","",IFERROR(INDEX('1.산군_붙여넣기'!$A$1:$AZ$1001,ROW(),설정!$C$5)&amp;"",""))</f>
        <v/>
      </c>
      <c r="D803" s="5">
        <f>IFERROR(VALUE(SUBSTITUTE(SUBSTITUTE(SUBSTITUTE(IF(설정!$C$6="","",IFERROR(INDEX('1.산군_붙여넣기'!$A$1:$AZ$1001,ROW(),설정!$C$6)&amp;"","")),",",""),"㎡",""),"m2","")),"")</f>
        <v/>
      </c>
      <c r="E803">
        <f>IF(설정!$C$7="","",IFERROR(INDEX('1.산군_붙여넣기'!$A$1:$AZ$1001,ROW(),설정!$C$7)&amp;"",""))</f>
        <v/>
      </c>
      <c r="F803">
        <f>IF(설정!$C$8="","",IFERROR(INDEX('1.산군_붙여넣기'!$A$1:$AZ$1001,ROW(),설정!$C$8)&amp;"",""))</f>
        <v/>
      </c>
      <c r="G803">
        <f>IF(설정!$C$9="","",IFERROR(INDEX('1.산군_붙여넣기'!$A$1:$AZ$1001,ROW(),설정!$C$9)&amp;"",""))</f>
        <v/>
      </c>
      <c r="H803">
        <f>IF(설정!$C$10="","",IFERROR(INDEX('1.산군_붙여넣기'!$A$1:$AZ$1001,ROW(),설정!$C$10)&amp;"",""))</f>
        <v/>
      </c>
      <c r="I803">
        <f>IF(설정!$C$11="","",IFERROR(INDEX('1.산군_붙여넣기'!$A$1:$AZ$1001,ROW(),설정!$C$11)&amp;"",""))</f>
        <v/>
      </c>
      <c r="J803">
        <f>IF(설정!$C$12="","",IFERROR(INDEX('1.산군_붙여넣기'!$A$1:$AZ$1001,ROW(),설정!$C$12)&amp;"",""))</f>
        <v/>
      </c>
      <c r="K803">
        <f>IF(설정!$C$13="","",IFERROR(INDEX('1.산군_붙여넣기'!$A$1:$AZ$1001,ROW(),설정!$C$13)&amp;"",""))</f>
        <v/>
      </c>
      <c r="L803" s="7">
        <f>IF(X803="","",IF(AND(LEN(X803)=8,ISNUMBER(X803*1)),DATE(LEFT(X803,4),MID(X803,5,2),RIGHT(X803,2)),IFERROR(DATEVALUE(SUBSTITUTE(SUBSTITUTE(X803,".","-"),"/","-")),IFERROR(X803*1,""))))</f>
        <v/>
      </c>
      <c r="M803" s="7">
        <f>IF(Y803="","",IF(AND(LEN(Y803)=8,ISNUMBER(Y803*1)),DATE(LEFT(Y803,4),MID(Y803,5,2),RIGHT(Y803,2)),IFERROR(DATEVALUE(SUBSTITUTE(SUBSTITUTE(Y803,".","-"),"/","-")),IFERROR(Y803*1,""))))</f>
        <v/>
      </c>
      <c r="N803">
        <f>IFERROR(LEFT(B803,FIND(" ",B803)-1),B803)</f>
        <v/>
      </c>
      <c r="O803">
        <f>AND(B803&lt;&gt;"",B803&lt;&gt;설정!$B$4,C803&lt;&gt;설정!$B$5)</f>
        <v/>
      </c>
      <c r="P803">
        <f>IF(O803,B803&amp;"|"&amp;C803,"")</f>
        <v/>
      </c>
      <c r="Q803">
        <f>AND(O803,COUNTIF(P804:P$1002,P803)=0)</f>
        <v/>
      </c>
      <c r="R803">
        <f>OR(AND(설정!$A$42&lt;&gt;"",ISNUMBER(SEARCH(설정!$A$42,E803&amp;" "&amp;C803))),AND(설정!$A$43&lt;&gt;"",ISNUMBER(SEARCH(설정!$A$43,E803&amp;" "&amp;C803))),AND(설정!$A$44&lt;&gt;"",ISNUMBER(SEARCH(설정!$A$44,E803&amp;" "&amp;C803))),AND(설정!$A$45&lt;&gt;"",ISNUMBER(SEARCH(설정!$A$45,E803&amp;" "&amp;C803))),AND(설정!$A$46&lt;&gt;"",ISNUMBER(SEARCH(설정!$A$46,E803&amp;" "&amp;C803))),AND(설정!$A$47&lt;&gt;"",ISNUMBER(SEARCH(설정!$A$47,E803&amp;" "&amp;C803))),AND(설정!$A$48&lt;&gt;"",ISNUMBER(SEARCH(설정!$A$48,E803&amp;" "&amp;C803))),AND(설정!$A$49&lt;&gt;"",ISNUMBER(SEARCH(설정!$A$49,E803&amp;" "&amp;C803))),AND(설정!$A$50&lt;&gt;"",ISNUMBER(SEARCH(설정!$A$50,E803&amp;" "&amp;C803))),AND(설정!$A$51&lt;&gt;"",ISNUMBER(SEARCH(설정!$A$51,E803&amp;" "&amp;C803))))</f>
        <v/>
      </c>
      <c r="S803">
        <f>OR(D803="",D803&gt;=설정!$B$19)</f>
        <v/>
      </c>
      <c r="T803">
        <f>AND(Q803,R803,S803)</f>
        <v/>
      </c>
      <c r="U803">
        <f>IF(T803,IF(AND(설정!$A$54&lt;&gt;"",ISNUMBER(SEARCH(설정!$A$54,K803))),설정!$B$54,IF(AND(설정!$A$55&lt;&gt;"",ISNUMBER(SEARCH(설정!$A$55,K803))),설정!$B$55,IF(AND(설정!$A$56&lt;&gt;"",ISNUMBER(SEARCH(설정!$A$56,K803))),설정!$B$56,IF(AND(설정!$A$57&lt;&gt;"",ISNUMBER(SEARCH(설정!$A$57,K803))),설정!$B$57,IF(AND(설정!$A$58&lt;&gt;"",ISNUMBER(SEARCH(설정!$A$58,K803))),설정!$B$58,IF(AND(설정!$A$59&lt;&gt;"",ISNUMBER(SEARCH(설정!$A$59,K803))),설정!$B$59,IF(AND(설정!$A$60&lt;&gt;"",ISNUMBER(SEARCH(설정!$A$60,K803))),설정!$B$60,IF(AND(설정!$A$61&lt;&gt;"",ISNUMBER(SEARCH(설정!$A$61,K803))),설정!$B$61,IF(M803="","설계사","시공사"))))))))),"")</f>
        <v/>
      </c>
      <c r="V803">
        <f>SUBSTITUTE(SUBSTITUTE(SUBSTITUTE(SUBSTITUTE(G803,"(주)",""),"㈜",""),"주식회사","")," ","")</f>
        <v/>
      </c>
      <c r="W803">
        <f>IF(AND(T803,V803&lt;&gt;""),IF(COUNTIFS(V$2:V803,V803,T$2:T803,TRUE)=1,MAX(W$1:W802)+1,""),"")</f>
        <v/>
      </c>
      <c r="X803">
        <f>IF(설정!$C$14="","",IFERROR(INDEX('1.산군_붙여넣기'!$A$1:$AZ$1001,ROW(),설정!$C$14)&amp;"",""))</f>
        <v/>
      </c>
      <c r="Y803">
        <f>IF(설정!$C$15="","",IFERROR(INDEX('1.산군_붙여넣기'!$A$1:$AZ$1001,ROW(),설정!$C$15)&amp;"",""))</f>
        <v/>
      </c>
      <c r="Z803">
        <f>IF(T803,V803&amp;"|"&amp;U803,"")</f>
        <v/>
      </c>
      <c r="AA803">
        <f>IF(NOT(Q803),"",IF(NOT(AND(R803,S803)),"✕",IF(OR(OR(AND(L803&lt;&gt;"",M803&lt;&gt;"",N(M803)-N(L803)&gt;설정!$B$27),AND(L803&lt;&gt;"",M803="",설정!$B$24-N(L803)&gt;설정!$B$27)),AND(D803&lt;&gt;"",D803&lt;설정!$B$26)),"△","★")))</f>
        <v/>
      </c>
      <c r="AB803">
        <f>IF(NOT(T803),"",IF(U803="설계사",설정!$B$31,IF(U803="시공사",IF(OR(M803="",설정!$B$24-N(M803)&lt;=설정!$B$28*30.4),설정!$B$32,설정!$B$33),설정!$B$34))+IF(AA803="★",설정!$B$35,0))</f>
        <v/>
      </c>
      <c r="AC803">
        <f>SUBSTITUTE(SUBSTITUTE(SUBSTITUTE(SUBSTITUTE(H803,"(주)",""),"㈜",""),"주식회사","")," ","")</f>
        <v/>
      </c>
      <c r="AD803">
        <f>IF(AND(T803,AC803&lt;&gt;""),IF(COUNTIFS(AC$2:AC803,AC803,T$2:T803,TRUE)=1,MAX(AD$1:AD802)+1,""),"")</f>
        <v/>
      </c>
    </row>
    <row r="804">
      <c r="A804">
        <f>ROW()</f>
        <v/>
      </c>
      <c r="B804">
        <f>IF(설정!$C$4="","",IFERROR(INDEX('1.산군_붙여넣기'!$A$1:$AZ$1001,ROW(),설정!$C$4)&amp;"",""))</f>
        <v/>
      </c>
      <c r="C804">
        <f>IF(설정!$C$5="","",IFERROR(INDEX('1.산군_붙여넣기'!$A$1:$AZ$1001,ROW(),설정!$C$5)&amp;"",""))</f>
        <v/>
      </c>
      <c r="D804" s="5">
        <f>IFERROR(VALUE(SUBSTITUTE(SUBSTITUTE(SUBSTITUTE(IF(설정!$C$6="","",IFERROR(INDEX('1.산군_붙여넣기'!$A$1:$AZ$1001,ROW(),설정!$C$6)&amp;"","")),",",""),"㎡",""),"m2","")),"")</f>
        <v/>
      </c>
      <c r="E804">
        <f>IF(설정!$C$7="","",IFERROR(INDEX('1.산군_붙여넣기'!$A$1:$AZ$1001,ROW(),설정!$C$7)&amp;"",""))</f>
        <v/>
      </c>
      <c r="F804">
        <f>IF(설정!$C$8="","",IFERROR(INDEX('1.산군_붙여넣기'!$A$1:$AZ$1001,ROW(),설정!$C$8)&amp;"",""))</f>
        <v/>
      </c>
      <c r="G804">
        <f>IF(설정!$C$9="","",IFERROR(INDEX('1.산군_붙여넣기'!$A$1:$AZ$1001,ROW(),설정!$C$9)&amp;"",""))</f>
        <v/>
      </c>
      <c r="H804">
        <f>IF(설정!$C$10="","",IFERROR(INDEX('1.산군_붙여넣기'!$A$1:$AZ$1001,ROW(),설정!$C$10)&amp;"",""))</f>
        <v/>
      </c>
      <c r="I804">
        <f>IF(설정!$C$11="","",IFERROR(INDEX('1.산군_붙여넣기'!$A$1:$AZ$1001,ROW(),설정!$C$11)&amp;"",""))</f>
        <v/>
      </c>
      <c r="J804">
        <f>IF(설정!$C$12="","",IFERROR(INDEX('1.산군_붙여넣기'!$A$1:$AZ$1001,ROW(),설정!$C$12)&amp;"",""))</f>
        <v/>
      </c>
      <c r="K804">
        <f>IF(설정!$C$13="","",IFERROR(INDEX('1.산군_붙여넣기'!$A$1:$AZ$1001,ROW(),설정!$C$13)&amp;"",""))</f>
        <v/>
      </c>
      <c r="L804" s="7">
        <f>IF(X804="","",IF(AND(LEN(X804)=8,ISNUMBER(X804*1)),DATE(LEFT(X804,4),MID(X804,5,2),RIGHT(X804,2)),IFERROR(DATEVALUE(SUBSTITUTE(SUBSTITUTE(X804,".","-"),"/","-")),IFERROR(X804*1,""))))</f>
        <v/>
      </c>
      <c r="M804" s="7">
        <f>IF(Y804="","",IF(AND(LEN(Y804)=8,ISNUMBER(Y804*1)),DATE(LEFT(Y804,4),MID(Y804,5,2),RIGHT(Y804,2)),IFERROR(DATEVALUE(SUBSTITUTE(SUBSTITUTE(Y804,".","-"),"/","-")),IFERROR(Y804*1,""))))</f>
        <v/>
      </c>
      <c r="N804">
        <f>IFERROR(LEFT(B804,FIND(" ",B804)-1),B804)</f>
        <v/>
      </c>
      <c r="O804">
        <f>AND(B804&lt;&gt;"",B804&lt;&gt;설정!$B$4,C804&lt;&gt;설정!$B$5)</f>
        <v/>
      </c>
      <c r="P804">
        <f>IF(O804,B804&amp;"|"&amp;C804,"")</f>
        <v/>
      </c>
      <c r="Q804">
        <f>AND(O804,COUNTIF(P805:P$1002,P804)=0)</f>
        <v/>
      </c>
      <c r="R804">
        <f>OR(AND(설정!$A$42&lt;&gt;"",ISNUMBER(SEARCH(설정!$A$42,E804&amp;" "&amp;C804))),AND(설정!$A$43&lt;&gt;"",ISNUMBER(SEARCH(설정!$A$43,E804&amp;" "&amp;C804))),AND(설정!$A$44&lt;&gt;"",ISNUMBER(SEARCH(설정!$A$44,E804&amp;" "&amp;C804))),AND(설정!$A$45&lt;&gt;"",ISNUMBER(SEARCH(설정!$A$45,E804&amp;" "&amp;C804))),AND(설정!$A$46&lt;&gt;"",ISNUMBER(SEARCH(설정!$A$46,E804&amp;" "&amp;C804))),AND(설정!$A$47&lt;&gt;"",ISNUMBER(SEARCH(설정!$A$47,E804&amp;" "&amp;C804))),AND(설정!$A$48&lt;&gt;"",ISNUMBER(SEARCH(설정!$A$48,E804&amp;" "&amp;C804))),AND(설정!$A$49&lt;&gt;"",ISNUMBER(SEARCH(설정!$A$49,E804&amp;" "&amp;C804))),AND(설정!$A$50&lt;&gt;"",ISNUMBER(SEARCH(설정!$A$50,E804&amp;" "&amp;C804))),AND(설정!$A$51&lt;&gt;"",ISNUMBER(SEARCH(설정!$A$51,E804&amp;" "&amp;C804))))</f>
        <v/>
      </c>
      <c r="S804">
        <f>OR(D804="",D804&gt;=설정!$B$19)</f>
        <v/>
      </c>
      <c r="T804">
        <f>AND(Q804,R804,S804)</f>
        <v/>
      </c>
      <c r="U804">
        <f>IF(T804,IF(AND(설정!$A$54&lt;&gt;"",ISNUMBER(SEARCH(설정!$A$54,K804))),설정!$B$54,IF(AND(설정!$A$55&lt;&gt;"",ISNUMBER(SEARCH(설정!$A$55,K804))),설정!$B$55,IF(AND(설정!$A$56&lt;&gt;"",ISNUMBER(SEARCH(설정!$A$56,K804))),설정!$B$56,IF(AND(설정!$A$57&lt;&gt;"",ISNUMBER(SEARCH(설정!$A$57,K804))),설정!$B$57,IF(AND(설정!$A$58&lt;&gt;"",ISNUMBER(SEARCH(설정!$A$58,K804))),설정!$B$58,IF(AND(설정!$A$59&lt;&gt;"",ISNUMBER(SEARCH(설정!$A$59,K804))),설정!$B$59,IF(AND(설정!$A$60&lt;&gt;"",ISNUMBER(SEARCH(설정!$A$60,K804))),설정!$B$60,IF(AND(설정!$A$61&lt;&gt;"",ISNUMBER(SEARCH(설정!$A$61,K804))),설정!$B$61,IF(M804="","설계사","시공사"))))))))),"")</f>
        <v/>
      </c>
      <c r="V804">
        <f>SUBSTITUTE(SUBSTITUTE(SUBSTITUTE(SUBSTITUTE(G804,"(주)",""),"㈜",""),"주식회사","")," ","")</f>
        <v/>
      </c>
      <c r="W804">
        <f>IF(AND(T804,V804&lt;&gt;""),IF(COUNTIFS(V$2:V804,V804,T$2:T804,TRUE)=1,MAX(W$1:W803)+1,""),"")</f>
        <v/>
      </c>
      <c r="X804">
        <f>IF(설정!$C$14="","",IFERROR(INDEX('1.산군_붙여넣기'!$A$1:$AZ$1001,ROW(),설정!$C$14)&amp;"",""))</f>
        <v/>
      </c>
      <c r="Y804">
        <f>IF(설정!$C$15="","",IFERROR(INDEX('1.산군_붙여넣기'!$A$1:$AZ$1001,ROW(),설정!$C$15)&amp;"",""))</f>
        <v/>
      </c>
      <c r="Z804">
        <f>IF(T804,V804&amp;"|"&amp;U804,"")</f>
        <v/>
      </c>
      <c r="AA804">
        <f>IF(NOT(Q804),"",IF(NOT(AND(R804,S804)),"✕",IF(OR(OR(AND(L804&lt;&gt;"",M804&lt;&gt;"",N(M804)-N(L804)&gt;설정!$B$27),AND(L804&lt;&gt;"",M804="",설정!$B$24-N(L804)&gt;설정!$B$27)),AND(D804&lt;&gt;"",D804&lt;설정!$B$26)),"△","★")))</f>
        <v/>
      </c>
      <c r="AB804">
        <f>IF(NOT(T804),"",IF(U804="설계사",설정!$B$31,IF(U804="시공사",IF(OR(M804="",설정!$B$24-N(M804)&lt;=설정!$B$28*30.4),설정!$B$32,설정!$B$33),설정!$B$34))+IF(AA804="★",설정!$B$35,0))</f>
        <v/>
      </c>
      <c r="AC804">
        <f>SUBSTITUTE(SUBSTITUTE(SUBSTITUTE(SUBSTITUTE(H804,"(주)",""),"㈜",""),"주식회사","")," ","")</f>
        <v/>
      </c>
      <c r="AD804">
        <f>IF(AND(T804,AC804&lt;&gt;""),IF(COUNTIFS(AC$2:AC804,AC804,T$2:T804,TRUE)=1,MAX(AD$1:AD803)+1,""),"")</f>
        <v/>
      </c>
    </row>
    <row r="805">
      <c r="A805">
        <f>ROW()</f>
        <v/>
      </c>
      <c r="B805">
        <f>IF(설정!$C$4="","",IFERROR(INDEX('1.산군_붙여넣기'!$A$1:$AZ$1001,ROW(),설정!$C$4)&amp;"",""))</f>
        <v/>
      </c>
      <c r="C805">
        <f>IF(설정!$C$5="","",IFERROR(INDEX('1.산군_붙여넣기'!$A$1:$AZ$1001,ROW(),설정!$C$5)&amp;"",""))</f>
        <v/>
      </c>
      <c r="D805" s="5">
        <f>IFERROR(VALUE(SUBSTITUTE(SUBSTITUTE(SUBSTITUTE(IF(설정!$C$6="","",IFERROR(INDEX('1.산군_붙여넣기'!$A$1:$AZ$1001,ROW(),설정!$C$6)&amp;"","")),",",""),"㎡",""),"m2","")),"")</f>
        <v/>
      </c>
      <c r="E805">
        <f>IF(설정!$C$7="","",IFERROR(INDEX('1.산군_붙여넣기'!$A$1:$AZ$1001,ROW(),설정!$C$7)&amp;"",""))</f>
        <v/>
      </c>
      <c r="F805">
        <f>IF(설정!$C$8="","",IFERROR(INDEX('1.산군_붙여넣기'!$A$1:$AZ$1001,ROW(),설정!$C$8)&amp;"",""))</f>
        <v/>
      </c>
      <c r="G805">
        <f>IF(설정!$C$9="","",IFERROR(INDEX('1.산군_붙여넣기'!$A$1:$AZ$1001,ROW(),설정!$C$9)&amp;"",""))</f>
        <v/>
      </c>
      <c r="H805">
        <f>IF(설정!$C$10="","",IFERROR(INDEX('1.산군_붙여넣기'!$A$1:$AZ$1001,ROW(),설정!$C$10)&amp;"",""))</f>
        <v/>
      </c>
      <c r="I805">
        <f>IF(설정!$C$11="","",IFERROR(INDEX('1.산군_붙여넣기'!$A$1:$AZ$1001,ROW(),설정!$C$11)&amp;"",""))</f>
        <v/>
      </c>
      <c r="J805">
        <f>IF(설정!$C$12="","",IFERROR(INDEX('1.산군_붙여넣기'!$A$1:$AZ$1001,ROW(),설정!$C$12)&amp;"",""))</f>
        <v/>
      </c>
      <c r="K805">
        <f>IF(설정!$C$13="","",IFERROR(INDEX('1.산군_붙여넣기'!$A$1:$AZ$1001,ROW(),설정!$C$13)&amp;"",""))</f>
        <v/>
      </c>
      <c r="L805" s="7">
        <f>IF(X805="","",IF(AND(LEN(X805)=8,ISNUMBER(X805*1)),DATE(LEFT(X805,4),MID(X805,5,2),RIGHT(X805,2)),IFERROR(DATEVALUE(SUBSTITUTE(SUBSTITUTE(X805,".","-"),"/","-")),IFERROR(X805*1,""))))</f>
        <v/>
      </c>
      <c r="M805" s="7">
        <f>IF(Y805="","",IF(AND(LEN(Y805)=8,ISNUMBER(Y805*1)),DATE(LEFT(Y805,4),MID(Y805,5,2),RIGHT(Y805,2)),IFERROR(DATEVALUE(SUBSTITUTE(SUBSTITUTE(Y805,".","-"),"/","-")),IFERROR(Y805*1,""))))</f>
        <v/>
      </c>
      <c r="N805">
        <f>IFERROR(LEFT(B805,FIND(" ",B805)-1),B805)</f>
        <v/>
      </c>
      <c r="O805">
        <f>AND(B805&lt;&gt;"",B805&lt;&gt;설정!$B$4,C805&lt;&gt;설정!$B$5)</f>
        <v/>
      </c>
      <c r="P805">
        <f>IF(O805,B805&amp;"|"&amp;C805,"")</f>
        <v/>
      </c>
      <c r="Q805">
        <f>AND(O805,COUNTIF(P806:P$1002,P805)=0)</f>
        <v/>
      </c>
      <c r="R805">
        <f>OR(AND(설정!$A$42&lt;&gt;"",ISNUMBER(SEARCH(설정!$A$42,E805&amp;" "&amp;C805))),AND(설정!$A$43&lt;&gt;"",ISNUMBER(SEARCH(설정!$A$43,E805&amp;" "&amp;C805))),AND(설정!$A$44&lt;&gt;"",ISNUMBER(SEARCH(설정!$A$44,E805&amp;" "&amp;C805))),AND(설정!$A$45&lt;&gt;"",ISNUMBER(SEARCH(설정!$A$45,E805&amp;" "&amp;C805))),AND(설정!$A$46&lt;&gt;"",ISNUMBER(SEARCH(설정!$A$46,E805&amp;" "&amp;C805))),AND(설정!$A$47&lt;&gt;"",ISNUMBER(SEARCH(설정!$A$47,E805&amp;" "&amp;C805))),AND(설정!$A$48&lt;&gt;"",ISNUMBER(SEARCH(설정!$A$48,E805&amp;" "&amp;C805))),AND(설정!$A$49&lt;&gt;"",ISNUMBER(SEARCH(설정!$A$49,E805&amp;" "&amp;C805))),AND(설정!$A$50&lt;&gt;"",ISNUMBER(SEARCH(설정!$A$50,E805&amp;" "&amp;C805))),AND(설정!$A$51&lt;&gt;"",ISNUMBER(SEARCH(설정!$A$51,E805&amp;" "&amp;C805))))</f>
        <v/>
      </c>
      <c r="S805">
        <f>OR(D805="",D805&gt;=설정!$B$19)</f>
        <v/>
      </c>
      <c r="T805">
        <f>AND(Q805,R805,S805)</f>
        <v/>
      </c>
      <c r="U805">
        <f>IF(T805,IF(AND(설정!$A$54&lt;&gt;"",ISNUMBER(SEARCH(설정!$A$54,K805))),설정!$B$54,IF(AND(설정!$A$55&lt;&gt;"",ISNUMBER(SEARCH(설정!$A$55,K805))),설정!$B$55,IF(AND(설정!$A$56&lt;&gt;"",ISNUMBER(SEARCH(설정!$A$56,K805))),설정!$B$56,IF(AND(설정!$A$57&lt;&gt;"",ISNUMBER(SEARCH(설정!$A$57,K805))),설정!$B$57,IF(AND(설정!$A$58&lt;&gt;"",ISNUMBER(SEARCH(설정!$A$58,K805))),설정!$B$58,IF(AND(설정!$A$59&lt;&gt;"",ISNUMBER(SEARCH(설정!$A$59,K805))),설정!$B$59,IF(AND(설정!$A$60&lt;&gt;"",ISNUMBER(SEARCH(설정!$A$60,K805))),설정!$B$60,IF(AND(설정!$A$61&lt;&gt;"",ISNUMBER(SEARCH(설정!$A$61,K805))),설정!$B$61,IF(M805="","설계사","시공사"))))))))),"")</f>
        <v/>
      </c>
      <c r="V805">
        <f>SUBSTITUTE(SUBSTITUTE(SUBSTITUTE(SUBSTITUTE(G805,"(주)",""),"㈜",""),"주식회사","")," ","")</f>
        <v/>
      </c>
      <c r="W805">
        <f>IF(AND(T805,V805&lt;&gt;""),IF(COUNTIFS(V$2:V805,V805,T$2:T805,TRUE)=1,MAX(W$1:W804)+1,""),"")</f>
        <v/>
      </c>
      <c r="X805">
        <f>IF(설정!$C$14="","",IFERROR(INDEX('1.산군_붙여넣기'!$A$1:$AZ$1001,ROW(),설정!$C$14)&amp;"",""))</f>
        <v/>
      </c>
      <c r="Y805">
        <f>IF(설정!$C$15="","",IFERROR(INDEX('1.산군_붙여넣기'!$A$1:$AZ$1001,ROW(),설정!$C$15)&amp;"",""))</f>
        <v/>
      </c>
      <c r="Z805">
        <f>IF(T805,V805&amp;"|"&amp;U805,"")</f>
        <v/>
      </c>
      <c r="AA805">
        <f>IF(NOT(Q805),"",IF(NOT(AND(R805,S805)),"✕",IF(OR(OR(AND(L805&lt;&gt;"",M805&lt;&gt;"",N(M805)-N(L805)&gt;설정!$B$27),AND(L805&lt;&gt;"",M805="",설정!$B$24-N(L805)&gt;설정!$B$27)),AND(D805&lt;&gt;"",D805&lt;설정!$B$26)),"△","★")))</f>
        <v/>
      </c>
      <c r="AB805">
        <f>IF(NOT(T805),"",IF(U805="설계사",설정!$B$31,IF(U805="시공사",IF(OR(M805="",설정!$B$24-N(M805)&lt;=설정!$B$28*30.4),설정!$B$32,설정!$B$33),설정!$B$34))+IF(AA805="★",설정!$B$35,0))</f>
        <v/>
      </c>
      <c r="AC805">
        <f>SUBSTITUTE(SUBSTITUTE(SUBSTITUTE(SUBSTITUTE(H805,"(주)",""),"㈜",""),"주식회사","")," ","")</f>
        <v/>
      </c>
      <c r="AD805">
        <f>IF(AND(T805,AC805&lt;&gt;""),IF(COUNTIFS(AC$2:AC805,AC805,T$2:T805,TRUE)=1,MAX(AD$1:AD804)+1,""),"")</f>
        <v/>
      </c>
    </row>
    <row r="806">
      <c r="A806">
        <f>ROW()</f>
        <v/>
      </c>
      <c r="B806">
        <f>IF(설정!$C$4="","",IFERROR(INDEX('1.산군_붙여넣기'!$A$1:$AZ$1001,ROW(),설정!$C$4)&amp;"",""))</f>
        <v/>
      </c>
      <c r="C806">
        <f>IF(설정!$C$5="","",IFERROR(INDEX('1.산군_붙여넣기'!$A$1:$AZ$1001,ROW(),설정!$C$5)&amp;"",""))</f>
        <v/>
      </c>
      <c r="D806" s="5">
        <f>IFERROR(VALUE(SUBSTITUTE(SUBSTITUTE(SUBSTITUTE(IF(설정!$C$6="","",IFERROR(INDEX('1.산군_붙여넣기'!$A$1:$AZ$1001,ROW(),설정!$C$6)&amp;"","")),",",""),"㎡",""),"m2","")),"")</f>
        <v/>
      </c>
      <c r="E806">
        <f>IF(설정!$C$7="","",IFERROR(INDEX('1.산군_붙여넣기'!$A$1:$AZ$1001,ROW(),설정!$C$7)&amp;"",""))</f>
        <v/>
      </c>
      <c r="F806">
        <f>IF(설정!$C$8="","",IFERROR(INDEX('1.산군_붙여넣기'!$A$1:$AZ$1001,ROW(),설정!$C$8)&amp;"",""))</f>
        <v/>
      </c>
      <c r="G806">
        <f>IF(설정!$C$9="","",IFERROR(INDEX('1.산군_붙여넣기'!$A$1:$AZ$1001,ROW(),설정!$C$9)&amp;"",""))</f>
        <v/>
      </c>
      <c r="H806">
        <f>IF(설정!$C$10="","",IFERROR(INDEX('1.산군_붙여넣기'!$A$1:$AZ$1001,ROW(),설정!$C$10)&amp;"",""))</f>
        <v/>
      </c>
      <c r="I806">
        <f>IF(설정!$C$11="","",IFERROR(INDEX('1.산군_붙여넣기'!$A$1:$AZ$1001,ROW(),설정!$C$11)&amp;"",""))</f>
        <v/>
      </c>
      <c r="J806">
        <f>IF(설정!$C$12="","",IFERROR(INDEX('1.산군_붙여넣기'!$A$1:$AZ$1001,ROW(),설정!$C$12)&amp;"",""))</f>
        <v/>
      </c>
      <c r="K806">
        <f>IF(설정!$C$13="","",IFERROR(INDEX('1.산군_붙여넣기'!$A$1:$AZ$1001,ROW(),설정!$C$13)&amp;"",""))</f>
        <v/>
      </c>
      <c r="L806" s="7">
        <f>IF(X806="","",IF(AND(LEN(X806)=8,ISNUMBER(X806*1)),DATE(LEFT(X806,4),MID(X806,5,2),RIGHT(X806,2)),IFERROR(DATEVALUE(SUBSTITUTE(SUBSTITUTE(X806,".","-"),"/","-")),IFERROR(X806*1,""))))</f>
        <v/>
      </c>
      <c r="M806" s="7">
        <f>IF(Y806="","",IF(AND(LEN(Y806)=8,ISNUMBER(Y806*1)),DATE(LEFT(Y806,4),MID(Y806,5,2),RIGHT(Y806,2)),IFERROR(DATEVALUE(SUBSTITUTE(SUBSTITUTE(Y806,".","-"),"/","-")),IFERROR(Y806*1,""))))</f>
        <v/>
      </c>
      <c r="N806">
        <f>IFERROR(LEFT(B806,FIND(" ",B806)-1),B806)</f>
        <v/>
      </c>
      <c r="O806">
        <f>AND(B806&lt;&gt;"",B806&lt;&gt;설정!$B$4,C806&lt;&gt;설정!$B$5)</f>
        <v/>
      </c>
      <c r="P806">
        <f>IF(O806,B806&amp;"|"&amp;C806,"")</f>
        <v/>
      </c>
      <c r="Q806">
        <f>AND(O806,COUNTIF(P807:P$1002,P806)=0)</f>
        <v/>
      </c>
      <c r="R806">
        <f>OR(AND(설정!$A$42&lt;&gt;"",ISNUMBER(SEARCH(설정!$A$42,E806&amp;" "&amp;C806))),AND(설정!$A$43&lt;&gt;"",ISNUMBER(SEARCH(설정!$A$43,E806&amp;" "&amp;C806))),AND(설정!$A$44&lt;&gt;"",ISNUMBER(SEARCH(설정!$A$44,E806&amp;" "&amp;C806))),AND(설정!$A$45&lt;&gt;"",ISNUMBER(SEARCH(설정!$A$45,E806&amp;" "&amp;C806))),AND(설정!$A$46&lt;&gt;"",ISNUMBER(SEARCH(설정!$A$46,E806&amp;" "&amp;C806))),AND(설정!$A$47&lt;&gt;"",ISNUMBER(SEARCH(설정!$A$47,E806&amp;" "&amp;C806))),AND(설정!$A$48&lt;&gt;"",ISNUMBER(SEARCH(설정!$A$48,E806&amp;" "&amp;C806))),AND(설정!$A$49&lt;&gt;"",ISNUMBER(SEARCH(설정!$A$49,E806&amp;" "&amp;C806))),AND(설정!$A$50&lt;&gt;"",ISNUMBER(SEARCH(설정!$A$50,E806&amp;" "&amp;C806))),AND(설정!$A$51&lt;&gt;"",ISNUMBER(SEARCH(설정!$A$51,E806&amp;" "&amp;C806))))</f>
        <v/>
      </c>
      <c r="S806">
        <f>OR(D806="",D806&gt;=설정!$B$19)</f>
        <v/>
      </c>
      <c r="T806">
        <f>AND(Q806,R806,S806)</f>
        <v/>
      </c>
      <c r="U806">
        <f>IF(T806,IF(AND(설정!$A$54&lt;&gt;"",ISNUMBER(SEARCH(설정!$A$54,K806))),설정!$B$54,IF(AND(설정!$A$55&lt;&gt;"",ISNUMBER(SEARCH(설정!$A$55,K806))),설정!$B$55,IF(AND(설정!$A$56&lt;&gt;"",ISNUMBER(SEARCH(설정!$A$56,K806))),설정!$B$56,IF(AND(설정!$A$57&lt;&gt;"",ISNUMBER(SEARCH(설정!$A$57,K806))),설정!$B$57,IF(AND(설정!$A$58&lt;&gt;"",ISNUMBER(SEARCH(설정!$A$58,K806))),설정!$B$58,IF(AND(설정!$A$59&lt;&gt;"",ISNUMBER(SEARCH(설정!$A$59,K806))),설정!$B$59,IF(AND(설정!$A$60&lt;&gt;"",ISNUMBER(SEARCH(설정!$A$60,K806))),설정!$B$60,IF(AND(설정!$A$61&lt;&gt;"",ISNUMBER(SEARCH(설정!$A$61,K806))),설정!$B$61,IF(M806="","설계사","시공사"))))))))),"")</f>
        <v/>
      </c>
      <c r="V806">
        <f>SUBSTITUTE(SUBSTITUTE(SUBSTITUTE(SUBSTITUTE(G806,"(주)",""),"㈜",""),"주식회사","")," ","")</f>
        <v/>
      </c>
      <c r="W806">
        <f>IF(AND(T806,V806&lt;&gt;""),IF(COUNTIFS(V$2:V806,V806,T$2:T806,TRUE)=1,MAX(W$1:W805)+1,""),"")</f>
        <v/>
      </c>
      <c r="X806">
        <f>IF(설정!$C$14="","",IFERROR(INDEX('1.산군_붙여넣기'!$A$1:$AZ$1001,ROW(),설정!$C$14)&amp;"",""))</f>
        <v/>
      </c>
      <c r="Y806">
        <f>IF(설정!$C$15="","",IFERROR(INDEX('1.산군_붙여넣기'!$A$1:$AZ$1001,ROW(),설정!$C$15)&amp;"",""))</f>
        <v/>
      </c>
      <c r="Z806">
        <f>IF(T806,V806&amp;"|"&amp;U806,"")</f>
        <v/>
      </c>
      <c r="AA806">
        <f>IF(NOT(Q806),"",IF(NOT(AND(R806,S806)),"✕",IF(OR(OR(AND(L806&lt;&gt;"",M806&lt;&gt;"",N(M806)-N(L806)&gt;설정!$B$27),AND(L806&lt;&gt;"",M806="",설정!$B$24-N(L806)&gt;설정!$B$27)),AND(D806&lt;&gt;"",D806&lt;설정!$B$26)),"△","★")))</f>
        <v/>
      </c>
      <c r="AB806">
        <f>IF(NOT(T806),"",IF(U806="설계사",설정!$B$31,IF(U806="시공사",IF(OR(M806="",설정!$B$24-N(M806)&lt;=설정!$B$28*30.4),설정!$B$32,설정!$B$33),설정!$B$34))+IF(AA806="★",설정!$B$35,0))</f>
        <v/>
      </c>
      <c r="AC806">
        <f>SUBSTITUTE(SUBSTITUTE(SUBSTITUTE(SUBSTITUTE(H806,"(주)",""),"㈜",""),"주식회사","")," ","")</f>
        <v/>
      </c>
      <c r="AD806">
        <f>IF(AND(T806,AC806&lt;&gt;""),IF(COUNTIFS(AC$2:AC806,AC806,T$2:T806,TRUE)=1,MAX(AD$1:AD805)+1,""),"")</f>
        <v/>
      </c>
    </row>
    <row r="807">
      <c r="A807">
        <f>ROW()</f>
        <v/>
      </c>
      <c r="B807">
        <f>IF(설정!$C$4="","",IFERROR(INDEX('1.산군_붙여넣기'!$A$1:$AZ$1001,ROW(),설정!$C$4)&amp;"",""))</f>
        <v/>
      </c>
      <c r="C807">
        <f>IF(설정!$C$5="","",IFERROR(INDEX('1.산군_붙여넣기'!$A$1:$AZ$1001,ROW(),설정!$C$5)&amp;"",""))</f>
        <v/>
      </c>
      <c r="D807" s="5">
        <f>IFERROR(VALUE(SUBSTITUTE(SUBSTITUTE(SUBSTITUTE(IF(설정!$C$6="","",IFERROR(INDEX('1.산군_붙여넣기'!$A$1:$AZ$1001,ROW(),설정!$C$6)&amp;"","")),",",""),"㎡",""),"m2","")),"")</f>
        <v/>
      </c>
      <c r="E807">
        <f>IF(설정!$C$7="","",IFERROR(INDEX('1.산군_붙여넣기'!$A$1:$AZ$1001,ROW(),설정!$C$7)&amp;"",""))</f>
        <v/>
      </c>
      <c r="F807">
        <f>IF(설정!$C$8="","",IFERROR(INDEX('1.산군_붙여넣기'!$A$1:$AZ$1001,ROW(),설정!$C$8)&amp;"",""))</f>
        <v/>
      </c>
      <c r="G807">
        <f>IF(설정!$C$9="","",IFERROR(INDEX('1.산군_붙여넣기'!$A$1:$AZ$1001,ROW(),설정!$C$9)&amp;"",""))</f>
        <v/>
      </c>
      <c r="H807">
        <f>IF(설정!$C$10="","",IFERROR(INDEX('1.산군_붙여넣기'!$A$1:$AZ$1001,ROW(),설정!$C$10)&amp;"",""))</f>
        <v/>
      </c>
      <c r="I807">
        <f>IF(설정!$C$11="","",IFERROR(INDEX('1.산군_붙여넣기'!$A$1:$AZ$1001,ROW(),설정!$C$11)&amp;"",""))</f>
        <v/>
      </c>
      <c r="J807">
        <f>IF(설정!$C$12="","",IFERROR(INDEX('1.산군_붙여넣기'!$A$1:$AZ$1001,ROW(),설정!$C$12)&amp;"",""))</f>
        <v/>
      </c>
      <c r="K807">
        <f>IF(설정!$C$13="","",IFERROR(INDEX('1.산군_붙여넣기'!$A$1:$AZ$1001,ROW(),설정!$C$13)&amp;"",""))</f>
        <v/>
      </c>
      <c r="L807" s="7">
        <f>IF(X807="","",IF(AND(LEN(X807)=8,ISNUMBER(X807*1)),DATE(LEFT(X807,4),MID(X807,5,2),RIGHT(X807,2)),IFERROR(DATEVALUE(SUBSTITUTE(SUBSTITUTE(X807,".","-"),"/","-")),IFERROR(X807*1,""))))</f>
        <v/>
      </c>
      <c r="M807" s="7">
        <f>IF(Y807="","",IF(AND(LEN(Y807)=8,ISNUMBER(Y807*1)),DATE(LEFT(Y807,4),MID(Y807,5,2),RIGHT(Y807,2)),IFERROR(DATEVALUE(SUBSTITUTE(SUBSTITUTE(Y807,".","-"),"/","-")),IFERROR(Y807*1,""))))</f>
        <v/>
      </c>
      <c r="N807">
        <f>IFERROR(LEFT(B807,FIND(" ",B807)-1),B807)</f>
        <v/>
      </c>
      <c r="O807">
        <f>AND(B807&lt;&gt;"",B807&lt;&gt;설정!$B$4,C807&lt;&gt;설정!$B$5)</f>
        <v/>
      </c>
      <c r="P807">
        <f>IF(O807,B807&amp;"|"&amp;C807,"")</f>
        <v/>
      </c>
      <c r="Q807">
        <f>AND(O807,COUNTIF(P808:P$1002,P807)=0)</f>
        <v/>
      </c>
      <c r="R807">
        <f>OR(AND(설정!$A$42&lt;&gt;"",ISNUMBER(SEARCH(설정!$A$42,E807&amp;" "&amp;C807))),AND(설정!$A$43&lt;&gt;"",ISNUMBER(SEARCH(설정!$A$43,E807&amp;" "&amp;C807))),AND(설정!$A$44&lt;&gt;"",ISNUMBER(SEARCH(설정!$A$44,E807&amp;" "&amp;C807))),AND(설정!$A$45&lt;&gt;"",ISNUMBER(SEARCH(설정!$A$45,E807&amp;" "&amp;C807))),AND(설정!$A$46&lt;&gt;"",ISNUMBER(SEARCH(설정!$A$46,E807&amp;" "&amp;C807))),AND(설정!$A$47&lt;&gt;"",ISNUMBER(SEARCH(설정!$A$47,E807&amp;" "&amp;C807))),AND(설정!$A$48&lt;&gt;"",ISNUMBER(SEARCH(설정!$A$48,E807&amp;" "&amp;C807))),AND(설정!$A$49&lt;&gt;"",ISNUMBER(SEARCH(설정!$A$49,E807&amp;" "&amp;C807))),AND(설정!$A$50&lt;&gt;"",ISNUMBER(SEARCH(설정!$A$50,E807&amp;" "&amp;C807))),AND(설정!$A$51&lt;&gt;"",ISNUMBER(SEARCH(설정!$A$51,E807&amp;" "&amp;C807))))</f>
        <v/>
      </c>
      <c r="S807">
        <f>OR(D807="",D807&gt;=설정!$B$19)</f>
        <v/>
      </c>
      <c r="T807">
        <f>AND(Q807,R807,S807)</f>
        <v/>
      </c>
      <c r="U807">
        <f>IF(T807,IF(AND(설정!$A$54&lt;&gt;"",ISNUMBER(SEARCH(설정!$A$54,K807))),설정!$B$54,IF(AND(설정!$A$55&lt;&gt;"",ISNUMBER(SEARCH(설정!$A$55,K807))),설정!$B$55,IF(AND(설정!$A$56&lt;&gt;"",ISNUMBER(SEARCH(설정!$A$56,K807))),설정!$B$56,IF(AND(설정!$A$57&lt;&gt;"",ISNUMBER(SEARCH(설정!$A$57,K807))),설정!$B$57,IF(AND(설정!$A$58&lt;&gt;"",ISNUMBER(SEARCH(설정!$A$58,K807))),설정!$B$58,IF(AND(설정!$A$59&lt;&gt;"",ISNUMBER(SEARCH(설정!$A$59,K807))),설정!$B$59,IF(AND(설정!$A$60&lt;&gt;"",ISNUMBER(SEARCH(설정!$A$60,K807))),설정!$B$60,IF(AND(설정!$A$61&lt;&gt;"",ISNUMBER(SEARCH(설정!$A$61,K807))),설정!$B$61,IF(M807="","설계사","시공사"))))))))),"")</f>
        <v/>
      </c>
      <c r="V807">
        <f>SUBSTITUTE(SUBSTITUTE(SUBSTITUTE(SUBSTITUTE(G807,"(주)",""),"㈜",""),"주식회사","")," ","")</f>
        <v/>
      </c>
      <c r="W807">
        <f>IF(AND(T807,V807&lt;&gt;""),IF(COUNTIFS(V$2:V807,V807,T$2:T807,TRUE)=1,MAX(W$1:W806)+1,""),"")</f>
        <v/>
      </c>
      <c r="X807">
        <f>IF(설정!$C$14="","",IFERROR(INDEX('1.산군_붙여넣기'!$A$1:$AZ$1001,ROW(),설정!$C$14)&amp;"",""))</f>
        <v/>
      </c>
      <c r="Y807">
        <f>IF(설정!$C$15="","",IFERROR(INDEX('1.산군_붙여넣기'!$A$1:$AZ$1001,ROW(),설정!$C$15)&amp;"",""))</f>
        <v/>
      </c>
      <c r="Z807">
        <f>IF(T807,V807&amp;"|"&amp;U807,"")</f>
        <v/>
      </c>
      <c r="AA807">
        <f>IF(NOT(Q807),"",IF(NOT(AND(R807,S807)),"✕",IF(OR(OR(AND(L807&lt;&gt;"",M807&lt;&gt;"",N(M807)-N(L807)&gt;설정!$B$27),AND(L807&lt;&gt;"",M807="",설정!$B$24-N(L807)&gt;설정!$B$27)),AND(D807&lt;&gt;"",D807&lt;설정!$B$26)),"△","★")))</f>
        <v/>
      </c>
      <c r="AB807">
        <f>IF(NOT(T807),"",IF(U807="설계사",설정!$B$31,IF(U807="시공사",IF(OR(M807="",설정!$B$24-N(M807)&lt;=설정!$B$28*30.4),설정!$B$32,설정!$B$33),설정!$B$34))+IF(AA807="★",설정!$B$35,0))</f>
        <v/>
      </c>
      <c r="AC807">
        <f>SUBSTITUTE(SUBSTITUTE(SUBSTITUTE(SUBSTITUTE(H807,"(주)",""),"㈜",""),"주식회사","")," ","")</f>
        <v/>
      </c>
      <c r="AD807">
        <f>IF(AND(T807,AC807&lt;&gt;""),IF(COUNTIFS(AC$2:AC807,AC807,T$2:T807,TRUE)=1,MAX(AD$1:AD806)+1,""),"")</f>
        <v/>
      </c>
    </row>
    <row r="808">
      <c r="A808">
        <f>ROW()</f>
        <v/>
      </c>
      <c r="B808">
        <f>IF(설정!$C$4="","",IFERROR(INDEX('1.산군_붙여넣기'!$A$1:$AZ$1001,ROW(),설정!$C$4)&amp;"",""))</f>
        <v/>
      </c>
      <c r="C808">
        <f>IF(설정!$C$5="","",IFERROR(INDEX('1.산군_붙여넣기'!$A$1:$AZ$1001,ROW(),설정!$C$5)&amp;"",""))</f>
        <v/>
      </c>
      <c r="D808" s="5">
        <f>IFERROR(VALUE(SUBSTITUTE(SUBSTITUTE(SUBSTITUTE(IF(설정!$C$6="","",IFERROR(INDEX('1.산군_붙여넣기'!$A$1:$AZ$1001,ROW(),설정!$C$6)&amp;"","")),",",""),"㎡",""),"m2","")),"")</f>
        <v/>
      </c>
      <c r="E808">
        <f>IF(설정!$C$7="","",IFERROR(INDEX('1.산군_붙여넣기'!$A$1:$AZ$1001,ROW(),설정!$C$7)&amp;"",""))</f>
        <v/>
      </c>
      <c r="F808">
        <f>IF(설정!$C$8="","",IFERROR(INDEX('1.산군_붙여넣기'!$A$1:$AZ$1001,ROW(),설정!$C$8)&amp;"",""))</f>
        <v/>
      </c>
      <c r="G808">
        <f>IF(설정!$C$9="","",IFERROR(INDEX('1.산군_붙여넣기'!$A$1:$AZ$1001,ROW(),설정!$C$9)&amp;"",""))</f>
        <v/>
      </c>
      <c r="H808">
        <f>IF(설정!$C$10="","",IFERROR(INDEX('1.산군_붙여넣기'!$A$1:$AZ$1001,ROW(),설정!$C$10)&amp;"",""))</f>
        <v/>
      </c>
      <c r="I808">
        <f>IF(설정!$C$11="","",IFERROR(INDEX('1.산군_붙여넣기'!$A$1:$AZ$1001,ROW(),설정!$C$11)&amp;"",""))</f>
        <v/>
      </c>
      <c r="J808">
        <f>IF(설정!$C$12="","",IFERROR(INDEX('1.산군_붙여넣기'!$A$1:$AZ$1001,ROW(),설정!$C$12)&amp;"",""))</f>
        <v/>
      </c>
      <c r="K808">
        <f>IF(설정!$C$13="","",IFERROR(INDEX('1.산군_붙여넣기'!$A$1:$AZ$1001,ROW(),설정!$C$13)&amp;"",""))</f>
        <v/>
      </c>
      <c r="L808" s="7">
        <f>IF(X808="","",IF(AND(LEN(X808)=8,ISNUMBER(X808*1)),DATE(LEFT(X808,4),MID(X808,5,2),RIGHT(X808,2)),IFERROR(DATEVALUE(SUBSTITUTE(SUBSTITUTE(X808,".","-"),"/","-")),IFERROR(X808*1,""))))</f>
        <v/>
      </c>
      <c r="M808" s="7">
        <f>IF(Y808="","",IF(AND(LEN(Y808)=8,ISNUMBER(Y808*1)),DATE(LEFT(Y808,4),MID(Y808,5,2),RIGHT(Y808,2)),IFERROR(DATEVALUE(SUBSTITUTE(SUBSTITUTE(Y808,".","-"),"/","-")),IFERROR(Y808*1,""))))</f>
        <v/>
      </c>
      <c r="N808">
        <f>IFERROR(LEFT(B808,FIND(" ",B808)-1),B808)</f>
        <v/>
      </c>
      <c r="O808">
        <f>AND(B808&lt;&gt;"",B808&lt;&gt;설정!$B$4,C808&lt;&gt;설정!$B$5)</f>
        <v/>
      </c>
      <c r="P808">
        <f>IF(O808,B808&amp;"|"&amp;C808,"")</f>
        <v/>
      </c>
      <c r="Q808">
        <f>AND(O808,COUNTIF(P809:P$1002,P808)=0)</f>
        <v/>
      </c>
      <c r="R808">
        <f>OR(AND(설정!$A$42&lt;&gt;"",ISNUMBER(SEARCH(설정!$A$42,E808&amp;" "&amp;C808))),AND(설정!$A$43&lt;&gt;"",ISNUMBER(SEARCH(설정!$A$43,E808&amp;" "&amp;C808))),AND(설정!$A$44&lt;&gt;"",ISNUMBER(SEARCH(설정!$A$44,E808&amp;" "&amp;C808))),AND(설정!$A$45&lt;&gt;"",ISNUMBER(SEARCH(설정!$A$45,E808&amp;" "&amp;C808))),AND(설정!$A$46&lt;&gt;"",ISNUMBER(SEARCH(설정!$A$46,E808&amp;" "&amp;C808))),AND(설정!$A$47&lt;&gt;"",ISNUMBER(SEARCH(설정!$A$47,E808&amp;" "&amp;C808))),AND(설정!$A$48&lt;&gt;"",ISNUMBER(SEARCH(설정!$A$48,E808&amp;" "&amp;C808))),AND(설정!$A$49&lt;&gt;"",ISNUMBER(SEARCH(설정!$A$49,E808&amp;" "&amp;C808))),AND(설정!$A$50&lt;&gt;"",ISNUMBER(SEARCH(설정!$A$50,E808&amp;" "&amp;C808))),AND(설정!$A$51&lt;&gt;"",ISNUMBER(SEARCH(설정!$A$51,E808&amp;" "&amp;C808))))</f>
        <v/>
      </c>
      <c r="S808">
        <f>OR(D808="",D808&gt;=설정!$B$19)</f>
        <v/>
      </c>
      <c r="T808">
        <f>AND(Q808,R808,S808)</f>
        <v/>
      </c>
      <c r="U808">
        <f>IF(T808,IF(AND(설정!$A$54&lt;&gt;"",ISNUMBER(SEARCH(설정!$A$54,K808))),설정!$B$54,IF(AND(설정!$A$55&lt;&gt;"",ISNUMBER(SEARCH(설정!$A$55,K808))),설정!$B$55,IF(AND(설정!$A$56&lt;&gt;"",ISNUMBER(SEARCH(설정!$A$56,K808))),설정!$B$56,IF(AND(설정!$A$57&lt;&gt;"",ISNUMBER(SEARCH(설정!$A$57,K808))),설정!$B$57,IF(AND(설정!$A$58&lt;&gt;"",ISNUMBER(SEARCH(설정!$A$58,K808))),설정!$B$58,IF(AND(설정!$A$59&lt;&gt;"",ISNUMBER(SEARCH(설정!$A$59,K808))),설정!$B$59,IF(AND(설정!$A$60&lt;&gt;"",ISNUMBER(SEARCH(설정!$A$60,K808))),설정!$B$60,IF(AND(설정!$A$61&lt;&gt;"",ISNUMBER(SEARCH(설정!$A$61,K808))),설정!$B$61,IF(M808="","설계사","시공사"))))))))),"")</f>
        <v/>
      </c>
      <c r="V808">
        <f>SUBSTITUTE(SUBSTITUTE(SUBSTITUTE(SUBSTITUTE(G808,"(주)",""),"㈜",""),"주식회사","")," ","")</f>
        <v/>
      </c>
      <c r="W808">
        <f>IF(AND(T808,V808&lt;&gt;""),IF(COUNTIFS(V$2:V808,V808,T$2:T808,TRUE)=1,MAX(W$1:W807)+1,""),"")</f>
        <v/>
      </c>
      <c r="X808">
        <f>IF(설정!$C$14="","",IFERROR(INDEX('1.산군_붙여넣기'!$A$1:$AZ$1001,ROW(),설정!$C$14)&amp;"",""))</f>
        <v/>
      </c>
      <c r="Y808">
        <f>IF(설정!$C$15="","",IFERROR(INDEX('1.산군_붙여넣기'!$A$1:$AZ$1001,ROW(),설정!$C$15)&amp;"",""))</f>
        <v/>
      </c>
      <c r="Z808">
        <f>IF(T808,V808&amp;"|"&amp;U808,"")</f>
        <v/>
      </c>
      <c r="AA808">
        <f>IF(NOT(Q808),"",IF(NOT(AND(R808,S808)),"✕",IF(OR(OR(AND(L808&lt;&gt;"",M808&lt;&gt;"",N(M808)-N(L808)&gt;설정!$B$27),AND(L808&lt;&gt;"",M808="",설정!$B$24-N(L808)&gt;설정!$B$27)),AND(D808&lt;&gt;"",D808&lt;설정!$B$26)),"△","★")))</f>
        <v/>
      </c>
      <c r="AB808">
        <f>IF(NOT(T808),"",IF(U808="설계사",설정!$B$31,IF(U808="시공사",IF(OR(M808="",설정!$B$24-N(M808)&lt;=설정!$B$28*30.4),설정!$B$32,설정!$B$33),설정!$B$34))+IF(AA808="★",설정!$B$35,0))</f>
        <v/>
      </c>
      <c r="AC808">
        <f>SUBSTITUTE(SUBSTITUTE(SUBSTITUTE(SUBSTITUTE(H808,"(주)",""),"㈜",""),"주식회사","")," ","")</f>
        <v/>
      </c>
      <c r="AD808">
        <f>IF(AND(T808,AC808&lt;&gt;""),IF(COUNTIFS(AC$2:AC808,AC808,T$2:T808,TRUE)=1,MAX(AD$1:AD807)+1,""),"")</f>
        <v/>
      </c>
    </row>
    <row r="809">
      <c r="A809">
        <f>ROW()</f>
        <v/>
      </c>
      <c r="B809">
        <f>IF(설정!$C$4="","",IFERROR(INDEX('1.산군_붙여넣기'!$A$1:$AZ$1001,ROW(),설정!$C$4)&amp;"",""))</f>
        <v/>
      </c>
      <c r="C809">
        <f>IF(설정!$C$5="","",IFERROR(INDEX('1.산군_붙여넣기'!$A$1:$AZ$1001,ROW(),설정!$C$5)&amp;"",""))</f>
        <v/>
      </c>
      <c r="D809" s="5">
        <f>IFERROR(VALUE(SUBSTITUTE(SUBSTITUTE(SUBSTITUTE(IF(설정!$C$6="","",IFERROR(INDEX('1.산군_붙여넣기'!$A$1:$AZ$1001,ROW(),설정!$C$6)&amp;"","")),",",""),"㎡",""),"m2","")),"")</f>
        <v/>
      </c>
      <c r="E809">
        <f>IF(설정!$C$7="","",IFERROR(INDEX('1.산군_붙여넣기'!$A$1:$AZ$1001,ROW(),설정!$C$7)&amp;"",""))</f>
        <v/>
      </c>
      <c r="F809">
        <f>IF(설정!$C$8="","",IFERROR(INDEX('1.산군_붙여넣기'!$A$1:$AZ$1001,ROW(),설정!$C$8)&amp;"",""))</f>
        <v/>
      </c>
      <c r="G809">
        <f>IF(설정!$C$9="","",IFERROR(INDEX('1.산군_붙여넣기'!$A$1:$AZ$1001,ROW(),설정!$C$9)&amp;"",""))</f>
        <v/>
      </c>
      <c r="H809">
        <f>IF(설정!$C$10="","",IFERROR(INDEX('1.산군_붙여넣기'!$A$1:$AZ$1001,ROW(),설정!$C$10)&amp;"",""))</f>
        <v/>
      </c>
      <c r="I809">
        <f>IF(설정!$C$11="","",IFERROR(INDEX('1.산군_붙여넣기'!$A$1:$AZ$1001,ROW(),설정!$C$11)&amp;"",""))</f>
        <v/>
      </c>
      <c r="J809">
        <f>IF(설정!$C$12="","",IFERROR(INDEX('1.산군_붙여넣기'!$A$1:$AZ$1001,ROW(),설정!$C$12)&amp;"",""))</f>
        <v/>
      </c>
      <c r="K809">
        <f>IF(설정!$C$13="","",IFERROR(INDEX('1.산군_붙여넣기'!$A$1:$AZ$1001,ROW(),설정!$C$13)&amp;"",""))</f>
        <v/>
      </c>
      <c r="L809" s="7">
        <f>IF(X809="","",IF(AND(LEN(X809)=8,ISNUMBER(X809*1)),DATE(LEFT(X809,4),MID(X809,5,2),RIGHT(X809,2)),IFERROR(DATEVALUE(SUBSTITUTE(SUBSTITUTE(X809,".","-"),"/","-")),IFERROR(X809*1,""))))</f>
        <v/>
      </c>
      <c r="M809" s="7">
        <f>IF(Y809="","",IF(AND(LEN(Y809)=8,ISNUMBER(Y809*1)),DATE(LEFT(Y809,4),MID(Y809,5,2),RIGHT(Y809,2)),IFERROR(DATEVALUE(SUBSTITUTE(SUBSTITUTE(Y809,".","-"),"/","-")),IFERROR(Y809*1,""))))</f>
        <v/>
      </c>
      <c r="N809">
        <f>IFERROR(LEFT(B809,FIND(" ",B809)-1),B809)</f>
        <v/>
      </c>
      <c r="O809">
        <f>AND(B809&lt;&gt;"",B809&lt;&gt;설정!$B$4,C809&lt;&gt;설정!$B$5)</f>
        <v/>
      </c>
      <c r="P809">
        <f>IF(O809,B809&amp;"|"&amp;C809,"")</f>
        <v/>
      </c>
      <c r="Q809">
        <f>AND(O809,COUNTIF(P810:P$1002,P809)=0)</f>
        <v/>
      </c>
      <c r="R809">
        <f>OR(AND(설정!$A$42&lt;&gt;"",ISNUMBER(SEARCH(설정!$A$42,E809&amp;" "&amp;C809))),AND(설정!$A$43&lt;&gt;"",ISNUMBER(SEARCH(설정!$A$43,E809&amp;" "&amp;C809))),AND(설정!$A$44&lt;&gt;"",ISNUMBER(SEARCH(설정!$A$44,E809&amp;" "&amp;C809))),AND(설정!$A$45&lt;&gt;"",ISNUMBER(SEARCH(설정!$A$45,E809&amp;" "&amp;C809))),AND(설정!$A$46&lt;&gt;"",ISNUMBER(SEARCH(설정!$A$46,E809&amp;" "&amp;C809))),AND(설정!$A$47&lt;&gt;"",ISNUMBER(SEARCH(설정!$A$47,E809&amp;" "&amp;C809))),AND(설정!$A$48&lt;&gt;"",ISNUMBER(SEARCH(설정!$A$48,E809&amp;" "&amp;C809))),AND(설정!$A$49&lt;&gt;"",ISNUMBER(SEARCH(설정!$A$49,E809&amp;" "&amp;C809))),AND(설정!$A$50&lt;&gt;"",ISNUMBER(SEARCH(설정!$A$50,E809&amp;" "&amp;C809))),AND(설정!$A$51&lt;&gt;"",ISNUMBER(SEARCH(설정!$A$51,E809&amp;" "&amp;C809))))</f>
        <v/>
      </c>
      <c r="S809">
        <f>OR(D809="",D809&gt;=설정!$B$19)</f>
        <v/>
      </c>
      <c r="T809">
        <f>AND(Q809,R809,S809)</f>
        <v/>
      </c>
      <c r="U809">
        <f>IF(T809,IF(AND(설정!$A$54&lt;&gt;"",ISNUMBER(SEARCH(설정!$A$54,K809))),설정!$B$54,IF(AND(설정!$A$55&lt;&gt;"",ISNUMBER(SEARCH(설정!$A$55,K809))),설정!$B$55,IF(AND(설정!$A$56&lt;&gt;"",ISNUMBER(SEARCH(설정!$A$56,K809))),설정!$B$56,IF(AND(설정!$A$57&lt;&gt;"",ISNUMBER(SEARCH(설정!$A$57,K809))),설정!$B$57,IF(AND(설정!$A$58&lt;&gt;"",ISNUMBER(SEARCH(설정!$A$58,K809))),설정!$B$58,IF(AND(설정!$A$59&lt;&gt;"",ISNUMBER(SEARCH(설정!$A$59,K809))),설정!$B$59,IF(AND(설정!$A$60&lt;&gt;"",ISNUMBER(SEARCH(설정!$A$60,K809))),설정!$B$60,IF(AND(설정!$A$61&lt;&gt;"",ISNUMBER(SEARCH(설정!$A$61,K809))),설정!$B$61,IF(M809="","설계사","시공사"))))))))),"")</f>
        <v/>
      </c>
      <c r="V809">
        <f>SUBSTITUTE(SUBSTITUTE(SUBSTITUTE(SUBSTITUTE(G809,"(주)",""),"㈜",""),"주식회사","")," ","")</f>
        <v/>
      </c>
      <c r="W809">
        <f>IF(AND(T809,V809&lt;&gt;""),IF(COUNTIFS(V$2:V809,V809,T$2:T809,TRUE)=1,MAX(W$1:W808)+1,""),"")</f>
        <v/>
      </c>
      <c r="X809">
        <f>IF(설정!$C$14="","",IFERROR(INDEX('1.산군_붙여넣기'!$A$1:$AZ$1001,ROW(),설정!$C$14)&amp;"",""))</f>
        <v/>
      </c>
      <c r="Y809">
        <f>IF(설정!$C$15="","",IFERROR(INDEX('1.산군_붙여넣기'!$A$1:$AZ$1001,ROW(),설정!$C$15)&amp;"",""))</f>
        <v/>
      </c>
      <c r="Z809">
        <f>IF(T809,V809&amp;"|"&amp;U809,"")</f>
        <v/>
      </c>
      <c r="AA809">
        <f>IF(NOT(Q809),"",IF(NOT(AND(R809,S809)),"✕",IF(OR(OR(AND(L809&lt;&gt;"",M809&lt;&gt;"",N(M809)-N(L809)&gt;설정!$B$27),AND(L809&lt;&gt;"",M809="",설정!$B$24-N(L809)&gt;설정!$B$27)),AND(D809&lt;&gt;"",D809&lt;설정!$B$26)),"△","★")))</f>
        <v/>
      </c>
      <c r="AB809">
        <f>IF(NOT(T809),"",IF(U809="설계사",설정!$B$31,IF(U809="시공사",IF(OR(M809="",설정!$B$24-N(M809)&lt;=설정!$B$28*30.4),설정!$B$32,설정!$B$33),설정!$B$34))+IF(AA809="★",설정!$B$35,0))</f>
        <v/>
      </c>
      <c r="AC809">
        <f>SUBSTITUTE(SUBSTITUTE(SUBSTITUTE(SUBSTITUTE(H809,"(주)",""),"㈜",""),"주식회사","")," ","")</f>
        <v/>
      </c>
      <c r="AD809">
        <f>IF(AND(T809,AC809&lt;&gt;""),IF(COUNTIFS(AC$2:AC809,AC809,T$2:T809,TRUE)=1,MAX(AD$1:AD808)+1,""),"")</f>
        <v/>
      </c>
    </row>
    <row r="810">
      <c r="A810">
        <f>ROW()</f>
        <v/>
      </c>
      <c r="B810">
        <f>IF(설정!$C$4="","",IFERROR(INDEX('1.산군_붙여넣기'!$A$1:$AZ$1001,ROW(),설정!$C$4)&amp;"",""))</f>
        <v/>
      </c>
      <c r="C810">
        <f>IF(설정!$C$5="","",IFERROR(INDEX('1.산군_붙여넣기'!$A$1:$AZ$1001,ROW(),설정!$C$5)&amp;"",""))</f>
        <v/>
      </c>
      <c r="D810" s="5">
        <f>IFERROR(VALUE(SUBSTITUTE(SUBSTITUTE(SUBSTITUTE(IF(설정!$C$6="","",IFERROR(INDEX('1.산군_붙여넣기'!$A$1:$AZ$1001,ROW(),설정!$C$6)&amp;"","")),",",""),"㎡",""),"m2","")),"")</f>
        <v/>
      </c>
      <c r="E810">
        <f>IF(설정!$C$7="","",IFERROR(INDEX('1.산군_붙여넣기'!$A$1:$AZ$1001,ROW(),설정!$C$7)&amp;"",""))</f>
        <v/>
      </c>
      <c r="F810">
        <f>IF(설정!$C$8="","",IFERROR(INDEX('1.산군_붙여넣기'!$A$1:$AZ$1001,ROW(),설정!$C$8)&amp;"",""))</f>
        <v/>
      </c>
      <c r="G810">
        <f>IF(설정!$C$9="","",IFERROR(INDEX('1.산군_붙여넣기'!$A$1:$AZ$1001,ROW(),설정!$C$9)&amp;"",""))</f>
        <v/>
      </c>
      <c r="H810">
        <f>IF(설정!$C$10="","",IFERROR(INDEX('1.산군_붙여넣기'!$A$1:$AZ$1001,ROW(),설정!$C$10)&amp;"",""))</f>
        <v/>
      </c>
      <c r="I810">
        <f>IF(설정!$C$11="","",IFERROR(INDEX('1.산군_붙여넣기'!$A$1:$AZ$1001,ROW(),설정!$C$11)&amp;"",""))</f>
        <v/>
      </c>
      <c r="J810">
        <f>IF(설정!$C$12="","",IFERROR(INDEX('1.산군_붙여넣기'!$A$1:$AZ$1001,ROW(),설정!$C$12)&amp;"",""))</f>
        <v/>
      </c>
      <c r="K810">
        <f>IF(설정!$C$13="","",IFERROR(INDEX('1.산군_붙여넣기'!$A$1:$AZ$1001,ROW(),설정!$C$13)&amp;"",""))</f>
        <v/>
      </c>
      <c r="L810" s="7">
        <f>IF(X810="","",IF(AND(LEN(X810)=8,ISNUMBER(X810*1)),DATE(LEFT(X810,4),MID(X810,5,2),RIGHT(X810,2)),IFERROR(DATEVALUE(SUBSTITUTE(SUBSTITUTE(X810,".","-"),"/","-")),IFERROR(X810*1,""))))</f>
        <v/>
      </c>
      <c r="M810" s="7">
        <f>IF(Y810="","",IF(AND(LEN(Y810)=8,ISNUMBER(Y810*1)),DATE(LEFT(Y810,4),MID(Y810,5,2),RIGHT(Y810,2)),IFERROR(DATEVALUE(SUBSTITUTE(SUBSTITUTE(Y810,".","-"),"/","-")),IFERROR(Y810*1,""))))</f>
        <v/>
      </c>
      <c r="N810">
        <f>IFERROR(LEFT(B810,FIND(" ",B810)-1),B810)</f>
        <v/>
      </c>
      <c r="O810">
        <f>AND(B810&lt;&gt;"",B810&lt;&gt;설정!$B$4,C810&lt;&gt;설정!$B$5)</f>
        <v/>
      </c>
      <c r="P810">
        <f>IF(O810,B810&amp;"|"&amp;C810,"")</f>
        <v/>
      </c>
      <c r="Q810">
        <f>AND(O810,COUNTIF(P811:P$1002,P810)=0)</f>
        <v/>
      </c>
      <c r="R810">
        <f>OR(AND(설정!$A$42&lt;&gt;"",ISNUMBER(SEARCH(설정!$A$42,E810&amp;" "&amp;C810))),AND(설정!$A$43&lt;&gt;"",ISNUMBER(SEARCH(설정!$A$43,E810&amp;" "&amp;C810))),AND(설정!$A$44&lt;&gt;"",ISNUMBER(SEARCH(설정!$A$44,E810&amp;" "&amp;C810))),AND(설정!$A$45&lt;&gt;"",ISNUMBER(SEARCH(설정!$A$45,E810&amp;" "&amp;C810))),AND(설정!$A$46&lt;&gt;"",ISNUMBER(SEARCH(설정!$A$46,E810&amp;" "&amp;C810))),AND(설정!$A$47&lt;&gt;"",ISNUMBER(SEARCH(설정!$A$47,E810&amp;" "&amp;C810))),AND(설정!$A$48&lt;&gt;"",ISNUMBER(SEARCH(설정!$A$48,E810&amp;" "&amp;C810))),AND(설정!$A$49&lt;&gt;"",ISNUMBER(SEARCH(설정!$A$49,E810&amp;" "&amp;C810))),AND(설정!$A$50&lt;&gt;"",ISNUMBER(SEARCH(설정!$A$50,E810&amp;" "&amp;C810))),AND(설정!$A$51&lt;&gt;"",ISNUMBER(SEARCH(설정!$A$51,E810&amp;" "&amp;C810))))</f>
        <v/>
      </c>
      <c r="S810">
        <f>OR(D810="",D810&gt;=설정!$B$19)</f>
        <v/>
      </c>
      <c r="T810">
        <f>AND(Q810,R810,S810)</f>
        <v/>
      </c>
      <c r="U810">
        <f>IF(T810,IF(AND(설정!$A$54&lt;&gt;"",ISNUMBER(SEARCH(설정!$A$54,K810))),설정!$B$54,IF(AND(설정!$A$55&lt;&gt;"",ISNUMBER(SEARCH(설정!$A$55,K810))),설정!$B$55,IF(AND(설정!$A$56&lt;&gt;"",ISNUMBER(SEARCH(설정!$A$56,K810))),설정!$B$56,IF(AND(설정!$A$57&lt;&gt;"",ISNUMBER(SEARCH(설정!$A$57,K810))),설정!$B$57,IF(AND(설정!$A$58&lt;&gt;"",ISNUMBER(SEARCH(설정!$A$58,K810))),설정!$B$58,IF(AND(설정!$A$59&lt;&gt;"",ISNUMBER(SEARCH(설정!$A$59,K810))),설정!$B$59,IF(AND(설정!$A$60&lt;&gt;"",ISNUMBER(SEARCH(설정!$A$60,K810))),설정!$B$60,IF(AND(설정!$A$61&lt;&gt;"",ISNUMBER(SEARCH(설정!$A$61,K810))),설정!$B$61,IF(M810="","설계사","시공사"))))))))),"")</f>
        <v/>
      </c>
      <c r="V810">
        <f>SUBSTITUTE(SUBSTITUTE(SUBSTITUTE(SUBSTITUTE(G810,"(주)",""),"㈜",""),"주식회사","")," ","")</f>
        <v/>
      </c>
      <c r="W810">
        <f>IF(AND(T810,V810&lt;&gt;""),IF(COUNTIFS(V$2:V810,V810,T$2:T810,TRUE)=1,MAX(W$1:W809)+1,""),"")</f>
        <v/>
      </c>
      <c r="X810">
        <f>IF(설정!$C$14="","",IFERROR(INDEX('1.산군_붙여넣기'!$A$1:$AZ$1001,ROW(),설정!$C$14)&amp;"",""))</f>
        <v/>
      </c>
      <c r="Y810">
        <f>IF(설정!$C$15="","",IFERROR(INDEX('1.산군_붙여넣기'!$A$1:$AZ$1001,ROW(),설정!$C$15)&amp;"",""))</f>
        <v/>
      </c>
      <c r="Z810">
        <f>IF(T810,V810&amp;"|"&amp;U810,"")</f>
        <v/>
      </c>
      <c r="AA810">
        <f>IF(NOT(Q810),"",IF(NOT(AND(R810,S810)),"✕",IF(OR(OR(AND(L810&lt;&gt;"",M810&lt;&gt;"",N(M810)-N(L810)&gt;설정!$B$27),AND(L810&lt;&gt;"",M810="",설정!$B$24-N(L810)&gt;설정!$B$27)),AND(D810&lt;&gt;"",D810&lt;설정!$B$26)),"△","★")))</f>
        <v/>
      </c>
      <c r="AB810">
        <f>IF(NOT(T810),"",IF(U810="설계사",설정!$B$31,IF(U810="시공사",IF(OR(M810="",설정!$B$24-N(M810)&lt;=설정!$B$28*30.4),설정!$B$32,설정!$B$33),설정!$B$34))+IF(AA810="★",설정!$B$35,0))</f>
        <v/>
      </c>
      <c r="AC810">
        <f>SUBSTITUTE(SUBSTITUTE(SUBSTITUTE(SUBSTITUTE(H810,"(주)",""),"㈜",""),"주식회사","")," ","")</f>
        <v/>
      </c>
      <c r="AD810">
        <f>IF(AND(T810,AC810&lt;&gt;""),IF(COUNTIFS(AC$2:AC810,AC810,T$2:T810,TRUE)=1,MAX(AD$1:AD809)+1,""),"")</f>
        <v/>
      </c>
    </row>
    <row r="811">
      <c r="A811">
        <f>ROW()</f>
        <v/>
      </c>
      <c r="B811">
        <f>IF(설정!$C$4="","",IFERROR(INDEX('1.산군_붙여넣기'!$A$1:$AZ$1001,ROW(),설정!$C$4)&amp;"",""))</f>
        <v/>
      </c>
      <c r="C811">
        <f>IF(설정!$C$5="","",IFERROR(INDEX('1.산군_붙여넣기'!$A$1:$AZ$1001,ROW(),설정!$C$5)&amp;"",""))</f>
        <v/>
      </c>
      <c r="D811" s="5">
        <f>IFERROR(VALUE(SUBSTITUTE(SUBSTITUTE(SUBSTITUTE(IF(설정!$C$6="","",IFERROR(INDEX('1.산군_붙여넣기'!$A$1:$AZ$1001,ROW(),설정!$C$6)&amp;"","")),",",""),"㎡",""),"m2","")),"")</f>
        <v/>
      </c>
      <c r="E811">
        <f>IF(설정!$C$7="","",IFERROR(INDEX('1.산군_붙여넣기'!$A$1:$AZ$1001,ROW(),설정!$C$7)&amp;"",""))</f>
        <v/>
      </c>
      <c r="F811">
        <f>IF(설정!$C$8="","",IFERROR(INDEX('1.산군_붙여넣기'!$A$1:$AZ$1001,ROW(),설정!$C$8)&amp;"",""))</f>
        <v/>
      </c>
      <c r="G811">
        <f>IF(설정!$C$9="","",IFERROR(INDEX('1.산군_붙여넣기'!$A$1:$AZ$1001,ROW(),설정!$C$9)&amp;"",""))</f>
        <v/>
      </c>
      <c r="H811">
        <f>IF(설정!$C$10="","",IFERROR(INDEX('1.산군_붙여넣기'!$A$1:$AZ$1001,ROW(),설정!$C$10)&amp;"",""))</f>
        <v/>
      </c>
      <c r="I811">
        <f>IF(설정!$C$11="","",IFERROR(INDEX('1.산군_붙여넣기'!$A$1:$AZ$1001,ROW(),설정!$C$11)&amp;"",""))</f>
        <v/>
      </c>
      <c r="J811">
        <f>IF(설정!$C$12="","",IFERROR(INDEX('1.산군_붙여넣기'!$A$1:$AZ$1001,ROW(),설정!$C$12)&amp;"",""))</f>
        <v/>
      </c>
      <c r="K811">
        <f>IF(설정!$C$13="","",IFERROR(INDEX('1.산군_붙여넣기'!$A$1:$AZ$1001,ROW(),설정!$C$13)&amp;"",""))</f>
        <v/>
      </c>
      <c r="L811" s="7">
        <f>IF(X811="","",IF(AND(LEN(X811)=8,ISNUMBER(X811*1)),DATE(LEFT(X811,4),MID(X811,5,2),RIGHT(X811,2)),IFERROR(DATEVALUE(SUBSTITUTE(SUBSTITUTE(X811,".","-"),"/","-")),IFERROR(X811*1,""))))</f>
        <v/>
      </c>
      <c r="M811" s="7">
        <f>IF(Y811="","",IF(AND(LEN(Y811)=8,ISNUMBER(Y811*1)),DATE(LEFT(Y811,4),MID(Y811,5,2),RIGHT(Y811,2)),IFERROR(DATEVALUE(SUBSTITUTE(SUBSTITUTE(Y811,".","-"),"/","-")),IFERROR(Y811*1,""))))</f>
        <v/>
      </c>
      <c r="N811">
        <f>IFERROR(LEFT(B811,FIND(" ",B811)-1),B811)</f>
        <v/>
      </c>
      <c r="O811">
        <f>AND(B811&lt;&gt;"",B811&lt;&gt;설정!$B$4,C811&lt;&gt;설정!$B$5)</f>
        <v/>
      </c>
      <c r="P811">
        <f>IF(O811,B811&amp;"|"&amp;C811,"")</f>
        <v/>
      </c>
      <c r="Q811">
        <f>AND(O811,COUNTIF(P812:P$1002,P811)=0)</f>
        <v/>
      </c>
      <c r="R811">
        <f>OR(AND(설정!$A$42&lt;&gt;"",ISNUMBER(SEARCH(설정!$A$42,E811&amp;" "&amp;C811))),AND(설정!$A$43&lt;&gt;"",ISNUMBER(SEARCH(설정!$A$43,E811&amp;" "&amp;C811))),AND(설정!$A$44&lt;&gt;"",ISNUMBER(SEARCH(설정!$A$44,E811&amp;" "&amp;C811))),AND(설정!$A$45&lt;&gt;"",ISNUMBER(SEARCH(설정!$A$45,E811&amp;" "&amp;C811))),AND(설정!$A$46&lt;&gt;"",ISNUMBER(SEARCH(설정!$A$46,E811&amp;" "&amp;C811))),AND(설정!$A$47&lt;&gt;"",ISNUMBER(SEARCH(설정!$A$47,E811&amp;" "&amp;C811))),AND(설정!$A$48&lt;&gt;"",ISNUMBER(SEARCH(설정!$A$48,E811&amp;" "&amp;C811))),AND(설정!$A$49&lt;&gt;"",ISNUMBER(SEARCH(설정!$A$49,E811&amp;" "&amp;C811))),AND(설정!$A$50&lt;&gt;"",ISNUMBER(SEARCH(설정!$A$50,E811&amp;" "&amp;C811))),AND(설정!$A$51&lt;&gt;"",ISNUMBER(SEARCH(설정!$A$51,E811&amp;" "&amp;C811))))</f>
        <v/>
      </c>
      <c r="S811">
        <f>OR(D811="",D811&gt;=설정!$B$19)</f>
        <v/>
      </c>
      <c r="T811">
        <f>AND(Q811,R811,S811)</f>
        <v/>
      </c>
      <c r="U811">
        <f>IF(T811,IF(AND(설정!$A$54&lt;&gt;"",ISNUMBER(SEARCH(설정!$A$54,K811))),설정!$B$54,IF(AND(설정!$A$55&lt;&gt;"",ISNUMBER(SEARCH(설정!$A$55,K811))),설정!$B$55,IF(AND(설정!$A$56&lt;&gt;"",ISNUMBER(SEARCH(설정!$A$56,K811))),설정!$B$56,IF(AND(설정!$A$57&lt;&gt;"",ISNUMBER(SEARCH(설정!$A$57,K811))),설정!$B$57,IF(AND(설정!$A$58&lt;&gt;"",ISNUMBER(SEARCH(설정!$A$58,K811))),설정!$B$58,IF(AND(설정!$A$59&lt;&gt;"",ISNUMBER(SEARCH(설정!$A$59,K811))),설정!$B$59,IF(AND(설정!$A$60&lt;&gt;"",ISNUMBER(SEARCH(설정!$A$60,K811))),설정!$B$60,IF(AND(설정!$A$61&lt;&gt;"",ISNUMBER(SEARCH(설정!$A$61,K811))),설정!$B$61,IF(M811="","설계사","시공사"))))))))),"")</f>
        <v/>
      </c>
      <c r="V811">
        <f>SUBSTITUTE(SUBSTITUTE(SUBSTITUTE(SUBSTITUTE(G811,"(주)",""),"㈜",""),"주식회사","")," ","")</f>
        <v/>
      </c>
      <c r="W811">
        <f>IF(AND(T811,V811&lt;&gt;""),IF(COUNTIFS(V$2:V811,V811,T$2:T811,TRUE)=1,MAX(W$1:W810)+1,""),"")</f>
        <v/>
      </c>
      <c r="X811">
        <f>IF(설정!$C$14="","",IFERROR(INDEX('1.산군_붙여넣기'!$A$1:$AZ$1001,ROW(),설정!$C$14)&amp;"",""))</f>
        <v/>
      </c>
      <c r="Y811">
        <f>IF(설정!$C$15="","",IFERROR(INDEX('1.산군_붙여넣기'!$A$1:$AZ$1001,ROW(),설정!$C$15)&amp;"",""))</f>
        <v/>
      </c>
      <c r="Z811">
        <f>IF(T811,V811&amp;"|"&amp;U811,"")</f>
        <v/>
      </c>
      <c r="AA811">
        <f>IF(NOT(Q811),"",IF(NOT(AND(R811,S811)),"✕",IF(OR(OR(AND(L811&lt;&gt;"",M811&lt;&gt;"",N(M811)-N(L811)&gt;설정!$B$27),AND(L811&lt;&gt;"",M811="",설정!$B$24-N(L811)&gt;설정!$B$27)),AND(D811&lt;&gt;"",D811&lt;설정!$B$26)),"△","★")))</f>
        <v/>
      </c>
      <c r="AB811">
        <f>IF(NOT(T811),"",IF(U811="설계사",설정!$B$31,IF(U811="시공사",IF(OR(M811="",설정!$B$24-N(M811)&lt;=설정!$B$28*30.4),설정!$B$32,설정!$B$33),설정!$B$34))+IF(AA811="★",설정!$B$35,0))</f>
        <v/>
      </c>
      <c r="AC811">
        <f>SUBSTITUTE(SUBSTITUTE(SUBSTITUTE(SUBSTITUTE(H811,"(주)",""),"㈜",""),"주식회사","")," ","")</f>
        <v/>
      </c>
      <c r="AD811">
        <f>IF(AND(T811,AC811&lt;&gt;""),IF(COUNTIFS(AC$2:AC811,AC811,T$2:T811,TRUE)=1,MAX(AD$1:AD810)+1,""),"")</f>
        <v/>
      </c>
    </row>
    <row r="812">
      <c r="A812">
        <f>ROW()</f>
        <v/>
      </c>
      <c r="B812">
        <f>IF(설정!$C$4="","",IFERROR(INDEX('1.산군_붙여넣기'!$A$1:$AZ$1001,ROW(),설정!$C$4)&amp;"",""))</f>
        <v/>
      </c>
      <c r="C812">
        <f>IF(설정!$C$5="","",IFERROR(INDEX('1.산군_붙여넣기'!$A$1:$AZ$1001,ROW(),설정!$C$5)&amp;"",""))</f>
        <v/>
      </c>
      <c r="D812" s="5">
        <f>IFERROR(VALUE(SUBSTITUTE(SUBSTITUTE(SUBSTITUTE(IF(설정!$C$6="","",IFERROR(INDEX('1.산군_붙여넣기'!$A$1:$AZ$1001,ROW(),설정!$C$6)&amp;"","")),",",""),"㎡",""),"m2","")),"")</f>
        <v/>
      </c>
      <c r="E812">
        <f>IF(설정!$C$7="","",IFERROR(INDEX('1.산군_붙여넣기'!$A$1:$AZ$1001,ROW(),설정!$C$7)&amp;"",""))</f>
        <v/>
      </c>
      <c r="F812">
        <f>IF(설정!$C$8="","",IFERROR(INDEX('1.산군_붙여넣기'!$A$1:$AZ$1001,ROW(),설정!$C$8)&amp;"",""))</f>
        <v/>
      </c>
      <c r="G812">
        <f>IF(설정!$C$9="","",IFERROR(INDEX('1.산군_붙여넣기'!$A$1:$AZ$1001,ROW(),설정!$C$9)&amp;"",""))</f>
        <v/>
      </c>
      <c r="H812">
        <f>IF(설정!$C$10="","",IFERROR(INDEX('1.산군_붙여넣기'!$A$1:$AZ$1001,ROW(),설정!$C$10)&amp;"",""))</f>
        <v/>
      </c>
      <c r="I812">
        <f>IF(설정!$C$11="","",IFERROR(INDEX('1.산군_붙여넣기'!$A$1:$AZ$1001,ROW(),설정!$C$11)&amp;"",""))</f>
        <v/>
      </c>
      <c r="J812">
        <f>IF(설정!$C$12="","",IFERROR(INDEX('1.산군_붙여넣기'!$A$1:$AZ$1001,ROW(),설정!$C$12)&amp;"",""))</f>
        <v/>
      </c>
      <c r="K812">
        <f>IF(설정!$C$13="","",IFERROR(INDEX('1.산군_붙여넣기'!$A$1:$AZ$1001,ROW(),설정!$C$13)&amp;"",""))</f>
        <v/>
      </c>
      <c r="L812" s="7">
        <f>IF(X812="","",IF(AND(LEN(X812)=8,ISNUMBER(X812*1)),DATE(LEFT(X812,4),MID(X812,5,2),RIGHT(X812,2)),IFERROR(DATEVALUE(SUBSTITUTE(SUBSTITUTE(X812,".","-"),"/","-")),IFERROR(X812*1,""))))</f>
        <v/>
      </c>
      <c r="M812" s="7">
        <f>IF(Y812="","",IF(AND(LEN(Y812)=8,ISNUMBER(Y812*1)),DATE(LEFT(Y812,4),MID(Y812,5,2),RIGHT(Y812,2)),IFERROR(DATEVALUE(SUBSTITUTE(SUBSTITUTE(Y812,".","-"),"/","-")),IFERROR(Y812*1,""))))</f>
        <v/>
      </c>
      <c r="N812">
        <f>IFERROR(LEFT(B812,FIND(" ",B812)-1),B812)</f>
        <v/>
      </c>
      <c r="O812">
        <f>AND(B812&lt;&gt;"",B812&lt;&gt;설정!$B$4,C812&lt;&gt;설정!$B$5)</f>
        <v/>
      </c>
      <c r="P812">
        <f>IF(O812,B812&amp;"|"&amp;C812,"")</f>
        <v/>
      </c>
      <c r="Q812">
        <f>AND(O812,COUNTIF(P813:P$1002,P812)=0)</f>
        <v/>
      </c>
      <c r="R812">
        <f>OR(AND(설정!$A$42&lt;&gt;"",ISNUMBER(SEARCH(설정!$A$42,E812&amp;" "&amp;C812))),AND(설정!$A$43&lt;&gt;"",ISNUMBER(SEARCH(설정!$A$43,E812&amp;" "&amp;C812))),AND(설정!$A$44&lt;&gt;"",ISNUMBER(SEARCH(설정!$A$44,E812&amp;" "&amp;C812))),AND(설정!$A$45&lt;&gt;"",ISNUMBER(SEARCH(설정!$A$45,E812&amp;" "&amp;C812))),AND(설정!$A$46&lt;&gt;"",ISNUMBER(SEARCH(설정!$A$46,E812&amp;" "&amp;C812))),AND(설정!$A$47&lt;&gt;"",ISNUMBER(SEARCH(설정!$A$47,E812&amp;" "&amp;C812))),AND(설정!$A$48&lt;&gt;"",ISNUMBER(SEARCH(설정!$A$48,E812&amp;" "&amp;C812))),AND(설정!$A$49&lt;&gt;"",ISNUMBER(SEARCH(설정!$A$49,E812&amp;" "&amp;C812))),AND(설정!$A$50&lt;&gt;"",ISNUMBER(SEARCH(설정!$A$50,E812&amp;" "&amp;C812))),AND(설정!$A$51&lt;&gt;"",ISNUMBER(SEARCH(설정!$A$51,E812&amp;" "&amp;C812))))</f>
        <v/>
      </c>
      <c r="S812">
        <f>OR(D812="",D812&gt;=설정!$B$19)</f>
        <v/>
      </c>
      <c r="T812">
        <f>AND(Q812,R812,S812)</f>
        <v/>
      </c>
      <c r="U812">
        <f>IF(T812,IF(AND(설정!$A$54&lt;&gt;"",ISNUMBER(SEARCH(설정!$A$54,K812))),설정!$B$54,IF(AND(설정!$A$55&lt;&gt;"",ISNUMBER(SEARCH(설정!$A$55,K812))),설정!$B$55,IF(AND(설정!$A$56&lt;&gt;"",ISNUMBER(SEARCH(설정!$A$56,K812))),설정!$B$56,IF(AND(설정!$A$57&lt;&gt;"",ISNUMBER(SEARCH(설정!$A$57,K812))),설정!$B$57,IF(AND(설정!$A$58&lt;&gt;"",ISNUMBER(SEARCH(설정!$A$58,K812))),설정!$B$58,IF(AND(설정!$A$59&lt;&gt;"",ISNUMBER(SEARCH(설정!$A$59,K812))),설정!$B$59,IF(AND(설정!$A$60&lt;&gt;"",ISNUMBER(SEARCH(설정!$A$60,K812))),설정!$B$60,IF(AND(설정!$A$61&lt;&gt;"",ISNUMBER(SEARCH(설정!$A$61,K812))),설정!$B$61,IF(M812="","설계사","시공사"))))))))),"")</f>
        <v/>
      </c>
      <c r="V812">
        <f>SUBSTITUTE(SUBSTITUTE(SUBSTITUTE(SUBSTITUTE(G812,"(주)",""),"㈜",""),"주식회사","")," ","")</f>
        <v/>
      </c>
      <c r="W812">
        <f>IF(AND(T812,V812&lt;&gt;""),IF(COUNTIFS(V$2:V812,V812,T$2:T812,TRUE)=1,MAX(W$1:W811)+1,""),"")</f>
        <v/>
      </c>
      <c r="X812">
        <f>IF(설정!$C$14="","",IFERROR(INDEX('1.산군_붙여넣기'!$A$1:$AZ$1001,ROW(),설정!$C$14)&amp;"",""))</f>
        <v/>
      </c>
      <c r="Y812">
        <f>IF(설정!$C$15="","",IFERROR(INDEX('1.산군_붙여넣기'!$A$1:$AZ$1001,ROW(),설정!$C$15)&amp;"",""))</f>
        <v/>
      </c>
      <c r="Z812">
        <f>IF(T812,V812&amp;"|"&amp;U812,"")</f>
        <v/>
      </c>
      <c r="AA812">
        <f>IF(NOT(Q812),"",IF(NOT(AND(R812,S812)),"✕",IF(OR(OR(AND(L812&lt;&gt;"",M812&lt;&gt;"",N(M812)-N(L812)&gt;설정!$B$27),AND(L812&lt;&gt;"",M812="",설정!$B$24-N(L812)&gt;설정!$B$27)),AND(D812&lt;&gt;"",D812&lt;설정!$B$26)),"△","★")))</f>
        <v/>
      </c>
      <c r="AB812">
        <f>IF(NOT(T812),"",IF(U812="설계사",설정!$B$31,IF(U812="시공사",IF(OR(M812="",설정!$B$24-N(M812)&lt;=설정!$B$28*30.4),설정!$B$32,설정!$B$33),설정!$B$34))+IF(AA812="★",설정!$B$35,0))</f>
        <v/>
      </c>
      <c r="AC812">
        <f>SUBSTITUTE(SUBSTITUTE(SUBSTITUTE(SUBSTITUTE(H812,"(주)",""),"㈜",""),"주식회사","")," ","")</f>
        <v/>
      </c>
      <c r="AD812">
        <f>IF(AND(T812,AC812&lt;&gt;""),IF(COUNTIFS(AC$2:AC812,AC812,T$2:T812,TRUE)=1,MAX(AD$1:AD811)+1,""),"")</f>
        <v/>
      </c>
    </row>
    <row r="813">
      <c r="A813">
        <f>ROW()</f>
        <v/>
      </c>
      <c r="B813">
        <f>IF(설정!$C$4="","",IFERROR(INDEX('1.산군_붙여넣기'!$A$1:$AZ$1001,ROW(),설정!$C$4)&amp;"",""))</f>
        <v/>
      </c>
      <c r="C813">
        <f>IF(설정!$C$5="","",IFERROR(INDEX('1.산군_붙여넣기'!$A$1:$AZ$1001,ROW(),설정!$C$5)&amp;"",""))</f>
        <v/>
      </c>
      <c r="D813" s="5">
        <f>IFERROR(VALUE(SUBSTITUTE(SUBSTITUTE(SUBSTITUTE(IF(설정!$C$6="","",IFERROR(INDEX('1.산군_붙여넣기'!$A$1:$AZ$1001,ROW(),설정!$C$6)&amp;"","")),",",""),"㎡",""),"m2","")),"")</f>
        <v/>
      </c>
      <c r="E813">
        <f>IF(설정!$C$7="","",IFERROR(INDEX('1.산군_붙여넣기'!$A$1:$AZ$1001,ROW(),설정!$C$7)&amp;"",""))</f>
        <v/>
      </c>
      <c r="F813">
        <f>IF(설정!$C$8="","",IFERROR(INDEX('1.산군_붙여넣기'!$A$1:$AZ$1001,ROW(),설정!$C$8)&amp;"",""))</f>
        <v/>
      </c>
      <c r="G813">
        <f>IF(설정!$C$9="","",IFERROR(INDEX('1.산군_붙여넣기'!$A$1:$AZ$1001,ROW(),설정!$C$9)&amp;"",""))</f>
        <v/>
      </c>
      <c r="H813">
        <f>IF(설정!$C$10="","",IFERROR(INDEX('1.산군_붙여넣기'!$A$1:$AZ$1001,ROW(),설정!$C$10)&amp;"",""))</f>
        <v/>
      </c>
      <c r="I813">
        <f>IF(설정!$C$11="","",IFERROR(INDEX('1.산군_붙여넣기'!$A$1:$AZ$1001,ROW(),설정!$C$11)&amp;"",""))</f>
        <v/>
      </c>
      <c r="J813">
        <f>IF(설정!$C$12="","",IFERROR(INDEX('1.산군_붙여넣기'!$A$1:$AZ$1001,ROW(),설정!$C$12)&amp;"",""))</f>
        <v/>
      </c>
      <c r="K813">
        <f>IF(설정!$C$13="","",IFERROR(INDEX('1.산군_붙여넣기'!$A$1:$AZ$1001,ROW(),설정!$C$13)&amp;"",""))</f>
        <v/>
      </c>
      <c r="L813" s="7">
        <f>IF(X813="","",IF(AND(LEN(X813)=8,ISNUMBER(X813*1)),DATE(LEFT(X813,4),MID(X813,5,2),RIGHT(X813,2)),IFERROR(DATEVALUE(SUBSTITUTE(SUBSTITUTE(X813,".","-"),"/","-")),IFERROR(X813*1,""))))</f>
        <v/>
      </c>
      <c r="M813" s="7">
        <f>IF(Y813="","",IF(AND(LEN(Y813)=8,ISNUMBER(Y813*1)),DATE(LEFT(Y813,4),MID(Y813,5,2),RIGHT(Y813,2)),IFERROR(DATEVALUE(SUBSTITUTE(SUBSTITUTE(Y813,".","-"),"/","-")),IFERROR(Y813*1,""))))</f>
        <v/>
      </c>
      <c r="N813">
        <f>IFERROR(LEFT(B813,FIND(" ",B813)-1),B813)</f>
        <v/>
      </c>
      <c r="O813">
        <f>AND(B813&lt;&gt;"",B813&lt;&gt;설정!$B$4,C813&lt;&gt;설정!$B$5)</f>
        <v/>
      </c>
      <c r="P813">
        <f>IF(O813,B813&amp;"|"&amp;C813,"")</f>
        <v/>
      </c>
      <c r="Q813">
        <f>AND(O813,COUNTIF(P814:P$1002,P813)=0)</f>
        <v/>
      </c>
      <c r="R813">
        <f>OR(AND(설정!$A$42&lt;&gt;"",ISNUMBER(SEARCH(설정!$A$42,E813&amp;" "&amp;C813))),AND(설정!$A$43&lt;&gt;"",ISNUMBER(SEARCH(설정!$A$43,E813&amp;" "&amp;C813))),AND(설정!$A$44&lt;&gt;"",ISNUMBER(SEARCH(설정!$A$44,E813&amp;" "&amp;C813))),AND(설정!$A$45&lt;&gt;"",ISNUMBER(SEARCH(설정!$A$45,E813&amp;" "&amp;C813))),AND(설정!$A$46&lt;&gt;"",ISNUMBER(SEARCH(설정!$A$46,E813&amp;" "&amp;C813))),AND(설정!$A$47&lt;&gt;"",ISNUMBER(SEARCH(설정!$A$47,E813&amp;" "&amp;C813))),AND(설정!$A$48&lt;&gt;"",ISNUMBER(SEARCH(설정!$A$48,E813&amp;" "&amp;C813))),AND(설정!$A$49&lt;&gt;"",ISNUMBER(SEARCH(설정!$A$49,E813&amp;" "&amp;C813))),AND(설정!$A$50&lt;&gt;"",ISNUMBER(SEARCH(설정!$A$50,E813&amp;" "&amp;C813))),AND(설정!$A$51&lt;&gt;"",ISNUMBER(SEARCH(설정!$A$51,E813&amp;" "&amp;C813))))</f>
        <v/>
      </c>
      <c r="S813">
        <f>OR(D813="",D813&gt;=설정!$B$19)</f>
        <v/>
      </c>
      <c r="T813">
        <f>AND(Q813,R813,S813)</f>
        <v/>
      </c>
      <c r="U813">
        <f>IF(T813,IF(AND(설정!$A$54&lt;&gt;"",ISNUMBER(SEARCH(설정!$A$54,K813))),설정!$B$54,IF(AND(설정!$A$55&lt;&gt;"",ISNUMBER(SEARCH(설정!$A$55,K813))),설정!$B$55,IF(AND(설정!$A$56&lt;&gt;"",ISNUMBER(SEARCH(설정!$A$56,K813))),설정!$B$56,IF(AND(설정!$A$57&lt;&gt;"",ISNUMBER(SEARCH(설정!$A$57,K813))),설정!$B$57,IF(AND(설정!$A$58&lt;&gt;"",ISNUMBER(SEARCH(설정!$A$58,K813))),설정!$B$58,IF(AND(설정!$A$59&lt;&gt;"",ISNUMBER(SEARCH(설정!$A$59,K813))),설정!$B$59,IF(AND(설정!$A$60&lt;&gt;"",ISNUMBER(SEARCH(설정!$A$60,K813))),설정!$B$60,IF(AND(설정!$A$61&lt;&gt;"",ISNUMBER(SEARCH(설정!$A$61,K813))),설정!$B$61,IF(M813="","설계사","시공사"))))))))),"")</f>
        <v/>
      </c>
      <c r="V813">
        <f>SUBSTITUTE(SUBSTITUTE(SUBSTITUTE(SUBSTITUTE(G813,"(주)",""),"㈜",""),"주식회사","")," ","")</f>
        <v/>
      </c>
      <c r="W813">
        <f>IF(AND(T813,V813&lt;&gt;""),IF(COUNTIFS(V$2:V813,V813,T$2:T813,TRUE)=1,MAX(W$1:W812)+1,""),"")</f>
        <v/>
      </c>
      <c r="X813">
        <f>IF(설정!$C$14="","",IFERROR(INDEX('1.산군_붙여넣기'!$A$1:$AZ$1001,ROW(),설정!$C$14)&amp;"",""))</f>
        <v/>
      </c>
      <c r="Y813">
        <f>IF(설정!$C$15="","",IFERROR(INDEX('1.산군_붙여넣기'!$A$1:$AZ$1001,ROW(),설정!$C$15)&amp;"",""))</f>
        <v/>
      </c>
      <c r="Z813">
        <f>IF(T813,V813&amp;"|"&amp;U813,"")</f>
        <v/>
      </c>
      <c r="AA813">
        <f>IF(NOT(Q813),"",IF(NOT(AND(R813,S813)),"✕",IF(OR(OR(AND(L813&lt;&gt;"",M813&lt;&gt;"",N(M813)-N(L813)&gt;설정!$B$27),AND(L813&lt;&gt;"",M813="",설정!$B$24-N(L813)&gt;설정!$B$27)),AND(D813&lt;&gt;"",D813&lt;설정!$B$26)),"△","★")))</f>
        <v/>
      </c>
      <c r="AB813">
        <f>IF(NOT(T813),"",IF(U813="설계사",설정!$B$31,IF(U813="시공사",IF(OR(M813="",설정!$B$24-N(M813)&lt;=설정!$B$28*30.4),설정!$B$32,설정!$B$33),설정!$B$34))+IF(AA813="★",설정!$B$35,0))</f>
        <v/>
      </c>
      <c r="AC813">
        <f>SUBSTITUTE(SUBSTITUTE(SUBSTITUTE(SUBSTITUTE(H813,"(주)",""),"㈜",""),"주식회사","")," ","")</f>
        <v/>
      </c>
      <c r="AD813">
        <f>IF(AND(T813,AC813&lt;&gt;""),IF(COUNTIFS(AC$2:AC813,AC813,T$2:T813,TRUE)=1,MAX(AD$1:AD812)+1,""),"")</f>
        <v/>
      </c>
    </row>
    <row r="814">
      <c r="A814">
        <f>ROW()</f>
        <v/>
      </c>
      <c r="B814">
        <f>IF(설정!$C$4="","",IFERROR(INDEX('1.산군_붙여넣기'!$A$1:$AZ$1001,ROW(),설정!$C$4)&amp;"",""))</f>
        <v/>
      </c>
      <c r="C814">
        <f>IF(설정!$C$5="","",IFERROR(INDEX('1.산군_붙여넣기'!$A$1:$AZ$1001,ROW(),설정!$C$5)&amp;"",""))</f>
        <v/>
      </c>
      <c r="D814" s="5">
        <f>IFERROR(VALUE(SUBSTITUTE(SUBSTITUTE(SUBSTITUTE(IF(설정!$C$6="","",IFERROR(INDEX('1.산군_붙여넣기'!$A$1:$AZ$1001,ROW(),설정!$C$6)&amp;"","")),",",""),"㎡",""),"m2","")),"")</f>
        <v/>
      </c>
      <c r="E814">
        <f>IF(설정!$C$7="","",IFERROR(INDEX('1.산군_붙여넣기'!$A$1:$AZ$1001,ROW(),설정!$C$7)&amp;"",""))</f>
        <v/>
      </c>
      <c r="F814">
        <f>IF(설정!$C$8="","",IFERROR(INDEX('1.산군_붙여넣기'!$A$1:$AZ$1001,ROW(),설정!$C$8)&amp;"",""))</f>
        <v/>
      </c>
      <c r="G814">
        <f>IF(설정!$C$9="","",IFERROR(INDEX('1.산군_붙여넣기'!$A$1:$AZ$1001,ROW(),설정!$C$9)&amp;"",""))</f>
        <v/>
      </c>
      <c r="H814">
        <f>IF(설정!$C$10="","",IFERROR(INDEX('1.산군_붙여넣기'!$A$1:$AZ$1001,ROW(),설정!$C$10)&amp;"",""))</f>
        <v/>
      </c>
      <c r="I814">
        <f>IF(설정!$C$11="","",IFERROR(INDEX('1.산군_붙여넣기'!$A$1:$AZ$1001,ROW(),설정!$C$11)&amp;"",""))</f>
        <v/>
      </c>
      <c r="J814">
        <f>IF(설정!$C$12="","",IFERROR(INDEX('1.산군_붙여넣기'!$A$1:$AZ$1001,ROW(),설정!$C$12)&amp;"",""))</f>
        <v/>
      </c>
      <c r="K814">
        <f>IF(설정!$C$13="","",IFERROR(INDEX('1.산군_붙여넣기'!$A$1:$AZ$1001,ROW(),설정!$C$13)&amp;"",""))</f>
        <v/>
      </c>
      <c r="L814" s="7">
        <f>IF(X814="","",IF(AND(LEN(X814)=8,ISNUMBER(X814*1)),DATE(LEFT(X814,4),MID(X814,5,2),RIGHT(X814,2)),IFERROR(DATEVALUE(SUBSTITUTE(SUBSTITUTE(X814,".","-"),"/","-")),IFERROR(X814*1,""))))</f>
        <v/>
      </c>
      <c r="M814" s="7">
        <f>IF(Y814="","",IF(AND(LEN(Y814)=8,ISNUMBER(Y814*1)),DATE(LEFT(Y814,4),MID(Y814,5,2),RIGHT(Y814,2)),IFERROR(DATEVALUE(SUBSTITUTE(SUBSTITUTE(Y814,".","-"),"/","-")),IFERROR(Y814*1,""))))</f>
        <v/>
      </c>
      <c r="N814">
        <f>IFERROR(LEFT(B814,FIND(" ",B814)-1),B814)</f>
        <v/>
      </c>
      <c r="O814">
        <f>AND(B814&lt;&gt;"",B814&lt;&gt;설정!$B$4,C814&lt;&gt;설정!$B$5)</f>
        <v/>
      </c>
      <c r="P814">
        <f>IF(O814,B814&amp;"|"&amp;C814,"")</f>
        <v/>
      </c>
      <c r="Q814">
        <f>AND(O814,COUNTIF(P815:P$1002,P814)=0)</f>
        <v/>
      </c>
      <c r="R814">
        <f>OR(AND(설정!$A$42&lt;&gt;"",ISNUMBER(SEARCH(설정!$A$42,E814&amp;" "&amp;C814))),AND(설정!$A$43&lt;&gt;"",ISNUMBER(SEARCH(설정!$A$43,E814&amp;" "&amp;C814))),AND(설정!$A$44&lt;&gt;"",ISNUMBER(SEARCH(설정!$A$44,E814&amp;" "&amp;C814))),AND(설정!$A$45&lt;&gt;"",ISNUMBER(SEARCH(설정!$A$45,E814&amp;" "&amp;C814))),AND(설정!$A$46&lt;&gt;"",ISNUMBER(SEARCH(설정!$A$46,E814&amp;" "&amp;C814))),AND(설정!$A$47&lt;&gt;"",ISNUMBER(SEARCH(설정!$A$47,E814&amp;" "&amp;C814))),AND(설정!$A$48&lt;&gt;"",ISNUMBER(SEARCH(설정!$A$48,E814&amp;" "&amp;C814))),AND(설정!$A$49&lt;&gt;"",ISNUMBER(SEARCH(설정!$A$49,E814&amp;" "&amp;C814))),AND(설정!$A$50&lt;&gt;"",ISNUMBER(SEARCH(설정!$A$50,E814&amp;" "&amp;C814))),AND(설정!$A$51&lt;&gt;"",ISNUMBER(SEARCH(설정!$A$51,E814&amp;" "&amp;C814))))</f>
        <v/>
      </c>
      <c r="S814">
        <f>OR(D814="",D814&gt;=설정!$B$19)</f>
        <v/>
      </c>
      <c r="T814">
        <f>AND(Q814,R814,S814)</f>
        <v/>
      </c>
      <c r="U814">
        <f>IF(T814,IF(AND(설정!$A$54&lt;&gt;"",ISNUMBER(SEARCH(설정!$A$54,K814))),설정!$B$54,IF(AND(설정!$A$55&lt;&gt;"",ISNUMBER(SEARCH(설정!$A$55,K814))),설정!$B$55,IF(AND(설정!$A$56&lt;&gt;"",ISNUMBER(SEARCH(설정!$A$56,K814))),설정!$B$56,IF(AND(설정!$A$57&lt;&gt;"",ISNUMBER(SEARCH(설정!$A$57,K814))),설정!$B$57,IF(AND(설정!$A$58&lt;&gt;"",ISNUMBER(SEARCH(설정!$A$58,K814))),설정!$B$58,IF(AND(설정!$A$59&lt;&gt;"",ISNUMBER(SEARCH(설정!$A$59,K814))),설정!$B$59,IF(AND(설정!$A$60&lt;&gt;"",ISNUMBER(SEARCH(설정!$A$60,K814))),설정!$B$60,IF(AND(설정!$A$61&lt;&gt;"",ISNUMBER(SEARCH(설정!$A$61,K814))),설정!$B$61,IF(M814="","설계사","시공사"))))))))),"")</f>
        <v/>
      </c>
      <c r="V814">
        <f>SUBSTITUTE(SUBSTITUTE(SUBSTITUTE(SUBSTITUTE(G814,"(주)",""),"㈜",""),"주식회사","")," ","")</f>
        <v/>
      </c>
      <c r="W814">
        <f>IF(AND(T814,V814&lt;&gt;""),IF(COUNTIFS(V$2:V814,V814,T$2:T814,TRUE)=1,MAX(W$1:W813)+1,""),"")</f>
        <v/>
      </c>
      <c r="X814">
        <f>IF(설정!$C$14="","",IFERROR(INDEX('1.산군_붙여넣기'!$A$1:$AZ$1001,ROW(),설정!$C$14)&amp;"",""))</f>
        <v/>
      </c>
      <c r="Y814">
        <f>IF(설정!$C$15="","",IFERROR(INDEX('1.산군_붙여넣기'!$A$1:$AZ$1001,ROW(),설정!$C$15)&amp;"",""))</f>
        <v/>
      </c>
      <c r="Z814">
        <f>IF(T814,V814&amp;"|"&amp;U814,"")</f>
        <v/>
      </c>
      <c r="AA814">
        <f>IF(NOT(Q814),"",IF(NOT(AND(R814,S814)),"✕",IF(OR(OR(AND(L814&lt;&gt;"",M814&lt;&gt;"",N(M814)-N(L814)&gt;설정!$B$27),AND(L814&lt;&gt;"",M814="",설정!$B$24-N(L814)&gt;설정!$B$27)),AND(D814&lt;&gt;"",D814&lt;설정!$B$26)),"△","★")))</f>
        <v/>
      </c>
      <c r="AB814">
        <f>IF(NOT(T814),"",IF(U814="설계사",설정!$B$31,IF(U814="시공사",IF(OR(M814="",설정!$B$24-N(M814)&lt;=설정!$B$28*30.4),설정!$B$32,설정!$B$33),설정!$B$34))+IF(AA814="★",설정!$B$35,0))</f>
        <v/>
      </c>
      <c r="AC814">
        <f>SUBSTITUTE(SUBSTITUTE(SUBSTITUTE(SUBSTITUTE(H814,"(주)",""),"㈜",""),"주식회사","")," ","")</f>
        <v/>
      </c>
      <c r="AD814">
        <f>IF(AND(T814,AC814&lt;&gt;""),IF(COUNTIFS(AC$2:AC814,AC814,T$2:T814,TRUE)=1,MAX(AD$1:AD813)+1,""),"")</f>
        <v/>
      </c>
    </row>
    <row r="815">
      <c r="A815">
        <f>ROW()</f>
        <v/>
      </c>
      <c r="B815">
        <f>IF(설정!$C$4="","",IFERROR(INDEX('1.산군_붙여넣기'!$A$1:$AZ$1001,ROW(),설정!$C$4)&amp;"",""))</f>
        <v/>
      </c>
      <c r="C815">
        <f>IF(설정!$C$5="","",IFERROR(INDEX('1.산군_붙여넣기'!$A$1:$AZ$1001,ROW(),설정!$C$5)&amp;"",""))</f>
        <v/>
      </c>
      <c r="D815" s="5">
        <f>IFERROR(VALUE(SUBSTITUTE(SUBSTITUTE(SUBSTITUTE(IF(설정!$C$6="","",IFERROR(INDEX('1.산군_붙여넣기'!$A$1:$AZ$1001,ROW(),설정!$C$6)&amp;"","")),",",""),"㎡",""),"m2","")),"")</f>
        <v/>
      </c>
      <c r="E815">
        <f>IF(설정!$C$7="","",IFERROR(INDEX('1.산군_붙여넣기'!$A$1:$AZ$1001,ROW(),설정!$C$7)&amp;"",""))</f>
        <v/>
      </c>
      <c r="F815">
        <f>IF(설정!$C$8="","",IFERROR(INDEX('1.산군_붙여넣기'!$A$1:$AZ$1001,ROW(),설정!$C$8)&amp;"",""))</f>
        <v/>
      </c>
      <c r="G815">
        <f>IF(설정!$C$9="","",IFERROR(INDEX('1.산군_붙여넣기'!$A$1:$AZ$1001,ROW(),설정!$C$9)&amp;"",""))</f>
        <v/>
      </c>
      <c r="H815">
        <f>IF(설정!$C$10="","",IFERROR(INDEX('1.산군_붙여넣기'!$A$1:$AZ$1001,ROW(),설정!$C$10)&amp;"",""))</f>
        <v/>
      </c>
      <c r="I815">
        <f>IF(설정!$C$11="","",IFERROR(INDEX('1.산군_붙여넣기'!$A$1:$AZ$1001,ROW(),설정!$C$11)&amp;"",""))</f>
        <v/>
      </c>
      <c r="J815">
        <f>IF(설정!$C$12="","",IFERROR(INDEX('1.산군_붙여넣기'!$A$1:$AZ$1001,ROW(),설정!$C$12)&amp;"",""))</f>
        <v/>
      </c>
      <c r="K815">
        <f>IF(설정!$C$13="","",IFERROR(INDEX('1.산군_붙여넣기'!$A$1:$AZ$1001,ROW(),설정!$C$13)&amp;"",""))</f>
        <v/>
      </c>
      <c r="L815" s="7">
        <f>IF(X815="","",IF(AND(LEN(X815)=8,ISNUMBER(X815*1)),DATE(LEFT(X815,4),MID(X815,5,2),RIGHT(X815,2)),IFERROR(DATEVALUE(SUBSTITUTE(SUBSTITUTE(X815,".","-"),"/","-")),IFERROR(X815*1,""))))</f>
        <v/>
      </c>
      <c r="M815" s="7">
        <f>IF(Y815="","",IF(AND(LEN(Y815)=8,ISNUMBER(Y815*1)),DATE(LEFT(Y815,4),MID(Y815,5,2),RIGHT(Y815,2)),IFERROR(DATEVALUE(SUBSTITUTE(SUBSTITUTE(Y815,".","-"),"/","-")),IFERROR(Y815*1,""))))</f>
        <v/>
      </c>
      <c r="N815">
        <f>IFERROR(LEFT(B815,FIND(" ",B815)-1),B815)</f>
        <v/>
      </c>
      <c r="O815">
        <f>AND(B815&lt;&gt;"",B815&lt;&gt;설정!$B$4,C815&lt;&gt;설정!$B$5)</f>
        <v/>
      </c>
      <c r="P815">
        <f>IF(O815,B815&amp;"|"&amp;C815,"")</f>
        <v/>
      </c>
      <c r="Q815">
        <f>AND(O815,COUNTIF(P816:P$1002,P815)=0)</f>
        <v/>
      </c>
      <c r="R815">
        <f>OR(AND(설정!$A$42&lt;&gt;"",ISNUMBER(SEARCH(설정!$A$42,E815&amp;" "&amp;C815))),AND(설정!$A$43&lt;&gt;"",ISNUMBER(SEARCH(설정!$A$43,E815&amp;" "&amp;C815))),AND(설정!$A$44&lt;&gt;"",ISNUMBER(SEARCH(설정!$A$44,E815&amp;" "&amp;C815))),AND(설정!$A$45&lt;&gt;"",ISNUMBER(SEARCH(설정!$A$45,E815&amp;" "&amp;C815))),AND(설정!$A$46&lt;&gt;"",ISNUMBER(SEARCH(설정!$A$46,E815&amp;" "&amp;C815))),AND(설정!$A$47&lt;&gt;"",ISNUMBER(SEARCH(설정!$A$47,E815&amp;" "&amp;C815))),AND(설정!$A$48&lt;&gt;"",ISNUMBER(SEARCH(설정!$A$48,E815&amp;" "&amp;C815))),AND(설정!$A$49&lt;&gt;"",ISNUMBER(SEARCH(설정!$A$49,E815&amp;" "&amp;C815))),AND(설정!$A$50&lt;&gt;"",ISNUMBER(SEARCH(설정!$A$50,E815&amp;" "&amp;C815))),AND(설정!$A$51&lt;&gt;"",ISNUMBER(SEARCH(설정!$A$51,E815&amp;" "&amp;C815))))</f>
        <v/>
      </c>
      <c r="S815">
        <f>OR(D815="",D815&gt;=설정!$B$19)</f>
        <v/>
      </c>
      <c r="T815">
        <f>AND(Q815,R815,S815)</f>
        <v/>
      </c>
      <c r="U815">
        <f>IF(T815,IF(AND(설정!$A$54&lt;&gt;"",ISNUMBER(SEARCH(설정!$A$54,K815))),설정!$B$54,IF(AND(설정!$A$55&lt;&gt;"",ISNUMBER(SEARCH(설정!$A$55,K815))),설정!$B$55,IF(AND(설정!$A$56&lt;&gt;"",ISNUMBER(SEARCH(설정!$A$56,K815))),설정!$B$56,IF(AND(설정!$A$57&lt;&gt;"",ISNUMBER(SEARCH(설정!$A$57,K815))),설정!$B$57,IF(AND(설정!$A$58&lt;&gt;"",ISNUMBER(SEARCH(설정!$A$58,K815))),설정!$B$58,IF(AND(설정!$A$59&lt;&gt;"",ISNUMBER(SEARCH(설정!$A$59,K815))),설정!$B$59,IF(AND(설정!$A$60&lt;&gt;"",ISNUMBER(SEARCH(설정!$A$60,K815))),설정!$B$60,IF(AND(설정!$A$61&lt;&gt;"",ISNUMBER(SEARCH(설정!$A$61,K815))),설정!$B$61,IF(M815="","설계사","시공사"))))))))),"")</f>
        <v/>
      </c>
      <c r="V815">
        <f>SUBSTITUTE(SUBSTITUTE(SUBSTITUTE(SUBSTITUTE(G815,"(주)",""),"㈜",""),"주식회사","")," ","")</f>
        <v/>
      </c>
      <c r="W815">
        <f>IF(AND(T815,V815&lt;&gt;""),IF(COUNTIFS(V$2:V815,V815,T$2:T815,TRUE)=1,MAX(W$1:W814)+1,""),"")</f>
        <v/>
      </c>
      <c r="X815">
        <f>IF(설정!$C$14="","",IFERROR(INDEX('1.산군_붙여넣기'!$A$1:$AZ$1001,ROW(),설정!$C$14)&amp;"",""))</f>
        <v/>
      </c>
      <c r="Y815">
        <f>IF(설정!$C$15="","",IFERROR(INDEX('1.산군_붙여넣기'!$A$1:$AZ$1001,ROW(),설정!$C$15)&amp;"",""))</f>
        <v/>
      </c>
      <c r="Z815">
        <f>IF(T815,V815&amp;"|"&amp;U815,"")</f>
        <v/>
      </c>
      <c r="AA815">
        <f>IF(NOT(Q815),"",IF(NOT(AND(R815,S815)),"✕",IF(OR(OR(AND(L815&lt;&gt;"",M815&lt;&gt;"",N(M815)-N(L815)&gt;설정!$B$27),AND(L815&lt;&gt;"",M815="",설정!$B$24-N(L815)&gt;설정!$B$27)),AND(D815&lt;&gt;"",D815&lt;설정!$B$26)),"△","★")))</f>
        <v/>
      </c>
      <c r="AB815">
        <f>IF(NOT(T815),"",IF(U815="설계사",설정!$B$31,IF(U815="시공사",IF(OR(M815="",설정!$B$24-N(M815)&lt;=설정!$B$28*30.4),설정!$B$32,설정!$B$33),설정!$B$34))+IF(AA815="★",설정!$B$35,0))</f>
        <v/>
      </c>
      <c r="AC815">
        <f>SUBSTITUTE(SUBSTITUTE(SUBSTITUTE(SUBSTITUTE(H815,"(주)",""),"㈜",""),"주식회사","")," ","")</f>
        <v/>
      </c>
      <c r="AD815">
        <f>IF(AND(T815,AC815&lt;&gt;""),IF(COUNTIFS(AC$2:AC815,AC815,T$2:T815,TRUE)=1,MAX(AD$1:AD814)+1,""),"")</f>
        <v/>
      </c>
    </row>
    <row r="816">
      <c r="A816">
        <f>ROW()</f>
        <v/>
      </c>
      <c r="B816">
        <f>IF(설정!$C$4="","",IFERROR(INDEX('1.산군_붙여넣기'!$A$1:$AZ$1001,ROW(),설정!$C$4)&amp;"",""))</f>
        <v/>
      </c>
      <c r="C816">
        <f>IF(설정!$C$5="","",IFERROR(INDEX('1.산군_붙여넣기'!$A$1:$AZ$1001,ROW(),설정!$C$5)&amp;"",""))</f>
        <v/>
      </c>
      <c r="D816" s="5">
        <f>IFERROR(VALUE(SUBSTITUTE(SUBSTITUTE(SUBSTITUTE(IF(설정!$C$6="","",IFERROR(INDEX('1.산군_붙여넣기'!$A$1:$AZ$1001,ROW(),설정!$C$6)&amp;"","")),",",""),"㎡",""),"m2","")),"")</f>
        <v/>
      </c>
      <c r="E816">
        <f>IF(설정!$C$7="","",IFERROR(INDEX('1.산군_붙여넣기'!$A$1:$AZ$1001,ROW(),설정!$C$7)&amp;"",""))</f>
        <v/>
      </c>
      <c r="F816">
        <f>IF(설정!$C$8="","",IFERROR(INDEX('1.산군_붙여넣기'!$A$1:$AZ$1001,ROW(),설정!$C$8)&amp;"",""))</f>
        <v/>
      </c>
      <c r="G816">
        <f>IF(설정!$C$9="","",IFERROR(INDEX('1.산군_붙여넣기'!$A$1:$AZ$1001,ROW(),설정!$C$9)&amp;"",""))</f>
        <v/>
      </c>
      <c r="H816">
        <f>IF(설정!$C$10="","",IFERROR(INDEX('1.산군_붙여넣기'!$A$1:$AZ$1001,ROW(),설정!$C$10)&amp;"",""))</f>
        <v/>
      </c>
      <c r="I816">
        <f>IF(설정!$C$11="","",IFERROR(INDEX('1.산군_붙여넣기'!$A$1:$AZ$1001,ROW(),설정!$C$11)&amp;"",""))</f>
        <v/>
      </c>
      <c r="J816">
        <f>IF(설정!$C$12="","",IFERROR(INDEX('1.산군_붙여넣기'!$A$1:$AZ$1001,ROW(),설정!$C$12)&amp;"",""))</f>
        <v/>
      </c>
      <c r="K816">
        <f>IF(설정!$C$13="","",IFERROR(INDEX('1.산군_붙여넣기'!$A$1:$AZ$1001,ROW(),설정!$C$13)&amp;"",""))</f>
        <v/>
      </c>
      <c r="L816" s="7">
        <f>IF(X816="","",IF(AND(LEN(X816)=8,ISNUMBER(X816*1)),DATE(LEFT(X816,4),MID(X816,5,2),RIGHT(X816,2)),IFERROR(DATEVALUE(SUBSTITUTE(SUBSTITUTE(X816,".","-"),"/","-")),IFERROR(X816*1,""))))</f>
        <v/>
      </c>
      <c r="M816" s="7">
        <f>IF(Y816="","",IF(AND(LEN(Y816)=8,ISNUMBER(Y816*1)),DATE(LEFT(Y816,4),MID(Y816,5,2),RIGHT(Y816,2)),IFERROR(DATEVALUE(SUBSTITUTE(SUBSTITUTE(Y816,".","-"),"/","-")),IFERROR(Y816*1,""))))</f>
        <v/>
      </c>
      <c r="N816">
        <f>IFERROR(LEFT(B816,FIND(" ",B816)-1),B816)</f>
        <v/>
      </c>
      <c r="O816">
        <f>AND(B816&lt;&gt;"",B816&lt;&gt;설정!$B$4,C816&lt;&gt;설정!$B$5)</f>
        <v/>
      </c>
      <c r="P816">
        <f>IF(O816,B816&amp;"|"&amp;C816,"")</f>
        <v/>
      </c>
      <c r="Q816">
        <f>AND(O816,COUNTIF(P817:P$1002,P816)=0)</f>
        <v/>
      </c>
      <c r="R816">
        <f>OR(AND(설정!$A$42&lt;&gt;"",ISNUMBER(SEARCH(설정!$A$42,E816&amp;" "&amp;C816))),AND(설정!$A$43&lt;&gt;"",ISNUMBER(SEARCH(설정!$A$43,E816&amp;" "&amp;C816))),AND(설정!$A$44&lt;&gt;"",ISNUMBER(SEARCH(설정!$A$44,E816&amp;" "&amp;C816))),AND(설정!$A$45&lt;&gt;"",ISNUMBER(SEARCH(설정!$A$45,E816&amp;" "&amp;C816))),AND(설정!$A$46&lt;&gt;"",ISNUMBER(SEARCH(설정!$A$46,E816&amp;" "&amp;C816))),AND(설정!$A$47&lt;&gt;"",ISNUMBER(SEARCH(설정!$A$47,E816&amp;" "&amp;C816))),AND(설정!$A$48&lt;&gt;"",ISNUMBER(SEARCH(설정!$A$48,E816&amp;" "&amp;C816))),AND(설정!$A$49&lt;&gt;"",ISNUMBER(SEARCH(설정!$A$49,E816&amp;" "&amp;C816))),AND(설정!$A$50&lt;&gt;"",ISNUMBER(SEARCH(설정!$A$50,E816&amp;" "&amp;C816))),AND(설정!$A$51&lt;&gt;"",ISNUMBER(SEARCH(설정!$A$51,E816&amp;" "&amp;C816))))</f>
        <v/>
      </c>
      <c r="S816">
        <f>OR(D816="",D816&gt;=설정!$B$19)</f>
        <v/>
      </c>
      <c r="T816">
        <f>AND(Q816,R816,S816)</f>
        <v/>
      </c>
      <c r="U816">
        <f>IF(T816,IF(AND(설정!$A$54&lt;&gt;"",ISNUMBER(SEARCH(설정!$A$54,K816))),설정!$B$54,IF(AND(설정!$A$55&lt;&gt;"",ISNUMBER(SEARCH(설정!$A$55,K816))),설정!$B$55,IF(AND(설정!$A$56&lt;&gt;"",ISNUMBER(SEARCH(설정!$A$56,K816))),설정!$B$56,IF(AND(설정!$A$57&lt;&gt;"",ISNUMBER(SEARCH(설정!$A$57,K816))),설정!$B$57,IF(AND(설정!$A$58&lt;&gt;"",ISNUMBER(SEARCH(설정!$A$58,K816))),설정!$B$58,IF(AND(설정!$A$59&lt;&gt;"",ISNUMBER(SEARCH(설정!$A$59,K816))),설정!$B$59,IF(AND(설정!$A$60&lt;&gt;"",ISNUMBER(SEARCH(설정!$A$60,K816))),설정!$B$60,IF(AND(설정!$A$61&lt;&gt;"",ISNUMBER(SEARCH(설정!$A$61,K816))),설정!$B$61,IF(M816="","설계사","시공사"))))))))),"")</f>
        <v/>
      </c>
      <c r="V816">
        <f>SUBSTITUTE(SUBSTITUTE(SUBSTITUTE(SUBSTITUTE(G816,"(주)",""),"㈜",""),"주식회사","")," ","")</f>
        <v/>
      </c>
      <c r="W816">
        <f>IF(AND(T816,V816&lt;&gt;""),IF(COUNTIFS(V$2:V816,V816,T$2:T816,TRUE)=1,MAX(W$1:W815)+1,""),"")</f>
        <v/>
      </c>
      <c r="X816">
        <f>IF(설정!$C$14="","",IFERROR(INDEX('1.산군_붙여넣기'!$A$1:$AZ$1001,ROW(),설정!$C$14)&amp;"",""))</f>
        <v/>
      </c>
      <c r="Y816">
        <f>IF(설정!$C$15="","",IFERROR(INDEX('1.산군_붙여넣기'!$A$1:$AZ$1001,ROW(),설정!$C$15)&amp;"",""))</f>
        <v/>
      </c>
      <c r="Z816">
        <f>IF(T816,V816&amp;"|"&amp;U816,"")</f>
        <v/>
      </c>
      <c r="AA816">
        <f>IF(NOT(Q816),"",IF(NOT(AND(R816,S816)),"✕",IF(OR(OR(AND(L816&lt;&gt;"",M816&lt;&gt;"",N(M816)-N(L816)&gt;설정!$B$27),AND(L816&lt;&gt;"",M816="",설정!$B$24-N(L816)&gt;설정!$B$27)),AND(D816&lt;&gt;"",D816&lt;설정!$B$26)),"△","★")))</f>
        <v/>
      </c>
      <c r="AB816">
        <f>IF(NOT(T816),"",IF(U816="설계사",설정!$B$31,IF(U816="시공사",IF(OR(M816="",설정!$B$24-N(M816)&lt;=설정!$B$28*30.4),설정!$B$32,설정!$B$33),설정!$B$34))+IF(AA816="★",설정!$B$35,0))</f>
        <v/>
      </c>
      <c r="AC816">
        <f>SUBSTITUTE(SUBSTITUTE(SUBSTITUTE(SUBSTITUTE(H816,"(주)",""),"㈜",""),"주식회사","")," ","")</f>
        <v/>
      </c>
      <c r="AD816">
        <f>IF(AND(T816,AC816&lt;&gt;""),IF(COUNTIFS(AC$2:AC816,AC816,T$2:T816,TRUE)=1,MAX(AD$1:AD815)+1,""),"")</f>
        <v/>
      </c>
    </row>
    <row r="817">
      <c r="A817">
        <f>ROW()</f>
        <v/>
      </c>
      <c r="B817">
        <f>IF(설정!$C$4="","",IFERROR(INDEX('1.산군_붙여넣기'!$A$1:$AZ$1001,ROW(),설정!$C$4)&amp;"",""))</f>
        <v/>
      </c>
      <c r="C817">
        <f>IF(설정!$C$5="","",IFERROR(INDEX('1.산군_붙여넣기'!$A$1:$AZ$1001,ROW(),설정!$C$5)&amp;"",""))</f>
        <v/>
      </c>
      <c r="D817" s="5">
        <f>IFERROR(VALUE(SUBSTITUTE(SUBSTITUTE(SUBSTITUTE(IF(설정!$C$6="","",IFERROR(INDEX('1.산군_붙여넣기'!$A$1:$AZ$1001,ROW(),설정!$C$6)&amp;"","")),",",""),"㎡",""),"m2","")),"")</f>
        <v/>
      </c>
      <c r="E817">
        <f>IF(설정!$C$7="","",IFERROR(INDEX('1.산군_붙여넣기'!$A$1:$AZ$1001,ROW(),설정!$C$7)&amp;"",""))</f>
        <v/>
      </c>
      <c r="F817">
        <f>IF(설정!$C$8="","",IFERROR(INDEX('1.산군_붙여넣기'!$A$1:$AZ$1001,ROW(),설정!$C$8)&amp;"",""))</f>
        <v/>
      </c>
      <c r="G817">
        <f>IF(설정!$C$9="","",IFERROR(INDEX('1.산군_붙여넣기'!$A$1:$AZ$1001,ROW(),설정!$C$9)&amp;"",""))</f>
        <v/>
      </c>
      <c r="H817">
        <f>IF(설정!$C$10="","",IFERROR(INDEX('1.산군_붙여넣기'!$A$1:$AZ$1001,ROW(),설정!$C$10)&amp;"",""))</f>
        <v/>
      </c>
      <c r="I817">
        <f>IF(설정!$C$11="","",IFERROR(INDEX('1.산군_붙여넣기'!$A$1:$AZ$1001,ROW(),설정!$C$11)&amp;"",""))</f>
        <v/>
      </c>
      <c r="J817">
        <f>IF(설정!$C$12="","",IFERROR(INDEX('1.산군_붙여넣기'!$A$1:$AZ$1001,ROW(),설정!$C$12)&amp;"",""))</f>
        <v/>
      </c>
      <c r="K817">
        <f>IF(설정!$C$13="","",IFERROR(INDEX('1.산군_붙여넣기'!$A$1:$AZ$1001,ROW(),설정!$C$13)&amp;"",""))</f>
        <v/>
      </c>
      <c r="L817" s="7">
        <f>IF(X817="","",IF(AND(LEN(X817)=8,ISNUMBER(X817*1)),DATE(LEFT(X817,4),MID(X817,5,2),RIGHT(X817,2)),IFERROR(DATEVALUE(SUBSTITUTE(SUBSTITUTE(X817,".","-"),"/","-")),IFERROR(X817*1,""))))</f>
        <v/>
      </c>
      <c r="M817" s="7">
        <f>IF(Y817="","",IF(AND(LEN(Y817)=8,ISNUMBER(Y817*1)),DATE(LEFT(Y817,4),MID(Y817,5,2),RIGHT(Y817,2)),IFERROR(DATEVALUE(SUBSTITUTE(SUBSTITUTE(Y817,".","-"),"/","-")),IFERROR(Y817*1,""))))</f>
        <v/>
      </c>
      <c r="N817">
        <f>IFERROR(LEFT(B817,FIND(" ",B817)-1),B817)</f>
        <v/>
      </c>
      <c r="O817">
        <f>AND(B817&lt;&gt;"",B817&lt;&gt;설정!$B$4,C817&lt;&gt;설정!$B$5)</f>
        <v/>
      </c>
      <c r="P817">
        <f>IF(O817,B817&amp;"|"&amp;C817,"")</f>
        <v/>
      </c>
      <c r="Q817">
        <f>AND(O817,COUNTIF(P818:P$1002,P817)=0)</f>
        <v/>
      </c>
      <c r="R817">
        <f>OR(AND(설정!$A$42&lt;&gt;"",ISNUMBER(SEARCH(설정!$A$42,E817&amp;" "&amp;C817))),AND(설정!$A$43&lt;&gt;"",ISNUMBER(SEARCH(설정!$A$43,E817&amp;" "&amp;C817))),AND(설정!$A$44&lt;&gt;"",ISNUMBER(SEARCH(설정!$A$44,E817&amp;" "&amp;C817))),AND(설정!$A$45&lt;&gt;"",ISNUMBER(SEARCH(설정!$A$45,E817&amp;" "&amp;C817))),AND(설정!$A$46&lt;&gt;"",ISNUMBER(SEARCH(설정!$A$46,E817&amp;" "&amp;C817))),AND(설정!$A$47&lt;&gt;"",ISNUMBER(SEARCH(설정!$A$47,E817&amp;" "&amp;C817))),AND(설정!$A$48&lt;&gt;"",ISNUMBER(SEARCH(설정!$A$48,E817&amp;" "&amp;C817))),AND(설정!$A$49&lt;&gt;"",ISNUMBER(SEARCH(설정!$A$49,E817&amp;" "&amp;C817))),AND(설정!$A$50&lt;&gt;"",ISNUMBER(SEARCH(설정!$A$50,E817&amp;" "&amp;C817))),AND(설정!$A$51&lt;&gt;"",ISNUMBER(SEARCH(설정!$A$51,E817&amp;" "&amp;C817))))</f>
        <v/>
      </c>
      <c r="S817">
        <f>OR(D817="",D817&gt;=설정!$B$19)</f>
        <v/>
      </c>
      <c r="T817">
        <f>AND(Q817,R817,S817)</f>
        <v/>
      </c>
      <c r="U817">
        <f>IF(T817,IF(AND(설정!$A$54&lt;&gt;"",ISNUMBER(SEARCH(설정!$A$54,K817))),설정!$B$54,IF(AND(설정!$A$55&lt;&gt;"",ISNUMBER(SEARCH(설정!$A$55,K817))),설정!$B$55,IF(AND(설정!$A$56&lt;&gt;"",ISNUMBER(SEARCH(설정!$A$56,K817))),설정!$B$56,IF(AND(설정!$A$57&lt;&gt;"",ISNUMBER(SEARCH(설정!$A$57,K817))),설정!$B$57,IF(AND(설정!$A$58&lt;&gt;"",ISNUMBER(SEARCH(설정!$A$58,K817))),설정!$B$58,IF(AND(설정!$A$59&lt;&gt;"",ISNUMBER(SEARCH(설정!$A$59,K817))),설정!$B$59,IF(AND(설정!$A$60&lt;&gt;"",ISNUMBER(SEARCH(설정!$A$60,K817))),설정!$B$60,IF(AND(설정!$A$61&lt;&gt;"",ISNUMBER(SEARCH(설정!$A$61,K817))),설정!$B$61,IF(M817="","설계사","시공사"))))))))),"")</f>
        <v/>
      </c>
      <c r="V817">
        <f>SUBSTITUTE(SUBSTITUTE(SUBSTITUTE(SUBSTITUTE(G817,"(주)",""),"㈜",""),"주식회사","")," ","")</f>
        <v/>
      </c>
      <c r="W817">
        <f>IF(AND(T817,V817&lt;&gt;""),IF(COUNTIFS(V$2:V817,V817,T$2:T817,TRUE)=1,MAX(W$1:W816)+1,""),"")</f>
        <v/>
      </c>
      <c r="X817">
        <f>IF(설정!$C$14="","",IFERROR(INDEX('1.산군_붙여넣기'!$A$1:$AZ$1001,ROW(),설정!$C$14)&amp;"",""))</f>
        <v/>
      </c>
      <c r="Y817">
        <f>IF(설정!$C$15="","",IFERROR(INDEX('1.산군_붙여넣기'!$A$1:$AZ$1001,ROW(),설정!$C$15)&amp;"",""))</f>
        <v/>
      </c>
      <c r="Z817">
        <f>IF(T817,V817&amp;"|"&amp;U817,"")</f>
        <v/>
      </c>
      <c r="AA817">
        <f>IF(NOT(Q817),"",IF(NOT(AND(R817,S817)),"✕",IF(OR(OR(AND(L817&lt;&gt;"",M817&lt;&gt;"",N(M817)-N(L817)&gt;설정!$B$27),AND(L817&lt;&gt;"",M817="",설정!$B$24-N(L817)&gt;설정!$B$27)),AND(D817&lt;&gt;"",D817&lt;설정!$B$26)),"△","★")))</f>
        <v/>
      </c>
      <c r="AB817">
        <f>IF(NOT(T817),"",IF(U817="설계사",설정!$B$31,IF(U817="시공사",IF(OR(M817="",설정!$B$24-N(M817)&lt;=설정!$B$28*30.4),설정!$B$32,설정!$B$33),설정!$B$34))+IF(AA817="★",설정!$B$35,0))</f>
        <v/>
      </c>
      <c r="AC817">
        <f>SUBSTITUTE(SUBSTITUTE(SUBSTITUTE(SUBSTITUTE(H817,"(주)",""),"㈜",""),"주식회사","")," ","")</f>
        <v/>
      </c>
      <c r="AD817">
        <f>IF(AND(T817,AC817&lt;&gt;""),IF(COUNTIFS(AC$2:AC817,AC817,T$2:T817,TRUE)=1,MAX(AD$1:AD816)+1,""),"")</f>
        <v/>
      </c>
    </row>
    <row r="818">
      <c r="A818">
        <f>ROW()</f>
        <v/>
      </c>
      <c r="B818">
        <f>IF(설정!$C$4="","",IFERROR(INDEX('1.산군_붙여넣기'!$A$1:$AZ$1001,ROW(),설정!$C$4)&amp;"",""))</f>
        <v/>
      </c>
      <c r="C818">
        <f>IF(설정!$C$5="","",IFERROR(INDEX('1.산군_붙여넣기'!$A$1:$AZ$1001,ROW(),설정!$C$5)&amp;"",""))</f>
        <v/>
      </c>
      <c r="D818" s="5">
        <f>IFERROR(VALUE(SUBSTITUTE(SUBSTITUTE(SUBSTITUTE(IF(설정!$C$6="","",IFERROR(INDEX('1.산군_붙여넣기'!$A$1:$AZ$1001,ROW(),설정!$C$6)&amp;"","")),",",""),"㎡",""),"m2","")),"")</f>
        <v/>
      </c>
      <c r="E818">
        <f>IF(설정!$C$7="","",IFERROR(INDEX('1.산군_붙여넣기'!$A$1:$AZ$1001,ROW(),설정!$C$7)&amp;"",""))</f>
        <v/>
      </c>
      <c r="F818">
        <f>IF(설정!$C$8="","",IFERROR(INDEX('1.산군_붙여넣기'!$A$1:$AZ$1001,ROW(),설정!$C$8)&amp;"",""))</f>
        <v/>
      </c>
      <c r="G818">
        <f>IF(설정!$C$9="","",IFERROR(INDEX('1.산군_붙여넣기'!$A$1:$AZ$1001,ROW(),설정!$C$9)&amp;"",""))</f>
        <v/>
      </c>
      <c r="H818">
        <f>IF(설정!$C$10="","",IFERROR(INDEX('1.산군_붙여넣기'!$A$1:$AZ$1001,ROW(),설정!$C$10)&amp;"",""))</f>
        <v/>
      </c>
      <c r="I818">
        <f>IF(설정!$C$11="","",IFERROR(INDEX('1.산군_붙여넣기'!$A$1:$AZ$1001,ROW(),설정!$C$11)&amp;"",""))</f>
        <v/>
      </c>
      <c r="J818">
        <f>IF(설정!$C$12="","",IFERROR(INDEX('1.산군_붙여넣기'!$A$1:$AZ$1001,ROW(),설정!$C$12)&amp;"",""))</f>
        <v/>
      </c>
      <c r="K818">
        <f>IF(설정!$C$13="","",IFERROR(INDEX('1.산군_붙여넣기'!$A$1:$AZ$1001,ROW(),설정!$C$13)&amp;"",""))</f>
        <v/>
      </c>
      <c r="L818" s="7">
        <f>IF(X818="","",IF(AND(LEN(X818)=8,ISNUMBER(X818*1)),DATE(LEFT(X818,4),MID(X818,5,2),RIGHT(X818,2)),IFERROR(DATEVALUE(SUBSTITUTE(SUBSTITUTE(X818,".","-"),"/","-")),IFERROR(X818*1,""))))</f>
        <v/>
      </c>
      <c r="M818" s="7">
        <f>IF(Y818="","",IF(AND(LEN(Y818)=8,ISNUMBER(Y818*1)),DATE(LEFT(Y818,4),MID(Y818,5,2),RIGHT(Y818,2)),IFERROR(DATEVALUE(SUBSTITUTE(SUBSTITUTE(Y818,".","-"),"/","-")),IFERROR(Y818*1,""))))</f>
        <v/>
      </c>
      <c r="N818">
        <f>IFERROR(LEFT(B818,FIND(" ",B818)-1),B818)</f>
        <v/>
      </c>
      <c r="O818">
        <f>AND(B818&lt;&gt;"",B818&lt;&gt;설정!$B$4,C818&lt;&gt;설정!$B$5)</f>
        <v/>
      </c>
      <c r="P818">
        <f>IF(O818,B818&amp;"|"&amp;C818,"")</f>
        <v/>
      </c>
      <c r="Q818">
        <f>AND(O818,COUNTIF(P819:P$1002,P818)=0)</f>
        <v/>
      </c>
      <c r="R818">
        <f>OR(AND(설정!$A$42&lt;&gt;"",ISNUMBER(SEARCH(설정!$A$42,E818&amp;" "&amp;C818))),AND(설정!$A$43&lt;&gt;"",ISNUMBER(SEARCH(설정!$A$43,E818&amp;" "&amp;C818))),AND(설정!$A$44&lt;&gt;"",ISNUMBER(SEARCH(설정!$A$44,E818&amp;" "&amp;C818))),AND(설정!$A$45&lt;&gt;"",ISNUMBER(SEARCH(설정!$A$45,E818&amp;" "&amp;C818))),AND(설정!$A$46&lt;&gt;"",ISNUMBER(SEARCH(설정!$A$46,E818&amp;" "&amp;C818))),AND(설정!$A$47&lt;&gt;"",ISNUMBER(SEARCH(설정!$A$47,E818&amp;" "&amp;C818))),AND(설정!$A$48&lt;&gt;"",ISNUMBER(SEARCH(설정!$A$48,E818&amp;" "&amp;C818))),AND(설정!$A$49&lt;&gt;"",ISNUMBER(SEARCH(설정!$A$49,E818&amp;" "&amp;C818))),AND(설정!$A$50&lt;&gt;"",ISNUMBER(SEARCH(설정!$A$50,E818&amp;" "&amp;C818))),AND(설정!$A$51&lt;&gt;"",ISNUMBER(SEARCH(설정!$A$51,E818&amp;" "&amp;C818))))</f>
        <v/>
      </c>
      <c r="S818">
        <f>OR(D818="",D818&gt;=설정!$B$19)</f>
        <v/>
      </c>
      <c r="T818">
        <f>AND(Q818,R818,S818)</f>
        <v/>
      </c>
      <c r="U818">
        <f>IF(T818,IF(AND(설정!$A$54&lt;&gt;"",ISNUMBER(SEARCH(설정!$A$54,K818))),설정!$B$54,IF(AND(설정!$A$55&lt;&gt;"",ISNUMBER(SEARCH(설정!$A$55,K818))),설정!$B$55,IF(AND(설정!$A$56&lt;&gt;"",ISNUMBER(SEARCH(설정!$A$56,K818))),설정!$B$56,IF(AND(설정!$A$57&lt;&gt;"",ISNUMBER(SEARCH(설정!$A$57,K818))),설정!$B$57,IF(AND(설정!$A$58&lt;&gt;"",ISNUMBER(SEARCH(설정!$A$58,K818))),설정!$B$58,IF(AND(설정!$A$59&lt;&gt;"",ISNUMBER(SEARCH(설정!$A$59,K818))),설정!$B$59,IF(AND(설정!$A$60&lt;&gt;"",ISNUMBER(SEARCH(설정!$A$60,K818))),설정!$B$60,IF(AND(설정!$A$61&lt;&gt;"",ISNUMBER(SEARCH(설정!$A$61,K818))),설정!$B$61,IF(M818="","설계사","시공사"))))))))),"")</f>
        <v/>
      </c>
      <c r="V818">
        <f>SUBSTITUTE(SUBSTITUTE(SUBSTITUTE(SUBSTITUTE(G818,"(주)",""),"㈜",""),"주식회사","")," ","")</f>
        <v/>
      </c>
      <c r="W818">
        <f>IF(AND(T818,V818&lt;&gt;""),IF(COUNTIFS(V$2:V818,V818,T$2:T818,TRUE)=1,MAX(W$1:W817)+1,""),"")</f>
        <v/>
      </c>
      <c r="X818">
        <f>IF(설정!$C$14="","",IFERROR(INDEX('1.산군_붙여넣기'!$A$1:$AZ$1001,ROW(),설정!$C$14)&amp;"",""))</f>
        <v/>
      </c>
      <c r="Y818">
        <f>IF(설정!$C$15="","",IFERROR(INDEX('1.산군_붙여넣기'!$A$1:$AZ$1001,ROW(),설정!$C$15)&amp;"",""))</f>
        <v/>
      </c>
      <c r="Z818">
        <f>IF(T818,V818&amp;"|"&amp;U818,"")</f>
        <v/>
      </c>
      <c r="AA818">
        <f>IF(NOT(Q818),"",IF(NOT(AND(R818,S818)),"✕",IF(OR(OR(AND(L818&lt;&gt;"",M818&lt;&gt;"",N(M818)-N(L818)&gt;설정!$B$27),AND(L818&lt;&gt;"",M818="",설정!$B$24-N(L818)&gt;설정!$B$27)),AND(D818&lt;&gt;"",D818&lt;설정!$B$26)),"△","★")))</f>
        <v/>
      </c>
      <c r="AB818">
        <f>IF(NOT(T818),"",IF(U818="설계사",설정!$B$31,IF(U818="시공사",IF(OR(M818="",설정!$B$24-N(M818)&lt;=설정!$B$28*30.4),설정!$B$32,설정!$B$33),설정!$B$34))+IF(AA818="★",설정!$B$35,0))</f>
        <v/>
      </c>
      <c r="AC818">
        <f>SUBSTITUTE(SUBSTITUTE(SUBSTITUTE(SUBSTITUTE(H818,"(주)",""),"㈜",""),"주식회사","")," ","")</f>
        <v/>
      </c>
      <c r="AD818">
        <f>IF(AND(T818,AC818&lt;&gt;""),IF(COUNTIFS(AC$2:AC818,AC818,T$2:T818,TRUE)=1,MAX(AD$1:AD817)+1,""),"")</f>
        <v/>
      </c>
    </row>
    <row r="819">
      <c r="A819">
        <f>ROW()</f>
        <v/>
      </c>
      <c r="B819">
        <f>IF(설정!$C$4="","",IFERROR(INDEX('1.산군_붙여넣기'!$A$1:$AZ$1001,ROW(),설정!$C$4)&amp;"",""))</f>
        <v/>
      </c>
      <c r="C819">
        <f>IF(설정!$C$5="","",IFERROR(INDEX('1.산군_붙여넣기'!$A$1:$AZ$1001,ROW(),설정!$C$5)&amp;"",""))</f>
        <v/>
      </c>
      <c r="D819" s="5">
        <f>IFERROR(VALUE(SUBSTITUTE(SUBSTITUTE(SUBSTITUTE(IF(설정!$C$6="","",IFERROR(INDEX('1.산군_붙여넣기'!$A$1:$AZ$1001,ROW(),설정!$C$6)&amp;"","")),",",""),"㎡",""),"m2","")),"")</f>
        <v/>
      </c>
      <c r="E819">
        <f>IF(설정!$C$7="","",IFERROR(INDEX('1.산군_붙여넣기'!$A$1:$AZ$1001,ROW(),설정!$C$7)&amp;"",""))</f>
        <v/>
      </c>
      <c r="F819">
        <f>IF(설정!$C$8="","",IFERROR(INDEX('1.산군_붙여넣기'!$A$1:$AZ$1001,ROW(),설정!$C$8)&amp;"",""))</f>
        <v/>
      </c>
      <c r="G819">
        <f>IF(설정!$C$9="","",IFERROR(INDEX('1.산군_붙여넣기'!$A$1:$AZ$1001,ROW(),설정!$C$9)&amp;"",""))</f>
        <v/>
      </c>
      <c r="H819">
        <f>IF(설정!$C$10="","",IFERROR(INDEX('1.산군_붙여넣기'!$A$1:$AZ$1001,ROW(),설정!$C$10)&amp;"",""))</f>
        <v/>
      </c>
      <c r="I819">
        <f>IF(설정!$C$11="","",IFERROR(INDEX('1.산군_붙여넣기'!$A$1:$AZ$1001,ROW(),설정!$C$11)&amp;"",""))</f>
        <v/>
      </c>
      <c r="J819">
        <f>IF(설정!$C$12="","",IFERROR(INDEX('1.산군_붙여넣기'!$A$1:$AZ$1001,ROW(),설정!$C$12)&amp;"",""))</f>
        <v/>
      </c>
      <c r="K819">
        <f>IF(설정!$C$13="","",IFERROR(INDEX('1.산군_붙여넣기'!$A$1:$AZ$1001,ROW(),설정!$C$13)&amp;"",""))</f>
        <v/>
      </c>
      <c r="L819" s="7">
        <f>IF(X819="","",IF(AND(LEN(X819)=8,ISNUMBER(X819*1)),DATE(LEFT(X819,4),MID(X819,5,2),RIGHT(X819,2)),IFERROR(DATEVALUE(SUBSTITUTE(SUBSTITUTE(X819,".","-"),"/","-")),IFERROR(X819*1,""))))</f>
        <v/>
      </c>
      <c r="M819" s="7">
        <f>IF(Y819="","",IF(AND(LEN(Y819)=8,ISNUMBER(Y819*1)),DATE(LEFT(Y819,4),MID(Y819,5,2),RIGHT(Y819,2)),IFERROR(DATEVALUE(SUBSTITUTE(SUBSTITUTE(Y819,".","-"),"/","-")),IFERROR(Y819*1,""))))</f>
        <v/>
      </c>
      <c r="N819">
        <f>IFERROR(LEFT(B819,FIND(" ",B819)-1),B819)</f>
        <v/>
      </c>
      <c r="O819">
        <f>AND(B819&lt;&gt;"",B819&lt;&gt;설정!$B$4,C819&lt;&gt;설정!$B$5)</f>
        <v/>
      </c>
      <c r="P819">
        <f>IF(O819,B819&amp;"|"&amp;C819,"")</f>
        <v/>
      </c>
      <c r="Q819">
        <f>AND(O819,COUNTIF(P820:P$1002,P819)=0)</f>
        <v/>
      </c>
      <c r="R819">
        <f>OR(AND(설정!$A$42&lt;&gt;"",ISNUMBER(SEARCH(설정!$A$42,E819&amp;" "&amp;C819))),AND(설정!$A$43&lt;&gt;"",ISNUMBER(SEARCH(설정!$A$43,E819&amp;" "&amp;C819))),AND(설정!$A$44&lt;&gt;"",ISNUMBER(SEARCH(설정!$A$44,E819&amp;" "&amp;C819))),AND(설정!$A$45&lt;&gt;"",ISNUMBER(SEARCH(설정!$A$45,E819&amp;" "&amp;C819))),AND(설정!$A$46&lt;&gt;"",ISNUMBER(SEARCH(설정!$A$46,E819&amp;" "&amp;C819))),AND(설정!$A$47&lt;&gt;"",ISNUMBER(SEARCH(설정!$A$47,E819&amp;" "&amp;C819))),AND(설정!$A$48&lt;&gt;"",ISNUMBER(SEARCH(설정!$A$48,E819&amp;" "&amp;C819))),AND(설정!$A$49&lt;&gt;"",ISNUMBER(SEARCH(설정!$A$49,E819&amp;" "&amp;C819))),AND(설정!$A$50&lt;&gt;"",ISNUMBER(SEARCH(설정!$A$50,E819&amp;" "&amp;C819))),AND(설정!$A$51&lt;&gt;"",ISNUMBER(SEARCH(설정!$A$51,E819&amp;" "&amp;C819))))</f>
        <v/>
      </c>
      <c r="S819">
        <f>OR(D819="",D819&gt;=설정!$B$19)</f>
        <v/>
      </c>
      <c r="T819">
        <f>AND(Q819,R819,S819)</f>
        <v/>
      </c>
      <c r="U819">
        <f>IF(T819,IF(AND(설정!$A$54&lt;&gt;"",ISNUMBER(SEARCH(설정!$A$54,K819))),설정!$B$54,IF(AND(설정!$A$55&lt;&gt;"",ISNUMBER(SEARCH(설정!$A$55,K819))),설정!$B$55,IF(AND(설정!$A$56&lt;&gt;"",ISNUMBER(SEARCH(설정!$A$56,K819))),설정!$B$56,IF(AND(설정!$A$57&lt;&gt;"",ISNUMBER(SEARCH(설정!$A$57,K819))),설정!$B$57,IF(AND(설정!$A$58&lt;&gt;"",ISNUMBER(SEARCH(설정!$A$58,K819))),설정!$B$58,IF(AND(설정!$A$59&lt;&gt;"",ISNUMBER(SEARCH(설정!$A$59,K819))),설정!$B$59,IF(AND(설정!$A$60&lt;&gt;"",ISNUMBER(SEARCH(설정!$A$60,K819))),설정!$B$60,IF(AND(설정!$A$61&lt;&gt;"",ISNUMBER(SEARCH(설정!$A$61,K819))),설정!$B$61,IF(M819="","설계사","시공사"))))))))),"")</f>
        <v/>
      </c>
      <c r="V819">
        <f>SUBSTITUTE(SUBSTITUTE(SUBSTITUTE(SUBSTITUTE(G819,"(주)",""),"㈜",""),"주식회사","")," ","")</f>
        <v/>
      </c>
      <c r="W819">
        <f>IF(AND(T819,V819&lt;&gt;""),IF(COUNTIFS(V$2:V819,V819,T$2:T819,TRUE)=1,MAX(W$1:W818)+1,""),"")</f>
        <v/>
      </c>
      <c r="X819">
        <f>IF(설정!$C$14="","",IFERROR(INDEX('1.산군_붙여넣기'!$A$1:$AZ$1001,ROW(),설정!$C$14)&amp;"",""))</f>
        <v/>
      </c>
      <c r="Y819">
        <f>IF(설정!$C$15="","",IFERROR(INDEX('1.산군_붙여넣기'!$A$1:$AZ$1001,ROW(),설정!$C$15)&amp;"",""))</f>
        <v/>
      </c>
      <c r="Z819">
        <f>IF(T819,V819&amp;"|"&amp;U819,"")</f>
        <v/>
      </c>
      <c r="AA819">
        <f>IF(NOT(Q819),"",IF(NOT(AND(R819,S819)),"✕",IF(OR(OR(AND(L819&lt;&gt;"",M819&lt;&gt;"",N(M819)-N(L819)&gt;설정!$B$27),AND(L819&lt;&gt;"",M819="",설정!$B$24-N(L819)&gt;설정!$B$27)),AND(D819&lt;&gt;"",D819&lt;설정!$B$26)),"△","★")))</f>
        <v/>
      </c>
      <c r="AB819">
        <f>IF(NOT(T819),"",IF(U819="설계사",설정!$B$31,IF(U819="시공사",IF(OR(M819="",설정!$B$24-N(M819)&lt;=설정!$B$28*30.4),설정!$B$32,설정!$B$33),설정!$B$34))+IF(AA819="★",설정!$B$35,0))</f>
        <v/>
      </c>
      <c r="AC819">
        <f>SUBSTITUTE(SUBSTITUTE(SUBSTITUTE(SUBSTITUTE(H819,"(주)",""),"㈜",""),"주식회사","")," ","")</f>
        <v/>
      </c>
      <c r="AD819">
        <f>IF(AND(T819,AC819&lt;&gt;""),IF(COUNTIFS(AC$2:AC819,AC819,T$2:T819,TRUE)=1,MAX(AD$1:AD818)+1,""),"")</f>
        <v/>
      </c>
    </row>
    <row r="820">
      <c r="A820">
        <f>ROW()</f>
        <v/>
      </c>
      <c r="B820">
        <f>IF(설정!$C$4="","",IFERROR(INDEX('1.산군_붙여넣기'!$A$1:$AZ$1001,ROW(),설정!$C$4)&amp;"",""))</f>
        <v/>
      </c>
      <c r="C820">
        <f>IF(설정!$C$5="","",IFERROR(INDEX('1.산군_붙여넣기'!$A$1:$AZ$1001,ROW(),설정!$C$5)&amp;"",""))</f>
        <v/>
      </c>
      <c r="D820" s="5">
        <f>IFERROR(VALUE(SUBSTITUTE(SUBSTITUTE(SUBSTITUTE(IF(설정!$C$6="","",IFERROR(INDEX('1.산군_붙여넣기'!$A$1:$AZ$1001,ROW(),설정!$C$6)&amp;"","")),",",""),"㎡",""),"m2","")),"")</f>
        <v/>
      </c>
      <c r="E820">
        <f>IF(설정!$C$7="","",IFERROR(INDEX('1.산군_붙여넣기'!$A$1:$AZ$1001,ROW(),설정!$C$7)&amp;"",""))</f>
        <v/>
      </c>
      <c r="F820">
        <f>IF(설정!$C$8="","",IFERROR(INDEX('1.산군_붙여넣기'!$A$1:$AZ$1001,ROW(),설정!$C$8)&amp;"",""))</f>
        <v/>
      </c>
      <c r="G820">
        <f>IF(설정!$C$9="","",IFERROR(INDEX('1.산군_붙여넣기'!$A$1:$AZ$1001,ROW(),설정!$C$9)&amp;"",""))</f>
        <v/>
      </c>
      <c r="H820">
        <f>IF(설정!$C$10="","",IFERROR(INDEX('1.산군_붙여넣기'!$A$1:$AZ$1001,ROW(),설정!$C$10)&amp;"",""))</f>
        <v/>
      </c>
      <c r="I820">
        <f>IF(설정!$C$11="","",IFERROR(INDEX('1.산군_붙여넣기'!$A$1:$AZ$1001,ROW(),설정!$C$11)&amp;"",""))</f>
        <v/>
      </c>
      <c r="J820">
        <f>IF(설정!$C$12="","",IFERROR(INDEX('1.산군_붙여넣기'!$A$1:$AZ$1001,ROW(),설정!$C$12)&amp;"",""))</f>
        <v/>
      </c>
      <c r="K820">
        <f>IF(설정!$C$13="","",IFERROR(INDEX('1.산군_붙여넣기'!$A$1:$AZ$1001,ROW(),설정!$C$13)&amp;"",""))</f>
        <v/>
      </c>
      <c r="L820" s="7">
        <f>IF(X820="","",IF(AND(LEN(X820)=8,ISNUMBER(X820*1)),DATE(LEFT(X820,4),MID(X820,5,2),RIGHT(X820,2)),IFERROR(DATEVALUE(SUBSTITUTE(SUBSTITUTE(X820,".","-"),"/","-")),IFERROR(X820*1,""))))</f>
        <v/>
      </c>
      <c r="M820" s="7">
        <f>IF(Y820="","",IF(AND(LEN(Y820)=8,ISNUMBER(Y820*1)),DATE(LEFT(Y820,4),MID(Y820,5,2),RIGHT(Y820,2)),IFERROR(DATEVALUE(SUBSTITUTE(SUBSTITUTE(Y820,".","-"),"/","-")),IFERROR(Y820*1,""))))</f>
        <v/>
      </c>
      <c r="N820">
        <f>IFERROR(LEFT(B820,FIND(" ",B820)-1),B820)</f>
        <v/>
      </c>
      <c r="O820">
        <f>AND(B820&lt;&gt;"",B820&lt;&gt;설정!$B$4,C820&lt;&gt;설정!$B$5)</f>
        <v/>
      </c>
      <c r="P820">
        <f>IF(O820,B820&amp;"|"&amp;C820,"")</f>
        <v/>
      </c>
      <c r="Q820">
        <f>AND(O820,COUNTIF(P821:P$1002,P820)=0)</f>
        <v/>
      </c>
      <c r="R820">
        <f>OR(AND(설정!$A$42&lt;&gt;"",ISNUMBER(SEARCH(설정!$A$42,E820&amp;" "&amp;C820))),AND(설정!$A$43&lt;&gt;"",ISNUMBER(SEARCH(설정!$A$43,E820&amp;" "&amp;C820))),AND(설정!$A$44&lt;&gt;"",ISNUMBER(SEARCH(설정!$A$44,E820&amp;" "&amp;C820))),AND(설정!$A$45&lt;&gt;"",ISNUMBER(SEARCH(설정!$A$45,E820&amp;" "&amp;C820))),AND(설정!$A$46&lt;&gt;"",ISNUMBER(SEARCH(설정!$A$46,E820&amp;" "&amp;C820))),AND(설정!$A$47&lt;&gt;"",ISNUMBER(SEARCH(설정!$A$47,E820&amp;" "&amp;C820))),AND(설정!$A$48&lt;&gt;"",ISNUMBER(SEARCH(설정!$A$48,E820&amp;" "&amp;C820))),AND(설정!$A$49&lt;&gt;"",ISNUMBER(SEARCH(설정!$A$49,E820&amp;" "&amp;C820))),AND(설정!$A$50&lt;&gt;"",ISNUMBER(SEARCH(설정!$A$50,E820&amp;" "&amp;C820))),AND(설정!$A$51&lt;&gt;"",ISNUMBER(SEARCH(설정!$A$51,E820&amp;" "&amp;C820))))</f>
        <v/>
      </c>
      <c r="S820">
        <f>OR(D820="",D820&gt;=설정!$B$19)</f>
        <v/>
      </c>
      <c r="T820">
        <f>AND(Q820,R820,S820)</f>
        <v/>
      </c>
      <c r="U820">
        <f>IF(T820,IF(AND(설정!$A$54&lt;&gt;"",ISNUMBER(SEARCH(설정!$A$54,K820))),설정!$B$54,IF(AND(설정!$A$55&lt;&gt;"",ISNUMBER(SEARCH(설정!$A$55,K820))),설정!$B$55,IF(AND(설정!$A$56&lt;&gt;"",ISNUMBER(SEARCH(설정!$A$56,K820))),설정!$B$56,IF(AND(설정!$A$57&lt;&gt;"",ISNUMBER(SEARCH(설정!$A$57,K820))),설정!$B$57,IF(AND(설정!$A$58&lt;&gt;"",ISNUMBER(SEARCH(설정!$A$58,K820))),설정!$B$58,IF(AND(설정!$A$59&lt;&gt;"",ISNUMBER(SEARCH(설정!$A$59,K820))),설정!$B$59,IF(AND(설정!$A$60&lt;&gt;"",ISNUMBER(SEARCH(설정!$A$60,K820))),설정!$B$60,IF(AND(설정!$A$61&lt;&gt;"",ISNUMBER(SEARCH(설정!$A$61,K820))),설정!$B$61,IF(M820="","설계사","시공사"))))))))),"")</f>
        <v/>
      </c>
      <c r="V820">
        <f>SUBSTITUTE(SUBSTITUTE(SUBSTITUTE(SUBSTITUTE(G820,"(주)",""),"㈜",""),"주식회사","")," ","")</f>
        <v/>
      </c>
      <c r="W820">
        <f>IF(AND(T820,V820&lt;&gt;""),IF(COUNTIFS(V$2:V820,V820,T$2:T820,TRUE)=1,MAX(W$1:W819)+1,""),"")</f>
        <v/>
      </c>
      <c r="X820">
        <f>IF(설정!$C$14="","",IFERROR(INDEX('1.산군_붙여넣기'!$A$1:$AZ$1001,ROW(),설정!$C$14)&amp;"",""))</f>
        <v/>
      </c>
      <c r="Y820">
        <f>IF(설정!$C$15="","",IFERROR(INDEX('1.산군_붙여넣기'!$A$1:$AZ$1001,ROW(),설정!$C$15)&amp;"",""))</f>
        <v/>
      </c>
      <c r="Z820">
        <f>IF(T820,V820&amp;"|"&amp;U820,"")</f>
        <v/>
      </c>
      <c r="AA820">
        <f>IF(NOT(Q820),"",IF(NOT(AND(R820,S820)),"✕",IF(OR(OR(AND(L820&lt;&gt;"",M820&lt;&gt;"",N(M820)-N(L820)&gt;설정!$B$27),AND(L820&lt;&gt;"",M820="",설정!$B$24-N(L820)&gt;설정!$B$27)),AND(D820&lt;&gt;"",D820&lt;설정!$B$26)),"△","★")))</f>
        <v/>
      </c>
      <c r="AB820">
        <f>IF(NOT(T820),"",IF(U820="설계사",설정!$B$31,IF(U820="시공사",IF(OR(M820="",설정!$B$24-N(M820)&lt;=설정!$B$28*30.4),설정!$B$32,설정!$B$33),설정!$B$34))+IF(AA820="★",설정!$B$35,0))</f>
        <v/>
      </c>
      <c r="AC820">
        <f>SUBSTITUTE(SUBSTITUTE(SUBSTITUTE(SUBSTITUTE(H820,"(주)",""),"㈜",""),"주식회사","")," ","")</f>
        <v/>
      </c>
      <c r="AD820">
        <f>IF(AND(T820,AC820&lt;&gt;""),IF(COUNTIFS(AC$2:AC820,AC820,T$2:T820,TRUE)=1,MAX(AD$1:AD819)+1,""),"")</f>
        <v/>
      </c>
    </row>
    <row r="821">
      <c r="A821">
        <f>ROW()</f>
        <v/>
      </c>
      <c r="B821">
        <f>IF(설정!$C$4="","",IFERROR(INDEX('1.산군_붙여넣기'!$A$1:$AZ$1001,ROW(),설정!$C$4)&amp;"",""))</f>
        <v/>
      </c>
      <c r="C821">
        <f>IF(설정!$C$5="","",IFERROR(INDEX('1.산군_붙여넣기'!$A$1:$AZ$1001,ROW(),설정!$C$5)&amp;"",""))</f>
        <v/>
      </c>
      <c r="D821" s="5">
        <f>IFERROR(VALUE(SUBSTITUTE(SUBSTITUTE(SUBSTITUTE(IF(설정!$C$6="","",IFERROR(INDEX('1.산군_붙여넣기'!$A$1:$AZ$1001,ROW(),설정!$C$6)&amp;"","")),",",""),"㎡",""),"m2","")),"")</f>
        <v/>
      </c>
      <c r="E821">
        <f>IF(설정!$C$7="","",IFERROR(INDEX('1.산군_붙여넣기'!$A$1:$AZ$1001,ROW(),설정!$C$7)&amp;"",""))</f>
        <v/>
      </c>
      <c r="F821">
        <f>IF(설정!$C$8="","",IFERROR(INDEX('1.산군_붙여넣기'!$A$1:$AZ$1001,ROW(),설정!$C$8)&amp;"",""))</f>
        <v/>
      </c>
      <c r="G821">
        <f>IF(설정!$C$9="","",IFERROR(INDEX('1.산군_붙여넣기'!$A$1:$AZ$1001,ROW(),설정!$C$9)&amp;"",""))</f>
        <v/>
      </c>
      <c r="H821">
        <f>IF(설정!$C$10="","",IFERROR(INDEX('1.산군_붙여넣기'!$A$1:$AZ$1001,ROW(),설정!$C$10)&amp;"",""))</f>
        <v/>
      </c>
      <c r="I821">
        <f>IF(설정!$C$11="","",IFERROR(INDEX('1.산군_붙여넣기'!$A$1:$AZ$1001,ROW(),설정!$C$11)&amp;"",""))</f>
        <v/>
      </c>
      <c r="J821">
        <f>IF(설정!$C$12="","",IFERROR(INDEX('1.산군_붙여넣기'!$A$1:$AZ$1001,ROW(),설정!$C$12)&amp;"",""))</f>
        <v/>
      </c>
      <c r="K821">
        <f>IF(설정!$C$13="","",IFERROR(INDEX('1.산군_붙여넣기'!$A$1:$AZ$1001,ROW(),설정!$C$13)&amp;"",""))</f>
        <v/>
      </c>
      <c r="L821" s="7">
        <f>IF(X821="","",IF(AND(LEN(X821)=8,ISNUMBER(X821*1)),DATE(LEFT(X821,4),MID(X821,5,2),RIGHT(X821,2)),IFERROR(DATEVALUE(SUBSTITUTE(SUBSTITUTE(X821,".","-"),"/","-")),IFERROR(X821*1,""))))</f>
        <v/>
      </c>
      <c r="M821" s="7">
        <f>IF(Y821="","",IF(AND(LEN(Y821)=8,ISNUMBER(Y821*1)),DATE(LEFT(Y821,4),MID(Y821,5,2),RIGHT(Y821,2)),IFERROR(DATEVALUE(SUBSTITUTE(SUBSTITUTE(Y821,".","-"),"/","-")),IFERROR(Y821*1,""))))</f>
        <v/>
      </c>
      <c r="N821">
        <f>IFERROR(LEFT(B821,FIND(" ",B821)-1),B821)</f>
        <v/>
      </c>
      <c r="O821">
        <f>AND(B821&lt;&gt;"",B821&lt;&gt;설정!$B$4,C821&lt;&gt;설정!$B$5)</f>
        <v/>
      </c>
      <c r="P821">
        <f>IF(O821,B821&amp;"|"&amp;C821,"")</f>
        <v/>
      </c>
      <c r="Q821">
        <f>AND(O821,COUNTIF(P822:P$1002,P821)=0)</f>
        <v/>
      </c>
      <c r="R821">
        <f>OR(AND(설정!$A$42&lt;&gt;"",ISNUMBER(SEARCH(설정!$A$42,E821&amp;" "&amp;C821))),AND(설정!$A$43&lt;&gt;"",ISNUMBER(SEARCH(설정!$A$43,E821&amp;" "&amp;C821))),AND(설정!$A$44&lt;&gt;"",ISNUMBER(SEARCH(설정!$A$44,E821&amp;" "&amp;C821))),AND(설정!$A$45&lt;&gt;"",ISNUMBER(SEARCH(설정!$A$45,E821&amp;" "&amp;C821))),AND(설정!$A$46&lt;&gt;"",ISNUMBER(SEARCH(설정!$A$46,E821&amp;" "&amp;C821))),AND(설정!$A$47&lt;&gt;"",ISNUMBER(SEARCH(설정!$A$47,E821&amp;" "&amp;C821))),AND(설정!$A$48&lt;&gt;"",ISNUMBER(SEARCH(설정!$A$48,E821&amp;" "&amp;C821))),AND(설정!$A$49&lt;&gt;"",ISNUMBER(SEARCH(설정!$A$49,E821&amp;" "&amp;C821))),AND(설정!$A$50&lt;&gt;"",ISNUMBER(SEARCH(설정!$A$50,E821&amp;" "&amp;C821))),AND(설정!$A$51&lt;&gt;"",ISNUMBER(SEARCH(설정!$A$51,E821&amp;" "&amp;C821))))</f>
        <v/>
      </c>
      <c r="S821">
        <f>OR(D821="",D821&gt;=설정!$B$19)</f>
        <v/>
      </c>
      <c r="T821">
        <f>AND(Q821,R821,S821)</f>
        <v/>
      </c>
      <c r="U821">
        <f>IF(T821,IF(AND(설정!$A$54&lt;&gt;"",ISNUMBER(SEARCH(설정!$A$54,K821))),설정!$B$54,IF(AND(설정!$A$55&lt;&gt;"",ISNUMBER(SEARCH(설정!$A$55,K821))),설정!$B$55,IF(AND(설정!$A$56&lt;&gt;"",ISNUMBER(SEARCH(설정!$A$56,K821))),설정!$B$56,IF(AND(설정!$A$57&lt;&gt;"",ISNUMBER(SEARCH(설정!$A$57,K821))),설정!$B$57,IF(AND(설정!$A$58&lt;&gt;"",ISNUMBER(SEARCH(설정!$A$58,K821))),설정!$B$58,IF(AND(설정!$A$59&lt;&gt;"",ISNUMBER(SEARCH(설정!$A$59,K821))),설정!$B$59,IF(AND(설정!$A$60&lt;&gt;"",ISNUMBER(SEARCH(설정!$A$60,K821))),설정!$B$60,IF(AND(설정!$A$61&lt;&gt;"",ISNUMBER(SEARCH(설정!$A$61,K821))),설정!$B$61,IF(M821="","설계사","시공사"))))))))),"")</f>
        <v/>
      </c>
      <c r="V821">
        <f>SUBSTITUTE(SUBSTITUTE(SUBSTITUTE(SUBSTITUTE(G821,"(주)",""),"㈜",""),"주식회사","")," ","")</f>
        <v/>
      </c>
      <c r="W821">
        <f>IF(AND(T821,V821&lt;&gt;""),IF(COUNTIFS(V$2:V821,V821,T$2:T821,TRUE)=1,MAX(W$1:W820)+1,""),"")</f>
        <v/>
      </c>
      <c r="X821">
        <f>IF(설정!$C$14="","",IFERROR(INDEX('1.산군_붙여넣기'!$A$1:$AZ$1001,ROW(),설정!$C$14)&amp;"",""))</f>
        <v/>
      </c>
      <c r="Y821">
        <f>IF(설정!$C$15="","",IFERROR(INDEX('1.산군_붙여넣기'!$A$1:$AZ$1001,ROW(),설정!$C$15)&amp;"",""))</f>
        <v/>
      </c>
      <c r="Z821">
        <f>IF(T821,V821&amp;"|"&amp;U821,"")</f>
        <v/>
      </c>
      <c r="AA821">
        <f>IF(NOT(Q821),"",IF(NOT(AND(R821,S821)),"✕",IF(OR(OR(AND(L821&lt;&gt;"",M821&lt;&gt;"",N(M821)-N(L821)&gt;설정!$B$27),AND(L821&lt;&gt;"",M821="",설정!$B$24-N(L821)&gt;설정!$B$27)),AND(D821&lt;&gt;"",D821&lt;설정!$B$26)),"△","★")))</f>
        <v/>
      </c>
      <c r="AB821">
        <f>IF(NOT(T821),"",IF(U821="설계사",설정!$B$31,IF(U821="시공사",IF(OR(M821="",설정!$B$24-N(M821)&lt;=설정!$B$28*30.4),설정!$B$32,설정!$B$33),설정!$B$34))+IF(AA821="★",설정!$B$35,0))</f>
        <v/>
      </c>
      <c r="AC821">
        <f>SUBSTITUTE(SUBSTITUTE(SUBSTITUTE(SUBSTITUTE(H821,"(주)",""),"㈜",""),"주식회사","")," ","")</f>
        <v/>
      </c>
      <c r="AD821">
        <f>IF(AND(T821,AC821&lt;&gt;""),IF(COUNTIFS(AC$2:AC821,AC821,T$2:T821,TRUE)=1,MAX(AD$1:AD820)+1,""),"")</f>
        <v/>
      </c>
    </row>
    <row r="822">
      <c r="A822">
        <f>ROW()</f>
        <v/>
      </c>
      <c r="B822">
        <f>IF(설정!$C$4="","",IFERROR(INDEX('1.산군_붙여넣기'!$A$1:$AZ$1001,ROW(),설정!$C$4)&amp;"",""))</f>
        <v/>
      </c>
      <c r="C822">
        <f>IF(설정!$C$5="","",IFERROR(INDEX('1.산군_붙여넣기'!$A$1:$AZ$1001,ROW(),설정!$C$5)&amp;"",""))</f>
        <v/>
      </c>
      <c r="D822" s="5">
        <f>IFERROR(VALUE(SUBSTITUTE(SUBSTITUTE(SUBSTITUTE(IF(설정!$C$6="","",IFERROR(INDEX('1.산군_붙여넣기'!$A$1:$AZ$1001,ROW(),설정!$C$6)&amp;"","")),",",""),"㎡",""),"m2","")),"")</f>
        <v/>
      </c>
      <c r="E822">
        <f>IF(설정!$C$7="","",IFERROR(INDEX('1.산군_붙여넣기'!$A$1:$AZ$1001,ROW(),설정!$C$7)&amp;"",""))</f>
        <v/>
      </c>
      <c r="F822">
        <f>IF(설정!$C$8="","",IFERROR(INDEX('1.산군_붙여넣기'!$A$1:$AZ$1001,ROW(),설정!$C$8)&amp;"",""))</f>
        <v/>
      </c>
      <c r="G822">
        <f>IF(설정!$C$9="","",IFERROR(INDEX('1.산군_붙여넣기'!$A$1:$AZ$1001,ROW(),설정!$C$9)&amp;"",""))</f>
        <v/>
      </c>
      <c r="H822">
        <f>IF(설정!$C$10="","",IFERROR(INDEX('1.산군_붙여넣기'!$A$1:$AZ$1001,ROW(),설정!$C$10)&amp;"",""))</f>
        <v/>
      </c>
      <c r="I822">
        <f>IF(설정!$C$11="","",IFERROR(INDEX('1.산군_붙여넣기'!$A$1:$AZ$1001,ROW(),설정!$C$11)&amp;"",""))</f>
        <v/>
      </c>
      <c r="J822">
        <f>IF(설정!$C$12="","",IFERROR(INDEX('1.산군_붙여넣기'!$A$1:$AZ$1001,ROW(),설정!$C$12)&amp;"",""))</f>
        <v/>
      </c>
      <c r="K822">
        <f>IF(설정!$C$13="","",IFERROR(INDEX('1.산군_붙여넣기'!$A$1:$AZ$1001,ROW(),설정!$C$13)&amp;"",""))</f>
        <v/>
      </c>
      <c r="L822" s="7">
        <f>IF(X822="","",IF(AND(LEN(X822)=8,ISNUMBER(X822*1)),DATE(LEFT(X822,4),MID(X822,5,2),RIGHT(X822,2)),IFERROR(DATEVALUE(SUBSTITUTE(SUBSTITUTE(X822,".","-"),"/","-")),IFERROR(X822*1,""))))</f>
        <v/>
      </c>
      <c r="M822" s="7">
        <f>IF(Y822="","",IF(AND(LEN(Y822)=8,ISNUMBER(Y822*1)),DATE(LEFT(Y822,4),MID(Y822,5,2),RIGHT(Y822,2)),IFERROR(DATEVALUE(SUBSTITUTE(SUBSTITUTE(Y822,".","-"),"/","-")),IFERROR(Y822*1,""))))</f>
        <v/>
      </c>
      <c r="N822">
        <f>IFERROR(LEFT(B822,FIND(" ",B822)-1),B822)</f>
        <v/>
      </c>
      <c r="O822">
        <f>AND(B822&lt;&gt;"",B822&lt;&gt;설정!$B$4,C822&lt;&gt;설정!$B$5)</f>
        <v/>
      </c>
      <c r="P822">
        <f>IF(O822,B822&amp;"|"&amp;C822,"")</f>
        <v/>
      </c>
      <c r="Q822">
        <f>AND(O822,COUNTIF(P823:P$1002,P822)=0)</f>
        <v/>
      </c>
      <c r="R822">
        <f>OR(AND(설정!$A$42&lt;&gt;"",ISNUMBER(SEARCH(설정!$A$42,E822&amp;" "&amp;C822))),AND(설정!$A$43&lt;&gt;"",ISNUMBER(SEARCH(설정!$A$43,E822&amp;" "&amp;C822))),AND(설정!$A$44&lt;&gt;"",ISNUMBER(SEARCH(설정!$A$44,E822&amp;" "&amp;C822))),AND(설정!$A$45&lt;&gt;"",ISNUMBER(SEARCH(설정!$A$45,E822&amp;" "&amp;C822))),AND(설정!$A$46&lt;&gt;"",ISNUMBER(SEARCH(설정!$A$46,E822&amp;" "&amp;C822))),AND(설정!$A$47&lt;&gt;"",ISNUMBER(SEARCH(설정!$A$47,E822&amp;" "&amp;C822))),AND(설정!$A$48&lt;&gt;"",ISNUMBER(SEARCH(설정!$A$48,E822&amp;" "&amp;C822))),AND(설정!$A$49&lt;&gt;"",ISNUMBER(SEARCH(설정!$A$49,E822&amp;" "&amp;C822))),AND(설정!$A$50&lt;&gt;"",ISNUMBER(SEARCH(설정!$A$50,E822&amp;" "&amp;C822))),AND(설정!$A$51&lt;&gt;"",ISNUMBER(SEARCH(설정!$A$51,E822&amp;" "&amp;C822))))</f>
        <v/>
      </c>
      <c r="S822">
        <f>OR(D822="",D822&gt;=설정!$B$19)</f>
        <v/>
      </c>
      <c r="T822">
        <f>AND(Q822,R822,S822)</f>
        <v/>
      </c>
      <c r="U822">
        <f>IF(T822,IF(AND(설정!$A$54&lt;&gt;"",ISNUMBER(SEARCH(설정!$A$54,K822))),설정!$B$54,IF(AND(설정!$A$55&lt;&gt;"",ISNUMBER(SEARCH(설정!$A$55,K822))),설정!$B$55,IF(AND(설정!$A$56&lt;&gt;"",ISNUMBER(SEARCH(설정!$A$56,K822))),설정!$B$56,IF(AND(설정!$A$57&lt;&gt;"",ISNUMBER(SEARCH(설정!$A$57,K822))),설정!$B$57,IF(AND(설정!$A$58&lt;&gt;"",ISNUMBER(SEARCH(설정!$A$58,K822))),설정!$B$58,IF(AND(설정!$A$59&lt;&gt;"",ISNUMBER(SEARCH(설정!$A$59,K822))),설정!$B$59,IF(AND(설정!$A$60&lt;&gt;"",ISNUMBER(SEARCH(설정!$A$60,K822))),설정!$B$60,IF(AND(설정!$A$61&lt;&gt;"",ISNUMBER(SEARCH(설정!$A$61,K822))),설정!$B$61,IF(M822="","설계사","시공사"))))))))),"")</f>
        <v/>
      </c>
      <c r="V822">
        <f>SUBSTITUTE(SUBSTITUTE(SUBSTITUTE(SUBSTITUTE(G822,"(주)",""),"㈜",""),"주식회사","")," ","")</f>
        <v/>
      </c>
      <c r="W822">
        <f>IF(AND(T822,V822&lt;&gt;""),IF(COUNTIFS(V$2:V822,V822,T$2:T822,TRUE)=1,MAX(W$1:W821)+1,""),"")</f>
        <v/>
      </c>
      <c r="X822">
        <f>IF(설정!$C$14="","",IFERROR(INDEX('1.산군_붙여넣기'!$A$1:$AZ$1001,ROW(),설정!$C$14)&amp;"",""))</f>
        <v/>
      </c>
      <c r="Y822">
        <f>IF(설정!$C$15="","",IFERROR(INDEX('1.산군_붙여넣기'!$A$1:$AZ$1001,ROW(),설정!$C$15)&amp;"",""))</f>
        <v/>
      </c>
      <c r="Z822">
        <f>IF(T822,V822&amp;"|"&amp;U822,"")</f>
        <v/>
      </c>
      <c r="AA822">
        <f>IF(NOT(Q822),"",IF(NOT(AND(R822,S822)),"✕",IF(OR(OR(AND(L822&lt;&gt;"",M822&lt;&gt;"",N(M822)-N(L822)&gt;설정!$B$27),AND(L822&lt;&gt;"",M822="",설정!$B$24-N(L822)&gt;설정!$B$27)),AND(D822&lt;&gt;"",D822&lt;설정!$B$26)),"△","★")))</f>
        <v/>
      </c>
      <c r="AB822">
        <f>IF(NOT(T822),"",IF(U822="설계사",설정!$B$31,IF(U822="시공사",IF(OR(M822="",설정!$B$24-N(M822)&lt;=설정!$B$28*30.4),설정!$B$32,설정!$B$33),설정!$B$34))+IF(AA822="★",설정!$B$35,0))</f>
        <v/>
      </c>
      <c r="AC822">
        <f>SUBSTITUTE(SUBSTITUTE(SUBSTITUTE(SUBSTITUTE(H822,"(주)",""),"㈜",""),"주식회사","")," ","")</f>
        <v/>
      </c>
      <c r="AD822">
        <f>IF(AND(T822,AC822&lt;&gt;""),IF(COUNTIFS(AC$2:AC822,AC822,T$2:T822,TRUE)=1,MAX(AD$1:AD821)+1,""),"")</f>
        <v/>
      </c>
    </row>
    <row r="823">
      <c r="A823">
        <f>ROW()</f>
        <v/>
      </c>
      <c r="B823">
        <f>IF(설정!$C$4="","",IFERROR(INDEX('1.산군_붙여넣기'!$A$1:$AZ$1001,ROW(),설정!$C$4)&amp;"",""))</f>
        <v/>
      </c>
      <c r="C823">
        <f>IF(설정!$C$5="","",IFERROR(INDEX('1.산군_붙여넣기'!$A$1:$AZ$1001,ROW(),설정!$C$5)&amp;"",""))</f>
        <v/>
      </c>
      <c r="D823" s="5">
        <f>IFERROR(VALUE(SUBSTITUTE(SUBSTITUTE(SUBSTITUTE(IF(설정!$C$6="","",IFERROR(INDEX('1.산군_붙여넣기'!$A$1:$AZ$1001,ROW(),설정!$C$6)&amp;"","")),",",""),"㎡",""),"m2","")),"")</f>
        <v/>
      </c>
      <c r="E823">
        <f>IF(설정!$C$7="","",IFERROR(INDEX('1.산군_붙여넣기'!$A$1:$AZ$1001,ROW(),설정!$C$7)&amp;"",""))</f>
        <v/>
      </c>
      <c r="F823">
        <f>IF(설정!$C$8="","",IFERROR(INDEX('1.산군_붙여넣기'!$A$1:$AZ$1001,ROW(),설정!$C$8)&amp;"",""))</f>
        <v/>
      </c>
      <c r="G823">
        <f>IF(설정!$C$9="","",IFERROR(INDEX('1.산군_붙여넣기'!$A$1:$AZ$1001,ROW(),설정!$C$9)&amp;"",""))</f>
        <v/>
      </c>
      <c r="H823">
        <f>IF(설정!$C$10="","",IFERROR(INDEX('1.산군_붙여넣기'!$A$1:$AZ$1001,ROW(),설정!$C$10)&amp;"",""))</f>
        <v/>
      </c>
      <c r="I823">
        <f>IF(설정!$C$11="","",IFERROR(INDEX('1.산군_붙여넣기'!$A$1:$AZ$1001,ROW(),설정!$C$11)&amp;"",""))</f>
        <v/>
      </c>
      <c r="J823">
        <f>IF(설정!$C$12="","",IFERROR(INDEX('1.산군_붙여넣기'!$A$1:$AZ$1001,ROW(),설정!$C$12)&amp;"",""))</f>
        <v/>
      </c>
      <c r="K823">
        <f>IF(설정!$C$13="","",IFERROR(INDEX('1.산군_붙여넣기'!$A$1:$AZ$1001,ROW(),설정!$C$13)&amp;"",""))</f>
        <v/>
      </c>
      <c r="L823" s="7">
        <f>IF(X823="","",IF(AND(LEN(X823)=8,ISNUMBER(X823*1)),DATE(LEFT(X823,4),MID(X823,5,2),RIGHT(X823,2)),IFERROR(DATEVALUE(SUBSTITUTE(SUBSTITUTE(X823,".","-"),"/","-")),IFERROR(X823*1,""))))</f>
        <v/>
      </c>
      <c r="M823" s="7">
        <f>IF(Y823="","",IF(AND(LEN(Y823)=8,ISNUMBER(Y823*1)),DATE(LEFT(Y823,4),MID(Y823,5,2),RIGHT(Y823,2)),IFERROR(DATEVALUE(SUBSTITUTE(SUBSTITUTE(Y823,".","-"),"/","-")),IFERROR(Y823*1,""))))</f>
        <v/>
      </c>
      <c r="N823">
        <f>IFERROR(LEFT(B823,FIND(" ",B823)-1),B823)</f>
        <v/>
      </c>
      <c r="O823">
        <f>AND(B823&lt;&gt;"",B823&lt;&gt;설정!$B$4,C823&lt;&gt;설정!$B$5)</f>
        <v/>
      </c>
      <c r="P823">
        <f>IF(O823,B823&amp;"|"&amp;C823,"")</f>
        <v/>
      </c>
      <c r="Q823">
        <f>AND(O823,COUNTIF(P824:P$1002,P823)=0)</f>
        <v/>
      </c>
      <c r="R823">
        <f>OR(AND(설정!$A$42&lt;&gt;"",ISNUMBER(SEARCH(설정!$A$42,E823&amp;" "&amp;C823))),AND(설정!$A$43&lt;&gt;"",ISNUMBER(SEARCH(설정!$A$43,E823&amp;" "&amp;C823))),AND(설정!$A$44&lt;&gt;"",ISNUMBER(SEARCH(설정!$A$44,E823&amp;" "&amp;C823))),AND(설정!$A$45&lt;&gt;"",ISNUMBER(SEARCH(설정!$A$45,E823&amp;" "&amp;C823))),AND(설정!$A$46&lt;&gt;"",ISNUMBER(SEARCH(설정!$A$46,E823&amp;" "&amp;C823))),AND(설정!$A$47&lt;&gt;"",ISNUMBER(SEARCH(설정!$A$47,E823&amp;" "&amp;C823))),AND(설정!$A$48&lt;&gt;"",ISNUMBER(SEARCH(설정!$A$48,E823&amp;" "&amp;C823))),AND(설정!$A$49&lt;&gt;"",ISNUMBER(SEARCH(설정!$A$49,E823&amp;" "&amp;C823))),AND(설정!$A$50&lt;&gt;"",ISNUMBER(SEARCH(설정!$A$50,E823&amp;" "&amp;C823))),AND(설정!$A$51&lt;&gt;"",ISNUMBER(SEARCH(설정!$A$51,E823&amp;" "&amp;C823))))</f>
        <v/>
      </c>
      <c r="S823">
        <f>OR(D823="",D823&gt;=설정!$B$19)</f>
        <v/>
      </c>
      <c r="T823">
        <f>AND(Q823,R823,S823)</f>
        <v/>
      </c>
      <c r="U823">
        <f>IF(T823,IF(AND(설정!$A$54&lt;&gt;"",ISNUMBER(SEARCH(설정!$A$54,K823))),설정!$B$54,IF(AND(설정!$A$55&lt;&gt;"",ISNUMBER(SEARCH(설정!$A$55,K823))),설정!$B$55,IF(AND(설정!$A$56&lt;&gt;"",ISNUMBER(SEARCH(설정!$A$56,K823))),설정!$B$56,IF(AND(설정!$A$57&lt;&gt;"",ISNUMBER(SEARCH(설정!$A$57,K823))),설정!$B$57,IF(AND(설정!$A$58&lt;&gt;"",ISNUMBER(SEARCH(설정!$A$58,K823))),설정!$B$58,IF(AND(설정!$A$59&lt;&gt;"",ISNUMBER(SEARCH(설정!$A$59,K823))),설정!$B$59,IF(AND(설정!$A$60&lt;&gt;"",ISNUMBER(SEARCH(설정!$A$60,K823))),설정!$B$60,IF(AND(설정!$A$61&lt;&gt;"",ISNUMBER(SEARCH(설정!$A$61,K823))),설정!$B$61,IF(M823="","설계사","시공사"))))))))),"")</f>
        <v/>
      </c>
      <c r="V823">
        <f>SUBSTITUTE(SUBSTITUTE(SUBSTITUTE(SUBSTITUTE(G823,"(주)",""),"㈜",""),"주식회사","")," ","")</f>
        <v/>
      </c>
      <c r="W823">
        <f>IF(AND(T823,V823&lt;&gt;""),IF(COUNTIFS(V$2:V823,V823,T$2:T823,TRUE)=1,MAX(W$1:W822)+1,""),"")</f>
        <v/>
      </c>
      <c r="X823">
        <f>IF(설정!$C$14="","",IFERROR(INDEX('1.산군_붙여넣기'!$A$1:$AZ$1001,ROW(),설정!$C$14)&amp;"",""))</f>
        <v/>
      </c>
      <c r="Y823">
        <f>IF(설정!$C$15="","",IFERROR(INDEX('1.산군_붙여넣기'!$A$1:$AZ$1001,ROW(),설정!$C$15)&amp;"",""))</f>
        <v/>
      </c>
      <c r="Z823">
        <f>IF(T823,V823&amp;"|"&amp;U823,"")</f>
        <v/>
      </c>
      <c r="AA823">
        <f>IF(NOT(Q823),"",IF(NOT(AND(R823,S823)),"✕",IF(OR(OR(AND(L823&lt;&gt;"",M823&lt;&gt;"",N(M823)-N(L823)&gt;설정!$B$27),AND(L823&lt;&gt;"",M823="",설정!$B$24-N(L823)&gt;설정!$B$27)),AND(D823&lt;&gt;"",D823&lt;설정!$B$26)),"△","★")))</f>
        <v/>
      </c>
      <c r="AB823">
        <f>IF(NOT(T823),"",IF(U823="설계사",설정!$B$31,IF(U823="시공사",IF(OR(M823="",설정!$B$24-N(M823)&lt;=설정!$B$28*30.4),설정!$B$32,설정!$B$33),설정!$B$34))+IF(AA823="★",설정!$B$35,0))</f>
        <v/>
      </c>
      <c r="AC823">
        <f>SUBSTITUTE(SUBSTITUTE(SUBSTITUTE(SUBSTITUTE(H823,"(주)",""),"㈜",""),"주식회사","")," ","")</f>
        <v/>
      </c>
      <c r="AD823">
        <f>IF(AND(T823,AC823&lt;&gt;""),IF(COUNTIFS(AC$2:AC823,AC823,T$2:T823,TRUE)=1,MAX(AD$1:AD822)+1,""),"")</f>
        <v/>
      </c>
    </row>
    <row r="824">
      <c r="A824">
        <f>ROW()</f>
        <v/>
      </c>
      <c r="B824">
        <f>IF(설정!$C$4="","",IFERROR(INDEX('1.산군_붙여넣기'!$A$1:$AZ$1001,ROW(),설정!$C$4)&amp;"",""))</f>
        <v/>
      </c>
      <c r="C824">
        <f>IF(설정!$C$5="","",IFERROR(INDEX('1.산군_붙여넣기'!$A$1:$AZ$1001,ROW(),설정!$C$5)&amp;"",""))</f>
        <v/>
      </c>
      <c r="D824" s="5">
        <f>IFERROR(VALUE(SUBSTITUTE(SUBSTITUTE(SUBSTITUTE(IF(설정!$C$6="","",IFERROR(INDEX('1.산군_붙여넣기'!$A$1:$AZ$1001,ROW(),설정!$C$6)&amp;"","")),",",""),"㎡",""),"m2","")),"")</f>
        <v/>
      </c>
      <c r="E824">
        <f>IF(설정!$C$7="","",IFERROR(INDEX('1.산군_붙여넣기'!$A$1:$AZ$1001,ROW(),설정!$C$7)&amp;"",""))</f>
        <v/>
      </c>
      <c r="F824">
        <f>IF(설정!$C$8="","",IFERROR(INDEX('1.산군_붙여넣기'!$A$1:$AZ$1001,ROW(),설정!$C$8)&amp;"",""))</f>
        <v/>
      </c>
      <c r="G824">
        <f>IF(설정!$C$9="","",IFERROR(INDEX('1.산군_붙여넣기'!$A$1:$AZ$1001,ROW(),설정!$C$9)&amp;"",""))</f>
        <v/>
      </c>
      <c r="H824">
        <f>IF(설정!$C$10="","",IFERROR(INDEX('1.산군_붙여넣기'!$A$1:$AZ$1001,ROW(),설정!$C$10)&amp;"",""))</f>
        <v/>
      </c>
      <c r="I824">
        <f>IF(설정!$C$11="","",IFERROR(INDEX('1.산군_붙여넣기'!$A$1:$AZ$1001,ROW(),설정!$C$11)&amp;"",""))</f>
        <v/>
      </c>
      <c r="J824">
        <f>IF(설정!$C$12="","",IFERROR(INDEX('1.산군_붙여넣기'!$A$1:$AZ$1001,ROW(),설정!$C$12)&amp;"",""))</f>
        <v/>
      </c>
      <c r="K824">
        <f>IF(설정!$C$13="","",IFERROR(INDEX('1.산군_붙여넣기'!$A$1:$AZ$1001,ROW(),설정!$C$13)&amp;"",""))</f>
        <v/>
      </c>
      <c r="L824" s="7">
        <f>IF(X824="","",IF(AND(LEN(X824)=8,ISNUMBER(X824*1)),DATE(LEFT(X824,4),MID(X824,5,2),RIGHT(X824,2)),IFERROR(DATEVALUE(SUBSTITUTE(SUBSTITUTE(X824,".","-"),"/","-")),IFERROR(X824*1,""))))</f>
        <v/>
      </c>
      <c r="M824" s="7">
        <f>IF(Y824="","",IF(AND(LEN(Y824)=8,ISNUMBER(Y824*1)),DATE(LEFT(Y824,4),MID(Y824,5,2),RIGHT(Y824,2)),IFERROR(DATEVALUE(SUBSTITUTE(SUBSTITUTE(Y824,".","-"),"/","-")),IFERROR(Y824*1,""))))</f>
        <v/>
      </c>
      <c r="N824">
        <f>IFERROR(LEFT(B824,FIND(" ",B824)-1),B824)</f>
        <v/>
      </c>
      <c r="O824">
        <f>AND(B824&lt;&gt;"",B824&lt;&gt;설정!$B$4,C824&lt;&gt;설정!$B$5)</f>
        <v/>
      </c>
      <c r="P824">
        <f>IF(O824,B824&amp;"|"&amp;C824,"")</f>
        <v/>
      </c>
      <c r="Q824">
        <f>AND(O824,COUNTIF(P825:P$1002,P824)=0)</f>
        <v/>
      </c>
      <c r="R824">
        <f>OR(AND(설정!$A$42&lt;&gt;"",ISNUMBER(SEARCH(설정!$A$42,E824&amp;" "&amp;C824))),AND(설정!$A$43&lt;&gt;"",ISNUMBER(SEARCH(설정!$A$43,E824&amp;" "&amp;C824))),AND(설정!$A$44&lt;&gt;"",ISNUMBER(SEARCH(설정!$A$44,E824&amp;" "&amp;C824))),AND(설정!$A$45&lt;&gt;"",ISNUMBER(SEARCH(설정!$A$45,E824&amp;" "&amp;C824))),AND(설정!$A$46&lt;&gt;"",ISNUMBER(SEARCH(설정!$A$46,E824&amp;" "&amp;C824))),AND(설정!$A$47&lt;&gt;"",ISNUMBER(SEARCH(설정!$A$47,E824&amp;" "&amp;C824))),AND(설정!$A$48&lt;&gt;"",ISNUMBER(SEARCH(설정!$A$48,E824&amp;" "&amp;C824))),AND(설정!$A$49&lt;&gt;"",ISNUMBER(SEARCH(설정!$A$49,E824&amp;" "&amp;C824))),AND(설정!$A$50&lt;&gt;"",ISNUMBER(SEARCH(설정!$A$50,E824&amp;" "&amp;C824))),AND(설정!$A$51&lt;&gt;"",ISNUMBER(SEARCH(설정!$A$51,E824&amp;" "&amp;C824))))</f>
        <v/>
      </c>
      <c r="S824">
        <f>OR(D824="",D824&gt;=설정!$B$19)</f>
        <v/>
      </c>
      <c r="T824">
        <f>AND(Q824,R824,S824)</f>
        <v/>
      </c>
      <c r="U824">
        <f>IF(T824,IF(AND(설정!$A$54&lt;&gt;"",ISNUMBER(SEARCH(설정!$A$54,K824))),설정!$B$54,IF(AND(설정!$A$55&lt;&gt;"",ISNUMBER(SEARCH(설정!$A$55,K824))),설정!$B$55,IF(AND(설정!$A$56&lt;&gt;"",ISNUMBER(SEARCH(설정!$A$56,K824))),설정!$B$56,IF(AND(설정!$A$57&lt;&gt;"",ISNUMBER(SEARCH(설정!$A$57,K824))),설정!$B$57,IF(AND(설정!$A$58&lt;&gt;"",ISNUMBER(SEARCH(설정!$A$58,K824))),설정!$B$58,IF(AND(설정!$A$59&lt;&gt;"",ISNUMBER(SEARCH(설정!$A$59,K824))),설정!$B$59,IF(AND(설정!$A$60&lt;&gt;"",ISNUMBER(SEARCH(설정!$A$60,K824))),설정!$B$60,IF(AND(설정!$A$61&lt;&gt;"",ISNUMBER(SEARCH(설정!$A$61,K824))),설정!$B$61,IF(M824="","설계사","시공사"))))))))),"")</f>
        <v/>
      </c>
      <c r="V824">
        <f>SUBSTITUTE(SUBSTITUTE(SUBSTITUTE(SUBSTITUTE(G824,"(주)",""),"㈜",""),"주식회사","")," ","")</f>
        <v/>
      </c>
      <c r="W824">
        <f>IF(AND(T824,V824&lt;&gt;""),IF(COUNTIFS(V$2:V824,V824,T$2:T824,TRUE)=1,MAX(W$1:W823)+1,""),"")</f>
        <v/>
      </c>
      <c r="X824">
        <f>IF(설정!$C$14="","",IFERROR(INDEX('1.산군_붙여넣기'!$A$1:$AZ$1001,ROW(),설정!$C$14)&amp;"",""))</f>
        <v/>
      </c>
      <c r="Y824">
        <f>IF(설정!$C$15="","",IFERROR(INDEX('1.산군_붙여넣기'!$A$1:$AZ$1001,ROW(),설정!$C$15)&amp;"",""))</f>
        <v/>
      </c>
      <c r="Z824">
        <f>IF(T824,V824&amp;"|"&amp;U824,"")</f>
        <v/>
      </c>
      <c r="AA824">
        <f>IF(NOT(Q824),"",IF(NOT(AND(R824,S824)),"✕",IF(OR(OR(AND(L824&lt;&gt;"",M824&lt;&gt;"",N(M824)-N(L824)&gt;설정!$B$27),AND(L824&lt;&gt;"",M824="",설정!$B$24-N(L824)&gt;설정!$B$27)),AND(D824&lt;&gt;"",D824&lt;설정!$B$26)),"△","★")))</f>
        <v/>
      </c>
      <c r="AB824">
        <f>IF(NOT(T824),"",IF(U824="설계사",설정!$B$31,IF(U824="시공사",IF(OR(M824="",설정!$B$24-N(M824)&lt;=설정!$B$28*30.4),설정!$B$32,설정!$B$33),설정!$B$34))+IF(AA824="★",설정!$B$35,0))</f>
        <v/>
      </c>
      <c r="AC824">
        <f>SUBSTITUTE(SUBSTITUTE(SUBSTITUTE(SUBSTITUTE(H824,"(주)",""),"㈜",""),"주식회사","")," ","")</f>
        <v/>
      </c>
      <c r="AD824">
        <f>IF(AND(T824,AC824&lt;&gt;""),IF(COUNTIFS(AC$2:AC824,AC824,T$2:T824,TRUE)=1,MAX(AD$1:AD823)+1,""),"")</f>
        <v/>
      </c>
    </row>
    <row r="825">
      <c r="A825">
        <f>ROW()</f>
        <v/>
      </c>
      <c r="B825">
        <f>IF(설정!$C$4="","",IFERROR(INDEX('1.산군_붙여넣기'!$A$1:$AZ$1001,ROW(),설정!$C$4)&amp;"",""))</f>
        <v/>
      </c>
      <c r="C825">
        <f>IF(설정!$C$5="","",IFERROR(INDEX('1.산군_붙여넣기'!$A$1:$AZ$1001,ROW(),설정!$C$5)&amp;"",""))</f>
        <v/>
      </c>
      <c r="D825" s="5">
        <f>IFERROR(VALUE(SUBSTITUTE(SUBSTITUTE(SUBSTITUTE(IF(설정!$C$6="","",IFERROR(INDEX('1.산군_붙여넣기'!$A$1:$AZ$1001,ROW(),설정!$C$6)&amp;"","")),",",""),"㎡",""),"m2","")),"")</f>
        <v/>
      </c>
      <c r="E825">
        <f>IF(설정!$C$7="","",IFERROR(INDEX('1.산군_붙여넣기'!$A$1:$AZ$1001,ROW(),설정!$C$7)&amp;"",""))</f>
        <v/>
      </c>
      <c r="F825">
        <f>IF(설정!$C$8="","",IFERROR(INDEX('1.산군_붙여넣기'!$A$1:$AZ$1001,ROW(),설정!$C$8)&amp;"",""))</f>
        <v/>
      </c>
      <c r="G825">
        <f>IF(설정!$C$9="","",IFERROR(INDEX('1.산군_붙여넣기'!$A$1:$AZ$1001,ROW(),설정!$C$9)&amp;"",""))</f>
        <v/>
      </c>
      <c r="H825">
        <f>IF(설정!$C$10="","",IFERROR(INDEX('1.산군_붙여넣기'!$A$1:$AZ$1001,ROW(),설정!$C$10)&amp;"",""))</f>
        <v/>
      </c>
      <c r="I825">
        <f>IF(설정!$C$11="","",IFERROR(INDEX('1.산군_붙여넣기'!$A$1:$AZ$1001,ROW(),설정!$C$11)&amp;"",""))</f>
        <v/>
      </c>
      <c r="J825">
        <f>IF(설정!$C$12="","",IFERROR(INDEX('1.산군_붙여넣기'!$A$1:$AZ$1001,ROW(),설정!$C$12)&amp;"",""))</f>
        <v/>
      </c>
      <c r="K825">
        <f>IF(설정!$C$13="","",IFERROR(INDEX('1.산군_붙여넣기'!$A$1:$AZ$1001,ROW(),설정!$C$13)&amp;"",""))</f>
        <v/>
      </c>
      <c r="L825" s="7">
        <f>IF(X825="","",IF(AND(LEN(X825)=8,ISNUMBER(X825*1)),DATE(LEFT(X825,4),MID(X825,5,2),RIGHT(X825,2)),IFERROR(DATEVALUE(SUBSTITUTE(SUBSTITUTE(X825,".","-"),"/","-")),IFERROR(X825*1,""))))</f>
        <v/>
      </c>
      <c r="M825" s="7">
        <f>IF(Y825="","",IF(AND(LEN(Y825)=8,ISNUMBER(Y825*1)),DATE(LEFT(Y825,4),MID(Y825,5,2),RIGHT(Y825,2)),IFERROR(DATEVALUE(SUBSTITUTE(SUBSTITUTE(Y825,".","-"),"/","-")),IFERROR(Y825*1,""))))</f>
        <v/>
      </c>
      <c r="N825">
        <f>IFERROR(LEFT(B825,FIND(" ",B825)-1),B825)</f>
        <v/>
      </c>
      <c r="O825">
        <f>AND(B825&lt;&gt;"",B825&lt;&gt;설정!$B$4,C825&lt;&gt;설정!$B$5)</f>
        <v/>
      </c>
      <c r="P825">
        <f>IF(O825,B825&amp;"|"&amp;C825,"")</f>
        <v/>
      </c>
      <c r="Q825">
        <f>AND(O825,COUNTIF(P826:P$1002,P825)=0)</f>
        <v/>
      </c>
      <c r="R825">
        <f>OR(AND(설정!$A$42&lt;&gt;"",ISNUMBER(SEARCH(설정!$A$42,E825&amp;" "&amp;C825))),AND(설정!$A$43&lt;&gt;"",ISNUMBER(SEARCH(설정!$A$43,E825&amp;" "&amp;C825))),AND(설정!$A$44&lt;&gt;"",ISNUMBER(SEARCH(설정!$A$44,E825&amp;" "&amp;C825))),AND(설정!$A$45&lt;&gt;"",ISNUMBER(SEARCH(설정!$A$45,E825&amp;" "&amp;C825))),AND(설정!$A$46&lt;&gt;"",ISNUMBER(SEARCH(설정!$A$46,E825&amp;" "&amp;C825))),AND(설정!$A$47&lt;&gt;"",ISNUMBER(SEARCH(설정!$A$47,E825&amp;" "&amp;C825))),AND(설정!$A$48&lt;&gt;"",ISNUMBER(SEARCH(설정!$A$48,E825&amp;" "&amp;C825))),AND(설정!$A$49&lt;&gt;"",ISNUMBER(SEARCH(설정!$A$49,E825&amp;" "&amp;C825))),AND(설정!$A$50&lt;&gt;"",ISNUMBER(SEARCH(설정!$A$50,E825&amp;" "&amp;C825))),AND(설정!$A$51&lt;&gt;"",ISNUMBER(SEARCH(설정!$A$51,E825&amp;" "&amp;C825))))</f>
        <v/>
      </c>
      <c r="S825">
        <f>OR(D825="",D825&gt;=설정!$B$19)</f>
        <v/>
      </c>
      <c r="T825">
        <f>AND(Q825,R825,S825)</f>
        <v/>
      </c>
      <c r="U825">
        <f>IF(T825,IF(AND(설정!$A$54&lt;&gt;"",ISNUMBER(SEARCH(설정!$A$54,K825))),설정!$B$54,IF(AND(설정!$A$55&lt;&gt;"",ISNUMBER(SEARCH(설정!$A$55,K825))),설정!$B$55,IF(AND(설정!$A$56&lt;&gt;"",ISNUMBER(SEARCH(설정!$A$56,K825))),설정!$B$56,IF(AND(설정!$A$57&lt;&gt;"",ISNUMBER(SEARCH(설정!$A$57,K825))),설정!$B$57,IF(AND(설정!$A$58&lt;&gt;"",ISNUMBER(SEARCH(설정!$A$58,K825))),설정!$B$58,IF(AND(설정!$A$59&lt;&gt;"",ISNUMBER(SEARCH(설정!$A$59,K825))),설정!$B$59,IF(AND(설정!$A$60&lt;&gt;"",ISNUMBER(SEARCH(설정!$A$60,K825))),설정!$B$60,IF(AND(설정!$A$61&lt;&gt;"",ISNUMBER(SEARCH(설정!$A$61,K825))),설정!$B$61,IF(M825="","설계사","시공사"))))))))),"")</f>
        <v/>
      </c>
      <c r="V825">
        <f>SUBSTITUTE(SUBSTITUTE(SUBSTITUTE(SUBSTITUTE(G825,"(주)",""),"㈜",""),"주식회사","")," ","")</f>
        <v/>
      </c>
      <c r="W825">
        <f>IF(AND(T825,V825&lt;&gt;""),IF(COUNTIFS(V$2:V825,V825,T$2:T825,TRUE)=1,MAX(W$1:W824)+1,""),"")</f>
        <v/>
      </c>
      <c r="X825">
        <f>IF(설정!$C$14="","",IFERROR(INDEX('1.산군_붙여넣기'!$A$1:$AZ$1001,ROW(),설정!$C$14)&amp;"",""))</f>
        <v/>
      </c>
      <c r="Y825">
        <f>IF(설정!$C$15="","",IFERROR(INDEX('1.산군_붙여넣기'!$A$1:$AZ$1001,ROW(),설정!$C$15)&amp;"",""))</f>
        <v/>
      </c>
      <c r="Z825">
        <f>IF(T825,V825&amp;"|"&amp;U825,"")</f>
        <v/>
      </c>
      <c r="AA825">
        <f>IF(NOT(Q825),"",IF(NOT(AND(R825,S825)),"✕",IF(OR(OR(AND(L825&lt;&gt;"",M825&lt;&gt;"",N(M825)-N(L825)&gt;설정!$B$27),AND(L825&lt;&gt;"",M825="",설정!$B$24-N(L825)&gt;설정!$B$27)),AND(D825&lt;&gt;"",D825&lt;설정!$B$26)),"△","★")))</f>
        <v/>
      </c>
      <c r="AB825">
        <f>IF(NOT(T825),"",IF(U825="설계사",설정!$B$31,IF(U825="시공사",IF(OR(M825="",설정!$B$24-N(M825)&lt;=설정!$B$28*30.4),설정!$B$32,설정!$B$33),설정!$B$34))+IF(AA825="★",설정!$B$35,0))</f>
        <v/>
      </c>
      <c r="AC825">
        <f>SUBSTITUTE(SUBSTITUTE(SUBSTITUTE(SUBSTITUTE(H825,"(주)",""),"㈜",""),"주식회사","")," ","")</f>
        <v/>
      </c>
      <c r="AD825">
        <f>IF(AND(T825,AC825&lt;&gt;""),IF(COUNTIFS(AC$2:AC825,AC825,T$2:T825,TRUE)=1,MAX(AD$1:AD824)+1,""),"")</f>
        <v/>
      </c>
    </row>
    <row r="826">
      <c r="A826">
        <f>ROW()</f>
        <v/>
      </c>
      <c r="B826">
        <f>IF(설정!$C$4="","",IFERROR(INDEX('1.산군_붙여넣기'!$A$1:$AZ$1001,ROW(),설정!$C$4)&amp;"",""))</f>
        <v/>
      </c>
      <c r="C826">
        <f>IF(설정!$C$5="","",IFERROR(INDEX('1.산군_붙여넣기'!$A$1:$AZ$1001,ROW(),설정!$C$5)&amp;"",""))</f>
        <v/>
      </c>
      <c r="D826" s="5">
        <f>IFERROR(VALUE(SUBSTITUTE(SUBSTITUTE(SUBSTITUTE(IF(설정!$C$6="","",IFERROR(INDEX('1.산군_붙여넣기'!$A$1:$AZ$1001,ROW(),설정!$C$6)&amp;"","")),",",""),"㎡",""),"m2","")),"")</f>
        <v/>
      </c>
      <c r="E826">
        <f>IF(설정!$C$7="","",IFERROR(INDEX('1.산군_붙여넣기'!$A$1:$AZ$1001,ROW(),설정!$C$7)&amp;"",""))</f>
        <v/>
      </c>
      <c r="F826">
        <f>IF(설정!$C$8="","",IFERROR(INDEX('1.산군_붙여넣기'!$A$1:$AZ$1001,ROW(),설정!$C$8)&amp;"",""))</f>
        <v/>
      </c>
      <c r="G826">
        <f>IF(설정!$C$9="","",IFERROR(INDEX('1.산군_붙여넣기'!$A$1:$AZ$1001,ROW(),설정!$C$9)&amp;"",""))</f>
        <v/>
      </c>
      <c r="H826">
        <f>IF(설정!$C$10="","",IFERROR(INDEX('1.산군_붙여넣기'!$A$1:$AZ$1001,ROW(),설정!$C$10)&amp;"",""))</f>
        <v/>
      </c>
      <c r="I826">
        <f>IF(설정!$C$11="","",IFERROR(INDEX('1.산군_붙여넣기'!$A$1:$AZ$1001,ROW(),설정!$C$11)&amp;"",""))</f>
        <v/>
      </c>
      <c r="J826">
        <f>IF(설정!$C$12="","",IFERROR(INDEX('1.산군_붙여넣기'!$A$1:$AZ$1001,ROW(),설정!$C$12)&amp;"",""))</f>
        <v/>
      </c>
      <c r="K826">
        <f>IF(설정!$C$13="","",IFERROR(INDEX('1.산군_붙여넣기'!$A$1:$AZ$1001,ROW(),설정!$C$13)&amp;"",""))</f>
        <v/>
      </c>
      <c r="L826" s="7">
        <f>IF(X826="","",IF(AND(LEN(X826)=8,ISNUMBER(X826*1)),DATE(LEFT(X826,4),MID(X826,5,2),RIGHT(X826,2)),IFERROR(DATEVALUE(SUBSTITUTE(SUBSTITUTE(X826,".","-"),"/","-")),IFERROR(X826*1,""))))</f>
        <v/>
      </c>
      <c r="M826" s="7">
        <f>IF(Y826="","",IF(AND(LEN(Y826)=8,ISNUMBER(Y826*1)),DATE(LEFT(Y826,4),MID(Y826,5,2),RIGHT(Y826,2)),IFERROR(DATEVALUE(SUBSTITUTE(SUBSTITUTE(Y826,".","-"),"/","-")),IFERROR(Y826*1,""))))</f>
        <v/>
      </c>
      <c r="N826">
        <f>IFERROR(LEFT(B826,FIND(" ",B826)-1),B826)</f>
        <v/>
      </c>
      <c r="O826">
        <f>AND(B826&lt;&gt;"",B826&lt;&gt;설정!$B$4,C826&lt;&gt;설정!$B$5)</f>
        <v/>
      </c>
      <c r="P826">
        <f>IF(O826,B826&amp;"|"&amp;C826,"")</f>
        <v/>
      </c>
      <c r="Q826">
        <f>AND(O826,COUNTIF(P827:P$1002,P826)=0)</f>
        <v/>
      </c>
      <c r="R826">
        <f>OR(AND(설정!$A$42&lt;&gt;"",ISNUMBER(SEARCH(설정!$A$42,E826&amp;" "&amp;C826))),AND(설정!$A$43&lt;&gt;"",ISNUMBER(SEARCH(설정!$A$43,E826&amp;" "&amp;C826))),AND(설정!$A$44&lt;&gt;"",ISNUMBER(SEARCH(설정!$A$44,E826&amp;" "&amp;C826))),AND(설정!$A$45&lt;&gt;"",ISNUMBER(SEARCH(설정!$A$45,E826&amp;" "&amp;C826))),AND(설정!$A$46&lt;&gt;"",ISNUMBER(SEARCH(설정!$A$46,E826&amp;" "&amp;C826))),AND(설정!$A$47&lt;&gt;"",ISNUMBER(SEARCH(설정!$A$47,E826&amp;" "&amp;C826))),AND(설정!$A$48&lt;&gt;"",ISNUMBER(SEARCH(설정!$A$48,E826&amp;" "&amp;C826))),AND(설정!$A$49&lt;&gt;"",ISNUMBER(SEARCH(설정!$A$49,E826&amp;" "&amp;C826))),AND(설정!$A$50&lt;&gt;"",ISNUMBER(SEARCH(설정!$A$50,E826&amp;" "&amp;C826))),AND(설정!$A$51&lt;&gt;"",ISNUMBER(SEARCH(설정!$A$51,E826&amp;" "&amp;C826))))</f>
        <v/>
      </c>
      <c r="S826">
        <f>OR(D826="",D826&gt;=설정!$B$19)</f>
        <v/>
      </c>
      <c r="T826">
        <f>AND(Q826,R826,S826)</f>
        <v/>
      </c>
      <c r="U826">
        <f>IF(T826,IF(AND(설정!$A$54&lt;&gt;"",ISNUMBER(SEARCH(설정!$A$54,K826))),설정!$B$54,IF(AND(설정!$A$55&lt;&gt;"",ISNUMBER(SEARCH(설정!$A$55,K826))),설정!$B$55,IF(AND(설정!$A$56&lt;&gt;"",ISNUMBER(SEARCH(설정!$A$56,K826))),설정!$B$56,IF(AND(설정!$A$57&lt;&gt;"",ISNUMBER(SEARCH(설정!$A$57,K826))),설정!$B$57,IF(AND(설정!$A$58&lt;&gt;"",ISNUMBER(SEARCH(설정!$A$58,K826))),설정!$B$58,IF(AND(설정!$A$59&lt;&gt;"",ISNUMBER(SEARCH(설정!$A$59,K826))),설정!$B$59,IF(AND(설정!$A$60&lt;&gt;"",ISNUMBER(SEARCH(설정!$A$60,K826))),설정!$B$60,IF(AND(설정!$A$61&lt;&gt;"",ISNUMBER(SEARCH(설정!$A$61,K826))),설정!$B$61,IF(M826="","설계사","시공사"))))))))),"")</f>
        <v/>
      </c>
      <c r="V826">
        <f>SUBSTITUTE(SUBSTITUTE(SUBSTITUTE(SUBSTITUTE(G826,"(주)",""),"㈜",""),"주식회사","")," ","")</f>
        <v/>
      </c>
      <c r="W826">
        <f>IF(AND(T826,V826&lt;&gt;""),IF(COUNTIFS(V$2:V826,V826,T$2:T826,TRUE)=1,MAX(W$1:W825)+1,""),"")</f>
        <v/>
      </c>
      <c r="X826">
        <f>IF(설정!$C$14="","",IFERROR(INDEX('1.산군_붙여넣기'!$A$1:$AZ$1001,ROW(),설정!$C$14)&amp;"",""))</f>
        <v/>
      </c>
      <c r="Y826">
        <f>IF(설정!$C$15="","",IFERROR(INDEX('1.산군_붙여넣기'!$A$1:$AZ$1001,ROW(),설정!$C$15)&amp;"",""))</f>
        <v/>
      </c>
      <c r="Z826">
        <f>IF(T826,V826&amp;"|"&amp;U826,"")</f>
        <v/>
      </c>
      <c r="AA826">
        <f>IF(NOT(Q826),"",IF(NOT(AND(R826,S826)),"✕",IF(OR(OR(AND(L826&lt;&gt;"",M826&lt;&gt;"",N(M826)-N(L826)&gt;설정!$B$27),AND(L826&lt;&gt;"",M826="",설정!$B$24-N(L826)&gt;설정!$B$27)),AND(D826&lt;&gt;"",D826&lt;설정!$B$26)),"△","★")))</f>
        <v/>
      </c>
      <c r="AB826">
        <f>IF(NOT(T826),"",IF(U826="설계사",설정!$B$31,IF(U826="시공사",IF(OR(M826="",설정!$B$24-N(M826)&lt;=설정!$B$28*30.4),설정!$B$32,설정!$B$33),설정!$B$34))+IF(AA826="★",설정!$B$35,0))</f>
        <v/>
      </c>
      <c r="AC826">
        <f>SUBSTITUTE(SUBSTITUTE(SUBSTITUTE(SUBSTITUTE(H826,"(주)",""),"㈜",""),"주식회사","")," ","")</f>
        <v/>
      </c>
      <c r="AD826">
        <f>IF(AND(T826,AC826&lt;&gt;""),IF(COUNTIFS(AC$2:AC826,AC826,T$2:T826,TRUE)=1,MAX(AD$1:AD825)+1,""),"")</f>
        <v/>
      </c>
    </row>
    <row r="827">
      <c r="A827">
        <f>ROW()</f>
        <v/>
      </c>
      <c r="B827">
        <f>IF(설정!$C$4="","",IFERROR(INDEX('1.산군_붙여넣기'!$A$1:$AZ$1001,ROW(),설정!$C$4)&amp;"",""))</f>
        <v/>
      </c>
      <c r="C827">
        <f>IF(설정!$C$5="","",IFERROR(INDEX('1.산군_붙여넣기'!$A$1:$AZ$1001,ROW(),설정!$C$5)&amp;"",""))</f>
        <v/>
      </c>
      <c r="D827" s="5">
        <f>IFERROR(VALUE(SUBSTITUTE(SUBSTITUTE(SUBSTITUTE(IF(설정!$C$6="","",IFERROR(INDEX('1.산군_붙여넣기'!$A$1:$AZ$1001,ROW(),설정!$C$6)&amp;"","")),",",""),"㎡",""),"m2","")),"")</f>
        <v/>
      </c>
      <c r="E827">
        <f>IF(설정!$C$7="","",IFERROR(INDEX('1.산군_붙여넣기'!$A$1:$AZ$1001,ROW(),설정!$C$7)&amp;"",""))</f>
        <v/>
      </c>
      <c r="F827">
        <f>IF(설정!$C$8="","",IFERROR(INDEX('1.산군_붙여넣기'!$A$1:$AZ$1001,ROW(),설정!$C$8)&amp;"",""))</f>
        <v/>
      </c>
      <c r="G827">
        <f>IF(설정!$C$9="","",IFERROR(INDEX('1.산군_붙여넣기'!$A$1:$AZ$1001,ROW(),설정!$C$9)&amp;"",""))</f>
        <v/>
      </c>
      <c r="H827">
        <f>IF(설정!$C$10="","",IFERROR(INDEX('1.산군_붙여넣기'!$A$1:$AZ$1001,ROW(),설정!$C$10)&amp;"",""))</f>
        <v/>
      </c>
      <c r="I827">
        <f>IF(설정!$C$11="","",IFERROR(INDEX('1.산군_붙여넣기'!$A$1:$AZ$1001,ROW(),설정!$C$11)&amp;"",""))</f>
        <v/>
      </c>
      <c r="J827">
        <f>IF(설정!$C$12="","",IFERROR(INDEX('1.산군_붙여넣기'!$A$1:$AZ$1001,ROW(),설정!$C$12)&amp;"",""))</f>
        <v/>
      </c>
      <c r="K827">
        <f>IF(설정!$C$13="","",IFERROR(INDEX('1.산군_붙여넣기'!$A$1:$AZ$1001,ROW(),설정!$C$13)&amp;"",""))</f>
        <v/>
      </c>
      <c r="L827" s="7">
        <f>IF(X827="","",IF(AND(LEN(X827)=8,ISNUMBER(X827*1)),DATE(LEFT(X827,4),MID(X827,5,2),RIGHT(X827,2)),IFERROR(DATEVALUE(SUBSTITUTE(SUBSTITUTE(X827,".","-"),"/","-")),IFERROR(X827*1,""))))</f>
        <v/>
      </c>
      <c r="M827" s="7">
        <f>IF(Y827="","",IF(AND(LEN(Y827)=8,ISNUMBER(Y827*1)),DATE(LEFT(Y827,4),MID(Y827,5,2),RIGHT(Y827,2)),IFERROR(DATEVALUE(SUBSTITUTE(SUBSTITUTE(Y827,".","-"),"/","-")),IFERROR(Y827*1,""))))</f>
        <v/>
      </c>
      <c r="N827">
        <f>IFERROR(LEFT(B827,FIND(" ",B827)-1),B827)</f>
        <v/>
      </c>
      <c r="O827">
        <f>AND(B827&lt;&gt;"",B827&lt;&gt;설정!$B$4,C827&lt;&gt;설정!$B$5)</f>
        <v/>
      </c>
      <c r="P827">
        <f>IF(O827,B827&amp;"|"&amp;C827,"")</f>
        <v/>
      </c>
      <c r="Q827">
        <f>AND(O827,COUNTIF(P828:P$1002,P827)=0)</f>
        <v/>
      </c>
      <c r="R827">
        <f>OR(AND(설정!$A$42&lt;&gt;"",ISNUMBER(SEARCH(설정!$A$42,E827&amp;" "&amp;C827))),AND(설정!$A$43&lt;&gt;"",ISNUMBER(SEARCH(설정!$A$43,E827&amp;" "&amp;C827))),AND(설정!$A$44&lt;&gt;"",ISNUMBER(SEARCH(설정!$A$44,E827&amp;" "&amp;C827))),AND(설정!$A$45&lt;&gt;"",ISNUMBER(SEARCH(설정!$A$45,E827&amp;" "&amp;C827))),AND(설정!$A$46&lt;&gt;"",ISNUMBER(SEARCH(설정!$A$46,E827&amp;" "&amp;C827))),AND(설정!$A$47&lt;&gt;"",ISNUMBER(SEARCH(설정!$A$47,E827&amp;" "&amp;C827))),AND(설정!$A$48&lt;&gt;"",ISNUMBER(SEARCH(설정!$A$48,E827&amp;" "&amp;C827))),AND(설정!$A$49&lt;&gt;"",ISNUMBER(SEARCH(설정!$A$49,E827&amp;" "&amp;C827))),AND(설정!$A$50&lt;&gt;"",ISNUMBER(SEARCH(설정!$A$50,E827&amp;" "&amp;C827))),AND(설정!$A$51&lt;&gt;"",ISNUMBER(SEARCH(설정!$A$51,E827&amp;" "&amp;C827))))</f>
        <v/>
      </c>
      <c r="S827">
        <f>OR(D827="",D827&gt;=설정!$B$19)</f>
        <v/>
      </c>
      <c r="T827">
        <f>AND(Q827,R827,S827)</f>
        <v/>
      </c>
      <c r="U827">
        <f>IF(T827,IF(AND(설정!$A$54&lt;&gt;"",ISNUMBER(SEARCH(설정!$A$54,K827))),설정!$B$54,IF(AND(설정!$A$55&lt;&gt;"",ISNUMBER(SEARCH(설정!$A$55,K827))),설정!$B$55,IF(AND(설정!$A$56&lt;&gt;"",ISNUMBER(SEARCH(설정!$A$56,K827))),설정!$B$56,IF(AND(설정!$A$57&lt;&gt;"",ISNUMBER(SEARCH(설정!$A$57,K827))),설정!$B$57,IF(AND(설정!$A$58&lt;&gt;"",ISNUMBER(SEARCH(설정!$A$58,K827))),설정!$B$58,IF(AND(설정!$A$59&lt;&gt;"",ISNUMBER(SEARCH(설정!$A$59,K827))),설정!$B$59,IF(AND(설정!$A$60&lt;&gt;"",ISNUMBER(SEARCH(설정!$A$60,K827))),설정!$B$60,IF(AND(설정!$A$61&lt;&gt;"",ISNUMBER(SEARCH(설정!$A$61,K827))),설정!$B$61,IF(M827="","설계사","시공사"))))))))),"")</f>
        <v/>
      </c>
      <c r="V827">
        <f>SUBSTITUTE(SUBSTITUTE(SUBSTITUTE(SUBSTITUTE(G827,"(주)",""),"㈜",""),"주식회사","")," ","")</f>
        <v/>
      </c>
      <c r="W827">
        <f>IF(AND(T827,V827&lt;&gt;""),IF(COUNTIFS(V$2:V827,V827,T$2:T827,TRUE)=1,MAX(W$1:W826)+1,""),"")</f>
        <v/>
      </c>
      <c r="X827">
        <f>IF(설정!$C$14="","",IFERROR(INDEX('1.산군_붙여넣기'!$A$1:$AZ$1001,ROW(),설정!$C$14)&amp;"",""))</f>
        <v/>
      </c>
      <c r="Y827">
        <f>IF(설정!$C$15="","",IFERROR(INDEX('1.산군_붙여넣기'!$A$1:$AZ$1001,ROW(),설정!$C$15)&amp;"",""))</f>
        <v/>
      </c>
      <c r="Z827">
        <f>IF(T827,V827&amp;"|"&amp;U827,"")</f>
        <v/>
      </c>
      <c r="AA827">
        <f>IF(NOT(Q827),"",IF(NOT(AND(R827,S827)),"✕",IF(OR(OR(AND(L827&lt;&gt;"",M827&lt;&gt;"",N(M827)-N(L827)&gt;설정!$B$27),AND(L827&lt;&gt;"",M827="",설정!$B$24-N(L827)&gt;설정!$B$27)),AND(D827&lt;&gt;"",D827&lt;설정!$B$26)),"△","★")))</f>
        <v/>
      </c>
      <c r="AB827">
        <f>IF(NOT(T827),"",IF(U827="설계사",설정!$B$31,IF(U827="시공사",IF(OR(M827="",설정!$B$24-N(M827)&lt;=설정!$B$28*30.4),설정!$B$32,설정!$B$33),설정!$B$34))+IF(AA827="★",설정!$B$35,0))</f>
        <v/>
      </c>
      <c r="AC827">
        <f>SUBSTITUTE(SUBSTITUTE(SUBSTITUTE(SUBSTITUTE(H827,"(주)",""),"㈜",""),"주식회사","")," ","")</f>
        <v/>
      </c>
      <c r="AD827">
        <f>IF(AND(T827,AC827&lt;&gt;""),IF(COUNTIFS(AC$2:AC827,AC827,T$2:T827,TRUE)=1,MAX(AD$1:AD826)+1,""),"")</f>
        <v/>
      </c>
    </row>
    <row r="828">
      <c r="A828">
        <f>ROW()</f>
        <v/>
      </c>
      <c r="B828">
        <f>IF(설정!$C$4="","",IFERROR(INDEX('1.산군_붙여넣기'!$A$1:$AZ$1001,ROW(),설정!$C$4)&amp;"",""))</f>
        <v/>
      </c>
      <c r="C828">
        <f>IF(설정!$C$5="","",IFERROR(INDEX('1.산군_붙여넣기'!$A$1:$AZ$1001,ROW(),설정!$C$5)&amp;"",""))</f>
        <v/>
      </c>
      <c r="D828" s="5">
        <f>IFERROR(VALUE(SUBSTITUTE(SUBSTITUTE(SUBSTITUTE(IF(설정!$C$6="","",IFERROR(INDEX('1.산군_붙여넣기'!$A$1:$AZ$1001,ROW(),설정!$C$6)&amp;"","")),",",""),"㎡",""),"m2","")),"")</f>
        <v/>
      </c>
      <c r="E828">
        <f>IF(설정!$C$7="","",IFERROR(INDEX('1.산군_붙여넣기'!$A$1:$AZ$1001,ROW(),설정!$C$7)&amp;"",""))</f>
        <v/>
      </c>
      <c r="F828">
        <f>IF(설정!$C$8="","",IFERROR(INDEX('1.산군_붙여넣기'!$A$1:$AZ$1001,ROW(),설정!$C$8)&amp;"",""))</f>
        <v/>
      </c>
      <c r="G828">
        <f>IF(설정!$C$9="","",IFERROR(INDEX('1.산군_붙여넣기'!$A$1:$AZ$1001,ROW(),설정!$C$9)&amp;"",""))</f>
        <v/>
      </c>
      <c r="H828">
        <f>IF(설정!$C$10="","",IFERROR(INDEX('1.산군_붙여넣기'!$A$1:$AZ$1001,ROW(),설정!$C$10)&amp;"",""))</f>
        <v/>
      </c>
      <c r="I828">
        <f>IF(설정!$C$11="","",IFERROR(INDEX('1.산군_붙여넣기'!$A$1:$AZ$1001,ROW(),설정!$C$11)&amp;"",""))</f>
        <v/>
      </c>
      <c r="J828">
        <f>IF(설정!$C$12="","",IFERROR(INDEX('1.산군_붙여넣기'!$A$1:$AZ$1001,ROW(),설정!$C$12)&amp;"",""))</f>
        <v/>
      </c>
      <c r="K828">
        <f>IF(설정!$C$13="","",IFERROR(INDEX('1.산군_붙여넣기'!$A$1:$AZ$1001,ROW(),설정!$C$13)&amp;"",""))</f>
        <v/>
      </c>
      <c r="L828" s="7">
        <f>IF(X828="","",IF(AND(LEN(X828)=8,ISNUMBER(X828*1)),DATE(LEFT(X828,4),MID(X828,5,2),RIGHT(X828,2)),IFERROR(DATEVALUE(SUBSTITUTE(SUBSTITUTE(X828,".","-"),"/","-")),IFERROR(X828*1,""))))</f>
        <v/>
      </c>
      <c r="M828" s="7">
        <f>IF(Y828="","",IF(AND(LEN(Y828)=8,ISNUMBER(Y828*1)),DATE(LEFT(Y828,4),MID(Y828,5,2),RIGHT(Y828,2)),IFERROR(DATEVALUE(SUBSTITUTE(SUBSTITUTE(Y828,".","-"),"/","-")),IFERROR(Y828*1,""))))</f>
        <v/>
      </c>
      <c r="N828">
        <f>IFERROR(LEFT(B828,FIND(" ",B828)-1),B828)</f>
        <v/>
      </c>
      <c r="O828">
        <f>AND(B828&lt;&gt;"",B828&lt;&gt;설정!$B$4,C828&lt;&gt;설정!$B$5)</f>
        <v/>
      </c>
      <c r="P828">
        <f>IF(O828,B828&amp;"|"&amp;C828,"")</f>
        <v/>
      </c>
      <c r="Q828">
        <f>AND(O828,COUNTIF(P829:P$1002,P828)=0)</f>
        <v/>
      </c>
      <c r="R828">
        <f>OR(AND(설정!$A$42&lt;&gt;"",ISNUMBER(SEARCH(설정!$A$42,E828&amp;" "&amp;C828))),AND(설정!$A$43&lt;&gt;"",ISNUMBER(SEARCH(설정!$A$43,E828&amp;" "&amp;C828))),AND(설정!$A$44&lt;&gt;"",ISNUMBER(SEARCH(설정!$A$44,E828&amp;" "&amp;C828))),AND(설정!$A$45&lt;&gt;"",ISNUMBER(SEARCH(설정!$A$45,E828&amp;" "&amp;C828))),AND(설정!$A$46&lt;&gt;"",ISNUMBER(SEARCH(설정!$A$46,E828&amp;" "&amp;C828))),AND(설정!$A$47&lt;&gt;"",ISNUMBER(SEARCH(설정!$A$47,E828&amp;" "&amp;C828))),AND(설정!$A$48&lt;&gt;"",ISNUMBER(SEARCH(설정!$A$48,E828&amp;" "&amp;C828))),AND(설정!$A$49&lt;&gt;"",ISNUMBER(SEARCH(설정!$A$49,E828&amp;" "&amp;C828))),AND(설정!$A$50&lt;&gt;"",ISNUMBER(SEARCH(설정!$A$50,E828&amp;" "&amp;C828))),AND(설정!$A$51&lt;&gt;"",ISNUMBER(SEARCH(설정!$A$51,E828&amp;" "&amp;C828))))</f>
        <v/>
      </c>
      <c r="S828">
        <f>OR(D828="",D828&gt;=설정!$B$19)</f>
        <v/>
      </c>
      <c r="T828">
        <f>AND(Q828,R828,S828)</f>
        <v/>
      </c>
      <c r="U828">
        <f>IF(T828,IF(AND(설정!$A$54&lt;&gt;"",ISNUMBER(SEARCH(설정!$A$54,K828))),설정!$B$54,IF(AND(설정!$A$55&lt;&gt;"",ISNUMBER(SEARCH(설정!$A$55,K828))),설정!$B$55,IF(AND(설정!$A$56&lt;&gt;"",ISNUMBER(SEARCH(설정!$A$56,K828))),설정!$B$56,IF(AND(설정!$A$57&lt;&gt;"",ISNUMBER(SEARCH(설정!$A$57,K828))),설정!$B$57,IF(AND(설정!$A$58&lt;&gt;"",ISNUMBER(SEARCH(설정!$A$58,K828))),설정!$B$58,IF(AND(설정!$A$59&lt;&gt;"",ISNUMBER(SEARCH(설정!$A$59,K828))),설정!$B$59,IF(AND(설정!$A$60&lt;&gt;"",ISNUMBER(SEARCH(설정!$A$60,K828))),설정!$B$60,IF(AND(설정!$A$61&lt;&gt;"",ISNUMBER(SEARCH(설정!$A$61,K828))),설정!$B$61,IF(M828="","설계사","시공사"))))))))),"")</f>
        <v/>
      </c>
      <c r="V828">
        <f>SUBSTITUTE(SUBSTITUTE(SUBSTITUTE(SUBSTITUTE(G828,"(주)",""),"㈜",""),"주식회사","")," ","")</f>
        <v/>
      </c>
      <c r="W828">
        <f>IF(AND(T828,V828&lt;&gt;""),IF(COUNTIFS(V$2:V828,V828,T$2:T828,TRUE)=1,MAX(W$1:W827)+1,""),"")</f>
        <v/>
      </c>
      <c r="X828">
        <f>IF(설정!$C$14="","",IFERROR(INDEX('1.산군_붙여넣기'!$A$1:$AZ$1001,ROW(),설정!$C$14)&amp;"",""))</f>
        <v/>
      </c>
      <c r="Y828">
        <f>IF(설정!$C$15="","",IFERROR(INDEX('1.산군_붙여넣기'!$A$1:$AZ$1001,ROW(),설정!$C$15)&amp;"",""))</f>
        <v/>
      </c>
      <c r="Z828">
        <f>IF(T828,V828&amp;"|"&amp;U828,"")</f>
        <v/>
      </c>
      <c r="AA828">
        <f>IF(NOT(Q828),"",IF(NOT(AND(R828,S828)),"✕",IF(OR(OR(AND(L828&lt;&gt;"",M828&lt;&gt;"",N(M828)-N(L828)&gt;설정!$B$27),AND(L828&lt;&gt;"",M828="",설정!$B$24-N(L828)&gt;설정!$B$27)),AND(D828&lt;&gt;"",D828&lt;설정!$B$26)),"△","★")))</f>
        <v/>
      </c>
      <c r="AB828">
        <f>IF(NOT(T828),"",IF(U828="설계사",설정!$B$31,IF(U828="시공사",IF(OR(M828="",설정!$B$24-N(M828)&lt;=설정!$B$28*30.4),설정!$B$32,설정!$B$33),설정!$B$34))+IF(AA828="★",설정!$B$35,0))</f>
        <v/>
      </c>
      <c r="AC828">
        <f>SUBSTITUTE(SUBSTITUTE(SUBSTITUTE(SUBSTITUTE(H828,"(주)",""),"㈜",""),"주식회사","")," ","")</f>
        <v/>
      </c>
      <c r="AD828">
        <f>IF(AND(T828,AC828&lt;&gt;""),IF(COUNTIFS(AC$2:AC828,AC828,T$2:T828,TRUE)=1,MAX(AD$1:AD827)+1,""),"")</f>
        <v/>
      </c>
    </row>
    <row r="829">
      <c r="A829">
        <f>ROW()</f>
        <v/>
      </c>
      <c r="B829">
        <f>IF(설정!$C$4="","",IFERROR(INDEX('1.산군_붙여넣기'!$A$1:$AZ$1001,ROW(),설정!$C$4)&amp;"",""))</f>
        <v/>
      </c>
      <c r="C829">
        <f>IF(설정!$C$5="","",IFERROR(INDEX('1.산군_붙여넣기'!$A$1:$AZ$1001,ROW(),설정!$C$5)&amp;"",""))</f>
        <v/>
      </c>
      <c r="D829" s="5">
        <f>IFERROR(VALUE(SUBSTITUTE(SUBSTITUTE(SUBSTITUTE(IF(설정!$C$6="","",IFERROR(INDEX('1.산군_붙여넣기'!$A$1:$AZ$1001,ROW(),설정!$C$6)&amp;"","")),",",""),"㎡",""),"m2","")),"")</f>
        <v/>
      </c>
      <c r="E829">
        <f>IF(설정!$C$7="","",IFERROR(INDEX('1.산군_붙여넣기'!$A$1:$AZ$1001,ROW(),설정!$C$7)&amp;"",""))</f>
        <v/>
      </c>
      <c r="F829">
        <f>IF(설정!$C$8="","",IFERROR(INDEX('1.산군_붙여넣기'!$A$1:$AZ$1001,ROW(),설정!$C$8)&amp;"",""))</f>
        <v/>
      </c>
      <c r="G829">
        <f>IF(설정!$C$9="","",IFERROR(INDEX('1.산군_붙여넣기'!$A$1:$AZ$1001,ROW(),설정!$C$9)&amp;"",""))</f>
        <v/>
      </c>
      <c r="H829">
        <f>IF(설정!$C$10="","",IFERROR(INDEX('1.산군_붙여넣기'!$A$1:$AZ$1001,ROW(),설정!$C$10)&amp;"",""))</f>
        <v/>
      </c>
      <c r="I829">
        <f>IF(설정!$C$11="","",IFERROR(INDEX('1.산군_붙여넣기'!$A$1:$AZ$1001,ROW(),설정!$C$11)&amp;"",""))</f>
        <v/>
      </c>
      <c r="J829">
        <f>IF(설정!$C$12="","",IFERROR(INDEX('1.산군_붙여넣기'!$A$1:$AZ$1001,ROW(),설정!$C$12)&amp;"",""))</f>
        <v/>
      </c>
      <c r="K829">
        <f>IF(설정!$C$13="","",IFERROR(INDEX('1.산군_붙여넣기'!$A$1:$AZ$1001,ROW(),설정!$C$13)&amp;"",""))</f>
        <v/>
      </c>
      <c r="L829" s="7">
        <f>IF(X829="","",IF(AND(LEN(X829)=8,ISNUMBER(X829*1)),DATE(LEFT(X829,4),MID(X829,5,2),RIGHT(X829,2)),IFERROR(DATEVALUE(SUBSTITUTE(SUBSTITUTE(X829,".","-"),"/","-")),IFERROR(X829*1,""))))</f>
        <v/>
      </c>
      <c r="M829" s="7">
        <f>IF(Y829="","",IF(AND(LEN(Y829)=8,ISNUMBER(Y829*1)),DATE(LEFT(Y829,4),MID(Y829,5,2),RIGHT(Y829,2)),IFERROR(DATEVALUE(SUBSTITUTE(SUBSTITUTE(Y829,".","-"),"/","-")),IFERROR(Y829*1,""))))</f>
        <v/>
      </c>
      <c r="N829">
        <f>IFERROR(LEFT(B829,FIND(" ",B829)-1),B829)</f>
        <v/>
      </c>
      <c r="O829">
        <f>AND(B829&lt;&gt;"",B829&lt;&gt;설정!$B$4,C829&lt;&gt;설정!$B$5)</f>
        <v/>
      </c>
      <c r="P829">
        <f>IF(O829,B829&amp;"|"&amp;C829,"")</f>
        <v/>
      </c>
      <c r="Q829">
        <f>AND(O829,COUNTIF(P830:P$1002,P829)=0)</f>
        <v/>
      </c>
      <c r="R829">
        <f>OR(AND(설정!$A$42&lt;&gt;"",ISNUMBER(SEARCH(설정!$A$42,E829&amp;" "&amp;C829))),AND(설정!$A$43&lt;&gt;"",ISNUMBER(SEARCH(설정!$A$43,E829&amp;" "&amp;C829))),AND(설정!$A$44&lt;&gt;"",ISNUMBER(SEARCH(설정!$A$44,E829&amp;" "&amp;C829))),AND(설정!$A$45&lt;&gt;"",ISNUMBER(SEARCH(설정!$A$45,E829&amp;" "&amp;C829))),AND(설정!$A$46&lt;&gt;"",ISNUMBER(SEARCH(설정!$A$46,E829&amp;" "&amp;C829))),AND(설정!$A$47&lt;&gt;"",ISNUMBER(SEARCH(설정!$A$47,E829&amp;" "&amp;C829))),AND(설정!$A$48&lt;&gt;"",ISNUMBER(SEARCH(설정!$A$48,E829&amp;" "&amp;C829))),AND(설정!$A$49&lt;&gt;"",ISNUMBER(SEARCH(설정!$A$49,E829&amp;" "&amp;C829))),AND(설정!$A$50&lt;&gt;"",ISNUMBER(SEARCH(설정!$A$50,E829&amp;" "&amp;C829))),AND(설정!$A$51&lt;&gt;"",ISNUMBER(SEARCH(설정!$A$51,E829&amp;" "&amp;C829))))</f>
        <v/>
      </c>
      <c r="S829">
        <f>OR(D829="",D829&gt;=설정!$B$19)</f>
        <v/>
      </c>
      <c r="T829">
        <f>AND(Q829,R829,S829)</f>
        <v/>
      </c>
      <c r="U829">
        <f>IF(T829,IF(AND(설정!$A$54&lt;&gt;"",ISNUMBER(SEARCH(설정!$A$54,K829))),설정!$B$54,IF(AND(설정!$A$55&lt;&gt;"",ISNUMBER(SEARCH(설정!$A$55,K829))),설정!$B$55,IF(AND(설정!$A$56&lt;&gt;"",ISNUMBER(SEARCH(설정!$A$56,K829))),설정!$B$56,IF(AND(설정!$A$57&lt;&gt;"",ISNUMBER(SEARCH(설정!$A$57,K829))),설정!$B$57,IF(AND(설정!$A$58&lt;&gt;"",ISNUMBER(SEARCH(설정!$A$58,K829))),설정!$B$58,IF(AND(설정!$A$59&lt;&gt;"",ISNUMBER(SEARCH(설정!$A$59,K829))),설정!$B$59,IF(AND(설정!$A$60&lt;&gt;"",ISNUMBER(SEARCH(설정!$A$60,K829))),설정!$B$60,IF(AND(설정!$A$61&lt;&gt;"",ISNUMBER(SEARCH(설정!$A$61,K829))),설정!$B$61,IF(M829="","설계사","시공사"))))))))),"")</f>
        <v/>
      </c>
      <c r="V829">
        <f>SUBSTITUTE(SUBSTITUTE(SUBSTITUTE(SUBSTITUTE(G829,"(주)",""),"㈜",""),"주식회사","")," ","")</f>
        <v/>
      </c>
      <c r="W829">
        <f>IF(AND(T829,V829&lt;&gt;""),IF(COUNTIFS(V$2:V829,V829,T$2:T829,TRUE)=1,MAX(W$1:W828)+1,""),"")</f>
        <v/>
      </c>
      <c r="X829">
        <f>IF(설정!$C$14="","",IFERROR(INDEX('1.산군_붙여넣기'!$A$1:$AZ$1001,ROW(),설정!$C$14)&amp;"",""))</f>
        <v/>
      </c>
      <c r="Y829">
        <f>IF(설정!$C$15="","",IFERROR(INDEX('1.산군_붙여넣기'!$A$1:$AZ$1001,ROW(),설정!$C$15)&amp;"",""))</f>
        <v/>
      </c>
      <c r="Z829">
        <f>IF(T829,V829&amp;"|"&amp;U829,"")</f>
        <v/>
      </c>
      <c r="AA829">
        <f>IF(NOT(Q829),"",IF(NOT(AND(R829,S829)),"✕",IF(OR(OR(AND(L829&lt;&gt;"",M829&lt;&gt;"",N(M829)-N(L829)&gt;설정!$B$27),AND(L829&lt;&gt;"",M829="",설정!$B$24-N(L829)&gt;설정!$B$27)),AND(D829&lt;&gt;"",D829&lt;설정!$B$26)),"△","★")))</f>
        <v/>
      </c>
      <c r="AB829">
        <f>IF(NOT(T829),"",IF(U829="설계사",설정!$B$31,IF(U829="시공사",IF(OR(M829="",설정!$B$24-N(M829)&lt;=설정!$B$28*30.4),설정!$B$32,설정!$B$33),설정!$B$34))+IF(AA829="★",설정!$B$35,0))</f>
        <v/>
      </c>
      <c r="AC829">
        <f>SUBSTITUTE(SUBSTITUTE(SUBSTITUTE(SUBSTITUTE(H829,"(주)",""),"㈜",""),"주식회사","")," ","")</f>
        <v/>
      </c>
      <c r="AD829">
        <f>IF(AND(T829,AC829&lt;&gt;""),IF(COUNTIFS(AC$2:AC829,AC829,T$2:T829,TRUE)=1,MAX(AD$1:AD828)+1,""),"")</f>
        <v/>
      </c>
    </row>
    <row r="830">
      <c r="A830">
        <f>ROW()</f>
        <v/>
      </c>
      <c r="B830">
        <f>IF(설정!$C$4="","",IFERROR(INDEX('1.산군_붙여넣기'!$A$1:$AZ$1001,ROW(),설정!$C$4)&amp;"",""))</f>
        <v/>
      </c>
      <c r="C830">
        <f>IF(설정!$C$5="","",IFERROR(INDEX('1.산군_붙여넣기'!$A$1:$AZ$1001,ROW(),설정!$C$5)&amp;"",""))</f>
        <v/>
      </c>
      <c r="D830" s="5">
        <f>IFERROR(VALUE(SUBSTITUTE(SUBSTITUTE(SUBSTITUTE(IF(설정!$C$6="","",IFERROR(INDEX('1.산군_붙여넣기'!$A$1:$AZ$1001,ROW(),설정!$C$6)&amp;"","")),",",""),"㎡",""),"m2","")),"")</f>
        <v/>
      </c>
      <c r="E830">
        <f>IF(설정!$C$7="","",IFERROR(INDEX('1.산군_붙여넣기'!$A$1:$AZ$1001,ROW(),설정!$C$7)&amp;"",""))</f>
        <v/>
      </c>
      <c r="F830">
        <f>IF(설정!$C$8="","",IFERROR(INDEX('1.산군_붙여넣기'!$A$1:$AZ$1001,ROW(),설정!$C$8)&amp;"",""))</f>
        <v/>
      </c>
      <c r="G830">
        <f>IF(설정!$C$9="","",IFERROR(INDEX('1.산군_붙여넣기'!$A$1:$AZ$1001,ROW(),설정!$C$9)&amp;"",""))</f>
        <v/>
      </c>
      <c r="H830">
        <f>IF(설정!$C$10="","",IFERROR(INDEX('1.산군_붙여넣기'!$A$1:$AZ$1001,ROW(),설정!$C$10)&amp;"",""))</f>
        <v/>
      </c>
      <c r="I830">
        <f>IF(설정!$C$11="","",IFERROR(INDEX('1.산군_붙여넣기'!$A$1:$AZ$1001,ROW(),설정!$C$11)&amp;"",""))</f>
        <v/>
      </c>
      <c r="J830">
        <f>IF(설정!$C$12="","",IFERROR(INDEX('1.산군_붙여넣기'!$A$1:$AZ$1001,ROW(),설정!$C$12)&amp;"",""))</f>
        <v/>
      </c>
      <c r="K830">
        <f>IF(설정!$C$13="","",IFERROR(INDEX('1.산군_붙여넣기'!$A$1:$AZ$1001,ROW(),설정!$C$13)&amp;"",""))</f>
        <v/>
      </c>
      <c r="L830" s="7">
        <f>IF(X830="","",IF(AND(LEN(X830)=8,ISNUMBER(X830*1)),DATE(LEFT(X830,4),MID(X830,5,2),RIGHT(X830,2)),IFERROR(DATEVALUE(SUBSTITUTE(SUBSTITUTE(X830,".","-"),"/","-")),IFERROR(X830*1,""))))</f>
        <v/>
      </c>
      <c r="M830" s="7">
        <f>IF(Y830="","",IF(AND(LEN(Y830)=8,ISNUMBER(Y830*1)),DATE(LEFT(Y830,4),MID(Y830,5,2),RIGHT(Y830,2)),IFERROR(DATEVALUE(SUBSTITUTE(SUBSTITUTE(Y830,".","-"),"/","-")),IFERROR(Y830*1,""))))</f>
        <v/>
      </c>
      <c r="N830">
        <f>IFERROR(LEFT(B830,FIND(" ",B830)-1),B830)</f>
        <v/>
      </c>
      <c r="O830">
        <f>AND(B830&lt;&gt;"",B830&lt;&gt;설정!$B$4,C830&lt;&gt;설정!$B$5)</f>
        <v/>
      </c>
      <c r="P830">
        <f>IF(O830,B830&amp;"|"&amp;C830,"")</f>
        <v/>
      </c>
      <c r="Q830">
        <f>AND(O830,COUNTIF(P831:P$1002,P830)=0)</f>
        <v/>
      </c>
      <c r="R830">
        <f>OR(AND(설정!$A$42&lt;&gt;"",ISNUMBER(SEARCH(설정!$A$42,E830&amp;" "&amp;C830))),AND(설정!$A$43&lt;&gt;"",ISNUMBER(SEARCH(설정!$A$43,E830&amp;" "&amp;C830))),AND(설정!$A$44&lt;&gt;"",ISNUMBER(SEARCH(설정!$A$44,E830&amp;" "&amp;C830))),AND(설정!$A$45&lt;&gt;"",ISNUMBER(SEARCH(설정!$A$45,E830&amp;" "&amp;C830))),AND(설정!$A$46&lt;&gt;"",ISNUMBER(SEARCH(설정!$A$46,E830&amp;" "&amp;C830))),AND(설정!$A$47&lt;&gt;"",ISNUMBER(SEARCH(설정!$A$47,E830&amp;" "&amp;C830))),AND(설정!$A$48&lt;&gt;"",ISNUMBER(SEARCH(설정!$A$48,E830&amp;" "&amp;C830))),AND(설정!$A$49&lt;&gt;"",ISNUMBER(SEARCH(설정!$A$49,E830&amp;" "&amp;C830))),AND(설정!$A$50&lt;&gt;"",ISNUMBER(SEARCH(설정!$A$50,E830&amp;" "&amp;C830))),AND(설정!$A$51&lt;&gt;"",ISNUMBER(SEARCH(설정!$A$51,E830&amp;" "&amp;C830))))</f>
        <v/>
      </c>
      <c r="S830">
        <f>OR(D830="",D830&gt;=설정!$B$19)</f>
        <v/>
      </c>
      <c r="T830">
        <f>AND(Q830,R830,S830)</f>
        <v/>
      </c>
      <c r="U830">
        <f>IF(T830,IF(AND(설정!$A$54&lt;&gt;"",ISNUMBER(SEARCH(설정!$A$54,K830))),설정!$B$54,IF(AND(설정!$A$55&lt;&gt;"",ISNUMBER(SEARCH(설정!$A$55,K830))),설정!$B$55,IF(AND(설정!$A$56&lt;&gt;"",ISNUMBER(SEARCH(설정!$A$56,K830))),설정!$B$56,IF(AND(설정!$A$57&lt;&gt;"",ISNUMBER(SEARCH(설정!$A$57,K830))),설정!$B$57,IF(AND(설정!$A$58&lt;&gt;"",ISNUMBER(SEARCH(설정!$A$58,K830))),설정!$B$58,IF(AND(설정!$A$59&lt;&gt;"",ISNUMBER(SEARCH(설정!$A$59,K830))),설정!$B$59,IF(AND(설정!$A$60&lt;&gt;"",ISNUMBER(SEARCH(설정!$A$60,K830))),설정!$B$60,IF(AND(설정!$A$61&lt;&gt;"",ISNUMBER(SEARCH(설정!$A$61,K830))),설정!$B$61,IF(M830="","설계사","시공사"))))))))),"")</f>
        <v/>
      </c>
      <c r="V830">
        <f>SUBSTITUTE(SUBSTITUTE(SUBSTITUTE(SUBSTITUTE(G830,"(주)",""),"㈜",""),"주식회사","")," ","")</f>
        <v/>
      </c>
      <c r="W830">
        <f>IF(AND(T830,V830&lt;&gt;""),IF(COUNTIFS(V$2:V830,V830,T$2:T830,TRUE)=1,MAX(W$1:W829)+1,""),"")</f>
        <v/>
      </c>
      <c r="X830">
        <f>IF(설정!$C$14="","",IFERROR(INDEX('1.산군_붙여넣기'!$A$1:$AZ$1001,ROW(),설정!$C$14)&amp;"",""))</f>
        <v/>
      </c>
      <c r="Y830">
        <f>IF(설정!$C$15="","",IFERROR(INDEX('1.산군_붙여넣기'!$A$1:$AZ$1001,ROW(),설정!$C$15)&amp;"",""))</f>
        <v/>
      </c>
      <c r="Z830">
        <f>IF(T830,V830&amp;"|"&amp;U830,"")</f>
        <v/>
      </c>
      <c r="AA830">
        <f>IF(NOT(Q830),"",IF(NOT(AND(R830,S830)),"✕",IF(OR(OR(AND(L830&lt;&gt;"",M830&lt;&gt;"",N(M830)-N(L830)&gt;설정!$B$27),AND(L830&lt;&gt;"",M830="",설정!$B$24-N(L830)&gt;설정!$B$27)),AND(D830&lt;&gt;"",D830&lt;설정!$B$26)),"△","★")))</f>
        <v/>
      </c>
      <c r="AB830">
        <f>IF(NOT(T830),"",IF(U830="설계사",설정!$B$31,IF(U830="시공사",IF(OR(M830="",설정!$B$24-N(M830)&lt;=설정!$B$28*30.4),설정!$B$32,설정!$B$33),설정!$B$34))+IF(AA830="★",설정!$B$35,0))</f>
        <v/>
      </c>
      <c r="AC830">
        <f>SUBSTITUTE(SUBSTITUTE(SUBSTITUTE(SUBSTITUTE(H830,"(주)",""),"㈜",""),"주식회사","")," ","")</f>
        <v/>
      </c>
      <c r="AD830">
        <f>IF(AND(T830,AC830&lt;&gt;""),IF(COUNTIFS(AC$2:AC830,AC830,T$2:T830,TRUE)=1,MAX(AD$1:AD829)+1,""),"")</f>
        <v/>
      </c>
    </row>
    <row r="831">
      <c r="A831">
        <f>ROW()</f>
        <v/>
      </c>
      <c r="B831">
        <f>IF(설정!$C$4="","",IFERROR(INDEX('1.산군_붙여넣기'!$A$1:$AZ$1001,ROW(),설정!$C$4)&amp;"",""))</f>
        <v/>
      </c>
      <c r="C831">
        <f>IF(설정!$C$5="","",IFERROR(INDEX('1.산군_붙여넣기'!$A$1:$AZ$1001,ROW(),설정!$C$5)&amp;"",""))</f>
        <v/>
      </c>
      <c r="D831" s="5">
        <f>IFERROR(VALUE(SUBSTITUTE(SUBSTITUTE(SUBSTITUTE(IF(설정!$C$6="","",IFERROR(INDEX('1.산군_붙여넣기'!$A$1:$AZ$1001,ROW(),설정!$C$6)&amp;"","")),",",""),"㎡",""),"m2","")),"")</f>
        <v/>
      </c>
      <c r="E831">
        <f>IF(설정!$C$7="","",IFERROR(INDEX('1.산군_붙여넣기'!$A$1:$AZ$1001,ROW(),설정!$C$7)&amp;"",""))</f>
        <v/>
      </c>
      <c r="F831">
        <f>IF(설정!$C$8="","",IFERROR(INDEX('1.산군_붙여넣기'!$A$1:$AZ$1001,ROW(),설정!$C$8)&amp;"",""))</f>
        <v/>
      </c>
      <c r="G831">
        <f>IF(설정!$C$9="","",IFERROR(INDEX('1.산군_붙여넣기'!$A$1:$AZ$1001,ROW(),설정!$C$9)&amp;"",""))</f>
        <v/>
      </c>
      <c r="H831">
        <f>IF(설정!$C$10="","",IFERROR(INDEX('1.산군_붙여넣기'!$A$1:$AZ$1001,ROW(),설정!$C$10)&amp;"",""))</f>
        <v/>
      </c>
      <c r="I831">
        <f>IF(설정!$C$11="","",IFERROR(INDEX('1.산군_붙여넣기'!$A$1:$AZ$1001,ROW(),설정!$C$11)&amp;"",""))</f>
        <v/>
      </c>
      <c r="J831">
        <f>IF(설정!$C$12="","",IFERROR(INDEX('1.산군_붙여넣기'!$A$1:$AZ$1001,ROW(),설정!$C$12)&amp;"",""))</f>
        <v/>
      </c>
      <c r="K831">
        <f>IF(설정!$C$13="","",IFERROR(INDEX('1.산군_붙여넣기'!$A$1:$AZ$1001,ROW(),설정!$C$13)&amp;"",""))</f>
        <v/>
      </c>
      <c r="L831" s="7">
        <f>IF(X831="","",IF(AND(LEN(X831)=8,ISNUMBER(X831*1)),DATE(LEFT(X831,4),MID(X831,5,2),RIGHT(X831,2)),IFERROR(DATEVALUE(SUBSTITUTE(SUBSTITUTE(X831,".","-"),"/","-")),IFERROR(X831*1,""))))</f>
        <v/>
      </c>
      <c r="M831" s="7">
        <f>IF(Y831="","",IF(AND(LEN(Y831)=8,ISNUMBER(Y831*1)),DATE(LEFT(Y831,4),MID(Y831,5,2),RIGHT(Y831,2)),IFERROR(DATEVALUE(SUBSTITUTE(SUBSTITUTE(Y831,".","-"),"/","-")),IFERROR(Y831*1,""))))</f>
        <v/>
      </c>
      <c r="N831">
        <f>IFERROR(LEFT(B831,FIND(" ",B831)-1),B831)</f>
        <v/>
      </c>
      <c r="O831">
        <f>AND(B831&lt;&gt;"",B831&lt;&gt;설정!$B$4,C831&lt;&gt;설정!$B$5)</f>
        <v/>
      </c>
      <c r="P831">
        <f>IF(O831,B831&amp;"|"&amp;C831,"")</f>
        <v/>
      </c>
      <c r="Q831">
        <f>AND(O831,COUNTIF(P832:P$1002,P831)=0)</f>
        <v/>
      </c>
      <c r="R831">
        <f>OR(AND(설정!$A$42&lt;&gt;"",ISNUMBER(SEARCH(설정!$A$42,E831&amp;" "&amp;C831))),AND(설정!$A$43&lt;&gt;"",ISNUMBER(SEARCH(설정!$A$43,E831&amp;" "&amp;C831))),AND(설정!$A$44&lt;&gt;"",ISNUMBER(SEARCH(설정!$A$44,E831&amp;" "&amp;C831))),AND(설정!$A$45&lt;&gt;"",ISNUMBER(SEARCH(설정!$A$45,E831&amp;" "&amp;C831))),AND(설정!$A$46&lt;&gt;"",ISNUMBER(SEARCH(설정!$A$46,E831&amp;" "&amp;C831))),AND(설정!$A$47&lt;&gt;"",ISNUMBER(SEARCH(설정!$A$47,E831&amp;" "&amp;C831))),AND(설정!$A$48&lt;&gt;"",ISNUMBER(SEARCH(설정!$A$48,E831&amp;" "&amp;C831))),AND(설정!$A$49&lt;&gt;"",ISNUMBER(SEARCH(설정!$A$49,E831&amp;" "&amp;C831))),AND(설정!$A$50&lt;&gt;"",ISNUMBER(SEARCH(설정!$A$50,E831&amp;" "&amp;C831))),AND(설정!$A$51&lt;&gt;"",ISNUMBER(SEARCH(설정!$A$51,E831&amp;" "&amp;C831))))</f>
        <v/>
      </c>
      <c r="S831">
        <f>OR(D831="",D831&gt;=설정!$B$19)</f>
        <v/>
      </c>
      <c r="T831">
        <f>AND(Q831,R831,S831)</f>
        <v/>
      </c>
      <c r="U831">
        <f>IF(T831,IF(AND(설정!$A$54&lt;&gt;"",ISNUMBER(SEARCH(설정!$A$54,K831))),설정!$B$54,IF(AND(설정!$A$55&lt;&gt;"",ISNUMBER(SEARCH(설정!$A$55,K831))),설정!$B$55,IF(AND(설정!$A$56&lt;&gt;"",ISNUMBER(SEARCH(설정!$A$56,K831))),설정!$B$56,IF(AND(설정!$A$57&lt;&gt;"",ISNUMBER(SEARCH(설정!$A$57,K831))),설정!$B$57,IF(AND(설정!$A$58&lt;&gt;"",ISNUMBER(SEARCH(설정!$A$58,K831))),설정!$B$58,IF(AND(설정!$A$59&lt;&gt;"",ISNUMBER(SEARCH(설정!$A$59,K831))),설정!$B$59,IF(AND(설정!$A$60&lt;&gt;"",ISNUMBER(SEARCH(설정!$A$60,K831))),설정!$B$60,IF(AND(설정!$A$61&lt;&gt;"",ISNUMBER(SEARCH(설정!$A$61,K831))),설정!$B$61,IF(M831="","설계사","시공사"))))))))),"")</f>
        <v/>
      </c>
      <c r="V831">
        <f>SUBSTITUTE(SUBSTITUTE(SUBSTITUTE(SUBSTITUTE(G831,"(주)",""),"㈜",""),"주식회사","")," ","")</f>
        <v/>
      </c>
      <c r="W831">
        <f>IF(AND(T831,V831&lt;&gt;""),IF(COUNTIFS(V$2:V831,V831,T$2:T831,TRUE)=1,MAX(W$1:W830)+1,""),"")</f>
        <v/>
      </c>
      <c r="X831">
        <f>IF(설정!$C$14="","",IFERROR(INDEX('1.산군_붙여넣기'!$A$1:$AZ$1001,ROW(),설정!$C$14)&amp;"",""))</f>
        <v/>
      </c>
      <c r="Y831">
        <f>IF(설정!$C$15="","",IFERROR(INDEX('1.산군_붙여넣기'!$A$1:$AZ$1001,ROW(),설정!$C$15)&amp;"",""))</f>
        <v/>
      </c>
      <c r="Z831">
        <f>IF(T831,V831&amp;"|"&amp;U831,"")</f>
        <v/>
      </c>
      <c r="AA831">
        <f>IF(NOT(Q831),"",IF(NOT(AND(R831,S831)),"✕",IF(OR(OR(AND(L831&lt;&gt;"",M831&lt;&gt;"",N(M831)-N(L831)&gt;설정!$B$27),AND(L831&lt;&gt;"",M831="",설정!$B$24-N(L831)&gt;설정!$B$27)),AND(D831&lt;&gt;"",D831&lt;설정!$B$26)),"△","★")))</f>
        <v/>
      </c>
      <c r="AB831">
        <f>IF(NOT(T831),"",IF(U831="설계사",설정!$B$31,IF(U831="시공사",IF(OR(M831="",설정!$B$24-N(M831)&lt;=설정!$B$28*30.4),설정!$B$32,설정!$B$33),설정!$B$34))+IF(AA831="★",설정!$B$35,0))</f>
        <v/>
      </c>
      <c r="AC831">
        <f>SUBSTITUTE(SUBSTITUTE(SUBSTITUTE(SUBSTITUTE(H831,"(주)",""),"㈜",""),"주식회사","")," ","")</f>
        <v/>
      </c>
      <c r="AD831">
        <f>IF(AND(T831,AC831&lt;&gt;""),IF(COUNTIFS(AC$2:AC831,AC831,T$2:T831,TRUE)=1,MAX(AD$1:AD830)+1,""),"")</f>
        <v/>
      </c>
    </row>
    <row r="832">
      <c r="A832">
        <f>ROW()</f>
        <v/>
      </c>
      <c r="B832">
        <f>IF(설정!$C$4="","",IFERROR(INDEX('1.산군_붙여넣기'!$A$1:$AZ$1001,ROW(),설정!$C$4)&amp;"",""))</f>
        <v/>
      </c>
      <c r="C832">
        <f>IF(설정!$C$5="","",IFERROR(INDEX('1.산군_붙여넣기'!$A$1:$AZ$1001,ROW(),설정!$C$5)&amp;"",""))</f>
        <v/>
      </c>
      <c r="D832" s="5">
        <f>IFERROR(VALUE(SUBSTITUTE(SUBSTITUTE(SUBSTITUTE(IF(설정!$C$6="","",IFERROR(INDEX('1.산군_붙여넣기'!$A$1:$AZ$1001,ROW(),설정!$C$6)&amp;"","")),",",""),"㎡",""),"m2","")),"")</f>
        <v/>
      </c>
      <c r="E832">
        <f>IF(설정!$C$7="","",IFERROR(INDEX('1.산군_붙여넣기'!$A$1:$AZ$1001,ROW(),설정!$C$7)&amp;"",""))</f>
        <v/>
      </c>
      <c r="F832">
        <f>IF(설정!$C$8="","",IFERROR(INDEX('1.산군_붙여넣기'!$A$1:$AZ$1001,ROW(),설정!$C$8)&amp;"",""))</f>
        <v/>
      </c>
      <c r="G832">
        <f>IF(설정!$C$9="","",IFERROR(INDEX('1.산군_붙여넣기'!$A$1:$AZ$1001,ROW(),설정!$C$9)&amp;"",""))</f>
        <v/>
      </c>
      <c r="H832">
        <f>IF(설정!$C$10="","",IFERROR(INDEX('1.산군_붙여넣기'!$A$1:$AZ$1001,ROW(),설정!$C$10)&amp;"",""))</f>
        <v/>
      </c>
      <c r="I832">
        <f>IF(설정!$C$11="","",IFERROR(INDEX('1.산군_붙여넣기'!$A$1:$AZ$1001,ROW(),설정!$C$11)&amp;"",""))</f>
        <v/>
      </c>
      <c r="J832">
        <f>IF(설정!$C$12="","",IFERROR(INDEX('1.산군_붙여넣기'!$A$1:$AZ$1001,ROW(),설정!$C$12)&amp;"",""))</f>
        <v/>
      </c>
      <c r="K832">
        <f>IF(설정!$C$13="","",IFERROR(INDEX('1.산군_붙여넣기'!$A$1:$AZ$1001,ROW(),설정!$C$13)&amp;"",""))</f>
        <v/>
      </c>
      <c r="L832" s="7">
        <f>IF(X832="","",IF(AND(LEN(X832)=8,ISNUMBER(X832*1)),DATE(LEFT(X832,4),MID(X832,5,2),RIGHT(X832,2)),IFERROR(DATEVALUE(SUBSTITUTE(SUBSTITUTE(X832,".","-"),"/","-")),IFERROR(X832*1,""))))</f>
        <v/>
      </c>
      <c r="M832" s="7">
        <f>IF(Y832="","",IF(AND(LEN(Y832)=8,ISNUMBER(Y832*1)),DATE(LEFT(Y832,4),MID(Y832,5,2),RIGHT(Y832,2)),IFERROR(DATEVALUE(SUBSTITUTE(SUBSTITUTE(Y832,".","-"),"/","-")),IFERROR(Y832*1,""))))</f>
        <v/>
      </c>
      <c r="N832">
        <f>IFERROR(LEFT(B832,FIND(" ",B832)-1),B832)</f>
        <v/>
      </c>
      <c r="O832">
        <f>AND(B832&lt;&gt;"",B832&lt;&gt;설정!$B$4,C832&lt;&gt;설정!$B$5)</f>
        <v/>
      </c>
      <c r="P832">
        <f>IF(O832,B832&amp;"|"&amp;C832,"")</f>
        <v/>
      </c>
      <c r="Q832">
        <f>AND(O832,COUNTIF(P833:P$1002,P832)=0)</f>
        <v/>
      </c>
      <c r="R832">
        <f>OR(AND(설정!$A$42&lt;&gt;"",ISNUMBER(SEARCH(설정!$A$42,E832&amp;" "&amp;C832))),AND(설정!$A$43&lt;&gt;"",ISNUMBER(SEARCH(설정!$A$43,E832&amp;" "&amp;C832))),AND(설정!$A$44&lt;&gt;"",ISNUMBER(SEARCH(설정!$A$44,E832&amp;" "&amp;C832))),AND(설정!$A$45&lt;&gt;"",ISNUMBER(SEARCH(설정!$A$45,E832&amp;" "&amp;C832))),AND(설정!$A$46&lt;&gt;"",ISNUMBER(SEARCH(설정!$A$46,E832&amp;" "&amp;C832))),AND(설정!$A$47&lt;&gt;"",ISNUMBER(SEARCH(설정!$A$47,E832&amp;" "&amp;C832))),AND(설정!$A$48&lt;&gt;"",ISNUMBER(SEARCH(설정!$A$48,E832&amp;" "&amp;C832))),AND(설정!$A$49&lt;&gt;"",ISNUMBER(SEARCH(설정!$A$49,E832&amp;" "&amp;C832))),AND(설정!$A$50&lt;&gt;"",ISNUMBER(SEARCH(설정!$A$50,E832&amp;" "&amp;C832))),AND(설정!$A$51&lt;&gt;"",ISNUMBER(SEARCH(설정!$A$51,E832&amp;" "&amp;C832))))</f>
        <v/>
      </c>
      <c r="S832">
        <f>OR(D832="",D832&gt;=설정!$B$19)</f>
        <v/>
      </c>
      <c r="T832">
        <f>AND(Q832,R832,S832)</f>
        <v/>
      </c>
      <c r="U832">
        <f>IF(T832,IF(AND(설정!$A$54&lt;&gt;"",ISNUMBER(SEARCH(설정!$A$54,K832))),설정!$B$54,IF(AND(설정!$A$55&lt;&gt;"",ISNUMBER(SEARCH(설정!$A$55,K832))),설정!$B$55,IF(AND(설정!$A$56&lt;&gt;"",ISNUMBER(SEARCH(설정!$A$56,K832))),설정!$B$56,IF(AND(설정!$A$57&lt;&gt;"",ISNUMBER(SEARCH(설정!$A$57,K832))),설정!$B$57,IF(AND(설정!$A$58&lt;&gt;"",ISNUMBER(SEARCH(설정!$A$58,K832))),설정!$B$58,IF(AND(설정!$A$59&lt;&gt;"",ISNUMBER(SEARCH(설정!$A$59,K832))),설정!$B$59,IF(AND(설정!$A$60&lt;&gt;"",ISNUMBER(SEARCH(설정!$A$60,K832))),설정!$B$60,IF(AND(설정!$A$61&lt;&gt;"",ISNUMBER(SEARCH(설정!$A$61,K832))),설정!$B$61,IF(M832="","설계사","시공사"))))))))),"")</f>
        <v/>
      </c>
      <c r="V832">
        <f>SUBSTITUTE(SUBSTITUTE(SUBSTITUTE(SUBSTITUTE(G832,"(주)",""),"㈜",""),"주식회사","")," ","")</f>
        <v/>
      </c>
      <c r="W832">
        <f>IF(AND(T832,V832&lt;&gt;""),IF(COUNTIFS(V$2:V832,V832,T$2:T832,TRUE)=1,MAX(W$1:W831)+1,""),"")</f>
        <v/>
      </c>
      <c r="X832">
        <f>IF(설정!$C$14="","",IFERROR(INDEX('1.산군_붙여넣기'!$A$1:$AZ$1001,ROW(),설정!$C$14)&amp;"",""))</f>
        <v/>
      </c>
      <c r="Y832">
        <f>IF(설정!$C$15="","",IFERROR(INDEX('1.산군_붙여넣기'!$A$1:$AZ$1001,ROW(),설정!$C$15)&amp;"",""))</f>
        <v/>
      </c>
      <c r="Z832">
        <f>IF(T832,V832&amp;"|"&amp;U832,"")</f>
        <v/>
      </c>
      <c r="AA832">
        <f>IF(NOT(Q832),"",IF(NOT(AND(R832,S832)),"✕",IF(OR(OR(AND(L832&lt;&gt;"",M832&lt;&gt;"",N(M832)-N(L832)&gt;설정!$B$27),AND(L832&lt;&gt;"",M832="",설정!$B$24-N(L832)&gt;설정!$B$27)),AND(D832&lt;&gt;"",D832&lt;설정!$B$26)),"△","★")))</f>
        <v/>
      </c>
      <c r="AB832">
        <f>IF(NOT(T832),"",IF(U832="설계사",설정!$B$31,IF(U832="시공사",IF(OR(M832="",설정!$B$24-N(M832)&lt;=설정!$B$28*30.4),설정!$B$32,설정!$B$33),설정!$B$34))+IF(AA832="★",설정!$B$35,0))</f>
        <v/>
      </c>
      <c r="AC832">
        <f>SUBSTITUTE(SUBSTITUTE(SUBSTITUTE(SUBSTITUTE(H832,"(주)",""),"㈜",""),"주식회사","")," ","")</f>
        <v/>
      </c>
      <c r="AD832">
        <f>IF(AND(T832,AC832&lt;&gt;""),IF(COUNTIFS(AC$2:AC832,AC832,T$2:T832,TRUE)=1,MAX(AD$1:AD831)+1,""),"")</f>
        <v/>
      </c>
    </row>
    <row r="833">
      <c r="A833">
        <f>ROW()</f>
        <v/>
      </c>
      <c r="B833">
        <f>IF(설정!$C$4="","",IFERROR(INDEX('1.산군_붙여넣기'!$A$1:$AZ$1001,ROW(),설정!$C$4)&amp;"",""))</f>
        <v/>
      </c>
      <c r="C833">
        <f>IF(설정!$C$5="","",IFERROR(INDEX('1.산군_붙여넣기'!$A$1:$AZ$1001,ROW(),설정!$C$5)&amp;"",""))</f>
        <v/>
      </c>
      <c r="D833" s="5">
        <f>IFERROR(VALUE(SUBSTITUTE(SUBSTITUTE(SUBSTITUTE(IF(설정!$C$6="","",IFERROR(INDEX('1.산군_붙여넣기'!$A$1:$AZ$1001,ROW(),설정!$C$6)&amp;"","")),",",""),"㎡",""),"m2","")),"")</f>
        <v/>
      </c>
      <c r="E833">
        <f>IF(설정!$C$7="","",IFERROR(INDEX('1.산군_붙여넣기'!$A$1:$AZ$1001,ROW(),설정!$C$7)&amp;"",""))</f>
        <v/>
      </c>
      <c r="F833">
        <f>IF(설정!$C$8="","",IFERROR(INDEX('1.산군_붙여넣기'!$A$1:$AZ$1001,ROW(),설정!$C$8)&amp;"",""))</f>
        <v/>
      </c>
      <c r="G833">
        <f>IF(설정!$C$9="","",IFERROR(INDEX('1.산군_붙여넣기'!$A$1:$AZ$1001,ROW(),설정!$C$9)&amp;"",""))</f>
        <v/>
      </c>
      <c r="H833">
        <f>IF(설정!$C$10="","",IFERROR(INDEX('1.산군_붙여넣기'!$A$1:$AZ$1001,ROW(),설정!$C$10)&amp;"",""))</f>
        <v/>
      </c>
      <c r="I833">
        <f>IF(설정!$C$11="","",IFERROR(INDEX('1.산군_붙여넣기'!$A$1:$AZ$1001,ROW(),설정!$C$11)&amp;"",""))</f>
        <v/>
      </c>
      <c r="J833">
        <f>IF(설정!$C$12="","",IFERROR(INDEX('1.산군_붙여넣기'!$A$1:$AZ$1001,ROW(),설정!$C$12)&amp;"",""))</f>
        <v/>
      </c>
      <c r="K833">
        <f>IF(설정!$C$13="","",IFERROR(INDEX('1.산군_붙여넣기'!$A$1:$AZ$1001,ROW(),설정!$C$13)&amp;"",""))</f>
        <v/>
      </c>
      <c r="L833" s="7">
        <f>IF(X833="","",IF(AND(LEN(X833)=8,ISNUMBER(X833*1)),DATE(LEFT(X833,4),MID(X833,5,2),RIGHT(X833,2)),IFERROR(DATEVALUE(SUBSTITUTE(SUBSTITUTE(X833,".","-"),"/","-")),IFERROR(X833*1,""))))</f>
        <v/>
      </c>
      <c r="M833" s="7">
        <f>IF(Y833="","",IF(AND(LEN(Y833)=8,ISNUMBER(Y833*1)),DATE(LEFT(Y833,4),MID(Y833,5,2),RIGHT(Y833,2)),IFERROR(DATEVALUE(SUBSTITUTE(SUBSTITUTE(Y833,".","-"),"/","-")),IFERROR(Y833*1,""))))</f>
        <v/>
      </c>
      <c r="N833">
        <f>IFERROR(LEFT(B833,FIND(" ",B833)-1),B833)</f>
        <v/>
      </c>
      <c r="O833">
        <f>AND(B833&lt;&gt;"",B833&lt;&gt;설정!$B$4,C833&lt;&gt;설정!$B$5)</f>
        <v/>
      </c>
      <c r="P833">
        <f>IF(O833,B833&amp;"|"&amp;C833,"")</f>
        <v/>
      </c>
      <c r="Q833">
        <f>AND(O833,COUNTIF(P834:P$1002,P833)=0)</f>
        <v/>
      </c>
      <c r="R833">
        <f>OR(AND(설정!$A$42&lt;&gt;"",ISNUMBER(SEARCH(설정!$A$42,E833&amp;" "&amp;C833))),AND(설정!$A$43&lt;&gt;"",ISNUMBER(SEARCH(설정!$A$43,E833&amp;" "&amp;C833))),AND(설정!$A$44&lt;&gt;"",ISNUMBER(SEARCH(설정!$A$44,E833&amp;" "&amp;C833))),AND(설정!$A$45&lt;&gt;"",ISNUMBER(SEARCH(설정!$A$45,E833&amp;" "&amp;C833))),AND(설정!$A$46&lt;&gt;"",ISNUMBER(SEARCH(설정!$A$46,E833&amp;" "&amp;C833))),AND(설정!$A$47&lt;&gt;"",ISNUMBER(SEARCH(설정!$A$47,E833&amp;" "&amp;C833))),AND(설정!$A$48&lt;&gt;"",ISNUMBER(SEARCH(설정!$A$48,E833&amp;" "&amp;C833))),AND(설정!$A$49&lt;&gt;"",ISNUMBER(SEARCH(설정!$A$49,E833&amp;" "&amp;C833))),AND(설정!$A$50&lt;&gt;"",ISNUMBER(SEARCH(설정!$A$50,E833&amp;" "&amp;C833))),AND(설정!$A$51&lt;&gt;"",ISNUMBER(SEARCH(설정!$A$51,E833&amp;" "&amp;C833))))</f>
        <v/>
      </c>
      <c r="S833">
        <f>OR(D833="",D833&gt;=설정!$B$19)</f>
        <v/>
      </c>
      <c r="T833">
        <f>AND(Q833,R833,S833)</f>
        <v/>
      </c>
      <c r="U833">
        <f>IF(T833,IF(AND(설정!$A$54&lt;&gt;"",ISNUMBER(SEARCH(설정!$A$54,K833))),설정!$B$54,IF(AND(설정!$A$55&lt;&gt;"",ISNUMBER(SEARCH(설정!$A$55,K833))),설정!$B$55,IF(AND(설정!$A$56&lt;&gt;"",ISNUMBER(SEARCH(설정!$A$56,K833))),설정!$B$56,IF(AND(설정!$A$57&lt;&gt;"",ISNUMBER(SEARCH(설정!$A$57,K833))),설정!$B$57,IF(AND(설정!$A$58&lt;&gt;"",ISNUMBER(SEARCH(설정!$A$58,K833))),설정!$B$58,IF(AND(설정!$A$59&lt;&gt;"",ISNUMBER(SEARCH(설정!$A$59,K833))),설정!$B$59,IF(AND(설정!$A$60&lt;&gt;"",ISNUMBER(SEARCH(설정!$A$60,K833))),설정!$B$60,IF(AND(설정!$A$61&lt;&gt;"",ISNUMBER(SEARCH(설정!$A$61,K833))),설정!$B$61,IF(M833="","설계사","시공사"))))))))),"")</f>
        <v/>
      </c>
      <c r="V833">
        <f>SUBSTITUTE(SUBSTITUTE(SUBSTITUTE(SUBSTITUTE(G833,"(주)",""),"㈜",""),"주식회사","")," ","")</f>
        <v/>
      </c>
      <c r="W833">
        <f>IF(AND(T833,V833&lt;&gt;""),IF(COUNTIFS(V$2:V833,V833,T$2:T833,TRUE)=1,MAX(W$1:W832)+1,""),"")</f>
        <v/>
      </c>
      <c r="X833">
        <f>IF(설정!$C$14="","",IFERROR(INDEX('1.산군_붙여넣기'!$A$1:$AZ$1001,ROW(),설정!$C$14)&amp;"",""))</f>
        <v/>
      </c>
      <c r="Y833">
        <f>IF(설정!$C$15="","",IFERROR(INDEX('1.산군_붙여넣기'!$A$1:$AZ$1001,ROW(),설정!$C$15)&amp;"",""))</f>
        <v/>
      </c>
      <c r="Z833">
        <f>IF(T833,V833&amp;"|"&amp;U833,"")</f>
        <v/>
      </c>
      <c r="AA833">
        <f>IF(NOT(Q833),"",IF(NOT(AND(R833,S833)),"✕",IF(OR(OR(AND(L833&lt;&gt;"",M833&lt;&gt;"",N(M833)-N(L833)&gt;설정!$B$27),AND(L833&lt;&gt;"",M833="",설정!$B$24-N(L833)&gt;설정!$B$27)),AND(D833&lt;&gt;"",D833&lt;설정!$B$26)),"△","★")))</f>
        <v/>
      </c>
      <c r="AB833">
        <f>IF(NOT(T833),"",IF(U833="설계사",설정!$B$31,IF(U833="시공사",IF(OR(M833="",설정!$B$24-N(M833)&lt;=설정!$B$28*30.4),설정!$B$32,설정!$B$33),설정!$B$34))+IF(AA833="★",설정!$B$35,0))</f>
        <v/>
      </c>
      <c r="AC833">
        <f>SUBSTITUTE(SUBSTITUTE(SUBSTITUTE(SUBSTITUTE(H833,"(주)",""),"㈜",""),"주식회사","")," ","")</f>
        <v/>
      </c>
      <c r="AD833">
        <f>IF(AND(T833,AC833&lt;&gt;""),IF(COUNTIFS(AC$2:AC833,AC833,T$2:T833,TRUE)=1,MAX(AD$1:AD832)+1,""),"")</f>
        <v/>
      </c>
    </row>
    <row r="834">
      <c r="A834">
        <f>ROW()</f>
        <v/>
      </c>
      <c r="B834">
        <f>IF(설정!$C$4="","",IFERROR(INDEX('1.산군_붙여넣기'!$A$1:$AZ$1001,ROW(),설정!$C$4)&amp;"",""))</f>
        <v/>
      </c>
      <c r="C834">
        <f>IF(설정!$C$5="","",IFERROR(INDEX('1.산군_붙여넣기'!$A$1:$AZ$1001,ROW(),설정!$C$5)&amp;"",""))</f>
        <v/>
      </c>
      <c r="D834" s="5">
        <f>IFERROR(VALUE(SUBSTITUTE(SUBSTITUTE(SUBSTITUTE(IF(설정!$C$6="","",IFERROR(INDEX('1.산군_붙여넣기'!$A$1:$AZ$1001,ROW(),설정!$C$6)&amp;"","")),",",""),"㎡",""),"m2","")),"")</f>
        <v/>
      </c>
      <c r="E834">
        <f>IF(설정!$C$7="","",IFERROR(INDEX('1.산군_붙여넣기'!$A$1:$AZ$1001,ROW(),설정!$C$7)&amp;"",""))</f>
        <v/>
      </c>
      <c r="F834">
        <f>IF(설정!$C$8="","",IFERROR(INDEX('1.산군_붙여넣기'!$A$1:$AZ$1001,ROW(),설정!$C$8)&amp;"",""))</f>
        <v/>
      </c>
      <c r="G834">
        <f>IF(설정!$C$9="","",IFERROR(INDEX('1.산군_붙여넣기'!$A$1:$AZ$1001,ROW(),설정!$C$9)&amp;"",""))</f>
        <v/>
      </c>
      <c r="H834">
        <f>IF(설정!$C$10="","",IFERROR(INDEX('1.산군_붙여넣기'!$A$1:$AZ$1001,ROW(),설정!$C$10)&amp;"",""))</f>
        <v/>
      </c>
      <c r="I834">
        <f>IF(설정!$C$11="","",IFERROR(INDEX('1.산군_붙여넣기'!$A$1:$AZ$1001,ROW(),설정!$C$11)&amp;"",""))</f>
        <v/>
      </c>
      <c r="J834">
        <f>IF(설정!$C$12="","",IFERROR(INDEX('1.산군_붙여넣기'!$A$1:$AZ$1001,ROW(),설정!$C$12)&amp;"",""))</f>
        <v/>
      </c>
      <c r="K834">
        <f>IF(설정!$C$13="","",IFERROR(INDEX('1.산군_붙여넣기'!$A$1:$AZ$1001,ROW(),설정!$C$13)&amp;"",""))</f>
        <v/>
      </c>
      <c r="L834" s="7">
        <f>IF(X834="","",IF(AND(LEN(X834)=8,ISNUMBER(X834*1)),DATE(LEFT(X834,4),MID(X834,5,2),RIGHT(X834,2)),IFERROR(DATEVALUE(SUBSTITUTE(SUBSTITUTE(X834,".","-"),"/","-")),IFERROR(X834*1,""))))</f>
        <v/>
      </c>
      <c r="M834" s="7">
        <f>IF(Y834="","",IF(AND(LEN(Y834)=8,ISNUMBER(Y834*1)),DATE(LEFT(Y834,4),MID(Y834,5,2),RIGHT(Y834,2)),IFERROR(DATEVALUE(SUBSTITUTE(SUBSTITUTE(Y834,".","-"),"/","-")),IFERROR(Y834*1,""))))</f>
        <v/>
      </c>
      <c r="N834">
        <f>IFERROR(LEFT(B834,FIND(" ",B834)-1),B834)</f>
        <v/>
      </c>
      <c r="O834">
        <f>AND(B834&lt;&gt;"",B834&lt;&gt;설정!$B$4,C834&lt;&gt;설정!$B$5)</f>
        <v/>
      </c>
      <c r="P834">
        <f>IF(O834,B834&amp;"|"&amp;C834,"")</f>
        <v/>
      </c>
      <c r="Q834">
        <f>AND(O834,COUNTIF(P835:P$1002,P834)=0)</f>
        <v/>
      </c>
      <c r="R834">
        <f>OR(AND(설정!$A$42&lt;&gt;"",ISNUMBER(SEARCH(설정!$A$42,E834&amp;" "&amp;C834))),AND(설정!$A$43&lt;&gt;"",ISNUMBER(SEARCH(설정!$A$43,E834&amp;" "&amp;C834))),AND(설정!$A$44&lt;&gt;"",ISNUMBER(SEARCH(설정!$A$44,E834&amp;" "&amp;C834))),AND(설정!$A$45&lt;&gt;"",ISNUMBER(SEARCH(설정!$A$45,E834&amp;" "&amp;C834))),AND(설정!$A$46&lt;&gt;"",ISNUMBER(SEARCH(설정!$A$46,E834&amp;" "&amp;C834))),AND(설정!$A$47&lt;&gt;"",ISNUMBER(SEARCH(설정!$A$47,E834&amp;" "&amp;C834))),AND(설정!$A$48&lt;&gt;"",ISNUMBER(SEARCH(설정!$A$48,E834&amp;" "&amp;C834))),AND(설정!$A$49&lt;&gt;"",ISNUMBER(SEARCH(설정!$A$49,E834&amp;" "&amp;C834))),AND(설정!$A$50&lt;&gt;"",ISNUMBER(SEARCH(설정!$A$50,E834&amp;" "&amp;C834))),AND(설정!$A$51&lt;&gt;"",ISNUMBER(SEARCH(설정!$A$51,E834&amp;" "&amp;C834))))</f>
        <v/>
      </c>
      <c r="S834">
        <f>OR(D834="",D834&gt;=설정!$B$19)</f>
        <v/>
      </c>
      <c r="T834">
        <f>AND(Q834,R834,S834)</f>
        <v/>
      </c>
      <c r="U834">
        <f>IF(T834,IF(AND(설정!$A$54&lt;&gt;"",ISNUMBER(SEARCH(설정!$A$54,K834))),설정!$B$54,IF(AND(설정!$A$55&lt;&gt;"",ISNUMBER(SEARCH(설정!$A$55,K834))),설정!$B$55,IF(AND(설정!$A$56&lt;&gt;"",ISNUMBER(SEARCH(설정!$A$56,K834))),설정!$B$56,IF(AND(설정!$A$57&lt;&gt;"",ISNUMBER(SEARCH(설정!$A$57,K834))),설정!$B$57,IF(AND(설정!$A$58&lt;&gt;"",ISNUMBER(SEARCH(설정!$A$58,K834))),설정!$B$58,IF(AND(설정!$A$59&lt;&gt;"",ISNUMBER(SEARCH(설정!$A$59,K834))),설정!$B$59,IF(AND(설정!$A$60&lt;&gt;"",ISNUMBER(SEARCH(설정!$A$60,K834))),설정!$B$60,IF(AND(설정!$A$61&lt;&gt;"",ISNUMBER(SEARCH(설정!$A$61,K834))),설정!$B$61,IF(M834="","설계사","시공사"))))))))),"")</f>
        <v/>
      </c>
      <c r="V834">
        <f>SUBSTITUTE(SUBSTITUTE(SUBSTITUTE(SUBSTITUTE(G834,"(주)",""),"㈜",""),"주식회사","")," ","")</f>
        <v/>
      </c>
      <c r="W834">
        <f>IF(AND(T834,V834&lt;&gt;""),IF(COUNTIFS(V$2:V834,V834,T$2:T834,TRUE)=1,MAX(W$1:W833)+1,""),"")</f>
        <v/>
      </c>
      <c r="X834">
        <f>IF(설정!$C$14="","",IFERROR(INDEX('1.산군_붙여넣기'!$A$1:$AZ$1001,ROW(),설정!$C$14)&amp;"",""))</f>
        <v/>
      </c>
      <c r="Y834">
        <f>IF(설정!$C$15="","",IFERROR(INDEX('1.산군_붙여넣기'!$A$1:$AZ$1001,ROW(),설정!$C$15)&amp;"",""))</f>
        <v/>
      </c>
      <c r="Z834">
        <f>IF(T834,V834&amp;"|"&amp;U834,"")</f>
        <v/>
      </c>
      <c r="AA834">
        <f>IF(NOT(Q834),"",IF(NOT(AND(R834,S834)),"✕",IF(OR(OR(AND(L834&lt;&gt;"",M834&lt;&gt;"",N(M834)-N(L834)&gt;설정!$B$27),AND(L834&lt;&gt;"",M834="",설정!$B$24-N(L834)&gt;설정!$B$27)),AND(D834&lt;&gt;"",D834&lt;설정!$B$26)),"△","★")))</f>
        <v/>
      </c>
      <c r="AB834">
        <f>IF(NOT(T834),"",IF(U834="설계사",설정!$B$31,IF(U834="시공사",IF(OR(M834="",설정!$B$24-N(M834)&lt;=설정!$B$28*30.4),설정!$B$32,설정!$B$33),설정!$B$34))+IF(AA834="★",설정!$B$35,0))</f>
        <v/>
      </c>
      <c r="AC834">
        <f>SUBSTITUTE(SUBSTITUTE(SUBSTITUTE(SUBSTITUTE(H834,"(주)",""),"㈜",""),"주식회사","")," ","")</f>
        <v/>
      </c>
      <c r="AD834">
        <f>IF(AND(T834,AC834&lt;&gt;""),IF(COUNTIFS(AC$2:AC834,AC834,T$2:T834,TRUE)=1,MAX(AD$1:AD833)+1,""),"")</f>
        <v/>
      </c>
    </row>
    <row r="835">
      <c r="A835">
        <f>ROW()</f>
        <v/>
      </c>
      <c r="B835">
        <f>IF(설정!$C$4="","",IFERROR(INDEX('1.산군_붙여넣기'!$A$1:$AZ$1001,ROW(),설정!$C$4)&amp;"",""))</f>
        <v/>
      </c>
      <c r="C835">
        <f>IF(설정!$C$5="","",IFERROR(INDEX('1.산군_붙여넣기'!$A$1:$AZ$1001,ROW(),설정!$C$5)&amp;"",""))</f>
        <v/>
      </c>
      <c r="D835" s="5">
        <f>IFERROR(VALUE(SUBSTITUTE(SUBSTITUTE(SUBSTITUTE(IF(설정!$C$6="","",IFERROR(INDEX('1.산군_붙여넣기'!$A$1:$AZ$1001,ROW(),설정!$C$6)&amp;"","")),",",""),"㎡",""),"m2","")),"")</f>
        <v/>
      </c>
      <c r="E835">
        <f>IF(설정!$C$7="","",IFERROR(INDEX('1.산군_붙여넣기'!$A$1:$AZ$1001,ROW(),설정!$C$7)&amp;"",""))</f>
        <v/>
      </c>
      <c r="F835">
        <f>IF(설정!$C$8="","",IFERROR(INDEX('1.산군_붙여넣기'!$A$1:$AZ$1001,ROW(),설정!$C$8)&amp;"",""))</f>
        <v/>
      </c>
      <c r="G835">
        <f>IF(설정!$C$9="","",IFERROR(INDEX('1.산군_붙여넣기'!$A$1:$AZ$1001,ROW(),설정!$C$9)&amp;"",""))</f>
        <v/>
      </c>
      <c r="H835">
        <f>IF(설정!$C$10="","",IFERROR(INDEX('1.산군_붙여넣기'!$A$1:$AZ$1001,ROW(),설정!$C$10)&amp;"",""))</f>
        <v/>
      </c>
      <c r="I835">
        <f>IF(설정!$C$11="","",IFERROR(INDEX('1.산군_붙여넣기'!$A$1:$AZ$1001,ROW(),설정!$C$11)&amp;"",""))</f>
        <v/>
      </c>
      <c r="J835">
        <f>IF(설정!$C$12="","",IFERROR(INDEX('1.산군_붙여넣기'!$A$1:$AZ$1001,ROW(),설정!$C$12)&amp;"",""))</f>
        <v/>
      </c>
      <c r="K835">
        <f>IF(설정!$C$13="","",IFERROR(INDEX('1.산군_붙여넣기'!$A$1:$AZ$1001,ROW(),설정!$C$13)&amp;"",""))</f>
        <v/>
      </c>
      <c r="L835" s="7">
        <f>IF(X835="","",IF(AND(LEN(X835)=8,ISNUMBER(X835*1)),DATE(LEFT(X835,4),MID(X835,5,2),RIGHT(X835,2)),IFERROR(DATEVALUE(SUBSTITUTE(SUBSTITUTE(X835,".","-"),"/","-")),IFERROR(X835*1,""))))</f>
        <v/>
      </c>
      <c r="M835" s="7">
        <f>IF(Y835="","",IF(AND(LEN(Y835)=8,ISNUMBER(Y835*1)),DATE(LEFT(Y835,4),MID(Y835,5,2),RIGHT(Y835,2)),IFERROR(DATEVALUE(SUBSTITUTE(SUBSTITUTE(Y835,".","-"),"/","-")),IFERROR(Y835*1,""))))</f>
        <v/>
      </c>
      <c r="N835">
        <f>IFERROR(LEFT(B835,FIND(" ",B835)-1),B835)</f>
        <v/>
      </c>
      <c r="O835">
        <f>AND(B835&lt;&gt;"",B835&lt;&gt;설정!$B$4,C835&lt;&gt;설정!$B$5)</f>
        <v/>
      </c>
      <c r="P835">
        <f>IF(O835,B835&amp;"|"&amp;C835,"")</f>
        <v/>
      </c>
      <c r="Q835">
        <f>AND(O835,COUNTIF(P836:P$1002,P835)=0)</f>
        <v/>
      </c>
      <c r="R835">
        <f>OR(AND(설정!$A$42&lt;&gt;"",ISNUMBER(SEARCH(설정!$A$42,E835&amp;" "&amp;C835))),AND(설정!$A$43&lt;&gt;"",ISNUMBER(SEARCH(설정!$A$43,E835&amp;" "&amp;C835))),AND(설정!$A$44&lt;&gt;"",ISNUMBER(SEARCH(설정!$A$44,E835&amp;" "&amp;C835))),AND(설정!$A$45&lt;&gt;"",ISNUMBER(SEARCH(설정!$A$45,E835&amp;" "&amp;C835))),AND(설정!$A$46&lt;&gt;"",ISNUMBER(SEARCH(설정!$A$46,E835&amp;" "&amp;C835))),AND(설정!$A$47&lt;&gt;"",ISNUMBER(SEARCH(설정!$A$47,E835&amp;" "&amp;C835))),AND(설정!$A$48&lt;&gt;"",ISNUMBER(SEARCH(설정!$A$48,E835&amp;" "&amp;C835))),AND(설정!$A$49&lt;&gt;"",ISNUMBER(SEARCH(설정!$A$49,E835&amp;" "&amp;C835))),AND(설정!$A$50&lt;&gt;"",ISNUMBER(SEARCH(설정!$A$50,E835&amp;" "&amp;C835))),AND(설정!$A$51&lt;&gt;"",ISNUMBER(SEARCH(설정!$A$51,E835&amp;" "&amp;C835))))</f>
        <v/>
      </c>
      <c r="S835">
        <f>OR(D835="",D835&gt;=설정!$B$19)</f>
        <v/>
      </c>
      <c r="T835">
        <f>AND(Q835,R835,S835)</f>
        <v/>
      </c>
      <c r="U835">
        <f>IF(T835,IF(AND(설정!$A$54&lt;&gt;"",ISNUMBER(SEARCH(설정!$A$54,K835))),설정!$B$54,IF(AND(설정!$A$55&lt;&gt;"",ISNUMBER(SEARCH(설정!$A$55,K835))),설정!$B$55,IF(AND(설정!$A$56&lt;&gt;"",ISNUMBER(SEARCH(설정!$A$56,K835))),설정!$B$56,IF(AND(설정!$A$57&lt;&gt;"",ISNUMBER(SEARCH(설정!$A$57,K835))),설정!$B$57,IF(AND(설정!$A$58&lt;&gt;"",ISNUMBER(SEARCH(설정!$A$58,K835))),설정!$B$58,IF(AND(설정!$A$59&lt;&gt;"",ISNUMBER(SEARCH(설정!$A$59,K835))),설정!$B$59,IF(AND(설정!$A$60&lt;&gt;"",ISNUMBER(SEARCH(설정!$A$60,K835))),설정!$B$60,IF(AND(설정!$A$61&lt;&gt;"",ISNUMBER(SEARCH(설정!$A$61,K835))),설정!$B$61,IF(M835="","설계사","시공사"))))))))),"")</f>
        <v/>
      </c>
      <c r="V835">
        <f>SUBSTITUTE(SUBSTITUTE(SUBSTITUTE(SUBSTITUTE(G835,"(주)",""),"㈜",""),"주식회사","")," ","")</f>
        <v/>
      </c>
      <c r="W835">
        <f>IF(AND(T835,V835&lt;&gt;""),IF(COUNTIFS(V$2:V835,V835,T$2:T835,TRUE)=1,MAX(W$1:W834)+1,""),"")</f>
        <v/>
      </c>
      <c r="X835">
        <f>IF(설정!$C$14="","",IFERROR(INDEX('1.산군_붙여넣기'!$A$1:$AZ$1001,ROW(),설정!$C$14)&amp;"",""))</f>
        <v/>
      </c>
      <c r="Y835">
        <f>IF(설정!$C$15="","",IFERROR(INDEX('1.산군_붙여넣기'!$A$1:$AZ$1001,ROW(),설정!$C$15)&amp;"",""))</f>
        <v/>
      </c>
      <c r="Z835">
        <f>IF(T835,V835&amp;"|"&amp;U835,"")</f>
        <v/>
      </c>
      <c r="AA835">
        <f>IF(NOT(Q835),"",IF(NOT(AND(R835,S835)),"✕",IF(OR(OR(AND(L835&lt;&gt;"",M835&lt;&gt;"",N(M835)-N(L835)&gt;설정!$B$27),AND(L835&lt;&gt;"",M835="",설정!$B$24-N(L835)&gt;설정!$B$27)),AND(D835&lt;&gt;"",D835&lt;설정!$B$26)),"△","★")))</f>
        <v/>
      </c>
      <c r="AB835">
        <f>IF(NOT(T835),"",IF(U835="설계사",설정!$B$31,IF(U835="시공사",IF(OR(M835="",설정!$B$24-N(M835)&lt;=설정!$B$28*30.4),설정!$B$32,설정!$B$33),설정!$B$34))+IF(AA835="★",설정!$B$35,0))</f>
        <v/>
      </c>
      <c r="AC835">
        <f>SUBSTITUTE(SUBSTITUTE(SUBSTITUTE(SUBSTITUTE(H835,"(주)",""),"㈜",""),"주식회사","")," ","")</f>
        <v/>
      </c>
      <c r="AD835">
        <f>IF(AND(T835,AC835&lt;&gt;""),IF(COUNTIFS(AC$2:AC835,AC835,T$2:T835,TRUE)=1,MAX(AD$1:AD834)+1,""),"")</f>
        <v/>
      </c>
    </row>
    <row r="836">
      <c r="A836">
        <f>ROW()</f>
        <v/>
      </c>
      <c r="B836">
        <f>IF(설정!$C$4="","",IFERROR(INDEX('1.산군_붙여넣기'!$A$1:$AZ$1001,ROW(),설정!$C$4)&amp;"",""))</f>
        <v/>
      </c>
      <c r="C836">
        <f>IF(설정!$C$5="","",IFERROR(INDEX('1.산군_붙여넣기'!$A$1:$AZ$1001,ROW(),설정!$C$5)&amp;"",""))</f>
        <v/>
      </c>
      <c r="D836" s="5">
        <f>IFERROR(VALUE(SUBSTITUTE(SUBSTITUTE(SUBSTITUTE(IF(설정!$C$6="","",IFERROR(INDEX('1.산군_붙여넣기'!$A$1:$AZ$1001,ROW(),설정!$C$6)&amp;"","")),",",""),"㎡",""),"m2","")),"")</f>
        <v/>
      </c>
      <c r="E836">
        <f>IF(설정!$C$7="","",IFERROR(INDEX('1.산군_붙여넣기'!$A$1:$AZ$1001,ROW(),설정!$C$7)&amp;"",""))</f>
        <v/>
      </c>
      <c r="F836">
        <f>IF(설정!$C$8="","",IFERROR(INDEX('1.산군_붙여넣기'!$A$1:$AZ$1001,ROW(),설정!$C$8)&amp;"",""))</f>
        <v/>
      </c>
      <c r="G836">
        <f>IF(설정!$C$9="","",IFERROR(INDEX('1.산군_붙여넣기'!$A$1:$AZ$1001,ROW(),설정!$C$9)&amp;"",""))</f>
        <v/>
      </c>
      <c r="H836">
        <f>IF(설정!$C$10="","",IFERROR(INDEX('1.산군_붙여넣기'!$A$1:$AZ$1001,ROW(),설정!$C$10)&amp;"",""))</f>
        <v/>
      </c>
      <c r="I836">
        <f>IF(설정!$C$11="","",IFERROR(INDEX('1.산군_붙여넣기'!$A$1:$AZ$1001,ROW(),설정!$C$11)&amp;"",""))</f>
        <v/>
      </c>
      <c r="J836">
        <f>IF(설정!$C$12="","",IFERROR(INDEX('1.산군_붙여넣기'!$A$1:$AZ$1001,ROW(),설정!$C$12)&amp;"",""))</f>
        <v/>
      </c>
      <c r="K836">
        <f>IF(설정!$C$13="","",IFERROR(INDEX('1.산군_붙여넣기'!$A$1:$AZ$1001,ROW(),설정!$C$13)&amp;"",""))</f>
        <v/>
      </c>
      <c r="L836" s="7">
        <f>IF(X836="","",IF(AND(LEN(X836)=8,ISNUMBER(X836*1)),DATE(LEFT(X836,4),MID(X836,5,2),RIGHT(X836,2)),IFERROR(DATEVALUE(SUBSTITUTE(SUBSTITUTE(X836,".","-"),"/","-")),IFERROR(X836*1,""))))</f>
        <v/>
      </c>
      <c r="M836" s="7">
        <f>IF(Y836="","",IF(AND(LEN(Y836)=8,ISNUMBER(Y836*1)),DATE(LEFT(Y836,4),MID(Y836,5,2),RIGHT(Y836,2)),IFERROR(DATEVALUE(SUBSTITUTE(SUBSTITUTE(Y836,".","-"),"/","-")),IFERROR(Y836*1,""))))</f>
        <v/>
      </c>
      <c r="N836">
        <f>IFERROR(LEFT(B836,FIND(" ",B836)-1),B836)</f>
        <v/>
      </c>
      <c r="O836">
        <f>AND(B836&lt;&gt;"",B836&lt;&gt;설정!$B$4,C836&lt;&gt;설정!$B$5)</f>
        <v/>
      </c>
      <c r="P836">
        <f>IF(O836,B836&amp;"|"&amp;C836,"")</f>
        <v/>
      </c>
      <c r="Q836">
        <f>AND(O836,COUNTIF(P837:P$1002,P836)=0)</f>
        <v/>
      </c>
      <c r="R836">
        <f>OR(AND(설정!$A$42&lt;&gt;"",ISNUMBER(SEARCH(설정!$A$42,E836&amp;" "&amp;C836))),AND(설정!$A$43&lt;&gt;"",ISNUMBER(SEARCH(설정!$A$43,E836&amp;" "&amp;C836))),AND(설정!$A$44&lt;&gt;"",ISNUMBER(SEARCH(설정!$A$44,E836&amp;" "&amp;C836))),AND(설정!$A$45&lt;&gt;"",ISNUMBER(SEARCH(설정!$A$45,E836&amp;" "&amp;C836))),AND(설정!$A$46&lt;&gt;"",ISNUMBER(SEARCH(설정!$A$46,E836&amp;" "&amp;C836))),AND(설정!$A$47&lt;&gt;"",ISNUMBER(SEARCH(설정!$A$47,E836&amp;" "&amp;C836))),AND(설정!$A$48&lt;&gt;"",ISNUMBER(SEARCH(설정!$A$48,E836&amp;" "&amp;C836))),AND(설정!$A$49&lt;&gt;"",ISNUMBER(SEARCH(설정!$A$49,E836&amp;" "&amp;C836))),AND(설정!$A$50&lt;&gt;"",ISNUMBER(SEARCH(설정!$A$50,E836&amp;" "&amp;C836))),AND(설정!$A$51&lt;&gt;"",ISNUMBER(SEARCH(설정!$A$51,E836&amp;" "&amp;C836))))</f>
        <v/>
      </c>
      <c r="S836">
        <f>OR(D836="",D836&gt;=설정!$B$19)</f>
        <v/>
      </c>
      <c r="T836">
        <f>AND(Q836,R836,S836)</f>
        <v/>
      </c>
      <c r="U836">
        <f>IF(T836,IF(AND(설정!$A$54&lt;&gt;"",ISNUMBER(SEARCH(설정!$A$54,K836))),설정!$B$54,IF(AND(설정!$A$55&lt;&gt;"",ISNUMBER(SEARCH(설정!$A$55,K836))),설정!$B$55,IF(AND(설정!$A$56&lt;&gt;"",ISNUMBER(SEARCH(설정!$A$56,K836))),설정!$B$56,IF(AND(설정!$A$57&lt;&gt;"",ISNUMBER(SEARCH(설정!$A$57,K836))),설정!$B$57,IF(AND(설정!$A$58&lt;&gt;"",ISNUMBER(SEARCH(설정!$A$58,K836))),설정!$B$58,IF(AND(설정!$A$59&lt;&gt;"",ISNUMBER(SEARCH(설정!$A$59,K836))),설정!$B$59,IF(AND(설정!$A$60&lt;&gt;"",ISNUMBER(SEARCH(설정!$A$60,K836))),설정!$B$60,IF(AND(설정!$A$61&lt;&gt;"",ISNUMBER(SEARCH(설정!$A$61,K836))),설정!$B$61,IF(M836="","설계사","시공사"))))))))),"")</f>
        <v/>
      </c>
      <c r="V836">
        <f>SUBSTITUTE(SUBSTITUTE(SUBSTITUTE(SUBSTITUTE(G836,"(주)",""),"㈜",""),"주식회사","")," ","")</f>
        <v/>
      </c>
      <c r="W836">
        <f>IF(AND(T836,V836&lt;&gt;""),IF(COUNTIFS(V$2:V836,V836,T$2:T836,TRUE)=1,MAX(W$1:W835)+1,""),"")</f>
        <v/>
      </c>
      <c r="X836">
        <f>IF(설정!$C$14="","",IFERROR(INDEX('1.산군_붙여넣기'!$A$1:$AZ$1001,ROW(),설정!$C$14)&amp;"",""))</f>
        <v/>
      </c>
      <c r="Y836">
        <f>IF(설정!$C$15="","",IFERROR(INDEX('1.산군_붙여넣기'!$A$1:$AZ$1001,ROW(),설정!$C$15)&amp;"",""))</f>
        <v/>
      </c>
      <c r="Z836">
        <f>IF(T836,V836&amp;"|"&amp;U836,"")</f>
        <v/>
      </c>
      <c r="AA836">
        <f>IF(NOT(Q836),"",IF(NOT(AND(R836,S836)),"✕",IF(OR(OR(AND(L836&lt;&gt;"",M836&lt;&gt;"",N(M836)-N(L836)&gt;설정!$B$27),AND(L836&lt;&gt;"",M836="",설정!$B$24-N(L836)&gt;설정!$B$27)),AND(D836&lt;&gt;"",D836&lt;설정!$B$26)),"△","★")))</f>
        <v/>
      </c>
      <c r="AB836">
        <f>IF(NOT(T836),"",IF(U836="설계사",설정!$B$31,IF(U836="시공사",IF(OR(M836="",설정!$B$24-N(M836)&lt;=설정!$B$28*30.4),설정!$B$32,설정!$B$33),설정!$B$34))+IF(AA836="★",설정!$B$35,0))</f>
        <v/>
      </c>
      <c r="AC836">
        <f>SUBSTITUTE(SUBSTITUTE(SUBSTITUTE(SUBSTITUTE(H836,"(주)",""),"㈜",""),"주식회사","")," ","")</f>
        <v/>
      </c>
      <c r="AD836">
        <f>IF(AND(T836,AC836&lt;&gt;""),IF(COUNTIFS(AC$2:AC836,AC836,T$2:T836,TRUE)=1,MAX(AD$1:AD835)+1,""),"")</f>
        <v/>
      </c>
    </row>
    <row r="837">
      <c r="A837">
        <f>ROW()</f>
        <v/>
      </c>
      <c r="B837">
        <f>IF(설정!$C$4="","",IFERROR(INDEX('1.산군_붙여넣기'!$A$1:$AZ$1001,ROW(),설정!$C$4)&amp;"",""))</f>
        <v/>
      </c>
      <c r="C837">
        <f>IF(설정!$C$5="","",IFERROR(INDEX('1.산군_붙여넣기'!$A$1:$AZ$1001,ROW(),설정!$C$5)&amp;"",""))</f>
        <v/>
      </c>
      <c r="D837" s="5">
        <f>IFERROR(VALUE(SUBSTITUTE(SUBSTITUTE(SUBSTITUTE(IF(설정!$C$6="","",IFERROR(INDEX('1.산군_붙여넣기'!$A$1:$AZ$1001,ROW(),설정!$C$6)&amp;"","")),",",""),"㎡",""),"m2","")),"")</f>
        <v/>
      </c>
      <c r="E837">
        <f>IF(설정!$C$7="","",IFERROR(INDEX('1.산군_붙여넣기'!$A$1:$AZ$1001,ROW(),설정!$C$7)&amp;"",""))</f>
        <v/>
      </c>
      <c r="F837">
        <f>IF(설정!$C$8="","",IFERROR(INDEX('1.산군_붙여넣기'!$A$1:$AZ$1001,ROW(),설정!$C$8)&amp;"",""))</f>
        <v/>
      </c>
      <c r="G837">
        <f>IF(설정!$C$9="","",IFERROR(INDEX('1.산군_붙여넣기'!$A$1:$AZ$1001,ROW(),설정!$C$9)&amp;"",""))</f>
        <v/>
      </c>
      <c r="H837">
        <f>IF(설정!$C$10="","",IFERROR(INDEX('1.산군_붙여넣기'!$A$1:$AZ$1001,ROW(),설정!$C$10)&amp;"",""))</f>
        <v/>
      </c>
      <c r="I837">
        <f>IF(설정!$C$11="","",IFERROR(INDEX('1.산군_붙여넣기'!$A$1:$AZ$1001,ROW(),설정!$C$11)&amp;"",""))</f>
        <v/>
      </c>
      <c r="J837">
        <f>IF(설정!$C$12="","",IFERROR(INDEX('1.산군_붙여넣기'!$A$1:$AZ$1001,ROW(),설정!$C$12)&amp;"",""))</f>
        <v/>
      </c>
      <c r="K837">
        <f>IF(설정!$C$13="","",IFERROR(INDEX('1.산군_붙여넣기'!$A$1:$AZ$1001,ROW(),설정!$C$13)&amp;"",""))</f>
        <v/>
      </c>
      <c r="L837" s="7">
        <f>IF(X837="","",IF(AND(LEN(X837)=8,ISNUMBER(X837*1)),DATE(LEFT(X837,4),MID(X837,5,2),RIGHT(X837,2)),IFERROR(DATEVALUE(SUBSTITUTE(SUBSTITUTE(X837,".","-"),"/","-")),IFERROR(X837*1,""))))</f>
        <v/>
      </c>
      <c r="M837" s="7">
        <f>IF(Y837="","",IF(AND(LEN(Y837)=8,ISNUMBER(Y837*1)),DATE(LEFT(Y837,4),MID(Y837,5,2),RIGHT(Y837,2)),IFERROR(DATEVALUE(SUBSTITUTE(SUBSTITUTE(Y837,".","-"),"/","-")),IFERROR(Y837*1,""))))</f>
        <v/>
      </c>
      <c r="N837">
        <f>IFERROR(LEFT(B837,FIND(" ",B837)-1),B837)</f>
        <v/>
      </c>
      <c r="O837">
        <f>AND(B837&lt;&gt;"",B837&lt;&gt;설정!$B$4,C837&lt;&gt;설정!$B$5)</f>
        <v/>
      </c>
      <c r="P837">
        <f>IF(O837,B837&amp;"|"&amp;C837,"")</f>
        <v/>
      </c>
      <c r="Q837">
        <f>AND(O837,COUNTIF(P838:P$1002,P837)=0)</f>
        <v/>
      </c>
      <c r="R837">
        <f>OR(AND(설정!$A$42&lt;&gt;"",ISNUMBER(SEARCH(설정!$A$42,E837&amp;" "&amp;C837))),AND(설정!$A$43&lt;&gt;"",ISNUMBER(SEARCH(설정!$A$43,E837&amp;" "&amp;C837))),AND(설정!$A$44&lt;&gt;"",ISNUMBER(SEARCH(설정!$A$44,E837&amp;" "&amp;C837))),AND(설정!$A$45&lt;&gt;"",ISNUMBER(SEARCH(설정!$A$45,E837&amp;" "&amp;C837))),AND(설정!$A$46&lt;&gt;"",ISNUMBER(SEARCH(설정!$A$46,E837&amp;" "&amp;C837))),AND(설정!$A$47&lt;&gt;"",ISNUMBER(SEARCH(설정!$A$47,E837&amp;" "&amp;C837))),AND(설정!$A$48&lt;&gt;"",ISNUMBER(SEARCH(설정!$A$48,E837&amp;" "&amp;C837))),AND(설정!$A$49&lt;&gt;"",ISNUMBER(SEARCH(설정!$A$49,E837&amp;" "&amp;C837))),AND(설정!$A$50&lt;&gt;"",ISNUMBER(SEARCH(설정!$A$50,E837&amp;" "&amp;C837))),AND(설정!$A$51&lt;&gt;"",ISNUMBER(SEARCH(설정!$A$51,E837&amp;" "&amp;C837))))</f>
        <v/>
      </c>
      <c r="S837">
        <f>OR(D837="",D837&gt;=설정!$B$19)</f>
        <v/>
      </c>
      <c r="T837">
        <f>AND(Q837,R837,S837)</f>
        <v/>
      </c>
      <c r="U837">
        <f>IF(T837,IF(AND(설정!$A$54&lt;&gt;"",ISNUMBER(SEARCH(설정!$A$54,K837))),설정!$B$54,IF(AND(설정!$A$55&lt;&gt;"",ISNUMBER(SEARCH(설정!$A$55,K837))),설정!$B$55,IF(AND(설정!$A$56&lt;&gt;"",ISNUMBER(SEARCH(설정!$A$56,K837))),설정!$B$56,IF(AND(설정!$A$57&lt;&gt;"",ISNUMBER(SEARCH(설정!$A$57,K837))),설정!$B$57,IF(AND(설정!$A$58&lt;&gt;"",ISNUMBER(SEARCH(설정!$A$58,K837))),설정!$B$58,IF(AND(설정!$A$59&lt;&gt;"",ISNUMBER(SEARCH(설정!$A$59,K837))),설정!$B$59,IF(AND(설정!$A$60&lt;&gt;"",ISNUMBER(SEARCH(설정!$A$60,K837))),설정!$B$60,IF(AND(설정!$A$61&lt;&gt;"",ISNUMBER(SEARCH(설정!$A$61,K837))),설정!$B$61,IF(M837="","설계사","시공사"))))))))),"")</f>
        <v/>
      </c>
      <c r="V837">
        <f>SUBSTITUTE(SUBSTITUTE(SUBSTITUTE(SUBSTITUTE(G837,"(주)",""),"㈜",""),"주식회사","")," ","")</f>
        <v/>
      </c>
      <c r="W837">
        <f>IF(AND(T837,V837&lt;&gt;""),IF(COUNTIFS(V$2:V837,V837,T$2:T837,TRUE)=1,MAX(W$1:W836)+1,""),"")</f>
        <v/>
      </c>
      <c r="X837">
        <f>IF(설정!$C$14="","",IFERROR(INDEX('1.산군_붙여넣기'!$A$1:$AZ$1001,ROW(),설정!$C$14)&amp;"",""))</f>
        <v/>
      </c>
      <c r="Y837">
        <f>IF(설정!$C$15="","",IFERROR(INDEX('1.산군_붙여넣기'!$A$1:$AZ$1001,ROW(),설정!$C$15)&amp;"",""))</f>
        <v/>
      </c>
      <c r="Z837">
        <f>IF(T837,V837&amp;"|"&amp;U837,"")</f>
        <v/>
      </c>
      <c r="AA837">
        <f>IF(NOT(Q837),"",IF(NOT(AND(R837,S837)),"✕",IF(OR(OR(AND(L837&lt;&gt;"",M837&lt;&gt;"",N(M837)-N(L837)&gt;설정!$B$27),AND(L837&lt;&gt;"",M837="",설정!$B$24-N(L837)&gt;설정!$B$27)),AND(D837&lt;&gt;"",D837&lt;설정!$B$26)),"△","★")))</f>
        <v/>
      </c>
      <c r="AB837">
        <f>IF(NOT(T837),"",IF(U837="설계사",설정!$B$31,IF(U837="시공사",IF(OR(M837="",설정!$B$24-N(M837)&lt;=설정!$B$28*30.4),설정!$B$32,설정!$B$33),설정!$B$34))+IF(AA837="★",설정!$B$35,0))</f>
        <v/>
      </c>
      <c r="AC837">
        <f>SUBSTITUTE(SUBSTITUTE(SUBSTITUTE(SUBSTITUTE(H837,"(주)",""),"㈜",""),"주식회사","")," ","")</f>
        <v/>
      </c>
      <c r="AD837">
        <f>IF(AND(T837,AC837&lt;&gt;""),IF(COUNTIFS(AC$2:AC837,AC837,T$2:T837,TRUE)=1,MAX(AD$1:AD836)+1,""),"")</f>
        <v/>
      </c>
    </row>
    <row r="838">
      <c r="A838">
        <f>ROW()</f>
        <v/>
      </c>
      <c r="B838">
        <f>IF(설정!$C$4="","",IFERROR(INDEX('1.산군_붙여넣기'!$A$1:$AZ$1001,ROW(),설정!$C$4)&amp;"",""))</f>
        <v/>
      </c>
      <c r="C838">
        <f>IF(설정!$C$5="","",IFERROR(INDEX('1.산군_붙여넣기'!$A$1:$AZ$1001,ROW(),설정!$C$5)&amp;"",""))</f>
        <v/>
      </c>
      <c r="D838" s="5">
        <f>IFERROR(VALUE(SUBSTITUTE(SUBSTITUTE(SUBSTITUTE(IF(설정!$C$6="","",IFERROR(INDEX('1.산군_붙여넣기'!$A$1:$AZ$1001,ROW(),설정!$C$6)&amp;"","")),",",""),"㎡",""),"m2","")),"")</f>
        <v/>
      </c>
      <c r="E838">
        <f>IF(설정!$C$7="","",IFERROR(INDEX('1.산군_붙여넣기'!$A$1:$AZ$1001,ROW(),설정!$C$7)&amp;"",""))</f>
        <v/>
      </c>
      <c r="F838">
        <f>IF(설정!$C$8="","",IFERROR(INDEX('1.산군_붙여넣기'!$A$1:$AZ$1001,ROW(),설정!$C$8)&amp;"",""))</f>
        <v/>
      </c>
      <c r="G838">
        <f>IF(설정!$C$9="","",IFERROR(INDEX('1.산군_붙여넣기'!$A$1:$AZ$1001,ROW(),설정!$C$9)&amp;"",""))</f>
        <v/>
      </c>
      <c r="H838">
        <f>IF(설정!$C$10="","",IFERROR(INDEX('1.산군_붙여넣기'!$A$1:$AZ$1001,ROW(),설정!$C$10)&amp;"",""))</f>
        <v/>
      </c>
      <c r="I838">
        <f>IF(설정!$C$11="","",IFERROR(INDEX('1.산군_붙여넣기'!$A$1:$AZ$1001,ROW(),설정!$C$11)&amp;"",""))</f>
        <v/>
      </c>
      <c r="J838">
        <f>IF(설정!$C$12="","",IFERROR(INDEX('1.산군_붙여넣기'!$A$1:$AZ$1001,ROW(),설정!$C$12)&amp;"",""))</f>
        <v/>
      </c>
      <c r="K838">
        <f>IF(설정!$C$13="","",IFERROR(INDEX('1.산군_붙여넣기'!$A$1:$AZ$1001,ROW(),설정!$C$13)&amp;"",""))</f>
        <v/>
      </c>
      <c r="L838" s="7">
        <f>IF(X838="","",IF(AND(LEN(X838)=8,ISNUMBER(X838*1)),DATE(LEFT(X838,4),MID(X838,5,2),RIGHT(X838,2)),IFERROR(DATEVALUE(SUBSTITUTE(SUBSTITUTE(X838,".","-"),"/","-")),IFERROR(X838*1,""))))</f>
        <v/>
      </c>
      <c r="M838" s="7">
        <f>IF(Y838="","",IF(AND(LEN(Y838)=8,ISNUMBER(Y838*1)),DATE(LEFT(Y838,4),MID(Y838,5,2),RIGHT(Y838,2)),IFERROR(DATEVALUE(SUBSTITUTE(SUBSTITUTE(Y838,".","-"),"/","-")),IFERROR(Y838*1,""))))</f>
        <v/>
      </c>
      <c r="N838">
        <f>IFERROR(LEFT(B838,FIND(" ",B838)-1),B838)</f>
        <v/>
      </c>
      <c r="O838">
        <f>AND(B838&lt;&gt;"",B838&lt;&gt;설정!$B$4,C838&lt;&gt;설정!$B$5)</f>
        <v/>
      </c>
      <c r="P838">
        <f>IF(O838,B838&amp;"|"&amp;C838,"")</f>
        <v/>
      </c>
      <c r="Q838">
        <f>AND(O838,COUNTIF(P839:P$1002,P838)=0)</f>
        <v/>
      </c>
      <c r="R838">
        <f>OR(AND(설정!$A$42&lt;&gt;"",ISNUMBER(SEARCH(설정!$A$42,E838&amp;" "&amp;C838))),AND(설정!$A$43&lt;&gt;"",ISNUMBER(SEARCH(설정!$A$43,E838&amp;" "&amp;C838))),AND(설정!$A$44&lt;&gt;"",ISNUMBER(SEARCH(설정!$A$44,E838&amp;" "&amp;C838))),AND(설정!$A$45&lt;&gt;"",ISNUMBER(SEARCH(설정!$A$45,E838&amp;" "&amp;C838))),AND(설정!$A$46&lt;&gt;"",ISNUMBER(SEARCH(설정!$A$46,E838&amp;" "&amp;C838))),AND(설정!$A$47&lt;&gt;"",ISNUMBER(SEARCH(설정!$A$47,E838&amp;" "&amp;C838))),AND(설정!$A$48&lt;&gt;"",ISNUMBER(SEARCH(설정!$A$48,E838&amp;" "&amp;C838))),AND(설정!$A$49&lt;&gt;"",ISNUMBER(SEARCH(설정!$A$49,E838&amp;" "&amp;C838))),AND(설정!$A$50&lt;&gt;"",ISNUMBER(SEARCH(설정!$A$50,E838&amp;" "&amp;C838))),AND(설정!$A$51&lt;&gt;"",ISNUMBER(SEARCH(설정!$A$51,E838&amp;" "&amp;C838))))</f>
        <v/>
      </c>
      <c r="S838">
        <f>OR(D838="",D838&gt;=설정!$B$19)</f>
        <v/>
      </c>
      <c r="T838">
        <f>AND(Q838,R838,S838)</f>
        <v/>
      </c>
      <c r="U838">
        <f>IF(T838,IF(AND(설정!$A$54&lt;&gt;"",ISNUMBER(SEARCH(설정!$A$54,K838))),설정!$B$54,IF(AND(설정!$A$55&lt;&gt;"",ISNUMBER(SEARCH(설정!$A$55,K838))),설정!$B$55,IF(AND(설정!$A$56&lt;&gt;"",ISNUMBER(SEARCH(설정!$A$56,K838))),설정!$B$56,IF(AND(설정!$A$57&lt;&gt;"",ISNUMBER(SEARCH(설정!$A$57,K838))),설정!$B$57,IF(AND(설정!$A$58&lt;&gt;"",ISNUMBER(SEARCH(설정!$A$58,K838))),설정!$B$58,IF(AND(설정!$A$59&lt;&gt;"",ISNUMBER(SEARCH(설정!$A$59,K838))),설정!$B$59,IF(AND(설정!$A$60&lt;&gt;"",ISNUMBER(SEARCH(설정!$A$60,K838))),설정!$B$60,IF(AND(설정!$A$61&lt;&gt;"",ISNUMBER(SEARCH(설정!$A$61,K838))),설정!$B$61,IF(M838="","설계사","시공사"))))))))),"")</f>
        <v/>
      </c>
      <c r="V838">
        <f>SUBSTITUTE(SUBSTITUTE(SUBSTITUTE(SUBSTITUTE(G838,"(주)",""),"㈜",""),"주식회사","")," ","")</f>
        <v/>
      </c>
      <c r="W838">
        <f>IF(AND(T838,V838&lt;&gt;""),IF(COUNTIFS(V$2:V838,V838,T$2:T838,TRUE)=1,MAX(W$1:W837)+1,""),"")</f>
        <v/>
      </c>
      <c r="X838">
        <f>IF(설정!$C$14="","",IFERROR(INDEX('1.산군_붙여넣기'!$A$1:$AZ$1001,ROW(),설정!$C$14)&amp;"",""))</f>
        <v/>
      </c>
      <c r="Y838">
        <f>IF(설정!$C$15="","",IFERROR(INDEX('1.산군_붙여넣기'!$A$1:$AZ$1001,ROW(),설정!$C$15)&amp;"",""))</f>
        <v/>
      </c>
      <c r="Z838">
        <f>IF(T838,V838&amp;"|"&amp;U838,"")</f>
        <v/>
      </c>
      <c r="AA838">
        <f>IF(NOT(Q838),"",IF(NOT(AND(R838,S838)),"✕",IF(OR(OR(AND(L838&lt;&gt;"",M838&lt;&gt;"",N(M838)-N(L838)&gt;설정!$B$27),AND(L838&lt;&gt;"",M838="",설정!$B$24-N(L838)&gt;설정!$B$27)),AND(D838&lt;&gt;"",D838&lt;설정!$B$26)),"△","★")))</f>
        <v/>
      </c>
      <c r="AB838">
        <f>IF(NOT(T838),"",IF(U838="설계사",설정!$B$31,IF(U838="시공사",IF(OR(M838="",설정!$B$24-N(M838)&lt;=설정!$B$28*30.4),설정!$B$32,설정!$B$33),설정!$B$34))+IF(AA838="★",설정!$B$35,0))</f>
        <v/>
      </c>
      <c r="AC838">
        <f>SUBSTITUTE(SUBSTITUTE(SUBSTITUTE(SUBSTITUTE(H838,"(주)",""),"㈜",""),"주식회사","")," ","")</f>
        <v/>
      </c>
      <c r="AD838">
        <f>IF(AND(T838,AC838&lt;&gt;""),IF(COUNTIFS(AC$2:AC838,AC838,T$2:T838,TRUE)=1,MAX(AD$1:AD837)+1,""),"")</f>
        <v/>
      </c>
    </row>
    <row r="839">
      <c r="A839">
        <f>ROW()</f>
        <v/>
      </c>
      <c r="B839">
        <f>IF(설정!$C$4="","",IFERROR(INDEX('1.산군_붙여넣기'!$A$1:$AZ$1001,ROW(),설정!$C$4)&amp;"",""))</f>
        <v/>
      </c>
      <c r="C839">
        <f>IF(설정!$C$5="","",IFERROR(INDEX('1.산군_붙여넣기'!$A$1:$AZ$1001,ROW(),설정!$C$5)&amp;"",""))</f>
        <v/>
      </c>
      <c r="D839" s="5">
        <f>IFERROR(VALUE(SUBSTITUTE(SUBSTITUTE(SUBSTITUTE(IF(설정!$C$6="","",IFERROR(INDEX('1.산군_붙여넣기'!$A$1:$AZ$1001,ROW(),설정!$C$6)&amp;"","")),",",""),"㎡",""),"m2","")),"")</f>
        <v/>
      </c>
      <c r="E839">
        <f>IF(설정!$C$7="","",IFERROR(INDEX('1.산군_붙여넣기'!$A$1:$AZ$1001,ROW(),설정!$C$7)&amp;"",""))</f>
        <v/>
      </c>
      <c r="F839">
        <f>IF(설정!$C$8="","",IFERROR(INDEX('1.산군_붙여넣기'!$A$1:$AZ$1001,ROW(),설정!$C$8)&amp;"",""))</f>
        <v/>
      </c>
      <c r="G839">
        <f>IF(설정!$C$9="","",IFERROR(INDEX('1.산군_붙여넣기'!$A$1:$AZ$1001,ROW(),설정!$C$9)&amp;"",""))</f>
        <v/>
      </c>
      <c r="H839">
        <f>IF(설정!$C$10="","",IFERROR(INDEX('1.산군_붙여넣기'!$A$1:$AZ$1001,ROW(),설정!$C$10)&amp;"",""))</f>
        <v/>
      </c>
      <c r="I839">
        <f>IF(설정!$C$11="","",IFERROR(INDEX('1.산군_붙여넣기'!$A$1:$AZ$1001,ROW(),설정!$C$11)&amp;"",""))</f>
        <v/>
      </c>
      <c r="J839">
        <f>IF(설정!$C$12="","",IFERROR(INDEX('1.산군_붙여넣기'!$A$1:$AZ$1001,ROW(),설정!$C$12)&amp;"",""))</f>
        <v/>
      </c>
      <c r="K839">
        <f>IF(설정!$C$13="","",IFERROR(INDEX('1.산군_붙여넣기'!$A$1:$AZ$1001,ROW(),설정!$C$13)&amp;"",""))</f>
        <v/>
      </c>
      <c r="L839" s="7">
        <f>IF(X839="","",IF(AND(LEN(X839)=8,ISNUMBER(X839*1)),DATE(LEFT(X839,4),MID(X839,5,2),RIGHT(X839,2)),IFERROR(DATEVALUE(SUBSTITUTE(SUBSTITUTE(X839,".","-"),"/","-")),IFERROR(X839*1,""))))</f>
        <v/>
      </c>
      <c r="M839" s="7">
        <f>IF(Y839="","",IF(AND(LEN(Y839)=8,ISNUMBER(Y839*1)),DATE(LEFT(Y839,4),MID(Y839,5,2),RIGHT(Y839,2)),IFERROR(DATEVALUE(SUBSTITUTE(SUBSTITUTE(Y839,".","-"),"/","-")),IFERROR(Y839*1,""))))</f>
        <v/>
      </c>
      <c r="N839">
        <f>IFERROR(LEFT(B839,FIND(" ",B839)-1),B839)</f>
        <v/>
      </c>
      <c r="O839">
        <f>AND(B839&lt;&gt;"",B839&lt;&gt;설정!$B$4,C839&lt;&gt;설정!$B$5)</f>
        <v/>
      </c>
      <c r="P839">
        <f>IF(O839,B839&amp;"|"&amp;C839,"")</f>
        <v/>
      </c>
      <c r="Q839">
        <f>AND(O839,COUNTIF(P840:P$1002,P839)=0)</f>
        <v/>
      </c>
      <c r="R839">
        <f>OR(AND(설정!$A$42&lt;&gt;"",ISNUMBER(SEARCH(설정!$A$42,E839&amp;" "&amp;C839))),AND(설정!$A$43&lt;&gt;"",ISNUMBER(SEARCH(설정!$A$43,E839&amp;" "&amp;C839))),AND(설정!$A$44&lt;&gt;"",ISNUMBER(SEARCH(설정!$A$44,E839&amp;" "&amp;C839))),AND(설정!$A$45&lt;&gt;"",ISNUMBER(SEARCH(설정!$A$45,E839&amp;" "&amp;C839))),AND(설정!$A$46&lt;&gt;"",ISNUMBER(SEARCH(설정!$A$46,E839&amp;" "&amp;C839))),AND(설정!$A$47&lt;&gt;"",ISNUMBER(SEARCH(설정!$A$47,E839&amp;" "&amp;C839))),AND(설정!$A$48&lt;&gt;"",ISNUMBER(SEARCH(설정!$A$48,E839&amp;" "&amp;C839))),AND(설정!$A$49&lt;&gt;"",ISNUMBER(SEARCH(설정!$A$49,E839&amp;" "&amp;C839))),AND(설정!$A$50&lt;&gt;"",ISNUMBER(SEARCH(설정!$A$50,E839&amp;" "&amp;C839))),AND(설정!$A$51&lt;&gt;"",ISNUMBER(SEARCH(설정!$A$51,E839&amp;" "&amp;C839))))</f>
        <v/>
      </c>
      <c r="S839">
        <f>OR(D839="",D839&gt;=설정!$B$19)</f>
        <v/>
      </c>
      <c r="T839">
        <f>AND(Q839,R839,S839)</f>
        <v/>
      </c>
      <c r="U839">
        <f>IF(T839,IF(AND(설정!$A$54&lt;&gt;"",ISNUMBER(SEARCH(설정!$A$54,K839))),설정!$B$54,IF(AND(설정!$A$55&lt;&gt;"",ISNUMBER(SEARCH(설정!$A$55,K839))),설정!$B$55,IF(AND(설정!$A$56&lt;&gt;"",ISNUMBER(SEARCH(설정!$A$56,K839))),설정!$B$56,IF(AND(설정!$A$57&lt;&gt;"",ISNUMBER(SEARCH(설정!$A$57,K839))),설정!$B$57,IF(AND(설정!$A$58&lt;&gt;"",ISNUMBER(SEARCH(설정!$A$58,K839))),설정!$B$58,IF(AND(설정!$A$59&lt;&gt;"",ISNUMBER(SEARCH(설정!$A$59,K839))),설정!$B$59,IF(AND(설정!$A$60&lt;&gt;"",ISNUMBER(SEARCH(설정!$A$60,K839))),설정!$B$60,IF(AND(설정!$A$61&lt;&gt;"",ISNUMBER(SEARCH(설정!$A$61,K839))),설정!$B$61,IF(M839="","설계사","시공사"))))))))),"")</f>
        <v/>
      </c>
      <c r="V839">
        <f>SUBSTITUTE(SUBSTITUTE(SUBSTITUTE(SUBSTITUTE(G839,"(주)",""),"㈜",""),"주식회사","")," ","")</f>
        <v/>
      </c>
      <c r="W839">
        <f>IF(AND(T839,V839&lt;&gt;""),IF(COUNTIFS(V$2:V839,V839,T$2:T839,TRUE)=1,MAX(W$1:W838)+1,""),"")</f>
        <v/>
      </c>
      <c r="X839">
        <f>IF(설정!$C$14="","",IFERROR(INDEX('1.산군_붙여넣기'!$A$1:$AZ$1001,ROW(),설정!$C$14)&amp;"",""))</f>
        <v/>
      </c>
      <c r="Y839">
        <f>IF(설정!$C$15="","",IFERROR(INDEX('1.산군_붙여넣기'!$A$1:$AZ$1001,ROW(),설정!$C$15)&amp;"",""))</f>
        <v/>
      </c>
      <c r="Z839">
        <f>IF(T839,V839&amp;"|"&amp;U839,"")</f>
        <v/>
      </c>
      <c r="AA839">
        <f>IF(NOT(Q839),"",IF(NOT(AND(R839,S839)),"✕",IF(OR(OR(AND(L839&lt;&gt;"",M839&lt;&gt;"",N(M839)-N(L839)&gt;설정!$B$27),AND(L839&lt;&gt;"",M839="",설정!$B$24-N(L839)&gt;설정!$B$27)),AND(D839&lt;&gt;"",D839&lt;설정!$B$26)),"△","★")))</f>
        <v/>
      </c>
      <c r="AB839">
        <f>IF(NOT(T839),"",IF(U839="설계사",설정!$B$31,IF(U839="시공사",IF(OR(M839="",설정!$B$24-N(M839)&lt;=설정!$B$28*30.4),설정!$B$32,설정!$B$33),설정!$B$34))+IF(AA839="★",설정!$B$35,0))</f>
        <v/>
      </c>
      <c r="AC839">
        <f>SUBSTITUTE(SUBSTITUTE(SUBSTITUTE(SUBSTITUTE(H839,"(주)",""),"㈜",""),"주식회사","")," ","")</f>
        <v/>
      </c>
      <c r="AD839">
        <f>IF(AND(T839,AC839&lt;&gt;""),IF(COUNTIFS(AC$2:AC839,AC839,T$2:T839,TRUE)=1,MAX(AD$1:AD838)+1,""),"")</f>
        <v/>
      </c>
    </row>
    <row r="840">
      <c r="A840">
        <f>ROW()</f>
        <v/>
      </c>
      <c r="B840">
        <f>IF(설정!$C$4="","",IFERROR(INDEX('1.산군_붙여넣기'!$A$1:$AZ$1001,ROW(),설정!$C$4)&amp;"",""))</f>
        <v/>
      </c>
      <c r="C840">
        <f>IF(설정!$C$5="","",IFERROR(INDEX('1.산군_붙여넣기'!$A$1:$AZ$1001,ROW(),설정!$C$5)&amp;"",""))</f>
        <v/>
      </c>
      <c r="D840" s="5">
        <f>IFERROR(VALUE(SUBSTITUTE(SUBSTITUTE(SUBSTITUTE(IF(설정!$C$6="","",IFERROR(INDEX('1.산군_붙여넣기'!$A$1:$AZ$1001,ROW(),설정!$C$6)&amp;"","")),",",""),"㎡",""),"m2","")),"")</f>
        <v/>
      </c>
      <c r="E840">
        <f>IF(설정!$C$7="","",IFERROR(INDEX('1.산군_붙여넣기'!$A$1:$AZ$1001,ROW(),설정!$C$7)&amp;"",""))</f>
        <v/>
      </c>
      <c r="F840">
        <f>IF(설정!$C$8="","",IFERROR(INDEX('1.산군_붙여넣기'!$A$1:$AZ$1001,ROW(),설정!$C$8)&amp;"",""))</f>
        <v/>
      </c>
      <c r="G840">
        <f>IF(설정!$C$9="","",IFERROR(INDEX('1.산군_붙여넣기'!$A$1:$AZ$1001,ROW(),설정!$C$9)&amp;"",""))</f>
        <v/>
      </c>
      <c r="H840">
        <f>IF(설정!$C$10="","",IFERROR(INDEX('1.산군_붙여넣기'!$A$1:$AZ$1001,ROW(),설정!$C$10)&amp;"",""))</f>
        <v/>
      </c>
      <c r="I840">
        <f>IF(설정!$C$11="","",IFERROR(INDEX('1.산군_붙여넣기'!$A$1:$AZ$1001,ROW(),설정!$C$11)&amp;"",""))</f>
        <v/>
      </c>
      <c r="J840">
        <f>IF(설정!$C$12="","",IFERROR(INDEX('1.산군_붙여넣기'!$A$1:$AZ$1001,ROW(),설정!$C$12)&amp;"",""))</f>
        <v/>
      </c>
      <c r="K840">
        <f>IF(설정!$C$13="","",IFERROR(INDEX('1.산군_붙여넣기'!$A$1:$AZ$1001,ROW(),설정!$C$13)&amp;"",""))</f>
        <v/>
      </c>
      <c r="L840" s="7">
        <f>IF(X840="","",IF(AND(LEN(X840)=8,ISNUMBER(X840*1)),DATE(LEFT(X840,4),MID(X840,5,2),RIGHT(X840,2)),IFERROR(DATEVALUE(SUBSTITUTE(SUBSTITUTE(X840,".","-"),"/","-")),IFERROR(X840*1,""))))</f>
        <v/>
      </c>
      <c r="M840" s="7">
        <f>IF(Y840="","",IF(AND(LEN(Y840)=8,ISNUMBER(Y840*1)),DATE(LEFT(Y840,4),MID(Y840,5,2),RIGHT(Y840,2)),IFERROR(DATEVALUE(SUBSTITUTE(SUBSTITUTE(Y840,".","-"),"/","-")),IFERROR(Y840*1,""))))</f>
        <v/>
      </c>
      <c r="N840">
        <f>IFERROR(LEFT(B840,FIND(" ",B840)-1),B840)</f>
        <v/>
      </c>
      <c r="O840">
        <f>AND(B840&lt;&gt;"",B840&lt;&gt;설정!$B$4,C840&lt;&gt;설정!$B$5)</f>
        <v/>
      </c>
      <c r="P840">
        <f>IF(O840,B840&amp;"|"&amp;C840,"")</f>
        <v/>
      </c>
      <c r="Q840">
        <f>AND(O840,COUNTIF(P841:P$1002,P840)=0)</f>
        <v/>
      </c>
      <c r="R840">
        <f>OR(AND(설정!$A$42&lt;&gt;"",ISNUMBER(SEARCH(설정!$A$42,E840&amp;" "&amp;C840))),AND(설정!$A$43&lt;&gt;"",ISNUMBER(SEARCH(설정!$A$43,E840&amp;" "&amp;C840))),AND(설정!$A$44&lt;&gt;"",ISNUMBER(SEARCH(설정!$A$44,E840&amp;" "&amp;C840))),AND(설정!$A$45&lt;&gt;"",ISNUMBER(SEARCH(설정!$A$45,E840&amp;" "&amp;C840))),AND(설정!$A$46&lt;&gt;"",ISNUMBER(SEARCH(설정!$A$46,E840&amp;" "&amp;C840))),AND(설정!$A$47&lt;&gt;"",ISNUMBER(SEARCH(설정!$A$47,E840&amp;" "&amp;C840))),AND(설정!$A$48&lt;&gt;"",ISNUMBER(SEARCH(설정!$A$48,E840&amp;" "&amp;C840))),AND(설정!$A$49&lt;&gt;"",ISNUMBER(SEARCH(설정!$A$49,E840&amp;" "&amp;C840))),AND(설정!$A$50&lt;&gt;"",ISNUMBER(SEARCH(설정!$A$50,E840&amp;" "&amp;C840))),AND(설정!$A$51&lt;&gt;"",ISNUMBER(SEARCH(설정!$A$51,E840&amp;" "&amp;C840))))</f>
        <v/>
      </c>
      <c r="S840">
        <f>OR(D840="",D840&gt;=설정!$B$19)</f>
        <v/>
      </c>
      <c r="T840">
        <f>AND(Q840,R840,S840)</f>
        <v/>
      </c>
      <c r="U840">
        <f>IF(T840,IF(AND(설정!$A$54&lt;&gt;"",ISNUMBER(SEARCH(설정!$A$54,K840))),설정!$B$54,IF(AND(설정!$A$55&lt;&gt;"",ISNUMBER(SEARCH(설정!$A$55,K840))),설정!$B$55,IF(AND(설정!$A$56&lt;&gt;"",ISNUMBER(SEARCH(설정!$A$56,K840))),설정!$B$56,IF(AND(설정!$A$57&lt;&gt;"",ISNUMBER(SEARCH(설정!$A$57,K840))),설정!$B$57,IF(AND(설정!$A$58&lt;&gt;"",ISNUMBER(SEARCH(설정!$A$58,K840))),설정!$B$58,IF(AND(설정!$A$59&lt;&gt;"",ISNUMBER(SEARCH(설정!$A$59,K840))),설정!$B$59,IF(AND(설정!$A$60&lt;&gt;"",ISNUMBER(SEARCH(설정!$A$60,K840))),설정!$B$60,IF(AND(설정!$A$61&lt;&gt;"",ISNUMBER(SEARCH(설정!$A$61,K840))),설정!$B$61,IF(M840="","설계사","시공사"))))))))),"")</f>
        <v/>
      </c>
      <c r="V840">
        <f>SUBSTITUTE(SUBSTITUTE(SUBSTITUTE(SUBSTITUTE(G840,"(주)",""),"㈜",""),"주식회사","")," ","")</f>
        <v/>
      </c>
      <c r="W840">
        <f>IF(AND(T840,V840&lt;&gt;""),IF(COUNTIFS(V$2:V840,V840,T$2:T840,TRUE)=1,MAX(W$1:W839)+1,""),"")</f>
        <v/>
      </c>
      <c r="X840">
        <f>IF(설정!$C$14="","",IFERROR(INDEX('1.산군_붙여넣기'!$A$1:$AZ$1001,ROW(),설정!$C$14)&amp;"",""))</f>
        <v/>
      </c>
      <c r="Y840">
        <f>IF(설정!$C$15="","",IFERROR(INDEX('1.산군_붙여넣기'!$A$1:$AZ$1001,ROW(),설정!$C$15)&amp;"",""))</f>
        <v/>
      </c>
      <c r="Z840">
        <f>IF(T840,V840&amp;"|"&amp;U840,"")</f>
        <v/>
      </c>
      <c r="AA840">
        <f>IF(NOT(Q840),"",IF(NOT(AND(R840,S840)),"✕",IF(OR(OR(AND(L840&lt;&gt;"",M840&lt;&gt;"",N(M840)-N(L840)&gt;설정!$B$27),AND(L840&lt;&gt;"",M840="",설정!$B$24-N(L840)&gt;설정!$B$27)),AND(D840&lt;&gt;"",D840&lt;설정!$B$26)),"△","★")))</f>
        <v/>
      </c>
      <c r="AB840">
        <f>IF(NOT(T840),"",IF(U840="설계사",설정!$B$31,IF(U840="시공사",IF(OR(M840="",설정!$B$24-N(M840)&lt;=설정!$B$28*30.4),설정!$B$32,설정!$B$33),설정!$B$34))+IF(AA840="★",설정!$B$35,0))</f>
        <v/>
      </c>
      <c r="AC840">
        <f>SUBSTITUTE(SUBSTITUTE(SUBSTITUTE(SUBSTITUTE(H840,"(주)",""),"㈜",""),"주식회사","")," ","")</f>
        <v/>
      </c>
      <c r="AD840">
        <f>IF(AND(T840,AC840&lt;&gt;""),IF(COUNTIFS(AC$2:AC840,AC840,T$2:T840,TRUE)=1,MAX(AD$1:AD839)+1,""),"")</f>
        <v/>
      </c>
    </row>
    <row r="841">
      <c r="A841">
        <f>ROW()</f>
        <v/>
      </c>
      <c r="B841">
        <f>IF(설정!$C$4="","",IFERROR(INDEX('1.산군_붙여넣기'!$A$1:$AZ$1001,ROW(),설정!$C$4)&amp;"",""))</f>
        <v/>
      </c>
      <c r="C841">
        <f>IF(설정!$C$5="","",IFERROR(INDEX('1.산군_붙여넣기'!$A$1:$AZ$1001,ROW(),설정!$C$5)&amp;"",""))</f>
        <v/>
      </c>
      <c r="D841" s="5">
        <f>IFERROR(VALUE(SUBSTITUTE(SUBSTITUTE(SUBSTITUTE(IF(설정!$C$6="","",IFERROR(INDEX('1.산군_붙여넣기'!$A$1:$AZ$1001,ROW(),설정!$C$6)&amp;"","")),",",""),"㎡",""),"m2","")),"")</f>
        <v/>
      </c>
      <c r="E841">
        <f>IF(설정!$C$7="","",IFERROR(INDEX('1.산군_붙여넣기'!$A$1:$AZ$1001,ROW(),설정!$C$7)&amp;"",""))</f>
        <v/>
      </c>
      <c r="F841">
        <f>IF(설정!$C$8="","",IFERROR(INDEX('1.산군_붙여넣기'!$A$1:$AZ$1001,ROW(),설정!$C$8)&amp;"",""))</f>
        <v/>
      </c>
      <c r="G841">
        <f>IF(설정!$C$9="","",IFERROR(INDEX('1.산군_붙여넣기'!$A$1:$AZ$1001,ROW(),설정!$C$9)&amp;"",""))</f>
        <v/>
      </c>
      <c r="H841">
        <f>IF(설정!$C$10="","",IFERROR(INDEX('1.산군_붙여넣기'!$A$1:$AZ$1001,ROW(),설정!$C$10)&amp;"",""))</f>
        <v/>
      </c>
      <c r="I841">
        <f>IF(설정!$C$11="","",IFERROR(INDEX('1.산군_붙여넣기'!$A$1:$AZ$1001,ROW(),설정!$C$11)&amp;"",""))</f>
        <v/>
      </c>
      <c r="J841">
        <f>IF(설정!$C$12="","",IFERROR(INDEX('1.산군_붙여넣기'!$A$1:$AZ$1001,ROW(),설정!$C$12)&amp;"",""))</f>
        <v/>
      </c>
      <c r="K841">
        <f>IF(설정!$C$13="","",IFERROR(INDEX('1.산군_붙여넣기'!$A$1:$AZ$1001,ROW(),설정!$C$13)&amp;"",""))</f>
        <v/>
      </c>
      <c r="L841" s="7">
        <f>IF(X841="","",IF(AND(LEN(X841)=8,ISNUMBER(X841*1)),DATE(LEFT(X841,4),MID(X841,5,2),RIGHT(X841,2)),IFERROR(DATEVALUE(SUBSTITUTE(SUBSTITUTE(X841,".","-"),"/","-")),IFERROR(X841*1,""))))</f>
        <v/>
      </c>
      <c r="M841" s="7">
        <f>IF(Y841="","",IF(AND(LEN(Y841)=8,ISNUMBER(Y841*1)),DATE(LEFT(Y841,4),MID(Y841,5,2),RIGHT(Y841,2)),IFERROR(DATEVALUE(SUBSTITUTE(SUBSTITUTE(Y841,".","-"),"/","-")),IFERROR(Y841*1,""))))</f>
        <v/>
      </c>
      <c r="N841">
        <f>IFERROR(LEFT(B841,FIND(" ",B841)-1),B841)</f>
        <v/>
      </c>
      <c r="O841">
        <f>AND(B841&lt;&gt;"",B841&lt;&gt;설정!$B$4,C841&lt;&gt;설정!$B$5)</f>
        <v/>
      </c>
      <c r="P841">
        <f>IF(O841,B841&amp;"|"&amp;C841,"")</f>
        <v/>
      </c>
      <c r="Q841">
        <f>AND(O841,COUNTIF(P842:P$1002,P841)=0)</f>
        <v/>
      </c>
      <c r="R841">
        <f>OR(AND(설정!$A$42&lt;&gt;"",ISNUMBER(SEARCH(설정!$A$42,E841&amp;" "&amp;C841))),AND(설정!$A$43&lt;&gt;"",ISNUMBER(SEARCH(설정!$A$43,E841&amp;" "&amp;C841))),AND(설정!$A$44&lt;&gt;"",ISNUMBER(SEARCH(설정!$A$44,E841&amp;" "&amp;C841))),AND(설정!$A$45&lt;&gt;"",ISNUMBER(SEARCH(설정!$A$45,E841&amp;" "&amp;C841))),AND(설정!$A$46&lt;&gt;"",ISNUMBER(SEARCH(설정!$A$46,E841&amp;" "&amp;C841))),AND(설정!$A$47&lt;&gt;"",ISNUMBER(SEARCH(설정!$A$47,E841&amp;" "&amp;C841))),AND(설정!$A$48&lt;&gt;"",ISNUMBER(SEARCH(설정!$A$48,E841&amp;" "&amp;C841))),AND(설정!$A$49&lt;&gt;"",ISNUMBER(SEARCH(설정!$A$49,E841&amp;" "&amp;C841))),AND(설정!$A$50&lt;&gt;"",ISNUMBER(SEARCH(설정!$A$50,E841&amp;" "&amp;C841))),AND(설정!$A$51&lt;&gt;"",ISNUMBER(SEARCH(설정!$A$51,E841&amp;" "&amp;C841))))</f>
        <v/>
      </c>
      <c r="S841">
        <f>OR(D841="",D841&gt;=설정!$B$19)</f>
        <v/>
      </c>
      <c r="T841">
        <f>AND(Q841,R841,S841)</f>
        <v/>
      </c>
      <c r="U841">
        <f>IF(T841,IF(AND(설정!$A$54&lt;&gt;"",ISNUMBER(SEARCH(설정!$A$54,K841))),설정!$B$54,IF(AND(설정!$A$55&lt;&gt;"",ISNUMBER(SEARCH(설정!$A$55,K841))),설정!$B$55,IF(AND(설정!$A$56&lt;&gt;"",ISNUMBER(SEARCH(설정!$A$56,K841))),설정!$B$56,IF(AND(설정!$A$57&lt;&gt;"",ISNUMBER(SEARCH(설정!$A$57,K841))),설정!$B$57,IF(AND(설정!$A$58&lt;&gt;"",ISNUMBER(SEARCH(설정!$A$58,K841))),설정!$B$58,IF(AND(설정!$A$59&lt;&gt;"",ISNUMBER(SEARCH(설정!$A$59,K841))),설정!$B$59,IF(AND(설정!$A$60&lt;&gt;"",ISNUMBER(SEARCH(설정!$A$60,K841))),설정!$B$60,IF(AND(설정!$A$61&lt;&gt;"",ISNUMBER(SEARCH(설정!$A$61,K841))),설정!$B$61,IF(M841="","설계사","시공사"))))))))),"")</f>
        <v/>
      </c>
      <c r="V841">
        <f>SUBSTITUTE(SUBSTITUTE(SUBSTITUTE(SUBSTITUTE(G841,"(주)",""),"㈜",""),"주식회사","")," ","")</f>
        <v/>
      </c>
      <c r="W841">
        <f>IF(AND(T841,V841&lt;&gt;""),IF(COUNTIFS(V$2:V841,V841,T$2:T841,TRUE)=1,MAX(W$1:W840)+1,""),"")</f>
        <v/>
      </c>
      <c r="X841">
        <f>IF(설정!$C$14="","",IFERROR(INDEX('1.산군_붙여넣기'!$A$1:$AZ$1001,ROW(),설정!$C$14)&amp;"",""))</f>
        <v/>
      </c>
      <c r="Y841">
        <f>IF(설정!$C$15="","",IFERROR(INDEX('1.산군_붙여넣기'!$A$1:$AZ$1001,ROW(),설정!$C$15)&amp;"",""))</f>
        <v/>
      </c>
      <c r="Z841">
        <f>IF(T841,V841&amp;"|"&amp;U841,"")</f>
        <v/>
      </c>
      <c r="AA841">
        <f>IF(NOT(Q841),"",IF(NOT(AND(R841,S841)),"✕",IF(OR(OR(AND(L841&lt;&gt;"",M841&lt;&gt;"",N(M841)-N(L841)&gt;설정!$B$27),AND(L841&lt;&gt;"",M841="",설정!$B$24-N(L841)&gt;설정!$B$27)),AND(D841&lt;&gt;"",D841&lt;설정!$B$26)),"△","★")))</f>
        <v/>
      </c>
      <c r="AB841">
        <f>IF(NOT(T841),"",IF(U841="설계사",설정!$B$31,IF(U841="시공사",IF(OR(M841="",설정!$B$24-N(M841)&lt;=설정!$B$28*30.4),설정!$B$32,설정!$B$33),설정!$B$34))+IF(AA841="★",설정!$B$35,0))</f>
        <v/>
      </c>
      <c r="AC841">
        <f>SUBSTITUTE(SUBSTITUTE(SUBSTITUTE(SUBSTITUTE(H841,"(주)",""),"㈜",""),"주식회사","")," ","")</f>
        <v/>
      </c>
      <c r="AD841">
        <f>IF(AND(T841,AC841&lt;&gt;""),IF(COUNTIFS(AC$2:AC841,AC841,T$2:T841,TRUE)=1,MAX(AD$1:AD840)+1,""),"")</f>
        <v/>
      </c>
    </row>
    <row r="842">
      <c r="A842">
        <f>ROW()</f>
        <v/>
      </c>
      <c r="B842">
        <f>IF(설정!$C$4="","",IFERROR(INDEX('1.산군_붙여넣기'!$A$1:$AZ$1001,ROW(),설정!$C$4)&amp;"",""))</f>
        <v/>
      </c>
      <c r="C842">
        <f>IF(설정!$C$5="","",IFERROR(INDEX('1.산군_붙여넣기'!$A$1:$AZ$1001,ROW(),설정!$C$5)&amp;"",""))</f>
        <v/>
      </c>
      <c r="D842" s="5">
        <f>IFERROR(VALUE(SUBSTITUTE(SUBSTITUTE(SUBSTITUTE(IF(설정!$C$6="","",IFERROR(INDEX('1.산군_붙여넣기'!$A$1:$AZ$1001,ROW(),설정!$C$6)&amp;"","")),",",""),"㎡",""),"m2","")),"")</f>
        <v/>
      </c>
      <c r="E842">
        <f>IF(설정!$C$7="","",IFERROR(INDEX('1.산군_붙여넣기'!$A$1:$AZ$1001,ROW(),설정!$C$7)&amp;"",""))</f>
        <v/>
      </c>
      <c r="F842">
        <f>IF(설정!$C$8="","",IFERROR(INDEX('1.산군_붙여넣기'!$A$1:$AZ$1001,ROW(),설정!$C$8)&amp;"",""))</f>
        <v/>
      </c>
      <c r="G842">
        <f>IF(설정!$C$9="","",IFERROR(INDEX('1.산군_붙여넣기'!$A$1:$AZ$1001,ROW(),설정!$C$9)&amp;"",""))</f>
        <v/>
      </c>
      <c r="H842">
        <f>IF(설정!$C$10="","",IFERROR(INDEX('1.산군_붙여넣기'!$A$1:$AZ$1001,ROW(),설정!$C$10)&amp;"",""))</f>
        <v/>
      </c>
      <c r="I842">
        <f>IF(설정!$C$11="","",IFERROR(INDEX('1.산군_붙여넣기'!$A$1:$AZ$1001,ROW(),설정!$C$11)&amp;"",""))</f>
        <v/>
      </c>
      <c r="J842">
        <f>IF(설정!$C$12="","",IFERROR(INDEX('1.산군_붙여넣기'!$A$1:$AZ$1001,ROW(),설정!$C$12)&amp;"",""))</f>
        <v/>
      </c>
      <c r="K842">
        <f>IF(설정!$C$13="","",IFERROR(INDEX('1.산군_붙여넣기'!$A$1:$AZ$1001,ROW(),설정!$C$13)&amp;"",""))</f>
        <v/>
      </c>
      <c r="L842" s="7">
        <f>IF(X842="","",IF(AND(LEN(X842)=8,ISNUMBER(X842*1)),DATE(LEFT(X842,4),MID(X842,5,2),RIGHT(X842,2)),IFERROR(DATEVALUE(SUBSTITUTE(SUBSTITUTE(X842,".","-"),"/","-")),IFERROR(X842*1,""))))</f>
        <v/>
      </c>
      <c r="M842" s="7">
        <f>IF(Y842="","",IF(AND(LEN(Y842)=8,ISNUMBER(Y842*1)),DATE(LEFT(Y842,4),MID(Y842,5,2),RIGHT(Y842,2)),IFERROR(DATEVALUE(SUBSTITUTE(SUBSTITUTE(Y842,".","-"),"/","-")),IFERROR(Y842*1,""))))</f>
        <v/>
      </c>
      <c r="N842">
        <f>IFERROR(LEFT(B842,FIND(" ",B842)-1),B842)</f>
        <v/>
      </c>
      <c r="O842">
        <f>AND(B842&lt;&gt;"",B842&lt;&gt;설정!$B$4,C842&lt;&gt;설정!$B$5)</f>
        <v/>
      </c>
      <c r="P842">
        <f>IF(O842,B842&amp;"|"&amp;C842,"")</f>
        <v/>
      </c>
      <c r="Q842">
        <f>AND(O842,COUNTIF(P843:P$1002,P842)=0)</f>
        <v/>
      </c>
      <c r="R842">
        <f>OR(AND(설정!$A$42&lt;&gt;"",ISNUMBER(SEARCH(설정!$A$42,E842&amp;" "&amp;C842))),AND(설정!$A$43&lt;&gt;"",ISNUMBER(SEARCH(설정!$A$43,E842&amp;" "&amp;C842))),AND(설정!$A$44&lt;&gt;"",ISNUMBER(SEARCH(설정!$A$44,E842&amp;" "&amp;C842))),AND(설정!$A$45&lt;&gt;"",ISNUMBER(SEARCH(설정!$A$45,E842&amp;" "&amp;C842))),AND(설정!$A$46&lt;&gt;"",ISNUMBER(SEARCH(설정!$A$46,E842&amp;" "&amp;C842))),AND(설정!$A$47&lt;&gt;"",ISNUMBER(SEARCH(설정!$A$47,E842&amp;" "&amp;C842))),AND(설정!$A$48&lt;&gt;"",ISNUMBER(SEARCH(설정!$A$48,E842&amp;" "&amp;C842))),AND(설정!$A$49&lt;&gt;"",ISNUMBER(SEARCH(설정!$A$49,E842&amp;" "&amp;C842))),AND(설정!$A$50&lt;&gt;"",ISNUMBER(SEARCH(설정!$A$50,E842&amp;" "&amp;C842))),AND(설정!$A$51&lt;&gt;"",ISNUMBER(SEARCH(설정!$A$51,E842&amp;" "&amp;C842))))</f>
        <v/>
      </c>
      <c r="S842">
        <f>OR(D842="",D842&gt;=설정!$B$19)</f>
        <v/>
      </c>
      <c r="T842">
        <f>AND(Q842,R842,S842)</f>
        <v/>
      </c>
      <c r="U842">
        <f>IF(T842,IF(AND(설정!$A$54&lt;&gt;"",ISNUMBER(SEARCH(설정!$A$54,K842))),설정!$B$54,IF(AND(설정!$A$55&lt;&gt;"",ISNUMBER(SEARCH(설정!$A$55,K842))),설정!$B$55,IF(AND(설정!$A$56&lt;&gt;"",ISNUMBER(SEARCH(설정!$A$56,K842))),설정!$B$56,IF(AND(설정!$A$57&lt;&gt;"",ISNUMBER(SEARCH(설정!$A$57,K842))),설정!$B$57,IF(AND(설정!$A$58&lt;&gt;"",ISNUMBER(SEARCH(설정!$A$58,K842))),설정!$B$58,IF(AND(설정!$A$59&lt;&gt;"",ISNUMBER(SEARCH(설정!$A$59,K842))),설정!$B$59,IF(AND(설정!$A$60&lt;&gt;"",ISNUMBER(SEARCH(설정!$A$60,K842))),설정!$B$60,IF(AND(설정!$A$61&lt;&gt;"",ISNUMBER(SEARCH(설정!$A$61,K842))),설정!$B$61,IF(M842="","설계사","시공사"))))))))),"")</f>
        <v/>
      </c>
      <c r="V842">
        <f>SUBSTITUTE(SUBSTITUTE(SUBSTITUTE(SUBSTITUTE(G842,"(주)",""),"㈜",""),"주식회사","")," ","")</f>
        <v/>
      </c>
      <c r="W842">
        <f>IF(AND(T842,V842&lt;&gt;""),IF(COUNTIFS(V$2:V842,V842,T$2:T842,TRUE)=1,MAX(W$1:W841)+1,""),"")</f>
        <v/>
      </c>
      <c r="X842">
        <f>IF(설정!$C$14="","",IFERROR(INDEX('1.산군_붙여넣기'!$A$1:$AZ$1001,ROW(),설정!$C$14)&amp;"",""))</f>
        <v/>
      </c>
      <c r="Y842">
        <f>IF(설정!$C$15="","",IFERROR(INDEX('1.산군_붙여넣기'!$A$1:$AZ$1001,ROW(),설정!$C$15)&amp;"",""))</f>
        <v/>
      </c>
      <c r="Z842">
        <f>IF(T842,V842&amp;"|"&amp;U842,"")</f>
        <v/>
      </c>
      <c r="AA842">
        <f>IF(NOT(Q842),"",IF(NOT(AND(R842,S842)),"✕",IF(OR(OR(AND(L842&lt;&gt;"",M842&lt;&gt;"",N(M842)-N(L842)&gt;설정!$B$27),AND(L842&lt;&gt;"",M842="",설정!$B$24-N(L842)&gt;설정!$B$27)),AND(D842&lt;&gt;"",D842&lt;설정!$B$26)),"△","★")))</f>
        <v/>
      </c>
      <c r="AB842">
        <f>IF(NOT(T842),"",IF(U842="설계사",설정!$B$31,IF(U842="시공사",IF(OR(M842="",설정!$B$24-N(M842)&lt;=설정!$B$28*30.4),설정!$B$32,설정!$B$33),설정!$B$34))+IF(AA842="★",설정!$B$35,0))</f>
        <v/>
      </c>
      <c r="AC842">
        <f>SUBSTITUTE(SUBSTITUTE(SUBSTITUTE(SUBSTITUTE(H842,"(주)",""),"㈜",""),"주식회사","")," ","")</f>
        <v/>
      </c>
      <c r="AD842">
        <f>IF(AND(T842,AC842&lt;&gt;""),IF(COUNTIFS(AC$2:AC842,AC842,T$2:T842,TRUE)=1,MAX(AD$1:AD841)+1,""),"")</f>
        <v/>
      </c>
    </row>
    <row r="843">
      <c r="A843">
        <f>ROW()</f>
        <v/>
      </c>
      <c r="B843">
        <f>IF(설정!$C$4="","",IFERROR(INDEX('1.산군_붙여넣기'!$A$1:$AZ$1001,ROW(),설정!$C$4)&amp;"",""))</f>
        <v/>
      </c>
      <c r="C843">
        <f>IF(설정!$C$5="","",IFERROR(INDEX('1.산군_붙여넣기'!$A$1:$AZ$1001,ROW(),설정!$C$5)&amp;"",""))</f>
        <v/>
      </c>
      <c r="D843" s="5">
        <f>IFERROR(VALUE(SUBSTITUTE(SUBSTITUTE(SUBSTITUTE(IF(설정!$C$6="","",IFERROR(INDEX('1.산군_붙여넣기'!$A$1:$AZ$1001,ROW(),설정!$C$6)&amp;"","")),",",""),"㎡",""),"m2","")),"")</f>
        <v/>
      </c>
      <c r="E843">
        <f>IF(설정!$C$7="","",IFERROR(INDEX('1.산군_붙여넣기'!$A$1:$AZ$1001,ROW(),설정!$C$7)&amp;"",""))</f>
        <v/>
      </c>
      <c r="F843">
        <f>IF(설정!$C$8="","",IFERROR(INDEX('1.산군_붙여넣기'!$A$1:$AZ$1001,ROW(),설정!$C$8)&amp;"",""))</f>
        <v/>
      </c>
      <c r="G843">
        <f>IF(설정!$C$9="","",IFERROR(INDEX('1.산군_붙여넣기'!$A$1:$AZ$1001,ROW(),설정!$C$9)&amp;"",""))</f>
        <v/>
      </c>
      <c r="H843">
        <f>IF(설정!$C$10="","",IFERROR(INDEX('1.산군_붙여넣기'!$A$1:$AZ$1001,ROW(),설정!$C$10)&amp;"",""))</f>
        <v/>
      </c>
      <c r="I843">
        <f>IF(설정!$C$11="","",IFERROR(INDEX('1.산군_붙여넣기'!$A$1:$AZ$1001,ROW(),설정!$C$11)&amp;"",""))</f>
        <v/>
      </c>
      <c r="J843">
        <f>IF(설정!$C$12="","",IFERROR(INDEX('1.산군_붙여넣기'!$A$1:$AZ$1001,ROW(),설정!$C$12)&amp;"",""))</f>
        <v/>
      </c>
      <c r="K843">
        <f>IF(설정!$C$13="","",IFERROR(INDEX('1.산군_붙여넣기'!$A$1:$AZ$1001,ROW(),설정!$C$13)&amp;"",""))</f>
        <v/>
      </c>
      <c r="L843" s="7">
        <f>IF(X843="","",IF(AND(LEN(X843)=8,ISNUMBER(X843*1)),DATE(LEFT(X843,4),MID(X843,5,2),RIGHT(X843,2)),IFERROR(DATEVALUE(SUBSTITUTE(SUBSTITUTE(X843,".","-"),"/","-")),IFERROR(X843*1,""))))</f>
        <v/>
      </c>
      <c r="M843" s="7">
        <f>IF(Y843="","",IF(AND(LEN(Y843)=8,ISNUMBER(Y843*1)),DATE(LEFT(Y843,4),MID(Y843,5,2),RIGHT(Y843,2)),IFERROR(DATEVALUE(SUBSTITUTE(SUBSTITUTE(Y843,".","-"),"/","-")),IFERROR(Y843*1,""))))</f>
        <v/>
      </c>
      <c r="N843">
        <f>IFERROR(LEFT(B843,FIND(" ",B843)-1),B843)</f>
        <v/>
      </c>
      <c r="O843">
        <f>AND(B843&lt;&gt;"",B843&lt;&gt;설정!$B$4,C843&lt;&gt;설정!$B$5)</f>
        <v/>
      </c>
      <c r="P843">
        <f>IF(O843,B843&amp;"|"&amp;C843,"")</f>
        <v/>
      </c>
      <c r="Q843">
        <f>AND(O843,COUNTIF(P844:P$1002,P843)=0)</f>
        <v/>
      </c>
      <c r="R843">
        <f>OR(AND(설정!$A$42&lt;&gt;"",ISNUMBER(SEARCH(설정!$A$42,E843&amp;" "&amp;C843))),AND(설정!$A$43&lt;&gt;"",ISNUMBER(SEARCH(설정!$A$43,E843&amp;" "&amp;C843))),AND(설정!$A$44&lt;&gt;"",ISNUMBER(SEARCH(설정!$A$44,E843&amp;" "&amp;C843))),AND(설정!$A$45&lt;&gt;"",ISNUMBER(SEARCH(설정!$A$45,E843&amp;" "&amp;C843))),AND(설정!$A$46&lt;&gt;"",ISNUMBER(SEARCH(설정!$A$46,E843&amp;" "&amp;C843))),AND(설정!$A$47&lt;&gt;"",ISNUMBER(SEARCH(설정!$A$47,E843&amp;" "&amp;C843))),AND(설정!$A$48&lt;&gt;"",ISNUMBER(SEARCH(설정!$A$48,E843&amp;" "&amp;C843))),AND(설정!$A$49&lt;&gt;"",ISNUMBER(SEARCH(설정!$A$49,E843&amp;" "&amp;C843))),AND(설정!$A$50&lt;&gt;"",ISNUMBER(SEARCH(설정!$A$50,E843&amp;" "&amp;C843))),AND(설정!$A$51&lt;&gt;"",ISNUMBER(SEARCH(설정!$A$51,E843&amp;" "&amp;C843))))</f>
        <v/>
      </c>
      <c r="S843">
        <f>OR(D843="",D843&gt;=설정!$B$19)</f>
        <v/>
      </c>
      <c r="T843">
        <f>AND(Q843,R843,S843)</f>
        <v/>
      </c>
      <c r="U843">
        <f>IF(T843,IF(AND(설정!$A$54&lt;&gt;"",ISNUMBER(SEARCH(설정!$A$54,K843))),설정!$B$54,IF(AND(설정!$A$55&lt;&gt;"",ISNUMBER(SEARCH(설정!$A$55,K843))),설정!$B$55,IF(AND(설정!$A$56&lt;&gt;"",ISNUMBER(SEARCH(설정!$A$56,K843))),설정!$B$56,IF(AND(설정!$A$57&lt;&gt;"",ISNUMBER(SEARCH(설정!$A$57,K843))),설정!$B$57,IF(AND(설정!$A$58&lt;&gt;"",ISNUMBER(SEARCH(설정!$A$58,K843))),설정!$B$58,IF(AND(설정!$A$59&lt;&gt;"",ISNUMBER(SEARCH(설정!$A$59,K843))),설정!$B$59,IF(AND(설정!$A$60&lt;&gt;"",ISNUMBER(SEARCH(설정!$A$60,K843))),설정!$B$60,IF(AND(설정!$A$61&lt;&gt;"",ISNUMBER(SEARCH(설정!$A$61,K843))),설정!$B$61,IF(M843="","설계사","시공사"))))))))),"")</f>
        <v/>
      </c>
      <c r="V843">
        <f>SUBSTITUTE(SUBSTITUTE(SUBSTITUTE(SUBSTITUTE(G843,"(주)",""),"㈜",""),"주식회사","")," ","")</f>
        <v/>
      </c>
      <c r="W843">
        <f>IF(AND(T843,V843&lt;&gt;""),IF(COUNTIFS(V$2:V843,V843,T$2:T843,TRUE)=1,MAX(W$1:W842)+1,""),"")</f>
        <v/>
      </c>
      <c r="X843">
        <f>IF(설정!$C$14="","",IFERROR(INDEX('1.산군_붙여넣기'!$A$1:$AZ$1001,ROW(),설정!$C$14)&amp;"",""))</f>
        <v/>
      </c>
      <c r="Y843">
        <f>IF(설정!$C$15="","",IFERROR(INDEX('1.산군_붙여넣기'!$A$1:$AZ$1001,ROW(),설정!$C$15)&amp;"",""))</f>
        <v/>
      </c>
      <c r="Z843">
        <f>IF(T843,V843&amp;"|"&amp;U843,"")</f>
        <v/>
      </c>
      <c r="AA843">
        <f>IF(NOT(Q843),"",IF(NOT(AND(R843,S843)),"✕",IF(OR(OR(AND(L843&lt;&gt;"",M843&lt;&gt;"",N(M843)-N(L843)&gt;설정!$B$27),AND(L843&lt;&gt;"",M843="",설정!$B$24-N(L843)&gt;설정!$B$27)),AND(D843&lt;&gt;"",D843&lt;설정!$B$26)),"△","★")))</f>
        <v/>
      </c>
      <c r="AB843">
        <f>IF(NOT(T843),"",IF(U843="설계사",설정!$B$31,IF(U843="시공사",IF(OR(M843="",설정!$B$24-N(M843)&lt;=설정!$B$28*30.4),설정!$B$32,설정!$B$33),설정!$B$34))+IF(AA843="★",설정!$B$35,0))</f>
        <v/>
      </c>
      <c r="AC843">
        <f>SUBSTITUTE(SUBSTITUTE(SUBSTITUTE(SUBSTITUTE(H843,"(주)",""),"㈜",""),"주식회사","")," ","")</f>
        <v/>
      </c>
      <c r="AD843">
        <f>IF(AND(T843,AC843&lt;&gt;""),IF(COUNTIFS(AC$2:AC843,AC843,T$2:T843,TRUE)=1,MAX(AD$1:AD842)+1,""),"")</f>
        <v/>
      </c>
    </row>
    <row r="844">
      <c r="A844">
        <f>ROW()</f>
        <v/>
      </c>
      <c r="B844">
        <f>IF(설정!$C$4="","",IFERROR(INDEX('1.산군_붙여넣기'!$A$1:$AZ$1001,ROW(),설정!$C$4)&amp;"",""))</f>
        <v/>
      </c>
      <c r="C844">
        <f>IF(설정!$C$5="","",IFERROR(INDEX('1.산군_붙여넣기'!$A$1:$AZ$1001,ROW(),설정!$C$5)&amp;"",""))</f>
        <v/>
      </c>
      <c r="D844" s="5">
        <f>IFERROR(VALUE(SUBSTITUTE(SUBSTITUTE(SUBSTITUTE(IF(설정!$C$6="","",IFERROR(INDEX('1.산군_붙여넣기'!$A$1:$AZ$1001,ROW(),설정!$C$6)&amp;"","")),",",""),"㎡",""),"m2","")),"")</f>
        <v/>
      </c>
      <c r="E844">
        <f>IF(설정!$C$7="","",IFERROR(INDEX('1.산군_붙여넣기'!$A$1:$AZ$1001,ROW(),설정!$C$7)&amp;"",""))</f>
        <v/>
      </c>
      <c r="F844">
        <f>IF(설정!$C$8="","",IFERROR(INDEX('1.산군_붙여넣기'!$A$1:$AZ$1001,ROW(),설정!$C$8)&amp;"",""))</f>
        <v/>
      </c>
      <c r="G844">
        <f>IF(설정!$C$9="","",IFERROR(INDEX('1.산군_붙여넣기'!$A$1:$AZ$1001,ROW(),설정!$C$9)&amp;"",""))</f>
        <v/>
      </c>
      <c r="H844">
        <f>IF(설정!$C$10="","",IFERROR(INDEX('1.산군_붙여넣기'!$A$1:$AZ$1001,ROW(),설정!$C$10)&amp;"",""))</f>
        <v/>
      </c>
      <c r="I844">
        <f>IF(설정!$C$11="","",IFERROR(INDEX('1.산군_붙여넣기'!$A$1:$AZ$1001,ROW(),설정!$C$11)&amp;"",""))</f>
        <v/>
      </c>
      <c r="J844">
        <f>IF(설정!$C$12="","",IFERROR(INDEX('1.산군_붙여넣기'!$A$1:$AZ$1001,ROW(),설정!$C$12)&amp;"",""))</f>
        <v/>
      </c>
      <c r="K844">
        <f>IF(설정!$C$13="","",IFERROR(INDEX('1.산군_붙여넣기'!$A$1:$AZ$1001,ROW(),설정!$C$13)&amp;"",""))</f>
        <v/>
      </c>
      <c r="L844" s="7">
        <f>IF(X844="","",IF(AND(LEN(X844)=8,ISNUMBER(X844*1)),DATE(LEFT(X844,4),MID(X844,5,2),RIGHT(X844,2)),IFERROR(DATEVALUE(SUBSTITUTE(SUBSTITUTE(X844,".","-"),"/","-")),IFERROR(X844*1,""))))</f>
        <v/>
      </c>
      <c r="M844" s="7">
        <f>IF(Y844="","",IF(AND(LEN(Y844)=8,ISNUMBER(Y844*1)),DATE(LEFT(Y844,4),MID(Y844,5,2),RIGHT(Y844,2)),IFERROR(DATEVALUE(SUBSTITUTE(SUBSTITUTE(Y844,".","-"),"/","-")),IFERROR(Y844*1,""))))</f>
        <v/>
      </c>
      <c r="N844">
        <f>IFERROR(LEFT(B844,FIND(" ",B844)-1),B844)</f>
        <v/>
      </c>
      <c r="O844">
        <f>AND(B844&lt;&gt;"",B844&lt;&gt;설정!$B$4,C844&lt;&gt;설정!$B$5)</f>
        <v/>
      </c>
      <c r="P844">
        <f>IF(O844,B844&amp;"|"&amp;C844,"")</f>
        <v/>
      </c>
      <c r="Q844">
        <f>AND(O844,COUNTIF(P845:P$1002,P844)=0)</f>
        <v/>
      </c>
      <c r="R844">
        <f>OR(AND(설정!$A$42&lt;&gt;"",ISNUMBER(SEARCH(설정!$A$42,E844&amp;" "&amp;C844))),AND(설정!$A$43&lt;&gt;"",ISNUMBER(SEARCH(설정!$A$43,E844&amp;" "&amp;C844))),AND(설정!$A$44&lt;&gt;"",ISNUMBER(SEARCH(설정!$A$44,E844&amp;" "&amp;C844))),AND(설정!$A$45&lt;&gt;"",ISNUMBER(SEARCH(설정!$A$45,E844&amp;" "&amp;C844))),AND(설정!$A$46&lt;&gt;"",ISNUMBER(SEARCH(설정!$A$46,E844&amp;" "&amp;C844))),AND(설정!$A$47&lt;&gt;"",ISNUMBER(SEARCH(설정!$A$47,E844&amp;" "&amp;C844))),AND(설정!$A$48&lt;&gt;"",ISNUMBER(SEARCH(설정!$A$48,E844&amp;" "&amp;C844))),AND(설정!$A$49&lt;&gt;"",ISNUMBER(SEARCH(설정!$A$49,E844&amp;" "&amp;C844))),AND(설정!$A$50&lt;&gt;"",ISNUMBER(SEARCH(설정!$A$50,E844&amp;" "&amp;C844))),AND(설정!$A$51&lt;&gt;"",ISNUMBER(SEARCH(설정!$A$51,E844&amp;" "&amp;C844))))</f>
        <v/>
      </c>
      <c r="S844">
        <f>OR(D844="",D844&gt;=설정!$B$19)</f>
        <v/>
      </c>
      <c r="T844">
        <f>AND(Q844,R844,S844)</f>
        <v/>
      </c>
      <c r="U844">
        <f>IF(T844,IF(AND(설정!$A$54&lt;&gt;"",ISNUMBER(SEARCH(설정!$A$54,K844))),설정!$B$54,IF(AND(설정!$A$55&lt;&gt;"",ISNUMBER(SEARCH(설정!$A$55,K844))),설정!$B$55,IF(AND(설정!$A$56&lt;&gt;"",ISNUMBER(SEARCH(설정!$A$56,K844))),설정!$B$56,IF(AND(설정!$A$57&lt;&gt;"",ISNUMBER(SEARCH(설정!$A$57,K844))),설정!$B$57,IF(AND(설정!$A$58&lt;&gt;"",ISNUMBER(SEARCH(설정!$A$58,K844))),설정!$B$58,IF(AND(설정!$A$59&lt;&gt;"",ISNUMBER(SEARCH(설정!$A$59,K844))),설정!$B$59,IF(AND(설정!$A$60&lt;&gt;"",ISNUMBER(SEARCH(설정!$A$60,K844))),설정!$B$60,IF(AND(설정!$A$61&lt;&gt;"",ISNUMBER(SEARCH(설정!$A$61,K844))),설정!$B$61,IF(M844="","설계사","시공사"))))))))),"")</f>
        <v/>
      </c>
      <c r="V844">
        <f>SUBSTITUTE(SUBSTITUTE(SUBSTITUTE(SUBSTITUTE(G844,"(주)",""),"㈜",""),"주식회사","")," ","")</f>
        <v/>
      </c>
      <c r="W844">
        <f>IF(AND(T844,V844&lt;&gt;""),IF(COUNTIFS(V$2:V844,V844,T$2:T844,TRUE)=1,MAX(W$1:W843)+1,""),"")</f>
        <v/>
      </c>
      <c r="X844">
        <f>IF(설정!$C$14="","",IFERROR(INDEX('1.산군_붙여넣기'!$A$1:$AZ$1001,ROW(),설정!$C$14)&amp;"",""))</f>
        <v/>
      </c>
      <c r="Y844">
        <f>IF(설정!$C$15="","",IFERROR(INDEX('1.산군_붙여넣기'!$A$1:$AZ$1001,ROW(),설정!$C$15)&amp;"",""))</f>
        <v/>
      </c>
      <c r="Z844">
        <f>IF(T844,V844&amp;"|"&amp;U844,"")</f>
        <v/>
      </c>
      <c r="AA844">
        <f>IF(NOT(Q844),"",IF(NOT(AND(R844,S844)),"✕",IF(OR(OR(AND(L844&lt;&gt;"",M844&lt;&gt;"",N(M844)-N(L844)&gt;설정!$B$27),AND(L844&lt;&gt;"",M844="",설정!$B$24-N(L844)&gt;설정!$B$27)),AND(D844&lt;&gt;"",D844&lt;설정!$B$26)),"△","★")))</f>
        <v/>
      </c>
      <c r="AB844">
        <f>IF(NOT(T844),"",IF(U844="설계사",설정!$B$31,IF(U844="시공사",IF(OR(M844="",설정!$B$24-N(M844)&lt;=설정!$B$28*30.4),설정!$B$32,설정!$B$33),설정!$B$34))+IF(AA844="★",설정!$B$35,0))</f>
        <v/>
      </c>
      <c r="AC844">
        <f>SUBSTITUTE(SUBSTITUTE(SUBSTITUTE(SUBSTITUTE(H844,"(주)",""),"㈜",""),"주식회사","")," ","")</f>
        <v/>
      </c>
      <c r="AD844">
        <f>IF(AND(T844,AC844&lt;&gt;""),IF(COUNTIFS(AC$2:AC844,AC844,T$2:T844,TRUE)=1,MAX(AD$1:AD843)+1,""),"")</f>
        <v/>
      </c>
    </row>
    <row r="845">
      <c r="A845">
        <f>ROW()</f>
        <v/>
      </c>
      <c r="B845">
        <f>IF(설정!$C$4="","",IFERROR(INDEX('1.산군_붙여넣기'!$A$1:$AZ$1001,ROW(),설정!$C$4)&amp;"",""))</f>
        <v/>
      </c>
      <c r="C845">
        <f>IF(설정!$C$5="","",IFERROR(INDEX('1.산군_붙여넣기'!$A$1:$AZ$1001,ROW(),설정!$C$5)&amp;"",""))</f>
        <v/>
      </c>
      <c r="D845" s="5">
        <f>IFERROR(VALUE(SUBSTITUTE(SUBSTITUTE(SUBSTITUTE(IF(설정!$C$6="","",IFERROR(INDEX('1.산군_붙여넣기'!$A$1:$AZ$1001,ROW(),설정!$C$6)&amp;"","")),",",""),"㎡",""),"m2","")),"")</f>
        <v/>
      </c>
      <c r="E845">
        <f>IF(설정!$C$7="","",IFERROR(INDEX('1.산군_붙여넣기'!$A$1:$AZ$1001,ROW(),설정!$C$7)&amp;"",""))</f>
        <v/>
      </c>
      <c r="F845">
        <f>IF(설정!$C$8="","",IFERROR(INDEX('1.산군_붙여넣기'!$A$1:$AZ$1001,ROW(),설정!$C$8)&amp;"",""))</f>
        <v/>
      </c>
      <c r="G845">
        <f>IF(설정!$C$9="","",IFERROR(INDEX('1.산군_붙여넣기'!$A$1:$AZ$1001,ROW(),설정!$C$9)&amp;"",""))</f>
        <v/>
      </c>
      <c r="H845">
        <f>IF(설정!$C$10="","",IFERROR(INDEX('1.산군_붙여넣기'!$A$1:$AZ$1001,ROW(),설정!$C$10)&amp;"",""))</f>
        <v/>
      </c>
      <c r="I845">
        <f>IF(설정!$C$11="","",IFERROR(INDEX('1.산군_붙여넣기'!$A$1:$AZ$1001,ROW(),설정!$C$11)&amp;"",""))</f>
        <v/>
      </c>
      <c r="J845">
        <f>IF(설정!$C$12="","",IFERROR(INDEX('1.산군_붙여넣기'!$A$1:$AZ$1001,ROW(),설정!$C$12)&amp;"",""))</f>
        <v/>
      </c>
      <c r="K845">
        <f>IF(설정!$C$13="","",IFERROR(INDEX('1.산군_붙여넣기'!$A$1:$AZ$1001,ROW(),설정!$C$13)&amp;"",""))</f>
        <v/>
      </c>
      <c r="L845" s="7">
        <f>IF(X845="","",IF(AND(LEN(X845)=8,ISNUMBER(X845*1)),DATE(LEFT(X845,4),MID(X845,5,2),RIGHT(X845,2)),IFERROR(DATEVALUE(SUBSTITUTE(SUBSTITUTE(X845,".","-"),"/","-")),IFERROR(X845*1,""))))</f>
        <v/>
      </c>
      <c r="M845" s="7">
        <f>IF(Y845="","",IF(AND(LEN(Y845)=8,ISNUMBER(Y845*1)),DATE(LEFT(Y845,4),MID(Y845,5,2),RIGHT(Y845,2)),IFERROR(DATEVALUE(SUBSTITUTE(SUBSTITUTE(Y845,".","-"),"/","-")),IFERROR(Y845*1,""))))</f>
        <v/>
      </c>
      <c r="N845">
        <f>IFERROR(LEFT(B845,FIND(" ",B845)-1),B845)</f>
        <v/>
      </c>
      <c r="O845">
        <f>AND(B845&lt;&gt;"",B845&lt;&gt;설정!$B$4,C845&lt;&gt;설정!$B$5)</f>
        <v/>
      </c>
      <c r="P845">
        <f>IF(O845,B845&amp;"|"&amp;C845,"")</f>
        <v/>
      </c>
      <c r="Q845">
        <f>AND(O845,COUNTIF(P846:P$1002,P845)=0)</f>
        <v/>
      </c>
      <c r="R845">
        <f>OR(AND(설정!$A$42&lt;&gt;"",ISNUMBER(SEARCH(설정!$A$42,E845&amp;" "&amp;C845))),AND(설정!$A$43&lt;&gt;"",ISNUMBER(SEARCH(설정!$A$43,E845&amp;" "&amp;C845))),AND(설정!$A$44&lt;&gt;"",ISNUMBER(SEARCH(설정!$A$44,E845&amp;" "&amp;C845))),AND(설정!$A$45&lt;&gt;"",ISNUMBER(SEARCH(설정!$A$45,E845&amp;" "&amp;C845))),AND(설정!$A$46&lt;&gt;"",ISNUMBER(SEARCH(설정!$A$46,E845&amp;" "&amp;C845))),AND(설정!$A$47&lt;&gt;"",ISNUMBER(SEARCH(설정!$A$47,E845&amp;" "&amp;C845))),AND(설정!$A$48&lt;&gt;"",ISNUMBER(SEARCH(설정!$A$48,E845&amp;" "&amp;C845))),AND(설정!$A$49&lt;&gt;"",ISNUMBER(SEARCH(설정!$A$49,E845&amp;" "&amp;C845))),AND(설정!$A$50&lt;&gt;"",ISNUMBER(SEARCH(설정!$A$50,E845&amp;" "&amp;C845))),AND(설정!$A$51&lt;&gt;"",ISNUMBER(SEARCH(설정!$A$51,E845&amp;" "&amp;C845))))</f>
        <v/>
      </c>
      <c r="S845">
        <f>OR(D845="",D845&gt;=설정!$B$19)</f>
        <v/>
      </c>
      <c r="T845">
        <f>AND(Q845,R845,S845)</f>
        <v/>
      </c>
      <c r="U845">
        <f>IF(T845,IF(AND(설정!$A$54&lt;&gt;"",ISNUMBER(SEARCH(설정!$A$54,K845))),설정!$B$54,IF(AND(설정!$A$55&lt;&gt;"",ISNUMBER(SEARCH(설정!$A$55,K845))),설정!$B$55,IF(AND(설정!$A$56&lt;&gt;"",ISNUMBER(SEARCH(설정!$A$56,K845))),설정!$B$56,IF(AND(설정!$A$57&lt;&gt;"",ISNUMBER(SEARCH(설정!$A$57,K845))),설정!$B$57,IF(AND(설정!$A$58&lt;&gt;"",ISNUMBER(SEARCH(설정!$A$58,K845))),설정!$B$58,IF(AND(설정!$A$59&lt;&gt;"",ISNUMBER(SEARCH(설정!$A$59,K845))),설정!$B$59,IF(AND(설정!$A$60&lt;&gt;"",ISNUMBER(SEARCH(설정!$A$60,K845))),설정!$B$60,IF(AND(설정!$A$61&lt;&gt;"",ISNUMBER(SEARCH(설정!$A$61,K845))),설정!$B$61,IF(M845="","설계사","시공사"))))))))),"")</f>
        <v/>
      </c>
      <c r="V845">
        <f>SUBSTITUTE(SUBSTITUTE(SUBSTITUTE(SUBSTITUTE(G845,"(주)",""),"㈜",""),"주식회사","")," ","")</f>
        <v/>
      </c>
      <c r="W845">
        <f>IF(AND(T845,V845&lt;&gt;""),IF(COUNTIFS(V$2:V845,V845,T$2:T845,TRUE)=1,MAX(W$1:W844)+1,""),"")</f>
        <v/>
      </c>
      <c r="X845">
        <f>IF(설정!$C$14="","",IFERROR(INDEX('1.산군_붙여넣기'!$A$1:$AZ$1001,ROW(),설정!$C$14)&amp;"",""))</f>
        <v/>
      </c>
      <c r="Y845">
        <f>IF(설정!$C$15="","",IFERROR(INDEX('1.산군_붙여넣기'!$A$1:$AZ$1001,ROW(),설정!$C$15)&amp;"",""))</f>
        <v/>
      </c>
      <c r="Z845">
        <f>IF(T845,V845&amp;"|"&amp;U845,"")</f>
        <v/>
      </c>
      <c r="AA845">
        <f>IF(NOT(Q845),"",IF(NOT(AND(R845,S845)),"✕",IF(OR(OR(AND(L845&lt;&gt;"",M845&lt;&gt;"",N(M845)-N(L845)&gt;설정!$B$27),AND(L845&lt;&gt;"",M845="",설정!$B$24-N(L845)&gt;설정!$B$27)),AND(D845&lt;&gt;"",D845&lt;설정!$B$26)),"△","★")))</f>
        <v/>
      </c>
      <c r="AB845">
        <f>IF(NOT(T845),"",IF(U845="설계사",설정!$B$31,IF(U845="시공사",IF(OR(M845="",설정!$B$24-N(M845)&lt;=설정!$B$28*30.4),설정!$B$32,설정!$B$33),설정!$B$34))+IF(AA845="★",설정!$B$35,0))</f>
        <v/>
      </c>
      <c r="AC845">
        <f>SUBSTITUTE(SUBSTITUTE(SUBSTITUTE(SUBSTITUTE(H845,"(주)",""),"㈜",""),"주식회사","")," ","")</f>
        <v/>
      </c>
      <c r="AD845">
        <f>IF(AND(T845,AC845&lt;&gt;""),IF(COUNTIFS(AC$2:AC845,AC845,T$2:T845,TRUE)=1,MAX(AD$1:AD844)+1,""),"")</f>
        <v/>
      </c>
    </row>
    <row r="846">
      <c r="A846">
        <f>ROW()</f>
        <v/>
      </c>
      <c r="B846">
        <f>IF(설정!$C$4="","",IFERROR(INDEX('1.산군_붙여넣기'!$A$1:$AZ$1001,ROW(),설정!$C$4)&amp;"",""))</f>
        <v/>
      </c>
      <c r="C846">
        <f>IF(설정!$C$5="","",IFERROR(INDEX('1.산군_붙여넣기'!$A$1:$AZ$1001,ROW(),설정!$C$5)&amp;"",""))</f>
        <v/>
      </c>
      <c r="D846" s="5">
        <f>IFERROR(VALUE(SUBSTITUTE(SUBSTITUTE(SUBSTITUTE(IF(설정!$C$6="","",IFERROR(INDEX('1.산군_붙여넣기'!$A$1:$AZ$1001,ROW(),설정!$C$6)&amp;"","")),",",""),"㎡",""),"m2","")),"")</f>
        <v/>
      </c>
      <c r="E846">
        <f>IF(설정!$C$7="","",IFERROR(INDEX('1.산군_붙여넣기'!$A$1:$AZ$1001,ROW(),설정!$C$7)&amp;"",""))</f>
        <v/>
      </c>
      <c r="F846">
        <f>IF(설정!$C$8="","",IFERROR(INDEX('1.산군_붙여넣기'!$A$1:$AZ$1001,ROW(),설정!$C$8)&amp;"",""))</f>
        <v/>
      </c>
      <c r="G846">
        <f>IF(설정!$C$9="","",IFERROR(INDEX('1.산군_붙여넣기'!$A$1:$AZ$1001,ROW(),설정!$C$9)&amp;"",""))</f>
        <v/>
      </c>
      <c r="H846">
        <f>IF(설정!$C$10="","",IFERROR(INDEX('1.산군_붙여넣기'!$A$1:$AZ$1001,ROW(),설정!$C$10)&amp;"",""))</f>
        <v/>
      </c>
      <c r="I846">
        <f>IF(설정!$C$11="","",IFERROR(INDEX('1.산군_붙여넣기'!$A$1:$AZ$1001,ROW(),설정!$C$11)&amp;"",""))</f>
        <v/>
      </c>
      <c r="J846">
        <f>IF(설정!$C$12="","",IFERROR(INDEX('1.산군_붙여넣기'!$A$1:$AZ$1001,ROW(),설정!$C$12)&amp;"",""))</f>
        <v/>
      </c>
      <c r="K846">
        <f>IF(설정!$C$13="","",IFERROR(INDEX('1.산군_붙여넣기'!$A$1:$AZ$1001,ROW(),설정!$C$13)&amp;"",""))</f>
        <v/>
      </c>
      <c r="L846" s="7">
        <f>IF(X846="","",IF(AND(LEN(X846)=8,ISNUMBER(X846*1)),DATE(LEFT(X846,4),MID(X846,5,2),RIGHT(X846,2)),IFERROR(DATEVALUE(SUBSTITUTE(SUBSTITUTE(X846,".","-"),"/","-")),IFERROR(X846*1,""))))</f>
        <v/>
      </c>
      <c r="M846" s="7">
        <f>IF(Y846="","",IF(AND(LEN(Y846)=8,ISNUMBER(Y846*1)),DATE(LEFT(Y846,4),MID(Y846,5,2),RIGHT(Y846,2)),IFERROR(DATEVALUE(SUBSTITUTE(SUBSTITUTE(Y846,".","-"),"/","-")),IFERROR(Y846*1,""))))</f>
        <v/>
      </c>
      <c r="N846">
        <f>IFERROR(LEFT(B846,FIND(" ",B846)-1),B846)</f>
        <v/>
      </c>
      <c r="O846">
        <f>AND(B846&lt;&gt;"",B846&lt;&gt;설정!$B$4,C846&lt;&gt;설정!$B$5)</f>
        <v/>
      </c>
      <c r="P846">
        <f>IF(O846,B846&amp;"|"&amp;C846,"")</f>
        <v/>
      </c>
      <c r="Q846">
        <f>AND(O846,COUNTIF(P847:P$1002,P846)=0)</f>
        <v/>
      </c>
      <c r="R846">
        <f>OR(AND(설정!$A$42&lt;&gt;"",ISNUMBER(SEARCH(설정!$A$42,E846&amp;" "&amp;C846))),AND(설정!$A$43&lt;&gt;"",ISNUMBER(SEARCH(설정!$A$43,E846&amp;" "&amp;C846))),AND(설정!$A$44&lt;&gt;"",ISNUMBER(SEARCH(설정!$A$44,E846&amp;" "&amp;C846))),AND(설정!$A$45&lt;&gt;"",ISNUMBER(SEARCH(설정!$A$45,E846&amp;" "&amp;C846))),AND(설정!$A$46&lt;&gt;"",ISNUMBER(SEARCH(설정!$A$46,E846&amp;" "&amp;C846))),AND(설정!$A$47&lt;&gt;"",ISNUMBER(SEARCH(설정!$A$47,E846&amp;" "&amp;C846))),AND(설정!$A$48&lt;&gt;"",ISNUMBER(SEARCH(설정!$A$48,E846&amp;" "&amp;C846))),AND(설정!$A$49&lt;&gt;"",ISNUMBER(SEARCH(설정!$A$49,E846&amp;" "&amp;C846))),AND(설정!$A$50&lt;&gt;"",ISNUMBER(SEARCH(설정!$A$50,E846&amp;" "&amp;C846))),AND(설정!$A$51&lt;&gt;"",ISNUMBER(SEARCH(설정!$A$51,E846&amp;" "&amp;C846))))</f>
        <v/>
      </c>
      <c r="S846">
        <f>OR(D846="",D846&gt;=설정!$B$19)</f>
        <v/>
      </c>
      <c r="T846">
        <f>AND(Q846,R846,S846)</f>
        <v/>
      </c>
      <c r="U846">
        <f>IF(T846,IF(AND(설정!$A$54&lt;&gt;"",ISNUMBER(SEARCH(설정!$A$54,K846))),설정!$B$54,IF(AND(설정!$A$55&lt;&gt;"",ISNUMBER(SEARCH(설정!$A$55,K846))),설정!$B$55,IF(AND(설정!$A$56&lt;&gt;"",ISNUMBER(SEARCH(설정!$A$56,K846))),설정!$B$56,IF(AND(설정!$A$57&lt;&gt;"",ISNUMBER(SEARCH(설정!$A$57,K846))),설정!$B$57,IF(AND(설정!$A$58&lt;&gt;"",ISNUMBER(SEARCH(설정!$A$58,K846))),설정!$B$58,IF(AND(설정!$A$59&lt;&gt;"",ISNUMBER(SEARCH(설정!$A$59,K846))),설정!$B$59,IF(AND(설정!$A$60&lt;&gt;"",ISNUMBER(SEARCH(설정!$A$60,K846))),설정!$B$60,IF(AND(설정!$A$61&lt;&gt;"",ISNUMBER(SEARCH(설정!$A$61,K846))),설정!$B$61,IF(M846="","설계사","시공사"))))))))),"")</f>
        <v/>
      </c>
      <c r="V846">
        <f>SUBSTITUTE(SUBSTITUTE(SUBSTITUTE(SUBSTITUTE(G846,"(주)",""),"㈜",""),"주식회사","")," ","")</f>
        <v/>
      </c>
      <c r="W846">
        <f>IF(AND(T846,V846&lt;&gt;""),IF(COUNTIFS(V$2:V846,V846,T$2:T846,TRUE)=1,MAX(W$1:W845)+1,""),"")</f>
        <v/>
      </c>
      <c r="X846">
        <f>IF(설정!$C$14="","",IFERROR(INDEX('1.산군_붙여넣기'!$A$1:$AZ$1001,ROW(),설정!$C$14)&amp;"",""))</f>
        <v/>
      </c>
      <c r="Y846">
        <f>IF(설정!$C$15="","",IFERROR(INDEX('1.산군_붙여넣기'!$A$1:$AZ$1001,ROW(),설정!$C$15)&amp;"",""))</f>
        <v/>
      </c>
      <c r="Z846">
        <f>IF(T846,V846&amp;"|"&amp;U846,"")</f>
        <v/>
      </c>
      <c r="AA846">
        <f>IF(NOT(Q846),"",IF(NOT(AND(R846,S846)),"✕",IF(OR(OR(AND(L846&lt;&gt;"",M846&lt;&gt;"",N(M846)-N(L846)&gt;설정!$B$27),AND(L846&lt;&gt;"",M846="",설정!$B$24-N(L846)&gt;설정!$B$27)),AND(D846&lt;&gt;"",D846&lt;설정!$B$26)),"△","★")))</f>
        <v/>
      </c>
      <c r="AB846">
        <f>IF(NOT(T846),"",IF(U846="설계사",설정!$B$31,IF(U846="시공사",IF(OR(M846="",설정!$B$24-N(M846)&lt;=설정!$B$28*30.4),설정!$B$32,설정!$B$33),설정!$B$34))+IF(AA846="★",설정!$B$35,0))</f>
        <v/>
      </c>
      <c r="AC846">
        <f>SUBSTITUTE(SUBSTITUTE(SUBSTITUTE(SUBSTITUTE(H846,"(주)",""),"㈜",""),"주식회사","")," ","")</f>
        <v/>
      </c>
      <c r="AD846">
        <f>IF(AND(T846,AC846&lt;&gt;""),IF(COUNTIFS(AC$2:AC846,AC846,T$2:T846,TRUE)=1,MAX(AD$1:AD845)+1,""),"")</f>
        <v/>
      </c>
    </row>
    <row r="847">
      <c r="A847">
        <f>ROW()</f>
        <v/>
      </c>
      <c r="B847">
        <f>IF(설정!$C$4="","",IFERROR(INDEX('1.산군_붙여넣기'!$A$1:$AZ$1001,ROW(),설정!$C$4)&amp;"",""))</f>
        <v/>
      </c>
      <c r="C847">
        <f>IF(설정!$C$5="","",IFERROR(INDEX('1.산군_붙여넣기'!$A$1:$AZ$1001,ROW(),설정!$C$5)&amp;"",""))</f>
        <v/>
      </c>
      <c r="D847" s="5">
        <f>IFERROR(VALUE(SUBSTITUTE(SUBSTITUTE(SUBSTITUTE(IF(설정!$C$6="","",IFERROR(INDEX('1.산군_붙여넣기'!$A$1:$AZ$1001,ROW(),설정!$C$6)&amp;"","")),",",""),"㎡",""),"m2","")),"")</f>
        <v/>
      </c>
      <c r="E847">
        <f>IF(설정!$C$7="","",IFERROR(INDEX('1.산군_붙여넣기'!$A$1:$AZ$1001,ROW(),설정!$C$7)&amp;"",""))</f>
        <v/>
      </c>
      <c r="F847">
        <f>IF(설정!$C$8="","",IFERROR(INDEX('1.산군_붙여넣기'!$A$1:$AZ$1001,ROW(),설정!$C$8)&amp;"",""))</f>
        <v/>
      </c>
      <c r="G847">
        <f>IF(설정!$C$9="","",IFERROR(INDEX('1.산군_붙여넣기'!$A$1:$AZ$1001,ROW(),설정!$C$9)&amp;"",""))</f>
        <v/>
      </c>
      <c r="H847">
        <f>IF(설정!$C$10="","",IFERROR(INDEX('1.산군_붙여넣기'!$A$1:$AZ$1001,ROW(),설정!$C$10)&amp;"",""))</f>
        <v/>
      </c>
      <c r="I847">
        <f>IF(설정!$C$11="","",IFERROR(INDEX('1.산군_붙여넣기'!$A$1:$AZ$1001,ROW(),설정!$C$11)&amp;"",""))</f>
        <v/>
      </c>
      <c r="J847">
        <f>IF(설정!$C$12="","",IFERROR(INDEX('1.산군_붙여넣기'!$A$1:$AZ$1001,ROW(),설정!$C$12)&amp;"",""))</f>
        <v/>
      </c>
      <c r="K847">
        <f>IF(설정!$C$13="","",IFERROR(INDEX('1.산군_붙여넣기'!$A$1:$AZ$1001,ROW(),설정!$C$13)&amp;"",""))</f>
        <v/>
      </c>
      <c r="L847" s="7">
        <f>IF(X847="","",IF(AND(LEN(X847)=8,ISNUMBER(X847*1)),DATE(LEFT(X847,4),MID(X847,5,2),RIGHT(X847,2)),IFERROR(DATEVALUE(SUBSTITUTE(SUBSTITUTE(X847,".","-"),"/","-")),IFERROR(X847*1,""))))</f>
        <v/>
      </c>
      <c r="M847" s="7">
        <f>IF(Y847="","",IF(AND(LEN(Y847)=8,ISNUMBER(Y847*1)),DATE(LEFT(Y847,4),MID(Y847,5,2),RIGHT(Y847,2)),IFERROR(DATEVALUE(SUBSTITUTE(SUBSTITUTE(Y847,".","-"),"/","-")),IFERROR(Y847*1,""))))</f>
        <v/>
      </c>
      <c r="N847">
        <f>IFERROR(LEFT(B847,FIND(" ",B847)-1),B847)</f>
        <v/>
      </c>
      <c r="O847">
        <f>AND(B847&lt;&gt;"",B847&lt;&gt;설정!$B$4,C847&lt;&gt;설정!$B$5)</f>
        <v/>
      </c>
      <c r="P847">
        <f>IF(O847,B847&amp;"|"&amp;C847,"")</f>
        <v/>
      </c>
      <c r="Q847">
        <f>AND(O847,COUNTIF(P848:P$1002,P847)=0)</f>
        <v/>
      </c>
      <c r="R847">
        <f>OR(AND(설정!$A$42&lt;&gt;"",ISNUMBER(SEARCH(설정!$A$42,E847&amp;" "&amp;C847))),AND(설정!$A$43&lt;&gt;"",ISNUMBER(SEARCH(설정!$A$43,E847&amp;" "&amp;C847))),AND(설정!$A$44&lt;&gt;"",ISNUMBER(SEARCH(설정!$A$44,E847&amp;" "&amp;C847))),AND(설정!$A$45&lt;&gt;"",ISNUMBER(SEARCH(설정!$A$45,E847&amp;" "&amp;C847))),AND(설정!$A$46&lt;&gt;"",ISNUMBER(SEARCH(설정!$A$46,E847&amp;" "&amp;C847))),AND(설정!$A$47&lt;&gt;"",ISNUMBER(SEARCH(설정!$A$47,E847&amp;" "&amp;C847))),AND(설정!$A$48&lt;&gt;"",ISNUMBER(SEARCH(설정!$A$48,E847&amp;" "&amp;C847))),AND(설정!$A$49&lt;&gt;"",ISNUMBER(SEARCH(설정!$A$49,E847&amp;" "&amp;C847))),AND(설정!$A$50&lt;&gt;"",ISNUMBER(SEARCH(설정!$A$50,E847&amp;" "&amp;C847))),AND(설정!$A$51&lt;&gt;"",ISNUMBER(SEARCH(설정!$A$51,E847&amp;" "&amp;C847))))</f>
        <v/>
      </c>
      <c r="S847">
        <f>OR(D847="",D847&gt;=설정!$B$19)</f>
        <v/>
      </c>
      <c r="T847">
        <f>AND(Q847,R847,S847)</f>
        <v/>
      </c>
      <c r="U847">
        <f>IF(T847,IF(AND(설정!$A$54&lt;&gt;"",ISNUMBER(SEARCH(설정!$A$54,K847))),설정!$B$54,IF(AND(설정!$A$55&lt;&gt;"",ISNUMBER(SEARCH(설정!$A$55,K847))),설정!$B$55,IF(AND(설정!$A$56&lt;&gt;"",ISNUMBER(SEARCH(설정!$A$56,K847))),설정!$B$56,IF(AND(설정!$A$57&lt;&gt;"",ISNUMBER(SEARCH(설정!$A$57,K847))),설정!$B$57,IF(AND(설정!$A$58&lt;&gt;"",ISNUMBER(SEARCH(설정!$A$58,K847))),설정!$B$58,IF(AND(설정!$A$59&lt;&gt;"",ISNUMBER(SEARCH(설정!$A$59,K847))),설정!$B$59,IF(AND(설정!$A$60&lt;&gt;"",ISNUMBER(SEARCH(설정!$A$60,K847))),설정!$B$60,IF(AND(설정!$A$61&lt;&gt;"",ISNUMBER(SEARCH(설정!$A$61,K847))),설정!$B$61,IF(M847="","설계사","시공사"))))))))),"")</f>
        <v/>
      </c>
      <c r="V847">
        <f>SUBSTITUTE(SUBSTITUTE(SUBSTITUTE(SUBSTITUTE(G847,"(주)",""),"㈜",""),"주식회사","")," ","")</f>
        <v/>
      </c>
      <c r="W847">
        <f>IF(AND(T847,V847&lt;&gt;""),IF(COUNTIFS(V$2:V847,V847,T$2:T847,TRUE)=1,MAX(W$1:W846)+1,""),"")</f>
        <v/>
      </c>
      <c r="X847">
        <f>IF(설정!$C$14="","",IFERROR(INDEX('1.산군_붙여넣기'!$A$1:$AZ$1001,ROW(),설정!$C$14)&amp;"",""))</f>
        <v/>
      </c>
      <c r="Y847">
        <f>IF(설정!$C$15="","",IFERROR(INDEX('1.산군_붙여넣기'!$A$1:$AZ$1001,ROW(),설정!$C$15)&amp;"",""))</f>
        <v/>
      </c>
      <c r="Z847">
        <f>IF(T847,V847&amp;"|"&amp;U847,"")</f>
        <v/>
      </c>
      <c r="AA847">
        <f>IF(NOT(Q847),"",IF(NOT(AND(R847,S847)),"✕",IF(OR(OR(AND(L847&lt;&gt;"",M847&lt;&gt;"",N(M847)-N(L847)&gt;설정!$B$27),AND(L847&lt;&gt;"",M847="",설정!$B$24-N(L847)&gt;설정!$B$27)),AND(D847&lt;&gt;"",D847&lt;설정!$B$26)),"△","★")))</f>
        <v/>
      </c>
      <c r="AB847">
        <f>IF(NOT(T847),"",IF(U847="설계사",설정!$B$31,IF(U847="시공사",IF(OR(M847="",설정!$B$24-N(M847)&lt;=설정!$B$28*30.4),설정!$B$32,설정!$B$33),설정!$B$34))+IF(AA847="★",설정!$B$35,0))</f>
        <v/>
      </c>
      <c r="AC847">
        <f>SUBSTITUTE(SUBSTITUTE(SUBSTITUTE(SUBSTITUTE(H847,"(주)",""),"㈜",""),"주식회사","")," ","")</f>
        <v/>
      </c>
      <c r="AD847">
        <f>IF(AND(T847,AC847&lt;&gt;""),IF(COUNTIFS(AC$2:AC847,AC847,T$2:T847,TRUE)=1,MAX(AD$1:AD846)+1,""),"")</f>
        <v/>
      </c>
    </row>
    <row r="848">
      <c r="A848">
        <f>ROW()</f>
        <v/>
      </c>
      <c r="B848">
        <f>IF(설정!$C$4="","",IFERROR(INDEX('1.산군_붙여넣기'!$A$1:$AZ$1001,ROW(),설정!$C$4)&amp;"",""))</f>
        <v/>
      </c>
      <c r="C848">
        <f>IF(설정!$C$5="","",IFERROR(INDEX('1.산군_붙여넣기'!$A$1:$AZ$1001,ROW(),설정!$C$5)&amp;"",""))</f>
        <v/>
      </c>
      <c r="D848" s="5">
        <f>IFERROR(VALUE(SUBSTITUTE(SUBSTITUTE(SUBSTITUTE(IF(설정!$C$6="","",IFERROR(INDEX('1.산군_붙여넣기'!$A$1:$AZ$1001,ROW(),설정!$C$6)&amp;"","")),",",""),"㎡",""),"m2","")),"")</f>
        <v/>
      </c>
      <c r="E848">
        <f>IF(설정!$C$7="","",IFERROR(INDEX('1.산군_붙여넣기'!$A$1:$AZ$1001,ROW(),설정!$C$7)&amp;"",""))</f>
        <v/>
      </c>
      <c r="F848">
        <f>IF(설정!$C$8="","",IFERROR(INDEX('1.산군_붙여넣기'!$A$1:$AZ$1001,ROW(),설정!$C$8)&amp;"",""))</f>
        <v/>
      </c>
      <c r="G848">
        <f>IF(설정!$C$9="","",IFERROR(INDEX('1.산군_붙여넣기'!$A$1:$AZ$1001,ROW(),설정!$C$9)&amp;"",""))</f>
        <v/>
      </c>
      <c r="H848">
        <f>IF(설정!$C$10="","",IFERROR(INDEX('1.산군_붙여넣기'!$A$1:$AZ$1001,ROW(),설정!$C$10)&amp;"",""))</f>
        <v/>
      </c>
      <c r="I848">
        <f>IF(설정!$C$11="","",IFERROR(INDEX('1.산군_붙여넣기'!$A$1:$AZ$1001,ROW(),설정!$C$11)&amp;"",""))</f>
        <v/>
      </c>
      <c r="J848">
        <f>IF(설정!$C$12="","",IFERROR(INDEX('1.산군_붙여넣기'!$A$1:$AZ$1001,ROW(),설정!$C$12)&amp;"",""))</f>
        <v/>
      </c>
      <c r="K848">
        <f>IF(설정!$C$13="","",IFERROR(INDEX('1.산군_붙여넣기'!$A$1:$AZ$1001,ROW(),설정!$C$13)&amp;"",""))</f>
        <v/>
      </c>
      <c r="L848" s="7">
        <f>IF(X848="","",IF(AND(LEN(X848)=8,ISNUMBER(X848*1)),DATE(LEFT(X848,4),MID(X848,5,2),RIGHT(X848,2)),IFERROR(DATEVALUE(SUBSTITUTE(SUBSTITUTE(X848,".","-"),"/","-")),IFERROR(X848*1,""))))</f>
        <v/>
      </c>
      <c r="M848" s="7">
        <f>IF(Y848="","",IF(AND(LEN(Y848)=8,ISNUMBER(Y848*1)),DATE(LEFT(Y848,4),MID(Y848,5,2),RIGHT(Y848,2)),IFERROR(DATEVALUE(SUBSTITUTE(SUBSTITUTE(Y848,".","-"),"/","-")),IFERROR(Y848*1,""))))</f>
        <v/>
      </c>
      <c r="N848">
        <f>IFERROR(LEFT(B848,FIND(" ",B848)-1),B848)</f>
        <v/>
      </c>
      <c r="O848">
        <f>AND(B848&lt;&gt;"",B848&lt;&gt;설정!$B$4,C848&lt;&gt;설정!$B$5)</f>
        <v/>
      </c>
      <c r="P848">
        <f>IF(O848,B848&amp;"|"&amp;C848,"")</f>
        <v/>
      </c>
      <c r="Q848">
        <f>AND(O848,COUNTIF(P849:P$1002,P848)=0)</f>
        <v/>
      </c>
      <c r="R848">
        <f>OR(AND(설정!$A$42&lt;&gt;"",ISNUMBER(SEARCH(설정!$A$42,E848&amp;" "&amp;C848))),AND(설정!$A$43&lt;&gt;"",ISNUMBER(SEARCH(설정!$A$43,E848&amp;" "&amp;C848))),AND(설정!$A$44&lt;&gt;"",ISNUMBER(SEARCH(설정!$A$44,E848&amp;" "&amp;C848))),AND(설정!$A$45&lt;&gt;"",ISNUMBER(SEARCH(설정!$A$45,E848&amp;" "&amp;C848))),AND(설정!$A$46&lt;&gt;"",ISNUMBER(SEARCH(설정!$A$46,E848&amp;" "&amp;C848))),AND(설정!$A$47&lt;&gt;"",ISNUMBER(SEARCH(설정!$A$47,E848&amp;" "&amp;C848))),AND(설정!$A$48&lt;&gt;"",ISNUMBER(SEARCH(설정!$A$48,E848&amp;" "&amp;C848))),AND(설정!$A$49&lt;&gt;"",ISNUMBER(SEARCH(설정!$A$49,E848&amp;" "&amp;C848))),AND(설정!$A$50&lt;&gt;"",ISNUMBER(SEARCH(설정!$A$50,E848&amp;" "&amp;C848))),AND(설정!$A$51&lt;&gt;"",ISNUMBER(SEARCH(설정!$A$51,E848&amp;" "&amp;C848))))</f>
        <v/>
      </c>
      <c r="S848">
        <f>OR(D848="",D848&gt;=설정!$B$19)</f>
        <v/>
      </c>
      <c r="T848">
        <f>AND(Q848,R848,S848)</f>
        <v/>
      </c>
      <c r="U848">
        <f>IF(T848,IF(AND(설정!$A$54&lt;&gt;"",ISNUMBER(SEARCH(설정!$A$54,K848))),설정!$B$54,IF(AND(설정!$A$55&lt;&gt;"",ISNUMBER(SEARCH(설정!$A$55,K848))),설정!$B$55,IF(AND(설정!$A$56&lt;&gt;"",ISNUMBER(SEARCH(설정!$A$56,K848))),설정!$B$56,IF(AND(설정!$A$57&lt;&gt;"",ISNUMBER(SEARCH(설정!$A$57,K848))),설정!$B$57,IF(AND(설정!$A$58&lt;&gt;"",ISNUMBER(SEARCH(설정!$A$58,K848))),설정!$B$58,IF(AND(설정!$A$59&lt;&gt;"",ISNUMBER(SEARCH(설정!$A$59,K848))),설정!$B$59,IF(AND(설정!$A$60&lt;&gt;"",ISNUMBER(SEARCH(설정!$A$60,K848))),설정!$B$60,IF(AND(설정!$A$61&lt;&gt;"",ISNUMBER(SEARCH(설정!$A$61,K848))),설정!$B$61,IF(M848="","설계사","시공사"))))))))),"")</f>
        <v/>
      </c>
      <c r="V848">
        <f>SUBSTITUTE(SUBSTITUTE(SUBSTITUTE(SUBSTITUTE(G848,"(주)",""),"㈜",""),"주식회사","")," ","")</f>
        <v/>
      </c>
      <c r="W848">
        <f>IF(AND(T848,V848&lt;&gt;""),IF(COUNTIFS(V$2:V848,V848,T$2:T848,TRUE)=1,MAX(W$1:W847)+1,""),"")</f>
        <v/>
      </c>
      <c r="X848">
        <f>IF(설정!$C$14="","",IFERROR(INDEX('1.산군_붙여넣기'!$A$1:$AZ$1001,ROW(),설정!$C$14)&amp;"",""))</f>
        <v/>
      </c>
      <c r="Y848">
        <f>IF(설정!$C$15="","",IFERROR(INDEX('1.산군_붙여넣기'!$A$1:$AZ$1001,ROW(),설정!$C$15)&amp;"",""))</f>
        <v/>
      </c>
      <c r="Z848">
        <f>IF(T848,V848&amp;"|"&amp;U848,"")</f>
        <v/>
      </c>
      <c r="AA848">
        <f>IF(NOT(Q848),"",IF(NOT(AND(R848,S848)),"✕",IF(OR(OR(AND(L848&lt;&gt;"",M848&lt;&gt;"",N(M848)-N(L848)&gt;설정!$B$27),AND(L848&lt;&gt;"",M848="",설정!$B$24-N(L848)&gt;설정!$B$27)),AND(D848&lt;&gt;"",D848&lt;설정!$B$26)),"△","★")))</f>
        <v/>
      </c>
      <c r="AB848">
        <f>IF(NOT(T848),"",IF(U848="설계사",설정!$B$31,IF(U848="시공사",IF(OR(M848="",설정!$B$24-N(M848)&lt;=설정!$B$28*30.4),설정!$B$32,설정!$B$33),설정!$B$34))+IF(AA848="★",설정!$B$35,0))</f>
        <v/>
      </c>
      <c r="AC848">
        <f>SUBSTITUTE(SUBSTITUTE(SUBSTITUTE(SUBSTITUTE(H848,"(주)",""),"㈜",""),"주식회사","")," ","")</f>
        <v/>
      </c>
      <c r="AD848">
        <f>IF(AND(T848,AC848&lt;&gt;""),IF(COUNTIFS(AC$2:AC848,AC848,T$2:T848,TRUE)=1,MAX(AD$1:AD847)+1,""),"")</f>
        <v/>
      </c>
    </row>
    <row r="849">
      <c r="A849">
        <f>ROW()</f>
        <v/>
      </c>
      <c r="B849">
        <f>IF(설정!$C$4="","",IFERROR(INDEX('1.산군_붙여넣기'!$A$1:$AZ$1001,ROW(),설정!$C$4)&amp;"",""))</f>
        <v/>
      </c>
      <c r="C849">
        <f>IF(설정!$C$5="","",IFERROR(INDEX('1.산군_붙여넣기'!$A$1:$AZ$1001,ROW(),설정!$C$5)&amp;"",""))</f>
        <v/>
      </c>
      <c r="D849" s="5">
        <f>IFERROR(VALUE(SUBSTITUTE(SUBSTITUTE(SUBSTITUTE(IF(설정!$C$6="","",IFERROR(INDEX('1.산군_붙여넣기'!$A$1:$AZ$1001,ROW(),설정!$C$6)&amp;"","")),",",""),"㎡",""),"m2","")),"")</f>
        <v/>
      </c>
      <c r="E849">
        <f>IF(설정!$C$7="","",IFERROR(INDEX('1.산군_붙여넣기'!$A$1:$AZ$1001,ROW(),설정!$C$7)&amp;"",""))</f>
        <v/>
      </c>
      <c r="F849">
        <f>IF(설정!$C$8="","",IFERROR(INDEX('1.산군_붙여넣기'!$A$1:$AZ$1001,ROW(),설정!$C$8)&amp;"",""))</f>
        <v/>
      </c>
      <c r="G849">
        <f>IF(설정!$C$9="","",IFERROR(INDEX('1.산군_붙여넣기'!$A$1:$AZ$1001,ROW(),설정!$C$9)&amp;"",""))</f>
        <v/>
      </c>
      <c r="H849">
        <f>IF(설정!$C$10="","",IFERROR(INDEX('1.산군_붙여넣기'!$A$1:$AZ$1001,ROW(),설정!$C$10)&amp;"",""))</f>
        <v/>
      </c>
      <c r="I849">
        <f>IF(설정!$C$11="","",IFERROR(INDEX('1.산군_붙여넣기'!$A$1:$AZ$1001,ROW(),설정!$C$11)&amp;"",""))</f>
        <v/>
      </c>
      <c r="J849">
        <f>IF(설정!$C$12="","",IFERROR(INDEX('1.산군_붙여넣기'!$A$1:$AZ$1001,ROW(),설정!$C$12)&amp;"",""))</f>
        <v/>
      </c>
      <c r="K849">
        <f>IF(설정!$C$13="","",IFERROR(INDEX('1.산군_붙여넣기'!$A$1:$AZ$1001,ROW(),설정!$C$13)&amp;"",""))</f>
        <v/>
      </c>
      <c r="L849" s="7">
        <f>IF(X849="","",IF(AND(LEN(X849)=8,ISNUMBER(X849*1)),DATE(LEFT(X849,4),MID(X849,5,2),RIGHT(X849,2)),IFERROR(DATEVALUE(SUBSTITUTE(SUBSTITUTE(X849,".","-"),"/","-")),IFERROR(X849*1,""))))</f>
        <v/>
      </c>
      <c r="M849" s="7">
        <f>IF(Y849="","",IF(AND(LEN(Y849)=8,ISNUMBER(Y849*1)),DATE(LEFT(Y849,4),MID(Y849,5,2),RIGHT(Y849,2)),IFERROR(DATEVALUE(SUBSTITUTE(SUBSTITUTE(Y849,".","-"),"/","-")),IFERROR(Y849*1,""))))</f>
        <v/>
      </c>
      <c r="N849">
        <f>IFERROR(LEFT(B849,FIND(" ",B849)-1),B849)</f>
        <v/>
      </c>
      <c r="O849">
        <f>AND(B849&lt;&gt;"",B849&lt;&gt;설정!$B$4,C849&lt;&gt;설정!$B$5)</f>
        <v/>
      </c>
      <c r="P849">
        <f>IF(O849,B849&amp;"|"&amp;C849,"")</f>
        <v/>
      </c>
      <c r="Q849">
        <f>AND(O849,COUNTIF(P850:P$1002,P849)=0)</f>
        <v/>
      </c>
      <c r="R849">
        <f>OR(AND(설정!$A$42&lt;&gt;"",ISNUMBER(SEARCH(설정!$A$42,E849&amp;" "&amp;C849))),AND(설정!$A$43&lt;&gt;"",ISNUMBER(SEARCH(설정!$A$43,E849&amp;" "&amp;C849))),AND(설정!$A$44&lt;&gt;"",ISNUMBER(SEARCH(설정!$A$44,E849&amp;" "&amp;C849))),AND(설정!$A$45&lt;&gt;"",ISNUMBER(SEARCH(설정!$A$45,E849&amp;" "&amp;C849))),AND(설정!$A$46&lt;&gt;"",ISNUMBER(SEARCH(설정!$A$46,E849&amp;" "&amp;C849))),AND(설정!$A$47&lt;&gt;"",ISNUMBER(SEARCH(설정!$A$47,E849&amp;" "&amp;C849))),AND(설정!$A$48&lt;&gt;"",ISNUMBER(SEARCH(설정!$A$48,E849&amp;" "&amp;C849))),AND(설정!$A$49&lt;&gt;"",ISNUMBER(SEARCH(설정!$A$49,E849&amp;" "&amp;C849))),AND(설정!$A$50&lt;&gt;"",ISNUMBER(SEARCH(설정!$A$50,E849&amp;" "&amp;C849))),AND(설정!$A$51&lt;&gt;"",ISNUMBER(SEARCH(설정!$A$51,E849&amp;" "&amp;C849))))</f>
        <v/>
      </c>
      <c r="S849">
        <f>OR(D849="",D849&gt;=설정!$B$19)</f>
        <v/>
      </c>
      <c r="T849">
        <f>AND(Q849,R849,S849)</f>
        <v/>
      </c>
      <c r="U849">
        <f>IF(T849,IF(AND(설정!$A$54&lt;&gt;"",ISNUMBER(SEARCH(설정!$A$54,K849))),설정!$B$54,IF(AND(설정!$A$55&lt;&gt;"",ISNUMBER(SEARCH(설정!$A$55,K849))),설정!$B$55,IF(AND(설정!$A$56&lt;&gt;"",ISNUMBER(SEARCH(설정!$A$56,K849))),설정!$B$56,IF(AND(설정!$A$57&lt;&gt;"",ISNUMBER(SEARCH(설정!$A$57,K849))),설정!$B$57,IF(AND(설정!$A$58&lt;&gt;"",ISNUMBER(SEARCH(설정!$A$58,K849))),설정!$B$58,IF(AND(설정!$A$59&lt;&gt;"",ISNUMBER(SEARCH(설정!$A$59,K849))),설정!$B$59,IF(AND(설정!$A$60&lt;&gt;"",ISNUMBER(SEARCH(설정!$A$60,K849))),설정!$B$60,IF(AND(설정!$A$61&lt;&gt;"",ISNUMBER(SEARCH(설정!$A$61,K849))),설정!$B$61,IF(M849="","설계사","시공사"))))))))),"")</f>
        <v/>
      </c>
      <c r="V849">
        <f>SUBSTITUTE(SUBSTITUTE(SUBSTITUTE(SUBSTITUTE(G849,"(주)",""),"㈜",""),"주식회사","")," ","")</f>
        <v/>
      </c>
      <c r="W849">
        <f>IF(AND(T849,V849&lt;&gt;""),IF(COUNTIFS(V$2:V849,V849,T$2:T849,TRUE)=1,MAX(W$1:W848)+1,""),"")</f>
        <v/>
      </c>
      <c r="X849">
        <f>IF(설정!$C$14="","",IFERROR(INDEX('1.산군_붙여넣기'!$A$1:$AZ$1001,ROW(),설정!$C$14)&amp;"",""))</f>
        <v/>
      </c>
      <c r="Y849">
        <f>IF(설정!$C$15="","",IFERROR(INDEX('1.산군_붙여넣기'!$A$1:$AZ$1001,ROW(),설정!$C$15)&amp;"",""))</f>
        <v/>
      </c>
      <c r="Z849">
        <f>IF(T849,V849&amp;"|"&amp;U849,"")</f>
        <v/>
      </c>
      <c r="AA849">
        <f>IF(NOT(Q849),"",IF(NOT(AND(R849,S849)),"✕",IF(OR(OR(AND(L849&lt;&gt;"",M849&lt;&gt;"",N(M849)-N(L849)&gt;설정!$B$27),AND(L849&lt;&gt;"",M849="",설정!$B$24-N(L849)&gt;설정!$B$27)),AND(D849&lt;&gt;"",D849&lt;설정!$B$26)),"△","★")))</f>
        <v/>
      </c>
      <c r="AB849">
        <f>IF(NOT(T849),"",IF(U849="설계사",설정!$B$31,IF(U849="시공사",IF(OR(M849="",설정!$B$24-N(M849)&lt;=설정!$B$28*30.4),설정!$B$32,설정!$B$33),설정!$B$34))+IF(AA849="★",설정!$B$35,0))</f>
        <v/>
      </c>
      <c r="AC849">
        <f>SUBSTITUTE(SUBSTITUTE(SUBSTITUTE(SUBSTITUTE(H849,"(주)",""),"㈜",""),"주식회사","")," ","")</f>
        <v/>
      </c>
      <c r="AD849">
        <f>IF(AND(T849,AC849&lt;&gt;""),IF(COUNTIFS(AC$2:AC849,AC849,T$2:T849,TRUE)=1,MAX(AD$1:AD848)+1,""),"")</f>
        <v/>
      </c>
    </row>
    <row r="850">
      <c r="A850">
        <f>ROW()</f>
        <v/>
      </c>
      <c r="B850">
        <f>IF(설정!$C$4="","",IFERROR(INDEX('1.산군_붙여넣기'!$A$1:$AZ$1001,ROW(),설정!$C$4)&amp;"",""))</f>
        <v/>
      </c>
      <c r="C850">
        <f>IF(설정!$C$5="","",IFERROR(INDEX('1.산군_붙여넣기'!$A$1:$AZ$1001,ROW(),설정!$C$5)&amp;"",""))</f>
        <v/>
      </c>
      <c r="D850" s="5">
        <f>IFERROR(VALUE(SUBSTITUTE(SUBSTITUTE(SUBSTITUTE(IF(설정!$C$6="","",IFERROR(INDEX('1.산군_붙여넣기'!$A$1:$AZ$1001,ROW(),설정!$C$6)&amp;"","")),",",""),"㎡",""),"m2","")),"")</f>
        <v/>
      </c>
      <c r="E850">
        <f>IF(설정!$C$7="","",IFERROR(INDEX('1.산군_붙여넣기'!$A$1:$AZ$1001,ROW(),설정!$C$7)&amp;"",""))</f>
        <v/>
      </c>
      <c r="F850">
        <f>IF(설정!$C$8="","",IFERROR(INDEX('1.산군_붙여넣기'!$A$1:$AZ$1001,ROW(),설정!$C$8)&amp;"",""))</f>
        <v/>
      </c>
      <c r="G850">
        <f>IF(설정!$C$9="","",IFERROR(INDEX('1.산군_붙여넣기'!$A$1:$AZ$1001,ROW(),설정!$C$9)&amp;"",""))</f>
        <v/>
      </c>
      <c r="H850">
        <f>IF(설정!$C$10="","",IFERROR(INDEX('1.산군_붙여넣기'!$A$1:$AZ$1001,ROW(),설정!$C$10)&amp;"",""))</f>
        <v/>
      </c>
      <c r="I850">
        <f>IF(설정!$C$11="","",IFERROR(INDEX('1.산군_붙여넣기'!$A$1:$AZ$1001,ROW(),설정!$C$11)&amp;"",""))</f>
        <v/>
      </c>
      <c r="J850">
        <f>IF(설정!$C$12="","",IFERROR(INDEX('1.산군_붙여넣기'!$A$1:$AZ$1001,ROW(),설정!$C$12)&amp;"",""))</f>
        <v/>
      </c>
      <c r="K850">
        <f>IF(설정!$C$13="","",IFERROR(INDEX('1.산군_붙여넣기'!$A$1:$AZ$1001,ROW(),설정!$C$13)&amp;"",""))</f>
        <v/>
      </c>
      <c r="L850" s="7">
        <f>IF(X850="","",IF(AND(LEN(X850)=8,ISNUMBER(X850*1)),DATE(LEFT(X850,4),MID(X850,5,2),RIGHT(X850,2)),IFERROR(DATEVALUE(SUBSTITUTE(SUBSTITUTE(X850,".","-"),"/","-")),IFERROR(X850*1,""))))</f>
        <v/>
      </c>
      <c r="M850" s="7">
        <f>IF(Y850="","",IF(AND(LEN(Y850)=8,ISNUMBER(Y850*1)),DATE(LEFT(Y850,4),MID(Y850,5,2),RIGHT(Y850,2)),IFERROR(DATEVALUE(SUBSTITUTE(SUBSTITUTE(Y850,".","-"),"/","-")),IFERROR(Y850*1,""))))</f>
        <v/>
      </c>
      <c r="N850">
        <f>IFERROR(LEFT(B850,FIND(" ",B850)-1),B850)</f>
        <v/>
      </c>
      <c r="O850">
        <f>AND(B850&lt;&gt;"",B850&lt;&gt;설정!$B$4,C850&lt;&gt;설정!$B$5)</f>
        <v/>
      </c>
      <c r="P850">
        <f>IF(O850,B850&amp;"|"&amp;C850,"")</f>
        <v/>
      </c>
      <c r="Q850">
        <f>AND(O850,COUNTIF(P851:P$1002,P850)=0)</f>
        <v/>
      </c>
      <c r="R850">
        <f>OR(AND(설정!$A$42&lt;&gt;"",ISNUMBER(SEARCH(설정!$A$42,E850&amp;" "&amp;C850))),AND(설정!$A$43&lt;&gt;"",ISNUMBER(SEARCH(설정!$A$43,E850&amp;" "&amp;C850))),AND(설정!$A$44&lt;&gt;"",ISNUMBER(SEARCH(설정!$A$44,E850&amp;" "&amp;C850))),AND(설정!$A$45&lt;&gt;"",ISNUMBER(SEARCH(설정!$A$45,E850&amp;" "&amp;C850))),AND(설정!$A$46&lt;&gt;"",ISNUMBER(SEARCH(설정!$A$46,E850&amp;" "&amp;C850))),AND(설정!$A$47&lt;&gt;"",ISNUMBER(SEARCH(설정!$A$47,E850&amp;" "&amp;C850))),AND(설정!$A$48&lt;&gt;"",ISNUMBER(SEARCH(설정!$A$48,E850&amp;" "&amp;C850))),AND(설정!$A$49&lt;&gt;"",ISNUMBER(SEARCH(설정!$A$49,E850&amp;" "&amp;C850))),AND(설정!$A$50&lt;&gt;"",ISNUMBER(SEARCH(설정!$A$50,E850&amp;" "&amp;C850))),AND(설정!$A$51&lt;&gt;"",ISNUMBER(SEARCH(설정!$A$51,E850&amp;" "&amp;C850))))</f>
        <v/>
      </c>
      <c r="S850">
        <f>OR(D850="",D850&gt;=설정!$B$19)</f>
        <v/>
      </c>
      <c r="T850">
        <f>AND(Q850,R850,S850)</f>
        <v/>
      </c>
      <c r="U850">
        <f>IF(T850,IF(AND(설정!$A$54&lt;&gt;"",ISNUMBER(SEARCH(설정!$A$54,K850))),설정!$B$54,IF(AND(설정!$A$55&lt;&gt;"",ISNUMBER(SEARCH(설정!$A$55,K850))),설정!$B$55,IF(AND(설정!$A$56&lt;&gt;"",ISNUMBER(SEARCH(설정!$A$56,K850))),설정!$B$56,IF(AND(설정!$A$57&lt;&gt;"",ISNUMBER(SEARCH(설정!$A$57,K850))),설정!$B$57,IF(AND(설정!$A$58&lt;&gt;"",ISNUMBER(SEARCH(설정!$A$58,K850))),설정!$B$58,IF(AND(설정!$A$59&lt;&gt;"",ISNUMBER(SEARCH(설정!$A$59,K850))),설정!$B$59,IF(AND(설정!$A$60&lt;&gt;"",ISNUMBER(SEARCH(설정!$A$60,K850))),설정!$B$60,IF(AND(설정!$A$61&lt;&gt;"",ISNUMBER(SEARCH(설정!$A$61,K850))),설정!$B$61,IF(M850="","설계사","시공사"))))))))),"")</f>
        <v/>
      </c>
      <c r="V850">
        <f>SUBSTITUTE(SUBSTITUTE(SUBSTITUTE(SUBSTITUTE(G850,"(주)",""),"㈜",""),"주식회사","")," ","")</f>
        <v/>
      </c>
      <c r="W850">
        <f>IF(AND(T850,V850&lt;&gt;""),IF(COUNTIFS(V$2:V850,V850,T$2:T850,TRUE)=1,MAX(W$1:W849)+1,""),"")</f>
        <v/>
      </c>
      <c r="X850">
        <f>IF(설정!$C$14="","",IFERROR(INDEX('1.산군_붙여넣기'!$A$1:$AZ$1001,ROW(),설정!$C$14)&amp;"",""))</f>
        <v/>
      </c>
      <c r="Y850">
        <f>IF(설정!$C$15="","",IFERROR(INDEX('1.산군_붙여넣기'!$A$1:$AZ$1001,ROW(),설정!$C$15)&amp;"",""))</f>
        <v/>
      </c>
      <c r="Z850">
        <f>IF(T850,V850&amp;"|"&amp;U850,"")</f>
        <v/>
      </c>
      <c r="AA850">
        <f>IF(NOT(Q850),"",IF(NOT(AND(R850,S850)),"✕",IF(OR(OR(AND(L850&lt;&gt;"",M850&lt;&gt;"",N(M850)-N(L850)&gt;설정!$B$27),AND(L850&lt;&gt;"",M850="",설정!$B$24-N(L850)&gt;설정!$B$27)),AND(D850&lt;&gt;"",D850&lt;설정!$B$26)),"△","★")))</f>
        <v/>
      </c>
      <c r="AB850">
        <f>IF(NOT(T850),"",IF(U850="설계사",설정!$B$31,IF(U850="시공사",IF(OR(M850="",설정!$B$24-N(M850)&lt;=설정!$B$28*30.4),설정!$B$32,설정!$B$33),설정!$B$34))+IF(AA850="★",설정!$B$35,0))</f>
        <v/>
      </c>
      <c r="AC850">
        <f>SUBSTITUTE(SUBSTITUTE(SUBSTITUTE(SUBSTITUTE(H850,"(주)",""),"㈜",""),"주식회사","")," ","")</f>
        <v/>
      </c>
      <c r="AD850">
        <f>IF(AND(T850,AC850&lt;&gt;""),IF(COUNTIFS(AC$2:AC850,AC850,T$2:T850,TRUE)=1,MAX(AD$1:AD849)+1,""),"")</f>
        <v/>
      </c>
    </row>
    <row r="851">
      <c r="A851">
        <f>ROW()</f>
        <v/>
      </c>
      <c r="B851">
        <f>IF(설정!$C$4="","",IFERROR(INDEX('1.산군_붙여넣기'!$A$1:$AZ$1001,ROW(),설정!$C$4)&amp;"",""))</f>
        <v/>
      </c>
      <c r="C851">
        <f>IF(설정!$C$5="","",IFERROR(INDEX('1.산군_붙여넣기'!$A$1:$AZ$1001,ROW(),설정!$C$5)&amp;"",""))</f>
        <v/>
      </c>
      <c r="D851" s="5">
        <f>IFERROR(VALUE(SUBSTITUTE(SUBSTITUTE(SUBSTITUTE(IF(설정!$C$6="","",IFERROR(INDEX('1.산군_붙여넣기'!$A$1:$AZ$1001,ROW(),설정!$C$6)&amp;"","")),",",""),"㎡",""),"m2","")),"")</f>
        <v/>
      </c>
      <c r="E851">
        <f>IF(설정!$C$7="","",IFERROR(INDEX('1.산군_붙여넣기'!$A$1:$AZ$1001,ROW(),설정!$C$7)&amp;"",""))</f>
        <v/>
      </c>
      <c r="F851">
        <f>IF(설정!$C$8="","",IFERROR(INDEX('1.산군_붙여넣기'!$A$1:$AZ$1001,ROW(),설정!$C$8)&amp;"",""))</f>
        <v/>
      </c>
      <c r="G851">
        <f>IF(설정!$C$9="","",IFERROR(INDEX('1.산군_붙여넣기'!$A$1:$AZ$1001,ROW(),설정!$C$9)&amp;"",""))</f>
        <v/>
      </c>
      <c r="H851">
        <f>IF(설정!$C$10="","",IFERROR(INDEX('1.산군_붙여넣기'!$A$1:$AZ$1001,ROW(),설정!$C$10)&amp;"",""))</f>
        <v/>
      </c>
      <c r="I851">
        <f>IF(설정!$C$11="","",IFERROR(INDEX('1.산군_붙여넣기'!$A$1:$AZ$1001,ROW(),설정!$C$11)&amp;"",""))</f>
        <v/>
      </c>
      <c r="J851">
        <f>IF(설정!$C$12="","",IFERROR(INDEX('1.산군_붙여넣기'!$A$1:$AZ$1001,ROW(),설정!$C$12)&amp;"",""))</f>
        <v/>
      </c>
      <c r="K851">
        <f>IF(설정!$C$13="","",IFERROR(INDEX('1.산군_붙여넣기'!$A$1:$AZ$1001,ROW(),설정!$C$13)&amp;"",""))</f>
        <v/>
      </c>
      <c r="L851" s="7">
        <f>IF(X851="","",IF(AND(LEN(X851)=8,ISNUMBER(X851*1)),DATE(LEFT(X851,4),MID(X851,5,2),RIGHT(X851,2)),IFERROR(DATEVALUE(SUBSTITUTE(SUBSTITUTE(X851,".","-"),"/","-")),IFERROR(X851*1,""))))</f>
        <v/>
      </c>
      <c r="M851" s="7">
        <f>IF(Y851="","",IF(AND(LEN(Y851)=8,ISNUMBER(Y851*1)),DATE(LEFT(Y851,4),MID(Y851,5,2),RIGHT(Y851,2)),IFERROR(DATEVALUE(SUBSTITUTE(SUBSTITUTE(Y851,".","-"),"/","-")),IFERROR(Y851*1,""))))</f>
        <v/>
      </c>
      <c r="N851">
        <f>IFERROR(LEFT(B851,FIND(" ",B851)-1),B851)</f>
        <v/>
      </c>
      <c r="O851">
        <f>AND(B851&lt;&gt;"",B851&lt;&gt;설정!$B$4,C851&lt;&gt;설정!$B$5)</f>
        <v/>
      </c>
      <c r="P851">
        <f>IF(O851,B851&amp;"|"&amp;C851,"")</f>
        <v/>
      </c>
      <c r="Q851">
        <f>AND(O851,COUNTIF(P852:P$1002,P851)=0)</f>
        <v/>
      </c>
      <c r="R851">
        <f>OR(AND(설정!$A$42&lt;&gt;"",ISNUMBER(SEARCH(설정!$A$42,E851&amp;" "&amp;C851))),AND(설정!$A$43&lt;&gt;"",ISNUMBER(SEARCH(설정!$A$43,E851&amp;" "&amp;C851))),AND(설정!$A$44&lt;&gt;"",ISNUMBER(SEARCH(설정!$A$44,E851&amp;" "&amp;C851))),AND(설정!$A$45&lt;&gt;"",ISNUMBER(SEARCH(설정!$A$45,E851&amp;" "&amp;C851))),AND(설정!$A$46&lt;&gt;"",ISNUMBER(SEARCH(설정!$A$46,E851&amp;" "&amp;C851))),AND(설정!$A$47&lt;&gt;"",ISNUMBER(SEARCH(설정!$A$47,E851&amp;" "&amp;C851))),AND(설정!$A$48&lt;&gt;"",ISNUMBER(SEARCH(설정!$A$48,E851&amp;" "&amp;C851))),AND(설정!$A$49&lt;&gt;"",ISNUMBER(SEARCH(설정!$A$49,E851&amp;" "&amp;C851))),AND(설정!$A$50&lt;&gt;"",ISNUMBER(SEARCH(설정!$A$50,E851&amp;" "&amp;C851))),AND(설정!$A$51&lt;&gt;"",ISNUMBER(SEARCH(설정!$A$51,E851&amp;" "&amp;C851))))</f>
        <v/>
      </c>
      <c r="S851">
        <f>OR(D851="",D851&gt;=설정!$B$19)</f>
        <v/>
      </c>
      <c r="T851">
        <f>AND(Q851,R851,S851)</f>
        <v/>
      </c>
      <c r="U851">
        <f>IF(T851,IF(AND(설정!$A$54&lt;&gt;"",ISNUMBER(SEARCH(설정!$A$54,K851))),설정!$B$54,IF(AND(설정!$A$55&lt;&gt;"",ISNUMBER(SEARCH(설정!$A$55,K851))),설정!$B$55,IF(AND(설정!$A$56&lt;&gt;"",ISNUMBER(SEARCH(설정!$A$56,K851))),설정!$B$56,IF(AND(설정!$A$57&lt;&gt;"",ISNUMBER(SEARCH(설정!$A$57,K851))),설정!$B$57,IF(AND(설정!$A$58&lt;&gt;"",ISNUMBER(SEARCH(설정!$A$58,K851))),설정!$B$58,IF(AND(설정!$A$59&lt;&gt;"",ISNUMBER(SEARCH(설정!$A$59,K851))),설정!$B$59,IF(AND(설정!$A$60&lt;&gt;"",ISNUMBER(SEARCH(설정!$A$60,K851))),설정!$B$60,IF(AND(설정!$A$61&lt;&gt;"",ISNUMBER(SEARCH(설정!$A$61,K851))),설정!$B$61,IF(M851="","설계사","시공사"))))))))),"")</f>
        <v/>
      </c>
      <c r="V851">
        <f>SUBSTITUTE(SUBSTITUTE(SUBSTITUTE(SUBSTITUTE(G851,"(주)",""),"㈜",""),"주식회사","")," ","")</f>
        <v/>
      </c>
      <c r="W851">
        <f>IF(AND(T851,V851&lt;&gt;""),IF(COUNTIFS(V$2:V851,V851,T$2:T851,TRUE)=1,MAX(W$1:W850)+1,""),"")</f>
        <v/>
      </c>
      <c r="X851">
        <f>IF(설정!$C$14="","",IFERROR(INDEX('1.산군_붙여넣기'!$A$1:$AZ$1001,ROW(),설정!$C$14)&amp;"",""))</f>
        <v/>
      </c>
      <c r="Y851">
        <f>IF(설정!$C$15="","",IFERROR(INDEX('1.산군_붙여넣기'!$A$1:$AZ$1001,ROW(),설정!$C$15)&amp;"",""))</f>
        <v/>
      </c>
      <c r="Z851">
        <f>IF(T851,V851&amp;"|"&amp;U851,"")</f>
        <v/>
      </c>
      <c r="AA851">
        <f>IF(NOT(Q851),"",IF(NOT(AND(R851,S851)),"✕",IF(OR(OR(AND(L851&lt;&gt;"",M851&lt;&gt;"",N(M851)-N(L851)&gt;설정!$B$27),AND(L851&lt;&gt;"",M851="",설정!$B$24-N(L851)&gt;설정!$B$27)),AND(D851&lt;&gt;"",D851&lt;설정!$B$26)),"△","★")))</f>
        <v/>
      </c>
      <c r="AB851">
        <f>IF(NOT(T851),"",IF(U851="설계사",설정!$B$31,IF(U851="시공사",IF(OR(M851="",설정!$B$24-N(M851)&lt;=설정!$B$28*30.4),설정!$B$32,설정!$B$33),설정!$B$34))+IF(AA851="★",설정!$B$35,0))</f>
        <v/>
      </c>
      <c r="AC851">
        <f>SUBSTITUTE(SUBSTITUTE(SUBSTITUTE(SUBSTITUTE(H851,"(주)",""),"㈜",""),"주식회사","")," ","")</f>
        <v/>
      </c>
      <c r="AD851">
        <f>IF(AND(T851,AC851&lt;&gt;""),IF(COUNTIFS(AC$2:AC851,AC851,T$2:T851,TRUE)=1,MAX(AD$1:AD850)+1,""),"")</f>
        <v/>
      </c>
    </row>
    <row r="852">
      <c r="A852">
        <f>ROW()</f>
        <v/>
      </c>
      <c r="B852">
        <f>IF(설정!$C$4="","",IFERROR(INDEX('1.산군_붙여넣기'!$A$1:$AZ$1001,ROW(),설정!$C$4)&amp;"",""))</f>
        <v/>
      </c>
      <c r="C852">
        <f>IF(설정!$C$5="","",IFERROR(INDEX('1.산군_붙여넣기'!$A$1:$AZ$1001,ROW(),설정!$C$5)&amp;"",""))</f>
        <v/>
      </c>
      <c r="D852" s="5">
        <f>IFERROR(VALUE(SUBSTITUTE(SUBSTITUTE(SUBSTITUTE(IF(설정!$C$6="","",IFERROR(INDEX('1.산군_붙여넣기'!$A$1:$AZ$1001,ROW(),설정!$C$6)&amp;"","")),",",""),"㎡",""),"m2","")),"")</f>
        <v/>
      </c>
      <c r="E852">
        <f>IF(설정!$C$7="","",IFERROR(INDEX('1.산군_붙여넣기'!$A$1:$AZ$1001,ROW(),설정!$C$7)&amp;"",""))</f>
        <v/>
      </c>
      <c r="F852">
        <f>IF(설정!$C$8="","",IFERROR(INDEX('1.산군_붙여넣기'!$A$1:$AZ$1001,ROW(),설정!$C$8)&amp;"",""))</f>
        <v/>
      </c>
      <c r="G852">
        <f>IF(설정!$C$9="","",IFERROR(INDEX('1.산군_붙여넣기'!$A$1:$AZ$1001,ROW(),설정!$C$9)&amp;"",""))</f>
        <v/>
      </c>
      <c r="H852">
        <f>IF(설정!$C$10="","",IFERROR(INDEX('1.산군_붙여넣기'!$A$1:$AZ$1001,ROW(),설정!$C$10)&amp;"",""))</f>
        <v/>
      </c>
      <c r="I852">
        <f>IF(설정!$C$11="","",IFERROR(INDEX('1.산군_붙여넣기'!$A$1:$AZ$1001,ROW(),설정!$C$11)&amp;"",""))</f>
        <v/>
      </c>
      <c r="J852">
        <f>IF(설정!$C$12="","",IFERROR(INDEX('1.산군_붙여넣기'!$A$1:$AZ$1001,ROW(),설정!$C$12)&amp;"",""))</f>
        <v/>
      </c>
      <c r="K852">
        <f>IF(설정!$C$13="","",IFERROR(INDEX('1.산군_붙여넣기'!$A$1:$AZ$1001,ROW(),설정!$C$13)&amp;"",""))</f>
        <v/>
      </c>
      <c r="L852" s="7">
        <f>IF(X852="","",IF(AND(LEN(X852)=8,ISNUMBER(X852*1)),DATE(LEFT(X852,4),MID(X852,5,2),RIGHT(X852,2)),IFERROR(DATEVALUE(SUBSTITUTE(SUBSTITUTE(X852,".","-"),"/","-")),IFERROR(X852*1,""))))</f>
        <v/>
      </c>
      <c r="M852" s="7">
        <f>IF(Y852="","",IF(AND(LEN(Y852)=8,ISNUMBER(Y852*1)),DATE(LEFT(Y852,4),MID(Y852,5,2),RIGHT(Y852,2)),IFERROR(DATEVALUE(SUBSTITUTE(SUBSTITUTE(Y852,".","-"),"/","-")),IFERROR(Y852*1,""))))</f>
        <v/>
      </c>
      <c r="N852">
        <f>IFERROR(LEFT(B852,FIND(" ",B852)-1),B852)</f>
        <v/>
      </c>
      <c r="O852">
        <f>AND(B852&lt;&gt;"",B852&lt;&gt;설정!$B$4,C852&lt;&gt;설정!$B$5)</f>
        <v/>
      </c>
      <c r="P852">
        <f>IF(O852,B852&amp;"|"&amp;C852,"")</f>
        <v/>
      </c>
      <c r="Q852">
        <f>AND(O852,COUNTIF(P853:P$1002,P852)=0)</f>
        <v/>
      </c>
      <c r="R852">
        <f>OR(AND(설정!$A$42&lt;&gt;"",ISNUMBER(SEARCH(설정!$A$42,E852&amp;" "&amp;C852))),AND(설정!$A$43&lt;&gt;"",ISNUMBER(SEARCH(설정!$A$43,E852&amp;" "&amp;C852))),AND(설정!$A$44&lt;&gt;"",ISNUMBER(SEARCH(설정!$A$44,E852&amp;" "&amp;C852))),AND(설정!$A$45&lt;&gt;"",ISNUMBER(SEARCH(설정!$A$45,E852&amp;" "&amp;C852))),AND(설정!$A$46&lt;&gt;"",ISNUMBER(SEARCH(설정!$A$46,E852&amp;" "&amp;C852))),AND(설정!$A$47&lt;&gt;"",ISNUMBER(SEARCH(설정!$A$47,E852&amp;" "&amp;C852))),AND(설정!$A$48&lt;&gt;"",ISNUMBER(SEARCH(설정!$A$48,E852&amp;" "&amp;C852))),AND(설정!$A$49&lt;&gt;"",ISNUMBER(SEARCH(설정!$A$49,E852&amp;" "&amp;C852))),AND(설정!$A$50&lt;&gt;"",ISNUMBER(SEARCH(설정!$A$50,E852&amp;" "&amp;C852))),AND(설정!$A$51&lt;&gt;"",ISNUMBER(SEARCH(설정!$A$51,E852&amp;" "&amp;C852))))</f>
        <v/>
      </c>
      <c r="S852">
        <f>OR(D852="",D852&gt;=설정!$B$19)</f>
        <v/>
      </c>
      <c r="T852">
        <f>AND(Q852,R852,S852)</f>
        <v/>
      </c>
      <c r="U852">
        <f>IF(T852,IF(AND(설정!$A$54&lt;&gt;"",ISNUMBER(SEARCH(설정!$A$54,K852))),설정!$B$54,IF(AND(설정!$A$55&lt;&gt;"",ISNUMBER(SEARCH(설정!$A$55,K852))),설정!$B$55,IF(AND(설정!$A$56&lt;&gt;"",ISNUMBER(SEARCH(설정!$A$56,K852))),설정!$B$56,IF(AND(설정!$A$57&lt;&gt;"",ISNUMBER(SEARCH(설정!$A$57,K852))),설정!$B$57,IF(AND(설정!$A$58&lt;&gt;"",ISNUMBER(SEARCH(설정!$A$58,K852))),설정!$B$58,IF(AND(설정!$A$59&lt;&gt;"",ISNUMBER(SEARCH(설정!$A$59,K852))),설정!$B$59,IF(AND(설정!$A$60&lt;&gt;"",ISNUMBER(SEARCH(설정!$A$60,K852))),설정!$B$60,IF(AND(설정!$A$61&lt;&gt;"",ISNUMBER(SEARCH(설정!$A$61,K852))),설정!$B$61,IF(M852="","설계사","시공사"))))))))),"")</f>
        <v/>
      </c>
      <c r="V852">
        <f>SUBSTITUTE(SUBSTITUTE(SUBSTITUTE(SUBSTITUTE(G852,"(주)",""),"㈜",""),"주식회사","")," ","")</f>
        <v/>
      </c>
      <c r="W852">
        <f>IF(AND(T852,V852&lt;&gt;""),IF(COUNTIFS(V$2:V852,V852,T$2:T852,TRUE)=1,MAX(W$1:W851)+1,""),"")</f>
        <v/>
      </c>
      <c r="X852">
        <f>IF(설정!$C$14="","",IFERROR(INDEX('1.산군_붙여넣기'!$A$1:$AZ$1001,ROW(),설정!$C$14)&amp;"",""))</f>
        <v/>
      </c>
      <c r="Y852">
        <f>IF(설정!$C$15="","",IFERROR(INDEX('1.산군_붙여넣기'!$A$1:$AZ$1001,ROW(),설정!$C$15)&amp;"",""))</f>
        <v/>
      </c>
      <c r="Z852">
        <f>IF(T852,V852&amp;"|"&amp;U852,"")</f>
        <v/>
      </c>
      <c r="AA852">
        <f>IF(NOT(Q852),"",IF(NOT(AND(R852,S852)),"✕",IF(OR(OR(AND(L852&lt;&gt;"",M852&lt;&gt;"",N(M852)-N(L852)&gt;설정!$B$27),AND(L852&lt;&gt;"",M852="",설정!$B$24-N(L852)&gt;설정!$B$27)),AND(D852&lt;&gt;"",D852&lt;설정!$B$26)),"△","★")))</f>
        <v/>
      </c>
      <c r="AB852">
        <f>IF(NOT(T852),"",IF(U852="설계사",설정!$B$31,IF(U852="시공사",IF(OR(M852="",설정!$B$24-N(M852)&lt;=설정!$B$28*30.4),설정!$B$32,설정!$B$33),설정!$B$34))+IF(AA852="★",설정!$B$35,0))</f>
        <v/>
      </c>
      <c r="AC852">
        <f>SUBSTITUTE(SUBSTITUTE(SUBSTITUTE(SUBSTITUTE(H852,"(주)",""),"㈜",""),"주식회사","")," ","")</f>
        <v/>
      </c>
      <c r="AD852">
        <f>IF(AND(T852,AC852&lt;&gt;""),IF(COUNTIFS(AC$2:AC852,AC852,T$2:T852,TRUE)=1,MAX(AD$1:AD851)+1,""),"")</f>
        <v/>
      </c>
    </row>
    <row r="853">
      <c r="A853">
        <f>ROW()</f>
        <v/>
      </c>
      <c r="B853">
        <f>IF(설정!$C$4="","",IFERROR(INDEX('1.산군_붙여넣기'!$A$1:$AZ$1001,ROW(),설정!$C$4)&amp;"",""))</f>
        <v/>
      </c>
      <c r="C853">
        <f>IF(설정!$C$5="","",IFERROR(INDEX('1.산군_붙여넣기'!$A$1:$AZ$1001,ROW(),설정!$C$5)&amp;"",""))</f>
        <v/>
      </c>
      <c r="D853" s="5">
        <f>IFERROR(VALUE(SUBSTITUTE(SUBSTITUTE(SUBSTITUTE(IF(설정!$C$6="","",IFERROR(INDEX('1.산군_붙여넣기'!$A$1:$AZ$1001,ROW(),설정!$C$6)&amp;"","")),",",""),"㎡",""),"m2","")),"")</f>
        <v/>
      </c>
      <c r="E853">
        <f>IF(설정!$C$7="","",IFERROR(INDEX('1.산군_붙여넣기'!$A$1:$AZ$1001,ROW(),설정!$C$7)&amp;"",""))</f>
        <v/>
      </c>
      <c r="F853">
        <f>IF(설정!$C$8="","",IFERROR(INDEX('1.산군_붙여넣기'!$A$1:$AZ$1001,ROW(),설정!$C$8)&amp;"",""))</f>
        <v/>
      </c>
      <c r="G853">
        <f>IF(설정!$C$9="","",IFERROR(INDEX('1.산군_붙여넣기'!$A$1:$AZ$1001,ROW(),설정!$C$9)&amp;"",""))</f>
        <v/>
      </c>
      <c r="H853">
        <f>IF(설정!$C$10="","",IFERROR(INDEX('1.산군_붙여넣기'!$A$1:$AZ$1001,ROW(),설정!$C$10)&amp;"",""))</f>
        <v/>
      </c>
      <c r="I853">
        <f>IF(설정!$C$11="","",IFERROR(INDEX('1.산군_붙여넣기'!$A$1:$AZ$1001,ROW(),설정!$C$11)&amp;"",""))</f>
        <v/>
      </c>
      <c r="J853">
        <f>IF(설정!$C$12="","",IFERROR(INDEX('1.산군_붙여넣기'!$A$1:$AZ$1001,ROW(),설정!$C$12)&amp;"",""))</f>
        <v/>
      </c>
      <c r="K853">
        <f>IF(설정!$C$13="","",IFERROR(INDEX('1.산군_붙여넣기'!$A$1:$AZ$1001,ROW(),설정!$C$13)&amp;"",""))</f>
        <v/>
      </c>
      <c r="L853" s="7">
        <f>IF(X853="","",IF(AND(LEN(X853)=8,ISNUMBER(X853*1)),DATE(LEFT(X853,4),MID(X853,5,2),RIGHT(X853,2)),IFERROR(DATEVALUE(SUBSTITUTE(SUBSTITUTE(X853,".","-"),"/","-")),IFERROR(X853*1,""))))</f>
        <v/>
      </c>
      <c r="M853" s="7">
        <f>IF(Y853="","",IF(AND(LEN(Y853)=8,ISNUMBER(Y853*1)),DATE(LEFT(Y853,4),MID(Y853,5,2),RIGHT(Y853,2)),IFERROR(DATEVALUE(SUBSTITUTE(SUBSTITUTE(Y853,".","-"),"/","-")),IFERROR(Y853*1,""))))</f>
        <v/>
      </c>
      <c r="N853">
        <f>IFERROR(LEFT(B853,FIND(" ",B853)-1),B853)</f>
        <v/>
      </c>
      <c r="O853">
        <f>AND(B853&lt;&gt;"",B853&lt;&gt;설정!$B$4,C853&lt;&gt;설정!$B$5)</f>
        <v/>
      </c>
      <c r="P853">
        <f>IF(O853,B853&amp;"|"&amp;C853,"")</f>
        <v/>
      </c>
      <c r="Q853">
        <f>AND(O853,COUNTIF(P854:P$1002,P853)=0)</f>
        <v/>
      </c>
      <c r="R853">
        <f>OR(AND(설정!$A$42&lt;&gt;"",ISNUMBER(SEARCH(설정!$A$42,E853&amp;" "&amp;C853))),AND(설정!$A$43&lt;&gt;"",ISNUMBER(SEARCH(설정!$A$43,E853&amp;" "&amp;C853))),AND(설정!$A$44&lt;&gt;"",ISNUMBER(SEARCH(설정!$A$44,E853&amp;" "&amp;C853))),AND(설정!$A$45&lt;&gt;"",ISNUMBER(SEARCH(설정!$A$45,E853&amp;" "&amp;C853))),AND(설정!$A$46&lt;&gt;"",ISNUMBER(SEARCH(설정!$A$46,E853&amp;" "&amp;C853))),AND(설정!$A$47&lt;&gt;"",ISNUMBER(SEARCH(설정!$A$47,E853&amp;" "&amp;C853))),AND(설정!$A$48&lt;&gt;"",ISNUMBER(SEARCH(설정!$A$48,E853&amp;" "&amp;C853))),AND(설정!$A$49&lt;&gt;"",ISNUMBER(SEARCH(설정!$A$49,E853&amp;" "&amp;C853))),AND(설정!$A$50&lt;&gt;"",ISNUMBER(SEARCH(설정!$A$50,E853&amp;" "&amp;C853))),AND(설정!$A$51&lt;&gt;"",ISNUMBER(SEARCH(설정!$A$51,E853&amp;" "&amp;C853))))</f>
        <v/>
      </c>
      <c r="S853">
        <f>OR(D853="",D853&gt;=설정!$B$19)</f>
        <v/>
      </c>
      <c r="T853">
        <f>AND(Q853,R853,S853)</f>
        <v/>
      </c>
      <c r="U853">
        <f>IF(T853,IF(AND(설정!$A$54&lt;&gt;"",ISNUMBER(SEARCH(설정!$A$54,K853))),설정!$B$54,IF(AND(설정!$A$55&lt;&gt;"",ISNUMBER(SEARCH(설정!$A$55,K853))),설정!$B$55,IF(AND(설정!$A$56&lt;&gt;"",ISNUMBER(SEARCH(설정!$A$56,K853))),설정!$B$56,IF(AND(설정!$A$57&lt;&gt;"",ISNUMBER(SEARCH(설정!$A$57,K853))),설정!$B$57,IF(AND(설정!$A$58&lt;&gt;"",ISNUMBER(SEARCH(설정!$A$58,K853))),설정!$B$58,IF(AND(설정!$A$59&lt;&gt;"",ISNUMBER(SEARCH(설정!$A$59,K853))),설정!$B$59,IF(AND(설정!$A$60&lt;&gt;"",ISNUMBER(SEARCH(설정!$A$60,K853))),설정!$B$60,IF(AND(설정!$A$61&lt;&gt;"",ISNUMBER(SEARCH(설정!$A$61,K853))),설정!$B$61,IF(M853="","설계사","시공사"))))))))),"")</f>
        <v/>
      </c>
      <c r="V853">
        <f>SUBSTITUTE(SUBSTITUTE(SUBSTITUTE(SUBSTITUTE(G853,"(주)",""),"㈜",""),"주식회사","")," ","")</f>
        <v/>
      </c>
      <c r="W853">
        <f>IF(AND(T853,V853&lt;&gt;""),IF(COUNTIFS(V$2:V853,V853,T$2:T853,TRUE)=1,MAX(W$1:W852)+1,""),"")</f>
        <v/>
      </c>
      <c r="X853">
        <f>IF(설정!$C$14="","",IFERROR(INDEX('1.산군_붙여넣기'!$A$1:$AZ$1001,ROW(),설정!$C$14)&amp;"",""))</f>
        <v/>
      </c>
      <c r="Y853">
        <f>IF(설정!$C$15="","",IFERROR(INDEX('1.산군_붙여넣기'!$A$1:$AZ$1001,ROW(),설정!$C$15)&amp;"",""))</f>
        <v/>
      </c>
      <c r="Z853">
        <f>IF(T853,V853&amp;"|"&amp;U853,"")</f>
        <v/>
      </c>
      <c r="AA853">
        <f>IF(NOT(Q853),"",IF(NOT(AND(R853,S853)),"✕",IF(OR(OR(AND(L853&lt;&gt;"",M853&lt;&gt;"",N(M853)-N(L853)&gt;설정!$B$27),AND(L853&lt;&gt;"",M853="",설정!$B$24-N(L853)&gt;설정!$B$27)),AND(D853&lt;&gt;"",D853&lt;설정!$B$26)),"△","★")))</f>
        <v/>
      </c>
      <c r="AB853">
        <f>IF(NOT(T853),"",IF(U853="설계사",설정!$B$31,IF(U853="시공사",IF(OR(M853="",설정!$B$24-N(M853)&lt;=설정!$B$28*30.4),설정!$B$32,설정!$B$33),설정!$B$34))+IF(AA853="★",설정!$B$35,0))</f>
        <v/>
      </c>
      <c r="AC853">
        <f>SUBSTITUTE(SUBSTITUTE(SUBSTITUTE(SUBSTITUTE(H853,"(주)",""),"㈜",""),"주식회사","")," ","")</f>
        <v/>
      </c>
      <c r="AD853">
        <f>IF(AND(T853,AC853&lt;&gt;""),IF(COUNTIFS(AC$2:AC853,AC853,T$2:T853,TRUE)=1,MAX(AD$1:AD852)+1,""),"")</f>
        <v/>
      </c>
    </row>
    <row r="854">
      <c r="A854">
        <f>ROW()</f>
        <v/>
      </c>
      <c r="B854">
        <f>IF(설정!$C$4="","",IFERROR(INDEX('1.산군_붙여넣기'!$A$1:$AZ$1001,ROW(),설정!$C$4)&amp;"",""))</f>
        <v/>
      </c>
      <c r="C854">
        <f>IF(설정!$C$5="","",IFERROR(INDEX('1.산군_붙여넣기'!$A$1:$AZ$1001,ROW(),설정!$C$5)&amp;"",""))</f>
        <v/>
      </c>
      <c r="D854" s="5">
        <f>IFERROR(VALUE(SUBSTITUTE(SUBSTITUTE(SUBSTITUTE(IF(설정!$C$6="","",IFERROR(INDEX('1.산군_붙여넣기'!$A$1:$AZ$1001,ROW(),설정!$C$6)&amp;"","")),",",""),"㎡",""),"m2","")),"")</f>
        <v/>
      </c>
      <c r="E854">
        <f>IF(설정!$C$7="","",IFERROR(INDEX('1.산군_붙여넣기'!$A$1:$AZ$1001,ROW(),설정!$C$7)&amp;"",""))</f>
        <v/>
      </c>
      <c r="F854">
        <f>IF(설정!$C$8="","",IFERROR(INDEX('1.산군_붙여넣기'!$A$1:$AZ$1001,ROW(),설정!$C$8)&amp;"",""))</f>
        <v/>
      </c>
      <c r="G854">
        <f>IF(설정!$C$9="","",IFERROR(INDEX('1.산군_붙여넣기'!$A$1:$AZ$1001,ROW(),설정!$C$9)&amp;"",""))</f>
        <v/>
      </c>
      <c r="H854">
        <f>IF(설정!$C$10="","",IFERROR(INDEX('1.산군_붙여넣기'!$A$1:$AZ$1001,ROW(),설정!$C$10)&amp;"",""))</f>
        <v/>
      </c>
      <c r="I854">
        <f>IF(설정!$C$11="","",IFERROR(INDEX('1.산군_붙여넣기'!$A$1:$AZ$1001,ROW(),설정!$C$11)&amp;"",""))</f>
        <v/>
      </c>
      <c r="J854">
        <f>IF(설정!$C$12="","",IFERROR(INDEX('1.산군_붙여넣기'!$A$1:$AZ$1001,ROW(),설정!$C$12)&amp;"",""))</f>
        <v/>
      </c>
      <c r="K854">
        <f>IF(설정!$C$13="","",IFERROR(INDEX('1.산군_붙여넣기'!$A$1:$AZ$1001,ROW(),설정!$C$13)&amp;"",""))</f>
        <v/>
      </c>
      <c r="L854" s="7">
        <f>IF(X854="","",IF(AND(LEN(X854)=8,ISNUMBER(X854*1)),DATE(LEFT(X854,4),MID(X854,5,2),RIGHT(X854,2)),IFERROR(DATEVALUE(SUBSTITUTE(SUBSTITUTE(X854,".","-"),"/","-")),IFERROR(X854*1,""))))</f>
        <v/>
      </c>
      <c r="M854" s="7">
        <f>IF(Y854="","",IF(AND(LEN(Y854)=8,ISNUMBER(Y854*1)),DATE(LEFT(Y854,4),MID(Y854,5,2),RIGHT(Y854,2)),IFERROR(DATEVALUE(SUBSTITUTE(SUBSTITUTE(Y854,".","-"),"/","-")),IFERROR(Y854*1,""))))</f>
        <v/>
      </c>
      <c r="N854">
        <f>IFERROR(LEFT(B854,FIND(" ",B854)-1),B854)</f>
        <v/>
      </c>
      <c r="O854">
        <f>AND(B854&lt;&gt;"",B854&lt;&gt;설정!$B$4,C854&lt;&gt;설정!$B$5)</f>
        <v/>
      </c>
      <c r="P854">
        <f>IF(O854,B854&amp;"|"&amp;C854,"")</f>
        <v/>
      </c>
      <c r="Q854">
        <f>AND(O854,COUNTIF(P855:P$1002,P854)=0)</f>
        <v/>
      </c>
      <c r="R854">
        <f>OR(AND(설정!$A$42&lt;&gt;"",ISNUMBER(SEARCH(설정!$A$42,E854&amp;" "&amp;C854))),AND(설정!$A$43&lt;&gt;"",ISNUMBER(SEARCH(설정!$A$43,E854&amp;" "&amp;C854))),AND(설정!$A$44&lt;&gt;"",ISNUMBER(SEARCH(설정!$A$44,E854&amp;" "&amp;C854))),AND(설정!$A$45&lt;&gt;"",ISNUMBER(SEARCH(설정!$A$45,E854&amp;" "&amp;C854))),AND(설정!$A$46&lt;&gt;"",ISNUMBER(SEARCH(설정!$A$46,E854&amp;" "&amp;C854))),AND(설정!$A$47&lt;&gt;"",ISNUMBER(SEARCH(설정!$A$47,E854&amp;" "&amp;C854))),AND(설정!$A$48&lt;&gt;"",ISNUMBER(SEARCH(설정!$A$48,E854&amp;" "&amp;C854))),AND(설정!$A$49&lt;&gt;"",ISNUMBER(SEARCH(설정!$A$49,E854&amp;" "&amp;C854))),AND(설정!$A$50&lt;&gt;"",ISNUMBER(SEARCH(설정!$A$50,E854&amp;" "&amp;C854))),AND(설정!$A$51&lt;&gt;"",ISNUMBER(SEARCH(설정!$A$51,E854&amp;" "&amp;C854))))</f>
        <v/>
      </c>
      <c r="S854">
        <f>OR(D854="",D854&gt;=설정!$B$19)</f>
        <v/>
      </c>
      <c r="T854">
        <f>AND(Q854,R854,S854)</f>
        <v/>
      </c>
      <c r="U854">
        <f>IF(T854,IF(AND(설정!$A$54&lt;&gt;"",ISNUMBER(SEARCH(설정!$A$54,K854))),설정!$B$54,IF(AND(설정!$A$55&lt;&gt;"",ISNUMBER(SEARCH(설정!$A$55,K854))),설정!$B$55,IF(AND(설정!$A$56&lt;&gt;"",ISNUMBER(SEARCH(설정!$A$56,K854))),설정!$B$56,IF(AND(설정!$A$57&lt;&gt;"",ISNUMBER(SEARCH(설정!$A$57,K854))),설정!$B$57,IF(AND(설정!$A$58&lt;&gt;"",ISNUMBER(SEARCH(설정!$A$58,K854))),설정!$B$58,IF(AND(설정!$A$59&lt;&gt;"",ISNUMBER(SEARCH(설정!$A$59,K854))),설정!$B$59,IF(AND(설정!$A$60&lt;&gt;"",ISNUMBER(SEARCH(설정!$A$60,K854))),설정!$B$60,IF(AND(설정!$A$61&lt;&gt;"",ISNUMBER(SEARCH(설정!$A$61,K854))),설정!$B$61,IF(M854="","설계사","시공사"))))))))),"")</f>
        <v/>
      </c>
      <c r="V854">
        <f>SUBSTITUTE(SUBSTITUTE(SUBSTITUTE(SUBSTITUTE(G854,"(주)",""),"㈜",""),"주식회사","")," ","")</f>
        <v/>
      </c>
      <c r="W854">
        <f>IF(AND(T854,V854&lt;&gt;""),IF(COUNTIFS(V$2:V854,V854,T$2:T854,TRUE)=1,MAX(W$1:W853)+1,""),"")</f>
        <v/>
      </c>
      <c r="X854">
        <f>IF(설정!$C$14="","",IFERROR(INDEX('1.산군_붙여넣기'!$A$1:$AZ$1001,ROW(),설정!$C$14)&amp;"",""))</f>
        <v/>
      </c>
      <c r="Y854">
        <f>IF(설정!$C$15="","",IFERROR(INDEX('1.산군_붙여넣기'!$A$1:$AZ$1001,ROW(),설정!$C$15)&amp;"",""))</f>
        <v/>
      </c>
      <c r="Z854">
        <f>IF(T854,V854&amp;"|"&amp;U854,"")</f>
        <v/>
      </c>
      <c r="AA854">
        <f>IF(NOT(Q854),"",IF(NOT(AND(R854,S854)),"✕",IF(OR(OR(AND(L854&lt;&gt;"",M854&lt;&gt;"",N(M854)-N(L854)&gt;설정!$B$27),AND(L854&lt;&gt;"",M854="",설정!$B$24-N(L854)&gt;설정!$B$27)),AND(D854&lt;&gt;"",D854&lt;설정!$B$26)),"△","★")))</f>
        <v/>
      </c>
      <c r="AB854">
        <f>IF(NOT(T854),"",IF(U854="설계사",설정!$B$31,IF(U854="시공사",IF(OR(M854="",설정!$B$24-N(M854)&lt;=설정!$B$28*30.4),설정!$B$32,설정!$B$33),설정!$B$34))+IF(AA854="★",설정!$B$35,0))</f>
        <v/>
      </c>
      <c r="AC854">
        <f>SUBSTITUTE(SUBSTITUTE(SUBSTITUTE(SUBSTITUTE(H854,"(주)",""),"㈜",""),"주식회사","")," ","")</f>
        <v/>
      </c>
      <c r="AD854">
        <f>IF(AND(T854,AC854&lt;&gt;""),IF(COUNTIFS(AC$2:AC854,AC854,T$2:T854,TRUE)=1,MAX(AD$1:AD853)+1,""),"")</f>
        <v/>
      </c>
    </row>
    <row r="855">
      <c r="A855">
        <f>ROW()</f>
        <v/>
      </c>
      <c r="B855">
        <f>IF(설정!$C$4="","",IFERROR(INDEX('1.산군_붙여넣기'!$A$1:$AZ$1001,ROW(),설정!$C$4)&amp;"",""))</f>
        <v/>
      </c>
      <c r="C855">
        <f>IF(설정!$C$5="","",IFERROR(INDEX('1.산군_붙여넣기'!$A$1:$AZ$1001,ROW(),설정!$C$5)&amp;"",""))</f>
        <v/>
      </c>
      <c r="D855" s="5">
        <f>IFERROR(VALUE(SUBSTITUTE(SUBSTITUTE(SUBSTITUTE(IF(설정!$C$6="","",IFERROR(INDEX('1.산군_붙여넣기'!$A$1:$AZ$1001,ROW(),설정!$C$6)&amp;"","")),",",""),"㎡",""),"m2","")),"")</f>
        <v/>
      </c>
      <c r="E855">
        <f>IF(설정!$C$7="","",IFERROR(INDEX('1.산군_붙여넣기'!$A$1:$AZ$1001,ROW(),설정!$C$7)&amp;"",""))</f>
        <v/>
      </c>
      <c r="F855">
        <f>IF(설정!$C$8="","",IFERROR(INDEX('1.산군_붙여넣기'!$A$1:$AZ$1001,ROW(),설정!$C$8)&amp;"",""))</f>
        <v/>
      </c>
      <c r="G855">
        <f>IF(설정!$C$9="","",IFERROR(INDEX('1.산군_붙여넣기'!$A$1:$AZ$1001,ROW(),설정!$C$9)&amp;"",""))</f>
        <v/>
      </c>
      <c r="H855">
        <f>IF(설정!$C$10="","",IFERROR(INDEX('1.산군_붙여넣기'!$A$1:$AZ$1001,ROW(),설정!$C$10)&amp;"",""))</f>
        <v/>
      </c>
      <c r="I855">
        <f>IF(설정!$C$11="","",IFERROR(INDEX('1.산군_붙여넣기'!$A$1:$AZ$1001,ROW(),설정!$C$11)&amp;"",""))</f>
        <v/>
      </c>
      <c r="J855">
        <f>IF(설정!$C$12="","",IFERROR(INDEX('1.산군_붙여넣기'!$A$1:$AZ$1001,ROW(),설정!$C$12)&amp;"",""))</f>
        <v/>
      </c>
      <c r="K855">
        <f>IF(설정!$C$13="","",IFERROR(INDEX('1.산군_붙여넣기'!$A$1:$AZ$1001,ROW(),설정!$C$13)&amp;"",""))</f>
        <v/>
      </c>
      <c r="L855" s="7">
        <f>IF(X855="","",IF(AND(LEN(X855)=8,ISNUMBER(X855*1)),DATE(LEFT(X855,4),MID(X855,5,2),RIGHT(X855,2)),IFERROR(DATEVALUE(SUBSTITUTE(SUBSTITUTE(X855,".","-"),"/","-")),IFERROR(X855*1,""))))</f>
        <v/>
      </c>
      <c r="M855" s="7">
        <f>IF(Y855="","",IF(AND(LEN(Y855)=8,ISNUMBER(Y855*1)),DATE(LEFT(Y855,4),MID(Y855,5,2),RIGHT(Y855,2)),IFERROR(DATEVALUE(SUBSTITUTE(SUBSTITUTE(Y855,".","-"),"/","-")),IFERROR(Y855*1,""))))</f>
        <v/>
      </c>
      <c r="N855">
        <f>IFERROR(LEFT(B855,FIND(" ",B855)-1),B855)</f>
        <v/>
      </c>
      <c r="O855">
        <f>AND(B855&lt;&gt;"",B855&lt;&gt;설정!$B$4,C855&lt;&gt;설정!$B$5)</f>
        <v/>
      </c>
      <c r="P855">
        <f>IF(O855,B855&amp;"|"&amp;C855,"")</f>
        <v/>
      </c>
      <c r="Q855">
        <f>AND(O855,COUNTIF(P856:P$1002,P855)=0)</f>
        <v/>
      </c>
      <c r="R855">
        <f>OR(AND(설정!$A$42&lt;&gt;"",ISNUMBER(SEARCH(설정!$A$42,E855&amp;" "&amp;C855))),AND(설정!$A$43&lt;&gt;"",ISNUMBER(SEARCH(설정!$A$43,E855&amp;" "&amp;C855))),AND(설정!$A$44&lt;&gt;"",ISNUMBER(SEARCH(설정!$A$44,E855&amp;" "&amp;C855))),AND(설정!$A$45&lt;&gt;"",ISNUMBER(SEARCH(설정!$A$45,E855&amp;" "&amp;C855))),AND(설정!$A$46&lt;&gt;"",ISNUMBER(SEARCH(설정!$A$46,E855&amp;" "&amp;C855))),AND(설정!$A$47&lt;&gt;"",ISNUMBER(SEARCH(설정!$A$47,E855&amp;" "&amp;C855))),AND(설정!$A$48&lt;&gt;"",ISNUMBER(SEARCH(설정!$A$48,E855&amp;" "&amp;C855))),AND(설정!$A$49&lt;&gt;"",ISNUMBER(SEARCH(설정!$A$49,E855&amp;" "&amp;C855))),AND(설정!$A$50&lt;&gt;"",ISNUMBER(SEARCH(설정!$A$50,E855&amp;" "&amp;C855))),AND(설정!$A$51&lt;&gt;"",ISNUMBER(SEARCH(설정!$A$51,E855&amp;" "&amp;C855))))</f>
        <v/>
      </c>
      <c r="S855">
        <f>OR(D855="",D855&gt;=설정!$B$19)</f>
        <v/>
      </c>
      <c r="T855">
        <f>AND(Q855,R855,S855)</f>
        <v/>
      </c>
      <c r="U855">
        <f>IF(T855,IF(AND(설정!$A$54&lt;&gt;"",ISNUMBER(SEARCH(설정!$A$54,K855))),설정!$B$54,IF(AND(설정!$A$55&lt;&gt;"",ISNUMBER(SEARCH(설정!$A$55,K855))),설정!$B$55,IF(AND(설정!$A$56&lt;&gt;"",ISNUMBER(SEARCH(설정!$A$56,K855))),설정!$B$56,IF(AND(설정!$A$57&lt;&gt;"",ISNUMBER(SEARCH(설정!$A$57,K855))),설정!$B$57,IF(AND(설정!$A$58&lt;&gt;"",ISNUMBER(SEARCH(설정!$A$58,K855))),설정!$B$58,IF(AND(설정!$A$59&lt;&gt;"",ISNUMBER(SEARCH(설정!$A$59,K855))),설정!$B$59,IF(AND(설정!$A$60&lt;&gt;"",ISNUMBER(SEARCH(설정!$A$60,K855))),설정!$B$60,IF(AND(설정!$A$61&lt;&gt;"",ISNUMBER(SEARCH(설정!$A$61,K855))),설정!$B$61,IF(M855="","설계사","시공사"))))))))),"")</f>
        <v/>
      </c>
      <c r="V855">
        <f>SUBSTITUTE(SUBSTITUTE(SUBSTITUTE(SUBSTITUTE(G855,"(주)",""),"㈜",""),"주식회사","")," ","")</f>
        <v/>
      </c>
      <c r="W855">
        <f>IF(AND(T855,V855&lt;&gt;""),IF(COUNTIFS(V$2:V855,V855,T$2:T855,TRUE)=1,MAX(W$1:W854)+1,""),"")</f>
        <v/>
      </c>
      <c r="X855">
        <f>IF(설정!$C$14="","",IFERROR(INDEX('1.산군_붙여넣기'!$A$1:$AZ$1001,ROW(),설정!$C$14)&amp;"",""))</f>
        <v/>
      </c>
      <c r="Y855">
        <f>IF(설정!$C$15="","",IFERROR(INDEX('1.산군_붙여넣기'!$A$1:$AZ$1001,ROW(),설정!$C$15)&amp;"",""))</f>
        <v/>
      </c>
      <c r="Z855">
        <f>IF(T855,V855&amp;"|"&amp;U855,"")</f>
        <v/>
      </c>
      <c r="AA855">
        <f>IF(NOT(Q855),"",IF(NOT(AND(R855,S855)),"✕",IF(OR(OR(AND(L855&lt;&gt;"",M855&lt;&gt;"",N(M855)-N(L855)&gt;설정!$B$27),AND(L855&lt;&gt;"",M855="",설정!$B$24-N(L855)&gt;설정!$B$27)),AND(D855&lt;&gt;"",D855&lt;설정!$B$26)),"△","★")))</f>
        <v/>
      </c>
      <c r="AB855">
        <f>IF(NOT(T855),"",IF(U855="설계사",설정!$B$31,IF(U855="시공사",IF(OR(M855="",설정!$B$24-N(M855)&lt;=설정!$B$28*30.4),설정!$B$32,설정!$B$33),설정!$B$34))+IF(AA855="★",설정!$B$35,0))</f>
        <v/>
      </c>
      <c r="AC855">
        <f>SUBSTITUTE(SUBSTITUTE(SUBSTITUTE(SUBSTITUTE(H855,"(주)",""),"㈜",""),"주식회사","")," ","")</f>
        <v/>
      </c>
      <c r="AD855">
        <f>IF(AND(T855,AC855&lt;&gt;""),IF(COUNTIFS(AC$2:AC855,AC855,T$2:T855,TRUE)=1,MAX(AD$1:AD854)+1,""),"")</f>
        <v/>
      </c>
    </row>
    <row r="856">
      <c r="A856">
        <f>ROW()</f>
        <v/>
      </c>
      <c r="B856">
        <f>IF(설정!$C$4="","",IFERROR(INDEX('1.산군_붙여넣기'!$A$1:$AZ$1001,ROW(),설정!$C$4)&amp;"",""))</f>
        <v/>
      </c>
      <c r="C856">
        <f>IF(설정!$C$5="","",IFERROR(INDEX('1.산군_붙여넣기'!$A$1:$AZ$1001,ROW(),설정!$C$5)&amp;"",""))</f>
        <v/>
      </c>
      <c r="D856" s="5">
        <f>IFERROR(VALUE(SUBSTITUTE(SUBSTITUTE(SUBSTITUTE(IF(설정!$C$6="","",IFERROR(INDEX('1.산군_붙여넣기'!$A$1:$AZ$1001,ROW(),설정!$C$6)&amp;"","")),",",""),"㎡",""),"m2","")),"")</f>
        <v/>
      </c>
      <c r="E856">
        <f>IF(설정!$C$7="","",IFERROR(INDEX('1.산군_붙여넣기'!$A$1:$AZ$1001,ROW(),설정!$C$7)&amp;"",""))</f>
        <v/>
      </c>
      <c r="F856">
        <f>IF(설정!$C$8="","",IFERROR(INDEX('1.산군_붙여넣기'!$A$1:$AZ$1001,ROW(),설정!$C$8)&amp;"",""))</f>
        <v/>
      </c>
      <c r="G856">
        <f>IF(설정!$C$9="","",IFERROR(INDEX('1.산군_붙여넣기'!$A$1:$AZ$1001,ROW(),설정!$C$9)&amp;"",""))</f>
        <v/>
      </c>
      <c r="H856">
        <f>IF(설정!$C$10="","",IFERROR(INDEX('1.산군_붙여넣기'!$A$1:$AZ$1001,ROW(),설정!$C$10)&amp;"",""))</f>
        <v/>
      </c>
      <c r="I856">
        <f>IF(설정!$C$11="","",IFERROR(INDEX('1.산군_붙여넣기'!$A$1:$AZ$1001,ROW(),설정!$C$11)&amp;"",""))</f>
        <v/>
      </c>
      <c r="J856">
        <f>IF(설정!$C$12="","",IFERROR(INDEX('1.산군_붙여넣기'!$A$1:$AZ$1001,ROW(),설정!$C$12)&amp;"",""))</f>
        <v/>
      </c>
      <c r="K856">
        <f>IF(설정!$C$13="","",IFERROR(INDEX('1.산군_붙여넣기'!$A$1:$AZ$1001,ROW(),설정!$C$13)&amp;"",""))</f>
        <v/>
      </c>
      <c r="L856" s="7">
        <f>IF(X856="","",IF(AND(LEN(X856)=8,ISNUMBER(X856*1)),DATE(LEFT(X856,4),MID(X856,5,2),RIGHT(X856,2)),IFERROR(DATEVALUE(SUBSTITUTE(SUBSTITUTE(X856,".","-"),"/","-")),IFERROR(X856*1,""))))</f>
        <v/>
      </c>
      <c r="M856" s="7">
        <f>IF(Y856="","",IF(AND(LEN(Y856)=8,ISNUMBER(Y856*1)),DATE(LEFT(Y856,4),MID(Y856,5,2),RIGHT(Y856,2)),IFERROR(DATEVALUE(SUBSTITUTE(SUBSTITUTE(Y856,".","-"),"/","-")),IFERROR(Y856*1,""))))</f>
        <v/>
      </c>
      <c r="N856">
        <f>IFERROR(LEFT(B856,FIND(" ",B856)-1),B856)</f>
        <v/>
      </c>
      <c r="O856">
        <f>AND(B856&lt;&gt;"",B856&lt;&gt;설정!$B$4,C856&lt;&gt;설정!$B$5)</f>
        <v/>
      </c>
      <c r="P856">
        <f>IF(O856,B856&amp;"|"&amp;C856,"")</f>
        <v/>
      </c>
      <c r="Q856">
        <f>AND(O856,COUNTIF(P857:P$1002,P856)=0)</f>
        <v/>
      </c>
      <c r="R856">
        <f>OR(AND(설정!$A$42&lt;&gt;"",ISNUMBER(SEARCH(설정!$A$42,E856&amp;" "&amp;C856))),AND(설정!$A$43&lt;&gt;"",ISNUMBER(SEARCH(설정!$A$43,E856&amp;" "&amp;C856))),AND(설정!$A$44&lt;&gt;"",ISNUMBER(SEARCH(설정!$A$44,E856&amp;" "&amp;C856))),AND(설정!$A$45&lt;&gt;"",ISNUMBER(SEARCH(설정!$A$45,E856&amp;" "&amp;C856))),AND(설정!$A$46&lt;&gt;"",ISNUMBER(SEARCH(설정!$A$46,E856&amp;" "&amp;C856))),AND(설정!$A$47&lt;&gt;"",ISNUMBER(SEARCH(설정!$A$47,E856&amp;" "&amp;C856))),AND(설정!$A$48&lt;&gt;"",ISNUMBER(SEARCH(설정!$A$48,E856&amp;" "&amp;C856))),AND(설정!$A$49&lt;&gt;"",ISNUMBER(SEARCH(설정!$A$49,E856&amp;" "&amp;C856))),AND(설정!$A$50&lt;&gt;"",ISNUMBER(SEARCH(설정!$A$50,E856&amp;" "&amp;C856))),AND(설정!$A$51&lt;&gt;"",ISNUMBER(SEARCH(설정!$A$51,E856&amp;" "&amp;C856))))</f>
        <v/>
      </c>
      <c r="S856">
        <f>OR(D856="",D856&gt;=설정!$B$19)</f>
        <v/>
      </c>
      <c r="T856">
        <f>AND(Q856,R856,S856)</f>
        <v/>
      </c>
      <c r="U856">
        <f>IF(T856,IF(AND(설정!$A$54&lt;&gt;"",ISNUMBER(SEARCH(설정!$A$54,K856))),설정!$B$54,IF(AND(설정!$A$55&lt;&gt;"",ISNUMBER(SEARCH(설정!$A$55,K856))),설정!$B$55,IF(AND(설정!$A$56&lt;&gt;"",ISNUMBER(SEARCH(설정!$A$56,K856))),설정!$B$56,IF(AND(설정!$A$57&lt;&gt;"",ISNUMBER(SEARCH(설정!$A$57,K856))),설정!$B$57,IF(AND(설정!$A$58&lt;&gt;"",ISNUMBER(SEARCH(설정!$A$58,K856))),설정!$B$58,IF(AND(설정!$A$59&lt;&gt;"",ISNUMBER(SEARCH(설정!$A$59,K856))),설정!$B$59,IF(AND(설정!$A$60&lt;&gt;"",ISNUMBER(SEARCH(설정!$A$60,K856))),설정!$B$60,IF(AND(설정!$A$61&lt;&gt;"",ISNUMBER(SEARCH(설정!$A$61,K856))),설정!$B$61,IF(M856="","설계사","시공사"))))))))),"")</f>
        <v/>
      </c>
      <c r="V856">
        <f>SUBSTITUTE(SUBSTITUTE(SUBSTITUTE(SUBSTITUTE(G856,"(주)",""),"㈜",""),"주식회사","")," ","")</f>
        <v/>
      </c>
      <c r="W856">
        <f>IF(AND(T856,V856&lt;&gt;""),IF(COUNTIFS(V$2:V856,V856,T$2:T856,TRUE)=1,MAX(W$1:W855)+1,""),"")</f>
        <v/>
      </c>
      <c r="X856">
        <f>IF(설정!$C$14="","",IFERROR(INDEX('1.산군_붙여넣기'!$A$1:$AZ$1001,ROW(),설정!$C$14)&amp;"",""))</f>
        <v/>
      </c>
      <c r="Y856">
        <f>IF(설정!$C$15="","",IFERROR(INDEX('1.산군_붙여넣기'!$A$1:$AZ$1001,ROW(),설정!$C$15)&amp;"",""))</f>
        <v/>
      </c>
      <c r="Z856">
        <f>IF(T856,V856&amp;"|"&amp;U856,"")</f>
        <v/>
      </c>
      <c r="AA856">
        <f>IF(NOT(Q856),"",IF(NOT(AND(R856,S856)),"✕",IF(OR(OR(AND(L856&lt;&gt;"",M856&lt;&gt;"",N(M856)-N(L856)&gt;설정!$B$27),AND(L856&lt;&gt;"",M856="",설정!$B$24-N(L856)&gt;설정!$B$27)),AND(D856&lt;&gt;"",D856&lt;설정!$B$26)),"△","★")))</f>
        <v/>
      </c>
      <c r="AB856">
        <f>IF(NOT(T856),"",IF(U856="설계사",설정!$B$31,IF(U856="시공사",IF(OR(M856="",설정!$B$24-N(M856)&lt;=설정!$B$28*30.4),설정!$B$32,설정!$B$33),설정!$B$34))+IF(AA856="★",설정!$B$35,0))</f>
        <v/>
      </c>
      <c r="AC856">
        <f>SUBSTITUTE(SUBSTITUTE(SUBSTITUTE(SUBSTITUTE(H856,"(주)",""),"㈜",""),"주식회사","")," ","")</f>
        <v/>
      </c>
      <c r="AD856">
        <f>IF(AND(T856,AC856&lt;&gt;""),IF(COUNTIFS(AC$2:AC856,AC856,T$2:T856,TRUE)=1,MAX(AD$1:AD855)+1,""),"")</f>
        <v/>
      </c>
    </row>
    <row r="857">
      <c r="A857">
        <f>ROW()</f>
        <v/>
      </c>
      <c r="B857">
        <f>IF(설정!$C$4="","",IFERROR(INDEX('1.산군_붙여넣기'!$A$1:$AZ$1001,ROW(),설정!$C$4)&amp;"",""))</f>
        <v/>
      </c>
      <c r="C857">
        <f>IF(설정!$C$5="","",IFERROR(INDEX('1.산군_붙여넣기'!$A$1:$AZ$1001,ROW(),설정!$C$5)&amp;"",""))</f>
        <v/>
      </c>
      <c r="D857" s="5">
        <f>IFERROR(VALUE(SUBSTITUTE(SUBSTITUTE(SUBSTITUTE(IF(설정!$C$6="","",IFERROR(INDEX('1.산군_붙여넣기'!$A$1:$AZ$1001,ROW(),설정!$C$6)&amp;"","")),",",""),"㎡",""),"m2","")),"")</f>
        <v/>
      </c>
      <c r="E857">
        <f>IF(설정!$C$7="","",IFERROR(INDEX('1.산군_붙여넣기'!$A$1:$AZ$1001,ROW(),설정!$C$7)&amp;"",""))</f>
        <v/>
      </c>
      <c r="F857">
        <f>IF(설정!$C$8="","",IFERROR(INDEX('1.산군_붙여넣기'!$A$1:$AZ$1001,ROW(),설정!$C$8)&amp;"",""))</f>
        <v/>
      </c>
      <c r="G857">
        <f>IF(설정!$C$9="","",IFERROR(INDEX('1.산군_붙여넣기'!$A$1:$AZ$1001,ROW(),설정!$C$9)&amp;"",""))</f>
        <v/>
      </c>
      <c r="H857">
        <f>IF(설정!$C$10="","",IFERROR(INDEX('1.산군_붙여넣기'!$A$1:$AZ$1001,ROW(),설정!$C$10)&amp;"",""))</f>
        <v/>
      </c>
      <c r="I857">
        <f>IF(설정!$C$11="","",IFERROR(INDEX('1.산군_붙여넣기'!$A$1:$AZ$1001,ROW(),설정!$C$11)&amp;"",""))</f>
        <v/>
      </c>
      <c r="J857">
        <f>IF(설정!$C$12="","",IFERROR(INDEX('1.산군_붙여넣기'!$A$1:$AZ$1001,ROW(),설정!$C$12)&amp;"",""))</f>
        <v/>
      </c>
      <c r="K857">
        <f>IF(설정!$C$13="","",IFERROR(INDEX('1.산군_붙여넣기'!$A$1:$AZ$1001,ROW(),설정!$C$13)&amp;"",""))</f>
        <v/>
      </c>
      <c r="L857" s="7">
        <f>IF(X857="","",IF(AND(LEN(X857)=8,ISNUMBER(X857*1)),DATE(LEFT(X857,4),MID(X857,5,2),RIGHT(X857,2)),IFERROR(DATEVALUE(SUBSTITUTE(SUBSTITUTE(X857,".","-"),"/","-")),IFERROR(X857*1,""))))</f>
        <v/>
      </c>
      <c r="M857" s="7">
        <f>IF(Y857="","",IF(AND(LEN(Y857)=8,ISNUMBER(Y857*1)),DATE(LEFT(Y857,4),MID(Y857,5,2),RIGHT(Y857,2)),IFERROR(DATEVALUE(SUBSTITUTE(SUBSTITUTE(Y857,".","-"),"/","-")),IFERROR(Y857*1,""))))</f>
        <v/>
      </c>
      <c r="N857">
        <f>IFERROR(LEFT(B857,FIND(" ",B857)-1),B857)</f>
        <v/>
      </c>
      <c r="O857">
        <f>AND(B857&lt;&gt;"",B857&lt;&gt;설정!$B$4,C857&lt;&gt;설정!$B$5)</f>
        <v/>
      </c>
      <c r="P857">
        <f>IF(O857,B857&amp;"|"&amp;C857,"")</f>
        <v/>
      </c>
      <c r="Q857">
        <f>AND(O857,COUNTIF(P858:P$1002,P857)=0)</f>
        <v/>
      </c>
      <c r="R857">
        <f>OR(AND(설정!$A$42&lt;&gt;"",ISNUMBER(SEARCH(설정!$A$42,E857&amp;" "&amp;C857))),AND(설정!$A$43&lt;&gt;"",ISNUMBER(SEARCH(설정!$A$43,E857&amp;" "&amp;C857))),AND(설정!$A$44&lt;&gt;"",ISNUMBER(SEARCH(설정!$A$44,E857&amp;" "&amp;C857))),AND(설정!$A$45&lt;&gt;"",ISNUMBER(SEARCH(설정!$A$45,E857&amp;" "&amp;C857))),AND(설정!$A$46&lt;&gt;"",ISNUMBER(SEARCH(설정!$A$46,E857&amp;" "&amp;C857))),AND(설정!$A$47&lt;&gt;"",ISNUMBER(SEARCH(설정!$A$47,E857&amp;" "&amp;C857))),AND(설정!$A$48&lt;&gt;"",ISNUMBER(SEARCH(설정!$A$48,E857&amp;" "&amp;C857))),AND(설정!$A$49&lt;&gt;"",ISNUMBER(SEARCH(설정!$A$49,E857&amp;" "&amp;C857))),AND(설정!$A$50&lt;&gt;"",ISNUMBER(SEARCH(설정!$A$50,E857&amp;" "&amp;C857))),AND(설정!$A$51&lt;&gt;"",ISNUMBER(SEARCH(설정!$A$51,E857&amp;" "&amp;C857))))</f>
        <v/>
      </c>
      <c r="S857">
        <f>OR(D857="",D857&gt;=설정!$B$19)</f>
        <v/>
      </c>
      <c r="T857">
        <f>AND(Q857,R857,S857)</f>
        <v/>
      </c>
      <c r="U857">
        <f>IF(T857,IF(AND(설정!$A$54&lt;&gt;"",ISNUMBER(SEARCH(설정!$A$54,K857))),설정!$B$54,IF(AND(설정!$A$55&lt;&gt;"",ISNUMBER(SEARCH(설정!$A$55,K857))),설정!$B$55,IF(AND(설정!$A$56&lt;&gt;"",ISNUMBER(SEARCH(설정!$A$56,K857))),설정!$B$56,IF(AND(설정!$A$57&lt;&gt;"",ISNUMBER(SEARCH(설정!$A$57,K857))),설정!$B$57,IF(AND(설정!$A$58&lt;&gt;"",ISNUMBER(SEARCH(설정!$A$58,K857))),설정!$B$58,IF(AND(설정!$A$59&lt;&gt;"",ISNUMBER(SEARCH(설정!$A$59,K857))),설정!$B$59,IF(AND(설정!$A$60&lt;&gt;"",ISNUMBER(SEARCH(설정!$A$60,K857))),설정!$B$60,IF(AND(설정!$A$61&lt;&gt;"",ISNUMBER(SEARCH(설정!$A$61,K857))),설정!$B$61,IF(M857="","설계사","시공사"))))))))),"")</f>
        <v/>
      </c>
      <c r="V857">
        <f>SUBSTITUTE(SUBSTITUTE(SUBSTITUTE(SUBSTITUTE(G857,"(주)",""),"㈜",""),"주식회사","")," ","")</f>
        <v/>
      </c>
      <c r="W857">
        <f>IF(AND(T857,V857&lt;&gt;""),IF(COUNTIFS(V$2:V857,V857,T$2:T857,TRUE)=1,MAX(W$1:W856)+1,""),"")</f>
        <v/>
      </c>
      <c r="X857">
        <f>IF(설정!$C$14="","",IFERROR(INDEX('1.산군_붙여넣기'!$A$1:$AZ$1001,ROW(),설정!$C$14)&amp;"",""))</f>
        <v/>
      </c>
      <c r="Y857">
        <f>IF(설정!$C$15="","",IFERROR(INDEX('1.산군_붙여넣기'!$A$1:$AZ$1001,ROW(),설정!$C$15)&amp;"",""))</f>
        <v/>
      </c>
      <c r="Z857">
        <f>IF(T857,V857&amp;"|"&amp;U857,"")</f>
        <v/>
      </c>
      <c r="AA857">
        <f>IF(NOT(Q857),"",IF(NOT(AND(R857,S857)),"✕",IF(OR(OR(AND(L857&lt;&gt;"",M857&lt;&gt;"",N(M857)-N(L857)&gt;설정!$B$27),AND(L857&lt;&gt;"",M857="",설정!$B$24-N(L857)&gt;설정!$B$27)),AND(D857&lt;&gt;"",D857&lt;설정!$B$26)),"△","★")))</f>
        <v/>
      </c>
      <c r="AB857">
        <f>IF(NOT(T857),"",IF(U857="설계사",설정!$B$31,IF(U857="시공사",IF(OR(M857="",설정!$B$24-N(M857)&lt;=설정!$B$28*30.4),설정!$B$32,설정!$B$33),설정!$B$34))+IF(AA857="★",설정!$B$35,0))</f>
        <v/>
      </c>
      <c r="AC857">
        <f>SUBSTITUTE(SUBSTITUTE(SUBSTITUTE(SUBSTITUTE(H857,"(주)",""),"㈜",""),"주식회사","")," ","")</f>
        <v/>
      </c>
      <c r="AD857">
        <f>IF(AND(T857,AC857&lt;&gt;""),IF(COUNTIFS(AC$2:AC857,AC857,T$2:T857,TRUE)=1,MAX(AD$1:AD856)+1,""),"")</f>
        <v/>
      </c>
    </row>
    <row r="858">
      <c r="A858">
        <f>ROW()</f>
        <v/>
      </c>
      <c r="B858">
        <f>IF(설정!$C$4="","",IFERROR(INDEX('1.산군_붙여넣기'!$A$1:$AZ$1001,ROW(),설정!$C$4)&amp;"",""))</f>
        <v/>
      </c>
      <c r="C858">
        <f>IF(설정!$C$5="","",IFERROR(INDEX('1.산군_붙여넣기'!$A$1:$AZ$1001,ROW(),설정!$C$5)&amp;"",""))</f>
        <v/>
      </c>
      <c r="D858" s="5">
        <f>IFERROR(VALUE(SUBSTITUTE(SUBSTITUTE(SUBSTITUTE(IF(설정!$C$6="","",IFERROR(INDEX('1.산군_붙여넣기'!$A$1:$AZ$1001,ROW(),설정!$C$6)&amp;"","")),",",""),"㎡",""),"m2","")),"")</f>
        <v/>
      </c>
      <c r="E858">
        <f>IF(설정!$C$7="","",IFERROR(INDEX('1.산군_붙여넣기'!$A$1:$AZ$1001,ROW(),설정!$C$7)&amp;"",""))</f>
        <v/>
      </c>
      <c r="F858">
        <f>IF(설정!$C$8="","",IFERROR(INDEX('1.산군_붙여넣기'!$A$1:$AZ$1001,ROW(),설정!$C$8)&amp;"",""))</f>
        <v/>
      </c>
      <c r="G858">
        <f>IF(설정!$C$9="","",IFERROR(INDEX('1.산군_붙여넣기'!$A$1:$AZ$1001,ROW(),설정!$C$9)&amp;"",""))</f>
        <v/>
      </c>
      <c r="H858">
        <f>IF(설정!$C$10="","",IFERROR(INDEX('1.산군_붙여넣기'!$A$1:$AZ$1001,ROW(),설정!$C$10)&amp;"",""))</f>
        <v/>
      </c>
      <c r="I858">
        <f>IF(설정!$C$11="","",IFERROR(INDEX('1.산군_붙여넣기'!$A$1:$AZ$1001,ROW(),설정!$C$11)&amp;"",""))</f>
        <v/>
      </c>
      <c r="J858">
        <f>IF(설정!$C$12="","",IFERROR(INDEX('1.산군_붙여넣기'!$A$1:$AZ$1001,ROW(),설정!$C$12)&amp;"",""))</f>
        <v/>
      </c>
      <c r="K858">
        <f>IF(설정!$C$13="","",IFERROR(INDEX('1.산군_붙여넣기'!$A$1:$AZ$1001,ROW(),설정!$C$13)&amp;"",""))</f>
        <v/>
      </c>
      <c r="L858" s="7">
        <f>IF(X858="","",IF(AND(LEN(X858)=8,ISNUMBER(X858*1)),DATE(LEFT(X858,4),MID(X858,5,2),RIGHT(X858,2)),IFERROR(DATEVALUE(SUBSTITUTE(SUBSTITUTE(X858,".","-"),"/","-")),IFERROR(X858*1,""))))</f>
        <v/>
      </c>
      <c r="M858" s="7">
        <f>IF(Y858="","",IF(AND(LEN(Y858)=8,ISNUMBER(Y858*1)),DATE(LEFT(Y858,4),MID(Y858,5,2),RIGHT(Y858,2)),IFERROR(DATEVALUE(SUBSTITUTE(SUBSTITUTE(Y858,".","-"),"/","-")),IFERROR(Y858*1,""))))</f>
        <v/>
      </c>
      <c r="N858">
        <f>IFERROR(LEFT(B858,FIND(" ",B858)-1),B858)</f>
        <v/>
      </c>
      <c r="O858">
        <f>AND(B858&lt;&gt;"",B858&lt;&gt;설정!$B$4,C858&lt;&gt;설정!$B$5)</f>
        <v/>
      </c>
      <c r="P858">
        <f>IF(O858,B858&amp;"|"&amp;C858,"")</f>
        <v/>
      </c>
      <c r="Q858">
        <f>AND(O858,COUNTIF(P859:P$1002,P858)=0)</f>
        <v/>
      </c>
      <c r="R858">
        <f>OR(AND(설정!$A$42&lt;&gt;"",ISNUMBER(SEARCH(설정!$A$42,E858&amp;" "&amp;C858))),AND(설정!$A$43&lt;&gt;"",ISNUMBER(SEARCH(설정!$A$43,E858&amp;" "&amp;C858))),AND(설정!$A$44&lt;&gt;"",ISNUMBER(SEARCH(설정!$A$44,E858&amp;" "&amp;C858))),AND(설정!$A$45&lt;&gt;"",ISNUMBER(SEARCH(설정!$A$45,E858&amp;" "&amp;C858))),AND(설정!$A$46&lt;&gt;"",ISNUMBER(SEARCH(설정!$A$46,E858&amp;" "&amp;C858))),AND(설정!$A$47&lt;&gt;"",ISNUMBER(SEARCH(설정!$A$47,E858&amp;" "&amp;C858))),AND(설정!$A$48&lt;&gt;"",ISNUMBER(SEARCH(설정!$A$48,E858&amp;" "&amp;C858))),AND(설정!$A$49&lt;&gt;"",ISNUMBER(SEARCH(설정!$A$49,E858&amp;" "&amp;C858))),AND(설정!$A$50&lt;&gt;"",ISNUMBER(SEARCH(설정!$A$50,E858&amp;" "&amp;C858))),AND(설정!$A$51&lt;&gt;"",ISNUMBER(SEARCH(설정!$A$51,E858&amp;" "&amp;C858))))</f>
        <v/>
      </c>
      <c r="S858">
        <f>OR(D858="",D858&gt;=설정!$B$19)</f>
        <v/>
      </c>
      <c r="T858">
        <f>AND(Q858,R858,S858)</f>
        <v/>
      </c>
      <c r="U858">
        <f>IF(T858,IF(AND(설정!$A$54&lt;&gt;"",ISNUMBER(SEARCH(설정!$A$54,K858))),설정!$B$54,IF(AND(설정!$A$55&lt;&gt;"",ISNUMBER(SEARCH(설정!$A$55,K858))),설정!$B$55,IF(AND(설정!$A$56&lt;&gt;"",ISNUMBER(SEARCH(설정!$A$56,K858))),설정!$B$56,IF(AND(설정!$A$57&lt;&gt;"",ISNUMBER(SEARCH(설정!$A$57,K858))),설정!$B$57,IF(AND(설정!$A$58&lt;&gt;"",ISNUMBER(SEARCH(설정!$A$58,K858))),설정!$B$58,IF(AND(설정!$A$59&lt;&gt;"",ISNUMBER(SEARCH(설정!$A$59,K858))),설정!$B$59,IF(AND(설정!$A$60&lt;&gt;"",ISNUMBER(SEARCH(설정!$A$60,K858))),설정!$B$60,IF(AND(설정!$A$61&lt;&gt;"",ISNUMBER(SEARCH(설정!$A$61,K858))),설정!$B$61,IF(M858="","설계사","시공사"))))))))),"")</f>
        <v/>
      </c>
      <c r="V858">
        <f>SUBSTITUTE(SUBSTITUTE(SUBSTITUTE(SUBSTITUTE(G858,"(주)",""),"㈜",""),"주식회사","")," ","")</f>
        <v/>
      </c>
      <c r="W858">
        <f>IF(AND(T858,V858&lt;&gt;""),IF(COUNTIFS(V$2:V858,V858,T$2:T858,TRUE)=1,MAX(W$1:W857)+1,""),"")</f>
        <v/>
      </c>
      <c r="X858">
        <f>IF(설정!$C$14="","",IFERROR(INDEX('1.산군_붙여넣기'!$A$1:$AZ$1001,ROW(),설정!$C$14)&amp;"",""))</f>
        <v/>
      </c>
      <c r="Y858">
        <f>IF(설정!$C$15="","",IFERROR(INDEX('1.산군_붙여넣기'!$A$1:$AZ$1001,ROW(),설정!$C$15)&amp;"",""))</f>
        <v/>
      </c>
      <c r="Z858">
        <f>IF(T858,V858&amp;"|"&amp;U858,"")</f>
        <v/>
      </c>
      <c r="AA858">
        <f>IF(NOT(Q858),"",IF(NOT(AND(R858,S858)),"✕",IF(OR(OR(AND(L858&lt;&gt;"",M858&lt;&gt;"",N(M858)-N(L858)&gt;설정!$B$27),AND(L858&lt;&gt;"",M858="",설정!$B$24-N(L858)&gt;설정!$B$27)),AND(D858&lt;&gt;"",D858&lt;설정!$B$26)),"△","★")))</f>
        <v/>
      </c>
      <c r="AB858">
        <f>IF(NOT(T858),"",IF(U858="설계사",설정!$B$31,IF(U858="시공사",IF(OR(M858="",설정!$B$24-N(M858)&lt;=설정!$B$28*30.4),설정!$B$32,설정!$B$33),설정!$B$34))+IF(AA858="★",설정!$B$35,0))</f>
        <v/>
      </c>
      <c r="AC858">
        <f>SUBSTITUTE(SUBSTITUTE(SUBSTITUTE(SUBSTITUTE(H858,"(주)",""),"㈜",""),"주식회사","")," ","")</f>
        <v/>
      </c>
      <c r="AD858">
        <f>IF(AND(T858,AC858&lt;&gt;""),IF(COUNTIFS(AC$2:AC858,AC858,T$2:T858,TRUE)=1,MAX(AD$1:AD857)+1,""),"")</f>
        <v/>
      </c>
    </row>
    <row r="859">
      <c r="A859">
        <f>ROW()</f>
        <v/>
      </c>
      <c r="B859">
        <f>IF(설정!$C$4="","",IFERROR(INDEX('1.산군_붙여넣기'!$A$1:$AZ$1001,ROW(),설정!$C$4)&amp;"",""))</f>
        <v/>
      </c>
      <c r="C859">
        <f>IF(설정!$C$5="","",IFERROR(INDEX('1.산군_붙여넣기'!$A$1:$AZ$1001,ROW(),설정!$C$5)&amp;"",""))</f>
        <v/>
      </c>
      <c r="D859" s="5">
        <f>IFERROR(VALUE(SUBSTITUTE(SUBSTITUTE(SUBSTITUTE(IF(설정!$C$6="","",IFERROR(INDEX('1.산군_붙여넣기'!$A$1:$AZ$1001,ROW(),설정!$C$6)&amp;"","")),",",""),"㎡",""),"m2","")),"")</f>
        <v/>
      </c>
      <c r="E859">
        <f>IF(설정!$C$7="","",IFERROR(INDEX('1.산군_붙여넣기'!$A$1:$AZ$1001,ROW(),설정!$C$7)&amp;"",""))</f>
        <v/>
      </c>
      <c r="F859">
        <f>IF(설정!$C$8="","",IFERROR(INDEX('1.산군_붙여넣기'!$A$1:$AZ$1001,ROW(),설정!$C$8)&amp;"",""))</f>
        <v/>
      </c>
      <c r="G859">
        <f>IF(설정!$C$9="","",IFERROR(INDEX('1.산군_붙여넣기'!$A$1:$AZ$1001,ROW(),설정!$C$9)&amp;"",""))</f>
        <v/>
      </c>
      <c r="H859">
        <f>IF(설정!$C$10="","",IFERROR(INDEX('1.산군_붙여넣기'!$A$1:$AZ$1001,ROW(),설정!$C$10)&amp;"",""))</f>
        <v/>
      </c>
      <c r="I859">
        <f>IF(설정!$C$11="","",IFERROR(INDEX('1.산군_붙여넣기'!$A$1:$AZ$1001,ROW(),설정!$C$11)&amp;"",""))</f>
        <v/>
      </c>
      <c r="J859">
        <f>IF(설정!$C$12="","",IFERROR(INDEX('1.산군_붙여넣기'!$A$1:$AZ$1001,ROW(),설정!$C$12)&amp;"",""))</f>
        <v/>
      </c>
      <c r="K859">
        <f>IF(설정!$C$13="","",IFERROR(INDEX('1.산군_붙여넣기'!$A$1:$AZ$1001,ROW(),설정!$C$13)&amp;"",""))</f>
        <v/>
      </c>
      <c r="L859" s="7">
        <f>IF(X859="","",IF(AND(LEN(X859)=8,ISNUMBER(X859*1)),DATE(LEFT(X859,4),MID(X859,5,2),RIGHT(X859,2)),IFERROR(DATEVALUE(SUBSTITUTE(SUBSTITUTE(X859,".","-"),"/","-")),IFERROR(X859*1,""))))</f>
        <v/>
      </c>
      <c r="M859" s="7">
        <f>IF(Y859="","",IF(AND(LEN(Y859)=8,ISNUMBER(Y859*1)),DATE(LEFT(Y859,4),MID(Y859,5,2),RIGHT(Y859,2)),IFERROR(DATEVALUE(SUBSTITUTE(SUBSTITUTE(Y859,".","-"),"/","-")),IFERROR(Y859*1,""))))</f>
        <v/>
      </c>
      <c r="N859">
        <f>IFERROR(LEFT(B859,FIND(" ",B859)-1),B859)</f>
        <v/>
      </c>
      <c r="O859">
        <f>AND(B859&lt;&gt;"",B859&lt;&gt;설정!$B$4,C859&lt;&gt;설정!$B$5)</f>
        <v/>
      </c>
      <c r="P859">
        <f>IF(O859,B859&amp;"|"&amp;C859,"")</f>
        <v/>
      </c>
      <c r="Q859">
        <f>AND(O859,COUNTIF(P860:P$1002,P859)=0)</f>
        <v/>
      </c>
      <c r="R859">
        <f>OR(AND(설정!$A$42&lt;&gt;"",ISNUMBER(SEARCH(설정!$A$42,E859&amp;" "&amp;C859))),AND(설정!$A$43&lt;&gt;"",ISNUMBER(SEARCH(설정!$A$43,E859&amp;" "&amp;C859))),AND(설정!$A$44&lt;&gt;"",ISNUMBER(SEARCH(설정!$A$44,E859&amp;" "&amp;C859))),AND(설정!$A$45&lt;&gt;"",ISNUMBER(SEARCH(설정!$A$45,E859&amp;" "&amp;C859))),AND(설정!$A$46&lt;&gt;"",ISNUMBER(SEARCH(설정!$A$46,E859&amp;" "&amp;C859))),AND(설정!$A$47&lt;&gt;"",ISNUMBER(SEARCH(설정!$A$47,E859&amp;" "&amp;C859))),AND(설정!$A$48&lt;&gt;"",ISNUMBER(SEARCH(설정!$A$48,E859&amp;" "&amp;C859))),AND(설정!$A$49&lt;&gt;"",ISNUMBER(SEARCH(설정!$A$49,E859&amp;" "&amp;C859))),AND(설정!$A$50&lt;&gt;"",ISNUMBER(SEARCH(설정!$A$50,E859&amp;" "&amp;C859))),AND(설정!$A$51&lt;&gt;"",ISNUMBER(SEARCH(설정!$A$51,E859&amp;" "&amp;C859))))</f>
        <v/>
      </c>
      <c r="S859">
        <f>OR(D859="",D859&gt;=설정!$B$19)</f>
        <v/>
      </c>
      <c r="T859">
        <f>AND(Q859,R859,S859)</f>
        <v/>
      </c>
      <c r="U859">
        <f>IF(T859,IF(AND(설정!$A$54&lt;&gt;"",ISNUMBER(SEARCH(설정!$A$54,K859))),설정!$B$54,IF(AND(설정!$A$55&lt;&gt;"",ISNUMBER(SEARCH(설정!$A$55,K859))),설정!$B$55,IF(AND(설정!$A$56&lt;&gt;"",ISNUMBER(SEARCH(설정!$A$56,K859))),설정!$B$56,IF(AND(설정!$A$57&lt;&gt;"",ISNUMBER(SEARCH(설정!$A$57,K859))),설정!$B$57,IF(AND(설정!$A$58&lt;&gt;"",ISNUMBER(SEARCH(설정!$A$58,K859))),설정!$B$58,IF(AND(설정!$A$59&lt;&gt;"",ISNUMBER(SEARCH(설정!$A$59,K859))),설정!$B$59,IF(AND(설정!$A$60&lt;&gt;"",ISNUMBER(SEARCH(설정!$A$60,K859))),설정!$B$60,IF(AND(설정!$A$61&lt;&gt;"",ISNUMBER(SEARCH(설정!$A$61,K859))),설정!$B$61,IF(M859="","설계사","시공사"))))))))),"")</f>
        <v/>
      </c>
      <c r="V859">
        <f>SUBSTITUTE(SUBSTITUTE(SUBSTITUTE(SUBSTITUTE(G859,"(주)",""),"㈜",""),"주식회사","")," ","")</f>
        <v/>
      </c>
      <c r="W859">
        <f>IF(AND(T859,V859&lt;&gt;""),IF(COUNTIFS(V$2:V859,V859,T$2:T859,TRUE)=1,MAX(W$1:W858)+1,""),"")</f>
        <v/>
      </c>
      <c r="X859">
        <f>IF(설정!$C$14="","",IFERROR(INDEX('1.산군_붙여넣기'!$A$1:$AZ$1001,ROW(),설정!$C$14)&amp;"",""))</f>
        <v/>
      </c>
      <c r="Y859">
        <f>IF(설정!$C$15="","",IFERROR(INDEX('1.산군_붙여넣기'!$A$1:$AZ$1001,ROW(),설정!$C$15)&amp;"",""))</f>
        <v/>
      </c>
      <c r="Z859">
        <f>IF(T859,V859&amp;"|"&amp;U859,"")</f>
        <v/>
      </c>
      <c r="AA859">
        <f>IF(NOT(Q859),"",IF(NOT(AND(R859,S859)),"✕",IF(OR(OR(AND(L859&lt;&gt;"",M859&lt;&gt;"",N(M859)-N(L859)&gt;설정!$B$27),AND(L859&lt;&gt;"",M859="",설정!$B$24-N(L859)&gt;설정!$B$27)),AND(D859&lt;&gt;"",D859&lt;설정!$B$26)),"△","★")))</f>
        <v/>
      </c>
      <c r="AB859">
        <f>IF(NOT(T859),"",IF(U859="설계사",설정!$B$31,IF(U859="시공사",IF(OR(M859="",설정!$B$24-N(M859)&lt;=설정!$B$28*30.4),설정!$B$32,설정!$B$33),설정!$B$34))+IF(AA859="★",설정!$B$35,0))</f>
        <v/>
      </c>
      <c r="AC859">
        <f>SUBSTITUTE(SUBSTITUTE(SUBSTITUTE(SUBSTITUTE(H859,"(주)",""),"㈜",""),"주식회사","")," ","")</f>
        <v/>
      </c>
      <c r="AD859">
        <f>IF(AND(T859,AC859&lt;&gt;""),IF(COUNTIFS(AC$2:AC859,AC859,T$2:T859,TRUE)=1,MAX(AD$1:AD858)+1,""),"")</f>
        <v/>
      </c>
    </row>
    <row r="860">
      <c r="A860">
        <f>ROW()</f>
        <v/>
      </c>
      <c r="B860">
        <f>IF(설정!$C$4="","",IFERROR(INDEX('1.산군_붙여넣기'!$A$1:$AZ$1001,ROW(),설정!$C$4)&amp;"",""))</f>
        <v/>
      </c>
      <c r="C860">
        <f>IF(설정!$C$5="","",IFERROR(INDEX('1.산군_붙여넣기'!$A$1:$AZ$1001,ROW(),설정!$C$5)&amp;"",""))</f>
        <v/>
      </c>
      <c r="D860" s="5">
        <f>IFERROR(VALUE(SUBSTITUTE(SUBSTITUTE(SUBSTITUTE(IF(설정!$C$6="","",IFERROR(INDEX('1.산군_붙여넣기'!$A$1:$AZ$1001,ROW(),설정!$C$6)&amp;"","")),",",""),"㎡",""),"m2","")),"")</f>
        <v/>
      </c>
      <c r="E860">
        <f>IF(설정!$C$7="","",IFERROR(INDEX('1.산군_붙여넣기'!$A$1:$AZ$1001,ROW(),설정!$C$7)&amp;"",""))</f>
        <v/>
      </c>
      <c r="F860">
        <f>IF(설정!$C$8="","",IFERROR(INDEX('1.산군_붙여넣기'!$A$1:$AZ$1001,ROW(),설정!$C$8)&amp;"",""))</f>
        <v/>
      </c>
      <c r="G860">
        <f>IF(설정!$C$9="","",IFERROR(INDEX('1.산군_붙여넣기'!$A$1:$AZ$1001,ROW(),설정!$C$9)&amp;"",""))</f>
        <v/>
      </c>
      <c r="H860">
        <f>IF(설정!$C$10="","",IFERROR(INDEX('1.산군_붙여넣기'!$A$1:$AZ$1001,ROW(),설정!$C$10)&amp;"",""))</f>
        <v/>
      </c>
      <c r="I860">
        <f>IF(설정!$C$11="","",IFERROR(INDEX('1.산군_붙여넣기'!$A$1:$AZ$1001,ROW(),설정!$C$11)&amp;"",""))</f>
        <v/>
      </c>
      <c r="J860">
        <f>IF(설정!$C$12="","",IFERROR(INDEX('1.산군_붙여넣기'!$A$1:$AZ$1001,ROW(),설정!$C$12)&amp;"",""))</f>
        <v/>
      </c>
      <c r="K860">
        <f>IF(설정!$C$13="","",IFERROR(INDEX('1.산군_붙여넣기'!$A$1:$AZ$1001,ROW(),설정!$C$13)&amp;"",""))</f>
        <v/>
      </c>
      <c r="L860" s="7">
        <f>IF(X860="","",IF(AND(LEN(X860)=8,ISNUMBER(X860*1)),DATE(LEFT(X860,4),MID(X860,5,2),RIGHT(X860,2)),IFERROR(DATEVALUE(SUBSTITUTE(SUBSTITUTE(X860,".","-"),"/","-")),IFERROR(X860*1,""))))</f>
        <v/>
      </c>
      <c r="M860" s="7">
        <f>IF(Y860="","",IF(AND(LEN(Y860)=8,ISNUMBER(Y860*1)),DATE(LEFT(Y860,4),MID(Y860,5,2),RIGHT(Y860,2)),IFERROR(DATEVALUE(SUBSTITUTE(SUBSTITUTE(Y860,".","-"),"/","-")),IFERROR(Y860*1,""))))</f>
        <v/>
      </c>
      <c r="N860">
        <f>IFERROR(LEFT(B860,FIND(" ",B860)-1),B860)</f>
        <v/>
      </c>
      <c r="O860">
        <f>AND(B860&lt;&gt;"",B860&lt;&gt;설정!$B$4,C860&lt;&gt;설정!$B$5)</f>
        <v/>
      </c>
      <c r="P860">
        <f>IF(O860,B860&amp;"|"&amp;C860,"")</f>
        <v/>
      </c>
      <c r="Q860">
        <f>AND(O860,COUNTIF(P861:P$1002,P860)=0)</f>
        <v/>
      </c>
      <c r="R860">
        <f>OR(AND(설정!$A$42&lt;&gt;"",ISNUMBER(SEARCH(설정!$A$42,E860&amp;" "&amp;C860))),AND(설정!$A$43&lt;&gt;"",ISNUMBER(SEARCH(설정!$A$43,E860&amp;" "&amp;C860))),AND(설정!$A$44&lt;&gt;"",ISNUMBER(SEARCH(설정!$A$44,E860&amp;" "&amp;C860))),AND(설정!$A$45&lt;&gt;"",ISNUMBER(SEARCH(설정!$A$45,E860&amp;" "&amp;C860))),AND(설정!$A$46&lt;&gt;"",ISNUMBER(SEARCH(설정!$A$46,E860&amp;" "&amp;C860))),AND(설정!$A$47&lt;&gt;"",ISNUMBER(SEARCH(설정!$A$47,E860&amp;" "&amp;C860))),AND(설정!$A$48&lt;&gt;"",ISNUMBER(SEARCH(설정!$A$48,E860&amp;" "&amp;C860))),AND(설정!$A$49&lt;&gt;"",ISNUMBER(SEARCH(설정!$A$49,E860&amp;" "&amp;C860))),AND(설정!$A$50&lt;&gt;"",ISNUMBER(SEARCH(설정!$A$50,E860&amp;" "&amp;C860))),AND(설정!$A$51&lt;&gt;"",ISNUMBER(SEARCH(설정!$A$51,E860&amp;" "&amp;C860))))</f>
        <v/>
      </c>
      <c r="S860">
        <f>OR(D860="",D860&gt;=설정!$B$19)</f>
        <v/>
      </c>
      <c r="T860">
        <f>AND(Q860,R860,S860)</f>
        <v/>
      </c>
      <c r="U860">
        <f>IF(T860,IF(AND(설정!$A$54&lt;&gt;"",ISNUMBER(SEARCH(설정!$A$54,K860))),설정!$B$54,IF(AND(설정!$A$55&lt;&gt;"",ISNUMBER(SEARCH(설정!$A$55,K860))),설정!$B$55,IF(AND(설정!$A$56&lt;&gt;"",ISNUMBER(SEARCH(설정!$A$56,K860))),설정!$B$56,IF(AND(설정!$A$57&lt;&gt;"",ISNUMBER(SEARCH(설정!$A$57,K860))),설정!$B$57,IF(AND(설정!$A$58&lt;&gt;"",ISNUMBER(SEARCH(설정!$A$58,K860))),설정!$B$58,IF(AND(설정!$A$59&lt;&gt;"",ISNUMBER(SEARCH(설정!$A$59,K860))),설정!$B$59,IF(AND(설정!$A$60&lt;&gt;"",ISNUMBER(SEARCH(설정!$A$60,K860))),설정!$B$60,IF(AND(설정!$A$61&lt;&gt;"",ISNUMBER(SEARCH(설정!$A$61,K860))),설정!$B$61,IF(M860="","설계사","시공사"))))))))),"")</f>
        <v/>
      </c>
      <c r="V860">
        <f>SUBSTITUTE(SUBSTITUTE(SUBSTITUTE(SUBSTITUTE(G860,"(주)",""),"㈜",""),"주식회사","")," ","")</f>
        <v/>
      </c>
      <c r="W860">
        <f>IF(AND(T860,V860&lt;&gt;""),IF(COUNTIFS(V$2:V860,V860,T$2:T860,TRUE)=1,MAX(W$1:W859)+1,""),"")</f>
        <v/>
      </c>
      <c r="X860">
        <f>IF(설정!$C$14="","",IFERROR(INDEX('1.산군_붙여넣기'!$A$1:$AZ$1001,ROW(),설정!$C$14)&amp;"",""))</f>
        <v/>
      </c>
      <c r="Y860">
        <f>IF(설정!$C$15="","",IFERROR(INDEX('1.산군_붙여넣기'!$A$1:$AZ$1001,ROW(),설정!$C$15)&amp;"",""))</f>
        <v/>
      </c>
      <c r="Z860">
        <f>IF(T860,V860&amp;"|"&amp;U860,"")</f>
        <v/>
      </c>
      <c r="AA860">
        <f>IF(NOT(Q860),"",IF(NOT(AND(R860,S860)),"✕",IF(OR(OR(AND(L860&lt;&gt;"",M860&lt;&gt;"",N(M860)-N(L860)&gt;설정!$B$27),AND(L860&lt;&gt;"",M860="",설정!$B$24-N(L860)&gt;설정!$B$27)),AND(D860&lt;&gt;"",D860&lt;설정!$B$26)),"△","★")))</f>
        <v/>
      </c>
      <c r="AB860">
        <f>IF(NOT(T860),"",IF(U860="설계사",설정!$B$31,IF(U860="시공사",IF(OR(M860="",설정!$B$24-N(M860)&lt;=설정!$B$28*30.4),설정!$B$32,설정!$B$33),설정!$B$34))+IF(AA860="★",설정!$B$35,0))</f>
        <v/>
      </c>
      <c r="AC860">
        <f>SUBSTITUTE(SUBSTITUTE(SUBSTITUTE(SUBSTITUTE(H860,"(주)",""),"㈜",""),"주식회사","")," ","")</f>
        <v/>
      </c>
      <c r="AD860">
        <f>IF(AND(T860,AC860&lt;&gt;""),IF(COUNTIFS(AC$2:AC860,AC860,T$2:T860,TRUE)=1,MAX(AD$1:AD859)+1,""),"")</f>
        <v/>
      </c>
    </row>
    <row r="861">
      <c r="A861">
        <f>ROW()</f>
        <v/>
      </c>
      <c r="B861">
        <f>IF(설정!$C$4="","",IFERROR(INDEX('1.산군_붙여넣기'!$A$1:$AZ$1001,ROW(),설정!$C$4)&amp;"",""))</f>
        <v/>
      </c>
      <c r="C861">
        <f>IF(설정!$C$5="","",IFERROR(INDEX('1.산군_붙여넣기'!$A$1:$AZ$1001,ROW(),설정!$C$5)&amp;"",""))</f>
        <v/>
      </c>
      <c r="D861" s="5">
        <f>IFERROR(VALUE(SUBSTITUTE(SUBSTITUTE(SUBSTITUTE(IF(설정!$C$6="","",IFERROR(INDEX('1.산군_붙여넣기'!$A$1:$AZ$1001,ROW(),설정!$C$6)&amp;"","")),",",""),"㎡",""),"m2","")),"")</f>
        <v/>
      </c>
      <c r="E861">
        <f>IF(설정!$C$7="","",IFERROR(INDEX('1.산군_붙여넣기'!$A$1:$AZ$1001,ROW(),설정!$C$7)&amp;"",""))</f>
        <v/>
      </c>
      <c r="F861">
        <f>IF(설정!$C$8="","",IFERROR(INDEX('1.산군_붙여넣기'!$A$1:$AZ$1001,ROW(),설정!$C$8)&amp;"",""))</f>
        <v/>
      </c>
      <c r="G861">
        <f>IF(설정!$C$9="","",IFERROR(INDEX('1.산군_붙여넣기'!$A$1:$AZ$1001,ROW(),설정!$C$9)&amp;"",""))</f>
        <v/>
      </c>
      <c r="H861">
        <f>IF(설정!$C$10="","",IFERROR(INDEX('1.산군_붙여넣기'!$A$1:$AZ$1001,ROW(),설정!$C$10)&amp;"",""))</f>
        <v/>
      </c>
      <c r="I861">
        <f>IF(설정!$C$11="","",IFERROR(INDEX('1.산군_붙여넣기'!$A$1:$AZ$1001,ROW(),설정!$C$11)&amp;"",""))</f>
        <v/>
      </c>
      <c r="J861">
        <f>IF(설정!$C$12="","",IFERROR(INDEX('1.산군_붙여넣기'!$A$1:$AZ$1001,ROW(),설정!$C$12)&amp;"",""))</f>
        <v/>
      </c>
      <c r="K861">
        <f>IF(설정!$C$13="","",IFERROR(INDEX('1.산군_붙여넣기'!$A$1:$AZ$1001,ROW(),설정!$C$13)&amp;"",""))</f>
        <v/>
      </c>
      <c r="L861" s="7">
        <f>IF(X861="","",IF(AND(LEN(X861)=8,ISNUMBER(X861*1)),DATE(LEFT(X861,4),MID(X861,5,2),RIGHT(X861,2)),IFERROR(DATEVALUE(SUBSTITUTE(SUBSTITUTE(X861,".","-"),"/","-")),IFERROR(X861*1,""))))</f>
        <v/>
      </c>
      <c r="M861" s="7">
        <f>IF(Y861="","",IF(AND(LEN(Y861)=8,ISNUMBER(Y861*1)),DATE(LEFT(Y861,4),MID(Y861,5,2),RIGHT(Y861,2)),IFERROR(DATEVALUE(SUBSTITUTE(SUBSTITUTE(Y861,".","-"),"/","-")),IFERROR(Y861*1,""))))</f>
        <v/>
      </c>
      <c r="N861">
        <f>IFERROR(LEFT(B861,FIND(" ",B861)-1),B861)</f>
        <v/>
      </c>
      <c r="O861">
        <f>AND(B861&lt;&gt;"",B861&lt;&gt;설정!$B$4,C861&lt;&gt;설정!$B$5)</f>
        <v/>
      </c>
      <c r="P861">
        <f>IF(O861,B861&amp;"|"&amp;C861,"")</f>
        <v/>
      </c>
      <c r="Q861">
        <f>AND(O861,COUNTIF(P862:P$1002,P861)=0)</f>
        <v/>
      </c>
      <c r="R861">
        <f>OR(AND(설정!$A$42&lt;&gt;"",ISNUMBER(SEARCH(설정!$A$42,E861&amp;" "&amp;C861))),AND(설정!$A$43&lt;&gt;"",ISNUMBER(SEARCH(설정!$A$43,E861&amp;" "&amp;C861))),AND(설정!$A$44&lt;&gt;"",ISNUMBER(SEARCH(설정!$A$44,E861&amp;" "&amp;C861))),AND(설정!$A$45&lt;&gt;"",ISNUMBER(SEARCH(설정!$A$45,E861&amp;" "&amp;C861))),AND(설정!$A$46&lt;&gt;"",ISNUMBER(SEARCH(설정!$A$46,E861&amp;" "&amp;C861))),AND(설정!$A$47&lt;&gt;"",ISNUMBER(SEARCH(설정!$A$47,E861&amp;" "&amp;C861))),AND(설정!$A$48&lt;&gt;"",ISNUMBER(SEARCH(설정!$A$48,E861&amp;" "&amp;C861))),AND(설정!$A$49&lt;&gt;"",ISNUMBER(SEARCH(설정!$A$49,E861&amp;" "&amp;C861))),AND(설정!$A$50&lt;&gt;"",ISNUMBER(SEARCH(설정!$A$50,E861&amp;" "&amp;C861))),AND(설정!$A$51&lt;&gt;"",ISNUMBER(SEARCH(설정!$A$51,E861&amp;" "&amp;C861))))</f>
        <v/>
      </c>
      <c r="S861">
        <f>OR(D861="",D861&gt;=설정!$B$19)</f>
        <v/>
      </c>
      <c r="T861">
        <f>AND(Q861,R861,S861)</f>
        <v/>
      </c>
      <c r="U861">
        <f>IF(T861,IF(AND(설정!$A$54&lt;&gt;"",ISNUMBER(SEARCH(설정!$A$54,K861))),설정!$B$54,IF(AND(설정!$A$55&lt;&gt;"",ISNUMBER(SEARCH(설정!$A$55,K861))),설정!$B$55,IF(AND(설정!$A$56&lt;&gt;"",ISNUMBER(SEARCH(설정!$A$56,K861))),설정!$B$56,IF(AND(설정!$A$57&lt;&gt;"",ISNUMBER(SEARCH(설정!$A$57,K861))),설정!$B$57,IF(AND(설정!$A$58&lt;&gt;"",ISNUMBER(SEARCH(설정!$A$58,K861))),설정!$B$58,IF(AND(설정!$A$59&lt;&gt;"",ISNUMBER(SEARCH(설정!$A$59,K861))),설정!$B$59,IF(AND(설정!$A$60&lt;&gt;"",ISNUMBER(SEARCH(설정!$A$60,K861))),설정!$B$60,IF(AND(설정!$A$61&lt;&gt;"",ISNUMBER(SEARCH(설정!$A$61,K861))),설정!$B$61,IF(M861="","설계사","시공사"))))))))),"")</f>
        <v/>
      </c>
      <c r="V861">
        <f>SUBSTITUTE(SUBSTITUTE(SUBSTITUTE(SUBSTITUTE(G861,"(주)",""),"㈜",""),"주식회사","")," ","")</f>
        <v/>
      </c>
      <c r="W861">
        <f>IF(AND(T861,V861&lt;&gt;""),IF(COUNTIFS(V$2:V861,V861,T$2:T861,TRUE)=1,MAX(W$1:W860)+1,""),"")</f>
        <v/>
      </c>
      <c r="X861">
        <f>IF(설정!$C$14="","",IFERROR(INDEX('1.산군_붙여넣기'!$A$1:$AZ$1001,ROW(),설정!$C$14)&amp;"",""))</f>
        <v/>
      </c>
      <c r="Y861">
        <f>IF(설정!$C$15="","",IFERROR(INDEX('1.산군_붙여넣기'!$A$1:$AZ$1001,ROW(),설정!$C$15)&amp;"",""))</f>
        <v/>
      </c>
      <c r="Z861">
        <f>IF(T861,V861&amp;"|"&amp;U861,"")</f>
        <v/>
      </c>
      <c r="AA861">
        <f>IF(NOT(Q861),"",IF(NOT(AND(R861,S861)),"✕",IF(OR(OR(AND(L861&lt;&gt;"",M861&lt;&gt;"",N(M861)-N(L861)&gt;설정!$B$27),AND(L861&lt;&gt;"",M861="",설정!$B$24-N(L861)&gt;설정!$B$27)),AND(D861&lt;&gt;"",D861&lt;설정!$B$26)),"△","★")))</f>
        <v/>
      </c>
      <c r="AB861">
        <f>IF(NOT(T861),"",IF(U861="설계사",설정!$B$31,IF(U861="시공사",IF(OR(M861="",설정!$B$24-N(M861)&lt;=설정!$B$28*30.4),설정!$B$32,설정!$B$33),설정!$B$34))+IF(AA861="★",설정!$B$35,0))</f>
        <v/>
      </c>
      <c r="AC861">
        <f>SUBSTITUTE(SUBSTITUTE(SUBSTITUTE(SUBSTITUTE(H861,"(주)",""),"㈜",""),"주식회사","")," ","")</f>
        <v/>
      </c>
      <c r="AD861">
        <f>IF(AND(T861,AC861&lt;&gt;""),IF(COUNTIFS(AC$2:AC861,AC861,T$2:T861,TRUE)=1,MAX(AD$1:AD860)+1,""),"")</f>
        <v/>
      </c>
    </row>
    <row r="862">
      <c r="A862">
        <f>ROW()</f>
        <v/>
      </c>
      <c r="B862">
        <f>IF(설정!$C$4="","",IFERROR(INDEX('1.산군_붙여넣기'!$A$1:$AZ$1001,ROW(),설정!$C$4)&amp;"",""))</f>
        <v/>
      </c>
      <c r="C862">
        <f>IF(설정!$C$5="","",IFERROR(INDEX('1.산군_붙여넣기'!$A$1:$AZ$1001,ROW(),설정!$C$5)&amp;"",""))</f>
        <v/>
      </c>
      <c r="D862" s="5">
        <f>IFERROR(VALUE(SUBSTITUTE(SUBSTITUTE(SUBSTITUTE(IF(설정!$C$6="","",IFERROR(INDEX('1.산군_붙여넣기'!$A$1:$AZ$1001,ROW(),설정!$C$6)&amp;"","")),",",""),"㎡",""),"m2","")),"")</f>
        <v/>
      </c>
      <c r="E862">
        <f>IF(설정!$C$7="","",IFERROR(INDEX('1.산군_붙여넣기'!$A$1:$AZ$1001,ROW(),설정!$C$7)&amp;"",""))</f>
        <v/>
      </c>
      <c r="F862">
        <f>IF(설정!$C$8="","",IFERROR(INDEX('1.산군_붙여넣기'!$A$1:$AZ$1001,ROW(),설정!$C$8)&amp;"",""))</f>
        <v/>
      </c>
      <c r="G862">
        <f>IF(설정!$C$9="","",IFERROR(INDEX('1.산군_붙여넣기'!$A$1:$AZ$1001,ROW(),설정!$C$9)&amp;"",""))</f>
        <v/>
      </c>
      <c r="H862">
        <f>IF(설정!$C$10="","",IFERROR(INDEX('1.산군_붙여넣기'!$A$1:$AZ$1001,ROW(),설정!$C$10)&amp;"",""))</f>
        <v/>
      </c>
      <c r="I862">
        <f>IF(설정!$C$11="","",IFERROR(INDEX('1.산군_붙여넣기'!$A$1:$AZ$1001,ROW(),설정!$C$11)&amp;"",""))</f>
        <v/>
      </c>
      <c r="J862">
        <f>IF(설정!$C$12="","",IFERROR(INDEX('1.산군_붙여넣기'!$A$1:$AZ$1001,ROW(),설정!$C$12)&amp;"",""))</f>
        <v/>
      </c>
      <c r="K862">
        <f>IF(설정!$C$13="","",IFERROR(INDEX('1.산군_붙여넣기'!$A$1:$AZ$1001,ROW(),설정!$C$13)&amp;"",""))</f>
        <v/>
      </c>
      <c r="L862" s="7">
        <f>IF(X862="","",IF(AND(LEN(X862)=8,ISNUMBER(X862*1)),DATE(LEFT(X862,4),MID(X862,5,2),RIGHT(X862,2)),IFERROR(DATEVALUE(SUBSTITUTE(SUBSTITUTE(X862,".","-"),"/","-")),IFERROR(X862*1,""))))</f>
        <v/>
      </c>
      <c r="M862" s="7">
        <f>IF(Y862="","",IF(AND(LEN(Y862)=8,ISNUMBER(Y862*1)),DATE(LEFT(Y862,4),MID(Y862,5,2),RIGHT(Y862,2)),IFERROR(DATEVALUE(SUBSTITUTE(SUBSTITUTE(Y862,".","-"),"/","-")),IFERROR(Y862*1,""))))</f>
        <v/>
      </c>
      <c r="N862">
        <f>IFERROR(LEFT(B862,FIND(" ",B862)-1),B862)</f>
        <v/>
      </c>
      <c r="O862">
        <f>AND(B862&lt;&gt;"",B862&lt;&gt;설정!$B$4,C862&lt;&gt;설정!$B$5)</f>
        <v/>
      </c>
      <c r="P862">
        <f>IF(O862,B862&amp;"|"&amp;C862,"")</f>
        <v/>
      </c>
      <c r="Q862">
        <f>AND(O862,COUNTIF(P863:P$1002,P862)=0)</f>
        <v/>
      </c>
      <c r="R862">
        <f>OR(AND(설정!$A$42&lt;&gt;"",ISNUMBER(SEARCH(설정!$A$42,E862&amp;" "&amp;C862))),AND(설정!$A$43&lt;&gt;"",ISNUMBER(SEARCH(설정!$A$43,E862&amp;" "&amp;C862))),AND(설정!$A$44&lt;&gt;"",ISNUMBER(SEARCH(설정!$A$44,E862&amp;" "&amp;C862))),AND(설정!$A$45&lt;&gt;"",ISNUMBER(SEARCH(설정!$A$45,E862&amp;" "&amp;C862))),AND(설정!$A$46&lt;&gt;"",ISNUMBER(SEARCH(설정!$A$46,E862&amp;" "&amp;C862))),AND(설정!$A$47&lt;&gt;"",ISNUMBER(SEARCH(설정!$A$47,E862&amp;" "&amp;C862))),AND(설정!$A$48&lt;&gt;"",ISNUMBER(SEARCH(설정!$A$48,E862&amp;" "&amp;C862))),AND(설정!$A$49&lt;&gt;"",ISNUMBER(SEARCH(설정!$A$49,E862&amp;" "&amp;C862))),AND(설정!$A$50&lt;&gt;"",ISNUMBER(SEARCH(설정!$A$50,E862&amp;" "&amp;C862))),AND(설정!$A$51&lt;&gt;"",ISNUMBER(SEARCH(설정!$A$51,E862&amp;" "&amp;C862))))</f>
        <v/>
      </c>
      <c r="S862">
        <f>OR(D862="",D862&gt;=설정!$B$19)</f>
        <v/>
      </c>
      <c r="T862">
        <f>AND(Q862,R862,S862)</f>
        <v/>
      </c>
      <c r="U862">
        <f>IF(T862,IF(AND(설정!$A$54&lt;&gt;"",ISNUMBER(SEARCH(설정!$A$54,K862))),설정!$B$54,IF(AND(설정!$A$55&lt;&gt;"",ISNUMBER(SEARCH(설정!$A$55,K862))),설정!$B$55,IF(AND(설정!$A$56&lt;&gt;"",ISNUMBER(SEARCH(설정!$A$56,K862))),설정!$B$56,IF(AND(설정!$A$57&lt;&gt;"",ISNUMBER(SEARCH(설정!$A$57,K862))),설정!$B$57,IF(AND(설정!$A$58&lt;&gt;"",ISNUMBER(SEARCH(설정!$A$58,K862))),설정!$B$58,IF(AND(설정!$A$59&lt;&gt;"",ISNUMBER(SEARCH(설정!$A$59,K862))),설정!$B$59,IF(AND(설정!$A$60&lt;&gt;"",ISNUMBER(SEARCH(설정!$A$60,K862))),설정!$B$60,IF(AND(설정!$A$61&lt;&gt;"",ISNUMBER(SEARCH(설정!$A$61,K862))),설정!$B$61,IF(M862="","설계사","시공사"))))))))),"")</f>
        <v/>
      </c>
      <c r="V862">
        <f>SUBSTITUTE(SUBSTITUTE(SUBSTITUTE(SUBSTITUTE(G862,"(주)",""),"㈜",""),"주식회사","")," ","")</f>
        <v/>
      </c>
      <c r="W862">
        <f>IF(AND(T862,V862&lt;&gt;""),IF(COUNTIFS(V$2:V862,V862,T$2:T862,TRUE)=1,MAX(W$1:W861)+1,""),"")</f>
        <v/>
      </c>
      <c r="X862">
        <f>IF(설정!$C$14="","",IFERROR(INDEX('1.산군_붙여넣기'!$A$1:$AZ$1001,ROW(),설정!$C$14)&amp;"",""))</f>
        <v/>
      </c>
      <c r="Y862">
        <f>IF(설정!$C$15="","",IFERROR(INDEX('1.산군_붙여넣기'!$A$1:$AZ$1001,ROW(),설정!$C$15)&amp;"",""))</f>
        <v/>
      </c>
      <c r="Z862">
        <f>IF(T862,V862&amp;"|"&amp;U862,"")</f>
        <v/>
      </c>
      <c r="AA862">
        <f>IF(NOT(Q862),"",IF(NOT(AND(R862,S862)),"✕",IF(OR(OR(AND(L862&lt;&gt;"",M862&lt;&gt;"",N(M862)-N(L862)&gt;설정!$B$27),AND(L862&lt;&gt;"",M862="",설정!$B$24-N(L862)&gt;설정!$B$27)),AND(D862&lt;&gt;"",D862&lt;설정!$B$26)),"△","★")))</f>
        <v/>
      </c>
      <c r="AB862">
        <f>IF(NOT(T862),"",IF(U862="설계사",설정!$B$31,IF(U862="시공사",IF(OR(M862="",설정!$B$24-N(M862)&lt;=설정!$B$28*30.4),설정!$B$32,설정!$B$33),설정!$B$34))+IF(AA862="★",설정!$B$35,0))</f>
        <v/>
      </c>
      <c r="AC862">
        <f>SUBSTITUTE(SUBSTITUTE(SUBSTITUTE(SUBSTITUTE(H862,"(주)",""),"㈜",""),"주식회사","")," ","")</f>
        <v/>
      </c>
      <c r="AD862">
        <f>IF(AND(T862,AC862&lt;&gt;""),IF(COUNTIFS(AC$2:AC862,AC862,T$2:T862,TRUE)=1,MAX(AD$1:AD861)+1,""),"")</f>
        <v/>
      </c>
    </row>
    <row r="863">
      <c r="A863">
        <f>ROW()</f>
        <v/>
      </c>
      <c r="B863">
        <f>IF(설정!$C$4="","",IFERROR(INDEX('1.산군_붙여넣기'!$A$1:$AZ$1001,ROW(),설정!$C$4)&amp;"",""))</f>
        <v/>
      </c>
      <c r="C863">
        <f>IF(설정!$C$5="","",IFERROR(INDEX('1.산군_붙여넣기'!$A$1:$AZ$1001,ROW(),설정!$C$5)&amp;"",""))</f>
        <v/>
      </c>
      <c r="D863" s="5">
        <f>IFERROR(VALUE(SUBSTITUTE(SUBSTITUTE(SUBSTITUTE(IF(설정!$C$6="","",IFERROR(INDEX('1.산군_붙여넣기'!$A$1:$AZ$1001,ROW(),설정!$C$6)&amp;"","")),",",""),"㎡",""),"m2","")),"")</f>
        <v/>
      </c>
      <c r="E863">
        <f>IF(설정!$C$7="","",IFERROR(INDEX('1.산군_붙여넣기'!$A$1:$AZ$1001,ROW(),설정!$C$7)&amp;"",""))</f>
        <v/>
      </c>
      <c r="F863">
        <f>IF(설정!$C$8="","",IFERROR(INDEX('1.산군_붙여넣기'!$A$1:$AZ$1001,ROW(),설정!$C$8)&amp;"",""))</f>
        <v/>
      </c>
      <c r="G863">
        <f>IF(설정!$C$9="","",IFERROR(INDEX('1.산군_붙여넣기'!$A$1:$AZ$1001,ROW(),설정!$C$9)&amp;"",""))</f>
        <v/>
      </c>
      <c r="H863">
        <f>IF(설정!$C$10="","",IFERROR(INDEX('1.산군_붙여넣기'!$A$1:$AZ$1001,ROW(),설정!$C$10)&amp;"",""))</f>
        <v/>
      </c>
      <c r="I863">
        <f>IF(설정!$C$11="","",IFERROR(INDEX('1.산군_붙여넣기'!$A$1:$AZ$1001,ROW(),설정!$C$11)&amp;"",""))</f>
        <v/>
      </c>
      <c r="J863">
        <f>IF(설정!$C$12="","",IFERROR(INDEX('1.산군_붙여넣기'!$A$1:$AZ$1001,ROW(),설정!$C$12)&amp;"",""))</f>
        <v/>
      </c>
      <c r="K863">
        <f>IF(설정!$C$13="","",IFERROR(INDEX('1.산군_붙여넣기'!$A$1:$AZ$1001,ROW(),설정!$C$13)&amp;"",""))</f>
        <v/>
      </c>
      <c r="L863" s="7">
        <f>IF(X863="","",IF(AND(LEN(X863)=8,ISNUMBER(X863*1)),DATE(LEFT(X863,4),MID(X863,5,2),RIGHT(X863,2)),IFERROR(DATEVALUE(SUBSTITUTE(SUBSTITUTE(X863,".","-"),"/","-")),IFERROR(X863*1,""))))</f>
        <v/>
      </c>
      <c r="M863" s="7">
        <f>IF(Y863="","",IF(AND(LEN(Y863)=8,ISNUMBER(Y863*1)),DATE(LEFT(Y863,4),MID(Y863,5,2),RIGHT(Y863,2)),IFERROR(DATEVALUE(SUBSTITUTE(SUBSTITUTE(Y863,".","-"),"/","-")),IFERROR(Y863*1,""))))</f>
        <v/>
      </c>
      <c r="N863">
        <f>IFERROR(LEFT(B863,FIND(" ",B863)-1),B863)</f>
        <v/>
      </c>
      <c r="O863">
        <f>AND(B863&lt;&gt;"",B863&lt;&gt;설정!$B$4,C863&lt;&gt;설정!$B$5)</f>
        <v/>
      </c>
      <c r="P863">
        <f>IF(O863,B863&amp;"|"&amp;C863,"")</f>
        <v/>
      </c>
      <c r="Q863">
        <f>AND(O863,COUNTIF(P864:P$1002,P863)=0)</f>
        <v/>
      </c>
      <c r="R863">
        <f>OR(AND(설정!$A$42&lt;&gt;"",ISNUMBER(SEARCH(설정!$A$42,E863&amp;" "&amp;C863))),AND(설정!$A$43&lt;&gt;"",ISNUMBER(SEARCH(설정!$A$43,E863&amp;" "&amp;C863))),AND(설정!$A$44&lt;&gt;"",ISNUMBER(SEARCH(설정!$A$44,E863&amp;" "&amp;C863))),AND(설정!$A$45&lt;&gt;"",ISNUMBER(SEARCH(설정!$A$45,E863&amp;" "&amp;C863))),AND(설정!$A$46&lt;&gt;"",ISNUMBER(SEARCH(설정!$A$46,E863&amp;" "&amp;C863))),AND(설정!$A$47&lt;&gt;"",ISNUMBER(SEARCH(설정!$A$47,E863&amp;" "&amp;C863))),AND(설정!$A$48&lt;&gt;"",ISNUMBER(SEARCH(설정!$A$48,E863&amp;" "&amp;C863))),AND(설정!$A$49&lt;&gt;"",ISNUMBER(SEARCH(설정!$A$49,E863&amp;" "&amp;C863))),AND(설정!$A$50&lt;&gt;"",ISNUMBER(SEARCH(설정!$A$50,E863&amp;" "&amp;C863))),AND(설정!$A$51&lt;&gt;"",ISNUMBER(SEARCH(설정!$A$51,E863&amp;" "&amp;C863))))</f>
        <v/>
      </c>
      <c r="S863">
        <f>OR(D863="",D863&gt;=설정!$B$19)</f>
        <v/>
      </c>
      <c r="T863">
        <f>AND(Q863,R863,S863)</f>
        <v/>
      </c>
      <c r="U863">
        <f>IF(T863,IF(AND(설정!$A$54&lt;&gt;"",ISNUMBER(SEARCH(설정!$A$54,K863))),설정!$B$54,IF(AND(설정!$A$55&lt;&gt;"",ISNUMBER(SEARCH(설정!$A$55,K863))),설정!$B$55,IF(AND(설정!$A$56&lt;&gt;"",ISNUMBER(SEARCH(설정!$A$56,K863))),설정!$B$56,IF(AND(설정!$A$57&lt;&gt;"",ISNUMBER(SEARCH(설정!$A$57,K863))),설정!$B$57,IF(AND(설정!$A$58&lt;&gt;"",ISNUMBER(SEARCH(설정!$A$58,K863))),설정!$B$58,IF(AND(설정!$A$59&lt;&gt;"",ISNUMBER(SEARCH(설정!$A$59,K863))),설정!$B$59,IF(AND(설정!$A$60&lt;&gt;"",ISNUMBER(SEARCH(설정!$A$60,K863))),설정!$B$60,IF(AND(설정!$A$61&lt;&gt;"",ISNUMBER(SEARCH(설정!$A$61,K863))),설정!$B$61,IF(M863="","설계사","시공사"))))))))),"")</f>
        <v/>
      </c>
      <c r="V863">
        <f>SUBSTITUTE(SUBSTITUTE(SUBSTITUTE(SUBSTITUTE(G863,"(주)",""),"㈜",""),"주식회사","")," ","")</f>
        <v/>
      </c>
      <c r="W863">
        <f>IF(AND(T863,V863&lt;&gt;""),IF(COUNTIFS(V$2:V863,V863,T$2:T863,TRUE)=1,MAX(W$1:W862)+1,""),"")</f>
        <v/>
      </c>
      <c r="X863">
        <f>IF(설정!$C$14="","",IFERROR(INDEX('1.산군_붙여넣기'!$A$1:$AZ$1001,ROW(),설정!$C$14)&amp;"",""))</f>
        <v/>
      </c>
      <c r="Y863">
        <f>IF(설정!$C$15="","",IFERROR(INDEX('1.산군_붙여넣기'!$A$1:$AZ$1001,ROW(),설정!$C$15)&amp;"",""))</f>
        <v/>
      </c>
      <c r="Z863">
        <f>IF(T863,V863&amp;"|"&amp;U863,"")</f>
        <v/>
      </c>
      <c r="AA863">
        <f>IF(NOT(Q863),"",IF(NOT(AND(R863,S863)),"✕",IF(OR(OR(AND(L863&lt;&gt;"",M863&lt;&gt;"",N(M863)-N(L863)&gt;설정!$B$27),AND(L863&lt;&gt;"",M863="",설정!$B$24-N(L863)&gt;설정!$B$27)),AND(D863&lt;&gt;"",D863&lt;설정!$B$26)),"△","★")))</f>
        <v/>
      </c>
      <c r="AB863">
        <f>IF(NOT(T863),"",IF(U863="설계사",설정!$B$31,IF(U863="시공사",IF(OR(M863="",설정!$B$24-N(M863)&lt;=설정!$B$28*30.4),설정!$B$32,설정!$B$33),설정!$B$34))+IF(AA863="★",설정!$B$35,0))</f>
        <v/>
      </c>
      <c r="AC863">
        <f>SUBSTITUTE(SUBSTITUTE(SUBSTITUTE(SUBSTITUTE(H863,"(주)",""),"㈜",""),"주식회사","")," ","")</f>
        <v/>
      </c>
      <c r="AD863">
        <f>IF(AND(T863,AC863&lt;&gt;""),IF(COUNTIFS(AC$2:AC863,AC863,T$2:T863,TRUE)=1,MAX(AD$1:AD862)+1,""),"")</f>
        <v/>
      </c>
    </row>
    <row r="864">
      <c r="A864">
        <f>ROW()</f>
        <v/>
      </c>
      <c r="B864">
        <f>IF(설정!$C$4="","",IFERROR(INDEX('1.산군_붙여넣기'!$A$1:$AZ$1001,ROW(),설정!$C$4)&amp;"",""))</f>
        <v/>
      </c>
      <c r="C864">
        <f>IF(설정!$C$5="","",IFERROR(INDEX('1.산군_붙여넣기'!$A$1:$AZ$1001,ROW(),설정!$C$5)&amp;"",""))</f>
        <v/>
      </c>
      <c r="D864" s="5">
        <f>IFERROR(VALUE(SUBSTITUTE(SUBSTITUTE(SUBSTITUTE(IF(설정!$C$6="","",IFERROR(INDEX('1.산군_붙여넣기'!$A$1:$AZ$1001,ROW(),설정!$C$6)&amp;"","")),",",""),"㎡",""),"m2","")),"")</f>
        <v/>
      </c>
      <c r="E864">
        <f>IF(설정!$C$7="","",IFERROR(INDEX('1.산군_붙여넣기'!$A$1:$AZ$1001,ROW(),설정!$C$7)&amp;"",""))</f>
        <v/>
      </c>
      <c r="F864">
        <f>IF(설정!$C$8="","",IFERROR(INDEX('1.산군_붙여넣기'!$A$1:$AZ$1001,ROW(),설정!$C$8)&amp;"",""))</f>
        <v/>
      </c>
      <c r="G864">
        <f>IF(설정!$C$9="","",IFERROR(INDEX('1.산군_붙여넣기'!$A$1:$AZ$1001,ROW(),설정!$C$9)&amp;"",""))</f>
        <v/>
      </c>
      <c r="H864">
        <f>IF(설정!$C$10="","",IFERROR(INDEX('1.산군_붙여넣기'!$A$1:$AZ$1001,ROW(),설정!$C$10)&amp;"",""))</f>
        <v/>
      </c>
      <c r="I864">
        <f>IF(설정!$C$11="","",IFERROR(INDEX('1.산군_붙여넣기'!$A$1:$AZ$1001,ROW(),설정!$C$11)&amp;"",""))</f>
        <v/>
      </c>
      <c r="J864">
        <f>IF(설정!$C$12="","",IFERROR(INDEX('1.산군_붙여넣기'!$A$1:$AZ$1001,ROW(),설정!$C$12)&amp;"",""))</f>
        <v/>
      </c>
      <c r="K864">
        <f>IF(설정!$C$13="","",IFERROR(INDEX('1.산군_붙여넣기'!$A$1:$AZ$1001,ROW(),설정!$C$13)&amp;"",""))</f>
        <v/>
      </c>
      <c r="L864" s="7">
        <f>IF(X864="","",IF(AND(LEN(X864)=8,ISNUMBER(X864*1)),DATE(LEFT(X864,4),MID(X864,5,2),RIGHT(X864,2)),IFERROR(DATEVALUE(SUBSTITUTE(SUBSTITUTE(X864,".","-"),"/","-")),IFERROR(X864*1,""))))</f>
        <v/>
      </c>
      <c r="M864" s="7">
        <f>IF(Y864="","",IF(AND(LEN(Y864)=8,ISNUMBER(Y864*1)),DATE(LEFT(Y864,4),MID(Y864,5,2),RIGHT(Y864,2)),IFERROR(DATEVALUE(SUBSTITUTE(SUBSTITUTE(Y864,".","-"),"/","-")),IFERROR(Y864*1,""))))</f>
        <v/>
      </c>
      <c r="N864">
        <f>IFERROR(LEFT(B864,FIND(" ",B864)-1),B864)</f>
        <v/>
      </c>
      <c r="O864">
        <f>AND(B864&lt;&gt;"",B864&lt;&gt;설정!$B$4,C864&lt;&gt;설정!$B$5)</f>
        <v/>
      </c>
      <c r="P864">
        <f>IF(O864,B864&amp;"|"&amp;C864,"")</f>
        <v/>
      </c>
      <c r="Q864">
        <f>AND(O864,COUNTIF(P865:P$1002,P864)=0)</f>
        <v/>
      </c>
      <c r="R864">
        <f>OR(AND(설정!$A$42&lt;&gt;"",ISNUMBER(SEARCH(설정!$A$42,E864&amp;" "&amp;C864))),AND(설정!$A$43&lt;&gt;"",ISNUMBER(SEARCH(설정!$A$43,E864&amp;" "&amp;C864))),AND(설정!$A$44&lt;&gt;"",ISNUMBER(SEARCH(설정!$A$44,E864&amp;" "&amp;C864))),AND(설정!$A$45&lt;&gt;"",ISNUMBER(SEARCH(설정!$A$45,E864&amp;" "&amp;C864))),AND(설정!$A$46&lt;&gt;"",ISNUMBER(SEARCH(설정!$A$46,E864&amp;" "&amp;C864))),AND(설정!$A$47&lt;&gt;"",ISNUMBER(SEARCH(설정!$A$47,E864&amp;" "&amp;C864))),AND(설정!$A$48&lt;&gt;"",ISNUMBER(SEARCH(설정!$A$48,E864&amp;" "&amp;C864))),AND(설정!$A$49&lt;&gt;"",ISNUMBER(SEARCH(설정!$A$49,E864&amp;" "&amp;C864))),AND(설정!$A$50&lt;&gt;"",ISNUMBER(SEARCH(설정!$A$50,E864&amp;" "&amp;C864))),AND(설정!$A$51&lt;&gt;"",ISNUMBER(SEARCH(설정!$A$51,E864&amp;" "&amp;C864))))</f>
        <v/>
      </c>
      <c r="S864">
        <f>OR(D864="",D864&gt;=설정!$B$19)</f>
        <v/>
      </c>
      <c r="T864">
        <f>AND(Q864,R864,S864)</f>
        <v/>
      </c>
      <c r="U864">
        <f>IF(T864,IF(AND(설정!$A$54&lt;&gt;"",ISNUMBER(SEARCH(설정!$A$54,K864))),설정!$B$54,IF(AND(설정!$A$55&lt;&gt;"",ISNUMBER(SEARCH(설정!$A$55,K864))),설정!$B$55,IF(AND(설정!$A$56&lt;&gt;"",ISNUMBER(SEARCH(설정!$A$56,K864))),설정!$B$56,IF(AND(설정!$A$57&lt;&gt;"",ISNUMBER(SEARCH(설정!$A$57,K864))),설정!$B$57,IF(AND(설정!$A$58&lt;&gt;"",ISNUMBER(SEARCH(설정!$A$58,K864))),설정!$B$58,IF(AND(설정!$A$59&lt;&gt;"",ISNUMBER(SEARCH(설정!$A$59,K864))),설정!$B$59,IF(AND(설정!$A$60&lt;&gt;"",ISNUMBER(SEARCH(설정!$A$60,K864))),설정!$B$60,IF(AND(설정!$A$61&lt;&gt;"",ISNUMBER(SEARCH(설정!$A$61,K864))),설정!$B$61,IF(M864="","설계사","시공사"))))))))),"")</f>
        <v/>
      </c>
      <c r="V864">
        <f>SUBSTITUTE(SUBSTITUTE(SUBSTITUTE(SUBSTITUTE(G864,"(주)",""),"㈜",""),"주식회사","")," ","")</f>
        <v/>
      </c>
      <c r="W864">
        <f>IF(AND(T864,V864&lt;&gt;""),IF(COUNTIFS(V$2:V864,V864,T$2:T864,TRUE)=1,MAX(W$1:W863)+1,""),"")</f>
        <v/>
      </c>
      <c r="X864">
        <f>IF(설정!$C$14="","",IFERROR(INDEX('1.산군_붙여넣기'!$A$1:$AZ$1001,ROW(),설정!$C$14)&amp;"",""))</f>
        <v/>
      </c>
      <c r="Y864">
        <f>IF(설정!$C$15="","",IFERROR(INDEX('1.산군_붙여넣기'!$A$1:$AZ$1001,ROW(),설정!$C$15)&amp;"",""))</f>
        <v/>
      </c>
      <c r="Z864">
        <f>IF(T864,V864&amp;"|"&amp;U864,"")</f>
        <v/>
      </c>
      <c r="AA864">
        <f>IF(NOT(Q864),"",IF(NOT(AND(R864,S864)),"✕",IF(OR(OR(AND(L864&lt;&gt;"",M864&lt;&gt;"",N(M864)-N(L864)&gt;설정!$B$27),AND(L864&lt;&gt;"",M864="",설정!$B$24-N(L864)&gt;설정!$B$27)),AND(D864&lt;&gt;"",D864&lt;설정!$B$26)),"△","★")))</f>
        <v/>
      </c>
      <c r="AB864">
        <f>IF(NOT(T864),"",IF(U864="설계사",설정!$B$31,IF(U864="시공사",IF(OR(M864="",설정!$B$24-N(M864)&lt;=설정!$B$28*30.4),설정!$B$32,설정!$B$33),설정!$B$34))+IF(AA864="★",설정!$B$35,0))</f>
        <v/>
      </c>
      <c r="AC864">
        <f>SUBSTITUTE(SUBSTITUTE(SUBSTITUTE(SUBSTITUTE(H864,"(주)",""),"㈜",""),"주식회사","")," ","")</f>
        <v/>
      </c>
      <c r="AD864">
        <f>IF(AND(T864,AC864&lt;&gt;""),IF(COUNTIFS(AC$2:AC864,AC864,T$2:T864,TRUE)=1,MAX(AD$1:AD863)+1,""),"")</f>
        <v/>
      </c>
    </row>
    <row r="865">
      <c r="A865">
        <f>ROW()</f>
        <v/>
      </c>
      <c r="B865">
        <f>IF(설정!$C$4="","",IFERROR(INDEX('1.산군_붙여넣기'!$A$1:$AZ$1001,ROW(),설정!$C$4)&amp;"",""))</f>
        <v/>
      </c>
      <c r="C865">
        <f>IF(설정!$C$5="","",IFERROR(INDEX('1.산군_붙여넣기'!$A$1:$AZ$1001,ROW(),설정!$C$5)&amp;"",""))</f>
        <v/>
      </c>
      <c r="D865" s="5">
        <f>IFERROR(VALUE(SUBSTITUTE(SUBSTITUTE(SUBSTITUTE(IF(설정!$C$6="","",IFERROR(INDEX('1.산군_붙여넣기'!$A$1:$AZ$1001,ROW(),설정!$C$6)&amp;"","")),",",""),"㎡",""),"m2","")),"")</f>
        <v/>
      </c>
      <c r="E865">
        <f>IF(설정!$C$7="","",IFERROR(INDEX('1.산군_붙여넣기'!$A$1:$AZ$1001,ROW(),설정!$C$7)&amp;"",""))</f>
        <v/>
      </c>
      <c r="F865">
        <f>IF(설정!$C$8="","",IFERROR(INDEX('1.산군_붙여넣기'!$A$1:$AZ$1001,ROW(),설정!$C$8)&amp;"",""))</f>
        <v/>
      </c>
      <c r="G865">
        <f>IF(설정!$C$9="","",IFERROR(INDEX('1.산군_붙여넣기'!$A$1:$AZ$1001,ROW(),설정!$C$9)&amp;"",""))</f>
        <v/>
      </c>
      <c r="H865">
        <f>IF(설정!$C$10="","",IFERROR(INDEX('1.산군_붙여넣기'!$A$1:$AZ$1001,ROW(),설정!$C$10)&amp;"",""))</f>
        <v/>
      </c>
      <c r="I865">
        <f>IF(설정!$C$11="","",IFERROR(INDEX('1.산군_붙여넣기'!$A$1:$AZ$1001,ROW(),설정!$C$11)&amp;"",""))</f>
        <v/>
      </c>
      <c r="J865">
        <f>IF(설정!$C$12="","",IFERROR(INDEX('1.산군_붙여넣기'!$A$1:$AZ$1001,ROW(),설정!$C$12)&amp;"",""))</f>
        <v/>
      </c>
      <c r="K865">
        <f>IF(설정!$C$13="","",IFERROR(INDEX('1.산군_붙여넣기'!$A$1:$AZ$1001,ROW(),설정!$C$13)&amp;"",""))</f>
        <v/>
      </c>
      <c r="L865" s="7">
        <f>IF(X865="","",IF(AND(LEN(X865)=8,ISNUMBER(X865*1)),DATE(LEFT(X865,4),MID(X865,5,2),RIGHT(X865,2)),IFERROR(DATEVALUE(SUBSTITUTE(SUBSTITUTE(X865,".","-"),"/","-")),IFERROR(X865*1,""))))</f>
        <v/>
      </c>
      <c r="M865" s="7">
        <f>IF(Y865="","",IF(AND(LEN(Y865)=8,ISNUMBER(Y865*1)),DATE(LEFT(Y865,4),MID(Y865,5,2),RIGHT(Y865,2)),IFERROR(DATEVALUE(SUBSTITUTE(SUBSTITUTE(Y865,".","-"),"/","-")),IFERROR(Y865*1,""))))</f>
        <v/>
      </c>
      <c r="N865">
        <f>IFERROR(LEFT(B865,FIND(" ",B865)-1),B865)</f>
        <v/>
      </c>
      <c r="O865">
        <f>AND(B865&lt;&gt;"",B865&lt;&gt;설정!$B$4,C865&lt;&gt;설정!$B$5)</f>
        <v/>
      </c>
      <c r="P865">
        <f>IF(O865,B865&amp;"|"&amp;C865,"")</f>
        <v/>
      </c>
      <c r="Q865">
        <f>AND(O865,COUNTIF(P866:P$1002,P865)=0)</f>
        <v/>
      </c>
      <c r="R865">
        <f>OR(AND(설정!$A$42&lt;&gt;"",ISNUMBER(SEARCH(설정!$A$42,E865&amp;" "&amp;C865))),AND(설정!$A$43&lt;&gt;"",ISNUMBER(SEARCH(설정!$A$43,E865&amp;" "&amp;C865))),AND(설정!$A$44&lt;&gt;"",ISNUMBER(SEARCH(설정!$A$44,E865&amp;" "&amp;C865))),AND(설정!$A$45&lt;&gt;"",ISNUMBER(SEARCH(설정!$A$45,E865&amp;" "&amp;C865))),AND(설정!$A$46&lt;&gt;"",ISNUMBER(SEARCH(설정!$A$46,E865&amp;" "&amp;C865))),AND(설정!$A$47&lt;&gt;"",ISNUMBER(SEARCH(설정!$A$47,E865&amp;" "&amp;C865))),AND(설정!$A$48&lt;&gt;"",ISNUMBER(SEARCH(설정!$A$48,E865&amp;" "&amp;C865))),AND(설정!$A$49&lt;&gt;"",ISNUMBER(SEARCH(설정!$A$49,E865&amp;" "&amp;C865))),AND(설정!$A$50&lt;&gt;"",ISNUMBER(SEARCH(설정!$A$50,E865&amp;" "&amp;C865))),AND(설정!$A$51&lt;&gt;"",ISNUMBER(SEARCH(설정!$A$51,E865&amp;" "&amp;C865))))</f>
        <v/>
      </c>
      <c r="S865">
        <f>OR(D865="",D865&gt;=설정!$B$19)</f>
        <v/>
      </c>
      <c r="T865">
        <f>AND(Q865,R865,S865)</f>
        <v/>
      </c>
      <c r="U865">
        <f>IF(T865,IF(AND(설정!$A$54&lt;&gt;"",ISNUMBER(SEARCH(설정!$A$54,K865))),설정!$B$54,IF(AND(설정!$A$55&lt;&gt;"",ISNUMBER(SEARCH(설정!$A$55,K865))),설정!$B$55,IF(AND(설정!$A$56&lt;&gt;"",ISNUMBER(SEARCH(설정!$A$56,K865))),설정!$B$56,IF(AND(설정!$A$57&lt;&gt;"",ISNUMBER(SEARCH(설정!$A$57,K865))),설정!$B$57,IF(AND(설정!$A$58&lt;&gt;"",ISNUMBER(SEARCH(설정!$A$58,K865))),설정!$B$58,IF(AND(설정!$A$59&lt;&gt;"",ISNUMBER(SEARCH(설정!$A$59,K865))),설정!$B$59,IF(AND(설정!$A$60&lt;&gt;"",ISNUMBER(SEARCH(설정!$A$60,K865))),설정!$B$60,IF(AND(설정!$A$61&lt;&gt;"",ISNUMBER(SEARCH(설정!$A$61,K865))),설정!$B$61,IF(M865="","설계사","시공사"))))))))),"")</f>
        <v/>
      </c>
      <c r="V865">
        <f>SUBSTITUTE(SUBSTITUTE(SUBSTITUTE(SUBSTITUTE(G865,"(주)",""),"㈜",""),"주식회사","")," ","")</f>
        <v/>
      </c>
      <c r="W865">
        <f>IF(AND(T865,V865&lt;&gt;""),IF(COUNTIFS(V$2:V865,V865,T$2:T865,TRUE)=1,MAX(W$1:W864)+1,""),"")</f>
        <v/>
      </c>
      <c r="X865">
        <f>IF(설정!$C$14="","",IFERROR(INDEX('1.산군_붙여넣기'!$A$1:$AZ$1001,ROW(),설정!$C$14)&amp;"",""))</f>
        <v/>
      </c>
      <c r="Y865">
        <f>IF(설정!$C$15="","",IFERROR(INDEX('1.산군_붙여넣기'!$A$1:$AZ$1001,ROW(),설정!$C$15)&amp;"",""))</f>
        <v/>
      </c>
      <c r="Z865">
        <f>IF(T865,V865&amp;"|"&amp;U865,"")</f>
        <v/>
      </c>
      <c r="AA865">
        <f>IF(NOT(Q865),"",IF(NOT(AND(R865,S865)),"✕",IF(OR(OR(AND(L865&lt;&gt;"",M865&lt;&gt;"",N(M865)-N(L865)&gt;설정!$B$27),AND(L865&lt;&gt;"",M865="",설정!$B$24-N(L865)&gt;설정!$B$27)),AND(D865&lt;&gt;"",D865&lt;설정!$B$26)),"△","★")))</f>
        <v/>
      </c>
      <c r="AB865">
        <f>IF(NOT(T865),"",IF(U865="설계사",설정!$B$31,IF(U865="시공사",IF(OR(M865="",설정!$B$24-N(M865)&lt;=설정!$B$28*30.4),설정!$B$32,설정!$B$33),설정!$B$34))+IF(AA865="★",설정!$B$35,0))</f>
        <v/>
      </c>
      <c r="AC865">
        <f>SUBSTITUTE(SUBSTITUTE(SUBSTITUTE(SUBSTITUTE(H865,"(주)",""),"㈜",""),"주식회사","")," ","")</f>
        <v/>
      </c>
      <c r="AD865">
        <f>IF(AND(T865,AC865&lt;&gt;""),IF(COUNTIFS(AC$2:AC865,AC865,T$2:T865,TRUE)=1,MAX(AD$1:AD864)+1,""),"")</f>
        <v/>
      </c>
    </row>
    <row r="866">
      <c r="A866">
        <f>ROW()</f>
        <v/>
      </c>
      <c r="B866">
        <f>IF(설정!$C$4="","",IFERROR(INDEX('1.산군_붙여넣기'!$A$1:$AZ$1001,ROW(),설정!$C$4)&amp;"",""))</f>
        <v/>
      </c>
      <c r="C866">
        <f>IF(설정!$C$5="","",IFERROR(INDEX('1.산군_붙여넣기'!$A$1:$AZ$1001,ROW(),설정!$C$5)&amp;"",""))</f>
        <v/>
      </c>
      <c r="D866" s="5">
        <f>IFERROR(VALUE(SUBSTITUTE(SUBSTITUTE(SUBSTITUTE(IF(설정!$C$6="","",IFERROR(INDEX('1.산군_붙여넣기'!$A$1:$AZ$1001,ROW(),설정!$C$6)&amp;"","")),",",""),"㎡",""),"m2","")),"")</f>
        <v/>
      </c>
      <c r="E866">
        <f>IF(설정!$C$7="","",IFERROR(INDEX('1.산군_붙여넣기'!$A$1:$AZ$1001,ROW(),설정!$C$7)&amp;"",""))</f>
        <v/>
      </c>
      <c r="F866">
        <f>IF(설정!$C$8="","",IFERROR(INDEX('1.산군_붙여넣기'!$A$1:$AZ$1001,ROW(),설정!$C$8)&amp;"",""))</f>
        <v/>
      </c>
      <c r="G866">
        <f>IF(설정!$C$9="","",IFERROR(INDEX('1.산군_붙여넣기'!$A$1:$AZ$1001,ROW(),설정!$C$9)&amp;"",""))</f>
        <v/>
      </c>
      <c r="H866">
        <f>IF(설정!$C$10="","",IFERROR(INDEX('1.산군_붙여넣기'!$A$1:$AZ$1001,ROW(),설정!$C$10)&amp;"",""))</f>
        <v/>
      </c>
      <c r="I866">
        <f>IF(설정!$C$11="","",IFERROR(INDEX('1.산군_붙여넣기'!$A$1:$AZ$1001,ROW(),설정!$C$11)&amp;"",""))</f>
        <v/>
      </c>
      <c r="J866">
        <f>IF(설정!$C$12="","",IFERROR(INDEX('1.산군_붙여넣기'!$A$1:$AZ$1001,ROW(),설정!$C$12)&amp;"",""))</f>
        <v/>
      </c>
      <c r="K866">
        <f>IF(설정!$C$13="","",IFERROR(INDEX('1.산군_붙여넣기'!$A$1:$AZ$1001,ROW(),설정!$C$13)&amp;"",""))</f>
        <v/>
      </c>
      <c r="L866" s="7">
        <f>IF(X866="","",IF(AND(LEN(X866)=8,ISNUMBER(X866*1)),DATE(LEFT(X866,4),MID(X866,5,2),RIGHT(X866,2)),IFERROR(DATEVALUE(SUBSTITUTE(SUBSTITUTE(X866,".","-"),"/","-")),IFERROR(X866*1,""))))</f>
        <v/>
      </c>
      <c r="M866" s="7">
        <f>IF(Y866="","",IF(AND(LEN(Y866)=8,ISNUMBER(Y866*1)),DATE(LEFT(Y866,4),MID(Y866,5,2),RIGHT(Y866,2)),IFERROR(DATEVALUE(SUBSTITUTE(SUBSTITUTE(Y866,".","-"),"/","-")),IFERROR(Y866*1,""))))</f>
        <v/>
      </c>
      <c r="N866">
        <f>IFERROR(LEFT(B866,FIND(" ",B866)-1),B866)</f>
        <v/>
      </c>
      <c r="O866">
        <f>AND(B866&lt;&gt;"",B866&lt;&gt;설정!$B$4,C866&lt;&gt;설정!$B$5)</f>
        <v/>
      </c>
      <c r="P866">
        <f>IF(O866,B866&amp;"|"&amp;C866,"")</f>
        <v/>
      </c>
      <c r="Q866">
        <f>AND(O866,COUNTIF(P867:P$1002,P866)=0)</f>
        <v/>
      </c>
      <c r="R866">
        <f>OR(AND(설정!$A$42&lt;&gt;"",ISNUMBER(SEARCH(설정!$A$42,E866&amp;" "&amp;C866))),AND(설정!$A$43&lt;&gt;"",ISNUMBER(SEARCH(설정!$A$43,E866&amp;" "&amp;C866))),AND(설정!$A$44&lt;&gt;"",ISNUMBER(SEARCH(설정!$A$44,E866&amp;" "&amp;C866))),AND(설정!$A$45&lt;&gt;"",ISNUMBER(SEARCH(설정!$A$45,E866&amp;" "&amp;C866))),AND(설정!$A$46&lt;&gt;"",ISNUMBER(SEARCH(설정!$A$46,E866&amp;" "&amp;C866))),AND(설정!$A$47&lt;&gt;"",ISNUMBER(SEARCH(설정!$A$47,E866&amp;" "&amp;C866))),AND(설정!$A$48&lt;&gt;"",ISNUMBER(SEARCH(설정!$A$48,E866&amp;" "&amp;C866))),AND(설정!$A$49&lt;&gt;"",ISNUMBER(SEARCH(설정!$A$49,E866&amp;" "&amp;C866))),AND(설정!$A$50&lt;&gt;"",ISNUMBER(SEARCH(설정!$A$50,E866&amp;" "&amp;C866))),AND(설정!$A$51&lt;&gt;"",ISNUMBER(SEARCH(설정!$A$51,E866&amp;" "&amp;C866))))</f>
        <v/>
      </c>
      <c r="S866">
        <f>OR(D866="",D866&gt;=설정!$B$19)</f>
        <v/>
      </c>
      <c r="T866">
        <f>AND(Q866,R866,S866)</f>
        <v/>
      </c>
      <c r="U866">
        <f>IF(T866,IF(AND(설정!$A$54&lt;&gt;"",ISNUMBER(SEARCH(설정!$A$54,K866))),설정!$B$54,IF(AND(설정!$A$55&lt;&gt;"",ISNUMBER(SEARCH(설정!$A$55,K866))),설정!$B$55,IF(AND(설정!$A$56&lt;&gt;"",ISNUMBER(SEARCH(설정!$A$56,K866))),설정!$B$56,IF(AND(설정!$A$57&lt;&gt;"",ISNUMBER(SEARCH(설정!$A$57,K866))),설정!$B$57,IF(AND(설정!$A$58&lt;&gt;"",ISNUMBER(SEARCH(설정!$A$58,K866))),설정!$B$58,IF(AND(설정!$A$59&lt;&gt;"",ISNUMBER(SEARCH(설정!$A$59,K866))),설정!$B$59,IF(AND(설정!$A$60&lt;&gt;"",ISNUMBER(SEARCH(설정!$A$60,K866))),설정!$B$60,IF(AND(설정!$A$61&lt;&gt;"",ISNUMBER(SEARCH(설정!$A$61,K866))),설정!$B$61,IF(M866="","설계사","시공사"))))))))),"")</f>
        <v/>
      </c>
      <c r="V866">
        <f>SUBSTITUTE(SUBSTITUTE(SUBSTITUTE(SUBSTITUTE(G866,"(주)",""),"㈜",""),"주식회사","")," ","")</f>
        <v/>
      </c>
      <c r="W866">
        <f>IF(AND(T866,V866&lt;&gt;""),IF(COUNTIFS(V$2:V866,V866,T$2:T866,TRUE)=1,MAX(W$1:W865)+1,""),"")</f>
        <v/>
      </c>
      <c r="X866">
        <f>IF(설정!$C$14="","",IFERROR(INDEX('1.산군_붙여넣기'!$A$1:$AZ$1001,ROW(),설정!$C$14)&amp;"",""))</f>
        <v/>
      </c>
      <c r="Y866">
        <f>IF(설정!$C$15="","",IFERROR(INDEX('1.산군_붙여넣기'!$A$1:$AZ$1001,ROW(),설정!$C$15)&amp;"",""))</f>
        <v/>
      </c>
      <c r="Z866">
        <f>IF(T866,V866&amp;"|"&amp;U866,"")</f>
        <v/>
      </c>
      <c r="AA866">
        <f>IF(NOT(Q866),"",IF(NOT(AND(R866,S866)),"✕",IF(OR(OR(AND(L866&lt;&gt;"",M866&lt;&gt;"",N(M866)-N(L866)&gt;설정!$B$27),AND(L866&lt;&gt;"",M866="",설정!$B$24-N(L866)&gt;설정!$B$27)),AND(D866&lt;&gt;"",D866&lt;설정!$B$26)),"△","★")))</f>
        <v/>
      </c>
      <c r="AB866">
        <f>IF(NOT(T866),"",IF(U866="설계사",설정!$B$31,IF(U866="시공사",IF(OR(M866="",설정!$B$24-N(M866)&lt;=설정!$B$28*30.4),설정!$B$32,설정!$B$33),설정!$B$34))+IF(AA866="★",설정!$B$35,0))</f>
        <v/>
      </c>
      <c r="AC866">
        <f>SUBSTITUTE(SUBSTITUTE(SUBSTITUTE(SUBSTITUTE(H866,"(주)",""),"㈜",""),"주식회사","")," ","")</f>
        <v/>
      </c>
      <c r="AD866">
        <f>IF(AND(T866,AC866&lt;&gt;""),IF(COUNTIFS(AC$2:AC866,AC866,T$2:T866,TRUE)=1,MAX(AD$1:AD865)+1,""),"")</f>
        <v/>
      </c>
    </row>
    <row r="867">
      <c r="A867">
        <f>ROW()</f>
        <v/>
      </c>
      <c r="B867">
        <f>IF(설정!$C$4="","",IFERROR(INDEX('1.산군_붙여넣기'!$A$1:$AZ$1001,ROW(),설정!$C$4)&amp;"",""))</f>
        <v/>
      </c>
      <c r="C867">
        <f>IF(설정!$C$5="","",IFERROR(INDEX('1.산군_붙여넣기'!$A$1:$AZ$1001,ROW(),설정!$C$5)&amp;"",""))</f>
        <v/>
      </c>
      <c r="D867" s="5">
        <f>IFERROR(VALUE(SUBSTITUTE(SUBSTITUTE(SUBSTITUTE(IF(설정!$C$6="","",IFERROR(INDEX('1.산군_붙여넣기'!$A$1:$AZ$1001,ROW(),설정!$C$6)&amp;"","")),",",""),"㎡",""),"m2","")),"")</f>
        <v/>
      </c>
      <c r="E867">
        <f>IF(설정!$C$7="","",IFERROR(INDEX('1.산군_붙여넣기'!$A$1:$AZ$1001,ROW(),설정!$C$7)&amp;"",""))</f>
        <v/>
      </c>
      <c r="F867">
        <f>IF(설정!$C$8="","",IFERROR(INDEX('1.산군_붙여넣기'!$A$1:$AZ$1001,ROW(),설정!$C$8)&amp;"",""))</f>
        <v/>
      </c>
      <c r="G867">
        <f>IF(설정!$C$9="","",IFERROR(INDEX('1.산군_붙여넣기'!$A$1:$AZ$1001,ROW(),설정!$C$9)&amp;"",""))</f>
        <v/>
      </c>
      <c r="H867">
        <f>IF(설정!$C$10="","",IFERROR(INDEX('1.산군_붙여넣기'!$A$1:$AZ$1001,ROW(),설정!$C$10)&amp;"",""))</f>
        <v/>
      </c>
      <c r="I867">
        <f>IF(설정!$C$11="","",IFERROR(INDEX('1.산군_붙여넣기'!$A$1:$AZ$1001,ROW(),설정!$C$11)&amp;"",""))</f>
        <v/>
      </c>
      <c r="J867">
        <f>IF(설정!$C$12="","",IFERROR(INDEX('1.산군_붙여넣기'!$A$1:$AZ$1001,ROW(),설정!$C$12)&amp;"",""))</f>
        <v/>
      </c>
      <c r="K867">
        <f>IF(설정!$C$13="","",IFERROR(INDEX('1.산군_붙여넣기'!$A$1:$AZ$1001,ROW(),설정!$C$13)&amp;"",""))</f>
        <v/>
      </c>
      <c r="L867" s="7">
        <f>IF(X867="","",IF(AND(LEN(X867)=8,ISNUMBER(X867*1)),DATE(LEFT(X867,4),MID(X867,5,2),RIGHT(X867,2)),IFERROR(DATEVALUE(SUBSTITUTE(SUBSTITUTE(X867,".","-"),"/","-")),IFERROR(X867*1,""))))</f>
        <v/>
      </c>
      <c r="M867" s="7">
        <f>IF(Y867="","",IF(AND(LEN(Y867)=8,ISNUMBER(Y867*1)),DATE(LEFT(Y867,4),MID(Y867,5,2),RIGHT(Y867,2)),IFERROR(DATEVALUE(SUBSTITUTE(SUBSTITUTE(Y867,".","-"),"/","-")),IFERROR(Y867*1,""))))</f>
        <v/>
      </c>
      <c r="N867">
        <f>IFERROR(LEFT(B867,FIND(" ",B867)-1),B867)</f>
        <v/>
      </c>
      <c r="O867">
        <f>AND(B867&lt;&gt;"",B867&lt;&gt;설정!$B$4,C867&lt;&gt;설정!$B$5)</f>
        <v/>
      </c>
      <c r="P867">
        <f>IF(O867,B867&amp;"|"&amp;C867,"")</f>
        <v/>
      </c>
      <c r="Q867">
        <f>AND(O867,COUNTIF(P868:P$1002,P867)=0)</f>
        <v/>
      </c>
      <c r="R867">
        <f>OR(AND(설정!$A$42&lt;&gt;"",ISNUMBER(SEARCH(설정!$A$42,E867&amp;" "&amp;C867))),AND(설정!$A$43&lt;&gt;"",ISNUMBER(SEARCH(설정!$A$43,E867&amp;" "&amp;C867))),AND(설정!$A$44&lt;&gt;"",ISNUMBER(SEARCH(설정!$A$44,E867&amp;" "&amp;C867))),AND(설정!$A$45&lt;&gt;"",ISNUMBER(SEARCH(설정!$A$45,E867&amp;" "&amp;C867))),AND(설정!$A$46&lt;&gt;"",ISNUMBER(SEARCH(설정!$A$46,E867&amp;" "&amp;C867))),AND(설정!$A$47&lt;&gt;"",ISNUMBER(SEARCH(설정!$A$47,E867&amp;" "&amp;C867))),AND(설정!$A$48&lt;&gt;"",ISNUMBER(SEARCH(설정!$A$48,E867&amp;" "&amp;C867))),AND(설정!$A$49&lt;&gt;"",ISNUMBER(SEARCH(설정!$A$49,E867&amp;" "&amp;C867))),AND(설정!$A$50&lt;&gt;"",ISNUMBER(SEARCH(설정!$A$50,E867&amp;" "&amp;C867))),AND(설정!$A$51&lt;&gt;"",ISNUMBER(SEARCH(설정!$A$51,E867&amp;" "&amp;C867))))</f>
        <v/>
      </c>
      <c r="S867">
        <f>OR(D867="",D867&gt;=설정!$B$19)</f>
        <v/>
      </c>
      <c r="T867">
        <f>AND(Q867,R867,S867)</f>
        <v/>
      </c>
      <c r="U867">
        <f>IF(T867,IF(AND(설정!$A$54&lt;&gt;"",ISNUMBER(SEARCH(설정!$A$54,K867))),설정!$B$54,IF(AND(설정!$A$55&lt;&gt;"",ISNUMBER(SEARCH(설정!$A$55,K867))),설정!$B$55,IF(AND(설정!$A$56&lt;&gt;"",ISNUMBER(SEARCH(설정!$A$56,K867))),설정!$B$56,IF(AND(설정!$A$57&lt;&gt;"",ISNUMBER(SEARCH(설정!$A$57,K867))),설정!$B$57,IF(AND(설정!$A$58&lt;&gt;"",ISNUMBER(SEARCH(설정!$A$58,K867))),설정!$B$58,IF(AND(설정!$A$59&lt;&gt;"",ISNUMBER(SEARCH(설정!$A$59,K867))),설정!$B$59,IF(AND(설정!$A$60&lt;&gt;"",ISNUMBER(SEARCH(설정!$A$60,K867))),설정!$B$60,IF(AND(설정!$A$61&lt;&gt;"",ISNUMBER(SEARCH(설정!$A$61,K867))),설정!$B$61,IF(M867="","설계사","시공사"))))))))),"")</f>
        <v/>
      </c>
      <c r="V867">
        <f>SUBSTITUTE(SUBSTITUTE(SUBSTITUTE(SUBSTITUTE(G867,"(주)",""),"㈜",""),"주식회사","")," ","")</f>
        <v/>
      </c>
      <c r="W867">
        <f>IF(AND(T867,V867&lt;&gt;""),IF(COUNTIFS(V$2:V867,V867,T$2:T867,TRUE)=1,MAX(W$1:W866)+1,""),"")</f>
        <v/>
      </c>
      <c r="X867">
        <f>IF(설정!$C$14="","",IFERROR(INDEX('1.산군_붙여넣기'!$A$1:$AZ$1001,ROW(),설정!$C$14)&amp;"",""))</f>
        <v/>
      </c>
      <c r="Y867">
        <f>IF(설정!$C$15="","",IFERROR(INDEX('1.산군_붙여넣기'!$A$1:$AZ$1001,ROW(),설정!$C$15)&amp;"",""))</f>
        <v/>
      </c>
      <c r="Z867">
        <f>IF(T867,V867&amp;"|"&amp;U867,"")</f>
        <v/>
      </c>
      <c r="AA867">
        <f>IF(NOT(Q867),"",IF(NOT(AND(R867,S867)),"✕",IF(OR(OR(AND(L867&lt;&gt;"",M867&lt;&gt;"",N(M867)-N(L867)&gt;설정!$B$27),AND(L867&lt;&gt;"",M867="",설정!$B$24-N(L867)&gt;설정!$B$27)),AND(D867&lt;&gt;"",D867&lt;설정!$B$26)),"△","★")))</f>
        <v/>
      </c>
      <c r="AB867">
        <f>IF(NOT(T867),"",IF(U867="설계사",설정!$B$31,IF(U867="시공사",IF(OR(M867="",설정!$B$24-N(M867)&lt;=설정!$B$28*30.4),설정!$B$32,설정!$B$33),설정!$B$34))+IF(AA867="★",설정!$B$35,0))</f>
        <v/>
      </c>
      <c r="AC867">
        <f>SUBSTITUTE(SUBSTITUTE(SUBSTITUTE(SUBSTITUTE(H867,"(주)",""),"㈜",""),"주식회사","")," ","")</f>
        <v/>
      </c>
      <c r="AD867">
        <f>IF(AND(T867,AC867&lt;&gt;""),IF(COUNTIFS(AC$2:AC867,AC867,T$2:T867,TRUE)=1,MAX(AD$1:AD866)+1,""),"")</f>
        <v/>
      </c>
    </row>
    <row r="868">
      <c r="A868">
        <f>ROW()</f>
        <v/>
      </c>
      <c r="B868">
        <f>IF(설정!$C$4="","",IFERROR(INDEX('1.산군_붙여넣기'!$A$1:$AZ$1001,ROW(),설정!$C$4)&amp;"",""))</f>
        <v/>
      </c>
      <c r="C868">
        <f>IF(설정!$C$5="","",IFERROR(INDEX('1.산군_붙여넣기'!$A$1:$AZ$1001,ROW(),설정!$C$5)&amp;"",""))</f>
        <v/>
      </c>
      <c r="D868" s="5">
        <f>IFERROR(VALUE(SUBSTITUTE(SUBSTITUTE(SUBSTITUTE(IF(설정!$C$6="","",IFERROR(INDEX('1.산군_붙여넣기'!$A$1:$AZ$1001,ROW(),설정!$C$6)&amp;"","")),",",""),"㎡",""),"m2","")),"")</f>
        <v/>
      </c>
      <c r="E868">
        <f>IF(설정!$C$7="","",IFERROR(INDEX('1.산군_붙여넣기'!$A$1:$AZ$1001,ROW(),설정!$C$7)&amp;"",""))</f>
        <v/>
      </c>
      <c r="F868">
        <f>IF(설정!$C$8="","",IFERROR(INDEX('1.산군_붙여넣기'!$A$1:$AZ$1001,ROW(),설정!$C$8)&amp;"",""))</f>
        <v/>
      </c>
      <c r="G868">
        <f>IF(설정!$C$9="","",IFERROR(INDEX('1.산군_붙여넣기'!$A$1:$AZ$1001,ROW(),설정!$C$9)&amp;"",""))</f>
        <v/>
      </c>
      <c r="H868">
        <f>IF(설정!$C$10="","",IFERROR(INDEX('1.산군_붙여넣기'!$A$1:$AZ$1001,ROW(),설정!$C$10)&amp;"",""))</f>
        <v/>
      </c>
      <c r="I868">
        <f>IF(설정!$C$11="","",IFERROR(INDEX('1.산군_붙여넣기'!$A$1:$AZ$1001,ROW(),설정!$C$11)&amp;"",""))</f>
        <v/>
      </c>
      <c r="J868">
        <f>IF(설정!$C$12="","",IFERROR(INDEX('1.산군_붙여넣기'!$A$1:$AZ$1001,ROW(),설정!$C$12)&amp;"",""))</f>
        <v/>
      </c>
      <c r="K868">
        <f>IF(설정!$C$13="","",IFERROR(INDEX('1.산군_붙여넣기'!$A$1:$AZ$1001,ROW(),설정!$C$13)&amp;"",""))</f>
        <v/>
      </c>
      <c r="L868" s="7">
        <f>IF(X868="","",IF(AND(LEN(X868)=8,ISNUMBER(X868*1)),DATE(LEFT(X868,4),MID(X868,5,2),RIGHT(X868,2)),IFERROR(DATEVALUE(SUBSTITUTE(SUBSTITUTE(X868,".","-"),"/","-")),IFERROR(X868*1,""))))</f>
        <v/>
      </c>
      <c r="M868" s="7">
        <f>IF(Y868="","",IF(AND(LEN(Y868)=8,ISNUMBER(Y868*1)),DATE(LEFT(Y868,4),MID(Y868,5,2),RIGHT(Y868,2)),IFERROR(DATEVALUE(SUBSTITUTE(SUBSTITUTE(Y868,".","-"),"/","-")),IFERROR(Y868*1,""))))</f>
        <v/>
      </c>
      <c r="N868">
        <f>IFERROR(LEFT(B868,FIND(" ",B868)-1),B868)</f>
        <v/>
      </c>
      <c r="O868">
        <f>AND(B868&lt;&gt;"",B868&lt;&gt;설정!$B$4,C868&lt;&gt;설정!$B$5)</f>
        <v/>
      </c>
      <c r="P868">
        <f>IF(O868,B868&amp;"|"&amp;C868,"")</f>
        <v/>
      </c>
      <c r="Q868">
        <f>AND(O868,COUNTIF(P869:P$1002,P868)=0)</f>
        <v/>
      </c>
      <c r="R868">
        <f>OR(AND(설정!$A$42&lt;&gt;"",ISNUMBER(SEARCH(설정!$A$42,E868&amp;" "&amp;C868))),AND(설정!$A$43&lt;&gt;"",ISNUMBER(SEARCH(설정!$A$43,E868&amp;" "&amp;C868))),AND(설정!$A$44&lt;&gt;"",ISNUMBER(SEARCH(설정!$A$44,E868&amp;" "&amp;C868))),AND(설정!$A$45&lt;&gt;"",ISNUMBER(SEARCH(설정!$A$45,E868&amp;" "&amp;C868))),AND(설정!$A$46&lt;&gt;"",ISNUMBER(SEARCH(설정!$A$46,E868&amp;" "&amp;C868))),AND(설정!$A$47&lt;&gt;"",ISNUMBER(SEARCH(설정!$A$47,E868&amp;" "&amp;C868))),AND(설정!$A$48&lt;&gt;"",ISNUMBER(SEARCH(설정!$A$48,E868&amp;" "&amp;C868))),AND(설정!$A$49&lt;&gt;"",ISNUMBER(SEARCH(설정!$A$49,E868&amp;" "&amp;C868))),AND(설정!$A$50&lt;&gt;"",ISNUMBER(SEARCH(설정!$A$50,E868&amp;" "&amp;C868))),AND(설정!$A$51&lt;&gt;"",ISNUMBER(SEARCH(설정!$A$51,E868&amp;" "&amp;C868))))</f>
        <v/>
      </c>
      <c r="S868">
        <f>OR(D868="",D868&gt;=설정!$B$19)</f>
        <v/>
      </c>
      <c r="T868">
        <f>AND(Q868,R868,S868)</f>
        <v/>
      </c>
      <c r="U868">
        <f>IF(T868,IF(AND(설정!$A$54&lt;&gt;"",ISNUMBER(SEARCH(설정!$A$54,K868))),설정!$B$54,IF(AND(설정!$A$55&lt;&gt;"",ISNUMBER(SEARCH(설정!$A$55,K868))),설정!$B$55,IF(AND(설정!$A$56&lt;&gt;"",ISNUMBER(SEARCH(설정!$A$56,K868))),설정!$B$56,IF(AND(설정!$A$57&lt;&gt;"",ISNUMBER(SEARCH(설정!$A$57,K868))),설정!$B$57,IF(AND(설정!$A$58&lt;&gt;"",ISNUMBER(SEARCH(설정!$A$58,K868))),설정!$B$58,IF(AND(설정!$A$59&lt;&gt;"",ISNUMBER(SEARCH(설정!$A$59,K868))),설정!$B$59,IF(AND(설정!$A$60&lt;&gt;"",ISNUMBER(SEARCH(설정!$A$60,K868))),설정!$B$60,IF(AND(설정!$A$61&lt;&gt;"",ISNUMBER(SEARCH(설정!$A$61,K868))),설정!$B$61,IF(M868="","설계사","시공사"))))))))),"")</f>
        <v/>
      </c>
      <c r="V868">
        <f>SUBSTITUTE(SUBSTITUTE(SUBSTITUTE(SUBSTITUTE(G868,"(주)",""),"㈜",""),"주식회사","")," ","")</f>
        <v/>
      </c>
      <c r="W868">
        <f>IF(AND(T868,V868&lt;&gt;""),IF(COUNTIFS(V$2:V868,V868,T$2:T868,TRUE)=1,MAX(W$1:W867)+1,""),"")</f>
        <v/>
      </c>
      <c r="X868">
        <f>IF(설정!$C$14="","",IFERROR(INDEX('1.산군_붙여넣기'!$A$1:$AZ$1001,ROW(),설정!$C$14)&amp;"",""))</f>
        <v/>
      </c>
      <c r="Y868">
        <f>IF(설정!$C$15="","",IFERROR(INDEX('1.산군_붙여넣기'!$A$1:$AZ$1001,ROW(),설정!$C$15)&amp;"",""))</f>
        <v/>
      </c>
      <c r="Z868">
        <f>IF(T868,V868&amp;"|"&amp;U868,"")</f>
        <v/>
      </c>
      <c r="AA868">
        <f>IF(NOT(Q868),"",IF(NOT(AND(R868,S868)),"✕",IF(OR(OR(AND(L868&lt;&gt;"",M868&lt;&gt;"",N(M868)-N(L868)&gt;설정!$B$27),AND(L868&lt;&gt;"",M868="",설정!$B$24-N(L868)&gt;설정!$B$27)),AND(D868&lt;&gt;"",D868&lt;설정!$B$26)),"△","★")))</f>
        <v/>
      </c>
      <c r="AB868">
        <f>IF(NOT(T868),"",IF(U868="설계사",설정!$B$31,IF(U868="시공사",IF(OR(M868="",설정!$B$24-N(M868)&lt;=설정!$B$28*30.4),설정!$B$32,설정!$B$33),설정!$B$34))+IF(AA868="★",설정!$B$35,0))</f>
        <v/>
      </c>
      <c r="AC868">
        <f>SUBSTITUTE(SUBSTITUTE(SUBSTITUTE(SUBSTITUTE(H868,"(주)",""),"㈜",""),"주식회사","")," ","")</f>
        <v/>
      </c>
      <c r="AD868">
        <f>IF(AND(T868,AC868&lt;&gt;""),IF(COUNTIFS(AC$2:AC868,AC868,T$2:T868,TRUE)=1,MAX(AD$1:AD867)+1,""),"")</f>
        <v/>
      </c>
    </row>
    <row r="869">
      <c r="A869">
        <f>ROW()</f>
        <v/>
      </c>
      <c r="B869">
        <f>IF(설정!$C$4="","",IFERROR(INDEX('1.산군_붙여넣기'!$A$1:$AZ$1001,ROW(),설정!$C$4)&amp;"",""))</f>
        <v/>
      </c>
      <c r="C869">
        <f>IF(설정!$C$5="","",IFERROR(INDEX('1.산군_붙여넣기'!$A$1:$AZ$1001,ROW(),설정!$C$5)&amp;"",""))</f>
        <v/>
      </c>
      <c r="D869" s="5">
        <f>IFERROR(VALUE(SUBSTITUTE(SUBSTITUTE(SUBSTITUTE(IF(설정!$C$6="","",IFERROR(INDEX('1.산군_붙여넣기'!$A$1:$AZ$1001,ROW(),설정!$C$6)&amp;"","")),",",""),"㎡",""),"m2","")),"")</f>
        <v/>
      </c>
      <c r="E869">
        <f>IF(설정!$C$7="","",IFERROR(INDEX('1.산군_붙여넣기'!$A$1:$AZ$1001,ROW(),설정!$C$7)&amp;"",""))</f>
        <v/>
      </c>
      <c r="F869">
        <f>IF(설정!$C$8="","",IFERROR(INDEX('1.산군_붙여넣기'!$A$1:$AZ$1001,ROW(),설정!$C$8)&amp;"",""))</f>
        <v/>
      </c>
      <c r="G869">
        <f>IF(설정!$C$9="","",IFERROR(INDEX('1.산군_붙여넣기'!$A$1:$AZ$1001,ROW(),설정!$C$9)&amp;"",""))</f>
        <v/>
      </c>
      <c r="H869">
        <f>IF(설정!$C$10="","",IFERROR(INDEX('1.산군_붙여넣기'!$A$1:$AZ$1001,ROW(),설정!$C$10)&amp;"",""))</f>
        <v/>
      </c>
      <c r="I869">
        <f>IF(설정!$C$11="","",IFERROR(INDEX('1.산군_붙여넣기'!$A$1:$AZ$1001,ROW(),설정!$C$11)&amp;"",""))</f>
        <v/>
      </c>
      <c r="J869">
        <f>IF(설정!$C$12="","",IFERROR(INDEX('1.산군_붙여넣기'!$A$1:$AZ$1001,ROW(),설정!$C$12)&amp;"",""))</f>
        <v/>
      </c>
      <c r="K869">
        <f>IF(설정!$C$13="","",IFERROR(INDEX('1.산군_붙여넣기'!$A$1:$AZ$1001,ROW(),설정!$C$13)&amp;"",""))</f>
        <v/>
      </c>
      <c r="L869" s="7">
        <f>IF(X869="","",IF(AND(LEN(X869)=8,ISNUMBER(X869*1)),DATE(LEFT(X869,4),MID(X869,5,2),RIGHT(X869,2)),IFERROR(DATEVALUE(SUBSTITUTE(SUBSTITUTE(X869,".","-"),"/","-")),IFERROR(X869*1,""))))</f>
        <v/>
      </c>
      <c r="M869" s="7">
        <f>IF(Y869="","",IF(AND(LEN(Y869)=8,ISNUMBER(Y869*1)),DATE(LEFT(Y869,4),MID(Y869,5,2),RIGHT(Y869,2)),IFERROR(DATEVALUE(SUBSTITUTE(SUBSTITUTE(Y869,".","-"),"/","-")),IFERROR(Y869*1,""))))</f>
        <v/>
      </c>
      <c r="N869">
        <f>IFERROR(LEFT(B869,FIND(" ",B869)-1),B869)</f>
        <v/>
      </c>
      <c r="O869">
        <f>AND(B869&lt;&gt;"",B869&lt;&gt;설정!$B$4,C869&lt;&gt;설정!$B$5)</f>
        <v/>
      </c>
      <c r="P869">
        <f>IF(O869,B869&amp;"|"&amp;C869,"")</f>
        <v/>
      </c>
      <c r="Q869">
        <f>AND(O869,COUNTIF(P870:P$1002,P869)=0)</f>
        <v/>
      </c>
      <c r="R869">
        <f>OR(AND(설정!$A$42&lt;&gt;"",ISNUMBER(SEARCH(설정!$A$42,E869&amp;" "&amp;C869))),AND(설정!$A$43&lt;&gt;"",ISNUMBER(SEARCH(설정!$A$43,E869&amp;" "&amp;C869))),AND(설정!$A$44&lt;&gt;"",ISNUMBER(SEARCH(설정!$A$44,E869&amp;" "&amp;C869))),AND(설정!$A$45&lt;&gt;"",ISNUMBER(SEARCH(설정!$A$45,E869&amp;" "&amp;C869))),AND(설정!$A$46&lt;&gt;"",ISNUMBER(SEARCH(설정!$A$46,E869&amp;" "&amp;C869))),AND(설정!$A$47&lt;&gt;"",ISNUMBER(SEARCH(설정!$A$47,E869&amp;" "&amp;C869))),AND(설정!$A$48&lt;&gt;"",ISNUMBER(SEARCH(설정!$A$48,E869&amp;" "&amp;C869))),AND(설정!$A$49&lt;&gt;"",ISNUMBER(SEARCH(설정!$A$49,E869&amp;" "&amp;C869))),AND(설정!$A$50&lt;&gt;"",ISNUMBER(SEARCH(설정!$A$50,E869&amp;" "&amp;C869))),AND(설정!$A$51&lt;&gt;"",ISNUMBER(SEARCH(설정!$A$51,E869&amp;" "&amp;C869))))</f>
        <v/>
      </c>
      <c r="S869">
        <f>OR(D869="",D869&gt;=설정!$B$19)</f>
        <v/>
      </c>
      <c r="T869">
        <f>AND(Q869,R869,S869)</f>
        <v/>
      </c>
      <c r="U869">
        <f>IF(T869,IF(AND(설정!$A$54&lt;&gt;"",ISNUMBER(SEARCH(설정!$A$54,K869))),설정!$B$54,IF(AND(설정!$A$55&lt;&gt;"",ISNUMBER(SEARCH(설정!$A$55,K869))),설정!$B$55,IF(AND(설정!$A$56&lt;&gt;"",ISNUMBER(SEARCH(설정!$A$56,K869))),설정!$B$56,IF(AND(설정!$A$57&lt;&gt;"",ISNUMBER(SEARCH(설정!$A$57,K869))),설정!$B$57,IF(AND(설정!$A$58&lt;&gt;"",ISNUMBER(SEARCH(설정!$A$58,K869))),설정!$B$58,IF(AND(설정!$A$59&lt;&gt;"",ISNUMBER(SEARCH(설정!$A$59,K869))),설정!$B$59,IF(AND(설정!$A$60&lt;&gt;"",ISNUMBER(SEARCH(설정!$A$60,K869))),설정!$B$60,IF(AND(설정!$A$61&lt;&gt;"",ISNUMBER(SEARCH(설정!$A$61,K869))),설정!$B$61,IF(M869="","설계사","시공사"))))))))),"")</f>
        <v/>
      </c>
      <c r="V869">
        <f>SUBSTITUTE(SUBSTITUTE(SUBSTITUTE(SUBSTITUTE(G869,"(주)",""),"㈜",""),"주식회사","")," ","")</f>
        <v/>
      </c>
      <c r="W869">
        <f>IF(AND(T869,V869&lt;&gt;""),IF(COUNTIFS(V$2:V869,V869,T$2:T869,TRUE)=1,MAX(W$1:W868)+1,""),"")</f>
        <v/>
      </c>
      <c r="X869">
        <f>IF(설정!$C$14="","",IFERROR(INDEX('1.산군_붙여넣기'!$A$1:$AZ$1001,ROW(),설정!$C$14)&amp;"",""))</f>
        <v/>
      </c>
      <c r="Y869">
        <f>IF(설정!$C$15="","",IFERROR(INDEX('1.산군_붙여넣기'!$A$1:$AZ$1001,ROW(),설정!$C$15)&amp;"",""))</f>
        <v/>
      </c>
      <c r="Z869">
        <f>IF(T869,V869&amp;"|"&amp;U869,"")</f>
        <v/>
      </c>
      <c r="AA869">
        <f>IF(NOT(Q869),"",IF(NOT(AND(R869,S869)),"✕",IF(OR(OR(AND(L869&lt;&gt;"",M869&lt;&gt;"",N(M869)-N(L869)&gt;설정!$B$27),AND(L869&lt;&gt;"",M869="",설정!$B$24-N(L869)&gt;설정!$B$27)),AND(D869&lt;&gt;"",D869&lt;설정!$B$26)),"△","★")))</f>
        <v/>
      </c>
      <c r="AB869">
        <f>IF(NOT(T869),"",IF(U869="설계사",설정!$B$31,IF(U869="시공사",IF(OR(M869="",설정!$B$24-N(M869)&lt;=설정!$B$28*30.4),설정!$B$32,설정!$B$33),설정!$B$34))+IF(AA869="★",설정!$B$35,0))</f>
        <v/>
      </c>
      <c r="AC869">
        <f>SUBSTITUTE(SUBSTITUTE(SUBSTITUTE(SUBSTITUTE(H869,"(주)",""),"㈜",""),"주식회사","")," ","")</f>
        <v/>
      </c>
      <c r="AD869">
        <f>IF(AND(T869,AC869&lt;&gt;""),IF(COUNTIFS(AC$2:AC869,AC869,T$2:T869,TRUE)=1,MAX(AD$1:AD868)+1,""),"")</f>
        <v/>
      </c>
    </row>
    <row r="870">
      <c r="A870">
        <f>ROW()</f>
        <v/>
      </c>
      <c r="B870">
        <f>IF(설정!$C$4="","",IFERROR(INDEX('1.산군_붙여넣기'!$A$1:$AZ$1001,ROW(),설정!$C$4)&amp;"",""))</f>
        <v/>
      </c>
      <c r="C870">
        <f>IF(설정!$C$5="","",IFERROR(INDEX('1.산군_붙여넣기'!$A$1:$AZ$1001,ROW(),설정!$C$5)&amp;"",""))</f>
        <v/>
      </c>
      <c r="D870" s="5">
        <f>IFERROR(VALUE(SUBSTITUTE(SUBSTITUTE(SUBSTITUTE(IF(설정!$C$6="","",IFERROR(INDEX('1.산군_붙여넣기'!$A$1:$AZ$1001,ROW(),설정!$C$6)&amp;"","")),",",""),"㎡",""),"m2","")),"")</f>
        <v/>
      </c>
      <c r="E870">
        <f>IF(설정!$C$7="","",IFERROR(INDEX('1.산군_붙여넣기'!$A$1:$AZ$1001,ROW(),설정!$C$7)&amp;"",""))</f>
        <v/>
      </c>
      <c r="F870">
        <f>IF(설정!$C$8="","",IFERROR(INDEX('1.산군_붙여넣기'!$A$1:$AZ$1001,ROW(),설정!$C$8)&amp;"",""))</f>
        <v/>
      </c>
      <c r="G870">
        <f>IF(설정!$C$9="","",IFERROR(INDEX('1.산군_붙여넣기'!$A$1:$AZ$1001,ROW(),설정!$C$9)&amp;"",""))</f>
        <v/>
      </c>
      <c r="H870">
        <f>IF(설정!$C$10="","",IFERROR(INDEX('1.산군_붙여넣기'!$A$1:$AZ$1001,ROW(),설정!$C$10)&amp;"",""))</f>
        <v/>
      </c>
      <c r="I870">
        <f>IF(설정!$C$11="","",IFERROR(INDEX('1.산군_붙여넣기'!$A$1:$AZ$1001,ROW(),설정!$C$11)&amp;"",""))</f>
        <v/>
      </c>
      <c r="J870">
        <f>IF(설정!$C$12="","",IFERROR(INDEX('1.산군_붙여넣기'!$A$1:$AZ$1001,ROW(),설정!$C$12)&amp;"",""))</f>
        <v/>
      </c>
      <c r="K870">
        <f>IF(설정!$C$13="","",IFERROR(INDEX('1.산군_붙여넣기'!$A$1:$AZ$1001,ROW(),설정!$C$13)&amp;"",""))</f>
        <v/>
      </c>
      <c r="L870" s="7">
        <f>IF(X870="","",IF(AND(LEN(X870)=8,ISNUMBER(X870*1)),DATE(LEFT(X870,4),MID(X870,5,2),RIGHT(X870,2)),IFERROR(DATEVALUE(SUBSTITUTE(SUBSTITUTE(X870,".","-"),"/","-")),IFERROR(X870*1,""))))</f>
        <v/>
      </c>
      <c r="M870" s="7">
        <f>IF(Y870="","",IF(AND(LEN(Y870)=8,ISNUMBER(Y870*1)),DATE(LEFT(Y870,4),MID(Y870,5,2),RIGHT(Y870,2)),IFERROR(DATEVALUE(SUBSTITUTE(SUBSTITUTE(Y870,".","-"),"/","-")),IFERROR(Y870*1,""))))</f>
        <v/>
      </c>
      <c r="N870">
        <f>IFERROR(LEFT(B870,FIND(" ",B870)-1),B870)</f>
        <v/>
      </c>
      <c r="O870">
        <f>AND(B870&lt;&gt;"",B870&lt;&gt;설정!$B$4,C870&lt;&gt;설정!$B$5)</f>
        <v/>
      </c>
      <c r="P870">
        <f>IF(O870,B870&amp;"|"&amp;C870,"")</f>
        <v/>
      </c>
      <c r="Q870">
        <f>AND(O870,COUNTIF(P871:P$1002,P870)=0)</f>
        <v/>
      </c>
      <c r="R870">
        <f>OR(AND(설정!$A$42&lt;&gt;"",ISNUMBER(SEARCH(설정!$A$42,E870&amp;" "&amp;C870))),AND(설정!$A$43&lt;&gt;"",ISNUMBER(SEARCH(설정!$A$43,E870&amp;" "&amp;C870))),AND(설정!$A$44&lt;&gt;"",ISNUMBER(SEARCH(설정!$A$44,E870&amp;" "&amp;C870))),AND(설정!$A$45&lt;&gt;"",ISNUMBER(SEARCH(설정!$A$45,E870&amp;" "&amp;C870))),AND(설정!$A$46&lt;&gt;"",ISNUMBER(SEARCH(설정!$A$46,E870&amp;" "&amp;C870))),AND(설정!$A$47&lt;&gt;"",ISNUMBER(SEARCH(설정!$A$47,E870&amp;" "&amp;C870))),AND(설정!$A$48&lt;&gt;"",ISNUMBER(SEARCH(설정!$A$48,E870&amp;" "&amp;C870))),AND(설정!$A$49&lt;&gt;"",ISNUMBER(SEARCH(설정!$A$49,E870&amp;" "&amp;C870))),AND(설정!$A$50&lt;&gt;"",ISNUMBER(SEARCH(설정!$A$50,E870&amp;" "&amp;C870))),AND(설정!$A$51&lt;&gt;"",ISNUMBER(SEARCH(설정!$A$51,E870&amp;" "&amp;C870))))</f>
        <v/>
      </c>
      <c r="S870">
        <f>OR(D870="",D870&gt;=설정!$B$19)</f>
        <v/>
      </c>
      <c r="T870">
        <f>AND(Q870,R870,S870)</f>
        <v/>
      </c>
      <c r="U870">
        <f>IF(T870,IF(AND(설정!$A$54&lt;&gt;"",ISNUMBER(SEARCH(설정!$A$54,K870))),설정!$B$54,IF(AND(설정!$A$55&lt;&gt;"",ISNUMBER(SEARCH(설정!$A$55,K870))),설정!$B$55,IF(AND(설정!$A$56&lt;&gt;"",ISNUMBER(SEARCH(설정!$A$56,K870))),설정!$B$56,IF(AND(설정!$A$57&lt;&gt;"",ISNUMBER(SEARCH(설정!$A$57,K870))),설정!$B$57,IF(AND(설정!$A$58&lt;&gt;"",ISNUMBER(SEARCH(설정!$A$58,K870))),설정!$B$58,IF(AND(설정!$A$59&lt;&gt;"",ISNUMBER(SEARCH(설정!$A$59,K870))),설정!$B$59,IF(AND(설정!$A$60&lt;&gt;"",ISNUMBER(SEARCH(설정!$A$60,K870))),설정!$B$60,IF(AND(설정!$A$61&lt;&gt;"",ISNUMBER(SEARCH(설정!$A$61,K870))),설정!$B$61,IF(M870="","설계사","시공사"))))))))),"")</f>
        <v/>
      </c>
      <c r="V870">
        <f>SUBSTITUTE(SUBSTITUTE(SUBSTITUTE(SUBSTITUTE(G870,"(주)",""),"㈜",""),"주식회사","")," ","")</f>
        <v/>
      </c>
      <c r="W870">
        <f>IF(AND(T870,V870&lt;&gt;""),IF(COUNTIFS(V$2:V870,V870,T$2:T870,TRUE)=1,MAX(W$1:W869)+1,""),"")</f>
        <v/>
      </c>
      <c r="X870">
        <f>IF(설정!$C$14="","",IFERROR(INDEX('1.산군_붙여넣기'!$A$1:$AZ$1001,ROW(),설정!$C$14)&amp;"",""))</f>
        <v/>
      </c>
      <c r="Y870">
        <f>IF(설정!$C$15="","",IFERROR(INDEX('1.산군_붙여넣기'!$A$1:$AZ$1001,ROW(),설정!$C$15)&amp;"",""))</f>
        <v/>
      </c>
      <c r="Z870">
        <f>IF(T870,V870&amp;"|"&amp;U870,"")</f>
        <v/>
      </c>
      <c r="AA870">
        <f>IF(NOT(Q870),"",IF(NOT(AND(R870,S870)),"✕",IF(OR(OR(AND(L870&lt;&gt;"",M870&lt;&gt;"",N(M870)-N(L870)&gt;설정!$B$27),AND(L870&lt;&gt;"",M870="",설정!$B$24-N(L870)&gt;설정!$B$27)),AND(D870&lt;&gt;"",D870&lt;설정!$B$26)),"△","★")))</f>
        <v/>
      </c>
      <c r="AB870">
        <f>IF(NOT(T870),"",IF(U870="설계사",설정!$B$31,IF(U870="시공사",IF(OR(M870="",설정!$B$24-N(M870)&lt;=설정!$B$28*30.4),설정!$B$32,설정!$B$33),설정!$B$34))+IF(AA870="★",설정!$B$35,0))</f>
        <v/>
      </c>
      <c r="AC870">
        <f>SUBSTITUTE(SUBSTITUTE(SUBSTITUTE(SUBSTITUTE(H870,"(주)",""),"㈜",""),"주식회사","")," ","")</f>
        <v/>
      </c>
      <c r="AD870">
        <f>IF(AND(T870,AC870&lt;&gt;""),IF(COUNTIFS(AC$2:AC870,AC870,T$2:T870,TRUE)=1,MAX(AD$1:AD869)+1,""),"")</f>
        <v/>
      </c>
    </row>
    <row r="871">
      <c r="A871">
        <f>ROW()</f>
        <v/>
      </c>
      <c r="B871">
        <f>IF(설정!$C$4="","",IFERROR(INDEX('1.산군_붙여넣기'!$A$1:$AZ$1001,ROW(),설정!$C$4)&amp;"",""))</f>
        <v/>
      </c>
      <c r="C871">
        <f>IF(설정!$C$5="","",IFERROR(INDEX('1.산군_붙여넣기'!$A$1:$AZ$1001,ROW(),설정!$C$5)&amp;"",""))</f>
        <v/>
      </c>
      <c r="D871" s="5">
        <f>IFERROR(VALUE(SUBSTITUTE(SUBSTITUTE(SUBSTITUTE(IF(설정!$C$6="","",IFERROR(INDEX('1.산군_붙여넣기'!$A$1:$AZ$1001,ROW(),설정!$C$6)&amp;"","")),",",""),"㎡",""),"m2","")),"")</f>
        <v/>
      </c>
      <c r="E871">
        <f>IF(설정!$C$7="","",IFERROR(INDEX('1.산군_붙여넣기'!$A$1:$AZ$1001,ROW(),설정!$C$7)&amp;"",""))</f>
        <v/>
      </c>
      <c r="F871">
        <f>IF(설정!$C$8="","",IFERROR(INDEX('1.산군_붙여넣기'!$A$1:$AZ$1001,ROW(),설정!$C$8)&amp;"",""))</f>
        <v/>
      </c>
      <c r="G871">
        <f>IF(설정!$C$9="","",IFERROR(INDEX('1.산군_붙여넣기'!$A$1:$AZ$1001,ROW(),설정!$C$9)&amp;"",""))</f>
        <v/>
      </c>
      <c r="H871">
        <f>IF(설정!$C$10="","",IFERROR(INDEX('1.산군_붙여넣기'!$A$1:$AZ$1001,ROW(),설정!$C$10)&amp;"",""))</f>
        <v/>
      </c>
      <c r="I871">
        <f>IF(설정!$C$11="","",IFERROR(INDEX('1.산군_붙여넣기'!$A$1:$AZ$1001,ROW(),설정!$C$11)&amp;"",""))</f>
        <v/>
      </c>
      <c r="J871">
        <f>IF(설정!$C$12="","",IFERROR(INDEX('1.산군_붙여넣기'!$A$1:$AZ$1001,ROW(),설정!$C$12)&amp;"",""))</f>
        <v/>
      </c>
      <c r="K871">
        <f>IF(설정!$C$13="","",IFERROR(INDEX('1.산군_붙여넣기'!$A$1:$AZ$1001,ROW(),설정!$C$13)&amp;"",""))</f>
        <v/>
      </c>
      <c r="L871" s="7">
        <f>IF(X871="","",IF(AND(LEN(X871)=8,ISNUMBER(X871*1)),DATE(LEFT(X871,4),MID(X871,5,2),RIGHT(X871,2)),IFERROR(DATEVALUE(SUBSTITUTE(SUBSTITUTE(X871,".","-"),"/","-")),IFERROR(X871*1,""))))</f>
        <v/>
      </c>
      <c r="M871" s="7">
        <f>IF(Y871="","",IF(AND(LEN(Y871)=8,ISNUMBER(Y871*1)),DATE(LEFT(Y871,4),MID(Y871,5,2),RIGHT(Y871,2)),IFERROR(DATEVALUE(SUBSTITUTE(SUBSTITUTE(Y871,".","-"),"/","-")),IFERROR(Y871*1,""))))</f>
        <v/>
      </c>
      <c r="N871">
        <f>IFERROR(LEFT(B871,FIND(" ",B871)-1),B871)</f>
        <v/>
      </c>
      <c r="O871">
        <f>AND(B871&lt;&gt;"",B871&lt;&gt;설정!$B$4,C871&lt;&gt;설정!$B$5)</f>
        <v/>
      </c>
      <c r="P871">
        <f>IF(O871,B871&amp;"|"&amp;C871,"")</f>
        <v/>
      </c>
      <c r="Q871">
        <f>AND(O871,COUNTIF(P872:P$1002,P871)=0)</f>
        <v/>
      </c>
      <c r="R871">
        <f>OR(AND(설정!$A$42&lt;&gt;"",ISNUMBER(SEARCH(설정!$A$42,E871&amp;" "&amp;C871))),AND(설정!$A$43&lt;&gt;"",ISNUMBER(SEARCH(설정!$A$43,E871&amp;" "&amp;C871))),AND(설정!$A$44&lt;&gt;"",ISNUMBER(SEARCH(설정!$A$44,E871&amp;" "&amp;C871))),AND(설정!$A$45&lt;&gt;"",ISNUMBER(SEARCH(설정!$A$45,E871&amp;" "&amp;C871))),AND(설정!$A$46&lt;&gt;"",ISNUMBER(SEARCH(설정!$A$46,E871&amp;" "&amp;C871))),AND(설정!$A$47&lt;&gt;"",ISNUMBER(SEARCH(설정!$A$47,E871&amp;" "&amp;C871))),AND(설정!$A$48&lt;&gt;"",ISNUMBER(SEARCH(설정!$A$48,E871&amp;" "&amp;C871))),AND(설정!$A$49&lt;&gt;"",ISNUMBER(SEARCH(설정!$A$49,E871&amp;" "&amp;C871))),AND(설정!$A$50&lt;&gt;"",ISNUMBER(SEARCH(설정!$A$50,E871&amp;" "&amp;C871))),AND(설정!$A$51&lt;&gt;"",ISNUMBER(SEARCH(설정!$A$51,E871&amp;" "&amp;C871))))</f>
        <v/>
      </c>
      <c r="S871">
        <f>OR(D871="",D871&gt;=설정!$B$19)</f>
        <v/>
      </c>
      <c r="T871">
        <f>AND(Q871,R871,S871)</f>
        <v/>
      </c>
      <c r="U871">
        <f>IF(T871,IF(AND(설정!$A$54&lt;&gt;"",ISNUMBER(SEARCH(설정!$A$54,K871))),설정!$B$54,IF(AND(설정!$A$55&lt;&gt;"",ISNUMBER(SEARCH(설정!$A$55,K871))),설정!$B$55,IF(AND(설정!$A$56&lt;&gt;"",ISNUMBER(SEARCH(설정!$A$56,K871))),설정!$B$56,IF(AND(설정!$A$57&lt;&gt;"",ISNUMBER(SEARCH(설정!$A$57,K871))),설정!$B$57,IF(AND(설정!$A$58&lt;&gt;"",ISNUMBER(SEARCH(설정!$A$58,K871))),설정!$B$58,IF(AND(설정!$A$59&lt;&gt;"",ISNUMBER(SEARCH(설정!$A$59,K871))),설정!$B$59,IF(AND(설정!$A$60&lt;&gt;"",ISNUMBER(SEARCH(설정!$A$60,K871))),설정!$B$60,IF(AND(설정!$A$61&lt;&gt;"",ISNUMBER(SEARCH(설정!$A$61,K871))),설정!$B$61,IF(M871="","설계사","시공사"))))))))),"")</f>
        <v/>
      </c>
      <c r="V871">
        <f>SUBSTITUTE(SUBSTITUTE(SUBSTITUTE(SUBSTITUTE(G871,"(주)",""),"㈜",""),"주식회사","")," ","")</f>
        <v/>
      </c>
      <c r="W871">
        <f>IF(AND(T871,V871&lt;&gt;""),IF(COUNTIFS(V$2:V871,V871,T$2:T871,TRUE)=1,MAX(W$1:W870)+1,""),"")</f>
        <v/>
      </c>
      <c r="X871">
        <f>IF(설정!$C$14="","",IFERROR(INDEX('1.산군_붙여넣기'!$A$1:$AZ$1001,ROW(),설정!$C$14)&amp;"",""))</f>
        <v/>
      </c>
      <c r="Y871">
        <f>IF(설정!$C$15="","",IFERROR(INDEX('1.산군_붙여넣기'!$A$1:$AZ$1001,ROW(),설정!$C$15)&amp;"",""))</f>
        <v/>
      </c>
      <c r="Z871">
        <f>IF(T871,V871&amp;"|"&amp;U871,"")</f>
        <v/>
      </c>
      <c r="AA871">
        <f>IF(NOT(Q871),"",IF(NOT(AND(R871,S871)),"✕",IF(OR(OR(AND(L871&lt;&gt;"",M871&lt;&gt;"",N(M871)-N(L871)&gt;설정!$B$27),AND(L871&lt;&gt;"",M871="",설정!$B$24-N(L871)&gt;설정!$B$27)),AND(D871&lt;&gt;"",D871&lt;설정!$B$26)),"△","★")))</f>
        <v/>
      </c>
      <c r="AB871">
        <f>IF(NOT(T871),"",IF(U871="설계사",설정!$B$31,IF(U871="시공사",IF(OR(M871="",설정!$B$24-N(M871)&lt;=설정!$B$28*30.4),설정!$B$32,설정!$B$33),설정!$B$34))+IF(AA871="★",설정!$B$35,0))</f>
        <v/>
      </c>
      <c r="AC871">
        <f>SUBSTITUTE(SUBSTITUTE(SUBSTITUTE(SUBSTITUTE(H871,"(주)",""),"㈜",""),"주식회사","")," ","")</f>
        <v/>
      </c>
      <c r="AD871">
        <f>IF(AND(T871,AC871&lt;&gt;""),IF(COUNTIFS(AC$2:AC871,AC871,T$2:T871,TRUE)=1,MAX(AD$1:AD870)+1,""),"")</f>
        <v/>
      </c>
    </row>
    <row r="872">
      <c r="A872">
        <f>ROW()</f>
        <v/>
      </c>
      <c r="B872">
        <f>IF(설정!$C$4="","",IFERROR(INDEX('1.산군_붙여넣기'!$A$1:$AZ$1001,ROW(),설정!$C$4)&amp;"",""))</f>
        <v/>
      </c>
      <c r="C872">
        <f>IF(설정!$C$5="","",IFERROR(INDEX('1.산군_붙여넣기'!$A$1:$AZ$1001,ROW(),설정!$C$5)&amp;"",""))</f>
        <v/>
      </c>
      <c r="D872" s="5">
        <f>IFERROR(VALUE(SUBSTITUTE(SUBSTITUTE(SUBSTITUTE(IF(설정!$C$6="","",IFERROR(INDEX('1.산군_붙여넣기'!$A$1:$AZ$1001,ROW(),설정!$C$6)&amp;"","")),",",""),"㎡",""),"m2","")),"")</f>
        <v/>
      </c>
      <c r="E872">
        <f>IF(설정!$C$7="","",IFERROR(INDEX('1.산군_붙여넣기'!$A$1:$AZ$1001,ROW(),설정!$C$7)&amp;"",""))</f>
        <v/>
      </c>
      <c r="F872">
        <f>IF(설정!$C$8="","",IFERROR(INDEX('1.산군_붙여넣기'!$A$1:$AZ$1001,ROW(),설정!$C$8)&amp;"",""))</f>
        <v/>
      </c>
      <c r="G872">
        <f>IF(설정!$C$9="","",IFERROR(INDEX('1.산군_붙여넣기'!$A$1:$AZ$1001,ROW(),설정!$C$9)&amp;"",""))</f>
        <v/>
      </c>
      <c r="H872">
        <f>IF(설정!$C$10="","",IFERROR(INDEX('1.산군_붙여넣기'!$A$1:$AZ$1001,ROW(),설정!$C$10)&amp;"",""))</f>
        <v/>
      </c>
      <c r="I872">
        <f>IF(설정!$C$11="","",IFERROR(INDEX('1.산군_붙여넣기'!$A$1:$AZ$1001,ROW(),설정!$C$11)&amp;"",""))</f>
        <v/>
      </c>
      <c r="J872">
        <f>IF(설정!$C$12="","",IFERROR(INDEX('1.산군_붙여넣기'!$A$1:$AZ$1001,ROW(),설정!$C$12)&amp;"",""))</f>
        <v/>
      </c>
      <c r="K872">
        <f>IF(설정!$C$13="","",IFERROR(INDEX('1.산군_붙여넣기'!$A$1:$AZ$1001,ROW(),설정!$C$13)&amp;"",""))</f>
        <v/>
      </c>
      <c r="L872" s="7">
        <f>IF(X872="","",IF(AND(LEN(X872)=8,ISNUMBER(X872*1)),DATE(LEFT(X872,4),MID(X872,5,2),RIGHT(X872,2)),IFERROR(DATEVALUE(SUBSTITUTE(SUBSTITUTE(X872,".","-"),"/","-")),IFERROR(X872*1,""))))</f>
        <v/>
      </c>
      <c r="M872" s="7">
        <f>IF(Y872="","",IF(AND(LEN(Y872)=8,ISNUMBER(Y872*1)),DATE(LEFT(Y872,4),MID(Y872,5,2),RIGHT(Y872,2)),IFERROR(DATEVALUE(SUBSTITUTE(SUBSTITUTE(Y872,".","-"),"/","-")),IFERROR(Y872*1,""))))</f>
        <v/>
      </c>
      <c r="N872">
        <f>IFERROR(LEFT(B872,FIND(" ",B872)-1),B872)</f>
        <v/>
      </c>
      <c r="O872">
        <f>AND(B872&lt;&gt;"",B872&lt;&gt;설정!$B$4,C872&lt;&gt;설정!$B$5)</f>
        <v/>
      </c>
      <c r="P872">
        <f>IF(O872,B872&amp;"|"&amp;C872,"")</f>
        <v/>
      </c>
      <c r="Q872">
        <f>AND(O872,COUNTIF(P873:P$1002,P872)=0)</f>
        <v/>
      </c>
      <c r="R872">
        <f>OR(AND(설정!$A$42&lt;&gt;"",ISNUMBER(SEARCH(설정!$A$42,E872&amp;" "&amp;C872))),AND(설정!$A$43&lt;&gt;"",ISNUMBER(SEARCH(설정!$A$43,E872&amp;" "&amp;C872))),AND(설정!$A$44&lt;&gt;"",ISNUMBER(SEARCH(설정!$A$44,E872&amp;" "&amp;C872))),AND(설정!$A$45&lt;&gt;"",ISNUMBER(SEARCH(설정!$A$45,E872&amp;" "&amp;C872))),AND(설정!$A$46&lt;&gt;"",ISNUMBER(SEARCH(설정!$A$46,E872&amp;" "&amp;C872))),AND(설정!$A$47&lt;&gt;"",ISNUMBER(SEARCH(설정!$A$47,E872&amp;" "&amp;C872))),AND(설정!$A$48&lt;&gt;"",ISNUMBER(SEARCH(설정!$A$48,E872&amp;" "&amp;C872))),AND(설정!$A$49&lt;&gt;"",ISNUMBER(SEARCH(설정!$A$49,E872&amp;" "&amp;C872))),AND(설정!$A$50&lt;&gt;"",ISNUMBER(SEARCH(설정!$A$50,E872&amp;" "&amp;C872))),AND(설정!$A$51&lt;&gt;"",ISNUMBER(SEARCH(설정!$A$51,E872&amp;" "&amp;C872))))</f>
        <v/>
      </c>
      <c r="S872">
        <f>OR(D872="",D872&gt;=설정!$B$19)</f>
        <v/>
      </c>
      <c r="T872">
        <f>AND(Q872,R872,S872)</f>
        <v/>
      </c>
      <c r="U872">
        <f>IF(T872,IF(AND(설정!$A$54&lt;&gt;"",ISNUMBER(SEARCH(설정!$A$54,K872))),설정!$B$54,IF(AND(설정!$A$55&lt;&gt;"",ISNUMBER(SEARCH(설정!$A$55,K872))),설정!$B$55,IF(AND(설정!$A$56&lt;&gt;"",ISNUMBER(SEARCH(설정!$A$56,K872))),설정!$B$56,IF(AND(설정!$A$57&lt;&gt;"",ISNUMBER(SEARCH(설정!$A$57,K872))),설정!$B$57,IF(AND(설정!$A$58&lt;&gt;"",ISNUMBER(SEARCH(설정!$A$58,K872))),설정!$B$58,IF(AND(설정!$A$59&lt;&gt;"",ISNUMBER(SEARCH(설정!$A$59,K872))),설정!$B$59,IF(AND(설정!$A$60&lt;&gt;"",ISNUMBER(SEARCH(설정!$A$60,K872))),설정!$B$60,IF(AND(설정!$A$61&lt;&gt;"",ISNUMBER(SEARCH(설정!$A$61,K872))),설정!$B$61,IF(M872="","설계사","시공사"))))))))),"")</f>
        <v/>
      </c>
      <c r="V872">
        <f>SUBSTITUTE(SUBSTITUTE(SUBSTITUTE(SUBSTITUTE(G872,"(주)",""),"㈜",""),"주식회사","")," ","")</f>
        <v/>
      </c>
      <c r="W872">
        <f>IF(AND(T872,V872&lt;&gt;""),IF(COUNTIFS(V$2:V872,V872,T$2:T872,TRUE)=1,MAX(W$1:W871)+1,""),"")</f>
        <v/>
      </c>
      <c r="X872">
        <f>IF(설정!$C$14="","",IFERROR(INDEX('1.산군_붙여넣기'!$A$1:$AZ$1001,ROW(),설정!$C$14)&amp;"",""))</f>
        <v/>
      </c>
      <c r="Y872">
        <f>IF(설정!$C$15="","",IFERROR(INDEX('1.산군_붙여넣기'!$A$1:$AZ$1001,ROW(),설정!$C$15)&amp;"",""))</f>
        <v/>
      </c>
      <c r="Z872">
        <f>IF(T872,V872&amp;"|"&amp;U872,"")</f>
        <v/>
      </c>
      <c r="AA872">
        <f>IF(NOT(Q872),"",IF(NOT(AND(R872,S872)),"✕",IF(OR(OR(AND(L872&lt;&gt;"",M872&lt;&gt;"",N(M872)-N(L872)&gt;설정!$B$27),AND(L872&lt;&gt;"",M872="",설정!$B$24-N(L872)&gt;설정!$B$27)),AND(D872&lt;&gt;"",D872&lt;설정!$B$26)),"△","★")))</f>
        <v/>
      </c>
      <c r="AB872">
        <f>IF(NOT(T872),"",IF(U872="설계사",설정!$B$31,IF(U872="시공사",IF(OR(M872="",설정!$B$24-N(M872)&lt;=설정!$B$28*30.4),설정!$B$32,설정!$B$33),설정!$B$34))+IF(AA872="★",설정!$B$35,0))</f>
        <v/>
      </c>
      <c r="AC872">
        <f>SUBSTITUTE(SUBSTITUTE(SUBSTITUTE(SUBSTITUTE(H872,"(주)",""),"㈜",""),"주식회사","")," ","")</f>
        <v/>
      </c>
      <c r="AD872">
        <f>IF(AND(T872,AC872&lt;&gt;""),IF(COUNTIFS(AC$2:AC872,AC872,T$2:T872,TRUE)=1,MAX(AD$1:AD871)+1,""),"")</f>
        <v/>
      </c>
    </row>
    <row r="873">
      <c r="A873">
        <f>ROW()</f>
        <v/>
      </c>
      <c r="B873">
        <f>IF(설정!$C$4="","",IFERROR(INDEX('1.산군_붙여넣기'!$A$1:$AZ$1001,ROW(),설정!$C$4)&amp;"",""))</f>
        <v/>
      </c>
      <c r="C873">
        <f>IF(설정!$C$5="","",IFERROR(INDEX('1.산군_붙여넣기'!$A$1:$AZ$1001,ROW(),설정!$C$5)&amp;"",""))</f>
        <v/>
      </c>
      <c r="D873" s="5">
        <f>IFERROR(VALUE(SUBSTITUTE(SUBSTITUTE(SUBSTITUTE(IF(설정!$C$6="","",IFERROR(INDEX('1.산군_붙여넣기'!$A$1:$AZ$1001,ROW(),설정!$C$6)&amp;"","")),",",""),"㎡",""),"m2","")),"")</f>
        <v/>
      </c>
      <c r="E873">
        <f>IF(설정!$C$7="","",IFERROR(INDEX('1.산군_붙여넣기'!$A$1:$AZ$1001,ROW(),설정!$C$7)&amp;"",""))</f>
        <v/>
      </c>
      <c r="F873">
        <f>IF(설정!$C$8="","",IFERROR(INDEX('1.산군_붙여넣기'!$A$1:$AZ$1001,ROW(),설정!$C$8)&amp;"",""))</f>
        <v/>
      </c>
      <c r="G873">
        <f>IF(설정!$C$9="","",IFERROR(INDEX('1.산군_붙여넣기'!$A$1:$AZ$1001,ROW(),설정!$C$9)&amp;"",""))</f>
        <v/>
      </c>
      <c r="H873">
        <f>IF(설정!$C$10="","",IFERROR(INDEX('1.산군_붙여넣기'!$A$1:$AZ$1001,ROW(),설정!$C$10)&amp;"",""))</f>
        <v/>
      </c>
      <c r="I873">
        <f>IF(설정!$C$11="","",IFERROR(INDEX('1.산군_붙여넣기'!$A$1:$AZ$1001,ROW(),설정!$C$11)&amp;"",""))</f>
        <v/>
      </c>
      <c r="J873">
        <f>IF(설정!$C$12="","",IFERROR(INDEX('1.산군_붙여넣기'!$A$1:$AZ$1001,ROW(),설정!$C$12)&amp;"",""))</f>
        <v/>
      </c>
      <c r="K873">
        <f>IF(설정!$C$13="","",IFERROR(INDEX('1.산군_붙여넣기'!$A$1:$AZ$1001,ROW(),설정!$C$13)&amp;"",""))</f>
        <v/>
      </c>
      <c r="L873" s="7">
        <f>IF(X873="","",IF(AND(LEN(X873)=8,ISNUMBER(X873*1)),DATE(LEFT(X873,4),MID(X873,5,2),RIGHT(X873,2)),IFERROR(DATEVALUE(SUBSTITUTE(SUBSTITUTE(X873,".","-"),"/","-")),IFERROR(X873*1,""))))</f>
        <v/>
      </c>
      <c r="M873" s="7">
        <f>IF(Y873="","",IF(AND(LEN(Y873)=8,ISNUMBER(Y873*1)),DATE(LEFT(Y873,4),MID(Y873,5,2),RIGHT(Y873,2)),IFERROR(DATEVALUE(SUBSTITUTE(SUBSTITUTE(Y873,".","-"),"/","-")),IFERROR(Y873*1,""))))</f>
        <v/>
      </c>
      <c r="N873">
        <f>IFERROR(LEFT(B873,FIND(" ",B873)-1),B873)</f>
        <v/>
      </c>
      <c r="O873">
        <f>AND(B873&lt;&gt;"",B873&lt;&gt;설정!$B$4,C873&lt;&gt;설정!$B$5)</f>
        <v/>
      </c>
      <c r="P873">
        <f>IF(O873,B873&amp;"|"&amp;C873,"")</f>
        <v/>
      </c>
      <c r="Q873">
        <f>AND(O873,COUNTIF(P874:P$1002,P873)=0)</f>
        <v/>
      </c>
      <c r="R873">
        <f>OR(AND(설정!$A$42&lt;&gt;"",ISNUMBER(SEARCH(설정!$A$42,E873&amp;" "&amp;C873))),AND(설정!$A$43&lt;&gt;"",ISNUMBER(SEARCH(설정!$A$43,E873&amp;" "&amp;C873))),AND(설정!$A$44&lt;&gt;"",ISNUMBER(SEARCH(설정!$A$44,E873&amp;" "&amp;C873))),AND(설정!$A$45&lt;&gt;"",ISNUMBER(SEARCH(설정!$A$45,E873&amp;" "&amp;C873))),AND(설정!$A$46&lt;&gt;"",ISNUMBER(SEARCH(설정!$A$46,E873&amp;" "&amp;C873))),AND(설정!$A$47&lt;&gt;"",ISNUMBER(SEARCH(설정!$A$47,E873&amp;" "&amp;C873))),AND(설정!$A$48&lt;&gt;"",ISNUMBER(SEARCH(설정!$A$48,E873&amp;" "&amp;C873))),AND(설정!$A$49&lt;&gt;"",ISNUMBER(SEARCH(설정!$A$49,E873&amp;" "&amp;C873))),AND(설정!$A$50&lt;&gt;"",ISNUMBER(SEARCH(설정!$A$50,E873&amp;" "&amp;C873))),AND(설정!$A$51&lt;&gt;"",ISNUMBER(SEARCH(설정!$A$51,E873&amp;" "&amp;C873))))</f>
        <v/>
      </c>
      <c r="S873">
        <f>OR(D873="",D873&gt;=설정!$B$19)</f>
        <v/>
      </c>
      <c r="T873">
        <f>AND(Q873,R873,S873)</f>
        <v/>
      </c>
      <c r="U873">
        <f>IF(T873,IF(AND(설정!$A$54&lt;&gt;"",ISNUMBER(SEARCH(설정!$A$54,K873))),설정!$B$54,IF(AND(설정!$A$55&lt;&gt;"",ISNUMBER(SEARCH(설정!$A$55,K873))),설정!$B$55,IF(AND(설정!$A$56&lt;&gt;"",ISNUMBER(SEARCH(설정!$A$56,K873))),설정!$B$56,IF(AND(설정!$A$57&lt;&gt;"",ISNUMBER(SEARCH(설정!$A$57,K873))),설정!$B$57,IF(AND(설정!$A$58&lt;&gt;"",ISNUMBER(SEARCH(설정!$A$58,K873))),설정!$B$58,IF(AND(설정!$A$59&lt;&gt;"",ISNUMBER(SEARCH(설정!$A$59,K873))),설정!$B$59,IF(AND(설정!$A$60&lt;&gt;"",ISNUMBER(SEARCH(설정!$A$60,K873))),설정!$B$60,IF(AND(설정!$A$61&lt;&gt;"",ISNUMBER(SEARCH(설정!$A$61,K873))),설정!$B$61,IF(M873="","설계사","시공사"))))))))),"")</f>
        <v/>
      </c>
      <c r="V873">
        <f>SUBSTITUTE(SUBSTITUTE(SUBSTITUTE(SUBSTITUTE(G873,"(주)",""),"㈜",""),"주식회사","")," ","")</f>
        <v/>
      </c>
      <c r="W873">
        <f>IF(AND(T873,V873&lt;&gt;""),IF(COUNTIFS(V$2:V873,V873,T$2:T873,TRUE)=1,MAX(W$1:W872)+1,""),"")</f>
        <v/>
      </c>
      <c r="X873">
        <f>IF(설정!$C$14="","",IFERROR(INDEX('1.산군_붙여넣기'!$A$1:$AZ$1001,ROW(),설정!$C$14)&amp;"",""))</f>
        <v/>
      </c>
      <c r="Y873">
        <f>IF(설정!$C$15="","",IFERROR(INDEX('1.산군_붙여넣기'!$A$1:$AZ$1001,ROW(),설정!$C$15)&amp;"",""))</f>
        <v/>
      </c>
      <c r="Z873">
        <f>IF(T873,V873&amp;"|"&amp;U873,"")</f>
        <v/>
      </c>
      <c r="AA873">
        <f>IF(NOT(Q873),"",IF(NOT(AND(R873,S873)),"✕",IF(OR(OR(AND(L873&lt;&gt;"",M873&lt;&gt;"",N(M873)-N(L873)&gt;설정!$B$27),AND(L873&lt;&gt;"",M873="",설정!$B$24-N(L873)&gt;설정!$B$27)),AND(D873&lt;&gt;"",D873&lt;설정!$B$26)),"△","★")))</f>
        <v/>
      </c>
      <c r="AB873">
        <f>IF(NOT(T873),"",IF(U873="설계사",설정!$B$31,IF(U873="시공사",IF(OR(M873="",설정!$B$24-N(M873)&lt;=설정!$B$28*30.4),설정!$B$32,설정!$B$33),설정!$B$34))+IF(AA873="★",설정!$B$35,0))</f>
        <v/>
      </c>
      <c r="AC873">
        <f>SUBSTITUTE(SUBSTITUTE(SUBSTITUTE(SUBSTITUTE(H873,"(주)",""),"㈜",""),"주식회사","")," ","")</f>
        <v/>
      </c>
      <c r="AD873">
        <f>IF(AND(T873,AC873&lt;&gt;""),IF(COUNTIFS(AC$2:AC873,AC873,T$2:T873,TRUE)=1,MAX(AD$1:AD872)+1,""),"")</f>
        <v/>
      </c>
    </row>
    <row r="874">
      <c r="A874">
        <f>ROW()</f>
        <v/>
      </c>
      <c r="B874">
        <f>IF(설정!$C$4="","",IFERROR(INDEX('1.산군_붙여넣기'!$A$1:$AZ$1001,ROW(),설정!$C$4)&amp;"",""))</f>
        <v/>
      </c>
      <c r="C874">
        <f>IF(설정!$C$5="","",IFERROR(INDEX('1.산군_붙여넣기'!$A$1:$AZ$1001,ROW(),설정!$C$5)&amp;"",""))</f>
        <v/>
      </c>
      <c r="D874" s="5">
        <f>IFERROR(VALUE(SUBSTITUTE(SUBSTITUTE(SUBSTITUTE(IF(설정!$C$6="","",IFERROR(INDEX('1.산군_붙여넣기'!$A$1:$AZ$1001,ROW(),설정!$C$6)&amp;"","")),",",""),"㎡",""),"m2","")),"")</f>
        <v/>
      </c>
      <c r="E874">
        <f>IF(설정!$C$7="","",IFERROR(INDEX('1.산군_붙여넣기'!$A$1:$AZ$1001,ROW(),설정!$C$7)&amp;"",""))</f>
        <v/>
      </c>
      <c r="F874">
        <f>IF(설정!$C$8="","",IFERROR(INDEX('1.산군_붙여넣기'!$A$1:$AZ$1001,ROW(),설정!$C$8)&amp;"",""))</f>
        <v/>
      </c>
      <c r="G874">
        <f>IF(설정!$C$9="","",IFERROR(INDEX('1.산군_붙여넣기'!$A$1:$AZ$1001,ROW(),설정!$C$9)&amp;"",""))</f>
        <v/>
      </c>
      <c r="H874">
        <f>IF(설정!$C$10="","",IFERROR(INDEX('1.산군_붙여넣기'!$A$1:$AZ$1001,ROW(),설정!$C$10)&amp;"",""))</f>
        <v/>
      </c>
      <c r="I874">
        <f>IF(설정!$C$11="","",IFERROR(INDEX('1.산군_붙여넣기'!$A$1:$AZ$1001,ROW(),설정!$C$11)&amp;"",""))</f>
        <v/>
      </c>
      <c r="J874">
        <f>IF(설정!$C$12="","",IFERROR(INDEX('1.산군_붙여넣기'!$A$1:$AZ$1001,ROW(),설정!$C$12)&amp;"",""))</f>
        <v/>
      </c>
      <c r="K874">
        <f>IF(설정!$C$13="","",IFERROR(INDEX('1.산군_붙여넣기'!$A$1:$AZ$1001,ROW(),설정!$C$13)&amp;"",""))</f>
        <v/>
      </c>
      <c r="L874" s="7">
        <f>IF(X874="","",IF(AND(LEN(X874)=8,ISNUMBER(X874*1)),DATE(LEFT(X874,4),MID(X874,5,2),RIGHT(X874,2)),IFERROR(DATEVALUE(SUBSTITUTE(SUBSTITUTE(X874,".","-"),"/","-")),IFERROR(X874*1,""))))</f>
        <v/>
      </c>
      <c r="M874" s="7">
        <f>IF(Y874="","",IF(AND(LEN(Y874)=8,ISNUMBER(Y874*1)),DATE(LEFT(Y874,4),MID(Y874,5,2),RIGHT(Y874,2)),IFERROR(DATEVALUE(SUBSTITUTE(SUBSTITUTE(Y874,".","-"),"/","-")),IFERROR(Y874*1,""))))</f>
        <v/>
      </c>
      <c r="N874">
        <f>IFERROR(LEFT(B874,FIND(" ",B874)-1),B874)</f>
        <v/>
      </c>
      <c r="O874">
        <f>AND(B874&lt;&gt;"",B874&lt;&gt;설정!$B$4,C874&lt;&gt;설정!$B$5)</f>
        <v/>
      </c>
      <c r="P874">
        <f>IF(O874,B874&amp;"|"&amp;C874,"")</f>
        <v/>
      </c>
      <c r="Q874">
        <f>AND(O874,COUNTIF(P875:P$1002,P874)=0)</f>
        <v/>
      </c>
      <c r="R874">
        <f>OR(AND(설정!$A$42&lt;&gt;"",ISNUMBER(SEARCH(설정!$A$42,E874&amp;" "&amp;C874))),AND(설정!$A$43&lt;&gt;"",ISNUMBER(SEARCH(설정!$A$43,E874&amp;" "&amp;C874))),AND(설정!$A$44&lt;&gt;"",ISNUMBER(SEARCH(설정!$A$44,E874&amp;" "&amp;C874))),AND(설정!$A$45&lt;&gt;"",ISNUMBER(SEARCH(설정!$A$45,E874&amp;" "&amp;C874))),AND(설정!$A$46&lt;&gt;"",ISNUMBER(SEARCH(설정!$A$46,E874&amp;" "&amp;C874))),AND(설정!$A$47&lt;&gt;"",ISNUMBER(SEARCH(설정!$A$47,E874&amp;" "&amp;C874))),AND(설정!$A$48&lt;&gt;"",ISNUMBER(SEARCH(설정!$A$48,E874&amp;" "&amp;C874))),AND(설정!$A$49&lt;&gt;"",ISNUMBER(SEARCH(설정!$A$49,E874&amp;" "&amp;C874))),AND(설정!$A$50&lt;&gt;"",ISNUMBER(SEARCH(설정!$A$50,E874&amp;" "&amp;C874))),AND(설정!$A$51&lt;&gt;"",ISNUMBER(SEARCH(설정!$A$51,E874&amp;" "&amp;C874))))</f>
        <v/>
      </c>
      <c r="S874">
        <f>OR(D874="",D874&gt;=설정!$B$19)</f>
        <v/>
      </c>
      <c r="T874">
        <f>AND(Q874,R874,S874)</f>
        <v/>
      </c>
      <c r="U874">
        <f>IF(T874,IF(AND(설정!$A$54&lt;&gt;"",ISNUMBER(SEARCH(설정!$A$54,K874))),설정!$B$54,IF(AND(설정!$A$55&lt;&gt;"",ISNUMBER(SEARCH(설정!$A$55,K874))),설정!$B$55,IF(AND(설정!$A$56&lt;&gt;"",ISNUMBER(SEARCH(설정!$A$56,K874))),설정!$B$56,IF(AND(설정!$A$57&lt;&gt;"",ISNUMBER(SEARCH(설정!$A$57,K874))),설정!$B$57,IF(AND(설정!$A$58&lt;&gt;"",ISNUMBER(SEARCH(설정!$A$58,K874))),설정!$B$58,IF(AND(설정!$A$59&lt;&gt;"",ISNUMBER(SEARCH(설정!$A$59,K874))),설정!$B$59,IF(AND(설정!$A$60&lt;&gt;"",ISNUMBER(SEARCH(설정!$A$60,K874))),설정!$B$60,IF(AND(설정!$A$61&lt;&gt;"",ISNUMBER(SEARCH(설정!$A$61,K874))),설정!$B$61,IF(M874="","설계사","시공사"))))))))),"")</f>
        <v/>
      </c>
      <c r="V874">
        <f>SUBSTITUTE(SUBSTITUTE(SUBSTITUTE(SUBSTITUTE(G874,"(주)",""),"㈜",""),"주식회사","")," ","")</f>
        <v/>
      </c>
      <c r="W874">
        <f>IF(AND(T874,V874&lt;&gt;""),IF(COUNTIFS(V$2:V874,V874,T$2:T874,TRUE)=1,MAX(W$1:W873)+1,""),"")</f>
        <v/>
      </c>
      <c r="X874">
        <f>IF(설정!$C$14="","",IFERROR(INDEX('1.산군_붙여넣기'!$A$1:$AZ$1001,ROW(),설정!$C$14)&amp;"",""))</f>
        <v/>
      </c>
      <c r="Y874">
        <f>IF(설정!$C$15="","",IFERROR(INDEX('1.산군_붙여넣기'!$A$1:$AZ$1001,ROW(),설정!$C$15)&amp;"",""))</f>
        <v/>
      </c>
      <c r="Z874">
        <f>IF(T874,V874&amp;"|"&amp;U874,"")</f>
        <v/>
      </c>
      <c r="AA874">
        <f>IF(NOT(Q874),"",IF(NOT(AND(R874,S874)),"✕",IF(OR(OR(AND(L874&lt;&gt;"",M874&lt;&gt;"",N(M874)-N(L874)&gt;설정!$B$27),AND(L874&lt;&gt;"",M874="",설정!$B$24-N(L874)&gt;설정!$B$27)),AND(D874&lt;&gt;"",D874&lt;설정!$B$26)),"△","★")))</f>
        <v/>
      </c>
      <c r="AB874">
        <f>IF(NOT(T874),"",IF(U874="설계사",설정!$B$31,IF(U874="시공사",IF(OR(M874="",설정!$B$24-N(M874)&lt;=설정!$B$28*30.4),설정!$B$32,설정!$B$33),설정!$B$34))+IF(AA874="★",설정!$B$35,0))</f>
        <v/>
      </c>
      <c r="AC874">
        <f>SUBSTITUTE(SUBSTITUTE(SUBSTITUTE(SUBSTITUTE(H874,"(주)",""),"㈜",""),"주식회사","")," ","")</f>
        <v/>
      </c>
      <c r="AD874">
        <f>IF(AND(T874,AC874&lt;&gt;""),IF(COUNTIFS(AC$2:AC874,AC874,T$2:T874,TRUE)=1,MAX(AD$1:AD873)+1,""),"")</f>
        <v/>
      </c>
    </row>
    <row r="875">
      <c r="A875">
        <f>ROW()</f>
        <v/>
      </c>
      <c r="B875">
        <f>IF(설정!$C$4="","",IFERROR(INDEX('1.산군_붙여넣기'!$A$1:$AZ$1001,ROW(),설정!$C$4)&amp;"",""))</f>
        <v/>
      </c>
      <c r="C875">
        <f>IF(설정!$C$5="","",IFERROR(INDEX('1.산군_붙여넣기'!$A$1:$AZ$1001,ROW(),설정!$C$5)&amp;"",""))</f>
        <v/>
      </c>
      <c r="D875" s="5">
        <f>IFERROR(VALUE(SUBSTITUTE(SUBSTITUTE(SUBSTITUTE(IF(설정!$C$6="","",IFERROR(INDEX('1.산군_붙여넣기'!$A$1:$AZ$1001,ROW(),설정!$C$6)&amp;"","")),",",""),"㎡",""),"m2","")),"")</f>
        <v/>
      </c>
      <c r="E875">
        <f>IF(설정!$C$7="","",IFERROR(INDEX('1.산군_붙여넣기'!$A$1:$AZ$1001,ROW(),설정!$C$7)&amp;"",""))</f>
        <v/>
      </c>
      <c r="F875">
        <f>IF(설정!$C$8="","",IFERROR(INDEX('1.산군_붙여넣기'!$A$1:$AZ$1001,ROW(),설정!$C$8)&amp;"",""))</f>
        <v/>
      </c>
      <c r="G875">
        <f>IF(설정!$C$9="","",IFERROR(INDEX('1.산군_붙여넣기'!$A$1:$AZ$1001,ROW(),설정!$C$9)&amp;"",""))</f>
        <v/>
      </c>
      <c r="H875">
        <f>IF(설정!$C$10="","",IFERROR(INDEX('1.산군_붙여넣기'!$A$1:$AZ$1001,ROW(),설정!$C$10)&amp;"",""))</f>
        <v/>
      </c>
      <c r="I875">
        <f>IF(설정!$C$11="","",IFERROR(INDEX('1.산군_붙여넣기'!$A$1:$AZ$1001,ROW(),설정!$C$11)&amp;"",""))</f>
        <v/>
      </c>
      <c r="J875">
        <f>IF(설정!$C$12="","",IFERROR(INDEX('1.산군_붙여넣기'!$A$1:$AZ$1001,ROW(),설정!$C$12)&amp;"",""))</f>
        <v/>
      </c>
      <c r="K875">
        <f>IF(설정!$C$13="","",IFERROR(INDEX('1.산군_붙여넣기'!$A$1:$AZ$1001,ROW(),설정!$C$13)&amp;"",""))</f>
        <v/>
      </c>
      <c r="L875" s="7">
        <f>IF(X875="","",IF(AND(LEN(X875)=8,ISNUMBER(X875*1)),DATE(LEFT(X875,4),MID(X875,5,2),RIGHT(X875,2)),IFERROR(DATEVALUE(SUBSTITUTE(SUBSTITUTE(X875,".","-"),"/","-")),IFERROR(X875*1,""))))</f>
        <v/>
      </c>
      <c r="M875" s="7">
        <f>IF(Y875="","",IF(AND(LEN(Y875)=8,ISNUMBER(Y875*1)),DATE(LEFT(Y875,4),MID(Y875,5,2),RIGHT(Y875,2)),IFERROR(DATEVALUE(SUBSTITUTE(SUBSTITUTE(Y875,".","-"),"/","-")),IFERROR(Y875*1,""))))</f>
        <v/>
      </c>
      <c r="N875">
        <f>IFERROR(LEFT(B875,FIND(" ",B875)-1),B875)</f>
        <v/>
      </c>
      <c r="O875">
        <f>AND(B875&lt;&gt;"",B875&lt;&gt;설정!$B$4,C875&lt;&gt;설정!$B$5)</f>
        <v/>
      </c>
      <c r="P875">
        <f>IF(O875,B875&amp;"|"&amp;C875,"")</f>
        <v/>
      </c>
      <c r="Q875">
        <f>AND(O875,COUNTIF(P876:P$1002,P875)=0)</f>
        <v/>
      </c>
      <c r="R875">
        <f>OR(AND(설정!$A$42&lt;&gt;"",ISNUMBER(SEARCH(설정!$A$42,E875&amp;" "&amp;C875))),AND(설정!$A$43&lt;&gt;"",ISNUMBER(SEARCH(설정!$A$43,E875&amp;" "&amp;C875))),AND(설정!$A$44&lt;&gt;"",ISNUMBER(SEARCH(설정!$A$44,E875&amp;" "&amp;C875))),AND(설정!$A$45&lt;&gt;"",ISNUMBER(SEARCH(설정!$A$45,E875&amp;" "&amp;C875))),AND(설정!$A$46&lt;&gt;"",ISNUMBER(SEARCH(설정!$A$46,E875&amp;" "&amp;C875))),AND(설정!$A$47&lt;&gt;"",ISNUMBER(SEARCH(설정!$A$47,E875&amp;" "&amp;C875))),AND(설정!$A$48&lt;&gt;"",ISNUMBER(SEARCH(설정!$A$48,E875&amp;" "&amp;C875))),AND(설정!$A$49&lt;&gt;"",ISNUMBER(SEARCH(설정!$A$49,E875&amp;" "&amp;C875))),AND(설정!$A$50&lt;&gt;"",ISNUMBER(SEARCH(설정!$A$50,E875&amp;" "&amp;C875))),AND(설정!$A$51&lt;&gt;"",ISNUMBER(SEARCH(설정!$A$51,E875&amp;" "&amp;C875))))</f>
        <v/>
      </c>
      <c r="S875">
        <f>OR(D875="",D875&gt;=설정!$B$19)</f>
        <v/>
      </c>
      <c r="T875">
        <f>AND(Q875,R875,S875)</f>
        <v/>
      </c>
      <c r="U875">
        <f>IF(T875,IF(AND(설정!$A$54&lt;&gt;"",ISNUMBER(SEARCH(설정!$A$54,K875))),설정!$B$54,IF(AND(설정!$A$55&lt;&gt;"",ISNUMBER(SEARCH(설정!$A$55,K875))),설정!$B$55,IF(AND(설정!$A$56&lt;&gt;"",ISNUMBER(SEARCH(설정!$A$56,K875))),설정!$B$56,IF(AND(설정!$A$57&lt;&gt;"",ISNUMBER(SEARCH(설정!$A$57,K875))),설정!$B$57,IF(AND(설정!$A$58&lt;&gt;"",ISNUMBER(SEARCH(설정!$A$58,K875))),설정!$B$58,IF(AND(설정!$A$59&lt;&gt;"",ISNUMBER(SEARCH(설정!$A$59,K875))),설정!$B$59,IF(AND(설정!$A$60&lt;&gt;"",ISNUMBER(SEARCH(설정!$A$60,K875))),설정!$B$60,IF(AND(설정!$A$61&lt;&gt;"",ISNUMBER(SEARCH(설정!$A$61,K875))),설정!$B$61,IF(M875="","설계사","시공사"))))))))),"")</f>
        <v/>
      </c>
      <c r="V875">
        <f>SUBSTITUTE(SUBSTITUTE(SUBSTITUTE(SUBSTITUTE(G875,"(주)",""),"㈜",""),"주식회사","")," ","")</f>
        <v/>
      </c>
      <c r="W875">
        <f>IF(AND(T875,V875&lt;&gt;""),IF(COUNTIFS(V$2:V875,V875,T$2:T875,TRUE)=1,MAX(W$1:W874)+1,""),"")</f>
        <v/>
      </c>
      <c r="X875">
        <f>IF(설정!$C$14="","",IFERROR(INDEX('1.산군_붙여넣기'!$A$1:$AZ$1001,ROW(),설정!$C$14)&amp;"",""))</f>
        <v/>
      </c>
      <c r="Y875">
        <f>IF(설정!$C$15="","",IFERROR(INDEX('1.산군_붙여넣기'!$A$1:$AZ$1001,ROW(),설정!$C$15)&amp;"",""))</f>
        <v/>
      </c>
      <c r="Z875">
        <f>IF(T875,V875&amp;"|"&amp;U875,"")</f>
        <v/>
      </c>
      <c r="AA875">
        <f>IF(NOT(Q875),"",IF(NOT(AND(R875,S875)),"✕",IF(OR(OR(AND(L875&lt;&gt;"",M875&lt;&gt;"",N(M875)-N(L875)&gt;설정!$B$27),AND(L875&lt;&gt;"",M875="",설정!$B$24-N(L875)&gt;설정!$B$27)),AND(D875&lt;&gt;"",D875&lt;설정!$B$26)),"△","★")))</f>
        <v/>
      </c>
      <c r="AB875">
        <f>IF(NOT(T875),"",IF(U875="설계사",설정!$B$31,IF(U875="시공사",IF(OR(M875="",설정!$B$24-N(M875)&lt;=설정!$B$28*30.4),설정!$B$32,설정!$B$33),설정!$B$34))+IF(AA875="★",설정!$B$35,0))</f>
        <v/>
      </c>
      <c r="AC875">
        <f>SUBSTITUTE(SUBSTITUTE(SUBSTITUTE(SUBSTITUTE(H875,"(주)",""),"㈜",""),"주식회사","")," ","")</f>
        <v/>
      </c>
      <c r="AD875">
        <f>IF(AND(T875,AC875&lt;&gt;""),IF(COUNTIFS(AC$2:AC875,AC875,T$2:T875,TRUE)=1,MAX(AD$1:AD874)+1,""),"")</f>
        <v/>
      </c>
    </row>
    <row r="876">
      <c r="A876">
        <f>ROW()</f>
        <v/>
      </c>
      <c r="B876">
        <f>IF(설정!$C$4="","",IFERROR(INDEX('1.산군_붙여넣기'!$A$1:$AZ$1001,ROW(),설정!$C$4)&amp;"",""))</f>
        <v/>
      </c>
      <c r="C876">
        <f>IF(설정!$C$5="","",IFERROR(INDEX('1.산군_붙여넣기'!$A$1:$AZ$1001,ROW(),설정!$C$5)&amp;"",""))</f>
        <v/>
      </c>
      <c r="D876" s="5">
        <f>IFERROR(VALUE(SUBSTITUTE(SUBSTITUTE(SUBSTITUTE(IF(설정!$C$6="","",IFERROR(INDEX('1.산군_붙여넣기'!$A$1:$AZ$1001,ROW(),설정!$C$6)&amp;"","")),",",""),"㎡",""),"m2","")),"")</f>
        <v/>
      </c>
      <c r="E876">
        <f>IF(설정!$C$7="","",IFERROR(INDEX('1.산군_붙여넣기'!$A$1:$AZ$1001,ROW(),설정!$C$7)&amp;"",""))</f>
        <v/>
      </c>
      <c r="F876">
        <f>IF(설정!$C$8="","",IFERROR(INDEX('1.산군_붙여넣기'!$A$1:$AZ$1001,ROW(),설정!$C$8)&amp;"",""))</f>
        <v/>
      </c>
      <c r="G876">
        <f>IF(설정!$C$9="","",IFERROR(INDEX('1.산군_붙여넣기'!$A$1:$AZ$1001,ROW(),설정!$C$9)&amp;"",""))</f>
        <v/>
      </c>
      <c r="H876">
        <f>IF(설정!$C$10="","",IFERROR(INDEX('1.산군_붙여넣기'!$A$1:$AZ$1001,ROW(),설정!$C$10)&amp;"",""))</f>
        <v/>
      </c>
      <c r="I876">
        <f>IF(설정!$C$11="","",IFERROR(INDEX('1.산군_붙여넣기'!$A$1:$AZ$1001,ROW(),설정!$C$11)&amp;"",""))</f>
        <v/>
      </c>
      <c r="J876">
        <f>IF(설정!$C$12="","",IFERROR(INDEX('1.산군_붙여넣기'!$A$1:$AZ$1001,ROW(),설정!$C$12)&amp;"",""))</f>
        <v/>
      </c>
      <c r="K876">
        <f>IF(설정!$C$13="","",IFERROR(INDEX('1.산군_붙여넣기'!$A$1:$AZ$1001,ROW(),설정!$C$13)&amp;"",""))</f>
        <v/>
      </c>
      <c r="L876" s="7">
        <f>IF(X876="","",IF(AND(LEN(X876)=8,ISNUMBER(X876*1)),DATE(LEFT(X876,4),MID(X876,5,2),RIGHT(X876,2)),IFERROR(DATEVALUE(SUBSTITUTE(SUBSTITUTE(X876,".","-"),"/","-")),IFERROR(X876*1,""))))</f>
        <v/>
      </c>
      <c r="M876" s="7">
        <f>IF(Y876="","",IF(AND(LEN(Y876)=8,ISNUMBER(Y876*1)),DATE(LEFT(Y876,4),MID(Y876,5,2),RIGHT(Y876,2)),IFERROR(DATEVALUE(SUBSTITUTE(SUBSTITUTE(Y876,".","-"),"/","-")),IFERROR(Y876*1,""))))</f>
        <v/>
      </c>
      <c r="N876">
        <f>IFERROR(LEFT(B876,FIND(" ",B876)-1),B876)</f>
        <v/>
      </c>
      <c r="O876">
        <f>AND(B876&lt;&gt;"",B876&lt;&gt;설정!$B$4,C876&lt;&gt;설정!$B$5)</f>
        <v/>
      </c>
      <c r="P876">
        <f>IF(O876,B876&amp;"|"&amp;C876,"")</f>
        <v/>
      </c>
      <c r="Q876">
        <f>AND(O876,COUNTIF(P877:P$1002,P876)=0)</f>
        <v/>
      </c>
      <c r="R876">
        <f>OR(AND(설정!$A$42&lt;&gt;"",ISNUMBER(SEARCH(설정!$A$42,E876&amp;" "&amp;C876))),AND(설정!$A$43&lt;&gt;"",ISNUMBER(SEARCH(설정!$A$43,E876&amp;" "&amp;C876))),AND(설정!$A$44&lt;&gt;"",ISNUMBER(SEARCH(설정!$A$44,E876&amp;" "&amp;C876))),AND(설정!$A$45&lt;&gt;"",ISNUMBER(SEARCH(설정!$A$45,E876&amp;" "&amp;C876))),AND(설정!$A$46&lt;&gt;"",ISNUMBER(SEARCH(설정!$A$46,E876&amp;" "&amp;C876))),AND(설정!$A$47&lt;&gt;"",ISNUMBER(SEARCH(설정!$A$47,E876&amp;" "&amp;C876))),AND(설정!$A$48&lt;&gt;"",ISNUMBER(SEARCH(설정!$A$48,E876&amp;" "&amp;C876))),AND(설정!$A$49&lt;&gt;"",ISNUMBER(SEARCH(설정!$A$49,E876&amp;" "&amp;C876))),AND(설정!$A$50&lt;&gt;"",ISNUMBER(SEARCH(설정!$A$50,E876&amp;" "&amp;C876))),AND(설정!$A$51&lt;&gt;"",ISNUMBER(SEARCH(설정!$A$51,E876&amp;" "&amp;C876))))</f>
        <v/>
      </c>
      <c r="S876">
        <f>OR(D876="",D876&gt;=설정!$B$19)</f>
        <v/>
      </c>
      <c r="T876">
        <f>AND(Q876,R876,S876)</f>
        <v/>
      </c>
      <c r="U876">
        <f>IF(T876,IF(AND(설정!$A$54&lt;&gt;"",ISNUMBER(SEARCH(설정!$A$54,K876))),설정!$B$54,IF(AND(설정!$A$55&lt;&gt;"",ISNUMBER(SEARCH(설정!$A$55,K876))),설정!$B$55,IF(AND(설정!$A$56&lt;&gt;"",ISNUMBER(SEARCH(설정!$A$56,K876))),설정!$B$56,IF(AND(설정!$A$57&lt;&gt;"",ISNUMBER(SEARCH(설정!$A$57,K876))),설정!$B$57,IF(AND(설정!$A$58&lt;&gt;"",ISNUMBER(SEARCH(설정!$A$58,K876))),설정!$B$58,IF(AND(설정!$A$59&lt;&gt;"",ISNUMBER(SEARCH(설정!$A$59,K876))),설정!$B$59,IF(AND(설정!$A$60&lt;&gt;"",ISNUMBER(SEARCH(설정!$A$60,K876))),설정!$B$60,IF(AND(설정!$A$61&lt;&gt;"",ISNUMBER(SEARCH(설정!$A$61,K876))),설정!$B$61,IF(M876="","설계사","시공사"))))))))),"")</f>
        <v/>
      </c>
      <c r="V876">
        <f>SUBSTITUTE(SUBSTITUTE(SUBSTITUTE(SUBSTITUTE(G876,"(주)",""),"㈜",""),"주식회사","")," ","")</f>
        <v/>
      </c>
      <c r="W876">
        <f>IF(AND(T876,V876&lt;&gt;""),IF(COUNTIFS(V$2:V876,V876,T$2:T876,TRUE)=1,MAX(W$1:W875)+1,""),"")</f>
        <v/>
      </c>
      <c r="X876">
        <f>IF(설정!$C$14="","",IFERROR(INDEX('1.산군_붙여넣기'!$A$1:$AZ$1001,ROW(),설정!$C$14)&amp;"",""))</f>
        <v/>
      </c>
      <c r="Y876">
        <f>IF(설정!$C$15="","",IFERROR(INDEX('1.산군_붙여넣기'!$A$1:$AZ$1001,ROW(),설정!$C$15)&amp;"",""))</f>
        <v/>
      </c>
      <c r="Z876">
        <f>IF(T876,V876&amp;"|"&amp;U876,"")</f>
        <v/>
      </c>
      <c r="AA876">
        <f>IF(NOT(Q876),"",IF(NOT(AND(R876,S876)),"✕",IF(OR(OR(AND(L876&lt;&gt;"",M876&lt;&gt;"",N(M876)-N(L876)&gt;설정!$B$27),AND(L876&lt;&gt;"",M876="",설정!$B$24-N(L876)&gt;설정!$B$27)),AND(D876&lt;&gt;"",D876&lt;설정!$B$26)),"△","★")))</f>
        <v/>
      </c>
      <c r="AB876">
        <f>IF(NOT(T876),"",IF(U876="설계사",설정!$B$31,IF(U876="시공사",IF(OR(M876="",설정!$B$24-N(M876)&lt;=설정!$B$28*30.4),설정!$B$32,설정!$B$33),설정!$B$34))+IF(AA876="★",설정!$B$35,0))</f>
        <v/>
      </c>
      <c r="AC876">
        <f>SUBSTITUTE(SUBSTITUTE(SUBSTITUTE(SUBSTITUTE(H876,"(주)",""),"㈜",""),"주식회사","")," ","")</f>
        <v/>
      </c>
      <c r="AD876">
        <f>IF(AND(T876,AC876&lt;&gt;""),IF(COUNTIFS(AC$2:AC876,AC876,T$2:T876,TRUE)=1,MAX(AD$1:AD875)+1,""),"")</f>
        <v/>
      </c>
    </row>
    <row r="877">
      <c r="A877">
        <f>ROW()</f>
        <v/>
      </c>
      <c r="B877">
        <f>IF(설정!$C$4="","",IFERROR(INDEX('1.산군_붙여넣기'!$A$1:$AZ$1001,ROW(),설정!$C$4)&amp;"",""))</f>
        <v/>
      </c>
      <c r="C877">
        <f>IF(설정!$C$5="","",IFERROR(INDEX('1.산군_붙여넣기'!$A$1:$AZ$1001,ROW(),설정!$C$5)&amp;"",""))</f>
        <v/>
      </c>
      <c r="D877" s="5">
        <f>IFERROR(VALUE(SUBSTITUTE(SUBSTITUTE(SUBSTITUTE(IF(설정!$C$6="","",IFERROR(INDEX('1.산군_붙여넣기'!$A$1:$AZ$1001,ROW(),설정!$C$6)&amp;"","")),",",""),"㎡",""),"m2","")),"")</f>
        <v/>
      </c>
      <c r="E877">
        <f>IF(설정!$C$7="","",IFERROR(INDEX('1.산군_붙여넣기'!$A$1:$AZ$1001,ROW(),설정!$C$7)&amp;"",""))</f>
        <v/>
      </c>
      <c r="F877">
        <f>IF(설정!$C$8="","",IFERROR(INDEX('1.산군_붙여넣기'!$A$1:$AZ$1001,ROW(),설정!$C$8)&amp;"",""))</f>
        <v/>
      </c>
      <c r="G877">
        <f>IF(설정!$C$9="","",IFERROR(INDEX('1.산군_붙여넣기'!$A$1:$AZ$1001,ROW(),설정!$C$9)&amp;"",""))</f>
        <v/>
      </c>
      <c r="H877">
        <f>IF(설정!$C$10="","",IFERROR(INDEX('1.산군_붙여넣기'!$A$1:$AZ$1001,ROW(),설정!$C$10)&amp;"",""))</f>
        <v/>
      </c>
      <c r="I877">
        <f>IF(설정!$C$11="","",IFERROR(INDEX('1.산군_붙여넣기'!$A$1:$AZ$1001,ROW(),설정!$C$11)&amp;"",""))</f>
        <v/>
      </c>
      <c r="J877">
        <f>IF(설정!$C$12="","",IFERROR(INDEX('1.산군_붙여넣기'!$A$1:$AZ$1001,ROW(),설정!$C$12)&amp;"",""))</f>
        <v/>
      </c>
      <c r="K877">
        <f>IF(설정!$C$13="","",IFERROR(INDEX('1.산군_붙여넣기'!$A$1:$AZ$1001,ROW(),설정!$C$13)&amp;"",""))</f>
        <v/>
      </c>
      <c r="L877" s="7">
        <f>IF(X877="","",IF(AND(LEN(X877)=8,ISNUMBER(X877*1)),DATE(LEFT(X877,4),MID(X877,5,2),RIGHT(X877,2)),IFERROR(DATEVALUE(SUBSTITUTE(SUBSTITUTE(X877,".","-"),"/","-")),IFERROR(X877*1,""))))</f>
        <v/>
      </c>
      <c r="M877" s="7">
        <f>IF(Y877="","",IF(AND(LEN(Y877)=8,ISNUMBER(Y877*1)),DATE(LEFT(Y877,4),MID(Y877,5,2),RIGHT(Y877,2)),IFERROR(DATEVALUE(SUBSTITUTE(SUBSTITUTE(Y877,".","-"),"/","-")),IFERROR(Y877*1,""))))</f>
        <v/>
      </c>
      <c r="N877">
        <f>IFERROR(LEFT(B877,FIND(" ",B877)-1),B877)</f>
        <v/>
      </c>
      <c r="O877">
        <f>AND(B877&lt;&gt;"",B877&lt;&gt;설정!$B$4,C877&lt;&gt;설정!$B$5)</f>
        <v/>
      </c>
      <c r="P877">
        <f>IF(O877,B877&amp;"|"&amp;C877,"")</f>
        <v/>
      </c>
      <c r="Q877">
        <f>AND(O877,COUNTIF(P878:P$1002,P877)=0)</f>
        <v/>
      </c>
      <c r="R877">
        <f>OR(AND(설정!$A$42&lt;&gt;"",ISNUMBER(SEARCH(설정!$A$42,E877&amp;" "&amp;C877))),AND(설정!$A$43&lt;&gt;"",ISNUMBER(SEARCH(설정!$A$43,E877&amp;" "&amp;C877))),AND(설정!$A$44&lt;&gt;"",ISNUMBER(SEARCH(설정!$A$44,E877&amp;" "&amp;C877))),AND(설정!$A$45&lt;&gt;"",ISNUMBER(SEARCH(설정!$A$45,E877&amp;" "&amp;C877))),AND(설정!$A$46&lt;&gt;"",ISNUMBER(SEARCH(설정!$A$46,E877&amp;" "&amp;C877))),AND(설정!$A$47&lt;&gt;"",ISNUMBER(SEARCH(설정!$A$47,E877&amp;" "&amp;C877))),AND(설정!$A$48&lt;&gt;"",ISNUMBER(SEARCH(설정!$A$48,E877&amp;" "&amp;C877))),AND(설정!$A$49&lt;&gt;"",ISNUMBER(SEARCH(설정!$A$49,E877&amp;" "&amp;C877))),AND(설정!$A$50&lt;&gt;"",ISNUMBER(SEARCH(설정!$A$50,E877&amp;" "&amp;C877))),AND(설정!$A$51&lt;&gt;"",ISNUMBER(SEARCH(설정!$A$51,E877&amp;" "&amp;C877))))</f>
        <v/>
      </c>
      <c r="S877">
        <f>OR(D877="",D877&gt;=설정!$B$19)</f>
        <v/>
      </c>
      <c r="T877">
        <f>AND(Q877,R877,S877)</f>
        <v/>
      </c>
      <c r="U877">
        <f>IF(T877,IF(AND(설정!$A$54&lt;&gt;"",ISNUMBER(SEARCH(설정!$A$54,K877))),설정!$B$54,IF(AND(설정!$A$55&lt;&gt;"",ISNUMBER(SEARCH(설정!$A$55,K877))),설정!$B$55,IF(AND(설정!$A$56&lt;&gt;"",ISNUMBER(SEARCH(설정!$A$56,K877))),설정!$B$56,IF(AND(설정!$A$57&lt;&gt;"",ISNUMBER(SEARCH(설정!$A$57,K877))),설정!$B$57,IF(AND(설정!$A$58&lt;&gt;"",ISNUMBER(SEARCH(설정!$A$58,K877))),설정!$B$58,IF(AND(설정!$A$59&lt;&gt;"",ISNUMBER(SEARCH(설정!$A$59,K877))),설정!$B$59,IF(AND(설정!$A$60&lt;&gt;"",ISNUMBER(SEARCH(설정!$A$60,K877))),설정!$B$60,IF(AND(설정!$A$61&lt;&gt;"",ISNUMBER(SEARCH(설정!$A$61,K877))),설정!$B$61,IF(M877="","설계사","시공사"))))))))),"")</f>
        <v/>
      </c>
      <c r="V877">
        <f>SUBSTITUTE(SUBSTITUTE(SUBSTITUTE(SUBSTITUTE(G877,"(주)",""),"㈜",""),"주식회사","")," ","")</f>
        <v/>
      </c>
      <c r="W877">
        <f>IF(AND(T877,V877&lt;&gt;""),IF(COUNTIFS(V$2:V877,V877,T$2:T877,TRUE)=1,MAX(W$1:W876)+1,""),"")</f>
        <v/>
      </c>
      <c r="X877">
        <f>IF(설정!$C$14="","",IFERROR(INDEX('1.산군_붙여넣기'!$A$1:$AZ$1001,ROW(),설정!$C$14)&amp;"",""))</f>
        <v/>
      </c>
      <c r="Y877">
        <f>IF(설정!$C$15="","",IFERROR(INDEX('1.산군_붙여넣기'!$A$1:$AZ$1001,ROW(),설정!$C$15)&amp;"",""))</f>
        <v/>
      </c>
      <c r="Z877">
        <f>IF(T877,V877&amp;"|"&amp;U877,"")</f>
        <v/>
      </c>
      <c r="AA877">
        <f>IF(NOT(Q877),"",IF(NOT(AND(R877,S877)),"✕",IF(OR(OR(AND(L877&lt;&gt;"",M877&lt;&gt;"",N(M877)-N(L877)&gt;설정!$B$27),AND(L877&lt;&gt;"",M877="",설정!$B$24-N(L877)&gt;설정!$B$27)),AND(D877&lt;&gt;"",D877&lt;설정!$B$26)),"△","★")))</f>
        <v/>
      </c>
      <c r="AB877">
        <f>IF(NOT(T877),"",IF(U877="설계사",설정!$B$31,IF(U877="시공사",IF(OR(M877="",설정!$B$24-N(M877)&lt;=설정!$B$28*30.4),설정!$B$32,설정!$B$33),설정!$B$34))+IF(AA877="★",설정!$B$35,0))</f>
        <v/>
      </c>
      <c r="AC877">
        <f>SUBSTITUTE(SUBSTITUTE(SUBSTITUTE(SUBSTITUTE(H877,"(주)",""),"㈜",""),"주식회사","")," ","")</f>
        <v/>
      </c>
      <c r="AD877">
        <f>IF(AND(T877,AC877&lt;&gt;""),IF(COUNTIFS(AC$2:AC877,AC877,T$2:T877,TRUE)=1,MAX(AD$1:AD876)+1,""),"")</f>
        <v/>
      </c>
    </row>
    <row r="878">
      <c r="A878">
        <f>ROW()</f>
        <v/>
      </c>
      <c r="B878">
        <f>IF(설정!$C$4="","",IFERROR(INDEX('1.산군_붙여넣기'!$A$1:$AZ$1001,ROW(),설정!$C$4)&amp;"",""))</f>
        <v/>
      </c>
      <c r="C878">
        <f>IF(설정!$C$5="","",IFERROR(INDEX('1.산군_붙여넣기'!$A$1:$AZ$1001,ROW(),설정!$C$5)&amp;"",""))</f>
        <v/>
      </c>
      <c r="D878" s="5">
        <f>IFERROR(VALUE(SUBSTITUTE(SUBSTITUTE(SUBSTITUTE(IF(설정!$C$6="","",IFERROR(INDEX('1.산군_붙여넣기'!$A$1:$AZ$1001,ROW(),설정!$C$6)&amp;"","")),",",""),"㎡",""),"m2","")),"")</f>
        <v/>
      </c>
      <c r="E878">
        <f>IF(설정!$C$7="","",IFERROR(INDEX('1.산군_붙여넣기'!$A$1:$AZ$1001,ROW(),설정!$C$7)&amp;"",""))</f>
        <v/>
      </c>
      <c r="F878">
        <f>IF(설정!$C$8="","",IFERROR(INDEX('1.산군_붙여넣기'!$A$1:$AZ$1001,ROW(),설정!$C$8)&amp;"",""))</f>
        <v/>
      </c>
      <c r="G878">
        <f>IF(설정!$C$9="","",IFERROR(INDEX('1.산군_붙여넣기'!$A$1:$AZ$1001,ROW(),설정!$C$9)&amp;"",""))</f>
        <v/>
      </c>
      <c r="H878">
        <f>IF(설정!$C$10="","",IFERROR(INDEX('1.산군_붙여넣기'!$A$1:$AZ$1001,ROW(),설정!$C$10)&amp;"",""))</f>
        <v/>
      </c>
      <c r="I878">
        <f>IF(설정!$C$11="","",IFERROR(INDEX('1.산군_붙여넣기'!$A$1:$AZ$1001,ROW(),설정!$C$11)&amp;"",""))</f>
        <v/>
      </c>
      <c r="J878">
        <f>IF(설정!$C$12="","",IFERROR(INDEX('1.산군_붙여넣기'!$A$1:$AZ$1001,ROW(),설정!$C$12)&amp;"",""))</f>
        <v/>
      </c>
      <c r="K878">
        <f>IF(설정!$C$13="","",IFERROR(INDEX('1.산군_붙여넣기'!$A$1:$AZ$1001,ROW(),설정!$C$13)&amp;"",""))</f>
        <v/>
      </c>
      <c r="L878" s="7">
        <f>IF(X878="","",IF(AND(LEN(X878)=8,ISNUMBER(X878*1)),DATE(LEFT(X878,4),MID(X878,5,2),RIGHT(X878,2)),IFERROR(DATEVALUE(SUBSTITUTE(SUBSTITUTE(X878,".","-"),"/","-")),IFERROR(X878*1,""))))</f>
        <v/>
      </c>
      <c r="M878" s="7">
        <f>IF(Y878="","",IF(AND(LEN(Y878)=8,ISNUMBER(Y878*1)),DATE(LEFT(Y878,4),MID(Y878,5,2),RIGHT(Y878,2)),IFERROR(DATEVALUE(SUBSTITUTE(SUBSTITUTE(Y878,".","-"),"/","-")),IFERROR(Y878*1,""))))</f>
        <v/>
      </c>
      <c r="N878">
        <f>IFERROR(LEFT(B878,FIND(" ",B878)-1),B878)</f>
        <v/>
      </c>
      <c r="O878">
        <f>AND(B878&lt;&gt;"",B878&lt;&gt;설정!$B$4,C878&lt;&gt;설정!$B$5)</f>
        <v/>
      </c>
      <c r="P878">
        <f>IF(O878,B878&amp;"|"&amp;C878,"")</f>
        <v/>
      </c>
      <c r="Q878">
        <f>AND(O878,COUNTIF(P879:P$1002,P878)=0)</f>
        <v/>
      </c>
      <c r="R878">
        <f>OR(AND(설정!$A$42&lt;&gt;"",ISNUMBER(SEARCH(설정!$A$42,E878&amp;" "&amp;C878))),AND(설정!$A$43&lt;&gt;"",ISNUMBER(SEARCH(설정!$A$43,E878&amp;" "&amp;C878))),AND(설정!$A$44&lt;&gt;"",ISNUMBER(SEARCH(설정!$A$44,E878&amp;" "&amp;C878))),AND(설정!$A$45&lt;&gt;"",ISNUMBER(SEARCH(설정!$A$45,E878&amp;" "&amp;C878))),AND(설정!$A$46&lt;&gt;"",ISNUMBER(SEARCH(설정!$A$46,E878&amp;" "&amp;C878))),AND(설정!$A$47&lt;&gt;"",ISNUMBER(SEARCH(설정!$A$47,E878&amp;" "&amp;C878))),AND(설정!$A$48&lt;&gt;"",ISNUMBER(SEARCH(설정!$A$48,E878&amp;" "&amp;C878))),AND(설정!$A$49&lt;&gt;"",ISNUMBER(SEARCH(설정!$A$49,E878&amp;" "&amp;C878))),AND(설정!$A$50&lt;&gt;"",ISNUMBER(SEARCH(설정!$A$50,E878&amp;" "&amp;C878))),AND(설정!$A$51&lt;&gt;"",ISNUMBER(SEARCH(설정!$A$51,E878&amp;" "&amp;C878))))</f>
        <v/>
      </c>
      <c r="S878">
        <f>OR(D878="",D878&gt;=설정!$B$19)</f>
        <v/>
      </c>
      <c r="T878">
        <f>AND(Q878,R878,S878)</f>
        <v/>
      </c>
      <c r="U878">
        <f>IF(T878,IF(AND(설정!$A$54&lt;&gt;"",ISNUMBER(SEARCH(설정!$A$54,K878))),설정!$B$54,IF(AND(설정!$A$55&lt;&gt;"",ISNUMBER(SEARCH(설정!$A$55,K878))),설정!$B$55,IF(AND(설정!$A$56&lt;&gt;"",ISNUMBER(SEARCH(설정!$A$56,K878))),설정!$B$56,IF(AND(설정!$A$57&lt;&gt;"",ISNUMBER(SEARCH(설정!$A$57,K878))),설정!$B$57,IF(AND(설정!$A$58&lt;&gt;"",ISNUMBER(SEARCH(설정!$A$58,K878))),설정!$B$58,IF(AND(설정!$A$59&lt;&gt;"",ISNUMBER(SEARCH(설정!$A$59,K878))),설정!$B$59,IF(AND(설정!$A$60&lt;&gt;"",ISNUMBER(SEARCH(설정!$A$60,K878))),설정!$B$60,IF(AND(설정!$A$61&lt;&gt;"",ISNUMBER(SEARCH(설정!$A$61,K878))),설정!$B$61,IF(M878="","설계사","시공사"))))))))),"")</f>
        <v/>
      </c>
      <c r="V878">
        <f>SUBSTITUTE(SUBSTITUTE(SUBSTITUTE(SUBSTITUTE(G878,"(주)",""),"㈜",""),"주식회사","")," ","")</f>
        <v/>
      </c>
      <c r="W878">
        <f>IF(AND(T878,V878&lt;&gt;""),IF(COUNTIFS(V$2:V878,V878,T$2:T878,TRUE)=1,MAX(W$1:W877)+1,""),"")</f>
        <v/>
      </c>
      <c r="X878">
        <f>IF(설정!$C$14="","",IFERROR(INDEX('1.산군_붙여넣기'!$A$1:$AZ$1001,ROW(),설정!$C$14)&amp;"",""))</f>
        <v/>
      </c>
      <c r="Y878">
        <f>IF(설정!$C$15="","",IFERROR(INDEX('1.산군_붙여넣기'!$A$1:$AZ$1001,ROW(),설정!$C$15)&amp;"",""))</f>
        <v/>
      </c>
      <c r="Z878">
        <f>IF(T878,V878&amp;"|"&amp;U878,"")</f>
        <v/>
      </c>
      <c r="AA878">
        <f>IF(NOT(Q878),"",IF(NOT(AND(R878,S878)),"✕",IF(OR(OR(AND(L878&lt;&gt;"",M878&lt;&gt;"",N(M878)-N(L878)&gt;설정!$B$27),AND(L878&lt;&gt;"",M878="",설정!$B$24-N(L878)&gt;설정!$B$27)),AND(D878&lt;&gt;"",D878&lt;설정!$B$26)),"△","★")))</f>
        <v/>
      </c>
      <c r="AB878">
        <f>IF(NOT(T878),"",IF(U878="설계사",설정!$B$31,IF(U878="시공사",IF(OR(M878="",설정!$B$24-N(M878)&lt;=설정!$B$28*30.4),설정!$B$32,설정!$B$33),설정!$B$34))+IF(AA878="★",설정!$B$35,0))</f>
        <v/>
      </c>
      <c r="AC878">
        <f>SUBSTITUTE(SUBSTITUTE(SUBSTITUTE(SUBSTITUTE(H878,"(주)",""),"㈜",""),"주식회사","")," ","")</f>
        <v/>
      </c>
      <c r="AD878">
        <f>IF(AND(T878,AC878&lt;&gt;""),IF(COUNTIFS(AC$2:AC878,AC878,T$2:T878,TRUE)=1,MAX(AD$1:AD877)+1,""),"")</f>
        <v/>
      </c>
    </row>
    <row r="879">
      <c r="A879">
        <f>ROW()</f>
        <v/>
      </c>
      <c r="B879">
        <f>IF(설정!$C$4="","",IFERROR(INDEX('1.산군_붙여넣기'!$A$1:$AZ$1001,ROW(),설정!$C$4)&amp;"",""))</f>
        <v/>
      </c>
      <c r="C879">
        <f>IF(설정!$C$5="","",IFERROR(INDEX('1.산군_붙여넣기'!$A$1:$AZ$1001,ROW(),설정!$C$5)&amp;"",""))</f>
        <v/>
      </c>
      <c r="D879" s="5">
        <f>IFERROR(VALUE(SUBSTITUTE(SUBSTITUTE(SUBSTITUTE(IF(설정!$C$6="","",IFERROR(INDEX('1.산군_붙여넣기'!$A$1:$AZ$1001,ROW(),설정!$C$6)&amp;"","")),",",""),"㎡",""),"m2","")),"")</f>
        <v/>
      </c>
      <c r="E879">
        <f>IF(설정!$C$7="","",IFERROR(INDEX('1.산군_붙여넣기'!$A$1:$AZ$1001,ROW(),설정!$C$7)&amp;"",""))</f>
        <v/>
      </c>
      <c r="F879">
        <f>IF(설정!$C$8="","",IFERROR(INDEX('1.산군_붙여넣기'!$A$1:$AZ$1001,ROW(),설정!$C$8)&amp;"",""))</f>
        <v/>
      </c>
      <c r="G879">
        <f>IF(설정!$C$9="","",IFERROR(INDEX('1.산군_붙여넣기'!$A$1:$AZ$1001,ROW(),설정!$C$9)&amp;"",""))</f>
        <v/>
      </c>
      <c r="H879">
        <f>IF(설정!$C$10="","",IFERROR(INDEX('1.산군_붙여넣기'!$A$1:$AZ$1001,ROW(),설정!$C$10)&amp;"",""))</f>
        <v/>
      </c>
      <c r="I879">
        <f>IF(설정!$C$11="","",IFERROR(INDEX('1.산군_붙여넣기'!$A$1:$AZ$1001,ROW(),설정!$C$11)&amp;"",""))</f>
        <v/>
      </c>
      <c r="J879">
        <f>IF(설정!$C$12="","",IFERROR(INDEX('1.산군_붙여넣기'!$A$1:$AZ$1001,ROW(),설정!$C$12)&amp;"",""))</f>
        <v/>
      </c>
      <c r="K879">
        <f>IF(설정!$C$13="","",IFERROR(INDEX('1.산군_붙여넣기'!$A$1:$AZ$1001,ROW(),설정!$C$13)&amp;"",""))</f>
        <v/>
      </c>
      <c r="L879" s="7">
        <f>IF(X879="","",IF(AND(LEN(X879)=8,ISNUMBER(X879*1)),DATE(LEFT(X879,4),MID(X879,5,2),RIGHT(X879,2)),IFERROR(DATEVALUE(SUBSTITUTE(SUBSTITUTE(X879,".","-"),"/","-")),IFERROR(X879*1,""))))</f>
        <v/>
      </c>
      <c r="M879" s="7">
        <f>IF(Y879="","",IF(AND(LEN(Y879)=8,ISNUMBER(Y879*1)),DATE(LEFT(Y879,4),MID(Y879,5,2),RIGHT(Y879,2)),IFERROR(DATEVALUE(SUBSTITUTE(SUBSTITUTE(Y879,".","-"),"/","-")),IFERROR(Y879*1,""))))</f>
        <v/>
      </c>
      <c r="N879">
        <f>IFERROR(LEFT(B879,FIND(" ",B879)-1),B879)</f>
        <v/>
      </c>
      <c r="O879">
        <f>AND(B879&lt;&gt;"",B879&lt;&gt;설정!$B$4,C879&lt;&gt;설정!$B$5)</f>
        <v/>
      </c>
      <c r="P879">
        <f>IF(O879,B879&amp;"|"&amp;C879,"")</f>
        <v/>
      </c>
      <c r="Q879">
        <f>AND(O879,COUNTIF(P880:P$1002,P879)=0)</f>
        <v/>
      </c>
      <c r="R879">
        <f>OR(AND(설정!$A$42&lt;&gt;"",ISNUMBER(SEARCH(설정!$A$42,E879&amp;" "&amp;C879))),AND(설정!$A$43&lt;&gt;"",ISNUMBER(SEARCH(설정!$A$43,E879&amp;" "&amp;C879))),AND(설정!$A$44&lt;&gt;"",ISNUMBER(SEARCH(설정!$A$44,E879&amp;" "&amp;C879))),AND(설정!$A$45&lt;&gt;"",ISNUMBER(SEARCH(설정!$A$45,E879&amp;" "&amp;C879))),AND(설정!$A$46&lt;&gt;"",ISNUMBER(SEARCH(설정!$A$46,E879&amp;" "&amp;C879))),AND(설정!$A$47&lt;&gt;"",ISNUMBER(SEARCH(설정!$A$47,E879&amp;" "&amp;C879))),AND(설정!$A$48&lt;&gt;"",ISNUMBER(SEARCH(설정!$A$48,E879&amp;" "&amp;C879))),AND(설정!$A$49&lt;&gt;"",ISNUMBER(SEARCH(설정!$A$49,E879&amp;" "&amp;C879))),AND(설정!$A$50&lt;&gt;"",ISNUMBER(SEARCH(설정!$A$50,E879&amp;" "&amp;C879))),AND(설정!$A$51&lt;&gt;"",ISNUMBER(SEARCH(설정!$A$51,E879&amp;" "&amp;C879))))</f>
        <v/>
      </c>
      <c r="S879">
        <f>OR(D879="",D879&gt;=설정!$B$19)</f>
        <v/>
      </c>
      <c r="T879">
        <f>AND(Q879,R879,S879)</f>
        <v/>
      </c>
      <c r="U879">
        <f>IF(T879,IF(AND(설정!$A$54&lt;&gt;"",ISNUMBER(SEARCH(설정!$A$54,K879))),설정!$B$54,IF(AND(설정!$A$55&lt;&gt;"",ISNUMBER(SEARCH(설정!$A$55,K879))),설정!$B$55,IF(AND(설정!$A$56&lt;&gt;"",ISNUMBER(SEARCH(설정!$A$56,K879))),설정!$B$56,IF(AND(설정!$A$57&lt;&gt;"",ISNUMBER(SEARCH(설정!$A$57,K879))),설정!$B$57,IF(AND(설정!$A$58&lt;&gt;"",ISNUMBER(SEARCH(설정!$A$58,K879))),설정!$B$58,IF(AND(설정!$A$59&lt;&gt;"",ISNUMBER(SEARCH(설정!$A$59,K879))),설정!$B$59,IF(AND(설정!$A$60&lt;&gt;"",ISNUMBER(SEARCH(설정!$A$60,K879))),설정!$B$60,IF(AND(설정!$A$61&lt;&gt;"",ISNUMBER(SEARCH(설정!$A$61,K879))),설정!$B$61,IF(M879="","설계사","시공사"))))))))),"")</f>
        <v/>
      </c>
      <c r="V879">
        <f>SUBSTITUTE(SUBSTITUTE(SUBSTITUTE(SUBSTITUTE(G879,"(주)",""),"㈜",""),"주식회사","")," ","")</f>
        <v/>
      </c>
      <c r="W879">
        <f>IF(AND(T879,V879&lt;&gt;""),IF(COUNTIFS(V$2:V879,V879,T$2:T879,TRUE)=1,MAX(W$1:W878)+1,""),"")</f>
        <v/>
      </c>
      <c r="X879">
        <f>IF(설정!$C$14="","",IFERROR(INDEX('1.산군_붙여넣기'!$A$1:$AZ$1001,ROW(),설정!$C$14)&amp;"",""))</f>
        <v/>
      </c>
      <c r="Y879">
        <f>IF(설정!$C$15="","",IFERROR(INDEX('1.산군_붙여넣기'!$A$1:$AZ$1001,ROW(),설정!$C$15)&amp;"",""))</f>
        <v/>
      </c>
      <c r="Z879">
        <f>IF(T879,V879&amp;"|"&amp;U879,"")</f>
        <v/>
      </c>
      <c r="AA879">
        <f>IF(NOT(Q879),"",IF(NOT(AND(R879,S879)),"✕",IF(OR(OR(AND(L879&lt;&gt;"",M879&lt;&gt;"",N(M879)-N(L879)&gt;설정!$B$27),AND(L879&lt;&gt;"",M879="",설정!$B$24-N(L879)&gt;설정!$B$27)),AND(D879&lt;&gt;"",D879&lt;설정!$B$26)),"△","★")))</f>
        <v/>
      </c>
      <c r="AB879">
        <f>IF(NOT(T879),"",IF(U879="설계사",설정!$B$31,IF(U879="시공사",IF(OR(M879="",설정!$B$24-N(M879)&lt;=설정!$B$28*30.4),설정!$B$32,설정!$B$33),설정!$B$34))+IF(AA879="★",설정!$B$35,0))</f>
        <v/>
      </c>
      <c r="AC879">
        <f>SUBSTITUTE(SUBSTITUTE(SUBSTITUTE(SUBSTITUTE(H879,"(주)",""),"㈜",""),"주식회사","")," ","")</f>
        <v/>
      </c>
      <c r="AD879">
        <f>IF(AND(T879,AC879&lt;&gt;""),IF(COUNTIFS(AC$2:AC879,AC879,T$2:T879,TRUE)=1,MAX(AD$1:AD878)+1,""),"")</f>
        <v/>
      </c>
    </row>
    <row r="880">
      <c r="A880">
        <f>ROW()</f>
        <v/>
      </c>
      <c r="B880">
        <f>IF(설정!$C$4="","",IFERROR(INDEX('1.산군_붙여넣기'!$A$1:$AZ$1001,ROW(),설정!$C$4)&amp;"",""))</f>
        <v/>
      </c>
      <c r="C880">
        <f>IF(설정!$C$5="","",IFERROR(INDEX('1.산군_붙여넣기'!$A$1:$AZ$1001,ROW(),설정!$C$5)&amp;"",""))</f>
        <v/>
      </c>
      <c r="D880" s="5">
        <f>IFERROR(VALUE(SUBSTITUTE(SUBSTITUTE(SUBSTITUTE(IF(설정!$C$6="","",IFERROR(INDEX('1.산군_붙여넣기'!$A$1:$AZ$1001,ROW(),설정!$C$6)&amp;"","")),",",""),"㎡",""),"m2","")),"")</f>
        <v/>
      </c>
      <c r="E880">
        <f>IF(설정!$C$7="","",IFERROR(INDEX('1.산군_붙여넣기'!$A$1:$AZ$1001,ROW(),설정!$C$7)&amp;"",""))</f>
        <v/>
      </c>
      <c r="F880">
        <f>IF(설정!$C$8="","",IFERROR(INDEX('1.산군_붙여넣기'!$A$1:$AZ$1001,ROW(),설정!$C$8)&amp;"",""))</f>
        <v/>
      </c>
      <c r="G880">
        <f>IF(설정!$C$9="","",IFERROR(INDEX('1.산군_붙여넣기'!$A$1:$AZ$1001,ROW(),설정!$C$9)&amp;"",""))</f>
        <v/>
      </c>
      <c r="H880">
        <f>IF(설정!$C$10="","",IFERROR(INDEX('1.산군_붙여넣기'!$A$1:$AZ$1001,ROW(),설정!$C$10)&amp;"",""))</f>
        <v/>
      </c>
      <c r="I880">
        <f>IF(설정!$C$11="","",IFERROR(INDEX('1.산군_붙여넣기'!$A$1:$AZ$1001,ROW(),설정!$C$11)&amp;"",""))</f>
        <v/>
      </c>
      <c r="J880">
        <f>IF(설정!$C$12="","",IFERROR(INDEX('1.산군_붙여넣기'!$A$1:$AZ$1001,ROW(),설정!$C$12)&amp;"",""))</f>
        <v/>
      </c>
      <c r="K880">
        <f>IF(설정!$C$13="","",IFERROR(INDEX('1.산군_붙여넣기'!$A$1:$AZ$1001,ROW(),설정!$C$13)&amp;"",""))</f>
        <v/>
      </c>
      <c r="L880" s="7">
        <f>IF(X880="","",IF(AND(LEN(X880)=8,ISNUMBER(X880*1)),DATE(LEFT(X880,4),MID(X880,5,2),RIGHT(X880,2)),IFERROR(DATEVALUE(SUBSTITUTE(SUBSTITUTE(X880,".","-"),"/","-")),IFERROR(X880*1,""))))</f>
        <v/>
      </c>
      <c r="M880" s="7">
        <f>IF(Y880="","",IF(AND(LEN(Y880)=8,ISNUMBER(Y880*1)),DATE(LEFT(Y880,4),MID(Y880,5,2),RIGHT(Y880,2)),IFERROR(DATEVALUE(SUBSTITUTE(SUBSTITUTE(Y880,".","-"),"/","-")),IFERROR(Y880*1,""))))</f>
        <v/>
      </c>
      <c r="N880">
        <f>IFERROR(LEFT(B880,FIND(" ",B880)-1),B880)</f>
        <v/>
      </c>
      <c r="O880">
        <f>AND(B880&lt;&gt;"",B880&lt;&gt;설정!$B$4,C880&lt;&gt;설정!$B$5)</f>
        <v/>
      </c>
      <c r="P880">
        <f>IF(O880,B880&amp;"|"&amp;C880,"")</f>
        <v/>
      </c>
      <c r="Q880">
        <f>AND(O880,COUNTIF(P881:P$1002,P880)=0)</f>
        <v/>
      </c>
      <c r="R880">
        <f>OR(AND(설정!$A$42&lt;&gt;"",ISNUMBER(SEARCH(설정!$A$42,E880&amp;" "&amp;C880))),AND(설정!$A$43&lt;&gt;"",ISNUMBER(SEARCH(설정!$A$43,E880&amp;" "&amp;C880))),AND(설정!$A$44&lt;&gt;"",ISNUMBER(SEARCH(설정!$A$44,E880&amp;" "&amp;C880))),AND(설정!$A$45&lt;&gt;"",ISNUMBER(SEARCH(설정!$A$45,E880&amp;" "&amp;C880))),AND(설정!$A$46&lt;&gt;"",ISNUMBER(SEARCH(설정!$A$46,E880&amp;" "&amp;C880))),AND(설정!$A$47&lt;&gt;"",ISNUMBER(SEARCH(설정!$A$47,E880&amp;" "&amp;C880))),AND(설정!$A$48&lt;&gt;"",ISNUMBER(SEARCH(설정!$A$48,E880&amp;" "&amp;C880))),AND(설정!$A$49&lt;&gt;"",ISNUMBER(SEARCH(설정!$A$49,E880&amp;" "&amp;C880))),AND(설정!$A$50&lt;&gt;"",ISNUMBER(SEARCH(설정!$A$50,E880&amp;" "&amp;C880))),AND(설정!$A$51&lt;&gt;"",ISNUMBER(SEARCH(설정!$A$51,E880&amp;" "&amp;C880))))</f>
        <v/>
      </c>
      <c r="S880">
        <f>OR(D880="",D880&gt;=설정!$B$19)</f>
        <v/>
      </c>
      <c r="T880">
        <f>AND(Q880,R880,S880)</f>
        <v/>
      </c>
      <c r="U880">
        <f>IF(T880,IF(AND(설정!$A$54&lt;&gt;"",ISNUMBER(SEARCH(설정!$A$54,K880))),설정!$B$54,IF(AND(설정!$A$55&lt;&gt;"",ISNUMBER(SEARCH(설정!$A$55,K880))),설정!$B$55,IF(AND(설정!$A$56&lt;&gt;"",ISNUMBER(SEARCH(설정!$A$56,K880))),설정!$B$56,IF(AND(설정!$A$57&lt;&gt;"",ISNUMBER(SEARCH(설정!$A$57,K880))),설정!$B$57,IF(AND(설정!$A$58&lt;&gt;"",ISNUMBER(SEARCH(설정!$A$58,K880))),설정!$B$58,IF(AND(설정!$A$59&lt;&gt;"",ISNUMBER(SEARCH(설정!$A$59,K880))),설정!$B$59,IF(AND(설정!$A$60&lt;&gt;"",ISNUMBER(SEARCH(설정!$A$60,K880))),설정!$B$60,IF(AND(설정!$A$61&lt;&gt;"",ISNUMBER(SEARCH(설정!$A$61,K880))),설정!$B$61,IF(M880="","설계사","시공사"))))))))),"")</f>
        <v/>
      </c>
      <c r="V880">
        <f>SUBSTITUTE(SUBSTITUTE(SUBSTITUTE(SUBSTITUTE(G880,"(주)",""),"㈜",""),"주식회사","")," ","")</f>
        <v/>
      </c>
      <c r="W880">
        <f>IF(AND(T880,V880&lt;&gt;""),IF(COUNTIFS(V$2:V880,V880,T$2:T880,TRUE)=1,MAX(W$1:W879)+1,""),"")</f>
        <v/>
      </c>
      <c r="X880">
        <f>IF(설정!$C$14="","",IFERROR(INDEX('1.산군_붙여넣기'!$A$1:$AZ$1001,ROW(),설정!$C$14)&amp;"",""))</f>
        <v/>
      </c>
      <c r="Y880">
        <f>IF(설정!$C$15="","",IFERROR(INDEX('1.산군_붙여넣기'!$A$1:$AZ$1001,ROW(),설정!$C$15)&amp;"",""))</f>
        <v/>
      </c>
      <c r="Z880">
        <f>IF(T880,V880&amp;"|"&amp;U880,"")</f>
        <v/>
      </c>
      <c r="AA880">
        <f>IF(NOT(Q880),"",IF(NOT(AND(R880,S880)),"✕",IF(OR(OR(AND(L880&lt;&gt;"",M880&lt;&gt;"",N(M880)-N(L880)&gt;설정!$B$27),AND(L880&lt;&gt;"",M880="",설정!$B$24-N(L880)&gt;설정!$B$27)),AND(D880&lt;&gt;"",D880&lt;설정!$B$26)),"△","★")))</f>
        <v/>
      </c>
      <c r="AB880">
        <f>IF(NOT(T880),"",IF(U880="설계사",설정!$B$31,IF(U880="시공사",IF(OR(M880="",설정!$B$24-N(M880)&lt;=설정!$B$28*30.4),설정!$B$32,설정!$B$33),설정!$B$34))+IF(AA880="★",설정!$B$35,0))</f>
        <v/>
      </c>
      <c r="AC880">
        <f>SUBSTITUTE(SUBSTITUTE(SUBSTITUTE(SUBSTITUTE(H880,"(주)",""),"㈜",""),"주식회사","")," ","")</f>
        <v/>
      </c>
      <c r="AD880">
        <f>IF(AND(T880,AC880&lt;&gt;""),IF(COUNTIFS(AC$2:AC880,AC880,T$2:T880,TRUE)=1,MAX(AD$1:AD879)+1,""),"")</f>
        <v/>
      </c>
    </row>
    <row r="881">
      <c r="A881">
        <f>ROW()</f>
        <v/>
      </c>
      <c r="B881">
        <f>IF(설정!$C$4="","",IFERROR(INDEX('1.산군_붙여넣기'!$A$1:$AZ$1001,ROW(),설정!$C$4)&amp;"",""))</f>
        <v/>
      </c>
      <c r="C881">
        <f>IF(설정!$C$5="","",IFERROR(INDEX('1.산군_붙여넣기'!$A$1:$AZ$1001,ROW(),설정!$C$5)&amp;"",""))</f>
        <v/>
      </c>
      <c r="D881" s="5">
        <f>IFERROR(VALUE(SUBSTITUTE(SUBSTITUTE(SUBSTITUTE(IF(설정!$C$6="","",IFERROR(INDEX('1.산군_붙여넣기'!$A$1:$AZ$1001,ROW(),설정!$C$6)&amp;"","")),",",""),"㎡",""),"m2","")),"")</f>
        <v/>
      </c>
      <c r="E881">
        <f>IF(설정!$C$7="","",IFERROR(INDEX('1.산군_붙여넣기'!$A$1:$AZ$1001,ROW(),설정!$C$7)&amp;"",""))</f>
        <v/>
      </c>
      <c r="F881">
        <f>IF(설정!$C$8="","",IFERROR(INDEX('1.산군_붙여넣기'!$A$1:$AZ$1001,ROW(),설정!$C$8)&amp;"",""))</f>
        <v/>
      </c>
      <c r="G881">
        <f>IF(설정!$C$9="","",IFERROR(INDEX('1.산군_붙여넣기'!$A$1:$AZ$1001,ROW(),설정!$C$9)&amp;"",""))</f>
        <v/>
      </c>
      <c r="H881">
        <f>IF(설정!$C$10="","",IFERROR(INDEX('1.산군_붙여넣기'!$A$1:$AZ$1001,ROW(),설정!$C$10)&amp;"",""))</f>
        <v/>
      </c>
      <c r="I881">
        <f>IF(설정!$C$11="","",IFERROR(INDEX('1.산군_붙여넣기'!$A$1:$AZ$1001,ROW(),설정!$C$11)&amp;"",""))</f>
        <v/>
      </c>
      <c r="J881">
        <f>IF(설정!$C$12="","",IFERROR(INDEX('1.산군_붙여넣기'!$A$1:$AZ$1001,ROW(),설정!$C$12)&amp;"",""))</f>
        <v/>
      </c>
      <c r="K881">
        <f>IF(설정!$C$13="","",IFERROR(INDEX('1.산군_붙여넣기'!$A$1:$AZ$1001,ROW(),설정!$C$13)&amp;"",""))</f>
        <v/>
      </c>
      <c r="L881" s="7">
        <f>IF(X881="","",IF(AND(LEN(X881)=8,ISNUMBER(X881*1)),DATE(LEFT(X881,4),MID(X881,5,2),RIGHT(X881,2)),IFERROR(DATEVALUE(SUBSTITUTE(SUBSTITUTE(X881,".","-"),"/","-")),IFERROR(X881*1,""))))</f>
        <v/>
      </c>
      <c r="M881" s="7">
        <f>IF(Y881="","",IF(AND(LEN(Y881)=8,ISNUMBER(Y881*1)),DATE(LEFT(Y881,4),MID(Y881,5,2),RIGHT(Y881,2)),IFERROR(DATEVALUE(SUBSTITUTE(SUBSTITUTE(Y881,".","-"),"/","-")),IFERROR(Y881*1,""))))</f>
        <v/>
      </c>
      <c r="N881">
        <f>IFERROR(LEFT(B881,FIND(" ",B881)-1),B881)</f>
        <v/>
      </c>
      <c r="O881">
        <f>AND(B881&lt;&gt;"",B881&lt;&gt;설정!$B$4,C881&lt;&gt;설정!$B$5)</f>
        <v/>
      </c>
      <c r="P881">
        <f>IF(O881,B881&amp;"|"&amp;C881,"")</f>
        <v/>
      </c>
      <c r="Q881">
        <f>AND(O881,COUNTIF(P882:P$1002,P881)=0)</f>
        <v/>
      </c>
      <c r="R881">
        <f>OR(AND(설정!$A$42&lt;&gt;"",ISNUMBER(SEARCH(설정!$A$42,E881&amp;" "&amp;C881))),AND(설정!$A$43&lt;&gt;"",ISNUMBER(SEARCH(설정!$A$43,E881&amp;" "&amp;C881))),AND(설정!$A$44&lt;&gt;"",ISNUMBER(SEARCH(설정!$A$44,E881&amp;" "&amp;C881))),AND(설정!$A$45&lt;&gt;"",ISNUMBER(SEARCH(설정!$A$45,E881&amp;" "&amp;C881))),AND(설정!$A$46&lt;&gt;"",ISNUMBER(SEARCH(설정!$A$46,E881&amp;" "&amp;C881))),AND(설정!$A$47&lt;&gt;"",ISNUMBER(SEARCH(설정!$A$47,E881&amp;" "&amp;C881))),AND(설정!$A$48&lt;&gt;"",ISNUMBER(SEARCH(설정!$A$48,E881&amp;" "&amp;C881))),AND(설정!$A$49&lt;&gt;"",ISNUMBER(SEARCH(설정!$A$49,E881&amp;" "&amp;C881))),AND(설정!$A$50&lt;&gt;"",ISNUMBER(SEARCH(설정!$A$50,E881&amp;" "&amp;C881))),AND(설정!$A$51&lt;&gt;"",ISNUMBER(SEARCH(설정!$A$51,E881&amp;" "&amp;C881))))</f>
        <v/>
      </c>
      <c r="S881">
        <f>OR(D881="",D881&gt;=설정!$B$19)</f>
        <v/>
      </c>
      <c r="T881">
        <f>AND(Q881,R881,S881)</f>
        <v/>
      </c>
      <c r="U881">
        <f>IF(T881,IF(AND(설정!$A$54&lt;&gt;"",ISNUMBER(SEARCH(설정!$A$54,K881))),설정!$B$54,IF(AND(설정!$A$55&lt;&gt;"",ISNUMBER(SEARCH(설정!$A$55,K881))),설정!$B$55,IF(AND(설정!$A$56&lt;&gt;"",ISNUMBER(SEARCH(설정!$A$56,K881))),설정!$B$56,IF(AND(설정!$A$57&lt;&gt;"",ISNUMBER(SEARCH(설정!$A$57,K881))),설정!$B$57,IF(AND(설정!$A$58&lt;&gt;"",ISNUMBER(SEARCH(설정!$A$58,K881))),설정!$B$58,IF(AND(설정!$A$59&lt;&gt;"",ISNUMBER(SEARCH(설정!$A$59,K881))),설정!$B$59,IF(AND(설정!$A$60&lt;&gt;"",ISNUMBER(SEARCH(설정!$A$60,K881))),설정!$B$60,IF(AND(설정!$A$61&lt;&gt;"",ISNUMBER(SEARCH(설정!$A$61,K881))),설정!$B$61,IF(M881="","설계사","시공사"))))))))),"")</f>
        <v/>
      </c>
      <c r="V881">
        <f>SUBSTITUTE(SUBSTITUTE(SUBSTITUTE(SUBSTITUTE(G881,"(주)",""),"㈜",""),"주식회사","")," ","")</f>
        <v/>
      </c>
      <c r="W881">
        <f>IF(AND(T881,V881&lt;&gt;""),IF(COUNTIFS(V$2:V881,V881,T$2:T881,TRUE)=1,MAX(W$1:W880)+1,""),"")</f>
        <v/>
      </c>
      <c r="X881">
        <f>IF(설정!$C$14="","",IFERROR(INDEX('1.산군_붙여넣기'!$A$1:$AZ$1001,ROW(),설정!$C$14)&amp;"",""))</f>
        <v/>
      </c>
      <c r="Y881">
        <f>IF(설정!$C$15="","",IFERROR(INDEX('1.산군_붙여넣기'!$A$1:$AZ$1001,ROW(),설정!$C$15)&amp;"",""))</f>
        <v/>
      </c>
      <c r="Z881">
        <f>IF(T881,V881&amp;"|"&amp;U881,"")</f>
        <v/>
      </c>
      <c r="AA881">
        <f>IF(NOT(Q881),"",IF(NOT(AND(R881,S881)),"✕",IF(OR(OR(AND(L881&lt;&gt;"",M881&lt;&gt;"",N(M881)-N(L881)&gt;설정!$B$27),AND(L881&lt;&gt;"",M881="",설정!$B$24-N(L881)&gt;설정!$B$27)),AND(D881&lt;&gt;"",D881&lt;설정!$B$26)),"△","★")))</f>
        <v/>
      </c>
      <c r="AB881">
        <f>IF(NOT(T881),"",IF(U881="설계사",설정!$B$31,IF(U881="시공사",IF(OR(M881="",설정!$B$24-N(M881)&lt;=설정!$B$28*30.4),설정!$B$32,설정!$B$33),설정!$B$34))+IF(AA881="★",설정!$B$35,0))</f>
        <v/>
      </c>
      <c r="AC881">
        <f>SUBSTITUTE(SUBSTITUTE(SUBSTITUTE(SUBSTITUTE(H881,"(주)",""),"㈜",""),"주식회사","")," ","")</f>
        <v/>
      </c>
      <c r="AD881">
        <f>IF(AND(T881,AC881&lt;&gt;""),IF(COUNTIFS(AC$2:AC881,AC881,T$2:T881,TRUE)=1,MAX(AD$1:AD880)+1,""),"")</f>
        <v/>
      </c>
    </row>
    <row r="882">
      <c r="A882">
        <f>ROW()</f>
        <v/>
      </c>
      <c r="B882">
        <f>IF(설정!$C$4="","",IFERROR(INDEX('1.산군_붙여넣기'!$A$1:$AZ$1001,ROW(),설정!$C$4)&amp;"",""))</f>
        <v/>
      </c>
      <c r="C882">
        <f>IF(설정!$C$5="","",IFERROR(INDEX('1.산군_붙여넣기'!$A$1:$AZ$1001,ROW(),설정!$C$5)&amp;"",""))</f>
        <v/>
      </c>
      <c r="D882" s="5">
        <f>IFERROR(VALUE(SUBSTITUTE(SUBSTITUTE(SUBSTITUTE(IF(설정!$C$6="","",IFERROR(INDEX('1.산군_붙여넣기'!$A$1:$AZ$1001,ROW(),설정!$C$6)&amp;"","")),",",""),"㎡",""),"m2","")),"")</f>
        <v/>
      </c>
      <c r="E882">
        <f>IF(설정!$C$7="","",IFERROR(INDEX('1.산군_붙여넣기'!$A$1:$AZ$1001,ROW(),설정!$C$7)&amp;"",""))</f>
        <v/>
      </c>
      <c r="F882">
        <f>IF(설정!$C$8="","",IFERROR(INDEX('1.산군_붙여넣기'!$A$1:$AZ$1001,ROW(),설정!$C$8)&amp;"",""))</f>
        <v/>
      </c>
      <c r="G882">
        <f>IF(설정!$C$9="","",IFERROR(INDEX('1.산군_붙여넣기'!$A$1:$AZ$1001,ROW(),설정!$C$9)&amp;"",""))</f>
        <v/>
      </c>
      <c r="H882">
        <f>IF(설정!$C$10="","",IFERROR(INDEX('1.산군_붙여넣기'!$A$1:$AZ$1001,ROW(),설정!$C$10)&amp;"",""))</f>
        <v/>
      </c>
      <c r="I882">
        <f>IF(설정!$C$11="","",IFERROR(INDEX('1.산군_붙여넣기'!$A$1:$AZ$1001,ROW(),설정!$C$11)&amp;"",""))</f>
        <v/>
      </c>
      <c r="J882">
        <f>IF(설정!$C$12="","",IFERROR(INDEX('1.산군_붙여넣기'!$A$1:$AZ$1001,ROW(),설정!$C$12)&amp;"",""))</f>
        <v/>
      </c>
      <c r="K882">
        <f>IF(설정!$C$13="","",IFERROR(INDEX('1.산군_붙여넣기'!$A$1:$AZ$1001,ROW(),설정!$C$13)&amp;"",""))</f>
        <v/>
      </c>
      <c r="L882" s="7">
        <f>IF(X882="","",IF(AND(LEN(X882)=8,ISNUMBER(X882*1)),DATE(LEFT(X882,4),MID(X882,5,2),RIGHT(X882,2)),IFERROR(DATEVALUE(SUBSTITUTE(SUBSTITUTE(X882,".","-"),"/","-")),IFERROR(X882*1,""))))</f>
        <v/>
      </c>
      <c r="M882" s="7">
        <f>IF(Y882="","",IF(AND(LEN(Y882)=8,ISNUMBER(Y882*1)),DATE(LEFT(Y882,4),MID(Y882,5,2),RIGHT(Y882,2)),IFERROR(DATEVALUE(SUBSTITUTE(SUBSTITUTE(Y882,".","-"),"/","-")),IFERROR(Y882*1,""))))</f>
        <v/>
      </c>
      <c r="N882">
        <f>IFERROR(LEFT(B882,FIND(" ",B882)-1),B882)</f>
        <v/>
      </c>
      <c r="O882">
        <f>AND(B882&lt;&gt;"",B882&lt;&gt;설정!$B$4,C882&lt;&gt;설정!$B$5)</f>
        <v/>
      </c>
      <c r="P882">
        <f>IF(O882,B882&amp;"|"&amp;C882,"")</f>
        <v/>
      </c>
      <c r="Q882">
        <f>AND(O882,COUNTIF(P883:P$1002,P882)=0)</f>
        <v/>
      </c>
      <c r="R882">
        <f>OR(AND(설정!$A$42&lt;&gt;"",ISNUMBER(SEARCH(설정!$A$42,E882&amp;" "&amp;C882))),AND(설정!$A$43&lt;&gt;"",ISNUMBER(SEARCH(설정!$A$43,E882&amp;" "&amp;C882))),AND(설정!$A$44&lt;&gt;"",ISNUMBER(SEARCH(설정!$A$44,E882&amp;" "&amp;C882))),AND(설정!$A$45&lt;&gt;"",ISNUMBER(SEARCH(설정!$A$45,E882&amp;" "&amp;C882))),AND(설정!$A$46&lt;&gt;"",ISNUMBER(SEARCH(설정!$A$46,E882&amp;" "&amp;C882))),AND(설정!$A$47&lt;&gt;"",ISNUMBER(SEARCH(설정!$A$47,E882&amp;" "&amp;C882))),AND(설정!$A$48&lt;&gt;"",ISNUMBER(SEARCH(설정!$A$48,E882&amp;" "&amp;C882))),AND(설정!$A$49&lt;&gt;"",ISNUMBER(SEARCH(설정!$A$49,E882&amp;" "&amp;C882))),AND(설정!$A$50&lt;&gt;"",ISNUMBER(SEARCH(설정!$A$50,E882&amp;" "&amp;C882))),AND(설정!$A$51&lt;&gt;"",ISNUMBER(SEARCH(설정!$A$51,E882&amp;" "&amp;C882))))</f>
        <v/>
      </c>
      <c r="S882">
        <f>OR(D882="",D882&gt;=설정!$B$19)</f>
        <v/>
      </c>
      <c r="T882">
        <f>AND(Q882,R882,S882)</f>
        <v/>
      </c>
      <c r="U882">
        <f>IF(T882,IF(AND(설정!$A$54&lt;&gt;"",ISNUMBER(SEARCH(설정!$A$54,K882))),설정!$B$54,IF(AND(설정!$A$55&lt;&gt;"",ISNUMBER(SEARCH(설정!$A$55,K882))),설정!$B$55,IF(AND(설정!$A$56&lt;&gt;"",ISNUMBER(SEARCH(설정!$A$56,K882))),설정!$B$56,IF(AND(설정!$A$57&lt;&gt;"",ISNUMBER(SEARCH(설정!$A$57,K882))),설정!$B$57,IF(AND(설정!$A$58&lt;&gt;"",ISNUMBER(SEARCH(설정!$A$58,K882))),설정!$B$58,IF(AND(설정!$A$59&lt;&gt;"",ISNUMBER(SEARCH(설정!$A$59,K882))),설정!$B$59,IF(AND(설정!$A$60&lt;&gt;"",ISNUMBER(SEARCH(설정!$A$60,K882))),설정!$B$60,IF(AND(설정!$A$61&lt;&gt;"",ISNUMBER(SEARCH(설정!$A$61,K882))),설정!$B$61,IF(M882="","설계사","시공사"))))))))),"")</f>
        <v/>
      </c>
      <c r="V882">
        <f>SUBSTITUTE(SUBSTITUTE(SUBSTITUTE(SUBSTITUTE(G882,"(주)",""),"㈜",""),"주식회사","")," ","")</f>
        <v/>
      </c>
      <c r="W882">
        <f>IF(AND(T882,V882&lt;&gt;""),IF(COUNTIFS(V$2:V882,V882,T$2:T882,TRUE)=1,MAX(W$1:W881)+1,""),"")</f>
        <v/>
      </c>
      <c r="X882">
        <f>IF(설정!$C$14="","",IFERROR(INDEX('1.산군_붙여넣기'!$A$1:$AZ$1001,ROW(),설정!$C$14)&amp;"",""))</f>
        <v/>
      </c>
      <c r="Y882">
        <f>IF(설정!$C$15="","",IFERROR(INDEX('1.산군_붙여넣기'!$A$1:$AZ$1001,ROW(),설정!$C$15)&amp;"",""))</f>
        <v/>
      </c>
      <c r="Z882">
        <f>IF(T882,V882&amp;"|"&amp;U882,"")</f>
        <v/>
      </c>
      <c r="AA882">
        <f>IF(NOT(Q882),"",IF(NOT(AND(R882,S882)),"✕",IF(OR(OR(AND(L882&lt;&gt;"",M882&lt;&gt;"",N(M882)-N(L882)&gt;설정!$B$27),AND(L882&lt;&gt;"",M882="",설정!$B$24-N(L882)&gt;설정!$B$27)),AND(D882&lt;&gt;"",D882&lt;설정!$B$26)),"△","★")))</f>
        <v/>
      </c>
      <c r="AB882">
        <f>IF(NOT(T882),"",IF(U882="설계사",설정!$B$31,IF(U882="시공사",IF(OR(M882="",설정!$B$24-N(M882)&lt;=설정!$B$28*30.4),설정!$B$32,설정!$B$33),설정!$B$34))+IF(AA882="★",설정!$B$35,0))</f>
        <v/>
      </c>
      <c r="AC882">
        <f>SUBSTITUTE(SUBSTITUTE(SUBSTITUTE(SUBSTITUTE(H882,"(주)",""),"㈜",""),"주식회사","")," ","")</f>
        <v/>
      </c>
      <c r="AD882">
        <f>IF(AND(T882,AC882&lt;&gt;""),IF(COUNTIFS(AC$2:AC882,AC882,T$2:T882,TRUE)=1,MAX(AD$1:AD881)+1,""),"")</f>
        <v/>
      </c>
    </row>
    <row r="883">
      <c r="A883">
        <f>ROW()</f>
        <v/>
      </c>
      <c r="B883">
        <f>IF(설정!$C$4="","",IFERROR(INDEX('1.산군_붙여넣기'!$A$1:$AZ$1001,ROW(),설정!$C$4)&amp;"",""))</f>
        <v/>
      </c>
      <c r="C883">
        <f>IF(설정!$C$5="","",IFERROR(INDEX('1.산군_붙여넣기'!$A$1:$AZ$1001,ROW(),설정!$C$5)&amp;"",""))</f>
        <v/>
      </c>
      <c r="D883" s="5">
        <f>IFERROR(VALUE(SUBSTITUTE(SUBSTITUTE(SUBSTITUTE(IF(설정!$C$6="","",IFERROR(INDEX('1.산군_붙여넣기'!$A$1:$AZ$1001,ROW(),설정!$C$6)&amp;"","")),",",""),"㎡",""),"m2","")),"")</f>
        <v/>
      </c>
      <c r="E883">
        <f>IF(설정!$C$7="","",IFERROR(INDEX('1.산군_붙여넣기'!$A$1:$AZ$1001,ROW(),설정!$C$7)&amp;"",""))</f>
        <v/>
      </c>
      <c r="F883">
        <f>IF(설정!$C$8="","",IFERROR(INDEX('1.산군_붙여넣기'!$A$1:$AZ$1001,ROW(),설정!$C$8)&amp;"",""))</f>
        <v/>
      </c>
      <c r="G883">
        <f>IF(설정!$C$9="","",IFERROR(INDEX('1.산군_붙여넣기'!$A$1:$AZ$1001,ROW(),설정!$C$9)&amp;"",""))</f>
        <v/>
      </c>
      <c r="H883">
        <f>IF(설정!$C$10="","",IFERROR(INDEX('1.산군_붙여넣기'!$A$1:$AZ$1001,ROW(),설정!$C$10)&amp;"",""))</f>
        <v/>
      </c>
      <c r="I883">
        <f>IF(설정!$C$11="","",IFERROR(INDEX('1.산군_붙여넣기'!$A$1:$AZ$1001,ROW(),설정!$C$11)&amp;"",""))</f>
        <v/>
      </c>
      <c r="J883">
        <f>IF(설정!$C$12="","",IFERROR(INDEX('1.산군_붙여넣기'!$A$1:$AZ$1001,ROW(),설정!$C$12)&amp;"",""))</f>
        <v/>
      </c>
      <c r="K883">
        <f>IF(설정!$C$13="","",IFERROR(INDEX('1.산군_붙여넣기'!$A$1:$AZ$1001,ROW(),설정!$C$13)&amp;"",""))</f>
        <v/>
      </c>
      <c r="L883" s="7">
        <f>IF(X883="","",IF(AND(LEN(X883)=8,ISNUMBER(X883*1)),DATE(LEFT(X883,4),MID(X883,5,2),RIGHT(X883,2)),IFERROR(DATEVALUE(SUBSTITUTE(SUBSTITUTE(X883,".","-"),"/","-")),IFERROR(X883*1,""))))</f>
        <v/>
      </c>
      <c r="M883" s="7">
        <f>IF(Y883="","",IF(AND(LEN(Y883)=8,ISNUMBER(Y883*1)),DATE(LEFT(Y883,4),MID(Y883,5,2),RIGHT(Y883,2)),IFERROR(DATEVALUE(SUBSTITUTE(SUBSTITUTE(Y883,".","-"),"/","-")),IFERROR(Y883*1,""))))</f>
        <v/>
      </c>
      <c r="N883">
        <f>IFERROR(LEFT(B883,FIND(" ",B883)-1),B883)</f>
        <v/>
      </c>
      <c r="O883">
        <f>AND(B883&lt;&gt;"",B883&lt;&gt;설정!$B$4,C883&lt;&gt;설정!$B$5)</f>
        <v/>
      </c>
      <c r="P883">
        <f>IF(O883,B883&amp;"|"&amp;C883,"")</f>
        <v/>
      </c>
      <c r="Q883">
        <f>AND(O883,COUNTIF(P884:P$1002,P883)=0)</f>
        <v/>
      </c>
      <c r="R883">
        <f>OR(AND(설정!$A$42&lt;&gt;"",ISNUMBER(SEARCH(설정!$A$42,E883&amp;" "&amp;C883))),AND(설정!$A$43&lt;&gt;"",ISNUMBER(SEARCH(설정!$A$43,E883&amp;" "&amp;C883))),AND(설정!$A$44&lt;&gt;"",ISNUMBER(SEARCH(설정!$A$44,E883&amp;" "&amp;C883))),AND(설정!$A$45&lt;&gt;"",ISNUMBER(SEARCH(설정!$A$45,E883&amp;" "&amp;C883))),AND(설정!$A$46&lt;&gt;"",ISNUMBER(SEARCH(설정!$A$46,E883&amp;" "&amp;C883))),AND(설정!$A$47&lt;&gt;"",ISNUMBER(SEARCH(설정!$A$47,E883&amp;" "&amp;C883))),AND(설정!$A$48&lt;&gt;"",ISNUMBER(SEARCH(설정!$A$48,E883&amp;" "&amp;C883))),AND(설정!$A$49&lt;&gt;"",ISNUMBER(SEARCH(설정!$A$49,E883&amp;" "&amp;C883))),AND(설정!$A$50&lt;&gt;"",ISNUMBER(SEARCH(설정!$A$50,E883&amp;" "&amp;C883))),AND(설정!$A$51&lt;&gt;"",ISNUMBER(SEARCH(설정!$A$51,E883&amp;" "&amp;C883))))</f>
        <v/>
      </c>
      <c r="S883">
        <f>OR(D883="",D883&gt;=설정!$B$19)</f>
        <v/>
      </c>
      <c r="T883">
        <f>AND(Q883,R883,S883)</f>
        <v/>
      </c>
      <c r="U883">
        <f>IF(T883,IF(AND(설정!$A$54&lt;&gt;"",ISNUMBER(SEARCH(설정!$A$54,K883))),설정!$B$54,IF(AND(설정!$A$55&lt;&gt;"",ISNUMBER(SEARCH(설정!$A$55,K883))),설정!$B$55,IF(AND(설정!$A$56&lt;&gt;"",ISNUMBER(SEARCH(설정!$A$56,K883))),설정!$B$56,IF(AND(설정!$A$57&lt;&gt;"",ISNUMBER(SEARCH(설정!$A$57,K883))),설정!$B$57,IF(AND(설정!$A$58&lt;&gt;"",ISNUMBER(SEARCH(설정!$A$58,K883))),설정!$B$58,IF(AND(설정!$A$59&lt;&gt;"",ISNUMBER(SEARCH(설정!$A$59,K883))),설정!$B$59,IF(AND(설정!$A$60&lt;&gt;"",ISNUMBER(SEARCH(설정!$A$60,K883))),설정!$B$60,IF(AND(설정!$A$61&lt;&gt;"",ISNUMBER(SEARCH(설정!$A$61,K883))),설정!$B$61,IF(M883="","설계사","시공사"))))))))),"")</f>
        <v/>
      </c>
      <c r="V883">
        <f>SUBSTITUTE(SUBSTITUTE(SUBSTITUTE(SUBSTITUTE(G883,"(주)",""),"㈜",""),"주식회사","")," ","")</f>
        <v/>
      </c>
      <c r="W883">
        <f>IF(AND(T883,V883&lt;&gt;""),IF(COUNTIFS(V$2:V883,V883,T$2:T883,TRUE)=1,MAX(W$1:W882)+1,""),"")</f>
        <v/>
      </c>
      <c r="X883">
        <f>IF(설정!$C$14="","",IFERROR(INDEX('1.산군_붙여넣기'!$A$1:$AZ$1001,ROW(),설정!$C$14)&amp;"",""))</f>
        <v/>
      </c>
      <c r="Y883">
        <f>IF(설정!$C$15="","",IFERROR(INDEX('1.산군_붙여넣기'!$A$1:$AZ$1001,ROW(),설정!$C$15)&amp;"",""))</f>
        <v/>
      </c>
      <c r="Z883">
        <f>IF(T883,V883&amp;"|"&amp;U883,"")</f>
        <v/>
      </c>
      <c r="AA883">
        <f>IF(NOT(Q883),"",IF(NOT(AND(R883,S883)),"✕",IF(OR(OR(AND(L883&lt;&gt;"",M883&lt;&gt;"",N(M883)-N(L883)&gt;설정!$B$27),AND(L883&lt;&gt;"",M883="",설정!$B$24-N(L883)&gt;설정!$B$27)),AND(D883&lt;&gt;"",D883&lt;설정!$B$26)),"△","★")))</f>
        <v/>
      </c>
      <c r="AB883">
        <f>IF(NOT(T883),"",IF(U883="설계사",설정!$B$31,IF(U883="시공사",IF(OR(M883="",설정!$B$24-N(M883)&lt;=설정!$B$28*30.4),설정!$B$32,설정!$B$33),설정!$B$34))+IF(AA883="★",설정!$B$35,0))</f>
        <v/>
      </c>
      <c r="AC883">
        <f>SUBSTITUTE(SUBSTITUTE(SUBSTITUTE(SUBSTITUTE(H883,"(주)",""),"㈜",""),"주식회사","")," ","")</f>
        <v/>
      </c>
      <c r="AD883">
        <f>IF(AND(T883,AC883&lt;&gt;""),IF(COUNTIFS(AC$2:AC883,AC883,T$2:T883,TRUE)=1,MAX(AD$1:AD882)+1,""),"")</f>
        <v/>
      </c>
    </row>
    <row r="884">
      <c r="A884">
        <f>ROW()</f>
        <v/>
      </c>
      <c r="B884">
        <f>IF(설정!$C$4="","",IFERROR(INDEX('1.산군_붙여넣기'!$A$1:$AZ$1001,ROW(),설정!$C$4)&amp;"",""))</f>
        <v/>
      </c>
      <c r="C884">
        <f>IF(설정!$C$5="","",IFERROR(INDEX('1.산군_붙여넣기'!$A$1:$AZ$1001,ROW(),설정!$C$5)&amp;"",""))</f>
        <v/>
      </c>
      <c r="D884" s="5">
        <f>IFERROR(VALUE(SUBSTITUTE(SUBSTITUTE(SUBSTITUTE(IF(설정!$C$6="","",IFERROR(INDEX('1.산군_붙여넣기'!$A$1:$AZ$1001,ROW(),설정!$C$6)&amp;"","")),",",""),"㎡",""),"m2","")),"")</f>
        <v/>
      </c>
      <c r="E884">
        <f>IF(설정!$C$7="","",IFERROR(INDEX('1.산군_붙여넣기'!$A$1:$AZ$1001,ROW(),설정!$C$7)&amp;"",""))</f>
        <v/>
      </c>
      <c r="F884">
        <f>IF(설정!$C$8="","",IFERROR(INDEX('1.산군_붙여넣기'!$A$1:$AZ$1001,ROW(),설정!$C$8)&amp;"",""))</f>
        <v/>
      </c>
      <c r="G884">
        <f>IF(설정!$C$9="","",IFERROR(INDEX('1.산군_붙여넣기'!$A$1:$AZ$1001,ROW(),설정!$C$9)&amp;"",""))</f>
        <v/>
      </c>
      <c r="H884">
        <f>IF(설정!$C$10="","",IFERROR(INDEX('1.산군_붙여넣기'!$A$1:$AZ$1001,ROW(),설정!$C$10)&amp;"",""))</f>
        <v/>
      </c>
      <c r="I884">
        <f>IF(설정!$C$11="","",IFERROR(INDEX('1.산군_붙여넣기'!$A$1:$AZ$1001,ROW(),설정!$C$11)&amp;"",""))</f>
        <v/>
      </c>
      <c r="J884">
        <f>IF(설정!$C$12="","",IFERROR(INDEX('1.산군_붙여넣기'!$A$1:$AZ$1001,ROW(),설정!$C$12)&amp;"",""))</f>
        <v/>
      </c>
      <c r="K884">
        <f>IF(설정!$C$13="","",IFERROR(INDEX('1.산군_붙여넣기'!$A$1:$AZ$1001,ROW(),설정!$C$13)&amp;"",""))</f>
        <v/>
      </c>
      <c r="L884" s="7">
        <f>IF(X884="","",IF(AND(LEN(X884)=8,ISNUMBER(X884*1)),DATE(LEFT(X884,4),MID(X884,5,2),RIGHT(X884,2)),IFERROR(DATEVALUE(SUBSTITUTE(SUBSTITUTE(X884,".","-"),"/","-")),IFERROR(X884*1,""))))</f>
        <v/>
      </c>
      <c r="M884" s="7">
        <f>IF(Y884="","",IF(AND(LEN(Y884)=8,ISNUMBER(Y884*1)),DATE(LEFT(Y884,4),MID(Y884,5,2),RIGHT(Y884,2)),IFERROR(DATEVALUE(SUBSTITUTE(SUBSTITUTE(Y884,".","-"),"/","-")),IFERROR(Y884*1,""))))</f>
        <v/>
      </c>
      <c r="N884">
        <f>IFERROR(LEFT(B884,FIND(" ",B884)-1),B884)</f>
        <v/>
      </c>
      <c r="O884">
        <f>AND(B884&lt;&gt;"",B884&lt;&gt;설정!$B$4,C884&lt;&gt;설정!$B$5)</f>
        <v/>
      </c>
      <c r="P884">
        <f>IF(O884,B884&amp;"|"&amp;C884,"")</f>
        <v/>
      </c>
      <c r="Q884">
        <f>AND(O884,COUNTIF(P885:P$1002,P884)=0)</f>
        <v/>
      </c>
      <c r="R884">
        <f>OR(AND(설정!$A$42&lt;&gt;"",ISNUMBER(SEARCH(설정!$A$42,E884&amp;" "&amp;C884))),AND(설정!$A$43&lt;&gt;"",ISNUMBER(SEARCH(설정!$A$43,E884&amp;" "&amp;C884))),AND(설정!$A$44&lt;&gt;"",ISNUMBER(SEARCH(설정!$A$44,E884&amp;" "&amp;C884))),AND(설정!$A$45&lt;&gt;"",ISNUMBER(SEARCH(설정!$A$45,E884&amp;" "&amp;C884))),AND(설정!$A$46&lt;&gt;"",ISNUMBER(SEARCH(설정!$A$46,E884&amp;" "&amp;C884))),AND(설정!$A$47&lt;&gt;"",ISNUMBER(SEARCH(설정!$A$47,E884&amp;" "&amp;C884))),AND(설정!$A$48&lt;&gt;"",ISNUMBER(SEARCH(설정!$A$48,E884&amp;" "&amp;C884))),AND(설정!$A$49&lt;&gt;"",ISNUMBER(SEARCH(설정!$A$49,E884&amp;" "&amp;C884))),AND(설정!$A$50&lt;&gt;"",ISNUMBER(SEARCH(설정!$A$50,E884&amp;" "&amp;C884))),AND(설정!$A$51&lt;&gt;"",ISNUMBER(SEARCH(설정!$A$51,E884&amp;" "&amp;C884))))</f>
        <v/>
      </c>
      <c r="S884">
        <f>OR(D884="",D884&gt;=설정!$B$19)</f>
        <v/>
      </c>
      <c r="T884">
        <f>AND(Q884,R884,S884)</f>
        <v/>
      </c>
      <c r="U884">
        <f>IF(T884,IF(AND(설정!$A$54&lt;&gt;"",ISNUMBER(SEARCH(설정!$A$54,K884))),설정!$B$54,IF(AND(설정!$A$55&lt;&gt;"",ISNUMBER(SEARCH(설정!$A$55,K884))),설정!$B$55,IF(AND(설정!$A$56&lt;&gt;"",ISNUMBER(SEARCH(설정!$A$56,K884))),설정!$B$56,IF(AND(설정!$A$57&lt;&gt;"",ISNUMBER(SEARCH(설정!$A$57,K884))),설정!$B$57,IF(AND(설정!$A$58&lt;&gt;"",ISNUMBER(SEARCH(설정!$A$58,K884))),설정!$B$58,IF(AND(설정!$A$59&lt;&gt;"",ISNUMBER(SEARCH(설정!$A$59,K884))),설정!$B$59,IF(AND(설정!$A$60&lt;&gt;"",ISNUMBER(SEARCH(설정!$A$60,K884))),설정!$B$60,IF(AND(설정!$A$61&lt;&gt;"",ISNUMBER(SEARCH(설정!$A$61,K884))),설정!$B$61,IF(M884="","설계사","시공사"))))))))),"")</f>
        <v/>
      </c>
      <c r="V884">
        <f>SUBSTITUTE(SUBSTITUTE(SUBSTITUTE(SUBSTITUTE(G884,"(주)",""),"㈜",""),"주식회사","")," ","")</f>
        <v/>
      </c>
      <c r="W884">
        <f>IF(AND(T884,V884&lt;&gt;""),IF(COUNTIFS(V$2:V884,V884,T$2:T884,TRUE)=1,MAX(W$1:W883)+1,""),"")</f>
        <v/>
      </c>
      <c r="X884">
        <f>IF(설정!$C$14="","",IFERROR(INDEX('1.산군_붙여넣기'!$A$1:$AZ$1001,ROW(),설정!$C$14)&amp;"",""))</f>
        <v/>
      </c>
      <c r="Y884">
        <f>IF(설정!$C$15="","",IFERROR(INDEX('1.산군_붙여넣기'!$A$1:$AZ$1001,ROW(),설정!$C$15)&amp;"",""))</f>
        <v/>
      </c>
      <c r="Z884">
        <f>IF(T884,V884&amp;"|"&amp;U884,"")</f>
        <v/>
      </c>
      <c r="AA884">
        <f>IF(NOT(Q884),"",IF(NOT(AND(R884,S884)),"✕",IF(OR(OR(AND(L884&lt;&gt;"",M884&lt;&gt;"",N(M884)-N(L884)&gt;설정!$B$27),AND(L884&lt;&gt;"",M884="",설정!$B$24-N(L884)&gt;설정!$B$27)),AND(D884&lt;&gt;"",D884&lt;설정!$B$26)),"△","★")))</f>
        <v/>
      </c>
      <c r="AB884">
        <f>IF(NOT(T884),"",IF(U884="설계사",설정!$B$31,IF(U884="시공사",IF(OR(M884="",설정!$B$24-N(M884)&lt;=설정!$B$28*30.4),설정!$B$32,설정!$B$33),설정!$B$34))+IF(AA884="★",설정!$B$35,0))</f>
        <v/>
      </c>
      <c r="AC884">
        <f>SUBSTITUTE(SUBSTITUTE(SUBSTITUTE(SUBSTITUTE(H884,"(주)",""),"㈜",""),"주식회사","")," ","")</f>
        <v/>
      </c>
      <c r="AD884">
        <f>IF(AND(T884,AC884&lt;&gt;""),IF(COUNTIFS(AC$2:AC884,AC884,T$2:T884,TRUE)=1,MAX(AD$1:AD883)+1,""),"")</f>
        <v/>
      </c>
    </row>
    <row r="885">
      <c r="A885">
        <f>ROW()</f>
        <v/>
      </c>
      <c r="B885">
        <f>IF(설정!$C$4="","",IFERROR(INDEX('1.산군_붙여넣기'!$A$1:$AZ$1001,ROW(),설정!$C$4)&amp;"",""))</f>
        <v/>
      </c>
      <c r="C885">
        <f>IF(설정!$C$5="","",IFERROR(INDEX('1.산군_붙여넣기'!$A$1:$AZ$1001,ROW(),설정!$C$5)&amp;"",""))</f>
        <v/>
      </c>
      <c r="D885" s="5">
        <f>IFERROR(VALUE(SUBSTITUTE(SUBSTITUTE(SUBSTITUTE(IF(설정!$C$6="","",IFERROR(INDEX('1.산군_붙여넣기'!$A$1:$AZ$1001,ROW(),설정!$C$6)&amp;"","")),",",""),"㎡",""),"m2","")),"")</f>
        <v/>
      </c>
      <c r="E885">
        <f>IF(설정!$C$7="","",IFERROR(INDEX('1.산군_붙여넣기'!$A$1:$AZ$1001,ROW(),설정!$C$7)&amp;"",""))</f>
        <v/>
      </c>
      <c r="F885">
        <f>IF(설정!$C$8="","",IFERROR(INDEX('1.산군_붙여넣기'!$A$1:$AZ$1001,ROW(),설정!$C$8)&amp;"",""))</f>
        <v/>
      </c>
      <c r="G885">
        <f>IF(설정!$C$9="","",IFERROR(INDEX('1.산군_붙여넣기'!$A$1:$AZ$1001,ROW(),설정!$C$9)&amp;"",""))</f>
        <v/>
      </c>
      <c r="H885">
        <f>IF(설정!$C$10="","",IFERROR(INDEX('1.산군_붙여넣기'!$A$1:$AZ$1001,ROW(),설정!$C$10)&amp;"",""))</f>
        <v/>
      </c>
      <c r="I885">
        <f>IF(설정!$C$11="","",IFERROR(INDEX('1.산군_붙여넣기'!$A$1:$AZ$1001,ROW(),설정!$C$11)&amp;"",""))</f>
        <v/>
      </c>
      <c r="J885">
        <f>IF(설정!$C$12="","",IFERROR(INDEX('1.산군_붙여넣기'!$A$1:$AZ$1001,ROW(),설정!$C$12)&amp;"",""))</f>
        <v/>
      </c>
      <c r="K885">
        <f>IF(설정!$C$13="","",IFERROR(INDEX('1.산군_붙여넣기'!$A$1:$AZ$1001,ROW(),설정!$C$13)&amp;"",""))</f>
        <v/>
      </c>
      <c r="L885" s="7">
        <f>IF(X885="","",IF(AND(LEN(X885)=8,ISNUMBER(X885*1)),DATE(LEFT(X885,4),MID(X885,5,2),RIGHT(X885,2)),IFERROR(DATEVALUE(SUBSTITUTE(SUBSTITUTE(X885,".","-"),"/","-")),IFERROR(X885*1,""))))</f>
        <v/>
      </c>
      <c r="M885" s="7">
        <f>IF(Y885="","",IF(AND(LEN(Y885)=8,ISNUMBER(Y885*1)),DATE(LEFT(Y885,4),MID(Y885,5,2),RIGHT(Y885,2)),IFERROR(DATEVALUE(SUBSTITUTE(SUBSTITUTE(Y885,".","-"),"/","-")),IFERROR(Y885*1,""))))</f>
        <v/>
      </c>
      <c r="N885">
        <f>IFERROR(LEFT(B885,FIND(" ",B885)-1),B885)</f>
        <v/>
      </c>
      <c r="O885">
        <f>AND(B885&lt;&gt;"",B885&lt;&gt;설정!$B$4,C885&lt;&gt;설정!$B$5)</f>
        <v/>
      </c>
      <c r="P885">
        <f>IF(O885,B885&amp;"|"&amp;C885,"")</f>
        <v/>
      </c>
      <c r="Q885">
        <f>AND(O885,COUNTIF(P886:P$1002,P885)=0)</f>
        <v/>
      </c>
      <c r="R885">
        <f>OR(AND(설정!$A$42&lt;&gt;"",ISNUMBER(SEARCH(설정!$A$42,E885&amp;" "&amp;C885))),AND(설정!$A$43&lt;&gt;"",ISNUMBER(SEARCH(설정!$A$43,E885&amp;" "&amp;C885))),AND(설정!$A$44&lt;&gt;"",ISNUMBER(SEARCH(설정!$A$44,E885&amp;" "&amp;C885))),AND(설정!$A$45&lt;&gt;"",ISNUMBER(SEARCH(설정!$A$45,E885&amp;" "&amp;C885))),AND(설정!$A$46&lt;&gt;"",ISNUMBER(SEARCH(설정!$A$46,E885&amp;" "&amp;C885))),AND(설정!$A$47&lt;&gt;"",ISNUMBER(SEARCH(설정!$A$47,E885&amp;" "&amp;C885))),AND(설정!$A$48&lt;&gt;"",ISNUMBER(SEARCH(설정!$A$48,E885&amp;" "&amp;C885))),AND(설정!$A$49&lt;&gt;"",ISNUMBER(SEARCH(설정!$A$49,E885&amp;" "&amp;C885))),AND(설정!$A$50&lt;&gt;"",ISNUMBER(SEARCH(설정!$A$50,E885&amp;" "&amp;C885))),AND(설정!$A$51&lt;&gt;"",ISNUMBER(SEARCH(설정!$A$51,E885&amp;" "&amp;C885))))</f>
        <v/>
      </c>
      <c r="S885">
        <f>OR(D885="",D885&gt;=설정!$B$19)</f>
        <v/>
      </c>
      <c r="T885">
        <f>AND(Q885,R885,S885)</f>
        <v/>
      </c>
      <c r="U885">
        <f>IF(T885,IF(AND(설정!$A$54&lt;&gt;"",ISNUMBER(SEARCH(설정!$A$54,K885))),설정!$B$54,IF(AND(설정!$A$55&lt;&gt;"",ISNUMBER(SEARCH(설정!$A$55,K885))),설정!$B$55,IF(AND(설정!$A$56&lt;&gt;"",ISNUMBER(SEARCH(설정!$A$56,K885))),설정!$B$56,IF(AND(설정!$A$57&lt;&gt;"",ISNUMBER(SEARCH(설정!$A$57,K885))),설정!$B$57,IF(AND(설정!$A$58&lt;&gt;"",ISNUMBER(SEARCH(설정!$A$58,K885))),설정!$B$58,IF(AND(설정!$A$59&lt;&gt;"",ISNUMBER(SEARCH(설정!$A$59,K885))),설정!$B$59,IF(AND(설정!$A$60&lt;&gt;"",ISNUMBER(SEARCH(설정!$A$60,K885))),설정!$B$60,IF(AND(설정!$A$61&lt;&gt;"",ISNUMBER(SEARCH(설정!$A$61,K885))),설정!$B$61,IF(M885="","설계사","시공사"))))))))),"")</f>
        <v/>
      </c>
      <c r="V885">
        <f>SUBSTITUTE(SUBSTITUTE(SUBSTITUTE(SUBSTITUTE(G885,"(주)",""),"㈜",""),"주식회사","")," ","")</f>
        <v/>
      </c>
      <c r="W885">
        <f>IF(AND(T885,V885&lt;&gt;""),IF(COUNTIFS(V$2:V885,V885,T$2:T885,TRUE)=1,MAX(W$1:W884)+1,""),"")</f>
        <v/>
      </c>
      <c r="X885">
        <f>IF(설정!$C$14="","",IFERROR(INDEX('1.산군_붙여넣기'!$A$1:$AZ$1001,ROW(),설정!$C$14)&amp;"",""))</f>
        <v/>
      </c>
      <c r="Y885">
        <f>IF(설정!$C$15="","",IFERROR(INDEX('1.산군_붙여넣기'!$A$1:$AZ$1001,ROW(),설정!$C$15)&amp;"",""))</f>
        <v/>
      </c>
      <c r="Z885">
        <f>IF(T885,V885&amp;"|"&amp;U885,"")</f>
        <v/>
      </c>
      <c r="AA885">
        <f>IF(NOT(Q885),"",IF(NOT(AND(R885,S885)),"✕",IF(OR(OR(AND(L885&lt;&gt;"",M885&lt;&gt;"",N(M885)-N(L885)&gt;설정!$B$27),AND(L885&lt;&gt;"",M885="",설정!$B$24-N(L885)&gt;설정!$B$27)),AND(D885&lt;&gt;"",D885&lt;설정!$B$26)),"△","★")))</f>
        <v/>
      </c>
      <c r="AB885">
        <f>IF(NOT(T885),"",IF(U885="설계사",설정!$B$31,IF(U885="시공사",IF(OR(M885="",설정!$B$24-N(M885)&lt;=설정!$B$28*30.4),설정!$B$32,설정!$B$33),설정!$B$34))+IF(AA885="★",설정!$B$35,0))</f>
        <v/>
      </c>
      <c r="AC885">
        <f>SUBSTITUTE(SUBSTITUTE(SUBSTITUTE(SUBSTITUTE(H885,"(주)",""),"㈜",""),"주식회사","")," ","")</f>
        <v/>
      </c>
      <c r="AD885">
        <f>IF(AND(T885,AC885&lt;&gt;""),IF(COUNTIFS(AC$2:AC885,AC885,T$2:T885,TRUE)=1,MAX(AD$1:AD884)+1,""),"")</f>
        <v/>
      </c>
    </row>
    <row r="886">
      <c r="A886">
        <f>ROW()</f>
        <v/>
      </c>
      <c r="B886">
        <f>IF(설정!$C$4="","",IFERROR(INDEX('1.산군_붙여넣기'!$A$1:$AZ$1001,ROW(),설정!$C$4)&amp;"",""))</f>
        <v/>
      </c>
      <c r="C886">
        <f>IF(설정!$C$5="","",IFERROR(INDEX('1.산군_붙여넣기'!$A$1:$AZ$1001,ROW(),설정!$C$5)&amp;"",""))</f>
        <v/>
      </c>
      <c r="D886" s="5">
        <f>IFERROR(VALUE(SUBSTITUTE(SUBSTITUTE(SUBSTITUTE(IF(설정!$C$6="","",IFERROR(INDEX('1.산군_붙여넣기'!$A$1:$AZ$1001,ROW(),설정!$C$6)&amp;"","")),",",""),"㎡",""),"m2","")),"")</f>
        <v/>
      </c>
      <c r="E886">
        <f>IF(설정!$C$7="","",IFERROR(INDEX('1.산군_붙여넣기'!$A$1:$AZ$1001,ROW(),설정!$C$7)&amp;"",""))</f>
        <v/>
      </c>
      <c r="F886">
        <f>IF(설정!$C$8="","",IFERROR(INDEX('1.산군_붙여넣기'!$A$1:$AZ$1001,ROW(),설정!$C$8)&amp;"",""))</f>
        <v/>
      </c>
      <c r="G886">
        <f>IF(설정!$C$9="","",IFERROR(INDEX('1.산군_붙여넣기'!$A$1:$AZ$1001,ROW(),설정!$C$9)&amp;"",""))</f>
        <v/>
      </c>
      <c r="H886">
        <f>IF(설정!$C$10="","",IFERROR(INDEX('1.산군_붙여넣기'!$A$1:$AZ$1001,ROW(),설정!$C$10)&amp;"",""))</f>
        <v/>
      </c>
      <c r="I886">
        <f>IF(설정!$C$11="","",IFERROR(INDEX('1.산군_붙여넣기'!$A$1:$AZ$1001,ROW(),설정!$C$11)&amp;"",""))</f>
        <v/>
      </c>
      <c r="J886">
        <f>IF(설정!$C$12="","",IFERROR(INDEX('1.산군_붙여넣기'!$A$1:$AZ$1001,ROW(),설정!$C$12)&amp;"",""))</f>
        <v/>
      </c>
      <c r="K886">
        <f>IF(설정!$C$13="","",IFERROR(INDEX('1.산군_붙여넣기'!$A$1:$AZ$1001,ROW(),설정!$C$13)&amp;"",""))</f>
        <v/>
      </c>
      <c r="L886" s="7">
        <f>IF(X886="","",IF(AND(LEN(X886)=8,ISNUMBER(X886*1)),DATE(LEFT(X886,4),MID(X886,5,2),RIGHT(X886,2)),IFERROR(DATEVALUE(SUBSTITUTE(SUBSTITUTE(X886,".","-"),"/","-")),IFERROR(X886*1,""))))</f>
        <v/>
      </c>
      <c r="M886" s="7">
        <f>IF(Y886="","",IF(AND(LEN(Y886)=8,ISNUMBER(Y886*1)),DATE(LEFT(Y886,4),MID(Y886,5,2),RIGHT(Y886,2)),IFERROR(DATEVALUE(SUBSTITUTE(SUBSTITUTE(Y886,".","-"),"/","-")),IFERROR(Y886*1,""))))</f>
        <v/>
      </c>
      <c r="N886">
        <f>IFERROR(LEFT(B886,FIND(" ",B886)-1),B886)</f>
        <v/>
      </c>
      <c r="O886">
        <f>AND(B886&lt;&gt;"",B886&lt;&gt;설정!$B$4,C886&lt;&gt;설정!$B$5)</f>
        <v/>
      </c>
      <c r="P886">
        <f>IF(O886,B886&amp;"|"&amp;C886,"")</f>
        <v/>
      </c>
      <c r="Q886">
        <f>AND(O886,COUNTIF(P887:P$1002,P886)=0)</f>
        <v/>
      </c>
      <c r="R886">
        <f>OR(AND(설정!$A$42&lt;&gt;"",ISNUMBER(SEARCH(설정!$A$42,E886&amp;" "&amp;C886))),AND(설정!$A$43&lt;&gt;"",ISNUMBER(SEARCH(설정!$A$43,E886&amp;" "&amp;C886))),AND(설정!$A$44&lt;&gt;"",ISNUMBER(SEARCH(설정!$A$44,E886&amp;" "&amp;C886))),AND(설정!$A$45&lt;&gt;"",ISNUMBER(SEARCH(설정!$A$45,E886&amp;" "&amp;C886))),AND(설정!$A$46&lt;&gt;"",ISNUMBER(SEARCH(설정!$A$46,E886&amp;" "&amp;C886))),AND(설정!$A$47&lt;&gt;"",ISNUMBER(SEARCH(설정!$A$47,E886&amp;" "&amp;C886))),AND(설정!$A$48&lt;&gt;"",ISNUMBER(SEARCH(설정!$A$48,E886&amp;" "&amp;C886))),AND(설정!$A$49&lt;&gt;"",ISNUMBER(SEARCH(설정!$A$49,E886&amp;" "&amp;C886))),AND(설정!$A$50&lt;&gt;"",ISNUMBER(SEARCH(설정!$A$50,E886&amp;" "&amp;C886))),AND(설정!$A$51&lt;&gt;"",ISNUMBER(SEARCH(설정!$A$51,E886&amp;" "&amp;C886))))</f>
        <v/>
      </c>
      <c r="S886">
        <f>OR(D886="",D886&gt;=설정!$B$19)</f>
        <v/>
      </c>
      <c r="T886">
        <f>AND(Q886,R886,S886)</f>
        <v/>
      </c>
      <c r="U886">
        <f>IF(T886,IF(AND(설정!$A$54&lt;&gt;"",ISNUMBER(SEARCH(설정!$A$54,K886))),설정!$B$54,IF(AND(설정!$A$55&lt;&gt;"",ISNUMBER(SEARCH(설정!$A$55,K886))),설정!$B$55,IF(AND(설정!$A$56&lt;&gt;"",ISNUMBER(SEARCH(설정!$A$56,K886))),설정!$B$56,IF(AND(설정!$A$57&lt;&gt;"",ISNUMBER(SEARCH(설정!$A$57,K886))),설정!$B$57,IF(AND(설정!$A$58&lt;&gt;"",ISNUMBER(SEARCH(설정!$A$58,K886))),설정!$B$58,IF(AND(설정!$A$59&lt;&gt;"",ISNUMBER(SEARCH(설정!$A$59,K886))),설정!$B$59,IF(AND(설정!$A$60&lt;&gt;"",ISNUMBER(SEARCH(설정!$A$60,K886))),설정!$B$60,IF(AND(설정!$A$61&lt;&gt;"",ISNUMBER(SEARCH(설정!$A$61,K886))),설정!$B$61,IF(M886="","설계사","시공사"))))))))),"")</f>
        <v/>
      </c>
      <c r="V886">
        <f>SUBSTITUTE(SUBSTITUTE(SUBSTITUTE(SUBSTITUTE(G886,"(주)",""),"㈜",""),"주식회사","")," ","")</f>
        <v/>
      </c>
      <c r="W886">
        <f>IF(AND(T886,V886&lt;&gt;""),IF(COUNTIFS(V$2:V886,V886,T$2:T886,TRUE)=1,MAX(W$1:W885)+1,""),"")</f>
        <v/>
      </c>
      <c r="X886">
        <f>IF(설정!$C$14="","",IFERROR(INDEX('1.산군_붙여넣기'!$A$1:$AZ$1001,ROW(),설정!$C$14)&amp;"",""))</f>
        <v/>
      </c>
      <c r="Y886">
        <f>IF(설정!$C$15="","",IFERROR(INDEX('1.산군_붙여넣기'!$A$1:$AZ$1001,ROW(),설정!$C$15)&amp;"",""))</f>
        <v/>
      </c>
      <c r="Z886">
        <f>IF(T886,V886&amp;"|"&amp;U886,"")</f>
        <v/>
      </c>
      <c r="AA886">
        <f>IF(NOT(Q886),"",IF(NOT(AND(R886,S886)),"✕",IF(OR(OR(AND(L886&lt;&gt;"",M886&lt;&gt;"",N(M886)-N(L886)&gt;설정!$B$27),AND(L886&lt;&gt;"",M886="",설정!$B$24-N(L886)&gt;설정!$B$27)),AND(D886&lt;&gt;"",D886&lt;설정!$B$26)),"△","★")))</f>
        <v/>
      </c>
      <c r="AB886">
        <f>IF(NOT(T886),"",IF(U886="설계사",설정!$B$31,IF(U886="시공사",IF(OR(M886="",설정!$B$24-N(M886)&lt;=설정!$B$28*30.4),설정!$B$32,설정!$B$33),설정!$B$34))+IF(AA886="★",설정!$B$35,0))</f>
        <v/>
      </c>
      <c r="AC886">
        <f>SUBSTITUTE(SUBSTITUTE(SUBSTITUTE(SUBSTITUTE(H886,"(주)",""),"㈜",""),"주식회사","")," ","")</f>
        <v/>
      </c>
      <c r="AD886">
        <f>IF(AND(T886,AC886&lt;&gt;""),IF(COUNTIFS(AC$2:AC886,AC886,T$2:T886,TRUE)=1,MAX(AD$1:AD885)+1,""),"")</f>
        <v/>
      </c>
    </row>
    <row r="887">
      <c r="A887">
        <f>ROW()</f>
        <v/>
      </c>
      <c r="B887">
        <f>IF(설정!$C$4="","",IFERROR(INDEX('1.산군_붙여넣기'!$A$1:$AZ$1001,ROW(),설정!$C$4)&amp;"",""))</f>
        <v/>
      </c>
      <c r="C887">
        <f>IF(설정!$C$5="","",IFERROR(INDEX('1.산군_붙여넣기'!$A$1:$AZ$1001,ROW(),설정!$C$5)&amp;"",""))</f>
        <v/>
      </c>
      <c r="D887" s="5">
        <f>IFERROR(VALUE(SUBSTITUTE(SUBSTITUTE(SUBSTITUTE(IF(설정!$C$6="","",IFERROR(INDEX('1.산군_붙여넣기'!$A$1:$AZ$1001,ROW(),설정!$C$6)&amp;"","")),",",""),"㎡",""),"m2","")),"")</f>
        <v/>
      </c>
      <c r="E887">
        <f>IF(설정!$C$7="","",IFERROR(INDEX('1.산군_붙여넣기'!$A$1:$AZ$1001,ROW(),설정!$C$7)&amp;"",""))</f>
        <v/>
      </c>
      <c r="F887">
        <f>IF(설정!$C$8="","",IFERROR(INDEX('1.산군_붙여넣기'!$A$1:$AZ$1001,ROW(),설정!$C$8)&amp;"",""))</f>
        <v/>
      </c>
      <c r="G887">
        <f>IF(설정!$C$9="","",IFERROR(INDEX('1.산군_붙여넣기'!$A$1:$AZ$1001,ROW(),설정!$C$9)&amp;"",""))</f>
        <v/>
      </c>
      <c r="H887">
        <f>IF(설정!$C$10="","",IFERROR(INDEX('1.산군_붙여넣기'!$A$1:$AZ$1001,ROW(),설정!$C$10)&amp;"",""))</f>
        <v/>
      </c>
      <c r="I887">
        <f>IF(설정!$C$11="","",IFERROR(INDEX('1.산군_붙여넣기'!$A$1:$AZ$1001,ROW(),설정!$C$11)&amp;"",""))</f>
        <v/>
      </c>
      <c r="J887">
        <f>IF(설정!$C$12="","",IFERROR(INDEX('1.산군_붙여넣기'!$A$1:$AZ$1001,ROW(),설정!$C$12)&amp;"",""))</f>
        <v/>
      </c>
      <c r="K887">
        <f>IF(설정!$C$13="","",IFERROR(INDEX('1.산군_붙여넣기'!$A$1:$AZ$1001,ROW(),설정!$C$13)&amp;"",""))</f>
        <v/>
      </c>
      <c r="L887" s="7">
        <f>IF(X887="","",IF(AND(LEN(X887)=8,ISNUMBER(X887*1)),DATE(LEFT(X887,4),MID(X887,5,2),RIGHT(X887,2)),IFERROR(DATEVALUE(SUBSTITUTE(SUBSTITUTE(X887,".","-"),"/","-")),IFERROR(X887*1,""))))</f>
        <v/>
      </c>
      <c r="M887" s="7">
        <f>IF(Y887="","",IF(AND(LEN(Y887)=8,ISNUMBER(Y887*1)),DATE(LEFT(Y887,4),MID(Y887,5,2),RIGHT(Y887,2)),IFERROR(DATEVALUE(SUBSTITUTE(SUBSTITUTE(Y887,".","-"),"/","-")),IFERROR(Y887*1,""))))</f>
        <v/>
      </c>
      <c r="N887">
        <f>IFERROR(LEFT(B887,FIND(" ",B887)-1),B887)</f>
        <v/>
      </c>
      <c r="O887">
        <f>AND(B887&lt;&gt;"",B887&lt;&gt;설정!$B$4,C887&lt;&gt;설정!$B$5)</f>
        <v/>
      </c>
      <c r="P887">
        <f>IF(O887,B887&amp;"|"&amp;C887,"")</f>
        <v/>
      </c>
      <c r="Q887">
        <f>AND(O887,COUNTIF(P888:P$1002,P887)=0)</f>
        <v/>
      </c>
      <c r="R887">
        <f>OR(AND(설정!$A$42&lt;&gt;"",ISNUMBER(SEARCH(설정!$A$42,E887&amp;" "&amp;C887))),AND(설정!$A$43&lt;&gt;"",ISNUMBER(SEARCH(설정!$A$43,E887&amp;" "&amp;C887))),AND(설정!$A$44&lt;&gt;"",ISNUMBER(SEARCH(설정!$A$44,E887&amp;" "&amp;C887))),AND(설정!$A$45&lt;&gt;"",ISNUMBER(SEARCH(설정!$A$45,E887&amp;" "&amp;C887))),AND(설정!$A$46&lt;&gt;"",ISNUMBER(SEARCH(설정!$A$46,E887&amp;" "&amp;C887))),AND(설정!$A$47&lt;&gt;"",ISNUMBER(SEARCH(설정!$A$47,E887&amp;" "&amp;C887))),AND(설정!$A$48&lt;&gt;"",ISNUMBER(SEARCH(설정!$A$48,E887&amp;" "&amp;C887))),AND(설정!$A$49&lt;&gt;"",ISNUMBER(SEARCH(설정!$A$49,E887&amp;" "&amp;C887))),AND(설정!$A$50&lt;&gt;"",ISNUMBER(SEARCH(설정!$A$50,E887&amp;" "&amp;C887))),AND(설정!$A$51&lt;&gt;"",ISNUMBER(SEARCH(설정!$A$51,E887&amp;" "&amp;C887))))</f>
        <v/>
      </c>
      <c r="S887">
        <f>OR(D887="",D887&gt;=설정!$B$19)</f>
        <v/>
      </c>
      <c r="T887">
        <f>AND(Q887,R887,S887)</f>
        <v/>
      </c>
      <c r="U887">
        <f>IF(T887,IF(AND(설정!$A$54&lt;&gt;"",ISNUMBER(SEARCH(설정!$A$54,K887))),설정!$B$54,IF(AND(설정!$A$55&lt;&gt;"",ISNUMBER(SEARCH(설정!$A$55,K887))),설정!$B$55,IF(AND(설정!$A$56&lt;&gt;"",ISNUMBER(SEARCH(설정!$A$56,K887))),설정!$B$56,IF(AND(설정!$A$57&lt;&gt;"",ISNUMBER(SEARCH(설정!$A$57,K887))),설정!$B$57,IF(AND(설정!$A$58&lt;&gt;"",ISNUMBER(SEARCH(설정!$A$58,K887))),설정!$B$58,IF(AND(설정!$A$59&lt;&gt;"",ISNUMBER(SEARCH(설정!$A$59,K887))),설정!$B$59,IF(AND(설정!$A$60&lt;&gt;"",ISNUMBER(SEARCH(설정!$A$60,K887))),설정!$B$60,IF(AND(설정!$A$61&lt;&gt;"",ISNUMBER(SEARCH(설정!$A$61,K887))),설정!$B$61,IF(M887="","설계사","시공사"))))))))),"")</f>
        <v/>
      </c>
      <c r="V887">
        <f>SUBSTITUTE(SUBSTITUTE(SUBSTITUTE(SUBSTITUTE(G887,"(주)",""),"㈜",""),"주식회사","")," ","")</f>
        <v/>
      </c>
      <c r="W887">
        <f>IF(AND(T887,V887&lt;&gt;""),IF(COUNTIFS(V$2:V887,V887,T$2:T887,TRUE)=1,MAX(W$1:W886)+1,""),"")</f>
        <v/>
      </c>
      <c r="X887">
        <f>IF(설정!$C$14="","",IFERROR(INDEX('1.산군_붙여넣기'!$A$1:$AZ$1001,ROW(),설정!$C$14)&amp;"",""))</f>
        <v/>
      </c>
      <c r="Y887">
        <f>IF(설정!$C$15="","",IFERROR(INDEX('1.산군_붙여넣기'!$A$1:$AZ$1001,ROW(),설정!$C$15)&amp;"",""))</f>
        <v/>
      </c>
      <c r="Z887">
        <f>IF(T887,V887&amp;"|"&amp;U887,"")</f>
        <v/>
      </c>
      <c r="AA887">
        <f>IF(NOT(Q887),"",IF(NOT(AND(R887,S887)),"✕",IF(OR(OR(AND(L887&lt;&gt;"",M887&lt;&gt;"",N(M887)-N(L887)&gt;설정!$B$27),AND(L887&lt;&gt;"",M887="",설정!$B$24-N(L887)&gt;설정!$B$27)),AND(D887&lt;&gt;"",D887&lt;설정!$B$26)),"△","★")))</f>
        <v/>
      </c>
      <c r="AB887">
        <f>IF(NOT(T887),"",IF(U887="설계사",설정!$B$31,IF(U887="시공사",IF(OR(M887="",설정!$B$24-N(M887)&lt;=설정!$B$28*30.4),설정!$B$32,설정!$B$33),설정!$B$34))+IF(AA887="★",설정!$B$35,0))</f>
        <v/>
      </c>
      <c r="AC887">
        <f>SUBSTITUTE(SUBSTITUTE(SUBSTITUTE(SUBSTITUTE(H887,"(주)",""),"㈜",""),"주식회사","")," ","")</f>
        <v/>
      </c>
      <c r="AD887">
        <f>IF(AND(T887,AC887&lt;&gt;""),IF(COUNTIFS(AC$2:AC887,AC887,T$2:T887,TRUE)=1,MAX(AD$1:AD886)+1,""),"")</f>
        <v/>
      </c>
    </row>
    <row r="888">
      <c r="A888">
        <f>ROW()</f>
        <v/>
      </c>
      <c r="B888">
        <f>IF(설정!$C$4="","",IFERROR(INDEX('1.산군_붙여넣기'!$A$1:$AZ$1001,ROW(),설정!$C$4)&amp;"",""))</f>
        <v/>
      </c>
      <c r="C888">
        <f>IF(설정!$C$5="","",IFERROR(INDEX('1.산군_붙여넣기'!$A$1:$AZ$1001,ROW(),설정!$C$5)&amp;"",""))</f>
        <v/>
      </c>
      <c r="D888" s="5">
        <f>IFERROR(VALUE(SUBSTITUTE(SUBSTITUTE(SUBSTITUTE(IF(설정!$C$6="","",IFERROR(INDEX('1.산군_붙여넣기'!$A$1:$AZ$1001,ROW(),설정!$C$6)&amp;"","")),",",""),"㎡",""),"m2","")),"")</f>
        <v/>
      </c>
      <c r="E888">
        <f>IF(설정!$C$7="","",IFERROR(INDEX('1.산군_붙여넣기'!$A$1:$AZ$1001,ROW(),설정!$C$7)&amp;"",""))</f>
        <v/>
      </c>
      <c r="F888">
        <f>IF(설정!$C$8="","",IFERROR(INDEX('1.산군_붙여넣기'!$A$1:$AZ$1001,ROW(),설정!$C$8)&amp;"",""))</f>
        <v/>
      </c>
      <c r="G888">
        <f>IF(설정!$C$9="","",IFERROR(INDEX('1.산군_붙여넣기'!$A$1:$AZ$1001,ROW(),설정!$C$9)&amp;"",""))</f>
        <v/>
      </c>
      <c r="H888">
        <f>IF(설정!$C$10="","",IFERROR(INDEX('1.산군_붙여넣기'!$A$1:$AZ$1001,ROW(),설정!$C$10)&amp;"",""))</f>
        <v/>
      </c>
      <c r="I888">
        <f>IF(설정!$C$11="","",IFERROR(INDEX('1.산군_붙여넣기'!$A$1:$AZ$1001,ROW(),설정!$C$11)&amp;"",""))</f>
        <v/>
      </c>
      <c r="J888">
        <f>IF(설정!$C$12="","",IFERROR(INDEX('1.산군_붙여넣기'!$A$1:$AZ$1001,ROW(),설정!$C$12)&amp;"",""))</f>
        <v/>
      </c>
      <c r="K888">
        <f>IF(설정!$C$13="","",IFERROR(INDEX('1.산군_붙여넣기'!$A$1:$AZ$1001,ROW(),설정!$C$13)&amp;"",""))</f>
        <v/>
      </c>
      <c r="L888" s="7">
        <f>IF(X888="","",IF(AND(LEN(X888)=8,ISNUMBER(X888*1)),DATE(LEFT(X888,4),MID(X888,5,2),RIGHT(X888,2)),IFERROR(DATEVALUE(SUBSTITUTE(SUBSTITUTE(X888,".","-"),"/","-")),IFERROR(X888*1,""))))</f>
        <v/>
      </c>
      <c r="M888" s="7">
        <f>IF(Y888="","",IF(AND(LEN(Y888)=8,ISNUMBER(Y888*1)),DATE(LEFT(Y888,4),MID(Y888,5,2),RIGHT(Y888,2)),IFERROR(DATEVALUE(SUBSTITUTE(SUBSTITUTE(Y888,".","-"),"/","-")),IFERROR(Y888*1,""))))</f>
        <v/>
      </c>
      <c r="N888">
        <f>IFERROR(LEFT(B888,FIND(" ",B888)-1),B888)</f>
        <v/>
      </c>
      <c r="O888">
        <f>AND(B888&lt;&gt;"",B888&lt;&gt;설정!$B$4,C888&lt;&gt;설정!$B$5)</f>
        <v/>
      </c>
      <c r="P888">
        <f>IF(O888,B888&amp;"|"&amp;C888,"")</f>
        <v/>
      </c>
      <c r="Q888">
        <f>AND(O888,COUNTIF(P889:P$1002,P888)=0)</f>
        <v/>
      </c>
      <c r="R888">
        <f>OR(AND(설정!$A$42&lt;&gt;"",ISNUMBER(SEARCH(설정!$A$42,E888&amp;" "&amp;C888))),AND(설정!$A$43&lt;&gt;"",ISNUMBER(SEARCH(설정!$A$43,E888&amp;" "&amp;C888))),AND(설정!$A$44&lt;&gt;"",ISNUMBER(SEARCH(설정!$A$44,E888&amp;" "&amp;C888))),AND(설정!$A$45&lt;&gt;"",ISNUMBER(SEARCH(설정!$A$45,E888&amp;" "&amp;C888))),AND(설정!$A$46&lt;&gt;"",ISNUMBER(SEARCH(설정!$A$46,E888&amp;" "&amp;C888))),AND(설정!$A$47&lt;&gt;"",ISNUMBER(SEARCH(설정!$A$47,E888&amp;" "&amp;C888))),AND(설정!$A$48&lt;&gt;"",ISNUMBER(SEARCH(설정!$A$48,E888&amp;" "&amp;C888))),AND(설정!$A$49&lt;&gt;"",ISNUMBER(SEARCH(설정!$A$49,E888&amp;" "&amp;C888))),AND(설정!$A$50&lt;&gt;"",ISNUMBER(SEARCH(설정!$A$50,E888&amp;" "&amp;C888))),AND(설정!$A$51&lt;&gt;"",ISNUMBER(SEARCH(설정!$A$51,E888&amp;" "&amp;C888))))</f>
        <v/>
      </c>
      <c r="S888">
        <f>OR(D888="",D888&gt;=설정!$B$19)</f>
        <v/>
      </c>
      <c r="T888">
        <f>AND(Q888,R888,S888)</f>
        <v/>
      </c>
      <c r="U888">
        <f>IF(T888,IF(AND(설정!$A$54&lt;&gt;"",ISNUMBER(SEARCH(설정!$A$54,K888))),설정!$B$54,IF(AND(설정!$A$55&lt;&gt;"",ISNUMBER(SEARCH(설정!$A$55,K888))),설정!$B$55,IF(AND(설정!$A$56&lt;&gt;"",ISNUMBER(SEARCH(설정!$A$56,K888))),설정!$B$56,IF(AND(설정!$A$57&lt;&gt;"",ISNUMBER(SEARCH(설정!$A$57,K888))),설정!$B$57,IF(AND(설정!$A$58&lt;&gt;"",ISNUMBER(SEARCH(설정!$A$58,K888))),설정!$B$58,IF(AND(설정!$A$59&lt;&gt;"",ISNUMBER(SEARCH(설정!$A$59,K888))),설정!$B$59,IF(AND(설정!$A$60&lt;&gt;"",ISNUMBER(SEARCH(설정!$A$60,K888))),설정!$B$60,IF(AND(설정!$A$61&lt;&gt;"",ISNUMBER(SEARCH(설정!$A$61,K888))),설정!$B$61,IF(M888="","설계사","시공사"))))))))),"")</f>
        <v/>
      </c>
      <c r="V888">
        <f>SUBSTITUTE(SUBSTITUTE(SUBSTITUTE(SUBSTITUTE(G888,"(주)",""),"㈜",""),"주식회사","")," ","")</f>
        <v/>
      </c>
      <c r="W888">
        <f>IF(AND(T888,V888&lt;&gt;""),IF(COUNTIFS(V$2:V888,V888,T$2:T888,TRUE)=1,MAX(W$1:W887)+1,""),"")</f>
        <v/>
      </c>
      <c r="X888">
        <f>IF(설정!$C$14="","",IFERROR(INDEX('1.산군_붙여넣기'!$A$1:$AZ$1001,ROW(),설정!$C$14)&amp;"",""))</f>
        <v/>
      </c>
      <c r="Y888">
        <f>IF(설정!$C$15="","",IFERROR(INDEX('1.산군_붙여넣기'!$A$1:$AZ$1001,ROW(),설정!$C$15)&amp;"",""))</f>
        <v/>
      </c>
      <c r="Z888">
        <f>IF(T888,V888&amp;"|"&amp;U888,"")</f>
        <v/>
      </c>
      <c r="AA888">
        <f>IF(NOT(Q888),"",IF(NOT(AND(R888,S888)),"✕",IF(OR(OR(AND(L888&lt;&gt;"",M888&lt;&gt;"",N(M888)-N(L888)&gt;설정!$B$27),AND(L888&lt;&gt;"",M888="",설정!$B$24-N(L888)&gt;설정!$B$27)),AND(D888&lt;&gt;"",D888&lt;설정!$B$26)),"△","★")))</f>
        <v/>
      </c>
      <c r="AB888">
        <f>IF(NOT(T888),"",IF(U888="설계사",설정!$B$31,IF(U888="시공사",IF(OR(M888="",설정!$B$24-N(M888)&lt;=설정!$B$28*30.4),설정!$B$32,설정!$B$33),설정!$B$34))+IF(AA888="★",설정!$B$35,0))</f>
        <v/>
      </c>
      <c r="AC888">
        <f>SUBSTITUTE(SUBSTITUTE(SUBSTITUTE(SUBSTITUTE(H888,"(주)",""),"㈜",""),"주식회사","")," ","")</f>
        <v/>
      </c>
      <c r="AD888">
        <f>IF(AND(T888,AC888&lt;&gt;""),IF(COUNTIFS(AC$2:AC888,AC888,T$2:T888,TRUE)=1,MAX(AD$1:AD887)+1,""),"")</f>
        <v/>
      </c>
    </row>
    <row r="889">
      <c r="A889">
        <f>ROW()</f>
        <v/>
      </c>
      <c r="B889">
        <f>IF(설정!$C$4="","",IFERROR(INDEX('1.산군_붙여넣기'!$A$1:$AZ$1001,ROW(),설정!$C$4)&amp;"",""))</f>
        <v/>
      </c>
      <c r="C889">
        <f>IF(설정!$C$5="","",IFERROR(INDEX('1.산군_붙여넣기'!$A$1:$AZ$1001,ROW(),설정!$C$5)&amp;"",""))</f>
        <v/>
      </c>
      <c r="D889" s="5">
        <f>IFERROR(VALUE(SUBSTITUTE(SUBSTITUTE(SUBSTITUTE(IF(설정!$C$6="","",IFERROR(INDEX('1.산군_붙여넣기'!$A$1:$AZ$1001,ROW(),설정!$C$6)&amp;"","")),",",""),"㎡",""),"m2","")),"")</f>
        <v/>
      </c>
      <c r="E889">
        <f>IF(설정!$C$7="","",IFERROR(INDEX('1.산군_붙여넣기'!$A$1:$AZ$1001,ROW(),설정!$C$7)&amp;"",""))</f>
        <v/>
      </c>
      <c r="F889">
        <f>IF(설정!$C$8="","",IFERROR(INDEX('1.산군_붙여넣기'!$A$1:$AZ$1001,ROW(),설정!$C$8)&amp;"",""))</f>
        <v/>
      </c>
      <c r="G889">
        <f>IF(설정!$C$9="","",IFERROR(INDEX('1.산군_붙여넣기'!$A$1:$AZ$1001,ROW(),설정!$C$9)&amp;"",""))</f>
        <v/>
      </c>
      <c r="H889">
        <f>IF(설정!$C$10="","",IFERROR(INDEX('1.산군_붙여넣기'!$A$1:$AZ$1001,ROW(),설정!$C$10)&amp;"",""))</f>
        <v/>
      </c>
      <c r="I889">
        <f>IF(설정!$C$11="","",IFERROR(INDEX('1.산군_붙여넣기'!$A$1:$AZ$1001,ROW(),설정!$C$11)&amp;"",""))</f>
        <v/>
      </c>
      <c r="J889">
        <f>IF(설정!$C$12="","",IFERROR(INDEX('1.산군_붙여넣기'!$A$1:$AZ$1001,ROW(),설정!$C$12)&amp;"",""))</f>
        <v/>
      </c>
      <c r="K889">
        <f>IF(설정!$C$13="","",IFERROR(INDEX('1.산군_붙여넣기'!$A$1:$AZ$1001,ROW(),설정!$C$13)&amp;"",""))</f>
        <v/>
      </c>
      <c r="L889" s="7">
        <f>IF(X889="","",IF(AND(LEN(X889)=8,ISNUMBER(X889*1)),DATE(LEFT(X889,4),MID(X889,5,2),RIGHT(X889,2)),IFERROR(DATEVALUE(SUBSTITUTE(SUBSTITUTE(X889,".","-"),"/","-")),IFERROR(X889*1,""))))</f>
        <v/>
      </c>
      <c r="M889" s="7">
        <f>IF(Y889="","",IF(AND(LEN(Y889)=8,ISNUMBER(Y889*1)),DATE(LEFT(Y889,4),MID(Y889,5,2),RIGHT(Y889,2)),IFERROR(DATEVALUE(SUBSTITUTE(SUBSTITUTE(Y889,".","-"),"/","-")),IFERROR(Y889*1,""))))</f>
        <v/>
      </c>
      <c r="N889">
        <f>IFERROR(LEFT(B889,FIND(" ",B889)-1),B889)</f>
        <v/>
      </c>
      <c r="O889">
        <f>AND(B889&lt;&gt;"",B889&lt;&gt;설정!$B$4,C889&lt;&gt;설정!$B$5)</f>
        <v/>
      </c>
      <c r="P889">
        <f>IF(O889,B889&amp;"|"&amp;C889,"")</f>
        <v/>
      </c>
      <c r="Q889">
        <f>AND(O889,COUNTIF(P890:P$1002,P889)=0)</f>
        <v/>
      </c>
      <c r="R889">
        <f>OR(AND(설정!$A$42&lt;&gt;"",ISNUMBER(SEARCH(설정!$A$42,E889&amp;" "&amp;C889))),AND(설정!$A$43&lt;&gt;"",ISNUMBER(SEARCH(설정!$A$43,E889&amp;" "&amp;C889))),AND(설정!$A$44&lt;&gt;"",ISNUMBER(SEARCH(설정!$A$44,E889&amp;" "&amp;C889))),AND(설정!$A$45&lt;&gt;"",ISNUMBER(SEARCH(설정!$A$45,E889&amp;" "&amp;C889))),AND(설정!$A$46&lt;&gt;"",ISNUMBER(SEARCH(설정!$A$46,E889&amp;" "&amp;C889))),AND(설정!$A$47&lt;&gt;"",ISNUMBER(SEARCH(설정!$A$47,E889&amp;" "&amp;C889))),AND(설정!$A$48&lt;&gt;"",ISNUMBER(SEARCH(설정!$A$48,E889&amp;" "&amp;C889))),AND(설정!$A$49&lt;&gt;"",ISNUMBER(SEARCH(설정!$A$49,E889&amp;" "&amp;C889))),AND(설정!$A$50&lt;&gt;"",ISNUMBER(SEARCH(설정!$A$50,E889&amp;" "&amp;C889))),AND(설정!$A$51&lt;&gt;"",ISNUMBER(SEARCH(설정!$A$51,E889&amp;" "&amp;C889))))</f>
        <v/>
      </c>
      <c r="S889">
        <f>OR(D889="",D889&gt;=설정!$B$19)</f>
        <v/>
      </c>
      <c r="T889">
        <f>AND(Q889,R889,S889)</f>
        <v/>
      </c>
      <c r="U889">
        <f>IF(T889,IF(AND(설정!$A$54&lt;&gt;"",ISNUMBER(SEARCH(설정!$A$54,K889))),설정!$B$54,IF(AND(설정!$A$55&lt;&gt;"",ISNUMBER(SEARCH(설정!$A$55,K889))),설정!$B$55,IF(AND(설정!$A$56&lt;&gt;"",ISNUMBER(SEARCH(설정!$A$56,K889))),설정!$B$56,IF(AND(설정!$A$57&lt;&gt;"",ISNUMBER(SEARCH(설정!$A$57,K889))),설정!$B$57,IF(AND(설정!$A$58&lt;&gt;"",ISNUMBER(SEARCH(설정!$A$58,K889))),설정!$B$58,IF(AND(설정!$A$59&lt;&gt;"",ISNUMBER(SEARCH(설정!$A$59,K889))),설정!$B$59,IF(AND(설정!$A$60&lt;&gt;"",ISNUMBER(SEARCH(설정!$A$60,K889))),설정!$B$60,IF(AND(설정!$A$61&lt;&gt;"",ISNUMBER(SEARCH(설정!$A$61,K889))),설정!$B$61,IF(M889="","설계사","시공사"))))))))),"")</f>
        <v/>
      </c>
      <c r="V889">
        <f>SUBSTITUTE(SUBSTITUTE(SUBSTITUTE(SUBSTITUTE(G889,"(주)",""),"㈜",""),"주식회사","")," ","")</f>
        <v/>
      </c>
      <c r="W889">
        <f>IF(AND(T889,V889&lt;&gt;""),IF(COUNTIFS(V$2:V889,V889,T$2:T889,TRUE)=1,MAX(W$1:W888)+1,""),"")</f>
        <v/>
      </c>
      <c r="X889">
        <f>IF(설정!$C$14="","",IFERROR(INDEX('1.산군_붙여넣기'!$A$1:$AZ$1001,ROW(),설정!$C$14)&amp;"",""))</f>
        <v/>
      </c>
      <c r="Y889">
        <f>IF(설정!$C$15="","",IFERROR(INDEX('1.산군_붙여넣기'!$A$1:$AZ$1001,ROW(),설정!$C$15)&amp;"",""))</f>
        <v/>
      </c>
      <c r="Z889">
        <f>IF(T889,V889&amp;"|"&amp;U889,"")</f>
        <v/>
      </c>
      <c r="AA889">
        <f>IF(NOT(Q889),"",IF(NOT(AND(R889,S889)),"✕",IF(OR(OR(AND(L889&lt;&gt;"",M889&lt;&gt;"",N(M889)-N(L889)&gt;설정!$B$27),AND(L889&lt;&gt;"",M889="",설정!$B$24-N(L889)&gt;설정!$B$27)),AND(D889&lt;&gt;"",D889&lt;설정!$B$26)),"△","★")))</f>
        <v/>
      </c>
      <c r="AB889">
        <f>IF(NOT(T889),"",IF(U889="설계사",설정!$B$31,IF(U889="시공사",IF(OR(M889="",설정!$B$24-N(M889)&lt;=설정!$B$28*30.4),설정!$B$32,설정!$B$33),설정!$B$34))+IF(AA889="★",설정!$B$35,0))</f>
        <v/>
      </c>
      <c r="AC889">
        <f>SUBSTITUTE(SUBSTITUTE(SUBSTITUTE(SUBSTITUTE(H889,"(주)",""),"㈜",""),"주식회사","")," ","")</f>
        <v/>
      </c>
      <c r="AD889">
        <f>IF(AND(T889,AC889&lt;&gt;""),IF(COUNTIFS(AC$2:AC889,AC889,T$2:T889,TRUE)=1,MAX(AD$1:AD888)+1,""),"")</f>
        <v/>
      </c>
    </row>
    <row r="890">
      <c r="A890">
        <f>ROW()</f>
        <v/>
      </c>
      <c r="B890">
        <f>IF(설정!$C$4="","",IFERROR(INDEX('1.산군_붙여넣기'!$A$1:$AZ$1001,ROW(),설정!$C$4)&amp;"",""))</f>
        <v/>
      </c>
      <c r="C890">
        <f>IF(설정!$C$5="","",IFERROR(INDEX('1.산군_붙여넣기'!$A$1:$AZ$1001,ROW(),설정!$C$5)&amp;"",""))</f>
        <v/>
      </c>
      <c r="D890" s="5">
        <f>IFERROR(VALUE(SUBSTITUTE(SUBSTITUTE(SUBSTITUTE(IF(설정!$C$6="","",IFERROR(INDEX('1.산군_붙여넣기'!$A$1:$AZ$1001,ROW(),설정!$C$6)&amp;"","")),",",""),"㎡",""),"m2","")),"")</f>
        <v/>
      </c>
      <c r="E890">
        <f>IF(설정!$C$7="","",IFERROR(INDEX('1.산군_붙여넣기'!$A$1:$AZ$1001,ROW(),설정!$C$7)&amp;"",""))</f>
        <v/>
      </c>
      <c r="F890">
        <f>IF(설정!$C$8="","",IFERROR(INDEX('1.산군_붙여넣기'!$A$1:$AZ$1001,ROW(),설정!$C$8)&amp;"",""))</f>
        <v/>
      </c>
      <c r="G890">
        <f>IF(설정!$C$9="","",IFERROR(INDEX('1.산군_붙여넣기'!$A$1:$AZ$1001,ROW(),설정!$C$9)&amp;"",""))</f>
        <v/>
      </c>
      <c r="H890">
        <f>IF(설정!$C$10="","",IFERROR(INDEX('1.산군_붙여넣기'!$A$1:$AZ$1001,ROW(),설정!$C$10)&amp;"",""))</f>
        <v/>
      </c>
      <c r="I890">
        <f>IF(설정!$C$11="","",IFERROR(INDEX('1.산군_붙여넣기'!$A$1:$AZ$1001,ROW(),설정!$C$11)&amp;"",""))</f>
        <v/>
      </c>
      <c r="J890">
        <f>IF(설정!$C$12="","",IFERROR(INDEX('1.산군_붙여넣기'!$A$1:$AZ$1001,ROW(),설정!$C$12)&amp;"",""))</f>
        <v/>
      </c>
      <c r="K890">
        <f>IF(설정!$C$13="","",IFERROR(INDEX('1.산군_붙여넣기'!$A$1:$AZ$1001,ROW(),설정!$C$13)&amp;"",""))</f>
        <v/>
      </c>
      <c r="L890" s="7">
        <f>IF(X890="","",IF(AND(LEN(X890)=8,ISNUMBER(X890*1)),DATE(LEFT(X890,4),MID(X890,5,2),RIGHT(X890,2)),IFERROR(DATEVALUE(SUBSTITUTE(SUBSTITUTE(X890,".","-"),"/","-")),IFERROR(X890*1,""))))</f>
        <v/>
      </c>
      <c r="M890" s="7">
        <f>IF(Y890="","",IF(AND(LEN(Y890)=8,ISNUMBER(Y890*1)),DATE(LEFT(Y890,4),MID(Y890,5,2),RIGHT(Y890,2)),IFERROR(DATEVALUE(SUBSTITUTE(SUBSTITUTE(Y890,".","-"),"/","-")),IFERROR(Y890*1,""))))</f>
        <v/>
      </c>
      <c r="N890">
        <f>IFERROR(LEFT(B890,FIND(" ",B890)-1),B890)</f>
        <v/>
      </c>
      <c r="O890">
        <f>AND(B890&lt;&gt;"",B890&lt;&gt;설정!$B$4,C890&lt;&gt;설정!$B$5)</f>
        <v/>
      </c>
      <c r="P890">
        <f>IF(O890,B890&amp;"|"&amp;C890,"")</f>
        <v/>
      </c>
      <c r="Q890">
        <f>AND(O890,COUNTIF(P891:P$1002,P890)=0)</f>
        <v/>
      </c>
      <c r="R890">
        <f>OR(AND(설정!$A$42&lt;&gt;"",ISNUMBER(SEARCH(설정!$A$42,E890&amp;" "&amp;C890))),AND(설정!$A$43&lt;&gt;"",ISNUMBER(SEARCH(설정!$A$43,E890&amp;" "&amp;C890))),AND(설정!$A$44&lt;&gt;"",ISNUMBER(SEARCH(설정!$A$44,E890&amp;" "&amp;C890))),AND(설정!$A$45&lt;&gt;"",ISNUMBER(SEARCH(설정!$A$45,E890&amp;" "&amp;C890))),AND(설정!$A$46&lt;&gt;"",ISNUMBER(SEARCH(설정!$A$46,E890&amp;" "&amp;C890))),AND(설정!$A$47&lt;&gt;"",ISNUMBER(SEARCH(설정!$A$47,E890&amp;" "&amp;C890))),AND(설정!$A$48&lt;&gt;"",ISNUMBER(SEARCH(설정!$A$48,E890&amp;" "&amp;C890))),AND(설정!$A$49&lt;&gt;"",ISNUMBER(SEARCH(설정!$A$49,E890&amp;" "&amp;C890))),AND(설정!$A$50&lt;&gt;"",ISNUMBER(SEARCH(설정!$A$50,E890&amp;" "&amp;C890))),AND(설정!$A$51&lt;&gt;"",ISNUMBER(SEARCH(설정!$A$51,E890&amp;" "&amp;C890))))</f>
        <v/>
      </c>
      <c r="S890">
        <f>OR(D890="",D890&gt;=설정!$B$19)</f>
        <v/>
      </c>
      <c r="T890">
        <f>AND(Q890,R890,S890)</f>
        <v/>
      </c>
      <c r="U890">
        <f>IF(T890,IF(AND(설정!$A$54&lt;&gt;"",ISNUMBER(SEARCH(설정!$A$54,K890))),설정!$B$54,IF(AND(설정!$A$55&lt;&gt;"",ISNUMBER(SEARCH(설정!$A$55,K890))),설정!$B$55,IF(AND(설정!$A$56&lt;&gt;"",ISNUMBER(SEARCH(설정!$A$56,K890))),설정!$B$56,IF(AND(설정!$A$57&lt;&gt;"",ISNUMBER(SEARCH(설정!$A$57,K890))),설정!$B$57,IF(AND(설정!$A$58&lt;&gt;"",ISNUMBER(SEARCH(설정!$A$58,K890))),설정!$B$58,IF(AND(설정!$A$59&lt;&gt;"",ISNUMBER(SEARCH(설정!$A$59,K890))),설정!$B$59,IF(AND(설정!$A$60&lt;&gt;"",ISNUMBER(SEARCH(설정!$A$60,K890))),설정!$B$60,IF(AND(설정!$A$61&lt;&gt;"",ISNUMBER(SEARCH(설정!$A$61,K890))),설정!$B$61,IF(M890="","설계사","시공사"))))))))),"")</f>
        <v/>
      </c>
      <c r="V890">
        <f>SUBSTITUTE(SUBSTITUTE(SUBSTITUTE(SUBSTITUTE(G890,"(주)",""),"㈜",""),"주식회사","")," ","")</f>
        <v/>
      </c>
      <c r="W890">
        <f>IF(AND(T890,V890&lt;&gt;""),IF(COUNTIFS(V$2:V890,V890,T$2:T890,TRUE)=1,MAX(W$1:W889)+1,""),"")</f>
        <v/>
      </c>
      <c r="X890">
        <f>IF(설정!$C$14="","",IFERROR(INDEX('1.산군_붙여넣기'!$A$1:$AZ$1001,ROW(),설정!$C$14)&amp;"",""))</f>
        <v/>
      </c>
      <c r="Y890">
        <f>IF(설정!$C$15="","",IFERROR(INDEX('1.산군_붙여넣기'!$A$1:$AZ$1001,ROW(),설정!$C$15)&amp;"",""))</f>
        <v/>
      </c>
      <c r="Z890">
        <f>IF(T890,V890&amp;"|"&amp;U890,"")</f>
        <v/>
      </c>
      <c r="AA890">
        <f>IF(NOT(Q890),"",IF(NOT(AND(R890,S890)),"✕",IF(OR(OR(AND(L890&lt;&gt;"",M890&lt;&gt;"",N(M890)-N(L890)&gt;설정!$B$27),AND(L890&lt;&gt;"",M890="",설정!$B$24-N(L890)&gt;설정!$B$27)),AND(D890&lt;&gt;"",D890&lt;설정!$B$26)),"△","★")))</f>
        <v/>
      </c>
      <c r="AB890">
        <f>IF(NOT(T890),"",IF(U890="설계사",설정!$B$31,IF(U890="시공사",IF(OR(M890="",설정!$B$24-N(M890)&lt;=설정!$B$28*30.4),설정!$B$32,설정!$B$33),설정!$B$34))+IF(AA890="★",설정!$B$35,0))</f>
        <v/>
      </c>
      <c r="AC890">
        <f>SUBSTITUTE(SUBSTITUTE(SUBSTITUTE(SUBSTITUTE(H890,"(주)",""),"㈜",""),"주식회사","")," ","")</f>
        <v/>
      </c>
      <c r="AD890">
        <f>IF(AND(T890,AC890&lt;&gt;""),IF(COUNTIFS(AC$2:AC890,AC890,T$2:T890,TRUE)=1,MAX(AD$1:AD889)+1,""),"")</f>
        <v/>
      </c>
    </row>
    <row r="891">
      <c r="A891">
        <f>ROW()</f>
        <v/>
      </c>
      <c r="B891">
        <f>IF(설정!$C$4="","",IFERROR(INDEX('1.산군_붙여넣기'!$A$1:$AZ$1001,ROW(),설정!$C$4)&amp;"",""))</f>
        <v/>
      </c>
      <c r="C891">
        <f>IF(설정!$C$5="","",IFERROR(INDEX('1.산군_붙여넣기'!$A$1:$AZ$1001,ROW(),설정!$C$5)&amp;"",""))</f>
        <v/>
      </c>
      <c r="D891" s="5">
        <f>IFERROR(VALUE(SUBSTITUTE(SUBSTITUTE(SUBSTITUTE(IF(설정!$C$6="","",IFERROR(INDEX('1.산군_붙여넣기'!$A$1:$AZ$1001,ROW(),설정!$C$6)&amp;"","")),",",""),"㎡",""),"m2","")),"")</f>
        <v/>
      </c>
      <c r="E891">
        <f>IF(설정!$C$7="","",IFERROR(INDEX('1.산군_붙여넣기'!$A$1:$AZ$1001,ROW(),설정!$C$7)&amp;"",""))</f>
        <v/>
      </c>
      <c r="F891">
        <f>IF(설정!$C$8="","",IFERROR(INDEX('1.산군_붙여넣기'!$A$1:$AZ$1001,ROW(),설정!$C$8)&amp;"",""))</f>
        <v/>
      </c>
      <c r="G891">
        <f>IF(설정!$C$9="","",IFERROR(INDEX('1.산군_붙여넣기'!$A$1:$AZ$1001,ROW(),설정!$C$9)&amp;"",""))</f>
        <v/>
      </c>
      <c r="H891">
        <f>IF(설정!$C$10="","",IFERROR(INDEX('1.산군_붙여넣기'!$A$1:$AZ$1001,ROW(),설정!$C$10)&amp;"",""))</f>
        <v/>
      </c>
      <c r="I891">
        <f>IF(설정!$C$11="","",IFERROR(INDEX('1.산군_붙여넣기'!$A$1:$AZ$1001,ROW(),설정!$C$11)&amp;"",""))</f>
        <v/>
      </c>
      <c r="J891">
        <f>IF(설정!$C$12="","",IFERROR(INDEX('1.산군_붙여넣기'!$A$1:$AZ$1001,ROW(),설정!$C$12)&amp;"",""))</f>
        <v/>
      </c>
      <c r="K891">
        <f>IF(설정!$C$13="","",IFERROR(INDEX('1.산군_붙여넣기'!$A$1:$AZ$1001,ROW(),설정!$C$13)&amp;"",""))</f>
        <v/>
      </c>
      <c r="L891" s="7">
        <f>IF(X891="","",IF(AND(LEN(X891)=8,ISNUMBER(X891*1)),DATE(LEFT(X891,4),MID(X891,5,2),RIGHT(X891,2)),IFERROR(DATEVALUE(SUBSTITUTE(SUBSTITUTE(X891,".","-"),"/","-")),IFERROR(X891*1,""))))</f>
        <v/>
      </c>
      <c r="M891" s="7">
        <f>IF(Y891="","",IF(AND(LEN(Y891)=8,ISNUMBER(Y891*1)),DATE(LEFT(Y891,4),MID(Y891,5,2),RIGHT(Y891,2)),IFERROR(DATEVALUE(SUBSTITUTE(SUBSTITUTE(Y891,".","-"),"/","-")),IFERROR(Y891*1,""))))</f>
        <v/>
      </c>
      <c r="N891">
        <f>IFERROR(LEFT(B891,FIND(" ",B891)-1),B891)</f>
        <v/>
      </c>
      <c r="O891">
        <f>AND(B891&lt;&gt;"",B891&lt;&gt;설정!$B$4,C891&lt;&gt;설정!$B$5)</f>
        <v/>
      </c>
      <c r="P891">
        <f>IF(O891,B891&amp;"|"&amp;C891,"")</f>
        <v/>
      </c>
      <c r="Q891">
        <f>AND(O891,COUNTIF(P892:P$1002,P891)=0)</f>
        <v/>
      </c>
      <c r="R891">
        <f>OR(AND(설정!$A$42&lt;&gt;"",ISNUMBER(SEARCH(설정!$A$42,E891&amp;" "&amp;C891))),AND(설정!$A$43&lt;&gt;"",ISNUMBER(SEARCH(설정!$A$43,E891&amp;" "&amp;C891))),AND(설정!$A$44&lt;&gt;"",ISNUMBER(SEARCH(설정!$A$44,E891&amp;" "&amp;C891))),AND(설정!$A$45&lt;&gt;"",ISNUMBER(SEARCH(설정!$A$45,E891&amp;" "&amp;C891))),AND(설정!$A$46&lt;&gt;"",ISNUMBER(SEARCH(설정!$A$46,E891&amp;" "&amp;C891))),AND(설정!$A$47&lt;&gt;"",ISNUMBER(SEARCH(설정!$A$47,E891&amp;" "&amp;C891))),AND(설정!$A$48&lt;&gt;"",ISNUMBER(SEARCH(설정!$A$48,E891&amp;" "&amp;C891))),AND(설정!$A$49&lt;&gt;"",ISNUMBER(SEARCH(설정!$A$49,E891&amp;" "&amp;C891))),AND(설정!$A$50&lt;&gt;"",ISNUMBER(SEARCH(설정!$A$50,E891&amp;" "&amp;C891))),AND(설정!$A$51&lt;&gt;"",ISNUMBER(SEARCH(설정!$A$51,E891&amp;" "&amp;C891))))</f>
        <v/>
      </c>
      <c r="S891">
        <f>OR(D891="",D891&gt;=설정!$B$19)</f>
        <v/>
      </c>
      <c r="T891">
        <f>AND(Q891,R891,S891)</f>
        <v/>
      </c>
      <c r="U891">
        <f>IF(T891,IF(AND(설정!$A$54&lt;&gt;"",ISNUMBER(SEARCH(설정!$A$54,K891))),설정!$B$54,IF(AND(설정!$A$55&lt;&gt;"",ISNUMBER(SEARCH(설정!$A$55,K891))),설정!$B$55,IF(AND(설정!$A$56&lt;&gt;"",ISNUMBER(SEARCH(설정!$A$56,K891))),설정!$B$56,IF(AND(설정!$A$57&lt;&gt;"",ISNUMBER(SEARCH(설정!$A$57,K891))),설정!$B$57,IF(AND(설정!$A$58&lt;&gt;"",ISNUMBER(SEARCH(설정!$A$58,K891))),설정!$B$58,IF(AND(설정!$A$59&lt;&gt;"",ISNUMBER(SEARCH(설정!$A$59,K891))),설정!$B$59,IF(AND(설정!$A$60&lt;&gt;"",ISNUMBER(SEARCH(설정!$A$60,K891))),설정!$B$60,IF(AND(설정!$A$61&lt;&gt;"",ISNUMBER(SEARCH(설정!$A$61,K891))),설정!$B$61,IF(M891="","설계사","시공사"))))))))),"")</f>
        <v/>
      </c>
      <c r="V891">
        <f>SUBSTITUTE(SUBSTITUTE(SUBSTITUTE(SUBSTITUTE(G891,"(주)",""),"㈜",""),"주식회사","")," ","")</f>
        <v/>
      </c>
      <c r="W891">
        <f>IF(AND(T891,V891&lt;&gt;""),IF(COUNTIFS(V$2:V891,V891,T$2:T891,TRUE)=1,MAX(W$1:W890)+1,""),"")</f>
        <v/>
      </c>
      <c r="X891">
        <f>IF(설정!$C$14="","",IFERROR(INDEX('1.산군_붙여넣기'!$A$1:$AZ$1001,ROW(),설정!$C$14)&amp;"",""))</f>
        <v/>
      </c>
      <c r="Y891">
        <f>IF(설정!$C$15="","",IFERROR(INDEX('1.산군_붙여넣기'!$A$1:$AZ$1001,ROW(),설정!$C$15)&amp;"",""))</f>
        <v/>
      </c>
      <c r="Z891">
        <f>IF(T891,V891&amp;"|"&amp;U891,"")</f>
        <v/>
      </c>
      <c r="AA891">
        <f>IF(NOT(Q891),"",IF(NOT(AND(R891,S891)),"✕",IF(OR(OR(AND(L891&lt;&gt;"",M891&lt;&gt;"",N(M891)-N(L891)&gt;설정!$B$27),AND(L891&lt;&gt;"",M891="",설정!$B$24-N(L891)&gt;설정!$B$27)),AND(D891&lt;&gt;"",D891&lt;설정!$B$26)),"△","★")))</f>
        <v/>
      </c>
      <c r="AB891">
        <f>IF(NOT(T891),"",IF(U891="설계사",설정!$B$31,IF(U891="시공사",IF(OR(M891="",설정!$B$24-N(M891)&lt;=설정!$B$28*30.4),설정!$B$32,설정!$B$33),설정!$B$34))+IF(AA891="★",설정!$B$35,0))</f>
        <v/>
      </c>
      <c r="AC891">
        <f>SUBSTITUTE(SUBSTITUTE(SUBSTITUTE(SUBSTITUTE(H891,"(주)",""),"㈜",""),"주식회사","")," ","")</f>
        <v/>
      </c>
      <c r="AD891">
        <f>IF(AND(T891,AC891&lt;&gt;""),IF(COUNTIFS(AC$2:AC891,AC891,T$2:T891,TRUE)=1,MAX(AD$1:AD890)+1,""),"")</f>
        <v/>
      </c>
    </row>
    <row r="892">
      <c r="A892">
        <f>ROW()</f>
        <v/>
      </c>
      <c r="B892">
        <f>IF(설정!$C$4="","",IFERROR(INDEX('1.산군_붙여넣기'!$A$1:$AZ$1001,ROW(),설정!$C$4)&amp;"",""))</f>
        <v/>
      </c>
      <c r="C892">
        <f>IF(설정!$C$5="","",IFERROR(INDEX('1.산군_붙여넣기'!$A$1:$AZ$1001,ROW(),설정!$C$5)&amp;"",""))</f>
        <v/>
      </c>
      <c r="D892" s="5">
        <f>IFERROR(VALUE(SUBSTITUTE(SUBSTITUTE(SUBSTITUTE(IF(설정!$C$6="","",IFERROR(INDEX('1.산군_붙여넣기'!$A$1:$AZ$1001,ROW(),설정!$C$6)&amp;"","")),",",""),"㎡",""),"m2","")),"")</f>
        <v/>
      </c>
      <c r="E892">
        <f>IF(설정!$C$7="","",IFERROR(INDEX('1.산군_붙여넣기'!$A$1:$AZ$1001,ROW(),설정!$C$7)&amp;"",""))</f>
        <v/>
      </c>
      <c r="F892">
        <f>IF(설정!$C$8="","",IFERROR(INDEX('1.산군_붙여넣기'!$A$1:$AZ$1001,ROW(),설정!$C$8)&amp;"",""))</f>
        <v/>
      </c>
      <c r="G892">
        <f>IF(설정!$C$9="","",IFERROR(INDEX('1.산군_붙여넣기'!$A$1:$AZ$1001,ROW(),설정!$C$9)&amp;"",""))</f>
        <v/>
      </c>
      <c r="H892">
        <f>IF(설정!$C$10="","",IFERROR(INDEX('1.산군_붙여넣기'!$A$1:$AZ$1001,ROW(),설정!$C$10)&amp;"",""))</f>
        <v/>
      </c>
      <c r="I892">
        <f>IF(설정!$C$11="","",IFERROR(INDEX('1.산군_붙여넣기'!$A$1:$AZ$1001,ROW(),설정!$C$11)&amp;"",""))</f>
        <v/>
      </c>
      <c r="J892">
        <f>IF(설정!$C$12="","",IFERROR(INDEX('1.산군_붙여넣기'!$A$1:$AZ$1001,ROW(),설정!$C$12)&amp;"",""))</f>
        <v/>
      </c>
      <c r="K892">
        <f>IF(설정!$C$13="","",IFERROR(INDEX('1.산군_붙여넣기'!$A$1:$AZ$1001,ROW(),설정!$C$13)&amp;"",""))</f>
        <v/>
      </c>
      <c r="L892" s="7">
        <f>IF(X892="","",IF(AND(LEN(X892)=8,ISNUMBER(X892*1)),DATE(LEFT(X892,4),MID(X892,5,2),RIGHT(X892,2)),IFERROR(DATEVALUE(SUBSTITUTE(SUBSTITUTE(X892,".","-"),"/","-")),IFERROR(X892*1,""))))</f>
        <v/>
      </c>
      <c r="M892" s="7">
        <f>IF(Y892="","",IF(AND(LEN(Y892)=8,ISNUMBER(Y892*1)),DATE(LEFT(Y892,4),MID(Y892,5,2),RIGHT(Y892,2)),IFERROR(DATEVALUE(SUBSTITUTE(SUBSTITUTE(Y892,".","-"),"/","-")),IFERROR(Y892*1,""))))</f>
        <v/>
      </c>
      <c r="N892">
        <f>IFERROR(LEFT(B892,FIND(" ",B892)-1),B892)</f>
        <v/>
      </c>
      <c r="O892">
        <f>AND(B892&lt;&gt;"",B892&lt;&gt;설정!$B$4,C892&lt;&gt;설정!$B$5)</f>
        <v/>
      </c>
      <c r="P892">
        <f>IF(O892,B892&amp;"|"&amp;C892,"")</f>
        <v/>
      </c>
      <c r="Q892">
        <f>AND(O892,COUNTIF(P893:P$1002,P892)=0)</f>
        <v/>
      </c>
      <c r="R892">
        <f>OR(AND(설정!$A$42&lt;&gt;"",ISNUMBER(SEARCH(설정!$A$42,E892&amp;" "&amp;C892))),AND(설정!$A$43&lt;&gt;"",ISNUMBER(SEARCH(설정!$A$43,E892&amp;" "&amp;C892))),AND(설정!$A$44&lt;&gt;"",ISNUMBER(SEARCH(설정!$A$44,E892&amp;" "&amp;C892))),AND(설정!$A$45&lt;&gt;"",ISNUMBER(SEARCH(설정!$A$45,E892&amp;" "&amp;C892))),AND(설정!$A$46&lt;&gt;"",ISNUMBER(SEARCH(설정!$A$46,E892&amp;" "&amp;C892))),AND(설정!$A$47&lt;&gt;"",ISNUMBER(SEARCH(설정!$A$47,E892&amp;" "&amp;C892))),AND(설정!$A$48&lt;&gt;"",ISNUMBER(SEARCH(설정!$A$48,E892&amp;" "&amp;C892))),AND(설정!$A$49&lt;&gt;"",ISNUMBER(SEARCH(설정!$A$49,E892&amp;" "&amp;C892))),AND(설정!$A$50&lt;&gt;"",ISNUMBER(SEARCH(설정!$A$50,E892&amp;" "&amp;C892))),AND(설정!$A$51&lt;&gt;"",ISNUMBER(SEARCH(설정!$A$51,E892&amp;" "&amp;C892))))</f>
        <v/>
      </c>
      <c r="S892">
        <f>OR(D892="",D892&gt;=설정!$B$19)</f>
        <v/>
      </c>
      <c r="T892">
        <f>AND(Q892,R892,S892)</f>
        <v/>
      </c>
      <c r="U892">
        <f>IF(T892,IF(AND(설정!$A$54&lt;&gt;"",ISNUMBER(SEARCH(설정!$A$54,K892))),설정!$B$54,IF(AND(설정!$A$55&lt;&gt;"",ISNUMBER(SEARCH(설정!$A$55,K892))),설정!$B$55,IF(AND(설정!$A$56&lt;&gt;"",ISNUMBER(SEARCH(설정!$A$56,K892))),설정!$B$56,IF(AND(설정!$A$57&lt;&gt;"",ISNUMBER(SEARCH(설정!$A$57,K892))),설정!$B$57,IF(AND(설정!$A$58&lt;&gt;"",ISNUMBER(SEARCH(설정!$A$58,K892))),설정!$B$58,IF(AND(설정!$A$59&lt;&gt;"",ISNUMBER(SEARCH(설정!$A$59,K892))),설정!$B$59,IF(AND(설정!$A$60&lt;&gt;"",ISNUMBER(SEARCH(설정!$A$60,K892))),설정!$B$60,IF(AND(설정!$A$61&lt;&gt;"",ISNUMBER(SEARCH(설정!$A$61,K892))),설정!$B$61,IF(M892="","설계사","시공사"))))))))),"")</f>
        <v/>
      </c>
      <c r="V892">
        <f>SUBSTITUTE(SUBSTITUTE(SUBSTITUTE(SUBSTITUTE(G892,"(주)",""),"㈜",""),"주식회사","")," ","")</f>
        <v/>
      </c>
      <c r="W892">
        <f>IF(AND(T892,V892&lt;&gt;""),IF(COUNTIFS(V$2:V892,V892,T$2:T892,TRUE)=1,MAX(W$1:W891)+1,""),"")</f>
        <v/>
      </c>
      <c r="X892">
        <f>IF(설정!$C$14="","",IFERROR(INDEX('1.산군_붙여넣기'!$A$1:$AZ$1001,ROW(),설정!$C$14)&amp;"",""))</f>
        <v/>
      </c>
      <c r="Y892">
        <f>IF(설정!$C$15="","",IFERROR(INDEX('1.산군_붙여넣기'!$A$1:$AZ$1001,ROW(),설정!$C$15)&amp;"",""))</f>
        <v/>
      </c>
      <c r="Z892">
        <f>IF(T892,V892&amp;"|"&amp;U892,"")</f>
        <v/>
      </c>
      <c r="AA892">
        <f>IF(NOT(Q892),"",IF(NOT(AND(R892,S892)),"✕",IF(OR(OR(AND(L892&lt;&gt;"",M892&lt;&gt;"",N(M892)-N(L892)&gt;설정!$B$27),AND(L892&lt;&gt;"",M892="",설정!$B$24-N(L892)&gt;설정!$B$27)),AND(D892&lt;&gt;"",D892&lt;설정!$B$26)),"△","★")))</f>
        <v/>
      </c>
      <c r="AB892">
        <f>IF(NOT(T892),"",IF(U892="설계사",설정!$B$31,IF(U892="시공사",IF(OR(M892="",설정!$B$24-N(M892)&lt;=설정!$B$28*30.4),설정!$B$32,설정!$B$33),설정!$B$34))+IF(AA892="★",설정!$B$35,0))</f>
        <v/>
      </c>
      <c r="AC892">
        <f>SUBSTITUTE(SUBSTITUTE(SUBSTITUTE(SUBSTITUTE(H892,"(주)",""),"㈜",""),"주식회사","")," ","")</f>
        <v/>
      </c>
      <c r="AD892">
        <f>IF(AND(T892,AC892&lt;&gt;""),IF(COUNTIFS(AC$2:AC892,AC892,T$2:T892,TRUE)=1,MAX(AD$1:AD891)+1,""),"")</f>
        <v/>
      </c>
    </row>
    <row r="893">
      <c r="A893">
        <f>ROW()</f>
        <v/>
      </c>
      <c r="B893">
        <f>IF(설정!$C$4="","",IFERROR(INDEX('1.산군_붙여넣기'!$A$1:$AZ$1001,ROW(),설정!$C$4)&amp;"",""))</f>
        <v/>
      </c>
      <c r="C893">
        <f>IF(설정!$C$5="","",IFERROR(INDEX('1.산군_붙여넣기'!$A$1:$AZ$1001,ROW(),설정!$C$5)&amp;"",""))</f>
        <v/>
      </c>
      <c r="D893" s="5">
        <f>IFERROR(VALUE(SUBSTITUTE(SUBSTITUTE(SUBSTITUTE(IF(설정!$C$6="","",IFERROR(INDEX('1.산군_붙여넣기'!$A$1:$AZ$1001,ROW(),설정!$C$6)&amp;"","")),",",""),"㎡",""),"m2","")),"")</f>
        <v/>
      </c>
      <c r="E893">
        <f>IF(설정!$C$7="","",IFERROR(INDEX('1.산군_붙여넣기'!$A$1:$AZ$1001,ROW(),설정!$C$7)&amp;"",""))</f>
        <v/>
      </c>
      <c r="F893">
        <f>IF(설정!$C$8="","",IFERROR(INDEX('1.산군_붙여넣기'!$A$1:$AZ$1001,ROW(),설정!$C$8)&amp;"",""))</f>
        <v/>
      </c>
      <c r="G893">
        <f>IF(설정!$C$9="","",IFERROR(INDEX('1.산군_붙여넣기'!$A$1:$AZ$1001,ROW(),설정!$C$9)&amp;"",""))</f>
        <v/>
      </c>
      <c r="H893">
        <f>IF(설정!$C$10="","",IFERROR(INDEX('1.산군_붙여넣기'!$A$1:$AZ$1001,ROW(),설정!$C$10)&amp;"",""))</f>
        <v/>
      </c>
      <c r="I893">
        <f>IF(설정!$C$11="","",IFERROR(INDEX('1.산군_붙여넣기'!$A$1:$AZ$1001,ROW(),설정!$C$11)&amp;"",""))</f>
        <v/>
      </c>
      <c r="J893">
        <f>IF(설정!$C$12="","",IFERROR(INDEX('1.산군_붙여넣기'!$A$1:$AZ$1001,ROW(),설정!$C$12)&amp;"",""))</f>
        <v/>
      </c>
      <c r="K893">
        <f>IF(설정!$C$13="","",IFERROR(INDEX('1.산군_붙여넣기'!$A$1:$AZ$1001,ROW(),설정!$C$13)&amp;"",""))</f>
        <v/>
      </c>
      <c r="L893" s="7">
        <f>IF(X893="","",IF(AND(LEN(X893)=8,ISNUMBER(X893*1)),DATE(LEFT(X893,4),MID(X893,5,2),RIGHT(X893,2)),IFERROR(DATEVALUE(SUBSTITUTE(SUBSTITUTE(X893,".","-"),"/","-")),IFERROR(X893*1,""))))</f>
        <v/>
      </c>
      <c r="M893" s="7">
        <f>IF(Y893="","",IF(AND(LEN(Y893)=8,ISNUMBER(Y893*1)),DATE(LEFT(Y893,4),MID(Y893,5,2),RIGHT(Y893,2)),IFERROR(DATEVALUE(SUBSTITUTE(SUBSTITUTE(Y893,".","-"),"/","-")),IFERROR(Y893*1,""))))</f>
        <v/>
      </c>
      <c r="N893">
        <f>IFERROR(LEFT(B893,FIND(" ",B893)-1),B893)</f>
        <v/>
      </c>
      <c r="O893">
        <f>AND(B893&lt;&gt;"",B893&lt;&gt;설정!$B$4,C893&lt;&gt;설정!$B$5)</f>
        <v/>
      </c>
      <c r="P893">
        <f>IF(O893,B893&amp;"|"&amp;C893,"")</f>
        <v/>
      </c>
      <c r="Q893">
        <f>AND(O893,COUNTIF(P894:P$1002,P893)=0)</f>
        <v/>
      </c>
      <c r="R893">
        <f>OR(AND(설정!$A$42&lt;&gt;"",ISNUMBER(SEARCH(설정!$A$42,E893&amp;" "&amp;C893))),AND(설정!$A$43&lt;&gt;"",ISNUMBER(SEARCH(설정!$A$43,E893&amp;" "&amp;C893))),AND(설정!$A$44&lt;&gt;"",ISNUMBER(SEARCH(설정!$A$44,E893&amp;" "&amp;C893))),AND(설정!$A$45&lt;&gt;"",ISNUMBER(SEARCH(설정!$A$45,E893&amp;" "&amp;C893))),AND(설정!$A$46&lt;&gt;"",ISNUMBER(SEARCH(설정!$A$46,E893&amp;" "&amp;C893))),AND(설정!$A$47&lt;&gt;"",ISNUMBER(SEARCH(설정!$A$47,E893&amp;" "&amp;C893))),AND(설정!$A$48&lt;&gt;"",ISNUMBER(SEARCH(설정!$A$48,E893&amp;" "&amp;C893))),AND(설정!$A$49&lt;&gt;"",ISNUMBER(SEARCH(설정!$A$49,E893&amp;" "&amp;C893))),AND(설정!$A$50&lt;&gt;"",ISNUMBER(SEARCH(설정!$A$50,E893&amp;" "&amp;C893))),AND(설정!$A$51&lt;&gt;"",ISNUMBER(SEARCH(설정!$A$51,E893&amp;" "&amp;C893))))</f>
        <v/>
      </c>
      <c r="S893">
        <f>OR(D893="",D893&gt;=설정!$B$19)</f>
        <v/>
      </c>
      <c r="T893">
        <f>AND(Q893,R893,S893)</f>
        <v/>
      </c>
      <c r="U893">
        <f>IF(T893,IF(AND(설정!$A$54&lt;&gt;"",ISNUMBER(SEARCH(설정!$A$54,K893))),설정!$B$54,IF(AND(설정!$A$55&lt;&gt;"",ISNUMBER(SEARCH(설정!$A$55,K893))),설정!$B$55,IF(AND(설정!$A$56&lt;&gt;"",ISNUMBER(SEARCH(설정!$A$56,K893))),설정!$B$56,IF(AND(설정!$A$57&lt;&gt;"",ISNUMBER(SEARCH(설정!$A$57,K893))),설정!$B$57,IF(AND(설정!$A$58&lt;&gt;"",ISNUMBER(SEARCH(설정!$A$58,K893))),설정!$B$58,IF(AND(설정!$A$59&lt;&gt;"",ISNUMBER(SEARCH(설정!$A$59,K893))),설정!$B$59,IF(AND(설정!$A$60&lt;&gt;"",ISNUMBER(SEARCH(설정!$A$60,K893))),설정!$B$60,IF(AND(설정!$A$61&lt;&gt;"",ISNUMBER(SEARCH(설정!$A$61,K893))),설정!$B$61,IF(M893="","설계사","시공사"))))))))),"")</f>
        <v/>
      </c>
      <c r="V893">
        <f>SUBSTITUTE(SUBSTITUTE(SUBSTITUTE(SUBSTITUTE(G893,"(주)",""),"㈜",""),"주식회사","")," ","")</f>
        <v/>
      </c>
      <c r="W893">
        <f>IF(AND(T893,V893&lt;&gt;""),IF(COUNTIFS(V$2:V893,V893,T$2:T893,TRUE)=1,MAX(W$1:W892)+1,""),"")</f>
        <v/>
      </c>
      <c r="X893">
        <f>IF(설정!$C$14="","",IFERROR(INDEX('1.산군_붙여넣기'!$A$1:$AZ$1001,ROW(),설정!$C$14)&amp;"",""))</f>
        <v/>
      </c>
      <c r="Y893">
        <f>IF(설정!$C$15="","",IFERROR(INDEX('1.산군_붙여넣기'!$A$1:$AZ$1001,ROW(),설정!$C$15)&amp;"",""))</f>
        <v/>
      </c>
      <c r="Z893">
        <f>IF(T893,V893&amp;"|"&amp;U893,"")</f>
        <v/>
      </c>
      <c r="AA893">
        <f>IF(NOT(Q893),"",IF(NOT(AND(R893,S893)),"✕",IF(OR(OR(AND(L893&lt;&gt;"",M893&lt;&gt;"",N(M893)-N(L893)&gt;설정!$B$27),AND(L893&lt;&gt;"",M893="",설정!$B$24-N(L893)&gt;설정!$B$27)),AND(D893&lt;&gt;"",D893&lt;설정!$B$26)),"△","★")))</f>
        <v/>
      </c>
      <c r="AB893">
        <f>IF(NOT(T893),"",IF(U893="설계사",설정!$B$31,IF(U893="시공사",IF(OR(M893="",설정!$B$24-N(M893)&lt;=설정!$B$28*30.4),설정!$B$32,설정!$B$33),설정!$B$34))+IF(AA893="★",설정!$B$35,0))</f>
        <v/>
      </c>
      <c r="AC893">
        <f>SUBSTITUTE(SUBSTITUTE(SUBSTITUTE(SUBSTITUTE(H893,"(주)",""),"㈜",""),"주식회사","")," ","")</f>
        <v/>
      </c>
      <c r="AD893">
        <f>IF(AND(T893,AC893&lt;&gt;""),IF(COUNTIFS(AC$2:AC893,AC893,T$2:T893,TRUE)=1,MAX(AD$1:AD892)+1,""),"")</f>
        <v/>
      </c>
    </row>
    <row r="894">
      <c r="A894">
        <f>ROW()</f>
        <v/>
      </c>
      <c r="B894">
        <f>IF(설정!$C$4="","",IFERROR(INDEX('1.산군_붙여넣기'!$A$1:$AZ$1001,ROW(),설정!$C$4)&amp;"",""))</f>
        <v/>
      </c>
      <c r="C894">
        <f>IF(설정!$C$5="","",IFERROR(INDEX('1.산군_붙여넣기'!$A$1:$AZ$1001,ROW(),설정!$C$5)&amp;"",""))</f>
        <v/>
      </c>
      <c r="D894" s="5">
        <f>IFERROR(VALUE(SUBSTITUTE(SUBSTITUTE(SUBSTITUTE(IF(설정!$C$6="","",IFERROR(INDEX('1.산군_붙여넣기'!$A$1:$AZ$1001,ROW(),설정!$C$6)&amp;"","")),",",""),"㎡",""),"m2","")),"")</f>
        <v/>
      </c>
      <c r="E894">
        <f>IF(설정!$C$7="","",IFERROR(INDEX('1.산군_붙여넣기'!$A$1:$AZ$1001,ROW(),설정!$C$7)&amp;"",""))</f>
        <v/>
      </c>
      <c r="F894">
        <f>IF(설정!$C$8="","",IFERROR(INDEX('1.산군_붙여넣기'!$A$1:$AZ$1001,ROW(),설정!$C$8)&amp;"",""))</f>
        <v/>
      </c>
      <c r="G894">
        <f>IF(설정!$C$9="","",IFERROR(INDEX('1.산군_붙여넣기'!$A$1:$AZ$1001,ROW(),설정!$C$9)&amp;"",""))</f>
        <v/>
      </c>
      <c r="H894">
        <f>IF(설정!$C$10="","",IFERROR(INDEX('1.산군_붙여넣기'!$A$1:$AZ$1001,ROW(),설정!$C$10)&amp;"",""))</f>
        <v/>
      </c>
      <c r="I894">
        <f>IF(설정!$C$11="","",IFERROR(INDEX('1.산군_붙여넣기'!$A$1:$AZ$1001,ROW(),설정!$C$11)&amp;"",""))</f>
        <v/>
      </c>
      <c r="J894">
        <f>IF(설정!$C$12="","",IFERROR(INDEX('1.산군_붙여넣기'!$A$1:$AZ$1001,ROW(),설정!$C$12)&amp;"",""))</f>
        <v/>
      </c>
      <c r="K894">
        <f>IF(설정!$C$13="","",IFERROR(INDEX('1.산군_붙여넣기'!$A$1:$AZ$1001,ROW(),설정!$C$13)&amp;"",""))</f>
        <v/>
      </c>
      <c r="L894" s="7">
        <f>IF(X894="","",IF(AND(LEN(X894)=8,ISNUMBER(X894*1)),DATE(LEFT(X894,4),MID(X894,5,2),RIGHT(X894,2)),IFERROR(DATEVALUE(SUBSTITUTE(SUBSTITUTE(X894,".","-"),"/","-")),IFERROR(X894*1,""))))</f>
        <v/>
      </c>
      <c r="M894" s="7">
        <f>IF(Y894="","",IF(AND(LEN(Y894)=8,ISNUMBER(Y894*1)),DATE(LEFT(Y894,4),MID(Y894,5,2),RIGHT(Y894,2)),IFERROR(DATEVALUE(SUBSTITUTE(SUBSTITUTE(Y894,".","-"),"/","-")),IFERROR(Y894*1,""))))</f>
        <v/>
      </c>
      <c r="N894">
        <f>IFERROR(LEFT(B894,FIND(" ",B894)-1),B894)</f>
        <v/>
      </c>
      <c r="O894">
        <f>AND(B894&lt;&gt;"",B894&lt;&gt;설정!$B$4,C894&lt;&gt;설정!$B$5)</f>
        <v/>
      </c>
      <c r="P894">
        <f>IF(O894,B894&amp;"|"&amp;C894,"")</f>
        <v/>
      </c>
      <c r="Q894">
        <f>AND(O894,COUNTIF(P895:P$1002,P894)=0)</f>
        <v/>
      </c>
      <c r="R894">
        <f>OR(AND(설정!$A$42&lt;&gt;"",ISNUMBER(SEARCH(설정!$A$42,E894&amp;" "&amp;C894))),AND(설정!$A$43&lt;&gt;"",ISNUMBER(SEARCH(설정!$A$43,E894&amp;" "&amp;C894))),AND(설정!$A$44&lt;&gt;"",ISNUMBER(SEARCH(설정!$A$44,E894&amp;" "&amp;C894))),AND(설정!$A$45&lt;&gt;"",ISNUMBER(SEARCH(설정!$A$45,E894&amp;" "&amp;C894))),AND(설정!$A$46&lt;&gt;"",ISNUMBER(SEARCH(설정!$A$46,E894&amp;" "&amp;C894))),AND(설정!$A$47&lt;&gt;"",ISNUMBER(SEARCH(설정!$A$47,E894&amp;" "&amp;C894))),AND(설정!$A$48&lt;&gt;"",ISNUMBER(SEARCH(설정!$A$48,E894&amp;" "&amp;C894))),AND(설정!$A$49&lt;&gt;"",ISNUMBER(SEARCH(설정!$A$49,E894&amp;" "&amp;C894))),AND(설정!$A$50&lt;&gt;"",ISNUMBER(SEARCH(설정!$A$50,E894&amp;" "&amp;C894))),AND(설정!$A$51&lt;&gt;"",ISNUMBER(SEARCH(설정!$A$51,E894&amp;" "&amp;C894))))</f>
        <v/>
      </c>
      <c r="S894">
        <f>OR(D894="",D894&gt;=설정!$B$19)</f>
        <v/>
      </c>
      <c r="T894">
        <f>AND(Q894,R894,S894)</f>
        <v/>
      </c>
      <c r="U894">
        <f>IF(T894,IF(AND(설정!$A$54&lt;&gt;"",ISNUMBER(SEARCH(설정!$A$54,K894))),설정!$B$54,IF(AND(설정!$A$55&lt;&gt;"",ISNUMBER(SEARCH(설정!$A$55,K894))),설정!$B$55,IF(AND(설정!$A$56&lt;&gt;"",ISNUMBER(SEARCH(설정!$A$56,K894))),설정!$B$56,IF(AND(설정!$A$57&lt;&gt;"",ISNUMBER(SEARCH(설정!$A$57,K894))),설정!$B$57,IF(AND(설정!$A$58&lt;&gt;"",ISNUMBER(SEARCH(설정!$A$58,K894))),설정!$B$58,IF(AND(설정!$A$59&lt;&gt;"",ISNUMBER(SEARCH(설정!$A$59,K894))),설정!$B$59,IF(AND(설정!$A$60&lt;&gt;"",ISNUMBER(SEARCH(설정!$A$60,K894))),설정!$B$60,IF(AND(설정!$A$61&lt;&gt;"",ISNUMBER(SEARCH(설정!$A$61,K894))),설정!$B$61,IF(M894="","설계사","시공사"))))))))),"")</f>
        <v/>
      </c>
      <c r="V894">
        <f>SUBSTITUTE(SUBSTITUTE(SUBSTITUTE(SUBSTITUTE(G894,"(주)",""),"㈜",""),"주식회사","")," ","")</f>
        <v/>
      </c>
      <c r="W894">
        <f>IF(AND(T894,V894&lt;&gt;""),IF(COUNTIFS(V$2:V894,V894,T$2:T894,TRUE)=1,MAX(W$1:W893)+1,""),"")</f>
        <v/>
      </c>
      <c r="X894">
        <f>IF(설정!$C$14="","",IFERROR(INDEX('1.산군_붙여넣기'!$A$1:$AZ$1001,ROW(),설정!$C$14)&amp;"",""))</f>
        <v/>
      </c>
      <c r="Y894">
        <f>IF(설정!$C$15="","",IFERROR(INDEX('1.산군_붙여넣기'!$A$1:$AZ$1001,ROW(),설정!$C$15)&amp;"",""))</f>
        <v/>
      </c>
      <c r="Z894">
        <f>IF(T894,V894&amp;"|"&amp;U894,"")</f>
        <v/>
      </c>
      <c r="AA894">
        <f>IF(NOT(Q894),"",IF(NOT(AND(R894,S894)),"✕",IF(OR(OR(AND(L894&lt;&gt;"",M894&lt;&gt;"",N(M894)-N(L894)&gt;설정!$B$27),AND(L894&lt;&gt;"",M894="",설정!$B$24-N(L894)&gt;설정!$B$27)),AND(D894&lt;&gt;"",D894&lt;설정!$B$26)),"△","★")))</f>
        <v/>
      </c>
      <c r="AB894">
        <f>IF(NOT(T894),"",IF(U894="설계사",설정!$B$31,IF(U894="시공사",IF(OR(M894="",설정!$B$24-N(M894)&lt;=설정!$B$28*30.4),설정!$B$32,설정!$B$33),설정!$B$34))+IF(AA894="★",설정!$B$35,0))</f>
        <v/>
      </c>
      <c r="AC894">
        <f>SUBSTITUTE(SUBSTITUTE(SUBSTITUTE(SUBSTITUTE(H894,"(주)",""),"㈜",""),"주식회사","")," ","")</f>
        <v/>
      </c>
      <c r="AD894">
        <f>IF(AND(T894,AC894&lt;&gt;""),IF(COUNTIFS(AC$2:AC894,AC894,T$2:T894,TRUE)=1,MAX(AD$1:AD893)+1,""),"")</f>
        <v/>
      </c>
    </row>
    <row r="895">
      <c r="A895">
        <f>ROW()</f>
        <v/>
      </c>
      <c r="B895">
        <f>IF(설정!$C$4="","",IFERROR(INDEX('1.산군_붙여넣기'!$A$1:$AZ$1001,ROW(),설정!$C$4)&amp;"",""))</f>
        <v/>
      </c>
      <c r="C895">
        <f>IF(설정!$C$5="","",IFERROR(INDEX('1.산군_붙여넣기'!$A$1:$AZ$1001,ROW(),설정!$C$5)&amp;"",""))</f>
        <v/>
      </c>
      <c r="D895" s="5">
        <f>IFERROR(VALUE(SUBSTITUTE(SUBSTITUTE(SUBSTITUTE(IF(설정!$C$6="","",IFERROR(INDEX('1.산군_붙여넣기'!$A$1:$AZ$1001,ROW(),설정!$C$6)&amp;"","")),",",""),"㎡",""),"m2","")),"")</f>
        <v/>
      </c>
      <c r="E895">
        <f>IF(설정!$C$7="","",IFERROR(INDEX('1.산군_붙여넣기'!$A$1:$AZ$1001,ROW(),설정!$C$7)&amp;"",""))</f>
        <v/>
      </c>
      <c r="F895">
        <f>IF(설정!$C$8="","",IFERROR(INDEX('1.산군_붙여넣기'!$A$1:$AZ$1001,ROW(),설정!$C$8)&amp;"",""))</f>
        <v/>
      </c>
      <c r="G895">
        <f>IF(설정!$C$9="","",IFERROR(INDEX('1.산군_붙여넣기'!$A$1:$AZ$1001,ROW(),설정!$C$9)&amp;"",""))</f>
        <v/>
      </c>
      <c r="H895">
        <f>IF(설정!$C$10="","",IFERROR(INDEX('1.산군_붙여넣기'!$A$1:$AZ$1001,ROW(),설정!$C$10)&amp;"",""))</f>
        <v/>
      </c>
      <c r="I895">
        <f>IF(설정!$C$11="","",IFERROR(INDEX('1.산군_붙여넣기'!$A$1:$AZ$1001,ROW(),설정!$C$11)&amp;"",""))</f>
        <v/>
      </c>
      <c r="J895">
        <f>IF(설정!$C$12="","",IFERROR(INDEX('1.산군_붙여넣기'!$A$1:$AZ$1001,ROW(),설정!$C$12)&amp;"",""))</f>
        <v/>
      </c>
      <c r="K895">
        <f>IF(설정!$C$13="","",IFERROR(INDEX('1.산군_붙여넣기'!$A$1:$AZ$1001,ROW(),설정!$C$13)&amp;"",""))</f>
        <v/>
      </c>
      <c r="L895" s="7">
        <f>IF(X895="","",IF(AND(LEN(X895)=8,ISNUMBER(X895*1)),DATE(LEFT(X895,4),MID(X895,5,2),RIGHT(X895,2)),IFERROR(DATEVALUE(SUBSTITUTE(SUBSTITUTE(X895,".","-"),"/","-")),IFERROR(X895*1,""))))</f>
        <v/>
      </c>
      <c r="M895" s="7">
        <f>IF(Y895="","",IF(AND(LEN(Y895)=8,ISNUMBER(Y895*1)),DATE(LEFT(Y895,4),MID(Y895,5,2),RIGHT(Y895,2)),IFERROR(DATEVALUE(SUBSTITUTE(SUBSTITUTE(Y895,".","-"),"/","-")),IFERROR(Y895*1,""))))</f>
        <v/>
      </c>
      <c r="N895">
        <f>IFERROR(LEFT(B895,FIND(" ",B895)-1),B895)</f>
        <v/>
      </c>
      <c r="O895">
        <f>AND(B895&lt;&gt;"",B895&lt;&gt;설정!$B$4,C895&lt;&gt;설정!$B$5)</f>
        <v/>
      </c>
      <c r="P895">
        <f>IF(O895,B895&amp;"|"&amp;C895,"")</f>
        <v/>
      </c>
      <c r="Q895">
        <f>AND(O895,COUNTIF(P896:P$1002,P895)=0)</f>
        <v/>
      </c>
      <c r="R895">
        <f>OR(AND(설정!$A$42&lt;&gt;"",ISNUMBER(SEARCH(설정!$A$42,E895&amp;" "&amp;C895))),AND(설정!$A$43&lt;&gt;"",ISNUMBER(SEARCH(설정!$A$43,E895&amp;" "&amp;C895))),AND(설정!$A$44&lt;&gt;"",ISNUMBER(SEARCH(설정!$A$44,E895&amp;" "&amp;C895))),AND(설정!$A$45&lt;&gt;"",ISNUMBER(SEARCH(설정!$A$45,E895&amp;" "&amp;C895))),AND(설정!$A$46&lt;&gt;"",ISNUMBER(SEARCH(설정!$A$46,E895&amp;" "&amp;C895))),AND(설정!$A$47&lt;&gt;"",ISNUMBER(SEARCH(설정!$A$47,E895&amp;" "&amp;C895))),AND(설정!$A$48&lt;&gt;"",ISNUMBER(SEARCH(설정!$A$48,E895&amp;" "&amp;C895))),AND(설정!$A$49&lt;&gt;"",ISNUMBER(SEARCH(설정!$A$49,E895&amp;" "&amp;C895))),AND(설정!$A$50&lt;&gt;"",ISNUMBER(SEARCH(설정!$A$50,E895&amp;" "&amp;C895))),AND(설정!$A$51&lt;&gt;"",ISNUMBER(SEARCH(설정!$A$51,E895&amp;" "&amp;C895))))</f>
        <v/>
      </c>
      <c r="S895">
        <f>OR(D895="",D895&gt;=설정!$B$19)</f>
        <v/>
      </c>
      <c r="T895">
        <f>AND(Q895,R895,S895)</f>
        <v/>
      </c>
      <c r="U895">
        <f>IF(T895,IF(AND(설정!$A$54&lt;&gt;"",ISNUMBER(SEARCH(설정!$A$54,K895))),설정!$B$54,IF(AND(설정!$A$55&lt;&gt;"",ISNUMBER(SEARCH(설정!$A$55,K895))),설정!$B$55,IF(AND(설정!$A$56&lt;&gt;"",ISNUMBER(SEARCH(설정!$A$56,K895))),설정!$B$56,IF(AND(설정!$A$57&lt;&gt;"",ISNUMBER(SEARCH(설정!$A$57,K895))),설정!$B$57,IF(AND(설정!$A$58&lt;&gt;"",ISNUMBER(SEARCH(설정!$A$58,K895))),설정!$B$58,IF(AND(설정!$A$59&lt;&gt;"",ISNUMBER(SEARCH(설정!$A$59,K895))),설정!$B$59,IF(AND(설정!$A$60&lt;&gt;"",ISNUMBER(SEARCH(설정!$A$60,K895))),설정!$B$60,IF(AND(설정!$A$61&lt;&gt;"",ISNUMBER(SEARCH(설정!$A$61,K895))),설정!$B$61,IF(M895="","설계사","시공사"))))))))),"")</f>
        <v/>
      </c>
      <c r="V895">
        <f>SUBSTITUTE(SUBSTITUTE(SUBSTITUTE(SUBSTITUTE(G895,"(주)",""),"㈜",""),"주식회사","")," ","")</f>
        <v/>
      </c>
      <c r="W895">
        <f>IF(AND(T895,V895&lt;&gt;""),IF(COUNTIFS(V$2:V895,V895,T$2:T895,TRUE)=1,MAX(W$1:W894)+1,""),"")</f>
        <v/>
      </c>
      <c r="X895">
        <f>IF(설정!$C$14="","",IFERROR(INDEX('1.산군_붙여넣기'!$A$1:$AZ$1001,ROW(),설정!$C$14)&amp;"",""))</f>
        <v/>
      </c>
      <c r="Y895">
        <f>IF(설정!$C$15="","",IFERROR(INDEX('1.산군_붙여넣기'!$A$1:$AZ$1001,ROW(),설정!$C$15)&amp;"",""))</f>
        <v/>
      </c>
      <c r="Z895">
        <f>IF(T895,V895&amp;"|"&amp;U895,"")</f>
        <v/>
      </c>
      <c r="AA895">
        <f>IF(NOT(Q895),"",IF(NOT(AND(R895,S895)),"✕",IF(OR(OR(AND(L895&lt;&gt;"",M895&lt;&gt;"",N(M895)-N(L895)&gt;설정!$B$27),AND(L895&lt;&gt;"",M895="",설정!$B$24-N(L895)&gt;설정!$B$27)),AND(D895&lt;&gt;"",D895&lt;설정!$B$26)),"△","★")))</f>
        <v/>
      </c>
      <c r="AB895">
        <f>IF(NOT(T895),"",IF(U895="설계사",설정!$B$31,IF(U895="시공사",IF(OR(M895="",설정!$B$24-N(M895)&lt;=설정!$B$28*30.4),설정!$B$32,설정!$B$33),설정!$B$34))+IF(AA895="★",설정!$B$35,0))</f>
        <v/>
      </c>
      <c r="AC895">
        <f>SUBSTITUTE(SUBSTITUTE(SUBSTITUTE(SUBSTITUTE(H895,"(주)",""),"㈜",""),"주식회사","")," ","")</f>
        <v/>
      </c>
      <c r="AD895">
        <f>IF(AND(T895,AC895&lt;&gt;""),IF(COUNTIFS(AC$2:AC895,AC895,T$2:T895,TRUE)=1,MAX(AD$1:AD894)+1,""),"")</f>
        <v/>
      </c>
    </row>
    <row r="896">
      <c r="A896">
        <f>ROW()</f>
        <v/>
      </c>
      <c r="B896">
        <f>IF(설정!$C$4="","",IFERROR(INDEX('1.산군_붙여넣기'!$A$1:$AZ$1001,ROW(),설정!$C$4)&amp;"",""))</f>
        <v/>
      </c>
      <c r="C896">
        <f>IF(설정!$C$5="","",IFERROR(INDEX('1.산군_붙여넣기'!$A$1:$AZ$1001,ROW(),설정!$C$5)&amp;"",""))</f>
        <v/>
      </c>
      <c r="D896" s="5">
        <f>IFERROR(VALUE(SUBSTITUTE(SUBSTITUTE(SUBSTITUTE(IF(설정!$C$6="","",IFERROR(INDEX('1.산군_붙여넣기'!$A$1:$AZ$1001,ROW(),설정!$C$6)&amp;"","")),",",""),"㎡",""),"m2","")),"")</f>
        <v/>
      </c>
      <c r="E896">
        <f>IF(설정!$C$7="","",IFERROR(INDEX('1.산군_붙여넣기'!$A$1:$AZ$1001,ROW(),설정!$C$7)&amp;"",""))</f>
        <v/>
      </c>
      <c r="F896">
        <f>IF(설정!$C$8="","",IFERROR(INDEX('1.산군_붙여넣기'!$A$1:$AZ$1001,ROW(),설정!$C$8)&amp;"",""))</f>
        <v/>
      </c>
      <c r="G896">
        <f>IF(설정!$C$9="","",IFERROR(INDEX('1.산군_붙여넣기'!$A$1:$AZ$1001,ROW(),설정!$C$9)&amp;"",""))</f>
        <v/>
      </c>
      <c r="H896">
        <f>IF(설정!$C$10="","",IFERROR(INDEX('1.산군_붙여넣기'!$A$1:$AZ$1001,ROW(),설정!$C$10)&amp;"",""))</f>
        <v/>
      </c>
      <c r="I896">
        <f>IF(설정!$C$11="","",IFERROR(INDEX('1.산군_붙여넣기'!$A$1:$AZ$1001,ROW(),설정!$C$11)&amp;"",""))</f>
        <v/>
      </c>
      <c r="J896">
        <f>IF(설정!$C$12="","",IFERROR(INDEX('1.산군_붙여넣기'!$A$1:$AZ$1001,ROW(),설정!$C$12)&amp;"",""))</f>
        <v/>
      </c>
      <c r="K896">
        <f>IF(설정!$C$13="","",IFERROR(INDEX('1.산군_붙여넣기'!$A$1:$AZ$1001,ROW(),설정!$C$13)&amp;"",""))</f>
        <v/>
      </c>
      <c r="L896" s="7">
        <f>IF(X896="","",IF(AND(LEN(X896)=8,ISNUMBER(X896*1)),DATE(LEFT(X896,4),MID(X896,5,2),RIGHT(X896,2)),IFERROR(DATEVALUE(SUBSTITUTE(SUBSTITUTE(X896,".","-"),"/","-")),IFERROR(X896*1,""))))</f>
        <v/>
      </c>
      <c r="M896" s="7">
        <f>IF(Y896="","",IF(AND(LEN(Y896)=8,ISNUMBER(Y896*1)),DATE(LEFT(Y896,4),MID(Y896,5,2),RIGHT(Y896,2)),IFERROR(DATEVALUE(SUBSTITUTE(SUBSTITUTE(Y896,".","-"),"/","-")),IFERROR(Y896*1,""))))</f>
        <v/>
      </c>
      <c r="N896">
        <f>IFERROR(LEFT(B896,FIND(" ",B896)-1),B896)</f>
        <v/>
      </c>
      <c r="O896">
        <f>AND(B896&lt;&gt;"",B896&lt;&gt;설정!$B$4,C896&lt;&gt;설정!$B$5)</f>
        <v/>
      </c>
      <c r="P896">
        <f>IF(O896,B896&amp;"|"&amp;C896,"")</f>
        <v/>
      </c>
      <c r="Q896">
        <f>AND(O896,COUNTIF(P897:P$1002,P896)=0)</f>
        <v/>
      </c>
      <c r="R896">
        <f>OR(AND(설정!$A$42&lt;&gt;"",ISNUMBER(SEARCH(설정!$A$42,E896&amp;" "&amp;C896))),AND(설정!$A$43&lt;&gt;"",ISNUMBER(SEARCH(설정!$A$43,E896&amp;" "&amp;C896))),AND(설정!$A$44&lt;&gt;"",ISNUMBER(SEARCH(설정!$A$44,E896&amp;" "&amp;C896))),AND(설정!$A$45&lt;&gt;"",ISNUMBER(SEARCH(설정!$A$45,E896&amp;" "&amp;C896))),AND(설정!$A$46&lt;&gt;"",ISNUMBER(SEARCH(설정!$A$46,E896&amp;" "&amp;C896))),AND(설정!$A$47&lt;&gt;"",ISNUMBER(SEARCH(설정!$A$47,E896&amp;" "&amp;C896))),AND(설정!$A$48&lt;&gt;"",ISNUMBER(SEARCH(설정!$A$48,E896&amp;" "&amp;C896))),AND(설정!$A$49&lt;&gt;"",ISNUMBER(SEARCH(설정!$A$49,E896&amp;" "&amp;C896))),AND(설정!$A$50&lt;&gt;"",ISNUMBER(SEARCH(설정!$A$50,E896&amp;" "&amp;C896))),AND(설정!$A$51&lt;&gt;"",ISNUMBER(SEARCH(설정!$A$51,E896&amp;" "&amp;C896))))</f>
        <v/>
      </c>
      <c r="S896">
        <f>OR(D896="",D896&gt;=설정!$B$19)</f>
        <v/>
      </c>
      <c r="T896">
        <f>AND(Q896,R896,S896)</f>
        <v/>
      </c>
      <c r="U896">
        <f>IF(T896,IF(AND(설정!$A$54&lt;&gt;"",ISNUMBER(SEARCH(설정!$A$54,K896))),설정!$B$54,IF(AND(설정!$A$55&lt;&gt;"",ISNUMBER(SEARCH(설정!$A$55,K896))),설정!$B$55,IF(AND(설정!$A$56&lt;&gt;"",ISNUMBER(SEARCH(설정!$A$56,K896))),설정!$B$56,IF(AND(설정!$A$57&lt;&gt;"",ISNUMBER(SEARCH(설정!$A$57,K896))),설정!$B$57,IF(AND(설정!$A$58&lt;&gt;"",ISNUMBER(SEARCH(설정!$A$58,K896))),설정!$B$58,IF(AND(설정!$A$59&lt;&gt;"",ISNUMBER(SEARCH(설정!$A$59,K896))),설정!$B$59,IF(AND(설정!$A$60&lt;&gt;"",ISNUMBER(SEARCH(설정!$A$60,K896))),설정!$B$60,IF(AND(설정!$A$61&lt;&gt;"",ISNUMBER(SEARCH(설정!$A$61,K896))),설정!$B$61,IF(M896="","설계사","시공사"))))))))),"")</f>
        <v/>
      </c>
      <c r="V896">
        <f>SUBSTITUTE(SUBSTITUTE(SUBSTITUTE(SUBSTITUTE(G896,"(주)",""),"㈜",""),"주식회사","")," ","")</f>
        <v/>
      </c>
      <c r="W896">
        <f>IF(AND(T896,V896&lt;&gt;""),IF(COUNTIFS(V$2:V896,V896,T$2:T896,TRUE)=1,MAX(W$1:W895)+1,""),"")</f>
        <v/>
      </c>
      <c r="X896">
        <f>IF(설정!$C$14="","",IFERROR(INDEX('1.산군_붙여넣기'!$A$1:$AZ$1001,ROW(),설정!$C$14)&amp;"",""))</f>
        <v/>
      </c>
      <c r="Y896">
        <f>IF(설정!$C$15="","",IFERROR(INDEX('1.산군_붙여넣기'!$A$1:$AZ$1001,ROW(),설정!$C$15)&amp;"",""))</f>
        <v/>
      </c>
      <c r="Z896">
        <f>IF(T896,V896&amp;"|"&amp;U896,"")</f>
        <v/>
      </c>
      <c r="AA896">
        <f>IF(NOT(Q896),"",IF(NOT(AND(R896,S896)),"✕",IF(OR(OR(AND(L896&lt;&gt;"",M896&lt;&gt;"",N(M896)-N(L896)&gt;설정!$B$27),AND(L896&lt;&gt;"",M896="",설정!$B$24-N(L896)&gt;설정!$B$27)),AND(D896&lt;&gt;"",D896&lt;설정!$B$26)),"△","★")))</f>
        <v/>
      </c>
      <c r="AB896">
        <f>IF(NOT(T896),"",IF(U896="설계사",설정!$B$31,IF(U896="시공사",IF(OR(M896="",설정!$B$24-N(M896)&lt;=설정!$B$28*30.4),설정!$B$32,설정!$B$33),설정!$B$34))+IF(AA896="★",설정!$B$35,0))</f>
        <v/>
      </c>
      <c r="AC896">
        <f>SUBSTITUTE(SUBSTITUTE(SUBSTITUTE(SUBSTITUTE(H896,"(주)",""),"㈜",""),"주식회사","")," ","")</f>
        <v/>
      </c>
      <c r="AD896">
        <f>IF(AND(T896,AC896&lt;&gt;""),IF(COUNTIFS(AC$2:AC896,AC896,T$2:T896,TRUE)=1,MAX(AD$1:AD895)+1,""),"")</f>
        <v/>
      </c>
    </row>
    <row r="897">
      <c r="A897">
        <f>ROW()</f>
        <v/>
      </c>
      <c r="B897">
        <f>IF(설정!$C$4="","",IFERROR(INDEX('1.산군_붙여넣기'!$A$1:$AZ$1001,ROW(),설정!$C$4)&amp;"",""))</f>
        <v/>
      </c>
      <c r="C897">
        <f>IF(설정!$C$5="","",IFERROR(INDEX('1.산군_붙여넣기'!$A$1:$AZ$1001,ROW(),설정!$C$5)&amp;"",""))</f>
        <v/>
      </c>
      <c r="D897" s="5">
        <f>IFERROR(VALUE(SUBSTITUTE(SUBSTITUTE(SUBSTITUTE(IF(설정!$C$6="","",IFERROR(INDEX('1.산군_붙여넣기'!$A$1:$AZ$1001,ROW(),설정!$C$6)&amp;"","")),",",""),"㎡",""),"m2","")),"")</f>
        <v/>
      </c>
      <c r="E897">
        <f>IF(설정!$C$7="","",IFERROR(INDEX('1.산군_붙여넣기'!$A$1:$AZ$1001,ROW(),설정!$C$7)&amp;"",""))</f>
        <v/>
      </c>
      <c r="F897">
        <f>IF(설정!$C$8="","",IFERROR(INDEX('1.산군_붙여넣기'!$A$1:$AZ$1001,ROW(),설정!$C$8)&amp;"",""))</f>
        <v/>
      </c>
      <c r="G897">
        <f>IF(설정!$C$9="","",IFERROR(INDEX('1.산군_붙여넣기'!$A$1:$AZ$1001,ROW(),설정!$C$9)&amp;"",""))</f>
        <v/>
      </c>
      <c r="H897">
        <f>IF(설정!$C$10="","",IFERROR(INDEX('1.산군_붙여넣기'!$A$1:$AZ$1001,ROW(),설정!$C$10)&amp;"",""))</f>
        <v/>
      </c>
      <c r="I897">
        <f>IF(설정!$C$11="","",IFERROR(INDEX('1.산군_붙여넣기'!$A$1:$AZ$1001,ROW(),설정!$C$11)&amp;"",""))</f>
        <v/>
      </c>
      <c r="J897">
        <f>IF(설정!$C$12="","",IFERROR(INDEX('1.산군_붙여넣기'!$A$1:$AZ$1001,ROW(),설정!$C$12)&amp;"",""))</f>
        <v/>
      </c>
      <c r="K897">
        <f>IF(설정!$C$13="","",IFERROR(INDEX('1.산군_붙여넣기'!$A$1:$AZ$1001,ROW(),설정!$C$13)&amp;"",""))</f>
        <v/>
      </c>
      <c r="L897" s="7">
        <f>IF(X897="","",IF(AND(LEN(X897)=8,ISNUMBER(X897*1)),DATE(LEFT(X897,4),MID(X897,5,2),RIGHT(X897,2)),IFERROR(DATEVALUE(SUBSTITUTE(SUBSTITUTE(X897,".","-"),"/","-")),IFERROR(X897*1,""))))</f>
        <v/>
      </c>
      <c r="M897" s="7">
        <f>IF(Y897="","",IF(AND(LEN(Y897)=8,ISNUMBER(Y897*1)),DATE(LEFT(Y897,4),MID(Y897,5,2),RIGHT(Y897,2)),IFERROR(DATEVALUE(SUBSTITUTE(SUBSTITUTE(Y897,".","-"),"/","-")),IFERROR(Y897*1,""))))</f>
        <v/>
      </c>
      <c r="N897">
        <f>IFERROR(LEFT(B897,FIND(" ",B897)-1),B897)</f>
        <v/>
      </c>
      <c r="O897">
        <f>AND(B897&lt;&gt;"",B897&lt;&gt;설정!$B$4,C897&lt;&gt;설정!$B$5)</f>
        <v/>
      </c>
      <c r="P897">
        <f>IF(O897,B897&amp;"|"&amp;C897,"")</f>
        <v/>
      </c>
      <c r="Q897">
        <f>AND(O897,COUNTIF(P898:P$1002,P897)=0)</f>
        <v/>
      </c>
      <c r="R897">
        <f>OR(AND(설정!$A$42&lt;&gt;"",ISNUMBER(SEARCH(설정!$A$42,E897&amp;" "&amp;C897))),AND(설정!$A$43&lt;&gt;"",ISNUMBER(SEARCH(설정!$A$43,E897&amp;" "&amp;C897))),AND(설정!$A$44&lt;&gt;"",ISNUMBER(SEARCH(설정!$A$44,E897&amp;" "&amp;C897))),AND(설정!$A$45&lt;&gt;"",ISNUMBER(SEARCH(설정!$A$45,E897&amp;" "&amp;C897))),AND(설정!$A$46&lt;&gt;"",ISNUMBER(SEARCH(설정!$A$46,E897&amp;" "&amp;C897))),AND(설정!$A$47&lt;&gt;"",ISNUMBER(SEARCH(설정!$A$47,E897&amp;" "&amp;C897))),AND(설정!$A$48&lt;&gt;"",ISNUMBER(SEARCH(설정!$A$48,E897&amp;" "&amp;C897))),AND(설정!$A$49&lt;&gt;"",ISNUMBER(SEARCH(설정!$A$49,E897&amp;" "&amp;C897))),AND(설정!$A$50&lt;&gt;"",ISNUMBER(SEARCH(설정!$A$50,E897&amp;" "&amp;C897))),AND(설정!$A$51&lt;&gt;"",ISNUMBER(SEARCH(설정!$A$51,E897&amp;" "&amp;C897))))</f>
        <v/>
      </c>
      <c r="S897">
        <f>OR(D897="",D897&gt;=설정!$B$19)</f>
        <v/>
      </c>
      <c r="T897">
        <f>AND(Q897,R897,S897)</f>
        <v/>
      </c>
      <c r="U897">
        <f>IF(T897,IF(AND(설정!$A$54&lt;&gt;"",ISNUMBER(SEARCH(설정!$A$54,K897))),설정!$B$54,IF(AND(설정!$A$55&lt;&gt;"",ISNUMBER(SEARCH(설정!$A$55,K897))),설정!$B$55,IF(AND(설정!$A$56&lt;&gt;"",ISNUMBER(SEARCH(설정!$A$56,K897))),설정!$B$56,IF(AND(설정!$A$57&lt;&gt;"",ISNUMBER(SEARCH(설정!$A$57,K897))),설정!$B$57,IF(AND(설정!$A$58&lt;&gt;"",ISNUMBER(SEARCH(설정!$A$58,K897))),설정!$B$58,IF(AND(설정!$A$59&lt;&gt;"",ISNUMBER(SEARCH(설정!$A$59,K897))),설정!$B$59,IF(AND(설정!$A$60&lt;&gt;"",ISNUMBER(SEARCH(설정!$A$60,K897))),설정!$B$60,IF(AND(설정!$A$61&lt;&gt;"",ISNUMBER(SEARCH(설정!$A$61,K897))),설정!$B$61,IF(M897="","설계사","시공사"))))))))),"")</f>
        <v/>
      </c>
      <c r="V897">
        <f>SUBSTITUTE(SUBSTITUTE(SUBSTITUTE(SUBSTITUTE(G897,"(주)",""),"㈜",""),"주식회사","")," ","")</f>
        <v/>
      </c>
      <c r="W897">
        <f>IF(AND(T897,V897&lt;&gt;""),IF(COUNTIFS(V$2:V897,V897,T$2:T897,TRUE)=1,MAX(W$1:W896)+1,""),"")</f>
        <v/>
      </c>
      <c r="X897">
        <f>IF(설정!$C$14="","",IFERROR(INDEX('1.산군_붙여넣기'!$A$1:$AZ$1001,ROW(),설정!$C$14)&amp;"",""))</f>
        <v/>
      </c>
      <c r="Y897">
        <f>IF(설정!$C$15="","",IFERROR(INDEX('1.산군_붙여넣기'!$A$1:$AZ$1001,ROW(),설정!$C$15)&amp;"",""))</f>
        <v/>
      </c>
      <c r="Z897">
        <f>IF(T897,V897&amp;"|"&amp;U897,"")</f>
        <v/>
      </c>
      <c r="AA897">
        <f>IF(NOT(Q897),"",IF(NOT(AND(R897,S897)),"✕",IF(OR(OR(AND(L897&lt;&gt;"",M897&lt;&gt;"",N(M897)-N(L897)&gt;설정!$B$27),AND(L897&lt;&gt;"",M897="",설정!$B$24-N(L897)&gt;설정!$B$27)),AND(D897&lt;&gt;"",D897&lt;설정!$B$26)),"△","★")))</f>
        <v/>
      </c>
      <c r="AB897">
        <f>IF(NOT(T897),"",IF(U897="설계사",설정!$B$31,IF(U897="시공사",IF(OR(M897="",설정!$B$24-N(M897)&lt;=설정!$B$28*30.4),설정!$B$32,설정!$B$33),설정!$B$34))+IF(AA897="★",설정!$B$35,0))</f>
        <v/>
      </c>
      <c r="AC897">
        <f>SUBSTITUTE(SUBSTITUTE(SUBSTITUTE(SUBSTITUTE(H897,"(주)",""),"㈜",""),"주식회사","")," ","")</f>
        <v/>
      </c>
      <c r="AD897">
        <f>IF(AND(T897,AC897&lt;&gt;""),IF(COUNTIFS(AC$2:AC897,AC897,T$2:T897,TRUE)=1,MAX(AD$1:AD896)+1,""),"")</f>
        <v/>
      </c>
    </row>
    <row r="898">
      <c r="A898">
        <f>ROW()</f>
        <v/>
      </c>
      <c r="B898">
        <f>IF(설정!$C$4="","",IFERROR(INDEX('1.산군_붙여넣기'!$A$1:$AZ$1001,ROW(),설정!$C$4)&amp;"",""))</f>
        <v/>
      </c>
      <c r="C898">
        <f>IF(설정!$C$5="","",IFERROR(INDEX('1.산군_붙여넣기'!$A$1:$AZ$1001,ROW(),설정!$C$5)&amp;"",""))</f>
        <v/>
      </c>
      <c r="D898" s="5">
        <f>IFERROR(VALUE(SUBSTITUTE(SUBSTITUTE(SUBSTITUTE(IF(설정!$C$6="","",IFERROR(INDEX('1.산군_붙여넣기'!$A$1:$AZ$1001,ROW(),설정!$C$6)&amp;"","")),",",""),"㎡",""),"m2","")),"")</f>
        <v/>
      </c>
      <c r="E898">
        <f>IF(설정!$C$7="","",IFERROR(INDEX('1.산군_붙여넣기'!$A$1:$AZ$1001,ROW(),설정!$C$7)&amp;"",""))</f>
        <v/>
      </c>
      <c r="F898">
        <f>IF(설정!$C$8="","",IFERROR(INDEX('1.산군_붙여넣기'!$A$1:$AZ$1001,ROW(),설정!$C$8)&amp;"",""))</f>
        <v/>
      </c>
      <c r="G898">
        <f>IF(설정!$C$9="","",IFERROR(INDEX('1.산군_붙여넣기'!$A$1:$AZ$1001,ROW(),설정!$C$9)&amp;"",""))</f>
        <v/>
      </c>
      <c r="H898">
        <f>IF(설정!$C$10="","",IFERROR(INDEX('1.산군_붙여넣기'!$A$1:$AZ$1001,ROW(),설정!$C$10)&amp;"",""))</f>
        <v/>
      </c>
      <c r="I898">
        <f>IF(설정!$C$11="","",IFERROR(INDEX('1.산군_붙여넣기'!$A$1:$AZ$1001,ROW(),설정!$C$11)&amp;"",""))</f>
        <v/>
      </c>
      <c r="J898">
        <f>IF(설정!$C$12="","",IFERROR(INDEX('1.산군_붙여넣기'!$A$1:$AZ$1001,ROW(),설정!$C$12)&amp;"",""))</f>
        <v/>
      </c>
      <c r="K898">
        <f>IF(설정!$C$13="","",IFERROR(INDEX('1.산군_붙여넣기'!$A$1:$AZ$1001,ROW(),설정!$C$13)&amp;"",""))</f>
        <v/>
      </c>
      <c r="L898" s="7">
        <f>IF(X898="","",IF(AND(LEN(X898)=8,ISNUMBER(X898*1)),DATE(LEFT(X898,4),MID(X898,5,2),RIGHT(X898,2)),IFERROR(DATEVALUE(SUBSTITUTE(SUBSTITUTE(X898,".","-"),"/","-")),IFERROR(X898*1,""))))</f>
        <v/>
      </c>
      <c r="M898" s="7">
        <f>IF(Y898="","",IF(AND(LEN(Y898)=8,ISNUMBER(Y898*1)),DATE(LEFT(Y898,4),MID(Y898,5,2),RIGHT(Y898,2)),IFERROR(DATEVALUE(SUBSTITUTE(SUBSTITUTE(Y898,".","-"),"/","-")),IFERROR(Y898*1,""))))</f>
        <v/>
      </c>
      <c r="N898">
        <f>IFERROR(LEFT(B898,FIND(" ",B898)-1),B898)</f>
        <v/>
      </c>
      <c r="O898">
        <f>AND(B898&lt;&gt;"",B898&lt;&gt;설정!$B$4,C898&lt;&gt;설정!$B$5)</f>
        <v/>
      </c>
      <c r="P898">
        <f>IF(O898,B898&amp;"|"&amp;C898,"")</f>
        <v/>
      </c>
      <c r="Q898">
        <f>AND(O898,COUNTIF(P899:P$1002,P898)=0)</f>
        <v/>
      </c>
      <c r="R898">
        <f>OR(AND(설정!$A$42&lt;&gt;"",ISNUMBER(SEARCH(설정!$A$42,E898&amp;" "&amp;C898))),AND(설정!$A$43&lt;&gt;"",ISNUMBER(SEARCH(설정!$A$43,E898&amp;" "&amp;C898))),AND(설정!$A$44&lt;&gt;"",ISNUMBER(SEARCH(설정!$A$44,E898&amp;" "&amp;C898))),AND(설정!$A$45&lt;&gt;"",ISNUMBER(SEARCH(설정!$A$45,E898&amp;" "&amp;C898))),AND(설정!$A$46&lt;&gt;"",ISNUMBER(SEARCH(설정!$A$46,E898&amp;" "&amp;C898))),AND(설정!$A$47&lt;&gt;"",ISNUMBER(SEARCH(설정!$A$47,E898&amp;" "&amp;C898))),AND(설정!$A$48&lt;&gt;"",ISNUMBER(SEARCH(설정!$A$48,E898&amp;" "&amp;C898))),AND(설정!$A$49&lt;&gt;"",ISNUMBER(SEARCH(설정!$A$49,E898&amp;" "&amp;C898))),AND(설정!$A$50&lt;&gt;"",ISNUMBER(SEARCH(설정!$A$50,E898&amp;" "&amp;C898))),AND(설정!$A$51&lt;&gt;"",ISNUMBER(SEARCH(설정!$A$51,E898&amp;" "&amp;C898))))</f>
        <v/>
      </c>
      <c r="S898">
        <f>OR(D898="",D898&gt;=설정!$B$19)</f>
        <v/>
      </c>
      <c r="T898">
        <f>AND(Q898,R898,S898)</f>
        <v/>
      </c>
      <c r="U898">
        <f>IF(T898,IF(AND(설정!$A$54&lt;&gt;"",ISNUMBER(SEARCH(설정!$A$54,K898))),설정!$B$54,IF(AND(설정!$A$55&lt;&gt;"",ISNUMBER(SEARCH(설정!$A$55,K898))),설정!$B$55,IF(AND(설정!$A$56&lt;&gt;"",ISNUMBER(SEARCH(설정!$A$56,K898))),설정!$B$56,IF(AND(설정!$A$57&lt;&gt;"",ISNUMBER(SEARCH(설정!$A$57,K898))),설정!$B$57,IF(AND(설정!$A$58&lt;&gt;"",ISNUMBER(SEARCH(설정!$A$58,K898))),설정!$B$58,IF(AND(설정!$A$59&lt;&gt;"",ISNUMBER(SEARCH(설정!$A$59,K898))),설정!$B$59,IF(AND(설정!$A$60&lt;&gt;"",ISNUMBER(SEARCH(설정!$A$60,K898))),설정!$B$60,IF(AND(설정!$A$61&lt;&gt;"",ISNUMBER(SEARCH(설정!$A$61,K898))),설정!$B$61,IF(M898="","설계사","시공사"))))))))),"")</f>
        <v/>
      </c>
      <c r="V898">
        <f>SUBSTITUTE(SUBSTITUTE(SUBSTITUTE(SUBSTITUTE(G898,"(주)",""),"㈜",""),"주식회사","")," ","")</f>
        <v/>
      </c>
      <c r="W898">
        <f>IF(AND(T898,V898&lt;&gt;""),IF(COUNTIFS(V$2:V898,V898,T$2:T898,TRUE)=1,MAX(W$1:W897)+1,""),"")</f>
        <v/>
      </c>
      <c r="X898">
        <f>IF(설정!$C$14="","",IFERROR(INDEX('1.산군_붙여넣기'!$A$1:$AZ$1001,ROW(),설정!$C$14)&amp;"",""))</f>
        <v/>
      </c>
      <c r="Y898">
        <f>IF(설정!$C$15="","",IFERROR(INDEX('1.산군_붙여넣기'!$A$1:$AZ$1001,ROW(),설정!$C$15)&amp;"",""))</f>
        <v/>
      </c>
      <c r="Z898">
        <f>IF(T898,V898&amp;"|"&amp;U898,"")</f>
        <v/>
      </c>
      <c r="AA898">
        <f>IF(NOT(Q898),"",IF(NOT(AND(R898,S898)),"✕",IF(OR(OR(AND(L898&lt;&gt;"",M898&lt;&gt;"",N(M898)-N(L898)&gt;설정!$B$27),AND(L898&lt;&gt;"",M898="",설정!$B$24-N(L898)&gt;설정!$B$27)),AND(D898&lt;&gt;"",D898&lt;설정!$B$26)),"△","★")))</f>
        <v/>
      </c>
      <c r="AB898">
        <f>IF(NOT(T898),"",IF(U898="설계사",설정!$B$31,IF(U898="시공사",IF(OR(M898="",설정!$B$24-N(M898)&lt;=설정!$B$28*30.4),설정!$B$32,설정!$B$33),설정!$B$34))+IF(AA898="★",설정!$B$35,0))</f>
        <v/>
      </c>
      <c r="AC898">
        <f>SUBSTITUTE(SUBSTITUTE(SUBSTITUTE(SUBSTITUTE(H898,"(주)",""),"㈜",""),"주식회사","")," ","")</f>
        <v/>
      </c>
      <c r="AD898">
        <f>IF(AND(T898,AC898&lt;&gt;""),IF(COUNTIFS(AC$2:AC898,AC898,T$2:T898,TRUE)=1,MAX(AD$1:AD897)+1,""),"")</f>
        <v/>
      </c>
    </row>
    <row r="899">
      <c r="A899">
        <f>ROW()</f>
        <v/>
      </c>
      <c r="B899">
        <f>IF(설정!$C$4="","",IFERROR(INDEX('1.산군_붙여넣기'!$A$1:$AZ$1001,ROW(),설정!$C$4)&amp;"",""))</f>
        <v/>
      </c>
      <c r="C899">
        <f>IF(설정!$C$5="","",IFERROR(INDEX('1.산군_붙여넣기'!$A$1:$AZ$1001,ROW(),설정!$C$5)&amp;"",""))</f>
        <v/>
      </c>
      <c r="D899" s="5">
        <f>IFERROR(VALUE(SUBSTITUTE(SUBSTITUTE(SUBSTITUTE(IF(설정!$C$6="","",IFERROR(INDEX('1.산군_붙여넣기'!$A$1:$AZ$1001,ROW(),설정!$C$6)&amp;"","")),",",""),"㎡",""),"m2","")),"")</f>
        <v/>
      </c>
      <c r="E899">
        <f>IF(설정!$C$7="","",IFERROR(INDEX('1.산군_붙여넣기'!$A$1:$AZ$1001,ROW(),설정!$C$7)&amp;"",""))</f>
        <v/>
      </c>
      <c r="F899">
        <f>IF(설정!$C$8="","",IFERROR(INDEX('1.산군_붙여넣기'!$A$1:$AZ$1001,ROW(),설정!$C$8)&amp;"",""))</f>
        <v/>
      </c>
      <c r="G899">
        <f>IF(설정!$C$9="","",IFERROR(INDEX('1.산군_붙여넣기'!$A$1:$AZ$1001,ROW(),설정!$C$9)&amp;"",""))</f>
        <v/>
      </c>
      <c r="H899">
        <f>IF(설정!$C$10="","",IFERROR(INDEX('1.산군_붙여넣기'!$A$1:$AZ$1001,ROW(),설정!$C$10)&amp;"",""))</f>
        <v/>
      </c>
      <c r="I899">
        <f>IF(설정!$C$11="","",IFERROR(INDEX('1.산군_붙여넣기'!$A$1:$AZ$1001,ROW(),설정!$C$11)&amp;"",""))</f>
        <v/>
      </c>
      <c r="J899">
        <f>IF(설정!$C$12="","",IFERROR(INDEX('1.산군_붙여넣기'!$A$1:$AZ$1001,ROW(),설정!$C$12)&amp;"",""))</f>
        <v/>
      </c>
      <c r="K899">
        <f>IF(설정!$C$13="","",IFERROR(INDEX('1.산군_붙여넣기'!$A$1:$AZ$1001,ROW(),설정!$C$13)&amp;"",""))</f>
        <v/>
      </c>
      <c r="L899" s="7">
        <f>IF(X899="","",IF(AND(LEN(X899)=8,ISNUMBER(X899*1)),DATE(LEFT(X899,4),MID(X899,5,2),RIGHT(X899,2)),IFERROR(DATEVALUE(SUBSTITUTE(SUBSTITUTE(X899,".","-"),"/","-")),IFERROR(X899*1,""))))</f>
        <v/>
      </c>
      <c r="M899" s="7">
        <f>IF(Y899="","",IF(AND(LEN(Y899)=8,ISNUMBER(Y899*1)),DATE(LEFT(Y899,4),MID(Y899,5,2),RIGHT(Y899,2)),IFERROR(DATEVALUE(SUBSTITUTE(SUBSTITUTE(Y899,".","-"),"/","-")),IFERROR(Y899*1,""))))</f>
        <v/>
      </c>
      <c r="N899">
        <f>IFERROR(LEFT(B899,FIND(" ",B899)-1),B899)</f>
        <v/>
      </c>
      <c r="O899">
        <f>AND(B899&lt;&gt;"",B899&lt;&gt;설정!$B$4,C899&lt;&gt;설정!$B$5)</f>
        <v/>
      </c>
      <c r="P899">
        <f>IF(O899,B899&amp;"|"&amp;C899,"")</f>
        <v/>
      </c>
      <c r="Q899">
        <f>AND(O899,COUNTIF(P900:P$1002,P899)=0)</f>
        <v/>
      </c>
      <c r="R899">
        <f>OR(AND(설정!$A$42&lt;&gt;"",ISNUMBER(SEARCH(설정!$A$42,E899&amp;" "&amp;C899))),AND(설정!$A$43&lt;&gt;"",ISNUMBER(SEARCH(설정!$A$43,E899&amp;" "&amp;C899))),AND(설정!$A$44&lt;&gt;"",ISNUMBER(SEARCH(설정!$A$44,E899&amp;" "&amp;C899))),AND(설정!$A$45&lt;&gt;"",ISNUMBER(SEARCH(설정!$A$45,E899&amp;" "&amp;C899))),AND(설정!$A$46&lt;&gt;"",ISNUMBER(SEARCH(설정!$A$46,E899&amp;" "&amp;C899))),AND(설정!$A$47&lt;&gt;"",ISNUMBER(SEARCH(설정!$A$47,E899&amp;" "&amp;C899))),AND(설정!$A$48&lt;&gt;"",ISNUMBER(SEARCH(설정!$A$48,E899&amp;" "&amp;C899))),AND(설정!$A$49&lt;&gt;"",ISNUMBER(SEARCH(설정!$A$49,E899&amp;" "&amp;C899))),AND(설정!$A$50&lt;&gt;"",ISNUMBER(SEARCH(설정!$A$50,E899&amp;" "&amp;C899))),AND(설정!$A$51&lt;&gt;"",ISNUMBER(SEARCH(설정!$A$51,E899&amp;" "&amp;C899))))</f>
        <v/>
      </c>
      <c r="S899">
        <f>OR(D899="",D899&gt;=설정!$B$19)</f>
        <v/>
      </c>
      <c r="T899">
        <f>AND(Q899,R899,S899)</f>
        <v/>
      </c>
      <c r="U899">
        <f>IF(T899,IF(AND(설정!$A$54&lt;&gt;"",ISNUMBER(SEARCH(설정!$A$54,K899))),설정!$B$54,IF(AND(설정!$A$55&lt;&gt;"",ISNUMBER(SEARCH(설정!$A$55,K899))),설정!$B$55,IF(AND(설정!$A$56&lt;&gt;"",ISNUMBER(SEARCH(설정!$A$56,K899))),설정!$B$56,IF(AND(설정!$A$57&lt;&gt;"",ISNUMBER(SEARCH(설정!$A$57,K899))),설정!$B$57,IF(AND(설정!$A$58&lt;&gt;"",ISNUMBER(SEARCH(설정!$A$58,K899))),설정!$B$58,IF(AND(설정!$A$59&lt;&gt;"",ISNUMBER(SEARCH(설정!$A$59,K899))),설정!$B$59,IF(AND(설정!$A$60&lt;&gt;"",ISNUMBER(SEARCH(설정!$A$60,K899))),설정!$B$60,IF(AND(설정!$A$61&lt;&gt;"",ISNUMBER(SEARCH(설정!$A$61,K899))),설정!$B$61,IF(M899="","설계사","시공사"))))))))),"")</f>
        <v/>
      </c>
      <c r="V899">
        <f>SUBSTITUTE(SUBSTITUTE(SUBSTITUTE(SUBSTITUTE(G899,"(주)",""),"㈜",""),"주식회사","")," ","")</f>
        <v/>
      </c>
      <c r="W899">
        <f>IF(AND(T899,V899&lt;&gt;""),IF(COUNTIFS(V$2:V899,V899,T$2:T899,TRUE)=1,MAX(W$1:W898)+1,""),"")</f>
        <v/>
      </c>
      <c r="X899">
        <f>IF(설정!$C$14="","",IFERROR(INDEX('1.산군_붙여넣기'!$A$1:$AZ$1001,ROW(),설정!$C$14)&amp;"",""))</f>
        <v/>
      </c>
      <c r="Y899">
        <f>IF(설정!$C$15="","",IFERROR(INDEX('1.산군_붙여넣기'!$A$1:$AZ$1001,ROW(),설정!$C$15)&amp;"",""))</f>
        <v/>
      </c>
      <c r="Z899">
        <f>IF(T899,V899&amp;"|"&amp;U899,"")</f>
        <v/>
      </c>
      <c r="AA899">
        <f>IF(NOT(Q899),"",IF(NOT(AND(R899,S899)),"✕",IF(OR(OR(AND(L899&lt;&gt;"",M899&lt;&gt;"",N(M899)-N(L899)&gt;설정!$B$27),AND(L899&lt;&gt;"",M899="",설정!$B$24-N(L899)&gt;설정!$B$27)),AND(D899&lt;&gt;"",D899&lt;설정!$B$26)),"△","★")))</f>
        <v/>
      </c>
      <c r="AB899">
        <f>IF(NOT(T899),"",IF(U899="설계사",설정!$B$31,IF(U899="시공사",IF(OR(M899="",설정!$B$24-N(M899)&lt;=설정!$B$28*30.4),설정!$B$32,설정!$B$33),설정!$B$34))+IF(AA899="★",설정!$B$35,0))</f>
        <v/>
      </c>
      <c r="AC899">
        <f>SUBSTITUTE(SUBSTITUTE(SUBSTITUTE(SUBSTITUTE(H899,"(주)",""),"㈜",""),"주식회사","")," ","")</f>
        <v/>
      </c>
      <c r="AD899">
        <f>IF(AND(T899,AC899&lt;&gt;""),IF(COUNTIFS(AC$2:AC899,AC899,T$2:T899,TRUE)=1,MAX(AD$1:AD898)+1,""),"")</f>
        <v/>
      </c>
    </row>
    <row r="900">
      <c r="A900">
        <f>ROW()</f>
        <v/>
      </c>
      <c r="B900">
        <f>IF(설정!$C$4="","",IFERROR(INDEX('1.산군_붙여넣기'!$A$1:$AZ$1001,ROW(),설정!$C$4)&amp;"",""))</f>
        <v/>
      </c>
      <c r="C900">
        <f>IF(설정!$C$5="","",IFERROR(INDEX('1.산군_붙여넣기'!$A$1:$AZ$1001,ROW(),설정!$C$5)&amp;"",""))</f>
        <v/>
      </c>
      <c r="D900" s="5">
        <f>IFERROR(VALUE(SUBSTITUTE(SUBSTITUTE(SUBSTITUTE(IF(설정!$C$6="","",IFERROR(INDEX('1.산군_붙여넣기'!$A$1:$AZ$1001,ROW(),설정!$C$6)&amp;"","")),",",""),"㎡",""),"m2","")),"")</f>
        <v/>
      </c>
      <c r="E900">
        <f>IF(설정!$C$7="","",IFERROR(INDEX('1.산군_붙여넣기'!$A$1:$AZ$1001,ROW(),설정!$C$7)&amp;"",""))</f>
        <v/>
      </c>
      <c r="F900">
        <f>IF(설정!$C$8="","",IFERROR(INDEX('1.산군_붙여넣기'!$A$1:$AZ$1001,ROW(),설정!$C$8)&amp;"",""))</f>
        <v/>
      </c>
      <c r="G900">
        <f>IF(설정!$C$9="","",IFERROR(INDEX('1.산군_붙여넣기'!$A$1:$AZ$1001,ROW(),설정!$C$9)&amp;"",""))</f>
        <v/>
      </c>
      <c r="H900">
        <f>IF(설정!$C$10="","",IFERROR(INDEX('1.산군_붙여넣기'!$A$1:$AZ$1001,ROW(),설정!$C$10)&amp;"",""))</f>
        <v/>
      </c>
      <c r="I900">
        <f>IF(설정!$C$11="","",IFERROR(INDEX('1.산군_붙여넣기'!$A$1:$AZ$1001,ROW(),설정!$C$11)&amp;"",""))</f>
        <v/>
      </c>
      <c r="J900">
        <f>IF(설정!$C$12="","",IFERROR(INDEX('1.산군_붙여넣기'!$A$1:$AZ$1001,ROW(),설정!$C$12)&amp;"",""))</f>
        <v/>
      </c>
      <c r="K900">
        <f>IF(설정!$C$13="","",IFERROR(INDEX('1.산군_붙여넣기'!$A$1:$AZ$1001,ROW(),설정!$C$13)&amp;"",""))</f>
        <v/>
      </c>
      <c r="L900" s="7">
        <f>IF(X900="","",IF(AND(LEN(X900)=8,ISNUMBER(X900*1)),DATE(LEFT(X900,4),MID(X900,5,2),RIGHT(X900,2)),IFERROR(DATEVALUE(SUBSTITUTE(SUBSTITUTE(X900,".","-"),"/","-")),IFERROR(X900*1,""))))</f>
        <v/>
      </c>
      <c r="M900" s="7">
        <f>IF(Y900="","",IF(AND(LEN(Y900)=8,ISNUMBER(Y900*1)),DATE(LEFT(Y900,4),MID(Y900,5,2),RIGHT(Y900,2)),IFERROR(DATEVALUE(SUBSTITUTE(SUBSTITUTE(Y900,".","-"),"/","-")),IFERROR(Y900*1,""))))</f>
        <v/>
      </c>
      <c r="N900">
        <f>IFERROR(LEFT(B900,FIND(" ",B900)-1),B900)</f>
        <v/>
      </c>
      <c r="O900">
        <f>AND(B900&lt;&gt;"",B900&lt;&gt;설정!$B$4,C900&lt;&gt;설정!$B$5)</f>
        <v/>
      </c>
      <c r="P900">
        <f>IF(O900,B900&amp;"|"&amp;C900,"")</f>
        <v/>
      </c>
      <c r="Q900">
        <f>AND(O900,COUNTIF(P901:P$1002,P900)=0)</f>
        <v/>
      </c>
      <c r="R900">
        <f>OR(AND(설정!$A$42&lt;&gt;"",ISNUMBER(SEARCH(설정!$A$42,E900&amp;" "&amp;C900))),AND(설정!$A$43&lt;&gt;"",ISNUMBER(SEARCH(설정!$A$43,E900&amp;" "&amp;C900))),AND(설정!$A$44&lt;&gt;"",ISNUMBER(SEARCH(설정!$A$44,E900&amp;" "&amp;C900))),AND(설정!$A$45&lt;&gt;"",ISNUMBER(SEARCH(설정!$A$45,E900&amp;" "&amp;C900))),AND(설정!$A$46&lt;&gt;"",ISNUMBER(SEARCH(설정!$A$46,E900&amp;" "&amp;C900))),AND(설정!$A$47&lt;&gt;"",ISNUMBER(SEARCH(설정!$A$47,E900&amp;" "&amp;C900))),AND(설정!$A$48&lt;&gt;"",ISNUMBER(SEARCH(설정!$A$48,E900&amp;" "&amp;C900))),AND(설정!$A$49&lt;&gt;"",ISNUMBER(SEARCH(설정!$A$49,E900&amp;" "&amp;C900))),AND(설정!$A$50&lt;&gt;"",ISNUMBER(SEARCH(설정!$A$50,E900&amp;" "&amp;C900))),AND(설정!$A$51&lt;&gt;"",ISNUMBER(SEARCH(설정!$A$51,E900&amp;" "&amp;C900))))</f>
        <v/>
      </c>
      <c r="S900">
        <f>OR(D900="",D900&gt;=설정!$B$19)</f>
        <v/>
      </c>
      <c r="T900">
        <f>AND(Q900,R900,S900)</f>
        <v/>
      </c>
      <c r="U900">
        <f>IF(T900,IF(AND(설정!$A$54&lt;&gt;"",ISNUMBER(SEARCH(설정!$A$54,K900))),설정!$B$54,IF(AND(설정!$A$55&lt;&gt;"",ISNUMBER(SEARCH(설정!$A$55,K900))),설정!$B$55,IF(AND(설정!$A$56&lt;&gt;"",ISNUMBER(SEARCH(설정!$A$56,K900))),설정!$B$56,IF(AND(설정!$A$57&lt;&gt;"",ISNUMBER(SEARCH(설정!$A$57,K900))),설정!$B$57,IF(AND(설정!$A$58&lt;&gt;"",ISNUMBER(SEARCH(설정!$A$58,K900))),설정!$B$58,IF(AND(설정!$A$59&lt;&gt;"",ISNUMBER(SEARCH(설정!$A$59,K900))),설정!$B$59,IF(AND(설정!$A$60&lt;&gt;"",ISNUMBER(SEARCH(설정!$A$60,K900))),설정!$B$60,IF(AND(설정!$A$61&lt;&gt;"",ISNUMBER(SEARCH(설정!$A$61,K900))),설정!$B$61,IF(M900="","설계사","시공사"))))))))),"")</f>
        <v/>
      </c>
      <c r="V900">
        <f>SUBSTITUTE(SUBSTITUTE(SUBSTITUTE(SUBSTITUTE(G900,"(주)",""),"㈜",""),"주식회사","")," ","")</f>
        <v/>
      </c>
      <c r="W900">
        <f>IF(AND(T900,V900&lt;&gt;""),IF(COUNTIFS(V$2:V900,V900,T$2:T900,TRUE)=1,MAX(W$1:W899)+1,""),"")</f>
        <v/>
      </c>
      <c r="X900">
        <f>IF(설정!$C$14="","",IFERROR(INDEX('1.산군_붙여넣기'!$A$1:$AZ$1001,ROW(),설정!$C$14)&amp;"",""))</f>
        <v/>
      </c>
      <c r="Y900">
        <f>IF(설정!$C$15="","",IFERROR(INDEX('1.산군_붙여넣기'!$A$1:$AZ$1001,ROW(),설정!$C$15)&amp;"",""))</f>
        <v/>
      </c>
      <c r="Z900">
        <f>IF(T900,V900&amp;"|"&amp;U900,"")</f>
        <v/>
      </c>
      <c r="AA900">
        <f>IF(NOT(Q900),"",IF(NOT(AND(R900,S900)),"✕",IF(OR(OR(AND(L900&lt;&gt;"",M900&lt;&gt;"",N(M900)-N(L900)&gt;설정!$B$27),AND(L900&lt;&gt;"",M900="",설정!$B$24-N(L900)&gt;설정!$B$27)),AND(D900&lt;&gt;"",D900&lt;설정!$B$26)),"△","★")))</f>
        <v/>
      </c>
      <c r="AB900">
        <f>IF(NOT(T900),"",IF(U900="설계사",설정!$B$31,IF(U900="시공사",IF(OR(M900="",설정!$B$24-N(M900)&lt;=설정!$B$28*30.4),설정!$B$32,설정!$B$33),설정!$B$34))+IF(AA900="★",설정!$B$35,0))</f>
        <v/>
      </c>
      <c r="AC900">
        <f>SUBSTITUTE(SUBSTITUTE(SUBSTITUTE(SUBSTITUTE(H900,"(주)",""),"㈜",""),"주식회사","")," ","")</f>
        <v/>
      </c>
      <c r="AD900">
        <f>IF(AND(T900,AC900&lt;&gt;""),IF(COUNTIFS(AC$2:AC900,AC900,T$2:T900,TRUE)=1,MAX(AD$1:AD899)+1,""),"")</f>
        <v/>
      </c>
    </row>
    <row r="901">
      <c r="A901">
        <f>ROW()</f>
        <v/>
      </c>
      <c r="B901">
        <f>IF(설정!$C$4="","",IFERROR(INDEX('1.산군_붙여넣기'!$A$1:$AZ$1001,ROW(),설정!$C$4)&amp;"",""))</f>
        <v/>
      </c>
      <c r="C901">
        <f>IF(설정!$C$5="","",IFERROR(INDEX('1.산군_붙여넣기'!$A$1:$AZ$1001,ROW(),설정!$C$5)&amp;"",""))</f>
        <v/>
      </c>
      <c r="D901" s="5">
        <f>IFERROR(VALUE(SUBSTITUTE(SUBSTITUTE(SUBSTITUTE(IF(설정!$C$6="","",IFERROR(INDEX('1.산군_붙여넣기'!$A$1:$AZ$1001,ROW(),설정!$C$6)&amp;"","")),",",""),"㎡",""),"m2","")),"")</f>
        <v/>
      </c>
      <c r="E901">
        <f>IF(설정!$C$7="","",IFERROR(INDEX('1.산군_붙여넣기'!$A$1:$AZ$1001,ROW(),설정!$C$7)&amp;"",""))</f>
        <v/>
      </c>
      <c r="F901">
        <f>IF(설정!$C$8="","",IFERROR(INDEX('1.산군_붙여넣기'!$A$1:$AZ$1001,ROW(),설정!$C$8)&amp;"",""))</f>
        <v/>
      </c>
      <c r="G901">
        <f>IF(설정!$C$9="","",IFERROR(INDEX('1.산군_붙여넣기'!$A$1:$AZ$1001,ROW(),설정!$C$9)&amp;"",""))</f>
        <v/>
      </c>
      <c r="H901">
        <f>IF(설정!$C$10="","",IFERROR(INDEX('1.산군_붙여넣기'!$A$1:$AZ$1001,ROW(),설정!$C$10)&amp;"",""))</f>
        <v/>
      </c>
      <c r="I901">
        <f>IF(설정!$C$11="","",IFERROR(INDEX('1.산군_붙여넣기'!$A$1:$AZ$1001,ROW(),설정!$C$11)&amp;"",""))</f>
        <v/>
      </c>
      <c r="J901">
        <f>IF(설정!$C$12="","",IFERROR(INDEX('1.산군_붙여넣기'!$A$1:$AZ$1001,ROW(),설정!$C$12)&amp;"",""))</f>
        <v/>
      </c>
      <c r="K901">
        <f>IF(설정!$C$13="","",IFERROR(INDEX('1.산군_붙여넣기'!$A$1:$AZ$1001,ROW(),설정!$C$13)&amp;"",""))</f>
        <v/>
      </c>
      <c r="L901" s="7">
        <f>IF(X901="","",IF(AND(LEN(X901)=8,ISNUMBER(X901*1)),DATE(LEFT(X901,4),MID(X901,5,2),RIGHT(X901,2)),IFERROR(DATEVALUE(SUBSTITUTE(SUBSTITUTE(X901,".","-"),"/","-")),IFERROR(X901*1,""))))</f>
        <v/>
      </c>
      <c r="M901" s="7">
        <f>IF(Y901="","",IF(AND(LEN(Y901)=8,ISNUMBER(Y901*1)),DATE(LEFT(Y901,4),MID(Y901,5,2),RIGHT(Y901,2)),IFERROR(DATEVALUE(SUBSTITUTE(SUBSTITUTE(Y901,".","-"),"/","-")),IFERROR(Y901*1,""))))</f>
        <v/>
      </c>
      <c r="N901">
        <f>IFERROR(LEFT(B901,FIND(" ",B901)-1),B901)</f>
        <v/>
      </c>
      <c r="O901">
        <f>AND(B901&lt;&gt;"",B901&lt;&gt;설정!$B$4,C901&lt;&gt;설정!$B$5)</f>
        <v/>
      </c>
      <c r="P901">
        <f>IF(O901,B901&amp;"|"&amp;C901,"")</f>
        <v/>
      </c>
      <c r="Q901">
        <f>AND(O901,COUNTIF(P902:P$1002,P901)=0)</f>
        <v/>
      </c>
      <c r="R901">
        <f>OR(AND(설정!$A$42&lt;&gt;"",ISNUMBER(SEARCH(설정!$A$42,E901&amp;" "&amp;C901))),AND(설정!$A$43&lt;&gt;"",ISNUMBER(SEARCH(설정!$A$43,E901&amp;" "&amp;C901))),AND(설정!$A$44&lt;&gt;"",ISNUMBER(SEARCH(설정!$A$44,E901&amp;" "&amp;C901))),AND(설정!$A$45&lt;&gt;"",ISNUMBER(SEARCH(설정!$A$45,E901&amp;" "&amp;C901))),AND(설정!$A$46&lt;&gt;"",ISNUMBER(SEARCH(설정!$A$46,E901&amp;" "&amp;C901))),AND(설정!$A$47&lt;&gt;"",ISNUMBER(SEARCH(설정!$A$47,E901&amp;" "&amp;C901))),AND(설정!$A$48&lt;&gt;"",ISNUMBER(SEARCH(설정!$A$48,E901&amp;" "&amp;C901))),AND(설정!$A$49&lt;&gt;"",ISNUMBER(SEARCH(설정!$A$49,E901&amp;" "&amp;C901))),AND(설정!$A$50&lt;&gt;"",ISNUMBER(SEARCH(설정!$A$50,E901&amp;" "&amp;C901))),AND(설정!$A$51&lt;&gt;"",ISNUMBER(SEARCH(설정!$A$51,E901&amp;" "&amp;C901))))</f>
        <v/>
      </c>
      <c r="S901">
        <f>OR(D901="",D901&gt;=설정!$B$19)</f>
        <v/>
      </c>
      <c r="T901">
        <f>AND(Q901,R901,S901)</f>
        <v/>
      </c>
      <c r="U901">
        <f>IF(T901,IF(AND(설정!$A$54&lt;&gt;"",ISNUMBER(SEARCH(설정!$A$54,K901))),설정!$B$54,IF(AND(설정!$A$55&lt;&gt;"",ISNUMBER(SEARCH(설정!$A$55,K901))),설정!$B$55,IF(AND(설정!$A$56&lt;&gt;"",ISNUMBER(SEARCH(설정!$A$56,K901))),설정!$B$56,IF(AND(설정!$A$57&lt;&gt;"",ISNUMBER(SEARCH(설정!$A$57,K901))),설정!$B$57,IF(AND(설정!$A$58&lt;&gt;"",ISNUMBER(SEARCH(설정!$A$58,K901))),설정!$B$58,IF(AND(설정!$A$59&lt;&gt;"",ISNUMBER(SEARCH(설정!$A$59,K901))),설정!$B$59,IF(AND(설정!$A$60&lt;&gt;"",ISNUMBER(SEARCH(설정!$A$60,K901))),설정!$B$60,IF(AND(설정!$A$61&lt;&gt;"",ISNUMBER(SEARCH(설정!$A$61,K901))),설정!$B$61,IF(M901="","설계사","시공사"))))))))),"")</f>
        <v/>
      </c>
      <c r="V901">
        <f>SUBSTITUTE(SUBSTITUTE(SUBSTITUTE(SUBSTITUTE(G901,"(주)",""),"㈜",""),"주식회사","")," ","")</f>
        <v/>
      </c>
      <c r="W901">
        <f>IF(AND(T901,V901&lt;&gt;""),IF(COUNTIFS(V$2:V901,V901,T$2:T901,TRUE)=1,MAX(W$1:W900)+1,""),"")</f>
        <v/>
      </c>
      <c r="X901">
        <f>IF(설정!$C$14="","",IFERROR(INDEX('1.산군_붙여넣기'!$A$1:$AZ$1001,ROW(),설정!$C$14)&amp;"",""))</f>
        <v/>
      </c>
      <c r="Y901">
        <f>IF(설정!$C$15="","",IFERROR(INDEX('1.산군_붙여넣기'!$A$1:$AZ$1001,ROW(),설정!$C$15)&amp;"",""))</f>
        <v/>
      </c>
      <c r="Z901">
        <f>IF(T901,V901&amp;"|"&amp;U901,"")</f>
        <v/>
      </c>
      <c r="AA901">
        <f>IF(NOT(Q901),"",IF(NOT(AND(R901,S901)),"✕",IF(OR(OR(AND(L901&lt;&gt;"",M901&lt;&gt;"",N(M901)-N(L901)&gt;설정!$B$27),AND(L901&lt;&gt;"",M901="",설정!$B$24-N(L901)&gt;설정!$B$27)),AND(D901&lt;&gt;"",D901&lt;설정!$B$26)),"△","★")))</f>
        <v/>
      </c>
      <c r="AB901">
        <f>IF(NOT(T901),"",IF(U901="설계사",설정!$B$31,IF(U901="시공사",IF(OR(M901="",설정!$B$24-N(M901)&lt;=설정!$B$28*30.4),설정!$B$32,설정!$B$33),설정!$B$34))+IF(AA901="★",설정!$B$35,0))</f>
        <v/>
      </c>
      <c r="AC901">
        <f>SUBSTITUTE(SUBSTITUTE(SUBSTITUTE(SUBSTITUTE(H901,"(주)",""),"㈜",""),"주식회사","")," ","")</f>
        <v/>
      </c>
      <c r="AD901">
        <f>IF(AND(T901,AC901&lt;&gt;""),IF(COUNTIFS(AC$2:AC901,AC901,T$2:T901,TRUE)=1,MAX(AD$1:AD900)+1,""),"")</f>
        <v/>
      </c>
    </row>
    <row r="902">
      <c r="A902">
        <f>ROW()</f>
        <v/>
      </c>
      <c r="B902">
        <f>IF(설정!$C$4="","",IFERROR(INDEX('1.산군_붙여넣기'!$A$1:$AZ$1001,ROW(),설정!$C$4)&amp;"",""))</f>
        <v/>
      </c>
      <c r="C902">
        <f>IF(설정!$C$5="","",IFERROR(INDEX('1.산군_붙여넣기'!$A$1:$AZ$1001,ROW(),설정!$C$5)&amp;"",""))</f>
        <v/>
      </c>
      <c r="D902" s="5">
        <f>IFERROR(VALUE(SUBSTITUTE(SUBSTITUTE(SUBSTITUTE(IF(설정!$C$6="","",IFERROR(INDEX('1.산군_붙여넣기'!$A$1:$AZ$1001,ROW(),설정!$C$6)&amp;"","")),",",""),"㎡",""),"m2","")),"")</f>
        <v/>
      </c>
      <c r="E902">
        <f>IF(설정!$C$7="","",IFERROR(INDEX('1.산군_붙여넣기'!$A$1:$AZ$1001,ROW(),설정!$C$7)&amp;"",""))</f>
        <v/>
      </c>
      <c r="F902">
        <f>IF(설정!$C$8="","",IFERROR(INDEX('1.산군_붙여넣기'!$A$1:$AZ$1001,ROW(),설정!$C$8)&amp;"",""))</f>
        <v/>
      </c>
      <c r="G902">
        <f>IF(설정!$C$9="","",IFERROR(INDEX('1.산군_붙여넣기'!$A$1:$AZ$1001,ROW(),설정!$C$9)&amp;"",""))</f>
        <v/>
      </c>
      <c r="H902">
        <f>IF(설정!$C$10="","",IFERROR(INDEX('1.산군_붙여넣기'!$A$1:$AZ$1001,ROW(),설정!$C$10)&amp;"",""))</f>
        <v/>
      </c>
      <c r="I902">
        <f>IF(설정!$C$11="","",IFERROR(INDEX('1.산군_붙여넣기'!$A$1:$AZ$1001,ROW(),설정!$C$11)&amp;"",""))</f>
        <v/>
      </c>
      <c r="J902">
        <f>IF(설정!$C$12="","",IFERROR(INDEX('1.산군_붙여넣기'!$A$1:$AZ$1001,ROW(),설정!$C$12)&amp;"",""))</f>
        <v/>
      </c>
      <c r="K902">
        <f>IF(설정!$C$13="","",IFERROR(INDEX('1.산군_붙여넣기'!$A$1:$AZ$1001,ROW(),설정!$C$13)&amp;"",""))</f>
        <v/>
      </c>
      <c r="L902" s="7">
        <f>IF(X902="","",IF(AND(LEN(X902)=8,ISNUMBER(X902*1)),DATE(LEFT(X902,4),MID(X902,5,2),RIGHT(X902,2)),IFERROR(DATEVALUE(SUBSTITUTE(SUBSTITUTE(X902,".","-"),"/","-")),IFERROR(X902*1,""))))</f>
        <v/>
      </c>
      <c r="M902" s="7">
        <f>IF(Y902="","",IF(AND(LEN(Y902)=8,ISNUMBER(Y902*1)),DATE(LEFT(Y902,4),MID(Y902,5,2),RIGHT(Y902,2)),IFERROR(DATEVALUE(SUBSTITUTE(SUBSTITUTE(Y902,".","-"),"/","-")),IFERROR(Y902*1,""))))</f>
        <v/>
      </c>
      <c r="N902">
        <f>IFERROR(LEFT(B902,FIND(" ",B902)-1),B902)</f>
        <v/>
      </c>
      <c r="O902">
        <f>AND(B902&lt;&gt;"",B902&lt;&gt;설정!$B$4,C902&lt;&gt;설정!$B$5)</f>
        <v/>
      </c>
      <c r="P902">
        <f>IF(O902,B902&amp;"|"&amp;C902,"")</f>
        <v/>
      </c>
      <c r="Q902">
        <f>AND(O902,COUNTIF(P903:P$1002,P902)=0)</f>
        <v/>
      </c>
      <c r="R902">
        <f>OR(AND(설정!$A$42&lt;&gt;"",ISNUMBER(SEARCH(설정!$A$42,E902&amp;" "&amp;C902))),AND(설정!$A$43&lt;&gt;"",ISNUMBER(SEARCH(설정!$A$43,E902&amp;" "&amp;C902))),AND(설정!$A$44&lt;&gt;"",ISNUMBER(SEARCH(설정!$A$44,E902&amp;" "&amp;C902))),AND(설정!$A$45&lt;&gt;"",ISNUMBER(SEARCH(설정!$A$45,E902&amp;" "&amp;C902))),AND(설정!$A$46&lt;&gt;"",ISNUMBER(SEARCH(설정!$A$46,E902&amp;" "&amp;C902))),AND(설정!$A$47&lt;&gt;"",ISNUMBER(SEARCH(설정!$A$47,E902&amp;" "&amp;C902))),AND(설정!$A$48&lt;&gt;"",ISNUMBER(SEARCH(설정!$A$48,E902&amp;" "&amp;C902))),AND(설정!$A$49&lt;&gt;"",ISNUMBER(SEARCH(설정!$A$49,E902&amp;" "&amp;C902))),AND(설정!$A$50&lt;&gt;"",ISNUMBER(SEARCH(설정!$A$50,E902&amp;" "&amp;C902))),AND(설정!$A$51&lt;&gt;"",ISNUMBER(SEARCH(설정!$A$51,E902&amp;" "&amp;C902))))</f>
        <v/>
      </c>
      <c r="S902">
        <f>OR(D902="",D902&gt;=설정!$B$19)</f>
        <v/>
      </c>
      <c r="T902">
        <f>AND(Q902,R902,S902)</f>
        <v/>
      </c>
      <c r="U902">
        <f>IF(T902,IF(AND(설정!$A$54&lt;&gt;"",ISNUMBER(SEARCH(설정!$A$54,K902))),설정!$B$54,IF(AND(설정!$A$55&lt;&gt;"",ISNUMBER(SEARCH(설정!$A$55,K902))),설정!$B$55,IF(AND(설정!$A$56&lt;&gt;"",ISNUMBER(SEARCH(설정!$A$56,K902))),설정!$B$56,IF(AND(설정!$A$57&lt;&gt;"",ISNUMBER(SEARCH(설정!$A$57,K902))),설정!$B$57,IF(AND(설정!$A$58&lt;&gt;"",ISNUMBER(SEARCH(설정!$A$58,K902))),설정!$B$58,IF(AND(설정!$A$59&lt;&gt;"",ISNUMBER(SEARCH(설정!$A$59,K902))),설정!$B$59,IF(AND(설정!$A$60&lt;&gt;"",ISNUMBER(SEARCH(설정!$A$60,K902))),설정!$B$60,IF(AND(설정!$A$61&lt;&gt;"",ISNUMBER(SEARCH(설정!$A$61,K902))),설정!$B$61,IF(M902="","설계사","시공사"))))))))),"")</f>
        <v/>
      </c>
      <c r="V902">
        <f>SUBSTITUTE(SUBSTITUTE(SUBSTITUTE(SUBSTITUTE(G902,"(주)",""),"㈜",""),"주식회사","")," ","")</f>
        <v/>
      </c>
      <c r="W902">
        <f>IF(AND(T902,V902&lt;&gt;""),IF(COUNTIFS(V$2:V902,V902,T$2:T902,TRUE)=1,MAX(W$1:W901)+1,""),"")</f>
        <v/>
      </c>
      <c r="X902">
        <f>IF(설정!$C$14="","",IFERROR(INDEX('1.산군_붙여넣기'!$A$1:$AZ$1001,ROW(),설정!$C$14)&amp;"",""))</f>
        <v/>
      </c>
      <c r="Y902">
        <f>IF(설정!$C$15="","",IFERROR(INDEX('1.산군_붙여넣기'!$A$1:$AZ$1001,ROW(),설정!$C$15)&amp;"",""))</f>
        <v/>
      </c>
      <c r="Z902">
        <f>IF(T902,V902&amp;"|"&amp;U902,"")</f>
        <v/>
      </c>
      <c r="AA902">
        <f>IF(NOT(Q902),"",IF(NOT(AND(R902,S902)),"✕",IF(OR(OR(AND(L902&lt;&gt;"",M902&lt;&gt;"",N(M902)-N(L902)&gt;설정!$B$27),AND(L902&lt;&gt;"",M902="",설정!$B$24-N(L902)&gt;설정!$B$27)),AND(D902&lt;&gt;"",D902&lt;설정!$B$26)),"△","★")))</f>
        <v/>
      </c>
      <c r="AB902">
        <f>IF(NOT(T902),"",IF(U902="설계사",설정!$B$31,IF(U902="시공사",IF(OR(M902="",설정!$B$24-N(M902)&lt;=설정!$B$28*30.4),설정!$B$32,설정!$B$33),설정!$B$34))+IF(AA902="★",설정!$B$35,0))</f>
        <v/>
      </c>
      <c r="AC902">
        <f>SUBSTITUTE(SUBSTITUTE(SUBSTITUTE(SUBSTITUTE(H902,"(주)",""),"㈜",""),"주식회사","")," ","")</f>
        <v/>
      </c>
      <c r="AD902">
        <f>IF(AND(T902,AC902&lt;&gt;""),IF(COUNTIFS(AC$2:AC902,AC902,T$2:T902,TRUE)=1,MAX(AD$1:AD901)+1,""),"")</f>
        <v/>
      </c>
    </row>
    <row r="903">
      <c r="A903">
        <f>ROW()</f>
        <v/>
      </c>
      <c r="B903">
        <f>IF(설정!$C$4="","",IFERROR(INDEX('1.산군_붙여넣기'!$A$1:$AZ$1001,ROW(),설정!$C$4)&amp;"",""))</f>
        <v/>
      </c>
      <c r="C903">
        <f>IF(설정!$C$5="","",IFERROR(INDEX('1.산군_붙여넣기'!$A$1:$AZ$1001,ROW(),설정!$C$5)&amp;"",""))</f>
        <v/>
      </c>
      <c r="D903" s="5">
        <f>IFERROR(VALUE(SUBSTITUTE(SUBSTITUTE(SUBSTITUTE(IF(설정!$C$6="","",IFERROR(INDEX('1.산군_붙여넣기'!$A$1:$AZ$1001,ROW(),설정!$C$6)&amp;"","")),",",""),"㎡",""),"m2","")),"")</f>
        <v/>
      </c>
      <c r="E903">
        <f>IF(설정!$C$7="","",IFERROR(INDEX('1.산군_붙여넣기'!$A$1:$AZ$1001,ROW(),설정!$C$7)&amp;"",""))</f>
        <v/>
      </c>
      <c r="F903">
        <f>IF(설정!$C$8="","",IFERROR(INDEX('1.산군_붙여넣기'!$A$1:$AZ$1001,ROW(),설정!$C$8)&amp;"",""))</f>
        <v/>
      </c>
      <c r="G903">
        <f>IF(설정!$C$9="","",IFERROR(INDEX('1.산군_붙여넣기'!$A$1:$AZ$1001,ROW(),설정!$C$9)&amp;"",""))</f>
        <v/>
      </c>
      <c r="H903">
        <f>IF(설정!$C$10="","",IFERROR(INDEX('1.산군_붙여넣기'!$A$1:$AZ$1001,ROW(),설정!$C$10)&amp;"",""))</f>
        <v/>
      </c>
      <c r="I903">
        <f>IF(설정!$C$11="","",IFERROR(INDEX('1.산군_붙여넣기'!$A$1:$AZ$1001,ROW(),설정!$C$11)&amp;"",""))</f>
        <v/>
      </c>
      <c r="J903">
        <f>IF(설정!$C$12="","",IFERROR(INDEX('1.산군_붙여넣기'!$A$1:$AZ$1001,ROW(),설정!$C$12)&amp;"",""))</f>
        <v/>
      </c>
      <c r="K903">
        <f>IF(설정!$C$13="","",IFERROR(INDEX('1.산군_붙여넣기'!$A$1:$AZ$1001,ROW(),설정!$C$13)&amp;"",""))</f>
        <v/>
      </c>
      <c r="L903" s="7">
        <f>IF(X903="","",IF(AND(LEN(X903)=8,ISNUMBER(X903*1)),DATE(LEFT(X903,4),MID(X903,5,2),RIGHT(X903,2)),IFERROR(DATEVALUE(SUBSTITUTE(SUBSTITUTE(X903,".","-"),"/","-")),IFERROR(X903*1,""))))</f>
        <v/>
      </c>
      <c r="M903" s="7">
        <f>IF(Y903="","",IF(AND(LEN(Y903)=8,ISNUMBER(Y903*1)),DATE(LEFT(Y903,4),MID(Y903,5,2),RIGHT(Y903,2)),IFERROR(DATEVALUE(SUBSTITUTE(SUBSTITUTE(Y903,".","-"),"/","-")),IFERROR(Y903*1,""))))</f>
        <v/>
      </c>
      <c r="N903">
        <f>IFERROR(LEFT(B903,FIND(" ",B903)-1),B903)</f>
        <v/>
      </c>
      <c r="O903">
        <f>AND(B903&lt;&gt;"",B903&lt;&gt;설정!$B$4,C903&lt;&gt;설정!$B$5)</f>
        <v/>
      </c>
      <c r="P903">
        <f>IF(O903,B903&amp;"|"&amp;C903,"")</f>
        <v/>
      </c>
      <c r="Q903">
        <f>AND(O903,COUNTIF(P904:P$1002,P903)=0)</f>
        <v/>
      </c>
      <c r="R903">
        <f>OR(AND(설정!$A$42&lt;&gt;"",ISNUMBER(SEARCH(설정!$A$42,E903&amp;" "&amp;C903))),AND(설정!$A$43&lt;&gt;"",ISNUMBER(SEARCH(설정!$A$43,E903&amp;" "&amp;C903))),AND(설정!$A$44&lt;&gt;"",ISNUMBER(SEARCH(설정!$A$44,E903&amp;" "&amp;C903))),AND(설정!$A$45&lt;&gt;"",ISNUMBER(SEARCH(설정!$A$45,E903&amp;" "&amp;C903))),AND(설정!$A$46&lt;&gt;"",ISNUMBER(SEARCH(설정!$A$46,E903&amp;" "&amp;C903))),AND(설정!$A$47&lt;&gt;"",ISNUMBER(SEARCH(설정!$A$47,E903&amp;" "&amp;C903))),AND(설정!$A$48&lt;&gt;"",ISNUMBER(SEARCH(설정!$A$48,E903&amp;" "&amp;C903))),AND(설정!$A$49&lt;&gt;"",ISNUMBER(SEARCH(설정!$A$49,E903&amp;" "&amp;C903))),AND(설정!$A$50&lt;&gt;"",ISNUMBER(SEARCH(설정!$A$50,E903&amp;" "&amp;C903))),AND(설정!$A$51&lt;&gt;"",ISNUMBER(SEARCH(설정!$A$51,E903&amp;" "&amp;C903))))</f>
        <v/>
      </c>
      <c r="S903">
        <f>OR(D903="",D903&gt;=설정!$B$19)</f>
        <v/>
      </c>
      <c r="T903">
        <f>AND(Q903,R903,S903)</f>
        <v/>
      </c>
      <c r="U903">
        <f>IF(T903,IF(AND(설정!$A$54&lt;&gt;"",ISNUMBER(SEARCH(설정!$A$54,K903))),설정!$B$54,IF(AND(설정!$A$55&lt;&gt;"",ISNUMBER(SEARCH(설정!$A$55,K903))),설정!$B$55,IF(AND(설정!$A$56&lt;&gt;"",ISNUMBER(SEARCH(설정!$A$56,K903))),설정!$B$56,IF(AND(설정!$A$57&lt;&gt;"",ISNUMBER(SEARCH(설정!$A$57,K903))),설정!$B$57,IF(AND(설정!$A$58&lt;&gt;"",ISNUMBER(SEARCH(설정!$A$58,K903))),설정!$B$58,IF(AND(설정!$A$59&lt;&gt;"",ISNUMBER(SEARCH(설정!$A$59,K903))),설정!$B$59,IF(AND(설정!$A$60&lt;&gt;"",ISNUMBER(SEARCH(설정!$A$60,K903))),설정!$B$60,IF(AND(설정!$A$61&lt;&gt;"",ISNUMBER(SEARCH(설정!$A$61,K903))),설정!$B$61,IF(M903="","설계사","시공사"))))))))),"")</f>
        <v/>
      </c>
      <c r="V903">
        <f>SUBSTITUTE(SUBSTITUTE(SUBSTITUTE(SUBSTITUTE(G903,"(주)",""),"㈜",""),"주식회사","")," ","")</f>
        <v/>
      </c>
      <c r="W903">
        <f>IF(AND(T903,V903&lt;&gt;""),IF(COUNTIFS(V$2:V903,V903,T$2:T903,TRUE)=1,MAX(W$1:W902)+1,""),"")</f>
        <v/>
      </c>
      <c r="X903">
        <f>IF(설정!$C$14="","",IFERROR(INDEX('1.산군_붙여넣기'!$A$1:$AZ$1001,ROW(),설정!$C$14)&amp;"",""))</f>
        <v/>
      </c>
      <c r="Y903">
        <f>IF(설정!$C$15="","",IFERROR(INDEX('1.산군_붙여넣기'!$A$1:$AZ$1001,ROW(),설정!$C$15)&amp;"",""))</f>
        <v/>
      </c>
      <c r="Z903">
        <f>IF(T903,V903&amp;"|"&amp;U903,"")</f>
        <v/>
      </c>
      <c r="AA903">
        <f>IF(NOT(Q903),"",IF(NOT(AND(R903,S903)),"✕",IF(OR(OR(AND(L903&lt;&gt;"",M903&lt;&gt;"",N(M903)-N(L903)&gt;설정!$B$27),AND(L903&lt;&gt;"",M903="",설정!$B$24-N(L903)&gt;설정!$B$27)),AND(D903&lt;&gt;"",D903&lt;설정!$B$26)),"△","★")))</f>
        <v/>
      </c>
      <c r="AB903">
        <f>IF(NOT(T903),"",IF(U903="설계사",설정!$B$31,IF(U903="시공사",IF(OR(M903="",설정!$B$24-N(M903)&lt;=설정!$B$28*30.4),설정!$B$32,설정!$B$33),설정!$B$34))+IF(AA903="★",설정!$B$35,0))</f>
        <v/>
      </c>
      <c r="AC903">
        <f>SUBSTITUTE(SUBSTITUTE(SUBSTITUTE(SUBSTITUTE(H903,"(주)",""),"㈜",""),"주식회사","")," ","")</f>
        <v/>
      </c>
      <c r="AD903">
        <f>IF(AND(T903,AC903&lt;&gt;""),IF(COUNTIFS(AC$2:AC903,AC903,T$2:T903,TRUE)=1,MAX(AD$1:AD902)+1,""),"")</f>
        <v/>
      </c>
    </row>
    <row r="904">
      <c r="A904">
        <f>ROW()</f>
        <v/>
      </c>
      <c r="B904">
        <f>IF(설정!$C$4="","",IFERROR(INDEX('1.산군_붙여넣기'!$A$1:$AZ$1001,ROW(),설정!$C$4)&amp;"",""))</f>
        <v/>
      </c>
      <c r="C904">
        <f>IF(설정!$C$5="","",IFERROR(INDEX('1.산군_붙여넣기'!$A$1:$AZ$1001,ROW(),설정!$C$5)&amp;"",""))</f>
        <v/>
      </c>
      <c r="D904" s="5">
        <f>IFERROR(VALUE(SUBSTITUTE(SUBSTITUTE(SUBSTITUTE(IF(설정!$C$6="","",IFERROR(INDEX('1.산군_붙여넣기'!$A$1:$AZ$1001,ROW(),설정!$C$6)&amp;"","")),",",""),"㎡",""),"m2","")),"")</f>
        <v/>
      </c>
      <c r="E904">
        <f>IF(설정!$C$7="","",IFERROR(INDEX('1.산군_붙여넣기'!$A$1:$AZ$1001,ROW(),설정!$C$7)&amp;"",""))</f>
        <v/>
      </c>
      <c r="F904">
        <f>IF(설정!$C$8="","",IFERROR(INDEX('1.산군_붙여넣기'!$A$1:$AZ$1001,ROW(),설정!$C$8)&amp;"",""))</f>
        <v/>
      </c>
      <c r="G904">
        <f>IF(설정!$C$9="","",IFERROR(INDEX('1.산군_붙여넣기'!$A$1:$AZ$1001,ROW(),설정!$C$9)&amp;"",""))</f>
        <v/>
      </c>
      <c r="H904">
        <f>IF(설정!$C$10="","",IFERROR(INDEX('1.산군_붙여넣기'!$A$1:$AZ$1001,ROW(),설정!$C$10)&amp;"",""))</f>
        <v/>
      </c>
      <c r="I904">
        <f>IF(설정!$C$11="","",IFERROR(INDEX('1.산군_붙여넣기'!$A$1:$AZ$1001,ROW(),설정!$C$11)&amp;"",""))</f>
        <v/>
      </c>
      <c r="J904">
        <f>IF(설정!$C$12="","",IFERROR(INDEX('1.산군_붙여넣기'!$A$1:$AZ$1001,ROW(),설정!$C$12)&amp;"",""))</f>
        <v/>
      </c>
      <c r="K904">
        <f>IF(설정!$C$13="","",IFERROR(INDEX('1.산군_붙여넣기'!$A$1:$AZ$1001,ROW(),설정!$C$13)&amp;"",""))</f>
        <v/>
      </c>
      <c r="L904" s="7">
        <f>IF(X904="","",IF(AND(LEN(X904)=8,ISNUMBER(X904*1)),DATE(LEFT(X904,4),MID(X904,5,2),RIGHT(X904,2)),IFERROR(DATEVALUE(SUBSTITUTE(SUBSTITUTE(X904,".","-"),"/","-")),IFERROR(X904*1,""))))</f>
        <v/>
      </c>
      <c r="M904" s="7">
        <f>IF(Y904="","",IF(AND(LEN(Y904)=8,ISNUMBER(Y904*1)),DATE(LEFT(Y904,4),MID(Y904,5,2),RIGHT(Y904,2)),IFERROR(DATEVALUE(SUBSTITUTE(SUBSTITUTE(Y904,".","-"),"/","-")),IFERROR(Y904*1,""))))</f>
        <v/>
      </c>
      <c r="N904">
        <f>IFERROR(LEFT(B904,FIND(" ",B904)-1),B904)</f>
        <v/>
      </c>
      <c r="O904">
        <f>AND(B904&lt;&gt;"",B904&lt;&gt;설정!$B$4,C904&lt;&gt;설정!$B$5)</f>
        <v/>
      </c>
      <c r="P904">
        <f>IF(O904,B904&amp;"|"&amp;C904,"")</f>
        <v/>
      </c>
      <c r="Q904">
        <f>AND(O904,COUNTIF(P905:P$1002,P904)=0)</f>
        <v/>
      </c>
      <c r="R904">
        <f>OR(AND(설정!$A$42&lt;&gt;"",ISNUMBER(SEARCH(설정!$A$42,E904&amp;" "&amp;C904))),AND(설정!$A$43&lt;&gt;"",ISNUMBER(SEARCH(설정!$A$43,E904&amp;" "&amp;C904))),AND(설정!$A$44&lt;&gt;"",ISNUMBER(SEARCH(설정!$A$44,E904&amp;" "&amp;C904))),AND(설정!$A$45&lt;&gt;"",ISNUMBER(SEARCH(설정!$A$45,E904&amp;" "&amp;C904))),AND(설정!$A$46&lt;&gt;"",ISNUMBER(SEARCH(설정!$A$46,E904&amp;" "&amp;C904))),AND(설정!$A$47&lt;&gt;"",ISNUMBER(SEARCH(설정!$A$47,E904&amp;" "&amp;C904))),AND(설정!$A$48&lt;&gt;"",ISNUMBER(SEARCH(설정!$A$48,E904&amp;" "&amp;C904))),AND(설정!$A$49&lt;&gt;"",ISNUMBER(SEARCH(설정!$A$49,E904&amp;" "&amp;C904))),AND(설정!$A$50&lt;&gt;"",ISNUMBER(SEARCH(설정!$A$50,E904&amp;" "&amp;C904))),AND(설정!$A$51&lt;&gt;"",ISNUMBER(SEARCH(설정!$A$51,E904&amp;" "&amp;C904))))</f>
        <v/>
      </c>
      <c r="S904">
        <f>OR(D904="",D904&gt;=설정!$B$19)</f>
        <v/>
      </c>
      <c r="T904">
        <f>AND(Q904,R904,S904)</f>
        <v/>
      </c>
      <c r="U904">
        <f>IF(T904,IF(AND(설정!$A$54&lt;&gt;"",ISNUMBER(SEARCH(설정!$A$54,K904))),설정!$B$54,IF(AND(설정!$A$55&lt;&gt;"",ISNUMBER(SEARCH(설정!$A$55,K904))),설정!$B$55,IF(AND(설정!$A$56&lt;&gt;"",ISNUMBER(SEARCH(설정!$A$56,K904))),설정!$B$56,IF(AND(설정!$A$57&lt;&gt;"",ISNUMBER(SEARCH(설정!$A$57,K904))),설정!$B$57,IF(AND(설정!$A$58&lt;&gt;"",ISNUMBER(SEARCH(설정!$A$58,K904))),설정!$B$58,IF(AND(설정!$A$59&lt;&gt;"",ISNUMBER(SEARCH(설정!$A$59,K904))),설정!$B$59,IF(AND(설정!$A$60&lt;&gt;"",ISNUMBER(SEARCH(설정!$A$60,K904))),설정!$B$60,IF(AND(설정!$A$61&lt;&gt;"",ISNUMBER(SEARCH(설정!$A$61,K904))),설정!$B$61,IF(M904="","설계사","시공사"))))))))),"")</f>
        <v/>
      </c>
      <c r="V904">
        <f>SUBSTITUTE(SUBSTITUTE(SUBSTITUTE(SUBSTITUTE(G904,"(주)",""),"㈜",""),"주식회사","")," ","")</f>
        <v/>
      </c>
      <c r="W904">
        <f>IF(AND(T904,V904&lt;&gt;""),IF(COUNTIFS(V$2:V904,V904,T$2:T904,TRUE)=1,MAX(W$1:W903)+1,""),"")</f>
        <v/>
      </c>
      <c r="X904">
        <f>IF(설정!$C$14="","",IFERROR(INDEX('1.산군_붙여넣기'!$A$1:$AZ$1001,ROW(),설정!$C$14)&amp;"",""))</f>
        <v/>
      </c>
      <c r="Y904">
        <f>IF(설정!$C$15="","",IFERROR(INDEX('1.산군_붙여넣기'!$A$1:$AZ$1001,ROW(),설정!$C$15)&amp;"",""))</f>
        <v/>
      </c>
      <c r="Z904">
        <f>IF(T904,V904&amp;"|"&amp;U904,"")</f>
        <v/>
      </c>
      <c r="AA904">
        <f>IF(NOT(Q904),"",IF(NOT(AND(R904,S904)),"✕",IF(OR(OR(AND(L904&lt;&gt;"",M904&lt;&gt;"",N(M904)-N(L904)&gt;설정!$B$27),AND(L904&lt;&gt;"",M904="",설정!$B$24-N(L904)&gt;설정!$B$27)),AND(D904&lt;&gt;"",D904&lt;설정!$B$26)),"△","★")))</f>
        <v/>
      </c>
      <c r="AB904">
        <f>IF(NOT(T904),"",IF(U904="설계사",설정!$B$31,IF(U904="시공사",IF(OR(M904="",설정!$B$24-N(M904)&lt;=설정!$B$28*30.4),설정!$B$32,설정!$B$33),설정!$B$34))+IF(AA904="★",설정!$B$35,0))</f>
        <v/>
      </c>
      <c r="AC904">
        <f>SUBSTITUTE(SUBSTITUTE(SUBSTITUTE(SUBSTITUTE(H904,"(주)",""),"㈜",""),"주식회사","")," ","")</f>
        <v/>
      </c>
      <c r="AD904">
        <f>IF(AND(T904,AC904&lt;&gt;""),IF(COUNTIFS(AC$2:AC904,AC904,T$2:T904,TRUE)=1,MAX(AD$1:AD903)+1,""),"")</f>
        <v/>
      </c>
    </row>
    <row r="905">
      <c r="A905">
        <f>ROW()</f>
        <v/>
      </c>
      <c r="B905">
        <f>IF(설정!$C$4="","",IFERROR(INDEX('1.산군_붙여넣기'!$A$1:$AZ$1001,ROW(),설정!$C$4)&amp;"",""))</f>
        <v/>
      </c>
      <c r="C905">
        <f>IF(설정!$C$5="","",IFERROR(INDEX('1.산군_붙여넣기'!$A$1:$AZ$1001,ROW(),설정!$C$5)&amp;"",""))</f>
        <v/>
      </c>
      <c r="D905" s="5">
        <f>IFERROR(VALUE(SUBSTITUTE(SUBSTITUTE(SUBSTITUTE(IF(설정!$C$6="","",IFERROR(INDEX('1.산군_붙여넣기'!$A$1:$AZ$1001,ROW(),설정!$C$6)&amp;"","")),",",""),"㎡",""),"m2","")),"")</f>
        <v/>
      </c>
      <c r="E905">
        <f>IF(설정!$C$7="","",IFERROR(INDEX('1.산군_붙여넣기'!$A$1:$AZ$1001,ROW(),설정!$C$7)&amp;"",""))</f>
        <v/>
      </c>
      <c r="F905">
        <f>IF(설정!$C$8="","",IFERROR(INDEX('1.산군_붙여넣기'!$A$1:$AZ$1001,ROW(),설정!$C$8)&amp;"",""))</f>
        <v/>
      </c>
      <c r="G905">
        <f>IF(설정!$C$9="","",IFERROR(INDEX('1.산군_붙여넣기'!$A$1:$AZ$1001,ROW(),설정!$C$9)&amp;"",""))</f>
        <v/>
      </c>
      <c r="H905">
        <f>IF(설정!$C$10="","",IFERROR(INDEX('1.산군_붙여넣기'!$A$1:$AZ$1001,ROW(),설정!$C$10)&amp;"",""))</f>
        <v/>
      </c>
      <c r="I905">
        <f>IF(설정!$C$11="","",IFERROR(INDEX('1.산군_붙여넣기'!$A$1:$AZ$1001,ROW(),설정!$C$11)&amp;"",""))</f>
        <v/>
      </c>
      <c r="J905">
        <f>IF(설정!$C$12="","",IFERROR(INDEX('1.산군_붙여넣기'!$A$1:$AZ$1001,ROW(),설정!$C$12)&amp;"",""))</f>
        <v/>
      </c>
      <c r="K905">
        <f>IF(설정!$C$13="","",IFERROR(INDEX('1.산군_붙여넣기'!$A$1:$AZ$1001,ROW(),설정!$C$13)&amp;"",""))</f>
        <v/>
      </c>
      <c r="L905" s="7">
        <f>IF(X905="","",IF(AND(LEN(X905)=8,ISNUMBER(X905*1)),DATE(LEFT(X905,4),MID(X905,5,2),RIGHT(X905,2)),IFERROR(DATEVALUE(SUBSTITUTE(SUBSTITUTE(X905,".","-"),"/","-")),IFERROR(X905*1,""))))</f>
        <v/>
      </c>
      <c r="M905" s="7">
        <f>IF(Y905="","",IF(AND(LEN(Y905)=8,ISNUMBER(Y905*1)),DATE(LEFT(Y905,4),MID(Y905,5,2),RIGHT(Y905,2)),IFERROR(DATEVALUE(SUBSTITUTE(SUBSTITUTE(Y905,".","-"),"/","-")),IFERROR(Y905*1,""))))</f>
        <v/>
      </c>
      <c r="N905">
        <f>IFERROR(LEFT(B905,FIND(" ",B905)-1),B905)</f>
        <v/>
      </c>
      <c r="O905">
        <f>AND(B905&lt;&gt;"",B905&lt;&gt;설정!$B$4,C905&lt;&gt;설정!$B$5)</f>
        <v/>
      </c>
      <c r="P905">
        <f>IF(O905,B905&amp;"|"&amp;C905,"")</f>
        <v/>
      </c>
      <c r="Q905">
        <f>AND(O905,COUNTIF(P906:P$1002,P905)=0)</f>
        <v/>
      </c>
      <c r="R905">
        <f>OR(AND(설정!$A$42&lt;&gt;"",ISNUMBER(SEARCH(설정!$A$42,E905&amp;" "&amp;C905))),AND(설정!$A$43&lt;&gt;"",ISNUMBER(SEARCH(설정!$A$43,E905&amp;" "&amp;C905))),AND(설정!$A$44&lt;&gt;"",ISNUMBER(SEARCH(설정!$A$44,E905&amp;" "&amp;C905))),AND(설정!$A$45&lt;&gt;"",ISNUMBER(SEARCH(설정!$A$45,E905&amp;" "&amp;C905))),AND(설정!$A$46&lt;&gt;"",ISNUMBER(SEARCH(설정!$A$46,E905&amp;" "&amp;C905))),AND(설정!$A$47&lt;&gt;"",ISNUMBER(SEARCH(설정!$A$47,E905&amp;" "&amp;C905))),AND(설정!$A$48&lt;&gt;"",ISNUMBER(SEARCH(설정!$A$48,E905&amp;" "&amp;C905))),AND(설정!$A$49&lt;&gt;"",ISNUMBER(SEARCH(설정!$A$49,E905&amp;" "&amp;C905))),AND(설정!$A$50&lt;&gt;"",ISNUMBER(SEARCH(설정!$A$50,E905&amp;" "&amp;C905))),AND(설정!$A$51&lt;&gt;"",ISNUMBER(SEARCH(설정!$A$51,E905&amp;" "&amp;C905))))</f>
        <v/>
      </c>
      <c r="S905">
        <f>OR(D905="",D905&gt;=설정!$B$19)</f>
        <v/>
      </c>
      <c r="T905">
        <f>AND(Q905,R905,S905)</f>
        <v/>
      </c>
      <c r="U905">
        <f>IF(T905,IF(AND(설정!$A$54&lt;&gt;"",ISNUMBER(SEARCH(설정!$A$54,K905))),설정!$B$54,IF(AND(설정!$A$55&lt;&gt;"",ISNUMBER(SEARCH(설정!$A$55,K905))),설정!$B$55,IF(AND(설정!$A$56&lt;&gt;"",ISNUMBER(SEARCH(설정!$A$56,K905))),설정!$B$56,IF(AND(설정!$A$57&lt;&gt;"",ISNUMBER(SEARCH(설정!$A$57,K905))),설정!$B$57,IF(AND(설정!$A$58&lt;&gt;"",ISNUMBER(SEARCH(설정!$A$58,K905))),설정!$B$58,IF(AND(설정!$A$59&lt;&gt;"",ISNUMBER(SEARCH(설정!$A$59,K905))),설정!$B$59,IF(AND(설정!$A$60&lt;&gt;"",ISNUMBER(SEARCH(설정!$A$60,K905))),설정!$B$60,IF(AND(설정!$A$61&lt;&gt;"",ISNUMBER(SEARCH(설정!$A$61,K905))),설정!$B$61,IF(M905="","설계사","시공사"))))))))),"")</f>
        <v/>
      </c>
      <c r="V905">
        <f>SUBSTITUTE(SUBSTITUTE(SUBSTITUTE(SUBSTITUTE(G905,"(주)",""),"㈜",""),"주식회사","")," ","")</f>
        <v/>
      </c>
      <c r="W905">
        <f>IF(AND(T905,V905&lt;&gt;""),IF(COUNTIFS(V$2:V905,V905,T$2:T905,TRUE)=1,MAX(W$1:W904)+1,""),"")</f>
        <v/>
      </c>
      <c r="X905">
        <f>IF(설정!$C$14="","",IFERROR(INDEX('1.산군_붙여넣기'!$A$1:$AZ$1001,ROW(),설정!$C$14)&amp;"",""))</f>
        <v/>
      </c>
      <c r="Y905">
        <f>IF(설정!$C$15="","",IFERROR(INDEX('1.산군_붙여넣기'!$A$1:$AZ$1001,ROW(),설정!$C$15)&amp;"",""))</f>
        <v/>
      </c>
      <c r="Z905">
        <f>IF(T905,V905&amp;"|"&amp;U905,"")</f>
        <v/>
      </c>
      <c r="AA905">
        <f>IF(NOT(Q905),"",IF(NOT(AND(R905,S905)),"✕",IF(OR(OR(AND(L905&lt;&gt;"",M905&lt;&gt;"",N(M905)-N(L905)&gt;설정!$B$27),AND(L905&lt;&gt;"",M905="",설정!$B$24-N(L905)&gt;설정!$B$27)),AND(D905&lt;&gt;"",D905&lt;설정!$B$26)),"△","★")))</f>
        <v/>
      </c>
      <c r="AB905">
        <f>IF(NOT(T905),"",IF(U905="설계사",설정!$B$31,IF(U905="시공사",IF(OR(M905="",설정!$B$24-N(M905)&lt;=설정!$B$28*30.4),설정!$B$32,설정!$B$33),설정!$B$34))+IF(AA905="★",설정!$B$35,0))</f>
        <v/>
      </c>
      <c r="AC905">
        <f>SUBSTITUTE(SUBSTITUTE(SUBSTITUTE(SUBSTITUTE(H905,"(주)",""),"㈜",""),"주식회사","")," ","")</f>
        <v/>
      </c>
      <c r="AD905">
        <f>IF(AND(T905,AC905&lt;&gt;""),IF(COUNTIFS(AC$2:AC905,AC905,T$2:T905,TRUE)=1,MAX(AD$1:AD904)+1,""),"")</f>
        <v/>
      </c>
    </row>
    <row r="906">
      <c r="A906">
        <f>ROW()</f>
        <v/>
      </c>
      <c r="B906">
        <f>IF(설정!$C$4="","",IFERROR(INDEX('1.산군_붙여넣기'!$A$1:$AZ$1001,ROW(),설정!$C$4)&amp;"",""))</f>
        <v/>
      </c>
      <c r="C906">
        <f>IF(설정!$C$5="","",IFERROR(INDEX('1.산군_붙여넣기'!$A$1:$AZ$1001,ROW(),설정!$C$5)&amp;"",""))</f>
        <v/>
      </c>
      <c r="D906" s="5">
        <f>IFERROR(VALUE(SUBSTITUTE(SUBSTITUTE(SUBSTITUTE(IF(설정!$C$6="","",IFERROR(INDEX('1.산군_붙여넣기'!$A$1:$AZ$1001,ROW(),설정!$C$6)&amp;"","")),",",""),"㎡",""),"m2","")),"")</f>
        <v/>
      </c>
      <c r="E906">
        <f>IF(설정!$C$7="","",IFERROR(INDEX('1.산군_붙여넣기'!$A$1:$AZ$1001,ROW(),설정!$C$7)&amp;"",""))</f>
        <v/>
      </c>
      <c r="F906">
        <f>IF(설정!$C$8="","",IFERROR(INDEX('1.산군_붙여넣기'!$A$1:$AZ$1001,ROW(),설정!$C$8)&amp;"",""))</f>
        <v/>
      </c>
      <c r="G906">
        <f>IF(설정!$C$9="","",IFERROR(INDEX('1.산군_붙여넣기'!$A$1:$AZ$1001,ROW(),설정!$C$9)&amp;"",""))</f>
        <v/>
      </c>
      <c r="H906">
        <f>IF(설정!$C$10="","",IFERROR(INDEX('1.산군_붙여넣기'!$A$1:$AZ$1001,ROW(),설정!$C$10)&amp;"",""))</f>
        <v/>
      </c>
      <c r="I906">
        <f>IF(설정!$C$11="","",IFERROR(INDEX('1.산군_붙여넣기'!$A$1:$AZ$1001,ROW(),설정!$C$11)&amp;"",""))</f>
        <v/>
      </c>
      <c r="J906">
        <f>IF(설정!$C$12="","",IFERROR(INDEX('1.산군_붙여넣기'!$A$1:$AZ$1001,ROW(),설정!$C$12)&amp;"",""))</f>
        <v/>
      </c>
      <c r="K906">
        <f>IF(설정!$C$13="","",IFERROR(INDEX('1.산군_붙여넣기'!$A$1:$AZ$1001,ROW(),설정!$C$13)&amp;"",""))</f>
        <v/>
      </c>
      <c r="L906" s="7">
        <f>IF(X906="","",IF(AND(LEN(X906)=8,ISNUMBER(X906*1)),DATE(LEFT(X906,4),MID(X906,5,2),RIGHT(X906,2)),IFERROR(DATEVALUE(SUBSTITUTE(SUBSTITUTE(X906,".","-"),"/","-")),IFERROR(X906*1,""))))</f>
        <v/>
      </c>
      <c r="M906" s="7">
        <f>IF(Y906="","",IF(AND(LEN(Y906)=8,ISNUMBER(Y906*1)),DATE(LEFT(Y906,4),MID(Y906,5,2),RIGHT(Y906,2)),IFERROR(DATEVALUE(SUBSTITUTE(SUBSTITUTE(Y906,".","-"),"/","-")),IFERROR(Y906*1,""))))</f>
        <v/>
      </c>
      <c r="N906">
        <f>IFERROR(LEFT(B906,FIND(" ",B906)-1),B906)</f>
        <v/>
      </c>
      <c r="O906">
        <f>AND(B906&lt;&gt;"",B906&lt;&gt;설정!$B$4,C906&lt;&gt;설정!$B$5)</f>
        <v/>
      </c>
      <c r="P906">
        <f>IF(O906,B906&amp;"|"&amp;C906,"")</f>
        <v/>
      </c>
      <c r="Q906">
        <f>AND(O906,COUNTIF(P907:P$1002,P906)=0)</f>
        <v/>
      </c>
      <c r="R906">
        <f>OR(AND(설정!$A$42&lt;&gt;"",ISNUMBER(SEARCH(설정!$A$42,E906&amp;" "&amp;C906))),AND(설정!$A$43&lt;&gt;"",ISNUMBER(SEARCH(설정!$A$43,E906&amp;" "&amp;C906))),AND(설정!$A$44&lt;&gt;"",ISNUMBER(SEARCH(설정!$A$44,E906&amp;" "&amp;C906))),AND(설정!$A$45&lt;&gt;"",ISNUMBER(SEARCH(설정!$A$45,E906&amp;" "&amp;C906))),AND(설정!$A$46&lt;&gt;"",ISNUMBER(SEARCH(설정!$A$46,E906&amp;" "&amp;C906))),AND(설정!$A$47&lt;&gt;"",ISNUMBER(SEARCH(설정!$A$47,E906&amp;" "&amp;C906))),AND(설정!$A$48&lt;&gt;"",ISNUMBER(SEARCH(설정!$A$48,E906&amp;" "&amp;C906))),AND(설정!$A$49&lt;&gt;"",ISNUMBER(SEARCH(설정!$A$49,E906&amp;" "&amp;C906))),AND(설정!$A$50&lt;&gt;"",ISNUMBER(SEARCH(설정!$A$50,E906&amp;" "&amp;C906))),AND(설정!$A$51&lt;&gt;"",ISNUMBER(SEARCH(설정!$A$51,E906&amp;" "&amp;C906))))</f>
        <v/>
      </c>
      <c r="S906">
        <f>OR(D906="",D906&gt;=설정!$B$19)</f>
        <v/>
      </c>
      <c r="T906">
        <f>AND(Q906,R906,S906)</f>
        <v/>
      </c>
      <c r="U906">
        <f>IF(T906,IF(AND(설정!$A$54&lt;&gt;"",ISNUMBER(SEARCH(설정!$A$54,K906))),설정!$B$54,IF(AND(설정!$A$55&lt;&gt;"",ISNUMBER(SEARCH(설정!$A$55,K906))),설정!$B$55,IF(AND(설정!$A$56&lt;&gt;"",ISNUMBER(SEARCH(설정!$A$56,K906))),설정!$B$56,IF(AND(설정!$A$57&lt;&gt;"",ISNUMBER(SEARCH(설정!$A$57,K906))),설정!$B$57,IF(AND(설정!$A$58&lt;&gt;"",ISNUMBER(SEARCH(설정!$A$58,K906))),설정!$B$58,IF(AND(설정!$A$59&lt;&gt;"",ISNUMBER(SEARCH(설정!$A$59,K906))),설정!$B$59,IF(AND(설정!$A$60&lt;&gt;"",ISNUMBER(SEARCH(설정!$A$60,K906))),설정!$B$60,IF(AND(설정!$A$61&lt;&gt;"",ISNUMBER(SEARCH(설정!$A$61,K906))),설정!$B$61,IF(M906="","설계사","시공사"))))))))),"")</f>
        <v/>
      </c>
      <c r="V906">
        <f>SUBSTITUTE(SUBSTITUTE(SUBSTITUTE(SUBSTITUTE(G906,"(주)",""),"㈜",""),"주식회사","")," ","")</f>
        <v/>
      </c>
      <c r="W906">
        <f>IF(AND(T906,V906&lt;&gt;""),IF(COUNTIFS(V$2:V906,V906,T$2:T906,TRUE)=1,MAX(W$1:W905)+1,""),"")</f>
        <v/>
      </c>
      <c r="X906">
        <f>IF(설정!$C$14="","",IFERROR(INDEX('1.산군_붙여넣기'!$A$1:$AZ$1001,ROW(),설정!$C$14)&amp;"",""))</f>
        <v/>
      </c>
      <c r="Y906">
        <f>IF(설정!$C$15="","",IFERROR(INDEX('1.산군_붙여넣기'!$A$1:$AZ$1001,ROW(),설정!$C$15)&amp;"",""))</f>
        <v/>
      </c>
      <c r="Z906">
        <f>IF(T906,V906&amp;"|"&amp;U906,"")</f>
        <v/>
      </c>
      <c r="AA906">
        <f>IF(NOT(Q906),"",IF(NOT(AND(R906,S906)),"✕",IF(OR(OR(AND(L906&lt;&gt;"",M906&lt;&gt;"",N(M906)-N(L906)&gt;설정!$B$27),AND(L906&lt;&gt;"",M906="",설정!$B$24-N(L906)&gt;설정!$B$27)),AND(D906&lt;&gt;"",D906&lt;설정!$B$26)),"△","★")))</f>
        <v/>
      </c>
      <c r="AB906">
        <f>IF(NOT(T906),"",IF(U906="설계사",설정!$B$31,IF(U906="시공사",IF(OR(M906="",설정!$B$24-N(M906)&lt;=설정!$B$28*30.4),설정!$B$32,설정!$B$33),설정!$B$34))+IF(AA906="★",설정!$B$35,0))</f>
        <v/>
      </c>
      <c r="AC906">
        <f>SUBSTITUTE(SUBSTITUTE(SUBSTITUTE(SUBSTITUTE(H906,"(주)",""),"㈜",""),"주식회사","")," ","")</f>
        <v/>
      </c>
      <c r="AD906">
        <f>IF(AND(T906,AC906&lt;&gt;""),IF(COUNTIFS(AC$2:AC906,AC906,T$2:T906,TRUE)=1,MAX(AD$1:AD905)+1,""),"")</f>
        <v/>
      </c>
    </row>
    <row r="907">
      <c r="A907">
        <f>ROW()</f>
        <v/>
      </c>
      <c r="B907">
        <f>IF(설정!$C$4="","",IFERROR(INDEX('1.산군_붙여넣기'!$A$1:$AZ$1001,ROW(),설정!$C$4)&amp;"",""))</f>
        <v/>
      </c>
      <c r="C907">
        <f>IF(설정!$C$5="","",IFERROR(INDEX('1.산군_붙여넣기'!$A$1:$AZ$1001,ROW(),설정!$C$5)&amp;"",""))</f>
        <v/>
      </c>
      <c r="D907" s="5">
        <f>IFERROR(VALUE(SUBSTITUTE(SUBSTITUTE(SUBSTITUTE(IF(설정!$C$6="","",IFERROR(INDEX('1.산군_붙여넣기'!$A$1:$AZ$1001,ROW(),설정!$C$6)&amp;"","")),",",""),"㎡",""),"m2","")),"")</f>
        <v/>
      </c>
      <c r="E907">
        <f>IF(설정!$C$7="","",IFERROR(INDEX('1.산군_붙여넣기'!$A$1:$AZ$1001,ROW(),설정!$C$7)&amp;"",""))</f>
        <v/>
      </c>
      <c r="F907">
        <f>IF(설정!$C$8="","",IFERROR(INDEX('1.산군_붙여넣기'!$A$1:$AZ$1001,ROW(),설정!$C$8)&amp;"",""))</f>
        <v/>
      </c>
      <c r="G907">
        <f>IF(설정!$C$9="","",IFERROR(INDEX('1.산군_붙여넣기'!$A$1:$AZ$1001,ROW(),설정!$C$9)&amp;"",""))</f>
        <v/>
      </c>
      <c r="H907">
        <f>IF(설정!$C$10="","",IFERROR(INDEX('1.산군_붙여넣기'!$A$1:$AZ$1001,ROW(),설정!$C$10)&amp;"",""))</f>
        <v/>
      </c>
      <c r="I907">
        <f>IF(설정!$C$11="","",IFERROR(INDEX('1.산군_붙여넣기'!$A$1:$AZ$1001,ROW(),설정!$C$11)&amp;"",""))</f>
        <v/>
      </c>
      <c r="J907">
        <f>IF(설정!$C$12="","",IFERROR(INDEX('1.산군_붙여넣기'!$A$1:$AZ$1001,ROW(),설정!$C$12)&amp;"",""))</f>
        <v/>
      </c>
      <c r="K907">
        <f>IF(설정!$C$13="","",IFERROR(INDEX('1.산군_붙여넣기'!$A$1:$AZ$1001,ROW(),설정!$C$13)&amp;"",""))</f>
        <v/>
      </c>
      <c r="L907" s="7">
        <f>IF(X907="","",IF(AND(LEN(X907)=8,ISNUMBER(X907*1)),DATE(LEFT(X907,4),MID(X907,5,2),RIGHT(X907,2)),IFERROR(DATEVALUE(SUBSTITUTE(SUBSTITUTE(X907,".","-"),"/","-")),IFERROR(X907*1,""))))</f>
        <v/>
      </c>
      <c r="M907" s="7">
        <f>IF(Y907="","",IF(AND(LEN(Y907)=8,ISNUMBER(Y907*1)),DATE(LEFT(Y907,4),MID(Y907,5,2),RIGHT(Y907,2)),IFERROR(DATEVALUE(SUBSTITUTE(SUBSTITUTE(Y907,".","-"),"/","-")),IFERROR(Y907*1,""))))</f>
        <v/>
      </c>
      <c r="N907">
        <f>IFERROR(LEFT(B907,FIND(" ",B907)-1),B907)</f>
        <v/>
      </c>
      <c r="O907">
        <f>AND(B907&lt;&gt;"",B907&lt;&gt;설정!$B$4,C907&lt;&gt;설정!$B$5)</f>
        <v/>
      </c>
      <c r="P907">
        <f>IF(O907,B907&amp;"|"&amp;C907,"")</f>
        <v/>
      </c>
      <c r="Q907">
        <f>AND(O907,COUNTIF(P908:P$1002,P907)=0)</f>
        <v/>
      </c>
      <c r="R907">
        <f>OR(AND(설정!$A$42&lt;&gt;"",ISNUMBER(SEARCH(설정!$A$42,E907&amp;" "&amp;C907))),AND(설정!$A$43&lt;&gt;"",ISNUMBER(SEARCH(설정!$A$43,E907&amp;" "&amp;C907))),AND(설정!$A$44&lt;&gt;"",ISNUMBER(SEARCH(설정!$A$44,E907&amp;" "&amp;C907))),AND(설정!$A$45&lt;&gt;"",ISNUMBER(SEARCH(설정!$A$45,E907&amp;" "&amp;C907))),AND(설정!$A$46&lt;&gt;"",ISNUMBER(SEARCH(설정!$A$46,E907&amp;" "&amp;C907))),AND(설정!$A$47&lt;&gt;"",ISNUMBER(SEARCH(설정!$A$47,E907&amp;" "&amp;C907))),AND(설정!$A$48&lt;&gt;"",ISNUMBER(SEARCH(설정!$A$48,E907&amp;" "&amp;C907))),AND(설정!$A$49&lt;&gt;"",ISNUMBER(SEARCH(설정!$A$49,E907&amp;" "&amp;C907))),AND(설정!$A$50&lt;&gt;"",ISNUMBER(SEARCH(설정!$A$50,E907&amp;" "&amp;C907))),AND(설정!$A$51&lt;&gt;"",ISNUMBER(SEARCH(설정!$A$51,E907&amp;" "&amp;C907))))</f>
        <v/>
      </c>
      <c r="S907">
        <f>OR(D907="",D907&gt;=설정!$B$19)</f>
        <v/>
      </c>
      <c r="T907">
        <f>AND(Q907,R907,S907)</f>
        <v/>
      </c>
      <c r="U907">
        <f>IF(T907,IF(AND(설정!$A$54&lt;&gt;"",ISNUMBER(SEARCH(설정!$A$54,K907))),설정!$B$54,IF(AND(설정!$A$55&lt;&gt;"",ISNUMBER(SEARCH(설정!$A$55,K907))),설정!$B$55,IF(AND(설정!$A$56&lt;&gt;"",ISNUMBER(SEARCH(설정!$A$56,K907))),설정!$B$56,IF(AND(설정!$A$57&lt;&gt;"",ISNUMBER(SEARCH(설정!$A$57,K907))),설정!$B$57,IF(AND(설정!$A$58&lt;&gt;"",ISNUMBER(SEARCH(설정!$A$58,K907))),설정!$B$58,IF(AND(설정!$A$59&lt;&gt;"",ISNUMBER(SEARCH(설정!$A$59,K907))),설정!$B$59,IF(AND(설정!$A$60&lt;&gt;"",ISNUMBER(SEARCH(설정!$A$60,K907))),설정!$B$60,IF(AND(설정!$A$61&lt;&gt;"",ISNUMBER(SEARCH(설정!$A$61,K907))),설정!$B$61,IF(M907="","설계사","시공사"))))))))),"")</f>
        <v/>
      </c>
      <c r="V907">
        <f>SUBSTITUTE(SUBSTITUTE(SUBSTITUTE(SUBSTITUTE(G907,"(주)",""),"㈜",""),"주식회사","")," ","")</f>
        <v/>
      </c>
      <c r="W907">
        <f>IF(AND(T907,V907&lt;&gt;""),IF(COUNTIFS(V$2:V907,V907,T$2:T907,TRUE)=1,MAX(W$1:W906)+1,""),"")</f>
        <v/>
      </c>
      <c r="X907">
        <f>IF(설정!$C$14="","",IFERROR(INDEX('1.산군_붙여넣기'!$A$1:$AZ$1001,ROW(),설정!$C$14)&amp;"",""))</f>
        <v/>
      </c>
      <c r="Y907">
        <f>IF(설정!$C$15="","",IFERROR(INDEX('1.산군_붙여넣기'!$A$1:$AZ$1001,ROW(),설정!$C$15)&amp;"",""))</f>
        <v/>
      </c>
      <c r="Z907">
        <f>IF(T907,V907&amp;"|"&amp;U907,"")</f>
        <v/>
      </c>
      <c r="AA907">
        <f>IF(NOT(Q907),"",IF(NOT(AND(R907,S907)),"✕",IF(OR(OR(AND(L907&lt;&gt;"",M907&lt;&gt;"",N(M907)-N(L907)&gt;설정!$B$27),AND(L907&lt;&gt;"",M907="",설정!$B$24-N(L907)&gt;설정!$B$27)),AND(D907&lt;&gt;"",D907&lt;설정!$B$26)),"△","★")))</f>
        <v/>
      </c>
      <c r="AB907">
        <f>IF(NOT(T907),"",IF(U907="설계사",설정!$B$31,IF(U907="시공사",IF(OR(M907="",설정!$B$24-N(M907)&lt;=설정!$B$28*30.4),설정!$B$32,설정!$B$33),설정!$B$34))+IF(AA907="★",설정!$B$35,0))</f>
        <v/>
      </c>
      <c r="AC907">
        <f>SUBSTITUTE(SUBSTITUTE(SUBSTITUTE(SUBSTITUTE(H907,"(주)",""),"㈜",""),"주식회사","")," ","")</f>
        <v/>
      </c>
      <c r="AD907">
        <f>IF(AND(T907,AC907&lt;&gt;""),IF(COUNTIFS(AC$2:AC907,AC907,T$2:T907,TRUE)=1,MAX(AD$1:AD906)+1,""),"")</f>
        <v/>
      </c>
    </row>
    <row r="908">
      <c r="A908">
        <f>ROW()</f>
        <v/>
      </c>
      <c r="B908">
        <f>IF(설정!$C$4="","",IFERROR(INDEX('1.산군_붙여넣기'!$A$1:$AZ$1001,ROW(),설정!$C$4)&amp;"",""))</f>
        <v/>
      </c>
      <c r="C908">
        <f>IF(설정!$C$5="","",IFERROR(INDEX('1.산군_붙여넣기'!$A$1:$AZ$1001,ROW(),설정!$C$5)&amp;"",""))</f>
        <v/>
      </c>
      <c r="D908" s="5">
        <f>IFERROR(VALUE(SUBSTITUTE(SUBSTITUTE(SUBSTITUTE(IF(설정!$C$6="","",IFERROR(INDEX('1.산군_붙여넣기'!$A$1:$AZ$1001,ROW(),설정!$C$6)&amp;"","")),",",""),"㎡",""),"m2","")),"")</f>
        <v/>
      </c>
      <c r="E908">
        <f>IF(설정!$C$7="","",IFERROR(INDEX('1.산군_붙여넣기'!$A$1:$AZ$1001,ROW(),설정!$C$7)&amp;"",""))</f>
        <v/>
      </c>
      <c r="F908">
        <f>IF(설정!$C$8="","",IFERROR(INDEX('1.산군_붙여넣기'!$A$1:$AZ$1001,ROW(),설정!$C$8)&amp;"",""))</f>
        <v/>
      </c>
      <c r="G908">
        <f>IF(설정!$C$9="","",IFERROR(INDEX('1.산군_붙여넣기'!$A$1:$AZ$1001,ROW(),설정!$C$9)&amp;"",""))</f>
        <v/>
      </c>
      <c r="H908">
        <f>IF(설정!$C$10="","",IFERROR(INDEX('1.산군_붙여넣기'!$A$1:$AZ$1001,ROW(),설정!$C$10)&amp;"",""))</f>
        <v/>
      </c>
      <c r="I908">
        <f>IF(설정!$C$11="","",IFERROR(INDEX('1.산군_붙여넣기'!$A$1:$AZ$1001,ROW(),설정!$C$11)&amp;"",""))</f>
        <v/>
      </c>
      <c r="J908">
        <f>IF(설정!$C$12="","",IFERROR(INDEX('1.산군_붙여넣기'!$A$1:$AZ$1001,ROW(),설정!$C$12)&amp;"",""))</f>
        <v/>
      </c>
      <c r="K908">
        <f>IF(설정!$C$13="","",IFERROR(INDEX('1.산군_붙여넣기'!$A$1:$AZ$1001,ROW(),설정!$C$13)&amp;"",""))</f>
        <v/>
      </c>
      <c r="L908" s="7">
        <f>IF(X908="","",IF(AND(LEN(X908)=8,ISNUMBER(X908*1)),DATE(LEFT(X908,4),MID(X908,5,2),RIGHT(X908,2)),IFERROR(DATEVALUE(SUBSTITUTE(SUBSTITUTE(X908,".","-"),"/","-")),IFERROR(X908*1,""))))</f>
        <v/>
      </c>
      <c r="M908" s="7">
        <f>IF(Y908="","",IF(AND(LEN(Y908)=8,ISNUMBER(Y908*1)),DATE(LEFT(Y908,4),MID(Y908,5,2),RIGHT(Y908,2)),IFERROR(DATEVALUE(SUBSTITUTE(SUBSTITUTE(Y908,".","-"),"/","-")),IFERROR(Y908*1,""))))</f>
        <v/>
      </c>
      <c r="N908">
        <f>IFERROR(LEFT(B908,FIND(" ",B908)-1),B908)</f>
        <v/>
      </c>
      <c r="O908">
        <f>AND(B908&lt;&gt;"",B908&lt;&gt;설정!$B$4,C908&lt;&gt;설정!$B$5)</f>
        <v/>
      </c>
      <c r="P908">
        <f>IF(O908,B908&amp;"|"&amp;C908,"")</f>
        <v/>
      </c>
      <c r="Q908">
        <f>AND(O908,COUNTIF(P909:P$1002,P908)=0)</f>
        <v/>
      </c>
      <c r="R908">
        <f>OR(AND(설정!$A$42&lt;&gt;"",ISNUMBER(SEARCH(설정!$A$42,E908&amp;" "&amp;C908))),AND(설정!$A$43&lt;&gt;"",ISNUMBER(SEARCH(설정!$A$43,E908&amp;" "&amp;C908))),AND(설정!$A$44&lt;&gt;"",ISNUMBER(SEARCH(설정!$A$44,E908&amp;" "&amp;C908))),AND(설정!$A$45&lt;&gt;"",ISNUMBER(SEARCH(설정!$A$45,E908&amp;" "&amp;C908))),AND(설정!$A$46&lt;&gt;"",ISNUMBER(SEARCH(설정!$A$46,E908&amp;" "&amp;C908))),AND(설정!$A$47&lt;&gt;"",ISNUMBER(SEARCH(설정!$A$47,E908&amp;" "&amp;C908))),AND(설정!$A$48&lt;&gt;"",ISNUMBER(SEARCH(설정!$A$48,E908&amp;" "&amp;C908))),AND(설정!$A$49&lt;&gt;"",ISNUMBER(SEARCH(설정!$A$49,E908&amp;" "&amp;C908))),AND(설정!$A$50&lt;&gt;"",ISNUMBER(SEARCH(설정!$A$50,E908&amp;" "&amp;C908))),AND(설정!$A$51&lt;&gt;"",ISNUMBER(SEARCH(설정!$A$51,E908&amp;" "&amp;C908))))</f>
        <v/>
      </c>
      <c r="S908">
        <f>OR(D908="",D908&gt;=설정!$B$19)</f>
        <v/>
      </c>
      <c r="T908">
        <f>AND(Q908,R908,S908)</f>
        <v/>
      </c>
      <c r="U908">
        <f>IF(T908,IF(AND(설정!$A$54&lt;&gt;"",ISNUMBER(SEARCH(설정!$A$54,K908))),설정!$B$54,IF(AND(설정!$A$55&lt;&gt;"",ISNUMBER(SEARCH(설정!$A$55,K908))),설정!$B$55,IF(AND(설정!$A$56&lt;&gt;"",ISNUMBER(SEARCH(설정!$A$56,K908))),설정!$B$56,IF(AND(설정!$A$57&lt;&gt;"",ISNUMBER(SEARCH(설정!$A$57,K908))),설정!$B$57,IF(AND(설정!$A$58&lt;&gt;"",ISNUMBER(SEARCH(설정!$A$58,K908))),설정!$B$58,IF(AND(설정!$A$59&lt;&gt;"",ISNUMBER(SEARCH(설정!$A$59,K908))),설정!$B$59,IF(AND(설정!$A$60&lt;&gt;"",ISNUMBER(SEARCH(설정!$A$60,K908))),설정!$B$60,IF(AND(설정!$A$61&lt;&gt;"",ISNUMBER(SEARCH(설정!$A$61,K908))),설정!$B$61,IF(M908="","설계사","시공사"))))))))),"")</f>
        <v/>
      </c>
      <c r="V908">
        <f>SUBSTITUTE(SUBSTITUTE(SUBSTITUTE(SUBSTITUTE(G908,"(주)",""),"㈜",""),"주식회사","")," ","")</f>
        <v/>
      </c>
      <c r="W908">
        <f>IF(AND(T908,V908&lt;&gt;""),IF(COUNTIFS(V$2:V908,V908,T$2:T908,TRUE)=1,MAX(W$1:W907)+1,""),"")</f>
        <v/>
      </c>
      <c r="X908">
        <f>IF(설정!$C$14="","",IFERROR(INDEX('1.산군_붙여넣기'!$A$1:$AZ$1001,ROW(),설정!$C$14)&amp;"",""))</f>
        <v/>
      </c>
      <c r="Y908">
        <f>IF(설정!$C$15="","",IFERROR(INDEX('1.산군_붙여넣기'!$A$1:$AZ$1001,ROW(),설정!$C$15)&amp;"",""))</f>
        <v/>
      </c>
      <c r="Z908">
        <f>IF(T908,V908&amp;"|"&amp;U908,"")</f>
        <v/>
      </c>
      <c r="AA908">
        <f>IF(NOT(Q908),"",IF(NOT(AND(R908,S908)),"✕",IF(OR(OR(AND(L908&lt;&gt;"",M908&lt;&gt;"",N(M908)-N(L908)&gt;설정!$B$27),AND(L908&lt;&gt;"",M908="",설정!$B$24-N(L908)&gt;설정!$B$27)),AND(D908&lt;&gt;"",D908&lt;설정!$B$26)),"△","★")))</f>
        <v/>
      </c>
      <c r="AB908">
        <f>IF(NOT(T908),"",IF(U908="설계사",설정!$B$31,IF(U908="시공사",IF(OR(M908="",설정!$B$24-N(M908)&lt;=설정!$B$28*30.4),설정!$B$32,설정!$B$33),설정!$B$34))+IF(AA908="★",설정!$B$35,0))</f>
        <v/>
      </c>
      <c r="AC908">
        <f>SUBSTITUTE(SUBSTITUTE(SUBSTITUTE(SUBSTITUTE(H908,"(주)",""),"㈜",""),"주식회사","")," ","")</f>
        <v/>
      </c>
      <c r="AD908">
        <f>IF(AND(T908,AC908&lt;&gt;""),IF(COUNTIFS(AC$2:AC908,AC908,T$2:T908,TRUE)=1,MAX(AD$1:AD907)+1,""),"")</f>
        <v/>
      </c>
    </row>
    <row r="909">
      <c r="A909">
        <f>ROW()</f>
        <v/>
      </c>
      <c r="B909">
        <f>IF(설정!$C$4="","",IFERROR(INDEX('1.산군_붙여넣기'!$A$1:$AZ$1001,ROW(),설정!$C$4)&amp;"",""))</f>
        <v/>
      </c>
      <c r="C909">
        <f>IF(설정!$C$5="","",IFERROR(INDEX('1.산군_붙여넣기'!$A$1:$AZ$1001,ROW(),설정!$C$5)&amp;"",""))</f>
        <v/>
      </c>
      <c r="D909" s="5">
        <f>IFERROR(VALUE(SUBSTITUTE(SUBSTITUTE(SUBSTITUTE(IF(설정!$C$6="","",IFERROR(INDEX('1.산군_붙여넣기'!$A$1:$AZ$1001,ROW(),설정!$C$6)&amp;"","")),",",""),"㎡",""),"m2","")),"")</f>
        <v/>
      </c>
      <c r="E909">
        <f>IF(설정!$C$7="","",IFERROR(INDEX('1.산군_붙여넣기'!$A$1:$AZ$1001,ROW(),설정!$C$7)&amp;"",""))</f>
        <v/>
      </c>
      <c r="F909">
        <f>IF(설정!$C$8="","",IFERROR(INDEX('1.산군_붙여넣기'!$A$1:$AZ$1001,ROW(),설정!$C$8)&amp;"",""))</f>
        <v/>
      </c>
      <c r="G909">
        <f>IF(설정!$C$9="","",IFERROR(INDEX('1.산군_붙여넣기'!$A$1:$AZ$1001,ROW(),설정!$C$9)&amp;"",""))</f>
        <v/>
      </c>
      <c r="H909">
        <f>IF(설정!$C$10="","",IFERROR(INDEX('1.산군_붙여넣기'!$A$1:$AZ$1001,ROW(),설정!$C$10)&amp;"",""))</f>
        <v/>
      </c>
      <c r="I909">
        <f>IF(설정!$C$11="","",IFERROR(INDEX('1.산군_붙여넣기'!$A$1:$AZ$1001,ROW(),설정!$C$11)&amp;"",""))</f>
        <v/>
      </c>
      <c r="J909">
        <f>IF(설정!$C$12="","",IFERROR(INDEX('1.산군_붙여넣기'!$A$1:$AZ$1001,ROW(),설정!$C$12)&amp;"",""))</f>
        <v/>
      </c>
      <c r="K909">
        <f>IF(설정!$C$13="","",IFERROR(INDEX('1.산군_붙여넣기'!$A$1:$AZ$1001,ROW(),설정!$C$13)&amp;"",""))</f>
        <v/>
      </c>
      <c r="L909" s="7">
        <f>IF(X909="","",IF(AND(LEN(X909)=8,ISNUMBER(X909*1)),DATE(LEFT(X909,4),MID(X909,5,2),RIGHT(X909,2)),IFERROR(DATEVALUE(SUBSTITUTE(SUBSTITUTE(X909,".","-"),"/","-")),IFERROR(X909*1,""))))</f>
        <v/>
      </c>
      <c r="M909" s="7">
        <f>IF(Y909="","",IF(AND(LEN(Y909)=8,ISNUMBER(Y909*1)),DATE(LEFT(Y909,4),MID(Y909,5,2),RIGHT(Y909,2)),IFERROR(DATEVALUE(SUBSTITUTE(SUBSTITUTE(Y909,".","-"),"/","-")),IFERROR(Y909*1,""))))</f>
        <v/>
      </c>
      <c r="N909">
        <f>IFERROR(LEFT(B909,FIND(" ",B909)-1),B909)</f>
        <v/>
      </c>
      <c r="O909">
        <f>AND(B909&lt;&gt;"",B909&lt;&gt;설정!$B$4,C909&lt;&gt;설정!$B$5)</f>
        <v/>
      </c>
      <c r="P909">
        <f>IF(O909,B909&amp;"|"&amp;C909,"")</f>
        <v/>
      </c>
      <c r="Q909">
        <f>AND(O909,COUNTIF(P910:P$1002,P909)=0)</f>
        <v/>
      </c>
      <c r="R909">
        <f>OR(AND(설정!$A$42&lt;&gt;"",ISNUMBER(SEARCH(설정!$A$42,E909&amp;" "&amp;C909))),AND(설정!$A$43&lt;&gt;"",ISNUMBER(SEARCH(설정!$A$43,E909&amp;" "&amp;C909))),AND(설정!$A$44&lt;&gt;"",ISNUMBER(SEARCH(설정!$A$44,E909&amp;" "&amp;C909))),AND(설정!$A$45&lt;&gt;"",ISNUMBER(SEARCH(설정!$A$45,E909&amp;" "&amp;C909))),AND(설정!$A$46&lt;&gt;"",ISNUMBER(SEARCH(설정!$A$46,E909&amp;" "&amp;C909))),AND(설정!$A$47&lt;&gt;"",ISNUMBER(SEARCH(설정!$A$47,E909&amp;" "&amp;C909))),AND(설정!$A$48&lt;&gt;"",ISNUMBER(SEARCH(설정!$A$48,E909&amp;" "&amp;C909))),AND(설정!$A$49&lt;&gt;"",ISNUMBER(SEARCH(설정!$A$49,E909&amp;" "&amp;C909))),AND(설정!$A$50&lt;&gt;"",ISNUMBER(SEARCH(설정!$A$50,E909&amp;" "&amp;C909))),AND(설정!$A$51&lt;&gt;"",ISNUMBER(SEARCH(설정!$A$51,E909&amp;" "&amp;C909))))</f>
        <v/>
      </c>
      <c r="S909">
        <f>OR(D909="",D909&gt;=설정!$B$19)</f>
        <v/>
      </c>
      <c r="T909">
        <f>AND(Q909,R909,S909)</f>
        <v/>
      </c>
      <c r="U909">
        <f>IF(T909,IF(AND(설정!$A$54&lt;&gt;"",ISNUMBER(SEARCH(설정!$A$54,K909))),설정!$B$54,IF(AND(설정!$A$55&lt;&gt;"",ISNUMBER(SEARCH(설정!$A$55,K909))),설정!$B$55,IF(AND(설정!$A$56&lt;&gt;"",ISNUMBER(SEARCH(설정!$A$56,K909))),설정!$B$56,IF(AND(설정!$A$57&lt;&gt;"",ISNUMBER(SEARCH(설정!$A$57,K909))),설정!$B$57,IF(AND(설정!$A$58&lt;&gt;"",ISNUMBER(SEARCH(설정!$A$58,K909))),설정!$B$58,IF(AND(설정!$A$59&lt;&gt;"",ISNUMBER(SEARCH(설정!$A$59,K909))),설정!$B$59,IF(AND(설정!$A$60&lt;&gt;"",ISNUMBER(SEARCH(설정!$A$60,K909))),설정!$B$60,IF(AND(설정!$A$61&lt;&gt;"",ISNUMBER(SEARCH(설정!$A$61,K909))),설정!$B$61,IF(M909="","설계사","시공사"))))))))),"")</f>
        <v/>
      </c>
      <c r="V909">
        <f>SUBSTITUTE(SUBSTITUTE(SUBSTITUTE(SUBSTITUTE(G909,"(주)",""),"㈜",""),"주식회사","")," ","")</f>
        <v/>
      </c>
      <c r="W909">
        <f>IF(AND(T909,V909&lt;&gt;""),IF(COUNTIFS(V$2:V909,V909,T$2:T909,TRUE)=1,MAX(W$1:W908)+1,""),"")</f>
        <v/>
      </c>
      <c r="X909">
        <f>IF(설정!$C$14="","",IFERROR(INDEX('1.산군_붙여넣기'!$A$1:$AZ$1001,ROW(),설정!$C$14)&amp;"",""))</f>
        <v/>
      </c>
      <c r="Y909">
        <f>IF(설정!$C$15="","",IFERROR(INDEX('1.산군_붙여넣기'!$A$1:$AZ$1001,ROW(),설정!$C$15)&amp;"",""))</f>
        <v/>
      </c>
      <c r="Z909">
        <f>IF(T909,V909&amp;"|"&amp;U909,"")</f>
        <v/>
      </c>
      <c r="AA909">
        <f>IF(NOT(Q909),"",IF(NOT(AND(R909,S909)),"✕",IF(OR(OR(AND(L909&lt;&gt;"",M909&lt;&gt;"",N(M909)-N(L909)&gt;설정!$B$27),AND(L909&lt;&gt;"",M909="",설정!$B$24-N(L909)&gt;설정!$B$27)),AND(D909&lt;&gt;"",D909&lt;설정!$B$26)),"△","★")))</f>
        <v/>
      </c>
      <c r="AB909">
        <f>IF(NOT(T909),"",IF(U909="설계사",설정!$B$31,IF(U909="시공사",IF(OR(M909="",설정!$B$24-N(M909)&lt;=설정!$B$28*30.4),설정!$B$32,설정!$B$33),설정!$B$34))+IF(AA909="★",설정!$B$35,0))</f>
        <v/>
      </c>
      <c r="AC909">
        <f>SUBSTITUTE(SUBSTITUTE(SUBSTITUTE(SUBSTITUTE(H909,"(주)",""),"㈜",""),"주식회사","")," ","")</f>
        <v/>
      </c>
      <c r="AD909">
        <f>IF(AND(T909,AC909&lt;&gt;""),IF(COUNTIFS(AC$2:AC909,AC909,T$2:T909,TRUE)=1,MAX(AD$1:AD908)+1,""),"")</f>
        <v/>
      </c>
    </row>
    <row r="910">
      <c r="A910">
        <f>ROW()</f>
        <v/>
      </c>
      <c r="B910">
        <f>IF(설정!$C$4="","",IFERROR(INDEX('1.산군_붙여넣기'!$A$1:$AZ$1001,ROW(),설정!$C$4)&amp;"",""))</f>
        <v/>
      </c>
      <c r="C910">
        <f>IF(설정!$C$5="","",IFERROR(INDEX('1.산군_붙여넣기'!$A$1:$AZ$1001,ROW(),설정!$C$5)&amp;"",""))</f>
        <v/>
      </c>
      <c r="D910" s="5">
        <f>IFERROR(VALUE(SUBSTITUTE(SUBSTITUTE(SUBSTITUTE(IF(설정!$C$6="","",IFERROR(INDEX('1.산군_붙여넣기'!$A$1:$AZ$1001,ROW(),설정!$C$6)&amp;"","")),",",""),"㎡",""),"m2","")),"")</f>
        <v/>
      </c>
      <c r="E910">
        <f>IF(설정!$C$7="","",IFERROR(INDEX('1.산군_붙여넣기'!$A$1:$AZ$1001,ROW(),설정!$C$7)&amp;"",""))</f>
        <v/>
      </c>
      <c r="F910">
        <f>IF(설정!$C$8="","",IFERROR(INDEX('1.산군_붙여넣기'!$A$1:$AZ$1001,ROW(),설정!$C$8)&amp;"",""))</f>
        <v/>
      </c>
      <c r="G910">
        <f>IF(설정!$C$9="","",IFERROR(INDEX('1.산군_붙여넣기'!$A$1:$AZ$1001,ROW(),설정!$C$9)&amp;"",""))</f>
        <v/>
      </c>
      <c r="H910">
        <f>IF(설정!$C$10="","",IFERROR(INDEX('1.산군_붙여넣기'!$A$1:$AZ$1001,ROW(),설정!$C$10)&amp;"",""))</f>
        <v/>
      </c>
      <c r="I910">
        <f>IF(설정!$C$11="","",IFERROR(INDEX('1.산군_붙여넣기'!$A$1:$AZ$1001,ROW(),설정!$C$11)&amp;"",""))</f>
        <v/>
      </c>
      <c r="J910">
        <f>IF(설정!$C$12="","",IFERROR(INDEX('1.산군_붙여넣기'!$A$1:$AZ$1001,ROW(),설정!$C$12)&amp;"",""))</f>
        <v/>
      </c>
      <c r="K910">
        <f>IF(설정!$C$13="","",IFERROR(INDEX('1.산군_붙여넣기'!$A$1:$AZ$1001,ROW(),설정!$C$13)&amp;"",""))</f>
        <v/>
      </c>
      <c r="L910" s="7">
        <f>IF(X910="","",IF(AND(LEN(X910)=8,ISNUMBER(X910*1)),DATE(LEFT(X910,4),MID(X910,5,2),RIGHT(X910,2)),IFERROR(DATEVALUE(SUBSTITUTE(SUBSTITUTE(X910,".","-"),"/","-")),IFERROR(X910*1,""))))</f>
        <v/>
      </c>
      <c r="M910" s="7">
        <f>IF(Y910="","",IF(AND(LEN(Y910)=8,ISNUMBER(Y910*1)),DATE(LEFT(Y910,4),MID(Y910,5,2),RIGHT(Y910,2)),IFERROR(DATEVALUE(SUBSTITUTE(SUBSTITUTE(Y910,".","-"),"/","-")),IFERROR(Y910*1,""))))</f>
        <v/>
      </c>
      <c r="N910">
        <f>IFERROR(LEFT(B910,FIND(" ",B910)-1),B910)</f>
        <v/>
      </c>
      <c r="O910">
        <f>AND(B910&lt;&gt;"",B910&lt;&gt;설정!$B$4,C910&lt;&gt;설정!$B$5)</f>
        <v/>
      </c>
      <c r="P910">
        <f>IF(O910,B910&amp;"|"&amp;C910,"")</f>
        <v/>
      </c>
      <c r="Q910">
        <f>AND(O910,COUNTIF(P911:P$1002,P910)=0)</f>
        <v/>
      </c>
      <c r="R910">
        <f>OR(AND(설정!$A$42&lt;&gt;"",ISNUMBER(SEARCH(설정!$A$42,E910&amp;" "&amp;C910))),AND(설정!$A$43&lt;&gt;"",ISNUMBER(SEARCH(설정!$A$43,E910&amp;" "&amp;C910))),AND(설정!$A$44&lt;&gt;"",ISNUMBER(SEARCH(설정!$A$44,E910&amp;" "&amp;C910))),AND(설정!$A$45&lt;&gt;"",ISNUMBER(SEARCH(설정!$A$45,E910&amp;" "&amp;C910))),AND(설정!$A$46&lt;&gt;"",ISNUMBER(SEARCH(설정!$A$46,E910&amp;" "&amp;C910))),AND(설정!$A$47&lt;&gt;"",ISNUMBER(SEARCH(설정!$A$47,E910&amp;" "&amp;C910))),AND(설정!$A$48&lt;&gt;"",ISNUMBER(SEARCH(설정!$A$48,E910&amp;" "&amp;C910))),AND(설정!$A$49&lt;&gt;"",ISNUMBER(SEARCH(설정!$A$49,E910&amp;" "&amp;C910))),AND(설정!$A$50&lt;&gt;"",ISNUMBER(SEARCH(설정!$A$50,E910&amp;" "&amp;C910))),AND(설정!$A$51&lt;&gt;"",ISNUMBER(SEARCH(설정!$A$51,E910&amp;" "&amp;C910))))</f>
        <v/>
      </c>
      <c r="S910">
        <f>OR(D910="",D910&gt;=설정!$B$19)</f>
        <v/>
      </c>
      <c r="T910">
        <f>AND(Q910,R910,S910)</f>
        <v/>
      </c>
      <c r="U910">
        <f>IF(T910,IF(AND(설정!$A$54&lt;&gt;"",ISNUMBER(SEARCH(설정!$A$54,K910))),설정!$B$54,IF(AND(설정!$A$55&lt;&gt;"",ISNUMBER(SEARCH(설정!$A$55,K910))),설정!$B$55,IF(AND(설정!$A$56&lt;&gt;"",ISNUMBER(SEARCH(설정!$A$56,K910))),설정!$B$56,IF(AND(설정!$A$57&lt;&gt;"",ISNUMBER(SEARCH(설정!$A$57,K910))),설정!$B$57,IF(AND(설정!$A$58&lt;&gt;"",ISNUMBER(SEARCH(설정!$A$58,K910))),설정!$B$58,IF(AND(설정!$A$59&lt;&gt;"",ISNUMBER(SEARCH(설정!$A$59,K910))),설정!$B$59,IF(AND(설정!$A$60&lt;&gt;"",ISNUMBER(SEARCH(설정!$A$60,K910))),설정!$B$60,IF(AND(설정!$A$61&lt;&gt;"",ISNUMBER(SEARCH(설정!$A$61,K910))),설정!$B$61,IF(M910="","설계사","시공사"))))))))),"")</f>
        <v/>
      </c>
      <c r="V910">
        <f>SUBSTITUTE(SUBSTITUTE(SUBSTITUTE(SUBSTITUTE(G910,"(주)",""),"㈜",""),"주식회사","")," ","")</f>
        <v/>
      </c>
      <c r="W910">
        <f>IF(AND(T910,V910&lt;&gt;""),IF(COUNTIFS(V$2:V910,V910,T$2:T910,TRUE)=1,MAX(W$1:W909)+1,""),"")</f>
        <v/>
      </c>
      <c r="X910">
        <f>IF(설정!$C$14="","",IFERROR(INDEX('1.산군_붙여넣기'!$A$1:$AZ$1001,ROW(),설정!$C$14)&amp;"",""))</f>
        <v/>
      </c>
      <c r="Y910">
        <f>IF(설정!$C$15="","",IFERROR(INDEX('1.산군_붙여넣기'!$A$1:$AZ$1001,ROW(),설정!$C$15)&amp;"",""))</f>
        <v/>
      </c>
      <c r="Z910">
        <f>IF(T910,V910&amp;"|"&amp;U910,"")</f>
        <v/>
      </c>
      <c r="AA910">
        <f>IF(NOT(Q910),"",IF(NOT(AND(R910,S910)),"✕",IF(OR(OR(AND(L910&lt;&gt;"",M910&lt;&gt;"",N(M910)-N(L910)&gt;설정!$B$27),AND(L910&lt;&gt;"",M910="",설정!$B$24-N(L910)&gt;설정!$B$27)),AND(D910&lt;&gt;"",D910&lt;설정!$B$26)),"△","★")))</f>
        <v/>
      </c>
      <c r="AB910">
        <f>IF(NOT(T910),"",IF(U910="설계사",설정!$B$31,IF(U910="시공사",IF(OR(M910="",설정!$B$24-N(M910)&lt;=설정!$B$28*30.4),설정!$B$32,설정!$B$33),설정!$B$34))+IF(AA910="★",설정!$B$35,0))</f>
        <v/>
      </c>
      <c r="AC910">
        <f>SUBSTITUTE(SUBSTITUTE(SUBSTITUTE(SUBSTITUTE(H910,"(주)",""),"㈜",""),"주식회사","")," ","")</f>
        <v/>
      </c>
      <c r="AD910">
        <f>IF(AND(T910,AC910&lt;&gt;""),IF(COUNTIFS(AC$2:AC910,AC910,T$2:T910,TRUE)=1,MAX(AD$1:AD909)+1,""),"")</f>
        <v/>
      </c>
    </row>
    <row r="911">
      <c r="A911">
        <f>ROW()</f>
        <v/>
      </c>
      <c r="B911">
        <f>IF(설정!$C$4="","",IFERROR(INDEX('1.산군_붙여넣기'!$A$1:$AZ$1001,ROW(),설정!$C$4)&amp;"",""))</f>
        <v/>
      </c>
      <c r="C911">
        <f>IF(설정!$C$5="","",IFERROR(INDEX('1.산군_붙여넣기'!$A$1:$AZ$1001,ROW(),설정!$C$5)&amp;"",""))</f>
        <v/>
      </c>
      <c r="D911" s="5">
        <f>IFERROR(VALUE(SUBSTITUTE(SUBSTITUTE(SUBSTITUTE(IF(설정!$C$6="","",IFERROR(INDEX('1.산군_붙여넣기'!$A$1:$AZ$1001,ROW(),설정!$C$6)&amp;"","")),",",""),"㎡",""),"m2","")),"")</f>
        <v/>
      </c>
      <c r="E911">
        <f>IF(설정!$C$7="","",IFERROR(INDEX('1.산군_붙여넣기'!$A$1:$AZ$1001,ROW(),설정!$C$7)&amp;"",""))</f>
        <v/>
      </c>
      <c r="F911">
        <f>IF(설정!$C$8="","",IFERROR(INDEX('1.산군_붙여넣기'!$A$1:$AZ$1001,ROW(),설정!$C$8)&amp;"",""))</f>
        <v/>
      </c>
      <c r="G911">
        <f>IF(설정!$C$9="","",IFERROR(INDEX('1.산군_붙여넣기'!$A$1:$AZ$1001,ROW(),설정!$C$9)&amp;"",""))</f>
        <v/>
      </c>
      <c r="H911">
        <f>IF(설정!$C$10="","",IFERROR(INDEX('1.산군_붙여넣기'!$A$1:$AZ$1001,ROW(),설정!$C$10)&amp;"",""))</f>
        <v/>
      </c>
      <c r="I911">
        <f>IF(설정!$C$11="","",IFERROR(INDEX('1.산군_붙여넣기'!$A$1:$AZ$1001,ROW(),설정!$C$11)&amp;"",""))</f>
        <v/>
      </c>
      <c r="J911">
        <f>IF(설정!$C$12="","",IFERROR(INDEX('1.산군_붙여넣기'!$A$1:$AZ$1001,ROW(),설정!$C$12)&amp;"",""))</f>
        <v/>
      </c>
      <c r="K911">
        <f>IF(설정!$C$13="","",IFERROR(INDEX('1.산군_붙여넣기'!$A$1:$AZ$1001,ROW(),설정!$C$13)&amp;"",""))</f>
        <v/>
      </c>
      <c r="L911" s="7">
        <f>IF(X911="","",IF(AND(LEN(X911)=8,ISNUMBER(X911*1)),DATE(LEFT(X911,4),MID(X911,5,2),RIGHT(X911,2)),IFERROR(DATEVALUE(SUBSTITUTE(SUBSTITUTE(X911,".","-"),"/","-")),IFERROR(X911*1,""))))</f>
        <v/>
      </c>
      <c r="M911" s="7">
        <f>IF(Y911="","",IF(AND(LEN(Y911)=8,ISNUMBER(Y911*1)),DATE(LEFT(Y911,4),MID(Y911,5,2),RIGHT(Y911,2)),IFERROR(DATEVALUE(SUBSTITUTE(SUBSTITUTE(Y911,".","-"),"/","-")),IFERROR(Y911*1,""))))</f>
        <v/>
      </c>
      <c r="N911">
        <f>IFERROR(LEFT(B911,FIND(" ",B911)-1),B911)</f>
        <v/>
      </c>
      <c r="O911">
        <f>AND(B911&lt;&gt;"",B911&lt;&gt;설정!$B$4,C911&lt;&gt;설정!$B$5)</f>
        <v/>
      </c>
      <c r="P911">
        <f>IF(O911,B911&amp;"|"&amp;C911,"")</f>
        <v/>
      </c>
      <c r="Q911">
        <f>AND(O911,COUNTIF(P912:P$1002,P911)=0)</f>
        <v/>
      </c>
      <c r="R911">
        <f>OR(AND(설정!$A$42&lt;&gt;"",ISNUMBER(SEARCH(설정!$A$42,E911&amp;" "&amp;C911))),AND(설정!$A$43&lt;&gt;"",ISNUMBER(SEARCH(설정!$A$43,E911&amp;" "&amp;C911))),AND(설정!$A$44&lt;&gt;"",ISNUMBER(SEARCH(설정!$A$44,E911&amp;" "&amp;C911))),AND(설정!$A$45&lt;&gt;"",ISNUMBER(SEARCH(설정!$A$45,E911&amp;" "&amp;C911))),AND(설정!$A$46&lt;&gt;"",ISNUMBER(SEARCH(설정!$A$46,E911&amp;" "&amp;C911))),AND(설정!$A$47&lt;&gt;"",ISNUMBER(SEARCH(설정!$A$47,E911&amp;" "&amp;C911))),AND(설정!$A$48&lt;&gt;"",ISNUMBER(SEARCH(설정!$A$48,E911&amp;" "&amp;C911))),AND(설정!$A$49&lt;&gt;"",ISNUMBER(SEARCH(설정!$A$49,E911&amp;" "&amp;C911))),AND(설정!$A$50&lt;&gt;"",ISNUMBER(SEARCH(설정!$A$50,E911&amp;" "&amp;C911))),AND(설정!$A$51&lt;&gt;"",ISNUMBER(SEARCH(설정!$A$51,E911&amp;" "&amp;C911))))</f>
        <v/>
      </c>
      <c r="S911">
        <f>OR(D911="",D911&gt;=설정!$B$19)</f>
        <v/>
      </c>
      <c r="T911">
        <f>AND(Q911,R911,S911)</f>
        <v/>
      </c>
      <c r="U911">
        <f>IF(T911,IF(AND(설정!$A$54&lt;&gt;"",ISNUMBER(SEARCH(설정!$A$54,K911))),설정!$B$54,IF(AND(설정!$A$55&lt;&gt;"",ISNUMBER(SEARCH(설정!$A$55,K911))),설정!$B$55,IF(AND(설정!$A$56&lt;&gt;"",ISNUMBER(SEARCH(설정!$A$56,K911))),설정!$B$56,IF(AND(설정!$A$57&lt;&gt;"",ISNUMBER(SEARCH(설정!$A$57,K911))),설정!$B$57,IF(AND(설정!$A$58&lt;&gt;"",ISNUMBER(SEARCH(설정!$A$58,K911))),설정!$B$58,IF(AND(설정!$A$59&lt;&gt;"",ISNUMBER(SEARCH(설정!$A$59,K911))),설정!$B$59,IF(AND(설정!$A$60&lt;&gt;"",ISNUMBER(SEARCH(설정!$A$60,K911))),설정!$B$60,IF(AND(설정!$A$61&lt;&gt;"",ISNUMBER(SEARCH(설정!$A$61,K911))),설정!$B$61,IF(M911="","설계사","시공사"))))))))),"")</f>
        <v/>
      </c>
      <c r="V911">
        <f>SUBSTITUTE(SUBSTITUTE(SUBSTITUTE(SUBSTITUTE(G911,"(주)",""),"㈜",""),"주식회사","")," ","")</f>
        <v/>
      </c>
      <c r="W911">
        <f>IF(AND(T911,V911&lt;&gt;""),IF(COUNTIFS(V$2:V911,V911,T$2:T911,TRUE)=1,MAX(W$1:W910)+1,""),"")</f>
        <v/>
      </c>
      <c r="X911">
        <f>IF(설정!$C$14="","",IFERROR(INDEX('1.산군_붙여넣기'!$A$1:$AZ$1001,ROW(),설정!$C$14)&amp;"",""))</f>
        <v/>
      </c>
      <c r="Y911">
        <f>IF(설정!$C$15="","",IFERROR(INDEX('1.산군_붙여넣기'!$A$1:$AZ$1001,ROW(),설정!$C$15)&amp;"",""))</f>
        <v/>
      </c>
      <c r="Z911">
        <f>IF(T911,V911&amp;"|"&amp;U911,"")</f>
        <v/>
      </c>
      <c r="AA911">
        <f>IF(NOT(Q911),"",IF(NOT(AND(R911,S911)),"✕",IF(OR(OR(AND(L911&lt;&gt;"",M911&lt;&gt;"",N(M911)-N(L911)&gt;설정!$B$27),AND(L911&lt;&gt;"",M911="",설정!$B$24-N(L911)&gt;설정!$B$27)),AND(D911&lt;&gt;"",D911&lt;설정!$B$26)),"△","★")))</f>
        <v/>
      </c>
      <c r="AB911">
        <f>IF(NOT(T911),"",IF(U911="설계사",설정!$B$31,IF(U911="시공사",IF(OR(M911="",설정!$B$24-N(M911)&lt;=설정!$B$28*30.4),설정!$B$32,설정!$B$33),설정!$B$34))+IF(AA911="★",설정!$B$35,0))</f>
        <v/>
      </c>
      <c r="AC911">
        <f>SUBSTITUTE(SUBSTITUTE(SUBSTITUTE(SUBSTITUTE(H911,"(주)",""),"㈜",""),"주식회사","")," ","")</f>
        <v/>
      </c>
      <c r="AD911">
        <f>IF(AND(T911,AC911&lt;&gt;""),IF(COUNTIFS(AC$2:AC911,AC911,T$2:T911,TRUE)=1,MAX(AD$1:AD910)+1,""),"")</f>
        <v/>
      </c>
    </row>
    <row r="912">
      <c r="A912">
        <f>ROW()</f>
        <v/>
      </c>
      <c r="B912">
        <f>IF(설정!$C$4="","",IFERROR(INDEX('1.산군_붙여넣기'!$A$1:$AZ$1001,ROW(),설정!$C$4)&amp;"",""))</f>
        <v/>
      </c>
      <c r="C912">
        <f>IF(설정!$C$5="","",IFERROR(INDEX('1.산군_붙여넣기'!$A$1:$AZ$1001,ROW(),설정!$C$5)&amp;"",""))</f>
        <v/>
      </c>
      <c r="D912" s="5">
        <f>IFERROR(VALUE(SUBSTITUTE(SUBSTITUTE(SUBSTITUTE(IF(설정!$C$6="","",IFERROR(INDEX('1.산군_붙여넣기'!$A$1:$AZ$1001,ROW(),설정!$C$6)&amp;"","")),",",""),"㎡",""),"m2","")),"")</f>
        <v/>
      </c>
      <c r="E912">
        <f>IF(설정!$C$7="","",IFERROR(INDEX('1.산군_붙여넣기'!$A$1:$AZ$1001,ROW(),설정!$C$7)&amp;"",""))</f>
        <v/>
      </c>
      <c r="F912">
        <f>IF(설정!$C$8="","",IFERROR(INDEX('1.산군_붙여넣기'!$A$1:$AZ$1001,ROW(),설정!$C$8)&amp;"",""))</f>
        <v/>
      </c>
      <c r="G912">
        <f>IF(설정!$C$9="","",IFERROR(INDEX('1.산군_붙여넣기'!$A$1:$AZ$1001,ROW(),설정!$C$9)&amp;"",""))</f>
        <v/>
      </c>
      <c r="H912">
        <f>IF(설정!$C$10="","",IFERROR(INDEX('1.산군_붙여넣기'!$A$1:$AZ$1001,ROW(),설정!$C$10)&amp;"",""))</f>
        <v/>
      </c>
      <c r="I912">
        <f>IF(설정!$C$11="","",IFERROR(INDEX('1.산군_붙여넣기'!$A$1:$AZ$1001,ROW(),설정!$C$11)&amp;"",""))</f>
        <v/>
      </c>
      <c r="J912">
        <f>IF(설정!$C$12="","",IFERROR(INDEX('1.산군_붙여넣기'!$A$1:$AZ$1001,ROW(),설정!$C$12)&amp;"",""))</f>
        <v/>
      </c>
      <c r="K912">
        <f>IF(설정!$C$13="","",IFERROR(INDEX('1.산군_붙여넣기'!$A$1:$AZ$1001,ROW(),설정!$C$13)&amp;"",""))</f>
        <v/>
      </c>
      <c r="L912" s="7">
        <f>IF(X912="","",IF(AND(LEN(X912)=8,ISNUMBER(X912*1)),DATE(LEFT(X912,4),MID(X912,5,2),RIGHT(X912,2)),IFERROR(DATEVALUE(SUBSTITUTE(SUBSTITUTE(X912,".","-"),"/","-")),IFERROR(X912*1,""))))</f>
        <v/>
      </c>
      <c r="M912" s="7">
        <f>IF(Y912="","",IF(AND(LEN(Y912)=8,ISNUMBER(Y912*1)),DATE(LEFT(Y912,4),MID(Y912,5,2),RIGHT(Y912,2)),IFERROR(DATEVALUE(SUBSTITUTE(SUBSTITUTE(Y912,".","-"),"/","-")),IFERROR(Y912*1,""))))</f>
        <v/>
      </c>
      <c r="N912">
        <f>IFERROR(LEFT(B912,FIND(" ",B912)-1),B912)</f>
        <v/>
      </c>
      <c r="O912">
        <f>AND(B912&lt;&gt;"",B912&lt;&gt;설정!$B$4,C912&lt;&gt;설정!$B$5)</f>
        <v/>
      </c>
      <c r="P912">
        <f>IF(O912,B912&amp;"|"&amp;C912,"")</f>
        <v/>
      </c>
      <c r="Q912">
        <f>AND(O912,COUNTIF(P913:P$1002,P912)=0)</f>
        <v/>
      </c>
      <c r="R912">
        <f>OR(AND(설정!$A$42&lt;&gt;"",ISNUMBER(SEARCH(설정!$A$42,E912&amp;" "&amp;C912))),AND(설정!$A$43&lt;&gt;"",ISNUMBER(SEARCH(설정!$A$43,E912&amp;" "&amp;C912))),AND(설정!$A$44&lt;&gt;"",ISNUMBER(SEARCH(설정!$A$44,E912&amp;" "&amp;C912))),AND(설정!$A$45&lt;&gt;"",ISNUMBER(SEARCH(설정!$A$45,E912&amp;" "&amp;C912))),AND(설정!$A$46&lt;&gt;"",ISNUMBER(SEARCH(설정!$A$46,E912&amp;" "&amp;C912))),AND(설정!$A$47&lt;&gt;"",ISNUMBER(SEARCH(설정!$A$47,E912&amp;" "&amp;C912))),AND(설정!$A$48&lt;&gt;"",ISNUMBER(SEARCH(설정!$A$48,E912&amp;" "&amp;C912))),AND(설정!$A$49&lt;&gt;"",ISNUMBER(SEARCH(설정!$A$49,E912&amp;" "&amp;C912))),AND(설정!$A$50&lt;&gt;"",ISNUMBER(SEARCH(설정!$A$50,E912&amp;" "&amp;C912))),AND(설정!$A$51&lt;&gt;"",ISNUMBER(SEARCH(설정!$A$51,E912&amp;" "&amp;C912))))</f>
        <v/>
      </c>
      <c r="S912">
        <f>OR(D912="",D912&gt;=설정!$B$19)</f>
        <v/>
      </c>
      <c r="T912">
        <f>AND(Q912,R912,S912)</f>
        <v/>
      </c>
      <c r="U912">
        <f>IF(T912,IF(AND(설정!$A$54&lt;&gt;"",ISNUMBER(SEARCH(설정!$A$54,K912))),설정!$B$54,IF(AND(설정!$A$55&lt;&gt;"",ISNUMBER(SEARCH(설정!$A$55,K912))),설정!$B$55,IF(AND(설정!$A$56&lt;&gt;"",ISNUMBER(SEARCH(설정!$A$56,K912))),설정!$B$56,IF(AND(설정!$A$57&lt;&gt;"",ISNUMBER(SEARCH(설정!$A$57,K912))),설정!$B$57,IF(AND(설정!$A$58&lt;&gt;"",ISNUMBER(SEARCH(설정!$A$58,K912))),설정!$B$58,IF(AND(설정!$A$59&lt;&gt;"",ISNUMBER(SEARCH(설정!$A$59,K912))),설정!$B$59,IF(AND(설정!$A$60&lt;&gt;"",ISNUMBER(SEARCH(설정!$A$60,K912))),설정!$B$60,IF(AND(설정!$A$61&lt;&gt;"",ISNUMBER(SEARCH(설정!$A$61,K912))),설정!$B$61,IF(M912="","설계사","시공사"))))))))),"")</f>
        <v/>
      </c>
      <c r="V912">
        <f>SUBSTITUTE(SUBSTITUTE(SUBSTITUTE(SUBSTITUTE(G912,"(주)",""),"㈜",""),"주식회사","")," ","")</f>
        <v/>
      </c>
      <c r="W912">
        <f>IF(AND(T912,V912&lt;&gt;""),IF(COUNTIFS(V$2:V912,V912,T$2:T912,TRUE)=1,MAX(W$1:W911)+1,""),"")</f>
        <v/>
      </c>
      <c r="X912">
        <f>IF(설정!$C$14="","",IFERROR(INDEX('1.산군_붙여넣기'!$A$1:$AZ$1001,ROW(),설정!$C$14)&amp;"",""))</f>
        <v/>
      </c>
      <c r="Y912">
        <f>IF(설정!$C$15="","",IFERROR(INDEX('1.산군_붙여넣기'!$A$1:$AZ$1001,ROW(),설정!$C$15)&amp;"",""))</f>
        <v/>
      </c>
      <c r="Z912">
        <f>IF(T912,V912&amp;"|"&amp;U912,"")</f>
        <v/>
      </c>
      <c r="AA912">
        <f>IF(NOT(Q912),"",IF(NOT(AND(R912,S912)),"✕",IF(OR(OR(AND(L912&lt;&gt;"",M912&lt;&gt;"",N(M912)-N(L912)&gt;설정!$B$27),AND(L912&lt;&gt;"",M912="",설정!$B$24-N(L912)&gt;설정!$B$27)),AND(D912&lt;&gt;"",D912&lt;설정!$B$26)),"△","★")))</f>
        <v/>
      </c>
      <c r="AB912">
        <f>IF(NOT(T912),"",IF(U912="설계사",설정!$B$31,IF(U912="시공사",IF(OR(M912="",설정!$B$24-N(M912)&lt;=설정!$B$28*30.4),설정!$B$32,설정!$B$33),설정!$B$34))+IF(AA912="★",설정!$B$35,0))</f>
        <v/>
      </c>
      <c r="AC912">
        <f>SUBSTITUTE(SUBSTITUTE(SUBSTITUTE(SUBSTITUTE(H912,"(주)",""),"㈜",""),"주식회사","")," ","")</f>
        <v/>
      </c>
      <c r="AD912">
        <f>IF(AND(T912,AC912&lt;&gt;""),IF(COUNTIFS(AC$2:AC912,AC912,T$2:T912,TRUE)=1,MAX(AD$1:AD911)+1,""),"")</f>
        <v/>
      </c>
    </row>
    <row r="913">
      <c r="A913">
        <f>ROW()</f>
        <v/>
      </c>
      <c r="B913">
        <f>IF(설정!$C$4="","",IFERROR(INDEX('1.산군_붙여넣기'!$A$1:$AZ$1001,ROW(),설정!$C$4)&amp;"",""))</f>
        <v/>
      </c>
      <c r="C913">
        <f>IF(설정!$C$5="","",IFERROR(INDEX('1.산군_붙여넣기'!$A$1:$AZ$1001,ROW(),설정!$C$5)&amp;"",""))</f>
        <v/>
      </c>
      <c r="D913" s="5">
        <f>IFERROR(VALUE(SUBSTITUTE(SUBSTITUTE(SUBSTITUTE(IF(설정!$C$6="","",IFERROR(INDEX('1.산군_붙여넣기'!$A$1:$AZ$1001,ROW(),설정!$C$6)&amp;"","")),",",""),"㎡",""),"m2","")),"")</f>
        <v/>
      </c>
      <c r="E913">
        <f>IF(설정!$C$7="","",IFERROR(INDEX('1.산군_붙여넣기'!$A$1:$AZ$1001,ROW(),설정!$C$7)&amp;"",""))</f>
        <v/>
      </c>
      <c r="F913">
        <f>IF(설정!$C$8="","",IFERROR(INDEX('1.산군_붙여넣기'!$A$1:$AZ$1001,ROW(),설정!$C$8)&amp;"",""))</f>
        <v/>
      </c>
      <c r="G913">
        <f>IF(설정!$C$9="","",IFERROR(INDEX('1.산군_붙여넣기'!$A$1:$AZ$1001,ROW(),설정!$C$9)&amp;"",""))</f>
        <v/>
      </c>
      <c r="H913">
        <f>IF(설정!$C$10="","",IFERROR(INDEX('1.산군_붙여넣기'!$A$1:$AZ$1001,ROW(),설정!$C$10)&amp;"",""))</f>
        <v/>
      </c>
      <c r="I913">
        <f>IF(설정!$C$11="","",IFERROR(INDEX('1.산군_붙여넣기'!$A$1:$AZ$1001,ROW(),설정!$C$11)&amp;"",""))</f>
        <v/>
      </c>
      <c r="J913">
        <f>IF(설정!$C$12="","",IFERROR(INDEX('1.산군_붙여넣기'!$A$1:$AZ$1001,ROW(),설정!$C$12)&amp;"",""))</f>
        <v/>
      </c>
      <c r="K913">
        <f>IF(설정!$C$13="","",IFERROR(INDEX('1.산군_붙여넣기'!$A$1:$AZ$1001,ROW(),설정!$C$13)&amp;"",""))</f>
        <v/>
      </c>
      <c r="L913" s="7">
        <f>IF(X913="","",IF(AND(LEN(X913)=8,ISNUMBER(X913*1)),DATE(LEFT(X913,4),MID(X913,5,2),RIGHT(X913,2)),IFERROR(DATEVALUE(SUBSTITUTE(SUBSTITUTE(X913,".","-"),"/","-")),IFERROR(X913*1,""))))</f>
        <v/>
      </c>
      <c r="M913" s="7">
        <f>IF(Y913="","",IF(AND(LEN(Y913)=8,ISNUMBER(Y913*1)),DATE(LEFT(Y913,4),MID(Y913,5,2),RIGHT(Y913,2)),IFERROR(DATEVALUE(SUBSTITUTE(SUBSTITUTE(Y913,".","-"),"/","-")),IFERROR(Y913*1,""))))</f>
        <v/>
      </c>
      <c r="N913">
        <f>IFERROR(LEFT(B913,FIND(" ",B913)-1),B913)</f>
        <v/>
      </c>
      <c r="O913">
        <f>AND(B913&lt;&gt;"",B913&lt;&gt;설정!$B$4,C913&lt;&gt;설정!$B$5)</f>
        <v/>
      </c>
      <c r="P913">
        <f>IF(O913,B913&amp;"|"&amp;C913,"")</f>
        <v/>
      </c>
      <c r="Q913">
        <f>AND(O913,COUNTIF(P914:P$1002,P913)=0)</f>
        <v/>
      </c>
      <c r="R913">
        <f>OR(AND(설정!$A$42&lt;&gt;"",ISNUMBER(SEARCH(설정!$A$42,E913&amp;" "&amp;C913))),AND(설정!$A$43&lt;&gt;"",ISNUMBER(SEARCH(설정!$A$43,E913&amp;" "&amp;C913))),AND(설정!$A$44&lt;&gt;"",ISNUMBER(SEARCH(설정!$A$44,E913&amp;" "&amp;C913))),AND(설정!$A$45&lt;&gt;"",ISNUMBER(SEARCH(설정!$A$45,E913&amp;" "&amp;C913))),AND(설정!$A$46&lt;&gt;"",ISNUMBER(SEARCH(설정!$A$46,E913&amp;" "&amp;C913))),AND(설정!$A$47&lt;&gt;"",ISNUMBER(SEARCH(설정!$A$47,E913&amp;" "&amp;C913))),AND(설정!$A$48&lt;&gt;"",ISNUMBER(SEARCH(설정!$A$48,E913&amp;" "&amp;C913))),AND(설정!$A$49&lt;&gt;"",ISNUMBER(SEARCH(설정!$A$49,E913&amp;" "&amp;C913))),AND(설정!$A$50&lt;&gt;"",ISNUMBER(SEARCH(설정!$A$50,E913&amp;" "&amp;C913))),AND(설정!$A$51&lt;&gt;"",ISNUMBER(SEARCH(설정!$A$51,E913&amp;" "&amp;C913))))</f>
        <v/>
      </c>
      <c r="S913">
        <f>OR(D913="",D913&gt;=설정!$B$19)</f>
        <v/>
      </c>
      <c r="T913">
        <f>AND(Q913,R913,S913)</f>
        <v/>
      </c>
      <c r="U913">
        <f>IF(T913,IF(AND(설정!$A$54&lt;&gt;"",ISNUMBER(SEARCH(설정!$A$54,K913))),설정!$B$54,IF(AND(설정!$A$55&lt;&gt;"",ISNUMBER(SEARCH(설정!$A$55,K913))),설정!$B$55,IF(AND(설정!$A$56&lt;&gt;"",ISNUMBER(SEARCH(설정!$A$56,K913))),설정!$B$56,IF(AND(설정!$A$57&lt;&gt;"",ISNUMBER(SEARCH(설정!$A$57,K913))),설정!$B$57,IF(AND(설정!$A$58&lt;&gt;"",ISNUMBER(SEARCH(설정!$A$58,K913))),설정!$B$58,IF(AND(설정!$A$59&lt;&gt;"",ISNUMBER(SEARCH(설정!$A$59,K913))),설정!$B$59,IF(AND(설정!$A$60&lt;&gt;"",ISNUMBER(SEARCH(설정!$A$60,K913))),설정!$B$60,IF(AND(설정!$A$61&lt;&gt;"",ISNUMBER(SEARCH(설정!$A$61,K913))),설정!$B$61,IF(M913="","설계사","시공사"))))))))),"")</f>
        <v/>
      </c>
      <c r="V913">
        <f>SUBSTITUTE(SUBSTITUTE(SUBSTITUTE(SUBSTITUTE(G913,"(주)",""),"㈜",""),"주식회사","")," ","")</f>
        <v/>
      </c>
      <c r="W913">
        <f>IF(AND(T913,V913&lt;&gt;""),IF(COUNTIFS(V$2:V913,V913,T$2:T913,TRUE)=1,MAX(W$1:W912)+1,""),"")</f>
        <v/>
      </c>
      <c r="X913">
        <f>IF(설정!$C$14="","",IFERROR(INDEX('1.산군_붙여넣기'!$A$1:$AZ$1001,ROW(),설정!$C$14)&amp;"",""))</f>
        <v/>
      </c>
      <c r="Y913">
        <f>IF(설정!$C$15="","",IFERROR(INDEX('1.산군_붙여넣기'!$A$1:$AZ$1001,ROW(),설정!$C$15)&amp;"",""))</f>
        <v/>
      </c>
      <c r="Z913">
        <f>IF(T913,V913&amp;"|"&amp;U913,"")</f>
        <v/>
      </c>
      <c r="AA913">
        <f>IF(NOT(Q913),"",IF(NOT(AND(R913,S913)),"✕",IF(OR(OR(AND(L913&lt;&gt;"",M913&lt;&gt;"",N(M913)-N(L913)&gt;설정!$B$27),AND(L913&lt;&gt;"",M913="",설정!$B$24-N(L913)&gt;설정!$B$27)),AND(D913&lt;&gt;"",D913&lt;설정!$B$26)),"△","★")))</f>
        <v/>
      </c>
      <c r="AB913">
        <f>IF(NOT(T913),"",IF(U913="설계사",설정!$B$31,IF(U913="시공사",IF(OR(M913="",설정!$B$24-N(M913)&lt;=설정!$B$28*30.4),설정!$B$32,설정!$B$33),설정!$B$34))+IF(AA913="★",설정!$B$35,0))</f>
        <v/>
      </c>
      <c r="AC913">
        <f>SUBSTITUTE(SUBSTITUTE(SUBSTITUTE(SUBSTITUTE(H913,"(주)",""),"㈜",""),"주식회사","")," ","")</f>
        <v/>
      </c>
      <c r="AD913">
        <f>IF(AND(T913,AC913&lt;&gt;""),IF(COUNTIFS(AC$2:AC913,AC913,T$2:T913,TRUE)=1,MAX(AD$1:AD912)+1,""),"")</f>
        <v/>
      </c>
    </row>
    <row r="914">
      <c r="A914">
        <f>ROW()</f>
        <v/>
      </c>
      <c r="B914">
        <f>IF(설정!$C$4="","",IFERROR(INDEX('1.산군_붙여넣기'!$A$1:$AZ$1001,ROW(),설정!$C$4)&amp;"",""))</f>
        <v/>
      </c>
      <c r="C914">
        <f>IF(설정!$C$5="","",IFERROR(INDEX('1.산군_붙여넣기'!$A$1:$AZ$1001,ROW(),설정!$C$5)&amp;"",""))</f>
        <v/>
      </c>
      <c r="D914" s="5">
        <f>IFERROR(VALUE(SUBSTITUTE(SUBSTITUTE(SUBSTITUTE(IF(설정!$C$6="","",IFERROR(INDEX('1.산군_붙여넣기'!$A$1:$AZ$1001,ROW(),설정!$C$6)&amp;"","")),",",""),"㎡",""),"m2","")),"")</f>
        <v/>
      </c>
      <c r="E914">
        <f>IF(설정!$C$7="","",IFERROR(INDEX('1.산군_붙여넣기'!$A$1:$AZ$1001,ROW(),설정!$C$7)&amp;"",""))</f>
        <v/>
      </c>
      <c r="F914">
        <f>IF(설정!$C$8="","",IFERROR(INDEX('1.산군_붙여넣기'!$A$1:$AZ$1001,ROW(),설정!$C$8)&amp;"",""))</f>
        <v/>
      </c>
      <c r="G914">
        <f>IF(설정!$C$9="","",IFERROR(INDEX('1.산군_붙여넣기'!$A$1:$AZ$1001,ROW(),설정!$C$9)&amp;"",""))</f>
        <v/>
      </c>
      <c r="H914">
        <f>IF(설정!$C$10="","",IFERROR(INDEX('1.산군_붙여넣기'!$A$1:$AZ$1001,ROW(),설정!$C$10)&amp;"",""))</f>
        <v/>
      </c>
      <c r="I914">
        <f>IF(설정!$C$11="","",IFERROR(INDEX('1.산군_붙여넣기'!$A$1:$AZ$1001,ROW(),설정!$C$11)&amp;"",""))</f>
        <v/>
      </c>
      <c r="J914">
        <f>IF(설정!$C$12="","",IFERROR(INDEX('1.산군_붙여넣기'!$A$1:$AZ$1001,ROW(),설정!$C$12)&amp;"",""))</f>
        <v/>
      </c>
      <c r="K914">
        <f>IF(설정!$C$13="","",IFERROR(INDEX('1.산군_붙여넣기'!$A$1:$AZ$1001,ROW(),설정!$C$13)&amp;"",""))</f>
        <v/>
      </c>
      <c r="L914" s="7">
        <f>IF(X914="","",IF(AND(LEN(X914)=8,ISNUMBER(X914*1)),DATE(LEFT(X914,4),MID(X914,5,2),RIGHT(X914,2)),IFERROR(DATEVALUE(SUBSTITUTE(SUBSTITUTE(X914,".","-"),"/","-")),IFERROR(X914*1,""))))</f>
        <v/>
      </c>
      <c r="M914" s="7">
        <f>IF(Y914="","",IF(AND(LEN(Y914)=8,ISNUMBER(Y914*1)),DATE(LEFT(Y914,4),MID(Y914,5,2),RIGHT(Y914,2)),IFERROR(DATEVALUE(SUBSTITUTE(SUBSTITUTE(Y914,".","-"),"/","-")),IFERROR(Y914*1,""))))</f>
        <v/>
      </c>
      <c r="N914">
        <f>IFERROR(LEFT(B914,FIND(" ",B914)-1),B914)</f>
        <v/>
      </c>
      <c r="O914">
        <f>AND(B914&lt;&gt;"",B914&lt;&gt;설정!$B$4,C914&lt;&gt;설정!$B$5)</f>
        <v/>
      </c>
      <c r="P914">
        <f>IF(O914,B914&amp;"|"&amp;C914,"")</f>
        <v/>
      </c>
      <c r="Q914">
        <f>AND(O914,COUNTIF(P915:P$1002,P914)=0)</f>
        <v/>
      </c>
      <c r="R914">
        <f>OR(AND(설정!$A$42&lt;&gt;"",ISNUMBER(SEARCH(설정!$A$42,E914&amp;" "&amp;C914))),AND(설정!$A$43&lt;&gt;"",ISNUMBER(SEARCH(설정!$A$43,E914&amp;" "&amp;C914))),AND(설정!$A$44&lt;&gt;"",ISNUMBER(SEARCH(설정!$A$44,E914&amp;" "&amp;C914))),AND(설정!$A$45&lt;&gt;"",ISNUMBER(SEARCH(설정!$A$45,E914&amp;" "&amp;C914))),AND(설정!$A$46&lt;&gt;"",ISNUMBER(SEARCH(설정!$A$46,E914&amp;" "&amp;C914))),AND(설정!$A$47&lt;&gt;"",ISNUMBER(SEARCH(설정!$A$47,E914&amp;" "&amp;C914))),AND(설정!$A$48&lt;&gt;"",ISNUMBER(SEARCH(설정!$A$48,E914&amp;" "&amp;C914))),AND(설정!$A$49&lt;&gt;"",ISNUMBER(SEARCH(설정!$A$49,E914&amp;" "&amp;C914))),AND(설정!$A$50&lt;&gt;"",ISNUMBER(SEARCH(설정!$A$50,E914&amp;" "&amp;C914))),AND(설정!$A$51&lt;&gt;"",ISNUMBER(SEARCH(설정!$A$51,E914&amp;" "&amp;C914))))</f>
        <v/>
      </c>
      <c r="S914">
        <f>OR(D914="",D914&gt;=설정!$B$19)</f>
        <v/>
      </c>
      <c r="T914">
        <f>AND(Q914,R914,S914)</f>
        <v/>
      </c>
      <c r="U914">
        <f>IF(T914,IF(AND(설정!$A$54&lt;&gt;"",ISNUMBER(SEARCH(설정!$A$54,K914))),설정!$B$54,IF(AND(설정!$A$55&lt;&gt;"",ISNUMBER(SEARCH(설정!$A$55,K914))),설정!$B$55,IF(AND(설정!$A$56&lt;&gt;"",ISNUMBER(SEARCH(설정!$A$56,K914))),설정!$B$56,IF(AND(설정!$A$57&lt;&gt;"",ISNUMBER(SEARCH(설정!$A$57,K914))),설정!$B$57,IF(AND(설정!$A$58&lt;&gt;"",ISNUMBER(SEARCH(설정!$A$58,K914))),설정!$B$58,IF(AND(설정!$A$59&lt;&gt;"",ISNUMBER(SEARCH(설정!$A$59,K914))),설정!$B$59,IF(AND(설정!$A$60&lt;&gt;"",ISNUMBER(SEARCH(설정!$A$60,K914))),설정!$B$60,IF(AND(설정!$A$61&lt;&gt;"",ISNUMBER(SEARCH(설정!$A$61,K914))),설정!$B$61,IF(M914="","설계사","시공사"))))))))),"")</f>
        <v/>
      </c>
      <c r="V914">
        <f>SUBSTITUTE(SUBSTITUTE(SUBSTITUTE(SUBSTITUTE(G914,"(주)",""),"㈜",""),"주식회사","")," ","")</f>
        <v/>
      </c>
      <c r="W914">
        <f>IF(AND(T914,V914&lt;&gt;""),IF(COUNTIFS(V$2:V914,V914,T$2:T914,TRUE)=1,MAX(W$1:W913)+1,""),"")</f>
        <v/>
      </c>
      <c r="X914">
        <f>IF(설정!$C$14="","",IFERROR(INDEX('1.산군_붙여넣기'!$A$1:$AZ$1001,ROW(),설정!$C$14)&amp;"",""))</f>
        <v/>
      </c>
      <c r="Y914">
        <f>IF(설정!$C$15="","",IFERROR(INDEX('1.산군_붙여넣기'!$A$1:$AZ$1001,ROW(),설정!$C$15)&amp;"",""))</f>
        <v/>
      </c>
      <c r="Z914">
        <f>IF(T914,V914&amp;"|"&amp;U914,"")</f>
        <v/>
      </c>
      <c r="AA914">
        <f>IF(NOT(Q914),"",IF(NOT(AND(R914,S914)),"✕",IF(OR(OR(AND(L914&lt;&gt;"",M914&lt;&gt;"",N(M914)-N(L914)&gt;설정!$B$27),AND(L914&lt;&gt;"",M914="",설정!$B$24-N(L914)&gt;설정!$B$27)),AND(D914&lt;&gt;"",D914&lt;설정!$B$26)),"△","★")))</f>
        <v/>
      </c>
      <c r="AB914">
        <f>IF(NOT(T914),"",IF(U914="설계사",설정!$B$31,IF(U914="시공사",IF(OR(M914="",설정!$B$24-N(M914)&lt;=설정!$B$28*30.4),설정!$B$32,설정!$B$33),설정!$B$34))+IF(AA914="★",설정!$B$35,0))</f>
        <v/>
      </c>
      <c r="AC914">
        <f>SUBSTITUTE(SUBSTITUTE(SUBSTITUTE(SUBSTITUTE(H914,"(주)",""),"㈜",""),"주식회사","")," ","")</f>
        <v/>
      </c>
      <c r="AD914">
        <f>IF(AND(T914,AC914&lt;&gt;""),IF(COUNTIFS(AC$2:AC914,AC914,T$2:T914,TRUE)=1,MAX(AD$1:AD913)+1,""),"")</f>
        <v/>
      </c>
    </row>
    <row r="915">
      <c r="A915">
        <f>ROW()</f>
        <v/>
      </c>
      <c r="B915">
        <f>IF(설정!$C$4="","",IFERROR(INDEX('1.산군_붙여넣기'!$A$1:$AZ$1001,ROW(),설정!$C$4)&amp;"",""))</f>
        <v/>
      </c>
      <c r="C915">
        <f>IF(설정!$C$5="","",IFERROR(INDEX('1.산군_붙여넣기'!$A$1:$AZ$1001,ROW(),설정!$C$5)&amp;"",""))</f>
        <v/>
      </c>
      <c r="D915" s="5">
        <f>IFERROR(VALUE(SUBSTITUTE(SUBSTITUTE(SUBSTITUTE(IF(설정!$C$6="","",IFERROR(INDEX('1.산군_붙여넣기'!$A$1:$AZ$1001,ROW(),설정!$C$6)&amp;"","")),",",""),"㎡",""),"m2","")),"")</f>
        <v/>
      </c>
      <c r="E915">
        <f>IF(설정!$C$7="","",IFERROR(INDEX('1.산군_붙여넣기'!$A$1:$AZ$1001,ROW(),설정!$C$7)&amp;"",""))</f>
        <v/>
      </c>
      <c r="F915">
        <f>IF(설정!$C$8="","",IFERROR(INDEX('1.산군_붙여넣기'!$A$1:$AZ$1001,ROW(),설정!$C$8)&amp;"",""))</f>
        <v/>
      </c>
      <c r="G915">
        <f>IF(설정!$C$9="","",IFERROR(INDEX('1.산군_붙여넣기'!$A$1:$AZ$1001,ROW(),설정!$C$9)&amp;"",""))</f>
        <v/>
      </c>
      <c r="H915">
        <f>IF(설정!$C$10="","",IFERROR(INDEX('1.산군_붙여넣기'!$A$1:$AZ$1001,ROW(),설정!$C$10)&amp;"",""))</f>
        <v/>
      </c>
      <c r="I915">
        <f>IF(설정!$C$11="","",IFERROR(INDEX('1.산군_붙여넣기'!$A$1:$AZ$1001,ROW(),설정!$C$11)&amp;"",""))</f>
        <v/>
      </c>
      <c r="J915">
        <f>IF(설정!$C$12="","",IFERROR(INDEX('1.산군_붙여넣기'!$A$1:$AZ$1001,ROW(),설정!$C$12)&amp;"",""))</f>
        <v/>
      </c>
      <c r="K915">
        <f>IF(설정!$C$13="","",IFERROR(INDEX('1.산군_붙여넣기'!$A$1:$AZ$1001,ROW(),설정!$C$13)&amp;"",""))</f>
        <v/>
      </c>
      <c r="L915" s="7">
        <f>IF(X915="","",IF(AND(LEN(X915)=8,ISNUMBER(X915*1)),DATE(LEFT(X915,4),MID(X915,5,2),RIGHT(X915,2)),IFERROR(DATEVALUE(SUBSTITUTE(SUBSTITUTE(X915,".","-"),"/","-")),IFERROR(X915*1,""))))</f>
        <v/>
      </c>
      <c r="M915" s="7">
        <f>IF(Y915="","",IF(AND(LEN(Y915)=8,ISNUMBER(Y915*1)),DATE(LEFT(Y915,4),MID(Y915,5,2),RIGHT(Y915,2)),IFERROR(DATEVALUE(SUBSTITUTE(SUBSTITUTE(Y915,".","-"),"/","-")),IFERROR(Y915*1,""))))</f>
        <v/>
      </c>
      <c r="N915">
        <f>IFERROR(LEFT(B915,FIND(" ",B915)-1),B915)</f>
        <v/>
      </c>
      <c r="O915">
        <f>AND(B915&lt;&gt;"",B915&lt;&gt;설정!$B$4,C915&lt;&gt;설정!$B$5)</f>
        <v/>
      </c>
      <c r="P915">
        <f>IF(O915,B915&amp;"|"&amp;C915,"")</f>
        <v/>
      </c>
      <c r="Q915">
        <f>AND(O915,COUNTIF(P916:P$1002,P915)=0)</f>
        <v/>
      </c>
      <c r="R915">
        <f>OR(AND(설정!$A$42&lt;&gt;"",ISNUMBER(SEARCH(설정!$A$42,E915&amp;" "&amp;C915))),AND(설정!$A$43&lt;&gt;"",ISNUMBER(SEARCH(설정!$A$43,E915&amp;" "&amp;C915))),AND(설정!$A$44&lt;&gt;"",ISNUMBER(SEARCH(설정!$A$44,E915&amp;" "&amp;C915))),AND(설정!$A$45&lt;&gt;"",ISNUMBER(SEARCH(설정!$A$45,E915&amp;" "&amp;C915))),AND(설정!$A$46&lt;&gt;"",ISNUMBER(SEARCH(설정!$A$46,E915&amp;" "&amp;C915))),AND(설정!$A$47&lt;&gt;"",ISNUMBER(SEARCH(설정!$A$47,E915&amp;" "&amp;C915))),AND(설정!$A$48&lt;&gt;"",ISNUMBER(SEARCH(설정!$A$48,E915&amp;" "&amp;C915))),AND(설정!$A$49&lt;&gt;"",ISNUMBER(SEARCH(설정!$A$49,E915&amp;" "&amp;C915))),AND(설정!$A$50&lt;&gt;"",ISNUMBER(SEARCH(설정!$A$50,E915&amp;" "&amp;C915))),AND(설정!$A$51&lt;&gt;"",ISNUMBER(SEARCH(설정!$A$51,E915&amp;" "&amp;C915))))</f>
        <v/>
      </c>
      <c r="S915">
        <f>OR(D915="",D915&gt;=설정!$B$19)</f>
        <v/>
      </c>
      <c r="T915">
        <f>AND(Q915,R915,S915)</f>
        <v/>
      </c>
      <c r="U915">
        <f>IF(T915,IF(AND(설정!$A$54&lt;&gt;"",ISNUMBER(SEARCH(설정!$A$54,K915))),설정!$B$54,IF(AND(설정!$A$55&lt;&gt;"",ISNUMBER(SEARCH(설정!$A$55,K915))),설정!$B$55,IF(AND(설정!$A$56&lt;&gt;"",ISNUMBER(SEARCH(설정!$A$56,K915))),설정!$B$56,IF(AND(설정!$A$57&lt;&gt;"",ISNUMBER(SEARCH(설정!$A$57,K915))),설정!$B$57,IF(AND(설정!$A$58&lt;&gt;"",ISNUMBER(SEARCH(설정!$A$58,K915))),설정!$B$58,IF(AND(설정!$A$59&lt;&gt;"",ISNUMBER(SEARCH(설정!$A$59,K915))),설정!$B$59,IF(AND(설정!$A$60&lt;&gt;"",ISNUMBER(SEARCH(설정!$A$60,K915))),설정!$B$60,IF(AND(설정!$A$61&lt;&gt;"",ISNUMBER(SEARCH(설정!$A$61,K915))),설정!$B$61,IF(M915="","설계사","시공사"))))))))),"")</f>
        <v/>
      </c>
      <c r="V915">
        <f>SUBSTITUTE(SUBSTITUTE(SUBSTITUTE(SUBSTITUTE(G915,"(주)",""),"㈜",""),"주식회사","")," ","")</f>
        <v/>
      </c>
      <c r="W915">
        <f>IF(AND(T915,V915&lt;&gt;""),IF(COUNTIFS(V$2:V915,V915,T$2:T915,TRUE)=1,MAX(W$1:W914)+1,""),"")</f>
        <v/>
      </c>
      <c r="X915">
        <f>IF(설정!$C$14="","",IFERROR(INDEX('1.산군_붙여넣기'!$A$1:$AZ$1001,ROW(),설정!$C$14)&amp;"",""))</f>
        <v/>
      </c>
      <c r="Y915">
        <f>IF(설정!$C$15="","",IFERROR(INDEX('1.산군_붙여넣기'!$A$1:$AZ$1001,ROW(),설정!$C$15)&amp;"",""))</f>
        <v/>
      </c>
      <c r="Z915">
        <f>IF(T915,V915&amp;"|"&amp;U915,"")</f>
        <v/>
      </c>
      <c r="AA915">
        <f>IF(NOT(Q915),"",IF(NOT(AND(R915,S915)),"✕",IF(OR(OR(AND(L915&lt;&gt;"",M915&lt;&gt;"",N(M915)-N(L915)&gt;설정!$B$27),AND(L915&lt;&gt;"",M915="",설정!$B$24-N(L915)&gt;설정!$B$27)),AND(D915&lt;&gt;"",D915&lt;설정!$B$26)),"△","★")))</f>
        <v/>
      </c>
      <c r="AB915">
        <f>IF(NOT(T915),"",IF(U915="설계사",설정!$B$31,IF(U915="시공사",IF(OR(M915="",설정!$B$24-N(M915)&lt;=설정!$B$28*30.4),설정!$B$32,설정!$B$33),설정!$B$34))+IF(AA915="★",설정!$B$35,0))</f>
        <v/>
      </c>
      <c r="AC915">
        <f>SUBSTITUTE(SUBSTITUTE(SUBSTITUTE(SUBSTITUTE(H915,"(주)",""),"㈜",""),"주식회사","")," ","")</f>
        <v/>
      </c>
      <c r="AD915">
        <f>IF(AND(T915,AC915&lt;&gt;""),IF(COUNTIFS(AC$2:AC915,AC915,T$2:T915,TRUE)=1,MAX(AD$1:AD914)+1,""),"")</f>
        <v/>
      </c>
    </row>
    <row r="916">
      <c r="A916">
        <f>ROW()</f>
        <v/>
      </c>
      <c r="B916">
        <f>IF(설정!$C$4="","",IFERROR(INDEX('1.산군_붙여넣기'!$A$1:$AZ$1001,ROW(),설정!$C$4)&amp;"",""))</f>
        <v/>
      </c>
      <c r="C916">
        <f>IF(설정!$C$5="","",IFERROR(INDEX('1.산군_붙여넣기'!$A$1:$AZ$1001,ROW(),설정!$C$5)&amp;"",""))</f>
        <v/>
      </c>
      <c r="D916" s="5">
        <f>IFERROR(VALUE(SUBSTITUTE(SUBSTITUTE(SUBSTITUTE(IF(설정!$C$6="","",IFERROR(INDEX('1.산군_붙여넣기'!$A$1:$AZ$1001,ROW(),설정!$C$6)&amp;"","")),",",""),"㎡",""),"m2","")),"")</f>
        <v/>
      </c>
      <c r="E916">
        <f>IF(설정!$C$7="","",IFERROR(INDEX('1.산군_붙여넣기'!$A$1:$AZ$1001,ROW(),설정!$C$7)&amp;"",""))</f>
        <v/>
      </c>
      <c r="F916">
        <f>IF(설정!$C$8="","",IFERROR(INDEX('1.산군_붙여넣기'!$A$1:$AZ$1001,ROW(),설정!$C$8)&amp;"",""))</f>
        <v/>
      </c>
      <c r="G916">
        <f>IF(설정!$C$9="","",IFERROR(INDEX('1.산군_붙여넣기'!$A$1:$AZ$1001,ROW(),설정!$C$9)&amp;"",""))</f>
        <v/>
      </c>
      <c r="H916">
        <f>IF(설정!$C$10="","",IFERROR(INDEX('1.산군_붙여넣기'!$A$1:$AZ$1001,ROW(),설정!$C$10)&amp;"",""))</f>
        <v/>
      </c>
      <c r="I916">
        <f>IF(설정!$C$11="","",IFERROR(INDEX('1.산군_붙여넣기'!$A$1:$AZ$1001,ROW(),설정!$C$11)&amp;"",""))</f>
        <v/>
      </c>
      <c r="J916">
        <f>IF(설정!$C$12="","",IFERROR(INDEX('1.산군_붙여넣기'!$A$1:$AZ$1001,ROW(),설정!$C$12)&amp;"",""))</f>
        <v/>
      </c>
      <c r="K916">
        <f>IF(설정!$C$13="","",IFERROR(INDEX('1.산군_붙여넣기'!$A$1:$AZ$1001,ROW(),설정!$C$13)&amp;"",""))</f>
        <v/>
      </c>
      <c r="L916" s="7">
        <f>IF(X916="","",IF(AND(LEN(X916)=8,ISNUMBER(X916*1)),DATE(LEFT(X916,4),MID(X916,5,2),RIGHT(X916,2)),IFERROR(DATEVALUE(SUBSTITUTE(SUBSTITUTE(X916,".","-"),"/","-")),IFERROR(X916*1,""))))</f>
        <v/>
      </c>
      <c r="M916" s="7">
        <f>IF(Y916="","",IF(AND(LEN(Y916)=8,ISNUMBER(Y916*1)),DATE(LEFT(Y916,4),MID(Y916,5,2),RIGHT(Y916,2)),IFERROR(DATEVALUE(SUBSTITUTE(SUBSTITUTE(Y916,".","-"),"/","-")),IFERROR(Y916*1,""))))</f>
        <v/>
      </c>
      <c r="N916">
        <f>IFERROR(LEFT(B916,FIND(" ",B916)-1),B916)</f>
        <v/>
      </c>
      <c r="O916">
        <f>AND(B916&lt;&gt;"",B916&lt;&gt;설정!$B$4,C916&lt;&gt;설정!$B$5)</f>
        <v/>
      </c>
      <c r="P916">
        <f>IF(O916,B916&amp;"|"&amp;C916,"")</f>
        <v/>
      </c>
      <c r="Q916">
        <f>AND(O916,COUNTIF(P917:P$1002,P916)=0)</f>
        <v/>
      </c>
      <c r="R916">
        <f>OR(AND(설정!$A$42&lt;&gt;"",ISNUMBER(SEARCH(설정!$A$42,E916&amp;" "&amp;C916))),AND(설정!$A$43&lt;&gt;"",ISNUMBER(SEARCH(설정!$A$43,E916&amp;" "&amp;C916))),AND(설정!$A$44&lt;&gt;"",ISNUMBER(SEARCH(설정!$A$44,E916&amp;" "&amp;C916))),AND(설정!$A$45&lt;&gt;"",ISNUMBER(SEARCH(설정!$A$45,E916&amp;" "&amp;C916))),AND(설정!$A$46&lt;&gt;"",ISNUMBER(SEARCH(설정!$A$46,E916&amp;" "&amp;C916))),AND(설정!$A$47&lt;&gt;"",ISNUMBER(SEARCH(설정!$A$47,E916&amp;" "&amp;C916))),AND(설정!$A$48&lt;&gt;"",ISNUMBER(SEARCH(설정!$A$48,E916&amp;" "&amp;C916))),AND(설정!$A$49&lt;&gt;"",ISNUMBER(SEARCH(설정!$A$49,E916&amp;" "&amp;C916))),AND(설정!$A$50&lt;&gt;"",ISNUMBER(SEARCH(설정!$A$50,E916&amp;" "&amp;C916))),AND(설정!$A$51&lt;&gt;"",ISNUMBER(SEARCH(설정!$A$51,E916&amp;" "&amp;C916))))</f>
        <v/>
      </c>
      <c r="S916">
        <f>OR(D916="",D916&gt;=설정!$B$19)</f>
        <v/>
      </c>
      <c r="T916">
        <f>AND(Q916,R916,S916)</f>
        <v/>
      </c>
      <c r="U916">
        <f>IF(T916,IF(AND(설정!$A$54&lt;&gt;"",ISNUMBER(SEARCH(설정!$A$54,K916))),설정!$B$54,IF(AND(설정!$A$55&lt;&gt;"",ISNUMBER(SEARCH(설정!$A$55,K916))),설정!$B$55,IF(AND(설정!$A$56&lt;&gt;"",ISNUMBER(SEARCH(설정!$A$56,K916))),설정!$B$56,IF(AND(설정!$A$57&lt;&gt;"",ISNUMBER(SEARCH(설정!$A$57,K916))),설정!$B$57,IF(AND(설정!$A$58&lt;&gt;"",ISNUMBER(SEARCH(설정!$A$58,K916))),설정!$B$58,IF(AND(설정!$A$59&lt;&gt;"",ISNUMBER(SEARCH(설정!$A$59,K916))),설정!$B$59,IF(AND(설정!$A$60&lt;&gt;"",ISNUMBER(SEARCH(설정!$A$60,K916))),설정!$B$60,IF(AND(설정!$A$61&lt;&gt;"",ISNUMBER(SEARCH(설정!$A$61,K916))),설정!$B$61,IF(M916="","설계사","시공사"))))))))),"")</f>
        <v/>
      </c>
      <c r="V916">
        <f>SUBSTITUTE(SUBSTITUTE(SUBSTITUTE(SUBSTITUTE(G916,"(주)",""),"㈜",""),"주식회사","")," ","")</f>
        <v/>
      </c>
      <c r="W916">
        <f>IF(AND(T916,V916&lt;&gt;""),IF(COUNTIFS(V$2:V916,V916,T$2:T916,TRUE)=1,MAX(W$1:W915)+1,""),"")</f>
        <v/>
      </c>
      <c r="X916">
        <f>IF(설정!$C$14="","",IFERROR(INDEX('1.산군_붙여넣기'!$A$1:$AZ$1001,ROW(),설정!$C$14)&amp;"",""))</f>
        <v/>
      </c>
      <c r="Y916">
        <f>IF(설정!$C$15="","",IFERROR(INDEX('1.산군_붙여넣기'!$A$1:$AZ$1001,ROW(),설정!$C$15)&amp;"",""))</f>
        <v/>
      </c>
      <c r="Z916">
        <f>IF(T916,V916&amp;"|"&amp;U916,"")</f>
        <v/>
      </c>
      <c r="AA916">
        <f>IF(NOT(Q916),"",IF(NOT(AND(R916,S916)),"✕",IF(OR(OR(AND(L916&lt;&gt;"",M916&lt;&gt;"",N(M916)-N(L916)&gt;설정!$B$27),AND(L916&lt;&gt;"",M916="",설정!$B$24-N(L916)&gt;설정!$B$27)),AND(D916&lt;&gt;"",D916&lt;설정!$B$26)),"△","★")))</f>
        <v/>
      </c>
      <c r="AB916">
        <f>IF(NOT(T916),"",IF(U916="설계사",설정!$B$31,IF(U916="시공사",IF(OR(M916="",설정!$B$24-N(M916)&lt;=설정!$B$28*30.4),설정!$B$32,설정!$B$33),설정!$B$34))+IF(AA916="★",설정!$B$35,0))</f>
        <v/>
      </c>
      <c r="AC916">
        <f>SUBSTITUTE(SUBSTITUTE(SUBSTITUTE(SUBSTITUTE(H916,"(주)",""),"㈜",""),"주식회사","")," ","")</f>
        <v/>
      </c>
      <c r="AD916">
        <f>IF(AND(T916,AC916&lt;&gt;""),IF(COUNTIFS(AC$2:AC916,AC916,T$2:T916,TRUE)=1,MAX(AD$1:AD915)+1,""),"")</f>
        <v/>
      </c>
    </row>
    <row r="917">
      <c r="A917">
        <f>ROW()</f>
        <v/>
      </c>
      <c r="B917">
        <f>IF(설정!$C$4="","",IFERROR(INDEX('1.산군_붙여넣기'!$A$1:$AZ$1001,ROW(),설정!$C$4)&amp;"",""))</f>
        <v/>
      </c>
      <c r="C917">
        <f>IF(설정!$C$5="","",IFERROR(INDEX('1.산군_붙여넣기'!$A$1:$AZ$1001,ROW(),설정!$C$5)&amp;"",""))</f>
        <v/>
      </c>
      <c r="D917" s="5">
        <f>IFERROR(VALUE(SUBSTITUTE(SUBSTITUTE(SUBSTITUTE(IF(설정!$C$6="","",IFERROR(INDEX('1.산군_붙여넣기'!$A$1:$AZ$1001,ROW(),설정!$C$6)&amp;"","")),",",""),"㎡",""),"m2","")),"")</f>
        <v/>
      </c>
      <c r="E917">
        <f>IF(설정!$C$7="","",IFERROR(INDEX('1.산군_붙여넣기'!$A$1:$AZ$1001,ROW(),설정!$C$7)&amp;"",""))</f>
        <v/>
      </c>
      <c r="F917">
        <f>IF(설정!$C$8="","",IFERROR(INDEX('1.산군_붙여넣기'!$A$1:$AZ$1001,ROW(),설정!$C$8)&amp;"",""))</f>
        <v/>
      </c>
      <c r="G917">
        <f>IF(설정!$C$9="","",IFERROR(INDEX('1.산군_붙여넣기'!$A$1:$AZ$1001,ROW(),설정!$C$9)&amp;"",""))</f>
        <v/>
      </c>
      <c r="H917">
        <f>IF(설정!$C$10="","",IFERROR(INDEX('1.산군_붙여넣기'!$A$1:$AZ$1001,ROW(),설정!$C$10)&amp;"",""))</f>
        <v/>
      </c>
      <c r="I917">
        <f>IF(설정!$C$11="","",IFERROR(INDEX('1.산군_붙여넣기'!$A$1:$AZ$1001,ROW(),설정!$C$11)&amp;"",""))</f>
        <v/>
      </c>
      <c r="J917">
        <f>IF(설정!$C$12="","",IFERROR(INDEX('1.산군_붙여넣기'!$A$1:$AZ$1001,ROW(),설정!$C$12)&amp;"",""))</f>
        <v/>
      </c>
      <c r="K917">
        <f>IF(설정!$C$13="","",IFERROR(INDEX('1.산군_붙여넣기'!$A$1:$AZ$1001,ROW(),설정!$C$13)&amp;"",""))</f>
        <v/>
      </c>
      <c r="L917" s="7">
        <f>IF(X917="","",IF(AND(LEN(X917)=8,ISNUMBER(X917*1)),DATE(LEFT(X917,4),MID(X917,5,2),RIGHT(X917,2)),IFERROR(DATEVALUE(SUBSTITUTE(SUBSTITUTE(X917,".","-"),"/","-")),IFERROR(X917*1,""))))</f>
        <v/>
      </c>
      <c r="M917" s="7">
        <f>IF(Y917="","",IF(AND(LEN(Y917)=8,ISNUMBER(Y917*1)),DATE(LEFT(Y917,4),MID(Y917,5,2),RIGHT(Y917,2)),IFERROR(DATEVALUE(SUBSTITUTE(SUBSTITUTE(Y917,".","-"),"/","-")),IFERROR(Y917*1,""))))</f>
        <v/>
      </c>
      <c r="N917">
        <f>IFERROR(LEFT(B917,FIND(" ",B917)-1),B917)</f>
        <v/>
      </c>
      <c r="O917">
        <f>AND(B917&lt;&gt;"",B917&lt;&gt;설정!$B$4,C917&lt;&gt;설정!$B$5)</f>
        <v/>
      </c>
      <c r="P917">
        <f>IF(O917,B917&amp;"|"&amp;C917,"")</f>
        <v/>
      </c>
      <c r="Q917">
        <f>AND(O917,COUNTIF(P918:P$1002,P917)=0)</f>
        <v/>
      </c>
      <c r="R917">
        <f>OR(AND(설정!$A$42&lt;&gt;"",ISNUMBER(SEARCH(설정!$A$42,E917&amp;" "&amp;C917))),AND(설정!$A$43&lt;&gt;"",ISNUMBER(SEARCH(설정!$A$43,E917&amp;" "&amp;C917))),AND(설정!$A$44&lt;&gt;"",ISNUMBER(SEARCH(설정!$A$44,E917&amp;" "&amp;C917))),AND(설정!$A$45&lt;&gt;"",ISNUMBER(SEARCH(설정!$A$45,E917&amp;" "&amp;C917))),AND(설정!$A$46&lt;&gt;"",ISNUMBER(SEARCH(설정!$A$46,E917&amp;" "&amp;C917))),AND(설정!$A$47&lt;&gt;"",ISNUMBER(SEARCH(설정!$A$47,E917&amp;" "&amp;C917))),AND(설정!$A$48&lt;&gt;"",ISNUMBER(SEARCH(설정!$A$48,E917&amp;" "&amp;C917))),AND(설정!$A$49&lt;&gt;"",ISNUMBER(SEARCH(설정!$A$49,E917&amp;" "&amp;C917))),AND(설정!$A$50&lt;&gt;"",ISNUMBER(SEARCH(설정!$A$50,E917&amp;" "&amp;C917))),AND(설정!$A$51&lt;&gt;"",ISNUMBER(SEARCH(설정!$A$51,E917&amp;" "&amp;C917))))</f>
        <v/>
      </c>
      <c r="S917">
        <f>OR(D917="",D917&gt;=설정!$B$19)</f>
        <v/>
      </c>
      <c r="T917">
        <f>AND(Q917,R917,S917)</f>
        <v/>
      </c>
      <c r="U917">
        <f>IF(T917,IF(AND(설정!$A$54&lt;&gt;"",ISNUMBER(SEARCH(설정!$A$54,K917))),설정!$B$54,IF(AND(설정!$A$55&lt;&gt;"",ISNUMBER(SEARCH(설정!$A$55,K917))),설정!$B$55,IF(AND(설정!$A$56&lt;&gt;"",ISNUMBER(SEARCH(설정!$A$56,K917))),설정!$B$56,IF(AND(설정!$A$57&lt;&gt;"",ISNUMBER(SEARCH(설정!$A$57,K917))),설정!$B$57,IF(AND(설정!$A$58&lt;&gt;"",ISNUMBER(SEARCH(설정!$A$58,K917))),설정!$B$58,IF(AND(설정!$A$59&lt;&gt;"",ISNUMBER(SEARCH(설정!$A$59,K917))),설정!$B$59,IF(AND(설정!$A$60&lt;&gt;"",ISNUMBER(SEARCH(설정!$A$60,K917))),설정!$B$60,IF(AND(설정!$A$61&lt;&gt;"",ISNUMBER(SEARCH(설정!$A$61,K917))),설정!$B$61,IF(M917="","설계사","시공사"))))))))),"")</f>
        <v/>
      </c>
      <c r="V917">
        <f>SUBSTITUTE(SUBSTITUTE(SUBSTITUTE(SUBSTITUTE(G917,"(주)",""),"㈜",""),"주식회사","")," ","")</f>
        <v/>
      </c>
      <c r="W917">
        <f>IF(AND(T917,V917&lt;&gt;""),IF(COUNTIFS(V$2:V917,V917,T$2:T917,TRUE)=1,MAX(W$1:W916)+1,""),"")</f>
        <v/>
      </c>
      <c r="X917">
        <f>IF(설정!$C$14="","",IFERROR(INDEX('1.산군_붙여넣기'!$A$1:$AZ$1001,ROW(),설정!$C$14)&amp;"",""))</f>
        <v/>
      </c>
      <c r="Y917">
        <f>IF(설정!$C$15="","",IFERROR(INDEX('1.산군_붙여넣기'!$A$1:$AZ$1001,ROW(),설정!$C$15)&amp;"",""))</f>
        <v/>
      </c>
      <c r="Z917">
        <f>IF(T917,V917&amp;"|"&amp;U917,"")</f>
        <v/>
      </c>
      <c r="AA917">
        <f>IF(NOT(Q917),"",IF(NOT(AND(R917,S917)),"✕",IF(OR(OR(AND(L917&lt;&gt;"",M917&lt;&gt;"",N(M917)-N(L917)&gt;설정!$B$27),AND(L917&lt;&gt;"",M917="",설정!$B$24-N(L917)&gt;설정!$B$27)),AND(D917&lt;&gt;"",D917&lt;설정!$B$26)),"△","★")))</f>
        <v/>
      </c>
      <c r="AB917">
        <f>IF(NOT(T917),"",IF(U917="설계사",설정!$B$31,IF(U917="시공사",IF(OR(M917="",설정!$B$24-N(M917)&lt;=설정!$B$28*30.4),설정!$B$32,설정!$B$33),설정!$B$34))+IF(AA917="★",설정!$B$35,0))</f>
        <v/>
      </c>
      <c r="AC917">
        <f>SUBSTITUTE(SUBSTITUTE(SUBSTITUTE(SUBSTITUTE(H917,"(주)",""),"㈜",""),"주식회사","")," ","")</f>
        <v/>
      </c>
      <c r="AD917">
        <f>IF(AND(T917,AC917&lt;&gt;""),IF(COUNTIFS(AC$2:AC917,AC917,T$2:T917,TRUE)=1,MAX(AD$1:AD916)+1,""),"")</f>
        <v/>
      </c>
    </row>
    <row r="918">
      <c r="A918">
        <f>ROW()</f>
        <v/>
      </c>
      <c r="B918">
        <f>IF(설정!$C$4="","",IFERROR(INDEX('1.산군_붙여넣기'!$A$1:$AZ$1001,ROW(),설정!$C$4)&amp;"",""))</f>
        <v/>
      </c>
      <c r="C918">
        <f>IF(설정!$C$5="","",IFERROR(INDEX('1.산군_붙여넣기'!$A$1:$AZ$1001,ROW(),설정!$C$5)&amp;"",""))</f>
        <v/>
      </c>
      <c r="D918" s="5">
        <f>IFERROR(VALUE(SUBSTITUTE(SUBSTITUTE(SUBSTITUTE(IF(설정!$C$6="","",IFERROR(INDEX('1.산군_붙여넣기'!$A$1:$AZ$1001,ROW(),설정!$C$6)&amp;"","")),",",""),"㎡",""),"m2","")),"")</f>
        <v/>
      </c>
      <c r="E918">
        <f>IF(설정!$C$7="","",IFERROR(INDEX('1.산군_붙여넣기'!$A$1:$AZ$1001,ROW(),설정!$C$7)&amp;"",""))</f>
        <v/>
      </c>
      <c r="F918">
        <f>IF(설정!$C$8="","",IFERROR(INDEX('1.산군_붙여넣기'!$A$1:$AZ$1001,ROW(),설정!$C$8)&amp;"",""))</f>
        <v/>
      </c>
      <c r="G918">
        <f>IF(설정!$C$9="","",IFERROR(INDEX('1.산군_붙여넣기'!$A$1:$AZ$1001,ROW(),설정!$C$9)&amp;"",""))</f>
        <v/>
      </c>
      <c r="H918">
        <f>IF(설정!$C$10="","",IFERROR(INDEX('1.산군_붙여넣기'!$A$1:$AZ$1001,ROW(),설정!$C$10)&amp;"",""))</f>
        <v/>
      </c>
      <c r="I918">
        <f>IF(설정!$C$11="","",IFERROR(INDEX('1.산군_붙여넣기'!$A$1:$AZ$1001,ROW(),설정!$C$11)&amp;"",""))</f>
        <v/>
      </c>
      <c r="J918">
        <f>IF(설정!$C$12="","",IFERROR(INDEX('1.산군_붙여넣기'!$A$1:$AZ$1001,ROW(),설정!$C$12)&amp;"",""))</f>
        <v/>
      </c>
      <c r="K918">
        <f>IF(설정!$C$13="","",IFERROR(INDEX('1.산군_붙여넣기'!$A$1:$AZ$1001,ROW(),설정!$C$13)&amp;"",""))</f>
        <v/>
      </c>
      <c r="L918" s="7">
        <f>IF(X918="","",IF(AND(LEN(X918)=8,ISNUMBER(X918*1)),DATE(LEFT(X918,4),MID(X918,5,2),RIGHT(X918,2)),IFERROR(DATEVALUE(SUBSTITUTE(SUBSTITUTE(X918,".","-"),"/","-")),IFERROR(X918*1,""))))</f>
        <v/>
      </c>
      <c r="M918" s="7">
        <f>IF(Y918="","",IF(AND(LEN(Y918)=8,ISNUMBER(Y918*1)),DATE(LEFT(Y918,4),MID(Y918,5,2),RIGHT(Y918,2)),IFERROR(DATEVALUE(SUBSTITUTE(SUBSTITUTE(Y918,".","-"),"/","-")),IFERROR(Y918*1,""))))</f>
        <v/>
      </c>
      <c r="N918">
        <f>IFERROR(LEFT(B918,FIND(" ",B918)-1),B918)</f>
        <v/>
      </c>
      <c r="O918">
        <f>AND(B918&lt;&gt;"",B918&lt;&gt;설정!$B$4,C918&lt;&gt;설정!$B$5)</f>
        <v/>
      </c>
      <c r="P918">
        <f>IF(O918,B918&amp;"|"&amp;C918,"")</f>
        <v/>
      </c>
      <c r="Q918">
        <f>AND(O918,COUNTIF(P919:P$1002,P918)=0)</f>
        <v/>
      </c>
      <c r="R918">
        <f>OR(AND(설정!$A$42&lt;&gt;"",ISNUMBER(SEARCH(설정!$A$42,E918&amp;" "&amp;C918))),AND(설정!$A$43&lt;&gt;"",ISNUMBER(SEARCH(설정!$A$43,E918&amp;" "&amp;C918))),AND(설정!$A$44&lt;&gt;"",ISNUMBER(SEARCH(설정!$A$44,E918&amp;" "&amp;C918))),AND(설정!$A$45&lt;&gt;"",ISNUMBER(SEARCH(설정!$A$45,E918&amp;" "&amp;C918))),AND(설정!$A$46&lt;&gt;"",ISNUMBER(SEARCH(설정!$A$46,E918&amp;" "&amp;C918))),AND(설정!$A$47&lt;&gt;"",ISNUMBER(SEARCH(설정!$A$47,E918&amp;" "&amp;C918))),AND(설정!$A$48&lt;&gt;"",ISNUMBER(SEARCH(설정!$A$48,E918&amp;" "&amp;C918))),AND(설정!$A$49&lt;&gt;"",ISNUMBER(SEARCH(설정!$A$49,E918&amp;" "&amp;C918))),AND(설정!$A$50&lt;&gt;"",ISNUMBER(SEARCH(설정!$A$50,E918&amp;" "&amp;C918))),AND(설정!$A$51&lt;&gt;"",ISNUMBER(SEARCH(설정!$A$51,E918&amp;" "&amp;C918))))</f>
        <v/>
      </c>
      <c r="S918">
        <f>OR(D918="",D918&gt;=설정!$B$19)</f>
        <v/>
      </c>
      <c r="T918">
        <f>AND(Q918,R918,S918)</f>
        <v/>
      </c>
      <c r="U918">
        <f>IF(T918,IF(AND(설정!$A$54&lt;&gt;"",ISNUMBER(SEARCH(설정!$A$54,K918))),설정!$B$54,IF(AND(설정!$A$55&lt;&gt;"",ISNUMBER(SEARCH(설정!$A$55,K918))),설정!$B$55,IF(AND(설정!$A$56&lt;&gt;"",ISNUMBER(SEARCH(설정!$A$56,K918))),설정!$B$56,IF(AND(설정!$A$57&lt;&gt;"",ISNUMBER(SEARCH(설정!$A$57,K918))),설정!$B$57,IF(AND(설정!$A$58&lt;&gt;"",ISNUMBER(SEARCH(설정!$A$58,K918))),설정!$B$58,IF(AND(설정!$A$59&lt;&gt;"",ISNUMBER(SEARCH(설정!$A$59,K918))),설정!$B$59,IF(AND(설정!$A$60&lt;&gt;"",ISNUMBER(SEARCH(설정!$A$60,K918))),설정!$B$60,IF(AND(설정!$A$61&lt;&gt;"",ISNUMBER(SEARCH(설정!$A$61,K918))),설정!$B$61,IF(M918="","설계사","시공사"))))))))),"")</f>
        <v/>
      </c>
      <c r="V918">
        <f>SUBSTITUTE(SUBSTITUTE(SUBSTITUTE(SUBSTITUTE(G918,"(주)",""),"㈜",""),"주식회사","")," ","")</f>
        <v/>
      </c>
      <c r="W918">
        <f>IF(AND(T918,V918&lt;&gt;""),IF(COUNTIFS(V$2:V918,V918,T$2:T918,TRUE)=1,MAX(W$1:W917)+1,""),"")</f>
        <v/>
      </c>
      <c r="X918">
        <f>IF(설정!$C$14="","",IFERROR(INDEX('1.산군_붙여넣기'!$A$1:$AZ$1001,ROW(),설정!$C$14)&amp;"",""))</f>
        <v/>
      </c>
      <c r="Y918">
        <f>IF(설정!$C$15="","",IFERROR(INDEX('1.산군_붙여넣기'!$A$1:$AZ$1001,ROW(),설정!$C$15)&amp;"",""))</f>
        <v/>
      </c>
      <c r="Z918">
        <f>IF(T918,V918&amp;"|"&amp;U918,"")</f>
        <v/>
      </c>
      <c r="AA918">
        <f>IF(NOT(Q918),"",IF(NOT(AND(R918,S918)),"✕",IF(OR(OR(AND(L918&lt;&gt;"",M918&lt;&gt;"",N(M918)-N(L918)&gt;설정!$B$27),AND(L918&lt;&gt;"",M918="",설정!$B$24-N(L918)&gt;설정!$B$27)),AND(D918&lt;&gt;"",D918&lt;설정!$B$26)),"△","★")))</f>
        <v/>
      </c>
      <c r="AB918">
        <f>IF(NOT(T918),"",IF(U918="설계사",설정!$B$31,IF(U918="시공사",IF(OR(M918="",설정!$B$24-N(M918)&lt;=설정!$B$28*30.4),설정!$B$32,설정!$B$33),설정!$B$34))+IF(AA918="★",설정!$B$35,0))</f>
        <v/>
      </c>
      <c r="AC918">
        <f>SUBSTITUTE(SUBSTITUTE(SUBSTITUTE(SUBSTITUTE(H918,"(주)",""),"㈜",""),"주식회사","")," ","")</f>
        <v/>
      </c>
      <c r="AD918">
        <f>IF(AND(T918,AC918&lt;&gt;""),IF(COUNTIFS(AC$2:AC918,AC918,T$2:T918,TRUE)=1,MAX(AD$1:AD917)+1,""),"")</f>
        <v/>
      </c>
    </row>
    <row r="919">
      <c r="A919">
        <f>ROW()</f>
        <v/>
      </c>
      <c r="B919">
        <f>IF(설정!$C$4="","",IFERROR(INDEX('1.산군_붙여넣기'!$A$1:$AZ$1001,ROW(),설정!$C$4)&amp;"",""))</f>
        <v/>
      </c>
      <c r="C919">
        <f>IF(설정!$C$5="","",IFERROR(INDEX('1.산군_붙여넣기'!$A$1:$AZ$1001,ROW(),설정!$C$5)&amp;"",""))</f>
        <v/>
      </c>
      <c r="D919" s="5">
        <f>IFERROR(VALUE(SUBSTITUTE(SUBSTITUTE(SUBSTITUTE(IF(설정!$C$6="","",IFERROR(INDEX('1.산군_붙여넣기'!$A$1:$AZ$1001,ROW(),설정!$C$6)&amp;"","")),",",""),"㎡",""),"m2","")),"")</f>
        <v/>
      </c>
      <c r="E919">
        <f>IF(설정!$C$7="","",IFERROR(INDEX('1.산군_붙여넣기'!$A$1:$AZ$1001,ROW(),설정!$C$7)&amp;"",""))</f>
        <v/>
      </c>
      <c r="F919">
        <f>IF(설정!$C$8="","",IFERROR(INDEX('1.산군_붙여넣기'!$A$1:$AZ$1001,ROW(),설정!$C$8)&amp;"",""))</f>
        <v/>
      </c>
      <c r="G919">
        <f>IF(설정!$C$9="","",IFERROR(INDEX('1.산군_붙여넣기'!$A$1:$AZ$1001,ROW(),설정!$C$9)&amp;"",""))</f>
        <v/>
      </c>
      <c r="H919">
        <f>IF(설정!$C$10="","",IFERROR(INDEX('1.산군_붙여넣기'!$A$1:$AZ$1001,ROW(),설정!$C$10)&amp;"",""))</f>
        <v/>
      </c>
      <c r="I919">
        <f>IF(설정!$C$11="","",IFERROR(INDEX('1.산군_붙여넣기'!$A$1:$AZ$1001,ROW(),설정!$C$11)&amp;"",""))</f>
        <v/>
      </c>
      <c r="J919">
        <f>IF(설정!$C$12="","",IFERROR(INDEX('1.산군_붙여넣기'!$A$1:$AZ$1001,ROW(),설정!$C$12)&amp;"",""))</f>
        <v/>
      </c>
      <c r="K919">
        <f>IF(설정!$C$13="","",IFERROR(INDEX('1.산군_붙여넣기'!$A$1:$AZ$1001,ROW(),설정!$C$13)&amp;"",""))</f>
        <v/>
      </c>
      <c r="L919" s="7">
        <f>IF(X919="","",IF(AND(LEN(X919)=8,ISNUMBER(X919*1)),DATE(LEFT(X919,4),MID(X919,5,2),RIGHT(X919,2)),IFERROR(DATEVALUE(SUBSTITUTE(SUBSTITUTE(X919,".","-"),"/","-")),IFERROR(X919*1,""))))</f>
        <v/>
      </c>
      <c r="M919" s="7">
        <f>IF(Y919="","",IF(AND(LEN(Y919)=8,ISNUMBER(Y919*1)),DATE(LEFT(Y919,4),MID(Y919,5,2),RIGHT(Y919,2)),IFERROR(DATEVALUE(SUBSTITUTE(SUBSTITUTE(Y919,".","-"),"/","-")),IFERROR(Y919*1,""))))</f>
        <v/>
      </c>
      <c r="N919">
        <f>IFERROR(LEFT(B919,FIND(" ",B919)-1),B919)</f>
        <v/>
      </c>
      <c r="O919">
        <f>AND(B919&lt;&gt;"",B919&lt;&gt;설정!$B$4,C919&lt;&gt;설정!$B$5)</f>
        <v/>
      </c>
      <c r="P919">
        <f>IF(O919,B919&amp;"|"&amp;C919,"")</f>
        <v/>
      </c>
      <c r="Q919">
        <f>AND(O919,COUNTIF(P920:P$1002,P919)=0)</f>
        <v/>
      </c>
      <c r="R919">
        <f>OR(AND(설정!$A$42&lt;&gt;"",ISNUMBER(SEARCH(설정!$A$42,E919&amp;" "&amp;C919))),AND(설정!$A$43&lt;&gt;"",ISNUMBER(SEARCH(설정!$A$43,E919&amp;" "&amp;C919))),AND(설정!$A$44&lt;&gt;"",ISNUMBER(SEARCH(설정!$A$44,E919&amp;" "&amp;C919))),AND(설정!$A$45&lt;&gt;"",ISNUMBER(SEARCH(설정!$A$45,E919&amp;" "&amp;C919))),AND(설정!$A$46&lt;&gt;"",ISNUMBER(SEARCH(설정!$A$46,E919&amp;" "&amp;C919))),AND(설정!$A$47&lt;&gt;"",ISNUMBER(SEARCH(설정!$A$47,E919&amp;" "&amp;C919))),AND(설정!$A$48&lt;&gt;"",ISNUMBER(SEARCH(설정!$A$48,E919&amp;" "&amp;C919))),AND(설정!$A$49&lt;&gt;"",ISNUMBER(SEARCH(설정!$A$49,E919&amp;" "&amp;C919))),AND(설정!$A$50&lt;&gt;"",ISNUMBER(SEARCH(설정!$A$50,E919&amp;" "&amp;C919))),AND(설정!$A$51&lt;&gt;"",ISNUMBER(SEARCH(설정!$A$51,E919&amp;" "&amp;C919))))</f>
        <v/>
      </c>
      <c r="S919">
        <f>OR(D919="",D919&gt;=설정!$B$19)</f>
        <v/>
      </c>
      <c r="T919">
        <f>AND(Q919,R919,S919)</f>
        <v/>
      </c>
      <c r="U919">
        <f>IF(T919,IF(AND(설정!$A$54&lt;&gt;"",ISNUMBER(SEARCH(설정!$A$54,K919))),설정!$B$54,IF(AND(설정!$A$55&lt;&gt;"",ISNUMBER(SEARCH(설정!$A$55,K919))),설정!$B$55,IF(AND(설정!$A$56&lt;&gt;"",ISNUMBER(SEARCH(설정!$A$56,K919))),설정!$B$56,IF(AND(설정!$A$57&lt;&gt;"",ISNUMBER(SEARCH(설정!$A$57,K919))),설정!$B$57,IF(AND(설정!$A$58&lt;&gt;"",ISNUMBER(SEARCH(설정!$A$58,K919))),설정!$B$58,IF(AND(설정!$A$59&lt;&gt;"",ISNUMBER(SEARCH(설정!$A$59,K919))),설정!$B$59,IF(AND(설정!$A$60&lt;&gt;"",ISNUMBER(SEARCH(설정!$A$60,K919))),설정!$B$60,IF(AND(설정!$A$61&lt;&gt;"",ISNUMBER(SEARCH(설정!$A$61,K919))),설정!$B$61,IF(M919="","설계사","시공사"))))))))),"")</f>
        <v/>
      </c>
      <c r="V919">
        <f>SUBSTITUTE(SUBSTITUTE(SUBSTITUTE(SUBSTITUTE(G919,"(주)",""),"㈜",""),"주식회사","")," ","")</f>
        <v/>
      </c>
      <c r="W919">
        <f>IF(AND(T919,V919&lt;&gt;""),IF(COUNTIFS(V$2:V919,V919,T$2:T919,TRUE)=1,MAX(W$1:W918)+1,""),"")</f>
        <v/>
      </c>
      <c r="X919">
        <f>IF(설정!$C$14="","",IFERROR(INDEX('1.산군_붙여넣기'!$A$1:$AZ$1001,ROW(),설정!$C$14)&amp;"",""))</f>
        <v/>
      </c>
      <c r="Y919">
        <f>IF(설정!$C$15="","",IFERROR(INDEX('1.산군_붙여넣기'!$A$1:$AZ$1001,ROW(),설정!$C$15)&amp;"",""))</f>
        <v/>
      </c>
      <c r="Z919">
        <f>IF(T919,V919&amp;"|"&amp;U919,"")</f>
        <v/>
      </c>
      <c r="AA919">
        <f>IF(NOT(Q919),"",IF(NOT(AND(R919,S919)),"✕",IF(OR(OR(AND(L919&lt;&gt;"",M919&lt;&gt;"",N(M919)-N(L919)&gt;설정!$B$27),AND(L919&lt;&gt;"",M919="",설정!$B$24-N(L919)&gt;설정!$B$27)),AND(D919&lt;&gt;"",D919&lt;설정!$B$26)),"△","★")))</f>
        <v/>
      </c>
      <c r="AB919">
        <f>IF(NOT(T919),"",IF(U919="설계사",설정!$B$31,IF(U919="시공사",IF(OR(M919="",설정!$B$24-N(M919)&lt;=설정!$B$28*30.4),설정!$B$32,설정!$B$33),설정!$B$34))+IF(AA919="★",설정!$B$35,0))</f>
        <v/>
      </c>
      <c r="AC919">
        <f>SUBSTITUTE(SUBSTITUTE(SUBSTITUTE(SUBSTITUTE(H919,"(주)",""),"㈜",""),"주식회사","")," ","")</f>
        <v/>
      </c>
      <c r="AD919">
        <f>IF(AND(T919,AC919&lt;&gt;""),IF(COUNTIFS(AC$2:AC919,AC919,T$2:T919,TRUE)=1,MAX(AD$1:AD918)+1,""),"")</f>
        <v/>
      </c>
    </row>
    <row r="920">
      <c r="A920">
        <f>ROW()</f>
        <v/>
      </c>
      <c r="B920">
        <f>IF(설정!$C$4="","",IFERROR(INDEX('1.산군_붙여넣기'!$A$1:$AZ$1001,ROW(),설정!$C$4)&amp;"",""))</f>
        <v/>
      </c>
      <c r="C920">
        <f>IF(설정!$C$5="","",IFERROR(INDEX('1.산군_붙여넣기'!$A$1:$AZ$1001,ROW(),설정!$C$5)&amp;"",""))</f>
        <v/>
      </c>
      <c r="D920" s="5">
        <f>IFERROR(VALUE(SUBSTITUTE(SUBSTITUTE(SUBSTITUTE(IF(설정!$C$6="","",IFERROR(INDEX('1.산군_붙여넣기'!$A$1:$AZ$1001,ROW(),설정!$C$6)&amp;"","")),",",""),"㎡",""),"m2","")),"")</f>
        <v/>
      </c>
      <c r="E920">
        <f>IF(설정!$C$7="","",IFERROR(INDEX('1.산군_붙여넣기'!$A$1:$AZ$1001,ROW(),설정!$C$7)&amp;"",""))</f>
        <v/>
      </c>
      <c r="F920">
        <f>IF(설정!$C$8="","",IFERROR(INDEX('1.산군_붙여넣기'!$A$1:$AZ$1001,ROW(),설정!$C$8)&amp;"",""))</f>
        <v/>
      </c>
      <c r="G920">
        <f>IF(설정!$C$9="","",IFERROR(INDEX('1.산군_붙여넣기'!$A$1:$AZ$1001,ROW(),설정!$C$9)&amp;"",""))</f>
        <v/>
      </c>
      <c r="H920">
        <f>IF(설정!$C$10="","",IFERROR(INDEX('1.산군_붙여넣기'!$A$1:$AZ$1001,ROW(),설정!$C$10)&amp;"",""))</f>
        <v/>
      </c>
      <c r="I920">
        <f>IF(설정!$C$11="","",IFERROR(INDEX('1.산군_붙여넣기'!$A$1:$AZ$1001,ROW(),설정!$C$11)&amp;"",""))</f>
        <v/>
      </c>
      <c r="J920">
        <f>IF(설정!$C$12="","",IFERROR(INDEX('1.산군_붙여넣기'!$A$1:$AZ$1001,ROW(),설정!$C$12)&amp;"",""))</f>
        <v/>
      </c>
      <c r="K920">
        <f>IF(설정!$C$13="","",IFERROR(INDEX('1.산군_붙여넣기'!$A$1:$AZ$1001,ROW(),설정!$C$13)&amp;"",""))</f>
        <v/>
      </c>
      <c r="L920" s="7">
        <f>IF(X920="","",IF(AND(LEN(X920)=8,ISNUMBER(X920*1)),DATE(LEFT(X920,4),MID(X920,5,2),RIGHT(X920,2)),IFERROR(DATEVALUE(SUBSTITUTE(SUBSTITUTE(X920,".","-"),"/","-")),IFERROR(X920*1,""))))</f>
        <v/>
      </c>
      <c r="M920" s="7">
        <f>IF(Y920="","",IF(AND(LEN(Y920)=8,ISNUMBER(Y920*1)),DATE(LEFT(Y920,4),MID(Y920,5,2),RIGHT(Y920,2)),IFERROR(DATEVALUE(SUBSTITUTE(SUBSTITUTE(Y920,".","-"),"/","-")),IFERROR(Y920*1,""))))</f>
        <v/>
      </c>
      <c r="N920">
        <f>IFERROR(LEFT(B920,FIND(" ",B920)-1),B920)</f>
        <v/>
      </c>
      <c r="O920">
        <f>AND(B920&lt;&gt;"",B920&lt;&gt;설정!$B$4,C920&lt;&gt;설정!$B$5)</f>
        <v/>
      </c>
      <c r="P920">
        <f>IF(O920,B920&amp;"|"&amp;C920,"")</f>
        <v/>
      </c>
      <c r="Q920">
        <f>AND(O920,COUNTIF(P921:P$1002,P920)=0)</f>
        <v/>
      </c>
      <c r="R920">
        <f>OR(AND(설정!$A$42&lt;&gt;"",ISNUMBER(SEARCH(설정!$A$42,E920&amp;" "&amp;C920))),AND(설정!$A$43&lt;&gt;"",ISNUMBER(SEARCH(설정!$A$43,E920&amp;" "&amp;C920))),AND(설정!$A$44&lt;&gt;"",ISNUMBER(SEARCH(설정!$A$44,E920&amp;" "&amp;C920))),AND(설정!$A$45&lt;&gt;"",ISNUMBER(SEARCH(설정!$A$45,E920&amp;" "&amp;C920))),AND(설정!$A$46&lt;&gt;"",ISNUMBER(SEARCH(설정!$A$46,E920&amp;" "&amp;C920))),AND(설정!$A$47&lt;&gt;"",ISNUMBER(SEARCH(설정!$A$47,E920&amp;" "&amp;C920))),AND(설정!$A$48&lt;&gt;"",ISNUMBER(SEARCH(설정!$A$48,E920&amp;" "&amp;C920))),AND(설정!$A$49&lt;&gt;"",ISNUMBER(SEARCH(설정!$A$49,E920&amp;" "&amp;C920))),AND(설정!$A$50&lt;&gt;"",ISNUMBER(SEARCH(설정!$A$50,E920&amp;" "&amp;C920))),AND(설정!$A$51&lt;&gt;"",ISNUMBER(SEARCH(설정!$A$51,E920&amp;" "&amp;C920))))</f>
        <v/>
      </c>
      <c r="S920">
        <f>OR(D920="",D920&gt;=설정!$B$19)</f>
        <v/>
      </c>
      <c r="T920">
        <f>AND(Q920,R920,S920)</f>
        <v/>
      </c>
      <c r="U920">
        <f>IF(T920,IF(AND(설정!$A$54&lt;&gt;"",ISNUMBER(SEARCH(설정!$A$54,K920))),설정!$B$54,IF(AND(설정!$A$55&lt;&gt;"",ISNUMBER(SEARCH(설정!$A$55,K920))),설정!$B$55,IF(AND(설정!$A$56&lt;&gt;"",ISNUMBER(SEARCH(설정!$A$56,K920))),설정!$B$56,IF(AND(설정!$A$57&lt;&gt;"",ISNUMBER(SEARCH(설정!$A$57,K920))),설정!$B$57,IF(AND(설정!$A$58&lt;&gt;"",ISNUMBER(SEARCH(설정!$A$58,K920))),설정!$B$58,IF(AND(설정!$A$59&lt;&gt;"",ISNUMBER(SEARCH(설정!$A$59,K920))),설정!$B$59,IF(AND(설정!$A$60&lt;&gt;"",ISNUMBER(SEARCH(설정!$A$60,K920))),설정!$B$60,IF(AND(설정!$A$61&lt;&gt;"",ISNUMBER(SEARCH(설정!$A$61,K920))),설정!$B$61,IF(M920="","설계사","시공사"))))))))),"")</f>
        <v/>
      </c>
      <c r="V920">
        <f>SUBSTITUTE(SUBSTITUTE(SUBSTITUTE(SUBSTITUTE(G920,"(주)",""),"㈜",""),"주식회사","")," ","")</f>
        <v/>
      </c>
      <c r="W920">
        <f>IF(AND(T920,V920&lt;&gt;""),IF(COUNTIFS(V$2:V920,V920,T$2:T920,TRUE)=1,MAX(W$1:W919)+1,""),"")</f>
        <v/>
      </c>
      <c r="X920">
        <f>IF(설정!$C$14="","",IFERROR(INDEX('1.산군_붙여넣기'!$A$1:$AZ$1001,ROW(),설정!$C$14)&amp;"",""))</f>
        <v/>
      </c>
      <c r="Y920">
        <f>IF(설정!$C$15="","",IFERROR(INDEX('1.산군_붙여넣기'!$A$1:$AZ$1001,ROW(),설정!$C$15)&amp;"",""))</f>
        <v/>
      </c>
      <c r="Z920">
        <f>IF(T920,V920&amp;"|"&amp;U920,"")</f>
        <v/>
      </c>
      <c r="AA920">
        <f>IF(NOT(Q920),"",IF(NOT(AND(R920,S920)),"✕",IF(OR(OR(AND(L920&lt;&gt;"",M920&lt;&gt;"",N(M920)-N(L920)&gt;설정!$B$27),AND(L920&lt;&gt;"",M920="",설정!$B$24-N(L920)&gt;설정!$B$27)),AND(D920&lt;&gt;"",D920&lt;설정!$B$26)),"△","★")))</f>
        <v/>
      </c>
      <c r="AB920">
        <f>IF(NOT(T920),"",IF(U920="설계사",설정!$B$31,IF(U920="시공사",IF(OR(M920="",설정!$B$24-N(M920)&lt;=설정!$B$28*30.4),설정!$B$32,설정!$B$33),설정!$B$34))+IF(AA920="★",설정!$B$35,0))</f>
        <v/>
      </c>
      <c r="AC920">
        <f>SUBSTITUTE(SUBSTITUTE(SUBSTITUTE(SUBSTITUTE(H920,"(주)",""),"㈜",""),"주식회사","")," ","")</f>
        <v/>
      </c>
      <c r="AD920">
        <f>IF(AND(T920,AC920&lt;&gt;""),IF(COUNTIFS(AC$2:AC920,AC920,T$2:T920,TRUE)=1,MAX(AD$1:AD919)+1,""),"")</f>
        <v/>
      </c>
    </row>
    <row r="921">
      <c r="A921">
        <f>ROW()</f>
        <v/>
      </c>
      <c r="B921">
        <f>IF(설정!$C$4="","",IFERROR(INDEX('1.산군_붙여넣기'!$A$1:$AZ$1001,ROW(),설정!$C$4)&amp;"",""))</f>
        <v/>
      </c>
      <c r="C921">
        <f>IF(설정!$C$5="","",IFERROR(INDEX('1.산군_붙여넣기'!$A$1:$AZ$1001,ROW(),설정!$C$5)&amp;"",""))</f>
        <v/>
      </c>
      <c r="D921" s="5">
        <f>IFERROR(VALUE(SUBSTITUTE(SUBSTITUTE(SUBSTITUTE(IF(설정!$C$6="","",IFERROR(INDEX('1.산군_붙여넣기'!$A$1:$AZ$1001,ROW(),설정!$C$6)&amp;"","")),",",""),"㎡",""),"m2","")),"")</f>
        <v/>
      </c>
      <c r="E921">
        <f>IF(설정!$C$7="","",IFERROR(INDEX('1.산군_붙여넣기'!$A$1:$AZ$1001,ROW(),설정!$C$7)&amp;"",""))</f>
        <v/>
      </c>
      <c r="F921">
        <f>IF(설정!$C$8="","",IFERROR(INDEX('1.산군_붙여넣기'!$A$1:$AZ$1001,ROW(),설정!$C$8)&amp;"",""))</f>
        <v/>
      </c>
      <c r="G921">
        <f>IF(설정!$C$9="","",IFERROR(INDEX('1.산군_붙여넣기'!$A$1:$AZ$1001,ROW(),설정!$C$9)&amp;"",""))</f>
        <v/>
      </c>
      <c r="H921">
        <f>IF(설정!$C$10="","",IFERROR(INDEX('1.산군_붙여넣기'!$A$1:$AZ$1001,ROW(),설정!$C$10)&amp;"",""))</f>
        <v/>
      </c>
      <c r="I921">
        <f>IF(설정!$C$11="","",IFERROR(INDEX('1.산군_붙여넣기'!$A$1:$AZ$1001,ROW(),설정!$C$11)&amp;"",""))</f>
        <v/>
      </c>
      <c r="J921">
        <f>IF(설정!$C$12="","",IFERROR(INDEX('1.산군_붙여넣기'!$A$1:$AZ$1001,ROW(),설정!$C$12)&amp;"",""))</f>
        <v/>
      </c>
      <c r="K921">
        <f>IF(설정!$C$13="","",IFERROR(INDEX('1.산군_붙여넣기'!$A$1:$AZ$1001,ROW(),설정!$C$13)&amp;"",""))</f>
        <v/>
      </c>
      <c r="L921" s="7">
        <f>IF(X921="","",IF(AND(LEN(X921)=8,ISNUMBER(X921*1)),DATE(LEFT(X921,4),MID(X921,5,2),RIGHT(X921,2)),IFERROR(DATEVALUE(SUBSTITUTE(SUBSTITUTE(X921,".","-"),"/","-")),IFERROR(X921*1,""))))</f>
        <v/>
      </c>
      <c r="M921" s="7">
        <f>IF(Y921="","",IF(AND(LEN(Y921)=8,ISNUMBER(Y921*1)),DATE(LEFT(Y921,4),MID(Y921,5,2),RIGHT(Y921,2)),IFERROR(DATEVALUE(SUBSTITUTE(SUBSTITUTE(Y921,".","-"),"/","-")),IFERROR(Y921*1,""))))</f>
        <v/>
      </c>
      <c r="N921">
        <f>IFERROR(LEFT(B921,FIND(" ",B921)-1),B921)</f>
        <v/>
      </c>
      <c r="O921">
        <f>AND(B921&lt;&gt;"",B921&lt;&gt;설정!$B$4,C921&lt;&gt;설정!$B$5)</f>
        <v/>
      </c>
      <c r="P921">
        <f>IF(O921,B921&amp;"|"&amp;C921,"")</f>
        <v/>
      </c>
      <c r="Q921">
        <f>AND(O921,COUNTIF(P922:P$1002,P921)=0)</f>
        <v/>
      </c>
      <c r="R921">
        <f>OR(AND(설정!$A$42&lt;&gt;"",ISNUMBER(SEARCH(설정!$A$42,E921&amp;" "&amp;C921))),AND(설정!$A$43&lt;&gt;"",ISNUMBER(SEARCH(설정!$A$43,E921&amp;" "&amp;C921))),AND(설정!$A$44&lt;&gt;"",ISNUMBER(SEARCH(설정!$A$44,E921&amp;" "&amp;C921))),AND(설정!$A$45&lt;&gt;"",ISNUMBER(SEARCH(설정!$A$45,E921&amp;" "&amp;C921))),AND(설정!$A$46&lt;&gt;"",ISNUMBER(SEARCH(설정!$A$46,E921&amp;" "&amp;C921))),AND(설정!$A$47&lt;&gt;"",ISNUMBER(SEARCH(설정!$A$47,E921&amp;" "&amp;C921))),AND(설정!$A$48&lt;&gt;"",ISNUMBER(SEARCH(설정!$A$48,E921&amp;" "&amp;C921))),AND(설정!$A$49&lt;&gt;"",ISNUMBER(SEARCH(설정!$A$49,E921&amp;" "&amp;C921))),AND(설정!$A$50&lt;&gt;"",ISNUMBER(SEARCH(설정!$A$50,E921&amp;" "&amp;C921))),AND(설정!$A$51&lt;&gt;"",ISNUMBER(SEARCH(설정!$A$51,E921&amp;" "&amp;C921))))</f>
        <v/>
      </c>
      <c r="S921">
        <f>OR(D921="",D921&gt;=설정!$B$19)</f>
        <v/>
      </c>
      <c r="T921">
        <f>AND(Q921,R921,S921)</f>
        <v/>
      </c>
      <c r="U921">
        <f>IF(T921,IF(AND(설정!$A$54&lt;&gt;"",ISNUMBER(SEARCH(설정!$A$54,K921))),설정!$B$54,IF(AND(설정!$A$55&lt;&gt;"",ISNUMBER(SEARCH(설정!$A$55,K921))),설정!$B$55,IF(AND(설정!$A$56&lt;&gt;"",ISNUMBER(SEARCH(설정!$A$56,K921))),설정!$B$56,IF(AND(설정!$A$57&lt;&gt;"",ISNUMBER(SEARCH(설정!$A$57,K921))),설정!$B$57,IF(AND(설정!$A$58&lt;&gt;"",ISNUMBER(SEARCH(설정!$A$58,K921))),설정!$B$58,IF(AND(설정!$A$59&lt;&gt;"",ISNUMBER(SEARCH(설정!$A$59,K921))),설정!$B$59,IF(AND(설정!$A$60&lt;&gt;"",ISNUMBER(SEARCH(설정!$A$60,K921))),설정!$B$60,IF(AND(설정!$A$61&lt;&gt;"",ISNUMBER(SEARCH(설정!$A$61,K921))),설정!$B$61,IF(M921="","설계사","시공사"))))))))),"")</f>
        <v/>
      </c>
      <c r="V921">
        <f>SUBSTITUTE(SUBSTITUTE(SUBSTITUTE(SUBSTITUTE(G921,"(주)",""),"㈜",""),"주식회사","")," ","")</f>
        <v/>
      </c>
      <c r="W921">
        <f>IF(AND(T921,V921&lt;&gt;""),IF(COUNTIFS(V$2:V921,V921,T$2:T921,TRUE)=1,MAX(W$1:W920)+1,""),"")</f>
        <v/>
      </c>
      <c r="X921">
        <f>IF(설정!$C$14="","",IFERROR(INDEX('1.산군_붙여넣기'!$A$1:$AZ$1001,ROW(),설정!$C$14)&amp;"",""))</f>
        <v/>
      </c>
      <c r="Y921">
        <f>IF(설정!$C$15="","",IFERROR(INDEX('1.산군_붙여넣기'!$A$1:$AZ$1001,ROW(),설정!$C$15)&amp;"",""))</f>
        <v/>
      </c>
      <c r="Z921">
        <f>IF(T921,V921&amp;"|"&amp;U921,"")</f>
        <v/>
      </c>
      <c r="AA921">
        <f>IF(NOT(Q921),"",IF(NOT(AND(R921,S921)),"✕",IF(OR(OR(AND(L921&lt;&gt;"",M921&lt;&gt;"",N(M921)-N(L921)&gt;설정!$B$27),AND(L921&lt;&gt;"",M921="",설정!$B$24-N(L921)&gt;설정!$B$27)),AND(D921&lt;&gt;"",D921&lt;설정!$B$26)),"△","★")))</f>
        <v/>
      </c>
      <c r="AB921">
        <f>IF(NOT(T921),"",IF(U921="설계사",설정!$B$31,IF(U921="시공사",IF(OR(M921="",설정!$B$24-N(M921)&lt;=설정!$B$28*30.4),설정!$B$32,설정!$B$33),설정!$B$34))+IF(AA921="★",설정!$B$35,0))</f>
        <v/>
      </c>
      <c r="AC921">
        <f>SUBSTITUTE(SUBSTITUTE(SUBSTITUTE(SUBSTITUTE(H921,"(주)",""),"㈜",""),"주식회사","")," ","")</f>
        <v/>
      </c>
      <c r="AD921">
        <f>IF(AND(T921,AC921&lt;&gt;""),IF(COUNTIFS(AC$2:AC921,AC921,T$2:T921,TRUE)=1,MAX(AD$1:AD920)+1,""),"")</f>
        <v/>
      </c>
    </row>
    <row r="922">
      <c r="A922">
        <f>ROW()</f>
        <v/>
      </c>
      <c r="B922">
        <f>IF(설정!$C$4="","",IFERROR(INDEX('1.산군_붙여넣기'!$A$1:$AZ$1001,ROW(),설정!$C$4)&amp;"",""))</f>
        <v/>
      </c>
      <c r="C922">
        <f>IF(설정!$C$5="","",IFERROR(INDEX('1.산군_붙여넣기'!$A$1:$AZ$1001,ROW(),설정!$C$5)&amp;"",""))</f>
        <v/>
      </c>
      <c r="D922" s="5">
        <f>IFERROR(VALUE(SUBSTITUTE(SUBSTITUTE(SUBSTITUTE(IF(설정!$C$6="","",IFERROR(INDEX('1.산군_붙여넣기'!$A$1:$AZ$1001,ROW(),설정!$C$6)&amp;"","")),",",""),"㎡",""),"m2","")),"")</f>
        <v/>
      </c>
      <c r="E922">
        <f>IF(설정!$C$7="","",IFERROR(INDEX('1.산군_붙여넣기'!$A$1:$AZ$1001,ROW(),설정!$C$7)&amp;"",""))</f>
        <v/>
      </c>
      <c r="F922">
        <f>IF(설정!$C$8="","",IFERROR(INDEX('1.산군_붙여넣기'!$A$1:$AZ$1001,ROW(),설정!$C$8)&amp;"",""))</f>
        <v/>
      </c>
      <c r="G922">
        <f>IF(설정!$C$9="","",IFERROR(INDEX('1.산군_붙여넣기'!$A$1:$AZ$1001,ROW(),설정!$C$9)&amp;"",""))</f>
        <v/>
      </c>
      <c r="H922">
        <f>IF(설정!$C$10="","",IFERROR(INDEX('1.산군_붙여넣기'!$A$1:$AZ$1001,ROW(),설정!$C$10)&amp;"",""))</f>
        <v/>
      </c>
      <c r="I922">
        <f>IF(설정!$C$11="","",IFERROR(INDEX('1.산군_붙여넣기'!$A$1:$AZ$1001,ROW(),설정!$C$11)&amp;"",""))</f>
        <v/>
      </c>
      <c r="J922">
        <f>IF(설정!$C$12="","",IFERROR(INDEX('1.산군_붙여넣기'!$A$1:$AZ$1001,ROW(),설정!$C$12)&amp;"",""))</f>
        <v/>
      </c>
      <c r="K922">
        <f>IF(설정!$C$13="","",IFERROR(INDEX('1.산군_붙여넣기'!$A$1:$AZ$1001,ROW(),설정!$C$13)&amp;"",""))</f>
        <v/>
      </c>
      <c r="L922" s="7">
        <f>IF(X922="","",IF(AND(LEN(X922)=8,ISNUMBER(X922*1)),DATE(LEFT(X922,4),MID(X922,5,2),RIGHT(X922,2)),IFERROR(DATEVALUE(SUBSTITUTE(SUBSTITUTE(X922,".","-"),"/","-")),IFERROR(X922*1,""))))</f>
        <v/>
      </c>
      <c r="M922" s="7">
        <f>IF(Y922="","",IF(AND(LEN(Y922)=8,ISNUMBER(Y922*1)),DATE(LEFT(Y922,4),MID(Y922,5,2),RIGHT(Y922,2)),IFERROR(DATEVALUE(SUBSTITUTE(SUBSTITUTE(Y922,".","-"),"/","-")),IFERROR(Y922*1,""))))</f>
        <v/>
      </c>
      <c r="N922">
        <f>IFERROR(LEFT(B922,FIND(" ",B922)-1),B922)</f>
        <v/>
      </c>
      <c r="O922">
        <f>AND(B922&lt;&gt;"",B922&lt;&gt;설정!$B$4,C922&lt;&gt;설정!$B$5)</f>
        <v/>
      </c>
      <c r="P922">
        <f>IF(O922,B922&amp;"|"&amp;C922,"")</f>
        <v/>
      </c>
      <c r="Q922">
        <f>AND(O922,COUNTIF(P923:P$1002,P922)=0)</f>
        <v/>
      </c>
      <c r="R922">
        <f>OR(AND(설정!$A$42&lt;&gt;"",ISNUMBER(SEARCH(설정!$A$42,E922&amp;" "&amp;C922))),AND(설정!$A$43&lt;&gt;"",ISNUMBER(SEARCH(설정!$A$43,E922&amp;" "&amp;C922))),AND(설정!$A$44&lt;&gt;"",ISNUMBER(SEARCH(설정!$A$44,E922&amp;" "&amp;C922))),AND(설정!$A$45&lt;&gt;"",ISNUMBER(SEARCH(설정!$A$45,E922&amp;" "&amp;C922))),AND(설정!$A$46&lt;&gt;"",ISNUMBER(SEARCH(설정!$A$46,E922&amp;" "&amp;C922))),AND(설정!$A$47&lt;&gt;"",ISNUMBER(SEARCH(설정!$A$47,E922&amp;" "&amp;C922))),AND(설정!$A$48&lt;&gt;"",ISNUMBER(SEARCH(설정!$A$48,E922&amp;" "&amp;C922))),AND(설정!$A$49&lt;&gt;"",ISNUMBER(SEARCH(설정!$A$49,E922&amp;" "&amp;C922))),AND(설정!$A$50&lt;&gt;"",ISNUMBER(SEARCH(설정!$A$50,E922&amp;" "&amp;C922))),AND(설정!$A$51&lt;&gt;"",ISNUMBER(SEARCH(설정!$A$51,E922&amp;" "&amp;C922))))</f>
        <v/>
      </c>
      <c r="S922">
        <f>OR(D922="",D922&gt;=설정!$B$19)</f>
        <v/>
      </c>
      <c r="T922">
        <f>AND(Q922,R922,S922)</f>
        <v/>
      </c>
      <c r="U922">
        <f>IF(T922,IF(AND(설정!$A$54&lt;&gt;"",ISNUMBER(SEARCH(설정!$A$54,K922))),설정!$B$54,IF(AND(설정!$A$55&lt;&gt;"",ISNUMBER(SEARCH(설정!$A$55,K922))),설정!$B$55,IF(AND(설정!$A$56&lt;&gt;"",ISNUMBER(SEARCH(설정!$A$56,K922))),설정!$B$56,IF(AND(설정!$A$57&lt;&gt;"",ISNUMBER(SEARCH(설정!$A$57,K922))),설정!$B$57,IF(AND(설정!$A$58&lt;&gt;"",ISNUMBER(SEARCH(설정!$A$58,K922))),설정!$B$58,IF(AND(설정!$A$59&lt;&gt;"",ISNUMBER(SEARCH(설정!$A$59,K922))),설정!$B$59,IF(AND(설정!$A$60&lt;&gt;"",ISNUMBER(SEARCH(설정!$A$60,K922))),설정!$B$60,IF(AND(설정!$A$61&lt;&gt;"",ISNUMBER(SEARCH(설정!$A$61,K922))),설정!$B$61,IF(M922="","설계사","시공사"))))))))),"")</f>
        <v/>
      </c>
      <c r="V922">
        <f>SUBSTITUTE(SUBSTITUTE(SUBSTITUTE(SUBSTITUTE(G922,"(주)",""),"㈜",""),"주식회사","")," ","")</f>
        <v/>
      </c>
      <c r="W922">
        <f>IF(AND(T922,V922&lt;&gt;""),IF(COUNTIFS(V$2:V922,V922,T$2:T922,TRUE)=1,MAX(W$1:W921)+1,""),"")</f>
        <v/>
      </c>
      <c r="X922">
        <f>IF(설정!$C$14="","",IFERROR(INDEX('1.산군_붙여넣기'!$A$1:$AZ$1001,ROW(),설정!$C$14)&amp;"",""))</f>
        <v/>
      </c>
      <c r="Y922">
        <f>IF(설정!$C$15="","",IFERROR(INDEX('1.산군_붙여넣기'!$A$1:$AZ$1001,ROW(),설정!$C$15)&amp;"",""))</f>
        <v/>
      </c>
      <c r="Z922">
        <f>IF(T922,V922&amp;"|"&amp;U922,"")</f>
        <v/>
      </c>
      <c r="AA922">
        <f>IF(NOT(Q922),"",IF(NOT(AND(R922,S922)),"✕",IF(OR(OR(AND(L922&lt;&gt;"",M922&lt;&gt;"",N(M922)-N(L922)&gt;설정!$B$27),AND(L922&lt;&gt;"",M922="",설정!$B$24-N(L922)&gt;설정!$B$27)),AND(D922&lt;&gt;"",D922&lt;설정!$B$26)),"△","★")))</f>
        <v/>
      </c>
      <c r="AB922">
        <f>IF(NOT(T922),"",IF(U922="설계사",설정!$B$31,IF(U922="시공사",IF(OR(M922="",설정!$B$24-N(M922)&lt;=설정!$B$28*30.4),설정!$B$32,설정!$B$33),설정!$B$34))+IF(AA922="★",설정!$B$35,0))</f>
        <v/>
      </c>
      <c r="AC922">
        <f>SUBSTITUTE(SUBSTITUTE(SUBSTITUTE(SUBSTITUTE(H922,"(주)",""),"㈜",""),"주식회사","")," ","")</f>
        <v/>
      </c>
      <c r="AD922">
        <f>IF(AND(T922,AC922&lt;&gt;""),IF(COUNTIFS(AC$2:AC922,AC922,T$2:T922,TRUE)=1,MAX(AD$1:AD921)+1,""),"")</f>
        <v/>
      </c>
    </row>
    <row r="923">
      <c r="A923">
        <f>ROW()</f>
        <v/>
      </c>
      <c r="B923">
        <f>IF(설정!$C$4="","",IFERROR(INDEX('1.산군_붙여넣기'!$A$1:$AZ$1001,ROW(),설정!$C$4)&amp;"",""))</f>
        <v/>
      </c>
      <c r="C923">
        <f>IF(설정!$C$5="","",IFERROR(INDEX('1.산군_붙여넣기'!$A$1:$AZ$1001,ROW(),설정!$C$5)&amp;"",""))</f>
        <v/>
      </c>
      <c r="D923" s="5">
        <f>IFERROR(VALUE(SUBSTITUTE(SUBSTITUTE(SUBSTITUTE(IF(설정!$C$6="","",IFERROR(INDEX('1.산군_붙여넣기'!$A$1:$AZ$1001,ROW(),설정!$C$6)&amp;"","")),",",""),"㎡",""),"m2","")),"")</f>
        <v/>
      </c>
      <c r="E923">
        <f>IF(설정!$C$7="","",IFERROR(INDEX('1.산군_붙여넣기'!$A$1:$AZ$1001,ROW(),설정!$C$7)&amp;"",""))</f>
        <v/>
      </c>
      <c r="F923">
        <f>IF(설정!$C$8="","",IFERROR(INDEX('1.산군_붙여넣기'!$A$1:$AZ$1001,ROW(),설정!$C$8)&amp;"",""))</f>
        <v/>
      </c>
      <c r="G923">
        <f>IF(설정!$C$9="","",IFERROR(INDEX('1.산군_붙여넣기'!$A$1:$AZ$1001,ROW(),설정!$C$9)&amp;"",""))</f>
        <v/>
      </c>
      <c r="H923">
        <f>IF(설정!$C$10="","",IFERROR(INDEX('1.산군_붙여넣기'!$A$1:$AZ$1001,ROW(),설정!$C$10)&amp;"",""))</f>
        <v/>
      </c>
      <c r="I923">
        <f>IF(설정!$C$11="","",IFERROR(INDEX('1.산군_붙여넣기'!$A$1:$AZ$1001,ROW(),설정!$C$11)&amp;"",""))</f>
        <v/>
      </c>
      <c r="J923">
        <f>IF(설정!$C$12="","",IFERROR(INDEX('1.산군_붙여넣기'!$A$1:$AZ$1001,ROW(),설정!$C$12)&amp;"",""))</f>
        <v/>
      </c>
      <c r="K923">
        <f>IF(설정!$C$13="","",IFERROR(INDEX('1.산군_붙여넣기'!$A$1:$AZ$1001,ROW(),설정!$C$13)&amp;"",""))</f>
        <v/>
      </c>
      <c r="L923" s="7">
        <f>IF(X923="","",IF(AND(LEN(X923)=8,ISNUMBER(X923*1)),DATE(LEFT(X923,4),MID(X923,5,2),RIGHT(X923,2)),IFERROR(DATEVALUE(SUBSTITUTE(SUBSTITUTE(X923,".","-"),"/","-")),IFERROR(X923*1,""))))</f>
        <v/>
      </c>
      <c r="M923" s="7">
        <f>IF(Y923="","",IF(AND(LEN(Y923)=8,ISNUMBER(Y923*1)),DATE(LEFT(Y923,4),MID(Y923,5,2),RIGHT(Y923,2)),IFERROR(DATEVALUE(SUBSTITUTE(SUBSTITUTE(Y923,".","-"),"/","-")),IFERROR(Y923*1,""))))</f>
        <v/>
      </c>
      <c r="N923">
        <f>IFERROR(LEFT(B923,FIND(" ",B923)-1),B923)</f>
        <v/>
      </c>
      <c r="O923">
        <f>AND(B923&lt;&gt;"",B923&lt;&gt;설정!$B$4,C923&lt;&gt;설정!$B$5)</f>
        <v/>
      </c>
      <c r="P923">
        <f>IF(O923,B923&amp;"|"&amp;C923,"")</f>
        <v/>
      </c>
      <c r="Q923">
        <f>AND(O923,COUNTIF(P924:P$1002,P923)=0)</f>
        <v/>
      </c>
      <c r="R923">
        <f>OR(AND(설정!$A$42&lt;&gt;"",ISNUMBER(SEARCH(설정!$A$42,E923&amp;" "&amp;C923))),AND(설정!$A$43&lt;&gt;"",ISNUMBER(SEARCH(설정!$A$43,E923&amp;" "&amp;C923))),AND(설정!$A$44&lt;&gt;"",ISNUMBER(SEARCH(설정!$A$44,E923&amp;" "&amp;C923))),AND(설정!$A$45&lt;&gt;"",ISNUMBER(SEARCH(설정!$A$45,E923&amp;" "&amp;C923))),AND(설정!$A$46&lt;&gt;"",ISNUMBER(SEARCH(설정!$A$46,E923&amp;" "&amp;C923))),AND(설정!$A$47&lt;&gt;"",ISNUMBER(SEARCH(설정!$A$47,E923&amp;" "&amp;C923))),AND(설정!$A$48&lt;&gt;"",ISNUMBER(SEARCH(설정!$A$48,E923&amp;" "&amp;C923))),AND(설정!$A$49&lt;&gt;"",ISNUMBER(SEARCH(설정!$A$49,E923&amp;" "&amp;C923))),AND(설정!$A$50&lt;&gt;"",ISNUMBER(SEARCH(설정!$A$50,E923&amp;" "&amp;C923))),AND(설정!$A$51&lt;&gt;"",ISNUMBER(SEARCH(설정!$A$51,E923&amp;" "&amp;C923))))</f>
        <v/>
      </c>
      <c r="S923">
        <f>OR(D923="",D923&gt;=설정!$B$19)</f>
        <v/>
      </c>
      <c r="T923">
        <f>AND(Q923,R923,S923)</f>
        <v/>
      </c>
      <c r="U923">
        <f>IF(T923,IF(AND(설정!$A$54&lt;&gt;"",ISNUMBER(SEARCH(설정!$A$54,K923))),설정!$B$54,IF(AND(설정!$A$55&lt;&gt;"",ISNUMBER(SEARCH(설정!$A$55,K923))),설정!$B$55,IF(AND(설정!$A$56&lt;&gt;"",ISNUMBER(SEARCH(설정!$A$56,K923))),설정!$B$56,IF(AND(설정!$A$57&lt;&gt;"",ISNUMBER(SEARCH(설정!$A$57,K923))),설정!$B$57,IF(AND(설정!$A$58&lt;&gt;"",ISNUMBER(SEARCH(설정!$A$58,K923))),설정!$B$58,IF(AND(설정!$A$59&lt;&gt;"",ISNUMBER(SEARCH(설정!$A$59,K923))),설정!$B$59,IF(AND(설정!$A$60&lt;&gt;"",ISNUMBER(SEARCH(설정!$A$60,K923))),설정!$B$60,IF(AND(설정!$A$61&lt;&gt;"",ISNUMBER(SEARCH(설정!$A$61,K923))),설정!$B$61,IF(M923="","설계사","시공사"))))))))),"")</f>
        <v/>
      </c>
      <c r="V923">
        <f>SUBSTITUTE(SUBSTITUTE(SUBSTITUTE(SUBSTITUTE(G923,"(주)",""),"㈜",""),"주식회사","")," ","")</f>
        <v/>
      </c>
      <c r="W923">
        <f>IF(AND(T923,V923&lt;&gt;""),IF(COUNTIFS(V$2:V923,V923,T$2:T923,TRUE)=1,MAX(W$1:W922)+1,""),"")</f>
        <v/>
      </c>
      <c r="X923">
        <f>IF(설정!$C$14="","",IFERROR(INDEX('1.산군_붙여넣기'!$A$1:$AZ$1001,ROW(),설정!$C$14)&amp;"",""))</f>
        <v/>
      </c>
      <c r="Y923">
        <f>IF(설정!$C$15="","",IFERROR(INDEX('1.산군_붙여넣기'!$A$1:$AZ$1001,ROW(),설정!$C$15)&amp;"",""))</f>
        <v/>
      </c>
      <c r="Z923">
        <f>IF(T923,V923&amp;"|"&amp;U923,"")</f>
        <v/>
      </c>
      <c r="AA923">
        <f>IF(NOT(Q923),"",IF(NOT(AND(R923,S923)),"✕",IF(OR(OR(AND(L923&lt;&gt;"",M923&lt;&gt;"",N(M923)-N(L923)&gt;설정!$B$27),AND(L923&lt;&gt;"",M923="",설정!$B$24-N(L923)&gt;설정!$B$27)),AND(D923&lt;&gt;"",D923&lt;설정!$B$26)),"△","★")))</f>
        <v/>
      </c>
      <c r="AB923">
        <f>IF(NOT(T923),"",IF(U923="설계사",설정!$B$31,IF(U923="시공사",IF(OR(M923="",설정!$B$24-N(M923)&lt;=설정!$B$28*30.4),설정!$B$32,설정!$B$33),설정!$B$34))+IF(AA923="★",설정!$B$35,0))</f>
        <v/>
      </c>
      <c r="AC923">
        <f>SUBSTITUTE(SUBSTITUTE(SUBSTITUTE(SUBSTITUTE(H923,"(주)",""),"㈜",""),"주식회사","")," ","")</f>
        <v/>
      </c>
      <c r="AD923">
        <f>IF(AND(T923,AC923&lt;&gt;""),IF(COUNTIFS(AC$2:AC923,AC923,T$2:T923,TRUE)=1,MAX(AD$1:AD922)+1,""),"")</f>
        <v/>
      </c>
    </row>
    <row r="924">
      <c r="A924">
        <f>ROW()</f>
        <v/>
      </c>
      <c r="B924">
        <f>IF(설정!$C$4="","",IFERROR(INDEX('1.산군_붙여넣기'!$A$1:$AZ$1001,ROW(),설정!$C$4)&amp;"",""))</f>
        <v/>
      </c>
      <c r="C924">
        <f>IF(설정!$C$5="","",IFERROR(INDEX('1.산군_붙여넣기'!$A$1:$AZ$1001,ROW(),설정!$C$5)&amp;"",""))</f>
        <v/>
      </c>
      <c r="D924" s="5">
        <f>IFERROR(VALUE(SUBSTITUTE(SUBSTITUTE(SUBSTITUTE(IF(설정!$C$6="","",IFERROR(INDEX('1.산군_붙여넣기'!$A$1:$AZ$1001,ROW(),설정!$C$6)&amp;"","")),",",""),"㎡",""),"m2","")),"")</f>
        <v/>
      </c>
      <c r="E924">
        <f>IF(설정!$C$7="","",IFERROR(INDEX('1.산군_붙여넣기'!$A$1:$AZ$1001,ROW(),설정!$C$7)&amp;"",""))</f>
        <v/>
      </c>
      <c r="F924">
        <f>IF(설정!$C$8="","",IFERROR(INDEX('1.산군_붙여넣기'!$A$1:$AZ$1001,ROW(),설정!$C$8)&amp;"",""))</f>
        <v/>
      </c>
      <c r="G924">
        <f>IF(설정!$C$9="","",IFERROR(INDEX('1.산군_붙여넣기'!$A$1:$AZ$1001,ROW(),설정!$C$9)&amp;"",""))</f>
        <v/>
      </c>
      <c r="H924">
        <f>IF(설정!$C$10="","",IFERROR(INDEX('1.산군_붙여넣기'!$A$1:$AZ$1001,ROW(),설정!$C$10)&amp;"",""))</f>
        <v/>
      </c>
      <c r="I924">
        <f>IF(설정!$C$11="","",IFERROR(INDEX('1.산군_붙여넣기'!$A$1:$AZ$1001,ROW(),설정!$C$11)&amp;"",""))</f>
        <v/>
      </c>
      <c r="J924">
        <f>IF(설정!$C$12="","",IFERROR(INDEX('1.산군_붙여넣기'!$A$1:$AZ$1001,ROW(),설정!$C$12)&amp;"",""))</f>
        <v/>
      </c>
      <c r="K924">
        <f>IF(설정!$C$13="","",IFERROR(INDEX('1.산군_붙여넣기'!$A$1:$AZ$1001,ROW(),설정!$C$13)&amp;"",""))</f>
        <v/>
      </c>
      <c r="L924" s="7">
        <f>IF(X924="","",IF(AND(LEN(X924)=8,ISNUMBER(X924*1)),DATE(LEFT(X924,4),MID(X924,5,2),RIGHT(X924,2)),IFERROR(DATEVALUE(SUBSTITUTE(SUBSTITUTE(X924,".","-"),"/","-")),IFERROR(X924*1,""))))</f>
        <v/>
      </c>
      <c r="M924" s="7">
        <f>IF(Y924="","",IF(AND(LEN(Y924)=8,ISNUMBER(Y924*1)),DATE(LEFT(Y924,4),MID(Y924,5,2),RIGHT(Y924,2)),IFERROR(DATEVALUE(SUBSTITUTE(SUBSTITUTE(Y924,".","-"),"/","-")),IFERROR(Y924*1,""))))</f>
        <v/>
      </c>
      <c r="N924">
        <f>IFERROR(LEFT(B924,FIND(" ",B924)-1),B924)</f>
        <v/>
      </c>
      <c r="O924">
        <f>AND(B924&lt;&gt;"",B924&lt;&gt;설정!$B$4,C924&lt;&gt;설정!$B$5)</f>
        <v/>
      </c>
      <c r="P924">
        <f>IF(O924,B924&amp;"|"&amp;C924,"")</f>
        <v/>
      </c>
      <c r="Q924">
        <f>AND(O924,COUNTIF(P925:P$1002,P924)=0)</f>
        <v/>
      </c>
      <c r="R924">
        <f>OR(AND(설정!$A$42&lt;&gt;"",ISNUMBER(SEARCH(설정!$A$42,E924&amp;" "&amp;C924))),AND(설정!$A$43&lt;&gt;"",ISNUMBER(SEARCH(설정!$A$43,E924&amp;" "&amp;C924))),AND(설정!$A$44&lt;&gt;"",ISNUMBER(SEARCH(설정!$A$44,E924&amp;" "&amp;C924))),AND(설정!$A$45&lt;&gt;"",ISNUMBER(SEARCH(설정!$A$45,E924&amp;" "&amp;C924))),AND(설정!$A$46&lt;&gt;"",ISNUMBER(SEARCH(설정!$A$46,E924&amp;" "&amp;C924))),AND(설정!$A$47&lt;&gt;"",ISNUMBER(SEARCH(설정!$A$47,E924&amp;" "&amp;C924))),AND(설정!$A$48&lt;&gt;"",ISNUMBER(SEARCH(설정!$A$48,E924&amp;" "&amp;C924))),AND(설정!$A$49&lt;&gt;"",ISNUMBER(SEARCH(설정!$A$49,E924&amp;" "&amp;C924))),AND(설정!$A$50&lt;&gt;"",ISNUMBER(SEARCH(설정!$A$50,E924&amp;" "&amp;C924))),AND(설정!$A$51&lt;&gt;"",ISNUMBER(SEARCH(설정!$A$51,E924&amp;" "&amp;C924))))</f>
        <v/>
      </c>
      <c r="S924">
        <f>OR(D924="",D924&gt;=설정!$B$19)</f>
        <v/>
      </c>
      <c r="T924">
        <f>AND(Q924,R924,S924)</f>
        <v/>
      </c>
      <c r="U924">
        <f>IF(T924,IF(AND(설정!$A$54&lt;&gt;"",ISNUMBER(SEARCH(설정!$A$54,K924))),설정!$B$54,IF(AND(설정!$A$55&lt;&gt;"",ISNUMBER(SEARCH(설정!$A$55,K924))),설정!$B$55,IF(AND(설정!$A$56&lt;&gt;"",ISNUMBER(SEARCH(설정!$A$56,K924))),설정!$B$56,IF(AND(설정!$A$57&lt;&gt;"",ISNUMBER(SEARCH(설정!$A$57,K924))),설정!$B$57,IF(AND(설정!$A$58&lt;&gt;"",ISNUMBER(SEARCH(설정!$A$58,K924))),설정!$B$58,IF(AND(설정!$A$59&lt;&gt;"",ISNUMBER(SEARCH(설정!$A$59,K924))),설정!$B$59,IF(AND(설정!$A$60&lt;&gt;"",ISNUMBER(SEARCH(설정!$A$60,K924))),설정!$B$60,IF(AND(설정!$A$61&lt;&gt;"",ISNUMBER(SEARCH(설정!$A$61,K924))),설정!$B$61,IF(M924="","설계사","시공사"))))))))),"")</f>
        <v/>
      </c>
      <c r="V924">
        <f>SUBSTITUTE(SUBSTITUTE(SUBSTITUTE(SUBSTITUTE(G924,"(주)",""),"㈜",""),"주식회사","")," ","")</f>
        <v/>
      </c>
      <c r="W924">
        <f>IF(AND(T924,V924&lt;&gt;""),IF(COUNTIFS(V$2:V924,V924,T$2:T924,TRUE)=1,MAX(W$1:W923)+1,""),"")</f>
        <v/>
      </c>
      <c r="X924">
        <f>IF(설정!$C$14="","",IFERROR(INDEX('1.산군_붙여넣기'!$A$1:$AZ$1001,ROW(),설정!$C$14)&amp;"",""))</f>
        <v/>
      </c>
      <c r="Y924">
        <f>IF(설정!$C$15="","",IFERROR(INDEX('1.산군_붙여넣기'!$A$1:$AZ$1001,ROW(),설정!$C$15)&amp;"",""))</f>
        <v/>
      </c>
      <c r="Z924">
        <f>IF(T924,V924&amp;"|"&amp;U924,"")</f>
        <v/>
      </c>
      <c r="AA924">
        <f>IF(NOT(Q924),"",IF(NOT(AND(R924,S924)),"✕",IF(OR(OR(AND(L924&lt;&gt;"",M924&lt;&gt;"",N(M924)-N(L924)&gt;설정!$B$27),AND(L924&lt;&gt;"",M924="",설정!$B$24-N(L924)&gt;설정!$B$27)),AND(D924&lt;&gt;"",D924&lt;설정!$B$26)),"△","★")))</f>
        <v/>
      </c>
      <c r="AB924">
        <f>IF(NOT(T924),"",IF(U924="설계사",설정!$B$31,IF(U924="시공사",IF(OR(M924="",설정!$B$24-N(M924)&lt;=설정!$B$28*30.4),설정!$B$32,설정!$B$33),설정!$B$34))+IF(AA924="★",설정!$B$35,0))</f>
        <v/>
      </c>
      <c r="AC924">
        <f>SUBSTITUTE(SUBSTITUTE(SUBSTITUTE(SUBSTITUTE(H924,"(주)",""),"㈜",""),"주식회사","")," ","")</f>
        <v/>
      </c>
      <c r="AD924">
        <f>IF(AND(T924,AC924&lt;&gt;""),IF(COUNTIFS(AC$2:AC924,AC924,T$2:T924,TRUE)=1,MAX(AD$1:AD923)+1,""),"")</f>
        <v/>
      </c>
    </row>
    <row r="925">
      <c r="A925">
        <f>ROW()</f>
        <v/>
      </c>
      <c r="B925">
        <f>IF(설정!$C$4="","",IFERROR(INDEX('1.산군_붙여넣기'!$A$1:$AZ$1001,ROW(),설정!$C$4)&amp;"",""))</f>
        <v/>
      </c>
      <c r="C925">
        <f>IF(설정!$C$5="","",IFERROR(INDEX('1.산군_붙여넣기'!$A$1:$AZ$1001,ROW(),설정!$C$5)&amp;"",""))</f>
        <v/>
      </c>
      <c r="D925" s="5">
        <f>IFERROR(VALUE(SUBSTITUTE(SUBSTITUTE(SUBSTITUTE(IF(설정!$C$6="","",IFERROR(INDEX('1.산군_붙여넣기'!$A$1:$AZ$1001,ROW(),설정!$C$6)&amp;"","")),",",""),"㎡",""),"m2","")),"")</f>
        <v/>
      </c>
      <c r="E925">
        <f>IF(설정!$C$7="","",IFERROR(INDEX('1.산군_붙여넣기'!$A$1:$AZ$1001,ROW(),설정!$C$7)&amp;"",""))</f>
        <v/>
      </c>
      <c r="F925">
        <f>IF(설정!$C$8="","",IFERROR(INDEX('1.산군_붙여넣기'!$A$1:$AZ$1001,ROW(),설정!$C$8)&amp;"",""))</f>
        <v/>
      </c>
      <c r="G925">
        <f>IF(설정!$C$9="","",IFERROR(INDEX('1.산군_붙여넣기'!$A$1:$AZ$1001,ROW(),설정!$C$9)&amp;"",""))</f>
        <v/>
      </c>
      <c r="H925">
        <f>IF(설정!$C$10="","",IFERROR(INDEX('1.산군_붙여넣기'!$A$1:$AZ$1001,ROW(),설정!$C$10)&amp;"",""))</f>
        <v/>
      </c>
      <c r="I925">
        <f>IF(설정!$C$11="","",IFERROR(INDEX('1.산군_붙여넣기'!$A$1:$AZ$1001,ROW(),설정!$C$11)&amp;"",""))</f>
        <v/>
      </c>
      <c r="J925">
        <f>IF(설정!$C$12="","",IFERROR(INDEX('1.산군_붙여넣기'!$A$1:$AZ$1001,ROW(),설정!$C$12)&amp;"",""))</f>
        <v/>
      </c>
      <c r="K925">
        <f>IF(설정!$C$13="","",IFERROR(INDEX('1.산군_붙여넣기'!$A$1:$AZ$1001,ROW(),설정!$C$13)&amp;"",""))</f>
        <v/>
      </c>
      <c r="L925" s="7">
        <f>IF(X925="","",IF(AND(LEN(X925)=8,ISNUMBER(X925*1)),DATE(LEFT(X925,4),MID(X925,5,2),RIGHT(X925,2)),IFERROR(DATEVALUE(SUBSTITUTE(SUBSTITUTE(X925,".","-"),"/","-")),IFERROR(X925*1,""))))</f>
        <v/>
      </c>
      <c r="M925" s="7">
        <f>IF(Y925="","",IF(AND(LEN(Y925)=8,ISNUMBER(Y925*1)),DATE(LEFT(Y925,4),MID(Y925,5,2),RIGHT(Y925,2)),IFERROR(DATEVALUE(SUBSTITUTE(SUBSTITUTE(Y925,".","-"),"/","-")),IFERROR(Y925*1,""))))</f>
        <v/>
      </c>
      <c r="N925">
        <f>IFERROR(LEFT(B925,FIND(" ",B925)-1),B925)</f>
        <v/>
      </c>
      <c r="O925">
        <f>AND(B925&lt;&gt;"",B925&lt;&gt;설정!$B$4,C925&lt;&gt;설정!$B$5)</f>
        <v/>
      </c>
      <c r="P925">
        <f>IF(O925,B925&amp;"|"&amp;C925,"")</f>
        <v/>
      </c>
      <c r="Q925">
        <f>AND(O925,COUNTIF(P926:P$1002,P925)=0)</f>
        <v/>
      </c>
      <c r="R925">
        <f>OR(AND(설정!$A$42&lt;&gt;"",ISNUMBER(SEARCH(설정!$A$42,E925&amp;" "&amp;C925))),AND(설정!$A$43&lt;&gt;"",ISNUMBER(SEARCH(설정!$A$43,E925&amp;" "&amp;C925))),AND(설정!$A$44&lt;&gt;"",ISNUMBER(SEARCH(설정!$A$44,E925&amp;" "&amp;C925))),AND(설정!$A$45&lt;&gt;"",ISNUMBER(SEARCH(설정!$A$45,E925&amp;" "&amp;C925))),AND(설정!$A$46&lt;&gt;"",ISNUMBER(SEARCH(설정!$A$46,E925&amp;" "&amp;C925))),AND(설정!$A$47&lt;&gt;"",ISNUMBER(SEARCH(설정!$A$47,E925&amp;" "&amp;C925))),AND(설정!$A$48&lt;&gt;"",ISNUMBER(SEARCH(설정!$A$48,E925&amp;" "&amp;C925))),AND(설정!$A$49&lt;&gt;"",ISNUMBER(SEARCH(설정!$A$49,E925&amp;" "&amp;C925))),AND(설정!$A$50&lt;&gt;"",ISNUMBER(SEARCH(설정!$A$50,E925&amp;" "&amp;C925))),AND(설정!$A$51&lt;&gt;"",ISNUMBER(SEARCH(설정!$A$51,E925&amp;" "&amp;C925))))</f>
        <v/>
      </c>
      <c r="S925">
        <f>OR(D925="",D925&gt;=설정!$B$19)</f>
        <v/>
      </c>
      <c r="T925">
        <f>AND(Q925,R925,S925)</f>
        <v/>
      </c>
      <c r="U925">
        <f>IF(T925,IF(AND(설정!$A$54&lt;&gt;"",ISNUMBER(SEARCH(설정!$A$54,K925))),설정!$B$54,IF(AND(설정!$A$55&lt;&gt;"",ISNUMBER(SEARCH(설정!$A$55,K925))),설정!$B$55,IF(AND(설정!$A$56&lt;&gt;"",ISNUMBER(SEARCH(설정!$A$56,K925))),설정!$B$56,IF(AND(설정!$A$57&lt;&gt;"",ISNUMBER(SEARCH(설정!$A$57,K925))),설정!$B$57,IF(AND(설정!$A$58&lt;&gt;"",ISNUMBER(SEARCH(설정!$A$58,K925))),설정!$B$58,IF(AND(설정!$A$59&lt;&gt;"",ISNUMBER(SEARCH(설정!$A$59,K925))),설정!$B$59,IF(AND(설정!$A$60&lt;&gt;"",ISNUMBER(SEARCH(설정!$A$60,K925))),설정!$B$60,IF(AND(설정!$A$61&lt;&gt;"",ISNUMBER(SEARCH(설정!$A$61,K925))),설정!$B$61,IF(M925="","설계사","시공사"))))))))),"")</f>
        <v/>
      </c>
      <c r="V925">
        <f>SUBSTITUTE(SUBSTITUTE(SUBSTITUTE(SUBSTITUTE(G925,"(주)",""),"㈜",""),"주식회사","")," ","")</f>
        <v/>
      </c>
      <c r="W925">
        <f>IF(AND(T925,V925&lt;&gt;""),IF(COUNTIFS(V$2:V925,V925,T$2:T925,TRUE)=1,MAX(W$1:W924)+1,""),"")</f>
        <v/>
      </c>
      <c r="X925">
        <f>IF(설정!$C$14="","",IFERROR(INDEX('1.산군_붙여넣기'!$A$1:$AZ$1001,ROW(),설정!$C$14)&amp;"",""))</f>
        <v/>
      </c>
      <c r="Y925">
        <f>IF(설정!$C$15="","",IFERROR(INDEX('1.산군_붙여넣기'!$A$1:$AZ$1001,ROW(),설정!$C$15)&amp;"",""))</f>
        <v/>
      </c>
      <c r="Z925">
        <f>IF(T925,V925&amp;"|"&amp;U925,"")</f>
        <v/>
      </c>
      <c r="AA925">
        <f>IF(NOT(Q925),"",IF(NOT(AND(R925,S925)),"✕",IF(OR(OR(AND(L925&lt;&gt;"",M925&lt;&gt;"",N(M925)-N(L925)&gt;설정!$B$27),AND(L925&lt;&gt;"",M925="",설정!$B$24-N(L925)&gt;설정!$B$27)),AND(D925&lt;&gt;"",D925&lt;설정!$B$26)),"△","★")))</f>
        <v/>
      </c>
      <c r="AB925">
        <f>IF(NOT(T925),"",IF(U925="설계사",설정!$B$31,IF(U925="시공사",IF(OR(M925="",설정!$B$24-N(M925)&lt;=설정!$B$28*30.4),설정!$B$32,설정!$B$33),설정!$B$34))+IF(AA925="★",설정!$B$35,0))</f>
        <v/>
      </c>
      <c r="AC925">
        <f>SUBSTITUTE(SUBSTITUTE(SUBSTITUTE(SUBSTITUTE(H925,"(주)",""),"㈜",""),"주식회사","")," ","")</f>
        <v/>
      </c>
      <c r="AD925">
        <f>IF(AND(T925,AC925&lt;&gt;""),IF(COUNTIFS(AC$2:AC925,AC925,T$2:T925,TRUE)=1,MAX(AD$1:AD924)+1,""),"")</f>
        <v/>
      </c>
    </row>
    <row r="926">
      <c r="A926">
        <f>ROW()</f>
        <v/>
      </c>
      <c r="B926">
        <f>IF(설정!$C$4="","",IFERROR(INDEX('1.산군_붙여넣기'!$A$1:$AZ$1001,ROW(),설정!$C$4)&amp;"",""))</f>
        <v/>
      </c>
      <c r="C926">
        <f>IF(설정!$C$5="","",IFERROR(INDEX('1.산군_붙여넣기'!$A$1:$AZ$1001,ROW(),설정!$C$5)&amp;"",""))</f>
        <v/>
      </c>
      <c r="D926" s="5">
        <f>IFERROR(VALUE(SUBSTITUTE(SUBSTITUTE(SUBSTITUTE(IF(설정!$C$6="","",IFERROR(INDEX('1.산군_붙여넣기'!$A$1:$AZ$1001,ROW(),설정!$C$6)&amp;"","")),",",""),"㎡",""),"m2","")),"")</f>
        <v/>
      </c>
      <c r="E926">
        <f>IF(설정!$C$7="","",IFERROR(INDEX('1.산군_붙여넣기'!$A$1:$AZ$1001,ROW(),설정!$C$7)&amp;"",""))</f>
        <v/>
      </c>
      <c r="F926">
        <f>IF(설정!$C$8="","",IFERROR(INDEX('1.산군_붙여넣기'!$A$1:$AZ$1001,ROW(),설정!$C$8)&amp;"",""))</f>
        <v/>
      </c>
      <c r="G926">
        <f>IF(설정!$C$9="","",IFERROR(INDEX('1.산군_붙여넣기'!$A$1:$AZ$1001,ROW(),설정!$C$9)&amp;"",""))</f>
        <v/>
      </c>
      <c r="H926">
        <f>IF(설정!$C$10="","",IFERROR(INDEX('1.산군_붙여넣기'!$A$1:$AZ$1001,ROW(),설정!$C$10)&amp;"",""))</f>
        <v/>
      </c>
      <c r="I926">
        <f>IF(설정!$C$11="","",IFERROR(INDEX('1.산군_붙여넣기'!$A$1:$AZ$1001,ROW(),설정!$C$11)&amp;"",""))</f>
        <v/>
      </c>
      <c r="J926">
        <f>IF(설정!$C$12="","",IFERROR(INDEX('1.산군_붙여넣기'!$A$1:$AZ$1001,ROW(),설정!$C$12)&amp;"",""))</f>
        <v/>
      </c>
      <c r="K926">
        <f>IF(설정!$C$13="","",IFERROR(INDEX('1.산군_붙여넣기'!$A$1:$AZ$1001,ROW(),설정!$C$13)&amp;"",""))</f>
        <v/>
      </c>
      <c r="L926" s="7">
        <f>IF(X926="","",IF(AND(LEN(X926)=8,ISNUMBER(X926*1)),DATE(LEFT(X926,4),MID(X926,5,2),RIGHT(X926,2)),IFERROR(DATEVALUE(SUBSTITUTE(SUBSTITUTE(X926,".","-"),"/","-")),IFERROR(X926*1,""))))</f>
        <v/>
      </c>
      <c r="M926" s="7">
        <f>IF(Y926="","",IF(AND(LEN(Y926)=8,ISNUMBER(Y926*1)),DATE(LEFT(Y926,4),MID(Y926,5,2),RIGHT(Y926,2)),IFERROR(DATEVALUE(SUBSTITUTE(SUBSTITUTE(Y926,".","-"),"/","-")),IFERROR(Y926*1,""))))</f>
        <v/>
      </c>
      <c r="N926">
        <f>IFERROR(LEFT(B926,FIND(" ",B926)-1),B926)</f>
        <v/>
      </c>
      <c r="O926">
        <f>AND(B926&lt;&gt;"",B926&lt;&gt;설정!$B$4,C926&lt;&gt;설정!$B$5)</f>
        <v/>
      </c>
      <c r="P926">
        <f>IF(O926,B926&amp;"|"&amp;C926,"")</f>
        <v/>
      </c>
      <c r="Q926">
        <f>AND(O926,COUNTIF(P927:P$1002,P926)=0)</f>
        <v/>
      </c>
      <c r="R926">
        <f>OR(AND(설정!$A$42&lt;&gt;"",ISNUMBER(SEARCH(설정!$A$42,E926&amp;" "&amp;C926))),AND(설정!$A$43&lt;&gt;"",ISNUMBER(SEARCH(설정!$A$43,E926&amp;" "&amp;C926))),AND(설정!$A$44&lt;&gt;"",ISNUMBER(SEARCH(설정!$A$44,E926&amp;" "&amp;C926))),AND(설정!$A$45&lt;&gt;"",ISNUMBER(SEARCH(설정!$A$45,E926&amp;" "&amp;C926))),AND(설정!$A$46&lt;&gt;"",ISNUMBER(SEARCH(설정!$A$46,E926&amp;" "&amp;C926))),AND(설정!$A$47&lt;&gt;"",ISNUMBER(SEARCH(설정!$A$47,E926&amp;" "&amp;C926))),AND(설정!$A$48&lt;&gt;"",ISNUMBER(SEARCH(설정!$A$48,E926&amp;" "&amp;C926))),AND(설정!$A$49&lt;&gt;"",ISNUMBER(SEARCH(설정!$A$49,E926&amp;" "&amp;C926))),AND(설정!$A$50&lt;&gt;"",ISNUMBER(SEARCH(설정!$A$50,E926&amp;" "&amp;C926))),AND(설정!$A$51&lt;&gt;"",ISNUMBER(SEARCH(설정!$A$51,E926&amp;" "&amp;C926))))</f>
        <v/>
      </c>
      <c r="S926">
        <f>OR(D926="",D926&gt;=설정!$B$19)</f>
        <v/>
      </c>
      <c r="T926">
        <f>AND(Q926,R926,S926)</f>
        <v/>
      </c>
      <c r="U926">
        <f>IF(T926,IF(AND(설정!$A$54&lt;&gt;"",ISNUMBER(SEARCH(설정!$A$54,K926))),설정!$B$54,IF(AND(설정!$A$55&lt;&gt;"",ISNUMBER(SEARCH(설정!$A$55,K926))),설정!$B$55,IF(AND(설정!$A$56&lt;&gt;"",ISNUMBER(SEARCH(설정!$A$56,K926))),설정!$B$56,IF(AND(설정!$A$57&lt;&gt;"",ISNUMBER(SEARCH(설정!$A$57,K926))),설정!$B$57,IF(AND(설정!$A$58&lt;&gt;"",ISNUMBER(SEARCH(설정!$A$58,K926))),설정!$B$58,IF(AND(설정!$A$59&lt;&gt;"",ISNUMBER(SEARCH(설정!$A$59,K926))),설정!$B$59,IF(AND(설정!$A$60&lt;&gt;"",ISNUMBER(SEARCH(설정!$A$60,K926))),설정!$B$60,IF(AND(설정!$A$61&lt;&gt;"",ISNUMBER(SEARCH(설정!$A$61,K926))),설정!$B$61,IF(M926="","설계사","시공사"))))))))),"")</f>
        <v/>
      </c>
      <c r="V926">
        <f>SUBSTITUTE(SUBSTITUTE(SUBSTITUTE(SUBSTITUTE(G926,"(주)",""),"㈜",""),"주식회사","")," ","")</f>
        <v/>
      </c>
      <c r="W926">
        <f>IF(AND(T926,V926&lt;&gt;""),IF(COUNTIFS(V$2:V926,V926,T$2:T926,TRUE)=1,MAX(W$1:W925)+1,""),"")</f>
        <v/>
      </c>
      <c r="X926">
        <f>IF(설정!$C$14="","",IFERROR(INDEX('1.산군_붙여넣기'!$A$1:$AZ$1001,ROW(),설정!$C$14)&amp;"",""))</f>
        <v/>
      </c>
      <c r="Y926">
        <f>IF(설정!$C$15="","",IFERROR(INDEX('1.산군_붙여넣기'!$A$1:$AZ$1001,ROW(),설정!$C$15)&amp;"",""))</f>
        <v/>
      </c>
      <c r="Z926">
        <f>IF(T926,V926&amp;"|"&amp;U926,"")</f>
        <v/>
      </c>
      <c r="AA926">
        <f>IF(NOT(Q926),"",IF(NOT(AND(R926,S926)),"✕",IF(OR(OR(AND(L926&lt;&gt;"",M926&lt;&gt;"",N(M926)-N(L926)&gt;설정!$B$27),AND(L926&lt;&gt;"",M926="",설정!$B$24-N(L926)&gt;설정!$B$27)),AND(D926&lt;&gt;"",D926&lt;설정!$B$26)),"△","★")))</f>
        <v/>
      </c>
      <c r="AB926">
        <f>IF(NOT(T926),"",IF(U926="설계사",설정!$B$31,IF(U926="시공사",IF(OR(M926="",설정!$B$24-N(M926)&lt;=설정!$B$28*30.4),설정!$B$32,설정!$B$33),설정!$B$34))+IF(AA926="★",설정!$B$35,0))</f>
        <v/>
      </c>
      <c r="AC926">
        <f>SUBSTITUTE(SUBSTITUTE(SUBSTITUTE(SUBSTITUTE(H926,"(주)",""),"㈜",""),"주식회사","")," ","")</f>
        <v/>
      </c>
      <c r="AD926">
        <f>IF(AND(T926,AC926&lt;&gt;""),IF(COUNTIFS(AC$2:AC926,AC926,T$2:T926,TRUE)=1,MAX(AD$1:AD925)+1,""),"")</f>
        <v/>
      </c>
    </row>
    <row r="927">
      <c r="A927">
        <f>ROW()</f>
        <v/>
      </c>
      <c r="B927">
        <f>IF(설정!$C$4="","",IFERROR(INDEX('1.산군_붙여넣기'!$A$1:$AZ$1001,ROW(),설정!$C$4)&amp;"",""))</f>
        <v/>
      </c>
      <c r="C927">
        <f>IF(설정!$C$5="","",IFERROR(INDEX('1.산군_붙여넣기'!$A$1:$AZ$1001,ROW(),설정!$C$5)&amp;"",""))</f>
        <v/>
      </c>
      <c r="D927" s="5">
        <f>IFERROR(VALUE(SUBSTITUTE(SUBSTITUTE(SUBSTITUTE(IF(설정!$C$6="","",IFERROR(INDEX('1.산군_붙여넣기'!$A$1:$AZ$1001,ROW(),설정!$C$6)&amp;"","")),",",""),"㎡",""),"m2","")),"")</f>
        <v/>
      </c>
      <c r="E927">
        <f>IF(설정!$C$7="","",IFERROR(INDEX('1.산군_붙여넣기'!$A$1:$AZ$1001,ROW(),설정!$C$7)&amp;"",""))</f>
        <v/>
      </c>
      <c r="F927">
        <f>IF(설정!$C$8="","",IFERROR(INDEX('1.산군_붙여넣기'!$A$1:$AZ$1001,ROW(),설정!$C$8)&amp;"",""))</f>
        <v/>
      </c>
      <c r="G927">
        <f>IF(설정!$C$9="","",IFERROR(INDEX('1.산군_붙여넣기'!$A$1:$AZ$1001,ROW(),설정!$C$9)&amp;"",""))</f>
        <v/>
      </c>
      <c r="H927">
        <f>IF(설정!$C$10="","",IFERROR(INDEX('1.산군_붙여넣기'!$A$1:$AZ$1001,ROW(),설정!$C$10)&amp;"",""))</f>
        <v/>
      </c>
      <c r="I927">
        <f>IF(설정!$C$11="","",IFERROR(INDEX('1.산군_붙여넣기'!$A$1:$AZ$1001,ROW(),설정!$C$11)&amp;"",""))</f>
        <v/>
      </c>
      <c r="J927">
        <f>IF(설정!$C$12="","",IFERROR(INDEX('1.산군_붙여넣기'!$A$1:$AZ$1001,ROW(),설정!$C$12)&amp;"",""))</f>
        <v/>
      </c>
      <c r="K927">
        <f>IF(설정!$C$13="","",IFERROR(INDEX('1.산군_붙여넣기'!$A$1:$AZ$1001,ROW(),설정!$C$13)&amp;"",""))</f>
        <v/>
      </c>
      <c r="L927" s="7">
        <f>IF(X927="","",IF(AND(LEN(X927)=8,ISNUMBER(X927*1)),DATE(LEFT(X927,4),MID(X927,5,2),RIGHT(X927,2)),IFERROR(DATEVALUE(SUBSTITUTE(SUBSTITUTE(X927,".","-"),"/","-")),IFERROR(X927*1,""))))</f>
        <v/>
      </c>
      <c r="M927" s="7">
        <f>IF(Y927="","",IF(AND(LEN(Y927)=8,ISNUMBER(Y927*1)),DATE(LEFT(Y927,4),MID(Y927,5,2),RIGHT(Y927,2)),IFERROR(DATEVALUE(SUBSTITUTE(SUBSTITUTE(Y927,".","-"),"/","-")),IFERROR(Y927*1,""))))</f>
        <v/>
      </c>
      <c r="N927">
        <f>IFERROR(LEFT(B927,FIND(" ",B927)-1),B927)</f>
        <v/>
      </c>
      <c r="O927">
        <f>AND(B927&lt;&gt;"",B927&lt;&gt;설정!$B$4,C927&lt;&gt;설정!$B$5)</f>
        <v/>
      </c>
      <c r="P927">
        <f>IF(O927,B927&amp;"|"&amp;C927,"")</f>
        <v/>
      </c>
      <c r="Q927">
        <f>AND(O927,COUNTIF(P928:P$1002,P927)=0)</f>
        <v/>
      </c>
      <c r="R927">
        <f>OR(AND(설정!$A$42&lt;&gt;"",ISNUMBER(SEARCH(설정!$A$42,E927&amp;" "&amp;C927))),AND(설정!$A$43&lt;&gt;"",ISNUMBER(SEARCH(설정!$A$43,E927&amp;" "&amp;C927))),AND(설정!$A$44&lt;&gt;"",ISNUMBER(SEARCH(설정!$A$44,E927&amp;" "&amp;C927))),AND(설정!$A$45&lt;&gt;"",ISNUMBER(SEARCH(설정!$A$45,E927&amp;" "&amp;C927))),AND(설정!$A$46&lt;&gt;"",ISNUMBER(SEARCH(설정!$A$46,E927&amp;" "&amp;C927))),AND(설정!$A$47&lt;&gt;"",ISNUMBER(SEARCH(설정!$A$47,E927&amp;" "&amp;C927))),AND(설정!$A$48&lt;&gt;"",ISNUMBER(SEARCH(설정!$A$48,E927&amp;" "&amp;C927))),AND(설정!$A$49&lt;&gt;"",ISNUMBER(SEARCH(설정!$A$49,E927&amp;" "&amp;C927))),AND(설정!$A$50&lt;&gt;"",ISNUMBER(SEARCH(설정!$A$50,E927&amp;" "&amp;C927))),AND(설정!$A$51&lt;&gt;"",ISNUMBER(SEARCH(설정!$A$51,E927&amp;" "&amp;C927))))</f>
        <v/>
      </c>
      <c r="S927">
        <f>OR(D927="",D927&gt;=설정!$B$19)</f>
        <v/>
      </c>
      <c r="T927">
        <f>AND(Q927,R927,S927)</f>
        <v/>
      </c>
      <c r="U927">
        <f>IF(T927,IF(AND(설정!$A$54&lt;&gt;"",ISNUMBER(SEARCH(설정!$A$54,K927))),설정!$B$54,IF(AND(설정!$A$55&lt;&gt;"",ISNUMBER(SEARCH(설정!$A$55,K927))),설정!$B$55,IF(AND(설정!$A$56&lt;&gt;"",ISNUMBER(SEARCH(설정!$A$56,K927))),설정!$B$56,IF(AND(설정!$A$57&lt;&gt;"",ISNUMBER(SEARCH(설정!$A$57,K927))),설정!$B$57,IF(AND(설정!$A$58&lt;&gt;"",ISNUMBER(SEARCH(설정!$A$58,K927))),설정!$B$58,IF(AND(설정!$A$59&lt;&gt;"",ISNUMBER(SEARCH(설정!$A$59,K927))),설정!$B$59,IF(AND(설정!$A$60&lt;&gt;"",ISNUMBER(SEARCH(설정!$A$60,K927))),설정!$B$60,IF(AND(설정!$A$61&lt;&gt;"",ISNUMBER(SEARCH(설정!$A$61,K927))),설정!$B$61,IF(M927="","설계사","시공사"))))))))),"")</f>
        <v/>
      </c>
      <c r="V927">
        <f>SUBSTITUTE(SUBSTITUTE(SUBSTITUTE(SUBSTITUTE(G927,"(주)",""),"㈜",""),"주식회사","")," ","")</f>
        <v/>
      </c>
      <c r="W927">
        <f>IF(AND(T927,V927&lt;&gt;""),IF(COUNTIFS(V$2:V927,V927,T$2:T927,TRUE)=1,MAX(W$1:W926)+1,""),"")</f>
        <v/>
      </c>
      <c r="X927">
        <f>IF(설정!$C$14="","",IFERROR(INDEX('1.산군_붙여넣기'!$A$1:$AZ$1001,ROW(),설정!$C$14)&amp;"",""))</f>
        <v/>
      </c>
      <c r="Y927">
        <f>IF(설정!$C$15="","",IFERROR(INDEX('1.산군_붙여넣기'!$A$1:$AZ$1001,ROW(),설정!$C$15)&amp;"",""))</f>
        <v/>
      </c>
      <c r="Z927">
        <f>IF(T927,V927&amp;"|"&amp;U927,"")</f>
        <v/>
      </c>
      <c r="AA927">
        <f>IF(NOT(Q927),"",IF(NOT(AND(R927,S927)),"✕",IF(OR(OR(AND(L927&lt;&gt;"",M927&lt;&gt;"",N(M927)-N(L927)&gt;설정!$B$27),AND(L927&lt;&gt;"",M927="",설정!$B$24-N(L927)&gt;설정!$B$27)),AND(D927&lt;&gt;"",D927&lt;설정!$B$26)),"△","★")))</f>
        <v/>
      </c>
      <c r="AB927">
        <f>IF(NOT(T927),"",IF(U927="설계사",설정!$B$31,IF(U927="시공사",IF(OR(M927="",설정!$B$24-N(M927)&lt;=설정!$B$28*30.4),설정!$B$32,설정!$B$33),설정!$B$34))+IF(AA927="★",설정!$B$35,0))</f>
        <v/>
      </c>
      <c r="AC927">
        <f>SUBSTITUTE(SUBSTITUTE(SUBSTITUTE(SUBSTITUTE(H927,"(주)",""),"㈜",""),"주식회사","")," ","")</f>
        <v/>
      </c>
      <c r="AD927">
        <f>IF(AND(T927,AC927&lt;&gt;""),IF(COUNTIFS(AC$2:AC927,AC927,T$2:T927,TRUE)=1,MAX(AD$1:AD926)+1,""),"")</f>
        <v/>
      </c>
    </row>
    <row r="928">
      <c r="A928">
        <f>ROW()</f>
        <v/>
      </c>
      <c r="B928">
        <f>IF(설정!$C$4="","",IFERROR(INDEX('1.산군_붙여넣기'!$A$1:$AZ$1001,ROW(),설정!$C$4)&amp;"",""))</f>
        <v/>
      </c>
      <c r="C928">
        <f>IF(설정!$C$5="","",IFERROR(INDEX('1.산군_붙여넣기'!$A$1:$AZ$1001,ROW(),설정!$C$5)&amp;"",""))</f>
        <v/>
      </c>
      <c r="D928" s="5">
        <f>IFERROR(VALUE(SUBSTITUTE(SUBSTITUTE(SUBSTITUTE(IF(설정!$C$6="","",IFERROR(INDEX('1.산군_붙여넣기'!$A$1:$AZ$1001,ROW(),설정!$C$6)&amp;"","")),",",""),"㎡",""),"m2","")),"")</f>
        <v/>
      </c>
      <c r="E928">
        <f>IF(설정!$C$7="","",IFERROR(INDEX('1.산군_붙여넣기'!$A$1:$AZ$1001,ROW(),설정!$C$7)&amp;"",""))</f>
        <v/>
      </c>
      <c r="F928">
        <f>IF(설정!$C$8="","",IFERROR(INDEX('1.산군_붙여넣기'!$A$1:$AZ$1001,ROW(),설정!$C$8)&amp;"",""))</f>
        <v/>
      </c>
      <c r="G928">
        <f>IF(설정!$C$9="","",IFERROR(INDEX('1.산군_붙여넣기'!$A$1:$AZ$1001,ROW(),설정!$C$9)&amp;"",""))</f>
        <v/>
      </c>
      <c r="H928">
        <f>IF(설정!$C$10="","",IFERROR(INDEX('1.산군_붙여넣기'!$A$1:$AZ$1001,ROW(),설정!$C$10)&amp;"",""))</f>
        <v/>
      </c>
      <c r="I928">
        <f>IF(설정!$C$11="","",IFERROR(INDEX('1.산군_붙여넣기'!$A$1:$AZ$1001,ROW(),설정!$C$11)&amp;"",""))</f>
        <v/>
      </c>
      <c r="J928">
        <f>IF(설정!$C$12="","",IFERROR(INDEX('1.산군_붙여넣기'!$A$1:$AZ$1001,ROW(),설정!$C$12)&amp;"",""))</f>
        <v/>
      </c>
      <c r="K928">
        <f>IF(설정!$C$13="","",IFERROR(INDEX('1.산군_붙여넣기'!$A$1:$AZ$1001,ROW(),설정!$C$13)&amp;"",""))</f>
        <v/>
      </c>
      <c r="L928" s="7">
        <f>IF(X928="","",IF(AND(LEN(X928)=8,ISNUMBER(X928*1)),DATE(LEFT(X928,4),MID(X928,5,2),RIGHT(X928,2)),IFERROR(DATEVALUE(SUBSTITUTE(SUBSTITUTE(X928,".","-"),"/","-")),IFERROR(X928*1,""))))</f>
        <v/>
      </c>
      <c r="M928" s="7">
        <f>IF(Y928="","",IF(AND(LEN(Y928)=8,ISNUMBER(Y928*1)),DATE(LEFT(Y928,4),MID(Y928,5,2),RIGHT(Y928,2)),IFERROR(DATEVALUE(SUBSTITUTE(SUBSTITUTE(Y928,".","-"),"/","-")),IFERROR(Y928*1,""))))</f>
        <v/>
      </c>
      <c r="N928">
        <f>IFERROR(LEFT(B928,FIND(" ",B928)-1),B928)</f>
        <v/>
      </c>
      <c r="O928">
        <f>AND(B928&lt;&gt;"",B928&lt;&gt;설정!$B$4,C928&lt;&gt;설정!$B$5)</f>
        <v/>
      </c>
      <c r="P928">
        <f>IF(O928,B928&amp;"|"&amp;C928,"")</f>
        <v/>
      </c>
      <c r="Q928">
        <f>AND(O928,COUNTIF(P929:P$1002,P928)=0)</f>
        <v/>
      </c>
      <c r="R928">
        <f>OR(AND(설정!$A$42&lt;&gt;"",ISNUMBER(SEARCH(설정!$A$42,E928&amp;" "&amp;C928))),AND(설정!$A$43&lt;&gt;"",ISNUMBER(SEARCH(설정!$A$43,E928&amp;" "&amp;C928))),AND(설정!$A$44&lt;&gt;"",ISNUMBER(SEARCH(설정!$A$44,E928&amp;" "&amp;C928))),AND(설정!$A$45&lt;&gt;"",ISNUMBER(SEARCH(설정!$A$45,E928&amp;" "&amp;C928))),AND(설정!$A$46&lt;&gt;"",ISNUMBER(SEARCH(설정!$A$46,E928&amp;" "&amp;C928))),AND(설정!$A$47&lt;&gt;"",ISNUMBER(SEARCH(설정!$A$47,E928&amp;" "&amp;C928))),AND(설정!$A$48&lt;&gt;"",ISNUMBER(SEARCH(설정!$A$48,E928&amp;" "&amp;C928))),AND(설정!$A$49&lt;&gt;"",ISNUMBER(SEARCH(설정!$A$49,E928&amp;" "&amp;C928))),AND(설정!$A$50&lt;&gt;"",ISNUMBER(SEARCH(설정!$A$50,E928&amp;" "&amp;C928))),AND(설정!$A$51&lt;&gt;"",ISNUMBER(SEARCH(설정!$A$51,E928&amp;" "&amp;C928))))</f>
        <v/>
      </c>
      <c r="S928">
        <f>OR(D928="",D928&gt;=설정!$B$19)</f>
        <v/>
      </c>
      <c r="T928">
        <f>AND(Q928,R928,S928)</f>
        <v/>
      </c>
      <c r="U928">
        <f>IF(T928,IF(AND(설정!$A$54&lt;&gt;"",ISNUMBER(SEARCH(설정!$A$54,K928))),설정!$B$54,IF(AND(설정!$A$55&lt;&gt;"",ISNUMBER(SEARCH(설정!$A$55,K928))),설정!$B$55,IF(AND(설정!$A$56&lt;&gt;"",ISNUMBER(SEARCH(설정!$A$56,K928))),설정!$B$56,IF(AND(설정!$A$57&lt;&gt;"",ISNUMBER(SEARCH(설정!$A$57,K928))),설정!$B$57,IF(AND(설정!$A$58&lt;&gt;"",ISNUMBER(SEARCH(설정!$A$58,K928))),설정!$B$58,IF(AND(설정!$A$59&lt;&gt;"",ISNUMBER(SEARCH(설정!$A$59,K928))),설정!$B$59,IF(AND(설정!$A$60&lt;&gt;"",ISNUMBER(SEARCH(설정!$A$60,K928))),설정!$B$60,IF(AND(설정!$A$61&lt;&gt;"",ISNUMBER(SEARCH(설정!$A$61,K928))),설정!$B$61,IF(M928="","설계사","시공사"))))))))),"")</f>
        <v/>
      </c>
      <c r="V928">
        <f>SUBSTITUTE(SUBSTITUTE(SUBSTITUTE(SUBSTITUTE(G928,"(주)",""),"㈜",""),"주식회사","")," ","")</f>
        <v/>
      </c>
      <c r="W928">
        <f>IF(AND(T928,V928&lt;&gt;""),IF(COUNTIFS(V$2:V928,V928,T$2:T928,TRUE)=1,MAX(W$1:W927)+1,""),"")</f>
        <v/>
      </c>
      <c r="X928">
        <f>IF(설정!$C$14="","",IFERROR(INDEX('1.산군_붙여넣기'!$A$1:$AZ$1001,ROW(),설정!$C$14)&amp;"",""))</f>
        <v/>
      </c>
      <c r="Y928">
        <f>IF(설정!$C$15="","",IFERROR(INDEX('1.산군_붙여넣기'!$A$1:$AZ$1001,ROW(),설정!$C$15)&amp;"",""))</f>
        <v/>
      </c>
      <c r="Z928">
        <f>IF(T928,V928&amp;"|"&amp;U928,"")</f>
        <v/>
      </c>
      <c r="AA928">
        <f>IF(NOT(Q928),"",IF(NOT(AND(R928,S928)),"✕",IF(OR(OR(AND(L928&lt;&gt;"",M928&lt;&gt;"",N(M928)-N(L928)&gt;설정!$B$27),AND(L928&lt;&gt;"",M928="",설정!$B$24-N(L928)&gt;설정!$B$27)),AND(D928&lt;&gt;"",D928&lt;설정!$B$26)),"△","★")))</f>
        <v/>
      </c>
      <c r="AB928">
        <f>IF(NOT(T928),"",IF(U928="설계사",설정!$B$31,IF(U928="시공사",IF(OR(M928="",설정!$B$24-N(M928)&lt;=설정!$B$28*30.4),설정!$B$32,설정!$B$33),설정!$B$34))+IF(AA928="★",설정!$B$35,0))</f>
        <v/>
      </c>
      <c r="AC928">
        <f>SUBSTITUTE(SUBSTITUTE(SUBSTITUTE(SUBSTITUTE(H928,"(주)",""),"㈜",""),"주식회사","")," ","")</f>
        <v/>
      </c>
      <c r="AD928">
        <f>IF(AND(T928,AC928&lt;&gt;""),IF(COUNTIFS(AC$2:AC928,AC928,T$2:T928,TRUE)=1,MAX(AD$1:AD927)+1,""),"")</f>
        <v/>
      </c>
    </row>
    <row r="929">
      <c r="A929">
        <f>ROW()</f>
        <v/>
      </c>
      <c r="B929">
        <f>IF(설정!$C$4="","",IFERROR(INDEX('1.산군_붙여넣기'!$A$1:$AZ$1001,ROW(),설정!$C$4)&amp;"",""))</f>
        <v/>
      </c>
      <c r="C929">
        <f>IF(설정!$C$5="","",IFERROR(INDEX('1.산군_붙여넣기'!$A$1:$AZ$1001,ROW(),설정!$C$5)&amp;"",""))</f>
        <v/>
      </c>
      <c r="D929" s="5">
        <f>IFERROR(VALUE(SUBSTITUTE(SUBSTITUTE(SUBSTITUTE(IF(설정!$C$6="","",IFERROR(INDEX('1.산군_붙여넣기'!$A$1:$AZ$1001,ROW(),설정!$C$6)&amp;"","")),",",""),"㎡",""),"m2","")),"")</f>
        <v/>
      </c>
      <c r="E929">
        <f>IF(설정!$C$7="","",IFERROR(INDEX('1.산군_붙여넣기'!$A$1:$AZ$1001,ROW(),설정!$C$7)&amp;"",""))</f>
        <v/>
      </c>
      <c r="F929">
        <f>IF(설정!$C$8="","",IFERROR(INDEX('1.산군_붙여넣기'!$A$1:$AZ$1001,ROW(),설정!$C$8)&amp;"",""))</f>
        <v/>
      </c>
      <c r="G929">
        <f>IF(설정!$C$9="","",IFERROR(INDEX('1.산군_붙여넣기'!$A$1:$AZ$1001,ROW(),설정!$C$9)&amp;"",""))</f>
        <v/>
      </c>
      <c r="H929">
        <f>IF(설정!$C$10="","",IFERROR(INDEX('1.산군_붙여넣기'!$A$1:$AZ$1001,ROW(),설정!$C$10)&amp;"",""))</f>
        <v/>
      </c>
      <c r="I929">
        <f>IF(설정!$C$11="","",IFERROR(INDEX('1.산군_붙여넣기'!$A$1:$AZ$1001,ROW(),설정!$C$11)&amp;"",""))</f>
        <v/>
      </c>
      <c r="J929">
        <f>IF(설정!$C$12="","",IFERROR(INDEX('1.산군_붙여넣기'!$A$1:$AZ$1001,ROW(),설정!$C$12)&amp;"",""))</f>
        <v/>
      </c>
      <c r="K929">
        <f>IF(설정!$C$13="","",IFERROR(INDEX('1.산군_붙여넣기'!$A$1:$AZ$1001,ROW(),설정!$C$13)&amp;"",""))</f>
        <v/>
      </c>
      <c r="L929" s="7">
        <f>IF(X929="","",IF(AND(LEN(X929)=8,ISNUMBER(X929*1)),DATE(LEFT(X929,4),MID(X929,5,2),RIGHT(X929,2)),IFERROR(DATEVALUE(SUBSTITUTE(SUBSTITUTE(X929,".","-"),"/","-")),IFERROR(X929*1,""))))</f>
        <v/>
      </c>
      <c r="M929" s="7">
        <f>IF(Y929="","",IF(AND(LEN(Y929)=8,ISNUMBER(Y929*1)),DATE(LEFT(Y929,4),MID(Y929,5,2),RIGHT(Y929,2)),IFERROR(DATEVALUE(SUBSTITUTE(SUBSTITUTE(Y929,".","-"),"/","-")),IFERROR(Y929*1,""))))</f>
        <v/>
      </c>
      <c r="N929">
        <f>IFERROR(LEFT(B929,FIND(" ",B929)-1),B929)</f>
        <v/>
      </c>
      <c r="O929">
        <f>AND(B929&lt;&gt;"",B929&lt;&gt;설정!$B$4,C929&lt;&gt;설정!$B$5)</f>
        <v/>
      </c>
      <c r="P929">
        <f>IF(O929,B929&amp;"|"&amp;C929,"")</f>
        <v/>
      </c>
      <c r="Q929">
        <f>AND(O929,COUNTIF(P930:P$1002,P929)=0)</f>
        <v/>
      </c>
      <c r="R929">
        <f>OR(AND(설정!$A$42&lt;&gt;"",ISNUMBER(SEARCH(설정!$A$42,E929&amp;" "&amp;C929))),AND(설정!$A$43&lt;&gt;"",ISNUMBER(SEARCH(설정!$A$43,E929&amp;" "&amp;C929))),AND(설정!$A$44&lt;&gt;"",ISNUMBER(SEARCH(설정!$A$44,E929&amp;" "&amp;C929))),AND(설정!$A$45&lt;&gt;"",ISNUMBER(SEARCH(설정!$A$45,E929&amp;" "&amp;C929))),AND(설정!$A$46&lt;&gt;"",ISNUMBER(SEARCH(설정!$A$46,E929&amp;" "&amp;C929))),AND(설정!$A$47&lt;&gt;"",ISNUMBER(SEARCH(설정!$A$47,E929&amp;" "&amp;C929))),AND(설정!$A$48&lt;&gt;"",ISNUMBER(SEARCH(설정!$A$48,E929&amp;" "&amp;C929))),AND(설정!$A$49&lt;&gt;"",ISNUMBER(SEARCH(설정!$A$49,E929&amp;" "&amp;C929))),AND(설정!$A$50&lt;&gt;"",ISNUMBER(SEARCH(설정!$A$50,E929&amp;" "&amp;C929))),AND(설정!$A$51&lt;&gt;"",ISNUMBER(SEARCH(설정!$A$51,E929&amp;" "&amp;C929))))</f>
        <v/>
      </c>
      <c r="S929">
        <f>OR(D929="",D929&gt;=설정!$B$19)</f>
        <v/>
      </c>
      <c r="T929">
        <f>AND(Q929,R929,S929)</f>
        <v/>
      </c>
      <c r="U929">
        <f>IF(T929,IF(AND(설정!$A$54&lt;&gt;"",ISNUMBER(SEARCH(설정!$A$54,K929))),설정!$B$54,IF(AND(설정!$A$55&lt;&gt;"",ISNUMBER(SEARCH(설정!$A$55,K929))),설정!$B$55,IF(AND(설정!$A$56&lt;&gt;"",ISNUMBER(SEARCH(설정!$A$56,K929))),설정!$B$56,IF(AND(설정!$A$57&lt;&gt;"",ISNUMBER(SEARCH(설정!$A$57,K929))),설정!$B$57,IF(AND(설정!$A$58&lt;&gt;"",ISNUMBER(SEARCH(설정!$A$58,K929))),설정!$B$58,IF(AND(설정!$A$59&lt;&gt;"",ISNUMBER(SEARCH(설정!$A$59,K929))),설정!$B$59,IF(AND(설정!$A$60&lt;&gt;"",ISNUMBER(SEARCH(설정!$A$60,K929))),설정!$B$60,IF(AND(설정!$A$61&lt;&gt;"",ISNUMBER(SEARCH(설정!$A$61,K929))),설정!$B$61,IF(M929="","설계사","시공사"))))))))),"")</f>
        <v/>
      </c>
      <c r="V929">
        <f>SUBSTITUTE(SUBSTITUTE(SUBSTITUTE(SUBSTITUTE(G929,"(주)",""),"㈜",""),"주식회사","")," ","")</f>
        <v/>
      </c>
      <c r="W929">
        <f>IF(AND(T929,V929&lt;&gt;""),IF(COUNTIFS(V$2:V929,V929,T$2:T929,TRUE)=1,MAX(W$1:W928)+1,""),"")</f>
        <v/>
      </c>
      <c r="X929">
        <f>IF(설정!$C$14="","",IFERROR(INDEX('1.산군_붙여넣기'!$A$1:$AZ$1001,ROW(),설정!$C$14)&amp;"",""))</f>
        <v/>
      </c>
      <c r="Y929">
        <f>IF(설정!$C$15="","",IFERROR(INDEX('1.산군_붙여넣기'!$A$1:$AZ$1001,ROW(),설정!$C$15)&amp;"",""))</f>
        <v/>
      </c>
      <c r="Z929">
        <f>IF(T929,V929&amp;"|"&amp;U929,"")</f>
        <v/>
      </c>
      <c r="AA929">
        <f>IF(NOT(Q929),"",IF(NOT(AND(R929,S929)),"✕",IF(OR(OR(AND(L929&lt;&gt;"",M929&lt;&gt;"",N(M929)-N(L929)&gt;설정!$B$27),AND(L929&lt;&gt;"",M929="",설정!$B$24-N(L929)&gt;설정!$B$27)),AND(D929&lt;&gt;"",D929&lt;설정!$B$26)),"△","★")))</f>
        <v/>
      </c>
      <c r="AB929">
        <f>IF(NOT(T929),"",IF(U929="설계사",설정!$B$31,IF(U929="시공사",IF(OR(M929="",설정!$B$24-N(M929)&lt;=설정!$B$28*30.4),설정!$B$32,설정!$B$33),설정!$B$34))+IF(AA929="★",설정!$B$35,0))</f>
        <v/>
      </c>
      <c r="AC929">
        <f>SUBSTITUTE(SUBSTITUTE(SUBSTITUTE(SUBSTITUTE(H929,"(주)",""),"㈜",""),"주식회사","")," ","")</f>
        <v/>
      </c>
      <c r="AD929">
        <f>IF(AND(T929,AC929&lt;&gt;""),IF(COUNTIFS(AC$2:AC929,AC929,T$2:T929,TRUE)=1,MAX(AD$1:AD928)+1,""),"")</f>
        <v/>
      </c>
    </row>
    <row r="930">
      <c r="A930">
        <f>ROW()</f>
        <v/>
      </c>
      <c r="B930">
        <f>IF(설정!$C$4="","",IFERROR(INDEX('1.산군_붙여넣기'!$A$1:$AZ$1001,ROW(),설정!$C$4)&amp;"",""))</f>
        <v/>
      </c>
      <c r="C930">
        <f>IF(설정!$C$5="","",IFERROR(INDEX('1.산군_붙여넣기'!$A$1:$AZ$1001,ROW(),설정!$C$5)&amp;"",""))</f>
        <v/>
      </c>
      <c r="D930" s="5">
        <f>IFERROR(VALUE(SUBSTITUTE(SUBSTITUTE(SUBSTITUTE(IF(설정!$C$6="","",IFERROR(INDEX('1.산군_붙여넣기'!$A$1:$AZ$1001,ROW(),설정!$C$6)&amp;"","")),",",""),"㎡",""),"m2","")),"")</f>
        <v/>
      </c>
      <c r="E930">
        <f>IF(설정!$C$7="","",IFERROR(INDEX('1.산군_붙여넣기'!$A$1:$AZ$1001,ROW(),설정!$C$7)&amp;"",""))</f>
        <v/>
      </c>
      <c r="F930">
        <f>IF(설정!$C$8="","",IFERROR(INDEX('1.산군_붙여넣기'!$A$1:$AZ$1001,ROW(),설정!$C$8)&amp;"",""))</f>
        <v/>
      </c>
      <c r="G930">
        <f>IF(설정!$C$9="","",IFERROR(INDEX('1.산군_붙여넣기'!$A$1:$AZ$1001,ROW(),설정!$C$9)&amp;"",""))</f>
        <v/>
      </c>
      <c r="H930">
        <f>IF(설정!$C$10="","",IFERROR(INDEX('1.산군_붙여넣기'!$A$1:$AZ$1001,ROW(),설정!$C$10)&amp;"",""))</f>
        <v/>
      </c>
      <c r="I930">
        <f>IF(설정!$C$11="","",IFERROR(INDEX('1.산군_붙여넣기'!$A$1:$AZ$1001,ROW(),설정!$C$11)&amp;"",""))</f>
        <v/>
      </c>
      <c r="J930">
        <f>IF(설정!$C$12="","",IFERROR(INDEX('1.산군_붙여넣기'!$A$1:$AZ$1001,ROW(),설정!$C$12)&amp;"",""))</f>
        <v/>
      </c>
      <c r="K930">
        <f>IF(설정!$C$13="","",IFERROR(INDEX('1.산군_붙여넣기'!$A$1:$AZ$1001,ROW(),설정!$C$13)&amp;"",""))</f>
        <v/>
      </c>
      <c r="L930" s="7">
        <f>IF(X930="","",IF(AND(LEN(X930)=8,ISNUMBER(X930*1)),DATE(LEFT(X930,4),MID(X930,5,2),RIGHT(X930,2)),IFERROR(DATEVALUE(SUBSTITUTE(SUBSTITUTE(X930,".","-"),"/","-")),IFERROR(X930*1,""))))</f>
        <v/>
      </c>
      <c r="M930" s="7">
        <f>IF(Y930="","",IF(AND(LEN(Y930)=8,ISNUMBER(Y930*1)),DATE(LEFT(Y930,4),MID(Y930,5,2),RIGHT(Y930,2)),IFERROR(DATEVALUE(SUBSTITUTE(SUBSTITUTE(Y930,".","-"),"/","-")),IFERROR(Y930*1,""))))</f>
        <v/>
      </c>
      <c r="N930">
        <f>IFERROR(LEFT(B930,FIND(" ",B930)-1),B930)</f>
        <v/>
      </c>
      <c r="O930">
        <f>AND(B930&lt;&gt;"",B930&lt;&gt;설정!$B$4,C930&lt;&gt;설정!$B$5)</f>
        <v/>
      </c>
      <c r="P930">
        <f>IF(O930,B930&amp;"|"&amp;C930,"")</f>
        <v/>
      </c>
      <c r="Q930">
        <f>AND(O930,COUNTIF(P931:P$1002,P930)=0)</f>
        <v/>
      </c>
      <c r="R930">
        <f>OR(AND(설정!$A$42&lt;&gt;"",ISNUMBER(SEARCH(설정!$A$42,E930&amp;" "&amp;C930))),AND(설정!$A$43&lt;&gt;"",ISNUMBER(SEARCH(설정!$A$43,E930&amp;" "&amp;C930))),AND(설정!$A$44&lt;&gt;"",ISNUMBER(SEARCH(설정!$A$44,E930&amp;" "&amp;C930))),AND(설정!$A$45&lt;&gt;"",ISNUMBER(SEARCH(설정!$A$45,E930&amp;" "&amp;C930))),AND(설정!$A$46&lt;&gt;"",ISNUMBER(SEARCH(설정!$A$46,E930&amp;" "&amp;C930))),AND(설정!$A$47&lt;&gt;"",ISNUMBER(SEARCH(설정!$A$47,E930&amp;" "&amp;C930))),AND(설정!$A$48&lt;&gt;"",ISNUMBER(SEARCH(설정!$A$48,E930&amp;" "&amp;C930))),AND(설정!$A$49&lt;&gt;"",ISNUMBER(SEARCH(설정!$A$49,E930&amp;" "&amp;C930))),AND(설정!$A$50&lt;&gt;"",ISNUMBER(SEARCH(설정!$A$50,E930&amp;" "&amp;C930))),AND(설정!$A$51&lt;&gt;"",ISNUMBER(SEARCH(설정!$A$51,E930&amp;" "&amp;C930))))</f>
        <v/>
      </c>
      <c r="S930">
        <f>OR(D930="",D930&gt;=설정!$B$19)</f>
        <v/>
      </c>
      <c r="T930">
        <f>AND(Q930,R930,S930)</f>
        <v/>
      </c>
      <c r="U930">
        <f>IF(T930,IF(AND(설정!$A$54&lt;&gt;"",ISNUMBER(SEARCH(설정!$A$54,K930))),설정!$B$54,IF(AND(설정!$A$55&lt;&gt;"",ISNUMBER(SEARCH(설정!$A$55,K930))),설정!$B$55,IF(AND(설정!$A$56&lt;&gt;"",ISNUMBER(SEARCH(설정!$A$56,K930))),설정!$B$56,IF(AND(설정!$A$57&lt;&gt;"",ISNUMBER(SEARCH(설정!$A$57,K930))),설정!$B$57,IF(AND(설정!$A$58&lt;&gt;"",ISNUMBER(SEARCH(설정!$A$58,K930))),설정!$B$58,IF(AND(설정!$A$59&lt;&gt;"",ISNUMBER(SEARCH(설정!$A$59,K930))),설정!$B$59,IF(AND(설정!$A$60&lt;&gt;"",ISNUMBER(SEARCH(설정!$A$60,K930))),설정!$B$60,IF(AND(설정!$A$61&lt;&gt;"",ISNUMBER(SEARCH(설정!$A$61,K930))),설정!$B$61,IF(M930="","설계사","시공사"))))))))),"")</f>
        <v/>
      </c>
      <c r="V930">
        <f>SUBSTITUTE(SUBSTITUTE(SUBSTITUTE(SUBSTITUTE(G930,"(주)",""),"㈜",""),"주식회사","")," ","")</f>
        <v/>
      </c>
      <c r="W930">
        <f>IF(AND(T930,V930&lt;&gt;""),IF(COUNTIFS(V$2:V930,V930,T$2:T930,TRUE)=1,MAX(W$1:W929)+1,""),"")</f>
        <v/>
      </c>
      <c r="X930">
        <f>IF(설정!$C$14="","",IFERROR(INDEX('1.산군_붙여넣기'!$A$1:$AZ$1001,ROW(),설정!$C$14)&amp;"",""))</f>
        <v/>
      </c>
      <c r="Y930">
        <f>IF(설정!$C$15="","",IFERROR(INDEX('1.산군_붙여넣기'!$A$1:$AZ$1001,ROW(),설정!$C$15)&amp;"",""))</f>
        <v/>
      </c>
      <c r="Z930">
        <f>IF(T930,V930&amp;"|"&amp;U930,"")</f>
        <v/>
      </c>
      <c r="AA930">
        <f>IF(NOT(Q930),"",IF(NOT(AND(R930,S930)),"✕",IF(OR(OR(AND(L930&lt;&gt;"",M930&lt;&gt;"",N(M930)-N(L930)&gt;설정!$B$27),AND(L930&lt;&gt;"",M930="",설정!$B$24-N(L930)&gt;설정!$B$27)),AND(D930&lt;&gt;"",D930&lt;설정!$B$26)),"△","★")))</f>
        <v/>
      </c>
      <c r="AB930">
        <f>IF(NOT(T930),"",IF(U930="설계사",설정!$B$31,IF(U930="시공사",IF(OR(M930="",설정!$B$24-N(M930)&lt;=설정!$B$28*30.4),설정!$B$32,설정!$B$33),설정!$B$34))+IF(AA930="★",설정!$B$35,0))</f>
        <v/>
      </c>
      <c r="AC930">
        <f>SUBSTITUTE(SUBSTITUTE(SUBSTITUTE(SUBSTITUTE(H930,"(주)",""),"㈜",""),"주식회사","")," ","")</f>
        <v/>
      </c>
      <c r="AD930">
        <f>IF(AND(T930,AC930&lt;&gt;""),IF(COUNTIFS(AC$2:AC930,AC930,T$2:T930,TRUE)=1,MAX(AD$1:AD929)+1,""),"")</f>
        <v/>
      </c>
    </row>
    <row r="931">
      <c r="A931">
        <f>ROW()</f>
        <v/>
      </c>
      <c r="B931">
        <f>IF(설정!$C$4="","",IFERROR(INDEX('1.산군_붙여넣기'!$A$1:$AZ$1001,ROW(),설정!$C$4)&amp;"",""))</f>
        <v/>
      </c>
      <c r="C931">
        <f>IF(설정!$C$5="","",IFERROR(INDEX('1.산군_붙여넣기'!$A$1:$AZ$1001,ROW(),설정!$C$5)&amp;"",""))</f>
        <v/>
      </c>
      <c r="D931" s="5">
        <f>IFERROR(VALUE(SUBSTITUTE(SUBSTITUTE(SUBSTITUTE(IF(설정!$C$6="","",IFERROR(INDEX('1.산군_붙여넣기'!$A$1:$AZ$1001,ROW(),설정!$C$6)&amp;"","")),",",""),"㎡",""),"m2","")),"")</f>
        <v/>
      </c>
      <c r="E931">
        <f>IF(설정!$C$7="","",IFERROR(INDEX('1.산군_붙여넣기'!$A$1:$AZ$1001,ROW(),설정!$C$7)&amp;"",""))</f>
        <v/>
      </c>
      <c r="F931">
        <f>IF(설정!$C$8="","",IFERROR(INDEX('1.산군_붙여넣기'!$A$1:$AZ$1001,ROW(),설정!$C$8)&amp;"",""))</f>
        <v/>
      </c>
      <c r="G931">
        <f>IF(설정!$C$9="","",IFERROR(INDEX('1.산군_붙여넣기'!$A$1:$AZ$1001,ROW(),설정!$C$9)&amp;"",""))</f>
        <v/>
      </c>
      <c r="H931">
        <f>IF(설정!$C$10="","",IFERROR(INDEX('1.산군_붙여넣기'!$A$1:$AZ$1001,ROW(),설정!$C$10)&amp;"",""))</f>
        <v/>
      </c>
      <c r="I931">
        <f>IF(설정!$C$11="","",IFERROR(INDEX('1.산군_붙여넣기'!$A$1:$AZ$1001,ROW(),설정!$C$11)&amp;"",""))</f>
        <v/>
      </c>
      <c r="J931">
        <f>IF(설정!$C$12="","",IFERROR(INDEX('1.산군_붙여넣기'!$A$1:$AZ$1001,ROW(),설정!$C$12)&amp;"",""))</f>
        <v/>
      </c>
      <c r="K931">
        <f>IF(설정!$C$13="","",IFERROR(INDEX('1.산군_붙여넣기'!$A$1:$AZ$1001,ROW(),설정!$C$13)&amp;"",""))</f>
        <v/>
      </c>
      <c r="L931" s="7">
        <f>IF(X931="","",IF(AND(LEN(X931)=8,ISNUMBER(X931*1)),DATE(LEFT(X931,4),MID(X931,5,2),RIGHT(X931,2)),IFERROR(DATEVALUE(SUBSTITUTE(SUBSTITUTE(X931,".","-"),"/","-")),IFERROR(X931*1,""))))</f>
        <v/>
      </c>
      <c r="M931" s="7">
        <f>IF(Y931="","",IF(AND(LEN(Y931)=8,ISNUMBER(Y931*1)),DATE(LEFT(Y931,4),MID(Y931,5,2),RIGHT(Y931,2)),IFERROR(DATEVALUE(SUBSTITUTE(SUBSTITUTE(Y931,".","-"),"/","-")),IFERROR(Y931*1,""))))</f>
        <v/>
      </c>
      <c r="N931">
        <f>IFERROR(LEFT(B931,FIND(" ",B931)-1),B931)</f>
        <v/>
      </c>
      <c r="O931">
        <f>AND(B931&lt;&gt;"",B931&lt;&gt;설정!$B$4,C931&lt;&gt;설정!$B$5)</f>
        <v/>
      </c>
      <c r="P931">
        <f>IF(O931,B931&amp;"|"&amp;C931,"")</f>
        <v/>
      </c>
      <c r="Q931">
        <f>AND(O931,COUNTIF(P932:P$1002,P931)=0)</f>
        <v/>
      </c>
      <c r="R931">
        <f>OR(AND(설정!$A$42&lt;&gt;"",ISNUMBER(SEARCH(설정!$A$42,E931&amp;" "&amp;C931))),AND(설정!$A$43&lt;&gt;"",ISNUMBER(SEARCH(설정!$A$43,E931&amp;" "&amp;C931))),AND(설정!$A$44&lt;&gt;"",ISNUMBER(SEARCH(설정!$A$44,E931&amp;" "&amp;C931))),AND(설정!$A$45&lt;&gt;"",ISNUMBER(SEARCH(설정!$A$45,E931&amp;" "&amp;C931))),AND(설정!$A$46&lt;&gt;"",ISNUMBER(SEARCH(설정!$A$46,E931&amp;" "&amp;C931))),AND(설정!$A$47&lt;&gt;"",ISNUMBER(SEARCH(설정!$A$47,E931&amp;" "&amp;C931))),AND(설정!$A$48&lt;&gt;"",ISNUMBER(SEARCH(설정!$A$48,E931&amp;" "&amp;C931))),AND(설정!$A$49&lt;&gt;"",ISNUMBER(SEARCH(설정!$A$49,E931&amp;" "&amp;C931))),AND(설정!$A$50&lt;&gt;"",ISNUMBER(SEARCH(설정!$A$50,E931&amp;" "&amp;C931))),AND(설정!$A$51&lt;&gt;"",ISNUMBER(SEARCH(설정!$A$51,E931&amp;" "&amp;C931))))</f>
        <v/>
      </c>
      <c r="S931">
        <f>OR(D931="",D931&gt;=설정!$B$19)</f>
        <v/>
      </c>
      <c r="T931">
        <f>AND(Q931,R931,S931)</f>
        <v/>
      </c>
      <c r="U931">
        <f>IF(T931,IF(AND(설정!$A$54&lt;&gt;"",ISNUMBER(SEARCH(설정!$A$54,K931))),설정!$B$54,IF(AND(설정!$A$55&lt;&gt;"",ISNUMBER(SEARCH(설정!$A$55,K931))),설정!$B$55,IF(AND(설정!$A$56&lt;&gt;"",ISNUMBER(SEARCH(설정!$A$56,K931))),설정!$B$56,IF(AND(설정!$A$57&lt;&gt;"",ISNUMBER(SEARCH(설정!$A$57,K931))),설정!$B$57,IF(AND(설정!$A$58&lt;&gt;"",ISNUMBER(SEARCH(설정!$A$58,K931))),설정!$B$58,IF(AND(설정!$A$59&lt;&gt;"",ISNUMBER(SEARCH(설정!$A$59,K931))),설정!$B$59,IF(AND(설정!$A$60&lt;&gt;"",ISNUMBER(SEARCH(설정!$A$60,K931))),설정!$B$60,IF(AND(설정!$A$61&lt;&gt;"",ISNUMBER(SEARCH(설정!$A$61,K931))),설정!$B$61,IF(M931="","설계사","시공사"))))))))),"")</f>
        <v/>
      </c>
      <c r="V931">
        <f>SUBSTITUTE(SUBSTITUTE(SUBSTITUTE(SUBSTITUTE(G931,"(주)",""),"㈜",""),"주식회사","")," ","")</f>
        <v/>
      </c>
      <c r="W931">
        <f>IF(AND(T931,V931&lt;&gt;""),IF(COUNTIFS(V$2:V931,V931,T$2:T931,TRUE)=1,MAX(W$1:W930)+1,""),"")</f>
        <v/>
      </c>
      <c r="X931">
        <f>IF(설정!$C$14="","",IFERROR(INDEX('1.산군_붙여넣기'!$A$1:$AZ$1001,ROW(),설정!$C$14)&amp;"",""))</f>
        <v/>
      </c>
      <c r="Y931">
        <f>IF(설정!$C$15="","",IFERROR(INDEX('1.산군_붙여넣기'!$A$1:$AZ$1001,ROW(),설정!$C$15)&amp;"",""))</f>
        <v/>
      </c>
      <c r="Z931">
        <f>IF(T931,V931&amp;"|"&amp;U931,"")</f>
        <v/>
      </c>
      <c r="AA931">
        <f>IF(NOT(Q931),"",IF(NOT(AND(R931,S931)),"✕",IF(OR(OR(AND(L931&lt;&gt;"",M931&lt;&gt;"",N(M931)-N(L931)&gt;설정!$B$27),AND(L931&lt;&gt;"",M931="",설정!$B$24-N(L931)&gt;설정!$B$27)),AND(D931&lt;&gt;"",D931&lt;설정!$B$26)),"△","★")))</f>
        <v/>
      </c>
      <c r="AB931">
        <f>IF(NOT(T931),"",IF(U931="설계사",설정!$B$31,IF(U931="시공사",IF(OR(M931="",설정!$B$24-N(M931)&lt;=설정!$B$28*30.4),설정!$B$32,설정!$B$33),설정!$B$34))+IF(AA931="★",설정!$B$35,0))</f>
        <v/>
      </c>
      <c r="AC931">
        <f>SUBSTITUTE(SUBSTITUTE(SUBSTITUTE(SUBSTITUTE(H931,"(주)",""),"㈜",""),"주식회사","")," ","")</f>
        <v/>
      </c>
      <c r="AD931">
        <f>IF(AND(T931,AC931&lt;&gt;""),IF(COUNTIFS(AC$2:AC931,AC931,T$2:T931,TRUE)=1,MAX(AD$1:AD930)+1,""),"")</f>
        <v/>
      </c>
    </row>
    <row r="932">
      <c r="A932">
        <f>ROW()</f>
        <v/>
      </c>
      <c r="B932">
        <f>IF(설정!$C$4="","",IFERROR(INDEX('1.산군_붙여넣기'!$A$1:$AZ$1001,ROW(),설정!$C$4)&amp;"",""))</f>
        <v/>
      </c>
      <c r="C932">
        <f>IF(설정!$C$5="","",IFERROR(INDEX('1.산군_붙여넣기'!$A$1:$AZ$1001,ROW(),설정!$C$5)&amp;"",""))</f>
        <v/>
      </c>
      <c r="D932" s="5">
        <f>IFERROR(VALUE(SUBSTITUTE(SUBSTITUTE(SUBSTITUTE(IF(설정!$C$6="","",IFERROR(INDEX('1.산군_붙여넣기'!$A$1:$AZ$1001,ROW(),설정!$C$6)&amp;"","")),",",""),"㎡",""),"m2","")),"")</f>
        <v/>
      </c>
      <c r="E932">
        <f>IF(설정!$C$7="","",IFERROR(INDEX('1.산군_붙여넣기'!$A$1:$AZ$1001,ROW(),설정!$C$7)&amp;"",""))</f>
        <v/>
      </c>
      <c r="F932">
        <f>IF(설정!$C$8="","",IFERROR(INDEX('1.산군_붙여넣기'!$A$1:$AZ$1001,ROW(),설정!$C$8)&amp;"",""))</f>
        <v/>
      </c>
      <c r="G932">
        <f>IF(설정!$C$9="","",IFERROR(INDEX('1.산군_붙여넣기'!$A$1:$AZ$1001,ROW(),설정!$C$9)&amp;"",""))</f>
        <v/>
      </c>
      <c r="H932">
        <f>IF(설정!$C$10="","",IFERROR(INDEX('1.산군_붙여넣기'!$A$1:$AZ$1001,ROW(),설정!$C$10)&amp;"",""))</f>
        <v/>
      </c>
      <c r="I932">
        <f>IF(설정!$C$11="","",IFERROR(INDEX('1.산군_붙여넣기'!$A$1:$AZ$1001,ROW(),설정!$C$11)&amp;"",""))</f>
        <v/>
      </c>
      <c r="J932">
        <f>IF(설정!$C$12="","",IFERROR(INDEX('1.산군_붙여넣기'!$A$1:$AZ$1001,ROW(),설정!$C$12)&amp;"",""))</f>
        <v/>
      </c>
      <c r="K932">
        <f>IF(설정!$C$13="","",IFERROR(INDEX('1.산군_붙여넣기'!$A$1:$AZ$1001,ROW(),설정!$C$13)&amp;"",""))</f>
        <v/>
      </c>
      <c r="L932" s="7">
        <f>IF(X932="","",IF(AND(LEN(X932)=8,ISNUMBER(X932*1)),DATE(LEFT(X932,4),MID(X932,5,2),RIGHT(X932,2)),IFERROR(DATEVALUE(SUBSTITUTE(SUBSTITUTE(X932,".","-"),"/","-")),IFERROR(X932*1,""))))</f>
        <v/>
      </c>
      <c r="M932" s="7">
        <f>IF(Y932="","",IF(AND(LEN(Y932)=8,ISNUMBER(Y932*1)),DATE(LEFT(Y932,4),MID(Y932,5,2),RIGHT(Y932,2)),IFERROR(DATEVALUE(SUBSTITUTE(SUBSTITUTE(Y932,".","-"),"/","-")),IFERROR(Y932*1,""))))</f>
        <v/>
      </c>
      <c r="N932">
        <f>IFERROR(LEFT(B932,FIND(" ",B932)-1),B932)</f>
        <v/>
      </c>
      <c r="O932">
        <f>AND(B932&lt;&gt;"",B932&lt;&gt;설정!$B$4,C932&lt;&gt;설정!$B$5)</f>
        <v/>
      </c>
      <c r="P932">
        <f>IF(O932,B932&amp;"|"&amp;C932,"")</f>
        <v/>
      </c>
      <c r="Q932">
        <f>AND(O932,COUNTIF(P933:P$1002,P932)=0)</f>
        <v/>
      </c>
      <c r="R932">
        <f>OR(AND(설정!$A$42&lt;&gt;"",ISNUMBER(SEARCH(설정!$A$42,E932&amp;" "&amp;C932))),AND(설정!$A$43&lt;&gt;"",ISNUMBER(SEARCH(설정!$A$43,E932&amp;" "&amp;C932))),AND(설정!$A$44&lt;&gt;"",ISNUMBER(SEARCH(설정!$A$44,E932&amp;" "&amp;C932))),AND(설정!$A$45&lt;&gt;"",ISNUMBER(SEARCH(설정!$A$45,E932&amp;" "&amp;C932))),AND(설정!$A$46&lt;&gt;"",ISNUMBER(SEARCH(설정!$A$46,E932&amp;" "&amp;C932))),AND(설정!$A$47&lt;&gt;"",ISNUMBER(SEARCH(설정!$A$47,E932&amp;" "&amp;C932))),AND(설정!$A$48&lt;&gt;"",ISNUMBER(SEARCH(설정!$A$48,E932&amp;" "&amp;C932))),AND(설정!$A$49&lt;&gt;"",ISNUMBER(SEARCH(설정!$A$49,E932&amp;" "&amp;C932))),AND(설정!$A$50&lt;&gt;"",ISNUMBER(SEARCH(설정!$A$50,E932&amp;" "&amp;C932))),AND(설정!$A$51&lt;&gt;"",ISNUMBER(SEARCH(설정!$A$51,E932&amp;" "&amp;C932))))</f>
        <v/>
      </c>
      <c r="S932">
        <f>OR(D932="",D932&gt;=설정!$B$19)</f>
        <v/>
      </c>
      <c r="T932">
        <f>AND(Q932,R932,S932)</f>
        <v/>
      </c>
      <c r="U932">
        <f>IF(T932,IF(AND(설정!$A$54&lt;&gt;"",ISNUMBER(SEARCH(설정!$A$54,K932))),설정!$B$54,IF(AND(설정!$A$55&lt;&gt;"",ISNUMBER(SEARCH(설정!$A$55,K932))),설정!$B$55,IF(AND(설정!$A$56&lt;&gt;"",ISNUMBER(SEARCH(설정!$A$56,K932))),설정!$B$56,IF(AND(설정!$A$57&lt;&gt;"",ISNUMBER(SEARCH(설정!$A$57,K932))),설정!$B$57,IF(AND(설정!$A$58&lt;&gt;"",ISNUMBER(SEARCH(설정!$A$58,K932))),설정!$B$58,IF(AND(설정!$A$59&lt;&gt;"",ISNUMBER(SEARCH(설정!$A$59,K932))),설정!$B$59,IF(AND(설정!$A$60&lt;&gt;"",ISNUMBER(SEARCH(설정!$A$60,K932))),설정!$B$60,IF(AND(설정!$A$61&lt;&gt;"",ISNUMBER(SEARCH(설정!$A$61,K932))),설정!$B$61,IF(M932="","설계사","시공사"))))))))),"")</f>
        <v/>
      </c>
      <c r="V932">
        <f>SUBSTITUTE(SUBSTITUTE(SUBSTITUTE(SUBSTITUTE(G932,"(주)",""),"㈜",""),"주식회사","")," ","")</f>
        <v/>
      </c>
      <c r="W932">
        <f>IF(AND(T932,V932&lt;&gt;""),IF(COUNTIFS(V$2:V932,V932,T$2:T932,TRUE)=1,MAX(W$1:W931)+1,""),"")</f>
        <v/>
      </c>
      <c r="X932">
        <f>IF(설정!$C$14="","",IFERROR(INDEX('1.산군_붙여넣기'!$A$1:$AZ$1001,ROW(),설정!$C$14)&amp;"",""))</f>
        <v/>
      </c>
      <c r="Y932">
        <f>IF(설정!$C$15="","",IFERROR(INDEX('1.산군_붙여넣기'!$A$1:$AZ$1001,ROW(),설정!$C$15)&amp;"",""))</f>
        <v/>
      </c>
      <c r="Z932">
        <f>IF(T932,V932&amp;"|"&amp;U932,"")</f>
        <v/>
      </c>
      <c r="AA932">
        <f>IF(NOT(Q932),"",IF(NOT(AND(R932,S932)),"✕",IF(OR(OR(AND(L932&lt;&gt;"",M932&lt;&gt;"",N(M932)-N(L932)&gt;설정!$B$27),AND(L932&lt;&gt;"",M932="",설정!$B$24-N(L932)&gt;설정!$B$27)),AND(D932&lt;&gt;"",D932&lt;설정!$B$26)),"△","★")))</f>
        <v/>
      </c>
      <c r="AB932">
        <f>IF(NOT(T932),"",IF(U932="설계사",설정!$B$31,IF(U932="시공사",IF(OR(M932="",설정!$B$24-N(M932)&lt;=설정!$B$28*30.4),설정!$B$32,설정!$B$33),설정!$B$34))+IF(AA932="★",설정!$B$35,0))</f>
        <v/>
      </c>
      <c r="AC932">
        <f>SUBSTITUTE(SUBSTITUTE(SUBSTITUTE(SUBSTITUTE(H932,"(주)",""),"㈜",""),"주식회사","")," ","")</f>
        <v/>
      </c>
      <c r="AD932">
        <f>IF(AND(T932,AC932&lt;&gt;""),IF(COUNTIFS(AC$2:AC932,AC932,T$2:T932,TRUE)=1,MAX(AD$1:AD931)+1,""),"")</f>
        <v/>
      </c>
    </row>
    <row r="933">
      <c r="A933">
        <f>ROW()</f>
        <v/>
      </c>
      <c r="B933">
        <f>IF(설정!$C$4="","",IFERROR(INDEX('1.산군_붙여넣기'!$A$1:$AZ$1001,ROW(),설정!$C$4)&amp;"",""))</f>
        <v/>
      </c>
      <c r="C933">
        <f>IF(설정!$C$5="","",IFERROR(INDEX('1.산군_붙여넣기'!$A$1:$AZ$1001,ROW(),설정!$C$5)&amp;"",""))</f>
        <v/>
      </c>
      <c r="D933" s="5">
        <f>IFERROR(VALUE(SUBSTITUTE(SUBSTITUTE(SUBSTITUTE(IF(설정!$C$6="","",IFERROR(INDEX('1.산군_붙여넣기'!$A$1:$AZ$1001,ROW(),설정!$C$6)&amp;"","")),",",""),"㎡",""),"m2","")),"")</f>
        <v/>
      </c>
      <c r="E933">
        <f>IF(설정!$C$7="","",IFERROR(INDEX('1.산군_붙여넣기'!$A$1:$AZ$1001,ROW(),설정!$C$7)&amp;"",""))</f>
        <v/>
      </c>
      <c r="F933">
        <f>IF(설정!$C$8="","",IFERROR(INDEX('1.산군_붙여넣기'!$A$1:$AZ$1001,ROW(),설정!$C$8)&amp;"",""))</f>
        <v/>
      </c>
      <c r="G933">
        <f>IF(설정!$C$9="","",IFERROR(INDEX('1.산군_붙여넣기'!$A$1:$AZ$1001,ROW(),설정!$C$9)&amp;"",""))</f>
        <v/>
      </c>
      <c r="H933">
        <f>IF(설정!$C$10="","",IFERROR(INDEX('1.산군_붙여넣기'!$A$1:$AZ$1001,ROW(),설정!$C$10)&amp;"",""))</f>
        <v/>
      </c>
      <c r="I933">
        <f>IF(설정!$C$11="","",IFERROR(INDEX('1.산군_붙여넣기'!$A$1:$AZ$1001,ROW(),설정!$C$11)&amp;"",""))</f>
        <v/>
      </c>
      <c r="J933">
        <f>IF(설정!$C$12="","",IFERROR(INDEX('1.산군_붙여넣기'!$A$1:$AZ$1001,ROW(),설정!$C$12)&amp;"",""))</f>
        <v/>
      </c>
      <c r="K933">
        <f>IF(설정!$C$13="","",IFERROR(INDEX('1.산군_붙여넣기'!$A$1:$AZ$1001,ROW(),설정!$C$13)&amp;"",""))</f>
        <v/>
      </c>
      <c r="L933" s="7">
        <f>IF(X933="","",IF(AND(LEN(X933)=8,ISNUMBER(X933*1)),DATE(LEFT(X933,4),MID(X933,5,2),RIGHT(X933,2)),IFERROR(DATEVALUE(SUBSTITUTE(SUBSTITUTE(X933,".","-"),"/","-")),IFERROR(X933*1,""))))</f>
        <v/>
      </c>
      <c r="M933" s="7">
        <f>IF(Y933="","",IF(AND(LEN(Y933)=8,ISNUMBER(Y933*1)),DATE(LEFT(Y933,4),MID(Y933,5,2),RIGHT(Y933,2)),IFERROR(DATEVALUE(SUBSTITUTE(SUBSTITUTE(Y933,".","-"),"/","-")),IFERROR(Y933*1,""))))</f>
        <v/>
      </c>
      <c r="N933">
        <f>IFERROR(LEFT(B933,FIND(" ",B933)-1),B933)</f>
        <v/>
      </c>
      <c r="O933">
        <f>AND(B933&lt;&gt;"",B933&lt;&gt;설정!$B$4,C933&lt;&gt;설정!$B$5)</f>
        <v/>
      </c>
      <c r="P933">
        <f>IF(O933,B933&amp;"|"&amp;C933,"")</f>
        <v/>
      </c>
      <c r="Q933">
        <f>AND(O933,COUNTIF(P934:P$1002,P933)=0)</f>
        <v/>
      </c>
      <c r="R933">
        <f>OR(AND(설정!$A$42&lt;&gt;"",ISNUMBER(SEARCH(설정!$A$42,E933&amp;" "&amp;C933))),AND(설정!$A$43&lt;&gt;"",ISNUMBER(SEARCH(설정!$A$43,E933&amp;" "&amp;C933))),AND(설정!$A$44&lt;&gt;"",ISNUMBER(SEARCH(설정!$A$44,E933&amp;" "&amp;C933))),AND(설정!$A$45&lt;&gt;"",ISNUMBER(SEARCH(설정!$A$45,E933&amp;" "&amp;C933))),AND(설정!$A$46&lt;&gt;"",ISNUMBER(SEARCH(설정!$A$46,E933&amp;" "&amp;C933))),AND(설정!$A$47&lt;&gt;"",ISNUMBER(SEARCH(설정!$A$47,E933&amp;" "&amp;C933))),AND(설정!$A$48&lt;&gt;"",ISNUMBER(SEARCH(설정!$A$48,E933&amp;" "&amp;C933))),AND(설정!$A$49&lt;&gt;"",ISNUMBER(SEARCH(설정!$A$49,E933&amp;" "&amp;C933))),AND(설정!$A$50&lt;&gt;"",ISNUMBER(SEARCH(설정!$A$50,E933&amp;" "&amp;C933))),AND(설정!$A$51&lt;&gt;"",ISNUMBER(SEARCH(설정!$A$51,E933&amp;" "&amp;C933))))</f>
        <v/>
      </c>
      <c r="S933">
        <f>OR(D933="",D933&gt;=설정!$B$19)</f>
        <v/>
      </c>
      <c r="T933">
        <f>AND(Q933,R933,S933)</f>
        <v/>
      </c>
      <c r="U933">
        <f>IF(T933,IF(AND(설정!$A$54&lt;&gt;"",ISNUMBER(SEARCH(설정!$A$54,K933))),설정!$B$54,IF(AND(설정!$A$55&lt;&gt;"",ISNUMBER(SEARCH(설정!$A$55,K933))),설정!$B$55,IF(AND(설정!$A$56&lt;&gt;"",ISNUMBER(SEARCH(설정!$A$56,K933))),설정!$B$56,IF(AND(설정!$A$57&lt;&gt;"",ISNUMBER(SEARCH(설정!$A$57,K933))),설정!$B$57,IF(AND(설정!$A$58&lt;&gt;"",ISNUMBER(SEARCH(설정!$A$58,K933))),설정!$B$58,IF(AND(설정!$A$59&lt;&gt;"",ISNUMBER(SEARCH(설정!$A$59,K933))),설정!$B$59,IF(AND(설정!$A$60&lt;&gt;"",ISNUMBER(SEARCH(설정!$A$60,K933))),설정!$B$60,IF(AND(설정!$A$61&lt;&gt;"",ISNUMBER(SEARCH(설정!$A$61,K933))),설정!$B$61,IF(M933="","설계사","시공사"))))))))),"")</f>
        <v/>
      </c>
      <c r="V933">
        <f>SUBSTITUTE(SUBSTITUTE(SUBSTITUTE(SUBSTITUTE(G933,"(주)",""),"㈜",""),"주식회사","")," ","")</f>
        <v/>
      </c>
      <c r="W933">
        <f>IF(AND(T933,V933&lt;&gt;""),IF(COUNTIFS(V$2:V933,V933,T$2:T933,TRUE)=1,MAX(W$1:W932)+1,""),"")</f>
        <v/>
      </c>
      <c r="X933">
        <f>IF(설정!$C$14="","",IFERROR(INDEX('1.산군_붙여넣기'!$A$1:$AZ$1001,ROW(),설정!$C$14)&amp;"",""))</f>
        <v/>
      </c>
      <c r="Y933">
        <f>IF(설정!$C$15="","",IFERROR(INDEX('1.산군_붙여넣기'!$A$1:$AZ$1001,ROW(),설정!$C$15)&amp;"",""))</f>
        <v/>
      </c>
      <c r="Z933">
        <f>IF(T933,V933&amp;"|"&amp;U933,"")</f>
        <v/>
      </c>
      <c r="AA933">
        <f>IF(NOT(Q933),"",IF(NOT(AND(R933,S933)),"✕",IF(OR(OR(AND(L933&lt;&gt;"",M933&lt;&gt;"",N(M933)-N(L933)&gt;설정!$B$27),AND(L933&lt;&gt;"",M933="",설정!$B$24-N(L933)&gt;설정!$B$27)),AND(D933&lt;&gt;"",D933&lt;설정!$B$26)),"△","★")))</f>
        <v/>
      </c>
      <c r="AB933">
        <f>IF(NOT(T933),"",IF(U933="설계사",설정!$B$31,IF(U933="시공사",IF(OR(M933="",설정!$B$24-N(M933)&lt;=설정!$B$28*30.4),설정!$B$32,설정!$B$33),설정!$B$34))+IF(AA933="★",설정!$B$35,0))</f>
        <v/>
      </c>
      <c r="AC933">
        <f>SUBSTITUTE(SUBSTITUTE(SUBSTITUTE(SUBSTITUTE(H933,"(주)",""),"㈜",""),"주식회사","")," ","")</f>
        <v/>
      </c>
      <c r="AD933">
        <f>IF(AND(T933,AC933&lt;&gt;""),IF(COUNTIFS(AC$2:AC933,AC933,T$2:T933,TRUE)=1,MAX(AD$1:AD932)+1,""),"")</f>
        <v/>
      </c>
    </row>
    <row r="934">
      <c r="A934">
        <f>ROW()</f>
        <v/>
      </c>
      <c r="B934">
        <f>IF(설정!$C$4="","",IFERROR(INDEX('1.산군_붙여넣기'!$A$1:$AZ$1001,ROW(),설정!$C$4)&amp;"",""))</f>
        <v/>
      </c>
      <c r="C934">
        <f>IF(설정!$C$5="","",IFERROR(INDEX('1.산군_붙여넣기'!$A$1:$AZ$1001,ROW(),설정!$C$5)&amp;"",""))</f>
        <v/>
      </c>
      <c r="D934" s="5">
        <f>IFERROR(VALUE(SUBSTITUTE(SUBSTITUTE(SUBSTITUTE(IF(설정!$C$6="","",IFERROR(INDEX('1.산군_붙여넣기'!$A$1:$AZ$1001,ROW(),설정!$C$6)&amp;"","")),",",""),"㎡",""),"m2","")),"")</f>
        <v/>
      </c>
      <c r="E934">
        <f>IF(설정!$C$7="","",IFERROR(INDEX('1.산군_붙여넣기'!$A$1:$AZ$1001,ROW(),설정!$C$7)&amp;"",""))</f>
        <v/>
      </c>
      <c r="F934">
        <f>IF(설정!$C$8="","",IFERROR(INDEX('1.산군_붙여넣기'!$A$1:$AZ$1001,ROW(),설정!$C$8)&amp;"",""))</f>
        <v/>
      </c>
      <c r="G934">
        <f>IF(설정!$C$9="","",IFERROR(INDEX('1.산군_붙여넣기'!$A$1:$AZ$1001,ROW(),설정!$C$9)&amp;"",""))</f>
        <v/>
      </c>
      <c r="H934">
        <f>IF(설정!$C$10="","",IFERROR(INDEX('1.산군_붙여넣기'!$A$1:$AZ$1001,ROW(),설정!$C$10)&amp;"",""))</f>
        <v/>
      </c>
      <c r="I934">
        <f>IF(설정!$C$11="","",IFERROR(INDEX('1.산군_붙여넣기'!$A$1:$AZ$1001,ROW(),설정!$C$11)&amp;"",""))</f>
        <v/>
      </c>
      <c r="J934">
        <f>IF(설정!$C$12="","",IFERROR(INDEX('1.산군_붙여넣기'!$A$1:$AZ$1001,ROW(),설정!$C$12)&amp;"",""))</f>
        <v/>
      </c>
      <c r="K934">
        <f>IF(설정!$C$13="","",IFERROR(INDEX('1.산군_붙여넣기'!$A$1:$AZ$1001,ROW(),설정!$C$13)&amp;"",""))</f>
        <v/>
      </c>
      <c r="L934" s="7">
        <f>IF(X934="","",IF(AND(LEN(X934)=8,ISNUMBER(X934*1)),DATE(LEFT(X934,4),MID(X934,5,2),RIGHT(X934,2)),IFERROR(DATEVALUE(SUBSTITUTE(SUBSTITUTE(X934,".","-"),"/","-")),IFERROR(X934*1,""))))</f>
        <v/>
      </c>
      <c r="M934" s="7">
        <f>IF(Y934="","",IF(AND(LEN(Y934)=8,ISNUMBER(Y934*1)),DATE(LEFT(Y934,4),MID(Y934,5,2),RIGHT(Y934,2)),IFERROR(DATEVALUE(SUBSTITUTE(SUBSTITUTE(Y934,".","-"),"/","-")),IFERROR(Y934*1,""))))</f>
        <v/>
      </c>
      <c r="N934">
        <f>IFERROR(LEFT(B934,FIND(" ",B934)-1),B934)</f>
        <v/>
      </c>
      <c r="O934">
        <f>AND(B934&lt;&gt;"",B934&lt;&gt;설정!$B$4,C934&lt;&gt;설정!$B$5)</f>
        <v/>
      </c>
      <c r="P934">
        <f>IF(O934,B934&amp;"|"&amp;C934,"")</f>
        <v/>
      </c>
      <c r="Q934">
        <f>AND(O934,COUNTIF(P935:P$1002,P934)=0)</f>
        <v/>
      </c>
      <c r="R934">
        <f>OR(AND(설정!$A$42&lt;&gt;"",ISNUMBER(SEARCH(설정!$A$42,E934&amp;" "&amp;C934))),AND(설정!$A$43&lt;&gt;"",ISNUMBER(SEARCH(설정!$A$43,E934&amp;" "&amp;C934))),AND(설정!$A$44&lt;&gt;"",ISNUMBER(SEARCH(설정!$A$44,E934&amp;" "&amp;C934))),AND(설정!$A$45&lt;&gt;"",ISNUMBER(SEARCH(설정!$A$45,E934&amp;" "&amp;C934))),AND(설정!$A$46&lt;&gt;"",ISNUMBER(SEARCH(설정!$A$46,E934&amp;" "&amp;C934))),AND(설정!$A$47&lt;&gt;"",ISNUMBER(SEARCH(설정!$A$47,E934&amp;" "&amp;C934))),AND(설정!$A$48&lt;&gt;"",ISNUMBER(SEARCH(설정!$A$48,E934&amp;" "&amp;C934))),AND(설정!$A$49&lt;&gt;"",ISNUMBER(SEARCH(설정!$A$49,E934&amp;" "&amp;C934))),AND(설정!$A$50&lt;&gt;"",ISNUMBER(SEARCH(설정!$A$50,E934&amp;" "&amp;C934))),AND(설정!$A$51&lt;&gt;"",ISNUMBER(SEARCH(설정!$A$51,E934&amp;" "&amp;C934))))</f>
        <v/>
      </c>
      <c r="S934">
        <f>OR(D934="",D934&gt;=설정!$B$19)</f>
        <v/>
      </c>
      <c r="T934">
        <f>AND(Q934,R934,S934)</f>
        <v/>
      </c>
      <c r="U934">
        <f>IF(T934,IF(AND(설정!$A$54&lt;&gt;"",ISNUMBER(SEARCH(설정!$A$54,K934))),설정!$B$54,IF(AND(설정!$A$55&lt;&gt;"",ISNUMBER(SEARCH(설정!$A$55,K934))),설정!$B$55,IF(AND(설정!$A$56&lt;&gt;"",ISNUMBER(SEARCH(설정!$A$56,K934))),설정!$B$56,IF(AND(설정!$A$57&lt;&gt;"",ISNUMBER(SEARCH(설정!$A$57,K934))),설정!$B$57,IF(AND(설정!$A$58&lt;&gt;"",ISNUMBER(SEARCH(설정!$A$58,K934))),설정!$B$58,IF(AND(설정!$A$59&lt;&gt;"",ISNUMBER(SEARCH(설정!$A$59,K934))),설정!$B$59,IF(AND(설정!$A$60&lt;&gt;"",ISNUMBER(SEARCH(설정!$A$60,K934))),설정!$B$60,IF(AND(설정!$A$61&lt;&gt;"",ISNUMBER(SEARCH(설정!$A$61,K934))),설정!$B$61,IF(M934="","설계사","시공사"))))))))),"")</f>
        <v/>
      </c>
      <c r="V934">
        <f>SUBSTITUTE(SUBSTITUTE(SUBSTITUTE(SUBSTITUTE(G934,"(주)",""),"㈜",""),"주식회사","")," ","")</f>
        <v/>
      </c>
      <c r="W934">
        <f>IF(AND(T934,V934&lt;&gt;""),IF(COUNTIFS(V$2:V934,V934,T$2:T934,TRUE)=1,MAX(W$1:W933)+1,""),"")</f>
        <v/>
      </c>
      <c r="X934">
        <f>IF(설정!$C$14="","",IFERROR(INDEX('1.산군_붙여넣기'!$A$1:$AZ$1001,ROW(),설정!$C$14)&amp;"",""))</f>
        <v/>
      </c>
      <c r="Y934">
        <f>IF(설정!$C$15="","",IFERROR(INDEX('1.산군_붙여넣기'!$A$1:$AZ$1001,ROW(),설정!$C$15)&amp;"",""))</f>
        <v/>
      </c>
      <c r="Z934">
        <f>IF(T934,V934&amp;"|"&amp;U934,"")</f>
        <v/>
      </c>
      <c r="AA934">
        <f>IF(NOT(Q934),"",IF(NOT(AND(R934,S934)),"✕",IF(OR(OR(AND(L934&lt;&gt;"",M934&lt;&gt;"",N(M934)-N(L934)&gt;설정!$B$27),AND(L934&lt;&gt;"",M934="",설정!$B$24-N(L934)&gt;설정!$B$27)),AND(D934&lt;&gt;"",D934&lt;설정!$B$26)),"△","★")))</f>
        <v/>
      </c>
      <c r="AB934">
        <f>IF(NOT(T934),"",IF(U934="설계사",설정!$B$31,IF(U934="시공사",IF(OR(M934="",설정!$B$24-N(M934)&lt;=설정!$B$28*30.4),설정!$B$32,설정!$B$33),설정!$B$34))+IF(AA934="★",설정!$B$35,0))</f>
        <v/>
      </c>
      <c r="AC934">
        <f>SUBSTITUTE(SUBSTITUTE(SUBSTITUTE(SUBSTITUTE(H934,"(주)",""),"㈜",""),"주식회사","")," ","")</f>
        <v/>
      </c>
      <c r="AD934">
        <f>IF(AND(T934,AC934&lt;&gt;""),IF(COUNTIFS(AC$2:AC934,AC934,T$2:T934,TRUE)=1,MAX(AD$1:AD933)+1,""),"")</f>
        <v/>
      </c>
    </row>
    <row r="935">
      <c r="A935">
        <f>ROW()</f>
        <v/>
      </c>
      <c r="B935">
        <f>IF(설정!$C$4="","",IFERROR(INDEX('1.산군_붙여넣기'!$A$1:$AZ$1001,ROW(),설정!$C$4)&amp;"",""))</f>
        <v/>
      </c>
      <c r="C935">
        <f>IF(설정!$C$5="","",IFERROR(INDEX('1.산군_붙여넣기'!$A$1:$AZ$1001,ROW(),설정!$C$5)&amp;"",""))</f>
        <v/>
      </c>
      <c r="D935" s="5">
        <f>IFERROR(VALUE(SUBSTITUTE(SUBSTITUTE(SUBSTITUTE(IF(설정!$C$6="","",IFERROR(INDEX('1.산군_붙여넣기'!$A$1:$AZ$1001,ROW(),설정!$C$6)&amp;"","")),",",""),"㎡",""),"m2","")),"")</f>
        <v/>
      </c>
      <c r="E935">
        <f>IF(설정!$C$7="","",IFERROR(INDEX('1.산군_붙여넣기'!$A$1:$AZ$1001,ROW(),설정!$C$7)&amp;"",""))</f>
        <v/>
      </c>
      <c r="F935">
        <f>IF(설정!$C$8="","",IFERROR(INDEX('1.산군_붙여넣기'!$A$1:$AZ$1001,ROW(),설정!$C$8)&amp;"",""))</f>
        <v/>
      </c>
      <c r="G935">
        <f>IF(설정!$C$9="","",IFERROR(INDEX('1.산군_붙여넣기'!$A$1:$AZ$1001,ROW(),설정!$C$9)&amp;"",""))</f>
        <v/>
      </c>
      <c r="H935">
        <f>IF(설정!$C$10="","",IFERROR(INDEX('1.산군_붙여넣기'!$A$1:$AZ$1001,ROW(),설정!$C$10)&amp;"",""))</f>
        <v/>
      </c>
      <c r="I935">
        <f>IF(설정!$C$11="","",IFERROR(INDEX('1.산군_붙여넣기'!$A$1:$AZ$1001,ROW(),설정!$C$11)&amp;"",""))</f>
        <v/>
      </c>
      <c r="J935">
        <f>IF(설정!$C$12="","",IFERROR(INDEX('1.산군_붙여넣기'!$A$1:$AZ$1001,ROW(),설정!$C$12)&amp;"",""))</f>
        <v/>
      </c>
      <c r="K935">
        <f>IF(설정!$C$13="","",IFERROR(INDEX('1.산군_붙여넣기'!$A$1:$AZ$1001,ROW(),설정!$C$13)&amp;"",""))</f>
        <v/>
      </c>
      <c r="L935" s="7">
        <f>IF(X935="","",IF(AND(LEN(X935)=8,ISNUMBER(X935*1)),DATE(LEFT(X935,4),MID(X935,5,2),RIGHT(X935,2)),IFERROR(DATEVALUE(SUBSTITUTE(SUBSTITUTE(X935,".","-"),"/","-")),IFERROR(X935*1,""))))</f>
        <v/>
      </c>
      <c r="M935" s="7">
        <f>IF(Y935="","",IF(AND(LEN(Y935)=8,ISNUMBER(Y935*1)),DATE(LEFT(Y935,4),MID(Y935,5,2),RIGHT(Y935,2)),IFERROR(DATEVALUE(SUBSTITUTE(SUBSTITUTE(Y935,".","-"),"/","-")),IFERROR(Y935*1,""))))</f>
        <v/>
      </c>
      <c r="N935">
        <f>IFERROR(LEFT(B935,FIND(" ",B935)-1),B935)</f>
        <v/>
      </c>
      <c r="O935">
        <f>AND(B935&lt;&gt;"",B935&lt;&gt;설정!$B$4,C935&lt;&gt;설정!$B$5)</f>
        <v/>
      </c>
      <c r="P935">
        <f>IF(O935,B935&amp;"|"&amp;C935,"")</f>
        <v/>
      </c>
      <c r="Q935">
        <f>AND(O935,COUNTIF(P936:P$1002,P935)=0)</f>
        <v/>
      </c>
      <c r="R935">
        <f>OR(AND(설정!$A$42&lt;&gt;"",ISNUMBER(SEARCH(설정!$A$42,E935&amp;" "&amp;C935))),AND(설정!$A$43&lt;&gt;"",ISNUMBER(SEARCH(설정!$A$43,E935&amp;" "&amp;C935))),AND(설정!$A$44&lt;&gt;"",ISNUMBER(SEARCH(설정!$A$44,E935&amp;" "&amp;C935))),AND(설정!$A$45&lt;&gt;"",ISNUMBER(SEARCH(설정!$A$45,E935&amp;" "&amp;C935))),AND(설정!$A$46&lt;&gt;"",ISNUMBER(SEARCH(설정!$A$46,E935&amp;" "&amp;C935))),AND(설정!$A$47&lt;&gt;"",ISNUMBER(SEARCH(설정!$A$47,E935&amp;" "&amp;C935))),AND(설정!$A$48&lt;&gt;"",ISNUMBER(SEARCH(설정!$A$48,E935&amp;" "&amp;C935))),AND(설정!$A$49&lt;&gt;"",ISNUMBER(SEARCH(설정!$A$49,E935&amp;" "&amp;C935))),AND(설정!$A$50&lt;&gt;"",ISNUMBER(SEARCH(설정!$A$50,E935&amp;" "&amp;C935))),AND(설정!$A$51&lt;&gt;"",ISNUMBER(SEARCH(설정!$A$51,E935&amp;" "&amp;C935))))</f>
        <v/>
      </c>
      <c r="S935">
        <f>OR(D935="",D935&gt;=설정!$B$19)</f>
        <v/>
      </c>
      <c r="T935">
        <f>AND(Q935,R935,S935)</f>
        <v/>
      </c>
      <c r="U935">
        <f>IF(T935,IF(AND(설정!$A$54&lt;&gt;"",ISNUMBER(SEARCH(설정!$A$54,K935))),설정!$B$54,IF(AND(설정!$A$55&lt;&gt;"",ISNUMBER(SEARCH(설정!$A$55,K935))),설정!$B$55,IF(AND(설정!$A$56&lt;&gt;"",ISNUMBER(SEARCH(설정!$A$56,K935))),설정!$B$56,IF(AND(설정!$A$57&lt;&gt;"",ISNUMBER(SEARCH(설정!$A$57,K935))),설정!$B$57,IF(AND(설정!$A$58&lt;&gt;"",ISNUMBER(SEARCH(설정!$A$58,K935))),설정!$B$58,IF(AND(설정!$A$59&lt;&gt;"",ISNUMBER(SEARCH(설정!$A$59,K935))),설정!$B$59,IF(AND(설정!$A$60&lt;&gt;"",ISNUMBER(SEARCH(설정!$A$60,K935))),설정!$B$60,IF(AND(설정!$A$61&lt;&gt;"",ISNUMBER(SEARCH(설정!$A$61,K935))),설정!$B$61,IF(M935="","설계사","시공사"))))))))),"")</f>
        <v/>
      </c>
      <c r="V935">
        <f>SUBSTITUTE(SUBSTITUTE(SUBSTITUTE(SUBSTITUTE(G935,"(주)",""),"㈜",""),"주식회사","")," ","")</f>
        <v/>
      </c>
      <c r="W935">
        <f>IF(AND(T935,V935&lt;&gt;""),IF(COUNTIFS(V$2:V935,V935,T$2:T935,TRUE)=1,MAX(W$1:W934)+1,""),"")</f>
        <v/>
      </c>
      <c r="X935">
        <f>IF(설정!$C$14="","",IFERROR(INDEX('1.산군_붙여넣기'!$A$1:$AZ$1001,ROW(),설정!$C$14)&amp;"",""))</f>
        <v/>
      </c>
      <c r="Y935">
        <f>IF(설정!$C$15="","",IFERROR(INDEX('1.산군_붙여넣기'!$A$1:$AZ$1001,ROW(),설정!$C$15)&amp;"",""))</f>
        <v/>
      </c>
      <c r="Z935">
        <f>IF(T935,V935&amp;"|"&amp;U935,"")</f>
        <v/>
      </c>
      <c r="AA935">
        <f>IF(NOT(Q935),"",IF(NOT(AND(R935,S935)),"✕",IF(OR(OR(AND(L935&lt;&gt;"",M935&lt;&gt;"",N(M935)-N(L935)&gt;설정!$B$27),AND(L935&lt;&gt;"",M935="",설정!$B$24-N(L935)&gt;설정!$B$27)),AND(D935&lt;&gt;"",D935&lt;설정!$B$26)),"△","★")))</f>
        <v/>
      </c>
      <c r="AB935">
        <f>IF(NOT(T935),"",IF(U935="설계사",설정!$B$31,IF(U935="시공사",IF(OR(M935="",설정!$B$24-N(M935)&lt;=설정!$B$28*30.4),설정!$B$32,설정!$B$33),설정!$B$34))+IF(AA935="★",설정!$B$35,0))</f>
        <v/>
      </c>
      <c r="AC935">
        <f>SUBSTITUTE(SUBSTITUTE(SUBSTITUTE(SUBSTITUTE(H935,"(주)",""),"㈜",""),"주식회사","")," ","")</f>
        <v/>
      </c>
      <c r="AD935">
        <f>IF(AND(T935,AC935&lt;&gt;""),IF(COUNTIFS(AC$2:AC935,AC935,T$2:T935,TRUE)=1,MAX(AD$1:AD934)+1,""),"")</f>
        <v/>
      </c>
    </row>
    <row r="936">
      <c r="A936">
        <f>ROW()</f>
        <v/>
      </c>
      <c r="B936">
        <f>IF(설정!$C$4="","",IFERROR(INDEX('1.산군_붙여넣기'!$A$1:$AZ$1001,ROW(),설정!$C$4)&amp;"",""))</f>
        <v/>
      </c>
      <c r="C936">
        <f>IF(설정!$C$5="","",IFERROR(INDEX('1.산군_붙여넣기'!$A$1:$AZ$1001,ROW(),설정!$C$5)&amp;"",""))</f>
        <v/>
      </c>
      <c r="D936" s="5">
        <f>IFERROR(VALUE(SUBSTITUTE(SUBSTITUTE(SUBSTITUTE(IF(설정!$C$6="","",IFERROR(INDEX('1.산군_붙여넣기'!$A$1:$AZ$1001,ROW(),설정!$C$6)&amp;"","")),",",""),"㎡",""),"m2","")),"")</f>
        <v/>
      </c>
      <c r="E936">
        <f>IF(설정!$C$7="","",IFERROR(INDEX('1.산군_붙여넣기'!$A$1:$AZ$1001,ROW(),설정!$C$7)&amp;"",""))</f>
        <v/>
      </c>
      <c r="F936">
        <f>IF(설정!$C$8="","",IFERROR(INDEX('1.산군_붙여넣기'!$A$1:$AZ$1001,ROW(),설정!$C$8)&amp;"",""))</f>
        <v/>
      </c>
      <c r="G936">
        <f>IF(설정!$C$9="","",IFERROR(INDEX('1.산군_붙여넣기'!$A$1:$AZ$1001,ROW(),설정!$C$9)&amp;"",""))</f>
        <v/>
      </c>
      <c r="H936">
        <f>IF(설정!$C$10="","",IFERROR(INDEX('1.산군_붙여넣기'!$A$1:$AZ$1001,ROW(),설정!$C$10)&amp;"",""))</f>
        <v/>
      </c>
      <c r="I936">
        <f>IF(설정!$C$11="","",IFERROR(INDEX('1.산군_붙여넣기'!$A$1:$AZ$1001,ROW(),설정!$C$11)&amp;"",""))</f>
        <v/>
      </c>
      <c r="J936">
        <f>IF(설정!$C$12="","",IFERROR(INDEX('1.산군_붙여넣기'!$A$1:$AZ$1001,ROW(),설정!$C$12)&amp;"",""))</f>
        <v/>
      </c>
      <c r="K936">
        <f>IF(설정!$C$13="","",IFERROR(INDEX('1.산군_붙여넣기'!$A$1:$AZ$1001,ROW(),설정!$C$13)&amp;"",""))</f>
        <v/>
      </c>
      <c r="L936" s="7">
        <f>IF(X936="","",IF(AND(LEN(X936)=8,ISNUMBER(X936*1)),DATE(LEFT(X936,4),MID(X936,5,2),RIGHT(X936,2)),IFERROR(DATEVALUE(SUBSTITUTE(SUBSTITUTE(X936,".","-"),"/","-")),IFERROR(X936*1,""))))</f>
        <v/>
      </c>
      <c r="M936" s="7">
        <f>IF(Y936="","",IF(AND(LEN(Y936)=8,ISNUMBER(Y936*1)),DATE(LEFT(Y936,4),MID(Y936,5,2),RIGHT(Y936,2)),IFERROR(DATEVALUE(SUBSTITUTE(SUBSTITUTE(Y936,".","-"),"/","-")),IFERROR(Y936*1,""))))</f>
        <v/>
      </c>
      <c r="N936">
        <f>IFERROR(LEFT(B936,FIND(" ",B936)-1),B936)</f>
        <v/>
      </c>
      <c r="O936">
        <f>AND(B936&lt;&gt;"",B936&lt;&gt;설정!$B$4,C936&lt;&gt;설정!$B$5)</f>
        <v/>
      </c>
      <c r="P936">
        <f>IF(O936,B936&amp;"|"&amp;C936,"")</f>
        <v/>
      </c>
      <c r="Q936">
        <f>AND(O936,COUNTIF(P937:P$1002,P936)=0)</f>
        <v/>
      </c>
      <c r="R936">
        <f>OR(AND(설정!$A$42&lt;&gt;"",ISNUMBER(SEARCH(설정!$A$42,E936&amp;" "&amp;C936))),AND(설정!$A$43&lt;&gt;"",ISNUMBER(SEARCH(설정!$A$43,E936&amp;" "&amp;C936))),AND(설정!$A$44&lt;&gt;"",ISNUMBER(SEARCH(설정!$A$44,E936&amp;" "&amp;C936))),AND(설정!$A$45&lt;&gt;"",ISNUMBER(SEARCH(설정!$A$45,E936&amp;" "&amp;C936))),AND(설정!$A$46&lt;&gt;"",ISNUMBER(SEARCH(설정!$A$46,E936&amp;" "&amp;C936))),AND(설정!$A$47&lt;&gt;"",ISNUMBER(SEARCH(설정!$A$47,E936&amp;" "&amp;C936))),AND(설정!$A$48&lt;&gt;"",ISNUMBER(SEARCH(설정!$A$48,E936&amp;" "&amp;C936))),AND(설정!$A$49&lt;&gt;"",ISNUMBER(SEARCH(설정!$A$49,E936&amp;" "&amp;C936))),AND(설정!$A$50&lt;&gt;"",ISNUMBER(SEARCH(설정!$A$50,E936&amp;" "&amp;C936))),AND(설정!$A$51&lt;&gt;"",ISNUMBER(SEARCH(설정!$A$51,E936&amp;" "&amp;C936))))</f>
        <v/>
      </c>
      <c r="S936">
        <f>OR(D936="",D936&gt;=설정!$B$19)</f>
        <v/>
      </c>
      <c r="T936">
        <f>AND(Q936,R936,S936)</f>
        <v/>
      </c>
      <c r="U936">
        <f>IF(T936,IF(AND(설정!$A$54&lt;&gt;"",ISNUMBER(SEARCH(설정!$A$54,K936))),설정!$B$54,IF(AND(설정!$A$55&lt;&gt;"",ISNUMBER(SEARCH(설정!$A$55,K936))),설정!$B$55,IF(AND(설정!$A$56&lt;&gt;"",ISNUMBER(SEARCH(설정!$A$56,K936))),설정!$B$56,IF(AND(설정!$A$57&lt;&gt;"",ISNUMBER(SEARCH(설정!$A$57,K936))),설정!$B$57,IF(AND(설정!$A$58&lt;&gt;"",ISNUMBER(SEARCH(설정!$A$58,K936))),설정!$B$58,IF(AND(설정!$A$59&lt;&gt;"",ISNUMBER(SEARCH(설정!$A$59,K936))),설정!$B$59,IF(AND(설정!$A$60&lt;&gt;"",ISNUMBER(SEARCH(설정!$A$60,K936))),설정!$B$60,IF(AND(설정!$A$61&lt;&gt;"",ISNUMBER(SEARCH(설정!$A$61,K936))),설정!$B$61,IF(M936="","설계사","시공사"))))))))),"")</f>
        <v/>
      </c>
      <c r="V936">
        <f>SUBSTITUTE(SUBSTITUTE(SUBSTITUTE(SUBSTITUTE(G936,"(주)",""),"㈜",""),"주식회사","")," ","")</f>
        <v/>
      </c>
      <c r="W936">
        <f>IF(AND(T936,V936&lt;&gt;""),IF(COUNTIFS(V$2:V936,V936,T$2:T936,TRUE)=1,MAX(W$1:W935)+1,""),"")</f>
        <v/>
      </c>
      <c r="X936">
        <f>IF(설정!$C$14="","",IFERROR(INDEX('1.산군_붙여넣기'!$A$1:$AZ$1001,ROW(),설정!$C$14)&amp;"",""))</f>
        <v/>
      </c>
      <c r="Y936">
        <f>IF(설정!$C$15="","",IFERROR(INDEX('1.산군_붙여넣기'!$A$1:$AZ$1001,ROW(),설정!$C$15)&amp;"",""))</f>
        <v/>
      </c>
      <c r="Z936">
        <f>IF(T936,V936&amp;"|"&amp;U936,"")</f>
        <v/>
      </c>
      <c r="AA936">
        <f>IF(NOT(Q936),"",IF(NOT(AND(R936,S936)),"✕",IF(OR(OR(AND(L936&lt;&gt;"",M936&lt;&gt;"",N(M936)-N(L936)&gt;설정!$B$27),AND(L936&lt;&gt;"",M936="",설정!$B$24-N(L936)&gt;설정!$B$27)),AND(D936&lt;&gt;"",D936&lt;설정!$B$26)),"△","★")))</f>
        <v/>
      </c>
      <c r="AB936">
        <f>IF(NOT(T936),"",IF(U936="설계사",설정!$B$31,IF(U936="시공사",IF(OR(M936="",설정!$B$24-N(M936)&lt;=설정!$B$28*30.4),설정!$B$32,설정!$B$33),설정!$B$34))+IF(AA936="★",설정!$B$35,0))</f>
        <v/>
      </c>
      <c r="AC936">
        <f>SUBSTITUTE(SUBSTITUTE(SUBSTITUTE(SUBSTITUTE(H936,"(주)",""),"㈜",""),"주식회사","")," ","")</f>
        <v/>
      </c>
      <c r="AD936">
        <f>IF(AND(T936,AC936&lt;&gt;""),IF(COUNTIFS(AC$2:AC936,AC936,T$2:T936,TRUE)=1,MAX(AD$1:AD935)+1,""),"")</f>
        <v/>
      </c>
    </row>
    <row r="937">
      <c r="A937">
        <f>ROW()</f>
        <v/>
      </c>
      <c r="B937">
        <f>IF(설정!$C$4="","",IFERROR(INDEX('1.산군_붙여넣기'!$A$1:$AZ$1001,ROW(),설정!$C$4)&amp;"",""))</f>
        <v/>
      </c>
      <c r="C937">
        <f>IF(설정!$C$5="","",IFERROR(INDEX('1.산군_붙여넣기'!$A$1:$AZ$1001,ROW(),설정!$C$5)&amp;"",""))</f>
        <v/>
      </c>
      <c r="D937" s="5">
        <f>IFERROR(VALUE(SUBSTITUTE(SUBSTITUTE(SUBSTITUTE(IF(설정!$C$6="","",IFERROR(INDEX('1.산군_붙여넣기'!$A$1:$AZ$1001,ROW(),설정!$C$6)&amp;"","")),",",""),"㎡",""),"m2","")),"")</f>
        <v/>
      </c>
      <c r="E937">
        <f>IF(설정!$C$7="","",IFERROR(INDEX('1.산군_붙여넣기'!$A$1:$AZ$1001,ROW(),설정!$C$7)&amp;"",""))</f>
        <v/>
      </c>
      <c r="F937">
        <f>IF(설정!$C$8="","",IFERROR(INDEX('1.산군_붙여넣기'!$A$1:$AZ$1001,ROW(),설정!$C$8)&amp;"",""))</f>
        <v/>
      </c>
      <c r="G937">
        <f>IF(설정!$C$9="","",IFERROR(INDEX('1.산군_붙여넣기'!$A$1:$AZ$1001,ROW(),설정!$C$9)&amp;"",""))</f>
        <v/>
      </c>
      <c r="H937">
        <f>IF(설정!$C$10="","",IFERROR(INDEX('1.산군_붙여넣기'!$A$1:$AZ$1001,ROW(),설정!$C$10)&amp;"",""))</f>
        <v/>
      </c>
      <c r="I937">
        <f>IF(설정!$C$11="","",IFERROR(INDEX('1.산군_붙여넣기'!$A$1:$AZ$1001,ROW(),설정!$C$11)&amp;"",""))</f>
        <v/>
      </c>
      <c r="J937">
        <f>IF(설정!$C$12="","",IFERROR(INDEX('1.산군_붙여넣기'!$A$1:$AZ$1001,ROW(),설정!$C$12)&amp;"",""))</f>
        <v/>
      </c>
      <c r="K937">
        <f>IF(설정!$C$13="","",IFERROR(INDEX('1.산군_붙여넣기'!$A$1:$AZ$1001,ROW(),설정!$C$13)&amp;"",""))</f>
        <v/>
      </c>
      <c r="L937" s="7">
        <f>IF(X937="","",IF(AND(LEN(X937)=8,ISNUMBER(X937*1)),DATE(LEFT(X937,4),MID(X937,5,2),RIGHT(X937,2)),IFERROR(DATEVALUE(SUBSTITUTE(SUBSTITUTE(X937,".","-"),"/","-")),IFERROR(X937*1,""))))</f>
        <v/>
      </c>
      <c r="M937" s="7">
        <f>IF(Y937="","",IF(AND(LEN(Y937)=8,ISNUMBER(Y937*1)),DATE(LEFT(Y937,4),MID(Y937,5,2),RIGHT(Y937,2)),IFERROR(DATEVALUE(SUBSTITUTE(SUBSTITUTE(Y937,".","-"),"/","-")),IFERROR(Y937*1,""))))</f>
        <v/>
      </c>
      <c r="N937">
        <f>IFERROR(LEFT(B937,FIND(" ",B937)-1),B937)</f>
        <v/>
      </c>
      <c r="O937">
        <f>AND(B937&lt;&gt;"",B937&lt;&gt;설정!$B$4,C937&lt;&gt;설정!$B$5)</f>
        <v/>
      </c>
      <c r="P937">
        <f>IF(O937,B937&amp;"|"&amp;C937,"")</f>
        <v/>
      </c>
      <c r="Q937">
        <f>AND(O937,COUNTIF(P938:P$1002,P937)=0)</f>
        <v/>
      </c>
      <c r="R937">
        <f>OR(AND(설정!$A$42&lt;&gt;"",ISNUMBER(SEARCH(설정!$A$42,E937&amp;" "&amp;C937))),AND(설정!$A$43&lt;&gt;"",ISNUMBER(SEARCH(설정!$A$43,E937&amp;" "&amp;C937))),AND(설정!$A$44&lt;&gt;"",ISNUMBER(SEARCH(설정!$A$44,E937&amp;" "&amp;C937))),AND(설정!$A$45&lt;&gt;"",ISNUMBER(SEARCH(설정!$A$45,E937&amp;" "&amp;C937))),AND(설정!$A$46&lt;&gt;"",ISNUMBER(SEARCH(설정!$A$46,E937&amp;" "&amp;C937))),AND(설정!$A$47&lt;&gt;"",ISNUMBER(SEARCH(설정!$A$47,E937&amp;" "&amp;C937))),AND(설정!$A$48&lt;&gt;"",ISNUMBER(SEARCH(설정!$A$48,E937&amp;" "&amp;C937))),AND(설정!$A$49&lt;&gt;"",ISNUMBER(SEARCH(설정!$A$49,E937&amp;" "&amp;C937))),AND(설정!$A$50&lt;&gt;"",ISNUMBER(SEARCH(설정!$A$50,E937&amp;" "&amp;C937))),AND(설정!$A$51&lt;&gt;"",ISNUMBER(SEARCH(설정!$A$51,E937&amp;" "&amp;C937))))</f>
        <v/>
      </c>
      <c r="S937">
        <f>OR(D937="",D937&gt;=설정!$B$19)</f>
        <v/>
      </c>
      <c r="T937">
        <f>AND(Q937,R937,S937)</f>
        <v/>
      </c>
      <c r="U937">
        <f>IF(T937,IF(AND(설정!$A$54&lt;&gt;"",ISNUMBER(SEARCH(설정!$A$54,K937))),설정!$B$54,IF(AND(설정!$A$55&lt;&gt;"",ISNUMBER(SEARCH(설정!$A$55,K937))),설정!$B$55,IF(AND(설정!$A$56&lt;&gt;"",ISNUMBER(SEARCH(설정!$A$56,K937))),설정!$B$56,IF(AND(설정!$A$57&lt;&gt;"",ISNUMBER(SEARCH(설정!$A$57,K937))),설정!$B$57,IF(AND(설정!$A$58&lt;&gt;"",ISNUMBER(SEARCH(설정!$A$58,K937))),설정!$B$58,IF(AND(설정!$A$59&lt;&gt;"",ISNUMBER(SEARCH(설정!$A$59,K937))),설정!$B$59,IF(AND(설정!$A$60&lt;&gt;"",ISNUMBER(SEARCH(설정!$A$60,K937))),설정!$B$60,IF(AND(설정!$A$61&lt;&gt;"",ISNUMBER(SEARCH(설정!$A$61,K937))),설정!$B$61,IF(M937="","설계사","시공사"))))))))),"")</f>
        <v/>
      </c>
      <c r="V937">
        <f>SUBSTITUTE(SUBSTITUTE(SUBSTITUTE(SUBSTITUTE(G937,"(주)",""),"㈜",""),"주식회사","")," ","")</f>
        <v/>
      </c>
      <c r="W937">
        <f>IF(AND(T937,V937&lt;&gt;""),IF(COUNTIFS(V$2:V937,V937,T$2:T937,TRUE)=1,MAX(W$1:W936)+1,""),"")</f>
        <v/>
      </c>
      <c r="X937">
        <f>IF(설정!$C$14="","",IFERROR(INDEX('1.산군_붙여넣기'!$A$1:$AZ$1001,ROW(),설정!$C$14)&amp;"",""))</f>
        <v/>
      </c>
      <c r="Y937">
        <f>IF(설정!$C$15="","",IFERROR(INDEX('1.산군_붙여넣기'!$A$1:$AZ$1001,ROW(),설정!$C$15)&amp;"",""))</f>
        <v/>
      </c>
      <c r="Z937">
        <f>IF(T937,V937&amp;"|"&amp;U937,"")</f>
        <v/>
      </c>
      <c r="AA937">
        <f>IF(NOT(Q937),"",IF(NOT(AND(R937,S937)),"✕",IF(OR(OR(AND(L937&lt;&gt;"",M937&lt;&gt;"",N(M937)-N(L937)&gt;설정!$B$27),AND(L937&lt;&gt;"",M937="",설정!$B$24-N(L937)&gt;설정!$B$27)),AND(D937&lt;&gt;"",D937&lt;설정!$B$26)),"△","★")))</f>
        <v/>
      </c>
      <c r="AB937">
        <f>IF(NOT(T937),"",IF(U937="설계사",설정!$B$31,IF(U937="시공사",IF(OR(M937="",설정!$B$24-N(M937)&lt;=설정!$B$28*30.4),설정!$B$32,설정!$B$33),설정!$B$34))+IF(AA937="★",설정!$B$35,0))</f>
        <v/>
      </c>
      <c r="AC937">
        <f>SUBSTITUTE(SUBSTITUTE(SUBSTITUTE(SUBSTITUTE(H937,"(주)",""),"㈜",""),"주식회사","")," ","")</f>
        <v/>
      </c>
      <c r="AD937">
        <f>IF(AND(T937,AC937&lt;&gt;""),IF(COUNTIFS(AC$2:AC937,AC937,T$2:T937,TRUE)=1,MAX(AD$1:AD936)+1,""),"")</f>
        <v/>
      </c>
    </row>
    <row r="938">
      <c r="A938">
        <f>ROW()</f>
        <v/>
      </c>
      <c r="B938">
        <f>IF(설정!$C$4="","",IFERROR(INDEX('1.산군_붙여넣기'!$A$1:$AZ$1001,ROW(),설정!$C$4)&amp;"",""))</f>
        <v/>
      </c>
      <c r="C938">
        <f>IF(설정!$C$5="","",IFERROR(INDEX('1.산군_붙여넣기'!$A$1:$AZ$1001,ROW(),설정!$C$5)&amp;"",""))</f>
        <v/>
      </c>
      <c r="D938" s="5">
        <f>IFERROR(VALUE(SUBSTITUTE(SUBSTITUTE(SUBSTITUTE(IF(설정!$C$6="","",IFERROR(INDEX('1.산군_붙여넣기'!$A$1:$AZ$1001,ROW(),설정!$C$6)&amp;"","")),",",""),"㎡",""),"m2","")),"")</f>
        <v/>
      </c>
      <c r="E938">
        <f>IF(설정!$C$7="","",IFERROR(INDEX('1.산군_붙여넣기'!$A$1:$AZ$1001,ROW(),설정!$C$7)&amp;"",""))</f>
        <v/>
      </c>
      <c r="F938">
        <f>IF(설정!$C$8="","",IFERROR(INDEX('1.산군_붙여넣기'!$A$1:$AZ$1001,ROW(),설정!$C$8)&amp;"",""))</f>
        <v/>
      </c>
      <c r="G938">
        <f>IF(설정!$C$9="","",IFERROR(INDEX('1.산군_붙여넣기'!$A$1:$AZ$1001,ROW(),설정!$C$9)&amp;"",""))</f>
        <v/>
      </c>
      <c r="H938">
        <f>IF(설정!$C$10="","",IFERROR(INDEX('1.산군_붙여넣기'!$A$1:$AZ$1001,ROW(),설정!$C$10)&amp;"",""))</f>
        <v/>
      </c>
      <c r="I938">
        <f>IF(설정!$C$11="","",IFERROR(INDEX('1.산군_붙여넣기'!$A$1:$AZ$1001,ROW(),설정!$C$11)&amp;"",""))</f>
        <v/>
      </c>
      <c r="J938">
        <f>IF(설정!$C$12="","",IFERROR(INDEX('1.산군_붙여넣기'!$A$1:$AZ$1001,ROW(),설정!$C$12)&amp;"",""))</f>
        <v/>
      </c>
      <c r="K938">
        <f>IF(설정!$C$13="","",IFERROR(INDEX('1.산군_붙여넣기'!$A$1:$AZ$1001,ROW(),설정!$C$13)&amp;"",""))</f>
        <v/>
      </c>
      <c r="L938" s="7">
        <f>IF(X938="","",IF(AND(LEN(X938)=8,ISNUMBER(X938*1)),DATE(LEFT(X938,4),MID(X938,5,2),RIGHT(X938,2)),IFERROR(DATEVALUE(SUBSTITUTE(SUBSTITUTE(X938,".","-"),"/","-")),IFERROR(X938*1,""))))</f>
        <v/>
      </c>
      <c r="M938" s="7">
        <f>IF(Y938="","",IF(AND(LEN(Y938)=8,ISNUMBER(Y938*1)),DATE(LEFT(Y938,4),MID(Y938,5,2),RIGHT(Y938,2)),IFERROR(DATEVALUE(SUBSTITUTE(SUBSTITUTE(Y938,".","-"),"/","-")),IFERROR(Y938*1,""))))</f>
        <v/>
      </c>
      <c r="N938">
        <f>IFERROR(LEFT(B938,FIND(" ",B938)-1),B938)</f>
        <v/>
      </c>
      <c r="O938">
        <f>AND(B938&lt;&gt;"",B938&lt;&gt;설정!$B$4,C938&lt;&gt;설정!$B$5)</f>
        <v/>
      </c>
      <c r="P938">
        <f>IF(O938,B938&amp;"|"&amp;C938,"")</f>
        <v/>
      </c>
      <c r="Q938">
        <f>AND(O938,COUNTIF(P939:P$1002,P938)=0)</f>
        <v/>
      </c>
      <c r="R938">
        <f>OR(AND(설정!$A$42&lt;&gt;"",ISNUMBER(SEARCH(설정!$A$42,E938&amp;" "&amp;C938))),AND(설정!$A$43&lt;&gt;"",ISNUMBER(SEARCH(설정!$A$43,E938&amp;" "&amp;C938))),AND(설정!$A$44&lt;&gt;"",ISNUMBER(SEARCH(설정!$A$44,E938&amp;" "&amp;C938))),AND(설정!$A$45&lt;&gt;"",ISNUMBER(SEARCH(설정!$A$45,E938&amp;" "&amp;C938))),AND(설정!$A$46&lt;&gt;"",ISNUMBER(SEARCH(설정!$A$46,E938&amp;" "&amp;C938))),AND(설정!$A$47&lt;&gt;"",ISNUMBER(SEARCH(설정!$A$47,E938&amp;" "&amp;C938))),AND(설정!$A$48&lt;&gt;"",ISNUMBER(SEARCH(설정!$A$48,E938&amp;" "&amp;C938))),AND(설정!$A$49&lt;&gt;"",ISNUMBER(SEARCH(설정!$A$49,E938&amp;" "&amp;C938))),AND(설정!$A$50&lt;&gt;"",ISNUMBER(SEARCH(설정!$A$50,E938&amp;" "&amp;C938))),AND(설정!$A$51&lt;&gt;"",ISNUMBER(SEARCH(설정!$A$51,E938&amp;" "&amp;C938))))</f>
        <v/>
      </c>
      <c r="S938">
        <f>OR(D938="",D938&gt;=설정!$B$19)</f>
        <v/>
      </c>
      <c r="T938">
        <f>AND(Q938,R938,S938)</f>
        <v/>
      </c>
      <c r="U938">
        <f>IF(T938,IF(AND(설정!$A$54&lt;&gt;"",ISNUMBER(SEARCH(설정!$A$54,K938))),설정!$B$54,IF(AND(설정!$A$55&lt;&gt;"",ISNUMBER(SEARCH(설정!$A$55,K938))),설정!$B$55,IF(AND(설정!$A$56&lt;&gt;"",ISNUMBER(SEARCH(설정!$A$56,K938))),설정!$B$56,IF(AND(설정!$A$57&lt;&gt;"",ISNUMBER(SEARCH(설정!$A$57,K938))),설정!$B$57,IF(AND(설정!$A$58&lt;&gt;"",ISNUMBER(SEARCH(설정!$A$58,K938))),설정!$B$58,IF(AND(설정!$A$59&lt;&gt;"",ISNUMBER(SEARCH(설정!$A$59,K938))),설정!$B$59,IF(AND(설정!$A$60&lt;&gt;"",ISNUMBER(SEARCH(설정!$A$60,K938))),설정!$B$60,IF(AND(설정!$A$61&lt;&gt;"",ISNUMBER(SEARCH(설정!$A$61,K938))),설정!$B$61,IF(M938="","설계사","시공사"))))))))),"")</f>
        <v/>
      </c>
      <c r="V938">
        <f>SUBSTITUTE(SUBSTITUTE(SUBSTITUTE(SUBSTITUTE(G938,"(주)",""),"㈜",""),"주식회사","")," ","")</f>
        <v/>
      </c>
      <c r="W938">
        <f>IF(AND(T938,V938&lt;&gt;""),IF(COUNTIFS(V$2:V938,V938,T$2:T938,TRUE)=1,MAX(W$1:W937)+1,""),"")</f>
        <v/>
      </c>
      <c r="X938">
        <f>IF(설정!$C$14="","",IFERROR(INDEX('1.산군_붙여넣기'!$A$1:$AZ$1001,ROW(),설정!$C$14)&amp;"",""))</f>
        <v/>
      </c>
      <c r="Y938">
        <f>IF(설정!$C$15="","",IFERROR(INDEX('1.산군_붙여넣기'!$A$1:$AZ$1001,ROW(),설정!$C$15)&amp;"",""))</f>
        <v/>
      </c>
      <c r="Z938">
        <f>IF(T938,V938&amp;"|"&amp;U938,"")</f>
        <v/>
      </c>
      <c r="AA938">
        <f>IF(NOT(Q938),"",IF(NOT(AND(R938,S938)),"✕",IF(OR(OR(AND(L938&lt;&gt;"",M938&lt;&gt;"",N(M938)-N(L938)&gt;설정!$B$27),AND(L938&lt;&gt;"",M938="",설정!$B$24-N(L938)&gt;설정!$B$27)),AND(D938&lt;&gt;"",D938&lt;설정!$B$26)),"△","★")))</f>
        <v/>
      </c>
      <c r="AB938">
        <f>IF(NOT(T938),"",IF(U938="설계사",설정!$B$31,IF(U938="시공사",IF(OR(M938="",설정!$B$24-N(M938)&lt;=설정!$B$28*30.4),설정!$B$32,설정!$B$33),설정!$B$34))+IF(AA938="★",설정!$B$35,0))</f>
        <v/>
      </c>
      <c r="AC938">
        <f>SUBSTITUTE(SUBSTITUTE(SUBSTITUTE(SUBSTITUTE(H938,"(주)",""),"㈜",""),"주식회사","")," ","")</f>
        <v/>
      </c>
      <c r="AD938">
        <f>IF(AND(T938,AC938&lt;&gt;""),IF(COUNTIFS(AC$2:AC938,AC938,T$2:T938,TRUE)=1,MAX(AD$1:AD937)+1,""),"")</f>
        <v/>
      </c>
    </row>
    <row r="939">
      <c r="A939">
        <f>ROW()</f>
        <v/>
      </c>
      <c r="B939">
        <f>IF(설정!$C$4="","",IFERROR(INDEX('1.산군_붙여넣기'!$A$1:$AZ$1001,ROW(),설정!$C$4)&amp;"",""))</f>
        <v/>
      </c>
      <c r="C939">
        <f>IF(설정!$C$5="","",IFERROR(INDEX('1.산군_붙여넣기'!$A$1:$AZ$1001,ROW(),설정!$C$5)&amp;"",""))</f>
        <v/>
      </c>
      <c r="D939" s="5">
        <f>IFERROR(VALUE(SUBSTITUTE(SUBSTITUTE(SUBSTITUTE(IF(설정!$C$6="","",IFERROR(INDEX('1.산군_붙여넣기'!$A$1:$AZ$1001,ROW(),설정!$C$6)&amp;"","")),",",""),"㎡",""),"m2","")),"")</f>
        <v/>
      </c>
      <c r="E939">
        <f>IF(설정!$C$7="","",IFERROR(INDEX('1.산군_붙여넣기'!$A$1:$AZ$1001,ROW(),설정!$C$7)&amp;"",""))</f>
        <v/>
      </c>
      <c r="F939">
        <f>IF(설정!$C$8="","",IFERROR(INDEX('1.산군_붙여넣기'!$A$1:$AZ$1001,ROW(),설정!$C$8)&amp;"",""))</f>
        <v/>
      </c>
      <c r="G939">
        <f>IF(설정!$C$9="","",IFERROR(INDEX('1.산군_붙여넣기'!$A$1:$AZ$1001,ROW(),설정!$C$9)&amp;"",""))</f>
        <v/>
      </c>
      <c r="H939">
        <f>IF(설정!$C$10="","",IFERROR(INDEX('1.산군_붙여넣기'!$A$1:$AZ$1001,ROW(),설정!$C$10)&amp;"",""))</f>
        <v/>
      </c>
      <c r="I939">
        <f>IF(설정!$C$11="","",IFERROR(INDEX('1.산군_붙여넣기'!$A$1:$AZ$1001,ROW(),설정!$C$11)&amp;"",""))</f>
        <v/>
      </c>
      <c r="J939">
        <f>IF(설정!$C$12="","",IFERROR(INDEX('1.산군_붙여넣기'!$A$1:$AZ$1001,ROW(),설정!$C$12)&amp;"",""))</f>
        <v/>
      </c>
      <c r="K939">
        <f>IF(설정!$C$13="","",IFERROR(INDEX('1.산군_붙여넣기'!$A$1:$AZ$1001,ROW(),설정!$C$13)&amp;"",""))</f>
        <v/>
      </c>
      <c r="L939" s="7">
        <f>IF(X939="","",IF(AND(LEN(X939)=8,ISNUMBER(X939*1)),DATE(LEFT(X939,4),MID(X939,5,2),RIGHT(X939,2)),IFERROR(DATEVALUE(SUBSTITUTE(SUBSTITUTE(X939,".","-"),"/","-")),IFERROR(X939*1,""))))</f>
        <v/>
      </c>
      <c r="M939" s="7">
        <f>IF(Y939="","",IF(AND(LEN(Y939)=8,ISNUMBER(Y939*1)),DATE(LEFT(Y939,4),MID(Y939,5,2),RIGHT(Y939,2)),IFERROR(DATEVALUE(SUBSTITUTE(SUBSTITUTE(Y939,".","-"),"/","-")),IFERROR(Y939*1,""))))</f>
        <v/>
      </c>
      <c r="N939">
        <f>IFERROR(LEFT(B939,FIND(" ",B939)-1),B939)</f>
        <v/>
      </c>
      <c r="O939">
        <f>AND(B939&lt;&gt;"",B939&lt;&gt;설정!$B$4,C939&lt;&gt;설정!$B$5)</f>
        <v/>
      </c>
      <c r="P939">
        <f>IF(O939,B939&amp;"|"&amp;C939,"")</f>
        <v/>
      </c>
      <c r="Q939">
        <f>AND(O939,COUNTIF(P940:P$1002,P939)=0)</f>
        <v/>
      </c>
      <c r="R939">
        <f>OR(AND(설정!$A$42&lt;&gt;"",ISNUMBER(SEARCH(설정!$A$42,E939&amp;" "&amp;C939))),AND(설정!$A$43&lt;&gt;"",ISNUMBER(SEARCH(설정!$A$43,E939&amp;" "&amp;C939))),AND(설정!$A$44&lt;&gt;"",ISNUMBER(SEARCH(설정!$A$44,E939&amp;" "&amp;C939))),AND(설정!$A$45&lt;&gt;"",ISNUMBER(SEARCH(설정!$A$45,E939&amp;" "&amp;C939))),AND(설정!$A$46&lt;&gt;"",ISNUMBER(SEARCH(설정!$A$46,E939&amp;" "&amp;C939))),AND(설정!$A$47&lt;&gt;"",ISNUMBER(SEARCH(설정!$A$47,E939&amp;" "&amp;C939))),AND(설정!$A$48&lt;&gt;"",ISNUMBER(SEARCH(설정!$A$48,E939&amp;" "&amp;C939))),AND(설정!$A$49&lt;&gt;"",ISNUMBER(SEARCH(설정!$A$49,E939&amp;" "&amp;C939))),AND(설정!$A$50&lt;&gt;"",ISNUMBER(SEARCH(설정!$A$50,E939&amp;" "&amp;C939))),AND(설정!$A$51&lt;&gt;"",ISNUMBER(SEARCH(설정!$A$51,E939&amp;" "&amp;C939))))</f>
        <v/>
      </c>
      <c r="S939">
        <f>OR(D939="",D939&gt;=설정!$B$19)</f>
        <v/>
      </c>
      <c r="T939">
        <f>AND(Q939,R939,S939)</f>
        <v/>
      </c>
      <c r="U939">
        <f>IF(T939,IF(AND(설정!$A$54&lt;&gt;"",ISNUMBER(SEARCH(설정!$A$54,K939))),설정!$B$54,IF(AND(설정!$A$55&lt;&gt;"",ISNUMBER(SEARCH(설정!$A$55,K939))),설정!$B$55,IF(AND(설정!$A$56&lt;&gt;"",ISNUMBER(SEARCH(설정!$A$56,K939))),설정!$B$56,IF(AND(설정!$A$57&lt;&gt;"",ISNUMBER(SEARCH(설정!$A$57,K939))),설정!$B$57,IF(AND(설정!$A$58&lt;&gt;"",ISNUMBER(SEARCH(설정!$A$58,K939))),설정!$B$58,IF(AND(설정!$A$59&lt;&gt;"",ISNUMBER(SEARCH(설정!$A$59,K939))),설정!$B$59,IF(AND(설정!$A$60&lt;&gt;"",ISNUMBER(SEARCH(설정!$A$60,K939))),설정!$B$60,IF(AND(설정!$A$61&lt;&gt;"",ISNUMBER(SEARCH(설정!$A$61,K939))),설정!$B$61,IF(M939="","설계사","시공사"))))))))),"")</f>
        <v/>
      </c>
      <c r="V939">
        <f>SUBSTITUTE(SUBSTITUTE(SUBSTITUTE(SUBSTITUTE(G939,"(주)",""),"㈜",""),"주식회사","")," ","")</f>
        <v/>
      </c>
      <c r="W939">
        <f>IF(AND(T939,V939&lt;&gt;""),IF(COUNTIFS(V$2:V939,V939,T$2:T939,TRUE)=1,MAX(W$1:W938)+1,""),"")</f>
        <v/>
      </c>
      <c r="X939">
        <f>IF(설정!$C$14="","",IFERROR(INDEX('1.산군_붙여넣기'!$A$1:$AZ$1001,ROW(),설정!$C$14)&amp;"",""))</f>
        <v/>
      </c>
      <c r="Y939">
        <f>IF(설정!$C$15="","",IFERROR(INDEX('1.산군_붙여넣기'!$A$1:$AZ$1001,ROW(),설정!$C$15)&amp;"",""))</f>
        <v/>
      </c>
      <c r="Z939">
        <f>IF(T939,V939&amp;"|"&amp;U939,"")</f>
        <v/>
      </c>
      <c r="AA939">
        <f>IF(NOT(Q939),"",IF(NOT(AND(R939,S939)),"✕",IF(OR(OR(AND(L939&lt;&gt;"",M939&lt;&gt;"",N(M939)-N(L939)&gt;설정!$B$27),AND(L939&lt;&gt;"",M939="",설정!$B$24-N(L939)&gt;설정!$B$27)),AND(D939&lt;&gt;"",D939&lt;설정!$B$26)),"△","★")))</f>
        <v/>
      </c>
      <c r="AB939">
        <f>IF(NOT(T939),"",IF(U939="설계사",설정!$B$31,IF(U939="시공사",IF(OR(M939="",설정!$B$24-N(M939)&lt;=설정!$B$28*30.4),설정!$B$32,설정!$B$33),설정!$B$34))+IF(AA939="★",설정!$B$35,0))</f>
        <v/>
      </c>
      <c r="AC939">
        <f>SUBSTITUTE(SUBSTITUTE(SUBSTITUTE(SUBSTITUTE(H939,"(주)",""),"㈜",""),"주식회사","")," ","")</f>
        <v/>
      </c>
      <c r="AD939">
        <f>IF(AND(T939,AC939&lt;&gt;""),IF(COUNTIFS(AC$2:AC939,AC939,T$2:T939,TRUE)=1,MAX(AD$1:AD938)+1,""),"")</f>
        <v/>
      </c>
    </row>
    <row r="940">
      <c r="A940">
        <f>ROW()</f>
        <v/>
      </c>
      <c r="B940">
        <f>IF(설정!$C$4="","",IFERROR(INDEX('1.산군_붙여넣기'!$A$1:$AZ$1001,ROW(),설정!$C$4)&amp;"",""))</f>
        <v/>
      </c>
      <c r="C940">
        <f>IF(설정!$C$5="","",IFERROR(INDEX('1.산군_붙여넣기'!$A$1:$AZ$1001,ROW(),설정!$C$5)&amp;"",""))</f>
        <v/>
      </c>
      <c r="D940" s="5">
        <f>IFERROR(VALUE(SUBSTITUTE(SUBSTITUTE(SUBSTITUTE(IF(설정!$C$6="","",IFERROR(INDEX('1.산군_붙여넣기'!$A$1:$AZ$1001,ROW(),설정!$C$6)&amp;"","")),",",""),"㎡",""),"m2","")),"")</f>
        <v/>
      </c>
      <c r="E940">
        <f>IF(설정!$C$7="","",IFERROR(INDEX('1.산군_붙여넣기'!$A$1:$AZ$1001,ROW(),설정!$C$7)&amp;"",""))</f>
        <v/>
      </c>
      <c r="F940">
        <f>IF(설정!$C$8="","",IFERROR(INDEX('1.산군_붙여넣기'!$A$1:$AZ$1001,ROW(),설정!$C$8)&amp;"",""))</f>
        <v/>
      </c>
      <c r="G940">
        <f>IF(설정!$C$9="","",IFERROR(INDEX('1.산군_붙여넣기'!$A$1:$AZ$1001,ROW(),설정!$C$9)&amp;"",""))</f>
        <v/>
      </c>
      <c r="H940">
        <f>IF(설정!$C$10="","",IFERROR(INDEX('1.산군_붙여넣기'!$A$1:$AZ$1001,ROW(),설정!$C$10)&amp;"",""))</f>
        <v/>
      </c>
      <c r="I940">
        <f>IF(설정!$C$11="","",IFERROR(INDEX('1.산군_붙여넣기'!$A$1:$AZ$1001,ROW(),설정!$C$11)&amp;"",""))</f>
        <v/>
      </c>
      <c r="J940">
        <f>IF(설정!$C$12="","",IFERROR(INDEX('1.산군_붙여넣기'!$A$1:$AZ$1001,ROW(),설정!$C$12)&amp;"",""))</f>
        <v/>
      </c>
      <c r="K940">
        <f>IF(설정!$C$13="","",IFERROR(INDEX('1.산군_붙여넣기'!$A$1:$AZ$1001,ROW(),설정!$C$13)&amp;"",""))</f>
        <v/>
      </c>
      <c r="L940" s="7">
        <f>IF(X940="","",IF(AND(LEN(X940)=8,ISNUMBER(X940*1)),DATE(LEFT(X940,4),MID(X940,5,2),RIGHT(X940,2)),IFERROR(DATEVALUE(SUBSTITUTE(SUBSTITUTE(X940,".","-"),"/","-")),IFERROR(X940*1,""))))</f>
        <v/>
      </c>
      <c r="M940" s="7">
        <f>IF(Y940="","",IF(AND(LEN(Y940)=8,ISNUMBER(Y940*1)),DATE(LEFT(Y940,4),MID(Y940,5,2),RIGHT(Y940,2)),IFERROR(DATEVALUE(SUBSTITUTE(SUBSTITUTE(Y940,".","-"),"/","-")),IFERROR(Y940*1,""))))</f>
        <v/>
      </c>
      <c r="N940">
        <f>IFERROR(LEFT(B940,FIND(" ",B940)-1),B940)</f>
        <v/>
      </c>
      <c r="O940">
        <f>AND(B940&lt;&gt;"",B940&lt;&gt;설정!$B$4,C940&lt;&gt;설정!$B$5)</f>
        <v/>
      </c>
      <c r="P940">
        <f>IF(O940,B940&amp;"|"&amp;C940,"")</f>
        <v/>
      </c>
      <c r="Q940">
        <f>AND(O940,COUNTIF(P941:P$1002,P940)=0)</f>
        <v/>
      </c>
      <c r="R940">
        <f>OR(AND(설정!$A$42&lt;&gt;"",ISNUMBER(SEARCH(설정!$A$42,E940&amp;" "&amp;C940))),AND(설정!$A$43&lt;&gt;"",ISNUMBER(SEARCH(설정!$A$43,E940&amp;" "&amp;C940))),AND(설정!$A$44&lt;&gt;"",ISNUMBER(SEARCH(설정!$A$44,E940&amp;" "&amp;C940))),AND(설정!$A$45&lt;&gt;"",ISNUMBER(SEARCH(설정!$A$45,E940&amp;" "&amp;C940))),AND(설정!$A$46&lt;&gt;"",ISNUMBER(SEARCH(설정!$A$46,E940&amp;" "&amp;C940))),AND(설정!$A$47&lt;&gt;"",ISNUMBER(SEARCH(설정!$A$47,E940&amp;" "&amp;C940))),AND(설정!$A$48&lt;&gt;"",ISNUMBER(SEARCH(설정!$A$48,E940&amp;" "&amp;C940))),AND(설정!$A$49&lt;&gt;"",ISNUMBER(SEARCH(설정!$A$49,E940&amp;" "&amp;C940))),AND(설정!$A$50&lt;&gt;"",ISNUMBER(SEARCH(설정!$A$50,E940&amp;" "&amp;C940))),AND(설정!$A$51&lt;&gt;"",ISNUMBER(SEARCH(설정!$A$51,E940&amp;" "&amp;C940))))</f>
        <v/>
      </c>
      <c r="S940">
        <f>OR(D940="",D940&gt;=설정!$B$19)</f>
        <v/>
      </c>
      <c r="T940">
        <f>AND(Q940,R940,S940)</f>
        <v/>
      </c>
      <c r="U940">
        <f>IF(T940,IF(AND(설정!$A$54&lt;&gt;"",ISNUMBER(SEARCH(설정!$A$54,K940))),설정!$B$54,IF(AND(설정!$A$55&lt;&gt;"",ISNUMBER(SEARCH(설정!$A$55,K940))),설정!$B$55,IF(AND(설정!$A$56&lt;&gt;"",ISNUMBER(SEARCH(설정!$A$56,K940))),설정!$B$56,IF(AND(설정!$A$57&lt;&gt;"",ISNUMBER(SEARCH(설정!$A$57,K940))),설정!$B$57,IF(AND(설정!$A$58&lt;&gt;"",ISNUMBER(SEARCH(설정!$A$58,K940))),설정!$B$58,IF(AND(설정!$A$59&lt;&gt;"",ISNUMBER(SEARCH(설정!$A$59,K940))),설정!$B$59,IF(AND(설정!$A$60&lt;&gt;"",ISNUMBER(SEARCH(설정!$A$60,K940))),설정!$B$60,IF(AND(설정!$A$61&lt;&gt;"",ISNUMBER(SEARCH(설정!$A$61,K940))),설정!$B$61,IF(M940="","설계사","시공사"))))))))),"")</f>
        <v/>
      </c>
      <c r="V940">
        <f>SUBSTITUTE(SUBSTITUTE(SUBSTITUTE(SUBSTITUTE(G940,"(주)",""),"㈜",""),"주식회사","")," ","")</f>
        <v/>
      </c>
      <c r="W940">
        <f>IF(AND(T940,V940&lt;&gt;""),IF(COUNTIFS(V$2:V940,V940,T$2:T940,TRUE)=1,MAX(W$1:W939)+1,""),"")</f>
        <v/>
      </c>
      <c r="X940">
        <f>IF(설정!$C$14="","",IFERROR(INDEX('1.산군_붙여넣기'!$A$1:$AZ$1001,ROW(),설정!$C$14)&amp;"",""))</f>
        <v/>
      </c>
      <c r="Y940">
        <f>IF(설정!$C$15="","",IFERROR(INDEX('1.산군_붙여넣기'!$A$1:$AZ$1001,ROW(),설정!$C$15)&amp;"",""))</f>
        <v/>
      </c>
      <c r="Z940">
        <f>IF(T940,V940&amp;"|"&amp;U940,"")</f>
        <v/>
      </c>
      <c r="AA940">
        <f>IF(NOT(Q940),"",IF(NOT(AND(R940,S940)),"✕",IF(OR(OR(AND(L940&lt;&gt;"",M940&lt;&gt;"",N(M940)-N(L940)&gt;설정!$B$27),AND(L940&lt;&gt;"",M940="",설정!$B$24-N(L940)&gt;설정!$B$27)),AND(D940&lt;&gt;"",D940&lt;설정!$B$26)),"△","★")))</f>
        <v/>
      </c>
      <c r="AB940">
        <f>IF(NOT(T940),"",IF(U940="설계사",설정!$B$31,IF(U940="시공사",IF(OR(M940="",설정!$B$24-N(M940)&lt;=설정!$B$28*30.4),설정!$B$32,설정!$B$33),설정!$B$34))+IF(AA940="★",설정!$B$35,0))</f>
        <v/>
      </c>
      <c r="AC940">
        <f>SUBSTITUTE(SUBSTITUTE(SUBSTITUTE(SUBSTITUTE(H940,"(주)",""),"㈜",""),"주식회사","")," ","")</f>
        <v/>
      </c>
      <c r="AD940">
        <f>IF(AND(T940,AC940&lt;&gt;""),IF(COUNTIFS(AC$2:AC940,AC940,T$2:T940,TRUE)=1,MAX(AD$1:AD939)+1,""),"")</f>
        <v/>
      </c>
    </row>
    <row r="941">
      <c r="A941">
        <f>ROW()</f>
        <v/>
      </c>
      <c r="B941">
        <f>IF(설정!$C$4="","",IFERROR(INDEX('1.산군_붙여넣기'!$A$1:$AZ$1001,ROW(),설정!$C$4)&amp;"",""))</f>
        <v/>
      </c>
      <c r="C941">
        <f>IF(설정!$C$5="","",IFERROR(INDEX('1.산군_붙여넣기'!$A$1:$AZ$1001,ROW(),설정!$C$5)&amp;"",""))</f>
        <v/>
      </c>
      <c r="D941" s="5">
        <f>IFERROR(VALUE(SUBSTITUTE(SUBSTITUTE(SUBSTITUTE(IF(설정!$C$6="","",IFERROR(INDEX('1.산군_붙여넣기'!$A$1:$AZ$1001,ROW(),설정!$C$6)&amp;"","")),",",""),"㎡",""),"m2","")),"")</f>
        <v/>
      </c>
      <c r="E941">
        <f>IF(설정!$C$7="","",IFERROR(INDEX('1.산군_붙여넣기'!$A$1:$AZ$1001,ROW(),설정!$C$7)&amp;"",""))</f>
        <v/>
      </c>
      <c r="F941">
        <f>IF(설정!$C$8="","",IFERROR(INDEX('1.산군_붙여넣기'!$A$1:$AZ$1001,ROW(),설정!$C$8)&amp;"",""))</f>
        <v/>
      </c>
      <c r="G941">
        <f>IF(설정!$C$9="","",IFERROR(INDEX('1.산군_붙여넣기'!$A$1:$AZ$1001,ROW(),설정!$C$9)&amp;"",""))</f>
        <v/>
      </c>
      <c r="H941">
        <f>IF(설정!$C$10="","",IFERROR(INDEX('1.산군_붙여넣기'!$A$1:$AZ$1001,ROW(),설정!$C$10)&amp;"",""))</f>
        <v/>
      </c>
      <c r="I941">
        <f>IF(설정!$C$11="","",IFERROR(INDEX('1.산군_붙여넣기'!$A$1:$AZ$1001,ROW(),설정!$C$11)&amp;"",""))</f>
        <v/>
      </c>
      <c r="J941">
        <f>IF(설정!$C$12="","",IFERROR(INDEX('1.산군_붙여넣기'!$A$1:$AZ$1001,ROW(),설정!$C$12)&amp;"",""))</f>
        <v/>
      </c>
      <c r="K941">
        <f>IF(설정!$C$13="","",IFERROR(INDEX('1.산군_붙여넣기'!$A$1:$AZ$1001,ROW(),설정!$C$13)&amp;"",""))</f>
        <v/>
      </c>
      <c r="L941" s="7">
        <f>IF(X941="","",IF(AND(LEN(X941)=8,ISNUMBER(X941*1)),DATE(LEFT(X941,4),MID(X941,5,2),RIGHT(X941,2)),IFERROR(DATEVALUE(SUBSTITUTE(SUBSTITUTE(X941,".","-"),"/","-")),IFERROR(X941*1,""))))</f>
        <v/>
      </c>
      <c r="M941" s="7">
        <f>IF(Y941="","",IF(AND(LEN(Y941)=8,ISNUMBER(Y941*1)),DATE(LEFT(Y941,4),MID(Y941,5,2),RIGHT(Y941,2)),IFERROR(DATEVALUE(SUBSTITUTE(SUBSTITUTE(Y941,".","-"),"/","-")),IFERROR(Y941*1,""))))</f>
        <v/>
      </c>
      <c r="N941">
        <f>IFERROR(LEFT(B941,FIND(" ",B941)-1),B941)</f>
        <v/>
      </c>
      <c r="O941">
        <f>AND(B941&lt;&gt;"",B941&lt;&gt;설정!$B$4,C941&lt;&gt;설정!$B$5)</f>
        <v/>
      </c>
      <c r="P941">
        <f>IF(O941,B941&amp;"|"&amp;C941,"")</f>
        <v/>
      </c>
      <c r="Q941">
        <f>AND(O941,COUNTIF(P942:P$1002,P941)=0)</f>
        <v/>
      </c>
      <c r="R941">
        <f>OR(AND(설정!$A$42&lt;&gt;"",ISNUMBER(SEARCH(설정!$A$42,E941&amp;" "&amp;C941))),AND(설정!$A$43&lt;&gt;"",ISNUMBER(SEARCH(설정!$A$43,E941&amp;" "&amp;C941))),AND(설정!$A$44&lt;&gt;"",ISNUMBER(SEARCH(설정!$A$44,E941&amp;" "&amp;C941))),AND(설정!$A$45&lt;&gt;"",ISNUMBER(SEARCH(설정!$A$45,E941&amp;" "&amp;C941))),AND(설정!$A$46&lt;&gt;"",ISNUMBER(SEARCH(설정!$A$46,E941&amp;" "&amp;C941))),AND(설정!$A$47&lt;&gt;"",ISNUMBER(SEARCH(설정!$A$47,E941&amp;" "&amp;C941))),AND(설정!$A$48&lt;&gt;"",ISNUMBER(SEARCH(설정!$A$48,E941&amp;" "&amp;C941))),AND(설정!$A$49&lt;&gt;"",ISNUMBER(SEARCH(설정!$A$49,E941&amp;" "&amp;C941))),AND(설정!$A$50&lt;&gt;"",ISNUMBER(SEARCH(설정!$A$50,E941&amp;" "&amp;C941))),AND(설정!$A$51&lt;&gt;"",ISNUMBER(SEARCH(설정!$A$51,E941&amp;" "&amp;C941))))</f>
        <v/>
      </c>
      <c r="S941">
        <f>OR(D941="",D941&gt;=설정!$B$19)</f>
        <v/>
      </c>
      <c r="T941">
        <f>AND(Q941,R941,S941)</f>
        <v/>
      </c>
      <c r="U941">
        <f>IF(T941,IF(AND(설정!$A$54&lt;&gt;"",ISNUMBER(SEARCH(설정!$A$54,K941))),설정!$B$54,IF(AND(설정!$A$55&lt;&gt;"",ISNUMBER(SEARCH(설정!$A$55,K941))),설정!$B$55,IF(AND(설정!$A$56&lt;&gt;"",ISNUMBER(SEARCH(설정!$A$56,K941))),설정!$B$56,IF(AND(설정!$A$57&lt;&gt;"",ISNUMBER(SEARCH(설정!$A$57,K941))),설정!$B$57,IF(AND(설정!$A$58&lt;&gt;"",ISNUMBER(SEARCH(설정!$A$58,K941))),설정!$B$58,IF(AND(설정!$A$59&lt;&gt;"",ISNUMBER(SEARCH(설정!$A$59,K941))),설정!$B$59,IF(AND(설정!$A$60&lt;&gt;"",ISNUMBER(SEARCH(설정!$A$60,K941))),설정!$B$60,IF(AND(설정!$A$61&lt;&gt;"",ISNUMBER(SEARCH(설정!$A$61,K941))),설정!$B$61,IF(M941="","설계사","시공사"))))))))),"")</f>
        <v/>
      </c>
      <c r="V941">
        <f>SUBSTITUTE(SUBSTITUTE(SUBSTITUTE(SUBSTITUTE(G941,"(주)",""),"㈜",""),"주식회사","")," ","")</f>
        <v/>
      </c>
      <c r="W941">
        <f>IF(AND(T941,V941&lt;&gt;""),IF(COUNTIFS(V$2:V941,V941,T$2:T941,TRUE)=1,MAX(W$1:W940)+1,""),"")</f>
        <v/>
      </c>
      <c r="X941">
        <f>IF(설정!$C$14="","",IFERROR(INDEX('1.산군_붙여넣기'!$A$1:$AZ$1001,ROW(),설정!$C$14)&amp;"",""))</f>
        <v/>
      </c>
      <c r="Y941">
        <f>IF(설정!$C$15="","",IFERROR(INDEX('1.산군_붙여넣기'!$A$1:$AZ$1001,ROW(),설정!$C$15)&amp;"",""))</f>
        <v/>
      </c>
      <c r="Z941">
        <f>IF(T941,V941&amp;"|"&amp;U941,"")</f>
        <v/>
      </c>
      <c r="AA941">
        <f>IF(NOT(Q941),"",IF(NOT(AND(R941,S941)),"✕",IF(OR(OR(AND(L941&lt;&gt;"",M941&lt;&gt;"",N(M941)-N(L941)&gt;설정!$B$27),AND(L941&lt;&gt;"",M941="",설정!$B$24-N(L941)&gt;설정!$B$27)),AND(D941&lt;&gt;"",D941&lt;설정!$B$26)),"△","★")))</f>
        <v/>
      </c>
      <c r="AB941">
        <f>IF(NOT(T941),"",IF(U941="설계사",설정!$B$31,IF(U941="시공사",IF(OR(M941="",설정!$B$24-N(M941)&lt;=설정!$B$28*30.4),설정!$B$32,설정!$B$33),설정!$B$34))+IF(AA941="★",설정!$B$35,0))</f>
        <v/>
      </c>
      <c r="AC941">
        <f>SUBSTITUTE(SUBSTITUTE(SUBSTITUTE(SUBSTITUTE(H941,"(주)",""),"㈜",""),"주식회사","")," ","")</f>
        <v/>
      </c>
      <c r="AD941">
        <f>IF(AND(T941,AC941&lt;&gt;""),IF(COUNTIFS(AC$2:AC941,AC941,T$2:T941,TRUE)=1,MAX(AD$1:AD940)+1,""),"")</f>
        <v/>
      </c>
    </row>
    <row r="942">
      <c r="A942">
        <f>ROW()</f>
        <v/>
      </c>
      <c r="B942">
        <f>IF(설정!$C$4="","",IFERROR(INDEX('1.산군_붙여넣기'!$A$1:$AZ$1001,ROW(),설정!$C$4)&amp;"",""))</f>
        <v/>
      </c>
      <c r="C942">
        <f>IF(설정!$C$5="","",IFERROR(INDEX('1.산군_붙여넣기'!$A$1:$AZ$1001,ROW(),설정!$C$5)&amp;"",""))</f>
        <v/>
      </c>
      <c r="D942" s="5">
        <f>IFERROR(VALUE(SUBSTITUTE(SUBSTITUTE(SUBSTITUTE(IF(설정!$C$6="","",IFERROR(INDEX('1.산군_붙여넣기'!$A$1:$AZ$1001,ROW(),설정!$C$6)&amp;"","")),",",""),"㎡",""),"m2","")),"")</f>
        <v/>
      </c>
      <c r="E942">
        <f>IF(설정!$C$7="","",IFERROR(INDEX('1.산군_붙여넣기'!$A$1:$AZ$1001,ROW(),설정!$C$7)&amp;"",""))</f>
        <v/>
      </c>
      <c r="F942">
        <f>IF(설정!$C$8="","",IFERROR(INDEX('1.산군_붙여넣기'!$A$1:$AZ$1001,ROW(),설정!$C$8)&amp;"",""))</f>
        <v/>
      </c>
      <c r="G942">
        <f>IF(설정!$C$9="","",IFERROR(INDEX('1.산군_붙여넣기'!$A$1:$AZ$1001,ROW(),설정!$C$9)&amp;"",""))</f>
        <v/>
      </c>
      <c r="H942">
        <f>IF(설정!$C$10="","",IFERROR(INDEX('1.산군_붙여넣기'!$A$1:$AZ$1001,ROW(),설정!$C$10)&amp;"",""))</f>
        <v/>
      </c>
      <c r="I942">
        <f>IF(설정!$C$11="","",IFERROR(INDEX('1.산군_붙여넣기'!$A$1:$AZ$1001,ROW(),설정!$C$11)&amp;"",""))</f>
        <v/>
      </c>
      <c r="J942">
        <f>IF(설정!$C$12="","",IFERROR(INDEX('1.산군_붙여넣기'!$A$1:$AZ$1001,ROW(),설정!$C$12)&amp;"",""))</f>
        <v/>
      </c>
      <c r="K942">
        <f>IF(설정!$C$13="","",IFERROR(INDEX('1.산군_붙여넣기'!$A$1:$AZ$1001,ROW(),설정!$C$13)&amp;"",""))</f>
        <v/>
      </c>
      <c r="L942" s="7">
        <f>IF(X942="","",IF(AND(LEN(X942)=8,ISNUMBER(X942*1)),DATE(LEFT(X942,4),MID(X942,5,2),RIGHT(X942,2)),IFERROR(DATEVALUE(SUBSTITUTE(SUBSTITUTE(X942,".","-"),"/","-")),IFERROR(X942*1,""))))</f>
        <v/>
      </c>
      <c r="M942" s="7">
        <f>IF(Y942="","",IF(AND(LEN(Y942)=8,ISNUMBER(Y942*1)),DATE(LEFT(Y942,4),MID(Y942,5,2),RIGHT(Y942,2)),IFERROR(DATEVALUE(SUBSTITUTE(SUBSTITUTE(Y942,".","-"),"/","-")),IFERROR(Y942*1,""))))</f>
        <v/>
      </c>
      <c r="N942">
        <f>IFERROR(LEFT(B942,FIND(" ",B942)-1),B942)</f>
        <v/>
      </c>
      <c r="O942">
        <f>AND(B942&lt;&gt;"",B942&lt;&gt;설정!$B$4,C942&lt;&gt;설정!$B$5)</f>
        <v/>
      </c>
      <c r="P942">
        <f>IF(O942,B942&amp;"|"&amp;C942,"")</f>
        <v/>
      </c>
      <c r="Q942">
        <f>AND(O942,COUNTIF(P943:P$1002,P942)=0)</f>
        <v/>
      </c>
      <c r="R942">
        <f>OR(AND(설정!$A$42&lt;&gt;"",ISNUMBER(SEARCH(설정!$A$42,E942&amp;" "&amp;C942))),AND(설정!$A$43&lt;&gt;"",ISNUMBER(SEARCH(설정!$A$43,E942&amp;" "&amp;C942))),AND(설정!$A$44&lt;&gt;"",ISNUMBER(SEARCH(설정!$A$44,E942&amp;" "&amp;C942))),AND(설정!$A$45&lt;&gt;"",ISNUMBER(SEARCH(설정!$A$45,E942&amp;" "&amp;C942))),AND(설정!$A$46&lt;&gt;"",ISNUMBER(SEARCH(설정!$A$46,E942&amp;" "&amp;C942))),AND(설정!$A$47&lt;&gt;"",ISNUMBER(SEARCH(설정!$A$47,E942&amp;" "&amp;C942))),AND(설정!$A$48&lt;&gt;"",ISNUMBER(SEARCH(설정!$A$48,E942&amp;" "&amp;C942))),AND(설정!$A$49&lt;&gt;"",ISNUMBER(SEARCH(설정!$A$49,E942&amp;" "&amp;C942))),AND(설정!$A$50&lt;&gt;"",ISNUMBER(SEARCH(설정!$A$50,E942&amp;" "&amp;C942))),AND(설정!$A$51&lt;&gt;"",ISNUMBER(SEARCH(설정!$A$51,E942&amp;" "&amp;C942))))</f>
        <v/>
      </c>
      <c r="S942">
        <f>OR(D942="",D942&gt;=설정!$B$19)</f>
        <v/>
      </c>
      <c r="T942">
        <f>AND(Q942,R942,S942)</f>
        <v/>
      </c>
      <c r="U942">
        <f>IF(T942,IF(AND(설정!$A$54&lt;&gt;"",ISNUMBER(SEARCH(설정!$A$54,K942))),설정!$B$54,IF(AND(설정!$A$55&lt;&gt;"",ISNUMBER(SEARCH(설정!$A$55,K942))),설정!$B$55,IF(AND(설정!$A$56&lt;&gt;"",ISNUMBER(SEARCH(설정!$A$56,K942))),설정!$B$56,IF(AND(설정!$A$57&lt;&gt;"",ISNUMBER(SEARCH(설정!$A$57,K942))),설정!$B$57,IF(AND(설정!$A$58&lt;&gt;"",ISNUMBER(SEARCH(설정!$A$58,K942))),설정!$B$58,IF(AND(설정!$A$59&lt;&gt;"",ISNUMBER(SEARCH(설정!$A$59,K942))),설정!$B$59,IF(AND(설정!$A$60&lt;&gt;"",ISNUMBER(SEARCH(설정!$A$60,K942))),설정!$B$60,IF(AND(설정!$A$61&lt;&gt;"",ISNUMBER(SEARCH(설정!$A$61,K942))),설정!$B$61,IF(M942="","설계사","시공사"))))))))),"")</f>
        <v/>
      </c>
      <c r="V942">
        <f>SUBSTITUTE(SUBSTITUTE(SUBSTITUTE(SUBSTITUTE(G942,"(주)",""),"㈜",""),"주식회사","")," ","")</f>
        <v/>
      </c>
      <c r="W942">
        <f>IF(AND(T942,V942&lt;&gt;""),IF(COUNTIFS(V$2:V942,V942,T$2:T942,TRUE)=1,MAX(W$1:W941)+1,""),"")</f>
        <v/>
      </c>
      <c r="X942">
        <f>IF(설정!$C$14="","",IFERROR(INDEX('1.산군_붙여넣기'!$A$1:$AZ$1001,ROW(),설정!$C$14)&amp;"",""))</f>
        <v/>
      </c>
      <c r="Y942">
        <f>IF(설정!$C$15="","",IFERROR(INDEX('1.산군_붙여넣기'!$A$1:$AZ$1001,ROW(),설정!$C$15)&amp;"",""))</f>
        <v/>
      </c>
      <c r="Z942">
        <f>IF(T942,V942&amp;"|"&amp;U942,"")</f>
        <v/>
      </c>
      <c r="AA942">
        <f>IF(NOT(Q942),"",IF(NOT(AND(R942,S942)),"✕",IF(OR(OR(AND(L942&lt;&gt;"",M942&lt;&gt;"",N(M942)-N(L942)&gt;설정!$B$27),AND(L942&lt;&gt;"",M942="",설정!$B$24-N(L942)&gt;설정!$B$27)),AND(D942&lt;&gt;"",D942&lt;설정!$B$26)),"△","★")))</f>
        <v/>
      </c>
      <c r="AB942">
        <f>IF(NOT(T942),"",IF(U942="설계사",설정!$B$31,IF(U942="시공사",IF(OR(M942="",설정!$B$24-N(M942)&lt;=설정!$B$28*30.4),설정!$B$32,설정!$B$33),설정!$B$34))+IF(AA942="★",설정!$B$35,0))</f>
        <v/>
      </c>
      <c r="AC942">
        <f>SUBSTITUTE(SUBSTITUTE(SUBSTITUTE(SUBSTITUTE(H942,"(주)",""),"㈜",""),"주식회사","")," ","")</f>
        <v/>
      </c>
      <c r="AD942">
        <f>IF(AND(T942,AC942&lt;&gt;""),IF(COUNTIFS(AC$2:AC942,AC942,T$2:T942,TRUE)=1,MAX(AD$1:AD941)+1,""),"")</f>
        <v/>
      </c>
    </row>
    <row r="943">
      <c r="A943">
        <f>ROW()</f>
        <v/>
      </c>
      <c r="B943">
        <f>IF(설정!$C$4="","",IFERROR(INDEX('1.산군_붙여넣기'!$A$1:$AZ$1001,ROW(),설정!$C$4)&amp;"",""))</f>
        <v/>
      </c>
      <c r="C943">
        <f>IF(설정!$C$5="","",IFERROR(INDEX('1.산군_붙여넣기'!$A$1:$AZ$1001,ROW(),설정!$C$5)&amp;"",""))</f>
        <v/>
      </c>
      <c r="D943" s="5">
        <f>IFERROR(VALUE(SUBSTITUTE(SUBSTITUTE(SUBSTITUTE(IF(설정!$C$6="","",IFERROR(INDEX('1.산군_붙여넣기'!$A$1:$AZ$1001,ROW(),설정!$C$6)&amp;"","")),",",""),"㎡",""),"m2","")),"")</f>
        <v/>
      </c>
      <c r="E943">
        <f>IF(설정!$C$7="","",IFERROR(INDEX('1.산군_붙여넣기'!$A$1:$AZ$1001,ROW(),설정!$C$7)&amp;"",""))</f>
        <v/>
      </c>
      <c r="F943">
        <f>IF(설정!$C$8="","",IFERROR(INDEX('1.산군_붙여넣기'!$A$1:$AZ$1001,ROW(),설정!$C$8)&amp;"",""))</f>
        <v/>
      </c>
      <c r="G943">
        <f>IF(설정!$C$9="","",IFERROR(INDEX('1.산군_붙여넣기'!$A$1:$AZ$1001,ROW(),설정!$C$9)&amp;"",""))</f>
        <v/>
      </c>
      <c r="H943">
        <f>IF(설정!$C$10="","",IFERROR(INDEX('1.산군_붙여넣기'!$A$1:$AZ$1001,ROW(),설정!$C$10)&amp;"",""))</f>
        <v/>
      </c>
      <c r="I943">
        <f>IF(설정!$C$11="","",IFERROR(INDEX('1.산군_붙여넣기'!$A$1:$AZ$1001,ROW(),설정!$C$11)&amp;"",""))</f>
        <v/>
      </c>
      <c r="J943">
        <f>IF(설정!$C$12="","",IFERROR(INDEX('1.산군_붙여넣기'!$A$1:$AZ$1001,ROW(),설정!$C$12)&amp;"",""))</f>
        <v/>
      </c>
      <c r="K943">
        <f>IF(설정!$C$13="","",IFERROR(INDEX('1.산군_붙여넣기'!$A$1:$AZ$1001,ROW(),설정!$C$13)&amp;"",""))</f>
        <v/>
      </c>
      <c r="L943" s="7">
        <f>IF(X943="","",IF(AND(LEN(X943)=8,ISNUMBER(X943*1)),DATE(LEFT(X943,4),MID(X943,5,2),RIGHT(X943,2)),IFERROR(DATEVALUE(SUBSTITUTE(SUBSTITUTE(X943,".","-"),"/","-")),IFERROR(X943*1,""))))</f>
        <v/>
      </c>
      <c r="M943" s="7">
        <f>IF(Y943="","",IF(AND(LEN(Y943)=8,ISNUMBER(Y943*1)),DATE(LEFT(Y943,4),MID(Y943,5,2),RIGHT(Y943,2)),IFERROR(DATEVALUE(SUBSTITUTE(SUBSTITUTE(Y943,".","-"),"/","-")),IFERROR(Y943*1,""))))</f>
        <v/>
      </c>
      <c r="N943">
        <f>IFERROR(LEFT(B943,FIND(" ",B943)-1),B943)</f>
        <v/>
      </c>
      <c r="O943">
        <f>AND(B943&lt;&gt;"",B943&lt;&gt;설정!$B$4,C943&lt;&gt;설정!$B$5)</f>
        <v/>
      </c>
      <c r="P943">
        <f>IF(O943,B943&amp;"|"&amp;C943,"")</f>
        <v/>
      </c>
      <c r="Q943">
        <f>AND(O943,COUNTIF(P944:P$1002,P943)=0)</f>
        <v/>
      </c>
      <c r="R943">
        <f>OR(AND(설정!$A$42&lt;&gt;"",ISNUMBER(SEARCH(설정!$A$42,E943&amp;" "&amp;C943))),AND(설정!$A$43&lt;&gt;"",ISNUMBER(SEARCH(설정!$A$43,E943&amp;" "&amp;C943))),AND(설정!$A$44&lt;&gt;"",ISNUMBER(SEARCH(설정!$A$44,E943&amp;" "&amp;C943))),AND(설정!$A$45&lt;&gt;"",ISNUMBER(SEARCH(설정!$A$45,E943&amp;" "&amp;C943))),AND(설정!$A$46&lt;&gt;"",ISNUMBER(SEARCH(설정!$A$46,E943&amp;" "&amp;C943))),AND(설정!$A$47&lt;&gt;"",ISNUMBER(SEARCH(설정!$A$47,E943&amp;" "&amp;C943))),AND(설정!$A$48&lt;&gt;"",ISNUMBER(SEARCH(설정!$A$48,E943&amp;" "&amp;C943))),AND(설정!$A$49&lt;&gt;"",ISNUMBER(SEARCH(설정!$A$49,E943&amp;" "&amp;C943))),AND(설정!$A$50&lt;&gt;"",ISNUMBER(SEARCH(설정!$A$50,E943&amp;" "&amp;C943))),AND(설정!$A$51&lt;&gt;"",ISNUMBER(SEARCH(설정!$A$51,E943&amp;" "&amp;C943))))</f>
        <v/>
      </c>
      <c r="S943">
        <f>OR(D943="",D943&gt;=설정!$B$19)</f>
        <v/>
      </c>
      <c r="T943">
        <f>AND(Q943,R943,S943)</f>
        <v/>
      </c>
      <c r="U943">
        <f>IF(T943,IF(AND(설정!$A$54&lt;&gt;"",ISNUMBER(SEARCH(설정!$A$54,K943))),설정!$B$54,IF(AND(설정!$A$55&lt;&gt;"",ISNUMBER(SEARCH(설정!$A$55,K943))),설정!$B$55,IF(AND(설정!$A$56&lt;&gt;"",ISNUMBER(SEARCH(설정!$A$56,K943))),설정!$B$56,IF(AND(설정!$A$57&lt;&gt;"",ISNUMBER(SEARCH(설정!$A$57,K943))),설정!$B$57,IF(AND(설정!$A$58&lt;&gt;"",ISNUMBER(SEARCH(설정!$A$58,K943))),설정!$B$58,IF(AND(설정!$A$59&lt;&gt;"",ISNUMBER(SEARCH(설정!$A$59,K943))),설정!$B$59,IF(AND(설정!$A$60&lt;&gt;"",ISNUMBER(SEARCH(설정!$A$60,K943))),설정!$B$60,IF(AND(설정!$A$61&lt;&gt;"",ISNUMBER(SEARCH(설정!$A$61,K943))),설정!$B$61,IF(M943="","설계사","시공사"))))))))),"")</f>
        <v/>
      </c>
      <c r="V943">
        <f>SUBSTITUTE(SUBSTITUTE(SUBSTITUTE(SUBSTITUTE(G943,"(주)",""),"㈜",""),"주식회사","")," ","")</f>
        <v/>
      </c>
      <c r="W943">
        <f>IF(AND(T943,V943&lt;&gt;""),IF(COUNTIFS(V$2:V943,V943,T$2:T943,TRUE)=1,MAX(W$1:W942)+1,""),"")</f>
        <v/>
      </c>
      <c r="X943">
        <f>IF(설정!$C$14="","",IFERROR(INDEX('1.산군_붙여넣기'!$A$1:$AZ$1001,ROW(),설정!$C$14)&amp;"",""))</f>
        <v/>
      </c>
      <c r="Y943">
        <f>IF(설정!$C$15="","",IFERROR(INDEX('1.산군_붙여넣기'!$A$1:$AZ$1001,ROW(),설정!$C$15)&amp;"",""))</f>
        <v/>
      </c>
      <c r="Z943">
        <f>IF(T943,V943&amp;"|"&amp;U943,"")</f>
        <v/>
      </c>
      <c r="AA943">
        <f>IF(NOT(Q943),"",IF(NOT(AND(R943,S943)),"✕",IF(OR(OR(AND(L943&lt;&gt;"",M943&lt;&gt;"",N(M943)-N(L943)&gt;설정!$B$27),AND(L943&lt;&gt;"",M943="",설정!$B$24-N(L943)&gt;설정!$B$27)),AND(D943&lt;&gt;"",D943&lt;설정!$B$26)),"△","★")))</f>
        <v/>
      </c>
      <c r="AB943">
        <f>IF(NOT(T943),"",IF(U943="설계사",설정!$B$31,IF(U943="시공사",IF(OR(M943="",설정!$B$24-N(M943)&lt;=설정!$B$28*30.4),설정!$B$32,설정!$B$33),설정!$B$34))+IF(AA943="★",설정!$B$35,0))</f>
        <v/>
      </c>
      <c r="AC943">
        <f>SUBSTITUTE(SUBSTITUTE(SUBSTITUTE(SUBSTITUTE(H943,"(주)",""),"㈜",""),"주식회사","")," ","")</f>
        <v/>
      </c>
      <c r="AD943">
        <f>IF(AND(T943,AC943&lt;&gt;""),IF(COUNTIFS(AC$2:AC943,AC943,T$2:T943,TRUE)=1,MAX(AD$1:AD942)+1,""),"")</f>
        <v/>
      </c>
    </row>
    <row r="944">
      <c r="A944">
        <f>ROW()</f>
        <v/>
      </c>
      <c r="B944">
        <f>IF(설정!$C$4="","",IFERROR(INDEX('1.산군_붙여넣기'!$A$1:$AZ$1001,ROW(),설정!$C$4)&amp;"",""))</f>
        <v/>
      </c>
      <c r="C944">
        <f>IF(설정!$C$5="","",IFERROR(INDEX('1.산군_붙여넣기'!$A$1:$AZ$1001,ROW(),설정!$C$5)&amp;"",""))</f>
        <v/>
      </c>
      <c r="D944" s="5">
        <f>IFERROR(VALUE(SUBSTITUTE(SUBSTITUTE(SUBSTITUTE(IF(설정!$C$6="","",IFERROR(INDEX('1.산군_붙여넣기'!$A$1:$AZ$1001,ROW(),설정!$C$6)&amp;"","")),",",""),"㎡",""),"m2","")),"")</f>
        <v/>
      </c>
      <c r="E944">
        <f>IF(설정!$C$7="","",IFERROR(INDEX('1.산군_붙여넣기'!$A$1:$AZ$1001,ROW(),설정!$C$7)&amp;"",""))</f>
        <v/>
      </c>
      <c r="F944">
        <f>IF(설정!$C$8="","",IFERROR(INDEX('1.산군_붙여넣기'!$A$1:$AZ$1001,ROW(),설정!$C$8)&amp;"",""))</f>
        <v/>
      </c>
      <c r="G944">
        <f>IF(설정!$C$9="","",IFERROR(INDEX('1.산군_붙여넣기'!$A$1:$AZ$1001,ROW(),설정!$C$9)&amp;"",""))</f>
        <v/>
      </c>
      <c r="H944">
        <f>IF(설정!$C$10="","",IFERROR(INDEX('1.산군_붙여넣기'!$A$1:$AZ$1001,ROW(),설정!$C$10)&amp;"",""))</f>
        <v/>
      </c>
      <c r="I944">
        <f>IF(설정!$C$11="","",IFERROR(INDEX('1.산군_붙여넣기'!$A$1:$AZ$1001,ROW(),설정!$C$11)&amp;"",""))</f>
        <v/>
      </c>
      <c r="J944">
        <f>IF(설정!$C$12="","",IFERROR(INDEX('1.산군_붙여넣기'!$A$1:$AZ$1001,ROW(),설정!$C$12)&amp;"",""))</f>
        <v/>
      </c>
      <c r="K944">
        <f>IF(설정!$C$13="","",IFERROR(INDEX('1.산군_붙여넣기'!$A$1:$AZ$1001,ROW(),설정!$C$13)&amp;"",""))</f>
        <v/>
      </c>
      <c r="L944" s="7">
        <f>IF(X944="","",IF(AND(LEN(X944)=8,ISNUMBER(X944*1)),DATE(LEFT(X944,4),MID(X944,5,2),RIGHT(X944,2)),IFERROR(DATEVALUE(SUBSTITUTE(SUBSTITUTE(X944,".","-"),"/","-")),IFERROR(X944*1,""))))</f>
        <v/>
      </c>
      <c r="M944" s="7">
        <f>IF(Y944="","",IF(AND(LEN(Y944)=8,ISNUMBER(Y944*1)),DATE(LEFT(Y944,4),MID(Y944,5,2),RIGHT(Y944,2)),IFERROR(DATEVALUE(SUBSTITUTE(SUBSTITUTE(Y944,".","-"),"/","-")),IFERROR(Y944*1,""))))</f>
        <v/>
      </c>
      <c r="N944">
        <f>IFERROR(LEFT(B944,FIND(" ",B944)-1),B944)</f>
        <v/>
      </c>
      <c r="O944">
        <f>AND(B944&lt;&gt;"",B944&lt;&gt;설정!$B$4,C944&lt;&gt;설정!$B$5)</f>
        <v/>
      </c>
      <c r="P944">
        <f>IF(O944,B944&amp;"|"&amp;C944,"")</f>
        <v/>
      </c>
      <c r="Q944">
        <f>AND(O944,COUNTIF(P945:P$1002,P944)=0)</f>
        <v/>
      </c>
      <c r="R944">
        <f>OR(AND(설정!$A$42&lt;&gt;"",ISNUMBER(SEARCH(설정!$A$42,E944&amp;" "&amp;C944))),AND(설정!$A$43&lt;&gt;"",ISNUMBER(SEARCH(설정!$A$43,E944&amp;" "&amp;C944))),AND(설정!$A$44&lt;&gt;"",ISNUMBER(SEARCH(설정!$A$44,E944&amp;" "&amp;C944))),AND(설정!$A$45&lt;&gt;"",ISNUMBER(SEARCH(설정!$A$45,E944&amp;" "&amp;C944))),AND(설정!$A$46&lt;&gt;"",ISNUMBER(SEARCH(설정!$A$46,E944&amp;" "&amp;C944))),AND(설정!$A$47&lt;&gt;"",ISNUMBER(SEARCH(설정!$A$47,E944&amp;" "&amp;C944))),AND(설정!$A$48&lt;&gt;"",ISNUMBER(SEARCH(설정!$A$48,E944&amp;" "&amp;C944))),AND(설정!$A$49&lt;&gt;"",ISNUMBER(SEARCH(설정!$A$49,E944&amp;" "&amp;C944))),AND(설정!$A$50&lt;&gt;"",ISNUMBER(SEARCH(설정!$A$50,E944&amp;" "&amp;C944))),AND(설정!$A$51&lt;&gt;"",ISNUMBER(SEARCH(설정!$A$51,E944&amp;" "&amp;C944))))</f>
        <v/>
      </c>
      <c r="S944">
        <f>OR(D944="",D944&gt;=설정!$B$19)</f>
        <v/>
      </c>
      <c r="T944">
        <f>AND(Q944,R944,S944)</f>
        <v/>
      </c>
      <c r="U944">
        <f>IF(T944,IF(AND(설정!$A$54&lt;&gt;"",ISNUMBER(SEARCH(설정!$A$54,K944))),설정!$B$54,IF(AND(설정!$A$55&lt;&gt;"",ISNUMBER(SEARCH(설정!$A$55,K944))),설정!$B$55,IF(AND(설정!$A$56&lt;&gt;"",ISNUMBER(SEARCH(설정!$A$56,K944))),설정!$B$56,IF(AND(설정!$A$57&lt;&gt;"",ISNUMBER(SEARCH(설정!$A$57,K944))),설정!$B$57,IF(AND(설정!$A$58&lt;&gt;"",ISNUMBER(SEARCH(설정!$A$58,K944))),설정!$B$58,IF(AND(설정!$A$59&lt;&gt;"",ISNUMBER(SEARCH(설정!$A$59,K944))),설정!$B$59,IF(AND(설정!$A$60&lt;&gt;"",ISNUMBER(SEARCH(설정!$A$60,K944))),설정!$B$60,IF(AND(설정!$A$61&lt;&gt;"",ISNUMBER(SEARCH(설정!$A$61,K944))),설정!$B$61,IF(M944="","설계사","시공사"))))))))),"")</f>
        <v/>
      </c>
      <c r="V944">
        <f>SUBSTITUTE(SUBSTITUTE(SUBSTITUTE(SUBSTITUTE(G944,"(주)",""),"㈜",""),"주식회사","")," ","")</f>
        <v/>
      </c>
      <c r="W944">
        <f>IF(AND(T944,V944&lt;&gt;""),IF(COUNTIFS(V$2:V944,V944,T$2:T944,TRUE)=1,MAX(W$1:W943)+1,""),"")</f>
        <v/>
      </c>
      <c r="X944">
        <f>IF(설정!$C$14="","",IFERROR(INDEX('1.산군_붙여넣기'!$A$1:$AZ$1001,ROW(),설정!$C$14)&amp;"",""))</f>
        <v/>
      </c>
      <c r="Y944">
        <f>IF(설정!$C$15="","",IFERROR(INDEX('1.산군_붙여넣기'!$A$1:$AZ$1001,ROW(),설정!$C$15)&amp;"",""))</f>
        <v/>
      </c>
      <c r="Z944">
        <f>IF(T944,V944&amp;"|"&amp;U944,"")</f>
        <v/>
      </c>
      <c r="AA944">
        <f>IF(NOT(Q944),"",IF(NOT(AND(R944,S944)),"✕",IF(OR(OR(AND(L944&lt;&gt;"",M944&lt;&gt;"",N(M944)-N(L944)&gt;설정!$B$27),AND(L944&lt;&gt;"",M944="",설정!$B$24-N(L944)&gt;설정!$B$27)),AND(D944&lt;&gt;"",D944&lt;설정!$B$26)),"△","★")))</f>
        <v/>
      </c>
      <c r="AB944">
        <f>IF(NOT(T944),"",IF(U944="설계사",설정!$B$31,IF(U944="시공사",IF(OR(M944="",설정!$B$24-N(M944)&lt;=설정!$B$28*30.4),설정!$B$32,설정!$B$33),설정!$B$34))+IF(AA944="★",설정!$B$35,0))</f>
        <v/>
      </c>
      <c r="AC944">
        <f>SUBSTITUTE(SUBSTITUTE(SUBSTITUTE(SUBSTITUTE(H944,"(주)",""),"㈜",""),"주식회사","")," ","")</f>
        <v/>
      </c>
      <c r="AD944">
        <f>IF(AND(T944,AC944&lt;&gt;""),IF(COUNTIFS(AC$2:AC944,AC944,T$2:T944,TRUE)=1,MAX(AD$1:AD943)+1,""),"")</f>
        <v/>
      </c>
    </row>
    <row r="945">
      <c r="A945">
        <f>ROW()</f>
        <v/>
      </c>
      <c r="B945">
        <f>IF(설정!$C$4="","",IFERROR(INDEX('1.산군_붙여넣기'!$A$1:$AZ$1001,ROW(),설정!$C$4)&amp;"",""))</f>
        <v/>
      </c>
      <c r="C945">
        <f>IF(설정!$C$5="","",IFERROR(INDEX('1.산군_붙여넣기'!$A$1:$AZ$1001,ROW(),설정!$C$5)&amp;"",""))</f>
        <v/>
      </c>
      <c r="D945" s="5">
        <f>IFERROR(VALUE(SUBSTITUTE(SUBSTITUTE(SUBSTITUTE(IF(설정!$C$6="","",IFERROR(INDEX('1.산군_붙여넣기'!$A$1:$AZ$1001,ROW(),설정!$C$6)&amp;"","")),",",""),"㎡",""),"m2","")),"")</f>
        <v/>
      </c>
      <c r="E945">
        <f>IF(설정!$C$7="","",IFERROR(INDEX('1.산군_붙여넣기'!$A$1:$AZ$1001,ROW(),설정!$C$7)&amp;"",""))</f>
        <v/>
      </c>
      <c r="F945">
        <f>IF(설정!$C$8="","",IFERROR(INDEX('1.산군_붙여넣기'!$A$1:$AZ$1001,ROW(),설정!$C$8)&amp;"",""))</f>
        <v/>
      </c>
      <c r="G945">
        <f>IF(설정!$C$9="","",IFERROR(INDEX('1.산군_붙여넣기'!$A$1:$AZ$1001,ROW(),설정!$C$9)&amp;"",""))</f>
        <v/>
      </c>
      <c r="H945">
        <f>IF(설정!$C$10="","",IFERROR(INDEX('1.산군_붙여넣기'!$A$1:$AZ$1001,ROW(),설정!$C$10)&amp;"",""))</f>
        <v/>
      </c>
      <c r="I945">
        <f>IF(설정!$C$11="","",IFERROR(INDEX('1.산군_붙여넣기'!$A$1:$AZ$1001,ROW(),설정!$C$11)&amp;"",""))</f>
        <v/>
      </c>
      <c r="J945">
        <f>IF(설정!$C$12="","",IFERROR(INDEX('1.산군_붙여넣기'!$A$1:$AZ$1001,ROW(),설정!$C$12)&amp;"",""))</f>
        <v/>
      </c>
      <c r="K945">
        <f>IF(설정!$C$13="","",IFERROR(INDEX('1.산군_붙여넣기'!$A$1:$AZ$1001,ROW(),설정!$C$13)&amp;"",""))</f>
        <v/>
      </c>
      <c r="L945" s="7">
        <f>IF(X945="","",IF(AND(LEN(X945)=8,ISNUMBER(X945*1)),DATE(LEFT(X945,4),MID(X945,5,2),RIGHT(X945,2)),IFERROR(DATEVALUE(SUBSTITUTE(SUBSTITUTE(X945,".","-"),"/","-")),IFERROR(X945*1,""))))</f>
        <v/>
      </c>
      <c r="M945" s="7">
        <f>IF(Y945="","",IF(AND(LEN(Y945)=8,ISNUMBER(Y945*1)),DATE(LEFT(Y945,4),MID(Y945,5,2),RIGHT(Y945,2)),IFERROR(DATEVALUE(SUBSTITUTE(SUBSTITUTE(Y945,".","-"),"/","-")),IFERROR(Y945*1,""))))</f>
        <v/>
      </c>
      <c r="N945">
        <f>IFERROR(LEFT(B945,FIND(" ",B945)-1),B945)</f>
        <v/>
      </c>
      <c r="O945">
        <f>AND(B945&lt;&gt;"",B945&lt;&gt;설정!$B$4,C945&lt;&gt;설정!$B$5)</f>
        <v/>
      </c>
      <c r="P945">
        <f>IF(O945,B945&amp;"|"&amp;C945,"")</f>
        <v/>
      </c>
      <c r="Q945">
        <f>AND(O945,COUNTIF(P946:P$1002,P945)=0)</f>
        <v/>
      </c>
      <c r="R945">
        <f>OR(AND(설정!$A$42&lt;&gt;"",ISNUMBER(SEARCH(설정!$A$42,E945&amp;" "&amp;C945))),AND(설정!$A$43&lt;&gt;"",ISNUMBER(SEARCH(설정!$A$43,E945&amp;" "&amp;C945))),AND(설정!$A$44&lt;&gt;"",ISNUMBER(SEARCH(설정!$A$44,E945&amp;" "&amp;C945))),AND(설정!$A$45&lt;&gt;"",ISNUMBER(SEARCH(설정!$A$45,E945&amp;" "&amp;C945))),AND(설정!$A$46&lt;&gt;"",ISNUMBER(SEARCH(설정!$A$46,E945&amp;" "&amp;C945))),AND(설정!$A$47&lt;&gt;"",ISNUMBER(SEARCH(설정!$A$47,E945&amp;" "&amp;C945))),AND(설정!$A$48&lt;&gt;"",ISNUMBER(SEARCH(설정!$A$48,E945&amp;" "&amp;C945))),AND(설정!$A$49&lt;&gt;"",ISNUMBER(SEARCH(설정!$A$49,E945&amp;" "&amp;C945))),AND(설정!$A$50&lt;&gt;"",ISNUMBER(SEARCH(설정!$A$50,E945&amp;" "&amp;C945))),AND(설정!$A$51&lt;&gt;"",ISNUMBER(SEARCH(설정!$A$51,E945&amp;" "&amp;C945))))</f>
        <v/>
      </c>
      <c r="S945">
        <f>OR(D945="",D945&gt;=설정!$B$19)</f>
        <v/>
      </c>
      <c r="T945">
        <f>AND(Q945,R945,S945)</f>
        <v/>
      </c>
      <c r="U945">
        <f>IF(T945,IF(AND(설정!$A$54&lt;&gt;"",ISNUMBER(SEARCH(설정!$A$54,K945))),설정!$B$54,IF(AND(설정!$A$55&lt;&gt;"",ISNUMBER(SEARCH(설정!$A$55,K945))),설정!$B$55,IF(AND(설정!$A$56&lt;&gt;"",ISNUMBER(SEARCH(설정!$A$56,K945))),설정!$B$56,IF(AND(설정!$A$57&lt;&gt;"",ISNUMBER(SEARCH(설정!$A$57,K945))),설정!$B$57,IF(AND(설정!$A$58&lt;&gt;"",ISNUMBER(SEARCH(설정!$A$58,K945))),설정!$B$58,IF(AND(설정!$A$59&lt;&gt;"",ISNUMBER(SEARCH(설정!$A$59,K945))),설정!$B$59,IF(AND(설정!$A$60&lt;&gt;"",ISNUMBER(SEARCH(설정!$A$60,K945))),설정!$B$60,IF(AND(설정!$A$61&lt;&gt;"",ISNUMBER(SEARCH(설정!$A$61,K945))),설정!$B$61,IF(M945="","설계사","시공사"))))))))),"")</f>
        <v/>
      </c>
      <c r="V945">
        <f>SUBSTITUTE(SUBSTITUTE(SUBSTITUTE(SUBSTITUTE(G945,"(주)",""),"㈜",""),"주식회사","")," ","")</f>
        <v/>
      </c>
      <c r="W945">
        <f>IF(AND(T945,V945&lt;&gt;""),IF(COUNTIFS(V$2:V945,V945,T$2:T945,TRUE)=1,MAX(W$1:W944)+1,""),"")</f>
        <v/>
      </c>
      <c r="X945">
        <f>IF(설정!$C$14="","",IFERROR(INDEX('1.산군_붙여넣기'!$A$1:$AZ$1001,ROW(),설정!$C$14)&amp;"",""))</f>
        <v/>
      </c>
      <c r="Y945">
        <f>IF(설정!$C$15="","",IFERROR(INDEX('1.산군_붙여넣기'!$A$1:$AZ$1001,ROW(),설정!$C$15)&amp;"",""))</f>
        <v/>
      </c>
      <c r="Z945">
        <f>IF(T945,V945&amp;"|"&amp;U945,"")</f>
        <v/>
      </c>
      <c r="AA945">
        <f>IF(NOT(Q945),"",IF(NOT(AND(R945,S945)),"✕",IF(OR(OR(AND(L945&lt;&gt;"",M945&lt;&gt;"",N(M945)-N(L945)&gt;설정!$B$27),AND(L945&lt;&gt;"",M945="",설정!$B$24-N(L945)&gt;설정!$B$27)),AND(D945&lt;&gt;"",D945&lt;설정!$B$26)),"△","★")))</f>
        <v/>
      </c>
      <c r="AB945">
        <f>IF(NOT(T945),"",IF(U945="설계사",설정!$B$31,IF(U945="시공사",IF(OR(M945="",설정!$B$24-N(M945)&lt;=설정!$B$28*30.4),설정!$B$32,설정!$B$33),설정!$B$34))+IF(AA945="★",설정!$B$35,0))</f>
        <v/>
      </c>
      <c r="AC945">
        <f>SUBSTITUTE(SUBSTITUTE(SUBSTITUTE(SUBSTITUTE(H945,"(주)",""),"㈜",""),"주식회사","")," ","")</f>
        <v/>
      </c>
      <c r="AD945">
        <f>IF(AND(T945,AC945&lt;&gt;""),IF(COUNTIFS(AC$2:AC945,AC945,T$2:T945,TRUE)=1,MAX(AD$1:AD944)+1,""),"")</f>
        <v/>
      </c>
    </row>
    <row r="946">
      <c r="A946">
        <f>ROW()</f>
        <v/>
      </c>
      <c r="B946">
        <f>IF(설정!$C$4="","",IFERROR(INDEX('1.산군_붙여넣기'!$A$1:$AZ$1001,ROW(),설정!$C$4)&amp;"",""))</f>
        <v/>
      </c>
      <c r="C946">
        <f>IF(설정!$C$5="","",IFERROR(INDEX('1.산군_붙여넣기'!$A$1:$AZ$1001,ROW(),설정!$C$5)&amp;"",""))</f>
        <v/>
      </c>
      <c r="D946" s="5">
        <f>IFERROR(VALUE(SUBSTITUTE(SUBSTITUTE(SUBSTITUTE(IF(설정!$C$6="","",IFERROR(INDEX('1.산군_붙여넣기'!$A$1:$AZ$1001,ROW(),설정!$C$6)&amp;"","")),",",""),"㎡",""),"m2","")),"")</f>
        <v/>
      </c>
      <c r="E946">
        <f>IF(설정!$C$7="","",IFERROR(INDEX('1.산군_붙여넣기'!$A$1:$AZ$1001,ROW(),설정!$C$7)&amp;"",""))</f>
        <v/>
      </c>
      <c r="F946">
        <f>IF(설정!$C$8="","",IFERROR(INDEX('1.산군_붙여넣기'!$A$1:$AZ$1001,ROW(),설정!$C$8)&amp;"",""))</f>
        <v/>
      </c>
      <c r="G946">
        <f>IF(설정!$C$9="","",IFERROR(INDEX('1.산군_붙여넣기'!$A$1:$AZ$1001,ROW(),설정!$C$9)&amp;"",""))</f>
        <v/>
      </c>
      <c r="H946">
        <f>IF(설정!$C$10="","",IFERROR(INDEX('1.산군_붙여넣기'!$A$1:$AZ$1001,ROW(),설정!$C$10)&amp;"",""))</f>
        <v/>
      </c>
      <c r="I946">
        <f>IF(설정!$C$11="","",IFERROR(INDEX('1.산군_붙여넣기'!$A$1:$AZ$1001,ROW(),설정!$C$11)&amp;"",""))</f>
        <v/>
      </c>
      <c r="J946">
        <f>IF(설정!$C$12="","",IFERROR(INDEX('1.산군_붙여넣기'!$A$1:$AZ$1001,ROW(),설정!$C$12)&amp;"",""))</f>
        <v/>
      </c>
      <c r="K946">
        <f>IF(설정!$C$13="","",IFERROR(INDEX('1.산군_붙여넣기'!$A$1:$AZ$1001,ROW(),설정!$C$13)&amp;"",""))</f>
        <v/>
      </c>
      <c r="L946" s="7">
        <f>IF(X946="","",IF(AND(LEN(X946)=8,ISNUMBER(X946*1)),DATE(LEFT(X946,4),MID(X946,5,2),RIGHT(X946,2)),IFERROR(DATEVALUE(SUBSTITUTE(SUBSTITUTE(X946,".","-"),"/","-")),IFERROR(X946*1,""))))</f>
        <v/>
      </c>
      <c r="M946" s="7">
        <f>IF(Y946="","",IF(AND(LEN(Y946)=8,ISNUMBER(Y946*1)),DATE(LEFT(Y946,4),MID(Y946,5,2),RIGHT(Y946,2)),IFERROR(DATEVALUE(SUBSTITUTE(SUBSTITUTE(Y946,".","-"),"/","-")),IFERROR(Y946*1,""))))</f>
        <v/>
      </c>
      <c r="N946">
        <f>IFERROR(LEFT(B946,FIND(" ",B946)-1),B946)</f>
        <v/>
      </c>
      <c r="O946">
        <f>AND(B946&lt;&gt;"",B946&lt;&gt;설정!$B$4,C946&lt;&gt;설정!$B$5)</f>
        <v/>
      </c>
      <c r="P946">
        <f>IF(O946,B946&amp;"|"&amp;C946,"")</f>
        <v/>
      </c>
      <c r="Q946">
        <f>AND(O946,COUNTIF(P947:P$1002,P946)=0)</f>
        <v/>
      </c>
      <c r="R946">
        <f>OR(AND(설정!$A$42&lt;&gt;"",ISNUMBER(SEARCH(설정!$A$42,E946&amp;" "&amp;C946))),AND(설정!$A$43&lt;&gt;"",ISNUMBER(SEARCH(설정!$A$43,E946&amp;" "&amp;C946))),AND(설정!$A$44&lt;&gt;"",ISNUMBER(SEARCH(설정!$A$44,E946&amp;" "&amp;C946))),AND(설정!$A$45&lt;&gt;"",ISNUMBER(SEARCH(설정!$A$45,E946&amp;" "&amp;C946))),AND(설정!$A$46&lt;&gt;"",ISNUMBER(SEARCH(설정!$A$46,E946&amp;" "&amp;C946))),AND(설정!$A$47&lt;&gt;"",ISNUMBER(SEARCH(설정!$A$47,E946&amp;" "&amp;C946))),AND(설정!$A$48&lt;&gt;"",ISNUMBER(SEARCH(설정!$A$48,E946&amp;" "&amp;C946))),AND(설정!$A$49&lt;&gt;"",ISNUMBER(SEARCH(설정!$A$49,E946&amp;" "&amp;C946))),AND(설정!$A$50&lt;&gt;"",ISNUMBER(SEARCH(설정!$A$50,E946&amp;" "&amp;C946))),AND(설정!$A$51&lt;&gt;"",ISNUMBER(SEARCH(설정!$A$51,E946&amp;" "&amp;C946))))</f>
        <v/>
      </c>
      <c r="S946">
        <f>OR(D946="",D946&gt;=설정!$B$19)</f>
        <v/>
      </c>
      <c r="T946">
        <f>AND(Q946,R946,S946)</f>
        <v/>
      </c>
      <c r="U946">
        <f>IF(T946,IF(AND(설정!$A$54&lt;&gt;"",ISNUMBER(SEARCH(설정!$A$54,K946))),설정!$B$54,IF(AND(설정!$A$55&lt;&gt;"",ISNUMBER(SEARCH(설정!$A$55,K946))),설정!$B$55,IF(AND(설정!$A$56&lt;&gt;"",ISNUMBER(SEARCH(설정!$A$56,K946))),설정!$B$56,IF(AND(설정!$A$57&lt;&gt;"",ISNUMBER(SEARCH(설정!$A$57,K946))),설정!$B$57,IF(AND(설정!$A$58&lt;&gt;"",ISNUMBER(SEARCH(설정!$A$58,K946))),설정!$B$58,IF(AND(설정!$A$59&lt;&gt;"",ISNUMBER(SEARCH(설정!$A$59,K946))),설정!$B$59,IF(AND(설정!$A$60&lt;&gt;"",ISNUMBER(SEARCH(설정!$A$60,K946))),설정!$B$60,IF(AND(설정!$A$61&lt;&gt;"",ISNUMBER(SEARCH(설정!$A$61,K946))),설정!$B$61,IF(M946="","설계사","시공사"))))))))),"")</f>
        <v/>
      </c>
      <c r="V946">
        <f>SUBSTITUTE(SUBSTITUTE(SUBSTITUTE(SUBSTITUTE(G946,"(주)",""),"㈜",""),"주식회사","")," ","")</f>
        <v/>
      </c>
      <c r="W946">
        <f>IF(AND(T946,V946&lt;&gt;""),IF(COUNTIFS(V$2:V946,V946,T$2:T946,TRUE)=1,MAX(W$1:W945)+1,""),"")</f>
        <v/>
      </c>
      <c r="X946">
        <f>IF(설정!$C$14="","",IFERROR(INDEX('1.산군_붙여넣기'!$A$1:$AZ$1001,ROW(),설정!$C$14)&amp;"",""))</f>
        <v/>
      </c>
      <c r="Y946">
        <f>IF(설정!$C$15="","",IFERROR(INDEX('1.산군_붙여넣기'!$A$1:$AZ$1001,ROW(),설정!$C$15)&amp;"",""))</f>
        <v/>
      </c>
      <c r="Z946">
        <f>IF(T946,V946&amp;"|"&amp;U946,"")</f>
        <v/>
      </c>
      <c r="AA946">
        <f>IF(NOT(Q946),"",IF(NOT(AND(R946,S946)),"✕",IF(OR(OR(AND(L946&lt;&gt;"",M946&lt;&gt;"",N(M946)-N(L946)&gt;설정!$B$27),AND(L946&lt;&gt;"",M946="",설정!$B$24-N(L946)&gt;설정!$B$27)),AND(D946&lt;&gt;"",D946&lt;설정!$B$26)),"△","★")))</f>
        <v/>
      </c>
      <c r="AB946">
        <f>IF(NOT(T946),"",IF(U946="설계사",설정!$B$31,IF(U946="시공사",IF(OR(M946="",설정!$B$24-N(M946)&lt;=설정!$B$28*30.4),설정!$B$32,설정!$B$33),설정!$B$34))+IF(AA946="★",설정!$B$35,0))</f>
        <v/>
      </c>
      <c r="AC946">
        <f>SUBSTITUTE(SUBSTITUTE(SUBSTITUTE(SUBSTITUTE(H946,"(주)",""),"㈜",""),"주식회사","")," ","")</f>
        <v/>
      </c>
      <c r="AD946">
        <f>IF(AND(T946,AC946&lt;&gt;""),IF(COUNTIFS(AC$2:AC946,AC946,T$2:T946,TRUE)=1,MAX(AD$1:AD945)+1,""),"")</f>
        <v/>
      </c>
    </row>
    <row r="947">
      <c r="A947">
        <f>ROW()</f>
        <v/>
      </c>
      <c r="B947">
        <f>IF(설정!$C$4="","",IFERROR(INDEX('1.산군_붙여넣기'!$A$1:$AZ$1001,ROW(),설정!$C$4)&amp;"",""))</f>
        <v/>
      </c>
      <c r="C947">
        <f>IF(설정!$C$5="","",IFERROR(INDEX('1.산군_붙여넣기'!$A$1:$AZ$1001,ROW(),설정!$C$5)&amp;"",""))</f>
        <v/>
      </c>
      <c r="D947" s="5">
        <f>IFERROR(VALUE(SUBSTITUTE(SUBSTITUTE(SUBSTITUTE(IF(설정!$C$6="","",IFERROR(INDEX('1.산군_붙여넣기'!$A$1:$AZ$1001,ROW(),설정!$C$6)&amp;"","")),",",""),"㎡",""),"m2","")),"")</f>
        <v/>
      </c>
      <c r="E947">
        <f>IF(설정!$C$7="","",IFERROR(INDEX('1.산군_붙여넣기'!$A$1:$AZ$1001,ROW(),설정!$C$7)&amp;"",""))</f>
        <v/>
      </c>
      <c r="F947">
        <f>IF(설정!$C$8="","",IFERROR(INDEX('1.산군_붙여넣기'!$A$1:$AZ$1001,ROW(),설정!$C$8)&amp;"",""))</f>
        <v/>
      </c>
      <c r="G947">
        <f>IF(설정!$C$9="","",IFERROR(INDEX('1.산군_붙여넣기'!$A$1:$AZ$1001,ROW(),설정!$C$9)&amp;"",""))</f>
        <v/>
      </c>
      <c r="H947">
        <f>IF(설정!$C$10="","",IFERROR(INDEX('1.산군_붙여넣기'!$A$1:$AZ$1001,ROW(),설정!$C$10)&amp;"",""))</f>
        <v/>
      </c>
      <c r="I947">
        <f>IF(설정!$C$11="","",IFERROR(INDEX('1.산군_붙여넣기'!$A$1:$AZ$1001,ROW(),설정!$C$11)&amp;"",""))</f>
        <v/>
      </c>
      <c r="J947">
        <f>IF(설정!$C$12="","",IFERROR(INDEX('1.산군_붙여넣기'!$A$1:$AZ$1001,ROW(),설정!$C$12)&amp;"",""))</f>
        <v/>
      </c>
      <c r="K947">
        <f>IF(설정!$C$13="","",IFERROR(INDEX('1.산군_붙여넣기'!$A$1:$AZ$1001,ROW(),설정!$C$13)&amp;"",""))</f>
        <v/>
      </c>
      <c r="L947" s="7">
        <f>IF(X947="","",IF(AND(LEN(X947)=8,ISNUMBER(X947*1)),DATE(LEFT(X947,4),MID(X947,5,2),RIGHT(X947,2)),IFERROR(DATEVALUE(SUBSTITUTE(SUBSTITUTE(X947,".","-"),"/","-")),IFERROR(X947*1,""))))</f>
        <v/>
      </c>
      <c r="M947" s="7">
        <f>IF(Y947="","",IF(AND(LEN(Y947)=8,ISNUMBER(Y947*1)),DATE(LEFT(Y947,4),MID(Y947,5,2),RIGHT(Y947,2)),IFERROR(DATEVALUE(SUBSTITUTE(SUBSTITUTE(Y947,".","-"),"/","-")),IFERROR(Y947*1,""))))</f>
        <v/>
      </c>
      <c r="N947">
        <f>IFERROR(LEFT(B947,FIND(" ",B947)-1),B947)</f>
        <v/>
      </c>
      <c r="O947">
        <f>AND(B947&lt;&gt;"",B947&lt;&gt;설정!$B$4,C947&lt;&gt;설정!$B$5)</f>
        <v/>
      </c>
      <c r="P947">
        <f>IF(O947,B947&amp;"|"&amp;C947,"")</f>
        <v/>
      </c>
      <c r="Q947">
        <f>AND(O947,COUNTIF(P948:P$1002,P947)=0)</f>
        <v/>
      </c>
      <c r="R947">
        <f>OR(AND(설정!$A$42&lt;&gt;"",ISNUMBER(SEARCH(설정!$A$42,E947&amp;" "&amp;C947))),AND(설정!$A$43&lt;&gt;"",ISNUMBER(SEARCH(설정!$A$43,E947&amp;" "&amp;C947))),AND(설정!$A$44&lt;&gt;"",ISNUMBER(SEARCH(설정!$A$44,E947&amp;" "&amp;C947))),AND(설정!$A$45&lt;&gt;"",ISNUMBER(SEARCH(설정!$A$45,E947&amp;" "&amp;C947))),AND(설정!$A$46&lt;&gt;"",ISNUMBER(SEARCH(설정!$A$46,E947&amp;" "&amp;C947))),AND(설정!$A$47&lt;&gt;"",ISNUMBER(SEARCH(설정!$A$47,E947&amp;" "&amp;C947))),AND(설정!$A$48&lt;&gt;"",ISNUMBER(SEARCH(설정!$A$48,E947&amp;" "&amp;C947))),AND(설정!$A$49&lt;&gt;"",ISNUMBER(SEARCH(설정!$A$49,E947&amp;" "&amp;C947))),AND(설정!$A$50&lt;&gt;"",ISNUMBER(SEARCH(설정!$A$50,E947&amp;" "&amp;C947))),AND(설정!$A$51&lt;&gt;"",ISNUMBER(SEARCH(설정!$A$51,E947&amp;" "&amp;C947))))</f>
        <v/>
      </c>
      <c r="S947">
        <f>OR(D947="",D947&gt;=설정!$B$19)</f>
        <v/>
      </c>
      <c r="T947">
        <f>AND(Q947,R947,S947)</f>
        <v/>
      </c>
      <c r="U947">
        <f>IF(T947,IF(AND(설정!$A$54&lt;&gt;"",ISNUMBER(SEARCH(설정!$A$54,K947))),설정!$B$54,IF(AND(설정!$A$55&lt;&gt;"",ISNUMBER(SEARCH(설정!$A$55,K947))),설정!$B$55,IF(AND(설정!$A$56&lt;&gt;"",ISNUMBER(SEARCH(설정!$A$56,K947))),설정!$B$56,IF(AND(설정!$A$57&lt;&gt;"",ISNUMBER(SEARCH(설정!$A$57,K947))),설정!$B$57,IF(AND(설정!$A$58&lt;&gt;"",ISNUMBER(SEARCH(설정!$A$58,K947))),설정!$B$58,IF(AND(설정!$A$59&lt;&gt;"",ISNUMBER(SEARCH(설정!$A$59,K947))),설정!$B$59,IF(AND(설정!$A$60&lt;&gt;"",ISNUMBER(SEARCH(설정!$A$60,K947))),설정!$B$60,IF(AND(설정!$A$61&lt;&gt;"",ISNUMBER(SEARCH(설정!$A$61,K947))),설정!$B$61,IF(M947="","설계사","시공사"))))))))),"")</f>
        <v/>
      </c>
      <c r="V947">
        <f>SUBSTITUTE(SUBSTITUTE(SUBSTITUTE(SUBSTITUTE(G947,"(주)",""),"㈜",""),"주식회사","")," ","")</f>
        <v/>
      </c>
      <c r="W947">
        <f>IF(AND(T947,V947&lt;&gt;""),IF(COUNTIFS(V$2:V947,V947,T$2:T947,TRUE)=1,MAX(W$1:W946)+1,""),"")</f>
        <v/>
      </c>
      <c r="X947">
        <f>IF(설정!$C$14="","",IFERROR(INDEX('1.산군_붙여넣기'!$A$1:$AZ$1001,ROW(),설정!$C$14)&amp;"",""))</f>
        <v/>
      </c>
      <c r="Y947">
        <f>IF(설정!$C$15="","",IFERROR(INDEX('1.산군_붙여넣기'!$A$1:$AZ$1001,ROW(),설정!$C$15)&amp;"",""))</f>
        <v/>
      </c>
      <c r="Z947">
        <f>IF(T947,V947&amp;"|"&amp;U947,"")</f>
        <v/>
      </c>
      <c r="AA947">
        <f>IF(NOT(Q947),"",IF(NOT(AND(R947,S947)),"✕",IF(OR(OR(AND(L947&lt;&gt;"",M947&lt;&gt;"",N(M947)-N(L947)&gt;설정!$B$27),AND(L947&lt;&gt;"",M947="",설정!$B$24-N(L947)&gt;설정!$B$27)),AND(D947&lt;&gt;"",D947&lt;설정!$B$26)),"△","★")))</f>
        <v/>
      </c>
      <c r="AB947">
        <f>IF(NOT(T947),"",IF(U947="설계사",설정!$B$31,IF(U947="시공사",IF(OR(M947="",설정!$B$24-N(M947)&lt;=설정!$B$28*30.4),설정!$B$32,설정!$B$33),설정!$B$34))+IF(AA947="★",설정!$B$35,0))</f>
        <v/>
      </c>
      <c r="AC947">
        <f>SUBSTITUTE(SUBSTITUTE(SUBSTITUTE(SUBSTITUTE(H947,"(주)",""),"㈜",""),"주식회사","")," ","")</f>
        <v/>
      </c>
      <c r="AD947">
        <f>IF(AND(T947,AC947&lt;&gt;""),IF(COUNTIFS(AC$2:AC947,AC947,T$2:T947,TRUE)=1,MAX(AD$1:AD946)+1,""),"")</f>
        <v/>
      </c>
    </row>
    <row r="948">
      <c r="A948">
        <f>ROW()</f>
        <v/>
      </c>
      <c r="B948">
        <f>IF(설정!$C$4="","",IFERROR(INDEX('1.산군_붙여넣기'!$A$1:$AZ$1001,ROW(),설정!$C$4)&amp;"",""))</f>
        <v/>
      </c>
      <c r="C948">
        <f>IF(설정!$C$5="","",IFERROR(INDEX('1.산군_붙여넣기'!$A$1:$AZ$1001,ROW(),설정!$C$5)&amp;"",""))</f>
        <v/>
      </c>
      <c r="D948" s="5">
        <f>IFERROR(VALUE(SUBSTITUTE(SUBSTITUTE(SUBSTITUTE(IF(설정!$C$6="","",IFERROR(INDEX('1.산군_붙여넣기'!$A$1:$AZ$1001,ROW(),설정!$C$6)&amp;"","")),",",""),"㎡",""),"m2","")),"")</f>
        <v/>
      </c>
      <c r="E948">
        <f>IF(설정!$C$7="","",IFERROR(INDEX('1.산군_붙여넣기'!$A$1:$AZ$1001,ROW(),설정!$C$7)&amp;"",""))</f>
        <v/>
      </c>
      <c r="F948">
        <f>IF(설정!$C$8="","",IFERROR(INDEX('1.산군_붙여넣기'!$A$1:$AZ$1001,ROW(),설정!$C$8)&amp;"",""))</f>
        <v/>
      </c>
      <c r="G948">
        <f>IF(설정!$C$9="","",IFERROR(INDEX('1.산군_붙여넣기'!$A$1:$AZ$1001,ROW(),설정!$C$9)&amp;"",""))</f>
        <v/>
      </c>
      <c r="H948">
        <f>IF(설정!$C$10="","",IFERROR(INDEX('1.산군_붙여넣기'!$A$1:$AZ$1001,ROW(),설정!$C$10)&amp;"",""))</f>
        <v/>
      </c>
      <c r="I948">
        <f>IF(설정!$C$11="","",IFERROR(INDEX('1.산군_붙여넣기'!$A$1:$AZ$1001,ROW(),설정!$C$11)&amp;"",""))</f>
        <v/>
      </c>
      <c r="J948">
        <f>IF(설정!$C$12="","",IFERROR(INDEX('1.산군_붙여넣기'!$A$1:$AZ$1001,ROW(),설정!$C$12)&amp;"",""))</f>
        <v/>
      </c>
      <c r="K948">
        <f>IF(설정!$C$13="","",IFERROR(INDEX('1.산군_붙여넣기'!$A$1:$AZ$1001,ROW(),설정!$C$13)&amp;"",""))</f>
        <v/>
      </c>
      <c r="L948" s="7">
        <f>IF(X948="","",IF(AND(LEN(X948)=8,ISNUMBER(X948*1)),DATE(LEFT(X948,4),MID(X948,5,2),RIGHT(X948,2)),IFERROR(DATEVALUE(SUBSTITUTE(SUBSTITUTE(X948,".","-"),"/","-")),IFERROR(X948*1,""))))</f>
        <v/>
      </c>
      <c r="M948" s="7">
        <f>IF(Y948="","",IF(AND(LEN(Y948)=8,ISNUMBER(Y948*1)),DATE(LEFT(Y948,4),MID(Y948,5,2),RIGHT(Y948,2)),IFERROR(DATEVALUE(SUBSTITUTE(SUBSTITUTE(Y948,".","-"),"/","-")),IFERROR(Y948*1,""))))</f>
        <v/>
      </c>
      <c r="N948">
        <f>IFERROR(LEFT(B948,FIND(" ",B948)-1),B948)</f>
        <v/>
      </c>
      <c r="O948">
        <f>AND(B948&lt;&gt;"",B948&lt;&gt;설정!$B$4,C948&lt;&gt;설정!$B$5)</f>
        <v/>
      </c>
      <c r="P948">
        <f>IF(O948,B948&amp;"|"&amp;C948,"")</f>
        <v/>
      </c>
      <c r="Q948">
        <f>AND(O948,COUNTIF(P949:P$1002,P948)=0)</f>
        <v/>
      </c>
      <c r="R948">
        <f>OR(AND(설정!$A$42&lt;&gt;"",ISNUMBER(SEARCH(설정!$A$42,E948&amp;" "&amp;C948))),AND(설정!$A$43&lt;&gt;"",ISNUMBER(SEARCH(설정!$A$43,E948&amp;" "&amp;C948))),AND(설정!$A$44&lt;&gt;"",ISNUMBER(SEARCH(설정!$A$44,E948&amp;" "&amp;C948))),AND(설정!$A$45&lt;&gt;"",ISNUMBER(SEARCH(설정!$A$45,E948&amp;" "&amp;C948))),AND(설정!$A$46&lt;&gt;"",ISNUMBER(SEARCH(설정!$A$46,E948&amp;" "&amp;C948))),AND(설정!$A$47&lt;&gt;"",ISNUMBER(SEARCH(설정!$A$47,E948&amp;" "&amp;C948))),AND(설정!$A$48&lt;&gt;"",ISNUMBER(SEARCH(설정!$A$48,E948&amp;" "&amp;C948))),AND(설정!$A$49&lt;&gt;"",ISNUMBER(SEARCH(설정!$A$49,E948&amp;" "&amp;C948))),AND(설정!$A$50&lt;&gt;"",ISNUMBER(SEARCH(설정!$A$50,E948&amp;" "&amp;C948))),AND(설정!$A$51&lt;&gt;"",ISNUMBER(SEARCH(설정!$A$51,E948&amp;" "&amp;C948))))</f>
        <v/>
      </c>
      <c r="S948">
        <f>OR(D948="",D948&gt;=설정!$B$19)</f>
        <v/>
      </c>
      <c r="T948">
        <f>AND(Q948,R948,S948)</f>
        <v/>
      </c>
      <c r="U948">
        <f>IF(T948,IF(AND(설정!$A$54&lt;&gt;"",ISNUMBER(SEARCH(설정!$A$54,K948))),설정!$B$54,IF(AND(설정!$A$55&lt;&gt;"",ISNUMBER(SEARCH(설정!$A$55,K948))),설정!$B$55,IF(AND(설정!$A$56&lt;&gt;"",ISNUMBER(SEARCH(설정!$A$56,K948))),설정!$B$56,IF(AND(설정!$A$57&lt;&gt;"",ISNUMBER(SEARCH(설정!$A$57,K948))),설정!$B$57,IF(AND(설정!$A$58&lt;&gt;"",ISNUMBER(SEARCH(설정!$A$58,K948))),설정!$B$58,IF(AND(설정!$A$59&lt;&gt;"",ISNUMBER(SEARCH(설정!$A$59,K948))),설정!$B$59,IF(AND(설정!$A$60&lt;&gt;"",ISNUMBER(SEARCH(설정!$A$60,K948))),설정!$B$60,IF(AND(설정!$A$61&lt;&gt;"",ISNUMBER(SEARCH(설정!$A$61,K948))),설정!$B$61,IF(M948="","설계사","시공사"))))))))),"")</f>
        <v/>
      </c>
      <c r="V948">
        <f>SUBSTITUTE(SUBSTITUTE(SUBSTITUTE(SUBSTITUTE(G948,"(주)",""),"㈜",""),"주식회사","")," ","")</f>
        <v/>
      </c>
      <c r="W948">
        <f>IF(AND(T948,V948&lt;&gt;""),IF(COUNTIFS(V$2:V948,V948,T$2:T948,TRUE)=1,MAX(W$1:W947)+1,""),"")</f>
        <v/>
      </c>
      <c r="X948">
        <f>IF(설정!$C$14="","",IFERROR(INDEX('1.산군_붙여넣기'!$A$1:$AZ$1001,ROW(),설정!$C$14)&amp;"",""))</f>
        <v/>
      </c>
      <c r="Y948">
        <f>IF(설정!$C$15="","",IFERROR(INDEX('1.산군_붙여넣기'!$A$1:$AZ$1001,ROW(),설정!$C$15)&amp;"",""))</f>
        <v/>
      </c>
      <c r="Z948">
        <f>IF(T948,V948&amp;"|"&amp;U948,"")</f>
        <v/>
      </c>
      <c r="AA948">
        <f>IF(NOT(Q948),"",IF(NOT(AND(R948,S948)),"✕",IF(OR(OR(AND(L948&lt;&gt;"",M948&lt;&gt;"",N(M948)-N(L948)&gt;설정!$B$27),AND(L948&lt;&gt;"",M948="",설정!$B$24-N(L948)&gt;설정!$B$27)),AND(D948&lt;&gt;"",D948&lt;설정!$B$26)),"△","★")))</f>
        <v/>
      </c>
      <c r="AB948">
        <f>IF(NOT(T948),"",IF(U948="설계사",설정!$B$31,IF(U948="시공사",IF(OR(M948="",설정!$B$24-N(M948)&lt;=설정!$B$28*30.4),설정!$B$32,설정!$B$33),설정!$B$34))+IF(AA948="★",설정!$B$35,0))</f>
        <v/>
      </c>
      <c r="AC948">
        <f>SUBSTITUTE(SUBSTITUTE(SUBSTITUTE(SUBSTITUTE(H948,"(주)",""),"㈜",""),"주식회사","")," ","")</f>
        <v/>
      </c>
      <c r="AD948">
        <f>IF(AND(T948,AC948&lt;&gt;""),IF(COUNTIFS(AC$2:AC948,AC948,T$2:T948,TRUE)=1,MAX(AD$1:AD947)+1,""),"")</f>
        <v/>
      </c>
    </row>
    <row r="949">
      <c r="A949">
        <f>ROW()</f>
        <v/>
      </c>
      <c r="B949">
        <f>IF(설정!$C$4="","",IFERROR(INDEX('1.산군_붙여넣기'!$A$1:$AZ$1001,ROW(),설정!$C$4)&amp;"",""))</f>
        <v/>
      </c>
      <c r="C949">
        <f>IF(설정!$C$5="","",IFERROR(INDEX('1.산군_붙여넣기'!$A$1:$AZ$1001,ROW(),설정!$C$5)&amp;"",""))</f>
        <v/>
      </c>
      <c r="D949" s="5">
        <f>IFERROR(VALUE(SUBSTITUTE(SUBSTITUTE(SUBSTITUTE(IF(설정!$C$6="","",IFERROR(INDEX('1.산군_붙여넣기'!$A$1:$AZ$1001,ROW(),설정!$C$6)&amp;"","")),",",""),"㎡",""),"m2","")),"")</f>
        <v/>
      </c>
      <c r="E949">
        <f>IF(설정!$C$7="","",IFERROR(INDEX('1.산군_붙여넣기'!$A$1:$AZ$1001,ROW(),설정!$C$7)&amp;"",""))</f>
        <v/>
      </c>
      <c r="F949">
        <f>IF(설정!$C$8="","",IFERROR(INDEX('1.산군_붙여넣기'!$A$1:$AZ$1001,ROW(),설정!$C$8)&amp;"",""))</f>
        <v/>
      </c>
      <c r="G949">
        <f>IF(설정!$C$9="","",IFERROR(INDEX('1.산군_붙여넣기'!$A$1:$AZ$1001,ROW(),설정!$C$9)&amp;"",""))</f>
        <v/>
      </c>
      <c r="H949">
        <f>IF(설정!$C$10="","",IFERROR(INDEX('1.산군_붙여넣기'!$A$1:$AZ$1001,ROW(),설정!$C$10)&amp;"",""))</f>
        <v/>
      </c>
      <c r="I949">
        <f>IF(설정!$C$11="","",IFERROR(INDEX('1.산군_붙여넣기'!$A$1:$AZ$1001,ROW(),설정!$C$11)&amp;"",""))</f>
        <v/>
      </c>
      <c r="J949">
        <f>IF(설정!$C$12="","",IFERROR(INDEX('1.산군_붙여넣기'!$A$1:$AZ$1001,ROW(),설정!$C$12)&amp;"",""))</f>
        <v/>
      </c>
      <c r="K949">
        <f>IF(설정!$C$13="","",IFERROR(INDEX('1.산군_붙여넣기'!$A$1:$AZ$1001,ROW(),설정!$C$13)&amp;"",""))</f>
        <v/>
      </c>
      <c r="L949" s="7">
        <f>IF(X949="","",IF(AND(LEN(X949)=8,ISNUMBER(X949*1)),DATE(LEFT(X949,4),MID(X949,5,2),RIGHT(X949,2)),IFERROR(DATEVALUE(SUBSTITUTE(SUBSTITUTE(X949,".","-"),"/","-")),IFERROR(X949*1,""))))</f>
        <v/>
      </c>
      <c r="M949" s="7">
        <f>IF(Y949="","",IF(AND(LEN(Y949)=8,ISNUMBER(Y949*1)),DATE(LEFT(Y949,4),MID(Y949,5,2),RIGHT(Y949,2)),IFERROR(DATEVALUE(SUBSTITUTE(SUBSTITUTE(Y949,".","-"),"/","-")),IFERROR(Y949*1,""))))</f>
        <v/>
      </c>
      <c r="N949">
        <f>IFERROR(LEFT(B949,FIND(" ",B949)-1),B949)</f>
        <v/>
      </c>
      <c r="O949">
        <f>AND(B949&lt;&gt;"",B949&lt;&gt;설정!$B$4,C949&lt;&gt;설정!$B$5)</f>
        <v/>
      </c>
      <c r="P949">
        <f>IF(O949,B949&amp;"|"&amp;C949,"")</f>
        <v/>
      </c>
      <c r="Q949">
        <f>AND(O949,COUNTIF(P950:P$1002,P949)=0)</f>
        <v/>
      </c>
      <c r="R949">
        <f>OR(AND(설정!$A$42&lt;&gt;"",ISNUMBER(SEARCH(설정!$A$42,E949&amp;" "&amp;C949))),AND(설정!$A$43&lt;&gt;"",ISNUMBER(SEARCH(설정!$A$43,E949&amp;" "&amp;C949))),AND(설정!$A$44&lt;&gt;"",ISNUMBER(SEARCH(설정!$A$44,E949&amp;" "&amp;C949))),AND(설정!$A$45&lt;&gt;"",ISNUMBER(SEARCH(설정!$A$45,E949&amp;" "&amp;C949))),AND(설정!$A$46&lt;&gt;"",ISNUMBER(SEARCH(설정!$A$46,E949&amp;" "&amp;C949))),AND(설정!$A$47&lt;&gt;"",ISNUMBER(SEARCH(설정!$A$47,E949&amp;" "&amp;C949))),AND(설정!$A$48&lt;&gt;"",ISNUMBER(SEARCH(설정!$A$48,E949&amp;" "&amp;C949))),AND(설정!$A$49&lt;&gt;"",ISNUMBER(SEARCH(설정!$A$49,E949&amp;" "&amp;C949))),AND(설정!$A$50&lt;&gt;"",ISNUMBER(SEARCH(설정!$A$50,E949&amp;" "&amp;C949))),AND(설정!$A$51&lt;&gt;"",ISNUMBER(SEARCH(설정!$A$51,E949&amp;" "&amp;C949))))</f>
        <v/>
      </c>
      <c r="S949">
        <f>OR(D949="",D949&gt;=설정!$B$19)</f>
        <v/>
      </c>
      <c r="T949">
        <f>AND(Q949,R949,S949)</f>
        <v/>
      </c>
      <c r="U949">
        <f>IF(T949,IF(AND(설정!$A$54&lt;&gt;"",ISNUMBER(SEARCH(설정!$A$54,K949))),설정!$B$54,IF(AND(설정!$A$55&lt;&gt;"",ISNUMBER(SEARCH(설정!$A$55,K949))),설정!$B$55,IF(AND(설정!$A$56&lt;&gt;"",ISNUMBER(SEARCH(설정!$A$56,K949))),설정!$B$56,IF(AND(설정!$A$57&lt;&gt;"",ISNUMBER(SEARCH(설정!$A$57,K949))),설정!$B$57,IF(AND(설정!$A$58&lt;&gt;"",ISNUMBER(SEARCH(설정!$A$58,K949))),설정!$B$58,IF(AND(설정!$A$59&lt;&gt;"",ISNUMBER(SEARCH(설정!$A$59,K949))),설정!$B$59,IF(AND(설정!$A$60&lt;&gt;"",ISNUMBER(SEARCH(설정!$A$60,K949))),설정!$B$60,IF(AND(설정!$A$61&lt;&gt;"",ISNUMBER(SEARCH(설정!$A$61,K949))),설정!$B$61,IF(M949="","설계사","시공사"))))))))),"")</f>
        <v/>
      </c>
      <c r="V949">
        <f>SUBSTITUTE(SUBSTITUTE(SUBSTITUTE(SUBSTITUTE(G949,"(주)",""),"㈜",""),"주식회사","")," ","")</f>
        <v/>
      </c>
      <c r="W949">
        <f>IF(AND(T949,V949&lt;&gt;""),IF(COUNTIFS(V$2:V949,V949,T$2:T949,TRUE)=1,MAX(W$1:W948)+1,""),"")</f>
        <v/>
      </c>
      <c r="X949">
        <f>IF(설정!$C$14="","",IFERROR(INDEX('1.산군_붙여넣기'!$A$1:$AZ$1001,ROW(),설정!$C$14)&amp;"",""))</f>
        <v/>
      </c>
      <c r="Y949">
        <f>IF(설정!$C$15="","",IFERROR(INDEX('1.산군_붙여넣기'!$A$1:$AZ$1001,ROW(),설정!$C$15)&amp;"",""))</f>
        <v/>
      </c>
      <c r="Z949">
        <f>IF(T949,V949&amp;"|"&amp;U949,"")</f>
        <v/>
      </c>
      <c r="AA949">
        <f>IF(NOT(Q949),"",IF(NOT(AND(R949,S949)),"✕",IF(OR(OR(AND(L949&lt;&gt;"",M949&lt;&gt;"",N(M949)-N(L949)&gt;설정!$B$27),AND(L949&lt;&gt;"",M949="",설정!$B$24-N(L949)&gt;설정!$B$27)),AND(D949&lt;&gt;"",D949&lt;설정!$B$26)),"△","★")))</f>
        <v/>
      </c>
      <c r="AB949">
        <f>IF(NOT(T949),"",IF(U949="설계사",설정!$B$31,IF(U949="시공사",IF(OR(M949="",설정!$B$24-N(M949)&lt;=설정!$B$28*30.4),설정!$B$32,설정!$B$33),설정!$B$34))+IF(AA949="★",설정!$B$35,0))</f>
        <v/>
      </c>
      <c r="AC949">
        <f>SUBSTITUTE(SUBSTITUTE(SUBSTITUTE(SUBSTITUTE(H949,"(주)",""),"㈜",""),"주식회사","")," ","")</f>
        <v/>
      </c>
      <c r="AD949">
        <f>IF(AND(T949,AC949&lt;&gt;""),IF(COUNTIFS(AC$2:AC949,AC949,T$2:T949,TRUE)=1,MAX(AD$1:AD948)+1,""),"")</f>
        <v/>
      </c>
    </row>
    <row r="950">
      <c r="A950">
        <f>ROW()</f>
        <v/>
      </c>
      <c r="B950">
        <f>IF(설정!$C$4="","",IFERROR(INDEX('1.산군_붙여넣기'!$A$1:$AZ$1001,ROW(),설정!$C$4)&amp;"",""))</f>
        <v/>
      </c>
      <c r="C950">
        <f>IF(설정!$C$5="","",IFERROR(INDEX('1.산군_붙여넣기'!$A$1:$AZ$1001,ROW(),설정!$C$5)&amp;"",""))</f>
        <v/>
      </c>
      <c r="D950" s="5">
        <f>IFERROR(VALUE(SUBSTITUTE(SUBSTITUTE(SUBSTITUTE(IF(설정!$C$6="","",IFERROR(INDEX('1.산군_붙여넣기'!$A$1:$AZ$1001,ROW(),설정!$C$6)&amp;"","")),",",""),"㎡",""),"m2","")),"")</f>
        <v/>
      </c>
      <c r="E950">
        <f>IF(설정!$C$7="","",IFERROR(INDEX('1.산군_붙여넣기'!$A$1:$AZ$1001,ROW(),설정!$C$7)&amp;"",""))</f>
        <v/>
      </c>
      <c r="F950">
        <f>IF(설정!$C$8="","",IFERROR(INDEX('1.산군_붙여넣기'!$A$1:$AZ$1001,ROW(),설정!$C$8)&amp;"",""))</f>
        <v/>
      </c>
      <c r="G950">
        <f>IF(설정!$C$9="","",IFERROR(INDEX('1.산군_붙여넣기'!$A$1:$AZ$1001,ROW(),설정!$C$9)&amp;"",""))</f>
        <v/>
      </c>
      <c r="H950">
        <f>IF(설정!$C$10="","",IFERROR(INDEX('1.산군_붙여넣기'!$A$1:$AZ$1001,ROW(),설정!$C$10)&amp;"",""))</f>
        <v/>
      </c>
      <c r="I950">
        <f>IF(설정!$C$11="","",IFERROR(INDEX('1.산군_붙여넣기'!$A$1:$AZ$1001,ROW(),설정!$C$11)&amp;"",""))</f>
        <v/>
      </c>
      <c r="J950">
        <f>IF(설정!$C$12="","",IFERROR(INDEX('1.산군_붙여넣기'!$A$1:$AZ$1001,ROW(),설정!$C$12)&amp;"",""))</f>
        <v/>
      </c>
      <c r="K950">
        <f>IF(설정!$C$13="","",IFERROR(INDEX('1.산군_붙여넣기'!$A$1:$AZ$1001,ROW(),설정!$C$13)&amp;"",""))</f>
        <v/>
      </c>
      <c r="L950" s="7">
        <f>IF(X950="","",IF(AND(LEN(X950)=8,ISNUMBER(X950*1)),DATE(LEFT(X950,4),MID(X950,5,2),RIGHT(X950,2)),IFERROR(DATEVALUE(SUBSTITUTE(SUBSTITUTE(X950,".","-"),"/","-")),IFERROR(X950*1,""))))</f>
        <v/>
      </c>
      <c r="M950" s="7">
        <f>IF(Y950="","",IF(AND(LEN(Y950)=8,ISNUMBER(Y950*1)),DATE(LEFT(Y950,4),MID(Y950,5,2),RIGHT(Y950,2)),IFERROR(DATEVALUE(SUBSTITUTE(SUBSTITUTE(Y950,".","-"),"/","-")),IFERROR(Y950*1,""))))</f>
        <v/>
      </c>
      <c r="N950">
        <f>IFERROR(LEFT(B950,FIND(" ",B950)-1),B950)</f>
        <v/>
      </c>
      <c r="O950">
        <f>AND(B950&lt;&gt;"",B950&lt;&gt;설정!$B$4,C950&lt;&gt;설정!$B$5)</f>
        <v/>
      </c>
      <c r="P950">
        <f>IF(O950,B950&amp;"|"&amp;C950,"")</f>
        <v/>
      </c>
      <c r="Q950">
        <f>AND(O950,COUNTIF(P951:P$1002,P950)=0)</f>
        <v/>
      </c>
      <c r="R950">
        <f>OR(AND(설정!$A$42&lt;&gt;"",ISNUMBER(SEARCH(설정!$A$42,E950&amp;" "&amp;C950))),AND(설정!$A$43&lt;&gt;"",ISNUMBER(SEARCH(설정!$A$43,E950&amp;" "&amp;C950))),AND(설정!$A$44&lt;&gt;"",ISNUMBER(SEARCH(설정!$A$44,E950&amp;" "&amp;C950))),AND(설정!$A$45&lt;&gt;"",ISNUMBER(SEARCH(설정!$A$45,E950&amp;" "&amp;C950))),AND(설정!$A$46&lt;&gt;"",ISNUMBER(SEARCH(설정!$A$46,E950&amp;" "&amp;C950))),AND(설정!$A$47&lt;&gt;"",ISNUMBER(SEARCH(설정!$A$47,E950&amp;" "&amp;C950))),AND(설정!$A$48&lt;&gt;"",ISNUMBER(SEARCH(설정!$A$48,E950&amp;" "&amp;C950))),AND(설정!$A$49&lt;&gt;"",ISNUMBER(SEARCH(설정!$A$49,E950&amp;" "&amp;C950))),AND(설정!$A$50&lt;&gt;"",ISNUMBER(SEARCH(설정!$A$50,E950&amp;" "&amp;C950))),AND(설정!$A$51&lt;&gt;"",ISNUMBER(SEARCH(설정!$A$51,E950&amp;" "&amp;C950))))</f>
        <v/>
      </c>
      <c r="S950">
        <f>OR(D950="",D950&gt;=설정!$B$19)</f>
        <v/>
      </c>
      <c r="T950">
        <f>AND(Q950,R950,S950)</f>
        <v/>
      </c>
      <c r="U950">
        <f>IF(T950,IF(AND(설정!$A$54&lt;&gt;"",ISNUMBER(SEARCH(설정!$A$54,K950))),설정!$B$54,IF(AND(설정!$A$55&lt;&gt;"",ISNUMBER(SEARCH(설정!$A$55,K950))),설정!$B$55,IF(AND(설정!$A$56&lt;&gt;"",ISNUMBER(SEARCH(설정!$A$56,K950))),설정!$B$56,IF(AND(설정!$A$57&lt;&gt;"",ISNUMBER(SEARCH(설정!$A$57,K950))),설정!$B$57,IF(AND(설정!$A$58&lt;&gt;"",ISNUMBER(SEARCH(설정!$A$58,K950))),설정!$B$58,IF(AND(설정!$A$59&lt;&gt;"",ISNUMBER(SEARCH(설정!$A$59,K950))),설정!$B$59,IF(AND(설정!$A$60&lt;&gt;"",ISNUMBER(SEARCH(설정!$A$60,K950))),설정!$B$60,IF(AND(설정!$A$61&lt;&gt;"",ISNUMBER(SEARCH(설정!$A$61,K950))),설정!$B$61,IF(M950="","설계사","시공사"))))))))),"")</f>
        <v/>
      </c>
      <c r="V950">
        <f>SUBSTITUTE(SUBSTITUTE(SUBSTITUTE(SUBSTITUTE(G950,"(주)",""),"㈜",""),"주식회사","")," ","")</f>
        <v/>
      </c>
      <c r="W950">
        <f>IF(AND(T950,V950&lt;&gt;""),IF(COUNTIFS(V$2:V950,V950,T$2:T950,TRUE)=1,MAX(W$1:W949)+1,""),"")</f>
        <v/>
      </c>
      <c r="X950">
        <f>IF(설정!$C$14="","",IFERROR(INDEX('1.산군_붙여넣기'!$A$1:$AZ$1001,ROW(),설정!$C$14)&amp;"",""))</f>
        <v/>
      </c>
      <c r="Y950">
        <f>IF(설정!$C$15="","",IFERROR(INDEX('1.산군_붙여넣기'!$A$1:$AZ$1001,ROW(),설정!$C$15)&amp;"",""))</f>
        <v/>
      </c>
      <c r="Z950">
        <f>IF(T950,V950&amp;"|"&amp;U950,"")</f>
        <v/>
      </c>
      <c r="AA950">
        <f>IF(NOT(Q950),"",IF(NOT(AND(R950,S950)),"✕",IF(OR(OR(AND(L950&lt;&gt;"",M950&lt;&gt;"",N(M950)-N(L950)&gt;설정!$B$27),AND(L950&lt;&gt;"",M950="",설정!$B$24-N(L950)&gt;설정!$B$27)),AND(D950&lt;&gt;"",D950&lt;설정!$B$26)),"△","★")))</f>
        <v/>
      </c>
      <c r="AB950">
        <f>IF(NOT(T950),"",IF(U950="설계사",설정!$B$31,IF(U950="시공사",IF(OR(M950="",설정!$B$24-N(M950)&lt;=설정!$B$28*30.4),설정!$B$32,설정!$B$33),설정!$B$34))+IF(AA950="★",설정!$B$35,0))</f>
        <v/>
      </c>
      <c r="AC950">
        <f>SUBSTITUTE(SUBSTITUTE(SUBSTITUTE(SUBSTITUTE(H950,"(주)",""),"㈜",""),"주식회사","")," ","")</f>
        <v/>
      </c>
      <c r="AD950">
        <f>IF(AND(T950,AC950&lt;&gt;""),IF(COUNTIFS(AC$2:AC950,AC950,T$2:T950,TRUE)=1,MAX(AD$1:AD949)+1,""),"")</f>
        <v/>
      </c>
    </row>
    <row r="951">
      <c r="A951">
        <f>ROW()</f>
        <v/>
      </c>
      <c r="B951">
        <f>IF(설정!$C$4="","",IFERROR(INDEX('1.산군_붙여넣기'!$A$1:$AZ$1001,ROW(),설정!$C$4)&amp;"",""))</f>
        <v/>
      </c>
      <c r="C951">
        <f>IF(설정!$C$5="","",IFERROR(INDEX('1.산군_붙여넣기'!$A$1:$AZ$1001,ROW(),설정!$C$5)&amp;"",""))</f>
        <v/>
      </c>
      <c r="D951" s="5">
        <f>IFERROR(VALUE(SUBSTITUTE(SUBSTITUTE(SUBSTITUTE(IF(설정!$C$6="","",IFERROR(INDEX('1.산군_붙여넣기'!$A$1:$AZ$1001,ROW(),설정!$C$6)&amp;"","")),",",""),"㎡",""),"m2","")),"")</f>
        <v/>
      </c>
      <c r="E951">
        <f>IF(설정!$C$7="","",IFERROR(INDEX('1.산군_붙여넣기'!$A$1:$AZ$1001,ROW(),설정!$C$7)&amp;"",""))</f>
        <v/>
      </c>
      <c r="F951">
        <f>IF(설정!$C$8="","",IFERROR(INDEX('1.산군_붙여넣기'!$A$1:$AZ$1001,ROW(),설정!$C$8)&amp;"",""))</f>
        <v/>
      </c>
      <c r="G951">
        <f>IF(설정!$C$9="","",IFERROR(INDEX('1.산군_붙여넣기'!$A$1:$AZ$1001,ROW(),설정!$C$9)&amp;"",""))</f>
        <v/>
      </c>
      <c r="H951">
        <f>IF(설정!$C$10="","",IFERROR(INDEX('1.산군_붙여넣기'!$A$1:$AZ$1001,ROW(),설정!$C$10)&amp;"",""))</f>
        <v/>
      </c>
      <c r="I951">
        <f>IF(설정!$C$11="","",IFERROR(INDEX('1.산군_붙여넣기'!$A$1:$AZ$1001,ROW(),설정!$C$11)&amp;"",""))</f>
        <v/>
      </c>
      <c r="J951">
        <f>IF(설정!$C$12="","",IFERROR(INDEX('1.산군_붙여넣기'!$A$1:$AZ$1001,ROW(),설정!$C$12)&amp;"",""))</f>
        <v/>
      </c>
      <c r="K951">
        <f>IF(설정!$C$13="","",IFERROR(INDEX('1.산군_붙여넣기'!$A$1:$AZ$1001,ROW(),설정!$C$13)&amp;"",""))</f>
        <v/>
      </c>
      <c r="L951" s="7">
        <f>IF(X951="","",IF(AND(LEN(X951)=8,ISNUMBER(X951*1)),DATE(LEFT(X951,4),MID(X951,5,2),RIGHT(X951,2)),IFERROR(DATEVALUE(SUBSTITUTE(SUBSTITUTE(X951,".","-"),"/","-")),IFERROR(X951*1,""))))</f>
        <v/>
      </c>
      <c r="M951" s="7">
        <f>IF(Y951="","",IF(AND(LEN(Y951)=8,ISNUMBER(Y951*1)),DATE(LEFT(Y951,4),MID(Y951,5,2),RIGHT(Y951,2)),IFERROR(DATEVALUE(SUBSTITUTE(SUBSTITUTE(Y951,".","-"),"/","-")),IFERROR(Y951*1,""))))</f>
        <v/>
      </c>
      <c r="N951">
        <f>IFERROR(LEFT(B951,FIND(" ",B951)-1),B951)</f>
        <v/>
      </c>
      <c r="O951">
        <f>AND(B951&lt;&gt;"",B951&lt;&gt;설정!$B$4,C951&lt;&gt;설정!$B$5)</f>
        <v/>
      </c>
      <c r="P951">
        <f>IF(O951,B951&amp;"|"&amp;C951,"")</f>
        <v/>
      </c>
      <c r="Q951">
        <f>AND(O951,COUNTIF(P952:P$1002,P951)=0)</f>
        <v/>
      </c>
      <c r="R951">
        <f>OR(AND(설정!$A$42&lt;&gt;"",ISNUMBER(SEARCH(설정!$A$42,E951&amp;" "&amp;C951))),AND(설정!$A$43&lt;&gt;"",ISNUMBER(SEARCH(설정!$A$43,E951&amp;" "&amp;C951))),AND(설정!$A$44&lt;&gt;"",ISNUMBER(SEARCH(설정!$A$44,E951&amp;" "&amp;C951))),AND(설정!$A$45&lt;&gt;"",ISNUMBER(SEARCH(설정!$A$45,E951&amp;" "&amp;C951))),AND(설정!$A$46&lt;&gt;"",ISNUMBER(SEARCH(설정!$A$46,E951&amp;" "&amp;C951))),AND(설정!$A$47&lt;&gt;"",ISNUMBER(SEARCH(설정!$A$47,E951&amp;" "&amp;C951))),AND(설정!$A$48&lt;&gt;"",ISNUMBER(SEARCH(설정!$A$48,E951&amp;" "&amp;C951))),AND(설정!$A$49&lt;&gt;"",ISNUMBER(SEARCH(설정!$A$49,E951&amp;" "&amp;C951))),AND(설정!$A$50&lt;&gt;"",ISNUMBER(SEARCH(설정!$A$50,E951&amp;" "&amp;C951))),AND(설정!$A$51&lt;&gt;"",ISNUMBER(SEARCH(설정!$A$51,E951&amp;" "&amp;C951))))</f>
        <v/>
      </c>
      <c r="S951">
        <f>OR(D951="",D951&gt;=설정!$B$19)</f>
        <v/>
      </c>
      <c r="T951">
        <f>AND(Q951,R951,S951)</f>
        <v/>
      </c>
      <c r="U951">
        <f>IF(T951,IF(AND(설정!$A$54&lt;&gt;"",ISNUMBER(SEARCH(설정!$A$54,K951))),설정!$B$54,IF(AND(설정!$A$55&lt;&gt;"",ISNUMBER(SEARCH(설정!$A$55,K951))),설정!$B$55,IF(AND(설정!$A$56&lt;&gt;"",ISNUMBER(SEARCH(설정!$A$56,K951))),설정!$B$56,IF(AND(설정!$A$57&lt;&gt;"",ISNUMBER(SEARCH(설정!$A$57,K951))),설정!$B$57,IF(AND(설정!$A$58&lt;&gt;"",ISNUMBER(SEARCH(설정!$A$58,K951))),설정!$B$58,IF(AND(설정!$A$59&lt;&gt;"",ISNUMBER(SEARCH(설정!$A$59,K951))),설정!$B$59,IF(AND(설정!$A$60&lt;&gt;"",ISNUMBER(SEARCH(설정!$A$60,K951))),설정!$B$60,IF(AND(설정!$A$61&lt;&gt;"",ISNUMBER(SEARCH(설정!$A$61,K951))),설정!$B$61,IF(M951="","설계사","시공사"))))))))),"")</f>
        <v/>
      </c>
      <c r="V951">
        <f>SUBSTITUTE(SUBSTITUTE(SUBSTITUTE(SUBSTITUTE(G951,"(주)",""),"㈜",""),"주식회사","")," ","")</f>
        <v/>
      </c>
      <c r="W951">
        <f>IF(AND(T951,V951&lt;&gt;""),IF(COUNTIFS(V$2:V951,V951,T$2:T951,TRUE)=1,MAX(W$1:W950)+1,""),"")</f>
        <v/>
      </c>
      <c r="X951">
        <f>IF(설정!$C$14="","",IFERROR(INDEX('1.산군_붙여넣기'!$A$1:$AZ$1001,ROW(),설정!$C$14)&amp;"",""))</f>
        <v/>
      </c>
      <c r="Y951">
        <f>IF(설정!$C$15="","",IFERROR(INDEX('1.산군_붙여넣기'!$A$1:$AZ$1001,ROW(),설정!$C$15)&amp;"",""))</f>
        <v/>
      </c>
      <c r="Z951">
        <f>IF(T951,V951&amp;"|"&amp;U951,"")</f>
        <v/>
      </c>
      <c r="AA951">
        <f>IF(NOT(Q951),"",IF(NOT(AND(R951,S951)),"✕",IF(OR(OR(AND(L951&lt;&gt;"",M951&lt;&gt;"",N(M951)-N(L951)&gt;설정!$B$27),AND(L951&lt;&gt;"",M951="",설정!$B$24-N(L951)&gt;설정!$B$27)),AND(D951&lt;&gt;"",D951&lt;설정!$B$26)),"△","★")))</f>
        <v/>
      </c>
      <c r="AB951">
        <f>IF(NOT(T951),"",IF(U951="설계사",설정!$B$31,IF(U951="시공사",IF(OR(M951="",설정!$B$24-N(M951)&lt;=설정!$B$28*30.4),설정!$B$32,설정!$B$33),설정!$B$34))+IF(AA951="★",설정!$B$35,0))</f>
        <v/>
      </c>
      <c r="AC951">
        <f>SUBSTITUTE(SUBSTITUTE(SUBSTITUTE(SUBSTITUTE(H951,"(주)",""),"㈜",""),"주식회사","")," ","")</f>
        <v/>
      </c>
      <c r="AD951">
        <f>IF(AND(T951,AC951&lt;&gt;""),IF(COUNTIFS(AC$2:AC951,AC951,T$2:T951,TRUE)=1,MAX(AD$1:AD950)+1,""),"")</f>
        <v/>
      </c>
    </row>
    <row r="952">
      <c r="A952">
        <f>ROW()</f>
        <v/>
      </c>
      <c r="B952">
        <f>IF(설정!$C$4="","",IFERROR(INDEX('1.산군_붙여넣기'!$A$1:$AZ$1001,ROW(),설정!$C$4)&amp;"",""))</f>
        <v/>
      </c>
      <c r="C952">
        <f>IF(설정!$C$5="","",IFERROR(INDEX('1.산군_붙여넣기'!$A$1:$AZ$1001,ROW(),설정!$C$5)&amp;"",""))</f>
        <v/>
      </c>
      <c r="D952" s="5">
        <f>IFERROR(VALUE(SUBSTITUTE(SUBSTITUTE(SUBSTITUTE(IF(설정!$C$6="","",IFERROR(INDEX('1.산군_붙여넣기'!$A$1:$AZ$1001,ROW(),설정!$C$6)&amp;"","")),",",""),"㎡",""),"m2","")),"")</f>
        <v/>
      </c>
      <c r="E952">
        <f>IF(설정!$C$7="","",IFERROR(INDEX('1.산군_붙여넣기'!$A$1:$AZ$1001,ROW(),설정!$C$7)&amp;"",""))</f>
        <v/>
      </c>
      <c r="F952">
        <f>IF(설정!$C$8="","",IFERROR(INDEX('1.산군_붙여넣기'!$A$1:$AZ$1001,ROW(),설정!$C$8)&amp;"",""))</f>
        <v/>
      </c>
      <c r="G952">
        <f>IF(설정!$C$9="","",IFERROR(INDEX('1.산군_붙여넣기'!$A$1:$AZ$1001,ROW(),설정!$C$9)&amp;"",""))</f>
        <v/>
      </c>
      <c r="H952">
        <f>IF(설정!$C$10="","",IFERROR(INDEX('1.산군_붙여넣기'!$A$1:$AZ$1001,ROW(),설정!$C$10)&amp;"",""))</f>
        <v/>
      </c>
      <c r="I952">
        <f>IF(설정!$C$11="","",IFERROR(INDEX('1.산군_붙여넣기'!$A$1:$AZ$1001,ROW(),설정!$C$11)&amp;"",""))</f>
        <v/>
      </c>
      <c r="J952">
        <f>IF(설정!$C$12="","",IFERROR(INDEX('1.산군_붙여넣기'!$A$1:$AZ$1001,ROW(),설정!$C$12)&amp;"",""))</f>
        <v/>
      </c>
      <c r="K952">
        <f>IF(설정!$C$13="","",IFERROR(INDEX('1.산군_붙여넣기'!$A$1:$AZ$1001,ROW(),설정!$C$13)&amp;"",""))</f>
        <v/>
      </c>
      <c r="L952" s="7">
        <f>IF(X952="","",IF(AND(LEN(X952)=8,ISNUMBER(X952*1)),DATE(LEFT(X952,4),MID(X952,5,2),RIGHT(X952,2)),IFERROR(DATEVALUE(SUBSTITUTE(SUBSTITUTE(X952,".","-"),"/","-")),IFERROR(X952*1,""))))</f>
        <v/>
      </c>
      <c r="M952" s="7">
        <f>IF(Y952="","",IF(AND(LEN(Y952)=8,ISNUMBER(Y952*1)),DATE(LEFT(Y952,4),MID(Y952,5,2),RIGHT(Y952,2)),IFERROR(DATEVALUE(SUBSTITUTE(SUBSTITUTE(Y952,".","-"),"/","-")),IFERROR(Y952*1,""))))</f>
        <v/>
      </c>
      <c r="N952">
        <f>IFERROR(LEFT(B952,FIND(" ",B952)-1),B952)</f>
        <v/>
      </c>
      <c r="O952">
        <f>AND(B952&lt;&gt;"",B952&lt;&gt;설정!$B$4,C952&lt;&gt;설정!$B$5)</f>
        <v/>
      </c>
      <c r="P952">
        <f>IF(O952,B952&amp;"|"&amp;C952,"")</f>
        <v/>
      </c>
      <c r="Q952">
        <f>AND(O952,COUNTIF(P953:P$1002,P952)=0)</f>
        <v/>
      </c>
      <c r="R952">
        <f>OR(AND(설정!$A$42&lt;&gt;"",ISNUMBER(SEARCH(설정!$A$42,E952&amp;" "&amp;C952))),AND(설정!$A$43&lt;&gt;"",ISNUMBER(SEARCH(설정!$A$43,E952&amp;" "&amp;C952))),AND(설정!$A$44&lt;&gt;"",ISNUMBER(SEARCH(설정!$A$44,E952&amp;" "&amp;C952))),AND(설정!$A$45&lt;&gt;"",ISNUMBER(SEARCH(설정!$A$45,E952&amp;" "&amp;C952))),AND(설정!$A$46&lt;&gt;"",ISNUMBER(SEARCH(설정!$A$46,E952&amp;" "&amp;C952))),AND(설정!$A$47&lt;&gt;"",ISNUMBER(SEARCH(설정!$A$47,E952&amp;" "&amp;C952))),AND(설정!$A$48&lt;&gt;"",ISNUMBER(SEARCH(설정!$A$48,E952&amp;" "&amp;C952))),AND(설정!$A$49&lt;&gt;"",ISNUMBER(SEARCH(설정!$A$49,E952&amp;" "&amp;C952))),AND(설정!$A$50&lt;&gt;"",ISNUMBER(SEARCH(설정!$A$50,E952&amp;" "&amp;C952))),AND(설정!$A$51&lt;&gt;"",ISNUMBER(SEARCH(설정!$A$51,E952&amp;" "&amp;C952))))</f>
        <v/>
      </c>
      <c r="S952">
        <f>OR(D952="",D952&gt;=설정!$B$19)</f>
        <v/>
      </c>
      <c r="T952">
        <f>AND(Q952,R952,S952)</f>
        <v/>
      </c>
      <c r="U952">
        <f>IF(T952,IF(AND(설정!$A$54&lt;&gt;"",ISNUMBER(SEARCH(설정!$A$54,K952))),설정!$B$54,IF(AND(설정!$A$55&lt;&gt;"",ISNUMBER(SEARCH(설정!$A$55,K952))),설정!$B$55,IF(AND(설정!$A$56&lt;&gt;"",ISNUMBER(SEARCH(설정!$A$56,K952))),설정!$B$56,IF(AND(설정!$A$57&lt;&gt;"",ISNUMBER(SEARCH(설정!$A$57,K952))),설정!$B$57,IF(AND(설정!$A$58&lt;&gt;"",ISNUMBER(SEARCH(설정!$A$58,K952))),설정!$B$58,IF(AND(설정!$A$59&lt;&gt;"",ISNUMBER(SEARCH(설정!$A$59,K952))),설정!$B$59,IF(AND(설정!$A$60&lt;&gt;"",ISNUMBER(SEARCH(설정!$A$60,K952))),설정!$B$60,IF(AND(설정!$A$61&lt;&gt;"",ISNUMBER(SEARCH(설정!$A$61,K952))),설정!$B$61,IF(M952="","설계사","시공사"))))))))),"")</f>
        <v/>
      </c>
      <c r="V952">
        <f>SUBSTITUTE(SUBSTITUTE(SUBSTITUTE(SUBSTITUTE(G952,"(주)",""),"㈜",""),"주식회사","")," ","")</f>
        <v/>
      </c>
      <c r="W952">
        <f>IF(AND(T952,V952&lt;&gt;""),IF(COUNTIFS(V$2:V952,V952,T$2:T952,TRUE)=1,MAX(W$1:W951)+1,""),"")</f>
        <v/>
      </c>
      <c r="X952">
        <f>IF(설정!$C$14="","",IFERROR(INDEX('1.산군_붙여넣기'!$A$1:$AZ$1001,ROW(),설정!$C$14)&amp;"",""))</f>
        <v/>
      </c>
      <c r="Y952">
        <f>IF(설정!$C$15="","",IFERROR(INDEX('1.산군_붙여넣기'!$A$1:$AZ$1001,ROW(),설정!$C$15)&amp;"",""))</f>
        <v/>
      </c>
      <c r="Z952">
        <f>IF(T952,V952&amp;"|"&amp;U952,"")</f>
        <v/>
      </c>
      <c r="AA952">
        <f>IF(NOT(Q952),"",IF(NOT(AND(R952,S952)),"✕",IF(OR(OR(AND(L952&lt;&gt;"",M952&lt;&gt;"",N(M952)-N(L952)&gt;설정!$B$27),AND(L952&lt;&gt;"",M952="",설정!$B$24-N(L952)&gt;설정!$B$27)),AND(D952&lt;&gt;"",D952&lt;설정!$B$26)),"△","★")))</f>
        <v/>
      </c>
      <c r="AB952">
        <f>IF(NOT(T952),"",IF(U952="설계사",설정!$B$31,IF(U952="시공사",IF(OR(M952="",설정!$B$24-N(M952)&lt;=설정!$B$28*30.4),설정!$B$32,설정!$B$33),설정!$B$34))+IF(AA952="★",설정!$B$35,0))</f>
        <v/>
      </c>
      <c r="AC952">
        <f>SUBSTITUTE(SUBSTITUTE(SUBSTITUTE(SUBSTITUTE(H952,"(주)",""),"㈜",""),"주식회사","")," ","")</f>
        <v/>
      </c>
      <c r="AD952">
        <f>IF(AND(T952,AC952&lt;&gt;""),IF(COUNTIFS(AC$2:AC952,AC952,T$2:T952,TRUE)=1,MAX(AD$1:AD951)+1,""),"")</f>
        <v/>
      </c>
    </row>
    <row r="953">
      <c r="A953">
        <f>ROW()</f>
        <v/>
      </c>
      <c r="B953">
        <f>IF(설정!$C$4="","",IFERROR(INDEX('1.산군_붙여넣기'!$A$1:$AZ$1001,ROW(),설정!$C$4)&amp;"",""))</f>
        <v/>
      </c>
      <c r="C953">
        <f>IF(설정!$C$5="","",IFERROR(INDEX('1.산군_붙여넣기'!$A$1:$AZ$1001,ROW(),설정!$C$5)&amp;"",""))</f>
        <v/>
      </c>
      <c r="D953" s="5">
        <f>IFERROR(VALUE(SUBSTITUTE(SUBSTITUTE(SUBSTITUTE(IF(설정!$C$6="","",IFERROR(INDEX('1.산군_붙여넣기'!$A$1:$AZ$1001,ROW(),설정!$C$6)&amp;"","")),",",""),"㎡",""),"m2","")),"")</f>
        <v/>
      </c>
      <c r="E953">
        <f>IF(설정!$C$7="","",IFERROR(INDEX('1.산군_붙여넣기'!$A$1:$AZ$1001,ROW(),설정!$C$7)&amp;"",""))</f>
        <v/>
      </c>
      <c r="F953">
        <f>IF(설정!$C$8="","",IFERROR(INDEX('1.산군_붙여넣기'!$A$1:$AZ$1001,ROW(),설정!$C$8)&amp;"",""))</f>
        <v/>
      </c>
      <c r="G953">
        <f>IF(설정!$C$9="","",IFERROR(INDEX('1.산군_붙여넣기'!$A$1:$AZ$1001,ROW(),설정!$C$9)&amp;"",""))</f>
        <v/>
      </c>
      <c r="H953">
        <f>IF(설정!$C$10="","",IFERROR(INDEX('1.산군_붙여넣기'!$A$1:$AZ$1001,ROW(),설정!$C$10)&amp;"",""))</f>
        <v/>
      </c>
      <c r="I953">
        <f>IF(설정!$C$11="","",IFERROR(INDEX('1.산군_붙여넣기'!$A$1:$AZ$1001,ROW(),설정!$C$11)&amp;"",""))</f>
        <v/>
      </c>
      <c r="J953">
        <f>IF(설정!$C$12="","",IFERROR(INDEX('1.산군_붙여넣기'!$A$1:$AZ$1001,ROW(),설정!$C$12)&amp;"",""))</f>
        <v/>
      </c>
      <c r="K953">
        <f>IF(설정!$C$13="","",IFERROR(INDEX('1.산군_붙여넣기'!$A$1:$AZ$1001,ROW(),설정!$C$13)&amp;"",""))</f>
        <v/>
      </c>
      <c r="L953" s="7">
        <f>IF(X953="","",IF(AND(LEN(X953)=8,ISNUMBER(X953*1)),DATE(LEFT(X953,4),MID(X953,5,2),RIGHT(X953,2)),IFERROR(DATEVALUE(SUBSTITUTE(SUBSTITUTE(X953,".","-"),"/","-")),IFERROR(X953*1,""))))</f>
        <v/>
      </c>
      <c r="M953" s="7">
        <f>IF(Y953="","",IF(AND(LEN(Y953)=8,ISNUMBER(Y953*1)),DATE(LEFT(Y953,4),MID(Y953,5,2),RIGHT(Y953,2)),IFERROR(DATEVALUE(SUBSTITUTE(SUBSTITUTE(Y953,".","-"),"/","-")),IFERROR(Y953*1,""))))</f>
        <v/>
      </c>
      <c r="N953">
        <f>IFERROR(LEFT(B953,FIND(" ",B953)-1),B953)</f>
        <v/>
      </c>
      <c r="O953">
        <f>AND(B953&lt;&gt;"",B953&lt;&gt;설정!$B$4,C953&lt;&gt;설정!$B$5)</f>
        <v/>
      </c>
      <c r="P953">
        <f>IF(O953,B953&amp;"|"&amp;C953,"")</f>
        <v/>
      </c>
      <c r="Q953">
        <f>AND(O953,COUNTIF(P954:P$1002,P953)=0)</f>
        <v/>
      </c>
      <c r="R953">
        <f>OR(AND(설정!$A$42&lt;&gt;"",ISNUMBER(SEARCH(설정!$A$42,E953&amp;" "&amp;C953))),AND(설정!$A$43&lt;&gt;"",ISNUMBER(SEARCH(설정!$A$43,E953&amp;" "&amp;C953))),AND(설정!$A$44&lt;&gt;"",ISNUMBER(SEARCH(설정!$A$44,E953&amp;" "&amp;C953))),AND(설정!$A$45&lt;&gt;"",ISNUMBER(SEARCH(설정!$A$45,E953&amp;" "&amp;C953))),AND(설정!$A$46&lt;&gt;"",ISNUMBER(SEARCH(설정!$A$46,E953&amp;" "&amp;C953))),AND(설정!$A$47&lt;&gt;"",ISNUMBER(SEARCH(설정!$A$47,E953&amp;" "&amp;C953))),AND(설정!$A$48&lt;&gt;"",ISNUMBER(SEARCH(설정!$A$48,E953&amp;" "&amp;C953))),AND(설정!$A$49&lt;&gt;"",ISNUMBER(SEARCH(설정!$A$49,E953&amp;" "&amp;C953))),AND(설정!$A$50&lt;&gt;"",ISNUMBER(SEARCH(설정!$A$50,E953&amp;" "&amp;C953))),AND(설정!$A$51&lt;&gt;"",ISNUMBER(SEARCH(설정!$A$51,E953&amp;" "&amp;C953))))</f>
        <v/>
      </c>
      <c r="S953">
        <f>OR(D953="",D953&gt;=설정!$B$19)</f>
        <v/>
      </c>
      <c r="T953">
        <f>AND(Q953,R953,S953)</f>
        <v/>
      </c>
      <c r="U953">
        <f>IF(T953,IF(AND(설정!$A$54&lt;&gt;"",ISNUMBER(SEARCH(설정!$A$54,K953))),설정!$B$54,IF(AND(설정!$A$55&lt;&gt;"",ISNUMBER(SEARCH(설정!$A$55,K953))),설정!$B$55,IF(AND(설정!$A$56&lt;&gt;"",ISNUMBER(SEARCH(설정!$A$56,K953))),설정!$B$56,IF(AND(설정!$A$57&lt;&gt;"",ISNUMBER(SEARCH(설정!$A$57,K953))),설정!$B$57,IF(AND(설정!$A$58&lt;&gt;"",ISNUMBER(SEARCH(설정!$A$58,K953))),설정!$B$58,IF(AND(설정!$A$59&lt;&gt;"",ISNUMBER(SEARCH(설정!$A$59,K953))),설정!$B$59,IF(AND(설정!$A$60&lt;&gt;"",ISNUMBER(SEARCH(설정!$A$60,K953))),설정!$B$60,IF(AND(설정!$A$61&lt;&gt;"",ISNUMBER(SEARCH(설정!$A$61,K953))),설정!$B$61,IF(M953="","설계사","시공사"))))))))),"")</f>
        <v/>
      </c>
      <c r="V953">
        <f>SUBSTITUTE(SUBSTITUTE(SUBSTITUTE(SUBSTITUTE(G953,"(주)",""),"㈜",""),"주식회사","")," ","")</f>
        <v/>
      </c>
      <c r="W953">
        <f>IF(AND(T953,V953&lt;&gt;""),IF(COUNTIFS(V$2:V953,V953,T$2:T953,TRUE)=1,MAX(W$1:W952)+1,""),"")</f>
        <v/>
      </c>
      <c r="X953">
        <f>IF(설정!$C$14="","",IFERROR(INDEX('1.산군_붙여넣기'!$A$1:$AZ$1001,ROW(),설정!$C$14)&amp;"",""))</f>
        <v/>
      </c>
      <c r="Y953">
        <f>IF(설정!$C$15="","",IFERROR(INDEX('1.산군_붙여넣기'!$A$1:$AZ$1001,ROW(),설정!$C$15)&amp;"",""))</f>
        <v/>
      </c>
      <c r="Z953">
        <f>IF(T953,V953&amp;"|"&amp;U953,"")</f>
        <v/>
      </c>
      <c r="AA953">
        <f>IF(NOT(Q953),"",IF(NOT(AND(R953,S953)),"✕",IF(OR(OR(AND(L953&lt;&gt;"",M953&lt;&gt;"",N(M953)-N(L953)&gt;설정!$B$27),AND(L953&lt;&gt;"",M953="",설정!$B$24-N(L953)&gt;설정!$B$27)),AND(D953&lt;&gt;"",D953&lt;설정!$B$26)),"△","★")))</f>
        <v/>
      </c>
      <c r="AB953">
        <f>IF(NOT(T953),"",IF(U953="설계사",설정!$B$31,IF(U953="시공사",IF(OR(M953="",설정!$B$24-N(M953)&lt;=설정!$B$28*30.4),설정!$B$32,설정!$B$33),설정!$B$34))+IF(AA953="★",설정!$B$35,0))</f>
        <v/>
      </c>
      <c r="AC953">
        <f>SUBSTITUTE(SUBSTITUTE(SUBSTITUTE(SUBSTITUTE(H953,"(주)",""),"㈜",""),"주식회사","")," ","")</f>
        <v/>
      </c>
      <c r="AD953">
        <f>IF(AND(T953,AC953&lt;&gt;""),IF(COUNTIFS(AC$2:AC953,AC953,T$2:T953,TRUE)=1,MAX(AD$1:AD952)+1,""),"")</f>
        <v/>
      </c>
    </row>
    <row r="954">
      <c r="A954">
        <f>ROW()</f>
        <v/>
      </c>
      <c r="B954">
        <f>IF(설정!$C$4="","",IFERROR(INDEX('1.산군_붙여넣기'!$A$1:$AZ$1001,ROW(),설정!$C$4)&amp;"",""))</f>
        <v/>
      </c>
      <c r="C954">
        <f>IF(설정!$C$5="","",IFERROR(INDEX('1.산군_붙여넣기'!$A$1:$AZ$1001,ROW(),설정!$C$5)&amp;"",""))</f>
        <v/>
      </c>
      <c r="D954" s="5">
        <f>IFERROR(VALUE(SUBSTITUTE(SUBSTITUTE(SUBSTITUTE(IF(설정!$C$6="","",IFERROR(INDEX('1.산군_붙여넣기'!$A$1:$AZ$1001,ROW(),설정!$C$6)&amp;"","")),",",""),"㎡",""),"m2","")),"")</f>
        <v/>
      </c>
      <c r="E954">
        <f>IF(설정!$C$7="","",IFERROR(INDEX('1.산군_붙여넣기'!$A$1:$AZ$1001,ROW(),설정!$C$7)&amp;"",""))</f>
        <v/>
      </c>
      <c r="F954">
        <f>IF(설정!$C$8="","",IFERROR(INDEX('1.산군_붙여넣기'!$A$1:$AZ$1001,ROW(),설정!$C$8)&amp;"",""))</f>
        <v/>
      </c>
      <c r="G954">
        <f>IF(설정!$C$9="","",IFERROR(INDEX('1.산군_붙여넣기'!$A$1:$AZ$1001,ROW(),설정!$C$9)&amp;"",""))</f>
        <v/>
      </c>
      <c r="H954">
        <f>IF(설정!$C$10="","",IFERROR(INDEX('1.산군_붙여넣기'!$A$1:$AZ$1001,ROW(),설정!$C$10)&amp;"",""))</f>
        <v/>
      </c>
      <c r="I954">
        <f>IF(설정!$C$11="","",IFERROR(INDEX('1.산군_붙여넣기'!$A$1:$AZ$1001,ROW(),설정!$C$11)&amp;"",""))</f>
        <v/>
      </c>
      <c r="J954">
        <f>IF(설정!$C$12="","",IFERROR(INDEX('1.산군_붙여넣기'!$A$1:$AZ$1001,ROW(),설정!$C$12)&amp;"",""))</f>
        <v/>
      </c>
      <c r="K954">
        <f>IF(설정!$C$13="","",IFERROR(INDEX('1.산군_붙여넣기'!$A$1:$AZ$1001,ROW(),설정!$C$13)&amp;"",""))</f>
        <v/>
      </c>
      <c r="L954" s="7">
        <f>IF(X954="","",IF(AND(LEN(X954)=8,ISNUMBER(X954*1)),DATE(LEFT(X954,4),MID(X954,5,2),RIGHT(X954,2)),IFERROR(DATEVALUE(SUBSTITUTE(SUBSTITUTE(X954,".","-"),"/","-")),IFERROR(X954*1,""))))</f>
        <v/>
      </c>
      <c r="M954" s="7">
        <f>IF(Y954="","",IF(AND(LEN(Y954)=8,ISNUMBER(Y954*1)),DATE(LEFT(Y954,4),MID(Y954,5,2),RIGHT(Y954,2)),IFERROR(DATEVALUE(SUBSTITUTE(SUBSTITUTE(Y954,".","-"),"/","-")),IFERROR(Y954*1,""))))</f>
        <v/>
      </c>
      <c r="N954">
        <f>IFERROR(LEFT(B954,FIND(" ",B954)-1),B954)</f>
        <v/>
      </c>
      <c r="O954">
        <f>AND(B954&lt;&gt;"",B954&lt;&gt;설정!$B$4,C954&lt;&gt;설정!$B$5)</f>
        <v/>
      </c>
      <c r="P954">
        <f>IF(O954,B954&amp;"|"&amp;C954,"")</f>
        <v/>
      </c>
      <c r="Q954">
        <f>AND(O954,COUNTIF(P955:P$1002,P954)=0)</f>
        <v/>
      </c>
      <c r="R954">
        <f>OR(AND(설정!$A$42&lt;&gt;"",ISNUMBER(SEARCH(설정!$A$42,E954&amp;" "&amp;C954))),AND(설정!$A$43&lt;&gt;"",ISNUMBER(SEARCH(설정!$A$43,E954&amp;" "&amp;C954))),AND(설정!$A$44&lt;&gt;"",ISNUMBER(SEARCH(설정!$A$44,E954&amp;" "&amp;C954))),AND(설정!$A$45&lt;&gt;"",ISNUMBER(SEARCH(설정!$A$45,E954&amp;" "&amp;C954))),AND(설정!$A$46&lt;&gt;"",ISNUMBER(SEARCH(설정!$A$46,E954&amp;" "&amp;C954))),AND(설정!$A$47&lt;&gt;"",ISNUMBER(SEARCH(설정!$A$47,E954&amp;" "&amp;C954))),AND(설정!$A$48&lt;&gt;"",ISNUMBER(SEARCH(설정!$A$48,E954&amp;" "&amp;C954))),AND(설정!$A$49&lt;&gt;"",ISNUMBER(SEARCH(설정!$A$49,E954&amp;" "&amp;C954))),AND(설정!$A$50&lt;&gt;"",ISNUMBER(SEARCH(설정!$A$50,E954&amp;" "&amp;C954))),AND(설정!$A$51&lt;&gt;"",ISNUMBER(SEARCH(설정!$A$51,E954&amp;" "&amp;C954))))</f>
        <v/>
      </c>
      <c r="S954">
        <f>OR(D954="",D954&gt;=설정!$B$19)</f>
        <v/>
      </c>
      <c r="T954">
        <f>AND(Q954,R954,S954)</f>
        <v/>
      </c>
      <c r="U954">
        <f>IF(T954,IF(AND(설정!$A$54&lt;&gt;"",ISNUMBER(SEARCH(설정!$A$54,K954))),설정!$B$54,IF(AND(설정!$A$55&lt;&gt;"",ISNUMBER(SEARCH(설정!$A$55,K954))),설정!$B$55,IF(AND(설정!$A$56&lt;&gt;"",ISNUMBER(SEARCH(설정!$A$56,K954))),설정!$B$56,IF(AND(설정!$A$57&lt;&gt;"",ISNUMBER(SEARCH(설정!$A$57,K954))),설정!$B$57,IF(AND(설정!$A$58&lt;&gt;"",ISNUMBER(SEARCH(설정!$A$58,K954))),설정!$B$58,IF(AND(설정!$A$59&lt;&gt;"",ISNUMBER(SEARCH(설정!$A$59,K954))),설정!$B$59,IF(AND(설정!$A$60&lt;&gt;"",ISNUMBER(SEARCH(설정!$A$60,K954))),설정!$B$60,IF(AND(설정!$A$61&lt;&gt;"",ISNUMBER(SEARCH(설정!$A$61,K954))),설정!$B$61,IF(M954="","설계사","시공사"))))))))),"")</f>
        <v/>
      </c>
      <c r="V954">
        <f>SUBSTITUTE(SUBSTITUTE(SUBSTITUTE(SUBSTITUTE(G954,"(주)",""),"㈜",""),"주식회사","")," ","")</f>
        <v/>
      </c>
      <c r="W954">
        <f>IF(AND(T954,V954&lt;&gt;""),IF(COUNTIFS(V$2:V954,V954,T$2:T954,TRUE)=1,MAX(W$1:W953)+1,""),"")</f>
        <v/>
      </c>
      <c r="X954">
        <f>IF(설정!$C$14="","",IFERROR(INDEX('1.산군_붙여넣기'!$A$1:$AZ$1001,ROW(),설정!$C$14)&amp;"",""))</f>
        <v/>
      </c>
      <c r="Y954">
        <f>IF(설정!$C$15="","",IFERROR(INDEX('1.산군_붙여넣기'!$A$1:$AZ$1001,ROW(),설정!$C$15)&amp;"",""))</f>
        <v/>
      </c>
      <c r="Z954">
        <f>IF(T954,V954&amp;"|"&amp;U954,"")</f>
        <v/>
      </c>
      <c r="AA954">
        <f>IF(NOT(Q954),"",IF(NOT(AND(R954,S954)),"✕",IF(OR(OR(AND(L954&lt;&gt;"",M954&lt;&gt;"",N(M954)-N(L954)&gt;설정!$B$27),AND(L954&lt;&gt;"",M954="",설정!$B$24-N(L954)&gt;설정!$B$27)),AND(D954&lt;&gt;"",D954&lt;설정!$B$26)),"△","★")))</f>
        <v/>
      </c>
      <c r="AB954">
        <f>IF(NOT(T954),"",IF(U954="설계사",설정!$B$31,IF(U954="시공사",IF(OR(M954="",설정!$B$24-N(M954)&lt;=설정!$B$28*30.4),설정!$B$32,설정!$B$33),설정!$B$34))+IF(AA954="★",설정!$B$35,0))</f>
        <v/>
      </c>
      <c r="AC954">
        <f>SUBSTITUTE(SUBSTITUTE(SUBSTITUTE(SUBSTITUTE(H954,"(주)",""),"㈜",""),"주식회사","")," ","")</f>
        <v/>
      </c>
      <c r="AD954">
        <f>IF(AND(T954,AC954&lt;&gt;""),IF(COUNTIFS(AC$2:AC954,AC954,T$2:T954,TRUE)=1,MAX(AD$1:AD953)+1,""),"")</f>
        <v/>
      </c>
    </row>
    <row r="955">
      <c r="A955">
        <f>ROW()</f>
        <v/>
      </c>
      <c r="B955">
        <f>IF(설정!$C$4="","",IFERROR(INDEX('1.산군_붙여넣기'!$A$1:$AZ$1001,ROW(),설정!$C$4)&amp;"",""))</f>
        <v/>
      </c>
      <c r="C955">
        <f>IF(설정!$C$5="","",IFERROR(INDEX('1.산군_붙여넣기'!$A$1:$AZ$1001,ROW(),설정!$C$5)&amp;"",""))</f>
        <v/>
      </c>
      <c r="D955" s="5">
        <f>IFERROR(VALUE(SUBSTITUTE(SUBSTITUTE(SUBSTITUTE(IF(설정!$C$6="","",IFERROR(INDEX('1.산군_붙여넣기'!$A$1:$AZ$1001,ROW(),설정!$C$6)&amp;"","")),",",""),"㎡",""),"m2","")),"")</f>
        <v/>
      </c>
      <c r="E955">
        <f>IF(설정!$C$7="","",IFERROR(INDEX('1.산군_붙여넣기'!$A$1:$AZ$1001,ROW(),설정!$C$7)&amp;"",""))</f>
        <v/>
      </c>
      <c r="F955">
        <f>IF(설정!$C$8="","",IFERROR(INDEX('1.산군_붙여넣기'!$A$1:$AZ$1001,ROW(),설정!$C$8)&amp;"",""))</f>
        <v/>
      </c>
      <c r="G955">
        <f>IF(설정!$C$9="","",IFERROR(INDEX('1.산군_붙여넣기'!$A$1:$AZ$1001,ROW(),설정!$C$9)&amp;"",""))</f>
        <v/>
      </c>
      <c r="H955">
        <f>IF(설정!$C$10="","",IFERROR(INDEX('1.산군_붙여넣기'!$A$1:$AZ$1001,ROW(),설정!$C$10)&amp;"",""))</f>
        <v/>
      </c>
      <c r="I955">
        <f>IF(설정!$C$11="","",IFERROR(INDEX('1.산군_붙여넣기'!$A$1:$AZ$1001,ROW(),설정!$C$11)&amp;"",""))</f>
        <v/>
      </c>
      <c r="J955">
        <f>IF(설정!$C$12="","",IFERROR(INDEX('1.산군_붙여넣기'!$A$1:$AZ$1001,ROW(),설정!$C$12)&amp;"",""))</f>
        <v/>
      </c>
      <c r="K955">
        <f>IF(설정!$C$13="","",IFERROR(INDEX('1.산군_붙여넣기'!$A$1:$AZ$1001,ROW(),설정!$C$13)&amp;"",""))</f>
        <v/>
      </c>
      <c r="L955" s="7">
        <f>IF(X955="","",IF(AND(LEN(X955)=8,ISNUMBER(X955*1)),DATE(LEFT(X955,4),MID(X955,5,2),RIGHT(X955,2)),IFERROR(DATEVALUE(SUBSTITUTE(SUBSTITUTE(X955,".","-"),"/","-")),IFERROR(X955*1,""))))</f>
        <v/>
      </c>
      <c r="M955" s="7">
        <f>IF(Y955="","",IF(AND(LEN(Y955)=8,ISNUMBER(Y955*1)),DATE(LEFT(Y955,4),MID(Y955,5,2),RIGHT(Y955,2)),IFERROR(DATEVALUE(SUBSTITUTE(SUBSTITUTE(Y955,".","-"),"/","-")),IFERROR(Y955*1,""))))</f>
        <v/>
      </c>
      <c r="N955">
        <f>IFERROR(LEFT(B955,FIND(" ",B955)-1),B955)</f>
        <v/>
      </c>
      <c r="O955">
        <f>AND(B955&lt;&gt;"",B955&lt;&gt;설정!$B$4,C955&lt;&gt;설정!$B$5)</f>
        <v/>
      </c>
      <c r="P955">
        <f>IF(O955,B955&amp;"|"&amp;C955,"")</f>
        <v/>
      </c>
      <c r="Q955">
        <f>AND(O955,COUNTIF(P956:P$1002,P955)=0)</f>
        <v/>
      </c>
      <c r="R955">
        <f>OR(AND(설정!$A$42&lt;&gt;"",ISNUMBER(SEARCH(설정!$A$42,E955&amp;" "&amp;C955))),AND(설정!$A$43&lt;&gt;"",ISNUMBER(SEARCH(설정!$A$43,E955&amp;" "&amp;C955))),AND(설정!$A$44&lt;&gt;"",ISNUMBER(SEARCH(설정!$A$44,E955&amp;" "&amp;C955))),AND(설정!$A$45&lt;&gt;"",ISNUMBER(SEARCH(설정!$A$45,E955&amp;" "&amp;C955))),AND(설정!$A$46&lt;&gt;"",ISNUMBER(SEARCH(설정!$A$46,E955&amp;" "&amp;C955))),AND(설정!$A$47&lt;&gt;"",ISNUMBER(SEARCH(설정!$A$47,E955&amp;" "&amp;C955))),AND(설정!$A$48&lt;&gt;"",ISNUMBER(SEARCH(설정!$A$48,E955&amp;" "&amp;C955))),AND(설정!$A$49&lt;&gt;"",ISNUMBER(SEARCH(설정!$A$49,E955&amp;" "&amp;C955))),AND(설정!$A$50&lt;&gt;"",ISNUMBER(SEARCH(설정!$A$50,E955&amp;" "&amp;C955))),AND(설정!$A$51&lt;&gt;"",ISNUMBER(SEARCH(설정!$A$51,E955&amp;" "&amp;C955))))</f>
        <v/>
      </c>
      <c r="S955">
        <f>OR(D955="",D955&gt;=설정!$B$19)</f>
        <v/>
      </c>
      <c r="T955">
        <f>AND(Q955,R955,S955)</f>
        <v/>
      </c>
      <c r="U955">
        <f>IF(T955,IF(AND(설정!$A$54&lt;&gt;"",ISNUMBER(SEARCH(설정!$A$54,K955))),설정!$B$54,IF(AND(설정!$A$55&lt;&gt;"",ISNUMBER(SEARCH(설정!$A$55,K955))),설정!$B$55,IF(AND(설정!$A$56&lt;&gt;"",ISNUMBER(SEARCH(설정!$A$56,K955))),설정!$B$56,IF(AND(설정!$A$57&lt;&gt;"",ISNUMBER(SEARCH(설정!$A$57,K955))),설정!$B$57,IF(AND(설정!$A$58&lt;&gt;"",ISNUMBER(SEARCH(설정!$A$58,K955))),설정!$B$58,IF(AND(설정!$A$59&lt;&gt;"",ISNUMBER(SEARCH(설정!$A$59,K955))),설정!$B$59,IF(AND(설정!$A$60&lt;&gt;"",ISNUMBER(SEARCH(설정!$A$60,K955))),설정!$B$60,IF(AND(설정!$A$61&lt;&gt;"",ISNUMBER(SEARCH(설정!$A$61,K955))),설정!$B$61,IF(M955="","설계사","시공사"))))))))),"")</f>
        <v/>
      </c>
      <c r="V955">
        <f>SUBSTITUTE(SUBSTITUTE(SUBSTITUTE(SUBSTITUTE(G955,"(주)",""),"㈜",""),"주식회사","")," ","")</f>
        <v/>
      </c>
      <c r="W955">
        <f>IF(AND(T955,V955&lt;&gt;""),IF(COUNTIFS(V$2:V955,V955,T$2:T955,TRUE)=1,MAX(W$1:W954)+1,""),"")</f>
        <v/>
      </c>
      <c r="X955">
        <f>IF(설정!$C$14="","",IFERROR(INDEX('1.산군_붙여넣기'!$A$1:$AZ$1001,ROW(),설정!$C$14)&amp;"",""))</f>
        <v/>
      </c>
      <c r="Y955">
        <f>IF(설정!$C$15="","",IFERROR(INDEX('1.산군_붙여넣기'!$A$1:$AZ$1001,ROW(),설정!$C$15)&amp;"",""))</f>
        <v/>
      </c>
      <c r="Z955">
        <f>IF(T955,V955&amp;"|"&amp;U955,"")</f>
        <v/>
      </c>
      <c r="AA955">
        <f>IF(NOT(Q955),"",IF(NOT(AND(R955,S955)),"✕",IF(OR(OR(AND(L955&lt;&gt;"",M955&lt;&gt;"",N(M955)-N(L955)&gt;설정!$B$27),AND(L955&lt;&gt;"",M955="",설정!$B$24-N(L955)&gt;설정!$B$27)),AND(D955&lt;&gt;"",D955&lt;설정!$B$26)),"△","★")))</f>
        <v/>
      </c>
      <c r="AB955">
        <f>IF(NOT(T955),"",IF(U955="설계사",설정!$B$31,IF(U955="시공사",IF(OR(M955="",설정!$B$24-N(M955)&lt;=설정!$B$28*30.4),설정!$B$32,설정!$B$33),설정!$B$34))+IF(AA955="★",설정!$B$35,0))</f>
        <v/>
      </c>
      <c r="AC955">
        <f>SUBSTITUTE(SUBSTITUTE(SUBSTITUTE(SUBSTITUTE(H955,"(주)",""),"㈜",""),"주식회사","")," ","")</f>
        <v/>
      </c>
      <c r="AD955">
        <f>IF(AND(T955,AC955&lt;&gt;""),IF(COUNTIFS(AC$2:AC955,AC955,T$2:T955,TRUE)=1,MAX(AD$1:AD954)+1,""),"")</f>
        <v/>
      </c>
    </row>
    <row r="956">
      <c r="A956">
        <f>ROW()</f>
        <v/>
      </c>
      <c r="B956">
        <f>IF(설정!$C$4="","",IFERROR(INDEX('1.산군_붙여넣기'!$A$1:$AZ$1001,ROW(),설정!$C$4)&amp;"",""))</f>
        <v/>
      </c>
      <c r="C956">
        <f>IF(설정!$C$5="","",IFERROR(INDEX('1.산군_붙여넣기'!$A$1:$AZ$1001,ROW(),설정!$C$5)&amp;"",""))</f>
        <v/>
      </c>
      <c r="D956" s="5">
        <f>IFERROR(VALUE(SUBSTITUTE(SUBSTITUTE(SUBSTITUTE(IF(설정!$C$6="","",IFERROR(INDEX('1.산군_붙여넣기'!$A$1:$AZ$1001,ROW(),설정!$C$6)&amp;"","")),",",""),"㎡",""),"m2","")),"")</f>
        <v/>
      </c>
      <c r="E956">
        <f>IF(설정!$C$7="","",IFERROR(INDEX('1.산군_붙여넣기'!$A$1:$AZ$1001,ROW(),설정!$C$7)&amp;"",""))</f>
        <v/>
      </c>
      <c r="F956">
        <f>IF(설정!$C$8="","",IFERROR(INDEX('1.산군_붙여넣기'!$A$1:$AZ$1001,ROW(),설정!$C$8)&amp;"",""))</f>
        <v/>
      </c>
      <c r="G956">
        <f>IF(설정!$C$9="","",IFERROR(INDEX('1.산군_붙여넣기'!$A$1:$AZ$1001,ROW(),설정!$C$9)&amp;"",""))</f>
        <v/>
      </c>
      <c r="H956">
        <f>IF(설정!$C$10="","",IFERROR(INDEX('1.산군_붙여넣기'!$A$1:$AZ$1001,ROW(),설정!$C$10)&amp;"",""))</f>
        <v/>
      </c>
      <c r="I956">
        <f>IF(설정!$C$11="","",IFERROR(INDEX('1.산군_붙여넣기'!$A$1:$AZ$1001,ROW(),설정!$C$11)&amp;"",""))</f>
        <v/>
      </c>
      <c r="J956">
        <f>IF(설정!$C$12="","",IFERROR(INDEX('1.산군_붙여넣기'!$A$1:$AZ$1001,ROW(),설정!$C$12)&amp;"",""))</f>
        <v/>
      </c>
      <c r="K956">
        <f>IF(설정!$C$13="","",IFERROR(INDEX('1.산군_붙여넣기'!$A$1:$AZ$1001,ROW(),설정!$C$13)&amp;"",""))</f>
        <v/>
      </c>
      <c r="L956" s="7">
        <f>IF(X956="","",IF(AND(LEN(X956)=8,ISNUMBER(X956*1)),DATE(LEFT(X956,4),MID(X956,5,2),RIGHT(X956,2)),IFERROR(DATEVALUE(SUBSTITUTE(SUBSTITUTE(X956,".","-"),"/","-")),IFERROR(X956*1,""))))</f>
        <v/>
      </c>
      <c r="M956" s="7">
        <f>IF(Y956="","",IF(AND(LEN(Y956)=8,ISNUMBER(Y956*1)),DATE(LEFT(Y956,4),MID(Y956,5,2),RIGHT(Y956,2)),IFERROR(DATEVALUE(SUBSTITUTE(SUBSTITUTE(Y956,".","-"),"/","-")),IFERROR(Y956*1,""))))</f>
        <v/>
      </c>
      <c r="N956">
        <f>IFERROR(LEFT(B956,FIND(" ",B956)-1),B956)</f>
        <v/>
      </c>
      <c r="O956">
        <f>AND(B956&lt;&gt;"",B956&lt;&gt;설정!$B$4,C956&lt;&gt;설정!$B$5)</f>
        <v/>
      </c>
      <c r="P956">
        <f>IF(O956,B956&amp;"|"&amp;C956,"")</f>
        <v/>
      </c>
      <c r="Q956">
        <f>AND(O956,COUNTIF(P957:P$1002,P956)=0)</f>
        <v/>
      </c>
      <c r="R956">
        <f>OR(AND(설정!$A$42&lt;&gt;"",ISNUMBER(SEARCH(설정!$A$42,E956&amp;" "&amp;C956))),AND(설정!$A$43&lt;&gt;"",ISNUMBER(SEARCH(설정!$A$43,E956&amp;" "&amp;C956))),AND(설정!$A$44&lt;&gt;"",ISNUMBER(SEARCH(설정!$A$44,E956&amp;" "&amp;C956))),AND(설정!$A$45&lt;&gt;"",ISNUMBER(SEARCH(설정!$A$45,E956&amp;" "&amp;C956))),AND(설정!$A$46&lt;&gt;"",ISNUMBER(SEARCH(설정!$A$46,E956&amp;" "&amp;C956))),AND(설정!$A$47&lt;&gt;"",ISNUMBER(SEARCH(설정!$A$47,E956&amp;" "&amp;C956))),AND(설정!$A$48&lt;&gt;"",ISNUMBER(SEARCH(설정!$A$48,E956&amp;" "&amp;C956))),AND(설정!$A$49&lt;&gt;"",ISNUMBER(SEARCH(설정!$A$49,E956&amp;" "&amp;C956))),AND(설정!$A$50&lt;&gt;"",ISNUMBER(SEARCH(설정!$A$50,E956&amp;" "&amp;C956))),AND(설정!$A$51&lt;&gt;"",ISNUMBER(SEARCH(설정!$A$51,E956&amp;" "&amp;C956))))</f>
        <v/>
      </c>
      <c r="S956">
        <f>OR(D956="",D956&gt;=설정!$B$19)</f>
        <v/>
      </c>
      <c r="T956">
        <f>AND(Q956,R956,S956)</f>
        <v/>
      </c>
      <c r="U956">
        <f>IF(T956,IF(AND(설정!$A$54&lt;&gt;"",ISNUMBER(SEARCH(설정!$A$54,K956))),설정!$B$54,IF(AND(설정!$A$55&lt;&gt;"",ISNUMBER(SEARCH(설정!$A$55,K956))),설정!$B$55,IF(AND(설정!$A$56&lt;&gt;"",ISNUMBER(SEARCH(설정!$A$56,K956))),설정!$B$56,IF(AND(설정!$A$57&lt;&gt;"",ISNUMBER(SEARCH(설정!$A$57,K956))),설정!$B$57,IF(AND(설정!$A$58&lt;&gt;"",ISNUMBER(SEARCH(설정!$A$58,K956))),설정!$B$58,IF(AND(설정!$A$59&lt;&gt;"",ISNUMBER(SEARCH(설정!$A$59,K956))),설정!$B$59,IF(AND(설정!$A$60&lt;&gt;"",ISNUMBER(SEARCH(설정!$A$60,K956))),설정!$B$60,IF(AND(설정!$A$61&lt;&gt;"",ISNUMBER(SEARCH(설정!$A$61,K956))),설정!$B$61,IF(M956="","설계사","시공사"))))))))),"")</f>
        <v/>
      </c>
      <c r="V956">
        <f>SUBSTITUTE(SUBSTITUTE(SUBSTITUTE(SUBSTITUTE(G956,"(주)",""),"㈜",""),"주식회사","")," ","")</f>
        <v/>
      </c>
      <c r="W956">
        <f>IF(AND(T956,V956&lt;&gt;""),IF(COUNTIFS(V$2:V956,V956,T$2:T956,TRUE)=1,MAX(W$1:W955)+1,""),"")</f>
        <v/>
      </c>
      <c r="X956">
        <f>IF(설정!$C$14="","",IFERROR(INDEX('1.산군_붙여넣기'!$A$1:$AZ$1001,ROW(),설정!$C$14)&amp;"",""))</f>
        <v/>
      </c>
      <c r="Y956">
        <f>IF(설정!$C$15="","",IFERROR(INDEX('1.산군_붙여넣기'!$A$1:$AZ$1001,ROW(),설정!$C$15)&amp;"",""))</f>
        <v/>
      </c>
      <c r="Z956">
        <f>IF(T956,V956&amp;"|"&amp;U956,"")</f>
        <v/>
      </c>
      <c r="AA956">
        <f>IF(NOT(Q956),"",IF(NOT(AND(R956,S956)),"✕",IF(OR(OR(AND(L956&lt;&gt;"",M956&lt;&gt;"",N(M956)-N(L956)&gt;설정!$B$27),AND(L956&lt;&gt;"",M956="",설정!$B$24-N(L956)&gt;설정!$B$27)),AND(D956&lt;&gt;"",D956&lt;설정!$B$26)),"△","★")))</f>
        <v/>
      </c>
      <c r="AB956">
        <f>IF(NOT(T956),"",IF(U956="설계사",설정!$B$31,IF(U956="시공사",IF(OR(M956="",설정!$B$24-N(M956)&lt;=설정!$B$28*30.4),설정!$B$32,설정!$B$33),설정!$B$34))+IF(AA956="★",설정!$B$35,0))</f>
        <v/>
      </c>
      <c r="AC956">
        <f>SUBSTITUTE(SUBSTITUTE(SUBSTITUTE(SUBSTITUTE(H956,"(주)",""),"㈜",""),"주식회사","")," ","")</f>
        <v/>
      </c>
      <c r="AD956">
        <f>IF(AND(T956,AC956&lt;&gt;""),IF(COUNTIFS(AC$2:AC956,AC956,T$2:T956,TRUE)=1,MAX(AD$1:AD955)+1,""),"")</f>
        <v/>
      </c>
    </row>
    <row r="957">
      <c r="A957">
        <f>ROW()</f>
        <v/>
      </c>
      <c r="B957">
        <f>IF(설정!$C$4="","",IFERROR(INDEX('1.산군_붙여넣기'!$A$1:$AZ$1001,ROW(),설정!$C$4)&amp;"",""))</f>
        <v/>
      </c>
      <c r="C957">
        <f>IF(설정!$C$5="","",IFERROR(INDEX('1.산군_붙여넣기'!$A$1:$AZ$1001,ROW(),설정!$C$5)&amp;"",""))</f>
        <v/>
      </c>
      <c r="D957" s="5">
        <f>IFERROR(VALUE(SUBSTITUTE(SUBSTITUTE(SUBSTITUTE(IF(설정!$C$6="","",IFERROR(INDEX('1.산군_붙여넣기'!$A$1:$AZ$1001,ROW(),설정!$C$6)&amp;"","")),",",""),"㎡",""),"m2","")),"")</f>
        <v/>
      </c>
      <c r="E957">
        <f>IF(설정!$C$7="","",IFERROR(INDEX('1.산군_붙여넣기'!$A$1:$AZ$1001,ROW(),설정!$C$7)&amp;"",""))</f>
        <v/>
      </c>
      <c r="F957">
        <f>IF(설정!$C$8="","",IFERROR(INDEX('1.산군_붙여넣기'!$A$1:$AZ$1001,ROW(),설정!$C$8)&amp;"",""))</f>
        <v/>
      </c>
      <c r="G957">
        <f>IF(설정!$C$9="","",IFERROR(INDEX('1.산군_붙여넣기'!$A$1:$AZ$1001,ROW(),설정!$C$9)&amp;"",""))</f>
        <v/>
      </c>
      <c r="H957">
        <f>IF(설정!$C$10="","",IFERROR(INDEX('1.산군_붙여넣기'!$A$1:$AZ$1001,ROW(),설정!$C$10)&amp;"",""))</f>
        <v/>
      </c>
      <c r="I957">
        <f>IF(설정!$C$11="","",IFERROR(INDEX('1.산군_붙여넣기'!$A$1:$AZ$1001,ROW(),설정!$C$11)&amp;"",""))</f>
        <v/>
      </c>
      <c r="J957">
        <f>IF(설정!$C$12="","",IFERROR(INDEX('1.산군_붙여넣기'!$A$1:$AZ$1001,ROW(),설정!$C$12)&amp;"",""))</f>
        <v/>
      </c>
      <c r="K957">
        <f>IF(설정!$C$13="","",IFERROR(INDEX('1.산군_붙여넣기'!$A$1:$AZ$1001,ROW(),설정!$C$13)&amp;"",""))</f>
        <v/>
      </c>
      <c r="L957" s="7">
        <f>IF(X957="","",IF(AND(LEN(X957)=8,ISNUMBER(X957*1)),DATE(LEFT(X957,4),MID(X957,5,2),RIGHT(X957,2)),IFERROR(DATEVALUE(SUBSTITUTE(SUBSTITUTE(X957,".","-"),"/","-")),IFERROR(X957*1,""))))</f>
        <v/>
      </c>
      <c r="M957" s="7">
        <f>IF(Y957="","",IF(AND(LEN(Y957)=8,ISNUMBER(Y957*1)),DATE(LEFT(Y957,4),MID(Y957,5,2),RIGHT(Y957,2)),IFERROR(DATEVALUE(SUBSTITUTE(SUBSTITUTE(Y957,".","-"),"/","-")),IFERROR(Y957*1,""))))</f>
        <v/>
      </c>
      <c r="N957">
        <f>IFERROR(LEFT(B957,FIND(" ",B957)-1),B957)</f>
        <v/>
      </c>
      <c r="O957">
        <f>AND(B957&lt;&gt;"",B957&lt;&gt;설정!$B$4,C957&lt;&gt;설정!$B$5)</f>
        <v/>
      </c>
      <c r="P957">
        <f>IF(O957,B957&amp;"|"&amp;C957,"")</f>
        <v/>
      </c>
      <c r="Q957">
        <f>AND(O957,COUNTIF(P958:P$1002,P957)=0)</f>
        <v/>
      </c>
      <c r="R957">
        <f>OR(AND(설정!$A$42&lt;&gt;"",ISNUMBER(SEARCH(설정!$A$42,E957&amp;" "&amp;C957))),AND(설정!$A$43&lt;&gt;"",ISNUMBER(SEARCH(설정!$A$43,E957&amp;" "&amp;C957))),AND(설정!$A$44&lt;&gt;"",ISNUMBER(SEARCH(설정!$A$44,E957&amp;" "&amp;C957))),AND(설정!$A$45&lt;&gt;"",ISNUMBER(SEARCH(설정!$A$45,E957&amp;" "&amp;C957))),AND(설정!$A$46&lt;&gt;"",ISNUMBER(SEARCH(설정!$A$46,E957&amp;" "&amp;C957))),AND(설정!$A$47&lt;&gt;"",ISNUMBER(SEARCH(설정!$A$47,E957&amp;" "&amp;C957))),AND(설정!$A$48&lt;&gt;"",ISNUMBER(SEARCH(설정!$A$48,E957&amp;" "&amp;C957))),AND(설정!$A$49&lt;&gt;"",ISNUMBER(SEARCH(설정!$A$49,E957&amp;" "&amp;C957))),AND(설정!$A$50&lt;&gt;"",ISNUMBER(SEARCH(설정!$A$50,E957&amp;" "&amp;C957))),AND(설정!$A$51&lt;&gt;"",ISNUMBER(SEARCH(설정!$A$51,E957&amp;" "&amp;C957))))</f>
        <v/>
      </c>
      <c r="S957">
        <f>OR(D957="",D957&gt;=설정!$B$19)</f>
        <v/>
      </c>
      <c r="T957">
        <f>AND(Q957,R957,S957)</f>
        <v/>
      </c>
      <c r="U957">
        <f>IF(T957,IF(AND(설정!$A$54&lt;&gt;"",ISNUMBER(SEARCH(설정!$A$54,K957))),설정!$B$54,IF(AND(설정!$A$55&lt;&gt;"",ISNUMBER(SEARCH(설정!$A$55,K957))),설정!$B$55,IF(AND(설정!$A$56&lt;&gt;"",ISNUMBER(SEARCH(설정!$A$56,K957))),설정!$B$56,IF(AND(설정!$A$57&lt;&gt;"",ISNUMBER(SEARCH(설정!$A$57,K957))),설정!$B$57,IF(AND(설정!$A$58&lt;&gt;"",ISNUMBER(SEARCH(설정!$A$58,K957))),설정!$B$58,IF(AND(설정!$A$59&lt;&gt;"",ISNUMBER(SEARCH(설정!$A$59,K957))),설정!$B$59,IF(AND(설정!$A$60&lt;&gt;"",ISNUMBER(SEARCH(설정!$A$60,K957))),설정!$B$60,IF(AND(설정!$A$61&lt;&gt;"",ISNUMBER(SEARCH(설정!$A$61,K957))),설정!$B$61,IF(M957="","설계사","시공사"))))))))),"")</f>
        <v/>
      </c>
      <c r="V957">
        <f>SUBSTITUTE(SUBSTITUTE(SUBSTITUTE(SUBSTITUTE(G957,"(주)",""),"㈜",""),"주식회사","")," ","")</f>
        <v/>
      </c>
      <c r="W957">
        <f>IF(AND(T957,V957&lt;&gt;""),IF(COUNTIFS(V$2:V957,V957,T$2:T957,TRUE)=1,MAX(W$1:W956)+1,""),"")</f>
        <v/>
      </c>
      <c r="X957">
        <f>IF(설정!$C$14="","",IFERROR(INDEX('1.산군_붙여넣기'!$A$1:$AZ$1001,ROW(),설정!$C$14)&amp;"",""))</f>
        <v/>
      </c>
      <c r="Y957">
        <f>IF(설정!$C$15="","",IFERROR(INDEX('1.산군_붙여넣기'!$A$1:$AZ$1001,ROW(),설정!$C$15)&amp;"",""))</f>
        <v/>
      </c>
      <c r="Z957">
        <f>IF(T957,V957&amp;"|"&amp;U957,"")</f>
        <v/>
      </c>
      <c r="AA957">
        <f>IF(NOT(Q957),"",IF(NOT(AND(R957,S957)),"✕",IF(OR(OR(AND(L957&lt;&gt;"",M957&lt;&gt;"",N(M957)-N(L957)&gt;설정!$B$27),AND(L957&lt;&gt;"",M957="",설정!$B$24-N(L957)&gt;설정!$B$27)),AND(D957&lt;&gt;"",D957&lt;설정!$B$26)),"△","★")))</f>
        <v/>
      </c>
      <c r="AB957">
        <f>IF(NOT(T957),"",IF(U957="설계사",설정!$B$31,IF(U957="시공사",IF(OR(M957="",설정!$B$24-N(M957)&lt;=설정!$B$28*30.4),설정!$B$32,설정!$B$33),설정!$B$34))+IF(AA957="★",설정!$B$35,0))</f>
        <v/>
      </c>
      <c r="AC957">
        <f>SUBSTITUTE(SUBSTITUTE(SUBSTITUTE(SUBSTITUTE(H957,"(주)",""),"㈜",""),"주식회사","")," ","")</f>
        <v/>
      </c>
      <c r="AD957">
        <f>IF(AND(T957,AC957&lt;&gt;""),IF(COUNTIFS(AC$2:AC957,AC957,T$2:T957,TRUE)=1,MAX(AD$1:AD956)+1,""),"")</f>
        <v/>
      </c>
    </row>
    <row r="958">
      <c r="A958">
        <f>ROW()</f>
        <v/>
      </c>
      <c r="B958">
        <f>IF(설정!$C$4="","",IFERROR(INDEX('1.산군_붙여넣기'!$A$1:$AZ$1001,ROW(),설정!$C$4)&amp;"",""))</f>
        <v/>
      </c>
      <c r="C958">
        <f>IF(설정!$C$5="","",IFERROR(INDEX('1.산군_붙여넣기'!$A$1:$AZ$1001,ROW(),설정!$C$5)&amp;"",""))</f>
        <v/>
      </c>
      <c r="D958" s="5">
        <f>IFERROR(VALUE(SUBSTITUTE(SUBSTITUTE(SUBSTITUTE(IF(설정!$C$6="","",IFERROR(INDEX('1.산군_붙여넣기'!$A$1:$AZ$1001,ROW(),설정!$C$6)&amp;"","")),",",""),"㎡",""),"m2","")),"")</f>
        <v/>
      </c>
      <c r="E958">
        <f>IF(설정!$C$7="","",IFERROR(INDEX('1.산군_붙여넣기'!$A$1:$AZ$1001,ROW(),설정!$C$7)&amp;"",""))</f>
        <v/>
      </c>
      <c r="F958">
        <f>IF(설정!$C$8="","",IFERROR(INDEX('1.산군_붙여넣기'!$A$1:$AZ$1001,ROW(),설정!$C$8)&amp;"",""))</f>
        <v/>
      </c>
      <c r="G958">
        <f>IF(설정!$C$9="","",IFERROR(INDEX('1.산군_붙여넣기'!$A$1:$AZ$1001,ROW(),설정!$C$9)&amp;"",""))</f>
        <v/>
      </c>
      <c r="H958">
        <f>IF(설정!$C$10="","",IFERROR(INDEX('1.산군_붙여넣기'!$A$1:$AZ$1001,ROW(),설정!$C$10)&amp;"",""))</f>
        <v/>
      </c>
      <c r="I958">
        <f>IF(설정!$C$11="","",IFERROR(INDEX('1.산군_붙여넣기'!$A$1:$AZ$1001,ROW(),설정!$C$11)&amp;"",""))</f>
        <v/>
      </c>
      <c r="J958">
        <f>IF(설정!$C$12="","",IFERROR(INDEX('1.산군_붙여넣기'!$A$1:$AZ$1001,ROW(),설정!$C$12)&amp;"",""))</f>
        <v/>
      </c>
      <c r="K958">
        <f>IF(설정!$C$13="","",IFERROR(INDEX('1.산군_붙여넣기'!$A$1:$AZ$1001,ROW(),설정!$C$13)&amp;"",""))</f>
        <v/>
      </c>
      <c r="L958" s="7">
        <f>IF(X958="","",IF(AND(LEN(X958)=8,ISNUMBER(X958*1)),DATE(LEFT(X958,4),MID(X958,5,2),RIGHT(X958,2)),IFERROR(DATEVALUE(SUBSTITUTE(SUBSTITUTE(X958,".","-"),"/","-")),IFERROR(X958*1,""))))</f>
        <v/>
      </c>
      <c r="M958" s="7">
        <f>IF(Y958="","",IF(AND(LEN(Y958)=8,ISNUMBER(Y958*1)),DATE(LEFT(Y958,4),MID(Y958,5,2),RIGHT(Y958,2)),IFERROR(DATEVALUE(SUBSTITUTE(SUBSTITUTE(Y958,".","-"),"/","-")),IFERROR(Y958*1,""))))</f>
        <v/>
      </c>
      <c r="N958">
        <f>IFERROR(LEFT(B958,FIND(" ",B958)-1),B958)</f>
        <v/>
      </c>
      <c r="O958">
        <f>AND(B958&lt;&gt;"",B958&lt;&gt;설정!$B$4,C958&lt;&gt;설정!$B$5)</f>
        <v/>
      </c>
      <c r="P958">
        <f>IF(O958,B958&amp;"|"&amp;C958,"")</f>
        <v/>
      </c>
      <c r="Q958">
        <f>AND(O958,COUNTIF(P959:P$1002,P958)=0)</f>
        <v/>
      </c>
      <c r="R958">
        <f>OR(AND(설정!$A$42&lt;&gt;"",ISNUMBER(SEARCH(설정!$A$42,E958&amp;" "&amp;C958))),AND(설정!$A$43&lt;&gt;"",ISNUMBER(SEARCH(설정!$A$43,E958&amp;" "&amp;C958))),AND(설정!$A$44&lt;&gt;"",ISNUMBER(SEARCH(설정!$A$44,E958&amp;" "&amp;C958))),AND(설정!$A$45&lt;&gt;"",ISNUMBER(SEARCH(설정!$A$45,E958&amp;" "&amp;C958))),AND(설정!$A$46&lt;&gt;"",ISNUMBER(SEARCH(설정!$A$46,E958&amp;" "&amp;C958))),AND(설정!$A$47&lt;&gt;"",ISNUMBER(SEARCH(설정!$A$47,E958&amp;" "&amp;C958))),AND(설정!$A$48&lt;&gt;"",ISNUMBER(SEARCH(설정!$A$48,E958&amp;" "&amp;C958))),AND(설정!$A$49&lt;&gt;"",ISNUMBER(SEARCH(설정!$A$49,E958&amp;" "&amp;C958))),AND(설정!$A$50&lt;&gt;"",ISNUMBER(SEARCH(설정!$A$50,E958&amp;" "&amp;C958))),AND(설정!$A$51&lt;&gt;"",ISNUMBER(SEARCH(설정!$A$51,E958&amp;" "&amp;C958))))</f>
        <v/>
      </c>
      <c r="S958">
        <f>OR(D958="",D958&gt;=설정!$B$19)</f>
        <v/>
      </c>
      <c r="T958">
        <f>AND(Q958,R958,S958)</f>
        <v/>
      </c>
      <c r="U958">
        <f>IF(T958,IF(AND(설정!$A$54&lt;&gt;"",ISNUMBER(SEARCH(설정!$A$54,K958))),설정!$B$54,IF(AND(설정!$A$55&lt;&gt;"",ISNUMBER(SEARCH(설정!$A$55,K958))),설정!$B$55,IF(AND(설정!$A$56&lt;&gt;"",ISNUMBER(SEARCH(설정!$A$56,K958))),설정!$B$56,IF(AND(설정!$A$57&lt;&gt;"",ISNUMBER(SEARCH(설정!$A$57,K958))),설정!$B$57,IF(AND(설정!$A$58&lt;&gt;"",ISNUMBER(SEARCH(설정!$A$58,K958))),설정!$B$58,IF(AND(설정!$A$59&lt;&gt;"",ISNUMBER(SEARCH(설정!$A$59,K958))),설정!$B$59,IF(AND(설정!$A$60&lt;&gt;"",ISNUMBER(SEARCH(설정!$A$60,K958))),설정!$B$60,IF(AND(설정!$A$61&lt;&gt;"",ISNUMBER(SEARCH(설정!$A$61,K958))),설정!$B$61,IF(M958="","설계사","시공사"))))))))),"")</f>
        <v/>
      </c>
      <c r="V958">
        <f>SUBSTITUTE(SUBSTITUTE(SUBSTITUTE(SUBSTITUTE(G958,"(주)",""),"㈜",""),"주식회사","")," ","")</f>
        <v/>
      </c>
      <c r="W958">
        <f>IF(AND(T958,V958&lt;&gt;""),IF(COUNTIFS(V$2:V958,V958,T$2:T958,TRUE)=1,MAX(W$1:W957)+1,""),"")</f>
        <v/>
      </c>
      <c r="X958">
        <f>IF(설정!$C$14="","",IFERROR(INDEX('1.산군_붙여넣기'!$A$1:$AZ$1001,ROW(),설정!$C$14)&amp;"",""))</f>
        <v/>
      </c>
      <c r="Y958">
        <f>IF(설정!$C$15="","",IFERROR(INDEX('1.산군_붙여넣기'!$A$1:$AZ$1001,ROW(),설정!$C$15)&amp;"",""))</f>
        <v/>
      </c>
      <c r="Z958">
        <f>IF(T958,V958&amp;"|"&amp;U958,"")</f>
        <v/>
      </c>
      <c r="AA958">
        <f>IF(NOT(Q958),"",IF(NOT(AND(R958,S958)),"✕",IF(OR(OR(AND(L958&lt;&gt;"",M958&lt;&gt;"",N(M958)-N(L958)&gt;설정!$B$27),AND(L958&lt;&gt;"",M958="",설정!$B$24-N(L958)&gt;설정!$B$27)),AND(D958&lt;&gt;"",D958&lt;설정!$B$26)),"△","★")))</f>
        <v/>
      </c>
      <c r="AB958">
        <f>IF(NOT(T958),"",IF(U958="설계사",설정!$B$31,IF(U958="시공사",IF(OR(M958="",설정!$B$24-N(M958)&lt;=설정!$B$28*30.4),설정!$B$32,설정!$B$33),설정!$B$34))+IF(AA958="★",설정!$B$35,0))</f>
        <v/>
      </c>
      <c r="AC958">
        <f>SUBSTITUTE(SUBSTITUTE(SUBSTITUTE(SUBSTITUTE(H958,"(주)",""),"㈜",""),"주식회사","")," ","")</f>
        <v/>
      </c>
      <c r="AD958">
        <f>IF(AND(T958,AC958&lt;&gt;""),IF(COUNTIFS(AC$2:AC958,AC958,T$2:T958,TRUE)=1,MAX(AD$1:AD957)+1,""),"")</f>
        <v/>
      </c>
    </row>
    <row r="959">
      <c r="A959">
        <f>ROW()</f>
        <v/>
      </c>
      <c r="B959">
        <f>IF(설정!$C$4="","",IFERROR(INDEX('1.산군_붙여넣기'!$A$1:$AZ$1001,ROW(),설정!$C$4)&amp;"",""))</f>
        <v/>
      </c>
      <c r="C959">
        <f>IF(설정!$C$5="","",IFERROR(INDEX('1.산군_붙여넣기'!$A$1:$AZ$1001,ROW(),설정!$C$5)&amp;"",""))</f>
        <v/>
      </c>
      <c r="D959" s="5">
        <f>IFERROR(VALUE(SUBSTITUTE(SUBSTITUTE(SUBSTITUTE(IF(설정!$C$6="","",IFERROR(INDEX('1.산군_붙여넣기'!$A$1:$AZ$1001,ROW(),설정!$C$6)&amp;"","")),",",""),"㎡",""),"m2","")),"")</f>
        <v/>
      </c>
      <c r="E959">
        <f>IF(설정!$C$7="","",IFERROR(INDEX('1.산군_붙여넣기'!$A$1:$AZ$1001,ROW(),설정!$C$7)&amp;"",""))</f>
        <v/>
      </c>
      <c r="F959">
        <f>IF(설정!$C$8="","",IFERROR(INDEX('1.산군_붙여넣기'!$A$1:$AZ$1001,ROW(),설정!$C$8)&amp;"",""))</f>
        <v/>
      </c>
      <c r="G959">
        <f>IF(설정!$C$9="","",IFERROR(INDEX('1.산군_붙여넣기'!$A$1:$AZ$1001,ROW(),설정!$C$9)&amp;"",""))</f>
        <v/>
      </c>
      <c r="H959">
        <f>IF(설정!$C$10="","",IFERROR(INDEX('1.산군_붙여넣기'!$A$1:$AZ$1001,ROW(),설정!$C$10)&amp;"",""))</f>
        <v/>
      </c>
      <c r="I959">
        <f>IF(설정!$C$11="","",IFERROR(INDEX('1.산군_붙여넣기'!$A$1:$AZ$1001,ROW(),설정!$C$11)&amp;"",""))</f>
        <v/>
      </c>
      <c r="J959">
        <f>IF(설정!$C$12="","",IFERROR(INDEX('1.산군_붙여넣기'!$A$1:$AZ$1001,ROW(),설정!$C$12)&amp;"",""))</f>
        <v/>
      </c>
      <c r="K959">
        <f>IF(설정!$C$13="","",IFERROR(INDEX('1.산군_붙여넣기'!$A$1:$AZ$1001,ROW(),설정!$C$13)&amp;"",""))</f>
        <v/>
      </c>
      <c r="L959" s="7">
        <f>IF(X959="","",IF(AND(LEN(X959)=8,ISNUMBER(X959*1)),DATE(LEFT(X959,4),MID(X959,5,2),RIGHT(X959,2)),IFERROR(DATEVALUE(SUBSTITUTE(SUBSTITUTE(X959,".","-"),"/","-")),IFERROR(X959*1,""))))</f>
        <v/>
      </c>
      <c r="M959" s="7">
        <f>IF(Y959="","",IF(AND(LEN(Y959)=8,ISNUMBER(Y959*1)),DATE(LEFT(Y959,4),MID(Y959,5,2),RIGHT(Y959,2)),IFERROR(DATEVALUE(SUBSTITUTE(SUBSTITUTE(Y959,".","-"),"/","-")),IFERROR(Y959*1,""))))</f>
        <v/>
      </c>
      <c r="N959">
        <f>IFERROR(LEFT(B959,FIND(" ",B959)-1),B959)</f>
        <v/>
      </c>
      <c r="O959">
        <f>AND(B959&lt;&gt;"",B959&lt;&gt;설정!$B$4,C959&lt;&gt;설정!$B$5)</f>
        <v/>
      </c>
      <c r="P959">
        <f>IF(O959,B959&amp;"|"&amp;C959,"")</f>
        <v/>
      </c>
      <c r="Q959">
        <f>AND(O959,COUNTIF(P960:P$1002,P959)=0)</f>
        <v/>
      </c>
      <c r="R959">
        <f>OR(AND(설정!$A$42&lt;&gt;"",ISNUMBER(SEARCH(설정!$A$42,E959&amp;" "&amp;C959))),AND(설정!$A$43&lt;&gt;"",ISNUMBER(SEARCH(설정!$A$43,E959&amp;" "&amp;C959))),AND(설정!$A$44&lt;&gt;"",ISNUMBER(SEARCH(설정!$A$44,E959&amp;" "&amp;C959))),AND(설정!$A$45&lt;&gt;"",ISNUMBER(SEARCH(설정!$A$45,E959&amp;" "&amp;C959))),AND(설정!$A$46&lt;&gt;"",ISNUMBER(SEARCH(설정!$A$46,E959&amp;" "&amp;C959))),AND(설정!$A$47&lt;&gt;"",ISNUMBER(SEARCH(설정!$A$47,E959&amp;" "&amp;C959))),AND(설정!$A$48&lt;&gt;"",ISNUMBER(SEARCH(설정!$A$48,E959&amp;" "&amp;C959))),AND(설정!$A$49&lt;&gt;"",ISNUMBER(SEARCH(설정!$A$49,E959&amp;" "&amp;C959))),AND(설정!$A$50&lt;&gt;"",ISNUMBER(SEARCH(설정!$A$50,E959&amp;" "&amp;C959))),AND(설정!$A$51&lt;&gt;"",ISNUMBER(SEARCH(설정!$A$51,E959&amp;" "&amp;C959))))</f>
        <v/>
      </c>
      <c r="S959">
        <f>OR(D959="",D959&gt;=설정!$B$19)</f>
        <v/>
      </c>
      <c r="T959">
        <f>AND(Q959,R959,S959)</f>
        <v/>
      </c>
      <c r="U959">
        <f>IF(T959,IF(AND(설정!$A$54&lt;&gt;"",ISNUMBER(SEARCH(설정!$A$54,K959))),설정!$B$54,IF(AND(설정!$A$55&lt;&gt;"",ISNUMBER(SEARCH(설정!$A$55,K959))),설정!$B$55,IF(AND(설정!$A$56&lt;&gt;"",ISNUMBER(SEARCH(설정!$A$56,K959))),설정!$B$56,IF(AND(설정!$A$57&lt;&gt;"",ISNUMBER(SEARCH(설정!$A$57,K959))),설정!$B$57,IF(AND(설정!$A$58&lt;&gt;"",ISNUMBER(SEARCH(설정!$A$58,K959))),설정!$B$58,IF(AND(설정!$A$59&lt;&gt;"",ISNUMBER(SEARCH(설정!$A$59,K959))),설정!$B$59,IF(AND(설정!$A$60&lt;&gt;"",ISNUMBER(SEARCH(설정!$A$60,K959))),설정!$B$60,IF(AND(설정!$A$61&lt;&gt;"",ISNUMBER(SEARCH(설정!$A$61,K959))),설정!$B$61,IF(M959="","설계사","시공사"))))))))),"")</f>
        <v/>
      </c>
      <c r="V959">
        <f>SUBSTITUTE(SUBSTITUTE(SUBSTITUTE(SUBSTITUTE(G959,"(주)",""),"㈜",""),"주식회사","")," ","")</f>
        <v/>
      </c>
      <c r="W959">
        <f>IF(AND(T959,V959&lt;&gt;""),IF(COUNTIFS(V$2:V959,V959,T$2:T959,TRUE)=1,MAX(W$1:W958)+1,""),"")</f>
        <v/>
      </c>
      <c r="X959">
        <f>IF(설정!$C$14="","",IFERROR(INDEX('1.산군_붙여넣기'!$A$1:$AZ$1001,ROW(),설정!$C$14)&amp;"",""))</f>
        <v/>
      </c>
      <c r="Y959">
        <f>IF(설정!$C$15="","",IFERROR(INDEX('1.산군_붙여넣기'!$A$1:$AZ$1001,ROW(),설정!$C$15)&amp;"",""))</f>
        <v/>
      </c>
      <c r="Z959">
        <f>IF(T959,V959&amp;"|"&amp;U959,"")</f>
        <v/>
      </c>
      <c r="AA959">
        <f>IF(NOT(Q959),"",IF(NOT(AND(R959,S959)),"✕",IF(OR(OR(AND(L959&lt;&gt;"",M959&lt;&gt;"",N(M959)-N(L959)&gt;설정!$B$27),AND(L959&lt;&gt;"",M959="",설정!$B$24-N(L959)&gt;설정!$B$27)),AND(D959&lt;&gt;"",D959&lt;설정!$B$26)),"△","★")))</f>
        <v/>
      </c>
      <c r="AB959">
        <f>IF(NOT(T959),"",IF(U959="설계사",설정!$B$31,IF(U959="시공사",IF(OR(M959="",설정!$B$24-N(M959)&lt;=설정!$B$28*30.4),설정!$B$32,설정!$B$33),설정!$B$34))+IF(AA959="★",설정!$B$35,0))</f>
        <v/>
      </c>
      <c r="AC959">
        <f>SUBSTITUTE(SUBSTITUTE(SUBSTITUTE(SUBSTITUTE(H959,"(주)",""),"㈜",""),"주식회사","")," ","")</f>
        <v/>
      </c>
      <c r="AD959">
        <f>IF(AND(T959,AC959&lt;&gt;""),IF(COUNTIFS(AC$2:AC959,AC959,T$2:T959,TRUE)=1,MAX(AD$1:AD958)+1,""),"")</f>
        <v/>
      </c>
    </row>
    <row r="960">
      <c r="A960">
        <f>ROW()</f>
        <v/>
      </c>
      <c r="B960">
        <f>IF(설정!$C$4="","",IFERROR(INDEX('1.산군_붙여넣기'!$A$1:$AZ$1001,ROW(),설정!$C$4)&amp;"",""))</f>
        <v/>
      </c>
      <c r="C960">
        <f>IF(설정!$C$5="","",IFERROR(INDEX('1.산군_붙여넣기'!$A$1:$AZ$1001,ROW(),설정!$C$5)&amp;"",""))</f>
        <v/>
      </c>
      <c r="D960" s="5">
        <f>IFERROR(VALUE(SUBSTITUTE(SUBSTITUTE(SUBSTITUTE(IF(설정!$C$6="","",IFERROR(INDEX('1.산군_붙여넣기'!$A$1:$AZ$1001,ROW(),설정!$C$6)&amp;"","")),",",""),"㎡",""),"m2","")),"")</f>
        <v/>
      </c>
      <c r="E960">
        <f>IF(설정!$C$7="","",IFERROR(INDEX('1.산군_붙여넣기'!$A$1:$AZ$1001,ROW(),설정!$C$7)&amp;"",""))</f>
        <v/>
      </c>
      <c r="F960">
        <f>IF(설정!$C$8="","",IFERROR(INDEX('1.산군_붙여넣기'!$A$1:$AZ$1001,ROW(),설정!$C$8)&amp;"",""))</f>
        <v/>
      </c>
      <c r="G960">
        <f>IF(설정!$C$9="","",IFERROR(INDEX('1.산군_붙여넣기'!$A$1:$AZ$1001,ROW(),설정!$C$9)&amp;"",""))</f>
        <v/>
      </c>
      <c r="H960">
        <f>IF(설정!$C$10="","",IFERROR(INDEX('1.산군_붙여넣기'!$A$1:$AZ$1001,ROW(),설정!$C$10)&amp;"",""))</f>
        <v/>
      </c>
      <c r="I960">
        <f>IF(설정!$C$11="","",IFERROR(INDEX('1.산군_붙여넣기'!$A$1:$AZ$1001,ROW(),설정!$C$11)&amp;"",""))</f>
        <v/>
      </c>
      <c r="J960">
        <f>IF(설정!$C$12="","",IFERROR(INDEX('1.산군_붙여넣기'!$A$1:$AZ$1001,ROW(),설정!$C$12)&amp;"",""))</f>
        <v/>
      </c>
      <c r="K960">
        <f>IF(설정!$C$13="","",IFERROR(INDEX('1.산군_붙여넣기'!$A$1:$AZ$1001,ROW(),설정!$C$13)&amp;"",""))</f>
        <v/>
      </c>
      <c r="L960" s="7">
        <f>IF(X960="","",IF(AND(LEN(X960)=8,ISNUMBER(X960*1)),DATE(LEFT(X960,4),MID(X960,5,2),RIGHT(X960,2)),IFERROR(DATEVALUE(SUBSTITUTE(SUBSTITUTE(X960,".","-"),"/","-")),IFERROR(X960*1,""))))</f>
        <v/>
      </c>
      <c r="M960" s="7">
        <f>IF(Y960="","",IF(AND(LEN(Y960)=8,ISNUMBER(Y960*1)),DATE(LEFT(Y960,4),MID(Y960,5,2),RIGHT(Y960,2)),IFERROR(DATEVALUE(SUBSTITUTE(SUBSTITUTE(Y960,".","-"),"/","-")),IFERROR(Y960*1,""))))</f>
        <v/>
      </c>
      <c r="N960">
        <f>IFERROR(LEFT(B960,FIND(" ",B960)-1),B960)</f>
        <v/>
      </c>
      <c r="O960">
        <f>AND(B960&lt;&gt;"",B960&lt;&gt;설정!$B$4,C960&lt;&gt;설정!$B$5)</f>
        <v/>
      </c>
      <c r="P960">
        <f>IF(O960,B960&amp;"|"&amp;C960,"")</f>
        <v/>
      </c>
      <c r="Q960">
        <f>AND(O960,COUNTIF(P961:P$1002,P960)=0)</f>
        <v/>
      </c>
      <c r="R960">
        <f>OR(AND(설정!$A$42&lt;&gt;"",ISNUMBER(SEARCH(설정!$A$42,E960&amp;" "&amp;C960))),AND(설정!$A$43&lt;&gt;"",ISNUMBER(SEARCH(설정!$A$43,E960&amp;" "&amp;C960))),AND(설정!$A$44&lt;&gt;"",ISNUMBER(SEARCH(설정!$A$44,E960&amp;" "&amp;C960))),AND(설정!$A$45&lt;&gt;"",ISNUMBER(SEARCH(설정!$A$45,E960&amp;" "&amp;C960))),AND(설정!$A$46&lt;&gt;"",ISNUMBER(SEARCH(설정!$A$46,E960&amp;" "&amp;C960))),AND(설정!$A$47&lt;&gt;"",ISNUMBER(SEARCH(설정!$A$47,E960&amp;" "&amp;C960))),AND(설정!$A$48&lt;&gt;"",ISNUMBER(SEARCH(설정!$A$48,E960&amp;" "&amp;C960))),AND(설정!$A$49&lt;&gt;"",ISNUMBER(SEARCH(설정!$A$49,E960&amp;" "&amp;C960))),AND(설정!$A$50&lt;&gt;"",ISNUMBER(SEARCH(설정!$A$50,E960&amp;" "&amp;C960))),AND(설정!$A$51&lt;&gt;"",ISNUMBER(SEARCH(설정!$A$51,E960&amp;" "&amp;C960))))</f>
        <v/>
      </c>
      <c r="S960">
        <f>OR(D960="",D960&gt;=설정!$B$19)</f>
        <v/>
      </c>
      <c r="T960">
        <f>AND(Q960,R960,S960)</f>
        <v/>
      </c>
      <c r="U960">
        <f>IF(T960,IF(AND(설정!$A$54&lt;&gt;"",ISNUMBER(SEARCH(설정!$A$54,K960))),설정!$B$54,IF(AND(설정!$A$55&lt;&gt;"",ISNUMBER(SEARCH(설정!$A$55,K960))),설정!$B$55,IF(AND(설정!$A$56&lt;&gt;"",ISNUMBER(SEARCH(설정!$A$56,K960))),설정!$B$56,IF(AND(설정!$A$57&lt;&gt;"",ISNUMBER(SEARCH(설정!$A$57,K960))),설정!$B$57,IF(AND(설정!$A$58&lt;&gt;"",ISNUMBER(SEARCH(설정!$A$58,K960))),설정!$B$58,IF(AND(설정!$A$59&lt;&gt;"",ISNUMBER(SEARCH(설정!$A$59,K960))),설정!$B$59,IF(AND(설정!$A$60&lt;&gt;"",ISNUMBER(SEARCH(설정!$A$60,K960))),설정!$B$60,IF(AND(설정!$A$61&lt;&gt;"",ISNUMBER(SEARCH(설정!$A$61,K960))),설정!$B$61,IF(M960="","설계사","시공사"))))))))),"")</f>
        <v/>
      </c>
      <c r="V960">
        <f>SUBSTITUTE(SUBSTITUTE(SUBSTITUTE(SUBSTITUTE(G960,"(주)",""),"㈜",""),"주식회사","")," ","")</f>
        <v/>
      </c>
      <c r="W960">
        <f>IF(AND(T960,V960&lt;&gt;""),IF(COUNTIFS(V$2:V960,V960,T$2:T960,TRUE)=1,MAX(W$1:W959)+1,""),"")</f>
        <v/>
      </c>
      <c r="X960">
        <f>IF(설정!$C$14="","",IFERROR(INDEX('1.산군_붙여넣기'!$A$1:$AZ$1001,ROW(),설정!$C$14)&amp;"",""))</f>
        <v/>
      </c>
      <c r="Y960">
        <f>IF(설정!$C$15="","",IFERROR(INDEX('1.산군_붙여넣기'!$A$1:$AZ$1001,ROW(),설정!$C$15)&amp;"",""))</f>
        <v/>
      </c>
      <c r="Z960">
        <f>IF(T960,V960&amp;"|"&amp;U960,"")</f>
        <v/>
      </c>
      <c r="AA960">
        <f>IF(NOT(Q960),"",IF(NOT(AND(R960,S960)),"✕",IF(OR(OR(AND(L960&lt;&gt;"",M960&lt;&gt;"",N(M960)-N(L960)&gt;설정!$B$27),AND(L960&lt;&gt;"",M960="",설정!$B$24-N(L960)&gt;설정!$B$27)),AND(D960&lt;&gt;"",D960&lt;설정!$B$26)),"△","★")))</f>
        <v/>
      </c>
      <c r="AB960">
        <f>IF(NOT(T960),"",IF(U960="설계사",설정!$B$31,IF(U960="시공사",IF(OR(M960="",설정!$B$24-N(M960)&lt;=설정!$B$28*30.4),설정!$B$32,설정!$B$33),설정!$B$34))+IF(AA960="★",설정!$B$35,0))</f>
        <v/>
      </c>
      <c r="AC960">
        <f>SUBSTITUTE(SUBSTITUTE(SUBSTITUTE(SUBSTITUTE(H960,"(주)",""),"㈜",""),"주식회사","")," ","")</f>
        <v/>
      </c>
      <c r="AD960">
        <f>IF(AND(T960,AC960&lt;&gt;""),IF(COUNTIFS(AC$2:AC960,AC960,T$2:T960,TRUE)=1,MAX(AD$1:AD959)+1,""),"")</f>
        <v/>
      </c>
    </row>
    <row r="961">
      <c r="A961">
        <f>ROW()</f>
        <v/>
      </c>
      <c r="B961">
        <f>IF(설정!$C$4="","",IFERROR(INDEX('1.산군_붙여넣기'!$A$1:$AZ$1001,ROW(),설정!$C$4)&amp;"",""))</f>
        <v/>
      </c>
      <c r="C961">
        <f>IF(설정!$C$5="","",IFERROR(INDEX('1.산군_붙여넣기'!$A$1:$AZ$1001,ROW(),설정!$C$5)&amp;"",""))</f>
        <v/>
      </c>
      <c r="D961" s="5">
        <f>IFERROR(VALUE(SUBSTITUTE(SUBSTITUTE(SUBSTITUTE(IF(설정!$C$6="","",IFERROR(INDEX('1.산군_붙여넣기'!$A$1:$AZ$1001,ROW(),설정!$C$6)&amp;"","")),",",""),"㎡",""),"m2","")),"")</f>
        <v/>
      </c>
      <c r="E961">
        <f>IF(설정!$C$7="","",IFERROR(INDEX('1.산군_붙여넣기'!$A$1:$AZ$1001,ROW(),설정!$C$7)&amp;"",""))</f>
        <v/>
      </c>
      <c r="F961">
        <f>IF(설정!$C$8="","",IFERROR(INDEX('1.산군_붙여넣기'!$A$1:$AZ$1001,ROW(),설정!$C$8)&amp;"",""))</f>
        <v/>
      </c>
      <c r="G961">
        <f>IF(설정!$C$9="","",IFERROR(INDEX('1.산군_붙여넣기'!$A$1:$AZ$1001,ROW(),설정!$C$9)&amp;"",""))</f>
        <v/>
      </c>
      <c r="H961">
        <f>IF(설정!$C$10="","",IFERROR(INDEX('1.산군_붙여넣기'!$A$1:$AZ$1001,ROW(),설정!$C$10)&amp;"",""))</f>
        <v/>
      </c>
      <c r="I961">
        <f>IF(설정!$C$11="","",IFERROR(INDEX('1.산군_붙여넣기'!$A$1:$AZ$1001,ROW(),설정!$C$11)&amp;"",""))</f>
        <v/>
      </c>
      <c r="J961">
        <f>IF(설정!$C$12="","",IFERROR(INDEX('1.산군_붙여넣기'!$A$1:$AZ$1001,ROW(),설정!$C$12)&amp;"",""))</f>
        <v/>
      </c>
      <c r="K961">
        <f>IF(설정!$C$13="","",IFERROR(INDEX('1.산군_붙여넣기'!$A$1:$AZ$1001,ROW(),설정!$C$13)&amp;"",""))</f>
        <v/>
      </c>
      <c r="L961" s="7">
        <f>IF(X961="","",IF(AND(LEN(X961)=8,ISNUMBER(X961*1)),DATE(LEFT(X961,4),MID(X961,5,2),RIGHT(X961,2)),IFERROR(DATEVALUE(SUBSTITUTE(SUBSTITUTE(X961,".","-"),"/","-")),IFERROR(X961*1,""))))</f>
        <v/>
      </c>
      <c r="M961" s="7">
        <f>IF(Y961="","",IF(AND(LEN(Y961)=8,ISNUMBER(Y961*1)),DATE(LEFT(Y961,4),MID(Y961,5,2),RIGHT(Y961,2)),IFERROR(DATEVALUE(SUBSTITUTE(SUBSTITUTE(Y961,".","-"),"/","-")),IFERROR(Y961*1,""))))</f>
        <v/>
      </c>
      <c r="N961">
        <f>IFERROR(LEFT(B961,FIND(" ",B961)-1),B961)</f>
        <v/>
      </c>
      <c r="O961">
        <f>AND(B961&lt;&gt;"",B961&lt;&gt;설정!$B$4,C961&lt;&gt;설정!$B$5)</f>
        <v/>
      </c>
      <c r="P961">
        <f>IF(O961,B961&amp;"|"&amp;C961,"")</f>
        <v/>
      </c>
      <c r="Q961">
        <f>AND(O961,COUNTIF(P962:P$1002,P961)=0)</f>
        <v/>
      </c>
      <c r="R961">
        <f>OR(AND(설정!$A$42&lt;&gt;"",ISNUMBER(SEARCH(설정!$A$42,E961&amp;" "&amp;C961))),AND(설정!$A$43&lt;&gt;"",ISNUMBER(SEARCH(설정!$A$43,E961&amp;" "&amp;C961))),AND(설정!$A$44&lt;&gt;"",ISNUMBER(SEARCH(설정!$A$44,E961&amp;" "&amp;C961))),AND(설정!$A$45&lt;&gt;"",ISNUMBER(SEARCH(설정!$A$45,E961&amp;" "&amp;C961))),AND(설정!$A$46&lt;&gt;"",ISNUMBER(SEARCH(설정!$A$46,E961&amp;" "&amp;C961))),AND(설정!$A$47&lt;&gt;"",ISNUMBER(SEARCH(설정!$A$47,E961&amp;" "&amp;C961))),AND(설정!$A$48&lt;&gt;"",ISNUMBER(SEARCH(설정!$A$48,E961&amp;" "&amp;C961))),AND(설정!$A$49&lt;&gt;"",ISNUMBER(SEARCH(설정!$A$49,E961&amp;" "&amp;C961))),AND(설정!$A$50&lt;&gt;"",ISNUMBER(SEARCH(설정!$A$50,E961&amp;" "&amp;C961))),AND(설정!$A$51&lt;&gt;"",ISNUMBER(SEARCH(설정!$A$51,E961&amp;" "&amp;C961))))</f>
        <v/>
      </c>
      <c r="S961">
        <f>OR(D961="",D961&gt;=설정!$B$19)</f>
        <v/>
      </c>
      <c r="T961">
        <f>AND(Q961,R961,S961)</f>
        <v/>
      </c>
      <c r="U961">
        <f>IF(T961,IF(AND(설정!$A$54&lt;&gt;"",ISNUMBER(SEARCH(설정!$A$54,K961))),설정!$B$54,IF(AND(설정!$A$55&lt;&gt;"",ISNUMBER(SEARCH(설정!$A$55,K961))),설정!$B$55,IF(AND(설정!$A$56&lt;&gt;"",ISNUMBER(SEARCH(설정!$A$56,K961))),설정!$B$56,IF(AND(설정!$A$57&lt;&gt;"",ISNUMBER(SEARCH(설정!$A$57,K961))),설정!$B$57,IF(AND(설정!$A$58&lt;&gt;"",ISNUMBER(SEARCH(설정!$A$58,K961))),설정!$B$58,IF(AND(설정!$A$59&lt;&gt;"",ISNUMBER(SEARCH(설정!$A$59,K961))),설정!$B$59,IF(AND(설정!$A$60&lt;&gt;"",ISNUMBER(SEARCH(설정!$A$60,K961))),설정!$B$60,IF(AND(설정!$A$61&lt;&gt;"",ISNUMBER(SEARCH(설정!$A$61,K961))),설정!$B$61,IF(M961="","설계사","시공사"))))))))),"")</f>
        <v/>
      </c>
      <c r="V961">
        <f>SUBSTITUTE(SUBSTITUTE(SUBSTITUTE(SUBSTITUTE(G961,"(주)",""),"㈜",""),"주식회사","")," ","")</f>
        <v/>
      </c>
      <c r="W961">
        <f>IF(AND(T961,V961&lt;&gt;""),IF(COUNTIFS(V$2:V961,V961,T$2:T961,TRUE)=1,MAX(W$1:W960)+1,""),"")</f>
        <v/>
      </c>
      <c r="X961">
        <f>IF(설정!$C$14="","",IFERROR(INDEX('1.산군_붙여넣기'!$A$1:$AZ$1001,ROW(),설정!$C$14)&amp;"",""))</f>
        <v/>
      </c>
      <c r="Y961">
        <f>IF(설정!$C$15="","",IFERROR(INDEX('1.산군_붙여넣기'!$A$1:$AZ$1001,ROW(),설정!$C$15)&amp;"",""))</f>
        <v/>
      </c>
      <c r="Z961">
        <f>IF(T961,V961&amp;"|"&amp;U961,"")</f>
        <v/>
      </c>
      <c r="AA961">
        <f>IF(NOT(Q961),"",IF(NOT(AND(R961,S961)),"✕",IF(OR(OR(AND(L961&lt;&gt;"",M961&lt;&gt;"",N(M961)-N(L961)&gt;설정!$B$27),AND(L961&lt;&gt;"",M961="",설정!$B$24-N(L961)&gt;설정!$B$27)),AND(D961&lt;&gt;"",D961&lt;설정!$B$26)),"△","★")))</f>
        <v/>
      </c>
      <c r="AB961">
        <f>IF(NOT(T961),"",IF(U961="설계사",설정!$B$31,IF(U961="시공사",IF(OR(M961="",설정!$B$24-N(M961)&lt;=설정!$B$28*30.4),설정!$B$32,설정!$B$33),설정!$B$34))+IF(AA961="★",설정!$B$35,0))</f>
        <v/>
      </c>
      <c r="AC961">
        <f>SUBSTITUTE(SUBSTITUTE(SUBSTITUTE(SUBSTITUTE(H961,"(주)",""),"㈜",""),"주식회사","")," ","")</f>
        <v/>
      </c>
      <c r="AD961">
        <f>IF(AND(T961,AC961&lt;&gt;""),IF(COUNTIFS(AC$2:AC961,AC961,T$2:T961,TRUE)=1,MAX(AD$1:AD960)+1,""),"")</f>
        <v/>
      </c>
    </row>
    <row r="962">
      <c r="A962">
        <f>ROW()</f>
        <v/>
      </c>
      <c r="B962">
        <f>IF(설정!$C$4="","",IFERROR(INDEX('1.산군_붙여넣기'!$A$1:$AZ$1001,ROW(),설정!$C$4)&amp;"",""))</f>
        <v/>
      </c>
      <c r="C962">
        <f>IF(설정!$C$5="","",IFERROR(INDEX('1.산군_붙여넣기'!$A$1:$AZ$1001,ROW(),설정!$C$5)&amp;"",""))</f>
        <v/>
      </c>
      <c r="D962" s="5">
        <f>IFERROR(VALUE(SUBSTITUTE(SUBSTITUTE(SUBSTITUTE(IF(설정!$C$6="","",IFERROR(INDEX('1.산군_붙여넣기'!$A$1:$AZ$1001,ROW(),설정!$C$6)&amp;"","")),",",""),"㎡",""),"m2","")),"")</f>
        <v/>
      </c>
      <c r="E962">
        <f>IF(설정!$C$7="","",IFERROR(INDEX('1.산군_붙여넣기'!$A$1:$AZ$1001,ROW(),설정!$C$7)&amp;"",""))</f>
        <v/>
      </c>
      <c r="F962">
        <f>IF(설정!$C$8="","",IFERROR(INDEX('1.산군_붙여넣기'!$A$1:$AZ$1001,ROW(),설정!$C$8)&amp;"",""))</f>
        <v/>
      </c>
      <c r="G962">
        <f>IF(설정!$C$9="","",IFERROR(INDEX('1.산군_붙여넣기'!$A$1:$AZ$1001,ROW(),설정!$C$9)&amp;"",""))</f>
        <v/>
      </c>
      <c r="H962">
        <f>IF(설정!$C$10="","",IFERROR(INDEX('1.산군_붙여넣기'!$A$1:$AZ$1001,ROW(),설정!$C$10)&amp;"",""))</f>
        <v/>
      </c>
      <c r="I962">
        <f>IF(설정!$C$11="","",IFERROR(INDEX('1.산군_붙여넣기'!$A$1:$AZ$1001,ROW(),설정!$C$11)&amp;"",""))</f>
        <v/>
      </c>
      <c r="J962">
        <f>IF(설정!$C$12="","",IFERROR(INDEX('1.산군_붙여넣기'!$A$1:$AZ$1001,ROW(),설정!$C$12)&amp;"",""))</f>
        <v/>
      </c>
      <c r="K962">
        <f>IF(설정!$C$13="","",IFERROR(INDEX('1.산군_붙여넣기'!$A$1:$AZ$1001,ROW(),설정!$C$13)&amp;"",""))</f>
        <v/>
      </c>
      <c r="L962" s="7">
        <f>IF(X962="","",IF(AND(LEN(X962)=8,ISNUMBER(X962*1)),DATE(LEFT(X962,4),MID(X962,5,2),RIGHT(X962,2)),IFERROR(DATEVALUE(SUBSTITUTE(SUBSTITUTE(X962,".","-"),"/","-")),IFERROR(X962*1,""))))</f>
        <v/>
      </c>
      <c r="M962" s="7">
        <f>IF(Y962="","",IF(AND(LEN(Y962)=8,ISNUMBER(Y962*1)),DATE(LEFT(Y962,4),MID(Y962,5,2),RIGHT(Y962,2)),IFERROR(DATEVALUE(SUBSTITUTE(SUBSTITUTE(Y962,".","-"),"/","-")),IFERROR(Y962*1,""))))</f>
        <v/>
      </c>
      <c r="N962">
        <f>IFERROR(LEFT(B962,FIND(" ",B962)-1),B962)</f>
        <v/>
      </c>
      <c r="O962">
        <f>AND(B962&lt;&gt;"",B962&lt;&gt;설정!$B$4,C962&lt;&gt;설정!$B$5)</f>
        <v/>
      </c>
      <c r="P962">
        <f>IF(O962,B962&amp;"|"&amp;C962,"")</f>
        <v/>
      </c>
      <c r="Q962">
        <f>AND(O962,COUNTIF(P963:P$1002,P962)=0)</f>
        <v/>
      </c>
      <c r="R962">
        <f>OR(AND(설정!$A$42&lt;&gt;"",ISNUMBER(SEARCH(설정!$A$42,E962&amp;" "&amp;C962))),AND(설정!$A$43&lt;&gt;"",ISNUMBER(SEARCH(설정!$A$43,E962&amp;" "&amp;C962))),AND(설정!$A$44&lt;&gt;"",ISNUMBER(SEARCH(설정!$A$44,E962&amp;" "&amp;C962))),AND(설정!$A$45&lt;&gt;"",ISNUMBER(SEARCH(설정!$A$45,E962&amp;" "&amp;C962))),AND(설정!$A$46&lt;&gt;"",ISNUMBER(SEARCH(설정!$A$46,E962&amp;" "&amp;C962))),AND(설정!$A$47&lt;&gt;"",ISNUMBER(SEARCH(설정!$A$47,E962&amp;" "&amp;C962))),AND(설정!$A$48&lt;&gt;"",ISNUMBER(SEARCH(설정!$A$48,E962&amp;" "&amp;C962))),AND(설정!$A$49&lt;&gt;"",ISNUMBER(SEARCH(설정!$A$49,E962&amp;" "&amp;C962))),AND(설정!$A$50&lt;&gt;"",ISNUMBER(SEARCH(설정!$A$50,E962&amp;" "&amp;C962))),AND(설정!$A$51&lt;&gt;"",ISNUMBER(SEARCH(설정!$A$51,E962&amp;" "&amp;C962))))</f>
        <v/>
      </c>
      <c r="S962">
        <f>OR(D962="",D962&gt;=설정!$B$19)</f>
        <v/>
      </c>
      <c r="T962">
        <f>AND(Q962,R962,S962)</f>
        <v/>
      </c>
      <c r="U962">
        <f>IF(T962,IF(AND(설정!$A$54&lt;&gt;"",ISNUMBER(SEARCH(설정!$A$54,K962))),설정!$B$54,IF(AND(설정!$A$55&lt;&gt;"",ISNUMBER(SEARCH(설정!$A$55,K962))),설정!$B$55,IF(AND(설정!$A$56&lt;&gt;"",ISNUMBER(SEARCH(설정!$A$56,K962))),설정!$B$56,IF(AND(설정!$A$57&lt;&gt;"",ISNUMBER(SEARCH(설정!$A$57,K962))),설정!$B$57,IF(AND(설정!$A$58&lt;&gt;"",ISNUMBER(SEARCH(설정!$A$58,K962))),설정!$B$58,IF(AND(설정!$A$59&lt;&gt;"",ISNUMBER(SEARCH(설정!$A$59,K962))),설정!$B$59,IF(AND(설정!$A$60&lt;&gt;"",ISNUMBER(SEARCH(설정!$A$60,K962))),설정!$B$60,IF(AND(설정!$A$61&lt;&gt;"",ISNUMBER(SEARCH(설정!$A$61,K962))),설정!$B$61,IF(M962="","설계사","시공사"))))))))),"")</f>
        <v/>
      </c>
      <c r="V962">
        <f>SUBSTITUTE(SUBSTITUTE(SUBSTITUTE(SUBSTITUTE(G962,"(주)",""),"㈜",""),"주식회사","")," ","")</f>
        <v/>
      </c>
      <c r="W962">
        <f>IF(AND(T962,V962&lt;&gt;""),IF(COUNTIFS(V$2:V962,V962,T$2:T962,TRUE)=1,MAX(W$1:W961)+1,""),"")</f>
        <v/>
      </c>
      <c r="X962">
        <f>IF(설정!$C$14="","",IFERROR(INDEX('1.산군_붙여넣기'!$A$1:$AZ$1001,ROW(),설정!$C$14)&amp;"",""))</f>
        <v/>
      </c>
      <c r="Y962">
        <f>IF(설정!$C$15="","",IFERROR(INDEX('1.산군_붙여넣기'!$A$1:$AZ$1001,ROW(),설정!$C$15)&amp;"",""))</f>
        <v/>
      </c>
      <c r="Z962">
        <f>IF(T962,V962&amp;"|"&amp;U962,"")</f>
        <v/>
      </c>
      <c r="AA962">
        <f>IF(NOT(Q962),"",IF(NOT(AND(R962,S962)),"✕",IF(OR(OR(AND(L962&lt;&gt;"",M962&lt;&gt;"",N(M962)-N(L962)&gt;설정!$B$27),AND(L962&lt;&gt;"",M962="",설정!$B$24-N(L962)&gt;설정!$B$27)),AND(D962&lt;&gt;"",D962&lt;설정!$B$26)),"△","★")))</f>
        <v/>
      </c>
      <c r="AB962">
        <f>IF(NOT(T962),"",IF(U962="설계사",설정!$B$31,IF(U962="시공사",IF(OR(M962="",설정!$B$24-N(M962)&lt;=설정!$B$28*30.4),설정!$B$32,설정!$B$33),설정!$B$34))+IF(AA962="★",설정!$B$35,0))</f>
        <v/>
      </c>
      <c r="AC962">
        <f>SUBSTITUTE(SUBSTITUTE(SUBSTITUTE(SUBSTITUTE(H962,"(주)",""),"㈜",""),"주식회사","")," ","")</f>
        <v/>
      </c>
      <c r="AD962">
        <f>IF(AND(T962,AC962&lt;&gt;""),IF(COUNTIFS(AC$2:AC962,AC962,T$2:T962,TRUE)=1,MAX(AD$1:AD961)+1,""),"")</f>
        <v/>
      </c>
    </row>
    <row r="963">
      <c r="A963">
        <f>ROW()</f>
        <v/>
      </c>
      <c r="B963">
        <f>IF(설정!$C$4="","",IFERROR(INDEX('1.산군_붙여넣기'!$A$1:$AZ$1001,ROW(),설정!$C$4)&amp;"",""))</f>
        <v/>
      </c>
      <c r="C963">
        <f>IF(설정!$C$5="","",IFERROR(INDEX('1.산군_붙여넣기'!$A$1:$AZ$1001,ROW(),설정!$C$5)&amp;"",""))</f>
        <v/>
      </c>
      <c r="D963" s="5">
        <f>IFERROR(VALUE(SUBSTITUTE(SUBSTITUTE(SUBSTITUTE(IF(설정!$C$6="","",IFERROR(INDEX('1.산군_붙여넣기'!$A$1:$AZ$1001,ROW(),설정!$C$6)&amp;"","")),",",""),"㎡",""),"m2","")),"")</f>
        <v/>
      </c>
      <c r="E963">
        <f>IF(설정!$C$7="","",IFERROR(INDEX('1.산군_붙여넣기'!$A$1:$AZ$1001,ROW(),설정!$C$7)&amp;"",""))</f>
        <v/>
      </c>
      <c r="F963">
        <f>IF(설정!$C$8="","",IFERROR(INDEX('1.산군_붙여넣기'!$A$1:$AZ$1001,ROW(),설정!$C$8)&amp;"",""))</f>
        <v/>
      </c>
      <c r="G963">
        <f>IF(설정!$C$9="","",IFERROR(INDEX('1.산군_붙여넣기'!$A$1:$AZ$1001,ROW(),설정!$C$9)&amp;"",""))</f>
        <v/>
      </c>
      <c r="H963">
        <f>IF(설정!$C$10="","",IFERROR(INDEX('1.산군_붙여넣기'!$A$1:$AZ$1001,ROW(),설정!$C$10)&amp;"",""))</f>
        <v/>
      </c>
      <c r="I963">
        <f>IF(설정!$C$11="","",IFERROR(INDEX('1.산군_붙여넣기'!$A$1:$AZ$1001,ROW(),설정!$C$11)&amp;"",""))</f>
        <v/>
      </c>
      <c r="J963">
        <f>IF(설정!$C$12="","",IFERROR(INDEX('1.산군_붙여넣기'!$A$1:$AZ$1001,ROW(),설정!$C$12)&amp;"",""))</f>
        <v/>
      </c>
      <c r="K963">
        <f>IF(설정!$C$13="","",IFERROR(INDEX('1.산군_붙여넣기'!$A$1:$AZ$1001,ROW(),설정!$C$13)&amp;"",""))</f>
        <v/>
      </c>
      <c r="L963" s="7">
        <f>IF(X963="","",IF(AND(LEN(X963)=8,ISNUMBER(X963*1)),DATE(LEFT(X963,4),MID(X963,5,2),RIGHT(X963,2)),IFERROR(DATEVALUE(SUBSTITUTE(SUBSTITUTE(X963,".","-"),"/","-")),IFERROR(X963*1,""))))</f>
        <v/>
      </c>
      <c r="M963" s="7">
        <f>IF(Y963="","",IF(AND(LEN(Y963)=8,ISNUMBER(Y963*1)),DATE(LEFT(Y963,4),MID(Y963,5,2),RIGHT(Y963,2)),IFERROR(DATEVALUE(SUBSTITUTE(SUBSTITUTE(Y963,".","-"),"/","-")),IFERROR(Y963*1,""))))</f>
        <v/>
      </c>
      <c r="N963">
        <f>IFERROR(LEFT(B963,FIND(" ",B963)-1),B963)</f>
        <v/>
      </c>
      <c r="O963">
        <f>AND(B963&lt;&gt;"",B963&lt;&gt;설정!$B$4,C963&lt;&gt;설정!$B$5)</f>
        <v/>
      </c>
      <c r="P963">
        <f>IF(O963,B963&amp;"|"&amp;C963,"")</f>
        <v/>
      </c>
      <c r="Q963">
        <f>AND(O963,COUNTIF(P964:P$1002,P963)=0)</f>
        <v/>
      </c>
      <c r="R963">
        <f>OR(AND(설정!$A$42&lt;&gt;"",ISNUMBER(SEARCH(설정!$A$42,E963&amp;" "&amp;C963))),AND(설정!$A$43&lt;&gt;"",ISNUMBER(SEARCH(설정!$A$43,E963&amp;" "&amp;C963))),AND(설정!$A$44&lt;&gt;"",ISNUMBER(SEARCH(설정!$A$44,E963&amp;" "&amp;C963))),AND(설정!$A$45&lt;&gt;"",ISNUMBER(SEARCH(설정!$A$45,E963&amp;" "&amp;C963))),AND(설정!$A$46&lt;&gt;"",ISNUMBER(SEARCH(설정!$A$46,E963&amp;" "&amp;C963))),AND(설정!$A$47&lt;&gt;"",ISNUMBER(SEARCH(설정!$A$47,E963&amp;" "&amp;C963))),AND(설정!$A$48&lt;&gt;"",ISNUMBER(SEARCH(설정!$A$48,E963&amp;" "&amp;C963))),AND(설정!$A$49&lt;&gt;"",ISNUMBER(SEARCH(설정!$A$49,E963&amp;" "&amp;C963))),AND(설정!$A$50&lt;&gt;"",ISNUMBER(SEARCH(설정!$A$50,E963&amp;" "&amp;C963))),AND(설정!$A$51&lt;&gt;"",ISNUMBER(SEARCH(설정!$A$51,E963&amp;" "&amp;C963))))</f>
        <v/>
      </c>
      <c r="S963">
        <f>OR(D963="",D963&gt;=설정!$B$19)</f>
        <v/>
      </c>
      <c r="T963">
        <f>AND(Q963,R963,S963)</f>
        <v/>
      </c>
      <c r="U963">
        <f>IF(T963,IF(AND(설정!$A$54&lt;&gt;"",ISNUMBER(SEARCH(설정!$A$54,K963))),설정!$B$54,IF(AND(설정!$A$55&lt;&gt;"",ISNUMBER(SEARCH(설정!$A$55,K963))),설정!$B$55,IF(AND(설정!$A$56&lt;&gt;"",ISNUMBER(SEARCH(설정!$A$56,K963))),설정!$B$56,IF(AND(설정!$A$57&lt;&gt;"",ISNUMBER(SEARCH(설정!$A$57,K963))),설정!$B$57,IF(AND(설정!$A$58&lt;&gt;"",ISNUMBER(SEARCH(설정!$A$58,K963))),설정!$B$58,IF(AND(설정!$A$59&lt;&gt;"",ISNUMBER(SEARCH(설정!$A$59,K963))),설정!$B$59,IF(AND(설정!$A$60&lt;&gt;"",ISNUMBER(SEARCH(설정!$A$60,K963))),설정!$B$60,IF(AND(설정!$A$61&lt;&gt;"",ISNUMBER(SEARCH(설정!$A$61,K963))),설정!$B$61,IF(M963="","설계사","시공사"))))))))),"")</f>
        <v/>
      </c>
      <c r="V963">
        <f>SUBSTITUTE(SUBSTITUTE(SUBSTITUTE(SUBSTITUTE(G963,"(주)",""),"㈜",""),"주식회사","")," ","")</f>
        <v/>
      </c>
      <c r="W963">
        <f>IF(AND(T963,V963&lt;&gt;""),IF(COUNTIFS(V$2:V963,V963,T$2:T963,TRUE)=1,MAX(W$1:W962)+1,""),"")</f>
        <v/>
      </c>
      <c r="X963">
        <f>IF(설정!$C$14="","",IFERROR(INDEX('1.산군_붙여넣기'!$A$1:$AZ$1001,ROW(),설정!$C$14)&amp;"",""))</f>
        <v/>
      </c>
      <c r="Y963">
        <f>IF(설정!$C$15="","",IFERROR(INDEX('1.산군_붙여넣기'!$A$1:$AZ$1001,ROW(),설정!$C$15)&amp;"",""))</f>
        <v/>
      </c>
      <c r="Z963">
        <f>IF(T963,V963&amp;"|"&amp;U963,"")</f>
        <v/>
      </c>
      <c r="AA963">
        <f>IF(NOT(Q963),"",IF(NOT(AND(R963,S963)),"✕",IF(OR(OR(AND(L963&lt;&gt;"",M963&lt;&gt;"",N(M963)-N(L963)&gt;설정!$B$27),AND(L963&lt;&gt;"",M963="",설정!$B$24-N(L963)&gt;설정!$B$27)),AND(D963&lt;&gt;"",D963&lt;설정!$B$26)),"△","★")))</f>
        <v/>
      </c>
      <c r="AB963">
        <f>IF(NOT(T963),"",IF(U963="설계사",설정!$B$31,IF(U963="시공사",IF(OR(M963="",설정!$B$24-N(M963)&lt;=설정!$B$28*30.4),설정!$B$32,설정!$B$33),설정!$B$34))+IF(AA963="★",설정!$B$35,0))</f>
        <v/>
      </c>
      <c r="AC963">
        <f>SUBSTITUTE(SUBSTITUTE(SUBSTITUTE(SUBSTITUTE(H963,"(주)",""),"㈜",""),"주식회사","")," ","")</f>
        <v/>
      </c>
      <c r="AD963">
        <f>IF(AND(T963,AC963&lt;&gt;""),IF(COUNTIFS(AC$2:AC963,AC963,T$2:T963,TRUE)=1,MAX(AD$1:AD962)+1,""),"")</f>
        <v/>
      </c>
    </row>
    <row r="964">
      <c r="A964">
        <f>ROW()</f>
        <v/>
      </c>
      <c r="B964">
        <f>IF(설정!$C$4="","",IFERROR(INDEX('1.산군_붙여넣기'!$A$1:$AZ$1001,ROW(),설정!$C$4)&amp;"",""))</f>
        <v/>
      </c>
      <c r="C964">
        <f>IF(설정!$C$5="","",IFERROR(INDEX('1.산군_붙여넣기'!$A$1:$AZ$1001,ROW(),설정!$C$5)&amp;"",""))</f>
        <v/>
      </c>
      <c r="D964" s="5">
        <f>IFERROR(VALUE(SUBSTITUTE(SUBSTITUTE(SUBSTITUTE(IF(설정!$C$6="","",IFERROR(INDEX('1.산군_붙여넣기'!$A$1:$AZ$1001,ROW(),설정!$C$6)&amp;"","")),",",""),"㎡",""),"m2","")),"")</f>
        <v/>
      </c>
      <c r="E964">
        <f>IF(설정!$C$7="","",IFERROR(INDEX('1.산군_붙여넣기'!$A$1:$AZ$1001,ROW(),설정!$C$7)&amp;"",""))</f>
        <v/>
      </c>
      <c r="F964">
        <f>IF(설정!$C$8="","",IFERROR(INDEX('1.산군_붙여넣기'!$A$1:$AZ$1001,ROW(),설정!$C$8)&amp;"",""))</f>
        <v/>
      </c>
      <c r="G964">
        <f>IF(설정!$C$9="","",IFERROR(INDEX('1.산군_붙여넣기'!$A$1:$AZ$1001,ROW(),설정!$C$9)&amp;"",""))</f>
        <v/>
      </c>
      <c r="H964">
        <f>IF(설정!$C$10="","",IFERROR(INDEX('1.산군_붙여넣기'!$A$1:$AZ$1001,ROW(),설정!$C$10)&amp;"",""))</f>
        <v/>
      </c>
      <c r="I964">
        <f>IF(설정!$C$11="","",IFERROR(INDEX('1.산군_붙여넣기'!$A$1:$AZ$1001,ROW(),설정!$C$11)&amp;"",""))</f>
        <v/>
      </c>
      <c r="J964">
        <f>IF(설정!$C$12="","",IFERROR(INDEX('1.산군_붙여넣기'!$A$1:$AZ$1001,ROW(),설정!$C$12)&amp;"",""))</f>
        <v/>
      </c>
      <c r="K964">
        <f>IF(설정!$C$13="","",IFERROR(INDEX('1.산군_붙여넣기'!$A$1:$AZ$1001,ROW(),설정!$C$13)&amp;"",""))</f>
        <v/>
      </c>
      <c r="L964" s="7">
        <f>IF(X964="","",IF(AND(LEN(X964)=8,ISNUMBER(X964*1)),DATE(LEFT(X964,4),MID(X964,5,2),RIGHT(X964,2)),IFERROR(DATEVALUE(SUBSTITUTE(SUBSTITUTE(X964,".","-"),"/","-")),IFERROR(X964*1,""))))</f>
        <v/>
      </c>
      <c r="M964" s="7">
        <f>IF(Y964="","",IF(AND(LEN(Y964)=8,ISNUMBER(Y964*1)),DATE(LEFT(Y964,4),MID(Y964,5,2),RIGHT(Y964,2)),IFERROR(DATEVALUE(SUBSTITUTE(SUBSTITUTE(Y964,".","-"),"/","-")),IFERROR(Y964*1,""))))</f>
        <v/>
      </c>
      <c r="N964">
        <f>IFERROR(LEFT(B964,FIND(" ",B964)-1),B964)</f>
        <v/>
      </c>
      <c r="O964">
        <f>AND(B964&lt;&gt;"",B964&lt;&gt;설정!$B$4,C964&lt;&gt;설정!$B$5)</f>
        <v/>
      </c>
      <c r="P964">
        <f>IF(O964,B964&amp;"|"&amp;C964,"")</f>
        <v/>
      </c>
      <c r="Q964">
        <f>AND(O964,COUNTIF(P965:P$1002,P964)=0)</f>
        <v/>
      </c>
      <c r="R964">
        <f>OR(AND(설정!$A$42&lt;&gt;"",ISNUMBER(SEARCH(설정!$A$42,E964&amp;" "&amp;C964))),AND(설정!$A$43&lt;&gt;"",ISNUMBER(SEARCH(설정!$A$43,E964&amp;" "&amp;C964))),AND(설정!$A$44&lt;&gt;"",ISNUMBER(SEARCH(설정!$A$44,E964&amp;" "&amp;C964))),AND(설정!$A$45&lt;&gt;"",ISNUMBER(SEARCH(설정!$A$45,E964&amp;" "&amp;C964))),AND(설정!$A$46&lt;&gt;"",ISNUMBER(SEARCH(설정!$A$46,E964&amp;" "&amp;C964))),AND(설정!$A$47&lt;&gt;"",ISNUMBER(SEARCH(설정!$A$47,E964&amp;" "&amp;C964))),AND(설정!$A$48&lt;&gt;"",ISNUMBER(SEARCH(설정!$A$48,E964&amp;" "&amp;C964))),AND(설정!$A$49&lt;&gt;"",ISNUMBER(SEARCH(설정!$A$49,E964&amp;" "&amp;C964))),AND(설정!$A$50&lt;&gt;"",ISNUMBER(SEARCH(설정!$A$50,E964&amp;" "&amp;C964))),AND(설정!$A$51&lt;&gt;"",ISNUMBER(SEARCH(설정!$A$51,E964&amp;" "&amp;C964))))</f>
        <v/>
      </c>
      <c r="S964">
        <f>OR(D964="",D964&gt;=설정!$B$19)</f>
        <v/>
      </c>
      <c r="T964">
        <f>AND(Q964,R964,S964)</f>
        <v/>
      </c>
      <c r="U964">
        <f>IF(T964,IF(AND(설정!$A$54&lt;&gt;"",ISNUMBER(SEARCH(설정!$A$54,K964))),설정!$B$54,IF(AND(설정!$A$55&lt;&gt;"",ISNUMBER(SEARCH(설정!$A$55,K964))),설정!$B$55,IF(AND(설정!$A$56&lt;&gt;"",ISNUMBER(SEARCH(설정!$A$56,K964))),설정!$B$56,IF(AND(설정!$A$57&lt;&gt;"",ISNUMBER(SEARCH(설정!$A$57,K964))),설정!$B$57,IF(AND(설정!$A$58&lt;&gt;"",ISNUMBER(SEARCH(설정!$A$58,K964))),설정!$B$58,IF(AND(설정!$A$59&lt;&gt;"",ISNUMBER(SEARCH(설정!$A$59,K964))),설정!$B$59,IF(AND(설정!$A$60&lt;&gt;"",ISNUMBER(SEARCH(설정!$A$60,K964))),설정!$B$60,IF(AND(설정!$A$61&lt;&gt;"",ISNUMBER(SEARCH(설정!$A$61,K964))),설정!$B$61,IF(M964="","설계사","시공사"))))))))),"")</f>
        <v/>
      </c>
      <c r="V964">
        <f>SUBSTITUTE(SUBSTITUTE(SUBSTITUTE(SUBSTITUTE(G964,"(주)",""),"㈜",""),"주식회사","")," ","")</f>
        <v/>
      </c>
      <c r="W964">
        <f>IF(AND(T964,V964&lt;&gt;""),IF(COUNTIFS(V$2:V964,V964,T$2:T964,TRUE)=1,MAX(W$1:W963)+1,""),"")</f>
        <v/>
      </c>
      <c r="X964">
        <f>IF(설정!$C$14="","",IFERROR(INDEX('1.산군_붙여넣기'!$A$1:$AZ$1001,ROW(),설정!$C$14)&amp;"",""))</f>
        <v/>
      </c>
      <c r="Y964">
        <f>IF(설정!$C$15="","",IFERROR(INDEX('1.산군_붙여넣기'!$A$1:$AZ$1001,ROW(),설정!$C$15)&amp;"",""))</f>
        <v/>
      </c>
      <c r="Z964">
        <f>IF(T964,V964&amp;"|"&amp;U964,"")</f>
        <v/>
      </c>
      <c r="AA964">
        <f>IF(NOT(Q964),"",IF(NOT(AND(R964,S964)),"✕",IF(OR(OR(AND(L964&lt;&gt;"",M964&lt;&gt;"",N(M964)-N(L964)&gt;설정!$B$27),AND(L964&lt;&gt;"",M964="",설정!$B$24-N(L964)&gt;설정!$B$27)),AND(D964&lt;&gt;"",D964&lt;설정!$B$26)),"△","★")))</f>
        <v/>
      </c>
      <c r="AB964">
        <f>IF(NOT(T964),"",IF(U964="설계사",설정!$B$31,IF(U964="시공사",IF(OR(M964="",설정!$B$24-N(M964)&lt;=설정!$B$28*30.4),설정!$B$32,설정!$B$33),설정!$B$34))+IF(AA964="★",설정!$B$35,0))</f>
        <v/>
      </c>
      <c r="AC964">
        <f>SUBSTITUTE(SUBSTITUTE(SUBSTITUTE(SUBSTITUTE(H964,"(주)",""),"㈜",""),"주식회사","")," ","")</f>
        <v/>
      </c>
      <c r="AD964">
        <f>IF(AND(T964,AC964&lt;&gt;""),IF(COUNTIFS(AC$2:AC964,AC964,T$2:T964,TRUE)=1,MAX(AD$1:AD963)+1,""),"")</f>
        <v/>
      </c>
    </row>
    <row r="965">
      <c r="A965">
        <f>ROW()</f>
        <v/>
      </c>
      <c r="B965">
        <f>IF(설정!$C$4="","",IFERROR(INDEX('1.산군_붙여넣기'!$A$1:$AZ$1001,ROW(),설정!$C$4)&amp;"",""))</f>
        <v/>
      </c>
      <c r="C965">
        <f>IF(설정!$C$5="","",IFERROR(INDEX('1.산군_붙여넣기'!$A$1:$AZ$1001,ROW(),설정!$C$5)&amp;"",""))</f>
        <v/>
      </c>
      <c r="D965" s="5">
        <f>IFERROR(VALUE(SUBSTITUTE(SUBSTITUTE(SUBSTITUTE(IF(설정!$C$6="","",IFERROR(INDEX('1.산군_붙여넣기'!$A$1:$AZ$1001,ROW(),설정!$C$6)&amp;"","")),",",""),"㎡",""),"m2","")),"")</f>
        <v/>
      </c>
      <c r="E965">
        <f>IF(설정!$C$7="","",IFERROR(INDEX('1.산군_붙여넣기'!$A$1:$AZ$1001,ROW(),설정!$C$7)&amp;"",""))</f>
        <v/>
      </c>
      <c r="F965">
        <f>IF(설정!$C$8="","",IFERROR(INDEX('1.산군_붙여넣기'!$A$1:$AZ$1001,ROW(),설정!$C$8)&amp;"",""))</f>
        <v/>
      </c>
      <c r="G965">
        <f>IF(설정!$C$9="","",IFERROR(INDEX('1.산군_붙여넣기'!$A$1:$AZ$1001,ROW(),설정!$C$9)&amp;"",""))</f>
        <v/>
      </c>
      <c r="H965">
        <f>IF(설정!$C$10="","",IFERROR(INDEX('1.산군_붙여넣기'!$A$1:$AZ$1001,ROW(),설정!$C$10)&amp;"",""))</f>
        <v/>
      </c>
      <c r="I965">
        <f>IF(설정!$C$11="","",IFERROR(INDEX('1.산군_붙여넣기'!$A$1:$AZ$1001,ROW(),설정!$C$11)&amp;"",""))</f>
        <v/>
      </c>
      <c r="J965">
        <f>IF(설정!$C$12="","",IFERROR(INDEX('1.산군_붙여넣기'!$A$1:$AZ$1001,ROW(),설정!$C$12)&amp;"",""))</f>
        <v/>
      </c>
      <c r="K965">
        <f>IF(설정!$C$13="","",IFERROR(INDEX('1.산군_붙여넣기'!$A$1:$AZ$1001,ROW(),설정!$C$13)&amp;"",""))</f>
        <v/>
      </c>
      <c r="L965" s="7">
        <f>IF(X965="","",IF(AND(LEN(X965)=8,ISNUMBER(X965*1)),DATE(LEFT(X965,4),MID(X965,5,2),RIGHT(X965,2)),IFERROR(DATEVALUE(SUBSTITUTE(SUBSTITUTE(X965,".","-"),"/","-")),IFERROR(X965*1,""))))</f>
        <v/>
      </c>
      <c r="M965" s="7">
        <f>IF(Y965="","",IF(AND(LEN(Y965)=8,ISNUMBER(Y965*1)),DATE(LEFT(Y965,4),MID(Y965,5,2),RIGHT(Y965,2)),IFERROR(DATEVALUE(SUBSTITUTE(SUBSTITUTE(Y965,".","-"),"/","-")),IFERROR(Y965*1,""))))</f>
        <v/>
      </c>
      <c r="N965">
        <f>IFERROR(LEFT(B965,FIND(" ",B965)-1),B965)</f>
        <v/>
      </c>
      <c r="O965">
        <f>AND(B965&lt;&gt;"",B965&lt;&gt;설정!$B$4,C965&lt;&gt;설정!$B$5)</f>
        <v/>
      </c>
      <c r="P965">
        <f>IF(O965,B965&amp;"|"&amp;C965,"")</f>
        <v/>
      </c>
      <c r="Q965">
        <f>AND(O965,COUNTIF(P966:P$1002,P965)=0)</f>
        <v/>
      </c>
      <c r="R965">
        <f>OR(AND(설정!$A$42&lt;&gt;"",ISNUMBER(SEARCH(설정!$A$42,E965&amp;" "&amp;C965))),AND(설정!$A$43&lt;&gt;"",ISNUMBER(SEARCH(설정!$A$43,E965&amp;" "&amp;C965))),AND(설정!$A$44&lt;&gt;"",ISNUMBER(SEARCH(설정!$A$44,E965&amp;" "&amp;C965))),AND(설정!$A$45&lt;&gt;"",ISNUMBER(SEARCH(설정!$A$45,E965&amp;" "&amp;C965))),AND(설정!$A$46&lt;&gt;"",ISNUMBER(SEARCH(설정!$A$46,E965&amp;" "&amp;C965))),AND(설정!$A$47&lt;&gt;"",ISNUMBER(SEARCH(설정!$A$47,E965&amp;" "&amp;C965))),AND(설정!$A$48&lt;&gt;"",ISNUMBER(SEARCH(설정!$A$48,E965&amp;" "&amp;C965))),AND(설정!$A$49&lt;&gt;"",ISNUMBER(SEARCH(설정!$A$49,E965&amp;" "&amp;C965))),AND(설정!$A$50&lt;&gt;"",ISNUMBER(SEARCH(설정!$A$50,E965&amp;" "&amp;C965))),AND(설정!$A$51&lt;&gt;"",ISNUMBER(SEARCH(설정!$A$51,E965&amp;" "&amp;C965))))</f>
        <v/>
      </c>
      <c r="S965">
        <f>OR(D965="",D965&gt;=설정!$B$19)</f>
        <v/>
      </c>
      <c r="T965">
        <f>AND(Q965,R965,S965)</f>
        <v/>
      </c>
      <c r="U965">
        <f>IF(T965,IF(AND(설정!$A$54&lt;&gt;"",ISNUMBER(SEARCH(설정!$A$54,K965))),설정!$B$54,IF(AND(설정!$A$55&lt;&gt;"",ISNUMBER(SEARCH(설정!$A$55,K965))),설정!$B$55,IF(AND(설정!$A$56&lt;&gt;"",ISNUMBER(SEARCH(설정!$A$56,K965))),설정!$B$56,IF(AND(설정!$A$57&lt;&gt;"",ISNUMBER(SEARCH(설정!$A$57,K965))),설정!$B$57,IF(AND(설정!$A$58&lt;&gt;"",ISNUMBER(SEARCH(설정!$A$58,K965))),설정!$B$58,IF(AND(설정!$A$59&lt;&gt;"",ISNUMBER(SEARCH(설정!$A$59,K965))),설정!$B$59,IF(AND(설정!$A$60&lt;&gt;"",ISNUMBER(SEARCH(설정!$A$60,K965))),설정!$B$60,IF(AND(설정!$A$61&lt;&gt;"",ISNUMBER(SEARCH(설정!$A$61,K965))),설정!$B$61,IF(M965="","설계사","시공사"))))))))),"")</f>
        <v/>
      </c>
      <c r="V965">
        <f>SUBSTITUTE(SUBSTITUTE(SUBSTITUTE(SUBSTITUTE(G965,"(주)",""),"㈜",""),"주식회사","")," ","")</f>
        <v/>
      </c>
      <c r="W965">
        <f>IF(AND(T965,V965&lt;&gt;""),IF(COUNTIFS(V$2:V965,V965,T$2:T965,TRUE)=1,MAX(W$1:W964)+1,""),"")</f>
        <v/>
      </c>
      <c r="X965">
        <f>IF(설정!$C$14="","",IFERROR(INDEX('1.산군_붙여넣기'!$A$1:$AZ$1001,ROW(),설정!$C$14)&amp;"",""))</f>
        <v/>
      </c>
      <c r="Y965">
        <f>IF(설정!$C$15="","",IFERROR(INDEX('1.산군_붙여넣기'!$A$1:$AZ$1001,ROW(),설정!$C$15)&amp;"",""))</f>
        <v/>
      </c>
      <c r="Z965">
        <f>IF(T965,V965&amp;"|"&amp;U965,"")</f>
        <v/>
      </c>
      <c r="AA965">
        <f>IF(NOT(Q965),"",IF(NOT(AND(R965,S965)),"✕",IF(OR(OR(AND(L965&lt;&gt;"",M965&lt;&gt;"",N(M965)-N(L965)&gt;설정!$B$27),AND(L965&lt;&gt;"",M965="",설정!$B$24-N(L965)&gt;설정!$B$27)),AND(D965&lt;&gt;"",D965&lt;설정!$B$26)),"△","★")))</f>
        <v/>
      </c>
      <c r="AB965">
        <f>IF(NOT(T965),"",IF(U965="설계사",설정!$B$31,IF(U965="시공사",IF(OR(M965="",설정!$B$24-N(M965)&lt;=설정!$B$28*30.4),설정!$B$32,설정!$B$33),설정!$B$34))+IF(AA965="★",설정!$B$35,0))</f>
        <v/>
      </c>
      <c r="AC965">
        <f>SUBSTITUTE(SUBSTITUTE(SUBSTITUTE(SUBSTITUTE(H965,"(주)",""),"㈜",""),"주식회사","")," ","")</f>
        <v/>
      </c>
      <c r="AD965">
        <f>IF(AND(T965,AC965&lt;&gt;""),IF(COUNTIFS(AC$2:AC965,AC965,T$2:T965,TRUE)=1,MAX(AD$1:AD964)+1,""),"")</f>
        <v/>
      </c>
    </row>
    <row r="966">
      <c r="A966">
        <f>ROW()</f>
        <v/>
      </c>
      <c r="B966">
        <f>IF(설정!$C$4="","",IFERROR(INDEX('1.산군_붙여넣기'!$A$1:$AZ$1001,ROW(),설정!$C$4)&amp;"",""))</f>
        <v/>
      </c>
      <c r="C966">
        <f>IF(설정!$C$5="","",IFERROR(INDEX('1.산군_붙여넣기'!$A$1:$AZ$1001,ROW(),설정!$C$5)&amp;"",""))</f>
        <v/>
      </c>
      <c r="D966" s="5">
        <f>IFERROR(VALUE(SUBSTITUTE(SUBSTITUTE(SUBSTITUTE(IF(설정!$C$6="","",IFERROR(INDEX('1.산군_붙여넣기'!$A$1:$AZ$1001,ROW(),설정!$C$6)&amp;"","")),",",""),"㎡",""),"m2","")),"")</f>
        <v/>
      </c>
      <c r="E966">
        <f>IF(설정!$C$7="","",IFERROR(INDEX('1.산군_붙여넣기'!$A$1:$AZ$1001,ROW(),설정!$C$7)&amp;"",""))</f>
        <v/>
      </c>
      <c r="F966">
        <f>IF(설정!$C$8="","",IFERROR(INDEX('1.산군_붙여넣기'!$A$1:$AZ$1001,ROW(),설정!$C$8)&amp;"",""))</f>
        <v/>
      </c>
      <c r="G966">
        <f>IF(설정!$C$9="","",IFERROR(INDEX('1.산군_붙여넣기'!$A$1:$AZ$1001,ROW(),설정!$C$9)&amp;"",""))</f>
        <v/>
      </c>
      <c r="H966">
        <f>IF(설정!$C$10="","",IFERROR(INDEX('1.산군_붙여넣기'!$A$1:$AZ$1001,ROW(),설정!$C$10)&amp;"",""))</f>
        <v/>
      </c>
      <c r="I966">
        <f>IF(설정!$C$11="","",IFERROR(INDEX('1.산군_붙여넣기'!$A$1:$AZ$1001,ROW(),설정!$C$11)&amp;"",""))</f>
        <v/>
      </c>
      <c r="J966">
        <f>IF(설정!$C$12="","",IFERROR(INDEX('1.산군_붙여넣기'!$A$1:$AZ$1001,ROW(),설정!$C$12)&amp;"",""))</f>
        <v/>
      </c>
      <c r="K966">
        <f>IF(설정!$C$13="","",IFERROR(INDEX('1.산군_붙여넣기'!$A$1:$AZ$1001,ROW(),설정!$C$13)&amp;"",""))</f>
        <v/>
      </c>
      <c r="L966" s="7">
        <f>IF(X966="","",IF(AND(LEN(X966)=8,ISNUMBER(X966*1)),DATE(LEFT(X966,4),MID(X966,5,2),RIGHT(X966,2)),IFERROR(DATEVALUE(SUBSTITUTE(SUBSTITUTE(X966,".","-"),"/","-")),IFERROR(X966*1,""))))</f>
        <v/>
      </c>
      <c r="M966" s="7">
        <f>IF(Y966="","",IF(AND(LEN(Y966)=8,ISNUMBER(Y966*1)),DATE(LEFT(Y966,4),MID(Y966,5,2),RIGHT(Y966,2)),IFERROR(DATEVALUE(SUBSTITUTE(SUBSTITUTE(Y966,".","-"),"/","-")),IFERROR(Y966*1,""))))</f>
        <v/>
      </c>
      <c r="N966">
        <f>IFERROR(LEFT(B966,FIND(" ",B966)-1),B966)</f>
        <v/>
      </c>
      <c r="O966">
        <f>AND(B966&lt;&gt;"",B966&lt;&gt;설정!$B$4,C966&lt;&gt;설정!$B$5)</f>
        <v/>
      </c>
      <c r="P966">
        <f>IF(O966,B966&amp;"|"&amp;C966,"")</f>
        <v/>
      </c>
      <c r="Q966">
        <f>AND(O966,COUNTIF(P967:P$1002,P966)=0)</f>
        <v/>
      </c>
      <c r="R966">
        <f>OR(AND(설정!$A$42&lt;&gt;"",ISNUMBER(SEARCH(설정!$A$42,E966&amp;" "&amp;C966))),AND(설정!$A$43&lt;&gt;"",ISNUMBER(SEARCH(설정!$A$43,E966&amp;" "&amp;C966))),AND(설정!$A$44&lt;&gt;"",ISNUMBER(SEARCH(설정!$A$44,E966&amp;" "&amp;C966))),AND(설정!$A$45&lt;&gt;"",ISNUMBER(SEARCH(설정!$A$45,E966&amp;" "&amp;C966))),AND(설정!$A$46&lt;&gt;"",ISNUMBER(SEARCH(설정!$A$46,E966&amp;" "&amp;C966))),AND(설정!$A$47&lt;&gt;"",ISNUMBER(SEARCH(설정!$A$47,E966&amp;" "&amp;C966))),AND(설정!$A$48&lt;&gt;"",ISNUMBER(SEARCH(설정!$A$48,E966&amp;" "&amp;C966))),AND(설정!$A$49&lt;&gt;"",ISNUMBER(SEARCH(설정!$A$49,E966&amp;" "&amp;C966))),AND(설정!$A$50&lt;&gt;"",ISNUMBER(SEARCH(설정!$A$50,E966&amp;" "&amp;C966))),AND(설정!$A$51&lt;&gt;"",ISNUMBER(SEARCH(설정!$A$51,E966&amp;" "&amp;C966))))</f>
        <v/>
      </c>
      <c r="S966">
        <f>OR(D966="",D966&gt;=설정!$B$19)</f>
        <v/>
      </c>
      <c r="T966">
        <f>AND(Q966,R966,S966)</f>
        <v/>
      </c>
      <c r="U966">
        <f>IF(T966,IF(AND(설정!$A$54&lt;&gt;"",ISNUMBER(SEARCH(설정!$A$54,K966))),설정!$B$54,IF(AND(설정!$A$55&lt;&gt;"",ISNUMBER(SEARCH(설정!$A$55,K966))),설정!$B$55,IF(AND(설정!$A$56&lt;&gt;"",ISNUMBER(SEARCH(설정!$A$56,K966))),설정!$B$56,IF(AND(설정!$A$57&lt;&gt;"",ISNUMBER(SEARCH(설정!$A$57,K966))),설정!$B$57,IF(AND(설정!$A$58&lt;&gt;"",ISNUMBER(SEARCH(설정!$A$58,K966))),설정!$B$58,IF(AND(설정!$A$59&lt;&gt;"",ISNUMBER(SEARCH(설정!$A$59,K966))),설정!$B$59,IF(AND(설정!$A$60&lt;&gt;"",ISNUMBER(SEARCH(설정!$A$60,K966))),설정!$B$60,IF(AND(설정!$A$61&lt;&gt;"",ISNUMBER(SEARCH(설정!$A$61,K966))),설정!$B$61,IF(M966="","설계사","시공사"))))))))),"")</f>
        <v/>
      </c>
      <c r="V966">
        <f>SUBSTITUTE(SUBSTITUTE(SUBSTITUTE(SUBSTITUTE(G966,"(주)",""),"㈜",""),"주식회사","")," ","")</f>
        <v/>
      </c>
      <c r="W966">
        <f>IF(AND(T966,V966&lt;&gt;""),IF(COUNTIFS(V$2:V966,V966,T$2:T966,TRUE)=1,MAX(W$1:W965)+1,""),"")</f>
        <v/>
      </c>
      <c r="X966">
        <f>IF(설정!$C$14="","",IFERROR(INDEX('1.산군_붙여넣기'!$A$1:$AZ$1001,ROW(),설정!$C$14)&amp;"",""))</f>
        <v/>
      </c>
      <c r="Y966">
        <f>IF(설정!$C$15="","",IFERROR(INDEX('1.산군_붙여넣기'!$A$1:$AZ$1001,ROW(),설정!$C$15)&amp;"",""))</f>
        <v/>
      </c>
      <c r="Z966">
        <f>IF(T966,V966&amp;"|"&amp;U966,"")</f>
        <v/>
      </c>
      <c r="AA966">
        <f>IF(NOT(Q966),"",IF(NOT(AND(R966,S966)),"✕",IF(OR(OR(AND(L966&lt;&gt;"",M966&lt;&gt;"",N(M966)-N(L966)&gt;설정!$B$27),AND(L966&lt;&gt;"",M966="",설정!$B$24-N(L966)&gt;설정!$B$27)),AND(D966&lt;&gt;"",D966&lt;설정!$B$26)),"△","★")))</f>
        <v/>
      </c>
      <c r="AB966">
        <f>IF(NOT(T966),"",IF(U966="설계사",설정!$B$31,IF(U966="시공사",IF(OR(M966="",설정!$B$24-N(M966)&lt;=설정!$B$28*30.4),설정!$B$32,설정!$B$33),설정!$B$34))+IF(AA966="★",설정!$B$35,0))</f>
        <v/>
      </c>
      <c r="AC966">
        <f>SUBSTITUTE(SUBSTITUTE(SUBSTITUTE(SUBSTITUTE(H966,"(주)",""),"㈜",""),"주식회사","")," ","")</f>
        <v/>
      </c>
      <c r="AD966">
        <f>IF(AND(T966,AC966&lt;&gt;""),IF(COUNTIFS(AC$2:AC966,AC966,T$2:T966,TRUE)=1,MAX(AD$1:AD965)+1,""),"")</f>
        <v/>
      </c>
    </row>
    <row r="967">
      <c r="A967">
        <f>ROW()</f>
        <v/>
      </c>
      <c r="B967">
        <f>IF(설정!$C$4="","",IFERROR(INDEX('1.산군_붙여넣기'!$A$1:$AZ$1001,ROW(),설정!$C$4)&amp;"",""))</f>
        <v/>
      </c>
      <c r="C967">
        <f>IF(설정!$C$5="","",IFERROR(INDEX('1.산군_붙여넣기'!$A$1:$AZ$1001,ROW(),설정!$C$5)&amp;"",""))</f>
        <v/>
      </c>
      <c r="D967" s="5">
        <f>IFERROR(VALUE(SUBSTITUTE(SUBSTITUTE(SUBSTITUTE(IF(설정!$C$6="","",IFERROR(INDEX('1.산군_붙여넣기'!$A$1:$AZ$1001,ROW(),설정!$C$6)&amp;"","")),",",""),"㎡",""),"m2","")),"")</f>
        <v/>
      </c>
      <c r="E967">
        <f>IF(설정!$C$7="","",IFERROR(INDEX('1.산군_붙여넣기'!$A$1:$AZ$1001,ROW(),설정!$C$7)&amp;"",""))</f>
        <v/>
      </c>
      <c r="F967">
        <f>IF(설정!$C$8="","",IFERROR(INDEX('1.산군_붙여넣기'!$A$1:$AZ$1001,ROW(),설정!$C$8)&amp;"",""))</f>
        <v/>
      </c>
      <c r="G967">
        <f>IF(설정!$C$9="","",IFERROR(INDEX('1.산군_붙여넣기'!$A$1:$AZ$1001,ROW(),설정!$C$9)&amp;"",""))</f>
        <v/>
      </c>
      <c r="H967">
        <f>IF(설정!$C$10="","",IFERROR(INDEX('1.산군_붙여넣기'!$A$1:$AZ$1001,ROW(),설정!$C$10)&amp;"",""))</f>
        <v/>
      </c>
      <c r="I967">
        <f>IF(설정!$C$11="","",IFERROR(INDEX('1.산군_붙여넣기'!$A$1:$AZ$1001,ROW(),설정!$C$11)&amp;"",""))</f>
        <v/>
      </c>
      <c r="J967">
        <f>IF(설정!$C$12="","",IFERROR(INDEX('1.산군_붙여넣기'!$A$1:$AZ$1001,ROW(),설정!$C$12)&amp;"",""))</f>
        <v/>
      </c>
      <c r="K967">
        <f>IF(설정!$C$13="","",IFERROR(INDEX('1.산군_붙여넣기'!$A$1:$AZ$1001,ROW(),설정!$C$13)&amp;"",""))</f>
        <v/>
      </c>
      <c r="L967" s="7">
        <f>IF(X967="","",IF(AND(LEN(X967)=8,ISNUMBER(X967*1)),DATE(LEFT(X967,4),MID(X967,5,2),RIGHT(X967,2)),IFERROR(DATEVALUE(SUBSTITUTE(SUBSTITUTE(X967,".","-"),"/","-")),IFERROR(X967*1,""))))</f>
        <v/>
      </c>
      <c r="M967" s="7">
        <f>IF(Y967="","",IF(AND(LEN(Y967)=8,ISNUMBER(Y967*1)),DATE(LEFT(Y967,4),MID(Y967,5,2),RIGHT(Y967,2)),IFERROR(DATEVALUE(SUBSTITUTE(SUBSTITUTE(Y967,".","-"),"/","-")),IFERROR(Y967*1,""))))</f>
        <v/>
      </c>
      <c r="N967">
        <f>IFERROR(LEFT(B967,FIND(" ",B967)-1),B967)</f>
        <v/>
      </c>
      <c r="O967">
        <f>AND(B967&lt;&gt;"",B967&lt;&gt;설정!$B$4,C967&lt;&gt;설정!$B$5)</f>
        <v/>
      </c>
      <c r="P967">
        <f>IF(O967,B967&amp;"|"&amp;C967,"")</f>
        <v/>
      </c>
      <c r="Q967">
        <f>AND(O967,COUNTIF(P968:P$1002,P967)=0)</f>
        <v/>
      </c>
      <c r="R967">
        <f>OR(AND(설정!$A$42&lt;&gt;"",ISNUMBER(SEARCH(설정!$A$42,E967&amp;" "&amp;C967))),AND(설정!$A$43&lt;&gt;"",ISNUMBER(SEARCH(설정!$A$43,E967&amp;" "&amp;C967))),AND(설정!$A$44&lt;&gt;"",ISNUMBER(SEARCH(설정!$A$44,E967&amp;" "&amp;C967))),AND(설정!$A$45&lt;&gt;"",ISNUMBER(SEARCH(설정!$A$45,E967&amp;" "&amp;C967))),AND(설정!$A$46&lt;&gt;"",ISNUMBER(SEARCH(설정!$A$46,E967&amp;" "&amp;C967))),AND(설정!$A$47&lt;&gt;"",ISNUMBER(SEARCH(설정!$A$47,E967&amp;" "&amp;C967))),AND(설정!$A$48&lt;&gt;"",ISNUMBER(SEARCH(설정!$A$48,E967&amp;" "&amp;C967))),AND(설정!$A$49&lt;&gt;"",ISNUMBER(SEARCH(설정!$A$49,E967&amp;" "&amp;C967))),AND(설정!$A$50&lt;&gt;"",ISNUMBER(SEARCH(설정!$A$50,E967&amp;" "&amp;C967))),AND(설정!$A$51&lt;&gt;"",ISNUMBER(SEARCH(설정!$A$51,E967&amp;" "&amp;C967))))</f>
        <v/>
      </c>
      <c r="S967">
        <f>OR(D967="",D967&gt;=설정!$B$19)</f>
        <v/>
      </c>
      <c r="T967">
        <f>AND(Q967,R967,S967)</f>
        <v/>
      </c>
      <c r="U967">
        <f>IF(T967,IF(AND(설정!$A$54&lt;&gt;"",ISNUMBER(SEARCH(설정!$A$54,K967))),설정!$B$54,IF(AND(설정!$A$55&lt;&gt;"",ISNUMBER(SEARCH(설정!$A$55,K967))),설정!$B$55,IF(AND(설정!$A$56&lt;&gt;"",ISNUMBER(SEARCH(설정!$A$56,K967))),설정!$B$56,IF(AND(설정!$A$57&lt;&gt;"",ISNUMBER(SEARCH(설정!$A$57,K967))),설정!$B$57,IF(AND(설정!$A$58&lt;&gt;"",ISNUMBER(SEARCH(설정!$A$58,K967))),설정!$B$58,IF(AND(설정!$A$59&lt;&gt;"",ISNUMBER(SEARCH(설정!$A$59,K967))),설정!$B$59,IF(AND(설정!$A$60&lt;&gt;"",ISNUMBER(SEARCH(설정!$A$60,K967))),설정!$B$60,IF(AND(설정!$A$61&lt;&gt;"",ISNUMBER(SEARCH(설정!$A$61,K967))),설정!$B$61,IF(M967="","설계사","시공사"))))))))),"")</f>
        <v/>
      </c>
      <c r="V967">
        <f>SUBSTITUTE(SUBSTITUTE(SUBSTITUTE(SUBSTITUTE(G967,"(주)",""),"㈜",""),"주식회사","")," ","")</f>
        <v/>
      </c>
      <c r="W967">
        <f>IF(AND(T967,V967&lt;&gt;""),IF(COUNTIFS(V$2:V967,V967,T$2:T967,TRUE)=1,MAX(W$1:W966)+1,""),"")</f>
        <v/>
      </c>
      <c r="X967">
        <f>IF(설정!$C$14="","",IFERROR(INDEX('1.산군_붙여넣기'!$A$1:$AZ$1001,ROW(),설정!$C$14)&amp;"",""))</f>
        <v/>
      </c>
      <c r="Y967">
        <f>IF(설정!$C$15="","",IFERROR(INDEX('1.산군_붙여넣기'!$A$1:$AZ$1001,ROW(),설정!$C$15)&amp;"",""))</f>
        <v/>
      </c>
      <c r="Z967">
        <f>IF(T967,V967&amp;"|"&amp;U967,"")</f>
        <v/>
      </c>
      <c r="AA967">
        <f>IF(NOT(Q967),"",IF(NOT(AND(R967,S967)),"✕",IF(OR(OR(AND(L967&lt;&gt;"",M967&lt;&gt;"",N(M967)-N(L967)&gt;설정!$B$27),AND(L967&lt;&gt;"",M967="",설정!$B$24-N(L967)&gt;설정!$B$27)),AND(D967&lt;&gt;"",D967&lt;설정!$B$26)),"△","★")))</f>
        <v/>
      </c>
      <c r="AB967">
        <f>IF(NOT(T967),"",IF(U967="설계사",설정!$B$31,IF(U967="시공사",IF(OR(M967="",설정!$B$24-N(M967)&lt;=설정!$B$28*30.4),설정!$B$32,설정!$B$33),설정!$B$34))+IF(AA967="★",설정!$B$35,0))</f>
        <v/>
      </c>
      <c r="AC967">
        <f>SUBSTITUTE(SUBSTITUTE(SUBSTITUTE(SUBSTITUTE(H967,"(주)",""),"㈜",""),"주식회사","")," ","")</f>
        <v/>
      </c>
      <c r="AD967">
        <f>IF(AND(T967,AC967&lt;&gt;""),IF(COUNTIFS(AC$2:AC967,AC967,T$2:T967,TRUE)=1,MAX(AD$1:AD966)+1,""),"")</f>
        <v/>
      </c>
    </row>
    <row r="968">
      <c r="A968">
        <f>ROW()</f>
        <v/>
      </c>
      <c r="B968">
        <f>IF(설정!$C$4="","",IFERROR(INDEX('1.산군_붙여넣기'!$A$1:$AZ$1001,ROW(),설정!$C$4)&amp;"",""))</f>
        <v/>
      </c>
      <c r="C968">
        <f>IF(설정!$C$5="","",IFERROR(INDEX('1.산군_붙여넣기'!$A$1:$AZ$1001,ROW(),설정!$C$5)&amp;"",""))</f>
        <v/>
      </c>
      <c r="D968" s="5">
        <f>IFERROR(VALUE(SUBSTITUTE(SUBSTITUTE(SUBSTITUTE(IF(설정!$C$6="","",IFERROR(INDEX('1.산군_붙여넣기'!$A$1:$AZ$1001,ROW(),설정!$C$6)&amp;"","")),",",""),"㎡",""),"m2","")),"")</f>
        <v/>
      </c>
      <c r="E968">
        <f>IF(설정!$C$7="","",IFERROR(INDEX('1.산군_붙여넣기'!$A$1:$AZ$1001,ROW(),설정!$C$7)&amp;"",""))</f>
        <v/>
      </c>
      <c r="F968">
        <f>IF(설정!$C$8="","",IFERROR(INDEX('1.산군_붙여넣기'!$A$1:$AZ$1001,ROW(),설정!$C$8)&amp;"",""))</f>
        <v/>
      </c>
      <c r="G968">
        <f>IF(설정!$C$9="","",IFERROR(INDEX('1.산군_붙여넣기'!$A$1:$AZ$1001,ROW(),설정!$C$9)&amp;"",""))</f>
        <v/>
      </c>
      <c r="H968">
        <f>IF(설정!$C$10="","",IFERROR(INDEX('1.산군_붙여넣기'!$A$1:$AZ$1001,ROW(),설정!$C$10)&amp;"",""))</f>
        <v/>
      </c>
      <c r="I968">
        <f>IF(설정!$C$11="","",IFERROR(INDEX('1.산군_붙여넣기'!$A$1:$AZ$1001,ROW(),설정!$C$11)&amp;"",""))</f>
        <v/>
      </c>
      <c r="J968">
        <f>IF(설정!$C$12="","",IFERROR(INDEX('1.산군_붙여넣기'!$A$1:$AZ$1001,ROW(),설정!$C$12)&amp;"",""))</f>
        <v/>
      </c>
      <c r="K968">
        <f>IF(설정!$C$13="","",IFERROR(INDEX('1.산군_붙여넣기'!$A$1:$AZ$1001,ROW(),설정!$C$13)&amp;"",""))</f>
        <v/>
      </c>
      <c r="L968" s="7">
        <f>IF(X968="","",IF(AND(LEN(X968)=8,ISNUMBER(X968*1)),DATE(LEFT(X968,4),MID(X968,5,2),RIGHT(X968,2)),IFERROR(DATEVALUE(SUBSTITUTE(SUBSTITUTE(X968,".","-"),"/","-")),IFERROR(X968*1,""))))</f>
        <v/>
      </c>
      <c r="M968" s="7">
        <f>IF(Y968="","",IF(AND(LEN(Y968)=8,ISNUMBER(Y968*1)),DATE(LEFT(Y968,4),MID(Y968,5,2),RIGHT(Y968,2)),IFERROR(DATEVALUE(SUBSTITUTE(SUBSTITUTE(Y968,".","-"),"/","-")),IFERROR(Y968*1,""))))</f>
        <v/>
      </c>
      <c r="N968">
        <f>IFERROR(LEFT(B968,FIND(" ",B968)-1),B968)</f>
        <v/>
      </c>
      <c r="O968">
        <f>AND(B968&lt;&gt;"",B968&lt;&gt;설정!$B$4,C968&lt;&gt;설정!$B$5)</f>
        <v/>
      </c>
      <c r="P968">
        <f>IF(O968,B968&amp;"|"&amp;C968,"")</f>
        <v/>
      </c>
      <c r="Q968">
        <f>AND(O968,COUNTIF(P969:P$1002,P968)=0)</f>
        <v/>
      </c>
      <c r="R968">
        <f>OR(AND(설정!$A$42&lt;&gt;"",ISNUMBER(SEARCH(설정!$A$42,E968&amp;" "&amp;C968))),AND(설정!$A$43&lt;&gt;"",ISNUMBER(SEARCH(설정!$A$43,E968&amp;" "&amp;C968))),AND(설정!$A$44&lt;&gt;"",ISNUMBER(SEARCH(설정!$A$44,E968&amp;" "&amp;C968))),AND(설정!$A$45&lt;&gt;"",ISNUMBER(SEARCH(설정!$A$45,E968&amp;" "&amp;C968))),AND(설정!$A$46&lt;&gt;"",ISNUMBER(SEARCH(설정!$A$46,E968&amp;" "&amp;C968))),AND(설정!$A$47&lt;&gt;"",ISNUMBER(SEARCH(설정!$A$47,E968&amp;" "&amp;C968))),AND(설정!$A$48&lt;&gt;"",ISNUMBER(SEARCH(설정!$A$48,E968&amp;" "&amp;C968))),AND(설정!$A$49&lt;&gt;"",ISNUMBER(SEARCH(설정!$A$49,E968&amp;" "&amp;C968))),AND(설정!$A$50&lt;&gt;"",ISNUMBER(SEARCH(설정!$A$50,E968&amp;" "&amp;C968))),AND(설정!$A$51&lt;&gt;"",ISNUMBER(SEARCH(설정!$A$51,E968&amp;" "&amp;C968))))</f>
        <v/>
      </c>
      <c r="S968">
        <f>OR(D968="",D968&gt;=설정!$B$19)</f>
        <v/>
      </c>
      <c r="T968">
        <f>AND(Q968,R968,S968)</f>
        <v/>
      </c>
      <c r="U968">
        <f>IF(T968,IF(AND(설정!$A$54&lt;&gt;"",ISNUMBER(SEARCH(설정!$A$54,K968))),설정!$B$54,IF(AND(설정!$A$55&lt;&gt;"",ISNUMBER(SEARCH(설정!$A$55,K968))),설정!$B$55,IF(AND(설정!$A$56&lt;&gt;"",ISNUMBER(SEARCH(설정!$A$56,K968))),설정!$B$56,IF(AND(설정!$A$57&lt;&gt;"",ISNUMBER(SEARCH(설정!$A$57,K968))),설정!$B$57,IF(AND(설정!$A$58&lt;&gt;"",ISNUMBER(SEARCH(설정!$A$58,K968))),설정!$B$58,IF(AND(설정!$A$59&lt;&gt;"",ISNUMBER(SEARCH(설정!$A$59,K968))),설정!$B$59,IF(AND(설정!$A$60&lt;&gt;"",ISNUMBER(SEARCH(설정!$A$60,K968))),설정!$B$60,IF(AND(설정!$A$61&lt;&gt;"",ISNUMBER(SEARCH(설정!$A$61,K968))),설정!$B$61,IF(M968="","설계사","시공사"))))))))),"")</f>
        <v/>
      </c>
      <c r="V968">
        <f>SUBSTITUTE(SUBSTITUTE(SUBSTITUTE(SUBSTITUTE(G968,"(주)",""),"㈜",""),"주식회사","")," ","")</f>
        <v/>
      </c>
      <c r="W968">
        <f>IF(AND(T968,V968&lt;&gt;""),IF(COUNTIFS(V$2:V968,V968,T$2:T968,TRUE)=1,MAX(W$1:W967)+1,""),"")</f>
        <v/>
      </c>
      <c r="X968">
        <f>IF(설정!$C$14="","",IFERROR(INDEX('1.산군_붙여넣기'!$A$1:$AZ$1001,ROW(),설정!$C$14)&amp;"",""))</f>
        <v/>
      </c>
      <c r="Y968">
        <f>IF(설정!$C$15="","",IFERROR(INDEX('1.산군_붙여넣기'!$A$1:$AZ$1001,ROW(),설정!$C$15)&amp;"",""))</f>
        <v/>
      </c>
      <c r="Z968">
        <f>IF(T968,V968&amp;"|"&amp;U968,"")</f>
        <v/>
      </c>
      <c r="AA968">
        <f>IF(NOT(Q968),"",IF(NOT(AND(R968,S968)),"✕",IF(OR(OR(AND(L968&lt;&gt;"",M968&lt;&gt;"",N(M968)-N(L968)&gt;설정!$B$27),AND(L968&lt;&gt;"",M968="",설정!$B$24-N(L968)&gt;설정!$B$27)),AND(D968&lt;&gt;"",D968&lt;설정!$B$26)),"△","★")))</f>
        <v/>
      </c>
      <c r="AB968">
        <f>IF(NOT(T968),"",IF(U968="설계사",설정!$B$31,IF(U968="시공사",IF(OR(M968="",설정!$B$24-N(M968)&lt;=설정!$B$28*30.4),설정!$B$32,설정!$B$33),설정!$B$34))+IF(AA968="★",설정!$B$35,0))</f>
        <v/>
      </c>
      <c r="AC968">
        <f>SUBSTITUTE(SUBSTITUTE(SUBSTITUTE(SUBSTITUTE(H968,"(주)",""),"㈜",""),"주식회사","")," ","")</f>
        <v/>
      </c>
      <c r="AD968">
        <f>IF(AND(T968,AC968&lt;&gt;""),IF(COUNTIFS(AC$2:AC968,AC968,T$2:T968,TRUE)=1,MAX(AD$1:AD967)+1,""),"")</f>
        <v/>
      </c>
    </row>
    <row r="969">
      <c r="A969">
        <f>ROW()</f>
        <v/>
      </c>
      <c r="B969">
        <f>IF(설정!$C$4="","",IFERROR(INDEX('1.산군_붙여넣기'!$A$1:$AZ$1001,ROW(),설정!$C$4)&amp;"",""))</f>
        <v/>
      </c>
      <c r="C969">
        <f>IF(설정!$C$5="","",IFERROR(INDEX('1.산군_붙여넣기'!$A$1:$AZ$1001,ROW(),설정!$C$5)&amp;"",""))</f>
        <v/>
      </c>
      <c r="D969" s="5">
        <f>IFERROR(VALUE(SUBSTITUTE(SUBSTITUTE(SUBSTITUTE(IF(설정!$C$6="","",IFERROR(INDEX('1.산군_붙여넣기'!$A$1:$AZ$1001,ROW(),설정!$C$6)&amp;"","")),",",""),"㎡",""),"m2","")),"")</f>
        <v/>
      </c>
      <c r="E969">
        <f>IF(설정!$C$7="","",IFERROR(INDEX('1.산군_붙여넣기'!$A$1:$AZ$1001,ROW(),설정!$C$7)&amp;"",""))</f>
        <v/>
      </c>
      <c r="F969">
        <f>IF(설정!$C$8="","",IFERROR(INDEX('1.산군_붙여넣기'!$A$1:$AZ$1001,ROW(),설정!$C$8)&amp;"",""))</f>
        <v/>
      </c>
      <c r="G969">
        <f>IF(설정!$C$9="","",IFERROR(INDEX('1.산군_붙여넣기'!$A$1:$AZ$1001,ROW(),설정!$C$9)&amp;"",""))</f>
        <v/>
      </c>
      <c r="H969">
        <f>IF(설정!$C$10="","",IFERROR(INDEX('1.산군_붙여넣기'!$A$1:$AZ$1001,ROW(),설정!$C$10)&amp;"",""))</f>
        <v/>
      </c>
      <c r="I969">
        <f>IF(설정!$C$11="","",IFERROR(INDEX('1.산군_붙여넣기'!$A$1:$AZ$1001,ROW(),설정!$C$11)&amp;"",""))</f>
        <v/>
      </c>
      <c r="J969">
        <f>IF(설정!$C$12="","",IFERROR(INDEX('1.산군_붙여넣기'!$A$1:$AZ$1001,ROW(),설정!$C$12)&amp;"",""))</f>
        <v/>
      </c>
      <c r="K969">
        <f>IF(설정!$C$13="","",IFERROR(INDEX('1.산군_붙여넣기'!$A$1:$AZ$1001,ROW(),설정!$C$13)&amp;"",""))</f>
        <v/>
      </c>
      <c r="L969" s="7">
        <f>IF(X969="","",IF(AND(LEN(X969)=8,ISNUMBER(X969*1)),DATE(LEFT(X969,4),MID(X969,5,2),RIGHT(X969,2)),IFERROR(DATEVALUE(SUBSTITUTE(SUBSTITUTE(X969,".","-"),"/","-")),IFERROR(X969*1,""))))</f>
        <v/>
      </c>
      <c r="M969" s="7">
        <f>IF(Y969="","",IF(AND(LEN(Y969)=8,ISNUMBER(Y969*1)),DATE(LEFT(Y969,4),MID(Y969,5,2),RIGHT(Y969,2)),IFERROR(DATEVALUE(SUBSTITUTE(SUBSTITUTE(Y969,".","-"),"/","-")),IFERROR(Y969*1,""))))</f>
        <v/>
      </c>
      <c r="N969">
        <f>IFERROR(LEFT(B969,FIND(" ",B969)-1),B969)</f>
        <v/>
      </c>
      <c r="O969">
        <f>AND(B969&lt;&gt;"",B969&lt;&gt;설정!$B$4,C969&lt;&gt;설정!$B$5)</f>
        <v/>
      </c>
      <c r="P969">
        <f>IF(O969,B969&amp;"|"&amp;C969,"")</f>
        <v/>
      </c>
      <c r="Q969">
        <f>AND(O969,COUNTIF(P970:P$1002,P969)=0)</f>
        <v/>
      </c>
      <c r="R969">
        <f>OR(AND(설정!$A$42&lt;&gt;"",ISNUMBER(SEARCH(설정!$A$42,E969&amp;" "&amp;C969))),AND(설정!$A$43&lt;&gt;"",ISNUMBER(SEARCH(설정!$A$43,E969&amp;" "&amp;C969))),AND(설정!$A$44&lt;&gt;"",ISNUMBER(SEARCH(설정!$A$44,E969&amp;" "&amp;C969))),AND(설정!$A$45&lt;&gt;"",ISNUMBER(SEARCH(설정!$A$45,E969&amp;" "&amp;C969))),AND(설정!$A$46&lt;&gt;"",ISNUMBER(SEARCH(설정!$A$46,E969&amp;" "&amp;C969))),AND(설정!$A$47&lt;&gt;"",ISNUMBER(SEARCH(설정!$A$47,E969&amp;" "&amp;C969))),AND(설정!$A$48&lt;&gt;"",ISNUMBER(SEARCH(설정!$A$48,E969&amp;" "&amp;C969))),AND(설정!$A$49&lt;&gt;"",ISNUMBER(SEARCH(설정!$A$49,E969&amp;" "&amp;C969))),AND(설정!$A$50&lt;&gt;"",ISNUMBER(SEARCH(설정!$A$50,E969&amp;" "&amp;C969))),AND(설정!$A$51&lt;&gt;"",ISNUMBER(SEARCH(설정!$A$51,E969&amp;" "&amp;C969))))</f>
        <v/>
      </c>
      <c r="S969">
        <f>OR(D969="",D969&gt;=설정!$B$19)</f>
        <v/>
      </c>
      <c r="T969">
        <f>AND(Q969,R969,S969)</f>
        <v/>
      </c>
      <c r="U969">
        <f>IF(T969,IF(AND(설정!$A$54&lt;&gt;"",ISNUMBER(SEARCH(설정!$A$54,K969))),설정!$B$54,IF(AND(설정!$A$55&lt;&gt;"",ISNUMBER(SEARCH(설정!$A$55,K969))),설정!$B$55,IF(AND(설정!$A$56&lt;&gt;"",ISNUMBER(SEARCH(설정!$A$56,K969))),설정!$B$56,IF(AND(설정!$A$57&lt;&gt;"",ISNUMBER(SEARCH(설정!$A$57,K969))),설정!$B$57,IF(AND(설정!$A$58&lt;&gt;"",ISNUMBER(SEARCH(설정!$A$58,K969))),설정!$B$58,IF(AND(설정!$A$59&lt;&gt;"",ISNUMBER(SEARCH(설정!$A$59,K969))),설정!$B$59,IF(AND(설정!$A$60&lt;&gt;"",ISNUMBER(SEARCH(설정!$A$60,K969))),설정!$B$60,IF(AND(설정!$A$61&lt;&gt;"",ISNUMBER(SEARCH(설정!$A$61,K969))),설정!$B$61,IF(M969="","설계사","시공사"))))))))),"")</f>
        <v/>
      </c>
      <c r="V969">
        <f>SUBSTITUTE(SUBSTITUTE(SUBSTITUTE(SUBSTITUTE(G969,"(주)",""),"㈜",""),"주식회사","")," ","")</f>
        <v/>
      </c>
      <c r="W969">
        <f>IF(AND(T969,V969&lt;&gt;""),IF(COUNTIFS(V$2:V969,V969,T$2:T969,TRUE)=1,MAX(W$1:W968)+1,""),"")</f>
        <v/>
      </c>
      <c r="X969">
        <f>IF(설정!$C$14="","",IFERROR(INDEX('1.산군_붙여넣기'!$A$1:$AZ$1001,ROW(),설정!$C$14)&amp;"",""))</f>
        <v/>
      </c>
      <c r="Y969">
        <f>IF(설정!$C$15="","",IFERROR(INDEX('1.산군_붙여넣기'!$A$1:$AZ$1001,ROW(),설정!$C$15)&amp;"",""))</f>
        <v/>
      </c>
      <c r="Z969">
        <f>IF(T969,V969&amp;"|"&amp;U969,"")</f>
        <v/>
      </c>
      <c r="AA969">
        <f>IF(NOT(Q969),"",IF(NOT(AND(R969,S969)),"✕",IF(OR(OR(AND(L969&lt;&gt;"",M969&lt;&gt;"",N(M969)-N(L969)&gt;설정!$B$27),AND(L969&lt;&gt;"",M969="",설정!$B$24-N(L969)&gt;설정!$B$27)),AND(D969&lt;&gt;"",D969&lt;설정!$B$26)),"△","★")))</f>
        <v/>
      </c>
      <c r="AB969">
        <f>IF(NOT(T969),"",IF(U969="설계사",설정!$B$31,IF(U969="시공사",IF(OR(M969="",설정!$B$24-N(M969)&lt;=설정!$B$28*30.4),설정!$B$32,설정!$B$33),설정!$B$34))+IF(AA969="★",설정!$B$35,0))</f>
        <v/>
      </c>
      <c r="AC969">
        <f>SUBSTITUTE(SUBSTITUTE(SUBSTITUTE(SUBSTITUTE(H969,"(주)",""),"㈜",""),"주식회사","")," ","")</f>
        <v/>
      </c>
      <c r="AD969">
        <f>IF(AND(T969,AC969&lt;&gt;""),IF(COUNTIFS(AC$2:AC969,AC969,T$2:T969,TRUE)=1,MAX(AD$1:AD968)+1,""),"")</f>
        <v/>
      </c>
    </row>
    <row r="970">
      <c r="A970">
        <f>ROW()</f>
        <v/>
      </c>
      <c r="B970">
        <f>IF(설정!$C$4="","",IFERROR(INDEX('1.산군_붙여넣기'!$A$1:$AZ$1001,ROW(),설정!$C$4)&amp;"",""))</f>
        <v/>
      </c>
      <c r="C970">
        <f>IF(설정!$C$5="","",IFERROR(INDEX('1.산군_붙여넣기'!$A$1:$AZ$1001,ROW(),설정!$C$5)&amp;"",""))</f>
        <v/>
      </c>
      <c r="D970" s="5">
        <f>IFERROR(VALUE(SUBSTITUTE(SUBSTITUTE(SUBSTITUTE(IF(설정!$C$6="","",IFERROR(INDEX('1.산군_붙여넣기'!$A$1:$AZ$1001,ROW(),설정!$C$6)&amp;"","")),",",""),"㎡",""),"m2","")),"")</f>
        <v/>
      </c>
      <c r="E970">
        <f>IF(설정!$C$7="","",IFERROR(INDEX('1.산군_붙여넣기'!$A$1:$AZ$1001,ROW(),설정!$C$7)&amp;"",""))</f>
        <v/>
      </c>
      <c r="F970">
        <f>IF(설정!$C$8="","",IFERROR(INDEX('1.산군_붙여넣기'!$A$1:$AZ$1001,ROW(),설정!$C$8)&amp;"",""))</f>
        <v/>
      </c>
      <c r="G970">
        <f>IF(설정!$C$9="","",IFERROR(INDEX('1.산군_붙여넣기'!$A$1:$AZ$1001,ROW(),설정!$C$9)&amp;"",""))</f>
        <v/>
      </c>
      <c r="H970">
        <f>IF(설정!$C$10="","",IFERROR(INDEX('1.산군_붙여넣기'!$A$1:$AZ$1001,ROW(),설정!$C$10)&amp;"",""))</f>
        <v/>
      </c>
      <c r="I970">
        <f>IF(설정!$C$11="","",IFERROR(INDEX('1.산군_붙여넣기'!$A$1:$AZ$1001,ROW(),설정!$C$11)&amp;"",""))</f>
        <v/>
      </c>
      <c r="J970">
        <f>IF(설정!$C$12="","",IFERROR(INDEX('1.산군_붙여넣기'!$A$1:$AZ$1001,ROW(),설정!$C$12)&amp;"",""))</f>
        <v/>
      </c>
      <c r="K970">
        <f>IF(설정!$C$13="","",IFERROR(INDEX('1.산군_붙여넣기'!$A$1:$AZ$1001,ROW(),설정!$C$13)&amp;"",""))</f>
        <v/>
      </c>
      <c r="L970" s="7">
        <f>IF(X970="","",IF(AND(LEN(X970)=8,ISNUMBER(X970*1)),DATE(LEFT(X970,4),MID(X970,5,2),RIGHT(X970,2)),IFERROR(DATEVALUE(SUBSTITUTE(SUBSTITUTE(X970,".","-"),"/","-")),IFERROR(X970*1,""))))</f>
        <v/>
      </c>
      <c r="M970" s="7">
        <f>IF(Y970="","",IF(AND(LEN(Y970)=8,ISNUMBER(Y970*1)),DATE(LEFT(Y970,4),MID(Y970,5,2),RIGHT(Y970,2)),IFERROR(DATEVALUE(SUBSTITUTE(SUBSTITUTE(Y970,".","-"),"/","-")),IFERROR(Y970*1,""))))</f>
        <v/>
      </c>
      <c r="N970">
        <f>IFERROR(LEFT(B970,FIND(" ",B970)-1),B970)</f>
        <v/>
      </c>
      <c r="O970">
        <f>AND(B970&lt;&gt;"",B970&lt;&gt;설정!$B$4,C970&lt;&gt;설정!$B$5)</f>
        <v/>
      </c>
      <c r="P970">
        <f>IF(O970,B970&amp;"|"&amp;C970,"")</f>
        <v/>
      </c>
      <c r="Q970">
        <f>AND(O970,COUNTIF(P971:P$1002,P970)=0)</f>
        <v/>
      </c>
      <c r="R970">
        <f>OR(AND(설정!$A$42&lt;&gt;"",ISNUMBER(SEARCH(설정!$A$42,E970&amp;" "&amp;C970))),AND(설정!$A$43&lt;&gt;"",ISNUMBER(SEARCH(설정!$A$43,E970&amp;" "&amp;C970))),AND(설정!$A$44&lt;&gt;"",ISNUMBER(SEARCH(설정!$A$44,E970&amp;" "&amp;C970))),AND(설정!$A$45&lt;&gt;"",ISNUMBER(SEARCH(설정!$A$45,E970&amp;" "&amp;C970))),AND(설정!$A$46&lt;&gt;"",ISNUMBER(SEARCH(설정!$A$46,E970&amp;" "&amp;C970))),AND(설정!$A$47&lt;&gt;"",ISNUMBER(SEARCH(설정!$A$47,E970&amp;" "&amp;C970))),AND(설정!$A$48&lt;&gt;"",ISNUMBER(SEARCH(설정!$A$48,E970&amp;" "&amp;C970))),AND(설정!$A$49&lt;&gt;"",ISNUMBER(SEARCH(설정!$A$49,E970&amp;" "&amp;C970))),AND(설정!$A$50&lt;&gt;"",ISNUMBER(SEARCH(설정!$A$50,E970&amp;" "&amp;C970))),AND(설정!$A$51&lt;&gt;"",ISNUMBER(SEARCH(설정!$A$51,E970&amp;" "&amp;C970))))</f>
        <v/>
      </c>
      <c r="S970">
        <f>OR(D970="",D970&gt;=설정!$B$19)</f>
        <v/>
      </c>
      <c r="T970">
        <f>AND(Q970,R970,S970)</f>
        <v/>
      </c>
      <c r="U970">
        <f>IF(T970,IF(AND(설정!$A$54&lt;&gt;"",ISNUMBER(SEARCH(설정!$A$54,K970))),설정!$B$54,IF(AND(설정!$A$55&lt;&gt;"",ISNUMBER(SEARCH(설정!$A$55,K970))),설정!$B$55,IF(AND(설정!$A$56&lt;&gt;"",ISNUMBER(SEARCH(설정!$A$56,K970))),설정!$B$56,IF(AND(설정!$A$57&lt;&gt;"",ISNUMBER(SEARCH(설정!$A$57,K970))),설정!$B$57,IF(AND(설정!$A$58&lt;&gt;"",ISNUMBER(SEARCH(설정!$A$58,K970))),설정!$B$58,IF(AND(설정!$A$59&lt;&gt;"",ISNUMBER(SEARCH(설정!$A$59,K970))),설정!$B$59,IF(AND(설정!$A$60&lt;&gt;"",ISNUMBER(SEARCH(설정!$A$60,K970))),설정!$B$60,IF(AND(설정!$A$61&lt;&gt;"",ISNUMBER(SEARCH(설정!$A$61,K970))),설정!$B$61,IF(M970="","설계사","시공사"))))))))),"")</f>
        <v/>
      </c>
      <c r="V970">
        <f>SUBSTITUTE(SUBSTITUTE(SUBSTITUTE(SUBSTITUTE(G970,"(주)",""),"㈜",""),"주식회사","")," ","")</f>
        <v/>
      </c>
      <c r="W970">
        <f>IF(AND(T970,V970&lt;&gt;""),IF(COUNTIFS(V$2:V970,V970,T$2:T970,TRUE)=1,MAX(W$1:W969)+1,""),"")</f>
        <v/>
      </c>
      <c r="X970">
        <f>IF(설정!$C$14="","",IFERROR(INDEX('1.산군_붙여넣기'!$A$1:$AZ$1001,ROW(),설정!$C$14)&amp;"",""))</f>
        <v/>
      </c>
      <c r="Y970">
        <f>IF(설정!$C$15="","",IFERROR(INDEX('1.산군_붙여넣기'!$A$1:$AZ$1001,ROW(),설정!$C$15)&amp;"",""))</f>
        <v/>
      </c>
      <c r="Z970">
        <f>IF(T970,V970&amp;"|"&amp;U970,"")</f>
        <v/>
      </c>
      <c r="AA970">
        <f>IF(NOT(Q970),"",IF(NOT(AND(R970,S970)),"✕",IF(OR(OR(AND(L970&lt;&gt;"",M970&lt;&gt;"",N(M970)-N(L970)&gt;설정!$B$27),AND(L970&lt;&gt;"",M970="",설정!$B$24-N(L970)&gt;설정!$B$27)),AND(D970&lt;&gt;"",D970&lt;설정!$B$26)),"△","★")))</f>
        <v/>
      </c>
      <c r="AB970">
        <f>IF(NOT(T970),"",IF(U970="설계사",설정!$B$31,IF(U970="시공사",IF(OR(M970="",설정!$B$24-N(M970)&lt;=설정!$B$28*30.4),설정!$B$32,설정!$B$33),설정!$B$34))+IF(AA970="★",설정!$B$35,0))</f>
        <v/>
      </c>
      <c r="AC970">
        <f>SUBSTITUTE(SUBSTITUTE(SUBSTITUTE(SUBSTITUTE(H970,"(주)",""),"㈜",""),"주식회사","")," ","")</f>
        <v/>
      </c>
      <c r="AD970">
        <f>IF(AND(T970,AC970&lt;&gt;""),IF(COUNTIFS(AC$2:AC970,AC970,T$2:T970,TRUE)=1,MAX(AD$1:AD969)+1,""),"")</f>
        <v/>
      </c>
    </row>
    <row r="971">
      <c r="A971">
        <f>ROW()</f>
        <v/>
      </c>
      <c r="B971">
        <f>IF(설정!$C$4="","",IFERROR(INDEX('1.산군_붙여넣기'!$A$1:$AZ$1001,ROW(),설정!$C$4)&amp;"",""))</f>
        <v/>
      </c>
      <c r="C971">
        <f>IF(설정!$C$5="","",IFERROR(INDEX('1.산군_붙여넣기'!$A$1:$AZ$1001,ROW(),설정!$C$5)&amp;"",""))</f>
        <v/>
      </c>
      <c r="D971" s="5">
        <f>IFERROR(VALUE(SUBSTITUTE(SUBSTITUTE(SUBSTITUTE(IF(설정!$C$6="","",IFERROR(INDEX('1.산군_붙여넣기'!$A$1:$AZ$1001,ROW(),설정!$C$6)&amp;"","")),",",""),"㎡",""),"m2","")),"")</f>
        <v/>
      </c>
      <c r="E971">
        <f>IF(설정!$C$7="","",IFERROR(INDEX('1.산군_붙여넣기'!$A$1:$AZ$1001,ROW(),설정!$C$7)&amp;"",""))</f>
        <v/>
      </c>
      <c r="F971">
        <f>IF(설정!$C$8="","",IFERROR(INDEX('1.산군_붙여넣기'!$A$1:$AZ$1001,ROW(),설정!$C$8)&amp;"",""))</f>
        <v/>
      </c>
      <c r="G971">
        <f>IF(설정!$C$9="","",IFERROR(INDEX('1.산군_붙여넣기'!$A$1:$AZ$1001,ROW(),설정!$C$9)&amp;"",""))</f>
        <v/>
      </c>
      <c r="H971">
        <f>IF(설정!$C$10="","",IFERROR(INDEX('1.산군_붙여넣기'!$A$1:$AZ$1001,ROW(),설정!$C$10)&amp;"",""))</f>
        <v/>
      </c>
      <c r="I971">
        <f>IF(설정!$C$11="","",IFERROR(INDEX('1.산군_붙여넣기'!$A$1:$AZ$1001,ROW(),설정!$C$11)&amp;"",""))</f>
        <v/>
      </c>
      <c r="J971">
        <f>IF(설정!$C$12="","",IFERROR(INDEX('1.산군_붙여넣기'!$A$1:$AZ$1001,ROW(),설정!$C$12)&amp;"",""))</f>
        <v/>
      </c>
      <c r="K971">
        <f>IF(설정!$C$13="","",IFERROR(INDEX('1.산군_붙여넣기'!$A$1:$AZ$1001,ROW(),설정!$C$13)&amp;"",""))</f>
        <v/>
      </c>
      <c r="L971" s="7">
        <f>IF(X971="","",IF(AND(LEN(X971)=8,ISNUMBER(X971*1)),DATE(LEFT(X971,4),MID(X971,5,2),RIGHT(X971,2)),IFERROR(DATEVALUE(SUBSTITUTE(SUBSTITUTE(X971,".","-"),"/","-")),IFERROR(X971*1,""))))</f>
        <v/>
      </c>
      <c r="M971" s="7">
        <f>IF(Y971="","",IF(AND(LEN(Y971)=8,ISNUMBER(Y971*1)),DATE(LEFT(Y971,4),MID(Y971,5,2),RIGHT(Y971,2)),IFERROR(DATEVALUE(SUBSTITUTE(SUBSTITUTE(Y971,".","-"),"/","-")),IFERROR(Y971*1,""))))</f>
        <v/>
      </c>
      <c r="N971">
        <f>IFERROR(LEFT(B971,FIND(" ",B971)-1),B971)</f>
        <v/>
      </c>
      <c r="O971">
        <f>AND(B971&lt;&gt;"",B971&lt;&gt;설정!$B$4,C971&lt;&gt;설정!$B$5)</f>
        <v/>
      </c>
      <c r="P971">
        <f>IF(O971,B971&amp;"|"&amp;C971,"")</f>
        <v/>
      </c>
      <c r="Q971">
        <f>AND(O971,COUNTIF(P972:P$1002,P971)=0)</f>
        <v/>
      </c>
      <c r="R971">
        <f>OR(AND(설정!$A$42&lt;&gt;"",ISNUMBER(SEARCH(설정!$A$42,E971&amp;" "&amp;C971))),AND(설정!$A$43&lt;&gt;"",ISNUMBER(SEARCH(설정!$A$43,E971&amp;" "&amp;C971))),AND(설정!$A$44&lt;&gt;"",ISNUMBER(SEARCH(설정!$A$44,E971&amp;" "&amp;C971))),AND(설정!$A$45&lt;&gt;"",ISNUMBER(SEARCH(설정!$A$45,E971&amp;" "&amp;C971))),AND(설정!$A$46&lt;&gt;"",ISNUMBER(SEARCH(설정!$A$46,E971&amp;" "&amp;C971))),AND(설정!$A$47&lt;&gt;"",ISNUMBER(SEARCH(설정!$A$47,E971&amp;" "&amp;C971))),AND(설정!$A$48&lt;&gt;"",ISNUMBER(SEARCH(설정!$A$48,E971&amp;" "&amp;C971))),AND(설정!$A$49&lt;&gt;"",ISNUMBER(SEARCH(설정!$A$49,E971&amp;" "&amp;C971))),AND(설정!$A$50&lt;&gt;"",ISNUMBER(SEARCH(설정!$A$50,E971&amp;" "&amp;C971))),AND(설정!$A$51&lt;&gt;"",ISNUMBER(SEARCH(설정!$A$51,E971&amp;" "&amp;C971))))</f>
        <v/>
      </c>
      <c r="S971">
        <f>OR(D971="",D971&gt;=설정!$B$19)</f>
        <v/>
      </c>
      <c r="T971">
        <f>AND(Q971,R971,S971)</f>
        <v/>
      </c>
      <c r="U971">
        <f>IF(T971,IF(AND(설정!$A$54&lt;&gt;"",ISNUMBER(SEARCH(설정!$A$54,K971))),설정!$B$54,IF(AND(설정!$A$55&lt;&gt;"",ISNUMBER(SEARCH(설정!$A$55,K971))),설정!$B$55,IF(AND(설정!$A$56&lt;&gt;"",ISNUMBER(SEARCH(설정!$A$56,K971))),설정!$B$56,IF(AND(설정!$A$57&lt;&gt;"",ISNUMBER(SEARCH(설정!$A$57,K971))),설정!$B$57,IF(AND(설정!$A$58&lt;&gt;"",ISNUMBER(SEARCH(설정!$A$58,K971))),설정!$B$58,IF(AND(설정!$A$59&lt;&gt;"",ISNUMBER(SEARCH(설정!$A$59,K971))),설정!$B$59,IF(AND(설정!$A$60&lt;&gt;"",ISNUMBER(SEARCH(설정!$A$60,K971))),설정!$B$60,IF(AND(설정!$A$61&lt;&gt;"",ISNUMBER(SEARCH(설정!$A$61,K971))),설정!$B$61,IF(M971="","설계사","시공사"))))))))),"")</f>
        <v/>
      </c>
      <c r="V971">
        <f>SUBSTITUTE(SUBSTITUTE(SUBSTITUTE(SUBSTITUTE(G971,"(주)",""),"㈜",""),"주식회사","")," ","")</f>
        <v/>
      </c>
      <c r="W971">
        <f>IF(AND(T971,V971&lt;&gt;""),IF(COUNTIFS(V$2:V971,V971,T$2:T971,TRUE)=1,MAX(W$1:W970)+1,""),"")</f>
        <v/>
      </c>
      <c r="X971">
        <f>IF(설정!$C$14="","",IFERROR(INDEX('1.산군_붙여넣기'!$A$1:$AZ$1001,ROW(),설정!$C$14)&amp;"",""))</f>
        <v/>
      </c>
      <c r="Y971">
        <f>IF(설정!$C$15="","",IFERROR(INDEX('1.산군_붙여넣기'!$A$1:$AZ$1001,ROW(),설정!$C$15)&amp;"",""))</f>
        <v/>
      </c>
      <c r="Z971">
        <f>IF(T971,V971&amp;"|"&amp;U971,"")</f>
        <v/>
      </c>
      <c r="AA971">
        <f>IF(NOT(Q971),"",IF(NOT(AND(R971,S971)),"✕",IF(OR(OR(AND(L971&lt;&gt;"",M971&lt;&gt;"",N(M971)-N(L971)&gt;설정!$B$27),AND(L971&lt;&gt;"",M971="",설정!$B$24-N(L971)&gt;설정!$B$27)),AND(D971&lt;&gt;"",D971&lt;설정!$B$26)),"△","★")))</f>
        <v/>
      </c>
      <c r="AB971">
        <f>IF(NOT(T971),"",IF(U971="설계사",설정!$B$31,IF(U971="시공사",IF(OR(M971="",설정!$B$24-N(M971)&lt;=설정!$B$28*30.4),설정!$B$32,설정!$B$33),설정!$B$34))+IF(AA971="★",설정!$B$35,0))</f>
        <v/>
      </c>
      <c r="AC971">
        <f>SUBSTITUTE(SUBSTITUTE(SUBSTITUTE(SUBSTITUTE(H971,"(주)",""),"㈜",""),"주식회사","")," ","")</f>
        <v/>
      </c>
      <c r="AD971">
        <f>IF(AND(T971,AC971&lt;&gt;""),IF(COUNTIFS(AC$2:AC971,AC971,T$2:T971,TRUE)=1,MAX(AD$1:AD970)+1,""),"")</f>
        <v/>
      </c>
    </row>
    <row r="972">
      <c r="A972">
        <f>ROW()</f>
        <v/>
      </c>
      <c r="B972">
        <f>IF(설정!$C$4="","",IFERROR(INDEX('1.산군_붙여넣기'!$A$1:$AZ$1001,ROW(),설정!$C$4)&amp;"",""))</f>
        <v/>
      </c>
      <c r="C972">
        <f>IF(설정!$C$5="","",IFERROR(INDEX('1.산군_붙여넣기'!$A$1:$AZ$1001,ROW(),설정!$C$5)&amp;"",""))</f>
        <v/>
      </c>
      <c r="D972" s="5">
        <f>IFERROR(VALUE(SUBSTITUTE(SUBSTITUTE(SUBSTITUTE(IF(설정!$C$6="","",IFERROR(INDEX('1.산군_붙여넣기'!$A$1:$AZ$1001,ROW(),설정!$C$6)&amp;"","")),",",""),"㎡",""),"m2","")),"")</f>
        <v/>
      </c>
      <c r="E972">
        <f>IF(설정!$C$7="","",IFERROR(INDEX('1.산군_붙여넣기'!$A$1:$AZ$1001,ROW(),설정!$C$7)&amp;"",""))</f>
        <v/>
      </c>
      <c r="F972">
        <f>IF(설정!$C$8="","",IFERROR(INDEX('1.산군_붙여넣기'!$A$1:$AZ$1001,ROW(),설정!$C$8)&amp;"",""))</f>
        <v/>
      </c>
      <c r="G972">
        <f>IF(설정!$C$9="","",IFERROR(INDEX('1.산군_붙여넣기'!$A$1:$AZ$1001,ROW(),설정!$C$9)&amp;"",""))</f>
        <v/>
      </c>
      <c r="H972">
        <f>IF(설정!$C$10="","",IFERROR(INDEX('1.산군_붙여넣기'!$A$1:$AZ$1001,ROW(),설정!$C$10)&amp;"",""))</f>
        <v/>
      </c>
      <c r="I972">
        <f>IF(설정!$C$11="","",IFERROR(INDEX('1.산군_붙여넣기'!$A$1:$AZ$1001,ROW(),설정!$C$11)&amp;"",""))</f>
        <v/>
      </c>
      <c r="J972">
        <f>IF(설정!$C$12="","",IFERROR(INDEX('1.산군_붙여넣기'!$A$1:$AZ$1001,ROW(),설정!$C$12)&amp;"",""))</f>
        <v/>
      </c>
      <c r="K972">
        <f>IF(설정!$C$13="","",IFERROR(INDEX('1.산군_붙여넣기'!$A$1:$AZ$1001,ROW(),설정!$C$13)&amp;"",""))</f>
        <v/>
      </c>
      <c r="L972" s="7">
        <f>IF(X972="","",IF(AND(LEN(X972)=8,ISNUMBER(X972*1)),DATE(LEFT(X972,4),MID(X972,5,2),RIGHT(X972,2)),IFERROR(DATEVALUE(SUBSTITUTE(SUBSTITUTE(X972,".","-"),"/","-")),IFERROR(X972*1,""))))</f>
        <v/>
      </c>
      <c r="M972" s="7">
        <f>IF(Y972="","",IF(AND(LEN(Y972)=8,ISNUMBER(Y972*1)),DATE(LEFT(Y972,4),MID(Y972,5,2),RIGHT(Y972,2)),IFERROR(DATEVALUE(SUBSTITUTE(SUBSTITUTE(Y972,".","-"),"/","-")),IFERROR(Y972*1,""))))</f>
        <v/>
      </c>
      <c r="N972">
        <f>IFERROR(LEFT(B972,FIND(" ",B972)-1),B972)</f>
        <v/>
      </c>
      <c r="O972">
        <f>AND(B972&lt;&gt;"",B972&lt;&gt;설정!$B$4,C972&lt;&gt;설정!$B$5)</f>
        <v/>
      </c>
      <c r="P972">
        <f>IF(O972,B972&amp;"|"&amp;C972,"")</f>
        <v/>
      </c>
      <c r="Q972">
        <f>AND(O972,COUNTIF(P973:P$1002,P972)=0)</f>
        <v/>
      </c>
      <c r="R972">
        <f>OR(AND(설정!$A$42&lt;&gt;"",ISNUMBER(SEARCH(설정!$A$42,E972&amp;" "&amp;C972))),AND(설정!$A$43&lt;&gt;"",ISNUMBER(SEARCH(설정!$A$43,E972&amp;" "&amp;C972))),AND(설정!$A$44&lt;&gt;"",ISNUMBER(SEARCH(설정!$A$44,E972&amp;" "&amp;C972))),AND(설정!$A$45&lt;&gt;"",ISNUMBER(SEARCH(설정!$A$45,E972&amp;" "&amp;C972))),AND(설정!$A$46&lt;&gt;"",ISNUMBER(SEARCH(설정!$A$46,E972&amp;" "&amp;C972))),AND(설정!$A$47&lt;&gt;"",ISNUMBER(SEARCH(설정!$A$47,E972&amp;" "&amp;C972))),AND(설정!$A$48&lt;&gt;"",ISNUMBER(SEARCH(설정!$A$48,E972&amp;" "&amp;C972))),AND(설정!$A$49&lt;&gt;"",ISNUMBER(SEARCH(설정!$A$49,E972&amp;" "&amp;C972))),AND(설정!$A$50&lt;&gt;"",ISNUMBER(SEARCH(설정!$A$50,E972&amp;" "&amp;C972))),AND(설정!$A$51&lt;&gt;"",ISNUMBER(SEARCH(설정!$A$51,E972&amp;" "&amp;C972))))</f>
        <v/>
      </c>
      <c r="S972">
        <f>OR(D972="",D972&gt;=설정!$B$19)</f>
        <v/>
      </c>
      <c r="T972">
        <f>AND(Q972,R972,S972)</f>
        <v/>
      </c>
      <c r="U972">
        <f>IF(T972,IF(AND(설정!$A$54&lt;&gt;"",ISNUMBER(SEARCH(설정!$A$54,K972))),설정!$B$54,IF(AND(설정!$A$55&lt;&gt;"",ISNUMBER(SEARCH(설정!$A$55,K972))),설정!$B$55,IF(AND(설정!$A$56&lt;&gt;"",ISNUMBER(SEARCH(설정!$A$56,K972))),설정!$B$56,IF(AND(설정!$A$57&lt;&gt;"",ISNUMBER(SEARCH(설정!$A$57,K972))),설정!$B$57,IF(AND(설정!$A$58&lt;&gt;"",ISNUMBER(SEARCH(설정!$A$58,K972))),설정!$B$58,IF(AND(설정!$A$59&lt;&gt;"",ISNUMBER(SEARCH(설정!$A$59,K972))),설정!$B$59,IF(AND(설정!$A$60&lt;&gt;"",ISNUMBER(SEARCH(설정!$A$60,K972))),설정!$B$60,IF(AND(설정!$A$61&lt;&gt;"",ISNUMBER(SEARCH(설정!$A$61,K972))),설정!$B$61,IF(M972="","설계사","시공사"))))))))),"")</f>
        <v/>
      </c>
      <c r="V972">
        <f>SUBSTITUTE(SUBSTITUTE(SUBSTITUTE(SUBSTITUTE(G972,"(주)",""),"㈜",""),"주식회사","")," ","")</f>
        <v/>
      </c>
      <c r="W972">
        <f>IF(AND(T972,V972&lt;&gt;""),IF(COUNTIFS(V$2:V972,V972,T$2:T972,TRUE)=1,MAX(W$1:W971)+1,""),"")</f>
        <v/>
      </c>
      <c r="X972">
        <f>IF(설정!$C$14="","",IFERROR(INDEX('1.산군_붙여넣기'!$A$1:$AZ$1001,ROW(),설정!$C$14)&amp;"",""))</f>
        <v/>
      </c>
      <c r="Y972">
        <f>IF(설정!$C$15="","",IFERROR(INDEX('1.산군_붙여넣기'!$A$1:$AZ$1001,ROW(),설정!$C$15)&amp;"",""))</f>
        <v/>
      </c>
      <c r="Z972">
        <f>IF(T972,V972&amp;"|"&amp;U972,"")</f>
        <v/>
      </c>
      <c r="AA972">
        <f>IF(NOT(Q972),"",IF(NOT(AND(R972,S972)),"✕",IF(OR(OR(AND(L972&lt;&gt;"",M972&lt;&gt;"",N(M972)-N(L972)&gt;설정!$B$27),AND(L972&lt;&gt;"",M972="",설정!$B$24-N(L972)&gt;설정!$B$27)),AND(D972&lt;&gt;"",D972&lt;설정!$B$26)),"△","★")))</f>
        <v/>
      </c>
      <c r="AB972">
        <f>IF(NOT(T972),"",IF(U972="설계사",설정!$B$31,IF(U972="시공사",IF(OR(M972="",설정!$B$24-N(M972)&lt;=설정!$B$28*30.4),설정!$B$32,설정!$B$33),설정!$B$34))+IF(AA972="★",설정!$B$35,0))</f>
        <v/>
      </c>
      <c r="AC972">
        <f>SUBSTITUTE(SUBSTITUTE(SUBSTITUTE(SUBSTITUTE(H972,"(주)",""),"㈜",""),"주식회사","")," ","")</f>
        <v/>
      </c>
      <c r="AD972">
        <f>IF(AND(T972,AC972&lt;&gt;""),IF(COUNTIFS(AC$2:AC972,AC972,T$2:T972,TRUE)=1,MAX(AD$1:AD971)+1,""),"")</f>
        <v/>
      </c>
    </row>
    <row r="973">
      <c r="A973">
        <f>ROW()</f>
        <v/>
      </c>
      <c r="B973">
        <f>IF(설정!$C$4="","",IFERROR(INDEX('1.산군_붙여넣기'!$A$1:$AZ$1001,ROW(),설정!$C$4)&amp;"",""))</f>
        <v/>
      </c>
      <c r="C973">
        <f>IF(설정!$C$5="","",IFERROR(INDEX('1.산군_붙여넣기'!$A$1:$AZ$1001,ROW(),설정!$C$5)&amp;"",""))</f>
        <v/>
      </c>
      <c r="D973" s="5">
        <f>IFERROR(VALUE(SUBSTITUTE(SUBSTITUTE(SUBSTITUTE(IF(설정!$C$6="","",IFERROR(INDEX('1.산군_붙여넣기'!$A$1:$AZ$1001,ROW(),설정!$C$6)&amp;"","")),",",""),"㎡",""),"m2","")),"")</f>
        <v/>
      </c>
      <c r="E973">
        <f>IF(설정!$C$7="","",IFERROR(INDEX('1.산군_붙여넣기'!$A$1:$AZ$1001,ROW(),설정!$C$7)&amp;"",""))</f>
        <v/>
      </c>
      <c r="F973">
        <f>IF(설정!$C$8="","",IFERROR(INDEX('1.산군_붙여넣기'!$A$1:$AZ$1001,ROW(),설정!$C$8)&amp;"",""))</f>
        <v/>
      </c>
      <c r="G973">
        <f>IF(설정!$C$9="","",IFERROR(INDEX('1.산군_붙여넣기'!$A$1:$AZ$1001,ROW(),설정!$C$9)&amp;"",""))</f>
        <v/>
      </c>
      <c r="H973">
        <f>IF(설정!$C$10="","",IFERROR(INDEX('1.산군_붙여넣기'!$A$1:$AZ$1001,ROW(),설정!$C$10)&amp;"",""))</f>
        <v/>
      </c>
      <c r="I973">
        <f>IF(설정!$C$11="","",IFERROR(INDEX('1.산군_붙여넣기'!$A$1:$AZ$1001,ROW(),설정!$C$11)&amp;"",""))</f>
        <v/>
      </c>
      <c r="J973">
        <f>IF(설정!$C$12="","",IFERROR(INDEX('1.산군_붙여넣기'!$A$1:$AZ$1001,ROW(),설정!$C$12)&amp;"",""))</f>
        <v/>
      </c>
      <c r="K973">
        <f>IF(설정!$C$13="","",IFERROR(INDEX('1.산군_붙여넣기'!$A$1:$AZ$1001,ROW(),설정!$C$13)&amp;"",""))</f>
        <v/>
      </c>
      <c r="L973" s="7">
        <f>IF(X973="","",IF(AND(LEN(X973)=8,ISNUMBER(X973*1)),DATE(LEFT(X973,4),MID(X973,5,2),RIGHT(X973,2)),IFERROR(DATEVALUE(SUBSTITUTE(SUBSTITUTE(X973,".","-"),"/","-")),IFERROR(X973*1,""))))</f>
        <v/>
      </c>
      <c r="M973" s="7">
        <f>IF(Y973="","",IF(AND(LEN(Y973)=8,ISNUMBER(Y973*1)),DATE(LEFT(Y973,4),MID(Y973,5,2),RIGHT(Y973,2)),IFERROR(DATEVALUE(SUBSTITUTE(SUBSTITUTE(Y973,".","-"),"/","-")),IFERROR(Y973*1,""))))</f>
        <v/>
      </c>
      <c r="N973">
        <f>IFERROR(LEFT(B973,FIND(" ",B973)-1),B973)</f>
        <v/>
      </c>
      <c r="O973">
        <f>AND(B973&lt;&gt;"",B973&lt;&gt;설정!$B$4,C973&lt;&gt;설정!$B$5)</f>
        <v/>
      </c>
      <c r="P973">
        <f>IF(O973,B973&amp;"|"&amp;C973,"")</f>
        <v/>
      </c>
      <c r="Q973">
        <f>AND(O973,COUNTIF(P974:P$1002,P973)=0)</f>
        <v/>
      </c>
      <c r="R973">
        <f>OR(AND(설정!$A$42&lt;&gt;"",ISNUMBER(SEARCH(설정!$A$42,E973&amp;" "&amp;C973))),AND(설정!$A$43&lt;&gt;"",ISNUMBER(SEARCH(설정!$A$43,E973&amp;" "&amp;C973))),AND(설정!$A$44&lt;&gt;"",ISNUMBER(SEARCH(설정!$A$44,E973&amp;" "&amp;C973))),AND(설정!$A$45&lt;&gt;"",ISNUMBER(SEARCH(설정!$A$45,E973&amp;" "&amp;C973))),AND(설정!$A$46&lt;&gt;"",ISNUMBER(SEARCH(설정!$A$46,E973&amp;" "&amp;C973))),AND(설정!$A$47&lt;&gt;"",ISNUMBER(SEARCH(설정!$A$47,E973&amp;" "&amp;C973))),AND(설정!$A$48&lt;&gt;"",ISNUMBER(SEARCH(설정!$A$48,E973&amp;" "&amp;C973))),AND(설정!$A$49&lt;&gt;"",ISNUMBER(SEARCH(설정!$A$49,E973&amp;" "&amp;C973))),AND(설정!$A$50&lt;&gt;"",ISNUMBER(SEARCH(설정!$A$50,E973&amp;" "&amp;C973))),AND(설정!$A$51&lt;&gt;"",ISNUMBER(SEARCH(설정!$A$51,E973&amp;" "&amp;C973))))</f>
        <v/>
      </c>
      <c r="S973">
        <f>OR(D973="",D973&gt;=설정!$B$19)</f>
        <v/>
      </c>
      <c r="T973">
        <f>AND(Q973,R973,S973)</f>
        <v/>
      </c>
      <c r="U973">
        <f>IF(T973,IF(AND(설정!$A$54&lt;&gt;"",ISNUMBER(SEARCH(설정!$A$54,K973))),설정!$B$54,IF(AND(설정!$A$55&lt;&gt;"",ISNUMBER(SEARCH(설정!$A$55,K973))),설정!$B$55,IF(AND(설정!$A$56&lt;&gt;"",ISNUMBER(SEARCH(설정!$A$56,K973))),설정!$B$56,IF(AND(설정!$A$57&lt;&gt;"",ISNUMBER(SEARCH(설정!$A$57,K973))),설정!$B$57,IF(AND(설정!$A$58&lt;&gt;"",ISNUMBER(SEARCH(설정!$A$58,K973))),설정!$B$58,IF(AND(설정!$A$59&lt;&gt;"",ISNUMBER(SEARCH(설정!$A$59,K973))),설정!$B$59,IF(AND(설정!$A$60&lt;&gt;"",ISNUMBER(SEARCH(설정!$A$60,K973))),설정!$B$60,IF(AND(설정!$A$61&lt;&gt;"",ISNUMBER(SEARCH(설정!$A$61,K973))),설정!$B$61,IF(M973="","설계사","시공사"))))))))),"")</f>
        <v/>
      </c>
      <c r="V973">
        <f>SUBSTITUTE(SUBSTITUTE(SUBSTITUTE(SUBSTITUTE(G973,"(주)",""),"㈜",""),"주식회사","")," ","")</f>
        <v/>
      </c>
      <c r="W973">
        <f>IF(AND(T973,V973&lt;&gt;""),IF(COUNTIFS(V$2:V973,V973,T$2:T973,TRUE)=1,MAX(W$1:W972)+1,""),"")</f>
        <v/>
      </c>
      <c r="X973">
        <f>IF(설정!$C$14="","",IFERROR(INDEX('1.산군_붙여넣기'!$A$1:$AZ$1001,ROW(),설정!$C$14)&amp;"",""))</f>
        <v/>
      </c>
      <c r="Y973">
        <f>IF(설정!$C$15="","",IFERROR(INDEX('1.산군_붙여넣기'!$A$1:$AZ$1001,ROW(),설정!$C$15)&amp;"",""))</f>
        <v/>
      </c>
      <c r="Z973">
        <f>IF(T973,V973&amp;"|"&amp;U973,"")</f>
        <v/>
      </c>
      <c r="AA973">
        <f>IF(NOT(Q973),"",IF(NOT(AND(R973,S973)),"✕",IF(OR(OR(AND(L973&lt;&gt;"",M973&lt;&gt;"",N(M973)-N(L973)&gt;설정!$B$27),AND(L973&lt;&gt;"",M973="",설정!$B$24-N(L973)&gt;설정!$B$27)),AND(D973&lt;&gt;"",D973&lt;설정!$B$26)),"△","★")))</f>
        <v/>
      </c>
      <c r="AB973">
        <f>IF(NOT(T973),"",IF(U973="설계사",설정!$B$31,IF(U973="시공사",IF(OR(M973="",설정!$B$24-N(M973)&lt;=설정!$B$28*30.4),설정!$B$32,설정!$B$33),설정!$B$34))+IF(AA973="★",설정!$B$35,0))</f>
        <v/>
      </c>
      <c r="AC973">
        <f>SUBSTITUTE(SUBSTITUTE(SUBSTITUTE(SUBSTITUTE(H973,"(주)",""),"㈜",""),"주식회사","")," ","")</f>
        <v/>
      </c>
      <c r="AD973">
        <f>IF(AND(T973,AC973&lt;&gt;""),IF(COUNTIFS(AC$2:AC973,AC973,T$2:T973,TRUE)=1,MAX(AD$1:AD972)+1,""),"")</f>
        <v/>
      </c>
    </row>
    <row r="974">
      <c r="A974">
        <f>ROW()</f>
        <v/>
      </c>
      <c r="B974">
        <f>IF(설정!$C$4="","",IFERROR(INDEX('1.산군_붙여넣기'!$A$1:$AZ$1001,ROW(),설정!$C$4)&amp;"",""))</f>
        <v/>
      </c>
      <c r="C974">
        <f>IF(설정!$C$5="","",IFERROR(INDEX('1.산군_붙여넣기'!$A$1:$AZ$1001,ROW(),설정!$C$5)&amp;"",""))</f>
        <v/>
      </c>
      <c r="D974" s="5">
        <f>IFERROR(VALUE(SUBSTITUTE(SUBSTITUTE(SUBSTITUTE(IF(설정!$C$6="","",IFERROR(INDEX('1.산군_붙여넣기'!$A$1:$AZ$1001,ROW(),설정!$C$6)&amp;"","")),",",""),"㎡",""),"m2","")),"")</f>
        <v/>
      </c>
      <c r="E974">
        <f>IF(설정!$C$7="","",IFERROR(INDEX('1.산군_붙여넣기'!$A$1:$AZ$1001,ROW(),설정!$C$7)&amp;"",""))</f>
        <v/>
      </c>
      <c r="F974">
        <f>IF(설정!$C$8="","",IFERROR(INDEX('1.산군_붙여넣기'!$A$1:$AZ$1001,ROW(),설정!$C$8)&amp;"",""))</f>
        <v/>
      </c>
      <c r="G974">
        <f>IF(설정!$C$9="","",IFERROR(INDEX('1.산군_붙여넣기'!$A$1:$AZ$1001,ROW(),설정!$C$9)&amp;"",""))</f>
        <v/>
      </c>
      <c r="H974">
        <f>IF(설정!$C$10="","",IFERROR(INDEX('1.산군_붙여넣기'!$A$1:$AZ$1001,ROW(),설정!$C$10)&amp;"",""))</f>
        <v/>
      </c>
      <c r="I974">
        <f>IF(설정!$C$11="","",IFERROR(INDEX('1.산군_붙여넣기'!$A$1:$AZ$1001,ROW(),설정!$C$11)&amp;"",""))</f>
        <v/>
      </c>
      <c r="J974">
        <f>IF(설정!$C$12="","",IFERROR(INDEX('1.산군_붙여넣기'!$A$1:$AZ$1001,ROW(),설정!$C$12)&amp;"",""))</f>
        <v/>
      </c>
      <c r="K974">
        <f>IF(설정!$C$13="","",IFERROR(INDEX('1.산군_붙여넣기'!$A$1:$AZ$1001,ROW(),설정!$C$13)&amp;"",""))</f>
        <v/>
      </c>
      <c r="L974" s="7">
        <f>IF(X974="","",IF(AND(LEN(X974)=8,ISNUMBER(X974*1)),DATE(LEFT(X974,4),MID(X974,5,2),RIGHT(X974,2)),IFERROR(DATEVALUE(SUBSTITUTE(SUBSTITUTE(X974,".","-"),"/","-")),IFERROR(X974*1,""))))</f>
        <v/>
      </c>
      <c r="M974" s="7">
        <f>IF(Y974="","",IF(AND(LEN(Y974)=8,ISNUMBER(Y974*1)),DATE(LEFT(Y974,4),MID(Y974,5,2),RIGHT(Y974,2)),IFERROR(DATEVALUE(SUBSTITUTE(SUBSTITUTE(Y974,".","-"),"/","-")),IFERROR(Y974*1,""))))</f>
        <v/>
      </c>
      <c r="N974">
        <f>IFERROR(LEFT(B974,FIND(" ",B974)-1),B974)</f>
        <v/>
      </c>
      <c r="O974">
        <f>AND(B974&lt;&gt;"",B974&lt;&gt;설정!$B$4,C974&lt;&gt;설정!$B$5)</f>
        <v/>
      </c>
      <c r="P974">
        <f>IF(O974,B974&amp;"|"&amp;C974,"")</f>
        <v/>
      </c>
      <c r="Q974">
        <f>AND(O974,COUNTIF(P975:P$1002,P974)=0)</f>
        <v/>
      </c>
      <c r="R974">
        <f>OR(AND(설정!$A$42&lt;&gt;"",ISNUMBER(SEARCH(설정!$A$42,E974&amp;" "&amp;C974))),AND(설정!$A$43&lt;&gt;"",ISNUMBER(SEARCH(설정!$A$43,E974&amp;" "&amp;C974))),AND(설정!$A$44&lt;&gt;"",ISNUMBER(SEARCH(설정!$A$44,E974&amp;" "&amp;C974))),AND(설정!$A$45&lt;&gt;"",ISNUMBER(SEARCH(설정!$A$45,E974&amp;" "&amp;C974))),AND(설정!$A$46&lt;&gt;"",ISNUMBER(SEARCH(설정!$A$46,E974&amp;" "&amp;C974))),AND(설정!$A$47&lt;&gt;"",ISNUMBER(SEARCH(설정!$A$47,E974&amp;" "&amp;C974))),AND(설정!$A$48&lt;&gt;"",ISNUMBER(SEARCH(설정!$A$48,E974&amp;" "&amp;C974))),AND(설정!$A$49&lt;&gt;"",ISNUMBER(SEARCH(설정!$A$49,E974&amp;" "&amp;C974))),AND(설정!$A$50&lt;&gt;"",ISNUMBER(SEARCH(설정!$A$50,E974&amp;" "&amp;C974))),AND(설정!$A$51&lt;&gt;"",ISNUMBER(SEARCH(설정!$A$51,E974&amp;" "&amp;C974))))</f>
        <v/>
      </c>
      <c r="S974">
        <f>OR(D974="",D974&gt;=설정!$B$19)</f>
        <v/>
      </c>
      <c r="T974">
        <f>AND(Q974,R974,S974)</f>
        <v/>
      </c>
      <c r="U974">
        <f>IF(T974,IF(AND(설정!$A$54&lt;&gt;"",ISNUMBER(SEARCH(설정!$A$54,K974))),설정!$B$54,IF(AND(설정!$A$55&lt;&gt;"",ISNUMBER(SEARCH(설정!$A$55,K974))),설정!$B$55,IF(AND(설정!$A$56&lt;&gt;"",ISNUMBER(SEARCH(설정!$A$56,K974))),설정!$B$56,IF(AND(설정!$A$57&lt;&gt;"",ISNUMBER(SEARCH(설정!$A$57,K974))),설정!$B$57,IF(AND(설정!$A$58&lt;&gt;"",ISNUMBER(SEARCH(설정!$A$58,K974))),설정!$B$58,IF(AND(설정!$A$59&lt;&gt;"",ISNUMBER(SEARCH(설정!$A$59,K974))),설정!$B$59,IF(AND(설정!$A$60&lt;&gt;"",ISNUMBER(SEARCH(설정!$A$60,K974))),설정!$B$60,IF(AND(설정!$A$61&lt;&gt;"",ISNUMBER(SEARCH(설정!$A$61,K974))),설정!$B$61,IF(M974="","설계사","시공사"))))))))),"")</f>
        <v/>
      </c>
      <c r="V974">
        <f>SUBSTITUTE(SUBSTITUTE(SUBSTITUTE(SUBSTITUTE(G974,"(주)",""),"㈜",""),"주식회사","")," ","")</f>
        <v/>
      </c>
      <c r="W974">
        <f>IF(AND(T974,V974&lt;&gt;""),IF(COUNTIFS(V$2:V974,V974,T$2:T974,TRUE)=1,MAX(W$1:W973)+1,""),"")</f>
        <v/>
      </c>
      <c r="X974">
        <f>IF(설정!$C$14="","",IFERROR(INDEX('1.산군_붙여넣기'!$A$1:$AZ$1001,ROW(),설정!$C$14)&amp;"",""))</f>
        <v/>
      </c>
      <c r="Y974">
        <f>IF(설정!$C$15="","",IFERROR(INDEX('1.산군_붙여넣기'!$A$1:$AZ$1001,ROW(),설정!$C$15)&amp;"",""))</f>
        <v/>
      </c>
      <c r="Z974">
        <f>IF(T974,V974&amp;"|"&amp;U974,"")</f>
        <v/>
      </c>
      <c r="AA974">
        <f>IF(NOT(Q974),"",IF(NOT(AND(R974,S974)),"✕",IF(OR(OR(AND(L974&lt;&gt;"",M974&lt;&gt;"",N(M974)-N(L974)&gt;설정!$B$27),AND(L974&lt;&gt;"",M974="",설정!$B$24-N(L974)&gt;설정!$B$27)),AND(D974&lt;&gt;"",D974&lt;설정!$B$26)),"△","★")))</f>
        <v/>
      </c>
      <c r="AB974">
        <f>IF(NOT(T974),"",IF(U974="설계사",설정!$B$31,IF(U974="시공사",IF(OR(M974="",설정!$B$24-N(M974)&lt;=설정!$B$28*30.4),설정!$B$32,설정!$B$33),설정!$B$34))+IF(AA974="★",설정!$B$35,0))</f>
        <v/>
      </c>
      <c r="AC974">
        <f>SUBSTITUTE(SUBSTITUTE(SUBSTITUTE(SUBSTITUTE(H974,"(주)",""),"㈜",""),"주식회사","")," ","")</f>
        <v/>
      </c>
      <c r="AD974">
        <f>IF(AND(T974,AC974&lt;&gt;""),IF(COUNTIFS(AC$2:AC974,AC974,T$2:T974,TRUE)=1,MAX(AD$1:AD973)+1,""),"")</f>
        <v/>
      </c>
    </row>
    <row r="975">
      <c r="A975">
        <f>ROW()</f>
        <v/>
      </c>
      <c r="B975">
        <f>IF(설정!$C$4="","",IFERROR(INDEX('1.산군_붙여넣기'!$A$1:$AZ$1001,ROW(),설정!$C$4)&amp;"",""))</f>
        <v/>
      </c>
      <c r="C975">
        <f>IF(설정!$C$5="","",IFERROR(INDEX('1.산군_붙여넣기'!$A$1:$AZ$1001,ROW(),설정!$C$5)&amp;"",""))</f>
        <v/>
      </c>
      <c r="D975" s="5">
        <f>IFERROR(VALUE(SUBSTITUTE(SUBSTITUTE(SUBSTITUTE(IF(설정!$C$6="","",IFERROR(INDEX('1.산군_붙여넣기'!$A$1:$AZ$1001,ROW(),설정!$C$6)&amp;"","")),",",""),"㎡",""),"m2","")),"")</f>
        <v/>
      </c>
      <c r="E975">
        <f>IF(설정!$C$7="","",IFERROR(INDEX('1.산군_붙여넣기'!$A$1:$AZ$1001,ROW(),설정!$C$7)&amp;"",""))</f>
        <v/>
      </c>
      <c r="F975">
        <f>IF(설정!$C$8="","",IFERROR(INDEX('1.산군_붙여넣기'!$A$1:$AZ$1001,ROW(),설정!$C$8)&amp;"",""))</f>
        <v/>
      </c>
      <c r="G975">
        <f>IF(설정!$C$9="","",IFERROR(INDEX('1.산군_붙여넣기'!$A$1:$AZ$1001,ROW(),설정!$C$9)&amp;"",""))</f>
        <v/>
      </c>
      <c r="H975">
        <f>IF(설정!$C$10="","",IFERROR(INDEX('1.산군_붙여넣기'!$A$1:$AZ$1001,ROW(),설정!$C$10)&amp;"",""))</f>
        <v/>
      </c>
      <c r="I975">
        <f>IF(설정!$C$11="","",IFERROR(INDEX('1.산군_붙여넣기'!$A$1:$AZ$1001,ROW(),설정!$C$11)&amp;"",""))</f>
        <v/>
      </c>
      <c r="J975">
        <f>IF(설정!$C$12="","",IFERROR(INDEX('1.산군_붙여넣기'!$A$1:$AZ$1001,ROW(),설정!$C$12)&amp;"",""))</f>
        <v/>
      </c>
      <c r="K975">
        <f>IF(설정!$C$13="","",IFERROR(INDEX('1.산군_붙여넣기'!$A$1:$AZ$1001,ROW(),설정!$C$13)&amp;"",""))</f>
        <v/>
      </c>
      <c r="L975" s="7">
        <f>IF(X975="","",IF(AND(LEN(X975)=8,ISNUMBER(X975*1)),DATE(LEFT(X975,4),MID(X975,5,2),RIGHT(X975,2)),IFERROR(DATEVALUE(SUBSTITUTE(SUBSTITUTE(X975,".","-"),"/","-")),IFERROR(X975*1,""))))</f>
        <v/>
      </c>
      <c r="M975" s="7">
        <f>IF(Y975="","",IF(AND(LEN(Y975)=8,ISNUMBER(Y975*1)),DATE(LEFT(Y975,4),MID(Y975,5,2),RIGHT(Y975,2)),IFERROR(DATEVALUE(SUBSTITUTE(SUBSTITUTE(Y975,".","-"),"/","-")),IFERROR(Y975*1,""))))</f>
        <v/>
      </c>
      <c r="N975">
        <f>IFERROR(LEFT(B975,FIND(" ",B975)-1),B975)</f>
        <v/>
      </c>
      <c r="O975">
        <f>AND(B975&lt;&gt;"",B975&lt;&gt;설정!$B$4,C975&lt;&gt;설정!$B$5)</f>
        <v/>
      </c>
      <c r="P975">
        <f>IF(O975,B975&amp;"|"&amp;C975,"")</f>
        <v/>
      </c>
      <c r="Q975">
        <f>AND(O975,COUNTIF(P976:P$1002,P975)=0)</f>
        <v/>
      </c>
      <c r="R975">
        <f>OR(AND(설정!$A$42&lt;&gt;"",ISNUMBER(SEARCH(설정!$A$42,E975&amp;" "&amp;C975))),AND(설정!$A$43&lt;&gt;"",ISNUMBER(SEARCH(설정!$A$43,E975&amp;" "&amp;C975))),AND(설정!$A$44&lt;&gt;"",ISNUMBER(SEARCH(설정!$A$44,E975&amp;" "&amp;C975))),AND(설정!$A$45&lt;&gt;"",ISNUMBER(SEARCH(설정!$A$45,E975&amp;" "&amp;C975))),AND(설정!$A$46&lt;&gt;"",ISNUMBER(SEARCH(설정!$A$46,E975&amp;" "&amp;C975))),AND(설정!$A$47&lt;&gt;"",ISNUMBER(SEARCH(설정!$A$47,E975&amp;" "&amp;C975))),AND(설정!$A$48&lt;&gt;"",ISNUMBER(SEARCH(설정!$A$48,E975&amp;" "&amp;C975))),AND(설정!$A$49&lt;&gt;"",ISNUMBER(SEARCH(설정!$A$49,E975&amp;" "&amp;C975))),AND(설정!$A$50&lt;&gt;"",ISNUMBER(SEARCH(설정!$A$50,E975&amp;" "&amp;C975))),AND(설정!$A$51&lt;&gt;"",ISNUMBER(SEARCH(설정!$A$51,E975&amp;" "&amp;C975))))</f>
        <v/>
      </c>
      <c r="S975">
        <f>OR(D975="",D975&gt;=설정!$B$19)</f>
        <v/>
      </c>
      <c r="T975">
        <f>AND(Q975,R975,S975)</f>
        <v/>
      </c>
      <c r="U975">
        <f>IF(T975,IF(AND(설정!$A$54&lt;&gt;"",ISNUMBER(SEARCH(설정!$A$54,K975))),설정!$B$54,IF(AND(설정!$A$55&lt;&gt;"",ISNUMBER(SEARCH(설정!$A$55,K975))),설정!$B$55,IF(AND(설정!$A$56&lt;&gt;"",ISNUMBER(SEARCH(설정!$A$56,K975))),설정!$B$56,IF(AND(설정!$A$57&lt;&gt;"",ISNUMBER(SEARCH(설정!$A$57,K975))),설정!$B$57,IF(AND(설정!$A$58&lt;&gt;"",ISNUMBER(SEARCH(설정!$A$58,K975))),설정!$B$58,IF(AND(설정!$A$59&lt;&gt;"",ISNUMBER(SEARCH(설정!$A$59,K975))),설정!$B$59,IF(AND(설정!$A$60&lt;&gt;"",ISNUMBER(SEARCH(설정!$A$60,K975))),설정!$B$60,IF(AND(설정!$A$61&lt;&gt;"",ISNUMBER(SEARCH(설정!$A$61,K975))),설정!$B$61,IF(M975="","설계사","시공사"))))))))),"")</f>
        <v/>
      </c>
      <c r="V975">
        <f>SUBSTITUTE(SUBSTITUTE(SUBSTITUTE(SUBSTITUTE(G975,"(주)",""),"㈜",""),"주식회사","")," ","")</f>
        <v/>
      </c>
      <c r="W975">
        <f>IF(AND(T975,V975&lt;&gt;""),IF(COUNTIFS(V$2:V975,V975,T$2:T975,TRUE)=1,MAX(W$1:W974)+1,""),"")</f>
        <v/>
      </c>
      <c r="X975">
        <f>IF(설정!$C$14="","",IFERROR(INDEX('1.산군_붙여넣기'!$A$1:$AZ$1001,ROW(),설정!$C$14)&amp;"",""))</f>
        <v/>
      </c>
      <c r="Y975">
        <f>IF(설정!$C$15="","",IFERROR(INDEX('1.산군_붙여넣기'!$A$1:$AZ$1001,ROW(),설정!$C$15)&amp;"",""))</f>
        <v/>
      </c>
      <c r="Z975">
        <f>IF(T975,V975&amp;"|"&amp;U975,"")</f>
        <v/>
      </c>
      <c r="AA975">
        <f>IF(NOT(Q975),"",IF(NOT(AND(R975,S975)),"✕",IF(OR(OR(AND(L975&lt;&gt;"",M975&lt;&gt;"",N(M975)-N(L975)&gt;설정!$B$27),AND(L975&lt;&gt;"",M975="",설정!$B$24-N(L975)&gt;설정!$B$27)),AND(D975&lt;&gt;"",D975&lt;설정!$B$26)),"△","★")))</f>
        <v/>
      </c>
      <c r="AB975">
        <f>IF(NOT(T975),"",IF(U975="설계사",설정!$B$31,IF(U975="시공사",IF(OR(M975="",설정!$B$24-N(M975)&lt;=설정!$B$28*30.4),설정!$B$32,설정!$B$33),설정!$B$34))+IF(AA975="★",설정!$B$35,0))</f>
        <v/>
      </c>
      <c r="AC975">
        <f>SUBSTITUTE(SUBSTITUTE(SUBSTITUTE(SUBSTITUTE(H975,"(주)",""),"㈜",""),"주식회사","")," ","")</f>
        <v/>
      </c>
      <c r="AD975">
        <f>IF(AND(T975,AC975&lt;&gt;""),IF(COUNTIFS(AC$2:AC975,AC975,T$2:T975,TRUE)=1,MAX(AD$1:AD974)+1,""),"")</f>
        <v/>
      </c>
    </row>
    <row r="976">
      <c r="A976">
        <f>ROW()</f>
        <v/>
      </c>
      <c r="B976">
        <f>IF(설정!$C$4="","",IFERROR(INDEX('1.산군_붙여넣기'!$A$1:$AZ$1001,ROW(),설정!$C$4)&amp;"",""))</f>
        <v/>
      </c>
      <c r="C976">
        <f>IF(설정!$C$5="","",IFERROR(INDEX('1.산군_붙여넣기'!$A$1:$AZ$1001,ROW(),설정!$C$5)&amp;"",""))</f>
        <v/>
      </c>
      <c r="D976" s="5">
        <f>IFERROR(VALUE(SUBSTITUTE(SUBSTITUTE(SUBSTITUTE(IF(설정!$C$6="","",IFERROR(INDEX('1.산군_붙여넣기'!$A$1:$AZ$1001,ROW(),설정!$C$6)&amp;"","")),",",""),"㎡",""),"m2","")),"")</f>
        <v/>
      </c>
      <c r="E976">
        <f>IF(설정!$C$7="","",IFERROR(INDEX('1.산군_붙여넣기'!$A$1:$AZ$1001,ROW(),설정!$C$7)&amp;"",""))</f>
        <v/>
      </c>
      <c r="F976">
        <f>IF(설정!$C$8="","",IFERROR(INDEX('1.산군_붙여넣기'!$A$1:$AZ$1001,ROW(),설정!$C$8)&amp;"",""))</f>
        <v/>
      </c>
      <c r="G976">
        <f>IF(설정!$C$9="","",IFERROR(INDEX('1.산군_붙여넣기'!$A$1:$AZ$1001,ROW(),설정!$C$9)&amp;"",""))</f>
        <v/>
      </c>
      <c r="H976">
        <f>IF(설정!$C$10="","",IFERROR(INDEX('1.산군_붙여넣기'!$A$1:$AZ$1001,ROW(),설정!$C$10)&amp;"",""))</f>
        <v/>
      </c>
      <c r="I976">
        <f>IF(설정!$C$11="","",IFERROR(INDEX('1.산군_붙여넣기'!$A$1:$AZ$1001,ROW(),설정!$C$11)&amp;"",""))</f>
        <v/>
      </c>
      <c r="J976">
        <f>IF(설정!$C$12="","",IFERROR(INDEX('1.산군_붙여넣기'!$A$1:$AZ$1001,ROW(),설정!$C$12)&amp;"",""))</f>
        <v/>
      </c>
      <c r="K976">
        <f>IF(설정!$C$13="","",IFERROR(INDEX('1.산군_붙여넣기'!$A$1:$AZ$1001,ROW(),설정!$C$13)&amp;"",""))</f>
        <v/>
      </c>
      <c r="L976" s="7">
        <f>IF(X976="","",IF(AND(LEN(X976)=8,ISNUMBER(X976*1)),DATE(LEFT(X976,4),MID(X976,5,2),RIGHT(X976,2)),IFERROR(DATEVALUE(SUBSTITUTE(SUBSTITUTE(X976,".","-"),"/","-")),IFERROR(X976*1,""))))</f>
        <v/>
      </c>
      <c r="M976" s="7">
        <f>IF(Y976="","",IF(AND(LEN(Y976)=8,ISNUMBER(Y976*1)),DATE(LEFT(Y976,4),MID(Y976,5,2),RIGHT(Y976,2)),IFERROR(DATEVALUE(SUBSTITUTE(SUBSTITUTE(Y976,".","-"),"/","-")),IFERROR(Y976*1,""))))</f>
        <v/>
      </c>
      <c r="N976">
        <f>IFERROR(LEFT(B976,FIND(" ",B976)-1),B976)</f>
        <v/>
      </c>
      <c r="O976">
        <f>AND(B976&lt;&gt;"",B976&lt;&gt;설정!$B$4,C976&lt;&gt;설정!$B$5)</f>
        <v/>
      </c>
      <c r="P976">
        <f>IF(O976,B976&amp;"|"&amp;C976,"")</f>
        <v/>
      </c>
      <c r="Q976">
        <f>AND(O976,COUNTIF(P977:P$1002,P976)=0)</f>
        <v/>
      </c>
      <c r="R976">
        <f>OR(AND(설정!$A$42&lt;&gt;"",ISNUMBER(SEARCH(설정!$A$42,E976&amp;" "&amp;C976))),AND(설정!$A$43&lt;&gt;"",ISNUMBER(SEARCH(설정!$A$43,E976&amp;" "&amp;C976))),AND(설정!$A$44&lt;&gt;"",ISNUMBER(SEARCH(설정!$A$44,E976&amp;" "&amp;C976))),AND(설정!$A$45&lt;&gt;"",ISNUMBER(SEARCH(설정!$A$45,E976&amp;" "&amp;C976))),AND(설정!$A$46&lt;&gt;"",ISNUMBER(SEARCH(설정!$A$46,E976&amp;" "&amp;C976))),AND(설정!$A$47&lt;&gt;"",ISNUMBER(SEARCH(설정!$A$47,E976&amp;" "&amp;C976))),AND(설정!$A$48&lt;&gt;"",ISNUMBER(SEARCH(설정!$A$48,E976&amp;" "&amp;C976))),AND(설정!$A$49&lt;&gt;"",ISNUMBER(SEARCH(설정!$A$49,E976&amp;" "&amp;C976))),AND(설정!$A$50&lt;&gt;"",ISNUMBER(SEARCH(설정!$A$50,E976&amp;" "&amp;C976))),AND(설정!$A$51&lt;&gt;"",ISNUMBER(SEARCH(설정!$A$51,E976&amp;" "&amp;C976))))</f>
        <v/>
      </c>
      <c r="S976">
        <f>OR(D976="",D976&gt;=설정!$B$19)</f>
        <v/>
      </c>
      <c r="T976">
        <f>AND(Q976,R976,S976)</f>
        <v/>
      </c>
      <c r="U976">
        <f>IF(T976,IF(AND(설정!$A$54&lt;&gt;"",ISNUMBER(SEARCH(설정!$A$54,K976))),설정!$B$54,IF(AND(설정!$A$55&lt;&gt;"",ISNUMBER(SEARCH(설정!$A$55,K976))),설정!$B$55,IF(AND(설정!$A$56&lt;&gt;"",ISNUMBER(SEARCH(설정!$A$56,K976))),설정!$B$56,IF(AND(설정!$A$57&lt;&gt;"",ISNUMBER(SEARCH(설정!$A$57,K976))),설정!$B$57,IF(AND(설정!$A$58&lt;&gt;"",ISNUMBER(SEARCH(설정!$A$58,K976))),설정!$B$58,IF(AND(설정!$A$59&lt;&gt;"",ISNUMBER(SEARCH(설정!$A$59,K976))),설정!$B$59,IF(AND(설정!$A$60&lt;&gt;"",ISNUMBER(SEARCH(설정!$A$60,K976))),설정!$B$60,IF(AND(설정!$A$61&lt;&gt;"",ISNUMBER(SEARCH(설정!$A$61,K976))),설정!$B$61,IF(M976="","설계사","시공사"))))))))),"")</f>
        <v/>
      </c>
      <c r="V976">
        <f>SUBSTITUTE(SUBSTITUTE(SUBSTITUTE(SUBSTITUTE(G976,"(주)",""),"㈜",""),"주식회사","")," ","")</f>
        <v/>
      </c>
      <c r="W976">
        <f>IF(AND(T976,V976&lt;&gt;""),IF(COUNTIFS(V$2:V976,V976,T$2:T976,TRUE)=1,MAX(W$1:W975)+1,""),"")</f>
        <v/>
      </c>
      <c r="X976">
        <f>IF(설정!$C$14="","",IFERROR(INDEX('1.산군_붙여넣기'!$A$1:$AZ$1001,ROW(),설정!$C$14)&amp;"",""))</f>
        <v/>
      </c>
      <c r="Y976">
        <f>IF(설정!$C$15="","",IFERROR(INDEX('1.산군_붙여넣기'!$A$1:$AZ$1001,ROW(),설정!$C$15)&amp;"",""))</f>
        <v/>
      </c>
      <c r="Z976">
        <f>IF(T976,V976&amp;"|"&amp;U976,"")</f>
        <v/>
      </c>
      <c r="AA976">
        <f>IF(NOT(Q976),"",IF(NOT(AND(R976,S976)),"✕",IF(OR(OR(AND(L976&lt;&gt;"",M976&lt;&gt;"",N(M976)-N(L976)&gt;설정!$B$27),AND(L976&lt;&gt;"",M976="",설정!$B$24-N(L976)&gt;설정!$B$27)),AND(D976&lt;&gt;"",D976&lt;설정!$B$26)),"△","★")))</f>
        <v/>
      </c>
      <c r="AB976">
        <f>IF(NOT(T976),"",IF(U976="설계사",설정!$B$31,IF(U976="시공사",IF(OR(M976="",설정!$B$24-N(M976)&lt;=설정!$B$28*30.4),설정!$B$32,설정!$B$33),설정!$B$34))+IF(AA976="★",설정!$B$35,0))</f>
        <v/>
      </c>
      <c r="AC976">
        <f>SUBSTITUTE(SUBSTITUTE(SUBSTITUTE(SUBSTITUTE(H976,"(주)",""),"㈜",""),"주식회사","")," ","")</f>
        <v/>
      </c>
      <c r="AD976">
        <f>IF(AND(T976,AC976&lt;&gt;""),IF(COUNTIFS(AC$2:AC976,AC976,T$2:T976,TRUE)=1,MAX(AD$1:AD975)+1,""),"")</f>
        <v/>
      </c>
    </row>
    <row r="977">
      <c r="A977">
        <f>ROW()</f>
        <v/>
      </c>
      <c r="B977">
        <f>IF(설정!$C$4="","",IFERROR(INDEX('1.산군_붙여넣기'!$A$1:$AZ$1001,ROW(),설정!$C$4)&amp;"",""))</f>
        <v/>
      </c>
      <c r="C977">
        <f>IF(설정!$C$5="","",IFERROR(INDEX('1.산군_붙여넣기'!$A$1:$AZ$1001,ROW(),설정!$C$5)&amp;"",""))</f>
        <v/>
      </c>
      <c r="D977" s="5">
        <f>IFERROR(VALUE(SUBSTITUTE(SUBSTITUTE(SUBSTITUTE(IF(설정!$C$6="","",IFERROR(INDEX('1.산군_붙여넣기'!$A$1:$AZ$1001,ROW(),설정!$C$6)&amp;"","")),",",""),"㎡",""),"m2","")),"")</f>
        <v/>
      </c>
      <c r="E977">
        <f>IF(설정!$C$7="","",IFERROR(INDEX('1.산군_붙여넣기'!$A$1:$AZ$1001,ROW(),설정!$C$7)&amp;"",""))</f>
        <v/>
      </c>
      <c r="F977">
        <f>IF(설정!$C$8="","",IFERROR(INDEX('1.산군_붙여넣기'!$A$1:$AZ$1001,ROW(),설정!$C$8)&amp;"",""))</f>
        <v/>
      </c>
      <c r="G977">
        <f>IF(설정!$C$9="","",IFERROR(INDEX('1.산군_붙여넣기'!$A$1:$AZ$1001,ROW(),설정!$C$9)&amp;"",""))</f>
        <v/>
      </c>
      <c r="H977">
        <f>IF(설정!$C$10="","",IFERROR(INDEX('1.산군_붙여넣기'!$A$1:$AZ$1001,ROW(),설정!$C$10)&amp;"",""))</f>
        <v/>
      </c>
      <c r="I977">
        <f>IF(설정!$C$11="","",IFERROR(INDEX('1.산군_붙여넣기'!$A$1:$AZ$1001,ROW(),설정!$C$11)&amp;"",""))</f>
        <v/>
      </c>
      <c r="J977">
        <f>IF(설정!$C$12="","",IFERROR(INDEX('1.산군_붙여넣기'!$A$1:$AZ$1001,ROW(),설정!$C$12)&amp;"",""))</f>
        <v/>
      </c>
      <c r="K977">
        <f>IF(설정!$C$13="","",IFERROR(INDEX('1.산군_붙여넣기'!$A$1:$AZ$1001,ROW(),설정!$C$13)&amp;"",""))</f>
        <v/>
      </c>
      <c r="L977" s="7">
        <f>IF(X977="","",IF(AND(LEN(X977)=8,ISNUMBER(X977*1)),DATE(LEFT(X977,4),MID(X977,5,2),RIGHT(X977,2)),IFERROR(DATEVALUE(SUBSTITUTE(SUBSTITUTE(X977,".","-"),"/","-")),IFERROR(X977*1,""))))</f>
        <v/>
      </c>
      <c r="M977" s="7">
        <f>IF(Y977="","",IF(AND(LEN(Y977)=8,ISNUMBER(Y977*1)),DATE(LEFT(Y977,4),MID(Y977,5,2),RIGHT(Y977,2)),IFERROR(DATEVALUE(SUBSTITUTE(SUBSTITUTE(Y977,".","-"),"/","-")),IFERROR(Y977*1,""))))</f>
        <v/>
      </c>
      <c r="N977">
        <f>IFERROR(LEFT(B977,FIND(" ",B977)-1),B977)</f>
        <v/>
      </c>
      <c r="O977">
        <f>AND(B977&lt;&gt;"",B977&lt;&gt;설정!$B$4,C977&lt;&gt;설정!$B$5)</f>
        <v/>
      </c>
      <c r="P977">
        <f>IF(O977,B977&amp;"|"&amp;C977,"")</f>
        <v/>
      </c>
      <c r="Q977">
        <f>AND(O977,COUNTIF(P978:P$1002,P977)=0)</f>
        <v/>
      </c>
      <c r="R977">
        <f>OR(AND(설정!$A$42&lt;&gt;"",ISNUMBER(SEARCH(설정!$A$42,E977&amp;" "&amp;C977))),AND(설정!$A$43&lt;&gt;"",ISNUMBER(SEARCH(설정!$A$43,E977&amp;" "&amp;C977))),AND(설정!$A$44&lt;&gt;"",ISNUMBER(SEARCH(설정!$A$44,E977&amp;" "&amp;C977))),AND(설정!$A$45&lt;&gt;"",ISNUMBER(SEARCH(설정!$A$45,E977&amp;" "&amp;C977))),AND(설정!$A$46&lt;&gt;"",ISNUMBER(SEARCH(설정!$A$46,E977&amp;" "&amp;C977))),AND(설정!$A$47&lt;&gt;"",ISNUMBER(SEARCH(설정!$A$47,E977&amp;" "&amp;C977))),AND(설정!$A$48&lt;&gt;"",ISNUMBER(SEARCH(설정!$A$48,E977&amp;" "&amp;C977))),AND(설정!$A$49&lt;&gt;"",ISNUMBER(SEARCH(설정!$A$49,E977&amp;" "&amp;C977))),AND(설정!$A$50&lt;&gt;"",ISNUMBER(SEARCH(설정!$A$50,E977&amp;" "&amp;C977))),AND(설정!$A$51&lt;&gt;"",ISNUMBER(SEARCH(설정!$A$51,E977&amp;" "&amp;C977))))</f>
        <v/>
      </c>
      <c r="S977">
        <f>OR(D977="",D977&gt;=설정!$B$19)</f>
        <v/>
      </c>
      <c r="T977">
        <f>AND(Q977,R977,S977)</f>
        <v/>
      </c>
      <c r="U977">
        <f>IF(T977,IF(AND(설정!$A$54&lt;&gt;"",ISNUMBER(SEARCH(설정!$A$54,K977))),설정!$B$54,IF(AND(설정!$A$55&lt;&gt;"",ISNUMBER(SEARCH(설정!$A$55,K977))),설정!$B$55,IF(AND(설정!$A$56&lt;&gt;"",ISNUMBER(SEARCH(설정!$A$56,K977))),설정!$B$56,IF(AND(설정!$A$57&lt;&gt;"",ISNUMBER(SEARCH(설정!$A$57,K977))),설정!$B$57,IF(AND(설정!$A$58&lt;&gt;"",ISNUMBER(SEARCH(설정!$A$58,K977))),설정!$B$58,IF(AND(설정!$A$59&lt;&gt;"",ISNUMBER(SEARCH(설정!$A$59,K977))),설정!$B$59,IF(AND(설정!$A$60&lt;&gt;"",ISNUMBER(SEARCH(설정!$A$60,K977))),설정!$B$60,IF(AND(설정!$A$61&lt;&gt;"",ISNUMBER(SEARCH(설정!$A$61,K977))),설정!$B$61,IF(M977="","설계사","시공사"))))))))),"")</f>
        <v/>
      </c>
      <c r="V977">
        <f>SUBSTITUTE(SUBSTITUTE(SUBSTITUTE(SUBSTITUTE(G977,"(주)",""),"㈜",""),"주식회사","")," ","")</f>
        <v/>
      </c>
      <c r="W977">
        <f>IF(AND(T977,V977&lt;&gt;""),IF(COUNTIFS(V$2:V977,V977,T$2:T977,TRUE)=1,MAX(W$1:W976)+1,""),"")</f>
        <v/>
      </c>
      <c r="X977">
        <f>IF(설정!$C$14="","",IFERROR(INDEX('1.산군_붙여넣기'!$A$1:$AZ$1001,ROW(),설정!$C$14)&amp;"",""))</f>
        <v/>
      </c>
      <c r="Y977">
        <f>IF(설정!$C$15="","",IFERROR(INDEX('1.산군_붙여넣기'!$A$1:$AZ$1001,ROW(),설정!$C$15)&amp;"",""))</f>
        <v/>
      </c>
      <c r="Z977">
        <f>IF(T977,V977&amp;"|"&amp;U977,"")</f>
        <v/>
      </c>
      <c r="AA977">
        <f>IF(NOT(Q977),"",IF(NOT(AND(R977,S977)),"✕",IF(OR(OR(AND(L977&lt;&gt;"",M977&lt;&gt;"",N(M977)-N(L977)&gt;설정!$B$27),AND(L977&lt;&gt;"",M977="",설정!$B$24-N(L977)&gt;설정!$B$27)),AND(D977&lt;&gt;"",D977&lt;설정!$B$26)),"△","★")))</f>
        <v/>
      </c>
      <c r="AB977">
        <f>IF(NOT(T977),"",IF(U977="설계사",설정!$B$31,IF(U977="시공사",IF(OR(M977="",설정!$B$24-N(M977)&lt;=설정!$B$28*30.4),설정!$B$32,설정!$B$33),설정!$B$34))+IF(AA977="★",설정!$B$35,0))</f>
        <v/>
      </c>
      <c r="AC977">
        <f>SUBSTITUTE(SUBSTITUTE(SUBSTITUTE(SUBSTITUTE(H977,"(주)",""),"㈜",""),"주식회사","")," ","")</f>
        <v/>
      </c>
      <c r="AD977">
        <f>IF(AND(T977,AC977&lt;&gt;""),IF(COUNTIFS(AC$2:AC977,AC977,T$2:T977,TRUE)=1,MAX(AD$1:AD976)+1,""),"")</f>
        <v/>
      </c>
    </row>
    <row r="978">
      <c r="A978">
        <f>ROW()</f>
        <v/>
      </c>
      <c r="B978">
        <f>IF(설정!$C$4="","",IFERROR(INDEX('1.산군_붙여넣기'!$A$1:$AZ$1001,ROW(),설정!$C$4)&amp;"",""))</f>
        <v/>
      </c>
      <c r="C978">
        <f>IF(설정!$C$5="","",IFERROR(INDEX('1.산군_붙여넣기'!$A$1:$AZ$1001,ROW(),설정!$C$5)&amp;"",""))</f>
        <v/>
      </c>
      <c r="D978" s="5">
        <f>IFERROR(VALUE(SUBSTITUTE(SUBSTITUTE(SUBSTITUTE(IF(설정!$C$6="","",IFERROR(INDEX('1.산군_붙여넣기'!$A$1:$AZ$1001,ROW(),설정!$C$6)&amp;"","")),",",""),"㎡",""),"m2","")),"")</f>
        <v/>
      </c>
      <c r="E978">
        <f>IF(설정!$C$7="","",IFERROR(INDEX('1.산군_붙여넣기'!$A$1:$AZ$1001,ROW(),설정!$C$7)&amp;"",""))</f>
        <v/>
      </c>
      <c r="F978">
        <f>IF(설정!$C$8="","",IFERROR(INDEX('1.산군_붙여넣기'!$A$1:$AZ$1001,ROW(),설정!$C$8)&amp;"",""))</f>
        <v/>
      </c>
      <c r="G978">
        <f>IF(설정!$C$9="","",IFERROR(INDEX('1.산군_붙여넣기'!$A$1:$AZ$1001,ROW(),설정!$C$9)&amp;"",""))</f>
        <v/>
      </c>
      <c r="H978">
        <f>IF(설정!$C$10="","",IFERROR(INDEX('1.산군_붙여넣기'!$A$1:$AZ$1001,ROW(),설정!$C$10)&amp;"",""))</f>
        <v/>
      </c>
      <c r="I978">
        <f>IF(설정!$C$11="","",IFERROR(INDEX('1.산군_붙여넣기'!$A$1:$AZ$1001,ROW(),설정!$C$11)&amp;"",""))</f>
        <v/>
      </c>
      <c r="J978">
        <f>IF(설정!$C$12="","",IFERROR(INDEX('1.산군_붙여넣기'!$A$1:$AZ$1001,ROW(),설정!$C$12)&amp;"",""))</f>
        <v/>
      </c>
      <c r="K978">
        <f>IF(설정!$C$13="","",IFERROR(INDEX('1.산군_붙여넣기'!$A$1:$AZ$1001,ROW(),설정!$C$13)&amp;"",""))</f>
        <v/>
      </c>
      <c r="L978" s="7">
        <f>IF(X978="","",IF(AND(LEN(X978)=8,ISNUMBER(X978*1)),DATE(LEFT(X978,4),MID(X978,5,2),RIGHT(X978,2)),IFERROR(DATEVALUE(SUBSTITUTE(SUBSTITUTE(X978,".","-"),"/","-")),IFERROR(X978*1,""))))</f>
        <v/>
      </c>
      <c r="M978" s="7">
        <f>IF(Y978="","",IF(AND(LEN(Y978)=8,ISNUMBER(Y978*1)),DATE(LEFT(Y978,4),MID(Y978,5,2),RIGHT(Y978,2)),IFERROR(DATEVALUE(SUBSTITUTE(SUBSTITUTE(Y978,".","-"),"/","-")),IFERROR(Y978*1,""))))</f>
        <v/>
      </c>
      <c r="N978">
        <f>IFERROR(LEFT(B978,FIND(" ",B978)-1),B978)</f>
        <v/>
      </c>
      <c r="O978">
        <f>AND(B978&lt;&gt;"",B978&lt;&gt;설정!$B$4,C978&lt;&gt;설정!$B$5)</f>
        <v/>
      </c>
      <c r="P978">
        <f>IF(O978,B978&amp;"|"&amp;C978,"")</f>
        <v/>
      </c>
      <c r="Q978">
        <f>AND(O978,COUNTIF(P979:P$1002,P978)=0)</f>
        <v/>
      </c>
      <c r="R978">
        <f>OR(AND(설정!$A$42&lt;&gt;"",ISNUMBER(SEARCH(설정!$A$42,E978&amp;" "&amp;C978))),AND(설정!$A$43&lt;&gt;"",ISNUMBER(SEARCH(설정!$A$43,E978&amp;" "&amp;C978))),AND(설정!$A$44&lt;&gt;"",ISNUMBER(SEARCH(설정!$A$44,E978&amp;" "&amp;C978))),AND(설정!$A$45&lt;&gt;"",ISNUMBER(SEARCH(설정!$A$45,E978&amp;" "&amp;C978))),AND(설정!$A$46&lt;&gt;"",ISNUMBER(SEARCH(설정!$A$46,E978&amp;" "&amp;C978))),AND(설정!$A$47&lt;&gt;"",ISNUMBER(SEARCH(설정!$A$47,E978&amp;" "&amp;C978))),AND(설정!$A$48&lt;&gt;"",ISNUMBER(SEARCH(설정!$A$48,E978&amp;" "&amp;C978))),AND(설정!$A$49&lt;&gt;"",ISNUMBER(SEARCH(설정!$A$49,E978&amp;" "&amp;C978))),AND(설정!$A$50&lt;&gt;"",ISNUMBER(SEARCH(설정!$A$50,E978&amp;" "&amp;C978))),AND(설정!$A$51&lt;&gt;"",ISNUMBER(SEARCH(설정!$A$51,E978&amp;" "&amp;C978))))</f>
        <v/>
      </c>
      <c r="S978">
        <f>OR(D978="",D978&gt;=설정!$B$19)</f>
        <v/>
      </c>
      <c r="T978">
        <f>AND(Q978,R978,S978)</f>
        <v/>
      </c>
      <c r="U978">
        <f>IF(T978,IF(AND(설정!$A$54&lt;&gt;"",ISNUMBER(SEARCH(설정!$A$54,K978))),설정!$B$54,IF(AND(설정!$A$55&lt;&gt;"",ISNUMBER(SEARCH(설정!$A$55,K978))),설정!$B$55,IF(AND(설정!$A$56&lt;&gt;"",ISNUMBER(SEARCH(설정!$A$56,K978))),설정!$B$56,IF(AND(설정!$A$57&lt;&gt;"",ISNUMBER(SEARCH(설정!$A$57,K978))),설정!$B$57,IF(AND(설정!$A$58&lt;&gt;"",ISNUMBER(SEARCH(설정!$A$58,K978))),설정!$B$58,IF(AND(설정!$A$59&lt;&gt;"",ISNUMBER(SEARCH(설정!$A$59,K978))),설정!$B$59,IF(AND(설정!$A$60&lt;&gt;"",ISNUMBER(SEARCH(설정!$A$60,K978))),설정!$B$60,IF(AND(설정!$A$61&lt;&gt;"",ISNUMBER(SEARCH(설정!$A$61,K978))),설정!$B$61,IF(M978="","설계사","시공사"))))))))),"")</f>
        <v/>
      </c>
      <c r="V978">
        <f>SUBSTITUTE(SUBSTITUTE(SUBSTITUTE(SUBSTITUTE(G978,"(주)",""),"㈜",""),"주식회사","")," ","")</f>
        <v/>
      </c>
      <c r="W978">
        <f>IF(AND(T978,V978&lt;&gt;""),IF(COUNTIFS(V$2:V978,V978,T$2:T978,TRUE)=1,MAX(W$1:W977)+1,""),"")</f>
        <v/>
      </c>
      <c r="X978">
        <f>IF(설정!$C$14="","",IFERROR(INDEX('1.산군_붙여넣기'!$A$1:$AZ$1001,ROW(),설정!$C$14)&amp;"",""))</f>
        <v/>
      </c>
      <c r="Y978">
        <f>IF(설정!$C$15="","",IFERROR(INDEX('1.산군_붙여넣기'!$A$1:$AZ$1001,ROW(),설정!$C$15)&amp;"",""))</f>
        <v/>
      </c>
      <c r="Z978">
        <f>IF(T978,V978&amp;"|"&amp;U978,"")</f>
        <v/>
      </c>
      <c r="AA978">
        <f>IF(NOT(Q978),"",IF(NOT(AND(R978,S978)),"✕",IF(OR(OR(AND(L978&lt;&gt;"",M978&lt;&gt;"",N(M978)-N(L978)&gt;설정!$B$27),AND(L978&lt;&gt;"",M978="",설정!$B$24-N(L978)&gt;설정!$B$27)),AND(D978&lt;&gt;"",D978&lt;설정!$B$26)),"△","★")))</f>
        <v/>
      </c>
      <c r="AB978">
        <f>IF(NOT(T978),"",IF(U978="설계사",설정!$B$31,IF(U978="시공사",IF(OR(M978="",설정!$B$24-N(M978)&lt;=설정!$B$28*30.4),설정!$B$32,설정!$B$33),설정!$B$34))+IF(AA978="★",설정!$B$35,0))</f>
        <v/>
      </c>
      <c r="AC978">
        <f>SUBSTITUTE(SUBSTITUTE(SUBSTITUTE(SUBSTITUTE(H978,"(주)",""),"㈜",""),"주식회사","")," ","")</f>
        <v/>
      </c>
      <c r="AD978">
        <f>IF(AND(T978,AC978&lt;&gt;""),IF(COUNTIFS(AC$2:AC978,AC978,T$2:T978,TRUE)=1,MAX(AD$1:AD977)+1,""),"")</f>
        <v/>
      </c>
    </row>
    <row r="979">
      <c r="A979">
        <f>ROW()</f>
        <v/>
      </c>
      <c r="B979">
        <f>IF(설정!$C$4="","",IFERROR(INDEX('1.산군_붙여넣기'!$A$1:$AZ$1001,ROW(),설정!$C$4)&amp;"",""))</f>
        <v/>
      </c>
      <c r="C979">
        <f>IF(설정!$C$5="","",IFERROR(INDEX('1.산군_붙여넣기'!$A$1:$AZ$1001,ROW(),설정!$C$5)&amp;"",""))</f>
        <v/>
      </c>
      <c r="D979" s="5">
        <f>IFERROR(VALUE(SUBSTITUTE(SUBSTITUTE(SUBSTITUTE(IF(설정!$C$6="","",IFERROR(INDEX('1.산군_붙여넣기'!$A$1:$AZ$1001,ROW(),설정!$C$6)&amp;"","")),",",""),"㎡",""),"m2","")),"")</f>
        <v/>
      </c>
      <c r="E979">
        <f>IF(설정!$C$7="","",IFERROR(INDEX('1.산군_붙여넣기'!$A$1:$AZ$1001,ROW(),설정!$C$7)&amp;"",""))</f>
        <v/>
      </c>
      <c r="F979">
        <f>IF(설정!$C$8="","",IFERROR(INDEX('1.산군_붙여넣기'!$A$1:$AZ$1001,ROW(),설정!$C$8)&amp;"",""))</f>
        <v/>
      </c>
      <c r="G979">
        <f>IF(설정!$C$9="","",IFERROR(INDEX('1.산군_붙여넣기'!$A$1:$AZ$1001,ROW(),설정!$C$9)&amp;"",""))</f>
        <v/>
      </c>
      <c r="H979">
        <f>IF(설정!$C$10="","",IFERROR(INDEX('1.산군_붙여넣기'!$A$1:$AZ$1001,ROW(),설정!$C$10)&amp;"",""))</f>
        <v/>
      </c>
      <c r="I979">
        <f>IF(설정!$C$11="","",IFERROR(INDEX('1.산군_붙여넣기'!$A$1:$AZ$1001,ROW(),설정!$C$11)&amp;"",""))</f>
        <v/>
      </c>
      <c r="J979">
        <f>IF(설정!$C$12="","",IFERROR(INDEX('1.산군_붙여넣기'!$A$1:$AZ$1001,ROW(),설정!$C$12)&amp;"",""))</f>
        <v/>
      </c>
      <c r="K979">
        <f>IF(설정!$C$13="","",IFERROR(INDEX('1.산군_붙여넣기'!$A$1:$AZ$1001,ROW(),설정!$C$13)&amp;"",""))</f>
        <v/>
      </c>
      <c r="L979" s="7">
        <f>IF(X979="","",IF(AND(LEN(X979)=8,ISNUMBER(X979*1)),DATE(LEFT(X979,4),MID(X979,5,2),RIGHT(X979,2)),IFERROR(DATEVALUE(SUBSTITUTE(SUBSTITUTE(X979,".","-"),"/","-")),IFERROR(X979*1,""))))</f>
        <v/>
      </c>
      <c r="M979" s="7">
        <f>IF(Y979="","",IF(AND(LEN(Y979)=8,ISNUMBER(Y979*1)),DATE(LEFT(Y979,4),MID(Y979,5,2),RIGHT(Y979,2)),IFERROR(DATEVALUE(SUBSTITUTE(SUBSTITUTE(Y979,".","-"),"/","-")),IFERROR(Y979*1,""))))</f>
        <v/>
      </c>
      <c r="N979">
        <f>IFERROR(LEFT(B979,FIND(" ",B979)-1),B979)</f>
        <v/>
      </c>
      <c r="O979">
        <f>AND(B979&lt;&gt;"",B979&lt;&gt;설정!$B$4,C979&lt;&gt;설정!$B$5)</f>
        <v/>
      </c>
      <c r="P979">
        <f>IF(O979,B979&amp;"|"&amp;C979,"")</f>
        <v/>
      </c>
      <c r="Q979">
        <f>AND(O979,COUNTIF(P980:P$1002,P979)=0)</f>
        <v/>
      </c>
      <c r="R979">
        <f>OR(AND(설정!$A$42&lt;&gt;"",ISNUMBER(SEARCH(설정!$A$42,E979&amp;" "&amp;C979))),AND(설정!$A$43&lt;&gt;"",ISNUMBER(SEARCH(설정!$A$43,E979&amp;" "&amp;C979))),AND(설정!$A$44&lt;&gt;"",ISNUMBER(SEARCH(설정!$A$44,E979&amp;" "&amp;C979))),AND(설정!$A$45&lt;&gt;"",ISNUMBER(SEARCH(설정!$A$45,E979&amp;" "&amp;C979))),AND(설정!$A$46&lt;&gt;"",ISNUMBER(SEARCH(설정!$A$46,E979&amp;" "&amp;C979))),AND(설정!$A$47&lt;&gt;"",ISNUMBER(SEARCH(설정!$A$47,E979&amp;" "&amp;C979))),AND(설정!$A$48&lt;&gt;"",ISNUMBER(SEARCH(설정!$A$48,E979&amp;" "&amp;C979))),AND(설정!$A$49&lt;&gt;"",ISNUMBER(SEARCH(설정!$A$49,E979&amp;" "&amp;C979))),AND(설정!$A$50&lt;&gt;"",ISNUMBER(SEARCH(설정!$A$50,E979&amp;" "&amp;C979))),AND(설정!$A$51&lt;&gt;"",ISNUMBER(SEARCH(설정!$A$51,E979&amp;" "&amp;C979))))</f>
        <v/>
      </c>
      <c r="S979">
        <f>OR(D979="",D979&gt;=설정!$B$19)</f>
        <v/>
      </c>
      <c r="T979">
        <f>AND(Q979,R979,S979)</f>
        <v/>
      </c>
      <c r="U979">
        <f>IF(T979,IF(AND(설정!$A$54&lt;&gt;"",ISNUMBER(SEARCH(설정!$A$54,K979))),설정!$B$54,IF(AND(설정!$A$55&lt;&gt;"",ISNUMBER(SEARCH(설정!$A$55,K979))),설정!$B$55,IF(AND(설정!$A$56&lt;&gt;"",ISNUMBER(SEARCH(설정!$A$56,K979))),설정!$B$56,IF(AND(설정!$A$57&lt;&gt;"",ISNUMBER(SEARCH(설정!$A$57,K979))),설정!$B$57,IF(AND(설정!$A$58&lt;&gt;"",ISNUMBER(SEARCH(설정!$A$58,K979))),설정!$B$58,IF(AND(설정!$A$59&lt;&gt;"",ISNUMBER(SEARCH(설정!$A$59,K979))),설정!$B$59,IF(AND(설정!$A$60&lt;&gt;"",ISNUMBER(SEARCH(설정!$A$60,K979))),설정!$B$60,IF(AND(설정!$A$61&lt;&gt;"",ISNUMBER(SEARCH(설정!$A$61,K979))),설정!$B$61,IF(M979="","설계사","시공사"))))))))),"")</f>
        <v/>
      </c>
      <c r="V979">
        <f>SUBSTITUTE(SUBSTITUTE(SUBSTITUTE(SUBSTITUTE(G979,"(주)",""),"㈜",""),"주식회사","")," ","")</f>
        <v/>
      </c>
      <c r="W979">
        <f>IF(AND(T979,V979&lt;&gt;""),IF(COUNTIFS(V$2:V979,V979,T$2:T979,TRUE)=1,MAX(W$1:W978)+1,""),"")</f>
        <v/>
      </c>
      <c r="X979">
        <f>IF(설정!$C$14="","",IFERROR(INDEX('1.산군_붙여넣기'!$A$1:$AZ$1001,ROW(),설정!$C$14)&amp;"",""))</f>
        <v/>
      </c>
      <c r="Y979">
        <f>IF(설정!$C$15="","",IFERROR(INDEX('1.산군_붙여넣기'!$A$1:$AZ$1001,ROW(),설정!$C$15)&amp;"",""))</f>
        <v/>
      </c>
      <c r="Z979">
        <f>IF(T979,V979&amp;"|"&amp;U979,"")</f>
        <v/>
      </c>
      <c r="AA979">
        <f>IF(NOT(Q979),"",IF(NOT(AND(R979,S979)),"✕",IF(OR(OR(AND(L979&lt;&gt;"",M979&lt;&gt;"",N(M979)-N(L979)&gt;설정!$B$27),AND(L979&lt;&gt;"",M979="",설정!$B$24-N(L979)&gt;설정!$B$27)),AND(D979&lt;&gt;"",D979&lt;설정!$B$26)),"△","★")))</f>
        <v/>
      </c>
      <c r="AB979">
        <f>IF(NOT(T979),"",IF(U979="설계사",설정!$B$31,IF(U979="시공사",IF(OR(M979="",설정!$B$24-N(M979)&lt;=설정!$B$28*30.4),설정!$B$32,설정!$B$33),설정!$B$34))+IF(AA979="★",설정!$B$35,0))</f>
        <v/>
      </c>
      <c r="AC979">
        <f>SUBSTITUTE(SUBSTITUTE(SUBSTITUTE(SUBSTITUTE(H979,"(주)",""),"㈜",""),"주식회사","")," ","")</f>
        <v/>
      </c>
      <c r="AD979">
        <f>IF(AND(T979,AC979&lt;&gt;""),IF(COUNTIFS(AC$2:AC979,AC979,T$2:T979,TRUE)=1,MAX(AD$1:AD978)+1,""),"")</f>
        <v/>
      </c>
    </row>
    <row r="980">
      <c r="A980">
        <f>ROW()</f>
        <v/>
      </c>
      <c r="B980">
        <f>IF(설정!$C$4="","",IFERROR(INDEX('1.산군_붙여넣기'!$A$1:$AZ$1001,ROW(),설정!$C$4)&amp;"",""))</f>
        <v/>
      </c>
      <c r="C980">
        <f>IF(설정!$C$5="","",IFERROR(INDEX('1.산군_붙여넣기'!$A$1:$AZ$1001,ROW(),설정!$C$5)&amp;"",""))</f>
        <v/>
      </c>
      <c r="D980" s="5">
        <f>IFERROR(VALUE(SUBSTITUTE(SUBSTITUTE(SUBSTITUTE(IF(설정!$C$6="","",IFERROR(INDEX('1.산군_붙여넣기'!$A$1:$AZ$1001,ROW(),설정!$C$6)&amp;"","")),",",""),"㎡",""),"m2","")),"")</f>
        <v/>
      </c>
      <c r="E980">
        <f>IF(설정!$C$7="","",IFERROR(INDEX('1.산군_붙여넣기'!$A$1:$AZ$1001,ROW(),설정!$C$7)&amp;"",""))</f>
        <v/>
      </c>
      <c r="F980">
        <f>IF(설정!$C$8="","",IFERROR(INDEX('1.산군_붙여넣기'!$A$1:$AZ$1001,ROW(),설정!$C$8)&amp;"",""))</f>
        <v/>
      </c>
      <c r="G980">
        <f>IF(설정!$C$9="","",IFERROR(INDEX('1.산군_붙여넣기'!$A$1:$AZ$1001,ROW(),설정!$C$9)&amp;"",""))</f>
        <v/>
      </c>
      <c r="H980">
        <f>IF(설정!$C$10="","",IFERROR(INDEX('1.산군_붙여넣기'!$A$1:$AZ$1001,ROW(),설정!$C$10)&amp;"",""))</f>
        <v/>
      </c>
      <c r="I980">
        <f>IF(설정!$C$11="","",IFERROR(INDEX('1.산군_붙여넣기'!$A$1:$AZ$1001,ROW(),설정!$C$11)&amp;"",""))</f>
        <v/>
      </c>
      <c r="J980">
        <f>IF(설정!$C$12="","",IFERROR(INDEX('1.산군_붙여넣기'!$A$1:$AZ$1001,ROW(),설정!$C$12)&amp;"",""))</f>
        <v/>
      </c>
      <c r="K980">
        <f>IF(설정!$C$13="","",IFERROR(INDEX('1.산군_붙여넣기'!$A$1:$AZ$1001,ROW(),설정!$C$13)&amp;"",""))</f>
        <v/>
      </c>
      <c r="L980" s="7">
        <f>IF(X980="","",IF(AND(LEN(X980)=8,ISNUMBER(X980*1)),DATE(LEFT(X980,4),MID(X980,5,2),RIGHT(X980,2)),IFERROR(DATEVALUE(SUBSTITUTE(SUBSTITUTE(X980,".","-"),"/","-")),IFERROR(X980*1,""))))</f>
        <v/>
      </c>
      <c r="M980" s="7">
        <f>IF(Y980="","",IF(AND(LEN(Y980)=8,ISNUMBER(Y980*1)),DATE(LEFT(Y980,4),MID(Y980,5,2),RIGHT(Y980,2)),IFERROR(DATEVALUE(SUBSTITUTE(SUBSTITUTE(Y980,".","-"),"/","-")),IFERROR(Y980*1,""))))</f>
        <v/>
      </c>
      <c r="N980">
        <f>IFERROR(LEFT(B980,FIND(" ",B980)-1),B980)</f>
        <v/>
      </c>
      <c r="O980">
        <f>AND(B980&lt;&gt;"",B980&lt;&gt;설정!$B$4,C980&lt;&gt;설정!$B$5)</f>
        <v/>
      </c>
      <c r="P980">
        <f>IF(O980,B980&amp;"|"&amp;C980,"")</f>
        <v/>
      </c>
      <c r="Q980">
        <f>AND(O980,COUNTIF(P981:P$1002,P980)=0)</f>
        <v/>
      </c>
      <c r="R980">
        <f>OR(AND(설정!$A$42&lt;&gt;"",ISNUMBER(SEARCH(설정!$A$42,E980&amp;" "&amp;C980))),AND(설정!$A$43&lt;&gt;"",ISNUMBER(SEARCH(설정!$A$43,E980&amp;" "&amp;C980))),AND(설정!$A$44&lt;&gt;"",ISNUMBER(SEARCH(설정!$A$44,E980&amp;" "&amp;C980))),AND(설정!$A$45&lt;&gt;"",ISNUMBER(SEARCH(설정!$A$45,E980&amp;" "&amp;C980))),AND(설정!$A$46&lt;&gt;"",ISNUMBER(SEARCH(설정!$A$46,E980&amp;" "&amp;C980))),AND(설정!$A$47&lt;&gt;"",ISNUMBER(SEARCH(설정!$A$47,E980&amp;" "&amp;C980))),AND(설정!$A$48&lt;&gt;"",ISNUMBER(SEARCH(설정!$A$48,E980&amp;" "&amp;C980))),AND(설정!$A$49&lt;&gt;"",ISNUMBER(SEARCH(설정!$A$49,E980&amp;" "&amp;C980))),AND(설정!$A$50&lt;&gt;"",ISNUMBER(SEARCH(설정!$A$50,E980&amp;" "&amp;C980))),AND(설정!$A$51&lt;&gt;"",ISNUMBER(SEARCH(설정!$A$51,E980&amp;" "&amp;C980))))</f>
        <v/>
      </c>
      <c r="S980">
        <f>OR(D980="",D980&gt;=설정!$B$19)</f>
        <v/>
      </c>
      <c r="T980">
        <f>AND(Q980,R980,S980)</f>
        <v/>
      </c>
      <c r="U980">
        <f>IF(T980,IF(AND(설정!$A$54&lt;&gt;"",ISNUMBER(SEARCH(설정!$A$54,K980))),설정!$B$54,IF(AND(설정!$A$55&lt;&gt;"",ISNUMBER(SEARCH(설정!$A$55,K980))),설정!$B$55,IF(AND(설정!$A$56&lt;&gt;"",ISNUMBER(SEARCH(설정!$A$56,K980))),설정!$B$56,IF(AND(설정!$A$57&lt;&gt;"",ISNUMBER(SEARCH(설정!$A$57,K980))),설정!$B$57,IF(AND(설정!$A$58&lt;&gt;"",ISNUMBER(SEARCH(설정!$A$58,K980))),설정!$B$58,IF(AND(설정!$A$59&lt;&gt;"",ISNUMBER(SEARCH(설정!$A$59,K980))),설정!$B$59,IF(AND(설정!$A$60&lt;&gt;"",ISNUMBER(SEARCH(설정!$A$60,K980))),설정!$B$60,IF(AND(설정!$A$61&lt;&gt;"",ISNUMBER(SEARCH(설정!$A$61,K980))),설정!$B$61,IF(M980="","설계사","시공사"))))))))),"")</f>
        <v/>
      </c>
      <c r="V980">
        <f>SUBSTITUTE(SUBSTITUTE(SUBSTITUTE(SUBSTITUTE(G980,"(주)",""),"㈜",""),"주식회사","")," ","")</f>
        <v/>
      </c>
      <c r="W980">
        <f>IF(AND(T980,V980&lt;&gt;""),IF(COUNTIFS(V$2:V980,V980,T$2:T980,TRUE)=1,MAX(W$1:W979)+1,""),"")</f>
        <v/>
      </c>
      <c r="X980">
        <f>IF(설정!$C$14="","",IFERROR(INDEX('1.산군_붙여넣기'!$A$1:$AZ$1001,ROW(),설정!$C$14)&amp;"",""))</f>
        <v/>
      </c>
      <c r="Y980">
        <f>IF(설정!$C$15="","",IFERROR(INDEX('1.산군_붙여넣기'!$A$1:$AZ$1001,ROW(),설정!$C$15)&amp;"",""))</f>
        <v/>
      </c>
      <c r="Z980">
        <f>IF(T980,V980&amp;"|"&amp;U980,"")</f>
        <v/>
      </c>
      <c r="AA980">
        <f>IF(NOT(Q980),"",IF(NOT(AND(R980,S980)),"✕",IF(OR(OR(AND(L980&lt;&gt;"",M980&lt;&gt;"",N(M980)-N(L980)&gt;설정!$B$27),AND(L980&lt;&gt;"",M980="",설정!$B$24-N(L980)&gt;설정!$B$27)),AND(D980&lt;&gt;"",D980&lt;설정!$B$26)),"△","★")))</f>
        <v/>
      </c>
      <c r="AB980">
        <f>IF(NOT(T980),"",IF(U980="설계사",설정!$B$31,IF(U980="시공사",IF(OR(M980="",설정!$B$24-N(M980)&lt;=설정!$B$28*30.4),설정!$B$32,설정!$B$33),설정!$B$34))+IF(AA980="★",설정!$B$35,0))</f>
        <v/>
      </c>
      <c r="AC980">
        <f>SUBSTITUTE(SUBSTITUTE(SUBSTITUTE(SUBSTITUTE(H980,"(주)",""),"㈜",""),"주식회사","")," ","")</f>
        <v/>
      </c>
      <c r="AD980">
        <f>IF(AND(T980,AC980&lt;&gt;""),IF(COUNTIFS(AC$2:AC980,AC980,T$2:T980,TRUE)=1,MAX(AD$1:AD979)+1,""),"")</f>
        <v/>
      </c>
    </row>
    <row r="981">
      <c r="A981">
        <f>ROW()</f>
        <v/>
      </c>
      <c r="B981">
        <f>IF(설정!$C$4="","",IFERROR(INDEX('1.산군_붙여넣기'!$A$1:$AZ$1001,ROW(),설정!$C$4)&amp;"",""))</f>
        <v/>
      </c>
      <c r="C981">
        <f>IF(설정!$C$5="","",IFERROR(INDEX('1.산군_붙여넣기'!$A$1:$AZ$1001,ROW(),설정!$C$5)&amp;"",""))</f>
        <v/>
      </c>
      <c r="D981" s="5">
        <f>IFERROR(VALUE(SUBSTITUTE(SUBSTITUTE(SUBSTITUTE(IF(설정!$C$6="","",IFERROR(INDEX('1.산군_붙여넣기'!$A$1:$AZ$1001,ROW(),설정!$C$6)&amp;"","")),",",""),"㎡",""),"m2","")),"")</f>
        <v/>
      </c>
      <c r="E981">
        <f>IF(설정!$C$7="","",IFERROR(INDEX('1.산군_붙여넣기'!$A$1:$AZ$1001,ROW(),설정!$C$7)&amp;"",""))</f>
        <v/>
      </c>
      <c r="F981">
        <f>IF(설정!$C$8="","",IFERROR(INDEX('1.산군_붙여넣기'!$A$1:$AZ$1001,ROW(),설정!$C$8)&amp;"",""))</f>
        <v/>
      </c>
      <c r="G981">
        <f>IF(설정!$C$9="","",IFERROR(INDEX('1.산군_붙여넣기'!$A$1:$AZ$1001,ROW(),설정!$C$9)&amp;"",""))</f>
        <v/>
      </c>
      <c r="H981">
        <f>IF(설정!$C$10="","",IFERROR(INDEX('1.산군_붙여넣기'!$A$1:$AZ$1001,ROW(),설정!$C$10)&amp;"",""))</f>
        <v/>
      </c>
      <c r="I981">
        <f>IF(설정!$C$11="","",IFERROR(INDEX('1.산군_붙여넣기'!$A$1:$AZ$1001,ROW(),설정!$C$11)&amp;"",""))</f>
        <v/>
      </c>
      <c r="J981">
        <f>IF(설정!$C$12="","",IFERROR(INDEX('1.산군_붙여넣기'!$A$1:$AZ$1001,ROW(),설정!$C$12)&amp;"",""))</f>
        <v/>
      </c>
      <c r="K981">
        <f>IF(설정!$C$13="","",IFERROR(INDEX('1.산군_붙여넣기'!$A$1:$AZ$1001,ROW(),설정!$C$13)&amp;"",""))</f>
        <v/>
      </c>
      <c r="L981" s="7">
        <f>IF(X981="","",IF(AND(LEN(X981)=8,ISNUMBER(X981*1)),DATE(LEFT(X981,4),MID(X981,5,2),RIGHT(X981,2)),IFERROR(DATEVALUE(SUBSTITUTE(SUBSTITUTE(X981,".","-"),"/","-")),IFERROR(X981*1,""))))</f>
        <v/>
      </c>
      <c r="M981" s="7">
        <f>IF(Y981="","",IF(AND(LEN(Y981)=8,ISNUMBER(Y981*1)),DATE(LEFT(Y981,4),MID(Y981,5,2),RIGHT(Y981,2)),IFERROR(DATEVALUE(SUBSTITUTE(SUBSTITUTE(Y981,".","-"),"/","-")),IFERROR(Y981*1,""))))</f>
        <v/>
      </c>
      <c r="N981">
        <f>IFERROR(LEFT(B981,FIND(" ",B981)-1),B981)</f>
        <v/>
      </c>
      <c r="O981">
        <f>AND(B981&lt;&gt;"",B981&lt;&gt;설정!$B$4,C981&lt;&gt;설정!$B$5)</f>
        <v/>
      </c>
      <c r="P981">
        <f>IF(O981,B981&amp;"|"&amp;C981,"")</f>
        <v/>
      </c>
      <c r="Q981">
        <f>AND(O981,COUNTIF(P982:P$1002,P981)=0)</f>
        <v/>
      </c>
      <c r="R981">
        <f>OR(AND(설정!$A$42&lt;&gt;"",ISNUMBER(SEARCH(설정!$A$42,E981&amp;" "&amp;C981))),AND(설정!$A$43&lt;&gt;"",ISNUMBER(SEARCH(설정!$A$43,E981&amp;" "&amp;C981))),AND(설정!$A$44&lt;&gt;"",ISNUMBER(SEARCH(설정!$A$44,E981&amp;" "&amp;C981))),AND(설정!$A$45&lt;&gt;"",ISNUMBER(SEARCH(설정!$A$45,E981&amp;" "&amp;C981))),AND(설정!$A$46&lt;&gt;"",ISNUMBER(SEARCH(설정!$A$46,E981&amp;" "&amp;C981))),AND(설정!$A$47&lt;&gt;"",ISNUMBER(SEARCH(설정!$A$47,E981&amp;" "&amp;C981))),AND(설정!$A$48&lt;&gt;"",ISNUMBER(SEARCH(설정!$A$48,E981&amp;" "&amp;C981))),AND(설정!$A$49&lt;&gt;"",ISNUMBER(SEARCH(설정!$A$49,E981&amp;" "&amp;C981))),AND(설정!$A$50&lt;&gt;"",ISNUMBER(SEARCH(설정!$A$50,E981&amp;" "&amp;C981))),AND(설정!$A$51&lt;&gt;"",ISNUMBER(SEARCH(설정!$A$51,E981&amp;" "&amp;C981))))</f>
        <v/>
      </c>
      <c r="S981">
        <f>OR(D981="",D981&gt;=설정!$B$19)</f>
        <v/>
      </c>
      <c r="T981">
        <f>AND(Q981,R981,S981)</f>
        <v/>
      </c>
      <c r="U981">
        <f>IF(T981,IF(AND(설정!$A$54&lt;&gt;"",ISNUMBER(SEARCH(설정!$A$54,K981))),설정!$B$54,IF(AND(설정!$A$55&lt;&gt;"",ISNUMBER(SEARCH(설정!$A$55,K981))),설정!$B$55,IF(AND(설정!$A$56&lt;&gt;"",ISNUMBER(SEARCH(설정!$A$56,K981))),설정!$B$56,IF(AND(설정!$A$57&lt;&gt;"",ISNUMBER(SEARCH(설정!$A$57,K981))),설정!$B$57,IF(AND(설정!$A$58&lt;&gt;"",ISNUMBER(SEARCH(설정!$A$58,K981))),설정!$B$58,IF(AND(설정!$A$59&lt;&gt;"",ISNUMBER(SEARCH(설정!$A$59,K981))),설정!$B$59,IF(AND(설정!$A$60&lt;&gt;"",ISNUMBER(SEARCH(설정!$A$60,K981))),설정!$B$60,IF(AND(설정!$A$61&lt;&gt;"",ISNUMBER(SEARCH(설정!$A$61,K981))),설정!$B$61,IF(M981="","설계사","시공사"))))))))),"")</f>
        <v/>
      </c>
      <c r="V981">
        <f>SUBSTITUTE(SUBSTITUTE(SUBSTITUTE(SUBSTITUTE(G981,"(주)",""),"㈜",""),"주식회사","")," ","")</f>
        <v/>
      </c>
      <c r="W981">
        <f>IF(AND(T981,V981&lt;&gt;""),IF(COUNTIFS(V$2:V981,V981,T$2:T981,TRUE)=1,MAX(W$1:W980)+1,""),"")</f>
        <v/>
      </c>
      <c r="X981">
        <f>IF(설정!$C$14="","",IFERROR(INDEX('1.산군_붙여넣기'!$A$1:$AZ$1001,ROW(),설정!$C$14)&amp;"",""))</f>
        <v/>
      </c>
      <c r="Y981">
        <f>IF(설정!$C$15="","",IFERROR(INDEX('1.산군_붙여넣기'!$A$1:$AZ$1001,ROW(),설정!$C$15)&amp;"",""))</f>
        <v/>
      </c>
      <c r="Z981">
        <f>IF(T981,V981&amp;"|"&amp;U981,"")</f>
        <v/>
      </c>
      <c r="AA981">
        <f>IF(NOT(Q981),"",IF(NOT(AND(R981,S981)),"✕",IF(OR(OR(AND(L981&lt;&gt;"",M981&lt;&gt;"",N(M981)-N(L981)&gt;설정!$B$27),AND(L981&lt;&gt;"",M981="",설정!$B$24-N(L981)&gt;설정!$B$27)),AND(D981&lt;&gt;"",D981&lt;설정!$B$26)),"△","★")))</f>
        <v/>
      </c>
      <c r="AB981">
        <f>IF(NOT(T981),"",IF(U981="설계사",설정!$B$31,IF(U981="시공사",IF(OR(M981="",설정!$B$24-N(M981)&lt;=설정!$B$28*30.4),설정!$B$32,설정!$B$33),설정!$B$34))+IF(AA981="★",설정!$B$35,0))</f>
        <v/>
      </c>
      <c r="AC981">
        <f>SUBSTITUTE(SUBSTITUTE(SUBSTITUTE(SUBSTITUTE(H981,"(주)",""),"㈜",""),"주식회사","")," ","")</f>
        <v/>
      </c>
      <c r="AD981">
        <f>IF(AND(T981,AC981&lt;&gt;""),IF(COUNTIFS(AC$2:AC981,AC981,T$2:T981,TRUE)=1,MAX(AD$1:AD980)+1,""),"")</f>
        <v/>
      </c>
    </row>
    <row r="982">
      <c r="A982">
        <f>ROW()</f>
        <v/>
      </c>
      <c r="B982">
        <f>IF(설정!$C$4="","",IFERROR(INDEX('1.산군_붙여넣기'!$A$1:$AZ$1001,ROW(),설정!$C$4)&amp;"",""))</f>
        <v/>
      </c>
      <c r="C982">
        <f>IF(설정!$C$5="","",IFERROR(INDEX('1.산군_붙여넣기'!$A$1:$AZ$1001,ROW(),설정!$C$5)&amp;"",""))</f>
        <v/>
      </c>
      <c r="D982" s="5">
        <f>IFERROR(VALUE(SUBSTITUTE(SUBSTITUTE(SUBSTITUTE(IF(설정!$C$6="","",IFERROR(INDEX('1.산군_붙여넣기'!$A$1:$AZ$1001,ROW(),설정!$C$6)&amp;"","")),",",""),"㎡",""),"m2","")),"")</f>
        <v/>
      </c>
      <c r="E982">
        <f>IF(설정!$C$7="","",IFERROR(INDEX('1.산군_붙여넣기'!$A$1:$AZ$1001,ROW(),설정!$C$7)&amp;"",""))</f>
        <v/>
      </c>
      <c r="F982">
        <f>IF(설정!$C$8="","",IFERROR(INDEX('1.산군_붙여넣기'!$A$1:$AZ$1001,ROW(),설정!$C$8)&amp;"",""))</f>
        <v/>
      </c>
      <c r="G982">
        <f>IF(설정!$C$9="","",IFERROR(INDEX('1.산군_붙여넣기'!$A$1:$AZ$1001,ROW(),설정!$C$9)&amp;"",""))</f>
        <v/>
      </c>
      <c r="H982">
        <f>IF(설정!$C$10="","",IFERROR(INDEX('1.산군_붙여넣기'!$A$1:$AZ$1001,ROW(),설정!$C$10)&amp;"",""))</f>
        <v/>
      </c>
      <c r="I982">
        <f>IF(설정!$C$11="","",IFERROR(INDEX('1.산군_붙여넣기'!$A$1:$AZ$1001,ROW(),설정!$C$11)&amp;"",""))</f>
        <v/>
      </c>
      <c r="J982">
        <f>IF(설정!$C$12="","",IFERROR(INDEX('1.산군_붙여넣기'!$A$1:$AZ$1001,ROW(),설정!$C$12)&amp;"",""))</f>
        <v/>
      </c>
      <c r="K982">
        <f>IF(설정!$C$13="","",IFERROR(INDEX('1.산군_붙여넣기'!$A$1:$AZ$1001,ROW(),설정!$C$13)&amp;"",""))</f>
        <v/>
      </c>
      <c r="L982" s="7">
        <f>IF(X982="","",IF(AND(LEN(X982)=8,ISNUMBER(X982*1)),DATE(LEFT(X982,4),MID(X982,5,2),RIGHT(X982,2)),IFERROR(DATEVALUE(SUBSTITUTE(SUBSTITUTE(X982,".","-"),"/","-")),IFERROR(X982*1,""))))</f>
        <v/>
      </c>
      <c r="M982" s="7">
        <f>IF(Y982="","",IF(AND(LEN(Y982)=8,ISNUMBER(Y982*1)),DATE(LEFT(Y982,4),MID(Y982,5,2),RIGHT(Y982,2)),IFERROR(DATEVALUE(SUBSTITUTE(SUBSTITUTE(Y982,".","-"),"/","-")),IFERROR(Y982*1,""))))</f>
        <v/>
      </c>
      <c r="N982">
        <f>IFERROR(LEFT(B982,FIND(" ",B982)-1),B982)</f>
        <v/>
      </c>
      <c r="O982">
        <f>AND(B982&lt;&gt;"",B982&lt;&gt;설정!$B$4,C982&lt;&gt;설정!$B$5)</f>
        <v/>
      </c>
      <c r="P982">
        <f>IF(O982,B982&amp;"|"&amp;C982,"")</f>
        <v/>
      </c>
      <c r="Q982">
        <f>AND(O982,COUNTIF(P983:P$1002,P982)=0)</f>
        <v/>
      </c>
      <c r="R982">
        <f>OR(AND(설정!$A$42&lt;&gt;"",ISNUMBER(SEARCH(설정!$A$42,E982&amp;" "&amp;C982))),AND(설정!$A$43&lt;&gt;"",ISNUMBER(SEARCH(설정!$A$43,E982&amp;" "&amp;C982))),AND(설정!$A$44&lt;&gt;"",ISNUMBER(SEARCH(설정!$A$44,E982&amp;" "&amp;C982))),AND(설정!$A$45&lt;&gt;"",ISNUMBER(SEARCH(설정!$A$45,E982&amp;" "&amp;C982))),AND(설정!$A$46&lt;&gt;"",ISNUMBER(SEARCH(설정!$A$46,E982&amp;" "&amp;C982))),AND(설정!$A$47&lt;&gt;"",ISNUMBER(SEARCH(설정!$A$47,E982&amp;" "&amp;C982))),AND(설정!$A$48&lt;&gt;"",ISNUMBER(SEARCH(설정!$A$48,E982&amp;" "&amp;C982))),AND(설정!$A$49&lt;&gt;"",ISNUMBER(SEARCH(설정!$A$49,E982&amp;" "&amp;C982))),AND(설정!$A$50&lt;&gt;"",ISNUMBER(SEARCH(설정!$A$50,E982&amp;" "&amp;C982))),AND(설정!$A$51&lt;&gt;"",ISNUMBER(SEARCH(설정!$A$51,E982&amp;" "&amp;C982))))</f>
        <v/>
      </c>
      <c r="S982">
        <f>OR(D982="",D982&gt;=설정!$B$19)</f>
        <v/>
      </c>
      <c r="T982">
        <f>AND(Q982,R982,S982)</f>
        <v/>
      </c>
      <c r="U982">
        <f>IF(T982,IF(AND(설정!$A$54&lt;&gt;"",ISNUMBER(SEARCH(설정!$A$54,K982))),설정!$B$54,IF(AND(설정!$A$55&lt;&gt;"",ISNUMBER(SEARCH(설정!$A$55,K982))),설정!$B$55,IF(AND(설정!$A$56&lt;&gt;"",ISNUMBER(SEARCH(설정!$A$56,K982))),설정!$B$56,IF(AND(설정!$A$57&lt;&gt;"",ISNUMBER(SEARCH(설정!$A$57,K982))),설정!$B$57,IF(AND(설정!$A$58&lt;&gt;"",ISNUMBER(SEARCH(설정!$A$58,K982))),설정!$B$58,IF(AND(설정!$A$59&lt;&gt;"",ISNUMBER(SEARCH(설정!$A$59,K982))),설정!$B$59,IF(AND(설정!$A$60&lt;&gt;"",ISNUMBER(SEARCH(설정!$A$60,K982))),설정!$B$60,IF(AND(설정!$A$61&lt;&gt;"",ISNUMBER(SEARCH(설정!$A$61,K982))),설정!$B$61,IF(M982="","설계사","시공사"))))))))),"")</f>
        <v/>
      </c>
      <c r="V982">
        <f>SUBSTITUTE(SUBSTITUTE(SUBSTITUTE(SUBSTITUTE(G982,"(주)",""),"㈜",""),"주식회사","")," ","")</f>
        <v/>
      </c>
      <c r="W982">
        <f>IF(AND(T982,V982&lt;&gt;""),IF(COUNTIFS(V$2:V982,V982,T$2:T982,TRUE)=1,MAX(W$1:W981)+1,""),"")</f>
        <v/>
      </c>
      <c r="X982">
        <f>IF(설정!$C$14="","",IFERROR(INDEX('1.산군_붙여넣기'!$A$1:$AZ$1001,ROW(),설정!$C$14)&amp;"",""))</f>
        <v/>
      </c>
      <c r="Y982">
        <f>IF(설정!$C$15="","",IFERROR(INDEX('1.산군_붙여넣기'!$A$1:$AZ$1001,ROW(),설정!$C$15)&amp;"",""))</f>
        <v/>
      </c>
      <c r="Z982">
        <f>IF(T982,V982&amp;"|"&amp;U982,"")</f>
        <v/>
      </c>
      <c r="AA982">
        <f>IF(NOT(Q982),"",IF(NOT(AND(R982,S982)),"✕",IF(OR(OR(AND(L982&lt;&gt;"",M982&lt;&gt;"",N(M982)-N(L982)&gt;설정!$B$27),AND(L982&lt;&gt;"",M982="",설정!$B$24-N(L982)&gt;설정!$B$27)),AND(D982&lt;&gt;"",D982&lt;설정!$B$26)),"△","★")))</f>
        <v/>
      </c>
      <c r="AB982">
        <f>IF(NOT(T982),"",IF(U982="설계사",설정!$B$31,IF(U982="시공사",IF(OR(M982="",설정!$B$24-N(M982)&lt;=설정!$B$28*30.4),설정!$B$32,설정!$B$33),설정!$B$34))+IF(AA982="★",설정!$B$35,0))</f>
        <v/>
      </c>
      <c r="AC982">
        <f>SUBSTITUTE(SUBSTITUTE(SUBSTITUTE(SUBSTITUTE(H982,"(주)",""),"㈜",""),"주식회사","")," ","")</f>
        <v/>
      </c>
      <c r="AD982">
        <f>IF(AND(T982,AC982&lt;&gt;""),IF(COUNTIFS(AC$2:AC982,AC982,T$2:T982,TRUE)=1,MAX(AD$1:AD981)+1,""),"")</f>
        <v/>
      </c>
    </row>
    <row r="983">
      <c r="A983">
        <f>ROW()</f>
        <v/>
      </c>
      <c r="B983">
        <f>IF(설정!$C$4="","",IFERROR(INDEX('1.산군_붙여넣기'!$A$1:$AZ$1001,ROW(),설정!$C$4)&amp;"",""))</f>
        <v/>
      </c>
      <c r="C983">
        <f>IF(설정!$C$5="","",IFERROR(INDEX('1.산군_붙여넣기'!$A$1:$AZ$1001,ROW(),설정!$C$5)&amp;"",""))</f>
        <v/>
      </c>
      <c r="D983" s="5">
        <f>IFERROR(VALUE(SUBSTITUTE(SUBSTITUTE(SUBSTITUTE(IF(설정!$C$6="","",IFERROR(INDEX('1.산군_붙여넣기'!$A$1:$AZ$1001,ROW(),설정!$C$6)&amp;"","")),",",""),"㎡",""),"m2","")),"")</f>
        <v/>
      </c>
      <c r="E983">
        <f>IF(설정!$C$7="","",IFERROR(INDEX('1.산군_붙여넣기'!$A$1:$AZ$1001,ROW(),설정!$C$7)&amp;"",""))</f>
        <v/>
      </c>
      <c r="F983">
        <f>IF(설정!$C$8="","",IFERROR(INDEX('1.산군_붙여넣기'!$A$1:$AZ$1001,ROW(),설정!$C$8)&amp;"",""))</f>
        <v/>
      </c>
      <c r="G983">
        <f>IF(설정!$C$9="","",IFERROR(INDEX('1.산군_붙여넣기'!$A$1:$AZ$1001,ROW(),설정!$C$9)&amp;"",""))</f>
        <v/>
      </c>
      <c r="H983">
        <f>IF(설정!$C$10="","",IFERROR(INDEX('1.산군_붙여넣기'!$A$1:$AZ$1001,ROW(),설정!$C$10)&amp;"",""))</f>
        <v/>
      </c>
      <c r="I983">
        <f>IF(설정!$C$11="","",IFERROR(INDEX('1.산군_붙여넣기'!$A$1:$AZ$1001,ROW(),설정!$C$11)&amp;"",""))</f>
        <v/>
      </c>
      <c r="J983">
        <f>IF(설정!$C$12="","",IFERROR(INDEX('1.산군_붙여넣기'!$A$1:$AZ$1001,ROW(),설정!$C$12)&amp;"",""))</f>
        <v/>
      </c>
      <c r="K983">
        <f>IF(설정!$C$13="","",IFERROR(INDEX('1.산군_붙여넣기'!$A$1:$AZ$1001,ROW(),설정!$C$13)&amp;"",""))</f>
        <v/>
      </c>
      <c r="L983" s="7">
        <f>IF(X983="","",IF(AND(LEN(X983)=8,ISNUMBER(X983*1)),DATE(LEFT(X983,4),MID(X983,5,2),RIGHT(X983,2)),IFERROR(DATEVALUE(SUBSTITUTE(SUBSTITUTE(X983,".","-"),"/","-")),IFERROR(X983*1,""))))</f>
        <v/>
      </c>
      <c r="M983" s="7">
        <f>IF(Y983="","",IF(AND(LEN(Y983)=8,ISNUMBER(Y983*1)),DATE(LEFT(Y983,4),MID(Y983,5,2),RIGHT(Y983,2)),IFERROR(DATEVALUE(SUBSTITUTE(SUBSTITUTE(Y983,".","-"),"/","-")),IFERROR(Y983*1,""))))</f>
        <v/>
      </c>
      <c r="N983">
        <f>IFERROR(LEFT(B983,FIND(" ",B983)-1),B983)</f>
        <v/>
      </c>
      <c r="O983">
        <f>AND(B983&lt;&gt;"",B983&lt;&gt;설정!$B$4,C983&lt;&gt;설정!$B$5)</f>
        <v/>
      </c>
      <c r="P983">
        <f>IF(O983,B983&amp;"|"&amp;C983,"")</f>
        <v/>
      </c>
      <c r="Q983">
        <f>AND(O983,COUNTIF(P984:P$1002,P983)=0)</f>
        <v/>
      </c>
      <c r="R983">
        <f>OR(AND(설정!$A$42&lt;&gt;"",ISNUMBER(SEARCH(설정!$A$42,E983&amp;" "&amp;C983))),AND(설정!$A$43&lt;&gt;"",ISNUMBER(SEARCH(설정!$A$43,E983&amp;" "&amp;C983))),AND(설정!$A$44&lt;&gt;"",ISNUMBER(SEARCH(설정!$A$44,E983&amp;" "&amp;C983))),AND(설정!$A$45&lt;&gt;"",ISNUMBER(SEARCH(설정!$A$45,E983&amp;" "&amp;C983))),AND(설정!$A$46&lt;&gt;"",ISNUMBER(SEARCH(설정!$A$46,E983&amp;" "&amp;C983))),AND(설정!$A$47&lt;&gt;"",ISNUMBER(SEARCH(설정!$A$47,E983&amp;" "&amp;C983))),AND(설정!$A$48&lt;&gt;"",ISNUMBER(SEARCH(설정!$A$48,E983&amp;" "&amp;C983))),AND(설정!$A$49&lt;&gt;"",ISNUMBER(SEARCH(설정!$A$49,E983&amp;" "&amp;C983))),AND(설정!$A$50&lt;&gt;"",ISNUMBER(SEARCH(설정!$A$50,E983&amp;" "&amp;C983))),AND(설정!$A$51&lt;&gt;"",ISNUMBER(SEARCH(설정!$A$51,E983&amp;" "&amp;C983))))</f>
        <v/>
      </c>
      <c r="S983">
        <f>OR(D983="",D983&gt;=설정!$B$19)</f>
        <v/>
      </c>
      <c r="T983">
        <f>AND(Q983,R983,S983)</f>
        <v/>
      </c>
      <c r="U983">
        <f>IF(T983,IF(AND(설정!$A$54&lt;&gt;"",ISNUMBER(SEARCH(설정!$A$54,K983))),설정!$B$54,IF(AND(설정!$A$55&lt;&gt;"",ISNUMBER(SEARCH(설정!$A$55,K983))),설정!$B$55,IF(AND(설정!$A$56&lt;&gt;"",ISNUMBER(SEARCH(설정!$A$56,K983))),설정!$B$56,IF(AND(설정!$A$57&lt;&gt;"",ISNUMBER(SEARCH(설정!$A$57,K983))),설정!$B$57,IF(AND(설정!$A$58&lt;&gt;"",ISNUMBER(SEARCH(설정!$A$58,K983))),설정!$B$58,IF(AND(설정!$A$59&lt;&gt;"",ISNUMBER(SEARCH(설정!$A$59,K983))),설정!$B$59,IF(AND(설정!$A$60&lt;&gt;"",ISNUMBER(SEARCH(설정!$A$60,K983))),설정!$B$60,IF(AND(설정!$A$61&lt;&gt;"",ISNUMBER(SEARCH(설정!$A$61,K983))),설정!$B$61,IF(M983="","설계사","시공사"))))))))),"")</f>
        <v/>
      </c>
      <c r="V983">
        <f>SUBSTITUTE(SUBSTITUTE(SUBSTITUTE(SUBSTITUTE(G983,"(주)",""),"㈜",""),"주식회사","")," ","")</f>
        <v/>
      </c>
      <c r="W983">
        <f>IF(AND(T983,V983&lt;&gt;""),IF(COUNTIFS(V$2:V983,V983,T$2:T983,TRUE)=1,MAX(W$1:W982)+1,""),"")</f>
        <v/>
      </c>
      <c r="X983">
        <f>IF(설정!$C$14="","",IFERROR(INDEX('1.산군_붙여넣기'!$A$1:$AZ$1001,ROW(),설정!$C$14)&amp;"",""))</f>
        <v/>
      </c>
      <c r="Y983">
        <f>IF(설정!$C$15="","",IFERROR(INDEX('1.산군_붙여넣기'!$A$1:$AZ$1001,ROW(),설정!$C$15)&amp;"",""))</f>
        <v/>
      </c>
      <c r="Z983">
        <f>IF(T983,V983&amp;"|"&amp;U983,"")</f>
        <v/>
      </c>
      <c r="AA983">
        <f>IF(NOT(Q983),"",IF(NOT(AND(R983,S983)),"✕",IF(OR(OR(AND(L983&lt;&gt;"",M983&lt;&gt;"",N(M983)-N(L983)&gt;설정!$B$27),AND(L983&lt;&gt;"",M983="",설정!$B$24-N(L983)&gt;설정!$B$27)),AND(D983&lt;&gt;"",D983&lt;설정!$B$26)),"△","★")))</f>
        <v/>
      </c>
      <c r="AB983">
        <f>IF(NOT(T983),"",IF(U983="설계사",설정!$B$31,IF(U983="시공사",IF(OR(M983="",설정!$B$24-N(M983)&lt;=설정!$B$28*30.4),설정!$B$32,설정!$B$33),설정!$B$34))+IF(AA983="★",설정!$B$35,0))</f>
        <v/>
      </c>
      <c r="AC983">
        <f>SUBSTITUTE(SUBSTITUTE(SUBSTITUTE(SUBSTITUTE(H983,"(주)",""),"㈜",""),"주식회사","")," ","")</f>
        <v/>
      </c>
      <c r="AD983">
        <f>IF(AND(T983,AC983&lt;&gt;""),IF(COUNTIFS(AC$2:AC983,AC983,T$2:T983,TRUE)=1,MAX(AD$1:AD982)+1,""),"")</f>
        <v/>
      </c>
    </row>
    <row r="984">
      <c r="A984">
        <f>ROW()</f>
        <v/>
      </c>
      <c r="B984">
        <f>IF(설정!$C$4="","",IFERROR(INDEX('1.산군_붙여넣기'!$A$1:$AZ$1001,ROW(),설정!$C$4)&amp;"",""))</f>
        <v/>
      </c>
      <c r="C984">
        <f>IF(설정!$C$5="","",IFERROR(INDEX('1.산군_붙여넣기'!$A$1:$AZ$1001,ROW(),설정!$C$5)&amp;"",""))</f>
        <v/>
      </c>
      <c r="D984" s="5">
        <f>IFERROR(VALUE(SUBSTITUTE(SUBSTITUTE(SUBSTITUTE(IF(설정!$C$6="","",IFERROR(INDEX('1.산군_붙여넣기'!$A$1:$AZ$1001,ROW(),설정!$C$6)&amp;"","")),",",""),"㎡",""),"m2","")),"")</f>
        <v/>
      </c>
      <c r="E984">
        <f>IF(설정!$C$7="","",IFERROR(INDEX('1.산군_붙여넣기'!$A$1:$AZ$1001,ROW(),설정!$C$7)&amp;"",""))</f>
        <v/>
      </c>
      <c r="F984">
        <f>IF(설정!$C$8="","",IFERROR(INDEX('1.산군_붙여넣기'!$A$1:$AZ$1001,ROW(),설정!$C$8)&amp;"",""))</f>
        <v/>
      </c>
      <c r="G984">
        <f>IF(설정!$C$9="","",IFERROR(INDEX('1.산군_붙여넣기'!$A$1:$AZ$1001,ROW(),설정!$C$9)&amp;"",""))</f>
        <v/>
      </c>
      <c r="H984">
        <f>IF(설정!$C$10="","",IFERROR(INDEX('1.산군_붙여넣기'!$A$1:$AZ$1001,ROW(),설정!$C$10)&amp;"",""))</f>
        <v/>
      </c>
      <c r="I984">
        <f>IF(설정!$C$11="","",IFERROR(INDEX('1.산군_붙여넣기'!$A$1:$AZ$1001,ROW(),설정!$C$11)&amp;"",""))</f>
        <v/>
      </c>
      <c r="J984">
        <f>IF(설정!$C$12="","",IFERROR(INDEX('1.산군_붙여넣기'!$A$1:$AZ$1001,ROW(),설정!$C$12)&amp;"",""))</f>
        <v/>
      </c>
      <c r="K984">
        <f>IF(설정!$C$13="","",IFERROR(INDEX('1.산군_붙여넣기'!$A$1:$AZ$1001,ROW(),설정!$C$13)&amp;"",""))</f>
        <v/>
      </c>
      <c r="L984" s="7">
        <f>IF(X984="","",IF(AND(LEN(X984)=8,ISNUMBER(X984*1)),DATE(LEFT(X984,4),MID(X984,5,2),RIGHT(X984,2)),IFERROR(DATEVALUE(SUBSTITUTE(SUBSTITUTE(X984,".","-"),"/","-")),IFERROR(X984*1,""))))</f>
        <v/>
      </c>
      <c r="M984" s="7">
        <f>IF(Y984="","",IF(AND(LEN(Y984)=8,ISNUMBER(Y984*1)),DATE(LEFT(Y984,4),MID(Y984,5,2),RIGHT(Y984,2)),IFERROR(DATEVALUE(SUBSTITUTE(SUBSTITUTE(Y984,".","-"),"/","-")),IFERROR(Y984*1,""))))</f>
        <v/>
      </c>
      <c r="N984">
        <f>IFERROR(LEFT(B984,FIND(" ",B984)-1),B984)</f>
        <v/>
      </c>
      <c r="O984">
        <f>AND(B984&lt;&gt;"",B984&lt;&gt;설정!$B$4,C984&lt;&gt;설정!$B$5)</f>
        <v/>
      </c>
      <c r="P984">
        <f>IF(O984,B984&amp;"|"&amp;C984,"")</f>
        <v/>
      </c>
      <c r="Q984">
        <f>AND(O984,COUNTIF(P985:P$1002,P984)=0)</f>
        <v/>
      </c>
      <c r="R984">
        <f>OR(AND(설정!$A$42&lt;&gt;"",ISNUMBER(SEARCH(설정!$A$42,E984&amp;" "&amp;C984))),AND(설정!$A$43&lt;&gt;"",ISNUMBER(SEARCH(설정!$A$43,E984&amp;" "&amp;C984))),AND(설정!$A$44&lt;&gt;"",ISNUMBER(SEARCH(설정!$A$44,E984&amp;" "&amp;C984))),AND(설정!$A$45&lt;&gt;"",ISNUMBER(SEARCH(설정!$A$45,E984&amp;" "&amp;C984))),AND(설정!$A$46&lt;&gt;"",ISNUMBER(SEARCH(설정!$A$46,E984&amp;" "&amp;C984))),AND(설정!$A$47&lt;&gt;"",ISNUMBER(SEARCH(설정!$A$47,E984&amp;" "&amp;C984))),AND(설정!$A$48&lt;&gt;"",ISNUMBER(SEARCH(설정!$A$48,E984&amp;" "&amp;C984))),AND(설정!$A$49&lt;&gt;"",ISNUMBER(SEARCH(설정!$A$49,E984&amp;" "&amp;C984))),AND(설정!$A$50&lt;&gt;"",ISNUMBER(SEARCH(설정!$A$50,E984&amp;" "&amp;C984))),AND(설정!$A$51&lt;&gt;"",ISNUMBER(SEARCH(설정!$A$51,E984&amp;" "&amp;C984))))</f>
        <v/>
      </c>
      <c r="S984">
        <f>OR(D984="",D984&gt;=설정!$B$19)</f>
        <v/>
      </c>
      <c r="T984">
        <f>AND(Q984,R984,S984)</f>
        <v/>
      </c>
      <c r="U984">
        <f>IF(T984,IF(AND(설정!$A$54&lt;&gt;"",ISNUMBER(SEARCH(설정!$A$54,K984))),설정!$B$54,IF(AND(설정!$A$55&lt;&gt;"",ISNUMBER(SEARCH(설정!$A$55,K984))),설정!$B$55,IF(AND(설정!$A$56&lt;&gt;"",ISNUMBER(SEARCH(설정!$A$56,K984))),설정!$B$56,IF(AND(설정!$A$57&lt;&gt;"",ISNUMBER(SEARCH(설정!$A$57,K984))),설정!$B$57,IF(AND(설정!$A$58&lt;&gt;"",ISNUMBER(SEARCH(설정!$A$58,K984))),설정!$B$58,IF(AND(설정!$A$59&lt;&gt;"",ISNUMBER(SEARCH(설정!$A$59,K984))),설정!$B$59,IF(AND(설정!$A$60&lt;&gt;"",ISNUMBER(SEARCH(설정!$A$60,K984))),설정!$B$60,IF(AND(설정!$A$61&lt;&gt;"",ISNUMBER(SEARCH(설정!$A$61,K984))),설정!$B$61,IF(M984="","설계사","시공사"))))))))),"")</f>
        <v/>
      </c>
      <c r="V984">
        <f>SUBSTITUTE(SUBSTITUTE(SUBSTITUTE(SUBSTITUTE(G984,"(주)",""),"㈜",""),"주식회사","")," ","")</f>
        <v/>
      </c>
      <c r="W984">
        <f>IF(AND(T984,V984&lt;&gt;""),IF(COUNTIFS(V$2:V984,V984,T$2:T984,TRUE)=1,MAX(W$1:W983)+1,""),"")</f>
        <v/>
      </c>
      <c r="X984">
        <f>IF(설정!$C$14="","",IFERROR(INDEX('1.산군_붙여넣기'!$A$1:$AZ$1001,ROW(),설정!$C$14)&amp;"",""))</f>
        <v/>
      </c>
      <c r="Y984">
        <f>IF(설정!$C$15="","",IFERROR(INDEX('1.산군_붙여넣기'!$A$1:$AZ$1001,ROW(),설정!$C$15)&amp;"",""))</f>
        <v/>
      </c>
      <c r="Z984">
        <f>IF(T984,V984&amp;"|"&amp;U984,"")</f>
        <v/>
      </c>
      <c r="AA984">
        <f>IF(NOT(Q984),"",IF(NOT(AND(R984,S984)),"✕",IF(OR(OR(AND(L984&lt;&gt;"",M984&lt;&gt;"",N(M984)-N(L984)&gt;설정!$B$27),AND(L984&lt;&gt;"",M984="",설정!$B$24-N(L984)&gt;설정!$B$27)),AND(D984&lt;&gt;"",D984&lt;설정!$B$26)),"△","★")))</f>
        <v/>
      </c>
      <c r="AB984">
        <f>IF(NOT(T984),"",IF(U984="설계사",설정!$B$31,IF(U984="시공사",IF(OR(M984="",설정!$B$24-N(M984)&lt;=설정!$B$28*30.4),설정!$B$32,설정!$B$33),설정!$B$34))+IF(AA984="★",설정!$B$35,0))</f>
        <v/>
      </c>
      <c r="AC984">
        <f>SUBSTITUTE(SUBSTITUTE(SUBSTITUTE(SUBSTITUTE(H984,"(주)",""),"㈜",""),"주식회사","")," ","")</f>
        <v/>
      </c>
      <c r="AD984">
        <f>IF(AND(T984,AC984&lt;&gt;""),IF(COUNTIFS(AC$2:AC984,AC984,T$2:T984,TRUE)=1,MAX(AD$1:AD983)+1,""),"")</f>
        <v/>
      </c>
    </row>
    <row r="985">
      <c r="A985">
        <f>ROW()</f>
        <v/>
      </c>
      <c r="B985">
        <f>IF(설정!$C$4="","",IFERROR(INDEX('1.산군_붙여넣기'!$A$1:$AZ$1001,ROW(),설정!$C$4)&amp;"",""))</f>
        <v/>
      </c>
      <c r="C985">
        <f>IF(설정!$C$5="","",IFERROR(INDEX('1.산군_붙여넣기'!$A$1:$AZ$1001,ROW(),설정!$C$5)&amp;"",""))</f>
        <v/>
      </c>
      <c r="D985" s="5">
        <f>IFERROR(VALUE(SUBSTITUTE(SUBSTITUTE(SUBSTITUTE(IF(설정!$C$6="","",IFERROR(INDEX('1.산군_붙여넣기'!$A$1:$AZ$1001,ROW(),설정!$C$6)&amp;"","")),",",""),"㎡",""),"m2","")),"")</f>
        <v/>
      </c>
      <c r="E985">
        <f>IF(설정!$C$7="","",IFERROR(INDEX('1.산군_붙여넣기'!$A$1:$AZ$1001,ROW(),설정!$C$7)&amp;"",""))</f>
        <v/>
      </c>
      <c r="F985">
        <f>IF(설정!$C$8="","",IFERROR(INDEX('1.산군_붙여넣기'!$A$1:$AZ$1001,ROW(),설정!$C$8)&amp;"",""))</f>
        <v/>
      </c>
      <c r="G985">
        <f>IF(설정!$C$9="","",IFERROR(INDEX('1.산군_붙여넣기'!$A$1:$AZ$1001,ROW(),설정!$C$9)&amp;"",""))</f>
        <v/>
      </c>
      <c r="H985">
        <f>IF(설정!$C$10="","",IFERROR(INDEX('1.산군_붙여넣기'!$A$1:$AZ$1001,ROW(),설정!$C$10)&amp;"",""))</f>
        <v/>
      </c>
      <c r="I985">
        <f>IF(설정!$C$11="","",IFERROR(INDEX('1.산군_붙여넣기'!$A$1:$AZ$1001,ROW(),설정!$C$11)&amp;"",""))</f>
        <v/>
      </c>
      <c r="J985">
        <f>IF(설정!$C$12="","",IFERROR(INDEX('1.산군_붙여넣기'!$A$1:$AZ$1001,ROW(),설정!$C$12)&amp;"",""))</f>
        <v/>
      </c>
      <c r="K985">
        <f>IF(설정!$C$13="","",IFERROR(INDEX('1.산군_붙여넣기'!$A$1:$AZ$1001,ROW(),설정!$C$13)&amp;"",""))</f>
        <v/>
      </c>
      <c r="L985" s="7">
        <f>IF(X985="","",IF(AND(LEN(X985)=8,ISNUMBER(X985*1)),DATE(LEFT(X985,4),MID(X985,5,2),RIGHT(X985,2)),IFERROR(DATEVALUE(SUBSTITUTE(SUBSTITUTE(X985,".","-"),"/","-")),IFERROR(X985*1,""))))</f>
        <v/>
      </c>
      <c r="M985" s="7">
        <f>IF(Y985="","",IF(AND(LEN(Y985)=8,ISNUMBER(Y985*1)),DATE(LEFT(Y985,4),MID(Y985,5,2),RIGHT(Y985,2)),IFERROR(DATEVALUE(SUBSTITUTE(SUBSTITUTE(Y985,".","-"),"/","-")),IFERROR(Y985*1,""))))</f>
        <v/>
      </c>
      <c r="N985">
        <f>IFERROR(LEFT(B985,FIND(" ",B985)-1),B985)</f>
        <v/>
      </c>
      <c r="O985">
        <f>AND(B985&lt;&gt;"",B985&lt;&gt;설정!$B$4,C985&lt;&gt;설정!$B$5)</f>
        <v/>
      </c>
      <c r="P985">
        <f>IF(O985,B985&amp;"|"&amp;C985,"")</f>
        <v/>
      </c>
      <c r="Q985">
        <f>AND(O985,COUNTIF(P986:P$1002,P985)=0)</f>
        <v/>
      </c>
      <c r="R985">
        <f>OR(AND(설정!$A$42&lt;&gt;"",ISNUMBER(SEARCH(설정!$A$42,E985&amp;" "&amp;C985))),AND(설정!$A$43&lt;&gt;"",ISNUMBER(SEARCH(설정!$A$43,E985&amp;" "&amp;C985))),AND(설정!$A$44&lt;&gt;"",ISNUMBER(SEARCH(설정!$A$44,E985&amp;" "&amp;C985))),AND(설정!$A$45&lt;&gt;"",ISNUMBER(SEARCH(설정!$A$45,E985&amp;" "&amp;C985))),AND(설정!$A$46&lt;&gt;"",ISNUMBER(SEARCH(설정!$A$46,E985&amp;" "&amp;C985))),AND(설정!$A$47&lt;&gt;"",ISNUMBER(SEARCH(설정!$A$47,E985&amp;" "&amp;C985))),AND(설정!$A$48&lt;&gt;"",ISNUMBER(SEARCH(설정!$A$48,E985&amp;" "&amp;C985))),AND(설정!$A$49&lt;&gt;"",ISNUMBER(SEARCH(설정!$A$49,E985&amp;" "&amp;C985))),AND(설정!$A$50&lt;&gt;"",ISNUMBER(SEARCH(설정!$A$50,E985&amp;" "&amp;C985))),AND(설정!$A$51&lt;&gt;"",ISNUMBER(SEARCH(설정!$A$51,E985&amp;" "&amp;C985))))</f>
        <v/>
      </c>
      <c r="S985">
        <f>OR(D985="",D985&gt;=설정!$B$19)</f>
        <v/>
      </c>
      <c r="T985">
        <f>AND(Q985,R985,S985)</f>
        <v/>
      </c>
      <c r="U985">
        <f>IF(T985,IF(AND(설정!$A$54&lt;&gt;"",ISNUMBER(SEARCH(설정!$A$54,K985))),설정!$B$54,IF(AND(설정!$A$55&lt;&gt;"",ISNUMBER(SEARCH(설정!$A$55,K985))),설정!$B$55,IF(AND(설정!$A$56&lt;&gt;"",ISNUMBER(SEARCH(설정!$A$56,K985))),설정!$B$56,IF(AND(설정!$A$57&lt;&gt;"",ISNUMBER(SEARCH(설정!$A$57,K985))),설정!$B$57,IF(AND(설정!$A$58&lt;&gt;"",ISNUMBER(SEARCH(설정!$A$58,K985))),설정!$B$58,IF(AND(설정!$A$59&lt;&gt;"",ISNUMBER(SEARCH(설정!$A$59,K985))),설정!$B$59,IF(AND(설정!$A$60&lt;&gt;"",ISNUMBER(SEARCH(설정!$A$60,K985))),설정!$B$60,IF(AND(설정!$A$61&lt;&gt;"",ISNUMBER(SEARCH(설정!$A$61,K985))),설정!$B$61,IF(M985="","설계사","시공사"))))))))),"")</f>
        <v/>
      </c>
      <c r="V985">
        <f>SUBSTITUTE(SUBSTITUTE(SUBSTITUTE(SUBSTITUTE(G985,"(주)",""),"㈜",""),"주식회사","")," ","")</f>
        <v/>
      </c>
      <c r="W985">
        <f>IF(AND(T985,V985&lt;&gt;""),IF(COUNTIFS(V$2:V985,V985,T$2:T985,TRUE)=1,MAX(W$1:W984)+1,""),"")</f>
        <v/>
      </c>
      <c r="X985">
        <f>IF(설정!$C$14="","",IFERROR(INDEX('1.산군_붙여넣기'!$A$1:$AZ$1001,ROW(),설정!$C$14)&amp;"",""))</f>
        <v/>
      </c>
      <c r="Y985">
        <f>IF(설정!$C$15="","",IFERROR(INDEX('1.산군_붙여넣기'!$A$1:$AZ$1001,ROW(),설정!$C$15)&amp;"",""))</f>
        <v/>
      </c>
      <c r="Z985">
        <f>IF(T985,V985&amp;"|"&amp;U985,"")</f>
        <v/>
      </c>
      <c r="AA985">
        <f>IF(NOT(Q985),"",IF(NOT(AND(R985,S985)),"✕",IF(OR(OR(AND(L985&lt;&gt;"",M985&lt;&gt;"",N(M985)-N(L985)&gt;설정!$B$27),AND(L985&lt;&gt;"",M985="",설정!$B$24-N(L985)&gt;설정!$B$27)),AND(D985&lt;&gt;"",D985&lt;설정!$B$26)),"△","★")))</f>
        <v/>
      </c>
      <c r="AB985">
        <f>IF(NOT(T985),"",IF(U985="설계사",설정!$B$31,IF(U985="시공사",IF(OR(M985="",설정!$B$24-N(M985)&lt;=설정!$B$28*30.4),설정!$B$32,설정!$B$33),설정!$B$34))+IF(AA985="★",설정!$B$35,0))</f>
        <v/>
      </c>
      <c r="AC985">
        <f>SUBSTITUTE(SUBSTITUTE(SUBSTITUTE(SUBSTITUTE(H985,"(주)",""),"㈜",""),"주식회사","")," ","")</f>
        <v/>
      </c>
      <c r="AD985">
        <f>IF(AND(T985,AC985&lt;&gt;""),IF(COUNTIFS(AC$2:AC985,AC985,T$2:T985,TRUE)=1,MAX(AD$1:AD984)+1,""),"")</f>
        <v/>
      </c>
    </row>
    <row r="986">
      <c r="A986">
        <f>ROW()</f>
        <v/>
      </c>
      <c r="B986">
        <f>IF(설정!$C$4="","",IFERROR(INDEX('1.산군_붙여넣기'!$A$1:$AZ$1001,ROW(),설정!$C$4)&amp;"",""))</f>
        <v/>
      </c>
      <c r="C986">
        <f>IF(설정!$C$5="","",IFERROR(INDEX('1.산군_붙여넣기'!$A$1:$AZ$1001,ROW(),설정!$C$5)&amp;"",""))</f>
        <v/>
      </c>
      <c r="D986" s="5">
        <f>IFERROR(VALUE(SUBSTITUTE(SUBSTITUTE(SUBSTITUTE(IF(설정!$C$6="","",IFERROR(INDEX('1.산군_붙여넣기'!$A$1:$AZ$1001,ROW(),설정!$C$6)&amp;"","")),",",""),"㎡",""),"m2","")),"")</f>
        <v/>
      </c>
      <c r="E986">
        <f>IF(설정!$C$7="","",IFERROR(INDEX('1.산군_붙여넣기'!$A$1:$AZ$1001,ROW(),설정!$C$7)&amp;"",""))</f>
        <v/>
      </c>
      <c r="F986">
        <f>IF(설정!$C$8="","",IFERROR(INDEX('1.산군_붙여넣기'!$A$1:$AZ$1001,ROW(),설정!$C$8)&amp;"",""))</f>
        <v/>
      </c>
      <c r="G986">
        <f>IF(설정!$C$9="","",IFERROR(INDEX('1.산군_붙여넣기'!$A$1:$AZ$1001,ROW(),설정!$C$9)&amp;"",""))</f>
        <v/>
      </c>
      <c r="H986">
        <f>IF(설정!$C$10="","",IFERROR(INDEX('1.산군_붙여넣기'!$A$1:$AZ$1001,ROW(),설정!$C$10)&amp;"",""))</f>
        <v/>
      </c>
      <c r="I986">
        <f>IF(설정!$C$11="","",IFERROR(INDEX('1.산군_붙여넣기'!$A$1:$AZ$1001,ROW(),설정!$C$11)&amp;"",""))</f>
        <v/>
      </c>
      <c r="J986">
        <f>IF(설정!$C$12="","",IFERROR(INDEX('1.산군_붙여넣기'!$A$1:$AZ$1001,ROW(),설정!$C$12)&amp;"",""))</f>
        <v/>
      </c>
      <c r="K986">
        <f>IF(설정!$C$13="","",IFERROR(INDEX('1.산군_붙여넣기'!$A$1:$AZ$1001,ROW(),설정!$C$13)&amp;"",""))</f>
        <v/>
      </c>
      <c r="L986" s="7">
        <f>IF(X986="","",IF(AND(LEN(X986)=8,ISNUMBER(X986*1)),DATE(LEFT(X986,4),MID(X986,5,2),RIGHT(X986,2)),IFERROR(DATEVALUE(SUBSTITUTE(SUBSTITUTE(X986,".","-"),"/","-")),IFERROR(X986*1,""))))</f>
        <v/>
      </c>
      <c r="M986" s="7">
        <f>IF(Y986="","",IF(AND(LEN(Y986)=8,ISNUMBER(Y986*1)),DATE(LEFT(Y986,4),MID(Y986,5,2),RIGHT(Y986,2)),IFERROR(DATEVALUE(SUBSTITUTE(SUBSTITUTE(Y986,".","-"),"/","-")),IFERROR(Y986*1,""))))</f>
        <v/>
      </c>
      <c r="N986">
        <f>IFERROR(LEFT(B986,FIND(" ",B986)-1),B986)</f>
        <v/>
      </c>
      <c r="O986">
        <f>AND(B986&lt;&gt;"",B986&lt;&gt;설정!$B$4,C986&lt;&gt;설정!$B$5)</f>
        <v/>
      </c>
      <c r="P986">
        <f>IF(O986,B986&amp;"|"&amp;C986,"")</f>
        <v/>
      </c>
      <c r="Q986">
        <f>AND(O986,COUNTIF(P987:P$1002,P986)=0)</f>
        <v/>
      </c>
      <c r="R986">
        <f>OR(AND(설정!$A$42&lt;&gt;"",ISNUMBER(SEARCH(설정!$A$42,E986&amp;" "&amp;C986))),AND(설정!$A$43&lt;&gt;"",ISNUMBER(SEARCH(설정!$A$43,E986&amp;" "&amp;C986))),AND(설정!$A$44&lt;&gt;"",ISNUMBER(SEARCH(설정!$A$44,E986&amp;" "&amp;C986))),AND(설정!$A$45&lt;&gt;"",ISNUMBER(SEARCH(설정!$A$45,E986&amp;" "&amp;C986))),AND(설정!$A$46&lt;&gt;"",ISNUMBER(SEARCH(설정!$A$46,E986&amp;" "&amp;C986))),AND(설정!$A$47&lt;&gt;"",ISNUMBER(SEARCH(설정!$A$47,E986&amp;" "&amp;C986))),AND(설정!$A$48&lt;&gt;"",ISNUMBER(SEARCH(설정!$A$48,E986&amp;" "&amp;C986))),AND(설정!$A$49&lt;&gt;"",ISNUMBER(SEARCH(설정!$A$49,E986&amp;" "&amp;C986))),AND(설정!$A$50&lt;&gt;"",ISNUMBER(SEARCH(설정!$A$50,E986&amp;" "&amp;C986))),AND(설정!$A$51&lt;&gt;"",ISNUMBER(SEARCH(설정!$A$51,E986&amp;" "&amp;C986))))</f>
        <v/>
      </c>
      <c r="S986">
        <f>OR(D986="",D986&gt;=설정!$B$19)</f>
        <v/>
      </c>
      <c r="T986">
        <f>AND(Q986,R986,S986)</f>
        <v/>
      </c>
      <c r="U986">
        <f>IF(T986,IF(AND(설정!$A$54&lt;&gt;"",ISNUMBER(SEARCH(설정!$A$54,K986))),설정!$B$54,IF(AND(설정!$A$55&lt;&gt;"",ISNUMBER(SEARCH(설정!$A$55,K986))),설정!$B$55,IF(AND(설정!$A$56&lt;&gt;"",ISNUMBER(SEARCH(설정!$A$56,K986))),설정!$B$56,IF(AND(설정!$A$57&lt;&gt;"",ISNUMBER(SEARCH(설정!$A$57,K986))),설정!$B$57,IF(AND(설정!$A$58&lt;&gt;"",ISNUMBER(SEARCH(설정!$A$58,K986))),설정!$B$58,IF(AND(설정!$A$59&lt;&gt;"",ISNUMBER(SEARCH(설정!$A$59,K986))),설정!$B$59,IF(AND(설정!$A$60&lt;&gt;"",ISNUMBER(SEARCH(설정!$A$60,K986))),설정!$B$60,IF(AND(설정!$A$61&lt;&gt;"",ISNUMBER(SEARCH(설정!$A$61,K986))),설정!$B$61,IF(M986="","설계사","시공사"))))))))),"")</f>
        <v/>
      </c>
      <c r="V986">
        <f>SUBSTITUTE(SUBSTITUTE(SUBSTITUTE(SUBSTITUTE(G986,"(주)",""),"㈜",""),"주식회사","")," ","")</f>
        <v/>
      </c>
      <c r="W986">
        <f>IF(AND(T986,V986&lt;&gt;""),IF(COUNTIFS(V$2:V986,V986,T$2:T986,TRUE)=1,MAX(W$1:W985)+1,""),"")</f>
        <v/>
      </c>
      <c r="X986">
        <f>IF(설정!$C$14="","",IFERROR(INDEX('1.산군_붙여넣기'!$A$1:$AZ$1001,ROW(),설정!$C$14)&amp;"",""))</f>
        <v/>
      </c>
      <c r="Y986">
        <f>IF(설정!$C$15="","",IFERROR(INDEX('1.산군_붙여넣기'!$A$1:$AZ$1001,ROW(),설정!$C$15)&amp;"",""))</f>
        <v/>
      </c>
      <c r="Z986">
        <f>IF(T986,V986&amp;"|"&amp;U986,"")</f>
        <v/>
      </c>
      <c r="AA986">
        <f>IF(NOT(Q986),"",IF(NOT(AND(R986,S986)),"✕",IF(OR(OR(AND(L986&lt;&gt;"",M986&lt;&gt;"",N(M986)-N(L986)&gt;설정!$B$27),AND(L986&lt;&gt;"",M986="",설정!$B$24-N(L986)&gt;설정!$B$27)),AND(D986&lt;&gt;"",D986&lt;설정!$B$26)),"△","★")))</f>
        <v/>
      </c>
      <c r="AB986">
        <f>IF(NOT(T986),"",IF(U986="설계사",설정!$B$31,IF(U986="시공사",IF(OR(M986="",설정!$B$24-N(M986)&lt;=설정!$B$28*30.4),설정!$B$32,설정!$B$33),설정!$B$34))+IF(AA986="★",설정!$B$35,0))</f>
        <v/>
      </c>
      <c r="AC986">
        <f>SUBSTITUTE(SUBSTITUTE(SUBSTITUTE(SUBSTITUTE(H986,"(주)",""),"㈜",""),"주식회사","")," ","")</f>
        <v/>
      </c>
      <c r="AD986">
        <f>IF(AND(T986,AC986&lt;&gt;""),IF(COUNTIFS(AC$2:AC986,AC986,T$2:T986,TRUE)=1,MAX(AD$1:AD985)+1,""),"")</f>
        <v/>
      </c>
    </row>
    <row r="987">
      <c r="A987">
        <f>ROW()</f>
        <v/>
      </c>
      <c r="B987">
        <f>IF(설정!$C$4="","",IFERROR(INDEX('1.산군_붙여넣기'!$A$1:$AZ$1001,ROW(),설정!$C$4)&amp;"",""))</f>
        <v/>
      </c>
      <c r="C987">
        <f>IF(설정!$C$5="","",IFERROR(INDEX('1.산군_붙여넣기'!$A$1:$AZ$1001,ROW(),설정!$C$5)&amp;"",""))</f>
        <v/>
      </c>
      <c r="D987" s="5">
        <f>IFERROR(VALUE(SUBSTITUTE(SUBSTITUTE(SUBSTITUTE(IF(설정!$C$6="","",IFERROR(INDEX('1.산군_붙여넣기'!$A$1:$AZ$1001,ROW(),설정!$C$6)&amp;"","")),",",""),"㎡",""),"m2","")),"")</f>
        <v/>
      </c>
      <c r="E987">
        <f>IF(설정!$C$7="","",IFERROR(INDEX('1.산군_붙여넣기'!$A$1:$AZ$1001,ROW(),설정!$C$7)&amp;"",""))</f>
        <v/>
      </c>
      <c r="F987">
        <f>IF(설정!$C$8="","",IFERROR(INDEX('1.산군_붙여넣기'!$A$1:$AZ$1001,ROW(),설정!$C$8)&amp;"",""))</f>
        <v/>
      </c>
      <c r="G987">
        <f>IF(설정!$C$9="","",IFERROR(INDEX('1.산군_붙여넣기'!$A$1:$AZ$1001,ROW(),설정!$C$9)&amp;"",""))</f>
        <v/>
      </c>
      <c r="H987">
        <f>IF(설정!$C$10="","",IFERROR(INDEX('1.산군_붙여넣기'!$A$1:$AZ$1001,ROW(),설정!$C$10)&amp;"",""))</f>
        <v/>
      </c>
      <c r="I987">
        <f>IF(설정!$C$11="","",IFERROR(INDEX('1.산군_붙여넣기'!$A$1:$AZ$1001,ROW(),설정!$C$11)&amp;"",""))</f>
        <v/>
      </c>
      <c r="J987">
        <f>IF(설정!$C$12="","",IFERROR(INDEX('1.산군_붙여넣기'!$A$1:$AZ$1001,ROW(),설정!$C$12)&amp;"",""))</f>
        <v/>
      </c>
      <c r="K987">
        <f>IF(설정!$C$13="","",IFERROR(INDEX('1.산군_붙여넣기'!$A$1:$AZ$1001,ROW(),설정!$C$13)&amp;"",""))</f>
        <v/>
      </c>
      <c r="L987" s="7">
        <f>IF(X987="","",IF(AND(LEN(X987)=8,ISNUMBER(X987*1)),DATE(LEFT(X987,4),MID(X987,5,2),RIGHT(X987,2)),IFERROR(DATEVALUE(SUBSTITUTE(SUBSTITUTE(X987,".","-"),"/","-")),IFERROR(X987*1,""))))</f>
        <v/>
      </c>
      <c r="M987" s="7">
        <f>IF(Y987="","",IF(AND(LEN(Y987)=8,ISNUMBER(Y987*1)),DATE(LEFT(Y987,4),MID(Y987,5,2),RIGHT(Y987,2)),IFERROR(DATEVALUE(SUBSTITUTE(SUBSTITUTE(Y987,".","-"),"/","-")),IFERROR(Y987*1,""))))</f>
        <v/>
      </c>
      <c r="N987">
        <f>IFERROR(LEFT(B987,FIND(" ",B987)-1),B987)</f>
        <v/>
      </c>
      <c r="O987">
        <f>AND(B987&lt;&gt;"",B987&lt;&gt;설정!$B$4,C987&lt;&gt;설정!$B$5)</f>
        <v/>
      </c>
      <c r="P987">
        <f>IF(O987,B987&amp;"|"&amp;C987,"")</f>
        <v/>
      </c>
      <c r="Q987">
        <f>AND(O987,COUNTIF(P988:P$1002,P987)=0)</f>
        <v/>
      </c>
      <c r="R987">
        <f>OR(AND(설정!$A$42&lt;&gt;"",ISNUMBER(SEARCH(설정!$A$42,E987&amp;" "&amp;C987))),AND(설정!$A$43&lt;&gt;"",ISNUMBER(SEARCH(설정!$A$43,E987&amp;" "&amp;C987))),AND(설정!$A$44&lt;&gt;"",ISNUMBER(SEARCH(설정!$A$44,E987&amp;" "&amp;C987))),AND(설정!$A$45&lt;&gt;"",ISNUMBER(SEARCH(설정!$A$45,E987&amp;" "&amp;C987))),AND(설정!$A$46&lt;&gt;"",ISNUMBER(SEARCH(설정!$A$46,E987&amp;" "&amp;C987))),AND(설정!$A$47&lt;&gt;"",ISNUMBER(SEARCH(설정!$A$47,E987&amp;" "&amp;C987))),AND(설정!$A$48&lt;&gt;"",ISNUMBER(SEARCH(설정!$A$48,E987&amp;" "&amp;C987))),AND(설정!$A$49&lt;&gt;"",ISNUMBER(SEARCH(설정!$A$49,E987&amp;" "&amp;C987))),AND(설정!$A$50&lt;&gt;"",ISNUMBER(SEARCH(설정!$A$50,E987&amp;" "&amp;C987))),AND(설정!$A$51&lt;&gt;"",ISNUMBER(SEARCH(설정!$A$51,E987&amp;" "&amp;C987))))</f>
        <v/>
      </c>
      <c r="S987">
        <f>OR(D987="",D987&gt;=설정!$B$19)</f>
        <v/>
      </c>
      <c r="T987">
        <f>AND(Q987,R987,S987)</f>
        <v/>
      </c>
      <c r="U987">
        <f>IF(T987,IF(AND(설정!$A$54&lt;&gt;"",ISNUMBER(SEARCH(설정!$A$54,K987))),설정!$B$54,IF(AND(설정!$A$55&lt;&gt;"",ISNUMBER(SEARCH(설정!$A$55,K987))),설정!$B$55,IF(AND(설정!$A$56&lt;&gt;"",ISNUMBER(SEARCH(설정!$A$56,K987))),설정!$B$56,IF(AND(설정!$A$57&lt;&gt;"",ISNUMBER(SEARCH(설정!$A$57,K987))),설정!$B$57,IF(AND(설정!$A$58&lt;&gt;"",ISNUMBER(SEARCH(설정!$A$58,K987))),설정!$B$58,IF(AND(설정!$A$59&lt;&gt;"",ISNUMBER(SEARCH(설정!$A$59,K987))),설정!$B$59,IF(AND(설정!$A$60&lt;&gt;"",ISNUMBER(SEARCH(설정!$A$60,K987))),설정!$B$60,IF(AND(설정!$A$61&lt;&gt;"",ISNUMBER(SEARCH(설정!$A$61,K987))),설정!$B$61,IF(M987="","설계사","시공사"))))))))),"")</f>
        <v/>
      </c>
      <c r="V987">
        <f>SUBSTITUTE(SUBSTITUTE(SUBSTITUTE(SUBSTITUTE(G987,"(주)",""),"㈜",""),"주식회사","")," ","")</f>
        <v/>
      </c>
      <c r="W987">
        <f>IF(AND(T987,V987&lt;&gt;""),IF(COUNTIFS(V$2:V987,V987,T$2:T987,TRUE)=1,MAX(W$1:W986)+1,""),"")</f>
        <v/>
      </c>
      <c r="X987">
        <f>IF(설정!$C$14="","",IFERROR(INDEX('1.산군_붙여넣기'!$A$1:$AZ$1001,ROW(),설정!$C$14)&amp;"",""))</f>
        <v/>
      </c>
      <c r="Y987">
        <f>IF(설정!$C$15="","",IFERROR(INDEX('1.산군_붙여넣기'!$A$1:$AZ$1001,ROW(),설정!$C$15)&amp;"",""))</f>
        <v/>
      </c>
      <c r="Z987">
        <f>IF(T987,V987&amp;"|"&amp;U987,"")</f>
        <v/>
      </c>
      <c r="AA987">
        <f>IF(NOT(Q987),"",IF(NOT(AND(R987,S987)),"✕",IF(OR(OR(AND(L987&lt;&gt;"",M987&lt;&gt;"",N(M987)-N(L987)&gt;설정!$B$27),AND(L987&lt;&gt;"",M987="",설정!$B$24-N(L987)&gt;설정!$B$27)),AND(D987&lt;&gt;"",D987&lt;설정!$B$26)),"△","★")))</f>
        <v/>
      </c>
      <c r="AB987">
        <f>IF(NOT(T987),"",IF(U987="설계사",설정!$B$31,IF(U987="시공사",IF(OR(M987="",설정!$B$24-N(M987)&lt;=설정!$B$28*30.4),설정!$B$32,설정!$B$33),설정!$B$34))+IF(AA987="★",설정!$B$35,0))</f>
        <v/>
      </c>
      <c r="AC987">
        <f>SUBSTITUTE(SUBSTITUTE(SUBSTITUTE(SUBSTITUTE(H987,"(주)",""),"㈜",""),"주식회사","")," ","")</f>
        <v/>
      </c>
      <c r="AD987">
        <f>IF(AND(T987,AC987&lt;&gt;""),IF(COUNTIFS(AC$2:AC987,AC987,T$2:T987,TRUE)=1,MAX(AD$1:AD986)+1,""),"")</f>
        <v/>
      </c>
    </row>
    <row r="988">
      <c r="A988">
        <f>ROW()</f>
        <v/>
      </c>
      <c r="B988">
        <f>IF(설정!$C$4="","",IFERROR(INDEX('1.산군_붙여넣기'!$A$1:$AZ$1001,ROW(),설정!$C$4)&amp;"",""))</f>
        <v/>
      </c>
      <c r="C988">
        <f>IF(설정!$C$5="","",IFERROR(INDEX('1.산군_붙여넣기'!$A$1:$AZ$1001,ROW(),설정!$C$5)&amp;"",""))</f>
        <v/>
      </c>
      <c r="D988" s="5">
        <f>IFERROR(VALUE(SUBSTITUTE(SUBSTITUTE(SUBSTITUTE(IF(설정!$C$6="","",IFERROR(INDEX('1.산군_붙여넣기'!$A$1:$AZ$1001,ROW(),설정!$C$6)&amp;"","")),",",""),"㎡",""),"m2","")),"")</f>
        <v/>
      </c>
      <c r="E988">
        <f>IF(설정!$C$7="","",IFERROR(INDEX('1.산군_붙여넣기'!$A$1:$AZ$1001,ROW(),설정!$C$7)&amp;"",""))</f>
        <v/>
      </c>
      <c r="F988">
        <f>IF(설정!$C$8="","",IFERROR(INDEX('1.산군_붙여넣기'!$A$1:$AZ$1001,ROW(),설정!$C$8)&amp;"",""))</f>
        <v/>
      </c>
      <c r="G988">
        <f>IF(설정!$C$9="","",IFERROR(INDEX('1.산군_붙여넣기'!$A$1:$AZ$1001,ROW(),설정!$C$9)&amp;"",""))</f>
        <v/>
      </c>
      <c r="H988">
        <f>IF(설정!$C$10="","",IFERROR(INDEX('1.산군_붙여넣기'!$A$1:$AZ$1001,ROW(),설정!$C$10)&amp;"",""))</f>
        <v/>
      </c>
      <c r="I988">
        <f>IF(설정!$C$11="","",IFERROR(INDEX('1.산군_붙여넣기'!$A$1:$AZ$1001,ROW(),설정!$C$11)&amp;"",""))</f>
        <v/>
      </c>
      <c r="J988">
        <f>IF(설정!$C$12="","",IFERROR(INDEX('1.산군_붙여넣기'!$A$1:$AZ$1001,ROW(),설정!$C$12)&amp;"",""))</f>
        <v/>
      </c>
      <c r="K988">
        <f>IF(설정!$C$13="","",IFERROR(INDEX('1.산군_붙여넣기'!$A$1:$AZ$1001,ROW(),설정!$C$13)&amp;"",""))</f>
        <v/>
      </c>
      <c r="L988" s="7">
        <f>IF(X988="","",IF(AND(LEN(X988)=8,ISNUMBER(X988*1)),DATE(LEFT(X988,4),MID(X988,5,2),RIGHT(X988,2)),IFERROR(DATEVALUE(SUBSTITUTE(SUBSTITUTE(X988,".","-"),"/","-")),IFERROR(X988*1,""))))</f>
        <v/>
      </c>
      <c r="M988" s="7">
        <f>IF(Y988="","",IF(AND(LEN(Y988)=8,ISNUMBER(Y988*1)),DATE(LEFT(Y988,4),MID(Y988,5,2),RIGHT(Y988,2)),IFERROR(DATEVALUE(SUBSTITUTE(SUBSTITUTE(Y988,".","-"),"/","-")),IFERROR(Y988*1,""))))</f>
        <v/>
      </c>
      <c r="N988">
        <f>IFERROR(LEFT(B988,FIND(" ",B988)-1),B988)</f>
        <v/>
      </c>
      <c r="O988">
        <f>AND(B988&lt;&gt;"",B988&lt;&gt;설정!$B$4,C988&lt;&gt;설정!$B$5)</f>
        <v/>
      </c>
      <c r="P988">
        <f>IF(O988,B988&amp;"|"&amp;C988,"")</f>
        <v/>
      </c>
      <c r="Q988">
        <f>AND(O988,COUNTIF(P989:P$1002,P988)=0)</f>
        <v/>
      </c>
      <c r="R988">
        <f>OR(AND(설정!$A$42&lt;&gt;"",ISNUMBER(SEARCH(설정!$A$42,E988&amp;" "&amp;C988))),AND(설정!$A$43&lt;&gt;"",ISNUMBER(SEARCH(설정!$A$43,E988&amp;" "&amp;C988))),AND(설정!$A$44&lt;&gt;"",ISNUMBER(SEARCH(설정!$A$44,E988&amp;" "&amp;C988))),AND(설정!$A$45&lt;&gt;"",ISNUMBER(SEARCH(설정!$A$45,E988&amp;" "&amp;C988))),AND(설정!$A$46&lt;&gt;"",ISNUMBER(SEARCH(설정!$A$46,E988&amp;" "&amp;C988))),AND(설정!$A$47&lt;&gt;"",ISNUMBER(SEARCH(설정!$A$47,E988&amp;" "&amp;C988))),AND(설정!$A$48&lt;&gt;"",ISNUMBER(SEARCH(설정!$A$48,E988&amp;" "&amp;C988))),AND(설정!$A$49&lt;&gt;"",ISNUMBER(SEARCH(설정!$A$49,E988&amp;" "&amp;C988))),AND(설정!$A$50&lt;&gt;"",ISNUMBER(SEARCH(설정!$A$50,E988&amp;" "&amp;C988))),AND(설정!$A$51&lt;&gt;"",ISNUMBER(SEARCH(설정!$A$51,E988&amp;" "&amp;C988))))</f>
        <v/>
      </c>
      <c r="S988">
        <f>OR(D988="",D988&gt;=설정!$B$19)</f>
        <v/>
      </c>
      <c r="T988">
        <f>AND(Q988,R988,S988)</f>
        <v/>
      </c>
      <c r="U988">
        <f>IF(T988,IF(AND(설정!$A$54&lt;&gt;"",ISNUMBER(SEARCH(설정!$A$54,K988))),설정!$B$54,IF(AND(설정!$A$55&lt;&gt;"",ISNUMBER(SEARCH(설정!$A$55,K988))),설정!$B$55,IF(AND(설정!$A$56&lt;&gt;"",ISNUMBER(SEARCH(설정!$A$56,K988))),설정!$B$56,IF(AND(설정!$A$57&lt;&gt;"",ISNUMBER(SEARCH(설정!$A$57,K988))),설정!$B$57,IF(AND(설정!$A$58&lt;&gt;"",ISNUMBER(SEARCH(설정!$A$58,K988))),설정!$B$58,IF(AND(설정!$A$59&lt;&gt;"",ISNUMBER(SEARCH(설정!$A$59,K988))),설정!$B$59,IF(AND(설정!$A$60&lt;&gt;"",ISNUMBER(SEARCH(설정!$A$60,K988))),설정!$B$60,IF(AND(설정!$A$61&lt;&gt;"",ISNUMBER(SEARCH(설정!$A$61,K988))),설정!$B$61,IF(M988="","설계사","시공사"))))))))),"")</f>
        <v/>
      </c>
      <c r="V988">
        <f>SUBSTITUTE(SUBSTITUTE(SUBSTITUTE(SUBSTITUTE(G988,"(주)",""),"㈜",""),"주식회사","")," ","")</f>
        <v/>
      </c>
      <c r="W988">
        <f>IF(AND(T988,V988&lt;&gt;""),IF(COUNTIFS(V$2:V988,V988,T$2:T988,TRUE)=1,MAX(W$1:W987)+1,""),"")</f>
        <v/>
      </c>
      <c r="X988">
        <f>IF(설정!$C$14="","",IFERROR(INDEX('1.산군_붙여넣기'!$A$1:$AZ$1001,ROW(),설정!$C$14)&amp;"",""))</f>
        <v/>
      </c>
      <c r="Y988">
        <f>IF(설정!$C$15="","",IFERROR(INDEX('1.산군_붙여넣기'!$A$1:$AZ$1001,ROW(),설정!$C$15)&amp;"",""))</f>
        <v/>
      </c>
      <c r="Z988">
        <f>IF(T988,V988&amp;"|"&amp;U988,"")</f>
        <v/>
      </c>
      <c r="AA988">
        <f>IF(NOT(Q988),"",IF(NOT(AND(R988,S988)),"✕",IF(OR(OR(AND(L988&lt;&gt;"",M988&lt;&gt;"",N(M988)-N(L988)&gt;설정!$B$27),AND(L988&lt;&gt;"",M988="",설정!$B$24-N(L988)&gt;설정!$B$27)),AND(D988&lt;&gt;"",D988&lt;설정!$B$26)),"△","★")))</f>
        <v/>
      </c>
      <c r="AB988">
        <f>IF(NOT(T988),"",IF(U988="설계사",설정!$B$31,IF(U988="시공사",IF(OR(M988="",설정!$B$24-N(M988)&lt;=설정!$B$28*30.4),설정!$B$32,설정!$B$33),설정!$B$34))+IF(AA988="★",설정!$B$35,0))</f>
        <v/>
      </c>
      <c r="AC988">
        <f>SUBSTITUTE(SUBSTITUTE(SUBSTITUTE(SUBSTITUTE(H988,"(주)",""),"㈜",""),"주식회사","")," ","")</f>
        <v/>
      </c>
      <c r="AD988">
        <f>IF(AND(T988,AC988&lt;&gt;""),IF(COUNTIFS(AC$2:AC988,AC988,T$2:T988,TRUE)=1,MAX(AD$1:AD987)+1,""),"")</f>
        <v/>
      </c>
    </row>
    <row r="989">
      <c r="A989">
        <f>ROW()</f>
        <v/>
      </c>
      <c r="B989">
        <f>IF(설정!$C$4="","",IFERROR(INDEX('1.산군_붙여넣기'!$A$1:$AZ$1001,ROW(),설정!$C$4)&amp;"",""))</f>
        <v/>
      </c>
      <c r="C989">
        <f>IF(설정!$C$5="","",IFERROR(INDEX('1.산군_붙여넣기'!$A$1:$AZ$1001,ROW(),설정!$C$5)&amp;"",""))</f>
        <v/>
      </c>
      <c r="D989" s="5">
        <f>IFERROR(VALUE(SUBSTITUTE(SUBSTITUTE(SUBSTITUTE(IF(설정!$C$6="","",IFERROR(INDEX('1.산군_붙여넣기'!$A$1:$AZ$1001,ROW(),설정!$C$6)&amp;"","")),",",""),"㎡",""),"m2","")),"")</f>
        <v/>
      </c>
      <c r="E989">
        <f>IF(설정!$C$7="","",IFERROR(INDEX('1.산군_붙여넣기'!$A$1:$AZ$1001,ROW(),설정!$C$7)&amp;"",""))</f>
        <v/>
      </c>
      <c r="F989">
        <f>IF(설정!$C$8="","",IFERROR(INDEX('1.산군_붙여넣기'!$A$1:$AZ$1001,ROW(),설정!$C$8)&amp;"",""))</f>
        <v/>
      </c>
      <c r="G989">
        <f>IF(설정!$C$9="","",IFERROR(INDEX('1.산군_붙여넣기'!$A$1:$AZ$1001,ROW(),설정!$C$9)&amp;"",""))</f>
        <v/>
      </c>
      <c r="H989">
        <f>IF(설정!$C$10="","",IFERROR(INDEX('1.산군_붙여넣기'!$A$1:$AZ$1001,ROW(),설정!$C$10)&amp;"",""))</f>
        <v/>
      </c>
      <c r="I989">
        <f>IF(설정!$C$11="","",IFERROR(INDEX('1.산군_붙여넣기'!$A$1:$AZ$1001,ROW(),설정!$C$11)&amp;"",""))</f>
        <v/>
      </c>
      <c r="J989">
        <f>IF(설정!$C$12="","",IFERROR(INDEX('1.산군_붙여넣기'!$A$1:$AZ$1001,ROW(),설정!$C$12)&amp;"",""))</f>
        <v/>
      </c>
      <c r="K989">
        <f>IF(설정!$C$13="","",IFERROR(INDEX('1.산군_붙여넣기'!$A$1:$AZ$1001,ROW(),설정!$C$13)&amp;"",""))</f>
        <v/>
      </c>
      <c r="L989" s="7">
        <f>IF(X989="","",IF(AND(LEN(X989)=8,ISNUMBER(X989*1)),DATE(LEFT(X989,4),MID(X989,5,2),RIGHT(X989,2)),IFERROR(DATEVALUE(SUBSTITUTE(SUBSTITUTE(X989,".","-"),"/","-")),IFERROR(X989*1,""))))</f>
        <v/>
      </c>
      <c r="M989" s="7">
        <f>IF(Y989="","",IF(AND(LEN(Y989)=8,ISNUMBER(Y989*1)),DATE(LEFT(Y989,4),MID(Y989,5,2),RIGHT(Y989,2)),IFERROR(DATEVALUE(SUBSTITUTE(SUBSTITUTE(Y989,".","-"),"/","-")),IFERROR(Y989*1,""))))</f>
        <v/>
      </c>
      <c r="N989">
        <f>IFERROR(LEFT(B989,FIND(" ",B989)-1),B989)</f>
        <v/>
      </c>
      <c r="O989">
        <f>AND(B989&lt;&gt;"",B989&lt;&gt;설정!$B$4,C989&lt;&gt;설정!$B$5)</f>
        <v/>
      </c>
      <c r="P989">
        <f>IF(O989,B989&amp;"|"&amp;C989,"")</f>
        <v/>
      </c>
      <c r="Q989">
        <f>AND(O989,COUNTIF(P990:P$1002,P989)=0)</f>
        <v/>
      </c>
      <c r="R989">
        <f>OR(AND(설정!$A$42&lt;&gt;"",ISNUMBER(SEARCH(설정!$A$42,E989&amp;" "&amp;C989))),AND(설정!$A$43&lt;&gt;"",ISNUMBER(SEARCH(설정!$A$43,E989&amp;" "&amp;C989))),AND(설정!$A$44&lt;&gt;"",ISNUMBER(SEARCH(설정!$A$44,E989&amp;" "&amp;C989))),AND(설정!$A$45&lt;&gt;"",ISNUMBER(SEARCH(설정!$A$45,E989&amp;" "&amp;C989))),AND(설정!$A$46&lt;&gt;"",ISNUMBER(SEARCH(설정!$A$46,E989&amp;" "&amp;C989))),AND(설정!$A$47&lt;&gt;"",ISNUMBER(SEARCH(설정!$A$47,E989&amp;" "&amp;C989))),AND(설정!$A$48&lt;&gt;"",ISNUMBER(SEARCH(설정!$A$48,E989&amp;" "&amp;C989))),AND(설정!$A$49&lt;&gt;"",ISNUMBER(SEARCH(설정!$A$49,E989&amp;" "&amp;C989))),AND(설정!$A$50&lt;&gt;"",ISNUMBER(SEARCH(설정!$A$50,E989&amp;" "&amp;C989))),AND(설정!$A$51&lt;&gt;"",ISNUMBER(SEARCH(설정!$A$51,E989&amp;" "&amp;C989))))</f>
        <v/>
      </c>
      <c r="S989">
        <f>OR(D989="",D989&gt;=설정!$B$19)</f>
        <v/>
      </c>
      <c r="T989">
        <f>AND(Q989,R989,S989)</f>
        <v/>
      </c>
      <c r="U989">
        <f>IF(T989,IF(AND(설정!$A$54&lt;&gt;"",ISNUMBER(SEARCH(설정!$A$54,K989))),설정!$B$54,IF(AND(설정!$A$55&lt;&gt;"",ISNUMBER(SEARCH(설정!$A$55,K989))),설정!$B$55,IF(AND(설정!$A$56&lt;&gt;"",ISNUMBER(SEARCH(설정!$A$56,K989))),설정!$B$56,IF(AND(설정!$A$57&lt;&gt;"",ISNUMBER(SEARCH(설정!$A$57,K989))),설정!$B$57,IF(AND(설정!$A$58&lt;&gt;"",ISNUMBER(SEARCH(설정!$A$58,K989))),설정!$B$58,IF(AND(설정!$A$59&lt;&gt;"",ISNUMBER(SEARCH(설정!$A$59,K989))),설정!$B$59,IF(AND(설정!$A$60&lt;&gt;"",ISNUMBER(SEARCH(설정!$A$60,K989))),설정!$B$60,IF(AND(설정!$A$61&lt;&gt;"",ISNUMBER(SEARCH(설정!$A$61,K989))),설정!$B$61,IF(M989="","설계사","시공사"))))))))),"")</f>
        <v/>
      </c>
      <c r="V989">
        <f>SUBSTITUTE(SUBSTITUTE(SUBSTITUTE(SUBSTITUTE(G989,"(주)",""),"㈜",""),"주식회사","")," ","")</f>
        <v/>
      </c>
      <c r="W989">
        <f>IF(AND(T989,V989&lt;&gt;""),IF(COUNTIFS(V$2:V989,V989,T$2:T989,TRUE)=1,MAX(W$1:W988)+1,""),"")</f>
        <v/>
      </c>
      <c r="X989">
        <f>IF(설정!$C$14="","",IFERROR(INDEX('1.산군_붙여넣기'!$A$1:$AZ$1001,ROW(),설정!$C$14)&amp;"",""))</f>
        <v/>
      </c>
      <c r="Y989">
        <f>IF(설정!$C$15="","",IFERROR(INDEX('1.산군_붙여넣기'!$A$1:$AZ$1001,ROW(),설정!$C$15)&amp;"",""))</f>
        <v/>
      </c>
      <c r="Z989">
        <f>IF(T989,V989&amp;"|"&amp;U989,"")</f>
        <v/>
      </c>
      <c r="AA989">
        <f>IF(NOT(Q989),"",IF(NOT(AND(R989,S989)),"✕",IF(OR(OR(AND(L989&lt;&gt;"",M989&lt;&gt;"",N(M989)-N(L989)&gt;설정!$B$27),AND(L989&lt;&gt;"",M989="",설정!$B$24-N(L989)&gt;설정!$B$27)),AND(D989&lt;&gt;"",D989&lt;설정!$B$26)),"△","★")))</f>
        <v/>
      </c>
      <c r="AB989">
        <f>IF(NOT(T989),"",IF(U989="설계사",설정!$B$31,IF(U989="시공사",IF(OR(M989="",설정!$B$24-N(M989)&lt;=설정!$B$28*30.4),설정!$B$32,설정!$B$33),설정!$B$34))+IF(AA989="★",설정!$B$35,0))</f>
        <v/>
      </c>
      <c r="AC989">
        <f>SUBSTITUTE(SUBSTITUTE(SUBSTITUTE(SUBSTITUTE(H989,"(주)",""),"㈜",""),"주식회사","")," ","")</f>
        <v/>
      </c>
      <c r="AD989">
        <f>IF(AND(T989,AC989&lt;&gt;""),IF(COUNTIFS(AC$2:AC989,AC989,T$2:T989,TRUE)=1,MAX(AD$1:AD988)+1,""),"")</f>
        <v/>
      </c>
    </row>
    <row r="990">
      <c r="A990">
        <f>ROW()</f>
        <v/>
      </c>
      <c r="B990">
        <f>IF(설정!$C$4="","",IFERROR(INDEX('1.산군_붙여넣기'!$A$1:$AZ$1001,ROW(),설정!$C$4)&amp;"",""))</f>
        <v/>
      </c>
      <c r="C990">
        <f>IF(설정!$C$5="","",IFERROR(INDEX('1.산군_붙여넣기'!$A$1:$AZ$1001,ROW(),설정!$C$5)&amp;"",""))</f>
        <v/>
      </c>
      <c r="D990" s="5">
        <f>IFERROR(VALUE(SUBSTITUTE(SUBSTITUTE(SUBSTITUTE(IF(설정!$C$6="","",IFERROR(INDEX('1.산군_붙여넣기'!$A$1:$AZ$1001,ROW(),설정!$C$6)&amp;"","")),",",""),"㎡",""),"m2","")),"")</f>
        <v/>
      </c>
      <c r="E990">
        <f>IF(설정!$C$7="","",IFERROR(INDEX('1.산군_붙여넣기'!$A$1:$AZ$1001,ROW(),설정!$C$7)&amp;"",""))</f>
        <v/>
      </c>
      <c r="F990">
        <f>IF(설정!$C$8="","",IFERROR(INDEX('1.산군_붙여넣기'!$A$1:$AZ$1001,ROW(),설정!$C$8)&amp;"",""))</f>
        <v/>
      </c>
      <c r="G990">
        <f>IF(설정!$C$9="","",IFERROR(INDEX('1.산군_붙여넣기'!$A$1:$AZ$1001,ROW(),설정!$C$9)&amp;"",""))</f>
        <v/>
      </c>
      <c r="H990">
        <f>IF(설정!$C$10="","",IFERROR(INDEX('1.산군_붙여넣기'!$A$1:$AZ$1001,ROW(),설정!$C$10)&amp;"",""))</f>
        <v/>
      </c>
      <c r="I990">
        <f>IF(설정!$C$11="","",IFERROR(INDEX('1.산군_붙여넣기'!$A$1:$AZ$1001,ROW(),설정!$C$11)&amp;"",""))</f>
        <v/>
      </c>
      <c r="J990">
        <f>IF(설정!$C$12="","",IFERROR(INDEX('1.산군_붙여넣기'!$A$1:$AZ$1001,ROW(),설정!$C$12)&amp;"",""))</f>
        <v/>
      </c>
      <c r="K990">
        <f>IF(설정!$C$13="","",IFERROR(INDEX('1.산군_붙여넣기'!$A$1:$AZ$1001,ROW(),설정!$C$13)&amp;"",""))</f>
        <v/>
      </c>
      <c r="L990" s="7">
        <f>IF(X990="","",IF(AND(LEN(X990)=8,ISNUMBER(X990*1)),DATE(LEFT(X990,4),MID(X990,5,2),RIGHT(X990,2)),IFERROR(DATEVALUE(SUBSTITUTE(SUBSTITUTE(X990,".","-"),"/","-")),IFERROR(X990*1,""))))</f>
        <v/>
      </c>
      <c r="M990" s="7">
        <f>IF(Y990="","",IF(AND(LEN(Y990)=8,ISNUMBER(Y990*1)),DATE(LEFT(Y990,4),MID(Y990,5,2),RIGHT(Y990,2)),IFERROR(DATEVALUE(SUBSTITUTE(SUBSTITUTE(Y990,".","-"),"/","-")),IFERROR(Y990*1,""))))</f>
        <v/>
      </c>
      <c r="N990">
        <f>IFERROR(LEFT(B990,FIND(" ",B990)-1),B990)</f>
        <v/>
      </c>
      <c r="O990">
        <f>AND(B990&lt;&gt;"",B990&lt;&gt;설정!$B$4,C990&lt;&gt;설정!$B$5)</f>
        <v/>
      </c>
      <c r="P990">
        <f>IF(O990,B990&amp;"|"&amp;C990,"")</f>
        <v/>
      </c>
      <c r="Q990">
        <f>AND(O990,COUNTIF(P991:P$1002,P990)=0)</f>
        <v/>
      </c>
      <c r="R990">
        <f>OR(AND(설정!$A$42&lt;&gt;"",ISNUMBER(SEARCH(설정!$A$42,E990&amp;" "&amp;C990))),AND(설정!$A$43&lt;&gt;"",ISNUMBER(SEARCH(설정!$A$43,E990&amp;" "&amp;C990))),AND(설정!$A$44&lt;&gt;"",ISNUMBER(SEARCH(설정!$A$44,E990&amp;" "&amp;C990))),AND(설정!$A$45&lt;&gt;"",ISNUMBER(SEARCH(설정!$A$45,E990&amp;" "&amp;C990))),AND(설정!$A$46&lt;&gt;"",ISNUMBER(SEARCH(설정!$A$46,E990&amp;" "&amp;C990))),AND(설정!$A$47&lt;&gt;"",ISNUMBER(SEARCH(설정!$A$47,E990&amp;" "&amp;C990))),AND(설정!$A$48&lt;&gt;"",ISNUMBER(SEARCH(설정!$A$48,E990&amp;" "&amp;C990))),AND(설정!$A$49&lt;&gt;"",ISNUMBER(SEARCH(설정!$A$49,E990&amp;" "&amp;C990))),AND(설정!$A$50&lt;&gt;"",ISNUMBER(SEARCH(설정!$A$50,E990&amp;" "&amp;C990))),AND(설정!$A$51&lt;&gt;"",ISNUMBER(SEARCH(설정!$A$51,E990&amp;" "&amp;C990))))</f>
        <v/>
      </c>
      <c r="S990">
        <f>OR(D990="",D990&gt;=설정!$B$19)</f>
        <v/>
      </c>
      <c r="T990">
        <f>AND(Q990,R990,S990)</f>
        <v/>
      </c>
      <c r="U990">
        <f>IF(T990,IF(AND(설정!$A$54&lt;&gt;"",ISNUMBER(SEARCH(설정!$A$54,K990))),설정!$B$54,IF(AND(설정!$A$55&lt;&gt;"",ISNUMBER(SEARCH(설정!$A$55,K990))),설정!$B$55,IF(AND(설정!$A$56&lt;&gt;"",ISNUMBER(SEARCH(설정!$A$56,K990))),설정!$B$56,IF(AND(설정!$A$57&lt;&gt;"",ISNUMBER(SEARCH(설정!$A$57,K990))),설정!$B$57,IF(AND(설정!$A$58&lt;&gt;"",ISNUMBER(SEARCH(설정!$A$58,K990))),설정!$B$58,IF(AND(설정!$A$59&lt;&gt;"",ISNUMBER(SEARCH(설정!$A$59,K990))),설정!$B$59,IF(AND(설정!$A$60&lt;&gt;"",ISNUMBER(SEARCH(설정!$A$60,K990))),설정!$B$60,IF(AND(설정!$A$61&lt;&gt;"",ISNUMBER(SEARCH(설정!$A$61,K990))),설정!$B$61,IF(M990="","설계사","시공사"))))))))),"")</f>
        <v/>
      </c>
      <c r="V990">
        <f>SUBSTITUTE(SUBSTITUTE(SUBSTITUTE(SUBSTITUTE(G990,"(주)",""),"㈜",""),"주식회사","")," ","")</f>
        <v/>
      </c>
      <c r="W990">
        <f>IF(AND(T990,V990&lt;&gt;""),IF(COUNTIFS(V$2:V990,V990,T$2:T990,TRUE)=1,MAX(W$1:W989)+1,""),"")</f>
        <v/>
      </c>
      <c r="X990">
        <f>IF(설정!$C$14="","",IFERROR(INDEX('1.산군_붙여넣기'!$A$1:$AZ$1001,ROW(),설정!$C$14)&amp;"",""))</f>
        <v/>
      </c>
      <c r="Y990">
        <f>IF(설정!$C$15="","",IFERROR(INDEX('1.산군_붙여넣기'!$A$1:$AZ$1001,ROW(),설정!$C$15)&amp;"",""))</f>
        <v/>
      </c>
      <c r="Z990">
        <f>IF(T990,V990&amp;"|"&amp;U990,"")</f>
        <v/>
      </c>
      <c r="AA990">
        <f>IF(NOT(Q990),"",IF(NOT(AND(R990,S990)),"✕",IF(OR(OR(AND(L990&lt;&gt;"",M990&lt;&gt;"",N(M990)-N(L990)&gt;설정!$B$27),AND(L990&lt;&gt;"",M990="",설정!$B$24-N(L990)&gt;설정!$B$27)),AND(D990&lt;&gt;"",D990&lt;설정!$B$26)),"△","★")))</f>
        <v/>
      </c>
      <c r="AB990">
        <f>IF(NOT(T990),"",IF(U990="설계사",설정!$B$31,IF(U990="시공사",IF(OR(M990="",설정!$B$24-N(M990)&lt;=설정!$B$28*30.4),설정!$B$32,설정!$B$33),설정!$B$34))+IF(AA990="★",설정!$B$35,0))</f>
        <v/>
      </c>
      <c r="AC990">
        <f>SUBSTITUTE(SUBSTITUTE(SUBSTITUTE(SUBSTITUTE(H990,"(주)",""),"㈜",""),"주식회사","")," ","")</f>
        <v/>
      </c>
      <c r="AD990">
        <f>IF(AND(T990,AC990&lt;&gt;""),IF(COUNTIFS(AC$2:AC990,AC990,T$2:T990,TRUE)=1,MAX(AD$1:AD989)+1,""),"")</f>
        <v/>
      </c>
    </row>
    <row r="991">
      <c r="A991">
        <f>ROW()</f>
        <v/>
      </c>
      <c r="B991">
        <f>IF(설정!$C$4="","",IFERROR(INDEX('1.산군_붙여넣기'!$A$1:$AZ$1001,ROW(),설정!$C$4)&amp;"",""))</f>
        <v/>
      </c>
      <c r="C991">
        <f>IF(설정!$C$5="","",IFERROR(INDEX('1.산군_붙여넣기'!$A$1:$AZ$1001,ROW(),설정!$C$5)&amp;"",""))</f>
        <v/>
      </c>
      <c r="D991" s="5">
        <f>IFERROR(VALUE(SUBSTITUTE(SUBSTITUTE(SUBSTITUTE(IF(설정!$C$6="","",IFERROR(INDEX('1.산군_붙여넣기'!$A$1:$AZ$1001,ROW(),설정!$C$6)&amp;"","")),",",""),"㎡",""),"m2","")),"")</f>
        <v/>
      </c>
      <c r="E991">
        <f>IF(설정!$C$7="","",IFERROR(INDEX('1.산군_붙여넣기'!$A$1:$AZ$1001,ROW(),설정!$C$7)&amp;"",""))</f>
        <v/>
      </c>
      <c r="F991">
        <f>IF(설정!$C$8="","",IFERROR(INDEX('1.산군_붙여넣기'!$A$1:$AZ$1001,ROW(),설정!$C$8)&amp;"",""))</f>
        <v/>
      </c>
      <c r="G991">
        <f>IF(설정!$C$9="","",IFERROR(INDEX('1.산군_붙여넣기'!$A$1:$AZ$1001,ROW(),설정!$C$9)&amp;"",""))</f>
        <v/>
      </c>
      <c r="H991">
        <f>IF(설정!$C$10="","",IFERROR(INDEX('1.산군_붙여넣기'!$A$1:$AZ$1001,ROW(),설정!$C$10)&amp;"",""))</f>
        <v/>
      </c>
      <c r="I991">
        <f>IF(설정!$C$11="","",IFERROR(INDEX('1.산군_붙여넣기'!$A$1:$AZ$1001,ROW(),설정!$C$11)&amp;"",""))</f>
        <v/>
      </c>
      <c r="J991">
        <f>IF(설정!$C$12="","",IFERROR(INDEX('1.산군_붙여넣기'!$A$1:$AZ$1001,ROW(),설정!$C$12)&amp;"",""))</f>
        <v/>
      </c>
      <c r="K991">
        <f>IF(설정!$C$13="","",IFERROR(INDEX('1.산군_붙여넣기'!$A$1:$AZ$1001,ROW(),설정!$C$13)&amp;"",""))</f>
        <v/>
      </c>
      <c r="L991" s="7">
        <f>IF(X991="","",IF(AND(LEN(X991)=8,ISNUMBER(X991*1)),DATE(LEFT(X991,4),MID(X991,5,2),RIGHT(X991,2)),IFERROR(DATEVALUE(SUBSTITUTE(SUBSTITUTE(X991,".","-"),"/","-")),IFERROR(X991*1,""))))</f>
        <v/>
      </c>
      <c r="M991" s="7">
        <f>IF(Y991="","",IF(AND(LEN(Y991)=8,ISNUMBER(Y991*1)),DATE(LEFT(Y991,4),MID(Y991,5,2),RIGHT(Y991,2)),IFERROR(DATEVALUE(SUBSTITUTE(SUBSTITUTE(Y991,".","-"),"/","-")),IFERROR(Y991*1,""))))</f>
        <v/>
      </c>
      <c r="N991">
        <f>IFERROR(LEFT(B991,FIND(" ",B991)-1),B991)</f>
        <v/>
      </c>
      <c r="O991">
        <f>AND(B991&lt;&gt;"",B991&lt;&gt;설정!$B$4,C991&lt;&gt;설정!$B$5)</f>
        <v/>
      </c>
      <c r="P991">
        <f>IF(O991,B991&amp;"|"&amp;C991,"")</f>
        <v/>
      </c>
      <c r="Q991">
        <f>AND(O991,COUNTIF(P992:P$1002,P991)=0)</f>
        <v/>
      </c>
      <c r="R991">
        <f>OR(AND(설정!$A$42&lt;&gt;"",ISNUMBER(SEARCH(설정!$A$42,E991&amp;" "&amp;C991))),AND(설정!$A$43&lt;&gt;"",ISNUMBER(SEARCH(설정!$A$43,E991&amp;" "&amp;C991))),AND(설정!$A$44&lt;&gt;"",ISNUMBER(SEARCH(설정!$A$44,E991&amp;" "&amp;C991))),AND(설정!$A$45&lt;&gt;"",ISNUMBER(SEARCH(설정!$A$45,E991&amp;" "&amp;C991))),AND(설정!$A$46&lt;&gt;"",ISNUMBER(SEARCH(설정!$A$46,E991&amp;" "&amp;C991))),AND(설정!$A$47&lt;&gt;"",ISNUMBER(SEARCH(설정!$A$47,E991&amp;" "&amp;C991))),AND(설정!$A$48&lt;&gt;"",ISNUMBER(SEARCH(설정!$A$48,E991&amp;" "&amp;C991))),AND(설정!$A$49&lt;&gt;"",ISNUMBER(SEARCH(설정!$A$49,E991&amp;" "&amp;C991))),AND(설정!$A$50&lt;&gt;"",ISNUMBER(SEARCH(설정!$A$50,E991&amp;" "&amp;C991))),AND(설정!$A$51&lt;&gt;"",ISNUMBER(SEARCH(설정!$A$51,E991&amp;" "&amp;C991))))</f>
        <v/>
      </c>
      <c r="S991">
        <f>OR(D991="",D991&gt;=설정!$B$19)</f>
        <v/>
      </c>
      <c r="T991">
        <f>AND(Q991,R991,S991)</f>
        <v/>
      </c>
      <c r="U991">
        <f>IF(T991,IF(AND(설정!$A$54&lt;&gt;"",ISNUMBER(SEARCH(설정!$A$54,K991))),설정!$B$54,IF(AND(설정!$A$55&lt;&gt;"",ISNUMBER(SEARCH(설정!$A$55,K991))),설정!$B$55,IF(AND(설정!$A$56&lt;&gt;"",ISNUMBER(SEARCH(설정!$A$56,K991))),설정!$B$56,IF(AND(설정!$A$57&lt;&gt;"",ISNUMBER(SEARCH(설정!$A$57,K991))),설정!$B$57,IF(AND(설정!$A$58&lt;&gt;"",ISNUMBER(SEARCH(설정!$A$58,K991))),설정!$B$58,IF(AND(설정!$A$59&lt;&gt;"",ISNUMBER(SEARCH(설정!$A$59,K991))),설정!$B$59,IF(AND(설정!$A$60&lt;&gt;"",ISNUMBER(SEARCH(설정!$A$60,K991))),설정!$B$60,IF(AND(설정!$A$61&lt;&gt;"",ISNUMBER(SEARCH(설정!$A$61,K991))),설정!$B$61,IF(M991="","설계사","시공사"))))))))),"")</f>
        <v/>
      </c>
      <c r="V991">
        <f>SUBSTITUTE(SUBSTITUTE(SUBSTITUTE(SUBSTITUTE(G991,"(주)",""),"㈜",""),"주식회사","")," ","")</f>
        <v/>
      </c>
      <c r="W991">
        <f>IF(AND(T991,V991&lt;&gt;""),IF(COUNTIFS(V$2:V991,V991,T$2:T991,TRUE)=1,MAX(W$1:W990)+1,""),"")</f>
        <v/>
      </c>
      <c r="X991">
        <f>IF(설정!$C$14="","",IFERROR(INDEX('1.산군_붙여넣기'!$A$1:$AZ$1001,ROW(),설정!$C$14)&amp;"",""))</f>
        <v/>
      </c>
      <c r="Y991">
        <f>IF(설정!$C$15="","",IFERROR(INDEX('1.산군_붙여넣기'!$A$1:$AZ$1001,ROW(),설정!$C$15)&amp;"",""))</f>
        <v/>
      </c>
      <c r="Z991">
        <f>IF(T991,V991&amp;"|"&amp;U991,"")</f>
        <v/>
      </c>
      <c r="AA991">
        <f>IF(NOT(Q991),"",IF(NOT(AND(R991,S991)),"✕",IF(OR(OR(AND(L991&lt;&gt;"",M991&lt;&gt;"",N(M991)-N(L991)&gt;설정!$B$27),AND(L991&lt;&gt;"",M991="",설정!$B$24-N(L991)&gt;설정!$B$27)),AND(D991&lt;&gt;"",D991&lt;설정!$B$26)),"△","★")))</f>
        <v/>
      </c>
      <c r="AB991">
        <f>IF(NOT(T991),"",IF(U991="설계사",설정!$B$31,IF(U991="시공사",IF(OR(M991="",설정!$B$24-N(M991)&lt;=설정!$B$28*30.4),설정!$B$32,설정!$B$33),설정!$B$34))+IF(AA991="★",설정!$B$35,0))</f>
        <v/>
      </c>
      <c r="AC991">
        <f>SUBSTITUTE(SUBSTITUTE(SUBSTITUTE(SUBSTITUTE(H991,"(주)",""),"㈜",""),"주식회사","")," ","")</f>
        <v/>
      </c>
      <c r="AD991">
        <f>IF(AND(T991,AC991&lt;&gt;""),IF(COUNTIFS(AC$2:AC991,AC991,T$2:T991,TRUE)=1,MAX(AD$1:AD990)+1,""),"")</f>
        <v/>
      </c>
    </row>
    <row r="992">
      <c r="A992">
        <f>ROW()</f>
        <v/>
      </c>
      <c r="B992">
        <f>IF(설정!$C$4="","",IFERROR(INDEX('1.산군_붙여넣기'!$A$1:$AZ$1001,ROW(),설정!$C$4)&amp;"",""))</f>
        <v/>
      </c>
      <c r="C992">
        <f>IF(설정!$C$5="","",IFERROR(INDEX('1.산군_붙여넣기'!$A$1:$AZ$1001,ROW(),설정!$C$5)&amp;"",""))</f>
        <v/>
      </c>
      <c r="D992" s="5">
        <f>IFERROR(VALUE(SUBSTITUTE(SUBSTITUTE(SUBSTITUTE(IF(설정!$C$6="","",IFERROR(INDEX('1.산군_붙여넣기'!$A$1:$AZ$1001,ROW(),설정!$C$6)&amp;"","")),",",""),"㎡",""),"m2","")),"")</f>
        <v/>
      </c>
      <c r="E992">
        <f>IF(설정!$C$7="","",IFERROR(INDEX('1.산군_붙여넣기'!$A$1:$AZ$1001,ROW(),설정!$C$7)&amp;"",""))</f>
        <v/>
      </c>
      <c r="F992">
        <f>IF(설정!$C$8="","",IFERROR(INDEX('1.산군_붙여넣기'!$A$1:$AZ$1001,ROW(),설정!$C$8)&amp;"",""))</f>
        <v/>
      </c>
      <c r="G992">
        <f>IF(설정!$C$9="","",IFERROR(INDEX('1.산군_붙여넣기'!$A$1:$AZ$1001,ROW(),설정!$C$9)&amp;"",""))</f>
        <v/>
      </c>
      <c r="H992">
        <f>IF(설정!$C$10="","",IFERROR(INDEX('1.산군_붙여넣기'!$A$1:$AZ$1001,ROW(),설정!$C$10)&amp;"",""))</f>
        <v/>
      </c>
      <c r="I992">
        <f>IF(설정!$C$11="","",IFERROR(INDEX('1.산군_붙여넣기'!$A$1:$AZ$1001,ROW(),설정!$C$11)&amp;"",""))</f>
        <v/>
      </c>
      <c r="J992">
        <f>IF(설정!$C$12="","",IFERROR(INDEX('1.산군_붙여넣기'!$A$1:$AZ$1001,ROW(),설정!$C$12)&amp;"",""))</f>
        <v/>
      </c>
      <c r="K992">
        <f>IF(설정!$C$13="","",IFERROR(INDEX('1.산군_붙여넣기'!$A$1:$AZ$1001,ROW(),설정!$C$13)&amp;"",""))</f>
        <v/>
      </c>
      <c r="L992" s="7">
        <f>IF(X992="","",IF(AND(LEN(X992)=8,ISNUMBER(X992*1)),DATE(LEFT(X992,4),MID(X992,5,2),RIGHT(X992,2)),IFERROR(DATEVALUE(SUBSTITUTE(SUBSTITUTE(X992,".","-"),"/","-")),IFERROR(X992*1,""))))</f>
        <v/>
      </c>
      <c r="M992" s="7">
        <f>IF(Y992="","",IF(AND(LEN(Y992)=8,ISNUMBER(Y992*1)),DATE(LEFT(Y992,4),MID(Y992,5,2),RIGHT(Y992,2)),IFERROR(DATEVALUE(SUBSTITUTE(SUBSTITUTE(Y992,".","-"),"/","-")),IFERROR(Y992*1,""))))</f>
        <v/>
      </c>
      <c r="N992">
        <f>IFERROR(LEFT(B992,FIND(" ",B992)-1),B992)</f>
        <v/>
      </c>
      <c r="O992">
        <f>AND(B992&lt;&gt;"",B992&lt;&gt;설정!$B$4,C992&lt;&gt;설정!$B$5)</f>
        <v/>
      </c>
      <c r="P992">
        <f>IF(O992,B992&amp;"|"&amp;C992,"")</f>
        <v/>
      </c>
      <c r="Q992">
        <f>AND(O992,COUNTIF(P993:P$1002,P992)=0)</f>
        <v/>
      </c>
      <c r="R992">
        <f>OR(AND(설정!$A$42&lt;&gt;"",ISNUMBER(SEARCH(설정!$A$42,E992&amp;" "&amp;C992))),AND(설정!$A$43&lt;&gt;"",ISNUMBER(SEARCH(설정!$A$43,E992&amp;" "&amp;C992))),AND(설정!$A$44&lt;&gt;"",ISNUMBER(SEARCH(설정!$A$44,E992&amp;" "&amp;C992))),AND(설정!$A$45&lt;&gt;"",ISNUMBER(SEARCH(설정!$A$45,E992&amp;" "&amp;C992))),AND(설정!$A$46&lt;&gt;"",ISNUMBER(SEARCH(설정!$A$46,E992&amp;" "&amp;C992))),AND(설정!$A$47&lt;&gt;"",ISNUMBER(SEARCH(설정!$A$47,E992&amp;" "&amp;C992))),AND(설정!$A$48&lt;&gt;"",ISNUMBER(SEARCH(설정!$A$48,E992&amp;" "&amp;C992))),AND(설정!$A$49&lt;&gt;"",ISNUMBER(SEARCH(설정!$A$49,E992&amp;" "&amp;C992))),AND(설정!$A$50&lt;&gt;"",ISNUMBER(SEARCH(설정!$A$50,E992&amp;" "&amp;C992))),AND(설정!$A$51&lt;&gt;"",ISNUMBER(SEARCH(설정!$A$51,E992&amp;" "&amp;C992))))</f>
        <v/>
      </c>
      <c r="S992">
        <f>OR(D992="",D992&gt;=설정!$B$19)</f>
        <v/>
      </c>
      <c r="T992">
        <f>AND(Q992,R992,S992)</f>
        <v/>
      </c>
      <c r="U992">
        <f>IF(T992,IF(AND(설정!$A$54&lt;&gt;"",ISNUMBER(SEARCH(설정!$A$54,K992))),설정!$B$54,IF(AND(설정!$A$55&lt;&gt;"",ISNUMBER(SEARCH(설정!$A$55,K992))),설정!$B$55,IF(AND(설정!$A$56&lt;&gt;"",ISNUMBER(SEARCH(설정!$A$56,K992))),설정!$B$56,IF(AND(설정!$A$57&lt;&gt;"",ISNUMBER(SEARCH(설정!$A$57,K992))),설정!$B$57,IF(AND(설정!$A$58&lt;&gt;"",ISNUMBER(SEARCH(설정!$A$58,K992))),설정!$B$58,IF(AND(설정!$A$59&lt;&gt;"",ISNUMBER(SEARCH(설정!$A$59,K992))),설정!$B$59,IF(AND(설정!$A$60&lt;&gt;"",ISNUMBER(SEARCH(설정!$A$60,K992))),설정!$B$60,IF(AND(설정!$A$61&lt;&gt;"",ISNUMBER(SEARCH(설정!$A$61,K992))),설정!$B$61,IF(M992="","설계사","시공사"))))))))),"")</f>
        <v/>
      </c>
      <c r="V992">
        <f>SUBSTITUTE(SUBSTITUTE(SUBSTITUTE(SUBSTITUTE(G992,"(주)",""),"㈜",""),"주식회사","")," ","")</f>
        <v/>
      </c>
      <c r="W992">
        <f>IF(AND(T992,V992&lt;&gt;""),IF(COUNTIFS(V$2:V992,V992,T$2:T992,TRUE)=1,MAX(W$1:W991)+1,""),"")</f>
        <v/>
      </c>
      <c r="X992">
        <f>IF(설정!$C$14="","",IFERROR(INDEX('1.산군_붙여넣기'!$A$1:$AZ$1001,ROW(),설정!$C$14)&amp;"",""))</f>
        <v/>
      </c>
      <c r="Y992">
        <f>IF(설정!$C$15="","",IFERROR(INDEX('1.산군_붙여넣기'!$A$1:$AZ$1001,ROW(),설정!$C$15)&amp;"",""))</f>
        <v/>
      </c>
      <c r="Z992">
        <f>IF(T992,V992&amp;"|"&amp;U992,"")</f>
        <v/>
      </c>
      <c r="AA992">
        <f>IF(NOT(Q992),"",IF(NOT(AND(R992,S992)),"✕",IF(OR(OR(AND(L992&lt;&gt;"",M992&lt;&gt;"",N(M992)-N(L992)&gt;설정!$B$27),AND(L992&lt;&gt;"",M992="",설정!$B$24-N(L992)&gt;설정!$B$27)),AND(D992&lt;&gt;"",D992&lt;설정!$B$26)),"△","★")))</f>
        <v/>
      </c>
      <c r="AB992">
        <f>IF(NOT(T992),"",IF(U992="설계사",설정!$B$31,IF(U992="시공사",IF(OR(M992="",설정!$B$24-N(M992)&lt;=설정!$B$28*30.4),설정!$B$32,설정!$B$33),설정!$B$34))+IF(AA992="★",설정!$B$35,0))</f>
        <v/>
      </c>
      <c r="AC992">
        <f>SUBSTITUTE(SUBSTITUTE(SUBSTITUTE(SUBSTITUTE(H992,"(주)",""),"㈜",""),"주식회사","")," ","")</f>
        <v/>
      </c>
      <c r="AD992">
        <f>IF(AND(T992,AC992&lt;&gt;""),IF(COUNTIFS(AC$2:AC992,AC992,T$2:T992,TRUE)=1,MAX(AD$1:AD991)+1,""),"")</f>
        <v/>
      </c>
    </row>
    <row r="993">
      <c r="A993">
        <f>ROW()</f>
        <v/>
      </c>
      <c r="B993">
        <f>IF(설정!$C$4="","",IFERROR(INDEX('1.산군_붙여넣기'!$A$1:$AZ$1001,ROW(),설정!$C$4)&amp;"",""))</f>
        <v/>
      </c>
      <c r="C993">
        <f>IF(설정!$C$5="","",IFERROR(INDEX('1.산군_붙여넣기'!$A$1:$AZ$1001,ROW(),설정!$C$5)&amp;"",""))</f>
        <v/>
      </c>
      <c r="D993" s="5">
        <f>IFERROR(VALUE(SUBSTITUTE(SUBSTITUTE(SUBSTITUTE(IF(설정!$C$6="","",IFERROR(INDEX('1.산군_붙여넣기'!$A$1:$AZ$1001,ROW(),설정!$C$6)&amp;"","")),",",""),"㎡",""),"m2","")),"")</f>
        <v/>
      </c>
      <c r="E993">
        <f>IF(설정!$C$7="","",IFERROR(INDEX('1.산군_붙여넣기'!$A$1:$AZ$1001,ROW(),설정!$C$7)&amp;"",""))</f>
        <v/>
      </c>
      <c r="F993">
        <f>IF(설정!$C$8="","",IFERROR(INDEX('1.산군_붙여넣기'!$A$1:$AZ$1001,ROW(),설정!$C$8)&amp;"",""))</f>
        <v/>
      </c>
      <c r="G993">
        <f>IF(설정!$C$9="","",IFERROR(INDEX('1.산군_붙여넣기'!$A$1:$AZ$1001,ROW(),설정!$C$9)&amp;"",""))</f>
        <v/>
      </c>
      <c r="H993">
        <f>IF(설정!$C$10="","",IFERROR(INDEX('1.산군_붙여넣기'!$A$1:$AZ$1001,ROW(),설정!$C$10)&amp;"",""))</f>
        <v/>
      </c>
      <c r="I993">
        <f>IF(설정!$C$11="","",IFERROR(INDEX('1.산군_붙여넣기'!$A$1:$AZ$1001,ROW(),설정!$C$11)&amp;"",""))</f>
        <v/>
      </c>
      <c r="J993">
        <f>IF(설정!$C$12="","",IFERROR(INDEX('1.산군_붙여넣기'!$A$1:$AZ$1001,ROW(),설정!$C$12)&amp;"",""))</f>
        <v/>
      </c>
      <c r="K993">
        <f>IF(설정!$C$13="","",IFERROR(INDEX('1.산군_붙여넣기'!$A$1:$AZ$1001,ROW(),설정!$C$13)&amp;"",""))</f>
        <v/>
      </c>
      <c r="L993" s="7">
        <f>IF(X993="","",IF(AND(LEN(X993)=8,ISNUMBER(X993*1)),DATE(LEFT(X993,4),MID(X993,5,2),RIGHT(X993,2)),IFERROR(DATEVALUE(SUBSTITUTE(SUBSTITUTE(X993,".","-"),"/","-")),IFERROR(X993*1,""))))</f>
        <v/>
      </c>
      <c r="M993" s="7">
        <f>IF(Y993="","",IF(AND(LEN(Y993)=8,ISNUMBER(Y993*1)),DATE(LEFT(Y993,4),MID(Y993,5,2),RIGHT(Y993,2)),IFERROR(DATEVALUE(SUBSTITUTE(SUBSTITUTE(Y993,".","-"),"/","-")),IFERROR(Y993*1,""))))</f>
        <v/>
      </c>
      <c r="N993">
        <f>IFERROR(LEFT(B993,FIND(" ",B993)-1),B993)</f>
        <v/>
      </c>
      <c r="O993">
        <f>AND(B993&lt;&gt;"",B993&lt;&gt;설정!$B$4,C993&lt;&gt;설정!$B$5)</f>
        <v/>
      </c>
      <c r="P993">
        <f>IF(O993,B993&amp;"|"&amp;C993,"")</f>
        <v/>
      </c>
      <c r="Q993">
        <f>AND(O993,COUNTIF(P994:P$1002,P993)=0)</f>
        <v/>
      </c>
      <c r="R993">
        <f>OR(AND(설정!$A$42&lt;&gt;"",ISNUMBER(SEARCH(설정!$A$42,E993&amp;" "&amp;C993))),AND(설정!$A$43&lt;&gt;"",ISNUMBER(SEARCH(설정!$A$43,E993&amp;" "&amp;C993))),AND(설정!$A$44&lt;&gt;"",ISNUMBER(SEARCH(설정!$A$44,E993&amp;" "&amp;C993))),AND(설정!$A$45&lt;&gt;"",ISNUMBER(SEARCH(설정!$A$45,E993&amp;" "&amp;C993))),AND(설정!$A$46&lt;&gt;"",ISNUMBER(SEARCH(설정!$A$46,E993&amp;" "&amp;C993))),AND(설정!$A$47&lt;&gt;"",ISNUMBER(SEARCH(설정!$A$47,E993&amp;" "&amp;C993))),AND(설정!$A$48&lt;&gt;"",ISNUMBER(SEARCH(설정!$A$48,E993&amp;" "&amp;C993))),AND(설정!$A$49&lt;&gt;"",ISNUMBER(SEARCH(설정!$A$49,E993&amp;" "&amp;C993))),AND(설정!$A$50&lt;&gt;"",ISNUMBER(SEARCH(설정!$A$50,E993&amp;" "&amp;C993))),AND(설정!$A$51&lt;&gt;"",ISNUMBER(SEARCH(설정!$A$51,E993&amp;" "&amp;C993))))</f>
        <v/>
      </c>
      <c r="S993">
        <f>OR(D993="",D993&gt;=설정!$B$19)</f>
        <v/>
      </c>
      <c r="T993">
        <f>AND(Q993,R993,S993)</f>
        <v/>
      </c>
      <c r="U993">
        <f>IF(T993,IF(AND(설정!$A$54&lt;&gt;"",ISNUMBER(SEARCH(설정!$A$54,K993))),설정!$B$54,IF(AND(설정!$A$55&lt;&gt;"",ISNUMBER(SEARCH(설정!$A$55,K993))),설정!$B$55,IF(AND(설정!$A$56&lt;&gt;"",ISNUMBER(SEARCH(설정!$A$56,K993))),설정!$B$56,IF(AND(설정!$A$57&lt;&gt;"",ISNUMBER(SEARCH(설정!$A$57,K993))),설정!$B$57,IF(AND(설정!$A$58&lt;&gt;"",ISNUMBER(SEARCH(설정!$A$58,K993))),설정!$B$58,IF(AND(설정!$A$59&lt;&gt;"",ISNUMBER(SEARCH(설정!$A$59,K993))),설정!$B$59,IF(AND(설정!$A$60&lt;&gt;"",ISNUMBER(SEARCH(설정!$A$60,K993))),설정!$B$60,IF(AND(설정!$A$61&lt;&gt;"",ISNUMBER(SEARCH(설정!$A$61,K993))),설정!$B$61,IF(M993="","설계사","시공사"))))))))),"")</f>
        <v/>
      </c>
      <c r="V993">
        <f>SUBSTITUTE(SUBSTITUTE(SUBSTITUTE(SUBSTITUTE(G993,"(주)",""),"㈜",""),"주식회사","")," ","")</f>
        <v/>
      </c>
      <c r="W993">
        <f>IF(AND(T993,V993&lt;&gt;""),IF(COUNTIFS(V$2:V993,V993,T$2:T993,TRUE)=1,MAX(W$1:W992)+1,""),"")</f>
        <v/>
      </c>
      <c r="X993">
        <f>IF(설정!$C$14="","",IFERROR(INDEX('1.산군_붙여넣기'!$A$1:$AZ$1001,ROW(),설정!$C$14)&amp;"",""))</f>
        <v/>
      </c>
      <c r="Y993">
        <f>IF(설정!$C$15="","",IFERROR(INDEX('1.산군_붙여넣기'!$A$1:$AZ$1001,ROW(),설정!$C$15)&amp;"",""))</f>
        <v/>
      </c>
      <c r="Z993">
        <f>IF(T993,V993&amp;"|"&amp;U993,"")</f>
        <v/>
      </c>
      <c r="AA993">
        <f>IF(NOT(Q993),"",IF(NOT(AND(R993,S993)),"✕",IF(OR(OR(AND(L993&lt;&gt;"",M993&lt;&gt;"",N(M993)-N(L993)&gt;설정!$B$27),AND(L993&lt;&gt;"",M993="",설정!$B$24-N(L993)&gt;설정!$B$27)),AND(D993&lt;&gt;"",D993&lt;설정!$B$26)),"△","★")))</f>
        <v/>
      </c>
      <c r="AB993">
        <f>IF(NOT(T993),"",IF(U993="설계사",설정!$B$31,IF(U993="시공사",IF(OR(M993="",설정!$B$24-N(M993)&lt;=설정!$B$28*30.4),설정!$B$32,설정!$B$33),설정!$B$34))+IF(AA993="★",설정!$B$35,0))</f>
        <v/>
      </c>
      <c r="AC993">
        <f>SUBSTITUTE(SUBSTITUTE(SUBSTITUTE(SUBSTITUTE(H993,"(주)",""),"㈜",""),"주식회사","")," ","")</f>
        <v/>
      </c>
      <c r="AD993">
        <f>IF(AND(T993,AC993&lt;&gt;""),IF(COUNTIFS(AC$2:AC993,AC993,T$2:T993,TRUE)=1,MAX(AD$1:AD992)+1,""),"")</f>
        <v/>
      </c>
    </row>
    <row r="994">
      <c r="A994">
        <f>ROW()</f>
        <v/>
      </c>
      <c r="B994">
        <f>IF(설정!$C$4="","",IFERROR(INDEX('1.산군_붙여넣기'!$A$1:$AZ$1001,ROW(),설정!$C$4)&amp;"",""))</f>
        <v/>
      </c>
      <c r="C994">
        <f>IF(설정!$C$5="","",IFERROR(INDEX('1.산군_붙여넣기'!$A$1:$AZ$1001,ROW(),설정!$C$5)&amp;"",""))</f>
        <v/>
      </c>
      <c r="D994" s="5">
        <f>IFERROR(VALUE(SUBSTITUTE(SUBSTITUTE(SUBSTITUTE(IF(설정!$C$6="","",IFERROR(INDEX('1.산군_붙여넣기'!$A$1:$AZ$1001,ROW(),설정!$C$6)&amp;"","")),",",""),"㎡",""),"m2","")),"")</f>
        <v/>
      </c>
      <c r="E994">
        <f>IF(설정!$C$7="","",IFERROR(INDEX('1.산군_붙여넣기'!$A$1:$AZ$1001,ROW(),설정!$C$7)&amp;"",""))</f>
        <v/>
      </c>
      <c r="F994">
        <f>IF(설정!$C$8="","",IFERROR(INDEX('1.산군_붙여넣기'!$A$1:$AZ$1001,ROW(),설정!$C$8)&amp;"",""))</f>
        <v/>
      </c>
      <c r="G994">
        <f>IF(설정!$C$9="","",IFERROR(INDEX('1.산군_붙여넣기'!$A$1:$AZ$1001,ROW(),설정!$C$9)&amp;"",""))</f>
        <v/>
      </c>
      <c r="H994">
        <f>IF(설정!$C$10="","",IFERROR(INDEX('1.산군_붙여넣기'!$A$1:$AZ$1001,ROW(),설정!$C$10)&amp;"",""))</f>
        <v/>
      </c>
      <c r="I994">
        <f>IF(설정!$C$11="","",IFERROR(INDEX('1.산군_붙여넣기'!$A$1:$AZ$1001,ROW(),설정!$C$11)&amp;"",""))</f>
        <v/>
      </c>
      <c r="J994">
        <f>IF(설정!$C$12="","",IFERROR(INDEX('1.산군_붙여넣기'!$A$1:$AZ$1001,ROW(),설정!$C$12)&amp;"",""))</f>
        <v/>
      </c>
      <c r="K994">
        <f>IF(설정!$C$13="","",IFERROR(INDEX('1.산군_붙여넣기'!$A$1:$AZ$1001,ROW(),설정!$C$13)&amp;"",""))</f>
        <v/>
      </c>
      <c r="L994" s="7">
        <f>IF(X994="","",IF(AND(LEN(X994)=8,ISNUMBER(X994*1)),DATE(LEFT(X994,4),MID(X994,5,2),RIGHT(X994,2)),IFERROR(DATEVALUE(SUBSTITUTE(SUBSTITUTE(X994,".","-"),"/","-")),IFERROR(X994*1,""))))</f>
        <v/>
      </c>
      <c r="M994" s="7">
        <f>IF(Y994="","",IF(AND(LEN(Y994)=8,ISNUMBER(Y994*1)),DATE(LEFT(Y994,4),MID(Y994,5,2),RIGHT(Y994,2)),IFERROR(DATEVALUE(SUBSTITUTE(SUBSTITUTE(Y994,".","-"),"/","-")),IFERROR(Y994*1,""))))</f>
        <v/>
      </c>
      <c r="N994">
        <f>IFERROR(LEFT(B994,FIND(" ",B994)-1),B994)</f>
        <v/>
      </c>
      <c r="O994">
        <f>AND(B994&lt;&gt;"",B994&lt;&gt;설정!$B$4,C994&lt;&gt;설정!$B$5)</f>
        <v/>
      </c>
      <c r="P994">
        <f>IF(O994,B994&amp;"|"&amp;C994,"")</f>
        <v/>
      </c>
      <c r="Q994">
        <f>AND(O994,COUNTIF(P995:P$1002,P994)=0)</f>
        <v/>
      </c>
      <c r="R994">
        <f>OR(AND(설정!$A$42&lt;&gt;"",ISNUMBER(SEARCH(설정!$A$42,E994&amp;" "&amp;C994))),AND(설정!$A$43&lt;&gt;"",ISNUMBER(SEARCH(설정!$A$43,E994&amp;" "&amp;C994))),AND(설정!$A$44&lt;&gt;"",ISNUMBER(SEARCH(설정!$A$44,E994&amp;" "&amp;C994))),AND(설정!$A$45&lt;&gt;"",ISNUMBER(SEARCH(설정!$A$45,E994&amp;" "&amp;C994))),AND(설정!$A$46&lt;&gt;"",ISNUMBER(SEARCH(설정!$A$46,E994&amp;" "&amp;C994))),AND(설정!$A$47&lt;&gt;"",ISNUMBER(SEARCH(설정!$A$47,E994&amp;" "&amp;C994))),AND(설정!$A$48&lt;&gt;"",ISNUMBER(SEARCH(설정!$A$48,E994&amp;" "&amp;C994))),AND(설정!$A$49&lt;&gt;"",ISNUMBER(SEARCH(설정!$A$49,E994&amp;" "&amp;C994))),AND(설정!$A$50&lt;&gt;"",ISNUMBER(SEARCH(설정!$A$50,E994&amp;" "&amp;C994))),AND(설정!$A$51&lt;&gt;"",ISNUMBER(SEARCH(설정!$A$51,E994&amp;" "&amp;C994))))</f>
        <v/>
      </c>
      <c r="S994">
        <f>OR(D994="",D994&gt;=설정!$B$19)</f>
        <v/>
      </c>
      <c r="T994">
        <f>AND(Q994,R994,S994)</f>
        <v/>
      </c>
      <c r="U994">
        <f>IF(T994,IF(AND(설정!$A$54&lt;&gt;"",ISNUMBER(SEARCH(설정!$A$54,K994))),설정!$B$54,IF(AND(설정!$A$55&lt;&gt;"",ISNUMBER(SEARCH(설정!$A$55,K994))),설정!$B$55,IF(AND(설정!$A$56&lt;&gt;"",ISNUMBER(SEARCH(설정!$A$56,K994))),설정!$B$56,IF(AND(설정!$A$57&lt;&gt;"",ISNUMBER(SEARCH(설정!$A$57,K994))),설정!$B$57,IF(AND(설정!$A$58&lt;&gt;"",ISNUMBER(SEARCH(설정!$A$58,K994))),설정!$B$58,IF(AND(설정!$A$59&lt;&gt;"",ISNUMBER(SEARCH(설정!$A$59,K994))),설정!$B$59,IF(AND(설정!$A$60&lt;&gt;"",ISNUMBER(SEARCH(설정!$A$60,K994))),설정!$B$60,IF(AND(설정!$A$61&lt;&gt;"",ISNUMBER(SEARCH(설정!$A$61,K994))),설정!$B$61,IF(M994="","설계사","시공사"))))))))),"")</f>
        <v/>
      </c>
      <c r="V994">
        <f>SUBSTITUTE(SUBSTITUTE(SUBSTITUTE(SUBSTITUTE(G994,"(주)",""),"㈜",""),"주식회사","")," ","")</f>
        <v/>
      </c>
      <c r="W994">
        <f>IF(AND(T994,V994&lt;&gt;""),IF(COUNTIFS(V$2:V994,V994,T$2:T994,TRUE)=1,MAX(W$1:W993)+1,""),"")</f>
        <v/>
      </c>
      <c r="X994">
        <f>IF(설정!$C$14="","",IFERROR(INDEX('1.산군_붙여넣기'!$A$1:$AZ$1001,ROW(),설정!$C$14)&amp;"",""))</f>
        <v/>
      </c>
      <c r="Y994">
        <f>IF(설정!$C$15="","",IFERROR(INDEX('1.산군_붙여넣기'!$A$1:$AZ$1001,ROW(),설정!$C$15)&amp;"",""))</f>
        <v/>
      </c>
      <c r="Z994">
        <f>IF(T994,V994&amp;"|"&amp;U994,"")</f>
        <v/>
      </c>
      <c r="AA994">
        <f>IF(NOT(Q994),"",IF(NOT(AND(R994,S994)),"✕",IF(OR(OR(AND(L994&lt;&gt;"",M994&lt;&gt;"",N(M994)-N(L994)&gt;설정!$B$27),AND(L994&lt;&gt;"",M994="",설정!$B$24-N(L994)&gt;설정!$B$27)),AND(D994&lt;&gt;"",D994&lt;설정!$B$26)),"△","★")))</f>
        <v/>
      </c>
      <c r="AB994">
        <f>IF(NOT(T994),"",IF(U994="설계사",설정!$B$31,IF(U994="시공사",IF(OR(M994="",설정!$B$24-N(M994)&lt;=설정!$B$28*30.4),설정!$B$32,설정!$B$33),설정!$B$34))+IF(AA994="★",설정!$B$35,0))</f>
        <v/>
      </c>
      <c r="AC994">
        <f>SUBSTITUTE(SUBSTITUTE(SUBSTITUTE(SUBSTITUTE(H994,"(주)",""),"㈜",""),"주식회사","")," ","")</f>
        <v/>
      </c>
      <c r="AD994">
        <f>IF(AND(T994,AC994&lt;&gt;""),IF(COUNTIFS(AC$2:AC994,AC994,T$2:T994,TRUE)=1,MAX(AD$1:AD993)+1,""),"")</f>
        <v/>
      </c>
    </row>
    <row r="995">
      <c r="A995">
        <f>ROW()</f>
        <v/>
      </c>
      <c r="B995">
        <f>IF(설정!$C$4="","",IFERROR(INDEX('1.산군_붙여넣기'!$A$1:$AZ$1001,ROW(),설정!$C$4)&amp;"",""))</f>
        <v/>
      </c>
      <c r="C995">
        <f>IF(설정!$C$5="","",IFERROR(INDEX('1.산군_붙여넣기'!$A$1:$AZ$1001,ROW(),설정!$C$5)&amp;"",""))</f>
        <v/>
      </c>
      <c r="D995" s="5">
        <f>IFERROR(VALUE(SUBSTITUTE(SUBSTITUTE(SUBSTITUTE(IF(설정!$C$6="","",IFERROR(INDEX('1.산군_붙여넣기'!$A$1:$AZ$1001,ROW(),설정!$C$6)&amp;"","")),",",""),"㎡",""),"m2","")),"")</f>
        <v/>
      </c>
      <c r="E995">
        <f>IF(설정!$C$7="","",IFERROR(INDEX('1.산군_붙여넣기'!$A$1:$AZ$1001,ROW(),설정!$C$7)&amp;"",""))</f>
        <v/>
      </c>
      <c r="F995">
        <f>IF(설정!$C$8="","",IFERROR(INDEX('1.산군_붙여넣기'!$A$1:$AZ$1001,ROW(),설정!$C$8)&amp;"",""))</f>
        <v/>
      </c>
      <c r="G995">
        <f>IF(설정!$C$9="","",IFERROR(INDEX('1.산군_붙여넣기'!$A$1:$AZ$1001,ROW(),설정!$C$9)&amp;"",""))</f>
        <v/>
      </c>
      <c r="H995">
        <f>IF(설정!$C$10="","",IFERROR(INDEX('1.산군_붙여넣기'!$A$1:$AZ$1001,ROW(),설정!$C$10)&amp;"",""))</f>
        <v/>
      </c>
      <c r="I995">
        <f>IF(설정!$C$11="","",IFERROR(INDEX('1.산군_붙여넣기'!$A$1:$AZ$1001,ROW(),설정!$C$11)&amp;"",""))</f>
        <v/>
      </c>
      <c r="J995">
        <f>IF(설정!$C$12="","",IFERROR(INDEX('1.산군_붙여넣기'!$A$1:$AZ$1001,ROW(),설정!$C$12)&amp;"",""))</f>
        <v/>
      </c>
      <c r="K995">
        <f>IF(설정!$C$13="","",IFERROR(INDEX('1.산군_붙여넣기'!$A$1:$AZ$1001,ROW(),설정!$C$13)&amp;"",""))</f>
        <v/>
      </c>
      <c r="L995" s="7">
        <f>IF(X995="","",IF(AND(LEN(X995)=8,ISNUMBER(X995*1)),DATE(LEFT(X995,4),MID(X995,5,2),RIGHT(X995,2)),IFERROR(DATEVALUE(SUBSTITUTE(SUBSTITUTE(X995,".","-"),"/","-")),IFERROR(X995*1,""))))</f>
        <v/>
      </c>
      <c r="M995" s="7">
        <f>IF(Y995="","",IF(AND(LEN(Y995)=8,ISNUMBER(Y995*1)),DATE(LEFT(Y995,4),MID(Y995,5,2),RIGHT(Y995,2)),IFERROR(DATEVALUE(SUBSTITUTE(SUBSTITUTE(Y995,".","-"),"/","-")),IFERROR(Y995*1,""))))</f>
        <v/>
      </c>
      <c r="N995">
        <f>IFERROR(LEFT(B995,FIND(" ",B995)-1),B995)</f>
        <v/>
      </c>
      <c r="O995">
        <f>AND(B995&lt;&gt;"",B995&lt;&gt;설정!$B$4,C995&lt;&gt;설정!$B$5)</f>
        <v/>
      </c>
      <c r="P995">
        <f>IF(O995,B995&amp;"|"&amp;C995,"")</f>
        <v/>
      </c>
      <c r="Q995">
        <f>AND(O995,COUNTIF(P996:P$1002,P995)=0)</f>
        <v/>
      </c>
      <c r="R995">
        <f>OR(AND(설정!$A$42&lt;&gt;"",ISNUMBER(SEARCH(설정!$A$42,E995&amp;" "&amp;C995))),AND(설정!$A$43&lt;&gt;"",ISNUMBER(SEARCH(설정!$A$43,E995&amp;" "&amp;C995))),AND(설정!$A$44&lt;&gt;"",ISNUMBER(SEARCH(설정!$A$44,E995&amp;" "&amp;C995))),AND(설정!$A$45&lt;&gt;"",ISNUMBER(SEARCH(설정!$A$45,E995&amp;" "&amp;C995))),AND(설정!$A$46&lt;&gt;"",ISNUMBER(SEARCH(설정!$A$46,E995&amp;" "&amp;C995))),AND(설정!$A$47&lt;&gt;"",ISNUMBER(SEARCH(설정!$A$47,E995&amp;" "&amp;C995))),AND(설정!$A$48&lt;&gt;"",ISNUMBER(SEARCH(설정!$A$48,E995&amp;" "&amp;C995))),AND(설정!$A$49&lt;&gt;"",ISNUMBER(SEARCH(설정!$A$49,E995&amp;" "&amp;C995))),AND(설정!$A$50&lt;&gt;"",ISNUMBER(SEARCH(설정!$A$50,E995&amp;" "&amp;C995))),AND(설정!$A$51&lt;&gt;"",ISNUMBER(SEARCH(설정!$A$51,E995&amp;" "&amp;C995))))</f>
        <v/>
      </c>
      <c r="S995">
        <f>OR(D995="",D995&gt;=설정!$B$19)</f>
        <v/>
      </c>
      <c r="T995">
        <f>AND(Q995,R995,S995)</f>
        <v/>
      </c>
      <c r="U995">
        <f>IF(T995,IF(AND(설정!$A$54&lt;&gt;"",ISNUMBER(SEARCH(설정!$A$54,K995))),설정!$B$54,IF(AND(설정!$A$55&lt;&gt;"",ISNUMBER(SEARCH(설정!$A$55,K995))),설정!$B$55,IF(AND(설정!$A$56&lt;&gt;"",ISNUMBER(SEARCH(설정!$A$56,K995))),설정!$B$56,IF(AND(설정!$A$57&lt;&gt;"",ISNUMBER(SEARCH(설정!$A$57,K995))),설정!$B$57,IF(AND(설정!$A$58&lt;&gt;"",ISNUMBER(SEARCH(설정!$A$58,K995))),설정!$B$58,IF(AND(설정!$A$59&lt;&gt;"",ISNUMBER(SEARCH(설정!$A$59,K995))),설정!$B$59,IF(AND(설정!$A$60&lt;&gt;"",ISNUMBER(SEARCH(설정!$A$60,K995))),설정!$B$60,IF(AND(설정!$A$61&lt;&gt;"",ISNUMBER(SEARCH(설정!$A$61,K995))),설정!$B$61,IF(M995="","설계사","시공사"))))))))),"")</f>
        <v/>
      </c>
      <c r="V995">
        <f>SUBSTITUTE(SUBSTITUTE(SUBSTITUTE(SUBSTITUTE(G995,"(주)",""),"㈜",""),"주식회사","")," ","")</f>
        <v/>
      </c>
      <c r="W995">
        <f>IF(AND(T995,V995&lt;&gt;""),IF(COUNTIFS(V$2:V995,V995,T$2:T995,TRUE)=1,MAX(W$1:W994)+1,""),"")</f>
        <v/>
      </c>
      <c r="X995">
        <f>IF(설정!$C$14="","",IFERROR(INDEX('1.산군_붙여넣기'!$A$1:$AZ$1001,ROW(),설정!$C$14)&amp;"",""))</f>
        <v/>
      </c>
      <c r="Y995">
        <f>IF(설정!$C$15="","",IFERROR(INDEX('1.산군_붙여넣기'!$A$1:$AZ$1001,ROW(),설정!$C$15)&amp;"",""))</f>
        <v/>
      </c>
      <c r="Z995">
        <f>IF(T995,V995&amp;"|"&amp;U995,"")</f>
        <v/>
      </c>
      <c r="AA995">
        <f>IF(NOT(Q995),"",IF(NOT(AND(R995,S995)),"✕",IF(OR(OR(AND(L995&lt;&gt;"",M995&lt;&gt;"",N(M995)-N(L995)&gt;설정!$B$27),AND(L995&lt;&gt;"",M995="",설정!$B$24-N(L995)&gt;설정!$B$27)),AND(D995&lt;&gt;"",D995&lt;설정!$B$26)),"△","★")))</f>
        <v/>
      </c>
      <c r="AB995">
        <f>IF(NOT(T995),"",IF(U995="설계사",설정!$B$31,IF(U995="시공사",IF(OR(M995="",설정!$B$24-N(M995)&lt;=설정!$B$28*30.4),설정!$B$32,설정!$B$33),설정!$B$34))+IF(AA995="★",설정!$B$35,0))</f>
        <v/>
      </c>
      <c r="AC995">
        <f>SUBSTITUTE(SUBSTITUTE(SUBSTITUTE(SUBSTITUTE(H995,"(주)",""),"㈜",""),"주식회사","")," ","")</f>
        <v/>
      </c>
      <c r="AD995">
        <f>IF(AND(T995,AC995&lt;&gt;""),IF(COUNTIFS(AC$2:AC995,AC995,T$2:T995,TRUE)=1,MAX(AD$1:AD994)+1,""),"")</f>
        <v/>
      </c>
    </row>
    <row r="996">
      <c r="A996">
        <f>ROW()</f>
        <v/>
      </c>
      <c r="B996">
        <f>IF(설정!$C$4="","",IFERROR(INDEX('1.산군_붙여넣기'!$A$1:$AZ$1001,ROW(),설정!$C$4)&amp;"",""))</f>
        <v/>
      </c>
      <c r="C996">
        <f>IF(설정!$C$5="","",IFERROR(INDEX('1.산군_붙여넣기'!$A$1:$AZ$1001,ROW(),설정!$C$5)&amp;"",""))</f>
        <v/>
      </c>
      <c r="D996" s="5">
        <f>IFERROR(VALUE(SUBSTITUTE(SUBSTITUTE(SUBSTITUTE(IF(설정!$C$6="","",IFERROR(INDEX('1.산군_붙여넣기'!$A$1:$AZ$1001,ROW(),설정!$C$6)&amp;"","")),",",""),"㎡",""),"m2","")),"")</f>
        <v/>
      </c>
      <c r="E996">
        <f>IF(설정!$C$7="","",IFERROR(INDEX('1.산군_붙여넣기'!$A$1:$AZ$1001,ROW(),설정!$C$7)&amp;"",""))</f>
        <v/>
      </c>
      <c r="F996">
        <f>IF(설정!$C$8="","",IFERROR(INDEX('1.산군_붙여넣기'!$A$1:$AZ$1001,ROW(),설정!$C$8)&amp;"",""))</f>
        <v/>
      </c>
      <c r="G996">
        <f>IF(설정!$C$9="","",IFERROR(INDEX('1.산군_붙여넣기'!$A$1:$AZ$1001,ROW(),설정!$C$9)&amp;"",""))</f>
        <v/>
      </c>
      <c r="H996">
        <f>IF(설정!$C$10="","",IFERROR(INDEX('1.산군_붙여넣기'!$A$1:$AZ$1001,ROW(),설정!$C$10)&amp;"",""))</f>
        <v/>
      </c>
      <c r="I996">
        <f>IF(설정!$C$11="","",IFERROR(INDEX('1.산군_붙여넣기'!$A$1:$AZ$1001,ROW(),설정!$C$11)&amp;"",""))</f>
        <v/>
      </c>
      <c r="J996">
        <f>IF(설정!$C$12="","",IFERROR(INDEX('1.산군_붙여넣기'!$A$1:$AZ$1001,ROW(),설정!$C$12)&amp;"",""))</f>
        <v/>
      </c>
      <c r="K996">
        <f>IF(설정!$C$13="","",IFERROR(INDEX('1.산군_붙여넣기'!$A$1:$AZ$1001,ROW(),설정!$C$13)&amp;"",""))</f>
        <v/>
      </c>
      <c r="L996" s="7">
        <f>IF(X996="","",IF(AND(LEN(X996)=8,ISNUMBER(X996*1)),DATE(LEFT(X996,4),MID(X996,5,2),RIGHT(X996,2)),IFERROR(DATEVALUE(SUBSTITUTE(SUBSTITUTE(X996,".","-"),"/","-")),IFERROR(X996*1,""))))</f>
        <v/>
      </c>
      <c r="M996" s="7">
        <f>IF(Y996="","",IF(AND(LEN(Y996)=8,ISNUMBER(Y996*1)),DATE(LEFT(Y996,4),MID(Y996,5,2),RIGHT(Y996,2)),IFERROR(DATEVALUE(SUBSTITUTE(SUBSTITUTE(Y996,".","-"),"/","-")),IFERROR(Y996*1,""))))</f>
        <v/>
      </c>
      <c r="N996">
        <f>IFERROR(LEFT(B996,FIND(" ",B996)-1),B996)</f>
        <v/>
      </c>
      <c r="O996">
        <f>AND(B996&lt;&gt;"",B996&lt;&gt;설정!$B$4,C996&lt;&gt;설정!$B$5)</f>
        <v/>
      </c>
      <c r="P996">
        <f>IF(O996,B996&amp;"|"&amp;C996,"")</f>
        <v/>
      </c>
      <c r="Q996">
        <f>AND(O996,COUNTIF(P997:P$1002,P996)=0)</f>
        <v/>
      </c>
      <c r="R996">
        <f>OR(AND(설정!$A$42&lt;&gt;"",ISNUMBER(SEARCH(설정!$A$42,E996&amp;" "&amp;C996))),AND(설정!$A$43&lt;&gt;"",ISNUMBER(SEARCH(설정!$A$43,E996&amp;" "&amp;C996))),AND(설정!$A$44&lt;&gt;"",ISNUMBER(SEARCH(설정!$A$44,E996&amp;" "&amp;C996))),AND(설정!$A$45&lt;&gt;"",ISNUMBER(SEARCH(설정!$A$45,E996&amp;" "&amp;C996))),AND(설정!$A$46&lt;&gt;"",ISNUMBER(SEARCH(설정!$A$46,E996&amp;" "&amp;C996))),AND(설정!$A$47&lt;&gt;"",ISNUMBER(SEARCH(설정!$A$47,E996&amp;" "&amp;C996))),AND(설정!$A$48&lt;&gt;"",ISNUMBER(SEARCH(설정!$A$48,E996&amp;" "&amp;C996))),AND(설정!$A$49&lt;&gt;"",ISNUMBER(SEARCH(설정!$A$49,E996&amp;" "&amp;C996))),AND(설정!$A$50&lt;&gt;"",ISNUMBER(SEARCH(설정!$A$50,E996&amp;" "&amp;C996))),AND(설정!$A$51&lt;&gt;"",ISNUMBER(SEARCH(설정!$A$51,E996&amp;" "&amp;C996))))</f>
        <v/>
      </c>
      <c r="S996">
        <f>OR(D996="",D996&gt;=설정!$B$19)</f>
        <v/>
      </c>
      <c r="T996">
        <f>AND(Q996,R996,S996)</f>
        <v/>
      </c>
      <c r="U996">
        <f>IF(T996,IF(AND(설정!$A$54&lt;&gt;"",ISNUMBER(SEARCH(설정!$A$54,K996))),설정!$B$54,IF(AND(설정!$A$55&lt;&gt;"",ISNUMBER(SEARCH(설정!$A$55,K996))),설정!$B$55,IF(AND(설정!$A$56&lt;&gt;"",ISNUMBER(SEARCH(설정!$A$56,K996))),설정!$B$56,IF(AND(설정!$A$57&lt;&gt;"",ISNUMBER(SEARCH(설정!$A$57,K996))),설정!$B$57,IF(AND(설정!$A$58&lt;&gt;"",ISNUMBER(SEARCH(설정!$A$58,K996))),설정!$B$58,IF(AND(설정!$A$59&lt;&gt;"",ISNUMBER(SEARCH(설정!$A$59,K996))),설정!$B$59,IF(AND(설정!$A$60&lt;&gt;"",ISNUMBER(SEARCH(설정!$A$60,K996))),설정!$B$60,IF(AND(설정!$A$61&lt;&gt;"",ISNUMBER(SEARCH(설정!$A$61,K996))),설정!$B$61,IF(M996="","설계사","시공사"))))))))),"")</f>
        <v/>
      </c>
      <c r="V996">
        <f>SUBSTITUTE(SUBSTITUTE(SUBSTITUTE(SUBSTITUTE(G996,"(주)",""),"㈜",""),"주식회사","")," ","")</f>
        <v/>
      </c>
      <c r="W996">
        <f>IF(AND(T996,V996&lt;&gt;""),IF(COUNTIFS(V$2:V996,V996,T$2:T996,TRUE)=1,MAX(W$1:W995)+1,""),"")</f>
        <v/>
      </c>
      <c r="X996">
        <f>IF(설정!$C$14="","",IFERROR(INDEX('1.산군_붙여넣기'!$A$1:$AZ$1001,ROW(),설정!$C$14)&amp;"",""))</f>
        <v/>
      </c>
      <c r="Y996">
        <f>IF(설정!$C$15="","",IFERROR(INDEX('1.산군_붙여넣기'!$A$1:$AZ$1001,ROW(),설정!$C$15)&amp;"",""))</f>
        <v/>
      </c>
      <c r="Z996">
        <f>IF(T996,V996&amp;"|"&amp;U996,"")</f>
        <v/>
      </c>
      <c r="AA996">
        <f>IF(NOT(Q996),"",IF(NOT(AND(R996,S996)),"✕",IF(OR(OR(AND(L996&lt;&gt;"",M996&lt;&gt;"",N(M996)-N(L996)&gt;설정!$B$27),AND(L996&lt;&gt;"",M996="",설정!$B$24-N(L996)&gt;설정!$B$27)),AND(D996&lt;&gt;"",D996&lt;설정!$B$26)),"△","★")))</f>
        <v/>
      </c>
      <c r="AB996">
        <f>IF(NOT(T996),"",IF(U996="설계사",설정!$B$31,IF(U996="시공사",IF(OR(M996="",설정!$B$24-N(M996)&lt;=설정!$B$28*30.4),설정!$B$32,설정!$B$33),설정!$B$34))+IF(AA996="★",설정!$B$35,0))</f>
        <v/>
      </c>
      <c r="AC996">
        <f>SUBSTITUTE(SUBSTITUTE(SUBSTITUTE(SUBSTITUTE(H996,"(주)",""),"㈜",""),"주식회사","")," ","")</f>
        <v/>
      </c>
      <c r="AD996">
        <f>IF(AND(T996,AC996&lt;&gt;""),IF(COUNTIFS(AC$2:AC996,AC996,T$2:T996,TRUE)=1,MAX(AD$1:AD995)+1,""),"")</f>
        <v/>
      </c>
    </row>
    <row r="997">
      <c r="A997">
        <f>ROW()</f>
        <v/>
      </c>
      <c r="B997">
        <f>IF(설정!$C$4="","",IFERROR(INDEX('1.산군_붙여넣기'!$A$1:$AZ$1001,ROW(),설정!$C$4)&amp;"",""))</f>
        <v/>
      </c>
      <c r="C997">
        <f>IF(설정!$C$5="","",IFERROR(INDEX('1.산군_붙여넣기'!$A$1:$AZ$1001,ROW(),설정!$C$5)&amp;"",""))</f>
        <v/>
      </c>
      <c r="D997" s="5">
        <f>IFERROR(VALUE(SUBSTITUTE(SUBSTITUTE(SUBSTITUTE(IF(설정!$C$6="","",IFERROR(INDEX('1.산군_붙여넣기'!$A$1:$AZ$1001,ROW(),설정!$C$6)&amp;"","")),",",""),"㎡",""),"m2","")),"")</f>
        <v/>
      </c>
      <c r="E997">
        <f>IF(설정!$C$7="","",IFERROR(INDEX('1.산군_붙여넣기'!$A$1:$AZ$1001,ROW(),설정!$C$7)&amp;"",""))</f>
        <v/>
      </c>
      <c r="F997">
        <f>IF(설정!$C$8="","",IFERROR(INDEX('1.산군_붙여넣기'!$A$1:$AZ$1001,ROW(),설정!$C$8)&amp;"",""))</f>
        <v/>
      </c>
      <c r="G997">
        <f>IF(설정!$C$9="","",IFERROR(INDEX('1.산군_붙여넣기'!$A$1:$AZ$1001,ROW(),설정!$C$9)&amp;"",""))</f>
        <v/>
      </c>
      <c r="H997">
        <f>IF(설정!$C$10="","",IFERROR(INDEX('1.산군_붙여넣기'!$A$1:$AZ$1001,ROW(),설정!$C$10)&amp;"",""))</f>
        <v/>
      </c>
      <c r="I997">
        <f>IF(설정!$C$11="","",IFERROR(INDEX('1.산군_붙여넣기'!$A$1:$AZ$1001,ROW(),설정!$C$11)&amp;"",""))</f>
        <v/>
      </c>
      <c r="J997">
        <f>IF(설정!$C$12="","",IFERROR(INDEX('1.산군_붙여넣기'!$A$1:$AZ$1001,ROW(),설정!$C$12)&amp;"",""))</f>
        <v/>
      </c>
      <c r="K997">
        <f>IF(설정!$C$13="","",IFERROR(INDEX('1.산군_붙여넣기'!$A$1:$AZ$1001,ROW(),설정!$C$13)&amp;"",""))</f>
        <v/>
      </c>
      <c r="L997" s="7">
        <f>IF(X997="","",IF(AND(LEN(X997)=8,ISNUMBER(X997*1)),DATE(LEFT(X997,4),MID(X997,5,2),RIGHT(X997,2)),IFERROR(DATEVALUE(SUBSTITUTE(SUBSTITUTE(X997,".","-"),"/","-")),IFERROR(X997*1,""))))</f>
        <v/>
      </c>
      <c r="M997" s="7">
        <f>IF(Y997="","",IF(AND(LEN(Y997)=8,ISNUMBER(Y997*1)),DATE(LEFT(Y997,4),MID(Y997,5,2),RIGHT(Y997,2)),IFERROR(DATEVALUE(SUBSTITUTE(SUBSTITUTE(Y997,".","-"),"/","-")),IFERROR(Y997*1,""))))</f>
        <v/>
      </c>
      <c r="N997">
        <f>IFERROR(LEFT(B997,FIND(" ",B997)-1),B997)</f>
        <v/>
      </c>
      <c r="O997">
        <f>AND(B997&lt;&gt;"",B997&lt;&gt;설정!$B$4,C997&lt;&gt;설정!$B$5)</f>
        <v/>
      </c>
      <c r="P997">
        <f>IF(O997,B997&amp;"|"&amp;C997,"")</f>
        <v/>
      </c>
      <c r="Q997">
        <f>AND(O997,COUNTIF(P998:P$1002,P997)=0)</f>
        <v/>
      </c>
      <c r="R997">
        <f>OR(AND(설정!$A$42&lt;&gt;"",ISNUMBER(SEARCH(설정!$A$42,E997&amp;" "&amp;C997))),AND(설정!$A$43&lt;&gt;"",ISNUMBER(SEARCH(설정!$A$43,E997&amp;" "&amp;C997))),AND(설정!$A$44&lt;&gt;"",ISNUMBER(SEARCH(설정!$A$44,E997&amp;" "&amp;C997))),AND(설정!$A$45&lt;&gt;"",ISNUMBER(SEARCH(설정!$A$45,E997&amp;" "&amp;C997))),AND(설정!$A$46&lt;&gt;"",ISNUMBER(SEARCH(설정!$A$46,E997&amp;" "&amp;C997))),AND(설정!$A$47&lt;&gt;"",ISNUMBER(SEARCH(설정!$A$47,E997&amp;" "&amp;C997))),AND(설정!$A$48&lt;&gt;"",ISNUMBER(SEARCH(설정!$A$48,E997&amp;" "&amp;C997))),AND(설정!$A$49&lt;&gt;"",ISNUMBER(SEARCH(설정!$A$49,E997&amp;" "&amp;C997))),AND(설정!$A$50&lt;&gt;"",ISNUMBER(SEARCH(설정!$A$50,E997&amp;" "&amp;C997))),AND(설정!$A$51&lt;&gt;"",ISNUMBER(SEARCH(설정!$A$51,E997&amp;" "&amp;C997))))</f>
        <v/>
      </c>
      <c r="S997">
        <f>OR(D997="",D997&gt;=설정!$B$19)</f>
        <v/>
      </c>
      <c r="T997">
        <f>AND(Q997,R997,S997)</f>
        <v/>
      </c>
      <c r="U997">
        <f>IF(T997,IF(AND(설정!$A$54&lt;&gt;"",ISNUMBER(SEARCH(설정!$A$54,K997))),설정!$B$54,IF(AND(설정!$A$55&lt;&gt;"",ISNUMBER(SEARCH(설정!$A$55,K997))),설정!$B$55,IF(AND(설정!$A$56&lt;&gt;"",ISNUMBER(SEARCH(설정!$A$56,K997))),설정!$B$56,IF(AND(설정!$A$57&lt;&gt;"",ISNUMBER(SEARCH(설정!$A$57,K997))),설정!$B$57,IF(AND(설정!$A$58&lt;&gt;"",ISNUMBER(SEARCH(설정!$A$58,K997))),설정!$B$58,IF(AND(설정!$A$59&lt;&gt;"",ISNUMBER(SEARCH(설정!$A$59,K997))),설정!$B$59,IF(AND(설정!$A$60&lt;&gt;"",ISNUMBER(SEARCH(설정!$A$60,K997))),설정!$B$60,IF(AND(설정!$A$61&lt;&gt;"",ISNUMBER(SEARCH(설정!$A$61,K997))),설정!$B$61,IF(M997="","설계사","시공사"))))))))),"")</f>
        <v/>
      </c>
      <c r="V997">
        <f>SUBSTITUTE(SUBSTITUTE(SUBSTITUTE(SUBSTITUTE(G997,"(주)",""),"㈜",""),"주식회사","")," ","")</f>
        <v/>
      </c>
      <c r="W997">
        <f>IF(AND(T997,V997&lt;&gt;""),IF(COUNTIFS(V$2:V997,V997,T$2:T997,TRUE)=1,MAX(W$1:W996)+1,""),"")</f>
        <v/>
      </c>
      <c r="X997">
        <f>IF(설정!$C$14="","",IFERROR(INDEX('1.산군_붙여넣기'!$A$1:$AZ$1001,ROW(),설정!$C$14)&amp;"",""))</f>
        <v/>
      </c>
      <c r="Y997">
        <f>IF(설정!$C$15="","",IFERROR(INDEX('1.산군_붙여넣기'!$A$1:$AZ$1001,ROW(),설정!$C$15)&amp;"",""))</f>
        <v/>
      </c>
      <c r="Z997">
        <f>IF(T997,V997&amp;"|"&amp;U997,"")</f>
        <v/>
      </c>
      <c r="AA997">
        <f>IF(NOT(Q997),"",IF(NOT(AND(R997,S997)),"✕",IF(OR(OR(AND(L997&lt;&gt;"",M997&lt;&gt;"",N(M997)-N(L997)&gt;설정!$B$27),AND(L997&lt;&gt;"",M997="",설정!$B$24-N(L997)&gt;설정!$B$27)),AND(D997&lt;&gt;"",D997&lt;설정!$B$26)),"△","★")))</f>
        <v/>
      </c>
      <c r="AB997">
        <f>IF(NOT(T997),"",IF(U997="설계사",설정!$B$31,IF(U997="시공사",IF(OR(M997="",설정!$B$24-N(M997)&lt;=설정!$B$28*30.4),설정!$B$32,설정!$B$33),설정!$B$34))+IF(AA997="★",설정!$B$35,0))</f>
        <v/>
      </c>
      <c r="AC997">
        <f>SUBSTITUTE(SUBSTITUTE(SUBSTITUTE(SUBSTITUTE(H997,"(주)",""),"㈜",""),"주식회사","")," ","")</f>
        <v/>
      </c>
      <c r="AD997">
        <f>IF(AND(T997,AC997&lt;&gt;""),IF(COUNTIFS(AC$2:AC997,AC997,T$2:T997,TRUE)=1,MAX(AD$1:AD996)+1,""),"")</f>
        <v/>
      </c>
    </row>
    <row r="998">
      <c r="A998">
        <f>ROW()</f>
        <v/>
      </c>
      <c r="B998">
        <f>IF(설정!$C$4="","",IFERROR(INDEX('1.산군_붙여넣기'!$A$1:$AZ$1001,ROW(),설정!$C$4)&amp;"",""))</f>
        <v/>
      </c>
      <c r="C998">
        <f>IF(설정!$C$5="","",IFERROR(INDEX('1.산군_붙여넣기'!$A$1:$AZ$1001,ROW(),설정!$C$5)&amp;"",""))</f>
        <v/>
      </c>
      <c r="D998" s="5">
        <f>IFERROR(VALUE(SUBSTITUTE(SUBSTITUTE(SUBSTITUTE(IF(설정!$C$6="","",IFERROR(INDEX('1.산군_붙여넣기'!$A$1:$AZ$1001,ROW(),설정!$C$6)&amp;"","")),",",""),"㎡",""),"m2","")),"")</f>
        <v/>
      </c>
      <c r="E998">
        <f>IF(설정!$C$7="","",IFERROR(INDEX('1.산군_붙여넣기'!$A$1:$AZ$1001,ROW(),설정!$C$7)&amp;"",""))</f>
        <v/>
      </c>
      <c r="F998">
        <f>IF(설정!$C$8="","",IFERROR(INDEX('1.산군_붙여넣기'!$A$1:$AZ$1001,ROW(),설정!$C$8)&amp;"",""))</f>
        <v/>
      </c>
      <c r="G998">
        <f>IF(설정!$C$9="","",IFERROR(INDEX('1.산군_붙여넣기'!$A$1:$AZ$1001,ROW(),설정!$C$9)&amp;"",""))</f>
        <v/>
      </c>
      <c r="H998">
        <f>IF(설정!$C$10="","",IFERROR(INDEX('1.산군_붙여넣기'!$A$1:$AZ$1001,ROW(),설정!$C$10)&amp;"",""))</f>
        <v/>
      </c>
      <c r="I998">
        <f>IF(설정!$C$11="","",IFERROR(INDEX('1.산군_붙여넣기'!$A$1:$AZ$1001,ROW(),설정!$C$11)&amp;"",""))</f>
        <v/>
      </c>
      <c r="J998">
        <f>IF(설정!$C$12="","",IFERROR(INDEX('1.산군_붙여넣기'!$A$1:$AZ$1001,ROW(),설정!$C$12)&amp;"",""))</f>
        <v/>
      </c>
      <c r="K998">
        <f>IF(설정!$C$13="","",IFERROR(INDEX('1.산군_붙여넣기'!$A$1:$AZ$1001,ROW(),설정!$C$13)&amp;"",""))</f>
        <v/>
      </c>
      <c r="L998" s="7">
        <f>IF(X998="","",IF(AND(LEN(X998)=8,ISNUMBER(X998*1)),DATE(LEFT(X998,4),MID(X998,5,2),RIGHT(X998,2)),IFERROR(DATEVALUE(SUBSTITUTE(SUBSTITUTE(X998,".","-"),"/","-")),IFERROR(X998*1,""))))</f>
        <v/>
      </c>
      <c r="M998" s="7">
        <f>IF(Y998="","",IF(AND(LEN(Y998)=8,ISNUMBER(Y998*1)),DATE(LEFT(Y998,4),MID(Y998,5,2),RIGHT(Y998,2)),IFERROR(DATEVALUE(SUBSTITUTE(SUBSTITUTE(Y998,".","-"),"/","-")),IFERROR(Y998*1,""))))</f>
        <v/>
      </c>
      <c r="N998">
        <f>IFERROR(LEFT(B998,FIND(" ",B998)-1),B998)</f>
        <v/>
      </c>
      <c r="O998">
        <f>AND(B998&lt;&gt;"",B998&lt;&gt;설정!$B$4,C998&lt;&gt;설정!$B$5)</f>
        <v/>
      </c>
      <c r="P998">
        <f>IF(O998,B998&amp;"|"&amp;C998,"")</f>
        <v/>
      </c>
      <c r="Q998">
        <f>AND(O998,COUNTIF(P999:P$1002,P998)=0)</f>
        <v/>
      </c>
      <c r="R998">
        <f>OR(AND(설정!$A$42&lt;&gt;"",ISNUMBER(SEARCH(설정!$A$42,E998&amp;" "&amp;C998))),AND(설정!$A$43&lt;&gt;"",ISNUMBER(SEARCH(설정!$A$43,E998&amp;" "&amp;C998))),AND(설정!$A$44&lt;&gt;"",ISNUMBER(SEARCH(설정!$A$44,E998&amp;" "&amp;C998))),AND(설정!$A$45&lt;&gt;"",ISNUMBER(SEARCH(설정!$A$45,E998&amp;" "&amp;C998))),AND(설정!$A$46&lt;&gt;"",ISNUMBER(SEARCH(설정!$A$46,E998&amp;" "&amp;C998))),AND(설정!$A$47&lt;&gt;"",ISNUMBER(SEARCH(설정!$A$47,E998&amp;" "&amp;C998))),AND(설정!$A$48&lt;&gt;"",ISNUMBER(SEARCH(설정!$A$48,E998&amp;" "&amp;C998))),AND(설정!$A$49&lt;&gt;"",ISNUMBER(SEARCH(설정!$A$49,E998&amp;" "&amp;C998))),AND(설정!$A$50&lt;&gt;"",ISNUMBER(SEARCH(설정!$A$50,E998&amp;" "&amp;C998))),AND(설정!$A$51&lt;&gt;"",ISNUMBER(SEARCH(설정!$A$51,E998&amp;" "&amp;C998))))</f>
        <v/>
      </c>
      <c r="S998">
        <f>OR(D998="",D998&gt;=설정!$B$19)</f>
        <v/>
      </c>
      <c r="T998">
        <f>AND(Q998,R998,S998)</f>
        <v/>
      </c>
      <c r="U998">
        <f>IF(T998,IF(AND(설정!$A$54&lt;&gt;"",ISNUMBER(SEARCH(설정!$A$54,K998))),설정!$B$54,IF(AND(설정!$A$55&lt;&gt;"",ISNUMBER(SEARCH(설정!$A$55,K998))),설정!$B$55,IF(AND(설정!$A$56&lt;&gt;"",ISNUMBER(SEARCH(설정!$A$56,K998))),설정!$B$56,IF(AND(설정!$A$57&lt;&gt;"",ISNUMBER(SEARCH(설정!$A$57,K998))),설정!$B$57,IF(AND(설정!$A$58&lt;&gt;"",ISNUMBER(SEARCH(설정!$A$58,K998))),설정!$B$58,IF(AND(설정!$A$59&lt;&gt;"",ISNUMBER(SEARCH(설정!$A$59,K998))),설정!$B$59,IF(AND(설정!$A$60&lt;&gt;"",ISNUMBER(SEARCH(설정!$A$60,K998))),설정!$B$60,IF(AND(설정!$A$61&lt;&gt;"",ISNUMBER(SEARCH(설정!$A$61,K998))),설정!$B$61,IF(M998="","설계사","시공사"))))))))),"")</f>
        <v/>
      </c>
      <c r="V998">
        <f>SUBSTITUTE(SUBSTITUTE(SUBSTITUTE(SUBSTITUTE(G998,"(주)",""),"㈜",""),"주식회사","")," ","")</f>
        <v/>
      </c>
      <c r="W998">
        <f>IF(AND(T998,V998&lt;&gt;""),IF(COUNTIFS(V$2:V998,V998,T$2:T998,TRUE)=1,MAX(W$1:W997)+1,""),"")</f>
        <v/>
      </c>
      <c r="X998">
        <f>IF(설정!$C$14="","",IFERROR(INDEX('1.산군_붙여넣기'!$A$1:$AZ$1001,ROW(),설정!$C$14)&amp;"",""))</f>
        <v/>
      </c>
      <c r="Y998">
        <f>IF(설정!$C$15="","",IFERROR(INDEX('1.산군_붙여넣기'!$A$1:$AZ$1001,ROW(),설정!$C$15)&amp;"",""))</f>
        <v/>
      </c>
      <c r="Z998">
        <f>IF(T998,V998&amp;"|"&amp;U998,"")</f>
        <v/>
      </c>
      <c r="AA998">
        <f>IF(NOT(Q998),"",IF(NOT(AND(R998,S998)),"✕",IF(OR(OR(AND(L998&lt;&gt;"",M998&lt;&gt;"",N(M998)-N(L998)&gt;설정!$B$27),AND(L998&lt;&gt;"",M998="",설정!$B$24-N(L998)&gt;설정!$B$27)),AND(D998&lt;&gt;"",D998&lt;설정!$B$26)),"△","★")))</f>
        <v/>
      </c>
      <c r="AB998">
        <f>IF(NOT(T998),"",IF(U998="설계사",설정!$B$31,IF(U998="시공사",IF(OR(M998="",설정!$B$24-N(M998)&lt;=설정!$B$28*30.4),설정!$B$32,설정!$B$33),설정!$B$34))+IF(AA998="★",설정!$B$35,0))</f>
        <v/>
      </c>
      <c r="AC998">
        <f>SUBSTITUTE(SUBSTITUTE(SUBSTITUTE(SUBSTITUTE(H998,"(주)",""),"㈜",""),"주식회사","")," ","")</f>
        <v/>
      </c>
      <c r="AD998">
        <f>IF(AND(T998,AC998&lt;&gt;""),IF(COUNTIFS(AC$2:AC998,AC998,T$2:T998,TRUE)=1,MAX(AD$1:AD997)+1,""),"")</f>
        <v/>
      </c>
    </row>
    <row r="999">
      <c r="A999">
        <f>ROW()</f>
        <v/>
      </c>
      <c r="B999">
        <f>IF(설정!$C$4="","",IFERROR(INDEX('1.산군_붙여넣기'!$A$1:$AZ$1001,ROW(),설정!$C$4)&amp;"",""))</f>
        <v/>
      </c>
      <c r="C999">
        <f>IF(설정!$C$5="","",IFERROR(INDEX('1.산군_붙여넣기'!$A$1:$AZ$1001,ROW(),설정!$C$5)&amp;"",""))</f>
        <v/>
      </c>
      <c r="D999" s="5">
        <f>IFERROR(VALUE(SUBSTITUTE(SUBSTITUTE(SUBSTITUTE(IF(설정!$C$6="","",IFERROR(INDEX('1.산군_붙여넣기'!$A$1:$AZ$1001,ROW(),설정!$C$6)&amp;"","")),",",""),"㎡",""),"m2","")),"")</f>
        <v/>
      </c>
      <c r="E999">
        <f>IF(설정!$C$7="","",IFERROR(INDEX('1.산군_붙여넣기'!$A$1:$AZ$1001,ROW(),설정!$C$7)&amp;"",""))</f>
        <v/>
      </c>
      <c r="F999">
        <f>IF(설정!$C$8="","",IFERROR(INDEX('1.산군_붙여넣기'!$A$1:$AZ$1001,ROW(),설정!$C$8)&amp;"",""))</f>
        <v/>
      </c>
      <c r="G999">
        <f>IF(설정!$C$9="","",IFERROR(INDEX('1.산군_붙여넣기'!$A$1:$AZ$1001,ROW(),설정!$C$9)&amp;"",""))</f>
        <v/>
      </c>
      <c r="H999">
        <f>IF(설정!$C$10="","",IFERROR(INDEX('1.산군_붙여넣기'!$A$1:$AZ$1001,ROW(),설정!$C$10)&amp;"",""))</f>
        <v/>
      </c>
      <c r="I999">
        <f>IF(설정!$C$11="","",IFERROR(INDEX('1.산군_붙여넣기'!$A$1:$AZ$1001,ROW(),설정!$C$11)&amp;"",""))</f>
        <v/>
      </c>
      <c r="J999">
        <f>IF(설정!$C$12="","",IFERROR(INDEX('1.산군_붙여넣기'!$A$1:$AZ$1001,ROW(),설정!$C$12)&amp;"",""))</f>
        <v/>
      </c>
      <c r="K999">
        <f>IF(설정!$C$13="","",IFERROR(INDEX('1.산군_붙여넣기'!$A$1:$AZ$1001,ROW(),설정!$C$13)&amp;"",""))</f>
        <v/>
      </c>
      <c r="L999" s="7">
        <f>IF(X999="","",IF(AND(LEN(X999)=8,ISNUMBER(X999*1)),DATE(LEFT(X999,4),MID(X999,5,2),RIGHT(X999,2)),IFERROR(DATEVALUE(SUBSTITUTE(SUBSTITUTE(X999,".","-"),"/","-")),IFERROR(X999*1,""))))</f>
        <v/>
      </c>
      <c r="M999" s="7">
        <f>IF(Y999="","",IF(AND(LEN(Y999)=8,ISNUMBER(Y999*1)),DATE(LEFT(Y999,4),MID(Y999,5,2),RIGHT(Y999,2)),IFERROR(DATEVALUE(SUBSTITUTE(SUBSTITUTE(Y999,".","-"),"/","-")),IFERROR(Y999*1,""))))</f>
        <v/>
      </c>
      <c r="N999">
        <f>IFERROR(LEFT(B999,FIND(" ",B999)-1),B999)</f>
        <v/>
      </c>
      <c r="O999">
        <f>AND(B999&lt;&gt;"",B999&lt;&gt;설정!$B$4,C999&lt;&gt;설정!$B$5)</f>
        <v/>
      </c>
      <c r="P999">
        <f>IF(O999,B999&amp;"|"&amp;C999,"")</f>
        <v/>
      </c>
      <c r="Q999">
        <f>AND(O999,COUNTIF(P1000:P$1002,P999)=0)</f>
        <v/>
      </c>
      <c r="R999">
        <f>OR(AND(설정!$A$42&lt;&gt;"",ISNUMBER(SEARCH(설정!$A$42,E999&amp;" "&amp;C999))),AND(설정!$A$43&lt;&gt;"",ISNUMBER(SEARCH(설정!$A$43,E999&amp;" "&amp;C999))),AND(설정!$A$44&lt;&gt;"",ISNUMBER(SEARCH(설정!$A$44,E999&amp;" "&amp;C999))),AND(설정!$A$45&lt;&gt;"",ISNUMBER(SEARCH(설정!$A$45,E999&amp;" "&amp;C999))),AND(설정!$A$46&lt;&gt;"",ISNUMBER(SEARCH(설정!$A$46,E999&amp;" "&amp;C999))),AND(설정!$A$47&lt;&gt;"",ISNUMBER(SEARCH(설정!$A$47,E999&amp;" "&amp;C999))),AND(설정!$A$48&lt;&gt;"",ISNUMBER(SEARCH(설정!$A$48,E999&amp;" "&amp;C999))),AND(설정!$A$49&lt;&gt;"",ISNUMBER(SEARCH(설정!$A$49,E999&amp;" "&amp;C999))),AND(설정!$A$50&lt;&gt;"",ISNUMBER(SEARCH(설정!$A$50,E999&amp;" "&amp;C999))),AND(설정!$A$51&lt;&gt;"",ISNUMBER(SEARCH(설정!$A$51,E999&amp;" "&amp;C999))))</f>
        <v/>
      </c>
      <c r="S999">
        <f>OR(D999="",D999&gt;=설정!$B$19)</f>
        <v/>
      </c>
      <c r="T999">
        <f>AND(Q999,R999,S999)</f>
        <v/>
      </c>
      <c r="U999">
        <f>IF(T999,IF(AND(설정!$A$54&lt;&gt;"",ISNUMBER(SEARCH(설정!$A$54,K999))),설정!$B$54,IF(AND(설정!$A$55&lt;&gt;"",ISNUMBER(SEARCH(설정!$A$55,K999))),설정!$B$55,IF(AND(설정!$A$56&lt;&gt;"",ISNUMBER(SEARCH(설정!$A$56,K999))),설정!$B$56,IF(AND(설정!$A$57&lt;&gt;"",ISNUMBER(SEARCH(설정!$A$57,K999))),설정!$B$57,IF(AND(설정!$A$58&lt;&gt;"",ISNUMBER(SEARCH(설정!$A$58,K999))),설정!$B$58,IF(AND(설정!$A$59&lt;&gt;"",ISNUMBER(SEARCH(설정!$A$59,K999))),설정!$B$59,IF(AND(설정!$A$60&lt;&gt;"",ISNUMBER(SEARCH(설정!$A$60,K999))),설정!$B$60,IF(AND(설정!$A$61&lt;&gt;"",ISNUMBER(SEARCH(설정!$A$61,K999))),설정!$B$61,IF(M999="","설계사","시공사"))))))))),"")</f>
        <v/>
      </c>
      <c r="V999">
        <f>SUBSTITUTE(SUBSTITUTE(SUBSTITUTE(SUBSTITUTE(G999,"(주)",""),"㈜",""),"주식회사","")," ","")</f>
        <v/>
      </c>
      <c r="W999">
        <f>IF(AND(T999,V999&lt;&gt;""),IF(COUNTIFS(V$2:V999,V999,T$2:T999,TRUE)=1,MAX(W$1:W998)+1,""),"")</f>
        <v/>
      </c>
      <c r="X999">
        <f>IF(설정!$C$14="","",IFERROR(INDEX('1.산군_붙여넣기'!$A$1:$AZ$1001,ROW(),설정!$C$14)&amp;"",""))</f>
        <v/>
      </c>
      <c r="Y999">
        <f>IF(설정!$C$15="","",IFERROR(INDEX('1.산군_붙여넣기'!$A$1:$AZ$1001,ROW(),설정!$C$15)&amp;"",""))</f>
        <v/>
      </c>
      <c r="Z999">
        <f>IF(T999,V999&amp;"|"&amp;U999,"")</f>
        <v/>
      </c>
      <c r="AA999">
        <f>IF(NOT(Q999),"",IF(NOT(AND(R999,S999)),"✕",IF(OR(OR(AND(L999&lt;&gt;"",M999&lt;&gt;"",N(M999)-N(L999)&gt;설정!$B$27),AND(L999&lt;&gt;"",M999="",설정!$B$24-N(L999)&gt;설정!$B$27)),AND(D999&lt;&gt;"",D999&lt;설정!$B$26)),"△","★")))</f>
        <v/>
      </c>
      <c r="AB999">
        <f>IF(NOT(T999),"",IF(U999="설계사",설정!$B$31,IF(U999="시공사",IF(OR(M999="",설정!$B$24-N(M999)&lt;=설정!$B$28*30.4),설정!$B$32,설정!$B$33),설정!$B$34))+IF(AA999="★",설정!$B$35,0))</f>
        <v/>
      </c>
      <c r="AC999">
        <f>SUBSTITUTE(SUBSTITUTE(SUBSTITUTE(SUBSTITUTE(H999,"(주)",""),"㈜",""),"주식회사","")," ","")</f>
        <v/>
      </c>
      <c r="AD999">
        <f>IF(AND(T999,AC999&lt;&gt;""),IF(COUNTIFS(AC$2:AC999,AC999,T$2:T999,TRUE)=1,MAX(AD$1:AD998)+1,""),"")</f>
        <v/>
      </c>
    </row>
    <row r="1000">
      <c r="A1000">
        <f>ROW()</f>
        <v/>
      </c>
      <c r="B1000">
        <f>IF(설정!$C$4="","",IFERROR(INDEX('1.산군_붙여넣기'!$A$1:$AZ$1001,ROW(),설정!$C$4)&amp;"",""))</f>
        <v/>
      </c>
      <c r="C1000">
        <f>IF(설정!$C$5="","",IFERROR(INDEX('1.산군_붙여넣기'!$A$1:$AZ$1001,ROW(),설정!$C$5)&amp;"",""))</f>
        <v/>
      </c>
      <c r="D1000" s="5">
        <f>IFERROR(VALUE(SUBSTITUTE(SUBSTITUTE(SUBSTITUTE(IF(설정!$C$6="","",IFERROR(INDEX('1.산군_붙여넣기'!$A$1:$AZ$1001,ROW(),설정!$C$6)&amp;"","")),",",""),"㎡",""),"m2","")),"")</f>
        <v/>
      </c>
      <c r="E1000">
        <f>IF(설정!$C$7="","",IFERROR(INDEX('1.산군_붙여넣기'!$A$1:$AZ$1001,ROW(),설정!$C$7)&amp;"",""))</f>
        <v/>
      </c>
      <c r="F1000">
        <f>IF(설정!$C$8="","",IFERROR(INDEX('1.산군_붙여넣기'!$A$1:$AZ$1001,ROW(),설정!$C$8)&amp;"",""))</f>
        <v/>
      </c>
      <c r="G1000">
        <f>IF(설정!$C$9="","",IFERROR(INDEX('1.산군_붙여넣기'!$A$1:$AZ$1001,ROW(),설정!$C$9)&amp;"",""))</f>
        <v/>
      </c>
      <c r="H1000">
        <f>IF(설정!$C$10="","",IFERROR(INDEX('1.산군_붙여넣기'!$A$1:$AZ$1001,ROW(),설정!$C$10)&amp;"",""))</f>
        <v/>
      </c>
      <c r="I1000">
        <f>IF(설정!$C$11="","",IFERROR(INDEX('1.산군_붙여넣기'!$A$1:$AZ$1001,ROW(),설정!$C$11)&amp;"",""))</f>
        <v/>
      </c>
      <c r="J1000">
        <f>IF(설정!$C$12="","",IFERROR(INDEX('1.산군_붙여넣기'!$A$1:$AZ$1001,ROW(),설정!$C$12)&amp;"",""))</f>
        <v/>
      </c>
      <c r="K1000">
        <f>IF(설정!$C$13="","",IFERROR(INDEX('1.산군_붙여넣기'!$A$1:$AZ$1001,ROW(),설정!$C$13)&amp;"",""))</f>
        <v/>
      </c>
      <c r="L1000" s="7">
        <f>IF(X1000="","",IF(AND(LEN(X1000)=8,ISNUMBER(X1000*1)),DATE(LEFT(X1000,4),MID(X1000,5,2),RIGHT(X1000,2)),IFERROR(DATEVALUE(SUBSTITUTE(SUBSTITUTE(X1000,".","-"),"/","-")),IFERROR(X1000*1,""))))</f>
        <v/>
      </c>
      <c r="M1000" s="7">
        <f>IF(Y1000="","",IF(AND(LEN(Y1000)=8,ISNUMBER(Y1000*1)),DATE(LEFT(Y1000,4),MID(Y1000,5,2),RIGHT(Y1000,2)),IFERROR(DATEVALUE(SUBSTITUTE(SUBSTITUTE(Y1000,".","-"),"/","-")),IFERROR(Y1000*1,""))))</f>
        <v/>
      </c>
      <c r="N1000">
        <f>IFERROR(LEFT(B1000,FIND(" ",B1000)-1),B1000)</f>
        <v/>
      </c>
      <c r="O1000">
        <f>AND(B1000&lt;&gt;"",B1000&lt;&gt;설정!$B$4,C1000&lt;&gt;설정!$B$5)</f>
        <v/>
      </c>
      <c r="P1000">
        <f>IF(O1000,B1000&amp;"|"&amp;C1000,"")</f>
        <v/>
      </c>
      <c r="Q1000">
        <f>AND(O1000,COUNTIF(P1001:P$1002,P1000)=0)</f>
        <v/>
      </c>
      <c r="R1000">
        <f>OR(AND(설정!$A$42&lt;&gt;"",ISNUMBER(SEARCH(설정!$A$42,E1000&amp;" "&amp;C1000))),AND(설정!$A$43&lt;&gt;"",ISNUMBER(SEARCH(설정!$A$43,E1000&amp;" "&amp;C1000))),AND(설정!$A$44&lt;&gt;"",ISNUMBER(SEARCH(설정!$A$44,E1000&amp;" "&amp;C1000))),AND(설정!$A$45&lt;&gt;"",ISNUMBER(SEARCH(설정!$A$45,E1000&amp;" "&amp;C1000))),AND(설정!$A$46&lt;&gt;"",ISNUMBER(SEARCH(설정!$A$46,E1000&amp;" "&amp;C1000))),AND(설정!$A$47&lt;&gt;"",ISNUMBER(SEARCH(설정!$A$47,E1000&amp;" "&amp;C1000))),AND(설정!$A$48&lt;&gt;"",ISNUMBER(SEARCH(설정!$A$48,E1000&amp;" "&amp;C1000))),AND(설정!$A$49&lt;&gt;"",ISNUMBER(SEARCH(설정!$A$49,E1000&amp;" "&amp;C1000))),AND(설정!$A$50&lt;&gt;"",ISNUMBER(SEARCH(설정!$A$50,E1000&amp;" "&amp;C1000))),AND(설정!$A$51&lt;&gt;"",ISNUMBER(SEARCH(설정!$A$51,E1000&amp;" "&amp;C1000))))</f>
        <v/>
      </c>
      <c r="S1000">
        <f>OR(D1000="",D1000&gt;=설정!$B$19)</f>
        <v/>
      </c>
      <c r="T1000">
        <f>AND(Q1000,R1000,S1000)</f>
        <v/>
      </c>
      <c r="U1000">
        <f>IF(T1000,IF(AND(설정!$A$54&lt;&gt;"",ISNUMBER(SEARCH(설정!$A$54,K1000))),설정!$B$54,IF(AND(설정!$A$55&lt;&gt;"",ISNUMBER(SEARCH(설정!$A$55,K1000))),설정!$B$55,IF(AND(설정!$A$56&lt;&gt;"",ISNUMBER(SEARCH(설정!$A$56,K1000))),설정!$B$56,IF(AND(설정!$A$57&lt;&gt;"",ISNUMBER(SEARCH(설정!$A$57,K1000))),설정!$B$57,IF(AND(설정!$A$58&lt;&gt;"",ISNUMBER(SEARCH(설정!$A$58,K1000))),설정!$B$58,IF(AND(설정!$A$59&lt;&gt;"",ISNUMBER(SEARCH(설정!$A$59,K1000))),설정!$B$59,IF(AND(설정!$A$60&lt;&gt;"",ISNUMBER(SEARCH(설정!$A$60,K1000))),설정!$B$60,IF(AND(설정!$A$61&lt;&gt;"",ISNUMBER(SEARCH(설정!$A$61,K1000))),설정!$B$61,IF(M1000="","설계사","시공사"))))))))),"")</f>
        <v/>
      </c>
      <c r="V1000">
        <f>SUBSTITUTE(SUBSTITUTE(SUBSTITUTE(SUBSTITUTE(G1000,"(주)",""),"㈜",""),"주식회사","")," ","")</f>
        <v/>
      </c>
      <c r="W1000">
        <f>IF(AND(T1000,V1000&lt;&gt;""),IF(COUNTIFS(V$2:V1000,V1000,T$2:T1000,TRUE)=1,MAX(W$1:W999)+1,""),"")</f>
        <v/>
      </c>
      <c r="X1000">
        <f>IF(설정!$C$14="","",IFERROR(INDEX('1.산군_붙여넣기'!$A$1:$AZ$1001,ROW(),설정!$C$14)&amp;"",""))</f>
        <v/>
      </c>
      <c r="Y1000">
        <f>IF(설정!$C$15="","",IFERROR(INDEX('1.산군_붙여넣기'!$A$1:$AZ$1001,ROW(),설정!$C$15)&amp;"",""))</f>
        <v/>
      </c>
      <c r="Z1000">
        <f>IF(T1000,V1000&amp;"|"&amp;U1000,"")</f>
        <v/>
      </c>
      <c r="AA1000">
        <f>IF(NOT(Q1000),"",IF(NOT(AND(R1000,S1000)),"✕",IF(OR(OR(AND(L1000&lt;&gt;"",M1000&lt;&gt;"",N(M1000)-N(L1000)&gt;설정!$B$27),AND(L1000&lt;&gt;"",M1000="",설정!$B$24-N(L1000)&gt;설정!$B$27)),AND(D1000&lt;&gt;"",D1000&lt;설정!$B$26)),"△","★")))</f>
        <v/>
      </c>
      <c r="AB1000">
        <f>IF(NOT(T1000),"",IF(U1000="설계사",설정!$B$31,IF(U1000="시공사",IF(OR(M1000="",설정!$B$24-N(M1000)&lt;=설정!$B$28*30.4),설정!$B$32,설정!$B$33),설정!$B$34))+IF(AA1000="★",설정!$B$35,0))</f>
        <v/>
      </c>
      <c r="AC1000">
        <f>SUBSTITUTE(SUBSTITUTE(SUBSTITUTE(SUBSTITUTE(H1000,"(주)",""),"㈜",""),"주식회사","")," ","")</f>
        <v/>
      </c>
      <c r="AD1000">
        <f>IF(AND(T1000,AC1000&lt;&gt;""),IF(COUNTIFS(AC$2:AC1000,AC1000,T$2:T1000,TRUE)=1,MAX(AD$1:AD999)+1,""),"")</f>
        <v/>
      </c>
    </row>
    <row r="1001">
      <c r="A1001">
        <f>ROW()</f>
        <v/>
      </c>
      <c r="B1001">
        <f>IF(설정!$C$4="","",IFERROR(INDEX('1.산군_붙여넣기'!$A$1:$AZ$1001,ROW(),설정!$C$4)&amp;"",""))</f>
        <v/>
      </c>
      <c r="C1001">
        <f>IF(설정!$C$5="","",IFERROR(INDEX('1.산군_붙여넣기'!$A$1:$AZ$1001,ROW(),설정!$C$5)&amp;"",""))</f>
        <v/>
      </c>
      <c r="D1001" s="5">
        <f>IFERROR(VALUE(SUBSTITUTE(SUBSTITUTE(SUBSTITUTE(IF(설정!$C$6="","",IFERROR(INDEX('1.산군_붙여넣기'!$A$1:$AZ$1001,ROW(),설정!$C$6)&amp;"","")),",",""),"㎡",""),"m2","")),"")</f>
        <v/>
      </c>
      <c r="E1001">
        <f>IF(설정!$C$7="","",IFERROR(INDEX('1.산군_붙여넣기'!$A$1:$AZ$1001,ROW(),설정!$C$7)&amp;"",""))</f>
        <v/>
      </c>
      <c r="F1001">
        <f>IF(설정!$C$8="","",IFERROR(INDEX('1.산군_붙여넣기'!$A$1:$AZ$1001,ROW(),설정!$C$8)&amp;"",""))</f>
        <v/>
      </c>
      <c r="G1001">
        <f>IF(설정!$C$9="","",IFERROR(INDEX('1.산군_붙여넣기'!$A$1:$AZ$1001,ROW(),설정!$C$9)&amp;"",""))</f>
        <v/>
      </c>
      <c r="H1001">
        <f>IF(설정!$C$10="","",IFERROR(INDEX('1.산군_붙여넣기'!$A$1:$AZ$1001,ROW(),설정!$C$10)&amp;"",""))</f>
        <v/>
      </c>
      <c r="I1001">
        <f>IF(설정!$C$11="","",IFERROR(INDEX('1.산군_붙여넣기'!$A$1:$AZ$1001,ROW(),설정!$C$11)&amp;"",""))</f>
        <v/>
      </c>
      <c r="J1001">
        <f>IF(설정!$C$12="","",IFERROR(INDEX('1.산군_붙여넣기'!$A$1:$AZ$1001,ROW(),설정!$C$12)&amp;"",""))</f>
        <v/>
      </c>
      <c r="K1001">
        <f>IF(설정!$C$13="","",IFERROR(INDEX('1.산군_붙여넣기'!$A$1:$AZ$1001,ROW(),설정!$C$13)&amp;"",""))</f>
        <v/>
      </c>
      <c r="L1001" s="7">
        <f>IF(X1001="","",IF(AND(LEN(X1001)=8,ISNUMBER(X1001*1)),DATE(LEFT(X1001,4),MID(X1001,5,2),RIGHT(X1001,2)),IFERROR(DATEVALUE(SUBSTITUTE(SUBSTITUTE(X1001,".","-"),"/","-")),IFERROR(X1001*1,""))))</f>
        <v/>
      </c>
      <c r="M1001" s="7">
        <f>IF(Y1001="","",IF(AND(LEN(Y1001)=8,ISNUMBER(Y1001*1)),DATE(LEFT(Y1001,4),MID(Y1001,5,2),RIGHT(Y1001,2)),IFERROR(DATEVALUE(SUBSTITUTE(SUBSTITUTE(Y1001,".","-"),"/","-")),IFERROR(Y1001*1,""))))</f>
        <v/>
      </c>
      <c r="N1001">
        <f>IFERROR(LEFT(B1001,FIND(" ",B1001)-1),B1001)</f>
        <v/>
      </c>
      <c r="O1001">
        <f>AND(B1001&lt;&gt;"",B1001&lt;&gt;설정!$B$4,C1001&lt;&gt;설정!$B$5)</f>
        <v/>
      </c>
      <c r="P1001">
        <f>IF(O1001,B1001&amp;"|"&amp;C1001,"")</f>
        <v/>
      </c>
      <c r="Q1001">
        <f>AND(O1001,COUNTIF(P1002:P$1002,P1001)=0)</f>
        <v/>
      </c>
      <c r="R1001">
        <f>OR(AND(설정!$A$42&lt;&gt;"",ISNUMBER(SEARCH(설정!$A$42,E1001&amp;" "&amp;C1001))),AND(설정!$A$43&lt;&gt;"",ISNUMBER(SEARCH(설정!$A$43,E1001&amp;" "&amp;C1001))),AND(설정!$A$44&lt;&gt;"",ISNUMBER(SEARCH(설정!$A$44,E1001&amp;" "&amp;C1001))),AND(설정!$A$45&lt;&gt;"",ISNUMBER(SEARCH(설정!$A$45,E1001&amp;" "&amp;C1001))),AND(설정!$A$46&lt;&gt;"",ISNUMBER(SEARCH(설정!$A$46,E1001&amp;" "&amp;C1001))),AND(설정!$A$47&lt;&gt;"",ISNUMBER(SEARCH(설정!$A$47,E1001&amp;" "&amp;C1001))),AND(설정!$A$48&lt;&gt;"",ISNUMBER(SEARCH(설정!$A$48,E1001&amp;" "&amp;C1001))),AND(설정!$A$49&lt;&gt;"",ISNUMBER(SEARCH(설정!$A$49,E1001&amp;" "&amp;C1001))),AND(설정!$A$50&lt;&gt;"",ISNUMBER(SEARCH(설정!$A$50,E1001&amp;" "&amp;C1001))),AND(설정!$A$51&lt;&gt;"",ISNUMBER(SEARCH(설정!$A$51,E1001&amp;" "&amp;C1001))))</f>
        <v/>
      </c>
      <c r="S1001">
        <f>OR(D1001="",D1001&gt;=설정!$B$19)</f>
        <v/>
      </c>
      <c r="T1001">
        <f>AND(Q1001,R1001,S1001)</f>
        <v/>
      </c>
      <c r="U1001">
        <f>IF(T1001,IF(AND(설정!$A$54&lt;&gt;"",ISNUMBER(SEARCH(설정!$A$54,K1001))),설정!$B$54,IF(AND(설정!$A$55&lt;&gt;"",ISNUMBER(SEARCH(설정!$A$55,K1001))),설정!$B$55,IF(AND(설정!$A$56&lt;&gt;"",ISNUMBER(SEARCH(설정!$A$56,K1001))),설정!$B$56,IF(AND(설정!$A$57&lt;&gt;"",ISNUMBER(SEARCH(설정!$A$57,K1001))),설정!$B$57,IF(AND(설정!$A$58&lt;&gt;"",ISNUMBER(SEARCH(설정!$A$58,K1001))),설정!$B$58,IF(AND(설정!$A$59&lt;&gt;"",ISNUMBER(SEARCH(설정!$A$59,K1001))),설정!$B$59,IF(AND(설정!$A$60&lt;&gt;"",ISNUMBER(SEARCH(설정!$A$60,K1001))),설정!$B$60,IF(AND(설정!$A$61&lt;&gt;"",ISNUMBER(SEARCH(설정!$A$61,K1001))),설정!$B$61,IF(M1001="","설계사","시공사"))))))))),"")</f>
        <v/>
      </c>
      <c r="V1001">
        <f>SUBSTITUTE(SUBSTITUTE(SUBSTITUTE(SUBSTITUTE(G1001,"(주)",""),"㈜",""),"주식회사","")," ","")</f>
        <v/>
      </c>
      <c r="W1001">
        <f>IF(AND(T1001,V1001&lt;&gt;""),IF(COUNTIFS(V$2:V1001,V1001,T$2:T1001,TRUE)=1,MAX(W$1:W1000)+1,""),"")</f>
        <v/>
      </c>
      <c r="X1001">
        <f>IF(설정!$C$14="","",IFERROR(INDEX('1.산군_붙여넣기'!$A$1:$AZ$1001,ROW(),설정!$C$14)&amp;"",""))</f>
        <v/>
      </c>
      <c r="Y1001">
        <f>IF(설정!$C$15="","",IFERROR(INDEX('1.산군_붙여넣기'!$A$1:$AZ$1001,ROW(),설정!$C$15)&amp;"",""))</f>
        <v/>
      </c>
      <c r="Z1001">
        <f>IF(T1001,V1001&amp;"|"&amp;U1001,"")</f>
        <v/>
      </c>
      <c r="AA1001">
        <f>IF(NOT(Q1001),"",IF(NOT(AND(R1001,S1001)),"✕",IF(OR(OR(AND(L1001&lt;&gt;"",M1001&lt;&gt;"",N(M1001)-N(L1001)&gt;설정!$B$27),AND(L1001&lt;&gt;"",M1001="",설정!$B$24-N(L1001)&gt;설정!$B$27)),AND(D1001&lt;&gt;"",D1001&lt;설정!$B$26)),"△","★")))</f>
        <v/>
      </c>
      <c r="AB1001">
        <f>IF(NOT(T1001),"",IF(U1001="설계사",설정!$B$31,IF(U1001="시공사",IF(OR(M1001="",설정!$B$24-N(M1001)&lt;=설정!$B$28*30.4),설정!$B$32,설정!$B$33),설정!$B$34))+IF(AA1001="★",설정!$B$35,0))</f>
        <v/>
      </c>
      <c r="AC1001">
        <f>SUBSTITUTE(SUBSTITUTE(SUBSTITUTE(SUBSTITUTE(H1001,"(주)",""),"㈜",""),"주식회사","")," ","")</f>
        <v/>
      </c>
      <c r="AD1001">
        <f>IF(AND(T1001,AC1001&lt;&gt;""),IF(COUNTIFS(AC$2:AC1001,AC1001,T$2:T1001,TRUE)=1,MAX(AD$1:AD1000)+1,""),"")</f>
        <v/>
      </c>
    </row>
  </sheetData>
  <autoFilter ref="A1:AD1001"/>
  <conditionalFormatting sqref="AA2:AA1001">
    <cfRule type="expression" priority="1" dxfId="2">
      <formula>AA2="★"</formula>
    </cfRule>
    <cfRule type="expression" priority="2" dxfId="3">
      <formula>AA2="✕"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0" customWidth="1" min="4" max="4"/>
  </cols>
  <sheetData>
    <row r="1">
      <c r="A1" s="1" t="inlineStr">
        <is>
          <t>산군 본전 계산 — 기준 숫자는 프로님이 넣으십시오(노란 칸)</t>
        </is>
      </c>
    </row>
    <row r="3">
      <c r="A3" s="3" t="inlineStr">
        <is>
          <t>항목</t>
        </is>
      </c>
      <c r="B3" s="3" t="inlineStr">
        <is>
          <t>값</t>
        </is>
      </c>
      <c r="C3" s="3" t="inlineStr">
        <is>
          <t>메모</t>
        </is>
      </c>
    </row>
    <row r="4">
      <c r="A4" t="inlineStr">
        <is>
          <t>산군 사용 시작일</t>
        </is>
      </c>
      <c r="B4" s="14">
        <f>IF(설정!$B$23="","",설정!$B$23)</f>
        <v/>
      </c>
      <c r="C4" t="inlineStr">
        <is>
          <t>설정 탭</t>
        </is>
      </c>
    </row>
    <row r="5">
      <c r="A5" t="inlineStr">
        <is>
          <t>쓴 개월 수</t>
        </is>
      </c>
      <c r="B5" s="11">
        <f>IF(설정!$B$23="","시작일을 넣으십시오",DATEDIF(설정!$B$23,설정!$B$24,"m")+1)</f>
        <v/>
      </c>
      <c r="C5" t="inlineStr"/>
    </row>
    <row r="6">
      <c r="A6" t="inlineStr">
        <is>
          <t>누적 비용(원)</t>
        </is>
      </c>
      <c r="B6" s="15">
        <f>IF(ISNUMBER(B5),B5*설정!$B$22,"")</f>
        <v/>
      </c>
      <c r="C6" t="inlineStr">
        <is>
          <t>월 요금 × 개월</t>
        </is>
      </c>
    </row>
    <row r="7">
      <c r="A7" t="inlineStr">
        <is>
          <t>월결제 1년 vs 연결제 차액(원)</t>
        </is>
      </c>
      <c r="B7" s="15">
        <f>설정!$B$22*12-설정!$B$25</f>
        <v/>
      </c>
      <c r="C7" t="inlineStr">
        <is>
          <t>연결제로 바꾸면 아끼는 돈</t>
        </is>
      </c>
    </row>
    <row r="8">
      <c r="A8" t="inlineStr">
        <is>
          <t>산군으로 잡힌 설계사무소(곳)</t>
        </is>
      </c>
      <c r="B8" s="11">
        <f>COUNTIF('3.설계사'!B4:B303,"?*")</f>
        <v/>
      </c>
      <c r="C8" t="inlineStr">
        <is>
          <t>자동</t>
        </is>
      </c>
    </row>
    <row r="9">
      <c r="A9" t="inlineStr">
        <is>
          <t>그중 한 번이라도 간 곳</t>
        </is>
      </c>
      <c r="B9" s="11">
        <f>COUNTIF('3.설계사'!O4:O303,"&gt;0")</f>
        <v/>
      </c>
      <c r="C9" t="inlineStr">
        <is>
          <t>자동</t>
        </is>
      </c>
    </row>
    <row r="10">
      <c r="A10" t="inlineStr">
        <is>
          <t>방문·통화 건수</t>
        </is>
      </c>
      <c r="B10" s="11">
        <f>COUNT('4.방문기록'!A3:A502)</f>
        <v/>
      </c>
      <c r="C10" t="inlineStr">
        <is>
          <t>자동</t>
        </is>
      </c>
    </row>
    <row r="11">
      <c r="A11" t="inlineStr">
        <is>
          <t>설계의뢰 받음</t>
        </is>
      </c>
      <c r="B11" s="11">
        <f>COUNTIF('4.방문기록'!H3:H502,"설계의뢰 받음")</f>
        <v/>
      </c>
      <c r="C11" t="inlineStr">
        <is>
          <t>자동</t>
        </is>
      </c>
    </row>
    <row r="12">
      <c r="A12" t="inlineStr">
        <is>
          <t>도면 받음</t>
        </is>
      </c>
      <c r="B12" s="11">
        <f>COUNTIF('4.방문기록'!H3:H502,"도면 받음")</f>
        <v/>
      </c>
      <c r="C12" t="inlineStr">
        <is>
          <t>자동</t>
        </is>
      </c>
    </row>
    <row r="13">
      <c r="A13" t="inlineStr">
        <is>
          <t>방문 1건당 산군 비용(원)</t>
        </is>
      </c>
      <c r="B13" s="15">
        <f>IF(AND(ISNUMBER(B6),B10&gt;0),B6/B10,"")</f>
        <v/>
      </c>
      <c r="C13" t="inlineStr"/>
    </row>
    <row r="14">
      <c r="A14" t="inlineStr">
        <is>
          <t>★ 현장 수(지금 붙여넣은 자료)</t>
        </is>
      </c>
      <c r="B14" s="11">
        <f>COUNTIF('2.현장'!AA2:AA1001,"★")</f>
        <v/>
      </c>
      <c r="C14" t="inlineStr">
        <is>
          <t>자동</t>
        </is>
      </c>
    </row>
    <row r="17">
      <c r="A17" s="4" t="inlineStr">
        <is>
          <t>유지 판단 기준(3개월 기준 권장)</t>
        </is>
      </c>
    </row>
    <row r="18">
      <c r="A18" s="3" t="inlineStr">
        <is>
          <t>기준</t>
        </is>
      </c>
      <c r="B18" s="3" t="inlineStr">
        <is>
          <t>넣으실 숫자</t>
        </is>
      </c>
      <c r="C18" s="3" t="inlineStr">
        <is>
          <t>실제</t>
        </is>
      </c>
      <c r="D18" s="3" t="inlineStr">
        <is>
          <t>통과</t>
        </is>
      </c>
    </row>
    <row r="19">
      <c r="A19" t="inlineStr">
        <is>
          <t>간 설계사무소 최소(곳)</t>
        </is>
      </c>
      <c r="B19" s="10" t="n"/>
      <c r="C19">
        <f>B9</f>
        <v/>
      </c>
      <c r="D19">
        <f>IF(B19="","",IF(C19&gt;=B19,"통과","미달"))</f>
        <v/>
      </c>
    </row>
    <row r="20">
      <c r="A20" t="inlineStr">
        <is>
          <t>설계의뢰 받음 최소(건)</t>
        </is>
      </c>
      <c r="B20" s="10" t="n"/>
      <c r="C20">
        <f>B11</f>
        <v/>
      </c>
      <c r="D20">
        <f>IF(B20="","",IF(C20&gt;=B20,"통과","미달"))</f>
        <v/>
      </c>
    </row>
    <row r="21">
      <c r="A21" t="inlineStr">
        <is>
          <t>도면 받음 최소(건)</t>
        </is>
      </c>
      <c r="B21" s="10" t="n"/>
      <c r="C21">
        <f>B12</f>
        <v/>
      </c>
      <c r="D21">
        <f>IF(B21="","",IF(C21&gt;=B21,"통과","미달"))</f>
        <v/>
      </c>
    </row>
    <row r="23">
      <c r="A23" s="4" t="inlineStr">
        <is>
          <t>판정</t>
        </is>
      </c>
      <c r="B23">
        <f>IF(COUNTA(B19:B21)=0,"기준 숫자를 넣으시면 판정합니다",IF(COUNTIF(D19:D21,"미달")=0,"유지","미달 있음 — 해지 또는 조건 변경 검토"))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56" customWidth="1" min="1" max="1"/>
    <col width="30" customWidth="1" min="2" max="2"/>
    <col width="60" customWidth="1" min="3" max="3"/>
    <col width="40" customWidth="1" min="4" max="4"/>
  </cols>
  <sheetData>
    <row r="1">
      <c r="A1" s="1" t="inlineStr">
        <is>
          <t>설정 — 노란 칸만 고치십시오</t>
        </is>
      </c>
    </row>
    <row r="3">
      <c r="A3" s="3" t="inlineStr">
        <is>
          <t>항목</t>
        </is>
      </c>
      <c r="B3" s="3" t="inlineStr">
        <is>
          <t>산군 엑셀의 열 이름(1행 글자 그대로, 없으면 비움)</t>
        </is>
      </c>
      <c r="C3" s="3" t="inlineStr">
        <is>
          <t>찾은 열 번호</t>
        </is>
      </c>
      <c r="D3" s="3" t="inlineStr">
        <is>
          <t>상태</t>
        </is>
      </c>
    </row>
    <row r="4">
      <c r="A4" t="inlineStr">
        <is>
          <t>주소 ★필수</t>
        </is>
      </c>
      <c r="B4" s="10" t="inlineStr">
        <is>
          <t>소재지</t>
        </is>
      </c>
      <c r="C4" s="11">
        <f>IF(B4="","",IFERROR(MATCH(B4,'1.산군_붙여넣기'!$1:$1,0),""))</f>
        <v/>
      </c>
      <c r="D4" s="11">
        <f>IF(B4="","안 씀(비움)",IF(C4="","못 찾음 — B칸을 산군 엑셀 1행 글자와 똑같이","정상"))</f>
        <v/>
      </c>
    </row>
    <row r="5">
      <c r="A5" t="inlineStr">
        <is>
          <t>건물명 ★필수</t>
        </is>
      </c>
      <c r="B5" s="10" t="inlineStr">
        <is>
          <t>현장명</t>
        </is>
      </c>
      <c r="C5" s="11">
        <f>IF(B5="","",IFERROR(MATCH(B5,'1.산군_붙여넣기'!$1:$1,0),""))</f>
        <v/>
      </c>
      <c r="D5" s="11">
        <f>IF(B5="","안 씀(비움)",IF(C5="","못 찾음 — B칸을 산군 엑셀 1행 글자와 똑같이","정상"))</f>
        <v/>
      </c>
    </row>
    <row r="6">
      <c r="A6" t="inlineStr">
        <is>
          <t>연면적 ★필수</t>
        </is>
      </c>
      <c r="B6" s="10" t="inlineStr">
        <is>
          <t>연면적㎡</t>
        </is>
      </c>
      <c r="C6" s="11">
        <f>IF(B6="","",IFERROR(MATCH(B6,'1.산군_붙여넣기'!$1:$1,0),""))</f>
        <v/>
      </c>
      <c r="D6" s="11">
        <f>IF(B6="","안 씀(비움)",IF(C6="","못 찾음 — B칸을 산군 엑셀 1행 글자와 똑같이","정상"))</f>
        <v/>
      </c>
    </row>
    <row r="7">
      <c r="A7" t="inlineStr">
        <is>
          <t>주용도 ★필수</t>
        </is>
      </c>
      <c r="B7" s="10" t="inlineStr">
        <is>
          <t>용도</t>
        </is>
      </c>
      <c r="C7" s="11">
        <f>IF(B7="","",IFERROR(MATCH(B7,'1.산군_붙여넣기'!$1:$1,0),""))</f>
        <v/>
      </c>
      <c r="D7" s="11">
        <f>IF(B7="","안 씀(비움)",IF(C7="","못 찾음 — B칸을 산군 엑셀 1행 글자와 똑같이","정상"))</f>
        <v/>
      </c>
    </row>
    <row r="8">
      <c r="A8" t="inlineStr">
        <is>
          <t>허가구분</t>
        </is>
      </c>
      <c r="B8" s="10" t="inlineStr">
        <is>
          <t>구분</t>
        </is>
      </c>
      <c r="C8" s="11">
        <f>IF(B8="","",IFERROR(MATCH(B8,'1.산군_붙여넣기'!$1:$1,0),""))</f>
        <v/>
      </c>
      <c r="D8" s="11">
        <f>IF(B8="","안 씀(비움)",IF(C8="","못 찾음 — B칸을 산군 엑셀 1행 글자와 똑같이","정상"))</f>
        <v/>
      </c>
    </row>
    <row r="9">
      <c r="A9" t="inlineStr">
        <is>
          <t>설계사 ★필수</t>
        </is>
      </c>
      <c r="B9" s="10" t="inlineStr">
        <is>
          <t>건축설계</t>
        </is>
      </c>
      <c r="C9" s="11">
        <f>IF(B9="","",IFERROR(MATCH(B9,'1.산군_붙여넣기'!$1:$1,0),""))</f>
        <v/>
      </c>
      <c r="D9" s="11">
        <f>IF(B9="","안 씀(비움)",IF(C9="","못 찾음 — B칸을 산군 엑셀 1행 글자와 똑같이","정상"))</f>
        <v/>
      </c>
    </row>
    <row r="10">
      <c r="A10" t="inlineStr">
        <is>
          <t>시공사</t>
        </is>
      </c>
      <c r="B10" s="10" t="inlineStr">
        <is>
          <t>열J(미확인)</t>
        </is>
      </c>
      <c r="C10" s="11">
        <f>IF(B10="","",IFERROR(MATCH(B10,'1.산군_붙여넣기'!$1:$1,0),""))</f>
        <v/>
      </c>
      <c r="D10" s="11">
        <f>IF(B10="","안 씀(비움)",IF(C10="","못 찾음 — B칸을 산군 엑셀 1행 글자와 똑같이","정상"))</f>
        <v/>
      </c>
    </row>
    <row r="11">
      <c r="A11" t="inlineStr">
        <is>
          <t>감리</t>
        </is>
      </c>
      <c r="B11" s="10" t="n"/>
      <c r="C11" s="11">
        <f>IF(B11="","",IFERROR(MATCH(B11,'1.산군_붙여넣기'!$1:$1,0),""))</f>
        <v/>
      </c>
      <c r="D11" s="11">
        <f>IF(B11="","안 씀(비움)",IF(C11="","못 찾음 — B칸을 산군 엑셀 1행 글자와 똑같이","정상"))</f>
        <v/>
      </c>
    </row>
    <row r="12">
      <c r="A12" t="inlineStr">
        <is>
          <t>건축주</t>
        </is>
      </c>
      <c r="B12" s="10" t="n"/>
      <c r="C12" s="11">
        <f>IF(B12="","",IFERROR(MATCH(B12,'1.산군_붙여넣기'!$1:$1,0),""))</f>
        <v/>
      </c>
      <c r="D12" s="11">
        <f>IF(B12="","안 씀(비움)",IF(C12="","못 찾음 — B칸을 산군 엑셀 1행 글자와 똑같이","정상"))</f>
        <v/>
      </c>
    </row>
    <row r="13">
      <c r="A13" t="inlineStr">
        <is>
          <t>공사단계 ★필수</t>
        </is>
      </c>
      <c r="B13" s="10" t="inlineStr">
        <is>
          <t>단계</t>
        </is>
      </c>
      <c r="C13" s="11">
        <f>IF(B13="","",IFERROR(MATCH(B13,'1.산군_붙여넣기'!$1:$1,0),""))</f>
        <v/>
      </c>
      <c r="D13" s="11">
        <f>IF(B13="","안 씀(비움)",IF(C13="","못 찾음 — B칸을 산군 엑셀 1행 글자와 똑같이","정상"))</f>
        <v/>
      </c>
    </row>
    <row r="14">
      <c r="A14" t="inlineStr">
        <is>
          <t>허가일</t>
        </is>
      </c>
      <c r="B14" s="10" t="inlineStr">
        <is>
          <t>날짜1(추정:허가일)</t>
        </is>
      </c>
      <c r="C14" s="11">
        <f>IF(B14="","",IFERROR(MATCH(B14,'1.산군_붙여넣기'!$1:$1,0),""))</f>
        <v/>
      </c>
      <c r="D14" s="11">
        <f>IF(B14="","안 씀(비움)",IF(C14="","못 찾음 — B칸을 산군 엑셀 1행 글자와 똑같이","정상"))</f>
        <v/>
      </c>
    </row>
    <row r="15">
      <c r="A15" t="inlineStr">
        <is>
          <t>착공일</t>
        </is>
      </c>
      <c r="B15" s="10" t="inlineStr">
        <is>
          <t>날짜2(추정:착공일)</t>
        </is>
      </c>
      <c r="C15" s="11">
        <f>IF(B15="","",IFERROR(MATCH(B15,'1.산군_붙여넣기'!$1:$1,0),""))</f>
        <v/>
      </c>
      <c r="D15" s="11">
        <f>IF(B15="","안 씀(비움)",IF(C15="","못 찾음 — B칸을 산군 엑셀 1행 글자와 똑같이","정상"))</f>
        <v/>
      </c>
    </row>
    <row r="18">
      <c r="A18" s="4" t="inlineStr">
        <is>
          <t>숫자 입력칸</t>
        </is>
      </c>
    </row>
    <row r="19">
      <c r="A19" t="inlineStr">
        <is>
          <t>연면적 최소(㎡) — 이보다 작으면 ✕</t>
        </is>
      </c>
      <c r="B19" s="16" t="n">
        <v>1500</v>
      </c>
      <c r="C19" s="12" t="inlineStr">
        <is>
          <t>신규 현장 레이더 숙박 기준(프로님 확정값)</t>
        </is>
      </c>
    </row>
    <row r="20">
      <c r="A20" t="inlineStr">
        <is>
          <t>재방문 간격(일)</t>
        </is>
      </c>
      <c r="B20" s="10" t="n">
        <v>14</v>
      </c>
      <c r="C20" s="12" t="inlineStr">
        <is>
          <t>0번 목록 32 「다녀오신 지 14일」</t>
        </is>
      </c>
    </row>
    <row r="21">
      <c r="A21" t="inlineStr">
        <is>
          <t>이번 주 지역(비우면 전국) — 시·도 첫 단어, 예: 서울특별시</t>
        </is>
      </c>
      <c r="B21" s="10" t="n"/>
      <c r="C21" s="12" t="inlineStr">
        <is>
          <t>5번 탭을 이 지역만 보기</t>
        </is>
      </c>
    </row>
    <row r="22">
      <c r="A22" t="inlineStr">
        <is>
          <t>산군 월 요금(원)</t>
        </is>
      </c>
      <c r="B22" s="16" t="n">
        <v>90000</v>
      </c>
      <c r="C22" s="12" t="inlineStr">
        <is>
          <t>2026-09-27 검색 확인</t>
        </is>
      </c>
    </row>
    <row r="23">
      <c r="A23" t="inlineStr">
        <is>
          <t>산군 사용 시작일</t>
        </is>
      </c>
      <c r="B23" s="9" t="n"/>
      <c r="C23" s="12" t="inlineStr">
        <is>
          <t>넣으시면 6.본전계산이 누적 비용을 냅니다(9/4 통화: 결제 완료 확인)</t>
        </is>
      </c>
    </row>
    <row r="24">
      <c r="A24" t="inlineStr">
        <is>
          <t>오늘 날짜</t>
        </is>
      </c>
      <c r="B24" s="14">
        <f>TODAY()</f>
        <v/>
      </c>
      <c r="C24" s="12" t="inlineStr">
        <is>
          <t>자동</t>
        </is>
      </c>
    </row>
    <row r="25">
      <c r="A25" t="inlineStr">
        <is>
          <t>산군 연결제 금액(원)</t>
        </is>
      </c>
      <c r="B25" s="16" t="n">
        <v>864000</v>
      </c>
      <c r="C25" s="12" t="inlineStr">
        <is>
          <t>2026-09-27 검색 확인(연 20% 할인)</t>
        </is>
      </c>
    </row>
    <row r="26">
      <c r="A26" t="inlineStr">
        <is>
          <t>★ 연면적 기준(㎡) — 이 이상이고 표류가 아니면 ★</t>
        </is>
      </c>
      <c r="B26" s="16" t="n">
        <v>4000</v>
      </c>
      <c r="C26" s="12" t="inlineStr">
        <is>
          <t>9/14 캡처 판정(2,596㎡=△, 4,482㎡=★)에서 역산한 추정값 — 고쳐 주십시오</t>
        </is>
      </c>
    </row>
    <row r="27">
      <c r="A27" t="inlineStr">
        <is>
          <t>표류 기준(일) — 허가→착공(착공 없으면 허가→오늘)이 이보다 길면 △</t>
        </is>
      </c>
      <c r="B27" s="10" t="n">
        <v>1200</v>
      </c>
      <c r="C27" s="12" t="inlineStr">
        <is>
          <t>9/14 캡처 판정 8건과 모두 맞는 경계값(△ 1,295·1,464일 / ★ 1,083·1,096일) — 추정</t>
        </is>
      </c>
    </row>
    <row r="28">
      <c r="A28" t="inlineStr">
        <is>
          <t>착공 「최근」 기준(개월)</t>
        </is>
      </c>
      <c r="B28" s="10" t="n">
        <v>6</v>
      </c>
      <c r="C28" s="12" t="inlineStr">
        <is>
          <t>이 안에 착공한 현장은 아직 기구물 사양을 넣을 여지가 있다고 보고 점수를 줌</t>
        </is>
      </c>
    </row>
    <row r="30">
      <c r="A30" s="4" t="inlineStr">
        <is>
          <t>순위 점수 가중치 (5.이번주_갈곳 순서를 정함)</t>
        </is>
      </c>
    </row>
    <row r="31">
      <c r="A31" t="inlineStr">
        <is>
          <t>설계단계 현장 1건</t>
        </is>
      </c>
      <c r="B31" s="10" t="n">
        <v>10</v>
      </c>
      <c r="C31" s="12" t="inlineStr">
        <is>
          <t>Claude 초안값 — 쓰시면서 고쳐 주십시오</t>
        </is>
      </c>
    </row>
    <row r="32">
      <c r="A32" t="inlineStr">
        <is>
          <t>최근 착공 현장 1건</t>
        </is>
      </c>
      <c r="B32" s="10" t="n">
        <v>6</v>
      </c>
      <c r="C32" s="12" t="inlineStr">
        <is>
          <t>Claude 초안값 — 쓰시면서 고쳐 주십시오</t>
        </is>
      </c>
    </row>
    <row r="33">
      <c r="A33" t="inlineStr">
        <is>
          <t>오래된 착공 현장 1건</t>
        </is>
      </c>
      <c r="B33" s="10" t="n">
        <v>2</v>
      </c>
      <c r="C33" s="12" t="inlineStr">
        <is>
          <t>Claude 초안값 — 쓰시면서 고쳐 주십시오</t>
        </is>
      </c>
    </row>
    <row r="34">
      <c r="A34" t="inlineStr">
        <is>
          <t>마감·준공 현장 1건</t>
        </is>
      </c>
      <c r="B34" s="10" t="n">
        <v>0</v>
      </c>
      <c r="C34" s="12" t="inlineStr">
        <is>
          <t>Claude 초안값 — 쓰시면서 고쳐 주십시오</t>
        </is>
      </c>
    </row>
    <row r="35">
      <c r="A35" t="inlineStr">
        <is>
          <t>★ 현장 1건 추가</t>
        </is>
      </c>
      <c r="B35" s="10" t="n">
        <v>5</v>
      </c>
      <c r="C35" s="12" t="inlineStr">
        <is>
          <t>Claude 초안값 — 쓰시면서 고쳐 주십시오</t>
        </is>
      </c>
    </row>
    <row r="36">
      <c r="A36" t="inlineStr">
        <is>
          <t>안 가본 곳 가산</t>
        </is>
      </c>
      <c r="B36" s="10" t="n">
        <v>30</v>
      </c>
      <c r="C36" s="12" t="inlineStr">
        <is>
          <t>Claude 초안값 — 쓰시면서 고쳐 주십시오</t>
        </is>
      </c>
    </row>
    <row r="37">
      <c r="A37" t="inlineStr">
        <is>
          <t>마지막 방문 뒤 1일당(최대 60일)</t>
        </is>
      </c>
      <c r="B37" s="10" t="n">
        <v>0.5</v>
      </c>
      <c r="C37" s="12" t="inlineStr">
        <is>
          <t>Claude 초안값 — 쓰시면서 고쳐 주십시오</t>
        </is>
      </c>
    </row>
    <row r="38">
      <c r="A38" t="inlineStr">
        <is>
          <t>최대 연면적 1,000㎡당(최대 20점)</t>
        </is>
      </c>
      <c r="B38" s="10" t="n">
        <v>1</v>
      </c>
      <c r="C38" s="12" t="inlineStr">
        <is>
          <t>Claude 초안값 — 쓰시면서 고쳐 주십시오</t>
        </is>
      </c>
    </row>
    <row r="39">
      <c r="A39" t="inlineStr">
        <is>
          <t>7일 안 약속</t>
        </is>
      </c>
      <c r="B39" s="10" t="n">
        <v>100</v>
      </c>
      <c r="C39" s="12" t="inlineStr">
        <is>
          <t>Claude 초안값 — 쓰시면서 고쳐 주십시오</t>
        </is>
      </c>
    </row>
    <row r="41">
      <c r="A41" s="4" t="inlineStr">
        <is>
          <t>대상 용도 키워드(주용도·현장명에 이 글자가 있으면 대상) — 10칸</t>
        </is>
      </c>
    </row>
    <row r="42">
      <c r="A42" s="10" t="inlineStr">
        <is>
          <t>숙박</t>
        </is>
      </c>
    </row>
    <row r="43">
      <c r="A43" s="10" t="inlineStr">
        <is>
          <t>호텔</t>
        </is>
      </c>
    </row>
    <row r="44">
      <c r="A44" s="10" t="inlineStr">
        <is>
          <t>리조트</t>
        </is>
      </c>
    </row>
    <row r="45">
      <c r="A45" s="10" t="inlineStr">
        <is>
          <t>콘도</t>
        </is>
      </c>
    </row>
    <row r="46">
      <c r="A46" s="10" t="inlineStr">
        <is>
          <t>기숙사</t>
        </is>
      </c>
    </row>
    <row r="47">
      <c r="A47" s="10" t="inlineStr">
        <is>
          <t>수련</t>
        </is>
      </c>
    </row>
    <row r="48">
      <c r="A48" s="10" t="inlineStr">
        <is>
          <t>연수</t>
        </is>
      </c>
    </row>
    <row r="49">
      <c r="A49" s="10" t="inlineStr">
        <is>
          <t>노유자</t>
        </is>
      </c>
    </row>
    <row r="50">
      <c r="A50" s="10" t="inlineStr">
        <is>
          <t>실버</t>
        </is>
      </c>
    </row>
    <row r="51">
      <c r="A51" s="10" t="inlineStr">
        <is>
          <t>스테이</t>
        </is>
      </c>
    </row>
    <row r="53">
      <c r="A53" s="4" t="inlineStr">
        <is>
          <t>공사단계 키워드 → 누구를 만나나(위에서부터 먼저 맞는 것) — 8칸. 안 맞으면 착공일 없음=설계사 / 있음=시공사</t>
        </is>
      </c>
    </row>
    <row r="54">
      <c r="A54" s="10" t="inlineStr">
        <is>
          <t>착공전</t>
        </is>
      </c>
      <c r="B54" s="10" t="inlineStr">
        <is>
          <t>설계사</t>
        </is>
      </c>
    </row>
    <row r="55">
      <c r="A55" s="10" t="inlineStr">
        <is>
          <t>설계</t>
        </is>
      </c>
      <c r="B55" s="10" t="inlineStr">
        <is>
          <t>설계사</t>
        </is>
      </c>
    </row>
    <row r="56">
      <c r="A56" s="10" t="inlineStr">
        <is>
          <t>인허가</t>
        </is>
      </c>
      <c r="B56" s="10" t="inlineStr">
        <is>
          <t>설계사</t>
        </is>
      </c>
    </row>
    <row r="57">
      <c r="A57" s="10" t="inlineStr">
        <is>
          <t>허가</t>
        </is>
      </c>
      <c r="B57" s="10" t="inlineStr">
        <is>
          <t>설계사</t>
        </is>
      </c>
    </row>
    <row r="58">
      <c r="A58" s="10" t="inlineStr">
        <is>
          <t>착공</t>
        </is>
      </c>
      <c r="B58" s="10" t="inlineStr">
        <is>
          <t>시공사</t>
        </is>
      </c>
    </row>
    <row r="59">
      <c r="A59" s="10" t="inlineStr">
        <is>
          <t>골조</t>
        </is>
      </c>
      <c r="B59" s="10" t="inlineStr">
        <is>
          <t>시공사</t>
        </is>
      </c>
    </row>
    <row r="60">
      <c r="A60" s="10" t="inlineStr">
        <is>
          <t>마감</t>
        </is>
      </c>
      <c r="B60" s="10" t="inlineStr">
        <is>
          <t>늦음</t>
        </is>
      </c>
    </row>
    <row r="61">
      <c r="A61" s="10" t="inlineStr">
        <is>
          <t>준공</t>
        </is>
      </c>
      <c r="B61" s="10" t="inlineStr">
        <is>
          <t>늦음</t>
        </is>
      </c>
    </row>
  </sheetData>
  <dataValidations count="1">
    <dataValidation sqref="B54:B61" showDropDown="0" showInputMessage="0" showErrorMessage="0" allowBlank="1" type="list">
      <formula1>"설계사,시공사,늦음"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2026-09-27T04:28:01Z</dcterms:created>
  <dcterms:modified xsi:type="dcterms:W3CDTF">2026-09-27T04:28:01Z</dcterms:modified>
</cp:coreProperties>
</file>