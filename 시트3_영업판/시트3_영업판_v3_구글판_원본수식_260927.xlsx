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사용법" sheetId="1" state="visible" r:id="rId1"/>
    <sheet name="0.자가진단" sheetId="2" state="visible" r:id="rId2"/>
    <sheet name="5.이번주_갈곳" sheetId="3" state="visible" r:id="rId3"/>
    <sheet name="1.산군_붙여넣기" sheetId="4" state="visible" r:id="rId4"/>
    <sheet name="3.설계사" sheetId="5" state="visible" r:id="rId5"/>
    <sheet name="3b.시공사" sheetId="6" state="visible" r:id="rId6"/>
    <sheet name="4.방문기록" sheetId="7" state="visible" r:id="rId7"/>
    <sheet name="7.문안" sheetId="8" state="visible" r:id="rId8"/>
    <sheet name="업체_메모" sheetId="9" state="visible" r:id="rId9"/>
    <sheet name="현장_조사" sheetId="10" state="visible" r:id="rId10"/>
    <sheet name="2.현장" sheetId="11" state="visible" r:id="rId11"/>
    <sheet name="6.본전계산" sheetId="12" state="visible" r:id="rId12"/>
    <sheet name="설정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3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4" borderId="0" applyAlignment="1" pivotButton="0" quotePrefix="0" xfId="0">
      <alignment vertical="top" wrapText="1"/>
    </xf>
    <xf numFmtId="3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699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시트 3번 「영업판」 v3(구글판) (2026-09-27) — 산군 + 설계사 영업 전용 · 구글시트에서 바로 계산</t>
        </is>
      </c>
    </row>
    <row r="3">
      <c r="A3" s="2" t="inlineStr">
        <is>
          <t>■ 이 파일은 구글시트 전용입니다(열마다 수식 한 칸이 전체를 계산). 폰 구글시트 앱에서도 그대로 보고 고칠 수 있습니다.</t>
        </is>
      </c>
    </row>
    <row r="4">
      <c r="A4" s="2" t="inlineStr">
        <is>
          <t>■ 프로님 손은 1번 : 매주 월요일 산군 엑셀을 받아 「1.산군_붙여넣기」 탭 A1 칸을 누르고 통째로 붙여넣기(전체 덮어쓰기). 여러 조건으로 받으면 아래로 이어 붙여도 됩니다(같은 주소+현장명은 아래 줄이 이김).</t>
        </is>
      </c>
    </row>
    <row r="5">
      <c r="A5" s="2" t="inlineStr">
        <is>
          <t xml:space="preserve">   → 2.현장(★△✕) · 3.설계사 · 3b.시공사 · 5.이번주_갈곳 · 7.문안 · 6.본전계산 이 저절로 바뀝니다.</t>
        </is>
      </c>
    </row>
    <row r="6">
      <c r="A6" s="2" t="inlineStr">
        <is>
          <t>■ 5.이번주_갈곳 의 「지도」 를 누르면 네이버 지도, 「검색」 을 누르면 사무소 이름+전화 네이버 검색이 열립니다. 「확인할 것」 칸에 이 줄에서 아직 못 믿는 정보가 적혀 있습니다.</t>
        </is>
      </c>
    </row>
    <row r="7">
      <c r="A7" s="2" t="inlineStr">
        <is>
          <t>■ 처음 한 번만 : 「설정」 탭 B4~B15 에 산군 엑셀 1행의 열 이름을 똑같이 적기. 지금은 9/14 산군 화면 캡처의 열 이름입니다. 「0.자가진단」 1번이 「통과」 면 끝.</t>
        </is>
      </c>
    </row>
    <row r="8">
      <c r="A8" s="2" t="inlineStr">
        <is>
          <t>■ 지금 1번 탭의 11줄 = 2026-09-14 산군 캡처 실제 자료(드라이브 산군/산군_관심현장 v1). 설계사 이름 2곳은 캡처에서 잘려 「…」 로 끝납니다.</t>
        </is>
      </c>
    </row>
    <row r="9">
      <c r="A9" s="2" t="inlineStr">
        <is>
          <t>■ 다녀오시면 : 「4.방문기록」 에 한 줄(날짜·업체·결과). 「관심 없음」 이면 갈 곳 목록에서 빠집니다.</t>
        </is>
      </c>
    </row>
    <row r="10">
      <c r="A10" s="2" t="inlineStr">
        <is>
          <t>■ 담당자·전화 : 「업체_메모」 에 한 줄. 확신도 칸을 「확정」 으로 바꾸시면 5번 「확인할 것」 에서 빠집니다.</t>
        </is>
      </c>
    </row>
    <row r="11">
      <c r="A11" s="2" t="inlineStr">
        <is>
          <t>■ 현장 뉴스 : 「현장_조사」 탭. 객실 수는 확신도가 「확정」 일 때만 7.문안 메일에 들어갑니다(추정 숫자가 대외로 안 나가게).</t>
        </is>
      </c>
    </row>
    <row r="12">
      <c r="A12" s="2" t="inlineStr">
        <is>
          <t>■ 판정 : ✕ = 용도 아님 또는 연면적 미달 / △ = 허가→착공 표류 또는 ★ 기준 미만 / ★ = 나머지. 기준·점수 가중치는 설정 탭 노란 칸.</t>
        </is>
      </c>
    </row>
    <row r="13">
      <c r="A13" s="2" t="inlineStr">
        <is>
          <t>■ 초록 칸(자동)은 지우거나 덮어쓰지 마십시오. 한 칸 수식이 아래 줄까지 채웁니다. 지웠으면 「0.자가진단」 이 실패로 알려 줍니다 → 판 기록에서 되돌리기.</t>
        </is>
      </c>
    </row>
    <row r="14">
      <c r="A14" s="2" t="inlineStr">
        <is>
          <t>■ 이 시트는 회의록·견적·공정·수금과 섞지 않습니다. 기존 레이더·도구 47번과도 따로입니다.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70" customWidth="1" min="3" max="3"/>
    <col width="40" customWidth="1" min="4" max="4"/>
  </cols>
  <sheetData>
    <row r="1">
      <c r="A1" s="1" t="inlineStr">
        <is>
          <t>자가진단 — 전부 「통과」 면 정상 (v3(구글판))</t>
        </is>
      </c>
    </row>
    <row r="3">
      <c r="A3" s="3" t="inlineStr">
        <is>
          <t>번호</t>
        </is>
      </c>
      <c r="B3" s="3" t="inlineStr">
        <is>
          <t>검사</t>
        </is>
      </c>
      <c r="C3" s="3" t="inlineStr">
        <is>
          <t>값</t>
        </is>
      </c>
      <c r="D3" s="3" t="inlineStr">
        <is>
          <t>판정</t>
        </is>
      </c>
    </row>
    <row r="4">
      <c r="A4" t="n">
        <v>1</v>
      </c>
      <c r="B4" t="inlineStr">
        <is>
          <t>필수 열 6개(주소·현장명·연면적·용도·설계사·단계) 중 찾은 수</t>
        </is>
      </c>
      <c r="C4">
        <f>N(설정!$C$4&lt;&gt;"")+N(설정!$C$5&lt;&gt;"")+N(설정!$C$6&lt;&gt;"")+N(설정!$C$7&lt;&gt;"")+N(설정!$C$9&lt;&gt;"")+N(설정!$C$13&lt;&gt;"")</f>
        <v/>
      </c>
      <c r="D4">
        <f>IF(C4=6,"통과","실패 — 설정 B4~B15 를 산군 엑셀 1행과 맞추기")</f>
        <v/>
      </c>
    </row>
    <row r="5">
      <c r="A5" t="n">
        <v>2</v>
      </c>
      <c r="B5" t="inlineStr">
        <is>
          <t>붙여넣은 줄 수(1행 제외)</t>
        </is>
      </c>
      <c r="C5">
        <f>MAX(COUNTA('1.산군_붙여넣기'!B:B)-1,0)</f>
        <v/>
      </c>
      <c r="D5">
        <f>IF(C5&lt;=1000,"통과","실패 — 1000줄 넘음, 아래는 안 읽힘")</f>
        <v/>
      </c>
    </row>
    <row r="6">
      <c r="A6" t="n">
        <v>3</v>
      </c>
      <c r="B6" t="inlineStr">
        <is>
          <t>읽은 현장 줄</t>
        </is>
      </c>
      <c r="C6">
        <f>COUNTIF('2.현장'!$O$2:$O$1001,TRUE)</f>
        <v/>
      </c>
      <c r="D6">
        <f>IF(C6=C5,"통과","확인 — 빈 줄·제목줄 섞임")</f>
        <v/>
      </c>
    </row>
    <row r="7">
      <c r="A7" t="n">
        <v>4</v>
      </c>
      <c r="B7" t="inlineStr">
        <is>
          <t>중복 뺀 현장</t>
        </is>
      </c>
      <c r="C7">
        <f>COUNTIF('2.현장'!$Q$2:$Q$1001,TRUE)</f>
        <v/>
      </c>
      <c r="D7">
        <f>"참고"</f>
        <v/>
      </c>
    </row>
    <row r="8">
      <c r="A8" t="n">
        <v>5</v>
      </c>
      <c r="B8" t="inlineStr">
        <is>
          <t>★ + △ + ✕ = 중복 뺀 현장</t>
        </is>
      </c>
      <c r="C8">
        <f>COUNTIF('2.현장'!$AA$2:$AA$1001,"★")+COUNTIF('2.현장'!$AA$2:$AA$1001,"△")+COUNTIF('2.현장'!$AA$2:$AA$1001,"✕")</f>
        <v/>
      </c>
      <c r="D8">
        <f>IF(C8=C7,"통과","실패")</f>
        <v/>
      </c>
    </row>
    <row r="9">
      <c r="A9" t="n">
        <v>6</v>
      </c>
      <c r="B9" t="inlineStr">
        <is>
          <t>대상(용도·면적 맞음) = ★ + △</t>
        </is>
      </c>
      <c r="C9">
        <f>COUNTIF('2.현장'!$T$2:$T$1001,TRUE)</f>
        <v/>
      </c>
      <c r="D9">
        <f>IF(C9=COUNTIF('2.현장'!$AA$2:$AA$1001,"★")+COUNTIF('2.현장'!$AA$2:$AA$1001,"△"),"통과","실패")</f>
        <v/>
      </c>
    </row>
    <row r="10">
      <c r="A10" t="n">
        <v>7</v>
      </c>
      <c r="B10" t="inlineStr">
        <is>
          <t>설계사행 + 시공사행 + 늦음 = 대상</t>
        </is>
      </c>
      <c r="C10">
        <f>COUNTIF('2.현장'!$U$2:$U$1001,"설계사")+COUNTIF('2.현장'!$U$2:$U$1001,"시공사")+COUNTIF('2.현장'!$U$2:$U$1001,"늦음")</f>
        <v/>
      </c>
      <c r="D10">
        <f>IF(C10=C9,"통과","실패 — 설정 단계 행선지 확인")</f>
        <v/>
      </c>
    </row>
    <row r="11">
      <c r="A11" t="n">
        <v>8</v>
      </c>
      <c r="B11" t="inlineStr">
        <is>
          <t>설계사무소 수(목록) = 대상 현장의 설계사 이름 수</t>
        </is>
      </c>
      <c r="C11">
        <f>COUNTIF('3.설계사'!$B$4:$B$303,"?*")</f>
        <v/>
      </c>
      <c r="D11">
        <f>IF(C11=IFERROR(COUNTA(UNIQUE(FILTER('2.현장'!$V$2:$V$1001,'2.현장'!$T$2:$T$1001=TRUE,'2.현장'!$V$2:$V$1001&lt;&gt;""))),0),IF(C11&lt;300,"통과","실패 — 300곳 넘음"),"실패")</f>
        <v/>
      </c>
    </row>
    <row r="12">
      <c r="A12" t="n">
        <v>9</v>
      </c>
      <c r="B12" t="inlineStr">
        <is>
          <t>시공사 수(목록) = 대상 현장의 시공사 이름 수</t>
        </is>
      </c>
      <c r="C12">
        <f>COUNTIF('3b.시공사'!$B$4:$B$203,"?*")</f>
        <v/>
      </c>
      <c r="D12">
        <f>IF(C12=IFERROR(COUNTA(UNIQUE(FILTER('2.현장'!$AC$2:$AC$1001,'2.현장'!$T$2:$T$1001=TRUE,'2.현장'!$AC$2:$AC$1001&lt;&gt;""))),0),IF(C12&lt;200,"통과","실패 — 200곳 넘음"),"실패")</f>
        <v/>
      </c>
    </row>
    <row r="13">
      <c r="A13" t="n">
        <v>10</v>
      </c>
      <c r="B13" t="inlineStr">
        <is>
          <t>설계사 이름 빈 대상 현장</t>
        </is>
      </c>
      <c r="C13">
        <f>COUNTIFS('2.현장'!$T$2:$T$1001,TRUE,'2.현장'!$V$2:$V$1001,"")</f>
        <v/>
      </c>
      <c r="D13">
        <f>IF(C13=0,"통과","확인 — 산군에 설계사 없는 현장(2.현장 필터)")</f>
        <v/>
      </c>
    </row>
    <row r="14">
      <c r="A14" t="n">
        <v>11</v>
      </c>
      <c r="B14" t="inlineStr">
        <is>
          <t>방문기록 중 목록에 없는 업체</t>
        </is>
      </c>
      <c r="C14">
        <f>SUM('4.방문기록'!$J$3:$J$502)</f>
        <v/>
      </c>
      <c r="D14">
        <f>IF(C14=0,"통과","확인 — 이름이 3·3b번 탭과 다름")</f>
        <v/>
      </c>
    </row>
    <row r="15">
      <c r="A15" t="n">
        <v>12</v>
      </c>
      <c r="B15" t="inlineStr">
        <is>
          <t>점수 가중치 빈칸</t>
        </is>
      </c>
      <c r="C15">
        <f>COUNTBLANK(설정!B31:B39)</f>
        <v/>
      </c>
      <c r="D15">
        <f>IF(C15=0,"통과","실패 — 설정 가중치 칸을 채우기")</f>
        <v/>
      </c>
    </row>
    <row r="16">
      <c r="A16" t="n">
        <v>13</v>
      </c>
      <c r="B16" t="inlineStr">
        <is>
          <t>잘린 이름(…) 남음</t>
        </is>
      </c>
      <c r="C16">
        <f>COUNTIF('2.현장'!$G$2:$G$1001,"*…*")</f>
        <v/>
      </c>
      <c r="D16">
        <f>IF(C16=0,"통과","알림 — 캡처에서 잘린 설계사 이름. 엑셀 다운로드로 바꾸면 사라짐")</f>
        <v/>
      </c>
    </row>
    <row r="17">
      <c r="A17" t="n">
        <v>14</v>
      </c>
      <c r="B17" t="inlineStr">
        <is>
          <t>자동 수식 칸 살아 있음(2.현장·3번·3b번)</t>
        </is>
      </c>
      <c r="C17">
        <f>SUMPRODUCT(--ISFORMULA('2.현장'!B2:AD2))+ISFORMULA('3.설계사'!B4)+ISFORMULA('3.설계사'!T4)+ISFORMULA('3b.시공사'!B4)</f>
        <v/>
      </c>
      <c r="D17">
        <f>IF(C17&gt;=27,"통과","실패 — 초록 수식 칸이 지워짐. 판 기록에서 되돌리기")</f>
        <v/>
      </c>
    </row>
    <row r="20">
      <c r="A20" s="4" t="inlineStr">
        <is>
          <t>변경 이력</t>
        </is>
      </c>
    </row>
    <row r="21">
      <c r="A21" s="3" t="inlineStr">
        <is>
          <t>날짜</t>
        </is>
      </c>
      <c r="B21" s="3" t="inlineStr">
        <is>
          <t>판</t>
        </is>
      </c>
      <c r="C21" s="3" t="inlineStr">
        <is>
          <t>내용</t>
        </is>
      </c>
      <c r="D21" s="3" t="inlineStr">
        <is>
          <t>이전 값</t>
        </is>
      </c>
    </row>
    <row r="22">
      <c r="A22" t="inlineStr">
        <is>
          <t>2026-09-27</t>
        </is>
      </c>
      <c r="B22" t="inlineStr">
        <is>
          <t>v1</t>
        </is>
      </c>
      <c r="C22" t="inlineStr">
        <is>
          <t>최초 작성 — 엑셀판 11개 탭, [예시] 가짜 7줄</t>
        </is>
      </c>
      <c r="D22" t="inlineStr">
        <is>
          <t>없음</t>
        </is>
      </c>
    </row>
    <row r="23">
      <c r="A23" t="inlineStr">
        <is>
          <t>2026-09-27</t>
        </is>
      </c>
      <c r="B23" t="inlineStr">
        <is>
          <t>v2</t>
        </is>
      </c>
      <c r="C23" t="inlineStr">
        <is>
          <t>엑셀판 — 9/14 산군 캡처 11줄, ★△✕, 가중치 입력칸, 3b.시공사·현장_조사·업체_메모</t>
        </is>
      </c>
      <c r="D23" t="inlineStr">
        <is>
          <t>v1</t>
        </is>
      </c>
    </row>
    <row r="24">
      <c r="A24" t="inlineStr">
        <is>
          <t>2026-09-27</t>
        </is>
      </c>
      <c r="B24" t="inlineStr">
        <is>
          <t>v3(구글판)</t>
        </is>
      </c>
      <c r="C24" t="inlineStr">
        <is>
          <t>B: 계산 방식 → 구글시트 배열 수식(MAP·UNIQUE·SORT). 드라이브에 바로 쓰는 구글시트로 올림. 탭·열·규칙·숫자는 v2 와 같음</t>
        </is>
      </c>
      <c r="D24" t="inlineStr">
        <is>
          <t>엑셀판 줄마다 수식(v2)</t>
        </is>
      </c>
    </row>
    <row r="25">
      <c r="A25" t="inlineStr">
        <is>
          <t>2026-09-27</t>
        </is>
      </c>
      <c r="B25" t="inlineStr">
        <is>
          <t>v3(구글판)</t>
        </is>
      </c>
      <c r="C25" t="inlineStr">
        <is>
          <t>A: 5.이번주_갈곳 에 지도·검색 링크, 「확인할 것」 칸 / 3.설계사 에 대표 주소·전화 확신도 / 자가진단 14번(수식 칸 살아 있음)</t>
        </is>
      </c>
      <c r="D25" t="inlineStr">
        <is>
          <t>—</t>
        </is>
      </c>
    </row>
  </sheetData>
  <conditionalFormatting sqref="D4:D17">
    <cfRule type="expression" priority="1" dxfId="0">
      <formula>LEFT(D4,2)="통과"</formula>
    </cfRule>
    <cfRule type="expression" priority="2" dxfId="1">
      <formula>LEFT(D4,2)="실패"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26" customWidth="1" min="4" max="4"/>
    <col width="12" customWidth="1" min="5" max="5"/>
    <col width="10" customWidth="1" min="6" max="6"/>
    <col width="9" customWidth="1" min="7" max="7"/>
    <col width="9" customWidth="1" min="8" max="8"/>
    <col width="14" customWidth="1" min="9" max="9"/>
    <col width="6" customWidth="1" min="10" max="10"/>
    <col width="6" customWidth="1" min="11" max="11"/>
    <col width="34" customWidth="1" min="12" max="12"/>
    <col width="60" customWidth="1" min="13" max="13"/>
    <col hidden="1" width="13" customWidth="1" min="14" max="14"/>
  </cols>
  <sheetData>
    <row r="1">
      <c r="A1" s="1">
        <f>"이번 주 찾아갈 설계사무소 "&amp;COUNTA(FILTER('3.설계사'!$T$4:$T$303,'3.설계사'!$T$4:$T$303&lt;&gt;""))&amp;"곳 · 지역: "&amp;IF(설정!$B$21="","전국",설정!$B$21)&amp;" · 기준일 "&amp;TEXT(설정!$B$24,"yyyy-mm-dd")</f>
        <v/>
      </c>
    </row>
    <row r="2">
      <c r="A2" t="inlineStr">
        <is>
          <t>순서 : ①7일 안 약속 ②현장점수(설계단계&gt;최근 착공&gt;오래된 착공, ★ 가산)+안 가본 곳 ③오래 안 간 곳. 「지도」·「검색」 을 누르면 네이버가 열립니다. 「확인할 것」 = 아직 못 믿는 정보.</t>
        </is>
      </c>
    </row>
    <row r="3">
      <c r="A3" s="3" t="inlineStr">
        <is>
          <t>순위</t>
        </is>
      </c>
      <c r="B3" s="3" t="inlineStr">
        <is>
          <t>설계사무소</t>
        </is>
      </c>
      <c r="C3" s="3" t="inlineStr">
        <is>
          <t>왜 가야 하나</t>
        </is>
      </c>
      <c r="D3" s="3" t="inlineStr">
        <is>
          <t>대표 현장</t>
        </is>
      </c>
      <c r="E3" s="3" t="inlineStr">
        <is>
          <t>지역</t>
        </is>
      </c>
      <c r="F3" s="3" t="inlineStr">
        <is>
          <t>최대 연면적</t>
        </is>
      </c>
      <c r="G3" s="3" t="inlineStr">
        <is>
          <t>객실 수(조사)</t>
        </is>
      </c>
      <c r="H3" s="3" t="inlineStr">
        <is>
          <t>담당자</t>
        </is>
      </c>
      <c r="I3" s="3" t="inlineStr">
        <is>
          <t>전화</t>
        </is>
      </c>
      <c r="J3" s="3" t="inlineStr">
        <is>
          <t>지도</t>
        </is>
      </c>
      <c r="K3" s="3" t="inlineStr">
        <is>
          <t>검색</t>
        </is>
      </c>
      <c r="L3" s="3" t="inlineStr">
        <is>
          <t>확인할 것</t>
        </is>
      </c>
      <c r="M3" s="3" t="inlineStr">
        <is>
          <t>전화 첫마디(복사)</t>
        </is>
      </c>
      <c r="N3" s="3" t="inlineStr">
        <is>
          <t>_행</t>
        </is>
      </c>
    </row>
    <row r="4">
      <c r="A4">
        <f>IF(B4="","",ROW()-3)</f>
        <v/>
      </c>
      <c r="B4" s="5">
        <f>IFERROR(ARRAY_CONSTRAIN(SORT(FILTER({'3.설계사'!$B$4:$B$303,'3.설계사'!$T$4:$T$303,'3.설계사'!$A$4:$A$303},'3.설계사'!$T$4:$T$303&lt;&gt;""),2,FALSE,3,TRUE),30,1),"")</f>
        <v/>
      </c>
      <c r="C4" s="2">
        <f>IF(B4="","",INDEX('3.설계사'!$W$4:$W$303,N4))</f>
        <v/>
      </c>
      <c r="D4">
        <f>IF(B4="","",INDEX('3.설계사'!$K$4:$K$303,N4))</f>
        <v/>
      </c>
      <c r="E4">
        <f>IF(B4="","",INDEX('3.설계사'!$L$4:$L$303,N4))</f>
        <v/>
      </c>
      <c r="F4" s="6">
        <f>IF(B4="","",INDEX('3.설계사'!$H$4:$H$303,N4))</f>
        <v/>
      </c>
      <c r="G4">
        <f>IF(B4="","",INDEX('3.설계사'!$AB$4:$AB$303,N4))</f>
        <v/>
      </c>
      <c r="H4">
        <f>IF(B4="","",INDEX('3.설계사'!$M$4:$M$303,N4))</f>
        <v/>
      </c>
      <c r="I4">
        <f>IF(B4="","",INDEX('3.설계사'!$N$4:$N$303,N4))</f>
        <v/>
      </c>
      <c r="J4">
        <f>IF(B4="","",HYPERLINK(INDEX('3.설계사'!$Z$4:$Z$303,N4),"지도"))</f>
        <v/>
      </c>
      <c r="K4">
        <f>IF(B4="","",HYPERLINK(INDEX('3.설계사'!$AA$4:$AA$303,N4),"검색"))</f>
        <v/>
      </c>
      <c r="L4" s="2">
        <f>IF(B4="","",INDEX('3.설계사'!$X$4:$X$303,N4))</f>
        <v/>
      </c>
      <c r="M4" s="2">
        <f>IF(B4="","",INDEX('3.설계사'!$Y$4:$Y$303,N4))</f>
        <v/>
      </c>
      <c r="N4">
        <f>IF(B4="","",MATCH(B4,'3.설계사'!$B$4:$B$303,0))</f>
        <v/>
      </c>
    </row>
    <row r="5">
      <c r="A5">
        <f>IF(B5="","",ROW()-3)</f>
        <v/>
      </c>
      <c r="C5" s="2">
        <f>IF(B5="","",INDEX('3.설계사'!$W$4:$W$303,N5))</f>
        <v/>
      </c>
      <c r="D5">
        <f>IF(B5="","",INDEX('3.설계사'!$K$4:$K$303,N5))</f>
        <v/>
      </c>
      <c r="E5">
        <f>IF(B5="","",INDEX('3.설계사'!$L$4:$L$303,N5))</f>
        <v/>
      </c>
      <c r="F5" s="6">
        <f>IF(B5="","",INDEX('3.설계사'!$H$4:$H$303,N5))</f>
        <v/>
      </c>
      <c r="G5">
        <f>IF(B5="","",INDEX('3.설계사'!$AB$4:$AB$303,N5))</f>
        <v/>
      </c>
      <c r="H5">
        <f>IF(B5="","",INDEX('3.설계사'!$M$4:$M$303,N5))</f>
        <v/>
      </c>
      <c r="I5">
        <f>IF(B5="","",INDEX('3.설계사'!$N$4:$N$303,N5))</f>
        <v/>
      </c>
      <c r="J5">
        <f>IF(B5="","",HYPERLINK(INDEX('3.설계사'!$Z$4:$Z$303,N5),"지도"))</f>
        <v/>
      </c>
      <c r="K5">
        <f>IF(B5="","",HYPERLINK(INDEX('3.설계사'!$AA$4:$AA$303,N5),"검색"))</f>
        <v/>
      </c>
      <c r="L5" s="2">
        <f>IF(B5="","",INDEX('3.설계사'!$X$4:$X$303,N5))</f>
        <v/>
      </c>
      <c r="M5" s="2">
        <f>IF(B5="","",INDEX('3.설계사'!$Y$4:$Y$303,N5))</f>
        <v/>
      </c>
      <c r="N5">
        <f>IF(B5="","",MATCH(B5,'3.설계사'!$B$4:$B$303,0))</f>
        <v/>
      </c>
    </row>
    <row r="6">
      <c r="A6">
        <f>IF(B6="","",ROW()-3)</f>
        <v/>
      </c>
      <c r="C6" s="2">
        <f>IF(B6="","",INDEX('3.설계사'!$W$4:$W$303,N6))</f>
        <v/>
      </c>
      <c r="D6">
        <f>IF(B6="","",INDEX('3.설계사'!$K$4:$K$303,N6))</f>
        <v/>
      </c>
      <c r="E6">
        <f>IF(B6="","",INDEX('3.설계사'!$L$4:$L$303,N6))</f>
        <v/>
      </c>
      <c r="F6" s="6">
        <f>IF(B6="","",INDEX('3.설계사'!$H$4:$H$303,N6))</f>
        <v/>
      </c>
      <c r="G6">
        <f>IF(B6="","",INDEX('3.설계사'!$AB$4:$AB$303,N6))</f>
        <v/>
      </c>
      <c r="H6">
        <f>IF(B6="","",INDEX('3.설계사'!$M$4:$M$303,N6))</f>
        <v/>
      </c>
      <c r="I6">
        <f>IF(B6="","",INDEX('3.설계사'!$N$4:$N$303,N6))</f>
        <v/>
      </c>
      <c r="J6">
        <f>IF(B6="","",HYPERLINK(INDEX('3.설계사'!$Z$4:$Z$303,N6),"지도"))</f>
        <v/>
      </c>
      <c r="K6">
        <f>IF(B6="","",HYPERLINK(INDEX('3.설계사'!$AA$4:$AA$303,N6),"검색"))</f>
        <v/>
      </c>
      <c r="L6" s="2">
        <f>IF(B6="","",INDEX('3.설계사'!$X$4:$X$303,N6))</f>
        <v/>
      </c>
      <c r="M6" s="2">
        <f>IF(B6="","",INDEX('3.설계사'!$Y$4:$Y$303,N6))</f>
        <v/>
      </c>
      <c r="N6">
        <f>IF(B6="","",MATCH(B6,'3.설계사'!$B$4:$B$303,0))</f>
        <v/>
      </c>
    </row>
    <row r="7">
      <c r="A7">
        <f>IF(B7="","",ROW()-3)</f>
        <v/>
      </c>
      <c r="C7" s="2">
        <f>IF(B7="","",INDEX('3.설계사'!$W$4:$W$303,N7))</f>
        <v/>
      </c>
      <c r="D7">
        <f>IF(B7="","",INDEX('3.설계사'!$K$4:$K$303,N7))</f>
        <v/>
      </c>
      <c r="E7">
        <f>IF(B7="","",INDEX('3.설계사'!$L$4:$L$303,N7))</f>
        <v/>
      </c>
      <c r="F7" s="6">
        <f>IF(B7="","",INDEX('3.설계사'!$H$4:$H$303,N7))</f>
        <v/>
      </c>
      <c r="G7">
        <f>IF(B7="","",INDEX('3.설계사'!$AB$4:$AB$303,N7))</f>
        <v/>
      </c>
      <c r="H7">
        <f>IF(B7="","",INDEX('3.설계사'!$M$4:$M$303,N7))</f>
        <v/>
      </c>
      <c r="I7">
        <f>IF(B7="","",INDEX('3.설계사'!$N$4:$N$303,N7))</f>
        <v/>
      </c>
      <c r="J7">
        <f>IF(B7="","",HYPERLINK(INDEX('3.설계사'!$Z$4:$Z$303,N7),"지도"))</f>
        <v/>
      </c>
      <c r="K7">
        <f>IF(B7="","",HYPERLINK(INDEX('3.설계사'!$AA$4:$AA$303,N7),"검색"))</f>
        <v/>
      </c>
      <c r="L7" s="2">
        <f>IF(B7="","",INDEX('3.설계사'!$X$4:$X$303,N7))</f>
        <v/>
      </c>
      <c r="M7" s="2">
        <f>IF(B7="","",INDEX('3.설계사'!$Y$4:$Y$303,N7))</f>
        <v/>
      </c>
      <c r="N7">
        <f>IF(B7="","",MATCH(B7,'3.설계사'!$B$4:$B$303,0))</f>
        <v/>
      </c>
    </row>
    <row r="8">
      <c r="A8">
        <f>IF(B8="","",ROW()-3)</f>
        <v/>
      </c>
      <c r="C8" s="2">
        <f>IF(B8="","",INDEX('3.설계사'!$W$4:$W$303,N8))</f>
        <v/>
      </c>
      <c r="D8">
        <f>IF(B8="","",INDEX('3.설계사'!$K$4:$K$303,N8))</f>
        <v/>
      </c>
      <c r="E8">
        <f>IF(B8="","",INDEX('3.설계사'!$L$4:$L$303,N8))</f>
        <v/>
      </c>
      <c r="F8" s="6">
        <f>IF(B8="","",INDEX('3.설계사'!$H$4:$H$303,N8))</f>
        <v/>
      </c>
      <c r="G8">
        <f>IF(B8="","",INDEX('3.설계사'!$AB$4:$AB$303,N8))</f>
        <v/>
      </c>
      <c r="H8">
        <f>IF(B8="","",INDEX('3.설계사'!$M$4:$M$303,N8))</f>
        <v/>
      </c>
      <c r="I8">
        <f>IF(B8="","",INDEX('3.설계사'!$N$4:$N$303,N8))</f>
        <v/>
      </c>
      <c r="J8">
        <f>IF(B8="","",HYPERLINK(INDEX('3.설계사'!$Z$4:$Z$303,N8),"지도"))</f>
        <v/>
      </c>
      <c r="K8">
        <f>IF(B8="","",HYPERLINK(INDEX('3.설계사'!$AA$4:$AA$303,N8),"검색"))</f>
        <v/>
      </c>
      <c r="L8" s="2">
        <f>IF(B8="","",INDEX('3.설계사'!$X$4:$X$303,N8))</f>
        <v/>
      </c>
      <c r="M8" s="2">
        <f>IF(B8="","",INDEX('3.설계사'!$Y$4:$Y$303,N8))</f>
        <v/>
      </c>
      <c r="N8">
        <f>IF(B8="","",MATCH(B8,'3.설계사'!$B$4:$B$303,0))</f>
        <v/>
      </c>
    </row>
    <row r="9">
      <c r="A9">
        <f>IF(B9="","",ROW()-3)</f>
        <v/>
      </c>
      <c r="C9" s="2">
        <f>IF(B9="","",INDEX('3.설계사'!$W$4:$W$303,N9))</f>
        <v/>
      </c>
      <c r="D9">
        <f>IF(B9="","",INDEX('3.설계사'!$K$4:$K$303,N9))</f>
        <v/>
      </c>
      <c r="E9">
        <f>IF(B9="","",INDEX('3.설계사'!$L$4:$L$303,N9))</f>
        <v/>
      </c>
      <c r="F9" s="6">
        <f>IF(B9="","",INDEX('3.설계사'!$H$4:$H$303,N9))</f>
        <v/>
      </c>
      <c r="G9">
        <f>IF(B9="","",INDEX('3.설계사'!$AB$4:$AB$303,N9))</f>
        <v/>
      </c>
      <c r="H9">
        <f>IF(B9="","",INDEX('3.설계사'!$M$4:$M$303,N9))</f>
        <v/>
      </c>
      <c r="I9">
        <f>IF(B9="","",INDEX('3.설계사'!$N$4:$N$303,N9))</f>
        <v/>
      </c>
      <c r="J9">
        <f>IF(B9="","",HYPERLINK(INDEX('3.설계사'!$Z$4:$Z$303,N9),"지도"))</f>
        <v/>
      </c>
      <c r="K9">
        <f>IF(B9="","",HYPERLINK(INDEX('3.설계사'!$AA$4:$AA$303,N9),"검색"))</f>
        <v/>
      </c>
      <c r="L9" s="2">
        <f>IF(B9="","",INDEX('3.설계사'!$X$4:$X$303,N9))</f>
        <v/>
      </c>
      <c r="M9" s="2">
        <f>IF(B9="","",INDEX('3.설계사'!$Y$4:$Y$303,N9))</f>
        <v/>
      </c>
      <c r="N9">
        <f>IF(B9="","",MATCH(B9,'3.설계사'!$B$4:$B$303,0))</f>
        <v/>
      </c>
    </row>
    <row r="10">
      <c r="A10">
        <f>IF(B10="","",ROW()-3)</f>
        <v/>
      </c>
      <c r="C10" s="2">
        <f>IF(B10="","",INDEX('3.설계사'!$W$4:$W$303,N10))</f>
        <v/>
      </c>
      <c r="D10">
        <f>IF(B10="","",INDEX('3.설계사'!$K$4:$K$303,N10))</f>
        <v/>
      </c>
      <c r="E10">
        <f>IF(B10="","",INDEX('3.설계사'!$L$4:$L$303,N10))</f>
        <v/>
      </c>
      <c r="F10" s="6">
        <f>IF(B10="","",INDEX('3.설계사'!$H$4:$H$303,N10))</f>
        <v/>
      </c>
      <c r="G10">
        <f>IF(B10="","",INDEX('3.설계사'!$AB$4:$AB$303,N10))</f>
        <v/>
      </c>
      <c r="H10">
        <f>IF(B10="","",INDEX('3.설계사'!$M$4:$M$303,N10))</f>
        <v/>
      </c>
      <c r="I10">
        <f>IF(B10="","",INDEX('3.설계사'!$N$4:$N$303,N10))</f>
        <v/>
      </c>
      <c r="J10">
        <f>IF(B10="","",HYPERLINK(INDEX('3.설계사'!$Z$4:$Z$303,N10),"지도"))</f>
        <v/>
      </c>
      <c r="K10">
        <f>IF(B10="","",HYPERLINK(INDEX('3.설계사'!$AA$4:$AA$303,N10),"검색"))</f>
        <v/>
      </c>
      <c r="L10" s="2">
        <f>IF(B10="","",INDEX('3.설계사'!$X$4:$X$303,N10))</f>
        <v/>
      </c>
      <c r="M10" s="2">
        <f>IF(B10="","",INDEX('3.설계사'!$Y$4:$Y$303,N10))</f>
        <v/>
      </c>
      <c r="N10">
        <f>IF(B10="","",MATCH(B10,'3.설계사'!$B$4:$B$303,0))</f>
        <v/>
      </c>
    </row>
    <row r="11">
      <c r="A11">
        <f>IF(B11="","",ROW()-3)</f>
        <v/>
      </c>
      <c r="C11" s="2">
        <f>IF(B11="","",INDEX('3.설계사'!$W$4:$W$303,N11))</f>
        <v/>
      </c>
      <c r="D11">
        <f>IF(B11="","",INDEX('3.설계사'!$K$4:$K$303,N11))</f>
        <v/>
      </c>
      <c r="E11">
        <f>IF(B11="","",INDEX('3.설계사'!$L$4:$L$303,N11))</f>
        <v/>
      </c>
      <c r="F11" s="6">
        <f>IF(B11="","",INDEX('3.설계사'!$H$4:$H$303,N11))</f>
        <v/>
      </c>
      <c r="G11">
        <f>IF(B11="","",INDEX('3.설계사'!$AB$4:$AB$303,N11))</f>
        <v/>
      </c>
      <c r="H11">
        <f>IF(B11="","",INDEX('3.설계사'!$M$4:$M$303,N11))</f>
        <v/>
      </c>
      <c r="I11">
        <f>IF(B11="","",INDEX('3.설계사'!$N$4:$N$303,N11))</f>
        <v/>
      </c>
      <c r="J11">
        <f>IF(B11="","",HYPERLINK(INDEX('3.설계사'!$Z$4:$Z$303,N11),"지도"))</f>
        <v/>
      </c>
      <c r="K11">
        <f>IF(B11="","",HYPERLINK(INDEX('3.설계사'!$AA$4:$AA$303,N11),"검색"))</f>
        <v/>
      </c>
      <c r="L11" s="2">
        <f>IF(B11="","",INDEX('3.설계사'!$X$4:$X$303,N11))</f>
        <v/>
      </c>
      <c r="M11" s="2">
        <f>IF(B11="","",INDEX('3.설계사'!$Y$4:$Y$303,N11))</f>
        <v/>
      </c>
      <c r="N11">
        <f>IF(B11="","",MATCH(B11,'3.설계사'!$B$4:$B$303,0))</f>
        <v/>
      </c>
    </row>
    <row r="12">
      <c r="A12">
        <f>IF(B12="","",ROW()-3)</f>
        <v/>
      </c>
      <c r="C12" s="2">
        <f>IF(B12="","",INDEX('3.설계사'!$W$4:$W$303,N12))</f>
        <v/>
      </c>
      <c r="D12">
        <f>IF(B12="","",INDEX('3.설계사'!$K$4:$K$303,N12))</f>
        <v/>
      </c>
      <c r="E12">
        <f>IF(B12="","",INDEX('3.설계사'!$L$4:$L$303,N12))</f>
        <v/>
      </c>
      <c r="F12" s="6">
        <f>IF(B12="","",INDEX('3.설계사'!$H$4:$H$303,N12))</f>
        <v/>
      </c>
      <c r="G12">
        <f>IF(B12="","",INDEX('3.설계사'!$AB$4:$AB$303,N12))</f>
        <v/>
      </c>
      <c r="H12">
        <f>IF(B12="","",INDEX('3.설계사'!$M$4:$M$303,N12))</f>
        <v/>
      </c>
      <c r="I12">
        <f>IF(B12="","",INDEX('3.설계사'!$N$4:$N$303,N12))</f>
        <v/>
      </c>
      <c r="J12">
        <f>IF(B12="","",HYPERLINK(INDEX('3.설계사'!$Z$4:$Z$303,N12),"지도"))</f>
        <v/>
      </c>
      <c r="K12">
        <f>IF(B12="","",HYPERLINK(INDEX('3.설계사'!$AA$4:$AA$303,N12),"검색"))</f>
        <v/>
      </c>
      <c r="L12" s="2">
        <f>IF(B12="","",INDEX('3.설계사'!$X$4:$X$303,N12))</f>
        <v/>
      </c>
      <c r="M12" s="2">
        <f>IF(B12="","",INDEX('3.설계사'!$Y$4:$Y$303,N12))</f>
        <v/>
      </c>
      <c r="N12">
        <f>IF(B12="","",MATCH(B12,'3.설계사'!$B$4:$B$303,0))</f>
        <v/>
      </c>
    </row>
    <row r="13">
      <c r="A13">
        <f>IF(B13="","",ROW()-3)</f>
        <v/>
      </c>
      <c r="C13" s="2">
        <f>IF(B13="","",INDEX('3.설계사'!$W$4:$W$303,N13))</f>
        <v/>
      </c>
      <c r="D13">
        <f>IF(B13="","",INDEX('3.설계사'!$K$4:$K$303,N13))</f>
        <v/>
      </c>
      <c r="E13">
        <f>IF(B13="","",INDEX('3.설계사'!$L$4:$L$303,N13))</f>
        <v/>
      </c>
      <c r="F13" s="6">
        <f>IF(B13="","",INDEX('3.설계사'!$H$4:$H$303,N13))</f>
        <v/>
      </c>
      <c r="G13">
        <f>IF(B13="","",INDEX('3.설계사'!$AB$4:$AB$303,N13))</f>
        <v/>
      </c>
      <c r="H13">
        <f>IF(B13="","",INDEX('3.설계사'!$M$4:$M$303,N13))</f>
        <v/>
      </c>
      <c r="I13">
        <f>IF(B13="","",INDEX('3.설계사'!$N$4:$N$303,N13))</f>
        <v/>
      </c>
      <c r="J13">
        <f>IF(B13="","",HYPERLINK(INDEX('3.설계사'!$Z$4:$Z$303,N13),"지도"))</f>
        <v/>
      </c>
      <c r="K13">
        <f>IF(B13="","",HYPERLINK(INDEX('3.설계사'!$AA$4:$AA$303,N13),"검색"))</f>
        <v/>
      </c>
      <c r="L13" s="2">
        <f>IF(B13="","",INDEX('3.설계사'!$X$4:$X$303,N13))</f>
        <v/>
      </c>
      <c r="M13" s="2">
        <f>IF(B13="","",INDEX('3.설계사'!$Y$4:$Y$303,N13))</f>
        <v/>
      </c>
      <c r="N13">
        <f>IF(B13="","",MATCH(B13,'3.설계사'!$B$4:$B$303,0))</f>
        <v/>
      </c>
    </row>
    <row r="14">
      <c r="A14">
        <f>IF(B14="","",ROW()-3)</f>
        <v/>
      </c>
      <c r="C14" s="2">
        <f>IF(B14="","",INDEX('3.설계사'!$W$4:$W$303,N14))</f>
        <v/>
      </c>
      <c r="D14">
        <f>IF(B14="","",INDEX('3.설계사'!$K$4:$K$303,N14))</f>
        <v/>
      </c>
      <c r="E14">
        <f>IF(B14="","",INDEX('3.설계사'!$L$4:$L$303,N14))</f>
        <v/>
      </c>
      <c r="F14" s="6">
        <f>IF(B14="","",INDEX('3.설계사'!$H$4:$H$303,N14))</f>
        <v/>
      </c>
      <c r="G14">
        <f>IF(B14="","",INDEX('3.설계사'!$AB$4:$AB$303,N14))</f>
        <v/>
      </c>
      <c r="H14">
        <f>IF(B14="","",INDEX('3.설계사'!$M$4:$M$303,N14))</f>
        <v/>
      </c>
      <c r="I14">
        <f>IF(B14="","",INDEX('3.설계사'!$N$4:$N$303,N14))</f>
        <v/>
      </c>
      <c r="J14">
        <f>IF(B14="","",HYPERLINK(INDEX('3.설계사'!$Z$4:$Z$303,N14),"지도"))</f>
        <v/>
      </c>
      <c r="K14">
        <f>IF(B14="","",HYPERLINK(INDEX('3.설계사'!$AA$4:$AA$303,N14),"검색"))</f>
        <v/>
      </c>
      <c r="L14" s="2">
        <f>IF(B14="","",INDEX('3.설계사'!$X$4:$X$303,N14))</f>
        <v/>
      </c>
      <c r="M14" s="2">
        <f>IF(B14="","",INDEX('3.설계사'!$Y$4:$Y$303,N14))</f>
        <v/>
      </c>
      <c r="N14">
        <f>IF(B14="","",MATCH(B14,'3.설계사'!$B$4:$B$303,0))</f>
        <v/>
      </c>
    </row>
    <row r="15">
      <c r="A15">
        <f>IF(B15="","",ROW()-3)</f>
        <v/>
      </c>
      <c r="C15" s="2">
        <f>IF(B15="","",INDEX('3.설계사'!$W$4:$W$303,N15))</f>
        <v/>
      </c>
      <c r="D15">
        <f>IF(B15="","",INDEX('3.설계사'!$K$4:$K$303,N15))</f>
        <v/>
      </c>
      <c r="E15">
        <f>IF(B15="","",INDEX('3.설계사'!$L$4:$L$303,N15))</f>
        <v/>
      </c>
      <c r="F15" s="6">
        <f>IF(B15="","",INDEX('3.설계사'!$H$4:$H$303,N15))</f>
        <v/>
      </c>
      <c r="G15">
        <f>IF(B15="","",INDEX('3.설계사'!$AB$4:$AB$303,N15))</f>
        <v/>
      </c>
      <c r="H15">
        <f>IF(B15="","",INDEX('3.설계사'!$M$4:$M$303,N15))</f>
        <v/>
      </c>
      <c r="I15">
        <f>IF(B15="","",INDEX('3.설계사'!$N$4:$N$303,N15))</f>
        <v/>
      </c>
      <c r="J15">
        <f>IF(B15="","",HYPERLINK(INDEX('3.설계사'!$Z$4:$Z$303,N15),"지도"))</f>
        <v/>
      </c>
      <c r="K15">
        <f>IF(B15="","",HYPERLINK(INDEX('3.설계사'!$AA$4:$AA$303,N15),"검색"))</f>
        <v/>
      </c>
      <c r="L15" s="2">
        <f>IF(B15="","",INDEX('3.설계사'!$X$4:$X$303,N15))</f>
        <v/>
      </c>
      <c r="M15" s="2">
        <f>IF(B15="","",INDEX('3.설계사'!$Y$4:$Y$303,N15))</f>
        <v/>
      </c>
      <c r="N15">
        <f>IF(B15="","",MATCH(B15,'3.설계사'!$B$4:$B$303,0))</f>
        <v/>
      </c>
    </row>
    <row r="16">
      <c r="A16">
        <f>IF(B16="","",ROW()-3)</f>
        <v/>
      </c>
      <c r="C16" s="2">
        <f>IF(B16="","",INDEX('3.설계사'!$W$4:$W$303,N16))</f>
        <v/>
      </c>
      <c r="D16">
        <f>IF(B16="","",INDEX('3.설계사'!$K$4:$K$303,N16))</f>
        <v/>
      </c>
      <c r="E16">
        <f>IF(B16="","",INDEX('3.설계사'!$L$4:$L$303,N16))</f>
        <v/>
      </c>
      <c r="F16" s="6">
        <f>IF(B16="","",INDEX('3.설계사'!$H$4:$H$303,N16))</f>
        <v/>
      </c>
      <c r="G16">
        <f>IF(B16="","",INDEX('3.설계사'!$AB$4:$AB$303,N16))</f>
        <v/>
      </c>
      <c r="H16">
        <f>IF(B16="","",INDEX('3.설계사'!$M$4:$M$303,N16))</f>
        <v/>
      </c>
      <c r="I16">
        <f>IF(B16="","",INDEX('3.설계사'!$N$4:$N$303,N16))</f>
        <v/>
      </c>
      <c r="J16">
        <f>IF(B16="","",HYPERLINK(INDEX('3.설계사'!$Z$4:$Z$303,N16),"지도"))</f>
        <v/>
      </c>
      <c r="K16">
        <f>IF(B16="","",HYPERLINK(INDEX('3.설계사'!$AA$4:$AA$303,N16),"검색"))</f>
        <v/>
      </c>
      <c r="L16" s="2">
        <f>IF(B16="","",INDEX('3.설계사'!$X$4:$X$303,N16))</f>
        <v/>
      </c>
      <c r="M16" s="2">
        <f>IF(B16="","",INDEX('3.설계사'!$Y$4:$Y$303,N16))</f>
        <v/>
      </c>
      <c r="N16">
        <f>IF(B16="","",MATCH(B16,'3.설계사'!$B$4:$B$303,0))</f>
        <v/>
      </c>
    </row>
    <row r="17">
      <c r="A17">
        <f>IF(B17="","",ROW()-3)</f>
        <v/>
      </c>
      <c r="C17" s="2">
        <f>IF(B17="","",INDEX('3.설계사'!$W$4:$W$303,N17))</f>
        <v/>
      </c>
      <c r="D17">
        <f>IF(B17="","",INDEX('3.설계사'!$K$4:$K$303,N17))</f>
        <v/>
      </c>
      <c r="E17">
        <f>IF(B17="","",INDEX('3.설계사'!$L$4:$L$303,N17))</f>
        <v/>
      </c>
      <c r="F17" s="6">
        <f>IF(B17="","",INDEX('3.설계사'!$H$4:$H$303,N17))</f>
        <v/>
      </c>
      <c r="G17">
        <f>IF(B17="","",INDEX('3.설계사'!$AB$4:$AB$303,N17))</f>
        <v/>
      </c>
      <c r="H17">
        <f>IF(B17="","",INDEX('3.설계사'!$M$4:$M$303,N17))</f>
        <v/>
      </c>
      <c r="I17">
        <f>IF(B17="","",INDEX('3.설계사'!$N$4:$N$303,N17))</f>
        <v/>
      </c>
      <c r="J17">
        <f>IF(B17="","",HYPERLINK(INDEX('3.설계사'!$Z$4:$Z$303,N17),"지도"))</f>
        <v/>
      </c>
      <c r="K17">
        <f>IF(B17="","",HYPERLINK(INDEX('3.설계사'!$AA$4:$AA$303,N17),"검색"))</f>
        <v/>
      </c>
      <c r="L17" s="2">
        <f>IF(B17="","",INDEX('3.설계사'!$X$4:$X$303,N17))</f>
        <v/>
      </c>
      <c r="M17" s="2">
        <f>IF(B17="","",INDEX('3.설계사'!$Y$4:$Y$303,N17))</f>
        <v/>
      </c>
      <c r="N17">
        <f>IF(B17="","",MATCH(B17,'3.설계사'!$B$4:$B$303,0))</f>
        <v/>
      </c>
    </row>
    <row r="18">
      <c r="A18">
        <f>IF(B18="","",ROW()-3)</f>
        <v/>
      </c>
      <c r="C18" s="2">
        <f>IF(B18="","",INDEX('3.설계사'!$W$4:$W$303,N18))</f>
        <v/>
      </c>
      <c r="D18">
        <f>IF(B18="","",INDEX('3.설계사'!$K$4:$K$303,N18))</f>
        <v/>
      </c>
      <c r="E18">
        <f>IF(B18="","",INDEX('3.설계사'!$L$4:$L$303,N18))</f>
        <v/>
      </c>
      <c r="F18" s="6">
        <f>IF(B18="","",INDEX('3.설계사'!$H$4:$H$303,N18))</f>
        <v/>
      </c>
      <c r="G18">
        <f>IF(B18="","",INDEX('3.설계사'!$AB$4:$AB$303,N18))</f>
        <v/>
      </c>
      <c r="H18">
        <f>IF(B18="","",INDEX('3.설계사'!$M$4:$M$303,N18))</f>
        <v/>
      </c>
      <c r="I18">
        <f>IF(B18="","",INDEX('3.설계사'!$N$4:$N$303,N18))</f>
        <v/>
      </c>
      <c r="J18">
        <f>IF(B18="","",HYPERLINK(INDEX('3.설계사'!$Z$4:$Z$303,N18),"지도"))</f>
        <v/>
      </c>
      <c r="K18">
        <f>IF(B18="","",HYPERLINK(INDEX('3.설계사'!$AA$4:$AA$303,N18),"검색"))</f>
        <v/>
      </c>
      <c r="L18" s="2">
        <f>IF(B18="","",INDEX('3.설계사'!$X$4:$X$303,N18))</f>
        <v/>
      </c>
      <c r="M18" s="2">
        <f>IF(B18="","",INDEX('3.설계사'!$Y$4:$Y$303,N18))</f>
        <v/>
      </c>
      <c r="N18">
        <f>IF(B18="","",MATCH(B18,'3.설계사'!$B$4:$B$303,0))</f>
        <v/>
      </c>
    </row>
    <row r="19">
      <c r="A19">
        <f>IF(B19="","",ROW()-3)</f>
        <v/>
      </c>
      <c r="C19" s="2">
        <f>IF(B19="","",INDEX('3.설계사'!$W$4:$W$303,N19))</f>
        <v/>
      </c>
      <c r="D19">
        <f>IF(B19="","",INDEX('3.설계사'!$K$4:$K$303,N19))</f>
        <v/>
      </c>
      <c r="E19">
        <f>IF(B19="","",INDEX('3.설계사'!$L$4:$L$303,N19))</f>
        <v/>
      </c>
      <c r="F19" s="6">
        <f>IF(B19="","",INDEX('3.설계사'!$H$4:$H$303,N19))</f>
        <v/>
      </c>
      <c r="G19">
        <f>IF(B19="","",INDEX('3.설계사'!$AB$4:$AB$303,N19))</f>
        <v/>
      </c>
      <c r="H19">
        <f>IF(B19="","",INDEX('3.설계사'!$M$4:$M$303,N19))</f>
        <v/>
      </c>
      <c r="I19">
        <f>IF(B19="","",INDEX('3.설계사'!$N$4:$N$303,N19))</f>
        <v/>
      </c>
      <c r="J19">
        <f>IF(B19="","",HYPERLINK(INDEX('3.설계사'!$Z$4:$Z$303,N19),"지도"))</f>
        <v/>
      </c>
      <c r="K19">
        <f>IF(B19="","",HYPERLINK(INDEX('3.설계사'!$AA$4:$AA$303,N19),"검색"))</f>
        <v/>
      </c>
      <c r="L19" s="2">
        <f>IF(B19="","",INDEX('3.설계사'!$X$4:$X$303,N19))</f>
        <v/>
      </c>
      <c r="M19" s="2">
        <f>IF(B19="","",INDEX('3.설계사'!$Y$4:$Y$303,N19))</f>
        <v/>
      </c>
      <c r="N19">
        <f>IF(B19="","",MATCH(B19,'3.설계사'!$B$4:$B$303,0))</f>
        <v/>
      </c>
    </row>
    <row r="20">
      <c r="A20">
        <f>IF(B20="","",ROW()-3)</f>
        <v/>
      </c>
      <c r="C20" s="2">
        <f>IF(B20="","",INDEX('3.설계사'!$W$4:$W$303,N20))</f>
        <v/>
      </c>
      <c r="D20">
        <f>IF(B20="","",INDEX('3.설계사'!$K$4:$K$303,N20))</f>
        <v/>
      </c>
      <c r="E20">
        <f>IF(B20="","",INDEX('3.설계사'!$L$4:$L$303,N20))</f>
        <v/>
      </c>
      <c r="F20" s="6">
        <f>IF(B20="","",INDEX('3.설계사'!$H$4:$H$303,N20))</f>
        <v/>
      </c>
      <c r="G20">
        <f>IF(B20="","",INDEX('3.설계사'!$AB$4:$AB$303,N20))</f>
        <v/>
      </c>
      <c r="H20">
        <f>IF(B20="","",INDEX('3.설계사'!$M$4:$M$303,N20))</f>
        <v/>
      </c>
      <c r="I20">
        <f>IF(B20="","",INDEX('3.설계사'!$N$4:$N$303,N20))</f>
        <v/>
      </c>
      <c r="J20">
        <f>IF(B20="","",HYPERLINK(INDEX('3.설계사'!$Z$4:$Z$303,N20),"지도"))</f>
        <v/>
      </c>
      <c r="K20">
        <f>IF(B20="","",HYPERLINK(INDEX('3.설계사'!$AA$4:$AA$303,N20),"검색"))</f>
        <v/>
      </c>
      <c r="L20" s="2">
        <f>IF(B20="","",INDEX('3.설계사'!$X$4:$X$303,N20))</f>
        <v/>
      </c>
      <c r="M20" s="2">
        <f>IF(B20="","",INDEX('3.설계사'!$Y$4:$Y$303,N20))</f>
        <v/>
      </c>
      <c r="N20">
        <f>IF(B20="","",MATCH(B20,'3.설계사'!$B$4:$B$303,0))</f>
        <v/>
      </c>
    </row>
    <row r="21">
      <c r="A21">
        <f>IF(B21="","",ROW()-3)</f>
        <v/>
      </c>
      <c r="C21" s="2">
        <f>IF(B21="","",INDEX('3.설계사'!$W$4:$W$303,N21))</f>
        <v/>
      </c>
      <c r="D21">
        <f>IF(B21="","",INDEX('3.설계사'!$K$4:$K$303,N21))</f>
        <v/>
      </c>
      <c r="E21">
        <f>IF(B21="","",INDEX('3.설계사'!$L$4:$L$303,N21))</f>
        <v/>
      </c>
      <c r="F21" s="6">
        <f>IF(B21="","",INDEX('3.설계사'!$H$4:$H$303,N21))</f>
        <v/>
      </c>
      <c r="G21">
        <f>IF(B21="","",INDEX('3.설계사'!$AB$4:$AB$303,N21))</f>
        <v/>
      </c>
      <c r="H21">
        <f>IF(B21="","",INDEX('3.설계사'!$M$4:$M$303,N21))</f>
        <v/>
      </c>
      <c r="I21">
        <f>IF(B21="","",INDEX('3.설계사'!$N$4:$N$303,N21))</f>
        <v/>
      </c>
      <c r="J21">
        <f>IF(B21="","",HYPERLINK(INDEX('3.설계사'!$Z$4:$Z$303,N21),"지도"))</f>
        <v/>
      </c>
      <c r="K21">
        <f>IF(B21="","",HYPERLINK(INDEX('3.설계사'!$AA$4:$AA$303,N21),"검색"))</f>
        <v/>
      </c>
      <c r="L21" s="2">
        <f>IF(B21="","",INDEX('3.설계사'!$X$4:$X$303,N21))</f>
        <v/>
      </c>
      <c r="M21" s="2">
        <f>IF(B21="","",INDEX('3.설계사'!$Y$4:$Y$303,N21))</f>
        <v/>
      </c>
      <c r="N21">
        <f>IF(B21="","",MATCH(B21,'3.설계사'!$B$4:$B$303,0))</f>
        <v/>
      </c>
    </row>
    <row r="22">
      <c r="A22">
        <f>IF(B22="","",ROW()-3)</f>
        <v/>
      </c>
      <c r="C22" s="2">
        <f>IF(B22="","",INDEX('3.설계사'!$W$4:$W$303,N22))</f>
        <v/>
      </c>
      <c r="D22">
        <f>IF(B22="","",INDEX('3.설계사'!$K$4:$K$303,N22))</f>
        <v/>
      </c>
      <c r="E22">
        <f>IF(B22="","",INDEX('3.설계사'!$L$4:$L$303,N22))</f>
        <v/>
      </c>
      <c r="F22" s="6">
        <f>IF(B22="","",INDEX('3.설계사'!$H$4:$H$303,N22))</f>
        <v/>
      </c>
      <c r="G22">
        <f>IF(B22="","",INDEX('3.설계사'!$AB$4:$AB$303,N22))</f>
        <v/>
      </c>
      <c r="H22">
        <f>IF(B22="","",INDEX('3.설계사'!$M$4:$M$303,N22))</f>
        <v/>
      </c>
      <c r="I22">
        <f>IF(B22="","",INDEX('3.설계사'!$N$4:$N$303,N22))</f>
        <v/>
      </c>
      <c r="J22">
        <f>IF(B22="","",HYPERLINK(INDEX('3.설계사'!$Z$4:$Z$303,N22),"지도"))</f>
        <v/>
      </c>
      <c r="K22">
        <f>IF(B22="","",HYPERLINK(INDEX('3.설계사'!$AA$4:$AA$303,N22),"검색"))</f>
        <v/>
      </c>
      <c r="L22" s="2">
        <f>IF(B22="","",INDEX('3.설계사'!$X$4:$X$303,N22))</f>
        <v/>
      </c>
      <c r="M22" s="2">
        <f>IF(B22="","",INDEX('3.설계사'!$Y$4:$Y$303,N22))</f>
        <v/>
      </c>
      <c r="N22">
        <f>IF(B22="","",MATCH(B22,'3.설계사'!$B$4:$B$303,0))</f>
        <v/>
      </c>
    </row>
    <row r="23">
      <c r="A23">
        <f>IF(B23="","",ROW()-3)</f>
        <v/>
      </c>
      <c r="C23" s="2">
        <f>IF(B23="","",INDEX('3.설계사'!$W$4:$W$303,N23))</f>
        <v/>
      </c>
      <c r="D23">
        <f>IF(B23="","",INDEX('3.설계사'!$K$4:$K$303,N23))</f>
        <v/>
      </c>
      <c r="E23">
        <f>IF(B23="","",INDEX('3.설계사'!$L$4:$L$303,N23))</f>
        <v/>
      </c>
      <c r="F23" s="6">
        <f>IF(B23="","",INDEX('3.설계사'!$H$4:$H$303,N23))</f>
        <v/>
      </c>
      <c r="G23">
        <f>IF(B23="","",INDEX('3.설계사'!$AB$4:$AB$303,N23))</f>
        <v/>
      </c>
      <c r="H23">
        <f>IF(B23="","",INDEX('3.설계사'!$M$4:$M$303,N23))</f>
        <v/>
      </c>
      <c r="I23">
        <f>IF(B23="","",INDEX('3.설계사'!$N$4:$N$303,N23))</f>
        <v/>
      </c>
      <c r="J23">
        <f>IF(B23="","",HYPERLINK(INDEX('3.설계사'!$Z$4:$Z$303,N23),"지도"))</f>
        <v/>
      </c>
      <c r="K23">
        <f>IF(B23="","",HYPERLINK(INDEX('3.설계사'!$AA$4:$AA$303,N23),"검색"))</f>
        <v/>
      </c>
      <c r="L23" s="2">
        <f>IF(B23="","",INDEX('3.설계사'!$X$4:$X$303,N23))</f>
        <v/>
      </c>
      <c r="M23" s="2">
        <f>IF(B23="","",INDEX('3.설계사'!$Y$4:$Y$303,N23))</f>
        <v/>
      </c>
      <c r="N23">
        <f>IF(B23="","",MATCH(B23,'3.설계사'!$B$4:$B$303,0))</f>
        <v/>
      </c>
    </row>
    <row r="24">
      <c r="A24">
        <f>IF(B24="","",ROW()-3)</f>
        <v/>
      </c>
      <c r="C24" s="2">
        <f>IF(B24="","",INDEX('3.설계사'!$W$4:$W$303,N24))</f>
        <v/>
      </c>
      <c r="D24">
        <f>IF(B24="","",INDEX('3.설계사'!$K$4:$K$303,N24))</f>
        <v/>
      </c>
      <c r="E24">
        <f>IF(B24="","",INDEX('3.설계사'!$L$4:$L$303,N24))</f>
        <v/>
      </c>
      <c r="F24" s="6">
        <f>IF(B24="","",INDEX('3.설계사'!$H$4:$H$303,N24))</f>
        <v/>
      </c>
      <c r="G24">
        <f>IF(B24="","",INDEX('3.설계사'!$AB$4:$AB$303,N24))</f>
        <v/>
      </c>
      <c r="H24">
        <f>IF(B24="","",INDEX('3.설계사'!$M$4:$M$303,N24))</f>
        <v/>
      </c>
      <c r="I24">
        <f>IF(B24="","",INDEX('3.설계사'!$N$4:$N$303,N24))</f>
        <v/>
      </c>
      <c r="J24">
        <f>IF(B24="","",HYPERLINK(INDEX('3.설계사'!$Z$4:$Z$303,N24),"지도"))</f>
        <v/>
      </c>
      <c r="K24">
        <f>IF(B24="","",HYPERLINK(INDEX('3.설계사'!$AA$4:$AA$303,N24),"검색"))</f>
        <v/>
      </c>
      <c r="L24" s="2">
        <f>IF(B24="","",INDEX('3.설계사'!$X$4:$X$303,N24))</f>
        <v/>
      </c>
      <c r="M24" s="2">
        <f>IF(B24="","",INDEX('3.설계사'!$Y$4:$Y$303,N24))</f>
        <v/>
      </c>
      <c r="N24">
        <f>IF(B24="","",MATCH(B24,'3.설계사'!$B$4:$B$303,0))</f>
        <v/>
      </c>
    </row>
    <row r="25">
      <c r="A25">
        <f>IF(B25="","",ROW()-3)</f>
        <v/>
      </c>
      <c r="C25" s="2">
        <f>IF(B25="","",INDEX('3.설계사'!$W$4:$W$303,N25))</f>
        <v/>
      </c>
      <c r="D25">
        <f>IF(B25="","",INDEX('3.설계사'!$K$4:$K$303,N25))</f>
        <v/>
      </c>
      <c r="E25">
        <f>IF(B25="","",INDEX('3.설계사'!$L$4:$L$303,N25))</f>
        <v/>
      </c>
      <c r="F25" s="6">
        <f>IF(B25="","",INDEX('3.설계사'!$H$4:$H$303,N25))</f>
        <v/>
      </c>
      <c r="G25">
        <f>IF(B25="","",INDEX('3.설계사'!$AB$4:$AB$303,N25))</f>
        <v/>
      </c>
      <c r="H25">
        <f>IF(B25="","",INDEX('3.설계사'!$M$4:$M$303,N25))</f>
        <v/>
      </c>
      <c r="I25">
        <f>IF(B25="","",INDEX('3.설계사'!$N$4:$N$303,N25))</f>
        <v/>
      </c>
      <c r="J25">
        <f>IF(B25="","",HYPERLINK(INDEX('3.설계사'!$Z$4:$Z$303,N25),"지도"))</f>
        <v/>
      </c>
      <c r="K25">
        <f>IF(B25="","",HYPERLINK(INDEX('3.설계사'!$AA$4:$AA$303,N25),"검색"))</f>
        <v/>
      </c>
      <c r="L25" s="2">
        <f>IF(B25="","",INDEX('3.설계사'!$X$4:$X$303,N25))</f>
        <v/>
      </c>
      <c r="M25" s="2">
        <f>IF(B25="","",INDEX('3.설계사'!$Y$4:$Y$303,N25))</f>
        <v/>
      </c>
      <c r="N25">
        <f>IF(B25="","",MATCH(B25,'3.설계사'!$B$4:$B$303,0))</f>
        <v/>
      </c>
    </row>
    <row r="26">
      <c r="A26">
        <f>IF(B26="","",ROW()-3)</f>
        <v/>
      </c>
      <c r="C26" s="2">
        <f>IF(B26="","",INDEX('3.설계사'!$W$4:$W$303,N26))</f>
        <v/>
      </c>
      <c r="D26">
        <f>IF(B26="","",INDEX('3.설계사'!$K$4:$K$303,N26))</f>
        <v/>
      </c>
      <c r="E26">
        <f>IF(B26="","",INDEX('3.설계사'!$L$4:$L$303,N26))</f>
        <v/>
      </c>
      <c r="F26" s="6">
        <f>IF(B26="","",INDEX('3.설계사'!$H$4:$H$303,N26))</f>
        <v/>
      </c>
      <c r="G26">
        <f>IF(B26="","",INDEX('3.설계사'!$AB$4:$AB$303,N26))</f>
        <v/>
      </c>
      <c r="H26">
        <f>IF(B26="","",INDEX('3.설계사'!$M$4:$M$303,N26))</f>
        <v/>
      </c>
      <c r="I26">
        <f>IF(B26="","",INDEX('3.설계사'!$N$4:$N$303,N26))</f>
        <v/>
      </c>
      <c r="J26">
        <f>IF(B26="","",HYPERLINK(INDEX('3.설계사'!$Z$4:$Z$303,N26),"지도"))</f>
        <v/>
      </c>
      <c r="K26">
        <f>IF(B26="","",HYPERLINK(INDEX('3.설계사'!$AA$4:$AA$303,N26),"검색"))</f>
        <v/>
      </c>
      <c r="L26" s="2">
        <f>IF(B26="","",INDEX('3.설계사'!$X$4:$X$303,N26))</f>
        <v/>
      </c>
      <c r="M26" s="2">
        <f>IF(B26="","",INDEX('3.설계사'!$Y$4:$Y$303,N26))</f>
        <v/>
      </c>
      <c r="N26">
        <f>IF(B26="","",MATCH(B26,'3.설계사'!$B$4:$B$303,0))</f>
        <v/>
      </c>
    </row>
    <row r="27">
      <c r="A27">
        <f>IF(B27="","",ROW()-3)</f>
        <v/>
      </c>
      <c r="C27" s="2">
        <f>IF(B27="","",INDEX('3.설계사'!$W$4:$W$303,N27))</f>
        <v/>
      </c>
      <c r="D27">
        <f>IF(B27="","",INDEX('3.설계사'!$K$4:$K$303,N27))</f>
        <v/>
      </c>
      <c r="E27">
        <f>IF(B27="","",INDEX('3.설계사'!$L$4:$L$303,N27))</f>
        <v/>
      </c>
      <c r="F27" s="6">
        <f>IF(B27="","",INDEX('3.설계사'!$H$4:$H$303,N27))</f>
        <v/>
      </c>
      <c r="G27">
        <f>IF(B27="","",INDEX('3.설계사'!$AB$4:$AB$303,N27))</f>
        <v/>
      </c>
      <c r="H27">
        <f>IF(B27="","",INDEX('3.설계사'!$M$4:$M$303,N27))</f>
        <v/>
      </c>
      <c r="I27">
        <f>IF(B27="","",INDEX('3.설계사'!$N$4:$N$303,N27))</f>
        <v/>
      </c>
      <c r="J27">
        <f>IF(B27="","",HYPERLINK(INDEX('3.설계사'!$Z$4:$Z$303,N27),"지도"))</f>
        <v/>
      </c>
      <c r="K27">
        <f>IF(B27="","",HYPERLINK(INDEX('3.설계사'!$AA$4:$AA$303,N27),"검색"))</f>
        <v/>
      </c>
      <c r="L27" s="2">
        <f>IF(B27="","",INDEX('3.설계사'!$X$4:$X$303,N27))</f>
        <v/>
      </c>
      <c r="M27" s="2">
        <f>IF(B27="","",INDEX('3.설계사'!$Y$4:$Y$303,N27))</f>
        <v/>
      </c>
      <c r="N27">
        <f>IF(B27="","",MATCH(B27,'3.설계사'!$B$4:$B$303,0))</f>
        <v/>
      </c>
    </row>
    <row r="28">
      <c r="A28">
        <f>IF(B28="","",ROW()-3)</f>
        <v/>
      </c>
      <c r="C28" s="2">
        <f>IF(B28="","",INDEX('3.설계사'!$W$4:$W$303,N28))</f>
        <v/>
      </c>
      <c r="D28">
        <f>IF(B28="","",INDEX('3.설계사'!$K$4:$K$303,N28))</f>
        <v/>
      </c>
      <c r="E28">
        <f>IF(B28="","",INDEX('3.설계사'!$L$4:$L$303,N28))</f>
        <v/>
      </c>
      <c r="F28" s="6">
        <f>IF(B28="","",INDEX('3.설계사'!$H$4:$H$303,N28))</f>
        <v/>
      </c>
      <c r="G28">
        <f>IF(B28="","",INDEX('3.설계사'!$AB$4:$AB$303,N28))</f>
        <v/>
      </c>
      <c r="H28">
        <f>IF(B28="","",INDEX('3.설계사'!$M$4:$M$303,N28))</f>
        <v/>
      </c>
      <c r="I28">
        <f>IF(B28="","",INDEX('3.설계사'!$N$4:$N$303,N28))</f>
        <v/>
      </c>
      <c r="J28">
        <f>IF(B28="","",HYPERLINK(INDEX('3.설계사'!$Z$4:$Z$303,N28),"지도"))</f>
        <v/>
      </c>
      <c r="K28">
        <f>IF(B28="","",HYPERLINK(INDEX('3.설계사'!$AA$4:$AA$303,N28),"검색"))</f>
        <v/>
      </c>
      <c r="L28" s="2">
        <f>IF(B28="","",INDEX('3.설계사'!$X$4:$X$303,N28))</f>
        <v/>
      </c>
      <c r="M28" s="2">
        <f>IF(B28="","",INDEX('3.설계사'!$Y$4:$Y$303,N28))</f>
        <v/>
      </c>
      <c r="N28">
        <f>IF(B28="","",MATCH(B28,'3.설계사'!$B$4:$B$303,0))</f>
        <v/>
      </c>
    </row>
    <row r="29">
      <c r="A29">
        <f>IF(B29="","",ROW()-3)</f>
        <v/>
      </c>
      <c r="C29" s="2">
        <f>IF(B29="","",INDEX('3.설계사'!$W$4:$W$303,N29))</f>
        <v/>
      </c>
      <c r="D29">
        <f>IF(B29="","",INDEX('3.설계사'!$K$4:$K$303,N29))</f>
        <v/>
      </c>
      <c r="E29">
        <f>IF(B29="","",INDEX('3.설계사'!$L$4:$L$303,N29))</f>
        <v/>
      </c>
      <c r="F29" s="6">
        <f>IF(B29="","",INDEX('3.설계사'!$H$4:$H$303,N29))</f>
        <v/>
      </c>
      <c r="G29">
        <f>IF(B29="","",INDEX('3.설계사'!$AB$4:$AB$303,N29))</f>
        <v/>
      </c>
      <c r="H29">
        <f>IF(B29="","",INDEX('3.설계사'!$M$4:$M$303,N29))</f>
        <v/>
      </c>
      <c r="I29">
        <f>IF(B29="","",INDEX('3.설계사'!$N$4:$N$303,N29))</f>
        <v/>
      </c>
      <c r="J29">
        <f>IF(B29="","",HYPERLINK(INDEX('3.설계사'!$Z$4:$Z$303,N29),"지도"))</f>
        <v/>
      </c>
      <c r="K29">
        <f>IF(B29="","",HYPERLINK(INDEX('3.설계사'!$AA$4:$AA$303,N29),"검색"))</f>
        <v/>
      </c>
      <c r="L29" s="2">
        <f>IF(B29="","",INDEX('3.설계사'!$X$4:$X$303,N29))</f>
        <v/>
      </c>
      <c r="M29" s="2">
        <f>IF(B29="","",INDEX('3.설계사'!$Y$4:$Y$303,N29))</f>
        <v/>
      </c>
      <c r="N29">
        <f>IF(B29="","",MATCH(B29,'3.설계사'!$B$4:$B$303,0))</f>
        <v/>
      </c>
    </row>
    <row r="30">
      <c r="A30">
        <f>IF(B30="","",ROW()-3)</f>
        <v/>
      </c>
      <c r="C30" s="2">
        <f>IF(B30="","",INDEX('3.설계사'!$W$4:$W$303,N30))</f>
        <v/>
      </c>
      <c r="D30">
        <f>IF(B30="","",INDEX('3.설계사'!$K$4:$K$303,N30))</f>
        <v/>
      </c>
      <c r="E30">
        <f>IF(B30="","",INDEX('3.설계사'!$L$4:$L$303,N30))</f>
        <v/>
      </c>
      <c r="F30" s="6">
        <f>IF(B30="","",INDEX('3.설계사'!$H$4:$H$303,N30))</f>
        <v/>
      </c>
      <c r="G30">
        <f>IF(B30="","",INDEX('3.설계사'!$AB$4:$AB$303,N30))</f>
        <v/>
      </c>
      <c r="H30">
        <f>IF(B30="","",INDEX('3.설계사'!$M$4:$M$303,N30))</f>
        <v/>
      </c>
      <c r="I30">
        <f>IF(B30="","",INDEX('3.설계사'!$N$4:$N$303,N30))</f>
        <v/>
      </c>
      <c r="J30">
        <f>IF(B30="","",HYPERLINK(INDEX('3.설계사'!$Z$4:$Z$303,N30),"지도"))</f>
        <v/>
      </c>
      <c r="K30">
        <f>IF(B30="","",HYPERLINK(INDEX('3.설계사'!$AA$4:$AA$303,N30),"검색"))</f>
        <v/>
      </c>
      <c r="L30" s="2">
        <f>IF(B30="","",INDEX('3.설계사'!$X$4:$X$303,N30))</f>
        <v/>
      </c>
      <c r="M30" s="2">
        <f>IF(B30="","",INDEX('3.설계사'!$Y$4:$Y$303,N30))</f>
        <v/>
      </c>
      <c r="N30">
        <f>IF(B30="","",MATCH(B30,'3.설계사'!$B$4:$B$303,0))</f>
        <v/>
      </c>
    </row>
    <row r="31">
      <c r="A31">
        <f>IF(B31="","",ROW()-3)</f>
        <v/>
      </c>
      <c r="C31" s="2">
        <f>IF(B31="","",INDEX('3.설계사'!$W$4:$W$303,N31))</f>
        <v/>
      </c>
      <c r="D31">
        <f>IF(B31="","",INDEX('3.설계사'!$K$4:$K$303,N31))</f>
        <v/>
      </c>
      <c r="E31">
        <f>IF(B31="","",INDEX('3.설계사'!$L$4:$L$303,N31))</f>
        <v/>
      </c>
      <c r="F31" s="6">
        <f>IF(B31="","",INDEX('3.설계사'!$H$4:$H$303,N31))</f>
        <v/>
      </c>
      <c r="G31">
        <f>IF(B31="","",INDEX('3.설계사'!$AB$4:$AB$303,N31))</f>
        <v/>
      </c>
      <c r="H31">
        <f>IF(B31="","",INDEX('3.설계사'!$M$4:$M$303,N31))</f>
        <v/>
      </c>
      <c r="I31">
        <f>IF(B31="","",INDEX('3.설계사'!$N$4:$N$303,N31))</f>
        <v/>
      </c>
      <c r="J31">
        <f>IF(B31="","",HYPERLINK(INDEX('3.설계사'!$Z$4:$Z$303,N31),"지도"))</f>
        <v/>
      </c>
      <c r="K31">
        <f>IF(B31="","",HYPERLINK(INDEX('3.설계사'!$AA$4:$AA$303,N31),"검색"))</f>
        <v/>
      </c>
      <c r="L31" s="2">
        <f>IF(B31="","",INDEX('3.설계사'!$X$4:$X$303,N31))</f>
        <v/>
      </c>
      <c r="M31" s="2">
        <f>IF(B31="","",INDEX('3.설계사'!$Y$4:$Y$303,N31))</f>
        <v/>
      </c>
      <c r="N31">
        <f>IF(B31="","",MATCH(B31,'3.설계사'!$B$4:$B$303,0))</f>
        <v/>
      </c>
    </row>
    <row r="32">
      <c r="A32">
        <f>IF(B32="","",ROW()-3)</f>
        <v/>
      </c>
      <c r="C32" s="2">
        <f>IF(B32="","",INDEX('3.설계사'!$W$4:$W$303,N32))</f>
        <v/>
      </c>
      <c r="D32">
        <f>IF(B32="","",INDEX('3.설계사'!$K$4:$K$303,N32))</f>
        <v/>
      </c>
      <c r="E32">
        <f>IF(B32="","",INDEX('3.설계사'!$L$4:$L$303,N32))</f>
        <v/>
      </c>
      <c r="F32" s="6">
        <f>IF(B32="","",INDEX('3.설계사'!$H$4:$H$303,N32))</f>
        <v/>
      </c>
      <c r="G32">
        <f>IF(B32="","",INDEX('3.설계사'!$AB$4:$AB$303,N32))</f>
        <v/>
      </c>
      <c r="H32">
        <f>IF(B32="","",INDEX('3.설계사'!$M$4:$M$303,N32))</f>
        <v/>
      </c>
      <c r="I32">
        <f>IF(B32="","",INDEX('3.설계사'!$N$4:$N$303,N32))</f>
        <v/>
      </c>
      <c r="J32">
        <f>IF(B32="","",HYPERLINK(INDEX('3.설계사'!$Z$4:$Z$303,N32),"지도"))</f>
        <v/>
      </c>
      <c r="K32">
        <f>IF(B32="","",HYPERLINK(INDEX('3.설계사'!$AA$4:$AA$303,N32),"검색"))</f>
        <v/>
      </c>
      <c r="L32" s="2">
        <f>IF(B32="","",INDEX('3.설계사'!$X$4:$X$303,N32))</f>
        <v/>
      </c>
      <c r="M32" s="2">
        <f>IF(B32="","",INDEX('3.설계사'!$Y$4:$Y$303,N32))</f>
        <v/>
      </c>
      <c r="N32">
        <f>IF(B32="","",MATCH(B32,'3.설계사'!$B$4:$B$303,0))</f>
        <v/>
      </c>
    </row>
    <row r="33">
      <c r="A33">
        <f>IF(B33="","",ROW()-3)</f>
        <v/>
      </c>
      <c r="C33" s="2">
        <f>IF(B33="","",INDEX('3.설계사'!$W$4:$W$303,N33))</f>
        <v/>
      </c>
      <c r="D33">
        <f>IF(B33="","",INDEX('3.설계사'!$K$4:$K$303,N33))</f>
        <v/>
      </c>
      <c r="E33">
        <f>IF(B33="","",INDEX('3.설계사'!$L$4:$L$303,N33))</f>
        <v/>
      </c>
      <c r="F33" s="6">
        <f>IF(B33="","",INDEX('3.설계사'!$H$4:$H$303,N33))</f>
        <v/>
      </c>
      <c r="G33">
        <f>IF(B33="","",INDEX('3.설계사'!$AB$4:$AB$303,N33))</f>
        <v/>
      </c>
      <c r="H33">
        <f>IF(B33="","",INDEX('3.설계사'!$M$4:$M$303,N33))</f>
        <v/>
      </c>
      <c r="I33">
        <f>IF(B33="","",INDEX('3.설계사'!$N$4:$N$303,N33))</f>
        <v/>
      </c>
      <c r="J33">
        <f>IF(B33="","",HYPERLINK(INDEX('3.설계사'!$Z$4:$Z$303,N33),"지도"))</f>
        <v/>
      </c>
      <c r="K33">
        <f>IF(B33="","",HYPERLINK(INDEX('3.설계사'!$AA$4:$AA$303,N33),"검색"))</f>
        <v/>
      </c>
      <c r="L33" s="2">
        <f>IF(B33="","",INDEX('3.설계사'!$X$4:$X$303,N33))</f>
        <v/>
      </c>
      <c r="M33" s="2">
        <f>IF(B33="","",INDEX('3.설계사'!$Y$4:$Y$303,N33))</f>
        <v/>
      </c>
      <c r="N33">
        <f>IF(B33="","",MATCH(B33,'3.설계사'!$B$4:$B$303,0))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6" customWidth="1" min="4" max="4"/>
    <col width="6" customWidth="1" min="5" max="5"/>
    <col width="12" customWidth="1" min="6" max="6"/>
    <col width="12" customWidth="1" min="7" max="7"/>
    <col width="22" customWidth="1" min="8" max="8"/>
    <col width="14" customWidth="1" min="9" max="9"/>
    <col width="10" customWidth="1" min="10" max="10"/>
    <col width="6" customWidth="1" min="11" max="11"/>
    <col width="9" customWidth="1" min="12" max="12"/>
    <col width="14" customWidth="1" min="13" max="13"/>
  </cols>
  <sheetData>
    <row r="1">
      <c r="A1" s="4" t="inlineStr">
        <is>
          <t>No</t>
        </is>
      </c>
      <c r="B1" s="4" t="inlineStr">
        <is>
          <t>현장명</t>
        </is>
      </c>
      <c r="C1" s="4" t="inlineStr">
        <is>
          <t>소재지</t>
        </is>
      </c>
      <c r="D1" s="4" t="inlineStr">
        <is>
          <t>공종</t>
        </is>
      </c>
      <c r="E1" s="4" t="inlineStr">
        <is>
          <t>단계</t>
        </is>
      </c>
      <c r="F1" s="4" t="inlineStr">
        <is>
          <t>날짜1(추정:허가일)</t>
        </is>
      </c>
      <c r="G1" s="4" t="inlineStr">
        <is>
          <t>날짜2(추정:착공일)</t>
        </is>
      </c>
      <c r="H1" s="4" t="inlineStr">
        <is>
          <t>건축설계</t>
        </is>
      </c>
      <c r="I1" s="4" t="inlineStr">
        <is>
          <t>열J(미확인)</t>
        </is>
      </c>
      <c r="J1" s="4" t="inlineStr">
        <is>
          <t>용도</t>
        </is>
      </c>
      <c r="K1" s="4" t="inlineStr">
        <is>
          <t>구분</t>
        </is>
      </c>
      <c r="L1" s="4" t="inlineStr">
        <is>
          <t>연면적㎡</t>
        </is>
      </c>
      <c r="M1" s="4" t="inlineStr">
        <is>
          <t>구조</t>
        </is>
      </c>
    </row>
    <row r="2">
      <c r="A2" t="n">
        <v>1</v>
      </c>
      <c r="B2" t="inlineStr">
        <is>
          <t>길상면 선두리 976-7 생활숙박시설</t>
        </is>
      </c>
      <c r="C2" t="inlineStr">
        <is>
          <t>인천광역시 강화군 길상면 선두리 976-7</t>
        </is>
      </c>
      <c r="D2" t="inlineStr">
        <is>
          <t>건축</t>
        </is>
      </c>
      <c r="E2" t="inlineStr">
        <is>
          <t>착공</t>
        </is>
      </c>
      <c r="F2" t="inlineStr">
        <is>
          <t>2026-06-23</t>
        </is>
      </c>
      <c r="G2" t="inlineStr">
        <is>
          <t>2026-07-02</t>
        </is>
      </c>
      <c r="H2" t="inlineStr"/>
      <c r="I2" t="inlineStr"/>
      <c r="J2" t="inlineStr">
        <is>
          <t>숙박시설</t>
        </is>
      </c>
      <c r="K2" t="inlineStr">
        <is>
          <t>신축</t>
        </is>
      </c>
      <c r="L2" t="n">
        <v>460</v>
      </c>
      <c r="M2" t="inlineStr">
        <is>
          <t>경량철골구조</t>
        </is>
      </c>
    </row>
    <row r="3">
      <c r="A3" t="n">
        <v>2</v>
      </c>
      <c r="B3" t="inlineStr">
        <is>
          <t>범방동 1898-7 생활숙박시설</t>
        </is>
      </c>
      <c r="C3" t="inlineStr">
        <is>
          <t>부산광역시 강서구 범방동 1898-7번지</t>
        </is>
      </c>
      <c r="D3" t="inlineStr">
        <is>
          <t>건축</t>
        </is>
      </c>
      <c r="E3" t="inlineStr">
        <is>
          <t>착공</t>
        </is>
      </c>
      <c r="F3" t="inlineStr">
        <is>
          <t>2022-04-15</t>
        </is>
      </c>
      <c r="G3" t="inlineStr">
        <is>
          <t>2025-10-31</t>
        </is>
      </c>
      <c r="H3" t="inlineStr"/>
      <c r="I3" t="inlineStr"/>
      <c r="J3" t="inlineStr">
        <is>
          <t>숙박시설</t>
        </is>
      </c>
      <c r="K3" t="inlineStr">
        <is>
          <t>신축</t>
        </is>
      </c>
      <c r="L3" t="n">
        <v>22409</v>
      </c>
      <c r="M3" t="inlineStr"/>
    </row>
    <row r="4">
      <c r="A4" t="n">
        <v>3</v>
      </c>
      <c r="B4" t="inlineStr">
        <is>
          <t>대소면 성본리 115-5 숙박시설</t>
        </is>
      </c>
      <c r="C4" t="inlineStr">
        <is>
          <t>충청북도 음성군 대소면 성본리 산115-5</t>
        </is>
      </c>
      <c r="D4" t="inlineStr">
        <is>
          <t>건축</t>
        </is>
      </c>
      <c r="E4" t="inlineStr">
        <is>
          <t>착공</t>
        </is>
      </c>
      <c r="F4" t="inlineStr">
        <is>
          <t>2023-09-14</t>
        </is>
      </c>
      <c r="G4" t="inlineStr">
        <is>
          <t>2026-09-14</t>
        </is>
      </c>
      <c r="H4" t="inlineStr">
        <is>
          <t>태건축사사무소</t>
        </is>
      </c>
      <c r="I4" t="inlineStr"/>
      <c r="J4" t="inlineStr">
        <is>
          <t>숙박시설</t>
        </is>
      </c>
      <c r="K4" t="inlineStr">
        <is>
          <t>신축</t>
        </is>
      </c>
      <c r="L4" t="n">
        <v>2596</v>
      </c>
      <c r="M4" t="inlineStr">
        <is>
          <t>철근콘크리트구조</t>
        </is>
      </c>
    </row>
    <row r="5">
      <c r="A5" t="n">
        <v>4</v>
      </c>
      <c r="B5" t="inlineStr">
        <is>
          <t>조양동 1558-3 생활숙박시설</t>
        </is>
      </c>
      <c r="C5" t="inlineStr">
        <is>
          <t>강원특별자치도 속초시 조양동 1558-3번지</t>
        </is>
      </c>
      <c r="D5" t="inlineStr">
        <is>
          <t>건축</t>
        </is>
      </c>
      <c r="E5" t="inlineStr">
        <is>
          <t>착공</t>
        </is>
      </c>
      <c r="F5" t="inlineStr">
        <is>
          <t>2023-09-27</t>
        </is>
      </c>
      <c r="G5" t="inlineStr">
        <is>
          <t>2026-09-14</t>
        </is>
      </c>
      <c r="H5" t="inlineStr">
        <is>
          <t>(주)파인드건축사사무소</t>
        </is>
      </c>
      <c r="I5" t="inlineStr"/>
      <c r="J5" t="inlineStr">
        <is>
          <t>숙박시설</t>
        </is>
      </c>
      <c r="K5" t="inlineStr">
        <is>
          <t>신축</t>
        </is>
      </c>
      <c r="L5" t="n">
        <v>14868</v>
      </c>
      <c r="M5" t="inlineStr">
        <is>
          <t>철근콘크리트구조</t>
        </is>
      </c>
    </row>
    <row r="6">
      <c r="A6" t="n">
        <v>5</v>
      </c>
      <c r="B6" t="inlineStr">
        <is>
          <t>명동2가 95-1 생활숙박시설 신축공사</t>
        </is>
      </c>
      <c r="C6" t="inlineStr">
        <is>
          <t>서울특별시 중구 남대문로 64 (명동2가)</t>
        </is>
      </c>
      <c r="D6" t="inlineStr">
        <is>
          <t>건축</t>
        </is>
      </c>
      <c r="E6" t="inlineStr">
        <is>
          <t>착공</t>
        </is>
      </c>
      <c r="F6" t="inlineStr">
        <is>
          <t>2023-08-18</t>
        </is>
      </c>
      <c r="G6" t="inlineStr">
        <is>
          <t>2026-08-17</t>
        </is>
      </c>
      <c r="H6" t="inlineStr">
        <is>
          <t>(주)야촌건축사사무소</t>
        </is>
      </c>
      <c r="I6" t="inlineStr">
        <is>
          <t>(주)시경개발</t>
        </is>
      </c>
      <c r="J6" t="inlineStr">
        <is>
          <t>숙박시설</t>
        </is>
      </c>
      <c r="K6" t="inlineStr">
        <is>
          <t>신축</t>
        </is>
      </c>
      <c r="L6" t="n">
        <v>6095</v>
      </c>
      <c r="M6" t="inlineStr">
        <is>
          <t>철근콘크리트구조</t>
        </is>
      </c>
    </row>
    <row r="7">
      <c r="A7" t="n">
        <v>6</v>
      </c>
      <c r="B7" t="inlineStr">
        <is>
          <t>부산시 중구 남포동3가 생활형숙박시설</t>
        </is>
      </c>
      <c r="C7" t="inlineStr">
        <is>
          <t>부산광역시 중구 남포길 16 (남포동3가)</t>
        </is>
      </c>
      <c r="D7" t="inlineStr">
        <is>
          <t>건축</t>
        </is>
      </c>
      <c r="E7" t="inlineStr">
        <is>
          <t>착공</t>
        </is>
      </c>
      <c r="F7" t="inlineStr">
        <is>
          <t>2023-07-31</t>
        </is>
      </c>
      <c r="G7" t="inlineStr">
        <is>
          <t>2026-07-31</t>
        </is>
      </c>
      <c r="H7" t="inlineStr">
        <is>
          <t>(주)상지이앤에이건축…</t>
        </is>
      </c>
      <c r="I7" t="inlineStr">
        <is>
          <t>(주)평광이앤씨</t>
        </is>
      </c>
      <c r="J7" t="inlineStr">
        <is>
          <t>숙박시설</t>
        </is>
      </c>
      <c r="K7" t="inlineStr">
        <is>
          <t>신축</t>
        </is>
      </c>
      <c r="L7" t="n">
        <v>14453</v>
      </c>
      <c r="M7" t="inlineStr">
        <is>
          <t>철근콘크리트구조</t>
        </is>
      </c>
    </row>
    <row r="8">
      <c r="A8" t="n">
        <v>7</v>
      </c>
      <c r="B8" t="inlineStr">
        <is>
          <t>와룡동 37 관광숙박시설</t>
        </is>
      </c>
      <c r="C8" t="inlineStr">
        <is>
          <t>서울특별시 종로구 와룡동 37번지</t>
        </is>
      </c>
      <c r="D8" t="inlineStr">
        <is>
          <t>건축</t>
        </is>
      </c>
      <c r="E8" t="inlineStr">
        <is>
          <t>착공</t>
        </is>
      </c>
      <c r="F8" t="inlineStr">
        <is>
          <t>2026-04-01</t>
        </is>
      </c>
      <c r="G8" t="inlineStr">
        <is>
          <t>2026-07-30</t>
        </is>
      </c>
      <c r="H8" t="inlineStr">
        <is>
          <t>오파드건축연구소</t>
        </is>
      </c>
      <c r="I8" t="inlineStr"/>
      <c r="J8" t="inlineStr">
        <is>
          <t>숙박시설</t>
        </is>
      </c>
      <c r="K8" t="inlineStr">
        <is>
          <t>신축</t>
        </is>
      </c>
      <c r="L8" t="n">
        <v>301</v>
      </c>
      <c r="M8" t="inlineStr">
        <is>
          <t>철근콘크리트구조</t>
        </is>
      </c>
    </row>
    <row r="9">
      <c r="A9" t="n">
        <v>8</v>
      </c>
      <c r="B9" t="inlineStr">
        <is>
          <t>경서동 경서3구역 11블록 2로트 숙박시설</t>
        </is>
      </c>
      <c r="C9" t="inlineStr">
        <is>
          <t>인천광역시 서구 경서동 블록</t>
        </is>
      </c>
      <c r="D9" t="inlineStr">
        <is>
          <t>건축</t>
        </is>
      </c>
      <c r="E9" t="inlineStr">
        <is>
          <t>착공</t>
        </is>
      </c>
      <c r="F9" t="inlineStr">
        <is>
          <t>2022-07-20</t>
        </is>
      </c>
      <c r="G9" t="inlineStr">
        <is>
          <t>2026-07-23</t>
        </is>
      </c>
      <c r="H9" t="inlineStr">
        <is>
          <t>건축사무소 고강</t>
        </is>
      </c>
      <c r="I9" t="inlineStr"/>
      <c r="J9" t="inlineStr">
        <is>
          <t>숙박시설</t>
        </is>
      </c>
      <c r="K9" t="inlineStr">
        <is>
          <t>신축</t>
        </is>
      </c>
      <c r="L9" t="n">
        <v>1995</v>
      </c>
      <c r="M9" t="inlineStr">
        <is>
          <t>철근콘크리트구조</t>
        </is>
      </c>
    </row>
    <row r="10">
      <c r="A10" t="n">
        <v>9</v>
      </c>
      <c r="B10" t="inlineStr">
        <is>
          <t>종로5가 193-17,3번지 관광숙박시설</t>
        </is>
      </c>
      <c r="C10" t="inlineStr">
        <is>
          <t>서울특별시 종로구 종로 228 (종로5가)</t>
        </is>
      </c>
      <c r="D10" t="inlineStr">
        <is>
          <t>건축</t>
        </is>
      </c>
      <c r="E10" t="inlineStr">
        <is>
          <t>착공</t>
        </is>
      </c>
      <c r="F10" t="inlineStr">
        <is>
          <t>2026-01-29</t>
        </is>
      </c>
      <c r="G10" t="inlineStr">
        <is>
          <t>2026-07-15</t>
        </is>
      </c>
      <c r="H10" t="inlineStr">
        <is>
          <t>(주)아이디어키텍…</t>
        </is>
      </c>
      <c r="I10" t="inlineStr">
        <is>
          <t>태재연구재단</t>
        </is>
      </c>
      <c r="J10" t="inlineStr">
        <is>
          <t>숙박시설</t>
        </is>
      </c>
      <c r="K10" t="inlineStr">
        <is>
          <t>신축</t>
        </is>
      </c>
      <c r="L10" t="n">
        <v>4482</v>
      </c>
      <c r="M10" t="inlineStr">
        <is>
          <t>철근콘크리트구조</t>
        </is>
      </c>
    </row>
    <row r="11">
      <c r="A11" t="n">
        <v>10</v>
      </c>
      <c r="B11" t="inlineStr">
        <is>
          <t>부전동 숙박시설</t>
        </is>
      </c>
      <c r="C11" t="inlineStr">
        <is>
          <t>부산광역시 부산진구 중앙대로680번가길</t>
        </is>
      </c>
      <c r="D11" t="inlineStr">
        <is>
          <t>건축</t>
        </is>
      </c>
      <c r="E11" t="inlineStr">
        <is>
          <t>착공</t>
        </is>
      </c>
      <c r="F11" t="inlineStr">
        <is>
          <t>2025-10-20</t>
        </is>
      </c>
      <c r="G11" t="inlineStr">
        <is>
          <t>2026-07-06</t>
        </is>
      </c>
      <c r="H11" t="inlineStr">
        <is>
          <t>이진건축사사무소</t>
        </is>
      </c>
      <c r="I11" t="inlineStr"/>
      <c r="J11" t="inlineStr">
        <is>
          <t>숙박시설</t>
        </is>
      </c>
      <c r="K11" t="inlineStr">
        <is>
          <t>신축</t>
        </is>
      </c>
      <c r="L11" t="n">
        <v>2000</v>
      </c>
      <c r="M11" t="inlineStr">
        <is>
          <t>철근콘크리트구조</t>
        </is>
      </c>
    </row>
    <row r="12">
      <c r="A12" t="n">
        <v>11</v>
      </c>
      <c r="B12" t="inlineStr">
        <is>
          <t>서면 중방대리 106 일반숙박시설</t>
        </is>
      </c>
      <c r="C12" t="inlineStr">
        <is>
          <t>강원특별자치도 홍천군 서면 고두개길 112</t>
        </is>
      </c>
      <c r="D12" t="inlineStr">
        <is>
          <t>건축</t>
        </is>
      </c>
      <c r="E12" t="inlineStr">
        <is>
          <t>착공</t>
        </is>
      </c>
      <c r="F12" t="inlineStr">
        <is>
          <t>2024-08-08</t>
        </is>
      </c>
      <c r="G12" t="inlineStr">
        <is>
          <t>2026-06-30</t>
        </is>
      </c>
      <c r="H12" t="inlineStr">
        <is>
          <t>(주)세움건축사사무소</t>
        </is>
      </c>
      <c r="I12" t="inlineStr"/>
      <c r="J12" t="inlineStr">
        <is>
          <t>숙박시설</t>
        </is>
      </c>
      <c r="K12" t="inlineStr">
        <is>
          <t>신축</t>
        </is>
      </c>
      <c r="L12" t="n">
        <v>97</v>
      </c>
      <c r="M12" t="inlineStr">
        <is>
          <t>일반목구조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7" customWidth="1" min="3" max="3"/>
    <col width="7" customWidth="1" min="4" max="4"/>
    <col width="7" customWidth="1" min="5" max="5"/>
    <col width="6" customWidth="1" min="6" max="6"/>
    <col width="7" customWidth="1" min="7" max="7"/>
    <col width="10" customWidth="1" min="8" max="8"/>
    <col width="11" customWidth="1" min="9" max="9"/>
    <col width="11" customWidth="1" min="10" max="10"/>
    <col width="26" customWidth="1" min="11" max="11"/>
    <col width="14" customWidth="1" min="12" max="12"/>
    <col width="10" customWidth="1" min="13" max="13"/>
    <col width="14" customWidth="1" min="14" max="14"/>
    <col width="11" customWidth="1" min="15" max="15"/>
    <col width="6" customWidth="1" min="16" max="16"/>
    <col width="11" customWidth="1" min="17" max="17"/>
    <col width="12" customWidth="1" min="18" max="18"/>
    <col width="10" customWidth="1" min="19" max="19"/>
    <col width="8" customWidth="1" min="20" max="20"/>
    <col width="30" customWidth="1" min="21" max="21"/>
    <col width="8" customWidth="1" min="22" max="22"/>
    <col width="30" customWidth="1" min="23" max="23"/>
    <col width="30" customWidth="1" min="24" max="24"/>
    <col width="40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설계사무소별 모음 (자동) — 산군 대상 현장을 설계사무소 이름으로 묶음</t>
        </is>
      </c>
    </row>
    <row r="2">
      <c r="A2">
        <f>"설계사무소 "&amp;COUNTIF(B4:B303,"?*")&amp;"곳 · 대상 현장 "&amp;COUNTIF('2.현장'!$T$2:$T$1001,TRUE)&amp;"건 · ★ "&amp;COUNTIF('2.현장'!$AA$2:$AA$1001,"★")&amp;"건"</f>
        <v/>
      </c>
    </row>
    <row r="3">
      <c r="A3" s="3" t="inlineStr">
        <is>
          <t>번호</t>
        </is>
      </c>
      <c r="B3" s="3" t="inlineStr">
        <is>
          <t>설계사무소</t>
        </is>
      </c>
      <c r="C3" s="3" t="inlineStr">
        <is>
          <t>대상 현장</t>
        </is>
      </c>
      <c r="D3" s="3" t="inlineStr">
        <is>
          <t>설계단계</t>
        </is>
      </c>
      <c r="E3" s="3" t="inlineStr">
        <is>
          <t>시공단계</t>
        </is>
      </c>
      <c r="F3" s="3" t="inlineStr">
        <is>
          <t>★ 수</t>
        </is>
      </c>
      <c r="G3" s="3" t="inlineStr">
        <is>
          <t>현장점수</t>
        </is>
      </c>
      <c r="H3" s="3" t="inlineStr">
        <is>
          <t>최대 연면적</t>
        </is>
      </c>
      <c r="I3" s="3" t="inlineStr">
        <is>
          <t>최근 허가일</t>
        </is>
      </c>
      <c r="J3" s="3" t="inlineStr">
        <is>
          <t>최근 착공일</t>
        </is>
      </c>
      <c r="K3" s="3" t="inlineStr">
        <is>
          <t>대표 현장</t>
        </is>
      </c>
      <c r="L3" s="3" t="inlineStr">
        <is>
          <t>지역</t>
        </is>
      </c>
      <c r="M3" s="3" t="inlineStr">
        <is>
          <t>담당자</t>
        </is>
      </c>
      <c r="N3" s="3" t="inlineStr">
        <is>
          <t>전화</t>
        </is>
      </c>
      <c r="O3" s="3" t="inlineStr">
        <is>
          <t>마지막 방문</t>
        </is>
      </c>
      <c r="P3" s="3" t="inlineStr">
        <is>
          <t>경과일</t>
        </is>
      </c>
      <c r="Q3" s="3" t="inlineStr">
        <is>
          <t>다음 약속</t>
        </is>
      </c>
      <c r="R3" s="3" t="inlineStr">
        <is>
          <t>최근 결과</t>
        </is>
      </c>
      <c r="S3" s="3" t="inlineStr">
        <is>
          <t>상태</t>
        </is>
      </c>
      <c r="T3" s="3" t="inlineStr">
        <is>
          <t>우선점수</t>
        </is>
      </c>
      <c r="U3" s="3" t="inlineStr">
        <is>
          <t>대표 주소</t>
        </is>
      </c>
      <c r="V3" s="3" t="inlineStr">
        <is>
          <t>전화 확신도</t>
        </is>
      </c>
      <c r="W3" s="3" t="inlineStr">
        <is>
          <t>왜 가야 하나</t>
        </is>
      </c>
      <c r="X3" s="3" t="inlineStr">
        <is>
          <t>확인할 것</t>
        </is>
      </c>
      <c r="Y3" s="3" t="inlineStr">
        <is>
          <t>전화 첫마디</t>
        </is>
      </c>
      <c r="Z3" s="3" t="inlineStr">
        <is>
          <t>지도 주소</t>
        </is>
      </c>
      <c r="AA3" s="3" t="inlineStr">
        <is>
          <t>검색 주소</t>
        </is>
      </c>
      <c r="AB3" s="3" t="inlineStr">
        <is>
          <t>객실 수(조사)</t>
        </is>
      </c>
    </row>
    <row r="4">
      <c r="A4" s="5">
        <f>MAP(B4:B303,SEQUENCE(300),LAMBDA(x_n,x_i,IF(x_n="","",x_i)))</f>
        <v/>
      </c>
      <c r="B4" s="5">
        <f>IFERROR(UNIQUE(FILTER('2.현장'!$V$2:$V$1001,'2.현장'!$T$2:$T$1001=TRUE,'2.현장'!$V$2:$V$1001&lt;&gt;"")),"")</f>
        <v/>
      </c>
      <c r="C4" s="5">
        <f>MAP(B4:B303,LAMBDA(x_n,IF(x_n="","",COUNTIFS('2.현장'!$V$2:$V$1001,x_n,'2.현장'!$T$2:$T$1001,TRUE))))</f>
        <v/>
      </c>
      <c r="D4" s="5">
        <f>MAP(B4:B303,LAMBDA(x_n,IF(x_n="","",COUNTIFS('2.현장'!$V$2:$V$1001,x_n,'2.현장'!$U$2:$U$1001,"설계사"))))</f>
        <v/>
      </c>
      <c r="E4" s="5">
        <f>MAP(B4:B303,LAMBDA(x_n,IF(x_n="","",COUNTIFS('2.현장'!$V$2:$V$1001,x_n,'2.현장'!$U$2:$U$1001,"시공사"))))</f>
        <v/>
      </c>
      <c r="F4" s="5">
        <f>MAP(B4:B303,LAMBDA(x_n,IF(x_n="","",COUNTIFS('2.현장'!$V$2:$V$1001,x_n,'2.현장'!$T$2:$T$1001,TRUE,'2.현장'!$AA$2:$AA$1001,"★"))))</f>
        <v/>
      </c>
      <c r="G4" s="5">
        <f>MAP(B4:B303,LAMBDA(x_n,IF(x_n="","",SUMIFS('2.현장'!$AB$2:$AB$1001,'2.현장'!$V$2:$V$1001,x_n,'2.현장'!$T$2:$T$1001,TRUE))))</f>
        <v/>
      </c>
      <c r="H4" s="7">
        <f>MAP(B4:B303,LAMBDA(x_n,IF(x_n="","",MAXIFS('2.현장'!$D$2:$D$1001,'2.현장'!$V$2:$V$1001,x_n,'2.현장'!$T$2:$T$1001,TRUE))))</f>
        <v/>
      </c>
      <c r="I4" s="8">
        <f>MAP(B4:B303,LAMBDA(x_n,IF(x_n="","",IF(MAXIFS('2.현장'!$L$2:$L$1001,'2.현장'!$V$2:$V$1001,x_n,'2.현장'!$T$2:$T$1001,TRUE)=0,"",MAXIFS('2.현장'!$L$2:$L$1001,'2.현장'!$V$2:$V$1001,x_n,'2.현장'!$T$2:$T$1001,TRUE)))))</f>
        <v/>
      </c>
      <c r="J4" s="8">
        <f>MAP(B4:B303,LAMBDA(x_n,IF(x_n="","",IF(MAXIFS('2.현장'!$M$2:$M$1001,'2.현장'!$V$2:$V$1001,x_n,'2.현장'!$T$2:$T$1001,TRUE)=0,"",MAXIFS('2.현장'!$M$2:$M$1001,'2.현장'!$V$2:$V$1001,x_n,'2.현장'!$T$2:$T$1001,TRUE)))))</f>
        <v/>
      </c>
      <c r="K4" s="5">
        <f>MAP(B4:B303,LAMBDA(x_n,IF(x_n="","",IFERROR(INDEX('2.현장'!$C$2:$C$1001,IFERROR(MATCH(x_n&amp;"|설계사",'2.현장'!$Z$2:$Z$1001,0),IFERROR(MATCH(x_n&amp;"|시공사",'2.현장'!$Z$2:$Z$1001,0),MATCH(x_n&amp;"|늦음",'2.현장'!$Z$2:$Z$1001,0)))),""))))</f>
        <v/>
      </c>
      <c r="L4" s="5">
        <f>MAP(B4:B303,LAMBDA(x_n,IF(x_n="","",IFERROR(INDEX('2.현장'!$N$2:$N$1001,IFERROR(MATCH(x_n&amp;"|설계사",'2.현장'!$Z$2:$Z$1001,0),IFERROR(MATCH(x_n&amp;"|시공사",'2.현장'!$Z$2:$Z$1001,0),MATCH(x_n&amp;"|늦음",'2.현장'!$Z$2:$Z$1001,0)))),""))))</f>
        <v/>
      </c>
      <c r="M4" s="5">
        <f>MAP(B4:B303,LAMBDA(x_n,IF(x_n="","",IFERROR(VLOOKUP(x_n,업체_메모!$A$3:$I$302,2,FALSE)&amp;"",""))))</f>
        <v/>
      </c>
      <c r="N4" s="5">
        <f>MAP(B4:B303,LAMBDA(x_n,IF(x_n="","",IFERROR(VLOOKUP(x_n,업체_메모!$A$3:$I$302,4,FALSE)&amp;"",""))))</f>
        <v/>
      </c>
      <c r="O4" s="8">
        <f>MAP(B4:B303,LAMBDA(x_n,IF(x_n="","",IF(COUNTIF('4.방문기록'!$B$3:$B$502,x_n)=0,"",MAXIFS('4.방문기록'!$A$3:$A$502,'4.방문기록'!$B$3:$B$502,x_n)))))</f>
        <v/>
      </c>
      <c r="P4" s="5">
        <f>MAP(O4:O303,LAMBDA(x_o,IF(x_o="","",설정!$B$24-x_o)))</f>
        <v/>
      </c>
      <c r="Q4" s="8">
        <f>MAP(B4:B303,LAMBDA(x_n,IF(x_n="","",IF(MAXIFS('4.방문기록'!$F$3:$F$502,'4.방문기록'!$B$3:$B$502,x_n)=0,"",MAXIFS('4.방문기록'!$F$3:$F$502,'4.방문기록'!$B$3:$B$502,x_n)))))</f>
        <v/>
      </c>
      <c r="R4" s="5">
        <f>MAP(B4:B303,O4:O303,LAMBDA(x_n,x_o,IF(x_o="","",IFERROR(INDEX('4.방문기록'!$H$3:$H$502,MATCH(x_n&amp;"|"&amp;(x_o*1),'4.방문기록'!$I$3:$I$502,0))&amp;"",""))))</f>
        <v/>
      </c>
      <c r="S4" s="5">
        <f>MAP(B4:B303,O4:O303,P4:P303,R4:R303,LAMBDA(x_n,x_o,x_p,x_rr,IF(x_n="","",IF(x_rr="관심 없음","제외",IF(x_o="","안 가봄",IF(x_p&gt;=설정!$B$20,x_p&amp;"일 지남","최근 방문"))))))</f>
        <v/>
      </c>
      <c r="T4" s="9">
        <f>MAP(B4:B303,S4:S303,L4:L303,Q4:Q303,O4:O303,P4:P303,G4:G303,H4:H303,LAMBDA(x_n,x_s,x_l,x_q,x_o,x_p,x_g,x_h,IF(x_n="","",IF(x_s="제외","",IF(AND(설정!$B$21&lt;&gt;"",x_l&lt;&gt;설정!$B$21),"",IF(AND(x_q&lt;&gt;"",x_q&gt;N(x_o),x_q&lt;=설정!$B$24+7),설정!$B$39+7-(x_q-설정!$B$24),IF(AND(x_g&gt;0,OR(x_s="안 가봄",RIGHT(x_s,2)="지남")),x_g+IF(x_o="",설정!$B$36,MIN(x_p,60)*설정!$B$37)+MIN(N(x_h)/1000*설정!$B$38,20),"")))))))</f>
        <v/>
      </c>
      <c r="U4" s="5">
        <f>MAP(B4:B303,LAMBDA(x_n,IF(x_n="","",IFERROR(INDEX('2.현장'!$B$2:$B$1001,IFERROR(MATCH(x_n&amp;"|설계사",'2.현장'!$Z$2:$Z$1001,0),IFERROR(MATCH(x_n&amp;"|시공사",'2.현장'!$Z$2:$Z$1001,0),MATCH(x_n&amp;"|늦음",'2.현장'!$Z$2:$Z$1001,0)))),""))))</f>
        <v/>
      </c>
      <c r="V4" s="5">
        <f>MAP(B4:B303,LAMBDA(x_n,IF(x_n="","",IFERROR(VLOOKUP(x_n,업체_메모!$A$3:$I$302,8,FALSE)&amp;"",""))))</f>
        <v/>
      </c>
      <c r="W4" s="5">
        <f>MAP(B4:B303,T4:T303,Q4:Q303,O4:O303,P4:P303,D4:D303,E4:E303,F4:F303,LAMBDA(x_n,x_t,x_q,x_o,x_p,x_d,x_e,x_f,IF(x_n="","",IF(N(x_t)&gt;=설정!$B$39,"약속 "&amp;TEXT(x_q,"m/d")&amp;" · ",IF(x_o="","아직 안 가봄 · ","마지막 방문 "&amp;x_p&amp;"일 전 · "))&amp;IF(x_d&gt;0,"설계단계 "&amp;x_d&amp;"건 ","")&amp;IF(x_e&gt;0,"착공 "&amp;x_e&amp;"건 ","")&amp;IF(x_f&gt;0,"★"&amp;x_f,""))))</f>
        <v/>
      </c>
      <c r="X4" s="5">
        <f>MAP(B4:B303,N4:N303,V4:V303,AB4:AB303,LAMBDA(x_n,x_ph,x_cf,x_rm,IF(x_n="","",REGEXREPLACE(TRIM(IF(ISNUMBER(SEARCH("…",x_n)),"이름 잘림(산군 상세에서 전체 이름) · ","")&amp;IF(x_ph="","전화 없음(검색) · ",IF(x_cf&lt;&gt;"확정","전화 "&amp;x_cf&amp;" · ",""))&amp;IF(x_rm="","객실 수 미확인 · ",IF(ISNUMBER(SEARCH("(",x_rm)),"객실 수 추정 · ",""))&amp;IF(COUNTIFS('2.현장'!$V$2:$V$1001,x_n,'2.현장'!$T$2:$T$1001,TRUE,'2.현장'!$H$2:$H$1001,"")&gt;0,"시공사 미상","")),"\s*·\s*$",""))))</f>
        <v/>
      </c>
      <c r="Y4" s="5">
        <f>MAP(B4:B303,K4:K303,D4:D303,LAMBDA(x_n,x_k,x_d,IF(x_n="","","한국마이크로닉 배성윤 차장입니다. "&amp;x_k&amp;IF(x_d&gt;0,"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될까요?")))</f>
        <v/>
      </c>
      <c r="Z4" s="5">
        <f>MAP(B4:B303,U4:U303,LAMBDA(x_n,x_u,IF(x_n="","","https://map.naver.com/p/search/"&amp;ENCODEURL(x_u))))</f>
        <v/>
      </c>
      <c r="AA4" s="5">
        <f>MAP(B4:B303,L4:L303,LAMBDA(x_n,x_l,IF(x_n="","","https://search.naver.com/search.naver?query="&amp;ENCODEURL(SUBSTITUTE(x_n,"…","")&amp;" "&amp;x_l&amp;" 전화"))))</f>
        <v/>
      </c>
      <c r="AB4" s="5">
        <f>MAP(B4:B303,K4:K303,LAMBDA(x_n,x_k,IF(x_n="","",IFERROR(IF(VLOOKUP(x_k,현장_조사!$A$3:$J$202,5,FALSE)&amp;""="","",VLOOKUP(x_k,현장_조사!$A$3:$J$202,5,FALSE)&amp;IF(VLOOKUP(x_k,현장_조사!$A$3:$J$202,8,FALSE)="확정",""," ("&amp;VLOOKUP(x_k,현장_조사!$A$3:$J$202,8,FALSE)&amp;")")),""))))</f>
        <v/>
      </c>
    </row>
    <row r="5">
      <c r="H5" s="6" t="n"/>
      <c r="I5" s="10" t="n"/>
      <c r="J5" s="10" t="n"/>
      <c r="O5" s="10" t="n"/>
      <c r="Q5" s="10" t="n"/>
      <c r="T5" s="11" t="n"/>
    </row>
    <row r="6">
      <c r="H6" s="6" t="n"/>
      <c r="I6" s="10" t="n"/>
      <c r="J6" s="10" t="n"/>
      <c r="O6" s="10" t="n"/>
      <c r="Q6" s="10" t="n"/>
      <c r="T6" s="11" t="n"/>
    </row>
    <row r="7">
      <c r="H7" s="6" t="n"/>
      <c r="I7" s="10" t="n"/>
      <c r="J7" s="10" t="n"/>
      <c r="O7" s="10" t="n"/>
      <c r="Q7" s="10" t="n"/>
      <c r="T7" s="11" t="n"/>
    </row>
    <row r="8">
      <c r="H8" s="6" t="n"/>
      <c r="I8" s="10" t="n"/>
      <c r="J8" s="10" t="n"/>
      <c r="O8" s="10" t="n"/>
      <c r="Q8" s="10" t="n"/>
      <c r="T8" s="11" t="n"/>
    </row>
    <row r="9">
      <c r="H9" s="6" t="n"/>
      <c r="I9" s="10" t="n"/>
      <c r="J9" s="10" t="n"/>
      <c r="O9" s="10" t="n"/>
      <c r="Q9" s="10" t="n"/>
      <c r="T9" s="11" t="n"/>
    </row>
    <row r="10">
      <c r="H10" s="6" t="n"/>
      <c r="I10" s="10" t="n"/>
      <c r="J10" s="10" t="n"/>
      <c r="O10" s="10" t="n"/>
      <c r="Q10" s="10" t="n"/>
      <c r="T10" s="11" t="n"/>
    </row>
    <row r="11">
      <c r="H11" s="6" t="n"/>
      <c r="I11" s="10" t="n"/>
      <c r="J11" s="10" t="n"/>
      <c r="O11" s="10" t="n"/>
      <c r="Q11" s="10" t="n"/>
      <c r="T11" s="11" t="n"/>
    </row>
    <row r="12">
      <c r="H12" s="6" t="n"/>
      <c r="I12" s="10" t="n"/>
      <c r="J12" s="10" t="n"/>
      <c r="O12" s="10" t="n"/>
      <c r="Q12" s="10" t="n"/>
      <c r="T12" s="11" t="n"/>
    </row>
    <row r="13">
      <c r="H13" s="6" t="n"/>
      <c r="I13" s="10" t="n"/>
      <c r="J13" s="10" t="n"/>
      <c r="O13" s="10" t="n"/>
      <c r="Q13" s="10" t="n"/>
      <c r="T13" s="11" t="n"/>
    </row>
    <row r="14">
      <c r="H14" s="6" t="n"/>
      <c r="I14" s="10" t="n"/>
      <c r="J14" s="10" t="n"/>
      <c r="O14" s="10" t="n"/>
      <c r="Q14" s="10" t="n"/>
      <c r="T14" s="11" t="n"/>
    </row>
    <row r="15">
      <c r="H15" s="6" t="n"/>
      <c r="I15" s="10" t="n"/>
      <c r="J15" s="10" t="n"/>
      <c r="O15" s="10" t="n"/>
      <c r="Q15" s="10" t="n"/>
      <c r="T15" s="11" t="n"/>
    </row>
    <row r="16">
      <c r="H16" s="6" t="n"/>
      <c r="I16" s="10" t="n"/>
      <c r="J16" s="10" t="n"/>
      <c r="O16" s="10" t="n"/>
      <c r="Q16" s="10" t="n"/>
      <c r="T16" s="11" t="n"/>
    </row>
    <row r="17">
      <c r="H17" s="6" t="n"/>
      <c r="I17" s="10" t="n"/>
      <c r="J17" s="10" t="n"/>
      <c r="O17" s="10" t="n"/>
      <c r="Q17" s="10" t="n"/>
      <c r="T17" s="11" t="n"/>
    </row>
    <row r="18">
      <c r="H18" s="6" t="n"/>
      <c r="I18" s="10" t="n"/>
      <c r="J18" s="10" t="n"/>
      <c r="O18" s="10" t="n"/>
      <c r="Q18" s="10" t="n"/>
      <c r="T18" s="11" t="n"/>
    </row>
    <row r="19">
      <c r="H19" s="6" t="n"/>
      <c r="I19" s="10" t="n"/>
      <c r="J19" s="10" t="n"/>
      <c r="O19" s="10" t="n"/>
      <c r="Q19" s="10" t="n"/>
      <c r="T19" s="11" t="n"/>
    </row>
    <row r="20">
      <c r="H20" s="6" t="n"/>
      <c r="I20" s="10" t="n"/>
      <c r="J20" s="10" t="n"/>
      <c r="O20" s="10" t="n"/>
      <c r="Q20" s="10" t="n"/>
      <c r="T20" s="11" t="n"/>
    </row>
    <row r="21">
      <c r="H21" s="6" t="n"/>
      <c r="I21" s="10" t="n"/>
      <c r="J21" s="10" t="n"/>
      <c r="O21" s="10" t="n"/>
      <c r="Q21" s="10" t="n"/>
      <c r="T21" s="11" t="n"/>
    </row>
    <row r="22">
      <c r="H22" s="6" t="n"/>
      <c r="I22" s="10" t="n"/>
      <c r="J22" s="10" t="n"/>
      <c r="O22" s="10" t="n"/>
      <c r="Q22" s="10" t="n"/>
      <c r="T22" s="11" t="n"/>
    </row>
    <row r="23">
      <c r="H23" s="6" t="n"/>
      <c r="I23" s="10" t="n"/>
      <c r="J23" s="10" t="n"/>
      <c r="O23" s="10" t="n"/>
      <c r="Q23" s="10" t="n"/>
      <c r="T23" s="11" t="n"/>
    </row>
    <row r="24">
      <c r="H24" s="6" t="n"/>
      <c r="I24" s="10" t="n"/>
      <c r="J24" s="10" t="n"/>
      <c r="O24" s="10" t="n"/>
      <c r="Q24" s="10" t="n"/>
      <c r="T24" s="11" t="n"/>
    </row>
    <row r="25">
      <c r="H25" s="6" t="n"/>
      <c r="I25" s="10" t="n"/>
      <c r="J25" s="10" t="n"/>
      <c r="O25" s="10" t="n"/>
      <c r="Q25" s="10" t="n"/>
      <c r="T25" s="11" t="n"/>
    </row>
    <row r="26">
      <c r="H26" s="6" t="n"/>
      <c r="I26" s="10" t="n"/>
      <c r="J26" s="10" t="n"/>
      <c r="O26" s="10" t="n"/>
      <c r="Q26" s="10" t="n"/>
      <c r="T26" s="11" t="n"/>
    </row>
    <row r="27">
      <c r="H27" s="6" t="n"/>
      <c r="I27" s="10" t="n"/>
      <c r="J27" s="10" t="n"/>
      <c r="O27" s="10" t="n"/>
      <c r="Q27" s="10" t="n"/>
      <c r="T27" s="11" t="n"/>
    </row>
    <row r="28">
      <c r="H28" s="6" t="n"/>
      <c r="I28" s="10" t="n"/>
      <c r="J28" s="10" t="n"/>
      <c r="O28" s="10" t="n"/>
      <c r="Q28" s="10" t="n"/>
      <c r="T28" s="11" t="n"/>
    </row>
    <row r="29">
      <c r="H29" s="6" t="n"/>
      <c r="I29" s="10" t="n"/>
      <c r="J29" s="10" t="n"/>
      <c r="O29" s="10" t="n"/>
      <c r="Q29" s="10" t="n"/>
      <c r="T29" s="11" t="n"/>
    </row>
    <row r="30">
      <c r="H30" s="6" t="n"/>
      <c r="I30" s="10" t="n"/>
      <c r="J30" s="10" t="n"/>
      <c r="O30" s="10" t="n"/>
      <c r="Q30" s="10" t="n"/>
      <c r="T30" s="11" t="n"/>
    </row>
    <row r="31">
      <c r="H31" s="6" t="n"/>
      <c r="I31" s="10" t="n"/>
      <c r="J31" s="10" t="n"/>
      <c r="O31" s="10" t="n"/>
      <c r="Q31" s="10" t="n"/>
      <c r="T31" s="11" t="n"/>
    </row>
    <row r="32">
      <c r="H32" s="6" t="n"/>
      <c r="I32" s="10" t="n"/>
      <c r="J32" s="10" t="n"/>
      <c r="O32" s="10" t="n"/>
      <c r="Q32" s="10" t="n"/>
      <c r="T32" s="11" t="n"/>
    </row>
    <row r="33">
      <c r="H33" s="6" t="n"/>
      <c r="I33" s="10" t="n"/>
      <c r="J33" s="10" t="n"/>
      <c r="O33" s="10" t="n"/>
      <c r="Q33" s="10" t="n"/>
      <c r="T33" s="11" t="n"/>
    </row>
    <row r="34">
      <c r="H34" s="6" t="n"/>
      <c r="I34" s="10" t="n"/>
      <c r="J34" s="10" t="n"/>
      <c r="O34" s="10" t="n"/>
      <c r="Q34" s="10" t="n"/>
      <c r="T34" s="11" t="n"/>
    </row>
    <row r="35">
      <c r="H35" s="6" t="n"/>
      <c r="I35" s="10" t="n"/>
      <c r="J35" s="10" t="n"/>
      <c r="O35" s="10" t="n"/>
      <c r="Q35" s="10" t="n"/>
      <c r="T35" s="11" t="n"/>
    </row>
    <row r="36">
      <c r="H36" s="6" t="n"/>
      <c r="I36" s="10" t="n"/>
      <c r="J36" s="10" t="n"/>
      <c r="O36" s="10" t="n"/>
      <c r="Q36" s="10" t="n"/>
      <c r="T36" s="11" t="n"/>
    </row>
    <row r="37">
      <c r="H37" s="6" t="n"/>
      <c r="I37" s="10" t="n"/>
      <c r="J37" s="10" t="n"/>
      <c r="O37" s="10" t="n"/>
      <c r="Q37" s="10" t="n"/>
      <c r="T37" s="11" t="n"/>
    </row>
    <row r="38">
      <c r="H38" s="6" t="n"/>
      <c r="I38" s="10" t="n"/>
      <c r="J38" s="10" t="n"/>
      <c r="O38" s="10" t="n"/>
      <c r="Q38" s="10" t="n"/>
      <c r="T38" s="11" t="n"/>
    </row>
    <row r="39">
      <c r="H39" s="6" t="n"/>
      <c r="I39" s="10" t="n"/>
      <c r="J39" s="10" t="n"/>
      <c r="O39" s="10" t="n"/>
      <c r="Q39" s="10" t="n"/>
      <c r="T39" s="11" t="n"/>
    </row>
    <row r="40">
      <c r="H40" s="6" t="n"/>
      <c r="I40" s="10" t="n"/>
      <c r="J40" s="10" t="n"/>
      <c r="O40" s="10" t="n"/>
      <c r="Q40" s="10" t="n"/>
      <c r="T40" s="11" t="n"/>
    </row>
    <row r="41">
      <c r="H41" s="6" t="n"/>
      <c r="I41" s="10" t="n"/>
      <c r="J41" s="10" t="n"/>
      <c r="O41" s="10" t="n"/>
      <c r="Q41" s="10" t="n"/>
      <c r="T41" s="11" t="n"/>
    </row>
    <row r="42">
      <c r="H42" s="6" t="n"/>
      <c r="I42" s="10" t="n"/>
      <c r="J42" s="10" t="n"/>
      <c r="O42" s="10" t="n"/>
      <c r="Q42" s="10" t="n"/>
      <c r="T42" s="11" t="n"/>
    </row>
    <row r="43">
      <c r="H43" s="6" t="n"/>
      <c r="I43" s="10" t="n"/>
      <c r="J43" s="10" t="n"/>
      <c r="O43" s="10" t="n"/>
      <c r="Q43" s="10" t="n"/>
      <c r="T43" s="11" t="n"/>
    </row>
    <row r="44">
      <c r="H44" s="6" t="n"/>
      <c r="I44" s="10" t="n"/>
      <c r="J44" s="10" t="n"/>
      <c r="O44" s="10" t="n"/>
      <c r="Q44" s="10" t="n"/>
      <c r="T44" s="11" t="n"/>
    </row>
    <row r="45">
      <c r="H45" s="6" t="n"/>
      <c r="I45" s="10" t="n"/>
      <c r="J45" s="10" t="n"/>
      <c r="O45" s="10" t="n"/>
      <c r="Q45" s="10" t="n"/>
      <c r="T45" s="11" t="n"/>
    </row>
    <row r="46">
      <c r="H46" s="6" t="n"/>
      <c r="I46" s="10" t="n"/>
      <c r="J46" s="10" t="n"/>
      <c r="O46" s="10" t="n"/>
      <c r="Q46" s="10" t="n"/>
      <c r="T46" s="11" t="n"/>
    </row>
    <row r="47">
      <c r="H47" s="6" t="n"/>
      <c r="I47" s="10" t="n"/>
      <c r="J47" s="10" t="n"/>
      <c r="O47" s="10" t="n"/>
      <c r="Q47" s="10" t="n"/>
      <c r="T47" s="11" t="n"/>
    </row>
    <row r="48">
      <c r="H48" s="6" t="n"/>
      <c r="I48" s="10" t="n"/>
      <c r="J48" s="10" t="n"/>
      <c r="O48" s="10" t="n"/>
      <c r="Q48" s="10" t="n"/>
      <c r="T48" s="11" t="n"/>
    </row>
    <row r="49">
      <c r="H49" s="6" t="n"/>
      <c r="I49" s="10" t="n"/>
      <c r="J49" s="10" t="n"/>
      <c r="O49" s="10" t="n"/>
      <c r="Q49" s="10" t="n"/>
      <c r="T49" s="11" t="n"/>
    </row>
    <row r="50">
      <c r="H50" s="6" t="n"/>
      <c r="I50" s="10" t="n"/>
      <c r="J50" s="10" t="n"/>
      <c r="O50" s="10" t="n"/>
      <c r="Q50" s="10" t="n"/>
      <c r="T50" s="11" t="n"/>
    </row>
    <row r="51">
      <c r="H51" s="6" t="n"/>
      <c r="I51" s="10" t="n"/>
      <c r="J51" s="10" t="n"/>
      <c r="O51" s="10" t="n"/>
      <c r="Q51" s="10" t="n"/>
      <c r="T51" s="11" t="n"/>
    </row>
    <row r="52">
      <c r="H52" s="6" t="n"/>
      <c r="I52" s="10" t="n"/>
      <c r="J52" s="10" t="n"/>
      <c r="O52" s="10" t="n"/>
      <c r="Q52" s="10" t="n"/>
      <c r="T52" s="11" t="n"/>
    </row>
    <row r="53">
      <c r="H53" s="6" t="n"/>
      <c r="I53" s="10" t="n"/>
      <c r="J53" s="10" t="n"/>
      <c r="O53" s="10" t="n"/>
      <c r="Q53" s="10" t="n"/>
      <c r="T53" s="11" t="n"/>
    </row>
    <row r="54">
      <c r="H54" s="6" t="n"/>
      <c r="I54" s="10" t="n"/>
      <c r="J54" s="10" t="n"/>
      <c r="O54" s="10" t="n"/>
      <c r="Q54" s="10" t="n"/>
      <c r="T54" s="11" t="n"/>
    </row>
    <row r="55">
      <c r="H55" s="6" t="n"/>
      <c r="I55" s="10" t="n"/>
      <c r="J55" s="10" t="n"/>
      <c r="O55" s="10" t="n"/>
      <c r="Q55" s="10" t="n"/>
      <c r="T55" s="11" t="n"/>
    </row>
    <row r="56">
      <c r="H56" s="6" t="n"/>
      <c r="I56" s="10" t="n"/>
      <c r="J56" s="10" t="n"/>
      <c r="O56" s="10" t="n"/>
      <c r="Q56" s="10" t="n"/>
      <c r="T56" s="11" t="n"/>
    </row>
    <row r="57">
      <c r="H57" s="6" t="n"/>
      <c r="I57" s="10" t="n"/>
      <c r="J57" s="10" t="n"/>
      <c r="O57" s="10" t="n"/>
      <c r="Q57" s="10" t="n"/>
      <c r="T57" s="11" t="n"/>
    </row>
    <row r="58">
      <c r="H58" s="6" t="n"/>
      <c r="I58" s="10" t="n"/>
      <c r="J58" s="10" t="n"/>
      <c r="O58" s="10" t="n"/>
      <c r="Q58" s="10" t="n"/>
      <c r="T58" s="11" t="n"/>
    </row>
    <row r="59">
      <c r="H59" s="6" t="n"/>
      <c r="I59" s="10" t="n"/>
      <c r="J59" s="10" t="n"/>
      <c r="O59" s="10" t="n"/>
      <c r="Q59" s="10" t="n"/>
      <c r="T59" s="11" t="n"/>
    </row>
    <row r="60">
      <c r="H60" s="6" t="n"/>
      <c r="I60" s="10" t="n"/>
      <c r="J60" s="10" t="n"/>
      <c r="O60" s="10" t="n"/>
      <c r="Q60" s="10" t="n"/>
      <c r="T60" s="11" t="n"/>
    </row>
    <row r="61">
      <c r="H61" s="6" t="n"/>
      <c r="I61" s="10" t="n"/>
      <c r="J61" s="10" t="n"/>
      <c r="O61" s="10" t="n"/>
      <c r="Q61" s="10" t="n"/>
      <c r="T61" s="11" t="n"/>
    </row>
    <row r="62">
      <c r="H62" s="6" t="n"/>
      <c r="I62" s="10" t="n"/>
      <c r="J62" s="10" t="n"/>
      <c r="O62" s="10" t="n"/>
      <c r="Q62" s="10" t="n"/>
      <c r="T62" s="11" t="n"/>
    </row>
    <row r="63">
      <c r="H63" s="6" t="n"/>
      <c r="I63" s="10" t="n"/>
      <c r="J63" s="10" t="n"/>
      <c r="O63" s="10" t="n"/>
      <c r="Q63" s="10" t="n"/>
      <c r="T63" s="11" t="n"/>
    </row>
    <row r="64">
      <c r="H64" s="6" t="n"/>
      <c r="I64" s="10" t="n"/>
      <c r="J64" s="10" t="n"/>
      <c r="O64" s="10" t="n"/>
      <c r="Q64" s="10" t="n"/>
      <c r="T64" s="11" t="n"/>
    </row>
    <row r="65">
      <c r="H65" s="6" t="n"/>
      <c r="I65" s="10" t="n"/>
      <c r="J65" s="10" t="n"/>
      <c r="O65" s="10" t="n"/>
      <c r="Q65" s="10" t="n"/>
      <c r="T65" s="11" t="n"/>
    </row>
    <row r="66">
      <c r="H66" s="6" t="n"/>
      <c r="I66" s="10" t="n"/>
      <c r="J66" s="10" t="n"/>
      <c r="O66" s="10" t="n"/>
      <c r="Q66" s="10" t="n"/>
      <c r="T66" s="11" t="n"/>
    </row>
    <row r="67">
      <c r="H67" s="6" t="n"/>
      <c r="I67" s="10" t="n"/>
      <c r="J67" s="10" t="n"/>
      <c r="O67" s="10" t="n"/>
      <c r="Q67" s="10" t="n"/>
      <c r="T67" s="11" t="n"/>
    </row>
    <row r="68">
      <c r="H68" s="6" t="n"/>
      <c r="I68" s="10" t="n"/>
      <c r="J68" s="10" t="n"/>
      <c r="O68" s="10" t="n"/>
      <c r="Q68" s="10" t="n"/>
      <c r="T68" s="11" t="n"/>
    </row>
    <row r="69">
      <c r="H69" s="6" t="n"/>
      <c r="I69" s="10" t="n"/>
      <c r="J69" s="10" t="n"/>
      <c r="O69" s="10" t="n"/>
      <c r="Q69" s="10" t="n"/>
      <c r="T69" s="11" t="n"/>
    </row>
    <row r="70">
      <c r="H70" s="6" t="n"/>
      <c r="I70" s="10" t="n"/>
      <c r="J70" s="10" t="n"/>
      <c r="O70" s="10" t="n"/>
      <c r="Q70" s="10" t="n"/>
      <c r="T70" s="11" t="n"/>
    </row>
    <row r="71">
      <c r="H71" s="6" t="n"/>
      <c r="I71" s="10" t="n"/>
      <c r="J71" s="10" t="n"/>
      <c r="O71" s="10" t="n"/>
      <c r="Q71" s="10" t="n"/>
      <c r="T71" s="11" t="n"/>
    </row>
    <row r="72">
      <c r="H72" s="6" t="n"/>
      <c r="I72" s="10" t="n"/>
      <c r="J72" s="10" t="n"/>
      <c r="O72" s="10" t="n"/>
      <c r="Q72" s="10" t="n"/>
      <c r="T72" s="11" t="n"/>
    </row>
    <row r="73">
      <c r="H73" s="6" t="n"/>
      <c r="I73" s="10" t="n"/>
      <c r="J73" s="10" t="n"/>
      <c r="O73" s="10" t="n"/>
      <c r="Q73" s="10" t="n"/>
      <c r="T73" s="11" t="n"/>
    </row>
    <row r="74">
      <c r="H74" s="6" t="n"/>
      <c r="I74" s="10" t="n"/>
      <c r="J74" s="10" t="n"/>
      <c r="O74" s="10" t="n"/>
      <c r="Q74" s="10" t="n"/>
      <c r="T74" s="11" t="n"/>
    </row>
    <row r="75">
      <c r="H75" s="6" t="n"/>
      <c r="I75" s="10" t="n"/>
      <c r="J75" s="10" t="n"/>
      <c r="O75" s="10" t="n"/>
      <c r="Q75" s="10" t="n"/>
      <c r="T75" s="11" t="n"/>
    </row>
    <row r="76">
      <c r="H76" s="6" t="n"/>
      <c r="I76" s="10" t="n"/>
      <c r="J76" s="10" t="n"/>
      <c r="O76" s="10" t="n"/>
      <c r="Q76" s="10" t="n"/>
      <c r="T76" s="11" t="n"/>
    </row>
    <row r="77">
      <c r="H77" s="6" t="n"/>
      <c r="I77" s="10" t="n"/>
      <c r="J77" s="10" t="n"/>
      <c r="O77" s="10" t="n"/>
      <c r="Q77" s="10" t="n"/>
      <c r="T77" s="11" t="n"/>
    </row>
    <row r="78">
      <c r="H78" s="6" t="n"/>
      <c r="I78" s="10" t="n"/>
      <c r="J78" s="10" t="n"/>
      <c r="O78" s="10" t="n"/>
      <c r="Q78" s="10" t="n"/>
      <c r="T78" s="11" t="n"/>
    </row>
    <row r="79">
      <c r="H79" s="6" t="n"/>
      <c r="I79" s="10" t="n"/>
      <c r="J79" s="10" t="n"/>
      <c r="O79" s="10" t="n"/>
      <c r="Q79" s="10" t="n"/>
      <c r="T79" s="11" t="n"/>
    </row>
    <row r="80">
      <c r="H80" s="6" t="n"/>
      <c r="I80" s="10" t="n"/>
      <c r="J80" s="10" t="n"/>
      <c r="O80" s="10" t="n"/>
      <c r="Q80" s="10" t="n"/>
      <c r="T80" s="11" t="n"/>
    </row>
    <row r="81">
      <c r="H81" s="6" t="n"/>
      <c r="I81" s="10" t="n"/>
      <c r="J81" s="10" t="n"/>
      <c r="O81" s="10" t="n"/>
      <c r="Q81" s="10" t="n"/>
      <c r="T81" s="11" t="n"/>
    </row>
    <row r="82">
      <c r="H82" s="6" t="n"/>
      <c r="I82" s="10" t="n"/>
      <c r="J82" s="10" t="n"/>
      <c r="O82" s="10" t="n"/>
      <c r="Q82" s="10" t="n"/>
      <c r="T82" s="11" t="n"/>
    </row>
    <row r="83">
      <c r="H83" s="6" t="n"/>
      <c r="I83" s="10" t="n"/>
      <c r="J83" s="10" t="n"/>
      <c r="O83" s="10" t="n"/>
      <c r="Q83" s="10" t="n"/>
      <c r="T83" s="11" t="n"/>
    </row>
    <row r="84">
      <c r="H84" s="6" t="n"/>
      <c r="I84" s="10" t="n"/>
      <c r="J84" s="10" t="n"/>
      <c r="O84" s="10" t="n"/>
      <c r="Q84" s="10" t="n"/>
      <c r="T84" s="11" t="n"/>
    </row>
    <row r="85">
      <c r="H85" s="6" t="n"/>
      <c r="I85" s="10" t="n"/>
      <c r="J85" s="10" t="n"/>
      <c r="O85" s="10" t="n"/>
      <c r="Q85" s="10" t="n"/>
      <c r="T85" s="11" t="n"/>
    </row>
    <row r="86">
      <c r="H86" s="6" t="n"/>
      <c r="I86" s="10" t="n"/>
      <c r="J86" s="10" t="n"/>
      <c r="O86" s="10" t="n"/>
      <c r="Q86" s="10" t="n"/>
      <c r="T86" s="11" t="n"/>
    </row>
    <row r="87">
      <c r="H87" s="6" t="n"/>
      <c r="I87" s="10" t="n"/>
      <c r="J87" s="10" t="n"/>
      <c r="O87" s="10" t="n"/>
      <c r="Q87" s="10" t="n"/>
      <c r="T87" s="11" t="n"/>
    </row>
    <row r="88">
      <c r="H88" s="6" t="n"/>
      <c r="I88" s="10" t="n"/>
      <c r="J88" s="10" t="n"/>
      <c r="O88" s="10" t="n"/>
      <c r="Q88" s="10" t="n"/>
      <c r="T88" s="11" t="n"/>
    </row>
    <row r="89">
      <c r="H89" s="6" t="n"/>
      <c r="I89" s="10" t="n"/>
      <c r="J89" s="10" t="n"/>
      <c r="O89" s="10" t="n"/>
      <c r="Q89" s="10" t="n"/>
      <c r="T89" s="11" t="n"/>
    </row>
    <row r="90">
      <c r="H90" s="6" t="n"/>
      <c r="I90" s="10" t="n"/>
      <c r="J90" s="10" t="n"/>
      <c r="O90" s="10" t="n"/>
      <c r="Q90" s="10" t="n"/>
      <c r="T90" s="11" t="n"/>
    </row>
    <row r="91">
      <c r="H91" s="6" t="n"/>
      <c r="I91" s="10" t="n"/>
      <c r="J91" s="10" t="n"/>
      <c r="O91" s="10" t="n"/>
      <c r="Q91" s="10" t="n"/>
      <c r="T91" s="11" t="n"/>
    </row>
    <row r="92">
      <c r="H92" s="6" t="n"/>
      <c r="I92" s="10" t="n"/>
      <c r="J92" s="10" t="n"/>
      <c r="O92" s="10" t="n"/>
      <c r="Q92" s="10" t="n"/>
      <c r="T92" s="11" t="n"/>
    </row>
    <row r="93">
      <c r="H93" s="6" t="n"/>
      <c r="I93" s="10" t="n"/>
      <c r="J93" s="10" t="n"/>
      <c r="O93" s="10" t="n"/>
      <c r="Q93" s="10" t="n"/>
      <c r="T93" s="11" t="n"/>
    </row>
    <row r="94">
      <c r="H94" s="6" t="n"/>
      <c r="I94" s="10" t="n"/>
      <c r="J94" s="10" t="n"/>
      <c r="O94" s="10" t="n"/>
      <c r="Q94" s="10" t="n"/>
      <c r="T94" s="11" t="n"/>
    </row>
    <row r="95">
      <c r="H95" s="6" t="n"/>
      <c r="I95" s="10" t="n"/>
      <c r="J95" s="10" t="n"/>
      <c r="O95" s="10" t="n"/>
      <c r="Q95" s="10" t="n"/>
      <c r="T95" s="11" t="n"/>
    </row>
    <row r="96">
      <c r="H96" s="6" t="n"/>
      <c r="I96" s="10" t="n"/>
      <c r="J96" s="10" t="n"/>
      <c r="O96" s="10" t="n"/>
      <c r="Q96" s="10" t="n"/>
      <c r="T96" s="11" t="n"/>
    </row>
    <row r="97">
      <c r="H97" s="6" t="n"/>
      <c r="I97" s="10" t="n"/>
      <c r="J97" s="10" t="n"/>
      <c r="O97" s="10" t="n"/>
      <c r="Q97" s="10" t="n"/>
      <c r="T97" s="11" t="n"/>
    </row>
    <row r="98">
      <c r="H98" s="6" t="n"/>
      <c r="I98" s="10" t="n"/>
      <c r="J98" s="10" t="n"/>
      <c r="O98" s="10" t="n"/>
      <c r="Q98" s="10" t="n"/>
      <c r="T98" s="11" t="n"/>
    </row>
    <row r="99">
      <c r="H99" s="6" t="n"/>
      <c r="I99" s="10" t="n"/>
      <c r="J99" s="10" t="n"/>
      <c r="O99" s="10" t="n"/>
      <c r="Q99" s="10" t="n"/>
      <c r="T99" s="11" t="n"/>
    </row>
    <row r="100">
      <c r="H100" s="6" t="n"/>
      <c r="I100" s="10" t="n"/>
      <c r="J100" s="10" t="n"/>
      <c r="O100" s="10" t="n"/>
      <c r="Q100" s="10" t="n"/>
      <c r="T100" s="11" t="n"/>
    </row>
    <row r="101">
      <c r="H101" s="6" t="n"/>
      <c r="I101" s="10" t="n"/>
      <c r="J101" s="10" t="n"/>
      <c r="O101" s="10" t="n"/>
      <c r="Q101" s="10" t="n"/>
      <c r="T101" s="11" t="n"/>
    </row>
    <row r="102">
      <c r="H102" s="6" t="n"/>
      <c r="I102" s="10" t="n"/>
      <c r="J102" s="10" t="n"/>
      <c r="O102" s="10" t="n"/>
      <c r="Q102" s="10" t="n"/>
      <c r="T102" s="11" t="n"/>
    </row>
    <row r="103">
      <c r="H103" s="6" t="n"/>
      <c r="I103" s="10" t="n"/>
      <c r="J103" s="10" t="n"/>
      <c r="O103" s="10" t="n"/>
      <c r="Q103" s="10" t="n"/>
      <c r="T103" s="11" t="n"/>
    </row>
    <row r="104">
      <c r="H104" s="6" t="n"/>
      <c r="I104" s="10" t="n"/>
      <c r="J104" s="10" t="n"/>
      <c r="O104" s="10" t="n"/>
      <c r="Q104" s="10" t="n"/>
      <c r="T104" s="11" t="n"/>
    </row>
    <row r="105">
      <c r="H105" s="6" t="n"/>
      <c r="I105" s="10" t="n"/>
      <c r="J105" s="10" t="n"/>
      <c r="O105" s="10" t="n"/>
      <c r="Q105" s="10" t="n"/>
      <c r="T105" s="11" t="n"/>
    </row>
    <row r="106">
      <c r="H106" s="6" t="n"/>
      <c r="I106" s="10" t="n"/>
      <c r="J106" s="10" t="n"/>
      <c r="O106" s="10" t="n"/>
      <c r="Q106" s="10" t="n"/>
      <c r="T106" s="11" t="n"/>
    </row>
    <row r="107">
      <c r="H107" s="6" t="n"/>
      <c r="I107" s="10" t="n"/>
      <c r="J107" s="10" t="n"/>
      <c r="O107" s="10" t="n"/>
      <c r="Q107" s="10" t="n"/>
      <c r="T107" s="11" t="n"/>
    </row>
    <row r="108">
      <c r="H108" s="6" t="n"/>
      <c r="I108" s="10" t="n"/>
      <c r="J108" s="10" t="n"/>
      <c r="O108" s="10" t="n"/>
      <c r="Q108" s="10" t="n"/>
      <c r="T108" s="11" t="n"/>
    </row>
    <row r="109">
      <c r="H109" s="6" t="n"/>
      <c r="I109" s="10" t="n"/>
      <c r="J109" s="10" t="n"/>
      <c r="O109" s="10" t="n"/>
      <c r="Q109" s="10" t="n"/>
      <c r="T109" s="11" t="n"/>
    </row>
    <row r="110">
      <c r="H110" s="6" t="n"/>
      <c r="I110" s="10" t="n"/>
      <c r="J110" s="10" t="n"/>
      <c r="O110" s="10" t="n"/>
      <c r="Q110" s="10" t="n"/>
      <c r="T110" s="11" t="n"/>
    </row>
    <row r="111">
      <c r="H111" s="6" t="n"/>
      <c r="I111" s="10" t="n"/>
      <c r="J111" s="10" t="n"/>
      <c r="O111" s="10" t="n"/>
      <c r="Q111" s="10" t="n"/>
      <c r="T111" s="11" t="n"/>
    </row>
    <row r="112">
      <c r="H112" s="6" t="n"/>
      <c r="I112" s="10" t="n"/>
      <c r="J112" s="10" t="n"/>
      <c r="O112" s="10" t="n"/>
      <c r="Q112" s="10" t="n"/>
      <c r="T112" s="11" t="n"/>
    </row>
    <row r="113">
      <c r="H113" s="6" t="n"/>
      <c r="I113" s="10" t="n"/>
      <c r="J113" s="10" t="n"/>
      <c r="O113" s="10" t="n"/>
      <c r="Q113" s="10" t="n"/>
      <c r="T113" s="11" t="n"/>
    </row>
    <row r="114">
      <c r="H114" s="6" t="n"/>
      <c r="I114" s="10" t="n"/>
      <c r="J114" s="10" t="n"/>
      <c r="O114" s="10" t="n"/>
      <c r="Q114" s="10" t="n"/>
      <c r="T114" s="11" t="n"/>
    </row>
    <row r="115">
      <c r="H115" s="6" t="n"/>
      <c r="I115" s="10" t="n"/>
      <c r="J115" s="10" t="n"/>
      <c r="O115" s="10" t="n"/>
      <c r="Q115" s="10" t="n"/>
      <c r="T115" s="11" t="n"/>
    </row>
    <row r="116">
      <c r="H116" s="6" t="n"/>
      <c r="I116" s="10" t="n"/>
      <c r="J116" s="10" t="n"/>
      <c r="O116" s="10" t="n"/>
      <c r="Q116" s="10" t="n"/>
      <c r="T116" s="11" t="n"/>
    </row>
    <row r="117">
      <c r="H117" s="6" t="n"/>
      <c r="I117" s="10" t="n"/>
      <c r="J117" s="10" t="n"/>
      <c r="O117" s="10" t="n"/>
      <c r="Q117" s="10" t="n"/>
      <c r="T117" s="11" t="n"/>
    </row>
    <row r="118">
      <c r="H118" s="6" t="n"/>
      <c r="I118" s="10" t="n"/>
      <c r="J118" s="10" t="n"/>
      <c r="O118" s="10" t="n"/>
      <c r="Q118" s="10" t="n"/>
      <c r="T118" s="11" t="n"/>
    </row>
    <row r="119">
      <c r="H119" s="6" t="n"/>
      <c r="I119" s="10" t="n"/>
      <c r="J119" s="10" t="n"/>
      <c r="O119" s="10" t="n"/>
      <c r="Q119" s="10" t="n"/>
      <c r="T119" s="11" t="n"/>
    </row>
    <row r="120">
      <c r="H120" s="6" t="n"/>
      <c r="I120" s="10" t="n"/>
      <c r="J120" s="10" t="n"/>
      <c r="O120" s="10" t="n"/>
      <c r="Q120" s="10" t="n"/>
      <c r="T120" s="11" t="n"/>
    </row>
    <row r="121">
      <c r="H121" s="6" t="n"/>
      <c r="I121" s="10" t="n"/>
      <c r="J121" s="10" t="n"/>
      <c r="O121" s="10" t="n"/>
      <c r="Q121" s="10" t="n"/>
      <c r="T121" s="11" t="n"/>
    </row>
    <row r="122">
      <c r="H122" s="6" t="n"/>
      <c r="I122" s="10" t="n"/>
      <c r="J122" s="10" t="n"/>
      <c r="O122" s="10" t="n"/>
      <c r="Q122" s="10" t="n"/>
      <c r="T122" s="11" t="n"/>
    </row>
    <row r="123">
      <c r="H123" s="6" t="n"/>
      <c r="I123" s="10" t="n"/>
      <c r="J123" s="10" t="n"/>
      <c r="O123" s="10" t="n"/>
      <c r="Q123" s="10" t="n"/>
      <c r="T123" s="11" t="n"/>
    </row>
    <row r="124">
      <c r="H124" s="6" t="n"/>
      <c r="I124" s="10" t="n"/>
      <c r="J124" s="10" t="n"/>
      <c r="O124" s="10" t="n"/>
      <c r="Q124" s="10" t="n"/>
      <c r="T124" s="11" t="n"/>
    </row>
    <row r="125">
      <c r="H125" s="6" t="n"/>
      <c r="I125" s="10" t="n"/>
      <c r="J125" s="10" t="n"/>
      <c r="O125" s="10" t="n"/>
      <c r="Q125" s="10" t="n"/>
      <c r="T125" s="11" t="n"/>
    </row>
    <row r="126">
      <c r="H126" s="6" t="n"/>
      <c r="I126" s="10" t="n"/>
      <c r="J126" s="10" t="n"/>
      <c r="O126" s="10" t="n"/>
      <c r="Q126" s="10" t="n"/>
      <c r="T126" s="11" t="n"/>
    </row>
    <row r="127">
      <c r="H127" s="6" t="n"/>
      <c r="I127" s="10" t="n"/>
      <c r="J127" s="10" t="n"/>
      <c r="O127" s="10" t="n"/>
      <c r="Q127" s="10" t="n"/>
      <c r="T127" s="11" t="n"/>
    </row>
    <row r="128">
      <c r="H128" s="6" t="n"/>
      <c r="I128" s="10" t="n"/>
      <c r="J128" s="10" t="n"/>
      <c r="O128" s="10" t="n"/>
      <c r="Q128" s="10" t="n"/>
      <c r="T128" s="11" t="n"/>
    </row>
    <row r="129">
      <c r="H129" s="6" t="n"/>
      <c r="I129" s="10" t="n"/>
      <c r="J129" s="10" t="n"/>
      <c r="O129" s="10" t="n"/>
      <c r="Q129" s="10" t="n"/>
      <c r="T129" s="11" t="n"/>
    </row>
    <row r="130">
      <c r="H130" s="6" t="n"/>
      <c r="I130" s="10" t="n"/>
      <c r="J130" s="10" t="n"/>
      <c r="O130" s="10" t="n"/>
      <c r="Q130" s="10" t="n"/>
      <c r="T130" s="11" t="n"/>
    </row>
    <row r="131">
      <c r="H131" s="6" t="n"/>
      <c r="I131" s="10" t="n"/>
      <c r="J131" s="10" t="n"/>
      <c r="O131" s="10" t="n"/>
      <c r="Q131" s="10" t="n"/>
      <c r="T131" s="11" t="n"/>
    </row>
    <row r="132">
      <c r="H132" s="6" t="n"/>
      <c r="I132" s="10" t="n"/>
      <c r="J132" s="10" t="n"/>
      <c r="O132" s="10" t="n"/>
      <c r="Q132" s="10" t="n"/>
      <c r="T132" s="11" t="n"/>
    </row>
    <row r="133">
      <c r="H133" s="6" t="n"/>
      <c r="I133" s="10" t="n"/>
      <c r="J133" s="10" t="n"/>
      <c r="O133" s="10" t="n"/>
      <c r="Q133" s="10" t="n"/>
      <c r="T133" s="11" t="n"/>
    </row>
    <row r="134">
      <c r="H134" s="6" t="n"/>
      <c r="I134" s="10" t="n"/>
      <c r="J134" s="10" t="n"/>
      <c r="O134" s="10" t="n"/>
      <c r="Q134" s="10" t="n"/>
      <c r="T134" s="11" t="n"/>
    </row>
    <row r="135">
      <c r="H135" s="6" t="n"/>
      <c r="I135" s="10" t="n"/>
      <c r="J135" s="10" t="n"/>
      <c r="O135" s="10" t="n"/>
      <c r="Q135" s="10" t="n"/>
      <c r="T135" s="11" t="n"/>
    </row>
    <row r="136">
      <c r="H136" s="6" t="n"/>
      <c r="I136" s="10" t="n"/>
      <c r="J136" s="10" t="n"/>
      <c r="O136" s="10" t="n"/>
      <c r="Q136" s="10" t="n"/>
      <c r="T136" s="11" t="n"/>
    </row>
    <row r="137">
      <c r="H137" s="6" t="n"/>
      <c r="I137" s="10" t="n"/>
      <c r="J137" s="10" t="n"/>
      <c r="O137" s="10" t="n"/>
      <c r="Q137" s="10" t="n"/>
      <c r="T137" s="11" t="n"/>
    </row>
    <row r="138">
      <c r="H138" s="6" t="n"/>
      <c r="I138" s="10" t="n"/>
      <c r="J138" s="10" t="n"/>
      <c r="O138" s="10" t="n"/>
      <c r="Q138" s="10" t="n"/>
      <c r="T138" s="11" t="n"/>
    </row>
    <row r="139">
      <c r="H139" s="6" t="n"/>
      <c r="I139" s="10" t="n"/>
      <c r="J139" s="10" t="n"/>
      <c r="O139" s="10" t="n"/>
      <c r="Q139" s="10" t="n"/>
      <c r="T139" s="11" t="n"/>
    </row>
    <row r="140">
      <c r="H140" s="6" t="n"/>
      <c r="I140" s="10" t="n"/>
      <c r="J140" s="10" t="n"/>
      <c r="O140" s="10" t="n"/>
      <c r="Q140" s="10" t="n"/>
      <c r="T140" s="11" t="n"/>
    </row>
    <row r="141">
      <c r="H141" s="6" t="n"/>
      <c r="I141" s="10" t="n"/>
      <c r="J141" s="10" t="n"/>
      <c r="O141" s="10" t="n"/>
      <c r="Q141" s="10" t="n"/>
      <c r="T141" s="11" t="n"/>
    </row>
    <row r="142">
      <c r="H142" s="6" t="n"/>
      <c r="I142" s="10" t="n"/>
      <c r="J142" s="10" t="n"/>
      <c r="O142" s="10" t="n"/>
      <c r="Q142" s="10" t="n"/>
      <c r="T142" s="11" t="n"/>
    </row>
    <row r="143">
      <c r="H143" s="6" t="n"/>
      <c r="I143" s="10" t="n"/>
      <c r="J143" s="10" t="n"/>
      <c r="O143" s="10" t="n"/>
      <c r="Q143" s="10" t="n"/>
      <c r="T143" s="11" t="n"/>
    </row>
    <row r="144">
      <c r="H144" s="6" t="n"/>
      <c r="I144" s="10" t="n"/>
      <c r="J144" s="10" t="n"/>
      <c r="O144" s="10" t="n"/>
      <c r="Q144" s="10" t="n"/>
      <c r="T144" s="11" t="n"/>
    </row>
    <row r="145">
      <c r="H145" s="6" t="n"/>
      <c r="I145" s="10" t="n"/>
      <c r="J145" s="10" t="n"/>
      <c r="O145" s="10" t="n"/>
      <c r="Q145" s="10" t="n"/>
      <c r="T145" s="11" t="n"/>
    </row>
    <row r="146">
      <c r="H146" s="6" t="n"/>
      <c r="I146" s="10" t="n"/>
      <c r="J146" s="10" t="n"/>
      <c r="O146" s="10" t="n"/>
      <c r="Q146" s="10" t="n"/>
      <c r="T146" s="11" t="n"/>
    </row>
    <row r="147">
      <c r="H147" s="6" t="n"/>
      <c r="I147" s="10" t="n"/>
      <c r="J147" s="10" t="n"/>
      <c r="O147" s="10" t="n"/>
      <c r="Q147" s="10" t="n"/>
      <c r="T147" s="11" t="n"/>
    </row>
    <row r="148">
      <c r="H148" s="6" t="n"/>
      <c r="I148" s="10" t="n"/>
      <c r="J148" s="10" t="n"/>
      <c r="O148" s="10" t="n"/>
      <c r="Q148" s="10" t="n"/>
      <c r="T148" s="11" t="n"/>
    </row>
    <row r="149">
      <c r="H149" s="6" t="n"/>
      <c r="I149" s="10" t="n"/>
      <c r="J149" s="10" t="n"/>
      <c r="O149" s="10" t="n"/>
      <c r="Q149" s="10" t="n"/>
      <c r="T149" s="11" t="n"/>
    </row>
    <row r="150">
      <c r="H150" s="6" t="n"/>
      <c r="I150" s="10" t="n"/>
      <c r="J150" s="10" t="n"/>
      <c r="O150" s="10" t="n"/>
      <c r="Q150" s="10" t="n"/>
      <c r="T150" s="11" t="n"/>
    </row>
    <row r="151">
      <c r="H151" s="6" t="n"/>
      <c r="I151" s="10" t="n"/>
      <c r="J151" s="10" t="n"/>
      <c r="O151" s="10" t="n"/>
      <c r="Q151" s="10" t="n"/>
      <c r="T151" s="11" t="n"/>
    </row>
    <row r="152">
      <c r="H152" s="6" t="n"/>
      <c r="I152" s="10" t="n"/>
      <c r="J152" s="10" t="n"/>
      <c r="O152" s="10" t="n"/>
      <c r="Q152" s="10" t="n"/>
      <c r="T152" s="11" t="n"/>
    </row>
    <row r="153">
      <c r="H153" s="6" t="n"/>
      <c r="I153" s="10" t="n"/>
      <c r="J153" s="10" t="n"/>
      <c r="O153" s="10" t="n"/>
      <c r="Q153" s="10" t="n"/>
      <c r="T153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6" customWidth="1" min="4" max="4"/>
    <col width="10" customWidth="1" min="5" max="5"/>
    <col width="11" customWidth="1" min="6" max="6"/>
    <col width="28" customWidth="1" min="7" max="7"/>
    <col width="14" customWidth="1" min="8" max="8"/>
    <col width="22" customWidth="1" min="9" max="9"/>
    <col width="10" customWidth="1" min="10" max="10"/>
    <col width="14" customWidth="1" min="11" max="11"/>
    <col width="11" customWidth="1" min="12" max="12"/>
    <col width="6" customWidth="1" min="13" max="13"/>
    <col width="12" customWidth="1" min="14" max="14"/>
    <col width="10" customWidth="1" min="15" max="15"/>
  </cols>
  <sheetData>
    <row r="1">
      <c r="A1" s="1" t="inlineStr">
        <is>
          <t>시공사(또는 발주처)별 모음 (자동) — 착공 현장 영업용. 산군 캡처의 「열J」 가 시공사인지 발주처인지는 미확인</t>
        </is>
      </c>
    </row>
    <row r="2">
      <c r="A2">
        <f>"시공사 "&amp;COUNTIF(B4:B203,"?*")&amp;"곳"</f>
        <v/>
      </c>
    </row>
    <row r="3">
      <c r="A3" s="3" t="inlineStr">
        <is>
          <t>번호</t>
        </is>
      </c>
      <c r="B3" s="3" t="inlineStr">
        <is>
          <t>시공사</t>
        </is>
      </c>
      <c r="C3" s="3" t="inlineStr">
        <is>
          <t>대상 현장</t>
        </is>
      </c>
      <c r="D3" s="3" t="inlineStr">
        <is>
          <t>★ 수</t>
        </is>
      </c>
      <c r="E3" s="3" t="inlineStr">
        <is>
          <t>최대 연면적</t>
        </is>
      </c>
      <c r="F3" s="3" t="inlineStr">
        <is>
          <t>최근 착공일</t>
        </is>
      </c>
      <c r="G3" s="3" t="inlineStr">
        <is>
          <t>대표 현장</t>
        </is>
      </c>
      <c r="H3" s="3" t="inlineStr">
        <is>
          <t>지역</t>
        </is>
      </c>
      <c r="I3" s="3" t="inlineStr">
        <is>
          <t>설계사(같은 현장)</t>
        </is>
      </c>
      <c r="J3" s="3" t="inlineStr">
        <is>
          <t>담당자</t>
        </is>
      </c>
      <c r="K3" s="3" t="inlineStr">
        <is>
          <t>전화</t>
        </is>
      </c>
      <c r="L3" s="3" t="inlineStr">
        <is>
          <t>마지막 방문</t>
        </is>
      </c>
      <c r="M3" s="3" t="inlineStr">
        <is>
          <t>경과일</t>
        </is>
      </c>
      <c r="N3" s="3" t="inlineStr">
        <is>
          <t>최근 결과</t>
        </is>
      </c>
      <c r="O3" s="3" t="inlineStr">
        <is>
          <t>상태</t>
        </is>
      </c>
    </row>
    <row r="4">
      <c r="A4" s="5">
        <f>MAP(B4:B203,SEQUENCE(200),LAMBDA(x_n,x_i,IF(x_n="","",x_i)))</f>
        <v/>
      </c>
      <c r="B4" s="5">
        <f>IFERROR(UNIQUE(FILTER('2.현장'!$AC$2:$AC$1001,'2.현장'!$T$2:$T$1001=TRUE,'2.현장'!$AC$2:$AC$1001&lt;&gt;"")),"")</f>
        <v/>
      </c>
      <c r="C4" s="5">
        <f>MAP(B4:B203,LAMBDA(x_n,IF(x_n="","",COUNTIFS('2.현장'!$AC$2:$AC$1001,x_n,'2.현장'!$T$2:$T$1001,TRUE))))</f>
        <v/>
      </c>
      <c r="D4" s="5">
        <f>MAP(B4:B203,LAMBDA(x_n,IF(x_n="","",COUNTIFS('2.현장'!$AC$2:$AC$1001,x_n,'2.현장'!$T$2:$T$1001,TRUE,'2.현장'!$AA$2:$AA$1001,"★"))))</f>
        <v/>
      </c>
      <c r="E4" s="7">
        <f>MAP(B4:B203,LAMBDA(x_n,IF(x_n="","",MAXIFS('2.현장'!$D$2:$D$1001,'2.현장'!$AC$2:$AC$1001,x_n,'2.현장'!$T$2:$T$1001,TRUE))))</f>
        <v/>
      </c>
      <c r="F4" s="8">
        <f>MAP(B4:B203,LAMBDA(x_n,IF(x_n="","",IF(MAXIFS('2.현장'!$M$2:$M$1001,'2.현장'!$AC$2:$AC$1001,x_n,'2.현장'!$T$2:$T$1001,TRUE)=0,"",MAXIFS('2.현장'!$M$2:$M$1001,'2.현장'!$AC$2:$AC$1001,x_n,'2.현장'!$T$2:$T$1001,TRUE)))))</f>
        <v/>
      </c>
      <c r="G4" s="5">
        <f>MAP(B4:B203,LAMBDA(x_n,IF(x_n="","",IFERROR(INDEX('2.현장'!$C$2:$C$1001,MATCH(1,('2.현장'!$AC$2:$AC$1001=x_n)*('2.현장'!$T$2:$T$1001=TRUE),0)),""))))</f>
        <v/>
      </c>
      <c r="H4" s="5">
        <f>MAP(B4:B203,LAMBDA(x_n,IF(x_n="","",IFERROR(INDEX('2.현장'!$N$2:$N$1001,MATCH(1,('2.현장'!$AC$2:$AC$1001=x_n)*('2.현장'!$T$2:$T$1001=TRUE),0)),""))))</f>
        <v/>
      </c>
      <c r="I4" s="5">
        <f>MAP(B4:B203,LAMBDA(x_n,IF(x_n="","",IFERROR(INDEX('2.현장'!$G$2:$G$1001,MATCH(1,('2.현장'!$AC$2:$AC$1001=x_n)*('2.현장'!$T$2:$T$1001=TRUE),0)),""))))</f>
        <v/>
      </c>
      <c r="J4" s="5">
        <f>MAP(B4:B203,LAMBDA(x_n,IF(x_n="","",IFERROR(VLOOKUP(x_n,업체_메모!$A$3:$I$302,2,FALSE)&amp;"",""))))</f>
        <v/>
      </c>
      <c r="K4" s="5">
        <f>MAP(B4:B203,LAMBDA(x_n,IF(x_n="","",IFERROR(VLOOKUP(x_n,업체_메모!$A$3:$I$302,4,FALSE)&amp;"",""))))</f>
        <v/>
      </c>
      <c r="L4" s="8">
        <f>MAP(B4:B203,LAMBDA(x_n,IF(x_n="","",IF(COUNTIF('4.방문기록'!$B$3:$B$502,x_n)=0,"",MAXIFS('4.방문기록'!$A$3:$A$502,'4.방문기록'!$B$3:$B$502,x_n)))))</f>
        <v/>
      </c>
      <c r="M4" s="5">
        <f>MAP(L4:L203,LAMBDA(x_o,IF(x_o="","",설정!$B$24-x_o)))</f>
        <v/>
      </c>
      <c r="N4" s="5">
        <f>MAP(B4:B203,L4:L203,LAMBDA(x_n,x_o,IF(x_o="","",IFERROR(INDEX('4.방문기록'!$H$3:$H$502,MATCH(x_n&amp;"|"&amp;(x_o*1),'4.방문기록'!$I$3:$I$502,0))&amp;"",""))))</f>
        <v/>
      </c>
      <c r="O4" s="5">
        <f>MAP(B4:B203,L4:L203,M4:M203,N4:N203,LAMBDA(x_n,x_o,x_p,x_rr,IF(x_n="","",IF(x_rr="관심 없음","제외",IF(x_o="","안 가봄",IF(x_p&gt;=설정!$B$20,x_p&amp;"일 지남","최근 방문"))))))</f>
        <v/>
      </c>
    </row>
    <row r="5">
      <c r="E5" s="6" t="n"/>
      <c r="F5" s="10" t="n"/>
      <c r="L5" s="10" t="n"/>
    </row>
    <row r="6">
      <c r="E6" s="6" t="n"/>
      <c r="F6" s="10" t="n"/>
      <c r="L6" s="10" t="n"/>
    </row>
    <row r="7">
      <c r="E7" s="6" t="n"/>
      <c r="F7" s="10" t="n"/>
      <c r="L7" s="10" t="n"/>
    </row>
    <row r="8">
      <c r="E8" s="6" t="n"/>
      <c r="F8" s="10" t="n"/>
      <c r="L8" s="10" t="n"/>
    </row>
    <row r="9">
      <c r="E9" s="6" t="n"/>
      <c r="F9" s="10" t="n"/>
      <c r="L9" s="10" t="n"/>
    </row>
    <row r="10">
      <c r="E10" s="6" t="n"/>
      <c r="F10" s="10" t="n"/>
      <c r="L10" s="10" t="n"/>
    </row>
    <row r="11">
      <c r="E11" s="6" t="n"/>
      <c r="F11" s="10" t="n"/>
      <c r="L11" s="10" t="n"/>
    </row>
    <row r="12">
      <c r="E12" s="6" t="n"/>
      <c r="F12" s="10" t="n"/>
      <c r="L12" s="10" t="n"/>
    </row>
    <row r="13">
      <c r="E13" s="6" t="n"/>
      <c r="F13" s="10" t="n"/>
      <c r="L13" s="10" t="n"/>
    </row>
    <row r="14">
      <c r="E14" s="6" t="n"/>
      <c r="F14" s="10" t="n"/>
      <c r="L14" s="10" t="n"/>
    </row>
    <row r="15">
      <c r="E15" s="6" t="n"/>
      <c r="F15" s="10" t="n"/>
      <c r="L15" s="10" t="n"/>
    </row>
    <row r="16">
      <c r="E16" s="6" t="n"/>
      <c r="F16" s="10" t="n"/>
      <c r="L16" s="10" t="n"/>
    </row>
    <row r="17">
      <c r="E17" s="6" t="n"/>
      <c r="F17" s="10" t="n"/>
      <c r="L17" s="10" t="n"/>
    </row>
    <row r="18">
      <c r="E18" s="6" t="n"/>
      <c r="F18" s="10" t="n"/>
      <c r="L18" s="10" t="n"/>
    </row>
    <row r="19">
      <c r="E19" s="6" t="n"/>
      <c r="F19" s="10" t="n"/>
      <c r="L19" s="10" t="n"/>
    </row>
    <row r="20">
      <c r="E20" s="6" t="n"/>
      <c r="F20" s="10" t="n"/>
      <c r="L20" s="10" t="n"/>
    </row>
    <row r="21">
      <c r="E21" s="6" t="n"/>
      <c r="F21" s="10" t="n"/>
      <c r="L21" s="10" t="n"/>
    </row>
    <row r="22">
      <c r="E22" s="6" t="n"/>
      <c r="F22" s="10" t="n"/>
      <c r="L22" s="10" t="n"/>
    </row>
    <row r="23">
      <c r="E23" s="6" t="n"/>
      <c r="F23" s="10" t="n"/>
      <c r="L23" s="10" t="n"/>
    </row>
    <row r="24">
      <c r="E24" s="6" t="n"/>
      <c r="F24" s="10" t="n"/>
      <c r="L24" s="10" t="n"/>
    </row>
    <row r="25">
      <c r="E25" s="6" t="n"/>
      <c r="F25" s="10" t="n"/>
      <c r="L25" s="10" t="n"/>
    </row>
    <row r="26">
      <c r="E26" s="6" t="n"/>
      <c r="F26" s="10" t="n"/>
      <c r="L26" s="10" t="n"/>
    </row>
    <row r="27">
      <c r="E27" s="6" t="n"/>
      <c r="F27" s="10" t="n"/>
      <c r="L27" s="10" t="n"/>
    </row>
    <row r="28">
      <c r="E28" s="6" t="n"/>
      <c r="F28" s="10" t="n"/>
      <c r="L28" s="10" t="n"/>
    </row>
    <row r="29">
      <c r="E29" s="6" t="n"/>
      <c r="F29" s="10" t="n"/>
      <c r="L29" s="10" t="n"/>
    </row>
    <row r="30">
      <c r="E30" s="6" t="n"/>
      <c r="F30" s="10" t="n"/>
      <c r="L30" s="10" t="n"/>
    </row>
    <row r="31">
      <c r="E31" s="6" t="n"/>
      <c r="F31" s="10" t="n"/>
      <c r="L31" s="10" t="n"/>
    </row>
    <row r="32">
      <c r="E32" s="6" t="n"/>
      <c r="F32" s="10" t="n"/>
      <c r="L32" s="10" t="n"/>
    </row>
    <row r="33">
      <c r="E33" s="6" t="n"/>
      <c r="F33" s="10" t="n"/>
      <c r="L33" s="10" t="n"/>
    </row>
    <row r="34">
      <c r="E34" s="6" t="n"/>
      <c r="F34" s="10" t="n"/>
      <c r="L34" s="10" t="n"/>
    </row>
    <row r="35">
      <c r="E35" s="6" t="n"/>
      <c r="F35" s="10" t="n"/>
      <c r="L35" s="10" t="n"/>
    </row>
    <row r="36">
      <c r="E36" s="6" t="n"/>
      <c r="F36" s="10" t="n"/>
      <c r="L36" s="10" t="n"/>
    </row>
    <row r="37">
      <c r="E37" s="6" t="n"/>
      <c r="F37" s="10" t="n"/>
      <c r="L37" s="10" t="n"/>
    </row>
    <row r="38">
      <c r="E38" s="6" t="n"/>
      <c r="F38" s="10" t="n"/>
      <c r="L38" s="10" t="n"/>
    </row>
    <row r="39">
      <c r="E39" s="6" t="n"/>
      <c r="F39" s="10" t="n"/>
      <c r="L39" s="10" t="n"/>
    </row>
    <row r="40">
      <c r="E40" s="6" t="n"/>
      <c r="F40" s="10" t="n"/>
      <c r="L40" s="10" t="n"/>
    </row>
    <row r="41">
      <c r="E41" s="6" t="n"/>
      <c r="F41" s="10" t="n"/>
      <c r="L41" s="10" t="n"/>
    </row>
    <row r="42">
      <c r="E42" s="6" t="n"/>
      <c r="F42" s="10" t="n"/>
      <c r="L42" s="10" t="n"/>
    </row>
    <row r="43">
      <c r="E43" s="6" t="n"/>
      <c r="F43" s="10" t="n"/>
      <c r="L43" s="10" t="n"/>
    </row>
    <row r="44">
      <c r="E44" s="6" t="n"/>
      <c r="F44" s="10" t="n"/>
      <c r="L44" s="10" t="n"/>
    </row>
    <row r="45">
      <c r="E45" s="6" t="n"/>
      <c r="F45" s="10" t="n"/>
      <c r="L45" s="10" t="n"/>
    </row>
    <row r="46">
      <c r="E46" s="6" t="n"/>
      <c r="F46" s="10" t="n"/>
      <c r="L46" s="10" t="n"/>
    </row>
    <row r="47">
      <c r="E47" s="6" t="n"/>
      <c r="F47" s="10" t="n"/>
      <c r="L47" s="10" t="n"/>
    </row>
    <row r="48">
      <c r="E48" s="6" t="n"/>
      <c r="F48" s="10" t="n"/>
      <c r="L48" s="10" t="n"/>
    </row>
    <row r="49">
      <c r="E49" s="6" t="n"/>
      <c r="F49" s="10" t="n"/>
      <c r="L49" s="10" t="n"/>
    </row>
    <row r="50">
      <c r="E50" s="6" t="n"/>
      <c r="F50" s="10" t="n"/>
      <c r="L50" s="10" t="n"/>
    </row>
    <row r="51">
      <c r="E51" s="6" t="n"/>
      <c r="F51" s="10" t="n"/>
      <c r="L51" s="10" t="n"/>
    </row>
    <row r="52">
      <c r="E52" s="6" t="n"/>
      <c r="F52" s="10" t="n"/>
      <c r="L52" s="10" t="n"/>
    </row>
    <row r="53">
      <c r="E53" s="6" t="n"/>
      <c r="F53" s="10" t="n"/>
      <c r="L53" s="10" t="n"/>
    </row>
    <row r="54">
      <c r="E54" s="6" t="n"/>
      <c r="F54" s="10" t="n"/>
      <c r="L54" s="10" t="n"/>
    </row>
    <row r="55">
      <c r="E55" s="6" t="n"/>
      <c r="F55" s="10" t="n"/>
      <c r="L55" s="10" t="n"/>
    </row>
    <row r="56">
      <c r="E56" s="6" t="n"/>
      <c r="F56" s="10" t="n"/>
      <c r="L56" s="10" t="n"/>
    </row>
    <row r="57">
      <c r="E57" s="6" t="n"/>
      <c r="F57" s="10" t="n"/>
      <c r="L57" s="10" t="n"/>
    </row>
    <row r="58">
      <c r="E58" s="6" t="n"/>
      <c r="F58" s="10" t="n"/>
      <c r="L58" s="10" t="n"/>
    </row>
    <row r="59">
      <c r="E59" s="6" t="n"/>
      <c r="F59" s="10" t="n"/>
      <c r="L59" s="10" t="n"/>
    </row>
    <row r="60">
      <c r="E60" s="6" t="n"/>
      <c r="F60" s="10" t="n"/>
      <c r="L60" s="10" t="n"/>
    </row>
    <row r="61">
      <c r="E61" s="6" t="n"/>
      <c r="F61" s="10" t="n"/>
      <c r="L61" s="10" t="n"/>
    </row>
    <row r="62">
      <c r="E62" s="6" t="n"/>
      <c r="F62" s="10" t="n"/>
      <c r="L62" s="10" t="n"/>
    </row>
    <row r="63">
      <c r="E63" s="6" t="n"/>
      <c r="F63" s="10" t="n"/>
      <c r="L63" s="10" t="n"/>
    </row>
    <row r="64">
      <c r="E64" s="6" t="n"/>
      <c r="F64" s="10" t="n"/>
      <c r="L64" s="10" t="n"/>
    </row>
    <row r="65">
      <c r="E65" s="6" t="n"/>
      <c r="F65" s="10" t="n"/>
      <c r="L65" s="10" t="n"/>
    </row>
    <row r="66">
      <c r="E66" s="6" t="n"/>
      <c r="F66" s="10" t="n"/>
      <c r="L66" s="10" t="n"/>
    </row>
    <row r="67">
      <c r="E67" s="6" t="n"/>
      <c r="F67" s="10" t="n"/>
      <c r="L67" s="10" t="n"/>
    </row>
    <row r="68">
      <c r="E68" s="6" t="n"/>
      <c r="F68" s="10" t="n"/>
      <c r="L68" s="10" t="n"/>
    </row>
    <row r="69">
      <c r="E69" s="6" t="n"/>
      <c r="F69" s="10" t="n"/>
      <c r="L69" s="10" t="n"/>
    </row>
    <row r="70">
      <c r="E70" s="6" t="n"/>
      <c r="F70" s="10" t="n"/>
      <c r="L70" s="10" t="n"/>
    </row>
    <row r="71">
      <c r="E71" s="6" t="n"/>
      <c r="F71" s="10" t="n"/>
      <c r="L71" s="10" t="n"/>
    </row>
    <row r="72">
      <c r="E72" s="6" t="n"/>
      <c r="F72" s="10" t="n"/>
      <c r="L72" s="10" t="n"/>
    </row>
    <row r="73">
      <c r="E73" s="6" t="n"/>
      <c r="F73" s="10" t="n"/>
      <c r="L73" s="10" t="n"/>
    </row>
    <row r="74">
      <c r="E74" s="6" t="n"/>
      <c r="F74" s="10" t="n"/>
      <c r="L74" s="10" t="n"/>
    </row>
    <row r="75">
      <c r="E75" s="6" t="n"/>
      <c r="F75" s="10" t="n"/>
      <c r="L75" s="10" t="n"/>
    </row>
    <row r="76">
      <c r="E76" s="6" t="n"/>
      <c r="F76" s="10" t="n"/>
      <c r="L76" s="10" t="n"/>
    </row>
    <row r="77">
      <c r="E77" s="6" t="n"/>
      <c r="F77" s="10" t="n"/>
      <c r="L77" s="10" t="n"/>
    </row>
    <row r="78">
      <c r="E78" s="6" t="n"/>
      <c r="F78" s="10" t="n"/>
      <c r="L78" s="10" t="n"/>
    </row>
    <row r="79">
      <c r="E79" s="6" t="n"/>
      <c r="F79" s="10" t="n"/>
      <c r="L79" s="10" t="n"/>
    </row>
    <row r="80">
      <c r="E80" s="6" t="n"/>
      <c r="F80" s="10" t="n"/>
      <c r="L80" s="10" t="n"/>
    </row>
    <row r="81">
      <c r="E81" s="6" t="n"/>
      <c r="F81" s="10" t="n"/>
      <c r="L81" s="10" t="n"/>
    </row>
    <row r="82">
      <c r="E82" s="6" t="n"/>
      <c r="F82" s="10" t="n"/>
      <c r="L82" s="10" t="n"/>
    </row>
    <row r="83">
      <c r="E83" s="6" t="n"/>
      <c r="F83" s="10" t="n"/>
      <c r="L83" s="10" t="n"/>
    </row>
    <row r="84">
      <c r="E84" s="6" t="n"/>
      <c r="F84" s="10" t="n"/>
      <c r="L84" s="10" t="n"/>
    </row>
    <row r="85">
      <c r="E85" s="6" t="n"/>
      <c r="F85" s="10" t="n"/>
      <c r="L85" s="10" t="n"/>
    </row>
    <row r="86">
      <c r="E86" s="6" t="n"/>
      <c r="F86" s="10" t="n"/>
      <c r="L86" s="10" t="n"/>
    </row>
    <row r="87">
      <c r="E87" s="6" t="n"/>
      <c r="F87" s="10" t="n"/>
      <c r="L87" s="10" t="n"/>
    </row>
    <row r="88">
      <c r="E88" s="6" t="n"/>
      <c r="F88" s="10" t="n"/>
      <c r="L88" s="10" t="n"/>
    </row>
    <row r="89">
      <c r="E89" s="6" t="n"/>
      <c r="F89" s="10" t="n"/>
      <c r="L89" s="10" t="n"/>
    </row>
    <row r="90">
      <c r="E90" s="6" t="n"/>
      <c r="F90" s="10" t="n"/>
      <c r="L90" s="10" t="n"/>
    </row>
    <row r="91">
      <c r="E91" s="6" t="n"/>
      <c r="F91" s="10" t="n"/>
      <c r="L91" s="10" t="n"/>
    </row>
    <row r="92">
      <c r="E92" s="6" t="n"/>
      <c r="F92" s="10" t="n"/>
      <c r="L92" s="10" t="n"/>
    </row>
    <row r="93">
      <c r="E93" s="6" t="n"/>
      <c r="F93" s="10" t="n"/>
      <c r="L93" s="10" t="n"/>
    </row>
    <row r="94">
      <c r="E94" s="6" t="n"/>
      <c r="F94" s="10" t="n"/>
      <c r="L94" s="10" t="n"/>
    </row>
    <row r="95">
      <c r="E95" s="6" t="n"/>
      <c r="F95" s="10" t="n"/>
      <c r="L95" s="10" t="n"/>
    </row>
    <row r="96">
      <c r="E96" s="6" t="n"/>
      <c r="F96" s="10" t="n"/>
      <c r="L96" s="10" t="n"/>
    </row>
    <row r="97">
      <c r="E97" s="6" t="n"/>
      <c r="F97" s="10" t="n"/>
      <c r="L97" s="10" t="n"/>
    </row>
    <row r="98">
      <c r="E98" s="6" t="n"/>
      <c r="F98" s="10" t="n"/>
      <c r="L98" s="10" t="n"/>
    </row>
    <row r="99">
      <c r="E99" s="6" t="n"/>
      <c r="F99" s="10" t="n"/>
      <c r="L99" s="10" t="n"/>
    </row>
    <row r="100">
      <c r="E100" s="6" t="n"/>
      <c r="F100" s="10" t="n"/>
      <c r="L100" s="10" t="n"/>
    </row>
    <row r="101">
      <c r="E101" s="6" t="n"/>
      <c r="F101" s="10" t="n"/>
      <c r="L101" s="10" t="n"/>
    </row>
    <row r="102">
      <c r="E102" s="6" t="n"/>
      <c r="F102" s="10" t="n"/>
      <c r="L102" s="10" t="n"/>
    </row>
    <row r="103">
      <c r="E103" s="6" t="n"/>
      <c r="F103" s="10" t="n"/>
      <c r="L103" s="10" t="n"/>
    </row>
    <row r="104">
      <c r="E104" s="6" t="n"/>
      <c r="F104" s="10" t="n"/>
      <c r="L104" s="10" t="n"/>
    </row>
    <row r="105">
      <c r="E105" s="6" t="n"/>
      <c r="F105" s="10" t="n"/>
      <c r="L105" s="10" t="n"/>
    </row>
    <row r="106">
      <c r="E106" s="6" t="n"/>
      <c r="F106" s="10" t="n"/>
      <c r="L106" s="10" t="n"/>
    </row>
    <row r="107">
      <c r="E107" s="6" t="n"/>
      <c r="F107" s="10" t="n"/>
      <c r="L107" s="10" t="n"/>
    </row>
    <row r="108">
      <c r="E108" s="6" t="n"/>
      <c r="F108" s="10" t="n"/>
      <c r="L108" s="10" t="n"/>
    </row>
    <row r="109">
      <c r="E109" s="6" t="n"/>
      <c r="F109" s="10" t="n"/>
      <c r="L109" s="10" t="n"/>
    </row>
    <row r="110">
      <c r="E110" s="6" t="n"/>
      <c r="F110" s="10" t="n"/>
      <c r="L110" s="10" t="n"/>
    </row>
    <row r="111">
      <c r="E111" s="6" t="n"/>
      <c r="F111" s="10" t="n"/>
      <c r="L111" s="10" t="n"/>
    </row>
    <row r="112">
      <c r="E112" s="6" t="n"/>
      <c r="F112" s="10" t="n"/>
      <c r="L112" s="10" t="n"/>
    </row>
    <row r="113">
      <c r="E113" s="6" t="n"/>
      <c r="F113" s="10" t="n"/>
      <c r="L113" s="10" t="n"/>
    </row>
    <row r="114">
      <c r="E114" s="6" t="n"/>
      <c r="F114" s="10" t="n"/>
      <c r="L114" s="10" t="n"/>
    </row>
    <row r="115">
      <c r="E115" s="6" t="n"/>
      <c r="F115" s="10" t="n"/>
      <c r="L115" s="10" t="n"/>
    </row>
    <row r="116">
      <c r="E116" s="6" t="n"/>
      <c r="F116" s="10" t="n"/>
      <c r="L116" s="10" t="n"/>
    </row>
    <row r="117">
      <c r="E117" s="6" t="n"/>
      <c r="F117" s="10" t="n"/>
      <c r="L117" s="10" t="n"/>
    </row>
    <row r="118">
      <c r="E118" s="6" t="n"/>
      <c r="F118" s="10" t="n"/>
      <c r="L118" s="10" t="n"/>
    </row>
    <row r="119">
      <c r="E119" s="6" t="n"/>
      <c r="F119" s="10" t="n"/>
      <c r="L119" s="10" t="n"/>
    </row>
    <row r="120">
      <c r="E120" s="6" t="n"/>
      <c r="F120" s="10" t="n"/>
      <c r="L120" s="10" t="n"/>
    </row>
    <row r="121">
      <c r="E121" s="6" t="n"/>
      <c r="F121" s="10" t="n"/>
      <c r="L121" s="10" t="n"/>
    </row>
    <row r="122">
      <c r="E122" s="6" t="n"/>
      <c r="F122" s="10" t="n"/>
      <c r="L122" s="10" t="n"/>
    </row>
    <row r="123">
      <c r="E123" s="6" t="n"/>
      <c r="F123" s="10" t="n"/>
      <c r="L123" s="10" t="n"/>
    </row>
    <row r="124">
      <c r="E124" s="6" t="n"/>
      <c r="F124" s="10" t="n"/>
      <c r="L124" s="10" t="n"/>
    </row>
    <row r="125">
      <c r="E125" s="6" t="n"/>
      <c r="F125" s="10" t="n"/>
      <c r="L125" s="10" t="n"/>
    </row>
    <row r="126">
      <c r="E126" s="6" t="n"/>
      <c r="F126" s="10" t="n"/>
      <c r="L126" s="10" t="n"/>
    </row>
    <row r="127">
      <c r="E127" s="6" t="n"/>
      <c r="F127" s="10" t="n"/>
      <c r="L127" s="10" t="n"/>
    </row>
    <row r="128">
      <c r="E128" s="6" t="n"/>
      <c r="F128" s="10" t="n"/>
      <c r="L128" s="10" t="n"/>
    </row>
    <row r="129">
      <c r="E129" s="6" t="n"/>
      <c r="F129" s="10" t="n"/>
      <c r="L129" s="10" t="n"/>
    </row>
    <row r="130">
      <c r="E130" s="6" t="n"/>
      <c r="F130" s="10" t="n"/>
      <c r="L130" s="10" t="n"/>
    </row>
    <row r="131">
      <c r="E131" s="6" t="n"/>
      <c r="F131" s="10" t="n"/>
      <c r="L131" s="10" t="n"/>
    </row>
    <row r="132">
      <c r="E132" s="6" t="n"/>
      <c r="F132" s="10" t="n"/>
      <c r="L132" s="10" t="n"/>
    </row>
    <row r="133">
      <c r="E133" s="6" t="n"/>
      <c r="F133" s="10" t="n"/>
      <c r="L133" s="10" t="n"/>
    </row>
    <row r="134">
      <c r="E134" s="6" t="n"/>
      <c r="F134" s="10" t="n"/>
      <c r="L134" s="10" t="n"/>
    </row>
    <row r="135">
      <c r="E135" s="6" t="n"/>
      <c r="F135" s="10" t="n"/>
      <c r="L135" s="10" t="n"/>
    </row>
    <row r="136">
      <c r="E136" s="6" t="n"/>
      <c r="F136" s="10" t="n"/>
      <c r="L136" s="10" t="n"/>
    </row>
    <row r="137">
      <c r="E137" s="6" t="n"/>
      <c r="F137" s="10" t="n"/>
      <c r="L137" s="10" t="n"/>
    </row>
    <row r="138">
      <c r="E138" s="6" t="n"/>
      <c r="F138" s="10" t="n"/>
      <c r="L138" s="10" t="n"/>
    </row>
    <row r="139">
      <c r="E139" s="6" t="n"/>
      <c r="F139" s="10" t="n"/>
      <c r="L139" s="10" t="n"/>
    </row>
    <row r="140">
      <c r="E140" s="6" t="n"/>
      <c r="F140" s="10" t="n"/>
      <c r="L140" s="10" t="n"/>
    </row>
    <row r="141">
      <c r="E141" s="6" t="n"/>
      <c r="F141" s="10" t="n"/>
      <c r="L141" s="10" t="n"/>
    </row>
    <row r="142">
      <c r="E142" s="6" t="n"/>
      <c r="F142" s="10" t="n"/>
      <c r="L142" s="10" t="n"/>
    </row>
    <row r="143">
      <c r="E143" s="6" t="n"/>
      <c r="F143" s="10" t="n"/>
      <c r="L143" s="10" t="n"/>
    </row>
    <row r="144">
      <c r="E144" s="6" t="n"/>
      <c r="F144" s="10" t="n"/>
      <c r="L144" s="10" t="n"/>
    </row>
    <row r="145">
      <c r="E145" s="6" t="n"/>
      <c r="F145" s="10" t="n"/>
      <c r="L145" s="10" t="n"/>
    </row>
    <row r="146">
      <c r="E146" s="6" t="n"/>
      <c r="F146" s="10" t="n"/>
      <c r="L146" s="10" t="n"/>
    </row>
    <row r="147">
      <c r="E147" s="6" t="n"/>
      <c r="F147" s="10" t="n"/>
      <c r="L147" s="10" t="n"/>
    </row>
    <row r="148">
      <c r="E148" s="6" t="n"/>
      <c r="F148" s="10" t="n"/>
      <c r="L148" s="10" t="n"/>
    </row>
    <row r="149">
      <c r="E149" s="6" t="n"/>
      <c r="F149" s="10" t="n"/>
      <c r="L149" s="10" t="n"/>
    </row>
    <row r="150">
      <c r="E150" s="6" t="n"/>
      <c r="F150" s="10" t="n"/>
      <c r="L150" s="10" t="n"/>
    </row>
    <row r="151">
      <c r="E151" s="6" t="n"/>
      <c r="F151" s="10" t="n"/>
      <c r="L151" s="10" t="n"/>
    </row>
    <row r="152">
      <c r="E152" s="6" t="n"/>
      <c r="F152" s="10" t="n"/>
      <c r="L152" s="10" t="n"/>
    </row>
    <row r="153">
      <c r="E153" s="6" t="n"/>
      <c r="F153" s="10" t="n"/>
      <c r="L153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4" customWidth="1" min="3" max="3"/>
    <col width="12" customWidth="1" min="4" max="4"/>
    <col width="40" customWidth="1" min="5" max="5"/>
    <col width="11" customWidth="1" min="6" max="6"/>
    <col width="24" customWidth="1" min="7" max="7"/>
    <col width="14" customWidth="1" min="8" max="8"/>
    <col hidden="1" width="13" customWidth="1" min="9" max="9"/>
    <col hidden="1" width="13" customWidth="1" min="10" max="10"/>
  </cols>
  <sheetData>
    <row r="1">
      <c r="A1" s="4" t="inlineStr">
        <is>
          <t>방문·통화 기록 — 다녀오시면 한 줄 (날짜·업체·결과만 넣어도 됩니다). 설계사·시공사 모두</t>
        </is>
      </c>
    </row>
    <row r="2">
      <c r="A2" s="3" t="inlineStr">
        <is>
          <t>날짜</t>
        </is>
      </c>
      <c r="B2" s="3" t="inlineStr">
        <is>
          <t>업체(설계사·시공사)</t>
        </is>
      </c>
      <c r="C2" s="3" t="inlineStr">
        <is>
          <t>관련 현장</t>
        </is>
      </c>
      <c r="D2" s="3" t="inlineStr">
        <is>
          <t>만난 사람</t>
        </is>
      </c>
      <c r="E2" s="3" t="inlineStr">
        <is>
          <t>들은 것</t>
        </is>
      </c>
      <c r="F2" s="3" t="inlineStr">
        <is>
          <t>다음 약속일</t>
        </is>
      </c>
      <c r="G2" s="3" t="inlineStr">
        <is>
          <t>다음 할 것</t>
        </is>
      </c>
      <c r="H2" s="3" t="inlineStr">
        <is>
          <t>결과</t>
        </is>
      </c>
      <c r="I2" s="3" t="inlineStr">
        <is>
          <t>키(자동)</t>
        </is>
      </c>
      <c r="J2" s="3" t="inlineStr">
        <is>
          <t>목록에없음(자동)</t>
        </is>
      </c>
    </row>
    <row r="3">
      <c r="A3" s="10" t="n"/>
      <c r="F3" s="10" t="n"/>
      <c r="I3">
        <f>MAP(A3:A502,B3:B502,LAMBDA(x_a,x_b,IF(x_a="","",x_b&amp;"|"&amp;(x_a*1))))</f>
        <v/>
      </c>
      <c r="J3">
        <f>MAP(B3:B502,LAMBDA(x_b,IF(x_b="",0,IF(COUNTIF('3.설계사'!$B$4:$B$303,x_b)+COUNTIF('3b.시공사'!$B$4:$B$203,x_b)=0,1,0))))</f>
        <v/>
      </c>
    </row>
    <row r="4">
      <c r="A4" s="10" t="n"/>
      <c r="F4" s="10" t="n"/>
    </row>
    <row r="5">
      <c r="A5" s="10" t="n"/>
      <c r="F5" s="10" t="n"/>
    </row>
    <row r="6">
      <c r="A6" s="10" t="n"/>
      <c r="F6" s="10" t="n"/>
    </row>
    <row r="7">
      <c r="A7" s="10" t="n"/>
      <c r="F7" s="10" t="n"/>
    </row>
    <row r="8">
      <c r="A8" s="10" t="n"/>
      <c r="F8" s="10" t="n"/>
    </row>
    <row r="9">
      <c r="A9" s="10" t="n"/>
      <c r="F9" s="10" t="n"/>
    </row>
    <row r="10">
      <c r="A10" s="10" t="n"/>
      <c r="F10" s="10" t="n"/>
    </row>
    <row r="11">
      <c r="A11" s="10" t="n"/>
      <c r="F11" s="10" t="n"/>
    </row>
    <row r="12">
      <c r="A12" s="10" t="n"/>
      <c r="F12" s="10" t="n"/>
    </row>
    <row r="13">
      <c r="A13" s="10" t="n"/>
      <c r="F13" s="10" t="n"/>
    </row>
    <row r="14">
      <c r="A14" s="10" t="n"/>
      <c r="F14" s="10" t="n"/>
    </row>
    <row r="15">
      <c r="A15" s="10" t="n"/>
      <c r="F15" s="10" t="n"/>
    </row>
    <row r="16">
      <c r="A16" s="10" t="n"/>
      <c r="F16" s="10" t="n"/>
    </row>
    <row r="17">
      <c r="A17" s="10" t="n"/>
      <c r="F17" s="10" t="n"/>
    </row>
    <row r="18">
      <c r="A18" s="10" t="n"/>
      <c r="F18" s="10" t="n"/>
    </row>
    <row r="19">
      <c r="A19" s="10" t="n"/>
      <c r="F19" s="10" t="n"/>
    </row>
    <row r="20">
      <c r="A20" s="10" t="n"/>
      <c r="F20" s="10" t="n"/>
    </row>
    <row r="21">
      <c r="A21" s="10" t="n"/>
      <c r="F21" s="10" t="n"/>
    </row>
    <row r="22">
      <c r="A22" s="10" t="n"/>
      <c r="F22" s="10" t="n"/>
    </row>
    <row r="23">
      <c r="A23" s="10" t="n"/>
      <c r="F23" s="10" t="n"/>
    </row>
    <row r="24">
      <c r="A24" s="10" t="n"/>
      <c r="F24" s="10" t="n"/>
    </row>
    <row r="25">
      <c r="A25" s="10" t="n"/>
      <c r="F25" s="10" t="n"/>
    </row>
    <row r="26">
      <c r="A26" s="10" t="n"/>
      <c r="F26" s="10" t="n"/>
    </row>
    <row r="27">
      <c r="A27" s="10" t="n"/>
      <c r="F27" s="10" t="n"/>
    </row>
    <row r="28">
      <c r="A28" s="10" t="n"/>
      <c r="F28" s="10" t="n"/>
    </row>
    <row r="29">
      <c r="A29" s="10" t="n"/>
      <c r="F29" s="10" t="n"/>
    </row>
    <row r="30">
      <c r="A30" s="10" t="n"/>
      <c r="F30" s="10" t="n"/>
    </row>
    <row r="31">
      <c r="A31" s="10" t="n"/>
      <c r="F31" s="10" t="n"/>
    </row>
    <row r="32">
      <c r="A32" s="10" t="n"/>
      <c r="F32" s="10" t="n"/>
    </row>
    <row r="33">
      <c r="A33" s="10" t="n"/>
      <c r="F33" s="10" t="n"/>
    </row>
    <row r="34">
      <c r="A34" s="10" t="n"/>
      <c r="F34" s="10" t="n"/>
    </row>
    <row r="35">
      <c r="A35" s="10" t="n"/>
      <c r="F35" s="10" t="n"/>
    </row>
    <row r="36">
      <c r="A36" s="10" t="n"/>
      <c r="F36" s="10" t="n"/>
    </row>
    <row r="37">
      <c r="A37" s="10" t="n"/>
      <c r="F37" s="10" t="n"/>
    </row>
    <row r="38">
      <c r="A38" s="10" t="n"/>
      <c r="F38" s="10" t="n"/>
    </row>
    <row r="39">
      <c r="A39" s="10" t="n"/>
      <c r="F39" s="10" t="n"/>
    </row>
    <row r="40">
      <c r="A40" s="10" t="n"/>
      <c r="F40" s="10" t="n"/>
    </row>
    <row r="41">
      <c r="A41" s="10" t="n"/>
      <c r="F41" s="10" t="n"/>
    </row>
    <row r="42">
      <c r="A42" s="10" t="n"/>
      <c r="F42" s="10" t="n"/>
    </row>
    <row r="43">
      <c r="A43" s="10" t="n"/>
      <c r="F43" s="10" t="n"/>
    </row>
    <row r="44">
      <c r="A44" s="10" t="n"/>
      <c r="F44" s="10" t="n"/>
    </row>
    <row r="45">
      <c r="A45" s="10" t="n"/>
      <c r="F45" s="10" t="n"/>
    </row>
    <row r="46">
      <c r="A46" s="10" t="n"/>
      <c r="F46" s="10" t="n"/>
    </row>
    <row r="47">
      <c r="A47" s="10" t="n"/>
      <c r="F47" s="10" t="n"/>
    </row>
    <row r="48">
      <c r="A48" s="10" t="n"/>
      <c r="F48" s="10" t="n"/>
    </row>
    <row r="49">
      <c r="A49" s="10" t="n"/>
      <c r="F49" s="10" t="n"/>
    </row>
    <row r="50">
      <c r="A50" s="10" t="n"/>
      <c r="F50" s="10" t="n"/>
    </row>
    <row r="51">
      <c r="A51" s="10" t="n"/>
      <c r="F51" s="10" t="n"/>
    </row>
    <row r="52">
      <c r="A52" s="10" t="n"/>
      <c r="F52" s="10" t="n"/>
    </row>
    <row r="53">
      <c r="A53" s="10" t="n"/>
      <c r="F53" s="10" t="n"/>
    </row>
    <row r="54">
      <c r="A54" s="10" t="n"/>
      <c r="F54" s="10" t="n"/>
    </row>
    <row r="55">
      <c r="A55" s="10" t="n"/>
      <c r="F55" s="10" t="n"/>
    </row>
    <row r="56">
      <c r="A56" s="10" t="n"/>
      <c r="F56" s="10" t="n"/>
    </row>
    <row r="57">
      <c r="A57" s="10" t="n"/>
      <c r="F57" s="10" t="n"/>
    </row>
    <row r="58">
      <c r="A58" s="10" t="n"/>
      <c r="F58" s="10" t="n"/>
    </row>
    <row r="59">
      <c r="A59" s="10" t="n"/>
      <c r="F59" s="10" t="n"/>
    </row>
    <row r="60">
      <c r="A60" s="10" t="n"/>
      <c r="F60" s="10" t="n"/>
    </row>
    <row r="61">
      <c r="A61" s="10" t="n"/>
      <c r="F61" s="10" t="n"/>
    </row>
    <row r="62">
      <c r="A62" s="10" t="n"/>
      <c r="F62" s="10" t="n"/>
    </row>
    <row r="63">
      <c r="A63" s="10" t="n"/>
      <c r="F63" s="10" t="n"/>
    </row>
    <row r="64">
      <c r="A64" s="10" t="n"/>
      <c r="F64" s="10" t="n"/>
    </row>
    <row r="65">
      <c r="A65" s="10" t="n"/>
      <c r="F65" s="10" t="n"/>
    </row>
    <row r="66">
      <c r="A66" s="10" t="n"/>
      <c r="F66" s="10" t="n"/>
    </row>
    <row r="67">
      <c r="A67" s="10" t="n"/>
      <c r="F67" s="10" t="n"/>
    </row>
    <row r="68">
      <c r="A68" s="10" t="n"/>
      <c r="F68" s="10" t="n"/>
    </row>
    <row r="69">
      <c r="A69" s="10" t="n"/>
      <c r="F69" s="10" t="n"/>
    </row>
    <row r="70">
      <c r="A70" s="10" t="n"/>
      <c r="F70" s="10" t="n"/>
    </row>
    <row r="71">
      <c r="A71" s="10" t="n"/>
      <c r="F71" s="10" t="n"/>
    </row>
    <row r="72">
      <c r="A72" s="10" t="n"/>
      <c r="F72" s="10" t="n"/>
    </row>
    <row r="73">
      <c r="A73" s="10" t="n"/>
      <c r="F73" s="10" t="n"/>
    </row>
    <row r="74">
      <c r="A74" s="10" t="n"/>
      <c r="F74" s="10" t="n"/>
    </row>
    <row r="75">
      <c r="A75" s="10" t="n"/>
      <c r="F75" s="10" t="n"/>
    </row>
    <row r="76">
      <c r="A76" s="10" t="n"/>
      <c r="F76" s="10" t="n"/>
    </row>
    <row r="77">
      <c r="A77" s="10" t="n"/>
      <c r="F77" s="10" t="n"/>
    </row>
    <row r="78">
      <c r="A78" s="10" t="n"/>
      <c r="F78" s="10" t="n"/>
    </row>
    <row r="79">
      <c r="A79" s="10" t="n"/>
      <c r="F79" s="10" t="n"/>
    </row>
    <row r="80">
      <c r="A80" s="10" t="n"/>
      <c r="F80" s="10" t="n"/>
    </row>
    <row r="81">
      <c r="A81" s="10" t="n"/>
      <c r="F81" s="10" t="n"/>
    </row>
    <row r="82">
      <c r="A82" s="10" t="n"/>
      <c r="F82" s="10" t="n"/>
    </row>
    <row r="83">
      <c r="A83" s="10" t="n"/>
      <c r="F83" s="10" t="n"/>
    </row>
    <row r="84">
      <c r="A84" s="10" t="n"/>
      <c r="F84" s="10" t="n"/>
    </row>
    <row r="85">
      <c r="A85" s="10" t="n"/>
      <c r="F85" s="10" t="n"/>
    </row>
    <row r="86">
      <c r="A86" s="10" t="n"/>
      <c r="F86" s="10" t="n"/>
    </row>
    <row r="87">
      <c r="A87" s="10" t="n"/>
      <c r="F87" s="10" t="n"/>
    </row>
    <row r="88">
      <c r="A88" s="10" t="n"/>
      <c r="F88" s="10" t="n"/>
    </row>
    <row r="89">
      <c r="A89" s="10" t="n"/>
      <c r="F89" s="10" t="n"/>
    </row>
    <row r="90">
      <c r="A90" s="10" t="n"/>
      <c r="F90" s="10" t="n"/>
    </row>
    <row r="91">
      <c r="A91" s="10" t="n"/>
      <c r="F91" s="10" t="n"/>
    </row>
    <row r="92">
      <c r="A92" s="10" t="n"/>
      <c r="F92" s="10" t="n"/>
    </row>
    <row r="93">
      <c r="A93" s="10" t="n"/>
      <c r="F93" s="10" t="n"/>
    </row>
    <row r="94">
      <c r="A94" s="10" t="n"/>
      <c r="F94" s="10" t="n"/>
    </row>
    <row r="95">
      <c r="A95" s="10" t="n"/>
      <c r="F95" s="10" t="n"/>
    </row>
    <row r="96">
      <c r="A96" s="10" t="n"/>
      <c r="F96" s="10" t="n"/>
    </row>
    <row r="97">
      <c r="A97" s="10" t="n"/>
      <c r="F97" s="10" t="n"/>
    </row>
    <row r="98">
      <c r="A98" s="10" t="n"/>
      <c r="F98" s="10" t="n"/>
    </row>
    <row r="99">
      <c r="A99" s="10" t="n"/>
      <c r="F99" s="10" t="n"/>
    </row>
    <row r="100">
      <c r="A100" s="10" t="n"/>
      <c r="F100" s="10" t="n"/>
    </row>
    <row r="101">
      <c r="A101" s="10" t="n"/>
      <c r="F101" s="10" t="n"/>
    </row>
    <row r="102">
      <c r="A102" s="10" t="n"/>
      <c r="F102" s="10" t="n"/>
    </row>
    <row r="103">
      <c r="A103" s="10" t="n"/>
      <c r="F103" s="10" t="n"/>
    </row>
    <row r="104">
      <c r="A104" s="10" t="n"/>
      <c r="F104" s="10" t="n"/>
    </row>
    <row r="105">
      <c r="A105" s="10" t="n"/>
      <c r="F105" s="10" t="n"/>
    </row>
    <row r="106">
      <c r="A106" s="10" t="n"/>
      <c r="F106" s="10" t="n"/>
    </row>
    <row r="107">
      <c r="A107" s="10" t="n"/>
      <c r="F107" s="10" t="n"/>
    </row>
    <row r="108">
      <c r="A108" s="10" t="n"/>
      <c r="F108" s="10" t="n"/>
    </row>
    <row r="109">
      <c r="A109" s="10" t="n"/>
      <c r="F109" s="10" t="n"/>
    </row>
    <row r="110">
      <c r="A110" s="10" t="n"/>
      <c r="F110" s="10" t="n"/>
    </row>
    <row r="111">
      <c r="A111" s="10" t="n"/>
      <c r="F111" s="10" t="n"/>
    </row>
    <row r="112">
      <c r="A112" s="10" t="n"/>
      <c r="F112" s="10" t="n"/>
    </row>
    <row r="113">
      <c r="A113" s="10" t="n"/>
      <c r="F113" s="10" t="n"/>
    </row>
    <row r="114">
      <c r="A114" s="10" t="n"/>
      <c r="F114" s="10" t="n"/>
    </row>
    <row r="115">
      <c r="A115" s="10" t="n"/>
      <c r="F115" s="10" t="n"/>
    </row>
    <row r="116">
      <c r="A116" s="10" t="n"/>
      <c r="F116" s="10" t="n"/>
    </row>
    <row r="117">
      <c r="A117" s="10" t="n"/>
      <c r="F117" s="10" t="n"/>
    </row>
    <row r="118">
      <c r="A118" s="10" t="n"/>
      <c r="F118" s="10" t="n"/>
    </row>
    <row r="119">
      <c r="A119" s="10" t="n"/>
      <c r="F119" s="10" t="n"/>
    </row>
    <row r="120">
      <c r="A120" s="10" t="n"/>
      <c r="F120" s="10" t="n"/>
    </row>
    <row r="121">
      <c r="A121" s="10" t="n"/>
      <c r="F121" s="10" t="n"/>
    </row>
    <row r="122">
      <c r="A122" s="10" t="n"/>
      <c r="F122" s="10" t="n"/>
    </row>
    <row r="123">
      <c r="A123" s="10" t="n"/>
      <c r="F123" s="10" t="n"/>
    </row>
    <row r="124">
      <c r="A124" s="10" t="n"/>
      <c r="F124" s="10" t="n"/>
    </row>
    <row r="125">
      <c r="A125" s="10" t="n"/>
      <c r="F125" s="10" t="n"/>
    </row>
    <row r="126">
      <c r="A126" s="10" t="n"/>
      <c r="F126" s="10" t="n"/>
    </row>
    <row r="127">
      <c r="A127" s="10" t="n"/>
      <c r="F127" s="10" t="n"/>
    </row>
    <row r="128">
      <c r="A128" s="10" t="n"/>
      <c r="F128" s="10" t="n"/>
    </row>
    <row r="129">
      <c r="A129" s="10" t="n"/>
      <c r="F129" s="10" t="n"/>
    </row>
    <row r="130">
      <c r="A130" s="10" t="n"/>
      <c r="F130" s="10" t="n"/>
    </row>
    <row r="131">
      <c r="A131" s="10" t="n"/>
      <c r="F131" s="10" t="n"/>
    </row>
    <row r="132">
      <c r="A132" s="10" t="n"/>
      <c r="F132" s="10" t="n"/>
    </row>
    <row r="133">
      <c r="A133" s="10" t="n"/>
      <c r="F133" s="10" t="n"/>
    </row>
    <row r="134">
      <c r="A134" s="10" t="n"/>
      <c r="F134" s="10" t="n"/>
    </row>
    <row r="135">
      <c r="A135" s="10" t="n"/>
      <c r="F135" s="10" t="n"/>
    </row>
    <row r="136">
      <c r="A136" s="10" t="n"/>
      <c r="F136" s="10" t="n"/>
    </row>
    <row r="137">
      <c r="A137" s="10" t="n"/>
      <c r="F137" s="10" t="n"/>
    </row>
    <row r="138">
      <c r="A138" s="10" t="n"/>
      <c r="F138" s="10" t="n"/>
    </row>
    <row r="139">
      <c r="A139" s="10" t="n"/>
      <c r="F139" s="10" t="n"/>
    </row>
    <row r="140">
      <c r="A140" s="10" t="n"/>
      <c r="F140" s="10" t="n"/>
    </row>
    <row r="141">
      <c r="A141" s="10" t="n"/>
      <c r="F141" s="10" t="n"/>
    </row>
    <row r="142">
      <c r="A142" s="10" t="n"/>
      <c r="F142" s="10" t="n"/>
    </row>
    <row r="143">
      <c r="A143" s="10" t="n"/>
      <c r="F143" s="10" t="n"/>
    </row>
    <row r="144">
      <c r="A144" s="10" t="n"/>
      <c r="F144" s="10" t="n"/>
    </row>
    <row r="145">
      <c r="A145" s="10" t="n"/>
      <c r="F145" s="10" t="n"/>
    </row>
    <row r="146">
      <c r="A146" s="10" t="n"/>
      <c r="F146" s="10" t="n"/>
    </row>
    <row r="147">
      <c r="A147" s="10" t="n"/>
      <c r="F147" s="10" t="n"/>
    </row>
    <row r="148">
      <c r="A148" s="10" t="n"/>
      <c r="F148" s="10" t="n"/>
    </row>
    <row r="149">
      <c r="A149" s="10" t="n"/>
      <c r="F149" s="10" t="n"/>
    </row>
    <row r="150">
      <c r="A150" s="10" t="n"/>
      <c r="F150" s="10" t="n"/>
    </row>
    <row r="151">
      <c r="A151" s="10" t="n"/>
      <c r="F151" s="10" t="n"/>
    </row>
    <row r="152">
      <c r="A152" s="10" t="n"/>
      <c r="F152" s="10" t="n"/>
    </row>
  </sheetData>
  <dataValidations count="2">
    <dataValidation sqref="H3:H502" showDropDown="0" showInputMessage="0" showErrorMessage="0" allowBlank="1" type="list">
      <formula1>"설계의뢰 받음,도면 받음,자료 요청받음,재방문,부재,관심 없음"</formula1>
    </dataValidation>
    <dataValidation sqref="B3:B502" showDropDown="0" showInputMessage="0" showErrorMessage="0" allowBlank="1" type="list">
      <formula1>='3.설계사'!$B$4:$B$303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50" customWidth="1" min="3" max="3"/>
  </cols>
  <sheetData>
    <row r="1">
      <c r="A1" s="1" t="inlineStr">
        <is>
          <t>보낼 문안 — B3 에서 업체를 고르면 채워집니다(비우면 5번 1순위). [ ] 칸만 고쳐서 복사</t>
        </is>
      </c>
    </row>
    <row r="3">
      <c r="A3" t="inlineStr">
        <is>
          <t>업체 고르기</t>
        </is>
      </c>
      <c r="B3" s="12" t="n"/>
    </row>
    <row r="5">
      <c r="A5" t="inlineStr">
        <is>
          <t>쓰는 이름</t>
        </is>
      </c>
      <c r="B5" s="5">
        <f>IF(B3&lt;&gt;"",B3,IFERROR('5.이번주_갈곳'!B4&amp;"",""))</f>
        <v/>
      </c>
    </row>
    <row r="6">
      <c r="A6" t="inlineStr">
        <is>
          <t>대표 현장</t>
        </is>
      </c>
      <c r="B6" s="5">
        <f>IFERROR(INDEX('3.설계사'!$K$4:$K$303,MATCH(B5,'3.설계사'!$B$4:$B$303,0))&amp;"",IFERROR(INDEX('3b.시공사'!$G$4:$G$203,MATCH(B5,'3b.시공사'!$B$4:$B$203,0))&amp;"","[현장명]"))</f>
        <v/>
      </c>
    </row>
    <row r="7">
      <c r="A7" t="inlineStr">
        <is>
          <t>담당자</t>
        </is>
      </c>
      <c r="B7" s="5">
        <f>IF(IFERROR(VLOOKUP(B5,업체_메모!$A$3:$I$302,2,FALSE)&amp;"","")="","[담당자]",IFERROR(VLOOKUP(B5,업체_메모!$A$3:$I$302,2,FALSE)&amp;"",""))</f>
        <v/>
      </c>
    </row>
    <row r="8">
      <c r="A8" t="inlineStr">
        <is>
          <t>객실 수</t>
        </is>
      </c>
      <c r="B8" s="5">
        <f>IFERROR(IF(AND(VLOOKUP(B6,현장_조사!$A$3:$J$202,5,FALSE)&amp;""&lt;&gt;"",VLOOKUP(B6,현장_조사!$A$3:$J$202,8,FALSE)="확정"),VLOOKUP(B6,현장_조사!$A$3:$J$202,5,FALSE)&amp;"","[객실 수]"),"[객실 수]")</f>
        <v/>
      </c>
      <c r="C8" s="13" t="inlineStr">
        <is>
          <t>현장_조사 확신도가 「확정」 일 때만 자동으로 넣음(추정 숫자가 대외 메일로 나가지 않게)</t>
        </is>
      </c>
    </row>
    <row r="9">
      <c r="A9" t="inlineStr">
        <is>
          <t>전화(업체)</t>
        </is>
      </c>
      <c r="B9" s="5">
        <f>IF(IFERROR(VLOOKUP(B5,업체_메모!$A$3:$I$302,4,FALSE)&amp;"","")="","[업체 전화]",IFERROR(VLOOKUP(B5,업체_메모!$A$3:$I$302,4,FALSE)&amp;"",""))</f>
        <v/>
      </c>
    </row>
    <row r="11" ht="60" customHeight="1">
      <c r="A11" s="4" t="inlineStr">
        <is>
          <t>전화 첫마디</t>
        </is>
      </c>
      <c r="B11" s="14">
        <f>"한국마이크로닉 배성윤 차장입니다. "&amp;B6&amp;" 설계하신 걸로 알고 연락드렸습니다. 호텔 객실관리(키센서·온도조절기·조명 제어) 도면과 특기시방서를 무상으로 지원해 드리고 있어서, [날짜]에 10분만 찾아뵈어도 될까요?"</f>
        <v/>
      </c>
    </row>
    <row r="12" ht="45" customHeight="1">
      <c r="A12" s="4" t="inlineStr">
        <is>
          <t>문자(짧게)</t>
        </is>
      </c>
      <c r="B12" s="14">
        <f>"[한국마이크로닉 배성윤 차장] "&amp;B7&amp;"님, "&amp;B6&amp;" 객실관리시스템 설계(도면·특기시방서)를 무상 지원해 드립니다. [날짜] 잠시 찾아뵈어도 될지 여쭙습니다. [내 전화]"</f>
        <v/>
      </c>
    </row>
    <row r="13">
      <c r="A13" s="4" t="inlineStr">
        <is>
          <t>메일 제목</t>
        </is>
      </c>
      <c r="B13" s="14">
        <f>B6&amp;" 객실관리시스템 설계 지원 안내 — 한국마이크로닉(주)"</f>
        <v/>
      </c>
    </row>
    <row r="14" ht="230" customHeight="1">
      <c r="A14" s="4" t="inlineStr">
        <is>
          <t>메일 본문</t>
        </is>
      </c>
      <c r="B14" s="14">
        <f>B5&amp;" "&amp;B7&amp;"님께"&amp;CHAR(10)&amp;CHAR(10)&amp;"한국마이크로닉(주) 배성윤 차장입니다."&amp;CHAR(10)&amp;"진행 중이신 "&amp;B6&amp;"("&amp;B8&amp;"실)의 객실관리시스템(RCU·CB함·키센서·온도조절기·조명스위치) 설계를 무상으로 지원해 드립니다."&amp;CHAR(10)&amp;CHAR(10)&amp;"- 단위세대 평면도를 주시면 성급 기준으로 기구물 배치와 예상 수량표를 드립니다."&amp;CHAR(10)&amp;"- 특기시방서(한글 파일)를 현장에 맞춰 드립니다."&amp;CHAR(10)&amp;"- 전기설계업체용 설계 요청서도 함께 드립니다."&amp;CHAR(10)&amp;CHAR(10)&amp;"[날짜] 중 편하신 시간에 찾아뵙겠습니다."&amp;CHAR(10)&amp;CHAR(10)&amp;"한국마이크로닉(주) 배성윤 드림 / [내 전화]"</f>
        <v/>
      </c>
    </row>
    <row r="15">
      <c r="A15" s="4" t="inlineStr">
        <is>
          <t>방문 후 감사 문자</t>
        </is>
      </c>
      <c r="B15" s="14">
        <f>"[한국마이크로닉 배성윤] 오늘 시간 내주셔서 감사합니다. 말씀하신 "&amp;B6&amp;" 자료는 [날짜]까지 보내 드리겠습니다."</f>
        <v/>
      </c>
    </row>
  </sheetData>
  <dataValidations count="1">
    <dataValidation sqref="B3" showDropDown="0" showInputMessage="0" showErrorMessage="0" allowBlank="1" type="list">
      <formula1>='3.설계사'!$B$4:$B$303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15" customWidth="1" min="4" max="4"/>
    <col width="22" customWidth="1" min="5" max="5"/>
    <col width="24" customWidth="1" min="6" max="6"/>
    <col width="44" customWidth="1" min="7" max="7"/>
    <col width="8" customWidth="1" min="8" max="8"/>
    <col width="40" customWidth="1" min="9" max="9"/>
  </cols>
  <sheetData>
    <row r="1">
      <c r="A1" s="4" t="inlineStr">
        <is>
          <t>업체 담당자 메모 — 설계사·시공사 모두. 이름은 3번·3b번 탭 글자와 똑같이</t>
        </is>
      </c>
    </row>
    <row r="2">
      <c r="A2" s="3" t="inlineStr">
        <is>
          <t>업체명(시트 표기)</t>
        </is>
      </c>
      <c r="B2" s="3" t="inlineStr">
        <is>
          <t>담당자</t>
        </is>
      </c>
      <c r="C2" s="3" t="inlineStr">
        <is>
          <t>직함</t>
        </is>
      </c>
      <c r="D2" s="3" t="inlineStr">
        <is>
          <t>전화</t>
        </is>
      </c>
      <c r="E2" s="3" t="inlineStr">
        <is>
          <t>이메일</t>
        </is>
      </c>
      <c r="F2" s="3" t="inlineStr">
        <is>
          <t>주소·지역</t>
        </is>
      </c>
      <c r="G2" s="3" t="inlineStr">
        <is>
          <t>메모</t>
        </is>
      </c>
      <c r="H2" s="3" t="inlineStr">
        <is>
          <t>확신도</t>
        </is>
      </c>
      <c r="I2" s="3" t="inlineStr">
        <is>
          <t>출처</t>
        </is>
      </c>
      <c r="J2" s="13" t="inlineStr">
        <is>
          <t>← 노란 칸 대신 2행 아래 아무 줄에나 입력</t>
        </is>
      </c>
    </row>
    <row r="3">
      <c r="A3" t="inlineStr">
        <is>
          <t>상지이앤에이건축…</t>
        </is>
      </c>
      <c r="B3" t="inlineStr"/>
      <c r="C3" t="inlineStr"/>
      <c r="D3" t="inlineStr">
        <is>
          <t>051-247-0208 (또는 051-461-4114 — 확인 필요)</t>
        </is>
      </c>
      <c r="E3" t="inlineStr"/>
      <c r="F3" t="inlineStr">
        <is>
          <t>부산 중구 자갈치로 42 513호(남포동5가, 신동아빌딩)</t>
        </is>
      </c>
      <c r="G3" t="inlineStr">
        <is>
          <t>정식 이름 추정: (주)상지이앤에이건축사사무소(2003 부산 설립, 상지엔지니어링건축사사무소 계열). 홈페이지 sangji21c.co.kr. 번호 2개가 갈려 방문 전 확인</t>
        </is>
      </c>
      <c r="H3" t="inlineStr">
        <is>
          <t>추정</t>
        </is>
      </c>
      <c r="I3" t="inlineStr">
        <is>
          <t>saramin.co.kr 기업정보 / jobplanet.co.kr/companies/90750 / busan.com 2024-04-06 기사</t>
        </is>
      </c>
    </row>
    <row r="4">
      <c r="A4" t="inlineStr">
        <is>
          <t>아이디어키텍…</t>
        </is>
      </c>
      <c r="B4" t="inlineStr"/>
      <c r="C4" t="inlineStr"/>
      <c r="D4" t="inlineStr"/>
      <c r="E4" t="inlineStr"/>
      <c r="F4" t="inlineStr">
        <is>
          <t>서울 용산구 한강대로48길 7, 2층</t>
        </is>
      </c>
      <c r="G4" t="inlineStr">
        <is>
          <t>정식 이름 추정: (주)아이디아키텍츠건축사사무소(idarchi.kr). 종로5가 16층 관광숙박 4,482㎡ 와 연결된 자료 있음(주택폴리오). 태재연구재단 관계 미확인</t>
        </is>
      </c>
      <c r="H4" t="inlineStr">
        <is>
          <t>추정</t>
        </is>
      </c>
      <c r="I4" t="inlineStr">
        <is>
          <t>jootek.com/folio/1005037 / idarchi.kr</t>
        </is>
      </c>
    </row>
    <row r="5">
      <c r="A5" t="inlineStr">
        <is>
          <t>이진건축사사무소</t>
        </is>
      </c>
      <c r="B5" t="inlineStr"/>
      <c r="C5" t="inlineStr"/>
      <c r="D5" t="inlineStr"/>
      <c r="E5" t="inlineStr"/>
      <c r="F5" t="inlineStr">
        <is>
          <t>부산 부산진구 서면문화로 27 유원골든타워 1515호(부전동)</t>
        </is>
      </c>
      <c r="G5" t="inlineStr">
        <is>
          <t>현장(부전동)과 같은 동네</t>
        </is>
      </c>
      <c r="H5" t="inlineStr">
        <is>
          <t>추정</t>
        </is>
      </c>
      <c r="I5" t="inlineStr">
        <is>
          <t>bizno.net 검색 결과</t>
        </is>
      </c>
    </row>
    <row r="6">
      <c r="A6" t="inlineStr">
        <is>
          <t>오파드건축연구소</t>
        </is>
      </c>
      <c r="B6" t="inlineStr">
        <is>
          <t>오문석(대표)</t>
        </is>
      </c>
      <c r="C6" t="inlineStr">
        <is>
          <t>대표</t>
        </is>
      </c>
      <c r="D6" t="inlineStr">
        <is>
          <t>070-8600-0463</t>
        </is>
      </c>
      <c r="E6" t="inlineStr"/>
      <c r="F6" t="inlineStr">
        <is>
          <t>서울 도봉구 우이천로38마길 7-5 1층(쌍문동)</t>
        </is>
      </c>
      <c r="G6" t="inlineStr">
        <is>
          <t>현장 301㎡로 ✕(면적 미달) — 갈 곳 목록엔 안 나옴. 산군 등록명 「오파드건축사사무소」</t>
        </is>
      </c>
      <c r="H6" t="inlineStr">
        <is>
          <t>추정</t>
        </is>
      </c>
      <c r="I6" t="inlineStr">
        <is>
          <t>a-platform.co.kr archigroup / bizno.net/article/1191622328</t>
        </is>
      </c>
    </row>
    <row r="7">
      <c r="A7" t="inlineStr">
        <is>
          <t>세움건축사사무소</t>
        </is>
      </c>
      <c r="B7" t="inlineStr"/>
      <c r="C7" t="inlineStr"/>
      <c r="D7" t="inlineStr"/>
      <c r="E7" t="inlineStr"/>
      <c r="F7" t="inlineStr">
        <is>
          <t>강원 홍천군 홍천읍 희망리 91-4</t>
        </is>
      </c>
      <c r="G7" t="inlineStr">
        <is>
          <t>현장 97㎡로 ✕. 주택·근생·창고 위주. 동명 사무소 많음</t>
        </is>
      </c>
      <c r="H7" t="inlineStr">
        <is>
          <t>추정</t>
        </is>
      </c>
      <c r="I7" t="inlineStr">
        <is>
          <t>jootek.com/folio/1020726</t>
        </is>
      </c>
    </row>
    <row r="8">
      <c r="A8" t="inlineStr">
        <is>
          <t>태건축사사무소</t>
        </is>
      </c>
      <c r="B8" t="inlineStr"/>
      <c r="C8" t="inlineStr"/>
      <c r="D8" t="inlineStr"/>
      <c r="E8" t="inlineStr"/>
      <c r="F8" t="inlineStr"/>
      <c r="G8" t="inlineStr">
        <is>
          <t>검색으로 못 찾음. 비슷한 이름(고양 태종합건축사사무소 등)은 음성 현장과 연결 근거 없음 → 산군 설계사 상세 화면 또는 대한건축사협회 회원찾기(kira.or.kr)</t>
        </is>
      </c>
      <c r="H8" t="inlineStr">
        <is>
          <t>미확인</t>
        </is>
      </c>
      <c r="I8" t="inlineStr">
        <is>
          <t>taearchitects.com / taadg.com (다른 사무소 가능성 높음)</t>
        </is>
      </c>
    </row>
    <row r="9">
      <c r="A9" t="inlineStr">
        <is>
          <t>파인드건축사사무소</t>
        </is>
      </c>
      <c r="B9" t="inlineStr"/>
      <c r="C9" t="inlineStr"/>
      <c r="D9" t="inlineStr"/>
      <c r="E9" t="inlineStr"/>
      <c r="F9" t="inlineStr"/>
      <c r="G9" t="inlineStr">
        <is>
          <t>검색으로 못 찾음 → 산군 설계사 상세 화면 또는 kira.or.kr 회원찾기</t>
        </is>
      </c>
      <c r="H9" t="inlineStr">
        <is>
          <t>미확인</t>
        </is>
      </c>
      <c r="I9" t="inlineStr"/>
    </row>
    <row r="10">
      <c r="A10" t="inlineStr">
        <is>
          <t>야촌건축사사무소</t>
        </is>
      </c>
      <c r="B10" t="inlineStr"/>
      <c r="C10" t="inlineStr"/>
      <c r="D10" t="inlineStr"/>
      <c r="E10" t="inlineStr"/>
      <c r="F10" t="inlineStr"/>
      <c r="G10" t="inlineStr">
        <is>
          <t>검색으로 못 찾음. 비슷한 이름 (주)예촌건축(yeachon.com)은 같은 곳 근거 없음</t>
        </is>
      </c>
      <c r="H10" t="inlineStr">
        <is>
          <t>미확인</t>
        </is>
      </c>
      <c r="I10" t="inlineStr">
        <is>
          <t>yeachon.com</t>
        </is>
      </c>
    </row>
    <row r="11">
      <c r="A11" t="inlineStr">
        <is>
          <t>건축사무소고강</t>
        </is>
      </c>
      <c r="B11" t="inlineStr"/>
      <c r="C11" t="inlineStr"/>
      <c r="D11" t="inlineStr"/>
      <c r="E11" t="inlineStr"/>
      <c r="F11" t="inlineStr"/>
      <c r="G11" t="inlineStr">
        <is>
          <t>검색으로 못 찾음 → kira.or.kr 회원찾기</t>
        </is>
      </c>
      <c r="H11" t="inlineStr">
        <is>
          <t>미확인</t>
        </is>
      </c>
      <c r="I11" t="inlineStr"/>
    </row>
  </sheetData>
  <dataValidations count="2">
    <dataValidation sqref="H3:H302" showDropDown="0" showInputMessage="0" showErrorMessage="0" allowBlank="1" type="list">
      <formula1>"확정,추정,미확인"</formula1>
    </dataValidation>
    <dataValidation sqref="A3:A302" showDropDown="0" showInputMessage="0" showErrorMessage="0" allowBlank="1" type="list">
      <formula1>='3.설계사'!$B$4:$B$303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6" customWidth="1" min="4" max="4"/>
    <col width="8" customWidth="1" min="5" max="5"/>
    <col width="10" customWidth="1" min="6" max="6"/>
    <col width="44" customWidth="1" min="7" max="7"/>
    <col width="8" customWidth="1" min="8" max="8"/>
    <col width="44" customWidth="1" min="9" max="9"/>
    <col width="11" customWidth="1" min="10" max="10"/>
  </cols>
  <sheetData>
    <row r="1">
      <c r="A1" s="4" t="inlineStr">
        <is>
          <t>현장 조사노트 — 웹검색 결과(출처 포함). 현장명은 2.현장의 현장명과 똑같이. 확신도 : 확정 / 추정 / 미확인</t>
        </is>
      </c>
    </row>
    <row r="2">
      <c r="A2" s="3" t="inlineStr">
        <is>
          <t>현장명(산군 표기)</t>
        </is>
      </c>
      <c r="B2" s="3" t="inlineStr">
        <is>
          <t>사업명·브랜드</t>
        </is>
      </c>
      <c r="C2" s="3" t="inlineStr">
        <is>
          <t>발주처(시행)</t>
        </is>
      </c>
      <c r="D2" s="3" t="inlineStr">
        <is>
          <t>시공사</t>
        </is>
      </c>
      <c r="E2" s="3" t="inlineStr">
        <is>
          <t>객실 수</t>
        </is>
      </c>
      <c r="F2" s="3" t="inlineStr">
        <is>
          <t>준공 예정</t>
        </is>
      </c>
      <c r="G2" s="3" t="inlineStr">
        <is>
          <t>최신 상황</t>
        </is>
      </c>
      <c r="H2" s="3" t="inlineStr">
        <is>
          <t>확신도</t>
        </is>
      </c>
      <c r="I2" s="3" t="inlineStr">
        <is>
          <t>출처</t>
        </is>
      </c>
      <c r="J2" s="3" t="inlineStr">
        <is>
          <t>조사일</t>
        </is>
      </c>
    </row>
    <row r="3">
      <c r="A3" t="inlineStr">
        <is>
          <t>범방동 1898-7 생활숙박시설</t>
        </is>
      </c>
      <c r="B3" t="inlineStr">
        <is>
          <t>부산 범방동 생활형숙박시설 신축공사(적산 자료명)</t>
        </is>
      </c>
      <c r="C3" t="inlineStr">
        <is>
          <t>미확인</t>
        </is>
      </c>
      <c r="D3" t="inlineStr">
        <is>
          <t>미확인</t>
        </is>
      </c>
      <c r="E3" t="inlineStr">
        <is>
          <t>460</t>
        </is>
      </c>
      <c r="F3" t="inlineStr">
        <is>
          <t>미확인</t>
        </is>
      </c>
      <c r="G3" t="inlineStr">
        <is>
          <t>자료상 지번 1898-1, 연면적 약 22,470㎡·지하2~지상27층 — 산군 값과 거의 같으나 지번 불일치</t>
        </is>
      </c>
      <c r="H3" t="inlineStr">
        <is>
          <t>추정</t>
        </is>
      </c>
      <c r="I3" t="inlineStr">
        <is>
          <t>thinkzon.com/share_biz/1161340 (검색 요약만)</t>
        </is>
      </c>
      <c r="J3" t="inlineStr">
        <is>
          <t>2026-09-27</t>
        </is>
      </c>
    </row>
    <row r="4">
      <c r="A4" t="inlineStr">
        <is>
          <t>대소면 성본리 115-5 숙박시설</t>
        </is>
      </c>
      <c r="B4" t="inlineStr"/>
      <c r="C4" t="inlineStr">
        <is>
          <t>미확인</t>
        </is>
      </c>
      <c r="D4" t="inlineStr">
        <is>
          <t>미확인</t>
        </is>
      </c>
      <c r="E4" t="inlineStr"/>
      <c r="F4" t="inlineStr">
        <is>
          <t>미확인</t>
        </is>
      </c>
      <c r="G4" t="inlineStr">
        <is>
          <t>성본산단 배후 개발 중이라는 것만 확인. 현장 자체 기사 없음</t>
        </is>
      </c>
      <c r="H4" t="inlineStr">
        <is>
          <t>미확인</t>
        </is>
      </c>
      <c r="I4" t="inlineStr">
        <is>
          <t>biz.heraldcorp.com/article/10867296</t>
        </is>
      </c>
      <c r="J4" t="inlineStr">
        <is>
          <t>2026-09-27</t>
        </is>
      </c>
    </row>
    <row r="5">
      <c r="A5" t="inlineStr">
        <is>
          <t>조양동 1558-3 생활숙박시설</t>
        </is>
      </c>
      <c r="B5" t="inlineStr"/>
      <c r="C5" t="inlineStr">
        <is>
          <t>미확인</t>
        </is>
      </c>
      <c r="D5" t="inlineStr">
        <is>
          <t>미확인</t>
        </is>
      </c>
      <c r="E5" t="inlineStr"/>
      <c r="F5" t="inlineStr">
        <is>
          <t>미확인</t>
        </is>
      </c>
      <c r="G5" t="inlineStr">
        <is>
          <t>조양동 다른 생숙(1464-5 한라 724실, 하워드존슨 1111-1, 리슈빌S 1452)은 번지가 달라 별건</t>
        </is>
      </c>
      <c r="H5" t="inlineStr">
        <is>
          <t>미확인</t>
        </is>
      </c>
      <c r="I5" t="inlineStr">
        <is>
          <t>etoday.co.kr/news/view/1645764 외</t>
        </is>
      </c>
      <c r="J5" t="inlineStr">
        <is>
          <t>2026-09-27</t>
        </is>
      </c>
    </row>
    <row r="6">
      <c r="A6" t="inlineStr">
        <is>
          <t>명동2가 95-1 생활숙박시설 신축공사</t>
        </is>
      </c>
      <c r="B6" t="inlineStr"/>
      <c r="C6" t="inlineStr">
        <is>
          <t>미확인(시경개발 역할 미확인)</t>
        </is>
      </c>
      <c r="D6" t="inlineStr">
        <is>
          <t>미확인</t>
        </is>
      </c>
      <c r="E6" t="inlineStr"/>
      <c r="F6" t="inlineStr">
        <is>
          <t>미확인</t>
        </is>
      </c>
      <c r="G6" t="inlineStr">
        <is>
          <t>이 주소 생숙 기사 없음. 명동2가 89 호텔(75실)은 별건</t>
        </is>
      </c>
      <c r="H6" t="inlineStr">
        <is>
          <t>미확인</t>
        </is>
      </c>
      <c r="I6" t="inlineStr">
        <is>
          <t>etoday.co.kr/news/view/1687748</t>
        </is>
      </c>
      <c r="J6" t="inlineStr">
        <is>
          <t>2026-09-27</t>
        </is>
      </c>
    </row>
    <row r="7">
      <c r="A7" t="inlineStr">
        <is>
          <t>부산시 중구 남포동3가 생활형숙박시설</t>
        </is>
      </c>
      <c r="B7" t="inlineStr">
        <is>
          <t>후보: 와이컬렉션 바이 남포</t>
        </is>
      </c>
      <c r="C7" t="inlineStr">
        <is>
          <t>미확인(평광이앤씨 역할 미확인)</t>
        </is>
      </c>
      <c r="D7" t="inlineStr">
        <is>
          <t>미확인</t>
        </is>
      </c>
      <c r="E7" t="inlineStr">
        <is>
          <t>276</t>
        </is>
      </c>
      <c r="F7" t="inlineStr">
        <is>
          <t>미확인</t>
        </is>
      </c>
      <c r="G7" t="inlineStr">
        <is>
          <t>지하2~지상27층, 운영사 ㈜지냄(야놀자 투자), 분양 홍보 중. 번지 일치 미확인</t>
        </is>
      </c>
      <c r="H7" t="inlineStr">
        <is>
          <t>추정</t>
        </is>
      </c>
      <c r="I7" t="inlineStr">
        <is>
          <t>enetnews.co.kr/news/articleView.html?idxno=54525 / theviewers.co.kr 4228259</t>
        </is>
      </c>
      <c r="J7" t="inlineStr">
        <is>
          <t>2026-09-27</t>
        </is>
      </c>
    </row>
    <row r="8">
      <c r="A8" t="inlineStr">
        <is>
          <t>경서동 경서3구역 11블록 2로트 숙박시설</t>
        </is>
      </c>
      <c r="B8" t="inlineStr"/>
      <c r="C8" t="inlineStr">
        <is>
          <t>미확인</t>
        </is>
      </c>
      <c r="D8" t="inlineStr">
        <is>
          <t>미확인</t>
        </is>
      </c>
      <c r="E8" t="inlineStr"/>
      <c r="F8" t="inlineStr">
        <is>
          <t>미확인</t>
        </is>
      </c>
      <c r="G8" t="inlineStr">
        <is>
          <t>경서3구역 보람그룹 5성급 호텔 MOU(2024.2)는 규모가 달라 별건 가능성 높음</t>
        </is>
      </c>
      <c r="H8" t="inlineStr">
        <is>
          <t>미확인</t>
        </is>
      </c>
      <c r="I8" t="inlineStr">
        <is>
          <t>joongboo.com 363725457 / 1gan.co.kr 236208</t>
        </is>
      </c>
      <c r="J8" t="inlineStr">
        <is>
          <t>2026-09-27</t>
        </is>
      </c>
    </row>
    <row r="9">
      <c r="A9" t="inlineStr">
        <is>
          <t>종로5가 193-17,3번지 관광숙박시설</t>
        </is>
      </c>
      <c r="B9" t="inlineStr"/>
      <c r="C9" t="inlineStr">
        <is>
          <t>미확인(태재연구재단 역할 미확인)</t>
        </is>
      </c>
      <c r="D9" t="inlineStr">
        <is>
          <t>미확인</t>
        </is>
      </c>
      <c r="E9" t="inlineStr"/>
      <c r="F9" t="inlineStr">
        <is>
          <t>미확인</t>
        </is>
      </c>
      <c r="G9" t="inlineStr">
        <is>
          <t>16층 관광숙박 4,482㎡ — 설계 (주)아이디아키텍츠 연결 자료. 종로5가 138-4 호텔(360실)은 무산된 다른 부지</t>
        </is>
      </c>
      <c r="H9" t="inlineStr">
        <is>
          <t>미확인</t>
        </is>
      </c>
      <c r="I9" t="inlineStr">
        <is>
          <t>jootek.com/folio/1005037 / etoday.co.kr/news/view/876222</t>
        </is>
      </c>
      <c r="J9" t="inlineStr">
        <is>
          <t>2026-09-27</t>
        </is>
      </c>
    </row>
    <row r="10">
      <c r="A10" t="inlineStr">
        <is>
          <t>부전동 숙박시설</t>
        </is>
      </c>
      <c r="B10" t="inlineStr"/>
      <c r="C10" t="inlineStr">
        <is>
          <t>미확인</t>
        </is>
      </c>
      <c r="D10" t="inlineStr">
        <is>
          <t>미확인</t>
        </is>
      </c>
      <c r="E10" t="inlineStr"/>
      <c r="F10" t="inlineStr">
        <is>
          <t>미확인</t>
        </is>
      </c>
      <c r="G10" t="inlineStr">
        <is>
          <t>기존 모텔 정보만 나옴</t>
        </is>
      </c>
      <c r="H10" t="inlineStr">
        <is>
          <t>미확인</t>
        </is>
      </c>
      <c r="I10" t="inlineStr"/>
      <c r="J10" t="inlineStr">
        <is>
          <t>2026-09-27</t>
        </is>
      </c>
    </row>
  </sheetData>
  <dataValidations count="1">
    <dataValidation sqref="H3:H202" showDropDown="0" showInputMessage="0" showErrorMessage="0" allowBlank="1" type="list">
      <formula1>"확정,추정,미확인"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0" customWidth="1" min="4" max="4"/>
    <col width="12" customWidth="1" min="5" max="5"/>
    <col width="6" customWidth="1" min="6" max="6"/>
    <col width="22" customWidth="1" min="7" max="7"/>
    <col width="16" customWidth="1" min="8" max="8"/>
    <col width="8" customWidth="1" min="9" max="9"/>
    <col width="10" customWidth="1" min="10" max="10"/>
    <col width="8" customWidth="1" min="11" max="11"/>
    <col width="11" customWidth="1" min="12" max="12"/>
    <col width="11" customWidth="1" min="13" max="13"/>
    <col width="14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width="10" customWidth="1" min="21" max="21"/>
    <col width="18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width="6" customWidth="1" min="27" max="27"/>
    <col width="8" customWidth="1" min="28" max="28"/>
    <col hidden="1" width="13" customWidth="1" min="29" max="29"/>
    <col hidden="1" width="13" customWidth="1" min="30" max="30"/>
  </cols>
  <sheetData>
    <row r="1">
      <c r="A1" s="3" t="inlineStr">
        <is>
          <t>원본행</t>
        </is>
      </c>
      <c r="B1" s="3" t="inlineStr">
        <is>
          <t>주소</t>
        </is>
      </c>
      <c r="C1" s="3" t="inlineStr">
        <is>
          <t>현장명</t>
        </is>
      </c>
      <c r="D1" s="3" t="inlineStr">
        <is>
          <t>연면적(㎡)</t>
        </is>
      </c>
      <c r="E1" s="3" t="inlineStr">
        <is>
          <t>주용도</t>
        </is>
      </c>
      <c r="F1" s="3" t="inlineStr">
        <is>
          <t>허가구분</t>
        </is>
      </c>
      <c r="G1" s="3" t="inlineStr">
        <is>
          <t>설계사</t>
        </is>
      </c>
      <c r="H1" s="3" t="inlineStr">
        <is>
          <t>시공사</t>
        </is>
      </c>
      <c r="I1" s="3" t="inlineStr">
        <is>
          <t>감리</t>
        </is>
      </c>
      <c r="J1" s="3" t="inlineStr">
        <is>
          <t>건축주</t>
        </is>
      </c>
      <c r="K1" s="3" t="inlineStr">
        <is>
          <t>공사단계</t>
        </is>
      </c>
      <c r="L1" s="3" t="inlineStr">
        <is>
          <t>허가일</t>
        </is>
      </c>
      <c r="M1" s="3" t="inlineStr">
        <is>
          <t>착공일</t>
        </is>
      </c>
      <c r="N1" s="3" t="inlineStr">
        <is>
          <t>시·도</t>
        </is>
      </c>
      <c r="O1" s="3" t="inlineStr">
        <is>
          <t>유효</t>
        </is>
      </c>
      <c r="P1" s="3" t="inlineStr">
        <is>
          <t>키</t>
        </is>
      </c>
      <c r="Q1" s="3" t="inlineStr">
        <is>
          <t>최신</t>
        </is>
      </c>
      <c r="R1" s="3" t="inlineStr">
        <is>
          <t>용도맞음</t>
        </is>
      </c>
      <c r="S1" s="3" t="inlineStr">
        <is>
          <t>면적맞음</t>
        </is>
      </c>
      <c r="T1" s="3" t="inlineStr">
        <is>
          <t>대상</t>
        </is>
      </c>
      <c r="U1" s="3" t="inlineStr">
        <is>
          <t>누구를 만나나</t>
        </is>
      </c>
      <c r="V1" s="3" t="inlineStr">
        <is>
          <t>설계사(정리)</t>
        </is>
      </c>
      <c r="W1" s="3" t="inlineStr">
        <is>
          <t>(안 씀)</t>
        </is>
      </c>
      <c r="X1" s="3" t="inlineStr">
        <is>
          <t>허가일원문</t>
        </is>
      </c>
      <c r="Y1" s="3" t="inlineStr">
        <is>
          <t>착공일원문</t>
        </is>
      </c>
      <c r="Z1" s="3" t="inlineStr">
        <is>
          <t>대상키</t>
        </is>
      </c>
      <c r="AA1" s="3" t="inlineStr">
        <is>
          <t>판정</t>
        </is>
      </c>
      <c r="AB1" s="3" t="inlineStr">
        <is>
          <t>현장점수</t>
        </is>
      </c>
      <c r="AC1" s="3" t="inlineStr">
        <is>
          <t>시공사(정리)</t>
        </is>
      </c>
      <c r="AD1" s="3" t="inlineStr">
        <is>
          <t>연면적원문</t>
        </is>
      </c>
    </row>
    <row r="2">
      <c r="A2">
        <f>SEQUENCE(1000,1,2)</f>
        <v/>
      </c>
      <c r="B2" s="5">
        <f>IF(설정!$C$4="","",ARRAYFORMULA(IFERROR(INDEX('1.산군_붙여넣기'!$A$2:$AZ$1001,0,설정!$C$4)&amp;"","")))</f>
        <v/>
      </c>
      <c r="C2" s="5">
        <f>IF(설정!$C$5="","",ARRAYFORMULA(IFERROR(INDEX('1.산군_붙여넣기'!$A$2:$AZ$1001,0,설정!$C$5)&amp;"","")))</f>
        <v/>
      </c>
      <c r="D2" s="7">
        <f>MAP($AD$2:$AD$1001,LAMBDA(x_a,IFERROR(VALUE(SUBSTITUTE(SUBSTITUTE(SUBSTITUTE(x_a,",",""),"㎡",""),"m2","")),"")))</f>
        <v/>
      </c>
      <c r="E2" s="5">
        <f>IF(설정!$C$7="","",ARRAYFORMULA(IFERROR(INDEX('1.산군_붙여넣기'!$A$2:$AZ$1001,0,설정!$C$7)&amp;"","")))</f>
        <v/>
      </c>
      <c r="F2" s="5">
        <f>IF(설정!$C$8="","",ARRAYFORMULA(IFERROR(INDEX('1.산군_붙여넣기'!$A$2:$AZ$1001,0,설정!$C$8)&amp;"","")))</f>
        <v/>
      </c>
      <c r="G2" s="5">
        <f>IF(설정!$C$9="","",ARRAYFORMULA(IFERROR(INDEX('1.산군_붙여넣기'!$A$2:$AZ$1001,0,설정!$C$9)&amp;"","")))</f>
        <v/>
      </c>
      <c r="H2" s="5">
        <f>IF(설정!$C$10="","",ARRAYFORMULA(IFERROR(INDEX('1.산군_붙여넣기'!$A$2:$AZ$1001,0,설정!$C$10)&amp;"","")))</f>
        <v/>
      </c>
      <c r="I2" s="5">
        <f>IF(설정!$C$11="","",ARRAYFORMULA(IFERROR(INDEX('1.산군_붙여넣기'!$A$2:$AZ$1001,0,설정!$C$11)&amp;"","")))</f>
        <v/>
      </c>
      <c r="J2" s="5">
        <f>IF(설정!$C$12="","",ARRAYFORMULA(IFERROR(INDEX('1.산군_붙여넣기'!$A$2:$AZ$1001,0,설정!$C$12)&amp;"","")))</f>
        <v/>
      </c>
      <c r="K2" s="5">
        <f>IF(설정!$C$13="","",ARRAYFORMULA(IFERROR(INDEX('1.산군_붙여넣기'!$A$2:$AZ$1001,0,설정!$C$13)&amp;"","")))</f>
        <v/>
      </c>
      <c r="L2" s="8">
        <f>MAP($X$2:$X$1001,LAMBDA(x_t,IF(x_t="","",IF(AND(LEN(x_t)=8,ISNUMBER(x_t*1)),DATE(LEFT(x_t,4),MID(x_t,5,2),RIGHT(x_t,2)),IFERROR(DATEVALUE(SUBSTITUTE(SUBSTITUTE(x_t,".","-"),"/","-")),IFERROR(x_t*1,""))))))</f>
        <v/>
      </c>
      <c r="M2" s="8">
        <f>MAP($Y$2:$Y$1001,LAMBDA(x_t,IF(x_t="","",IF(AND(LEN(x_t)=8,ISNUMBER(x_t*1)),DATE(LEFT(x_t,4),MID(x_t,5,2),RIGHT(x_t,2)),IFERROR(DATEVALUE(SUBSTITUTE(SUBSTITUTE(x_t,".","-"),"/","-")),IFERROR(x_t*1,""))))))</f>
        <v/>
      </c>
      <c r="N2" s="5">
        <f>MAP($B$2:$B$1001,LAMBDA(x_b,IFERROR(LEFT(x_b,FIND(" ",x_b)-1),x_b)))</f>
        <v/>
      </c>
      <c r="O2" s="5">
        <f>MAP($B$2:$B$1001,$C$2:$C$1001,LAMBDA(x_b,x_cc,AND(x_b&lt;&gt;"",x_b&lt;&gt;설정!$B$4,x_cc&lt;&gt;설정!$B$5)))</f>
        <v/>
      </c>
      <c r="P2" s="5">
        <f>MAP($B$2:$B$1001,$C$2:$C$1001,$O$2:$O$1001,LAMBDA(x_b,x_cc,x_o,IF(x_o,x_b&amp;"|"&amp;x_cc,"")))</f>
        <v/>
      </c>
      <c r="Q2" s="5">
        <f>MAP($P$2:$P$1001,$A$2:$A$1001,LAMBDA(x_k,x_rw,IF(x_k="",FALSE,SUMPRODUCT(($P$2:$P$1001=x_k)*($A$2:$A$1001&gt;x_rw))=0)))</f>
        <v/>
      </c>
      <c r="R2" s="5">
        <f>MAP($E$2:$E$1001,$C$2:$C$1001,LAMBDA(x_e,x_cc,SUMPRODUCT((설정!$A$42:$A$51&lt;&gt;"")*ISNUMBER(SEARCH(설정!$A$42:$A$51,x_e&amp;" "&amp;x_cc)))&gt;0))</f>
        <v/>
      </c>
      <c r="S2" s="5">
        <f>MAP($D$2:$D$1001,LAMBDA(x_d,OR(x_d="",x_d&gt;=설정!$B$19)))</f>
        <v/>
      </c>
      <c r="T2" s="5">
        <f>MAP($Q$2:$Q$1001,$R$2:$R$1001,$S$2:$S$1001,LAMBDA(x_q,x_u,x_s,AND(x_q,x_u,x_s)))</f>
        <v/>
      </c>
      <c r="U2" s="5">
        <f>MAP($T$2:$T$1001,$K$2:$K$1001,$M$2:$M$1001,LAMBDA(x_g,x_k,x_m,IF(NOT(x_g),"",LET(x_hit,IFERROR(INDEX(FILTER(설정!$B$54:$B$61,(설정!$A$54:$A$61&lt;&gt;"")*ISNUMBER(SEARCH(설정!$A$54:$A$61,x_k))),1),""),IF(x_hit&lt;&gt;"",x_hit,IF(x_m="","설계사","시공사"))))))</f>
        <v/>
      </c>
      <c r="V2" s="5">
        <f>MAP($G$2:$G$1001,LAMBDA(x_n,SUBSTITUTE(SUBSTITUTE(SUBSTITUTE(SUBSTITUTE(x_n,"(주)",""),"㈜",""),"주식회사","")," ","")))</f>
        <v/>
      </c>
      <c r="X2" s="5">
        <f>IF(설정!$C$14="","",ARRAYFORMULA(IFERROR(INDEX('1.산군_붙여넣기'!$A$2:$AZ$1001,0,설정!$C$14)&amp;"","")))</f>
        <v/>
      </c>
      <c r="Y2" s="5">
        <f>IF(설정!$C$15="","",ARRAYFORMULA(IFERROR(INDEX('1.산군_붙여넣기'!$A$2:$AZ$1001,0,설정!$C$15)&amp;"","")))</f>
        <v/>
      </c>
      <c r="Z2" s="5">
        <f>MAP($T$2:$T$1001,$V$2:$V$1001,$U$2:$U$1001,LAMBDA(x_g,x_v,x_w,IF(x_g,x_v&amp;"|"&amp;x_w,"")))</f>
        <v/>
      </c>
      <c r="AA2" s="5">
        <f>MAP($Q$2:$Q$1001,$R$2:$R$1001,$S$2:$S$1001,$D$2:$D$1001,$L$2:$L$1001,$M$2:$M$1001,LAMBDA(x_q,x_u,x_s,x_d,x_l,x_m,IF(NOT(x_q),"",IF(NOT(AND(x_u,x_s)),"✕",IF(OR(AND(x_l&lt;&gt;"",x_m&lt;&gt;"",N(x_m)-N(x_l)&gt;설정!$B$27),AND(x_l&lt;&gt;"",x_m="",설정!$B$24-N(x_l)&gt;설정!$B$27),AND(x_d&lt;&gt;"",N(x_d)&lt;설정!$B$26)),"△","★")))))</f>
        <v/>
      </c>
      <c r="AB2" s="5">
        <f>MAP($T$2:$T$1001,$U$2:$U$1001,$M$2:$M$1001,$AA$2:$AA$1001,LAMBDA(x_g,x_w,x_m,x_j,IF(NOT(x_g),"",IF(x_w="설계사",설정!$B$31,IF(x_w="시공사",IF(OR(x_m="",설정!$B$24-N(x_m)&lt;=설정!$B$28*30.4),설정!$B$32,설정!$B$33),설정!$B$34))+IF(x_j="★",설정!$B$35,0))))</f>
        <v/>
      </c>
      <c r="AC2" s="5">
        <f>MAP($H$2:$H$1001,LAMBDA(x_n,SUBSTITUTE(SUBSTITUTE(SUBSTITUTE(SUBSTITUTE(x_n,"(주)",""),"㈜",""),"주식회사","")," ","")))</f>
        <v/>
      </c>
      <c r="AD2" s="5">
        <f>IF(설정!$C$6="","",ARRAYFORMULA(IFERROR(INDEX('1.산군_붙여넣기'!$A$2:$AZ$1001,0,설정!$C$6)&amp;"","")))</f>
        <v/>
      </c>
    </row>
    <row r="3">
      <c r="D3" s="6" t="n"/>
      <c r="L3" s="10" t="n"/>
      <c r="M3" s="10" t="n"/>
    </row>
    <row r="4">
      <c r="D4" s="6" t="n"/>
      <c r="L4" s="10" t="n"/>
      <c r="M4" s="10" t="n"/>
    </row>
    <row r="5">
      <c r="D5" s="6" t="n"/>
      <c r="L5" s="10" t="n"/>
      <c r="M5" s="10" t="n"/>
    </row>
    <row r="6">
      <c r="D6" s="6" t="n"/>
      <c r="L6" s="10" t="n"/>
      <c r="M6" s="10" t="n"/>
    </row>
    <row r="7">
      <c r="D7" s="6" t="n"/>
      <c r="L7" s="10" t="n"/>
      <c r="M7" s="10" t="n"/>
    </row>
    <row r="8">
      <c r="D8" s="6" t="n"/>
      <c r="L8" s="10" t="n"/>
      <c r="M8" s="10" t="n"/>
    </row>
    <row r="9">
      <c r="D9" s="6" t="n"/>
      <c r="L9" s="10" t="n"/>
      <c r="M9" s="10" t="n"/>
    </row>
    <row r="10">
      <c r="D10" s="6" t="n"/>
      <c r="L10" s="10" t="n"/>
      <c r="M10" s="10" t="n"/>
    </row>
    <row r="11">
      <c r="D11" s="6" t="n"/>
      <c r="L11" s="10" t="n"/>
      <c r="M11" s="10" t="n"/>
    </row>
    <row r="12">
      <c r="D12" s="6" t="n"/>
      <c r="L12" s="10" t="n"/>
      <c r="M12" s="10" t="n"/>
    </row>
    <row r="13">
      <c r="D13" s="6" t="n"/>
      <c r="L13" s="10" t="n"/>
      <c r="M13" s="10" t="n"/>
    </row>
    <row r="14">
      <c r="D14" s="6" t="n"/>
      <c r="L14" s="10" t="n"/>
      <c r="M14" s="10" t="n"/>
    </row>
    <row r="15">
      <c r="D15" s="6" t="n"/>
      <c r="L15" s="10" t="n"/>
      <c r="M15" s="10" t="n"/>
    </row>
    <row r="16">
      <c r="D16" s="6" t="n"/>
      <c r="L16" s="10" t="n"/>
      <c r="M16" s="10" t="n"/>
    </row>
    <row r="17">
      <c r="D17" s="6" t="n"/>
      <c r="L17" s="10" t="n"/>
      <c r="M17" s="10" t="n"/>
    </row>
    <row r="18">
      <c r="D18" s="6" t="n"/>
      <c r="L18" s="10" t="n"/>
      <c r="M18" s="10" t="n"/>
    </row>
    <row r="19">
      <c r="D19" s="6" t="n"/>
      <c r="L19" s="10" t="n"/>
      <c r="M19" s="10" t="n"/>
    </row>
    <row r="20">
      <c r="D20" s="6" t="n"/>
      <c r="L20" s="10" t="n"/>
      <c r="M20" s="10" t="n"/>
    </row>
    <row r="21">
      <c r="D21" s="6" t="n"/>
      <c r="L21" s="10" t="n"/>
      <c r="M21" s="10" t="n"/>
    </row>
    <row r="22">
      <c r="D22" s="6" t="n"/>
      <c r="L22" s="10" t="n"/>
      <c r="M22" s="10" t="n"/>
    </row>
    <row r="23">
      <c r="D23" s="6" t="n"/>
      <c r="L23" s="10" t="n"/>
      <c r="M23" s="10" t="n"/>
    </row>
    <row r="24">
      <c r="D24" s="6" t="n"/>
      <c r="L24" s="10" t="n"/>
      <c r="M24" s="10" t="n"/>
    </row>
    <row r="25">
      <c r="D25" s="6" t="n"/>
      <c r="L25" s="10" t="n"/>
      <c r="M25" s="10" t="n"/>
    </row>
    <row r="26">
      <c r="D26" s="6" t="n"/>
      <c r="L26" s="10" t="n"/>
      <c r="M26" s="10" t="n"/>
    </row>
    <row r="27">
      <c r="D27" s="6" t="n"/>
      <c r="L27" s="10" t="n"/>
      <c r="M27" s="10" t="n"/>
    </row>
    <row r="28">
      <c r="D28" s="6" t="n"/>
      <c r="L28" s="10" t="n"/>
      <c r="M28" s="10" t="n"/>
    </row>
    <row r="29">
      <c r="D29" s="6" t="n"/>
      <c r="L29" s="10" t="n"/>
      <c r="M29" s="10" t="n"/>
    </row>
    <row r="30">
      <c r="D30" s="6" t="n"/>
      <c r="L30" s="10" t="n"/>
      <c r="M30" s="10" t="n"/>
    </row>
    <row r="31">
      <c r="D31" s="6" t="n"/>
      <c r="L31" s="10" t="n"/>
      <c r="M31" s="10" t="n"/>
    </row>
    <row r="32">
      <c r="D32" s="6" t="n"/>
      <c r="L32" s="10" t="n"/>
      <c r="M32" s="10" t="n"/>
    </row>
    <row r="33">
      <c r="D33" s="6" t="n"/>
      <c r="L33" s="10" t="n"/>
      <c r="M33" s="10" t="n"/>
    </row>
    <row r="34">
      <c r="D34" s="6" t="n"/>
      <c r="L34" s="10" t="n"/>
      <c r="M34" s="10" t="n"/>
    </row>
    <row r="35">
      <c r="D35" s="6" t="n"/>
      <c r="L35" s="10" t="n"/>
      <c r="M35" s="10" t="n"/>
    </row>
    <row r="36">
      <c r="D36" s="6" t="n"/>
      <c r="L36" s="10" t="n"/>
      <c r="M36" s="10" t="n"/>
    </row>
    <row r="37">
      <c r="D37" s="6" t="n"/>
      <c r="L37" s="10" t="n"/>
      <c r="M37" s="10" t="n"/>
    </row>
    <row r="38">
      <c r="D38" s="6" t="n"/>
      <c r="L38" s="10" t="n"/>
      <c r="M38" s="10" t="n"/>
    </row>
    <row r="39">
      <c r="D39" s="6" t="n"/>
      <c r="L39" s="10" t="n"/>
      <c r="M39" s="10" t="n"/>
    </row>
    <row r="40">
      <c r="D40" s="6" t="n"/>
      <c r="L40" s="10" t="n"/>
      <c r="M40" s="10" t="n"/>
    </row>
    <row r="41">
      <c r="D41" s="6" t="n"/>
      <c r="L41" s="10" t="n"/>
      <c r="M41" s="10" t="n"/>
    </row>
    <row r="42">
      <c r="D42" s="6" t="n"/>
      <c r="L42" s="10" t="n"/>
      <c r="M42" s="10" t="n"/>
    </row>
    <row r="43">
      <c r="D43" s="6" t="n"/>
      <c r="L43" s="10" t="n"/>
      <c r="M43" s="10" t="n"/>
    </row>
    <row r="44">
      <c r="D44" s="6" t="n"/>
      <c r="L44" s="10" t="n"/>
      <c r="M44" s="10" t="n"/>
    </row>
    <row r="45">
      <c r="D45" s="6" t="n"/>
      <c r="L45" s="10" t="n"/>
      <c r="M45" s="10" t="n"/>
    </row>
    <row r="46">
      <c r="D46" s="6" t="n"/>
      <c r="L46" s="10" t="n"/>
      <c r="M46" s="10" t="n"/>
    </row>
    <row r="47">
      <c r="D47" s="6" t="n"/>
      <c r="L47" s="10" t="n"/>
      <c r="M47" s="10" t="n"/>
    </row>
    <row r="48">
      <c r="D48" s="6" t="n"/>
      <c r="L48" s="10" t="n"/>
      <c r="M48" s="10" t="n"/>
    </row>
    <row r="49">
      <c r="D49" s="6" t="n"/>
      <c r="L49" s="10" t="n"/>
      <c r="M49" s="10" t="n"/>
    </row>
    <row r="50">
      <c r="D50" s="6" t="n"/>
      <c r="L50" s="10" t="n"/>
      <c r="M50" s="10" t="n"/>
    </row>
    <row r="51">
      <c r="D51" s="6" t="n"/>
      <c r="L51" s="10" t="n"/>
      <c r="M51" s="10" t="n"/>
    </row>
    <row r="52">
      <c r="D52" s="6" t="n"/>
      <c r="L52" s="10" t="n"/>
      <c r="M52" s="10" t="n"/>
    </row>
    <row r="53">
      <c r="D53" s="6" t="n"/>
      <c r="L53" s="10" t="n"/>
      <c r="M53" s="10" t="n"/>
    </row>
    <row r="54">
      <c r="D54" s="6" t="n"/>
      <c r="L54" s="10" t="n"/>
      <c r="M54" s="10" t="n"/>
    </row>
    <row r="55">
      <c r="D55" s="6" t="n"/>
      <c r="L55" s="10" t="n"/>
      <c r="M55" s="10" t="n"/>
    </row>
    <row r="56">
      <c r="D56" s="6" t="n"/>
      <c r="L56" s="10" t="n"/>
      <c r="M56" s="10" t="n"/>
    </row>
    <row r="57">
      <c r="D57" s="6" t="n"/>
      <c r="L57" s="10" t="n"/>
      <c r="M57" s="10" t="n"/>
    </row>
    <row r="58">
      <c r="D58" s="6" t="n"/>
      <c r="L58" s="10" t="n"/>
      <c r="M58" s="10" t="n"/>
    </row>
    <row r="59">
      <c r="D59" s="6" t="n"/>
      <c r="L59" s="10" t="n"/>
      <c r="M59" s="10" t="n"/>
    </row>
    <row r="60">
      <c r="D60" s="6" t="n"/>
      <c r="L60" s="10" t="n"/>
      <c r="M60" s="10" t="n"/>
    </row>
    <row r="61">
      <c r="D61" s="6" t="n"/>
      <c r="L61" s="10" t="n"/>
      <c r="M61" s="10" t="n"/>
    </row>
    <row r="62">
      <c r="D62" s="6" t="n"/>
      <c r="L62" s="10" t="n"/>
      <c r="M62" s="10" t="n"/>
    </row>
    <row r="63">
      <c r="D63" s="6" t="n"/>
      <c r="L63" s="10" t="n"/>
      <c r="M63" s="10" t="n"/>
    </row>
    <row r="64">
      <c r="D64" s="6" t="n"/>
      <c r="L64" s="10" t="n"/>
      <c r="M64" s="10" t="n"/>
    </row>
    <row r="65">
      <c r="D65" s="6" t="n"/>
      <c r="L65" s="10" t="n"/>
      <c r="M65" s="10" t="n"/>
    </row>
    <row r="66">
      <c r="D66" s="6" t="n"/>
      <c r="L66" s="10" t="n"/>
      <c r="M66" s="10" t="n"/>
    </row>
    <row r="67">
      <c r="D67" s="6" t="n"/>
      <c r="L67" s="10" t="n"/>
      <c r="M67" s="10" t="n"/>
    </row>
    <row r="68">
      <c r="D68" s="6" t="n"/>
      <c r="L68" s="10" t="n"/>
      <c r="M68" s="10" t="n"/>
    </row>
    <row r="69">
      <c r="D69" s="6" t="n"/>
      <c r="L69" s="10" t="n"/>
      <c r="M69" s="10" t="n"/>
    </row>
    <row r="70">
      <c r="D70" s="6" t="n"/>
      <c r="L70" s="10" t="n"/>
      <c r="M70" s="10" t="n"/>
    </row>
    <row r="71">
      <c r="D71" s="6" t="n"/>
      <c r="L71" s="10" t="n"/>
      <c r="M71" s="10" t="n"/>
    </row>
    <row r="72">
      <c r="D72" s="6" t="n"/>
      <c r="L72" s="10" t="n"/>
      <c r="M72" s="10" t="n"/>
    </row>
    <row r="73">
      <c r="D73" s="6" t="n"/>
      <c r="L73" s="10" t="n"/>
      <c r="M73" s="10" t="n"/>
    </row>
    <row r="74">
      <c r="D74" s="6" t="n"/>
      <c r="L74" s="10" t="n"/>
      <c r="M74" s="10" t="n"/>
    </row>
    <row r="75">
      <c r="D75" s="6" t="n"/>
      <c r="L75" s="10" t="n"/>
      <c r="M75" s="10" t="n"/>
    </row>
    <row r="76">
      <c r="D76" s="6" t="n"/>
      <c r="L76" s="10" t="n"/>
      <c r="M76" s="10" t="n"/>
    </row>
    <row r="77">
      <c r="D77" s="6" t="n"/>
      <c r="L77" s="10" t="n"/>
      <c r="M77" s="10" t="n"/>
    </row>
    <row r="78">
      <c r="D78" s="6" t="n"/>
      <c r="L78" s="10" t="n"/>
      <c r="M78" s="10" t="n"/>
    </row>
    <row r="79">
      <c r="D79" s="6" t="n"/>
      <c r="L79" s="10" t="n"/>
      <c r="M79" s="10" t="n"/>
    </row>
    <row r="80">
      <c r="D80" s="6" t="n"/>
      <c r="L80" s="10" t="n"/>
      <c r="M80" s="10" t="n"/>
    </row>
    <row r="81">
      <c r="D81" s="6" t="n"/>
      <c r="L81" s="10" t="n"/>
      <c r="M81" s="10" t="n"/>
    </row>
    <row r="82">
      <c r="D82" s="6" t="n"/>
      <c r="L82" s="10" t="n"/>
      <c r="M82" s="10" t="n"/>
    </row>
    <row r="83">
      <c r="D83" s="6" t="n"/>
      <c r="L83" s="10" t="n"/>
      <c r="M83" s="10" t="n"/>
    </row>
    <row r="84">
      <c r="D84" s="6" t="n"/>
      <c r="L84" s="10" t="n"/>
      <c r="M84" s="10" t="n"/>
    </row>
    <row r="85">
      <c r="D85" s="6" t="n"/>
      <c r="L85" s="10" t="n"/>
      <c r="M85" s="10" t="n"/>
    </row>
    <row r="86">
      <c r="D86" s="6" t="n"/>
      <c r="L86" s="10" t="n"/>
      <c r="M86" s="10" t="n"/>
    </row>
    <row r="87">
      <c r="D87" s="6" t="n"/>
      <c r="L87" s="10" t="n"/>
      <c r="M87" s="10" t="n"/>
    </row>
    <row r="88">
      <c r="D88" s="6" t="n"/>
      <c r="L88" s="10" t="n"/>
      <c r="M88" s="10" t="n"/>
    </row>
    <row r="89">
      <c r="D89" s="6" t="n"/>
      <c r="L89" s="10" t="n"/>
      <c r="M89" s="10" t="n"/>
    </row>
    <row r="90">
      <c r="D90" s="6" t="n"/>
      <c r="L90" s="10" t="n"/>
      <c r="M90" s="10" t="n"/>
    </row>
    <row r="91">
      <c r="D91" s="6" t="n"/>
      <c r="L91" s="10" t="n"/>
      <c r="M91" s="10" t="n"/>
    </row>
    <row r="92">
      <c r="D92" s="6" t="n"/>
      <c r="L92" s="10" t="n"/>
      <c r="M92" s="10" t="n"/>
    </row>
    <row r="93">
      <c r="D93" s="6" t="n"/>
      <c r="L93" s="10" t="n"/>
      <c r="M93" s="10" t="n"/>
    </row>
    <row r="94">
      <c r="D94" s="6" t="n"/>
      <c r="L94" s="10" t="n"/>
      <c r="M94" s="10" t="n"/>
    </row>
    <row r="95">
      <c r="D95" s="6" t="n"/>
      <c r="L95" s="10" t="n"/>
      <c r="M95" s="10" t="n"/>
    </row>
    <row r="96">
      <c r="D96" s="6" t="n"/>
      <c r="L96" s="10" t="n"/>
      <c r="M96" s="10" t="n"/>
    </row>
    <row r="97">
      <c r="D97" s="6" t="n"/>
      <c r="L97" s="10" t="n"/>
      <c r="M97" s="10" t="n"/>
    </row>
    <row r="98">
      <c r="D98" s="6" t="n"/>
      <c r="L98" s="10" t="n"/>
      <c r="M98" s="10" t="n"/>
    </row>
    <row r="99">
      <c r="D99" s="6" t="n"/>
      <c r="L99" s="10" t="n"/>
      <c r="M99" s="10" t="n"/>
    </row>
    <row r="100">
      <c r="D100" s="6" t="n"/>
      <c r="L100" s="10" t="n"/>
      <c r="M100" s="10" t="n"/>
    </row>
    <row r="101">
      <c r="D101" s="6" t="n"/>
      <c r="L101" s="10" t="n"/>
      <c r="M101" s="10" t="n"/>
    </row>
    <row r="102">
      <c r="D102" s="6" t="n"/>
      <c r="L102" s="10" t="n"/>
      <c r="M102" s="10" t="n"/>
    </row>
    <row r="103">
      <c r="D103" s="6" t="n"/>
      <c r="L103" s="10" t="n"/>
      <c r="M103" s="10" t="n"/>
    </row>
    <row r="104">
      <c r="D104" s="6" t="n"/>
      <c r="L104" s="10" t="n"/>
      <c r="M104" s="10" t="n"/>
    </row>
    <row r="105">
      <c r="D105" s="6" t="n"/>
      <c r="L105" s="10" t="n"/>
      <c r="M105" s="10" t="n"/>
    </row>
    <row r="106">
      <c r="D106" s="6" t="n"/>
      <c r="L106" s="10" t="n"/>
      <c r="M106" s="10" t="n"/>
    </row>
    <row r="107">
      <c r="D107" s="6" t="n"/>
      <c r="L107" s="10" t="n"/>
      <c r="M107" s="10" t="n"/>
    </row>
    <row r="108">
      <c r="D108" s="6" t="n"/>
      <c r="L108" s="10" t="n"/>
      <c r="M108" s="10" t="n"/>
    </row>
    <row r="109">
      <c r="D109" s="6" t="n"/>
      <c r="L109" s="10" t="n"/>
      <c r="M109" s="10" t="n"/>
    </row>
    <row r="110">
      <c r="D110" s="6" t="n"/>
      <c r="L110" s="10" t="n"/>
      <c r="M110" s="10" t="n"/>
    </row>
    <row r="111">
      <c r="D111" s="6" t="n"/>
      <c r="L111" s="10" t="n"/>
      <c r="M111" s="10" t="n"/>
    </row>
    <row r="112">
      <c r="D112" s="6" t="n"/>
      <c r="L112" s="10" t="n"/>
      <c r="M112" s="10" t="n"/>
    </row>
    <row r="113">
      <c r="D113" s="6" t="n"/>
      <c r="L113" s="10" t="n"/>
      <c r="M113" s="10" t="n"/>
    </row>
    <row r="114">
      <c r="D114" s="6" t="n"/>
      <c r="L114" s="10" t="n"/>
      <c r="M114" s="10" t="n"/>
    </row>
    <row r="115">
      <c r="D115" s="6" t="n"/>
      <c r="L115" s="10" t="n"/>
      <c r="M115" s="10" t="n"/>
    </row>
    <row r="116">
      <c r="D116" s="6" t="n"/>
      <c r="L116" s="10" t="n"/>
      <c r="M116" s="10" t="n"/>
    </row>
    <row r="117">
      <c r="D117" s="6" t="n"/>
      <c r="L117" s="10" t="n"/>
      <c r="M117" s="10" t="n"/>
    </row>
    <row r="118">
      <c r="D118" s="6" t="n"/>
      <c r="L118" s="10" t="n"/>
      <c r="M118" s="10" t="n"/>
    </row>
    <row r="119">
      <c r="D119" s="6" t="n"/>
      <c r="L119" s="10" t="n"/>
      <c r="M119" s="10" t="n"/>
    </row>
    <row r="120">
      <c r="D120" s="6" t="n"/>
      <c r="L120" s="10" t="n"/>
      <c r="M120" s="10" t="n"/>
    </row>
    <row r="121">
      <c r="D121" s="6" t="n"/>
      <c r="L121" s="10" t="n"/>
      <c r="M121" s="10" t="n"/>
    </row>
    <row r="122">
      <c r="D122" s="6" t="n"/>
      <c r="L122" s="10" t="n"/>
      <c r="M122" s="10" t="n"/>
    </row>
    <row r="123">
      <c r="D123" s="6" t="n"/>
      <c r="L123" s="10" t="n"/>
      <c r="M123" s="10" t="n"/>
    </row>
    <row r="124">
      <c r="D124" s="6" t="n"/>
      <c r="L124" s="10" t="n"/>
      <c r="M124" s="10" t="n"/>
    </row>
    <row r="125">
      <c r="D125" s="6" t="n"/>
      <c r="L125" s="10" t="n"/>
      <c r="M125" s="10" t="n"/>
    </row>
    <row r="126">
      <c r="D126" s="6" t="n"/>
      <c r="L126" s="10" t="n"/>
      <c r="M126" s="10" t="n"/>
    </row>
    <row r="127">
      <c r="D127" s="6" t="n"/>
      <c r="L127" s="10" t="n"/>
      <c r="M127" s="10" t="n"/>
    </row>
    <row r="128">
      <c r="D128" s="6" t="n"/>
      <c r="L128" s="10" t="n"/>
      <c r="M128" s="10" t="n"/>
    </row>
    <row r="129">
      <c r="D129" s="6" t="n"/>
      <c r="L129" s="10" t="n"/>
      <c r="M129" s="10" t="n"/>
    </row>
    <row r="130">
      <c r="D130" s="6" t="n"/>
      <c r="L130" s="10" t="n"/>
      <c r="M130" s="10" t="n"/>
    </row>
    <row r="131">
      <c r="D131" s="6" t="n"/>
      <c r="L131" s="10" t="n"/>
      <c r="M131" s="10" t="n"/>
    </row>
    <row r="132">
      <c r="D132" s="6" t="n"/>
      <c r="L132" s="10" t="n"/>
      <c r="M132" s="10" t="n"/>
    </row>
    <row r="133">
      <c r="D133" s="6" t="n"/>
      <c r="L133" s="10" t="n"/>
      <c r="M133" s="10" t="n"/>
    </row>
    <row r="134">
      <c r="D134" s="6" t="n"/>
      <c r="L134" s="10" t="n"/>
      <c r="M134" s="10" t="n"/>
    </row>
    <row r="135">
      <c r="D135" s="6" t="n"/>
      <c r="L135" s="10" t="n"/>
      <c r="M135" s="10" t="n"/>
    </row>
    <row r="136">
      <c r="D136" s="6" t="n"/>
      <c r="L136" s="10" t="n"/>
      <c r="M136" s="10" t="n"/>
    </row>
    <row r="137">
      <c r="D137" s="6" t="n"/>
      <c r="L137" s="10" t="n"/>
      <c r="M137" s="10" t="n"/>
    </row>
    <row r="138">
      <c r="D138" s="6" t="n"/>
      <c r="L138" s="10" t="n"/>
      <c r="M138" s="10" t="n"/>
    </row>
    <row r="139">
      <c r="D139" s="6" t="n"/>
      <c r="L139" s="10" t="n"/>
      <c r="M139" s="10" t="n"/>
    </row>
    <row r="140">
      <c r="D140" s="6" t="n"/>
      <c r="L140" s="10" t="n"/>
      <c r="M140" s="10" t="n"/>
    </row>
    <row r="141">
      <c r="D141" s="6" t="n"/>
      <c r="L141" s="10" t="n"/>
      <c r="M141" s="10" t="n"/>
    </row>
    <row r="142">
      <c r="D142" s="6" t="n"/>
      <c r="L142" s="10" t="n"/>
      <c r="M142" s="10" t="n"/>
    </row>
    <row r="143">
      <c r="D143" s="6" t="n"/>
      <c r="L143" s="10" t="n"/>
      <c r="M143" s="10" t="n"/>
    </row>
    <row r="144">
      <c r="D144" s="6" t="n"/>
      <c r="L144" s="10" t="n"/>
      <c r="M144" s="10" t="n"/>
    </row>
    <row r="145">
      <c r="D145" s="6" t="n"/>
      <c r="L145" s="10" t="n"/>
      <c r="M145" s="10" t="n"/>
    </row>
    <row r="146">
      <c r="D146" s="6" t="n"/>
      <c r="L146" s="10" t="n"/>
      <c r="M146" s="10" t="n"/>
    </row>
    <row r="147">
      <c r="D147" s="6" t="n"/>
      <c r="L147" s="10" t="n"/>
      <c r="M147" s="10" t="n"/>
    </row>
    <row r="148">
      <c r="D148" s="6" t="n"/>
      <c r="L148" s="10" t="n"/>
      <c r="M148" s="10" t="n"/>
    </row>
    <row r="149">
      <c r="D149" s="6" t="n"/>
      <c r="L149" s="10" t="n"/>
      <c r="M149" s="10" t="n"/>
    </row>
    <row r="150">
      <c r="D150" s="6" t="n"/>
      <c r="L150" s="10" t="n"/>
      <c r="M150" s="10" t="n"/>
    </row>
    <row r="151">
      <c r="D151" s="6" t="n"/>
      <c r="L151" s="10" t="n"/>
      <c r="M151" s="10" t="n"/>
    </row>
  </sheetData>
  <conditionalFormatting sqref="AA2:AA1001">
    <cfRule type="expression" priority="1" dxfId="2">
      <formula>AA2="★"</formula>
    </cfRule>
    <cfRule type="expression" priority="2" dxfId="3">
      <formula>AA2="✕"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10" customWidth="1" min="4" max="4"/>
  </cols>
  <sheetData>
    <row r="1">
      <c r="A1" s="1" t="inlineStr">
        <is>
          <t>산군 본전 계산 — 기준 숫자는 프로님이 넣으십시오(노란 칸)</t>
        </is>
      </c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메모</t>
        </is>
      </c>
    </row>
    <row r="4">
      <c r="A4" t="inlineStr">
        <is>
          <t>산군 사용 시작일</t>
        </is>
      </c>
      <c r="B4" s="8">
        <f>IF(설정!$B$23="","",설정!$B$23)</f>
        <v/>
      </c>
      <c r="C4" t="inlineStr">
        <is>
          <t>설정 탭</t>
        </is>
      </c>
    </row>
    <row r="5">
      <c r="A5" t="inlineStr">
        <is>
          <t>쓴 개월 수</t>
        </is>
      </c>
      <c r="B5" s="5">
        <f>IF(설정!$B$23="","시작일을 넣으십시오",DATEDIF(설정!$B$23,설정!$B$24,"m")+1)</f>
        <v/>
      </c>
      <c r="C5" t="inlineStr"/>
    </row>
    <row r="6">
      <c r="A6" t="inlineStr">
        <is>
          <t>누적 비용(원)</t>
        </is>
      </c>
      <c r="B6" s="7">
        <f>IF(ISNUMBER(B5),B5*설정!$B$22,"")</f>
        <v/>
      </c>
      <c r="C6" t="inlineStr">
        <is>
          <t>월 요금 × 개월</t>
        </is>
      </c>
    </row>
    <row r="7">
      <c r="A7" t="inlineStr">
        <is>
          <t>월결제 1년 vs 연결제 차액(원)</t>
        </is>
      </c>
      <c r="B7" s="7">
        <f>설정!$B$22*12-설정!$B$25</f>
        <v/>
      </c>
      <c r="C7" t="inlineStr">
        <is>
          <t>연결제로 바꾸면 아끼는 돈</t>
        </is>
      </c>
    </row>
    <row r="8">
      <c r="A8" t="inlineStr">
        <is>
          <t>산군으로 잡힌 설계사무소(곳)</t>
        </is>
      </c>
      <c r="B8" s="5">
        <f>COUNTIF('3.설계사'!$B$4:$B$303,"?*")</f>
        <v/>
      </c>
      <c r="C8" t="inlineStr">
        <is>
          <t>자동</t>
        </is>
      </c>
    </row>
    <row r="9">
      <c r="A9" t="inlineStr">
        <is>
          <t>그중 한 번이라도 간 곳</t>
        </is>
      </c>
      <c r="B9" s="5">
        <f>COUNTIF('3.설계사'!$O$4:$O$303,"&gt;0")</f>
        <v/>
      </c>
      <c r="C9" t="inlineStr">
        <is>
          <t>자동</t>
        </is>
      </c>
    </row>
    <row r="10">
      <c r="A10" t="inlineStr">
        <is>
          <t>방문·통화 건수</t>
        </is>
      </c>
      <c r="B10" s="5">
        <f>COUNT('4.방문기록'!$A$3:$A$502)</f>
        <v/>
      </c>
      <c r="C10" t="inlineStr">
        <is>
          <t>자동</t>
        </is>
      </c>
    </row>
    <row r="11">
      <c r="A11" t="inlineStr">
        <is>
          <t>설계의뢰 받음</t>
        </is>
      </c>
      <c r="B11" s="5">
        <f>COUNTIF('4.방문기록'!$H$3:$H$502,"설계의뢰 받음")</f>
        <v/>
      </c>
      <c r="C11" t="inlineStr">
        <is>
          <t>자동</t>
        </is>
      </c>
    </row>
    <row r="12">
      <c r="A12" t="inlineStr">
        <is>
          <t>도면 받음</t>
        </is>
      </c>
      <c r="B12" s="5">
        <f>COUNTIF('4.방문기록'!$H$3:$H$502,"도면 받음")</f>
        <v/>
      </c>
      <c r="C12" t="inlineStr">
        <is>
          <t>자동</t>
        </is>
      </c>
    </row>
    <row r="13">
      <c r="A13" t="inlineStr">
        <is>
          <t>방문 1건당 산군 비용(원)</t>
        </is>
      </c>
      <c r="B13" s="7">
        <f>IF(AND(ISNUMBER(B6),B10&gt;0),B6/B10,"")</f>
        <v/>
      </c>
      <c r="C13" t="inlineStr"/>
    </row>
    <row r="14">
      <c r="A14" t="inlineStr">
        <is>
          <t>★ 현장 수(지금 붙여넣은 자료)</t>
        </is>
      </c>
      <c r="B14" s="5">
        <f>COUNTIF('2.현장'!$AA$2:$AA$1001,"★")</f>
        <v/>
      </c>
      <c r="C14" t="inlineStr">
        <is>
          <t>자동</t>
        </is>
      </c>
    </row>
    <row r="17">
      <c r="A17" s="4" t="inlineStr">
        <is>
          <t>유지 판단 기준(3개월 기준 권장)</t>
        </is>
      </c>
    </row>
    <row r="18">
      <c r="A18" s="3" t="inlineStr">
        <is>
          <t>기준</t>
        </is>
      </c>
      <c r="B18" s="3" t="inlineStr">
        <is>
          <t>넣으실 숫자</t>
        </is>
      </c>
      <c r="C18" s="3" t="inlineStr">
        <is>
          <t>실제</t>
        </is>
      </c>
      <c r="D18" s="3" t="inlineStr">
        <is>
          <t>통과</t>
        </is>
      </c>
    </row>
    <row r="19">
      <c r="A19" t="inlineStr">
        <is>
          <t>간 설계사무소 최소(곳)</t>
        </is>
      </c>
      <c r="B19" s="12" t="n"/>
      <c r="C19">
        <f>B9</f>
        <v/>
      </c>
      <c r="D19">
        <f>IF(B19="","",IF(C19&gt;=B19,"통과","미달"))</f>
        <v/>
      </c>
    </row>
    <row r="20">
      <c r="A20" t="inlineStr">
        <is>
          <t>설계의뢰 받음 최소(건)</t>
        </is>
      </c>
      <c r="B20" s="12" t="n"/>
      <c r="C20">
        <f>B11</f>
        <v/>
      </c>
      <c r="D20">
        <f>IF(B20="","",IF(C20&gt;=B20,"통과","미달"))</f>
        <v/>
      </c>
    </row>
    <row r="21">
      <c r="A21" t="inlineStr">
        <is>
          <t>도면 받음 최소(건)</t>
        </is>
      </c>
      <c r="B21" s="12" t="n"/>
      <c r="C21">
        <f>B12</f>
        <v/>
      </c>
      <c r="D21">
        <f>IF(B21="","",IF(C21&gt;=B21,"통과","미달"))</f>
        <v/>
      </c>
    </row>
    <row r="23">
      <c r="A23" s="4" t="inlineStr">
        <is>
          <t>판정</t>
        </is>
      </c>
      <c r="B23">
        <f>IF(COUNTA(B19:B21)=0,"기준 숫자를 넣으시면 판정합니다",IF(COUNTIF(D19:D21,"미달")=0,"유지","미달 있음 — 해지 또는 조건 변경 검토"))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56" customWidth="1" min="1" max="1"/>
    <col width="30" customWidth="1" min="2" max="2"/>
    <col width="60" customWidth="1" min="3" max="3"/>
    <col width="40" customWidth="1" min="4" max="4"/>
  </cols>
  <sheetData>
    <row r="1">
      <c r="A1" s="1" t="inlineStr">
        <is>
          <t>설정 — 노란 칸만 고치십시오</t>
        </is>
      </c>
    </row>
    <row r="3">
      <c r="A3" s="3" t="inlineStr">
        <is>
          <t>항목</t>
        </is>
      </c>
      <c r="B3" s="3" t="inlineStr">
        <is>
          <t>산군 엑셀의 열 이름(1행 글자 그대로, 없으면 비움)</t>
        </is>
      </c>
      <c r="C3" s="3" t="inlineStr">
        <is>
          <t>찾은 열 번호</t>
        </is>
      </c>
      <c r="D3" s="3" t="inlineStr">
        <is>
          <t>상태</t>
        </is>
      </c>
    </row>
    <row r="4">
      <c r="A4" t="inlineStr">
        <is>
          <t>주소 ★필수</t>
        </is>
      </c>
      <c r="B4" s="12" t="inlineStr">
        <is>
          <t>소재지</t>
        </is>
      </c>
      <c r="C4" s="5">
        <f>IF(B4="","",IFERROR(MATCH(B4,'1.산군_붙여넣기'!$1:$1,0),""))</f>
        <v/>
      </c>
      <c r="D4" s="5">
        <f>IF(B4="","안 씀(비움)",IF(C4="","못 찾음 — B칸을 산군 엑셀 1행 글자와 똑같이","정상"))</f>
        <v/>
      </c>
    </row>
    <row r="5">
      <c r="A5" t="inlineStr">
        <is>
          <t>건물명 ★필수</t>
        </is>
      </c>
      <c r="B5" s="12" t="inlineStr">
        <is>
          <t>현장명</t>
        </is>
      </c>
      <c r="C5" s="5">
        <f>IF(B5="","",IFERROR(MATCH(B5,'1.산군_붙여넣기'!$1:$1,0),""))</f>
        <v/>
      </c>
      <c r="D5" s="5">
        <f>IF(B5="","안 씀(비움)",IF(C5="","못 찾음 — B칸을 산군 엑셀 1행 글자와 똑같이","정상"))</f>
        <v/>
      </c>
    </row>
    <row r="6">
      <c r="A6" t="inlineStr">
        <is>
          <t>연면적 ★필수</t>
        </is>
      </c>
      <c r="B6" s="12" t="inlineStr">
        <is>
          <t>연면적㎡</t>
        </is>
      </c>
      <c r="C6" s="5">
        <f>IF(B6="","",IFERROR(MATCH(B6,'1.산군_붙여넣기'!$1:$1,0),""))</f>
        <v/>
      </c>
      <c r="D6" s="5">
        <f>IF(B6="","안 씀(비움)",IF(C6="","못 찾음 — B칸을 산군 엑셀 1행 글자와 똑같이","정상"))</f>
        <v/>
      </c>
    </row>
    <row r="7">
      <c r="A7" t="inlineStr">
        <is>
          <t>주용도 ★필수</t>
        </is>
      </c>
      <c r="B7" s="12" t="inlineStr">
        <is>
          <t>용도</t>
        </is>
      </c>
      <c r="C7" s="5">
        <f>IF(B7="","",IFERROR(MATCH(B7,'1.산군_붙여넣기'!$1:$1,0),""))</f>
        <v/>
      </c>
      <c r="D7" s="5">
        <f>IF(B7="","안 씀(비움)",IF(C7="","못 찾음 — B칸을 산군 엑셀 1행 글자와 똑같이","정상"))</f>
        <v/>
      </c>
    </row>
    <row r="8">
      <c r="A8" t="inlineStr">
        <is>
          <t>허가구분</t>
        </is>
      </c>
      <c r="B8" s="12" t="inlineStr">
        <is>
          <t>구분</t>
        </is>
      </c>
      <c r="C8" s="5">
        <f>IF(B8="","",IFERROR(MATCH(B8,'1.산군_붙여넣기'!$1:$1,0),""))</f>
        <v/>
      </c>
      <c r="D8" s="5">
        <f>IF(B8="","안 씀(비움)",IF(C8="","못 찾음 — B칸을 산군 엑셀 1행 글자와 똑같이","정상"))</f>
        <v/>
      </c>
    </row>
    <row r="9">
      <c r="A9" t="inlineStr">
        <is>
          <t>설계사 ★필수</t>
        </is>
      </c>
      <c r="B9" s="12" t="inlineStr">
        <is>
          <t>건축설계</t>
        </is>
      </c>
      <c r="C9" s="5">
        <f>IF(B9="","",IFERROR(MATCH(B9,'1.산군_붙여넣기'!$1:$1,0),""))</f>
        <v/>
      </c>
      <c r="D9" s="5">
        <f>IF(B9="","안 씀(비움)",IF(C9="","못 찾음 — B칸을 산군 엑셀 1행 글자와 똑같이","정상"))</f>
        <v/>
      </c>
    </row>
    <row r="10">
      <c r="A10" t="inlineStr">
        <is>
          <t>시공사</t>
        </is>
      </c>
      <c r="B10" s="12" t="inlineStr">
        <is>
          <t>열J(미확인)</t>
        </is>
      </c>
      <c r="C10" s="5">
        <f>IF(B10="","",IFERROR(MATCH(B10,'1.산군_붙여넣기'!$1:$1,0),""))</f>
        <v/>
      </c>
      <c r="D10" s="5">
        <f>IF(B10="","안 씀(비움)",IF(C10="","못 찾음 — B칸을 산군 엑셀 1행 글자와 똑같이","정상"))</f>
        <v/>
      </c>
    </row>
    <row r="11">
      <c r="A11" t="inlineStr">
        <is>
          <t>감리</t>
        </is>
      </c>
      <c r="B11" s="12" t="n"/>
      <c r="C11" s="5">
        <f>IF(B11="","",IFERROR(MATCH(B11,'1.산군_붙여넣기'!$1:$1,0),""))</f>
        <v/>
      </c>
      <c r="D11" s="5">
        <f>IF(B11="","안 씀(비움)",IF(C11="","못 찾음 — B칸을 산군 엑셀 1행 글자와 똑같이","정상"))</f>
        <v/>
      </c>
    </row>
    <row r="12">
      <c r="A12" t="inlineStr">
        <is>
          <t>건축주</t>
        </is>
      </c>
      <c r="B12" s="12" t="n"/>
      <c r="C12" s="5">
        <f>IF(B12="","",IFERROR(MATCH(B12,'1.산군_붙여넣기'!$1:$1,0),""))</f>
        <v/>
      </c>
      <c r="D12" s="5">
        <f>IF(B12="","안 씀(비움)",IF(C12="","못 찾음 — B칸을 산군 엑셀 1행 글자와 똑같이","정상"))</f>
        <v/>
      </c>
    </row>
    <row r="13">
      <c r="A13" t="inlineStr">
        <is>
          <t>공사단계 ★필수</t>
        </is>
      </c>
      <c r="B13" s="12" t="inlineStr">
        <is>
          <t>단계</t>
        </is>
      </c>
      <c r="C13" s="5">
        <f>IF(B13="","",IFERROR(MATCH(B13,'1.산군_붙여넣기'!$1:$1,0),""))</f>
        <v/>
      </c>
      <c r="D13" s="5">
        <f>IF(B13="","안 씀(비움)",IF(C13="","못 찾음 — B칸을 산군 엑셀 1행 글자와 똑같이","정상"))</f>
        <v/>
      </c>
    </row>
    <row r="14">
      <c r="A14" t="inlineStr">
        <is>
          <t>허가일</t>
        </is>
      </c>
      <c r="B14" s="12" t="inlineStr">
        <is>
          <t>날짜1(추정:허가일)</t>
        </is>
      </c>
      <c r="C14" s="5">
        <f>IF(B14="","",IFERROR(MATCH(B14,'1.산군_붙여넣기'!$1:$1,0),""))</f>
        <v/>
      </c>
      <c r="D14" s="5">
        <f>IF(B14="","안 씀(비움)",IF(C14="","못 찾음 — B칸을 산군 엑셀 1행 글자와 똑같이","정상"))</f>
        <v/>
      </c>
    </row>
    <row r="15">
      <c r="A15" t="inlineStr">
        <is>
          <t>착공일</t>
        </is>
      </c>
      <c r="B15" s="12" t="inlineStr">
        <is>
          <t>날짜2(추정:착공일)</t>
        </is>
      </c>
      <c r="C15" s="5">
        <f>IF(B15="","",IFERROR(MATCH(B15,'1.산군_붙여넣기'!$1:$1,0),""))</f>
        <v/>
      </c>
      <c r="D15" s="5">
        <f>IF(B15="","안 씀(비움)",IF(C15="","못 찾음 — B칸을 산군 엑셀 1행 글자와 똑같이","정상"))</f>
        <v/>
      </c>
    </row>
    <row r="18">
      <c r="A18" s="4" t="inlineStr">
        <is>
          <t>숫자 입력칸</t>
        </is>
      </c>
    </row>
    <row r="19">
      <c r="A19" t="inlineStr">
        <is>
          <t>연면적 최소(㎡) — 이보다 작으면 ✕</t>
        </is>
      </c>
      <c r="B19" s="15" t="n">
        <v>1500</v>
      </c>
      <c r="C19" s="13" t="inlineStr">
        <is>
          <t>신규 현장 레이더 숙박 기준(프로님 확정값)</t>
        </is>
      </c>
    </row>
    <row r="20">
      <c r="A20" t="inlineStr">
        <is>
          <t>재방문 간격(일)</t>
        </is>
      </c>
      <c r="B20" s="12" t="n">
        <v>14</v>
      </c>
      <c r="C20" s="13" t="inlineStr">
        <is>
          <t>0번 목록 32 「다녀오신 지 14일」</t>
        </is>
      </c>
    </row>
    <row r="21">
      <c r="A21" t="inlineStr">
        <is>
          <t>이번 주 지역(비우면 전국) — 시·도 첫 단어, 예: 서울특별시</t>
        </is>
      </c>
      <c r="B21" s="12" t="n"/>
      <c r="C21" s="13" t="inlineStr">
        <is>
          <t>5번 탭을 이 지역만 보기</t>
        </is>
      </c>
    </row>
    <row r="22">
      <c r="A22" t="inlineStr">
        <is>
          <t>산군 월 요금(원)</t>
        </is>
      </c>
      <c r="B22" s="15" t="n">
        <v>90000</v>
      </c>
      <c r="C22" s="13" t="inlineStr">
        <is>
          <t>2026-09-27 검색 확인</t>
        </is>
      </c>
    </row>
    <row r="23">
      <c r="A23" t="inlineStr">
        <is>
          <t>산군 사용 시작일</t>
        </is>
      </c>
      <c r="B23" s="16" t="n"/>
      <c r="C23" s="13" t="inlineStr">
        <is>
          <t>넣으시면 6.본전계산이 누적 비용을 냅니다(9/4 통화: 결제 완료 확인)</t>
        </is>
      </c>
    </row>
    <row r="24">
      <c r="A24" t="inlineStr">
        <is>
          <t>오늘 날짜</t>
        </is>
      </c>
      <c r="B24" s="8">
        <f>TODAY()</f>
        <v/>
      </c>
      <c r="C24" s="13" t="inlineStr">
        <is>
          <t>자동</t>
        </is>
      </c>
    </row>
    <row r="25">
      <c r="A25" t="inlineStr">
        <is>
          <t>산군 연결제 금액(원)</t>
        </is>
      </c>
      <c r="B25" s="15" t="n">
        <v>864000</v>
      </c>
      <c r="C25" s="13" t="inlineStr">
        <is>
          <t>2026-09-27 검색 확인(연 20% 할인)</t>
        </is>
      </c>
    </row>
    <row r="26">
      <c r="A26" t="inlineStr">
        <is>
          <t>★ 연면적 기준(㎡) — 이 이상이고 표류가 아니면 ★</t>
        </is>
      </c>
      <c r="B26" s="15" t="n">
        <v>4000</v>
      </c>
      <c r="C26" s="13" t="inlineStr">
        <is>
          <t>9/14 캡처 판정(2,596㎡=△, 4,482㎡=★)에서 역산한 추정값 — 고쳐 주십시오</t>
        </is>
      </c>
    </row>
    <row r="27">
      <c r="A27" t="inlineStr">
        <is>
          <t>표류 기준(일) — 허가→착공(착공 없으면 허가→오늘)이 이보다 길면 △</t>
        </is>
      </c>
      <c r="B27" s="12" t="n">
        <v>1200</v>
      </c>
      <c r="C27" s="13" t="inlineStr">
        <is>
          <t>9/14 캡처 판정 8건과 모두 맞는 경계값(△ 1,295·1,464일 / ★ 1,083·1,096일) — 추정</t>
        </is>
      </c>
    </row>
    <row r="28">
      <c r="A28" t="inlineStr">
        <is>
          <t>착공 「최근」 기준(개월)</t>
        </is>
      </c>
      <c r="B28" s="12" t="n">
        <v>6</v>
      </c>
      <c r="C28" s="13" t="inlineStr">
        <is>
          <t>이 안에 착공한 현장은 아직 기구물 사양을 넣을 여지가 있다고 보고 점수를 줌</t>
        </is>
      </c>
    </row>
    <row r="30">
      <c r="A30" s="4" t="inlineStr">
        <is>
          <t>순위 점수 가중치 (5.이번주_갈곳 순서를 정함)</t>
        </is>
      </c>
    </row>
    <row r="31">
      <c r="A31" t="inlineStr">
        <is>
          <t>설계단계 현장 1건</t>
        </is>
      </c>
      <c r="B31" s="12" t="n">
        <v>10</v>
      </c>
      <c r="C31" s="13" t="inlineStr">
        <is>
          <t>Claude 초안값 — 쓰시면서 고쳐 주십시오</t>
        </is>
      </c>
    </row>
    <row r="32">
      <c r="A32" t="inlineStr">
        <is>
          <t>최근 착공 현장 1건</t>
        </is>
      </c>
      <c r="B32" s="12" t="n">
        <v>6</v>
      </c>
      <c r="C32" s="13" t="inlineStr">
        <is>
          <t>Claude 초안값 — 쓰시면서 고쳐 주십시오</t>
        </is>
      </c>
    </row>
    <row r="33">
      <c r="A33" t="inlineStr">
        <is>
          <t>오래된 착공 현장 1건</t>
        </is>
      </c>
      <c r="B33" s="12" t="n">
        <v>2</v>
      </c>
      <c r="C33" s="13" t="inlineStr">
        <is>
          <t>Claude 초안값 — 쓰시면서 고쳐 주십시오</t>
        </is>
      </c>
    </row>
    <row r="34">
      <c r="A34" t="inlineStr">
        <is>
          <t>마감·준공 현장 1건</t>
        </is>
      </c>
      <c r="B34" s="12" t="n">
        <v>0</v>
      </c>
      <c r="C34" s="13" t="inlineStr">
        <is>
          <t>Claude 초안값 — 쓰시면서 고쳐 주십시오</t>
        </is>
      </c>
    </row>
    <row r="35">
      <c r="A35" t="inlineStr">
        <is>
          <t>★ 현장 1건 추가</t>
        </is>
      </c>
      <c r="B35" s="12" t="n">
        <v>5</v>
      </c>
      <c r="C35" s="13" t="inlineStr">
        <is>
          <t>Claude 초안값 — 쓰시면서 고쳐 주십시오</t>
        </is>
      </c>
    </row>
    <row r="36">
      <c r="A36" t="inlineStr">
        <is>
          <t>안 가본 곳 가산</t>
        </is>
      </c>
      <c r="B36" s="12" t="n">
        <v>30</v>
      </c>
      <c r="C36" s="13" t="inlineStr">
        <is>
          <t>Claude 초안값 — 쓰시면서 고쳐 주십시오</t>
        </is>
      </c>
    </row>
    <row r="37">
      <c r="A37" t="inlineStr">
        <is>
          <t>마지막 방문 뒤 1일당(최대 60일)</t>
        </is>
      </c>
      <c r="B37" s="12" t="n">
        <v>0.5</v>
      </c>
      <c r="C37" s="13" t="inlineStr">
        <is>
          <t>Claude 초안값 — 쓰시면서 고쳐 주십시오</t>
        </is>
      </c>
    </row>
    <row r="38">
      <c r="A38" t="inlineStr">
        <is>
          <t>최대 연면적 1,000㎡당(최대 20점)</t>
        </is>
      </c>
      <c r="B38" s="12" t="n">
        <v>1</v>
      </c>
      <c r="C38" s="13" t="inlineStr">
        <is>
          <t>Claude 초안값 — 쓰시면서 고쳐 주십시오</t>
        </is>
      </c>
    </row>
    <row r="39">
      <c r="A39" t="inlineStr">
        <is>
          <t>7일 안 약속</t>
        </is>
      </c>
      <c r="B39" s="12" t="n">
        <v>100</v>
      </c>
      <c r="C39" s="13" t="inlineStr">
        <is>
          <t>Claude 초안값 — 쓰시면서 고쳐 주십시오</t>
        </is>
      </c>
    </row>
    <row r="41">
      <c r="A41" s="4" t="inlineStr">
        <is>
          <t>대상 용도 키워드(주용도·현장명에 이 글자가 있으면 대상) — 10칸</t>
        </is>
      </c>
    </row>
    <row r="42">
      <c r="A42" s="12" t="inlineStr">
        <is>
          <t>숙박</t>
        </is>
      </c>
    </row>
    <row r="43">
      <c r="A43" s="12" t="inlineStr">
        <is>
          <t>호텔</t>
        </is>
      </c>
    </row>
    <row r="44">
      <c r="A44" s="12" t="inlineStr">
        <is>
          <t>리조트</t>
        </is>
      </c>
    </row>
    <row r="45">
      <c r="A45" s="12" t="inlineStr">
        <is>
          <t>콘도</t>
        </is>
      </c>
    </row>
    <row r="46">
      <c r="A46" s="12" t="inlineStr">
        <is>
          <t>기숙사</t>
        </is>
      </c>
    </row>
    <row r="47">
      <c r="A47" s="12" t="inlineStr">
        <is>
          <t>수련</t>
        </is>
      </c>
    </row>
    <row r="48">
      <c r="A48" s="12" t="inlineStr">
        <is>
          <t>연수</t>
        </is>
      </c>
    </row>
    <row r="49">
      <c r="A49" s="12" t="inlineStr">
        <is>
          <t>노유자</t>
        </is>
      </c>
    </row>
    <row r="50">
      <c r="A50" s="12" t="inlineStr">
        <is>
          <t>실버</t>
        </is>
      </c>
    </row>
    <row r="51">
      <c r="A51" s="12" t="inlineStr">
        <is>
          <t>스테이</t>
        </is>
      </c>
    </row>
    <row r="53">
      <c r="A53" s="4" t="inlineStr">
        <is>
          <t>공사단계 키워드 → 누구를 만나나(위에서부터 먼저 맞는 것) — 8칸. 안 맞으면 착공일 없음=설계사 / 있음=시공사</t>
        </is>
      </c>
    </row>
    <row r="54">
      <c r="A54" s="12" t="inlineStr">
        <is>
          <t>착공전</t>
        </is>
      </c>
      <c r="B54" s="12" t="inlineStr">
        <is>
          <t>설계사</t>
        </is>
      </c>
    </row>
    <row r="55">
      <c r="A55" s="12" t="inlineStr">
        <is>
          <t>설계</t>
        </is>
      </c>
      <c r="B55" s="12" t="inlineStr">
        <is>
          <t>설계사</t>
        </is>
      </c>
    </row>
    <row r="56">
      <c r="A56" s="12" t="inlineStr">
        <is>
          <t>인허가</t>
        </is>
      </c>
      <c r="B56" s="12" t="inlineStr">
        <is>
          <t>설계사</t>
        </is>
      </c>
    </row>
    <row r="57">
      <c r="A57" s="12" t="inlineStr">
        <is>
          <t>허가</t>
        </is>
      </c>
      <c r="B57" s="12" t="inlineStr">
        <is>
          <t>설계사</t>
        </is>
      </c>
    </row>
    <row r="58">
      <c r="A58" s="12" t="inlineStr">
        <is>
          <t>착공</t>
        </is>
      </c>
      <c r="B58" s="12" t="inlineStr">
        <is>
          <t>시공사</t>
        </is>
      </c>
    </row>
    <row r="59">
      <c r="A59" s="12" t="inlineStr">
        <is>
          <t>골조</t>
        </is>
      </c>
      <c r="B59" s="12" t="inlineStr">
        <is>
          <t>시공사</t>
        </is>
      </c>
    </row>
    <row r="60">
      <c r="A60" s="12" t="inlineStr">
        <is>
          <t>마감</t>
        </is>
      </c>
      <c r="B60" s="12" t="inlineStr">
        <is>
          <t>늦음</t>
        </is>
      </c>
    </row>
    <row r="61">
      <c r="A61" s="12" t="inlineStr">
        <is>
          <t>준공</t>
        </is>
      </c>
      <c r="B61" s="12" t="inlineStr">
        <is>
          <t>늦음</t>
        </is>
      </c>
    </row>
  </sheetData>
  <dataValidations count="1">
    <dataValidation sqref="B54:B61" showDropDown="0" showInputMessage="0" showErrorMessage="0" allowBlank="1" type="list">
      <formula1>"설계사,시공사,늦음"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2026-09-27T05:17:32Z</dcterms:created>
  <dcterms:modified xsi:type="dcterms:W3CDTF">2026-09-27T05:17:32Z</dcterms:modified>
</cp:coreProperties>
</file>