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자가진단" sheetId="1" state="visible" r:id="rId1"/>
    <sheet xmlns:r="http://schemas.openxmlformats.org/officeDocument/2006/relationships" name="1.빈칸목록" sheetId="2" state="visible" r:id="rId2"/>
    <sheet xmlns:r="http://schemas.openxmlformats.org/officeDocument/2006/relationships" name="2.바뀐제목" sheetId="3" state="visible" r:id="rId3"/>
    <sheet xmlns:r="http://schemas.openxmlformats.org/officeDocument/2006/relationships" name="3.변경이력" sheetId="4" state="visible" r:id="rId4"/>
    <sheet xmlns:r="http://schemas.openxmlformats.org/officeDocument/2006/relationships" name="4.규칙대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만든 날</t>
        </is>
      </c>
      <c r="B2" s="2" t="inlineStr">
        <is>
          <t>2026-09-28</t>
        </is>
      </c>
      <c r="C2" s="2" t="inlineStr"/>
    </row>
    <row r="3">
      <c r="A3" s="2" t="inlineStr">
        <is>
          <t>다시 쓴 제안서</t>
        </is>
      </c>
      <c r="B3" s="2" t="inlineStr">
        <is>
          <t>25건 (+ 금6 은 프로님 r2 그대로)</t>
        </is>
      </c>
      <c r="C3" s="2" t="inlineStr">
        <is>
          <t>규칙 = 제안서_사람문체_규칙_260928.md</t>
        </is>
      </c>
    </row>
    <row r="4">
      <c r="A4" s="2" t="inlineStr">
        <is>
          <t>빈칸 목록 줄 수</t>
        </is>
      </c>
      <c r="B4" s="2" t="n">
        <v>111</v>
      </c>
      <c r="C4" s="2" t="inlineStr">
        <is>
          <t>1.빈칸목록 시트 · 노란 칸에 답을 적어 주시면 반영</t>
        </is>
      </c>
    </row>
    <row r="5">
      <c r="A5" s="2" t="inlineStr">
        <is>
          <t>바뀐 제목 수</t>
        </is>
      </c>
      <c r="B5" s="2" t="n">
        <v>79</v>
      </c>
      <c r="C5" s="2" t="inlineStr">
        <is>
          <t>2.바뀐제목 시트 (전 → 후)</t>
        </is>
      </c>
    </row>
    <row r="6">
      <c r="A6" s="2" t="inlineStr">
        <is>
          <t>규칙 대조(verify) 남은 것</t>
        </is>
      </c>
      <c r="B6" s="2" t="inlineStr">
        <is>
          <t>합계 2</t>
        </is>
      </c>
      <c r="C6" s="2" t="inlineStr">
        <is>
          <t>4.규칙대조 시트 전문</t>
        </is>
      </c>
    </row>
    <row r="7">
      <c r="A7" s="2" t="inlineStr">
        <is>
          <t>되돌리기</t>
        </is>
      </c>
      <c r="B7" s="2" t="inlineStr">
        <is>
          <t>「문체 되돌려」</t>
        </is>
      </c>
      <c r="C7" s="2" t="inlineStr">
        <is>
          <t>옛 판 25건 : PC km_tools\_54번_이전판 에 자동 보관 (★ 누를 때) + 깃 기록</t>
        </is>
      </c>
    </row>
    <row r="8">
      <c r="A8" s="2" t="inlineStr">
        <is>
          <t>종합 제안서</t>
        </is>
      </c>
      <c r="B8" s="2" t="inlineStr">
        <is>
          <t>00_종합_5성급_객실관리제안서.json (32장)</t>
        </is>
      </c>
      <c r="C8" s="2" t="inlineStr">
        <is>
          <t>25건에서 5성급 장만 골라 한 벌. 1~3성급·리조트 비교 문구만 뺌</t>
        </is>
      </c>
    </row>
    <row r="9">
      <c r="A9" s="2" t="inlineStr">
        <is>
          <t>파일 이름</t>
        </is>
      </c>
      <c r="B9" s="2" t="inlineStr">
        <is>
          <t>범용본 앞 「표준_」 없음</t>
        </is>
      </c>
      <c r="C9" s="2" t="inlineStr">
        <is>
          <t>★ 누를 때 제안서PPT 결과 폴더의 옛 「표준_」 도 뗌 (_이름바꿈_기록.txt)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" customWidth="1" min="3" max="3"/>
    <col width="22" customWidth="1" min="4" max="4"/>
    <col width="14" customWidth="1" min="5" max="5"/>
    <col width="44" customWidth="1" min="6" max="6"/>
    <col width="44" customWidth="1" min="7" max="7"/>
    <col width="30" customWidth="1" min="8" max="8"/>
  </cols>
  <sheetData>
    <row r="1">
      <c r="A1" s="3" t="inlineStr">
        <is>
          <t>번호</t>
        </is>
      </c>
      <c r="B1" s="3" t="inlineStr">
        <is>
          <t>파일</t>
        </is>
      </c>
      <c r="C1" s="3" t="inlineStr">
        <is>
          <t>장</t>
        </is>
      </c>
      <c r="D1" s="3" t="inlineStr">
        <is>
          <t>장 제목</t>
        </is>
      </c>
      <c r="E1" s="3" t="inlineStr">
        <is>
          <t>구분</t>
        </is>
      </c>
      <c r="F1" s="3" t="inlineStr">
        <is>
          <t>지금 문구 (또는 뺀 문구)</t>
        </is>
      </c>
      <c r="G1" s="3" t="inlineStr">
        <is>
          <t>여쭐 것</t>
        </is>
      </c>
      <c r="H1" s="3" t="inlineStr">
        <is>
          <t>프로님 답</t>
        </is>
      </c>
    </row>
    <row r="2">
      <c r="A2" s="4" t="n">
        <v>1</v>
      </c>
      <c r="B2" s="4" t="inlineStr">
        <is>
          <t>금1_납품레퍼런스.json</t>
        </is>
      </c>
      <c r="C2" s="4" t="inlineStr">
        <is>
          <t>2</t>
        </is>
      </c>
      <c r="D2" s="4" t="inlineStr">
        <is>
          <t>실적 개요</t>
        </is>
      </c>
      <c r="E2" s="4" t="inlineStr">
        <is>
          <t>실무 사실 필요</t>
        </is>
      </c>
      <c r="F2" s="4" t="inlineStr">
        <is>
          <t>누적 1,000+ 프로젝트 / 객실관리 전담 인력 55명 / 업력 40년</t>
        </is>
      </c>
      <c r="G2" s="4" t="inlineStr">
        <is>
          <t>1,000+ 프로젝트·전담 인력 55명은 2026년 현재 기준 맞는가? (맞음/수정값)</t>
        </is>
      </c>
      <c r="H2" s="5" t="inlineStr"/>
    </row>
    <row r="3">
      <c r="A3" s="4" t="n">
        <v>2</v>
      </c>
      <c r="B3" s="4" t="inlineStr">
        <is>
          <t>금1_납품레퍼런스.json</t>
        </is>
      </c>
      <c r="C3" s="4" t="inlineStr">
        <is>
          <t>3</t>
        </is>
      </c>
      <c r="D3" s="4" t="inlineStr">
        <is>
          <t>주요 납품 실적 (1/2)</t>
        </is>
      </c>
      <c r="E3" s="4" t="inlineStr">
        <is>
          <t>실무 사실 필요</t>
        </is>
      </c>
      <c r="F3" s="4" t="inlineStr">
        <is>
          <t>표 9개 호텔 (객실 수는 납품 당시 기준)</t>
        </is>
      </c>
      <c r="G3" s="4" t="inlineStr">
        <is>
          <t>이 장에 호텔별 납품 연도를 한 칸 넣을까? (넣음/안 넣음 — 넣으면 연도 목록 필요)</t>
        </is>
      </c>
      <c r="H3" s="5" t="inlineStr"/>
    </row>
    <row r="4">
      <c r="A4" s="4" t="n">
        <v>3</v>
      </c>
      <c r="B4" s="4" t="inlineStr">
        <is>
          <t>금1_납품레퍼런스.json</t>
        </is>
      </c>
      <c r="C4" s="4" t="inlineStr">
        <is>
          <t>4</t>
        </is>
      </c>
      <c r="D4" s="4" t="inlineStr">
        <is>
          <t>주요 납품 실적 (2/2)</t>
        </is>
      </c>
      <c r="E4" s="4" t="inlineStr">
        <is>
          <t>용어 확인</t>
        </is>
      </c>
      <c r="F4" s="4" t="inlineStr">
        <is>
          <t>메리어트 인터내셔널 · 서울 · 376실</t>
        </is>
      </c>
      <c r="G4" s="4" t="inlineStr">
        <is>
          <t>「메리어트 인터내셔널」은 회사명인데 정확한 호텔명은? (예: ○○ 메리어트 / 그대로)</t>
        </is>
      </c>
      <c r="H4" s="5" t="inlineStr"/>
    </row>
    <row r="5">
      <c r="A5" s="4" t="n">
        <v>4</v>
      </c>
      <c r="B5" s="4" t="inlineStr">
        <is>
          <t>금1_납품레퍼런스.json</t>
        </is>
      </c>
      <c r="C5" s="4" t="inlineStr">
        <is>
          <t>5</t>
        </is>
      </c>
      <c r="D5" s="4" t="inlineStr">
        <is>
          <t>마감 사례</t>
        </is>
      </c>
      <c r="E5" s="4" t="inlineStr">
        <is>
          <t>실무 사실 필요</t>
        </is>
      </c>
      <c r="F5" s="4" t="inlineStr">
        <is>
          <t>현장 사진 · 실물 샘플 : 요청 시 별도 준비</t>
        </is>
      </c>
      <c r="G5" s="4" t="inlineStr">
        <is>
          <t>실물 샘플 준비 가능한 계열은? (10,000 / 5,000 / 2,000 / 2,000S 중)</t>
        </is>
      </c>
      <c r="H5" s="5" t="inlineStr"/>
    </row>
    <row r="6">
      <c r="A6" s="4" t="n">
        <v>5</v>
      </c>
      <c r="B6" s="4" t="inlineStr">
        <is>
          <t>금1_납품레퍼런스.json</t>
        </is>
      </c>
      <c r="C6" s="4" t="inlineStr">
        <is>
          <t>6</t>
        </is>
      </c>
      <c r="D6" s="4" t="inlineStr">
        <is>
          <t>요청 사항</t>
        </is>
      </c>
      <c r="E6" s="4" t="inlineStr">
        <is>
          <t>실무 사실 필요</t>
        </is>
      </c>
      <c r="F6" s="4" t="inlineStr">
        <is>
          <t>운영 현장 견학 희망 여부 확인 필요 (원래 desc 「운영 중인 현장 견학을 주선합니다」 삭제)</t>
        </is>
      </c>
      <c r="G6" s="4" t="inlineStr">
        <is>
          <t>운영 중인 현장 견학 주선 실제 가능한가? 가능하면 어느 호텔? (가능-호텔명/불가)</t>
        </is>
      </c>
      <c r="H6" s="5" t="inlineStr"/>
    </row>
    <row r="7">
      <c r="A7" s="4" t="n">
        <v>6</v>
      </c>
      <c r="B7" s="4" t="inlineStr">
        <is>
          <t>금2_경쟁사비교_루트론.json</t>
        </is>
      </c>
      <c r="C7" s="4" t="inlineStr">
        <is>
          <t>1</t>
        </is>
      </c>
      <c r="D7" s="4" t="inlineStr">
        <is>
          <t>외산 시스템 비교</t>
        </is>
      </c>
      <c r="E7" s="4" t="inlineStr">
        <is>
          <t>실무 사실 필요</t>
        </is>
      </c>
      <c r="F7" s="4" t="inlineStr">
        <is>
          <t>외산 칸 전체 (국내 5성급 일부 / 수입원 경유 / 해외 발주 대기 / 제조사 방식 고정 등)</t>
        </is>
      </c>
      <c r="G7" s="4" t="inlineStr">
        <is>
          <t>외산 칸 각 줄은 발주처가 확인 가능한 사실인가? 근거 없는 줄이 있으면 번호로 알려 주세요 (전부 사실/○번 뺌)</t>
        </is>
      </c>
      <c r="H7" s="5" t="inlineStr"/>
    </row>
    <row r="8">
      <c r="A8" s="4" t="n">
        <v>7</v>
      </c>
      <c r="B8" s="4" t="inlineStr">
        <is>
          <t>금2_경쟁사비교_루트론.json</t>
        </is>
      </c>
      <c r="C8" s="4" t="inlineStr">
        <is>
          <t>1</t>
        </is>
      </c>
      <c r="D8" s="4" t="inlineStr">
        <is>
          <t>외산 시스템 비교</t>
        </is>
      </c>
      <c r="E8" s="4" t="inlineStr">
        <is>
          <t>실무 사실 필요</t>
        </is>
      </c>
      <c r="F8" s="4" t="inlineStr">
        <is>
          <t>Opera PMS 국내 최초 연동, 30년 축적</t>
        </is>
      </c>
      <c r="G8" s="4" t="inlineStr">
        <is>
          <t>「국내 최초」 근거(연도·현장명)를 대외 자료에 적어도 되는가? (적음/빼기)</t>
        </is>
      </c>
      <c r="H8" s="5" t="inlineStr"/>
    </row>
    <row r="9">
      <c r="A9" s="4" t="n">
        <v>8</v>
      </c>
      <c r="B9" s="4" t="inlineStr">
        <is>
          <t>금2_경쟁사비교_루트론.json</t>
        </is>
      </c>
      <c r="C9" s="4" t="inlineStr">
        <is>
          <t>1</t>
        </is>
      </c>
      <c r="D9" s="4" t="inlineStr">
        <is>
          <t>외산 시스템 비교</t>
        </is>
      </c>
      <c r="E9" s="4" t="inlineStr">
        <is>
          <t>뺀 문구</t>
        </is>
      </c>
      <c r="F9" s="4" t="inlineStr">
        <is>
          <t>note : 타사 제품의 단가와 상세 사양은 이 자료에 넣지 않습니다. 필요하시면 발주처가 직접 받아 비교하시는 것이 정확합니다. 이 표는 당사 기준 사실만 적었습니다.</t>
        </is>
      </c>
      <c r="G9" s="4" t="inlineStr">
        <is>
          <t>「당사 기준 사실만 기재」 안내를 대외 공정성용으로 한 줄 남길까? (남김/삭제 유지)</t>
        </is>
      </c>
      <c r="H9" s="5" t="inlineStr"/>
    </row>
    <row r="10">
      <c r="A10" s="4" t="n">
        <v>9</v>
      </c>
      <c r="B10" s="4" t="inlineStr">
        <is>
          <t>금3_CB외함_매입vs노출.json</t>
        </is>
      </c>
      <c r="C10" s="4" t="inlineStr">
        <is>
          <t>2</t>
        </is>
      </c>
      <c r="D10" s="4" t="inlineStr">
        <is>
          <t>검토 결론</t>
        </is>
      </c>
      <c r="E10" s="4" t="inlineStr">
        <is>
          <t>실무 사실 필요</t>
        </is>
      </c>
      <c r="F10" s="4" t="inlineStr">
        <is>
          <t>공기 · 비용 : 노출형 우세</t>
        </is>
      </c>
      <c r="G10" s="4" t="inlineStr">
        <is>
          <t>매입형과 노출형의 실제 비용 차이 요인은? (커버 별도 제작분만/그 외 있음 — 한 줄로)</t>
        </is>
      </c>
      <c r="H10" s="5" t="inlineStr"/>
    </row>
    <row r="11">
      <c r="A11" s="4" t="n">
        <v>10</v>
      </c>
      <c r="B11" s="4" t="inlineStr">
        <is>
          <t>금3_CB외함_매입vs노출.json</t>
        </is>
      </c>
      <c r="C11" s="4" t="inlineStr">
        <is>
          <t>2</t>
        </is>
      </c>
      <c r="D11" s="4" t="inlineStr">
        <is>
          <t>검토 결론</t>
        </is>
      </c>
      <c r="E11" s="4" t="inlineStr">
        <is>
          <t>용어 확인</t>
        </is>
      </c>
      <c r="F11" s="4" t="inlineStr">
        <is>
          <t>결정 시점 : 외함은 골조 · 마감 전 납품 필요, 착공 초기 확정 필요</t>
        </is>
      </c>
      <c r="G11" s="4" t="inlineStr">
        <is>
          <t>표에는 노출형 설치 시점이 「벽체 마감 후」인데, 노출형도 착공 초기 확정이 필요한가? (필요/매입형만)</t>
        </is>
      </c>
      <c r="H11" s="5" t="inlineStr"/>
    </row>
    <row r="12">
      <c r="A12" s="4" t="n">
        <v>11</v>
      </c>
      <c r="B12" s="4" t="inlineStr">
        <is>
          <t>금3_CB외함_매입vs노출.json</t>
        </is>
      </c>
      <c r="C12" s="4" t="inlineStr">
        <is>
          <t>3</t>
        </is>
      </c>
      <c r="D12" s="4" t="inlineStr">
        <is>
          <t>항목별 비교</t>
        </is>
      </c>
      <c r="E12" s="4" t="inlineStr">
        <is>
          <t>실무 사실 필요</t>
        </is>
      </c>
      <c r="F12" s="4" t="inlineStr">
        <is>
          <t>매입형 유지보수 : 커버 개방 가능, 주변 마감 손상 우려</t>
        </is>
      </c>
      <c r="G12" s="4" t="inlineStr">
        <is>
          <t>매입형 커버 열 때 주변 마감 손상 실제로 자주 나는가? (자주/드묾 — 드물면 줄 수정)</t>
        </is>
      </c>
      <c r="H12" s="5" t="inlineStr"/>
    </row>
    <row r="13">
      <c r="A13" s="4" t="n">
        <v>12</v>
      </c>
      <c r="B13" s="4" t="inlineStr">
        <is>
          <t>금3_CB외함_매입vs노출.json</t>
        </is>
      </c>
      <c r="C13" s="4" t="inlineStr">
        <is>
          <t>4</t>
        </is>
      </c>
      <c r="D13" s="4" t="inlineStr">
        <is>
          <t>외함 세트 구성</t>
        </is>
      </c>
      <c r="E13" s="4" t="inlineStr">
        <is>
          <t>실무 사실 필요</t>
        </is>
      </c>
      <c r="F13" s="4" t="inlineStr">
        <is>
          <t>C/B 외함 본체 W x H x D</t>
        </is>
      </c>
      <c r="G13" s="4" t="inlineStr">
        <is>
          <t>이 장에 대표 외함 규격(W x H x D) 한 가지를 예로 넣을까? (넣음-규격값/안 넣음)</t>
        </is>
      </c>
      <c r="H13" s="5" t="inlineStr"/>
    </row>
    <row r="14">
      <c r="A14" s="4" t="n">
        <v>13</v>
      </c>
      <c r="B14" s="4" t="inlineStr">
        <is>
          <t>금3_CB외함_매입vs노출.json</t>
        </is>
      </c>
      <c r="C14" s="4" t="inlineStr">
        <is>
          <t>5</t>
        </is>
      </c>
      <c r="D14" s="4" t="inlineStr">
        <is>
          <t>공법별 설치 시점</t>
        </is>
      </c>
      <c r="E14" s="4" t="inlineStr">
        <is>
          <t>실무 사실 필요</t>
        </is>
      </c>
      <c r="F14" s="4" t="inlineStr">
        <is>
          <t>시점 : 놓치면 되돌릴 수 없음</t>
        </is>
      </c>
      <c r="G14" s="4" t="inlineStr">
        <is>
          <t>옹벽 매립 시점을 놓친 현장에서 실제 대처는? (노출형 전환/코어 후 매입/기타)</t>
        </is>
      </c>
      <c r="H14" s="5" t="inlineStr"/>
    </row>
    <row r="15">
      <c r="A15" s="4" t="n">
        <v>14</v>
      </c>
      <c r="B15" s="4" t="inlineStr">
        <is>
          <t>금3_CB외함_매입vs노출.json</t>
        </is>
      </c>
      <c r="C15" s="4" t="inlineStr">
        <is>
          <t>6</t>
        </is>
      </c>
      <c r="D15" s="4" t="inlineStr">
        <is>
          <t>결정 전 확인 사항</t>
        </is>
      </c>
      <c r="E15" s="4" t="inlineStr">
        <is>
          <t>실무 사실 필요</t>
        </is>
      </c>
      <c r="F15" s="4" t="inlineStr">
        <is>
          <t>벽체 두께 : 외함 매입 깊이 수용 여부</t>
        </is>
      </c>
      <c r="G15" s="4" t="inlineStr">
        <is>
          <t>매입형이 가능한 최소 벽체 두께는 몇 mm? (값)</t>
        </is>
      </c>
      <c r="H15" s="5" t="inlineStr"/>
    </row>
    <row r="16">
      <c r="A16" s="4" t="n">
        <v>15</v>
      </c>
      <c r="B16" s="4" t="inlineStr">
        <is>
          <t>금3_CB외함_매입vs노출.json</t>
        </is>
      </c>
      <c r="C16" s="4" t="inlineStr">
        <is>
          <t>6</t>
        </is>
      </c>
      <c r="D16" s="4" t="inlineStr">
        <is>
          <t>결정 전 확인 사항</t>
        </is>
      </c>
      <c r="E16" s="4" t="inlineStr">
        <is>
          <t>용어 확인</t>
        </is>
      </c>
      <c r="F16" s="4" t="inlineStr">
        <is>
          <t>매입형은 커버를 나중에 별도 제작, 같은 현장이 발주 이력에 두 번 나옴 (정상)</t>
        </is>
      </c>
      <c r="G16" s="4" t="inlineStr">
        <is>
          <t>「발주 이력 두 번」은 사내용 설명인데 대외 자료에 남길까? (남김/삭제)</t>
        </is>
      </c>
      <c r="H16" s="5" t="inlineStr"/>
    </row>
    <row r="17">
      <c r="A17" s="4" t="n">
        <v>16</v>
      </c>
      <c r="B17" s="4" t="inlineStr">
        <is>
          <t>금4_파트너공동제안_도어락.json</t>
        </is>
      </c>
      <c r="C17" s="4" t="inlineStr">
        <is>
          <t>2</t>
        </is>
      </c>
      <c r="D17" s="4" t="inlineStr">
        <is>
          <t>제안 순서</t>
        </is>
      </c>
      <c r="E17" s="4" t="inlineStr">
        <is>
          <t>용어 확인</t>
        </is>
      </c>
      <c r="F17" s="4" t="inlineStr">
        <is>
          <t>원래 목차 goto 「당사가 하는 것」 ↔ 장 제목 「어느 쪽을 고르셔도 당사가 하는 것」 불일치</t>
        </is>
      </c>
      <c r="G17" s="4" t="inlineStr">
        <is>
          <t>목차·장 제목을 「당사 공통 업무」로 맞췄는데 괜찮은가? (예/다른 제목)</t>
        </is>
      </c>
      <c r="H17" s="5" t="inlineStr"/>
    </row>
    <row r="18">
      <c r="A18" s="4" t="n">
        <v>17</v>
      </c>
      <c r="B18" s="4" t="inlineStr">
        <is>
          <t>금4_파트너공동제안_도어락.json</t>
        </is>
      </c>
      <c r="C18" s="4" t="inlineStr">
        <is>
          <t>3</t>
        </is>
      </c>
      <c r="D18" s="4" t="inlineStr">
        <is>
          <t>통합 제안 배경</t>
        </is>
      </c>
      <c r="E18" s="4" t="inlineStr">
        <is>
          <t>뺀 추론</t>
        </is>
      </c>
      <c r="F18" s="4" t="inlineStr">
        <is>
          <t>한 창구로 묶으면 그 다툼이 없어집니다.</t>
        </is>
      </c>
      <c r="G18" s="4" t="inlineStr">
        <is>
          <t>분리 발주로 책임 다툼이 실제로 난 현장 사례가 있나? (현장명·지연 기간 / 없음)</t>
        </is>
      </c>
      <c r="H18" s="5" t="inlineStr"/>
    </row>
    <row r="19">
      <c r="A19" s="4" t="n">
        <v>18</v>
      </c>
      <c r="B19" s="4" t="inlineStr">
        <is>
          <t>금4_파트너공동제안_도어락.json</t>
        </is>
      </c>
      <c r="C19" s="4" t="inlineStr">
        <is>
          <t>4</t>
        </is>
      </c>
      <c r="D19" s="4" t="inlineStr">
        <is>
          <t>통합 구성</t>
        </is>
      </c>
      <c r="E19" s="4" t="inlineStr">
        <is>
          <t>실무 사실 필요</t>
        </is>
      </c>
      <c r="F19" s="4" t="inlineStr">
        <is>
          <t>PMS ↔ 도어락 ↔ 객실관리</t>
        </is>
      </c>
      <c r="G19" s="4" t="inlineStr">
        <is>
          <t>연동해 본 도어락 업체(브랜드) 이름을 이 장에 넣을까? (넣음-업체명/안 넣음)</t>
        </is>
      </c>
      <c r="H19" s="5" t="inlineStr"/>
    </row>
    <row r="20">
      <c r="A20" s="4" t="n">
        <v>19</v>
      </c>
      <c r="B20" s="4" t="inlineStr">
        <is>
          <t>금4_파트너공동제안_도어락.json</t>
        </is>
      </c>
      <c r="C20" s="4" t="inlineStr">
        <is>
          <t>5</t>
        </is>
      </c>
      <c r="D20" s="4" t="inlineStr">
        <is>
          <t>업무 분담</t>
        </is>
      </c>
      <c r="E20" s="4" t="inlineStr">
        <is>
          <t>뺀 문구</t>
        </is>
      </c>
      <c r="F20" s="4" t="inlineStr">
        <is>
          <t>note : 도어락 관련 단가(도어락·발행기·카드·설치비)는 별도 견적서로 제출합니다. 이 자료에는 금액을 넣지 않습니다.</t>
        </is>
      </c>
      <c r="G20" s="4" t="inlineStr">
        <is>
          <t>도어락 단가 견적은 누가 내는가? (당사가 묶어서/도어락 업체 직접)</t>
        </is>
      </c>
      <c r="H20" s="5" t="inlineStr"/>
    </row>
    <row r="21">
      <c r="A21" s="4" t="n">
        <v>20</v>
      </c>
      <c r="B21" s="4" t="inlineStr">
        <is>
          <t>금4_파트너공동제안_도어락.json</t>
        </is>
      </c>
      <c r="C21" s="4" t="inlineStr">
        <is>
          <t>6</t>
        </is>
      </c>
      <c r="D21" s="4" t="inlineStr">
        <is>
          <t>일정</t>
        </is>
      </c>
      <c r="E21" s="4" t="inlineStr">
        <is>
          <t>실무 사실 필요</t>
        </is>
      </c>
      <c r="F21" s="4" t="inlineStr">
        <is>
          <t>각 단계 소요는 당사 표준값</t>
        </is>
      </c>
      <c r="G21" s="4" t="inlineStr">
        <is>
          <t>도어락 설치 시점(기구물 전/후)을 일정 표에 넣을까? (넣음-시점/안 넣음)</t>
        </is>
      </c>
      <c r="H21" s="5" t="inlineStr"/>
    </row>
    <row r="22">
      <c r="A22" s="4" t="n">
        <v>21</v>
      </c>
      <c r="B22" s="4" t="inlineStr">
        <is>
          <t>금4_파트너공동제안_도어락.json</t>
        </is>
      </c>
      <c r="C22" s="4" t="inlineStr">
        <is>
          <t>7</t>
        </is>
      </c>
      <c r="D22" s="4" t="inlineStr">
        <is>
          <t>발주 방식 비교</t>
        </is>
      </c>
      <c r="E22" s="4" t="inlineStr">
        <is>
          <t>실무 사실 필요</t>
        </is>
      </c>
      <c r="F22" s="4" t="inlineStr">
        <is>
          <t>2안 · 분리 발주 : 하자 구분 계약서 명시 필요</t>
        </is>
      </c>
      <c r="G22" s="4" t="inlineStr">
        <is>
          <t>통합 발주 시 도어락 하자도 당사가 1차 접수하는가? (예/아니오)</t>
        </is>
      </c>
      <c r="H22" s="5" t="inlineStr"/>
    </row>
    <row r="23">
      <c r="A23" s="4" t="n">
        <v>22</v>
      </c>
      <c r="B23" s="4" t="inlineStr">
        <is>
          <t>금4_파트너공동제안_도어락.json</t>
        </is>
      </c>
      <c r="C23" s="4" t="inlineStr">
        <is>
          <t>8</t>
        </is>
      </c>
      <c r="D23" s="4" t="inlineStr">
        <is>
          <t>당사 공통 업무</t>
        </is>
      </c>
      <c r="E23" s="4" t="inlineStr">
        <is>
          <t>뺀 추론</t>
        </is>
      </c>
      <c r="F23" s="4" t="inlineStr">
        <is>
          <t>발주처가 중간에서 조율하실 일이 없게 하겠습니다.</t>
        </is>
      </c>
      <c r="G23" s="4" t="inlineStr">
        <is>
          <t>분리 발주 때 연동 협의 주관에 추가 비용이 있는가? (없음/있음)</t>
        </is>
      </c>
      <c r="H23" s="5" t="inlineStr"/>
    </row>
    <row r="24">
      <c r="A24" s="4" t="n">
        <v>23</v>
      </c>
      <c r="B24" s="4" t="inlineStr">
        <is>
          <t>금5_질의답변서_착공전협의.json</t>
        </is>
      </c>
      <c r="C24" s="4" t="inlineStr">
        <is>
          <t>2</t>
        </is>
      </c>
      <c r="D24" s="4" t="inlineStr">
        <is>
          <t>질의 · 답변 (1/2)</t>
        </is>
      </c>
      <c r="E24" s="4" t="inlineStr">
        <is>
          <t>실무 사실 필요</t>
        </is>
      </c>
      <c r="F24" s="4" t="inlineStr">
        <is>
          <t>CB 외함 납품 시점 : 옹벽 매립이면 골조 시, 스터드면 석고 전</t>
        </is>
      </c>
      <c r="G24" s="4" t="inlineStr">
        <is>
          <t>노출형 선택 시 납품 시점(벽체 마감 후)도 답변에 넣을까? (넣음/안 넣음)</t>
        </is>
      </c>
      <c r="H24" s="5" t="inlineStr"/>
    </row>
    <row r="25">
      <c r="A25" s="4" t="n">
        <v>24</v>
      </c>
      <c r="B25" s="4" t="inlineStr">
        <is>
          <t>금5_질의답변서_착공전협의.json</t>
        </is>
      </c>
      <c r="C25" s="4" t="inlineStr">
        <is>
          <t>2</t>
        </is>
      </c>
      <c r="D25" s="4" t="inlineStr">
        <is>
          <t>질의 · 답변 (1/2)</t>
        </is>
      </c>
      <c r="E25" s="4" t="inlineStr">
        <is>
          <t>실무 사실 필요</t>
        </is>
      </c>
      <c r="F25" s="4" t="inlineStr">
        <is>
          <t>객실관리 서버 전원 : 방재실 2대(이중화), 상시전원 필수</t>
        </is>
      </c>
      <c r="G25" s="4" t="inlineStr">
        <is>
          <t>서버 전원은 UPS(비상전원)까지 요구하는가? (UPS 필요/상시전원만)</t>
        </is>
      </c>
      <c r="H25" s="5" t="inlineStr"/>
    </row>
    <row r="26">
      <c r="A26" s="4" t="n">
        <v>25</v>
      </c>
      <c r="B26" s="4" t="inlineStr">
        <is>
          <t>금5_질의답변서_착공전협의.json</t>
        </is>
      </c>
      <c r="C26" s="4" t="inlineStr">
        <is>
          <t>3</t>
        </is>
      </c>
      <c r="D26" s="4" t="inlineStr">
        <is>
          <t>질의 · 답변 (2/2)</t>
        </is>
      </c>
      <c r="E26" s="4" t="inlineStr">
        <is>
          <t>실무 사실 필요</t>
        </is>
      </c>
      <c r="F26" s="4" t="inlineStr">
        <is>
          <t>비상호출버튼 · 방문자 알림램프 법적 의무</t>
        </is>
      </c>
      <c r="G26" s="4" t="inlineStr">
        <is>
          <t>근거 법령 이름을 답변에 적을까? (적음-법령명/안 적음)</t>
        </is>
      </c>
      <c r="H26" s="5" t="inlineStr"/>
    </row>
    <row r="27">
      <c r="A27" s="4" t="n">
        <v>26</v>
      </c>
      <c r="B27" s="4" t="inlineStr">
        <is>
          <t>금5_질의답변서_착공전협의.json</t>
        </is>
      </c>
      <c r="C27" s="4" t="inlineStr">
        <is>
          <t>3</t>
        </is>
      </c>
      <c r="D27" s="4" t="inlineStr">
        <is>
          <t>질의 · 답변 (2/2)</t>
        </is>
      </c>
      <c r="E27" s="4" t="inlineStr">
        <is>
          <t>실무 사실 필요</t>
        </is>
      </c>
      <c r="F27" s="4" t="inlineStr">
        <is>
          <t>에어컨(EHP) 연동 : 인터페이스 모듈 내장 기종 필요</t>
        </is>
      </c>
      <c r="G27" s="4" t="inlineStr">
        <is>
          <t>자주 쓰는 연동 확인 제조사(예: 삼성·LG)를 답변에 적을까? (적음-제조사/안 적음)</t>
        </is>
      </c>
      <c r="H27" s="5" t="inlineStr"/>
    </row>
    <row r="28">
      <c r="A28" s="4" t="n">
        <v>27</v>
      </c>
      <c r="B28" s="4" t="inlineStr">
        <is>
          <t>금5_질의답변서_착공전협의.json</t>
        </is>
      </c>
      <c r="C28" s="4" t="inlineStr">
        <is>
          <t>4</t>
        </is>
      </c>
      <c r="D28" s="4" t="inlineStr">
        <is>
          <t>회신 방법</t>
        </is>
      </c>
      <c r="E28" s="4" t="inlineStr">
        <is>
          <t>실무 사실 필요</t>
        </is>
      </c>
      <c r="F28" s="4" t="inlineStr">
        <is>
          <t>회신 기한 결정 필요 (확정본 준비 기준)</t>
        </is>
      </c>
      <c r="G28" s="4" t="inlineStr">
        <is>
          <t>보통 회신 기한을 며칠로 잡는가? (○일/현장별)</t>
        </is>
      </c>
      <c r="H28" s="5" t="inlineStr"/>
    </row>
    <row r="29">
      <c r="A29" s="4" t="n">
        <v>28</v>
      </c>
      <c r="B29" s="4" t="inlineStr">
        <is>
          <t>금5_질의답변서_착공전협의.json</t>
        </is>
      </c>
      <c r="C29" s="4" t="inlineStr">
        <is>
          <t>5</t>
        </is>
      </c>
      <c r="D29" s="4" t="inlineStr">
        <is>
          <t>요청 사항</t>
        </is>
      </c>
      <c r="E29" s="4" t="inlineStr">
        <is>
          <t>실무 사실 필요</t>
        </is>
      </c>
      <c r="F29" s="4" t="inlineStr">
        <is>
          <t>질의 · 답변서 회신 필요</t>
        </is>
      </c>
      <c r="G29" s="4" t="inlineStr">
        <is>
          <t>회신을 받는 사람(시공사 공무/발주처 PM)을 요청 장에 적을까? (적음/안 적음)</t>
        </is>
      </c>
      <c r="H29" s="5" t="inlineStr"/>
    </row>
    <row r="30">
      <c r="A30" s="4" t="n">
        <v>29</v>
      </c>
      <c r="B30" s="4" t="inlineStr">
        <is>
          <t>목1_2000M_디자인카탈로그.json</t>
        </is>
      </c>
      <c r="C30" s="4" t="inlineStr">
        <is>
          <t>2</t>
        </is>
      </c>
      <c r="D30" s="4" t="inlineStr">
        <is>
          <t>디자인 기준</t>
        </is>
      </c>
      <c r="E30" s="4" t="inlineStr">
        <is>
          <t>용어 확인</t>
        </is>
      </c>
      <c r="F30" s="4" t="inlineStr">
        <is>
          <t>1~4구 자유 조합</t>
        </is>
      </c>
      <c r="G30" s="4" t="inlineStr">
        <is>
          <t>카드의 「1~4구」는 프레임 모듈 수 표기인데 조명 스위치 「L」 규칙과 별개로 그대로 둘까요? (유지/수정)</t>
        </is>
      </c>
      <c r="H30" s="5" t="inlineStr"/>
    </row>
    <row r="31">
      <c r="A31" s="4" t="n">
        <v>30</v>
      </c>
      <c r="B31" s="4" t="inlineStr">
        <is>
          <t>목1_2000M_디자인카탈로그.json</t>
        </is>
      </c>
      <c r="C31" s="4" t="inlineStr">
        <is>
          <t>3</t>
        </is>
      </c>
      <c r="D31" s="4" t="inlineStr">
        <is>
          <t>시리즈별 특징</t>
        </is>
      </c>
      <c r="E31" s="4" t="inlineStr">
        <is>
          <t>용어 확인</t>
        </is>
      </c>
      <c r="F31" s="4" t="inlineStr">
        <is>
          <t>5,000 시리즈 / 10,000 시리즈</t>
        </is>
      </c>
      <c r="G31" s="4" t="inlineStr">
        <is>
          <t>계열 표기를 「5000 · 10000」 처럼 쉼표 없이 2000M 과 맞출까요? (맞춤/그대로)</t>
        </is>
      </c>
      <c r="H31" s="5" t="inlineStr"/>
    </row>
    <row r="32">
      <c r="A32" s="4" t="n">
        <v>31</v>
      </c>
      <c r="B32" s="4" t="inlineStr">
        <is>
          <t>목1_2000M_디자인카탈로그.json</t>
        </is>
      </c>
      <c r="C32" s="4" t="inlineStr">
        <is>
          <t>3</t>
        </is>
      </c>
      <c r="D32" s="4" t="inlineStr">
        <is>
          <t>시리즈별 특징</t>
        </is>
      </c>
      <c r="E32" s="4" t="inlineStr">
        <is>
          <t>실무 사실 필요</t>
        </is>
      </c>
      <c r="F32" s="4" t="inlineStr">
        <is>
          <t>10,000 시리즈 : 최상위 마감. 5성급 적용 사례 다수</t>
        </is>
      </c>
      <c r="G32" s="4" t="inlineStr">
        <is>
          <t>10,000 시리즈 대표 적용 호텔 이름을 1~2곳 넣을까요? (넣을 호텔명/안 넣음)</t>
        </is>
      </c>
      <c r="H32" s="5" t="inlineStr"/>
    </row>
    <row r="33">
      <c r="A33" s="4" t="n">
        <v>32</v>
      </c>
      <c r="B33" s="4" t="inlineStr">
        <is>
          <t>목1_2000M_디자인카탈로그.json</t>
        </is>
      </c>
      <c r="C33" s="4" t="inlineStr">
        <is>
          <t>3</t>
        </is>
      </c>
      <c r="D33" s="4" t="inlineStr">
        <is>
          <t>시리즈별 특징</t>
        </is>
      </c>
      <c r="E33" s="4" t="inlineStr">
        <is>
          <t>실무 사실 필요</t>
        </is>
      </c>
      <c r="F33" s="4" t="inlineStr">
        <is>
          <t>800S 재질 : -</t>
        </is>
      </c>
      <c r="G33" s="4" t="inlineStr">
        <is>
          <t>800S 키센서 계열의 재질은 무엇인가요? (재질명/비워 둠)</t>
        </is>
      </c>
      <c r="H33" s="5" t="inlineStr"/>
    </row>
    <row r="34">
      <c r="A34" s="4" t="n">
        <v>33</v>
      </c>
      <c r="B34" s="4" t="inlineStr">
        <is>
          <t>목1_2000M_디자인카탈로그.json</t>
        </is>
      </c>
      <c r="C34" s="4" t="inlineStr">
        <is>
          <t>4</t>
        </is>
      </c>
      <c r="D34" s="4" t="inlineStr">
        <is>
          <t>기구물별 기능</t>
        </is>
      </c>
      <c r="E34" s="4" t="inlineStr">
        <is>
          <t>실무 사실 필요</t>
        </is>
      </c>
      <c r="F34" s="4" t="inlineStr">
        <is>
          <t>샘플 제작 기간 필요</t>
        </is>
      </c>
      <c r="G34" s="4" t="inlineStr">
        <is>
          <t>샘플 제작에 보통 몇 주 걸리나요? (예: 4주)</t>
        </is>
      </c>
      <c r="H34" s="5" t="inlineStr"/>
    </row>
    <row r="35">
      <c r="A35" s="4" t="n">
        <v>34</v>
      </c>
      <c r="B35" s="4" t="inlineStr">
        <is>
          <t>목1_2000M_디자인카탈로그.json</t>
        </is>
      </c>
      <c r="C35" s="4" t="inlineStr">
        <is>
          <t>4</t>
        </is>
      </c>
      <c r="D35" s="4" t="inlineStr">
        <is>
          <t>기구물별 기능</t>
        </is>
      </c>
      <c r="E35" s="4" t="inlineStr">
        <is>
          <t>실무 사실 필요</t>
        </is>
      </c>
      <c r="F35" s="4" t="inlineStr">
        <is>
          <t>전동커튼 적용 시 커튼 업체와 제어 방식 사전 협의 필요</t>
        </is>
      </c>
      <c r="G35" s="4" t="inlineStr">
        <is>
          <t>전동커튼 연동 시 당사 기본 제어 방식은? (접점 / 통신 / 현장별)</t>
        </is>
      </c>
      <c r="H35" s="5" t="inlineStr"/>
    </row>
    <row r="36">
      <c r="A36" s="4" t="n">
        <v>35</v>
      </c>
      <c r="B36" s="4" t="inlineStr">
        <is>
          <t>목1_2000M_디자인카탈로그.json</t>
        </is>
      </c>
      <c r="C36" s="4" t="inlineStr">
        <is>
          <t>5</t>
        </is>
      </c>
      <c r="D36" s="4" t="inlineStr">
        <is>
          <t>요청 사항</t>
        </is>
      </c>
      <c r="E36" s="4" t="inlineStr">
        <is>
          <t>뺀 문구</t>
        </is>
      </c>
      <c r="F36" s="4" t="inlineStr">
        <is>
          <t>그에 맞춰 계열과 마감을 제안드리겠습니다. (desc 삭제)</t>
        </is>
      </c>
      <c r="G36" s="4" t="inlineStr">
        <is>
          <t>첫 요청 항목에 설명 줄이 없어도 될까요? (삭제 유지/복원)</t>
        </is>
      </c>
      <c r="H36" s="5" t="inlineStr"/>
    </row>
    <row r="37">
      <c r="A37" s="4" t="n">
        <v>36</v>
      </c>
      <c r="B37" s="4" t="inlineStr">
        <is>
          <t>목2_BSP_사양카드.json</t>
        </is>
      </c>
      <c r="C37" s="4" t="inlineStr">
        <is>
          <t>1</t>
        </is>
      </c>
      <c r="D37" s="4" t="inlineStr">
        <is>
          <t>BED SIDE PANEL 사양</t>
        </is>
      </c>
      <c r="E37" s="4" t="inlineStr">
        <is>
          <t>실무 사실 필요</t>
        </is>
      </c>
      <c r="F37" s="4" t="inlineStr">
        <is>
          <t>전원·충전 : AC220V 콘센트 · 유니버셜 콘센트 · USB A/C 충전</t>
        </is>
      </c>
      <c r="G37" s="4" t="inlineStr">
        <is>
          <t>USB 충전 출력(W) 사양을 표에 넣을까요? (값/안 넣음)</t>
        </is>
      </c>
      <c r="H37" s="5" t="inlineStr"/>
    </row>
    <row r="38">
      <c r="A38" s="4" t="n">
        <v>37</v>
      </c>
      <c r="B38" s="4" t="inlineStr">
        <is>
          <t>목2_BSP_사양카드.json</t>
        </is>
      </c>
      <c r="C38" s="4" t="inlineStr">
        <is>
          <t>1</t>
        </is>
      </c>
      <c r="D38" s="4" t="inlineStr">
        <is>
          <t>BED SIDE PANEL 사양</t>
        </is>
      </c>
      <c r="E38" s="4" t="inlineStr">
        <is>
          <t>뺀 문구</t>
        </is>
      </c>
      <c r="F38" s="4" t="inlineStr">
        <is>
          <t>단가는 별도 견적서로 제출합니다.</t>
        </is>
      </c>
      <c r="G38" s="4" t="inlineStr">
        <is>
          <t>문서 설명 문구라 note 에서 뺐는데 괜찮을까요? (삭제 유지/복원)</t>
        </is>
      </c>
      <c r="H38" s="5" t="inlineStr"/>
    </row>
    <row r="39">
      <c r="A39" s="4" t="n">
        <v>38</v>
      </c>
      <c r="B39" s="4" t="inlineStr">
        <is>
          <t>목3_챠임벨_키센서_디자인.json</t>
        </is>
      </c>
      <c r="C39" s="4" t="inlineStr">
        <is>
          <t>1</t>
        </is>
      </c>
      <c r="D39" s="4" t="inlineStr">
        <is>
          <t>입구 INDICATOR(챠임벨) · KEY SENSOR</t>
        </is>
      </c>
      <c r="E39" s="4" t="inlineStr">
        <is>
          <t>실무 사실 필요</t>
        </is>
      </c>
      <c r="F39" s="4" t="inlineStr">
        <is>
          <t>설치 위치 : 문 입구 복도 / 객실 안쪽 문 입구</t>
        </is>
      </c>
      <c r="G39" s="4" t="inlineStr">
        <is>
          <t>챠임벨 · 키센서 설치 높이 기준(바닥에서 mm)을 넣을까요? (값/안 넣음)</t>
        </is>
      </c>
      <c r="H39" s="5" t="inlineStr"/>
    </row>
    <row r="40">
      <c r="A40" s="4" t="n">
        <v>39</v>
      </c>
      <c r="B40" s="4" t="inlineStr">
        <is>
          <t>목3_챠임벨_키센서_디자인.json</t>
        </is>
      </c>
      <c r="C40" s="4" t="inlineStr">
        <is>
          <t>1</t>
        </is>
      </c>
      <c r="D40" s="4" t="inlineStr">
        <is>
          <t>입구 INDICATOR(챠임벨) · KEY SENSOR</t>
        </is>
      </c>
      <c r="E40" s="4" t="inlineStr">
        <is>
          <t>뺀 문구</t>
        </is>
      </c>
      <c r="F40" s="4" t="inlineStr">
        <is>
          <t>단가는 별도 견적서로 제출합니다.</t>
        </is>
      </c>
      <c r="G40" s="4" t="inlineStr">
        <is>
          <t>문서 설명 문구라 note 에서 뺐는데 괜찮을까요? (삭제 유지/복원)</t>
        </is>
      </c>
      <c r="H40" s="5" t="inlineStr"/>
    </row>
    <row r="41">
      <c r="A41" s="4" t="n">
        <v>40</v>
      </c>
      <c r="B41" s="4" t="inlineStr">
        <is>
          <t>목4_타사배선기구_결합구분표.json</t>
        </is>
      </c>
      <c r="C41" s="4" t="inlineStr">
        <is>
          <t>1</t>
        </is>
      </c>
      <c r="D41" s="4" t="inlineStr">
        <is>
          <t>타사 배선기구 공급 · 설치 구분</t>
        </is>
      </c>
      <c r="E41" s="4" t="inlineStr">
        <is>
          <t>뺀 추론</t>
        </is>
      </c>
      <c r="F41" s="4" t="inlineStr">
        <is>
          <t>경계가 흐려지지 않도록 연동 시험에 타사 입회를 권합니다.</t>
        </is>
      </c>
      <c r="G41" s="4" t="inlineStr">
        <is>
          <t>이유 설명 없이 「연동 시험 타사 입회 권장」 만 남겨도 될까요? (유지/복원)</t>
        </is>
      </c>
      <c r="H41" s="5" t="inlineStr"/>
    </row>
    <row r="42">
      <c r="A42" s="4" t="n">
        <v>41</v>
      </c>
      <c r="B42" s="4" t="inlineStr">
        <is>
          <t>목4_타사배선기구_결합구분표.json</t>
        </is>
      </c>
      <c r="C42" s="4" t="inlineStr">
        <is>
          <t>1</t>
        </is>
      </c>
      <c r="D42" s="4" t="inlineStr">
        <is>
          <t>타사 배선기구 공급 · 설치 구분</t>
        </is>
      </c>
      <c r="E42" s="4" t="inlineStr">
        <is>
          <t>실무 사실 필요</t>
        </is>
      </c>
      <c r="F42" s="4" t="inlineStr">
        <is>
          <t>타사 기구 매입 박스 : 규격 사전 확인 필요</t>
        </is>
      </c>
      <c r="G42" s="4" t="inlineStr">
        <is>
          <t>ABB 등 타사 기구 결합 때 자주 나는 문제는? (예: 매입 깊이 부족 / 없음)</t>
        </is>
      </c>
      <c r="H42" s="5" t="inlineStr"/>
    </row>
    <row r="43">
      <c r="A43" s="4" t="n">
        <v>42</v>
      </c>
      <c r="B43" s="4" t="inlineStr">
        <is>
          <t>목5_에어컨EHP_연동설명.json</t>
        </is>
      </c>
      <c r="C43" s="4" t="inlineStr">
        <is>
          <t>1</t>
        </is>
      </c>
      <c r="D43" s="4" t="inlineStr">
        <is>
          <t>에어컨(EHP) 연동 구성</t>
        </is>
      </c>
      <c r="E43" s="4" t="inlineStr">
        <is>
          <t>실무 사실 필요</t>
        </is>
      </c>
      <c r="F43" s="4" t="inlineStr">
        <is>
          <t>EHP 실내기 : 천장 매입 · 인터페이스 모듈</t>
        </is>
      </c>
      <c r="G43" s="4" t="inlineStr">
        <is>
          <t>인터페이스 모듈 공급 주체는? (EHP 업체 / 당사)</t>
        </is>
      </c>
      <c r="H43" s="5" t="inlineStr"/>
    </row>
    <row r="44">
      <c r="A44" s="4" t="n">
        <v>43</v>
      </c>
      <c r="B44" s="4" t="inlineStr">
        <is>
          <t>목5_에어컨EHP_연동설명.json</t>
        </is>
      </c>
      <c r="C44" s="4" t="inlineStr">
        <is>
          <t>2</t>
        </is>
      </c>
      <c r="D44" s="4" t="inlineStr">
        <is>
          <t>필수 조건</t>
        </is>
      </c>
      <c r="E44" s="4" t="inlineStr">
        <is>
          <t>실무 사실 필요</t>
        </is>
      </c>
      <c r="F44" s="4" t="inlineStr">
        <is>
          <t>실내기에 인터페이스 모듈이 있는 기종인지 확인</t>
        </is>
      </c>
      <c r="G44" s="4" t="inlineStr">
        <is>
          <t>연동 확인된 EHP 제조사를 적을까요? (제조사명/안 넣음)</t>
        </is>
      </c>
      <c r="H44" s="5" t="inlineStr"/>
    </row>
    <row r="45">
      <c r="A45" s="4" t="n">
        <v>44</v>
      </c>
      <c r="B45" s="4" t="inlineStr">
        <is>
          <t>목6_바닥난방_연동설명.json</t>
        </is>
      </c>
      <c r="C45" s="4" t="inlineStr">
        <is>
          <t>1</t>
        </is>
      </c>
      <c r="D45" s="4" t="inlineStr">
        <is>
          <t>바닥난방 연동 구성</t>
        </is>
      </c>
      <c r="E45" s="4" t="inlineStr">
        <is>
          <t>실무 사실 필요</t>
        </is>
      </c>
      <c r="F45" s="4" t="inlineStr">
        <is>
          <t>구동기 설치 · 배관 접속 : 설비공사</t>
        </is>
      </c>
      <c r="G45" s="4" t="inlineStr">
        <is>
          <t>220V 구동기 공급 주체는? (설비 / 당사)</t>
        </is>
      </c>
      <c r="H45" s="5" t="inlineStr"/>
    </row>
    <row r="46">
      <c r="A46" s="4" t="n">
        <v>45</v>
      </c>
      <c r="B46" s="4" t="inlineStr">
        <is>
          <t>목6_바닥난방_연동설명.json</t>
        </is>
      </c>
      <c r="C46" s="4" t="inlineStr">
        <is>
          <t>2</t>
        </is>
      </c>
      <c r="D46" s="4" t="inlineStr">
        <is>
          <t>필수 조건</t>
        </is>
      </c>
      <c r="E46" s="4" t="inlineStr">
        <is>
          <t>실무 사실 필요</t>
        </is>
      </c>
      <c r="F46" s="4" t="inlineStr">
        <is>
          <t>공실 = 동파방지 최저온도</t>
        </is>
      </c>
      <c r="G46" s="4" t="inlineStr">
        <is>
          <t>동파방지 최저온도 설정값(℃)을 넣을까요? (값/안 넣음)</t>
        </is>
      </c>
      <c r="H46" s="5" t="inlineStr"/>
    </row>
    <row r="47">
      <c r="A47" s="4" t="n">
        <v>46</v>
      </c>
      <c r="B47" s="4" t="inlineStr">
        <is>
          <t>수1_FIP_사용매뉴얼.json</t>
        </is>
      </c>
      <c r="C47" s="4" t="inlineStr">
        <is>
          <t>3</t>
        </is>
      </c>
      <c r="D47" s="4" t="inlineStr">
        <is>
          <t>FIP 개요</t>
        </is>
      </c>
      <c r="E47" s="4" t="inlineStr">
        <is>
          <t>실무 사실 필요</t>
        </is>
      </c>
      <c r="F47" s="4" t="inlineStr">
        <is>
          <t>린넨실이 없는 층은 설치 위치 별도 확정 필요</t>
        </is>
      </c>
      <c r="G47" s="4" t="inlineStr">
        <is>
          <t>린넨실 없는 층에 FIP를 보통 어디에 두나? (복도 · EPS · 기타)</t>
        </is>
      </c>
      <c r="H47" s="5" t="inlineStr"/>
    </row>
    <row r="48">
      <c r="A48" s="4" t="n">
        <v>47</v>
      </c>
      <c r="B48" s="4" t="inlineStr">
        <is>
          <t>수1_FIP_사용매뉴얼.json</t>
        </is>
      </c>
      <c r="C48" s="4" t="inlineStr">
        <is>
          <t>4</t>
        </is>
      </c>
      <c r="D48" s="4" t="inlineStr">
        <is>
          <t>객실 상태</t>
        </is>
      </c>
      <c r="E48" s="4" t="inlineStr">
        <is>
          <t>용어 확인</t>
        </is>
      </c>
      <c r="F48" s="4" t="inlineStr">
        <is>
          <t>목차 설명 「객실 상태 4가지와 색」 → 「표시별 뜻과 조치」로 바꿈</t>
        </is>
      </c>
      <c r="G48" s="4" t="inlineStr">
        <is>
          <t>표에는 8가지 상태가 있음. FIP 화면에 상태별 색 구분이 있나? (있음/없음, 있으면 색)</t>
        </is>
      </c>
      <c r="H48" s="5" t="inlineStr"/>
    </row>
    <row r="49">
      <c r="A49" s="4" t="n">
        <v>48</v>
      </c>
      <c r="B49" s="4" t="inlineStr">
        <is>
          <t>수1_FIP_사용매뉴얼.json</t>
        </is>
      </c>
      <c r="C49" s="4" t="inlineStr">
        <is>
          <t>4</t>
        </is>
      </c>
      <c r="D49" s="4" t="inlineStr">
        <is>
          <t>객실 상태</t>
        </is>
      </c>
      <c r="E49" s="4" t="inlineStr">
        <is>
          <t>실무 사실 필요</t>
        </is>
      </c>
      <c r="F49" s="4" t="inlineStr">
        <is>
          <t>청소완료 → 점검 후 판매가능으로</t>
        </is>
      </c>
      <c r="G49" s="4" t="inlineStr">
        <is>
          <t>청소완료 후 점검은 누가 하나? (메이드 요원 / 인스펙터 요원 / 프론트)</t>
        </is>
      </c>
      <c r="H49" s="5" t="inlineStr"/>
    </row>
    <row r="50">
      <c r="A50" s="4" t="n">
        <v>49</v>
      </c>
      <c r="B50" s="4" t="inlineStr">
        <is>
          <t>수1_FIP_사용매뉴얼.json</t>
        </is>
      </c>
      <c r="C50" s="4" t="inlineStr">
        <is>
          <t>4</t>
        </is>
      </c>
      <c r="D50" s="4" t="inlineStr">
        <is>
          <t>객실 상태</t>
        </is>
      </c>
      <c r="E50" s="4" t="inlineStr">
        <is>
          <t>실무 사실 필요</t>
        </is>
      </c>
      <c r="F50" s="4" t="inlineStr">
        <is>
          <t>외출 : 청소 가능 (프론트 확인 후)</t>
        </is>
      </c>
      <c r="G50" s="4" t="inlineStr">
        <is>
          <t>외출 객실 청소를 현장에서 실제로 하나? (함 / 안 함)</t>
        </is>
      </c>
      <c r="H50" s="5" t="inlineStr"/>
    </row>
    <row r="51">
      <c r="A51" s="4" t="n">
        <v>50</v>
      </c>
      <c r="B51" s="4" t="inlineStr">
        <is>
          <t>수1_FIP_사용매뉴얼.json</t>
        </is>
      </c>
      <c r="C51" s="4" t="inlineStr">
        <is>
          <t>5</t>
        </is>
      </c>
      <c r="D51" s="4" t="inlineStr">
        <is>
          <t>하루 운영 순서</t>
        </is>
      </c>
      <c r="E51" s="4" t="inlineStr">
        <is>
          <t>실무 사실 필요</t>
        </is>
      </c>
      <c r="F51" s="4" t="inlineStr">
        <is>
          <t>출근 후 FIP 확인 (1분)</t>
        </is>
      </c>
      <c r="G51" s="4" t="inlineStr">
        <is>
          <t>「1분」은 실제 기준인가? (유지 / 삭제)</t>
        </is>
      </c>
      <c r="H51" s="5" t="inlineStr"/>
    </row>
    <row r="52">
      <c r="A52" s="4" t="n">
        <v>51</v>
      </c>
      <c r="B52" s="4" t="inlineStr">
        <is>
          <t>수1_FIP_사용매뉴얼.json</t>
        </is>
      </c>
      <c r="C52" s="4" t="inlineStr">
        <is>
          <t>6</t>
        </is>
      </c>
      <c r="D52" s="4" t="inlineStr">
        <is>
          <t>문제 해결</t>
        </is>
      </c>
      <c r="E52" s="4" t="inlineStr">
        <is>
          <t>실무 사실 필요</t>
        </is>
      </c>
      <c r="F52" s="4" t="inlineStr">
        <is>
          <t>A/S 접수 (6시간 이내 현장 도착)</t>
        </is>
      </c>
      <c r="G52" s="4" t="inlineStr">
        <is>
          <t>6시간 이내 도착은 전 지역 적용인가? (전 지역 / 본사·부산·제주 권역만)</t>
        </is>
      </c>
      <c r="H52" s="5" t="inlineStr"/>
    </row>
    <row r="53">
      <c r="A53" s="4" t="n">
        <v>52</v>
      </c>
      <c r="B53" s="4" t="inlineStr">
        <is>
          <t>수1_FIP_사용매뉴얼.json</t>
        </is>
      </c>
      <c r="C53" s="4" t="inlineStr">
        <is>
          <t>6</t>
        </is>
      </c>
      <c r="D53" s="4" t="inlineStr">
        <is>
          <t>문제 해결</t>
        </is>
      </c>
      <c r="E53" s="4" t="inlineStr">
        <is>
          <t>실무 사실 필요</t>
        </is>
      </c>
      <c r="F53" s="4" t="inlineStr">
        <is>
          <t>(원본 대처 5가지)</t>
        </is>
      </c>
      <c r="G53" s="4" t="inlineStr">
        <is>
          <t>FIP 현장 A/S에서 가장 자주 나는 원인은? (넣을 한 줄)</t>
        </is>
      </c>
      <c r="H53" s="5" t="inlineStr"/>
    </row>
    <row r="54">
      <c r="A54" s="4" t="n">
        <v>53</v>
      </c>
      <c r="B54" s="4" t="inlineStr">
        <is>
          <t>수2_방재실_운영PC매뉴얼.json</t>
        </is>
      </c>
      <c r="C54" s="4" t="inlineStr">
        <is>
          <t>3</t>
        </is>
      </c>
      <c r="D54" s="4" t="inlineStr">
        <is>
          <t>화면 구성</t>
        </is>
      </c>
      <c r="E54" s="4" t="inlineStr">
        <is>
          <t>실무 사실 필요</t>
        </is>
      </c>
      <c r="F54" s="4" t="inlineStr">
        <is>
          <t>(개념도 상자 글자 그대로 둠)</t>
        </is>
      </c>
      <c r="G54" s="4" t="inlineStr">
        <is>
          <t>개념도 4구역(객실 현황·알람·통신·환경설정)이 실제 운영 PC 화면과 맞나? (맞음 / 다름)</t>
        </is>
      </c>
      <c r="H54" s="5" t="inlineStr"/>
    </row>
    <row r="55">
      <c r="A55" s="4" t="n">
        <v>54</v>
      </c>
      <c r="B55" s="4" t="inlineStr">
        <is>
          <t>수2_방재실_운영PC매뉴얼.json</t>
        </is>
      </c>
      <c r="C55" s="4" t="inlineStr">
        <is>
          <t>4</t>
        </is>
      </c>
      <c r="D55" s="4" t="inlineStr">
        <is>
          <t>일일 운영</t>
        </is>
      </c>
      <c r="E55" s="4" t="inlineStr">
        <is>
          <t>실무 사실 필요</t>
        </is>
      </c>
      <c r="F55" s="4" t="inlineStr">
        <is>
          <t>주 1회 : 통신 오류 반복 객실 목록으로 A/S 접수</t>
        </is>
      </c>
      <c r="G55" s="4" t="inlineStr">
        <is>
          <t>운영 PC에서 통신 오류 반복 객실 목록을 뽑는 기능이 실제로 있나? (있음/없음)</t>
        </is>
      </c>
      <c r="H55" s="5" t="inlineStr"/>
    </row>
    <row r="56">
      <c r="A56" s="4" t="n">
        <v>55</v>
      </c>
      <c r="B56" s="4" t="inlineStr">
        <is>
          <t>수2_방재실_운영PC매뉴얼.json</t>
        </is>
      </c>
      <c r="C56" s="4" t="inlineStr">
        <is>
          <t>5</t>
        </is>
      </c>
      <c r="D56" s="4" t="inlineStr">
        <is>
          <t>알람 대처</t>
        </is>
      </c>
      <c r="E56" s="4" t="inlineStr">
        <is>
          <t>실무 사실 필요</t>
        </is>
      </c>
      <c r="F56" s="4" t="inlineStr">
        <is>
          <t>서버 이중화 해제 : 서버 2대 중 1대 멈춤</t>
        </is>
      </c>
      <c r="G56" s="4" t="inlineStr">
        <is>
          <t>서버 이중화(2대)는 모든 현장 기본인가? (기본 / 옵션)</t>
        </is>
      </c>
      <c r="H56" s="5" t="inlineStr"/>
    </row>
    <row r="57">
      <c r="A57" s="4" t="n">
        <v>56</v>
      </c>
      <c r="B57" s="4" t="inlineStr">
        <is>
          <t>수2_방재실_운영PC매뉴얼.json</t>
        </is>
      </c>
      <c r="C57" s="4" t="inlineStr">
        <is>
          <t>5</t>
        </is>
      </c>
      <c r="D57" s="4" t="inlineStr">
        <is>
          <t>알람 대처</t>
        </is>
      </c>
      <c r="E57" s="4" t="inlineStr">
        <is>
          <t>실무 사실 필요</t>
        </is>
      </c>
      <c r="F57" s="4" t="inlineStr">
        <is>
          <t>(알람 6종)</t>
        </is>
      </c>
      <c r="G57" s="4" t="inlineStr">
        <is>
          <t>현장에서 가장 자주 뜨는 알람과 실제 원인은? (넣을 한 줄)</t>
        </is>
      </c>
      <c r="H57" s="5" t="inlineStr"/>
    </row>
    <row r="58">
      <c r="A58" s="4" t="n">
        <v>57</v>
      </c>
      <c r="B58" s="4" t="inlineStr">
        <is>
          <t>수2_방재실_운영PC매뉴얼.json</t>
        </is>
      </c>
      <c r="C58" s="4" t="inlineStr">
        <is>
          <t>6</t>
        </is>
      </c>
      <c r="D58" s="4" t="inlineStr">
        <is>
          <t>온도 설정</t>
        </is>
      </c>
      <c r="E58" s="4" t="inlineStr">
        <is>
          <t>실무 사실 필요</t>
        </is>
      </c>
      <c r="F58" s="4" t="inlineStr">
        <is>
          <t>네 값 모두 호텔 결정</t>
        </is>
      </c>
      <c r="G58" s="4" t="inlineStr">
        <is>
          <t>호텔이 값을 안 정하면 당사 기본 설정값이 있나? (있음 / 없음)</t>
        </is>
      </c>
      <c r="H58" s="5" t="inlineStr"/>
    </row>
    <row r="59">
      <c r="A59" s="4" t="n">
        <v>58</v>
      </c>
      <c r="B59" s="4" t="inlineStr">
        <is>
          <t>수3_객실넘버링_운영계획.json</t>
        </is>
      </c>
      <c r="C59" s="4" t="inlineStr">
        <is>
          <t>2</t>
        </is>
      </c>
      <c r="D59" s="4" t="inlineStr">
        <is>
          <t>번호 우선 확정</t>
        </is>
      </c>
      <c r="E59" s="4" t="inlineStr">
        <is>
          <t>실무 사실 필요</t>
        </is>
      </c>
      <c r="F59" s="4" t="inlineStr">
        <is>
          <t>이후 변경은 현장 재작업</t>
        </is>
      </c>
      <c r="G59" s="4" t="inlineStr">
        <is>
          <t>시운전 뒤 번호가 바뀌어 재작업한 사례 · 비용이 있나? (넣을 한 줄)</t>
        </is>
      </c>
      <c r="H59" s="5" t="inlineStr"/>
    </row>
    <row r="60">
      <c r="A60" s="4" t="n">
        <v>59</v>
      </c>
      <c r="B60" s="4" t="inlineStr">
        <is>
          <t>수3_객실넘버링_운영계획.json</t>
        </is>
      </c>
      <c r="C60" s="4" t="inlineStr">
        <is>
          <t>3</t>
        </is>
      </c>
      <c r="D60" s="4" t="inlineStr">
        <is>
          <t>확정 항목</t>
        </is>
      </c>
      <c r="E60" s="4" t="inlineStr">
        <is>
          <t>뺀 추론</t>
        </is>
      </c>
      <c r="F60" s="4" t="inlineStr">
        <is>
          <t>(note 삭제) 이 표가 채워지면 그대로 도어락·PMS·객실관리 세 곳에 같은 값으로 넣습니다.</t>
        </is>
      </c>
      <c r="G60" s="4" t="inlineStr">
        <is>
          <t>표 설명 각주라 삭제함. 「세 곳 같은 값 입력」 문구를 표 아래에 남길까? (남김 / 삭제)</t>
        </is>
      </c>
      <c r="H60" s="5" t="inlineStr"/>
    </row>
    <row r="61">
      <c r="A61" s="4" t="n">
        <v>60</v>
      </c>
      <c r="B61" s="4" t="inlineStr">
        <is>
          <t>수3_객실넘버링_운영계획.json</t>
        </is>
      </c>
      <c r="C61" s="4" t="inlineStr">
        <is>
          <t>3</t>
        </is>
      </c>
      <c r="D61" s="4" t="inlineStr">
        <is>
          <t>확정 항목</t>
        </is>
      </c>
      <c r="E61" s="4" t="inlineStr">
        <is>
          <t>실무 사실 필요</t>
        </is>
      </c>
      <c r="F61" s="4" t="inlineStr">
        <is>
          <t>기피 번호 : 4·44 제외 여부</t>
        </is>
      </c>
      <c r="G61" s="4" t="inlineStr">
        <is>
          <t>실제 현장에서 4·44 외에 빼는 번호가 있나? (예: 13)</t>
        </is>
      </c>
      <c r="H61" s="5" t="inlineStr"/>
    </row>
    <row r="62">
      <c r="A62" s="4" t="n">
        <v>61</v>
      </c>
      <c r="B62" s="4" t="inlineStr">
        <is>
          <t>수3_객실넘버링_운영계획.json</t>
        </is>
      </c>
      <c r="C62" s="4" t="inlineStr">
        <is>
          <t>4</t>
        </is>
      </c>
      <c r="D62" s="4" t="inlineStr">
        <is>
          <t>진행 순서</t>
        </is>
      </c>
      <c r="E62" s="4" t="inlineStr">
        <is>
          <t>뺀 추론</t>
        </is>
      </c>
      <c r="F62" s="4" t="inlineStr">
        <is>
          <t>업체마다 각자 엑셀을 만들면 반드시 어긋납니다.</t>
        </is>
      </c>
      <c r="G62" s="4" t="inlineStr">
        <is>
          <t>업체별 목록이 어긋나 문제 된 실제 현장이 있나? (있으면 현장명)</t>
        </is>
      </c>
      <c r="H62" s="5" t="inlineStr"/>
    </row>
    <row r="63">
      <c r="A63" s="4" t="n">
        <v>62</v>
      </c>
      <c r="B63" s="4" t="inlineStr">
        <is>
          <t>수3_객실넘버링_운영계획.json</t>
        </is>
      </c>
      <c r="C63" s="4" t="inlineStr">
        <is>
          <t>5</t>
        </is>
      </c>
      <c r="D63" s="4" t="inlineStr">
        <is>
          <t>요청 사항</t>
        </is>
      </c>
      <c r="E63" s="4" t="inlineStr">
        <is>
          <t>실무 사실 필요</t>
        </is>
      </c>
      <c r="F63" s="4" t="inlineStr">
        <is>
          <t>(desc 삭제) 호실 목록 초안 회신 · 번호 매김 · 동시 배포 약속</t>
        </is>
      </c>
      <c r="G63" s="4" t="inlineStr">
        <is>
          <t>요청 항목 아래 설명 줄 없이 가도 되나? (가능 / 설명 필요)</t>
        </is>
      </c>
      <c r="H63" s="5" t="inlineStr"/>
    </row>
    <row r="64">
      <c r="A64" s="4" t="n">
        <v>63</v>
      </c>
      <c r="B64" s="4" t="inlineStr">
        <is>
          <t>수4_준공인계_매뉴얼.json</t>
        </is>
      </c>
      <c r="C64" s="4" t="inlineStr">
        <is>
          <t>3</t>
        </is>
      </c>
      <c r="D64" s="4" t="inlineStr">
        <is>
          <t>시운전 완료 확인</t>
        </is>
      </c>
      <c r="E64" s="4" t="inlineStr">
        <is>
          <t>실무 사실 필요</t>
        </is>
      </c>
      <c r="F64" s="4" t="inlineStr">
        <is>
          <t>시운전 조건 : 벽지·페인트 마감, 전원 공급 완료 후</t>
        </is>
      </c>
      <c r="G64" s="4" t="inlineStr">
        <is>
          <t>시운전이 늦어지는 가장 흔한 이유는? (넣을 한 줄)</t>
        </is>
      </c>
      <c r="H64" s="5" t="inlineStr"/>
    </row>
    <row r="65">
      <c r="A65" s="4" t="n">
        <v>64</v>
      </c>
      <c r="B65" s="4" t="inlineStr">
        <is>
          <t>수4_준공인계_매뉴얼.json</t>
        </is>
      </c>
      <c r="C65" s="4" t="inlineStr">
        <is>
          <t>4</t>
        </is>
      </c>
      <c r="D65" s="4" t="inlineStr">
        <is>
          <t>인계 목록</t>
        </is>
      </c>
      <c r="E65" s="4" t="inlineStr">
        <is>
          <t>실무 사실 필요</t>
        </is>
      </c>
      <c r="F65" s="4" t="inlineStr">
        <is>
          <t>예비 자재 수량 : 객실 수 기준</t>
        </is>
      </c>
      <c r="G65" s="4" t="inlineStr">
        <is>
          <t>예비 자재 기준은 객실 몇 실당 몇 세트인가? (예: 100실당 1세트)</t>
        </is>
      </c>
      <c r="H65" s="5" t="inlineStr"/>
    </row>
    <row r="66">
      <c r="A66" s="4" t="n">
        <v>65</v>
      </c>
      <c r="B66" s="4" t="inlineStr">
        <is>
          <t>수4_준공인계_매뉴얼.json</t>
        </is>
      </c>
      <c r="C66" s="4" t="inlineStr">
        <is>
          <t>5</t>
        </is>
      </c>
      <c r="D66" s="4" t="inlineStr">
        <is>
          <t>운영자 교육</t>
        </is>
      </c>
      <c r="E66" s="4" t="inlineStr">
        <is>
          <t>용어 확인</t>
        </is>
      </c>
      <c r="F66" s="4" t="inlineStr">
        <is>
          <t>교육 대상 「하우스키핑」 → 「메이드」</t>
        </is>
      </c>
      <c r="G66" s="4" t="inlineStr">
        <is>
          <t>인스펙터 요원도 교육 대상에 넣나? (넣음 / 안 넣음)</t>
        </is>
      </c>
      <c r="H66" s="5" t="inlineStr"/>
    </row>
    <row r="67">
      <c r="A67" s="4" t="n">
        <v>66</v>
      </c>
      <c r="B67" s="4" t="inlineStr">
        <is>
          <t>수4_준공인계_매뉴얼.json</t>
        </is>
      </c>
      <c r="C67" s="4" t="inlineStr">
        <is>
          <t>6</t>
        </is>
      </c>
      <c r="D67" s="4" t="inlineStr">
        <is>
          <t>인계 후 관리</t>
        </is>
      </c>
      <c r="E67" s="4" t="inlineStr">
        <is>
          <t>뺀 추론</t>
        </is>
      </c>
      <c r="F67" s="4" t="inlineStr">
        <is>
          <t>성수기 객실 판매를 지키는 쪽이 유리합니다.</t>
        </is>
      </c>
      <c r="G67" s="4" t="inlineStr">
        <is>
          <t>정기점검 + 예비품 보유가 유리했던 실제 사례가 있나? (넣을 한 줄)</t>
        </is>
      </c>
      <c r="H67" s="5" t="inlineStr"/>
    </row>
    <row r="68">
      <c r="A68" s="4" t="n">
        <v>67</v>
      </c>
      <c r="B68" s="4" t="inlineStr">
        <is>
          <t>수4_준공인계_매뉴얼.json</t>
        </is>
      </c>
      <c r="C68" s="4" t="inlineStr">
        <is>
          <t>6</t>
        </is>
      </c>
      <c r="D68" s="4" t="inlineStr">
        <is>
          <t>인계 후 관리</t>
        </is>
      </c>
      <c r="E68" s="4" t="inlineStr">
        <is>
          <t>실무 사실 필요</t>
        </is>
      </c>
      <c r="F68" s="4" t="inlineStr">
        <is>
          <t>보증 만료 30일 전 사전 안내</t>
        </is>
      </c>
      <c r="G68" s="4" t="inlineStr">
        <is>
          <t>보증 만료 30일 전 안내를 실제로 하고 있나? (유지 / 삭제)</t>
        </is>
      </c>
      <c r="H68" s="5" t="inlineStr"/>
    </row>
    <row r="69">
      <c r="A69" s="4" t="n">
        <v>68</v>
      </c>
      <c r="B69" s="4" t="inlineStr">
        <is>
          <t>수4_준공인계_매뉴얼.json</t>
        </is>
      </c>
      <c r="C69" s="4" t="inlineStr">
        <is>
          <t>6</t>
        </is>
      </c>
      <c r="D69" s="4" t="inlineStr">
        <is>
          <t>인계 후 관리</t>
        </is>
      </c>
      <c r="E69" s="4" t="inlineStr">
        <is>
          <t>실무 사실 필요</t>
        </is>
      </c>
      <c r="F69" s="4" t="inlineStr">
        <is>
          <t>준공 후 6개월 시점 1회 점검</t>
        </is>
      </c>
      <c r="G69" s="4" t="inlineStr">
        <is>
          <t>준공 후 6개월 점검을 실제로 나가나? (유지 / 삭제)</t>
        </is>
      </c>
      <c r="H69" s="5" t="inlineStr"/>
    </row>
    <row r="70">
      <c r="A70" s="4" t="n">
        <v>69</v>
      </c>
      <c r="B70" s="4" t="inlineStr">
        <is>
          <t>수4_준공인계_매뉴얼.json</t>
        </is>
      </c>
      <c r="C70" s="4" t="inlineStr">
        <is>
          <t>7</t>
        </is>
      </c>
      <c r="D70" s="4" t="inlineStr">
        <is>
          <t>요청 사항</t>
        </is>
      </c>
      <c r="E70" s="4" t="inlineStr">
        <is>
          <t>실무 사실 필요</t>
        </is>
      </c>
      <c r="F70" s="4" t="inlineStr">
        <is>
          <t>(lead 삭제) 인계 일정만 주시면 나머지는 저희가 준비합니다</t>
        </is>
      </c>
      <c r="G70" s="4" t="inlineStr">
        <is>
          <t>요청 장 안내 문구 없이 가도 되나? (가능 / 필요)</t>
        </is>
      </c>
      <c r="H70" s="5" t="inlineStr"/>
    </row>
    <row r="71">
      <c r="A71" s="4" t="n">
        <v>70</v>
      </c>
      <c r="B71" s="4" t="inlineStr">
        <is>
          <t>월1_4-5성급_운영시나리오.json</t>
        </is>
      </c>
      <c r="C71" s="4" t="inlineStr">
        <is>
          <t>2</t>
        </is>
      </c>
      <c r="D71" s="4" t="inlineStr">
        <is>
          <t>시스템 기능</t>
        </is>
      </c>
      <c r="E71" s="4" t="inlineStr">
        <is>
          <t>실무 사실 필요</t>
        </is>
      </c>
      <c r="F71" s="4" t="inlineStr">
        <is>
          <t>(배너) 이 문서는 시스템 동작을 설명하는 자료입니다. 수량·금액은 별도 견적서로 제출합니다. → 수량·금액 : 별도 견적서 제출</t>
        </is>
      </c>
      <c r="G71" s="4" t="inlineStr">
        <is>
          <t>배너 자리는 문서 설명 대신 현장 사실로 바꿀까, 아니면 배너를 비울까? (바꿀 문구/비움)</t>
        </is>
      </c>
      <c r="H71" s="5" t="inlineStr"/>
    </row>
    <row r="72">
      <c r="A72" s="4" t="n">
        <v>71</v>
      </c>
      <c r="B72" s="4" t="inlineStr">
        <is>
          <t>월1_4-5성급_운영시나리오.json</t>
        </is>
      </c>
      <c r="C72" s="4" t="inlineStr">
        <is>
          <t>3</t>
        </is>
      </c>
      <c r="D72" s="4" t="inlineStr">
        <is>
          <t>고객 동선별 시스템 동작</t>
        </is>
      </c>
      <c r="E72" s="4" t="inlineStr">
        <is>
          <t>실무 사실 필요</t>
        </is>
      </c>
      <c r="F72" s="4" t="inlineStr">
        <is>
          <t>체크인 : 냉·난방 강제 동작 (입실 전 예열/예냉)</t>
        </is>
      </c>
      <c r="G72" s="4" t="inlineStr">
        <is>
          <t>체크인 강제 동작 유지 시간 기본값은? (분)</t>
        </is>
      </c>
      <c r="H72" s="5" t="inlineStr"/>
    </row>
    <row r="73">
      <c r="A73" s="4" t="n">
        <v>72</v>
      </c>
      <c r="B73" s="4" t="inlineStr">
        <is>
          <t>월1_4-5성급_운영시나리오.json</t>
        </is>
      </c>
      <c r="C73" s="4" t="inlineStr">
        <is>
          <t>4</t>
        </is>
      </c>
      <c r="D73" s="4" t="inlineStr">
        <is>
          <t>시스템 구성 · 공사 구분</t>
        </is>
      </c>
      <c r="E73" s="4" t="inlineStr">
        <is>
          <t>실무 사실 필요</t>
        </is>
      </c>
      <c r="F73" s="4" t="inlineStr">
        <is>
          <t>객실관리 서버 x2 · 방재실 · 이중화</t>
        </is>
      </c>
      <c r="G73" s="4" t="inlineStr">
        <is>
          <t>서버 2대 이중화는 전 현장 표준인가? (표준/현장별)</t>
        </is>
      </c>
      <c r="H73" s="5" t="inlineStr"/>
    </row>
    <row r="74">
      <c r="A74" s="4" t="n">
        <v>73</v>
      </c>
      <c r="B74" s="4" t="inlineStr">
        <is>
          <t>월1_4-5성급_운영시나리오.json</t>
        </is>
      </c>
      <c r="C74" s="4" t="inlineStr">
        <is>
          <t>7</t>
        </is>
      </c>
      <c r="D74" s="4" t="inlineStr">
        <is>
          <t>요청 사항</t>
        </is>
      </c>
      <c r="E74" s="4" t="inlineStr">
        <is>
          <t>실무 사실 필요</t>
        </is>
      </c>
      <c r="F74" s="4" t="inlineStr">
        <is>
          <t>(뺀 desc) 타입별 기구물 위치와 수량을 표시해 회신드립니다. / 연동 규격 협의 일정을 잡겠습니다.</t>
        </is>
      </c>
      <c r="G74" s="4" t="inlineStr">
        <is>
          <t>평면도 받은 뒤 기구물 위치·수량 회신까지 통상 며칠? (일) — 넣을지 여부 포함</t>
        </is>
      </c>
      <c r="H74" s="5" t="inlineStr"/>
    </row>
    <row r="75">
      <c r="A75" s="4" t="n">
        <v>74</v>
      </c>
      <c r="B75" s="4" t="inlineStr">
        <is>
          <t>월2_리조트콘도_운영시나리오.json</t>
        </is>
      </c>
      <c r="C75" s="4" t="inlineStr">
        <is>
          <t>2</t>
        </is>
      </c>
      <c r="D75" s="4" t="inlineStr">
        <is>
          <t>호텔과의 차이</t>
        </is>
      </c>
      <c r="E75" s="4" t="inlineStr">
        <is>
          <t>실무 사실 필요</t>
        </is>
      </c>
      <c r="F75" s="4" t="inlineStr">
        <is>
          <t>카드 제거 후 외출온도 유지 시간 : 호텔보다 길게 설정</t>
        </is>
      </c>
      <c r="G75" s="4" t="inlineStr">
        <is>
          <t>리조트 외출온도 유지 시간 기본값은? (호텔 ○분 / 리조트 ○분)</t>
        </is>
      </c>
      <c r="H75" s="5" t="inlineStr"/>
    </row>
    <row r="76">
      <c r="A76" s="4" t="n">
        <v>75</v>
      </c>
      <c r="B76" s="4" t="inlineStr">
        <is>
          <t>월2_리조트콘도_운영시나리오.json</t>
        </is>
      </c>
      <c r="C76" s="4" t="inlineStr">
        <is>
          <t>2</t>
        </is>
      </c>
      <c r="D76" s="4" t="inlineStr">
        <is>
          <t>호텔과의 차이</t>
        </is>
      </c>
      <c r="E76" s="4" t="inlineStr">
        <is>
          <t>실무 사실 필요</t>
        </is>
      </c>
      <c r="F76" s="4" t="inlineStr">
        <is>
          <t>(배너) 이 문서는 시스템 동작 설명 자료입니다. 수량·금액은 별도 견적서로 제출합니다. → 수량·금액 : 별도 견적서 제출</t>
        </is>
      </c>
      <c r="G76" s="4" t="inlineStr">
        <is>
          <t>배너를 현장 사실로 바꿀까, 비울까? (바꿀 문구/비움)</t>
        </is>
      </c>
      <c r="H76" s="5" t="inlineStr"/>
    </row>
    <row r="77">
      <c r="A77" s="4" t="n">
        <v>76</v>
      </c>
      <c r="B77" s="4" t="inlineStr">
        <is>
          <t>월2_리조트콘도_운영시나리오.json</t>
        </is>
      </c>
      <c r="C77" s="4" t="inlineStr">
        <is>
          <t>3</t>
        </is>
      </c>
      <c r="D77" s="4" t="inlineStr">
        <is>
          <t>이용 동선별 시스템 동작</t>
        </is>
      </c>
      <c r="E77" s="4" t="inlineStr">
        <is>
          <t>실무 사실 필요</t>
        </is>
      </c>
      <c r="F77" s="4" t="inlineStr">
        <is>
          <t>외출온도·공실온도·동파방지 최저온도 : 운영 PC 환경설정</t>
        </is>
      </c>
      <c r="G77" s="4" t="inlineStr">
        <is>
          <t>동파방지 최저온도 권장 기본값이 있는가? (○℃/현장별)</t>
        </is>
      </c>
      <c r="H77" s="5" t="inlineStr"/>
    </row>
    <row r="78">
      <c r="A78" s="4" t="n">
        <v>77</v>
      </c>
      <c r="B78" s="4" t="inlineStr">
        <is>
          <t>월2_리조트콘도_운영시나리오.json</t>
        </is>
      </c>
      <c r="C78" s="4" t="inlineStr">
        <is>
          <t>5</t>
        </is>
      </c>
      <c r="D78" s="4" t="inlineStr">
        <is>
          <t>리조트 제품 구성</t>
        </is>
      </c>
      <c r="E78" s="4" t="inlineStr">
        <is>
          <t>실무 사실 필요</t>
        </is>
      </c>
      <c r="F78" s="4" t="inlineStr">
        <is>
          <t>취사시설 있는 콘도형 : 전열 차단 범위 별도 협의 필요</t>
        </is>
      </c>
      <c r="G78" s="4" t="inlineStr">
        <is>
          <t>콘도형 취사시설(인덕션 등)은 카드 제거 시 통상 차단하는가? (차단/상시)</t>
        </is>
      </c>
      <c r="H78" s="5" t="inlineStr"/>
    </row>
    <row r="79">
      <c r="A79" s="4" t="n">
        <v>78</v>
      </c>
      <c r="B79" s="4" t="inlineStr">
        <is>
          <t>월2_리조트콘도_운영시나리오.json</t>
        </is>
      </c>
      <c r="C79" s="4" t="inlineStr">
        <is>
          <t>6</t>
        </is>
      </c>
      <c r="D79" s="4" t="inlineStr">
        <is>
          <t>운영 방식 비교</t>
        </is>
      </c>
      <c r="E79" s="4" t="inlineStr">
        <is>
          <t>실무 사실 필요</t>
        </is>
      </c>
      <c r="F79" s="4" t="inlineStr">
        <is>
          <t>비수기 동파 사고 : 사후 발견</t>
        </is>
      </c>
      <c r="G79" s="4" t="inlineStr">
        <is>
          <t>객실관리 없는 리조트에서 비수기 동파 사고 실제 사례를 넣을까? (현장명/넣지 않음)</t>
        </is>
      </c>
      <c r="H79" s="5" t="inlineStr"/>
    </row>
    <row r="80">
      <c r="A80" s="4" t="n">
        <v>79</v>
      </c>
      <c r="B80" s="4" t="inlineStr">
        <is>
          <t>월3_기숙사연수원_운영시나리오.json</t>
        </is>
      </c>
      <c r="C80" s="4" t="inlineStr">
        <is>
          <t>2</t>
        </is>
      </c>
      <c r="D80" s="4" t="inlineStr">
        <is>
          <t>호텔과의 차이</t>
        </is>
      </c>
      <c r="E80" s="4" t="inlineStr">
        <is>
          <t>실무 사실 필요</t>
        </is>
      </c>
      <c r="F80" s="4" t="inlineStr">
        <is>
          <t>(배너) 이 문서는 시스템 동작 설명 자료입니다. 수량·금액은 별도 견적서로 제출합니다. → 수량·금액 : 별도 견적서 제출</t>
        </is>
      </c>
      <c r="G80" s="4" t="inlineStr">
        <is>
          <t>배너를 현장 사실로 바꿀까, 비울까? (바꿀 문구/비움)</t>
        </is>
      </c>
      <c r="H80" s="5" t="inlineStr"/>
    </row>
    <row r="81">
      <c r="A81" s="4" t="n">
        <v>80</v>
      </c>
      <c r="B81" s="4" t="inlineStr">
        <is>
          <t>월3_기숙사연수원_운영시나리오.json</t>
        </is>
      </c>
      <c r="C81" s="4" t="inlineStr">
        <is>
          <t>3</t>
        </is>
      </c>
      <c r="D81" s="4" t="inlineStr">
        <is>
          <t>입소~퇴소 시스템 동작</t>
        </is>
      </c>
      <c r="E81" s="4" t="inlineStr">
        <is>
          <t>실무 사실 필요</t>
        </is>
      </c>
      <c r="F81" s="4" t="inlineStr">
        <is>
          <t>기수 단위 운영(연수원 등) : 기수 교체일 일괄 초기화 필요 (뺀 문구 : 운영 방식을 알려 주시면 그에 맞춰 설정합니다.)</t>
        </is>
      </c>
      <c r="G81" s="4" t="inlineStr">
        <is>
          <t>층·동 단위 일괄 초기화는 운영 PC 표준 기능인가? (표준/개발 필요)</t>
        </is>
      </c>
      <c r="H81" s="5" t="inlineStr"/>
    </row>
    <row r="82">
      <c r="A82" s="4" t="n">
        <v>81</v>
      </c>
      <c r="B82" s="4" t="inlineStr">
        <is>
          <t>월3_기숙사연수원_운영시나리오.json</t>
        </is>
      </c>
      <c r="C82" s="4" t="inlineStr">
        <is>
          <t>4</t>
        </is>
      </c>
      <c r="D82" s="4" t="inlineStr">
        <is>
          <t>시스템 구성 · 공사 구분</t>
        </is>
      </c>
      <c r="E82" s="4" t="inlineStr">
        <is>
          <t>실무 사실 필요</t>
        </is>
      </c>
      <c r="F82" s="4" t="inlineStr">
        <is>
          <t>FIP · DTC 각층 린넨실</t>
        </is>
      </c>
      <c r="G82" s="4" t="inlineStr">
        <is>
          <t>기숙사에 DTC를 넣는 기준은? (호실 수 ○실 이상/현장별)</t>
        </is>
      </c>
      <c r="H82" s="5" t="inlineStr"/>
    </row>
    <row r="83">
      <c r="A83" s="4" t="n">
        <v>82</v>
      </c>
      <c r="B83" s="4" t="inlineStr">
        <is>
          <t>월3_기숙사연수원_운영시나리오.json</t>
        </is>
      </c>
      <c r="C83" s="4" t="inlineStr">
        <is>
          <t>5</t>
        </is>
      </c>
      <c r="D83" s="4" t="inlineStr">
        <is>
          <t>기숙사 제품 구성</t>
        </is>
      </c>
      <c r="E83" s="4" t="inlineStr">
        <is>
          <t>실무 사실 필요</t>
        </is>
      </c>
      <c r="F83" s="4" t="inlineStr">
        <is>
          <t>입구 INDICATOR (챠임벨) : 현장 방침에 따라 적용</t>
        </is>
      </c>
      <c r="G83" s="4" t="inlineStr">
        <is>
          <t>기숙사 챠임벨 기본값은? (적용/미적용)</t>
        </is>
      </c>
      <c r="H83" s="5" t="inlineStr"/>
    </row>
    <row r="84">
      <c r="A84" s="4" t="n">
        <v>83</v>
      </c>
      <c r="B84" s="4" t="inlineStr">
        <is>
          <t>월3_기숙사연수원_운영시나리오.json</t>
        </is>
      </c>
      <c r="C84" s="4" t="inlineStr">
        <is>
          <t>6</t>
        </is>
      </c>
      <c r="D84" s="4" t="inlineStr">
        <is>
          <t>운영 방식 비교</t>
        </is>
      </c>
      <c r="E84" s="4" t="inlineStr">
        <is>
          <t>실무 사실 필요</t>
        </is>
      </c>
      <c r="F84" s="4" t="inlineStr">
        <is>
          <t>비상호출 : 관리실 즉시 전달</t>
        </is>
      </c>
      <c r="G84" s="4" t="inlineStr">
        <is>
          <t>관리실 수신 장치는 운영 PC인가 별도 표시반인가? (운영 PC/표시반)</t>
        </is>
      </c>
      <c r="H84" s="5" t="inlineStr"/>
    </row>
    <row r="85">
      <c r="A85" s="4" t="n">
        <v>84</v>
      </c>
      <c r="B85" s="4" t="inlineStr">
        <is>
          <t>월4_PMS연동_운영시나리오.json</t>
        </is>
      </c>
      <c r="C85" s="4" t="inlineStr">
        <is>
          <t>3</t>
        </is>
      </c>
      <c r="D85" s="4" t="inlineStr">
        <is>
          <t>시스템 구성 · PMS~객실</t>
        </is>
      </c>
      <c r="E85" s="4" t="inlineStr">
        <is>
          <t>실무 사실 필요</t>
        </is>
      </c>
      <c r="F85" s="4" t="inlineStr">
        <is>
          <t>PMS 측 규격 제공 · 연동 시험 (PMS 업체)</t>
        </is>
      </c>
      <c r="G85" s="4" t="inlineStr">
        <is>
          <t>PMS 연동 규격 협의부터 연동 시험까지 통상 기간은? (주)</t>
        </is>
      </c>
      <c r="H85" s="5" t="inlineStr"/>
    </row>
    <row r="86">
      <c r="A86" s="4" t="n">
        <v>85</v>
      </c>
      <c r="B86" s="4" t="inlineStr">
        <is>
          <t>월4_PMS연동_운영시나리오.json</t>
        </is>
      </c>
      <c r="C86" s="4" t="inlineStr">
        <is>
          <t>4</t>
        </is>
      </c>
      <c r="D86" s="4" t="inlineStr">
        <is>
          <t>PMS 연동 전 확정 사항</t>
        </is>
      </c>
      <c r="E86" s="4" t="inlineStr">
        <is>
          <t>실무 사실 필요</t>
        </is>
      </c>
      <c r="F86" s="4" t="inlineStr">
        <is>
          <t>PMS 업체 미선정 시 연동 규격 확정 불가 → 연동 프로그램 일정 지연</t>
        </is>
      </c>
      <c r="G86" s="4" t="inlineStr">
        <is>
          <t>PMS 업체가 늦게 정해져 일정이 밀린 실제 사례를 넣을까? (현장명/넣지 않음)</t>
        </is>
      </c>
      <c r="H86" s="5" t="inlineStr"/>
    </row>
    <row r="87">
      <c r="A87" s="4" t="n">
        <v>86</v>
      </c>
      <c r="B87" s="4" t="inlineStr">
        <is>
          <t>월4_PMS연동_운영시나리오.json</t>
        </is>
      </c>
      <c r="C87" s="4" t="inlineStr">
        <is>
          <t>5</t>
        </is>
      </c>
      <c r="D87" s="4" t="inlineStr">
        <is>
          <t>요청 사항</t>
        </is>
      </c>
      <c r="E87" s="4" t="inlineStr">
        <is>
          <t>실무 사실 필요</t>
        </is>
      </c>
      <c r="F87" s="4" t="inlineStr">
        <is>
          <t>(뺀 desc) 규격 확정 즉시 연동 프로그램 개발 일정을 제출하겠습니다. / (뺀 lead) 연동 규격만 확정되면 나머지는 당사가 진행합니다</t>
        </is>
      </c>
      <c r="G87" s="4" t="inlineStr">
        <is>
          <t>연동 프로그램 개발 기간 기준은? (규격 확정 후 ○주)</t>
        </is>
      </c>
      <c r="H87" s="5" t="inlineStr"/>
    </row>
    <row r="88">
      <c r="A88" s="4" t="n">
        <v>87</v>
      </c>
      <c r="B88" s="4" t="inlineStr">
        <is>
          <t>월5_공사한계_업무스코프.json</t>
        </is>
      </c>
      <c r="C88" s="4" t="inlineStr">
        <is>
          <t>4</t>
        </is>
      </c>
      <c r="D88" s="4" t="inlineStr">
        <is>
          <t>타 공종 요청 조건</t>
        </is>
      </c>
      <c r="E88" s="4" t="inlineStr">
        <is>
          <t>뺀 추론</t>
        </is>
      </c>
      <c r="F88" s="4" t="inlineStr">
        <is>
          <t>아래 조건이 지켜지지 않으면 시운전 단계에서 문제가 드러나고, 그때는 되돌리기 어렵습니다. → 시운전 전 확인 필요 조건</t>
        </is>
      </c>
      <c r="G88" s="4" t="inlineStr">
        <is>
          <t>시운전 단계에서 발견돼 되돌리기 어려웠던 실제 사례가 있나? (있음-현장명/없음)</t>
        </is>
      </c>
      <c r="H88" s="5" t="inlineStr"/>
    </row>
    <row r="89">
      <c r="A89" s="4" t="n">
        <v>88</v>
      </c>
      <c r="B89" s="4" t="inlineStr">
        <is>
          <t>월5_공사한계_업무스코프.json</t>
        </is>
      </c>
      <c r="C89" s="4" t="inlineStr">
        <is>
          <t>4</t>
        </is>
      </c>
      <c r="D89" s="4" t="inlineStr">
        <is>
          <t>타 공종 요청 조건</t>
        </is>
      </c>
      <c r="E89" s="4" t="inlineStr">
        <is>
          <t>실무 사실 필요</t>
        </is>
      </c>
      <c r="F89" s="4" t="inlineStr">
        <is>
          <t>마감 전 기구물 설치 : 도장·도배 오염, 재시공 발생</t>
        </is>
      </c>
      <c r="G89" s="4" t="inlineStr">
        <is>
          <t>재시공 비용은 누가 부담했나? (당사/시공사/인테리어)</t>
        </is>
      </c>
      <c r="H89" s="5" t="inlineStr"/>
    </row>
    <row r="90">
      <c r="A90" s="4" t="n">
        <v>89</v>
      </c>
      <c r="B90" s="4" t="inlineStr">
        <is>
          <t>월5_공사한계_업무스코프.json</t>
        </is>
      </c>
      <c r="C90" s="4" t="inlineStr">
        <is>
          <t>3</t>
        </is>
      </c>
      <c r="D90" s="4" t="inlineStr">
        <is>
          <t>공종별 담당 구분</t>
        </is>
      </c>
      <c r="E90" s="4" t="inlineStr">
        <is>
          <t>실무 사실 필요</t>
        </is>
      </c>
      <c r="F90" s="4" t="inlineStr">
        <is>
          <t>시운전 · 인계교육 : 전기 · 통신 입회</t>
        </is>
      </c>
      <c r="G90" s="4" t="inlineStr">
        <is>
          <t>시운전 때 전기·통신 입회는 실제로 필수인가? (필수/선택)</t>
        </is>
      </c>
      <c r="H90" s="5" t="inlineStr"/>
    </row>
    <row r="91">
      <c r="A91" s="4" t="n">
        <v>90</v>
      </c>
      <c r="B91" s="4" t="inlineStr">
        <is>
          <t>월5_공사한계_업무스코프.json</t>
        </is>
      </c>
      <c r="C91" s="4" t="inlineStr">
        <is>
          <t>3</t>
        </is>
      </c>
      <c r="D91" s="4" t="inlineStr">
        <is>
          <t>공종별 담당 구분</t>
        </is>
      </c>
      <c r="E91" s="4" t="inlineStr">
        <is>
          <t>용어 확인</t>
        </is>
      </c>
      <c r="F91" s="4" t="inlineStr">
        <is>
          <t>(뺀 note 둘째 문장) 별도 설명 자료로 제출합니다.</t>
        </is>
      </c>
      <c r="G91" s="4" t="inlineStr">
        <is>
          <t>에어컨·바닥난방·도어락 연동 설명 자료를 이 자료에 붙여 낼까? (붙임/따로)</t>
        </is>
      </c>
      <c r="H91" s="5" t="inlineStr"/>
    </row>
    <row r="92">
      <c r="A92" s="4" t="n">
        <v>91</v>
      </c>
      <c r="B92" s="4" t="inlineStr">
        <is>
          <t>00_종합_5성급_객실관리제안서.json</t>
        </is>
      </c>
      <c r="C92" s="4" t="inlineStr">
        <is>
          <t>16</t>
        </is>
      </c>
      <c r="D92" s="4" t="inlineStr">
        <is>
          <t>주거약자실 기구물 위치</t>
        </is>
      </c>
      <c r="E92" s="4" t="inlineStr">
        <is>
          <t>실무 사실 필요</t>
        </is>
      </c>
      <c r="F92" s="4" t="inlineStr">
        <is>
          <t>② K (+DM) → K + DM / ④ 온도 + L (낮춤) → BSP (낮춤)</t>
        </is>
      </c>
      <c r="G92" s="4" t="inlineStr">
        <is>
          <t>5성급 주거약자실 침대 옆도 BSP 로 맞나? (BSP / 온도조절기 + L)</t>
        </is>
      </c>
      <c r="H92" s="5" t="inlineStr"/>
    </row>
    <row r="93">
      <c r="A93" s="4" t="n">
        <v>92</v>
      </c>
      <c r="B93" s="4" t="inlineStr">
        <is>
          <t>00_종합_5성급_객실관리제안서.json</t>
        </is>
      </c>
      <c r="C93" s="4" t="inlineStr">
        <is>
          <t>31</t>
        </is>
      </c>
      <c r="D93" s="4" t="inlineStr">
        <is>
          <t>인계 후 관리</t>
        </is>
      </c>
      <c r="E93" s="4" t="inlineStr">
        <is>
          <t>실무 사실 필요</t>
        </is>
      </c>
      <c r="F93" s="4" t="inlineStr">
        <is>
          <t>고장 접수 후 6시간 이내 현장 도착 / 보증 만료 30일 전 사전 안내 / 준공 후 6개월 시점 1회 점검</t>
        </is>
      </c>
      <c r="G93" s="4" t="inlineStr">
        <is>
          <t>제출본에 약속으로 그대로 넣어도 되나? (그대로 / 뺌 / 수정값)</t>
        </is>
      </c>
      <c r="H93" s="5" t="inlineStr"/>
    </row>
    <row r="94">
      <c r="A94" s="4" t="n">
        <v>93</v>
      </c>
      <c r="B94" s="4" t="inlineStr">
        <is>
          <t>00_종합_5성급_객실관리제안서.json</t>
        </is>
      </c>
      <c r="C94" s="4" t="inlineStr">
        <is>
          <t>3~5</t>
        </is>
      </c>
      <c r="D94" s="4" t="inlineStr">
        <is>
          <t>실적 개요 · 주요 납품 실적</t>
        </is>
      </c>
      <c r="E94" s="4" t="inlineStr">
        <is>
          <t>실무 사실 필요</t>
        </is>
      </c>
      <c r="F94" s="4" t="inlineStr">
        <is>
          <t>5성급 52개 호텔 19,467실 · 1,000+ 프로젝트 · 전담 인력 55명</t>
        </is>
      </c>
      <c r="G94" s="4" t="inlineStr">
        <is>
          <t>제출 전 최신 수치 맞나? (맞음 / 수정값)</t>
        </is>
      </c>
      <c r="H94" s="5" t="inlineStr"/>
    </row>
    <row r="95">
      <c r="A95" s="4" t="n">
        <v>94</v>
      </c>
      <c r="B95" s="4" t="inlineStr">
        <is>
          <t>00_종합_5성급_객실관리제안서.json</t>
        </is>
      </c>
      <c r="C95" s="4" t="inlineStr">
        <is>
          <t>8</t>
        </is>
      </c>
      <c r="D95" s="4" t="inlineStr">
        <is>
          <t>고객 동선별 시스템 동작</t>
        </is>
      </c>
      <c r="E95" s="4" t="inlineStr">
        <is>
          <t>구성 확인</t>
        </is>
      </c>
      <c r="F95" s="4" t="inlineStr">
        <is>
          <t>PMS 연동 표(월4)를 씀</t>
        </is>
      </c>
      <c r="G95" s="4" t="inlineStr">
        <is>
          <t>PMS 연동이 없는 현장은 연동 칸 없는 표(월1)로 바꿀까? (바꿈 / 그대로)</t>
        </is>
      </c>
      <c r="H95" s="5" t="inlineStr"/>
    </row>
    <row r="96">
      <c r="A96" s="4" t="n">
        <v>95</v>
      </c>
      <c r="B96" s="4" t="inlineStr">
        <is>
          <t>00_종합_5성급_객실관리제안서.json</t>
        </is>
      </c>
      <c r="C96" s="4" t="inlineStr">
        <is>
          <t>전체</t>
        </is>
      </c>
      <c r="D96" s="4" t="inlineStr">
        <is>
          <t>-</t>
        </is>
      </c>
      <c r="E96" s="4" t="inlineStr">
        <is>
          <t>구성 확인</t>
        </is>
      </c>
      <c r="F96" s="4" t="inlineStr">
        <is>
          <t>32장 · 7묶음 (실적 · 개요 · 객실 구성 · 제품 · 연동 · 운영 · 공사/인계)</t>
        </is>
      </c>
      <c r="G96" s="4" t="inlineStr">
        <is>
          <t>회사 원본 pptx(회사 소개 등)를 앞에 붙일까? 붙이면 PC 1번 메뉴에서 원본 번호만 고르면 됨</t>
        </is>
      </c>
      <c r="H96" s="5" t="inlineStr"/>
    </row>
    <row r="97">
      <c r="A97" s="4" t="n">
        <v>96</v>
      </c>
      <c r="B97" s="4" t="inlineStr">
        <is>
          <t>화1_1-3성급_객실배치.json</t>
        </is>
      </c>
      <c r="C97" s="4" t="inlineStr">
        <is>
          <t>2</t>
        </is>
      </c>
      <c r="D97" s="4" t="inlineStr">
        <is>
          <t>1~3성급 구성</t>
        </is>
      </c>
      <c r="E97" s="4" t="inlineStr">
        <is>
          <t>실무 사실 필요</t>
        </is>
      </c>
      <c r="F97" s="4" t="inlineStr">
        <is>
          <t>카드 한 장으로 전원·냉난방 제어까지 객실관리 범위, 그 밖은 전기공사 범위로 공사비 절감.</t>
        </is>
      </c>
      <c r="G97" s="4" t="inlineStr">
        <is>
          <t>1~3성급 구성이 4~5성급 대비 객실당 공사비가 얼마나 줄어드는지 이 장에 넣을까? (넣음+대략 차이 / 안 넣음)</t>
        </is>
      </c>
      <c r="H97" s="5" t="inlineStr"/>
    </row>
    <row r="98">
      <c r="A98" s="4" t="n">
        <v>97</v>
      </c>
      <c r="B98" s="4" t="inlineStr">
        <is>
          <t>화1_1-3성급_객실배치.json</t>
        </is>
      </c>
      <c r="C98" s="4" t="inlineStr">
        <is>
          <t>3</t>
        </is>
      </c>
      <c r="D98" s="4" t="inlineStr">
        <is>
          <t>위치별 기구물</t>
        </is>
      </c>
      <c r="E98" s="4" t="inlineStr">
        <is>
          <t>실무 사실 필요</t>
        </is>
      </c>
      <c r="F98" s="4" t="inlineStr">
        <is>
          <t>(책상 줄 없음) — 화5 범례에는 1~3성급 책상 = 멀티아울렛 (책상이 있을 때)</t>
        </is>
      </c>
      <c r="G98" s="4" t="inlineStr">
        <is>
          <t>1~3성급 표에도 책상 멀티아울렛 줄을 넣어야 하나? (넣음/안 넣음)</t>
        </is>
      </c>
      <c r="H98" s="5" t="inlineStr"/>
    </row>
    <row r="99">
      <c r="A99" s="4" t="n">
        <v>98</v>
      </c>
      <c r="B99" s="4" t="inlineStr">
        <is>
          <t>화1_1-3성급_객실배치.json</t>
        </is>
      </c>
      <c r="C99" s="4" t="inlineStr">
        <is>
          <t>3</t>
        </is>
      </c>
      <c r="D99" s="4" t="inlineStr">
        <is>
          <t>위치별 기구물</t>
        </is>
      </c>
      <c r="E99" s="4" t="inlineStr">
        <is>
          <t>실무 사실 필요</t>
        </is>
      </c>
      <c r="F99" s="4" t="inlineStr">
        <is>
          <t>베란다 : 침대 스위치에서 제어 / 별도 스위치 없음</t>
        </is>
      </c>
      <c r="G99" s="4" t="inlineStr">
        <is>
          <t>1~3성급 베란다는 문 옆 L 없이 침대 스위치 제어가 맞나? (맞음/문 옆 L 별도)</t>
        </is>
      </c>
      <c r="H99" s="5" t="inlineStr"/>
    </row>
    <row r="100">
      <c r="A100" s="4" t="n">
        <v>99</v>
      </c>
      <c r="B100" s="4" t="inlineStr">
        <is>
          <t>화2_4-5성급_객실배치.json</t>
        </is>
      </c>
      <c r="C100" s="4" t="inlineStr">
        <is>
          <t>2</t>
        </is>
      </c>
      <c r="D100" s="4" t="inlineStr">
        <is>
          <t>4~5성급 구성</t>
        </is>
      </c>
      <c r="E100" s="4" t="inlineStr">
        <is>
          <t>실무 사실 필요</t>
        </is>
      </c>
      <c r="F100" s="4" t="inlineStr">
        <is>
          <t>문 입구 K + DM (리조트 언급 없음)</t>
        </is>
      </c>
      <c r="G100" s="4" t="inlineStr">
        <is>
          <t>4~5성급이라도 리조트면 DM 제외 문구를 이 장·표에 넣을까? (넣음/안 넣음)</t>
        </is>
      </c>
      <c r="H100" s="5" t="inlineStr"/>
    </row>
    <row r="101">
      <c r="A101" s="4" t="n">
        <v>100</v>
      </c>
      <c r="B101" s="4" t="inlineStr">
        <is>
          <t>화2_4-5성급_객실배치.json</t>
        </is>
      </c>
      <c r="C101" s="4" t="inlineStr">
        <is>
          <t>4</t>
        </is>
      </c>
      <c r="D101" s="4" t="inlineStr">
        <is>
          <t>마감·디자인</t>
        </is>
      </c>
      <c r="E101" s="4" t="inlineStr">
        <is>
          <t>용어 확인</t>
        </is>
      </c>
      <c r="F101" s="4" t="inlineStr">
        <is>
          <t>프레임 1~4구 조합, 호텔별 요청사항 맞춤 제작</t>
        </is>
      </c>
      <c r="G101" s="4" t="inlineStr">
        <is>
          <t>「1~4구」는 프레임 크기 표기라 그대로 둬도 되나? 조명 스위치는 L 로만 쓰는 규칙과 충돌 없나? (유지/삭제)</t>
        </is>
      </c>
      <c r="H101" s="5" t="inlineStr"/>
    </row>
    <row r="102">
      <c r="A102" s="4" t="n">
        <v>101</v>
      </c>
      <c r="B102" s="4" t="inlineStr">
        <is>
          <t>화2_4-5성급_객실배치.json</t>
        </is>
      </c>
      <c r="C102" s="4" t="inlineStr">
        <is>
          <t>4</t>
        </is>
      </c>
      <c r="D102" s="4" t="inlineStr">
        <is>
          <t>마감·디자인</t>
        </is>
      </c>
      <c r="E102" s="4" t="inlineStr">
        <is>
          <t>실무 사실 필요</t>
        </is>
      </c>
      <c r="F102" s="4" t="inlineStr">
        <is>
          <t>마감 재질·색상 : 인테리어 도면 확정 후 샘플 승인 (원문 「~승인받는 것이 안전합니다」)</t>
        </is>
      </c>
      <c r="G102" s="4" t="inlineStr">
        <is>
          <t>샘플 승인~제작까지 보통 몇 주 걸리는지 넣을까? (주 수 / 안 넣음)</t>
        </is>
      </c>
      <c r="H102" s="5" t="inlineStr"/>
    </row>
    <row r="103">
      <c r="A103" s="4" t="n">
        <v>102</v>
      </c>
      <c r="B103" s="4" t="inlineStr">
        <is>
          <t>화3_스위트거실형_객실배치.json</t>
        </is>
      </c>
      <c r="C103" s="4" t="inlineStr">
        <is>
          <t>2</t>
        </is>
      </c>
      <c r="D103" s="4" t="inlineStr">
        <is>
          <t>스위트 구성</t>
        </is>
      </c>
      <c r="E103" s="4" t="inlineStr">
        <is>
          <t>뺀 추론</t>
        </is>
      </c>
      <c r="F103" s="4" t="inlineStr">
        <is>
          <t>책상 멀티아울렛 설명 「업무 이용이 많은 객실.」</t>
        </is>
      </c>
      <c r="G103" s="4" t="inlineStr">
        <is>
          <t>스위트 책상 설명에 「업무 이용이 많은 객실」 문구가 필요한가? (필요/삭제 유지)</t>
        </is>
      </c>
      <c r="H103" s="5" t="inlineStr"/>
    </row>
    <row r="104">
      <c r="A104" s="4" t="n">
        <v>103</v>
      </c>
      <c r="B104" s="4" t="inlineStr">
        <is>
          <t>화3_스위트거실형_객실배치.json</t>
        </is>
      </c>
      <c r="C104" s="4" t="inlineStr">
        <is>
          <t>2</t>
        </is>
      </c>
      <c r="D104" s="4" t="inlineStr">
        <is>
          <t>스위트 구성</t>
        </is>
      </c>
      <c r="E104" s="4" t="inlineStr">
        <is>
          <t>실무 사실 필요</t>
        </is>
      </c>
      <c r="F104" s="4" t="inlineStr">
        <is>
          <t>침대마다 BSP / 침실이 둘이면 둘 (표 : 침대당 1, 비교 : 침실마다 BSP)</t>
        </is>
      </c>
      <c r="G104" s="4" t="inlineStr">
        <is>
          <t>스위트 BSP 수량 기준은 침대당인가 침실당인가? (침대당/침실당)</t>
        </is>
      </c>
      <c r="H104" s="5" t="inlineStr"/>
    </row>
    <row r="105">
      <c r="A105" s="4" t="n">
        <v>104</v>
      </c>
      <c r="B105" s="4" t="inlineStr">
        <is>
          <t>화3_스위트거실형_객실배치.json</t>
        </is>
      </c>
      <c r="C105" s="4" t="inlineStr">
        <is>
          <t>4</t>
        </is>
      </c>
      <c r="D105" s="4" t="inlineStr">
        <is>
          <t>일반 객실 비교</t>
        </is>
      </c>
      <c r="E105" s="4" t="inlineStr">
        <is>
          <t>실무 사실 필요</t>
        </is>
      </c>
      <c r="F105" s="4" t="inlineStr">
        <is>
          <t>기구물 5~7개 / 기구물 10개 이상도 있음</t>
        </is>
      </c>
      <c r="G105" s="4" t="inlineStr">
        <is>
          <t>일반 객실 5~7개, 스위트 10개 이상 숫자가 실제 현장 기준과 맞나? (맞음/고칠 값)</t>
        </is>
      </c>
      <c r="H105" s="5" t="inlineStr"/>
    </row>
    <row r="106">
      <c r="A106" s="4" t="n">
        <v>105</v>
      </c>
      <c r="B106" s="4" t="inlineStr">
        <is>
          <t>화4_주거약자실_객실배치.json</t>
        </is>
      </c>
      <c r="C106" s="4" t="inlineStr">
        <is>
          <t>2</t>
        </is>
      </c>
      <c r="D106" s="4" t="inlineStr">
        <is>
          <t>일반실과 차이</t>
        </is>
      </c>
      <c r="E106" s="4" t="inlineStr">
        <is>
          <t>뺀 추론</t>
        </is>
      </c>
      <c r="F106" s="4" t="inlineStr">
        <is>
          <t>빠지면 준공 검사에서 걸립니다.</t>
        </is>
      </c>
      <c r="G106" s="4" t="inlineStr">
        <is>
          <t>비상호출·방문자 알림램프 누락 시 준공 검사 지적 대상이라고 적어도 되나? (예/아니오)</t>
        </is>
      </c>
      <c r="H106" s="5" t="inlineStr"/>
    </row>
    <row r="107">
      <c r="A107" s="4" t="n">
        <v>106</v>
      </c>
      <c r="B107" s="4" t="inlineStr">
        <is>
          <t>화4_주거약자실_객실배치.json</t>
        </is>
      </c>
      <c r="C107" s="4" t="inlineStr">
        <is>
          <t>2</t>
        </is>
      </c>
      <c r="D107" s="4" t="inlineStr">
        <is>
          <t>일반실과 차이</t>
        </is>
      </c>
      <c r="E107" s="4" t="inlineStr">
        <is>
          <t>용어 확인</t>
        </is>
      </c>
      <c r="F107" s="4" t="inlineStr">
        <is>
          <t>문서 표기는 「주거약자실」로 통일합니다. 「장애인실」은 쓰지 않습니다. → 표기 : 「주거약자실」로 통일</t>
        </is>
      </c>
      <c r="G107" s="4" t="inlineStr">
        <is>
          <t>이 용어 안내 띠를 대외 문서에 남길까? (남김/삭제)</t>
        </is>
      </c>
      <c r="H107" s="5" t="inlineStr"/>
    </row>
    <row r="108">
      <c r="A108" s="4" t="n">
        <v>107</v>
      </c>
      <c r="B108" s="4" t="inlineStr">
        <is>
          <t>화4_주거약자실_객실배치.json</t>
        </is>
      </c>
      <c r="C108" s="4" t="inlineStr">
        <is>
          <t>3</t>
        </is>
      </c>
      <c r="D108" s="4" t="inlineStr">
        <is>
          <t>주거약자실 기구물</t>
        </is>
      </c>
      <c r="E108" s="4" t="inlineStr">
        <is>
          <t>실무 사실 필요</t>
        </is>
      </c>
      <c r="F108" s="4" t="inlineStr">
        <is>
          <t>조작부 높이 낮춤 (값 없음)</t>
        </is>
      </c>
      <c r="G108" s="4" t="inlineStr">
        <is>
          <t>주거약자실 조작부 설치높이 기준값(mm)을 표에 넣을까? (값/현장별로 둠)</t>
        </is>
      </c>
      <c r="H108" s="5" t="inlineStr"/>
    </row>
    <row r="109">
      <c r="A109" s="4" t="n">
        <v>108</v>
      </c>
      <c r="B109" s="4" t="inlineStr">
        <is>
          <t>화4_주거약자실_객실배치.json</t>
        </is>
      </c>
      <c r="C109" s="4" t="inlineStr">
        <is>
          <t>3</t>
        </is>
      </c>
      <c r="D109" s="4" t="inlineStr">
        <is>
          <t>주거약자실 기구물</t>
        </is>
      </c>
      <c r="E109" s="4" t="inlineStr">
        <is>
          <t>실무 사실 필요</t>
        </is>
      </c>
      <c r="F109" s="4" t="inlineStr">
        <is>
          <t>관리실 : 호출 수신 표시 / 비상호출과 연동</t>
        </is>
      </c>
      <c r="G109" s="4" t="inlineStr">
        <is>
          <t>관리실 호출 수신은 어떤 기기로 표시하나? (FIP/운영 PC/별도 수신반)</t>
        </is>
      </c>
      <c r="H109" s="5" t="inlineStr"/>
    </row>
    <row r="110">
      <c r="A110" s="4" t="n">
        <v>109</v>
      </c>
      <c r="B110" s="4" t="inlineStr">
        <is>
          <t>화4_주거약자실_객실배치.json</t>
        </is>
      </c>
      <c r="C110" s="4" t="inlineStr">
        <is>
          <t>4</t>
        </is>
      </c>
      <c r="D110" s="4" t="inlineStr">
        <is>
          <t>누락 주의</t>
        </is>
      </c>
      <c r="E110" s="4" t="inlineStr">
        <is>
          <t>실무 사실 필요</t>
        </is>
      </c>
      <c r="F110" s="4" t="inlineStr">
        <is>
          <t>주거약자실은 수량이 적어 설계·시공에서 누락 주의</t>
        </is>
      </c>
      <c r="G110" s="4" t="inlineStr">
        <is>
          <t>실제로 주거약자실 비상호출이 빠져 뒤늦게 추가한 현장 사례가 있나? (있음+현장명/없음)</t>
        </is>
      </c>
      <c r="H110" s="5" t="inlineStr"/>
    </row>
    <row r="111">
      <c r="A111" s="4" t="n">
        <v>110</v>
      </c>
      <c r="B111" s="4" t="inlineStr">
        <is>
          <t>화5_평면_기구물마킹.json</t>
        </is>
      </c>
      <c r="C111" s="4" t="inlineStr">
        <is>
          <t>2</t>
        </is>
      </c>
      <c r="D111" s="4" t="inlineStr">
        <is>
          <t>4~5성급 기구물 위치</t>
        </is>
      </c>
      <c r="E111" s="4" t="inlineStr">
        <is>
          <t>용어 확인</t>
        </is>
      </c>
      <c r="F111" s="4" t="inlineStr">
        <is>
          <t>eyebrow 「개념도 (실제 치수 아님)」 → 「개념도」 (치수 안내는 6장 note 로 옮김)</t>
        </is>
      </c>
      <c r="G111" s="4" t="inlineStr">
        <is>
          <t>개념도 장마다 「실제 치수 아님」을 다시 보여야 하나? (필요/6장 note 로 충분)</t>
        </is>
      </c>
      <c r="H111" s="5" t="inlineStr"/>
    </row>
    <row r="112">
      <c r="A112" s="4" t="n">
        <v>111</v>
      </c>
      <c r="B112" s="4" t="inlineStr">
        <is>
          <t>화5_평면_기구물마킹.json</t>
        </is>
      </c>
      <c r="C112" s="4" t="inlineStr">
        <is>
          <t>6</t>
        </is>
      </c>
      <c r="D112" s="4" t="inlineStr">
        <is>
          <t>기호 · 성급별 차이</t>
        </is>
      </c>
      <c r="E112" s="4" t="inlineStr">
        <is>
          <t>실무 사실 필요</t>
        </is>
      </c>
      <c r="F112" s="4" t="inlineStr">
        <is>
          <t>② KEY SENSOR (+ DM) : 4~5성급 K + DM / 1~3성급 K 만 (리조트도 DM 제외)</t>
        </is>
      </c>
      <c r="G112" s="4" t="inlineStr">
        <is>
          <t>4~5성급 칸에도 「리조트 DM 제외」를 표시해야 하나? (표시/지금대로)</t>
        </is>
      </c>
      <c r="H1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36" customWidth="1" min="3" max="3"/>
    <col width="30" customWidth="1" min="4" max="4"/>
  </cols>
  <sheetData>
    <row r="1">
      <c r="A1" s="3" t="inlineStr">
        <is>
          <t>파일</t>
        </is>
      </c>
      <c r="B1" s="3" t="inlineStr">
        <is>
          <t>장</t>
        </is>
      </c>
      <c r="C1" s="3" t="inlineStr">
        <is>
          <t>전 제목</t>
        </is>
      </c>
      <c r="D1" s="3" t="inlineStr">
        <is>
          <t>후 제목</t>
        </is>
      </c>
    </row>
    <row r="2">
      <c r="A2" s="4" t="inlineStr">
        <is>
          <t>금1_납품레퍼런스.json</t>
        </is>
      </c>
      <c r="B2" s="4" t="inlineStr">
        <is>
          <t>2</t>
        </is>
      </c>
      <c r="C2" s="4" t="inlineStr">
        <is>
          <t>숫자로 보는 실적</t>
        </is>
      </c>
      <c r="D2" s="4" t="inlineStr">
        <is>
          <t>실적 개요</t>
        </is>
      </c>
    </row>
    <row r="3">
      <c r="A3" s="4" t="inlineStr">
        <is>
          <t>금1_납품레퍼런스.json</t>
        </is>
      </c>
      <c r="B3" s="4" t="inlineStr">
        <is>
          <t>6</t>
        </is>
      </c>
      <c r="C3" s="4" t="inlineStr">
        <is>
          <t>요청드리는 사항</t>
        </is>
      </c>
      <c r="D3" s="4" t="inlineStr">
        <is>
          <t>요청 사항</t>
        </is>
      </c>
    </row>
    <row r="4">
      <c r="A4" s="4" t="inlineStr">
        <is>
          <t>금2_경쟁사비교_루트론.json</t>
        </is>
      </c>
      <c r="B4" s="4" t="inlineStr">
        <is>
          <t>1</t>
        </is>
      </c>
      <c r="C4" s="4" t="inlineStr">
        <is>
          <t>외산 객실관리 시스템과의 비교</t>
        </is>
      </c>
      <c r="D4" s="4" t="inlineStr">
        <is>
          <t>외산 시스템 비교</t>
        </is>
      </c>
    </row>
    <row r="5">
      <c r="A5" s="4" t="inlineStr">
        <is>
          <t>금3_CB외함_매입vs노출.json</t>
        </is>
      </c>
      <c r="B5" s="4" t="inlineStr">
        <is>
          <t>4</t>
        </is>
      </c>
      <c r="C5" s="4" t="inlineStr">
        <is>
          <t>외함은 한 덩어리가 아니라 세트입니다</t>
        </is>
      </c>
      <c r="D5" s="4" t="inlineStr">
        <is>
          <t>외함 세트 구성</t>
        </is>
      </c>
    </row>
    <row r="6">
      <c r="A6" s="4" t="inlineStr">
        <is>
          <t>금3_CB외함_매입vs노출.json</t>
        </is>
      </c>
      <c r="B6" s="4" t="inlineStr">
        <is>
          <t>5</t>
        </is>
      </c>
      <c r="C6" s="4" t="inlineStr">
        <is>
          <t>현장 공법이 시점을 정합니다</t>
        </is>
      </c>
      <c r="D6" s="4" t="inlineStr">
        <is>
          <t>공법별 설치 시점</t>
        </is>
      </c>
    </row>
    <row r="7">
      <c r="A7" s="4" t="inlineStr">
        <is>
          <t>금3_CB외함_매입vs노출.json</t>
        </is>
      </c>
      <c r="B7" s="4" t="inlineStr">
        <is>
          <t>6</t>
        </is>
      </c>
      <c r="C7" s="4" t="inlineStr">
        <is>
          <t>결정 전에 확인할 것</t>
        </is>
      </c>
      <c r="D7" s="4" t="inlineStr">
        <is>
          <t>결정 전 확인 사항</t>
        </is>
      </c>
    </row>
    <row r="8">
      <c r="A8" s="4" t="inlineStr">
        <is>
          <t>금3_CB외함_매입vs노출.json</t>
        </is>
      </c>
      <c r="B8" s="4" t="inlineStr">
        <is>
          <t>7</t>
        </is>
      </c>
      <c r="C8" s="4" t="inlineStr">
        <is>
          <t>요청드리는 사항</t>
        </is>
      </c>
      <c r="D8" s="4" t="inlineStr">
        <is>
          <t>요청 사항</t>
        </is>
      </c>
    </row>
    <row r="9">
      <c r="A9" s="4" t="inlineStr">
        <is>
          <t>금4_파트너공동제안_도어락.json</t>
        </is>
      </c>
      <c r="B9" s="4" t="inlineStr">
        <is>
          <t>3</t>
        </is>
      </c>
      <c r="C9" s="4" t="inlineStr">
        <is>
          <t>왜 함께 제안하는가</t>
        </is>
      </c>
      <c r="D9" s="4" t="inlineStr">
        <is>
          <t>통합 제안 배경</t>
        </is>
      </c>
    </row>
    <row r="10">
      <c r="A10" s="4" t="inlineStr">
        <is>
          <t>금4_파트너공동제안_도어락.json</t>
        </is>
      </c>
      <c r="B10" s="4" t="inlineStr">
        <is>
          <t>7</t>
        </is>
      </c>
      <c r="C10" s="4" t="inlineStr">
        <is>
          <t>발주 방식 두 가지</t>
        </is>
      </c>
      <c r="D10" s="4" t="inlineStr">
        <is>
          <t>발주 방식 비교</t>
        </is>
      </c>
    </row>
    <row r="11">
      <c r="A11" s="4" t="inlineStr">
        <is>
          <t>금4_파트너공동제안_도어락.json</t>
        </is>
      </c>
      <c r="B11" s="4" t="inlineStr">
        <is>
          <t>8</t>
        </is>
      </c>
      <c r="C11" s="4" t="inlineStr">
        <is>
          <t>어느 쪽을 고르셔도 당사가 하는 것</t>
        </is>
      </c>
      <c r="D11" s="4" t="inlineStr">
        <is>
          <t>당사 공통 업무</t>
        </is>
      </c>
    </row>
    <row r="12">
      <c r="A12" s="4" t="inlineStr">
        <is>
          <t>금4_파트너공동제안_도어락.json</t>
        </is>
      </c>
      <c r="B12" s="4" t="inlineStr">
        <is>
          <t>9</t>
        </is>
      </c>
      <c r="C12" s="4" t="inlineStr">
        <is>
          <t>요청드리는 사항</t>
        </is>
      </c>
      <c r="D12" s="4" t="inlineStr">
        <is>
          <t>요청 사항</t>
        </is>
      </c>
    </row>
    <row r="13">
      <c r="A13" s="4" t="inlineStr">
        <is>
          <t>금5_질의답변서_착공전협의.json</t>
        </is>
      </c>
      <c r="B13" s="4" t="inlineStr">
        <is>
          <t>5</t>
        </is>
      </c>
      <c r="C13" s="4" t="inlineStr">
        <is>
          <t>요청드리는 사항</t>
        </is>
      </c>
      <c r="D13" s="4" t="inlineStr">
        <is>
          <t>요청 사항</t>
        </is>
      </c>
    </row>
    <row r="14">
      <c r="A14" s="4" t="inlineStr">
        <is>
          <t>목1_2000M_디자인카탈로그.json</t>
        </is>
      </c>
      <c r="B14" s="4" t="inlineStr">
        <is>
          <t>2</t>
        </is>
      </c>
      <c r="C14" s="4" t="inlineStr">
        <is>
          <t>디자인의 기준</t>
        </is>
      </c>
      <c r="D14" s="4" t="inlineStr">
        <is>
          <t>디자인 기준</t>
        </is>
      </c>
    </row>
    <row r="15">
      <c r="A15" s="4" t="inlineStr">
        <is>
          <t>목1_2000M_디자인카탈로그.json</t>
        </is>
      </c>
      <c r="B15" s="4" t="inlineStr">
        <is>
          <t>5</t>
        </is>
      </c>
      <c r="C15" s="4" t="inlineStr">
        <is>
          <t>요청드리는 사항</t>
        </is>
      </c>
      <c r="D15" s="4" t="inlineStr">
        <is>
          <t>요청 사항</t>
        </is>
      </c>
    </row>
    <row r="16">
      <c r="A16" s="4" t="inlineStr">
        <is>
          <t>목4_타사배선기구_결합구분표.json</t>
        </is>
      </c>
      <c r="B16" s="4" t="inlineStr">
        <is>
          <t>1</t>
        </is>
      </c>
      <c r="C16" s="4" t="inlineStr">
        <is>
          <t>타사 배선기구를 함께 쓸 때 누가 무엇을 하는가</t>
        </is>
      </c>
      <c r="D16" s="4" t="inlineStr">
        <is>
          <t>타사 배선기구 공급 · 설치 구분</t>
        </is>
      </c>
    </row>
    <row r="17">
      <c r="A17" s="4" t="inlineStr">
        <is>
          <t>목5_에어컨EHP_연동설명.json</t>
        </is>
      </c>
      <c r="B17" s="4" t="inlineStr">
        <is>
          <t>2</t>
        </is>
      </c>
      <c r="C17" s="4" t="inlineStr">
        <is>
          <t>반드시 지켜야 하는 조건</t>
        </is>
      </c>
      <c r="D17" s="4" t="inlineStr">
        <is>
          <t>필수 조건</t>
        </is>
      </c>
    </row>
    <row r="18">
      <c r="A18" s="4" t="inlineStr">
        <is>
          <t>목6_바닥난방_연동설명.json</t>
        </is>
      </c>
      <c r="B18" s="4" t="inlineStr">
        <is>
          <t>2</t>
        </is>
      </c>
      <c r="C18" s="4" t="inlineStr">
        <is>
          <t>반드시 지켜야 하는 조건</t>
        </is>
      </c>
      <c r="D18" s="4" t="inlineStr">
        <is>
          <t>필수 조건</t>
        </is>
      </c>
    </row>
    <row r="19">
      <c r="A19" s="4" t="inlineStr">
        <is>
          <t>수1_FIP_사용매뉴얼.json</t>
        </is>
      </c>
      <c r="B19" s="4" t="inlineStr">
        <is>
          <t>2</t>
        </is>
      </c>
      <c r="C19" s="4" t="inlineStr">
        <is>
          <t>이 매뉴얼의 차례</t>
        </is>
      </c>
      <c r="D19" s="4" t="inlineStr">
        <is>
          <t>목차</t>
        </is>
      </c>
    </row>
    <row r="20">
      <c r="A20" s="4" t="inlineStr">
        <is>
          <t>수1_FIP_사용매뉴얼.json</t>
        </is>
      </c>
      <c r="B20" s="4" t="inlineStr">
        <is>
          <t>3</t>
        </is>
      </c>
      <c r="C20" s="4" t="inlineStr">
        <is>
          <t>FIP가 무엇인가</t>
        </is>
      </c>
      <c r="D20" s="4" t="inlineStr">
        <is>
          <t>FIP 개요</t>
        </is>
      </c>
    </row>
    <row r="21">
      <c r="A21" s="4" t="inlineStr">
        <is>
          <t>수1_FIP_사용매뉴얼.json</t>
        </is>
      </c>
      <c r="B21" s="4" t="inlineStr">
        <is>
          <t>4</t>
        </is>
      </c>
      <c r="C21" s="4" t="inlineStr">
        <is>
          <t>화면에 나오는 객실 상태</t>
        </is>
      </c>
      <c r="D21" s="4" t="inlineStr">
        <is>
          <t>객실 상태</t>
        </is>
      </c>
    </row>
    <row r="22">
      <c r="A22" s="4" t="inlineStr">
        <is>
          <t>수1_FIP_사용매뉴얼.json</t>
        </is>
      </c>
      <c r="B22" s="4" t="inlineStr">
        <is>
          <t>6</t>
        </is>
      </c>
      <c r="C22" s="4" t="inlineStr">
        <is>
          <t>이럴 때는 이렇게</t>
        </is>
      </c>
      <c r="D22" s="4" t="inlineStr">
        <is>
          <t>문제 해결</t>
        </is>
      </c>
    </row>
    <row r="23">
      <c r="A23" s="4" t="inlineStr">
        <is>
          <t>수1_FIP_사용매뉴얼.json</t>
        </is>
      </c>
      <c r="B23" s="4" t="inlineStr">
        <is>
          <t>7</t>
        </is>
      </c>
      <c r="C23" s="4" t="inlineStr">
        <is>
          <t>인계 전에 확인해 주실 것</t>
        </is>
      </c>
      <c r="D23" s="4" t="inlineStr">
        <is>
          <t>인계 전 확인 사항</t>
        </is>
      </c>
    </row>
    <row r="24">
      <c r="A24" s="4" t="inlineStr">
        <is>
          <t>수2_방재실_운영PC매뉴얼.json</t>
        </is>
      </c>
      <c r="B24" s="4" t="inlineStr">
        <is>
          <t>2</t>
        </is>
      </c>
      <c r="C24" s="4" t="inlineStr">
        <is>
          <t>이 매뉴얼의 차례</t>
        </is>
      </c>
      <c r="D24" s="4" t="inlineStr">
        <is>
          <t>목차</t>
        </is>
      </c>
    </row>
    <row r="25">
      <c r="A25" s="4" t="inlineStr">
        <is>
          <t>수2_방재실_운영PC매뉴얼.json</t>
        </is>
      </c>
      <c r="B25" s="4" t="inlineStr">
        <is>
          <t>4</t>
        </is>
      </c>
      <c r="C25" s="4" t="inlineStr">
        <is>
          <t>매일 하는 일</t>
        </is>
      </c>
      <c r="D25" s="4" t="inlineStr">
        <is>
          <t>일일 운영</t>
        </is>
      </c>
    </row>
    <row r="26">
      <c r="A26" s="4" t="inlineStr">
        <is>
          <t>수2_방재실_운영PC매뉴얼.json</t>
        </is>
      </c>
      <c r="B26" s="4" t="inlineStr">
        <is>
          <t>5</t>
        </is>
      </c>
      <c r="C26" s="4" t="inlineStr">
        <is>
          <t>알람이 떴을 때</t>
        </is>
      </c>
      <c r="D26" s="4" t="inlineStr">
        <is>
          <t>알람 대처</t>
        </is>
      </c>
    </row>
    <row r="27">
      <c r="A27" s="4" t="inlineStr">
        <is>
          <t>수2_방재실_운영PC매뉴얼.json</t>
        </is>
      </c>
      <c r="B27" s="4" t="inlineStr">
        <is>
          <t>6</t>
        </is>
      </c>
      <c r="C27" s="4" t="inlineStr">
        <is>
          <t>온도 설정 바꾸기</t>
        </is>
      </c>
      <c r="D27" s="4" t="inlineStr">
        <is>
          <t>온도 설정</t>
        </is>
      </c>
    </row>
    <row r="28">
      <c r="A28" s="4" t="inlineStr">
        <is>
          <t>수2_방재실_운영PC매뉴얼.json</t>
        </is>
      </c>
      <c r="B28" s="4" t="inlineStr">
        <is>
          <t>7</t>
        </is>
      </c>
      <c r="C28" s="4" t="inlineStr">
        <is>
          <t>인계 전에 확인해 주실 것</t>
        </is>
      </c>
      <c r="D28" s="4" t="inlineStr">
        <is>
          <t>인계 전 확인 사항</t>
        </is>
      </c>
    </row>
    <row r="29">
      <c r="A29" s="4" t="inlineStr">
        <is>
          <t>수3_객실넘버링_운영계획.json</t>
        </is>
      </c>
      <c r="B29" s="4" t="inlineStr">
        <is>
          <t>2</t>
        </is>
      </c>
      <c r="C29" s="4" t="inlineStr">
        <is>
          <t>왜 이것을 먼저 정해야 하는가</t>
        </is>
      </c>
      <c r="D29" s="4" t="inlineStr">
        <is>
          <t>번호 우선 확정</t>
        </is>
      </c>
    </row>
    <row r="30">
      <c r="A30" s="4" t="inlineStr">
        <is>
          <t>수3_객실넘버링_운영계획.json</t>
        </is>
      </c>
      <c r="B30" s="4" t="inlineStr">
        <is>
          <t>3</t>
        </is>
      </c>
      <c r="C30" s="4" t="inlineStr">
        <is>
          <t>정해야 하는 것</t>
        </is>
      </c>
      <c r="D30" s="4" t="inlineStr">
        <is>
          <t>확정 항목</t>
        </is>
      </c>
    </row>
    <row r="31">
      <c r="A31" s="4" t="inlineStr">
        <is>
          <t>수3_객실넘버링_운영계획.json</t>
        </is>
      </c>
      <c r="B31" s="4" t="inlineStr">
        <is>
          <t>5</t>
        </is>
      </c>
      <c r="C31" s="4" t="inlineStr">
        <is>
          <t>요청드리는 사항</t>
        </is>
      </c>
      <c r="D31" s="4" t="inlineStr">
        <is>
          <t>요청 사항</t>
        </is>
      </c>
    </row>
    <row r="32">
      <c r="A32" s="4" t="inlineStr">
        <is>
          <t>수4_준공인계_매뉴얼.json</t>
        </is>
      </c>
      <c r="B32" s="4" t="inlineStr">
        <is>
          <t>4</t>
        </is>
      </c>
      <c r="C32" s="4" t="inlineStr">
        <is>
          <t>넘겨드리는 것</t>
        </is>
      </c>
      <c r="D32" s="4" t="inlineStr">
        <is>
          <t>인계 목록</t>
        </is>
      </c>
    </row>
    <row r="33">
      <c r="A33" s="4" t="inlineStr">
        <is>
          <t>수4_준공인계_매뉴얼.json</t>
        </is>
      </c>
      <c r="B33" s="4" t="inlineStr">
        <is>
          <t>7</t>
        </is>
      </c>
      <c r="C33" s="4" t="inlineStr">
        <is>
          <t>요청드리는 사항</t>
        </is>
      </c>
      <c r="D33" s="4" t="inlineStr">
        <is>
          <t>요청 사항</t>
        </is>
      </c>
    </row>
    <row r="34">
      <c r="A34" s="4" t="inlineStr">
        <is>
          <t>월1_4-5성급_운영시나리오.json</t>
        </is>
      </c>
      <c r="B34" s="4" t="inlineStr">
        <is>
          <t>2</t>
        </is>
      </c>
      <c r="C34" s="4" t="inlineStr">
        <is>
          <t>이 시스템이 하는 일</t>
        </is>
      </c>
      <c r="D34" s="4" t="inlineStr">
        <is>
          <t>시스템 기능</t>
        </is>
      </c>
    </row>
    <row r="35">
      <c r="A35" s="4" t="inlineStr">
        <is>
          <t>월1_4-5성급_운영시나리오.json</t>
        </is>
      </c>
      <c r="B35" s="4" t="inlineStr">
        <is>
          <t>3</t>
        </is>
      </c>
      <c r="C35" s="4" t="inlineStr">
        <is>
          <t>고객 동선 8단계 · 단계별 시스템 동작</t>
        </is>
      </c>
      <c r="D35" s="4" t="inlineStr">
        <is>
          <t>고객 동선별 시스템 동작</t>
        </is>
      </c>
    </row>
    <row r="36">
      <c r="A36" s="4" t="inlineStr">
        <is>
          <t>월1_4-5성급_운영시나리오.json</t>
        </is>
      </c>
      <c r="B36" s="4" t="inlineStr">
        <is>
          <t>4</t>
        </is>
      </c>
      <c r="C36" s="4" t="inlineStr">
        <is>
          <t>시스템 구성 · 어디까지가 누구 공사인가</t>
        </is>
      </c>
      <c r="D36" s="4" t="inlineStr">
        <is>
          <t>시스템 구성 · 공사 구분</t>
        </is>
      </c>
    </row>
    <row r="37">
      <c r="A37" s="4" t="inlineStr">
        <is>
          <t>월1_4-5성급_운영시나리오.json</t>
        </is>
      </c>
      <c r="B37" s="4" t="inlineStr">
        <is>
          <t>6</t>
        </is>
      </c>
      <c r="C37" s="4" t="inlineStr">
        <is>
          <t>객실 위치별 기구물 배치 (4~5성급 표준)</t>
        </is>
      </c>
      <c r="D37" s="4" t="inlineStr">
        <is>
          <t>위치별 기구물 배치</t>
        </is>
      </c>
    </row>
    <row r="38">
      <c r="A38" s="4" t="inlineStr">
        <is>
          <t>월1_4-5성급_운영시나리오.json</t>
        </is>
      </c>
      <c r="B38" s="4" t="inlineStr">
        <is>
          <t>7</t>
        </is>
      </c>
      <c r="C38" s="4" t="inlineStr">
        <is>
          <t>요청드리는 사항</t>
        </is>
      </c>
      <c r="D38" s="4" t="inlineStr">
        <is>
          <t>요청 사항</t>
        </is>
      </c>
    </row>
    <row r="39">
      <c r="A39" s="4" t="inlineStr">
        <is>
          <t>월2_리조트콘도_운영시나리오.json</t>
        </is>
      </c>
      <c r="B39" s="4" t="inlineStr">
        <is>
          <t>2</t>
        </is>
      </c>
      <c r="C39" s="4" t="inlineStr">
        <is>
          <t>호텔과 무엇이 다른가</t>
        </is>
      </c>
      <c r="D39" s="4" t="inlineStr">
        <is>
          <t>호텔과의 차이</t>
        </is>
      </c>
    </row>
    <row r="40">
      <c r="A40" s="4" t="inlineStr">
        <is>
          <t>월2_리조트콘도_운영시나리오.json</t>
        </is>
      </c>
      <c r="B40" s="4" t="inlineStr">
        <is>
          <t>3</t>
        </is>
      </c>
      <c r="C40" s="4" t="inlineStr">
        <is>
          <t>이용 동선 8단계 · 단계별 시스템 동작</t>
        </is>
      </c>
      <c r="D40" s="4" t="inlineStr">
        <is>
          <t>이용 동선별 시스템 동작</t>
        </is>
      </c>
    </row>
    <row r="41">
      <c r="A41" s="4" t="inlineStr">
        <is>
          <t>월2_리조트콘도_운영시나리오.json</t>
        </is>
      </c>
      <c r="B41" s="4" t="inlineStr">
        <is>
          <t>4</t>
        </is>
      </c>
      <c r="C41" s="4" t="inlineStr">
        <is>
          <t>시스템 구성 · 어디까지가 누구 공사인가</t>
        </is>
      </c>
      <c r="D41" s="4" t="inlineStr">
        <is>
          <t>시스템 구성 · 공사 구분</t>
        </is>
      </c>
    </row>
    <row r="42">
      <c r="A42" s="4" t="inlineStr">
        <is>
          <t>월2_리조트콘도_운영시나리오.json</t>
        </is>
      </c>
      <c r="B42" s="4" t="inlineStr">
        <is>
          <t>5</t>
        </is>
      </c>
      <c r="C42" s="4" t="inlineStr">
        <is>
          <t>주요 제품 구성 (리조트 기준)</t>
        </is>
      </c>
      <c r="D42" s="4" t="inlineStr">
        <is>
          <t>리조트 제품 구성</t>
        </is>
      </c>
    </row>
    <row r="43">
      <c r="A43" s="4" t="inlineStr">
        <is>
          <t>월2_리조트콘도_운영시나리오.json</t>
        </is>
      </c>
      <c r="B43" s="4" t="inlineStr">
        <is>
          <t>6</t>
        </is>
      </c>
      <c r="C43" s="4" t="inlineStr">
        <is>
          <t>운영 방식의 차이</t>
        </is>
      </c>
      <c r="D43" s="4" t="inlineStr">
        <is>
          <t>운영 방식 비교</t>
        </is>
      </c>
    </row>
    <row r="44">
      <c r="A44" s="4" t="inlineStr">
        <is>
          <t>월2_리조트콘도_운영시나리오.json</t>
        </is>
      </c>
      <c r="B44" s="4" t="inlineStr">
        <is>
          <t>7</t>
        </is>
      </c>
      <c r="C44" s="4" t="inlineStr">
        <is>
          <t>요청드리는 사항</t>
        </is>
      </c>
      <c r="D44" s="4" t="inlineStr">
        <is>
          <t>요청 사항</t>
        </is>
      </c>
    </row>
    <row r="45">
      <c r="A45" s="4" t="inlineStr">
        <is>
          <t>월3_기숙사연수원_운영시나리오.json</t>
        </is>
      </c>
      <c r="B45" s="4" t="inlineStr">
        <is>
          <t>2</t>
        </is>
      </c>
      <c r="C45" s="4" t="inlineStr">
        <is>
          <t>호텔과 무엇이 다른가</t>
        </is>
      </c>
      <c r="D45" s="4" t="inlineStr">
        <is>
          <t>호텔과의 차이</t>
        </is>
      </c>
    </row>
    <row r="46">
      <c r="A46" s="4" t="inlineStr">
        <is>
          <t>월3_기숙사연수원_운영시나리오.json</t>
        </is>
      </c>
      <c r="B46" s="4" t="inlineStr">
        <is>
          <t>3</t>
        </is>
      </c>
      <c r="C46" s="4" t="inlineStr">
        <is>
          <t>입소부터 퇴소까지 · 단계별 시스템 동작</t>
        </is>
      </c>
      <c r="D46" s="4" t="inlineStr">
        <is>
          <t>입소~퇴소 시스템 동작</t>
        </is>
      </c>
    </row>
    <row r="47">
      <c r="A47" s="4" t="inlineStr">
        <is>
          <t>월3_기숙사연수원_운영시나리오.json</t>
        </is>
      </c>
      <c r="B47" s="4" t="inlineStr">
        <is>
          <t>4</t>
        </is>
      </c>
      <c r="C47" s="4" t="inlineStr">
        <is>
          <t>시스템 구성 · 어디까지가 누구 공사인가</t>
        </is>
      </c>
      <c r="D47" s="4" t="inlineStr">
        <is>
          <t>시스템 구성 · 공사 구분</t>
        </is>
      </c>
    </row>
    <row r="48">
      <c r="A48" s="4" t="inlineStr">
        <is>
          <t>월3_기숙사연수원_운영시나리오.json</t>
        </is>
      </c>
      <c r="B48" s="4" t="inlineStr">
        <is>
          <t>5</t>
        </is>
      </c>
      <c r="C48" s="4" t="inlineStr">
        <is>
          <t>주요 제품 구성 (기숙사 기준)</t>
        </is>
      </c>
      <c r="D48" s="4" t="inlineStr">
        <is>
          <t>기숙사 제품 구성</t>
        </is>
      </c>
    </row>
    <row r="49">
      <c r="A49" s="4" t="inlineStr">
        <is>
          <t>월3_기숙사연수원_운영시나리오.json</t>
        </is>
      </c>
      <c r="B49" s="4" t="inlineStr">
        <is>
          <t>6</t>
        </is>
      </c>
      <c r="C49" s="4" t="inlineStr">
        <is>
          <t>운영 방식의 차이</t>
        </is>
      </c>
      <c r="D49" s="4" t="inlineStr">
        <is>
          <t>운영 방식 비교</t>
        </is>
      </c>
    </row>
    <row r="50">
      <c r="A50" s="4" t="inlineStr">
        <is>
          <t>월3_기숙사연수원_운영시나리오.json</t>
        </is>
      </c>
      <c r="B50" s="4" t="inlineStr">
        <is>
          <t>7</t>
        </is>
      </c>
      <c r="C50" s="4" t="inlineStr">
        <is>
          <t>요청드리는 사항</t>
        </is>
      </c>
      <c r="D50" s="4" t="inlineStr">
        <is>
          <t>요청 사항</t>
        </is>
      </c>
    </row>
    <row r="51">
      <c r="A51" s="4" t="inlineStr">
        <is>
          <t>월4_PMS연동_운영시나리오.json</t>
        </is>
      </c>
      <c r="B51" s="4" t="inlineStr">
        <is>
          <t>2</t>
        </is>
      </c>
      <c r="C51" s="4" t="inlineStr">
        <is>
          <t>고객 동선 8단계 · 단계별 시스템 동작</t>
        </is>
      </c>
      <c r="D51" s="4" t="inlineStr">
        <is>
          <t>고객 동선별 시스템 동작</t>
        </is>
      </c>
    </row>
    <row r="52">
      <c r="A52" s="4" t="inlineStr">
        <is>
          <t>월4_PMS연동_운영시나리오.json</t>
        </is>
      </c>
      <c r="B52" s="4" t="inlineStr">
        <is>
          <t>3</t>
        </is>
      </c>
      <c r="C52" s="4" t="inlineStr">
        <is>
          <t>시스템 구성 · PMS부터 객실 기구물까지</t>
        </is>
      </c>
      <c r="D52" s="4" t="inlineStr">
        <is>
          <t>시스템 구성 · PMS~객실</t>
        </is>
      </c>
    </row>
    <row r="53">
      <c r="A53" s="4" t="inlineStr">
        <is>
          <t>월4_PMS연동_운영시나리오.json</t>
        </is>
      </c>
      <c r="B53" s="4" t="inlineStr">
        <is>
          <t>4</t>
        </is>
      </c>
      <c r="C53" s="4" t="inlineStr">
        <is>
          <t>PMS 연동 전에 확정되어야 하는 것</t>
        </is>
      </c>
      <c r="D53" s="4" t="inlineStr">
        <is>
          <t>PMS 연동 전 확정 사항</t>
        </is>
      </c>
    </row>
    <row r="54">
      <c r="A54" s="4" t="inlineStr">
        <is>
          <t>월4_PMS연동_운영시나리오.json</t>
        </is>
      </c>
      <c r="B54" s="4" t="inlineStr">
        <is>
          <t>5</t>
        </is>
      </c>
      <c r="C54" s="4" t="inlineStr">
        <is>
          <t>요청드리는 사항</t>
        </is>
      </c>
      <c r="D54" s="4" t="inlineStr">
        <is>
          <t>요청 사항</t>
        </is>
      </c>
    </row>
    <row r="55">
      <c r="A55" s="4" t="inlineStr">
        <is>
          <t>월5_공사한계_업무스코프.json</t>
        </is>
      </c>
      <c r="B55" s="4" t="inlineStr">
        <is>
          <t>2</t>
        </is>
      </c>
      <c r="C55" s="4" t="inlineStr">
        <is>
          <t>한 줄로 정리하면</t>
        </is>
      </c>
      <c r="D55" s="4" t="inlineStr">
        <is>
          <t>공사 범위 요약</t>
        </is>
      </c>
    </row>
    <row r="56">
      <c r="A56" s="4" t="inlineStr">
        <is>
          <t>월5_공사한계_업무스코프.json</t>
        </is>
      </c>
      <c r="B56" s="4" t="inlineStr">
        <is>
          <t>4</t>
        </is>
      </c>
      <c r="C56" s="4" t="inlineStr">
        <is>
          <t>타 공종에 요청드리는 조건</t>
        </is>
      </c>
      <c r="D56" s="4" t="inlineStr">
        <is>
          <t>타 공종 요청 조건</t>
        </is>
      </c>
    </row>
    <row r="57">
      <c r="A57" s="4" t="inlineStr">
        <is>
          <t>월5_공사한계_업무스코프.json</t>
        </is>
      </c>
      <c r="B57" s="4" t="inlineStr">
        <is>
          <t>5</t>
        </is>
      </c>
      <c r="C57" s="4" t="inlineStr">
        <is>
          <t>요청드리는 사항</t>
        </is>
      </c>
      <c r="D57" s="4" t="inlineStr">
        <is>
          <t>요청 사항</t>
        </is>
      </c>
    </row>
    <row r="58">
      <c r="A58" s="4" t="inlineStr">
        <is>
          <t>화1_1-3성급_객실배치.json</t>
        </is>
      </c>
      <c r="B58" s="4" t="inlineStr">
        <is>
          <t>1</t>
        </is>
      </c>
      <c r="C58" s="4" t="inlineStr">
        <is>
          <t>{{현장_제목}}객실 기구물 표준 배치 제안</t>
        </is>
      </c>
      <c r="D58" s="4" t="inlineStr">
        <is>
          <t>{{현장_제목}}1~3성급 객실 배치 제안</t>
        </is>
      </c>
    </row>
    <row r="59">
      <c r="A59" s="4" t="inlineStr">
        <is>
          <t>화1_1-3성급_객실배치.json</t>
        </is>
      </c>
      <c r="B59" s="4" t="inlineStr">
        <is>
          <t>2</t>
        </is>
      </c>
      <c r="C59" s="4" t="inlineStr">
        <is>
          <t>1~3성급은 이렇게 잡습니다</t>
        </is>
      </c>
      <c r="D59" s="4" t="inlineStr">
        <is>
          <t>1~3성급 구성</t>
        </is>
      </c>
    </row>
    <row r="60">
      <c r="A60" s="4" t="inlineStr">
        <is>
          <t>화1_1-3성급_객실배치.json</t>
        </is>
      </c>
      <c r="B60" s="4" t="inlineStr">
        <is>
          <t>3</t>
        </is>
      </c>
      <c r="C60" s="4" t="inlineStr">
        <is>
          <t>위치별 기구물 (1~3성급 표준)</t>
        </is>
      </c>
      <c r="D60" s="4" t="inlineStr">
        <is>
          <t>위치별 기구물</t>
        </is>
      </c>
    </row>
    <row r="61">
      <c r="A61" s="4" t="inlineStr">
        <is>
          <t>화1_1-3성급_객실배치.json</t>
        </is>
      </c>
      <c r="B61" s="4" t="inlineStr">
        <is>
          <t>4</t>
        </is>
      </c>
      <c r="C61" s="4" t="inlineStr">
        <is>
          <t>이 구성으로 얻는 것 · 확인하실 것</t>
        </is>
      </c>
      <c r="D61" s="4" t="inlineStr">
        <is>
          <t>구성 효과 · 확인 사항</t>
        </is>
      </c>
    </row>
    <row r="62">
      <c r="A62" s="4" t="inlineStr">
        <is>
          <t>화1_1-3성급_객실배치.json</t>
        </is>
      </c>
      <c r="B62" s="4" t="inlineStr">
        <is>
          <t>5</t>
        </is>
      </c>
      <c r="C62" s="4" t="inlineStr">
        <is>
          <t>요청드리는 사항</t>
        </is>
      </c>
      <c r="D62" s="4" t="inlineStr">
        <is>
          <t>요청 사항</t>
        </is>
      </c>
    </row>
    <row r="63">
      <c r="A63" s="4" t="inlineStr">
        <is>
          <t>화2_4-5성급_객실배치.json</t>
        </is>
      </c>
      <c r="B63" s="4" t="inlineStr">
        <is>
          <t>1</t>
        </is>
      </c>
      <c r="C63" s="4" t="inlineStr">
        <is>
          <t>{{현장_제목}}객실 기구물 표준 배치 제안</t>
        </is>
      </c>
      <c r="D63" s="4" t="inlineStr">
        <is>
          <t>{{현장_제목}}4~5성급 객실 배치 제안</t>
        </is>
      </c>
    </row>
    <row r="64">
      <c r="A64" s="4" t="inlineStr">
        <is>
          <t>화2_4-5성급_객실배치.json</t>
        </is>
      </c>
      <c r="B64" s="4" t="inlineStr">
        <is>
          <t>2</t>
        </is>
      </c>
      <c r="C64" s="4" t="inlineStr">
        <is>
          <t>4~5성급은 이렇게 잡습니다</t>
        </is>
      </c>
      <c r="D64" s="4" t="inlineStr">
        <is>
          <t>4~5성급 구성</t>
        </is>
      </c>
    </row>
    <row r="65">
      <c r="A65" s="4" t="inlineStr">
        <is>
          <t>화2_4-5성급_객실배치.json</t>
        </is>
      </c>
      <c r="B65" s="4" t="inlineStr">
        <is>
          <t>3</t>
        </is>
      </c>
      <c r="C65" s="4" t="inlineStr">
        <is>
          <t>위치별 기구물 (4~5성급 표준)</t>
        </is>
      </c>
      <c r="D65" s="4" t="inlineStr">
        <is>
          <t>위치별 기구물</t>
        </is>
      </c>
    </row>
    <row r="66">
      <c r="A66" s="4" t="inlineStr">
        <is>
          <t>화2_4-5성급_객실배치.json</t>
        </is>
      </c>
      <c r="B66" s="4" t="inlineStr">
        <is>
          <t>4</t>
        </is>
      </c>
      <c r="C66" s="4" t="inlineStr">
        <is>
          <t>마감과 디자인</t>
        </is>
      </c>
      <c r="D66" s="4" t="inlineStr">
        <is>
          <t>마감·디자인</t>
        </is>
      </c>
    </row>
    <row r="67">
      <c r="A67" s="4" t="inlineStr">
        <is>
          <t>화2_4-5성급_객실배치.json</t>
        </is>
      </c>
      <c r="B67" s="4" t="inlineStr">
        <is>
          <t>5</t>
        </is>
      </c>
      <c r="C67" s="4" t="inlineStr">
        <is>
          <t>요청드리는 사항</t>
        </is>
      </c>
      <c r="D67" s="4" t="inlineStr">
        <is>
          <t>요청 사항</t>
        </is>
      </c>
    </row>
    <row r="68">
      <c r="A68" s="4" t="inlineStr">
        <is>
          <t>화3_스위트거실형_객실배치.json</t>
        </is>
      </c>
      <c r="B68" s="4" t="inlineStr">
        <is>
          <t>2</t>
        </is>
      </c>
      <c r="C68" s="4" t="inlineStr">
        <is>
          <t>스위트는 무엇이 다른가</t>
        </is>
      </c>
      <c r="D68" s="4" t="inlineStr">
        <is>
          <t>스위트 구성</t>
        </is>
      </c>
    </row>
    <row r="69">
      <c r="A69" s="4" t="inlineStr">
        <is>
          <t>화3_스위트거실형_객실배치.json</t>
        </is>
      </c>
      <c r="B69" s="4" t="inlineStr">
        <is>
          <t>3</t>
        </is>
      </c>
      <c r="C69" s="4" t="inlineStr">
        <is>
          <t>공간별 기구물 (스위트 기준)</t>
        </is>
      </c>
      <c r="D69" s="4" t="inlineStr">
        <is>
          <t>공간별 기구물</t>
        </is>
      </c>
    </row>
    <row r="70">
      <c r="A70" s="4" t="inlineStr">
        <is>
          <t>화3_스위트거실형_객실배치.json</t>
        </is>
      </c>
      <c r="B70" s="4" t="inlineStr">
        <is>
          <t>4</t>
        </is>
      </c>
      <c r="C70" s="4" t="inlineStr">
        <is>
          <t>일반 객실과 무엇이 다른가</t>
        </is>
      </c>
      <c r="D70" s="4" t="inlineStr">
        <is>
          <t>일반 객실 비교</t>
        </is>
      </c>
    </row>
    <row r="71">
      <c r="A71" s="4" t="inlineStr">
        <is>
          <t>화3_스위트거실형_객실배치.json</t>
        </is>
      </c>
      <c r="B71" s="4" t="inlineStr">
        <is>
          <t>5</t>
        </is>
      </c>
      <c r="C71" s="4" t="inlineStr">
        <is>
          <t>요청드리는 사항</t>
        </is>
      </c>
      <c r="D71" s="4" t="inlineStr">
        <is>
          <t>요청 사항</t>
        </is>
      </c>
    </row>
    <row r="72">
      <c r="A72" s="4" t="inlineStr">
        <is>
          <t>화4_주거약자실_객실배치.json</t>
        </is>
      </c>
      <c r="B72" s="4" t="inlineStr">
        <is>
          <t>2</t>
        </is>
      </c>
      <c r="C72" s="4" t="inlineStr">
        <is>
          <t>일반실과 다른 세 가지</t>
        </is>
      </c>
      <c r="D72" s="4" t="inlineStr">
        <is>
          <t>일반실과 차이</t>
        </is>
      </c>
    </row>
    <row r="73">
      <c r="A73" s="4" t="inlineStr">
        <is>
          <t>화4_주거약자실_객실배치.json</t>
        </is>
      </c>
      <c r="B73" s="4" t="inlineStr">
        <is>
          <t>4</t>
        </is>
      </c>
      <c r="C73" s="4" t="inlineStr">
        <is>
          <t>놓치기 쉬운 것</t>
        </is>
      </c>
      <c r="D73" s="4" t="inlineStr">
        <is>
          <t>누락 주의</t>
        </is>
      </c>
    </row>
    <row r="74">
      <c r="A74" s="4" t="inlineStr">
        <is>
          <t>화4_주거약자실_객실배치.json</t>
        </is>
      </c>
      <c r="B74" s="4" t="inlineStr">
        <is>
          <t>5</t>
        </is>
      </c>
      <c r="C74" s="4" t="inlineStr">
        <is>
          <t>요청드리는 사항</t>
        </is>
      </c>
      <c r="D74" s="4" t="inlineStr">
        <is>
          <t>요청 사항</t>
        </is>
      </c>
    </row>
    <row r="75">
      <c r="A75" s="4" t="inlineStr">
        <is>
          <t>화5_평면_기구물마킹.json</t>
        </is>
      </c>
      <c r="B75" s="4" t="inlineStr">
        <is>
          <t>2</t>
        </is>
      </c>
      <c r="C75" s="4" t="inlineStr">
        <is>
          <t>4~5성급 표준 객실 - 기구물 위치</t>
        </is>
      </c>
      <c r="D75" s="4" t="inlineStr">
        <is>
          <t>4~5성급 기구물 위치</t>
        </is>
      </c>
    </row>
    <row r="76">
      <c r="A76" s="4" t="inlineStr">
        <is>
          <t>화5_평면_기구물마킹.json</t>
        </is>
      </c>
      <c r="B76" s="4" t="inlineStr">
        <is>
          <t>3</t>
        </is>
      </c>
      <c r="C76" s="4" t="inlineStr">
        <is>
          <t>1~3성급 표준 객실 - 기구물 위치</t>
        </is>
      </c>
      <c r="D76" s="4" t="inlineStr">
        <is>
          <t>1~3성급 기구물 위치</t>
        </is>
      </c>
    </row>
    <row r="77">
      <c r="A77" s="4" t="inlineStr">
        <is>
          <t>화5_평면_기구물마킹.json</t>
        </is>
      </c>
      <c r="B77" s="4" t="inlineStr">
        <is>
          <t>4</t>
        </is>
      </c>
      <c r="C77" s="4" t="inlineStr">
        <is>
          <t>스위트 · 거실형 객실 - 기구물 위치</t>
        </is>
      </c>
      <c r="D77" s="4" t="inlineStr">
        <is>
          <t>스위트 · 거실형 기구물 위치</t>
        </is>
      </c>
    </row>
    <row r="78">
      <c r="A78" s="4" t="inlineStr">
        <is>
          <t>화5_평면_기구물마킹.json</t>
        </is>
      </c>
      <c r="B78" s="4" t="inlineStr">
        <is>
          <t>5</t>
        </is>
      </c>
      <c r="C78" s="4" t="inlineStr">
        <is>
          <t>주거약자실 - 기구물 위치</t>
        </is>
      </c>
      <c r="D78" s="4" t="inlineStr">
        <is>
          <t>주거약자실 기구물 위치</t>
        </is>
      </c>
    </row>
    <row r="79">
      <c r="A79" s="4" t="inlineStr">
        <is>
          <t>화5_평면_기구물마킹.json</t>
        </is>
      </c>
      <c r="B79" s="4" t="inlineStr">
        <is>
          <t>6</t>
        </is>
      </c>
      <c r="C79" s="4" t="inlineStr">
        <is>
          <t>표시 기호와 성급별 차이</t>
        </is>
      </c>
      <c r="D79" s="4" t="inlineStr">
        <is>
          <t>기호 · 성급별 차이</t>
        </is>
      </c>
    </row>
    <row r="80">
      <c r="A80" s="4" t="inlineStr">
        <is>
          <t>화5_평면_기구물마킹.json</t>
        </is>
      </c>
      <c r="B80" s="4" t="inlineStr">
        <is>
          <t>7</t>
        </is>
      </c>
      <c r="C80" s="4" t="inlineStr">
        <is>
          <t>요청드리는 사항</t>
        </is>
      </c>
      <c r="D80" s="4" t="inlineStr">
        <is>
          <t>요청 사항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6" customWidth="1" min="3" max="3"/>
    <col width="40" customWidth="1" min="4" max="4"/>
  </cols>
  <sheetData>
    <row r="1">
      <c r="A1" s="3" t="inlineStr">
        <is>
          <t>날짜</t>
        </is>
      </c>
      <c r="B1" s="3" t="inlineStr">
        <is>
          <t>무엇</t>
        </is>
      </c>
      <c r="C1" s="3" t="inlineStr">
        <is>
          <t>등급</t>
        </is>
      </c>
      <c r="D1" s="3" t="inlineStr">
        <is>
          <t>이전 값</t>
        </is>
      </c>
    </row>
    <row r="2">
      <c r="A2" s="4" t="inlineStr">
        <is>
          <t>2026-09-28</t>
        </is>
      </c>
      <c r="B2" s="4" t="inlineStr">
        <is>
          <t>25건 문체 다시 쓰기 (제목 명사형 · 현장 용어 · 개조식 · 추론 문장 삭제 · 표지 부제·문의 줄 삭제)</t>
        </is>
      </c>
      <c r="C2" s="4" t="inlineStr">
        <is>
          <t>B</t>
        </is>
      </c>
      <c r="D2" s="4" t="inlineStr">
        <is>
          <t>km_tools\_54번_이전판\*.json (PC)</t>
        </is>
      </c>
    </row>
    <row r="3">
      <c r="A3" s="4" t="inlineStr">
        <is>
          <t>2026-09-28</t>
        </is>
      </c>
      <c r="B3" s="4" t="inlineStr">
        <is>
          <t>금6 인스펙터 = 프로님 r2 반영 (오탈자 4곳 수정 : 노무비 · 완료로 · 고객카드, 청소카드 · 1안 · 2안 중)</t>
        </is>
      </c>
      <c r="C3" s="4" t="inlineStr">
        <is>
          <t>B</t>
        </is>
      </c>
      <c r="D3" s="4" t="inlineStr">
        <is>
          <t>금6 r1 (클로드)</t>
        </is>
      </c>
    </row>
    <row r="4">
      <c r="A4" s="4" t="inlineStr">
        <is>
          <t>2026-09-28</t>
        </is>
      </c>
      <c r="B4" s="4" t="inlineStr">
        <is>
          <t>도구 기본값 : 바닥글 회사명 끔(쪽번호만) · 표 가운데 정렬 · 첫 열 굵게</t>
        </is>
      </c>
      <c r="C4" s="4" t="inlineStr">
        <is>
          <t>B</t>
        </is>
      </c>
      <c r="D4" s="4" t="inlineStr">
        <is>
          <t>바닥글 「한국마이크로닉(주) · 객실관리 시스템」, 표 왼쪽 정렬</t>
        </is>
      </c>
    </row>
    <row r="5">
      <c r="A5" s="4" t="inlineStr">
        <is>
          <t>2026-09-28</t>
        </is>
      </c>
      <c r="B5" s="4" t="inlineStr">
        <is>
          <t>종합 제안서(5성급) 새로 : 00_종합_5성급_객실관리제안서.json 32장</t>
        </is>
      </c>
      <c r="C5" s="4" t="inlineStr">
        <is>
          <t>A</t>
        </is>
      </c>
      <c r="D5" s="4" t="inlineStr">
        <is>
          <t>-</t>
        </is>
      </c>
    </row>
    <row r="6">
      <c r="A6" s="4" t="inlineStr">
        <is>
          <t>2026-09-28</t>
        </is>
      </c>
      <c r="B6" s="4" t="inlineStr">
        <is>
          <t>범용본 파일 이름 앞 「표준_」 삭제 (코드 + PC 결과 폴더 옛 파일)</t>
        </is>
      </c>
      <c r="C6" s="4" t="inlineStr">
        <is>
          <t>B</t>
        </is>
      </c>
      <c r="D6" s="4" t="inlineStr">
        <is>
          <t>표준_{파일명}_날짜.pptx → _이름바꿈_기록.txt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verify.py 결과 (원본 대비 : 구조 · 좌표 · 목차 · 길이 · 새 숫자 · 금지어 · 권유 말투)</t>
        </is>
      </c>
    </row>
    <row r="2">
      <c r="A2">
        <f>= 금1_납품레퍼런스.json : 이상 없음</f>
        <v/>
      </c>
    </row>
    <row r="3">
      <c r="A3">
        <f>= 금2_경쟁사비교_루트론.json : 이상 없음</f>
        <v/>
      </c>
    </row>
    <row r="4">
      <c r="A4">
        <f>= 금3_CB외함_매입vs노출.json : 이상 없음</f>
        <v/>
      </c>
    </row>
    <row r="5">
      <c r="A5">
        <f>= 금4_파트너공동제안_도어락.json : 이상 없음</f>
        <v/>
      </c>
    </row>
    <row r="6">
      <c r="A6">
        <f>= 금5_질의답변서_착공전협의.json : 1건</f>
        <v/>
      </c>
    </row>
    <row r="7">
      <c r="A7" t="inlineStr">
        <is>
          <t xml:space="preserve">    길어짐 /slides/0/eyebrow : 5 -&gt; 8</t>
        </is>
      </c>
    </row>
    <row r="8">
      <c r="A8">
        <f>= 목1_2000M_디자인카탈로그.json : 이상 없음</f>
        <v/>
      </c>
    </row>
    <row r="9">
      <c r="A9">
        <f>= 목2_BSP_사양카드.json : 이상 없음</f>
        <v/>
      </c>
    </row>
    <row r="10">
      <c r="A10">
        <f>= 목3_챠임벨_키센서_디자인.json : 이상 없음</f>
        <v/>
      </c>
    </row>
    <row r="11">
      <c r="A11">
        <f>= 목4_타사배선기구_결합구분표.json : 이상 없음</f>
        <v/>
      </c>
    </row>
    <row r="12">
      <c r="A12">
        <f>= 목5_에어컨EHP_연동설명.json : 이상 없음</f>
        <v/>
      </c>
    </row>
    <row r="13">
      <c r="A13">
        <f>= 목6_바닥난방_연동설명.json : 이상 없음</f>
        <v/>
      </c>
    </row>
    <row r="14">
      <c r="A14">
        <f>= 수1_FIP_사용매뉴얼.json : 이상 없음</f>
        <v/>
      </c>
    </row>
    <row r="15">
      <c r="A15">
        <f>= 수2_방재실_운영PC매뉴얼.json : 이상 없음</f>
        <v/>
      </c>
    </row>
    <row r="16">
      <c r="A16">
        <f>= 수3_객실넘버링_운영계획.json : 이상 없음</f>
        <v/>
      </c>
    </row>
    <row r="17">
      <c r="A17">
        <f>= 수4_준공인계_매뉴얼.json : 1건</f>
        <v/>
      </c>
    </row>
    <row r="18">
      <c r="A18" t="inlineStr">
        <is>
          <t xml:space="preserve">    원본에 없던 숫자 /slides/5/box/lines/2 : ['1']</t>
        </is>
      </c>
    </row>
    <row r="19">
      <c r="A19">
        <f>= 월1_4-5성급_운영시나리오.json : 이상 없음</f>
        <v/>
      </c>
    </row>
    <row r="20">
      <c r="A20">
        <f>= 월2_리조트콘도_운영시나리오.json : 이상 없음</f>
        <v/>
      </c>
    </row>
    <row r="21">
      <c r="A21">
        <f>= 월3_기숙사연수원_운영시나리오.json : 이상 없음</f>
        <v/>
      </c>
    </row>
    <row r="22">
      <c r="A22">
        <f>= 월4_PMS연동_운영시나리오.json : 이상 없음</f>
        <v/>
      </c>
    </row>
    <row r="23">
      <c r="A23">
        <f>= 월5_공사한계_업무스코프.json : 이상 없음</f>
        <v/>
      </c>
    </row>
    <row r="24">
      <c r="A24">
        <f>= 화1_1-3성급_객실배치.json : 이상 없음</f>
        <v/>
      </c>
    </row>
    <row r="25">
      <c r="A25">
        <f>= 화2_4-5성급_객실배치.json : 이상 없음</f>
        <v/>
      </c>
    </row>
    <row r="26">
      <c r="A26">
        <f>= 화3_스위트거실형_객실배치.json : 이상 없음</f>
        <v/>
      </c>
    </row>
    <row r="27">
      <c r="A27">
        <f>= 화4_주거약자실_객실배치.json : 이상 없음</f>
        <v/>
      </c>
    </row>
    <row r="28">
      <c r="A28">
        <f>= 화5_평면_기구물마킹.json : 이상 없음</f>
        <v/>
      </c>
    </row>
    <row r="29">
      <c r="A29" t="inlineStr">
        <is>
          <t>합계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2026-09-28T03:49:42Z</dcterms:created>
  <dcterms:modified xmlns:dcterms="http://purl.org/dc/terms/" xmlns:xsi="http://www.w3.org/2001/XMLSchema-instance" xsi:type="dcterms:W3CDTF">2026-09-28T03:49:42Z</dcterms:modified>
</cp:coreProperties>
</file>