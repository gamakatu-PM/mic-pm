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한눈표(타입×품목)" sheetId="1" state="visible" r:id="rId3"/>
    <sheet name="2.상세(수정)" sheetId="2" state="visible" r:id="rId4"/>
    <sheet name="3.정정 기준(프로님 확정)" sheetId="3" state="visible" r:id="rId5"/>
    <sheet name="9.자가진단·변경이력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<sst xmlns="http://schemas.openxmlformats.org/spreadsheetml/2006/main" count="484" uniqueCount="129">
  <si>
    <r>
      <rPr>
        <b val="true"/>
        <sz val="12"/>
        <rFont val="WenQuanYi Zen Hei"/>
        <family val="2"/>
      </rPr>
      <t xml:space="preserve">그랜드 하얏트 인천 단위세대 기구물 — </t>
    </r>
    <r>
      <rPr>
        <b val="true"/>
        <sz val="12"/>
        <rFont val="맑은 고딕"/>
        <family val="0"/>
        <charset val="1"/>
      </rPr>
      <t xml:space="preserve">1</t>
    </r>
    <r>
      <rPr>
        <b val="true"/>
        <sz val="12"/>
        <rFont val="WenQuanYi Zen Hei"/>
        <family val="2"/>
      </rPr>
      <t xml:space="preserve">실당 개수 </t>
    </r>
    <r>
      <rPr>
        <b val="true"/>
        <sz val="12"/>
        <rFont val="맑은 고딕"/>
        <family val="0"/>
        <charset val="1"/>
      </rPr>
      <t xml:space="preserve">(2.</t>
    </r>
    <r>
      <rPr>
        <b val="true"/>
        <sz val="12"/>
        <rFont val="WenQuanYi Zen Hei"/>
        <family val="2"/>
      </rPr>
      <t xml:space="preserve">상세 시트를 고치면 자동 반영</t>
    </r>
    <r>
      <rPr>
        <b val="true"/>
        <sz val="12"/>
        <rFont val="맑은 고딕"/>
        <family val="0"/>
        <charset val="1"/>
      </rPr>
      <t xml:space="preserve">)</t>
    </r>
  </si>
  <si>
    <t xml:space="preserve">No</t>
  </si>
  <si>
    <t xml:space="preserve">타입</t>
  </si>
  <si>
    <t xml:space="preserve">룸</t>
  </si>
  <si>
    <t xml:space="preserve">챠임벨</t>
  </si>
  <si>
    <r>
      <rPr>
        <b val="true"/>
        <sz val="10"/>
        <rFont val="WenQuanYi Zen Hei"/>
        <family val="2"/>
      </rPr>
      <t xml:space="preserve">키센서 </t>
    </r>
    <r>
      <rPr>
        <b val="true"/>
        <sz val="10"/>
        <rFont val="맑은 고딕"/>
        <family val="0"/>
        <charset val="1"/>
      </rPr>
      <t xml:space="preserve">DM</t>
    </r>
  </si>
  <si>
    <t xml:space="preserve">BSP</t>
  </si>
  <si>
    <t xml:space="preserve">거실 스위치</t>
  </si>
  <si>
    <t xml:space="preserve">회의실 스위치</t>
  </si>
  <si>
    <t xml:space="preserve">드레스룸 스위치</t>
  </si>
  <si>
    <t xml:space="preserve">화장실 스위치</t>
  </si>
  <si>
    <t xml:space="preserve">비상호출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</si>
  <si>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실 합계</t>
    </r>
  </si>
  <si>
    <r>
      <rPr>
        <b val="true"/>
        <sz val="10"/>
        <rFont val="WenQuanYi Zen Hei"/>
        <family val="2"/>
      </rPr>
      <t xml:space="preserve">실 수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입력</t>
    </r>
    <r>
      <rPr>
        <b val="true"/>
        <sz val="10"/>
        <rFont val="맑은 고딕"/>
        <family val="0"/>
        <charset val="1"/>
      </rPr>
      <t xml:space="preserve">)</t>
    </r>
  </si>
  <si>
    <t xml:space="preserve">총 개수</t>
  </si>
  <si>
    <t xml:space="preserve">상태</t>
  </si>
  <si>
    <t xml:space="preserve">GOVERNOR SUITE (GS)</t>
  </si>
  <si>
    <t xml:space="preserve">-</t>
  </si>
  <si>
    <r>
      <rPr>
        <sz val="10"/>
        <rFont val="WenQuanYi Zen Hei"/>
        <family val="2"/>
      </rPr>
      <t xml:space="preserve">확정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프로님 검토 </t>
    </r>
    <r>
      <rPr>
        <sz val="10"/>
        <rFont val="맑은 고딕"/>
        <family val="0"/>
        <charset val="1"/>
      </rPr>
      <t xml:space="preserve">v4)</t>
    </r>
  </si>
  <si>
    <r>
      <rPr>
        <sz val="10"/>
        <rFont val="맑은 고딕"/>
        <family val="0"/>
        <charset val="1"/>
      </rPr>
      <t xml:space="preserve">4~12F </t>
    </r>
    <r>
      <rPr>
        <sz val="10"/>
        <rFont val="WenQuanYi Zen Hei"/>
        <family val="2"/>
      </rPr>
      <t xml:space="preserve">타입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첫 도면</t>
    </r>
    <r>
      <rPr>
        <sz val="10"/>
        <rFont val="맑은 고딕"/>
        <family val="0"/>
        <charset val="1"/>
      </rPr>
      <t xml:space="preserve">)</t>
    </r>
  </si>
  <si>
    <t xml:space="preserve">SUITE KING (K-3) 3~12F</t>
  </si>
  <si>
    <t xml:space="preserve">미검토</t>
  </si>
  <si>
    <r>
      <rPr>
        <sz val="10"/>
        <rFont val="맑은 고딕"/>
        <family val="0"/>
        <charset val="1"/>
      </rPr>
      <t xml:space="preserve">AMBASSADOR SUITE (AS) — </t>
    </r>
    <r>
      <rPr>
        <sz val="10"/>
        <rFont val="WenQuanYi Zen Hei"/>
        <family val="2"/>
      </rPr>
      <t xml:space="preserve">커넥팅</t>
    </r>
  </si>
  <si>
    <r>
      <rPr>
        <sz val="10"/>
        <rFont val="WenQuanYi Zen Hei"/>
        <family val="2"/>
      </rPr>
      <t xml:space="preserve">룸</t>
    </r>
    <r>
      <rPr>
        <sz val="10"/>
        <rFont val="맑은 고딕"/>
        <family val="0"/>
        <charset val="1"/>
      </rPr>
      <t xml:space="preserve">1 = </t>
    </r>
    <r>
      <rPr>
        <sz val="10"/>
        <rFont val="WenQuanYi Zen Hei"/>
        <family val="2"/>
      </rPr>
      <t xml:space="preserve">좌측 침실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거실</t>
    </r>
  </si>
  <si>
    <r>
      <rPr>
        <sz val="10"/>
        <rFont val="WenQuanYi Zen Hei"/>
        <family val="2"/>
      </rPr>
      <t xml:space="preserve">룸</t>
    </r>
    <r>
      <rPr>
        <sz val="10"/>
        <rFont val="맑은 고딕"/>
        <family val="0"/>
        <charset val="1"/>
      </rPr>
      <t xml:space="preserve">2 = </t>
    </r>
    <r>
      <rPr>
        <sz val="10"/>
        <rFont val="WenQuanYi Zen Hei"/>
        <family val="2"/>
      </rPr>
      <t xml:space="preserve">우측 침실</t>
    </r>
  </si>
  <si>
    <t xml:space="preserve">MANAGER'S SUITE (GM)</t>
  </si>
  <si>
    <r>
      <rPr>
        <sz val="10"/>
        <rFont val="WenQuanYi Zen Hei"/>
        <family val="2"/>
      </rPr>
      <t xml:space="preserve">확정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프로님 검토 </t>
    </r>
    <r>
      <rPr>
        <sz val="10"/>
        <rFont val="맑은 고딕"/>
        <family val="0"/>
        <charset val="1"/>
      </rPr>
      <t xml:space="preserve">v2)</t>
    </r>
  </si>
  <si>
    <t xml:space="preserve">OWNER'S SUITE (OS)</t>
  </si>
  <si>
    <t xml:space="preserve">PRESIDENTIAL SUITE (PS)</t>
  </si>
  <si>
    <t xml:space="preserve">HOSPITALITY SUITE-1 (HS-1)</t>
  </si>
  <si>
    <t xml:space="preserve">HOSPITALITY SUITE-3 (HS-3)</t>
  </si>
  <si>
    <t xml:space="preserve">HOSPITALITY SUITE-5 (HS-5)</t>
  </si>
  <si>
    <r>
      <rPr>
        <sz val="10"/>
        <rFont val="맑은 고딕"/>
        <family val="0"/>
        <charset val="1"/>
      </rPr>
      <t xml:space="preserve">HANDICAP (DD-2) 3~12F </t>
    </r>
    <r>
      <rPr>
        <sz val="10"/>
        <rFont val="WenQuanYi Zen Hei"/>
        <family val="2"/>
      </rPr>
      <t xml:space="preserve">주거약자실</t>
    </r>
  </si>
  <si>
    <r>
      <rPr>
        <sz val="10"/>
        <rFont val="맑은 고딕"/>
        <family val="0"/>
        <charset val="1"/>
      </rPr>
      <t xml:space="preserve">KING &amp; DD TYPE — 2</t>
    </r>
    <r>
      <rPr>
        <sz val="10"/>
        <rFont val="WenQuanYi Zen Hei"/>
        <family val="2"/>
      </rPr>
      <t xml:space="preserve">실</t>
    </r>
  </si>
  <si>
    <r>
      <rPr>
        <sz val="10"/>
        <rFont val="WenQuanYi Zen Hei"/>
        <family val="2"/>
      </rPr>
      <t xml:space="preserve">상 </t>
    </r>
    <r>
      <rPr>
        <sz val="10"/>
        <rFont val="맑은 고딕"/>
        <family val="0"/>
        <charset val="1"/>
      </rPr>
      <t xml:space="preserve">= KING</t>
    </r>
  </si>
  <si>
    <r>
      <rPr>
        <sz val="10"/>
        <rFont val="WenQuanYi Zen Hei"/>
        <family val="2"/>
      </rPr>
      <t xml:space="preserve">하 </t>
    </r>
    <r>
      <rPr>
        <sz val="10"/>
        <rFont val="맑은 고딕"/>
        <family val="0"/>
        <charset val="1"/>
      </rPr>
      <t xml:space="preserve">= DD</t>
    </r>
  </si>
  <si>
    <r>
      <rPr>
        <b val="true"/>
        <sz val="10"/>
        <rFont val="WenQuanYi Zen Hei"/>
        <family val="2"/>
      </rPr>
      <t xml:space="preserve">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실 수 넣으면 총 개수 자동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</si>
  <si>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color rgb="FF808080"/>
        <rFont val="WenQuanYi Zen Hei"/>
        <family val="2"/>
      </rPr>
      <t xml:space="preserve">※ 합계행 품목칸 </t>
    </r>
    <r>
      <rPr>
        <sz val="10"/>
        <color rgb="FF808080"/>
        <rFont val="맑은 고딕"/>
        <family val="0"/>
        <charset val="1"/>
      </rPr>
      <t xml:space="preserve">= </t>
    </r>
    <r>
      <rPr>
        <sz val="10"/>
        <color rgb="FF808080"/>
        <rFont val="WenQuanYi Zen Hei"/>
        <family val="2"/>
      </rPr>
      <t xml:space="preserve">품목별 총 개수</t>
    </r>
    <r>
      <rPr>
        <sz val="10"/>
        <color rgb="FF808080"/>
        <rFont val="맑은 고딕"/>
        <family val="0"/>
        <charset val="1"/>
      </rPr>
      <t xml:space="preserve">(1</t>
    </r>
    <r>
      <rPr>
        <sz val="10"/>
        <color rgb="FF808080"/>
        <rFont val="WenQuanYi Zen Hei"/>
        <family val="2"/>
      </rPr>
      <t xml:space="preserve">실 개수 </t>
    </r>
    <r>
      <rPr>
        <sz val="10"/>
        <color rgb="FF808080"/>
        <rFont val="맑은 고딕"/>
        <family val="0"/>
        <charset val="1"/>
      </rPr>
      <t xml:space="preserve">× </t>
    </r>
    <r>
      <rPr>
        <sz val="10"/>
        <color rgb="FF808080"/>
        <rFont val="WenQuanYi Zen Hei"/>
        <family val="2"/>
      </rPr>
      <t xml:space="preserve">실 수</t>
    </r>
    <r>
      <rPr>
        <sz val="10"/>
        <color rgb="FF808080"/>
        <rFont val="맑은 고딕"/>
        <family val="0"/>
        <charset val="1"/>
      </rPr>
      <t xml:space="preserve">). </t>
    </r>
    <r>
      <rPr>
        <sz val="10"/>
        <color rgb="FF808080"/>
        <rFont val="WenQuanYi Zen Hei"/>
        <family val="2"/>
      </rPr>
      <t xml:space="preserve">중앙장비</t>
    </r>
    <r>
      <rPr>
        <sz val="10"/>
        <color rgb="FF808080"/>
        <rFont val="맑은 고딕"/>
        <family val="0"/>
        <charset val="1"/>
      </rPr>
      <t xml:space="preserve">(PC 1, FIP </t>
    </r>
    <r>
      <rPr>
        <sz val="10"/>
        <color rgb="FF808080"/>
        <rFont val="WenQuanYi Zen Hei"/>
        <family val="2"/>
      </rPr>
      <t xml:space="preserve">층당 </t>
    </r>
    <r>
      <rPr>
        <sz val="10"/>
        <color rgb="FF808080"/>
        <rFont val="맑은 고딕"/>
        <family val="0"/>
        <charset val="1"/>
      </rPr>
      <t xml:space="preserve">1)</t>
    </r>
    <r>
      <rPr>
        <sz val="10"/>
        <color rgb="FF808080"/>
        <rFont val="WenQuanYi Zen Hei"/>
        <family val="2"/>
      </rPr>
      <t xml:space="preserve">는 층별 실 수 확정 후 추가</t>
    </r>
    <r>
      <rPr>
        <sz val="10"/>
        <color rgb="FF808080"/>
        <rFont val="맑은 고딕"/>
        <family val="0"/>
        <charset val="1"/>
      </rPr>
      <t xml:space="preserve">.</t>
    </r>
  </si>
  <si>
    <t xml:space="preserve">번호</t>
  </si>
  <si>
    <t xml:space="preserve">품목</t>
  </si>
  <si>
    <t xml:space="preserve">수량</t>
  </si>
  <si>
    <t xml:space="preserve">위치</t>
  </si>
  <si>
    <r>
      <rPr>
        <b val="true"/>
        <sz val="10"/>
        <rFont val="WenQuanYi Zen Hei"/>
        <family val="2"/>
      </rPr>
      <t xml:space="preserve">비고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프로님 수정칸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</si>
  <si>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■ 01. GOVERNOR SUITE (GS)   [</t>
    </r>
    <r>
      <rPr>
        <b val="true"/>
        <sz val="10"/>
        <rFont val="WenQuanYi Zen Hei"/>
        <family val="2"/>
      </rPr>
      <t xml:space="preserve">확정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프로님 검토 </t>
    </r>
    <r>
      <rPr>
        <b val="true"/>
        <sz val="10"/>
        <rFont val="맑은 고딕"/>
        <family val="0"/>
        <charset val="1"/>
      </rPr>
      <t xml:space="preserve">v4)]</t>
    </r>
  </si>
  <si>
    <t xml:space="preserve">출입문 복도 쪽</t>
  </si>
  <si>
    <r>
      <rPr>
        <sz val="10"/>
        <rFont val="WenQuanYi Zen Hei"/>
        <family val="2"/>
      </rPr>
      <t xml:space="preserve">키센서 </t>
    </r>
    <r>
      <rPr>
        <sz val="10"/>
        <rFont val="맑은 고딕"/>
        <family val="0"/>
        <charset val="1"/>
      </rPr>
      <t xml:space="preserve">DM</t>
    </r>
  </si>
  <si>
    <t xml:space="preserve">출입문 안쪽</t>
  </si>
  <si>
    <t xml:space="preserve">침대 옆</t>
  </si>
  <si>
    <t xml:space="preserve">거실 들어가는 문 옆</t>
  </si>
  <si>
    <t xml:space="preserve">욕실 문 옆</t>
  </si>
  <si>
    <r>
      <rPr>
        <b val="true"/>
        <sz val="10"/>
        <rFont val="맑은 고딕"/>
        <family val="0"/>
        <charset val="1"/>
      </rPr>
      <t xml:space="preserve">■ 02. 4~12F </t>
    </r>
    <r>
      <rPr>
        <b val="true"/>
        <sz val="10"/>
        <rFont val="WenQuanYi Zen Hei"/>
        <family val="2"/>
      </rPr>
      <t xml:space="preserve">타입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첫 도면</t>
    </r>
    <r>
      <rPr>
        <b val="true"/>
        <sz val="10"/>
        <rFont val="맑은 고딕"/>
        <family val="0"/>
        <charset val="1"/>
      </rPr>
      <t xml:space="preserve">)   [</t>
    </r>
    <r>
      <rPr>
        <b val="true"/>
        <sz val="10"/>
        <rFont val="WenQuanYi Zen Hei"/>
        <family val="2"/>
      </rPr>
      <t xml:space="preserve">확정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프로님 검토 </t>
    </r>
    <r>
      <rPr>
        <b val="true"/>
        <sz val="10"/>
        <rFont val="맑은 고딕"/>
        <family val="0"/>
        <charset val="1"/>
      </rPr>
      <t xml:space="preserve">v4)]</t>
    </r>
  </si>
  <si>
    <t xml:space="preserve">출입문과 욕실 사이 옷장 통로</t>
  </si>
  <si>
    <r>
      <rPr>
        <sz val="10"/>
        <rFont val="WenQuanYi Zen Hei"/>
        <family val="2"/>
      </rPr>
      <t xml:space="preserve">욕실 문 옆 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손잡이 쪽</t>
    </r>
  </si>
  <si>
    <r>
      <rPr>
        <b val="true"/>
        <sz val="10"/>
        <rFont val="맑은 고딕"/>
        <family val="0"/>
        <charset val="1"/>
      </rPr>
      <t xml:space="preserve">■ 03. SUITE KING (K-3) 3~12F   [</t>
    </r>
    <r>
      <rPr>
        <b val="true"/>
        <sz val="10"/>
        <rFont val="WenQuanYi Zen Hei"/>
        <family val="2"/>
      </rPr>
      <t xml:space="preserve">미검토</t>
    </r>
    <r>
      <rPr>
        <b val="true"/>
        <sz val="10"/>
        <rFont val="맑은 고딕"/>
        <family val="0"/>
        <charset val="1"/>
      </rPr>
      <t xml:space="preserve">]</t>
    </r>
  </si>
  <si>
    <t xml:space="preserve">우측 하단 출입문 복도 쪽</t>
  </si>
  <si>
    <r>
      <rPr>
        <sz val="10"/>
        <rFont val="WenQuanYi Zen Hei"/>
        <family val="2"/>
      </rPr>
      <t xml:space="preserve">상단 옷장</t>
    </r>
    <r>
      <rPr>
        <sz val="10"/>
        <rFont val="맑은 고딕"/>
        <family val="0"/>
        <charset val="1"/>
      </rPr>
      <t xml:space="preserve">(CB </t>
    </r>
    <r>
      <rPr>
        <sz val="10"/>
        <rFont val="WenQuanYi Zen Hei"/>
        <family val="2"/>
      </rPr>
      <t xml:space="preserve">옆</t>
    </r>
    <r>
      <rPr>
        <sz val="10"/>
        <rFont val="맑은 고딕"/>
        <family val="0"/>
        <charset val="1"/>
      </rPr>
      <t xml:space="preserve">)</t>
    </r>
  </si>
  <si>
    <t xml:space="preserve">욕실 문 옆 벽</t>
  </si>
  <si>
    <r>
      <rPr>
        <b val="true"/>
        <sz val="10"/>
        <rFont val="맑은 고딕"/>
        <family val="0"/>
        <charset val="1"/>
      </rPr>
      <t xml:space="preserve">■ 04. AMBASSADOR SUITE (AS) — </t>
    </r>
    <r>
      <rPr>
        <b val="true"/>
        <sz val="10"/>
        <rFont val="WenQuanYi Zen Hei"/>
        <family val="2"/>
      </rPr>
      <t xml:space="preserve">커넥팅   </t>
    </r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확정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프로님 검토 </t>
    </r>
    <r>
      <rPr>
        <b val="true"/>
        <sz val="10"/>
        <rFont val="맑은 고딕"/>
        <family val="0"/>
        <charset val="1"/>
      </rPr>
      <t xml:space="preserve">v4)]</t>
    </r>
  </si>
  <si>
    <t xml:space="preserve">중앙 하단 출입문 복도 쪽</t>
  </si>
  <si>
    <t xml:space="preserve">킹 침대 옆</t>
  </si>
  <si>
    <t xml:space="preserve">현관에서 거실 들어가는 입구 옆 벽</t>
  </si>
  <si>
    <t xml:space="preserve">침실과 욕실 사이 옷장 통로</t>
  </si>
  <si>
    <t xml:space="preserve">트윈 침대 옆</t>
  </si>
  <si>
    <r>
      <rPr>
        <sz val="10"/>
        <rFont val="WenQuanYi Zen Hei"/>
        <family val="2"/>
      </rPr>
      <t xml:space="preserve">욕실 문 옆 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현관은 통로라 스위치 없음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</si>
  <si>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■ 05. MANAGER'S SUITE (GM)   [</t>
    </r>
    <r>
      <rPr>
        <b val="true"/>
        <sz val="10"/>
        <rFont val="WenQuanYi Zen Hei"/>
        <family val="2"/>
      </rPr>
      <t xml:space="preserve">확정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프로님 검토 </t>
    </r>
    <r>
      <rPr>
        <b val="true"/>
        <sz val="10"/>
        <rFont val="맑은 고딕"/>
        <family val="0"/>
        <charset val="1"/>
      </rPr>
      <t xml:space="preserve">v2)]</t>
    </r>
  </si>
  <si>
    <t xml:space="preserve">좌측 상단 출입문 복도 쪽</t>
  </si>
  <si>
    <r>
      <rPr>
        <sz val="10"/>
        <rFont val="WenQuanYi Zen Hei"/>
        <family val="2"/>
      </rPr>
      <t xml:space="preserve">좌 침실 침대 옆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우 침실 침대 옆</t>
    </r>
  </si>
  <si>
    <t xml:space="preserve">현관 복도에서 거실 들어가는 입구 옆 벽</t>
  </si>
  <si>
    <r>
      <rPr>
        <sz val="10"/>
        <rFont val="WenQuanYi Zen Hei"/>
        <family val="2"/>
      </rPr>
      <t xml:space="preserve">좌 욕실 문 옆 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우 욕실 문 옆 벽</t>
    </r>
  </si>
  <si>
    <r>
      <rPr>
        <sz val="10"/>
        <rFont val="WenQuanYi Zen Hei"/>
        <family val="2"/>
      </rPr>
      <t xml:space="preserve">출입문 옆 드레스룸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옷걸이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우 침실 드레스룸</t>
    </r>
  </si>
  <si>
    <r>
      <rPr>
        <b val="true"/>
        <sz val="10"/>
        <rFont val="맑은 고딕"/>
        <family val="0"/>
        <charset val="1"/>
      </rPr>
      <t xml:space="preserve">■ 06. OWNER'S SUITE (OS)   [</t>
    </r>
    <r>
      <rPr>
        <b val="true"/>
        <sz val="10"/>
        <rFont val="WenQuanYi Zen Hei"/>
        <family val="2"/>
      </rPr>
      <t xml:space="preserve">미검토</t>
    </r>
    <r>
      <rPr>
        <b val="true"/>
        <sz val="10"/>
        <rFont val="맑은 고딕"/>
        <family val="0"/>
        <charset val="1"/>
      </rPr>
      <t xml:space="preserve">]</t>
    </r>
  </si>
  <si>
    <t xml:space="preserve">좌측 하단 출입문 복도 쪽</t>
  </si>
  <si>
    <t xml:space="preserve">마스터 침대 옆</t>
  </si>
  <si>
    <r>
      <rPr>
        <sz val="10"/>
        <rFont val="WenQuanYi Zen Hei"/>
        <family val="2"/>
      </rPr>
      <t xml:space="preserve">거실 입구 옆 벽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회의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식당실 입구 옆 벽</t>
    </r>
  </si>
  <si>
    <r>
      <rPr>
        <sz val="10"/>
        <rFont val="WenQuanYi Zen Hei"/>
        <family val="2"/>
      </rPr>
      <t xml:space="preserve">마스터 욕실 문 옆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파우더룸 문 옆</t>
    </r>
  </si>
  <si>
    <r>
      <rPr>
        <sz val="10"/>
        <rFont val="WenQuanYi Zen Hei"/>
        <family val="2"/>
      </rPr>
      <t xml:space="preserve">거실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침실 사이 드레스룸</t>
    </r>
  </si>
  <si>
    <r>
      <rPr>
        <b val="true"/>
        <sz val="10"/>
        <rFont val="맑은 고딕"/>
        <family val="0"/>
        <charset val="1"/>
      </rPr>
      <t xml:space="preserve">■ 07. PRESIDENTIAL SUITE (PS)   [</t>
    </r>
    <r>
      <rPr>
        <b val="true"/>
        <sz val="10"/>
        <rFont val="WenQuanYi Zen Hei"/>
        <family val="2"/>
      </rPr>
      <t xml:space="preserve">미검토</t>
    </r>
    <r>
      <rPr>
        <b val="true"/>
        <sz val="10"/>
        <rFont val="맑은 고딕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</si>
  <si>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중앙 </t>
    </r>
    <r>
      <rPr>
        <sz val="10"/>
        <rFont val="맑은 고딕"/>
        <family val="0"/>
        <charset val="1"/>
      </rPr>
      <t xml:space="preserve">ENTRY FOYER </t>
    </r>
    <r>
      <rPr>
        <sz val="10"/>
        <rFont val="WenQuanYi Zen Hei"/>
        <family val="2"/>
      </rPr>
      <t xml:space="preserve">출입문 복도 쪽</t>
    </r>
  </si>
  <si>
    <r>
      <rPr>
        <sz val="10"/>
        <rFont val="WenQuanYi Zen Hei"/>
        <family val="2"/>
      </rPr>
      <t xml:space="preserve">마스터 침대 옆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더블퀸 침대 옆</t>
    </r>
  </si>
  <si>
    <r>
      <rPr>
        <sz val="10"/>
        <rFont val="맑은 고딕"/>
        <family val="0"/>
        <charset val="1"/>
      </rPr>
      <t xml:space="preserve">LIVING </t>
    </r>
    <r>
      <rPr>
        <sz val="10"/>
        <rFont val="WenQuanYi Zen Hei"/>
        <family val="2"/>
      </rPr>
      <t xml:space="preserve">입구 옆 벽 </t>
    </r>
    <r>
      <rPr>
        <sz val="10"/>
        <rFont val="맑은 고딕"/>
        <family val="0"/>
        <charset val="1"/>
      </rPr>
      <t xml:space="preserve">/ DINING </t>
    </r>
    <r>
      <rPr>
        <sz val="10"/>
        <rFont val="WenQuanYi Zen Hei"/>
        <family val="2"/>
      </rPr>
      <t xml:space="preserve">입구 옆 벽 </t>
    </r>
    <r>
      <rPr>
        <sz val="10"/>
        <rFont val="맑은 고딕"/>
        <family val="0"/>
        <charset val="1"/>
      </rPr>
      <t xml:space="preserve">/ LIBRARY </t>
    </r>
    <r>
      <rPr>
        <sz val="10"/>
        <rFont val="WenQuanYi Zen Hei"/>
        <family val="2"/>
      </rPr>
      <t xml:space="preserve">입구 옆 벽</t>
    </r>
  </si>
  <si>
    <r>
      <rPr>
        <sz val="10"/>
        <rFont val="WenQuanYi Zen Hei"/>
        <family val="2"/>
      </rPr>
      <t xml:space="preserve">더블퀸 욕실 문 옆 </t>
    </r>
    <r>
      <rPr>
        <sz val="10"/>
        <rFont val="맑은 고딕"/>
        <family val="0"/>
        <charset val="1"/>
      </rPr>
      <t xml:space="preserve">/ POWDER ROOM </t>
    </r>
    <r>
      <rPr>
        <sz val="10"/>
        <rFont val="WenQuanYi Zen Hei"/>
        <family val="2"/>
      </rPr>
      <t xml:space="preserve">문 옆 </t>
    </r>
    <r>
      <rPr>
        <sz val="10"/>
        <rFont val="맑은 고딕"/>
        <family val="0"/>
        <charset val="1"/>
      </rPr>
      <t xml:space="preserve">/ TOILET </t>
    </r>
    <r>
      <rPr>
        <sz val="10"/>
        <rFont val="WenQuanYi Zen Hei"/>
        <family val="2"/>
      </rPr>
      <t xml:space="preserve">문 옆 </t>
    </r>
    <r>
      <rPr>
        <sz val="10"/>
        <rFont val="맑은 고딕"/>
        <family val="0"/>
        <charset val="1"/>
      </rPr>
      <t xml:space="preserve">/ MASTER BATH </t>
    </r>
    <r>
      <rPr>
        <sz val="10"/>
        <rFont val="WenQuanYi Zen Hei"/>
        <family val="2"/>
      </rPr>
      <t xml:space="preserve">문 옆</t>
    </r>
  </si>
  <si>
    <r>
      <rPr>
        <sz val="10"/>
        <rFont val="WenQuanYi Zen Hei"/>
        <family val="2"/>
      </rPr>
      <t xml:space="preserve">마스터 옷장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옷걸이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더블퀸 옷장</t>
    </r>
  </si>
  <si>
    <r>
      <rPr>
        <b val="true"/>
        <sz val="10"/>
        <rFont val="맑은 고딕"/>
        <family val="0"/>
        <charset val="1"/>
      </rPr>
      <t xml:space="preserve">■ 08. HOSPITALITY SUITE-1 (HS-1)   [</t>
    </r>
    <r>
      <rPr>
        <b val="true"/>
        <sz val="10"/>
        <rFont val="WenQuanYi Zen Hei"/>
        <family val="2"/>
      </rPr>
      <t xml:space="preserve">미검토</t>
    </r>
    <r>
      <rPr>
        <b val="true"/>
        <sz val="10"/>
        <rFont val="맑은 고딕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</si>
  <si>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하단 </t>
    </r>
    <r>
      <rPr>
        <sz val="10"/>
        <rFont val="맑은 고딕"/>
        <family val="0"/>
        <charset val="1"/>
      </rPr>
      <t xml:space="preserve">FOYER </t>
    </r>
    <r>
      <rPr>
        <sz val="10"/>
        <rFont val="WenQuanYi Zen Hei"/>
        <family val="2"/>
      </rPr>
      <t xml:space="preserve">출입문 복도 쪽</t>
    </r>
  </si>
  <si>
    <r>
      <rPr>
        <sz val="10"/>
        <rFont val="WenQuanYi Zen Hei"/>
        <family val="2"/>
      </rPr>
      <t xml:space="preserve">회의실 입구 옆 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온도</t>
    </r>
    <r>
      <rPr>
        <sz val="10"/>
        <rFont val="맑은 고딕"/>
        <family val="0"/>
        <charset val="1"/>
      </rPr>
      <t xml:space="preserve">+L+</t>
    </r>
    <r>
      <rPr>
        <sz val="10"/>
        <rFont val="WenQuanYi Zen Hei"/>
        <family val="2"/>
      </rPr>
      <t xml:space="preserve">디밍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커튼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</si>
  <si>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BATHROOM FOYER </t>
    </r>
    <r>
      <rPr>
        <sz val="10"/>
        <rFont val="WenQuanYi Zen Hei"/>
        <family val="2"/>
      </rPr>
      <t xml:space="preserve">옷장</t>
    </r>
  </si>
  <si>
    <r>
      <rPr>
        <b val="true"/>
        <sz val="10"/>
        <rFont val="맑은 고딕"/>
        <family val="0"/>
        <charset val="1"/>
      </rPr>
      <t xml:space="preserve">■ 09. HOSPITALITY SUITE-3 (HS-3)   [</t>
    </r>
    <r>
      <rPr>
        <b val="true"/>
        <sz val="10"/>
        <rFont val="WenQuanYi Zen Hei"/>
        <family val="2"/>
      </rPr>
      <t xml:space="preserve">미검토</t>
    </r>
    <r>
      <rPr>
        <b val="true"/>
        <sz val="10"/>
        <rFont val="맑은 고딕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</si>
  <si>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좌측 하단 </t>
    </r>
    <r>
      <rPr>
        <sz val="10"/>
        <rFont val="맑은 고딕"/>
        <family val="0"/>
        <charset val="1"/>
      </rPr>
      <t xml:space="preserve">FOYER </t>
    </r>
    <r>
      <rPr>
        <sz val="10"/>
        <rFont val="WenQuanYi Zen Hei"/>
        <family val="2"/>
      </rPr>
      <t xml:space="preserve">출입문 복도 쪽</t>
    </r>
  </si>
  <si>
    <t xml:space="preserve">회의실 입구 옆 벽</t>
  </si>
  <si>
    <r>
      <rPr>
        <b val="true"/>
        <sz val="10"/>
        <rFont val="맑은 고딕"/>
        <family val="0"/>
        <charset val="1"/>
      </rPr>
      <t xml:space="preserve">■ 10. HOSPITALITY SUITE-5 (HS-5)   [</t>
    </r>
    <r>
      <rPr>
        <b val="true"/>
        <sz val="10"/>
        <rFont val="WenQuanYi Zen Hei"/>
        <family val="2"/>
      </rPr>
      <t xml:space="preserve">미검토</t>
    </r>
    <r>
      <rPr>
        <b val="true"/>
        <sz val="10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</si>
  <si>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LIBRARY </t>
    </r>
    <r>
      <rPr>
        <sz val="10"/>
        <rFont val="WenQuanYi Zen Hei"/>
        <family val="2"/>
      </rPr>
      <t xml:space="preserve">입구 옆 벽</t>
    </r>
  </si>
  <si>
    <r>
      <rPr>
        <b val="true"/>
        <sz val="10"/>
        <rFont val="맑은 고딕"/>
        <family val="0"/>
        <charset val="1"/>
      </rPr>
      <t xml:space="preserve">■ 11. HANDICAP (DD-2) 3~12F </t>
    </r>
    <r>
      <rPr>
        <b val="true"/>
        <sz val="10"/>
        <rFont val="WenQuanYi Zen Hei"/>
        <family val="2"/>
      </rPr>
      <t xml:space="preserve">주거약자실   </t>
    </r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미검토</t>
    </r>
    <r>
      <rPr>
        <b val="true"/>
        <sz val="10"/>
        <rFont val="맑은 고딕"/>
        <family val="0"/>
        <charset val="1"/>
      </rPr>
      <t xml:space="preserve">]</t>
    </r>
  </si>
  <si>
    <t xml:space="preserve">트윈 침대 사이</t>
  </si>
  <si>
    <r>
      <rPr>
        <sz val="10"/>
        <rFont val="WenQuanYi Zen Hei"/>
        <family val="2"/>
      </rPr>
      <t xml:space="preserve">현관 옷장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옷걸이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</si>
  <si>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욕실 변기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욕조 옆</t>
    </r>
  </si>
  <si>
    <r>
      <rPr>
        <b val="true"/>
        <sz val="10"/>
        <rFont val="맑은 고딕"/>
        <family val="0"/>
        <charset val="1"/>
      </rPr>
      <t xml:space="preserve">■ 12. KING &amp; DD TYPE — 2</t>
    </r>
    <r>
      <rPr>
        <b val="true"/>
        <sz val="10"/>
        <rFont val="WenQuanYi Zen Hei"/>
        <family val="2"/>
      </rPr>
      <t xml:space="preserve">실   </t>
    </r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미검토</t>
    </r>
    <r>
      <rPr>
        <b val="true"/>
        <sz val="10"/>
        <rFont val="맑은 고딕"/>
        <family val="0"/>
        <charset val="1"/>
      </rPr>
      <t xml:space="preserve">]</t>
    </r>
  </si>
  <si>
    <t xml:space="preserve">우측 출입문 복도 쪽</t>
  </si>
  <si>
    <r>
      <rPr>
        <sz val="10"/>
        <rFont val="WenQuanYi Zen Hei"/>
        <family val="2"/>
      </rPr>
      <t xml:space="preserve">침대 옆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침대 미도시</t>
    </r>
    <r>
      <rPr>
        <sz val="10"/>
        <rFont val="맑은 고딕"/>
        <family val="0"/>
        <charset val="1"/>
      </rPr>
      <t xml:space="preserve">)</t>
    </r>
  </si>
  <si>
    <t xml:space="preserve">항목</t>
  </si>
  <si>
    <r>
      <rPr>
        <b val="true"/>
        <sz val="10"/>
        <rFont val="WenQuanYi Zen Hei"/>
        <family val="2"/>
      </rPr>
      <t xml:space="preserve">기준 </t>
    </r>
    <r>
      <rPr>
        <b val="true"/>
        <sz val="10"/>
        <rFont val="맑은 고딕"/>
        <family val="0"/>
        <charset val="1"/>
      </rPr>
      <t xml:space="preserve">(2026-10-07)</t>
    </r>
  </si>
  <si>
    <t xml:space="preserve">번호 체계</t>
  </si>
  <si>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챠임벨 </t>
    </r>
    <r>
      <rPr>
        <sz val="10"/>
        <rFont val="맑은 고딕"/>
        <family val="0"/>
        <charset val="1"/>
      </rPr>
      <t xml:space="preserve">/ 2 </t>
    </r>
    <r>
      <rPr>
        <sz val="10"/>
        <rFont val="WenQuanYi Zen Hei"/>
        <family val="2"/>
      </rPr>
      <t xml:space="preserve">키센서 </t>
    </r>
    <r>
      <rPr>
        <sz val="10"/>
        <rFont val="맑은 고딕"/>
        <family val="0"/>
        <charset val="1"/>
      </rPr>
      <t xml:space="preserve">DM / 3 BSP / 4 </t>
    </r>
    <r>
      <rPr>
        <sz val="10"/>
        <rFont val="WenQuanYi Zen Hei"/>
        <family val="2"/>
      </rPr>
      <t xml:space="preserve">거실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회의실 스위치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없으면 드레스룸이 </t>
    </r>
    <r>
      <rPr>
        <sz val="10"/>
        <rFont val="맑은 고딕"/>
        <family val="0"/>
        <charset val="1"/>
      </rPr>
      <t xml:space="preserve">4) / 5 </t>
    </r>
    <r>
      <rPr>
        <sz val="10"/>
        <rFont val="WenQuanYi Zen Hei"/>
        <family val="2"/>
      </rPr>
      <t xml:space="preserve">화장실 스위치 </t>
    </r>
    <r>
      <rPr>
        <sz val="10"/>
        <rFont val="맑은 고딕"/>
        <family val="0"/>
        <charset val="1"/>
      </rPr>
      <t xml:space="preserve">/ 6 </t>
    </r>
    <r>
      <rPr>
        <sz val="10"/>
        <rFont val="WenQuanYi Zen Hei"/>
        <family val="2"/>
      </rPr>
      <t xml:space="preserve">드레스룸 스위치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거실 있을 때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비상호출은 맨 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같은 품목이 여러 개면 같은 번호 반복</t>
    </r>
    <r>
      <rPr>
        <sz val="10"/>
        <rFont val="맑은 고딕"/>
        <family val="0"/>
        <charset val="1"/>
      </rPr>
      <t xml:space="preserve">.</t>
    </r>
  </si>
  <si>
    <t xml:space="preserve">MMO</t>
  </si>
  <si>
    <r>
      <rPr>
        <sz val="10"/>
        <rFont val="WenQuanYi Zen Hei"/>
        <family val="2"/>
      </rPr>
      <t xml:space="preserve">이 현장은 </t>
    </r>
    <r>
      <rPr>
        <sz val="10"/>
        <rFont val="맑은 고딕"/>
        <family val="0"/>
        <charset val="1"/>
      </rPr>
      <t xml:space="preserve">MMO </t>
    </r>
    <r>
      <rPr>
        <sz val="10"/>
        <rFont val="WenQuanYi Zen Hei"/>
        <family val="2"/>
      </rPr>
      <t xml:space="preserve">삭제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데스크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화장대 구분 어려움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다른 현장은 책상 있으면 </t>
    </r>
    <r>
      <rPr>
        <sz val="10"/>
        <rFont val="맑은 고딕"/>
        <family val="0"/>
        <charset val="1"/>
      </rPr>
      <t xml:space="preserve">MMO 1 </t>
    </r>
    <r>
      <rPr>
        <sz val="10"/>
        <rFont val="WenQuanYi Zen Hei"/>
        <family val="2"/>
      </rPr>
      <t xml:space="preserve">규칙 유지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</si>
  <si>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BSP </t>
    </r>
    <r>
      <rPr>
        <sz val="10"/>
        <rFont val="WenQuanYi Zen Hei"/>
        <family val="2"/>
      </rPr>
      <t xml:space="preserve">내장</t>
    </r>
  </si>
  <si>
    <r>
      <rPr>
        <sz val="10"/>
        <rFont val="WenQuanYi Zen Hei"/>
        <family val="2"/>
      </rPr>
      <t xml:space="preserve">온도조절기</t>
    </r>
    <r>
      <rPr>
        <sz val="10"/>
        <rFont val="맑은 고딕"/>
        <family val="0"/>
        <charset val="1"/>
      </rPr>
      <t xml:space="preserve">·L·</t>
    </r>
    <r>
      <rPr>
        <sz val="10"/>
        <rFont val="WenQuanYi Zen Hei"/>
        <family val="2"/>
      </rPr>
      <t xml:space="preserve">디밍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커튼스위치는 </t>
    </r>
    <r>
      <rPr>
        <sz val="10"/>
        <rFont val="맑은 고딕"/>
        <family val="0"/>
        <charset val="1"/>
      </rPr>
      <t xml:space="preserve">BSP </t>
    </r>
    <r>
      <rPr>
        <sz val="10"/>
        <rFont val="WenQuanYi Zen Hei"/>
        <family val="2"/>
      </rPr>
      <t xml:space="preserve">안에 내장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침실만 있는 타입은 별도 없음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</si>
  <si>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별도 거실이 있을 때만 거실 입구 옆 벽에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온도</t>
    </r>
    <r>
      <rPr>
        <sz val="10"/>
        <rFont val="맑은 고딕"/>
        <family val="0"/>
        <charset val="1"/>
      </rPr>
      <t xml:space="preserve">+L+</t>
    </r>
    <r>
      <rPr>
        <sz val="10"/>
        <rFont val="WenQuanYi Zen Hei"/>
        <family val="2"/>
      </rPr>
      <t xml:space="preserve">디밍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커튼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회의실도 같은 구성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</si>
  <si>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화장실 들어가는 문 옆 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손잡이 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경첩 반대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문 바깥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공간 한가운데 찍지 않는다</t>
    </r>
    <r>
      <rPr>
        <sz val="10"/>
        <rFont val="맑은 고딕"/>
        <family val="0"/>
        <charset val="1"/>
      </rPr>
      <t xml:space="preserve">.</t>
    </r>
  </si>
  <si>
    <t xml:space="preserve">드레스룸</t>
  </si>
  <si>
    <r>
      <rPr>
        <sz val="10"/>
        <rFont val="WenQuanYi Zen Hei"/>
        <family val="2"/>
      </rPr>
      <t xml:space="preserve">옷걸이 기호가 있는 옷장방이면 스위치 </t>
    </r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옷걸이 없이 지나가는 통로형 현관은 스위치 없음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</si>
  <si>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주거약자실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장애인실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만 욕실 </t>
    </r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일반실 없음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</si>
  <si>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미니바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수납</t>
    </r>
  </si>
  <si>
    <r>
      <rPr>
        <sz val="10"/>
        <rFont val="WenQuanYi Zen Hei"/>
        <family val="2"/>
      </rPr>
      <t xml:space="preserve">거실과 한 공간인 미니바 콘솔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붙박이 옷장은 기구물 없음</t>
    </r>
    <r>
      <rPr>
        <sz val="10"/>
        <rFont val="맑은 고딕"/>
        <family val="0"/>
        <charset val="1"/>
      </rPr>
      <t xml:space="preserve">.</t>
    </r>
  </si>
  <si>
    <t xml:space="preserve">커넥팅룸</t>
  </si>
  <si>
    <r>
      <rPr>
        <sz val="10"/>
        <rFont val="WenQuanYi Zen Hei"/>
        <family val="2"/>
      </rPr>
      <t xml:space="preserve">룸</t>
    </r>
    <r>
      <rPr>
        <sz val="10"/>
        <rFont val="맑은 고딕"/>
        <family val="0"/>
        <charset val="1"/>
      </rPr>
      <t xml:space="preserve">1·</t>
    </r>
    <r>
      <rPr>
        <sz val="10"/>
        <rFont val="WenQuanYi Zen Hei"/>
        <family val="2"/>
      </rPr>
      <t xml:space="preserve">룸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로 나눠 표를 따로 만든다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같이 팔 때는 합산</t>
    </r>
    <r>
      <rPr>
        <sz val="10"/>
        <rFont val="맑은 고딕"/>
        <family val="0"/>
        <charset val="1"/>
      </rPr>
      <t xml:space="preserve">.</t>
    </r>
  </si>
  <si>
    <t xml:space="preserve">책상 판독</t>
  </si>
  <si>
    <r>
      <rPr>
        <sz val="10"/>
        <rFont val="WenQuanYi Zen Hei"/>
        <family val="2"/>
      </rPr>
      <t xml:space="preserve">창가에 의자 </t>
    </r>
    <r>
      <rPr>
        <sz val="10"/>
        <rFont val="맑은 고딕"/>
        <family val="0"/>
        <charset val="1"/>
      </rPr>
      <t xml:space="preserve">1 + </t>
    </r>
    <r>
      <rPr>
        <sz val="10"/>
        <rFont val="WenQuanYi Zen Hei"/>
        <family val="2"/>
      </rPr>
      <t xml:space="preserve">작은 탁자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책상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양면 긴 장</t>
    </r>
    <r>
      <rPr>
        <sz val="10"/>
        <rFont val="맑은 고딕"/>
        <family val="0"/>
        <charset val="1"/>
      </rPr>
      <t xml:space="preserve">(TV</t>
    </r>
    <r>
      <rPr>
        <sz val="10"/>
        <rFont val="WenQuanYi Zen Hei"/>
        <family val="2"/>
      </rPr>
      <t xml:space="preserve">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콘솔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화장대는 책상 아님</t>
    </r>
    <r>
      <rPr>
        <sz val="10"/>
        <rFont val="맑은 고딕"/>
        <family val="0"/>
        <charset val="1"/>
      </rPr>
      <t xml:space="preserve">. (</t>
    </r>
    <r>
      <rPr>
        <sz val="10"/>
        <rFont val="WenQuanYi Zen Hei"/>
        <family val="2"/>
      </rPr>
      <t xml:space="preserve">이 현장은 </t>
    </r>
    <r>
      <rPr>
        <sz val="10"/>
        <rFont val="맑은 고딕"/>
        <family val="0"/>
        <charset val="1"/>
      </rPr>
      <t xml:space="preserve">MMO </t>
    </r>
    <r>
      <rPr>
        <sz val="10"/>
        <rFont val="WenQuanYi Zen Hei"/>
        <family val="2"/>
      </rPr>
      <t xml:space="preserve">삭제라 참고만</t>
    </r>
    <r>
      <rPr>
        <sz val="10"/>
        <rFont val="맑은 고딕"/>
        <family val="0"/>
        <charset val="1"/>
      </rPr>
      <t xml:space="preserve">)</t>
    </r>
  </si>
  <si>
    <t xml:space="preserve">산출 방식</t>
  </si>
  <si>
    <r>
      <rPr>
        <sz val="10"/>
        <rFont val="WenQuanYi Zen Hei"/>
        <family val="2"/>
      </rPr>
      <t xml:space="preserve">한 타입씩 그림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표 한 장으로 내고 프로님 확인 후 다음 타입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한꺼번에 내지 않는다</t>
    </r>
    <r>
      <rPr>
        <sz val="10"/>
        <rFont val="맑은 고딕"/>
        <family val="0"/>
        <charset val="1"/>
      </rPr>
      <t xml:space="preserve">.</t>
    </r>
  </si>
  <si>
    <t xml:space="preserve">날짜</t>
  </si>
  <si>
    <t xml:space="preserve">버전</t>
  </si>
  <si>
    <t xml:space="preserve">내용</t>
  </si>
  <si>
    <t xml:space="preserve">2026-10-07</t>
  </si>
  <si>
    <t xml:space="preserve">v1</t>
  </si>
  <si>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타입 번호판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표 최초 생성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파일을 열면 자가진단 시트가 먼저 떠서 타입이 안 보였음</t>
    </r>
    <r>
      <rPr>
        <sz val="10"/>
        <rFont val="맑은 고딕"/>
        <family val="0"/>
        <charset val="1"/>
      </rPr>
      <t xml:space="preserve">.</t>
    </r>
  </si>
  <si>
    <t xml:space="preserve">v2</t>
  </si>
  <si>
    <r>
      <rPr>
        <sz val="10"/>
        <rFont val="WenQuanYi Zen Hei"/>
        <family val="2"/>
      </rPr>
      <t xml:space="preserve">한눈표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타입</t>
    </r>
    <r>
      <rPr>
        <sz val="10"/>
        <rFont val="맑은 고딕"/>
        <family val="0"/>
        <charset val="1"/>
      </rPr>
      <t xml:space="preserve">×</t>
    </r>
    <r>
      <rPr>
        <sz val="10"/>
        <rFont val="WenQuanYi Zen Hei"/>
        <family val="2"/>
      </rPr>
      <t xml:space="preserve">품목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첫 장으로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이름에 </t>
    </r>
    <r>
      <rPr>
        <sz val="10"/>
        <rFont val="맑은 고딕"/>
        <family val="0"/>
        <charset val="1"/>
      </rPr>
      <t xml:space="preserve">~ </t>
    </r>
    <r>
      <rPr>
        <sz val="10"/>
        <rFont val="WenQuanYi Zen Hei"/>
        <family val="2"/>
      </rPr>
      <t xml:space="preserve">가 든 타입</t>
    </r>
    <r>
      <rPr>
        <sz val="10"/>
        <rFont val="맑은 고딕"/>
        <family val="0"/>
        <charset val="1"/>
      </rPr>
      <t xml:space="preserve">(4~12F, K-3, DD-2)</t>
    </r>
    <r>
      <rPr>
        <sz val="10"/>
        <rFont val="WenQuanYi Zen Hei"/>
        <family val="2"/>
      </rPr>
      <t xml:space="preserve">이 </t>
    </r>
    <r>
      <rPr>
        <sz val="10"/>
        <rFont val="맑은 고딕"/>
        <family val="0"/>
        <charset val="1"/>
      </rPr>
      <t xml:space="preserve">SUMIFS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으로 잡히던 문제를 </t>
    </r>
    <r>
      <rPr>
        <sz val="10"/>
        <rFont val="맑은 고딕"/>
        <family val="0"/>
        <charset val="1"/>
      </rPr>
      <t xml:space="preserve">SUMPRODUCT</t>
    </r>
    <r>
      <rPr>
        <sz val="10"/>
        <rFont val="WenQuanYi Zen Hei"/>
        <family val="2"/>
      </rPr>
      <t xml:space="preserve">로 바꿔 해결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상세 시트에 타입별 구분 줄 추가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한눈표는 상세를 자동 집계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수량 값은 </t>
    </r>
    <r>
      <rPr>
        <sz val="10"/>
        <rFont val="맑은 고딕"/>
        <family val="0"/>
        <charset val="1"/>
      </rPr>
      <t xml:space="preserve">v1</t>
    </r>
    <r>
      <rPr>
        <sz val="10"/>
        <rFont val="WenQuanYi Zen Hei"/>
        <family val="2"/>
      </rPr>
      <t xml:space="preserve">과 같음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</si>
  <si>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④ 미검토 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타입 위치는 </t>
    </r>
    <r>
      <rPr>
        <sz val="10"/>
        <rFont val="맑은 고딕"/>
        <family val="0"/>
        <charset val="1"/>
      </rPr>
      <t xml:space="preserve">Claude </t>
    </r>
    <r>
      <rPr>
        <sz val="10"/>
        <rFont val="WenQuanYi Zen Hei"/>
        <family val="2"/>
      </rPr>
      <t xml:space="preserve">판독</t>
    </r>
    <r>
      <rPr>
        <sz val="10"/>
        <rFont val="맑은 고딕"/>
        <family val="0"/>
        <charset val="1"/>
      </rPr>
      <t xml:space="preserve">. OS </t>
    </r>
    <r>
      <rPr>
        <sz val="10"/>
        <rFont val="WenQuanYi Zen Hei"/>
        <family val="2"/>
      </rPr>
      <t xml:space="preserve">회의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식당실</t>
    </r>
    <r>
      <rPr>
        <sz val="10"/>
        <rFont val="맑은 고딕"/>
        <family val="0"/>
        <charset val="1"/>
      </rPr>
      <t xml:space="preserve">, PS </t>
    </r>
    <r>
      <rPr>
        <sz val="10"/>
        <rFont val="WenQuanYi Zen Hei"/>
        <family val="2"/>
      </rPr>
      <t xml:space="preserve">다이닝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라이브러리 거실 스위치</t>
    </r>
    <r>
      <rPr>
        <sz val="10"/>
        <rFont val="맑은 고딕"/>
        <family val="0"/>
        <charset val="1"/>
      </rPr>
      <t xml:space="preserve">, KING&amp;DD BSP </t>
    </r>
    <r>
      <rPr>
        <sz val="10"/>
        <rFont val="WenQuanYi Zen Hei"/>
        <family val="2"/>
      </rPr>
      <t xml:space="preserve">자리는 확신 낮음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</si>
  <si>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저장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드라이브 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컴퓨터로 옮길 것</t>
    </r>
    <r>
      <rPr>
        <sz val="10"/>
        <rFont val="맑은 고딕"/>
        <family val="0"/>
        <charset val="1"/>
      </rPr>
      <t xml:space="preserve">/46.</t>
    </r>
    <r>
      <rPr>
        <sz val="10"/>
        <rFont val="WenQuanYi Zen Hei"/>
        <family val="2"/>
      </rPr>
      <t xml:space="preserve">그랜드하얏트인천</t>
    </r>
    <r>
      <rPr>
        <sz val="10"/>
        <rFont val="맑은 고딕"/>
        <family val="0"/>
        <charset val="1"/>
      </rPr>
      <t xml:space="preserve">_3.</t>
    </r>
    <r>
      <rPr>
        <sz val="10"/>
        <rFont val="WenQuanYi Zen Hei"/>
        <family val="2"/>
      </rPr>
      <t xml:space="preserve">단위세대배치 → </t>
    </r>
    <r>
      <rPr>
        <sz val="10"/>
        <rFont val="맑은 고딕"/>
        <family val="0"/>
        <charset val="1"/>
      </rPr>
      <t xml:space="preserve">PC </t>
    </r>
    <r>
      <rPr>
        <sz val="10"/>
        <rFont val="WenQuanYi Zen Hei"/>
        <family val="2"/>
      </rPr>
      <t xml:space="preserve">「</t>
    </r>
    <r>
      <rPr>
        <sz val="10"/>
        <rFont val="맑은 고딕"/>
        <family val="0"/>
        <charset val="1"/>
      </rPr>
      <t xml:space="preserve">3.</t>
    </r>
    <r>
      <rPr>
        <sz val="10"/>
        <rFont val="WenQuanYi Zen Hei"/>
        <family val="2"/>
      </rPr>
      <t xml:space="preserve">단위세 대배치 해봄」으로 옮길 것</t>
    </r>
    <r>
      <rPr>
        <sz val="1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</si>
</sst>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&quot;&quot;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b val="true"/>
      <sz val="12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sz val="10"/>
      <color rgb="FF808080"/>
      <name val="WenQuanYi Zen Hei"/>
      <family val="2"/>
    </font>
    <font>
      <sz val="10"/>
      <color rgb="FF808080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12" min="4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6"/>
  </cols>
  <sheetData>
    <row r="1" customFormat="false" ht="17.1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2" t="s">
        <v>12</v>
      </c>
      <c r="M2" s="3" t="s">
        <v>13</v>
      </c>
      <c r="N2" s="3" t="s">
        <v>14</v>
      </c>
      <c r="O2" s="3" t="s">
        <v>15</v>
      </c>
    </row>
    <row r="3" customFormat="false" ht="26.1" hidden="false" customHeight="false" outlineLevel="0" collapsed="false">
      <c r="A3" s="4" t="n">
        <v>1</v>
      </c>
      <c r="B3" s="4" t="s">
        <v>16</v>
      </c>
      <c r="C3" s="4" t="s">
        <v>17</v>
      </c>
      <c r="D3" s="5" t="n">
        <f aca="false">SUMPRODUCT(('2.상세(수정)'!$A$2:$A$300=$B3)*('2.상세(수정)'!$B$2:$B$300=$C3)*('2.상세(수정)'!$D$2:$D$300=D$2)*'2.상세(수정)'!$E$2:$E$300)</f>
        <v>1</v>
      </c>
      <c r="E3" s="5" t="n">
        <f aca="false">SUMPRODUCT(('2.상세(수정)'!$A$2:$A$300=$B3)*('2.상세(수정)'!$B$2:$B$300=$C3)*('2.상세(수정)'!$D$2:$D$300=E$2)*'2.상세(수정)'!$E$2:$E$300)</f>
        <v>1</v>
      </c>
      <c r="F3" s="5" t="n">
        <f aca="false">SUMPRODUCT(('2.상세(수정)'!$A$2:$A$300=$B3)*('2.상세(수정)'!$B$2:$B$300=$C3)*('2.상세(수정)'!$D$2:$D$300=F$2)*'2.상세(수정)'!$E$2:$E$300)</f>
        <v>1</v>
      </c>
      <c r="G3" s="5" t="n">
        <f aca="false">SUMPRODUCT(('2.상세(수정)'!$A$2:$A$300=$B3)*('2.상세(수정)'!$B$2:$B$300=$C3)*('2.상세(수정)'!$D$2:$D$300=G$2)*'2.상세(수정)'!$E$2:$E$300)</f>
        <v>1</v>
      </c>
      <c r="H3" s="5" t="n">
        <f aca="false">SUMPRODUCT(('2.상세(수정)'!$A$2:$A$300=$B3)*('2.상세(수정)'!$B$2:$B$300=$C3)*('2.상세(수정)'!$D$2:$D$300=H$2)*'2.상세(수정)'!$E$2:$E$300)</f>
        <v>0</v>
      </c>
      <c r="I3" s="5" t="n">
        <f aca="false">SUMPRODUCT(('2.상세(수정)'!$A$2:$A$300=$B3)*('2.상세(수정)'!$B$2:$B$300=$C3)*('2.상세(수정)'!$D$2:$D$300=I$2)*'2.상세(수정)'!$E$2:$E$300)</f>
        <v>0</v>
      </c>
      <c r="J3" s="5" t="n">
        <f aca="false">SUMPRODUCT(('2.상세(수정)'!$A$2:$A$300=$B3)*('2.상세(수정)'!$B$2:$B$300=$C3)*('2.상세(수정)'!$D$2:$D$300=J$2)*'2.상세(수정)'!$E$2:$E$300)</f>
        <v>1</v>
      </c>
      <c r="K3" s="5" t="n">
        <f aca="false">SUMPRODUCT(('2.상세(수정)'!$A$2:$A$300=$B3)*('2.상세(수정)'!$B$2:$B$300=$C3)*('2.상세(수정)'!$D$2:$D$300=K$2)*'2.상세(수정)'!$E$2:$E$300)</f>
        <v>0</v>
      </c>
      <c r="L3" s="5" t="n">
        <f aca="false">SUM(D3:K3)</f>
        <v>5</v>
      </c>
      <c r="M3" s="6"/>
      <c r="N3" s="5" t="n">
        <f aca="false">L3*M3</f>
        <v>0</v>
      </c>
      <c r="O3" s="7" t="s">
        <v>18</v>
      </c>
    </row>
    <row r="4" customFormat="false" ht="26.1" hidden="false" customHeight="false" outlineLevel="0" collapsed="false">
      <c r="A4" s="4" t="n">
        <v>2</v>
      </c>
      <c r="B4" s="4" t="s">
        <v>19</v>
      </c>
      <c r="C4" s="4" t="s">
        <v>17</v>
      </c>
      <c r="D4" s="5" t="n">
        <f aca="false">SUMPRODUCT(('2.상세(수정)'!$A$2:$A$300=$B4)*('2.상세(수정)'!$B$2:$B$300=$C4)*('2.상세(수정)'!$D$2:$D$300=D$2)*'2.상세(수정)'!$E$2:$E$300)</f>
        <v>1</v>
      </c>
      <c r="E4" s="5" t="n">
        <f aca="false">SUMPRODUCT(('2.상세(수정)'!$A$2:$A$300=$B4)*('2.상세(수정)'!$B$2:$B$300=$C4)*('2.상세(수정)'!$D$2:$D$300=E$2)*'2.상세(수정)'!$E$2:$E$300)</f>
        <v>1</v>
      </c>
      <c r="F4" s="5" t="n">
        <f aca="false">SUMPRODUCT(('2.상세(수정)'!$A$2:$A$300=$B4)*('2.상세(수정)'!$B$2:$B$300=$C4)*('2.상세(수정)'!$D$2:$D$300=F$2)*'2.상세(수정)'!$E$2:$E$300)</f>
        <v>1</v>
      </c>
      <c r="G4" s="5" t="n">
        <f aca="false">SUMPRODUCT(('2.상세(수정)'!$A$2:$A$300=$B4)*('2.상세(수정)'!$B$2:$B$300=$C4)*('2.상세(수정)'!$D$2:$D$300=G$2)*'2.상세(수정)'!$E$2:$E$300)</f>
        <v>0</v>
      </c>
      <c r="H4" s="5" t="n">
        <f aca="false">SUMPRODUCT(('2.상세(수정)'!$A$2:$A$300=$B4)*('2.상세(수정)'!$B$2:$B$300=$C4)*('2.상세(수정)'!$D$2:$D$300=H$2)*'2.상세(수정)'!$E$2:$E$300)</f>
        <v>0</v>
      </c>
      <c r="I4" s="5" t="n">
        <f aca="false">SUMPRODUCT(('2.상세(수정)'!$A$2:$A$300=$B4)*('2.상세(수정)'!$B$2:$B$300=$C4)*('2.상세(수정)'!$D$2:$D$300=I$2)*'2.상세(수정)'!$E$2:$E$300)</f>
        <v>1</v>
      </c>
      <c r="J4" s="5" t="n">
        <f aca="false">SUMPRODUCT(('2.상세(수정)'!$A$2:$A$300=$B4)*('2.상세(수정)'!$B$2:$B$300=$C4)*('2.상세(수정)'!$D$2:$D$300=J$2)*'2.상세(수정)'!$E$2:$E$300)</f>
        <v>1</v>
      </c>
      <c r="K4" s="5" t="n">
        <f aca="false">SUMPRODUCT(('2.상세(수정)'!$A$2:$A$300=$B4)*('2.상세(수정)'!$B$2:$B$300=$C4)*('2.상세(수정)'!$D$2:$D$300=K$2)*'2.상세(수정)'!$E$2:$E$300)</f>
        <v>0</v>
      </c>
      <c r="L4" s="5" t="n">
        <f aca="false">SUM(D4:K4)</f>
        <v>5</v>
      </c>
      <c r="M4" s="6"/>
      <c r="N4" s="5" t="n">
        <f aca="false">L4*M4</f>
        <v>0</v>
      </c>
      <c r="O4" s="7" t="s">
        <v>18</v>
      </c>
    </row>
    <row r="5" customFormat="false" ht="15" hidden="false" customHeight="false" outlineLevel="0" collapsed="false">
      <c r="A5" s="4" t="n">
        <v>3</v>
      </c>
      <c r="B5" s="4" t="s">
        <v>20</v>
      </c>
      <c r="C5" s="4" t="s">
        <v>17</v>
      </c>
      <c r="D5" s="5" t="n">
        <f aca="false">SUMPRODUCT(('2.상세(수정)'!$A$2:$A$300=$B5)*('2.상세(수정)'!$B$2:$B$300=$C5)*('2.상세(수정)'!$D$2:$D$300=D$2)*'2.상세(수정)'!$E$2:$E$300)</f>
        <v>1</v>
      </c>
      <c r="E5" s="5" t="n">
        <f aca="false">SUMPRODUCT(('2.상세(수정)'!$A$2:$A$300=$B5)*('2.상세(수정)'!$B$2:$B$300=$C5)*('2.상세(수정)'!$D$2:$D$300=E$2)*'2.상세(수정)'!$E$2:$E$300)</f>
        <v>1</v>
      </c>
      <c r="F5" s="5" t="n">
        <f aca="false">SUMPRODUCT(('2.상세(수정)'!$A$2:$A$300=$B5)*('2.상세(수정)'!$B$2:$B$300=$C5)*('2.상세(수정)'!$D$2:$D$300=F$2)*'2.상세(수정)'!$E$2:$E$300)</f>
        <v>1</v>
      </c>
      <c r="G5" s="5" t="n">
        <f aca="false">SUMPRODUCT(('2.상세(수정)'!$A$2:$A$300=$B5)*('2.상세(수정)'!$B$2:$B$300=$C5)*('2.상세(수정)'!$D$2:$D$300=G$2)*'2.상세(수정)'!$E$2:$E$300)</f>
        <v>0</v>
      </c>
      <c r="H5" s="5" t="n">
        <f aca="false">SUMPRODUCT(('2.상세(수정)'!$A$2:$A$300=$B5)*('2.상세(수정)'!$B$2:$B$300=$C5)*('2.상세(수정)'!$D$2:$D$300=H$2)*'2.상세(수정)'!$E$2:$E$300)</f>
        <v>0</v>
      </c>
      <c r="I5" s="5" t="n">
        <f aca="false">SUMPRODUCT(('2.상세(수정)'!$A$2:$A$300=$B5)*('2.상세(수정)'!$B$2:$B$300=$C5)*('2.상세(수정)'!$D$2:$D$300=I$2)*'2.상세(수정)'!$E$2:$E$300)</f>
        <v>1</v>
      </c>
      <c r="J5" s="5" t="n">
        <f aca="false">SUMPRODUCT(('2.상세(수정)'!$A$2:$A$300=$B5)*('2.상세(수정)'!$B$2:$B$300=$C5)*('2.상세(수정)'!$D$2:$D$300=J$2)*'2.상세(수정)'!$E$2:$E$300)</f>
        <v>1</v>
      </c>
      <c r="K5" s="5" t="n">
        <f aca="false">SUMPRODUCT(('2.상세(수정)'!$A$2:$A$300=$B5)*('2.상세(수정)'!$B$2:$B$300=$C5)*('2.상세(수정)'!$D$2:$D$300=K$2)*'2.상세(수정)'!$E$2:$E$300)</f>
        <v>0</v>
      </c>
      <c r="L5" s="5" t="n">
        <f aca="false">SUM(D5:K5)</f>
        <v>5</v>
      </c>
      <c r="M5" s="6"/>
      <c r="N5" s="5" t="n">
        <f aca="false">L5*M5</f>
        <v>0</v>
      </c>
      <c r="O5" s="8" t="s">
        <v>21</v>
      </c>
    </row>
    <row r="6" customFormat="false" ht="26.1" hidden="false" customHeight="false" outlineLevel="0" collapsed="false">
      <c r="A6" s="4" t="n">
        <v>4</v>
      </c>
      <c r="B6" s="4" t="s">
        <v>22</v>
      </c>
      <c r="C6" s="9" t="s">
        <v>23</v>
      </c>
      <c r="D6" s="5" t="n">
        <f aca="false">SUMPRODUCT(('2.상세(수정)'!$A$2:$A$300=$B6)*('2.상세(수정)'!$B$2:$B$300=$C6)*('2.상세(수정)'!$D$2:$D$300=D$2)*'2.상세(수정)'!$E$2:$E$300)</f>
        <v>1</v>
      </c>
      <c r="E6" s="5" t="n">
        <f aca="false">SUMPRODUCT(('2.상세(수정)'!$A$2:$A$300=$B6)*('2.상세(수정)'!$B$2:$B$300=$C6)*('2.상세(수정)'!$D$2:$D$300=E$2)*'2.상세(수정)'!$E$2:$E$300)</f>
        <v>1</v>
      </c>
      <c r="F6" s="5" t="n">
        <f aca="false">SUMPRODUCT(('2.상세(수정)'!$A$2:$A$300=$B6)*('2.상세(수정)'!$B$2:$B$300=$C6)*('2.상세(수정)'!$D$2:$D$300=F$2)*'2.상세(수정)'!$E$2:$E$300)</f>
        <v>1</v>
      </c>
      <c r="G6" s="5" t="n">
        <f aca="false">SUMPRODUCT(('2.상세(수정)'!$A$2:$A$300=$B6)*('2.상세(수정)'!$B$2:$B$300=$C6)*('2.상세(수정)'!$D$2:$D$300=G$2)*'2.상세(수정)'!$E$2:$E$300)</f>
        <v>1</v>
      </c>
      <c r="H6" s="5" t="n">
        <f aca="false">SUMPRODUCT(('2.상세(수정)'!$A$2:$A$300=$B6)*('2.상세(수정)'!$B$2:$B$300=$C6)*('2.상세(수정)'!$D$2:$D$300=H$2)*'2.상세(수정)'!$E$2:$E$300)</f>
        <v>0</v>
      </c>
      <c r="I6" s="5" t="n">
        <f aca="false">SUMPRODUCT(('2.상세(수정)'!$A$2:$A$300=$B6)*('2.상세(수정)'!$B$2:$B$300=$C6)*('2.상세(수정)'!$D$2:$D$300=I$2)*'2.상세(수정)'!$E$2:$E$300)</f>
        <v>1</v>
      </c>
      <c r="J6" s="5" t="n">
        <f aca="false">SUMPRODUCT(('2.상세(수정)'!$A$2:$A$300=$B6)*('2.상세(수정)'!$B$2:$B$300=$C6)*('2.상세(수정)'!$D$2:$D$300=J$2)*'2.상세(수정)'!$E$2:$E$300)</f>
        <v>1</v>
      </c>
      <c r="K6" s="5" t="n">
        <f aca="false">SUMPRODUCT(('2.상세(수정)'!$A$2:$A$300=$B6)*('2.상세(수정)'!$B$2:$B$300=$C6)*('2.상세(수정)'!$D$2:$D$300=K$2)*'2.상세(수정)'!$E$2:$E$300)</f>
        <v>0</v>
      </c>
      <c r="L6" s="5" t="n">
        <f aca="false">SUM(D6:K6)</f>
        <v>6</v>
      </c>
      <c r="M6" s="6"/>
      <c r="N6" s="5" t="n">
        <f aca="false">L6*M6</f>
        <v>0</v>
      </c>
      <c r="O6" s="7" t="s">
        <v>18</v>
      </c>
    </row>
    <row r="7" customFormat="false" ht="26.1" hidden="false" customHeight="false" outlineLevel="0" collapsed="false">
      <c r="A7" s="4" t="n">
        <v>4</v>
      </c>
      <c r="B7" s="4" t="s">
        <v>22</v>
      </c>
      <c r="C7" s="9" t="s">
        <v>24</v>
      </c>
      <c r="D7" s="5" t="n">
        <f aca="false">SUMPRODUCT(('2.상세(수정)'!$A$2:$A$300=$B7)*('2.상세(수정)'!$B$2:$B$300=$C7)*('2.상세(수정)'!$D$2:$D$300=D$2)*'2.상세(수정)'!$E$2:$E$300)</f>
        <v>1</v>
      </c>
      <c r="E7" s="5" t="n">
        <f aca="false">SUMPRODUCT(('2.상세(수정)'!$A$2:$A$300=$B7)*('2.상세(수정)'!$B$2:$B$300=$C7)*('2.상세(수정)'!$D$2:$D$300=E$2)*'2.상세(수정)'!$E$2:$E$300)</f>
        <v>1</v>
      </c>
      <c r="F7" s="5" t="n">
        <f aca="false">SUMPRODUCT(('2.상세(수정)'!$A$2:$A$300=$B7)*('2.상세(수정)'!$B$2:$B$300=$C7)*('2.상세(수정)'!$D$2:$D$300=F$2)*'2.상세(수정)'!$E$2:$E$300)</f>
        <v>1</v>
      </c>
      <c r="G7" s="5" t="n">
        <f aca="false">SUMPRODUCT(('2.상세(수정)'!$A$2:$A$300=$B7)*('2.상세(수정)'!$B$2:$B$300=$C7)*('2.상세(수정)'!$D$2:$D$300=G$2)*'2.상세(수정)'!$E$2:$E$300)</f>
        <v>0</v>
      </c>
      <c r="H7" s="5" t="n">
        <f aca="false">SUMPRODUCT(('2.상세(수정)'!$A$2:$A$300=$B7)*('2.상세(수정)'!$B$2:$B$300=$C7)*('2.상세(수정)'!$D$2:$D$300=H$2)*'2.상세(수정)'!$E$2:$E$300)</f>
        <v>0</v>
      </c>
      <c r="I7" s="5" t="n">
        <f aca="false">SUMPRODUCT(('2.상세(수정)'!$A$2:$A$300=$B7)*('2.상세(수정)'!$B$2:$B$300=$C7)*('2.상세(수정)'!$D$2:$D$300=I$2)*'2.상세(수정)'!$E$2:$E$300)</f>
        <v>0</v>
      </c>
      <c r="J7" s="5" t="n">
        <f aca="false">SUMPRODUCT(('2.상세(수정)'!$A$2:$A$300=$B7)*('2.상세(수정)'!$B$2:$B$300=$C7)*('2.상세(수정)'!$D$2:$D$300=J$2)*'2.상세(수정)'!$E$2:$E$300)</f>
        <v>1</v>
      </c>
      <c r="K7" s="5" t="n">
        <f aca="false">SUMPRODUCT(('2.상세(수정)'!$A$2:$A$300=$B7)*('2.상세(수정)'!$B$2:$B$300=$C7)*('2.상세(수정)'!$D$2:$D$300=K$2)*'2.상세(수정)'!$E$2:$E$300)</f>
        <v>0</v>
      </c>
      <c r="L7" s="5" t="n">
        <f aca="false">SUM(D7:K7)</f>
        <v>4</v>
      </c>
      <c r="M7" s="6"/>
      <c r="N7" s="5" t="n">
        <f aca="false">L7*M7</f>
        <v>0</v>
      </c>
      <c r="O7" s="7" t="s">
        <v>18</v>
      </c>
    </row>
    <row r="8" customFormat="false" ht="26.1" hidden="false" customHeight="false" outlineLevel="0" collapsed="false">
      <c r="A8" s="4" t="n">
        <v>5</v>
      </c>
      <c r="B8" s="4" t="s">
        <v>25</v>
      </c>
      <c r="C8" s="4" t="s">
        <v>17</v>
      </c>
      <c r="D8" s="5" t="n">
        <f aca="false">SUMPRODUCT(('2.상세(수정)'!$A$2:$A$300=$B8)*('2.상세(수정)'!$B$2:$B$300=$C8)*('2.상세(수정)'!$D$2:$D$300=D$2)*'2.상세(수정)'!$E$2:$E$300)</f>
        <v>1</v>
      </c>
      <c r="E8" s="5" t="n">
        <f aca="false">SUMPRODUCT(('2.상세(수정)'!$A$2:$A$300=$B8)*('2.상세(수정)'!$B$2:$B$300=$C8)*('2.상세(수정)'!$D$2:$D$300=E$2)*'2.상세(수정)'!$E$2:$E$300)</f>
        <v>1</v>
      </c>
      <c r="F8" s="5" t="n">
        <f aca="false">SUMPRODUCT(('2.상세(수정)'!$A$2:$A$300=$B8)*('2.상세(수정)'!$B$2:$B$300=$C8)*('2.상세(수정)'!$D$2:$D$300=F$2)*'2.상세(수정)'!$E$2:$E$300)</f>
        <v>2</v>
      </c>
      <c r="G8" s="5" t="n">
        <f aca="false">SUMPRODUCT(('2.상세(수정)'!$A$2:$A$300=$B8)*('2.상세(수정)'!$B$2:$B$300=$C8)*('2.상세(수정)'!$D$2:$D$300=G$2)*'2.상세(수정)'!$E$2:$E$300)</f>
        <v>1</v>
      </c>
      <c r="H8" s="5" t="n">
        <f aca="false">SUMPRODUCT(('2.상세(수정)'!$A$2:$A$300=$B8)*('2.상세(수정)'!$B$2:$B$300=$C8)*('2.상세(수정)'!$D$2:$D$300=H$2)*'2.상세(수정)'!$E$2:$E$300)</f>
        <v>0</v>
      </c>
      <c r="I8" s="5" t="n">
        <f aca="false">SUMPRODUCT(('2.상세(수정)'!$A$2:$A$300=$B8)*('2.상세(수정)'!$B$2:$B$300=$C8)*('2.상세(수정)'!$D$2:$D$300=I$2)*'2.상세(수정)'!$E$2:$E$300)</f>
        <v>2</v>
      </c>
      <c r="J8" s="5" t="n">
        <f aca="false">SUMPRODUCT(('2.상세(수정)'!$A$2:$A$300=$B8)*('2.상세(수정)'!$B$2:$B$300=$C8)*('2.상세(수정)'!$D$2:$D$300=J$2)*'2.상세(수정)'!$E$2:$E$300)</f>
        <v>2</v>
      </c>
      <c r="K8" s="5" t="n">
        <f aca="false">SUMPRODUCT(('2.상세(수정)'!$A$2:$A$300=$B8)*('2.상세(수정)'!$B$2:$B$300=$C8)*('2.상세(수정)'!$D$2:$D$300=K$2)*'2.상세(수정)'!$E$2:$E$300)</f>
        <v>0</v>
      </c>
      <c r="L8" s="5" t="n">
        <f aca="false">SUM(D8:K8)</f>
        <v>9</v>
      </c>
      <c r="M8" s="6"/>
      <c r="N8" s="5" t="n">
        <f aca="false">L8*M8</f>
        <v>0</v>
      </c>
      <c r="O8" s="7" t="s">
        <v>26</v>
      </c>
    </row>
    <row r="9" customFormat="false" ht="15" hidden="false" customHeight="false" outlineLevel="0" collapsed="false">
      <c r="A9" s="4" t="n">
        <v>6</v>
      </c>
      <c r="B9" s="4" t="s">
        <v>27</v>
      </c>
      <c r="C9" s="4" t="s">
        <v>17</v>
      </c>
      <c r="D9" s="5" t="n">
        <f aca="false">SUMPRODUCT(('2.상세(수정)'!$A$2:$A$300=$B9)*('2.상세(수정)'!$B$2:$B$300=$C9)*('2.상세(수정)'!$D$2:$D$300=D$2)*'2.상세(수정)'!$E$2:$E$300)</f>
        <v>1</v>
      </c>
      <c r="E9" s="5" t="n">
        <f aca="false">SUMPRODUCT(('2.상세(수정)'!$A$2:$A$300=$B9)*('2.상세(수정)'!$B$2:$B$300=$C9)*('2.상세(수정)'!$D$2:$D$300=E$2)*'2.상세(수정)'!$E$2:$E$300)</f>
        <v>1</v>
      </c>
      <c r="F9" s="5" t="n">
        <f aca="false">SUMPRODUCT(('2.상세(수정)'!$A$2:$A$300=$B9)*('2.상세(수정)'!$B$2:$B$300=$C9)*('2.상세(수정)'!$D$2:$D$300=F$2)*'2.상세(수정)'!$E$2:$E$300)</f>
        <v>1</v>
      </c>
      <c r="G9" s="5" t="n">
        <f aca="false">SUMPRODUCT(('2.상세(수정)'!$A$2:$A$300=$B9)*('2.상세(수정)'!$B$2:$B$300=$C9)*('2.상세(수정)'!$D$2:$D$300=G$2)*'2.상세(수정)'!$E$2:$E$300)</f>
        <v>2</v>
      </c>
      <c r="H9" s="5" t="n">
        <f aca="false">SUMPRODUCT(('2.상세(수정)'!$A$2:$A$300=$B9)*('2.상세(수정)'!$B$2:$B$300=$C9)*('2.상세(수정)'!$D$2:$D$300=H$2)*'2.상세(수정)'!$E$2:$E$300)</f>
        <v>0</v>
      </c>
      <c r="I9" s="5" t="n">
        <f aca="false">SUMPRODUCT(('2.상세(수정)'!$A$2:$A$300=$B9)*('2.상세(수정)'!$B$2:$B$300=$C9)*('2.상세(수정)'!$D$2:$D$300=I$2)*'2.상세(수정)'!$E$2:$E$300)</f>
        <v>1</v>
      </c>
      <c r="J9" s="5" t="n">
        <f aca="false">SUMPRODUCT(('2.상세(수정)'!$A$2:$A$300=$B9)*('2.상세(수정)'!$B$2:$B$300=$C9)*('2.상세(수정)'!$D$2:$D$300=J$2)*'2.상세(수정)'!$E$2:$E$300)</f>
        <v>2</v>
      </c>
      <c r="K9" s="5" t="n">
        <f aca="false">SUMPRODUCT(('2.상세(수정)'!$A$2:$A$300=$B9)*('2.상세(수정)'!$B$2:$B$300=$C9)*('2.상세(수정)'!$D$2:$D$300=K$2)*'2.상세(수정)'!$E$2:$E$300)</f>
        <v>0</v>
      </c>
      <c r="L9" s="5" t="n">
        <f aca="false">SUM(D9:K9)</f>
        <v>8</v>
      </c>
      <c r="M9" s="6"/>
      <c r="N9" s="5" t="n">
        <f aca="false">L9*M9</f>
        <v>0</v>
      </c>
      <c r="O9" s="8" t="s">
        <v>21</v>
      </c>
    </row>
    <row r="10" customFormat="false" ht="15" hidden="false" customHeight="false" outlineLevel="0" collapsed="false">
      <c r="A10" s="4" t="n">
        <v>7</v>
      </c>
      <c r="B10" s="4" t="s">
        <v>28</v>
      </c>
      <c r="C10" s="4" t="s">
        <v>17</v>
      </c>
      <c r="D10" s="5" t="n">
        <f aca="false">SUMPRODUCT(('2.상세(수정)'!$A$2:$A$300=$B10)*('2.상세(수정)'!$B$2:$B$300=$C10)*('2.상세(수정)'!$D$2:$D$300=D$2)*'2.상세(수정)'!$E$2:$E$300)</f>
        <v>1</v>
      </c>
      <c r="E10" s="5" t="n">
        <f aca="false">SUMPRODUCT(('2.상세(수정)'!$A$2:$A$300=$B10)*('2.상세(수정)'!$B$2:$B$300=$C10)*('2.상세(수정)'!$D$2:$D$300=E$2)*'2.상세(수정)'!$E$2:$E$300)</f>
        <v>1</v>
      </c>
      <c r="F10" s="5" t="n">
        <f aca="false">SUMPRODUCT(('2.상세(수정)'!$A$2:$A$300=$B10)*('2.상세(수정)'!$B$2:$B$300=$C10)*('2.상세(수정)'!$D$2:$D$300=F$2)*'2.상세(수정)'!$E$2:$E$300)</f>
        <v>2</v>
      </c>
      <c r="G10" s="5" t="n">
        <f aca="false">SUMPRODUCT(('2.상세(수정)'!$A$2:$A$300=$B10)*('2.상세(수정)'!$B$2:$B$300=$C10)*('2.상세(수정)'!$D$2:$D$300=G$2)*'2.상세(수정)'!$E$2:$E$300)</f>
        <v>3</v>
      </c>
      <c r="H10" s="5" t="n">
        <f aca="false">SUMPRODUCT(('2.상세(수정)'!$A$2:$A$300=$B10)*('2.상세(수정)'!$B$2:$B$300=$C10)*('2.상세(수정)'!$D$2:$D$300=H$2)*'2.상세(수정)'!$E$2:$E$300)</f>
        <v>0</v>
      </c>
      <c r="I10" s="5" t="n">
        <f aca="false">SUMPRODUCT(('2.상세(수정)'!$A$2:$A$300=$B10)*('2.상세(수정)'!$B$2:$B$300=$C10)*('2.상세(수정)'!$D$2:$D$300=I$2)*'2.상세(수정)'!$E$2:$E$300)</f>
        <v>2</v>
      </c>
      <c r="J10" s="5" t="n">
        <f aca="false">SUMPRODUCT(('2.상세(수정)'!$A$2:$A$300=$B10)*('2.상세(수정)'!$B$2:$B$300=$C10)*('2.상세(수정)'!$D$2:$D$300=J$2)*'2.상세(수정)'!$E$2:$E$300)</f>
        <v>4</v>
      </c>
      <c r="K10" s="5" t="n">
        <f aca="false">SUMPRODUCT(('2.상세(수정)'!$A$2:$A$300=$B10)*('2.상세(수정)'!$B$2:$B$300=$C10)*('2.상세(수정)'!$D$2:$D$300=K$2)*'2.상세(수정)'!$E$2:$E$300)</f>
        <v>0</v>
      </c>
      <c r="L10" s="5" t="n">
        <f aca="false">SUM(D10:K10)</f>
        <v>13</v>
      </c>
      <c r="M10" s="6"/>
      <c r="N10" s="5" t="n">
        <f aca="false">L10*M10</f>
        <v>0</v>
      </c>
      <c r="O10" s="8" t="s">
        <v>21</v>
      </c>
    </row>
    <row r="11" customFormat="false" ht="15" hidden="false" customHeight="false" outlineLevel="0" collapsed="false">
      <c r="A11" s="4" t="n">
        <v>8</v>
      </c>
      <c r="B11" s="4" t="s">
        <v>29</v>
      </c>
      <c r="C11" s="4" t="s">
        <v>17</v>
      </c>
      <c r="D11" s="5" t="n">
        <f aca="false">SUMPRODUCT(('2.상세(수정)'!$A$2:$A$300=$B11)*('2.상세(수정)'!$B$2:$B$300=$C11)*('2.상세(수정)'!$D$2:$D$300=D$2)*'2.상세(수정)'!$E$2:$E$300)</f>
        <v>1</v>
      </c>
      <c r="E11" s="5" t="n">
        <f aca="false">SUMPRODUCT(('2.상세(수정)'!$A$2:$A$300=$B11)*('2.상세(수정)'!$B$2:$B$300=$C11)*('2.상세(수정)'!$D$2:$D$300=E$2)*'2.상세(수정)'!$E$2:$E$300)</f>
        <v>1</v>
      </c>
      <c r="F11" s="5" t="n">
        <f aca="false">SUMPRODUCT(('2.상세(수정)'!$A$2:$A$300=$B11)*('2.상세(수정)'!$B$2:$B$300=$C11)*('2.상세(수정)'!$D$2:$D$300=F$2)*'2.상세(수정)'!$E$2:$E$300)</f>
        <v>0</v>
      </c>
      <c r="G11" s="5" t="n">
        <f aca="false">SUMPRODUCT(('2.상세(수정)'!$A$2:$A$300=$B11)*('2.상세(수정)'!$B$2:$B$300=$C11)*('2.상세(수정)'!$D$2:$D$300=G$2)*'2.상세(수정)'!$E$2:$E$300)</f>
        <v>0</v>
      </c>
      <c r="H11" s="5" t="n">
        <f aca="false">SUMPRODUCT(('2.상세(수정)'!$A$2:$A$300=$B11)*('2.상세(수정)'!$B$2:$B$300=$C11)*('2.상세(수정)'!$D$2:$D$300=H$2)*'2.상세(수정)'!$E$2:$E$300)</f>
        <v>1</v>
      </c>
      <c r="I11" s="5" t="n">
        <f aca="false">SUMPRODUCT(('2.상세(수정)'!$A$2:$A$300=$B11)*('2.상세(수정)'!$B$2:$B$300=$C11)*('2.상세(수정)'!$D$2:$D$300=I$2)*'2.상세(수정)'!$E$2:$E$300)</f>
        <v>1</v>
      </c>
      <c r="J11" s="5" t="n">
        <f aca="false">SUMPRODUCT(('2.상세(수정)'!$A$2:$A$300=$B11)*('2.상세(수정)'!$B$2:$B$300=$C11)*('2.상세(수정)'!$D$2:$D$300=J$2)*'2.상세(수정)'!$E$2:$E$300)</f>
        <v>1</v>
      </c>
      <c r="K11" s="5" t="n">
        <f aca="false">SUMPRODUCT(('2.상세(수정)'!$A$2:$A$300=$B11)*('2.상세(수정)'!$B$2:$B$300=$C11)*('2.상세(수정)'!$D$2:$D$300=K$2)*'2.상세(수정)'!$E$2:$E$300)</f>
        <v>0</v>
      </c>
      <c r="L11" s="5" t="n">
        <f aca="false">SUM(D11:K11)</f>
        <v>5</v>
      </c>
      <c r="M11" s="6"/>
      <c r="N11" s="5" t="n">
        <f aca="false">L11*M11</f>
        <v>0</v>
      </c>
      <c r="O11" s="8" t="s">
        <v>21</v>
      </c>
    </row>
    <row r="12" customFormat="false" ht="15" hidden="false" customHeight="false" outlineLevel="0" collapsed="false">
      <c r="A12" s="4" t="n">
        <v>9</v>
      </c>
      <c r="B12" s="4" t="s">
        <v>30</v>
      </c>
      <c r="C12" s="4" t="s">
        <v>17</v>
      </c>
      <c r="D12" s="5" t="n">
        <f aca="false">SUMPRODUCT(('2.상세(수정)'!$A$2:$A$300=$B12)*('2.상세(수정)'!$B$2:$B$300=$C12)*('2.상세(수정)'!$D$2:$D$300=D$2)*'2.상세(수정)'!$E$2:$E$300)</f>
        <v>1</v>
      </c>
      <c r="E12" s="5" t="n">
        <f aca="false">SUMPRODUCT(('2.상세(수정)'!$A$2:$A$300=$B12)*('2.상세(수정)'!$B$2:$B$300=$C12)*('2.상세(수정)'!$D$2:$D$300=E$2)*'2.상세(수정)'!$E$2:$E$300)</f>
        <v>1</v>
      </c>
      <c r="F12" s="5" t="n">
        <f aca="false">SUMPRODUCT(('2.상세(수정)'!$A$2:$A$300=$B12)*('2.상세(수정)'!$B$2:$B$300=$C12)*('2.상세(수정)'!$D$2:$D$300=F$2)*'2.상세(수정)'!$E$2:$E$300)</f>
        <v>0</v>
      </c>
      <c r="G12" s="5" t="n">
        <f aca="false">SUMPRODUCT(('2.상세(수정)'!$A$2:$A$300=$B12)*('2.상세(수정)'!$B$2:$B$300=$C12)*('2.상세(수정)'!$D$2:$D$300=G$2)*'2.상세(수정)'!$E$2:$E$300)</f>
        <v>0</v>
      </c>
      <c r="H12" s="5" t="n">
        <f aca="false">SUMPRODUCT(('2.상세(수정)'!$A$2:$A$300=$B12)*('2.상세(수정)'!$B$2:$B$300=$C12)*('2.상세(수정)'!$D$2:$D$300=H$2)*'2.상세(수정)'!$E$2:$E$300)</f>
        <v>1</v>
      </c>
      <c r="I12" s="5" t="n">
        <f aca="false">SUMPRODUCT(('2.상세(수정)'!$A$2:$A$300=$B12)*('2.상세(수정)'!$B$2:$B$300=$C12)*('2.상세(수정)'!$D$2:$D$300=I$2)*'2.상세(수정)'!$E$2:$E$300)</f>
        <v>0</v>
      </c>
      <c r="J12" s="5" t="n">
        <f aca="false">SUMPRODUCT(('2.상세(수정)'!$A$2:$A$300=$B12)*('2.상세(수정)'!$B$2:$B$300=$C12)*('2.상세(수정)'!$D$2:$D$300=J$2)*'2.상세(수정)'!$E$2:$E$300)</f>
        <v>1</v>
      </c>
      <c r="K12" s="5" t="n">
        <f aca="false">SUMPRODUCT(('2.상세(수정)'!$A$2:$A$300=$B12)*('2.상세(수정)'!$B$2:$B$300=$C12)*('2.상세(수정)'!$D$2:$D$300=K$2)*'2.상세(수정)'!$E$2:$E$300)</f>
        <v>0</v>
      </c>
      <c r="L12" s="5" t="n">
        <f aca="false">SUM(D12:K12)</f>
        <v>4</v>
      </c>
      <c r="M12" s="6"/>
      <c r="N12" s="5" t="n">
        <f aca="false">L12*M12</f>
        <v>0</v>
      </c>
      <c r="O12" s="8" t="s">
        <v>21</v>
      </c>
    </row>
    <row r="13" customFormat="false" ht="15" hidden="false" customHeight="false" outlineLevel="0" collapsed="false">
      <c r="A13" s="4" t="n">
        <v>10</v>
      </c>
      <c r="B13" s="4" t="s">
        <v>31</v>
      </c>
      <c r="C13" s="4" t="s">
        <v>17</v>
      </c>
      <c r="D13" s="5" t="n">
        <f aca="false">SUMPRODUCT(('2.상세(수정)'!$A$2:$A$300=$B13)*('2.상세(수정)'!$B$2:$B$300=$C13)*('2.상세(수정)'!$D$2:$D$300=D$2)*'2.상세(수정)'!$E$2:$E$300)</f>
        <v>1</v>
      </c>
      <c r="E13" s="5" t="n">
        <f aca="false">SUMPRODUCT(('2.상세(수정)'!$A$2:$A$300=$B13)*('2.상세(수정)'!$B$2:$B$300=$C13)*('2.상세(수정)'!$D$2:$D$300=E$2)*'2.상세(수정)'!$E$2:$E$300)</f>
        <v>1</v>
      </c>
      <c r="F13" s="5" t="n">
        <f aca="false">SUMPRODUCT(('2.상세(수정)'!$A$2:$A$300=$B13)*('2.상세(수정)'!$B$2:$B$300=$C13)*('2.상세(수정)'!$D$2:$D$300=F$2)*'2.상세(수정)'!$E$2:$E$300)</f>
        <v>0</v>
      </c>
      <c r="G13" s="5" t="n">
        <f aca="false">SUMPRODUCT(('2.상세(수정)'!$A$2:$A$300=$B13)*('2.상세(수정)'!$B$2:$B$300=$C13)*('2.상세(수정)'!$D$2:$D$300=G$2)*'2.상세(수정)'!$E$2:$E$300)</f>
        <v>1</v>
      </c>
      <c r="H13" s="5" t="n">
        <f aca="false">SUMPRODUCT(('2.상세(수정)'!$A$2:$A$300=$B13)*('2.상세(수정)'!$B$2:$B$300=$C13)*('2.상세(수정)'!$D$2:$D$300=H$2)*'2.상세(수정)'!$E$2:$E$300)</f>
        <v>1</v>
      </c>
      <c r="I13" s="5" t="n">
        <f aca="false">SUMPRODUCT(('2.상세(수정)'!$A$2:$A$300=$B13)*('2.상세(수정)'!$B$2:$B$300=$C13)*('2.상세(수정)'!$D$2:$D$300=I$2)*'2.상세(수정)'!$E$2:$E$300)</f>
        <v>0</v>
      </c>
      <c r="J13" s="5" t="n">
        <f aca="false">SUMPRODUCT(('2.상세(수정)'!$A$2:$A$300=$B13)*('2.상세(수정)'!$B$2:$B$300=$C13)*('2.상세(수정)'!$D$2:$D$300=J$2)*'2.상세(수정)'!$E$2:$E$300)</f>
        <v>1</v>
      </c>
      <c r="K13" s="5" t="n">
        <f aca="false">SUMPRODUCT(('2.상세(수정)'!$A$2:$A$300=$B13)*('2.상세(수정)'!$B$2:$B$300=$C13)*('2.상세(수정)'!$D$2:$D$300=K$2)*'2.상세(수정)'!$E$2:$E$300)</f>
        <v>0</v>
      </c>
      <c r="L13" s="5" t="n">
        <f aca="false">SUM(D13:K13)</f>
        <v>5</v>
      </c>
      <c r="M13" s="6"/>
      <c r="N13" s="5" t="n">
        <f aca="false">L13*M13</f>
        <v>0</v>
      </c>
      <c r="O13" s="8" t="s">
        <v>21</v>
      </c>
    </row>
    <row r="14" customFormat="false" ht="26.1" hidden="false" customHeight="false" outlineLevel="0" collapsed="false">
      <c r="A14" s="4" t="n">
        <v>11</v>
      </c>
      <c r="B14" s="4" t="s">
        <v>32</v>
      </c>
      <c r="C14" s="4" t="s">
        <v>17</v>
      </c>
      <c r="D14" s="5" t="n">
        <f aca="false">SUMPRODUCT(('2.상세(수정)'!$A$2:$A$300=$B14)*('2.상세(수정)'!$B$2:$B$300=$C14)*('2.상세(수정)'!$D$2:$D$300=D$2)*'2.상세(수정)'!$E$2:$E$300)</f>
        <v>1</v>
      </c>
      <c r="E14" s="5" t="n">
        <f aca="false">SUMPRODUCT(('2.상세(수정)'!$A$2:$A$300=$B14)*('2.상세(수정)'!$B$2:$B$300=$C14)*('2.상세(수정)'!$D$2:$D$300=E$2)*'2.상세(수정)'!$E$2:$E$300)</f>
        <v>1</v>
      </c>
      <c r="F14" s="5" t="n">
        <f aca="false">SUMPRODUCT(('2.상세(수정)'!$A$2:$A$300=$B14)*('2.상세(수정)'!$B$2:$B$300=$C14)*('2.상세(수정)'!$D$2:$D$300=F$2)*'2.상세(수정)'!$E$2:$E$300)</f>
        <v>1</v>
      </c>
      <c r="G14" s="5" t="n">
        <f aca="false">SUMPRODUCT(('2.상세(수정)'!$A$2:$A$300=$B14)*('2.상세(수정)'!$B$2:$B$300=$C14)*('2.상세(수정)'!$D$2:$D$300=G$2)*'2.상세(수정)'!$E$2:$E$300)</f>
        <v>0</v>
      </c>
      <c r="H14" s="5" t="n">
        <f aca="false">SUMPRODUCT(('2.상세(수정)'!$A$2:$A$300=$B14)*('2.상세(수정)'!$B$2:$B$300=$C14)*('2.상세(수정)'!$D$2:$D$300=H$2)*'2.상세(수정)'!$E$2:$E$300)</f>
        <v>0</v>
      </c>
      <c r="I14" s="5" t="n">
        <f aca="false">SUMPRODUCT(('2.상세(수정)'!$A$2:$A$300=$B14)*('2.상세(수정)'!$B$2:$B$300=$C14)*('2.상세(수정)'!$D$2:$D$300=I$2)*'2.상세(수정)'!$E$2:$E$300)</f>
        <v>1</v>
      </c>
      <c r="J14" s="5" t="n">
        <f aca="false">SUMPRODUCT(('2.상세(수정)'!$A$2:$A$300=$B14)*('2.상세(수정)'!$B$2:$B$300=$C14)*('2.상세(수정)'!$D$2:$D$300=J$2)*'2.상세(수정)'!$E$2:$E$300)</f>
        <v>1</v>
      </c>
      <c r="K14" s="5" t="n">
        <f aca="false">SUMPRODUCT(('2.상세(수정)'!$A$2:$A$300=$B14)*('2.상세(수정)'!$B$2:$B$300=$C14)*('2.상세(수정)'!$D$2:$D$300=K$2)*'2.상세(수정)'!$E$2:$E$300)</f>
        <v>1</v>
      </c>
      <c r="L14" s="5" t="n">
        <f aca="false">SUM(D14:K14)</f>
        <v>6</v>
      </c>
      <c r="M14" s="6"/>
      <c r="N14" s="5" t="n">
        <f aca="false">L14*M14</f>
        <v>0</v>
      </c>
      <c r="O14" s="8" t="s">
        <v>21</v>
      </c>
    </row>
    <row r="15" customFormat="false" ht="15" hidden="false" customHeight="false" outlineLevel="0" collapsed="false">
      <c r="A15" s="4" t="n">
        <v>12</v>
      </c>
      <c r="B15" s="4" t="s">
        <v>33</v>
      </c>
      <c r="C15" s="9" t="s">
        <v>34</v>
      </c>
      <c r="D15" s="5" t="n">
        <f aca="false">SUMPRODUCT(('2.상세(수정)'!$A$2:$A$300=$B15)*('2.상세(수정)'!$B$2:$B$300=$C15)*('2.상세(수정)'!$D$2:$D$300=D$2)*'2.상세(수정)'!$E$2:$E$300)</f>
        <v>1</v>
      </c>
      <c r="E15" s="5" t="n">
        <f aca="false">SUMPRODUCT(('2.상세(수정)'!$A$2:$A$300=$B15)*('2.상세(수정)'!$B$2:$B$300=$C15)*('2.상세(수정)'!$D$2:$D$300=E$2)*'2.상세(수정)'!$E$2:$E$300)</f>
        <v>1</v>
      </c>
      <c r="F15" s="5" t="n">
        <f aca="false">SUMPRODUCT(('2.상세(수정)'!$A$2:$A$300=$B15)*('2.상세(수정)'!$B$2:$B$300=$C15)*('2.상세(수정)'!$D$2:$D$300=F$2)*'2.상세(수정)'!$E$2:$E$300)</f>
        <v>1</v>
      </c>
      <c r="G15" s="5" t="n">
        <f aca="false">SUMPRODUCT(('2.상세(수정)'!$A$2:$A$300=$B15)*('2.상세(수정)'!$B$2:$B$300=$C15)*('2.상세(수정)'!$D$2:$D$300=G$2)*'2.상세(수정)'!$E$2:$E$300)</f>
        <v>0</v>
      </c>
      <c r="H15" s="5" t="n">
        <f aca="false">SUMPRODUCT(('2.상세(수정)'!$A$2:$A$300=$B15)*('2.상세(수정)'!$B$2:$B$300=$C15)*('2.상세(수정)'!$D$2:$D$300=H$2)*'2.상세(수정)'!$E$2:$E$300)</f>
        <v>0</v>
      </c>
      <c r="I15" s="5" t="n">
        <f aca="false">SUMPRODUCT(('2.상세(수정)'!$A$2:$A$300=$B15)*('2.상세(수정)'!$B$2:$B$300=$C15)*('2.상세(수정)'!$D$2:$D$300=I$2)*'2.상세(수정)'!$E$2:$E$300)</f>
        <v>1</v>
      </c>
      <c r="J15" s="5" t="n">
        <f aca="false">SUMPRODUCT(('2.상세(수정)'!$A$2:$A$300=$B15)*('2.상세(수정)'!$B$2:$B$300=$C15)*('2.상세(수정)'!$D$2:$D$300=J$2)*'2.상세(수정)'!$E$2:$E$300)</f>
        <v>1</v>
      </c>
      <c r="K15" s="5" t="n">
        <f aca="false">SUMPRODUCT(('2.상세(수정)'!$A$2:$A$300=$B15)*('2.상세(수정)'!$B$2:$B$300=$C15)*('2.상세(수정)'!$D$2:$D$300=K$2)*'2.상세(수정)'!$E$2:$E$300)</f>
        <v>0</v>
      </c>
      <c r="L15" s="5" t="n">
        <f aca="false">SUM(D15:K15)</f>
        <v>5</v>
      </c>
      <c r="M15" s="6"/>
      <c r="N15" s="5" t="n">
        <f aca="false">L15*M15</f>
        <v>0</v>
      </c>
      <c r="O15" s="8" t="s">
        <v>21</v>
      </c>
    </row>
    <row r="16" customFormat="false" ht="15" hidden="false" customHeight="false" outlineLevel="0" collapsed="false">
      <c r="A16" s="4" t="n">
        <v>12</v>
      </c>
      <c r="B16" s="4" t="s">
        <v>33</v>
      </c>
      <c r="C16" s="9" t="s">
        <v>35</v>
      </c>
      <c r="D16" s="5" t="n">
        <f aca="false">SUMPRODUCT(('2.상세(수정)'!$A$2:$A$300=$B16)*('2.상세(수정)'!$B$2:$B$300=$C16)*('2.상세(수정)'!$D$2:$D$300=D$2)*'2.상세(수정)'!$E$2:$E$300)</f>
        <v>1</v>
      </c>
      <c r="E16" s="5" t="n">
        <f aca="false">SUMPRODUCT(('2.상세(수정)'!$A$2:$A$300=$B16)*('2.상세(수정)'!$B$2:$B$300=$C16)*('2.상세(수정)'!$D$2:$D$300=E$2)*'2.상세(수정)'!$E$2:$E$300)</f>
        <v>1</v>
      </c>
      <c r="F16" s="5" t="n">
        <f aca="false">SUMPRODUCT(('2.상세(수정)'!$A$2:$A$300=$B16)*('2.상세(수정)'!$B$2:$B$300=$C16)*('2.상세(수정)'!$D$2:$D$300=F$2)*'2.상세(수정)'!$E$2:$E$300)</f>
        <v>1</v>
      </c>
      <c r="G16" s="5" t="n">
        <f aca="false">SUMPRODUCT(('2.상세(수정)'!$A$2:$A$300=$B16)*('2.상세(수정)'!$B$2:$B$300=$C16)*('2.상세(수정)'!$D$2:$D$300=G$2)*'2.상세(수정)'!$E$2:$E$300)</f>
        <v>0</v>
      </c>
      <c r="H16" s="5" t="n">
        <f aca="false">SUMPRODUCT(('2.상세(수정)'!$A$2:$A$300=$B16)*('2.상세(수정)'!$B$2:$B$300=$C16)*('2.상세(수정)'!$D$2:$D$300=H$2)*'2.상세(수정)'!$E$2:$E$300)</f>
        <v>0</v>
      </c>
      <c r="I16" s="5" t="n">
        <f aca="false">SUMPRODUCT(('2.상세(수정)'!$A$2:$A$300=$B16)*('2.상세(수정)'!$B$2:$B$300=$C16)*('2.상세(수정)'!$D$2:$D$300=I$2)*'2.상세(수정)'!$E$2:$E$300)</f>
        <v>1</v>
      </c>
      <c r="J16" s="5" t="n">
        <f aca="false">SUMPRODUCT(('2.상세(수정)'!$A$2:$A$300=$B16)*('2.상세(수정)'!$B$2:$B$300=$C16)*('2.상세(수정)'!$D$2:$D$300=J$2)*'2.상세(수정)'!$E$2:$E$300)</f>
        <v>1</v>
      </c>
      <c r="K16" s="5" t="n">
        <f aca="false">SUMPRODUCT(('2.상세(수정)'!$A$2:$A$300=$B16)*('2.상세(수정)'!$B$2:$B$300=$C16)*('2.상세(수정)'!$D$2:$D$300=K$2)*'2.상세(수정)'!$E$2:$E$300)</f>
        <v>0</v>
      </c>
      <c r="L16" s="5" t="n">
        <f aca="false">SUM(D16:K16)</f>
        <v>5</v>
      </c>
      <c r="M16" s="6"/>
      <c r="N16" s="5" t="n">
        <f aca="false">L16*M16</f>
        <v>0</v>
      </c>
      <c r="O16" s="8" t="s">
        <v>21</v>
      </c>
    </row>
    <row r="17" customFormat="false" ht="15" hidden="false" customHeight="false" outlineLevel="0" collapsed="false">
      <c r="B17" s="10" t="s">
        <v>36</v>
      </c>
      <c r="D17" s="11" t="n">
        <f aca="false">SUMPRODUCT(D3:D16,$M$3:$M16)</f>
        <v>0</v>
      </c>
      <c r="E17" s="11" t="n">
        <f aca="false">SUMPRODUCT(E3:E16,$M$3:$M16)</f>
        <v>0</v>
      </c>
      <c r="F17" s="11" t="n">
        <f aca="false">SUMPRODUCT(F3:F16,$M$3:$M16)</f>
        <v>0</v>
      </c>
      <c r="G17" s="11" t="n">
        <f aca="false">SUMPRODUCT(G3:G16,$M$3:$M16)</f>
        <v>0</v>
      </c>
      <c r="H17" s="11" t="n">
        <f aca="false">SUMPRODUCT(H3:H16,$M$3:$M16)</f>
        <v>0</v>
      </c>
      <c r="I17" s="11" t="n">
        <f aca="false">SUMPRODUCT(I3:I16,$M$3:$M16)</f>
        <v>0</v>
      </c>
      <c r="J17" s="11" t="n">
        <f aca="false">SUMPRODUCT(J3:J16,$M$3:$M16)</f>
        <v>0</v>
      </c>
      <c r="K17" s="11" t="n">
        <f aca="false">SUMPRODUCT(K3:K16,$M$3:$M16)</f>
        <v>0</v>
      </c>
      <c r="L17" s="11" t="n">
        <f aca="false">SUM(L3:L16)</f>
        <v>85</v>
      </c>
      <c r="N17" s="11" t="n">
        <f aca="false">SUM(N3:N16)</f>
        <v>0</v>
      </c>
    </row>
    <row r="18" customFormat="false" ht="15" hidden="false" customHeight="false" outlineLevel="0" collapsed="false">
      <c r="B18" s="1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52"/>
    <col collapsed="false" customWidth="true" hidden="false" outlineLevel="0" max="7" min="7" style="0" width="18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13" t="s">
        <v>2</v>
      </c>
      <c r="B1" s="13" t="s">
        <v>3</v>
      </c>
      <c r="C1" s="13" t="s">
        <v>38</v>
      </c>
      <c r="D1" s="13" t="s">
        <v>39</v>
      </c>
      <c r="E1" s="13" t="s">
        <v>40</v>
      </c>
      <c r="F1" s="13" t="s">
        <v>41</v>
      </c>
      <c r="G1" s="13" t="s">
        <v>15</v>
      </c>
      <c r="H1" s="13" t="s">
        <v>42</v>
      </c>
    </row>
    <row r="2" customFormat="false" ht="15" hidden="false" customHeight="false" outlineLevel="0" collapsed="false">
      <c r="A2" s="14" t="s">
        <v>43</v>
      </c>
      <c r="B2" s="15"/>
      <c r="C2" s="15"/>
      <c r="D2" s="15"/>
      <c r="E2" s="15"/>
      <c r="F2" s="15"/>
      <c r="G2" s="15"/>
      <c r="H2" s="15"/>
    </row>
    <row r="3" customFormat="false" ht="15" hidden="false" customHeight="false" outlineLevel="0" collapsed="false">
      <c r="A3" s="4" t="s">
        <v>16</v>
      </c>
      <c r="B3" s="4" t="s">
        <v>17</v>
      </c>
      <c r="C3" s="4" t="n">
        <v>1</v>
      </c>
      <c r="D3" s="9" t="s">
        <v>4</v>
      </c>
      <c r="E3" s="16" t="n">
        <v>1</v>
      </c>
      <c r="F3" s="9" t="s">
        <v>44</v>
      </c>
      <c r="G3" s="9" t="s">
        <v>18</v>
      </c>
      <c r="H3" s="6"/>
    </row>
    <row r="4" customFormat="false" ht="15" hidden="false" customHeight="false" outlineLevel="0" collapsed="false">
      <c r="A4" s="4" t="s">
        <v>16</v>
      </c>
      <c r="B4" s="4" t="s">
        <v>17</v>
      </c>
      <c r="C4" s="4" t="n">
        <v>2</v>
      </c>
      <c r="D4" s="9" t="s">
        <v>45</v>
      </c>
      <c r="E4" s="16" t="n">
        <v>1</v>
      </c>
      <c r="F4" s="9" t="s">
        <v>46</v>
      </c>
      <c r="G4" s="9" t="s">
        <v>18</v>
      </c>
      <c r="H4" s="6"/>
    </row>
    <row r="5" customFormat="false" ht="15" hidden="false" customHeight="false" outlineLevel="0" collapsed="false">
      <c r="A5" s="4" t="s">
        <v>16</v>
      </c>
      <c r="B5" s="4" t="s">
        <v>17</v>
      </c>
      <c r="C5" s="4" t="n">
        <v>3</v>
      </c>
      <c r="D5" s="4" t="s">
        <v>6</v>
      </c>
      <c r="E5" s="16" t="n">
        <v>1</v>
      </c>
      <c r="F5" s="9" t="s">
        <v>47</v>
      </c>
      <c r="G5" s="9" t="s">
        <v>18</v>
      </c>
      <c r="H5" s="6"/>
    </row>
    <row r="6" customFormat="false" ht="15" hidden="false" customHeight="false" outlineLevel="0" collapsed="false">
      <c r="A6" s="4" t="s">
        <v>16</v>
      </c>
      <c r="B6" s="4" t="s">
        <v>17</v>
      </c>
      <c r="C6" s="4" t="n">
        <v>4</v>
      </c>
      <c r="D6" s="9" t="s">
        <v>7</v>
      </c>
      <c r="E6" s="16" t="n">
        <v>1</v>
      </c>
      <c r="F6" s="9" t="s">
        <v>48</v>
      </c>
      <c r="G6" s="9" t="s">
        <v>18</v>
      </c>
      <c r="H6" s="6"/>
    </row>
    <row r="7" customFormat="false" ht="15" hidden="false" customHeight="false" outlineLevel="0" collapsed="false">
      <c r="A7" s="4" t="s">
        <v>16</v>
      </c>
      <c r="B7" s="4" t="s">
        <v>17</v>
      </c>
      <c r="C7" s="4" t="n">
        <v>5</v>
      </c>
      <c r="D7" s="9" t="s">
        <v>10</v>
      </c>
      <c r="E7" s="16" t="n">
        <v>1</v>
      </c>
      <c r="F7" s="9" t="s">
        <v>49</v>
      </c>
      <c r="G7" s="9" t="s">
        <v>18</v>
      </c>
      <c r="H7" s="6"/>
    </row>
    <row r="8" customFormat="false" ht="15" hidden="false" customHeight="false" outlineLevel="0" collapsed="false">
      <c r="A8" s="14" t="s">
        <v>50</v>
      </c>
      <c r="B8" s="15"/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A9" s="4" t="s">
        <v>19</v>
      </c>
      <c r="B9" s="4" t="s">
        <v>17</v>
      </c>
      <c r="C9" s="4" t="n">
        <v>1</v>
      </c>
      <c r="D9" s="9" t="s">
        <v>4</v>
      </c>
      <c r="E9" s="16" t="n">
        <v>1</v>
      </c>
      <c r="F9" s="9" t="s">
        <v>44</v>
      </c>
      <c r="G9" s="9" t="s">
        <v>18</v>
      </c>
      <c r="H9" s="6"/>
    </row>
    <row r="10" customFormat="false" ht="15" hidden="false" customHeight="false" outlineLevel="0" collapsed="false">
      <c r="A10" s="4" t="s">
        <v>19</v>
      </c>
      <c r="B10" s="4" t="s">
        <v>17</v>
      </c>
      <c r="C10" s="4" t="n">
        <v>2</v>
      </c>
      <c r="D10" s="9" t="s">
        <v>45</v>
      </c>
      <c r="E10" s="16" t="n">
        <v>1</v>
      </c>
      <c r="F10" s="9" t="s">
        <v>46</v>
      </c>
      <c r="G10" s="9" t="s">
        <v>18</v>
      </c>
      <c r="H10" s="6"/>
    </row>
    <row r="11" customFormat="false" ht="15" hidden="false" customHeight="false" outlineLevel="0" collapsed="false">
      <c r="A11" s="4" t="s">
        <v>19</v>
      </c>
      <c r="B11" s="4" t="s">
        <v>17</v>
      </c>
      <c r="C11" s="4" t="n">
        <v>3</v>
      </c>
      <c r="D11" s="4" t="s">
        <v>6</v>
      </c>
      <c r="E11" s="16" t="n">
        <v>1</v>
      </c>
      <c r="F11" s="9" t="s">
        <v>47</v>
      </c>
      <c r="G11" s="9" t="s">
        <v>18</v>
      </c>
      <c r="H11" s="6"/>
    </row>
    <row r="12" customFormat="false" ht="15" hidden="false" customHeight="false" outlineLevel="0" collapsed="false">
      <c r="A12" s="4" t="s">
        <v>19</v>
      </c>
      <c r="B12" s="4" t="s">
        <v>17</v>
      </c>
      <c r="C12" s="4" t="n">
        <v>4</v>
      </c>
      <c r="D12" s="9" t="s">
        <v>9</v>
      </c>
      <c r="E12" s="16" t="n">
        <v>1</v>
      </c>
      <c r="F12" s="9" t="s">
        <v>51</v>
      </c>
      <c r="G12" s="9" t="s">
        <v>18</v>
      </c>
      <c r="H12" s="6"/>
    </row>
    <row r="13" customFormat="false" ht="15" hidden="false" customHeight="false" outlineLevel="0" collapsed="false">
      <c r="A13" s="4" t="s">
        <v>19</v>
      </c>
      <c r="B13" s="4" t="s">
        <v>17</v>
      </c>
      <c r="C13" s="4" t="n">
        <v>5</v>
      </c>
      <c r="D13" s="9" t="s">
        <v>10</v>
      </c>
      <c r="E13" s="16" t="n">
        <v>1</v>
      </c>
      <c r="F13" s="9" t="s">
        <v>52</v>
      </c>
      <c r="G13" s="9" t="s">
        <v>18</v>
      </c>
      <c r="H13" s="6"/>
    </row>
    <row r="14" customFormat="false" ht="15" hidden="false" customHeight="false" outlineLevel="0" collapsed="false">
      <c r="A14" s="17" t="s">
        <v>53</v>
      </c>
      <c r="B14" s="18"/>
      <c r="C14" s="18"/>
      <c r="D14" s="18"/>
      <c r="E14" s="18"/>
      <c r="F14" s="18"/>
      <c r="G14" s="18"/>
      <c r="H14" s="18"/>
    </row>
    <row r="15" customFormat="false" ht="15" hidden="false" customHeight="false" outlineLevel="0" collapsed="false">
      <c r="A15" s="4" t="s">
        <v>20</v>
      </c>
      <c r="B15" s="4" t="s">
        <v>17</v>
      </c>
      <c r="C15" s="4" t="n">
        <v>1</v>
      </c>
      <c r="D15" s="9" t="s">
        <v>4</v>
      </c>
      <c r="E15" s="16" t="n">
        <v>1</v>
      </c>
      <c r="F15" s="9" t="s">
        <v>54</v>
      </c>
      <c r="G15" s="9" t="s">
        <v>21</v>
      </c>
      <c r="H15" s="6"/>
    </row>
    <row r="16" customFormat="false" ht="15" hidden="false" customHeight="false" outlineLevel="0" collapsed="false">
      <c r="A16" s="4" t="s">
        <v>20</v>
      </c>
      <c r="B16" s="4" t="s">
        <v>17</v>
      </c>
      <c r="C16" s="4" t="n">
        <v>2</v>
      </c>
      <c r="D16" s="9" t="s">
        <v>45</v>
      </c>
      <c r="E16" s="16" t="n">
        <v>1</v>
      </c>
      <c r="F16" s="9" t="s">
        <v>46</v>
      </c>
      <c r="G16" s="9" t="s">
        <v>21</v>
      </c>
      <c r="H16" s="6"/>
    </row>
    <row r="17" customFormat="false" ht="15" hidden="false" customHeight="false" outlineLevel="0" collapsed="false">
      <c r="A17" s="4" t="s">
        <v>20</v>
      </c>
      <c r="B17" s="4" t="s">
        <v>17</v>
      </c>
      <c r="C17" s="4" t="n">
        <v>3</v>
      </c>
      <c r="D17" s="4" t="s">
        <v>6</v>
      </c>
      <c r="E17" s="16" t="n">
        <v>1</v>
      </c>
      <c r="F17" s="9" t="s">
        <v>47</v>
      </c>
      <c r="G17" s="9" t="s">
        <v>21</v>
      </c>
      <c r="H17" s="6"/>
    </row>
    <row r="18" customFormat="false" ht="15" hidden="false" customHeight="false" outlineLevel="0" collapsed="false">
      <c r="A18" s="4" t="s">
        <v>20</v>
      </c>
      <c r="B18" s="4" t="s">
        <v>17</v>
      </c>
      <c r="C18" s="4" t="n">
        <v>4</v>
      </c>
      <c r="D18" s="9" t="s">
        <v>9</v>
      </c>
      <c r="E18" s="16" t="n">
        <v>1</v>
      </c>
      <c r="F18" s="9" t="s">
        <v>55</v>
      </c>
      <c r="G18" s="9" t="s">
        <v>21</v>
      </c>
      <c r="H18" s="6"/>
    </row>
    <row r="19" customFormat="false" ht="15" hidden="false" customHeight="false" outlineLevel="0" collapsed="false">
      <c r="A19" s="4" t="s">
        <v>20</v>
      </c>
      <c r="B19" s="4" t="s">
        <v>17</v>
      </c>
      <c r="C19" s="4" t="n">
        <v>5</v>
      </c>
      <c r="D19" s="9" t="s">
        <v>10</v>
      </c>
      <c r="E19" s="16" t="n">
        <v>1</v>
      </c>
      <c r="F19" s="9" t="s">
        <v>56</v>
      </c>
      <c r="G19" s="9" t="s">
        <v>21</v>
      </c>
      <c r="H19" s="6"/>
    </row>
    <row r="20" customFormat="false" ht="15" hidden="false" customHeight="false" outlineLevel="0" collapsed="false">
      <c r="A20" s="14" t="s">
        <v>57</v>
      </c>
      <c r="B20" s="15"/>
      <c r="C20" s="15"/>
      <c r="D20" s="15"/>
      <c r="E20" s="15"/>
      <c r="F20" s="15"/>
      <c r="G20" s="15"/>
      <c r="H20" s="15"/>
    </row>
    <row r="21" customFormat="false" ht="26.85" hidden="false" customHeight="false" outlineLevel="0" collapsed="false">
      <c r="A21" s="4" t="s">
        <v>22</v>
      </c>
      <c r="B21" s="9" t="s">
        <v>23</v>
      </c>
      <c r="C21" s="4" t="n">
        <v>1</v>
      </c>
      <c r="D21" s="9" t="s">
        <v>4</v>
      </c>
      <c r="E21" s="16" t="n">
        <v>1</v>
      </c>
      <c r="F21" s="9" t="s">
        <v>58</v>
      </c>
      <c r="G21" s="9" t="s">
        <v>18</v>
      </c>
      <c r="H21" s="6"/>
    </row>
    <row r="22" customFormat="false" ht="26.85" hidden="false" customHeight="false" outlineLevel="0" collapsed="false">
      <c r="A22" s="4" t="s">
        <v>22</v>
      </c>
      <c r="B22" s="9" t="s">
        <v>23</v>
      </c>
      <c r="C22" s="4" t="n">
        <v>2</v>
      </c>
      <c r="D22" s="9" t="s">
        <v>45</v>
      </c>
      <c r="E22" s="16" t="n">
        <v>1</v>
      </c>
      <c r="F22" s="9" t="s">
        <v>46</v>
      </c>
      <c r="G22" s="9" t="s">
        <v>18</v>
      </c>
      <c r="H22" s="6"/>
    </row>
    <row r="23" customFormat="false" ht="26.85" hidden="false" customHeight="false" outlineLevel="0" collapsed="false">
      <c r="A23" s="4" t="s">
        <v>22</v>
      </c>
      <c r="B23" s="9" t="s">
        <v>23</v>
      </c>
      <c r="C23" s="4" t="n">
        <v>3</v>
      </c>
      <c r="D23" s="4" t="s">
        <v>6</v>
      </c>
      <c r="E23" s="16" t="n">
        <v>1</v>
      </c>
      <c r="F23" s="9" t="s">
        <v>59</v>
      </c>
      <c r="G23" s="9" t="s">
        <v>18</v>
      </c>
      <c r="H23" s="6"/>
    </row>
    <row r="24" customFormat="false" ht="26.85" hidden="false" customHeight="false" outlineLevel="0" collapsed="false">
      <c r="A24" s="4" t="s">
        <v>22</v>
      </c>
      <c r="B24" s="9" t="s">
        <v>23</v>
      </c>
      <c r="C24" s="4" t="n">
        <v>4</v>
      </c>
      <c r="D24" s="9" t="s">
        <v>7</v>
      </c>
      <c r="E24" s="16" t="n">
        <v>1</v>
      </c>
      <c r="F24" s="9" t="s">
        <v>60</v>
      </c>
      <c r="G24" s="9" t="s">
        <v>18</v>
      </c>
      <c r="H24" s="6"/>
    </row>
    <row r="25" customFormat="false" ht="26.85" hidden="false" customHeight="false" outlineLevel="0" collapsed="false">
      <c r="A25" s="4" t="s">
        <v>22</v>
      </c>
      <c r="B25" s="9" t="s">
        <v>23</v>
      </c>
      <c r="C25" s="4" t="n">
        <v>5</v>
      </c>
      <c r="D25" s="9" t="s">
        <v>10</v>
      </c>
      <c r="E25" s="16" t="n">
        <v>1</v>
      </c>
      <c r="F25" s="9" t="s">
        <v>56</v>
      </c>
      <c r="G25" s="9" t="s">
        <v>18</v>
      </c>
      <c r="H25" s="6"/>
    </row>
    <row r="26" customFormat="false" ht="26.85" hidden="false" customHeight="false" outlineLevel="0" collapsed="false">
      <c r="A26" s="4" t="s">
        <v>22</v>
      </c>
      <c r="B26" s="9" t="s">
        <v>23</v>
      </c>
      <c r="C26" s="4" t="n">
        <v>6</v>
      </c>
      <c r="D26" s="9" t="s">
        <v>9</v>
      </c>
      <c r="E26" s="16" t="n">
        <v>1</v>
      </c>
      <c r="F26" s="9" t="s">
        <v>61</v>
      </c>
      <c r="G26" s="9" t="s">
        <v>18</v>
      </c>
      <c r="H26" s="6"/>
    </row>
    <row r="27" customFormat="false" ht="26.1" hidden="false" customHeight="false" outlineLevel="0" collapsed="false">
      <c r="A27" s="4" t="s">
        <v>22</v>
      </c>
      <c r="B27" s="9" t="s">
        <v>24</v>
      </c>
      <c r="C27" s="4" t="n">
        <v>1</v>
      </c>
      <c r="D27" s="9" t="s">
        <v>4</v>
      </c>
      <c r="E27" s="16" t="n">
        <v>1</v>
      </c>
      <c r="F27" s="9" t="s">
        <v>54</v>
      </c>
      <c r="G27" s="9" t="s">
        <v>18</v>
      </c>
      <c r="H27" s="6"/>
    </row>
    <row r="28" customFormat="false" ht="26.1" hidden="false" customHeight="false" outlineLevel="0" collapsed="false">
      <c r="A28" s="4" t="s">
        <v>22</v>
      </c>
      <c r="B28" s="9" t="s">
        <v>24</v>
      </c>
      <c r="C28" s="4" t="n">
        <v>2</v>
      </c>
      <c r="D28" s="9" t="s">
        <v>45</v>
      </c>
      <c r="E28" s="16" t="n">
        <v>1</v>
      </c>
      <c r="F28" s="9" t="s">
        <v>46</v>
      </c>
      <c r="G28" s="9" t="s">
        <v>18</v>
      </c>
      <c r="H28" s="6"/>
    </row>
    <row r="29" customFormat="false" ht="26.1" hidden="false" customHeight="false" outlineLevel="0" collapsed="false">
      <c r="A29" s="4" t="s">
        <v>22</v>
      </c>
      <c r="B29" s="9" t="s">
        <v>24</v>
      </c>
      <c r="C29" s="4" t="n">
        <v>3</v>
      </c>
      <c r="D29" s="4" t="s">
        <v>6</v>
      </c>
      <c r="E29" s="16" t="n">
        <v>1</v>
      </c>
      <c r="F29" s="9" t="s">
        <v>62</v>
      </c>
      <c r="G29" s="9" t="s">
        <v>18</v>
      </c>
      <c r="H29" s="6"/>
    </row>
    <row r="30" customFormat="false" ht="26.1" hidden="false" customHeight="false" outlineLevel="0" collapsed="false">
      <c r="A30" s="4" t="s">
        <v>22</v>
      </c>
      <c r="B30" s="9" t="s">
        <v>24</v>
      </c>
      <c r="C30" s="4" t="n">
        <v>4</v>
      </c>
      <c r="D30" s="9" t="s">
        <v>10</v>
      </c>
      <c r="E30" s="16" t="n">
        <v>1</v>
      </c>
      <c r="F30" s="9" t="s">
        <v>63</v>
      </c>
      <c r="G30" s="9" t="s">
        <v>18</v>
      </c>
      <c r="H30" s="6"/>
    </row>
    <row r="31" customFormat="false" ht="15" hidden="false" customHeight="false" outlineLevel="0" collapsed="false">
      <c r="A31" s="14" t="s">
        <v>64</v>
      </c>
      <c r="B31" s="15"/>
      <c r="C31" s="15"/>
      <c r="D31" s="15"/>
      <c r="E31" s="15"/>
      <c r="F31" s="15"/>
      <c r="G31" s="15"/>
      <c r="H31" s="15"/>
    </row>
    <row r="32" customFormat="false" ht="15" hidden="false" customHeight="false" outlineLevel="0" collapsed="false">
      <c r="A32" s="4" t="s">
        <v>25</v>
      </c>
      <c r="B32" s="4" t="s">
        <v>17</v>
      </c>
      <c r="C32" s="4" t="n">
        <v>1</v>
      </c>
      <c r="D32" s="9" t="s">
        <v>4</v>
      </c>
      <c r="E32" s="16" t="n">
        <v>1</v>
      </c>
      <c r="F32" s="9" t="s">
        <v>65</v>
      </c>
      <c r="G32" s="9" t="s">
        <v>26</v>
      </c>
      <c r="H32" s="6"/>
    </row>
    <row r="33" customFormat="false" ht="15" hidden="false" customHeight="false" outlineLevel="0" collapsed="false">
      <c r="A33" s="4" t="s">
        <v>25</v>
      </c>
      <c r="B33" s="4" t="s">
        <v>17</v>
      </c>
      <c r="C33" s="4" t="n">
        <v>2</v>
      </c>
      <c r="D33" s="9" t="s">
        <v>45</v>
      </c>
      <c r="E33" s="16" t="n">
        <v>1</v>
      </c>
      <c r="F33" s="9" t="s">
        <v>46</v>
      </c>
      <c r="G33" s="9" t="s">
        <v>26</v>
      </c>
      <c r="H33" s="6"/>
    </row>
    <row r="34" customFormat="false" ht="15" hidden="false" customHeight="false" outlineLevel="0" collapsed="false">
      <c r="A34" s="4" t="s">
        <v>25</v>
      </c>
      <c r="B34" s="4" t="s">
        <v>17</v>
      </c>
      <c r="C34" s="4" t="n">
        <v>3</v>
      </c>
      <c r="D34" s="4" t="s">
        <v>6</v>
      </c>
      <c r="E34" s="16" t="n">
        <v>2</v>
      </c>
      <c r="F34" s="9" t="s">
        <v>66</v>
      </c>
      <c r="G34" s="9" t="s">
        <v>26</v>
      </c>
      <c r="H34" s="6"/>
    </row>
    <row r="35" customFormat="false" ht="15" hidden="false" customHeight="false" outlineLevel="0" collapsed="false">
      <c r="A35" s="4" t="s">
        <v>25</v>
      </c>
      <c r="B35" s="4" t="s">
        <v>17</v>
      </c>
      <c r="C35" s="4" t="n">
        <v>4</v>
      </c>
      <c r="D35" s="9" t="s">
        <v>7</v>
      </c>
      <c r="E35" s="16" t="n">
        <v>1</v>
      </c>
      <c r="F35" s="9" t="s">
        <v>67</v>
      </c>
      <c r="G35" s="9" t="s">
        <v>26</v>
      </c>
      <c r="H35" s="6"/>
    </row>
    <row r="36" customFormat="false" ht="15" hidden="false" customHeight="false" outlineLevel="0" collapsed="false">
      <c r="A36" s="4" t="s">
        <v>25</v>
      </c>
      <c r="B36" s="4" t="s">
        <v>17</v>
      </c>
      <c r="C36" s="4" t="n">
        <v>5</v>
      </c>
      <c r="D36" s="9" t="s">
        <v>10</v>
      </c>
      <c r="E36" s="16" t="n">
        <v>2</v>
      </c>
      <c r="F36" s="9" t="s">
        <v>68</v>
      </c>
      <c r="G36" s="9" t="s">
        <v>26</v>
      </c>
      <c r="H36" s="6"/>
    </row>
    <row r="37" customFormat="false" ht="15" hidden="false" customHeight="false" outlineLevel="0" collapsed="false">
      <c r="A37" s="4" t="s">
        <v>25</v>
      </c>
      <c r="B37" s="4" t="s">
        <v>17</v>
      </c>
      <c r="C37" s="4" t="n">
        <v>6</v>
      </c>
      <c r="D37" s="9" t="s">
        <v>9</v>
      </c>
      <c r="E37" s="16" t="n">
        <v>2</v>
      </c>
      <c r="F37" s="9" t="s">
        <v>69</v>
      </c>
      <c r="G37" s="9" t="s">
        <v>26</v>
      </c>
      <c r="H37" s="6"/>
    </row>
    <row r="38" customFormat="false" ht="15" hidden="false" customHeight="false" outlineLevel="0" collapsed="false">
      <c r="A38" s="17" t="s">
        <v>70</v>
      </c>
      <c r="B38" s="18"/>
      <c r="C38" s="18"/>
      <c r="D38" s="18"/>
      <c r="E38" s="18"/>
      <c r="F38" s="18"/>
      <c r="G38" s="18"/>
      <c r="H38" s="18"/>
    </row>
    <row r="39" customFormat="false" ht="15" hidden="false" customHeight="false" outlineLevel="0" collapsed="false">
      <c r="A39" s="4" t="s">
        <v>27</v>
      </c>
      <c r="B39" s="4" t="s">
        <v>17</v>
      </c>
      <c r="C39" s="4" t="n">
        <v>1</v>
      </c>
      <c r="D39" s="9" t="s">
        <v>4</v>
      </c>
      <c r="E39" s="16" t="n">
        <v>1</v>
      </c>
      <c r="F39" s="9" t="s">
        <v>71</v>
      </c>
      <c r="G39" s="9" t="s">
        <v>21</v>
      </c>
      <c r="H39" s="6"/>
    </row>
    <row r="40" customFormat="false" ht="15" hidden="false" customHeight="false" outlineLevel="0" collapsed="false">
      <c r="A40" s="4" t="s">
        <v>27</v>
      </c>
      <c r="B40" s="4" t="s">
        <v>17</v>
      </c>
      <c r="C40" s="4" t="n">
        <v>2</v>
      </c>
      <c r="D40" s="9" t="s">
        <v>45</v>
      </c>
      <c r="E40" s="16" t="n">
        <v>1</v>
      </c>
      <c r="F40" s="9" t="s">
        <v>46</v>
      </c>
      <c r="G40" s="9" t="s">
        <v>21</v>
      </c>
      <c r="H40" s="6"/>
    </row>
    <row r="41" customFormat="false" ht="15" hidden="false" customHeight="false" outlineLevel="0" collapsed="false">
      <c r="A41" s="4" t="s">
        <v>27</v>
      </c>
      <c r="B41" s="4" t="s">
        <v>17</v>
      </c>
      <c r="C41" s="4" t="n">
        <v>3</v>
      </c>
      <c r="D41" s="4" t="s">
        <v>6</v>
      </c>
      <c r="E41" s="16" t="n">
        <v>1</v>
      </c>
      <c r="F41" s="9" t="s">
        <v>72</v>
      </c>
      <c r="G41" s="9" t="s">
        <v>21</v>
      </c>
      <c r="H41" s="6"/>
    </row>
    <row r="42" customFormat="false" ht="15" hidden="false" customHeight="false" outlineLevel="0" collapsed="false">
      <c r="A42" s="4" t="s">
        <v>27</v>
      </c>
      <c r="B42" s="4" t="s">
        <v>17</v>
      </c>
      <c r="C42" s="4" t="n">
        <v>4</v>
      </c>
      <c r="D42" s="9" t="s">
        <v>7</v>
      </c>
      <c r="E42" s="16" t="n">
        <v>2</v>
      </c>
      <c r="F42" s="9" t="s">
        <v>73</v>
      </c>
      <c r="G42" s="9" t="s">
        <v>21</v>
      </c>
      <c r="H42" s="6"/>
    </row>
    <row r="43" customFormat="false" ht="15" hidden="false" customHeight="false" outlineLevel="0" collapsed="false">
      <c r="A43" s="4" t="s">
        <v>27</v>
      </c>
      <c r="B43" s="4" t="s">
        <v>17</v>
      </c>
      <c r="C43" s="4" t="n">
        <v>5</v>
      </c>
      <c r="D43" s="9" t="s">
        <v>10</v>
      </c>
      <c r="E43" s="16" t="n">
        <v>2</v>
      </c>
      <c r="F43" s="9" t="s">
        <v>74</v>
      </c>
      <c r="G43" s="9" t="s">
        <v>21</v>
      </c>
      <c r="H43" s="6"/>
    </row>
    <row r="44" customFormat="false" ht="15" hidden="false" customHeight="false" outlineLevel="0" collapsed="false">
      <c r="A44" s="4" t="s">
        <v>27</v>
      </c>
      <c r="B44" s="4" t="s">
        <v>17</v>
      </c>
      <c r="C44" s="4" t="n">
        <v>6</v>
      </c>
      <c r="D44" s="9" t="s">
        <v>9</v>
      </c>
      <c r="E44" s="16" t="n">
        <v>1</v>
      </c>
      <c r="F44" s="9" t="s">
        <v>75</v>
      </c>
      <c r="G44" s="9" t="s">
        <v>21</v>
      </c>
      <c r="H44" s="6"/>
    </row>
    <row r="45" customFormat="false" ht="15" hidden="false" customHeight="false" outlineLevel="0" collapsed="false">
      <c r="A45" s="17" t="s">
        <v>76</v>
      </c>
      <c r="B45" s="18"/>
      <c r="C45" s="18"/>
      <c r="D45" s="18"/>
      <c r="E45" s="18"/>
      <c r="F45" s="18"/>
      <c r="G45" s="18"/>
      <c r="H45" s="18"/>
    </row>
    <row r="46" customFormat="false" ht="15" hidden="false" customHeight="false" outlineLevel="0" collapsed="false">
      <c r="A46" s="4" t="s">
        <v>28</v>
      </c>
      <c r="B46" s="4" t="s">
        <v>17</v>
      </c>
      <c r="C46" s="4" t="n">
        <v>1</v>
      </c>
      <c r="D46" s="9" t="s">
        <v>4</v>
      </c>
      <c r="E46" s="16" t="n">
        <v>1</v>
      </c>
      <c r="F46" s="9" t="s">
        <v>77</v>
      </c>
      <c r="G46" s="9" t="s">
        <v>21</v>
      </c>
      <c r="H46" s="6"/>
    </row>
    <row r="47" customFormat="false" ht="15" hidden="false" customHeight="false" outlineLevel="0" collapsed="false">
      <c r="A47" s="4" t="s">
        <v>28</v>
      </c>
      <c r="B47" s="4" t="s">
        <v>17</v>
      </c>
      <c r="C47" s="4" t="n">
        <v>2</v>
      </c>
      <c r="D47" s="9" t="s">
        <v>45</v>
      </c>
      <c r="E47" s="16" t="n">
        <v>1</v>
      </c>
      <c r="F47" s="9" t="s">
        <v>46</v>
      </c>
      <c r="G47" s="9" t="s">
        <v>21</v>
      </c>
      <c r="H47" s="6"/>
    </row>
    <row r="48" customFormat="false" ht="15" hidden="false" customHeight="false" outlineLevel="0" collapsed="false">
      <c r="A48" s="4" t="s">
        <v>28</v>
      </c>
      <c r="B48" s="4" t="s">
        <v>17</v>
      </c>
      <c r="C48" s="4" t="n">
        <v>3</v>
      </c>
      <c r="D48" s="4" t="s">
        <v>6</v>
      </c>
      <c r="E48" s="16" t="n">
        <v>2</v>
      </c>
      <c r="F48" s="9" t="s">
        <v>78</v>
      </c>
      <c r="G48" s="9" t="s">
        <v>21</v>
      </c>
      <c r="H48" s="6"/>
    </row>
    <row r="49" customFormat="false" ht="15" hidden="false" customHeight="false" outlineLevel="0" collapsed="false">
      <c r="A49" s="4" t="s">
        <v>28</v>
      </c>
      <c r="B49" s="4" t="s">
        <v>17</v>
      </c>
      <c r="C49" s="4" t="n">
        <v>4</v>
      </c>
      <c r="D49" s="9" t="s">
        <v>7</v>
      </c>
      <c r="E49" s="16" t="n">
        <v>3</v>
      </c>
      <c r="F49" s="4" t="s">
        <v>79</v>
      </c>
      <c r="G49" s="9" t="s">
        <v>21</v>
      </c>
      <c r="H49" s="6"/>
    </row>
    <row r="50" customFormat="false" ht="26.85" hidden="false" customHeight="false" outlineLevel="0" collapsed="false">
      <c r="A50" s="4" t="s">
        <v>28</v>
      </c>
      <c r="B50" s="4" t="s">
        <v>17</v>
      </c>
      <c r="C50" s="4" t="n">
        <v>5</v>
      </c>
      <c r="D50" s="9" t="s">
        <v>10</v>
      </c>
      <c r="E50" s="16" t="n">
        <v>4</v>
      </c>
      <c r="F50" s="9" t="s">
        <v>80</v>
      </c>
      <c r="G50" s="9" t="s">
        <v>21</v>
      </c>
      <c r="H50" s="6"/>
    </row>
    <row r="51" customFormat="false" ht="15" hidden="false" customHeight="false" outlineLevel="0" collapsed="false">
      <c r="A51" s="4" t="s">
        <v>28</v>
      </c>
      <c r="B51" s="4" t="s">
        <v>17</v>
      </c>
      <c r="C51" s="4" t="n">
        <v>6</v>
      </c>
      <c r="D51" s="9" t="s">
        <v>9</v>
      </c>
      <c r="E51" s="16" t="n">
        <v>2</v>
      </c>
      <c r="F51" s="9" t="s">
        <v>81</v>
      </c>
      <c r="G51" s="9" t="s">
        <v>21</v>
      </c>
      <c r="H51" s="6"/>
    </row>
    <row r="52" customFormat="false" ht="15" hidden="false" customHeight="false" outlineLevel="0" collapsed="false">
      <c r="A52" s="17" t="s">
        <v>82</v>
      </c>
      <c r="B52" s="18"/>
      <c r="C52" s="18"/>
      <c r="D52" s="18"/>
      <c r="E52" s="18"/>
      <c r="F52" s="18"/>
      <c r="G52" s="18"/>
      <c r="H52" s="18"/>
    </row>
    <row r="53" customFormat="false" ht="15" hidden="false" customHeight="false" outlineLevel="0" collapsed="false">
      <c r="A53" s="4" t="s">
        <v>29</v>
      </c>
      <c r="B53" s="4" t="s">
        <v>17</v>
      </c>
      <c r="C53" s="4" t="n">
        <v>1</v>
      </c>
      <c r="D53" s="9" t="s">
        <v>4</v>
      </c>
      <c r="E53" s="16" t="n">
        <v>1</v>
      </c>
      <c r="F53" s="9" t="s">
        <v>83</v>
      </c>
      <c r="G53" s="9" t="s">
        <v>21</v>
      </c>
      <c r="H53" s="6"/>
    </row>
    <row r="54" customFormat="false" ht="15" hidden="false" customHeight="false" outlineLevel="0" collapsed="false">
      <c r="A54" s="4" t="s">
        <v>29</v>
      </c>
      <c r="B54" s="4" t="s">
        <v>17</v>
      </c>
      <c r="C54" s="4" t="n">
        <v>2</v>
      </c>
      <c r="D54" s="9" t="s">
        <v>45</v>
      </c>
      <c r="E54" s="16" t="n">
        <v>1</v>
      </c>
      <c r="F54" s="9" t="s">
        <v>46</v>
      </c>
      <c r="G54" s="9" t="s">
        <v>21</v>
      </c>
      <c r="H54" s="6"/>
    </row>
    <row r="55" customFormat="false" ht="15" hidden="false" customHeight="false" outlineLevel="0" collapsed="false">
      <c r="A55" s="4" t="s">
        <v>29</v>
      </c>
      <c r="B55" s="4" t="s">
        <v>17</v>
      </c>
      <c r="C55" s="4" t="n">
        <v>4</v>
      </c>
      <c r="D55" s="9" t="s">
        <v>8</v>
      </c>
      <c r="E55" s="16" t="n">
        <v>1</v>
      </c>
      <c r="F55" s="9" t="s">
        <v>84</v>
      </c>
      <c r="G55" s="9" t="s">
        <v>21</v>
      </c>
      <c r="H55" s="6"/>
    </row>
    <row r="56" customFormat="false" ht="15" hidden="false" customHeight="false" outlineLevel="0" collapsed="false">
      <c r="A56" s="4" t="s">
        <v>29</v>
      </c>
      <c r="B56" s="4" t="s">
        <v>17</v>
      </c>
      <c r="C56" s="4" t="n">
        <v>5</v>
      </c>
      <c r="D56" s="9" t="s">
        <v>10</v>
      </c>
      <c r="E56" s="16" t="n">
        <v>1</v>
      </c>
      <c r="F56" s="9" t="s">
        <v>49</v>
      </c>
      <c r="G56" s="9" t="s">
        <v>21</v>
      </c>
      <c r="H56" s="6"/>
    </row>
    <row r="57" customFormat="false" ht="15" hidden="false" customHeight="false" outlineLevel="0" collapsed="false">
      <c r="A57" s="4" t="s">
        <v>29</v>
      </c>
      <c r="B57" s="4" t="s">
        <v>17</v>
      </c>
      <c r="C57" s="4" t="n">
        <v>6</v>
      </c>
      <c r="D57" s="9" t="s">
        <v>9</v>
      </c>
      <c r="E57" s="16" t="n">
        <v>1</v>
      </c>
      <c r="F57" s="4" t="s">
        <v>85</v>
      </c>
      <c r="G57" s="9" t="s">
        <v>21</v>
      </c>
      <c r="H57" s="6"/>
    </row>
    <row r="58" customFormat="false" ht="15" hidden="false" customHeight="false" outlineLevel="0" collapsed="false">
      <c r="A58" s="17" t="s">
        <v>86</v>
      </c>
      <c r="B58" s="18"/>
      <c r="C58" s="18"/>
      <c r="D58" s="18"/>
      <c r="E58" s="18"/>
      <c r="F58" s="18"/>
      <c r="G58" s="18"/>
      <c r="H58" s="18"/>
    </row>
    <row r="59" customFormat="false" ht="25.35" hidden="false" customHeight="false" outlineLevel="0" collapsed="false">
      <c r="A59" s="4" t="s">
        <v>30</v>
      </c>
      <c r="B59" s="4" t="s">
        <v>17</v>
      </c>
      <c r="C59" s="4" t="n">
        <v>1</v>
      </c>
      <c r="D59" s="9" t="s">
        <v>4</v>
      </c>
      <c r="E59" s="16" t="n">
        <v>1</v>
      </c>
      <c r="F59" s="9" t="s">
        <v>87</v>
      </c>
      <c r="G59" s="9" t="s">
        <v>21</v>
      </c>
      <c r="H59" s="6"/>
    </row>
    <row r="60" customFormat="false" ht="25.35" hidden="false" customHeight="false" outlineLevel="0" collapsed="false">
      <c r="A60" s="4" t="s">
        <v>30</v>
      </c>
      <c r="B60" s="4" t="s">
        <v>17</v>
      </c>
      <c r="C60" s="4" t="n">
        <v>2</v>
      </c>
      <c r="D60" s="9" t="s">
        <v>45</v>
      </c>
      <c r="E60" s="16" t="n">
        <v>1</v>
      </c>
      <c r="F60" s="9" t="s">
        <v>46</v>
      </c>
      <c r="G60" s="9" t="s">
        <v>21</v>
      </c>
      <c r="H60" s="6"/>
    </row>
    <row r="61" customFormat="false" ht="25.35" hidden="false" customHeight="false" outlineLevel="0" collapsed="false">
      <c r="A61" s="4" t="s">
        <v>30</v>
      </c>
      <c r="B61" s="4" t="s">
        <v>17</v>
      </c>
      <c r="C61" s="4" t="n">
        <v>4</v>
      </c>
      <c r="D61" s="9" t="s">
        <v>8</v>
      </c>
      <c r="E61" s="16" t="n">
        <v>1</v>
      </c>
      <c r="F61" s="9" t="s">
        <v>88</v>
      </c>
      <c r="G61" s="9" t="s">
        <v>21</v>
      </c>
      <c r="H61" s="6"/>
    </row>
    <row r="62" customFormat="false" ht="25.35" hidden="false" customHeight="false" outlineLevel="0" collapsed="false">
      <c r="A62" s="4" t="s">
        <v>30</v>
      </c>
      <c r="B62" s="4" t="s">
        <v>17</v>
      </c>
      <c r="C62" s="4" t="n">
        <v>5</v>
      </c>
      <c r="D62" s="9" t="s">
        <v>10</v>
      </c>
      <c r="E62" s="16" t="n">
        <v>1</v>
      </c>
      <c r="F62" s="9" t="s">
        <v>49</v>
      </c>
      <c r="G62" s="9" t="s">
        <v>21</v>
      </c>
      <c r="H62" s="6"/>
    </row>
    <row r="63" customFormat="false" ht="15" hidden="false" customHeight="false" outlineLevel="0" collapsed="false">
      <c r="A63" s="17" t="s">
        <v>89</v>
      </c>
      <c r="B63" s="18"/>
      <c r="C63" s="18"/>
      <c r="D63" s="18"/>
      <c r="E63" s="18"/>
      <c r="F63" s="18"/>
      <c r="G63" s="18"/>
      <c r="H63" s="18"/>
    </row>
    <row r="64" customFormat="false" ht="25.35" hidden="false" customHeight="false" outlineLevel="0" collapsed="false">
      <c r="A64" s="4" t="s">
        <v>31</v>
      </c>
      <c r="B64" s="4" t="s">
        <v>17</v>
      </c>
      <c r="C64" s="4" t="n">
        <v>1</v>
      </c>
      <c r="D64" s="9" t="s">
        <v>4</v>
      </c>
      <c r="E64" s="16" t="n">
        <v>1</v>
      </c>
      <c r="F64" s="9" t="s">
        <v>87</v>
      </c>
      <c r="G64" s="9" t="s">
        <v>21</v>
      </c>
      <c r="H64" s="6"/>
    </row>
    <row r="65" customFormat="false" ht="25.35" hidden="false" customHeight="false" outlineLevel="0" collapsed="false">
      <c r="A65" s="4" t="s">
        <v>31</v>
      </c>
      <c r="B65" s="4" t="s">
        <v>17</v>
      </c>
      <c r="C65" s="4" t="n">
        <v>2</v>
      </c>
      <c r="D65" s="9" t="s">
        <v>45</v>
      </c>
      <c r="E65" s="16" t="n">
        <v>1</v>
      </c>
      <c r="F65" s="9" t="s">
        <v>46</v>
      </c>
      <c r="G65" s="9" t="s">
        <v>21</v>
      </c>
      <c r="H65" s="6"/>
    </row>
    <row r="66" customFormat="false" ht="25.35" hidden="false" customHeight="false" outlineLevel="0" collapsed="false">
      <c r="A66" s="4" t="s">
        <v>31</v>
      </c>
      <c r="B66" s="4" t="s">
        <v>17</v>
      </c>
      <c r="C66" s="4" t="n">
        <v>4</v>
      </c>
      <c r="D66" s="9" t="s">
        <v>8</v>
      </c>
      <c r="E66" s="16" t="n">
        <v>1</v>
      </c>
      <c r="F66" s="9" t="s">
        <v>88</v>
      </c>
      <c r="G66" s="9" t="s">
        <v>21</v>
      </c>
      <c r="H66" s="6"/>
    </row>
    <row r="67" customFormat="false" ht="25.35" hidden="false" customHeight="false" outlineLevel="0" collapsed="false">
      <c r="A67" s="4" t="s">
        <v>31</v>
      </c>
      <c r="B67" s="4" t="s">
        <v>17</v>
      </c>
      <c r="C67" s="4" t="n">
        <v>4</v>
      </c>
      <c r="D67" s="9" t="s">
        <v>7</v>
      </c>
      <c r="E67" s="16" t="n">
        <v>1</v>
      </c>
      <c r="F67" s="4" t="s">
        <v>90</v>
      </c>
      <c r="G67" s="9" t="s">
        <v>21</v>
      </c>
      <c r="H67" s="6"/>
    </row>
    <row r="68" customFormat="false" ht="25.35" hidden="false" customHeight="false" outlineLevel="0" collapsed="false">
      <c r="A68" s="4" t="s">
        <v>31</v>
      </c>
      <c r="B68" s="4" t="s">
        <v>17</v>
      </c>
      <c r="C68" s="4" t="n">
        <v>5</v>
      </c>
      <c r="D68" s="9" t="s">
        <v>10</v>
      </c>
      <c r="E68" s="16" t="n">
        <v>1</v>
      </c>
      <c r="F68" s="9" t="s">
        <v>49</v>
      </c>
      <c r="G68" s="9" t="s">
        <v>21</v>
      </c>
      <c r="H68" s="6"/>
    </row>
    <row r="69" customFormat="false" ht="15" hidden="false" customHeight="false" outlineLevel="0" collapsed="false">
      <c r="A69" s="17" t="s">
        <v>91</v>
      </c>
      <c r="B69" s="18"/>
      <c r="C69" s="18"/>
      <c r="D69" s="18"/>
      <c r="E69" s="18"/>
      <c r="F69" s="18"/>
      <c r="G69" s="18"/>
      <c r="H69" s="18"/>
    </row>
    <row r="70" customFormat="false" ht="26.1" hidden="false" customHeight="false" outlineLevel="0" collapsed="false">
      <c r="A70" s="4" t="s">
        <v>32</v>
      </c>
      <c r="B70" s="4" t="s">
        <v>17</v>
      </c>
      <c r="C70" s="4" t="n">
        <v>1</v>
      </c>
      <c r="D70" s="9" t="s">
        <v>4</v>
      </c>
      <c r="E70" s="16" t="n">
        <v>1</v>
      </c>
      <c r="F70" s="9" t="s">
        <v>71</v>
      </c>
      <c r="G70" s="9" t="s">
        <v>21</v>
      </c>
      <c r="H70" s="6"/>
    </row>
    <row r="71" customFormat="false" ht="26.1" hidden="false" customHeight="false" outlineLevel="0" collapsed="false">
      <c r="A71" s="4" t="s">
        <v>32</v>
      </c>
      <c r="B71" s="4" t="s">
        <v>17</v>
      </c>
      <c r="C71" s="4" t="n">
        <v>2</v>
      </c>
      <c r="D71" s="9" t="s">
        <v>45</v>
      </c>
      <c r="E71" s="16" t="n">
        <v>1</v>
      </c>
      <c r="F71" s="9" t="s">
        <v>46</v>
      </c>
      <c r="G71" s="9" t="s">
        <v>21</v>
      </c>
      <c r="H71" s="6"/>
    </row>
    <row r="72" customFormat="false" ht="26.1" hidden="false" customHeight="false" outlineLevel="0" collapsed="false">
      <c r="A72" s="4" t="s">
        <v>32</v>
      </c>
      <c r="B72" s="4" t="s">
        <v>17</v>
      </c>
      <c r="C72" s="4" t="n">
        <v>3</v>
      </c>
      <c r="D72" s="4" t="s">
        <v>6</v>
      </c>
      <c r="E72" s="16" t="n">
        <v>1</v>
      </c>
      <c r="F72" s="9" t="s">
        <v>92</v>
      </c>
      <c r="G72" s="9" t="s">
        <v>21</v>
      </c>
      <c r="H72" s="6"/>
    </row>
    <row r="73" customFormat="false" ht="26.1" hidden="false" customHeight="false" outlineLevel="0" collapsed="false">
      <c r="A73" s="4" t="s">
        <v>32</v>
      </c>
      <c r="B73" s="4" t="s">
        <v>17</v>
      </c>
      <c r="C73" s="4" t="n">
        <v>4</v>
      </c>
      <c r="D73" s="9" t="s">
        <v>9</v>
      </c>
      <c r="E73" s="16" t="n">
        <v>1</v>
      </c>
      <c r="F73" s="9" t="s">
        <v>93</v>
      </c>
      <c r="G73" s="9" t="s">
        <v>21</v>
      </c>
      <c r="H73" s="6"/>
    </row>
    <row r="74" customFormat="false" ht="26.1" hidden="false" customHeight="false" outlineLevel="0" collapsed="false">
      <c r="A74" s="4" t="s">
        <v>32</v>
      </c>
      <c r="B74" s="4" t="s">
        <v>17</v>
      </c>
      <c r="C74" s="4" t="n">
        <v>5</v>
      </c>
      <c r="D74" s="9" t="s">
        <v>10</v>
      </c>
      <c r="E74" s="16" t="n">
        <v>1</v>
      </c>
      <c r="F74" s="9" t="s">
        <v>49</v>
      </c>
      <c r="G74" s="9" t="s">
        <v>21</v>
      </c>
      <c r="H74" s="6"/>
    </row>
    <row r="75" customFormat="false" ht="26.1" hidden="false" customHeight="false" outlineLevel="0" collapsed="false">
      <c r="A75" s="4" t="s">
        <v>32</v>
      </c>
      <c r="B75" s="4" t="s">
        <v>17</v>
      </c>
      <c r="C75" s="4" t="n">
        <v>6</v>
      </c>
      <c r="D75" s="9" t="s">
        <v>11</v>
      </c>
      <c r="E75" s="16" t="n">
        <v>1</v>
      </c>
      <c r="F75" s="9" t="s">
        <v>94</v>
      </c>
      <c r="G75" s="9" t="s">
        <v>21</v>
      </c>
      <c r="H75" s="6"/>
    </row>
    <row r="76" customFormat="false" ht="15" hidden="false" customHeight="false" outlineLevel="0" collapsed="false">
      <c r="A76" s="17" t="s">
        <v>95</v>
      </c>
      <c r="B76" s="18"/>
      <c r="C76" s="18"/>
      <c r="D76" s="18"/>
      <c r="E76" s="18"/>
      <c r="F76" s="18"/>
      <c r="G76" s="18"/>
      <c r="H76" s="18"/>
    </row>
    <row r="77" customFormat="false" ht="15" hidden="false" customHeight="false" outlineLevel="0" collapsed="false">
      <c r="A77" s="4" t="s">
        <v>33</v>
      </c>
      <c r="B77" s="9" t="s">
        <v>34</v>
      </c>
      <c r="C77" s="4" t="n">
        <v>1</v>
      </c>
      <c r="D77" s="9" t="s">
        <v>4</v>
      </c>
      <c r="E77" s="16" t="n">
        <v>1</v>
      </c>
      <c r="F77" s="9" t="s">
        <v>96</v>
      </c>
      <c r="G77" s="9" t="s">
        <v>21</v>
      </c>
      <c r="H77" s="6"/>
    </row>
    <row r="78" customFormat="false" ht="15" hidden="false" customHeight="false" outlineLevel="0" collapsed="false">
      <c r="A78" s="4" t="s">
        <v>33</v>
      </c>
      <c r="B78" s="9" t="s">
        <v>34</v>
      </c>
      <c r="C78" s="4" t="n">
        <v>2</v>
      </c>
      <c r="D78" s="9" t="s">
        <v>45</v>
      </c>
      <c r="E78" s="16" t="n">
        <v>1</v>
      </c>
      <c r="F78" s="9" t="s">
        <v>46</v>
      </c>
      <c r="G78" s="9" t="s">
        <v>21</v>
      </c>
      <c r="H78" s="6"/>
    </row>
    <row r="79" customFormat="false" ht="15" hidden="false" customHeight="false" outlineLevel="0" collapsed="false">
      <c r="A79" s="4" t="s">
        <v>33</v>
      </c>
      <c r="B79" s="9" t="s">
        <v>34</v>
      </c>
      <c r="C79" s="4" t="n">
        <v>3</v>
      </c>
      <c r="D79" s="4" t="s">
        <v>6</v>
      </c>
      <c r="E79" s="16" t="n">
        <v>1</v>
      </c>
      <c r="F79" s="9" t="s">
        <v>97</v>
      </c>
      <c r="G79" s="9" t="s">
        <v>21</v>
      </c>
      <c r="H79" s="6"/>
    </row>
    <row r="80" customFormat="false" ht="15" hidden="false" customHeight="false" outlineLevel="0" collapsed="false">
      <c r="A80" s="4" t="s">
        <v>33</v>
      </c>
      <c r="B80" s="9" t="s">
        <v>34</v>
      </c>
      <c r="C80" s="4" t="n">
        <v>4</v>
      </c>
      <c r="D80" s="9" t="s">
        <v>9</v>
      </c>
      <c r="E80" s="16" t="n">
        <v>1</v>
      </c>
      <c r="F80" s="9" t="s">
        <v>93</v>
      </c>
      <c r="G80" s="9" t="s">
        <v>21</v>
      </c>
      <c r="H80" s="6"/>
    </row>
    <row r="81" customFormat="false" ht="15" hidden="false" customHeight="false" outlineLevel="0" collapsed="false">
      <c r="A81" s="4" t="s">
        <v>33</v>
      </c>
      <c r="B81" s="9" t="s">
        <v>34</v>
      </c>
      <c r="C81" s="4" t="n">
        <v>5</v>
      </c>
      <c r="D81" s="9" t="s">
        <v>10</v>
      </c>
      <c r="E81" s="16" t="n">
        <v>1</v>
      </c>
      <c r="F81" s="9" t="s">
        <v>49</v>
      </c>
      <c r="G81" s="9" t="s">
        <v>21</v>
      </c>
      <c r="H81" s="6"/>
    </row>
    <row r="82" customFormat="false" ht="15" hidden="false" customHeight="false" outlineLevel="0" collapsed="false">
      <c r="A82" s="4" t="s">
        <v>33</v>
      </c>
      <c r="B82" s="9" t="s">
        <v>35</v>
      </c>
      <c r="C82" s="4" t="n">
        <v>1</v>
      </c>
      <c r="D82" s="9" t="s">
        <v>4</v>
      </c>
      <c r="E82" s="16" t="n">
        <v>1</v>
      </c>
      <c r="F82" s="9" t="s">
        <v>96</v>
      </c>
      <c r="G82" s="9" t="s">
        <v>21</v>
      </c>
      <c r="H82" s="6"/>
    </row>
    <row r="83" customFormat="false" ht="15" hidden="false" customHeight="false" outlineLevel="0" collapsed="false">
      <c r="A83" s="4" t="s">
        <v>33</v>
      </c>
      <c r="B83" s="9" t="s">
        <v>35</v>
      </c>
      <c r="C83" s="4" t="n">
        <v>2</v>
      </c>
      <c r="D83" s="9" t="s">
        <v>45</v>
      </c>
      <c r="E83" s="16" t="n">
        <v>1</v>
      </c>
      <c r="F83" s="9" t="s">
        <v>46</v>
      </c>
      <c r="G83" s="9" t="s">
        <v>21</v>
      </c>
      <c r="H83" s="6"/>
    </row>
    <row r="84" customFormat="false" ht="15" hidden="false" customHeight="false" outlineLevel="0" collapsed="false">
      <c r="A84" s="4" t="s">
        <v>33</v>
      </c>
      <c r="B84" s="9" t="s">
        <v>35</v>
      </c>
      <c r="C84" s="4" t="n">
        <v>3</v>
      </c>
      <c r="D84" s="4" t="s">
        <v>6</v>
      </c>
      <c r="E84" s="16" t="n">
        <v>1</v>
      </c>
      <c r="F84" s="9" t="s">
        <v>97</v>
      </c>
      <c r="G84" s="9" t="s">
        <v>21</v>
      </c>
      <c r="H84" s="6"/>
    </row>
    <row r="85" customFormat="false" ht="15" hidden="false" customHeight="false" outlineLevel="0" collapsed="false">
      <c r="A85" s="4" t="s">
        <v>33</v>
      </c>
      <c r="B85" s="9" t="s">
        <v>35</v>
      </c>
      <c r="C85" s="4" t="n">
        <v>4</v>
      </c>
      <c r="D85" s="9" t="s">
        <v>9</v>
      </c>
      <c r="E85" s="16" t="n">
        <v>1</v>
      </c>
      <c r="F85" s="9" t="s">
        <v>93</v>
      </c>
      <c r="G85" s="9" t="s">
        <v>21</v>
      </c>
      <c r="H85" s="6"/>
    </row>
    <row r="86" customFormat="false" ht="15" hidden="false" customHeight="false" outlineLevel="0" collapsed="false">
      <c r="A86" s="4" t="s">
        <v>33</v>
      </c>
      <c r="B86" s="9" t="s">
        <v>35</v>
      </c>
      <c r="C86" s="4" t="n">
        <v>5</v>
      </c>
      <c r="D86" s="9" t="s">
        <v>10</v>
      </c>
      <c r="E86" s="16" t="n">
        <v>1</v>
      </c>
      <c r="F86" s="9" t="s">
        <v>49</v>
      </c>
      <c r="G86" s="9" t="s">
        <v>21</v>
      </c>
      <c r="H8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9" t="s">
        <v>98</v>
      </c>
      <c r="B1" s="19" t="s">
        <v>99</v>
      </c>
    </row>
    <row r="2" customFormat="false" ht="26.85" hidden="false" customHeight="false" outlineLevel="0" collapsed="false">
      <c r="A2" s="20" t="s">
        <v>100</v>
      </c>
      <c r="B2" s="21" t="s">
        <v>101</v>
      </c>
    </row>
    <row r="3" customFormat="false" ht="15" hidden="false" customHeight="false" outlineLevel="0" collapsed="false">
      <c r="A3" s="21" t="s">
        <v>102</v>
      </c>
      <c r="B3" s="20" t="s">
        <v>103</v>
      </c>
    </row>
    <row r="4" customFormat="false" ht="15" hidden="false" customHeight="false" outlineLevel="0" collapsed="false">
      <c r="A4" s="21" t="s">
        <v>104</v>
      </c>
      <c r="B4" s="20" t="s">
        <v>105</v>
      </c>
    </row>
    <row r="5" customFormat="false" ht="15" hidden="false" customHeight="false" outlineLevel="0" collapsed="false">
      <c r="A5" s="20" t="s">
        <v>7</v>
      </c>
      <c r="B5" s="20" t="s">
        <v>106</v>
      </c>
    </row>
    <row r="6" customFormat="false" ht="15" hidden="false" customHeight="false" outlineLevel="0" collapsed="false">
      <c r="A6" s="20" t="s">
        <v>10</v>
      </c>
      <c r="B6" s="20" t="s">
        <v>107</v>
      </c>
    </row>
    <row r="7" customFormat="false" ht="15" hidden="false" customHeight="false" outlineLevel="0" collapsed="false">
      <c r="A7" s="20" t="s">
        <v>108</v>
      </c>
      <c r="B7" s="20" t="s">
        <v>109</v>
      </c>
    </row>
    <row r="8" customFormat="false" ht="15" hidden="false" customHeight="false" outlineLevel="0" collapsed="false">
      <c r="A8" s="20" t="s">
        <v>11</v>
      </c>
      <c r="B8" s="20" t="s">
        <v>110</v>
      </c>
    </row>
    <row r="9" customFormat="false" ht="15" hidden="false" customHeight="false" outlineLevel="0" collapsed="false">
      <c r="A9" s="20" t="s">
        <v>111</v>
      </c>
      <c r="B9" s="20" t="s">
        <v>112</v>
      </c>
    </row>
    <row r="10" customFormat="false" ht="15" hidden="false" customHeight="false" outlineLevel="0" collapsed="false">
      <c r="A10" s="20" t="s">
        <v>113</v>
      </c>
      <c r="B10" s="20" t="s">
        <v>114</v>
      </c>
    </row>
    <row r="11" customFormat="false" ht="15" hidden="false" customHeight="false" outlineLevel="0" collapsed="false">
      <c r="A11" s="20" t="s">
        <v>115</v>
      </c>
      <c r="B11" s="20" t="s">
        <v>116</v>
      </c>
    </row>
    <row r="12" customFormat="false" ht="15" hidden="false" customHeight="false" outlineLevel="0" collapsed="false">
      <c r="A12" s="20" t="s">
        <v>117</v>
      </c>
      <c r="B12" s="2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00"/>
  </cols>
  <sheetData>
    <row r="1" customFormat="false" ht="15" hidden="false" customHeight="false" outlineLevel="0" collapsed="false">
      <c r="A1" s="20" t="s">
        <v>119</v>
      </c>
      <c r="B1" s="20" t="s">
        <v>120</v>
      </c>
      <c r="C1" s="20" t="s">
        <v>121</v>
      </c>
    </row>
    <row r="2" customFormat="false" ht="25.35" hidden="false" customHeight="false" outlineLevel="0" collapsed="false">
      <c r="A2" s="21" t="s">
        <v>122</v>
      </c>
      <c r="B2" s="21" t="s">
        <v>123</v>
      </c>
      <c r="C2" s="21" t="s">
        <v>124</v>
      </c>
    </row>
    <row r="3" customFormat="false" ht="26.85" hidden="false" customHeight="false" outlineLevel="0" collapsed="false">
      <c r="A3" s="21" t="s">
        <v>122</v>
      </c>
      <c r="B3" s="21" t="s">
        <v>125</v>
      </c>
      <c r="C3" s="20" t="s">
        <v>126</v>
      </c>
    </row>
    <row r="4" customFormat="false" ht="25.35" hidden="false" customHeight="false" outlineLevel="0" collapsed="false">
      <c r="A4" s="21" t="s">
        <v>122</v>
      </c>
      <c r="B4" s="21" t="s">
        <v>17</v>
      </c>
      <c r="C4" s="20" t="s">
        <v>127</v>
      </c>
    </row>
    <row r="5" customFormat="false" ht="25.35" hidden="false" customHeight="false" outlineLevel="0" collapsed="false">
      <c r="A5" s="21" t="s">
        <v>122</v>
      </c>
      <c r="B5" s="21" t="s">
        <v>17</v>
      </c>
      <c r="C5" s="2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2026-10-07T02:04:40Z</dcterms:created>
  <dc:creator>openpyxl</dc:creator>
  <dc:description/>
  <dc:language>en-US</dc:language>
  <cp:lastModifiedBy/>
  <dcterms:modified xsi:type="dcterms:W3CDTF">2026-10-07T02:04:40Z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