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타입별 객실 수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<sst xmlns="http://schemas.openxmlformats.org/spreadsheetml/2006/main" count="128" uniqueCount="62">
  <si>
    <r>
      <rPr>
        <b val="true"/>
        <sz val="13"/>
        <rFont val="WenQuanYi Zen Hei"/>
        <family val="2"/>
      </rPr>
      <t xml:space="preserve">그랜드 하얏트 인천 — 타입별 객실 수 정리 </t>
    </r>
    <r>
      <rPr>
        <b val="true"/>
        <sz val="13"/>
        <rFont val="맑은 고딕"/>
        <family val="0"/>
        <charset val="1"/>
      </rPr>
      <t xml:space="preserve">v2 (2026-10-07 </t>
    </r>
    <r>
      <rPr>
        <b val="true"/>
        <sz val="13"/>
        <rFont val="WenQuanYi Zen Hei"/>
        <family val="2"/>
      </rPr>
      <t xml:space="preserve">프로님 확정 반영</t>
    </r>
    <r>
      <rPr>
        <b val="true"/>
        <sz val="13"/>
        <rFont val="맑은 고딕"/>
        <family val="0"/>
        <charset val="1"/>
      </rPr>
      <t xml:space="preserve">)</t>
    </r>
  </si>
  <si>
    <r>
      <rPr>
        <sz val="10"/>
        <color rgb="FF595959"/>
        <rFont val="WenQuanYi Zen Hei"/>
        <family val="2"/>
      </rPr>
      <t xml:space="preserve">확정 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총 </t>
    </r>
    <r>
      <rPr>
        <sz val="10"/>
        <color rgb="FF595959"/>
        <rFont val="맑은 고딕"/>
        <family val="0"/>
        <charset val="1"/>
      </rPr>
      <t xml:space="preserve">517</t>
    </r>
    <r>
      <rPr>
        <sz val="10"/>
        <color rgb="FF595959"/>
        <rFont val="WenQuanYi Zen Hei"/>
        <family val="2"/>
      </rPr>
      <t xml:space="preserve">실 </t>
    </r>
    <r>
      <rPr>
        <sz val="10"/>
        <color rgb="FF595959"/>
        <rFont val="맑은 고딕"/>
        <family val="0"/>
        <charset val="1"/>
      </rPr>
      <t xml:space="preserve">· </t>
    </r>
    <r>
      <rPr>
        <sz val="10"/>
        <color rgb="FF595959"/>
        <rFont val="WenQuanYi Zen Hei"/>
        <family val="2"/>
      </rPr>
      <t xml:space="preserve">한 층에 스위트 </t>
    </r>
    <r>
      <rPr>
        <sz val="10"/>
        <color rgb="FF595959"/>
        <rFont val="맑은 고딕"/>
        <family val="0"/>
        <charset val="1"/>
      </rPr>
      <t xml:space="preserve">4</t>
    </r>
    <r>
      <rPr>
        <sz val="10"/>
        <color rgb="FF595959"/>
        <rFont val="WenQuanYi Zen Hei"/>
        <family val="2"/>
      </rPr>
      <t xml:space="preserve">실 </t>
    </r>
    <r>
      <rPr>
        <sz val="10"/>
        <color rgb="FF595959"/>
        <rFont val="맑은 고딕"/>
        <family val="0"/>
        <charset val="1"/>
      </rPr>
      <t xml:space="preserve">(</t>
    </r>
    <r>
      <rPr>
        <sz val="10"/>
        <color rgb="FF595959"/>
        <rFont val="WenQuanYi Zen Hei"/>
        <family val="2"/>
      </rPr>
      <t xml:space="preserve">프로님 </t>
    </r>
    <r>
      <rPr>
        <sz val="10"/>
        <color rgb="FF595959"/>
        <rFont val="맑은 고딕"/>
        <family val="0"/>
        <charset val="1"/>
      </rPr>
      <t xml:space="preserve">2026-10-07). </t>
    </r>
    <r>
      <rPr>
        <sz val="10"/>
        <color rgb="FF595959"/>
        <rFont val="WenQuanYi Zen Hei"/>
        <family val="2"/>
      </rPr>
      <t xml:space="preserve">층 범위 </t>
    </r>
    <r>
      <rPr>
        <sz val="10"/>
        <color rgb="FF595959"/>
        <rFont val="맑은 고딕"/>
        <family val="0"/>
        <charset val="1"/>
      </rPr>
      <t xml:space="preserve">3~12F(10</t>
    </r>
    <r>
      <rPr>
        <sz val="10"/>
        <color rgb="FF595959"/>
        <rFont val="WenQuanYi Zen Hei"/>
        <family val="2"/>
      </rPr>
      <t xml:space="preserve">개 층</t>
    </r>
    <r>
      <rPr>
        <sz val="10"/>
        <color rgb="FF595959"/>
        <rFont val="맑은 고딕"/>
        <family val="0"/>
        <charset val="1"/>
      </rPr>
      <t xml:space="preserve">)</t>
    </r>
    <r>
      <rPr>
        <sz val="10"/>
        <color rgb="FF595959"/>
        <rFont val="WenQuanYi Zen Hei"/>
        <family val="2"/>
      </rPr>
      <t xml:space="preserve">는 도면 표기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노란칸을 고치면 합계</t>
    </r>
    <r>
      <rPr>
        <sz val="10"/>
        <color rgb="FF595959"/>
        <rFont val="맑은 고딕"/>
        <family val="0"/>
        <charset val="1"/>
      </rPr>
      <t xml:space="preserve">·</t>
    </r>
    <r>
      <rPr>
        <sz val="10"/>
        <color rgb="FF595959"/>
        <rFont val="WenQuanYi Zen Hei"/>
        <family val="2"/>
      </rPr>
      <t xml:space="preserve">대조가 자동으로 바뀝니다</t>
    </r>
    <r>
      <rPr>
        <sz val="10"/>
        <color rgb="FF595959"/>
        <rFont val="맑은 고딕"/>
        <family val="0"/>
        <charset val="1"/>
      </rPr>
      <t xml:space="preserve">.</t>
    </r>
  </si>
  <si>
    <t xml:space="preserve">No</t>
  </si>
  <si>
    <t xml:space="preserve">구분</t>
  </si>
  <si>
    <t xml:space="preserve">타입</t>
  </si>
  <si>
    <t xml:space="preserve">면적</t>
  </si>
  <si>
    <t xml:space="preserve">적용 층</t>
  </si>
  <si>
    <t xml:space="preserve">층당 실 수</t>
  </si>
  <si>
    <t xml:space="preserve">층 수</t>
  </si>
  <si>
    <t xml:space="preserve">실 수</t>
  </si>
  <si>
    <t xml:space="preserve">등급</t>
  </si>
  <si>
    <t xml:space="preserve">근거</t>
  </si>
  <si>
    <t xml:space="preserve">스위트</t>
  </si>
  <si>
    <t xml:space="preserve">PRESIDENTIAL SUITE (PS)</t>
  </si>
  <si>
    <r>
      <rPr>
        <sz val="10"/>
        <rFont val="맑은 고딕"/>
        <family val="0"/>
        <charset val="1"/>
      </rPr>
      <t xml:space="preserve">252</t>
    </r>
    <r>
      <rPr>
        <sz val="10"/>
        <rFont val="WenQuanYi Zen Hei"/>
        <family val="2"/>
      </rPr>
      <t xml:space="preserve">㎡</t>
    </r>
  </si>
  <si>
    <t xml:space="preserve">미확인</t>
  </si>
  <si>
    <t xml:space="preserve">—</t>
  </si>
  <si>
    <t xml:space="preserve">공개자료</t>
  </si>
  <si>
    <r>
      <rPr>
        <sz val="10"/>
        <rFont val="WenQuanYi Zen Hei"/>
        <family val="2"/>
      </rPr>
      <t xml:space="preserve">나무위키</t>
    </r>
    <r>
      <rPr>
        <sz val="10"/>
        <rFont val="맑은 고딕"/>
        <family val="0"/>
        <charset val="1"/>
      </rPr>
      <t xml:space="preserve">·hyatt.com : </t>
    </r>
    <r>
      <rPr>
        <sz val="10"/>
        <rFont val="WenQuanYi Zen Hei"/>
        <family val="2"/>
      </rPr>
      <t xml:space="preserve">최고등급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실</t>
    </r>
  </si>
  <si>
    <r>
      <rPr>
        <sz val="10"/>
        <rFont val="맑은 고딕"/>
        <family val="0"/>
        <charset val="1"/>
      </rPr>
      <t xml:space="preserve">AMBASSADOR SUITE (AS) </t>
    </r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1</t>
    </r>
  </si>
  <si>
    <r>
      <rPr>
        <sz val="10"/>
        <rFont val="맑은 고딕"/>
        <family val="0"/>
        <charset val="1"/>
      </rPr>
      <t xml:space="preserve">108</t>
    </r>
    <r>
      <rPr>
        <sz val="10"/>
        <rFont val="WenQuanYi Zen Hei"/>
        <family val="2"/>
      </rPr>
      <t xml:space="preserve">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1+</t>
    </r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2)</t>
    </r>
  </si>
  <si>
    <t xml:space="preserve">12F</t>
  </si>
  <si>
    <t xml:space="preserve">추정</t>
  </si>
  <si>
    <r>
      <rPr>
        <sz val="10"/>
        <rFont val="맑은 고딕"/>
        <family val="0"/>
        <charset val="1"/>
      </rPr>
      <t xml:space="preserve">hyatt.com : 12</t>
    </r>
    <r>
      <rPr>
        <sz val="10"/>
        <rFont val="WenQuanYi Zen Hei"/>
        <family val="2"/>
      </rPr>
      <t xml:space="preserve">층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커넥팅 룸</t>
    </r>
    <r>
      <rPr>
        <sz val="10"/>
        <rFont val="맑은 고딕"/>
        <family val="0"/>
        <charset val="1"/>
      </rPr>
      <t xml:space="preserve">1(</t>
    </r>
    <r>
      <rPr>
        <sz val="10"/>
        <rFont val="WenQuanYi Zen Hei"/>
        <family val="2"/>
      </rPr>
      <t xml:space="preserve">침실</t>
    </r>
    <r>
      <rPr>
        <sz val="10"/>
        <rFont val="맑은 고딕"/>
        <family val="0"/>
        <charset val="1"/>
      </rPr>
      <t xml:space="preserve">+</t>
    </r>
    <r>
      <rPr>
        <sz val="10"/>
        <rFont val="WenQuanYi Zen Hei"/>
        <family val="2"/>
      </rPr>
      <t xml:space="preserve">거실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</si>
  <si>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AMBASSADOR SUITE (AS) </t>
    </r>
    <r>
      <rPr>
        <sz val="10"/>
        <rFont val="WenQuanYi Zen Hei"/>
        <family val="2"/>
      </rPr>
      <t xml:space="preserve">룸</t>
    </r>
    <r>
      <rPr>
        <sz val="10"/>
        <rFont val="맑은 고딕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</si>
  <si>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커넥팅 룸</t>
    </r>
    <r>
      <rPr>
        <sz val="10"/>
        <rFont val="맑은 고딕"/>
        <family val="0"/>
        <charset val="1"/>
      </rPr>
      <t xml:space="preserve">2(</t>
    </r>
    <r>
      <rPr>
        <sz val="10"/>
        <rFont val="WenQuanYi Zen Hei"/>
        <family val="2"/>
      </rPr>
      <t xml:space="preserve">침실</t>
    </r>
    <r>
      <rPr>
        <sz val="10"/>
        <rFont val="맑은 고딕"/>
        <family val="0"/>
        <charset val="1"/>
      </rPr>
      <t xml:space="preserve">) · </t>
    </r>
    <r>
      <rPr>
        <sz val="10"/>
        <rFont val="WenQuanYi Zen Hei"/>
        <family val="2"/>
      </rPr>
      <t xml:space="preserve">따로 판매 가능</t>
    </r>
  </si>
  <si>
    <t xml:space="preserve">MANAGER'S SUITE (GM)</t>
  </si>
  <si>
    <r>
      <rPr>
        <sz val="10"/>
        <rFont val="WenQuanYi Zen Hei"/>
        <family val="2"/>
      </rPr>
      <t xml:space="preserve">단일 평면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실</t>
    </r>
  </si>
  <si>
    <t xml:space="preserve">GOVERNOR SUITE (GS)</t>
  </si>
  <si>
    <t xml:space="preserve">OWNER'S SUITE (OS)</t>
  </si>
  <si>
    <t xml:space="preserve">HOSPITALITY SUITE-1 (HS-1)</t>
  </si>
  <si>
    <r>
      <rPr>
        <sz val="10"/>
        <rFont val="WenQuanYi Zen Hei"/>
        <family val="2"/>
      </rPr>
      <t xml:space="preserve">회의실형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실</t>
    </r>
  </si>
  <si>
    <t xml:space="preserve">HOSPITALITY SUITE-3 (HS-3)</t>
  </si>
  <si>
    <t xml:space="preserve">HOSPITALITY SUITE-5 (HS-5)</t>
  </si>
  <si>
    <r>
      <rPr>
        <sz val="10"/>
        <rFont val="맑은 고딕"/>
        <family val="0"/>
        <charset val="1"/>
      </rPr>
      <t xml:space="preserve">HS-2·4 </t>
    </r>
    <r>
      <rPr>
        <sz val="10"/>
        <rFont val="WenQuanYi Zen Hei"/>
        <family val="2"/>
      </rPr>
      <t xml:space="preserve">존재 여부 미확인</t>
    </r>
  </si>
  <si>
    <t xml:space="preserve">SUITE KING (K-3)</t>
  </si>
  <si>
    <r>
      <rPr>
        <sz val="10"/>
        <rFont val="맑은 고딕"/>
        <family val="0"/>
        <charset val="1"/>
      </rPr>
      <t xml:space="preserve">72</t>
    </r>
    <r>
      <rPr>
        <sz val="10"/>
        <rFont val="WenQuanYi Zen Hei"/>
        <family val="2"/>
      </rPr>
      <t xml:space="preserve">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그랜드 스위트 킹</t>
    </r>
    <r>
      <rPr>
        <sz val="10"/>
        <rFont val="맑은 고딕"/>
        <family val="0"/>
        <charset val="1"/>
      </rPr>
      <t xml:space="preserve">)</t>
    </r>
  </si>
  <si>
    <t xml:space="preserve">3~12F</t>
  </si>
  <si>
    <r>
      <rPr>
        <sz val="10"/>
        <rFont val="WenQuanYi Zen Hei"/>
        <family val="2"/>
      </rPr>
      <t xml:space="preserve">스위트 </t>
    </r>
    <r>
      <rPr>
        <sz val="10"/>
        <rFont val="맑은 고딕"/>
        <family val="0"/>
        <charset val="1"/>
      </rPr>
      <t xml:space="preserve">40</t>
    </r>
    <r>
      <rPr>
        <sz val="10"/>
        <rFont val="WenQuanYi Zen Hei"/>
        <family val="2"/>
      </rPr>
      <t xml:space="preserve">실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층당 </t>
    </r>
    <r>
      <rPr>
        <sz val="10"/>
        <rFont val="맑은 고딕"/>
        <family val="0"/>
        <charset val="1"/>
      </rPr>
      <t xml:space="preserve">4 × 10</t>
    </r>
    <r>
      <rPr>
        <sz val="10"/>
        <rFont val="WenQuanYi Zen Hei"/>
        <family val="2"/>
      </rPr>
      <t xml:space="preserve">개 층</t>
    </r>
    <r>
      <rPr>
        <sz val="10"/>
        <rFont val="맑은 고딕"/>
        <family val="0"/>
        <charset val="1"/>
      </rPr>
      <t xml:space="preserve">) − </t>
    </r>
    <r>
      <rPr>
        <sz val="10"/>
        <rFont val="WenQuanYi Zen Hei"/>
        <family val="2"/>
      </rPr>
      <t xml:space="preserve">이름 붙은 스위트 </t>
    </r>
    <r>
      <rPr>
        <sz val="10"/>
        <rFont val="맑은 고딕"/>
        <family val="0"/>
        <charset val="1"/>
      </rPr>
      <t xml:space="preserve">9</t>
    </r>
    <r>
      <rPr>
        <sz val="10"/>
        <rFont val="WenQuanYi Zen Hei"/>
        <family val="2"/>
      </rPr>
      <t xml:space="preserve">실 </t>
    </r>
    <r>
      <rPr>
        <sz val="10"/>
        <rFont val="맑은 고딕"/>
        <family val="0"/>
        <charset val="1"/>
      </rPr>
      <t xml:space="preserve">= 31</t>
    </r>
    <r>
      <rPr>
        <sz val="10"/>
        <rFont val="WenQuanYi Zen Hei"/>
        <family val="2"/>
      </rPr>
      <t xml:space="preserve">실</t>
    </r>
    <r>
      <rPr>
        <sz val="10"/>
        <rFont val="맑은 고딕"/>
        <family val="0"/>
        <charset val="1"/>
      </rPr>
      <t xml:space="preserve">. </t>
    </r>
    <r>
      <rPr>
        <sz val="10"/>
        <rFont val="WenQuanYi Zen Hei"/>
        <family val="2"/>
      </rPr>
      <t xml:space="preserve">층마다 약 </t>
    </r>
    <r>
      <rPr>
        <sz val="10"/>
        <rFont val="맑은 고딕"/>
        <family val="0"/>
        <charset val="1"/>
      </rPr>
      <t xml:space="preserve">3</t>
    </r>
    <r>
      <rPr>
        <sz val="10"/>
        <rFont val="WenQuanYi Zen Hei"/>
        <family val="2"/>
      </rPr>
      <t xml:space="preserve">실</t>
    </r>
  </si>
  <si>
    <t xml:space="preserve">특수</t>
  </si>
  <si>
    <r>
      <rPr>
        <sz val="10"/>
        <rFont val="맑은 고딕"/>
        <family val="0"/>
        <charset val="1"/>
      </rPr>
      <t xml:space="preserve">4~12F </t>
    </r>
    <r>
      <rPr>
        <sz val="10"/>
        <rFont val="WenQuanYi Zen Hei"/>
        <family val="2"/>
      </rPr>
      <t xml:space="preserve">타입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코너형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</si>
  <si>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54</t>
    </r>
    <r>
      <rPr>
        <sz val="10"/>
        <rFont val="WenQuanYi Zen Hei"/>
        <family val="2"/>
      </rPr>
      <t xml:space="preserve">㎡</t>
    </r>
    <r>
      <rPr>
        <sz val="10"/>
        <rFont val="맑은 고딕"/>
        <family val="0"/>
        <charset val="1"/>
      </rPr>
      <t xml:space="preserve">? (</t>
    </r>
    <r>
      <rPr>
        <sz val="10"/>
        <rFont val="WenQuanYi Zen Hei"/>
        <family val="2"/>
      </rPr>
      <t xml:space="preserve">패밀리</t>
    </r>
    <r>
      <rPr>
        <sz val="10"/>
        <rFont val="맑은 고딕"/>
        <family val="0"/>
        <charset val="1"/>
      </rPr>
      <t xml:space="preserve">)</t>
    </r>
  </si>
  <si>
    <t xml:space="preserve">4~12F</t>
  </si>
  <si>
    <r>
      <rPr>
        <sz val="10"/>
        <rFont val="WenQuanYi Zen Hei"/>
        <family val="2"/>
      </rPr>
      <t xml:space="preserve">도면 표기 「</t>
    </r>
    <r>
      <rPr>
        <sz val="10"/>
        <rFont val="맑은 고딕"/>
        <family val="0"/>
        <charset val="1"/>
      </rPr>
      <t xml:space="preserve">4~12F</t>
    </r>
    <r>
      <rPr>
        <sz val="10"/>
        <rFont val="WenQuanYi Zen Hei"/>
        <family val="2"/>
      </rPr>
      <t xml:space="preserve">」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층당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실 가정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면적은 미확인</t>
    </r>
  </si>
  <si>
    <t xml:space="preserve">주거약자</t>
  </si>
  <si>
    <t xml:space="preserve">HANDICAP (DD-2)</t>
  </si>
  <si>
    <r>
      <rPr>
        <sz val="10"/>
        <rFont val="WenQuanYi Zen Hei"/>
        <family val="2"/>
      </rPr>
      <t xml:space="preserve">도면 표기 「</t>
    </r>
    <r>
      <rPr>
        <sz val="10"/>
        <rFont val="맑은 고딕"/>
        <family val="0"/>
        <charset val="1"/>
      </rPr>
      <t xml:space="preserve">FLOORS 3-12</t>
    </r>
    <r>
      <rPr>
        <sz val="10"/>
        <rFont val="WenQuanYi Zen Hei"/>
        <family val="2"/>
      </rPr>
      <t xml:space="preserve">」 </t>
    </r>
    <r>
      <rPr>
        <sz val="10"/>
        <rFont val="맑은 고딕"/>
        <family val="0"/>
        <charset val="1"/>
      </rPr>
      <t xml:space="preserve">· </t>
    </r>
    <r>
      <rPr>
        <sz val="10"/>
        <rFont val="WenQuanYi Zen Hei"/>
        <family val="2"/>
      </rPr>
      <t xml:space="preserve">층당 </t>
    </r>
    <r>
      <rPr>
        <sz val="10"/>
        <rFont val="맑은 고딕"/>
        <family val="0"/>
        <charset val="1"/>
      </rPr>
      <t xml:space="preserve">1</t>
    </r>
    <r>
      <rPr>
        <sz val="10"/>
        <rFont val="WenQuanYi Zen Hei"/>
        <family val="2"/>
      </rPr>
      <t xml:space="preserve">실 가정</t>
    </r>
  </si>
  <si>
    <t xml:space="preserve">일반</t>
  </si>
  <si>
    <t xml:space="preserve">KING</t>
  </si>
  <si>
    <r>
      <rPr>
        <sz val="10"/>
        <rFont val="맑은 고딕"/>
        <family val="0"/>
        <charset val="1"/>
      </rPr>
      <t xml:space="preserve">36</t>
    </r>
    <r>
      <rPr>
        <sz val="10"/>
        <rFont val="WenQuanYi Zen Hei"/>
        <family val="2"/>
      </rPr>
      <t xml:space="preserve">㎡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스탠다드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</si>
  <si>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517 − </t>
    </r>
    <r>
      <rPr>
        <sz val="10"/>
        <rFont val="WenQuanYi Zen Hei"/>
        <family val="2"/>
      </rPr>
      <t xml:space="preserve">나머지 타입 합계를 </t>
    </r>
    <r>
      <rPr>
        <sz val="10"/>
        <rFont val="맑은 고딕"/>
        <family val="0"/>
        <charset val="1"/>
      </rPr>
      <t xml:space="preserve">KING·DD </t>
    </r>
    <r>
      <rPr>
        <sz val="10"/>
        <rFont val="WenQuanYi Zen Hei"/>
        <family val="2"/>
      </rPr>
      <t xml:space="preserve">반반</t>
    </r>
  </si>
  <si>
    <r>
      <rPr>
        <sz val="10"/>
        <rFont val="맑은 고딕"/>
        <family val="0"/>
        <charset val="1"/>
      </rPr>
      <t xml:space="preserve">DD (</t>
    </r>
    <r>
      <rPr>
        <sz val="10"/>
        <rFont val="WenQuanYi Zen Hei"/>
        <family val="2"/>
      </rPr>
      <t xml:space="preserve">트윈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</si>
  <si>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517 − </t>
    </r>
    <r>
      <rPr>
        <sz val="10"/>
        <rFont val="WenQuanYi Zen Hei"/>
        <family val="2"/>
      </rPr>
      <t xml:space="preserve">나머지 합계</t>
    </r>
  </si>
  <si>
    <r>
      <rPr>
        <b val="true"/>
        <sz val="10"/>
        <rFont val="WenQuanYi Zen Hei"/>
        <family val="2"/>
      </rPr>
      <t xml:space="preserve">스위트 소계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층당 </t>
    </r>
    <r>
      <rPr>
        <b val="true"/>
        <sz val="10"/>
        <rFont val="맑은 고딕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실 </t>
    </r>
    <r>
      <rPr>
        <b val="true"/>
        <sz val="10"/>
        <rFont val="맑은 고딕"/>
        <family val="0"/>
        <charset val="1"/>
      </rPr>
      <t xml:space="preserve">× 10</t>
    </r>
    <r>
      <rPr>
        <b val="true"/>
        <sz val="10"/>
        <rFont val="WenQuanYi Zen Hei"/>
        <family val="2"/>
      </rPr>
      <t xml:space="preserve">개 층 </t>
    </r>
    <r>
      <rPr>
        <b val="true"/>
        <sz val="10"/>
        <rFont val="맑은 고딕"/>
        <family val="0"/>
        <charset val="1"/>
      </rPr>
      <t xml:space="preserve">= 40)</t>
    </r>
  </si>
  <si>
    <r>
      <rPr>
        <b val="true"/>
        <sz val="10"/>
        <rFont val="WenQuanYi Zen Hei"/>
        <family val="2"/>
      </rPr>
      <t xml:space="preserve">특수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주거약자 소계</t>
    </r>
  </si>
  <si>
    <r>
      <rPr>
        <b val="true"/>
        <sz val="10"/>
        <rFont val="WenQuanYi Zen Hei"/>
        <family val="2"/>
      </rPr>
      <t xml:space="preserve">일반 객실 소계 </t>
    </r>
    <r>
      <rPr>
        <b val="true"/>
        <sz val="10"/>
        <rFont val="맑은 고딕"/>
        <family val="0"/>
        <charset val="1"/>
      </rPr>
      <t xml:space="preserve">(KING + DD)</t>
    </r>
  </si>
  <si>
    <t xml:space="preserve">합계</t>
  </si>
  <si>
    <r>
      <rPr>
        <sz val="10"/>
        <rFont val="WenQuanYi Zen Hei"/>
        <family val="2"/>
      </rPr>
      <t xml:space="preserve">확정 객실 수 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프로님 </t>
    </r>
    <r>
      <rPr>
        <sz val="10"/>
        <rFont val="맑은 고딕"/>
        <family val="0"/>
        <charset val="1"/>
      </rPr>
      <t xml:space="preserve">2026-10-07)</t>
    </r>
  </si>
  <si>
    <r>
      <rPr>
        <b val="true"/>
        <sz val="10"/>
        <rFont val="WenQuanYi Zen Hei"/>
        <family val="2"/>
      </rPr>
      <t xml:space="preserve">대조 </t>
    </r>
    <r>
      <rPr>
        <b val="true"/>
        <sz val="10"/>
        <rFont val="맑은 고딕"/>
        <family val="0"/>
        <charset val="1"/>
      </rPr>
      <t xml:space="preserve">: </t>
    </r>
    <r>
      <rPr>
        <b val="true"/>
        <sz val="10"/>
        <rFont val="WenQuanYi Zen Hei"/>
        <family val="2"/>
      </rPr>
      <t xml:space="preserve">합계 − </t>
    </r>
    <r>
      <rPr>
        <b val="true"/>
        <sz val="10"/>
        <rFont val="맑은 고딕"/>
        <family val="0"/>
        <charset val="1"/>
      </rPr>
      <t xml:space="preserve">517 (0</t>
    </r>
    <r>
      <rPr>
        <b val="true"/>
        <sz val="10"/>
        <rFont val="WenQuanYi Zen Hei"/>
        <family val="2"/>
      </rPr>
      <t xml:space="preserve">이어야 함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</si>
  <si>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color rgb="FF595959"/>
        <rFont val="맑은 고딕"/>
        <family val="0"/>
        <charset val="1"/>
      </rPr>
      <t xml:space="preserve">※ KING·DD</t>
    </r>
    <r>
      <rPr>
        <sz val="10"/>
        <color rgb="FF595959"/>
        <rFont val="WenQuanYi Zen Hei"/>
        <family val="2"/>
      </rPr>
      <t xml:space="preserve">는 </t>
    </r>
    <r>
      <rPr>
        <sz val="10"/>
        <color rgb="FF595959"/>
        <rFont val="맑은 고딕"/>
        <family val="0"/>
        <charset val="1"/>
      </rPr>
      <t xml:space="preserve">517</t>
    </r>
    <r>
      <rPr>
        <sz val="10"/>
        <color rgb="FF595959"/>
        <rFont val="WenQuanYi Zen Hei"/>
        <family val="2"/>
      </rPr>
      <t xml:space="preserve">에서 나머지 타입을 뺀 값을 반반 나눈 것입니다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다른 타입 실 수를 고치면 </t>
    </r>
    <r>
      <rPr>
        <sz val="10"/>
        <color rgb="FF595959"/>
        <rFont val="맑은 고딕"/>
        <family val="0"/>
        <charset val="1"/>
      </rPr>
      <t xml:space="preserve">KING·DD</t>
    </r>
    <r>
      <rPr>
        <sz val="10"/>
        <color rgb="FF595959"/>
        <rFont val="WenQuanYi Zen Hei"/>
        <family val="2"/>
      </rPr>
      <t xml:space="preserve">가 자동으로 바뀝니다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</si>
  <si>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※ 스위트 </t>
    </r>
    <r>
      <rPr>
        <sz val="10"/>
        <color rgb="FF595959"/>
        <rFont val="맑은 고딕"/>
        <family val="0"/>
        <charset val="1"/>
      </rPr>
      <t xml:space="preserve">40</t>
    </r>
    <r>
      <rPr>
        <sz val="10"/>
        <color rgb="FF595959"/>
        <rFont val="WenQuanYi Zen Hei"/>
        <family val="2"/>
      </rPr>
      <t xml:space="preserve">실 안의 구성</t>
    </r>
    <r>
      <rPr>
        <sz val="10"/>
        <color rgb="FF595959"/>
        <rFont val="맑은 고딕"/>
        <family val="0"/>
        <charset val="1"/>
      </rPr>
      <t xml:space="preserve">(K-3 31 + </t>
    </r>
    <r>
      <rPr>
        <sz val="10"/>
        <color rgb="FF595959"/>
        <rFont val="WenQuanYi Zen Hei"/>
        <family val="2"/>
      </rPr>
      <t xml:space="preserve">이름 붙은 스위트 </t>
    </r>
    <r>
      <rPr>
        <sz val="10"/>
        <color rgb="FF595959"/>
        <rFont val="맑은 고딕"/>
        <family val="0"/>
        <charset val="1"/>
      </rPr>
      <t xml:space="preserve">9)</t>
    </r>
    <r>
      <rPr>
        <sz val="10"/>
        <color rgb="FF595959"/>
        <rFont val="WenQuanYi Zen Hei"/>
        <family val="2"/>
      </rPr>
      <t xml:space="preserve">은 추정입니다</t>
    </r>
    <r>
      <rPr>
        <sz val="10"/>
        <color rgb="FF595959"/>
        <rFont val="맑은 고딕"/>
        <family val="0"/>
        <charset val="1"/>
      </rPr>
      <t xml:space="preserve">. </t>
    </r>
    <r>
      <rPr>
        <sz val="10"/>
        <color rgb="FF595959"/>
        <rFont val="WenQuanYi Zen Hei"/>
        <family val="2"/>
      </rPr>
      <t xml:space="preserve">코너형</t>
    </r>
    <r>
      <rPr>
        <sz val="10"/>
        <color rgb="FF595959"/>
        <rFont val="맑은 고딕"/>
        <family val="0"/>
        <charset val="1"/>
      </rPr>
      <t xml:space="preserve">(4~12F)</t>
    </r>
    <r>
      <rPr>
        <sz val="10"/>
        <color rgb="FF595959"/>
        <rFont val="WenQuanYi Zen Hei"/>
        <family val="2"/>
      </rPr>
      <t xml:space="preserve">을 스위트로 치면 </t>
    </r>
    <r>
      <rPr>
        <sz val="10"/>
        <color rgb="FF595959"/>
        <rFont val="맑은 고딕"/>
        <family val="0"/>
        <charset val="1"/>
      </rPr>
      <t xml:space="preserve">K-3</t>
    </r>
    <r>
      <rPr>
        <sz val="10"/>
        <color rgb="FF595959"/>
        <rFont val="WenQuanYi Zen Hei"/>
        <family val="2"/>
      </rPr>
      <t xml:space="preserve">는 </t>
    </r>
    <r>
      <rPr>
        <sz val="10"/>
        <color rgb="FF595959"/>
        <rFont val="맑은 고딕"/>
        <family val="0"/>
        <charset val="1"/>
      </rPr>
      <t xml:space="preserve">22</t>
    </r>
    <r>
      <rPr>
        <sz val="10"/>
        <color rgb="FF595959"/>
        <rFont val="WenQuanYi Zen Hei"/>
        <family val="2"/>
      </rPr>
      <t xml:space="preserve">실이 됩니다</t>
    </r>
    <r>
      <rPr>
        <sz val="10"/>
        <color rgb="FF595959"/>
        <rFont val="맑은 고딕"/>
        <family val="0"/>
        <charset val="1"/>
      </rPr>
      <t xml:space="preserve">.</t>
    </r>
  </si>
  <si>
    <r>
      <rPr>
        <sz val="10"/>
        <color rgb="FF595959"/>
        <rFont val="WenQuanYi Zen Hei"/>
        <family val="2"/>
      </rPr>
      <t xml:space="preserve">※ 확인이 필요한 것 </t>
    </r>
    <r>
      <rPr>
        <sz val="10"/>
        <color rgb="FF595959"/>
        <rFont val="맑은 고딕"/>
        <family val="0"/>
        <charset val="1"/>
      </rPr>
      <t xml:space="preserve">: </t>
    </r>
    <r>
      <rPr>
        <sz val="10"/>
        <color rgb="FF595959"/>
        <rFont val="WenQuanYi Zen Hei"/>
        <family val="2"/>
      </rPr>
      <t xml:space="preserve">코너형이 스위트인지 </t>
    </r>
    <r>
      <rPr>
        <sz val="10"/>
        <color rgb="FF595959"/>
        <rFont val="맑은 고딕"/>
        <family val="0"/>
        <charset val="1"/>
      </rPr>
      <t xml:space="preserve">/ AS </t>
    </r>
    <r>
      <rPr>
        <sz val="10"/>
        <color rgb="FF595959"/>
        <rFont val="WenQuanYi Zen Hei"/>
        <family val="2"/>
      </rPr>
      <t xml:space="preserve">룸</t>
    </r>
    <r>
      <rPr>
        <sz val="10"/>
        <color rgb="FF595959"/>
        <rFont val="맑은 고딕"/>
        <family val="0"/>
        <charset val="1"/>
      </rPr>
      <t xml:space="preserve">2</t>
    </r>
    <r>
      <rPr>
        <sz val="10"/>
        <color rgb="FF595959"/>
        <rFont val="WenQuanYi Zen Hei"/>
        <family val="2"/>
      </rPr>
      <t xml:space="preserve">를 스위트로 세는지 </t>
    </r>
    <r>
      <rPr>
        <sz val="10"/>
        <color rgb="FF595959"/>
        <rFont val="맑은 고딕"/>
        <family val="0"/>
        <charset val="1"/>
      </rPr>
      <t xml:space="preserve">/ HS-2·4 </t>
    </r>
    <r>
      <rPr>
        <sz val="10"/>
        <color rgb="FF595959"/>
        <rFont val="WenQuanYi Zen Hei"/>
        <family val="2"/>
      </rPr>
      <t xml:space="preserve">존재 여부 </t>
    </r>
    <r>
      <rPr>
        <sz val="10"/>
        <color rgb="FF595959"/>
        <rFont val="맑은 고딕"/>
        <family val="0"/>
        <charset val="1"/>
      </rPr>
      <t xml:space="preserve">/ </t>
    </r>
    <r>
      <rPr>
        <sz val="10"/>
        <color rgb="FF595959"/>
        <rFont val="WenQuanYi Zen Hei"/>
        <family val="2"/>
      </rPr>
      <t xml:space="preserve">이름 붙은 스위트의 층</t>
    </r>
    <r>
      <rPr>
        <sz val="10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</si>
</sst>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맑은 고딕"/>
      <family val="0"/>
      <charset val="1"/>
    </font>
    <font>
      <sz val="10"/>
      <color rgb="FF595959"/>
      <name val="WenQuanYi Zen Hei"/>
      <family val="2"/>
    </font>
    <font>
      <sz val="10"/>
      <color rgb="FF595959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0"/>
      <color rgb="FFC0000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A8"/>
        <bgColor rgb="FFFFFFCC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58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6" t="s">
        <v>9</v>
      </c>
      <c r="I4" s="5" t="s">
        <v>10</v>
      </c>
      <c r="J4" s="4" t="s">
        <v>11</v>
      </c>
    </row>
    <row r="5" customFormat="false" ht="15" hidden="false" customHeight="false" outlineLevel="0" collapsed="false">
      <c r="A5" s="7" t="n">
        <v>1</v>
      </c>
      <c r="B5" s="8" t="s">
        <v>12</v>
      </c>
      <c r="C5" s="9" t="s">
        <v>13</v>
      </c>
      <c r="D5" s="9" t="s">
        <v>14</v>
      </c>
      <c r="E5" s="10" t="s">
        <v>15</v>
      </c>
      <c r="F5" s="7" t="s">
        <v>16</v>
      </c>
      <c r="G5" s="7" t="s">
        <v>16</v>
      </c>
      <c r="H5" s="11" t="n">
        <v>1</v>
      </c>
      <c r="I5" s="12" t="s">
        <v>17</v>
      </c>
      <c r="J5" s="8" t="s">
        <v>18</v>
      </c>
    </row>
    <row r="6" customFormat="false" ht="15" hidden="false" customHeight="false" outlineLevel="0" collapsed="false">
      <c r="A6" s="7" t="n">
        <v>2</v>
      </c>
      <c r="B6" s="8" t="s">
        <v>12</v>
      </c>
      <c r="C6" s="9" t="s">
        <v>19</v>
      </c>
      <c r="D6" s="9" t="s">
        <v>20</v>
      </c>
      <c r="E6" s="7" t="s">
        <v>21</v>
      </c>
      <c r="F6" s="7" t="s">
        <v>16</v>
      </c>
      <c r="G6" s="7" t="s">
        <v>16</v>
      </c>
      <c r="H6" s="11" t="n">
        <v>1</v>
      </c>
      <c r="I6" s="10" t="s">
        <v>22</v>
      </c>
      <c r="J6" s="9" t="s">
        <v>23</v>
      </c>
    </row>
    <row r="7" customFormat="false" ht="15" hidden="false" customHeight="false" outlineLevel="0" collapsed="false">
      <c r="A7" s="7" t="n">
        <v>3</v>
      </c>
      <c r="B7" s="8" t="s">
        <v>12</v>
      </c>
      <c r="C7" s="9" t="s">
        <v>24</v>
      </c>
      <c r="D7" s="9"/>
      <c r="E7" s="7" t="s">
        <v>21</v>
      </c>
      <c r="F7" s="7" t="s">
        <v>16</v>
      </c>
      <c r="G7" s="7" t="s">
        <v>16</v>
      </c>
      <c r="H7" s="11" t="n">
        <v>1</v>
      </c>
      <c r="I7" s="10" t="s">
        <v>22</v>
      </c>
      <c r="J7" s="8" t="s">
        <v>25</v>
      </c>
    </row>
    <row r="8" customFormat="false" ht="15" hidden="false" customHeight="false" outlineLevel="0" collapsed="false">
      <c r="A8" s="7" t="n">
        <v>4</v>
      </c>
      <c r="B8" s="8" t="s">
        <v>12</v>
      </c>
      <c r="C8" s="9" t="s">
        <v>26</v>
      </c>
      <c r="D8" s="8" t="s">
        <v>15</v>
      </c>
      <c r="E8" s="10" t="s">
        <v>15</v>
      </c>
      <c r="F8" s="7" t="s">
        <v>16</v>
      </c>
      <c r="G8" s="7" t="s">
        <v>16</v>
      </c>
      <c r="H8" s="11" t="n">
        <v>1</v>
      </c>
      <c r="I8" s="10" t="s">
        <v>22</v>
      </c>
      <c r="J8" s="8" t="s">
        <v>27</v>
      </c>
    </row>
    <row r="9" customFormat="false" ht="15" hidden="false" customHeight="false" outlineLevel="0" collapsed="false">
      <c r="A9" s="7" t="n">
        <v>5</v>
      </c>
      <c r="B9" s="8" t="s">
        <v>12</v>
      </c>
      <c r="C9" s="9" t="s">
        <v>28</v>
      </c>
      <c r="D9" s="8" t="s">
        <v>15</v>
      </c>
      <c r="E9" s="10" t="s">
        <v>15</v>
      </c>
      <c r="F9" s="7" t="s">
        <v>16</v>
      </c>
      <c r="G9" s="7" t="s">
        <v>16</v>
      </c>
      <c r="H9" s="11" t="n">
        <v>1</v>
      </c>
      <c r="I9" s="10" t="s">
        <v>22</v>
      </c>
      <c r="J9" s="8" t="s">
        <v>27</v>
      </c>
    </row>
    <row r="10" customFormat="false" ht="15" hidden="false" customHeight="false" outlineLevel="0" collapsed="false">
      <c r="A10" s="7" t="n">
        <v>6</v>
      </c>
      <c r="B10" s="8" t="s">
        <v>12</v>
      </c>
      <c r="C10" s="9" t="s">
        <v>29</v>
      </c>
      <c r="D10" s="8" t="s">
        <v>15</v>
      </c>
      <c r="E10" s="10" t="s">
        <v>15</v>
      </c>
      <c r="F10" s="7" t="s">
        <v>16</v>
      </c>
      <c r="G10" s="7" t="s">
        <v>16</v>
      </c>
      <c r="H10" s="11" t="n">
        <v>1</v>
      </c>
      <c r="I10" s="10" t="s">
        <v>22</v>
      </c>
      <c r="J10" s="8" t="s">
        <v>27</v>
      </c>
    </row>
    <row r="11" customFormat="false" ht="15" hidden="false" customHeight="false" outlineLevel="0" collapsed="false">
      <c r="A11" s="7" t="n">
        <v>7</v>
      </c>
      <c r="B11" s="8" t="s">
        <v>12</v>
      </c>
      <c r="C11" s="9" t="s">
        <v>30</v>
      </c>
      <c r="D11" s="8" t="s">
        <v>15</v>
      </c>
      <c r="E11" s="10" t="s">
        <v>15</v>
      </c>
      <c r="F11" s="7" t="s">
        <v>16</v>
      </c>
      <c r="G11" s="7" t="s">
        <v>16</v>
      </c>
      <c r="H11" s="11" t="n">
        <v>1</v>
      </c>
      <c r="I11" s="10" t="s">
        <v>22</v>
      </c>
      <c r="J11" s="8" t="s">
        <v>31</v>
      </c>
    </row>
    <row r="12" customFormat="false" ht="15" hidden="false" customHeight="false" outlineLevel="0" collapsed="false">
      <c r="A12" s="7" t="n">
        <v>8</v>
      </c>
      <c r="B12" s="8" t="s">
        <v>12</v>
      </c>
      <c r="C12" s="9" t="s">
        <v>32</v>
      </c>
      <c r="D12" s="8" t="s">
        <v>15</v>
      </c>
      <c r="E12" s="10" t="s">
        <v>15</v>
      </c>
      <c r="F12" s="7" t="s">
        <v>16</v>
      </c>
      <c r="G12" s="7" t="s">
        <v>16</v>
      </c>
      <c r="H12" s="11" t="n">
        <v>1</v>
      </c>
      <c r="I12" s="10" t="s">
        <v>22</v>
      </c>
      <c r="J12" s="8" t="s">
        <v>31</v>
      </c>
    </row>
    <row r="13" customFormat="false" ht="15" hidden="false" customHeight="false" outlineLevel="0" collapsed="false">
      <c r="A13" s="7" t="n">
        <v>9</v>
      </c>
      <c r="B13" s="8" t="s">
        <v>12</v>
      </c>
      <c r="C13" s="9" t="s">
        <v>33</v>
      </c>
      <c r="D13" s="8" t="s">
        <v>15</v>
      </c>
      <c r="E13" s="10" t="s">
        <v>15</v>
      </c>
      <c r="F13" s="7" t="s">
        <v>16</v>
      </c>
      <c r="G13" s="7" t="s">
        <v>16</v>
      </c>
      <c r="H13" s="11" t="n">
        <v>1</v>
      </c>
      <c r="I13" s="10" t="s">
        <v>22</v>
      </c>
      <c r="J13" s="9" t="s">
        <v>34</v>
      </c>
    </row>
    <row r="14" customFormat="false" ht="26.85" hidden="false" customHeight="false" outlineLevel="0" collapsed="false">
      <c r="A14" s="7" t="n">
        <v>10</v>
      </c>
      <c r="B14" s="8" t="s">
        <v>12</v>
      </c>
      <c r="C14" s="9" t="s">
        <v>35</v>
      </c>
      <c r="D14" s="9" t="s">
        <v>36</v>
      </c>
      <c r="E14" s="7" t="s">
        <v>37</v>
      </c>
      <c r="F14" s="7" t="s">
        <v>16</v>
      </c>
      <c r="G14" s="7" t="s">
        <v>16</v>
      </c>
      <c r="H14" s="13" t="n">
        <f aca="false">40-SUM(H5:H13)</f>
        <v>31</v>
      </c>
      <c r="I14" s="10" t="s">
        <v>22</v>
      </c>
      <c r="J14" s="8" t="s">
        <v>38</v>
      </c>
    </row>
    <row r="15" customFormat="false" ht="15" hidden="false" customHeight="false" outlineLevel="0" collapsed="false">
      <c r="A15" s="7" t="n">
        <v>11</v>
      </c>
      <c r="B15" s="8" t="s">
        <v>39</v>
      </c>
      <c r="C15" s="9" t="s">
        <v>40</v>
      </c>
      <c r="D15" s="9" t="s">
        <v>41</v>
      </c>
      <c r="E15" s="7" t="s">
        <v>42</v>
      </c>
      <c r="F15" s="14" t="n">
        <v>1</v>
      </c>
      <c r="G15" s="14" t="n">
        <v>9</v>
      </c>
      <c r="H15" s="13" t="n">
        <f aca="false">F15*G15</f>
        <v>9</v>
      </c>
      <c r="I15" s="10" t="s">
        <v>22</v>
      </c>
      <c r="J15" s="8" t="s">
        <v>43</v>
      </c>
    </row>
    <row r="16" customFormat="false" ht="15" hidden="false" customHeight="false" outlineLevel="0" collapsed="false">
      <c r="A16" s="7" t="n">
        <v>12</v>
      </c>
      <c r="B16" s="8" t="s">
        <v>44</v>
      </c>
      <c r="C16" s="9" t="s">
        <v>45</v>
      </c>
      <c r="D16" s="8" t="s">
        <v>15</v>
      </c>
      <c r="E16" s="7" t="s">
        <v>37</v>
      </c>
      <c r="F16" s="14" t="n">
        <v>1</v>
      </c>
      <c r="G16" s="14" t="n">
        <v>10</v>
      </c>
      <c r="H16" s="13" t="n">
        <f aca="false">F16*G16</f>
        <v>10</v>
      </c>
      <c r="I16" s="10" t="s">
        <v>22</v>
      </c>
      <c r="J16" s="8" t="s">
        <v>46</v>
      </c>
    </row>
    <row r="17" customFormat="false" ht="15" hidden="false" customHeight="false" outlineLevel="0" collapsed="false">
      <c r="A17" s="7" t="n">
        <v>13</v>
      </c>
      <c r="B17" s="8" t="s">
        <v>47</v>
      </c>
      <c r="C17" s="9" t="s">
        <v>48</v>
      </c>
      <c r="D17" s="9" t="s">
        <v>49</v>
      </c>
      <c r="E17" s="7" t="s">
        <v>37</v>
      </c>
      <c r="F17" s="7" t="s">
        <v>16</v>
      </c>
      <c r="G17" s="7" t="s">
        <v>16</v>
      </c>
      <c r="H17" s="13" t="n">
        <f aca="false">ROUNDUP((517-SUM(H5:H16))/2,0)</f>
        <v>229</v>
      </c>
      <c r="I17" s="10" t="s">
        <v>22</v>
      </c>
      <c r="J17" s="9" t="s">
        <v>50</v>
      </c>
    </row>
    <row r="18" customFormat="false" ht="15" hidden="false" customHeight="false" outlineLevel="0" collapsed="false">
      <c r="A18" s="7" t="n">
        <v>14</v>
      </c>
      <c r="B18" s="8" t="s">
        <v>47</v>
      </c>
      <c r="C18" s="9" t="s">
        <v>51</v>
      </c>
      <c r="D18" s="9" t="s">
        <v>49</v>
      </c>
      <c r="E18" s="7" t="s">
        <v>37</v>
      </c>
      <c r="F18" s="7" t="s">
        <v>16</v>
      </c>
      <c r="G18" s="7" t="s">
        <v>16</v>
      </c>
      <c r="H18" s="13" t="n">
        <f aca="false">517-SUM(H5:H17)</f>
        <v>229</v>
      </c>
      <c r="I18" s="10" t="s">
        <v>22</v>
      </c>
      <c r="J18" s="9" t="s">
        <v>52</v>
      </c>
    </row>
    <row r="19" customFormat="false" ht="19.5" hidden="false" customHeight="true" outlineLevel="0" collapsed="false">
      <c r="A19" s="15"/>
      <c r="B19" s="16" t="s">
        <v>53</v>
      </c>
      <c r="C19" s="16"/>
      <c r="D19" s="16"/>
      <c r="E19" s="16"/>
      <c r="F19" s="16"/>
      <c r="G19" s="16"/>
      <c r="H19" s="17" t="n">
        <f aca="false">SUMIF(B5:B18,"스위트",H5:H18)</f>
        <v>40</v>
      </c>
      <c r="I19" s="15"/>
      <c r="J19" s="18"/>
    </row>
    <row r="20" customFormat="false" ht="19.5" hidden="false" customHeight="true" outlineLevel="0" collapsed="false">
      <c r="A20" s="15"/>
      <c r="B20" s="16" t="s">
        <v>54</v>
      </c>
      <c r="C20" s="16"/>
      <c r="D20" s="16"/>
      <c r="E20" s="16"/>
      <c r="F20" s="16"/>
      <c r="G20" s="16"/>
      <c r="H20" s="17" t="n">
        <f aca="false">SUMIF(B5:B18,"특수",H5:H18)+SUMIF(B5:B18,"주거약자",H5:H18)</f>
        <v>19</v>
      </c>
      <c r="I20" s="15"/>
      <c r="J20" s="18"/>
    </row>
    <row r="21" customFormat="false" ht="19.5" hidden="false" customHeight="true" outlineLevel="0" collapsed="false">
      <c r="A21" s="15"/>
      <c r="B21" s="16" t="s">
        <v>55</v>
      </c>
      <c r="C21" s="16"/>
      <c r="D21" s="16"/>
      <c r="E21" s="16"/>
      <c r="F21" s="16"/>
      <c r="G21" s="16"/>
      <c r="H21" s="17" t="n">
        <f aca="false">SUMIF(B5:B18,"일반",H5:H18)</f>
        <v>458</v>
      </c>
      <c r="I21" s="15"/>
      <c r="J21" s="18"/>
    </row>
    <row r="22" customFormat="false" ht="19.5" hidden="false" customHeight="true" outlineLevel="0" collapsed="false">
      <c r="A22" s="15"/>
      <c r="B22" s="16" t="s">
        <v>56</v>
      </c>
      <c r="C22" s="16"/>
      <c r="D22" s="16"/>
      <c r="E22" s="16"/>
      <c r="F22" s="16"/>
      <c r="G22" s="16"/>
      <c r="H22" s="17" t="n">
        <f aca="false">SUM(H5:H18)</f>
        <v>517</v>
      </c>
      <c r="I22" s="15"/>
      <c r="J22" s="18"/>
    </row>
    <row r="23" customFormat="false" ht="19.5" hidden="false" customHeight="true" outlineLevel="0" collapsed="false">
      <c r="A23" s="7"/>
      <c r="B23" s="19" t="s">
        <v>57</v>
      </c>
      <c r="C23" s="19"/>
      <c r="D23" s="19"/>
      <c r="E23" s="19"/>
      <c r="F23" s="19"/>
      <c r="G23" s="19"/>
      <c r="H23" s="13" t="n">
        <v>517</v>
      </c>
      <c r="I23" s="7"/>
      <c r="J23" s="9"/>
    </row>
    <row r="24" customFormat="false" ht="19.5" hidden="false" customHeight="true" outlineLevel="0" collapsed="false">
      <c r="A24" s="7"/>
      <c r="B24" s="20" t="s">
        <v>58</v>
      </c>
      <c r="C24" s="20"/>
      <c r="D24" s="20"/>
      <c r="E24" s="20"/>
      <c r="F24" s="20"/>
      <c r="G24" s="20"/>
      <c r="H24" s="21" t="n">
        <f aca="false">H22-H23</f>
        <v>0</v>
      </c>
      <c r="I24" s="7"/>
      <c r="J24" s="9"/>
    </row>
    <row r="26" customFormat="false" ht="15" hidden="false" customHeight="false" outlineLevel="0" collapsed="false">
      <c r="B26" s="22" t="s">
        <v>59</v>
      </c>
    </row>
    <row r="27" customFormat="false" ht="15" hidden="false" customHeight="false" outlineLevel="0" collapsed="false">
      <c r="B27" s="2" t="s">
        <v>60</v>
      </c>
    </row>
    <row r="28" customFormat="false" ht="15" hidden="false" customHeight="false" outlineLevel="0" collapsed="false">
      <c r="B28" s="2" t="s">
        <v>61</v>
      </c>
    </row>
  </sheetData>
  <mergeCells count="6"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2026-10-07T22:58:47Z</dcterms:created>
  <dc:creator>openpyxl</dc:creator>
  <dc:description/>
  <dc:language>en-US</dc:language>
  <cp:lastModifiedBy/>
  <dcterms:modified xsi:type="dcterms:W3CDTF">2026-10-07T23:02:54Z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