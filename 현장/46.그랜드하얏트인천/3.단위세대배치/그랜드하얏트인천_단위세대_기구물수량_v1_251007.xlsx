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자가진단·변경이력" sheetId="1" state="visible" r:id="rId1"/>
    <sheet xmlns:r="http://schemas.openxmlformats.org/officeDocument/2006/relationships" name="1.타입별 수량" sheetId="2" state="visible" r:id="rId2"/>
    <sheet xmlns:r="http://schemas.openxmlformats.org/officeDocument/2006/relationships" name="2.집계(실 수 입력)" sheetId="3" state="visible" r:id="rId3"/>
    <sheet xmlns:r="http://schemas.openxmlformats.org/officeDocument/2006/relationships" name="3.정정 기준(프로님 확정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</font>
    <font>
      <name val="맑은 고딕"/>
      <b val="1"/>
    </font>
    <font>
      <name val="맑은 고딕"/>
      <color rgb="00C00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3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2" borderId="1" pivotButton="0" quotePrefix="0" xfId="0"/>
    <xf numFmtId="0" fontId="1" fillId="0" borderId="1" pivotButton="0" quotePrefix="0" xfId="0"/>
    <xf numFmtId="3" fontId="1" fillId="0" borderId="1" pivotButton="0" quotePrefix="0" xfId="0"/>
    <xf numFmtId="3" fontId="1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3" fontId="2" fillId="3" borderId="1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0" customWidth="1" min="3" max="3"/>
  </cols>
  <sheetData>
    <row r="1">
      <c r="A1" s="1" t="inlineStr">
        <is>
          <t>날짜</t>
        </is>
      </c>
      <c r="B1" s="1" t="inlineStr">
        <is>
          <t>버전</t>
        </is>
      </c>
      <c r="C1" s="1" t="inlineStr">
        <is>
          <t>내용</t>
        </is>
      </c>
    </row>
    <row r="2">
      <c r="A2" s="2" t="inlineStr">
        <is>
          <t>2026-10-07</t>
        </is>
      </c>
      <c r="B2" s="2" t="inlineStr">
        <is>
          <t>v1</t>
        </is>
      </c>
      <c r="C2" s="2" t="inlineStr">
        <is>
          <t>13타입 번호판·표 최초 생성. 확정 4타입(GS·4~12F·AS·GM), 미검토 9타입.</t>
        </is>
      </c>
    </row>
    <row r="3">
      <c r="A3" s="2" t="inlineStr">
        <is>
          <t>2026-10-07</t>
        </is>
      </c>
      <c r="B3" s="2" t="inlineStr">
        <is>
          <t>-</t>
        </is>
      </c>
      <c r="C3" s="2" t="inlineStr">
        <is>
          <t>④ 확신 없이 넣은 것: 미검토 9타입의 출입문·욕실 문·드레스룸 판정은 Claude 판독. OS 파우더룸·PS 응접(개방형이라 스위치 제외)·HS-5 라이브러리는 확인 필요.</t>
        </is>
      </c>
    </row>
    <row r="4">
      <c r="A4" s="2" t="inlineStr">
        <is>
          <t>2026-10-07</t>
        </is>
      </c>
      <c r="B4" s="2" t="inlineStr">
        <is>
          <t>-</t>
        </is>
      </c>
      <c r="C4" s="2" t="inlineStr">
        <is>
          <t>MMO 삭제(이 현장만). 드레스룸은 옷걸이 기호 있을 때만.</t>
        </is>
      </c>
    </row>
    <row r="5">
      <c r="A5" s="2" t="inlineStr">
        <is>
          <t>2026-10-07</t>
        </is>
      </c>
      <c r="B5" s="2" t="inlineStr">
        <is>
          <t>-</t>
        </is>
      </c>
      <c r="C5" s="2" t="inlineStr">
        <is>
          <t>저장 위치: PC 폴더는 이 창에서 미연결이라 드라이브 「_컴퓨터로 옮길 것」에 임시 저장. PC 연결된 창에서 46.그랜드 하얏트 인천 → 3.단위세대배치 해봄 으로 옮길 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" customWidth="1" min="3" max="3"/>
    <col width="16" customWidth="1" min="4" max="4"/>
    <col width="6" customWidth="1" min="5" max="5"/>
    <col width="60" customWidth="1" min="6" max="6"/>
    <col width="20" customWidth="1" min="7" max="7"/>
    <col width="30" customWidth="1" min="8" max="8"/>
  </cols>
  <sheetData>
    <row r="1">
      <c r="A1" s="3" t="inlineStr">
        <is>
          <t>타입</t>
        </is>
      </c>
      <c r="B1" s="3" t="inlineStr">
        <is>
          <t>룸</t>
        </is>
      </c>
      <c r="C1" s="3" t="inlineStr">
        <is>
          <t>번호</t>
        </is>
      </c>
      <c r="D1" s="3" t="inlineStr">
        <is>
          <t>품목</t>
        </is>
      </c>
      <c r="E1" s="3" t="inlineStr">
        <is>
          <t>수량</t>
        </is>
      </c>
      <c r="F1" s="3" t="inlineStr">
        <is>
          <t>위치</t>
        </is>
      </c>
      <c r="G1" s="3" t="inlineStr">
        <is>
          <t>상태</t>
        </is>
      </c>
      <c r="H1" s="3" t="inlineStr">
        <is>
          <t>비고(프로님 수정칸)</t>
        </is>
      </c>
    </row>
    <row r="2">
      <c r="A2" s="4" t="inlineStr">
        <is>
          <t>GOVERNOR SUITE (GS)</t>
        </is>
      </c>
      <c r="B2" s="4" t="inlineStr">
        <is>
          <t>-</t>
        </is>
      </c>
      <c r="C2" s="4" t="n">
        <v>1</v>
      </c>
      <c r="D2" s="4" t="inlineStr">
        <is>
          <t>챠임벨</t>
        </is>
      </c>
      <c r="E2" s="5" t="n">
        <v>1</v>
      </c>
      <c r="F2" s="4" t="inlineStr">
        <is>
          <t>출입문 복도 쪽</t>
        </is>
      </c>
      <c r="G2" s="4" t="inlineStr">
        <is>
          <t>확정(프로님 검토 v4)</t>
        </is>
      </c>
      <c r="H2" s="6" t="inlineStr"/>
    </row>
    <row r="3">
      <c r="A3" s="4" t="inlineStr">
        <is>
          <t>GOVERNOR SUITE (GS)</t>
        </is>
      </c>
      <c r="B3" s="4" t="inlineStr">
        <is>
          <t>-</t>
        </is>
      </c>
      <c r="C3" s="4" t="n">
        <v>2</v>
      </c>
      <c r="D3" s="4" t="inlineStr">
        <is>
          <t>키센서 DM</t>
        </is>
      </c>
      <c r="E3" s="5" t="n">
        <v>1</v>
      </c>
      <c r="F3" s="4" t="inlineStr">
        <is>
          <t>출입문 안쪽</t>
        </is>
      </c>
      <c r="G3" s="4" t="inlineStr">
        <is>
          <t>확정(프로님 검토 v4)</t>
        </is>
      </c>
      <c r="H3" s="6" t="inlineStr"/>
    </row>
    <row r="4">
      <c r="A4" s="4" t="inlineStr">
        <is>
          <t>GOVERNOR SUITE (GS)</t>
        </is>
      </c>
      <c r="B4" s="4" t="inlineStr">
        <is>
          <t>-</t>
        </is>
      </c>
      <c r="C4" s="4" t="n">
        <v>3</v>
      </c>
      <c r="D4" s="4" t="inlineStr">
        <is>
          <t>BSP</t>
        </is>
      </c>
      <c r="E4" s="5" t="n">
        <v>1</v>
      </c>
      <c r="F4" s="4" t="inlineStr">
        <is>
          <t>침대 옆</t>
        </is>
      </c>
      <c r="G4" s="4" t="inlineStr">
        <is>
          <t>확정(프로님 검토 v4)</t>
        </is>
      </c>
      <c r="H4" s="6" t="inlineStr"/>
    </row>
    <row r="5">
      <c r="A5" s="4" t="inlineStr">
        <is>
          <t>GOVERNOR SUITE (GS)</t>
        </is>
      </c>
      <c r="B5" s="4" t="inlineStr">
        <is>
          <t>-</t>
        </is>
      </c>
      <c r="C5" s="4" t="n">
        <v>4</v>
      </c>
      <c r="D5" s="4" t="inlineStr">
        <is>
          <t>거실 스위치</t>
        </is>
      </c>
      <c r="E5" s="5" t="n">
        <v>1</v>
      </c>
      <c r="F5" s="4" t="inlineStr">
        <is>
          <t>거실 들어가는 문 옆</t>
        </is>
      </c>
      <c r="G5" s="4" t="inlineStr">
        <is>
          <t>확정(프로님 검토 v4)</t>
        </is>
      </c>
      <c r="H5" s="6" t="inlineStr"/>
    </row>
    <row r="6">
      <c r="A6" s="4" t="inlineStr">
        <is>
          <t>GOVERNOR SUITE (GS)</t>
        </is>
      </c>
      <c r="B6" s="4" t="inlineStr">
        <is>
          <t>-</t>
        </is>
      </c>
      <c r="C6" s="4" t="n">
        <v>5</v>
      </c>
      <c r="D6" s="4" t="inlineStr">
        <is>
          <t>화장실 스위치</t>
        </is>
      </c>
      <c r="E6" s="5" t="n">
        <v>1</v>
      </c>
      <c r="F6" s="4" t="inlineStr">
        <is>
          <t>욕실 문 옆</t>
        </is>
      </c>
      <c r="G6" s="4" t="inlineStr">
        <is>
          <t>확정(프로님 검토 v4)</t>
        </is>
      </c>
      <c r="H6" s="6" t="inlineStr"/>
    </row>
    <row r="7">
      <c r="A7" s="4" t="inlineStr">
        <is>
          <t>4~12F 타입(첫 도면)</t>
        </is>
      </c>
      <c r="B7" s="4" t="inlineStr">
        <is>
          <t>-</t>
        </is>
      </c>
      <c r="C7" s="4" t="n">
        <v>1</v>
      </c>
      <c r="D7" s="4" t="inlineStr">
        <is>
          <t>챠임벨</t>
        </is>
      </c>
      <c r="E7" s="5" t="n">
        <v>1</v>
      </c>
      <c r="F7" s="4" t="inlineStr">
        <is>
          <t>출입문 복도 쪽</t>
        </is>
      </c>
      <c r="G7" s="4" t="inlineStr">
        <is>
          <t>확정(프로님 검토 v4)</t>
        </is>
      </c>
      <c r="H7" s="6" t="inlineStr"/>
    </row>
    <row r="8">
      <c r="A8" s="4" t="inlineStr">
        <is>
          <t>4~12F 타입(첫 도면)</t>
        </is>
      </c>
      <c r="B8" s="4" t="inlineStr">
        <is>
          <t>-</t>
        </is>
      </c>
      <c r="C8" s="4" t="n">
        <v>2</v>
      </c>
      <c r="D8" s="4" t="inlineStr">
        <is>
          <t>키센서 DM</t>
        </is>
      </c>
      <c r="E8" s="5" t="n">
        <v>1</v>
      </c>
      <c r="F8" s="4" t="inlineStr">
        <is>
          <t>출입문 안쪽</t>
        </is>
      </c>
      <c r="G8" s="4" t="inlineStr">
        <is>
          <t>확정(프로님 검토 v4)</t>
        </is>
      </c>
      <c r="H8" s="6" t="inlineStr"/>
    </row>
    <row r="9">
      <c r="A9" s="4" t="inlineStr">
        <is>
          <t>4~12F 타입(첫 도면)</t>
        </is>
      </c>
      <c r="B9" s="4" t="inlineStr">
        <is>
          <t>-</t>
        </is>
      </c>
      <c r="C9" s="4" t="n">
        <v>3</v>
      </c>
      <c r="D9" s="4" t="inlineStr">
        <is>
          <t>BSP</t>
        </is>
      </c>
      <c r="E9" s="5" t="n">
        <v>1</v>
      </c>
      <c r="F9" s="4" t="inlineStr">
        <is>
          <t>침대 옆</t>
        </is>
      </c>
      <c r="G9" s="4" t="inlineStr">
        <is>
          <t>확정(프로님 검토 v4)</t>
        </is>
      </c>
      <c r="H9" s="6" t="inlineStr"/>
    </row>
    <row r="10">
      <c r="A10" s="4" t="inlineStr">
        <is>
          <t>4~12F 타입(첫 도면)</t>
        </is>
      </c>
      <c r="B10" s="4" t="inlineStr">
        <is>
          <t>-</t>
        </is>
      </c>
      <c r="C10" s="4" t="n">
        <v>4</v>
      </c>
      <c r="D10" s="4" t="inlineStr">
        <is>
          <t>드레스룸 스위치</t>
        </is>
      </c>
      <c r="E10" s="5" t="n">
        <v>1</v>
      </c>
      <c r="F10" s="4" t="inlineStr">
        <is>
          <t>출입문과 욕실 사이 옷장 통로</t>
        </is>
      </c>
      <c r="G10" s="4" t="inlineStr">
        <is>
          <t>확정(프로님 검토 v4)</t>
        </is>
      </c>
      <c r="H10" s="6" t="inlineStr"/>
    </row>
    <row r="11">
      <c r="A11" s="4" t="inlineStr">
        <is>
          <t>4~12F 타입(첫 도면)</t>
        </is>
      </c>
      <c r="B11" s="4" t="inlineStr">
        <is>
          <t>-</t>
        </is>
      </c>
      <c r="C11" s="4" t="n">
        <v>5</v>
      </c>
      <c r="D11" s="4" t="inlineStr">
        <is>
          <t>화장실 스위치</t>
        </is>
      </c>
      <c r="E11" s="5" t="n">
        <v>1</v>
      </c>
      <c r="F11" s="4" t="inlineStr">
        <is>
          <t>욕실 문 옆 벽, 손잡이 쪽</t>
        </is>
      </c>
      <c r="G11" s="4" t="inlineStr">
        <is>
          <t>확정(프로님 검토 v4)</t>
        </is>
      </c>
      <c r="H11" s="6" t="inlineStr"/>
    </row>
    <row r="12">
      <c r="A12" s="4" t="inlineStr">
        <is>
          <t>SUITE KING (K-3) 3~12F</t>
        </is>
      </c>
      <c r="B12" s="4" t="inlineStr">
        <is>
          <t>-</t>
        </is>
      </c>
      <c r="C12" s="4" t="n">
        <v>1</v>
      </c>
      <c r="D12" s="4" t="inlineStr">
        <is>
          <t>챠임벨</t>
        </is>
      </c>
      <c r="E12" s="5" t="n">
        <v>1</v>
      </c>
      <c r="F12" s="4" t="inlineStr">
        <is>
          <t>우측 하단 출입문 복도 쪽</t>
        </is>
      </c>
      <c r="G12" s="7" t="inlineStr">
        <is>
          <t>미검토</t>
        </is>
      </c>
      <c r="H12" s="6" t="inlineStr"/>
    </row>
    <row r="13">
      <c r="A13" s="4" t="inlineStr">
        <is>
          <t>SUITE KING (K-3) 3~12F</t>
        </is>
      </c>
      <c r="B13" s="4" t="inlineStr">
        <is>
          <t>-</t>
        </is>
      </c>
      <c r="C13" s="4" t="n">
        <v>2</v>
      </c>
      <c r="D13" s="4" t="inlineStr">
        <is>
          <t>키센서 DM</t>
        </is>
      </c>
      <c r="E13" s="5" t="n">
        <v>1</v>
      </c>
      <c r="F13" s="4" t="inlineStr">
        <is>
          <t>출입문 안쪽</t>
        </is>
      </c>
      <c r="G13" s="7" t="inlineStr">
        <is>
          <t>미검토</t>
        </is>
      </c>
      <c r="H13" s="6" t="inlineStr"/>
    </row>
    <row r="14">
      <c r="A14" s="4" t="inlineStr">
        <is>
          <t>SUITE KING (K-3) 3~12F</t>
        </is>
      </c>
      <c r="B14" s="4" t="inlineStr">
        <is>
          <t>-</t>
        </is>
      </c>
      <c r="C14" s="4" t="n">
        <v>3</v>
      </c>
      <c r="D14" s="4" t="inlineStr">
        <is>
          <t>BSP</t>
        </is>
      </c>
      <c r="E14" s="5" t="n">
        <v>1</v>
      </c>
      <c r="F14" s="4" t="inlineStr">
        <is>
          <t>침대 옆</t>
        </is>
      </c>
      <c r="G14" s="7" t="inlineStr">
        <is>
          <t>미검토</t>
        </is>
      </c>
      <c r="H14" s="6" t="inlineStr"/>
    </row>
    <row r="15">
      <c r="A15" s="4" t="inlineStr">
        <is>
          <t>SUITE KING (K-3) 3~12F</t>
        </is>
      </c>
      <c r="B15" s="4" t="inlineStr">
        <is>
          <t>-</t>
        </is>
      </c>
      <c r="C15" s="4" t="n">
        <v>4</v>
      </c>
      <c r="D15" s="4" t="inlineStr">
        <is>
          <t>드레스룸 스위치</t>
        </is>
      </c>
      <c r="E15" s="5" t="n">
        <v>1</v>
      </c>
      <c r="F15" s="4" t="inlineStr">
        <is>
          <t>상단 옷장(CB 옆)</t>
        </is>
      </c>
      <c r="G15" s="7" t="inlineStr">
        <is>
          <t>미검토</t>
        </is>
      </c>
      <c r="H15" s="6" t="inlineStr"/>
    </row>
    <row r="16">
      <c r="A16" s="4" t="inlineStr">
        <is>
          <t>SUITE KING (K-3) 3~12F</t>
        </is>
      </c>
      <c r="B16" s="4" t="inlineStr">
        <is>
          <t>-</t>
        </is>
      </c>
      <c r="C16" s="4" t="n">
        <v>5</v>
      </c>
      <c r="D16" s="4" t="inlineStr">
        <is>
          <t>화장실 스위치</t>
        </is>
      </c>
      <c r="E16" s="5" t="n">
        <v>1</v>
      </c>
      <c r="F16" s="4" t="inlineStr">
        <is>
          <t>욕실 문 옆 벽</t>
        </is>
      </c>
      <c r="G16" s="7" t="inlineStr">
        <is>
          <t>미검토</t>
        </is>
      </c>
      <c r="H16" s="6" t="inlineStr"/>
    </row>
    <row r="17">
      <c r="A17" s="4" t="inlineStr">
        <is>
          <t>AMBASSADOR SUITE (AS) — 커넥팅</t>
        </is>
      </c>
      <c r="B17" s="4" t="inlineStr">
        <is>
          <t>룸1 = 좌측 침실 + 거실</t>
        </is>
      </c>
      <c r="C17" s="4" t="n">
        <v>1</v>
      </c>
      <c r="D17" s="4" t="inlineStr">
        <is>
          <t>챠임벨</t>
        </is>
      </c>
      <c r="E17" s="5" t="n">
        <v>1</v>
      </c>
      <c r="F17" s="4" t="inlineStr">
        <is>
          <t>중앙 하단 출입문 복도 쪽</t>
        </is>
      </c>
      <c r="G17" s="4" t="inlineStr">
        <is>
          <t>확정(프로님 검토 v4)</t>
        </is>
      </c>
      <c r="H17" s="6" t="inlineStr"/>
    </row>
    <row r="18">
      <c r="A18" s="4" t="inlineStr">
        <is>
          <t>AMBASSADOR SUITE (AS) — 커넥팅</t>
        </is>
      </c>
      <c r="B18" s="4" t="inlineStr">
        <is>
          <t>룸1 = 좌측 침실 + 거실</t>
        </is>
      </c>
      <c r="C18" s="4" t="n">
        <v>2</v>
      </c>
      <c r="D18" s="4" t="inlineStr">
        <is>
          <t>키센서 DM</t>
        </is>
      </c>
      <c r="E18" s="5" t="n">
        <v>1</v>
      </c>
      <c r="F18" s="4" t="inlineStr">
        <is>
          <t>출입문 안쪽</t>
        </is>
      </c>
      <c r="G18" s="4" t="inlineStr">
        <is>
          <t>확정(프로님 검토 v4)</t>
        </is>
      </c>
      <c r="H18" s="6" t="inlineStr"/>
    </row>
    <row r="19">
      <c r="A19" s="4" t="inlineStr">
        <is>
          <t>AMBASSADOR SUITE (AS) — 커넥팅</t>
        </is>
      </c>
      <c r="B19" s="4" t="inlineStr">
        <is>
          <t>룸1 = 좌측 침실 + 거실</t>
        </is>
      </c>
      <c r="C19" s="4" t="n">
        <v>3</v>
      </c>
      <c r="D19" s="4" t="inlineStr">
        <is>
          <t>BSP</t>
        </is>
      </c>
      <c r="E19" s="5" t="n">
        <v>1</v>
      </c>
      <c r="F19" s="4" t="inlineStr">
        <is>
          <t>킹 침대 옆</t>
        </is>
      </c>
      <c r="G19" s="4" t="inlineStr">
        <is>
          <t>확정(프로님 검토 v4)</t>
        </is>
      </c>
      <c r="H19" s="6" t="inlineStr"/>
    </row>
    <row r="20">
      <c r="A20" s="4" t="inlineStr">
        <is>
          <t>AMBASSADOR SUITE (AS) — 커넥팅</t>
        </is>
      </c>
      <c r="B20" s="4" t="inlineStr">
        <is>
          <t>룸1 = 좌측 침실 + 거실</t>
        </is>
      </c>
      <c r="C20" s="4" t="n">
        <v>4</v>
      </c>
      <c r="D20" s="4" t="inlineStr">
        <is>
          <t>거실 스위치</t>
        </is>
      </c>
      <c r="E20" s="5" t="n">
        <v>1</v>
      </c>
      <c r="F20" s="4" t="inlineStr">
        <is>
          <t>현관에서 거실 들어가는 입구 옆 벽</t>
        </is>
      </c>
      <c r="G20" s="4" t="inlineStr">
        <is>
          <t>확정(프로님 검토 v4)</t>
        </is>
      </c>
      <c r="H20" s="6" t="inlineStr"/>
    </row>
    <row r="21">
      <c r="A21" s="4" t="inlineStr">
        <is>
          <t>AMBASSADOR SUITE (AS) — 커넥팅</t>
        </is>
      </c>
      <c r="B21" s="4" t="inlineStr">
        <is>
          <t>룸1 = 좌측 침실 + 거실</t>
        </is>
      </c>
      <c r="C21" s="4" t="n">
        <v>5</v>
      </c>
      <c r="D21" s="4" t="inlineStr">
        <is>
          <t>화장실 스위치</t>
        </is>
      </c>
      <c r="E21" s="5" t="n">
        <v>1</v>
      </c>
      <c r="F21" s="4" t="inlineStr">
        <is>
          <t>욕실 문 옆 벽</t>
        </is>
      </c>
      <c r="G21" s="4" t="inlineStr">
        <is>
          <t>확정(프로님 검토 v4)</t>
        </is>
      </c>
      <c r="H21" s="6" t="inlineStr"/>
    </row>
    <row r="22">
      <c r="A22" s="4" t="inlineStr">
        <is>
          <t>AMBASSADOR SUITE (AS) — 커넥팅</t>
        </is>
      </c>
      <c r="B22" s="4" t="inlineStr">
        <is>
          <t>룸1 = 좌측 침실 + 거실</t>
        </is>
      </c>
      <c r="C22" s="4" t="n">
        <v>6</v>
      </c>
      <c r="D22" s="4" t="inlineStr">
        <is>
          <t>드레스룸 스위치</t>
        </is>
      </c>
      <c r="E22" s="5" t="n">
        <v>1</v>
      </c>
      <c r="F22" s="4" t="inlineStr">
        <is>
          <t>침실과 욕실 사이 옷장 통로</t>
        </is>
      </c>
      <c r="G22" s="4" t="inlineStr">
        <is>
          <t>확정(프로님 검토 v4)</t>
        </is>
      </c>
      <c r="H22" s="6" t="inlineStr"/>
    </row>
    <row r="23">
      <c r="A23" s="4" t="inlineStr">
        <is>
          <t>AMBASSADOR SUITE (AS) — 커넥팅</t>
        </is>
      </c>
      <c r="B23" s="4" t="inlineStr">
        <is>
          <t>룸2 = 우측 침실</t>
        </is>
      </c>
      <c r="C23" s="4" t="n">
        <v>1</v>
      </c>
      <c r="D23" s="4" t="inlineStr">
        <is>
          <t>챠임벨</t>
        </is>
      </c>
      <c r="E23" s="5" t="n">
        <v>1</v>
      </c>
      <c r="F23" s="4" t="inlineStr">
        <is>
          <t>우측 하단 출입문 복도 쪽</t>
        </is>
      </c>
      <c r="G23" s="4" t="inlineStr">
        <is>
          <t>확정(프로님 검토 v4)</t>
        </is>
      </c>
      <c r="H23" s="6" t="inlineStr"/>
    </row>
    <row r="24">
      <c r="A24" s="4" t="inlineStr">
        <is>
          <t>AMBASSADOR SUITE (AS) — 커넥팅</t>
        </is>
      </c>
      <c r="B24" s="4" t="inlineStr">
        <is>
          <t>룸2 = 우측 침실</t>
        </is>
      </c>
      <c r="C24" s="4" t="n">
        <v>2</v>
      </c>
      <c r="D24" s="4" t="inlineStr">
        <is>
          <t>키센서 DM</t>
        </is>
      </c>
      <c r="E24" s="5" t="n">
        <v>1</v>
      </c>
      <c r="F24" s="4" t="inlineStr">
        <is>
          <t>출입문 안쪽</t>
        </is>
      </c>
      <c r="G24" s="4" t="inlineStr">
        <is>
          <t>확정(프로님 검토 v4)</t>
        </is>
      </c>
      <c r="H24" s="6" t="inlineStr"/>
    </row>
    <row r="25">
      <c r="A25" s="4" t="inlineStr">
        <is>
          <t>AMBASSADOR SUITE (AS) — 커넥팅</t>
        </is>
      </c>
      <c r="B25" s="4" t="inlineStr">
        <is>
          <t>룸2 = 우측 침실</t>
        </is>
      </c>
      <c r="C25" s="4" t="n">
        <v>3</v>
      </c>
      <c r="D25" s="4" t="inlineStr">
        <is>
          <t>BSP</t>
        </is>
      </c>
      <c r="E25" s="5" t="n">
        <v>1</v>
      </c>
      <c r="F25" s="4" t="inlineStr">
        <is>
          <t>트윈 침대 옆</t>
        </is>
      </c>
      <c r="G25" s="4" t="inlineStr">
        <is>
          <t>확정(프로님 검토 v4)</t>
        </is>
      </c>
      <c r="H25" s="6" t="inlineStr"/>
    </row>
    <row r="26">
      <c r="A26" s="4" t="inlineStr">
        <is>
          <t>AMBASSADOR SUITE (AS) — 커넥팅</t>
        </is>
      </c>
      <c r="B26" s="4" t="inlineStr">
        <is>
          <t>룸2 = 우측 침실</t>
        </is>
      </c>
      <c r="C26" s="4" t="n">
        <v>4</v>
      </c>
      <c r="D26" s="4" t="inlineStr">
        <is>
          <t>화장실 스위치</t>
        </is>
      </c>
      <c r="E26" s="5" t="n">
        <v>1</v>
      </c>
      <c r="F26" s="4" t="inlineStr">
        <is>
          <t>욕실 문 옆 벽 (현관은 통로라 스위치 없음)</t>
        </is>
      </c>
      <c r="G26" s="4" t="inlineStr">
        <is>
          <t>확정(프로님 검토 v4)</t>
        </is>
      </c>
      <c r="H26" s="6" t="inlineStr"/>
    </row>
    <row r="27">
      <c r="A27" s="4" t="inlineStr">
        <is>
          <t>MANAGER'S SUITE (GM)</t>
        </is>
      </c>
      <c r="B27" s="4" t="inlineStr">
        <is>
          <t>-</t>
        </is>
      </c>
      <c r="C27" s="4" t="n">
        <v>1</v>
      </c>
      <c r="D27" s="4" t="inlineStr">
        <is>
          <t>챠임벨</t>
        </is>
      </c>
      <c r="E27" s="5" t="n">
        <v>1</v>
      </c>
      <c r="F27" s="4" t="inlineStr">
        <is>
          <t>좌측 상단 출입문 복도 쪽</t>
        </is>
      </c>
      <c r="G27" s="4" t="inlineStr">
        <is>
          <t>확정(프로님 검토 v2)</t>
        </is>
      </c>
      <c r="H27" s="6" t="inlineStr"/>
    </row>
    <row r="28">
      <c r="A28" s="4" t="inlineStr">
        <is>
          <t>MANAGER'S SUITE (GM)</t>
        </is>
      </c>
      <c r="B28" s="4" t="inlineStr">
        <is>
          <t>-</t>
        </is>
      </c>
      <c r="C28" s="4" t="n">
        <v>2</v>
      </c>
      <c r="D28" s="4" t="inlineStr">
        <is>
          <t>키센서 DM</t>
        </is>
      </c>
      <c r="E28" s="5" t="n">
        <v>1</v>
      </c>
      <c r="F28" s="4" t="inlineStr">
        <is>
          <t>출입문 안쪽</t>
        </is>
      </c>
      <c r="G28" s="4" t="inlineStr">
        <is>
          <t>확정(프로님 검토 v2)</t>
        </is>
      </c>
      <c r="H28" s="6" t="inlineStr"/>
    </row>
    <row r="29">
      <c r="A29" s="4" t="inlineStr">
        <is>
          <t>MANAGER'S SUITE (GM)</t>
        </is>
      </c>
      <c r="B29" s="4" t="inlineStr">
        <is>
          <t>-</t>
        </is>
      </c>
      <c r="C29" s="4" t="n">
        <v>3</v>
      </c>
      <c r="D29" s="4" t="inlineStr">
        <is>
          <t>BSP</t>
        </is>
      </c>
      <c r="E29" s="5" t="n">
        <v>2</v>
      </c>
      <c r="F29" s="4" t="inlineStr">
        <is>
          <t>좌 침실 침대 옆 / 우 침실 침대 옆</t>
        </is>
      </c>
      <c r="G29" s="4" t="inlineStr">
        <is>
          <t>확정(프로님 검토 v2)</t>
        </is>
      </c>
      <c r="H29" s="6" t="inlineStr"/>
    </row>
    <row r="30">
      <c r="A30" s="4" t="inlineStr">
        <is>
          <t>MANAGER'S SUITE (GM)</t>
        </is>
      </c>
      <c r="B30" s="4" t="inlineStr">
        <is>
          <t>-</t>
        </is>
      </c>
      <c r="C30" s="4" t="n">
        <v>4</v>
      </c>
      <c r="D30" s="4" t="inlineStr">
        <is>
          <t>거실 스위치</t>
        </is>
      </c>
      <c r="E30" s="5" t="n">
        <v>1</v>
      </c>
      <c r="F30" s="4" t="inlineStr">
        <is>
          <t>현관 복도에서 거실 들어가는 입구 옆 벽</t>
        </is>
      </c>
      <c r="G30" s="4" t="inlineStr">
        <is>
          <t>확정(프로님 검토 v2)</t>
        </is>
      </c>
      <c r="H30" s="6" t="inlineStr"/>
    </row>
    <row r="31">
      <c r="A31" s="4" t="inlineStr">
        <is>
          <t>MANAGER'S SUITE (GM)</t>
        </is>
      </c>
      <c r="B31" s="4" t="inlineStr">
        <is>
          <t>-</t>
        </is>
      </c>
      <c r="C31" s="4" t="n">
        <v>5</v>
      </c>
      <c r="D31" s="4" t="inlineStr">
        <is>
          <t>화장실 스위치</t>
        </is>
      </c>
      <c r="E31" s="5" t="n">
        <v>2</v>
      </c>
      <c r="F31" s="4" t="inlineStr">
        <is>
          <t>좌 욕실 문 옆 벽 / 우 욕실 문 옆 벽</t>
        </is>
      </c>
      <c r="G31" s="4" t="inlineStr">
        <is>
          <t>확정(프로님 검토 v2)</t>
        </is>
      </c>
      <c r="H31" s="6" t="inlineStr"/>
    </row>
    <row r="32">
      <c r="A32" s="4" t="inlineStr">
        <is>
          <t>MANAGER'S SUITE (GM)</t>
        </is>
      </c>
      <c r="B32" s="4" t="inlineStr">
        <is>
          <t>-</t>
        </is>
      </c>
      <c r="C32" s="4" t="n">
        <v>6</v>
      </c>
      <c r="D32" s="4" t="inlineStr">
        <is>
          <t>드레스룸 스위치</t>
        </is>
      </c>
      <c r="E32" s="5" t="n">
        <v>2</v>
      </c>
      <c r="F32" s="4" t="inlineStr">
        <is>
          <t>출입문 옆 드레스룸(옷걸이) / 우 침실 드레스룸</t>
        </is>
      </c>
      <c r="G32" s="4" t="inlineStr">
        <is>
          <t>확정(프로님 검토 v2)</t>
        </is>
      </c>
      <c r="H32" s="6" t="inlineStr"/>
    </row>
    <row r="33">
      <c r="A33" s="4" t="inlineStr">
        <is>
          <t>OWNER'S SUITE (OS)</t>
        </is>
      </c>
      <c r="B33" s="4" t="inlineStr">
        <is>
          <t>-</t>
        </is>
      </c>
      <c r="C33" s="4" t="n">
        <v>1</v>
      </c>
      <c r="D33" s="4" t="inlineStr">
        <is>
          <t>챠임벨</t>
        </is>
      </c>
      <c r="E33" s="5" t="n">
        <v>1</v>
      </c>
      <c r="F33" s="4" t="inlineStr">
        <is>
          <t>좌측 하단 출입문 복도 쪽</t>
        </is>
      </c>
      <c r="G33" s="7" t="inlineStr">
        <is>
          <t>미검토</t>
        </is>
      </c>
      <c r="H33" s="6" t="inlineStr"/>
    </row>
    <row r="34">
      <c r="A34" s="4" t="inlineStr">
        <is>
          <t>OWNER'S SUITE (OS)</t>
        </is>
      </c>
      <c r="B34" s="4" t="inlineStr">
        <is>
          <t>-</t>
        </is>
      </c>
      <c r="C34" s="4" t="n">
        <v>2</v>
      </c>
      <c r="D34" s="4" t="inlineStr">
        <is>
          <t>키센서 DM</t>
        </is>
      </c>
      <c r="E34" s="5" t="n">
        <v>1</v>
      </c>
      <c r="F34" s="4" t="inlineStr">
        <is>
          <t>출입문 안쪽</t>
        </is>
      </c>
      <c r="G34" s="7" t="inlineStr">
        <is>
          <t>미검토</t>
        </is>
      </c>
      <c r="H34" s="6" t="inlineStr"/>
    </row>
    <row r="35">
      <c r="A35" s="4" t="inlineStr">
        <is>
          <t>OWNER'S SUITE (OS)</t>
        </is>
      </c>
      <c r="B35" s="4" t="inlineStr">
        <is>
          <t>-</t>
        </is>
      </c>
      <c r="C35" s="4" t="n">
        <v>3</v>
      </c>
      <c r="D35" s="4" t="inlineStr">
        <is>
          <t>BSP</t>
        </is>
      </c>
      <c r="E35" s="5" t="n">
        <v>1</v>
      </c>
      <c r="F35" s="4" t="inlineStr">
        <is>
          <t>마스터 침대 옆</t>
        </is>
      </c>
      <c r="G35" s="7" t="inlineStr">
        <is>
          <t>미검토</t>
        </is>
      </c>
      <c r="H35" s="6" t="inlineStr"/>
    </row>
    <row r="36">
      <c r="A36" s="4" t="inlineStr">
        <is>
          <t>OWNER'S SUITE (OS)</t>
        </is>
      </c>
      <c r="B36" s="4" t="inlineStr">
        <is>
          <t>-</t>
        </is>
      </c>
      <c r="C36" s="4" t="n">
        <v>4</v>
      </c>
      <c r="D36" s="4" t="inlineStr">
        <is>
          <t>거실 스위치</t>
        </is>
      </c>
      <c r="E36" s="5" t="n">
        <v>2</v>
      </c>
      <c r="F36" s="4" t="inlineStr">
        <is>
          <t>거실 입구 옆 벽 / 회의·식당실 입구 옆 벽</t>
        </is>
      </c>
      <c r="G36" s="7" t="inlineStr">
        <is>
          <t>미검토</t>
        </is>
      </c>
      <c r="H36" s="6" t="inlineStr"/>
    </row>
    <row r="37">
      <c r="A37" s="4" t="inlineStr">
        <is>
          <t>OWNER'S SUITE (OS)</t>
        </is>
      </c>
      <c r="B37" s="4" t="inlineStr">
        <is>
          <t>-</t>
        </is>
      </c>
      <c r="C37" s="4" t="n">
        <v>5</v>
      </c>
      <c r="D37" s="4" t="inlineStr">
        <is>
          <t>화장실 스위치</t>
        </is>
      </c>
      <c r="E37" s="5" t="n">
        <v>2</v>
      </c>
      <c r="F37" s="4" t="inlineStr">
        <is>
          <t>마스터 욕실 문 옆 / 파우더룸 문 옆</t>
        </is>
      </c>
      <c r="G37" s="7" t="inlineStr">
        <is>
          <t>미검토</t>
        </is>
      </c>
      <c r="H37" s="6" t="inlineStr"/>
    </row>
    <row r="38">
      <c r="A38" s="4" t="inlineStr">
        <is>
          <t>OWNER'S SUITE (OS)</t>
        </is>
      </c>
      <c r="B38" s="4" t="inlineStr">
        <is>
          <t>-</t>
        </is>
      </c>
      <c r="C38" s="4" t="n">
        <v>6</v>
      </c>
      <c r="D38" s="4" t="inlineStr">
        <is>
          <t>드레스룸 스위치</t>
        </is>
      </c>
      <c r="E38" s="5" t="n">
        <v>1</v>
      </c>
      <c r="F38" s="4" t="inlineStr">
        <is>
          <t>거실·침실 사이 드레스룸</t>
        </is>
      </c>
      <c r="G38" s="7" t="inlineStr">
        <is>
          <t>미검토</t>
        </is>
      </c>
      <c r="H38" s="6" t="inlineStr"/>
    </row>
    <row r="39">
      <c r="A39" s="4" t="inlineStr">
        <is>
          <t>PRESIDENTIAL SUITE (PS)</t>
        </is>
      </c>
      <c r="B39" s="4" t="inlineStr">
        <is>
          <t>-</t>
        </is>
      </c>
      <c r="C39" s="4" t="n">
        <v>1</v>
      </c>
      <c r="D39" s="4" t="inlineStr">
        <is>
          <t>챠임벨</t>
        </is>
      </c>
      <c r="E39" s="5" t="n">
        <v>1</v>
      </c>
      <c r="F39" s="4" t="inlineStr">
        <is>
          <t>중앙 ENTRY FOYER 출입문 복도 쪽</t>
        </is>
      </c>
      <c r="G39" s="7" t="inlineStr">
        <is>
          <t>미검토</t>
        </is>
      </c>
      <c r="H39" s="6" t="inlineStr"/>
    </row>
    <row r="40">
      <c r="A40" s="4" t="inlineStr">
        <is>
          <t>PRESIDENTIAL SUITE (PS)</t>
        </is>
      </c>
      <c r="B40" s="4" t="inlineStr">
        <is>
          <t>-</t>
        </is>
      </c>
      <c r="C40" s="4" t="n">
        <v>2</v>
      </c>
      <c r="D40" s="4" t="inlineStr">
        <is>
          <t>키센서 DM</t>
        </is>
      </c>
      <c r="E40" s="5" t="n">
        <v>1</v>
      </c>
      <c r="F40" s="4" t="inlineStr">
        <is>
          <t>출입문 안쪽</t>
        </is>
      </c>
      <c r="G40" s="7" t="inlineStr">
        <is>
          <t>미검토</t>
        </is>
      </c>
      <c r="H40" s="6" t="inlineStr"/>
    </row>
    <row r="41">
      <c r="A41" s="4" t="inlineStr">
        <is>
          <t>PRESIDENTIAL SUITE (PS)</t>
        </is>
      </c>
      <c r="B41" s="4" t="inlineStr">
        <is>
          <t>-</t>
        </is>
      </c>
      <c r="C41" s="4" t="n">
        <v>3</v>
      </c>
      <c r="D41" s="4" t="inlineStr">
        <is>
          <t>BSP</t>
        </is>
      </c>
      <c r="E41" s="5" t="n">
        <v>2</v>
      </c>
      <c r="F41" s="4" t="inlineStr">
        <is>
          <t>마스터 침대 옆 / 더블퀸 침대 옆</t>
        </is>
      </c>
      <c r="G41" s="7" t="inlineStr">
        <is>
          <t>미검토</t>
        </is>
      </c>
      <c r="H41" s="6" t="inlineStr"/>
    </row>
    <row r="42">
      <c r="A42" s="4" t="inlineStr">
        <is>
          <t>PRESIDENTIAL SUITE (PS)</t>
        </is>
      </c>
      <c r="B42" s="4" t="inlineStr">
        <is>
          <t>-</t>
        </is>
      </c>
      <c r="C42" s="4" t="n">
        <v>4</v>
      </c>
      <c r="D42" s="4" t="inlineStr">
        <is>
          <t>거실 스위치</t>
        </is>
      </c>
      <c r="E42" s="5" t="n">
        <v>3</v>
      </c>
      <c r="F42" s="4" t="inlineStr">
        <is>
          <t>LIVING 입구 옆 벽 / DINING 입구 옆 벽 / LIBRARY 입구 옆 벽</t>
        </is>
      </c>
      <c r="G42" s="7" t="inlineStr">
        <is>
          <t>미검토</t>
        </is>
      </c>
      <c r="H42" s="6" t="inlineStr"/>
    </row>
    <row r="43">
      <c r="A43" s="4" t="inlineStr">
        <is>
          <t>PRESIDENTIAL SUITE (PS)</t>
        </is>
      </c>
      <c r="B43" s="4" t="inlineStr">
        <is>
          <t>-</t>
        </is>
      </c>
      <c r="C43" s="4" t="n">
        <v>5</v>
      </c>
      <c r="D43" s="4" t="inlineStr">
        <is>
          <t>화장실 스위치</t>
        </is>
      </c>
      <c r="E43" s="5" t="n">
        <v>4</v>
      </c>
      <c r="F43" s="4" t="inlineStr">
        <is>
          <t>더블퀸 욕실 문 옆 / POWDER ROOM 문 옆 / TOILET 문 옆 / MASTER BATH 문 옆</t>
        </is>
      </c>
      <c r="G43" s="7" t="inlineStr">
        <is>
          <t>미검토</t>
        </is>
      </c>
      <c r="H43" s="6" t="inlineStr"/>
    </row>
    <row r="44">
      <c r="A44" s="4" t="inlineStr">
        <is>
          <t>PRESIDENTIAL SUITE (PS)</t>
        </is>
      </c>
      <c r="B44" s="4" t="inlineStr">
        <is>
          <t>-</t>
        </is>
      </c>
      <c r="C44" s="4" t="n">
        <v>6</v>
      </c>
      <c r="D44" s="4" t="inlineStr">
        <is>
          <t>드레스룸 스위치</t>
        </is>
      </c>
      <c r="E44" s="5" t="n">
        <v>2</v>
      </c>
      <c r="F44" s="4" t="inlineStr">
        <is>
          <t>마스터 옷장(옷걸이) / 더블퀸 옷장</t>
        </is>
      </c>
      <c r="G44" s="7" t="inlineStr">
        <is>
          <t>미검토</t>
        </is>
      </c>
      <c r="H44" s="6" t="inlineStr"/>
    </row>
    <row r="45">
      <c r="A45" s="4" t="inlineStr">
        <is>
          <t>HOSPITALITY SUITE-1 (HS-1)</t>
        </is>
      </c>
      <c r="B45" s="4" t="inlineStr">
        <is>
          <t>-</t>
        </is>
      </c>
      <c r="C45" s="4" t="n">
        <v>1</v>
      </c>
      <c r="D45" s="4" t="inlineStr">
        <is>
          <t>챠임벨</t>
        </is>
      </c>
      <c r="E45" s="5" t="n">
        <v>1</v>
      </c>
      <c r="F45" s="4" t="inlineStr">
        <is>
          <t>하단 FOYER 출입문 복도 쪽</t>
        </is>
      </c>
      <c r="G45" s="7" t="inlineStr">
        <is>
          <t>미검토</t>
        </is>
      </c>
      <c r="H45" s="6" t="inlineStr"/>
    </row>
    <row r="46">
      <c r="A46" s="4" t="inlineStr">
        <is>
          <t>HOSPITALITY SUITE-1 (HS-1)</t>
        </is>
      </c>
      <c r="B46" s="4" t="inlineStr">
        <is>
          <t>-</t>
        </is>
      </c>
      <c r="C46" s="4" t="n">
        <v>2</v>
      </c>
      <c r="D46" s="4" t="inlineStr">
        <is>
          <t>키센서 DM</t>
        </is>
      </c>
      <c r="E46" s="5" t="n">
        <v>1</v>
      </c>
      <c r="F46" s="4" t="inlineStr">
        <is>
          <t>출입문 안쪽</t>
        </is>
      </c>
      <c r="G46" s="7" t="inlineStr">
        <is>
          <t>미검토</t>
        </is>
      </c>
      <c r="H46" s="6" t="inlineStr"/>
    </row>
    <row r="47">
      <c r="A47" s="4" t="inlineStr">
        <is>
          <t>HOSPITALITY SUITE-1 (HS-1)</t>
        </is>
      </c>
      <c r="B47" s="4" t="inlineStr">
        <is>
          <t>-</t>
        </is>
      </c>
      <c r="C47" s="4" t="n">
        <v>4</v>
      </c>
      <c r="D47" s="4" t="inlineStr">
        <is>
          <t>회의실 스위치</t>
        </is>
      </c>
      <c r="E47" s="5" t="n">
        <v>1</v>
      </c>
      <c r="F47" s="4" t="inlineStr">
        <is>
          <t>회의실 입구 옆 벽 (온도+L+디밍+커튼)</t>
        </is>
      </c>
      <c r="G47" s="7" t="inlineStr">
        <is>
          <t>미검토</t>
        </is>
      </c>
      <c r="H47" s="6" t="inlineStr"/>
    </row>
    <row r="48">
      <c r="A48" s="4" t="inlineStr">
        <is>
          <t>HOSPITALITY SUITE-1 (HS-1)</t>
        </is>
      </c>
      <c r="B48" s="4" t="inlineStr">
        <is>
          <t>-</t>
        </is>
      </c>
      <c r="C48" s="4" t="n">
        <v>5</v>
      </c>
      <c r="D48" s="4" t="inlineStr">
        <is>
          <t>화장실 스위치</t>
        </is>
      </c>
      <c r="E48" s="5" t="n">
        <v>1</v>
      </c>
      <c r="F48" s="4" t="inlineStr">
        <is>
          <t>욕실 문 옆</t>
        </is>
      </c>
      <c r="G48" s="7" t="inlineStr">
        <is>
          <t>미검토</t>
        </is>
      </c>
      <c r="H48" s="6" t="inlineStr"/>
    </row>
    <row r="49">
      <c r="A49" s="4" t="inlineStr">
        <is>
          <t>HOSPITALITY SUITE-1 (HS-1)</t>
        </is>
      </c>
      <c r="B49" s="4" t="inlineStr">
        <is>
          <t>-</t>
        </is>
      </c>
      <c r="C49" s="4" t="n">
        <v>6</v>
      </c>
      <c r="D49" s="4" t="inlineStr">
        <is>
          <t>드레스룸 스위치</t>
        </is>
      </c>
      <c r="E49" s="5" t="n">
        <v>1</v>
      </c>
      <c r="F49" s="4" t="inlineStr">
        <is>
          <t>BATHROOM FOYER 옷장</t>
        </is>
      </c>
      <c r="G49" s="7" t="inlineStr">
        <is>
          <t>미검토</t>
        </is>
      </c>
      <c r="H49" s="6" t="inlineStr"/>
    </row>
    <row r="50">
      <c r="A50" s="4" t="inlineStr">
        <is>
          <t>HOSPITALITY SUITE-3 (HS-3)</t>
        </is>
      </c>
      <c r="B50" s="4" t="inlineStr">
        <is>
          <t>-</t>
        </is>
      </c>
      <c r="C50" s="4" t="n">
        <v>1</v>
      </c>
      <c r="D50" s="4" t="inlineStr">
        <is>
          <t>챠임벨</t>
        </is>
      </c>
      <c r="E50" s="5" t="n">
        <v>1</v>
      </c>
      <c r="F50" s="4" t="inlineStr">
        <is>
          <t>좌측 하단 FOYER 출입문 복도 쪽</t>
        </is>
      </c>
      <c r="G50" s="7" t="inlineStr">
        <is>
          <t>미검토</t>
        </is>
      </c>
      <c r="H50" s="6" t="inlineStr"/>
    </row>
    <row r="51">
      <c r="A51" s="4" t="inlineStr">
        <is>
          <t>HOSPITALITY SUITE-3 (HS-3)</t>
        </is>
      </c>
      <c r="B51" s="4" t="inlineStr">
        <is>
          <t>-</t>
        </is>
      </c>
      <c r="C51" s="4" t="n">
        <v>2</v>
      </c>
      <c r="D51" s="4" t="inlineStr">
        <is>
          <t>키센서 DM</t>
        </is>
      </c>
      <c r="E51" s="5" t="n">
        <v>1</v>
      </c>
      <c r="F51" s="4" t="inlineStr">
        <is>
          <t>출입문 안쪽</t>
        </is>
      </c>
      <c r="G51" s="7" t="inlineStr">
        <is>
          <t>미검토</t>
        </is>
      </c>
      <c r="H51" s="6" t="inlineStr"/>
    </row>
    <row r="52">
      <c r="A52" s="4" t="inlineStr">
        <is>
          <t>HOSPITALITY SUITE-3 (HS-3)</t>
        </is>
      </c>
      <c r="B52" s="4" t="inlineStr">
        <is>
          <t>-</t>
        </is>
      </c>
      <c r="C52" s="4" t="n">
        <v>4</v>
      </c>
      <c r="D52" s="4" t="inlineStr">
        <is>
          <t>회의실 스위치</t>
        </is>
      </c>
      <c r="E52" s="5" t="n">
        <v>1</v>
      </c>
      <c r="F52" s="4" t="inlineStr">
        <is>
          <t>회의실 입구 옆 벽</t>
        </is>
      </c>
      <c r="G52" s="7" t="inlineStr">
        <is>
          <t>미검토</t>
        </is>
      </c>
      <c r="H52" s="6" t="inlineStr"/>
    </row>
    <row r="53">
      <c r="A53" s="4" t="inlineStr">
        <is>
          <t>HOSPITALITY SUITE-3 (HS-3)</t>
        </is>
      </c>
      <c r="B53" s="4" t="inlineStr">
        <is>
          <t>-</t>
        </is>
      </c>
      <c r="C53" s="4" t="n">
        <v>5</v>
      </c>
      <c r="D53" s="4" t="inlineStr">
        <is>
          <t>화장실 스위치</t>
        </is>
      </c>
      <c r="E53" s="5" t="n">
        <v>1</v>
      </c>
      <c r="F53" s="4" t="inlineStr">
        <is>
          <t>욕실 문 옆</t>
        </is>
      </c>
      <c r="G53" s="7" t="inlineStr">
        <is>
          <t>미검토</t>
        </is>
      </c>
      <c r="H53" s="6" t="inlineStr"/>
    </row>
    <row r="54">
      <c r="A54" s="4" t="inlineStr">
        <is>
          <t>HOSPITALITY SUITE-5 (HS-5)</t>
        </is>
      </c>
      <c r="B54" s="4" t="inlineStr">
        <is>
          <t>-</t>
        </is>
      </c>
      <c r="C54" s="4" t="n">
        <v>1</v>
      </c>
      <c r="D54" s="4" t="inlineStr">
        <is>
          <t>챠임벨</t>
        </is>
      </c>
      <c r="E54" s="5" t="n">
        <v>1</v>
      </c>
      <c r="F54" s="4" t="inlineStr">
        <is>
          <t>좌측 하단 FOYER 출입문 복도 쪽</t>
        </is>
      </c>
      <c r="G54" s="7" t="inlineStr">
        <is>
          <t>미검토</t>
        </is>
      </c>
      <c r="H54" s="6" t="inlineStr"/>
    </row>
    <row r="55">
      <c r="A55" s="4" t="inlineStr">
        <is>
          <t>HOSPITALITY SUITE-5 (HS-5)</t>
        </is>
      </c>
      <c r="B55" s="4" t="inlineStr">
        <is>
          <t>-</t>
        </is>
      </c>
      <c r="C55" s="4" t="n">
        <v>2</v>
      </c>
      <c r="D55" s="4" t="inlineStr">
        <is>
          <t>키센서 DM</t>
        </is>
      </c>
      <c r="E55" s="5" t="n">
        <v>1</v>
      </c>
      <c r="F55" s="4" t="inlineStr">
        <is>
          <t>출입문 안쪽</t>
        </is>
      </c>
      <c r="G55" s="7" t="inlineStr">
        <is>
          <t>미검토</t>
        </is>
      </c>
      <c r="H55" s="6" t="inlineStr"/>
    </row>
    <row r="56">
      <c r="A56" s="4" t="inlineStr">
        <is>
          <t>HOSPITALITY SUITE-5 (HS-5)</t>
        </is>
      </c>
      <c r="B56" s="4" t="inlineStr">
        <is>
          <t>-</t>
        </is>
      </c>
      <c r="C56" s="4" t="n">
        <v>4</v>
      </c>
      <c r="D56" s="4" t="inlineStr">
        <is>
          <t>회의실 스위치</t>
        </is>
      </c>
      <c r="E56" s="5" t="n">
        <v>1</v>
      </c>
      <c r="F56" s="4" t="inlineStr">
        <is>
          <t>회의실 입구 옆 벽</t>
        </is>
      </c>
      <c r="G56" s="7" t="inlineStr">
        <is>
          <t>미검토</t>
        </is>
      </c>
      <c r="H56" s="6" t="inlineStr"/>
    </row>
    <row r="57">
      <c r="A57" s="4" t="inlineStr">
        <is>
          <t>HOSPITALITY SUITE-5 (HS-5)</t>
        </is>
      </c>
      <c r="B57" s="4" t="inlineStr">
        <is>
          <t>-</t>
        </is>
      </c>
      <c r="C57" s="4" t="n">
        <v>4</v>
      </c>
      <c r="D57" s="4" t="inlineStr">
        <is>
          <t>거실 스위치</t>
        </is>
      </c>
      <c r="E57" s="5" t="n">
        <v>1</v>
      </c>
      <c r="F57" s="4" t="inlineStr">
        <is>
          <t>LIBRARY 입구 옆 벽</t>
        </is>
      </c>
      <c r="G57" s="7" t="inlineStr">
        <is>
          <t>미검토</t>
        </is>
      </c>
      <c r="H57" s="6" t="inlineStr"/>
    </row>
    <row r="58">
      <c r="A58" s="4" t="inlineStr">
        <is>
          <t>HOSPITALITY SUITE-5 (HS-5)</t>
        </is>
      </c>
      <c r="B58" s="4" t="inlineStr">
        <is>
          <t>-</t>
        </is>
      </c>
      <c r="C58" s="4" t="n">
        <v>5</v>
      </c>
      <c r="D58" s="4" t="inlineStr">
        <is>
          <t>화장실 스위치</t>
        </is>
      </c>
      <c r="E58" s="5" t="n">
        <v>1</v>
      </c>
      <c r="F58" s="4" t="inlineStr">
        <is>
          <t>욕실 문 옆</t>
        </is>
      </c>
      <c r="G58" s="7" t="inlineStr">
        <is>
          <t>미검토</t>
        </is>
      </c>
      <c r="H58" s="6" t="inlineStr"/>
    </row>
    <row r="59">
      <c r="A59" s="4" t="inlineStr">
        <is>
          <t>HANDICAP (DD-2) 3~12F 주거약자실</t>
        </is>
      </c>
      <c r="B59" s="4" t="inlineStr">
        <is>
          <t>-</t>
        </is>
      </c>
      <c r="C59" s="4" t="n">
        <v>1</v>
      </c>
      <c r="D59" s="4" t="inlineStr">
        <is>
          <t>챠임벨</t>
        </is>
      </c>
      <c r="E59" s="5" t="n">
        <v>1</v>
      </c>
      <c r="F59" s="4" t="inlineStr">
        <is>
          <t>좌측 하단 출입문 복도 쪽</t>
        </is>
      </c>
      <c r="G59" s="7" t="inlineStr">
        <is>
          <t>미검토</t>
        </is>
      </c>
      <c r="H59" s="6" t="inlineStr"/>
    </row>
    <row r="60">
      <c r="A60" s="4" t="inlineStr">
        <is>
          <t>HANDICAP (DD-2) 3~12F 주거약자실</t>
        </is>
      </c>
      <c r="B60" s="4" t="inlineStr">
        <is>
          <t>-</t>
        </is>
      </c>
      <c r="C60" s="4" t="n">
        <v>2</v>
      </c>
      <c r="D60" s="4" t="inlineStr">
        <is>
          <t>키센서 DM</t>
        </is>
      </c>
      <c r="E60" s="5" t="n">
        <v>1</v>
      </c>
      <c r="F60" s="4" t="inlineStr">
        <is>
          <t>출입문 안쪽</t>
        </is>
      </c>
      <c r="G60" s="7" t="inlineStr">
        <is>
          <t>미검토</t>
        </is>
      </c>
      <c r="H60" s="6" t="inlineStr"/>
    </row>
    <row r="61">
      <c r="A61" s="4" t="inlineStr">
        <is>
          <t>HANDICAP (DD-2) 3~12F 주거약자실</t>
        </is>
      </c>
      <c r="B61" s="4" t="inlineStr">
        <is>
          <t>-</t>
        </is>
      </c>
      <c r="C61" s="4" t="n">
        <v>3</v>
      </c>
      <c r="D61" s="4" t="inlineStr">
        <is>
          <t>BSP</t>
        </is>
      </c>
      <c r="E61" s="5" t="n">
        <v>1</v>
      </c>
      <c r="F61" s="4" t="inlineStr">
        <is>
          <t>트윈 침대 사이</t>
        </is>
      </c>
      <c r="G61" s="7" t="inlineStr">
        <is>
          <t>미검토</t>
        </is>
      </c>
      <c r="H61" s="6" t="inlineStr"/>
    </row>
    <row r="62">
      <c r="A62" s="4" t="inlineStr">
        <is>
          <t>HANDICAP (DD-2) 3~12F 주거약자실</t>
        </is>
      </c>
      <c r="B62" s="4" t="inlineStr">
        <is>
          <t>-</t>
        </is>
      </c>
      <c r="C62" s="4" t="n">
        <v>4</v>
      </c>
      <c r="D62" s="4" t="inlineStr">
        <is>
          <t>드레스룸 스위치</t>
        </is>
      </c>
      <c r="E62" s="5" t="n">
        <v>1</v>
      </c>
      <c r="F62" s="4" t="inlineStr">
        <is>
          <t>현관 옷장(옷걸이)</t>
        </is>
      </c>
      <c r="G62" s="7" t="inlineStr">
        <is>
          <t>미검토</t>
        </is>
      </c>
      <c r="H62" s="6" t="inlineStr"/>
    </row>
    <row r="63">
      <c r="A63" s="4" t="inlineStr">
        <is>
          <t>HANDICAP (DD-2) 3~12F 주거약자실</t>
        </is>
      </c>
      <c r="B63" s="4" t="inlineStr">
        <is>
          <t>-</t>
        </is>
      </c>
      <c r="C63" s="4" t="n">
        <v>5</v>
      </c>
      <c r="D63" s="4" t="inlineStr">
        <is>
          <t>화장실 스위치</t>
        </is>
      </c>
      <c r="E63" s="5" t="n">
        <v>1</v>
      </c>
      <c r="F63" s="4" t="inlineStr">
        <is>
          <t>욕실 문 옆</t>
        </is>
      </c>
      <c r="G63" s="7" t="inlineStr">
        <is>
          <t>미검토</t>
        </is>
      </c>
      <c r="H63" s="6" t="inlineStr"/>
    </row>
    <row r="64">
      <c r="A64" s="4" t="inlineStr">
        <is>
          <t>HANDICAP (DD-2) 3~12F 주거약자실</t>
        </is>
      </c>
      <c r="B64" s="4" t="inlineStr">
        <is>
          <t>-</t>
        </is>
      </c>
      <c r="C64" s="4" t="n">
        <v>6</v>
      </c>
      <c r="D64" s="4" t="inlineStr">
        <is>
          <t>비상호출</t>
        </is>
      </c>
      <c r="E64" s="5" t="n">
        <v>1</v>
      </c>
      <c r="F64" s="4" t="inlineStr">
        <is>
          <t>욕실 변기·욕조 옆</t>
        </is>
      </c>
      <c r="G64" s="7" t="inlineStr">
        <is>
          <t>미검토</t>
        </is>
      </c>
      <c r="H64" s="6" t="inlineStr"/>
    </row>
    <row r="65">
      <c r="A65" s="4" t="inlineStr">
        <is>
          <t>KING &amp; DD TYPE — 2실</t>
        </is>
      </c>
      <c r="B65" s="4" t="inlineStr">
        <is>
          <t>상 = KING</t>
        </is>
      </c>
      <c r="C65" s="4" t="n">
        <v>1</v>
      </c>
      <c r="D65" s="4" t="inlineStr">
        <is>
          <t>챠임벨</t>
        </is>
      </c>
      <c r="E65" s="5" t="n">
        <v>1</v>
      </c>
      <c r="F65" s="4" t="inlineStr">
        <is>
          <t>우측 출입문 복도 쪽</t>
        </is>
      </c>
      <c r="G65" s="7" t="inlineStr">
        <is>
          <t>미검토</t>
        </is>
      </c>
      <c r="H65" s="6" t="inlineStr"/>
    </row>
    <row r="66">
      <c r="A66" s="4" t="inlineStr">
        <is>
          <t>KING &amp; DD TYPE — 2실</t>
        </is>
      </c>
      <c r="B66" s="4" t="inlineStr">
        <is>
          <t>상 = KING</t>
        </is>
      </c>
      <c r="C66" s="4" t="n">
        <v>2</v>
      </c>
      <c r="D66" s="4" t="inlineStr">
        <is>
          <t>키센서 DM</t>
        </is>
      </c>
      <c r="E66" s="5" t="n">
        <v>1</v>
      </c>
      <c r="F66" s="4" t="inlineStr">
        <is>
          <t>출입문 안쪽</t>
        </is>
      </c>
      <c r="G66" s="7" t="inlineStr">
        <is>
          <t>미검토</t>
        </is>
      </c>
      <c r="H66" s="6" t="inlineStr"/>
    </row>
    <row r="67">
      <c r="A67" s="4" t="inlineStr">
        <is>
          <t>KING &amp; DD TYPE — 2실</t>
        </is>
      </c>
      <c r="B67" s="4" t="inlineStr">
        <is>
          <t>상 = KING</t>
        </is>
      </c>
      <c r="C67" s="4" t="n">
        <v>3</v>
      </c>
      <c r="D67" s="4" t="inlineStr">
        <is>
          <t>BSP</t>
        </is>
      </c>
      <c r="E67" s="5" t="n">
        <v>1</v>
      </c>
      <c r="F67" s="4" t="inlineStr">
        <is>
          <t>침대 옆(침대 미도시)</t>
        </is>
      </c>
      <c r="G67" s="7" t="inlineStr">
        <is>
          <t>미검토</t>
        </is>
      </c>
      <c r="H67" s="6" t="inlineStr"/>
    </row>
    <row r="68">
      <c r="A68" s="4" t="inlineStr">
        <is>
          <t>KING &amp; DD TYPE — 2실</t>
        </is>
      </c>
      <c r="B68" s="4" t="inlineStr">
        <is>
          <t>상 = KING</t>
        </is>
      </c>
      <c r="C68" s="4" t="n">
        <v>4</v>
      </c>
      <c r="D68" s="4" t="inlineStr">
        <is>
          <t>드레스룸 스위치</t>
        </is>
      </c>
      <c r="E68" s="5" t="n">
        <v>1</v>
      </c>
      <c r="F68" s="4" t="inlineStr">
        <is>
          <t>현관 옷장(옷걸이)</t>
        </is>
      </c>
      <c r="G68" s="7" t="inlineStr">
        <is>
          <t>미검토</t>
        </is>
      </c>
      <c r="H68" s="6" t="inlineStr"/>
    </row>
    <row r="69">
      <c r="A69" s="4" t="inlineStr">
        <is>
          <t>KING &amp; DD TYPE — 2실</t>
        </is>
      </c>
      <c r="B69" s="4" t="inlineStr">
        <is>
          <t>상 = KING</t>
        </is>
      </c>
      <c r="C69" s="4" t="n">
        <v>5</v>
      </c>
      <c r="D69" s="4" t="inlineStr">
        <is>
          <t>화장실 스위치</t>
        </is>
      </c>
      <c r="E69" s="5" t="n">
        <v>1</v>
      </c>
      <c r="F69" s="4" t="inlineStr">
        <is>
          <t>욕실 문 옆</t>
        </is>
      </c>
      <c r="G69" s="7" t="inlineStr">
        <is>
          <t>미검토</t>
        </is>
      </c>
      <c r="H69" s="6" t="inlineStr"/>
    </row>
    <row r="70">
      <c r="A70" s="4" t="inlineStr">
        <is>
          <t>KING &amp; DD TYPE — 2실</t>
        </is>
      </c>
      <c r="B70" s="4" t="inlineStr">
        <is>
          <t>하 = DD</t>
        </is>
      </c>
      <c r="C70" s="4" t="n">
        <v>1</v>
      </c>
      <c r="D70" s="4" t="inlineStr">
        <is>
          <t>챠임벨</t>
        </is>
      </c>
      <c r="E70" s="5" t="n">
        <v>1</v>
      </c>
      <c r="F70" s="4" t="inlineStr">
        <is>
          <t>우측 출입문 복도 쪽</t>
        </is>
      </c>
      <c r="G70" s="7" t="inlineStr">
        <is>
          <t>미검토</t>
        </is>
      </c>
      <c r="H70" s="6" t="inlineStr"/>
    </row>
    <row r="71">
      <c r="A71" s="4" t="inlineStr">
        <is>
          <t>KING &amp; DD TYPE — 2실</t>
        </is>
      </c>
      <c r="B71" s="4" t="inlineStr">
        <is>
          <t>하 = DD</t>
        </is>
      </c>
      <c r="C71" s="4" t="n">
        <v>2</v>
      </c>
      <c r="D71" s="4" t="inlineStr">
        <is>
          <t>키센서 DM</t>
        </is>
      </c>
      <c r="E71" s="5" t="n">
        <v>1</v>
      </c>
      <c r="F71" s="4" t="inlineStr">
        <is>
          <t>출입문 안쪽</t>
        </is>
      </c>
      <c r="G71" s="7" t="inlineStr">
        <is>
          <t>미검토</t>
        </is>
      </c>
      <c r="H71" s="6" t="inlineStr"/>
    </row>
    <row r="72">
      <c r="A72" s="4" t="inlineStr">
        <is>
          <t>KING &amp; DD TYPE — 2실</t>
        </is>
      </c>
      <c r="B72" s="4" t="inlineStr">
        <is>
          <t>하 = DD</t>
        </is>
      </c>
      <c r="C72" s="4" t="n">
        <v>3</v>
      </c>
      <c r="D72" s="4" t="inlineStr">
        <is>
          <t>BSP</t>
        </is>
      </c>
      <c r="E72" s="5" t="n">
        <v>1</v>
      </c>
      <c r="F72" s="4" t="inlineStr">
        <is>
          <t>침대 옆(침대 미도시)</t>
        </is>
      </c>
      <c r="G72" s="7" t="inlineStr">
        <is>
          <t>미검토</t>
        </is>
      </c>
      <c r="H72" s="6" t="inlineStr"/>
    </row>
    <row r="73">
      <c r="A73" s="4" t="inlineStr">
        <is>
          <t>KING &amp; DD TYPE — 2실</t>
        </is>
      </c>
      <c r="B73" s="4" t="inlineStr">
        <is>
          <t>하 = DD</t>
        </is>
      </c>
      <c r="C73" s="4" t="n">
        <v>4</v>
      </c>
      <c r="D73" s="4" t="inlineStr">
        <is>
          <t>드레스룸 스위치</t>
        </is>
      </c>
      <c r="E73" s="5" t="n">
        <v>1</v>
      </c>
      <c r="F73" s="4" t="inlineStr">
        <is>
          <t>현관 옷장(옷걸이)</t>
        </is>
      </c>
      <c r="G73" s="7" t="inlineStr">
        <is>
          <t>미검토</t>
        </is>
      </c>
      <c r="H73" s="6" t="inlineStr"/>
    </row>
    <row r="74">
      <c r="A74" s="4" t="inlineStr">
        <is>
          <t>KING &amp; DD TYPE — 2실</t>
        </is>
      </c>
      <c r="B74" s="4" t="inlineStr">
        <is>
          <t>하 = DD</t>
        </is>
      </c>
      <c r="C74" s="4" t="n">
        <v>5</v>
      </c>
      <c r="D74" s="4" t="inlineStr">
        <is>
          <t>화장실 스위치</t>
        </is>
      </c>
      <c r="E74" s="5" t="n">
        <v>1</v>
      </c>
      <c r="F74" s="4" t="inlineStr">
        <is>
          <t>욕실 문 옆</t>
        </is>
      </c>
      <c r="G74" s="7" t="inlineStr">
        <is>
          <t>미검토</t>
        </is>
      </c>
      <c r="H7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20" customWidth="1" min="7" max="7"/>
  </cols>
  <sheetData>
    <row r="1">
      <c r="A1" s="8" t="inlineStr">
        <is>
          <t>타입</t>
        </is>
      </c>
      <c r="B1" s="8" t="inlineStr">
        <is>
          <t>룸</t>
        </is>
      </c>
      <c r="C1" s="8" t="inlineStr">
        <is>
          <t>기구물 종</t>
        </is>
      </c>
      <c r="D1" s="8" t="inlineStr">
        <is>
          <t>1실당 개수</t>
        </is>
      </c>
      <c r="E1" s="8" t="inlineStr">
        <is>
          <t>실 수(입력)</t>
        </is>
      </c>
      <c r="F1" s="8" t="inlineStr">
        <is>
          <t>총 개수</t>
        </is>
      </c>
      <c r="G1" s="8" t="inlineStr">
        <is>
          <t>상태</t>
        </is>
      </c>
      <c r="I1" t="inlineStr">
        <is>
          <t>노란칸(실 수)에 숫자를 넣으면 총 개수가 자동 계산됩니다. 중앙장비(PC 1, FIP 층당 1)는 층별 평면도 확정 후 추가.</t>
        </is>
      </c>
    </row>
    <row r="2">
      <c r="A2" s="9" t="inlineStr">
        <is>
          <t>GOVERNOR SUITE (GS)</t>
        </is>
      </c>
      <c r="B2" s="9" t="inlineStr">
        <is>
          <t>-</t>
        </is>
      </c>
      <c r="C2" s="10" t="n">
        <v>5</v>
      </c>
      <c r="D2" s="10" t="n">
        <v>5</v>
      </c>
      <c r="E2" s="11" t="n"/>
      <c r="F2" s="10">
        <f>D2*E2</f>
        <v/>
      </c>
      <c r="G2" s="9" t="inlineStr">
        <is>
          <t>확정(프로님 검토 v4)</t>
        </is>
      </c>
    </row>
    <row r="3">
      <c r="A3" s="9" t="inlineStr">
        <is>
          <t>4~12F 타입(첫 도면)</t>
        </is>
      </c>
      <c r="B3" s="9" t="inlineStr">
        <is>
          <t>-</t>
        </is>
      </c>
      <c r="C3" s="10" t="n">
        <v>5</v>
      </c>
      <c r="D3" s="10" t="n">
        <v>5</v>
      </c>
      <c r="E3" s="11" t="n"/>
      <c r="F3" s="10">
        <f>D3*E3</f>
        <v/>
      </c>
      <c r="G3" s="9" t="inlineStr">
        <is>
          <t>확정(프로님 검토 v4)</t>
        </is>
      </c>
    </row>
    <row r="4">
      <c r="A4" s="9" t="inlineStr">
        <is>
          <t>SUITE KING (K-3) 3~12F</t>
        </is>
      </c>
      <c r="B4" s="9" t="inlineStr">
        <is>
          <t>-</t>
        </is>
      </c>
      <c r="C4" s="10" t="n">
        <v>5</v>
      </c>
      <c r="D4" s="10" t="n">
        <v>5</v>
      </c>
      <c r="E4" s="11" t="n"/>
      <c r="F4" s="10">
        <f>D4*E4</f>
        <v/>
      </c>
      <c r="G4" s="9" t="inlineStr">
        <is>
          <t>미검토</t>
        </is>
      </c>
    </row>
    <row r="5">
      <c r="A5" s="9" t="inlineStr">
        <is>
          <t>AMBASSADOR SUITE (AS) — 커넥팅</t>
        </is>
      </c>
      <c r="B5" s="9" t="inlineStr">
        <is>
          <t>룸1 = 좌측 침실 + 거실</t>
        </is>
      </c>
      <c r="C5" s="10" t="n">
        <v>6</v>
      </c>
      <c r="D5" s="10" t="n">
        <v>6</v>
      </c>
      <c r="E5" s="11" t="n"/>
      <c r="F5" s="10">
        <f>D5*E5</f>
        <v/>
      </c>
      <c r="G5" s="9" t="inlineStr">
        <is>
          <t>확정(프로님 검토 v4)</t>
        </is>
      </c>
    </row>
    <row r="6">
      <c r="A6" s="9" t="inlineStr">
        <is>
          <t>AMBASSADOR SUITE (AS) — 커넥팅</t>
        </is>
      </c>
      <c r="B6" s="9" t="inlineStr">
        <is>
          <t>룸2 = 우측 침실</t>
        </is>
      </c>
      <c r="C6" s="10" t="n">
        <v>4</v>
      </c>
      <c r="D6" s="10" t="n">
        <v>4</v>
      </c>
      <c r="E6" s="11" t="n"/>
      <c r="F6" s="10">
        <f>D6*E6</f>
        <v/>
      </c>
      <c r="G6" s="9" t="inlineStr">
        <is>
          <t>확정(프로님 검토 v4)</t>
        </is>
      </c>
    </row>
    <row r="7">
      <c r="A7" s="9" t="inlineStr">
        <is>
          <t>MANAGER'S SUITE (GM)</t>
        </is>
      </c>
      <c r="B7" s="9" t="inlineStr">
        <is>
          <t>-</t>
        </is>
      </c>
      <c r="C7" s="10" t="n">
        <v>6</v>
      </c>
      <c r="D7" s="10" t="n">
        <v>9</v>
      </c>
      <c r="E7" s="11" t="n"/>
      <c r="F7" s="10">
        <f>D7*E7</f>
        <v/>
      </c>
      <c r="G7" s="9" t="inlineStr">
        <is>
          <t>확정(프로님 검토 v2)</t>
        </is>
      </c>
    </row>
    <row r="8">
      <c r="A8" s="9" t="inlineStr">
        <is>
          <t>OWNER'S SUITE (OS)</t>
        </is>
      </c>
      <c r="B8" s="9" t="inlineStr">
        <is>
          <t>-</t>
        </is>
      </c>
      <c r="C8" s="10" t="n">
        <v>6</v>
      </c>
      <c r="D8" s="10" t="n">
        <v>8</v>
      </c>
      <c r="E8" s="11" t="n"/>
      <c r="F8" s="10">
        <f>D8*E8</f>
        <v/>
      </c>
      <c r="G8" s="9" t="inlineStr">
        <is>
          <t>미검토</t>
        </is>
      </c>
    </row>
    <row r="9">
      <c r="A9" s="9" t="inlineStr">
        <is>
          <t>PRESIDENTIAL SUITE (PS)</t>
        </is>
      </c>
      <c r="B9" s="9" t="inlineStr">
        <is>
          <t>-</t>
        </is>
      </c>
      <c r="C9" s="10" t="n">
        <v>6</v>
      </c>
      <c r="D9" s="10" t="n">
        <v>13</v>
      </c>
      <c r="E9" s="11" t="n"/>
      <c r="F9" s="10">
        <f>D9*E9</f>
        <v/>
      </c>
      <c r="G9" s="9" t="inlineStr">
        <is>
          <t>미검토</t>
        </is>
      </c>
    </row>
    <row r="10">
      <c r="A10" s="9" t="inlineStr">
        <is>
          <t>HOSPITALITY SUITE-1 (HS-1)</t>
        </is>
      </c>
      <c r="B10" s="9" t="inlineStr">
        <is>
          <t>-</t>
        </is>
      </c>
      <c r="C10" s="10" t="n">
        <v>5</v>
      </c>
      <c r="D10" s="10" t="n">
        <v>5</v>
      </c>
      <c r="E10" s="11" t="n"/>
      <c r="F10" s="10">
        <f>D10*E10</f>
        <v/>
      </c>
      <c r="G10" s="9" t="inlineStr">
        <is>
          <t>미검토</t>
        </is>
      </c>
    </row>
    <row r="11">
      <c r="A11" s="9" t="inlineStr">
        <is>
          <t>HOSPITALITY SUITE-3 (HS-3)</t>
        </is>
      </c>
      <c r="B11" s="9" t="inlineStr">
        <is>
          <t>-</t>
        </is>
      </c>
      <c r="C11" s="10" t="n">
        <v>4</v>
      </c>
      <c r="D11" s="10" t="n">
        <v>4</v>
      </c>
      <c r="E11" s="11" t="n"/>
      <c r="F11" s="10">
        <f>D11*E11</f>
        <v/>
      </c>
      <c r="G11" s="9" t="inlineStr">
        <is>
          <t>미검토</t>
        </is>
      </c>
    </row>
    <row r="12">
      <c r="A12" s="9" t="inlineStr">
        <is>
          <t>HOSPITALITY SUITE-5 (HS-5)</t>
        </is>
      </c>
      <c r="B12" s="9" t="inlineStr">
        <is>
          <t>-</t>
        </is>
      </c>
      <c r="C12" s="10" t="n">
        <v>4</v>
      </c>
      <c r="D12" s="10" t="n">
        <v>5</v>
      </c>
      <c r="E12" s="11" t="n"/>
      <c r="F12" s="10">
        <f>D12*E12</f>
        <v/>
      </c>
      <c r="G12" s="9" t="inlineStr">
        <is>
          <t>미검토</t>
        </is>
      </c>
    </row>
    <row r="13">
      <c r="A13" s="9" t="inlineStr">
        <is>
          <t>HANDICAP (DD-2) 3~12F 주거약자실</t>
        </is>
      </c>
      <c r="B13" s="9" t="inlineStr">
        <is>
          <t>-</t>
        </is>
      </c>
      <c r="C13" s="10" t="n">
        <v>6</v>
      </c>
      <c r="D13" s="10" t="n">
        <v>6</v>
      </c>
      <c r="E13" s="11" t="n"/>
      <c r="F13" s="10">
        <f>D13*E13</f>
        <v/>
      </c>
      <c r="G13" s="9" t="inlineStr">
        <is>
          <t>미검토</t>
        </is>
      </c>
    </row>
    <row r="14">
      <c r="A14" s="9" t="inlineStr">
        <is>
          <t>KING &amp; DD TYPE — 2실</t>
        </is>
      </c>
      <c r="B14" s="9" t="inlineStr">
        <is>
          <t>상 = KING</t>
        </is>
      </c>
      <c r="C14" s="10" t="n">
        <v>5</v>
      </c>
      <c r="D14" s="10" t="n">
        <v>5</v>
      </c>
      <c r="E14" s="11" t="n"/>
      <c r="F14" s="10">
        <f>D14*E14</f>
        <v/>
      </c>
      <c r="G14" s="9" t="inlineStr">
        <is>
          <t>미검토</t>
        </is>
      </c>
    </row>
    <row r="15">
      <c r="A15" s="9" t="inlineStr">
        <is>
          <t>KING &amp; DD TYPE — 2실</t>
        </is>
      </c>
      <c r="B15" s="9" t="inlineStr">
        <is>
          <t>하 = DD</t>
        </is>
      </c>
      <c r="C15" s="10" t="n">
        <v>5</v>
      </c>
      <c r="D15" s="10" t="n">
        <v>5</v>
      </c>
      <c r="E15" s="11" t="n"/>
      <c r="F15" s="10">
        <f>D15*E15</f>
        <v/>
      </c>
      <c r="G15" s="9" t="inlineStr">
        <is>
          <t>미검토</t>
        </is>
      </c>
    </row>
    <row r="16">
      <c r="A16" s="12" t="inlineStr">
        <is>
          <t>합계</t>
        </is>
      </c>
      <c r="B16" s="12" t="inlineStr"/>
      <c r="C16" s="13" t="inlineStr"/>
      <c r="D16" s="13">
        <f>SUM(D2:D15)</f>
        <v/>
      </c>
      <c r="E16" s="14" t="inlineStr"/>
      <c r="F16" s="13">
        <f>SUM(F2:F15)</f>
        <v/>
      </c>
      <c r="G16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5" t="inlineStr">
        <is>
          <t>항목</t>
        </is>
      </c>
      <c r="B1" s="15" t="inlineStr">
        <is>
          <t>기준 (2026-10-07 프로님 정정 기준)</t>
        </is>
      </c>
    </row>
    <row r="2">
      <c r="A2" s="2" t="inlineStr">
        <is>
          <t>번호 체계</t>
        </is>
      </c>
      <c r="B2" s="2" t="inlineStr">
        <is>
          <t>1 챠임벨 / 2 키센서 DM / 3 BSP / 4 거실·회의실 스위치(없으면 드레스룸이 4) / 5 화장실 스위치 / 6 드레스룸 스위치(거실 있을 때) / 비상호출은 맨 끝. 같은 품목이 여러 개면 같은 번호 반복.</t>
        </is>
      </c>
    </row>
    <row r="3">
      <c r="A3" s="2" t="inlineStr">
        <is>
          <t>MMO</t>
        </is>
      </c>
      <c r="B3" s="2" t="inlineStr">
        <is>
          <t>이 현장은 MMO 삭제(데스크·화장대 구분 어려움). 다른 현장은 책상 있으면 MMO 1 규칙 유지.</t>
        </is>
      </c>
    </row>
    <row r="4">
      <c r="A4" s="2" t="inlineStr">
        <is>
          <t>BSP 내장</t>
        </is>
      </c>
      <c r="B4" s="2" t="inlineStr">
        <is>
          <t>온도조절기·L·디밍·커튼스위치는 BSP 안에 내장. 침실만 있는 타입은 별도 없음.</t>
        </is>
      </c>
    </row>
    <row r="5">
      <c r="A5" s="2" t="inlineStr">
        <is>
          <t>거실 스위치</t>
        </is>
      </c>
      <c r="B5" s="2" t="inlineStr">
        <is>
          <t>별도 거실이 있을 때만 거실 입구 옆 벽에 1개(온도+L+디밍+커튼). 회의실도 같은 구성.</t>
        </is>
      </c>
    </row>
    <row r="6">
      <c r="A6" s="2" t="inlineStr">
        <is>
          <t>화장실 스위치</t>
        </is>
      </c>
      <c r="B6" s="2" t="inlineStr">
        <is>
          <t>화장실 들어가는 문 옆 벽, 손잡이 쪽(경첩 반대), 문 바깥. 공간 한가운데 찍지 않는다.</t>
        </is>
      </c>
    </row>
    <row r="7">
      <c r="A7" s="2" t="inlineStr">
        <is>
          <t>드레스룸</t>
        </is>
      </c>
      <c r="B7" s="2" t="inlineStr">
        <is>
          <t>옷걸이 기호가 있는 옷장방이면 스위치 1. 옷걸이 없이 지나가는 통로형 현관은 스위치 없음.</t>
        </is>
      </c>
    </row>
    <row r="8">
      <c r="A8" s="2" t="inlineStr">
        <is>
          <t>비상호출</t>
        </is>
      </c>
      <c r="B8" s="2" t="inlineStr">
        <is>
          <t>주거약자실(장애인실)만 욕실 1. 일반실 없음.</t>
        </is>
      </c>
    </row>
    <row r="9">
      <c r="A9" s="2" t="inlineStr">
        <is>
          <t>미니바·수납</t>
        </is>
      </c>
      <c r="B9" s="2" t="inlineStr">
        <is>
          <t>거실과 한 공간인 미니바 콘솔·붙박이 옷장은 기구물 없음.</t>
        </is>
      </c>
    </row>
    <row r="10">
      <c r="A10" s="2" t="inlineStr">
        <is>
          <t>커넥팅룸</t>
        </is>
      </c>
      <c r="B10" s="2" t="inlineStr">
        <is>
          <t>룸1·룸2로 나눠 표를 따로 만든다. 같이 팔 때는 합산.</t>
        </is>
      </c>
    </row>
    <row r="11">
      <c r="A11" s="2" t="inlineStr">
        <is>
          <t>책상 판독</t>
        </is>
      </c>
      <c r="B11" s="2" t="inlineStr">
        <is>
          <t>창가에 의자 1 + 작은 탁자 = 책상. 양면 긴 장(TV장·콘솔)·화장대는 책상 아님. (이 현장은 MMO 삭제라 참고만)</t>
        </is>
      </c>
    </row>
    <row r="12">
      <c r="A12" s="2" t="inlineStr">
        <is>
          <t>산출 방식</t>
        </is>
      </c>
      <c r="B12" s="2" t="inlineStr">
        <is>
          <t>한 타입씩 그림+표 한 장으로 내고 프로님 확인 후 다음 타입. 한꺼번에 내지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2026-10-07T01:47:45Z</dcterms:created>
  <dcterms:modified xmlns:dcterms="http://purl.org/dc/terms/" xmlns:xsi="http://www.w3.org/2001/XMLSchema-instance" xsi:type="dcterms:W3CDTF">2026-10-07T01:47:45Z</dcterms:modified>
</cp:coreProperties>
</file>